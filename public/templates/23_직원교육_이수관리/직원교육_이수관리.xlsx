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직원목록" sheetId="2" state="visible" r:id="rId4"/>
    <sheet name="교육과정" sheetId="3" state="visible" r:id="rId5"/>
    <sheet name="이수내역" sheetId="4" state="visible" r:id="rId6"/>
    <sheet name="이수현황" sheetId="5" state="visible" r:id="rId7"/>
    <sheet name="미이수현황" sheetId="6" state="visible" r:id="rId8"/>
    <sheet name="과정별집계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<sst xmlns="http://schemas.openxmlformats.org/spreadsheetml/2006/main" count="124" uniqueCount="88">
  <si>
    <t xml:space="preserve">직원 교육 · 자격 이수 관리</t>
  </si>
  <si>
    <t xml:space="preserve">핵심</t>
  </si>
  <si>
    <t xml:space="preserve">이수일과 주기만 넣으면 다음 이수 기한이 자동으로 계산되고, 기한이 다가오면 알려줍니다.</t>
  </si>
  <si>
    <t xml:space="preserve">입력 규칙</t>
  </si>
  <si>
    <t xml:space="preserve">파란색 글씨 칸만 입력하세요. 검은색은 자동 계산입니다.</t>
  </si>
  <si>
    <t xml:space="preserve">① 직원목록</t>
  </si>
  <si>
    <t xml:space="preserve">사번·이름·부서·입사일을 등록합니다.</t>
  </si>
  <si>
    <t xml:space="preserve">② 교육과정</t>
  </si>
  <si>
    <t xml:space="preserve">과정명과 이수 주기(개월)를 등록합니다. 주기는 회사가 정한 값을 넣으세요.</t>
  </si>
  <si>
    <t xml:space="preserve">③ 이수내역</t>
  </si>
  <si>
    <t xml:space="preserve">교육을 받을 때마다 한 줄. 사번·과정명·이수일만 넣으면 됩니다.</t>
  </si>
  <si>
    <t xml:space="preserve">④ 이수현황</t>
  </si>
  <si>
    <t xml:space="preserve">직원 × 과정별로 최근 이수일과 다음 기한이 나옵니다.</t>
  </si>
  <si>
    <t xml:space="preserve">⑤ 미이수현황</t>
  </si>
  <si>
    <t xml:space="preserve">기한이 지났거나 임박한 것만 모아서 보여줍니다.</t>
  </si>
  <si>
    <t xml:space="preserve">⑥ 과정별집계</t>
  </si>
  <si>
    <t xml:space="preserve">과정별 이수 인원과 이수율입니다.</t>
  </si>
  <si>
    <t xml:space="preserve">다음 기한 계산</t>
  </si>
  <si>
    <t xml:space="preserve">최근 이수일 + 주기(개월). 한 번도 안 받았으면 입사일 기준입니다.</t>
  </si>
  <si>
    <t xml:space="preserve">주의</t>
  </si>
  <si>
    <t xml:space="preserve">법정 의무교육의 주기와 대상은 법으로 정해져 있습니다. 이 파일은 주기를 검증하지 않습니다.</t>
  </si>
  <si>
    <t xml:space="preserve">설정</t>
  </si>
  <si>
    <t xml:space="preserve">값을 바꾸면 모든 계산에 반영됩니다</t>
  </si>
  <si>
    <t xml:space="preserve">기한 임박 기준(일)</t>
  </si>
  <si>
    <t xml:space="preserve">※ 산업안전보건교육·성희롱예방교육 등의 법정 주기는 고용노동부 기준을 직접 확인하고 입력하세요.</t>
  </si>
  <si>
    <t xml:space="preserve">직원목록</t>
  </si>
  <si>
    <t xml:space="preserve">사번</t>
  </si>
  <si>
    <t xml:space="preserve">이름</t>
  </si>
  <si>
    <t xml:space="preserve">부서</t>
  </si>
  <si>
    <t xml:space="preserve">직위</t>
  </si>
  <si>
    <t xml:space="preserve">입사일</t>
  </si>
  <si>
    <t xml:space="preserve">재직상태</t>
  </si>
  <si>
    <t xml:space="preserve">E001</t>
  </si>
  <si>
    <t xml:space="preserve">김직원</t>
  </si>
  <si>
    <t xml:space="preserve">생산1팀</t>
  </si>
  <si>
    <t xml:space="preserve">사원</t>
  </si>
  <si>
    <t xml:space="preserve">재직</t>
  </si>
  <si>
    <t xml:space="preserve">E002</t>
  </si>
  <si>
    <t xml:space="preserve">이직원</t>
  </si>
  <si>
    <t xml:space="preserve">주임</t>
  </si>
  <si>
    <t xml:space="preserve">E003</t>
  </si>
  <si>
    <t xml:space="preserve">박직원</t>
  </si>
  <si>
    <t xml:space="preserve">관리팀</t>
  </si>
  <si>
    <t xml:space="preserve">대리</t>
  </si>
  <si>
    <t xml:space="preserve">교육과정  (주기는 회사·법령 기준을 확인하고 넣으세요)</t>
  </si>
  <si>
    <t xml:space="preserve">과정코드</t>
  </si>
  <si>
    <t xml:space="preserve">과정명</t>
  </si>
  <si>
    <t xml:space="preserve">주기(개월)</t>
  </si>
  <si>
    <t xml:space="preserve">이수시간</t>
  </si>
  <si>
    <t xml:space="preserve">구분</t>
  </si>
  <si>
    <t xml:space="preserve">비고</t>
  </si>
  <si>
    <t xml:space="preserve">C01</t>
  </si>
  <si>
    <t xml:space="preserve">산업안전보건교육</t>
  </si>
  <si>
    <t xml:space="preserve">법정</t>
  </si>
  <si>
    <t xml:space="preserve">C02</t>
  </si>
  <si>
    <t xml:space="preserve">성희롱 예방교육</t>
  </si>
  <si>
    <t xml:space="preserve">C03</t>
  </si>
  <si>
    <t xml:space="preserve">개인정보보호 교육</t>
  </si>
  <si>
    <t xml:space="preserve">C04</t>
  </si>
  <si>
    <t xml:space="preserve">지게차 운전 자격</t>
  </si>
  <si>
    <t xml:space="preserve">자격</t>
  </si>
  <si>
    <t xml:space="preserve">이수내역  (교육 받을 때마다 한 줄)</t>
  </si>
  <si>
    <t xml:space="preserve">이수일</t>
  </si>
  <si>
    <t xml:space="preserve">이름(자동)</t>
  </si>
  <si>
    <t xml:space="preserve">과정명(자동)</t>
  </si>
  <si>
    <t xml:space="preserve">교육기관</t>
  </si>
  <si>
    <t xml:space="preserve">○○안전교육원</t>
  </si>
  <si>
    <t xml:space="preserve">사내</t>
  </si>
  <si>
    <t xml:space="preserve">이수현황  (직원 × 과정)</t>
  </si>
  <si>
    <t xml:space="preserve">오늘</t>
  </si>
  <si>
    <t xml:space="preserve">기한초과</t>
  </si>
  <si>
    <t xml:space="preserve">임박</t>
  </si>
  <si>
    <t xml:space="preserve">최근 이수일</t>
  </si>
  <si>
    <t xml:space="preserve">다음 기한</t>
  </si>
  <si>
    <t xml:space="preserve">D-Day</t>
  </si>
  <si>
    <t xml:space="preserve">상태</t>
  </si>
  <si>
    <t xml:space="preserve">※ 직원 40명 × 과정 12개까지 표시됩니다. 퇴사자는 제외됩니다.</t>
  </si>
  <si>
    <t xml:space="preserve">※ 한 번도 이수하지 않았으면 입사일 + 주기로 첫 기한을 잡습니다.</t>
  </si>
  <si>
    <t xml:space="preserve">미이수현황  (기한 초과 · 임박)</t>
  </si>
  <si>
    <t xml:space="preserve">해당 건수</t>
  </si>
  <si>
    <t xml:space="preserve">순번</t>
  </si>
  <si>
    <r>
      <rPr>
        <sz val="9"/>
        <color rgb="FF808080"/>
        <rFont val="맑은 고딕"/>
        <family val="0"/>
        <charset val="1"/>
      </rPr>
      <t xml:space="preserve">※ 120</t>
    </r>
    <r>
      <rPr>
        <sz val="9"/>
        <color rgb="FF808080"/>
        <rFont val="Noto Sans CJK SC"/>
        <family val="2"/>
        <charset val="1"/>
      </rPr>
      <t xml:space="preserve">건까지 표시됩니다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</si>
  <si>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과정별집계</t>
  </si>
  <si>
    <t xml:space="preserve">대상 연도</t>
  </si>
  <si>
    <t xml:space="preserve">연간 이수 건수</t>
  </si>
  <si>
    <t xml:space="preserve">이수 인원</t>
  </si>
  <si>
    <t xml:space="preserve">총 이수시간</t>
  </si>
  <si>
    <t xml:space="preserve">미이수 인원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</si>
</sst>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0.##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b val="true"/>
      <sz val="1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9"/>
      <color rgb="FF808080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1" customFormat="false" ht="15" hidden="false" customHeight="true" outlineLevel="0" collapsed="false">
      <c r="B11" s="3" t="s">
        <v>15</v>
      </c>
      <c r="C11" s="4" t="s">
        <v>16</v>
      </c>
    </row>
    <row r="12" customFormat="false" ht="15" hidden="false" customHeight="true" outlineLevel="0" collapsed="false">
      <c r="B12" s="3" t="s">
        <v>17</v>
      </c>
      <c r="C12" s="4" t="s">
        <v>18</v>
      </c>
    </row>
    <row r="13" customFormat="false" ht="15" hidden="false" customHeight="true" outlineLevel="0" collapsed="false">
      <c r="B13" s="3" t="s">
        <v>19</v>
      </c>
      <c r="C13" s="4" t="s">
        <v>20</v>
      </c>
    </row>
    <row r="15" customFormat="false" ht="15" hidden="false" customHeight="true" outlineLevel="0" collapsed="false">
      <c r="B15" s="5" t="s">
        <v>21</v>
      </c>
      <c r="C15" s="6" t="s">
        <v>22</v>
      </c>
    </row>
    <row r="16" customFormat="false" ht="15" hidden="false" customHeight="true" outlineLevel="0" collapsed="false">
      <c r="B16" s="4" t="s">
        <v>23</v>
      </c>
      <c r="C16" s="7" t="n">
        <v>30</v>
      </c>
    </row>
    <row r="18" customFormat="false" ht="15" hidden="false" customHeight="true" outlineLevel="0" collapsed="false">
      <c r="B18" s="6" t="s">
        <v>24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6" min="5" style="1" width="13"/>
  </cols>
  <sheetData>
    <row r="1" customFormat="false" ht="25.5" hidden="false" customHeight="true" outlineLevel="0" collapsed="false">
      <c r="A1" s="2" t="s">
        <v>25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</row>
    <row r="3" customFormat="false" ht="15" hidden="false" customHeight="true" outlineLevel="0" collapsed="false">
      <c r="A3" s="9" t="s">
        <v>32</v>
      </c>
      <c r="B3" s="10" t="s">
        <v>33</v>
      </c>
      <c r="C3" s="10" t="s">
        <v>34</v>
      </c>
      <c r="D3" s="10" t="s">
        <v>35</v>
      </c>
      <c r="E3" s="11" t="n">
        <v>45353</v>
      </c>
      <c r="F3" s="10" t="s">
        <v>36</v>
      </c>
    </row>
    <row r="4" customFormat="false" ht="15" hidden="false" customHeight="true" outlineLevel="0" collapsed="false">
      <c r="A4" s="9" t="s">
        <v>37</v>
      </c>
      <c r="B4" s="10" t="s">
        <v>38</v>
      </c>
      <c r="C4" s="10" t="s">
        <v>34</v>
      </c>
      <c r="D4" s="10" t="s">
        <v>39</v>
      </c>
      <c r="E4" s="11" t="n">
        <v>45061</v>
      </c>
      <c r="F4" s="10" t="s">
        <v>36</v>
      </c>
    </row>
    <row r="5" customFormat="false" ht="15" hidden="false" customHeight="true" outlineLevel="0" collapsed="false">
      <c r="A5" s="9" t="s">
        <v>40</v>
      </c>
      <c r="B5" s="10" t="s">
        <v>41</v>
      </c>
      <c r="C5" s="10" t="s">
        <v>42</v>
      </c>
      <c r="D5" s="10" t="s">
        <v>43</v>
      </c>
      <c r="E5" s="11" t="n">
        <v>44571</v>
      </c>
      <c r="F5" s="10" t="s">
        <v>36</v>
      </c>
    </row>
    <row r="6" customFormat="false" ht="15" hidden="false" customHeight="true" outlineLevel="0" collapsed="false">
      <c r="A6" s="9"/>
      <c r="B6" s="9"/>
      <c r="C6" s="9"/>
      <c r="D6" s="9"/>
      <c r="E6" s="11"/>
      <c r="F6" s="10"/>
    </row>
    <row r="7" customFormat="false" ht="15" hidden="false" customHeight="true" outlineLevel="0" collapsed="false">
      <c r="A7" s="9"/>
      <c r="B7" s="9"/>
      <c r="C7" s="9"/>
      <c r="D7" s="9"/>
      <c r="E7" s="11"/>
      <c r="F7" s="10"/>
    </row>
    <row r="8" customFormat="false" ht="15" hidden="false" customHeight="true" outlineLevel="0" collapsed="false">
      <c r="A8" s="9"/>
      <c r="B8" s="9"/>
      <c r="C8" s="9"/>
      <c r="D8" s="9"/>
      <c r="E8" s="11"/>
      <c r="F8" s="10"/>
    </row>
    <row r="9" customFormat="false" ht="15" hidden="false" customHeight="true" outlineLevel="0" collapsed="false">
      <c r="A9" s="9"/>
      <c r="B9" s="9"/>
      <c r="C9" s="9"/>
      <c r="D9" s="9"/>
      <c r="E9" s="11"/>
      <c r="F9" s="10"/>
    </row>
    <row r="10" customFormat="false" ht="15" hidden="false" customHeight="true" outlineLevel="0" collapsed="false">
      <c r="A10" s="9"/>
      <c r="B10" s="9"/>
      <c r="C10" s="9"/>
      <c r="D10" s="9"/>
      <c r="E10" s="11"/>
      <c r="F10" s="10"/>
    </row>
    <row r="11" customFormat="false" ht="15" hidden="false" customHeight="true" outlineLevel="0" collapsed="false">
      <c r="A11" s="9"/>
      <c r="B11" s="9"/>
      <c r="C11" s="9"/>
      <c r="D11" s="9"/>
      <c r="E11" s="11"/>
      <c r="F11" s="10"/>
    </row>
    <row r="12" customFormat="false" ht="15" hidden="false" customHeight="true" outlineLevel="0" collapsed="false">
      <c r="A12" s="9"/>
      <c r="B12" s="9"/>
      <c r="C12" s="9"/>
      <c r="D12" s="9"/>
      <c r="E12" s="11"/>
      <c r="F12" s="10"/>
    </row>
    <row r="13" customFormat="false" ht="15" hidden="false" customHeight="true" outlineLevel="0" collapsed="false">
      <c r="A13" s="9"/>
      <c r="B13" s="9"/>
      <c r="C13" s="9"/>
      <c r="D13" s="9"/>
      <c r="E13" s="11"/>
      <c r="F13" s="10"/>
    </row>
    <row r="14" customFormat="false" ht="15" hidden="false" customHeight="true" outlineLevel="0" collapsed="false">
      <c r="A14" s="9"/>
      <c r="B14" s="9"/>
      <c r="C14" s="9"/>
      <c r="D14" s="9"/>
      <c r="E14" s="11"/>
      <c r="F14" s="10"/>
    </row>
    <row r="15" customFormat="false" ht="15" hidden="false" customHeight="true" outlineLevel="0" collapsed="false">
      <c r="A15" s="9"/>
      <c r="B15" s="9"/>
      <c r="C15" s="9"/>
      <c r="D15" s="9"/>
      <c r="E15" s="11"/>
      <c r="F15" s="10"/>
    </row>
    <row r="16" customFormat="false" ht="15" hidden="false" customHeight="true" outlineLevel="0" collapsed="false">
      <c r="A16" s="9"/>
      <c r="B16" s="9"/>
      <c r="C16" s="9"/>
      <c r="D16" s="9"/>
      <c r="E16" s="11"/>
      <c r="F16" s="10"/>
    </row>
    <row r="17" customFormat="false" ht="15" hidden="false" customHeight="true" outlineLevel="0" collapsed="false">
      <c r="A17" s="9"/>
      <c r="B17" s="9"/>
      <c r="C17" s="9"/>
      <c r="D17" s="9"/>
      <c r="E17" s="11"/>
      <c r="F17" s="10"/>
    </row>
    <row r="18" customFormat="false" ht="15" hidden="false" customHeight="true" outlineLevel="0" collapsed="false">
      <c r="A18" s="9"/>
      <c r="B18" s="9"/>
      <c r="C18" s="9"/>
      <c r="D18" s="9"/>
      <c r="E18" s="11"/>
      <c r="F18" s="10"/>
    </row>
    <row r="19" customFormat="false" ht="15" hidden="false" customHeight="true" outlineLevel="0" collapsed="false">
      <c r="A19" s="9"/>
      <c r="B19" s="9"/>
      <c r="C19" s="9"/>
      <c r="D19" s="9"/>
      <c r="E19" s="11"/>
      <c r="F19" s="10"/>
    </row>
    <row r="20" customFormat="false" ht="15" hidden="false" customHeight="true" outlineLevel="0" collapsed="false">
      <c r="A20" s="9"/>
      <c r="B20" s="9"/>
      <c r="C20" s="9"/>
      <c r="D20" s="9"/>
      <c r="E20" s="11"/>
      <c r="F20" s="10"/>
    </row>
    <row r="21" customFormat="false" ht="15" hidden="false" customHeight="true" outlineLevel="0" collapsed="false">
      <c r="A21" s="9"/>
      <c r="B21" s="9"/>
      <c r="C21" s="9"/>
      <c r="D21" s="9"/>
      <c r="E21" s="11"/>
      <c r="F21" s="10"/>
    </row>
    <row r="22" customFormat="false" ht="15" hidden="false" customHeight="true" outlineLevel="0" collapsed="false">
      <c r="A22" s="9"/>
      <c r="B22" s="9"/>
      <c r="C22" s="9"/>
      <c r="D22" s="9"/>
      <c r="E22" s="11"/>
      <c r="F22" s="10"/>
    </row>
    <row r="23" customFormat="false" ht="15" hidden="false" customHeight="true" outlineLevel="0" collapsed="false">
      <c r="A23" s="9"/>
      <c r="B23" s="9"/>
      <c r="C23" s="9"/>
      <c r="D23" s="9"/>
      <c r="E23" s="11"/>
      <c r="F23" s="10"/>
    </row>
    <row r="24" customFormat="false" ht="15" hidden="false" customHeight="true" outlineLevel="0" collapsed="false">
      <c r="A24" s="9"/>
      <c r="B24" s="9"/>
      <c r="C24" s="9"/>
      <c r="D24" s="9"/>
      <c r="E24" s="11"/>
      <c r="F24" s="10"/>
    </row>
    <row r="25" customFormat="false" ht="15" hidden="false" customHeight="true" outlineLevel="0" collapsed="false">
      <c r="A25" s="9"/>
      <c r="B25" s="9"/>
      <c r="C25" s="9"/>
      <c r="D25" s="9"/>
      <c r="E25" s="11"/>
      <c r="F25" s="10"/>
    </row>
    <row r="26" customFormat="false" ht="15" hidden="false" customHeight="true" outlineLevel="0" collapsed="false">
      <c r="A26" s="9"/>
      <c r="B26" s="9"/>
      <c r="C26" s="9"/>
      <c r="D26" s="9"/>
      <c r="E26" s="11"/>
      <c r="F26" s="10"/>
    </row>
    <row r="27" customFormat="false" ht="15" hidden="false" customHeight="true" outlineLevel="0" collapsed="false">
      <c r="A27" s="9"/>
      <c r="B27" s="9"/>
      <c r="C27" s="9"/>
      <c r="D27" s="9"/>
      <c r="E27" s="11"/>
      <c r="F27" s="10"/>
    </row>
    <row r="28" customFormat="false" ht="15" hidden="false" customHeight="true" outlineLevel="0" collapsed="false">
      <c r="A28" s="9"/>
      <c r="B28" s="9"/>
      <c r="C28" s="9"/>
      <c r="D28" s="9"/>
      <c r="E28" s="11"/>
      <c r="F28" s="10"/>
    </row>
    <row r="29" customFormat="false" ht="15" hidden="false" customHeight="true" outlineLevel="0" collapsed="false">
      <c r="A29" s="9"/>
      <c r="B29" s="9"/>
      <c r="C29" s="9"/>
      <c r="D29" s="9"/>
      <c r="E29" s="11"/>
      <c r="F29" s="10"/>
    </row>
    <row r="30" customFormat="false" ht="15" hidden="false" customHeight="true" outlineLevel="0" collapsed="false">
      <c r="A30" s="9"/>
      <c r="B30" s="9"/>
      <c r="C30" s="9"/>
      <c r="D30" s="9"/>
      <c r="E30" s="11"/>
      <c r="F30" s="10"/>
    </row>
    <row r="31" customFormat="false" ht="15" hidden="false" customHeight="true" outlineLevel="0" collapsed="false">
      <c r="A31" s="9"/>
      <c r="B31" s="9"/>
      <c r="C31" s="9"/>
      <c r="D31" s="9"/>
      <c r="E31" s="11"/>
      <c r="F31" s="10"/>
    </row>
    <row r="32" customFormat="false" ht="15" hidden="false" customHeight="true" outlineLevel="0" collapsed="false">
      <c r="A32" s="9"/>
      <c r="B32" s="9"/>
      <c r="C32" s="9"/>
      <c r="D32" s="9"/>
      <c r="E32" s="11"/>
      <c r="F32" s="10"/>
    </row>
    <row r="33" customFormat="false" ht="15" hidden="false" customHeight="true" outlineLevel="0" collapsed="false">
      <c r="A33" s="9"/>
      <c r="B33" s="9"/>
      <c r="C33" s="9"/>
      <c r="D33" s="9"/>
      <c r="E33" s="11"/>
      <c r="F33" s="10"/>
    </row>
    <row r="34" customFormat="false" ht="15" hidden="false" customHeight="true" outlineLevel="0" collapsed="false">
      <c r="A34" s="9"/>
      <c r="B34" s="9"/>
      <c r="C34" s="9"/>
      <c r="D34" s="9"/>
      <c r="E34" s="11"/>
      <c r="F34" s="10"/>
    </row>
    <row r="35" customFormat="false" ht="15" hidden="false" customHeight="true" outlineLevel="0" collapsed="false">
      <c r="A35" s="9"/>
      <c r="B35" s="9"/>
      <c r="C35" s="9"/>
      <c r="D35" s="9"/>
      <c r="E35" s="11"/>
      <c r="F35" s="10"/>
    </row>
    <row r="36" customFormat="false" ht="15" hidden="false" customHeight="true" outlineLevel="0" collapsed="false">
      <c r="A36" s="9"/>
      <c r="B36" s="9"/>
      <c r="C36" s="9"/>
      <c r="D36" s="9"/>
      <c r="E36" s="11"/>
      <c r="F36" s="10"/>
    </row>
    <row r="37" customFormat="false" ht="15" hidden="false" customHeight="true" outlineLevel="0" collapsed="false">
      <c r="A37" s="9"/>
      <c r="B37" s="9"/>
      <c r="C37" s="9"/>
      <c r="D37" s="9"/>
      <c r="E37" s="11"/>
      <c r="F37" s="10"/>
    </row>
    <row r="38" customFormat="false" ht="15" hidden="false" customHeight="true" outlineLevel="0" collapsed="false">
      <c r="A38" s="9"/>
      <c r="B38" s="9"/>
      <c r="C38" s="9"/>
      <c r="D38" s="9"/>
      <c r="E38" s="11"/>
      <c r="F38" s="10"/>
    </row>
    <row r="39" customFormat="false" ht="15" hidden="false" customHeight="true" outlineLevel="0" collapsed="false">
      <c r="A39" s="9"/>
      <c r="B39" s="9"/>
      <c r="C39" s="9"/>
      <c r="D39" s="9"/>
      <c r="E39" s="11"/>
      <c r="F39" s="10"/>
    </row>
    <row r="40" customFormat="false" ht="15" hidden="false" customHeight="true" outlineLevel="0" collapsed="false">
      <c r="A40" s="9"/>
      <c r="B40" s="9"/>
      <c r="C40" s="9"/>
      <c r="D40" s="9"/>
      <c r="E40" s="11"/>
      <c r="F40" s="10"/>
    </row>
    <row r="41" customFormat="false" ht="15" hidden="false" customHeight="true" outlineLevel="0" collapsed="false">
      <c r="A41" s="9"/>
      <c r="B41" s="9"/>
      <c r="C41" s="9"/>
      <c r="D41" s="9"/>
      <c r="E41" s="11"/>
      <c r="F41" s="10"/>
    </row>
    <row r="42" customFormat="false" ht="15" hidden="false" customHeight="true" outlineLevel="0" collapsed="false">
      <c r="A42" s="9"/>
      <c r="B42" s="9"/>
      <c r="C42" s="9"/>
      <c r="D42" s="9"/>
      <c r="E42" s="11"/>
      <c r="F42" s="10"/>
    </row>
    <row r="43" customFormat="false" ht="15" hidden="false" customHeight="true" outlineLevel="0" collapsed="false">
      <c r="A43" s="9"/>
      <c r="B43" s="9"/>
      <c r="C43" s="9"/>
      <c r="D43" s="9"/>
      <c r="E43" s="11"/>
      <c r="F43" s="10"/>
    </row>
    <row r="44" customFormat="false" ht="15" hidden="false" customHeight="true" outlineLevel="0" collapsed="false">
      <c r="A44" s="9"/>
      <c r="B44" s="9"/>
      <c r="C44" s="9"/>
      <c r="D44" s="9"/>
      <c r="E44" s="11"/>
      <c r="F44" s="10"/>
    </row>
    <row r="45" customFormat="false" ht="15" hidden="false" customHeight="true" outlineLevel="0" collapsed="false">
      <c r="A45" s="9"/>
      <c r="B45" s="9"/>
      <c r="C45" s="9"/>
      <c r="D45" s="9"/>
      <c r="E45" s="11"/>
      <c r="F45" s="10"/>
    </row>
    <row r="46" customFormat="false" ht="15" hidden="false" customHeight="true" outlineLevel="0" collapsed="false">
      <c r="A46" s="9"/>
      <c r="B46" s="9"/>
      <c r="C46" s="9"/>
      <c r="D46" s="9"/>
      <c r="E46" s="11"/>
      <c r="F46" s="10"/>
    </row>
    <row r="47" customFormat="false" ht="15" hidden="false" customHeight="true" outlineLevel="0" collapsed="false">
      <c r="A47" s="9"/>
      <c r="B47" s="9"/>
      <c r="C47" s="9"/>
      <c r="D47" s="9"/>
      <c r="E47" s="11"/>
      <c r="F47" s="10"/>
    </row>
    <row r="48" customFormat="false" ht="15" hidden="false" customHeight="true" outlineLevel="0" collapsed="false">
      <c r="A48" s="9"/>
      <c r="B48" s="9"/>
      <c r="C48" s="9"/>
      <c r="D48" s="9"/>
      <c r="E48" s="11"/>
      <c r="F48" s="10"/>
    </row>
    <row r="49" customFormat="false" ht="15" hidden="false" customHeight="true" outlineLevel="0" collapsed="false">
      <c r="A49" s="9"/>
      <c r="B49" s="9"/>
      <c r="C49" s="9"/>
      <c r="D49" s="9"/>
      <c r="E49" s="11"/>
      <c r="F49" s="10"/>
    </row>
    <row r="50" customFormat="false" ht="15" hidden="false" customHeight="true" outlineLevel="0" collapsed="false">
      <c r="A50" s="9"/>
      <c r="B50" s="9"/>
      <c r="C50" s="9"/>
      <c r="D50" s="9"/>
      <c r="E50" s="11"/>
      <c r="F50" s="10"/>
    </row>
    <row r="51" customFormat="false" ht="15" hidden="false" customHeight="true" outlineLevel="0" collapsed="false">
      <c r="A51" s="9"/>
      <c r="B51" s="9"/>
      <c r="C51" s="9"/>
      <c r="D51" s="9"/>
      <c r="E51" s="11"/>
      <c r="F51" s="10"/>
    </row>
    <row r="52" customFormat="false" ht="15" hidden="false" customHeight="true" outlineLevel="0" collapsed="false">
      <c r="A52" s="9"/>
      <c r="B52" s="9"/>
      <c r="C52" s="9"/>
      <c r="D52" s="9"/>
      <c r="E52" s="11"/>
      <c r="F52" s="10"/>
    </row>
    <row r="53" customFormat="false" ht="15" hidden="false" customHeight="true" outlineLevel="0" collapsed="false">
      <c r="A53" s="9"/>
      <c r="B53" s="9"/>
      <c r="C53" s="9"/>
      <c r="D53" s="9"/>
      <c r="E53" s="11"/>
      <c r="F53" s="10"/>
    </row>
    <row r="54" customFormat="false" ht="15" hidden="false" customHeight="true" outlineLevel="0" collapsed="false">
      <c r="A54" s="9"/>
      <c r="B54" s="9"/>
      <c r="C54" s="9"/>
      <c r="D54" s="9"/>
      <c r="E54" s="11"/>
      <c r="F54" s="10"/>
    </row>
    <row r="55" customFormat="false" ht="15" hidden="false" customHeight="true" outlineLevel="0" collapsed="false">
      <c r="A55" s="9"/>
      <c r="B55" s="9"/>
      <c r="C55" s="9"/>
      <c r="D55" s="9"/>
      <c r="E55" s="11"/>
      <c r="F55" s="10"/>
    </row>
    <row r="56" customFormat="false" ht="15" hidden="false" customHeight="true" outlineLevel="0" collapsed="false">
      <c r="A56" s="9"/>
      <c r="B56" s="9"/>
      <c r="C56" s="9"/>
      <c r="D56" s="9"/>
      <c r="E56" s="11"/>
      <c r="F56" s="10"/>
    </row>
    <row r="57" customFormat="false" ht="15" hidden="false" customHeight="true" outlineLevel="0" collapsed="false">
      <c r="A57" s="9"/>
      <c r="B57" s="9"/>
      <c r="C57" s="9"/>
      <c r="D57" s="9"/>
      <c r="E57" s="11"/>
      <c r="F57" s="10"/>
    </row>
    <row r="58" customFormat="false" ht="15" hidden="false" customHeight="true" outlineLevel="0" collapsed="false">
      <c r="A58" s="9"/>
      <c r="B58" s="9"/>
      <c r="C58" s="9"/>
      <c r="D58" s="9"/>
      <c r="E58" s="11"/>
      <c r="F58" s="10"/>
    </row>
    <row r="59" customFormat="false" ht="15" hidden="false" customHeight="true" outlineLevel="0" collapsed="false">
      <c r="A59" s="9"/>
      <c r="B59" s="9"/>
      <c r="C59" s="9"/>
      <c r="D59" s="9"/>
      <c r="E59" s="11"/>
      <c r="F59" s="10"/>
    </row>
    <row r="60" customFormat="false" ht="15" hidden="false" customHeight="true" outlineLevel="0" collapsed="false">
      <c r="A60" s="9"/>
      <c r="B60" s="9"/>
      <c r="C60" s="9"/>
      <c r="D60" s="9"/>
      <c r="E60" s="11"/>
      <c r="F60" s="10"/>
    </row>
    <row r="61" customFormat="false" ht="15" hidden="false" customHeight="true" outlineLevel="0" collapsed="false">
      <c r="A61" s="9"/>
      <c r="B61" s="9"/>
      <c r="C61" s="9"/>
      <c r="D61" s="9"/>
      <c r="E61" s="11"/>
      <c r="F61" s="10"/>
    </row>
    <row r="62" customFormat="false" ht="15" hidden="false" customHeight="true" outlineLevel="0" collapsed="false">
      <c r="A62" s="9"/>
      <c r="B62" s="9"/>
      <c r="C62" s="9"/>
      <c r="D62" s="9"/>
      <c r="E62" s="11"/>
      <c r="F62" s="10"/>
    </row>
    <row r="63" customFormat="false" ht="15" hidden="false" customHeight="true" outlineLevel="0" collapsed="false">
      <c r="A63" s="9"/>
      <c r="B63" s="9"/>
      <c r="C63" s="9"/>
      <c r="D63" s="9"/>
      <c r="E63" s="11"/>
      <c r="F63" s="10"/>
    </row>
    <row r="64" customFormat="false" ht="15" hidden="false" customHeight="true" outlineLevel="0" collapsed="false">
      <c r="A64" s="9"/>
      <c r="B64" s="9"/>
      <c r="C64" s="9"/>
      <c r="D64" s="9"/>
      <c r="E64" s="11"/>
      <c r="F64" s="10"/>
    </row>
    <row r="65" customFormat="false" ht="15" hidden="false" customHeight="true" outlineLevel="0" collapsed="false">
      <c r="A65" s="9"/>
      <c r="B65" s="9"/>
      <c r="C65" s="9"/>
      <c r="D65" s="9"/>
      <c r="E65" s="11"/>
      <c r="F65" s="10"/>
    </row>
    <row r="66" customFormat="false" ht="15" hidden="false" customHeight="true" outlineLevel="0" collapsed="false">
      <c r="A66" s="9"/>
      <c r="B66" s="9"/>
      <c r="C66" s="9"/>
      <c r="D66" s="9"/>
      <c r="E66" s="11"/>
      <c r="F66" s="10"/>
    </row>
    <row r="67" customFormat="false" ht="15" hidden="false" customHeight="true" outlineLevel="0" collapsed="false">
      <c r="A67" s="9"/>
      <c r="B67" s="9"/>
      <c r="C67" s="9"/>
      <c r="D67" s="9"/>
      <c r="E67" s="11"/>
      <c r="F67" s="10"/>
    </row>
    <row r="68" customFormat="false" ht="15" hidden="false" customHeight="true" outlineLevel="0" collapsed="false">
      <c r="A68" s="9"/>
      <c r="B68" s="9"/>
      <c r="C68" s="9"/>
      <c r="D68" s="9"/>
      <c r="E68" s="11"/>
      <c r="F68" s="10"/>
    </row>
    <row r="69" customFormat="false" ht="15" hidden="false" customHeight="true" outlineLevel="0" collapsed="false">
      <c r="A69" s="9"/>
      <c r="B69" s="9"/>
      <c r="C69" s="9"/>
      <c r="D69" s="9"/>
      <c r="E69" s="11"/>
      <c r="F69" s="10"/>
    </row>
    <row r="70" customFormat="false" ht="15" hidden="false" customHeight="true" outlineLevel="0" collapsed="false">
      <c r="A70" s="9"/>
      <c r="B70" s="9"/>
      <c r="C70" s="9"/>
      <c r="D70" s="9"/>
      <c r="E70" s="11"/>
      <c r="F70" s="10"/>
    </row>
    <row r="71" customFormat="false" ht="15" hidden="false" customHeight="true" outlineLevel="0" collapsed="false">
      <c r="A71" s="9"/>
      <c r="B71" s="9"/>
      <c r="C71" s="9"/>
      <c r="D71" s="9"/>
      <c r="E71" s="11"/>
      <c r="F71" s="10"/>
    </row>
    <row r="72" customFormat="false" ht="15" hidden="false" customHeight="true" outlineLevel="0" collapsed="false">
      <c r="A72" s="9"/>
      <c r="B72" s="9"/>
      <c r="C72" s="9"/>
      <c r="D72" s="9"/>
      <c r="E72" s="11"/>
      <c r="F72" s="10"/>
    </row>
    <row r="73" customFormat="false" ht="15" hidden="false" customHeight="true" outlineLevel="0" collapsed="false">
      <c r="A73" s="9"/>
      <c r="B73" s="9"/>
      <c r="C73" s="9"/>
      <c r="D73" s="9"/>
      <c r="E73" s="11"/>
      <c r="F73" s="10"/>
    </row>
    <row r="74" customFormat="false" ht="15" hidden="false" customHeight="true" outlineLevel="0" collapsed="false">
      <c r="A74" s="9"/>
      <c r="B74" s="9"/>
      <c r="C74" s="9"/>
      <c r="D74" s="9"/>
      <c r="E74" s="11"/>
      <c r="F74" s="10"/>
    </row>
    <row r="75" customFormat="false" ht="15" hidden="false" customHeight="true" outlineLevel="0" collapsed="false">
      <c r="A75" s="9"/>
      <c r="B75" s="9"/>
      <c r="C75" s="9"/>
      <c r="D75" s="9"/>
      <c r="E75" s="11"/>
      <c r="F75" s="10"/>
    </row>
    <row r="76" customFormat="false" ht="15" hidden="false" customHeight="true" outlineLevel="0" collapsed="false">
      <c r="A76" s="9"/>
      <c r="B76" s="9"/>
      <c r="C76" s="9"/>
      <c r="D76" s="9"/>
      <c r="E76" s="11"/>
      <c r="F76" s="10"/>
    </row>
    <row r="77" customFormat="false" ht="15" hidden="false" customHeight="true" outlineLevel="0" collapsed="false">
      <c r="A77" s="9"/>
      <c r="B77" s="9"/>
      <c r="C77" s="9"/>
      <c r="D77" s="9"/>
      <c r="E77" s="11"/>
      <c r="F77" s="10"/>
    </row>
    <row r="78" customFormat="false" ht="15" hidden="false" customHeight="true" outlineLevel="0" collapsed="false">
      <c r="A78" s="9"/>
      <c r="B78" s="9"/>
      <c r="C78" s="9"/>
      <c r="D78" s="9"/>
      <c r="E78" s="11"/>
      <c r="F78" s="10"/>
    </row>
    <row r="79" customFormat="false" ht="15" hidden="false" customHeight="true" outlineLevel="0" collapsed="false">
      <c r="A79" s="9"/>
      <c r="B79" s="9"/>
      <c r="C79" s="9"/>
      <c r="D79" s="9"/>
      <c r="E79" s="11"/>
      <c r="F79" s="10"/>
    </row>
    <row r="80" customFormat="false" ht="15" hidden="false" customHeight="true" outlineLevel="0" collapsed="false">
      <c r="A80" s="9"/>
      <c r="B80" s="9"/>
      <c r="C80" s="9"/>
      <c r="D80" s="9"/>
      <c r="E80" s="11"/>
      <c r="F80" s="10"/>
    </row>
    <row r="81" customFormat="false" ht="15" hidden="false" customHeight="true" outlineLevel="0" collapsed="false">
      <c r="A81" s="9"/>
      <c r="B81" s="9"/>
      <c r="C81" s="9"/>
      <c r="D81" s="9"/>
      <c r="E81" s="11"/>
      <c r="F81" s="10"/>
    </row>
    <row r="82" customFormat="false" ht="15" hidden="false" customHeight="true" outlineLevel="0" collapsed="false">
      <c r="A82" s="9"/>
      <c r="B82" s="9"/>
      <c r="C82" s="9"/>
      <c r="D82" s="9"/>
      <c r="E82" s="11"/>
      <c r="F82" s="10"/>
    </row>
    <row r="83" customFormat="false" ht="15" hidden="false" customHeight="true" outlineLevel="0" collapsed="false">
      <c r="A83" s="9"/>
      <c r="B83" s="9"/>
      <c r="C83" s="9"/>
      <c r="D83" s="9"/>
      <c r="E83" s="11"/>
      <c r="F83" s="10"/>
    </row>
    <row r="84" customFormat="false" ht="15" hidden="false" customHeight="true" outlineLevel="0" collapsed="false">
      <c r="A84" s="9"/>
      <c r="B84" s="9"/>
      <c r="C84" s="9"/>
      <c r="D84" s="9"/>
      <c r="E84" s="11"/>
      <c r="F84" s="10"/>
    </row>
    <row r="85" customFormat="false" ht="15" hidden="false" customHeight="true" outlineLevel="0" collapsed="false">
      <c r="A85" s="9"/>
      <c r="B85" s="9"/>
      <c r="C85" s="9"/>
      <c r="D85" s="9"/>
      <c r="E85" s="11"/>
      <c r="F85" s="10"/>
    </row>
    <row r="86" customFormat="false" ht="15" hidden="false" customHeight="true" outlineLevel="0" collapsed="false">
      <c r="A86" s="9"/>
      <c r="B86" s="9"/>
      <c r="C86" s="9"/>
      <c r="D86" s="9"/>
      <c r="E86" s="11"/>
      <c r="F86" s="10"/>
    </row>
    <row r="87" customFormat="false" ht="15" hidden="false" customHeight="true" outlineLevel="0" collapsed="false">
      <c r="A87" s="9"/>
      <c r="B87" s="9"/>
      <c r="C87" s="9"/>
      <c r="D87" s="9"/>
      <c r="E87" s="11"/>
      <c r="F87" s="10"/>
    </row>
    <row r="88" customFormat="false" ht="15" hidden="false" customHeight="true" outlineLevel="0" collapsed="false">
      <c r="A88" s="9"/>
      <c r="B88" s="9"/>
      <c r="C88" s="9"/>
      <c r="D88" s="9"/>
      <c r="E88" s="11"/>
      <c r="F88" s="10"/>
    </row>
    <row r="89" customFormat="false" ht="15" hidden="false" customHeight="true" outlineLevel="0" collapsed="false">
      <c r="A89" s="9"/>
      <c r="B89" s="9"/>
      <c r="C89" s="9"/>
      <c r="D89" s="9"/>
      <c r="E89" s="11"/>
      <c r="F89" s="10"/>
    </row>
    <row r="90" customFormat="false" ht="15" hidden="false" customHeight="true" outlineLevel="0" collapsed="false">
      <c r="A90" s="9"/>
      <c r="B90" s="9"/>
      <c r="C90" s="9"/>
      <c r="D90" s="9"/>
      <c r="E90" s="11"/>
      <c r="F90" s="10"/>
    </row>
    <row r="91" customFormat="false" ht="15" hidden="false" customHeight="true" outlineLevel="0" collapsed="false">
      <c r="A91" s="9"/>
      <c r="B91" s="9"/>
      <c r="C91" s="9"/>
      <c r="D91" s="9"/>
      <c r="E91" s="11"/>
      <c r="F91" s="10"/>
    </row>
    <row r="92" customFormat="false" ht="15" hidden="false" customHeight="true" outlineLevel="0" collapsed="false">
      <c r="A92" s="9"/>
      <c r="B92" s="9"/>
      <c r="C92" s="9"/>
      <c r="D92" s="9"/>
      <c r="E92" s="11"/>
      <c r="F92" s="10"/>
    </row>
    <row r="93" customFormat="false" ht="15" hidden="false" customHeight="true" outlineLevel="0" collapsed="false">
      <c r="A93" s="9"/>
      <c r="B93" s="9"/>
      <c r="C93" s="9"/>
      <c r="D93" s="9"/>
      <c r="E93" s="11"/>
      <c r="F93" s="10"/>
    </row>
    <row r="94" customFormat="false" ht="15" hidden="false" customHeight="true" outlineLevel="0" collapsed="false">
      <c r="A94" s="9"/>
      <c r="B94" s="9"/>
      <c r="C94" s="9"/>
      <c r="D94" s="9"/>
      <c r="E94" s="11"/>
      <c r="F94" s="10"/>
    </row>
    <row r="95" customFormat="false" ht="15" hidden="false" customHeight="true" outlineLevel="0" collapsed="false">
      <c r="A95" s="9"/>
      <c r="B95" s="9"/>
      <c r="C95" s="9"/>
      <c r="D95" s="9"/>
      <c r="E95" s="11"/>
      <c r="F95" s="10"/>
    </row>
    <row r="96" customFormat="false" ht="15" hidden="false" customHeight="true" outlineLevel="0" collapsed="false">
      <c r="A96" s="9"/>
      <c r="B96" s="9"/>
      <c r="C96" s="9"/>
      <c r="D96" s="9"/>
      <c r="E96" s="11"/>
      <c r="F96" s="10"/>
    </row>
    <row r="97" customFormat="false" ht="15" hidden="false" customHeight="true" outlineLevel="0" collapsed="false">
      <c r="A97" s="9"/>
      <c r="B97" s="9"/>
      <c r="C97" s="9"/>
      <c r="D97" s="9"/>
      <c r="E97" s="11"/>
      <c r="F97" s="10"/>
    </row>
    <row r="98" customFormat="false" ht="15" hidden="false" customHeight="true" outlineLevel="0" collapsed="false">
      <c r="A98" s="9"/>
      <c r="B98" s="9"/>
      <c r="C98" s="9"/>
      <c r="D98" s="9"/>
      <c r="E98" s="11"/>
      <c r="F98" s="10"/>
    </row>
    <row r="99" customFormat="false" ht="15" hidden="false" customHeight="true" outlineLevel="0" collapsed="false">
      <c r="A99" s="9"/>
      <c r="B99" s="9"/>
      <c r="C99" s="9"/>
      <c r="D99" s="9"/>
      <c r="E99" s="11"/>
      <c r="F99" s="10"/>
    </row>
    <row r="100" customFormat="false" ht="15" hidden="false" customHeight="true" outlineLevel="0" collapsed="false">
      <c r="A100" s="9"/>
      <c r="B100" s="9"/>
      <c r="C100" s="9"/>
      <c r="D100" s="9"/>
      <c r="E100" s="11"/>
      <c r="F100" s="10"/>
    </row>
    <row r="101" customFormat="false" ht="15" hidden="false" customHeight="true" outlineLevel="0" collapsed="false">
      <c r="A101" s="9"/>
      <c r="B101" s="9"/>
      <c r="C101" s="9"/>
      <c r="D101" s="9"/>
      <c r="E101" s="11"/>
      <c r="F101" s="10"/>
    </row>
    <row r="102" customFormat="false" ht="15" hidden="false" customHeight="true" outlineLevel="0" collapsed="false">
      <c r="A102" s="9"/>
      <c r="B102" s="9"/>
      <c r="C102" s="9"/>
      <c r="D102" s="9"/>
      <c r="E102" s="11"/>
      <c r="F102" s="10"/>
    </row>
    <row r="103" customFormat="false" ht="15" hidden="false" customHeight="true" outlineLevel="0" collapsed="false">
      <c r="A103" s="9"/>
      <c r="B103" s="9"/>
      <c r="C103" s="9"/>
      <c r="D103" s="9"/>
      <c r="E103" s="11"/>
      <c r="F103" s="10"/>
    </row>
    <row r="104" customFormat="false" ht="15" hidden="false" customHeight="true" outlineLevel="0" collapsed="false">
      <c r="A104" s="9"/>
      <c r="B104" s="9"/>
      <c r="C104" s="9"/>
      <c r="D104" s="9"/>
      <c r="E104" s="11"/>
      <c r="F104" s="10"/>
    </row>
    <row r="105" customFormat="false" ht="15" hidden="false" customHeight="true" outlineLevel="0" collapsed="false">
      <c r="A105" s="9"/>
      <c r="B105" s="9"/>
      <c r="C105" s="9"/>
      <c r="D105" s="9"/>
      <c r="E105" s="11"/>
      <c r="F105" s="10"/>
    </row>
    <row r="106" customFormat="false" ht="15" hidden="false" customHeight="true" outlineLevel="0" collapsed="false">
      <c r="A106" s="9"/>
      <c r="B106" s="9"/>
      <c r="C106" s="9"/>
      <c r="D106" s="9"/>
      <c r="E106" s="11"/>
      <c r="F106" s="10"/>
    </row>
    <row r="107" customFormat="false" ht="15" hidden="false" customHeight="true" outlineLevel="0" collapsed="false">
      <c r="A107" s="9"/>
      <c r="B107" s="9"/>
      <c r="C107" s="9"/>
      <c r="D107" s="9"/>
      <c r="E107" s="11"/>
      <c r="F107" s="10"/>
    </row>
    <row r="108" customFormat="false" ht="15" hidden="false" customHeight="true" outlineLevel="0" collapsed="false">
      <c r="A108" s="9"/>
      <c r="B108" s="9"/>
      <c r="C108" s="9"/>
      <c r="D108" s="9"/>
      <c r="E108" s="11"/>
      <c r="F108" s="10"/>
    </row>
    <row r="109" customFormat="false" ht="15" hidden="false" customHeight="true" outlineLevel="0" collapsed="false">
      <c r="A109" s="9"/>
      <c r="B109" s="9"/>
      <c r="C109" s="9"/>
      <c r="D109" s="9"/>
      <c r="E109" s="11"/>
      <c r="F109" s="10"/>
    </row>
    <row r="110" customFormat="false" ht="15" hidden="false" customHeight="true" outlineLevel="0" collapsed="false">
      <c r="A110" s="9"/>
      <c r="B110" s="9"/>
      <c r="C110" s="9"/>
      <c r="D110" s="9"/>
      <c r="E110" s="11"/>
      <c r="F110" s="10"/>
    </row>
    <row r="111" customFormat="false" ht="15" hidden="false" customHeight="true" outlineLevel="0" collapsed="false">
      <c r="A111" s="9"/>
      <c r="B111" s="9"/>
      <c r="C111" s="9"/>
      <c r="D111" s="9"/>
      <c r="E111" s="11"/>
      <c r="F111" s="10"/>
    </row>
    <row r="112" customFormat="false" ht="15" hidden="false" customHeight="true" outlineLevel="0" collapsed="false">
      <c r="A112" s="9"/>
      <c r="B112" s="9"/>
      <c r="C112" s="9"/>
      <c r="D112" s="9"/>
      <c r="E112" s="11"/>
      <c r="F112" s="10"/>
    </row>
    <row r="113" customFormat="false" ht="15" hidden="false" customHeight="true" outlineLevel="0" collapsed="false">
      <c r="A113" s="9"/>
      <c r="B113" s="9"/>
      <c r="C113" s="9"/>
      <c r="D113" s="9"/>
      <c r="E113" s="11"/>
      <c r="F113" s="10"/>
    </row>
    <row r="114" customFormat="false" ht="15" hidden="false" customHeight="true" outlineLevel="0" collapsed="false">
      <c r="A114" s="9"/>
      <c r="B114" s="9"/>
      <c r="C114" s="9"/>
      <c r="D114" s="9"/>
      <c r="E114" s="11"/>
      <c r="F114" s="10"/>
    </row>
    <row r="115" customFormat="false" ht="15" hidden="false" customHeight="true" outlineLevel="0" collapsed="false">
      <c r="A115" s="9"/>
      <c r="B115" s="9"/>
      <c r="C115" s="9"/>
      <c r="D115" s="9"/>
      <c r="E115" s="11"/>
      <c r="F115" s="10"/>
    </row>
    <row r="116" customFormat="false" ht="15" hidden="false" customHeight="true" outlineLevel="0" collapsed="false">
      <c r="A116" s="9"/>
      <c r="B116" s="9"/>
      <c r="C116" s="9"/>
      <c r="D116" s="9"/>
      <c r="E116" s="11"/>
      <c r="F116" s="10"/>
    </row>
    <row r="117" customFormat="false" ht="15" hidden="false" customHeight="true" outlineLevel="0" collapsed="false">
      <c r="A117" s="9"/>
      <c r="B117" s="9"/>
      <c r="C117" s="9"/>
      <c r="D117" s="9"/>
      <c r="E117" s="11"/>
      <c r="F117" s="10"/>
    </row>
    <row r="118" customFormat="false" ht="15" hidden="false" customHeight="true" outlineLevel="0" collapsed="false">
      <c r="A118" s="9"/>
      <c r="B118" s="9"/>
      <c r="C118" s="9"/>
      <c r="D118" s="9"/>
      <c r="E118" s="11"/>
      <c r="F118" s="10"/>
    </row>
    <row r="119" customFormat="false" ht="15" hidden="false" customHeight="true" outlineLevel="0" collapsed="false">
      <c r="A119" s="9"/>
      <c r="B119" s="9"/>
      <c r="C119" s="9"/>
      <c r="D119" s="9"/>
      <c r="E119" s="11"/>
      <c r="F119" s="10"/>
    </row>
    <row r="120" customFormat="false" ht="15" hidden="false" customHeight="true" outlineLevel="0" collapsed="false">
      <c r="A120" s="9"/>
      <c r="B120" s="9"/>
      <c r="C120" s="9"/>
      <c r="D120" s="9"/>
      <c r="E120" s="11"/>
      <c r="F120" s="10"/>
    </row>
    <row r="121" customFormat="false" ht="15" hidden="false" customHeight="true" outlineLevel="0" collapsed="false">
      <c r="A121" s="9"/>
      <c r="B121" s="9"/>
      <c r="C121" s="9"/>
      <c r="D121" s="9"/>
      <c r="E121" s="11"/>
      <c r="F121" s="10"/>
    </row>
    <row r="122" customFormat="false" ht="15" hidden="false" customHeight="true" outlineLevel="0" collapsed="false">
      <c r="A122" s="9"/>
      <c r="B122" s="9"/>
      <c r="C122" s="9"/>
      <c r="D122" s="9"/>
      <c r="E122" s="11"/>
      <c r="F122" s="10"/>
    </row>
    <row r="123" customFormat="false" ht="15" hidden="false" customHeight="true" outlineLevel="0" collapsed="false">
      <c r="A123" s="9"/>
      <c r="B123" s="9"/>
      <c r="C123" s="9"/>
      <c r="D123" s="9"/>
      <c r="E123" s="11"/>
      <c r="F123" s="10"/>
    </row>
    <row r="124" customFormat="false" ht="15" hidden="false" customHeight="true" outlineLevel="0" collapsed="false">
      <c r="A124" s="9"/>
      <c r="B124" s="9"/>
      <c r="C124" s="9"/>
      <c r="D124" s="9"/>
      <c r="E124" s="11"/>
      <c r="F124" s="10"/>
    </row>
    <row r="125" customFormat="false" ht="15" hidden="false" customHeight="true" outlineLevel="0" collapsed="false">
      <c r="A125" s="9"/>
      <c r="B125" s="9"/>
      <c r="C125" s="9"/>
      <c r="D125" s="9"/>
      <c r="E125" s="11"/>
      <c r="F125" s="10"/>
    </row>
    <row r="126" customFormat="false" ht="15" hidden="false" customHeight="true" outlineLevel="0" collapsed="false">
      <c r="A126" s="9"/>
      <c r="B126" s="9"/>
      <c r="C126" s="9"/>
      <c r="D126" s="9"/>
      <c r="E126" s="11"/>
      <c r="F126" s="10"/>
    </row>
    <row r="127" customFormat="false" ht="15" hidden="false" customHeight="true" outlineLevel="0" collapsed="false">
      <c r="A127" s="9"/>
      <c r="B127" s="9"/>
      <c r="C127" s="9"/>
      <c r="D127" s="9"/>
      <c r="E127" s="11"/>
      <c r="F127" s="10"/>
    </row>
    <row r="128" customFormat="false" ht="15" hidden="false" customHeight="true" outlineLevel="0" collapsed="false">
      <c r="A128" s="9"/>
      <c r="B128" s="9"/>
      <c r="C128" s="9"/>
      <c r="D128" s="9"/>
      <c r="E128" s="11"/>
      <c r="F128" s="10"/>
    </row>
    <row r="129" customFormat="false" ht="15" hidden="false" customHeight="true" outlineLevel="0" collapsed="false">
      <c r="A129" s="9"/>
      <c r="B129" s="9"/>
      <c r="C129" s="9"/>
      <c r="D129" s="9"/>
      <c r="E129" s="11"/>
      <c r="F129" s="10"/>
    </row>
    <row r="130" customFormat="false" ht="15" hidden="false" customHeight="true" outlineLevel="0" collapsed="false">
      <c r="A130" s="9"/>
      <c r="B130" s="9"/>
      <c r="C130" s="9"/>
      <c r="D130" s="9"/>
      <c r="E130" s="11"/>
      <c r="F130" s="10"/>
    </row>
    <row r="131" customFormat="false" ht="15" hidden="false" customHeight="true" outlineLevel="0" collapsed="false">
      <c r="A131" s="9"/>
      <c r="B131" s="9"/>
      <c r="C131" s="9"/>
      <c r="D131" s="9"/>
      <c r="E131" s="11"/>
      <c r="F131" s="10"/>
    </row>
    <row r="132" customFormat="false" ht="15" hidden="false" customHeight="true" outlineLevel="0" collapsed="false">
      <c r="A132" s="9"/>
      <c r="B132" s="9"/>
      <c r="C132" s="9"/>
      <c r="D132" s="9"/>
      <c r="E132" s="11"/>
      <c r="F132" s="10"/>
    </row>
    <row r="133" customFormat="false" ht="15" hidden="false" customHeight="true" outlineLevel="0" collapsed="false">
      <c r="A133" s="9"/>
      <c r="B133" s="9"/>
      <c r="C133" s="9"/>
      <c r="D133" s="9"/>
      <c r="E133" s="11"/>
      <c r="F133" s="10"/>
    </row>
    <row r="134" customFormat="false" ht="15" hidden="false" customHeight="true" outlineLevel="0" collapsed="false">
      <c r="A134" s="9"/>
      <c r="B134" s="9"/>
      <c r="C134" s="9"/>
      <c r="D134" s="9"/>
      <c r="E134" s="11"/>
      <c r="F134" s="10"/>
    </row>
    <row r="135" customFormat="false" ht="15" hidden="false" customHeight="true" outlineLevel="0" collapsed="false">
      <c r="A135" s="9"/>
      <c r="B135" s="9"/>
      <c r="C135" s="9"/>
      <c r="D135" s="9"/>
      <c r="E135" s="11"/>
      <c r="F135" s="10"/>
    </row>
    <row r="136" customFormat="false" ht="15" hidden="false" customHeight="true" outlineLevel="0" collapsed="false">
      <c r="A136" s="9"/>
      <c r="B136" s="9"/>
      <c r="C136" s="9"/>
      <c r="D136" s="9"/>
      <c r="E136" s="11"/>
      <c r="F136" s="10"/>
    </row>
    <row r="137" customFormat="false" ht="15" hidden="false" customHeight="true" outlineLevel="0" collapsed="false">
      <c r="A137" s="9"/>
      <c r="B137" s="9"/>
      <c r="C137" s="9"/>
      <c r="D137" s="9"/>
      <c r="E137" s="11"/>
      <c r="F137" s="10"/>
    </row>
    <row r="138" customFormat="false" ht="15" hidden="false" customHeight="true" outlineLevel="0" collapsed="false">
      <c r="A138" s="9"/>
      <c r="B138" s="9"/>
      <c r="C138" s="9"/>
      <c r="D138" s="9"/>
      <c r="E138" s="11"/>
      <c r="F138" s="10"/>
    </row>
    <row r="139" customFormat="false" ht="15" hidden="false" customHeight="true" outlineLevel="0" collapsed="false">
      <c r="A139" s="9"/>
      <c r="B139" s="9"/>
      <c r="C139" s="9"/>
      <c r="D139" s="9"/>
      <c r="E139" s="11"/>
      <c r="F139" s="10"/>
    </row>
    <row r="140" customFormat="false" ht="15" hidden="false" customHeight="true" outlineLevel="0" collapsed="false">
      <c r="A140" s="9"/>
      <c r="B140" s="9"/>
      <c r="C140" s="9"/>
      <c r="D140" s="9"/>
      <c r="E140" s="11"/>
      <c r="F140" s="10"/>
    </row>
    <row r="141" customFormat="false" ht="15" hidden="false" customHeight="true" outlineLevel="0" collapsed="false">
      <c r="A141" s="9"/>
      <c r="B141" s="9"/>
      <c r="C141" s="9"/>
      <c r="D141" s="9"/>
      <c r="E141" s="11"/>
      <c r="F141" s="10"/>
    </row>
    <row r="142" customFormat="false" ht="15" hidden="false" customHeight="true" outlineLevel="0" collapsed="false">
      <c r="A142" s="9"/>
      <c r="B142" s="9"/>
      <c r="C142" s="9"/>
      <c r="D142" s="9"/>
      <c r="E142" s="11"/>
      <c r="F142" s="10"/>
    </row>
    <row r="143" customFormat="false" ht="15" hidden="false" customHeight="true" outlineLevel="0" collapsed="false">
      <c r="A143" s="9"/>
      <c r="B143" s="9"/>
      <c r="C143" s="9"/>
      <c r="D143" s="9"/>
      <c r="E143" s="11"/>
      <c r="F143" s="10"/>
    </row>
    <row r="144" customFormat="false" ht="15" hidden="false" customHeight="true" outlineLevel="0" collapsed="false">
      <c r="A144" s="9"/>
      <c r="B144" s="9"/>
      <c r="C144" s="9"/>
      <c r="D144" s="9"/>
      <c r="E144" s="11"/>
      <c r="F144" s="10"/>
    </row>
    <row r="145" customFormat="false" ht="15" hidden="false" customHeight="true" outlineLevel="0" collapsed="false">
      <c r="A145" s="9"/>
      <c r="B145" s="9"/>
      <c r="C145" s="9"/>
      <c r="D145" s="9"/>
      <c r="E145" s="11"/>
      <c r="F145" s="10"/>
    </row>
    <row r="146" customFormat="false" ht="15" hidden="false" customHeight="true" outlineLevel="0" collapsed="false">
      <c r="A146" s="9"/>
      <c r="B146" s="9"/>
      <c r="C146" s="9"/>
      <c r="D146" s="9"/>
      <c r="E146" s="11"/>
      <c r="F146" s="10"/>
    </row>
    <row r="147" customFormat="false" ht="15" hidden="false" customHeight="true" outlineLevel="0" collapsed="false">
      <c r="A147" s="9"/>
      <c r="B147" s="9"/>
      <c r="C147" s="9"/>
      <c r="D147" s="9"/>
      <c r="E147" s="11"/>
      <c r="F147" s="10"/>
    </row>
    <row r="148" customFormat="false" ht="15" hidden="false" customHeight="true" outlineLevel="0" collapsed="false">
      <c r="A148" s="9"/>
      <c r="B148" s="9"/>
      <c r="C148" s="9"/>
      <c r="D148" s="9"/>
      <c r="E148" s="11"/>
      <c r="F148" s="10"/>
    </row>
    <row r="149" customFormat="false" ht="15" hidden="false" customHeight="true" outlineLevel="0" collapsed="false">
      <c r="A149" s="9"/>
      <c r="B149" s="9"/>
      <c r="C149" s="9"/>
      <c r="D149" s="9"/>
      <c r="E149" s="11"/>
      <c r="F149" s="10"/>
    </row>
    <row r="150" customFormat="false" ht="15" hidden="false" customHeight="true" outlineLevel="0" collapsed="false">
      <c r="A150" s="9"/>
      <c r="B150" s="9"/>
      <c r="C150" s="9"/>
      <c r="D150" s="9"/>
      <c r="E150" s="11"/>
      <c r="F150" s="10"/>
    </row>
    <row r="151" customFormat="false" ht="15" hidden="false" customHeight="true" outlineLevel="0" collapsed="false">
      <c r="A151" s="9"/>
      <c r="B151" s="9"/>
      <c r="C151" s="9"/>
      <c r="D151" s="9"/>
      <c r="E151" s="11"/>
      <c r="F151" s="10"/>
    </row>
    <row r="152" customFormat="false" ht="15" hidden="false" customHeight="true" outlineLevel="0" collapsed="false">
      <c r="A152" s="9"/>
      <c r="B152" s="9"/>
      <c r="C152" s="9"/>
      <c r="D152" s="9"/>
      <c r="E152" s="11"/>
      <c r="F152" s="10"/>
    </row>
    <row r="153" customFormat="false" ht="15" hidden="false" customHeight="true" outlineLevel="0" collapsed="false">
      <c r="A153" s="9"/>
      <c r="B153" s="9"/>
      <c r="C153" s="9"/>
      <c r="D153" s="9"/>
      <c r="E153" s="11"/>
      <c r="F153" s="10"/>
    </row>
    <row r="154" customFormat="false" ht="15" hidden="false" customHeight="true" outlineLevel="0" collapsed="false">
      <c r="A154" s="9"/>
      <c r="B154" s="9"/>
      <c r="C154" s="9"/>
      <c r="D154" s="9"/>
      <c r="E154" s="11"/>
      <c r="F154" s="10"/>
    </row>
    <row r="155" customFormat="false" ht="15" hidden="false" customHeight="true" outlineLevel="0" collapsed="false">
      <c r="A155" s="9"/>
      <c r="B155" s="9"/>
      <c r="C155" s="9"/>
      <c r="D155" s="9"/>
      <c r="E155" s="11"/>
      <c r="F155" s="10"/>
    </row>
    <row r="156" customFormat="false" ht="15" hidden="false" customHeight="true" outlineLevel="0" collapsed="false">
      <c r="A156" s="9"/>
      <c r="B156" s="9"/>
      <c r="C156" s="9"/>
      <c r="D156" s="9"/>
      <c r="E156" s="11"/>
      <c r="F156" s="10"/>
    </row>
    <row r="157" customFormat="false" ht="15" hidden="false" customHeight="true" outlineLevel="0" collapsed="false">
      <c r="A157" s="9"/>
      <c r="B157" s="9"/>
      <c r="C157" s="9"/>
      <c r="D157" s="9"/>
      <c r="E157" s="11"/>
      <c r="F157" s="10"/>
    </row>
    <row r="158" customFormat="false" ht="15" hidden="false" customHeight="true" outlineLevel="0" collapsed="false">
      <c r="A158" s="9"/>
      <c r="B158" s="9"/>
      <c r="C158" s="9"/>
      <c r="D158" s="9"/>
      <c r="E158" s="11"/>
      <c r="F158" s="10"/>
    </row>
    <row r="159" customFormat="false" ht="15" hidden="false" customHeight="true" outlineLevel="0" collapsed="false">
      <c r="A159" s="9"/>
      <c r="B159" s="9"/>
      <c r="C159" s="9"/>
      <c r="D159" s="9"/>
      <c r="E159" s="11"/>
      <c r="F159" s="10"/>
    </row>
    <row r="160" customFormat="false" ht="15" hidden="false" customHeight="true" outlineLevel="0" collapsed="false">
      <c r="A160" s="9"/>
      <c r="B160" s="9"/>
      <c r="C160" s="9"/>
      <c r="D160" s="9"/>
      <c r="E160" s="11"/>
      <c r="F160" s="10"/>
    </row>
    <row r="161" customFormat="false" ht="15" hidden="false" customHeight="true" outlineLevel="0" collapsed="false">
      <c r="A161" s="9"/>
      <c r="B161" s="9"/>
      <c r="C161" s="9"/>
      <c r="D161" s="9"/>
      <c r="E161" s="11"/>
      <c r="F161" s="10"/>
    </row>
    <row r="162" customFormat="false" ht="15" hidden="false" customHeight="true" outlineLevel="0" collapsed="false">
      <c r="A162" s="9"/>
      <c r="B162" s="9"/>
      <c r="C162" s="9"/>
      <c r="D162" s="9"/>
      <c r="E162" s="11"/>
      <c r="F162" s="10"/>
    </row>
    <row r="163" customFormat="false" ht="15" hidden="false" customHeight="true" outlineLevel="0" collapsed="false">
      <c r="A163" s="9"/>
      <c r="B163" s="9"/>
      <c r="C163" s="9"/>
      <c r="D163" s="9"/>
      <c r="E163" s="11"/>
      <c r="F163" s="10"/>
    </row>
    <row r="164" customFormat="false" ht="15" hidden="false" customHeight="true" outlineLevel="0" collapsed="false">
      <c r="A164" s="9"/>
      <c r="B164" s="9"/>
      <c r="C164" s="9"/>
      <c r="D164" s="9"/>
      <c r="E164" s="11"/>
      <c r="F164" s="10"/>
    </row>
    <row r="165" customFormat="false" ht="15" hidden="false" customHeight="true" outlineLevel="0" collapsed="false">
      <c r="A165" s="9"/>
      <c r="B165" s="9"/>
      <c r="C165" s="9"/>
      <c r="D165" s="9"/>
      <c r="E165" s="11"/>
      <c r="F165" s="10"/>
    </row>
    <row r="166" customFormat="false" ht="15" hidden="false" customHeight="true" outlineLevel="0" collapsed="false">
      <c r="A166" s="9"/>
      <c r="B166" s="9"/>
      <c r="C166" s="9"/>
      <c r="D166" s="9"/>
      <c r="E166" s="11"/>
      <c r="F166" s="10"/>
    </row>
    <row r="167" customFormat="false" ht="15" hidden="false" customHeight="true" outlineLevel="0" collapsed="false">
      <c r="A167" s="9"/>
      <c r="B167" s="9"/>
      <c r="C167" s="9"/>
      <c r="D167" s="9"/>
      <c r="E167" s="11"/>
      <c r="F167" s="10"/>
    </row>
    <row r="168" customFormat="false" ht="15" hidden="false" customHeight="true" outlineLevel="0" collapsed="false">
      <c r="A168" s="9"/>
      <c r="B168" s="9"/>
      <c r="C168" s="9"/>
      <c r="D168" s="9"/>
      <c r="E168" s="11"/>
      <c r="F168" s="10"/>
    </row>
    <row r="169" customFormat="false" ht="15" hidden="false" customHeight="true" outlineLevel="0" collapsed="false">
      <c r="A169" s="9"/>
      <c r="B169" s="9"/>
      <c r="C169" s="9"/>
      <c r="D169" s="9"/>
      <c r="E169" s="11"/>
      <c r="F169" s="10"/>
    </row>
    <row r="170" customFormat="false" ht="15" hidden="false" customHeight="true" outlineLevel="0" collapsed="false">
      <c r="A170" s="9"/>
      <c r="B170" s="9"/>
      <c r="C170" s="9"/>
      <c r="D170" s="9"/>
      <c r="E170" s="11"/>
      <c r="F170" s="10"/>
    </row>
    <row r="171" customFormat="false" ht="15" hidden="false" customHeight="true" outlineLevel="0" collapsed="false">
      <c r="A171" s="9"/>
      <c r="B171" s="9"/>
      <c r="C171" s="9"/>
      <c r="D171" s="9"/>
      <c r="E171" s="11"/>
      <c r="F171" s="10"/>
    </row>
    <row r="172" customFormat="false" ht="15" hidden="false" customHeight="true" outlineLevel="0" collapsed="false">
      <c r="A172" s="9"/>
      <c r="B172" s="9"/>
      <c r="C172" s="9"/>
      <c r="D172" s="9"/>
      <c r="E172" s="11"/>
      <c r="F172" s="10"/>
    </row>
    <row r="173" customFormat="false" ht="15" hidden="false" customHeight="true" outlineLevel="0" collapsed="false">
      <c r="A173" s="9"/>
      <c r="B173" s="9"/>
      <c r="C173" s="9"/>
      <c r="D173" s="9"/>
      <c r="E173" s="11"/>
      <c r="F173" s="10"/>
    </row>
    <row r="174" customFormat="false" ht="15" hidden="false" customHeight="true" outlineLevel="0" collapsed="false">
      <c r="A174" s="9"/>
      <c r="B174" s="9"/>
      <c r="C174" s="9"/>
      <c r="D174" s="9"/>
      <c r="E174" s="11"/>
      <c r="F174" s="10"/>
    </row>
    <row r="175" customFormat="false" ht="15" hidden="false" customHeight="true" outlineLevel="0" collapsed="false">
      <c r="A175" s="9"/>
      <c r="B175" s="9"/>
      <c r="C175" s="9"/>
      <c r="D175" s="9"/>
      <c r="E175" s="11"/>
      <c r="F175" s="10"/>
    </row>
    <row r="176" customFormat="false" ht="15" hidden="false" customHeight="true" outlineLevel="0" collapsed="false">
      <c r="A176" s="9"/>
      <c r="B176" s="9"/>
      <c r="C176" s="9"/>
      <c r="D176" s="9"/>
      <c r="E176" s="11"/>
      <c r="F176" s="10"/>
    </row>
    <row r="177" customFormat="false" ht="15" hidden="false" customHeight="true" outlineLevel="0" collapsed="false">
      <c r="A177" s="9"/>
      <c r="B177" s="9"/>
      <c r="C177" s="9"/>
      <c r="D177" s="9"/>
      <c r="E177" s="11"/>
      <c r="F177" s="10"/>
    </row>
    <row r="178" customFormat="false" ht="15" hidden="false" customHeight="true" outlineLevel="0" collapsed="false">
      <c r="A178" s="9"/>
      <c r="B178" s="9"/>
      <c r="C178" s="9"/>
      <c r="D178" s="9"/>
      <c r="E178" s="11"/>
      <c r="F178" s="10"/>
    </row>
    <row r="179" customFormat="false" ht="15" hidden="false" customHeight="true" outlineLevel="0" collapsed="false">
      <c r="A179" s="9"/>
      <c r="B179" s="9"/>
      <c r="C179" s="9"/>
      <c r="D179" s="9"/>
      <c r="E179" s="11"/>
      <c r="F179" s="10"/>
    </row>
    <row r="180" customFormat="false" ht="15" hidden="false" customHeight="true" outlineLevel="0" collapsed="false">
      <c r="A180" s="9"/>
      <c r="B180" s="9"/>
      <c r="C180" s="9"/>
      <c r="D180" s="9"/>
      <c r="E180" s="11"/>
      <c r="F180" s="10"/>
    </row>
    <row r="181" customFormat="false" ht="15" hidden="false" customHeight="true" outlineLevel="0" collapsed="false">
      <c r="A181" s="9"/>
      <c r="B181" s="9"/>
      <c r="C181" s="9"/>
      <c r="D181" s="9"/>
      <c r="E181" s="11"/>
      <c r="F181" s="10"/>
    </row>
    <row r="182" customFormat="false" ht="15" hidden="false" customHeight="true" outlineLevel="0" collapsed="false">
      <c r="A182" s="9"/>
      <c r="B182" s="9"/>
      <c r="C182" s="9"/>
      <c r="D182" s="9"/>
      <c r="E182" s="11"/>
      <c r="F182" s="10"/>
    </row>
    <row r="183" customFormat="false" ht="15" hidden="false" customHeight="true" outlineLevel="0" collapsed="false">
      <c r="A183" s="9"/>
      <c r="B183" s="9"/>
      <c r="C183" s="9"/>
      <c r="D183" s="9"/>
      <c r="E183" s="11"/>
      <c r="F183" s="10"/>
    </row>
    <row r="184" customFormat="false" ht="15" hidden="false" customHeight="true" outlineLevel="0" collapsed="false">
      <c r="A184" s="9"/>
      <c r="B184" s="9"/>
      <c r="C184" s="9"/>
      <c r="D184" s="9"/>
      <c r="E184" s="11"/>
      <c r="F184" s="10"/>
    </row>
    <row r="185" customFormat="false" ht="15" hidden="false" customHeight="true" outlineLevel="0" collapsed="false">
      <c r="A185" s="9"/>
      <c r="B185" s="9"/>
      <c r="C185" s="9"/>
      <c r="D185" s="9"/>
      <c r="E185" s="11"/>
      <c r="F185" s="10"/>
    </row>
    <row r="186" customFormat="false" ht="15" hidden="false" customHeight="true" outlineLevel="0" collapsed="false">
      <c r="A186" s="9"/>
      <c r="B186" s="9"/>
      <c r="C186" s="9"/>
      <c r="D186" s="9"/>
      <c r="E186" s="11"/>
      <c r="F186" s="10"/>
    </row>
    <row r="187" customFormat="false" ht="15" hidden="false" customHeight="true" outlineLevel="0" collapsed="false">
      <c r="A187" s="9"/>
      <c r="B187" s="9"/>
      <c r="C187" s="9"/>
      <c r="D187" s="9"/>
      <c r="E187" s="11"/>
      <c r="F187" s="10"/>
    </row>
    <row r="188" customFormat="false" ht="15" hidden="false" customHeight="true" outlineLevel="0" collapsed="false">
      <c r="A188" s="9"/>
      <c r="B188" s="9"/>
      <c r="C188" s="9"/>
      <c r="D188" s="9"/>
      <c r="E188" s="11"/>
      <c r="F188" s="10"/>
    </row>
    <row r="189" customFormat="false" ht="15" hidden="false" customHeight="true" outlineLevel="0" collapsed="false">
      <c r="A189" s="9"/>
      <c r="B189" s="9"/>
      <c r="C189" s="9"/>
      <c r="D189" s="9"/>
      <c r="E189" s="11"/>
      <c r="F189" s="10"/>
    </row>
    <row r="190" customFormat="false" ht="15" hidden="false" customHeight="true" outlineLevel="0" collapsed="false">
      <c r="A190" s="9"/>
      <c r="B190" s="9"/>
      <c r="C190" s="9"/>
      <c r="D190" s="9"/>
      <c r="E190" s="11"/>
      <c r="F190" s="10"/>
    </row>
    <row r="191" customFormat="false" ht="15" hidden="false" customHeight="true" outlineLevel="0" collapsed="false">
      <c r="A191" s="9"/>
      <c r="B191" s="9"/>
      <c r="C191" s="9"/>
      <c r="D191" s="9"/>
      <c r="E191" s="11"/>
      <c r="F191" s="10"/>
    </row>
    <row r="192" customFormat="false" ht="15" hidden="false" customHeight="true" outlineLevel="0" collapsed="false">
      <c r="A192" s="9"/>
      <c r="B192" s="9"/>
      <c r="C192" s="9"/>
      <c r="D192" s="9"/>
      <c r="E192" s="11"/>
      <c r="F192" s="10"/>
    </row>
    <row r="193" customFormat="false" ht="15" hidden="false" customHeight="true" outlineLevel="0" collapsed="false">
      <c r="A193" s="9"/>
      <c r="B193" s="9"/>
      <c r="C193" s="9"/>
      <c r="D193" s="9"/>
      <c r="E193" s="11"/>
      <c r="F193" s="10"/>
    </row>
    <row r="194" customFormat="false" ht="15" hidden="false" customHeight="true" outlineLevel="0" collapsed="false">
      <c r="A194" s="9"/>
      <c r="B194" s="9"/>
      <c r="C194" s="9"/>
      <c r="D194" s="9"/>
      <c r="E194" s="11"/>
      <c r="F194" s="10"/>
    </row>
    <row r="195" customFormat="false" ht="15" hidden="false" customHeight="true" outlineLevel="0" collapsed="false">
      <c r="A195" s="9"/>
      <c r="B195" s="9"/>
      <c r="C195" s="9"/>
      <c r="D195" s="9"/>
      <c r="E195" s="11"/>
      <c r="F195" s="10"/>
    </row>
    <row r="196" customFormat="false" ht="15" hidden="false" customHeight="true" outlineLevel="0" collapsed="false">
      <c r="A196" s="9"/>
      <c r="B196" s="9"/>
      <c r="C196" s="9"/>
      <c r="D196" s="9"/>
      <c r="E196" s="11"/>
      <c r="F196" s="10"/>
    </row>
    <row r="197" customFormat="false" ht="15" hidden="false" customHeight="true" outlineLevel="0" collapsed="false">
      <c r="A197" s="9"/>
      <c r="B197" s="9"/>
      <c r="C197" s="9"/>
      <c r="D197" s="9"/>
      <c r="E197" s="11"/>
      <c r="F197" s="10"/>
    </row>
    <row r="198" customFormat="false" ht="15" hidden="false" customHeight="true" outlineLevel="0" collapsed="false">
      <c r="A198" s="9"/>
      <c r="B198" s="9"/>
      <c r="C198" s="9"/>
      <c r="D198" s="9"/>
      <c r="E198" s="11"/>
      <c r="F198" s="10"/>
    </row>
    <row r="199" customFormat="false" ht="15" hidden="false" customHeight="true" outlineLevel="0" collapsed="false">
      <c r="A199" s="9"/>
      <c r="B199" s="9"/>
      <c r="C199" s="9"/>
      <c r="D199" s="9"/>
      <c r="E199" s="11"/>
      <c r="F199" s="10"/>
    </row>
    <row r="200" customFormat="false" ht="15" hidden="false" customHeight="true" outlineLevel="0" collapsed="false">
      <c r="A200" s="9"/>
      <c r="B200" s="9"/>
      <c r="C200" s="9"/>
      <c r="D200" s="9"/>
      <c r="E200" s="11"/>
      <c r="F200" s="10"/>
    </row>
    <row r="201" customFormat="false" ht="15" hidden="false" customHeight="true" outlineLevel="0" collapsed="false">
      <c r="A201" s="9"/>
      <c r="B201" s="9"/>
      <c r="C201" s="9"/>
      <c r="D201" s="9"/>
      <c r="E201" s="11"/>
      <c r="F201" s="10"/>
    </row>
    <row r="202" customFormat="false" ht="15" hidden="false" customHeight="true" outlineLevel="0" collapsed="false">
      <c r="A202" s="9"/>
      <c r="B202" s="9"/>
      <c r="C202" s="9"/>
      <c r="D202" s="9"/>
      <c r="E202" s="11"/>
      <c r="F202" s="10"/>
    </row>
    <row r="203" customFormat="false" ht="15" hidden="false" customHeight="true" outlineLevel="0" collapsed="false">
      <c r="A203" s="9"/>
      <c r="B203" s="9"/>
      <c r="C203" s="9"/>
      <c r="D203" s="9"/>
      <c r="E203" s="11"/>
      <c r="F203" s="10"/>
    </row>
    <row r="204" customFormat="false" ht="15" hidden="false" customHeight="true" outlineLevel="0" collapsed="false">
      <c r="A204" s="9"/>
      <c r="B204" s="9"/>
      <c r="C204" s="9"/>
      <c r="D204" s="9"/>
      <c r="E204" s="11"/>
      <c r="F204" s="10"/>
    </row>
    <row r="205" customFormat="false" ht="15" hidden="false" customHeight="true" outlineLevel="0" collapsed="false">
      <c r="A205" s="9"/>
      <c r="B205" s="9"/>
      <c r="C205" s="9"/>
      <c r="D205" s="9"/>
      <c r="E205" s="11"/>
      <c r="F205" s="10"/>
    </row>
    <row r="206" customFormat="false" ht="15" hidden="false" customHeight="true" outlineLevel="0" collapsed="false">
      <c r="A206" s="9"/>
      <c r="B206" s="9"/>
      <c r="C206" s="9"/>
      <c r="D206" s="9"/>
      <c r="E206" s="11"/>
      <c r="F206" s="10"/>
    </row>
    <row r="207" customFormat="false" ht="15" hidden="false" customHeight="true" outlineLevel="0" collapsed="false">
      <c r="A207" s="9"/>
      <c r="B207" s="9"/>
      <c r="C207" s="9"/>
      <c r="D207" s="9"/>
      <c r="E207" s="11"/>
      <c r="F207" s="10"/>
    </row>
    <row r="208" customFormat="false" ht="15" hidden="false" customHeight="true" outlineLevel="0" collapsed="false">
      <c r="A208" s="9"/>
      <c r="B208" s="9"/>
      <c r="C208" s="9"/>
      <c r="D208" s="9"/>
      <c r="E208" s="11"/>
      <c r="F208" s="10"/>
    </row>
    <row r="209" customFormat="false" ht="15" hidden="false" customHeight="true" outlineLevel="0" collapsed="false">
      <c r="A209" s="9"/>
      <c r="B209" s="9"/>
      <c r="C209" s="9"/>
      <c r="D209" s="9"/>
      <c r="E209" s="11"/>
      <c r="F209" s="10"/>
    </row>
    <row r="210" customFormat="false" ht="15" hidden="false" customHeight="true" outlineLevel="0" collapsed="false">
      <c r="A210" s="9"/>
      <c r="B210" s="9"/>
      <c r="C210" s="9"/>
      <c r="D210" s="9"/>
      <c r="E210" s="11"/>
      <c r="F210" s="10"/>
    </row>
    <row r="211" customFormat="false" ht="15" hidden="false" customHeight="true" outlineLevel="0" collapsed="false">
      <c r="A211" s="9"/>
      <c r="B211" s="9"/>
      <c r="C211" s="9"/>
      <c r="D211" s="9"/>
      <c r="E211" s="11"/>
      <c r="F211" s="10"/>
    </row>
    <row r="212" customFormat="false" ht="15" hidden="false" customHeight="true" outlineLevel="0" collapsed="false">
      <c r="A212" s="9"/>
      <c r="B212" s="9"/>
      <c r="C212" s="9"/>
      <c r="D212" s="9"/>
      <c r="E212" s="11"/>
      <c r="F212" s="10"/>
    </row>
    <row r="213" customFormat="false" ht="15" hidden="false" customHeight="true" outlineLevel="0" collapsed="false">
      <c r="A213" s="9"/>
      <c r="B213" s="9"/>
      <c r="C213" s="9"/>
      <c r="D213" s="9"/>
      <c r="E213" s="11"/>
      <c r="F213" s="10"/>
    </row>
    <row r="214" customFormat="false" ht="15" hidden="false" customHeight="true" outlineLevel="0" collapsed="false">
      <c r="A214" s="9"/>
      <c r="B214" s="9"/>
      <c r="C214" s="9"/>
      <c r="D214" s="9"/>
      <c r="E214" s="11"/>
      <c r="F214" s="10"/>
    </row>
    <row r="215" customFormat="false" ht="15" hidden="false" customHeight="true" outlineLevel="0" collapsed="false">
      <c r="A215" s="9"/>
      <c r="B215" s="9"/>
      <c r="C215" s="9"/>
      <c r="D215" s="9"/>
      <c r="E215" s="11"/>
      <c r="F215" s="10"/>
    </row>
    <row r="216" customFormat="false" ht="15" hidden="false" customHeight="true" outlineLevel="0" collapsed="false">
      <c r="A216" s="9"/>
      <c r="B216" s="9"/>
      <c r="C216" s="9"/>
      <c r="D216" s="9"/>
      <c r="E216" s="11"/>
      <c r="F216" s="10"/>
    </row>
    <row r="217" customFormat="false" ht="15" hidden="false" customHeight="true" outlineLevel="0" collapsed="false">
      <c r="A217" s="9"/>
      <c r="B217" s="9"/>
      <c r="C217" s="9"/>
      <c r="D217" s="9"/>
      <c r="E217" s="11"/>
      <c r="F217" s="10"/>
    </row>
    <row r="218" customFormat="false" ht="15" hidden="false" customHeight="true" outlineLevel="0" collapsed="false">
      <c r="A218" s="9"/>
      <c r="B218" s="9"/>
      <c r="C218" s="9"/>
      <c r="D218" s="9"/>
      <c r="E218" s="11"/>
      <c r="F218" s="10"/>
    </row>
    <row r="219" customFormat="false" ht="15" hidden="false" customHeight="true" outlineLevel="0" collapsed="false">
      <c r="A219" s="9"/>
      <c r="B219" s="9"/>
      <c r="C219" s="9"/>
      <c r="D219" s="9"/>
      <c r="E219" s="11"/>
      <c r="F219" s="10"/>
    </row>
    <row r="220" customFormat="false" ht="15" hidden="false" customHeight="true" outlineLevel="0" collapsed="false">
      <c r="A220" s="9"/>
      <c r="B220" s="9"/>
      <c r="C220" s="9"/>
      <c r="D220" s="9"/>
      <c r="E220" s="11"/>
      <c r="F220" s="10"/>
    </row>
    <row r="221" customFormat="false" ht="15" hidden="false" customHeight="true" outlineLevel="0" collapsed="false">
      <c r="A221" s="9"/>
      <c r="B221" s="9"/>
      <c r="C221" s="9"/>
      <c r="D221" s="9"/>
      <c r="E221" s="11"/>
      <c r="F221" s="10"/>
    </row>
    <row r="222" customFormat="false" ht="15" hidden="false" customHeight="true" outlineLevel="0" collapsed="false">
      <c r="A222" s="9"/>
      <c r="B222" s="9"/>
      <c r="C222" s="9"/>
      <c r="D222" s="9"/>
      <c r="E222" s="11"/>
      <c r="F222" s="10"/>
    </row>
    <row r="223" customFormat="false" ht="15" hidden="false" customHeight="true" outlineLevel="0" collapsed="false">
      <c r="A223" s="9"/>
      <c r="B223" s="9"/>
      <c r="C223" s="9"/>
      <c r="D223" s="9"/>
      <c r="E223" s="11"/>
      <c r="F223" s="10"/>
    </row>
    <row r="224" customFormat="false" ht="15" hidden="false" customHeight="true" outlineLevel="0" collapsed="false">
      <c r="A224" s="9"/>
      <c r="B224" s="9"/>
      <c r="C224" s="9"/>
      <c r="D224" s="9"/>
      <c r="E224" s="11"/>
      <c r="F224" s="10"/>
    </row>
    <row r="225" customFormat="false" ht="15" hidden="false" customHeight="true" outlineLevel="0" collapsed="false">
      <c r="A225" s="9"/>
      <c r="B225" s="9"/>
      <c r="C225" s="9"/>
      <c r="D225" s="9"/>
      <c r="E225" s="11"/>
      <c r="F225" s="10"/>
    </row>
    <row r="226" customFormat="false" ht="15" hidden="false" customHeight="true" outlineLevel="0" collapsed="false">
      <c r="A226" s="9"/>
      <c r="B226" s="9"/>
      <c r="C226" s="9"/>
      <c r="D226" s="9"/>
      <c r="E226" s="11"/>
      <c r="F226" s="10"/>
    </row>
    <row r="227" customFormat="false" ht="15" hidden="false" customHeight="true" outlineLevel="0" collapsed="false">
      <c r="A227" s="9"/>
      <c r="B227" s="9"/>
      <c r="C227" s="9"/>
      <c r="D227" s="9"/>
      <c r="E227" s="11"/>
      <c r="F227" s="10"/>
    </row>
    <row r="228" customFormat="false" ht="15" hidden="false" customHeight="true" outlineLevel="0" collapsed="false">
      <c r="A228" s="9"/>
      <c r="B228" s="9"/>
      <c r="C228" s="9"/>
      <c r="D228" s="9"/>
      <c r="E228" s="11"/>
      <c r="F228" s="10"/>
    </row>
    <row r="229" customFormat="false" ht="15" hidden="false" customHeight="true" outlineLevel="0" collapsed="false">
      <c r="A229" s="9"/>
      <c r="B229" s="9"/>
      <c r="C229" s="9"/>
      <c r="D229" s="9"/>
      <c r="E229" s="11"/>
      <c r="F229" s="10"/>
    </row>
    <row r="230" customFormat="false" ht="15" hidden="false" customHeight="true" outlineLevel="0" collapsed="false">
      <c r="A230" s="9"/>
      <c r="B230" s="9"/>
      <c r="C230" s="9"/>
      <c r="D230" s="9"/>
      <c r="E230" s="11"/>
      <c r="F230" s="10"/>
    </row>
    <row r="231" customFormat="false" ht="15" hidden="false" customHeight="true" outlineLevel="0" collapsed="false">
      <c r="A231" s="9"/>
      <c r="B231" s="9"/>
      <c r="C231" s="9"/>
      <c r="D231" s="9"/>
      <c r="E231" s="11"/>
      <c r="F231" s="10"/>
    </row>
    <row r="232" customFormat="false" ht="15" hidden="false" customHeight="true" outlineLevel="0" collapsed="false">
      <c r="A232" s="9"/>
      <c r="B232" s="9"/>
      <c r="C232" s="9"/>
      <c r="D232" s="9"/>
      <c r="E232" s="11"/>
      <c r="F232" s="10"/>
    </row>
    <row r="233" customFormat="false" ht="15" hidden="false" customHeight="true" outlineLevel="0" collapsed="false">
      <c r="A233" s="9"/>
      <c r="B233" s="9"/>
      <c r="C233" s="9"/>
      <c r="D233" s="9"/>
      <c r="E233" s="11"/>
      <c r="F233" s="10"/>
    </row>
    <row r="234" customFormat="false" ht="15" hidden="false" customHeight="true" outlineLevel="0" collapsed="false">
      <c r="A234" s="9"/>
      <c r="B234" s="9"/>
      <c r="C234" s="9"/>
      <c r="D234" s="9"/>
      <c r="E234" s="11"/>
      <c r="F234" s="10"/>
    </row>
    <row r="235" customFormat="false" ht="15" hidden="false" customHeight="true" outlineLevel="0" collapsed="false">
      <c r="A235" s="9"/>
      <c r="B235" s="9"/>
      <c r="C235" s="9"/>
      <c r="D235" s="9"/>
      <c r="E235" s="11"/>
      <c r="F235" s="10"/>
    </row>
    <row r="236" customFormat="false" ht="15" hidden="false" customHeight="true" outlineLevel="0" collapsed="false">
      <c r="A236" s="9"/>
      <c r="B236" s="9"/>
      <c r="C236" s="9"/>
      <c r="D236" s="9"/>
      <c r="E236" s="11"/>
      <c r="F236" s="10"/>
    </row>
    <row r="237" customFormat="false" ht="15" hidden="false" customHeight="true" outlineLevel="0" collapsed="false">
      <c r="A237" s="9"/>
      <c r="B237" s="9"/>
      <c r="C237" s="9"/>
      <c r="D237" s="9"/>
      <c r="E237" s="11"/>
      <c r="F237" s="10"/>
    </row>
    <row r="238" customFormat="false" ht="15" hidden="false" customHeight="true" outlineLevel="0" collapsed="false">
      <c r="A238" s="9"/>
      <c r="B238" s="9"/>
      <c r="C238" s="9"/>
      <c r="D238" s="9"/>
      <c r="E238" s="11"/>
      <c r="F238" s="10"/>
    </row>
    <row r="239" customFormat="false" ht="15" hidden="false" customHeight="true" outlineLevel="0" collapsed="false">
      <c r="A239" s="9"/>
      <c r="B239" s="9"/>
      <c r="C239" s="9"/>
      <c r="D239" s="9"/>
      <c r="E239" s="11"/>
      <c r="F239" s="10"/>
    </row>
    <row r="240" customFormat="false" ht="15" hidden="false" customHeight="true" outlineLevel="0" collapsed="false">
      <c r="A240" s="9"/>
      <c r="B240" s="9"/>
      <c r="C240" s="9"/>
      <c r="D240" s="9"/>
      <c r="E240" s="11"/>
      <c r="F240" s="10"/>
    </row>
    <row r="241" customFormat="false" ht="15" hidden="false" customHeight="true" outlineLevel="0" collapsed="false">
      <c r="A241" s="9"/>
      <c r="B241" s="9"/>
      <c r="C241" s="9"/>
      <c r="D241" s="9"/>
      <c r="E241" s="11"/>
      <c r="F241" s="10"/>
    </row>
    <row r="242" customFormat="false" ht="15" hidden="false" customHeight="true" outlineLevel="0" collapsed="false">
      <c r="A242" s="9"/>
      <c r="B242" s="9"/>
      <c r="C242" s="9"/>
      <c r="D242" s="9"/>
      <c r="E242" s="11"/>
      <c r="F242" s="10"/>
    </row>
    <row r="243" customFormat="false" ht="15" hidden="false" customHeight="true" outlineLevel="0" collapsed="false">
      <c r="A243" s="9"/>
      <c r="B243" s="9"/>
      <c r="C243" s="9"/>
      <c r="D243" s="9"/>
      <c r="E243" s="11"/>
      <c r="F243" s="10"/>
    </row>
    <row r="244" customFormat="false" ht="15" hidden="false" customHeight="true" outlineLevel="0" collapsed="false">
      <c r="A244" s="9"/>
      <c r="B244" s="9"/>
      <c r="C244" s="9"/>
      <c r="D244" s="9"/>
      <c r="E244" s="11"/>
      <c r="F244" s="10"/>
    </row>
    <row r="245" customFormat="false" ht="15" hidden="false" customHeight="true" outlineLevel="0" collapsed="false">
      <c r="A245" s="9"/>
      <c r="B245" s="9"/>
      <c r="C245" s="9"/>
      <c r="D245" s="9"/>
      <c r="E245" s="11"/>
      <c r="F245" s="10"/>
    </row>
    <row r="246" customFormat="false" ht="15" hidden="false" customHeight="true" outlineLevel="0" collapsed="false">
      <c r="A246" s="9"/>
      <c r="B246" s="9"/>
      <c r="C246" s="9"/>
      <c r="D246" s="9"/>
      <c r="E246" s="11"/>
      <c r="F246" s="10"/>
    </row>
    <row r="247" customFormat="false" ht="15" hidden="false" customHeight="true" outlineLevel="0" collapsed="false">
      <c r="A247" s="9"/>
      <c r="B247" s="9"/>
      <c r="C247" s="9"/>
      <c r="D247" s="9"/>
      <c r="E247" s="11"/>
      <c r="F247" s="10"/>
    </row>
    <row r="248" customFormat="false" ht="15" hidden="false" customHeight="true" outlineLevel="0" collapsed="false">
      <c r="A248" s="9"/>
      <c r="B248" s="9"/>
      <c r="C248" s="9"/>
      <c r="D248" s="9"/>
      <c r="E248" s="11"/>
      <c r="F248" s="10"/>
    </row>
    <row r="249" customFormat="false" ht="15" hidden="false" customHeight="true" outlineLevel="0" collapsed="false">
      <c r="A249" s="9"/>
      <c r="B249" s="9"/>
      <c r="C249" s="9"/>
      <c r="D249" s="9"/>
      <c r="E249" s="11"/>
      <c r="F249" s="10"/>
    </row>
    <row r="250" customFormat="false" ht="15" hidden="false" customHeight="true" outlineLevel="0" collapsed="false">
      <c r="A250" s="9"/>
      <c r="B250" s="9"/>
      <c r="C250" s="9"/>
      <c r="D250" s="9"/>
      <c r="E250" s="11"/>
      <c r="F250" s="10"/>
    </row>
    <row r="251" customFormat="false" ht="15" hidden="false" customHeight="true" outlineLevel="0" collapsed="false">
      <c r="A251" s="9"/>
      <c r="B251" s="9"/>
      <c r="C251" s="9"/>
      <c r="D251" s="9"/>
      <c r="E251" s="11"/>
      <c r="F251" s="10"/>
    </row>
    <row r="252" customFormat="false" ht="15" hidden="false" customHeight="true" outlineLevel="0" collapsed="false">
      <c r="A252" s="9"/>
      <c r="B252" s="9"/>
      <c r="C252" s="9"/>
      <c r="D252" s="9"/>
      <c r="E252" s="11"/>
      <c r="F252" s="10"/>
    </row>
    <row r="253" customFormat="false" ht="15" hidden="false" customHeight="true" outlineLevel="0" collapsed="false">
      <c r="A253" s="9"/>
      <c r="B253" s="9"/>
      <c r="C253" s="9"/>
      <c r="D253" s="9"/>
      <c r="E253" s="11"/>
      <c r="F253" s="10"/>
    </row>
    <row r="254" customFormat="false" ht="15" hidden="false" customHeight="true" outlineLevel="0" collapsed="false">
      <c r="A254" s="9"/>
      <c r="B254" s="9"/>
      <c r="C254" s="9"/>
      <c r="D254" s="9"/>
      <c r="E254" s="11"/>
      <c r="F254" s="10"/>
    </row>
    <row r="255" customFormat="false" ht="15" hidden="false" customHeight="true" outlineLevel="0" collapsed="false">
      <c r="A255" s="9"/>
      <c r="B255" s="9"/>
      <c r="C255" s="9"/>
      <c r="D255" s="9"/>
      <c r="E255" s="11"/>
      <c r="F255" s="10"/>
    </row>
    <row r="256" customFormat="false" ht="15" hidden="false" customHeight="true" outlineLevel="0" collapsed="false">
      <c r="A256" s="9"/>
      <c r="B256" s="9"/>
      <c r="C256" s="9"/>
      <c r="D256" s="9"/>
      <c r="E256" s="11"/>
      <c r="F256" s="10"/>
    </row>
    <row r="257" customFormat="false" ht="15" hidden="false" customHeight="true" outlineLevel="0" collapsed="false">
      <c r="A257" s="9"/>
      <c r="B257" s="9"/>
      <c r="C257" s="9"/>
      <c r="D257" s="9"/>
      <c r="E257" s="11"/>
      <c r="F257" s="10"/>
    </row>
    <row r="258" customFormat="false" ht="15" hidden="false" customHeight="true" outlineLevel="0" collapsed="false">
      <c r="A258" s="9"/>
      <c r="B258" s="9"/>
      <c r="C258" s="9"/>
      <c r="D258" s="9"/>
      <c r="E258" s="11"/>
      <c r="F258" s="10"/>
    </row>
    <row r="259" customFormat="false" ht="15" hidden="false" customHeight="true" outlineLevel="0" collapsed="false">
      <c r="A259" s="9"/>
      <c r="B259" s="9"/>
      <c r="C259" s="9"/>
      <c r="D259" s="9"/>
      <c r="E259" s="11"/>
      <c r="F259" s="10"/>
    </row>
    <row r="260" customFormat="false" ht="15" hidden="false" customHeight="true" outlineLevel="0" collapsed="false">
      <c r="A260" s="9"/>
      <c r="B260" s="9"/>
      <c r="C260" s="9"/>
      <c r="D260" s="9"/>
      <c r="E260" s="11"/>
      <c r="F260" s="10"/>
    </row>
    <row r="261" customFormat="false" ht="15" hidden="false" customHeight="true" outlineLevel="0" collapsed="false">
      <c r="A261" s="9"/>
      <c r="B261" s="9"/>
      <c r="C261" s="9"/>
      <c r="D261" s="9"/>
      <c r="E261" s="11"/>
      <c r="F261" s="10"/>
    </row>
    <row r="262" customFormat="false" ht="15" hidden="false" customHeight="true" outlineLevel="0" collapsed="false">
      <c r="A262" s="9"/>
      <c r="B262" s="9"/>
      <c r="C262" s="9"/>
      <c r="D262" s="9"/>
      <c r="E262" s="11"/>
      <c r="F262" s="10"/>
    </row>
    <row r="263" customFormat="false" ht="15" hidden="false" customHeight="true" outlineLevel="0" collapsed="false">
      <c r="A263" s="9"/>
      <c r="B263" s="9"/>
      <c r="C263" s="9"/>
      <c r="D263" s="9"/>
      <c r="E263" s="11"/>
      <c r="F263" s="10"/>
    </row>
    <row r="264" customFormat="false" ht="15" hidden="false" customHeight="true" outlineLevel="0" collapsed="false">
      <c r="A264" s="9"/>
      <c r="B264" s="9"/>
      <c r="C264" s="9"/>
      <c r="D264" s="9"/>
      <c r="E264" s="11"/>
      <c r="F264" s="10"/>
    </row>
    <row r="265" customFormat="false" ht="15" hidden="false" customHeight="true" outlineLevel="0" collapsed="false">
      <c r="A265" s="9"/>
      <c r="B265" s="9"/>
      <c r="C265" s="9"/>
      <c r="D265" s="9"/>
      <c r="E265" s="11"/>
      <c r="F265" s="10"/>
    </row>
    <row r="266" customFormat="false" ht="15" hidden="false" customHeight="true" outlineLevel="0" collapsed="false">
      <c r="A266" s="9"/>
      <c r="B266" s="9"/>
      <c r="C266" s="9"/>
      <c r="D266" s="9"/>
      <c r="E266" s="11"/>
      <c r="F266" s="10"/>
    </row>
    <row r="267" customFormat="false" ht="15" hidden="false" customHeight="true" outlineLevel="0" collapsed="false">
      <c r="A267" s="9"/>
      <c r="B267" s="9"/>
      <c r="C267" s="9"/>
      <c r="D267" s="9"/>
      <c r="E267" s="11"/>
      <c r="F267" s="10"/>
    </row>
    <row r="268" customFormat="false" ht="15" hidden="false" customHeight="true" outlineLevel="0" collapsed="false">
      <c r="A268" s="9"/>
      <c r="B268" s="9"/>
      <c r="C268" s="9"/>
      <c r="D268" s="9"/>
      <c r="E268" s="11"/>
      <c r="F268" s="10"/>
    </row>
    <row r="269" customFormat="false" ht="15" hidden="false" customHeight="true" outlineLevel="0" collapsed="false">
      <c r="A269" s="9"/>
      <c r="B269" s="9"/>
      <c r="C269" s="9"/>
      <c r="D269" s="9"/>
      <c r="E269" s="11"/>
      <c r="F269" s="10"/>
    </row>
    <row r="270" customFormat="false" ht="15" hidden="false" customHeight="true" outlineLevel="0" collapsed="false">
      <c r="A270" s="9"/>
      <c r="B270" s="9"/>
      <c r="C270" s="9"/>
      <c r="D270" s="9"/>
      <c r="E270" s="11"/>
      <c r="F270" s="10"/>
    </row>
    <row r="271" customFormat="false" ht="15" hidden="false" customHeight="true" outlineLevel="0" collapsed="false">
      <c r="A271" s="9"/>
      <c r="B271" s="9"/>
      <c r="C271" s="9"/>
      <c r="D271" s="9"/>
      <c r="E271" s="11"/>
      <c r="F271" s="10"/>
    </row>
    <row r="272" customFormat="false" ht="15" hidden="false" customHeight="true" outlineLevel="0" collapsed="false">
      <c r="A272" s="9"/>
      <c r="B272" s="9"/>
      <c r="C272" s="9"/>
      <c r="D272" s="9"/>
      <c r="E272" s="11"/>
      <c r="F272" s="10"/>
    </row>
    <row r="273" customFormat="false" ht="15" hidden="false" customHeight="true" outlineLevel="0" collapsed="false">
      <c r="A273" s="9"/>
      <c r="B273" s="9"/>
      <c r="C273" s="9"/>
      <c r="D273" s="9"/>
      <c r="E273" s="11"/>
      <c r="F273" s="10"/>
    </row>
    <row r="274" customFormat="false" ht="15" hidden="false" customHeight="true" outlineLevel="0" collapsed="false">
      <c r="A274" s="9"/>
      <c r="B274" s="9"/>
      <c r="C274" s="9"/>
      <c r="D274" s="9"/>
      <c r="E274" s="11"/>
      <c r="F274" s="10"/>
    </row>
    <row r="275" customFormat="false" ht="15" hidden="false" customHeight="true" outlineLevel="0" collapsed="false">
      <c r="A275" s="9"/>
      <c r="B275" s="9"/>
      <c r="C275" s="9"/>
      <c r="D275" s="9"/>
      <c r="E275" s="11"/>
      <c r="F275" s="10"/>
    </row>
    <row r="276" customFormat="false" ht="15" hidden="false" customHeight="true" outlineLevel="0" collapsed="false">
      <c r="A276" s="9"/>
      <c r="B276" s="9"/>
      <c r="C276" s="9"/>
      <c r="D276" s="9"/>
      <c r="E276" s="11"/>
      <c r="F276" s="10"/>
    </row>
    <row r="277" customFormat="false" ht="15" hidden="false" customHeight="true" outlineLevel="0" collapsed="false">
      <c r="A277" s="9"/>
      <c r="B277" s="9"/>
      <c r="C277" s="9"/>
      <c r="D277" s="9"/>
      <c r="E277" s="11"/>
      <c r="F277" s="10"/>
    </row>
    <row r="278" customFormat="false" ht="15" hidden="false" customHeight="true" outlineLevel="0" collapsed="false">
      <c r="A278" s="9"/>
      <c r="B278" s="9"/>
      <c r="C278" s="9"/>
      <c r="D278" s="9"/>
      <c r="E278" s="11"/>
      <c r="F278" s="10"/>
    </row>
    <row r="279" customFormat="false" ht="15" hidden="false" customHeight="true" outlineLevel="0" collapsed="false">
      <c r="A279" s="9"/>
      <c r="B279" s="9"/>
      <c r="C279" s="9"/>
      <c r="D279" s="9"/>
      <c r="E279" s="11"/>
      <c r="F279" s="10"/>
    </row>
    <row r="280" customFormat="false" ht="15" hidden="false" customHeight="true" outlineLevel="0" collapsed="false">
      <c r="A280" s="9"/>
      <c r="B280" s="9"/>
      <c r="C280" s="9"/>
      <c r="D280" s="9"/>
      <c r="E280" s="11"/>
      <c r="F280" s="10"/>
    </row>
    <row r="281" customFormat="false" ht="15" hidden="false" customHeight="true" outlineLevel="0" collapsed="false">
      <c r="A281" s="9"/>
      <c r="B281" s="9"/>
      <c r="C281" s="9"/>
      <c r="D281" s="9"/>
      <c r="E281" s="11"/>
      <c r="F281" s="10"/>
    </row>
    <row r="282" customFormat="false" ht="15" hidden="false" customHeight="true" outlineLevel="0" collapsed="false">
      <c r="A282" s="9"/>
      <c r="B282" s="9"/>
      <c r="C282" s="9"/>
      <c r="D282" s="9"/>
      <c r="E282" s="11"/>
      <c r="F282" s="10"/>
    </row>
    <row r="283" customFormat="false" ht="15" hidden="false" customHeight="true" outlineLevel="0" collapsed="false">
      <c r="A283" s="9"/>
      <c r="B283" s="9"/>
      <c r="C283" s="9"/>
      <c r="D283" s="9"/>
      <c r="E283" s="11"/>
      <c r="F283" s="10"/>
    </row>
    <row r="284" customFormat="false" ht="15" hidden="false" customHeight="true" outlineLevel="0" collapsed="false">
      <c r="A284" s="9"/>
      <c r="B284" s="9"/>
      <c r="C284" s="9"/>
      <c r="D284" s="9"/>
      <c r="E284" s="11"/>
      <c r="F284" s="10"/>
    </row>
    <row r="285" customFormat="false" ht="15" hidden="false" customHeight="true" outlineLevel="0" collapsed="false">
      <c r="A285" s="9"/>
      <c r="B285" s="9"/>
      <c r="C285" s="9"/>
      <c r="D285" s="9"/>
      <c r="E285" s="11"/>
      <c r="F285" s="10"/>
    </row>
    <row r="286" customFormat="false" ht="15" hidden="false" customHeight="true" outlineLevel="0" collapsed="false">
      <c r="A286" s="9"/>
      <c r="B286" s="9"/>
      <c r="C286" s="9"/>
      <c r="D286" s="9"/>
      <c r="E286" s="11"/>
      <c r="F286" s="10"/>
    </row>
    <row r="287" customFormat="false" ht="15" hidden="false" customHeight="true" outlineLevel="0" collapsed="false">
      <c r="A287" s="9"/>
      <c r="B287" s="9"/>
      <c r="C287" s="9"/>
      <c r="D287" s="9"/>
      <c r="E287" s="11"/>
      <c r="F287" s="10"/>
    </row>
    <row r="288" customFormat="false" ht="15" hidden="false" customHeight="true" outlineLevel="0" collapsed="false">
      <c r="A288" s="9"/>
      <c r="B288" s="9"/>
      <c r="C288" s="9"/>
      <c r="D288" s="9"/>
      <c r="E288" s="11"/>
      <c r="F288" s="10"/>
    </row>
    <row r="289" customFormat="false" ht="15" hidden="false" customHeight="true" outlineLevel="0" collapsed="false">
      <c r="A289" s="9"/>
      <c r="B289" s="9"/>
      <c r="C289" s="9"/>
      <c r="D289" s="9"/>
      <c r="E289" s="11"/>
      <c r="F289" s="10"/>
    </row>
    <row r="290" customFormat="false" ht="15" hidden="false" customHeight="true" outlineLevel="0" collapsed="false">
      <c r="A290" s="9"/>
      <c r="B290" s="9"/>
      <c r="C290" s="9"/>
      <c r="D290" s="9"/>
      <c r="E290" s="11"/>
      <c r="F290" s="10"/>
    </row>
    <row r="291" customFormat="false" ht="15" hidden="false" customHeight="true" outlineLevel="0" collapsed="false">
      <c r="A291" s="9"/>
      <c r="B291" s="9"/>
      <c r="C291" s="9"/>
      <c r="D291" s="9"/>
      <c r="E291" s="11"/>
      <c r="F291" s="10"/>
    </row>
    <row r="292" customFormat="false" ht="15" hidden="false" customHeight="true" outlineLevel="0" collapsed="false">
      <c r="A292" s="9"/>
      <c r="B292" s="9"/>
      <c r="C292" s="9"/>
      <c r="D292" s="9"/>
      <c r="E292" s="11"/>
      <c r="F292" s="10"/>
    </row>
    <row r="293" customFormat="false" ht="15" hidden="false" customHeight="true" outlineLevel="0" collapsed="false">
      <c r="A293" s="9"/>
      <c r="B293" s="9"/>
      <c r="C293" s="9"/>
      <c r="D293" s="9"/>
      <c r="E293" s="11"/>
      <c r="F293" s="10"/>
    </row>
    <row r="294" customFormat="false" ht="15" hidden="false" customHeight="true" outlineLevel="0" collapsed="false">
      <c r="A294" s="9"/>
      <c r="B294" s="9"/>
      <c r="C294" s="9"/>
      <c r="D294" s="9"/>
      <c r="E294" s="11"/>
      <c r="F294" s="10"/>
    </row>
    <row r="295" customFormat="false" ht="15" hidden="false" customHeight="true" outlineLevel="0" collapsed="false">
      <c r="A295" s="9"/>
      <c r="B295" s="9"/>
      <c r="C295" s="9"/>
      <c r="D295" s="9"/>
      <c r="E295" s="11"/>
      <c r="F295" s="10"/>
    </row>
    <row r="296" customFormat="false" ht="15" hidden="false" customHeight="true" outlineLevel="0" collapsed="false">
      <c r="A296" s="9"/>
      <c r="B296" s="9"/>
      <c r="C296" s="9"/>
      <c r="D296" s="9"/>
      <c r="E296" s="11"/>
      <c r="F296" s="10"/>
    </row>
    <row r="297" customFormat="false" ht="15" hidden="false" customHeight="true" outlineLevel="0" collapsed="false">
      <c r="A297" s="9"/>
      <c r="B297" s="9"/>
      <c r="C297" s="9"/>
      <c r="D297" s="9"/>
      <c r="E297" s="11"/>
      <c r="F297" s="10"/>
    </row>
    <row r="298" customFormat="false" ht="15" hidden="false" customHeight="true" outlineLevel="0" collapsed="false">
      <c r="A298" s="9"/>
      <c r="B298" s="9"/>
      <c r="C298" s="9"/>
      <c r="D298" s="9"/>
      <c r="E298" s="11"/>
      <c r="F298" s="10"/>
    </row>
    <row r="299" customFormat="false" ht="15" hidden="false" customHeight="true" outlineLevel="0" collapsed="false">
      <c r="A299" s="9"/>
      <c r="B299" s="9"/>
      <c r="C299" s="9"/>
      <c r="D299" s="9"/>
      <c r="E299" s="11"/>
      <c r="F299" s="10"/>
    </row>
    <row r="300" customFormat="false" ht="15" hidden="false" customHeight="true" outlineLevel="0" collapsed="false">
      <c r="A300" s="9"/>
      <c r="B300" s="9"/>
      <c r="C300" s="9"/>
      <c r="D300" s="9"/>
      <c r="E300" s="11"/>
      <c r="F300" s="10"/>
    </row>
    <row r="301" customFormat="false" ht="15" hidden="false" customHeight="true" outlineLevel="0" collapsed="false">
      <c r="A301" s="9"/>
      <c r="B301" s="9"/>
      <c r="C301" s="9"/>
      <c r="D301" s="9"/>
      <c r="E301" s="11"/>
      <c r="F301" s="10"/>
    </row>
    <row r="302" customFormat="false" ht="15" hidden="false" customHeight="true" outlineLevel="0" collapsed="false">
      <c r="A302" s="9"/>
      <c r="B302" s="9"/>
      <c r="C302" s="9"/>
      <c r="D302" s="9"/>
      <c r="E302" s="11"/>
      <c r="F302" s="10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F3:F302" type="list">
      <formula1>"재직,휴직,퇴사"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24"/>
  </cols>
  <sheetData>
    <row r="1" customFormat="false" ht="25.5" hidden="false" customHeight="true" outlineLevel="0" collapsed="false">
      <c r="A1" s="2" t="s">
        <v>44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</row>
    <row r="3" customFormat="false" ht="15" hidden="false" customHeight="true" outlineLevel="0" collapsed="false">
      <c r="A3" s="9" t="s">
        <v>51</v>
      </c>
      <c r="B3" s="10" t="s">
        <v>52</v>
      </c>
      <c r="C3" s="12" t="n">
        <v>3</v>
      </c>
      <c r="D3" s="13" t="n">
        <v>6</v>
      </c>
      <c r="E3" s="10" t="s">
        <v>53</v>
      </c>
      <c r="F3" s="9"/>
    </row>
    <row r="4" customFormat="false" ht="15" hidden="false" customHeight="true" outlineLevel="0" collapsed="false">
      <c r="A4" s="9" t="s">
        <v>54</v>
      </c>
      <c r="B4" s="10" t="s">
        <v>55</v>
      </c>
      <c r="C4" s="12" t="n">
        <v>12</v>
      </c>
      <c r="D4" s="13" t="n">
        <v>1</v>
      </c>
      <c r="E4" s="10" t="s">
        <v>53</v>
      </c>
      <c r="F4" s="9"/>
    </row>
    <row r="5" customFormat="false" ht="15" hidden="false" customHeight="true" outlineLevel="0" collapsed="false">
      <c r="A5" s="9" t="s">
        <v>56</v>
      </c>
      <c r="B5" s="10" t="s">
        <v>57</v>
      </c>
      <c r="C5" s="12" t="n">
        <v>12</v>
      </c>
      <c r="D5" s="13" t="n">
        <v>2</v>
      </c>
      <c r="E5" s="10" t="s">
        <v>53</v>
      </c>
      <c r="F5" s="9"/>
    </row>
    <row r="6" customFormat="false" ht="15" hidden="false" customHeight="true" outlineLevel="0" collapsed="false">
      <c r="A6" s="9" t="s">
        <v>58</v>
      </c>
      <c r="B6" s="10" t="s">
        <v>59</v>
      </c>
      <c r="C6" s="12" t="n">
        <v>24</v>
      </c>
      <c r="D6" s="13" t="n">
        <v>0</v>
      </c>
      <c r="E6" s="10" t="s">
        <v>60</v>
      </c>
      <c r="F6" s="9"/>
    </row>
    <row r="7" customFormat="false" ht="15" hidden="false" customHeight="true" outlineLevel="0" collapsed="false">
      <c r="A7" s="9"/>
      <c r="B7" s="9"/>
      <c r="C7" s="12"/>
      <c r="D7" s="13"/>
      <c r="E7" s="10"/>
      <c r="F7" s="9"/>
    </row>
    <row r="8" customFormat="false" ht="15" hidden="false" customHeight="true" outlineLevel="0" collapsed="false">
      <c r="A8" s="9"/>
      <c r="B8" s="9"/>
      <c r="C8" s="12"/>
      <c r="D8" s="13"/>
      <c r="E8" s="10"/>
      <c r="F8" s="9"/>
    </row>
    <row r="9" customFormat="false" ht="15" hidden="false" customHeight="true" outlineLevel="0" collapsed="false">
      <c r="A9" s="9"/>
      <c r="B9" s="9"/>
      <c r="C9" s="12"/>
      <c r="D9" s="13"/>
      <c r="E9" s="10"/>
      <c r="F9" s="9"/>
    </row>
    <row r="10" customFormat="false" ht="15" hidden="false" customHeight="true" outlineLevel="0" collapsed="false">
      <c r="A10" s="9"/>
      <c r="B10" s="9"/>
      <c r="C10" s="12"/>
      <c r="D10" s="13"/>
      <c r="E10" s="10"/>
      <c r="F10" s="9"/>
    </row>
    <row r="11" customFormat="false" ht="15" hidden="false" customHeight="true" outlineLevel="0" collapsed="false">
      <c r="A11" s="9"/>
      <c r="B11" s="9"/>
      <c r="C11" s="12"/>
      <c r="D11" s="13"/>
      <c r="E11" s="10"/>
      <c r="F11" s="9"/>
    </row>
    <row r="12" customFormat="false" ht="15" hidden="false" customHeight="true" outlineLevel="0" collapsed="false">
      <c r="A12" s="9"/>
      <c r="B12" s="9"/>
      <c r="C12" s="12"/>
      <c r="D12" s="13"/>
      <c r="E12" s="10"/>
      <c r="F12" s="9"/>
    </row>
    <row r="13" customFormat="false" ht="15" hidden="false" customHeight="true" outlineLevel="0" collapsed="false">
      <c r="A13" s="9"/>
      <c r="B13" s="9"/>
      <c r="C13" s="12"/>
      <c r="D13" s="13"/>
      <c r="E13" s="10"/>
      <c r="F13" s="9"/>
    </row>
    <row r="14" customFormat="false" ht="15" hidden="false" customHeight="true" outlineLevel="0" collapsed="false">
      <c r="A14" s="9"/>
      <c r="B14" s="9"/>
      <c r="C14" s="12"/>
      <c r="D14" s="13"/>
      <c r="E14" s="10"/>
      <c r="F14" s="9"/>
    </row>
    <row r="15" customFormat="false" ht="15" hidden="false" customHeight="true" outlineLevel="0" collapsed="false">
      <c r="A15" s="9"/>
      <c r="B15" s="9"/>
      <c r="C15" s="12"/>
      <c r="D15" s="13"/>
      <c r="E15" s="10"/>
      <c r="F15" s="9"/>
    </row>
    <row r="16" customFormat="false" ht="15" hidden="false" customHeight="true" outlineLevel="0" collapsed="false">
      <c r="A16" s="9"/>
      <c r="B16" s="9"/>
      <c r="C16" s="12"/>
      <c r="D16" s="13"/>
      <c r="E16" s="10"/>
      <c r="F16" s="9"/>
    </row>
    <row r="17" customFormat="false" ht="15" hidden="false" customHeight="true" outlineLevel="0" collapsed="false">
      <c r="A17" s="9"/>
      <c r="B17" s="9"/>
      <c r="C17" s="12"/>
      <c r="D17" s="13"/>
      <c r="E17" s="10"/>
      <c r="F17" s="9"/>
    </row>
    <row r="18" customFormat="false" ht="15" hidden="false" customHeight="true" outlineLevel="0" collapsed="false">
      <c r="A18" s="9"/>
      <c r="B18" s="9"/>
      <c r="C18" s="12"/>
      <c r="D18" s="13"/>
      <c r="E18" s="10"/>
      <c r="F18" s="9"/>
    </row>
    <row r="19" customFormat="false" ht="15" hidden="false" customHeight="true" outlineLevel="0" collapsed="false">
      <c r="A19" s="9"/>
      <c r="B19" s="9"/>
      <c r="C19" s="12"/>
      <c r="D19" s="13"/>
      <c r="E19" s="10"/>
      <c r="F19" s="9"/>
    </row>
    <row r="20" customFormat="false" ht="15" hidden="false" customHeight="true" outlineLevel="0" collapsed="false">
      <c r="A20" s="9"/>
      <c r="B20" s="9"/>
      <c r="C20" s="12"/>
      <c r="D20" s="13"/>
      <c r="E20" s="10"/>
      <c r="F20" s="9"/>
    </row>
    <row r="21" customFormat="false" ht="15" hidden="false" customHeight="true" outlineLevel="0" collapsed="false">
      <c r="A21" s="9"/>
      <c r="B21" s="9"/>
      <c r="C21" s="12"/>
      <c r="D21" s="13"/>
      <c r="E21" s="10"/>
      <c r="F21" s="9"/>
    </row>
    <row r="22" customFormat="false" ht="15" hidden="false" customHeight="true" outlineLevel="0" collapsed="false">
      <c r="A22" s="9"/>
      <c r="B22" s="9"/>
      <c r="C22" s="12"/>
      <c r="D22" s="13"/>
      <c r="E22" s="10"/>
      <c r="F22" s="9"/>
    </row>
    <row r="23" customFormat="false" ht="15" hidden="false" customHeight="true" outlineLevel="0" collapsed="false">
      <c r="A23" s="9"/>
      <c r="B23" s="9"/>
      <c r="C23" s="12"/>
      <c r="D23" s="13"/>
      <c r="E23" s="10"/>
      <c r="F23" s="9"/>
    </row>
    <row r="24" customFormat="false" ht="15" hidden="false" customHeight="true" outlineLevel="0" collapsed="false">
      <c r="A24" s="9"/>
      <c r="B24" s="9"/>
      <c r="C24" s="12"/>
      <c r="D24" s="13"/>
      <c r="E24" s="10"/>
      <c r="F24" s="9"/>
    </row>
    <row r="25" customFormat="false" ht="15" hidden="false" customHeight="true" outlineLevel="0" collapsed="false">
      <c r="A25" s="9"/>
      <c r="B25" s="9"/>
      <c r="C25" s="12"/>
      <c r="D25" s="13"/>
      <c r="E25" s="10"/>
      <c r="F25" s="9"/>
    </row>
    <row r="26" customFormat="false" ht="15" hidden="false" customHeight="true" outlineLevel="0" collapsed="false">
      <c r="A26" s="9"/>
      <c r="B26" s="9"/>
      <c r="C26" s="12"/>
      <c r="D26" s="13"/>
      <c r="E26" s="10"/>
      <c r="F26" s="9"/>
    </row>
    <row r="27" customFormat="false" ht="15" hidden="false" customHeight="true" outlineLevel="0" collapsed="false">
      <c r="A27" s="9"/>
      <c r="B27" s="9"/>
      <c r="C27" s="12"/>
      <c r="D27" s="13"/>
      <c r="E27" s="10"/>
      <c r="F27" s="9"/>
    </row>
    <row r="28" customFormat="false" ht="15" hidden="false" customHeight="true" outlineLevel="0" collapsed="false">
      <c r="A28" s="9"/>
      <c r="B28" s="9"/>
      <c r="C28" s="12"/>
      <c r="D28" s="13"/>
      <c r="E28" s="10"/>
      <c r="F28" s="9"/>
    </row>
    <row r="29" customFormat="false" ht="15" hidden="false" customHeight="true" outlineLevel="0" collapsed="false">
      <c r="A29" s="9"/>
      <c r="B29" s="9"/>
      <c r="C29" s="12"/>
      <c r="D29" s="13"/>
      <c r="E29" s="10"/>
      <c r="F29" s="9"/>
    </row>
    <row r="30" customFormat="false" ht="15" hidden="false" customHeight="true" outlineLevel="0" collapsed="false">
      <c r="A30" s="9"/>
      <c r="B30" s="9"/>
      <c r="C30" s="12"/>
      <c r="D30" s="13"/>
      <c r="E30" s="10"/>
      <c r="F30" s="9"/>
    </row>
    <row r="31" customFormat="false" ht="15" hidden="false" customHeight="true" outlineLevel="0" collapsed="false">
      <c r="A31" s="9"/>
      <c r="B31" s="9"/>
      <c r="C31" s="12"/>
      <c r="D31" s="13"/>
      <c r="E31" s="10"/>
      <c r="F31" s="9"/>
    </row>
    <row r="32" customFormat="false" ht="15" hidden="false" customHeight="true" outlineLevel="0" collapsed="false">
      <c r="A32" s="9"/>
      <c r="B32" s="9"/>
      <c r="C32" s="12"/>
      <c r="D32" s="13"/>
      <c r="E32" s="10"/>
      <c r="F32" s="9"/>
    </row>
    <row r="33" customFormat="false" ht="15" hidden="false" customHeight="true" outlineLevel="0" collapsed="false">
      <c r="A33" s="9"/>
      <c r="B33" s="9"/>
      <c r="C33" s="12"/>
      <c r="D33" s="13"/>
      <c r="E33" s="10"/>
      <c r="F33" s="9"/>
    </row>
    <row r="34" customFormat="false" ht="15" hidden="false" customHeight="true" outlineLevel="0" collapsed="false">
      <c r="A34" s="9"/>
      <c r="B34" s="9"/>
      <c r="C34" s="12"/>
      <c r="D34" s="13"/>
      <c r="E34" s="10"/>
      <c r="F34" s="9"/>
    </row>
    <row r="35" customFormat="false" ht="15" hidden="false" customHeight="true" outlineLevel="0" collapsed="false">
      <c r="A35" s="9"/>
      <c r="B35" s="9"/>
      <c r="C35" s="12"/>
      <c r="D35" s="13"/>
      <c r="E35" s="10"/>
      <c r="F35" s="9"/>
    </row>
    <row r="36" customFormat="false" ht="15" hidden="false" customHeight="true" outlineLevel="0" collapsed="false">
      <c r="A36" s="9"/>
      <c r="B36" s="9"/>
      <c r="C36" s="12"/>
      <c r="D36" s="13"/>
      <c r="E36" s="10"/>
      <c r="F36" s="9"/>
    </row>
    <row r="37" customFormat="false" ht="15" hidden="false" customHeight="true" outlineLevel="0" collapsed="false">
      <c r="A37" s="9"/>
      <c r="B37" s="9"/>
      <c r="C37" s="12"/>
      <c r="D37" s="13"/>
      <c r="E37" s="10"/>
      <c r="F37" s="9"/>
    </row>
    <row r="38" customFormat="false" ht="15" hidden="false" customHeight="true" outlineLevel="0" collapsed="false">
      <c r="A38" s="9"/>
      <c r="B38" s="9"/>
      <c r="C38" s="12"/>
      <c r="D38" s="13"/>
      <c r="E38" s="10"/>
      <c r="F38" s="9"/>
    </row>
    <row r="39" customFormat="false" ht="15" hidden="false" customHeight="true" outlineLevel="0" collapsed="false">
      <c r="A39" s="9"/>
      <c r="B39" s="9"/>
      <c r="C39" s="12"/>
      <c r="D39" s="13"/>
      <c r="E39" s="10"/>
      <c r="F39" s="9"/>
    </row>
    <row r="40" customFormat="false" ht="15" hidden="false" customHeight="true" outlineLevel="0" collapsed="false">
      <c r="A40" s="9"/>
      <c r="B40" s="9"/>
      <c r="C40" s="12"/>
      <c r="D40" s="13"/>
      <c r="E40" s="10"/>
      <c r="F40" s="9"/>
    </row>
    <row r="41" customFormat="false" ht="15" hidden="false" customHeight="true" outlineLevel="0" collapsed="false">
      <c r="A41" s="9"/>
      <c r="B41" s="9"/>
      <c r="C41" s="12"/>
      <c r="D41" s="13"/>
      <c r="E41" s="10"/>
      <c r="F41" s="9"/>
    </row>
    <row r="42" customFormat="false" ht="15" hidden="false" customHeight="true" outlineLevel="0" collapsed="false">
      <c r="A42" s="9"/>
      <c r="B42" s="9"/>
      <c r="C42" s="12"/>
      <c r="D42" s="13"/>
      <c r="E42" s="10"/>
      <c r="F42" s="9"/>
    </row>
    <row r="43" customFormat="false" ht="15" hidden="false" customHeight="true" outlineLevel="0" collapsed="false">
      <c r="A43" s="9"/>
      <c r="B43" s="9"/>
      <c r="C43" s="12"/>
      <c r="D43" s="13"/>
      <c r="E43" s="10"/>
      <c r="F43" s="9"/>
    </row>
    <row r="44" customFormat="false" ht="15" hidden="false" customHeight="true" outlineLevel="0" collapsed="false">
      <c r="A44" s="9"/>
      <c r="B44" s="9"/>
      <c r="C44" s="12"/>
      <c r="D44" s="13"/>
      <c r="E44" s="10"/>
      <c r="F44" s="9"/>
    </row>
    <row r="45" customFormat="false" ht="15" hidden="false" customHeight="true" outlineLevel="0" collapsed="false">
      <c r="A45" s="9"/>
      <c r="B45" s="9"/>
      <c r="C45" s="12"/>
      <c r="D45" s="13"/>
      <c r="E45" s="10"/>
      <c r="F45" s="9"/>
    </row>
    <row r="46" customFormat="false" ht="15" hidden="false" customHeight="true" outlineLevel="0" collapsed="false">
      <c r="A46" s="9"/>
      <c r="B46" s="9"/>
      <c r="C46" s="12"/>
      <c r="D46" s="13"/>
      <c r="E46" s="10"/>
      <c r="F46" s="9"/>
    </row>
    <row r="47" customFormat="false" ht="15" hidden="false" customHeight="true" outlineLevel="0" collapsed="false">
      <c r="A47" s="9"/>
      <c r="B47" s="9"/>
      <c r="C47" s="12"/>
      <c r="D47" s="13"/>
      <c r="E47" s="10"/>
      <c r="F47" s="9"/>
    </row>
    <row r="48" customFormat="false" ht="15" hidden="false" customHeight="true" outlineLevel="0" collapsed="false">
      <c r="A48" s="9"/>
      <c r="B48" s="9"/>
      <c r="C48" s="12"/>
      <c r="D48" s="13"/>
      <c r="E48" s="10"/>
      <c r="F48" s="9"/>
    </row>
    <row r="49" customFormat="false" ht="15" hidden="false" customHeight="true" outlineLevel="0" collapsed="false">
      <c r="A49" s="9"/>
      <c r="B49" s="9"/>
      <c r="C49" s="12"/>
      <c r="D49" s="13"/>
      <c r="E49" s="10"/>
      <c r="F49" s="9"/>
    </row>
    <row r="50" customFormat="false" ht="15" hidden="false" customHeight="true" outlineLevel="0" collapsed="false">
      <c r="A50" s="9"/>
      <c r="B50" s="9"/>
      <c r="C50" s="12"/>
      <c r="D50" s="13"/>
      <c r="E50" s="10"/>
      <c r="F50" s="9"/>
    </row>
    <row r="51" customFormat="false" ht="15" hidden="false" customHeight="true" outlineLevel="0" collapsed="false">
      <c r="A51" s="9"/>
      <c r="B51" s="9"/>
      <c r="C51" s="12"/>
      <c r="D51" s="13"/>
      <c r="E51" s="10"/>
      <c r="F51" s="9"/>
    </row>
    <row r="52" customFormat="false" ht="15" hidden="false" customHeight="true" outlineLevel="0" collapsed="false">
      <c r="A52" s="9"/>
      <c r="B52" s="9"/>
      <c r="C52" s="12"/>
      <c r="D52" s="13"/>
      <c r="E52" s="10"/>
      <c r="F52" s="9"/>
    </row>
    <row r="53" customFormat="false" ht="15" hidden="false" customHeight="true" outlineLevel="0" collapsed="false">
      <c r="A53" s="9"/>
      <c r="B53" s="9"/>
      <c r="C53" s="12"/>
      <c r="D53" s="13"/>
      <c r="E53" s="10"/>
      <c r="F53" s="9"/>
    </row>
    <row r="54" customFormat="false" ht="15" hidden="false" customHeight="true" outlineLevel="0" collapsed="false">
      <c r="A54" s="9"/>
      <c r="B54" s="9"/>
      <c r="C54" s="12"/>
      <c r="D54" s="13"/>
      <c r="E54" s="10"/>
      <c r="F54" s="9"/>
    </row>
    <row r="55" customFormat="false" ht="15" hidden="false" customHeight="true" outlineLevel="0" collapsed="false">
      <c r="A55" s="9"/>
      <c r="B55" s="9"/>
      <c r="C55" s="12"/>
      <c r="D55" s="13"/>
      <c r="E55" s="10"/>
      <c r="F55" s="9"/>
    </row>
    <row r="56" customFormat="false" ht="15" hidden="false" customHeight="true" outlineLevel="0" collapsed="false">
      <c r="A56" s="9"/>
      <c r="B56" s="9"/>
      <c r="C56" s="12"/>
      <c r="D56" s="13"/>
      <c r="E56" s="10"/>
      <c r="F56" s="9"/>
    </row>
    <row r="57" customFormat="false" ht="15" hidden="false" customHeight="true" outlineLevel="0" collapsed="false">
      <c r="A57" s="9"/>
      <c r="B57" s="9"/>
      <c r="C57" s="12"/>
      <c r="D57" s="13"/>
      <c r="E57" s="10"/>
      <c r="F57" s="9"/>
    </row>
    <row r="58" customFormat="false" ht="15" hidden="false" customHeight="true" outlineLevel="0" collapsed="false">
      <c r="A58" s="9"/>
      <c r="B58" s="9"/>
      <c r="C58" s="12"/>
      <c r="D58" s="13"/>
      <c r="E58" s="10"/>
      <c r="F58" s="9"/>
    </row>
    <row r="59" customFormat="false" ht="15" hidden="false" customHeight="true" outlineLevel="0" collapsed="false">
      <c r="A59" s="9"/>
      <c r="B59" s="9"/>
      <c r="C59" s="12"/>
      <c r="D59" s="13"/>
      <c r="E59" s="10"/>
      <c r="F59" s="9"/>
    </row>
    <row r="60" customFormat="false" ht="15" hidden="false" customHeight="true" outlineLevel="0" collapsed="false">
      <c r="A60" s="9"/>
      <c r="B60" s="9"/>
      <c r="C60" s="12"/>
      <c r="D60" s="13"/>
      <c r="E60" s="10"/>
      <c r="F60" s="9"/>
    </row>
    <row r="61" customFormat="false" ht="15" hidden="false" customHeight="true" outlineLevel="0" collapsed="false">
      <c r="A61" s="9"/>
      <c r="B61" s="9"/>
      <c r="C61" s="12"/>
      <c r="D61" s="13"/>
      <c r="E61" s="10"/>
      <c r="F61" s="9"/>
    </row>
    <row r="62" customFormat="false" ht="15" hidden="false" customHeight="true" outlineLevel="0" collapsed="false">
      <c r="A62" s="9"/>
      <c r="B62" s="9"/>
      <c r="C62" s="12"/>
      <c r="D62" s="13"/>
      <c r="E62" s="10"/>
      <c r="F62" s="9"/>
    </row>
    <row r="63" customFormat="false" ht="15" hidden="false" customHeight="true" outlineLevel="0" collapsed="false">
      <c r="A63" s="9"/>
      <c r="B63" s="9"/>
      <c r="C63" s="12"/>
      <c r="D63" s="13"/>
      <c r="E63" s="10"/>
      <c r="F63" s="9"/>
    </row>
    <row r="64" customFormat="false" ht="15" hidden="false" customHeight="true" outlineLevel="0" collapsed="false">
      <c r="A64" s="9"/>
      <c r="B64" s="9"/>
      <c r="C64" s="12"/>
      <c r="D64" s="13"/>
      <c r="E64" s="10"/>
      <c r="F64" s="9"/>
    </row>
    <row r="65" customFormat="false" ht="15" hidden="false" customHeight="true" outlineLevel="0" collapsed="false">
      <c r="A65" s="9"/>
      <c r="B65" s="9"/>
      <c r="C65" s="12"/>
      <c r="D65" s="13"/>
      <c r="E65" s="10"/>
      <c r="F65" s="9"/>
    </row>
    <row r="66" customFormat="false" ht="15" hidden="false" customHeight="true" outlineLevel="0" collapsed="false">
      <c r="A66" s="9"/>
      <c r="B66" s="9"/>
      <c r="C66" s="12"/>
      <c r="D66" s="13"/>
      <c r="E66" s="10"/>
      <c r="F66" s="9"/>
    </row>
    <row r="67" customFormat="false" ht="15" hidden="false" customHeight="true" outlineLevel="0" collapsed="false">
      <c r="A67" s="9"/>
      <c r="B67" s="9"/>
      <c r="C67" s="12"/>
      <c r="D67" s="13"/>
      <c r="E67" s="10"/>
      <c r="F67" s="9"/>
    </row>
    <row r="68" customFormat="false" ht="15" hidden="false" customHeight="true" outlineLevel="0" collapsed="false">
      <c r="A68" s="9"/>
      <c r="B68" s="9"/>
      <c r="C68" s="12"/>
      <c r="D68" s="13"/>
      <c r="E68" s="10"/>
      <c r="F68" s="9"/>
    </row>
    <row r="69" customFormat="false" ht="15" hidden="false" customHeight="true" outlineLevel="0" collapsed="false">
      <c r="A69" s="9"/>
      <c r="B69" s="9"/>
      <c r="C69" s="12"/>
      <c r="D69" s="13"/>
      <c r="E69" s="10"/>
      <c r="F69" s="9"/>
    </row>
    <row r="70" customFormat="false" ht="15" hidden="false" customHeight="true" outlineLevel="0" collapsed="false">
      <c r="A70" s="9"/>
      <c r="B70" s="9"/>
      <c r="C70" s="12"/>
      <c r="D70" s="13"/>
      <c r="E70" s="10"/>
      <c r="F70" s="9"/>
    </row>
    <row r="71" customFormat="false" ht="15" hidden="false" customHeight="true" outlineLevel="0" collapsed="false">
      <c r="A71" s="9"/>
      <c r="B71" s="9"/>
      <c r="C71" s="12"/>
      <c r="D71" s="13"/>
      <c r="E71" s="10"/>
      <c r="F71" s="9"/>
    </row>
    <row r="72" customFormat="false" ht="15" hidden="false" customHeight="true" outlineLevel="0" collapsed="false">
      <c r="A72" s="9"/>
      <c r="B72" s="9"/>
      <c r="C72" s="12"/>
      <c r="D72" s="13"/>
      <c r="E72" s="10"/>
      <c r="F72" s="9"/>
    </row>
    <row r="73" customFormat="false" ht="15" hidden="false" customHeight="true" outlineLevel="0" collapsed="false">
      <c r="A73" s="9"/>
      <c r="B73" s="9"/>
      <c r="C73" s="12"/>
      <c r="D73" s="13"/>
      <c r="E73" s="10"/>
      <c r="F73" s="9"/>
    </row>
    <row r="74" customFormat="false" ht="15" hidden="false" customHeight="true" outlineLevel="0" collapsed="false">
      <c r="A74" s="9"/>
      <c r="B74" s="9"/>
      <c r="C74" s="12"/>
      <c r="D74" s="13"/>
      <c r="E74" s="10"/>
      <c r="F74" s="9"/>
    </row>
    <row r="75" customFormat="false" ht="15" hidden="false" customHeight="true" outlineLevel="0" collapsed="false">
      <c r="A75" s="9"/>
      <c r="B75" s="9"/>
      <c r="C75" s="12"/>
      <c r="D75" s="13"/>
      <c r="E75" s="10"/>
      <c r="F75" s="9"/>
    </row>
    <row r="76" customFormat="false" ht="15" hidden="false" customHeight="true" outlineLevel="0" collapsed="false">
      <c r="A76" s="9"/>
      <c r="B76" s="9"/>
      <c r="C76" s="12"/>
      <c r="D76" s="13"/>
      <c r="E76" s="10"/>
      <c r="F76" s="9"/>
    </row>
    <row r="77" customFormat="false" ht="15" hidden="false" customHeight="true" outlineLevel="0" collapsed="false">
      <c r="A77" s="9"/>
      <c r="B77" s="9"/>
      <c r="C77" s="12"/>
      <c r="D77" s="13"/>
      <c r="E77" s="10"/>
      <c r="F77" s="9"/>
    </row>
    <row r="78" customFormat="false" ht="15" hidden="false" customHeight="true" outlineLevel="0" collapsed="false">
      <c r="A78" s="9"/>
      <c r="B78" s="9"/>
      <c r="C78" s="12"/>
      <c r="D78" s="13"/>
      <c r="E78" s="10"/>
      <c r="F78" s="9"/>
    </row>
    <row r="79" customFormat="false" ht="15" hidden="false" customHeight="true" outlineLevel="0" collapsed="false">
      <c r="A79" s="9"/>
      <c r="B79" s="9"/>
      <c r="C79" s="12"/>
      <c r="D79" s="13"/>
      <c r="E79" s="10"/>
      <c r="F79" s="9"/>
    </row>
    <row r="80" customFormat="false" ht="15" hidden="false" customHeight="true" outlineLevel="0" collapsed="false">
      <c r="A80" s="9"/>
      <c r="B80" s="9"/>
      <c r="C80" s="12"/>
      <c r="D80" s="13"/>
      <c r="E80" s="10"/>
      <c r="F80" s="9"/>
    </row>
    <row r="81" customFormat="false" ht="15" hidden="false" customHeight="true" outlineLevel="0" collapsed="false">
      <c r="A81" s="9"/>
      <c r="B81" s="9"/>
      <c r="C81" s="12"/>
      <c r="D81" s="13"/>
      <c r="E81" s="10"/>
      <c r="F81" s="9"/>
    </row>
    <row r="82" customFormat="false" ht="15" hidden="false" customHeight="true" outlineLevel="0" collapsed="false">
      <c r="A82" s="9"/>
      <c r="B82" s="9"/>
      <c r="C82" s="12"/>
      <c r="D82" s="13"/>
      <c r="E82" s="10"/>
      <c r="F82" s="9"/>
    </row>
    <row r="83" customFormat="false" ht="15" hidden="false" customHeight="true" outlineLevel="0" collapsed="false">
      <c r="A83" s="9"/>
      <c r="B83" s="9"/>
      <c r="C83" s="12"/>
      <c r="D83" s="13"/>
      <c r="E83" s="10"/>
      <c r="F83" s="9"/>
    </row>
    <row r="84" customFormat="false" ht="15" hidden="false" customHeight="true" outlineLevel="0" collapsed="false">
      <c r="A84" s="9"/>
      <c r="B84" s="9"/>
      <c r="C84" s="12"/>
      <c r="D84" s="13"/>
      <c r="E84" s="10"/>
      <c r="F84" s="9"/>
    </row>
    <row r="85" customFormat="false" ht="15" hidden="false" customHeight="true" outlineLevel="0" collapsed="false">
      <c r="A85" s="9"/>
      <c r="B85" s="9"/>
      <c r="C85" s="12"/>
      <c r="D85" s="13"/>
      <c r="E85" s="10"/>
      <c r="F85" s="9"/>
    </row>
    <row r="86" customFormat="false" ht="15" hidden="false" customHeight="true" outlineLevel="0" collapsed="false">
      <c r="A86" s="9"/>
      <c r="B86" s="9"/>
      <c r="C86" s="12"/>
      <c r="D86" s="13"/>
      <c r="E86" s="10"/>
      <c r="F86" s="9"/>
    </row>
    <row r="87" customFormat="false" ht="15" hidden="false" customHeight="true" outlineLevel="0" collapsed="false">
      <c r="A87" s="9"/>
      <c r="B87" s="9"/>
      <c r="C87" s="12"/>
      <c r="D87" s="13"/>
      <c r="E87" s="10"/>
      <c r="F87" s="9"/>
    </row>
    <row r="88" customFormat="false" ht="15" hidden="false" customHeight="true" outlineLevel="0" collapsed="false">
      <c r="A88" s="9"/>
      <c r="B88" s="9"/>
      <c r="C88" s="12"/>
      <c r="D88" s="13"/>
      <c r="E88" s="10"/>
      <c r="F88" s="9"/>
    </row>
    <row r="89" customFormat="false" ht="15" hidden="false" customHeight="true" outlineLevel="0" collapsed="false">
      <c r="A89" s="9"/>
      <c r="B89" s="9"/>
      <c r="C89" s="12"/>
      <c r="D89" s="13"/>
      <c r="E89" s="10"/>
      <c r="F89" s="9"/>
    </row>
    <row r="90" customFormat="false" ht="15" hidden="false" customHeight="true" outlineLevel="0" collapsed="false">
      <c r="A90" s="9"/>
      <c r="B90" s="9"/>
      <c r="C90" s="12"/>
      <c r="D90" s="13"/>
      <c r="E90" s="10"/>
      <c r="F90" s="9"/>
    </row>
    <row r="91" customFormat="false" ht="15" hidden="false" customHeight="true" outlineLevel="0" collapsed="false">
      <c r="A91" s="9"/>
      <c r="B91" s="9"/>
      <c r="C91" s="12"/>
      <c r="D91" s="13"/>
      <c r="E91" s="10"/>
      <c r="F91" s="9"/>
    </row>
    <row r="92" customFormat="false" ht="15" hidden="false" customHeight="true" outlineLevel="0" collapsed="false">
      <c r="A92" s="9"/>
      <c r="B92" s="9"/>
      <c r="C92" s="12"/>
      <c r="D92" s="13"/>
      <c r="E92" s="10"/>
      <c r="F92" s="9"/>
    </row>
    <row r="93" customFormat="false" ht="15" hidden="false" customHeight="true" outlineLevel="0" collapsed="false">
      <c r="A93" s="9"/>
      <c r="B93" s="9"/>
      <c r="C93" s="12"/>
      <c r="D93" s="13"/>
      <c r="E93" s="10"/>
      <c r="F93" s="9"/>
    </row>
    <row r="94" customFormat="false" ht="15" hidden="false" customHeight="true" outlineLevel="0" collapsed="false">
      <c r="A94" s="9"/>
      <c r="B94" s="9"/>
      <c r="C94" s="12"/>
      <c r="D94" s="13"/>
      <c r="E94" s="10"/>
      <c r="F94" s="9"/>
    </row>
    <row r="95" customFormat="false" ht="15" hidden="false" customHeight="true" outlineLevel="0" collapsed="false">
      <c r="A95" s="9"/>
      <c r="B95" s="9"/>
      <c r="C95" s="12"/>
      <c r="D95" s="13"/>
      <c r="E95" s="10"/>
      <c r="F95" s="9"/>
    </row>
    <row r="96" customFormat="false" ht="15" hidden="false" customHeight="true" outlineLevel="0" collapsed="false">
      <c r="A96" s="9"/>
      <c r="B96" s="9"/>
      <c r="C96" s="12"/>
      <c r="D96" s="13"/>
      <c r="E96" s="10"/>
      <c r="F96" s="9"/>
    </row>
    <row r="97" customFormat="false" ht="15" hidden="false" customHeight="true" outlineLevel="0" collapsed="false">
      <c r="A97" s="9"/>
      <c r="B97" s="9"/>
      <c r="C97" s="12"/>
      <c r="D97" s="13"/>
      <c r="E97" s="10"/>
      <c r="F97" s="9"/>
    </row>
    <row r="98" customFormat="false" ht="15" hidden="false" customHeight="true" outlineLevel="0" collapsed="false">
      <c r="A98" s="9"/>
      <c r="B98" s="9"/>
      <c r="C98" s="12"/>
      <c r="D98" s="13"/>
      <c r="E98" s="10"/>
      <c r="F98" s="9"/>
    </row>
    <row r="99" customFormat="false" ht="15" hidden="false" customHeight="true" outlineLevel="0" collapsed="false">
      <c r="A99" s="9"/>
      <c r="B99" s="9"/>
      <c r="C99" s="12"/>
      <c r="D99" s="13"/>
      <c r="E99" s="10"/>
      <c r="F99" s="9"/>
    </row>
    <row r="100" customFormat="false" ht="15" hidden="false" customHeight="true" outlineLevel="0" collapsed="false">
      <c r="A100" s="9"/>
      <c r="B100" s="9"/>
      <c r="C100" s="12"/>
      <c r="D100" s="13"/>
      <c r="E100" s="10"/>
      <c r="F100" s="9"/>
    </row>
    <row r="101" customFormat="false" ht="15" hidden="false" customHeight="true" outlineLevel="0" collapsed="false">
      <c r="A101" s="9"/>
      <c r="B101" s="9"/>
      <c r="C101" s="12"/>
      <c r="D101" s="13"/>
      <c r="E101" s="10"/>
      <c r="F101" s="9"/>
    </row>
    <row r="102" customFormat="false" ht="15" hidden="false" customHeight="true" outlineLevel="0" collapsed="false">
      <c r="A102" s="9"/>
      <c r="B102" s="9"/>
      <c r="C102" s="12"/>
      <c r="D102" s="13"/>
      <c r="E102" s="10"/>
      <c r="F102" s="9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E3:E102" type="list">
      <formula1>"법정,사내,자격,기타"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30"/>
    <col collapsed="false" customWidth="true" hidden="false" outlineLevel="0" max="6" min="6" style="1" width="13"/>
    <col collapsed="false" customWidth="true" hidden="false" outlineLevel="0" max="8" min="7" style="1" width="24"/>
  </cols>
  <sheetData>
    <row r="1" customFormat="false" ht="25.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8" t="s">
        <v>62</v>
      </c>
      <c r="B2" s="8" t="s">
        <v>26</v>
      </c>
      <c r="C2" s="14" t="s">
        <v>63</v>
      </c>
      <c r="D2" s="8" t="s">
        <v>45</v>
      </c>
      <c r="E2" s="14" t="s">
        <v>64</v>
      </c>
      <c r="F2" s="8" t="s">
        <v>48</v>
      </c>
      <c r="G2" s="8" t="s">
        <v>65</v>
      </c>
      <c r="H2" s="8" t="s">
        <v>50</v>
      </c>
    </row>
    <row r="3" customFormat="false" ht="15" hidden="false" customHeight="true" outlineLevel="0" collapsed="false">
      <c r="A3" s="11" t="n">
        <v>46213</v>
      </c>
      <c r="B3" s="9" t="s">
        <v>32</v>
      </c>
      <c r="C3" s="15" t="str">
        <f aca="false">IF($B3="","",IFERROR(INDEX(직원목록!$B$3:$B$302,MATCH($B3,직원목록!$A$3:$A$302,0)),"미등록사번"))</f>
        <v>김직원</v>
      </c>
      <c r="D3" s="9" t="s">
        <v>51</v>
      </c>
      <c r="E3" s="15" t="str">
        <f aca="false">IF($D3="","",IFERROR(INDEX(교육과정!$B$3:$B$102,MATCH($D3,교육과정!$A$3:$A$102,0)),"미등록과정"))</f>
        <v>산업안전보건교육</v>
      </c>
      <c r="F3" s="13" t="n">
        <v>6</v>
      </c>
      <c r="G3" s="10" t="s">
        <v>66</v>
      </c>
      <c r="H3" s="9"/>
    </row>
    <row r="4" customFormat="false" ht="15" hidden="false" customHeight="true" outlineLevel="0" collapsed="false">
      <c r="A4" s="11" t="n">
        <v>46086</v>
      </c>
      <c r="B4" s="9" t="s">
        <v>32</v>
      </c>
      <c r="C4" s="15" t="str">
        <f aca="false">IF($B4="","",IFERROR(INDEX(직원목록!$B$3:$B$302,MATCH($B4,직원목록!$A$3:$A$302,0)),"미등록사번"))</f>
        <v>김직원</v>
      </c>
      <c r="D4" s="9" t="s">
        <v>54</v>
      </c>
      <c r="E4" s="15" t="str">
        <f aca="false">IF($D4="","",IFERROR(INDEX(교육과정!$B$3:$B$102,MATCH($D4,교육과정!$A$3:$A$102,0)),"미등록과정"))</f>
        <v>성희롱 예방교육</v>
      </c>
      <c r="F4" s="13" t="n">
        <v>1</v>
      </c>
      <c r="G4" s="10" t="s">
        <v>67</v>
      </c>
      <c r="H4" s="9"/>
    </row>
    <row r="5" customFormat="false" ht="15" hidden="false" customHeight="true" outlineLevel="0" collapsed="false">
      <c r="A5" s="11" t="n">
        <v>46254</v>
      </c>
      <c r="B5" s="9" t="s">
        <v>37</v>
      </c>
      <c r="C5" s="15" t="str">
        <f aca="false">IF($B5="","",IFERROR(INDEX(직원목록!$B$3:$B$302,MATCH($B5,직원목록!$A$3:$A$302,0)),"미등록사번"))</f>
        <v>이직원</v>
      </c>
      <c r="D5" s="9" t="s">
        <v>51</v>
      </c>
      <c r="E5" s="15" t="str">
        <f aca="false">IF($D5="","",IFERROR(INDEX(교육과정!$B$3:$B$102,MATCH($D5,교육과정!$A$3:$A$102,0)),"미등록과정"))</f>
        <v>산업안전보건교육</v>
      </c>
      <c r="F5" s="13" t="n">
        <v>6</v>
      </c>
      <c r="G5" s="10" t="s">
        <v>66</v>
      </c>
      <c r="H5" s="9"/>
    </row>
    <row r="6" customFormat="false" ht="15" hidden="false" customHeight="true" outlineLevel="0" collapsed="false">
      <c r="A6" s="11" t="n">
        <v>45809</v>
      </c>
      <c r="B6" s="9" t="s">
        <v>40</v>
      </c>
      <c r="C6" s="15" t="str">
        <f aca="false">IF($B6="","",IFERROR(INDEX(직원목록!$B$3:$B$302,MATCH($B6,직원목록!$A$3:$A$302,0)),"미등록사번"))</f>
        <v>박직원</v>
      </c>
      <c r="D6" s="9" t="s">
        <v>54</v>
      </c>
      <c r="E6" s="15" t="str">
        <f aca="false">IF($D6="","",IFERROR(INDEX(교육과정!$B$3:$B$102,MATCH($D6,교육과정!$A$3:$A$102,0)),"미등록과정"))</f>
        <v>성희롱 예방교육</v>
      </c>
      <c r="F6" s="13" t="n">
        <v>1</v>
      </c>
      <c r="G6" s="10" t="s">
        <v>67</v>
      </c>
      <c r="H6" s="9"/>
    </row>
    <row r="7" customFormat="false" ht="15" hidden="false" customHeight="true" outlineLevel="0" collapsed="false">
      <c r="A7" s="11"/>
      <c r="B7" s="9"/>
      <c r="C7" s="15" t="str">
        <f aca="false">IF($B7="","",IFERROR(INDEX(직원목록!$B$3:$B$302,MATCH($B7,직원목록!$A$3:$A$302,0)),"미등록사번"))</f>
        <v/>
      </c>
      <c r="D7" s="9"/>
      <c r="E7" s="15" t="str">
        <f aca="false">IF($D7="","",IFERROR(INDEX(교육과정!$B$3:$B$102,MATCH($D7,교육과정!$A$3:$A$102,0)),"미등록과정"))</f>
        <v/>
      </c>
      <c r="F7" s="13"/>
      <c r="G7" s="9"/>
      <c r="H7" s="9"/>
    </row>
    <row r="8" customFormat="false" ht="15" hidden="false" customHeight="true" outlineLevel="0" collapsed="false">
      <c r="A8" s="11"/>
      <c r="B8" s="9"/>
      <c r="C8" s="15" t="str">
        <f aca="false">IF($B8="","",IFERROR(INDEX(직원목록!$B$3:$B$302,MATCH($B8,직원목록!$A$3:$A$302,0)),"미등록사번"))</f>
        <v/>
      </c>
      <c r="D8" s="9"/>
      <c r="E8" s="15" t="str">
        <f aca="false">IF($D8="","",IFERROR(INDEX(교육과정!$B$3:$B$102,MATCH($D8,교육과정!$A$3:$A$102,0)),"미등록과정"))</f>
        <v/>
      </c>
      <c r="F8" s="13"/>
      <c r="G8" s="9"/>
      <c r="H8" s="9"/>
    </row>
    <row r="9" customFormat="false" ht="15" hidden="false" customHeight="true" outlineLevel="0" collapsed="false">
      <c r="A9" s="11"/>
      <c r="B9" s="9"/>
      <c r="C9" s="15" t="str">
        <f aca="false">IF($B9="","",IFERROR(INDEX(직원목록!$B$3:$B$302,MATCH($B9,직원목록!$A$3:$A$302,0)),"미등록사번"))</f>
        <v/>
      </c>
      <c r="D9" s="9"/>
      <c r="E9" s="15" t="str">
        <f aca="false">IF($D9="","",IFERROR(INDEX(교육과정!$B$3:$B$102,MATCH($D9,교육과정!$A$3:$A$102,0)),"미등록과정"))</f>
        <v/>
      </c>
      <c r="F9" s="13"/>
      <c r="G9" s="9"/>
      <c r="H9" s="9"/>
    </row>
    <row r="10" customFormat="false" ht="15" hidden="false" customHeight="true" outlineLevel="0" collapsed="false">
      <c r="A10" s="11"/>
      <c r="B10" s="9"/>
      <c r="C10" s="15" t="str">
        <f aca="false">IF($B10="","",IFERROR(INDEX(직원목록!$B$3:$B$302,MATCH($B10,직원목록!$A$3:$A$302,0)),"미등록사번"))</f>
        <v/>
      </c>
      <c r="D10" s="9"/>
      <c r="E10" s="15" t="str">
        <f aca="false">IF($D10="","",IFERROR(INDEX(교육과정!$B$3:$B$102,MATCH($D10,교육과정!$A$3:$A$102,0)),"미등록과정"))</f>
        <v/>
      </c>
      <c r="F10" s="13"/>
      <c r="G10" s="9"/>
      <c r="H10" s="9"/>
    </row>
    <row r="11" customFormat="false" ht="15" hidden="false" customHeight="true" outlineLevel="0" collapsed="false">
      <c r="A11" s="11"/>
      <c r="B11" s="9"/>
      <c r="C11" s="15" t="str">
        <f aca="false">IF($B11="","",IFERROR(INDEX(직원목록!$B$3:$B$302,MATCH($B11,직원목록!$A$3:$A$302,0)),"미등록사번"))</f>
        <v/>
      </c>
      <c r="D11" s="9"/>
      <c r="E11" s="15" t="str">
        <f aca="false">IF($D11="","",IFERROR(INDEX(교육과정!$B$3:$B$102,MATCH($D11,교육과정!$A$3:$A$102,0)),"미등록과정"))</f>
        <v/>
      </c>
      <c r="F11" s="13"/>
      <c r="G11" s="9"/>
      <c r="H11" s="9"/>
    </row>
    <row r="12" customFormat="false" ht="15" hidden="false" customHeight="true" outlineLevel="0" collapsed="false">
      <c r="A12" s="11"/>
      <c r="B12" s="9"/>
      <c r="C12" s="15" t="str">
        <f aca="false">IF($B12="","",IFERROR(INDEX(직원목록!$B$3:$B$302,MATCH($B12,직원목록!$A$3:$A$302,0)),"미등록사번"))</f>
        <v/>
      </c>
      <c r="D12" s="9"/>
      <c r="E12" s="15" t="str">
        <f aca="false">IF($D12="","",IFERROR(INDEX(교육과정!$B$3:$B$102,MATCH($D12,교육과정!$A$3:$A$102,0)),"미등록과정"))</f>
        <v/>
      </c>
      <c r="F12" s="13"/>
      <c r="G12" s="9"/>
      <c r="H12" s="9"/>
    </row>
    <row r="13" customFormat="false" ht="15" hidden="false" customHeight="true" outlineLevel="0" collapsed="false">
      <c r="A13" s="11"/>
      <c r="B13" s="9"/>
      <c r="C13" s="15" t="str">
        <f aca="false">IF($B13="","",IFERROR(INDEX(직원목록!$B$3:$B$302,MATCH($B13,직원목록!$A$3:$A$302,0)),"미등록사번"))</f>
        <v/>
      </c>
      <c r="D13" s="9"/>
      <c r="E13" s="15" t="str">
        <f aca="false">IF($D13="","",IFERROR(INDEX(교육과정!$B$3:$B$102,MATCH($D13,교육과정!$A$3:$A$102,0)),"미등록과정"))</f>
        <v/>
      </c>
      <c r="F13" s="13"/>
      <c r="G13" s="9"/>
      <c r="H13" s="9"/>
    </row>
    <row r="14" customFormat="false" ht="15" hidden="false" customHeight="true" outlineLevel="0" collapsed="false">
      <c r="A14" s="11"/>
      <c r="B14" s="9"/>
      <c r="C14" s="15" t="str">
        <f aca="false">IF($B14="","",IFERROR(INDEX(직원목록!$B$3:$B$302,MATCH($B14,직원목록!$A$3:$A$302,0)),"미등록사번"))</f>
        <v/>
      </c>
      <c r="D14" s="9"/>
      <c r="E14" s="15" t="str">
        <f aca="false">IF($D14="","",IFERROR(INDEX(교육과정!$B$3:$B$102,MATCH($D14,교육과정!$A$3:$A$102,0)),"미등록과정"))</f>
        <v/>
      </c>
      <c r="F14" s="13"/>
      <c r="G14" s="9"/>
      <c r="H14" s="9"/>
    </row>
    <row r="15" customFormat="false" ht="15" hidden="false" customHeight="true" outlineLevel="0" collapsed="false">
      <c r="A15" s="11"/>
      <c r="B15" s="9"/>
      <c r="C15" s="15" t="str">
        <f aca="false">IF($B15="","",IFERROR(INDEX(직원목록!$B$3:$B$302,MATCH($B15,직원목록!$A$3:$A$302,0)),"미등록사번"))</f>
        <v/>
      </c>
      <c r="D15" s="9"/>
      <c r="E15" s="15" t="str">
        <f aca="false">IF($D15="","",IFERROR(INDEX(교육과정!$B$3:$B$102,MATCH($D15,교육과정!$A$3:$A$102,0)),"미등록과정"))</f>
        <v/>
      </c>
      <c r="F15" s="13"/>
      <c r="G15" s="9"/>
      <c r="H15" s="9"/>
    </row>
    <row r="16" customFormat="false" ht="15" hidden="false" customHeight="true" outlineLevel="0" collapsed="false">
      <c r="A16" s="11"/>
      <c r="B16" s="9"/>
      <c r="C16" s="15" t="str">
        <f aca="false">IF($B16="","",IFERROR(INDEX(직원목록!$B$3:$B$302,MATCH($B16,직원목록!$A$3:$A$302,0)),"미등록사번"))</f>
        <v/>
      </c>
      <c r="D16" s="9"/>
      <c r="E16" s="15" t="str">
        <f aca="false">IF($D16="","",IFERROR(INDEX(교육과정!$B$3:$B$102,MATCH($D16,교육과정!$A$3:$A$102,0)),"미등록과정"))</f>
        <v/>
      </c>
      <c r="F16" s="13"/>
      <c r="G16" s="9"/>
      <c r="H16" s="9"/>
    </row>
    <row r="17" customFormat="false" ht="15" hidden="false" customHeight="true" outlineLevel="0" collapsed="false">
      <c r="A17" s="11"/>
      <c r="B17" s="9"/>
      <c r="C17" s="15" t="str">
        <f aca="false">IF($B17="","",IFERROR(INDEX(직원목록!$B$3:$B$302,MATCH($B17,직원목록!$A$3:$A$302,0)),"미등록사번"))</f>
        <v/>
      </c>
      <c r="D17" s="9"/>
      <c r="E17" s="15" t="str">
        <f aca="false">IF($D17="","",IFERROR(INDEX(교육과정!$B$3:$B$102,MATCH($D17,교육과정!$A$3:$A$102,0)),"미등록과정"))</f>
        <v/>
      </c>
      <c r="F17" s="13"/>
      <c r="G17" s="9"/>
      <c r="H17" s="9"/>
    </row>
    <row r="18" customFormat="false" ht="15" hidden="false" customHeight="true" outlineLevel="0" collapsed="false">
      <c r="A18" s="11"/>
      <c r="B18" s="9"/>
      <c r="C18" s="15" t="str">
        <f aca="false">IF($B18="","",IFERROR(INDEX(직원목록!$B$3:$B$302,MATCH($B18,직원목록!$A$3:$A$302,0)),"미등록사번"))</f>
        <v/>
      </c>
      <c r="D18" s="9"/>
      <c r="E18" s="15" t="str">
        <f aca="false">IF($D18="","",IFERROR(INDEX(교육과정!$B$3:$B$102,MATCH($D18,교육과정!$A$3:$A$102,0)),"미등록과정"))</f>
        <v/>
      </c>
      <c r="F18" s="13"/>
      <c r="G18" s="9"/>
      <c r="H18" s="9"/>
    </row>
    <row r="19" customFormat="false" ht="15" hidden="false" customHeight="true" outlineLevel="0" collapsed="false">
      <c r="A19" s="11"/>
      <c r="B19" s="9"/>
      <c r="C19" s="15" t="str">
        <f aca="false">IF($B19="","",IFERROR(INDEX(직원목록!$B$3:$B$302,MATCH($B19,직원목록!$A$3:$A$302,0)),"미등록사번"))</f>
        <v/>
      </c>
      <c r="D19" s="9"/>
      <c r="E19" s="15" t="str">
        <f aca="false">IF($D19="","",IFERROR(INDEX(교육과정!$B$3:$B$102,MATCH($D19,교육과정!$A$3:$A$102,0)),"미등록과정"))</f>
        <v/>
      </c>
      <c r="F19" s="13"/>
      <c r="G19" s="9"/>
      <c r="H19" s="9"/>
    </row>
    <row r="20" customFormat="false" ht="15" hidden="false" customHeight="true" outlineLevel="0" collapsed="false">
      <c r="A20" s="11"/>
      <c r="B20" s="9"/>
      <c r="C20" s="15" t="str">
        <f aca="false">IF($B20="","",IFERROR(INDEX(직원목록!$B$3:$B$302,MATCH($B20,직원목록!$A$3:$A$302,0)),"미등록사번"))</f>
        <v/>
      </c>
      <c r="D20" s="9"/>
      <c r="E20" s="15" t="str">
        <f aca="false">IF($D20="","",IFERROR(INDEX(교육과정!$B$3:$B$102,MATCH($D20,교육과정!$A$3:$A$102,0)),"미등록과정"))</f>
        <v/>
      </c>
      <c r="F20" s="13"/>
      <c r="G20" s="9"/>
      <c r="H20" s="9"/>
    </row>
    <row r="21" customFormat="false" ht="15" hidden="false" customHeight="true" outlineLevel="0" collapsed="false">
      <c r="A21" s="11"/>
      <c r="B21" s="9"/>
      <c r="C21" s="15" t="str">
        <f aca="false">IF($B21="","",IFERROR(INDEX(직원목록!$B$3:$B$302,MATCH($B21,직원목록!$A$3:$A$302,0)),"미등록사번"))</f>
        <v/>
      </c>
      <c r="D21" s="9"/>
      <c r="E21" s="15" t="str">
        <f aca="false">IF($D21="","",IFERROR(INDEX(교육과정!$B$3:$B$102,MATCH($D21,교육과정!$A$3:$A$102,0)),"미등록과정"))</f>
        <v/>
      </c>
      <c r="F21" s="13"/>
      <c r="G21" s="9"/>
      <c r="H21" s="9"/>
    </row>
    <row r="22" customFormat="false" ht="15" hidden="false" customHeight="true" outlineLevel="0" collapsed="false">
      <c r="A22" s="11"/>
      <c r="B22" s="9"/>
      <c r="C22" s="15" t="str">
        <f aca="false">IF($B22="","",IFERROR(INDEX(직원목록!$B$3:$B$302,MATCH($B22,직원목록!$A$3:$A$302,0)),"미등록사번"))</f>
        <v/>
      </c>
      <c r="D22" s="9"/>
      <c r="E22" s="15" t="str">
        <f aca="false">IF($D22="","",IFERROR(INDEX(교육과정!$B$3:$B$102,MATCH($D22,교육과정!$A$3:$A$102,0)),"미등록과정"))</f>
        <v/>
      </c>
      <c r="F22" s="13"/>
      <c r="G22" s="9"/>
      <c r="H22" s="9"/>
    </row>
    <row r="23" customFormat="false" ht="15" hidden="false" customHeight="true" outlineLevel="0" collapsed="false">
      <c r="A23" s="11"/>
      <c r="B23" s="9"/>
      <c r="C23" s="15" t="str">
        <f aca="false">IF($B23="","",IFERROR(INDEX(직원목록!$B$3:$B$302,MATCH($B23,직원목록!$A$3:$A$302,0)),"미등록사번"))</f>
        <v/>
      </c>
      <c r="D23" s="9"/>
      <c r="E23" s="15" t="str">
        <f aca="false">IF($D23="","",IFERROR(INDEX(교육과정!$B$3:$B$102,MATCH($D23,교육과정!$A$3:$A$102,0)),"미등록과정"))</f>
        <v/>
      </c>
      <c r="F23" s="13"/>
      <c r="G23" s="9"/>
      <c r="H23" s="9"/>
    </row>
    <row r="24" customFormat="false" ht="15" hidden="false" customHeight="true" outlineLevel="0" collapsed="false">
      <c r="A24" s="11"/>
      <c r="B24" s="9"/>
      <c r="C24" s="15" t="str">
        <f aca="false">IF($B24="","",IFERROR(INDEX(직원목록!$B$3:$B$302,MATCH($B24,직원목록!$A$3:$A$302,0)),"미등록사번"))</f>
        <v/>
      </c>
      <c r="D24" s="9"/>
      <c r="E24" s="15" t="str">
        <f aca="false">IF($D24="","",IFERROR(INDEX(교육과정!$B$3:$B$102,MATCH($D24,교육과정!$A$3:$A$102,0)),"미등록과정"))</f>
        <v/>
      </c>
      <c r="F24" s="13"/>
      <c r="G24" s="9"/>
      <c r="H24" s="9"/>
    </row>
    <row r="25" customFormat="false" ht="15" hidden="false" customHeight="true" outlineLevel="0" collapsed="false">
      <c r="A25" s="11"/>
      <c r="B25" s="9"/>
      <c r="C25" s="15" t="str">
        <f aca="false">IF($B25="","",IFERROR(INDEX(직원목록!$B$3:$B$302,MATCH($B25,직원목록!$A$3:$A$302,0)),"미등록사번"))</f>
        <v/>
      </c>
      <c r="D25" s="9"/>
      <c r="E25" s="15" t="str">
        <f aca="false">IF($D25="","",IFERROR(INDEX(교육과정!$B$3:$B$102,MATCH($D25,교육과정!$A$3:$A$102,0)),"미등록과정"))</f>
        <v/>
      </c>
      <c r="F25" s="13"/>
      <c r="G25" s="9"/>
      <c r="H25" s="9"/>
    </row>
    <row r="26" customFormat="false" ht="15" hidden="false" customHeight="true" outlineLevel="0" collapsed="false">
      <c r="A26" s="11"/>
      <c r="B26" s="9"/>
      <c r="C26" s="15" t="str">
        <f aca="false">IF($B26="","",IFERROR(INDEX(직원목록!$B$3:$B$302,MATCH($B26,직원목록!$A$3:$A$302,0)),"미등록사번"))</f>
        <v/>
      </c>
      <c r="D26" s="9"/>
      <c r="E26" s="15" t="str">
        <f aca="false">IF($D26="","",IFERROR(INDEX(교육과정!$B$3:$B$102,MATCH($D26,교육과정!$A$3:$A$102,0)),"미등록과정"))</f>
        <v/>
      </c>
      <c r="F26" s="13"/>
      <c r="G26" s="9"/>
      <c r="H26" s="9"/>
    </row>
    <row r="27" customFormat="false" ht="15" hidden="false" customHeight="true" outlineLevel="0" collapsed="false">
      <c r="A27" s="11"/>
      <c r="B27" s="9"/>
      <c r="C27" s="15" t="str">
        <f aca="false">IF($B27="","",IFERROR(INDEX(직원목록!$B$3:$B$302,MATCH($B27,직원목록!$A$3:$A$302,0)),"미등록사번"))</f>
        <v/>
      </c>
      <c r="D27" s="9"/>
      <c r="E27" s="15" t="str">
        <f aca="false">IF($D27="","",IFERROR(INDEX(교육과정!$B$3:$B$102,MATCH($D27,교육과정!$A$3:$A$102,0)),"미등록과정"))</f>
        <v/>
      </c>
      <c r="F27" s="13"/>
      <c r="G27" s="9"/>
      <c r="H27" s="9"/>
    </row>
    <row r="28" customFormat="false" ht="15" hidden="false" customHeight="true" outlineLevel="0" collapsed="false">
      <c r="A28" s="11"/>
      <c r="B28" s="9"/>
      <c r="C28" s="15" t="str">
        <f aca="false">IF($B28="","",IFERROR(INDEX(직원목록!$B$3:$B$302,MATCH($B28,직원목록!$A$3:$A$302,0)),"미등록사번"))</f>
        <v/>
      </c>
      <c r="D28" s="9"/>
      <c r="E28" s="15" t="str">
        <f aca="false">IF($D28="","",IFERROR(INDEX(교육과정!$B$3:$B$102,MATCH($D28,교육과정!$A$3:$A$102,0)),"미등록과정"))</f>
        <v/>
      </c>
      <c r="F28" s="13"/>
      <c r="G28" s="9"/>
      <c r="H28" s="9"/>
    </row>
    <row r="29" customFormat="false" ht="15" hidden="false" customHeight="true" outlineLevel="0" collapsed="false">
      <c r="A29" s="11"/>
      <c r="B29" s="9"/>
      <c r="C29" s="15" t="str">
        <f aca="false">IF($B29="","",IFERROR(INDEX(직원목록!$B$3:$B$302,MATCH($B29,직원목록!$A$3:$A$302,0)),"미등록사번"))</f>
        <v/>
      </c>
      <c r="D29" s="9"/>
      <c r="E29" s="15" t="str">
        <f aca="false">IF($D29="","",IFERROR(INDEX(교육과정!$B$3:$B$102,MATCH($D29,교육과정!$A$3:$A$102,0)),"미등록과정"))</f>
        <v/>
      </c>
      <c r="F29" s="13"/>
      <c r="G29" s="9"/>
      <c r="H29" s="9"/>
    </row>
    <row r="30" customFormat="false" ht="15" hidden="false" customHeight="true" outlineLevel="0" collapsed="false">
      <c r="A30" s="11"/>
      <c r="B30" s="9"/>
      <c r="C30" s="15" t="str">
        <f aca="false">IF($B30="","",IFERROR(INDEX(직원목록!$B$3:$B$302,MATCH($B30,직원목록!$A$3:$A$302,0)),"미등록사번"))</f>
        <v/>
      </c>
      <c r="D30" s="9"/>
      <c r="E30" s="15" t="str">
        <f aca="false">IF($D30="","",IFERROR(INDEX(교육과정!$B$3:$B$102,MATCH($D30,교육과정!$A$3:$A$102,0)),"미등록과정"))</f>
        <v/>
      </c>
      <c r="F30" s="13"/>
      <c r="G30" s="9"/>
      <c r="H30" s="9"/>
    </row>
    <row r="31" customFormat="false" ht="15" hidden="false" customHeight="true" outlineLevel="0" collapsed="false">
      <c r="A31" s="11"/>
      <c r="B31" s="9"/>
      <c r="C31" s="15" t="str">
        <f aca="false">IF($B31="","",IFERROR(INDEX(직원목록!$B$3:$B$302,MATCH($B31,직원목록!$A$3:$A$302,0)),"미등록사번"))</f>
        <v/>
      </c>
      <c r="D31" s="9"/>
      <c r="E31" s="15" t="str">
        <f aca="false">IF($D31="","",IFERROR(INDEX(교육과정!$B$3:$B$102,MATCH($D31,교육과정!$A$3:$A$102,0)),"미등록과정"))</f>
        <v/>
      </c>
      <c r="F31" s="13"/>
      <c r="G31" s="9"/>
      <c r="H31" s="9"/>
    </row>
    <row r="32" customFormat="false" ht="15" hidden="false" customHeight="true" outlineLevel="0" collapsed="false">
      <c r="A32" s="11"/>
      <c r="B32" s="9"/>
      <c r="C32" s="15" t="str">
        <f aca="false">IF($B32="","",IFERROR(INDEX(직원목록!$B$3:$B$302,MATCH($B32,직원목록!$A$3:$A$302,0)),"미등록사번"))</f>
        <v/>
      </c>
      <c r="D32" s="9"/>
      <c r="E32" s="15" t="str">
        <f aca="false">IF($D32="","",IFERROR(INDEX(교육과정!$B$3:$B$102,MATCH($D32,교육과정!$A$3:$A$102,0)),"미등록과정"))</f>
        <v/>
      </c>
      <c r="F32" s="13"/>
      <c r="G32" s="9"/>
      <c r="H32" s="9"/>
    </row>
    <row r="33" customFormat="false" ht="15" hidden="false" customHeight="true" outlineLevel="0" collapsed="false">
      <c r="A33" s="11"/>
      <c r="B33" s="9"/>
      <c r="C33" s="15" t="str">
        <f aca="false">IF($B33="","",IFERROR(INDEX(직원목록!$B$3:$B$302,MATCH($B33,직원목록!$A$3:$A$302,0)),"미등록사번"))</f>
        <v/>
      </c>
      <c r="D33" s="9"/>
      <c r="E33" s="15" t="str">
        <f aca="false">IF($D33="","",IFERROR(INDEX(교육과정!$B$3:$B$102,MATCH($D33,교육과정!$A$3:$A$102,0)),"미등록과정"))</f>
        <v/>
      </c>
      <c r="F33" s="13"/>
      <c r="G33" s="9"/>
      <c r="H33" s="9"/>
    </row>
    <row r="34" customFormat="false" ht="15" hidden="false" customHeight="true" outlineLevel="0" collapsed="false">
      <c r="A34" s="11"/>
      <c r="B34" s="9"/>
      <c r="C34" s="15" t="str">
        <f aca="false">IF($B34="","",IFERROR(INDEX(직원목록!$B$3:$B$302,MATCH($B34,직원목록!$A$3:$A$302,0)),"미등록사번"))</f>
        <v/>
      </c>
      <c r="D34" s="9"/>
      <c r="E34" s="15" t="str">
        <f aca="false">IF($D34="","",IFERROR(INDEX(교육과정!$B$3:$B$102,MATCH($D34,교육과정!$A$3:$A$102,0)),"미등록과정"))</f>
        <v/>
      </c>
      <c r="F34" s="13"/>
      <c r="G34" s="9"/>
      <c r="H34" s="9"/>
    </row>
    <row r="35" customFormat="false" ht="15" hidden="false" customHeight="true" outlineLevel="0" collapsed="false">
      <c r="A35" s="11"/>
      <c r="B35" s="9"/>
      <c r="C35" s="15" t="str">
        <f aca="false">IF($B35="","",IFERROR(INDEX(직원목록!$B$3:$B$302,MATCH($B35,직원목록!$A$3:$A$302,0)),"미등록사번"))</f>
        <v/>
      </c>
      <c r="D35" s="9"/>
      <c r="E35" s="15" t="str">
        <f aca="false">IF($D35="","",IFERROR(INDEX(교육과정!$B$3:$B$102,MATCH($D35,교육과정!$A$3:$A$102,0)),"미등록과정"))</f>
        <v/>
      </c>
      <c r="F35" s="13"/>
      <c r="G35" s="9"/>
      <c r="H35" s="9"/>
    </row>
    <row r="36" customFormat="false" ht="15" hidden="false" customHeight="true" outlineLevel="0" collapsed="false">
      <c r="A36" s="11"/>
      <c r="B36" s="9"/>
      <c r="C36" s="15" t="str">
        <f aca="false">IF($B36="","",IFERROR(INDEX(직원목록!$B$3:$B$302,MATCH($B36,직원목록!$A$3:$A$302,0)),"미등록사번"))</f>
        <v/>
      </c>
      <c r="D36" s="9"/>
      <c r="E36" s="15" t="str">
        <f aca="false">IF($D36="","",IFERROR(INDEX(교육과정!$B$3:$B$102,MATCH($D36,교육과정!$A$3:$A$102,0)),"미등록과정"))</f>
        <v/>
      </c>
      <c r="F36" s="13"/>
      <c r="G36" s="9"/>
      <c r="H36" s="9"/>
    </row>
    <row r="37" customFormat="false" ht="15" hidden="false" customHeight="true" outlineLevel="0" collapsed="false">
      <c r="A37" s="11"/>
      <c r="B37" s="9"/>
      <c r="C37" s="15" t="str">
        <f aca="false">IF($B37="","",IFERROR(INDEX(직원목록!$B$3:$B$302,MATCH($B37,직원목록!$A$3:$A$302,0)),"미등록사번"))</f>
        <v/>
      </c>
      <c r="D37" s="9"/>
      <c r="E37" s="15" t="str">
        <f aca="false">IF($D37="","",IFERROR(INDEX(교육과정!$B$3:$B$102,MATCH($D37,교육과정!$A$3:$A$102,0)),"미등록과정"))</f>
        <v/>
      </c>
      <c r="F37" s="13"/>
      <c r="G37" s="9"/>
      <c r="H37" s="9"/>
    </row>
    <row r="38" customFormat="false" ht="15" hidden="false" customHeight="true" outlineLevel="0" collapsed="false">
      <c r="A38" s="11"/>
      <c r="B38" s="9"/>
      <c r="C38" s="15" t="str">
        <f aca="false">IF($B38="","",IFERROR(INDEX(직원목록!$B$3:$B$302,MATCH($B38,직원목록!$A$3:$A$302,0)),"미등록사번"))</f>
        <v/>
      </c>
      <c r="D38" s="9"/>
      <c r="E38" s="15" t="str">
        <f aca="false">IF($D38="","",IFERROR(INDEX(교육과정!$B$3:$B$102,MATCH($D38,교육과정!$A$3:$A$102,0)),"미등록과정"))</f>
        <v/>
      </c>
      <c r="F38" s="13"/>
      <c r="G38" s="9"/>
      <c r="H38" s="9"/>
    </row>
    <row r="39" customFormat="false" ht="15" hidden="false" customHeight="true" outlineLevel="0" collapsed="false">
      <c r="A39" s="11"/>
      <c r="B39" s="9"/>
      <c r="C39" s="15" t="str">
        <f aca="false">IF($B39="","",IFERROR(INDEX(직원목록!$B$3:$B$302,MATCH($B39,직원목록!$A$3:$A$302,0)),"미등록사번"))</f>
        <v/>
      </c>
      <c r="D39" s="9"/>
      <c r="E39" s="15" t="str">
        <f aca="false">IF($D39="","",IFERROR(INDEX(교육과정!$B$3:$B$102,MATCH($D39,교육과정!$A$3:$A$102,0)),"미등록과정"))</f>
        <v/>
      </c>
      <c r="F39" s="13"/>
      <c r="G39" s="9"/>
      <c r="H39" s="9"/>
    </row>
    <row r="40" customFormat="false" ht="15" hidden="false" customHeight="true" outlineLevel="0" collapsed="false">
      <c r="A40" s="11"/>
      <c r="B40" s="9"/>
      <c r="C40" s="15" t="str">
        <f aca="false">IF($B40="","",IFERROR(INDEX(직원목록!$B$3:$B$302,MATCH($B40,직원목록!$A$3:$A$302,0)),"미등록사번"))</f>
        <v/>
      </c>
      <c r="D40" s="9"/>
      <c r="E40" s="15" t="str">
        <f aca="false">IF($D40="","",IFERROR(INDEX(교육과정!$B$3:$B$102,MATCH($D40,교육과정!$A$3:$A$102,0)),"미등록과정"))</f>
        <v/>
      </c>
      <c r="F40" s="13"/>
      <c r="G40" s="9"/>
      <c r="H40" s="9"/>
    </row>
    <row r="41" customFormat="false" ht="15" hidden="false" customHeight="true" outlineLevel="0" collapsed="false">
      <c r="A41" s="11"/>
      <c r="B41" s="9"/>
      <c r="C41" s="15" t="str">
        <f aca="false">IF($B41="","",IFERROR(INDEX(직원목록!$B$3:$B$302,MATCH($B41,직원목록!$A$3:$A$302,0)),"미등록사번"))</f>
        <v/>
      </c>
      <c r="D41" s="9"/>
      <c r="E41" s="15" t="str">
        <f aca="false">IF($D41="","",IFERROR(INDEX(교육과정!$B$3:$B$102,MATCH($D41,교육과정!$A$3:$A$102,0)),"미등록과정"))</f>
        <v/>
      </c>
      <c r="F41" s="13"/>
      <c r="G41" s="9"/>
      <c r="H41" s="9"/>
    </row>
    <row r="42" customFormat="false" ht="15" hidden="false" customHeight="true" outlineLevel="0" collapsed="false">
      <c r="A42" s="11"/>
      <c r="B42" s="9"/>
      <c r="C42" s="15" t="str">
        <f aca="false">IF($B42="","",IFERROR(INDEX(직원목록!$B$3:$B$302,MATCH($B42,직원목록!$A$3:$A$302,0)),"미등록사번"))</f>
        <v/>
      </c>
      <c r="D42" s="9"/>
      <c r="E42" s="15" t="str">
        <f aca="false">IF($D42="","",IFERROR(INDEX(교육과정!$B$3:$B$102,MATCH($D42,교육과정!$A$3:$A$102,0)),"미등록과정"))</f>
        <v/>
      </c>
      <c r="F42" s="13"/>
      <c r="G42" s="9"/>
      <c r="H42" s="9"/>
    </row>
    <row r="43" customFormat="false" ht="15" hidden="false" customHeight="true" outlineLevel="0" collapsed="false">
      <c r="A43" s="11"/>
      <c r="B43" s="9"/>
      <c r="C43" s="15" t="str">
        <f aca="false">IF($B43="","",IFERROR(INDEX(직원목록!$B$3:$B$302,MATCH($B43,직원목록!$A$3:$A$302,0)),"미등록사번"))</f>
        <v/>
      </c>
      <c r="D43" s="9"/>
      <c r="E43" s="15" t="str">
        <f aca="false">IF($D43="","",IFERROR(INDEX(교육과정!$B$3:$B$102,MATCH($D43,교육과정!$A$3:$A$102,0)),"미등록과정"))</f>
        <v/>
      </c>
      <c r="F43" s="13"/>
      <c r="G43" s="9"/>
      <c r="H43" s="9"/>
    </row>
    <row r="44" customFormat="false" ht="15" hidden="false" customHeight="true" outlineLevel="0" collapsed="false">
      <c r="A44" s="11"/>
      <c r="B44" s="9"/>
      <c r="C44" s="15" t="str">
        <f aca="false">IF($B44="","",IFERROR(INDEX(직원목록!$B$3:$B$302,MATCH($B44,직원목록!$A$3:$A$302,0)),"미등록사번"))</f>
        <v/>
      </c>
      <c r="D44" s="9"/>
      <c r="E44" s="15" t="str">
        <f aca="false">IF($D44="","",IFERROR(INDEX(교육과정!$B$3:$B$102,MATCH($D44,교육과정!$A$3:$A$102,0)),"미등록과정"))</f>
        <v/>
      </c>
      <c r="F44" s="13"/>
      <c r="G44" s="9"/>
      <c r="H44" s="9"/>
    </row>
    <row r="45" customFormat="false" ht="15" hidden="false" customHeight="true" outlineLevel="0" collapsed="false">
      <c r="A45" s="11"/>
      <c r="B45" s="9"/>
      <c r="C45" s="15" t="str">
        <f aca="false">IF($B45="","",IFERROR(INDEX(직원목록!$B$3:$B$302,MATCH($B45,직원목록!$A$3:$A$302,0)),"미등록사번"))</f>
        <v/>
      </c>
      <c r="D45" s="9"/>
      <c r="E45" s="15" t="str">
        <f aca="false">IF($D45="","",IFERROR(INDEX(교육과정!$B$3:$B$102,MATCH($D45,교육과정!$A$3:$A$102,0)),"미등록과정"))</f>
        <v/>
      </c>
      <c r="F45" s="13"/>
      <c r="G45" s="9"/>
      <c r="H45" s="9"/>
    </row>
    <row r="46" customFormat="false" ht="15" hidden="false" customHeight="true" outlineLevel="0" collapsed="false">
      <c r="A46" s="11"/>
      <c r="B46" s="9"/>
      <c r="C46" s="15" t="str">
        <f aca="false">IF($B46="","",IFERROR(INDEX(직원목록!$B$3:$B$302,MATCH($B46,직원목록!$A$3:$A$302,0)),"미등록사번"))</f>
        <v/>
      </c>
      <c r="D46" s="9"/>
      <c r="E46" s="15" t="str">
        <f aca="false">IF($D46="","",IFERROR(INDEX(교육과정!$B$3:$B$102,MATCH($D46,교육과정!$A$3:$A$102,0)),"미등록과정"))</f>
        <v/>
      </c>
      <c r="F46" s="13"/>
      <c r="G46" s="9"/>
      <c r="H46" s="9"/>
    </row>
    <row r="47" customFormat="false" ht="15" hidden="false" customHeight="true" outlineLevel="0" collapsed="false">
      <c r="A47" s="11"/>
      <c r="B47" s="9"/>
      <c r="C47" s="15" t="str">
        <f aca="false">IF($B47="","",IFERROR(INDEX(직원목록!$B$3:$B$302,MATCH($B47,직원목록!$A$3:$A$302,0)),"미등록사번"))</f>
        <v/>
      </c>
      <c r="D47" s="9"/>
      <c r="E47" s="15" t="str">
        <f aca="false">IF($D47="","",IFERROR(INDEX(교육과정!$B$3:$B$102,MATCH($D47,교육과정!$A$3:$A$102,0)),"미등록과정"))</f>
        <v/>
      </c>
      <c r="F47" s="13"/>
      <c r="G47" s="9"/>
      <c r="H47" s="9"/>
    </row>
    <row r="48" customFormat="false" ht="15" hidden="false" customHeight="true" outlineLevel="0" collapsed="false">
      <c r="A48" s="11"/>
      <c r="B48" s="9"/>
      <c r="C48" s="15" t="str">
        <f aca="false">IF($B48="","",IFERROR(INDEX(직원목록!$B$3:$B$302,MATCH($B48,직원목록!$A$3:$A$302,0)),"미등록사번"))</f>
        <v/>
      </c>
      <c r="D48" s="9"/>
      <c r="E48" s="15" t="str">
        <f aca="false">IF($D48="","",IFERROR(INDEX(교육과정!$B$3:$B$102,MATCH($D48,교육과정!$A$3:$A$102,0)),"미등록과정"))</f>
        <v/>
      </c>
      <c r="F48" s="13"/>
      <c r="G48" s="9"/>
      <c r="H48" s="9"/>
    </row>
    <row r="49" customFormat="false" ht="15" hidden="false" customHeight="true" outlineLevel="0" collapsed="false">
      <c r="A49" s="11"/>
      <c r="B49" s="9"/>
      <c r="C49" s="15" t="str">
        <f aca="false">IF($B49="","",IFERROR(INDEX(직원목록!$B$3:$B$302,MATCH($B49,직원목록!$A$3:$A$302,0)),"미등록사번"))</f>
        <v/>
      </c>
      <c r="D49" s="9"/>
      <c r="E49" s="15" t="str">
        <f aca="false">IF($D49="","",IFERROR(INDEX(교육과정!$B$3:$B$102,MATCH($D49,교육과정!$A$3:$A$102,0)),"미등록과정"))</f>
        <v/>
      </c>
      <c r="F49" s="13"/>
      <c r="G49" s="9"/>
      <c r="H49" s="9"/>
    </row>
    <row r="50" customFormat="false" ht="15" hidden="false" customHeight="true" outlineLevel="0" collapsed="false">
      <c r="A50" s="11"/>
      <c r="B50" s="9"/>
      <c r="C50" s="15" t="str">
        <f aca="false">IF($B50="","",IFERROR(INDEX(직원목록!$B$3:$B$302,MATCH($B50,직원목록!$A$3:$A$302,0)),"미등록사번"))</f>
        <v/>
      </c>
      <c r="D50" s="9"/>
      <c r="E50" s="15" t="str">
        <f aca="false">IF($D50="","",IFERROR(INDEX(교육과정!$B$3:$B$102,MATCH($D50,교육과정!$A$3:$A$102,0)),"미등록과정"))</f>
        <v/>
      </c>
      <c r="F50" s="13"/>
      <c r="G50" s="9"/>
      <c r="H50" s="9"/>
    </row>
    <row r="51" customFormat="false" ht="15" hidden="false" customHeight="true" outlineLevel="0" collapsed="false">
      <c r="A51" s="11"/>
      <c r="B51" s="9"/>
      <c r="C51" s="15" t="str">
        <f aca="false">IF($B51="","",IFERROR(INDEX(직원목록!$B$3:$B$302,MATCH($B51,직원목록!$A$3:$A$302,0)),"미등록사번"))</f>
        <v/>
      </c>
      <c r="D51" s="9"/>
      <c r="E51" s="15" t="str">
        <f aca="false">IF($D51="","",IFERROR(INDEX(교육과정!$B$3:$B$102,MATCH($D51,교육과정!$A$3:$A$102,0)),"미등록과정"))</f>
        <v/>
      </c>
      <c r="F51" s="13"/>
      <c r="G51" s="9"/>
      <c r="H51" s="9"/>
    </row>
    <row r="52" customFormat="false" ht="15" hidden="false" customHeight="true" outlineLevel="0" collapsed="false">
      <c r="A52" s="11"/>
      <c r="B52" s="9"/>
      <c r="C52" s="15" t="str">
        <f aca="false">IF($B52="","",IFERROR(INDEX(직원목록!$B$3:$B$302,MATCH($B52,직원목록!$A$3:$A$302,0)),"미등록사번"))</f>
        <v/>
      </c>
      <c r="D52" s="9"/>
      <c r="E52" s="15" t="str">
        <f aca="false">IF($D52="","",IFERROR(INDEX(교육과정!$B$3:$B$102,MATCH($D52,교육과정!$A$3:$A$102,0)),"미등록과정"))</f>
        <v/>
      </c>
      <c r="F52" s="13"/>
      <c r="G52" s="9"/>
      <c r="H52" s="9"/>
    </row>
    <row r="53" customFormat="false" ht="15" hidden="false" customHeight="true" outlineLevel="0" collapsed="false">
      <c r="A53" s="11"/>
      <c r="B53" s="9"/>
      <c r="C53" s="15" t="str">
        <f aca="false">IF($B53="","",IFERROR(INDEX(직원목록!$B$3:$B$302,MATCH($B53,직원목록!$A$3:$A$302,0)),"미등록사번"))</f>
        <v/>
      </c>
      <c r="D53" s="9"/>
      <c r="E53" s="15" t="str">
        <f aca="false">IF($D53="","",IFERROR(INDEX(교육과정!$B$3:$B$102,MATCH($D53,교육과정!$A$3:$A$102,0)),"미등록과정"))</f>
        <v/>
      </c>
      <c r="F53" s="13"/>
      <c r="G53" s="9"/>
      <c r="H53" s="9"/>
    </row>
    <row r="54" customFormat="false" ht="15" hidden="false" customHeight="true" outlineLevel="0" collapsed="false">
      <c r="A54" s="11"/>
      <c r="B54" s="9"/>
      <c r="C54" s="15" t="str">
        <f aca="false">IF($B54="","",IFERROR(INDEX(직원목록!$B$3:$B$302,MATCH($B54,직원목록!$A$3:$A$302,0)),"미등록사번"))</f>
        <v/>
      </c>
      <c r="D54" s="9"/>
      <c r="E54" s="15" t="str">
        <f aca="false">IF($D54="","",IFERROR(INDEX(교육과정!$B$3:$B$102,MATCH($D54,교육과정!$A$3:$A$102,0)),"미등록과정"))</f>
        <v/>
      </c>
      <c r="F54" s="13"/>
      <c r="G54" s="9"/>
      <c r="H54" s="9"/>
    </row>
    <row r="55" customFormat="false" ht="15" hidden="false" customHeight="true" outlineLevel="0" collapsed="false">
      <c r="A55" s="11"/>
      <c r="B55" s="9"/>
      <c r="C55" s="15" t="str">
        <f aca="false">IF($B55="","",IFERROR(INDEX(직원목록!$B$3:$B$302,MATCH($B55,직원목록!$A$3:$A$302,0)),"미등록사번"))</f>
        <v/>
      </c>
      <c r="D55" s="9"/>
      <c r="E55" s="15" t="str">
        <f aca="false">IF($D55="","",IFERROR(INDEX(교육과정!$B$3:$B$102,MATCH($D55,교육과정!$A$3:$A$102,0)),"미등록과정"))</f>
        <v/>
      </c>
      <c r="F55" s="13"/>
      <c r="G55" s="9"/>
      <c r="H55" s="9"/>
    </row>
    <row r="56" customFormat="false" ht="15" hidden="false" customHeight="true" outlineLevel="0" collapsed="false">
      <c r="A56" s="11"/>
      <c r="B56" s="9"/>
      <c r="C56" s="15" t="str">
        <f aca="false">IF($B56="","",IFERROR(INDEX(직원목록!$B$3:$B$302,MATCH($B56,직원목록!$A$3:$A$302,0)),"미등록사번"))</f>
        <v/>
      </c>
      <c r="D56" s="9"/>
      <c r="E56" s="15" t="str">
        <f aca="false">IF($D56="","",IFERROR(INDEX(교육과정!$B$3:$B$102,MATCH($D56,교육과정!$A$3:$A$102,0)),"미등록과정"))</f>
        <v/>
      </c>
      <c r="F56" s="13"/>
      <c r="G56" s="9"/>
      <c r="H56" s="9"/>
    </row>
    <row r="57" customFormat="false" ht="15" hidden="false" customHeight="true" outlineLevel="0" collapsed="false">
      <c r="A57" s="11"/>
      <c r="B57" s="9"/>
      <c r="C57" s="15" t="str">
        <f aca="false">IF($B57="","",IFERROR(INDEX(직원목록!$B$3:$B$302,MATCH($B57,직원목록!$A$3:$A$302,0)),"미등록사번"))</f>
        <v/>
      </c>
      <c r="D57" s="9"/>
      <c r="E57" s="15" t="str">
        <f aca="false">IF($D57="","",IFERROR(INDEX(교육과정!$B$3:$B$102,MATCH($D57,교육과정!$A$3:$A$102,0)),"미등록과정"))</f>
        <v/>
      </c>
      <c r="F57" s="13"/>
      <c r="G57" s="9"/>
      <c r="H57" s="9"/>
    </row>
    <row r="58" customFormat="false" ht="15" hidden="false" customHeight="true" outlineLevel="0" collapsed="false">
      <c r="A58" s="11"/>
      <c r="B58" s="9"/>
      <c r="C58" s="15" t="str">
        <f aca="false">IF($B58="","",IFERROR(INDEX(직원목록!$B$3:$B$302,MATCH($B58,직원목록!$A$3:$A$302,0)),"미등록사번"))</f>
        <v/>
      </c>
      <c r="D58" s="9"/>
      <c r="E58" s="15" t="str">
        <f aca="false">IF($D58="","",IFERROR(INDEX(교육과정!$B$3:$B$102,MATCH($D58,교육과정!$A$3:$A$102,0)),"미등록과정"))</f>
        <v/>
      </c>
      <c r="F58" s="13"/>
      <c r="G58" s="9"/>
      <c r="H58" s="9"/>
    </row>
    <row r="59" customFormat="false" ht="15" hidden="false" customHeight="true" outlineLevel="0" collapsed="false">
      <c r="A59" s="11"/>
      <c r="B59" s="9"/>
      <c r="C59" s="15" t="str">
        <f aca="false">IF($B59="","",IFERROR(INDEX(직원목록!$B$3:$B$302,MATCH($B59,직원목록!$A$3:$A$302,0)),"미등록사번"))</f>
        <v/>
      </c>
      <c r="D59" s="9"/>
      <c r="E59" s="15" t="str">
        <f aca="false">IF($D59="","",IFERROR(INDEX(교육과정!$B$3:$B$102,MATCH($D59,교육과정!$A$3:$A$102,0)),"미등록과정"))</f>
        <v/>
      </c>
      <c r="F59" s="13"/>
      <c r="G59" s="9"/>
      <c r="H59" s="9"/>
    </row>
    <row r="60" customFormat="false" ht="15" hidden="false" customHeight="true" outlineLevel="0" collapsed="false">
      <c r="A60" s="11"/>
      <c r="B60" s="9"/>
      <c r="C60" s="15" t="str">
        <f aca="false">IF($B60="","",IFERROR(INDEX(직원목록!$B$3:$B$302,MATCH($B60,직원목록!$A$3:$A$302,0)),"미등록사번"))</f>
        <v/>
      </c>
      <c r="D60" s="9"/>
      <c r="E60" s="15" t="str">
        <f aca="false">IF($D60="","",IFERROR(INDEX(교육과정!$B$3:$B$102,MATCH($D60,교육과정!$A$3:$A$102,0)),"미등록과정"))</f>
        <v/>
      </c>
      <c r="F60" s="13"/>
      <c r="G60" s="9"/>
      <c r="H60" s="9"/>
    </row>
    <row r="61" customFormat="false" ht="15" hidden="false" customHeight="true" outlineLevel="0" collapsed="false">
      <c r="A61" s="11"/>
      <c r="B61" s="9"/>
      <c r="C61" s="15" t="str">
        <f aca="false">IF($B61="","",IFERROR(INDEX(직원목록!$B$3:$B$302,MATCH($B61,직원목록!$A$3:$A$302,0)),"미등록사번"))</f>
        <v/>
      </c>
      <c r="D61" s="9"/>
      <c r="E61" s="15" t="str">
        <f aca="false">IF($D61="","",IFERROR(INDEX(교육과정!$B$3:$B$102,MATCH($D61,교육과정!$A$3:$A$102,0)),"미등록과정"))</f>
        <v/>
      </c>
      <c r="F61" s="13"/>
      <c r="G61" s="9"/>
      <c r="H61" s="9"/>
    </row>
    <row r="62" customFormat="false" ht="15" hidden="false" customHeight="true" outlineLevel="0" collapsed="false">
      <c r="A62" s="11"/>
      <c r="B62" s="9"/>
      <c r="C62" s="15" t="str">
        <f aca="false">IF($B62="","",IFERROR(INDEX(직원목록!$B$3:$B$302,MATCH($B62,직원목록!$A$3:$A$302,0)),"미등록사번"))</f>
        <v/>
      </c>
      <c r="D62" s="9"/>
      <c r="E62" s="15" t="str">
        <f aca="false">IF($D62="","",IFERROR(INDEX(교육과정!$B$3:$B$102,MATCH($D62,교육과정!$A$3:$A$102,0)),"미등록과정"))</f>
        <v/>
      </c>
      <c r="F62" s="13"/>
      <c r="G62" s="9"/>
      <c r="H62" s="9"/>
    </row>
    <row r="63" customFormat="false" ht="15" hidden="false" customHeight="true" outlineLevel="0" collapsed="false">
      <c r="A63" s="11"/>
      <c r="B63" s="9"/>
      <c r="C63" s="15" t="str">
        <f aca="false">IF($B63="","",IFERROR(INDEX(직원목록!$B$3:$B$302,MATCH($B63,직원목록!$A$3:$A$302,0)),"미등록사번"))</f>
        <v/>
      </c>
      <c r="D63" s="9"/>
      <c r="E63" s="15" t="str">
        <f aca="false">IF($D63="","",IFERROR(INDEX(교육과정!$B$3:$B$102,MATCH($D63,교육과정!$A$3:$A$102,0)),"미등록과정"))</f>
        <v/>
      </c>
      <c r="F63" s="13"/>
      <c r="G63" s="9"/>
      <c r="H63" s="9"/>
    </row>
    <row r="64" customFormat="false" ht="15" hidden="false" customHeight="true" outlineLevel="0" collapsed="false">
      <c r="A64" s="11"/>
      <c r="B64" s="9"/>
      <c r="C64" s="15" t="str">
        <f aca="false">IF($B64="","",IFERROR(INDEX(직원목록!$B$3:$B$302,MATCH($B64,직원목록!$A$3:$A$302,0)),"미등록사번"))</f>
        <v/>
      </c>
      <c r="D64" s="9"/>
      <c r="E64" s="15" t="str">
        <f aca="false">IF($D64="","",IFERROR(INDEX(교육과정!$B$3:$B$102,MATCH($D64,교육과정!$A$3:$A$102,0)),"미등록과정"))</f>
        <v/>
      </c>
      <c r="F64" s="13"/>
      <c r="G64" s="9"/>
      <c r="H64" s="9"/>
    </row>
    <row r="65" customFormat="false" ht="15" hidden="false" customHeight="true" outlineLevel="0" collapsed="false">
      <c r="A65" s="11"/>
      <c r="B65" s="9"/>
      <c r="C65" s="15" t="str">
        <f aca="false">IF($B65="","",IFERROR(INDEX(직원목록!$B$3:$B$302,MATCH($B65,직원목록!$A$3:$A$302,0)),"미등록사번"))</f>
        <v/>
      </c>
      <c r="D65" s="9"/>
      <c r="E65" s="15" t="str">
        <f aca="false">IF($D65="","",IFERROR(INDEX(교육과정!$B$3:$B$102,MATCH($D65,교육과정!$A$3:$A$102,0)),"미등록과정"))</f>
        <v/>
      </c>
      <c r="F65" s="13"/>
      <c r="G65" s="9"/>
      <c r="H65" s="9"/>
    </row>
    <row r="66" customFormat="false" ht="15" hidden="false" customHeight="true" outlineLevel="0" collapsed="false">
      <c r="A66" s="11"/>
      <c r="B66" s="9"/>
      <c r="C66" s="15" t="str">
        <f aca="false">IF($B66="","",IFERROR(INDEX(직원목록!$B$3:$B$302,MATCH($B66,직원목록!$A$3:$A$302,0)),"미등록사번"))</f>
        <v/>
      </c>
      <c r="D66" s="9"/>
      <c r="E66" s="15" t="str">
        <f aca="false">IF($D66="","",IFERROR(INDEX(교육과정!$B$3:$B$102,MATCH($D66,교육과정!$A$3:$A$102,0)),"미등록과정"))</f>
        <v/>
      </c>
      <c r="F66" s="13"/>
      <c r="G66" s="9"/>
      <c r="H66" s="9"/>
    </row>
    <row r="67" customFormat="false" ht="15" hidden="false" customHeight="true" outlineLevel="0" collapsed="false">
      <c r="A67" s="11"/>
      <c r="B67" s="9"/>
      <c r="C67" s="15" t="str">
        <f aca="false">IF($B67="","",IFERROR(INDEX(직원목록!$B$3:$B$302,MATCH($B67,직원목록!$A$3:$A$302,0)),"미등록사번"))</f>
        <v/>
      </c>
      <c r="D67" s="9"/>
      <c r="E67" s="15" t="str">
        <f aca="false">IF($D67="","",IFERROR(INDEX(교육과정!$B$3:$B$102,MATCH($D67,교육과정!$A$3:$A$102,0)),"미등록과정"))</f>
        <v/>
      </c>
      <c r="F67" s="13"/>
      <c r="G67" s="9"/>
      <c r="H67" s="9"/>
    </row>
    <row r="68" customFormat="false" ht="15" hidden="false" customHeight="true" outlineLevel="0" collapsed="false">
      <c r="A68" s="11"/>
      <c r="B68" s="9"/>
      <c r="C68" s="15" t="str">
        <f aca="false">IF($B68="","",IFERROR(INDEX(직원목록!$B$3:$B$302,MATCH($B68,직원목록!$A$3:$A$302,0)),"미등록사번"))</f>
        <v/>
      </c>
      <c r="D68" s="9"/>
      <c r="E68" s="15" t="str">
        <f aca="false">IF($D68="","",IFERROR(INDEX(교육과정!$B$3:$B$102,MATCH($D68,교육과정!$A$3:$A$102,0)),"미등록과정"))</f>
        <v/>
      </c>
      <c r="F68" s="13"/>
      <c r="G68" s="9"/>
      <c r="H68" s="9"/>
    </row>
    <row r="69" customFormat="false" ht="15" hidden="false" customHeight="true" outlineLevel="0" collapsed="false">
      <c r="A69" s="11"/>
      <c r="B69" s="9"/>
      <c r="C69" s="15" t="str">
        <f aca="false">IF($B69="","",IFERROR(INDEX(직원목록!$B$3:$B$302,MATCH($B69,직원목록!$A$3:$A$302,0)),"미등록사번"))</f>
        <v/>
      </c>
      <c r="D69" s="9"/>
      <c r="E69" s="15" t="str">
        <f aca="false">IF($D69="","",IFERROR(INDEX(교육과정!$B$3:$B$102,MATCH($D69,교육과정!$A$3:$A$102,0)),"미등록과정"))</f>
        <v/>
      </c>
      <c r="F69" s="13"/>
      <c r="G69" s="9"/>
      <c r="H69" s="9"/>
    </row>
    <row r="70" customFormat="false" ht="15" hidden="false" customHeight="true" outlineLevel="0" collapsed="false">
      <c r="A70" s="11"/>
      <c r="B70" s="9"/>
      <c r="C70" s="15" t="str">
        <f aca="false">IF($B70="","",IFERROR(INDEX(직원목록!$B$3:$B$302,MATCH($B70,직원목록!$A$3:$A$302,0)),"미등록사번"))</f>
        <v/>
      </c>
      <c r="D70" s="9"/>
      <c r="E70" s="15" t="str">
        <f aca="false">IF($D70="","",IFERROR(INDEX(교육과정!$B$3:$B$102,MATCH($D70,교육과정!$A$3:$A$102,0)),"미등록과정"))</f>
        <v/>
      </c>
      <c r="F70" s="13"/>
      <c r="G70" s="9"/>
      <c r="H70" s="9"/>
    </row>
    <row r="71" customFormat="false" ht="15" hidden="false" customHeight="true" outlineLevel="0" collapsed="false">
      <c r="A71" s="11"/>
      <c r="B71" s="9"/>
      <c r="C71" s="15" t="str">
        <f aca="false">IF($B71="","",IFERROR(INDEX(직원목록!$B$3:$B$302,MATCH($B71,직원목록!$A$3:$A$302,0)),"미등록사번"))</f>
        <v/>
      </c>
      <c r="D71" s="9"/>
      <c r="E71" s="15" t="str">
        <f aca="false">IF($D71="","",IFERROR(INDEX(교육과정!$B$3:$B$102,MATCH($D71,교육과정!$A$3:$A$102,0)),"미등록과정"))</f>
        <v/>
      </c>
      <c r="F71" s="13"/>
      <c r="G71" s="9"/>
      <c r="H71" s="9"/>
    </row>
    <row r="72" customFormat="false" ht="15" hidden="false" customHeight="true" outlineLevel="0" collapsed="false">
      <c r="A72" s="11"/>
      <c r="B72" s="9"/>
      <c r="C72" s="15" t="str">
        <f aca="false">IF($B72="","",IFERROR(INDEX(직원목록!$B$3:$B$302,MATCH($B72,직원목록!$A$3:$A$302,0)),"미등록사번"))</f>
        <v/>
      </c>
      <c r="D72" s="9"/>
      <c r="E72" s="15" t="str">
        <f aca="false">IF($D72="","",IFERROR(INDEX(교육과정!$B$3:$B$102,MATCH($D72,교육과정!$A$3:$A$102,0)),"미등록과정"))</f>
        <v/>
      </c>
      <c r="F72" s="13"/>
      <c r="G72" s="9"/>
      <c r="H72" s="9"/>
    </row>
    <row r="73" customFormat="false" ht="15" hidden="false" customHeight="true" outlineLevel="0" collapsed="false">
      <c r="A73" s="11"/>
      <c r="B73" s="9"/>
      <c r="C73" s="15" t="str">
        <f aca="false">IF($B73="","",IFERROR(INDEX(직원목록!$B$3:$B$302,MATCH($B73,직원목록!$A$3:$A$302,0)),"미등록사번"))</f>
        <v/>
      </c>
      <c r="D73" s="9"/>
      <c r="E73" s="15" t="str">
        <f aca="false">IF($D73="","",IFERROR(INDEX(교육과정!$B$3:$B$102,MATCH($D73,교육과정!$A$3:$A$102,0)),"미등록과정"))</f>
        <v/>
      </c>
      <c r="F73" s="13"/>
      <c r="G73" s="9"/>
      <c r="H73" s="9"/>
    </row>
    <row r="74" customFormat="false" ht="15" hidden="false" customHeight="true" outlineLevel="0" collapsed="false">
      <c r="A74" s="11"/>
      <c r="B74" s="9"/>
      <c r="C74" s="15" t="str">
        <f aca="false">IF($B74="","",IFERROR(INDEX(직원목록!$B$3:$B$302,MATCH($B74,직원목록!$A$3:$A$302,0)),"미등록사번"))</f>
        <v/>
      </c>
      <c r="D74" s="9"/>
      <c r="E74" s="15" t="str">
        <f aca="false">IF($D74="","",IFERROR(INDEX(교육과정!$B$3:$B$102,MATCH($D74,교육과정!$A$3:$A$102,0)),"미등록과정"))</f>
        <v/>
      </c>
      <c r="F74" s="13"/>
      <c r="G74" s="9"/>
      <c r="H74" s="9"/>
    </row>
    <row r="75" customFormat="false" ht="15" hidden="false" customHeight="true" outlineLevel="0" collapsed="false">
      <c r="A75" s="11"/>
      <c r="B75" s="9"/>
      <c r="C75" s="15" t="str">
        <f aca="false">IF($B75="","",IFERROR(INDEX(직원목록!$B$3:$B$302,MATCH($B75,직원목록!$A$3:$A$302,0)),"미등록사번"))</f>
        <v/>
      </c>
      <c r="D75" s="9"/>
      <c r="E75" s="15" t="str">
        <f aca="false">IF($D75="","",IFERROR(INDEX(교육과정!$B$3:$B$102,MATCH($D75,교육과정!$A$3:$A$102,0)),"미등록과정"))</f>
        <v/>
      </c>
      <c r="F75" s="13"/>
      <c r="G75" s="9"/>
      <c r="H75" s="9"/>
    </row>
    <row r="76" customFormat="false" ht="15" hidden="false" customHeight="true" outlineLevel="0" collapsed="false">
      <c r="A76" s="11"/>
      <c r="B76" s="9"/>
      <c r="C76" s="15" t="str">
        <f aca="false">IF($B76="","",IFERROR(INDEX(직원목록!$B$3:$B$302,MATCH($B76,직원목록!$A$3:$A$302,0)),"미등록사번"))</f>
        <v/>
      </c>
      <c r="D76" s="9"/>
      <c r="E76" s="15" t="str">
        <f aca="false">IF($D76="","",IFERROR(INDEX(교육과정!$B$3:$B$102,MATCH($D76,교육과정!$A$3:$A$102,0)),"미등록과정"))</f>
        <v/>
      </c>
      <c r="F76" s="13"/>
      <c r="G76" s="9"/>
      <c r="H76" s="9"/>
    </row>
    <row r="77" customFormat="false" ht="15" hidden="false" customHeight="true" outlineLevel="0" collapsed="false">
      <c r="A77" s="11"/>
      <c r="B77" s="9"/>
      <c r="C77" s="15" t="str">
        <f aca="false">IF($B77="","",IFERROR(INDEX(직원목록!$B$3:$B$302,MATCH($B77,직원목록!$A$3:$A$302,0)),"미등록사번"))</f>
        <v/>
      </c>
      <c r="D77" s="9"/>
      <c r="E77" s="15" t="str">
        <f aca="false">IF($D77="","",IFERROR(INDEX(교육과정!$B$3:$B$102,MATCH($D77,교육과정!$A$3:$A$102,0)),"미등록과정"))</f>
        <v/>
      </c>
      <c r="F77" s="13"/>
      <c r="G77" s="9"/>
      <c r="H77" s="9"/>
    </row>
    <row r="78" customFormat="false" ht="15" hidden="false" customHeight="true" outlineLevel="0" collapsed="false">
      <c r="A78" s="11"/>
      <c r="B78" s="9"/>
      <c r="C78" s="15" t="str">
        <f aca="false">IF($B78="","",IFERROR(INDEX(직원목록!$B$3:$B$302,MATCH($B78,직원목록!$A$3:$A$302,0)),"미등록사번"))</f>
        <v/>
      </c>
      <c r="D78" s="9"/>
      <c r="E78" s="15" t="str">
        <f aca="false">IF($D78="","",IFERROR(INDEX(교육과정!$B$3:$B$102,MATCH($D78,교육과정!$A$3:$A$102,0)),"미등록과정"))</f>
        <v/>
      </c>
      <c r="F78" s="13"/>
      <c r="G78" s="9"/>
      <c r="H78" s="9"/>
    </row>
    <row r="79" customFormat="false" ht="15" hidden="false" customHeight="true" outlineLevel="0" collapsed="false">
      <c r="A79" s="11"/>
      <c r="B79" s="9"/>
      <c r="C79" s="15" t="str">
        <f aca="false">IF($B79="","",IFERROR(INDEX(직원목록!$B$3:$B$302,MATCH($B79,직원목록!$A$3:$A$302,0)),"미등록사번"))</f>
        <v/>
      </c>
      <c r="D79" s="9"/>
      <c r="E79" s="15" t="str">
        <f aca="false">IF($D79="","",IFERROR(INDEX(교육과정!$B$3:$B$102,MATCH($D79,교육과정!$A$3:$A$102,0)),"미등록과정"))</f>
        <v/>
      </c>
      <c r="F79" s="13"/>
      <c r="G79" s="9"/>
      <c r="H79" s="9"/>
    </row>
    <row r="80" customFormat="false" ht="15" hidden="false" customHeight="true" outlineLevel="0" collapsed="false">
      <c r="A80" s="11"/>
      <c r="B80" s="9"/>
      <c r="C80" s="15" t="str">
        <f aca="false">IF($B80="","",IFERROR(INDEX(직원목록!$B$3:$B$302,MATCH($B80,직원목록!$A$3:$A$302,0)),"미등록사번"))</f>
        <v/>
      </c>
      <c r="D80" s="9"/>
      <c r="E80" s="15" t="str">
        <f aca="false">IF($D80="","",IFERROR(INDEX(교육과정!$B$3:$B$102,MATCH($D80,교육과정!$A$3:$A$102,0)),"미등록과정"))</f>
        <v/>
      </c>
      <c r="F80" s="13"/>
      <c r="G80" s="9"/>
      <c r="H80" s="9"/>
    </row>
    <row r="81" customFormat="false" ht="15" hidden="false" customHeight="true" outlineLevel="0" collapsed="false">
      <c r="A81" s="11"/>
      <c r="B81" s="9"/>
      <c r="C81" s="15" t="str">
        <f aca="false">IF($B81="","",IFERROR(INDEX(직원목록!$B$3:$B$302,MATCH($B81,직원목록!$A$3:$A$302,0)),"미등록사번"))</f>
        <v/>
      </c>
      <c r="D81" s="9"/>
      <c r="E81" s="15" t="str">
        <f aca="false">IF($D81="","",IFERROR(INDEX(교육과정!$B$3:$B$102,MATCH($D81,교육과정!$A$3:$A$102,0)),"미등록과정"))</f>
        <v/>
      </c>
      <c r="F81" s="13"/>
      <c r="G81" s="9"/>
      <c r="H81" s="9"/>
    </row>
    <row r="82" customFormat="false" ht="15" hidden="false" customHeight="true" outlineLevel="0" collapsed="false">
      <c r="A82" s="11"/>
      <c r="B82" s="9"/>
      <c r="C82" s="15" t="str">
        <f aca="false">IF($B82="","",IFERROR(INDEX(직원목록!$B$3:$B$302,MATCH($B82,직원목록!$A$3:$A$302,0)),"미등록사번"))</f>
        <v/>
      </c>
      <c r="D82" s="9"/>
      <c r="E82" s="15" t="str">
        <f aca="false">IF($D82="","",IFERROR(INDEX(교육과정!$B$3:$B$102,MATCH($D82,교육과정!$A$3:$A$102,0)),"미등록과정"))</f>
        <v/>
      </c>
      <c r="F82" s="13"/>
      <c r="G82" s="9"/>
      <c r="H82" s="9"/>
    </row>
    <row r="83" customFormat="false" ht="15" hidden="false" customHeight="true" outlineLevel="0" collapsed="false">
      <c r="A83" s="11"/>
      <c r="B83" s="9"/>
      <c r="C83" s="15" t="str">
        <f aca="false">IF($B83="","",IFERROR(INDEX(직원목록!$B$3:$B$302,MATCH($B83,직원목록!$A$3:$A$302,0)),"미등록사번"))</f>
        <v/>
      </c>
      <c r="D83" s="9"/>
      <c r="E83" s="15" t="str">
        <f aca="false">IF($D83="","",IFERROR(INDEX(교육과정!$B$3:$B$102,MATCH($D83,교육과정!$A$3:$A$102,0)),"미등록과정"))</f>
        <v/>
      </c>
      <c r="F83" s="13"/>
      <c r="G83" s="9"/>
      <c r="H83" s="9"/>
    </row>
    <row r="84" customFormat="false" ht="15" hidden="false" customHeight="true" outlineLevel="0" collapsed="false">
      <c r="A84" s="11"/>
      <c r="B84" s="9"/>
      <c r="C84" s="15" t="str">
        <f aca="false">IF($B84="","",IFERROR(INDEX(직원목록!$B$3:$B$302,MATCH($B84,직원목록!$A$3:$A$302,0)),"미등록사번"))</f>
        <v/>
      </c>
      <c r="D84" s="9"/>
      <c r="E84" s="15" t="str">
        <f aca="false">IF($D84="","",IFERROR(INDEX(교육과정!$B$3:$B$102,MATCH($D84,교육과정!$A$3:$A$102,0)),"미등록과정"))</f>
        <v/>
      </c>
      <c r="F84" s="13"/>
      <c r="G84" s="9"/>
      <c r="H84" s="9"/>
    </row>
    <row r="85" customFormat="false" ht="15" hidden="false" customHeight="true" outlineLevel="0" collapsed="false">
      <c r="A85" s="11"/>
      <c r="B85" s="9"/>
      <c r="C85" s="15" t="str">
        <f aca="false">IF($B85="","",IFERROR(INDEX(직원목록!$B$3:$B$302,MATCH($B85,직원목록!$A$3:$A$302,0)),"미등록사번"))</f>
        <v/>
      </c>
      <c r="D85" s="9"/>
      <c r="E85" s="15" t="str">
        <f aca="false">IF($D85="","",IFERROR(INDEX(교육과정!$B$3:$B$102,MATCH($D85,교육과정!$A$3:$A$102,0)),"미등록과정"))</f>
        <v/>
      </c>
      <c r="F85" s="13"/>
      <c r="G85" s="9"/>
      <c r="H85" s="9"/>
    </row>
    <row r="86" customFormat="false" ht="15" hidden="false" customHeight="true" outlineLevel="0" collapsed="false">
      <c r="A86" s="11"/>
      <c r="B86" s="9"/>
      <c r="C86" s="15" t="str">
        <f aca="false">IF($B86="","",IFERROR(INDEX(직원목록!$B$3:$B$302,MATCH($B86,직원목록!$A$3:$A$302,0)),"미등록사번"))</f>
        <v/>
      </c>
      <c r="D86" s="9"/>
      <c r="E86" s="15" t="str">
        <f aca="false">IF($D86="","",IFERROR(INDEX(교육과정!$B$3:$B$102,MATCH($D86,교육과정!$A$3:$A$102,0)),"미등록과정"))</f>
        <v/>
      </c>
      <c r="F86" s="13"/>
      <c r="G86" s="9"/>
      <c r="H86" s="9"/>
    </row>
    <row r="87" customFormat="false" ht="15" hidden="false" customHeight="true" outlineLevel="0" collapsed="false">
      <c r="A87" s="11"/>
      <c r="B87" s="9"/>
      <c r="C87" s="15" t="str">
        <f aca="false">IF($B87="","",IFERROR(INDEX(직원목록!$B$3:$B$302,MATCH($B87,직원목록!$A$3:$A$302,0)),"미등록사번"))</f>
        <v/>
      </c>
      <c r="D87" s="9"/>
      <c r="E87" s="15" t="str">
        <f aca="false">IF($D87="","",IFERROR(INDEX(교육과정!$B$3:$B$102,MATCH($D87,교육과정!$A$3:$A$102,0)),"미등록과정"))</f>
        <v/>
      </c>
      <c r="F87" s="13"/>
      <c r="G87" s="9"/>
      <c r="H87" s="9"/>
    </row>
    <row r="88" customFormat="false" ht="15" hidden="false" customHeight="true" outlineLevel="0" collapsed="false">
      <c r="A88" s="11"/>
      <c r="B88" s="9"/>
      <c r="C88" s="15" t="str">
        <f aca="false">IF($B88="","",IFERROR(INDEX(직원목록!$B$3:$B$302,MATCH($B88,직원목록!$A$3:$A$302,0)),"미등록사번"))</f>
        <v/>
      </c>
      <c r="D88" s="9"/>
      <c r="E88" s="15" t="str">
        <f aca="false">IF($D88="","",IFERROR(INDEX(교육과정!$B$3:$B$102,MATCH($D88,교육과정!$A$3:$A$102,0)),"미등록과정"))</f>
        <v/>
      </c>
      <c r="F88" s="13"/>
      <c r="G88" s="9"/>
      <c r="H88" s="9"/>
    </row>
    <row r="89" customFormat="false" ht="15" hidden="false" customHeight="true" outlineLevel="0" collapsed="false">
      <c r="A89" s="11"/>
      <c r="B89" s="9"/>
      <c r="C89" s="15" t="str">
        <f aca="false">IF($B89="","",IFERROR(INDEX(직원목록!$B$3:$B$302,MATCH($B89,직원목록!$A$3:$A$302,0)),"미등록사번"))</f>
        <v/>
      </c>
      <c r="D89" s="9"/>
      <c r="E89" s="15" t="str">
        <f aca="false">IF($D89="","",IFERROR(INDEX(교육과정!$B$3:$B$102,MATCH($D89,교육과정!$A$3:$A$102,0)),"미등록과정"))</f>
        <v/>
      </c>
      <c r="F89" s="13"/>
      <c r="G89" s="9"/>
      <c r="H89" s="9"/>
    </row>
    <row r="90" customFormat="false" ht="15" hidden="false" customHeight="true" outlineLevel="0" collapsed="false">
      <c r="A90" s="11"/>
      <c r="B90" s="9"/>
      <c r="C90" s="15" t="str">
        <f aca="false">IF($B90="","",IFERROR(INDEX(직원목록!$B$3:$B$302,MATCH($B90,직원목록!$A$3:$A$302,0)),"미등록사번"))</f>
        <v/>
      </c>
      <c r="D90" s="9"/>
      <c r="E90" s="15" t="str">
        <f aca="false">IF($D90="","",IFERROR(INDEX(교육과정!$B$3:$B$102,MATCH($D90,교육과정!$A$3:$A$102,0)),"미등록과정"))</f>
        <v/>
      </c>
      <c r="F90" s="13"/>
      <c r="G90" s="9"/>
      <c r="H90" s="9"/>
    </row>
    <row r="91" customFormat="false" ht="15" hidden="false" customHeight="true" outlineLevel="0" collapsed="false">
      <c r="A91" s="11"/>
      <c r="B91" s="9"/>
      <c r="C91" s="15" t="str">
        <f aca="false">IF($B91="","",IFERROR(INDEX(직원목록!$B$3:$B$302,MATCH($B91,직원목록!$A$3:$A$302,0)),"미등록사번"))</f>
        <v/>
      </c>
      <c r="D91" s="9"/>
      <c r="E91" s="15" t="str">
        <f aca="false">IF($D91="","",IFERROR(INDEX(교육과정!$B$3:$B$102,MATCH($D91,교육과정!$A$3:$A$102,0)),"미등록과정"))</f>
        <v/>
      </c>
      <c r="F91" s="13"/>
      <c r="G91" s="9"/>
      <c r="H91" s="9"/>
    </row>
    <row r="92" customFormat="false" ht="15" hidden="false" customHeight="true" outlineLevel="0" collapsed="false">
      <c r="A92" s="11"/>
      <c r="B92" s="9"/>
      <c r="C92" s="15" t="str">
        <f aca="false">IF($B92="","",IFERROR(INDEX(직원목록!$B$3:$B$302,MATCH($B92,직원목록!$A$3:$A$302,0)),"미등록사번"))</f>
        <v/>
      </c>
      <c r="D92" s="9"/>
      <c r="E92" s="15" t="str">
        <f aca="false">IF($D92="","",IFERROR(INDEX(교육과정!$B$3:$B$102,MATCH($D92,교육과정!$A$3:$A$102,0)),"미등록과정"))</f>
        <v/>
      </c>
      <c r="F92" s="13"/>
      <c r="G92" s="9"/>
      <c r="H92" s="9"/>
    </row>
    <row r="93" customFormat="false" ht="15" hidden="false" customHeight="true" outlineLevel="0" collapsed="false">
      <c r="A93" s="11"/>
      <c r="B93" s="9"/>
      <c r="C93" s="15" t="str">
        <f aca="false">IF($B93="","",IFERROR(INDEX(직원목록!$B$3:$B$302,MATCH($B93,직원목록!$A$3:$A$302,0)),"미등록사번"))</f>
        <v/>
      </c>
      <c r="D93" s="9"/>
      <c r="E93" s="15" t="str">
        <f aca="false">IF($D93="","",IFERROR(INDEX(교육과정!$B$3:$B$102,MATCH($D93,교육과정!$A$3:$A$102,0)),"미등록과정"))</f>
        <v/>
      </c>
      <c r="F93" s="13"/>
      <c r="G93" s="9"/>
      <c r="H93" s="9"/>
    </row>
    <row r="94" customFormat="false" ht="15" hidden="false" customHeight="true" outlineLevel="0" collapsed="false">
      <c r="A94" s="11"/>
      <c r="B94" s="9"/>
      <c r="C94" s="15" t="str">
        <f aca="false">IF($B94="","",IFERROR(INDEX(직원목록!$B$3:$B$302,MATCH($B94,직원목록!$A$3:$A$302,0)),"미등록사번"))</f>
        <v/>
      </c>
      <c r="D94" s="9"/>
      <c r="E94" s="15" t="str">
        <f aca="false">IF($D94="","",IFERROR(INDEX(교육과정!$B$3:$B$102,MATCH($D94,교육과정!$A$3:$A$102,0)),"미등록과정"))</f>
        <v/>
      </c>
      <c r="F94" s="13"/>
      <c r="G94" s="9"/>
      <c r="H94" s="9"/>
    </row>
    <row r="95" customFormat="false" ht="15" hidden="false" customHeight="true" outlineLevel="0" collapsed="false">
      <c r="A95" s="11"/>
      <c r="B95" s="9"/>
      <c r="C95" s="15" t="str">
        <f aca="false">IF($B95="","",IFERROR(INDEX(직원목록!$B$3:$B$302,MATCH($B95,직원목록!$A$3:$A$302,0)),"미등록사번"))</f>
        <v/>
      </c>
      <c r="D95" s="9"/>
      <c r="E95" s="15" t="str">
        <f aca="false">IF($D95="","",IFERROR(INDEX(교육과정!$B$3:$B$102,MATCH($D95,교육과정!$A$3:$A$102,0)),"미등록과정"))</f>
        <v/>
      </c>
      <c r="F95" s="13"/>
      <c r="G95" s="9"/>
      <c r="H95" s="9"/>
    </row>
    <row r="96" customFormat="false" ht="15" hidden="false" customHeight="true" outlineLevel="0" collapsed="false">
      <c r="A96" s="11"/>
      <c r="B96" s="9"/>
      <c r="C96" s="15" t="str">
        <f aca="false">IF($B96="","",IFERROR(INDEX(직원목록!$B$3:$B$302,MATCH($B96,직원목록!$A$3:$A$302,0)),"미등록사번"))</f>
        <v/>
      </c>
      <c r="D96" s="9"/>
      <c r="E96" s="15" t="str">
        <f aca="false">IF($D96="","",IFERROR(INDEX(교육과정!$B$3:$B$102,MATCH($D96,교육과정!$A$3:$A$102,0)),"미등록과정"))</f>
        <v/>
      </c>
      <c r="F96" s="13"/>
      <c r="G96" s="9"/>
      <c r="H96" s="9"/>
    </row>
    <row r="97" customFormat="false" ht="15" hidden="false" customHeight="true" outlineLevel="0" collapsed="false">
      <c r="A97" s="11"/>
      <c r="B97" s="9"/>
      <c r="C97" s="15" t="str">
        <f aca="false">IF($B97="","",IFERROR(INDEX(직원목록!$B$3:$B$302,MATCH($B97,직원목록!$A$3:$A$302,0)),"미등록사번"))</f>
        <v/>
      </c>
      <c r="D97" s="9"/>
      <c r="E97" s="15" t="str">
        <f aca="false">IF($D97="","",IFERROR(INDEX(교육과정!$B$3:$B$102,MATCH($D97,교육과정!$A$3:$A$102,0)),"미등록과정"))</f>
        <v/>
      </c>
      <c r="F97" s="13"/>
      <c r="G97" s="9"/>
      <c r="H97" s="9"/>
    </row>
    <row r="98" customFormat="false" ht="15" hidden="false" customHeight="true" outlineLevel="0" collapsed="false">
      <c r="A98" s="11"/>
      <c r="B98" s="9"/>
      <c r="C98" s="15" t="str">
        <f aca="false">IF($B98="","",IFERROR(INDEX(직원목록!$B$3:$B$302,MATCH($B98,직원목록!$A$3:$A$302,0)),"미등록사번"))</f>
        <v/>
      </c>
      <c r="D98" s="9"/>
      <c r="E98" s="15" t="str">
        <f aca="false">IF($D98="","",IFERROR(INDEX(교육과정!$B$3:$B$102,MATCH($D98,교육과정!$A$3:$A$102,0)),"미등록과정"))</f>
        <v/>
      </c>
      <c r="F98" s="13"/>
      <c r="G98" s="9"/>
      <c r="H98" s="9"/>
    </row>
    <row r="99" customFormat="false" ht="15" hidden="false" customHeight="true" outlineLevel="0" collapsed="false">
      <c r="A99" s="11"/>
      <c r="B99" s="9"/>
      <c r="C99" s="15" t="str">
        <f aca="false">IF($B99="","",IFERROR(INDEX(직원목록!$B$3:$B$302,MATCH($B99,직원목록!$A$3:$A$302,0)),"미등록사번"))</f>
        <v/>
      </c>
      <c r="D99" s="9"/>
      <c r="E99" s="15" t="str">
        <f aca="false">IF($D99="","",IFERROR(INDEX(교육과정!$B$3:$B$102,MATCH($D99,교육과정!$A$3:$A$102,0)),"미등록과정"))</f>
        <v/>
      </c>
      <c r="F99" s="13"/>
      <c r="G99" s="9"/>
      <c r="H99" s="9"/>
    </row>
    <row r="100" customFormat="false" ht="15" hidden="false" customHeight="true" outlineLevel="0" collapsed="false">
      <c r="A100" s="11"/>
      <c r="B100" s="9"/>
      <c r="C100" s="15" t="str">
        <f aca="false">IF($B100="","",IFERROR(INDEX(직원목록!$B$3:$B$302,MATCH($B100,직원목록!$A$3:$A$302,0)),"미등록사번"))</f>
        <v/>
      </c>
      <c r="D100" s="9"/>
      <c r="E100" s="15" t="str">
        <f aca="false">IF($D100="","",IFERROR(INDEX(교육과정!$B$3:$B$102,MATCH($D100,교육과정!$A$3:$A$102,0)),"미등록과정"))</f>
        <v/>
      </c>
      <c r="F100" s="13"/>
      <c r="G100" s="9"/>
      <c r="H100" s="9"/>
    </row>
    <row r="101" customFormat="false" ht="15" hidden="false" customHeight="true" outlineLevel="0" collapsed="false">
      <c r="A101" s="11"/>
      <c r="B101" s="9"/>
      <c r="C101" s="15" t="str">
        <f aca="false">IF($B101="","",IFERROR(INDEX(직원목록!$B$3:$B$302,MATCH($B101,직원목록!$A$3:$A$302,0)),"미등록사번"))</f>
        <v/>
      </c>
      <c r="D101" s="9"/>
      <c r="E101" s="15" t="str">
        <f aca="false">IF($D101="","",IFERROR(INDEX(교육과정!$B$3:$B$102,MATCH($D101,교육과정!$A$3:$A$102,0)),"미등록과정"))</f>
        <v/>
      </c>
      <c r="F101" s="13"/>
      <c r="G101" s="9"/>
      <c r="H101" s="9"/>
    </row>
    <row r="102" customFormat="false" ht="15" hidden="false" customHeight="true" outlineLevel="0" collapsed="false">
      <c r="A102" s="11"/>
      <c r="B102" s="9"/>
      <c r="C102" s="15" t="str">
        <f aca="false">IF($B102="","",IFERROR(INDEX(직원목록!$B$3:$B$302,MATCH($B102,직원목록!$A$3:$A$302,0)),"미등록사번"))</f>
        <v/>
      </c>
      <c r="D102" s="9"/>
      <c r="E102" s="15" t="str">
        <f aca="false">IF($D102="","",IFERROR(INDEX(교육과정!$B$3:$B$102,MATCH($D102,교육과정!$A$3:$A$102,0)),"미등록과정"))</f>
        <v/>
      </c>
      <c r="F102" s="13"/>
      <c r="G102" s="9"/>
      <c r="H102" s="9"/>
    </row>
    <row r="103" customFormat="false" ht="15" hidden="false" customHeight="true" outlineLevel="0" collapsed="false">
      <c r="A103" s="11"/>
      <c r="B103" s="9"/>
      <c r="C103" s="15" t="str">
        <f aca="false">IF($B103="","",IFERROR(INDEX(직원목록!$B$3:$B$302,MATCH($B103,직원목록!$A$3:$A$302,0)),"미등록사번"))</f>
        <v/>
      </c>
      <c r="D103" s="9"/>
      <c r="E103" s="15" t="str">
        <f aca="false">IF($D103="","",IFERROR(INDEX(교육과정!$B$3:$B$102,MATCH($D103,교육과정!$A$3:$A$102,0)),"미등록과정"))</f>
        <v/>
      </c>
      <c r="F103" s="13"/>
      <c r="G103" s="9"/>
      <c r="H103" s="9"/>
    </row>
    <row r="104" customFormat="false" ht="15" hidden="false" customHeight="true" outlineLevel="0" collapsed="false">
      <c r="A104" s="11"/>
      <c r="B104" s="9"/>
      <c r="C104" s="15" t="str">
        <f aca="false">IF($B104="","",IFERROR(INDEX(직원목록!$B$3:$B$302,MATCH($B104,직원목록!$A$3:$A$302,0)),"미등록사번"))</f>
        <v/>
      </c>
      <c r="D104" s="9"/>
      <c r="E104" s="15" t="str">
        <f aca="false">IF($D104="","",IFERROR(INDEX(교육과정!$B$3:$B$102,MATCH($D104,교육과정!$A$3:$A$102,0)),"미등록과정"))</f>
        <v/>
      </c>
      <c r="F104" s="13"/>
      <c r="G104" s="9"/>
      <c r="H104" s="9"/>
    </row>
    <row r="105" customFormat="false" ht="15" hidden="false" customHeight="true" outlineLevel="0" collapsed="false">
      <c r="A105" s="11"/>
      <c r="B105" s="9"/>
      <c r="C105" s="15" t="str">
        <f aca="false">IF($B105="","",IFERROR(INDEX(직원목록!$B$3:$B$302,MATCH($B105,직원목록!$A$3:$A$302,0)),"미등록사번"))</f>
        <v/>
      </c>
      <c r="D105" s="9"/>
      <c r="E105" s="15" t="str">
        <f aca="false">IF($D105="","",IFERROR(INDEX(교육과정!$B$3:$B$102,MATCH($D105,교육과정!$A$3:$A$102,0)),"미등록과정"))</f>
        <v/>
      </c>
      <c r="F105" s="13"/>
      <c r="G105" s="9"/>
      <c r="H105" s="9"/>
    </row>
    <row r="106" customFormat="false" ht="15" hidden="false" customHeight="true" outlineLevel="0" collapsed="false">
      <c r="A106" s="11"/>
      <c r="B106" s="9"/>
      <c r="C106" s="15" t="str">
        <f aca="false">IF($B106="","",IFERROR(INDEX(직원목록!$B$3:$B$302,MATCH($B106,직원목록!$A$3:$A$302,0)),"미등록사번"))</f>
        <v/>
      </c>
      <c r="D106" s="9"/>
      <c r="E106" s="15" t="str">
        <f aca="false">IF($D106="","",IFERROR(INDEX(교육과정!$B$3:$B$102,MATCH($D106,교육과정!$A$3:$A$102,0)),"미등록과정"))</f>
        <v/>
      </c>
      <c r="F106" s="13"/>
      <c r="G106" s="9"/>
      <c r="H106" s="9"/>
    </row>
    <row r="107" customFormat="false" ht="15" hidden="false" customHeight="true" outlineLevel="0" collapsed="false">
      <c r="A107" s="11"/>
      <c r="B107" s="9"/>
      <c r="C107" s="15" t="str">
        <f aca="false">IF($B107="","",IFERROR(INDEX(직원목록!$B$3:$B$302,MATCH($B107,직원목록!$A$3:$A$302,0)),"미등록사번"))</f>
        <v/>
      </c>
      <c r="D107" s="9"/>
      <c r="E107" s="15" t="str">
        <f aca="false">IF($D107="","",IFERROR(INDEX(교육과정!$B$3:$B$102,MATCH($D107,교육과정!$A$3:$A$102,0)),"미등록과정"))</f>
        <v/>
      </c>
      <c r="F107" s="13"/>
      <c r="G107" s="9"/>
      <c r="H107" s="9"/>
    </row>
    <row r="108" customFormat="false" ht="15" hidden="false" customHeight="true" outlineLevel="0" collapsed="false">
      <c r="A108" s="11"/>
      <c r="B108" s="9"/>
      <c r="C108" s="15" t="str">
        <f aca="false">IF($B108="","",IFERROR(INDEX(직원목록!$B$3:$B$302,MATCH($B108,직원목록!$A$3:$A$302,0)),"미등록사번"))</f>
        <v/>
      </c>
      <c r="D108" s="9"/>
      <c r="E108" s="15" t="str">
        <f aca="false">IF($D108="","",IFERROR(INDEX(교육과정!$B$3:$B$102,MATCH($D108,교육과정!$A$3:$A$102,0)),"미등록과정"))</f>
        <v/>
      </c>
      <c r="F108" s="13"/>
      <c r="G108" s="9"/>
      <c r="H108" s="9"/>
    </row>
    <row r="109" customFormat="false" ht="15" hidden="false" customHeight="true" outlineLevel="0" collapsed="false">
      <c r="A109" s="11"/>
      <c r="B109" s="9"/>
      <c r="C109" s="15" t="str">
        <f aca="false">IF($B109="","",IFERROR(INDEX(직원목록!$B$3:$B$302,MATCH($B109,직원목록!$A$3:$A$302,0)),"미등록사번"))</f>
        <v/>
      </c>
      <c r="D109" s="9"/>
      <c r="E109" s="15" t="str">
        <f aca="false">IF($D109="","",IFERROR(INDEX(교육과정!$B$3:$B$102,MATCH($D109,교육과정!$A$3:$A$102,0)),"미등록과정"))</f>
        <v/>
      </c>
      <c r="F109" s="13"/>
      <c r="G109" s="9"/>
      <c r="H109" s="9"/>
    </row>
    <row r="110" customFormat="false" ht="15" hidden="false" customHeight="true" outlineLevel="0" collapsed="false">
      <c r="A110" s="11"/>
      <c r="B110" s="9"/>
      <c r="C110" s="15" t="str">
        <f aca="false">IF($B110="","",IFERROR(INDEX(직원목록!$B$3:$B$302,MATCH($B110,직원목록!$A$3:$A$302,0)),"미등록사번"))</f>
        <v/>
      </c>
      <c r="D110" s="9"/>
      <c r="E110" s="15" t="str">
        <f aca="false">IF($D110="","",IFERROR(INDEX(교육과정!$B$3:$B$102,MATCH($D110,교육과정!$A$3:$A$102,0)),"미등록과정"))</f>
        <v/>
      </c>
      <c r="F110" s="13"/>
      <c r="G110" s="9"/>
      <c r="H110" s="9"/>
    </row>
    <row r="111" customFormat="false" ht="15" hidden="false" customHeight="true" outlineLevel="0" collapsed="false">
      <c r="A111" s="11"/>
      <c r="B111" s="9"/>
      <c r="C111" s="15" t="str">
        <f aca="false">IF($B111="","",IFERROR(INDEX(직원목록!$B$3:$B$302,MATCH($B111,직원목록!$A$3:$A$302,0)),"미등록사번"))</f>
        <v/>
      </c>
      <c r="D111" s="9"/>
      <c r="E111" s="15" t="str">
        <f aca="false">IF($D111="","",IFERROR(INDEX(교육과정!$B$3:$B$102,MATCH($D111,교육과정!$A$3:$A$102,0)),"미등록과정"))</f>
        <v/>
      </c>
      <c r="F111" s="13"/>
      <c r="G111" s="9"/>
      <c r="H111" s="9"/>
    </row>
    <row r="112" customFormat="false" ht="15" hidden="false" customHeight="true" outlineLevel="0" collapsed="false">
      <c r="A112" s="11"/>
      <c r="B112" s="9"/>
      <c r="C112" s="15" t="str">
        <f aca="false">IF($B112="","",IFERROR(INDEX(직원목록!$B$3:$B$302,MATCH($B112,직원목록!$A$3:$A$302,0)),"미등록사번"))</f>
        <v/>
      </c>
      <c r="D112" s="9"/>
      <c r="E112" s="15" t="str">
        <f aca="false">IF($D112="","",IFERROR(INDEX(교육과정!$B$3:$B$102,MATCH($D112,교육과정!$A$3:$A$102,0)),"미등록과정"))</f>
        <v/>
      </c>
      <c r="F112" s="13"/>
      <c r="G112" s="9"/>
      <c r="H112" s="9"/>
    </row>
    <row r="113" customFormat="false" ht="15" hidden="false" customHeight="true" outlineLevel="0" collapsed="false">
      <c r="A113" s="11"/>
      <c r="B113" s="9"/>
      <c r="C113" s="15" t="str">
        <f aca="false">IF($B113="","",IFERROR(INDEX(직원목록!$B$3:$B$302,MATCH($B113,직원목록!$A$3:$A$302,0)),"미등록사번"))</f>
        <v/>
      </c>
      <c r="D113" s="9"/>
      <c r="E113" s="15" t="str">
        <f aca="false">IF($D113="","",IFERROR(INDEX(교육과정!$B$3:$B$102,MATCH($D113,교육과정!$A$3:$A$102,0)),"미등록과정"))</f>
        <v/>
      </c>
      <c r="F113" s="13"/>
      <c r="G113" s="9"/>
      <c r="H113" s="9"/>
    </row>
    <row r="114" customFormat="false" ht="15" hidden="false" customHeight="true" outlineLevel="0" collapsed="false">
      <c r="A114" s="11"/>
      <c r="B114" s="9"/>
      <c r="C114" s="15" t="str">
        <f aca="false">IF($B114="","",IFERROR(INDEX(직원목록!$B$3:$B$302,MATCH($B114,직원목록!$A$3:$A$302,0)),"미등록사번"))</f>
        <v/>
      </c>
      <c r="D114" s="9"/>
      <c r="E114" s="15" t="str">
        <f aca="false">IF($D114="","",IFERROR(INDEX(교육과정!$B$3:$B$102,MATCH($D114,교육과정!$A$3:$A$102,0)),"미등록과정"))</f>
        <v/>
      </c>
      <c r="F114" s="13"/>
      <c r="G114" s="9"/>
      <c r="H114" s="9"/>
    </row>
    <row r="115" customFormat="false" ht="15" hidden="false" customHeight="true" outlineLevel="0" collapsed="false">
      <c r="A115" s="11"/>
      <c r="B115" s="9"/>
      <c r="C115" s="15" t="str">
        <f aca="false">IF($B115="","",IFERROR(INDEX(직원목록!$B$3:$B$302,MATCH($B115,직원목록!$A$3:$A$302,0)),"미등록사번"))</f>
        <v/>
      </c>
      <c r="D115" s="9"/>
      <c r="E115" s="15" t="str">
        <f aca="false">IF($D115="","",IFERROR(INDEX(교육과정!$B$3:$B$102,MATCH($D115,교육과정!$A$3:$A$102,0)),"미등록과정"))</f>
        <v/>
      </c>
      <c r="F115" s="13"/>
      <c r="G115" s="9"/>
      <c r="H115" s="9"/>
    </row>
    <row r="116" customFormat="false" ht="15" hidden="false" customHeight="true" outlineLevel="0" collapsed="false">
      <c r="A116" s="11"/>
      <c r="B116" s="9"/>
      <c r="C116" s="15" t="str">
        <f aca="false">IF($B116="","",IFERROR(INDEX(직원목록!$B$3:$B$302,MATCH($B116,직원목록!$A$3:$A$302,0)),"미등록사번"))</f>
        <v/>
      </c>
      <c r="D116" s="9"/>
      <c r="E116" s="15" t="str">
        <f aca="false">IF($D116="","",IFERROR(INDEX(교육과정!$B$3:$B$102,MATCH($D116,교육과정!$A$3:$A$102,0)),"미등록과정"))</f>
        <v/>
      </c>
      <c r="F116" s="13"/>
      <c r="G116" s="9"/>
      <c r="H116" s="9"/>
    </row>
    <row r="117" customFormat="false" ht="15" hidden="false" customHeight="true" outlineLevel="0" collapsed="false">
      <c r="A117" s="11"/>
      <c r="B117" s="9"/>
      <c r="C117" s="15" t="str">
        <f aca="false">IF($B117="","",IFERROR(INDEX(직원목록!$B$3:$B$302,MATCH($B117,직원목록!$A$3:$A$302,0)),"미등록사번"))</f>
        <v/>
      </c>
      <c r="D117" s="9"/>
      <c r="E117" s="15" t="str">
        <f aca="false">IF($D117="","",IFERROR(INDEX(교육과정!$B$3:$B$102,MATCH($D117,교육과정!$A$3:$A$102,0)),"미등록과정"))</f>
        <v/>
      </c>
      <c r="F117" s="13"/>
      <c r="G117" s="9"/>
      <c r="H117" s="9"/>
    </row>
    <row r="118" customFormat="false" ht="15" hidden="false" customHeight="true" outlineLevel="0" collapsed="false">
      <c r="A118" s="11"/>
      <c r="B118" s="9"/>
      <c r="C118" s="15" t="str">
        <f aca="false">IF($B118="","",IFERROR(INDEX(직원목록!$B$3:$B$302,MATCH($B118,직원목록!$A$3:$A$302,0)),"미등록사번"))</f>
        <v/>
      </c>
      <c r="D118" s="9"/>
      <c r="E118" s="15" t="str">
        <f aca="false">IF($D118="","",IFERROR(INDEX(교육과정!$B$3:$B$102,MATCH($D118,교육과정!$A$3:$A$102,0)),"미등록과정"))</f>
        <v/>
      </c>
      <c r="F118" s="13"/>
      <c r="G118" s="9"/>
      <c r="H118" s="9"/>
    </row>
    <row r="119" customFormat="false" ht="15" hidden="false" customHeight="true" outlineLevel="0" collapsed="false">
      <c r="A119" s="11"/>
      <c r="B119" s="9"/>
      <c r="C119" s="15" t="str">
        <f aca="false">IF($B119="","",IFERROR(INDEX(직원목록!$B$3:$B$302,MATCH($B119,직원목록!$A$3:$A$302,0)),"미등록사번"))</f>
        <v/>
      </c>
      <c r="D119" s="9"/>
      <c r="E119" s="15" t="str">
        <f aca="false">IF($D119="","",IFERROR(INDEX(교육과정!$B$3:$B$102,MATCH($D119,교육과정!$A$3:$A$102,0)),"미등록과정"))</f>
        <v/>
      </c>
      <c r="F119" s="13"/>
      <c r="G119" s="9"/>
      <c r="H119" s="9"/>
    </row>
    <row r="120" customFormat="false" ht="15" hidden="false" customHeight="true" outlineLevel="0" collapsed="false">
      <c r="A120" s="11"/>
      <c r="B120" s="9"/>
      <c r="C120" s="15" t="str">
        <f aca="false">IF($B120="","",IFERROR(INDEX(직원목록!$B$3:$B$302,MATCH($B120,직원목록!$A$3:$A$302,0)),"미등록사번"))</f>
        <v/>
      </c>
      <c r="D120" s="9"/>
      <c r="E120" s="15" t="str">
        <f aca="false">IF($D120="","",IFERROR(INDEX(교육과정!$B$3:$B$102,MATCH($D120,교육과정!$A$3:$A$102,0)),"미등록과정"))</f>
        <v/>
      </c>
      <c r="F120" s="13"/>
      <c r="G120" s="9"/>
      <c r="H120" s="9"/>
    </row>
    <row r="121" customFormat="false" ht="15" hidden="false" customHeight="true" outlineLevel="0" collapsed="false">
      <c r="A121" s="11"/>
      <c r="B121" s="9"/>
      <c r="C121" s="15" t="str">
        <f aca="false">IF($B121="","",IFERROR(INDEX(직원목록!$B$3:$B$302,MATCH($B121,직원목록!$A$3:$A$302,0)),"미등록사번"))</f>
        <v/>
      </c>
      <c r="D121" s="9"/>
      <c r="E121" s="15" t="str">
        <f aca="false">IF($D121="","",IFERROR(INDEX(교육과정!$B$3:$B$102,MATCH($D121,교육과정!$A$3:$A$102,0)),"미등록과정"))</f>
        <v/>
      </c>
      <c r="F121" s="13"/>
      <c r="G121" s="9"/>
      <c r="H121" s="9"/>
    </row>
    <row r="122" customFormat="false" ht="15" hidden="false" customHeight="true" outlineLevel="0" collapsed="false">
      <c r="A122" s="11"/>
      <c r="B122" s="9"/>
      <c r="C122" s="15" t="str">
        <f aca="false">IF($B122="","",IFERROR(INDEX(직원목록!$B$3:$B$302,MATCH($B122,직원목록!$A$3:$A$302,0)),"미등록사번"))</f>
        <v/>
      </c>
      <c r="D122" s="9"/>
      <c r="E122" s="15" t="str">
        <f aca="false">IF($D122="","",IFERROR(INDEX(교육과정!$B$3:$B$102,MATCH($D122,교육과정!$A$3:$A$102,0)),"미등록과정"))</f>
        <v/>
      </c>
      <c r="F122" s="13"/>
      <c r="G122" s="9"/>
      <c r="H122" s="9"/>
    </row>
    <row r="123" customFormat="false" ht="15" hidden="false" customHeight="true" outlineLevel="0" collapsed="false">
      <c r="A123" s="11"/>
      <c r="B123" s="9"/>
      <c r="C123" s="15" t="str">
        <f aca="false">IF($B123="","",IFERROR(INDEX(직원목록!$B$3:$B$302,MATCH($B123,직원목록!$A$3:$A$302,0)),"미등록사번"))</f>
        <v/>
      </c>
      <c r="D123" s="9"/>
      <c r="E123" s="15" t="str">
        <f aca="false">IF($D123="","",IFERROR(INDEX(교육과정!$B$3:$B$102,MATCH($D123,교육과정!$A$3:$A$102,0)),"미등록과정"))</f>
        <v/>
      </c>
      <c r="F123" s="13"/>
      <c r="G123" s="9"/>
      <c r="H123" s="9"/>
    </row>
    <row r="124" customFormat="false" ht="15" hidden="false" customHeight="true" outlineLevel="0" collapsed="false">
      <c r="A124" s="11"/>
      <c r="B124" s="9"/>
      <c r="C124" s="15" t="str">
        <f aca="false">IF($B124="","",IFERROR(INDEX(직원목록!$B$3:$B$302,MATCH($B124,직원목록!$A$3:$A$302,0)),"미등록사번"))</f>
        <v/>
      </c>
      <c r="D124" s="9"/>
      <c r="E124" s="15" t="str">
        <f aca="false">IF($D124="","",IFERROR(INDEX(교육과정!$B$3:$B$102,MATCH($D124,교육과정!$A$3:$A$102,0)),"미등록과정"))</f>
        <v/>
      </c>
      <c r="F124" s="13"/>
      <c r="G124" s="9"/>
      <c r="H124" s="9"/>
    </row>
    <row r="125" customFormat="false" ht="15" hidden="false" customHeight="true" outlineLevel="0" collapsed="false">
      <c r="A125" s="11"/>
      <c r="B125" s="9"/>
      <c r="C125" s="15" t="str">
        <f aca="false">IF($B125="","",IFERROR(INDEX(직원목록!$B$3:$B$302,MATCH($B125,직원목록!$A$3:$A$302,0)),"미등록사번"))</f>
        <v/>
      </c>
      <c r="D125" s="9"/>
      <c r="E125" s="15" t="str">
        <f aca="false">IF($D125="","",IFERROR(INDEX(교육과정!$B$3:$B$102,MATCH($D125,교육과정!$A$3:$A$102,0)),"미등록과정"))</f>
        <v/>
      </c>
      <c r="F125" s="13"/>
      <c r="G125" s="9"/>
      <c r="H125" s="9"/>
    </row>
    <row r="126" customFormat="false" ht="15" hidden="false" customHeight="true" outlineLevel="0" collapsed="false">
      <c r="A126" s="11"/>
      <c r="B126" s="9"/>
      <c r="C126" s="15" t="str">
        <f aca="false">IF($B126="","",IFERROR(INDEX(직원목록!$B$3:$B$302,MATCH($B126,직원목록!$A$3:$A$302,0)),"미등록사번"))</f>
        <v/>
      </c>
      <c r="D126" s="9"/>
      <c r="E126" s="15" t="str">
        <f aca="false">IF($D126="","",IFERROR(INDEX(교육과정!$B$3:$B$102,MATCH($D126,교육과정!$A$3:$A$102,0)),"미등록과정"))</f>
        <v/>
      </c>
      <c r="F126" s="13"/>
      <c r="G126" s="9"/>
      <c r="H126" s="9"/>
    </row>
    <row r="127" customFormat="false" ht="15" hidden="false" customHeight="true" outlineLevel="0" collapsed="false">
      <c r="A127" s="11"/>
      <c r="B127" s="9"/>
      <c r="C127" s="15" t="str">
        <f aca="false">IF($B127="","",IFERROR(INDEX(직원목록!$B$3:$B$302,MATCH($B127,직원목록!$A$3:$A$302,0)),"미등록사번"))</f>
        <v/>
      </c>
      <c r="D127" s="9"/>
      <c r="E127" s="15" t="str">
        <f aca="false">IF($D127="","",IFERROR(INDEX(교육과정!$B$3:$B$102,MATCH($D127,교육과정!$A$3:$A$102,0)),"미등록과정"))</f>
        <v/>
      </c>
      <c r="F127" s="13"/>
      <c r="G127" s="9"/>
      <c r="H127" s="9"/>
    </row>
    <row r="128" customFormat="false" ht="15" hidden="false" customHeight="true" outlineLevel="0" collapsed="false">
      <c r="A128" s="11"/>
      <c r="B128" s="9"/>
      <c r="C128" s="15" t="str">
        <f aca="false">IF($B128="","",IFERROR(INDEX(직원목록!$B$3:$B$302,MATCH($B128,직원목록!$A$3:$A$302,0)),"미등록사번"))</f>
        <v/>
      </c>
      <c r="D128" s="9"/>
      <c r="E128" s="15" t="str">
        <f aca="false">IF($D128="","",IFERROR(INDEX(교육과정!$B$3:$B$102,MATCH($D128,교육과정!$A$3:$A$102,0)),"미등록과정"))</f>
        <v/>
      </c>
      <c r="F128" s="13"/>
      <c r="G128" s="9"/>
      <c r="H128" s="9"/>
    </row>
    <row r="129" customFormat="false" ht="15" hidden="false" customHeight="true" outlineLevel="0" collapsed="false">
      <c r="A129" s="11"/>
      <c r="B129" s="9"/>
      <c r="C129" s="15" t="str">
        <f aca="false">IF($B129="","",IFERROR(INDEX(직원목록!$B$3:$B$302,MATCH($B129,직원목록!$A$3:$A$302,0)),"미등록사번"))</f>
        <v/>
      </c>
      <c r="D129" s="9"/>
      <c r="E129" s="15" t="str">
        <f aca="false">IF($D129="","",IFERROR(INDEX(교육과정!$B$3:$B$102,MATCH($D129,교육과정!$A$3:$A$102,0)),"미등록과정"))</f>
        <v/>
      </c>
      <c r="F129" s="13"/>
      <c r="G129" s="9"/>
      <c r="H129" s="9"/>
    </row>
    <row r="130" customFormat="false" ht="15" hidden="false" customHeight="true" outlineLevel="0" collapsed="false">
      <c r="A130" s="11"/>
      <c r="B130" s="9"/>
      <c r="C130" s="15" t="str">
        <f aca="false">IF($B130="","",IFERROR(INDEX(직원목록!$B$3:$B$302,MATCH($B130,직원목록!$A$3:$A$302,0)),"미등록사번"))</f>
        <v/>
      </c>
      <c r="D130" s="9"/>
      <c r="E130" s="15" t="str">
        <f aca="false">IF($D130="","",IFERROR(INDEX(교육과정!$B$3:$B$102,MATCH($D130,교육과정!$A$3:$A$102,0)),"미등록과정"))</f>
        <v/>
      </c>
      <c r="F130" s="13"/>
      <c r="G130" s="9"/>
      <c r="H130" s="9"/>
    </row>
    <row r="131" customFormat="false" ht="15" hidden="false" customHeight="true" outlineLevel="0" collapsed="false">
      <c r="A131" s="11"/>
      <c r="B131" s="9"/>
      <c r="C131" s="15" t="str">
        <f aca="false">IF($B131="","",IFERROR(INDEX(직원목록!$B$3:$B$302,MATCH($B131,직원목록!$A$3:$A$302,0)),"미등록사번"))</f>
        <v/>
      </c>
      <c r="D131" s="9"/>
      <c r="E131" s="15" t="str">
        <f aca="false">IF($D131="","",IFERROR(INDEX(교육과정!$B$3:$B$102,MATCH($D131,교육과정!$A$3:$A$102,0)),"미등록과정"))</f>
        <v/>
      </c>
      <c r="F131" s="13"/>
      <c r="G131" s="9"/>
      <c r="H131" s="9"/>
    </row>
    <row r="132" customFormat="false" ht="15" hidden="false" customHeight="true" outlineLevel="0" collapsed="false">
      <c r="A132" s="11"/>
      <c r="B132" s="9"/>
      <c r="C132" s="15" t="str">
        <f aca="false">IF($B132="","",IFERROR(INDEX(직원목록!$B$3:$B$302,MATCH($B132,직원목록!$A$3:$A$302,0)),"미등록사번"))</f>
        <v/>
      </c>
      <c r="D132" s="9"/>
      <c r="E132" s="15" t="str">
        <f aca="false">IF($D132="","",IFERROR(INDEX(교육과정!$B$3:$B$102,MATCH($D132,교육과정!$A$3:$A$102,0)),"미등록과정"))</f>
        <v/>
      </c>
      <c r="F132" s="13"/>
      <c r="G132" s="9"/>
      <c r="H132" s="9"/>
    </row>
    <row r="133" customFormat="false" ht="15" hidden="false" customHeight="true" outlineLevel="0" collapsed="false">
      <c r="A133" s="11"/>
      <c r="B133" s="9"/>
      <c r="C133" s="15" t="str">
        <f aca="false">IF($B133="","",IFERROR(INDEX(직원목록!$B$3:$B$302,MATCH($B133,직원목록!$A$3:$A$302,0)),"미등록사번"))</f>
        <v/>
      </c>
      <c r="D133" s="9"/>
      <c r="E133" s="15" t="str">
        <f aca="false">IF($D133="","",IFERROR(INDEX(교육과정!$B$3:$B$102,MATCH($D133,교육과정!$A$3:$A$102,0)),"미등록과정"))</f>
        <v/>
      </c>
      <c r="F133" s="13"/>
      <c r="G133" s="9"/>
      <c r="H133" s="9"/>
    </row>
    <row r="134" customFormat="false" ht="15" hidden="false" customHeight="true" outlineLevel="0" collapsed="false">
      <c r="A134" s="11"/>
      <c r="B134" s="9"/>
      <c r="C134" s="15" t="str">
        <f aca="false">IF($B134="","",IFERROR(INDEX(직원목록!$B$3:$B$302,MATCH($B134,직원목록!$A$3:$A$302,0)),"미등록사번"))</f>
        <v/>
      </c>
      <c r="D134" s="9"/>
      <c r="E134" s="15" t="str">
        <f aca="false">IF($D134="","",IFERROR(INDEX(교육과정!$B$3:$B$102,MATCH($D134,교육과정!$A$3:$A$102,0)),"미등록과정"))</f>
        <v/>
      </c>
      <c r="F134" s="13"/>
      <c r="G134" s="9"/>
      <c r="H134" s="9"/>
    </row>
    <row r="135" customFormat="false" ht="15" hidden="false" customHeight="true" outlineLevel="0" collapsed="false">
      <c r="A135" s="11"/>
      <c r="B135" s="9"/>
      <c r="C135" s="15" t="str">
        <f aca="false">IF($B135="","",IFERROR(INDEX(직원목록!$B$3:$B$302,MATCH($B135,직원목록!$A$3:$A$302,0)),"미등록사번"))</f>
        <v/>
      </c>
      <c r="D135" s="9"/>
      <c r="E135" s="15" t="str">
        <f aca="false">IF($D135="","",IFERROR(INDEX(교육과정!$B$3:$B$102,MATCH($D135,교육과정!$A$3:$A$102,0)),"미등록과정"))</f>
        <v/>
      </c>
      <c r="F135" s="13"/>
      <c r="G135" s="9"/>
      <c r="H135" s="9"/>
    </row>
    <row r="136" customFormat="false" ht="15" hidden="false" customHeight="true" outlineLevel="0" collapsed="false">
      <c r="A136" s="11"/>
      <c r="B136" s="9"/>
      <c r="C136" s="15" t="str">
        <f aca="false">IF($B136="","",IFERROR(INDEX(직원목록!$B$3:$B$302,MATCH($B136,직원목록!$A$3:$A$302,0)),"미등록사번"))</f>
        <v/>
      </c>
      <c r="D136" s="9"/>
      <c r="E136" s="15" t="str">
        <f aca="false">IF($D136="","",IFERROR(INDEX(교육과정!$B$3:$B$102,MATCH($D136,교육과정!$A$3:$A$102,0)),"미등록과정"))</f>
        <v/>
      </c>
      <c r="F136" s="13"/>
      <c r="G136" s="9"/>
      <c r="H136" s="9"/>
    </row>
    <row r="137" customFormat="false" ht="15" hidden="false" customHeight="true" outlineLevel="0" collapsed="false">
      <c r="A137" s="11"/>
      <c r="B137" s="9"/>
      <c r="C137" s="15" t="str">
        <f aca="false">IF($B137="","",IFERROR(INDEX(직원목록!$B$3:$B$302,MATCH($B137,직원목록!$A$3:$A$302,0)),"미등록사번"))</f>
        <v/>
      </c>
      <c r="D137" s="9"/>
      <c r="E137" s="15" t="str">
        <f aca="false">IF($D137="","",IFERROR(INDEX(교육과정!$B$3:$B$102,MATCH($D137,교육과정!$A$3:$A$102,0)),"미등록과정"))</f>
        <v/>
      </c>
      <c r="F137" s="13"/>
      <c r="G137" s="9"/>
      <c r="H137" s="9"/>
    </row>
    <row r="138" customFormat="false" ht="15" hidden="false" customHeight="true" outlineLevel="0" collapsed="false">
      <c r="A138" s="11"/>
      <c r="B138" s="9"/>
      <c r="C138" s="15" t="str">
        <f aca="false">IF($B138="","",IFERROR(INDEX(직원목록!$B$3:$B$302,MATCH($B138,직원목록!$A$3:$A$302,0)),"미등록사번"))</f>
        <v/>
      </c>
      <c r="D138" s="9"/>
      <c r="E138" s="15" t="str">
        <f aca="false">IF($D138="","",IFERROR(INDEX(교육과정!$B$3:$B$102,MATCH($D138,교육과정!$A$3:$A$102,0)),"미등록과정"))</f>
        <v/>
      </c>
      <c r="F138" s="13"/>
      <c r="G138" s="9"/>
      <c r="H138" s="9"/>
    </row>
    <row r="139" customFormat="false" ht="15" hidden="false" customHeight="true" outlineLevel="0" collapsed="false">
      <c r="A139" s="11"/>
      <c r="B139" s="9"/>
      <c r="C139" s="15" t="str">
        <f aca="false">IF($B139="","",IFERROR(INDEX(직원목록!$B$3:$B$302,MATCH($B139,직원목록!$A$3:$A$302,0)),"미등록사번"))</f>
        <v/>
      </c>
      <c r="D139" s="9"/>
      <c r="E139" s="15" t="str">
        <f aca="false">IF($D139="","",IFERROR(INDEX(교육과정!$B$3:$B$102,MATCH($D139,교육과정!$A$3:$A$102,0)),"미등록과정"))</f>
        <v/>
      </c>
      <c r="F139" s="13"/>
      <c r="G139" s="9"/>
      <c r="H139" s="9"/>
    </row>
    <row r="140" customFormat="false" ht="15" hidden="false" customHeight="true" outlineLevel="0" collapsed="false">
      <c r="A140" s="11"/>
      <c r="B140" s="9"/>
      <c r="C140" s="15" t="str">
        <f aca="false">IF($B140="","",IFERROR(INDEX(직원목록!$B$3:$B$302,MATCH($B140,직원목록!$A$3:$A$302,0)),"미등록사번"))</f>
        <v/>
      </c>
      <c r="D140" s="9"/>
      <c r="E140" s="15" t="str">
        <f aca="false">IF($D140="","",IFERROR(INDEX(교육과정!$B$3:$B$102,MATCH($D140,교육과정!$A$3:$A$102,0)),"미등록과정"))</f>
        <v/>
      </c>
      <c r="F140" s="13"/>
      <c r="G140" s="9"/>
      <c r="H140" s="9"/>
    </row>
    <row r="141" customFormat="false" ht="15" hidden="false" customHeight="true" outlineLevel="0" collapsed="false">
      <c r="A141" s="11"/>
      <c r="B141" s="9"/>
      <c r="C141" s="15" t="str">
        <f aca="false">IF($B141="","",IFERROR(INDEX(직원목록!$B$3:$B$302,MATCH($B141,직원목록!$A$3:$A$302,0)),"미등록사번"))</f>
        <v/>
      </c>
      <c r="D141" s="9"/>
      <c r="E141" s="15" t="str">
        <f aca="false">IF($D141="","",IFERROR(INDEX(교육과정!$B$3:$B$102,MATCH($D141,교육과정!$A$3:$A$102,0)),"미등록과정"))</f>
        <v/>
      </c>
      <c r="F141" s="13"/>
      <c r="G141" s="9"/>
      <c r="H141" s="9"/>
    </row>
    <row r="142" customFormat="false" ht="15" hidden="false" customHeight="true" outlineLevel="0" collapsed="false">
      <c r="A142" s="11"/>
      <c r="B142" s="9"/>
      <c r="C142" s="15" t="str">
        <f aca="false">IF($B142="","",IFERROR(INDEX(직원목록!$B$3:$B$302,MATCH($B142,직원목록!$A$3:$A$302,0)),"미등록사번"))</f>
        <v/>
      </c>
      <c r="D142" s="9"/>
      <c r="E142" s="15" t="str">
        <f aca="false">IF($D142="","",IFERROR(INDEX(교육과정!$B$3:$B$102,MATCH($D142,교육과정!$A$3:$A$102,0)),"미등록과정"))</f>
        <v/>
      </c>
      <c r="F142" s="13"/>
      <c r="G142" s="9"/>
      <c r="H142" s="9"/>
    </row>
    <row r="143" customFormat="false" ht="15" hidden="false" customHeight="true" outlineLevel="0" collapsed="false">
      <c r="A143" s="11"/>
      <c r="B143" s="9"/>
      <c r="C143" s="15" t="str">
        <f aca="false">IF($B143="","",IFERROR(INDEX(직원목록!$B$3:$B$302,MATCH($B143,직원목록!$A$3:$A$302,0)),"미등록사번"))</f>
        <v/>
      </c>
      <c r="D143" s="9"/>
      <c r="E143" s="15" t="str">
        <f aca="false">IF($D143="","",IFERROR(INDEX(교육과정!$B$3:$B$102,MATCH($D143,교육과정!$A$3:$A$102,0)),"미등록과정"))</f>
        <v/>
      </c>
      <c r="F143" s="13"/>
      <c r="G143" s="9"/>
      <c r="H143" s="9"/>
    </row>
    <row r="144" customFormat="false" ht="15" hidden="false" customHeight="true" outlineLevel="0" collapsed="false">
      <c r="A144" s="11"/>
      <c r="B144" s="9"/>
      <c r="C144" s="15" t="str">
        <f aca="false">IF($B144="","",IFERROR(INDEX(직원목록!$B$3:$B$302,MATCH($B144,직원목록!$A$3:$A$302,0)),"미등록사번"))</f>
        <v/>
      </c>
      <c r="D144" s="9"/>
      <c r="E144" s="15" t="str">
        <f aca="false">IF($D144="","",IFERROR(INDEX(교육과정!$B$3:$B$102,MATCH($D144,교육과정!$A$3:$A$102,0)),"미등록과정"))</f>
        <v/>
      </c>
      <c r="F144" s="13"/>
      <c r="G144" s="9"/>
      <c r="H144" s="9"/>
    </row>
    <row r="145" customFormat="false" ht="15" hidden="false" customHeight="true" outlineLevel="0" collapsed="false">
      <c r="A145" s="11"/>
      <c r="B145" s="9"/>
      <c r="C145" s="15" t="str">
        <f aca="false">IF($B145="","",IFERROR(INDEX(직원목록!$B$3:$B$302,MATCH($B145,직원목록!$A$3:$A$302,0)),"미등록사번"))</f>
        <v/>
      </c>
      <c r="D145" s="9"/>
      <c r="E145" s="15" t="str">
        <f aca="false">IF($D145="","",IFERROR(INDEX(교육과정!$B$3:$B$102,MATCH($D145,교육과정!$A$3:$A$102,0)),"미등록과정"))</f>
        <v/>
      </c>
      <c r="F145" s="13"/>
      <c r="G145" s="9"/>
      <c r="H145" s="9"/>
    </row>
    <row r="146" customFormat="false" ht="15" hidden="false" customHeight="true" outlineLevel="0" collapsed="false">
      <c r="A146" s="11"/>
      <c r="B146" s="9"/>
      <c r="C146" s="15" t="str">
        <f aca="false">IF($B146="","",IFERROR(INDEX(직원목록!$B$3:$B$302,MATCH($B146,직원목록!$A$3:$A$302,0)),"미등록사번"))</f>
        <v/>
      </c>
      <c r="D146" s="9"/>
      <c r="E146" s="15" t="str">
        <f aca="false">IF($D146="","",IFERROR(INDEX(교육과정!$B$3:$B$102,MATCH($D146,교육과정!$A$3:$A$102,0)),"미등록과정"))</f>
        <v/>
      </c>
      <c r="F146" s="13"/>
      <c r="G146" s="9"/>
      <c r="H146" s="9"/>
    </row>
    <row r="147" customFormat="false" ht="15" hidden="false" customHeight="true" outlineLevel="0" collapsed="false">
      <c r="A147" s="11"/>
      <c r="B147" s="9"/>
      <c r="C147" s="15" t="str">
        <f aca="false">IF($B147="","",IFERROR(INDEX(직원목록!$B$3:$B$302,MATCH($B147,직원목록!$A$3:$A$302,0)),"미등록사번"))</f>
        <v/>
      </c>
      <c r="D147" s="9"/>
      <c r="E147" s="15" t="str">
        <f aca="false">IF($D147="","",IFERROR(INDEX(교육과정!$B$3:$B$102,MATCH($D147,교육과정!$A$3:$A$102,0)),"미등록과정"))</f>
        <v/>
      </c>
      <c r="F147" s="13"/>
      <c r="G147" s="9"/>
      <c r="H147" s="9"/>
    </row>
    <row r="148" customFormat="false" ht="15" hidden="false" customHeight="true" outlineLevel="0" collapsed="false">
      <c r="A148" s="11"/>
      <c r="B148" s="9"/>
      <c r="C148" s="15" t="str">
        <f aca="false">IF($B148="","",IFERROR(INDEX(직원목록!$B$3:$B$302,MATCH($B148,직원목록!$A$3:$A$302,0)),"미등록사번"))</f>
        <v/>
      </c>
      <c r="D148" s="9"/>
      <c r="E148" s="15" t="str">
        <f aca="false">IF($D148="","",IFERROR(INDEX(교육과정!$B$3:$B$102,MATCH($D148,교육과정!$A$3:$A$102,0)),"미등록과정"))</f>
        <v/>
      </c>
      <c r="F148" s="13"/>
      <c r="G148" s="9"/>
      <c r="H148" s="9"/>
    </row>
    <row r="149" customFormat="false" ht="15" hidden="false" customHeight="true" outlineLevel="0" collapsed="false">
      <c r="A149" s="11"/>
      <c r="B149" s="9"/>
      <c r="C149" s="15" t="str">
        <f aca="false">IF($B149="","",IFERROR(INDEX(직원목록!$B$3:$B$302,MATCH($B149,직원목록!$A$3:$A$302,0)),"미등록사번"))</f>
        <v/>
      </c>
      <c r="D149" s="9"/>
      <c r="E149" s="15" t="str">
        <f aca="false">IF($D149="","",IFERROR(INDEX(교육과정!$B$3:$B$102,MATCH($D149,교육과정!$A$3:$A$102,0)),"미등록과정"))</f>
        <v/>
      </c>
      <c r="F149" s="13"/>
      <c r="G149" s="9"/>
      <c r="H149" s="9"/>
    </row>
    <row r="150" customFormat="false" ht="15" hidden="false" customHeight="true" outlineLevel="0" collapsed="false">
      <c r="A150" s="11"/>
      <c r="B150" s="9"/>
      <c r="C150" s="15" t="str">
        <f aca="false">IF($B150="","",IFERROR(INDEX(직원목록!$B$3:$B$302,MATCH($B150,직원목록!$A$3:$A$302,0)),"미등록사번"))</f>
        <v/>
      </c>
      <c r="D150" s="9"/>
      <c r="E150" s="15" t="str">
        <f aca="false">IF($D150="","",IFERROR(INDEX(교육과정!$B$3:$B$102,MATCH($D150,교육과정!$A$3:$A$102,0)),"미등록과정"))</f>
        <v/>
      </c>
      <c r="F150" s="13"/>
      <c r="G150" s="9"/>
      <c r="H150" s="9"/>
    </row>
    <row r="151" customFormat="false" ht="15" hidden="false" customHeight="true" outlineLevel="0" collapsed="false">
      <c r="A151" s="11"/>
      <c r="B151" s="9"/>
      <c r="C151" s="15" t="str">
        <f aca="false">IF($B151="","",IFERROR(INDEX(직원목록!$B$3:$B$302,MATCH($B151,직원목록!$A$3:$A$302,0)),"미등록사번"))</f>
        <v/>
      </c>
      <c r="D151" s="9"/>
      <c r="E151" s="15" t="str">
        <f aca="false">IF($D151="","",IFERROR(INDEX(교육과정!$B$3:$B$102,MATCH($D151,교육과정!$A$3:$A$102,0)),"미등록과정"))</f>
        <v/>
      </c>
      <c r="F151" s="13"/>
      <c r="G151" s="9"/>
      <c r="H151" s="9"/>
    </row>
    <row r="152" customFormat="false" ht="15" hidden="false" customHeight="true" outlineLevel="0" collapsed="false">
      <c r="A152" s="11"/>
      <c r="B152" s="9"/>
      <c r="C152" s="15" t="str">
        <f aca="false">IF($B152="","",IFERROR(INDEX(직원목록!$B$3:$B$302,MATCH($B152,직원목록!$A$3:$A$302,0)),"미등록사번"))</f>
        <v/>
      </c>
      <c r="D152" s="9"/>
      <c r="E152" s="15" t="str">
        <f aca="false">IF($D152="","",IFERROR(INDEX(교육과정!$B$3:$B$102,MATCH($D152,교육과정!$A$3:$A$102,0)),"미등록과정"))</f>
        <v/>
      </c>
      <c r="F152" s="13"/>
      <c r="G152" s="9"/>
      <c r="H152" s="9"/>
    </row>
    <row r="153" customFormat="false" ht="15" hidden="false" customHeight="true" outlineLevel="0" collapsed="false">
      <c r="A153" s="11"/>
      <c r="B153" s="9"/>
      <c r="C153" s="15" t="str">
        <f aca="false">IF($B153="","",IFERROR(INDEX(직원목록!$B$3:$B$302,MATCH($B153,직원목록!$A$3:$A$302,0)),"미등록사번"))</f>
        <v/>
      </c>
      <c r="D153" s="9"/>
      <c r="E153" s="15" t="str">
        <f aca="false">IF($D153="","",IFERROR(INDEX(교육과정!$B$3:$B$102,MATCH($D153,교육과정!$A$3:$A$102,0)),"미등록과정"))</f>
        <v/>
      </c>
      <c r="F153" s="13"/>
      <c r="G153" s="9"/>
      <c r="H153" s="9"/>
    </row>
    <row r="154" customFormat="false" ht="15" hidden="false" customHeight="true" outlineLevel="0" collapsed="false">
      <c r="A154" s="11"/>
      <c r="B154" s="9"/>
      <c r="C154" s="15" t="str">
        <f aca="false">IF($B154="","",IFERROR(INDEX(직원목록!$B$3:$B$302,MATCH($B154,직원목록!$A$3:$A$302,0)),"미등록사번"))</f>
        <v/>
      </c>
      <c r="D154" s="9"/>
      <c r="E154" s="15" t="str">
        <f aca="false">IF($D154="","",IFERROR(INDEX(교육과정!$B$3:$B$102,MATCH($D154,교육과정!$A$3:$A$102,0)),"미등록과정"))</f>
        <v/>
      </c>
      <c r="F154" s="13"/>
      <c r="G154" s="9"/>
      <c r="H154" s="9"/>
    </row>
    <row r="155" customFormat="false" ht="15" hidden="false" customHeight="true" outlineLevel="0" collapsed="false">
      <c r="A155" s="11"/>
      <c r="B155" s="9"/>
      <c r="C155" s="15" t="str">
        <f aca="false">IF($B155="","",IFERROR(INDEX(직원목록!$B$3:$B$302,MATCH($B155,직원목록!$A$3:$A$302,0)),"미등록사번"))</f>
        <v/>
      </c>
      <c r="D155" s="9"/>
      <c r="E155" s="15" t="str">
        <f aca="false">IF($D155="","",IFERROR(INDEX(교육과정!$B$3:$B$102,MATCH($D155,교육과정!$A$3:$A$102,0)),"미등록과정"))</f>
        <v/>
      </c>
      <c r="F155" s="13"/>
      <c r="G155" s="9"/>
      <c r="H155" s="9"/>
    </row>
    <row r="156" customFormat="false" ht="15" hidden="false" customHeight="true" outlineLevel="0" collapsed="false">
      <c r="A156" s="11"/>
      <c r="B156" s="9"/>
      <c r="C156" s="15" t="str">
        <f aca="false">IF($B156="","",IFERROR(INDEX(직원목록!$B$3:$B$302,MATCH($B156,직원목록!$A$3:$A$302,0)),"미등록사번"))</f>
        <v/>
      </c>
      <c r="D156" s="9"/>
      <c r="E156" s="15" t="str">
        <f aca="false">IF($D156="","",IFERROR(INDEX(교육과정!$B$3:$B$102,MATCH($D156,교육과정!$A$3:$A$102,0)),"미등록과정"))</f>
        <v/>
      </c>
      <c r="F156" s="13"/>
      <c r="G156" s="9"/>
      <c r="H156" s="9"/>
    </row>
    <row r="157" customFormat="false" ht="15" hidden="false" customHeight="true" outlineLevel="0" collapsed="false">
      <c r="A157" s="11"/>
      <c r="B157" s="9"/>
      <c r="C157" s="15" t="str">
        <f aca="false">IF($B157="","",IFERROR(INDEX(직원목록!$B$3:$B$302,MATCH($B157,직원목록!$A$3:$A$302,0)),"미등록사번"))</f>
        <v/>
      </c>
      <c r="D157" s="9"/>
      <c r="E157" s="15" t="str">
        <f aca="false">IF($D157="","",IFERROR(INDEX(교육과정!$B$3:$B$102,MATCH($D157,교육과정!$A$3:$A$102,0)),"미등록과정"))</f>
        <v/>
      </c>
      <c r="F157" s="13"/>
      <c r="G157" s="9"/>
      <c r="H157" s="9"/>
    </row>
    <row r="158" customFormat="false" ht="15" hidden="false" customHeight="true" outlineLevel="0" collapsed="false">
      <c r="A158" s="11"/>
      <c r="B158" s="9"/>
      <c r="C158" s="15" t="str">
        <f aca="false">IF($B158="","",IFERROR(INDEX(직원목록!$B$3:$B$302,MATCH($B158,직원목록!$A$3:$A$302,0)),"미등록사번"))</f>
        <v/>
      </c>
      <c r="D158" s="9"/>
      <c r="E158" s="15" t="str">
        <f aca="false">IF($D158="","",IFERROR(INDEX(교육과정!$B$3:$B$102,MATCH($D158,교육과정!$A$3:$A$102,0)),"미등록과정"))</f>
        <v/>
      </c>
      <c r="F158" s="13"/>
      <c r="G158" s="9"/>
      <c r="H158" s="9"/>
    </row>
    <row r="159" customFormat="false" ht="15" hidden="false" customHeight="true" outlineLevel="0" collapsed="false">
      <c r="A159" s="11"/>
      <c r="B159" s="9"/>
      <c r="C159" s="15" t="str">
        <f aca="false">IF($B159="","",IFERROR(INDEX(직원목록!$B$3:$B$302,MATCH($B159,직원목록!$A$3:$A$302,0)),"미등록사번"))</f>
        <v/>
      </c>
      <c r="D159" s="9"/>
      <c r="E159" s="15" t="str">
        <f aca="false">IF($D159="","",IFERROR(INDEX(교육과정!$B$3:$B$102,MATCH($D159,교육과정!$A$3:$A$102,0)),"미등록과정"))</f>
        <v/>
      </c>
      <c r="F159" s="13"/>
      <c r="G159" s="9"/>
      <c r="H159" s="9"/>
    </row>
    <row r="160" customFormat="false" ht="15" hidden="false" customHeight="true" outlineLevel="0" collapsed="false">
      <c r="A160" s="11"/>
      <c r="B160" s="9"/>
      <c r="C160" s="15" t="str">
        <f aca="false">IF($B160="","",IFERROR(INDEX(직원목록!$B$3:$B$302,MATCH($B160,직원목록!$A$3:$A$302,0)),"미등록사번"))</f>
        <v/>
      </c>
      <c r="D160" s="9"/>
      <c r="E160" s="15" t="str">
        <f aca="false">IF($D160="","",IFERROR(INDEX(교육과정!$B$3:$B$102,MATCH($D160,교육과정!$A$3:$A$102,0)),"미등록과정"))</f>
        <v/>
      </c>
      <c r="F160" s="13"/>
      <c r="G160" s="9"/>
      <c r="H160" s="9"/>
    </row>
    <row r="161" customFormat="false" ht="15" hidden="false" customHeight="true" outlineLevel="0" collapsed="false">
      <c r="A161" s="11"/>
      <c r="B161" s="9"/>
      <c r="C161" s="15" t="str">
        <f aca="false">IF($B161="","",IFERROR(INDEX(직원목록!$B$3:$B$302,MATCH($B161,직원목록!$A$3:$A$302,0)),"미등록사번"))</f>
        <v/>
      </c>
      <c r="D161" s="9"/>
      <c r="E161" s="15" t="str">
        <f aca="false">IF($D161="","",IFERROR(INDEX(교육과정!$B$3:$B$102,MATCH($D161,교육과정!$A$3:$A$102,0)),"미등록과정"))</f>
        <v/>
      </c>
      <c r="F161" s="13"/>
      <c r="G161" s="9"/>
      <c r="H161" s="9"/>
    </row>
    <row r="162" customFormat="false" ht="15" hidden="false" customHeight="true" outlineLevel="0" collapsed="false">
      <c r="A162" s="11"/>
      <c r="B162" s="9"/>
      <c r="C162" s="15" t="str">
        <f aca="false">IF($B162="","",IFERROR(INDEX(직원목록!$B$3:$B$302,MATCH($B162,직원목록!$A$3:$A$302,0)),"미등록사번"))</f>
        <v/>
      </c>
      <c r="D162" s="9"/>
      <c r="E162" s="15" t="str">
        <f aca="false">IF($D162="","",IFERROR(INDEX(교육과정!$B$3:$B$102,MATCH($D162,교육과정!$A$3:$A$102,0)),"미등록과정"))</f>
        <v/>
      </c>
      <c r="F162" s="13"/>
      <c r="G162" s="9"/>
      <c r="H162" s="9"/>
    </row>
    <row r="163" customFormat="false" ht="15" hidden="false" customHeight="true" outlineLevel="0" collapsed="false">
      <c r="A163" s="11"/>
      <c r="B163" s="9"/>
      <c r="C163" s="15" t="str">
        <f aca="false">IF($B163="","",IFERROR(INDEX(직원목록!$B$3:$B$302,MATCH($B163,직원목록!$A$3:$A$302,0)),"미등록사번"))</f>
        <v/>
      </c>
      <c r="D163" s="9"/>
      <c r="E163" s="15" t="str">
        <f aca="false">IF($D163="","",IFERROR(INDEX(교육과정!$B$3:$B$102,MATCH($D163,교육과정!$A$3:$A$102,0)),"미등록과정"))</f>
        <v/>
      </c>
      <c r="F163" s="13"/>
      <c r="G163" s="9"/>
      <c r="H163" s="9"/>
    </row>
    <row r="164" customFormat="false" ht="15" hidden="false" customHeight="true" outlineLevel="0" collapsed="false">
      <c r="A164" s="11"/>
      <c r="B164" s="9"/>
      <c r="C164" s="15" t="str">
        <f aca="false">IF($B164="","",IFERROR(INDEX(직원목록!$B$3:$B$302,MATCH($B164,직원목록!$A$3:$A$302,0)),"미등록사번"))</f>
        <v/>
      </c>
      <c r="D164" s="9"/>
      <c r="E164" s="15" t="str">
        <f aca="false">IF($D164="","",IFERROR(INDEX(교육과정!$B$3:$B$102,MATCH($D164,교육과정!$A$3:$A$102,0)),"미등록과정"))</f>
        <v/>
      </c>
      <c r="F164" s="13"/>
      <c r="G164" s="9"/>
      <c r="H164" s="9"/>
    </row>
    <row r="165" customFormat="false" ht="15" hidden="false" customHeight="true" outlineLevel="0" collapsed="false">
      <c r="A165" s="11"/>
      <c r="B165" s="9"/>
      <c r="C165" s="15" t="str">
        <f aca="false">IF($B165="","",IFERROR(INDEX(직원목록!$B$3:$B$302,MATCH($B165,직원목록!$A$3:$A$302,0)),"미등록사번"))</f>
        <v/>
      </c>
      <c r="D165" s="9"/>
      <c r="E165" s="15" t="str">
        <f aca="false">IF($D165="","",IFERROR(INDEX(교육과정!$B$3:$B$102,MATCH($D165,교육과정!$A$3:$A$102,0)),"미등록과정"))</f>
        <v/>
      </c>
      <c r="F165" s="13"/>
      <c r="G165" s="9"/>
      <c r="H165" s="9"/>
    </row>
    <row r="166" customFormat="false" ht="15" hidden="false" customHeight="true" outlineLevel="0" collapsed="false">
      <c r="A166" s="11"/>
      <c r="B166" s="9"/>
      <c r="C166" s="15" t="str">
        <f aca="false">IF($B166="","",IFERROR(INDEX(직원목록!$B$3:$B$302,MATCH($B166,직원목록!$A$3:$A$302,0)),"미등록사번"))</f>
        <v/>
      </c>
      <c r="D166" s="9"/>
      <c r="E166" s="15" t="str">
        <f aca="false">IF($D166="","",IFERROR(INDEX(교육과정!$B$3:$B$102,MATCH($D166,교육과정!$A$3:$A$102,0)),"미등록과정"))</f>
        <v/>
      </c>
      <c r="F166" s="13"/>
      <c r="G166" s="9"/>
      <c r="H166" s="9"/>
    </row>
    <row r="167" customFormat="false" ht="15" hidden="false" customHeight="true" outlineLevel="0" collapsed="false">
      <c r="A167" s="11"/>
      <c r="B167" s="9"/>
      <c r="C167" s="15" t="str">
        <f aca="false">IF($B167="","",IFERROR(INDEX(직원목록!$B$3:$B$302,MATCH($B167,직원목록!$A$3:$A$302,0)),"미등록사번"))</f>
        <v/>
      </c>
      <c r="D167" s="9"/>
      <c r="E167" s="15" t="str">
        <f aca="false">IF($D167="","",IFERROR(INDEX(교육과정!$B$3:$B$102,MATCH($D167,교육과정!$A$3:$A$102,0)),"미등록과정"))</f>
        <v/>
      </c>
      <c r="F167" s="13"/>
      <c r="G167" s="9"/>
      <c r="H167" s="9"/>
    </row>
    <row r="168" customFormat="false" ht="15" hidden="false" customHeight="true" outlineLevel="0" collapsed="false">
      <c r="A168" s="11"/>
      <c r="B168" s="9"/>
      <c r="C168" s="15" t="str">
        <f aca="false">IF($B168="","",IFERROR(INDEX(직원목록!$B$3:$B$302,MATCH($B168,직원목록!$A$3:$A$302,0)),"미등록사번"))</f>
        <v/>
      </c>
      <c r="D168" s="9"/>
      <c r="E168" s="15" t="str">
        <f aca="false">IF($D168="","",IFERROR(INDEX(교육과정!$B$3:$B$102,MATCH($D168,교육과정!$A$3:$A$102,0)),"미등록과정"))</f>
        <v/>
      </c>
      <c r="F168" s="13"/>
      <c r="G168" s="9"/>
      <c r="H168" s="9"/>
    </row>
    <row r="169" customFormat="false" ht="15" hidden="false" customHeight="true" outlineLevel="0" collapsed="false">
      <c r="A169" s="11"/>
      <c r="B169" s="9"/>
      <c r="C169" s="15" t="str">
        <f aca="false">IF($B169="","",IFERROR(INDEX(직원목록!$B$3:$B$302,MATCH($B169,직원목록!$A$3:$A$302,0)),"미등록사번"))</f>
        <v/>
      </c>
      <c r="D169" s="9"/>
      <c r="E169" s="15" t="str">
        <f aca="false">IF($D169="","",IFERROR(INDEX(교육과정!$B$3:$B$102,MATCH($D169,교육과정!$A$3:$A$102,0)),"미등록과정"))</f>
        <v/>
      </c>
      <c r="F169" s="13"/>
      <c r="G169" s="9"/>
      <c r="H169" s="9"/>
    </row>
    <row r="170" customFormat="false" ht="15" hidden="false" customHeight="true" outlineLevel="0" collapsed="false">
      <c r="A170" s="11"/>
      <c r="B170" s="9"/>
      <c r="C170" s="15" t="str">
        <f aca="false">IF($B170="","",IFERROR(INDEX(직원목록!$B$3:$B$302,MATCH($B170,직원목록!$A$3:$A$302,0)),"미등록사번"))</f>
        <v/>
      </c>
      <c r="D170" s="9"/>
      <c r="E170" s="15" t="str">
        <f aca="false">IF($D170="","",IFERROR(INDEX(교육과정!$B$3:$B$102,MATCH($D170,교육과정!$A$3:$A$102,0)),"미등록과정"))</f>
        <v/>
      </c>
      <c r="F170" s="13"/>
      <c r="G170" s="9"/>
      <c r="H170" s="9"/>
    </row>
    <row r="171" customFormat="false" ht="15" hidden="false" customHeight="true" outlineLevel="0" collapsed="false">
      <c r="A171" s="11"/>
      <c r="B171" s="9"/>
      <c r="C171" s="15" t="str">
        <f aca="false">IF($B171="","",IFERROR(INDEX(직원목록!$B$3:$B$302,MATCH($B171,직원목록!$A$3:$A$302,0)),"미등록사번"))</f>
        <v/>
      </c>
      <c r="D171" s="9"/>
      <c r="E171" s="15" t="str">
        <f aca="false">IF($D171="","",IFERROR(INDEX(교육과정!$B$3:$B$102,MATCH($D171,교육과정!$A$3:$A$102,0)),"미등록과정"))</f>
        <v/>
      </c>
      <c r="F171" s="13"/>
      <c r="G171" s="9"/>
      <c r="H171" s="9"/>
    </row>
    <row r="172" customFormat="false" ht="15" hidden="false" customHeight="true" outlineLevel="0" collapsed="false">
      <c r="A172" s="11"/>
      <c r="B172" s="9"/>
      <c r="C172" s="15" t="str">
        <f aca="false">IF($B172="","",IFERROR(INDEX(직원목록!$B$3:$B$302,MATCH($B172,직원목록!$A$3:$A$302,0)),"미등록사번"))</f>
        <v/>
      </c>
      <c r="D172" s="9"/>
      <c r="E172" s="15" t="str">
        <f aca="false">IF($D172="","",IFERROR(INDEX(교육과정!$B$3:$B$102,MATCH($D172,교육과정!$A$3:$A$102,0)),"미등록과정"))</f>
        <v/>
      </c>
      <c r="F172" s="13"/>
      <c r="G172" s="9"/>
      <c r="H172" s="9"/>
    </row>
    <row r="173" customFormat="false" ht="15" hidden="false" customHeight="true" outlineLevel="0" collapsed="false">
      <c r="A173" s="11"/>
      <c r="B173" s="9"/>
      <c r="C173" s="15" t="str">
        <f aca="false">IF($B173="","",IFERROR(INDEX(직원목록!$B$3:$B$302,MATCH($B173,직원목록!$A$3:$A$302,0)),"미등록사번"))</f>
        <v/>
      </c>
      <c r="D173" s="9"/>
      <c r="E173" s="15" t="str">
        <f aca="false">IF($D173="","",IFERROR(INDEX(교육과정!$B$3:$B$102,MATCH($D173,교육과정!$A$3:$A$102,0)),"미등록과정"))</f>
        <v/>
      </c>
      <c r="F173" s="13"/>
      <c r="G173" s="9"/>
      <c r="H173" s="9"/>
    </row>
    <row r="174" customFormat="false" ht="15" hidden="false" customHeight="true" outlineLevel="0" collapsed="false">
      <c r="A174" s="11"/>
      <c r="B174" s="9"/>
      <c r="C174" s="15" t="str">
        <f aca="false">IF($B174="","",IFERROR(INDEX(직원목록!$B$3:$B$302,MATCH($B174,직원목록!$A$3:$A$302,0)),"미등록사번"))</f>
        <v/>
      </c>
      <c r="D174" s="9"/>
      <c r="E174" s="15" t="str">
        <f aca="false">IF($D174="","",IFERROR(INDEX(교육과정!$B$3:$B$102,MATCH($D174,교육과정!$A$3:$A$102,0)),"미등록과정"))</f>
        <v/>
      </c>
      <c r="F174" s="13"/>
      <c r="G174" s="9"/>
      <c r="H174" s="9"/>
    </row>
    <row r="175" customFormat="false" ht="15" hidden="false" customHeight="true" outlineLevel="0" collapsed="false">
      <c r="A175" s="11"/>
      <c r="B175" s="9"/>
      <c r="C175" s="15" t="str">
        <f aca="false">IF($B175="","",IFERROR(INDEX(직원목록!$B$3:$B$302,MATCH($B175,직원목록!$A$3:$A$302,0)),"미등록사번"))</f>
        <v/>
      </c>
      <c r="D175" s="9"/>
      <c r="E175" s="15" t="str">
        <f aca="false">IF($D175="","",IFERROR(INDEX(교육과정!$B$3:$B$102,MATCH($D175,교육과정!$A$3:$A$102,0)),"미등록과정"))</f>
        <v/>
      </c>
      <c r="F175" s="13"/>
      <c r="G175" s="9"/>
      <c r="H175" s="9"/>
    </row>
    <row r="176" customFormat="false" ht="15" hidden="false" customHeight="true" outlineLevel="0" collapsed="false">
      <c r="A176" s="11"/>
      <c r="B176" s="9"/>
      <c r="C176" s="15" t="str">
        <f aca="false">IF($B176="","",IFERROR(INDEX(직원목록!$B$3:$B$302,MATCH($B176,직원목록!$A$3:$A$302,0)),"미등록사번"))</f>
        <v/>
      </c>
      <c r="D176" s="9"/>
      <c r="E176" s="15" t="str">
        <f aca="false">IF($D176="","",IFERROR(INDEX(교육과정!$B$3:$B$102,MATCH($D176,교육과정!$A$3:$A$102,0)),"미등록과정"))</f>
        <v/>
      </c>
      <c r="F176" s="13"/>
      <c r="G176" s="9"/>
      <c r="H176" s="9"/>
    </row>
    <row r="177" customFormat="false" ht="15" hidden="false" customHeight="true" outlineLevel="0" collapsed="false">
      <c r="A177" s="11"/>
      <c r="B177" s="9"/>
      <c r="C177" s="15" t="str">
        <f aca="false">IF($B177="","",IFERROR(INDEX(직원목록!$B$3:$B$302,MATCH($B177,직원목록!$A$3:$A$302,0)),"미등록사번"))</f>
        <v/>
      </c>
      <c r="D177" s="9"/>
      <c r="E177" s="15" t="str">
        <f aca="false">IF($D177="","",IFERROR(INDEX(교육과정!$B$3:$B$102,MATCH($D177,교육과정!$A$3:$A$102,0)),"미등록과정"))</f>
        <v/>
      </c>
      <c r="F177" s="13"/>
      <c r="G177" s="9"/>
      <c r="H177" s="9"/>
    </row>
    <row r="178" customFormat="false" ht="15" hidden="false" customHeight="true" outlineLevel="0" collapsed="false">
      <c r="A178" s="11"/>
      <c r="B178" s="9"/>
      <c r="C178" s="15" t="str">
        <f aca="false">IF($B178="","",IFERROR(INDEX(직원목록!$B$3:$B$302,MATCH($B178,직원목록!$A$3:$A$302,0)),"미등록사번"))</f>
        <v/>
      </c>
      <c r="D178" s="9"/>
      <c r="E178" s="15" t="str">
        <f aca="false">IF($D178="","",IFERROR(INDEX(교육과정!$B$3:$B$102,MATCH($D178,교육과정!$A$3:$A$102,0)),"미등록과정"))</f>
        <v/>
      </c>
      <c r="F178" s="13"/>
      <c r="G178" s="9"/>
      <c r="H178" s="9"/>
    </row>
    <row r="179" customFormat="false" ht="15" hidden="false" customHeight="true" outlineLevel="0" collapsed="false">
      <c r="A179" s="11"/>
      <c r="B179" s="9"/>
      <c r="C179" s="15" t="str">
        <f aca="false">IF($B179="","",IFERROR(INDEX(직원목록!$B$3:$B$302,MATCH($B179,직원목록!$A$3:$A$302,0)),"미등록사번"))</f>
        <v/>
      </c>
      <c r="D179" s="9"/>
      <c r="E179" s="15" t="str">
        <f aca="false">IF($D179="","",IFERROR(INDEX(교육과정!$B$3:$B$102,MATCH($D179,교육과정!$A$3:$A$102,0)),"미등록과정"))</f>
        <v/>
      </c>
      <c r="F179" s="13"/>
      <c r="G179" s="9"/>
      <c r="H179" s="9"/>
    </row>
    <row r="180" customFormat="false" ht="15" hidden="false" customHeight="true" outlineLevel="0" collapsed="false">
      <c r="A180" s="11"/>
      <c r="B180" s="9"/>
      <c r="C180" s="15" t="str">
        <f aca="false">IF($B180="","",IFERROR(INDEX(직원목록!$B$3:$B$302,MATCH($B180,직원목록!$A$3:$A$302,0)),"미등록사번"))</f>
        <v/>
      </c>
      <c r="D180" s="9"/>
      <c r="E180" s="15" t="str">
        <f aca="false">IF($D180="","",IFERROR(INDEX(교육과정!$B$3:$B$102,MATCH($D180,교육과정!$A$3:$A$102,0)),"미등록과정"))</f>
        <v/>
      </c>
      <c r="F180" s="13"/>
      <c r="G180" s="9"/>
      <c r="H180" s="9"/>
    </row>
    <row r="181" customFormat="false" ht="15" hidden="false" customHeight="true" outlineLevel="0" collapsed="false">
      <c r="A181" s="11"/>
      <c r="B181" s="9"/>
      <c r="C181" s="15" t="str">
        <f aca="false">IF($B181="","",IFERROR(INDEX(직원목록!$B$3:$B$302,MATCH($B181,직원목록!$A$3:$A$302,0)),"미등록사번"))</f>
        <v/>
      </c>
      <c r="D181" s="9"/>
      <c r="E181" s="15" t="str">
        <f aca="false">IF($D181="","",IFERROR(INDEX(교육과정!$B$3:$B$102,MATCH($D181,교육과정!$A$3:$A$102,0)),"미등록과정"))</f>
        <v/>
      </c>
      <c r="F181" s="13"/>
      <c r="G181" s="9"/>
      <c r="H181" s="9"/>
    </row>
    <row r="182" customFormat="false" ht="15" hidden="false" customHeight="true" outlineLevel="0" collapsed="false">
      <c r="A182" s="11"/>
      <c r="B182" s="9"/>
      <c r="C182" s="15" t="str">
        <f aca="false">IF($B182="","",IFERROR(INDEX(직원목록!$B$3:$B$302,MATCH($B182,직원목록!$A$3:$A$302,0)),"미등록사번"))</f>
        <v/>
      </c>
      <c r="D182" s="9"/>
      <c r="E182" s="15" t="str">
        <f aca="false">IF($D182="","",IFERROR(INDEX(교육과정!$B$3:$B$102,MATCH($D182,교육과정!$A$3:$A$102,0)),"미등록과정"))</f>
        <v/>
      </c>
      <c r="F182" s="13"/>
      <c r="G182" s="9"/>
      <c r="H182" s="9"/>
    </row>
    <row r="183" customFormat="false" ht="15" hidden="false" customHeight="true" outlineLevel="0" collapsed="false">
      <c r="A183" s="11"/>
      <c r="B183" s="9"/>
      <c r="C183" s="15" t="str">
        <f aca="false">IF($B183="","",IFERROR(INDEX(직원목록!$B$3:$B$302,MATCH($B183,직원목록!$A$3:$A$302,0)),"미등록사번"))</f>
        <v/>
      </c>
      <c r="D183" s="9"/>
      <c r="E183" s="15" t="str">
        <f aca="false">IF($D183="","",IFERROR(INDEX(교육과정!$B$3:$B$102,MATCH($D183,교육과정!$A$3:$A$102,0)),"미등록과정"))</f>
        <v/>
      </c>
      <c r="F183" s="13"/>
      <c r="G183" s="9"/>
      <c r="H183" s="9"/>
    </row>
    <row r="184" customFormat="false" ht="15" hidden="false" customHeight="true" outlineLevel="0" collapsed="false">
      <c r="A184" s="11"/>
      <c r="B184" s="9"/>
      <c r="C184" s="15" t="str">
        <f aca="false">IF($B184="","",IFERROR(INDEX(직원목록!$B$3:$B$302,MATCH($B184,직원목록!$A$3:$A$302,0)),"미등록사번"))</f>
        <v/>
      </c>
      <c r="D184" s="9"/>
      <c r="E184" s="15" t="str">
        <f aca="false">IF($D184="","",IFERROR(INDEX(교육과정!$B$3:$B$102,MATCH($D184,교육과정!$A$3:$A$102,0)),"미등록과정"))</f>
        <v/>
      </c>
      <c r="F184" s="13"/>
      <c r="G184" s="9"/>
      <c r="H184" s="9"/>
    </row>
    <row r="185" customFormat="false" ht="15" hidden="false" customHeight="true" outlineLevel="0" collapsed="false">
      <c r="A185" s="11"/>
      <c r="B185" s="9"/>
      <c r="C185" s="15" t="str">
        <f aca="false">IF($B185="","",IFERROR(INDEX(직원목록!$B$3:$B$302,MATCH($B185,직원목록!$A$3:$A$302,0)),"미등록사번"))</f>
        <v/>
      </c>
      <c r="D185" s="9"/>
      <c r="E185" s="15" t="str">
        <f aca="false">IF($D185="","",IFERROR(INDEX(교육과정!$B$3:$B$102,MATCH($D185,교육과정!$A$3:$A$102,0)),"미등록과정"))</f>
        <v/>
      </c>
      <c r="F185" s="13"/>
      <c r="G185" s="9"/>
      <c r="H185" s="9"/>
    </row>
    <row r="186" customFormat="false" ht="15" hidden="false" customHeight="true" outlineLevel="0" collapsed="false">
      <c r="A186" s="11"/>
      <c r="B186" s="9"/>
      <c r="C186" s="15" t="str">
        <f aca="false">IF($B186="","",IFERROR(INDEX(직원목록!$B$3:$B$302,MATCH($B186,직원목록!$A$3:$A$302,0)),"미등록사번"))</f>
        <v/>
      </c>
      <c r="D186" s="9"/>
      <c r="E186" s="15" t="str">
        <f aca="false">IF($D186="","",IFERROR(INDEX(교육과정!$B$3:$B$102,MATCH($D186,교육과정!$A$3:$A$102,0)),"미등록과정"))</f>
        <v/>
      </c>
      <c r="F186" s="13"/>
      <c r="G186" s="9"/>
      <c r="H186" s="9"/>
    </row>
    <row r="187" customFormat="false" ht="15" hidden="false" customHeight="true" outlineLevel="0" collapsed="false">
      <c r="A187" s="11"/>
      <c r="B187" s="9"/>
      <c r="C187" s="15" t="str">
        <f aca="false">IF($B187="","",IFERROR(INDEX(직원목록!$B$3:$B$302,MATCH($B187,직원목록!$A$3:$A$302,0)),"미등록사번"))</f>
        <v/>
      </c>
      <c r="D187" s="9"/>
      <c r="E187" s="15" t="str">
        <f aca="false">IF($D187="","",IFERROR(INDEX(교육과정!$B$3:$B$102,MATCH($D187,교육과정!$A$3:$A$102,0)),"미등록과정"))</f>
        <v/>
      </c>
      <c r="F187" s="13"/>
      <c r="G187" s="9"/>
      <c r="H187" s="9"/>
    </row>
    <row r="188" customFormat="false" ht="15" hidden="false" customHeight="true" outlineLevel="0" collapsed="false">
      <c r="A188" s="11"/>
      <c r="B188" s="9"/>
      <c r="C188" s="15" t="str">
        <f aca="false">IF($B188="","",IFERROR(INDEX(직원목록!$B$3:$B$302,MATCH($B188,직원목록!$A$3:$A$302,0)),"미등록사번"))</f>
        <v/>
      </c>
      <c r="D188" s="9"/>
      <c r="E188" s="15" t="str">
        <f aca="false">IF($D188="","",IFERROR(INDEX(교육과정!$B$3:$B$102,MATCH($D188,교육과정!$A$3:$A$102,0)),"미등록과정"))</f>
        <v/>
      </c>
      <c r="F188" s="13"/>
      <c r="G188" s="9"/>
      <c r="H188" s="9"/>
    </row>
    <row r="189" customFormat="false" ht="15" hidden="false" customHeight="true" outlineLevel="0" collapsed="false">
      <c r="A189" s="11"/>
      <c r="B189" s="9"/>
      <c r="C189" s="15" t="str">
        <f aca="false">IF($B189="","",IFERROR(INDEX(직원목록!$B$3:$B$302,MATCH($B189,직원목록!$A$3:$A$302,0)),"미등록사번"))</f>
        <v/>
      </c>
      <c r="D189" s="9"/>
      <c r="E189" s="15" t="str">
        <f aca="false">IF($D189="","",IFERROR(INDEX(교육과정!$B$3:$B$102,MATCH($D189,교육과정!$A$3:$A$102,0)),"미등록과정"))</f>
        <v/>
      </c>
      <c r="F189" s="13"/>
      <c r="G189" s="9"/>
      <c r="H189" s="9"/>
    </row>
    <row r="190" customFormat="false" ht="15" hidden="false" customHeight="true" outlineLevel="0" collapsed="false">
      <c r="A190" s="11"/>
      <c r="B190" s="9"/>
      <c r="C190" s="15" t="str">
        <f aca="false">IF($B190="","",IFERROR(INDEX(직원목록!$B$3:$B$302,MATCH($B190,직원목록!$A$3:$A$302,0)),"미등록사번"))</f>
        <v/>
      </c>
      <c r="D190" s="9"/>
      <c r="E190" s="15" t="str">
        <f aca="false">IF($D190="","",IFERROR(INDEX(교육과정!$B$3:$B$102,MATCH($D190,교육과정!$A$3:$A$102,0)),"미등록과정"))</f>
        <v/>
      </c>
      <c r="F190" s="13"/>
      <c r="G190" s="9"/>
      <c r="H190" s="9"/>
    </row>
    <row r="191" customFormat="false" ht="15" hidden="false" customHeight="true" outlineLevel="0" collapsed="false">
      <c r="A191" s="11"/>
      <c r="B191" s="9"/>
      <c r="C191" s="15" t="str">
        <f aca="false">IF($B191="","",IFERROR(INDEX(직원목록!$B$3:$B$302,MATCH($B191,직원목록!$A$3:$A$302,0)),"미등록사번"))</f>
        <v/>
      </c>
      <c r="D191" s="9"/>
      <c r="E191" s="15" t="str">
        <f aca="false">IF($D191="","",IFERROR(INDEX(교육과정!$B$3:$B$102,MATCH($D191,교육과정!$A$3:$A$102,0)),"미등록과정"))</f>
        <v/>
      </c>
      <c r="F191" s="13"/>
      <c r="G191" s="9"/>
      <c r="H191" s="9"/>
    </row>
    <row r="192" customFormat="false" ht="15" hidden="false" customHeight="true" outlineLevel="0" collapsed="false">
      <c r="A192" s="11"/>
      <c r="B192" s="9"/>
      <c r="C192" s="15" t="str">
        <f aca="false">IF($B192="","",IFERROR(INDEX(직원목록!$B$3:$B$302,MATCH($B192,직원목록!$A$3:$A$302,0)),"미등록사번"))</f>
        <v/>
      </c>
      <c r="D192" s="9"/>
      <c r="E192" s="15" t="str">
        <f aca="false">IF($D192="","",IFERROR(INDEX(교육과정!$B$3:$B$102,MATCH($D192,교육과정!$A$3:$A$102,0)),"미등록과정"))</f>
        <v/>
      </c>
      <c r="F192" s="13"/>
      <c r="G192" s="9"/>
      <c r="H192" s="9"/>
    </row>
    <row r="193" customFormat="false" ht="15" hidden="false" customHeight="true" outlineLevel="0" collapsed="false">
      <c r="A193" s="11"/>
      <c r="B193" s="9"/>
      <c r="C193" s="15" t="str">
        <f aca="false">IF($B193="","",IFERROR(INDEX(직원목록!$B$3:$B$302,MATCH($B193,직원목록!$A$3:$A$302,0)),"미등록사번"))</f>
        <v/>
      </c>
      <c r="D193" s="9"/>
      <c r="E193" s="15" t="str">
        <f aca="false">IF($D193="","",IFERROR(INDEX(교육과정!$B$3:$B$102,MATCH($D193,교육과정!$A$3:$A$102,0)),"미등록과정"))</f>
        <v/>
      </c>
      <c r="F193" s="13"/>
      <c r="G193" s="9"/>
      <c r="H193" s="9"/>
    </row>
    <row r="194" customFormat="false" ht="15" hidden="false" customHeight="true" outlineLevel="0" collapsed="false">
      <c r="A194" s="11"/>
      <c r="B194" s="9"/>
      <c r="C194" s="15" t="str">
        <f aca="false">IF($B194="","",IFERROR(INDEX(직원목록!$B$3:$B$302,MATCH($B194,직원목록!$A$3:$A$302,0)),"미등록사번"))</f>
        <v/>
      </c>
      <c r="D194" s="9"/>
      <c r="E194" s="15" t="str">
        <f aca="false">IF($D194="","",IFERROR(INDEX(교육과정!$B$3:$B$102,MATCH($D194,교육과정!$A$3:$A$102,0)),"미등록과정"))</f>
        <v/>
      </c>
      <c r="F194" s="13"/>
      <c r="G194" s="9"/>
      <c r="H194" s="9"/>
    </row>
    <row r="195" customFormat="false" ht="15" hidden="false" customHeight="true" outlineLevel="0" collapsed="false">
      <c r="A195" s="11"/>
      <c r="B195" s="9"/>
      <c r="C195" s="15" t="str">
        <f aca="false">IF($B195="","",IFERROR(INDEX(직원목록!$B$3:$B$302,MATCH($B195,직원목록!$A$3:$A$302,0)),"미등록사번"))</f>
        <v/>
      </c>
      <c r="D195" s="9"/>
      <c r="E195" s="15" t="str">
        <f aca="false">IF($D195="","",IFERROR(INDEX(교육과정!$B$3:$B$102,MATCH($D195,교육과정!$A$3:$A$102,0)),"미등록과정"))</f>
        <v/>
      </c>
      <c r="F195" s="13"/>
      <c r="G195" s="9"/>
      <c r="H195" s="9"/>
    </row>
    <row r="196" customFormat="false" ht="15" hidden="false" customHeight="true" outlineLevel="0" collapsed="false">
      <c r="A196" s="11"/>
      <c r="B196" s="9"/>
      <c r="C196" s="15" t="str">
        <f aca="false">IF($B196="","",IFERROR(INDEX(직원목록!$B$3:$B$302,MATCH($B196,직원목록!$A$3:$A$302,0)),"미등록사번"))</f>
        <v/>
      </c>
      <c r="D196" s="9"/>
      <c r="E196" s="15" t="str">
        <f aca="false">IF($D196="","",IFERROR(INDEX(교육과정!$B$3:$B$102,MATCH($D196,교육과정!$A$3:$A$102,0)),"미등록과정"))</f>
        <v/>
      </c>
      <c r="F196" s="13"/>
      <c r="G196" s="9"/>
      <c r="H196" s="9"/>
    </row>
    <row r="197" customFormat="false" ht="15" hidden="false" customHeight="true" outlineLevel="0" collapsed="false">
      <c r="A197" s="11"/>
      <c r="B197" s="9"/>
      <c r="C197" s="15" t="str">
        <f aca="false">IF($B197="","",IFERROR(INDEX(직원목록!$B$3:$B$302,MATCH($B197,직원목록!$A$3:$A$302,0)),"미등록사번"))</f>
        <v/>
      </c>
      <c r="D197" s="9"/>
      <c r="E197" s="15" t="str">
        <f aca="false">IF($D197="","",IFERROR(INDEX(교육과정!$B$3:$B$102,MATCH($D197,교육과정!$A$3:$A$102,0)),"미등록과정"))</f>
        <v/>
      </c>
      <c r="F197" s="13"/>
      <c r="G197" s="9"/>
      <c r="H197" s="9"/>
    </row>
    <row r="198" customFormat="false" ht="15" hidden="false" customHeight="true" outlineLevel="0" collapsed="false">
      <c r="A198" s="11"/>
      <c r="B198" s="9"/>
      <c r="C198" s="15" t="str">
        <f aca="false">IF($B198="","",IFERROR(INDEX(직원목록!$B$3:$B$302,MATCH($B198,직원목록!$A$3:$A$302,0)),"미등록사번"))</f>
        <v/>
      </c>
      <c r="D198" s="9"/>
      <c r="E198" s="15" t="str">
        <f aca="false">IF($D198="","",IFERROR(INDEX(교육과정!$B$3:$B$102,MATCH($D198,교육과정!$A$3:$A$102,0)),"미등록과정"))</f>
        <v/>
      </c>
      <c r="F198" s="13"/>
      <c r="G198" s="9"/>
      <c r="H198" s="9"/>
    </row>
    <row r="199" customFormat="false" ht="15" hidden="false" customHeight="true" outlineLevel="0" collapsed="false">
      <c r="A199" s="11"/>
      <c r="B199" s="9"/>
      <c r="C199" s="15" t="str">
        <f aca="false">IF($B199="","",IFERROR(INDEX(직원목록!$B$3:$B$302,MATCH($B199,직원목록!$A$3:$A$302,0)),"미등록사번"))</f>
        <v/>
      </c>
      <c r="D199" s="9"/>
      <c r="E199" s="15" t="str">
        <f aca="false">IF($D199="","",IFERROR(INDEX(교육과정!$B$3:$B$102,MATCH($D199,교육과정!$A$3:$A$102,0)),"미등록과정"))</f>
        <v/>
      </c>
      <c r="F199" s="13"/>
      <c r="G199" s="9"/>
      <c r="H199" s="9"/>
    </row>
    <row r="200" customFormat="false" ht="15" hidden="false" customHeight="true" outlineLevel="0" collapsed="false">
      <c r="A200" s="11"/>
      <c r="B200" s="9"/>
      <c r="C200" s="15" t="str">
        <f aca="false">IF($B200="","",IFERROR(INDEX(직원목록!$B$3:$B$302,MATCH($B200,직원목록!$A$3:$A$302,0)),"미등록사번"))</f>
        <v/>
      </c>
      <c r="D200" s="9"/>
      <c r="E200" s="15" t="str">
        <f aca="false">IF($D200="","",IFERROR(INDEX(교육과정!$B$3:$B$102,MATCH($D200,교육과정!$A$3:$A$102,0)),"미등록과정"))</f>
        <v/>
      </c>
      <c r="F200" s="13"/>
      <c r="G200" s="9"/>
      <c r="H200" s="9"/>
    </row>
    <row r="201" customFormat="false" ht="15" hidden="false" customHeight="true" outlineLevel="0" collapsed="false">
      <c r="A201" s="11"/>
      <c r="B201" s="9"/>
      <c r="C201" s="15" t="str">
        <f aca="false">IF($B201="","",IFERROR(INDEX(직원목록!$B$3:$B$302,MATCH($B201,직원목록!$A$3:$A$302,0)),"미등록사번"))</f>
        <v/>
      </c>
      <c r="D201" s="9"/>
      <c r="E201" s="15" t="str">
        <f aca="false">IF($D201="","",IFERROR(INDEX(교육과정!$B$3:$B$102,MATCH($D201,교육과정!$A$3:$A$102,0)),"미등록과정"))</f>
        <v/>
      </c>
      <c r="F201" s="13"/>
      <c r="G201" s="9"/>
      <c r="H201" s="9"/>
    </row>
    <row r="202" customFormat="false" ht="15" hidden="false" customHeight="true" outlineLevel="0" collapsed="false">
      <c r="A202" s="11"/>
      <c r="B202" s="9"/>
      <c r="C202" s="15" t="str">
        <f aca="false">IF($B202="","",IFERROR(INDEX(직원목록!$B$3:$B$302,MATCH($B202,직원목록!$A$3:$A$302,0)),"미등록사번"))</f>
        <v/>
      </c>
      <c r="D202" s="9"/>
      <c r="E202" s="15" t="str">
        <f aca="false">IF($D202="","",IFERROR(INDEX(교육과정!$B$3:$B$102,MATCH($D202,교육과정!$A$3:$A$102,0)),"미등록과정"))</f>
        <v/>
      </c>
      <c r="F202" s="13"/>
      <c r="G202" s="9"/>
      <c r="H202" s="9"/>
    </row>
    <row r="203" customFormat="false" ht="15" hidden="false" customHeight="true" outlineLevel="0" collapsed="false">
      <c r="A203" s="11"/>
      <c r="B203" s="9"/>
      <c r="C203" s="15" t="str">
        <f aca="false">IF($B203="","",IFERROR(INDEX(직원목록!$B$3:$B$302,MATCH($B203,직원목록!$A$3:$A$302,0)),"미등록사번"))</f>
        <v/>
      </c>
      <c r="D203" s="9"/>
      <c r="E203" s="15" t="str">
        <f aca="false">IF($D203="","",IFERROR(INDEX(교육과정!$B$3:$B$102,MATCH($D203,교육과정!$A$3:$A$102,0)),"미등록과정"))</f>
        <v/>
      </c>
      <c r="F203" s="13"/>
      <c r="G203" s="9"/>
      <c r="H203" s="9"/>
    </row>
    <row r="204" customFormat="false" ht="15" hidden="false" customHeight="true" outlineLevel="0" collapsed="false">
      <c r="A204" s="11"/>
      <c r="B204" s="9"/>
      <c r="C204" s="15" t="str">
        <f aca="false">IF($B204="","",IFERROR(INDEX(직원목록!$B$3:$B$302,MATCH($B204,직원목록!$A$3:$A$302,0)),"미등록사번"))</f>
        <v/>
      </c>
      <c r="D204" s="9"/>
      <c r="E204" s="15" t="str">
        <f aca="false">IF($D204="","",IFERROR(INDEX(교육과정!$B$3:$B$102,MATCH($D204,교육과정!$A$3:$A$102,0)),"미등록과정"))</f>
        <v/>
      </c>
      <c r="F204" s="13"/>
      <c r="G204" s="9"/>
      <c r="H204" s="9"/>
    </row>
    <row r="205" customFormat="false" ht="15" hidden="false" customHeight="true" outlineLevel="0" collapsed="false">
      <c r="A205" s="11"/>
      <c r="B205" s="9"/>
      <c r="C205" s="15" t="str">
        <f aca="false">IF($B205="","",IFERROR(INDEX(직원목록!$B$3:$B$302,MATCH($B205,직원목록!$A$3:$A$302,0)),"미등록사번"))</f>
        <v/>
      </c>
      <c r="D205" s="9"/>
      <c r="E205" s="15" t="str">
        <f aca="false">IF($D205="","",IFERROR(INDEX(교육과정!$B$3:$B$102,MATCH($D205,교육과정!$A$3:$A$102,0)),"미등록과정"))</f>
        <v/>
      </c>
      <c r="F205" s="13"/>
      <c r="G205" s="9"/>
      <c r="H205" s="9"/>
    </row>
    <row r="206" customFormat="false" ht="15" hidden="false" customHeight="true" outlineLevel="0" collapsed="false">
      <c r="A206" s="11"/>
      <c r="B206" s="9"/>
      <c r="C206" s="15" t="str">
        <f aca="false">IF($B206="","",IFERROR(INDEX(직원목록!$B$3:$B$302,MATCH($B206,직원목록!$A$3:$A$302,0)),"미등록사번"))</f>
        <v/>
      </c>
      <c r="D206" s="9"/>
      <c r="E206" s="15" t="str">
        <f aca="false">IF($D206="","",IFERROR(INDEX(교육과정!$B$3:$B$102,MATCH($D206,교육과정!$A$3:$A$102,0)),"미등록과정"))</f>
        <v/>
      </c>
      <c r="F206" s="13"/>
      <c r="G206" s="9"/>
      <c r="H206" s="9"/>
    </row>
    <row r="207" customFormat="false" ht="15" hidden="false" customHeight="true" outlineLevel="0" collapsed="false">
      <c r="A207" s="11"/>
      <c r="B207" s="9"/>
      <c r="C207" s="15" t="str">
        <f aca="false">IF($B207="","",IFERROR(INDEX(직원목록!$B$3:$B$302,MATCH($B207,직원목록!$A$3:$A$302,0)),"미등록사번"))</f>
        <v/>
      </c>
      <c r="D207" s="9"/>
      <c r="E207" s="15" t="str">
        <f aca="false">IF($D207="","",IFERROR(INDEX(교육과정!$B$3:$B$102,MATCH($D207,교육과정!$A$3:$A$102,0)),"미등록과정"))</f>
        <v/>
      </c>
      <c r="F207" s="13"/>
      <c r="G207" s="9"/>
      <c r="H207" s="9"/>
    </row>
    <row r="208" customFormat="false" ht="15" hidden="false" customHeight="true" outlineLevel="0" collapsed="false">
      <c r="A208" s="11"/>
      <c r="B208" s="9"/>
      <c r="C208" s="15" t="str">
        <f aca="false">IF($B208="","",IFERROR(INDEX(직원목록!$B$3:$B$302,MATCH($B208,직원목록!$A$3:$A$302,0)),"미등록사번"))</f>
        <v/>
      </c>
      <c r="D208" s="9"/>
      <c r="E208" s="15" t="str">
        <f aca="false">IF($D208="","",IFERROR(INDEX(교육과정!$B$3:$B$102,MATCH($D208,교육과정!$A$3:$A$102,0)),"미등록과정"))</f>
        <v/>
      </c>
      <c r="F208" s="13"/>
      <c r="G208" s="9"/>
      <c r="H208" s="9"/>
    </row>
    <row r="209" customFormat="false" ht="15" hidden="false" customHeight="true" outlineLevel="0" collapsed="false">
      <c r="A209" s="11"/>
      <c r="B209" s="9"/>
      <c r="C209" s="15" t="str">
        <f aca="false">IF($B209="","",IFERROR(INDEX(직원목록!$B$3:$B$302,MATCH($B209,직원목록!$A$3:$A$302,0)),"미등록사번"))</f>
        <v/>
      </c>
      <c r="D209" s="9"/>
      <c r="E209" s="15" t="str">
        <f aca="false">IF($D209="","",IFERROR(INDEX(교육과정!$B$3:$B$102,MATCH($D209,교육과정!$A$3:$A$102,0)),"미등록과정"))</f>
        <v/>
      </c>
      <c r="F209" s="13"/>
      <c r="G209" s="9"/>
      <c r="H209" s="9"/>
    </row>
    <row r="210" customFormat="false" ht="15" hidden="false" customHeight="true" outlineLevel="0" collapsed="false">
      <c r="A210" s="11"/>
      <c r="B210" s="9"/>
      <c r="C210" s="15" t="str">
        <f aca="false">IF($B210="","",IFERROR(INDEX(직원목록!$B$3:$B$302,MATCH($B210,직원목록!$A$3:$A$302,0)),"미등록사번"))</f>
        <v/>
      </c>
      <c r="D210" s="9"/>
      <c r="E210" s="15" t="str">
        <f aca="false">IF($D210="","",IFERROR(INDEX(교육과정!$B$3:$B$102,MATCH($D210,교육과정!$A$3:$A$102,0)),"미등록과정"))</f>
        <v/>
      </c>
      <c r="F210" s="13"/>
      <c r="G210" s="9"/>
      <c r="H210" s="9"/>
    </row>
    <row r="211" customFormat="false" ht="15" hidden="false" customHeight="true" outlineLevel="0" collapsed="false">
      <c r="A211" s="11"/>
      <c r="B211" s="9"/>
      <c r="C211" s="15" t="str">
        <f aca="false">IF($B211="","",IFERROR(INDEX(직원목록!$B$3:$B$302,MATCH($B211,직원목록!$A$3:$A$302,0)),"미등록사번"))</f>
        <v/>
      </c>
      <c r="D211" s="9"/>
      <c r="E211" s="15" t="str">
        <f aca="false">IF($D211="","",IFERROR(INDEX(교육과정!$B$3:$B$102,MATCH($D211,교육과정!$A$3:$A$102,0)),"미등록과정"))</f>
        <v/>
      </c>
      <c r="F211" s="13"/>
      <c r="G211" s="9"/>
      <c r="H211" s="9"/>
    </row>
    <row r="212" customFormat="false" ht="15" hidden="false" customHeight="true" outlineLevel="0" collapsed="false">
      <c r="A212" s="11"/>
      <c r="B212" s="9"/>
      <c r="C212" s="15" t="str">
        <f aca="false">IF($B212="","",IFERROR(INDEX(직원목록!$B$3:$B$302,MATCH($B212,직원목록!$A$3:$A$302,0)),"미등록사번"))</f>
        <v/>
      </c>
      <c r="D212" s="9"/>
      <c r="E212" s="15" t="str">
        <f aca="false">IF($D212="","",IFERROR(INDEX(교육과정!$B$3:$B$102,MATCH($D212,교육과정!$A$3:$A$102,0)),"미등록과정"))</f>
        <v/>
      </c>
      <c r="F212" s="13"/>
      <c r="G212" s="9"/>
      <c r="H212" s="9"/>
    </row>
    <row r="213" customFormat="false" ht="15" hidden="false" customHeight="true" outlineLevel="0" collapsed="false">
      <c r="A213" s="11"/>
      <c r="B213" s="9"/>
      <c r="C213" s="15" t="str">
        <f aca="false">IF($B213="","",IFERROR(INDEX(직원목록!$B$3:$B$302,MATCH($B213,직원목록!$A$3:$A$302,0)),"미등록사번"))</f>
        <v/>
      </c>
      <c r="D213" s="9"/>
      <c r="E213" s="15" t="str">
        <f aca="false">IF($D213="","",IFERROR(INDEX(교육과정!$B$3:$B$102,MATCH($D213,교육과정!$A$3:$A$102,0)),"미등록과정"))</f>
        <v/>
      </c>
      <c r="F213" s="13"/>
      <c r="G213" s="9"/>
      <c r="H213" s="9"/>
    </row>
    <row r="214" customFormat="false" ht="15" hidden="false" customHeight="true" outlineLevel="0" collapsed="false">
      <c r="A214" s="11"/>
      <c r="B214" s="9"/>
      <c r="C214" s="15" t="str">
        <f aca="false">IF($B214="","",IFERROR(INDEX(직원목록!$B$3:$B$302,MATCH($B214,직원목록!$A$3:$A$302,0)),"미등록사번"))</f>
        <v/>
      </c>
      <c r="D214" s="9"/>
      <c r="E214" s="15" t="str">
        <f aca="false">IF($D214="","",IFERROR(INDEX(교육과정!$B$3:$B$102,MATCH($D214,교육과정!$A$3:$A$102,0)),"미등록과정"))</f>
        <v/>
      </c>
      <c r="F214" s="13"/>
      <c r="G214" s="9"/>
      <c r="H214" s="9"/>
    </row>
    <row r="215" customFormat="false" ht="15" hidden="false" customHeight="true" outlineLevel="0" collapsed="false">
      <c r="A215" s="11"/>
      <c r="B215" s="9"/>
      <c r="C215" s="15" t="str">
        <f aca="false">IF($B215="","",IFERROR(INDEX(직원목록!$B$3:$B$302,MATCH($B215,직원목록!$A$3:$A$302,0)),"미등록사번"))</f>
        <v/>
      </c>
      <c r="D215" s="9"/>
      <c r="E215" s="15" t="str">
        <f aca="false">IF($D215="","",IFERROR(INDEX(교육과정!$B$3:$B$102,MATCH($D215,교육과정!$A$3:$A$102,0)),"미등록과정"))</f>
        <v/>
      </c>
      <c r="F215" s="13"/>
      <c r="G215" s="9"/>
      <c r="H215" s="9"/>
    </row>
    <row r="216" customFormat="false" ht="15" hidden="false" customHeight="true" outlineLevel="0" collapsed="false">
      <c r="A216" s="11"/>
      <c r="B216" s="9"/>
      <c r="C216" s="15" t="str">
        <f aca="false">IF($B216="","",IFERROR(INDEX(직원목록!$B$3:$B$302,MATCH($B216,직원목록!$A$3:$A$302,0)),"미등록사번"))</f>
        <v/>
      </c>
      <c r="D216" s="9"/>
      <c r="E216" s="15" t="str">
        <f aca="false">IF($D216="","",IFERROR(INDEX(교육과정!$B$3:$B$102,MATCH($D216,교육과정!$A$3:$A$102,0)),"미등록과정"))</f>
        <v/>
      </c>
      <c r="F216" s="13"/>
      <c r="G216" s="9"/>
      <c r="H216" s="9"/>
    </row>
    <row r="217" customFormat="false" ht="15" hidden="false" customHeight="true" outlineLevel="0" collapsed="false">
      <c r="A217" s="11"/>
      <c r="B217" s="9"/>
      <c r="C217" s="15" t="str">
        <f aca="false">IF($B217="","",IFERROR(INDEX(직원목록!$B$3:$B$302,MATCH($B217,직원목록!$A$3:$A$302,0)),"미등록사번"))</f>
        <v/>
      </c>
      <c r="D217" s="9"/>
      <c r="E217" s="15" t="str">
        <f aca="false">IF($D217="","",IFERROR(INDEX(교육과정!$B$3:$B$102,MATCH($D217,교육과정!$A$3:$A$102,0)),"미등록과정"))</f>
        <v/>
      </c>
      <c r="F217" s="13"/>
      <c r="G217" s="9"/>
      <c r="H217" s="9"/>
    </row>
    <row r="218" customFormat="false" ht="15" hidden="false" customHeight="true" outlineLevel="0" collapsed="false">
      <c r="A218" s="11"/>
      <c r="B218" s="9"/>
      <c r="C218" s="15" t="str">
        <f aca="false">IF($B218="","",IFERROR(INDEX(직원목록!$B$3:$B$302,MATCH($B218,직원목록!$A$3:$A$302,0)),"미등록사번"))</f>
        <v/>
      </c>
      <c r="D218" s="9"/>
      <c r="E218" s="15" t="str">
        <f aca="false">IF($D218="","",IFERROR(INDEX(교육과정!$B$3:$B$102,MATCH($D218,교육과정!$A$3:$A$102,0)),"미등록과정"))</f>
        <v/>
      </c>
      <c r="F218" s="13"/>
      <c r="G218" s="9"/>
      <c r="H218" s="9"/>
    </row>
    <row r="219" customFormat="false" ht="15" hidden="false" customHeight="true" outlineLevel="0" collapsed="false">
      <c r="A219" s="11"/>
      <c r="B219" s="9"/>
      <c r="C219" s="15" t="str">
        <f aca="false">IF($B219="","",IFERROR(INDEX(직원목록!$B$3:$B$302,MATCH($B219,직원목록!$A$3:$A$302,0)),"미등록사번"))</f>
        <v/>
      </c>
      <c r="D219" s="9"/>
      <c r="E219" s="15" t="str">
        <f aca="false">IF($D219="","",IFERROR(INDEX(교육과정!$B$3:$B$102,MATCH($D219,교육과정!$A$3:$A$102,0)),"미등록과정"))</f>
        <v/>
      </c>
      <c r="F219" s="13"/>
      <c r="G219" s="9"/>
      <c r="H219" s="9"/>
    </row>
    <row r="220" customFormat="false" ht="15" hidden="false" customHeight="true" outlineLevel="0" collapsed="false">
      <c r="A220" s="11"/>
      <c r="B220" s="9"/>
      <c r="C220" s="15" t="str">
        <f aca="false">IF($B220="","",IFERROR(INDEX(직원목록!$B$3:$B$302,MATCH($B220,직원목록!$A$3:$A$302,0)),"미등록사번"))</f>
        <v/>
      </c>
      <c r="D220" s="9"/>
      <c r="E220" s="15" t="str">
        <f aca="false">IF($D220="","",IFERROR(INDEX(교육과정!$B$3:$B$102,MATCH($D220,교육과정!$A$3:$A$102,0)),"미등록과정"))</f>
        <v/>
      </c>
      <c r="F220" s="13"/>
      <c r="G220" s="9"/>
      <c r="H220" s="9"/>
    </row>
    <row r="221" customFormat="false" ht="15" hidden="false" customHeight="true" outlineLevel="0" collapsed="false">
      <c r="A221" s="11"/>
      <c r="B221" s="9"/>
      <c r="C221" s="15" t="str">
        <f aca="false">IF($B221="","",IFERROR(INDEX(직원목록!$B$3:$B$302,MATCH($B221,직원목록!$A$3:$A$302,0)),"미등록사번"))</f>
        <v/>
      </c>
      <c r="D221" s="9"/>
      <c r="E221" s="15" t="str">
        <f aca="false">IF($D221="","",IFERROR(INDEX(교육과정!$B$3:$B$102,MATCH($D221,교육과정!$A$3:$A$102,0)),"미등록과정"))</f>
        <v/>
      </c>
      <c r="F221" s="13"/>
      <c r="G221" s="9"/>
      <c r="H221" s="9"/>
    </row>
    <row r="222" customFormat="false" ht="15" hidden="false" customHeight="true" outlineLevel="0" collapsed="false">
      <c r="A222" s="11"/>
      <c r="B222" s="9"/>
      <c r="C222" s="15" t="str">
        <f aca="false">IF($B222="","",IFERROR(INDEX(직원목록!$B$3:$B$302,MATCH($B222,직원목록!$A$3:$A$302,0)),"미등록사번"))</f>
        <v/>
      </c>
      <c r="D222" s="9"/>
      <c r="E222" s="15" t="str">
        <f aca="false">IF($D222="","",IFERROR(INDEX(교육과정!$B$3:$B$102,MATCH($D222,교육과정!$A$3:$A$102,0)),"미등록과정"))</f>
        <v/>
      </c>
      <c r="F222" s="13"/>
      <c r="G222" s="9"/>
      <c r="H222" s="9"/>
    </row>
    <row r="223" customFormat="false" ht="15" hidden="false" customHeight="true" outlineLevel="0" collapsed="false">
      <c r="A223" s="11"/>
      <c r="B223" s="9"/>
      <c r="C223" s="15" t="str">
        <f aca="false">IF($B223="","",IFERROR(INDEX(직원목록!$B$3:$B$302,MATCH($B223,직원목록!$A$3:$A$302,0)),"미등록사번"))</f>
        <v/>
      </c>
      <c r="D223" s="9"/>
      <c r="E223" s="15" t="str">
        <f aca="false">IF($D223="","",IFERROR(INDEX(교육과정!$B$3:$B$102,MATCH($D223,교육과정!$A$3:$A$102,0)),"미등록과정"))</f>
        <v/>
      </c>
      <c r="F223" s="13"/>
      <c r="G223" s="9"/>
      <c r="H223" s="9"/>
    </row>
    <row r="224" customFormat="false" ht="15" hidden="false" customHeight="true" outlineLevel="0" collapsed="false">
      <c r="A224" s="11"/>
      <c r="B224" s="9"/>
      <c r="C224" s="15" t="str">
        <f aca="false">IF($B224="","",IFERROR(INDEX(직원목록!$B$3:$B$302,MATCH($B224,직원목록!$A$3:$A$302,0)),"미등록사번"))</f>
        <v/>
      </c>
      <c r="D224" s="9"/>
      <c r="E224" s="15" t="str">
        <f aca="false">IF($D224="","",IFERROR(INDEX(교육과정!$B$3:$B$102,MATCH($D224,교육과정!$A$3:$A$102,0)),"미등록과정"))</f>
        <v/>
      </c>
      <c r="F224" s="13"/>
      <c r="G224" s="9"/>
      <c r="H224" s="9"/>
    </row>
    <row r="225" customFormat="false" ht="15" hidden="false" customHeight="true" outlineLevel="0" collapsed="false">
      <c r="A225" s="11"/>
      <c r="B225" s="9"/>
      <c r="C225" s="15" t="str">
        <f aca="false">IF($B225="","",IFERROR(INDEX(직원목록!$B$3:$B$302,MATCH($B225,직원목록!$A$3:$A$302,0)),"미등록사번"))</f>
        <v/>
      </c>
      <c r="D225" s="9"/>
      <c r="E225" s="15" t="str">
        <f aca="false">IF($D225="","",IFERROR(INDEX(교육과정!$B$3:$B$102,MATCH($D225,교육과정!$A$3:$A$102,0)),"미등록과정"))</f>
        <v/>
      </c>
      <c r="F225" s="13"/>
      <c r="G225" s="9"/>
      <c r="H225" s="9"/>
    </row>
    <row r="226" customFormat="false" ht="15" hidden="false" customHeight="true" outlineLevel="0" collapsed="false">
      <c r="A226" s="11"/>
      <c r="B226" s="9"/>
      <c r="C226" s="15" t="str">
        <f aca="false">IF($B226="","",IFERROR(INDEX(직원목록!$B$3:$B$302,MATCH($B226,직원목록!$A$3:$A$302,0)),"미등록사번"))</f>
        <v/>
      </c>
      <c r="D226" s="9"/>
      <c r="E226" s="15" t="str">
        <f aca="false">IF($D226="","",IFERROR(INDEX(교육과정!$B$3:$B$102,MATCH($D226,교육과정!$A$3:$A$102,0)),"미등록과정"))</f>
        <v/>
      </c>
      <c r="F226" s="13"/>
      <c r="G226" s="9"/>
      <c r="H226" s="9"/>
    </row>
    <row r="227" customFormat="false" ht="15" hidden="false" customHeight="true" outlineLevel="0" collapsed="false">
      <c r="A227" s="11"/>
      <c r="B227" s="9"/>
      <c r="C227" s="15" t="str">
        <f aca="false">IF($B227="","",IFERROR(INDEX(직원목록!$B$3:$B$302,MATCH($B227,직원목록!$A$3:$A$302,0)),"미등록사번"))</f>
        <v/>
      </c>
      <c r="D227" s="9"/>
      <c r="E227" s="15" t="str">
        <f aca="false">IF($D227="","",IFERROR(INDEX(교육과정!$B$3:$B$102,MATCH($D227,교육과정!$A$3:$A$102,0)),"미등록과정"))</f>
        <v/>
      </c>
      <c r="F227" s="13"/>
      <c r="G227" s="9"/>
      <c r="H227" s="9"/>
    </row>
    <row r="228" customFormat="false" ht="15" hidden="false" customHeight="true" outlineLevel="0" collapsed="false">
      <c r="A228" s="11"/>
      <c r="B228" s="9"/>
      <c r="C228" s="15" t="str">
        <f aca="false">IF($B228="","",IFERROR(INDEX(직원목록!$B$3:$B$302,MATCH($B228,직원목록!$A$3:$A$302,0)),"미등록사번"))</f>
        <v/>
      </c>
      <c r="D228" s="9"/>
      <c r="E228" s="15" t="str">
        <f aca="false">IF($D228="","",IFERROR(INDEX(교육과정!$B$3:$B$102,MATCH($D228,교육과정!$A$3:$A$102,0)),"미등록과정"))</f>
        <v/>
      </c>
      <c r="F228" s="13"/>
      <c r="G228" s="9"/>
      <c r="H228" s="9"/>
    </row>
    <row r="229" customFormat="false" ht="15" hidden="false" customHeight="true" outlineLevel="0" collapsed="false">
      <c r="A229" s="11"/>
      <c r="B229" s="9"/>
      <c r="C229" s="15" t="str">
        <f aca="false">IF($B229="","",IFERROR(INDEX(직원목록!$B$3:$B$302,MATCH($B229,직원목록!$A$3:$A$302,0)),"미등록사번"))</f>
        <v/>
      </c>
      <c r="D229" s="9"/>
      <c r="E229" s="15" t="str">
        <f aca="false">IF($D229="","",IFERROR(INDEX(교육과정!$B$3:$B$102,MATCH($D229,교육과정!$A$3:$A$102,0)),"미등록과정"))</f>
        <v/>
      </c>
      <c r="F229" s="13"/>
      <c r="G229" s="9"/>
      <c r="H229" s="9"/>
    </row>
    <row r="230" customFormat="false" ht="15" hidden="false" customHeight="true" outlineLevel="0" collapsed="false">
      <c r="A230" s="11"/>
      <c r="B230" s="9"/>
      <c r="C230" s="15" t="str">
        <f aca="false">IF($B230="","",IFERROR(INDEX(직원목록!$B$3:$B$302,MATCH($B230,직원목록!$A$3:$A$302,0)),"미등록사번"))</f>
        <v/>
      </c>
      <c r="D230" s="9"/>
      <c r="E230" s="15" t="str">
        <f aca="false">IF($D230="","",IFERROR(INDEX(교육과정!$B$3:$B$102,MATCH($D230,교육과정!$A$3:$A$102,0)),"미등록과정"))</f>
        <v/>
      </c>
      <c r="F230" s="13"/>
      <c r="G230" s="9"/>
      <c r="H230" s="9"/>
    </row>
    <row r="231" customFormat="false" ht="15" hidden="false" customHeight="true" outlineLevel="0" collapsed="false">
      <c r="A231" s="11"/>
      <c r="B231" s="9"/>
      <c r="C231" s="15" t="str">
        <f aca="false">IF($B231="","",IFERROR(INDEX(직원목록!$B$3:$B$302,MATCH($B231,직원목록!$A$3:$A$302,0)),"미등록사번"))</f>
        <v/>
      </c>
      <c r="D231" s="9"/>
      <c r="E231" s="15" t="str">
        <f aca="false">IF($D231="","",IFERROR(INDEX(교육과정!$B$3:$B$102,MATCH($D231,교육과정!$A$3:$A$102,0)),"미등록과정"))</f>
        <v/>
      </c>
      <c r="F231" s="13"/>
      <c r="G231" s="9"/>
      <c r="H231" s="9"/>
    </row>
    <row r="232" customFormat="false" ht="15" hidden="false" customHeight="true" outlineLevel="0" collapsed="false">
      <c r="A232" s="11"/>
      <c r="B232" s="9"/>
      <c r="C232" s="15" t="str">
        <f aca="false">IF($B232="","",IFERROR(INDEX(직원목록!$B$3:$B$302,MATCH($B232,직원목록!$A$3:$A$302,0)),"미등록사번"))</f>
        <v/>
      </c>
      <c r="D232" s="9"/>
      <c r="E232" s="15" t="str">
        <f aca="false">IF($D232="","",IFERROR(INDEX(교육과정!$B$3:$B$102,MATCH($D232,교육과정!$A$3:$A$102,0)),"미등록과정"))</f>
        <v/>
      </c>
      <c r="F232" s="13"/>
      <c r="G232" s="9"/>
      <c r="H232" s="9"/>
    </row>
    <row r="233" customFormat="false" ht="15" hidden="false" customHeight="true" outlineLevel="0" collapsed="false">
      <c r="A233" s="11"/>
      <c r="B233" s="9"/>
      <c r="C233" s="15" t="str">
        <f aca="false">IF($B233="","",IFERROR(INDEX(직원목록!$B$3:$B$302,MATCH($B233,직원목록!$A$3:$A$302,0)),"미등록사번"))</f>
        <v/>
      </c>
      <c r="D233" s="9"/>
      <c r="E233" s="15" t="str">
        <f aca="false">IF($D233="","",IFERROR(INDEX(교육과정!$B$3:$B$102,MATCH($D233,교육과정!$A$3:$A$102,0)),"미등록과정"))</f>
        <v/>
      </c>
      <c r="F233" s="13"/>
      <c r="G233" s="9"/>
      <c r="H233" s="9"/>
    </row>
    <row r="234" customFormat="false" ht="15" hidden="false" customHeight="true" outlineLevel="0" collapsed="false">
      <c r="A234" s="11"/>
      <c r="B234" s="9"/>
      <c r="C234" s="15" t="str">
        <f aca="false">IF($B234="","",IFERROR(INDEX(직원목록!$B$3:$B$302,MATCH($B234,직원목록!$A$3:$A$302,0)),"미등록사번"))</f>
        <v/>
      </c>
      <c r="D234" s="9"/>
      <c r="E234" s="15" t="str">
        <f aca="false">IF($D234="","",IFERROR(INDEX(교육과정!$B$3:$B$102,MATCH($D234,교육과정!$A$3:$A$102,0)),"미등록과정"))</f>
        <v/>
      </c>
      <c r="F234" s="13"/>
      <c r="G234" s="9"/>
      <c r="H234" s="9"/>
    </row>
    <row r="235" customFormat="false" ht="15" hidden="false" customHeight="true" outlineLevel="0" collapsed="false">
      <c r="A235" s="11"/>
      <c r="B235" s="9"/>
      <c r="C235" s="15" t="str">
        <f aca="false">IF($B235="","",IFERROR(INDEX(직원목록!$B$3:$B$302,MATCH($B235,직원목록!$A$3:$A$302,0)),"미등록사번"))</f>
        <v/>
      </c>
      <c r="D235" s="9"/>
      <c r="E235" s="15" t="str">
        <f aca="false">IF($D235="","",IFERROR(INDEX(교육과정!$B$3:$B$102,MATCH($D235,교육과정!$A$3:$A$102,0)),"미등록과정"))</f>
        <v/>
      </c>
      <c r="F235" s="13"/>
      <c r="G235" s="9"/>
      <c r="H235" s="9"/>
    </row>
    <row r="236" customFormat="false" ht="15" hidden="false" customHeight="true" outlineLevel="0" collapsed="false">
      <c r="A236" s="11"/>
      <c r="B236" s="9"/>
      <c r="C236" s="15" t="str">
        <f aca="false">IF($B236="","",IFERROR(INDEX(직원목록!$B$3:$B$302,MATCH($B236,직원목록!$A$3:$A$302,0)),"미등록사번"))</f>
        <v/>
      </c>
      <c r="D236" s="9"/>
      <c r="E236" s="15" t="str">
        <f aca="false">IF($D236="","",IFERROR(INDEX(교육과정!$B$3:$B$102,MATCH($D236,교육과정!$A$3:$A$102,0)),"미등록과정"))</f>
        <v/>
      </c>
      <c r="F236" s="13"/>
      <c r="G236" s="9"/>
      <c r="H236" s="9"/>
    </row>
    <row r="237" customFormat="false" ht="15" hidden="false" customHeight="true" outlineLevel="0" collapsed="false">
      <c r="A237" s="11"/>
      <c r="B237" s="9"/>
      <c r="C237" s="15" t="str">
        <f aca="false">IF($B237="","",IFERROR(INDEX(직원목록!$B$3:$B$302,MATCH($B237,직원목록!$A$3:$A$302,0)),"미등록사번"))</f>
        <v/>
      </c>
      <c r="D237" s="9"/>
      <c r="E237" s="15" t="str">
        <f aca="false">IF($D237="","",IFERROR(INDEX(교육과정!$B$3:$B$102,MATCH($D237,교육과정!$A$3:$A$102,0)),"미등록과정"))</f>
        <v/>
      </c>
      <c r="F237" s="13"/>
      <c r="G237" s="9"/>
      <c r="H237" s="9"/>
    </row>
    <row r="238" customFormat="false" ht="15" hidden="false" customHeight="true" outlineLevel="0" collapsed="false">
      <c r="A238" s="11"/>
      <c r="B238" s="9"/>
      <c r="C238" s="15" t="str">
        <f aca="false">IF($B238="","",IFERROR(INDEX(직원목록!$B$3:$B$302,MATCH($B238,직원목록!$A$3:$A$302,0)),"미등록사번"))</f>
        <v/>
      </c>
      <c r="D238" s="9"/>
      <c r="E238" s="15" t="str">
        <f aca="false">IF($D238="","",IFERROR(INDEX(교육과정!$B$3:$B$102,MATCH($D238,교육과정!$A$3:$A$102,0)),"미등록과정"))</f>
        <v/>
      </c>
      <c r="F238" s="13"/>
      <c r="G238" s="9"/>
      <c r="H238" s="9"/>
    </row>
    <row r="239" customFormat="false" ht="15" hidden="false" customHeight="true" outlineLevel="0" collapsed="false">
      <c r="A239" s="11"/>
      <c r="B239" s="9"/>
      <c r="C239" s="15" t="str">
        <f aca="false">IF($B239="","",IFERROR(INDEX(직원목록!$B$3:$B$302,MATCH($B239,직원목록!$A$3:$A$302,0)),"미등록사번"))</f>
        <v/>
      </c>
      <c r="D239" s="9"/>
      <c r="E239" s="15" t="str">
        <f aca="false">IF($D239="","",IFERROR(INDEX(교육과정!$B$3:$B$102,MATCH($D239,교육과정!$A$3:$A$102,0)),"미등록과정"))</f>
        <v/>
      </c>
      <c r="F239" s="13"/>
      <c r="G239" s="9"/>
      <c r="H239" s="9"/>
    </row>
    <row r="240" customFormat="false" ht="15" hidden="false" customHeight="true" outlineLevel="0" collapsed="false">
      <c r="A240" s="11"/>
      <c r="B240" s="9"/>
      <c r="C240" s="15" t="str">
        <f aca="false">IF($B240="","",IFERROR(INDEX(직원목록!$B$3:$B$302,MATCH($B240,직원목록!$A$3:$A$302,0)),"미등록사번"))</f>
        <v/>
      </c>
      <c r="D240" s="9"/>
      <c r="E240" s="15" t="str">
        <f aca="false">IF($D240="","",IFERROR(INDEX(교육과정!$B$3:$B$102,MATCH($D240,교육과정!$A$3:$A$102,0)),"미등록과정"))</f>
        <v/>
      </c>
      <c r="F240" s="13"/>
      <c r="G240" s="9"/>
      <c r="H240" s="9"/>
    </row>
    <row r="241" customFormat="false" ht="15" hidden="false" customHeight="true" outlineLevel="0" collapsed="false">
      <c r="A241" s="11"/>
      <c r="B241" s="9"/>
      <c r="C241" s="15" t="str">
        <f aca="false">IF($B241="","",IFERROR(INDEX(직원목록!$B$3:$B$302,MATCH($B241,직원목록!$A$3:$A$302,0)),"미등록사번"))</f>
        <v/>
      </c>
      <c r="D241" s="9"/>
      <c r="E241" s="15" t="str">
        <f aca="false">IF($D241="","",IFERROR(INDEX(교육과정!$B$3:$B$102,MATCH($D241,교육과정!$A$3:$A$102,0)),"미등록과정"))</f>
        <v/>
      </c>
      <c r="F241" s="13"/>
      <c r="G241" s="9"/>
      <c r="H241" s="9"/>
    </row>
    <row r="242" customFormat="false" ht="15" hidden="false" customHeight="true" outlineLevel="0" collapsed="false">
      <c r="A242" s="11"/>
      <c r="B242" s="9"/>
      <c r="C242" s="15" t="str">
        <f aca="false">IF($B242="","",IFERROR(INDEX(직원목록!$B$3:$B$302,MATCH($B242,직원목록!$A$3:$A$302,0)),"미등록사번"))</f>
        <v/>
      </c>
      <c r="D242" s="9"/>
      <c r="E242" s="15" t="str">
        <f aca="false">IF($D242="","",IFERROR(INDEX(교육과정!$B$3:$B$102,MATCH($D242,교육과정!$A$3:$A$102,0)),"미등록과정"))</f>
        <v/>
      </c>
      <c r="F242" s="13"/>
      <c r="G242" s="9"/>
      <c r="H242" s="9"/>
    </row>
    <row r="243" customFormat="false" ht="15" hidden="false" customHeight="true" outlineLevel="0" collapsed="false">
      <c r="A243" s="11"/>
      <c r="B243" s="9"/>
      <c r="C243" s="15" t="str">
        <f aca="false">IF($B243="","",IFERROR(INDEX(직원목록!$B$3:$B$302,MATCH($B243,직원목록!$A$3:$A$302,0)),"미등록사번"))</f>
        <v/>
      </c>
      <c r="D243" s="9"/>
      <c r="E243" s="15" t="str">
        <f aca="false">IF($D243="","",IFERROR(INDEX(교육과정!$B$3:$B$102,MATCH($D243,교육과정!$A$3:$A$102,0)),"미등록과정"))</f>
        <v/>
      </c>
      <c r="F243" s="13"/>
      <c r="G243" s="9"/>
      <c r="H243" s="9"/>
    </row>
    <row r="244" customFormat="false" ht="15" hidden="false" customHeight="true" outlineLevel="0" collapsed="false">
      <c r="A244" s="11"/>
      <c r="B244" s="9"/>
      <c r="C244" s="15" t="str">
        <f aca="false">IF($B244="","",IFERROR(INDEX(직원목록!$B$3:$B$302,MATCH($B244,직원목록!$A$3:$A$302,0)),"미등록사번"))</f>
        <v/>
      </c>
      <c r="D244" s="9"/>
      <c r="E244" s="15" t="str">
        <f aca="false">IF($D244="","",IFERROR(INDEX(교육과정!$B$3:$B$102,MATCH($D244,교육과정!$A$3:$A$102,0)),"미등록과정"))</f>
        <v/>
      </c>
      <c r="F244" s="13"/>
      <c r="G244" s="9"/>
      <c r="H244" s="9"/>
    </row>
    <row r="245" customFormat="false" ht="15" hidden="false" customHeight="true" outlineLevel="0" collapsed="false">
      <c r="A245" s="11"/>
      <c r="B245" s="9"/>
      <c r="C245" s="15" t="str">
        <f aca="false">IF($B245="","",IFERROR(INDEX(직원목록!$B$3:$B$302,MATCH($B245,직원목록!$A$3:$A$302,0)),"미등록사번"))</f>
        <v/>
      </c>
      <c r="D245" s="9"/>
      <c r="E245" s="15" t="str">
        <f aca="false">IF($D245="","",IFERROR(INDEX(교육과정!$B$3:$B$102,MATCH($D245,교육과정!$A$3:$A$102,0)),"미등록과정"))</f>
        <v/>
      </c>
      <c r="F245" s="13"/>
      <c r="G245" s="9"/>
      <c r="H245" s="9"/>
    </row>
    <row r="246" customFormat="false" ht="15" hidden="false" customHeight="true" outlineLevel="0" collapsed="false">
      <c r="A246" s="11"/>
      <c r="B246" s="9"/>
      <c r="C246" s="15" t="str">
        <f aca="false">IF($B246="","",IFERROR(INDEX(직원목록!$B$3:$B$302,MATCH($B246,직원목록!$A$3:$A$302,0)),"미등록사번"))</f>
        <v/>
      </c>
      <c r="D246" s="9"/>
      <c r="E246" s="15" t="str">
        <f aca="false">IF($D246="","",IFERROR(INDEX(교육과정!$B$3:$B$102,MATCH($D246,교육과정!$A$3:$A$102,0)),"미등록과정"))</f>
        <v/>
      </c>
      <c r="F246" s="13"/>
      <c r="G246" s="9"/>
      <c r="H246" s="9"/>
    </row>
    <row r="247" customFormat="false" ht="15" hidden="false" customHeight="true" outlineLevel="0" collapsed="false">
      <c r="A247" s="11"/>
      <c r="B247" s="9"/>
      <c r="C247" s="15" t="str">
        <f aca="false">IF($B247="","",IFERROR(INDEX(직원목록!$B$3:$B$302,MATCH($B247,직원목록!$A$3:$A$302,0)),"미등록사번"))</f>
        <v/>
      </c>
      <c r="D247" s="9"/>
      <c r="E247" s="15" t="str">
        <f aca="false">IF($D247="","",IFERROR(INDEX(교육과정!$B$3:$B$102,MATCH($D247,교육과정!$A$3:$A$102,0)),"미등록과정"))</f>
        <v/>
      </c>
      <c r="F247" s="13"/>
      <c r="G247" s="9"/>
      <c r="H247" s="9"/>
    </row>
    <row r="248" customFormat="false" ht="15" hidden="false" customHeight="true" outlineLevel="0" collapsed="false">
      <c r="A248" s="11"/>
      <c r="B248" s="9"/>
      <c r="C248" s="15" t="str">
        <f aca="false">IF($B248="","",IFERROR(INDEX(직원목록!$B$3:$B$302,MATCH($B248,직원목록!$A$3:$A$302,0)),"미등록사번"))</f>
        <v/>
      </c>
      <c r="D248" s="9"/>
      <c r="E248" s="15" t="str">
        <f aca="false">IF($D248="","",IFERROR(INDEX(교육과정!$B$3:$B$102,MATCH($D248,교육과정!$A$3:$A$102,0)),"미등록과정"))</f>
        <v/>
      </c>
      <c r="F248" s="13"/>
      <c r="G248" s="9"/>
      <c r="H248" s="9"/>
    </row>
    <row r="249" customFormat="false" ht="15" hidden="false" customHeight="true" outlineLevel="0" collapsed="false">
      <c r="A249" s="11"/>
      <c r="B249" s="9"/>
      <c r="C249" s="15" t="str">
        <f aca="false">IF($B249="","",IFERROR(INDEX(직원목록!$B$3:$B$302,MATCH($B249,직원목록!$A$3:$A$302,0)),"미등록사번"))</f>
        <v/>
      </c>
      <c r="D249" s="9"/>
      <c r="E249" s="15" t="str">
        <f aca="false">IF($D249="","",IFERROR(INDEX(교육과정!$B$3:$B$102,MATCH($D249,교육과정!$A$3:$A$102,0)),"미등록과정"))</f>
        <v/>
      </c>
      <c r="F249" s="13"/>
      <c r="G249" s="9"/>
      <c r="H249" s="9"/>
    </row>
    <row r="250" customFormat="false" ht="15" hidden="false" customHeight="true" outlineLevel="0" collapsed="false">
      <c r="A250" s="11"/>
      <c r="B250" s="9"/>
      <c r="C250" s="15" t="str">
        <f aca="false">IF($B250="","",IFERROR(INDEX(직원목록!$B$3:$B$302,MATCH($B250,직원목록!$A$3:$A$302,0)),"미등록사번"))</f>
        <v/>
      </c>
      <c r="D250" s="9"/>
      <c r="E250" s="15" t="str">
        <f aca="false">IF($D250="","",IFERROR(INDEX(교육과정!$B$3:$B$102,MATCH($D250,교육과정!$A$3:$A$102,0)),"미등록과정"))</f>
        <v/>
      </c>
      <c r="F250" s="13"/>
      <c r="G250" s="9"/>
      <c r="H250" s="9"/>
    </row>
    <row r="251" customFormat="false" ht="15" hidden="false" customHeight="true" outlineLevel="0" collapsed="false">
      <c r="A251" s="11"/>
      <c r="B251" s="9"/>
      <c r="C251" s="15" t="str">
        <f aca="false">IF($B251="","",IFERROR(INDEX(직원목록!$B$3:$B$302,MATCH($B251,직원목록!$A$3:$A$302,0)),"미등록사번"))</f>
        <v/>
      </c>
      <c r="D251" s="9"/>
      <c r="E251" s="15" t="str">
        <f aca="false">IF($D251="","",IFERROR(INDEX(교육과정!$B$3:$B$102,MATCH($D251,교육과정!$A$3:$A$102,0)),"미등록과정"))</f>
        <v/>
      </c>
      <c r="F251" s="13"/>
      <c r="G251" s="9"/>
      <c r="H251" s="9"/>
    </row>
    <row r="252" customFormat="false" ht="15" hidden="false" customHeight="true" outlineLevel="0" collapsed="false">
      <c r="A252" s="11"/>
      <c r="B252" s="9"/>
      <c r="C252" s="15" t="str">
        <f aca="false">IF($B252="","",IFERROR(INDEX(직원목록!$B$3:$B$302,MATCH($B252,직원목록!$A$3:$A$302,0)),"미등록사번"))</f>
        <v/>
      </c>
      <c r="D252" s="9"/>
      <c r="E252" s="15" t="str">
        <f aca="false">IF($D252="","",IFERROR(INDEX(교육과정!$B$3:$B$102,MATCH($D252,교육과정!$A$3:$A$102,0)),"미등록과정"))</f>
        <v/>
      </c>
      <c r="F252" s="13"/>
      <c r="G252" s="9"/>
      <c r="H252" s="9"/>
    </row>
    <row r="253" customFormat="false" ht="15" hidden="false" customHeight="true" outlineLevel="0" collapsed="false">
      <c r="A253" s="11"/>
      <c r="B253" s="9"/>
      <c r="C253" s="15" t="str">
        <f aca="false">IF($B253="","",IFERROR(INDEX(직원목록!$B$3:$B$302,MATCH($B253,직원목록!$A$3:$A$302,0)),"미등록사번"))</f>
        <v/>
      </c>
      <c r="D253" s="9"/>
      <c r="E253" s="15" t="str">
        <f aca="false">IF($D253="","",IFERROR(INDEX(교육과정!$B$3:$B$102,MATCH($D253,교육과정!$A$3:$A$102,0)),"미등록과정"))</f>
        <v/>
      </c>
      <c r="F253" s="13"/>
      <c r="G253" s="9"/>
      <c r="H253" s="9"/>
    </row>
    <row r="254" customFormat="false" ht="15" hidden="false" customHeight="true" outlineLevel="0" collapsed="false">
      <c r="A254" s="11"/>
      <c r="B254" s="9"/>
      <c r="C254" s="15" t="str">
        <f aca="false">IF($B254="","",IFERROR(INDEX(직원목록!$B$3:$B$302,MATCH($B254,직원목록!$A$3:$A$302,0)),"미등록사번"))</f>
        <v/>
      </c>
      <c r="D254" s="9"/>
      <c r="E254" s="15" t="str">
        <f aca="false">IF($D254="","",IFERROR(INDEX(교육과정!$B$3:$B$102,MATCH($D254,교육과정!$A$3:$A$102,0)),"미등록과정"))</f>
        <v/>
      </c>
      <c r="F254" s="13"/>
      <c r="G254" s="9"/>
      <c r="H254" s="9"/>
    </row>
    <row r="255" customFormat="false" ht="15" hidden="false" customHeight="true" outlineLevel="0" collapsed="false">
      <c r="A255" s="11"/>
      <c r="B255" s="9"/>
      <c r="C255" s="15" t="str">
        <f aca="false">IF($B255="","",IFERROR(INDEX(직원목록!$B$3:$B$302,MATCH($B255,직원목록!$A$3:$A$302,0)),"미등록사번"))</f>
        <v/>
      </c>
      <c r="D255" s="9"/>
      <c r="E255" s="15" t="str">
        <f aca="false">IF($D255="","",IFERROR(INDEX(교육과정!$B$3:$B$102,MATCH($D255,교육과정!$A$3:$A$102,0)),"미등록과정"))</f>
        <v/>
      </c>
      <c r="F255" s="13"/>
      <c r="G255" s="9"/>
      <c r="H255" s="9"/>
    </row>
    <row r="256" customFormat="false" ht="15" hidden="false" customHeight="true" outlineLevel="0" collapsed="false">
      <c r="A256" s="11"/>
      <c r="B256" s="9"/>
      <c r="C256" s="15" t="str">
        <f aca="false">IF($B256="","",IFERROR(INDEX(직원목록!$B$3:$B$302,MATCH($B256,직원목록!$A$3:$A$302,0)),"미등록사번"))</f>
        <v/>
      </c>
      <c r="D256" s="9"/>
      <c r="E256" s="15" t="str">
        <f aca="false">IF($D256="","",IFERROR(INDEX(교육과정!$B$3:$B$102,MATCH($D256,교육과정!$A$3:$A$102,0)),"미등록과정"))</f>
        <v/>
      </c>
      <c r="F256" s="13"/>
      <c r="G256" s="9"/>
      <c r="H256" s="9"/>
    </row>
    <row r="257" customFormat="false" ht="15" hidden="false" customHeight="true" outlineLevel="0" collapsed="false">
      <c r="A257" s="11"/>
      <c r="B257" s="9"/>
      <c r="C257" s="15" t="str">
        <f aca="false">IF($B257="","",IFERROR(INDEX(직원목록!$B$3:$B$302,MATCH($B257,직원목록!$A$3:$A$302,0)),"미등록사번"))</f>
        <v/>
      </c>
      <c r="D257" s="9"/>
      <c r="E257" s="15" t="str">
        <f aca="false">IF($D257="","",IFERROR(INDEX(교육과정!$B$3:$B$102,MATCH($D257,교육과정!$A$3:$A$102,0)),"미등록과정"))</f>
        <v/>
      </c>
      <c r="F257" s="13"/>
      <c r="G257" s="9"/>
      <c r="H257" s="9"/>
    </row>
    <row r="258" customFormat="false" ht="15" hidden="false" customHeight="true" outlineLevel="0" collapsed="false">
      <c r="A258" s="11"/>
      <c r="B258" s="9"/>
      <c r="C258" s="15" t="str">
        <f aca="false">IF($B258="","",IFERROR(INDEX(직원목록!$B$3:$B$302,MATCH($B258,직원목록!$A$3:$A$302,0)),"미등록사번"))</f>
        <v/>
      </c>
      <c r="D258" s="9"/>
      <c r="E258" s="15" t="str">
        <f aca="false">IF($D258="","",IFERROR(INDEX(교육과정!$B$3:$B$102,MATCH($D258,교육과정!$A$3:$A$102,0)),"미등록과정"))</f>
        <v/>
      </c>
      <c r="F258" s="13"/>
      <c r="G258" s="9"/>
      <c r="H258" s="9"/>
    </row>
    <row r="259" customFormat="false" ht="15" hidden="false" customHeight="true" outlineLevel="0" collapsed="false">
      <c r="A259" s="11"/>
      <c r="B259" s="9"/>
      <c r="C259" s="15" t="str">
        <f aca="false">IF($B259="","",IFERROR(INDEX(직원목록!$B$3:$B$302,MATCH($B259,직원목록!$A$3:$A$302,0)),"미등록사번"))</f>
        <v/>
      </c>
      <c r="D259" s="9"/>
      <c r="E259" s="15" t="str">
        <f aca="false">IF($D259="","",IFERROR(INDEX(교육과정!$B$3:$B$102,MATCH($D259,교육과정!$A$3:$A$102,0)),"미등록과정"))</f>
        <v/>
      </c>
      <c r="F259" s="13"/>
      <c r="G259" s="9"/>
      <c r="H259" s="9"/>
    </row>
    <row r="260" customFormat="false" ht="15" hidden="false" customHeight="true" outlineLevel="0" collapsed="false">
      <c r="A260" s="11"/>
      <c r="B260" s="9"/>
      <c r="C260" s="15" t="str">
        <f aca="false">IF($B260="","",IFERROR(INDEX(직원목록!$B$3:$B$302,MATCH($B260,직원목록!$A$3:$A$302,0)),"미등록사번"))</f>
        <v/>
      </c>
      <c r="D260" s="9"/>
      <c r="E260" s="15" t="str">
        <f aca="false">IF($D260="","",IFERROR(INDEX(교육과정!$B$3:$B$102,MATCH($D260,교육과정!$A$3:$A$102,0)),"미등록과정"))</f>
        <v/>
      </c>
      <c r="F260" s="13"/>
      <c r="G260" s="9"/>
      <c r="H260" s="9"/>
    </row>
    <row r="261" customFormat="false" ht="15" hidden="false" customHeight="true" outlineLevel="0" collapsed="false">
      <c r="A261" s="11"/>
      <c r="B261" s="9"/>
      <c r="C261" s="15" t="str">
        <f aca="false">IF($B261="","",IFERROR(INDEX(직원목록!$B$3:$B$302,MATCH($B261,직원목록!$A$3:$A$302,0)),"미등록사번"))</f>
        <v/>
      </c>
      <c r="D261" s="9"/>
      <c r="E261" s="15" t="str">
        <f aca="false">IF($D261="","",IFERROR(INDEX(교육과정!$B$3:$B$102,MATCH($D261,교육과정!$A$3:$A$102,0)),"미등록과정"))</f>
        <v/>
      </c>
      <c r="F261" s="13"/>
      <c r="G261" s="9"/>
      <c r="H261" s="9"/>
    </row>
    <row r="262" customFormat="false" ht="15" hidden="false" customHeight="true" outlineLevel="0" collapsed="false">
      <c r="A262" s="11"/>
      <c r="B262" s="9"/>
      <c r="C262" s="15" t="str">
        <f aca="false">IF($B262="","",IFERROR(INDEX(직원목록!$B$3:$B$302,MATCH($B262,직원목록!$A$3:$A$302,0)),"미등록사번"))</f>
        <v/>
      </c>
      <c r="D262" s="9"/>
      <c r="E262" s="15" t="str">
        <f aca="false">IF($D262="","",IFERROR(INDEX(교육과정!$B$3:$B$102,MATCH($D262,교육과정!$A$3:$A$102,0)),"미등록과정"))</f>
        <v/>
      </c>
      <c r="F262" s="13"/>
      <c r="G262" s="9"/>
      <c r="H262" s="9"/>
    </row>
    <row r="263" customFormat="false" ht="15" hidden="false" customHeight="true" outlineLevel="0" collapsed="false">
      <c r="A263" s="11"/>
      <c r="B263" s="9"/>
      <c r="C263" s="15" t="str">
        <f aca="false">IF($B263="","",IFERROR(INDEX(직원목록!$B$3:$B$302,MATCH($B263,직원목록!$A$3:$A$302,0)),"미등록사번"))</f>
        <v/>
      </c>
      <c r="D263" s="9"/>
      <c r="E263" s="15" t="str">
        <f aca="false">IF($D263="","",IFERROR(INDEX(교육과정!$B$3:$B$102,MATCH($D263,교육과정!$A$3:$A$102,0)),"미등록과정"))</f>
        <v/>
      </c>
      <c r="F263" s="13"/>
      <c r="G263" s="9"/>
      <c r="H263" s="9"/>
    </row>
    <row r="264" customFormat="false" ht="15" hidden="false" customHeight="true" outlineLevel="0" collapsed="false">
      <c r="A264" s="11"/>
      <c r="B264" s="9"/>
      <c r="C264" s="15" t="str">
        <f aca="false">IF($B264="","",IFERROR(INDEX(직원목록!$B$3:$B$302,MATCH($B264,직원목록!$A$3:$A$302,0)),"미등록사번"))</f>
        <v/>
      </c>
      <c r="D264" s="9"/>
      <c r="E264" s="15" t="str">
        <f aca="false">IF($D264="","",IFERROR(INDEX(교육과정!$B$3:$B$102,MATCH($D264,교육과정!$A$3:$A$102,0)),"미등록과정"))</f>
        <v/>
      </c>
      <c r="F264" s="13"/>
      <c r="G264" s="9"/>
      <c r="H264" s="9"/>
    </row>
    <row r="265" customFormat="false" ht="15" hidden="false" customHeight="true" outlineLevel="0" collapsed="false">
      <c r="A265" s="11"/>
      <c r="B265" s="9"/>
      <c r="C265" s="15" t="str">
        <f aca="false">IF($B265="","",IFERROR(INDEX(직원목록!$B$3:$B$302,MATCH($B265,직원목록!$A$3:$A$302,0)),"미등록사번"))</f>
        <v/>
      </c>
      <c r="D265" s="9"/>
      <c r="E265" s="15" t="str">
        <f aca="false">IF($D265="","",IFERROR(INDEX(교육과정!$B$3:$B$102,MATCH($D265,교육과정!$A$3:$A$102,0)),"미등록과정"))</f>
        <v/>
      </c>
      <c r="F265" s="13"/>
      <c r="G265" s="9"/>
      <c r="H265" s="9"/>
    </row>
    <row r="266" customFormat="false" ht="15" hidden="false" customHeight="true" outlineLevel="0" collapsed="false">
      <c r="A266" s="11"/>
      <c r="B266" s="9"/>
      <c r="C266" s="15" t="str">
        <f aca="false">IF($B266="","",IFERROR(INDEX(직원목록!$B$3:$B$302,MATCH($B266,직원목록!$A$3:$A$302,0)),"미등록사번"))</f>
        <v/>
      </c>
      <c r="D266" s="9"/>
      <c r="E266" s="15" t="str">
        <f aca="false">IF($D266="","",IFERROR(INDEX(교육과정!$B$3:$B$102,MATCH($D266,교육과정!$A$3:$A$102,0)),"미등록과정"))</f>
        <v/>
      </c>
      <c r="F266" s="13"/>
      <c r="G266" s="9"/>
      <c r="H266" s="9"/>
    </row>
    <row r="267" customFormat="false" ht="15" hidden="false" customHeight="true" outlineLevel="0" collapsed="false">
      <c r="A267" s="11"/>
      <c r="B267" s="9"/>
      <c r="C267" s="15" t="str">
        <f aca="false">IF($B267="","",IFERROR(INDEX(직원목록!$B$3:$B$302,MATCH($B267,직원목록!$A$3:$A$302,0)),"미등록사번"))</f>
        <v/>
      </c>
      <c r="D267" s="9"/>
      <c r="E267" s="15" t="str">
        <f aca="false">IF($D267="","",IFERROR(INDEX(교육과정!$B$3:$B$102,MATCH($D267,교육과정!$A$3:$A$102,0)),"미등록과정"))</f>
        <v/>
      </c>
      <c r="F267" s="13"/>
      <c r="G267" s="9"/>
      <c r="H267" s="9"/>
    </row>
    <row r="268" customFormat="false" ht="15" hidden="false" customHeight="true" outlineLevel="0" collapsed="false">
      <c r="A268" s="11"/>
      <c r="B268" s="9"/>
      <c r="C268" s="15" t="str">
        <f aca="false">IF($B268="","",IFERROR(INDEX(직원목록!$B$3:$B$302,MATCH($B268,직원목록!$A$3:$A$302,0)),"미등록사번"))</f>
        <v/>
      </c>
      <c r="D268" s="9"/>
      <c r="E268" s="15" t="str">
        <f aca="false">IF($D268="","",IFERROR(INDEX(교육과정!$B$3:$B$102,MATCH($D268,교육과정!$A$3:$A$102,0)),"미등록과정"))</f>
        <v/>
      </c>
      <c r="F268" s="13"/>
      <c r="G268" s="9"/>
      <c r="H268" s="9"/>
    </row>
    <row r="269" customFormat="false" ht="15" hidden="false" customHeight="true" outlineLevel="0" collapsed="false">
      <c r="A269" s="11"/>
      <c r="B269" s="9"/>
      <c r="C269" s="15" t="str">
        <f aca="false">IF($B269="","",IFERROR(INDEX(직원목록!$B$3:$B$302,MATCH($B269,직원목록!$A$3:$A$302,0)),"미등록사번"))</f>
        <v/>
      </c>
      <c r="D269" s="9"/>
      <c r="E269" s="15" t="str">
        <f aca="false">IF($D269="","",IFERROR(INDEX(교육과정!$B$3:$B$102,MATCH($D269,교육과정!$A$3:$A$102,0)),"미등록과정"))</f>
        <v/>
      </c>
      <c r="F269" s="13"/>
      <c r="G269" s="9"/>
      <c r="H269" s="9"/>
    </row>
    <row r="270" customFormat="false" ht="15" hidden="false" customHeight="true" outlineLevel="0" collapsed="false">
      <c r="A270" s="11"/>
      <c r="B270" s="9"/>
      <c r="C270" s="15" t="str">
        <f aca="false">IF($B270="","",IFERROR(INDEX(직원목록!$B$3:$B$302,MATCH($B270,직원목록!$A$3:$A$302,0)),"미등록사번"))</f>
        <v/>
      </c>
      <c r="D270" s="9"/>
      <c r="E270" s="15" t="str">
        <f aca="false">IF($D270="","",IFERROR(INDEX(교육과정!$B$3:$B$102,MATCH($D270,교육과정!$A$3:$A$102,0)),"미등록과정"))</f>
        <v/>
      </c>
      <c r="F270" s="13"/>
      <c r="G270" s="9"/>
      <c r="H270" s="9"/>
    </row>
    <row r="271" customFormat="false" ht="15" hidden="false" customHeight="true" outlineLevel="0" collapsed="false">
      <c r="A271" s="11"/>
      <c r="B271" s="9"/>
      <c r="C271" s="15" t="str">
        <f aca="false">IF($B271="","",IFERROR(INDEX(직원목록!$B$3:$B$302,MATCH($B271,직원목록!$A$3:$A$302,0)),"미등록사번"))</f>
        <v/>
      </c>
      <c r="D271" s="9"/>
      <c r="E271" s="15" t="str">
        <f aca="false">IF($D271="","",IFERROR(INDEX(교육과정!$B$3:$B$102,MATCH($D271,교육과정!$A$3:$A$102,0)),"미등록과정"))</f>
        <v/>
      </c>
      <c r="F271" s="13"/>
      <c r="G271" s="9"/>
      <c r="H271" s="9"/>
    </row>
    <row r="272" customFormat="false" ht="15" hidden="false" customHeight="true" outlineLevel="0" collapsed="false">
      <c r="A272" s="11"/>
      <c r="B272" s="9"/>
      <c r="C272" s="15" t="str">
        <f aca="false">IF($B272="","",IFERROR(INDEX(직원목록!$B$3:$B$302,MATCH($B272,직원목록!$A$3:$A$302,0)),"미등록사번"))</f>
        <v/>
      </c>
      <c r="D272" s="9"/>
      <c r="E272" s="15" t="str">
        <f aca="false">IF($D272="","",IFERROR(INDEX(교육과정!$B$3:$B$102,MATCH($D272,교육과정!$A$3:$A$102,0)),"미등록과정"))</f>
        <v/>
      </c>
      <c r="F272" s="13"/>
      <c r="G272" s="9"/>
      <c r="H272" s="9"/>
    </row>
    <row r="273" customFormat="false" ht="15" hidden="false" customHeight="true" outlineLevel="0" collapsed="false">
      <c r="A273" s="11"/>
      <c r="B273" s="9"/>
      <c r="C273" s="15" t="str">
        <f aca="false">IF($B273="","",IFERROR(INDEX(직원목록!$B$3:$B$302,MATCH($B273,직원목록!$A$3:$A$302,0)),"미등록사번"))</f>
        <v/>
      </c>
      <c r="D273" s="9"/>
      <c r="E273" s="15" t="str">
        <f aca="false">IF($D273="","",IFERROR(INDEX(교육과정!$B$3:$B$102,MATCH($D273,교육과정!$A$3:$A$102,0)),"미등록과정"))</f>
        <v/>
      </c>
      <c r="F273" s="13"/>
      <c r="G273" s="9"/>
      <c r="H273" s="9"/>
    </row>
    <row r="274" customFormat="false" ht="15" hidden="false" customHeight="true" outlineLevel="0" collapsed="false">
      <c r="A274" s="11"/>
      <c r="B274" s="9"/>
      <c r="C274" s="15" t="str">
        <f aca="false">IF($B274="","",IFERROR(INDEX(직원목록!$B$3:$B$302,MATCH($B274,직원목록!$A$3:$A$302,0)),"미등록사번"))</f>
        <v/>
      </c>
      <c r="D274" s="9"/>
      <c r="E274" s="15" t="str">
        <f aca="false">IF($D274="","",IFERROR(INDEX(교육과정!$B$3:$B$102,MATCH($D274,교육과정!$A$3:$A$102,0)),"미등록과정"))</f>
        <v/>
      </c>
      <c r="F274" s="13"/>
      <c r="G274" s="9"/>
      <c r="H274" s="9"/>
    </row>
    <row r="275" customFormat="false" ht="15" hidden="false" customHeight="true" outlineLevel="0" collapsed="false">
      <c r="A275" s="11"/>
      <c r="B275" s="9"/>
      <c r="C275" s="15" t="str">
        <f aca="false">IF($B275="","",IFERROR(INDEX(직원목록!$B$3:$B$302,MATCH($B275,직원목록!$A$3:$A$302,0)),"미등록사번"))</f>
        <v/>
      </c>
      <c r="D275" s="9"/>
      <c r="E275" s="15" t="str">
        <f aca="false">IF($D275="","",IFERROR(INDEX(교육과정!$B$3:$B$102,MATCH($D275,교육과정!$A$3:$A$102,0)),"미등록과정"))</f>
        <v/>
      </c>
      <c r="F275" s="13"/>
      <c r="G275" s="9"/>
      <c r="H275" s="9"/>
    </row>
    <row r="276" customFormat="false" ht="15" hidden="false" customHeight="true" outlineLevel="0" collapsed="false">
      <c r="A276" s="11"/>
      <c r="B276" s="9"/>
      <c r="C276" s="15" t="str">
        <f aca="false">IF($B276="","",IFERROR(INDEX(직원목록!$B$3:$B$302,MATCH($B276,직원목록!$A$3:$A$302,0)),"미등록사번"))</f>
        <v/>
      </c>
      <c r="D276" s="9"/>
      <c r="E276" s="15" t="str">
        <f aca="false">IF($D276="","",IFERROR(INDEX(교육과정!$B$3:$B$102,MATCH($D276,교육과정!$A$3:$A$102,0)),"미등록과정"))</f>
        <v/>
      </c>
      <c r="F276" s="13"/>
      <c r="G276" s="9"/>
      <c r="H276" s="9"/>
    </row>
    <row r="277" customFormat="false" ht="15" hidden="false" customHeight="true" outlineLevel="0" collapsed="false">
      <c r="A277" s="11"/>
      <c r="B277" s="9"/>
      <c r="C277" s="15" t="str">
        <f aca="false">IF($B277="","",IFERROR(INDEX(직원목록!$B$3:$B$302,MATCH($B277,직원목록!$A$3:$A$302,0)),"미등록사번"))</f>
        <v/>
      </c>
      <c r="D277" s="9"/>
      <c r="E277" s="15" t="str">
        <f aca="false">IF($D277="","",IFERROR(INDEX(교육과정!$B$3:$B$102,MATCH($D277,교육과정!$A$3:$A$102,0)),"미등록과정"))</f>
        <v/>
      </c>
      <c r="F277" s="13"/>
      <c r="G277" s="9"/>
      <c r="H277" s="9"/>
    </row>
    <row r="278" customFormat="false" ht="15" hidden="false" customHeight="true" outlineLevel="0" collapsed="false">
      <c r="A278" s="11"/>
      <c r="B278" s="9"/>
      <c r="C278" s="15" t="str">
        <f aca="false">IF($B278="","",IFERROR(INDEX(직원목록!$B$3:$B$302,MATCH($B278,직원목록!$A$3:$A$302,0)),"미등록사번"))</f>
        <v/>
      </c>
      <c r="D278" s="9"/>
      <c r="E278" s="15" t="str">
        <f aca="false">IF($D278="","",IFERROR(INDEX(교육과정!$B$3:$B$102,MATCH($D278,교육과정!$A$3:$A$102,0)),"미등록과정"))</f>
        <v/>
      </c>
      <c r="F278" s="13"/>
      <c r="G278" s="9"/>
      <c r="H278" s="9"/>
    </row>
    <row r="279" customFormat="false" ht="15" hidden="false" customHeight="true" outlineLevel="0" collapsed="false">
      <c r="A279" s="11"/>
      <c r="B279" s="9"/>
      <c r="C279" s="15" t="str">
        <f aca="false">IF($B279="","",IFERROR(INDEX(직원목록!$B$3:$B$302,MATCH($B279,직원목록!$A$3:$A$302,0)),"미등록사번"))</f>
        <v/>
      </c>
      <c r="D279" s="9"/>
      <c r="E279" s="15" t="str">
        <f aca="false">IF($D279="","",IFERROR(INDEX(교육과정!$B$3:$B$102,MATCH($D279,교육과정!$A$3:$A$102,0)),"미등록과정"))</f>
        <v/>
      </c>
      <c r="F279" s="13"/>
      <c r="G279" s="9"/>
      <c r="H279" s="9"/>
    </row>
    <row r="280" customFormat="false" ht="15" hidden="false" customHeight="true" outlineLevel="0" collapsed="false">
      <c r="A280" s="11"/>
      <c r="B280" s="9"/>
      <c r="C280" s="15" t="str">
        <f aca="false">IF($B280="","",IFERROR(INDEX(직원목록!$B$3:$B$302,MATCH($B280,직원목록!$A$3:$A$302,0)),"미등록사번"))</f>
        <v/>
      </c>
      <c r="D280" s="9"/>
      <c r="E280" s="15" t="str">
        <f aca="false">IF($D280="","",IFERROR(INDEX(교육과정!$B$3:$B$102,MATCH($D280,교육과정!$A$3:$A$102,0)),"미등록과정"))</f>
        <v/>
      </c>
      <c r="F280" s="13"/>
      <c r="G280" s="9"/>
      <c r="H280" s="9"/>
    </row>
    <row r="281" customFormat="false" ht="15" hidden="false" customHeight="true" outlineLevel="0" collapsed="false">
      <c r="A281" s="11"/>
      <c r="B281" s="9"/>
      <c r="C281" s="15" t="str">
        <f aca="false">IF($B281="","",IFERROR(INDEX(직원목록!$B$3:$B$302,MATCH($B281,직원목록!$A$3:$A$302,0)),"미등록사번"))</f>
        <v/>
      </c>
      <c r="D281" s="9"/>
      <c r="E281" s="15" t="str">
        <f aca="false">IF($D281="","",IFERROR(INDEX(교육과정!$B$3:$B$102,MATCH($D281,교육과정!$A$3:$A$102,0)),"미등록과정"))</f>
        <v/>
      </c>
      <c r="F281" s="13"/>
      <c r="G281" s="9"/>
      <c r="H281" s="9"/>
    </row>
    <row r="282" customFormat="false" ht="15" hidden="false" customHeight="true" outlineLevel="0" collapsed="false">
      <c r="A282" s="11"/>
      <c r="B282" s="9"/>
      <c r="C282" s="15" t="str">
        <f aca="false">IF($B282="","",IFERROR(INDEX(직원목록!$B$3:$B$302,MATCH($B282,직원목록!$A$3:$A$302,0)),"미등록사번"))</f>
        <v/>
      </c>
      <c r="D282" s="9"/>
      <c r="E282" s="15" t="str">
        <f aca="false">IF($D282="","",IFERROR(INDEX(교육과정!$B$3:$B$102,MATCH($D282,교육과정!$A$3:$A$102,0)),"미등록과정"))</f>
        <v/>
      </c>
      <c r="F282" s="13"/>
      <c r="G282" s="9"/>
      <c r="H282" s="9"/>
    </row>
    <row r="283" customFormat="false" ht="15" hidden="false" customHeight="true" outlineLevel="0" collapsed="false">
      <c r="A283" s="11"/>
      <c r="B283" s="9"/>
      <c r="C283" s="15" t="str">
        <f aca="false">IF($B283="","",IFERROR(INDEX(직원목록!$B$3:$B$302,MATCH($B283,직원목록!$A$3:$A$302,0)),"미등록사번"))</f>
        <v/>
      </c>
      <c r="D283" s="9"/>
      <c r="E283" s="15" t="str">
        <f aca="false">IF($D283="","",IFERROR(INDEX(교육과정!$B$3:$B$102,MATCH($D283,교육과정!$A$3:$A$102,0)),"미등록과정"))</f>
        <v/>
      </c>
      <c r="F283" s="13"/>
      <c r="G283" s="9"/>
      <c r="H283" s="9"/>
    </row>
    <row r="284" customFormat="false" ht="15" hidden="false" customHeight="true" outlineLevel="0" collapsed="false">
      <c r="A284" s="11"/>
      <c r="B284" s="9"/>
      <c r="C284" s="15" t="str">
        <f aca="false">IF($B284="","",IFERROR(INDEX(직원목록!$B$3:$B$302,MATCH($B284,직원목록!$A$3:$A$302,0)),"미등록사번"))</f>
        <v/>
      </c>
      <c r="D284" s="9"/>
      <c r="E284" s="15" t="str">
        <f aca="false">IF($D284="","",IFERROR(INDEX(교육과정!$B$3:$B$102,MATCH($D284,교육과정!$A$3:$A$102,0)),"미등록과정"))</f>
        <v/>
      </c>
      <c r="F284" s="13"/>
      <c r="G284" s="9"/>
      <c r="H284" s="9"/>
    </row>
    <row r="285" customFormat="false" ht="15" hidden="false" customHeight="true" outlineLevel="0" collapsed="false">
      <c r="A285" s="11"/>
      <c r="B285" s="9"/>
      <c r="C285" s="15" t="str">
        <f aca="false">IF($B285="","",IFERROR(INDEX(직원목록!$B$3:$B$302,MATCH($B285,직원목록!$A$3:$A$302,0)),"미등록사번"))</f>
        <v/>
      </c>
      <c r="D285" s="9"/>
      <c r="E285" s="15" t="str">
        <f aca="false">IF($D285="","",IFERROR(INDEX(교육과정!$B$3:$B$102,MATCH($D285,교육과정!$A$3:$A$102,0)),"미등록과정"))</f>
        <v/>
      </c>
      <c r="F285" s="13"/>
      <c r="G285" s="9"/>
      <c r="H285" s="9"/>
    </row>
    <row r="286" customFormat="false" ht="15" hidden="false" customHeight="true" outlineLevel="0" collapsed="false">
      <c r="A286" s="11"/>
      <c r="B286" s="9"/>
      <c r="C286" s="15" t="str">
        <f aca="false">IF($B286="","",IFERROR(INDEX(직원목록!$B$3:$B$302,MATCH($B286,직원목록!$A$3:$A$302,0)),"미등록사번"))</f>
        <v/>
      </c>
      <c r="D286" s="9"/>
      <c r="E286" s="15" t="str">
        <f aca="false">IF($D286="","",IFERROR(INDEX(교육과정!$B$3:$B$102,MATCH($D286,교육과정!$A$3:$A$102,0)),"미등록과정"))</f>
        <v/>
      </c>
      <c r="F286" s="13"/>
      <c r="G286" s="9"/>
      <c r="H286" s="9"/>
    </row>
    <row r="287" customFormat="false" ht="15" hidden="false" customHeight="true" outlineLevel="0" collapsed="false">
      <c r="A287" s="11"/>
      <c r="B287" s="9"/>
      <c r="C287" s="15" t="str">
        <f aca="false">IF($B287="","",IFERROR(INDEX(직원목록!$B$3:$B$302,MATCH($B287,직원목록!$A$3:$A$302,0)),"미등록사번"))</f>
        <v/>
      </c>
      <c r="D287" s="9"/>
      <c r="E287" s="15" t="str">
        <f aca="false">IF($D287="","",IFERROR(INDEX(교육과정!$B$3:$B$102,MATCH($D287,교육과정!$A$3:$A$102,0)),"미등록과정"))</f>
        <v/>
      </c>
      <c r="F287" s="13"/>
      <c r="G287" s="9"/>
      <c r="H287" s="9"/>
    </row>
    <row r="288" customFormat="false" ht="15" hidden="false" customHeight="true" outlineLevel="0" collapsed="false">
      <c r="A288" s="11"/>
      <c r="B288" s="9"/>
      <c r="C288" s="15" t="str">
        <f aca="false">IF($B288="","",IFERROR(INDEX(직원목록!$B$3:$B$302,MATCH($B288,직원목록!$A$3:$A$302,0)),"미등록사번"))</f>
        <v/>
      </c>
      <c r="D288" s="9"/>
      <c r="E288" s="15" t="str">
        <f aca="false">IF($D288="","",IFERROR(INDEX(교육과정!$B$3:$B$102,MATCH($D288,교육과정!$A$3:$A$102,0)),"미등록과정"))</f>
        <v/>
      </c>
      <c r="F288" s="13"/>
      <c r="G288" s="9"/>
      <c r="H288" s="9"/>
    </row>
    <row r="289" customFormat="false" ht="15" hidden="false" customHeight="true" outlineLevel="0" collapsed="false">
      <c r="A289" s="11"/>
      <c r="B289" s="9"/>
      <c r="C289" s="15" t="str">
        <f aca="false">IF($B289="","",IFERROR(INDEX(직원목록!$B$3:$B$302,MATCH($B289,직원목록!$A$3:$A$302,0)),"미등록사번"))</f>
        <v/>
      </c>
      <c r="D289" s="9"/>
      <c r="E289" s="15" t="str">
        <f aca="false">IF($D289="","",IFERROR(INDEX(교육과정!$B$3:$B$102,MATCH($D289,교육과정!$A$3:$A$102,0)),"미등록과정"))</f>
        <v/>
      </c>
      <c r="F289" s="13"/>
      <c r="G289" s="9"/>
      <c r="H289" s="9"/>
    </row>
    <row r="290" customFormat="false" ht="15" hidden="false" customHeight="true" outlineLevel="0" collapsed="false">
      <c r="A290" s="11"/>
      <c r="B290" s="9"/>
      <c r="C290" s="15" t="str">
        <f aca="false">IF($B290="","",IFERROR(INDEX(직원목록!$B$3:$B$302,MATCH($B290,직원목록!$A$3:$A$302,0)),"미등록사번"))</f>
        <v/>
      </c>
      <c r="D290" s="9"/>
      <c r="E290" s="15" t="str">
        <f aca="false">IF($D290="","",IFERROR(INDEX(교육과정!$B$3:$B$102,MATCH($D290,교육과정!$A$3:$A$102,0)),"미등록과정"))</f>
        <v/>
      </c>
      <c r="F290" s="13"/>
      <c r="G290" s="9"/>
      <c r="H290" s="9"/>
    </row>
    <row r="291" customFormat="false" ht="15" hidden="false" customHeight="true" outlineLevel="0" collapsed="false">
      <c r="A291" s="11"/>
      <c r="B291" s="9"/>
      <c r="C291" s="15" t="str">
        <f aca="false">IF($B291="","",IFERROR(INDEX(직원목록!$B$3:$B$302,MATCH($B291,직원목록!$A$3:$A$302,0)),"미등록사번"))</f>
        <v/>
      </c>
      <c r="D291" s="9"/>
      <c r="E291" s="15" t="str">
        <f aca="false">IF($D291="","",IFERROR(INDEX(교육과정!$B$3:$B$102,MATCH($D291,교육과정!$A$3:$A$102,0)),"미등록과정"))</f>
        <v/>
      </c>
      <c r="F291" s="13"/>
      <c r="G291" s="9"/>
      <c r="H291" s="9"/>
    </row>
    <row r="292" customFormat="false" ht="15" hidden="false" customHeight="true" outlineLevel="0" collapsed="false">
      <c r="A292" s="11"/>
      <c r="B292" s="9"/>
      <c r="C292" s="15" t="str">
        <f aca="false">IF($B292="","",IFERROR(INDEX(직원목록!$B$3:$B$302,MATCH($B292,직원목록!$A$3:$A$302,0)),"미등록사번"))</f>
        <v/>
      </c>
      <c r="D292" s="9"/>
      <c r="E292" s="15" t="str">
        <f aca="false">IF($D292="","",IFERROR(INDEX(교육과정!$B$3:$B$102,MATCH($D292,교육과정!$A$3:$A$102,0)),"미등록과정"))</f>
        <v/>
      </c>
      <c r="F292" s="13"/>
      <c r="G292" s="9"/>
      <c r="H292" s="9"/>
    </row>
    <row r="293" customFormat="false" ht="15" hidden="false" customHeight="true" outlineLevel="0" collapsed="false">
      <c r="A293" s="11"/>
      <c r="B293" s="9"/>
      <c r="C293" s="15" t="str">
        <f aca="false">IF($B293="","",IFERROR(INDEX(직원목록!$B$3:$B$302,MATCH($B293,직원목록!$A$3:$A$302,0)),"미등록사번"))</f>
        <v/>
      </c>
      <c r="D293" s="9"/>
      <c r="E293" s="15" t="str">
        <f aca="false">IF($D293="","",IFERROR(INDEX(교육과정!$B$3:$B$102,MATCH($D293,교육과정!$A$3:$A$102,0)),"미등록과정"))</f>
        <v/>
      </c>
      <c r="F293" s="13"/>
      <c r="G293" s="9"/>
      <c r="H293" s="9"/>
    </row>
    <row r="294" customFormat="false" ht="15" hidden="false" customHeight="true" outlineLevel="0" collapsed="false">
      <c r="A294" s="11"/>
      <c r="B294" s="9"/>
      <c r="C294" s="15" t="str">
        <f aca="false">IF($B294="","",IFERROR(INDEX(직원목록!$B$3:$B$302,MATCH($B294,직원목록!$A$3:$A$302,0)),"미등록사번"))</f>
        <v/>
      </c>
      <c r="D294" s="9"/>
      <c r="E294" s="15" t="str">
        <f aca="false">IF($D294="","",IFERROR(INDEX(교육과정!$B$3:$B$102,MATCH($D294,교육과정!$A$3:$A$102,0)),"미등록과정"))</f>
        <v/>
      </c>
      <c r="F294" s="13"/>
      <c r="G294" s="9"/>
      <c r="H294" s="9"/>
    </row>
    <row r="295" customFormat="false" ht="15" hidden="false" customHeight="true" outlineLevel="0" collapsed="false">
      <c r="A295" s="11"/>
      <c r="B295" s="9"/>
      <c r="C295" s="15" t="str">
        <f aca="false">IF($B295="","",IFERROR(INDEX(직원목록!$B$3:$B$302,MATCH($B295,직원목록!$A$3:$A$302,0)),"미등록사번"))</f>
        <v/>
      </c>
      <c r="D295" s="9"/>
      <c r="E295" s="15" t="str">
        <f aca="false">IF($D295="","",IFERROR(INDEX(교육과정!$B$3:$B$102,MATCH($D295,교육과정!$A$3:$A$102,0)),"미등록과정"))</f>
        <v/>
      </c>
      <c r="F295" s="13"/>
      <c r="G295" s="9"/>
      <c r="H295" s="9"/>
    </row>
    <row r="296" customFormat="false" ht="15" hidden="false" customHeight="true" outlineLevel="0" collapsed="false">
      <c r="A296" s="11"/>
      <c r="B296" s="9"/>
      <c r="C296" s="15" t="str">
        <f aca="false">IF($B296="","",IFERROR(INDEX(직원목록!$B$3:$B$302,MATCH($B296,직원목록!$A$3:$A$302,0)),"미등록사번"))</f>
        <v/>
      </c>
      <c r="D296" s="9"/>
      <c r="E296" s="15" t="str">
        <f aca="false">IF($D296="","",IFERROR(INDEX(교육과정!$B$3:$B$102,MATCH($D296,교육과정!$A$3:$A$102,0)),"미등록과정"))</f>
        <v/>
      </c>
      <c r="F296" s="13"/>
      <c r="G296" s="9"/>
      <c r="H296" s="9"/>
    </row>
    <row r="297" customFormat="false" ht="15" hidden="false" customHeight="true" outlineLevel="0" collapsed="false">
      <c r="A297" s="11"/>
      <c r="B297" s="9"/>
      <c r="C297" s="15" t="str">
        <f aca="false">IF($B297="","",IFERROR(INDEX(직원목록!$B$3:$B$302,MATCH($B297,직원목록!$A$3:$A$302,0)),"미등록사번"))</f>
        <v/>
      </c>
      <c r="D297" s="9"/>
      <c r="E297" s="15" t="str">
        <f aca="false">IF($D297="","",IFERROR(INDEX(교육과정!$B$3:$B$102,MATCH($D297,교육과정!$A$3:$A$102,0)),"미등록과정"))</f>
        <v/>
      </c>
      <c r="F297" s="13"/>
      <c r="G297" s="9"/>
      <c r="H297" s="9"/>
    </row>
    <row r="298" customFormat="false" ht="15" hidden="false" customHeight="true" outlineLevel="0" collapsed="false">
      <c r="A298" s="11"/>
      <c r="B298" s="9"/>
      <c r="C298" s="15" t="str">
        <f aca="false">IF($B298="","",IFERROR(INDEX(직원목록!$B$3:$B$302,MATCH($B298,직원목록!$A$3:$A$302,0)),"미등록사번"))</f>
        <v/>
      </c>
      <c r="D298" s="9"/>
      <c r="E298" s="15" t="str">
        <f aca="false">IF($D298="","",IFERROR(INDEX(교육과정!$B$3:$B$102,MATCH($D298,교육과정!$A$3:$A$102,0)),"미등록과정"))</f>
        <v/>
      </c>
      <c r="F298" s="13"/>
      <c r="G298" s="9"/>
      <c r="H298" s="9"/>
    </row>
    <row r="299" customFormat="false" ht="15" hidden="false" customHeight="true" outlineLevel="0" collapsed="false">
      <c r="A299" s="11"/>
      <c r="B299" s="9"/>
      <c r="C299" s="15" t="str">
        <f aca="false">IF($B299="","",IFERROR(INDEX(직원목록!$B$3:$B$302,MATCH($B299,직원목록!$A$3:$A$302,0)),"미등록사번"))</f>
        <v/>
      </c>
      <c r="D299" s="9"/>
      <c r="E299" s="15" t="str">
        <f aca="false">IF($D299="","",IFERROR(INDEX(교육과정!$B$3:$B$102,MATCH($D299,교육과정!$A$3:$A$102,0)),"미등록과정"))</f>
        <v/>
      </c>
      <c r="F299" s="13"/>
      <c r="G299" s="9"/>
      <c r="H299" s="9"/>
    </row>
    <row r="300" customFormat="false" ht="15" hidden="false" customHeight="true" outlineLevel="0" collapsed="false">
      <c r="A300" s="11"/>
      <c r="B300" s="9"/>
      <c r="C300" s="15" t="str">
        <f aca="false">IF($B300="","",IFERROR(INDEX(직원목록!$B$3:$B$302,MATCH($B300,직원목록!$A$3:$A$302,0)),"미등록사번"))</f>
        <v/>
      </c>
      <c r="D300" s="9"/>
      <c r="E300" s="15" t="str">
        <f aca="false">IF($D300="","",IFERROR(INDEX(교육과정!$B$3:$B$102,MATCH($D300,교육과정!$A$3:$A$102,0)),"미등록과정"))</f>
        <v/>
      </c>
      <c r="F300" s="13"/>
      <c r="G300" s="9"/>
      <c r="H300" s="9"/>
    </row>
    <row r="301" customFormat="false" ht="15" hidden="false" customHeight="true" outlineLevel="0" collapsed="false">
      <c r="A301" s="11"/>
      <c r="B301" s="9"/>
      <c r="C301" s="15" t="str">
        <f aca="false">IF($B301="","",IFERROR(INDEX(직원목록!$B$3:$B$302,MATCH($B301,직원목록!$A$3:$A$302,0)),"미등록사번"))</f>
        <v/>
      </c>
      <c r="D301" s="9"/>
      <c r="E301" s="15" t="str">
        <f aca="false">IF($D301="","",IFERROR(INDEX(교육과정!$B$3:$B$102,MATCH($D301,교육과정!$A$3:$A$102,0)),"미등록과정"))</f>
        <v/>
      </c>
      <c r="F301" s="13"/>
      <c r="G301" s="9"/>
      <c r="H301" s="9"/>
    </row>
    <row r="302" customFormat="false" ht="15" hidden="false" customHeight="true" outlineLevel="0" collapsed="false">
      <c r="A302" s="11"/>
      <c r="B302" s="9"/>
      <c r="C302" s="15" t="str">
        <f aca="false">IF($B302="","",IFERROR(INDEX(직원목록!$B$3:$B$302,MATCH($B302,직원목록!$A$3:$A$302,0)),"미등록사번"))</f>
        <v/>
      </c>
      <c r="D302" s="9"/>
      <c r="E302" s="15" t="str">
        <f aca="false">IF($D302="","",IFERROR(INDEX(교육과정!$B$3:$B$102,MATCH($D302,교육과정!$A$3:$A$102,0)),"미등록과정"))</f>
        <v/>
      </c>
      <c r="F302" s="13"/>
      <c r="G302" s="9"/>
      <c r="H302" s="9"/>
    </row>
    <row r="303" customFormat="false" ht="15" hidden="false" customHeight="true" outlineLevel="0" collapsed="false">
      <c r="A303" s="11"/>
      <c r="B303" s="9"/>
      <c r="C303" s="15" t="str">
        <f aca="false">IF($B303="","",IFERROR(INDEX(직원목록!$B$3:$B$302,MATCH($B303,직원목록!$A$3:$A$302,0)),"미등록사번"))</f>
        <v/>
      </c>
      <c r="D303" s="9"/>
      <c r="E303" s="15" t="str">
        <f aca="false">IF($D303="","",IFERROR(INDEX(교육과정!$B$3:$B$102,MATCH($D303,교육과정!$A$3:$A$102,0)),"미등록과정"))</f>
        <v/>
      </c>
      <c r="F303" s="13"/>
      <c r="G303" s="9"/>
      <c r="H303" s="9"/>
    </row>
    <row r="304" customFormat="false" ht="15" hidden="false" customHeight="true" outlineLevel="0" collapsed="false">
      <c r="A304" s="11"/>
      <c r="B304" s="9"/>
      <c r="C304" s="15" t="str">
        <f aca="false">IF($B304="","",IFERROR(INDEX(직원목록!$B$3:$B$302,MATCH($B304,직원목록!$A$3:$A$302,0)),"미등록사번"))</f>
        <v/>
      </c>
      <c r="D304" s="9"/>
      <c r="E304" s="15" t="str">
        <f aca="false">IF($D304="","",IFERROR(INDEX(교육과정!$B$3:$B$102,MATCH($D304,교육과정!$A$3:$A$102,0)),"미등록과정"))</f>
        <v/>
      </c>
      <c r="F304" s="13"/>
      <c r="G304" s="9"/>
      <c r="H304" s="9"/>
    </row>
    <row r="305" customFormat="false" ht="15" hidden="false" customHeight="true" outlineLevel="0" collapsed="false">
      <c r="A305" s="11"/>
      <c r="B305" s="9"/>
      <c r="C305" s="15" t="str">
        <f aca="false">IF($B305="","",IFERROR(INDEX(직원목록!$B$3:$B$302,MATCH($B305,직원목록!$A$3:$A$302,0)),"미등록사번"))</f>
        <v/>
      </c>
      <c r="D305" s="9"/>
      <c r="E305" s="15" t="str">
        <f aca="false">IF($D305="","",IFERROR(INDEX(교육과정!$B$3:$B$102,MATCH($D305,교육과정!$A$3:$A$102,0)),"미등록과정"))</f>
        <v/>
      </c>
      <c r="F305" s="13"/>
      <c r="G305" s="9"/>
      <c r="H305" s="9"/>
    </row>
    <row r="306" customFormat="false" ht="15" hidden="false" customHeight="true" outlineLevel="0" collapsed="false">
      <c r="A306" s="11"/>
      <c r="B306" s="9"/>
      <c r="C306" s="15" t="str">
        <f aca="false">IF($B306="","",IFERROR(INDEX(직원목록!$B$3:$B$302,MATCH($B306,직원목록!$A$3:$A$302,0)),"미등록사번"))</f>
        <v/>
      </c>
      <c r="D306" s="9"/>
      <c r="E306" s="15" t="str">
        <f aca="false">IF($D306="","",IFERROR(INDEX(교육과정!$B$3:$B$102,MATCH($D306,교육과정!$A$3:$A$102,0)),"미등록과정"))</f>
        <v/>
      </c>
      <c r="F306" s="13"/>
      <c r="G306" s="9"/>
      <c r="H306" s="9"/>
    </row>
    <row r="307" customFormat="false" ht="15" hidden="false" customHeight="true" outlineLevel="0" collapsed="false">
      <c r="A307" s="11"/>
      <c r="B307" s="9"/>
      <c r="C307" s="15" t="str">
        <f aca="false">IF($B307="","",IFERROR(INDEX(직원목록!$B$3:$B$302,MATCH($B307,직원목록!$A$3:$A$302,0)),"미등록사번"))</f>
        <v/>
      </c>
      <c r="D307" s="9"/>
      <c r="E307" s="15" t="str">
        <f aca="false">IF($D307="","",IFERROR(INDEX(교육과정!$B$3:$B$102,MATCH($D307,교육과정!$A$3:$A$102,0)),"미등록과정"))</f>
        <v/>
      </c>
      <c r="F307" s="13"/>
      <c r="G307" s="9"/>
      <c r="H307" s="9"/>
    </row>
    <row r="308" customFormat="false" ht="15" hidden="false" customHeight="true" outlineLevel="0" collapsed="false">
      <c r="A308" s="11"/>
      <c r="B308" s="9"/>
      <c r="C308" s="15" t="str">
        <f aca="false">IF($B308="","",IFERROR(INDEX(직원목록!$B$3:$B$302,MATCH($B308,직원목록!$A$3:$A$302,0)),"미등록사번"))</f>
        <v/>
      </c>
      <c r="D308" s="9"/>
      <c r="E308" s="15" t="str">
        <f aca="false">IF($D308="","",IFERROR(INDEX(교육과정!$B$3:$B$102,MATCH($D308,교육과정!$A$3:$A$102,0)),"미등록과정"))</f>
        <v/>
      </c>
      <c r="F308" s="13"/>
      <c r="G308" s="9"/>
      <c r="H308" s="9"/>
    </row>
    <row r="309" customFormat="false" ht="15" hidden="false" customHeight="true" outlineLevel="0" collapsed="false">
      <c r="A309" s="11"/>
      <c r="B309" s="9"/>
      <c r="C309" s="15" t="str">
        <f aca="false">IF($B309="","",IFERROR(INDEX(직원목록!$B$3:$B$302,MATCH($B309,직원목록!$A$3:$A$302,0)),"미등록사번"))</f>
        <v/>
      </c>
      <c r="D309" s="9"/>
      <c r="E309" s="15" t="str">
        <f aca="false">IF($D309="","",IFERROR(INDEX(교육과정!$B$3:$B$102,MATCH($D309,교육과정!$A$3:$A$102,0)),"미등록과정"))</f>
        <v/>
      </c>
      <c r="F309" s="13"/>
      <c r="G309" s="9"/>
      <c r="H309" s="9"/>
    </row>
    <row r="310" customFormat="false" ht="15" hidden="false" customHeight="true" outlineLevel="0" collapsed="false">
      <c r="A310" s="11"/>
      <c r="B310" s="9"/>
      <c r="C310" s="15" t="str">
        <f aca="false">IF($B310="","",IFERROR(INDEX(직원목록!$B$3:$B$302,MATCH($B310,직원목록!$A$3:$A$302,0)),"미등록사번"))</f>
        <v/>
      </c>
      <c r="D310" s="9"/>
      <c r="E310" s="15" t="str">
        <f aca="false">IF($D310="","",IFERROR(INDEX(교육과정!$B$3:$B$102,MATCH($D310,교육과정!$A$3:$A$102,0)),"미등록과정"))</f>
        <v/>
      </c>
      <c r="F310" s="13"/>
      <c r="G310" s="9"/>
      <c r="H310" s="9"/>
    </row>
    <row r="311" customFormat="false" ht="15" hidden="false" customHeight="true" outlineLevel="0" collapsed="false">
      <c r="A311" s="11"/>
      <c r="B311" s="9"/>
      <c r="C311" s="15" t="str">
        <f aca="false">IF($B311="","",IFERROR(INDEX(직원목록!$B$3:$B$302,MATCH($B311,직원목록!$A$3:$A$302,0)),"미등록사번"))</f>
        <v/>
      </c>
      <c r="D311" s="9"/>
      <c r="E311" s="15" t="str">
        <f aca="false">IF($D311="","",IFERROR(INDEX(교육과정!$B$3:$B$102,MATCH($D311,교육과정!$A$3:$A$102,0)),"미등록과정"))</f>
        <v/>
      </c>
      <c r="F311" s="13"/>
      <c r="G311" s="9"/>
      <c r="H311" s="9"/>
    </row>
    <row r="312" customFormat="false" ht="15" hidden="false" customHeight="true" outlineLevel="0" collapsed="false">
      <c r="A312" s="11"/>
      <c r="B312" s="9"/>
      <c r="C312" s="15" t="str">
        <f aca="false">IF($B312="","",IFERROR(INDEX(직원목록!$B$3:$B$302,MATCH($B312,직원목록!$A$3:$A$302,0)),"미등록사번"))</f>
        <v/>
      </c>
      <c r="D312" s="9"/>
      <c r="E312" s="15" t="str">
        <f aca="false">IF($D312="","",IFERROR(INDEX(교육과정!$B$3:$B$102,MATCH($D312,교육과정!$A$3:$A$102,0)),"미등록과정"))</f>
        <v/>
      </c>
      <c r="F312" s="13"/>
      <c r="G312" s="9"/>
      <c r="H312" s="9"/>
    </row>
    <row r="313" customFormat="false" ht="15" hidden="false" customHeight="true" outlineLevel="0" collapsed="false">
      <c r="A313" s="11"/>
      <c r="B313" s="9"/>
      <c r="C313" s="15" t="str">
        <f aca="false">IF($B313="","",IFERROR(INDEX(직원목록!$B$3:$B$302,MATCH($B313,직원목록!$A$3:$A$302,0)),"미등록사번"))</f>
        <v/>
      </c>
      <c r="D313" s="9"/>
      <c r="E313" s="15" t="str">
        <f aca="false">IF($D313="","",IFERROR(INDEX(교육과정!$B$3:$B$102,MATCH($D313,교육과정!$A$3:$A$102,0)),"미등록과정"))</f>
        <v/>
      </c>
      <c r="F313" s="13"/>
      <c r="G313" s="9"/>
      <c r="H313" s="9"/>
    </row>
    <row r="314" customFormat="false" ht="15" hidden="false" customHeight="true" outlineLevel="0" collapsed="false">
      <c r="A314" s="11"/>
      <c r="B314" s="9"/>
      <c r="C314" s="15" t="str">
        <f aca="false">IF($B314="","",IFERROR(INDEX(직원목록!$B$3:$B$302,MATCH($B314,직원목록!$A$3:$A$302,0)),"미등록사번"))</f>
        <v/>
      </c>
      <c r="D314" s="9"/>
      <c r="E314" s="15" t="str">
        <f aca="false">IF($D314="","",IFERROR(INDEX(교육과정!$B$3:$B$102,MATCH($D314,교육과정!$A$3:$A$102,0)),"미등록과정"))</f>
        <v/>
      </c>
      <c r="F314" s="13"/>
      <c r="G314" s="9"/>
      <c r="H314" s="9"/>
    </row>
    <row r="315" customFormat="false" ht="15" hidden="false" customHeight="true" outlineLevel="0" collapsed="false">
      <c r="A315" s="11"/>
      <c r="B315" s="9"/>
      <c r="C315" s="15" t="str">
        <f aca="false">IF($B315="","",IFERROR(INDEX(직원목록!$B$3:$B$302,MATCH($B315,직원목록!$A$3:$A$302,0)),"미등록사번"))</f>
        <v/>
      </c>
      <c r="D315" s="9"/>
      <c r="E315" s="15" t="str">
        <f aca="false">IF($D315="","",IFERROR(INDEX(교육과정!$B$3:$B$102,MATCH($D315,교육과정!$A$3:$A$102,0)),"미등록과정"))</f>
        <v/>
      </c>
      <c r="F315" s="13"/>
      <c r="G315" s="9"/>
      <c r="H315" s="9"/>
    </row>
    <row r="316" customFormat="false" ht="15" hidden="false" customHeight="true" outlineLevel="0" collapsed="false">
      <c r="A316" s="11"/>
      <c r="B316" s="9"/>
      <c r="C316" s="15" t="str">
        <f aca="false">IF($B316="","",IFERROR(INDEX(직원목록!$B$3:$B$302,MATCH($B316,직원목록!$A$3:$A$302,0)),"미등록사번"))</f>
        <v/>
      </c>
      <c r="D316" s="9"/>
      <c r="E316" s="15" t="str">
        <f aca="false">IF($D316="","",IFERROR(INDEX(교육과정!$B$3:$B$102,MATCH($D316,교육과정!$A$3:$A$102,0)),"미등록과정"))</f>
        <v/>
      </c>
      <c r="F316" s="13"/>
      <c r="G316" s="9"/>
      <c r="H316" s="9"/>
    </row>
    <row r="317" customFormat="false" ht="15" hidden="false" customHeight="true" outlineLevel="0" collapsed="false">
      <c r="A317" s="11"/>
      <c r="B317" s="9"/>
      <c r="C317" s="15" t="str">
        <f aca="false">IF($B317="","",IFERROR(INDEX(직원목록!$B$3:$B$302,MATCH($B317,직원목록!$A$3:$A$302,0)),"미등록사번"))</f>
        <v/>
      </c>
      <c r="D317" s="9"/>
      <c r="E317" s="15" t="str">
        <f aca="false">IF($D317="","",IFERROR(INDEX(교육과정!$B$3:$B$102,MATCH($D317,교육과정!$A$3:$A$102,0)),"미등록과정"))</f>
        <v/>
      </c>
      <c r="F317" s="13"/>
      <c r="G317" s="9"/>
      <c r="H317" s="9"/>
    </row>
    <row r="318" customFormat="false" ht="15" hidden="false" customHeight="true" outlineLevel="0" collapsed="false">
      <c r="A318" s="11"/>
      <c r="B318" s="9"/>
      <c r="C318" s="15" t="str">
        <f aca="false">IF($B318="","",IFERROR(INDEX(직원목록!$B$3:$B$302,MATCH($B318,직원목록!$A$3:$A$302,0)),"미등록사번"))</f>
        <v/>
      </c>
      <c r="D318" s="9"/>
      <c r="E318" s="15" t="str">
        <f aca="false">IF($D318="","",IFERROR(INDEX(교육과정!$B$3:$B$102,MATCH($D318,교육과정!$A$3:$A$102,0)),"미등록과정"))</f>
        <v/>
      </c>
      <c r="F318" s="13"/>
      <c r="G318" s="9"/>
      <c r="H318" s="9"/>
    </row>
    <row r="319" customFormat="false" ht="15" hidden="false" customHeight="true" outlineLevel="0" collapsed="false">
      <c r="A319" s="11"/>
      <c r="B319" s="9"/>
      <c r="C319" s="15" t="str">
        <f aca="false">IF($B319="","",IFERROR(INDEX(직원목록!$B$3:$B$302,MATCH($B319,직원목록!$A$3:$A$302,0)),"미등록사번"))</f>
        <v/>
      </c>
      <c r="D319" s="9"/>
      <c r="E319" s="15" t="str">
        <f aca="false">IF($D319="","",IFERROR(INDEX(교육과정!$B$3:$B$102,MATCH($D319,교육과정!$A$3:$A$102,0)),"미등록과정"))</f>
        <v/>
      </c>
      <c r="F319" s="13"/>
      <c r="G319" s="9"/>
      <c r="H319" s="9"/>
    </row>
    <row r="320" customFormat="false" ht="15" hidden="false" customHeight="true" outlineLevel="0" collapsed="false">
      <c r="A320" s="11"/>
      <c r="B320" s="9"/>
      <c r="C320" s="15" t="str">
        <f aca="false">IF($B320="","",IFERROR(INDEX(직원목록!$B$3:$B$302,MATCH($B320,직원목록!$A$3:$A$302,0)),"미등록사번"))</f>
        <v/>
      </c>
      <c r="D320" s="9"/>
      <c r="E320" s="15" t="str">
        <f aca="false">IF($D320="","",IFERROR(INDEX(교육과정!$B$3:$B$102,MATCH($D320,교육과정!$A$3:$A$102,0)),"미등록과정"))</f>
        <v/>
      </c>
      <c r="F320" s="13"/>
      <c r="G320" s="9"/>
      <c r="H320" s="9"/>
    </row>
    <row r="321" customFormat="false" ht="15" hidden="false" customHeight="true" outlineLevel="0" collapsed="false">
      <c r="A321" s="11"/>
      <c r="B321" s="9"/>
      <c r="C321" s="15" t="str">
        <f aca="false">IF($B321="","",IFERROR(INDEX(직원목록!$B$3:$B$302,MATCH($B321,직원목록!$A$3:$A$302,0)),"미등록사번"))</f>
        <v/>
      </c>
      <c r="D321" s="9"/>
      <c r="E321" s="15" t="str">
        <f aca="false">IF($D321="","",IFERROR(INDEX(교육과정!$B$3:$B$102,MATCH($D321,교육과정!$A$3:$A$102,0)),"미등록과정"))</f>
        <v/>
      </c>
      <c r="F321" s="13"/>
      <c r="G321" s="9"/>
      <c r="H321" s="9"/>
    </row>
    <row r="322" customFormat="false" ht="15" hidden="false" customHeight="true" outlineLevel="0" collapsed="false">
      <c r="A322" s="11"/>
      <c r="B322" s="9"/>
      <c r="C322" s="15" t="str">
        <f aca="false">IF($B322="","",IFERROR(INDEX(직원목록!$B$3:$B$302,MATCH($B322,직원목록!$A$3:$A$302,0)),"미등록사번"))</f>
        <v/>
      </c>
      <c r="D322" s="9"/>
      <c r="E322" s="15" t="str">
        <f aca="false">IF($D322="","",IFERROR(INDEX(교육과정!$B$3:$B$102,MATCH($D322,교육과정!$A$3:$A$102,0)),"미등록과정"))</f>
        <v/>
      </c>
      <c r="F322" s="13"/>
      <c r="G322" s="9"/>
      <c r="H322" s="9"/>
    </row>
    <row r="323" customFormat="false" ht="15" hidden="false" customHeight="true" outlineLevel="0" collapsed="false">
      <c r="A323" s="11"/>
      <c r="B323" s="9"/>
      <c r="C323" s="15" t="str">
        <f aca="false">IF($B323="","",IFERROR(INDEX(직원목록!$B$3:$B$302,MATCH($B323,직원목록!$A$3:$A$302,0)),"미등록사번"))</f>
        <v/>
      </c>
      <c r="D323" s="9"/>
      <c r="E323" s="15" t="str">
        <f aca="false">IF($D323="","",IFERROR(INDEX(교육과정!$B$3:$B$102,MATCH($D323,교육과정!$A$3:$A$102,0)),"미등록과정"))</f>
        <v/>
      </c>
      <c r="F323" s="13"/>
      <c r="G323" s="9"/>
      <c r="H323" s="9"/>
    </row>
    <row r="324" customFormat="false" ht="15" hidden="false" customHeight="true" outlineLevel="0" collapsed="false">
      <c r="A324" s="11"/>
      <c r="B324" s="9"/>
      <c r="C324" s="15" t="str">
        <f aca="false">IF($B324="","",IFERROR(INDEX(직원목록!$B$3:$B$302,MATCH($B324,직원목록!$A$3:$A$302,0)),"미등록사번"))</f>
        <v/>
      </c>
      <c r="D324" s="9"/>
      <c r="E324" s="15" t="str">
        <f aca="false">IF($D324="","",IFERROR(INDEX(교육과정!$B$3:$B$102,MATCH($D324,교육과정!$A$3:$A$102,0)),"미등록과정"))</f>
        <v/>
      </c>
      <c r="F324" s="13"/>
      <c r="G324" s="9"/>
      <c r="H324" s="9"/>
    </row>
    <row r="325" customFormat="false" ht="15" hidden="false" customHeight="true" outlineLevel="0" collapsed="false">
      <c r="A325" s="11"/>
      <c r="B325" s="9"/>
      <c r="C325" s="15" t="str">
        <f aca="false">IF($B325="","",IFERROR(INDEX(직원목록!$B$3:$B$302,MATCH($B325,직원목록!$A$3:$A$302,0)),"미등록사번"))</f>
        <v/>
      </c>
      <c r="D325" s="9"/>
      <c r="E325" s="15" t="str">
        <f aca="false">IF($D325="","",IFERROR(INDEX(교육과정!$B$3:$B$102,MATCH($D325,교육과정!$A$3:$A$102,0)),"미등록과정"))</f>
        <v/>
      </c>
      <c r="F325" s="13"/>
      <c r="G325" s="9"/>
      <c r="H325" s="9"/>
    </row>
    <row r="326" customFormat="false" ht="15" hidden="false" customHeight="true" outlineLevel="0" collapsed="false">
      <c r="A326" s="11"/>
      <c r="B326" s="9"/>
      <c r="C326" s="15" t="str">
        <f aca="false">IF($B326="","",IFERROR(INDEX(직원목록!$B$3:$B$302,MATCH($B326,직원목록!$A$3:$A$302,0)),"미등록사번"))</f>
        <v/>
      </c>
      <c r="D326" s="9"/>
      <c r="E326" s="15" t="str">
        <f aca="false">IF($D326="","",IFERROR(INDEX(교육과정!$B$3:$B$102,MATCH($D326,교육과정!$A$3:$A$102,0)),"미등록과정"))</f>
        <v/>
      </c>
      <c r="F326" s="13"/>
      <c r="G326" s="9"/>
      <c r="H326" s="9"/>
    </row>
    <row r="327" customFormat="false" ht="15" hidden="false" customHeight="true" outlineLevel="0" collapsed="false">
      <c r="A327" s="11"/>
      <c r="B327" s="9"/>
      <c r="C327" s="15" t="str">
        <f aca="false">IF($B327="","",IFERROR(INDEX(직원목록!$B$3:$B$302,MATCH($B327,직원목록!$A$3:$A$302,0)),"미등록사번"))</f>
        <v/>
      </c>
      <c r="D327" s="9"/>
      <c r="E327" s="15" t="str">
        <f aca="false">IF($D327="","",IFERROR(INDEX(교육과정!$B$3:$B$102,MATCH($D327,교육과정!$A$3:$A$102,0)),"미등록과정"))</f>
        <v/>
      </c>
      <c r="F327" s="13"/>
      <c r="G327" s="9"/>
      <c r="H327" s="9"/>
    </row>
    <row r="328" customFormat="false" ht="15" hidden="false" customHeight="true" outlineLevel="0" collapsed="false">
      <c r="A328" s="11"/>
      <c r="B328" s="9"/>
      <c r="C328" s="15" t="str">
        <f aca="false">IF($B328="","",IFERROR(INDEX(직원목록!$B$3:$B$302,MATCH($B328,직원목록!$A$3:$A$302,0)),"미등록사번"))</f>
        <v/>
      </c>
      <c r="D328" s="9"/>
      <c r="E328" s="15" t="str">
        <f aca="false">IF($D328="","",IFERROR(INDEX(교육과정!$B$3:$B$102,MATCH($D328,교육과정!$A$3:$A$102,0)),"미등록과정"))</f>
        <v/>
      </c>
      <c r="F328" s="13"/>
      <c r="G328" s="9"/>
      <c r="H328" s="9"/>
    </row>
    <row r="329" customFormat="false" ht="15" hidden="false" customHeight="true" outlineLevel="0" collapsed="false">
      <c r="A329" s="11"/>
      <c r="B329" s="9"/>
      <c r="C329" s="15" t="str">
        <f aca="false">IF($B329="","",IFERROR(INDEX(직원목록!$B$3:$B$302,MATCH($B329,직원목록!$A$3:$A$302,0)),"미등록사번"))</f>
        <v/>
      </c>
      <c r="D329" s="9"/>
      <c r="E329" s="15" t="str">
        <f aca="false">IF($D329="","",IFERROR(INDEX(교육과정!$B$3:$B$102,MATCH($D329,교육과정!$A$3:$A$102,0)),"미등록과정"))</f>
        <v/>
      </c>
      <c r="F329" s="13"/>
      <c r="G329" s="9"/>
      <c r="H329" s="9"/>
    </row>
    <row r="330" customFormat="false" ht="15" hidden="false" customHeight="true" outlineLevel="0" collapsed="false">
      <c r="A330" s="11"/>
      <c r="B330" s="9"/>
      <c r="C330" s="15" t="str">
        <f aca="false">IF($B330="","",IFERROR(INDEX(직원목록!$B$3:$B$302,MATCH($B330,직원목록!$A$3:$A$302,0)),"미등록사번"))</f>
        <v/>
      </c>
      <c r="D330" s="9"/>
      <c r="E330" s="15" t="str">
        <f aca="false">IF($D330="","",IFERROR(INDEX(교육과정!$B$3:$B$102,MATCH($D330,교육과정!$A$3:$A$102,0)),"미등록과정"))</f>
        <v/>
      </c>
      <c r="F330" s="13"/>
      <c r="G330" s="9"/>
      <c r="H330" s="9"/>
    </row>
    <row r="331" customFormat="false" ht="15" hidden="false" customHeight="true" outlineLevel="0" collapsed="false">
      <c r="A331" s="11"/>
      <c r="B331" s="9"/>
      <c r="C331" s="15" t="str">
        <f aca="false">IF($B331="","",IFERROR(INDEX(직원목록!$B$3:$B$302,MATCH($B331,직원목록!$A$3:$A$302,0)),"미등록사번"))</f>
        <v/>
      </c>
      <c r="D331" s="9"/>
      <c r="E331" s="15" t="str">
        <f aca="false">IF($D331="","",IFERROR(INDEX(교육과정!$B$3:$B$102,MATCH($D331,교육과정!$A$3:$A$102,0)),"미등록과정"))</f>
        <v/>
      </c>
      <c r="F331" s="13"/>
      <c r="G331" s="9"/>
      <c r="H331" s="9"/>
    </row>
    <row r="332" customFormat="false" ht="15" hidden="false" customHeight="true" outlineLevel="0" collapsed="false">
      <c r="A332" s="11"/>
      <c r="B332" s="9"/>
      <c r="C332" s="15" t="str">
        <f aca="false">IF($B332="","",IFERROR(INDEX(직원목록!$B$3:$B$302,MATCH($B332,직원목록!$A$3:$A$302,0)),"미등록사번"))</f>
        <v/>
      </c>
      <c r="D332" s="9"/>
      <c r="E332" s="15" t="str">
        <f aca="false">IF($D332="","",IFERROR(INDEX(교육과정!$B$3:$B$102,MATCH($D332,교육과정!$A$3:$A$102,0)),"미등록과정"))</f>
        <v/>
      </c>
      <c r="F332" s="13"/>
      <c r="G332" s="9"/>
      <c r="H332" s="9"/>
    </row>
    <row r="333" customFormat="false" ht="15" hidden="false" customHeight="true" outlineLevel="0" collapsed="false">
      <c r="A333" s="11"/>
      <c r="B333" s="9"/>
      <c r="C333" s="15" t="str">
        <f aca="false">IF($B333="","",IFERROR(INDEX(직원목록!$B$3:$B$302,MATCH($B333,직원목록!$A$3:$A$302,0)),"미등록사번"))</f>
        <v/>
      </c>
      <c r="D333" s="9"/>
      <c r="E333" s="15" t="str">
        <f aca="false">IF($D333="","",IFERROR(INDEX(교육과정!$B$3:$B$102,MATCH($D333,교육과정!$A$3:$A$102,0)),"미등록과정"))</f>
        <v/>
      </c>
      <c r="F333" s="13"/>
      <c r="G333" s="9"/>
      <c r="H333" s="9"/>
    </row>
    <row r="334" customFormat="false" ht="15" hidden="false" customHeight="true" outlineLevel="0" collapsed="false">
      <c r="A334" s="11"/>
      <c r="B334" s="9"/>
      <c r="C334" s="15" t="str">
        <f aca="false">IF($B334="","",IFERROR(INDEX(직원목록!$B$3:$B$302,MATCH($B334,직원목록!$A$3:$A$302,0)),"미등록사번"))</f>
        <v/>
      </c>
      <c r="D334" s="9"/>
      <c r="E334" s="15" t="str">
        <f aca="false">IF($D334="","",IFERROR(INDEX(교육과정!$B$3:$B$102,MATCH($D334,교육과정!$A$3:$A$102,0)),"미등록과정"))</f>
        <v/>
      </c>
      <c r="F334" s="13"/>
      <c r="G334" s="9"/>
      <c r="H334" s="9"/>
    </row>
    <row r="335" customFormat="false" ht="15" hidden="false" customHeight="true" outlineLevel="0" collapsed="false">
      <c r="A335" s="11"/>
      <c r="B335" s="9"/>
      <c r="C335" s="15" t="str">
        <f aca="false">IF($B335="","",IFERROR(INDEX(직원목록!$B$3:$B$302,MATCH($B335,직원목록!$A$3:$A$302,0)),"미등록사번"))</f>
        <v/>
      </c>
      <c r="D335" s="9"/>
      <c r="E335" s="15" t="str">
        <f aca="false">IF($D335="","",IFERROR(INDEX(교육과정!$B$3:$B$102,MATCH($D335,교육과정!$A$3:$A$102,0)),"미등록과정"))</f>
        <v/>
      </c>
      <c r="F335" s="13"/>
      <c r="G335" s="9"/>
      <c r="H335" s="9"/>
    </row>
    <row r="336" customFormat="false" ht="15" hidden="false" customHeight="true" outlineLevel="0" collapsed="false">
      <c r="A336" s="11"/>
      <c r="B336" s="9"/>
      <c r="C336" s="15" t="str">
        <f aca="false">IF($B336="","",IFERROR(INDEX(직원목록!$B$3:$B$302,MATCH($B336,직원목록!$A$3:$A$302,0)),"미등록사번"))</f>
        <v/>
      </c>
      <c r="D336" s="9"/>
      <c r="E336" s="15" t="str">
        <f aca="false">IF($D336="","",IFERROR(INDEX(교육과정!$B$3:$B$102,MATCH($D336,교육과정!$A$3:$A$102,0)),"미등록과정"))</f>
        <v/>
      </c>
      <c r="F336" s="13"/>
      <c r="G336" s="9"/>
      <c r="H336" s="9"/>
    </row>
    <row r="337" customFormat="false" ht="15" hidden="false" customHeight="true" outlineLevel="0" collapsed="false">
      <c r="A337" s="11"/>
      <c r="B337" s="9"/>
      <c r="C337" s="15" t="str">
        <f aca="false">IF($B337="","",IFERROR(INDEX(직원목록!$B$3:$B$302,MATCH($B337,직원목록!$A$3:$A$302,0)),"미등록사번"))</f>
        <v/>
      </c>
      <c r="D337" s="9"/>
      <c r="E337" s="15" t="str">
        <f aca="false">IF($D337="","",IFERROR(INDEX(교육과정!$B$3:$B$102,MATCH($D337,교육과정!$A$3:$A$102,0)),"미등록과정"))</f>
        <v/>
      </c>
      <c r="F337" s="13"/>
      <c r="G337" s="9"/>
      <c r="H337" s="9"/>
    </row>
    <row r="338" customFormat="false" ht="15" hidden="false" customHeight="true" outlineLevel="0" collapsed="false">
      <c r="A338" s="11"/>
      <c r="B338" s="9"/>
      <c r="C338" s="15" t="str">
        <f aca="false">IF($B338="","",IFERROR(INDEX(직원목록!$B$3:$B$302,MATCH($B338,직원목록!$A$3:$A$302,0)),"미등록사번"))</f>
        <v/>
      </c>
      <c r="D338" s="9"/>
      <c r="E338" s="15" t="str">
        <f aca="false">IF($D338="","",IFERROR(INDEX(교육과정!$B$3:$B$102,MATCH($D338,교육과정!$A$3:$A$102,0)),"미등록과정"))</f>
        <v/>
      </c>
      <c r="F338" s="13"/>
      <c r="G338" s="9"/>
      <c r="H338" s="9"/>
    </row>
    <row r="339" customFormat="false" ht="15" hidden="false" customHeight="true" outlineLevel="0" collapsed="false">
      <c r="A339" s="11"/>
      <c r="B339" s="9"/>
      <c r="C339" s="15" t="str">
        <f aca="false">IF($B339="","",IFERROR(INDEX(직원목록!$B$3:$B$302,MATCH($B339,직원목록!$A$3:$A$302,0)),"미등록사번"))</f>
        <v/>
      </c>
      <c r="D339" s="9"/>
      <c r="E339" s="15" t="str">
        <f aca="false">IF($D339="","",IFERROR(INDEX(교육과정!$B$3:$B$102,MATCH($D339,교육과정!$A$3:$A$102,0)),"미등록과정"))</f>
        <v/>
      </c>
      <c r="F339" s="13"/>
      <c r="G339" s="9"/>
      <c r="H339" s="9"/>
    </row>
    <row r="340" customFormat="false" ht="15" hidden="false" customHeight="true" outlineLevel="0" collapsed="false">
      <c r="A340" s="11"/>
      <c r="B340" s="9"/>
      <c r="C340" s="15" t="str">
        <f aca="false">IF($B340="","",IFERROR(INDEX(직원목록!$B$3:$B$302,MATCH($B340,직원목록!$A$3:$A$302,0)),"미등록사번"))</f>
        <v/>
      </c>
      <c r="D340" s="9"/>
      <c r="E340" s="15" t="str">
        <f aca="false">IF($D340="","",IFERROR(INDEX(교육과정!$B$3:$B$102,MATCH($D340,교육과정!$A$3:$A$102,0)),"미등록과정"))</f>
        <v/>
      </c>
      <c r="F340" s="13"/>
      <c r="G340" s="9"/>
      <c r="H340" s="9"/>
    </row>
    <row r="341" customFormat="false" ht="15" hidden="false" customHeight="true" outlineLevel="0" collapsed="false">
      <c r="A341" s="11"/>
      <c r="B341" s="9"/>
      <c r="C341" s="15" t="str">
        <f aca="false">IF($B341="","",IFERROR(INDEX(직원목록!$B$3:$B$302,MATCH($B341,직원목록!$A$3:$A$302,0)),"미등록사번"))</f>
        <v/>
      </c>
      <c r="D341" s="9"/>
      <c r="E341" s="15" t="str">
        <f aca="false">IF($D341="","",IFERROR(INDEX(교육과정!$B$3:$B$102,MATCH($D341,교육과정!$A$3:$A$102,0)),"미등록과정"))</f>
        <v/>
      </c>
      <c r="F341" s="13"/>
      <c r="G341" s="9"/>
      <c r="H341" s="9"/>
    </row>
    <row r="342" customFormat="false" ht="15" hidden="false" customHeight="true" outlineLevel="0" collapsed="false">
      <c r="A342" s="11"/>
      <c r="B342" s="9"/>
      <c r="C342" s="15" t="str">
        <f aca="false">IF($B342="","",IFERROR(INDEX(직원목록!$B$3:$B$302,MATCH($B342,직원목록!$A$3:$A$302,0)),"미등록사번"))</f>
        <v/>
      </c>
      <c r="D342" s="9"/>
      <c r="E342" s="15" t="str">
        <f aca="false">IF($D342="","",IFERROR(INDEX(교육과정!$B$3:$B$102,MATCH($D342,교육과정!$A$3:$A$102,0)),"미등록과정"))</f>
        <v/>
      </c>
      <c r="F342" s="13"/>
      <c r="G342" s="9"/>
      <c r="H342" s="9"/>
    </row>
    <row r="343" customFormat="false" ht="15" hidden="false" customHeight="true" outlineLevel="0" collapsed="false">
      <c r="A343" s="11"/>
      <c r="B343" s="9"/>
      <c r="C343" s="15" t="str">
        <f aca="false">IF($B343="","",IFERROR(INDEX(직원목록!$B$3:$B$302,MATCH($B343,직원목록!$A$3:$A$302,0)),"미등록사번"))</f>
        <v/>
      </c>
      <c r="D343" s="9"/>
      <c r="E343" s="15" t="str">
        <f aca="false">IF($D343="","",IFERROR(INDEX(교육과정!$B$3:$B$102,MATCH($D343,교육과정!$A$3:$A$102,0)),"미등록과정"))</f>
        <v/>
      </c>
      <c r="F343" s="13"/>
      <c r="G343" s="9"/>
      <c r="H343" s="9"/>
    </row>
    <row r="344" customFormat="false" ht="15" hidden="false" customHeight="true" outlineLevel="0" collapsed="false">
      <c r="A344" s="11"/>
      <c r="B344" s="9"/>
      <c r="C344" s="15" t="str">
        <f aca="false">IF($B344="","",IFERROR(INDEX(직원목록!$B$3:$B$302,MATCH($B344,직원목록!$A$3:$A$302,0)),"미등록사번"))</f>
        <v/>
      </c>
      <c r="D344" s="9"/>
      <c r="E344" s="15" t="str">
        <f aca="false">IF($D344="","",IFERROR(INDEX(교육과정!$B$3:$B$102,MATCH($D344,교육과정!$A$3:$A$102,0)),"미등록과정"))</f>
        <v/>
      </c>
      <c r="F344" s="13"/>
      <c r="G344" s="9"/>
      <c r="H344" s="9"/>
    </row>
    <row r="345" customFormat="false" ht="15" hidden="false" customHeight="true" outlineLevel="0" collapsed="false">
      <c r="A345" s="11"/>
      <c r="B345" s="9"/>
      <c r="C345" s="15" t="str">
        <f aca="false">IF($B345="","",IFERROR(INDEX(직원목록!$B$3:$B$302,MATCH($B345,직원목록!$A$3:$A$302,0)),"미등록사번"))</f>
        <v/>
      </c>
      <c r="D345" s="9"/>
      <c r="E345" s="15" t="str">
        <f aca="false">IF($D345="","",IFERROR(INDEX(교육과정!$B$3:$B$102,MATCH($D345,교육과정!$A$3:$A$102,0)),"미등록과정"))</f>
        <v/>
      </c>
      <c r="F345" s="13"/>
      <c r="G345" s="9"/>
      <c r="H345" s="9"/>
    </row>
    <row r="346" customFormat="false" ht="15" hidden="false" customHeight="true" outlineLevel="0" collapsed="false">
      <c r="A346" s="11"/>
      <c r="B346" s="9"/>
      <c r="C346" s="15" t="str">
        <f aca="false">IF($B346="","",IFERROR(INDEX(직원목록!$B$3:$B$302,MATCH($B346,직원목록!$A$3:$A$302,0)),"미등록사번"))</f>
        <v/>
      </c>
      <c r="D346" s="9"/>
      <c r="E346" s="15" t="str">
        <f aca="false">IF($D346="","",IFERROR(INDEX(교육과정!$B$3:$B$102,MATCH($D346,교육과정!$A$3:$A$102,0)),"미등록과정"))</f>
        <v/>
      </c>
      <c r="F346" s="13"/>
      <c r="G346" s="9"/>
      <c r="H346" s="9"/>
    </row>
    <row r="347" customFormat="false" ht="15" hidden="false" customHeight="true" outlineLevel="0" collapsed="false">
      <c r="A347" s="11"/>
      <c r="B347" s="9"/>
      <c r="C347" s="15" t="str">
        <f aca="false">IF($B347="","",IFERROR(INDEX(직원목록!$B$3:$B$302,MATCH($B347,직원목록!$A$3:$A$302,0)),"미등록사번"))</f>
        <v/>
      </c>
      <c r="D347" s="9"/>
      <c r="E347" s="15" t="str">
        <f aca="false">IF($D347="","",IFERROR(INDEX(교육과정!$B$3:$B$102,MATCH($D347,교육과정!$A$3:$A$102,0)),"미등록과정"))</f>
        <v/>
      </c>
      <c r="F347" s="13"/>
      <c r="G347" s="9"/>
      <c r="H347" s="9"/>
    </row>
    <row r="348" customFormat="false" ht="15" hidden="false" customHeight="true" outlineLevel="0" collapsed="false">
      <c r="A348" s="11"/>
      <c r="B348" s="9"/>
      <c r="C348" s="15" t="str">
        <f aca="false">IF($B348="","",IFERROR(INDEX(직원목록!$B$3:$B$302,MATCH($B348,직원목록!$A$3:$A$302,0)),"미등록사번"))</f>
        <v/>
      </c>
      <c r="D348" s="9"/>
      <c r="E348" s="15" t="str">
        <f aca="false">IF($D348="","",IFERROR(INDEX(교육과정!$B$3:$B$102,MATCH($D348,교육과정!$A$3:$A$102,0)),"미등록과정"))</f>
        <v/>
      </c>
      <c r="F348" s="13"/>
      <c r="G348" s="9"/>
      <c r="H348" s="9"/>
    </row>
    <row r="349" customFormat="false" ht="15" hidden="false" customHeight="true" outlineLevel="0" collapsed="false">
      <c r="A349" s="11"/>
      <c r="B349" s="9"/>
      <c r="C349" s="15" t="str">
        <f aca="false">IF($B349="","",IFERROR(INDEX(직원목록!$B$3:$B$302,MATCH($B349,직원목록!$A$3:$A$302,0)),"미등록사번"))</f>
        <v/>
      </c>
      <c r="D349" s="9"/>
      <c r="E349" s="15" t="str">
        <f aca="false">IF($D349="","",IFERROR(INDEX(교육과정!$B$3:$B$102,MATCH($D349,교육과정!$A$3:$A$102,0)),"미등록과정"))</f>
        <v/>
      </c>
      <c r="F349" s="13"/>
      <c r="G349" s="9"/>
      <c r="H349" s="9"/>
    </row>
    <row r="350" customFormat="false" ht="15" hidden="false" customHeight="true" outlineLevel="0" collapsed="false">
      <c r="A350" s="11"/>
      <c r="B350" s="9"/>
      <c r="C350" s="15" t="str">
        <f aca="false">IF($B350="","",IFERROR(INDEX(직원목록!$B$3:$B$302,MATCH($B350,직원목록!$A$3:$A$302,0)),"미등록사번"))</f>
        <v/>
      </c>
      <c r="D350" s="9"/>
      <c r="E350" s="15" t="str">
        <f aca="false">IF($D350="","",IFERROR(INDEX(교육과정!$B$3:$B$102,MATCH($D350,교육과정!$A$3:$A$102,0)),"미등록과정"))</f>
        <v/>
      </c>
      <c r="F350" s="13"/>
      <c r="G350" s="9"/>
      <c r="H350" s="9"/>
    </row>
    <row r="351" customFormat="false" ht="15" hidden="false" customHeight="true" outlineLevel="0" collapsed="false">
      <c r="A351" s="11"/>
      <c r="B351" s="9"/>
      <c r="C351" s="15" t="str">
        <f aca="false">IF($B351="","",IFERROR(INDEX(직원목록!$B$3:$B$302,MATCH($B351,직원목록!$A$3:$A$302,0)),"미등록사번"))</f>
        <v/>
      </c>
      <c r="D351" s="9"/>
      <c r="E351" s="15" t="str">
        <f aca="false">IF($D351="","",IFERROR(INDEX(교육과정!$B$3:$B$102,MATCH($D351,교육과정!$A$3:$A$102,0)),"미등록과정"))</f>
        <v/>
      </c>
      <c r="F351" s="13"/>
      <c r="G351" s="9"/>
      <c r="H351" s="9"/>
    </row>
    <row r="352" customFormat="false" ht="15" hidden="false" customHeight="true" outlineLevel="0" collapsed="false">
      <c r="A352" s="11"/>
      <c r="B352" s="9"/>
      <c r="C352" s="15" t="str">
        <f aca="false">IF($B352="","",IFERROR(INDEX(직원목록!$B$3:$B$302,MATCH($B352,직원목록!$A$3:$A$302,0)),"미등록사번"))</f>
        <v/>
      </c>
      <c r="D352" s="9"/>
      <c r="E352" s="15" t="str">
        <f aca="false">IF($D352="","",IFERROR(INDEX(교육과정!$B$3:$B$102,MATCH($D352,교육과정!$A$3:$A$102,0)),"미등록과정"))</f>
        <v/>
      </c>
      <c r="F352" s="13"/>
      <c r="G352" s="9"/>
      <c r="H352" s="9"/>
    </row>
    <row r="353" customFormat="false" ht="15" hidden="false" customHeight="true" outlineLevel="0" collapsed="false">
      <c r="A353" s="11"/>
      <c r="B353" s="9"/>
      <c r="C353" s="15" t="str">
        <f aca="false">IF($B353="","",IFERROR(INDEX(직원목록!$B$3:$B$302,MATCH($B353,직원목록!$A$3:$A$302,0)),"미등록사번"))</f>
        <v/>
      </c>
      <c r="D353" s="9"/>
      <c r="E353" s="15" t="str">
        <f aca="false">IF($D353="","",IFERROR(INDEX(교육과정!$B$3:$B$102,MATCH($D353,교육과정!$A$3:$A$102,0)),"미등록과정"))</f>
        <v/>
      </c>
      <c r="F353" s="13"/>
      <c r="G353" s="9"/>
      <c r="H353" s="9"/>
    </row>
    <row r="354" customFormat="false" ht="15" hidden="false" customHeight="true" outlineLevel="0" collapsed="false">
      <c r="A354" s="11"/>
      <c r="B354" s="9"/>
      <c r="C354" s="15" t="str">
        <f aca="false">IF($B354="","",IFERROR(INDEX(직원목록!$B$3:$B$302,MATCH($B354,직원목록!$A$3:$A$302,0)),"미등록사번"))</f>
        <v/>
      </c>
      <c r="D354" s="9"/>
      <c r="E354" s="15" t="str">
        <f aca="false">IF($D354="","",IFERROR(INDEX(교육과정!$B$3:$B$102,MATCH($D354,교육과정!$A$3:$A$102,0)),"미등록과정"))</f>
        <v/>
      </c>
      <c r="F354" s="13"/>
      <c r="G354" s="9"/>
      <c r="H354" s="9"/>
    </row>
    <row r="355" customFormat="false" ht="15" hidden="false" customHeight="true" outlineLevel="0" collapsed="false">
      <c r="A355" s="11"/>
      <c r="B355" s="9"/>
      <c r="C355" s="15" t="str">
        <f aca="false">IF($B355="","",IFERROR(INDEX(직원목록!$B$3:$B$302,MATCH($B355,직원목록!$A$3:$A$302,0)),"미등록사번"))</f>
        <v/>
      </c>
      <c r="D355" s="9"/>
      <c r="E355" s="15" t="str">
        <f aca="false">IF($D355="","",IFERROR(INDEX(교육과정!$B$3:$B$102,MATCH($D355,교육과정!$A$3:$A$102,0)),"미등록과정"))</f>
        <v/>
      </c>
      <c r="F355" s="13"/>
      <c r="G355" s="9"/>
      <c r="H355" s="9"/>
    </row>
    <row r="356" customFormat="false" ht="15" hidden="false" customHeight="true" outlineLevel="0" collapsed="false">
      <c r="A356" s="11"/>
      <c r="B356" s="9"/>
      <c r="C356" s="15" t="str">
        <f aca="false">IF($B356="","",IFERROR(INDEX(직원목록!$B$3:$B$302,MATCH($B356,직원목록!$A$3:$A$302,0)),"미등록사번"))</f>
        <v/>
      </c>
      <c r="D356" s="9"/>
      <c r="E356" s="15" t="str">
        <f aca="false">IF($D356="","",IFERROR(INDEX(교육과정!$B$3:$B$102,MATCH($D356,교육과정!$A$3:$A$102,0)),"미등록과정"))</f>
        <v/>
      </c>
      <c r="F356" s="13"/>
      <c r="G356" s="9"/>
      <c r="H356" s="9"/>
    </row>
    <row r="357" customFormat="false" ht="15" hidden="false" customHeight="true" outlineLevel="0" collapsed="false">
      <c r="A357" s="11"/>
      <c r="B357" s="9"/>
      <c r="C357" s="15" t="str">
        <f aca="false">IF($B357="","",IFERROR(INDEX(직원목록!$B$3:$B$302,MATCH($B357,직원목록!$A$3:$A$302,0)),"미등록사번"))</f>
        <v/>
      </c>
      <c r="D357" s="9"/>
      <c r="E357" s="15" t="str">
        <f aca="false">IF($D357="","",IFERROR(INDEX(교육과정!$B$3:$B$102,MATCH($D357,교육과정!$A$3:$A$102,0)),"미등록과정"))</f>
        <v/>
      </c>
      <c r="F357" s="13"/>
      <c r="G357" s="9"/>
      <c r="H357" s="9"/>
    </row>
    <row r="358" customFormat="false" ht="15" hidden="false" customHeight="true" outlineLevel="0" collapsed="false">
      <c r="A358" s="11"/>
      <c r="B358" s="9"/>
      <c r="C358" s="15" t="str">
        <f aca="false">IF($B358="","",IFERROR(INDEX(직원목록!$B$3:$B$302,MATCH($B358,직원목록!$A$3:$A$302,0)),"미등록사번"))</f>
        <v/>
      </c>
      <c r="D358" s="9"/>
      <c r="E358" s="15" t="str">
        <f aca="false">IF($D358="","",IFERROR(INDEX(교육과정!$B$3:$B$102,MATCH($D358,교육과정!$A$3:$A$102,0)),"미등록과정"))</f>
        <v/>
      </c>
      <c r="F358" s="13"/>
      <c r="G358" s="9"/>
      <c r="H358" s="9"/>
    </row>
    <row r="359" customFormat="false" ht="15" hidden="false" customHeight="true" outlineLevel="0" collapsed="false">
      <c r="A359" s="11"/>
      <c r="B359" s="9"/>
      <c r="C359" s="15" t="str">
        <f aca="false">IF($B359="","",IFERROR(INDEX(직원목록!$B$3:$B$302,MATCH($B359,직원목록!$A$3:$A$302,0)),"미등록사번"))</f>
        <v/>
      </c>
      <c r="D359" s="9"/>
      <c r="E359" s="15" t="str">
        <f aca="false">IF($D359="","",IFERROR(INDEX(교육과정!$B$3:$B$102,MATCH($D359,교육과정!$A$3:$A$102,0)),"미등록과정"))</f>
        <v/>
      </c>
      <c r="F359" s="13"/>
      <c r="G359" s="9"/>
      <c r="H359" s="9"/>
    </row>
    <row r="360" customFormat="false" ht="15" hidden="false" customHeight="true" outlineLevel="0" collapsed="false">
      <c r="A360" s="11"/>
      <c r="B360" s="9"/>
      <c r="C360" s="15" t="str">
        <f aca="false">IF($B360="","",IFERROR(INDEX(직원목록!$B$3:$B$302,MATCH($B360,직원목록!$A$3:$A$302,0)),"미등록사번"))</f>
        <v/>
      </c>
      <c r="D360" s="9"/>
      <c r="E360" s="15" t="str">
        <f aca="false">IF($D360="","",IFERROR(INDEX(교육과정!$B$3:$B$102,MATCH($D360,교육과정!$A$3:$A$102,0)),"미등록과정"))</f>
        <v/>
      </c>
      <c r="F360" s="13"/>
      <c r="G360" s="9"/>
      <c r="H360" s="9"/>
    </row>
    <row r="361" customFormat="false" ht="15" hidden="false" customHeight="true" outlineLevel="0" collapsed="false">
      <c r="A361" s="11"/>
      <c r="B361" s="9"/>
      <c r="C361" s="15" t="str">
        <f aca="false">IF($B361="","",IFERROR(INDEX(직원목록!$B$3:$B$302,MATCH($B361,직원목록!$A$3:$A$302,0)),"미등록사번"))</f>
        <v/>
      </c>
      <c r="D361" s="9"/>
      <c r="E361" s="15" t="str">
        <f aca="false">IF($D361="","",IFERROR(INDEX(교육과정!$B$3:$B$102,MATCH($D361,교육과정!$A$3:$A$102,0)),"미등록과정"))</f>
        <v/>
      </c>
      <c r="F361" s="13"/>
      <c r="G361" s="9"/>
      <c r="H361" s="9"/>
    </row>
    <row r="362" customFormat="false" ht="15" hidden="false" customHeight="true" outlineLevel="0" collapsed="false">
      <c r="A362" s="11"/>
      <c r="B362" s="9"/>
      <c r="C362" s="15" t="str">
        <f aca="false">IF($B362="","",IFERROR(INDEX(직원목록!$B$3:$B$302,MATCH($B362,직원목록!$A$3:$A$302,0)),"미등록사번"))</f>
        <v/>
      </c>
      <c r="D362" s="9"/>
      <c r="E362" s="15" t="str">
        <f aca="false">IF($D362="","",IFERROR(INDEX(교육과정!$B$3:$B$102,MATCH($D362,교육과정!$A$3:$A$102,0)),"미등록과정"))</f>
        <v/>
      </c>
      <c r="F362" s="13"/>
      <c r="G362" s="9"/>
      <c r="H362" s="9"/>
    </row>
    <row r="363" customFormat="false" ht="15" hidden="false" customHeight="true" outlineLevel="0" collapsed="false">
      <c r="A363" s="11"/>
      <c r="B363" s="9"/>
      <c r="C363" s="15" t="str">
        <f aca="false">IF($B363="","",IFERROR(INDEX(직원목록!$B$3:$B$302,MATCH($B363,직원목록!$A$3:$A$302,0)),"미등록사번"))</f>
        <v/>
      </c>
      <c r="D363" s="9"/>
      <c r="E363" s="15" t="str">
        <f aca="false">IF($D363="","",IFERROR(INDEX(교육과정!$B$3:$B$102,MATCH($D363,교육과정!$A$3:$A$102,0)),"미등록과정"))</f>
        <v/>
      </c>
      <c r="F363" s="13"/>
      <c r="G363" s="9"/>
      <c r="H363" s="9"/>
    </row>
    <row r="364" customFormat="false" ht="15" hidden="false" customHeight="true" outlineLevel="0" collapsed="false">
      <c r="A364" s="11"/>
      <c r="B364" s="9"/>
      <c r="C364" s="15" t="str">
        <f aca="false">IF($B364="","",IFERROR(INDEX(직원목록!$B$3:$B$302,MATCH($B364,직원목록!$A$3:$A$302,0)),"미등록사번"))</f>
        <v/>
      </c>
      <c r="D364" s="9"/>
      <c r="E364" s="15" t="str">
        <f aca="false">IF($D364="","",IFERROR(INDEX(교육과정!$B$3:$B$102,MATCH($D364,교육과정!$A$3:$A$102,0)),"미등록과정"))</f>
        <v/>
      </c>
      <c r="F364" s="13"/>
      <c r="G364" s="9"/>
      <c r="H364" s="9"/>
    </row>
    <row r="365" customFormat="false" ht="15" hidden="false" customHeight="true" outlineLevel="0" collapsed="false">
      <c r="A365" s="11"/>
      <c r="B365" s="9"/>
      <c r="C365" s="15" t="str">
        <f aca="false">IF($B365="","",IFERROR(INDEX(직원목록!$B$3:$B$302,MATCH($B365,직원목록!$A$3:$A$302,0)),"미등록사번"))</f>
        <v/>
      </c>
      <c r="D365" s="9"/>
      <c r="E365" s="15" t="str">
        <f aca="false">IF($D365="","",IFERROR(INDEX(교육과정!$B$3:$B$102,MATCH($D365,교육과정!$A$3:$A$102,0)),"미등록과정"))</f>
        <v/>
      </c>
      <c r="F365" s="13"/>
      <c r="G365" s="9"/>
      <c r="H365" s="9"/>
    </row>
    <row r="366" customFormat="false" ht="15" hidden="false" customHeight="true" outlineLevel="0" collapsed="false">
      <c r="A366" s="11"/>
      <c r="B366" s="9"/>
      <c r="C366" s="15" t="str">
        <f aca="false">IF($B366="","",IFERROR(INDEX(직원목록!$B$3:$B$302,MATCH($B366,직원목록!$A$3:$A$302,0)),"미등록사번"))</f>
        <v/>
      </c>
      <c r="D366" s="9"/>
      <c r="E366" s="15" t="str">
        <f aca="false">IF($D366="","",IFERROR(INDEX(교육과정!$B$3:$B$102,MATCH($D366,교육과정!$A$3:$A$102,0)),"미등록과정"))</f>
        <v/>
      </c>
      <c r="F366" s="13"/>
      <c r="G366" s="9"/>
      <c r="H366" s="9"/>
    </row>
    <row r="367" customFormat="false" ht="15" hidden="false" customHeight="true" outlineLevel="0" collapsed="false">
      <c r="A367" s="11"/>
      <c r="B367" s="9"/>
      <c r="C367" s="15" t="str">
        <f aca="false">IF($B367="","",IFERROR(INDEX(직원목록!$B$3:$B$302,MATCH($B367,직원목록!$A$3:$A$302,0)),"미등록사번"))</f>
        <v/>
      </c>
      <c r="D367" s="9"/>
      <c r="E367" s="15" t="str">
        <f aca="false">IF($D367="","",IFERROR(INDEX(교육과정!$B$3:$B$102,MATCH($D367,교육과정!$A$3:$A$102,0)),"미등록과정"))</f>
        <v/>
      </c>
      <c r="F367" s="13"/>
      <c r="G367" s="9"/>
      <c r="H367" s="9"/>
    </row>
    <row r="368" customFormat="false" ht="15" hidden="false" customHeight="true" outlineLevel="0" collapsed="false">
      <c r="A368" s="11"/>
      <c r="B368" s="9"/>
      <c r="C368" s="15" t="str">
        <f aca="false">IF($B368="","",IFERROR(INDEX(직원목록!$B$3:$B$302,MATCH($B368,직원목록!$A$3:$A$302,0)),"미등록사번"))</f>
        <v/>
      </c>
      <c r="D368" s="9"/>
      <c r="E368" s="15" t="str">
        <f aca="false">IF($D368="","",IFERROR(INDEX(교육과정!$B$3:$B$102,MATCH($D368,교육과정!$A$3:$A$102,0)),"미등록과정"))</f>
        <v/>
      </c>
      <c r="F368" s="13"/>
      <c r="G368" s="9"/>
      <c r="H368" s="9"/>
    </row>
    <row r="369" customFormat="false" ht="15" hidden="false" customHeight="true" outlineLevel="0" collapsed="false">
      <c r="A369" s="11"/>
      <c r="B369" s="9"/>
      <c r="C369" s="15" t="str">
        <f aca="false">IF($B369="","",IFERROR(INDEX(직원목록!$B$3:$B$302,MATCH($B369,직원목록!$A$3:$A$302,0)),"미등록사번"))</f>
        <v/>
      </c>
      <c r="D369" s="9"/>
      <c r="E369" s="15" t="str">
        <f aca="false">IF($D369="","",IFERROR(INDEX(교육과정!$B$3:$B$102,MATCH($D369,교육과정!$A$3:$A$102,0)),"미등록과정"))</f>
        <v/>
      </c>
      <c r="F369" s="13"/>
      <c r="G369" s="9"/>
      <c r="H369" s="9"/>
    </row>
    <row r="370" customFormat="false" ht="15" hidden="false" customHeight="true" outlineLevel="0" collapsed="false">
      <c r="A370" s="11"/>
      <c r="B370" s="9"/>
      <c r="C370" s="15" t="str">
        <f aca="false">IF($B370="","",IFERROR(INDEX(직원목록!$B$3:$B$302,MATCH($B370,직원목록!$A$3:$A$302,0)),"미등록사번"))</f>
        <v/>
      </c>
      <c r="D370" s="9"/>
      <c r="E370" s="15" t="str">
        <f aca="false">IF($D370="","",IFERROR(INDEX(교육과정!$B$3:$B$102,MATCH($D370,교육과정!$A$3:$A$102,0)),"미등록과정"))</f>
        <v/>
      </c>
      <c r="F370" s="13"/>
      <c r="G370" s="9"/>
      <c r="H370" s="9"/>
    </row>
    <row r="371" customFormat="false" ht="15" hidden="false" customHeight="true" outlineLevel="0" collapsed="false">
      <c r="A371" s="11"/>
      <c r="B371" s="9"/>
      <c r="C371" s="15" t="str">
        <f aca="false">IF($B371="","",IFERROR(INDEX(직원목록!$B$3:$B$302,MATCH($B371,직원목록!$A$3:$A$302,0)),"미등록사번"))</f>
        <v/>
      </c>
      <c r="D371" s="9"/>
      <c r="E371" s="15" t="str">
        <f aca="false">IF($D371="","",IFERROR(INDEX(교육과정!$B$3:$B$102,MATCH($D371,교육과정!$A$3:$A$102,0)),"미등록과정"))</f>
        <v/>
      </c>
      <c r="F371" s="13"/>
      <c r="G371" s="9"/>
      <c r="H371" s="9"/>
    </row>
    <row r="372" customFormat="false" ht="15" hidden="false" customHeight="true" outlineLevel="0" collapsed="false">
      <c r="A372" s="11"/>
      <c r="B372" s="9"/>
      <c r="C372" s="15" t="str">
        <f aca="false">IF($B372="","",IFERROR(INDEX(직원목록!$B$3:$B$302,MATCH($B372,직원목록!$A$3:$A$302,0)),"미등록사번"))</f>
        <v/>
      </c>
      <c r="D372" s="9"/>
      <c r="E372" s="15" t="str">
        <f aca="false">IF($D372="","",IFERROR(INDEX(교육과정!$B$3:$B$102,MATCH($D372,교육과정!$A$3:$A$102,0)),"미등록과정"))</f>
        <v/>
      </c>
      <c r="F372" s="13"/>
      <c r="G372" s="9"/>
      <c r="H372" s="9"/>
    </row>
    <row r="373" customFormat="false" ht="15" hidden="false" customHeight="true" outlineLevel="0" collapsed="false">
      <c r="A373" s="11"/>
      <c r="B373" s="9"/>
      <c r="C373" s="15" t="str">
        <f aca="false">IF($B373="","",IFERROR(INDEX(직원목록!$B$3:$B$302,MATCH($B373,직원목록!$A$3:$A$302,0)),"미등록사번"))</f>
        <v/>
      </c>
      <c r="D373" s="9"/>
      <c r="E373" s="15" t="str">
        <f aca="false">IF($D373="","",IFERROR(INDEX(교육과정!$B$3:$B$102,MATCH($D373,교육과정!$A$3:$A$102,0)),"미등록과정"))</f>
        <v/>
      </c>
      <c r="F373" s="13"/>
      <c r="G373" s="9"/>
      <c r="H373" s="9"/>
    </row>
    <row r="374" customFormat="false" ht="15" hidden="false" customHeight="true" outlineLevel="0" collapsed="false">
      <c r="A374" s="11"/>
      <c r="B374" s="9"/>
      <c r="C374" s="15" t="str">
        <f aca="false">IF($B374="","",IFERROR(INDEX(직원목록!$B$3:$B$302,MATCH($B374,직원목록!$A$3:$A$302,0)),"미등록사번"))</f>
        <v/>
      </c>
      <c r="D374" s="9"/>
      <c r="E374" s="15" t="str">
        <f aca="false">IF($D374="","",IFERROR(INDEX(교육과정!$B$3:$B$102,MATCH($D374,교육과정!$A$3:$A$102,0)),"미등록과정"))</f>
        <v/>
      </c>
      <c r="F374" s="13"/>
      <c r="G374" s="9"/>
      <c r="H374" s="9"/>
    </row>
    <row r="375" customFormat="false" ht="15" hidden="false" customHeight="true" outlineLevel="0" collapsed="false">
      <c r="A375" s="11"/>
      <c r="B375" s="9"/>
      <c r="C375" s="15" t="str">
        <f aca="false">IF($B375="","",IFERROR(INDEX(직원목록!$B$3:$B$302,MATCH($B375,직원목록!$A$3:$A$302,0)),"미등록사번"))</f>
        <v/>
      </c>
      <c r="D375" s="9"/>
      <c r="E375" s="15" t="str">
        <f aca="false">IF($D375="","",IFERROR(INDEX(교육과정!$B$3:$B$102,MATCH($D375,교육과정!$A$3:$A$102,0)),"미등록과정"))</f>
        <v/>
      </c>
      <c r="F375" s="13"/>
      <c r="G375" s="9"/>
      <c r="H375" s="9"/>
    </row>
    <row r="376" customFormat="false" ht="15" hidden="false" customHeight="true" outlineLevel="0" collapsed="false">
      <c r="A376" s="11"/>
      <c r="B376" s="9"/>
      <c r="C376" s="15" t="str">
        <f aca="false">IF($B376="","",IFERROR(INDEX(직원목록!$B$3:$B$302,MATCH($B376,직원목록!$A$3:$A$302,0)),"미등록사번"))</f>
        <v/>
      </c>
      <c r="D376" s="9"/>
      <c r="E376" s="15" t="str">
        <f aca="false">IF($D376="","",IFERROR(INDEX(교육과정!$B$3:$B$102,MATCH($D376,교육과정!$A$3:$A$102,0)),"미등록과정"))</f>
        <v/>
      </c>
      <c r="F376" s="13"/>
      <c r="G376" s="9"/>
      <c r="H376" s="9"/>
    </row>
    <row r="377" customFormat="false" ht="15" hidden="false" customHeight="true" outlineLevel="0" collapsed="false">
      <c r="A377" s="11"/>
      <c r="B377" s="9"/>
      <c r="C377" s="15" t="str">
        <f aca="false">IF($B377="","",IFERROR(INDEX(직원목록!$B$3:$B$302,MATCH($B377,직원목록!$A$3:$A$302,0)),"미등록사번"))</f>
        <v/>
      </c>
      <c r="D377" s="9"/>
      <c r="E377" s="15" t="str">
        <f aca="false">IF($D377="","",IFERROR(INDEX(교육과정!$B$3:$B$102,MATCH($D377,교육과정!$A$3:$A$102,0)),"미등록과정"))</f>
        <v/>
      </c>
      <c r="F377" s="13"/>
      <c r="G377" s="9"/>
      <c r="H377" s="9"/>
    </row>
    <row r="378" customFormat="false" ht="15" hidden="false" customHeight="true" outlineLevel="0" collapsed="false">
      <c r="A378" s="11"/>
      <c r="B378" s="9"/>
      <c r="C378" s="15" t="str">
        <f aca="false">IF($B378="","",IFERROR(INDEX(직원목록!$B$3:$B$302,MATCH($B378,직원목록!$A$3:$A$302,0)),"미등록사번"))</f>
        <v/>
      </c>
      <c r="D378" s="9"/>
      <c r="E378" s="15" t="str">
        <f aca="false">IF($D378="","",IFERROR(INDEX(교육과정!$B$3:$B$102,MATCH($D378,교육과정!$A$3:$A$102,0)),"미등록과정"))</f>
        <v/>
      </c>
      <c r="F378" s="13"/>
      <c r="G378" s="9"/>
      <c r="H378" s="9"/>
    </row>
    <row r="379" customFormat="false" ht="15" hidden="false" customHeight="true" outlineLevel="0" collapsed="false">
      <c r="A379" s="11"/>
      <c r="B379" s="9"/>
      <c r="C379" s="15" t="str">
        <f aca="false">IF($B379="","",IFERROR(INDEX(직원목록!$B$3:$B$302,MATCH($B379,직원목록!$A$3:$A$302,0)),"미등록사번"))</f>
        <v/>
      </c>
      <c r="D379" s="9"/>
      <c r="E379" s="15" t="str">
        <f aca="false">IF($D379="","",IFERROR(INDEX(교육과정!$B$3:$B$102,MATCH($D379,교육과정!$A$3:$A$102,0)),"미등록과정"))</f>
        <v/>
      </c>
      <c r="F379" s="13"/>
      <c r="G379" s="9"/>
      <c r="H379" s="9"/>
    </row>
    <row r="380" customFormat="false" ht="15" hidden="false" customHeight="true" outlineLevel="0" collapsed="false">
      <c r="A380" s="11"/>
      <c r="B380" s="9"/>
      <c r="C380" s="15" t="str">
        <f aca="false">IF($B380="","",IFERROR(INDEX(직원목록!$B$3:$B$302,MATCH($B380,직원목록!$A$3:$A$302,0)),"미등록사번"))</f>
        <v/>
      </c>
      <c r="D380" s="9"/>
      <c r="E380" s="15" t="str">
        <f aca="false">IF($D380="","",IFERROR(INDEX(교육과정!$B$3:$B$102,MATCH($D380,교육과정!$A$3:$A$102,0)),"미등록과정"))</f>
        <v/>
      </c>
      <c r="F380" s="13"/>
      <c r="G380" s="9"/>
      <c r="H380" s="9"/>
    </row>
    <row r="381" customFormat="false" ht="15" hidden="false" customHeight="true" outlineLevel="0" collapsed="false">
      <c r="A381" s="11"/>
      <c r="B381" s="9"/>
      <c r="C381" s="15" t="str">
        <f aca="false">IF($B381="","",IFERROR(INDEX(직원목록!$B$3:$B$302,MATCH($B381,직원목록!$A$3:$A$302,0)),"미등록사번"))</f>
        <v/>
      </c>
      <c r="D381" s="9"/>
      <c r="E381" s="15" t="str">
        <f aca="false">IF($D381="","",IFERROR(INDEX(교육과정!$B$3:$B$102,MATCH($D381,교육과정!$A$3:$A$102,0)),"미등록과정"))</f>
        <v/>
      </c>
      <c r="F381" s="13"/>
      <c r="G381" s="9"/>
      <c r="H381" s="9"/>
    </row>
    <row r="382" customFormat="false" ht="15" hidden="false" customHeight="true" outlineLevel="0" collapsed="false">
      <c r="A382" s="11"/>
      <c r="B382" s="9"/>
      <c r="C382" s="15" t="str">
        <f aca="false">IF($B382="","",IFERROR(INDEX(직원목록!$B$3:$B$302,MATCH($B382,직원목록!$A$3:$A$302,0)),"미등록사번"))</f>
        <v/>
      </c>
      <c r="D382" s="9"/>
      <c r="E382" s="15" t="str">
        <f aca="false">IF($D382="","",IFERROR(INDEX(교육과정!$B$3:$B$102,MATCH($D382,교육과정!$A$3:$A$102,0)),"미등록과정"))</f>
        <v/>
      </c>
      <c r="F382" s="13"/>
      <c r="G382" s="9"/>
      <c r="H382" s="9"/>
    </row>
    <row r="383" customFormat="false" ht="15" hidden="false" customHeight="true" outlineLevel="0" collapsed="false">
      <c r="A383" s="11"/>
      <c r="B383" s="9"/>
      <c r="C383" s="15" t="str">
        <f aca="false">IF($B383="","",IFERROR(INDEX(직원목록!$B$3:$B$302,MATCH($B383,직원목록!$A$3:$A$302,0)),"미등록사번"))</f>
        <v/>
      </c>
      <c r="D383" s="9"/>
      <c r="E383" s="15" t="str">
        <f aca="false">IF($D383="","",IFERROR(INDEX(교육과정!$B$3:$B$102,MATCH($D383,교육과정!$A$3:$A$102,0)),"미등록과정"))</f>
        <v/>
      </c>
      <c r="F383" s="13"/>
      <c r="G383" s="9"/>
      <c r="H383" s="9"/>
    </row>
    <row r="384" customFormat="false" ht="15" hidden="false" customHeight="true" outlineLevel="0" collapsed="false">
      <c r="A384" s="11"/>
      <c r="B384" s="9"/>
      <c r="C384" s="15" t="str">
        <f aca="false">IF($B384="","",IFERROR(INDEX(직원목록!$B$3:$B$302,MATCH($B384,직원목록!$A$3:$A$302,0)),"미등록사번"))</f>
        <v/>
      </c>
      <c r="D384" s="9"/>
      <c r="E384" s="15" t="str">
        <f aca="false">IF($D384="","",IFERROR(INDEX(교육과정!$B$3:$B$102,MATCH($D384,교육과정!$A$3:$A$102,0)),"미등록과정"))</f>
        <v/>
      </c>
      <c r="F384" s="13"/>
      <c r="G384" s="9"/>
      <c r="H384" s="9"/>
    </row>
    <row r="385" customFormat="false" ht="15" hidden="false" customHeight="true" outlineLevel="0" collapsed="false">
      <c r="A385" s="11"/>
      <c r="B385" s="9"/>
      <c r="C385" s="15" t="str">
        <f aca="false">IF($B385="","",IFERROR(INDEX(직원목록!$B$3:$B$302,MATCH($B385,직원목록!$A$3:$A$302,0)),"미등록사번"))</f>
        <v/>
      </c>
      <c r="D385" s="9"/>
      <c r="E385" s="15" t="str">
        <f aca="false">IF($D385="","",IFERROR(INDEX(교육과정!$B$3:$B$102,MATCH($D385,교육과정!$A$3:$A$102,0)),"미등록과정"))</f>
        <v/>
      </c>
      <c r="F385" s="13"/>
      <c r="G385" s="9"/>
      <c r="H385" s="9"/>
    </row>
    <row r="386" customFormat="false" ht="15" hidden="false" customHeight="true" outlineLevel="0" collapsed="false">
      <c r="A386" s="11"/>
      <c r="B386" s="9"/>
      <c r="C386" s="15" t="str">
        <f aca="false">IF($B386="","",IFERROR(INDEX(직원목록!$B$3:$B$302,MATCH($B386,직원목록!$A$3:$A$302,0)),"미등록사번"))</f>
        <v/>
      </c>
      <c r="D386" s="9"/>
      <c r="E386" s="15" t="str">
        <f aca="false">IF($D386="","",IFERROR(INDEX(교육과정!$B$3:$B$102,MATCH($D386,교육과정!$A$3:$A$102,0)),"미등록과정"))</f>
        <v/>
      </c>
      <c r="F386" s="13"/>
      <c r="G386" s="9"/>
      <c r="H386" s="9"/>
    </row>
    <row r="387" customFormat="false" ht="15" hidden="false" customHeight="true" outlineLevel="0" collapsed="false">
      <c r="A387" s="11"/>
      <c r="B387" s="9"/>
      <c r="C387" s="15" t="str">
        <f aca="false">IF($B387="","",IFERROR(INDEX(직원목록!$B$3:$B$302,MATCH($B387,직원목록!$A$3:$A$302,0)),"미등록사번"))</f>
        <v/>
      </c>
      <c r="D387" s="9"/>
      <c r="E387" s="15" t="str">
        <f aca="false">IF($D387="","",IFERROR(INDEX(교육과정!$B$3:$B$102,MATCH($D387,교육과정!$A$3:$A$102,0)),"미등록과정"))</f>
        <v/>
      </c>
      <c r="F387" s="13"/>
      <c r="G387" s="9"/>
      <c r="H387" s="9"/>
    </row>
    <row r="388" customFormat="false" ht="15" hidden="false" customHeight="true" outlineLevel="0" collapsed="false">
      <c r="A388" s="11"/>
      <c r="B388" s="9"/>
      <c r="C388" s="15" t="str">
        <f aca="false">IF($B388="","",IFERROR(INDEX(직원목록!$B$3:$B$302,MATCH($B388,직원목록!$A$3:$A$302,0)),"미등록사번"))</f>
        <v/>
      </c>
      <c r="D388" s="9"/>
      <c r="E388" s="15" t="str">
        <f aca="false">IF($D388="","",IFERROR(INDEX(교육과정!$B$3:$B$102,MATCH($D388,교육과정!$A$3:$A$102,0)),"미등록과정"))</f>
        <v/>
      </c>
      <c r="F388" s="13"/>
      <c r="G388" s="9"/>
      <c r="H388" s="9"/>
    </row>
    <row r="389" customFormat="false" ht="15" hidden="false" customHeight="true" outlineLevel="0" collapsed="false">
      <c r="A389" s="11"/>
      <c r="B389" s="9"/>
      <c r="C389" s="15" t="str">
        <f aca="false">IF($B389="","",IFERROR(INDEX(직원목록!$B$3:$B$302,MATCH($B389,직원목록!$A$3:$A$302,0)),"미등록사번"))</f>
        <v/>
      </c>
      <c r="D389" s="9"/>
      <c r="E389" s="15" t="str">
        <f aca="false">IF($D389="","",IFERROR(INDEX(교육과정!$B$3:$B$102,MATCH($D389,교육과정!$A$3:$A$102,0)),"미등록과정"))</f>
        <v/>
      </c>
      <c r="F389" s="13"/>
      <c r="G389" s="9"/>
      <c r="H389" s="9"/>
    </row>
    <row r="390" customFormat="false" ht="15" hidden="false" customHeight="true" outlineLevel="0" collapsed="false">
      <c r="A390" s="11"/>
      <c r="B390" s="9"/>
      <c r="C390" s="15" t="str">
        <f aca="false">IF($B390="","",IFERROR(INDEX(직원목록!$B$3:$B$302,MATCH($B390,직원목록!$A$3:$A$302,0)),"미등록사번"))</f>
        <v/>
      </c>
      <c r="D390" s="9"/>
      <c r="E390" s="15" t="str">
        <f aca="false">IF($D390="","",IFERROR(INDEX(교육과정!$B$3:$B$102,MATCH($D390,교육과정!$A$3:$A$102,0)),"미등록과정"))</f>
        <v/>
      </c>
      <c r="F390" s="13"/>
      <c r="G390" s="9"/>
      <c r="H390" s="9"/>
    </row>
    <row r="391" customFormat="false" ht="15" hidden="false" customHeight="true" outlineLevel="0" collapsed="false">
      <c r="A391" s="11"/>
      <c r="B391" s="9"/>
      <c r="C391" s="15" t="str">
        <f aca="false">IF($B391="","",IFERROR(INDEX(직원목록!$B$3:$B$302,MATCH($B391,직원목록!$A$3:$A$302,0)),"미등록사번"))</f>
        <v/>
      </c>
      <c r="D391" s="9"/>
      <c r="E391" s="15" t="str">
        <f aca="false">IF($D391="","",IFERROR(INDEX(교육과정!$B$3:$B$102,MATCH($D391,교육과정!$A$3:$A$102,0)),"미등록과정"))</f>
        <v/>
      </c>
      <c r="F391" s="13"/>
      <c r="G391" s="9"/>
      <c r="H391" s="9"/>
    </row>
    <row r="392" customFormat="false" ht="15" hidden="false" customHeight="true" outlineLevel="0" collapsed="false">
      <c r="A392" s="11"/>
      <c r="B392" s="9"/>
      <c r="C392" s="15" t="str">
        <f aca="false">IF($B392="","",IFERROR(INDEX(직원목록!$B$3:$B$302,MATCH($B392,직원목록!$A$3:$A$302,0)),"미등록사번"))</f>
        <v/>
      </c>
      <c r="D392" s="9"/>
      <c r="E392" s="15" t="str">
        <f aca="false">IF($D392="","",IFERROR(INDEX(교육과정!$B$3:$B$102,MATCH($D392,교육과정!$A$3:$A$102,0)),"미등록과정"))</f>
        <v/>
      </c>
      <c r="F392" s="13"/>
      <c r="G392" s="9"/>
      <c r="H392" s="9"/>
    </row>
    <row r="393" customFormat="false" ht="15" hidden="false" customHeight="true" outlineLevel="0" collapsed="false">
      <c r="A393" s="11"/>
      <c r="B393" s="9"/>
      <c r="C393" s="15" t="str">
        <f aca="false">IF($B393="","",IFERROR(INDEX(직원목록!$B$3:$B$302,MATCH($B393,직원목록!$A$3:$A$302,0)),"미등록사번"))</f>
        <v/>
      </c>
      <c r="D393" s="9"/>
      <c r="E393" s="15" t="str">
        <f aca="false">IF($D393="","",IFERROR(INDEX(교육과정!$B$3:$B$102,MATCH($D393,교육과정!$A$3:$A$102,0)),"미등록과정"))</f>
        <v/>
      </c>
      <c r="F393" s="13"/>
      <c r="G393" s="9"/>
      <c r="H393" s="9"/>
    </row>
    <row r="394" customFormat="false" ht="15" hidden="false" customHeight="true" outlineLevel="0" collapsed="false">
      <c r="A394" s="11"/>
      <c r="B394" s="9"/>
      <c r="C394" s="15" t="str">
        <f aca="false">IF($B394="","",IFERROR(INDEX(직원목록!$B$3:$B$302,MATCH($B394,직원목록!$A$3:$A$302,0)),"미등록사번"))</f>
        <v/>
      </c>
      <c r="D394" s="9"/>
      <c r="E394" s="15" t="str">
        <f aca="false">IF($D394="","",IFERROR(INDEX(교육과정!$B$3:$B$102,MATCH($D394,교육과정!$A$3:$A$102,0)),"미등록과정"))</f>
        <v/>
      </c>
      <c r="F394" s="13"/>
      <c r="G394" s="9"/>
      <c r="H394" s="9"/>
    </row>
    <row r="395" customFormat="false" ht="15" hidden="false" customHeight="true" outlineLevel="0" collapsed="false">
      <c r="A395" s="11"/>
      <c r="B395" s="9"/>
      <c r="C395" s="15" t="str">
        <f aca="false">IF($B395="","",IFERROR(INDEX(직원목록!$B$3:$B$302,MATCH($B395,직원목록!$A$3:$A$302,0)),"미등록사번"))</f>
        <v/>
      </c>
      <c r="D395" s="9"/>
      <c r="E395" s="15" t="str">
        <f aca="false">IF($D395="","",IFERROR(INDEX(교육과정!$B$3:$B$102,MATCH($D395,교육과정!$A$3:$A$102,0)),"미등록과정"))</f>
        <v/>
      </c>
      <c r="F395" s="13"/>
      <c r="G395" s="9"/>
      <c r="H395" s="9"/>
    </row>
    <row r="396" customFormat="false" ht="15" hidden="false" customHeight="true" outlineLevel="0" collapsed="false">
      <c r="A396" s="11"/>
      <c r="B396" s="9"/>
      <c r="C396" s="15" t="str">
        <f aca="false">IF($B396="","",IFERROR(INDEX(직원목록!$B$3:$B$302,MATCH($B396,직원목록!$A$3:$A$302,0)),"미등록사번"))</f>
        <v/>
      </c>
      <c r="D396" s="9"/>
      <c r="E396" s="15" t="str">
        <f aca="false">IF($D396="","",IFERROR(INDEX(교육과정!$B$3:$B$102,MATCH($D396,교육과정!$A$3:$A$102,0)),"미등록과정"))</f>
        <v/>
      </c>
      <c r="F396" s="13"/>
      <c r="G396" s="9"/>
      <c r="H396" s="9"/>
    </row>
    <row r="397" customFormat="false" ht="15" hidden="false" customHeight="true" outlineLevel="0" collapsed="false">
      <c r="A397" s="11"/>
      <c r="B397" s="9"/>
      <c r="C397" s="15" t="str">
        <f aca="false">IF($B397="","",IFERROR(INDEX(직원목록!$B$3:$B$302,MATCH($B397,직원목록!$A$3:$A$302,0)),"미등록사번"))</f>
        <v/>
      </c>
      <c r="D397" s="9"/>
      <c r="E397" s="15" t="str">
        <f aca="false">IF($D397="","",IFERROR(INDEX(교육과정!$B$3:$B$102,MATCH($D397,교육과정!$A$3:$A$102,0)),"미등록과정"))</f>
        <v/>
      </c>
      <c r="F397" s="13"/>
      <c r="G397" s="9"/>
      <c r="H397" s="9"/>
    </row>
    <row r="398" customFormat="false" ht="15" hidden="false" customHeight="true" outlineLevel="0" collapsed="false">
      <c r="A398" s="11"/>
      <c r="B398" s="9"/>
      <c r="C398" s="15" t="str">
        <f aca="false">IF($B398="","",IFERROR(INDEX(직원목록!$B$3:$B$302,MATCH($B398,직원목록!$A$3:$A$302,0)),"미등록사번"))</f>
        <v/>
      </c>
      <c r="D398" s="9"/>
      <c r="E398" s="15" t="str">
        <f aca="false">IF($D398="","",IFERROR(INDEX(교육과정!$B$3:$B$102,MATCH($D398,교육과정!$A$3:$A$102,0)),"미등록과정"))</f>
        <v/>
      </c>
      <c r="F398" s="13"/>
      <c r="G398" s="9"/>
      <c r="H398" s="9"/>
    </row>
    <row r="399" customFormat="false" ht="15" hidden="false" customHeight="true" outlineLevel="0" collapsed="false">
      <c r="A399" s="11"/>
      <c r="B399" s="9"/>
      <c r="C399" s="15" t="str">
        <f aca="false">IF($B399="","",IFERROR(INDEX(직원목록!$B$3:$B$302,MATCH($B399,직원목록!$A$3:$A$302,0)),"미등록사번"))</f>
        <v/>
      </c>
      <c r="D399" s="9"/>
      <c r="E399" s="15" t="str">
        <f aca="false">IF($D399="","",IFERROR(INDEX(교육과정!$B$3:$B$102,MATCH($D399,교육과정!$A$3:$A$102,0)),"미등록과정"))</f>
        <v/>
      </c>
      <c r="F399" s="13"/>
      <c r="G399" s="9"/>
      <c r="H399" s="9"/>
    </row>
    <row r="400" customFormat="false" ht="15" hidden="false" customHeight="true" outlineLevel="0" collapsed="false">
      <c r="A400" s="11"/>
      <c r="B400" s="9"/>
      <c r="C400" s="15" t="str">
        <f aca="false">IF($B400="","",IFERROR(INDEX(직원목록!$B$3:$B$302,MATCH($B400,직원목록!$A$3:$A$302,0)),"미등록사번"))</f>
        <v/>
      </c>
      <c r="D400" s="9"/>
      <c r="E400" s="15" t="str">
        <f aca="false">IF($D400="","",IFERROR(INDEX(교육과정!$B$3:$B$102,MATCH($D400,교육과정!$A$3:$A$102,0)),"미등록과정"))</f>
        <v/>
      </c>
      <c r="F400" s="13"/>
      <c r="G400" s="9"/>
      <c r="H400" s="9"/>
    </row>
    <row r="401" customFormat="false" ht="15" hidden="false" customHeight="true" outlineLevel="0" collapsed="false">
      <c r="A401" s="11"/>
      <c r="B401" s="9"/>
      <c r="C401" s="15" t="str">
        <f aca="false">IF($B401="","",IFERROR(INDEX(직원목록!$B$3:$B$302,MATCH($B401,직원목록!$A$3:$A$302,0)),"미등록사번"))</f>
        <v/>
      </c>
      <c r="D401" s="9"/>
      <c r="E401" s="15" t="str">
        <f aca="false">IF($D401="","",IFERROR(INDEX(교육과정!$B$3:$B$102,MATCH($D401,교육과정!$A$3:$A$102,0)),"미등록과정"))</f>
        <v/>
      </c>
      <c r="F401" s="13"/>
      <c r="G401" s="9"/>
      <c r="H401" s="9"/>
    </row>
    <row r="402" customFormat="false" ht="15" hidden="false" customHeight="true" outlineLevel="0" collapsed="false">
      <c r="A402" s="11"/>
      <c r="B402" s="9"/>
      <c r="C402" s="15" t="str">
        <f aca="false">IF($B402="","",IFERROR(INDEX(직원목록!$B$3:$B$302,MATCH($B402,직원목록!$A$3:$A$302,0)),"미등록사번"))</f>
        <v/>
      </c>
      <c r="D402" s="9"/>
      <c r="E402" s="15" t="str">
        <f aca="false">IF($D402="","",IFERROR(INDEX(교육과정!$B$3:$B$102,MATCH($D402,교육과정!$A$3:$A$102,0)),"미등록과정"))</f>
        <v/>
      </c>
      <c r="F402" s="13"/>
      <c r="G402" s="9"/>
      <c r="H402" s="9"/>
    </row>
    <row r="403" customFormat="false" ht="15" hidden="false" customHeight="true" outlineLevel="0" collapsed="false">
      <c r="A403" s="11"/>
      <c r="B403" s="9"/>
      <c r="C403" s="15" t="str">
        <f aca="false">IF($B403="","",IFERROR(INDEX(직원목록!$B$3:$B$302,MATCH($B403,직원목록!$A$3:$A$302,0)),"미등록사번"))</f>
        <v/>
      </c>
      <c r="D403" s="9"/>
      <c r="E403" s="15" t="str">
        <f aca="false">IF($D403="","",IFERROR(INDEX(교육과정!$B$3:$B$102,MATCH($D403,교육과정!$A$3:$A$102,0)),"미등록과정"))</f>
        <v/>
      </c>
      <c r="F403" s="13"/>
      <c r="G403" s="9"/>
      <c r="H403" s="9"/>
    </row>
    <row r="404" customFormat="false" ht="15" hidden="false" customHeight="true" outlineLevel="0" collapsed="false">
      <c r="A404" s="11"/>
      <c r="B404" s="9"/>
      <c r="C404" s="15" t="str">
        <f aca="false">IF($B404="","",IFERROR(INDEX(직원목록!$B$3:$B$302,MATCH($B404,직원목록!$A$3:$A$302,0)),"미등록사번"))</f>
        <v/>
      </c>
      <c r="D404" s="9"/>
      <c r="E404" s="15" t="str">
        <f aca="false">IF($D404="","",IFERROR(INDEX(교육과정!$B$3:$B$102,MATCH($D404,교육과정!$A$3:$A$102,0)),"미등록과정"))</f>
        <v/>
      </c>
      <c r="F404" s="13"/>
      <c r="G404" s="9"/>
      <c r="H404" s="9"/>
    </row>
    <row r="405" customFormat="false" ht="15" hidden="false" customHeight="true" outlineLevel="0" collapsed="false">
      <c r="A405" s="11"/>
      <c r="B405" s="9"/>
      <c r="C405" s="15" t="str">
        <f aca="false">IF($B405="","",IFERROR(INDEX(직원목록!$B$3:$B$302,MATCH($B405,직원목록!$A$3:$A$302,0)),"미등록사번"))</f>
        <v/>
      </c>
      <c r="D405" s="9"/>
      <c r="E405" s="15" t="str">
        <f aca="false">IF($D405="","",IFERROR(INDEX(교육과정!$B$3:$B$102,MATCH($D405,교육과정!$A$3:$A$102,0)),"미등록과정"))</f>
        <v/>
      </c>
      <c r="F405" s="13"/>
      <c r="G405" s="9"/>
      <c r="H405" s="9"/>
    </row>
    <row r="406" customFormat="false" ht="15" hidden="false" customHeight="true" outlineLevel="0" collapsed="false">
      <c r="A406" s="11"/>
      <c r="B406" s="9"/>
      <c r="C406" s="15" t="str">
        <f aca="false">IF($B406="","",IFERROR(INDEX(직원목록!$B$3:$B$302,MATCH($B406,직원목록!$A$3:$A$302,0)),"미등록사번"))</f>
        <v/>
      </c>
      <c r="D406" s="9"/>
      <c r="E406" s="15" t="str">
        <f aca="false">IF($D406="","",IFERROR(INDEX(교육과정!$B$3:$B$102,MATCH($D406,교육과정!$A$3:$A$102,0)),"미등록과정"))</f>
        <v/>
      </c>
      <c r="F406" s="13"/>
      <c r="G406" s="9"/>
      <c r="H406" s="9"/>
    </row>
    <row r="407" customFormat="false" ht="15" hidden="false" customHeight="true" outlineLevel="0" collapsed="false">
      <c r="A407" s="11"/>
      <c r="B407" s="9"/>
      <c r="C407" s="15" t="str">
        <f aca="false">IF($B407="","",IFERROR(INDEX(직원목록!$B$3:$B$302,MATCH($B407,직원목록!$A$3:$A$302,0)),"미등록사번"))</f>
        <v/>
      </c>
      <c r="D407" s="9"/>
      <c r="E407" s="15" t="str">
        <f aca="false">IF($D407="","",IFERROR(INDEX(교육과정!$B$3:$B$102,MATCH($D407,교육과정!$A$3:$A$102,0)),"미등록과정"))</f>
        <v/>
      </c>
      <c r="F407" s="13"/>
      <c r="G407" s="9"/>
      <c r="H407" s="9"/>
    </row>
    <row r="408" customFormat="false" ht="15" hidden="false" customHeight="true" outlineLevel="0" collapsed="false">
      <c r="A408" s="11"/>
      <c r="B408" s="9"/>
      <c r="C408" s="15" t="str">
        <f aca="false">IF($B408="","",IFERROR(INDEX(직원목록!$B$3:$B$302,MATCH($B408,직원목록!$A$3:$A$302,0)),"미등록사번"))</f>
        <v/>
      </c>
      <c r="D408" s="9"/>
      <c r="E408" s="15" t="str">
        <f aca="false">IF($D408="","",IFERROR(INDEX(교육과정!$B$3:$B$102,MATCH($D408,교육과정!$A$3:$A$102,0)),"미등록과정"))</f>
        <v/>
      </c>
      <c r="F408" s="13"/>
      <c r="G408" s="9"/>
      <c r="H408" s="9"/>
    </row>
    <row r="409" customFormat="false" ht="15" hidden="false" customHeight="true" outlineLevel="0" collapsed="false">
      <c r="A409" s="11"/>
      <c r="B409" s="9"/>
      <c r="C409" s="15" t="str">
        <f aca="false">IF($B409="","",IFERROR(INDEX(직원목록!$B$3:$B$302,MATCH($B409,직원목록!$A$3:$A$302,0)),"미등록사번"))</f>
        <v/>
      </c>
      <c r="D409" s="9"/>
      <c r="E409" s="15" t="str">
        <f aca="false">IF($D409="","",IFERROR(INDEX(교육과정!$B$3:$B$102,MATCH($D409,교육과정!$A$3:$A$102,0)),"미등록과정"))</f>
        <v/>
      </c>
      <c r="F409" s="13"/>
      <c r="G409" s="9"/>
      <c r="H409" s="9"/>
    </row>
    <row r="410" customFormat="false" ht="15" hidden="false" customHeight="true" outlineLevel="0" collapsed="false">
      <c r="A410" s="11"/>
      <c r="B410" s="9"/>
      <c r="C410" s="15" t="str">
        <f aca="false">IF($B410="","",IFERROR(INDEX(직원목록!$B$3:$B$302,MATCH($B410,직원목록!$A$3:$A$302,0)),"미등록사번"))</f>
        <v/>
      </c>
      <c r="D410" s="9"/>
      <c r="E410" s="15" t="str">
        <f aca="false">IF($D410="","",IFERROR(INDEX(교육과정!$B$3:$B$102,MATCH($D410,교육과정!$A$3:$A$102,0)),"미등록과정"))</f>
        <v/>
      </c>
      <c r="F410" s="13"/>
      <c r="G410" s="9"/>
      <c r="H410" s="9"/>
    </row>
    <row r="411" customFormat="false" ht="15" hidden="false" customHeight="true" outlineLevel="0" collapsed="false">
      <c r="A411" s="11"/>
      <c r="B411" s="9"/>
      <c r="C411" s="15" t="str">
        <f aca="false">IF($B411="","",IFERROR(INDEX(직원목록!$B$3:$B$302,MATCH($B411,직원목록!$A$3:$A$302,0)),"미등록사번"))</f>
        <v/>
      </c>
      <c r="D411" s="9"/>
      <c r="E411" s="15" t="str">
        <f aca="false">IF($D411="","",IFERROR(INDEX(교육과정!$B$3:$B$102,MATCH($D411,교육과정!$A$3:$A$102,0)),"미등록과정"))</f>
        <v/>
      </c>
      <c r="F411" s="13"/>
      <c r="G411" s="9"/>
      <c r="H411" s="9"/>
    </row>
    <row r="412" customFormat="false" ht="15" hidden="false" customHeight="true" outlineLevel="0" collapsed="false">
      <c r="A412" s="11"/>
      <c r="B412" s="9"/>
      <c r="C412" s="15" t="str">
        <f aca="false">IF($B412="","",IFERROR(INDEX(직원목록!$B$3:$B$302,MATCH($B412,직원목록!$A$3:$A$302,0)),"미등록사번"))</f>
        <v/>
      </c>
      <c r="D412" s="9"/>
      <c r="E412" s="15" t="str">
        <f aca="false">IF($D412="","",IFERROR(INDEX(교육과정!$B$3:$B$102,MATCH($D412,교육과정!$A$3:$A$102,0)),"미등록과정"))</f>
        <v/>
      </c>
      <c r="F412" s="13"/>
      <c r="G412" s="9"/>
      <c r="H412" s="9"/>
    </row>
    <row r="413" customFormat="false" ht="15" hidden="false" customHeight="true" outlineLevel="0" collapsed="false">
      <c r="A413" s="11"/>
      <c r="B413" s="9"/>
      <c r="C413" s="15" t="str">
        <f aca="false">IF($B413="","",IFERROR(INDEX(직원목록!$B$3:$B$302,MATCH($B413,직원목록!$A$3:$A$302,0)),"미등록사번"))</f>
        <v/>
      </c>
      <c r="D413" s="9"/>
      <c r="E413" s="15" t="str">
        <f aca="false">IF($D413="","",IFERROR(INDEX(교육과정!$B$3:$B$102,MATCH($D413,교육과정!$A$3:$A$102,0)),"미등록과정"))</f>
        <v/>
      </c>
      <c r="F413" s="13"/>
      <c r="G413" s="9"/>
      <c r="H413" s="9"/>
    </row>
    <row r="414" customFormat="false" ht="15" hidden="false" customHeight="true" outlineLevel="0" collapsed="false">
      <c r="A414" s="11"/>
      <c r="B414" s="9"/>
      <c r="C414" s="15" t="str">
        <f aca="false">IF($B414="","",IFERROR(INDEX(직원목록!$B$3:$B$302,MATCH($B414,직원목록!$A$3:$A$302,0)),"미등록사번"))</f>
        <v/>
      </c>
      <c r="D414" s="9"/>
      <c r="E414" s="15" t="str">
        <f aca="false">IF($D414="","",IFERROR(INDEX(교육과정!$B$3:$B$102,MATCH($D414,교육과정!$A$3:$A$102,0)),"미등록과정"))</f>
        <v/>
      </c>
      <c r="F414" s="13"/>
      <c r="G414" s="9"/>
      <c r="H414" s="9"/>
    </row>
    <row r="415" customFormat="false" ht="15" hidden="false" customHeight="true" outlineLevel="0" collapsed="false">
      <c r="A415" s="11"/>
      <c r="B415" s="9"/>
      <c r="C415" s="15" t="str">
        <f aca="false">IF($B415="","",IFERROR(INDEX(직원목록!$B$3:$B$302,MATCH($B415,직원목록!$A$3:$A$302,0)),"미등록사번"))</f>
        <v/>
      </c>
      <c r="D415" s="9"/>
      <c r="E415" s="15" t="str">
        <f aca="false">IF($D415="","",IFERROR(INDEX(교육과정!$B$3:$B$102,MATCH($D415,교육과정!$A$3:$A$102,0)),"미등록과정"))</f>
        <v/>
      </c>
      <c r="F415" s="13"/>
      <c r="G415" s="9"/>
      <c r="H415" s="9"/>
    </row>
    <row r="416" customFormat="false" ht="15" hidden="false" customHeight="true" outlineLevel="0" collapsed="false">
      <c r="A416" s="11"/>
      <c r="B416" s="9"/>
      <c r="C416" s="15" t="str">
        <f aca="false">IF($B416="","",IFERROR(INDEX(직원목록!$B$3:$B$302,MATCH($B416,직원목록!$A$3:$A$302,0)),"미등록사번"))</f>
        <v/>
      </c>
      <c r="D416" s="9"/>
      <c r="E416" s="15" t="str">
        <f aca="false">IF($D416="","",IFERROR(INDEX(교육과정!$B$3:$B$102,MATCH($D416,교육과정!$A$3:$A$102,0)),"미등록과정"))</f>
        <v/>
      </c>
      <c r="F416" s="13"/>
      <c r="G416" s="9"/>
      <c r="H416" s="9"/>
    </row>
    <row r="417" customFormat="false" ht="15" hidden="false" customHeight="true" outlineLevel="0" collapsed="false">
      <c r="A417" s="11"/>
      <c r="B417" s="9"/>
      <c r="C417" s="15" t="str">
        <f aca="false">IF($B417="","",IFERROR(INDEX(직원목록!$B$3:$B$302,MATCH($B417,직원목록!$A$3:$A$302,0)),"미등록사번"))</f>
        <v/>
      </c>
      <c r="D417" s="9"/>
      <c r="E417" s="15" t="str">
        <f aca="false">IF($D417="","",IFERROR(INDEX(교육과정!$B$3:$B$102,MATCH($D417,교육과정!$A$3:$A$102,0)),"미등록과정"))</f>
        <v/>
      </c>
      <c r="F417" s="13"/>
      <c r="G417" s="9"/>
      <c r="H417" s="9"/>
    </row>
    <row r="418" customFormat="false" ht="15" hidden="false" customHeight="true" outlineLevel="0" collapsed="false">
      <c r="A418" s="11"/>
      <c r="B418" s="9"/>
      <c r="C418" s="15" t="str">
        <f aca="false">IF($B418="","",IFERROR(INDEX(직원목록!$B$3:$B$302,MATCH($B418,직원목록!$A$3:$A$302,0)),"미등록사번"))</f>
        <v/>
      </c>
      <c r="D418" s="9"/>
      <c r="E418" s="15" t="str">
        <f aca="false">IF($D418="","",IFERROR(INDEX(교육과정!$B$3:$B$102,MATCH($D418,교육과정!$A$3:$A$102,0)),"미등록과정"))</f>
        <v/>
      </c>
      <c r="F418" s="13"/>
      <c r="G418" s="9"/>
      <c r="H418" s="9"/>
    </row>
    <row r="419" customFormat="false" ht="15" hidden="false" customHeight="true" outlineLevel="0" collapsed="false">
      <c r="A419" s="11"/>
      <c r="B419" s="9"/>
      <c r="C419" s="15" t="str">
        <f aca="false">IF($B419="","",IFERROR(INDEX(직원목록!$B$3:$B$302,MATCH($B419,직원목록!$A$3:$A$302,0)),"미등록사번"))</f>
        <v/>
      </c>
      <c r="D419" s="9"/>
      <c r="E419" s="15" t="str">
        <f aca="false">IF($D419="","",IFERROR(INDEX(교육과정!$B$3:$B$102,MATCH($D419,교육과정!$A$3:$A$102,0)),"미등록과정"))</f>
        <v/>
      </c>
      <c r="F419" s="13"/>
      <c r="G419" s="9"/>
      <c r="H419" s="9"/>
    </row>
    <row r="420" customFormat="false" ht="15" hidden="false" customHeight="true" outlineLevel="0" collapsed="false">
      <c r="A420" s="11"/>
      <c r="B420" s="9"/>
      <c r="C420" s="15" t="str">
        <f aca="false">IF($B420="","",IFERROR(INDEX(직원목록!$B$3:$B$302,MATCH($B420,직원목록!$A$3:$A$302,0)),"미등록사번"))</f>
        <v/>
      </c>
      <c r="D420" s="9"/>
      <c r="E420" s="15" t="str">
        <f aca="false">IF($D420="","",IFERROR(INDEX(교육과정!$B$3:$B$102,MATCH($D420,교육과정!$A$3:$A$102,0)),"미등록과정"))</f>
        <v/>
      </c>
      <c r="F420" s="13"/>
      <c r="G420" s="9"/>
      <c r="H420" s="9"/>
    </row>
    <row r="421" customFormat="false" ht="15" hidden="false" customHeight="true" outlineLevel="0" collapsed="false">
      <c r="A421" s="11"/>
      <c r="B421" s="9"/>
      <c r="C421" s="15" t="str">
        <f aca="false">IF($B421="","",IFERROR(INDEX(직원목록!$B$3:$B$302,MATCH($B421,직원목록!$A$3:$A$302,0)),"미등록사번"))</f>
        <v/>
      </c>
      <c r="D421" s="9"/>
      <c r="E421" s="15" t="str">
        <f aca="false">IF($D421="","",IFERROR(INDEX(교육과정!$B$3:$B$102,MATCH($D421,교육과정!$A$3:$A$102,0)),"미등록과정"))</f>
        <v/>
      </c>
      <c r="F421" s="13"/>
      <c r="G421" s="9"/>
      <c r="H421" s="9"/>
    </row>
    <row r="422" customFormat="false" ht="15" hidden="false" customHeight="true" outlineLevel="0" collapsed="false">
      <c r="A422" s="11"/>
      <c r="B422" s="9"/>
      <c r="C422" s="15" t="str">
        <f aca="false">IF($B422="","",IFERROR(INDEX(직원목록!$B$3:$B$302,MATCH($B422,직원목록!$A$3:$A$302,0)),"미등록사번"))</f>
        <v/>
      </c>
      <c r="D422" s="9"/>
      <c r="E422" s="15" t="str">
        <f aca="false">IF($D422="","",IFERROR(INDEX(교육과정!$B$3:$B$102,MATCH($D422,교육과정!$A$3:$A$102,0)),"미등록과정"))</f>
        <v/>
      </c>
      <c r="F422" s="13"/>
      <c r="G422" s="9"/>
      <c r="H422" s="9"/>
    </row>
    <row r="423" customFormat="false" ht="15" hidden="false" customHeight="true" outlineLevel="0" collapsed="false">
      <c r="A423" s="11"/>
      <c r="B423" s="9"/>
      <c r="C423" s="15" t="str">
        <f aca="false">IF($B423="","",IFERROR(INDEX(직원목록!$B$3:$B$302,MATCH($B423,직원목록!$A$3:$A$302,0)),"미등록사번"))</f>
        <v/>
      </c>
      <c r="D423" s="9"/>
      <c r="E423" s="15" t="str">
        <f aca="false">IF($D423="","",IFERROR(INDEX(교육과정!$B$3:$B$102,MATCH($D423,교육과정!$A$3:$A$102,0)),"미등록과정"))</f>
        <v/>
      </c>
      <c r="F423" s="13"/>
      <c r="G423" s="9"/>
      <c r="H423" s="9"/>
    </row>
    <row r="424" customFormat="false" ht="15" hidden="false" customHeight="true" outlineLevel="0" collapsed="false">
      <c r="A424" s="11"/>
      <c r="B424" s="9"/>
      <c r="C424" s="15" t="str">
        <f aca="false">IF($B424="","",IFERROR(INDEX(직원목록!$B$3:$B$302,MATCH($B424,직원목록!$A$3:$A$302,0)),"미등록사번"))</f>
        <v/>
      </c>
      <c r="D424" s="9"/>
      <c r="E424" s="15" t="str">
        <f aca="false">IF($D424="","",IFERROR(INDEX(교육과정!$B$3:$B$102,MATCH($D424,교육과정!$A$3:$A$102,0)),"미등록과정"))</f>
        <v/>
      </c>
      <c r="F424" s="13"/>
      <c r="G424" s="9"/>
      <c r="H424" s="9"/>
    </row>
    <row r="425" customFormat="false" ht="15" hidden="false" customHeight="true" outlineLevel="0" collapsed="false">
      <c r="A425" s="11"/>
      <c r="B425" s="9"/>
      <c r="C425" s="15" t="str">
        <f aca="false">IF($B425="","",IFERROR(INDEX(직원목록!$B$3:$B$302,MATCH($B425,직원목록!$A$3:$A$302,0)),"미등록사번"))</f>
        <v/>
      </c>
      <c r="D425" s="9"/>
      <c r="E425" s="15" t="str">
        <f aca="false">IF($D425="","",IFERROR(INDEX(교육과정!$B$3:$B$102,MATCH($D425,교육과정!$A$3:$A$102,0)),"미등록과정"))</f>
        <v/>
      </c>
      <c r="F425" s="13"/>
      <c r="G425" s="9"/>
      <c r="H425" s="9"/>
    </row>
    <row r="426" customFormat="false" ht="15" hidden="false" customHeight="true" outlineLevel="0" collapsed="false">
      <c r="A426" s="11"/>
      <c r="B426" s="9"/>
      <c r="C426" s="15" t="str">
        <f aca="false">IF($B426="","",IFERROR(INDEX(직원목록!$B$3:$B$302,MATCH($B426,직원목록!$A$3:$A$302,0)),"미등록사번"))</f>
        <v/>
      </c>
      <c r="D426" s="9"/>
      <c r="E426" s="15" t="str">
        <f aca="false">IF($D426="","",IFERROR(INDEX(교육과정!$B$3:$B$102,MATCH($D426,교육과정!$A$3:$A$102,0)),"미등록과정"))</f>
        <v/>
      </c>
      <c r="F426" s="13"/>
      <c r="G426" s="9"/>
      <c r="H426" s="9"/>
    </row>
    <row r="427" customFormat="false" ht="15" hidden="false" customHeight="true" outlineLevel="0" collapsed="false">
      <c r="A427" s="11"/>
      <c r="B427" s="9"/>
      <c r="C427" s="15" t="str">
        <f aca="false">IF($B427="","",IFERROR(INDEX(직원목록!$B$3:$B$302,MATCH($B427,직원목록!$A$3:$A$302,0)),"미등록사번"))</f>
        <v/>
      </c>
      <c r="D427" s="9"/>
      <c r="E427" s="15" t="str">
        <f aca="false">IF($D427="","",IFERROR(INDEX(교육과정!$B$3:$B$102,MATCH($D427,교육과정!$A$3:$A$102,0)),"미등록과정"))</f>
        <v/>
      </c>
      <c r="F427" s="13"/>
      <c r="G427" s="9"/>
      <c r="H427" s="9"/>
    </row>
    <row r="428" customFormat="false" ht="15" hidden="false" customHeight="true" outlineLevel="0" collapsed="false">
      <c r="A428" s="11"/>
      <c r="B428" s="9"/>
      <c r="C428" s="15" t="str">
        <f aca="false">IF($B428="","",IFERROR(INDEX(직원목록!$B$3:$B$302,MATCH($B428,직원목록!$A$3:$A$302,0)),"미등록사번"))</f>
        <v/>
      </c>
      <c r="D428" s="9"/>
      <c r="E428" s="15" t="str">
        <f aca="false">IF($D428="","",IFERROR(INDEX(교육과정!$B$3:$B$102,MATCH($D428,교육과정!$A$3:$A$102,0)),"미등록과정"))</f>
        <v/>
      </c>
      <c r="F428" s="13"/>
      <c r="G428" s="9"/>
      <c r="H428" s="9"/>
    </row>
    <row r="429" customFormat="false" ht="15" hidden="false" customHeight="true" outlineLevel="0" collapsed="false">
      <c r="A429" s="11"/>
      <c r="B429" s="9"/>
      <c r="C429" s="15" t="str">
        <f aca="false">IF($B429="","",IFERROR(INDEX(직원목록!$B$3:$B$302,MATCH($B429,직원목록!$A$3:$A$302,0)),"미등록사번"))</f>
        <v/>
      </c>
      <c r="D429" s="9"/>
      <c r="E429" s="15" t="str">
        <f aca="false">IF($D429="","",IFERROR(INDEX(교육과정!$B$3:$B$102,MATCH($D429,교육과정!$A$3:$A$102,0)),"미등록과정"))</f>
        <v/>
      </c>
      <c r="F429" s="13"/>
      <c r="G429" s="9"/>
      <c r="H429" s="9"/>
    </row>
    <row r="430" customFormat="false" ht="15" hidden="false" customHeight="true" outlineLevel="0" collapsed="false">
      <c r="A430" s="11"/>
      <c r="B430" s="9"/>
      <c r="C430" s="15" t="str">
        <f aca="false">IF($B430="","",IFERROR(INDEX(직원목록!$B$3:$B$302,MATCH($B430,직원목록!$A$3:$A$302,0)),"미등록사번"))</f>
        <v/>
      </c>
      <c r="D430" s="9"/>
      <c r="E430" s="15" t="str">
        <f aca="false">IF($D430="","",IFERROR(INDEX(교육과정!$B$3:$B$102,MATCH($D430,교육과정!$A$3:$A$102,0)),"미등록과정"))</f>
        <v/>
      </c>
      <c r="F430" s="13"/>
      <c r="G430" s="9"/>
      <c r="H430" s="9"/>
    </row>
    <row r="431" customFormat="false" ht="15" hidden="false" customHeight="true" outlineLevel="0" collapsed="false">
      <c r="A431" s="11"/>
      <c r="B431" s="9"/>
      <c r="C431" s="15" t="str">
        <f aca="false">IF($B431="","",IFERROR(INDEX(직원목록!$B$3:$B$302,MATCH($B431,직원목록!$A$3:$A$302,0)),"미등록사번"))</f>
        <v/>
      </c>
      <c r="D431" s="9"/>
      <c r="E431" s="15" t="str">
        <f aca="false">IF($D431="","",IFERROR(INDEX(교육과정!$B$3:$B$102,MATCH($D431,교육과정!$A$3:$A$102,0)),"미등록과정"))</f>
        <v/>
      </c>
      <c r="F431" s="13"/>
      <c r="G431" s="9"/>
      <c r="H431" s="9"/>
    </row>
    <row r="432" customFormat="false" ht="15" hidden="false" customHeight="true" outlineLevel="0" collapsed="false">
      <c r="A432" s="11"/>
      <c r="B432" s="9"/>
      <c r="C432" s="15" t="str">
        <f aca="false">IF($B432="","",IFERROR(INDEX(직원목록!$B$3:$B$302,MATCH($B432,직원목록!$A$3:$A$302,0)),"미등록사번"))</f>
        <v/>
      </c>
      <c r="D432" s="9"/>
      <c r="E432" s="15" t="str">
        <f aca="false">IF($D432="","",IFERROR(INDEX(교육과정!$B$3:$B$102,MATCH($D432,교육과정!$A$3:$A$102,0)),"미등록과정"))</f>
        <v/>
      </c>
      <c r="F432" s="13"/>
      <c r="G432" s="9"/>
      <c r="H432" s="9"/>
    </row>
    <row r="433" customFormat="false" ht="15" hidden="false" customHeight="true" outlineLevel="0" collapsed="false">
      <c r="A433" s="11"/>
      <c r="B433" s="9"/>
      <c r="C433" s="15" t="str">
        <f aca="false">IF($B433="","",IFERROR(INDEX(직원목록!$B$3:$B$302,MATCH($B433,직원목록!$A$3:$A$302,0)),"미등록사번"))</f>
        <v/>
      </c>
      <c r="D433" s="9"/>
      <c r="E433" s="15" t="str">
        <f aca="false">IF($D433="","",IFERROR(INDEX(교육과정!$B$3:$B$102,MATCH($D433,교육과정!$A$3:$A$102,0)),"미등록과정"))</f>
        <v/>
      </c>
      <c r="F433" s="13"/>
      <c r="G433" s="9"/>
      <c r="H433" s="9"/>
    </row>
    <row r="434" customFormat="false" ht="15" hidden="false" customHeight="true" outlineLevel="0" collapsed="false">
      <c r="A434" s="11"/>
      <c r="B434" s="9"/>
      <c r="C434" s="15" t="str">
        <f aca="false">IF($B434="","",IFERROR(INDEX(직원목록!$B$3:$B$302,MATCH($B434,직원목록!$A$3:$A$302,0)),"미등록사번"))</f>
        <v/>
      </c>
      <c r="D434" s="9"/>
      <c r="E434" s="15" t="str">
        <f aca="false">IF($D434="","",IFERROR(INDEX(교육과정!$B$3:$B$102,MATCH($D434,교육과정!$A$3:$A$102,0)),"미등록과정"))</f>
        <v/>
      </c>
      <c r="F434" s="13"/>
      <c r="G434" s="9"/>
      <c r="H434" s="9"/>
    </row>
    <row r="435" customFormat="false" ht="15" hidden="false" customHeight="true" outlineLevel="0" collapsed="false">
      <c r="A435" s="11"/>
      <c r="B435" s="9"/>
      <c r="C435" s="15" t="str">
        <f aca="false">IF($B435="","",IFERROR(INDEX(직원목록!$B$3:$B$302,MATCH($B435,직원목록!$A$3:$A$302,0)),"미등록사번"))</f>
        <v/>
      </c>
      <c r="D435" s="9"/>
      <c r="E435" s="15" t="str">
        <f aca="false">IF($D435="","",IFERROR(INDEX(교육과정!$B$3:$B$102,MATCH($D435,교육과정!$A$3:$A$102,0)),"미등록과정"))</f>
        <v/>
      </c>
      <c r="F435" s="13"/>
      <c r="G435" s="9"/>
      <c r="H435" s="9"/>
    </row>
    <row r="436" customFormat="false" ht="15" hidden="false" customHeight="true" outlineLevel="0" collapsed="false">
      <c r="A436" s="11"/>
      <c r="B436" s="9"/>
      <c r="C436" s="15" t="str">
        <f aca="false">IF($B436="","",IFERROR(INDEX(직원목록!$B$3:$B$302,MATCH($B436,직원목록!$A$3:$A$302,0)),"미등록사번"))</f>
        <v/>
      </c>
      <c r="D436" s="9"/>
      <c r="E436" s="15" t="str">
        <f aca="false">IF($D436="","",IFERROR(INDEX(교육과정!$B$3:$B$102,MATCH($D436,교육과정!$A$3:$A$102,0)),"미등록과정"))</f>
        <v/>
      </c>
      <c r="F436" s="13"/>
      <c r="G436" s="9"/>
      <c r="H436" s="9"/>
    </row>
    <row r="437" customFormat="false" ht="15" hidden="false" customHeight="true" outlineLevel="0" collapsed="false">
      <c r="A437" s="11"/>
      <c r="B437" s="9"/>
      <c r="C437" s="15" t="str">
        <f aca="false">IF($B437="","",IFERROR(INDEX(직원목록!$B$3:$B$302,MATCH($B437,직원목록!$A$3:$A$302,0)),"미등록사번"))</f>
        <v/>
      </c>
      <c r="D437" s="9"/>
      <c r="E437" s="15" t="str">
        <f aca="false">IF($D437="","",IFERROR(INDEX(교육과정!$B$3:$B$102,MATCH($D437,교육과정!$A$3:$A$102,0)),"미등록과정"))</f>
        <v/>
      </c>
      <c r="F437" s="13"/>
      <c r="G437" s="9"/>
      <c r="H437" s="9"/>
    </row>
    <row r="438" customFormat="false" ht="15" hidden="false" customHeight="true" outlineLevel="0" collapsed="false">
      <c r="A438" s="11"/>
      <c r="B438" s="9"/>
      <c r="C438" s="15" t="str">
        <f aca="false">IF($B438="","",IFERROR(INDEX(직원목록!$B$3:$B$302,MATCH($B438,직원목록!$A$3:$A$302,0)),"미등록사번"))</f>
        <v/>
      </c>
      <c r="D438" s="9"/>
      <c r="E438" s="15" t="str">
        <f aca="false">IF($D438="","",IFERROR(INDEX(교육과정!$B$3:$B$102,MATCH($D438,교육과정!$A$3:$A$102,0)),"미등록과정"))</f>
        <v/>
      </c>
      <c r="F438" s="13"/>
      <c r="G438" s="9"/>
      <c r="H438" s="9"/>
    </row>
    <row r="439" customFormat="false" ht="15" hidden="false" customHeight="true" outlineLevel="0" collapsed="false">
      <c r="A439" s="11"/>
      <c r="B439" s="9"/>
      <c r="C439" s="15" t="str">
        <f aca="false">IF($B439="","",IFERROR(INDEX(직원목록!$B$3:$B$302,MATCH($B439,직원목록!$A$3:$A$302,0)),"미등록사번"))</f>
        <v/>
      </c>
      <c r="D439" s="9"/>
      <c r="E439" s="15" t="str">
        <f aca="false">IF($D439="","",IFERROR(INDEX(교육과정!$B$3:$B$102,MATCH($D439,교육과정!$A$3:$A$102,0)),"미등록과정"))</f>
        <v/>
      </c>
      <c r="F439" s="13"/>
      <c r="G439" s="9"/>
      <c r="H439" s="9"/>
    </row>
    <row r="440" customFormat="false" ht="15" hidden="false" customHeight="true" outlineLevel="0" collapsed="false">
      <c r="A440" s="11"/>
      <c r="B440" s="9"/>
      <c r="C440" s="15" t="str">
        <f aca="false">IF($B440="","",IFERROR(INDEX(직원목록!$B$3:$B$302,MATCH($B440,직원목록!$A$3:$A$302,0)),"미등록사번"))</f>
        <v/>
      </c>
      <c r="D440" s="9"/>
      <c r="E440" s="15" t="str">
        <f aca="false">IF($D440="","",IFERROR(INDEX(교육과정!$B$3:$B$102,MATCH($D440,교육과정!$A$3:$A$102,0)),"미등록과정"))</f>
        <v/>
      </c>
      <c r="F440" s="13"/>
      <c r="G440" s="9"/>
      <c r="H440" s="9"/>
    </row>
    <row r="441" customFormat="false" ht="15" hidden="false" customHeight="true" outlineLevel="0" collapsed="false">
      <c r="A441" s="11"/>
      <c r="B441" s="9"/>
      <c r="C441" s="15" t="str">
        <f aca="false">IF($B441="","",IFERROR(INDEX(직원목록!$B$3:$B$302,MATCH($B441,직원목록!$A$3:$A$302,0)),"미등록사번"))</f>
        <v/>
      </c>
      <c r="D441" s="9"/>
      <c r="E441" s="15" t="str">
        <f aca="false">IF($D441="","",IFERROR(INDEX(교육과정!$B$3:$B$102,MATCH($D441,교육과정!$A$3:$A$102,0)),"미등록과정"))</f>
        <v/>
      </c>
      <c r="F441" s="13"/>
      <c r="G441" s="9"/>
      <c r="H441" s="9"/>
    </row>
    <row r="442" customFormat="false" ht="15" hidden="false" customHeight="true" outlineLevel="0" collapsed="false">
      <c r="A442" s="11"/>
      <c r="B442" s="9"/>
      <c r="C442" s="15" t="str">
        <f aca="false">IF($B442="","",IFERROR(INDEX(직원목록!$B$3:$B$302,MATCH($B442,직원목록!$A$3:$A$302,0)),"미등록사번"))</f>
        <v/>
      </c>
      <c r="D442" s="9"/>
      <c r="E442" s="15" t="str">
        <f aca="false">IF($D442="","",IFERROR(INDEX(교육과정!$B$3:$B$102,MATCH($D442,교육과정!$A$3:$A$102,0)),"미등록과정"))</f>
        <v/>
      </c>
      <c r="F442" s="13"/>
      <c r="G442" s="9"/>
      <c r="H442" s="9"/>
    </row>
    <row r="443" customFormat="false" ht="15" hidden="false" customHeight="true" outlineLevel="0" collapsed="false">
      <c r="A443" s="11"/>
      <c r="B443" s="9"/>
      <c r="C443" s="15" t="str">
        <f aca="false">IF($B443="","",IFERROR(INDEX(직원목록!$B$3:$B$302,MATCH($B443,직원목록!$A$3:$A$302,0)),"미등록사번"))</f>
        <v/>
      </c>
      <c r="D443" s="9"/>
      <c r="E443" s="15" t="str">
        <f aca="false">IF($D443="","",IFERROR(INDEX(교육과정!$B$3:$B$102,MATCH($D443,교육과정!$A$3:$A$102,0)),"미등록과정"))</f>
        <v/>
      </c>
      <c r="F443" s="13"/>
      <c r="G443" s="9"/>
      <c r="H443" s="9"/>
    </row>
    <row r="444" customFormat="false" ht="15" hidden="false" customHeight="true" outlineLevel="0" collapsed="false">
      <c r="A444" s="11"/>
      <c r="B444" s="9"/>
      <c r="C444" s="15" t="str">
        <f aca="false">IF($B444="","",IFERROR(INDEX(직원목록!$B$3:$B$302,MATCH($B444,직원목록!$A$3:$A$302,0)),"미등록사번"))</f>
        <v/>
      </c>
      <c r="D444" s="9"/>
      <c r="E444" s="15" t="str">
        <f aca="false">IF($D444="","",IFERROR(INDEX(교육과정!$B$3:$B$102,MATCH($D444,교육과정!$A$3:$A$102,0)),"미등록과정"))</f>
        <v/>
      </c>
      <c r="F444" s="13"/>
      <c r="G444" s="9"/>
      <c r="H444" s="9"/>
    </row>
    <row r="445" customFormat="false" ht="15" hidden="false" customHeight="true" outlineLevel="0" collapsed="false">
      <c r="A445" s="11"/>
      <c r="B445" s="9"/>
      <c r="C445" s="15" t="str">
        <f aca="false">IF($B445="","",IFERROR(INDEX(직원목록!$B$3:$B$302,MATCH($B445,직원목록!$A$3:$A$302,0)),"미등록사번"))</f>
        <v/>
      </c>
      <c r="D445" s="9"/>
      <c r="E445" s="15" t="str">
        <f aca="false">IF($D445="","",IFERROR(INDEX(교육과정!$B$3:$B$102,MATCH($D445,교육과정!$A$3:$A$102,0)),"미등록과정"))</f>
        <v/>
      </c>
      <c r="F445" s="13"/>
      <c r="G445" s="9"/>
      <c r="H445" s="9"/>
    </row>
    <row r="446" customFormat="false" ht="15" hidden="false" customHeight="true" outlineLevel="0" collapsed="false">
      <c r="A446" s="11"/>
      <c r="B446" s="9"/>
      <c r="C446" s="15" t="str">
        <f aca="false">IF($B446="","",IFERROR(INDEX(직원목록!$B$3:$B$302,MATCH($B446,직원목록!$A$3:$A$302,0)),"미등록사번"))</f>
        <v/>
      </c>
      <c r="D446" s="9"/>
      <c r="E446" s="15" t="str">
        <f aca="false">IF($D446="","",IFERROR(INDEX(교육과정!$B$3:$B$102,MATCH($D446,교육과정!$A$3:$A$102,0)),"미등록과정"))</f>
        <v/>
      </c>
      <c r="F446" s="13"/>
      <c r="G446" s="9"/>
      <c r="H446" s="9"/>
    </row>
    <row r="447" customFormat="false" ht="15" hidden="false" customHeight="true" outlineLevel="0" collapsed="false">
      <c r="A447" s="11"/>
      <c r="B447" s="9"/>
      <c r="C447" s="15" t="str">
        <f aca="false">IF($B447="","",IFERROR(INDEX(직원목록!$B$3:$B$302,MATCH($B447,직원목록!$A$3:$A$302,0)),"미등록사번"))</f>
        <v/>
      </c>
      <c r="D447" s="9"/>
      <c r="E447" s="15" t="str">
        <f aca="false">IF($D447="","",IFERROR(INDEX(교육과정!$B$3:$B$102,MATCH($D447,교육과정!$A$3:$A$102,0)),"미등록과정"))</f>
        <v/>
      </c>
      <c r="F447" s="13"/>
      <c r="G447" s="9"/>
      <c r="H447" s="9"/>
    </row>
    <row r="448" customFormat="false" ht="15" hidden="false" customHeight="true" outlineLevel="0" collapsed="false">
      <c r="A448" s="11"/>
      <c r="B448" s="9"/>
      <c r="C448" s="15" t="str">
        <f aca="false">IF($B448="","",IFERROR(INDEX(직원목록!$B$3:$B$302,MATCH($B448,직원목록!$A$3:$A$302,0)),"미등록사번"))</f>
        <v/>
      </c>
      <c r="D448" s="9"/>
      <c r="E448" s="15" t="str">
        <f aca="false">IF($D448="","",IFERROR(INDEX(교육과정!$B$3:$B$102,MATCH($D448,교육과정!$A$3:$A$102,0)),"미등록과정"))</f>
        <v/>
      </c>
      <c r="F448" s="13"/>
      <c r="G448" s="9"/>
      <c r="H448" s="9"/>
    </row>
    <row r="449" customFormat="false" ht="15" hidden="false" customHeight="true" outlineLevel="0" collapsed="false">
      <c r="A449" s="11"/>
      <c r="B449" s="9"/>
      <c r="C449" s="15" t="str">
        <f aca="false">IF($B449="","",IFERROR(INDEX(직원목록!$B$3:$B$302,MATCH($B449,직원목록!$A$3:$A$302,0)),"미등록사번"))</f>
        <v/>
      </c>
      <c r="D449" s="9"/>
      <c r="E449" s="15" t="str">
        <f aca="false">IF($D449="","",IFERROR(INDEX(교육과정!$B$3:$B$102,MATCH($D449,교육과정!$A$3:$A$102,0)),"미등록과정"))</f>
        <v/>
      </c>
      <c r="F449" s="13"/>
      <c r="G449" s="9"/>
      <c r="H449" s="9"/>
    </row>
    <row r="450" customFormat="false" ht="15" hidden="false" customHeight="true" outlineLevel="0" collapsed="false">
      <c r="A450" s="11"/>
      <c r="B450" s="9"/>
      <c r="C450" s="15" t="str">
        <f aca="false">IF($B450="","",IFERROR(INDEX(직원목록!$B$3:$B$302,MATCH($B450,직원목록!$A$3:$A$302,0)),"미등록사번"))</f>
        <v/>
      </c>
      <c r="D450" s="9"/>
      <c r="E450" s="15" t="str">
        <f aca="false">IF($D450="","",IFERROR(INDEX(교육과정!$B$3:$B$102,MATCH($D450,교육과정!$A$3:$A$102,0)),"미등록과정"))</f>
        <v/>
      </c>
      <c r="F450" s="13"/>
      <c r="G450" s="9"/>
      <c r="H450" s="9"/>
    </row>
    <row r="451" customFormat="false" ht="15" hidden="false" customHeight="true" outlineLevel="0" collapsed="false">
      <c r="A451" s="11"/>
      <c r="B451" s="9"/>
      <c r="C451" s="15" t="str">
        <f aca="false">IF($B451="","",IFERROR(INDEX(직원목록!$B$3:$B$302,MATCH($B451,직원목록!$A$3:$A$302,0)),"미등록사번"))</f>
        <v/>
      </c>
      <c r="D451" s="9"/>
      <c r="E451" s="15" t="str">
        <f aca="false">IF($D451="","",IFERROR(INDEX(교육과정!$B$3:$B$102,MATCH($D451,교육과정!$A$3:$A$102,0)),"미등록과정"))</f>
        <v/>
      </c>
      <c r="F451" s="13"/>
      <c r="G451" s="9"/>
      <c r="H451" s="9"/>
    </row>
    <row r="452" customFormat="false" ht="15" hidden="false" customHeight="true" outlineLevel="0" collapsed="false">
      <c r="A452" s="11"/>
      <c r="B452" s="9"/>
      <c r="C452" s="15" t="str">
        <f aca="false">IF($B452="","",IFERROR(INDEX(직원목록!$B$3:$B$302,MATCH($B452,직원목록!$A$3:$A$302,0)),"미등록사번"))</f>
        <v/>
      </c>
      <c r="D452" s="9"/>
      <c r="E452" s="15" t="str">
        <f aca="false">IF($D452="","",IFERROR(INDEX(교육과정!$B$3:$B$102,MATCH($D452,교육과정!$A$3:$A$102,0)),"미등록과정"))</f>
        <v/>
      </c>
      <c r="F452" s="13"/>
      <c r="G452" s="9"/>
      <c r="H452" s="9"/>
    </row>
    <row r="453" customFormat="false" ht="15" hidden="false" customHeight="true" outlineLevel="0" collapsed="false">
      <c r="A453" s="11"/>
      <c r="B453" s="9"/>
      <c r="C453" s="15" t="str">
        <f aca="false">IF($B453="","",IFERROR(INDEX(직원목록!$B$3:$B$302,MATCH($B453,직원목록!$A$3:$A$302,0)),"미등록사번"))</f>
        <v/>
      </c>
      <c r="D453" s="9"/>
      <c r="E453" s="15" t="str">
        <f aca="false">IF($D453="","",IFERROR(INDEX(교육과정!$B$3:$B$102,MATCH($D453,교육과정!$A$3:$A$102,0)),"미등록과정"))</f>
        <v/>
      </c>
      <c r="F453" s="13"/>
      <c r="G453" s="9"/>
      <c r="H453" s="9"/>
    </row>
    <row r="454" customFormat="false" ht="15" hidden="false" customHeight="true" outlineLevel="0" collapsed="false">
      <c r="A454" s="11"/>
      <c r="B454" s="9"/>
      <c r="C454" s="15" t="str">
        <f aca="false">IF($B454="","",IFERROR(INDEX(직원목록!$B$3:$B$302,MATCH($B454,직원목록!$A$3:$A$302,0)),"미등록사번"))</f>
        <v/>
      </c>
      <c r="D454" s="9"/>
      <c r="E454" s="15" t="str">
        <f aca="false">IF($D454="","",IFERROR(INDEX(교육과정!$B$3:$B$102,MATCH($D454,교육과정!$A$3:$A$102,0)),"미등록과정"))</f>
        <v/>
      </c>
      <c r="F454" s="13"/>
      <c r="G454" s="9"/>
      <c r="H454" s="9"/>
    </row>
    <row r="455" customFormat="false" ht="15" hidden="false" customHeight="true" outlineLevel="0" collapsed="false">
      <c r="A455" s="11"/>
      <c r="B455" s="9"/>
      <c r="C455" s="15" t="str">
        <f aca="false">IF($B455="","",IFERROR(INDEX(직원목록!$B$3:$B$302,MATCH($B455,직원목록!$A$3:$A$302,0)),"미등록사번"))</f>
        <v/>
      </c>
      <c r="D455" s="9"/>
      <c r="E455" s="15" t="str">
        <f aca="false">IF($D455="","",IFERROR(INDEX(교육과정!$B$3:$B$102,MATCH($D455,교육과정!$A$3:$A$102,0)),"미등록과정"))</f>
        <v/>
      </c>
      <c r="F455" s="13"/>
      <c r="G455" s="9"/>
      <c r="H455" s="9"/>
    </row>
    <row r="456" customFormat="false" ht="15" hidden="false" customHeight="true" outlineLevel="0" collapsed="false">
      <c r="A456" s="11"/>
      <c r="B456" s="9"/>
      <c r="C456" s="15" t="str">
        <f aca="false">IF($B456="","",IFERROR(INDEX(직원목록!$B$3:$B$302,MATCH($B456,직원목록!$A$3:$A$302,0)),"미등록사번"))</f>
        <v/>
      </c>
      <c r="D456" s="9"/>
      <c r="E456" s="15" t="str">
        <f aca="false">IF($D456="","",IFERROR(INDEX(교육과정!$B$3:$B$102,MATCH($D456,교육과정!$A$3:$A$102,0)),"미등록과정"))</f>
        <v/>
      </c>
      <c r="F456" s="13"/>
      <c r="G456" s="9"/>
      <c r="H456" s="9"/>
    </row>
    <row r="457" customFormat="false" ht="15" hidden="false" customHeight="true" outlineLevel="0" collapsed="false">
      <c r="A457" s="11"/>
      <c r="B457" s="9"/>
      <c r="C457" s="15" t="str">
        <f aca="false">IF($B457="","",IFERROR(INDEX(직원목록!$B$3:$B$302,MATCH($B457,직원목록!$A$3:$A$302,0)),"미등록사번"))</f>
        <v/>
      </c>
      <c r="D457" s="9"/>
      <c r="E457" s="15" t="str">
        <f aca="false">IF($D457="","",IFERROR(INDEX(교육과정!$B$3:$B$102,MATCH($D457,교육과정!$A$3:$A$102,0)),"미등록과정"))</f>
        <v/>
      </c>
      <c r="F457" s="13"/>
      <c r="G457" s="9"/>
      <c r="H457" s="9"/>
    </row>
    <row r="458" customFormat="false" ht="15" hidden="false" customHeight="true" outlineLevel="0" collapsed="false">
      <c r="A458" s="11"/>
      <c r="B458" s="9"/>
      <c r="C458" s="15" t="str">
        <f aca="false">IF($B458="","",IFERROR(INDEX(직원목록!$B$3:$B$302,MATCH($B458,직원목록!$A$3:$A$302,0)),"미등록사번"))</f>
        <v/>
      </c>
      <c r="D458" s="9"/>
      <c r="E458" s="15" t="str">
        <f aca="false">IF($D458="","",IFERROR(INDEX(교육과정!$B$3:$B$102,MATCH($D458,교육과정!$A$3:$A$102,0)),"미등록과정"))</f>
        <v/>
      </c>
      <c r="F458" s="13"/>
      <c r="G458" s="9"/>
      <c r="H458" s="9"/>
    </row>
    <row r="459" customFormat="false" ht="15" hidden="false" customHeight="true" outlineLevel="0" collapsed="false">
      <c r="A459" s="11"/>
      <c r="B459" s="9"/>
      <c r="C459" s="15" t="str">
        <f aca="false">IF($B459="","",IFERROR(INDEX(직원목록!$B$3:$B$302,MATCH($B459,직원목록!$A$3:$A$302,0)),"미등록사번"))</f>
        <v/>
      </c>
      <c r="D459" s="9"/>
      <c r="E459" s="15" t="str">
        <f aca="false">IF($D459="","",IFERROR(INDEX(교육과정!$B$3:$B$102,MATCH($D459,교육과정!$A$3:$A$102,0)),"미등록과정"))</f>
        <v/>
      </c>
      <c r="F459" s="13"/>
      <c r="G459" s="9"/>
      <c r="H459" s="9"/>
    </row>
    <row r="460" customFormat="false" ht="15" hidden="false" customHeight="true" outlineLevel="0" collapsed="false">
      <c r="A460" s="11"/>
      <c r="B460" s="9"/>
      <c r="C460" s="15" t="str">
        <f aca="false">IF($B460="","",IFERROR(INDEX(직원목록!$B$3:$B$302,MATCH($B460,직원목록!$A$3:$A$302,0)),"미등록사번"))</f>
        <v/>
      </c>
      <c r="D460" s="9"/>
      <c r="E460" s="15" t="str">
        <f aca="false">IF($D460="","",IFERROR(INDEX(교육과정!$B$3:$B$102,MATCH($D460,교육과정!$A$3:$A$102,0)),"미등록과정"))</f>
        <v/>
      </c>
      <c r="F460" s="13"/>
      <c r="G460" s="9"/>
      <c r="H460" s="9"/>
    </row>
    <row r="461" customFormat="false" ht="15" hidden="false" customHeight="true" outlineLevel="0" collapsed="false">
      <c r="A461" s="11"/>
      <c r="B461" s="9"/>
      <c r="C461" s="15" t="str">
        <f aca="false">IF($B461="","",IFERROR(INDEX(직원목록!$B$3:$B$302,MATCH($B461,직원목록!$A$3:$A$302,0)),"미등록사번"))</f>
        <v/>
      </c>
      <c r="D461" s="9"/>
      <c r="E461" s="15" t="str">
        <f aca="false">IF($D461="","",IFERROR(INDEX(교육과정!$B$3:$B$102,MATCH($D461,교육과정!$A$3:$A$102,0)),"미등록과정"))</f>
        <v/>
      </c>
      <c r="F461" s="13"/>
      <c r="G461" s="9"/>
      <c r="H461" s="9"/>
    </row>
    <row r="462" customFormat="false" ht="15" hidden="false" customHeight="true" outlineLevel="0" collapsed="false">
      <c r="A462" s="11"/>
      <c r="B462" s="9"/>
      <c r="C462" s="15" t="str">
        <f aca="false">IF($B462="","",IFERROR(INDEX(직원목록!$B$3:$B$302,MATCH($B462,직원목록!$A$3:$A$302,0)),"미등록사번"))</f>
        <v/>
      </c>
      <c r="D462" s="9"/>
      <c r="E462" s="15" t="str">
        <f aca="false">IF($D462="","",IFERROR(INDEX(교육과정!$B$3:$B$102,MATCH($D462,교육과정!$A$3:$A$102,0)),"미등록과정"))</f>
        <v/>
      </c>
      <c r="F462" s="13"/>
      <c r="G462" s="9"/>
      <c r="H462" s="9"/>
    </row>
    <row r="463" customFormat="false" ht="15" hidden="false" customHeight="true" outlineLevel="0" collapsed="false">
      <c r="A463" s="11"/>
      <c r="B463" s="9"/>
      <c r="C463" s="15" t="str">
        <f aca="false">IF($B463="","",IFERROR(INDEX(직원목록!$B$3:$B$302,MATCH($B463,직원목록!$A$3:$A$302,0)),"미등록사번"))</f>
        <v/>
      </c>
      <c r="D463" s="9"/>
      <c r="E463" s="15" t="str">
        <f aca="false">IF($D463="","",IFERROR(INDEX(교육과정!$B$3:$B$102,MATCH($D463,교육과정!$A$3:$A$102,0)),"미등록과정"))</f>
        <v/>
      </c>
      <c r="F463" s="13"/>
      <c r="G463" s="9"/>
      <c r="H463" s="9"/>
    </row>
    <row r="464" customFormat="false" ht="15" hidden="false" customHeight="true" outlineLevel="0" collapsed="false">
      <c r="A464" s="11"/>
      <c r="B464" s="9"/>
      <c r="C464" s="15" t="str">
        <f aca="false">IF($B464="","",IFERROR(INDEX(직원목록!$B$3:$B$302,MATCH($B464,직원목록!$A$3:$A$302,0)),"미등록사번"))</f>
        <v/>
      </c>
      <c r="D464" s="9"/>
      <c r="E464" s="15" t="str">
        <f aca="false">IF($D464="","",IFERROR(INDEX(교육과정!$B$3:$B$102,MATCH($D464,교육과정!$A$3:$A$102,0)),"미등록과정"))</f>
        <v/>
      </c>
      <c r="F464" s="13"/>
      <c r="G464" s="9"/>
      <c r="H464" s="9"/>
    </row>
    <row r="465" customFormat="false" ht="15" hidden="false" customHeight="true" outlineLevel="0" collapsed="false">
      <c r="A465" s="11"/>
      <c r="B465" s="9"/>
      <c r="C465" s="15" t="str">
        <f aca="false">IF($B465="","",IFERROR(INDEX(직원목록!$B$3:$B$302,MATCH($B465,직원목록!$A$3:$A$302,0)),"미등록사번"))</f>
        <v/>
      </c>
      <c r="D465" s="9"/>
      <c r="E465" s="15" t="str">
        <f aca="false">IF($D465="","",IFERROR(INDEX(교육과정!$B$3:$B$102,MATCH($D465,교육과정!$A$3:$A$102,0)),"미등록과정"))</f>
        <v/>
      </c>
      <c r="F465" s="13"/>
      <c r="G465" s="9"/>
      <c r="H465" s="9"/>
    </row>
    <row r="466" customFormat="false" ht="15" hidden="false" customHeight="true" outlineLevel="0" collapsed="false">
      <c r="A466" s="11"/>
      <c r="B466" s="9"/>
      <c r="C466" s="15" t="str">
        <f aca="false">IF($B466="","",IFERROR(INDEX(직원목록!$B$3:$B$302,MATCH($B466,직원목록!$A$3:$A$302,0)),"미등록사번"))</f>
        <v/>
      </c>
      <c r="D466" s="9"/>
      <c r="E466" s="15" t="str">
        <f aca="false">IF($D466="","",IFERROR(INDEX(교육과정!$B$3:$B$102,MATCH($D466,교육과정!$A$3:$A$102,0)),"미등록과정"))</f>
        <v/>
      </c>
      <c r="F466" s="13"/>
      <c r="G466" s="9"/>
      <c r="H466" s="9"/>
    </row>
    <row r="467" customFormat="false" ht="15" hidden="false" customHeight="true" outlineLevel="0" collapsed="false">
      <c r="A467" s="11"/>
      <c r="B467" s="9"/>
      <c r="C467" s="15" t="str">
        <f aca="false">IF($B467="","",IFERROR(INDEX(직원목록!$B$3:$B$302,MATCH($B467,직원목록!$A$3:$A$302,0)),"미등록사번"))</f>
        <v/>
      </c>
      <c r="D467" s="9"/>
      <c r="E467" s="15" t="str">
        <f aca="false">IF($D467="","",IFERROR(INDEX(교육과정!$B$3:$B$102,MATCH($D467,교육과정!$A$3:$A$102,0)),"미등록과정"))</f>
        <v/>
      </c>
      <c r="F467" s="13"/>
      <c r="G467" s="9"/>
      <c r="H467" s="9"/>
    </row>
    <row r="468" customFormat="false" ht="15" hidden="false" customHeight="true" outlineLevel="0" collapsed="false">
      <c r="A468" s="11"/>
      <c r="B468" s="9"/>
      <c r="C468" s="15" t="str">
        <f aca="false">IF($B468="","",IFERROR(INDEX(직원목록!$B$3:$B$302,MATCH($B468,직원목록!$A$3:$A$302,0)),"미등록사번"))</f>
        <v/>
      </c>
      <c r="D468" s="9"/>
      <c r="E468" s="15" t="str">
        <f aca="false">IF($D468="","",IFERROR(INDEX(교육과정!$B$3:$B$102,MATCH($D468,교육과정!$A$3:$A$102,0)),"미등록과정"))</f>
        <v/>
      </c>
      <c r="F468" s="13"/>
      <c r="G468" s="9"/>
      <c r="H468" s="9"/>
    </row>
    <row r="469" customFormat="false" ht="15" hidden="false" customHeight="true" outlineLevel="0" collapsed="false">
      <c r="A469" s="11"/>
      <c r="B469" s="9"/>
      <c r="C469" s="15" t="str">
        <f aca="false">IF($B469="","",IFERROR(INDEX(직원목록!$B$3:$B$302,MATCH($B469,직원목록!$A$3:$A$302,0)),"미등록사번"))</f>
        <v/>
      </c>
      <c r="D469" s="9"/>
      <c r="E469" s="15" t="str">
        <f aca="false">IF($D469="","",IFERROR(INDEX(교육과정!$B$3:$B$102,MATCH($D469,교육과정!$A$3:$A$102,0)),"미등록과정"))</f>
        <v/>
      </c>
      <c r="F469" s="13"/>
      <c r="G469" s="9"/>
      <c r="H469" s="9"/>
    </row>
    <row r="470" customFormat="false" ht="15" hidden="false" customHeight="true" outlineLevel="0" collapsed="false">
      <c r="A470" s="11"/>
      <c r="B470" s="9"/>
      <c r="C470" s="15" t="str">
        <f aca="false">IF($B470="","",IFERROR(INDEX(직원목록!$B$3:$B$302,MATCH($B470,직원목록!$A$3:$A$302,0)),"미등록사번"))</f>
        <v/>
      </c>
      <c r="D470" s="9"/>
      <c r="E470" s="15" t="str">
        <f aca="false">IF($D470="","",IFERROR(INDEX(교육과정!$B$3:$B$102,MATCH($D470,교육과정!$A$3:$A$102,0)),"미등록과정"))</f>
        <v/>
      </c>
      <c r="F470" s="13"/>
      <c r="G470" s="9"/>
      <c r="H470" s="9"/>
    </row>
    <row r="471" customFormat="false" ht="15" hidden="false" customHeight="true" outlineLevel="0" collapsed="false">
      <c r="A471" s="11"/>
      <c r="B471" s="9"/>
      <c r="C471" s="15" t="str">
        <f aca="false">IF($B471="","",IFERROR(INDEX(직원목록!$B$3:$B$302,MATCH($B471,직원목록!$A$3:$A$302,0)),"미등록사번"))</f>
        <v/>
      </c>
      <c r="D471" s="9"/>
      <c r="E471" s="15" t="str">
        <f aca="false">IF($D471="","",IFERROR(INDEX(교육과정!$B$3:$B$102,MATCH($D471,교육과정!$A$3:$A$102,0)),"미등록과정"))</f>
        <v/>
      </c>
      <c r="F471" s="13"/>
      <c r="G471" s="9"/>
      <c r="H471" s="9"/>
    </row>
    <row r="472" customFormat="false" ht="15" hidden="false" customHeight="true" outlineLevel="0" collapsed="false">
      <c r="A472" s="11"/>
      <c r="B472" s="9"/>
      <c r="C472" s="15" t="str">
        <f aca="false">IF($B472="","",IFERROR(INDEX(직원목록!$B$3:$B$302,MATCH($B472,직원목록!$A$3:$A$302,0)),"미등록사번"))</f>
        <v/>
      </c>
      <c r="D472" s="9"/>
      <c r="E472" s="15" t="str">
        <f aca="false">IF($D472="","",IFERROR(INDEX(교육과정!$B$3:$B$102,MATCH($D472,교육과정!$A$3:$A$102,0)),"미등록과정"))</f>
        <v/>
      </c>
      <c r="F472" s="13"/>
      <c r="G472" s="9"/>
      <c r="H472" s="9"/>
    </row>
    <row r="473" customFormat="false" ht="15" hidden="false" customHeight="true" outlineLevel="0" collapsed="false">
      <c r="A473" s="11"/>
      <c r="B473" s="9"/>
      <c r="C473" s="15" t="str">
        <f aca="false">IF($B473="","",IFERROR(INDEX(직원목록!$B$3:$B$302,MATCH($B473,직원목록!$A$3:$A$302,0)),"미등록사번"))</f>
        <v/>
      </c>
      <c r="D473" s="9"/>
      <c r="E473" s="15" t="str">
        <f aca="false">IF($D473="","",IFERROR(INDEX(교육과정!$B$3:$B$102,MATCH($D473,교육과정!$A$3:$A$102,0)),"미등록과정"))</f>
        <v/>
      </c>
      <c r="F473" s="13"/>
      <c r="G473" s="9"/>
      <c r="H473" s="9"/>
    </row>
    <row r="474" customFormat="false" ht="15" hidden="false" customHeight="true" outlineLevel="0" collapsed="false">
      <c r="A474" s="11"/>
      <c r="B474" s="9"/>
      <c r="C474" s="15" t="str">
        <f aca="false">IF($B474="","",IFERROR(INDEX(직원목록!$B$3:$B$302,MATCH($B474,직원목록!$A$3:$A$302,0)),"미등록사번"))</f>
        <v/>
      </c>
      <c r="D474" s="9"/>
      <c r="E474" s="15" t="str">
        <f aca="false">IF($D474="","",IFERROR(INDEX(교육과정!$B$3:$B$102,MATCH($D474,교육과정!$A$3:$A$102,0)),"미등록과정"))</f>
        <v/>
      </c>
      <c r="F474" s="13"/>
      <c r="G474" s="9"/>
      <c r="H474" s="9"/>
    </row>
    <row r="475" customFormat="false" ht="15" hidden="false" customHeight="true" outlineLevel="0" collapsed="false">
      <c r="A475" s="11"/>
      <c r="B475" s="9"/>
      <c r="C475" s="15" t="str">
        <f aca="false">IF($B475="","",IFERROR(INDEX(직원목록!$B$3:$B$302,MATCH($B475,직원목록!$A$3:$A$302,0)),"미등록사번"))</f>
        <v/>
      </c>
      <c r="D475" s="9"/>
      <c r="E475" s="15" t="str">
        <f aca="false">IF($D475="","",IFERROR(INDEX(교육과정!$B$3:$B$102,MATCH($D475,교육과정!$A$3:$A$102,0)),"미등록과정"))</f>
        <v/>
      </c>
      <c r="F475" s="13"/>
      <c r="G475" s="9"/>
      <c r="H475" s="9"/>
    </row>
    <row r="476" customFormat="false" ht="15" hidden="false" customHeight="true" outlineLevel="0" collapsed="false">
      <c r="A476" s="11"/>
      <c r="B476" s="9"/>
      <c r="C476" s="15" t="str">
        <f aca="false">IF($B476="","",IFERROR(INDEX(직원목록!$B$3:$B$302,MATCH($B476,직원목록!$A$3:$A$302,0)),"미등록사번"))</f>
        <v/>
      </c>
      <c r="D476" s="9"/>
      <c r="E476" s="15" t="str">
        <f aca="false">IF($D476="","",IFERROR(INDEX(교육과정!$B$3:$B$102,MATCH($D476,교육과정!$A$3:$A$102,0)),"미등록과정"))</f>
        <v/>
      </c>
      <c r="F476" s="13"/>
      <c r="G476" s="9"/>
      <c r="H476" s="9"/>
    </row>
    <row r="477" customFormat="false" ht="15" hidden="false" customHeight="true" outlineLevel="0" collapsed="false">
      <c r="A477" s="11"/>
      <c r="B477" s="9"/>
      <c r="C477" s="15" t="str">
        <f aca="false">IF($B477="","",IFERROR(INDEX(직원목록!$B$3:$B$302,MATCH($B477,직원목록!$A$3:$A$302,0)),"미등록사번"))</f>
        <v/>
      </c>
      <c r="D477" s="9"/>
      <c r="E477" s="15" t="str">
        <f aca="false">IF($D477="","",IFERROR(INDEX(교육과정!$B$3:$B$102,MATCH($D477,교육과정!$A$3:$A$102,0)),"미등록과정"))</f>
        <v/>
      </c>
      <c r="F477" s="13"/>
      <c r="G477" s="9"/>
      <c r="H477" s="9"/>
    </row>
    <row r="478" customFormat="false" ht="15" hidden="false" customHeight="true" outlineLevel="0" collapsed="false">
      <c r="A478" s="11"/>
      <c r="B478" s="9"/>
      <c r="C478" s="15" t="str">
        <f aca="false">IF($B478="","",IFERROR(INDEX(직원목록!$B$3:$B$302,MATCH($B478,직원목록!$A$3:$A$302,0)),"미등록사번"))</f>
        <v/>
      </c>
      <c r="D478" s="9"/>
      <c r="E478" s="15" t="str">
        <f aca="false">IF($D478="","",IFERROR(INDEX(교육과정!$B$3:$B$102,MATCH($D478,교육과정!$A$3:$A$102,0)),"미등록과정"))</f>
        <v/>
      </c>
      <c r="F478" s="13"/>
      <c r="G478" s="9"/>
      <c r="H478" s="9"/>
    </row>
    <row r="479" customFormat="false" ht="15" hidden="false" customHeight="true" outlineLevel="0" collapsed="false">
      <c r="A479" s="11"/>
      <c r="B479" s="9"/>
      <c r="C479" s="15" t="str">
        <f aca="false">IF($B479="","",IFERROR(INDEX(직원목록!$B$3:$B$302,MATCH($B479,직원목록!$A$3:$A$302,0)),"미등록사번"))</f>
        <v/>
      </c>
      <c r="D479" s="9"/>
      <c r="E479" s="15" t="str">
        <f aca="false">IF($D479="","",IFERROR(INDEX(교육과정!$B$3:$B$102,MATCH($D479,교육과정!$A$3:$A$102,0)),"미등록과정"))</f>
        <v/>
      </c>
      <c r="F479" s="13"/>
      <c r="G479" s="9"/>
      <c r="H479" s="9"/>
    </row>
    <row r="480" customFormat="false" ht="15" hidden="false" customHeight="true" outlineLevel="0" collapsed="false">
      <c r="A480" s="11"/>
      <c r="B480" s="9"/>
      <c r="C480" s="15" t="str">
        <f aca="false">IF($B480="","",IFERROR(INDEX(직원목록!$B$3:$B$302,MATCH($B480,직원목록!$A$3:$A$302,0)),"미등록사번"))</f>
        <v/>
      </c>
      <c r="D480" s="9"/>
      <c r="E480" s="15" t="str">
        <f aca="false">IF($D480="","",IFERROR(INDEX(교육과정!$B$3:$B$102,MATCH($D480,교육과정!$A$3:$A$102,0)),"미등록과정"))</f>
        <v/>
      </c>
      <c r="F480" s="13"/>
      <c r="G480" s="9"/>
      <c r="H480" s="9"/>
    </row>
    <row r="481" customFormat="false" ht="15" hidden="false" customHeight="true" outlineLevel="0" collapsed="false">
      <c r="A481" s="11"/>
      <c r="B481" s="9"/>
      <c r="C481" s="15" t="str">
        <f aca="false">IF($B481="","",IFERROR(INDEX(직원목록!$B$3:$B$302,MATCH($B481,직원목록!$A$3:$A$302,0)),"미등록사번"))</f>
        <v/>
      </c>
      <c r="D481" s="9"/>
      <c r="E481" s="15" t="str">
        <f aca="false">IF($D481="","",IFERROR(INDEX(교육과정!$B$3:$B$102,MATCH($D481,교육과정!$A$3:$A$102,0)),"미등록과정"))</f>
        <v/>
      </c>
      <c r="F481" s="13"/>
      <c r="G481" s="9"/>
      <c r="H481" s="9"/>
    </row>
    <row r="482" customFormat="false" ht="15" hidden="false" customHeight="true" outlineLevel="0" collapsed="false">
      <c r="A482" s="11"/>
      <c r="B482" s="9"/>
      <c r="C482" s="15" t="str">
        <f aca="false">IF($B482="","",IFERROR(INDEX(직원목록!$B$3:$B$302,MATCH($B482,직원목록!$A$3:$A$302,0)),"미등록사번"))</f>
        <v/>
      </c>
      <c r="D482" s="9"/>
      <c r="E482" s="15" t="str">
        <f aca="false">IF($D482="","",IFERROR(INDEX(교육과정!$B$3:$B$102,MATCH($D482,교육과정!$A$3:$A$102,0)),"미등록과정"))</f>
        <v/>
      </c>
      <c r="F482" s="13"/>
      <c r="G482" s="9"/>
      <c r="H482" s="9"/>
    </row>
    <row r="483" customFormat="false" ht="15" hidden="false" customHeight="true" outlineLevel="0" collapsed="false">
      <c r="A483" s="11"/>
      <c r="B483" s="9"/>
      <c r="C483" s="15" t="str">
        <f aca="false">IF($B483="","",IFERROR(INDEX(직원목록!$B$3:$B$302,MATCH($B483,직원목록!$A$3:$A$302,0)),"미등록사번"))</f>
        <v/>
      </c>
      <c r="D483" s="9"/>
      <c r="E483" s="15" t="str">
        <f aca="false">IF($D483="","",IFERROR(INDEX(교육과정!$B$3:$B$102,MATCH($D483,교육과정!$A$3:$A$102,0)),"미등록과정"))</f>
        <v/>
      </c>
      <c r="F483" s="13"/>
      <c r="G483" s="9"/>
      <c r="H483" s="9"/>
    </row>
    <row r="484" customFormat="false" ht="15" hidden="false" customHeight="true" outlineLevel="0" collapsed="false">
      <c r="A484" s="11"/>
      <c r="B484" s="9"/>
      <c r="C484" s="15" t="str">
        <f aca="false">IF($B484="","",IFERROR(INDEX(직원목록!$B$3:$B$302,MATCH($B484,직원목록!$A$3:$A$302,0)),"미등록사번"))</f>
        <v/>
      </c>
      <c r="D484" s="9"/>
      <c r="E484" s="15" t="str">
        <f aca="false">IF($D484="","",IFERROR(INDEX(교육과정!$B$3:$B$102,MATCH($D484,교육과정!$A$3:$A$102,0)),"미등록과정"))</f>
        <v/>
      </c>
      <c r="F484" s="13"/>
      <c r="G484" s="9"/>
      <c r="H484" s="9"/>
    </row>
    <row r="485" customFormat="false" ht="15" hidden="false" customHeight="true" outlineLevel="0" collapsed="false">
      <c r="A485" s="11"/>
      <c r="B485" s="9"/>
      <c r="C485" s="15" t="str">
        <f aca="false">IF($B485="","",IFERROR(INDEX(직원목록!$B$3:$B$302,MATCH($B485,직원목록!$A$3:$A$302,0)),"미등록사번"))</f>
        <v/>
      </c>
      <c r="D485" s="9"/>
      <c r="E485" s="15" t="str">
        <f aca="false">IF($D485="","",IFERROR(INDEX(교육과정!$B$3:$B$102,MATCH($D485,교육과정!$A$3:$A$102,0)),"미등록과정"))</f>
        <v/>
      </c>
      <c r="F485" s="13"/>
      <c r="G485" s="9"/>
      <c r="H485" s="9"/>
    </row>
    <row r="486" customFormat="false" ht="15" hidden="false" customHeight="true" outlineLevel="0" collapsed="false">
      <c r="A486" s="11"/>
      <c r="B486" s="9"/>
      <c r="C486" s="15" t="str">
        <f aca="false">IF($B486="","",IFERROR(INDEX(직원목록!$B$3:$B$302,MATCH($B486,직원목록!$A$3:$A$302,0)),"미등록사번"))</f>
        <v/>
      </c>
      <c r="D486" s="9"/>
      <c r="E486" s="15" t="str">
        <f aca="false">IF($D486="","",IFERROR(INDEX(교육과정!$B$3:$B$102,MATCH($D486,교육과정!$A$3:$A$102,0)),"미등록과정"))</f>
        <v/>
      </c>
      <c r="F486" s="13"/>
      <c r="G486" s="9"/>
      <c r="H486" s="9"/>
    </row>
    <row r="487" customFormat="false" ht="15" hidden="false" customHeight="true" outlineLevel="0" collapsed="false">
      <c r="A487" s="11"/>
      <c r="B487" s="9"/>
      <c r="C487" s="15" t="str">
        <f aca="false">IF($B487="","",IFERROR(INDEX(직원목록!$B$3:$B$302,MATCH($B487,직원목록!$A$3:$A$302,0)),"미등록사번"))</f>
        <v/>
      </c>
      <c r="D487" s="9"/>
      <c r="E487" s="15" t="str">
        <f aca="false">IF($D487="","",IFERROR(INDEX(교육과정!$B$3:$B$102,MATCH($D487,교육과정!$A$3:$A$102,0)),"미등록과정"))</f>
        <v/>
      </c>
      <c r="F487" s="13"/>
      <c r="G487" s="9"/>
      <c r="H487" s="9"/>
    </row>
    <row r="488" customFormat="false" ht="15" hidden="false" customHeight="true" outlineLevel="0" collapsed="false">
      <c r="A488" s="11"/>
      <c r="B488" s="9"/>
      <c r="C488" s="15" t="str">
        <f aca="false">IF($B488="","",IFERROR(INDEX(직원목록!$B$3:$B$302,MATCH($B488,직원목록!$A$3:$A$302,0)),"미등록사번"))</f>
        <v/>
      </c>
      <c r="D488" s="9"/>
      <c r="E488" s="15" t="str">
        <f aca="false">IF($D488="","",IFERROR(INDEX(교육과정!$B$3:$B$102,MATCH($D488,교육과정!$A$3:$A$102,0)),"미등록과정"))</f>
        <v/>
      </c>
      <c r="F488" s="13"/>
      <c r="G488" s="9"/>
      <c r="H488" s="9"/>
    </row>
    <row r="489" customFormat="false" ht="15" hidden="false" customHeight="true" outlineLevel="0" collapsed="false">
      <c r="A489" s="11"/>
      <c r="B489" s="9"/>
      <c r="C489" s="15" t="str">
        <f aca="false">IF($B489="","",IFERROR(INDEX(직원목록!$B$3:$B$302,MATCH($B489,직원목록!$A$3:$A$302,0)),"미등록사번"))</f>
        <v/>
      </c>
      <c r="D489" s="9"/>
      <c r="E489" s="15" t="str">
        <f aca="false">IF($D489="","",IFERROR(INDEX(교육과정!$B$3:$B$102,MATCH($D489,교육과정!$A$3:$A$102,0)),"미등록과정"))</f>
        <v/>
      </c>
      <c r="F489" s="13"/>
      <c r="G489" s="9"/>
      <c r="H489" s="9"/>
    </row>
    <row r="490" customFormat="false" ht="15" hidden="false" customHeight="true" outlineLevel="0" collapsed="false">
      <c r="A490" s="11"/>
      <c r="B490" s="9"/>
      <c r="C490" s="15" t="str">
        <f aca="false">IF($B490="","",IFERROR(INDEX(직원목록!$B$3:$B$302,MATCH($B490,직원목록!$A$3:$A$302,0)),"미등록사번"))</f>
        <v/>
      </c>
      <c r="D490" s="9"/>
      <c r="E490" s="15" t="str">
        <f aca="false">IF($D490="","",IFERROR(INDEX(교육과정!$B$3:$B$102,MATCH($D490,교육과정!$A$3:$A$102,0)),"미등록과정"))</f>
        <v/>
      </c>
      <c r="F490" s="13"/>
      <c r="G490" s="9"/>
      <c r="H490" s="9"/>
    </row>
    <row r="491" customFormat="false" ht="15" hidden="false" customHeight="true" outlineLevel="0" collapsed="false">
      <c r="A491" s="11"/>
      <c r="B491" s="9"/>
      <c r="C491" s="15" t="str">
        <f aca="false">IF($B491="","",IFERROR(INDEX(직원목록!$B$3:$B$302,MATCH($B491,직원목록!$A$3:$A$302,0)),"미등록사번"))</f>
        <v/>
      </c>
      <c r="D491" s="9"/>
      <c r="E491" s="15" t="str">
        <f aca="false">IF($D491="","",IFERROR(INDEX(교육과정!$B$3:$B$102,MATCH($D491,교육과정!$A$3:$A$102,0)),"미등록과정"))</f>
        <v/>
      </c>
      <c r="F491" s="13"/>
      <c r="G491" s="9"/>
      <c r="H491" s="9"/>
    </row>
    <row r="492" customFormat="false" ht="15" hidden="false" customHeight="true" outlineLevel="0" collapsed="false">
      <c r="A492" s="11"/>
      <c r="B492" s="9"/>
      <c r="C492" s="15" t="str">
        <f aca="false">IF($B492="","",IFERROR(INDEX(직원목록!$B$3:$B$302,MATCH($B492,직원목록!$A$3:$A$302,0)),"미등록사번"))</f>
        <v/>
      </c>
      <c r="D492" s="9"/>
      <c r="E492" s="15" t="str">
        <f aca="false">IF($D492="","",IFERROR(INDEX(교육과정!$B$3:$B$102,MATCH($D492,교육과정!$A$3:$A$102,0)),"미등록과정"))</f>
        <v/>
      </c>
      <c r="F492" s="13"/>
      <c r="G492" s="9"/>
      <c r="H492" s="9"/>
    </row>
    <row r="493" customFormat="false" ht="15" hidden="false" customHeight="true" outlineLevel="0" collapsed="false">
      <c r="A493" s="11"/>
      <c r="B493" s="9"/>
      <c r="C493" s="15" t="str">
        <f aca="false">IF($B493="","",IFERROR(INDEX(직원목록!$B$3:$B$302,MATCH($B493,직원목록!$A$3:$A$302,0)),"미등록사번"))</f>
        <v/>
      </c>
      <c r="D493" s="9"/>
      <c r="E493" s="15" t="str">
        <f aca="false">IF($D493="","",IFERROR(INDEX(교육과정!$B$3:$B$102,MATCH($D493,교육과정!$A$3:$A$102,0)),"미등록과정"))</f>
        <v/>
      </c>
      <c r="F493" s="13"/>
      <c r="G493" s="9"/>
      <c r="H493" s="9"/>
    </row>
    <row r="494" customFormat="false" ht="15" hidden="false" customHeight="true" outlineLevel="0" collapsed="false">
      <c r="A494" s="11"/>
      <c r="B494" s="9"/>
      <c r="C494" s="15" t="str">
        <f aca="false">IF($B494="","",IFERROR(INDEX(직원목록!$B$3:$B$302,MATCH($B494,직원목록!$A$3:$A$302,0)),"미등록사번"))</f>
        <v/>
      </c>
      <c r="D494" s="9"/>
      <c r="E494" s="15" t="str">
        <f aca="false">IF($D494="","",IFERROR(INDEX(교육과정!$B$3:$B$102,MATCH($D494,교육과정!$A$3:$A$102,0)),"미등록과정"))</f>
        <v/>
      </c>
      <c r="F494" s="13"/>
      <c r="G494" s="9"/>
      <c r="H494" s="9"/>
    </row>
    <row r="495" customFormat="false" ht="15" hidden="false" customHeight="true" outlineLevel="0" collapsed="false">
      <c r="A495" s="11"/>
      <c r="B495" s="9"/>
      <c r="C495" s="15" t="str">
        <f aca="false">IF($B495="","",IFERROR(INDEX(직원목록!$B$3:$B$302,MATCH($B495,직원목록!$A$3:$A$302,0)),"미등록사번"))</f>
        <v/>
      </c>
      <c r="D495" s="9"/>
      <c r="E495" s="15" t="str">
        <f aca="false">IF($D495="","",IFERROR(INDEX(교육과정!$B$3:$B$102,MATCH($D495,교육과정!$A$3:$A$102,0)),"미등록과정"))</f>
        <v/>
      </c>
      <c r="F495" s="13"/>
      <c r="G495" s="9"/>
      <c r="H495" s="9"/>
    </row>
    <row r="496" customFormat="false" ht="15" hidden="false" customHeight="true" outlineLevel="0" collapsed="false">
      <c r="A496" s="11"/>
      <c r="B496" s="9"/>
      <c r="C496" s="15" t="str">
        <f aca="false">IF($B496="","",IFERROR(INDEX(직원목록!$B$3:$B$302,MATCH($B496,직원목록!$A$3:$A$302,0)),"미등록사번"))</f>
        <v/>
      </c>
      <c r="D496" s="9"/>
      <c r="E496" s="15" t="str">
        <f aca="false">IF($D496="","",IFERROR(INDEX(교육과정!$B$3:$B$102,MATCH($D496,교육과정!$A$3:$A$102,0)),"미등록과정"))</f>
        <v/>
      </c>
      <c r="F496" s="13"/>
      <c r="G496" s="9"/>
      <c r="H496" s="9"/>
    </row>
    <row r="497" customFormat="false" ht="15" hidden="false" customHeight="true" outlineLevel="0" collapsed="false">
      <c r="A497" s="11"/>
      <c r="B497" s="9"/>
      <c r="C497" s="15" t="str">
        <f aca="false">IF($B497="","",IFERROR(INDEX(직원목록!$B$3:$B$302,MATCH($B497,직원목록!$A$3:$A$302,0)),"미등록사번"))</f>
        <v/>
      </c>
      <c r="D497" s="9"/>
      <c r="E497" s="15" t="str">
        <f aca="false">IF($D497="","",IFERROR(INDEX(교육과정!$B$3:$B$102,MATCH($D497,교육과정!$A$3:$A$102,0)),"미등록과정"))</f>
        <v/>
      </c>
      <c r="F497" s="13"/>
      <c r="G497" s="9"/>
      <c r="H497" s="9"/>
    </row>
    <row r="498" customFormat="false" ht="15" hidden="false" customHeight="true" outlineLevel="0" collapsed="false">
      <c r="A498" s="11"/>
      <c r="B498" s="9"/>
      <c r="C498" s="15" t="str">
        <f aca="false">IF($B498="","",IFERROR(INDEX(직원목록!$B$3:$B$302,MATCH($B498,직원목록!$A$3:$A$302,0)),"미등록사번"))</f>
        <v/>
      </c>
      <c r="D498" s="9"/>
      <c r="E498" s="15" t="str">
        <f aca="false">IF($D498="","",IFERROR(INDEX(교육과정!$B$3:$B$102,MATCH($D498,교육과정!$A$3:$A$102,0)),"미등록과정"))</f>
        <v/>
      </c>
      <c r="F498" s="13"/>
      <c r="G498" s="9"/>
      <c r="H498" s="9"/>
    </row>
    <row r="499" customFormat="false" ht="15" hidden="false" customHeight="true" outlineLevel="0" collapsed="false">
      <c r="A499" s="11"/>
      <c r="B499" s="9"/>
      <c r="C499" s="15" t="str">
        <f aca="false">IF($B499="","",IFERROR(INDEX(직원목록!$B$3:$B$302,MATCH($B499,직원목록!$A$3:$A$302,0)),"미등록사번"))</f>
        <v/>
      </c>
      <c r="D499" s="9"/>
      <c r="E499" s="15" t="str">
        <f aca="false">IF($D499="","",IFERROR(INDEX(교육과정!$B$3:$B$102,MATCH($D499,교육과정!$A$3:$A$102,0)),"미등록과정"))</f>
        <v/>
      </c>
      <c r="F499" s="13"/>
      <c r="G499" s="9"/>
      <c r="H499" s="9"/>
    </row>
    <row r="500" customFormat="false" ht="15" hidden="false" customHeight="true" outlineLevel="0" collapsed="false">
      <c r="A500" s="11"/>
      <c r="B500" s="9"/>
      <c r="C500" s="15" t="str">
        <f aca="false">IF($B500="","",IFERROR(INDEX(직원목록!$B$3:$B$302,MATCH($B500,직원목록!$A$3:$A$302,0)),"미등록사번"))</f>
        <v/>
      </c>
      <c r="D500" s="9"/>
      <c r="E500" s="15" t="str">
        <f aca="false">IF($D500="","",IFERROR(INDEX(교육과정!$B$3:$B$102,MATCH($D500,교육과정!$A$3:$A$102,0)),"미등록과정"))</f>
        <v/>
      </c>
      <c r="F500" s="13"/>
      <c r="G500" s="9"/>
      <c r="H500" s="9"/>
    </row>
    <row r="501" customFormat="false" ht="15" hidden="false" customHeight="true" outlineLevel="0" collapsed="false">
      <c r="A501" s="11"/>
      <c r="B501" s="9"/>
      <c r="C501" s="15" t="str">
        <f aca="false">IF($B501="","",IFERROR(INDEX(직원목록!$B$3:$B$302,MATCH($B501,직원목록!$A$3:$A$302,0)),"미등록사번"))</f>
        <v/>
      </c>
      <c r="D501" s="9"/>
      <c r="E501" s="15" t="str">
        <f aca="false">IF($D501="","",IFERROR(INDEX(교육과정!$B$3:$B$102,MATCH($D501,교육과정!$A$3:$A$102,0)),"미등록과정"))</f>
        <v/>
      </c>
      <c r="F501" s="13"/>
      <c r="G501" s="9"/>
      <c r="H501" s="9"/>
    </row>
    <row r="502" customFormat="false" ht="15" hidden="false" customHeight="true" outlineLevel="0" collapsed="false">
      <c r="A502" s="11"/>
      <c r="B502" s="9"/>
      <c r="C502" s="15" t="str">
        <f aca="false">IF($B502="","",IFERROR(INDEX(직원목록!$B$3:$B$302,MATCH($B502,직원목록!$A$3:$A$302,0)),"미등록사번"))</f>
        <v/>
      </c>
      <c r="D502" s="9"/>
      <c r="E502" s="15" t="str">
        <f aca="false">IF($D502="","",IFERROR(INDEX(교육과정!$B$3:$B$102,MATCH($D502,교육과정!$A$3:$A$102,0)),"미등록과정"))</f>
        <v/>
      </c>
      <c r="F502" s="13"/>
      <c r="G502" s="9"/>
      <c r="H502" s="9"/>
    </row>
    <row r="503" customFormat="false" ht="15" hidden="false" customHeight="true" outlineLevel="0" collapsed="false">
      <c r="A503" s="11"/>
      <c r="B503" s="9"/>
      <c r="C503" s="15" t="str">
        <f aca="false">IF($B503="","",IFERROR(INDEX(직원목록!$B$3:$B$302,MATCH($B503,직원목록!$A$3:$A$302,0)),"미등록사번"))</f>
        <v/>
      </c>
      <c r="D503" s="9"/>
      <c r="E503" s="15" t="str">
        <f aca="false">IF($D503="","",IFERROR(INDEX(교육과정!$B$3:$B$102,MATCH($D503,교육과정!$A$3:$A$102,0)),"미등록과정"))</f>
        <v/>
      </c>
      <c r="F503" s="13"/>
      <c r="G503" s="9"/>
      <c r="H503" s="9"/>
    </row>
    <row r="504" customFormat="false" ht="15" hidden="false" customHeight="true" outlineLevel="0" collapsed="false">
      <c r="A504" s="11"/>
      <c r="B504" s="9"/>
      <c r="C504" s="15" t="str">
        <f aca="false">IF($B504="","",IFERROR(INDEX(직원목록!$B$3:$B$302,MATCH($B504,직원목록!$A$3:$A$302,0)),"미등록사번"))</f>
        <v/>
      </c>
      <c r="D504" s="9"/>
      <c r="E504" s="15" t="str">
        <f aca="false">IF($D504="","",IFERROR(INDEX(교육과정!$B$3:$B$102,MATCH($D504,교육과정!$A$3:$A$102,0)),"미등록과정"))</f>
        <v/>
      </c>
      <c r="F504" s="13"/>
      <c r="G504" s="9"/>
      <c r="H504" s="9"/>
    </row>
    <row r="505" customFormat="false" ht="15" hidden="false" customHeight="true" outlineLevel="0" collapsed="false">
      <c r="A505" s="11"/>
      <c r="B505" s="9"/>
      <c r="C505" s="15" t="str">
        <f aca="false">IF($B505="","",IFERROR(INDEX(직원목록!$B$3:$B$302,MATCH($B505,직원목록!$A$3:$A$302,0)),"미등록사번"))</f>
        <v/>
      </c>
      <c r="D505" s="9"/>
      <c r="E505" s="15" t="str">
        <f aca="false">IF($D505="","",IFERROR(INDEX(교육과정!$B$3:$B$102,MATCH($D505,교육과정!$A$3:$A$102,0)),"미등록과정"))</f>
        <v/>
      </c>
      <c r="F505" s="13"/>
      <c r="G505" s="9"/>
      <c r="H505" s="9"/>
    </row>
    <row r="506" customFormat="false" ht="15" hidden="false" customHeight="true" outlineLevel="0" collapsed="false">
      <c r="A506" s="11"/>
      <c r="B506" s="9"/>
      <c r="C506" s="15" t="str">
        <f aca="false">IF($B506="","",IFERROR(INDEX(직원목록!$B$3:$B$302,MATCH($B506,직원목록!$A$3:$A$302,0)),"미등록사번"))</f>
        <v/>
      </c>
      <c r="D506" s="9"/>
      <c r="E506" s="15" t="str">
        <f aca="false">IF($D506="","",IFERROR(INDEX(교육과정!$B$3:$B$102,MATCH($D506,교육과정!$A$3:$A$102,0)),"미등록과정"))</f>
        <v/>
      </c>
      <c r="F506" s="13"/>
      <c r="G506" s="9"/>
      <c r="H506" s="9"/>
    </row>
    <row r="507" customFormat="false" ht="15" hidden="false" customHeight="true" outlineLevel="0" collapsed="false">
      <c r="A507" s="11"/>
      <c r="B507" s="9"/>
      <c r="C507" s="15" t="str">
        <f aca="false">IF($B507="","",IFERROR(INDEX(직원목록!$B$3:$B$302,MATCH($B507,직원목록!$A$3:$A$302,0)),"미등록사번"))</f>
        <v/>
      </c>
      <c r="D507" s="9"/>
      <c r="E507" s="15" t="str">
        <f aca="false">IF($D507="","",IFERROR(INDEX(교육과정!$B$3:$B$102,MATCH($D507,교육과정!$A$3:$A$102,0)),"미등록과정"))</f>
        <v/>
      </c>
      <c r="F507" s="13"/>
      <c r="G507" s="9"/>
      <c r="H507" s="9"/>
    </row>
    <row r="508" customFormat="false" ht="15" hidden="false" customHeight="true" outlineLevel="0" collapsed="false">
      <c r="A508" s="11"/>
      <c r="B508" s="9"/>
      <c r="C508" s="15" t="str">
        <f aca="false">IF($B508="","",IFERROR(INDEX(직원목록!$B$3:$B$302,MATCH($B508,직원목록!$A$3:$A$302,0)),"미등록사번"))</f>
        <v/>
      </c>
      <c r="D508" s="9"/>
      <c r="E508" s="15" t="str">
        <f aca="false">IF($D508="","",IFERROR(INDEX(교육과정!$B$3:$B$102,MATCH($D508,교육과정!$A$3:$A$102,0)),"미등록과정"))</f>
        <v/>
      </c>
      <c r="F508" s="13"/>
      <c r="G508" s="9"/>
      <c r="H508" s="9"/>
    </row>
    <row r="509" customFormat="false" ht="15" hidden="false" customHeight="true" outlineLevel="0" collapsed="false">
      <c r="A509" s="11"/>
      <c r="B509" s="9"/>
      <c r="C509" s="15" t="str">
        <f aca="false">IF($B509="","",IFERROR(INDEX(직원목록!$B$3:$B$302,MATCH($B509,직원목록!$A$3:$A$302,0)),"미등록사번"))</f>
        <v/>
      </c>
      <c r="D509" s="9"/>
      <c r="E509" s="15" t="str">
        <f aca="false">IF($D509="","",IFERROR(INDEX(교육과정!$B$3:$B$102,MATCH($D509,교육과정!$A$3:$A$102,0)),"미등록과정"))</f>
        <v/>
      </c>
      <c r="F509" s="13"/>
      <c r="G509" s="9"/>
      <c r="H509" s="9"/>
    </row>
    <row r="510" customFormat="false" ht="15" hidden="false" customHeight="true" outlineLevel="0" collapsed="false">
      <c r="A510" s="11"/>
      <c r="B510" s="9"/>
      <c r="C510" s="15" t="str">
        <f aca="false">IF($B510="","",IFERROR(INDEX(직원목록!$B$3:$B$302,MATCH($B510,직원목록!$A$3:$A$302,0)),"미등록사번"))</f>
        <v/>
      </c>
      <c r="D510" s="9"/>
      <c r="E510" s="15" t="str">
        <f aca="false">IF($D510="","",IFERROR(INDEX(교육과정!$B$3:$B$102,MATCH($D510,교육과정!$A$3:$A$102,0)),"미등록과정"))</f>
        <v/>
      </c>
      <c r="F510" s="13"/>
      <c r="G510" s="9"/>
      <c r="H510" s="9"/>
    </row>
    <row r="511" customFormat="false" ht="15" hidden="false" customHeight="true" outlineLevel="0" collapsed="false">
      <c r="A511" s="11"/>
      <c r="B511" s="9"/>
      <c r="C511" s="15" t="str">
        <f aca="false">IF($B511="","",IFERROR(INDEX(직원목록!$B$3:$B$302,MATCH($B511,직원목록!$A$3:$A$302,0)),"미등록사번"))</f>
        <v/>
      </c>
      <c r="D511" s="9"/>
      <c r="E511" s="15" t="str">
        <f aca="false">IF($D511="","",IFERROR(INDEX(교육과정!$B$3:$B$102,MATCH($D511,교육과정!$A$3:$A$102,0)),"미등록과정"))</f>
        <v/>
      </c>
      <c r="F511" s="13"/>
      <c r="G511" s="9"/>
      <c r="H511" s="9"/>
    </row>
    <row r="512" customFormat="false" ht="15" hidden="false" customHeight="true" outlineLevel="0" collapsed="false">
      <c r="A512" s="11"/>
      <c r="B512" s="9"/>
      <c r="C512" s="15" t="str">
        <f aca="false">IF($B512="","",IFERROR(INDEX(직원목록!$B$3:$B$302,MATCH($B512,직원목록!$A$3:$A$302,0)),"미등록사번"))</f>
        <v/>
      </c>
      <c r="D512" s="9"/>
      <c r="E512" s="15" t="str">
        <f aca="false">IF($D512="","",IFERROR(INDEX(교육과정!$B$3:$B$102,MATCH($D512,교육과정!$A$3:$A$102,0)),"미등록과정"))</f>
        <v/>
      </c>
      <c r="F512" s="13"/>
      <c r="G512" s="9"/>
      <c r="H512" s="9"/>
    </row>
    <row r="513" customFormat="false" ht="15" hidden="false" customHeight="true" outlineLevel="0" collapsed="false">
      <c r="A513" s="11"/>
      <c r="B513" s="9"/>
      <c r="C513" s="15" t="str">
        <f aca="false">IF($B513="","",IFERROR(INDEX(직원목록!$B$3:$B$302,MATCH($B513,직원목록!$A$3:$A$302,0)),"미등록사번"))</f>
        <v/>
      </c>
      <c r="D513" s="9"/>
      <c r="E513" s="15" t="str">
        <f aca="false">IF($D513="","",IFERROR(INDEX(교육과정!$B$3:$B$102,MATCH($D513,교육과정!$A$3:$A$102,0)),"미등록과정"))</f>
        <v/>
      </c>
      <c r="F513" s="13"/>
      <c r="G513" s="9"/>
      <c r="H513" s="9"/>
    </row>
    <row r="514" customFormat="false" ht="15" hidden="false" customHeight="true" outlineLevel="0" collapsed="false">
      <c r="A514" s="11"/>
      <c r="B514" s="9"/>
      <c r="C514" s="15" t="str">
        <f aca="false">IF($B514="","",IFERROR(INDEX(직원목록!$B$3:$B$302,MATCH($B514,직원목록!$A$3:$A$302,0)),"미등록사번"))</f>
        <v/>
      </c>
      <c r="D514" s="9"/>
      <c r="E514" s="15" t="str">
        <f aca="false">IF($D514="","",IFERROR(INDEX(교육과정!$B$3:$B$102,MATCH($D514,교육과정!$A$3:$A$102,0)),"미등록과정"))</f>
        <v/>
      </c>
      <c r="F514" s="13"/>
      <c r="G514" s="9"/>
      <c r="H514" s="9"/>
    </row>
    <row r="515" customFormat="false" ht="15" hidden="false" customHeight="true" outlineLevel="0" collapsed="false">
      <c r="A515" s="11"/>
      <c r="B515" s="9"/>
      <c r="C515" s="15" t="str">
        <f aca="false">IF($B515="","",IFERROR(INDEX(직원목록!$B$3:$B$302,MATCH($B515,직원목록!$A$3:$A$302,0)),"미등록사번"))</f>
        <v/>
      </c>
      <c r="D515" s="9"/>
      <c r="E515" s="15" t="str">
        <f aca="false">IF($D515="","",IFERROR(INDEX(교육과정!$B$3:$B$102,MATCH($D515,교육과정!$A$3:$A$102,0)),"미등록과정"))</f>
        <v/>
      </c>
      <c r="F515" s="13"/>
      <c r="G515" s="9"/>
      <c r="H515" s="9"/>
    </row>
    <row r="516" customFormat="false" ht="15" hidden="false" customHeight="true" outlineLevel="0" collapsed="false">
      <c r="A516" s="11"/>
      <c r="B516" s="9"/>
      <c r="C516" s="15" t="str">
        <f aca="false">IF($B516="","",IFERROR(INDEX(직원목록!$B$3:$B$302,MATCH($B516,직원목록!$A$3:$A$302,0)),"미등록사번"))</f>
        <v/>
      </c>
      <c r="D516" s="9"/>
      <c r="E516" s="15" t="str">
        <f aca="false">IF($D516="","",IFERROR(INDEX(교육과정!$B$3:$B$102,MATCH($D516,교육과정!$A$3:$A$102,0)),"미등록과정"))</f>
        <v/>
      </c>
      <c r="F516" s="13"/>
      <c r="G516" s="9"/>
      <c r="H516" s="9"/>
    </row>
    <row r="517" customFormat="false" ht="15" hidden="false" customHeight="true" outlineLevel="0" collapsed="false">
      <c r="A517" s="11"/>
      <c r="B517" s="9"/>
      <c r="C517" s="15" t="str">
        <f aca="false">IF($B517="","",IFERROR(INDEX(직원목록!$B$3:$B$302,MATCH($B517,직원목록!$A$3:$A$302,0)),"미등록사번"))</f>
        <v/>
      </c>
      <c r="D517" s="9"/>
      <c r="E517" s="15" t="str">
        <f aca="false">IF($D517="","",IFERROR(INDEX(교육과정!$B$3:$B$102,MATCH($D517,교육과정!$A$3:$A$102,0)),"미등록과정"))</f>
        <v/>
      </c>
      <c r="F517" s="13"/>
      <c r="G517" s="9"/>
      <c r="H517" s="9"/>
    </row>
    <row r="518" customFormat="false" ht="15" hidden="false" customHeight="true" outlineLevel="0" collapsed="false">
      <c r="A518" s="11"/>
      <c r="B518" s="9"/>
      <c r="C518" s="15" t="str">
        <f aca="false">IF($B518="","",IFERROR(INDEX(직원목록!$B$3:$B$302,MATCH($B518,직원목록!$A$3:$A$302,0)),"미등록사번"))</f>
        <v/>
      </c>
      <c r="D518" s="9"/>
      <c r="E518" s="15" t="str">
        <f aca="false">IF($D518="","",IFERROR(INDEX(교육과정!$B$3:$B$102,MATCH($D518,교육과정!$A$3:$A$102,0)),"미등록과정"))</f>
        <v/>
      </c>
      <c r="F518" s="13"/>
      <c r="G518" s="9"/>
      <c r="H518" s="9"/>
    </row>
    <row r="519" customFormat="false" ht="15" hidden="false" customHeight="true" outlineLevel="0" collapsed="false">
      <c r="A519" s="11"/>
      <c r="B519" s="9"/>
      <c r="C519" s="15" t="str">
        <f aca="false">IF($B519="","",IFERROR(INDEX(직원목록!$B$3:$B$302,MATCH($B519,직원목록!$A$3:$A$302,0)),"미등록사번"))</f>
        <v/>
      </c>
      <c r="D519" s="9"/>
      <c r="E519" s="15" t="str">
        <f aca="false">IF($D519="","",IFERROR(INDEX(교육과정!$B$3:$B$102,MATCH($D519,교육과정!$A$3:$A$102,0)),"미등록과정"))</f>
        <v/>
      </c>
      <c r="F519" s="13"/>
      <c r="G519" s="9"/>
      <c r="H519" s="9"/>
    </row>
    <row r="520" customFormat="false" ht="15" hidden="false" customHeight="true" outlineLevel="0" collapsed="false">
      <c r="A520" s="11"/>
      <c r="B520" s="9"/>
      <c r="C520" s="15" t="str">
        <f aca="false">IF($B520="","",IFERROR(INDEX(직원목록!$B$3:$B$302,MATCH($B520,직원목록!$A$3:$A$302,0)),"미등록사번"))</f>
        <v/>
      </c>
      <c r="D520" s="9"/>
      <c r="E520" s="15" t="str">
        <f aca="false">IF($D520="","",IFERROR(INDEX(교육과정!$B$3:$B$102,MATCH($D520,교육과정!$A$3:$A$102,0)),"미등록과정"))</f>
        <v/>
      </c>
      <c r="F520" s="13"/>
      <c r="G520" s="9"/>
      <c r="H520" s="9"/>
    </row>
    <row r="521" customFormat="false" ht="15" hidden="false" customHeight="true" outlineLevel="0" collapsed="false">
      <c r="A521" s="11"/>
      <c r="B521" s="9"/>
      <c r="C521" s="15" t="str">
        <f aca="false">IF($B521="","",IFERROR(INDEX(직원목록!$B$3:$B$302,MATCH($B521,직원목록!$A$3:$A$302,0)),"미등록사번"))</f>
        <v/>
      </c>
      <c r="D521" s="9"/>
      <c r="E521" s="15" t="str">
        <f aca="false">IF($D521="","",IFERROR(INDEX(교육과정!$B$3:$B$102,MATCH($D521,교육과정!$A$3:$A$102,0)),"미등록과정"))</f>
        <v/>
      </c>
      <c r="F521" s="13"/>
      <c r="G521" s="9"/>
      <c r="H521" s="9"/>
    </row>
    <row r="522" customFormat="false" ht="15" hidden="false" customHeight="true" outlineLevel="0" collapsed="false">
      <c r="A522" s="11"/>
      <c r="B522" s="9"/>
      <c r="C522" s="15" t="str">
        <f aca="false">IF($B522="","",IFERROR(INDEX(직원목록!$B$3:$B$302,MATCH($B522,직원목록!$A$3:$A$302,0)),"미등록사번"))</f>
        <v/>
      </c>
      <c r="D522" s="9"/>
      <c r="E522" s="15" t="str">
        <f aca="false">IF($D522="","",IFERROR(INDEX(교육과정!$B$3:$B$102,MATCH($D522,교육과정!$A$3:$A$102,0)),"미등록과정"))</f>
        <v/>
      </c>
      <c r="F522" s="13"/>
      <c r="G522" s="9"/>
      <c r="H522" s="9"/>
    </row>
    <row r="523" customFormat="false" ht="15" hidden="false" customHeight="true" outlineLevel="0" collapsed="false">
      <c r="A523" s="11"/>
      <c r="B523" s="9"/>
      <c r="C523" s="15" t="str">
        <f aca="false">IF($B523="","",IFERROR(INDEX(직원목록!$B$3:$B$302,MATCH($B523,직원목록!$A$3:$A$302,0)),"미등록사번"))</f>
        <v/>
      </c>
      <c r="D523" s="9"/>
      <c r="E523" s="15" t="str">
        <f aca="false">IF($D523="","",IFERROR(INDEX(교육과정!$B$3:$B$102,MATCH($D523,교육과정!$A$3:$A$102,0)),"미등록과정"))</f>
        <v/>
      </c>
      <c r="F523" s="13"/>
      <c r="G523" s="9"/>
      <c r="H523" s="9"/>
    </row>
    <row r="524" customFormat="false" ht="15" hidden="false" customHeight="true" outlineLevel="0" collapsed="false">
      <c r="A524" s="11"/>
      <c r="B524" s="9"/>
      <c r="C524" s="15" t="str">
        <f aca="false">IF($B524="","",IFERROR(INDEX(직원목록!$B$3:$B$302,MATCH($B524,직원목록!$A$3:$A$302,0)),"미등록사번"))</f>
        <v/>
      </c>
      <c r="D524" s="9"/>
      <c r="E524" s="15" t="str">
        <f aca="false">IF($D524="","",IFERROR(INDEX(교육과정!$B$3:$B$102,MATCH($D524,교육과정!$A$3:$A$102,0)),"미등록과정"))</f>
        <v/>
      </c>
      <c r="F524" s="13"/>
      <c r="G524" s="9"/>
      <c r="H524" s="9"/>
    </row>
    <row r="525" customFormat="false" ht="15" hidden="false" customHeight="true" outlineLevel="0" collapsed="false">
      <c r="A525" s="11"/>
      <c r="B525" s="9"/>
      <c r="C525" s="15" t="str">
        <f aca="false">IF($B525="","",IFERROR(INDEX(직원목록!$B$3:$B$302,MATCH($B525,직원목록!$A$3:$A$302,0)),"미등록사번"))</f>
        <v/>
      </c>
      <c r="D525" s="9"/>
      <c r="E525" s="15" t="str">
        <f aca="false">IF($D525="","",IFERROR(INDEX(교육과정!$B$3:$B$102,MATCH($D525,교육과정!$A$3:$A$102,0)),"미등록과정"))</f>
        <v/>
      </c>
      <c r="F525" s="13"/>
      <c r="G525" s="9"/>
      <c r="H525" s="9"/>
    </row>
    <row r="526" customFormat="false" ht="15" hidden="false" customHeight="true" outlineLevel="0" collapsed="false">
      <c r="A526" s="11"/>
      <c r="B526" s="9"/>
      <c r="C526" s="15" t="str">
        <f aca="false">IF($B526="","",IFERROR(INDEX(직원목록!$B$3:$B$302,MATCH($B526,직원목록!$A$3:$A$302,0)),"미등록사번"))</f>
        <v/>
      </c>
      <c r="D526" s="9"/>
      <c r="E526" s="15" t="str">
        <f aca="false">IF($D526="","",IFERROR(INDEX(교육과정!$B$3:$B$102,MATCH($D526,교육과정!$A$3:$A$102,0)),"미등록과정"))</f>
        <v/>
      </c>
      <c r="F526" s="13"/>
      <c r="G526" s="9"/>
      <c r="H526" s="9"/>
    </row>
    <row r="527" customFormat="false" ht="15" hidden="false" customHeight="true" outlineLevel="0" collapsed="false">
      <c r="A527" s="11"/>
      <c r="B527" s="9"/>
      <c r="C527" s="15" t="str">
        <f aca="false">IF($B527="","",IFERROR(INDEX(직원목록!$B$3:$B$302,MATCH($B527,직원목록!$A$3:$A$302,0)),"미등록사번"))</f>
        <v/>
      </c>
      <c r="D527" s="9"/>
      <c r="E527" s="15" t="str">
        <f aca="false">IF($D527="","",IFERROR(INDEX(교육과정!$B$3:$B$102,MATCH($D527,교육과정!$A$3:$A$102,0)),"미등록과정"))</f>
        <v/>
      </c>
      <c r="F527" s="13"/>
      <c r="G527" s="9"/>
      <c r="H527" s="9"/>
    </row>
    <row r="528" customFormat="false" ht="15" hidden="false" customHeight="true" outlineLevel="0" collapsed="false">
      <c r="A528" s="11"/>
      <c r="B528" s="9"/>
      <c r="C528" s="15" t="str">
        <f aca="false">IF($B528="","",IFERROR(INDEX(직원목록!$B$3:$B$302,MATCH($B528,직원목록!$A$3:$A$302,0)),"미등록사번"))</f>
        <v/>
      </c>
      <c r="D528" s="9"/>
      <c r="E528" s="15" t="str">
        <f aca="false">IF($D528="","",IFERROR(INDEX(교육과정!$B$3:$B$102,MATCH($D528,교육과정!$A$3:$A$102,0)),"미등록과정"))</f>
        <v/>
      </c>
      <c r="F528" s="13"/>
      <c r="G528" s="9"/>
      <c r="H528" s="9"/>
    </row>
    <row r="529" customFormat="false" ht="15" hidden="false" customHeight="true" outlineLevel="0" collapsed="false">
      <c r="A529" s="11"/>
      <c r="B529" s="9"/>
      <c r="C529" s="15" t="str">
        <f aca="false">IF($B529="","",IFERROR(INDEX(직원목록!$B$3:$B$302,MATCH($B529,직원목록!$A$3:$A$302,0)),"미등록사번"))</f>
        <v/>
      </c>
      <c r="D529" s="9"/>
      <c r="E529" s="15" t="str">
        <f aca="false">IF($D529="","",IFERROR(INDEX(교육과정!$B$3:$B$102,MATCH($D529,교육과정!$A$3:$A$102,0)),"미등록과정"))</f>
        <v/>
      </c>
      <c r="F529" s="13"/>
      <c r="G529" s="9"/>
      <c r="H529" s="9"/>
    </row>
    <row r="530" customFormat="false" ht="15" hidden="false" customHeight="true" outlineLevel="0" collapsed="false">
      <c r="A530" s="11"/>
      <c r="B530" s="9"/>
      <c r="C530" s="15" t="str">
        <f aca="false">IF($B530="","",IFERROR(INDEX(직원목록!$B$3:$B$302,MATCH($B530,직원목록!$A$3:$A$302,0)),"미등록사번"))</f>
        <v/>
      </c>
      <c r="D530" s="9"/>
      <c r="E530" s="15" t="str">
        <f aca="false">IF($D530="","",IFERROR(INDEX(교육과정!$B$3:$B$102,MATCH($D530,교육과정!$A$3:$A$102,0)),"미등록과정"))</f>
        <v/>
      </c>
      <c r="F530" s="13"/>
      <c r="G530" s="9"/>
      <c r="H530" s="9"/>
    </row>
    <row r="531" customFormat="false" ht="15" hidden="false" customHeight="true" outlineLevel="0" collapsed="false">
      <c r="A531" s="11"/>
      <c r="B531" s="9"/>
      <c r="C531" s="15" t="str">
        <f aca="false">IF($B531="","",IFERROR(INDEX(직원목록!$B$3:$B$302,MATCH($B531,직원목록!$A$3:$A$302,0)),"미등록사번"))</f>
        <v/>
      </c>
      <c r="D531" s="9"/>
      <c r="E531" s="15" t="str">
        <f aca="false">IF($D531="","",IFERROR(INDEX(교육과정!$B$3:$B$102,MATCH($D531,교육과정!$A$3:$A$102,0)),"미등록과정"))</f>
        <v/>
      </c>
      <c r="F531" s="13"/>
      <c r="G531" s="9"/>
      <c r="H531" s="9"/>
    </row>
    <row r="532" customFormat="false" ht="15" hidden="false" customHeight="true" outlineLevel="0" collapsed="false">
      <c r="A532" s="11"/>
      <c r="B532" s="9"/>
      <c r="C532" s="15" t="str">
        <f aca="false">IF($B532="","",IFERROR(INDEX(직원목록!$B$3:$B$302,MATCH($B532,직원목록!$A$3:$A$302,0)),"미등록사번"))</f>
        <v/>
      </c>
      <c r="D532" s="9"/>
      <c r="E532" s="15" t="str">
        <f aca="false">IF($D532="","",IFERROR(INDEX(교육과정!$B$3:$B$102,MATCH($D532,교육과정!$A$3:$A$102,0)),"미등록과정"))</f>
        <v/>
      </c>
      <c r="F532" s="13"/>
      <c r="G532" s="9"/>
      <c r="H532" s="9"/>
    </row>
    <row r="533" customFormat="false" ht="15" hidden="false" customHeight="true" outlineLevel="0" collapsed="false">
      <c r="A533" s="11"/>
      <c r="B533" s="9"/>
      <c r="C533" s="15" t="str">
        <f aca="false">IF($B533="","",IFERROR(INDEX(직원목록!$B$3:$B$302,MATCH($B533,직원목록!$A$3:$A$302,0)),"미등록사번"))</f>
        <v/>
      </c>
      <c r="D533" s="9"/>
      <c r="E533" s="15" t="str">
        <f aca="false">IF($D533="","",IFERROR(INDEX(교육과정!$B$3:$B$102,MATCH($D533,교육과정!$A$3:$A$102,0)),"미등록과정"))</f>
        <v/>
      </c>
      <c r="F533" s="13"/>
      <c r="G533" s="9"/>
      <c r="H533" s="9"/>
    </row>
    <row r="534" customFormat="false" ht="15" hidden="false" customHeight="true" outlineLevel="0" collapsed="false">
      <c r="A534" s="11"/>
      <c r="B534" s="9"/>
      <c r="C534" s="15" t="str">
        <f aca="false">IF($B534="","",IFERROR(INDEX(직원목록!$B$3:$B$302,MATCH($B534,직원목록!$A$3:$A$302,0)),"미등록사번"))</f>
        <v/>
      </c>
      <c r="D534" s="9"/>
      <c r="E534" s="15" t="str">
        <f aca="false">IF($D534="","",IFERROR(INDEX(교육과정!$B$3:$B$102,MATCH($D534,교육과정!$A$3:$A$102,0)),"미등록과정"))</f>
        <v/>
      </c>
      <c r="F534" s="13"/>
      <c r="G534" s="9"/>
      <c r="H534" s="9"/>
    </row>
    <row r="535" customFormat="false" ht="15" hidden="false" customHeight="true" outlineLevel="0" collapsed="false">
      <c r="A535" s="11"/>
      <c r="B535" s="9"/>
      <c r="C535" s="15" t="str">
        <f aca="false">IF($B535="","",IFERROR(INDEX(직원목록!$B$3:$B$302,MATCH($B535,직원목록!$A$3:$A$302,0)),"미등록사번"))</f>
        <v/>
      </c>
      <c r="D535" s="9"/>
      <c r="E535" s="15" t="str">
        <f aca="false">IF($D535="","",IFERROR(INDEX(교육과정!$B$3:$B$102,MATCH($D535,교육과정!$A$3:$A$102,0)),"미등록과정"))</f>
        <v/>
      </c>
      <c r="F535" s="13"/>
      <c r="G535" s="9"/>
      <c r="H535" s="9"/>
    </row>
    <row r="536" customFormat="false" ht="15" hidden="false" customHeight="true" outlineLevel="0" collapsed="false">
      <c r="A536" s="11"/>
      <c r="B536" s="9"/>
      <c r="C536" s="15" t="str">
        <f aca="false">IF($B536="","",IFERROR(INDEX(직원목록!$B$3:$B$302,MATCH($B536,직원목록!$A$3:$A$302,0)),"미등록사번"))</f>
        <v/>
      </c>
      <c r="D536" s="9"/>
      <c r="E536" s="15" t="str">
        <f aca="false">IF($D536="","",IFERROR(INDEX(교육과정!$B$3:$B$102,MATCH($D536,교육과정!$A$3:$A$102,0)),"미등록과정"))</f>
        <v/>
      </c>
      <c r="F536" s="13"/>
      <c r="G536" s="9"/>
      <c r="H536" s="9"/>
    </row>
    <row r="537" customFormat="false" ht="15" hidden="false" customHeight="true" outlineLevel="0" collapsed="false">
      <c r="A537" s="11"/>
      <c r="B537" s="9"/>
      <c r="C537" s="15" t="str">
        <f aca="false">IF($B537="","",IFERROR(INDEX(직원목록!$B$3:$B$302,MATCH($B537,직원목록!$A$3:$A$302,0)),"미등록사번"))</f>
        <v/>
      </c>
      <c r="D537" s="9"/>
      <c r="E537" s="15" t="str">
        <f aca="false">IF($D537="","",IFERROR(INDEX(교육과정!$B$3:$B$102,MATCH($D537,교육과정!$A$3:$A$102,0)),"미등록과정"))</f>
        <v/>
      </c>
      <c r="F537" s="13"/>
      <c r="G537" s="9"/>
      <c r="H537" s="9"/>
    </row>
    <row r="538" customFormat="false" ht="15" hidden="false" customHeight="true" outlineLevel="0" collapsed="false">
      <c r="A538" s="11"/>
      <c r="B538" s="9"/>
      <c r="C538" s="15" t="str">
        <f aca="false">IF($B538="","",IFERROR(INDEX(직원목록!$B$3:$B$302,MATCH($B538,직원목록!$A$3:$A$302,0)),"미등록사번"))</f>
        <v/>
      </c>
      <c r="D538" s="9"/>
      <c r="E538" s="15" t="str">
        <f aca="false">IF($D538="","",IFERROR(INDEX(교육과정!$B$3:$B$102,MATCH($D538,교육과정!$A$3:$A$102,0)),"미등록과정"))</f>
        <v/>
      </c>
      <c r="F538" s="13"/>
      <c r="G538" s="9"/>
      <c r="H538" s="9"/>
    </row>
    <row r="539" customFormat="false" ht="15" hidden="false" customHeight="true" outlineLevel="0" collapsed="false">
      <c r="A539" s="11"/>
      <c r="B539" s="9"/>
      <c r="C539" s="15" t="str">
        <f aca="false">IF($B539="","",IFERROR(INDEX(직원목록!$B$3:$B$302,MATCH($B539,직원목록!$A$3:$A$302,0)),"미등록사번"))</f>
        <v/>
      </c>
      <c r="D539" s="9"/>
      <c r="E539" s="15" t="str">
        <f aca="false">IF($D539="","",IFERROR(INDEX(교육과정!$B$3:$B$102,MATCH($D539,교육과정!$A$3:$A$102,0)),"미등록과정"))</f>
        <v/>
      </c>
      <c r="F539" s="13"/>
      <c r="G539" s="9"/>
      <c r="H539" s="9"/>
    </row>
    <row r="540" customFormat="false" ht="15" hidden="false" customHeight="true" outlineLevel="0" collapsed="false">
      <c r="A540" s="11"/>
      <c r="B540" s="9"/>
      <c r="C540" s="15" t="str">
        <f aca="false">IF($B540="","",IFERROR(INDEX(직원목록!$B$3:$B$302,MATCH($B540,직원목록!$A$3:$A$302,0)),"미등록사번"))</f>
        <v/>
      </c>
      <c r="D540" s="9"/>
      <c r="E540" s="15" t="str">
        <f aca="false">IF($D540="","",IFERROR(INDEX(교육과정!$B$3:$B$102,MATCH($D540,교육과정!$A$3:$A$102,0)),"미등록과정"))</f>
        <v/>
      </c>
      <c r="F540" s="13"/>
      <c r="G540" s="9"/>
      <c r="H540" s="9"/>
    </row>
    <row r="541" customFormat="false" ht="15" hidden="false" customHeight="true" outlineLevel="0" collapsed="false">
      <c r="A541" s="11"/>
      <c r="B541" s="9"/>
      <c r="C541" s="15" t="str">
        <f aca="false">IF($B541="","",IFERROR(INDEX(직원목록!$B$3:$B$302,MATCH($B541,직원목록!$A$3:$A$302,0)),"미등록사번"))</f>
        <v/>
      </c>
      <c r="D541" s="9"/>
      <c r="E541" s="15" t="str">
        <f aca="false">IF($D541="","",IFERROR(INDEX(교육과정!$B$3:$B$102,MATCH($D541,교육과정!$A$3:$A$102,0)),"미등록과정"))</f>
        <v/>
      </c>
      <c r="F541" s="13"/>
      <c r="G541" s="9"/>
      <c r="H541" s="9"/>
    </row>
    <row r="542" customFormat="false" ht="15" hidden="false" customHeight="true" outlineLevel="0" collapsed="false">
      <c r="A542" s="11"/>
      <c r="B542" s="9"/>
      <c r="C542" s="15" t="str">
        <f aca="false">IF($B542="","",IFERROR(INDEX(직원목록!$B$3:$B$302,MATCH($B542,직원목록!$A$3:$A$302,0)),"미등록사번"))</f>
        <v/>
      </c>
      <c r="D542" s="9"/>
      <c r="E542" s="15" t="str">
        <f aca="false">IF($D542="","",IFERROR(INDEX(교육과정!$B$3:$B$102,MATCH($D542,교육과정!$A$3:$A$102,0)),"미등록과정"))</f>
        <v/>
      </c>
      <c r="F542" s="13"/>
      <c r="G542" s="9"/>
      <c r="H542" s="9"/>
    </row>
    <row r="543" customFormat="false" ht="15" hidden="false" customHeight="true" outlineLevel="0" collapsed="false">
      <c r="A543" s="11"/>
      <c r="B543" s="9"/>
      <c r="C543" s="15" t="str">
        <f aca="false">IF($B543="","",IFERROR(INDEX(직원목록!$B$3:$B$302,MATCH($B543,직원목록!$A$3:$A$302,0)),"미등록사번"))</f>
        <v/>
      </c>
      <c r="D543" s="9"/>
      <c r="E543" s="15" t="str">
        <f aca="false">IF($D543="","",IFERROR(INDEX(교육과정!$B$3:$B$102,MATCH($D543,교육과정!$A$3:$A$102,0)),"미등록과정"))</f>
        <v/>
      </c>
      <c r="F543" s="13"/>
      <c r="G543" s="9"/>
      <c r="H543" s="9"/>
    </row>
    <row r="544" customFormat="false" ht="15" hidden="false" customHeight="true" outlineLevel="0" collapsed="false">
      <c r="A544" s="11"/>
      <c r="B544" s="9"/>
      <c r="C544" s="15" t="str">
        <f aca="false">IF($B544="","",IFERROR(INDEX(직원목록!$B$3:$B$302,MATCH($B544,직원목록!$A$3:$A$302,0)),"미등록사번"))</f>
        <v/>
      </c>
      <c r="D544" s="9"/>
      <c r="E544" s="15" t="str">
        <f aca="false">IF($D544="","",IFERROR(INDEX(교육과정!$B$3:$B$102,MATCH($D544,교육과정!$A$3:$A$102,0)),"미등록과정"))</f>
        <v/>
      </c>
      <c r="F544" s="13"/>
      <c r="G544" s="9"/>
      <c r="H544" s="9"/>
    </row>
    <row r="545" customFormat="false" ht="15" hidden="false" customHeight="true" outlineLevel="0" collapsed="false">
      <c r="A545" s="11"/>
      <c r="B545" s="9"/>
      <c r="C545" s="15" t="str">
        <f aca="false">IF($B545="","",IFERROR(INDEX(직원목록!$B$3:$B$302,MATCH($B545,직원목록!$A$3:$A$302,0)),"미등록사번"))</f>
        <v/>
      </c>
      <c r="D545" s="9"/>
      <c r="E545" s="15" t="str">
        <f aca="false">IF($D545="","",IFERROR(INDEX(교육과정!$B$3:$B$102,MATCH($D545,교육과정!$A$3:$A$102,0)),"미등록과정"))</f>
        <v/>
      </c>
      <c r="F545" s="13"/>
      <c r="G545" s="9"/>
      <c r="H545" s="9"/>
    </row>
    <row r="546" customFormat="false" ht="15" hidden="false" customHeight="true" outlineLevel="0" collapsed="false">
      <c r="A546" s="11"/>
      <c r="B546" s="9"/>
      <c r="C546" s="15" t="str">
        <f aca="false">IF($B546="","",IFERROR(INDEX(직원목록!$B$3:$B$302,MATCH($B546,직원목록!$A$3:$A$302,0)),"미등록사번"))</f>
        <v/>
      </c>
      <c r="D546" s="9"/>
      <c r="E546" s="15" t="str">
        <f aca="false">IF($D546="","",IFERROR(INDEX(교육과정!$B$3:$B$102,MATCH($D546,교육과정!$A$3:$A$102,0)),"미등록과정"))</f>
        <v/>
      </c>
      <c r="F546" s="13"/>
      <c r="G546" s="9"/>
      <c r="H546" s="9"/>
    </row>
    <row r="547" customFormat="false" ht="15" hidden="false" customHeight="true" outlineLevel="0" collapsed="false">
      <c r="A547" s="11"/>
      <c r="B547" s="9"/>
      <c r="C547" s="15" t="str">
        <f aca="false">IF($B547="","",IFERROR(INDEX(직원목록!$B$3:$B$302,MATCH($B547,직원목록!$A$3:$A$302,0)),"미등록사번"))</f>
        <v/>
      </c>
      <c r="D547" s="9"/>
      <c r="E547" s="15" t="str">
        <f aca="false">IF($D547="","",IFERROR(INDEX(교육과정!$B$3:$B$102,MATCH($D547,교육과정!$A$3:$A$102,0)),"미등록과정"))</f>
        <v/>
      </c>
      <c r="F547" s="13"/>
      <c r="G547" s="9"/>
      <c r="H547" s="9"/>
    </row>
    <row r="548" customFormat="false" ht="15" hidden="false" customHeight="true" outlineLevel="0" collapsed="false">
      <c r="A548" s="11"/>
      <c r="B548" s="9"/>
      <c r="C548" s="15" t="str">
        <f aca="false">IF($B548="","",IFERROR(INDEX(직원목록!$B$3:$B$302,MATCH($B548,직원목록!$A$3:$A$302,0)),"미등록사번"))</f>
        <v/>
      </c>
      <c r="D548" s="9"/>
      <c r="E548" s="15" t="str">
        <f aca="false">IF($D548="","",IFERROR(INDEX(교육과정!$B$3:$B$102,MATCH($D548,교육과정!$A$3:$A$102,0)),"미등록과정"))</f>
        <v/>
      </c>
      <c r="F548" s="13"/>
      <c r="G548" s="9"/>
      <c r="H548" s="9"/>
    </row>
    <row r="549" customFormat="false" ht="15" hidden="false" customHeight="true" outlineLevel="0" collapsed="false">
      <c r="A549" s="11"/>
      <c r="B549" s="9"/>
      <c r="C549" s="15" t="str">
        <f aca="false">IF($B549="","",IFERROR(INDEX(직원목록!$B$3:$B$302,MATCH($B549,직원목록!$A$3:$A$302,0)),"미등록사번"))</f>
        <v/>
      </c>
      <c r="D549" s="9"/>
      <c r="E549" s="15" t="str">
        <f aca="false">IF($D549="","",IFERROR(INDEX(교육과정!$B$3:$B$102,MATCH($D549,교육과정!$A$3:$A$102,0)),"미등록과정"))</f>
        <v/>
      </c>
      <c r="F549" s="13"/>
      <c r="G549" s="9"/>
      <c r="H549" s="9"/>
    </row>
    <row r="550" customFormat="false" ht="15" hidden="false" customHeight="true" outlineLevel="0" collapsed="false">
      <c r="A550" s="11"/>
      <c r="B550" s="9"/>
      <c r="C550" s="15" t="str">
        <f aca="false">IF($B550="","",IFERROR(INDEX(직원목록!$B$3:$B$302,MATCH($B550,직원목록!$A$3:$A$302,0)),"미등록사번"))</f>
        <v/>
      </c>
      <c r="D550" s="9"/>
      <c r="E550" s="15" t="str">
        <f aca="false">IF($D550="","",IFERROR(INDEX(교육과정!$B$3:$B$102,MATCH($D550,교육과정!$A$3:$A$102,0)),"미등록과정"))</f>
        <v/>
      </c>
      <c r="F550" s="13"/>
      <c r="G550" s="9"/>
      <c r="H550" s="9"/>
    </row>
    <row r="551" customFormat="false" ht="15" hidden="false" customHeight="true" outlineLevel="0" collapsed="false">
      <c r="A551" s="11"/>
      <c r="B551" s="9"/>
      <c r="C551" s="15" t="str">
        <f aca="false">IF($B551="","",IFERROR(INDEX(직원목록!$B$3:$B$302,MATCH($B551,직원목록!$A$3:$A$302,0)),"미등록사번"))</f>
        <v/>
      </c>
      <c r="D551" s="9"/>
      <c r="E551" s="15" t="str">
        <f aca="false">IF($D551="","",IFERROR(INDEX(교육과정!$B$3:$B$102,MATCH($D551,교육과정!$A$3:$A$102,0)),"미등록과정"))</f>
        <v/>
      </c>
      <c r="F551" s="13"/>
      <c r="G551" s="9"/>
      <c r="H551" s="9"/>
    </row>
    <row r="552" customFormat="false" ht="15" hidden="false" customHeight="true" outlineLevel="0" collapsed="false">
      <c r="A552" s="11"/>
      <c r="B552" s="9"/>
      <c r="C552" s="15" t="str">
        <f aca="false">IF($B552="","",IFERROR(INDEX(직원목록!$B$3:$B$302,MATCH($B552,직원목록!$A$3:$A$302,0)),"미등록사번"))</f>
        <v/>
      </c>
      <c r="D552" s="9"/>
      <c r="E552" s="15" t="str">
        <f aca="false">IF($D552="","",IFERROR(INDEX(교육과정!$B$3:$B$102,MATCH($D552,교육과정!$A$3:$A$102,0)),"미등록과정"))</f>
        <v/>
      </c>
      <c r="F552" s="13"/>
      <c r="G552" s="9"/>
      <c r="H552" s="9"/>
    </row>
    <row r="553" customFormat="false" ht="15" hidden="false" customHeight="true" outlineLevel="0" collapsed="false">
      <c r="A553" s="11"/>
      <c r="B553" s="9"/>
      <c r="C553" s="15" t="str">
        <f aca="false">IF($B553="","",IFERROR(INDEX(직원목록!$B$3:$B$302,MATCH($B553,직원목록!$A$3:$A$302,0)),"미등록사번"))</f>
        <v/>
      </c>
      <c r="D553" s="9"/>
      <c r="E553" s="15" t="str">
        <f aca="false">IF($D553="","",IFERROR(INDEX(교육과정!$B$3:$B$102,MATCH($D553,교육과정!$A$3:$A$102,0)),"미등록과정"))</f>
        <v/>
      </c>
      <c r="F553" s="13"/>
      <c r="G553" s="9"/>
      <c r="H553" s="9"/>
    </row>
    <row r="554" customFormat="false" ht="15" hidden="false" customHeight="true" outlineLevel="0" collapsed="false">
      <c r="A554" s="11"/>
      <c r="B554" s="9"/>
      <c r="C554" s="15" t="str">
        <f aca="false">IF($B554="","",IFERROR(INDEX(직원목록!$B$3:$B$302,MATCH($B554,직원목록!$A$3:$A$302,0)),"미등록사번"))</f>
        <v/>
      </c>
      <c r="D554" s="9"/>
      <c r="E554" s="15" t="str">
        <f aca="false">IF($D554="","",IFERROR(INDEX(교육과정!$B$3:$B$102,MATCH($D554,교육과정!$A$3:$A$102,0)),"미등록과정"))</f>
        <v/>
      </c>
      <c r="F554" s="13"/>
      <c r="G554" s="9"/>
      <c r="H554" s="9"/>
    </row>
    <row r="555" customFormat="false" ht="15" hidden="false" customHeight="true" outlineLevel="0" collapsed="false">
      <c r="A555" s="11"/>
      <c r="B555" s="9"/>
      <c r="C555" s="15" t="str">
        <f aca="false">IF($B555="","",IFERROR(INDEX(직원목록!$B$3:$B$302,MATCH($B555,직원목록!$A$3:$A$302,0)),"미등록사번"))</f>
        <v/>
      </c>
      <c r="D555" s="9"/>
      <c r="E555" s="15" t="str">
        <f aca="false">IF($D555="","",IFERROR(INDEX(교육과정!$B$3:$B$102,MATCH($D555,교육과정!$A$3:$A$102,0)),"미등록과정"))</f>
        <v/>
      </c>
      <c r="F555" s="13"/>
      <c r="G555" s="9"/>
      <c r="H555" s="9"/>
    </row>
    <row r="556" customFormat="false" ht="15" hidden="false" customHeight="true" outlineLevel="0" collapsed="false">
      <c r="A556" s="11"/>
      <c r="B556" s="9"/>
      <c r="C556" s="15" t="str">
        <f aca="false">IF($B556="","",IFERROR(INDEX(직원목록!$B$3:$B$302,MATCH($B556,직원목록!$A$3:$A$302,0)),"미등록사번"))</f>
        <v/>
      </c>
      <c r="D556" s="9"/>
      <c r="E556" s="15" t="str">
        <f aca="false">IF($D556="","",IFERROR(INDEX(교육과정!$B$3:$B$102,MATCH($D556,교육과정!$A$3:$A$102,0)),"미등록과정"))</f>
        <v/>
      </c>
      <c r="F556" s="13"/>
      <c r="G556" s="9"/>
      <c r="H556" s="9"/>
    </row>
    <row r="557" customFormat="false" ht="15" hidden="false" customHeight="true" outlineLevel="0" collapsed="false">
      <c r="A557" s="11"/>
      <c r="B557" s="9"/>
      <c r="C557" s="15" t="str">
        <f aca="false">IF($B557="","",IFERROR(INDEX(직원목록!$B$3:$B$302,MATCH($B557,직원목록!$A$3:$A$302,0)),"미등록사번"))</f>
        <v/>
      </c>
      <c r="D557" s="9"/>
      <c r="E557" s="15" t="str">
        <f aca="false">IF($D557="","",IFERROR(INDEX(교육과정!$B$3:$B$102,MATCH($D557,교육과정!$A$3:$A$102,0)),"미등록과정"))</f>
        <v/>
      </c>
      <c r="F557" s="13"/>
      <c r="G557" s="9"/>
      <c r="H557" s="9"/>
    </row>
    <row r="558" customFormat="false" ht="15" hidden="false" customHeight="true" outlineLevel="0" collapsed="false">
      <c r="A558" s="11"/>
      <c r="B558" s="9"/>
      <c r="C558" s="15" t="str">
        <f aca="false">IF($B558="","",IFERROR(INDEX(직원목록!$B$3:$B$302,MATCH($B558,직원목록!$A$3:$A$302,0)),"미등록사번"))</f>
        <v/>
      </c>
      <c r="D558" s="9"/>
      <c r="E558" s="15" t="str">
        <f aca="false">IF($D558="","",IFERROR(INDEX(교육과정!$B$3:$B$102,MATCH($D558,교육과정!$A$3:$A$102,0)),"미등록과정"))</f>
        <v/>
      </c>
      <c r="F558" s="13"/>
      <c r="G558" s="9"/>
      <c r="H558" s="9"/>
    </row>
    <row r="559" customFormat="false" ht="15" hidden="false" customHeight="true" outlineLevel="0" collapsed="false">
      <c r="A559" s="11"/>
      <c r="B559" s="9"/>
      <c r="C559" s="15" t="str">
        <f aca="false">IF($B559="","",IFERROR(INDEX(직원목록!$B$3:$B$302,MATCH($B559,직원목록!$A$3:$A$302,0)),"미등록사번"))</f>
        <v/>
      </c>
      <c r="D559" s="9"/>
      <c r="E559" s="15" t="str">
        <f aca="false">IF($D559="","",IFERROR(INDEX(교육과정!$B$3:$B$102,MATCH($D559,교육과정!$A$3:$A$102,0)),"미등록과정"))</f>
        <v/>
      </c>
      <c r="F559" s="13"/>
      <c r="G559" s="9"/>
      <c r="H559" s="9"/>
    </row>
    <row r="560" customFormat="false" ht="15" hidden="false" customHeight="true" outlineLevel="0" collapsed="false">
      <c r="A560" s="11"/>
      <c r="B560" s="9"/>
      <c r="C560" s="15" t="str">
        <f aca="false">IF($B560="","",IFERROR(INDEX(직원목록!$B$3:$B$302,MATCH($B560,직원목록!$A$3:$A$302,0)),"미등록사번"))</f>
        <v/>
      </c>
      <c r="D560" s="9"/>
      <c r="E560" s="15" t="str">
        <f aca="false">IF($D560="","",IFERROR(INDEX(교육과정!$B$3:$B$102,MATCH($D560,교육과정!$A$3:$A$102,0)),"미등록과정"))</f>
        <v/>
      </c>
      <c r="F560" s="13"/>
      <c r="G560" s="9"/>
      <c r="H560" s="9"/>
    </row>
    <row r="561" customFormat="false" ht="15" hidden="false" customHeight="true" outlineLevel="0" collapsed="false">
      <c r="A561" s="11"/>
      <c r="B561" s="9"/>
      <c r="C561" s="15" t="str">
        <f aca="false">IF($B561="","",IFERROR(INDEX(직원목록!$B$3:$B$302,MATCH($B561,직원목록!$A$3:$A$302,0)),"미등록사번"))</f>
        <v/>
      </c>
      <c r="D561" s="9"/>
      <c r="E561" s="15" t="str">
        <f aca="false">IF($D561="","",IFERROR(INDEX(교육과정!$B$3:$B$102,MATCH($D561,교육과정!$A$3:$A$102,0)),"미등록과정"))</f>
        <v/>
      </c>
      <c r="F561" s="13"/>
      <c r="G561" s="9"/>
      <c r="H561" s="9"/>
    </row>
    <row r="562" customFormat="false" ht="15" hidden="false" customHeight="true" outlineLevel="0" collapsed="false">
      <c r="A562" s="11"/>
      <c r="B562" s="9"/>
      <c r="C562" s="15" t="str">
        <f aca="false">IF($B562="","",IFERROR(INDEX(직원목록!$B$3:$B$302,MATCH($B562,직원목록!$A$3:$A$302,0)),"미등록사번"))</f>
        <v/>
      </c>
      <c r="D562" s="9"/>
      <c r="E562" s="15" t="str">
        <f aca="false">IF($D562="","",IFERROR(INDEX(교육과정!$B$3:$B$102,MATCH($D562,교육과정!$A$3:$A$102,0)),"미등록과정"))</f>
        <v/>
      </c>
      <c r="F562" s="13"/>
      <c r="G562" s="9"/>
      <c r="H562" s="9"/>
    </row>
    <row r="563" customFormat="false" ht="15" hidden="false" customHeight="true" outlineLevel="0" collapsed="false">
      <c r="A563" s="11"/>
      <c r="B563" s="9"/>
      <c r="C563" s="15" t="str">
        <f aca="false">IF($B563="","",IFERROR(INDEX(직원목록!$B$3:$B$302,MATCH($B563,직원목록!$A$3:$A$302,0)),"미등록사번"))</f>
        <v/>
      </c>
      <c r="D563" s="9"/>
      <c r="E563" s="15" t="str">
        <f aca="false">IF($D563="","",IFERROR(INDEX(교육과정!$B$3:$B$102,MATCH($D563,교육과정!$A$3:$A$102,0)),"미등록과정"))</f>
        <v/>
      </c>
      <c r="F563" s="13"/>
      <c r="G563" s="9"/>
      <c r="H563" s="9"/>
    </row>
    <row r="564" customFormat="false" ht="15" hidden="false" customHeight="true" outlineLevel="0" collapsed="false">
      <c r="A564" s="11"/>
      <c r="B564" s="9"/>
      <c r="C564" s="15" t="str">
        <f aca="false">IF($B564="","",IFERROR(INDEX(직원목록!$B$3:$B$302,MATCH($B564,직원목록!$A$3:$A$302,0)),"미등록사번"))</f>
        <v/>
      </c>
      <c r="D564" s="9"/>
      <c r="E564" s="15" t="str">
        <f aca="false">IF($D564="","",IFERROR(INDEX(교육과정!$B$3:$B$102,MATCH($D564,교육과정!$A$3:$A$102,0)),"미등록과정"))</f>
        <v/>
      </c>
      <c r="F564" s="13"/>
      <c r="G564" s="9"/>
      <c r="H564" s="9"/>
    </row>
    <row r="565" customFormat="false" ht="15" hidden="false" customHeight="true" outlineLevel="0" collapsed="false">
      <c r="A565" s="11"/>
      <c r="B565" s="9"/>
      <c r="C565" s="15" t="str">
        <f aca="false">IF($B565="","",IFERROR(INDEX(직원목록!$B$3:$B$302,MATCH($B565,직원목록!$A$3:$A$302,0)),"미등록사번"))</f>
        <v/>
      </c>
      <c r="D565" s="9"/>
      <c r="E565" s="15" t="str">
        <f aca="false">IF($D565="","",IFERROR(INDEX(교육과정!$B$3:$B$102,MATCH($D565,교육과정!$A$3:$A$102,0)),"미등록과정"))</f>
        <v/>
      </c>
      <c r="F565" s="13"/>
      <c r="G565" s="9"/>
      <c r="H565" s="9"/>
    </row>
    <row r="566" customFormat="false" ht="15" hidden="false" customHeight="true" outlineLevel="0" collapsed="false">
      <c r="A566" s="11"/>
      <c r="B566" s="9"/>
      <c r="C566" s="15" t="str">
        <f aca="false">IF($B566="","",IFERROR(INDEX(직원목록!$B$3:$B$302,MATCH($B566,직원목록!$A$3:$A$302,0)),"미등록사번"))</f>
        <v/>
      </c>
      <c r="D566" s="9"/>
      <c r="E566" s="15" t="str">
        <f aca="false">IF($D566="","",IFERROR(INDEX(교육과정!$B$3:$B$102,MATCH($D566,교육과정!$A$3:$A$102,0)),"미등록과정"))</f>
        <v/>
      </c>
      <c r="F566" s="13"/>
      <c r="G566" s="9"/>
      <c r="H566" s="9"/>
    </row>
    <row r="567" customFormat="false" ht="15" hidden="false" customHeight="true" outlineLevel="0" collapsed="false">
      <c r="A567" s="11"/>
      <c r="B567" s="9"/>
      <c r="C567" s="15" t="str">
        <f aca="false">IF($B567="","",IFERROR(INDEX(직원목록!$B$3:$B$302,MATCH($B567,직원목록!$A$3:$A$302,0)),"미등록사번"))</f>
        <v/>
      </c>
      <c r="D567" s="9"/>
      <c r="E567" s="15" t="str">
        <f aca="false">IF($D567="","",IFERROR(INDEX(교육과정!$B$3:$B$102,MATCH($D567,교육과정!$A$3:$A$102,0)),"미등록과정"))</f>
        <v/>
      </c>
      <c r="F567" s="13"/>
      <c r="G567" s="9"/>
      <c r="H567" s="9"/>
    </row>
    <row r="568" customFormat="false" ht="15" hidden="false" customHeight="true" outlineLevel="0" collapsed="false">
      <c r="A568" s="11"/>
      <c r="B568" s="9"/>
      <c r="C568" s="15" t="str">
        <f aca="false">IF($B568="","",IFERROR(INDEX(직원목록!$B$3:$B$302,MATCH($B568,직원목록!$A$3:$A$302,0)),"미등록사번"))</f>
        <v/>
      </c>
      <c r="D568" s="9"/>
      <c r="E568" s="15" t="str">
        <f aca="false">IF($D568="","",IFERROR(INDEX(교육과정!$B$3:$B$102,MATCH($D568,교육과정!$A$3:$A$102,0)),"미등록과정"))</f>
        <v/>
      </c>
      <c r="F568" s="13"/>
      <c r="G568" s="9"/>
      <c r="H568" s="9"/>
    </row>
    <row r="569" customFormat="false" ht="15" hidden="false" customHeight="true" outlineLevel="0" collapsed="false">
      <c r="A569" s="11"/>
      <c r="B569" s="9"/>
      <c r="C569" s="15" t="str">
        <f aca="false">IF($B569="","",IFERROR(INDEX(직원목록!$B$3:$B$302,MATCH($B569,직원목록!$A$3:$A$302,0)),"미등록사번"))</f>
        <v/>
      </c>
      <c r="D569" s="9"/>
      <c r="E569" s="15" t="str">
        <f aca="false">IF($D569="","",IFERROR(INDEX(교육과정!$B$3:$B$102,MATCH($D569,교육과정!$A$3:$A$102,0)),"미등록과정"))</f>
        <v/>
      </c>
      <c r="F569" s="13"/>
      <c r="G569" s="9"/>
      <c r="H569" s="9"/>
    </row>
    <row r="570" customFormat="false" ht="15" hidden="false" customHeight="true" outlineLevel="0" collapsed="false">
      <c r="A570" s="11"/>
      <c r="B570" s="9"/>
      <c r="C570" s="15" t="str">
        <f aca="false">IF($B570="","",IFERROR(INDEX(직원목록!$B$3:$B$302,MATCH($B570,직원목록!$A$3:$A$302,0)),"미등록사번"))</f>
        <v/>
      </c>
      <c r="D570" s="9"/>
      <c r="E570" s="15" t="str">
        <f aca="false">IF($D570="","",IFERROR(INDEX(교육과정!$B$3:$B$102,MATCH($D570,교육과정!$A$3:$A$102,0)),"미등록과정"))</f>
        <v/>
      </c>
      <c r="F570" s="13"/>
      <c r="G570" s="9"/>
      <c r="H570" s="9"/>
    </row>
    <row r="571" customFormat="false" ht="15" hidden="false" customHeight="true" outlineLevel="0" collapsed="false">
      <c r="A571" s="11"/>
      <c r="B571" s="9"/>
      <c r="C571" s="15" t="str">
        <f aca="false">IF($B571="","",IFERROR(INDEX(직원목록!$B$3:$B$302,MATCH($B571,직원목록!$A$3:$A$302,0)),"미등록사번"))</f>
        <v/>
      </c>
      <c r="D571" s="9"/>
      <c r="E571" s="15" t="str">
        <f aca="false">IF($D571="","",IFERROR(INDEX(교육과정!$B$3:$B$102,MATCH($D571,교육과정!$A$3:$A$102,0)),"미등록과정"))</f>
        <v/>
      </c>
      <c r="F571" s="13"/>
      <c r="G571" s="9"/>
      <c r="H571" s="9"/>
    </row>
    <row r="572" customFormat="false" ht="15" hidden="false" customHeight="true" outlineLevel="0" collapsed="false">
      <c r="A572" s="11"/>
      <c r="B572" s="9"/>
      <c r="C572" s="15" t="str">
        <f aca="false">IF($B572="","",IFERROR(INDEX(직원목록!$B$3:$B$302,MATCH($B572,직원목록!$A$3:$A$302,0)),"미등록사번"))</f>
        <v/>
      </c>
      <c r="D572" s="9"/>
      <c r="E572" s="15" t="str">
        <f aca="false">IF($D572="","",IFERROR(INDEX(교육과정!$B$3:$B$102,MATCH($D572,교육과정!$A$3:$A$102,0)),"미등록과정"))</f>
        <v/>
      </c>
      <c r="F572" s="13"/>
      <c r="G572" s="9"/>
      <c r="H572" s="9"/>
    </row>
    <row r="573" customFormat="false" ht="15" hidden="false" customHeight="true" outlineLevel="0" collapsed="false">
      <c r="A573" s="11"/>
      <c r="B573" s="9"/>
      <c r="C573" s="15" t="str">
        <f aca="false">IF($B573="","",IFERROR(INDEX(직원목록!$B$3:$B$302,MATCH($B573,직원목록!$A$3:$A$302,0)),"미등록사번"))</f>
        <v/>
      </c>
      <c r="D573" s="9"/>
      <c r="E573" s="15" t="str">
        <f aca="false">IF($D573="","",IFERROR(INDEX(교육과정!$B$3:$B$102,MATCH($D573,교육과정!$A$3:$A$102,0)),"미등록과정"))</f>
        <v/>
      </c>
      <c r="F573" s="13"/>
      <c r="G573" s="9"/>
      <c r="H573" s="9"/>
    </row>
    <row r="574" customFormat="false" ht="15" hidden="false" customHeight="true" outlineLevel="0" collapsed="false">
      <c r="A574" s="11"/>
      <c r="B574" s="9"/>
      <c r="C574" s="15" t="str">
        <f aca="false">IF($B574="","",IFERROR(INDEX(직원목록!$B$3:$B$302,MATCH($B574,직원목록!$A$3:$A$302,0)),"미등록사번"))</f>
        <v/>
      </c>
      <c r="D574" s="9"/>
      <c r="E574" s="15" t="str">
        <f aca="false">IF($D574="","",IFERROR(INDEX(교육과정!$B$3:$B$102,MATCH($D574,교육과정!$A$3:$A$102,0)),"미등록과정"))</f>
        <v/>
      </c>
      <c r="F574" s="13"/>
      <c r="G574" s="9"/>
      <c r="H574" s="9"/>
    </row>
    <row r="575" customFormat="false" ht="15" hidden="false" customHeight="true" outlineLevel="0" collapsed="false">
      <c r="A575" s="11"/>
      <c r="B575" s="9"/>
      <c r="C575" s="15" t="str">
        <f aca="false">IF($B575="","",IFERROR(INDEX(직원목록!$B$3:$B$302,MATCH($B575,직원목록!$A$3:$A$302,0)),"미등록사번"))</f>
        <v/>
      </c>
      <c r="D575" s="9"/>
      <c r="E575" s="15" t="str">
        <f aca="false">IF($D575="","",IFERROR(INDEX(교육과정!$B$3:$B$102,MATCH($D575,교육과정!$A$3:$A$102,0)),"미등록과정"))</f>
        <v/>
      </c>
      <c r="F575" s="13"/>
      <c r="G575" s="9"/>
      <c r="H575" s="9"/>
    </row>
    <row r="576" customFormat="false" ht="15" hidden="false" customHeight="true" outlineLevel="0" collapsed="false">
      <c r="A576" s="11"/>
      <c r="B576" s="9"/>
      <c r="C576" s="15" t="str">
        <f aca="false">IF($B576="","",IFERROR(INDEX(직원목록!$B$3:$B$302,MATCH($B576,직원목록!$A$3:$A$302,0)),"미등록사번"))</f>
        <v/>
      </c>
      <c r="D576" s="9"/>
      <c r="E576" s="15" t="str">
        <f aca="false">IF($D576="","",IFERROR(INDEX(교육과정!$B$3:$B$102,MATCH($D576,교육과정!$A$3:$A$102,0)),"미등록과정"))</f>
        <v/>
      </c>
      <c r="F576" s="13"/>
      <c r="G576" s="9"/>
      <c r="H576" s="9"/>
    </row>
    <row r="577" customFormat="false" ht="15" hidden="false" customHeight="true" outlineLevel="0" collapsed="false">
      <c r="A577" s="11"/>
      <c r="B577" s="9"/>
      <c r="C577" s="15" t="str">
        <f aca="false">IF($B577="","",IFERROR(INDEX(직원목록!$B$3:$B$302,MATCH($B577,직원목록!$A$3:$A$302,0)),"미등록사번"))</f>
        <v/>
      </c>
      <c r="D577" s="9"/>
      <c r="E577" s="15" t="str">
        <f aca="false">IF($D577="","",IFERROR(INDEX(교육과정!$B$3:$B$102,MATCH($D577,교육과정!$A$3:$A$102,0)),"미등록과정"))</f>
        <v/>
      </c>
      <c r="F577" s="13"/>
      <c r="G577" s="9"/>
      <c r="H577" s="9"/>
    </row>
    <row r="578" customFormat="false" ht="15" hidden="false" customHeight="true" outlineLevel="0" collapsed="false">
      <c r="A578" s="11"/>
      <c r="B578" s="9"/>
      <c r="C578" s="15" t="str">
        <f aca="false">IF($B578="","",IFERROR(INDEX(직원목록!$B$3:$B$302,MATCH($B578,직원목록!$A$3:$A$302,0)),"미등록사번"))</f>
        <v/>
      </c>
      <c r="D578" s="9"/>
      <c r="E578" s="15" t="str">
        <f aca="false">IF($D578="","",IFERROR(INDEX(교육과정!$B$3:$B$102,MATCH($D578,교육과정!$A$3:$A$102,0)),"미등록과정"))</f>
        <v/>
      </c>
      <c r="F578" s="13"/>
      <c r="G578" s="9"/>
      <c r="H578" s="9"/>
    </row>
    <row r="579" customFormat="false" ht="15" hidden="false" customHeight="true" outlineLevel="0" collapsed="false">
      <c r="A579" s="11"/>
      <c r="B579" s="9"/>
      <c r="C579" s="15" t="str">
        <f aca="false">IF($B579="","",IFERROR(INDEX(직원목록!$B$3:$B$302,MATCH($B579,직원목록!$A$3:$A$302,0)),"미등록사번"))</f>
        <v/>
      </c>
      <c r="D579" s="9"/>
      <c r="E579" s="15" t="str">
        <f aca="false">IF($D579="","",IFERROR(INDEX(교육과정!$B$3:$B$102,MATCH($D579,교육과정!$A$3:$A$102,0)),"미등록과정"))</f>
        <v/>
      </c>
      <c r="F579" s="13"/>
      <c r="G579" s="9"/>
      <c r="H579" s="9"/>
    </row>
    <row r="580" customFormat="false" ht="15" hidden="false" customHeight="true" outlineLevel="0" collapsed="false">
      <c r="A580" s="11"/>
      <c r="B580" s="9"/>
      <c r="C580" s="15" t="str">
        <f aca="false">IF($B580="","",IFERROR(INDEX(직원목록!$B$3:$B$302,MATCH($B580,직원목록!$A$3:$A$302,0)),"미등록사번"))</f>
        <v/>
      </c>
      <c r="D580" s="9"/>
      <c r="E580" s="15" t="str">
        <f aca="false">IF($D580="","",IFERROR(INDEX(교육과정!$B$3:$B$102,MATCH($D580,교육과정!$A$3:$A$102,0)),"미등록과정"))</f>
        <v/>
      </c>
      <c r="F580" s="13"/>
      <c r="G580" s="9"/>
      <c r="H580" s="9"/>
    </row>
    <row r="581" customFormat="false" ht="15" hidden="false" customHeight="true" outlineLevel="0" collapsed="false">
      <c r="A581" s="11"/>
      <c r="B581" s="9"/>
      <c r="C581" s="15" t="str">
        <f aca="false">IF($B581="","",IFERROR(INDEX(직원목록!$B$3:$B$302,MATCH($B581,직원목록!$A$3:$A$302,0)),"미등록사번"))</f>
        <v/>
      </c>
      <c r="D581" s="9"/>
      <c r="E581" s="15" t="str">
        <f aca="false">IF($D581="","",IFERROR(INDEX(교육과정!$B$3:$B$102,MATCH($D581,교육과정!$A$3:$A$102,0)),"미등록과정"))</f>
        <v/>
      </c>
      <c r="F581" s="13"/>
      <c r="G581" s="9"/>
      <c r="H581" s="9"/>
    </row>
    <row r="582" customFormat="false" ht="15" hidden="false" customHeight="true" outlineLevel="0" collapsed="false">
      <c r="A582" s="11"/>
      <c r="B582" s="9"/>
      <c r="C582" s="15" t="str">
        <f aca="false">IF($B582="","",IFERROR(INDEX(직원목록!$B$3:$B$302,MATCH($B582,직원목록!$A$3:$A$302,0)),"미등록사번"))</f>
        <v/>
      </c>
      <c r="D582" s="9"/>
      <c r="E582" s="15" t="str">
        <f aca="false">IF($D582="","",IFERROR(INDEX(교육과정!$B$3:$B$102,MATCH($D582,교육과정!$A$3:$A$102,0)),"미등록과정"))</f>
        <v/>
      </c>
      <c r="F582" s="13"/>
      <c r="G582" s="9"/>
      <c r="H582" s="9"/>
    </row>
    <row r="583" customFormat="false" ht="15" hidden="false" customHeight="true" outlineLevel="0" collapsed="false">
      <c r="A583" s="11"/>
      <c r="B583" s="9"/>
      <c r="C583" s="15" t="str">
        <f aca="false">IF($B583="","",IFERROR(INDEX(직원목록!$B$3:$B$302,MATCH($B583,직원목록!$A$3:$A$302,0)),"미등록사번"))</f>
        <v/>
      </c>
      <c r="D583" s="9"/>
      <c r="E583" s="15" t="str">
        <f aca="false">IF($D583="","",IFERROR(INDEX(교육과정!$B$3:$B$102,MATCH($D583,교육과정!$A$3:$A$102,0)),"미등록과정"))</f>
        <v/>
      </c>
      <c r="F583" s="13"/>
      <c r="G583" s="9"/>
      <c r="H583" s="9"/>
    </row>
    <row r="584" customFormat="false" ht="15" hidden="false" customHeight="true" outlineLevel="0" collapsed="false">
      <c r="A584" s="11"/>
      <c r="B584" s="9"/>
      <c r="C584" s="15" t="str">
        <f aca="false">IF($B584="","",IFERROR(INDEX(직원목록!$B$3:$B$302,MATCH($B584,직원목록!$A$3:$A$302,0)),"미등록사번"))</f>
        <v/>
      </c>
      <c r="D584" s="9"/>
      <c r="E584" s="15" t="str">
        <f aca="false">IF($D584="","",IFERROR(INDEX(교육과정!$B$3:$B$102,MATCH($D584,교육과정!$A$3:$A$102,0)),"미등록과정"))</f>
        <v/>
      </c>
      <c r="F584" s="13"/>
      <c r="G584" s="9"/>
      <c r="H584" s="9"/>
    </row>
    <row r="585" customFormat="false" ht="15" hidden="false" customHeight="true" outlineLevel="0" collapsed="false">
      <c r="A585" s="11"/>
      <c r="B585" s="9"/>
      <c r="C585" s="15" t="str">
        <f aca="false">IF($B585="","",IFERROR(INDEX(직원목록!$B$3:$B$302,MATCH($B585,직원목록!$A$3:$A$302,0)),"미등록사번"))</f>
        <v/>
      </c>
      <c r="D585" s="9"/>
      <c r="E585" s="15" t="str">
        <f aca="false">IF($D585="","",IFERROR(INDEX(교육과정!$B$3:$B$102,MATCH($D585,교육과정!$A$3:$A$102,0)),"미등록과정"))</f>
        <v/>
      </c>
      <c r="F585" s="13"/>
      <c r="G585" s="9"/>
      <c r="H585" s="9"/>
    </row>
    <row r="586" customFormat="false" ht="15" hidden="false" customHeight="true" outlineLevel="0" collapsed="false">
      <c r="A586" s="11"/>
      <c r="B586" s="9"/>
      <c r="C586" s="15" t="str">
        <f aca="false">IF($B586="","",IFERROR(INDEX(직원목록!$B$3:$B$302,MATCH($B586,직원목록!$A$3:$A$302,0)),"미등록사번"))</f>
        <v/>
      </c>
      <c r="D586" s="9"/>
      <c r="E586" s="15" t="str">
        <f aca="false">IF($D586="","",IFERROR(INDEX(교육과정!$B$3:$B$102,MATCH($D586,교육과정!$A$3:$A$102,0)),"미등록과정"))</f>
        <v/>
      </c>
      <c r="F586" s="13"/>
      <c r="G586" s="9"/>
      <c r="H586" s="9"/>
    </row>
    <row r="587" customFormat="false" ht="15" hidden="false" customHeight="true" outlineLevel="0" collapsed="false">
      <c r="A587" s="11"/>
      <c r="B587" s="9"/>
      <c r="C587" s="15" t="str">
        <f aca="false">IF($B587="","",IFERROR(INDEX(직원목록!$B$3:$B$302,MATCH($B587,직원목록!$A$3:$A$302,0)),"미등록사번"))</f>
        <v/>
      </c>
      <c r="D587" s="9"/>
      <c r="E587" s="15" t="str">
        <f aca="false">IF($D587="","",IFERROR(INDEX(교육과정!$B$3:$B$102,MATCH($D587,교육과정!$A$3:$A$102,0)),"미등록과정"))</f>
        <v/>
      </c>
      <c r="F587" s="13"/>
      <c r="G587" s="9"/>
      <c r="H587" s="9"/>
    </row>
    <row r="588" customFormat="false" ht="15" hidden="false" customHeight="true" outlineLevel="0" collapsed="false">
      <c r="A588" s="11"/>
      <c r="B588" s="9"/>
      <c r="C588" s="15" t="str">
        <f aca="false">IF($B588="","",IFERROR(INDEX(직원목록!$B$3:$B$302,MATCH($B588,직원목록!$A$3:$A$302,0)),"미등록사번"))</f>
        <v/>
      </c>
      <c r="D588" s="9"/>
      <c r="E588" s="15" t="str">
        <f aca="false">IF($D588="","",IFERROR(INDEX(교육과정!$B$3:$B$102,MATCH($D588,교육과정!$A$3:$A$102,0)),"미등록과정"))</f>
        <v/>
      </c>
      <c r="F588" s="13"/>
      <c r="G588" s="9"/>
      <c r="H588" s="9"/>
    </row>
    <row r="589" customFormat="false" ht="15" hidden="false" customHeight="true" outlineLevel="0" collapsed="false">
      <c r="A589" s="11"/>
      <c r="B589" s="9"/>
      <c r="C589" s="15" t="str">
        <f aca="false">IF($B589="","",IFERROR(INDEX(직원목록!$B$3:$B$302,MATCH($B589,직원목록!$A$3:$A$302,0)),"미등록사번"))</f>
        <v/>
      </c>
      <c r="D589" s="9"/>
      <c r="E589" s="15" t="str">
        <f aca="false">IF($D589="","",IFERROR(INDEX(교육과정!$B$3:$B$102,MATCH($D589,교육과정!$A$3:$A$102,0)),"미등록과정"))</f>
        <v/>
      </c>
      <c r="F589" s="13"/>
      <c r="G589" s="9"/>
      <c r="H589" s="9"/>
    </row>
    <row r="590" customFormat="false" ht="15" hidden="false" customHeight="true" outlineLevel="0" collapsed="false">
      <c r="A590" s="11"/>
      <c r="B590" s="9"/>
      <c r="C590" s="15" t="str">
        <f aca="false">IF($B590="","",IFERROR(INDEX(직원목록!$B$3:$B$302,MATCH($B590,직원목록!$A$3:$A$302,0)),"미등록사번"))</f>
        <v/>
      </c>
      <c r="D590" s="9"/>
      <c r="E590" s="15" t="str">
        <f aca="false">IF($D590="","",IFERROR(INDEX(교육과정!$B$3:$B$102,MATCH($D590,교육과정!$A$3:$A$102,0)),"미등록과정"))</f>
        <v/>
      </c>
      <c r="F590" s="13"/>
      <c r="G590" s="9"/>
      <c r="H590" s="9"/>
    </row>
    <row r="591" customFormat="false" ht="15" hidden="false" customHeight="true" outlineLevel="0" collapsed="false">
      <c r="A591" s="11"/>
      <c r="B591" s="9"/>
      <c r="C591" s="15" t="str">
        <f aca="false">IF($B591="","",IFERROR(INDEX(직원목록!$B$3:$B$302,MATCH($B591,직원목록!$A$3:$A$302,0)),"미등록사번"))</f>
        <v/>
      </c>
      <c r="D591" s="9"/>
      <c r="E591" s="15" t="str">
        <f aca="false">IF($D591="","",IFERROR(INDEX(교육과정!$B$3:$B$102,MATCH($D591,교육과정!$A$3:$A$102,0)),"미등록과정"))</f>
        <v/>
      </c>
      <c r="F591" s="13"/>
      <c r="G591" s="9"/>
      <c r="H591" s="9"/>
    </row>
    <row r="592" customFormat="false" ht="15" hidden="false" customHeight="true" outlineLevel="0" collapsed="false">
      <c r="A592" s="11"/>
      <c r="B592" s="9"/>
      <c r="C592" s="15" t="str">
        <f aca="false">IF($B592="","",IFERROR(INDEX(직원목록!$B$3:$B$302,MATCH($B592,직원목록!$A$3:$A$302,0)),"미등록사번"))</f>
        <v/>
      </c>
      <c r="D592" s="9"/>
      <c r="E592" s="15" t="str">
        <f aca="false">IF($D592="","",IFERROR(INDEX(교육과정!$B$3:$B$102,MATCH($D592,교육과정!$A$3:$A$102,0)),"미등록과정"))</f>
        <v/>
      </c>
      <c r="F592" s="13"/>
      <c r="G592" s="9"/>
      <c r="H592" s="9"/>
    </row>
    <row r="593" customFormat="false" ht="15" hidden="false" customHeight="true" outlineLevel="0" collapsed="false">
      <c r="A593" s="11"/>
      <c r="B593" s="9"/>
      <c r="C593" s="15" t="str">
        <f aca="false">IF($B593="","",IFERROR(INDEX(직원목록!$B$3:$B$302,MATCH($B593,직원목록!$A$3:$A$302,0)),"미등록사번"))</f>
        <v/>
      </c>
      <c r="D593" s="9"/>
      <c r="E593" s="15" t="str">
        <f aca="false">IF($D593="","",IFERROR(INDEX(교육과정!$B$3:$B$102,MATCH($D593,교육과정!$A$3:$A$102,0)),"미등록과정"))</f>
        <v/>
      </c>
      <c r="F593" s="13"/>
      <c r="G593" s="9"/>
      <c r="H593" s="9"/>
    </row>
    <row r="594" customFormat="false" ht="15" hidden="false" customHeight="true" outlineLevel="0" collapsed="false">
      <c r="A594" s="11"/>
      <c r="B594" s="9"/>
      <c r="C594" s="15" t="str">
        <f aca="false">IF($B594="","",IFERROR(INDEX(직원목록!$B$3:$B$302,MATCH($B594,직원목록!$A$3:$A$302,0)),"미등록사번"))</f>
        <v/>
      </c>
      <c r="D594" s="9"/>
      <c r="E594" s="15" t="str">
        <f aca="false">IF($D594="","",IFERROR(INDEX(교육과정!$B$3:$B$102,MATCH($D594,교육과정!$A$3:$A$102,0)),"미등록과정"))</f>
        <v/>
      </c>
      <c r="F594" s="13"/>
      <c r="G594" s="9"/>
      <c r="H594" s="9"/>
    </row>
    <row r="595" customFormat="false" ht="15" hidden="false" customHeight="true" outlineLevel="0" collapsed="false">
      <c r="A595" s="11"/>
      <c r="B595" s="9"/>
      <c r="C595" s="15" t="str">
        <f aca="false">IF($B595="","",IFERROR(INDEX(직원목록!$B$3:$B$302,MATCH($B595,직원목록!$A$3:$A$302,0)),"미등록사번"))</f>
        <v/>
      </c>
      <c r="D595" s="9"/>
      <c r="E595" s="15" t="str">
        <f aca="false">IF($D595="","",IFERROR(INDEX(교육과정!$B$3:$B$102,MATCH($D595,교육과정!$A$3:$A$102,0)),"미등록과정"))</f>
        <v/>
      </c>
      <c r="F595" s="13"/>
      <c r="G595" s="9"/>
      <c r="H595" s="9"/>
    </row>
    <row r="596" customFormat="false" ht="15" hidden="false" customHeight="true" outlineLevel="0" collapsed="false">
      <c r="A596" s="11"/>
      <c r="B596" s="9"/>
      <c r="C596" s="15" t="str">
        <f aca="false">IF($B596="","",IFERROR(INDEX(직원목록!$B$3:$B$302,MATCH($B596,직원목록!$A$3:$A$302,0)),"미등록사번"))</f>
        <v/>
      </c>
      <c r="D596" s="9"/>
      <c r="E596" s="15" t="str">
        <f aca="false">IF($D596="","",IFERROR(INDEX(교육과정!$B$3:$B$102,MATCH($D596,교육과정!$A$3:$A$102,0)),"미등록과정"))</f>
        <v/>
      </c>
      <c r="F596" s="13"/>
      <c r="G596" s="9"/>
      <c r="H596" s="9"/>
    </row>
    <row r="597" customFormat="false" ht="15" hidden="false" customHeight="true" outlineLevel="0" collapsed="false">
      <c r="A597" s="11"/>
      <c r="B597" s="9"/>
      <c r="C597" s="15" t="str">
        <f aca="false">IF($B597="","",IFERROR(INDEX(직원목록!$B$3:$B$302,MATCH($B597,직원목록!$A$3:$A$302,0)),"미등록사번"))</f>
        <v/>
      </c>
      <c r="D597" s="9"/>
      <c r="E597" s="15" t="str">
        <f aca="false">IF($D597="","",IFERROR(INDEX(교육과정!$B$3:$B$102,MATCH($D597,교육과정!$A$3:$A$102,0)),"미등록과정"))</f>
        <v/>
      </c>
      <c r="F597" s="13"/>
      <c r="G597" s="9"/>
      <c r="H597" s="9"/>
    </row>
    <row r="598" customFormat="false" ht="15" hidden="false" customHeight="true" outlineLevel="0" collapsed="false">
      <c r="A598" s="11"/>
      <c r="B598" s="9"/>
      <c r="C598" s="15" t="str">
        <f aca="false">IF($B598="","",IFERROR(INDEX(직원목록!$B$3:$B$302,MATCH($B598,직원목록!$A$3:$A$302,0)),"미등록사번"))</f>
        <v/>
      </c>
      <c r="D598" s="9"/>
      <c r="E598" s="15" t="str">
        <f aca="false">IF($D598="","",IFERROR(INDEX(교육과정!$B$3:$B$102,MATCH($D598,교육과정!$A$3:$A$102,0)),"미등록과정"))</f>
        <v/>
      </c>
      <c r="F598" s="13"/>
      <c r="G598" s="9"/>
      <c r="H598" s="9"/>
    </row>
    <row r="599" customFormat="false" ht="15" hidden="false" customHeight="true" outlineLevel="0" collapsed="false">
      <c r="A599" s="11"/>
      <c r="B599" s="9"/>
      <c r="C599" s="15" t="str">
        <f aca="false">IF($B599="","",IFERROR(INDEX(직원목록!$B$3:$B$302,MATCH($B599,직원목록!$A$3:$A$302,0)),"미등록사번"))</f>
        <v/>
      </c>
      <c r="D599" s="9"/>
      <c r="E599" s="15" t="str">
        <f aca="false">IF($D599="","",IFERROR(INDEX(교육과정!$B$3:$B$102,MATCH($D599,교육과정!$A$3:$A$102,0)),"미등록과정"))</f>
        <v/>
      </c>
      <c r="F599" s="13"/>
      <c r="G599" s="9"/>
      <c r="H599" s="9"/>
    </row>
    <row r="600" customFormat="false" ht="15" hidden="false" customHeight="true" outlineLevel="0" collapsed="false">
      <c r="A600" s="11"/>
      <c r="B600" s="9"/>
      <c r="C600" s="15" t="str">
        <f aca="false">IF($B600="","",IFERROR(INDEX(직원목록!$B$3:$B$302,MATCH($B600,직원목록!$A$3:$A$302,0)),"미등록사번"))</f>
        <v/>
      </c>
      <c r="D600" s="9"/>
      <c r="E600" s="15" t="str">
        <f aca="false">IF($D600="","",IFERROR(INDEX(교육과정!$B$3:$B$102,MATCH($D600,교육과정!$A$3:$A$102,0)),"미등록과정"))</f>
        <v/>
      </c>
      <c r="F600" s="13"/>
      <c r="G600" s="9"/>
      <c r="H600" s="9"/>
    </row>
    <row r="601" customFormat="false" ht="15" hidden="false" customHeight="true" outlineLevel="0" collapsed="false">
      <c r="A601" s="11"/>
      <c r="B601" s="9"/>
      <c r="C601" s="15" t="str">
        <f aca="false">IF($B601="","",IFERROR(INDEX(직원목록!$B$3:$B$302,MATCH($B601,직원목록!$A$3:$A$302,0)),"미등록사번"))</f>
        <v/>
      </c>
      <c r="D601" s="9"/>
      <c r="E601" s="15" t="str">
        <f aca="false">IF($D601="","",IFERROR(INDEX(교육과정!$B$3:$B$102,MATCH($D601,교육과정!$A$3:$A$102,0)),"미등록과정"))</f>
        <v/>
      </c>
      <c r="F601" s="13"/>
      <c r="G601" s="9"/>
      <c r="H601" s="9"/>
    </row>
    <row r="602" customFormat="false" ht="15" hidden="false" customHeight="true" outlineLevel="0" collapsed="false">
      <c r="A602" s="11"/>
      <c r="B602" s="9"/>
      <c r="C602" s="15" t="str">
        <f aca="false">IF($B602="","",IFERROR(INDEX(직원목록!$B$3:$B$302,MATCH($B602,직원목록!$A$3:$A$302,0)),"미등록사번"))</f>
        <v/>
      </c>
      <c r="D602" s="9"/>
      <c r="E602" s="15" t="str">
        <f aca="false">IF($D602="","",IFERROR(INDEX(교육과정!$B$3:$B$102,MATCH($D602,교육과정!$A$3:$A$102,0)),"미등록과정"))</f>
        <v/>
      </c>
      <c r="F602" s="13"/>
      <c r="G602" s="9"/>
      <c r="H602" s="9"/>
    </row>
    <row r="603" customFormat="false" ht="15" hidden="false" customHeight="true" outlineLevel="0" collapsed="false">
      <c r="A603" s="11"/>
      <c r="B603" s="9"/>
      <c r="C603" s="15" t="str">
        <f aca="false">IF($B603="","",IFERROR(INDEX(직원목록!$B$3:$B$302,MATCH($B603,직원목록!$A$3:$A$302,0)),"미등록사번"))</f>
        <v/>
      </c>
      <c r="D603" s="9"/>
      <c r="E603" s="15" t="str">
        <f aca="false">IF($D603="","",IFERROR(INDEX(교육과정!$B$3:$B$102,MATCH($D603,교육과정!$A$3:$A$102,0)),"미등록과정"))</f>
        <v/>
      </c>
      <c r="F603" s="13"/>
      <c r="G603" s="9"/>
      <c r="H603" s="9"/>
    </row>
    <row r="604" customFormat="false" ht="15" hidden="false" customHeight="true" outlineLevel="0" collapsed="false">
      <c r="A604" s="11"/>
      <c r="B604" s="9"/>
      <c r="C604" s="15" t="str">
        <f aca="false">IF($B604="","",IFERROR(INDEX(직원목록!$B$3:$B$302,MATCH($B604,직원목록!$A$3:$A$302,0)),"미등록사번"))</f>
        <v/>
      </c>
      <c r="D604" s="9"/>
      <c r="E604" s="15" t="str">
        <f aca="false">IF($D604="","",IFERROR(INDEX(교육과정!$B$3:$B$102,MATCH($D604,교육과정!$A$3:$A$102,0)),"미등록과정"))</f>
        <v/>
      </c>
      <c r="F604" s="13"/>
      <c r="G604" s="9"/>
      <c r="H604" s="9"/>
    </row>
    <row r="605" customFormat="false" ht="15" hidden="false" customHeight="true" outlineLevel="0" collapsed="false">
      <c r="A605" s="11"/>
      <c r="B605" s="9"/>
      <c r="C605" s="15" t="str">
        <f aca="false">IF($B605="","",IFERROR(INDEX(직원목록!$B$3:$B$302,MATCH($B605,직원목록!$A$3:$A$302,0)),"미등록사번"))</f>
        <v/>
      </c>
      <c r="D605" s="9"/>
      <c r="E605" s="15" t="str">
        <f aca="false">IF($D605="","",IFERROR(INDEX(교육과정!$B$3:$B$102,MATCH($D605,교육과정!$A$3:$A$102,0)),"미등록과정"))</f>
        <v/>
      </c>
      <c r="F605" s="13"/>
      <c r="G605" s="9"/>
      <c r="H605" s="9"/>
    </row>
    <row r="606" customFormat="false" ht="15" hidden="false" customHeight="true" outlineLevel="0" collapsed="false">
      <c r="A606" s="11"/>
      <c r="B606" s="9"/>
      <c r="C606" s="15" t="str">
        <f aca="false">IF($B606="","",IFERROR(INDEX(직원목록!$B$3:$B$302,MATCH($B606,직원목록!$A$3:$A$302,0)),"미등록사번"))</f>
        <v/>
      </c>
      <c r="D606" s="9"/>
      <c r="E606" s="15" t="str">
        <f aca="false">IF($D606="","",IFERROR(INDEX(교육과정!$B$3:$B$102,MATCH($D606,교육과정!$A$3:$A$102,0)),"미등록과정"))</f>
        <v/>
      </c>
      <c r="F606" s="13"/>
      <c r="G606" s="9"/>
      <c r="H606" s="9"/>
    </row>
    <row r="607" customFormat="false" ht="15" hidden="false" customHeight="true" outlineLevel="0" collapsed="false">
      <c r="A607" s="11"/>
      <c r="B607" s="9"/>
      <c r="C607" s="15" t="str">
        <f aca="false">IF($B607="","",IFERROR(INDEX(직원목록!$B$3:$B$302,MATCH($B607,직원목록!$A$3:$A$302,0)),"미등록사번"))</f>
        <v/>
      </c>
      <c r="D607" s="9"/>
      <c r="E607" s="15" t="str">
        <f aca="false">IF($D607="","",IFERROR(INDEX(교육과정!$B$3:$B$102,MATCH($D607,교육과정!$A$3:$A$102,0)),"미등록과정"))</f>
        <v/>
      </c>
      <c r="F607" s="13"/>
      <c r="G607" s="9"/>
      <c r="H607" s="9"/>
    </row>
    <row r="608" customFormat="false" ht="15" hidden="false" customHeight="true" outlineLevel="0" collapsed="false">
      <c r="A608" s="11"/>
      <c r="B608" s="9"/>
      <c r="C608" s="15" t="str">
        <f aca="false">IF($B608="","",IFERROR(INDEX(직원목록!$B$3:$B$302,MATCH($B608,직원목록!$A$3:$A$302,0)),"미등록사번"))</f>
        <v/>
      </c>
      <c r="D608" s="9"/>
      <c r="E608" s="15" t="str">
        <f aca="false">IF($D608="","",IFERROR(INDEX(교육과정!$B$3:$B$102,MATCH($D608,교육과정!$A$3:$A$102,0)),"미등록과정"))</f>
        <v/>
      </c>
      <c r="F608" s="13"/>
      <c r="G608" s="9"/>
      <c r="H608" s="9"/>
    </row>
    <row r="609" customFormat="false" ht="15" hidden="false" customHeight="true" outlineLevel="0" collapsed="false">
      <c r="A609" s="11"/>
      <c r="B609" s="9"/>
      <c r="C609" s="15" t="str">
        <f aca="false">IF($B609="","",IFERROR(INDEX(직원목록!$B$3:$B$302,MATCH($B609,직원목록!$A$3:$A$302,0)),"미등록사번"))</f>
        <v/>
      </c>
      <c r="D609" s="9"/>
      <c r="E609" s="15" t="str">
        <f aca="false">IF($D609="","",IFERROR(INDEX(교육과정!$B$3:$B$102,MATCH($D609,교육과정!$A$3:$A$102,0)),"미등록과정"))</f>
        <v/>
      </c>
      <c r="F609" s="13"/>
      <c r="G609" s="9"/>
      <c r="H609" s="9"/>
    </row>
    <row r="610" customFormat="false" ht="15" hidden="false" customHeight="true" outlineLevel="0" collapsed="false">
      <c r="A610" s="11"/>
      <c r="B610" s="9"/>
      <c r="C610" s="15" t="str">
        <f aca="false">IF($B610="","",IFERROR(INDEX(직원목록!$B$3:$B$302,MATCH($B610,직원목록!$A$3:$A$302,0)),"미등록사번"))</f>
        <v/>
      </c>
      <c r="D610" s="9"/>
      <c r="E610" s="15" t="str">
        <f aca="false">IF($D610="","",IFERROR(INDEX(교육과정!$B$3:$B$102,MATCH($D610,교육과정!$A$3:$A$102,0)),"미등록과정"))</f>
        <v/>
      </c>
      <c r="F610" s="13"/>
      <c r="G610" s="9"/>
      <c r="H610" s="9"/>
    </row>
    <row r="611" customFormat="false" ht="15" hidden="false" customHeight="true" outlineLevel="0" collapsed="false">
      <c r="A611" s="11"/>
      <c r="B611" s="9"/>
      <c r="C611" s="15" t="str">
        <f aca="false">IF($B611="","",IFERROR(INDEX(직원목록!$B$3:$B$302,MATCH($B611,직원목록!$A$3:$A$302,0)),"미등록사번"))</f>
        <v/>
      </c>
      <c r="D611" s="9"/>
      <c r="E611" s="15" t="str">
        <f aca="false">IF($D611="","",IFERROR(INDEX(교육과정!$B$3:$B$102,MATCH($D611,교육과정!$A$3:$A$102,0)),"미등록과정"))</f>
        <v/>
      </c>
      <c r="F611" s="13"/>
      <c r="G611" s="9"/>
      <c r="H611" s="9"/>
    </row>
    <row r="612" customFormat="false" ht="15" hidden="false" customHeight="true" outlineLevel="0" collapsed="false">
      <c r="A612" s="11"/>
      <c r="B612" s="9"/>
      <c r="C612" s="15" t="str">
        <f aca="false">IF($B612="","",IFERROR(INDEX(직원목록!$B$3:$B$302,MATCH($B612,직원목록!$A$3:$A$302,0)),"미등록사번"))</f>
        <v/>
      </c>
      <c r="D612" s="9"/>
      <c r="E612" s="15" t="str">
        <f aca="false">IF($D612="","",IFERROR(INDEX(교육과정!$B$3:$B$102,MATCH($D612,교육과정!$A$3:$A$102,0)),"미등록과정"))</f>
        <v/>
      </c>
      <c r="F612" s="13"/>
      <c r="G612" s="9"/>
      <c r="H612" s="9"/>
    </row>
    <row r="613" customFormat="false" ht="15" hidden="false" customHeight="true" outlineLevel="0" collapsed="false">
      <c r="A613" s="11"/>
      <c r="B613" s="9"/>
      <c r="C613" s="15" t="str">
        <f aca="false">IF($B613="","",IFERROR(INDEX(직원목록!$B$3:$B$302,MATCH($B613,직원목록!$A$3:$A$302,0)),"미등록사번"))</f>
        <v/>
      </c>
      <c r="D613" s="9"/>
      <c r="E613" s="15" t="str">
        <f aca="false">IF($D613="","",IFERROR(INDEX(교육과정!$B$3:$B$102,MATCH($D613,교육과정!$A$3:$A$102,0)),"미등록과정"))</f>
        <v/>
      </c>
      <c r="F613" s="13"/>
      <c r="G613" s="9"/>
      <c r="H613" s="9"/>
    </row>
    <row r="614" customFormat="false" ht="15" hidden="false" customHeight="true" outlineLevel="0" collapsed="false">
      <c r="A614" s="11"/>
      <c r="B614" s="9"/>
      <c r="C614" s="15" t="str">
        <f aca="false">IF($B614="","",IFERROR(INDEX(직원목록!$B$3:$B$302,MATCH($B614,직원목록!$A$3:$A$302,0)),"미등록사번"))</f>
        <v/>
      </c>
      <c r="D614" s="9"/>
      <c r="E614" s="15" t="str">
        <f aca="false">IF($D614="","",IFERROR(INDEX(교육과정!$B$3:$B$102,MATCH($D614,교육과정!$A$3:$A$102,0)),"미등록과정"))</f>
        <v/>
      </c>
      <c r="F614" s="13"/>
      <c r="G614" s="9"/>
      <c r="H614" s="9"/>
    </row>
    <row r="615" customFormat="false" ht="15" hidden="false" customHeight="true" outlineLevel="0" collapsed="false">
      <c r="A615" s="11"/>
      <c r="B615" s="9"/>
      <c r="C615" s="15" t="str">
        <f aca="false">IF($B615="","",IFERROR(INDEX(직원목록!$B$3:$B$302,MATCH($B615,직원목록!$A$3:$A$302,0)),"미등록사번"))</f>
        <v/>
      </c>
      <c r="D615" s="9"/>
      <c r="E615" s="15" t="str">
        <f aca="false">IF($D615="","",IFERROR(INDEX(교육과정!$B$3:$B$102,MATCH($D615,교육과정!$A$3:$A$102,0)),"미등록과정"))</f>
        <v/>
      </c>
      <c r="F615" s="13"/>
      <c r="G615" s="9"/>
      <c r="H615" s="9"/>
    </row>
    <row r="616" customFormat="false" ht="15" hidden="false" customHeight="true" outlineLevel="0" collapsed="false">
      <c r="A616" s="11"/>
      <c r="B616" s="9"/>
      <c r="C616" s="15" t="str">
        <f aca="false">IF($B616="","",IFERROR(INDEX(직원목록!$B$3:$B$302,MATCH($B616,직원목록!$A$3:$A$302,0)),"미등록사번"))</f>
        <v/>
      </c>
      <c r="D616" s="9"/>
      <c r="E616" s="15" t="str">
        <f aca="false">IF($D616="","",IFERROR(INDEX(교육과정!$B$3:$B$102,MATCH($D616,교육과정!$A$3:$A$102,0)),"미등록과정"))</f>
        <v/>
      </c>
      <c r="F616" s="13"/>
      <c r="G616" s="9"/>
      <c r="H616" s="9"/>
    </row>
    <row r="617" customFormat="false" ht="15" hidden="false" customHeight="true" outlineLevel="0" collapsed="false">
      <c r="A617" s="11"/>
      <c r="B617" s="9"/>
      <c r="C617" s="15" t="str">
        <f aca="false">IF($B617="","",IFERROR(INDEX(직원목록!$B$3:$B$302,MATCH($B617,직원목록!$A$3:$A$302,0)),"미등록사번"))</f>
        <v/>
      </c>
      <c r="D617" s="9"/>
      <c r="E617" s="15" t="str">
        <f aca="false">IF($D617="","",IFERROR(INDEX(교육과정!$B$3:$B$102,MATCH($D617,교육과정!$A$3:$A$102,0)),"미등록과정"))</f>
        <v/>
      </c>
      <c r="F617" s="13"/>
      <c r="G617" s="9"/>
      <c r="H617" s="9"/>
    </row>
    <row r="618" customFormat="false" ht="15" hidden="false" customHeight="true" outlineLevel="0" collapsed="false">
      <c r="A618" s="11"/>
      <c r="B618" s="9"/>
      <c r="C618" s="15" t="str">
        <f aca="false">IF($B618="","",IFERROR(INDEX(직원목록!$B$3:$B$302,MATCH($B618,직원목록!$A$3:$A$302,0)),"미등록사번"))</f>
        <v/>
      </c>
      <c r="D618" s="9"/>
      <c r="E618" s="15" t="str">
        <f aca="false">IF($D618="","",IFERROR(INDEX(교육과정!$B$3:$B$102,MATCH($D618,교육과정!$A$3:$A$102,0)),"미등록과정"))</f>
        <v/>
      </c>
      <c r="F618" s="13"/>
      <c r="G618" s="9"/>
      <c r="H618" s="9"/>
    </row>
    <row r="619" customFormat="false" ht="15" hidden="false" customHeight="true" outlineLevel="0" collapsed="false">
      <c r="A619" s="11"/>
      <c r="B619" s="9"/>
      <c r="C619" s="15" t="str">
        <f aca="false">IF($B619="","",IFERROR(INDEX(직원목록!$B$3:$B$302,MATCH($B619,직원목록!$A$3:$A$302,0)),"미등록사번"))</f>
        <v/>
      </c>
      <c r="D619" s="9"/>
      <c r="E619" s="15" t="str">
        <f aca="false">IF($D619="","",IFERROR(INDEX(교육과정!$B$3:$B$102,MATCH($D619,교육과정!$A$3:$A$102,0)),"미등록과정"))</f>
        <v/>
      </c>
      <c r="F619" s="13"/>
      <c r="G619" s="9"/>
      <c r="H619" s="9"/>
    </row>
    <row r="620" customFormat="false" ht="15" hidden="false" customHeight="true" outlineLevel="0" collapsed="false">
      <c r="A620" s="11"/>
      <c r="B620" s="9"/>
      <c r="C620" s="15" t="str">
        <f aca="false">IF($B620="","",IFERROR(INDEX(직원목록!$B$3:$B$302,MATCH($B620,직원목록!$A$3:$A$302,0)),"미등록사번"))</f>
        <v/>
      </c>
      <c r="D620" s="9"/>
      <c r="E620" s="15" t="str">
        <f aca="false">IF($D620="","",IFERROR(INDEX(교육과정!$B$3:$B$102,MATCH($D620,교육과정!$A$3:$A$102,0)),"미등록과정"))</f>
        <v/>
      </c>
      <c r="F620" s="13"/>
      <c r="G620" s="9"/>
      <c r="H620" s="9"/>
    </row>
    <row r="621" customFormat="false" ht="15" hidden="false" customHeight="true" outlineLevel="0" collapsed="false">
      <c r="A621" s="11"/>
      <c r="B621" s="9"/>
      <c r="C621" s="15" t="str">
        <f aca="false">IF($B621="","",IFERROR(INDEX(직원목록!$B$3:$B$302,MATCH($B621,직원목록!$A$3:$A$302,0)),"미등록사번"))</f>
        <v/>
      </c>
      <c r="D621" s="9"/>
      <c r="E621" s="15" t="str">
        <f aca="false">IF($D621="","",IFERROR(INDEX(교육과정!$B$3:$B$102,MATCH($D621,교육과정!$A$3:$A$102,0)),"미등록과정"))</f>
        <v/>
      </c>
      <c r="F621" s="13"/>
      <c r="G621" s="9"/>
      <c r="H621" s="9"/>
    </row>
    <row r="622" customFormat="false" ht="15" hidden="false" customHeight="true" outlineLevel="0" collapsed="false">
      <c r="A622" s="11"/>
      <c r="B622" s="9"/>
      <c r="C622" s="15" t="str">
        <f aca="false">IF($B622="","",IFERROR(INDEX(직원목록!$B$3:$B$302,MATCH($B622,직원목록!$A$3:$A$302,0)),"미등록사번"))</f>
        <v/>
      </c>
      <c r="D622" s="9"/>
      <c r="E622" s="15" t="str">
        <f aca="false">IF($D622="","",IFERROR(INDEX(교육과정!$B$3:$B$102,MATCH($D622,교육과정!$A$3:$A$102,0)),"미등록과정"))</f>
        <v/>
      </c>
      <c r="F622" s="13"/>
      <c r="G622" s="9"/>
      <c r="H622" s="9"/>
    </row>
    <row r="623" customFormat="false" ht="15" hidden="false" customHeight="true" outlineLevel="0" collapsed="false">
      <c r="A623" s="11"/>
      <c r="B623" s="9"/>
      <c r="C623" s="15" t="str">
        <f aca="false">IF($B623="","",IFERROR(INDEX(직원목록!$B$3:$B$302,MATCH($B623,직원목록!$A$3:$A$302,0)),"미등록사번"))</f>
        <v/>
      </c>
      <c r="D623" s="9"/>
      <c r="E623" s="15" t="str">
        <f aca="false">IF($D623="","",IFERROR(INDEX(교육과정!$B$3:$B$102,MATCH($D623,교육과정!$A$3:$A$102,0)),"미등록과정"))</f>
        <v/>
      </c>
      <c r="F623" s="13"/>
      <c r="G623" s="9"/>
      <c r="H623" s="9"/>
    </row>
    <row r="624" customFormat="false" ht="15" hidden="false" customHeight="true" outlineLevel="0" collapsed="false">
      <c r="A624" s="11"/>
      <c r="B624" s="9"/>
      <c r="C624" s="15" t="str">
        <f aca="false">IF($B624="","",IFERROR(INDEX(직원목록!$B$3:$B$302,MATCH($B624,직원목록!$A$3:$A$302,0)),"미등록사번"))</f>
        <v/>
      </c>
      <c r="D624" s="9"/>
      <c r="E624" s="15" t="str">
        <f aca="false">IF($D624="","",IFERROR(INDEX(교육과정!$B$3:$B$102,MATCH($D624,교육과정!$A$3:$A$102,0)),"미등록과정"))</f>
        <v/>
      </c>
      <c r="F624" s="13"/>
      <c r="G624" s="9"/>
      <c r="H624" s="9"/>
    </row>
    <row r="625" customFormat="false" ht="15" hidden="false" customHeight="true" outlineLevel="0" collapsed="false">
      <c r="A625" s="11"/>
      <c r="B625" s="9"/>
      <c r="C625" s="15" t="str">
        <f aca="false">IF($B625="","",IFERROR(INDEX(직원목록!$B$3:$B$302,MATCH($B625,직원목록!$A$3:$A$302,0)),"미등록사번"))</f>
        <v/>
      </c>
      <c r="D625" s="9"/>
      <c r="E625" s="15" t="str">
        <f aca="false">IF($D625="","",IFERROR(INDEX(교육과정!$B$3:$B$102,MATCH($D625,교육과정!$A$3:$A$102,0)),"미등록과정"))</f>
        <v/>
      </c>
      <c r="F625" s="13"/>
      <c r="G625" s="9"/>
      <c r="H625" s="9"/>
    </row>
    <row r="626" customFormat="false" ht="15" hidden="false" customHeight="true" outlineLevel="0" collapsed="false">
      <c r="A626" s="11"/>
      <c r="B626" s="9"/>
      <c r="C626" s="15" t="str">
        <f aca="false">IF($B626="","",IFERROR(INDEX(직원목록!$B$3:$B$302,MATCH($B626,직원목록!$A$3:$A$302,0)),"미등록사번"))</f>
        <v/>
      </c>
      <c r="D626" s="9"/>
      <c r="E626" s="15" t="str">
        <f aca="false">IF($D626="","",IFERROR(INDEX(교육과정!$B$3:$B$102,MATCH($D626,교육과정!$A$3:$A$102,0)),"미등록과정"))</f>
        <v/>
      </c>
      <c r="F626" s="13"/>
      <c r="G626" s="9"/>
      <c r="H626" s="9"/>
    </row>
    <row r="627" customFormat="false" ht="15" hidden="false" customHeight="true" outlineLevel="0" collapsed="false">
      <c r="A627" s="11"/>
      <c r="B627" s="9"/>
      <c r="C627" s="15" t="str">
        <f aca="false">IF($B627="","",IFERROR(INDEX(직원목록!$B$3:$B$302,MATCH($B627,직원목록!$A$3:$A$302,0)),"미등록사번"))</f>
        <v/>
      </c>
      <c r="D627" s="9"/>
      <c r="E627" s="15" t="str">
        <f aca="false">IF($D627="","",IFERROR(INDEX(교육과정!$B$3:$B$102,MATCH($D627,교육과정!$A$3:$A$102,0)),"미등록과정"))</f>
        <v/>
      </c>
      <c r="F627" s="13"/>
      <c r="G627" s="9"/>
      <c r="H627" s="9"/>
    </row>
    <row r="628" customFormat="false" ht="15" hidden="false" customHeight="true" outlineLevel="0" collapsed="false">
      <c r="A628" s="11"/>
      <c r="B628" s="9"/>
      <c r="C628" s="15" t="str">
        <f aca="false">IF($B628="","",IFERROR(INDEX(직원목록!$B$3:$B$302,MATCH($B628,직원목록!$A$3:$A$302,0)),"미등록사번"))</f>
        <v/>
      </c>
      <c r="D628" s="9"/>
      <c r="E628" s="15" t="str">
        <f aca="false">IF($D628="","",IFERROR(INDEX(교육과정!$B$3:$B$102,MATCH($D628,교육과정!$A$3:$A$102,0)),"미등록과정"))</f>
        <v/>
      </c>
      <c r="F628" s="13"/>
      <c r="G628" s="9"/>
      <c r="H628" s="9"/>
    </row>
    <row r="629" customFormat="false" ht="15" hidden="false" customHeight="true" outlineLevel="0" collapsed="false">
      <c r="A629" s="11"/>
      <c r="B629" s="9"/>
      <c r="C629" s="15" t="str">
        <f aca="false">IF($B629="","",IFERROR(INDEX(직원목록!$B$3:$B$302,MATCH($B629,직원목록!$A$3:$A$302,0)),"미등록사번"))</f>
        <v/>
      </c>
      <c r="D629" s="9"/>
      <c r="E629" s="15" t="str">
        <f aca="false">IF($D629="","",IFERROR(INDEX(교육과정!$B$3:$B$102,MATCH($D629,교육과정!$A$3:$A$102,0)),"미등록과정"))</f>
        <v/>
      </c>
      <c r="F629" s="13"/>
      <c r="G629" s="9"/>
      <c r="H629" s="9"/>
    </row>
    <row r="630" customFormat="false" ht="15" hidden="false" customHeight="true" outlineLevel="0" collapsed="false">
      <c r="A630" s="11"/>
      <c r="B630" s="9"/>
      <c r="C630" s="15" t="str">
        <f aca="false">IF($B630="","",IFERROR(INDEX(직원목록!$B$3:$B$302,MATCH($B630,직원목록!$A$3:$A$302,0)),"미등록사번"))</f>
        <v/>
      </c>
      <c r="D630" s="9"/>
      <c r="E630" s="15" t="str">
        <f aca="false">IF($D630="","",IFERROR(INDEX(교육과정!$B$3:$B$102,MATCH($D630,교육과정!$A$3:$A$102,0)),"미등록과정"))</f>
        <v/>
      </c>
      <c r="F630" s="13"/>
      <c r="G630" s="9"/>
      <c r="H630" s="9"/>
    </row>
    <row r="631" customFormat="false" ht="15" hidden="false" customHeight="true" outlineLevel="0" collapsed="false">
      <c r="A631" s="11"/>
      <c r="B631" s="9"/>
      <c r="C631" s="15" t="str">
        <f aca="false">IF($B631="","",IFERROR(INDEX(직원목록!$B$3:$B$302,MATCH($B631,직원목록!$A$3:$A$302,0)),"미등록사번"))</f>
        <v/>
      </c>
      <c r="D631" s="9"/>
      <c r="E631" s="15" t="str">
        <f aca="false">IF($D631="","",IFERROR(INDEX(교육과정!$B$3:$B$102,MATCH($D631,교육과정!$A$3:$A$102,0)),"미등록과정"))</f>
        <v/>
      </c>
      <c r="F631" s="13"/>
      <c r="G631" s="9"/>
      <c r="H631" s="9"/>
    </row>
    <row r="632" customFormat="false" ht="15" hidden="false" customHeight="true" outlineLevel="0" collapsed="false">
      <c r="A632" s="11"/>
      <c r="B632" s="9"/>
      <c r="C632" s="15" t="str">
        <f aca="false">IF($B632="","",IFERROR(INDEX(직원목록!$B$3:$B$302,MATCH($B632,직원목록!$A$3:$A$302,0)),"미등록사번"))</f>
        <v/>
      </c>
      <c r="D632" s="9"/>
      <c r="E632" s="15" t="str">
        <f aca="false">IF($D632="","",IFERROR(INDEX(교육과정!$B$3:$B$102,MATCH($D632,교육과정!$A$3:$A$102,0)),"미등록과정"))</f>
        <v/>
      </c>
      <c r="F632" s="13"/>
      <c r="G632" s="9"/>
      <c r="H632" s="9"/>
    </row>
    <row r="633" customFormat="false" ht="15" hidden="false" customHeight="true" outlineLevel="0" collapsed="false">
      <c r="A633" s="11"/>
      <c r="B633" s="9"/>
      <c r="C633" s="15" t="str">
        <f aca="false">IF($B633="","",IFERROR(INDEX(직원목록!$B$3:$B$302,MATCH($B633,직원목록!$A$3:$A$302,0)),"미등록사번"))</f>
        <v/>
      </c>
      <c r="D633" s="9"/>
      <c r="E633" s="15" t="str">
        <f aca="false">IF($D633="","",IFERROR(INDEX(교육과정!$B$3:$B$102,MATCH($D633,교육과정!$A$3:$A$102,0)),"미등록과정"))</f>
        <v/>
      </c>
      <c r="F633" s="13"/>
      <c r="G633" s="9"/>
      <c r="H633" s="9"/>
    </row>
    <row r="634" customFormat="false" ht="15" hidden="false" customHeight="true" outlineLevel="0" collapsed="false">
      <c r="A634" s="11"/>
      <c r="B634" s="9"/>
      <c r="C634" s="15" t="str">
        <f aca="false">IF($B634="","",IFERROR(INDEX(직원목록!$B$3:$B$302,MATCH($B634,직원목록!$A$3:$A$302,0)),"미등록사번"))</f>
        <v/>
      </c>
      <c r="D634" s="9"/>
      <c r="E634" s="15" t="str">
        <f aca="false">IF($D634="","",IFERROR(INDEX(교육과정!$B$3:$B$102,MATCH($D634,교육과정!$A$3:$A$102,0)),"미등록과정"))</f>
        <v/>
      </c>
      <c r="F634" s="13"/>
      <c r="G634" s="9"/>
      <c r="H634" s="9"/>
    </row>
    <row r="635" customFormat="false" ht="15" hidden="false" customHeight="true" outlineLevel="0" collapsed="false">
      <c r="A635" s="11"/>
      <c r="B635" s="9"/>
      <c r="C635" s="15" t="str">
        <f aca="false">IF($B635="","",IFERROR(INDEX(직원목록!$B$3:$B$302,MATCH($B635,직원목록!$A$3:$A$302,0)),"미등록사번"))</f>
        <v/>
      </c>
      <c r="D635" s="9"/>
      <c r="E635" s="15" t="str">
        <f aca="false">IF($D635="","",IFERROR(INDEX(교육과정!$B$3:$B$102,MATCH($D635,교육과정!$A$3:$A$102,0)),"미등록과정"))</f>
        <v/>
      </c>
      <c r="F635" s="13"/>
      <c r="G635" s="9"/>
      <c r="H635" s="9"/>
    </row>
    <row r="636" customFormat="false" ht="15" hidden="false" customHeight="true" outlineLevel="0" collapsed="false">
      <c r="A636" s="11"/>
      <c r="B636" s="9"/>
      <c r="C636" s="15" t="str">
        <f aca="false">IF($B636="","",IFERROR(INDEX(직원목록!$B$3:$B$302,MATCH($B636,직원목록!$A$3:$A$302,0)),"미등록사번"))</f>
        <v/>
      </c>
      <c r="D636" s="9"/>
      <c r="E636" s="15" t="str">
        <f aca="false">IF($D636="","",IFERROR(INDEX(교육과정!$B$3:$B$102,MATCH($D636,교육과정!$A$3:$A$102,0)),"미등록과정"))</f>
        <v/>
      </c>
      <c r="F636" s="13"/>
      <c r="G636" s="9"/>
      <c r="H636" s="9"/>
    </row>
    <row r="637" customFormat="false" ht="15" hidden="false" customHeight="true" outlineLevel="0" collapsed="false">
      <c r="A637" s="11"/>
      <c r="B637" s="9"/>
      <c r="C637" s="15" t="str">
        <f aca="false">IF($B637="","",IFERROR(INDEX(직원목록!$B$3:$B$302,MATCH($B637,직원목록!$A$3:$A$302,0)),"미등록사번"))</f>
        <v/>
      </c>
      <c r="D637" s="9"/>
      <c r="E637" s="15" t="str">
        <f aca="false">IF($D637="","",IFERROR(INDEX(교육과정!$B$3:$B$102,MATCH($D637,교육과정!$A$3:$A$102,0)),"미등록과정"))</f>
        <v/>
      </c>
      <c r="F637" s="13"/>
      <c r="G637" s="9"/>
      <c r="H637" s="9"/>
    </row>
    <row r="638" customFormat="false" ht="15" hidden="false" customHeight="true" outlineLevel="0" collapsed="false">
      <c r="A638" s="11"/>
      <c r="B638" s="9"/>
      <c r="C638" s="15" t="str">
        <f aca="false">IF($B638="","",IFERROR(INDEX(직원목록!$B$3:$B$302,MATCH($B638,직원목록!$A$3:$A$302,0)),"미등록사번"))</f>
        <v/>
      </c>
      <c r="D638" s="9"/>
      <c r="E638" s="15" t="str">
        <f aca="false">IF($D638="","",IFERROR(INDEX(교육과정!$B$3:$B$102,MATCH($D638,교육과정!$A$3:$A$102,0)),"미등록과정"))</f>
        <v/>
      </c>
      <c r="F638" s="13"/>
      <c r="G638" s="9"/>
      <c r="H638" s="9"/>
    </row>
    <row r="639" customFormat="false" ht="15" hidden="false" customHeight="true" outlineLevel="0" collapsed="false">
      <c r="A639" s="11"/>
      <c r="B639" s="9"/>
      <c r="C639" s="15" t="str">
        <f aca="false">IF($B639="","",IFERROR(INDEX(직원목록!$B$3:$B$302,MATCH($B639,직원목록!$A$3:$A$302,0)),"미등록사번"))</f>
        <v/>
      </c>
      <c r="D639" s="9"/>
      <c r="E639" s="15" t="str">
        <f aca="false">IF($D639="","",IFERROR(INDEX(교육과정!$B$3:$B$102,MATCH($D639,교육과정!$A$3:$A$102,0)),"미등록과정"))</f>
        <v/>
      </c>
      <c r="F639" s="13"/>
      <c r="G639" s="9"/>
      <c r="H639" s="9"/>
    </row>
    <row r="640" customFormat="false" ht="15" hidden="false" customHeight="true" outlineLevel="0" collapsed="false">
      <c r="A640" s="11"/>
      <c r="B640" s="9"/>
      <c r="C640" s="15" t="str">
        <f aca="false">IF($B640="","",IFERROR(INDEX(직원목록!$B$3:$B$302,MATCH($B640,직원목록!$A$3:$A$302,0)),"미등록사번"))</f>
        <v/>
      </c>
      <c r="D640" s="9"/>
      <c r="E640" s="15" t="str">
        <f aca="false">IF($D640="","",IFERROR(INDEX(교육과정!$B$3:$B$102,MATCH($D640,교육과정!$A$3:$A$102,0)),"미등록과정"))</f>
        <v/>
      </c>
      <c r="F640" s="13"/>
      <c r="G640" s="9"/>
      <c r="H640" s="9"/>
    </row>
    <row r="641" customFormat="false" ht="15" hidden="false" customHeight="true" outlineLevel="0" collapsed="false">
      <c r="A641" s="11"/>
      <c r="B641" s="9"/>
      <c r="C641" s="15" t="str">
        <f aca="false">IF($B641="","",IFERROR(INDEX(직원목록!$B$3:$B$302,MATCH($B641,직원목록!$A$3:$A$302,0)),"미등록사번"))</f>
        <v/>
      </c>
      <c r="D641" s="9"/>
      <c r="E641" s="15" t="str">
        <f aca="false">IF($D641="","",IFERROR(INDEX(교육과정!$B$3:$B$102,MATCH($D641,교육과정!$A$3:$A$102,0)),"미등록과정"))</f>
        <v/>
      </c>
      <c r="F641" s="13"/>
      <c r="G641" s="9"/>
      <c r="H641" s="9"/>
    </row>
    <row r="642" customFormat="false" ht="15" hidden="false" customHeight="true" outlineLevel="0" collapsed="false">
      <c r="A642" s="11"/>
      <c r="B642" s="9"/>
      <c r="C642" s="15" t="str">
        <f aca="false">IF($B642="","",IFERROR(INDEX(직원목록!$B$3:$B$302,MATCH($B642,직원목록!$A$3:$A$302,0)),"미등록사번"))</f>
        <v/>
      </c>
      <c r="D642" s="9"/>
      <c r="E642" s="15" t="str">
        <f aca="false">IF($D642="","",IFERROR(INDEX(교육과정!$B$3:$B$102,MATCH($D642,교육과정!$A$3:$A$102,0)),"미등록과정"))</f>
        <v/>
      </c>
      <c r="F642" s="13"/>
      <c r="G642" s="9"/>
      <c r="H642" s="9"/>
    </row>
    <row r="643" customFormat="false" ht="15" hidden="false" customHeight="true" outlineLevel="0" collapsed="false">
      <c r="A643" s="11"/>
      <c r="B643" s="9"/>
      <c r="C643" s="15" t="str">
        <f aca="false">IF($B643="","",IFERROR(INDEX(직원목록!$B$3:$B$302,MATCH($B643,직원목록!$A$3:$A$302,0)),"미등록사번"))</f>
        <v/>
      </c>
      <c r="D643" s="9"/>
      <c r="E643" s="15" t="str">
        <f aca="false">IF($D643="","",IFERROR(INDEX(교육과정!$B$3:$B$102,MATCH($D643,교육과정!$A$3:$A$102,0)),"미등록과정"))</f>
        <v/>
      </c>
      <c r="F643" s="13"/>
      <c r="G643" s="9"/>
      <c r="H643" s="9"/>
    </row>
    <row r="644" customFormat="false" ht="15" hidden="false" customHeight="true" outlineLevel="0" collapsed="false">
      <c r="A644" s="11"/>
      <c r="B644" s="9"/>
      <c r="C644" s="15" t="str">
        <f aca="false">IF($B644="","",IFERROR(INDEX(직원목록!$B$3:$B$302,MATCH($B644,직원목록!$A$3:$A$302,0)),"미등록사번"))</f>
        <v/>
      </c>
      <c r="D644" s="9"/>
      <c r="E644" s="15" t="str">
        <f aca="false">IF($D644="","",IFERROR(INDEX(교육과정!$B$3:$B$102,MATCH($D644,교육과정!$A$3:$A$102,0)),"미등록과정"))</f>
        <v/>
      </c>
      <c r="F644" s="13"/>
      <c r="G644" s="9"/>
      <c r="H644" s="9"/>
    </row>
    <row r="645" customFormat="false" ht="15" hidden="false" customHeight="true" outlineLevel="0" collapsed="false">
      <c r="A645" s="11"/>
      <c r="B645" s="9"/>
      <c r="C645" s="15" t="str">
        <f aca="false">IF($B645="","",IFERROR(INDEX(직원목록!$B$3:$B$302,MATCH($B645,직원목록!$A$3:$A$302,0)),"미등록사번"))</f>
        <v/>
      </c>
      <c r="D645" s="9"/>
      <c r="E645" s="15" t="str">
        <f aca="false">IF($D645="","",IFERROR(INDEX(교육과정!$B$3:$B$102,MATCH($D645,교육과정!$A$3:$A$102,0)),"미등록과정"))</f>
        <v/>
      </c>
      <c r="F645" s="13"/>
      <c r="G645" s="9"/>
      <c r="H645" s="9"/>
    </row>
    <row r="646" customFormat="false" ht="15" hidden="false" customHeight="true" outlineLevel="0" collapsed="false">
      <c r="A646" s="11"/>
      <c r="B646" s="9"/>
      <c r="C646" s="15" t="str">
        <f aca="false">IF($B646="","",IFERROR(INDEX(직원목록!$B$3:$B$302,MATCH($B646,직원목록!$A$3:$A$302,0)),"미등록사번"))</f>
        <v/>
      </c>
      <c r="D646" s="9"/>
      <c r="E646" s="15" t="str">
        <f aca="false">IF($D646="","",IFERROR(INDEX(교육과정!$B$3:$B$102,MATCH($D646,교육과정!$A$3:$A$102,0)),"미등록과정"))</f>
        <v/>
      </c>
      <c r="F646" s="13"/>
      <c r="G646" s="9"/>
      <c r="H646" s="9"/>
    </row>
    <row r="647" customFormat="false" ht="15" hidden="false" customHeight="true" outlineLevel="0" collapsed="false">
      <c r="A647" s="11"/>
      <c r="B647" s="9"/>
      <c r="C647" s="15" t="str">
        <f aca="false">IF($B647="","",IFERROR(INDEX(직원목록!$B$3:$B$302,MATCH($B647,직원목록!$A$3:$A$302,0)),"미등록사번"))</f>
        <v/>
      </c>
      <c r="D647" s="9"/>
      <c r="E647" s="15" t="str">
        <f aca="false">IF($D647="","",IFERROR(INDEX(교육과정!$B$3:$B$102,MATCH($D647,교육과정!$A$3:$A$102,0)),"미등록과정"))</f>
        <v/>
      </c>
      <c r="F647" s="13"/>
      <c r="G647" s="9"/>
      <c r="H647" s="9"/>
    </row>
    <row r="648" customFormat="false" ht="15" hidden="false" customHeight="true" outlineLevel="0" collapsed="false">
      <c r="A648" s="11"/>
      <c r="B648" s="9"/>
      <c r="C648" s="15" t="str">
        <f aca="false">IF($B648="","",IFERROR(INDEX(직원목록!$B$3:$B$302,MATCH($B648,직원목록!$A$3:$A$302,0)),"미등록사번"))</f>
        <v/>
      </c>
      <c r="D648" s="9"/>
      <c r="E648" s="15" t="str">
        <f aca="false">IF($D648="","",IFERROR(INDEX(교육과정!$B$3:$B$102,MATCH($D648,교육과정!$A$3:$A$102,0)),"미등록과정"))</f>
        <v/>
      </c>
      <c r="F648" s="13"/>
      <c r="G648" s="9"/>
      <c r="H648" s="9"/>
    </row>
    <row r="649" customFormat="false" ht="15" hidden="false" customHeight="true" outlineLevel="0" collapsed="false">
      <c r="A649" s="11"/>
      <c r="B649" s="9"/>
      <c r="C649" s="15" t="str">
        <f aca="false">IF($B649="","",IFERROR(INDEX(직원목록!$B$3:$B$302,MATCH($B649,직원목록!$A$3:$A$302,0)),"미등록사번"))</f>
        <v/>
      </c>
      <c r="D649" s="9"/>
      <c r="E649" s="15" t="str">
        <f aca="false">IF($D649="","",IFERROR(INDEX(교육과정!$B$3:$B$102,MATCH($D649,교육과정!$A$3:$A$102,0)),"미등록과정"))</f>
        <v/>
      </c>
      <c r="F649" s="13"/>
      <c r="G649" s="9"/>
      <c r="H649" s="9"/>
    </row>
    <row r="650" customFormat="false" ht="15" hidden="false" customHeight="true" outlineLevel="0" collapsed="false">
      <c r="A650" s="11"/>
      <c r="B650" s="9"/>
      <c r="C650" s="15" t="str">
        <f aca="false">IF($B650="","",IFERROR(INDEX(직원목록!$B$3:$B$302,MATCH($B650,직원목록!$A$3:$A$302,0)),"미등록사번"))</f>
        <v/>
      </c>
      <c r="D650" s="9"/>
      <c r="E650" s="15" t="str">
        <f aca="false">IF($D650="","",IFERROR(INDEX(교육과정!$B$3:$B$102,MATCH($D650,교육과정!$A$3:$A$102,0)),"미등록과정"))</f>
        <v/>
      </c>
      <c r="F650" s="13"/>
      <c r="G650" s="9"/>
      <c r="H650" s="9"/>
    </row>
    <row r="651" customFormat="false" ht="15" hidden="false" customHeight="true" outlineLevel="0" collapsed="false">
      <c r="A651" s="11"/>
      <c r="B651" s="9"/>
      <c r="C651" s="15" t="str">
        <f aca="false">IF($B651="","",IFERROR(INDEX(직원목록!$B$3:$B$302,MATCH($B651,직원목록!$A$3:$A$302,0)),"미등록사번"))</f>
        <v/>
      </c>
      <c r="D651" s="9"/>
      <c r="E651" s="15" t="str">
        <f aca="false">IF($D651="","",IFERROR(INDEX(교육과정!$B$3:$B$102,MATCH($D651,교육과정!$A$3:$A$102,0)),"미등록과정"))</f>
        <v/>
      </c>
      <c r="F651" s="13"/>
      <c r="G651" s="9"/>
      <c r="H651" s="9"/>
    </row>
    <row r="652" customFormat="false" ht="15" hidden="false" customHeight="true" outlineLevel="0" collapsed="false">
      <c r="A652" s="11"/>
      <c r="B652" s="9"/>
      <c r="C652" s="15" t="str">
        <f aca="false">IF($B652="","",IFERROR(INDEX(직원목록!$B$3:$B$302,MATCH($B652,직원목록!$A$3:$A$302,0)),"미등록사번"))</f>
        <v/>
      </c>
      <c r="D652" s="9"/>
      <c r="E652" s="15" t="str">
        <f aca="false">IF($D652="","",IFERROR(INDEX(교육과정!$B$3:$B$102,MATCH($D652,교육과정!$A$3:$A$102,0)),"미등록과정"))</f>
        <v/>
      </c>
      <c r="F652" s="13"/>
      <c r="G652" s="9"/>
      <c r="H652" s="9"/>
    </row>
    <row r="653" customFormat="false" ht="15" hidden="false" customHeight="true" outlineLevel="0" collapsed="false">
      <c r="A653" s="11"/>
      <c r="B653" s="9"/>
      <c r="C653" s="15" t="str">
        <f aca="false">IF($B653="","",IFERROR(INDEX(직원목록!$B$3:$B$302,MATCH($B653,직원목록!$A$3:$A$302,0)),"미등록사번"))</f>
        <v/>
      </c>
      <c r="D653" s="9"/>
      <c r="E653" s="15" t="str">
        <f aca="false">IF($D653="","",IFERROR(INDEX(교육과정!$B$3:$B$102,MATCH($D653,교육과정!$A$3:$A$102,0)),"미등록과정"))</f>
        <v/>
      </c>
      <c r="F653" s="13"/>
      <c r="G653" s="9"/>
      <c r="H653" s="9"/>
    </row>
    <row r="654" customFormat="false" ht="15" hidden="false" customHeight="true" outlineLevel="0" collapsed="false">
      <c r="A654" s="11"/>
      <c r="B654" s="9"/>
      <c r="C654" s="15" t="str">
        <f aca="false">IF($B654="","",IFERROR(INDEX(직원목록!$B$3:$B$302,MATCH($B654,직원목록!$A$3:$A$302,0)),"미등록사번"))</f>
        <v/>
      </c>
      <c r="D654" s="9"/>
      <c r="E654" s="15" t="str">
        <f aca="false">IF($D654="","",IFERROR(INDEX(교육과정!$B$3:$B$102,MATCH($D654,교육과정!$A$3:$A$102,0)),"미등록과정"))</f>
        <v/>
      </c>
      <c r="F654" s="13"/>
      <c r="G654" s="9"/>
      <c r="H654" s="9"/>
    </row>
    <row r="655" customFormat="false" ht="15" hidden="false" customHeight="true" outlineLevel="0" collapsed="false">
      <c r="A655" s="11"/>
      <c r="B655" s="9"/>
      <c r="C655" s="15" t="str">
        <f aca="false">IF($B655="","",IFERROR(INDEX(직원목록!$B$3:$B$302,MATCH($B655,직원목록!$A$3:$A$302,0)),"미등록사번"))</f>
        <v/>
      </c>
      <c r="D655" s="9"/>
      <c r="E655" s="15" t="str">
        <f aca="false">IF($D655="","",IFERROR(INDEX(교육과정!$B$3:$B$102,MATCH($D655,교육과정!$A$3:$A$102,0)),"미등록과정"))</f>
        <v/>
      </c>
      <c r="F655" s="13"/>
      <c r="G655" s="9"/>
      <c r="H655" s="9"/>
    </row>
    <row r="656" customFormat="false" ht="15" hidden="false" customHeight="true" outlineLevel="0" collapsed="false">
      <c r="A656" s="11"/>
      <c r="B656" s="9"/>
      <c r="C656" s="15" t="str">
        <f aca="false">IF($B656="","",IFERROR(INDEX(직원목록!$B$3:$B$302,MATCH($B656,직원목록!$A$3:$A$302,0)),"미등록사번"))</f>
        <v/>
      </c>
      <c r="D656" s="9"/>
      <c r="E656" s="15" t="str">
        <f aca="false">IF($D656="","",IFERROR(INDEX(교육과정!$B$3:$B$102,MATCH($D656,교육과정!$A$3:$A$102,0)),"미등록과정"))</f>
        <v/>
      </c>
      <c r="F656" s="13"/>
      <c r="G656" s="9"/>
      <c r="H656" s="9"/>
    </row>
    <row r="657" customFormat="false" ht="15" hidden="false" customHeight="true" outlineLevel="0" collapsed="false">
      <c r="A657" s="11"/>
      <c r="B657" s="9"/>
      <c r="C657" s="15" t="str">
        <f aca="false">IF($B657="","",IFERROR(INDEX(직원목록!$B$3:$B$302,MATCH($B657,직원목록!$A$3:$A$302,0)),"미등록사번"))</f>
        <v/>
      </c>
      <c r="D657" s="9"/>
      <c r="E657" s="15" t="str">
        <f aca="false">IF($D657="","",IFERROR(INDEX(교육과정!$B$3:$B$102,MATCH($D657,교육과정!$A$3:$A$102,0)),"미등록과정"))</f>
        <v/>
      </c>
      <c r="F657" s="13"/>
      <c r="G657" s="9"/>
      <c r="H657" s="9"/>
    </row>
    <row r="658" customFormat="false" ht="15" hidden="false" customHeight="true" outlineLevel="0" collapsed="false">
      <c r="A658" s="11"/>
      <c r="B658" s="9"/>
      <c r="C658" s="15" t="str">
        <f aca="false">IF($B658="","",IFERROR(INDEX(직원목록!$B$3:$B$302,MATCH($B658,직원목록!$A$3:$A$302,0)),"미등록사번"))</f>
        <v/>
      </c>
      <c r="D658" s="9"/>
      <c r="E658" s="15" t="str">
        <f aca="false">IF($D658="","",IFERROR(INDEX(교육과정!$B$3:$B$102,MATCH($D658,교육과정!$A$3:$A$102,0)),"미등록과정"))</f>
        <v/>
      </c>
      <c r="F658" s="13"/>
      <c r="G658" s="9"/>
      <c r="H658" s="9"/>
    </row>
    <row r="659" customFormat="false" ht="15" hidden="false" customHeight="true" outlineLevel="0" collapsed="false">
      <c r="A659" s="11"/>
      <c r="B659" s="9"/>
      <c r="C659" s="15" t="str">
        <f aca="false">IF($B659="","",IFERROR(INDEX(직원목록!$B$3:$B$302,MATCH($B659,직원목록!$A$3:$A$302,0)),"미등록사번"))</f>
        <v/>
      </c>
      <c r="D659" s="9"/>
      <c r="E659" s="15" t="str">
        <f aca="false">IF($D659="","",IFERROR(INDEX(교육과정!$B$3:$B$102,MATCH($D659,교육과정!$A$3:$A$102,0)),"미등록과정"))</f>
        <v/>
      </c>
      <c r="F659" s="13"/>
      <c r="G659" s="9"/>
      <c r="H659" s="9"/>
    </row>
    <row r="660" customFormat="false" ht="15" hidden="false" customHeight="true" outlineLevel="0" collapsed="false">
      <c r="A660" s="11"/>
      <c r="B660" s="9"/>
      <c r="C660" s="15" t="str">
        <f aca="false">IF($B660="","",IFERROR(INDEX(직원목록!$B$3:$B$302,MATCH($B660,직원목록!$A$3:$A$302,0)),"미등록사번"))</f>
        <v/>
      </c>
      <c r="D660" s="9"/>
      <c r="E660" s="15" t="str">
        <f aca="false">IF($D660="","",IFERROR(INDEX(교육과정!$B$3:$B$102,MATCH($D660,교육과정!$A$3:$A$102,0)),"미등록과정"))</f>
        <v/>
      </c>
      <c r="F660" s="13"/>
      <c r="G660" s="9"/>
      <c r="H660" s="9"/>
    </row>
    <row r="661" customFormat="false" ht="15" hidden="false" customHeight="true" outlineLevel="0" collapsed="false">
      <c r="A661" s="11"/>
      <c r="B661" s="9"/>
      <c r="C661" s="15" t="str">
        <f aca="false">IF($B661="","",IFERROR(INDEX(직원목록!$B$3:$B$302,MATCH($B661,직원목록!$A$3:$A$302,0)),"미등록사번"))</f>
        <v/>
      </c>
      <c r="D661" s="9"/>
      <c r="E661" s="15" t="str">
        <f aca="false">IF($D661="","",IFERROR(INDEX(교육과정!$B$3:$B$102,MATCH($D661,교육과정!$A$3:$A$102,0)),"미등록과정"))</f>
        <v/>
      </c>
      <c r="F661" s="13"/>
      <c r="G661" s="9"/>
      <c r="H661" s="9"/>
    </row>
    <row r="662" customFormat="false" ht="15" hidden="false" customHeight="true" outlineLevel="0" collapsed="false">
      <c r="A662" s="11"/>
      <c r="B662" s="9"/>
      <c r="C662" s="15" t="str">
        <f aca="false">IF($B662="","",IFERROR(INDEX(직원목록!$B$3:$B$302,MATCH($B662,직원목록!$A$3:$A$302,0)),"미등록사번"))</f>
        <v/>
      </c>
      <c r="D662" s="9"/>
      <c r="E662" s="15" t="str">
        <f aca="false">IF($D662="","",IFERROR(INDEX(교육과정!$B$3:$B$102,MATCH($D662,교육과정!$A$3:$A$102,0)),"미등록과정"))</f>
        <v/>
      </c>
      <c r="F662" s="13"/>
      <c r="G662" s="9"/>
      <c r="H662" s="9"/>
    </row>
    <row r="663" customFormat="false" ht="15" hidden="false" customHeight="true" outlineLevel="0" collapsed="false">
      <c r="A663" s="11"/>
      <c r="B663" s="9"/>
      <c r="C663" s="15" t="str">
        <f aca="false">IF($B663="","",IFERROR(INDEX(직원목록!$B$3:$B$302,MATCH($B663,직원목록!$A$3:$A$302,0)),"미등록사번"))</f>
        <v/>
      </c>
      <c r="D663" s="9"/>
      <c r="E663" s="15" t="str">
        <f aca="false">IF($D663="","",IFERROR(INDEX(교육과정!$B$3:$B$102,MATCH($D663,교육과정!$A$3:$A$102,0)),"미등록과정"))</f>
        <v/>
      </c>
      <c r="F663" s="13"/>
      <c r="G663" s="9"/>
      <c r="H663" s="9"/>
    </row>
    <row r="664" customFormat="false" ht="15" hidden="false" customHeight="true" outlineLevel="0" collapsed="false">
      <c r="A664" s="11"/>
      <c r="B664" s="9"/>
      <c r="C664" s="15" t="str">
        <f aca="false">IF($B664="","",IFERROR(INDEX(직원목록!$B$3:$B$302,MATCH($B664,직원목록!$A$3:$A$302,0)),"미등록사번"))</f>
        <v/>
      </c>
      <c r="D664" s="9"/>
      <c r="E664" s="15" t="str">
        <f aca="false">IF($D664="","",IFERROR(INDEX(교육과정!$B$3:$B$102,MATCH($D664,교육과정!$A$3:$A$102,0)),"미등록과정"))</f>
        <v/>
      </c>
      <c r="F664" s="13"/>
      <c r="G664" s="9"/>
      <c r="H664" s="9"/>
    </row>
    <row r="665" customFormat="false" ht="15" hidden="false" customHeight="true" outlineLevel="0" collapsed="false">
      <c r="A665" s="11"/>
      <c r="B665" s="9"/>
      <c r="C665" s="15" t="str">
        <f aca="false">IF($B665="","",IFERROR(INDEX(직원목록!$B$3:$B$302,MATCH($B665,직원목록!$A$3:$A$302,0)),"미등록사번"))</f>
        <v/>
      </c>
      <c r="D665" s="9"/>
      <c r="E665" s="15" t="str">
        <f aca="false">IF($D665="","",IFERROR(INDEX(교육과정!$B$3:$B$102,MATCH($D665,교육과정!$A$3:$A$102,0)),"미등록과정"))</f>
        <v/>
      </c>
      <c r="F665" s="13"/>
      <c r="G665" s="9"/>
      <c r="H665" s="9"/>
    </row>
    <row r="666" customFormat="false" ht="15" hidden="false" customHeight="true" outlineLevel="0" collapsed="false">
      <c r="A666" s="11"/>
      <c r="B666" s="9"/>
      <c r="C666" s="15" t="str">
        <f aca="false">IF($B666="","",IFERROR(INDEX(직원목록!$B$3:$B$302,MATCH($B666,직원목록!$A$3:$A$302,0)),"미등록사번"))</f>
        <v/>
      </c>
      <c r="D666" s="9"/>
      <c r="E666" s="15" t="str">
        <f aca="false">IF($D666="","",IFERROR(INDEX(교육과정!$B$3:$B$102,MATCH($D666,교육과정!$A$3:$A$102,0)),"미등록과정"))</f>
        <v/>
      </c>
      <c r="F666" s="13"/>
      <c r="G666" s="9"/>
      <c r="H666" s="9"/>
    </row>
    <row r="667" customFormat="false" ht="15" hidden="false" customHeight="true" outlineLevel="0" collapsed="false">
      <c r="A667" s="11"/>
      <c r="B667" s="9"/>
      <c r="C667" s="15" t="str">
        <f aca="false">IF($B667="","",IFERROR(INDEX(직원목록!$B$3:$B$302,MATCH($B667,직원목록!$A$3:$A$302,0)),"미등록사번"))</f>
        <v/>
      </c>
      <c r="D667" s="9"/>
      <c r="E667" s="15" t="str">
        <f aca="false">IF($D667="","",IFERROR(INDEX(교육과정!$B$3:$B$102,MATCH($D667,교육과정!$A$3:$A$102,0)),"미등록과정"))</f>
        <v/>
      </c>
      <c r="F667" s="13"/>
      <c r="G667" s="9"/>
      <c r="H667" s="9"/>
    </row>
    <row r="668" customFormat="false" ht="15" hidden="false" customHeight="true" outlineLevel="0" collapsed="false">
      <c r="A668" s="11"/>
      <c r="B668" s="9"/>
      <c r="C668" s="15" t="str">
        <f aca="false">IF($B668="","",IFERROR(INDEX(직원목록!$B$3:$B$302,MATCH($B668,직원목록!$A$3:$A$302,0)),"미등록사번"))</f>
        <v/>
      </c>
      <c r="D668" s="9"/>
      <c r="E668" s="15" t="str">
        <f aca="false">IF($D668="","",IFERROR(INDEX(교육과정!$B$3:$B$102,MATCH($D668,교육과정!$A$3:$A$102,0)),"미등록과정"))</f>
        <v/>
      </c>
      <c r="F668" s="13"/>
      <c r="G668" s="9"/>
      <c r="H668" s="9"/>
    </row>
    <row r="669" customFormat="false" ht="15" hidden="false" customHeight="true" outlineLevel="0" collapsed="false">
      <c r="A669" s="11"/>
      <c r="B669" s="9"/>
      <c r="C669" s="15" t="str">
        <f aca="false">IF($B669="","",IFERROR(INDEX(직원목록!$B$3:$B$302,MATCH($B669,직원목록!$A$3:$A$302,0)),"미등록사번"))</f>
        <v/>
      </c>
      <c r="D669" s="9"/>
      <c r="E669" s="15" t="str">
        <f aca="false">IF($D669="","",IFERROR(INDEX(교육과정!$B$3:$B$102,MATCH($D669,교육과정!$A$3:$A$102,0)),"미등록과정"))</f>
        <v/>
      </c>
      <c r="F669" s="13"/>
      <c r="G669" s="9"/>
      <c r="H669" s="9"/>
    </row>
    <row r="670" customFormat="false" ht="15" hidden="false" customHeight="true" outlineLevel="0" collapsed="false">
      <c r="A670" s="11"/>
      <c r="B670" s="9"/>
      <c r="C670" s="15" t="str">
        <f aca="false">IF($B670="","",IFERROR(INDEX(직원목록!$B$3:$B$302,MATCH($B670,직원목록!$A$3:$A$302,0)),"미등록사번"))</f>
        <v/>
      </c>
      <c r="D670" s="9"/>
      <c r="E670" s="15" t="str">
        <f aca="false">IF($D670="","",IFERROR(INDEX(교육과정!$B$3:$B$102,MATCH($D670,교육과정!$A$3:$A$102,0)),"미등록과정"))</f>
        <v/>
      </c>
      <c r="F670" s="13"/>
      <c r="G670" s="9"/>
      <c r="H670" s="9"/>
    </row>
    <row r="671" customFormat="false" ht="15" hidden="false" customHeight="true" outlineLevel="0" collapsed="false">
      <c r="A671" s="11"/>
      <c r="B671" s="9"/>
      <c r="C671" s="15" t="str">
        <f aca="false">IF($B671="","",IFERROR(INDEX(직원목록!$B$3:$B$302,MATCH($B671,직원목록!$A$3:$A$302,0)),"미등록사번"))</f>
        <v/>
      </c>
      <c r="D671" s="9"/>
      <c r="E671" s="15" t="str">
        <f aca="false">IF($D671="","",IFERROR(INDEX(교육과정!$B$3:$B$102,MATCH($D671,교육과정!$A$3:$A$102,0)),"미등록과정"))</f>
        <v/>
      </c>
      <c r="F671" s="13"/>
      <c r="G671" s="9"/>
      <c r="H671" s="9"/>
    </row>
    <row r="672" customFormat="false" ht="15" hidden="false" customHeight="true" outlineLevel="0" collapsed="false">
      <c r="A672" s="11"/>
      <c r="B672" s="9"/>
      <c r="C672" s="15" t="str">
        <f aca="false">IF($B672="","",IFERROR(INDEX(직원목록!$B$3:$B$302,MATCH($B672,직원목록!$A$3:$A$302,0)),"미등록사번"))</f>
        <v/>
      </c>
      <c r="D672" s="9"/>
      <c r="E672" s="15" t="str">
        <f aca="false">IF($D672="","",IFERROR(INDEX(교육과정!$B$3:$B$102,MATCH($D672,교육과정!$A$3:$A$102,0)),"미등록과정"))</f>
        <v/>
      </c>
      <c r="F672" s="13"/>
      <c r="G672" s="9"/>
      <c r="H672" s="9"/>
    </row>
    <row r="673" customFormat="false" ht="15" hidden="false" customHeight="true" outlineLevel="0" collapsed="false">
      <c r="A673" s="11"/>
      <c r="B673" s="9"/>
      <c r="C673" s="15" t="str">
        <f aca="false">IF($B673="","",IFERROR(INDEX(직원목록!$B$3:$B$302,MATCH($B673,직원목록!$A$3:$A$302,0)),"미등록사번"))</f>
        <v/>
      </c>
      <c r="D673" s="9"/>
      <c r="E673" s="15" t="str">
        <f aca="false">IF($D673="","",IFERROR(INDEX(교육과정!$B$3:$B$102,MATCH($D673,교육과정!$A$3:$A$102,0)),"미등록과정"))</f>
        <v/>
      </c>
      <c r="F673" s="13"/>
      <c r="G673" s="9"/>
      <c r="H673" s="9"/>
    </row>
    <row r="674" customFormat="false" ht="15" hidden="false" customHeight="true" outlineLevel="0" collapsed="false">
      <c r="A674" s="11"/>
      <c r="B674" s="9"/>
      <c r="C674" s="15" t="str">
        <f aca="false">IF($B674="","",IFERROR(INDEX(직원목록!$B$3:$B$302,MATCH($B674,직원목록!$A$3:$A$302,0)),"미등록사번"))</f>
        <v/>
      </c>
      <c r="D674" s="9"/>
      <c r="E674" s="15" t="str">
        <f aca="false">IF($D674="","",IFERROR(INDEX(교육과정!$B$3:$B$102,MATCH($D674,교육과정!$A$3:$A$102,0)),"미등록과정"))</f>
        <v/>
      </c>
      <c r="F674" s="13"/>
      <c r="G674" s="9"/>
      <c r="H674" s="9"/>
    </row>
    <row r="675" customFormat="false" ht="15" hidden="false" customHeight="true" outlineLevel="0" collapsed="false">
      <c r="A675" s="11"/>
      <c r="B675" s="9"/>
      <c r="C675" s="15" t="str">
        <f aca="false">IF($B675="","",IFERROR(INDEX(직원목록!$B$3:$B$302,MATCH($B675,직원목록!$A$3:$A$302,0)),"미등록사번"))</f>
        <v/>
      </c>
      <c r="D675" s="9"/>
      <c r="E675" s="15" t="str">
        <f aca="false">IF($D675="","",IFERROR(INDEX(교육과정!$B$3:$B$102,MATCH($D675,교육과정!$A$3:$A$102,0)),"미등록과정"))</f>
        <v/>
      </c>
      <c r="F675" s="13"/>
      <c r="G675" s="9"/>
      <c r="H675" s="9"/>
    </row>
    <row r="676" customFormat="false" ht="15" hidden="false" customHeight="true" outlineLevel="0" collapsed="false">
      <c r="A676" s="11"/>
      <c r="B676" s="9"/>
      <c r="C676" s="15" t="str">
        <f aca="false">IF($B676="","",IFERROR(INDEX(직원목록!$B$3:$B$302,MATCH($B676,직원목록!$A$3:$A$302,0)),"미등록사번"))</f>
        <v/>
      </c>
      <c r="D676" s="9"/>
      <c r="E676" s="15" t="str">
        <f aca="false">IF($D676="","",IFERROR(INDEX(교육과정!$B$3:$B$102,MATCH($D676,교육과정!$A$3:$A$102,0)),"미등록과정"))</f>
        <v/>
      </c>
      <c r="F676" s="13"/>
      <c r="G676" s="9"/>
      <c r="H676" s="9"/>
    </row>
    <row r="677" customFormat="false" ht="15" hidden="false" customHeight="true" outlineLevel="0" collapsed="false">
      <c r="A677" s="11"/>
      <c r="B677" s="9"/>
      <c r="C677" s="15" t="str">
        <f aca="false">IF($B677="","",IFERROR(INDEX(직원목록!$B$3:$B$302,MATCH($B677,직원목록!$A$3:$A$302,0)),"미등록사번"))</f>
        <v/>
      </c>
      <c r="D677" s="9"/>
      <c r="E677" s="15" t="str">
        <f aca="false">IF($D677="","",IFERROR(INDEX(교육과정!$B$3:$B$102,MATCH($D677,교육과정!$A$3:$A$102,0)),"미등록과정"))</f>
        <v/>
      </c>
      <c r="F677" s="13"/>
      <c r="G677" s="9"/>
      <c r="H677" s="9"/>
    </row>
    <row r="678" customFormat="false" ht="15" hidden="false" customHeight="true" outlineLevel="0" collapsed="false">
      <c r="A678" s="11"/>
      <c r="B678" s="9"/>
      <c r="C678" s="15" t="str">
        <f aca="false">IF($B678="","",IFERROR(INDEX(직원목록!$B$3:$B$302,MATCH($B678,직원목록!$A$3:$A$302,0)),"미등록사번"))</f>
        <v/>
      </c>
      <c r="D678" s="9"/>
      <c r="E678" s="15" t="str">
        <f aca="false">IF($D678="","",IFERROR(INDEX(교육과정!$B$3:$B$102,MATCH($D678,교육과정!$A$3:$A$102,0)),"미등록과정"))</f>
        <v/>
      </c>
      <c r="F678" s="13"/>
      <c r="G678" s="9"/>
      <c r="H678" s="9"/>
    </row>
    <row r="679" customFormat="false" ht="15" hidden="false" customHeight="true" outlineLevel="0" collapsed="false">
      <c r="A679" s="11"/>
      <c r="B679" s="9"/>
      <c r="C679" s="15" t="str">
        <f aca="false">IF($B679="","",IFERROR(INDEX(직원목록!$B$3:$B$302,MATCH($B679,직원목록!$A$3:$A$302,0)),"미등록사번"))</f>
        <v/>
      </c>
      <c r="D679" s="9"/>
      <c r="E679" s="15" t="str">
        <f aca="false">IF($D679="","",IFERROR(INDEX(교육과정!$B$3:$B$102,MATCH($D679,교육과정!$A$3:$A$102,0)),"미등록과정"))</f>
        <v/>
      </c>
      <c r="F679" s="13"/>
      <c r="G679" s="9"/>
      <c r="H679" s="9"/>
    </row>
    <row r="680" customFormat="false" ht="15" hidden="false" customHeight="true" outlineLevel="0" collapsed="false">
      <c r="A680" s="11"/>
      <c r="B680" s="9"/>
      <c r="C680" s="15" t="str">
        <f aca="false">IF($B680="","",IFERROR(INDEX(직원목록!$B$3:$B$302,MATCH($B680,직원목록!$A$3:$A$302,0)),"미등록사번"))</f>
        <v/>
      </c>
      <c r="D680" s="9"/>
      <c r="E680" s="15" t="str">
        <f aca="false">IF($D680="","",IFERROR(INDEX(교육과정!$B$3:$B$102,MATCH($D680,교육과정!$A$3:$A$102,0)),"미등록과정"))</f>
        <v/>
      </c>
      <c r="F680" s="13"/>
      <c r="G680" s="9"/>
      <c r="H680" s="9"/>
    </row>
    <row r="681" customFormat="false" ht="15" hidden="false" customHeight="true" outlineLevel="0" collapsed="false">
      <c r="A681" s="11"/>
      <c r="B681" s="9"/>
      <c r="C681" s="15" t="str">
        <f aca="false">IF($B681="","",IFERROR(INDEX(직원목록!$B$3:$B$302,MATCH($B681,직원목록!$A$3:$A$302,0)),"미등록사번"))</f>
        <v/>
      </c>
      <c r="D681" s="9"/>
      <c r="E681" s="15" t="str">
        <f aca="false">IF($D681="","",IFERROR(INDEX(교육과정!$B$3:$B$102,MATCH($D681,교육과정!$A$3:$A$102,0)),"미등록과정"))</f>
        <v/>
      </c>
      <c r="F681" s="13"/>
      <c r="G681" s="9"/>
      <c r="H681" s="9"/>
    </row>
    <row r="682" customFormat="false" ht="15" hidden="false" customHeight="true" outlineLevel="0" collapsed="false">
      <c r="A682" s="11"/>
      <c r="B682" s="9"/>
      <c r="C682" s="15" t="str">
        <f aca="false">IF($B682="","",IFERROR(INDEX(직원목록!$B$3:$B$302,MATCH($B682,직원목록!$A$3:$A$302,0)),"미등록사번"))</f>
        <v/>
      </c>
      <c r="D682" s="9"/>
      <c r="E682" s="15" t="str">
        <f aca="false">IF($D682="","",IFERROR(INDEX(교육과정!$B$3:$B$102,MATCH($D682,교육과정!$A$3:$A$102,0)),"미등록과정"))</f>
        <v/>
      </c>
      <c r="F682" s="13"/>
      <c r="G682" s="9"/>
      <c r="H682" s="9"/>
    </row>
    <row r="683" customFormat="false" ht="15" hidden="false" customHeight="true" outlineLevel="0" collapsed="false">
      <c r="A683" s="11"/>
      <c r="B683" s="9"/>
      <c r="C683" s="15" t="str">
        <f aca="false">IF($B683="","",IFERROR(INDEX(직원목록!$B$3:$B$302,MATCH($B683,직원목록!$A$3:$A$302,0)),"미등록사번"))</f>
        <v/>
      </c>
      <c r="D683" s="9"/>
      <c r="E683" s="15" t="str">
        <f aca="false">IF($D683="","",IFERROR(INDEX(교육과정!$B$3:$B$102,MATCH($D683,교육과정!$A$3:$A$102,0)),"미등록과정"))</f>
        <v/>
      </c>
      <c r="F683" s="13"/>
      <c r="G683" s="9"/>
      <c r="H683" s="9"/>
    </row>
    <row r="684" customFormat="false" ht="15" hidden="false" customHeight="true" outlineLevel="0" collapsed="false">
      <c r="A684" s="11"/>
      <c r="B684" s="9"/>
      <c r="C684" s="15" t="str">
        <f aca="false">IF($B684="","",IFERROR(INDEX(직원목록!$B$3:$B$302,MATCH($B684,직원목록!$A$3:$A$302,0)),"미등록사번"))</f>
        <v/>
      </c>
      <c r="D684" s="9"/>
      <c r="E684" s="15" t="str">
        <f aca="false">IF($D684="","",IFERROR(INDEX(교육과정!$B$3:$B$102,MATCH($D684,교육과정!$A$3:$A$102,0)),"미등록과정"))</f>
        <v/>
      </c>
      <c r="F684" s="13"/>
      <c r="G684" s="9"/>
      <c r="H684" s="9"/>
    </row>
    <row r="685" customFormat="false" ht="15" hidden="false" customHeight="true" outlineLevel="0" collapsed="false">
      <c r="A685" s="11"/>
      <c r="B685" s="9"/>
      <c r="C685" s="15" t="str">
        <f aca="false">IF($B685="","",IFERROR(INDEX(직원목록!$B$3:$B$302,MATCH($B685,직원목록!$A$3:$A$302,0)),"미등록사번"))</f>
        <v/>
      </c>
      <c r="D685" s="9"/>
      <c r="E685" s="15" t="str">
        <f aca="false">IF($D685="","",IFERROR(INDEX(교육과정!$B$3:$B$102,MATCH($D685,교육과정!$A$3:$A$102,0)),"미등록과정"))</f>
        <v/>
      </c>
      <c r="F685" s="13"/>
      <c r="G685" s="9"/>
      <c r="H685" s="9"/>
    </row>
    <row r="686" customFormat="false" ht="15" hidden="false" customHeight="true" outlineLevel="0" collapsed="false">
      <c r="A686" s="11"/>
      <c r="B686" s="9"/>
      <c r="C686" s="15" t="str">
        <f aca="false">IF($B686="","",IFERROR(INDEX(직원목록!$B$3:$B$302,MATCH($B686,직원목록!$A$3:$A$302,0)),"미등록사번"))</f>
        <v/>
      </c>
      <c r="D686" s="9"/>
      <c r="E686" s="15" t="str">
        <f aca="false">IF($D686="","",IFERROR(INDEX(교육과정!$B$3:$B$102,MATCH($D686,교육과정!$A$3:$A$102,0)),"미등록과정"))</f>
        <v/>
      </c>
      <c r="F686" s="13"/>
      <c r="G686" s="9"/>
      <c r="H686" s="9"/>
    </row>
    <row r="687" customFormat="false" ht="15" hidden="false" customHeight="true" outlineLevel="0" collapsed="false">
      <c r="A687" s="11"/>
      <c r="B687" s="9"/>
      <c r="C687" s="15" t="str">
        <f aca="false">IF($B687="","",IFERROR(INDEX(직원목록!$B$3:$B$302,MATCH($B687,직원목록!$A$3:$A$302,0)),"미등록사번"))</f>
        <v/>
      </c>
      <c r="D687" s="9"/>
      <c r="E687" s="15" t="str">
        <f aca="false">IF($D687="","",IFERROR(INDEX(교육과정!$B$3:$B$102,MATCH($D687,교육과정!$A$3:$A$102,0)),"미등록과정"))</f>
        <v/>
      </c>
      <c r="F687" s="13"/>
      <c r="G687" s="9"/>
      <c r="H687" s="9"/>
    </row>
    <row r="688" customFormat="false" ht="15" hidden="false" customHeight="true" outlineLevel="0" collapsed="false">
      <c r="A688" s="11"/>
      <c r="B688" s="9"/>
      <c r="C688" s="15" t="str">
        <f aca="false">IF($B688="","",IFERROR(INDEX(직원목록!$B$3:$B$302,MATCH($B688,직원목록!$A$3:$A$302,0)),"미등록사번"))</f>
        <v/>
      </c>
      <c r="D688" s="9"/>
      <c r="E688" s="15" t="str">
        <f aca="false">IF($D688="","",IFERROR(INDEX(교육과정!$B$3:$B$102,MATCH($D688,교육과정!$A$3:$A$102,0)),"미등록과정"))</f>
        <v/>
      </c>
      <c r="F688" s="13"/>
      <c r="G688" s="9"/>
      <c r="H688" s="9"/>
    </row>
    <row r="689" customFormat="false" ht="15" hidden="false" customHeight="true" outlineLevel="0" collapsed="false">
      <c r="A689" s="11"/>
      <c r="B689" s="9"/>
      <c r="C689" s="15" t="str">
        <f aca="false">IF($B689="","",IFERROR(INDEX(직원목록!$B$3:$B$302,MATCH($B689,직원목록!$A$3:$A$302,0)),"미등록사번"))</f>
        <v/>
      </c>
      <c r="D689" s="9"/>
      <c r="E689" s="15" t="str">
        <f aca="false">IF($D689="","",IFERROR(INDEX(교육과정!$B$3:$B$102,MATCH($D689,교육과정!$A$3:$A$102,0)),"미등록과정"))</f>
        <v/>
      </c>
      <c r="F689" s="13"/>
      <c r="G689" s="9"/>
      <c r="H689" s="9"/>
    </row>
    <row r="690" customFormat="false" ht="15" hidden="false" customHeight="true" outlineLevel="0" collapsed="false">
      <c r="A690" s="11"/>
      <c r="B690" s="9"/>
      <c r="C690" s="15" t="str">
        <f aca="false">IF($B690="","",IFERROR(INDEX(직원목록!$B$3:$B$302,MATCH($B690,직원목록!$A$3:$A$302,0)),"미등록사번"))</f>
        <v/>
      </c>
      <c r="D690" s="9"/>
      <c r="E690" s="15" t="str">
        <f aca="false">IF($D690="","",IFERROR(INDEX(교육과정!$B$3:$B$102,MATCH($D690,교육과정!$A$3:$A$102,0)),"미등록과정"))</f>
        <v/>
      </c>
      <c r="F690" s="13"/>
      <c r="G690" s="9"/>
      <c r="H690" s="9"/>
    </row>
    <row r="691" customFormat="false" ht="15" hidden="false" customHeight="true" outlineLevel="0" collapsed="false">
      <c r="A691" s="11"/>
      <c r="B691" s="9"/>
      <c r="C691" s="15" t="str">
        <f aca="false">IF($B691="","",IFERROR(INDEX(직원목록!$B$3:$B$302,MATCH($B691,직원목록!$A$3:$A$302,0)),"미등록사번"))</f>
        <v/>
      </c>
      <c r="D691" s="9"/>
      <c r="E691" s="15" t="str">
        <f aca="false">IF($D691="","",IFERROR(INDEX(교육과정!$B$3:$B$102,MATCH($D691,교육과정!$A$3:$A$102,0)),"미등록과정"))</f>
        <v/>
      </c>
      <c r="F691" s="13"/>
      <c r="G691" s="9"/>
      <c r="H691" s="9"/>
    </row>
    <row r="692" customFormat="false" ht="15" hidden="false" customHeight="true" outlineLevel="0" collapsed="false">
      <c r="A692" s="11"/>
      <c r="B692" s="9"/>
      <c r="C692" s="15" t="str">
        <f aca="false">IF($B692="","",IFERROR(INDEX(직원목록!$B$3:$B$302,MATCH($B692,직원목록!$A$3:$A$302,0)),"미등록사번"))</f>
        <v/>
      </c>
      <c r="D692" s="9"/>
      <c r="E692" s="15" t="str">
        <f aca="false">IF($D692="","",IFERROR(INDEX(교육과정!$B$3:$B$102,MATCH($D692,교육과정!$A$3:$A$102,0)),"미등록과정"))</f>
        <v/>
      </c>
      <c r="F692" s="13"/>
      <c r="G692" s="9"/>
      <c r="H692" s="9"/>
    </row>
    <row r="693" customFormat="false" ht="15" hidden="false" customHeight="true" outlineLevel="0" collapsed="false">
      <c r="A693" s="11"/>
      <c r="B693" s="9"/>
      <c r="C693" s="15" t="str">
        <f aca="false">IF($B693="","",IFERROR(INDEX(직원목록!$B$3:$B$302,MATCH($B693,직원목록!$A$3:$A$302,0)),"미등록사번"))</f>
        <v/>
      </c>
      <c r="D693" s="9"/>
      <c r="E693" s="15" t="str">
        <f aca="false">IF($D693="","",IFERROR(INDEX(교육과정!$B$3:$B$102,MATCH($D693,교육과정!$A$3:$A$102,0)),"미등록과정"))</f>
        <v/>
      </c>
      <c r="F693" s="13"/>
      <c r="G693" s="9"/>
      <c r="H693" s="9"/>
    </row>
    <row r="694" customFormat="false" ht="15" hidden="false" customHeight="true" outlineLevel="0" collapsed="false">
      <c r="A694" s="11"/>
      <c r="B694" s="9"/>
      <c r="C694" s="15" t="str">
        <f aca="false">IF($B694="","",IFERROR(INDEX(직원목록!$B$3:$B$302,MATCH($B694,직원목록!$A$3:$A$302,0)),"미등록사번"))</f>
        <v/>
      </c>
      <c r="D694" s="9"/>
      <c r="E694" s="15" t="str">
        <f aca="false">IF($D694="","",IFERROR(INDEX(교육과정!$B$3:$B$102,MATCH($D694,교육과정!$A$3:$A$102,0)),"미등록과정"))</f>
        <v/>
      </c>
      <c r="F694" s="13"/>
      <c r="G694" s="9"/>
      <c r="H694" s="9"/>
    </row>
    <row r="695" customFormat="false" ht="15" hidden="false" customHeight="true" outlineLevel="0" collapsed="false">
      <c r="A695" s="11"/>
      <c r="B695" s="9"/>
      <c r="C695" s="15" t="str">
        <f aca="false">IF($B695="","",IFERROR(INDEX(직원목록!$B$3:$B$302,MATCH($B695,직원목록!$A$3:$A$302,0)),"미등록사번"))</f>
        <v/>
      </c>
      <c r="D695" s="9"/>
      <c r="E695" s="15" t="str">
        <f aca="false">IF($D695="","",IFERROR(INDEX(교육과정!$B$3:$B$102,MATCH($D695,교육과정!$A$3:$A$102,0)),"미등록과정"))</f>
        <v/>
      </c>
      <c r="F695" s="13"/>
      <c r="G695" s="9"/>
      <c r="H695" s="9"/>
    </row>
    <row r="696" customFormat="false" ht="15" hidden="false" customHeight="true" outlineLevel="0" collapsed="false">
      <c r="A696" s="11"/>
      <c r="B696" s="9"/>
      <c r="C696" s="15" t="str">
        <f aca="false">IF($B696="","",IFERROR(INDEX(직원목록!$B$3:$B$302,MATCH($B696,직원목록!$A$3:$A$302,0)),"미등록사번"))</f>
        <v/>
      </c>
      <c r="D696" s="9"/>
      <c r="E696" s="15" t="str">
        <f aca="false">IF($D696="","",IFERROR(INDEX(교육과정!$B$3:$B$102,MATCH($D696,교육과정!$A$3:$A$102,0)),"미등록과정"))</f>
        <v/>
      </c>
      <c r="F696" s="13"/>
      <c r="G696" s="9"/>
      <c r="H696" s="9"/>
    </row>
    <row r="697" customFormat="false" ht="15" hidden="false" customHeight="true" outlineLevel="0" collapsed="false">
      <c r="A697" s="11"/>
      <c r="B697" s="9"/>
      <c r="C697" s="15" t="str">
        <f aca="false">IF($B697="","",IFERROR(INDEX(직원목록!$B$3:$B$302,MATCH($B697,직원목록!$A$3:$A$302,0)),"미등록사번"))</f>
        <v/>
      </c>
      <c r="D697" s="9"/>
      <c r="E697" s="15" t="str">
        <f aca="false">IF($D697="","",IFERROR(INDEX(교육과정!$B$3:$B$102,MATCH($D697,교육과정!$A$3:$A$102,0)),"미등록과정"))</f>
        <v/>
      </c>
      <c r="F697" s="13"/>
      <c r="G697" s="9"/>
      <c r="H697" s="9"/>
    </row>
    <row r="698" customFormat="false" ht="15" hidden="false" customHeight="true" outlineLevel="0" collapsed="false">
      <c r="A698" s="11"/>
      <c r="B698" s="9"/>
      <c r="C698" s="15" t="str">
        <f aca="false">IF($B698="","",IFERROR(INDEX(직원목록!$B$3:$B$302,MATCH($B698,직원목록!$A$3:$A$302,0)),"미등록사번"))</f>
        <v/>
      </c>
      <c r="D698" s="9"/>
      <c r="E698" s="15" t="str">
        <f aca="false">IF($D698="","",IFERROR(INDEX(교육과정!$B$3:$B$102,MATCH($D698,교육과정!$A$3:$A$102,0)),"미등록과정"))</f>
        <v/>
      </c>
      <c r="F698" s="13"/>
      <c r="G698" s="9"/>
      <c r="H698" s="9"/>
    </row>
    <row r="699" customFormat="false" ht="15" hidden="false" customHeight="true" outlineLevel="0" collapsed="false">
      <c r="A699" s="11"/>
      <c r="B699" s="9"/>
      <c r="C699" s="15" t="str">
        <f aca="false">IF($B699="","",IFERROR(INDEX(직원목록!$B$3:$B$302,MATCH($B699,직원목록!$A$3:$A$302,0)),"미등록사번"))</f>
        <v/>
      </c>
      <c r="D699" s="9"/>
      <c r="E699" s="15" t="str">
        <f aca="false">IF($D699="","",IFERROR(INDEX(교육과정!$B$3:$B$102,MATCH($D699,교육과정!$A$3:$A$102,0)),"미등록과정"))</f>
        <v/>
      </c>
      <c r="F699" s="13"/>
      <c r="G699" s="9"/>
      <c r="H699" s="9"/>
    </row>
    <row r="700" customFormat="false" ht="15" hidden="false" customHeight="true" outlineLevel="0" collapsed="false">
      <c r="A700" s="11"/>
      <c r="B700" s="9"/>
      <c r="C700" s="15" t="str">
        <f aca="false">IF($B700="","",IFERROR(INDEX(직원목록!$B$3:$B$302,MATCH($B700,직원목록!$A$3:$A$302,0)),"미등록사번"))</f>
        <v/>
      </c>
      <c r="D700" s="9"/>
      <c r="E700" s="15" t="str">
        <f aca="false">IF($D700="","",IFERROR(INDEX(교육과정!$B$3:$B$102,MATCH($D700,교육과정!$A$3:$A$102,0)),"미등록과정"))</f>
        <v/>
      </c>
      <c r="F700" s="13"/>
      <c r="G700" s="9"/>
      <c r="H700" s="9"/>
    </row>
    <row r="701" customFormat="false" ht="15" hidden="false" customHeight="true" outlineLevel="0" collapsed="false">
      <c r="A701" s="11"/>
      <c r="B701" s="9"/>
      <c r="C701" s="15" t="str">
        <f aca="false">IF($B701="","",IFERROR(INDEX(직원목록!$B$3:$B$302,MATCH($B701,직원목록!$A$3:$A$302,0)),"미등록사번"))</f>
        <v/>
      </c>
      <c r="D701" s="9"/>
      <c r="E701" s="15" t="str">
        <f aca="false">IF($D701="","",IFERROR(INDEX(교육과정!$B$3:$B$102,MATCH($D701,교육과정!$A$3:$A$102,0)),"미등록과정"))</f>
        <v/>
      </c>
      <c r="F701" s="13"/>
      <c r="G701" s="9"/>
      <c r="H701" s="9"/>
    </row>
    <row r="702" customFormat="false" ht="15" hidden="false" customHeight="true" outlineLevel="0" collapsed="false">
      <c r="A702" s="11"/>
      <c r="B702" s="9"/>
      <c r="C702" s="15" t="str">
        <f aca="false">IF($B702="","",IFERROR(INDEX(직원목록!$B$3:$B$302,MATCH($B702,직원목록!$A$3:$A$302,0)),"미등록사번"))</f>
        <v/>
      </c>
      <c r="D702" s="9"/>
      <c r="E702" s="15" t="str">
        <f aca="false">IF($D702="","",IFERROR(INDEX(교육과정!$B$3:$B$102,MATCH($D702,교육과정!$A$3:$A$102,0)),"미등록과정"))</f>
        <v/>
      </c>
      <c r="F702" s="13"/>
      <c r="G702" s="9"/>
      <c r="H702" s="9"/>
    </row>
    <row r="703" customFormat="false" ht="15" hidden="false" customHeight="true" outlineLevel="0" collapsed="false">
      <c r="A703" s="11"/>
      <c r="B703" s="9"/>
      <c r="C703" s="15" t="str">
        <f aca="false">IF($B703="","",IFERROR(INDEX(직원목록!$B$3:$B$302,MATCH($B703,직원목록!$A$3:$A$302,0)),"미등록사번"))</f>
        <v/>
      </c>
      <c r="D703" s="9"/>
      <c r="E703" s="15" t="str">
        <f aca="false">IF($D703="","",IFERROR(INDEX(교육과정!$B$3:$B$102,MATCH($D703,교육과정!$A$3:$A$102,0)),"미등록과정"))</f>
        <v/>
      </c>
      <c r="F703" s="13"/>
      <c r="G703" s="9"/>
      <c r="H703" s="9"/>
    </row>
    <row r="704" customFormat="false" ht="15" hidden="false" customHeight="true" outlineLevel="0" collapsed="false">
      <c r="A704" s="11"/>
      <c r="B704" s="9"/>
      <c r="C704" s="15" t="str">
        <f aca="false">IF($B704="","",IFERROR(INDEX(직원목록!$B$3:$B$302,MATCH($B704,직원목록!$A$3:$A$302,0)),"미등록사번"))</f>
        <v/>
      </c>
      <c r="D704" s="9"/>
      <c r="E704" s="15" t="str">
        <f aca="false">IF($D704="","",IFERROR(INDEX(교육과정!$B$3:$B$102,MATCH($D704,교육과정!$A$3:$A$102,0)),"미등록과정"))</f>
        <v/>
      </c>
      <c r="F704" s="13"/>
      <c r="G704" s="9"/>
      <c r="H704" s="9"/>
    </row>
    <row r="705" customFormat="false" ht="15" hidden="false" customHeight="true" outlineLevel="0" collapsed="false">
      <c r="A705" s="11"/>
      <c r="B705" s="9"/>
      <c r="C705" s="15" t="str">
        <f aca="false">IF($B705="","",IFERROR(INDEX(직원목록!$B$3:$B$302,MATCH($B705,직원목록!$A$3:$A$302,0)),"미등록사번"))</f>
        <v/>
      </c>
      <c r="D705" s="9"/>
      <c r="E705" s="15" t="str">
        <f aca="false">IF($D705="","",IFERROR(INDEX(교육과정!$B$3:$B$102,MATCH($D705,교육과정!$A$3:$A$102,0)),"미등록과정"))</f>
        <v/>
      </c>
      <c r="F705" s="13"/>
      <c r="G705" s="9"/>
      <c r="H705" s="9"/>
    </row>
    <row r="706" customFormat="false" ht="15" hidden="false" customHeight="true" outlineLevel="0" collapsed="false">
      <c r="A706" s="11"/>
      <c r="B706" s="9"/>
      <c r="C706" s="15" t="str">
        <f aca="false">IF($B706="","",IFERROR(INDEX(직원목록!$B$3:$B$302,MATCH($B706,직원목록!$A$3:$A$302,0)),"미등록사번"))</f>
        <v/>
      </c>
      <c r="D706" s="9"/>
      <c r="E706" s="15" t="str">
        <f aca="false">IF($D706="","",IFERROR(INDEX(교육과정!$B$3:$B$102,MATCH($D706,교육과정!$A$3:$A$102,0)),"미등록과정"))</f>
        <v/>
      </c>
      <c r="F706" s="13"/>
      <c r="G706" s="9"/>
      <c r="H706" s="9"/>
    </row>
    <row r="707" customFormat="false" ht="15" hidden="false" customHeight="true" outlineLevel="0" collapsed="false">
      <c r="A707" s="11"/>
      <c r="B707" s="9"/>
      <c r="C707" s="15" t="str">
        <f aca="false">IF($B707="","",IFERROR(INDEX(직원목록!$B$3:$B$302,MATCH($B707,직원목록!$A$3:$A$302,0)),"미등록사번"))</f>
        <v/>
      </c>
      <c r="D707" s="9"/>
      <c r="E707" s="15" t="str">
        <f aca="false">IF($D707="","",IFERROR(INDEX(교육과정!$B$3:$B$102,MATCH($D707,교육과정!$A$3:$A$102,0)),"미등록과정"))</f>
        <v/>
      </c>
      <c r="F707" s="13"/>
      <c r="G707" s="9"/>
      <c r="H707" s="9"/>
    </row>
    <row r="708" customFormat="false" ht="15" hidden="false" customHeight="true" outlineLevel="0" collapsed="false">
      <c r="A708" s="11"/>
      <c r="B708" s="9"/>
      <c r="C708" s="15" t="str">
        <f aca="false">IF($B708="","",IFERROR(INDEX(직원목록!$B$3:$B$302,MATCH($B708,직원목록!$A$3:$A$302,0)),"미등록사번"))</f>
        <v/>
      </c>
      <c r="D708" s="9"/>
      <c r="E708" s="15" t="str">
        <f aca="false">IF($D708="","",IFERROR(INDEX(교육과정!$B$3:$B$102,MATCH($D708,교육과정!$A$3:$A$102,0)),"미등록과정"))</f>
        <v/>
      </c>
      <c r="F708" s="13"/>
      <c r="G708" s="9"/>
      <c r="H708" s="9"/>
    </row>
    <row r="709" customFormat="false" ht="15" hidden="false" customHeight="true" outlineLevel="0" collapsed="false">
      <c r="A709" s="11"/>
      <c r="B709" s="9"/>
      <c r="C709" s="15" t="str">
        <f aca="false">IF($B709="","",IFERROR(INDEX(직원목록!$B$3:$B$302,MATCH($B709,직원목록!$A$3:$A$302,0)),"미등록사번"))</f>
        <v/>
      </c>
      <c r="D709" s="9"/>
      <c r="E709" s="15" t="str">
        <f aca="false">IF($D709="","",IFERROR(INDEX(교육과정!$B$3:$B$102,MATCH($D709,교육과정!$A$3:$A$102,0)),"미등록과정"))</f>
        <v/>
      </c>
      <c r="F709" s="13"/>
      <c r="G709" s="9"/>
      <c r="H709" s="9"/>
    </row>
    <row r="710" customFormat="false" ht="15" hidden="false" customHeight="true" outlineLevel="0" collapsed="false">
      <c r="A710" s="11"/>
      <c r="B710" s="9"/>
      <c r="C710" s="15" t="str">
        <f aca="false">IF($B710="","",IFERROR(INDEX(직원목록!$B$3:$B$302,MATCH($B710,직원목록!$A$3:$A$302,0)),"미등록사번"))</f>
        <v/>
      </c>
      <c r="D710" s="9"/>
      <c r="E710" s="15" t="str">
        <f aca="false">IF($D710="","",IFERROR(INDEX(교육과정!$B$3:$B$102,MATCH($D710,교육과정!$A$3:$A$102,0)),"미등록과정"))</f>
        <v/>
      </c>
      <c r="F710" s="13"/>
      <c r="G710" s="9"/>
      <c r="H710" s="9"/>
    </row>
    <row r="711" customFormat="false" ht="15" hidden="false" customHeight="true" outlineLevel="0" collapsed="false">
      <c r="A711" s="11"/>
      <c r="B711" s="9"/>
      <c r="C711" s="15" t="str">
        <f aca="false">IF($B711="","",IFERROR(INDEX(직원목록!$B$3:$B$302,MATCH($B711,직원목록!$A$3:$A$302,0)),"미등록사번"))</f>
        <v/>
      </c>
      <c r="D711" s="9"/>
      <c r="E711" s="15" t="str">
        <f aca="false">IF($D711="","",IFERROR(INDEX(교육과정!$B$3:$B$102,MATCH($D711,교육과정!$A$3:$A$102,0)),"미등록과정"))</f>
        <v/>
      </c>
      <c r="F711" s="13"/>
      <c r="G711" s="9"/>
      <c r="H711" s="9"/>
    </row>
    <row r="712" customFormat="false" ht="15" hidden="false" customHeight="true" outlineLevel="0" collapsed="false">
      <c r="A712" s="11"/>
      <c r="B712" s="9"/>
      <c r="C712" s="15" t="str">
        <f aca="false">IF($B712="","",IFERROR(INDEX(직원목록!$B$3:$B$302,MATCH($B712,직원목록!$A$3:$A$302,0)),"미등록사번"))</f>
        <v/>
      </c>
      <c r="D712" s="9"/>
      <c r="E712" s="15" t="str">
        <f aca="false">IF($D712="","",IFERROR(INDEX(교육과정!$B$3:$B$102,MATCH($D712,교육과정!$A$3:$A$102,0)),"미등록과정"))</f>
        <v/>
      </c>
      <c r="F712" s="13"/>
      <c r="G712" s="9"/>
      <c r="H712" s="9"/>
    </row>
    <row r="713" customFormat="false" ht="15" hidden="false" customHeight="true" outlineLevel="0" collapsed="false">
      <c r="A713" s="11"/>
      <c r="B713" s="9"/>
      <c r="C713" s="15" t="str">
        <f aca="false">IF($B713="","",IFERROR(INDEX(직원목록!$B$3:$B$302,MATCH($B713,직원목록!$A$3:$A$302,0)),"미등록사번"))</f>
        <v/>
      </c>
      <c r="D713" s="9"/>
      <c r="E713" s="15" t="str">
        <f aca="false">IF($D713="","",IFERROR(INDEX(교육과정!$B$3:$B$102,MATCH($D713,교육과정!$A$3:$A$102,0)),"미등록과정"))</f>
        <v/>
      </c>
      <c r="F713" s="13"/>
      <c r="G713" s="9"/>
      <c r="H713" s="9"/>
    </row>
    <row r="714" customFormat="false" ht="15" hidden="false" customHeight="true" outlineLevel="0" collapsed="false">
      <c r="A714" s="11"/>
      <c r="B714" s="9"/>
      <c r="C714" s="15" t="str">
        <f aca="false">IF($B714="","",IFERROR(INDEX(직원목록!$B$3:$B$302,MATCH($B714,직원목록!$A$3:$A$302,0)),"미등록사번"))</f>
        <v/>
      </c>
      <c r="D714" s="9"/>
      <c r="E714" s="15" t="str">
        <f aca="false">IF($D714="","",IFERROR(INDEX(교육과정!$B$3:$B$102,MATCH($D714,교육과정!$A$3:$A$102,0)),"미등록과정"))</f>
        <v/>
      </c>
      <c r="F714" s="13"/>
      <c r="G714" s="9"/>
      <c r="H714" s="9"/>
    </row>
    <row r="715" customFormat="false" ht="15" hidden="false" customHeight="true" outlineLevel="0" collapsed="false">
      <c r="A715" s="11"/>
      <c r="B715" s="9"/>
      <c r="C715" s="15" t="str">
        <f aca="false">IF($B715="","",IFERROR(INDEX(직원목록!$B$3:$B$302,MATCH($B715,직원목록!$A$3:$A$302,0)),"미등록사번"))</f>
        <v/>
      </c>
      <c r="D715" s="9"/>
      <c r="E715" s="15" t="str">
        <f aca="false">IF($D715="","",IFERROR(INDEX(교육과정!$B$3:$B$102,MATCH($D715,교육과정!$A$3:$A$102,0)),"미등록과정"))</f>
        <v/>
      </c>
      <c r="F715" s="13"/>
      <c r="G715" s="9"/>
      <c r="H715" s="9"/>
    </row>
    <row r="716" customFormat="false" ht="15" hidden="false" customHeight="true" outlineLevel="0" collapsed="false">
      <c r="A716" s="11"/>
      <c r="B716" s="9"/>
      <c r="C716" s="15" t="str">
        <f aca="false">IF($B716="","",IFERROR(INDEX(직원목록!$B$3:$B$302,MATCH($B716,직원목록!$A$3:$A$302,0)),"미등록사번"))</f>
        <v/>
      </c>
      <c r="D716" s="9"/>
      <c r="E716" s="15" t="str">
        <f aca="false">IF($D716="","",IFERROR(INDEX(교육과정!$B$3:$B$102,MATCH($D716,교육과정!$A$3:$A$102,0)),"미등록과정"))</f>
        <v/>
      </c>
      <c r="F716" s="13"/>
      <c r="G716" s="9"/>
      <c r="H716" s="9"/>
    </row>
    <row r="717" customFormat="false" ht="15" hidden="false" customHeight="true" outlineLevel="0" collapsed="false">
      <c r="A717" s="11"/>
      <c r="B717" s="9"/>
      <c r="C717" s="15" t="str">
        <f aca="false">IF($B717="","",IFERROR(INDEX(직원목록!$B$3:$B$302,MATCH($B717,직원목록!$A$3:$A$302,0)),"미등록사번"))</f>
        <v/>
      </c>
      <c r="D717" s="9"/>
      <c r="E717" s="15" t="str">
        <f aca="false">IF($D717="","",IFERROR(INDEX(교육과정!$B$3:$B$102,MATCH($D717,교육과정!$A$3:$A$102,0)),"미등록과정"))</f>
        <v/>
      </c>
      <c r="F717" s="13"/>
      <c r="G717" s="9"/>
      <c r="H717" s="9"/>
    </row>
    <row r="718" customFormat="false" ht="15" hidden="false" customHeight="true" outlineLevel="0" collapsed="false">
      <c r="A718" s="11"/>
      <c r="B718" s="9"/>
      <c r="C718" s="15" t="str">
        <f aca="false">IF($B718="","",IFERROR(INDEX(직원목록!$B$3:$B$302,MATCH($B718,직원목록!$A$3:$A$302,0)),"미등록사번"))</f>
        <v/>
      </c>
      <c r="D718" s="9"/>
      <c r="E718" s="15" t="str">
        <f aca="false">IF($D718="","",IFERROR(INDEX(교육과정!$B$3:$B$102,MATCH($D718,교육과정!$A$3:$A$102,0)),"미등록과정"))</f>
        <v/>
      </c>
      <c r="F718" s="13"/>
      <c r="G718" s="9"/>
      <c r="H718" s="9"/>
    </row>
    <row r="719" customFormat="false" ht="15" hidden="false" customHeight="true" outlineLevel="0" collapsed="false">
      <c r="A719" s="11"/>
      <c r="B719" s="9"/>
      <c r="C719" s="15" t="str">
        <f aca="false">IF($B719="","",IFERROR(INDEX(직원목록!$B$3:$B$302,MATCH($B719,직원목록!$A$3:$A$302,0)),"미등록사번"))</f>
        <v/>
      </c>
      <c r="D719" s="9"/>
      <c r="E719" s="15" t="str">
        <f aca="false">IF($D719="","",IFERROR(INDEX(교육과정!$B$3:$B$102,MATCH($D719,교육과정!$A$3:$A$102,0)),"미등록과정"))</f>
        <v/>
      </c>
      <c r="F719" s="13"/>
      <c r="G719" s="9"/>
      <c r="H719" s="9"/>
    </row>
    <row r="720" customFormat="false" ht="15" hidden="false" customHeight="true" outlineLevel="0" collapsed="false">
      <c r="A720" s="11"/>
      <c r="B720" s="9"/>
      <c r="C720" s="15" t="str">
        <f aca="false">IF($B720="","",IFERROR(INDEX(직원목록!$B$3:$B$302,MATCH($B720,직원목록!$A$3:$A$302,0)),"미등록사번"))</f>
        <v/>
      </c>
      <c r="D720" s="9"/>
      <c r="E720" s="15" t="str">
        <f aca="false">IF($D720="","",IFERROR(INDEX(교육과정!$B$3:$B$102,MATCH($D720,교육과정!$A$3:$A$102,0)),"미등록과정"))</f>
        <v/>
      </c>
      <c r="F720" s="13"/>
      <c r="G720" s="9"/>
      <c r="H720" s="9"/>
    </row>
    <row r="721" customFormat="false" ht="15" hidden="false" customHeight="true" outlineLevel="0" collapsed="false">
      <c r="A721" s="11"/>
      <c r="B721" s="9"/>
      <c r="C721" s="15" t="str">
        <f aca="false">IF($B721="","",IFERROR(INDEX(직원목록!$B$3:$B$302,MATCH($B721,직원목록!$A$3:$A$302,0)),"미등록사번"))</f>
        <v/>
      </c>
      <c r="D721" s="9"/>
      <c r="E721" s="15" t="str">
        <f aca="false">IF($D721="","",IFERROR(INDEX(교육과정!$B$3:$B$102,MATCH($D721,교육과정!$A$3:$A$102,0)),"미등록과정"))</f>
        <v/>
      </c>
      <c r="F721" s="13"/>
      <c r="G721" s="9"/>
      <c r="H721" s="9"/>
    </row>
    <row r="722" customFormat="false" ht="15" hidden="false" customHeight="true" outlineLevel="0" collapsed="false">
      <c r="A722" s="11"/>
      <c r="B722" s="9"/>
      <c r="C722" s="15" t="str">
        <f aca="false">IF($B722="","",IFERROR(INDEX(직원목록!$B$3:$B$302,MATCH($B722,직원목록!$A$3:$A$302,0)),"미등록사번"))</f>
        <v/>
      </c>
      <c r="D722" s="9"/>
      <c r="E722" s="15" t="str">
        <f aca="false">IF($D722="","",IFERROR(INDEX(교육과정!$B$3:$B$102,MATCH($D722,교육과정!$A$3:$A$102,0)),"미등록과정"))</f>
        <v/>
      </c>
      <c r="F722" s="13"/>
      <c r="G722" s="9"/>
      <c r="H722" s="9"/>
    </row>
    <row r="723" customFormat="false" ht="15" hidden="false" customHeight="true" outlineLevel="0" collapsed="false">
      <c r="A723" s="11"/>
      <c r="B723" s="9"/>
      <c r="C723" s="15" t="str">
        <f aca="false">IF($B723="","",IFERROR(INDEX(직원목록!$B$3:$B$302,MATCH($B723,직원목록!$A$3:$A$302,0)),"미등록사번"))</f>
        <v/>
      </c>
      <c r="D723" s="9"/>
      <c r="E723" s="15" t="str">
        <f aca="false">IF($D723="","",IFERROR(INDEX(교육과정!$B$3:$B$102,MATCH($D723,교육과정!$A$3:$A$102,0)),"미등록과정"))</f>
        <v/>
      </c>
      <c r="F723" s="13"/>
      <c r="G723" s="9"/>
      <c r="H723" s="9"/>
    </row>
    <row r="724" customFormat="false" ht="15" hidden="false" customHeight="true" outlineLevel="0" collapsed="false">
      <c r="A724" s="11"/>
      <c r="B724" s="9"/>
      <c r="C724" s="15" t="str">
        <f aca="false">IF($B724="","",IFERROR(INDEX(직원목록!$B$3:$B$302,MATCH($B724,직원목록!$A$3:$A$302,0)),"미등록사번"))</f>
        <v/>
      </c>
      <c r="D724" s="9"/>
      <c r="E724" s="15" t="str">
        <f aca="false">IF($D724="","",IFERROR(INDEX(교육과정!$B$3:$B$102,MATCH($D724,교육과정!$A$3:$A$102,0)),"미등록과정"))</f>
        <v/>
      </c>
      <c r="F724" s="13"/>
      <c r="G724" s="9"/>
      <c r="H724" s="9"/>
    </row>
    <row r="725" customFormat="false" ht="15" hidden="false" customHeight="true" outlineLevel="0" collapsed="false">
      <c r="A725" s="11"/>
      <c r="B725" s="9"/>
      <c r="C725" s="15" t="str">
        <f aca="false">IF($B725="","",IFERROR(INDEX(직원목록!$B$3:$B$302,MATCH($B725,직원목록!$A$3:$A$302,0)),"미등록사번"))</f>
        <v/>
      </c>
      <c r="D725" s="9"/>
      <c r="E725" s="15" t="str">
        <f aca="false">IF($D725="","",IFERROR(INDEX(교육과정!$B$3:$B$102,MATCH($D725,교육과정!$A$3:$A$102,0)),"미등록과정"))</f>
        <v/>
      </c>
      <c r="F725" s="13"/>
      <c r="G725" s="9"/>
      <c r="H725" s="9"/>
    </row>
    <row r="726" customFormat="false" ht="15" hidden="false" customHeight="true" outlineLevel="0" collapsed="false">
      <c r="A726" s="11"/>
      <c r="B726" s="9"/>
      <c r="C726" s="15" t="str">
        <f aca="false">IF($B726="","",IFERROR(INDEX(직원목록!$B$3:$B$302,MATCH($B726,직원목록!$A$3:$A$302,0)),"미등록사번"))</f>
        <v/>
      </c>
      <c r="D726" s="9"/>
      <c r="E726" s="15" t="str">
        <f aca="false">IF($D726="","",IFERROR(INDEX(교육과정!$B$3:$B$102,MATCH($D726,교육과정!$A$3:$A$102,0)),"미등록과정"))</f>
        <v/>
      </c>
      <c r="F726" s="13"/>
      <c r="G726" s="9"/>
      <c r="H726" s="9"/>
    </row>
    <row r="727" customFormat="false" ht="15" hidden="false" customHeight="true" outlineLevel="0" collapsed="false">
      <c r="A727" s="11"/>
      <c r="B727" s="9"/>
      <c r="C727" s="15" t="str">
        <f aca="false">IF($B727="","",IFERROR(INDEX(직원목록!$B$3:$B$302,MATCH($B727,직원목록!$A$3:$A$302,0)),"미등록사번"))</f>
        <v/>
      </c>
      <c r="D727" s="9"/>
      <c r="E727" s="15" t="str">
        <f aca="false">IF($D727="","",IFERROR(INDEX(교육과정!$B$3:$B$102,MATCH($D727,교육과정!$A$3:$A$102,0)),"미등록과정"))</f>
        <v/>
      </c>
      <c r="F727" s="13"/>
      <c r="G727" s="9"/>
      <c r="H727" s="9"/>
    </row>
    <row r="728" customFormat="false" ht="15" hidden="false" customHeight="true" outlineLevel="0" collapsed="false">
      <c r="A728" s="11"/>
      <c r="B728" s="9"/>
      <c r="C728" s="15" t="str">
        <f aca="false">IF($B728="","",IFERROR(INDEX(직원목록!$B$3:$B$302,MATCH($B728,직원목록!$A$3:$A$302,0)),"미등록사번"))</f>
        <v/>
      </c>
      <c r="D728" s="9"/>
      <c r="E728" s="15" t="str">
        <f aca="false">IF($D728="","",IFERROR(INDEX(교육과정!$B$3:$B$102,MATCH($D728,교육과정!$A$3:$A$102,0)),"미등록과정"))</f>
        <v/>
      </c>
      <c r="F728" s="13"/>
      <c r="G728" s="9"/>
      <c r="H728" s="9"/>
    </row>
    <row r="729" customFormat="false" ht="15" hidden="false" customHeight="true" outlineLevel="0" collapsed="false">
      <c r="A729" s="11"/>
      <c r="B729" s="9"/>
      <c r="C729" s="15" t="str">
        <f aca="false">IF($B729="","",IFERROR(INDEX(직원목록!$B$3:$B$302,MATCH($B729,직원목록!$A$3:$A$302,0)),"미등록사번"))</f>
        <v/>
      </c>
      <c r="D729" s="9"/>
      <c r="E729" s="15" t="str">
        <f aca="false">IF($D729="","",IFERROR(INDEX(교육과정!$B$3:$B$102,MATCH($D729,교육과정!$A$3:$A$102,0)),"미등록과정"))</f>
        <v/>
      </c>
      <c r="F729" s="13"/>
      <c r="G729" s="9"/>
      <c r="H729" s="9"/>
    </row>
    <row r="730" customFormat="false" ht="15" hidden="false" customHeight="true" outlineLevel="0" collapsed="false">
      <c r="A730" s="11"/>
      <c r="B730" s="9"/>
      <c r="C730" s="15" t="str">
        <f aca="false">IF($B730="","",IFERROR(INDEX(직원목록!$B$3:$B$302,MATCH($B730,직원목록!$A$3:$A$302,0)),"미등록사번"))</f>
        <v/>
      </c>
      <c r="D730" s="9"/>
      <c r="E730" s="15" t="str">
        <f aca="false">IF($D730="","",IFERROR(INDEX(교육과정!$B$3:$B$102,MATCH($D730,교육과정!$A$3:$A$102,0)),"미등록과정"))</f>
        <v/>
      </c>
      <c r="F730" s="13"/>
      <c r="G730" s="9"/>
      <c r="H730" s="9"/>
    </row>
    <row r="731" customFormat="false" ht="15" hidden="false" customHeight="true" outlineLevel="0" collapsed="false">
      <c r="A731" s="11"/>
      <c r="B731" s="9"/>
      <c r="C731" s="15" t="str">
        <f aca="false">IF($B731="","",IFERROR(INDEX(직원목록!$B$3:$B$302,MATCH($B731,직원목록!$A$3:$A$302,0)),"미등록사번"))</f>
        <v/>
      </c>
      <c r="D731" s="9"/>
      <c r="E731" s="15" t="str">
        <f aca="false">IF($D731="","",IFERROR(INDEX(교육과정!$B$3:$B$102,MATCH($D731,교육과정!$A$3:$A$102,0)),"미등록과정"))</f>
        <v/>
      </c>
      <c r="F731" s="13"/>
      <c r="G731" s="9"/>
      <c r="H731" s="9"/>
    </row>
    <row r="732" customFormat="false" ht="15" hidden="false" customHeight="true" outlineLevel="0" collapsed="false">
      <c r="A732" s="11"/>
      <c r="B732" s="9"/>
      <c r="C732" s="15" t="str">
        <f aca="false">IF($B732="","",IFERROR(INDEX(직원목록!$B$3:$B$302,MATCH($B732,직원목록!$A$3:$A$302,0)),"미등록사번"))</f>
        <v/>
      </c>
      <c r="D732" s="9"/>
      <c r="E732" s="15" t="str">
        <f aca="false">IF($D732="","",IFERROR(INDEX(교육과정!$B$3:$B$102,MATCH($D732,교육과정!$A$3:$A$102,0)),"미등록과정"))</f>
        <v/>
      </c>
      <c r="F732" s="13"/>
      <c r="G732" s="9"/>
      <c r="H732" s="9"/>
    </row>
    <row r="733" customFormat="false" ht="15" hidden="false" customHeight="true" outlineLevel="0" collapsed="false">
      <c r="A733" s="11"/>
      <c r="B733" s="9"/>
      <c r="C733" s="15" t="str">
        <f aca="false">IF($B733="","",IFERROR(INDEX(직원목록!$B$3:$B$302,MATCH($B733,직원목록!$A$3:$A$302,0)),"미등록사번"))</f>
        <v/>
      </c>
      <c r="D733" s="9"/>
      <c r="E733" s="15" t="str">
        <f aca="false">IF($D733="","",IFERROR(INDEX(교육과정!$B$3:$B$102,MATCH($D733,교육과정!$A$3:$A$102,0)),"미등록과정"))</f>
        <v/>
      </c>
      <c r="F733" s="13"/>
      <c r="G733" s="9"/>
      <c r="H733" s="9"/>
    </row>
    <row r="734" customFormat="false" ht="15" hidden="false" customHeight="true" outlineLevel="0" collapsed="false">
      <c r="A734" s="11"/>
      <c r="B734" s="9"/>
      <c r="C734" s="15" t="str">
        <f aca="false">IF($B734="","",IFERROR(INDEX(직원목록!$B$3:$B$302,MATCH($B734,직원목록!$A$3:$A$302,0)),"미등록사번"))</f>
        <v/>
      </c>
      <c r="D734" s="9"/>
      <c r="E734" s="15" t="str">
        <f aca="false">IF($D734="","",IFERROR(INDEX(교육과정!$B$3:$B$102,MATCH($D734,교육과정!$A$3:$A$102,0)),"미등록과정"))</f>
        <v/>
      </c>
      <c r="F734" s="13"/>
      <c r="G734" s="9"/>
      <c r="H734" s="9"/>
    </row>
    <row r="735" customFormat="false" ht="15" hidden="false" customHeight="true" outlineLevel="0" collapsed="false">
      <c r="A735" s="11"/>
      <c r="B735" s="9"/>
      <c r="C735" s="15" t="str">
        <f aca="false">IF($B735="","",IFERROR(INDEX(직원목록!$B$3:$B$302,MATCH($B735,직원목록!$A$3:$A$302,0)),"미등록사번"))</f>
        <v/>
      </c>
      <c r="D735" s="9"/>
      <c r="E735" s="15" t="str">
        <f aca="false">IF($D735="","",IFERROR(INDEX(교육과정!$B$3:$B$102,MATCH($D735,교육과정!$A$3:$A$102,0)),"미등록과정"))</f>
        <v/>
      </c>
      <c r="F735" s="13"/>
      <c r="G735" s="9"/>
      <c r="H735" s="9"/>
    </row>
    <row r="736" customFormat="false" ht="15" hidden="false" customHeight="true" outlineLevel="0" collapsed="false">
      <c r="A736" s="11"/>
      <c r="B736" s="9"/>
      <c r="C736" s="15" t="str">
        <f aca="false">IF($B736="","",IFERROR(INDEX(직원목록!$B$3:$B$302,MATCH($B736,직원목록!$A$3:$A$302,0)),"미등록사번"))</f>
        <v/>
      </c>
      <c r="D736" s="9"/>
      <c r="E736" s="15" t="str">
        <f aca="false">IF($D736="","",IFERROR(INDEX(교육과정!$B$3:$B$102,MATCH($D736,교육과정!$A$3:$A$102,0)),"미등록과정"))</f>
        <v/>
      </c>
      <c r="F736" s="13"/>
      <c r="G736" s="9"/>
      <c r="H736" s="9"/>
    </row>
    <row r="737" customFormat="false" ht="15" hidden="false" customHeight="true" outlineLevel="0" collapsed="false">
      <c r="A737" s="11"/>
      <c r="B737" s="9"/>
      <c r="C737" s="15" t="str">
        <f aca="false">IF($B737="","",IFERROR(INDEX(직원목록!$B$3:$B$302,MATCH($B737,직원목록!$A$3:$A$302,0)),"미등록사번"))</f>
        <v/>
      </c>
      <c r="D737" s="9"/>
      <c r="E737" s="15" t="str">
        <f aca="false">IF($D737="","",IFERROR(INDEX(교육과정!$B$3:$B$102,MATCH($D737,교육과정!$A$3:$A$102,0)),"미등록과정"))</f>
        <v/>
      </c>
      <c r="F737" s="13"/>
      <c r="G737" s="9"/>
      <c r="H737" s="9"/>
    </row>
    <row r="738" customFormat="false" ht="15" hidden="false" customHeight="true" outlineLevel="0" collapsed="false">
      <c r="A738" s="11"/>
      <c r="B738" s="9"/>
      <c r="C738" s="15" t="str">
        <f aca="false">IF($B738="","",IFERROR(INDEX(직원목록!$B$3:$B$302,MATCH($B738,직원목록!$A$3:$A$302,0)),"미등록사번"))</f>
        <v/>
      </c>
      <c r="D738" s="9"/>
      <c r="E738" s="15" t="str">
        <f aca="false">IF($D738="","",IFERROR(INDEX(교육과정!$B$3:$B$102,MATCH($D738,교육과정!$A$3:$A$102,0)),"미등록과정"))</f>
        <v/>
      </c>
      <c r="F738" s="13"/>
      <c r="G738" s="9"/>
      <c r="H738" s="9"/>
    </row>
    <row r="739" customFormat="false" ht="15" hidden="false" customHeight="true" outlineLevel="0" collapsed="false">
      <c r="A739" s="11"/>
      <c r="B739" s="9"/>
      <c r="C739" s="15" t="str">
        <f aca="false">IF($B739="","",IFERROR(INDEX(직원목록!$B$3:$B$302,MATCH($B739,직원목록!$A$3:$A$302,0)),"미등록사번"))</f>
        <v/>
      </c>
      <c r="D739" s="9"/>
      <c r="E739" s="15" t="str">
        <f aca="false">IF($D739="","",IFERROR(INDEX(교육과정!$B$3:$B$102,MATCH($D739,교육과정!$A$3:$A$102,0)),"미등록과정"))</f>
        <v/>
      </c>
      <c r="F739" s="13"/>
      <c r="G739" s="9"/>
      <c r="H739" s="9"/>
    </row>
    <row r="740" customFormat="false" ht="15" hidden="false" customHeight="true" outlineLevel="0" collapsed="false">
      <c r="A740" s="11"/>
      <c r="B740" s="9"/>
      <c r="C740" s="15" t="str">
        <f aca="false">IF($B740="","",IFERROR(INDEX(직원목록!$B$3:$B$302,MATCH($B740,직원목록!$A$3:$A$302,0)),"미등록사번"))</f>
        <v/>
      </c>
      <c r="D740" s="9"/>
      <c r="E740" s="15" t="str">
        <f aca="false">IF($D740="","",IFERROR(INDEX(교육과정!$B$3:$B$102,MATCH($D740,교육과정!$A$3:$A$102,0)),"미등록과정"))</f>
        <v/>
      </c>
      <c r="F740" s="13"/>
      <c r="G740" s="9"/>
      <c r="H740" s="9"/>
    </row>
    <row r="741" customFormat="false" ht="15" hidden="false" customHeight="true" outlineLevel="0" collapsed="false">
      <c r="A741" s="11"/>
      <c r="B741" s="9"/>
      <c r="C741" s="15" t="str">
        <f aca="false">IF($B741="","",IFERROR(INDEX(직원목록!$B$3:$B$302,MATCH($B741,직원목록!$A$3:$A$302,0)),"미등록사번"))</f>
        <v/>
      </c>
      <c r="D741" s="9"/>
      <c r="E741" s="15" t="str">
        <f aca="false">IF($D741="","",IFERROR(INDEX(교육과정!$B$3:$B$102,MATCH($D741,교육과정!$A$3:$A$102,0)),"미등록과정"))</f>
        <v/>
      </c>
      <c r="F741" s="13"/>
      <c r="G741" s="9"/>
      <c r="H741" s="9"/>
    </row>
    <row r="742" customFormat="false" ht="15" hidden="false" customHeight="true" outlineLevel="0" collapsed="false">
      <c r="A742" s="11"/>
      <c r="B742" s="9"/>
      <c r="C742" s="15" t="str">
        <f aca="false">IF($B742="","",IFERROR(INDEX(직원목록!$B$3:$B$302,MATCH($B742,직원목록!$A$3:$A$302,0)),"미등록사번"))</f>
        <v/>
      </c>
      <c r="D742" s="9"/>
      <c r="E742" s="15" t="str">
        <f aca="false">IF($D742="","",IFERROR(INDEX(교육과정!$B$3:$B$102,MATCH($D742,교육과정!$A$3:$A$102,0)),"미등록과정"))</f>
        <v/>
      </c>
      <c r="F742" s="13"/>
      <c r="G742" s="9"/>
      <c r="H742" s="9"/>
    </row>
    <row r="743" customFormat="false" ht="15" hidden="false" customHeight="true" outlineLevel="0" collapsed="false">
      <c r="A743" s="11"/>
      <c r="B743" s="9"/>
      <c r="C743" s="15" t="str">
        <f aca="false">IF($B743="","",IFERROR(INDEX(직원목록!$B$3:$B$302,MATCH($B743,직원목록!$A$3:$A$302,0)),"미등록사번"))</f>
        <v/>
      </c>
      <c r="D743" s="9"/>
      <c r="E743" s="15" t="str">
        <f aca="false">IF($D743="","",IFERROR(INDEX(교육과정!$B$3:$B$102,MATCH($D743,교육과정!$A$3:$A$102,0)),"미등록과정"))</f>
        <v/>
      </c>
      <c r="F743" s="13"/>
      <c r="G743" s="9"/>
      <c r="H743" s="9"/>
    </row>
    <row r="744" customFormat="false" ht="15" hidden="false" customHeight="true" outlineLevel="0" collapsed="false">
      <c r="A744" s="11"/>
      <c r="B744" s="9"/>
      <c r="C744" s="15" t="str">
        <f aca="false">IF($B744="","",IFERROR(INDEX(직원목록!$B$3:$B$302,MATCH($B744,직원목록!$A$3:$A$302,0)),"미등록사번"))</f>
        <v/>
      </c>
      <c r="D744" s="9"/>
      <c r="E744" s="15" t="str">
        <f aca="false">IF($D744="","",IFERROR(INDEX(교육과정!$B$3:$B$102,MATCH($D744,교육과정!$A$3:$A$102,0)),"미등록과정"))</f>
        <v/>
      </c>
      <c r="F744" s="13"/>
      <c r="G744" s="9"/>
      <c r="H744" s="9"/>
    </row>
    <row r="745" customFormat="false" ht="15" hidden="false" customHeight="true" outlineLevel="0" collapsed="false">
      <c r="A745" s="11"/>
      <c r="B745" s="9"/>
      <c r="C745" s="15" t="str">
        <f aca="false">IF($B745="","",IFERROR(INDEX(직원목록!$B$3:$B$302,MATCH($B745,직원목록!$A$3:$A$302,0)),"미등록사번"))</f>
        <v/>
      </c>
      <c r="D745" s="9"/>
      <c r="E745" s="15" t="str">
        <f aca="false">IF($D745="","",IFERROR(INDEX(교육과정!$B$3:$B$102,MATCH($D745,교육과정!$A$3:$A$102,0)),"미등록과정"))</f>
        <v/>
      </c>
      <c r="F745" s="13"/>
      <c r="G745" s="9"/>
      <c r="H745" s="9"/>
    </row>
    <row r="746" customFormat="false" ht="15" hidden="false" customHeight="true" outlineLevel="0" collapsed="false">
      <c r="A746" s="11"/>
      <c r="B746" s="9"/>
      <c r="C746" s="15" t="str">
        <f aca="false">IF($B746="","",IFERROR(INDEX(직원목록!$B$3:$B$302,MATCH($B746,직원목록!$A$3:$A$302,0)),"미등록사번"))</f>
        <v/>
      </c>
      <c r="D746" s="9"/>
      <c r="E746" s="15" t="str">
        <f aca="false">IF($D746="","",IFERROR(INDEX(교육과정!$B$3:$B$102,MATCH($D746,교육과정!$A$3:$A$102,0)),"미등록과정"))</f>
        <v/>
      </c>
      <c r="F746" s="13"/>
      <c r="G746" s="9"/>
      <c r="H746" s="9"/>
    </row>
    <row r="747" customFormat="false" ht="15" hidden="false" customHeight="true" outlineLevel="0" collapsed="false">
      <c r="A747" s="11"/>
      <c r="B747" s="9"/>
      <c r="C747" s="15" t="str">
        <f aca="false">IF($B747="","",IFERROR(INDEX(직원목록!$B$3:$B$302,MATCH($B747,직원목록!$A$3:$A$302,0)),"미등록사번"))</f>
        <v/>
      </c>
      <c r="D747" s="9"/>
      <c r="E747" s="15" t="str">
        <f aca="false">IF($D747="","",IFERROR(INDEX(교육과정!$B$3:$B$102,MATCH($D747,교육과정!$A$3:$A$102,0)),"미등록과정"))</f>
        <v/>
      </c>
      <c r="F747" s="13"/>
      <c r="G747" s="9"/>
      <c r="H747" s="9"/>
    </row>
    <row r="748" customFormat="false" ht="15" hidden="false" customHeight="true" outlineLevel="0" collapsed="false">
      <c r="A748" s="11"/>
      <c r="B748" s="9"/>
      <c r="C748" s="15" t="str">
        <f aca="false">IF($B748="","",IFERROR(INDEX(직원목록!$B$3:$B$302,MATCH($B748,직원목록!$A$3:$A$302,0)),"미등록사번"))</f>
        <v/>
      </c>
      <c r="D748" s="9"/>
      <c r="E748" s="15" t="str">
        <f aca="false">IF($D748="","",IFERROR(INDEX(교육과정!$B$3:$B$102,MATCH($D748,교육과정!$A$3:$A$102,0)),"미등록과정"))</f>
        <v/>
      </c>
      <c r="F748" s="13"/>
      <c r="G748" s="9"/>
      <c r="H748" s="9"/>
    </row>
    <row r="749" customFormat="false" ht="15" hidden="false" customHeight="true" outlineLevel="0" collapsed="false">
      <c r="A749" s="11"/>
      <c r="B749" s="9"/>
      <c r="C749" s="15" t="str">
        <f aca="false">IF($B749="","",IFERROR(INDEX(직원목록!$B$3:$B$302,MATCH($B749,직원목록!$A$3:$A$302,0)),"미등록사번"))</f>
        <v/>
      </c>
      <c r="D749" s="9"/>
      <c r="E749" s="15" t="str">
        <f aca="false">IF($D749="","",IFERROR(INDEX(교육과정!$B$3:$B$102,MATCH($D749,교육과정!$A$3:$A$102,0)),"미등록과정"))</f>
        <v/>
      </c>
      <c r="F749" s="13"/>
      <c r="G749" s="9"/>
      <c r="H749" s="9"/>
    </row>
    <row r="750" customFormat="false" ht="15" hidden="false" customHeight="true" outlineLevel="0" collapsed="false">
      <c r="A750" s="11"/>
      <c r="B750" s="9"/>
      <c r="C750" s="15" t="str">
        <f aca="false">IF($B750="","",IFERROR(INDEX(직원목록!$B$3:$B$302,MATCH($B750,직원목록!$A$3:$A$302,0)),"미등록사번"))</f>
        <v/>
      </c>
      <c r="D750" s="9"/>
      <c r="E750" s="15" t="str">
        <f aca="false">IF($D750="","",IFERROR(INDEX(교육과정!$B$3:$B$102,MATCH($D750,교육과정!$A$3:$A$102,0)),"미등록과정"))</f>
        <v/>
      </c>
      <c r="F750" s="13"/>
      <c r="G750" s="9"/>
      <c r="H750" s="9"/>
    </row>
    <row r="751" customFormat="false" ht="15" hidden="false" customHeight="true" outlineLevel="0" collapsed="false">
      <c r="A751" s="11"/>
      <c r="B751" s="9"/>
      <c r="C751" s="15" t="str">
        <f aca="false">IF($B751="","",IFERROR(INDEX(직원목록!$B$3:$B$302,MATCH($B751,직원목록!$A$3:$A$302,0)),"미등록사번"))</f>
        <v/>
      </c>
      <c r="D751" s="9"/>
      <c r="E751" s="15" t="str">
        <f aca="false">IF($D751="","",IFERROR(INDEX(교육과정!$B$3:$B$102,MATCH($D751,교육과정!$A$3:$A$102,0)),"미등록과정"))</f>
        <v/>
      </c>
      <c r="F751" s="13"/>
      <c r="G751" s="9"/>
      <c r="H751" s="9"/>
    </row>
    <row r="752" customFormat="false" ht="15" hidden="false" customHeight="true" outlineLevel="0" collapsed="false">
      <c r="A752" s="11"/>
      <c r="B752" s="9"/>
      <c r="C752" s="15" t="str">
        <f aca="false">IF($B752="","",IFERROR(INDEX(직원목록!$B$3:$B$302,MATCH($B752,직원목록!$A$3:$A$302,0)),"미등록사번"))</f>
        <v/>
      </c>
      <c r="D752" s="9"/>
      <c r="E752" s="15" t="str">
        <f aca="false">IF($D752="","",IFERROR(INDEX(교육과정!$B$3:$B$102,MATCH($D752,교육과정!$A$3:$A$102,0)),"미등록과정"))</f>
        <v/>
      </c>
      <c r="F752" s="13"/>
      <c r="G752" s="9"/>
      <c r="H752" s="9"/>
    </row>
    <row r="753" customFormat="false" ht="15" hidden="false" customHeight="true" outlineLevel="0" collapsed="false">
      <c r="A753" s="11"/>
      <c r="B753" s="9"/>
      <c r="C753" s="15" t="str">
        <f aca="false">IF($B753="","",IFERROR(INDEX(직원목록!$B$3:$B$302,MATCH($B753,직원목록!$A$3:$A$302,0)),"미등록사번"))</f>
        <v/>
      </c>
      <c r="D753" s="9"/>
      <c r="E753" s="15" t="str">
        <f aca="false">IF($D753="","",IFERROR(INDEX(교육과정!$B$3:$B$102,MATCH($D753,교육과정!$A$3:$A$102,0)),"미등록과정"))</f>
        <v/>
      </c>
      <c r="F753" s="13"/>
      <c r="G753" s="9"/>
      <c r="H753" s="9"/>
    </row>
    <row r="754" customFormat="false" ht="15" hidden="false" customHeight="true" outlineLevel="0" collapsed="false">
      <c r="A754" s="11"/>
      <c r="B754" s="9"/>
      <c r="C754" s="15" t="str">
        <f aca="false">IF($B754="","",IFERROR(INDEX(직원목록!$B$3:$B$302,MATCH($B754,직원목록!$A$3:$A$302,0)),"미등록사번"))</f>
        <v/>
      </c>
      <c r="D754" s="9"/>
      <c r="E754" s="15" t="str">
        <f aca="false">IF($D754="","",IFERROR(INDEX(교육과정!$B$3:$B$102,MATCH($D754,교육과정!$A$3:$A$102,0)),"미등록과정"))</f>
        <v/>
      </c>
      <c r="F754" s="13"/>
      <c r="G754" s="9"/>
      <c r="H754" s="9"/>
    </row>
    <row r="755" customFormat="false" ht="15" hidden="false" customHeight="true" outlineLevel="0" collapsed="false">
      <c r="A755" s="11"/>
      <c r="B755" s="9"/>
      <c r="C755" s="15" t="str">
        <f aca="false">IF($B755="","",IFERROR(INDEX(직원목록!$B$3:$B$302,MATCH($B755,직원목록!$A$3:$A$302,0)),"미등록사번"))</f>
        <v/>
      </c>
      <c r="D755" s="9"/>
      <c r="E755" s="15" t="str">
        <f aca="false">IF($D755="","",IFERROR(INDEX(교육과정!$B$3:$B$102,MATCH($D755,교육과정!$A$3:$A$102,0)),"미등록과정"))</f>
        <v/>
      </c>
      <c r="F755" s="13"/>
      <c r="G755" s="9"/>
      <c r="H755" s="9"/>
    </row>
    <row r="756" customFormat="false" ht="15" hidden="false" customHeight="true" outlineLevel="0" collapsed="false">
      <c r="A756" s="11"/>
      <c r="B756" s="9"/>
      <c r="C756" s="15" t="str">
        <f aca="false">IF($B756="","",IFERROR(INDEX(직원목록!$B$3:$B$302,MATCH($B756,직원목록!$A$3:$A$302,0)),"미등록사번"))</f>
        <v/>
      </c>
      <c r="D756" s="9"/>
      <c r="E756" s="15" t="str">
        <f aca="false">IF($D756="","",IFERROR(INDEX(교육과정!$B$3:$B$102,MATCH($D756,교육과정!$A$3:$A$102,0)),"미등록과정"))</f>
        <v/>
      </c>
      <c r="F756" s="13"/>
      <c r="G756" s="9"/>
      <c r="H756" s="9"/>
    </row>
    <row r="757" customFormat="false" ht="15" hidden="false" customHeight="true" outlineLevel="0" collapsed="false">
      <c r="A757" s="11"/>
      <c r="B757" s="9"/>
      <c r="C757" s="15" t="str">
        <f aca="false">IF($B757="","",IFERROR(INDEX(직원목록!$B$3:$B$302,MATCH($B757,직원목록!$A$3:$A$302,0)),"미등록사번"))</f>
        <v/>
      </c>
      <c r="D757" s="9"/>
      <c r="E757" s="15" t="str">
        <f aca="false">IF($D757="","",IFERROR(INDEX(교육과정!$B$3:$B$102,MATCH($D757,교육과정!$A$3:$A$102,0)),"미등록과정"))</f>
        <v/>
      </c>
      <c r="F757" s="13"/>
      <c r="G757" s="9"/>
      <c r="H757" s="9"/>
    </row>
    <row r="758" customFormat="false" ht="15" hidden="false" customHeight="true" outlineLevel="0" collapsed="false">
      <c r="A758" s="11"/>
      <c r="B758" s="9"/>
      <c r="C758" s="15" t="str">
        <f aca="false">IF($B758="","",IFERROR(INDEX(직원목록!$B$3:$B$302,MATCH($B758,직원목록!$A$3:$A$302,0)),"미등록사번"))</f>
        <v/>
      </c>
      <c r="D758" s="9"/>
      <c r="E758" s="15" t="str">
        <f aca="false">IF($D758="","",IFERROR(INDEX(교육과정!$B$3:$B$102,MATCH($D758,교육과정!$A$3:$A$102,0)),"미등록과정"))</f>
        <v/>
      </c>
      <c r="F758" s="13"/>
      <c r="G758" s="9"/>
      <c r="H758" s="9"/>
    </row>
    <row r="759" customFormat="false" ht="15" hidden="false" customHeight="true" outlineLevel="0" collapsed="false">
      <c r="A759" s="11"/>
      <c r="B759" s="9"/>
      <c r="C759" s="15" t="str">
        <f aca="false">IF($B759="","",IFERROR(INDEX(직원목록!$B$3:$B$302,MATCH($B759,직원목록!$A$3:$A$302,0)),"미등록사번"))</f>
        <v/>
      </c>
      <c r="D759" s="9"/>
      <c r="E759" s="15" t="str">
        <f aca="false">IF($D759="","",IFERROR(INDEX(교육과정!$B$3:$B$102,MATCH($D759,교육과정!$A$3:$A$102,0)),"미등록과정"))</f>
        <v/>
      </c>
      <c r="F759" s="13"/>
      <c r="G759" s="9"/>
      <c r="H759" s="9"/>
    </row>
    <row r="760" customFormat="false" ht="15" hidden="false" customHeight="true" outlineLevel="0" collapsed="false">
      <c r="A760" s="11"/>
      <c r="B760" s="9"/>
      <c r="C760" s="15" t="str">
        <f aca="false">IF($B760="","",IFERROR(INDEX(직원목록!$B$3:$B$302,MATCH($B760,직원목록!$A$3:$A$302,0)),"미등록사번"))</f>
        <v/>
      </c>
      <c r="D760" s="9"/>
      <c r="E760" s="15" t="str">
        <f aca="false">IF($D760="","",IFERROR(INDEX(교육과정!$B$3:$B$102,MATCH($D760,교육과정!$A$3:$A$102,0)),"미등록과정"))</f>
        <v/>
      </c>
      <c r="F760" s="13"/>
      <c r="G760" s="9"/>
      <c r="H760" s="9"/>
    </row>
    <row r="761" customFormat="false" ht="15" hidden="false" customHeight="true" outlineLevel="0" collapsed="false">
      <c r="A761" s="11"/>
      <c r="B761" s="9"/>
      <c r="C761" s="15" t="str">
        <f aca="false">IF($B761="","",IFERROR(INDEX(직원목록!$B$3:$B$302,MATCH($B761,직원목록!$A$3:$A$302,0)),"미등록사번"))</f>
        <v/>
      </c>
      <c r="D761" s="9"/>
      <c r="E761" s="15" t="str">
        <f aca="false">IF($D761="","",IFERROR(INDEX(교육과정!$B$3:$B$102,MATCH($D761,교육과정!$A$3:$A$102,0)),"미등록과정"))</f>
        <v/>
      </c>
      <c r="F761" s="13"/>
      <c r="G761" s="9"/>
      <c r="H761" s="9"/>
    </row>
    <row r="762" customFormat="false" ht="15" hidden="false" customHeight="true" outlineLevel="0" collapsed="false">
      <c r="A762" s="11"/>
      <c r="B762" s="9"/>
      <c r="C762" s="15" t="str">
        <f aca="false">IF($B762="","",IFERROR(INDEX(직원목록!$B$3:$B$302,MATCH($B762,직원목록!$A$3:$A$302,0)),"미등록사번"))</f>
        <v/>
      </c>
      <c r="D762" s="9"/>
      <c r="E762" s="15" t="str">
        <f aca="false">IF($D762="","",IFERROR(INDEX(교육과정!$B$3:$B$102,MATCH($D762,교육과정!$A$3:$A$102,0)),"미등록과정"))</f>
        <v/>
      </c>
      <c r="F762" s="13"/>
      <c r="G762" s="9"/>
      <c r="H762" s="9"/>
    </row>
    <row r="763" customFormat="false" ht="15" hidden="false" customHeight="true" outlineLevel="0" collapsed="false">
      <c r="A763" s="11"/>
      <c r="B763" s="9"/>
      <c r="C763" s="15" t="str">
        <f aca="false">IF($B763="","",IFERROR(INDEX(직원목록!$B$3:$B$302,MATCH($B763,직원목록!$A$3:$A$302,0)),"미등록사번"))</f>
        <v/>
      </c>
      <c r="D763" s="9"/>
      <c r="E763" s="15" t="str">
        <f aca="false">IF($D763="","",IFERROR(INDEX(교육과정!$B$3:$B$102,MATCH($D763,교육과정!$A$3:$A$102,0)),"미등록과정"))</f>
        <v/>
      </c>
      <c r="F763" s="13"/>
      <c r="G763" s="9"/>
      <c r="H763" s="9"/>
    </row>
    <row r="764" customFormat="false" ht="15" hidden="false" customHeight="true" outlineLevel="0" collapsed="false">
      <c r="A764" s="11"/>
      <c r="B764" s="9"/>
      <c r="C764" s="15" t="str">
        <f aca="false">IF($B764="","",IFERROR(INDEX(직원목록!$B$3:$B$302,MATCH($B764,직원목록!$A$3:$A$302,0)),"미등록사번"))</f>
        <v/>
      </c>
      <c r="D764" s="9"/>
      <c r="E764" s="15" t="str">
        <f aca="false">IF($D764="","",IFERROR(INDEX(교육과정!$B$3:$B$102,MATCH($D764,교육과정!$A$3:$A$102,0)),"미등록과정"))</f>
        <v/>
      </c>
      <c r="F764" s="13"/>
      <c r="G764" s="9"/>
      <c r="H764" s="9"/>
    </row>
    <row r="765" customFormat="false" ht="15" hidden="false" customHeight="true" outlineLevel="0" collapsed="false">
      <c r="A765" s="11"/>
      <c r="B765" s="9"/>
      <c r="C765" s="15" t="str">
        <f aca="false">IF($B765="","",IFERROR(INDEX(직원목록!$B$3:$B$302,MATCH($B765,직원목록!$A$3:$A$302,0)),"미등록사번"))</f>
        <v/>
      </c>
      <c r="D765" s="9"/>
      <c r="E765" s="15" t="str">
        <f aca="false">IF($D765="","",IFERROR(INDEX(교육과정!$B$3:$B$102,MATCH($D765,교육과정!$A$3:$A$102,0)),"미등록과정"))</f>
        <v/>
      </c>
      <c r="F765" s="13"/>
      <c r="G765" s="9"/>
      <c r="H765" s="9"/>
    </row>
    <row r="766" customFormat="false" ht="15" hidden="false" customHeight="true" outlineLevel="0" collapsed="false">
      <c r="A766" s="11"/>
      <c r="B766" s="9"/>
      <c r="C766" s="15" t="str">
        <f aca="false">IF($B766="","",IFERROR(INDEX(직원목록!$B$3:$B$302,MATCH($B766,직원목록!$A$3:$A$302,0)),"미등록사번"))</f>
        <v/>
      </c>
      <c r="D766" s="9"/>
      <c r="E766" s="15" t="str">
        <f aca="false">IF($D766="","",IFERROR(INDEX(교육과정!$B$3:$B$102,MATCH($D766,교육과정!$A$3:$A$102,0)),"미등록과정"))</f>
        <v/>
      </c>
      <c r="F766" s="13"/>
      <c r="G766" s="9"/>
      <c r="H766" s="9"/>
    </row>
    <row r="767" customFormat="false" ht="15" hidden="false" customHeight="true" outlineLevel="0" collapsed="false">
      <c r="A767" s="11"/>
      <c r="B767" s="9"/>
      <c r="C767" s="15" t="str">
        <f aca="false">IF($B767="","",IFERROR(INDEX(직원목록!$B$3:$B$302,MATCH($B767,직원목록!$A$3:$A$302,0)),"미등록사번"))</f>
        <v/>
      </c>
      <c r="D767" s="9"/>
      <c r="E767" s="15" t="str">
        <f aca="false">IF($D767="","",IFERROR(INDEX(교육과정!$B$3:$B$102,MATCH($D767,교육과정!$A$3:$A$102,0)),"미등록과정"))</f>
        <v/>
      </c>
      <c r="F767" s="13"/>
      <c r="G767" s="9"/>
      <c r="H767" s="9"/>
    </row>
    <row r="768" customFormat="false" ht="15" hidden="false" customHeight="true" outlineLevel="0" collapsed="false">
      <c r="A768" s="11"/>
      <c r="B768" s="9"/>
      <c r="C768" s="15" t="str">
        <f aca="false">IF($B768="","",IFERROR(INDEX(직원목록!$B$3:$B$302,MATCH($B768,직원목록!$A$3:$A$302,0)),"미등록사번"))</f>
        <v/>
      </c>
      <c r="D768" s="9"/>
      <c r="E768" s="15" t="str">
        <f aca="false">IF($D768="","",IFERROR(INDEX(교육과정!$B$3:$B$102,MATCH($D768,교육과정!$A$3:$A$102,0)),"미등록과정"))</f>
        <v/>
      </c>
      <c r="F768" s="13"/>
      <c r="G768" s="9"/>
      <c r="H768" s="9"/>
    </row>
    <row r="769" customFormat="false" ht="15" hidden="false" customHeight="true" outlineLevel="0" collapsed="false">
      <c r="A769" s="11"/>
      <c r="B769" s="9"/>
      <c r="C769" s="15" t="str">
        <f aca="false">IF($B769="","",IFERROR(INDEX(직원목록!$B$3:$B$302,MATCH($B769,직원목록!$A$3:$A$302,0)),"미등록사번"))</f>
        <v/>
      </c>
      <c r="D769" s="9"/>
      <c r="E769" s="15" t="str">
        <f aca="false">IF($D769="","",IFERROR(INDEX(교육과정!$B$3:$B$102,MATCH($D769,교육과정!$A$3:$A$102,0)),"미등록과정"))</f>
        <v/>
      </c>
      <c r="F769" s="13"/>
      <c r="G769" s="9"/>
      <c r="H769" s="9"/>
    </row>
    <row r="770" customFormat="false" ht="15" hidden="false" customHeight="true" outlineLevel="0" collapsed="false">
      <c r="A770" s="11"/>
      <c r="B770" s="9"/>
      <c r="C770" s="15" t="str">
        <f aca="false">IF($B770="","",IFERROR(INDEX(직원목록!$B$3:$B$302,MATCH($B770,직원목록!$A$3:$A$302,0)),"미등록사번"))</f>
        <v/>
      </c>
      <c r="D770" s="9"/>
      <c r="E770" s="15" t="str">
        <f aca="false">IF($D770="","",IFERROR(INDEX(교육과정!$B$3:$B$102,MATCH($D770,교육과정!$A$3:$A$102,0)),"미등록과정"))</f>
        <v/>
      </c>
      <c r="F770" s="13"/>
      <c r="G770" s="9"/>
      <c r="H770" s="9"/>
    </row>
    <row r="771" customFormat="false" ht="15" hidden="false" customHeight="true" outlineLevel="0" collapsed="false">
      <c r="A771" s="11"/>
      <c r="B771" s="9"/>
      <c r="C771" s="15" t="str">
        <f aca="false">IF($B771="","",IFERROR(INDEX(직원목록!$B$3:$B$302,MATCH($B771,직원목록!$A$3:$A$302,0)),"미등록사번"))</f>
        <v/>
      </c>
      <c r="D771" s="9"/>
      <c r="E771" s="15" t="str">
        <f aca="false">IF($D771="","",IFERROR(INDEX(교육과정!$B$3:$B$102,MATCH($D771,교육과정!$A$3:$A$102,0)),"미등록과정"))</f>
        <v/>
      </c>
      <c r="F771" s="13"/>
      <c r="G771" s="9"/>
      <c r="H771" s="9"/>
    </row>
    <row r="772" customFormat="false" ht="15" hidden="false" customHeight="true" outlineLevel="0" collapsed="false">
      <c r="A772" s="11"/>
      <c r="B772" s="9"/>
      <c r="C772" s="15" t="str">
        <f aca="false">IF($B772="","",IFERROR(INDEX(직원목록!$B$3:$B$302,MATCH($B772,직원목록!$A$3:$A$302,0)),"미등록사번"))</f>
        <v/>
      </c>
      <c r="D772" s="9"/>
      <c r="E772" s="15" t="str">
        <f aca="false">IF($D772="","",IFERROR(INDEX(교육과정!$B$3:$B$102,MATCH($D772,교육과정!$A$3:$A$102,0)),"미등록과정"))</f>
        <v/>
      </c>
      <c r="F772" s="13"/>
      <c r="G772" s="9"/>
      <c r="H772" s="9"/>
    </row>
    <row r="773" customFormat="false" ht="15" hidden="false" customHeight="true" outlineLevel="0" collapsed="false">
      <c r="A773" s="11"/>
      <c r="B773" s="9"/>
      <c r="C773" s="15" t="str">
        <f aca="false">IF($B773="","",IFERROR(INDEX(직원목록!$B$3:$B$302,MATCH($B773,직원목록!$A$3:$A$302,0)),"미등록사번"))</f>
        <v/>
      </c>
      <c r="D773" s="9"/>
      <c r="E773" s="15" t="str">
        <f aca="false">IF($D773="","",IFERROR(INDEX(교육과정!$B$3:$B$102,MATCH($D773,교육과정!$A$3:$A$102,0)),"미등록과정"))</f>
        <v/>
      </c>
      <c r="F773" s="13"/>
      <c r="G773" s="9"/>
      <c r="H773" s="9"/>
    </row>
    <row r="774" customFormat="false" ht="15" hidden="false" customHeight="true" outlineLevel="0" collapsed="false">
      <c r="A774" s="11"/>
      <c r="B774" s="9"/>
      <c r="C774" s="15" t="str">
        <f aca="false">IF($B774="","",IFERROR(INDEX(직원목록!$B$3:$B$302,MATCH($B774,직원목록!$A$3:$A$302,0)),"미등록사번"))</f>
        <v/>
      </c>
      <c r="D774" s="9"/>
      <c r="E774" s="15" t="str">
        <f aca="false">IF($D774="","",IFERROR(INDEX(교육과정!$B$3:$B$102,MATCH($D774,교육과정!$A$3:$A$102,0)),"미등록과정"))</f>
        <v/>
      </c>
      <c r="F774" s="13"/>
      <c r="G774" s="9"/>
      <c r="H774" s="9"/>
    </row>
    <row r="775" customFormat="false" ht="15" hidden="false" customHeight="true" outlineLevel="0" collapsed="false">
      <c r="A775" s="11"/>
      <c r="B775" s="9"/>
      <c r="C775" s="15" t="str">
        <f aca="false">IF($B775="","",IFERROR(INDEX(직원목록!$B$3:$B$302,MATCH($B775,직원목록!$A$3:$A$302,0)),"미등록사번"))</f>
        <v/>
      </c>
      <c r="D775" s="9"/>
      <c r="E775" s="15" t="str">
        <f aca="false">IF($D775="","",IFERROR(INDEX(교육과정!$B$3:$B$102,MATCH($D775,교육과정!$A$3:$A$102,0)),"미등록과정"))</f>
        <v/>
      </c>
      <c r="F775" s="13"/>
      <c r="G775" s="9"/>
      <c r="H775" s="9"/>
    </row>
    <row r="776" customFormat="false" ht="15" hidden="false" customHeight="true" outlineLevel="0" collapsed="false">
      <c r="A776" s="11"/>
      <c r="B776" s="9"/>
      <c r="C776" s="15" t="str">
        <f aca="false">IF($B776="","",IFERROR(INDEX(직원목록!$B$3:$B$302,MATCH($B776,직원목록!$A$3:$A$302,0)),"미등록사번"))</f>
        <v/>
      </c>
      <c r="D776" s="9"/>
      <c r="E776" s="15" t="str">
        <f aca="false">IF($D776="","",IFERROR(INDEX(교육과정!$B$3:$B$102,MATCH($D776,교육과정!$A$3:$A$102,0)),"미등록과정"))</f>
        <v/>
      </c>
      <c r="F776" s="13"/>
      <c r="G776" s="9"/>
      <c r="H776" s="9"/>
    </row>
    <row r="777" customFormat="false" ht="15" hidden="false" customHeight="true" outlineLevel="0" collapsed="false">
      <c r="A777" s="11"/>
      <c r="B777" s="9"/>
      <c r="C777" s="15" t="str">
        <f aca="false">IF($B777="","",IFERROR(INDEX(직원목록!$B$3:$B$302,MATCH($B777,직원목록!$A$3:$A$302,0)),"미등록사번"))</f>
        <v/>
      </c>
      <c r="D777" s="9"/>
      <c r="E777" s="15" t="str">
        <f aca="false">IF($D777="","",IFERROR(INDEX(교육과정!$B$3:$B$102,MATCH($D777,교육과정!$A$3:$A$102,0)),"미등록과정"))</f>
        <v/>
      </c>
      <c r="F777" s="13"/>
      <c r="G777" s="9"/>
      <c r="H777" s="9"/>
    </row>
    <row r="778" customFormat="false" ht="15" hidden="false" customHeight="true" outlineLevel="0" collapsed="false">
      <c r="A778" s="11"/>
      <c r="B778" s="9"/>
      <c r="C778" s="15" t="str">
        <f aca="false">IF($B778="","",IFERROR(INDEX(직원목록!$B$3:$B$302,MATCH($B778,직원목록!$A$3:$A$302,0)),"미등록사번"))</f>
        <v/>
      </c>
      <c r="D778" s="9"/>
      <c r="E778" s="15" t="str">
        <f aca="false">IF($D778="","",IFERROR(INDEX(교육과정!$B$3:$B$102,MATCH($D778,교육과정!$A$3:$A$102,0)),"미등록과정"))</f>
        <v/>
      </c>
      <c r="F778" s="13"/>
      <c r="G778" s="9"/>
      <c r="H778" s="9"/>
    </row>
    <row r="779" customFormat="false" ht="15" hidden="false" customHeight="true" outlineLevel="0" collapsed="false">
      <c r="A779" s="11"/>
      <c r="B779" s="9"/>
      <c r="C779" s="15" t="str">
        <f aca="false">IF($B779="","",IFERROR(INDEX(직원목록!$B$3:$B$302,MATCH($B779,직원목록!$A$3:$A$302,0)),"미등록사번"))</f>
        <v/>
      </c>
      <c r="D779" s="9"/>
      <c r="E779" s="15" t="str">
        <f aca="false">IF($D779="","",IFERROR(INDEX(교육과정!$B$3:$B$102,MATCH($D779,교육과정!$A$3:$A$102,0)),"미등록과정"))</f>
        <v/>
      </c>
      <c r="F779" s="13"/>
      <c r="G779" s="9"/>
      <c r="H779" s="9"/>
    </row>
    <row r="780" customFormat="false" ht="15" hidden="false" customHeight="true" outlineLevel="0" collapsed="false">
      <c r="A780" s="11"/>
      <c r="B780" s="9"/>
      <c r="C780" s="15" t="str">
        <f aca="false">IF($B780="","",IFERROR(INDEX(직원목록!$B$3:$B$302,MATCH($B780,직원목록!$A$3:$A$302,0)),"미등록사번"))</f>
        <v/>
      </c>
      <c r="D780" s="9"/>
      <c r="E780" s="15" t="str">
        <f aca="false">IF($D780="","",IFERROR(INDEX(교육과정!$B$3:$B$102,MATCH($D780,교육과정!$A$3:$A$102,0)),"미등록과정"))</f>
        <v/>
      </c>
      <c r="F780" s="13"/>
      <c r="G780" s="9"/>
      <c r="H780" s="9"/>
    </row>
    <row r="781" customFormat="false" ht="15" hidden="false" customHeight="true" outlineLevel="0" collapsed="false">
      <c r="A781" s="11"/>
      <c r="B781" s="9"/>
      <c r="C781" s="15" t="str">
        <f aca="false">IF($B781="","",IFERROR(INDEX(직원목록!$B$3:$B$302,MATCH($B781,직원목록!$A$3:$A$302,0)),"미등록사번"))</f>
        <v/>
      </c>
      <c r="D781" s="9"/>
      <c r="E781" s="15" t="str">
        <f aca="false">IF($D781="","",IFERROR(INDEX(교육과정!$B$3:$B$102,MATCH($D781,교육과정!$A$3:$A$102,0)),"미등록과정"))</f>
        <v/>
      </c>
      <c r="F781" s="13"/>
      <c r="G781" s="9"/>
      <c r="H781" s="9"/>
    </row>
    <row r="782" customFormat="false" ht="15" hidden="false" customHeight="true" outlineLevel="0" collapsed="false">
      <c r="A782" s="11"/>
      <c r="B782" s="9"/>
      <c r="C782" s="15" t="str">
        <f aca="false">IF($B782="","",IFERROR(INDEX(직원목록!$B$3:$B$302,MATCH($B782,직원목록!$A$3:$A$302,0)),"미등록사번"))</f>
        <v/>
      </c>
      <c r="D782" s="9"/>
      <c r="E782" s="15" t="str">
        <f aca="false">IF($D782="","",IFERROR(INDEX(교육과정!$B$3:$B$102,MATCH($D782,교육과정!$A$3:$A$102,0)),"미등록과정"))</f>
        <v/>
      </c>
      <c r="F782" s="13"/>
      <c r="G782" s="9"/>
      <c r="H782" s="9"/>
    </row>
    <row r="783" customFormat="false" ht="15" hidden="false" customHeight="true" outlineLevel="0" collapsed="false">
      <c r="A783" s="11"/>
      <c r="B783" s="9"/>
      <c r="C783" s="15" t="str">
        <f aca="false">IF($B783="","",IFERROR(INDEX(직원목록!$B$3:$B$302,MATCH($B783,직원목록!$A$3:$A$302,0)),"미등록사번"))</f>
        <v/>
      </c>
      <c r="D783" s="9"/>
      <c r="E783" s="15" t="str">
        <f aca="false">IF($D783="","",IFERROR(INDEX(교육과정!$B$3:$B$102,MATCH($D783,교육과정!$A$3:$A$102,0)),"미등록과정"))</f>
        <v/>
      </c>
      <c r="F783" s="13"/>
      <c r="G783" s="9"/>
      <c r="H783" s="9"/>
    </row>
    <row r="784" customFormat="false" ht="15" hidden="false" customHeight="true" outlineLevel="0" collapsed="false">
      <c r="A784" s="11"/>
      <c r="B784" s="9"/>
      <c r="C784" s="15" t="str">
        <f aca="false">IF($B784="","",IFERROR(INDEX(직원목록!$B$3:$B$302,MATCH($B784,직원목록!$A$3:$A$302,0)),"미등록사번"))</f>
        <v/>
      </c>
      <c r="D784" s="9"/>
      <c r="E784" s="15" t="str">
        <f aca="false">IF($D784="","",IFERROR(INDEX(교육과정!$B$3:$B$102,MATCH($D784,교육과정!$A$3:$A$102,0)),"미등록과정"))</f>
        <v/>
      </c>
      <c r="F784" s="13"/>
      <c r="G784" s="9"/>
      <c r="H784" s="9"/>
    </row>
    <row r="785" customFormat="false" ht="15" hidden="false" customHeight="true" outlineLevel="0" collapsed="false">
      <c r="A785" s="11"/>
      <c r="B785" s="9"/>
      <c r="C785" s="15" t="str">
        <f aca="false">IF($B785="","",IFERROR(INDEX(직원목록!$B$3:$B$302,MATCH($B785,직원목록!$A$3:$A$302,0)),"미등록사번"))</f>
        <v/>
      </c>
      <c r="D785" s="9"/>
      <c r="E785" s="15" t="str">
        <f aca="false">IF($D785="","",IFERROR(INDEX(교육과정!$B$3:$B$102,MATCH($D785,교육과정!$A$3:$A$102,0)),"미등록과정"))</f>
        <v/>
      </c>
      <c r="F785" s="13"/>
      <c r="G785" s="9"/>
      <c r="H785" s="9"/>
    </row>
    <row r="786" customFormat="false" ht="15" hidden="false" customHeight="true" outlineLevel="0" collapsed="false">
      <c r="A786" s="11"/>
      <c r="B786" s="9"/>
      <c r="C786" s="15" t="str">
        <f aca="false">IF($B786="","",IFERROR(INDEX(직원목록!$B$3:$B$302,MATCH($B786,직원목록!$A$3:$A$302,0)),"미등록사번"))</f>
        <v/>
      </c>
      <c r="D786" s="9"/>
      <c r="E786" s="15" t="str">
        <f aca="false">IF($D786="","",IFERROR(INDEX(교육과정!$B$3:$B$102,MATCH($D786,교육과정!$A$3:$A$102,0)),"미등록과정"))</f>
        <v/>
      </c>
      <c r="F786" s="13"/>
      <c r="G786" s="9"/>
      <c r="H786" s="9"/>
    </row>
    <row r="787" customFormat="false" ht="15" hidden="false" customHeight="true" outlineLevel="0" collapsed="false">
      <c r="A787" s="11"/>
      <c r="B787" s="9"/>
      <c r="C787" s="15" t="str">
        <f aca="false">IF($B787="","",IFERROR(INDEX(직원목록!$B$3:$B$302,MATCH($B787,직원목록!$A$3:$A$302,0)),"미등록사번"))</f>
        <v/>
      </c>
      <c r="D787" s="9"/>
      <c r="E787" s="15" t="str">
        <f aca="false">IF($D787="","",IFERROR(INDEX(교육과정!$B$3:$B$102,MATCH($D787,교육과정!$A$3:$A$102,0)),"미등록과정"))</f>
        <v/>
      </c>
      <c r="F787" s="13"/>
      <c r="G787" s="9"/>
      <c r="H787" s="9"/>
    </row>
    <row r="788" customFormat="false" ht="15" hidden="false" customHeight="true" outlineLevel="0" collapsed="false">
      <c r="A788" s="11"/>
      <c r="B788" s="9"/>
      <c r="C788" s="15" t="str">
        <f aca="false">IF($B788="","",IFERROR(INDEX(직원목록!$B$3:$B$302,MATCH($B788,직원목록!$A$3:$A$302,0)),"미등록사번"))</f>
        <v/>
      </c>
      <c r="D788" s="9"/>
      <c r="E788" s="15" t="str">
        <f aca="false">IF($D788="","",IFERROR(INDEX(교육과정!$B$3:$B$102,MATCH($D788,교육과정!$A$3:$A$102,0)),"미등록과정"))</f>
        <v/>
      </c>
      <c r="F788" s="13"/>
      <c r="G788" s="9"/>
      <c r="H788" s="9"/>
    </row>
    <row r="789" customFormat="false" ht="15" hidden="false" customHeight="true" outlineLevel="0" collapsed="false">
      <c r="A789" s="11"/>
      <c r="B789" s="9"/>
      <c r="C789" s="15" t="str">
        <f aca="false">IF($B789="","",IFERROR(INDEX(직원목록!$B$3:$B$302,MATCH($B789,직원목록!$A$3:$A$302,0)),"미등록사번"))</f>
        <v/>
      </c>
      <c r="D789" s="9"/>
      <c r="E789" s="15" t="str">
        <f aca="false">IF($D789="","",IFERROR(INDEX(교육과정!$B$3:$B$102,MATCH($D789,교육과정!$A$3:$A$102,0)),"미등록과정"))</f>
        <v/>
      </c>
      <c r="F789" s="13"/>
      <c r="G789" s="9"/>
      <c r="H789" s="9"/>
    </row>
    <row r="790" customFormat="false" ht="15" hidden="false" customHeight="true" outlineLevel="0" collapsed="false">
      <c r="A790" s="11"/>
      <c r="B790" s="9"/>
      <c r="C790" s="15" t="str">
        <f aca="false">IF($B790="","",IFERROR(INDEX(직원목록!$B$3:$B$302,MATCH($B790,직원목록!$A$3:$A$302,0)),"미등록사번"))</f>
        <v/>
      </c>
      <c r="D790" s="9"/>
      <c r="E790" s="15" t="str">
        <f aca="false">IF($D790="","",IFERROR(INDEX(교육과정!$B$3:$B$102,MATCH($D790,교육과정!$A$3:$A$102,0)),"미등록과정"))</f>
        <v/>
      </c>
      <c r="F790" s="13"/>
      <c r="G790" s="9"/>
      <c r="H790" s="9"/>
    </row>
    <row r="791" customFormat="false" ht="15" hidden="false" customHeight="true" outlineLevel="0" collapsed="false">
      <c r="A791" s="11"/>
      <c r="B791" s="9"/>
      <c r="C791" s="15" t="str">
        <f aca="false">IF($B791="","",IFERROR(INDEX(직원목록!$B$3:$B$302,MATCH($B791,직원목록!$A$3:$A$302,0)),"미등록사번"))</f>
        <v/>
      </c>
      <c r="D791" s="9"/>
      <c r="E791" s="15" t="str">
        <f aca="false">IF($D791="","",IFERROR(INDEX(교육과정!$B$3:$B$102,MATCH($D791,교육과정!$A$3:$A$102,0)),"미등록과정"))</f>
        <v/>
      </c>
      <c r="F791" s="13"/>
      <c r="G791" s="9"/>
      <c r="H791" s="9"/>
    </row>
    <row r="792" customFormat="false" ht="15" hidden="false" customHeight="true" outlineLevel="0" collapsed="false">
      <c r="A792" s="11"/>
      <c r="B792" s="9"/>
      <c r="C792" s="15" t="str">
        <f aca="false">IF($B792="","",IFERROR(INDEX(직원목록!$B$3:$B$302,MATCH($B792,직원목록!$A$3:$A$302,0)),"미등록사번"))</f>
        <v/>
      </c>
      <c r="D792" s="9"/>
      <c r="E792" s="15" t="str">
        <f aca="false">IF($D792="","",IFERROR(INDEX(교육과정!$B$3:$B$102,MATCH($D792,교육과정!$A$3:$A$102,0)),"미등록과정"))</f>
        <v/>
      </c>
      <c r="F792" s="13"/>
      <c r="G792" s="9"/>
      <c r="H792" s="9"/>
    </row>
    <row r="793" customFormat="false" ht="15" hidden="false" customHeight="true" outlineLevel="0" collapsed="false">
      <c r="A793" s="11"/>
      <c r="B793" s="9"/>
      <c r="C793" s="15" t="str">
        <f aca="false">IF($B793="","",IFERROR(INDEX(직원목록!$B$3:$B$302,MATCH($B793,직원목록!$A$3:$A$302,0)),"미등록사번"))</f>
        <v/>
      </c>
      <c r="D793" s="9"/>
      <c r="E793" s="15" t="str">
        <f aca="false">IF($D793="","",IFERROR(INDEX(교육과정!$B$3:$B$102,MATCH($D793,교육과정!$A$3:$A$102,0)),"미등록과정"))</f>
        <v/>
      </c>
      <c r="F793" s="13"/>
      <c r="G793" s="9"/>
      <c r="H793" s="9"/>
    </row>
    <row r="794" customFormat="false" ht="15" hidden="false" customHeight="true" outlineLevel="0" collapsed="false">
      <c r="A794" s="11"/>
      <c r="B794" s="9"/>
      <c r="C794" s="15" t="str">
        <f aca="false">IF($B794="","",IFERROR(INDEX(직원목록!$B$3:$B$302,MATCH($B794,직원목록!$A$3:$A$302,0)),"미등록사번"))</f>
        <v/>
      </c>
      <c r="D794" s="9"/>
      <c r="E794" s="15" t="str">
        <f aca="false">IF($D794="","",IFERROR(INDEX(교육과정!$B$3:$B$102,MATCH($D794,교육과정!$A$3:$A$102,0)),"미등록과정"))</f>
        <v/>
      </c>
      <c r="F794" s="13"/>
      <c r="G794" s="9"/>
      <c r="H794" s="9"/>
    </row>
    <row r="795" customFormat="false" ht="15" hidden="false" customHeight="true" outlineLevel="0" collapsed="false">
      <c r="A795" s="11"/>
      <c r="B795" s="9"/>
      <c r="C795" s="15" t="str">
        <f aca="false">IF($B795="","",IFERROR(INDEX(직원목록!$B$3:$B$302,MATCH($B795,직원목록!$A$3:$A$302,0)),"미등록사번"))</f>
        <v/>
      </c>
      <c r="D795" s="9"/>
      <c r="E795" s="15" t="str">
        <f aca="false">IF($D795="","",IFERROR(INDEX(교육과정!$B$3:$B$102,MATCH($D795,교육과정!$A$3:$A$102,0)),"미등록과정"))</f>
        <v/>
      </c>
      <c r="F795" s="13"/>
      <c r="G795" s="9"/>
      <c r="H795" s="9"/>
    </row>
    <row r="796" customFormat="false" ht="15" hidden="false" customHeight="true" outlineLevel="0" collapsed="false">
      <c r="A796" s="11"/>
      <c r="B796" s="9"/>
      <c r="C796" s="15" t="str">
        <f aca="false">IF($B796="","",IFERROR(INDEX(직원목록!$B$3:$B$302,MATCH($B796,직원목록!$A$3:$A$302,0)),"미등록사번"))</f>
        <v/>
      </c>
      <c r="D796" s="9"/>
      <c r="E796" s="15" t="str">
        <f aca="false">IF($D796="","",IFERROR(INDEX(교육과정!$B$3:$B$102,MATCH($D796,교육과정!$A$3:$A$102,0)),"미등록과정"))</f>
        <v/>
      </c>
      <c r="F796" s="13"/>
      <c r="G796" s="9"/>
      <c r="H796" s="9"/>
    </row>
    <row r="797" customFormat="false" ht="15" hidden="false" customHeight="true" outlineLevel="0" collapsed="false">
      <c r="A797" s="11"/>
      <c r="B797" s="9"/>
      <c r="C797" s="15" t="str">
        <f aca="false">IF($B797="","",IFERROR(INDEX(직원목록!$B$3:$B$302,MATCH($B797,직원목록!$A$3:$A$302,0)),"미등록사번"))</f>
        <v/>
      </c>
      <c r="D797" s="9"/>
      <c r="E797" s="15" t="str">
        <f aca="false">IF($D797="","",IFERROR(INDEX(교육과정!$B$3:$B$102,MATCH($D797,교육과정!$A$3:$A$102,0)),"미등록과정"))</f>
        <v/>
      </c>
      <c r="F797" s="13"/>
      <c r="G797" s="9"/>
      <c r="H797" s="9"/>
    </row>
    <row r="798" customFormat="false" ht="15" hidden="false" customHeight="true" outlineLevel="0" collapsed="false">
      <c r="A798" s="11"/>
      <c r="B798" s="9"/>
      <c r="C798" s="15" t="str">
        <f aca="false">IF($B798="","",IFERROR(INDEX(직원목록!$B$3:$B$302,MATCH($B798,직원목록!$A$3:$A$302,0)),"미등록사번"))</f>
        <v/>
      </c>
      <c r="D798" s="9"/>
      <c r="E798" s="15" t="str">
        <f aca="false">IF($D798="","",IFERROR(INDEX(교육과정!$B$3:$B$102,MATCH($D798,교육과정!$A$3:$A$102,0)),"미등록과정"))</f>
        <v/>
      </c>
      <c r="F798" s="13"/>
      <c r="G798" s="9"/>
      <c r="H798" s="9"/>
    </row>
    <row r="799" customFormat="false" ht="15" hidden="false" customHeight="true" outlineLevel="0" collapsed="false">
      <c r="A799" s="11"/>
      <c r="B799" s="9"/>
      <c r="C799" s="15" t="str">
        <f aca="false">IF($B799="","",IFERROR(INDEX(직원목록!$B$3:$B$302,MATCH($B799,직원목록!$A$3:$A$302,0)),"미등록사번"))</f>
        <v/>
      </c>
      <c r="D799" s="9"/>
      <c r="E799" s="15" t="str">
        <f aca="false">IF($D799="","",IFERROR(INDEX(교육과정!$B$3:$B$102,MATCH($D799,교육과정!$A$3:$A$102,0)),"미등록과정"))</f>
        <v/>
      </c>
      <c r="F799" s="13"/>
      <c r="G799" s="9"/>
      <c r="H799" s="9"/>
    </row>
    <row r="800" customFormat="false" ht="15" hidden="false" customHeight="true" outlineLevel="0" collapsed="false">
      <c r="A800" s="11"/>
      <c r="B800" s="9"/>
      <c r="C800" s="15" t="str">
        <f aca="false">IF($B800="","",IFERROR(INDEX(직원목록!$B$3:$B$302,MATCH($B800,직원목록!$A$3:$A$302,0)),"미등록사번"))</f>
        <v/>
      </c>
      <c r="D800" s="9"/>
      <c r="E800" s="15" t="str">
        <f aca="false">IF($D800="","",IFERROR(INDEX(교육과정!$B$3:$B$102,MATCH($D800,교육과정!$A$3:$A$102,0)),"미등록과정"))</f>
        <v/>
      </c>
      <c r="F800" s="13"/>
      <c r="G800" s="9"/>
      <c r="H800" s="9"/>
    </row>
    <row r="801" customFormat="false" ht="15" hidden="false" customHeight="true" outlineLevel="0" collapsed="false">
      <c r="A801" s="11"/>
      <c r="B801" s="9"/>
      <c r="C801" s="15" t="str">
        <f aca="false">IF($B801="","",IFERROR(INDEX(직원목록!$B$3:$B$302,MATCH($B801,직원목록!$A$3:$A$302,0)),"미등록사번"))</f>
        <v/>
      </c>
      <c r="D801" s="9"/>
      <c r="E801" s="15" t="str">
        <f aca="false">IF($D801="","",IFERROR(INDEX(교육과정!$B$3:$B$102,MATCH($D801,교육과정!$A$3:$A$102,0)),"미등록과정"))</f>
        <v/>
      </c>
      <c r="F801" s="13"/>
      <c r="G801" s="9"/>
      <c r="H801" s="9"/>
    </row>
    <row r="802" customFormat="false" ht="15" hidden="false" customHeight="true" outlineLevel="0" collapsed="false">
      <c r="A802" s="11"/>
      <c r="B802" s="9"/>
      <c r="C802" s="15" t="str">
        <f aca="false">IF($B802="","",IFERROR(INDEX(직원목록!$B$3:$B$302,MATCH($B802,직원목록!$A$3:$A$302,0)),"미등록사번"))</f>
        <v/>
      </c>
      <c r="D802" s="9"/>
      <c r="E802" s="15" t="str">
        <f aca="false">IF($D802="","",IFERROR(INDEX(교육과정!$B$3:$B$102,MATCH($D802,교육과정!$A$3:$A$102,0)),"미등록과정"))</f>
        <v/>
      </c>
      <c r="F802" s="13"/>
      <c r="G802" s="9"/>
      <c r="H802" s="9"/>
    </row>
    <row r="803" customFormat="false" ht="15" hidden="false" customHeight="true" outlineLevel="0" collapsed="false">
      <c r="A803" s="11"/>
      <c r="B803" s="9"/>
      <c r="C803" s="15" t="str">
        <f aca="false">IF($B803="","",IFERROR(INDEX(직원목록!$B$3:$B$302,MATCH($B803,직원목록!$A$3:$A$302,0)),"미등록사번"))</f>
        <v/>
      </c>
      <c r="D803" s="9"/>
      <c r="E803" s="15" t="str">
        <f aca="false">IF($D803="","",IFERROR(INDEX(교육과정!$B$3:$B$102,MATCH($D803,교육과정!$A$3:$A$102,0)),"미등록과정"))</f>
        <v/>
      </c>
      <c r="F803" s="13"/>
      <c r="G803" s="9"/>
      <c r="H803" s="9"/>
    </row>
    <row r="804" customFormat="false" ht="15" hidden="false" customHeight="true" outlineLevel="0" collapsed="false">
      <c r="A804" s="11"/>
      <c r="B804" s="9"/>
      <c r="C804" s="15" t="str">
        <f aca="false">IF($B804="","",IFERROR(INDEX(직원목록!$B$3:$B$302,MATCH($B804,직원목록!$A$3:$A$302,0)),"미등록사번"))</f>
        <v/>
      </c>
      <c r="D804" s="9"/>
      <c r="E804" s="15" t="str">
        <f aca="false">IF($D804="","",IFERROR(INDEX(교육과정!$B$3:$B$102,MATCH($D804,교육과정!$A$3:$A$102,0)),"미등록과정"))</f>
        <v/>
      </c>
      <c r="F804" s="13"/>
      <c r="G804" s="9"/>
      <c r="H804" s="9"/>
    </row>
    <row r="805" customFormat="false" ht="15" hidden="false" customHeight="true" outlineLevel="0" collapsed="false">
      <c r="A805" s="11"/>
      <c r="B805" s="9"/>
      <c r="C805" s="15" t="str">
        <f aca="false">IF($B805="","",IFERROR(INDEX(직원목록!$B$3:$B$302,MATCH($B805,직원목록!$A$3:$A$302,0)),"미등록사번"))</f>
        <v/>
      </c>
      <c r="D805" s="9"/>
      <c r="E805" s="15" t="str">
        <f aca="false">IF($D805="","",IFERROR(INDEX(교육과정!$B$3:$B$102,MATCH($D805,교육과정!$A$3:$A$102,0)),"미등록과정"))</f>
        <v/>
      </c>
      <c r="F805" s="13"/>
      <c r="G805" s="9"/>
      <c r="H805" s="9"/>
    </row>
    <row r="806" customFormat="false" ht="15" hidden="false" customHeight="true" outlineLevel="0" collapsed="false">
      <c r="A806" s="11"/>
      <c r="B806" s="9"/>
      <c r="C806" s="15" t="str">
        <f aca="false">IF($B806="","",IFERROR(INDEX(직원목록!$B$3:$B$302,MATCH($B806,직원목록!$A$3:$A$302,0)),"미등록사번"))</f>
        <v/>
      </c>
      <c r="D806" s="9"/>
      <c r="E806" s="15" t="str">
        <f aca="false">IF($D806="","",IFERROR(INDEX(교육과정!$B$3:$B$102,MATCH($D806,교육과정!$A$3:$A$102,0)),"미등록과정"))</f>
        <v/>
      </c>
      <c r="F806" s="13"/>
      <c r="G806" s="9"/>
      <c r="H806" s="9"/>
    </row>
    <row r="807" customFormat="false" ht="15" hidden="false" customHeight="true" outlineLevel="0" collapsed="false">
      <c r="A807" s="11"/>
      <c r="B807" s="9"/>
      <c r="C807" s="15" t="str">
        <f aca="false">IF($B807="","",IFERROR(INDEX(직원목록!$B$3:$B$302,MATCH($B807,직원목록!$A$3:$A$302,0)),"미등록사번"))</f>
        <v/>
      </c>
      <c r="D807" s="9"/>
      <c r="E807" s="15" t="str">
        <f aca="false">IF($D807="","",IFERROR(INDEX(교육과정!$B$3:$B$102,MATCH($D807,교육과정!$A$3:$A$102,0)),"미등록과정"))</f>
        <v/>
      </c>
      <c r="F807" s="13"/>
      <c r="G807" s="9"/>
      <c r="H807" s="9"/>
    </row>
    <row r="808" customFormat="false" ht="15" hidden="false" customHeight="true" outlineLevel="0" collapsed="false">
      <c r="A808" s="11"/>
      <c r="B808" s="9"/>
      <c r="C808" s="15" t="str">
        <f aca="false">IF($B808="","",IFERROR(INDEX(직원목록!$B$3:$B$302,MATCH($B808,직원목록!$A$3:$A$302,0)),"미등록사번"))</f>
        <v/>
      </c>
      <c r="D808" s="9"/>
      <c r="E808" s="15" t="str">
        <f aca="false">IF($D808="","",IFERROR(INDEX(교육과정!$B$3:$B$102,MATCH($D808,교육과정!$A$3:$A$102,0)),"미등록과정"))</f>
        <v/>
      </c>
      <c r="F808" s="13"/>
      <c r="G808" s="9"/>
      <c r="H808" s="9"/>
    </row>
    <row r="809" customFormat="false" ht="15" hidden="false" customHeight="true" outlineLevel="0" collapsed="false">
      <c r="A809" s="11"/>
      <c r="B809" s="9"/>
      <c r="C809" s="15" t="str">
        <f aca="false">IF($B809="","",IFERROR(INDEX(직원목록!$B$3:$B$302,MATCH($B809,직원목록!$A$3:$A$302,0)),"미등록사번"))</f>
        <v/>
      </c>
      <c r="D809" s="9"/>
      <c r="E809" s="15" t="str">
        <f aca="false">IF($D809="","",IFERROR(INDEX(교육과정!$B$3:$B$102,MATCH($D809,교육과정!$A$3:$A$102,0)),"미등록과정"))</f>
        <v/>
      </c>
      <c r="F809" s="13"/>
      <c r="G809" s="9"/>
      <c r="H809" s="9"/>
    </row>
    <row r="810" customFormat="false" ht="15" hidden="false" customHeight="true" outlineLevel="0" collapsed="false">
      <c r="A810" s="11"/>
      <c r="B810" s="9"/>
      <c r="C810" s="15" t="str">
        <f aca="false">IF($B810="","",IFERROR(INDEX(직원목록!$B$3:$B$302,MATCH($B810,직원목록!$A$3:$A$302,0)),"미등록사번"))</f>
        <v/>
      </c>
      <c r="D810" s="9"/>
      <c r="E810" s="15" t="str">
        <f aca="false">IF($D810="","",IFERROR(INDEX(교육과정!$B$3:$B$102,MATCH($D810,교육과정!$A$3:$A$102,0)),"미등록과정"))</f>
        <v/>
      </c>
      <c r="F810" s="13"/>
      <c r="G810" s="9"/>
      <c r="H810" s="9"/>
    </row>
    <row r="811" customFormat="false" ht="15" hidden="false" customHeight="true" outlineLevel="0" collapsed="false">
      <c r="A811" s="11"/>
      <c r="B811" s="9"/>
      <c r="C811" s="15" t="str">
        <f aca="false">IF($B811="","",IFERROR(INDEX(직원목록!$B$3:$B$302,MATCH($B811,직원목록!$A$3:$A$302,0)),"미등록사번"))</f>
        <v/>
      </c>
      <c r="D811" s="9"/>
      <c r="E811" s="15" t="str">
        <f aca="false">IF($D811="","",IFERROR(INDEX(교육과정!$B$3:$B$102,MATCH($D811,교육과정!$A$3:$A$102,0)),"미등록과정"))</f>
        <v/>
      </c>
      <c r="F811" s="13"/>
      <c r="G811" s="9"/>
      <c r="H811" s="9"/>
    </row>
    <row r="812" customFormat="false" ht="15" hidden="false" customHeight="true" outlineLevel="0" collapsed="false">
      <c r="A812" s="11"/>
      <c r="B812" s="9"/>
      <c r="C812" s="15" t="str">
        <f aca="false">IF($B812="","",IFERROR(INDEX(직원목록!$B$3:$B$302,MATCH($B812,직원목록!$A$3:$A$302,0)),"미등록사번"))</f>
        <v/>
      </c>
      <c r="D812" s="9"/>
      <c r="E812" s="15" t="str">
        <f aca="false">IF($D812="","",IFERROR(INDEX(교육과정!$B$3:$B$102,MATCH($D812,교육과정!$A$3:$A$102,0)),"미등록과정"))</f>
        <v/>
      </c>
      <c r="F812" s="13"/>
      <c r="G812" s="9"/>
      <c r="H812" s="9"/>
    </row>
    <row r="813" customFormat="false" ht="15" hidden="false" customHeight="true" outlineLevel="0" collapsed="false">
      <c r="A813" s="11"/>
      <c r="B813" s="9"/>
      <c r="C813" s="15" t="str">
        <f aca="false">IF($B813="","",IFERROR(INDEX(직원목록!$B$3:$B$302,MATCH($B813,직원목록!$A$3:$A$302,0)),"미등록사번"))</f>
        <v/>
      </c>
      <c r="D813" s="9"/>
      <c r="E813" s="15" t="str">
        <f aca="false">IF($D813="","",IFERROR(INDEX(교육과정!$B$3:$B$102,MATCH($D813,교육과정!$A$3:$A$102,0)),"미등록과정"))</f>
        <v/>
      </c>
      <c r="F813" s="13"/>
      <c r="G813" s="9"/>
      <c r="H813" s="9"/>
    </row>
    <row r="814" customFormat="false" ht="15" hidden="false" customHeight="true" outlineLevel="0" collapsed="false">
      <c r="A814" s="11"/>
      <c r="B814" s="9"/>
      <c r="C814" s="15" t="str">
        <f aca="false">IF($B814="","",IFERROR(INDEX(직원목록!$B$3:$B$302,MATCH($B814,직원목록!$A$3:$A$302,0)),"미등록사번"))</f>
        <v/>
      </c>
      <c r="D814" s="9"/>
      <c r="E814" s="15" t="str">
        <f aca="false">IF($D814="","",IFERROR(INDEX(교육과정!$B$3:$B$102,MATCH($D814,교육과정!$A$3:$A$102,0)),"미등록과정"))</f>
        <v/>
      </c>
      <c r="F814" s="13"/>
      <c r="G814" s="9"/>
      <c r="H814" s="9"/>
    </row>
    <row r="815" customFormat="false" ht="15" hidden="false" customHeight="true" outlineLevel="0" collapsed="false">
      <c r="A815" s="11"/>
      <c r="B815" s="9"/>
      <c r="C815" s="15" t="str">
        <f aca="false">IF($B815="","",IFERROR(INDEX(직원목록!$B$3:$B$302,MATCH($B815,직원목록!$A$3:$A$302,0)),"미등록사번"))</f>
        <v/>
      </c>
      <c r="D815" s="9"/>
      <c r="E815" s="15" t="str">
        <f aca="false">IF($D815="","",IFERROR(INDEX(교육과정!$B$3:$B$102,MATCH($D815,교육과정!$A$3:$A$102,0)),"미등록과정"))</f>
        <v/>
      </c>
      <c r="F815" s="13"/>
      <c r="G815" s="9"/>
      <c r="H815" s="9"/>
    </row>
    <row r="816" customFormat="false" ht="15" hidden="false" customHeight="true" outlineLevel="0" collapsed="false">
      <c r="A816" s="11"/>
      <c r="B816" s="9"/>
      <c r="C816" s="15" t="str">
        <f aca="false">IF($B816="","",IFERROR(INDEX(직원목록!$B$3:$B$302,MATCH($B816,직원목록!$A$3:$A$302,0)),"미등록사번"))</f>
        <v/>
      </c>
      <c r="D816" s="9"/>
      <c r="E816" s="15" t="str">
        <f aca="false">IF($D816="","",IFERROR(INDEX(교육과정!$B$3:$B$102,MATCH($D816,교육과정!$A$3:$A$102,0)),"미등록과정"))</f>
        <v/>
      </c>
      <c r="F816" s="13"/>
      <c r="G816" s="9"/>
      <c r="H816" s="9"/>
    </row>
    <row r="817" customFormat="false" ht="15" hidden="false" customHeight="true" outlineLevel="0" collapsed="false">
      <c r="A817" s="11"/>
      <c r="B817" s="9"/>
      <c r="C817" s="15" t="str">
        <f aca="false">IF($B817="","",IFERROR(INDEX(직원목록!$B$3:$B$302,MATCH($B817,직원목록!$A$3:$A$302,0)),"미등록사번"))</f>
        <v/>
      </c>
      <c r="D817" s="9"/>
      <c r="E817" s="15" t="str">
        <f aca="false">IF($D817="","",IFERROR(INDEX(교육과정!$B$3:$B$102,MATCH($D817,교육과정!$A$3:$A$102,0)),"미등록과정"))</f>
        <v/>
      </c>
      <c r="F817" s="13"/>
      <c r="G817" s="9"/>
      <c r="H817" s="9"/>
    </row>
    <row r="818" customFormat="false" ht="15" hidden="false" customHeight="true" outlineLevel="0" collapsed="false">
      <c r="A818" s="11"/>
      <c r="B818" s="9"/>
      <c r="C818" s="15" t="str">
        <f aca="false">IF($B818="","",IFERROR(INDEX(직원목록!$B$3:$B$302,MATCH($B818,직원목록!$A$3:$A$302,0)),"미등록사번"))</f>
        <v/>
      </c>
      <c r="D818" s="9"/>
      <c r="E818" s="15" t="str">
        <f aca="false">IF($D818="","",IFERROR(INDEX(교육과정!$B$3:$B$102,MATCH($D818,교육과정!$A$3:$A$102,0)),"미등록과정"))</f>
        <v/>
      </c>
      <c r="F818" s="13"/>
      <c r="G818" s="9"/>
      <c r="H818" s="9"/>
    </row>
    <row r="819" customFormat="false" ht="15" hidden="false" customHeight="true" outlineLevel="0" collapsed="false">
      <c r="A819" s="11"/>
      <c r="B819" s="9"/>
      <c r="C819" s="15" t="str">
        <f aca="false">IF($B819="","",IFERROR(INDEX(직원목록!$B$3:$B$302,MATCH($B819,직원목록!$A$3:$A$302,0)),"미등록사번"))</f>
        <v/>
      </c>
      <c r="D819" s="9"/>
      <c r="E819" s="15" t="str">
        <f aca="false">IF($D819="","",IFERROR(INDEX(교육과정!$B$3:$B$102,MATCH($D819,교육과정!$A$3:$A$102,0)),"미등록과정"))</f>
        <v/>
      </c>
      <c r="F819" s="13"/>
      <c r="G819" s="9"/>
      <c r="H819" s="9"/>
    </row>
    <row r="820" customFormat="false" ht="15" hidden="false" customHeight="true" outlineLevel="0" collapsed="false">
      <c r="A820" s="11"/>
      <c r="B820" s="9"/>
      <c r="C820" s="15" t="str">
        <f aca="false">IF($B820="","",IFERROR(INDEX(직원목록!$B$3:$B$302,MATCH($B820,직원목록!$A$3:$A$302,0)),"미등록사번"))</f>
        <v/>
      </c>
      <c r="D820" s="9"/>
      <c r="E820" s="15" t="str">
        <f aca="false">IF($D820="","",IFERROR(INDEX(교육과정!$B$3:$B$102,MATCH($D820,교육과정!$A$3:$A$102,0)),"미등록과정"))</f>
        <v/>
      </c>
      <c r="F820" s="13"/>
      <c r="G820" s="9"/>
      <c r="H820" s="9"/>
    </row>
    <row r="821" customFormat="false" ht="15" hidden="false" customHeight="true" outlineLevel="0" collapsed="false">
      <c r="A821" s="11"/>
      <c r="B821" s="9"/>
      <c r="C821" s="15" t="str">
        <f aca="false">IF($B821="","",IFERROR(INDEX(직원목록!$B$3:$B$302,MATCH($B821,직원목록!$A$3:$A$302,0)),"미등록사번"))</f>
        <v/>
      </c>
      <c r="D821" s="9"/>
      <c r="E821" s="15" t="str">
        <f aca="false">IF($D821="","",IFERROR(INDEX(교육과정!$B$3:$B$102,MATCH($D821,교육과정!$A$3:$A$102,0)),"미등록과정"))</f>
        <v/>
      </c>
      <c r="F821" s="13"/>
      <c r="G821" s="9"/>
      <c r="H821" s="9"/>
    </row>
    <row r="822" customFormat="false" ht="15" hidden="false" customHeight="true" outlineLevel="0" collapsed="false">
      <c r="A822" s="11"/>
      <c r="B822" s="9"/>
      <c r="C822" s="15" t="str">
        <f aca="false">IF($B822="","",IFERROR(INDEX(직원목록!$B$3:$B$302,MATCH($B822,직원목록!$A$3:$A$302,0)),"미등록사번"))</f>
        <v/>
      </c>
      <c r="D822" s="9"/>
      <c r="E822" s="15" t="str">
        <f aca="false">IF($D822="","",IFERROR(INDEX(교육과정!$B$3:$B$102,MATCH($D822,교육과정!$A$3:$A$102,0)),"미등록과정"))</f>
        <v/>
      </c>
      <c r="F822" s="13"/>
      <c r="G822" s="9"/>
      <c r="H822" s="9"/>
    </row>
    <row r="823" customFormat="false" ht="15" hidden="false" customHeight="true" outlineLevel="0" collapsed="false">
      <c r="A823" s="11"/>
      <c r="B823" s="9"/>
      <c r="C823" s="15" t="str">
        <f aca="false">IF($B823="","",IFERROR(INDEX(직원목록!$B$3:$B$302,MATCH($B823,직원목록!$A$3:$A$302,0)),"미등록사번"))</f>
        <v/>
      </c>
      <c r="D823" s="9"/>
      <c r="E823" s="15" t="str">
        <f aca="false">IF($D823="","",IFERROR(INDEX(교육과정!$B$3:$B$102,MATCH($D823,교육과정!$A$3:$A$102,0)),"미등록과정"))</f>
        <v/>
      </c>
      <c r="F823" s="13"/>
      <c r="G823" s="9"/>
      <c r="H823" s="9"/>
    </row>
    <row r="824" customFormat="false" ht="15" hidden="false" customHeight="true" outlineLevel="0" collapsed="false">
      <c r="A824" s="11"/>
      <c r="B824" s="9"/>
      <c r="C824" s="15" t="str">
        <f aca="false">IF($B824="","",IFERROR(INDEX(직원목록!$B$3:$B$302,MATCH($B824,직원목록!$A$3:$A$302,0)),"미등록사번"))</f>
        <v/>
      </c>
      <c r="D824" s="9"/>
      <c r="E824" s="15" t="str">
        <f aca="false">IF($D824="","",IFERROR(INDEX(교육과정!$B$3:$B$102,MATCH($D824,교육과정!$A$3:$A$102,0)),"미등록과정"))</f>
        <v/>
      </c>
      <c r="F824" s="13"/>
      <c r="G824" s="9"/>
      <c r="H824" s="9"/>
    </row>
    <row r="825" customFormat="false" ht="15" hidden="false" customHeight="true" outlineLevel="0" collapsed="false">
      <c r="A825" s="11"/>
      <c r="B825" s="9"/>
      <c r="C825" s="15" t="str">
        <f aca="false">IF($B825="","",IFERROR(INDEX(직원목록!$B$3:$B$302,MATCH($B825,직원목록!$A$3:$A$302,0)),"미등록사번"))</f>
        <v/>
      </c>
      <c r="D825" s="9"/>
      <c r="E825" s="15" t="str">
        <f aca="false">IF($D825="","",IFERROR(INDEX(교육과정!$B$3:$B$102,MATCH($D825,교육과정!$A$3:$A$102,0)),"미등록과정"))</f>
        <v/>
      </c>
      <c r="F825" s="13"/>
      <c r="G825" s="9"/>
      <c r="H825" s="9"/>
    </row>
    <row r="826" customFormat="false" ht="15" hidden="false" customHeight="true" outlineLevel="0" collapsed="false">
      <c r="A826" s="11"/>
      <c r="B826" s="9"/>
      <c r="C826" s="15" t="str">
        <f aca="false">IF($B826="","",IFERROR(INDEX(직원목록!$B$3:$B$302,MATCH($B826,직원목록!$A$3:$A$302,0)),"미등록사번"))</f>
        <v/>
      </c>
      <c r="D826" s="9"/>
      <c r="E826" s="15" t="str">
        <f aca="false">IF($D826="","",IFERROR(INDEX(교육과정!$B$3:$B$102,MATCH($D826,교육과정!$A$3:$A$102,0)),"미등록과정"))</f>
        <v/>
      </c>
      <c r="F826" s="13"/>
      <c r="G826" s="9"/>
      <c r="H826" s="9"/>
    </row>
    <row r="827" customFormat="false" ht="15" hidden="false" customHeight="true" outlineLevel="0" collapsed="false">
      <c r="A827" s="11"/>
      <c r="B827" s="9"/>
      <c r="C827" s="15" t="str">
        <f aca="false">IF($B827="","",IFERROR(INDEX(직원목록!$B$3:$B$302,MATCH($B827,직원목록!$A$3:$A$302,0)),"미등록사번"))</f>
        <v/>
      </c>
      <c r="D827" s="9"/>
      <c r="E827" s="15" t="str">
        <f aca="false">IF($D827="","",IFERROR(INDEX(교육과정!$B$3:$B$102,MATCH($D827,교육과정!$A$3:$A$102,0)),"미등록과정"))</f>
        <v/>
      </c>
      <c r="F827" s="13"/>
      <c r="G827" s="9"/>
      <c r="H827" s="9"/>
    </row>
    <row r="828" customFormat="false" ht="15" hidden="false" customHeight="true" outlineLevel="0" collapsed="false">
      <c r="A828" s="11"/>
      <c r="B828" s="9"/>
      <c r="C828" s="15" t="str">
        <f aca="false">IF($B828="","",IFERROR(INDEX(직원목록!$B$3:$B$302,MATCH($B828,직원목록!$A$3:$A$302,0)),"미등록사번"))</f>
        <v/>
      </c>
      <c r="D828" s="9"/>
      <c r="E828" s="15" t="str">
        <f aca="false">IF($D828="","",IFERROR(INDEX(교육과정!$B$3:$B$102,MATCH($D828,교육과정!$A$3:$A$102,0)),"미등록과정"))</f>
        <v/>
      </c>
      <c r="F828" s="13"/>
      <c r="G828" s="9"/>
      <c r="H828" s="9"/>
    </row>
    <row r="829" customFormat="false" ht="15" hidden="false" customHeight="true" outlineLevel="0" collapsed="false">
      <c r="A829" s="11"/>
      <c r="B829" s="9"/>
      <c r="C829" s="15" t="str">
        <f aca="false">IF($B829="","",IFERROR(INDEX(직원목록!$B$3:$B$302,MATCH($B829,직원목록!$A$3:$A$302,0)),"미등록사번"))</f>
        <v/>
      </c>
      <c r="D829" s="9"/>
      <c r="E829" s="15" t="str">
        <f aca="false">IF($D829="","",IFERROR(INDEX(교육과정!$B$3:$B$102,MATCH($D829,교육과정!$A$3:$A$102,0)),"미등록과정"))</f>
        <v/>
      </c>
      <c r="F829" s="13"/>
      <c r="G829" s="9"/>
      <c r="H829" s="9"/>
    </row>
    <row r="830" customFormat="false" ht="15" hidden="false" customHeight="true" outlineLevel="0" collapsed="false">
      <c r="A830" s="11"/>
      <c r="B830" s="9"/>
      <c r="C830" s="15" t="str">
        <f aca="false">IF($B830="","",IFERROR(INDEX(직원목록!$B$3:$B$302,MATCH($B830,직원목록!$A$3:$A$302,0)),"미등록사번"))</f>
        <v/>
      </c>
      <c r="D830" s="9"/>
      <c r="E830" s="15" t="str">
        <f aca="false">IF($D830="","",IFERROR(INDEX(교육과정!$B$3:$B$102,MATCH($D830,교육과정!$A$3:$A$102,0)),"미등록과정"))</f>
        <v/>
      </c>
      <c r="F830" s="13"/>
      <c r="G830" s="9"/>
      <c r="H830" s="9"/>
    </row>
    <row r="831" customFormat="false" ht="15" hidden="false" customHeight="true" outlineLevel="0" collapsed="false">
      <c r="A831" s="11"/>
      <c r="B831" s="9"/>
      <c r="C831" s="15" t="str">
        <f aca="false">IF($B831="","",IFERROR(INDEX(직원목록!$B$3:$B$302,MATCH($B831,직원목록!$A$3:$A$302,0)),"미등록사번"))</f>
        <v/>
      </c>
      <c r="D831" s="9"/>
      <c r="E831" s="15" t="str">
        <f aca="false">IF($D831="","",IFERROR(INDEX(교육과정!$B$3:$B$102,MATCH($D831,교육과정!$A$3:$A$102,0)),"미등록과정"))</f>
        <v/>
      </c>
      <c r="F831" s="13"/>
      <c r="G831" s="9"/>
      <c r="H831" s="9"/>
    </row>
    <row r="832" customFormat="false" ht="15" hidden="false" customHeight="true" outlineLevel="0" collapsed="false">
      <c r="A832" s="11"/>
      <c r="B832" s="9"/>
      <c r="C832" s="15" t="str">
        <f aca="false">IF($B832="","",IFERROR(INDEX(직원목록!$B$3:$B$302,MATCH($B832,직원목록!$A$3:$A$302,0)),"미등록사번"))</f>
        <v/>
      </c>
      <c r="D832" s="9"/>
      <c r="E832" s="15" t="str">
        <f aca="false">IF($D832="","",IFERROR(INDEX(교육과정!$B$3:$B$102,MATCH($D832,교육과정!$A$3:$A$102,0)),"미등록과정"))</f>
        <v/>
      </c>
      <c r="F832" s="13"/>
      <c r="G832" s="9"/>
      <c r="H832" s="9"/>
    </row>
    <row r="833" customFormat="false" ht="15" hidden="false" customHeight="true" outlineLevel="0" collapsed="false">
      <c r="A833" s="11"/>
      <c r="B833" s="9"/>
      <c r="C833" s="15" t="str">
        <f aca="false">IF($B833="","",IFERROR(INDEX(직원목록!$B$3:$B$302,MATCH($B833,직원목록!$A$3:$A$302,0)),"미등록사번"))</f>
        <v/>
      </c>
      <c r="D833" s="9"/>
      <c r="E833" s="15" t="str">
        <f aca="false">IF($D833="","",IFERROR(INDEX(교육과정!$B$3:$B$102,MATCH($D833,교육과정!$A$3:$A$102,0)),"미등록과정"))</f>
        <v/>
      </c>
      <c r="F833" s="13"/>
      <c r="G833" s="9"/>
      <c r="H833" s="9"/>
    </row>
    <row r="834" customFormat="false" ht="15" hidden="false" customHeight="true" outlineLevel="0" collapsed="false">
      <c r="A834" s="11"/>
      <c r="B834" s="9"/>
      <c r="C834" s="15" t="str">
        <f aca="false">IF($B834="","",IFERROR(INDEX(직원목록!$B$3:$B$302,MATCH($B834,직원목록!$A$3:$A$302,0)),"미등록사번"))</f>
        <v/>
      </c>
      <c r="D834" s="9"/>
      <c r="E834" s="15" t="str">
        <f aca="false">IF($D834="","",IFERROR(INDEX(교육과정!$B$3:$B$102,MATCH($D834,교육과정!$A$3:$A$102,0)),"미등록과정"))</f>
        <v/>
      </c>
      <c r="F834" s="13"/>
      <c r="G834" s="9"/>
      <c r="H834" s="9"/>
    </row>
    <row r="835" customFormat="false" ht="15" hidden="false" customHeight="true" outlineLevel="0" collapsed="false">
      <c r="A835" s="11"/>
      <c r="B835" s="9"/>
      <c r="C835" s="15" t="str">
        <f aca="false">IF($B835="","",IFERROR(INDEX(직원목록!$B$3:$B$302,MATCH($B835,직원목록!$A$3:$A$302,0)),"미등록사번"))</f>
        <v/>
      </c>
      <c r="D835" s="9"/>
      <c r="E835" s="15" t="str">
        <f aca="false">IF($D835="","",IFERROR(INDEX(교육과정!$B$3:$B$102,MATCH($D835,교육과정!$A$3:$A$102,0)),"미등록과정"))</f>
        <v/>
      </c>
      <c r="F835" s="13"/>
      <c r="G835" s="9"/>
      <c r="H835" s="9"/>
    </row>
    <row r="836" customFormat="false" ht="15" hidden="false" customHeight="true" outlineLevel="0" collapsed="false">
      <c r="A836" s="11"/>
      <c r="B836" s="9"/>
      <c r="C836" s="15" t="str">
        <f aca="false">IF($B836="","",IFERROR(INDEX(직원목록!$B$3:$B$302,MATCH($B836,직원목록!$A$3:$A$302,0)),"미등록사번"))</f>
        <v/>
      </c>
      <c r="D836" s="9"/>
      <c r="E836" s="15" t="str">
        <f aca="false">IF($D836="","",IFERROR(INDEX(교육과정!$B$3:$B$102,MATCH($D836,교육과정!$A$3:$A$102,0)),"미등록과정"))</f>
        <v/>
      </c>
      <c r="F836" s="13"/>
      <c r="G836" s="9"/>
      <c r="H836" s="9"/>
    </row>
    <row r="837" customFormat="false" ht="15" hidden="false" customHeight="true" outlineLevel="0" collapsed="false">
      <c r="A837" s="11"/>
      <c r="B837" s="9"/>
      <c r="C837" s="15" t="str">
        <f aca="false">IF($B837="","",IFERROR(INDEX(직원목록!$B$3:$B$302,MATCH($B837,직원목록!$A$3:$A$302,0)),"미등록사번"))</f>
        <v/>
      </c>
      <c r="D837" s="9"/>
      <c r="E837" s="15" t="str">
        <f aca="false">IF($D837="","",IFERROR(INDEX(교육과정!$B$3:$B$102,MATCH($D837,교육과정!$A$3:$A$102,0)),"미등록과정"))</f>
        <v/>
      </c>
      <c r="F837" s="13"/>
      <c r="G837" s="9"/>
      <c r="H837" s="9"/>
    </row>
    <row r="838" customFormat="false" ht="15" hidden="false" customHeight="true" outlineLevel="0" collapsed="false">
      <c r="A838" s="11"/>
      <c r="B838" s="9"/>
      <c r="C838" s="15" t="str">
        <f aca="false">IF($B838="","",IFERROR(INDEX(직원목록!$B$3:$B$302,MATCH($B838,직원목록!$A$3:$A$302,0)),"미등록사번"))</f>
        <v/>
      </c>
      <c r="D838" s="9"/>
      <c r="E838" s="15" t="str">
        <f aca="false">IF($D838="","",IFERROR(INDEX(교육과정!$B$3:$B$102,MATCH($D838,교육과정!$A$3:$A$102,0)),"미등록과정"))</f>
        <v/>
      </c>
      <c r="F838" s="13"/>
      <c r="G838" s="9"/>
      <c r="H838" s="9"/>
    </row>
    <row r="839" customFormat="false" ht="15" hidden="false" customHeight="true" outlineLevel="0" collapsed="false">
      <c r="A839" s="11"/>
      <c r="B839" s="9"/>
      <c r="C839" s="15" t="str">
        <f aca="false">IF($B839="","",IFERROR(INDEX(직원목록!$B$3:$B$302,MATCH($B839,직원목록!$A$3:$A$302,0)),"미등록사번"))</f>
        <v/>
      </c>
      <c r="D839" s="9"/>
      <c r="E839" s="15" t="str">
        <f aca="false">IF($D839="","",IFERROR(INDEX(교육과정!$B$3:$B$102,MATCH($D839,교육과정!$A$3:$A$102,0)),"미등록과정"))</f>
        <v/>
      </c>
      <c r="F839" s="13"/>
      <c r="G839" s="9"/>
      <c r="H839" s="9"/>
    </row>
    <row r="840" customFormat="false" ht="15" hidden="false" customHeight="true" outlineLevel="0" collapsed="false">
      <c r="A840" s="11"/>
      <c r="B840" s="9"/>
      <c r="C840" s="15" t="str">
        <f aca="false">IF($B840="","",IFERROR(INDEX(직원목록!$B$3:$B$302,MATCH($B840,직원목록!$A$3:$A$302,0)),"미등록사번"))</f>
        <v/>
      </c>
      <c r="D840" s="9"/>
      <c r="E840" s="15" t="str">
        <f aca="false">IF($D840="","",IFERROR(INDEX(교육과정!$B$3:$B$102,MATCH($D840,교육과정!$A$3:$A$102,0)),"미등록과정"))</f>
        <v/>
      </c>
      <c r="F840" s="13"/>
      <c r="G840" s="9"/>
      <c r="H840" s="9"/>
    </row>
    <row r="841" customFormat="false" ht="15" hidden="false" customHeight="true" outlineLevel="0" collapsed="false">
      <c r="A841" s="11"/>
      <c r="B841" s="9"/>
      <c r="C841" s="15" t="str">
        <f aca="false">IF($B841="","",IFERROR(INDEX(직원목록!$B$3:$B$302,MATCH($B841,직원목록!$A$3:$A$302,0)),"미등록사번"))</f>
        <v/>
      </c>
      <c r="D841" s="9"/>
      <c r="E841" s="15" t="str">
        <f aca="false">IF($D841="","",IFERROR(INDEX(교육과정!$B$3:$B$102,MATCH($D841,교육과정!$A$3:$A$102,0)),"미등록과정"))</f>
        <v/>
      </c>
      <c r="F841" s="13"/>
      <c r="G841" s="9"/>
      <c r="H841" s="9"/>
    </row>
    <row r="842" customFormat="false" ht="15" hidden="false" customHeight="true" outlineLevel="0" collapsed="false">
      <c r="A842" s="11"/>
      <c r="B842" s="9"/>
      <c r="C842" s="15" t="str">
        <f aca="false">IF($B842="","",IFERROR(INDEX(직원목록!$B$3:$B$302,MATCH($B842,직원목록!$A$3:$A$302,0)),"미등록사번"))</f>
        <v/>
      </c>
      <c r="D842" s="9"/>
      <c r="E842" s="15" t="str">
        <f aca="false">IF($D842="","",IFERROR(INDEX(교육과정!$B$3:$B$102,MATCH($D842,교육과정!$A$3:$A$102,0)),"미등록과정"))</f>
        <v/>
      </c>
      <c r="F842" s="13"/>
      <c r="G842" s="9"/>
      <c r="H842" s="9"/>
    </row>
    <row r="843" customFormat="false" ht="15" hidden="false" customHeight="true" outlineLevel="0" collapsed="false">
      <c r="A843" s="11"/>
      <c r="B843" s="9"/>
      <c r="C843" s="15" t="str">
        <f aca="false">IF($B843="","",IFERROR(INDEX(직원목록!$B$3:$B$302,MATCH($B843,직원목록!$A$3:$A$302,0)),"미등록사번"))</f>
        <v/>
      </c>
      <c r="D843" s="9"/>
      <c r="E843" s="15" t="str">
        <f aca="false">IF($D843="","",IFERROR(INDEX(교육과정!$B$3:$B$102,MATCH($D843,교육과정!$A$3:$A$102,0)),"미등록과정"))</f>
        <v/>
      </c>
      <c r="F843" s="13"/>
      <c r="G843" s="9"/>
      <c r="H843" s="9"/>
    </row>
    <row r="844" customFormat="false" ht="15" hidden="false" customHeight="true" outlineLevel="0" collapsed="false">
      <c r="A844" s="11"/>
      <c r="B844" s="9"/>
      <c r="C844" s="15" t="str">
        <f aca="false">IF($B844="","",IFERROR(INDEX(직원목록!$B$3:$B$302,MATCH($B844,직원목록!$A$3:$A$302,0)),"미등록사번"))</f>
        <v/>
      </c>
      <c r="D844" s="9"/>
      <c r="E844" s="15" t="str">
        <f aca="false">IF($D844="","",IFERROR(INDEX(교육과정!$B$3:$B$102,MATCH($D844,교육과정!$A$3:$A$102,0)),"미등록과정"))</f>
        <v/>
      </c>
      <c r="F844" s="13"/>
      <c r="G844" s="9"/>
      <c r="H844" s="9"/>
    </row>
    <row r="845" customFormat="false" ht="15" hidden="false" customHeight="true" outlineLevel="0" collapsed="false">
      <c r="A845" s="11"/>
      <c r="B845" s="9"/>
      <c r="C845" s="15" t="str">
        <f aca="false">IF($B845="","",IFERROR(INDEX(직원목록!$B$3:$B$302,MATCH($B845,직원목록!$A$3:$A$302,0)),"미등록사번"))</f>
        <v/>
      </c>
      <c r="D845" s="9"/>
      <c r="E845" s="15" t="str">
        <f aca="false">IF($D845="","",IFERROR(INDEX(교육과정!$B$3:$B$102,MATCH($D845,교육과정!$A$3:$A$102,0)),"미등록과정"))</f>
        <v/>
      </c>
      <c r="F845" s="13"/>
      <c r="G845" s="9"/>
      <c r="H845" s="9"/>
    </row>
    <row r="846" customFormat="false" ht="15" hidden="false" customHeight="true" outlineLevel="0" collapsed="false">
      <c r="A846" s="11"/>
      <c r="B846" s="9"/>
      <c r="C846" s="15" t="str">
        <f aca="false">IF($B846="","",IFERROR(INDEX(직원목록!$B$3:$B$302,MATCH($B846,직원목록!$A$3:$A$302,0)),"미등록사번"))</f>
        <v/>
      </c>
      <c r="D846" s="9"/>
      <c r="E846" s="15" t="str">
        <f aca="false">IF($D846="","",IFERROR(INDEX(교육과정!$B$3:$B$102,MATCH($D846,교육과정!$A$3:$A$102,0)),"미등록과정"))</f>
        <v/>
      </c>
      <c r="F846" s="13"/>
      <c r="G846" s="9"/>
      <c r="H846" s="9"/>
    </row>
    <row r="847" customFormat="false" ht="15" hidden="false" customHeight="true" outlineLevel="0" collapsed="false">
      <c r="A847" s="11"/>
      <c r="B847" s="9"/>
      <c r="C847" s="15" t="str">
        <f aca="false">IF($B847="","",IFERROR(INDEX(직원목록!$B$3:$B$302,MATCH($B847,직원목록!$A$3:$A$302,0)),"미등록사번"))</f>
        <v/>
      </c>
      <c r="D847" s="9"/>
      <c r="E847" s="15" t="str">
        <f aca="false">IF($D847="","",IFERROR(INDEX(교육과정!$B$3:$B$102,MATCH($D847,교육과정!$A$3:$A$102,0)),"미등록과정"))</f>
        <v/>
      </c>
      <c r="F847" s="13"/>
      <c r="G847" s="9"/>
      <c r="H847" s="9"/>
    </row>
    <row r="848" customFormat="false" ht="15" hidden="false" customHeight="true" outlineLevel="0" collapsed="false">
      <c r="A848" s="11"/>
      <c r="B848" s="9"/>
      <c r="C848" s="15" t="str">
        <f aca="false">IF($B848="","",IFERROR(INDEX(직원목록!$B$3:$B$302,MATCH($B848,직원목록!$A$3:$A$302,0)),"미등록사번"))</f>
        <v/>
      </c>
      <c r="D848" s="9"/>
      <c r="E848" s="15" t="str">
        <f aca="false">IF($D848="","",IFERROR(INDEX(교육과정!$B$3:$B$102,MATCH($D848,교육과정!$A$3:$A$102,0)),"미등록과정"))</f>
        <v/>
      </c>
      <c r="F848" s="13"/>
      <c r="G848" s="9"/>
      <c r="H848" s="9"/>
    </row>
    <row r="849" customFormat="false" ht="15" hidden="false" customHeight="true" outlineLevel="0" collapsed="false">
      <c r="A849" s="11"/>
      <c r="B849" s="9"/>
      <c r="C849" s="15" t="str">
        <f aca="false">IF($B849="","",IFERROR(INDEX(직원목록!$B$3:$B$302,MATCH($B849,직원목록!$A$3:$A$302,0)),"미등록사번"))</f>
        <v/>
      </c>
      <c r="D849" s="9"/>
      <c r="E849" s="15" t="str">
        <f aca="false">IF($D849="","",IFERROR(INDEX(교육과정!$B$3:$B$102,MATCH($D849,교육과정!$A$3:$A$102,0)),"미등록과정"))</f>
        <v/>
      </c>
      <c r="F849" s="13"/>
      <c r="G849" s="9"/>
      <c r="H849" s="9"/>
    </row>
    <row r="850" customFormat="false" ht="15" hidden="false" customHeight="true" outlineLevel="0" collapsed="false">
      <c r="A850" s="11"/>
      <c r="B850" s="9"/>
      <c r="C850" s="15" t="str">
        <f aca="false">IF($B850="","",IFERROR(INDEX(직원목록!$B$3:$B$302,MATCH($B850,직원목록!$A$3:$A$302,0)),"미등록사번"))</f>
        <v/>
      </c>
      <c r="D850" s="9"/>
      <c r="E850" s="15" t="str">
        <f aca="false">IF($D850="","",IFERROR(INDEX(교육과정!$B$3:$B$102,MATCH($D850,교육과정!$A$3:$A$102,0)),"미등록과정"))</f>
        <v/>
      </c>
      <c r="F850" s="13"/>
      <c r="G850" s="9"/>
      <c r="H850" s="9"/>
    </row>
    <row r="851" customFormat="false" ht="15" hidden="false" customHeight="true" outlineLevel="0" collapsed="false">
      <c r="A851" s="11"/>
      <c r="B851" s="9"/>
      <c r="C851" s="15" t="str">
        <f aca="false">IF($B851="","",IFERROR(INDEX(직원목록!$B$3:$B$302,MATCH($B851,직원목록!$A$3:$A$302,0)),"미등록사번"))</f>
        <v/>
      </c>
      <c r="D851" s="9"/>
      <c r="E851" s="15" t="str">
        <f aca="false">IF($D851="","",IFERROR(INDEX(교육과정!$B$3:$B$102,MATCH($D851,교육과정!$A$3:$A$102,0)),"미등록과정"))</f>
        <v/>
      </c>
      <c r="F851" s="13"/>
      <c r="G851" s="9"/>
      <c r="H851" s="9"/>
    </row>
    <row r="852" customFormat="false" ht="15" hidden="false" customHeight="true" outlineLevel="0" collapsed="false">
      <c r="A852" s="11"/>
      <c r="B852" s="9"/>
      <c r="C852" s="15" t="str">
        <f aca="false">IF($B852="","",IFERROR(INDEX(직원목록!$B$3:$B$302,MATCH($B852,직원목록!$A$3:$A$302,0)),"미등록사번"))</f>
        <v/>
      </c>
      <c r="D852" s="9"/>
      <c r="E852" s="15" t="str">
        <f aca="false">IF($D852="","",IFERROR(INDEX(교육과정!$B$3:$B$102,MATCH($D852,교육과정!$A$3:$A$102,0)),"미등록과정"))</f>
        <v/>
      </c>
      <c r="F852" s="13"/>
      <c r="G852" s="9"/>
      <c r="H852" s="9"/>
    </row>
    <row r="853" customFormat="false" ht="15" hidden="false" customHeight="true" outlineLevel="0" collapsed="false">
      <c r="A853" s="11"/>
      <c r="B853" s="9"/>
      <c r="C853" s="15" t="str">
        <f aca="false">IF($B853="","",IFERROR(INDEX(직원목록!$B$3:$B$302,MATCH($B853,직원목록!$A$3:$A$302,0)),"미등록사번"))</f>
        <v/>
      </c>
      <c r="D853" s="9"/>
      <c r="E853" s="15" t="str">
        <f aca="false">IF($D853="","",IFERROR(INDEX(교육과정!$B$3:$B$102,MATCH($D853,교육과정!$A$3:$A$102,0)),"미등록과정"))</f>
        <v/>
      </c>
      <c r="F853" s="13"/>
      <c r="G853" s="9"/>
      <c r="H853" s="9"/>
    </row>
    <row r="854" customFormat="false" ht="15" hidden="false" customHeight="true" outlineLevel="0" collapsed="false">
      <c r="A854" s="11"/>
      <c r="B854" s="9"/>
      <c r="C854" s="15" t="str">
        <f aca="false">IF($B854="","",IFERROR(INDEX(직원목록!$B$3:$B$302,MATCH($B854,직원목록!$A$3:$A$302,0)),"미등록사번"))</f>
        <v/>
      </c>
      <c r="D854" s="9"/>
      <c r="E854" s="15" t="str">
        <f aca="false">IF($D854="","",IFERROR(INDEX(교육과정!$B$3:$B$102,MATCH($D854,교육과정!$A$3:$A$102,0)),"미등록과정"))</f>
        <v/>
      </c>
      <c r="F854" s="13"/>
      <c r="G854" s="9"/>
      <c r="H854" s="9"/>
    </row>
    <row r="855" customFormat="false" ht="15" hidden="false" customHeight="true" outlineLevel="0" collapsed="false">
      <c r="A855" s="11"/>
      <c r="B855" s="9"/>
      <c r="C855" s="15" t="str">
        <f aca="false">IF($B855="","",IFERROR(INDEX(직원목록!$B$3:$B$302,MATCH($B855,직원목록!$A$3:$A$302,0)),"미등록사번"))</f>
        <v/>
      </c>
      <c r="D855" s="9"/>
      <c r="E855" s="15" t="str">
        <f aca="false">IF($D855="","",IFERROR(INDEX(교육과정!$B$3:$B$102,MATCH($D855,교육과정!$A$3:$A$102,0)),"미등록과정"))</f>
        <v/>
      </c>
      <c r="F855" s="13"/>
      <c r="G855" s="9"/>
      <c r="H855" s="9"/>
    </row>
    <row r="856" customFormat="false" ht="15" hidden="false" customHeight="true" outlineLevel="0" collapsed="false">
      <c r="A856" s="11"/>
      <c r="B856" s="9"/>
      <c r="C856" s="15" t="str">
        <f aca="false">IF($B856="","",IFERROR(INDEX(직원목록!$B$3:$B$302,MATCH($B856,직원목록!$A$3:$A$302,0)),"미등록사번"))</f>
        <v/>
      </c>
      <c r="D856" s="9"/>
      <c r="E856" s="15" t="str">
        <f aca="false">IF($D856="","",IFERROR(INDEX(교육과정!$B$3:$B$102,MATCH($D856,교육과정!$A$3:$A$102,0)),"미등록과정"))</f>
        <v/>
      </c>
      <c r="F856" s="13"/>
      <c r="G856" s="9"/>
      <c r="H856" s="9"/>
    </row>
    <row r="857" customFormat="false" ht="15" hidden="false" customHeight="true" outlineLevel="0" collapsed="false">
      <c r="A857" s="11"/>
      <c r="B857" s="9"/>
      <c r="C857" s="15" t="str">
        <f aca="false">IF($B857="","",IFERROR(INDEX(직원목록!$B$3:$B$302,MATCH($B857,직원목록!$A$3:$A$302,0)),"미등록사번"))</f>
        <v/>
      </c>
      <c r="D857" s="9"/>
      <c r="E857" s="15" t="str">
        <f aca="false">IF($D857="","",IFERROR(INDEX(교육과정!$B$3:$B$102,MATCH($D857,교육과정!$A$3:$A$102,0)),"미등록과정"))</f>
        <v/>
      </c>
      <c r="F857" s="13"/>
      <c r="G857" s="9"/>
      <c r="H857" s="9"/>
    </row>
    <row r="858" customFormat="false" ht="15" hidden="false" customHeight="true" outlineLevel="0" collapsed="false">
      <c r="A858" s="11"/>
      <c r="B858" s="9"/>
      <c r="C858" s="15" t="str">
        <f aca="false">IF($B858="","",IFERROR(INDEX(직원목록!$B$3:$B$302,MATCH($B858,직원목록!$A$3:$A$302,0)),"미등록사번"))</f>
        <v/>
      </c>
      <c r="D858" s="9"/>
      <c r="E858" s="15" t="str">
        <f aca="false">IF($D858="","",IFERROR(INDEX(교육과정!$B$3:$B$102,MATCH($D858,교육과정!$A$3:$A$102,0)),"미등록과정"))</f>
        <v/>
      </c>
      <c r="F858" s="13"/>
      <c r="G858" s="9"/>
      <c r="H858" s="9"/>
    </row>
    <row r="859" customFormat="false" ht="15" hidden="false" customHeight="true" outlineLevel="0" collapsed="false">
      <c r="A859" s="11"/>
      <c r="B859" s="9"/>
      <c r="C859" s="15" t="str">
        <f aca="false">IF($B859="","",IFERROR(INDEX(직원목록!$B$3:$B$302,MATCH($B859,직원목록!$A$3:$A$302,0)),"미등록사번"))</f>
        <v/>
      </c>
      <c r="D859" s="9"/>
      <c r="E859" s="15" t="str">
        <f aca="false">IF($D859="","",IFERROR(INDEX(교육과정!$B$3:$B$102,MATCH($D859,교육과정!$A$3:$A$102,0)),"미등록과정"))</f>
        <v/>
      </c>
      <c r="F859" s="13"/>
      <c r="G859" s="9"/>
      <c r="H859" s="9"/>
    </row>
    <row r="860" customFormat="false" ht="15" hidden="false" customHeight="true" outlineLevel="0" collapsed="false">
      <c r="A860" s="11"/>
      <c r="B860" s="9"/>
      <c r="C860" s="15" t="str">
        <f aca="false">IF($B860="","",IFERROR(INDEX(직원목록!$B$3:$B$302,MATCH($B860,직원목록!$A$3:$A$302,0)),"미등록사번"))</f>
        <v/>
      </c>
      <c r="D860" s="9"/>
      <c r="E860" s="15" t="str">
        <f aca="false">IF($D860="","",IFERROR(INDEX(교육과정!$B$3:$B$102,MATCH($D860,교육과정!$A$3:$A$102,0)),"미등록과정"))</f>
        <v/>
      </c>
      <c r="F860" s="13"/>
      <c r="G860" s="9"/>
      <c r="H860" s="9"/>
    </row>
    <row r="861" customFormat="false" ht="15" hidden="false" customHeight="true" outlineLevel="0" collapsed="false">
      <c r="A861" s="11"/>
      <c r="B861" s="9"/>
      <c r="C861" s="15" t="str">
        <f aca="false">IF($B861="","",IFERROR(INDEX(직원목록!$B$3:$B$302,MATCH($B861,직원목록!$A$3:$A$302,0)),"미등록사번"))</f>
        <v/>
      </c>
      <c r="D861" s="9"/>
      <c r="E861" s="15" t="str">
        <f aca="false">IF($D861="","",IFERROR(INDEX(교육과정!$B$3:$B$102,MATCH($D861,교육과정!$A$3:$A$102,0)),"미등록과정"))</f>
        <v/>
      </c>
      <c r="F861" s="13"/>
      <c r="G861" s="9"/>
      <c r="H861" s="9"/>
    </row>
    <row r="862" customFormat="false" ht="15" hidden="false" customHeight="true" outlineLevel="0" collapsed="false">
      <c r="A862" s="11"/>
      <c r="B862" s="9"/>
      <c r="C862" s="15" t="str">
        <f aca="false">IF($B862="","",IFERROR(INDEX(직원목록!$B$3:$B$302,MATCH($B862,직원목록!$A$3:$A$302,0)),"미등록사번"))</f>
        <v/>
      </c>
      <c r="D862" s="9"/>
      <c r="E862" s="15" t="str">
        <f aca="false">IF($D862="","",IFERROR(INDEX(교육과정!$B$3:$B$102,MATCH($D862,교육과정!$A$3:$A$102,0)),"미등록과정"))</f>
        <v/>
      </c>
      <c r="F862" s="13"/>
      <c r="G862" s="9"/>
      <c r="H862" s="9"/>
    </row>
    <row r="863" customFormat="false" ht="15" hidden="false" customHeight="true" outlineLevel="0" collapsed="false">
      <c r="A863" s="11"/>
      <c r="B863" s="9"/>
      <c r="C863" s="15" t="str">
        <f aca="false">IF($B863="","",IFERROR(INDEX(직원목록!$B$3:$B$302,MATCH($B863,직원목록!$A$3:$A$302,0)),"미등록사번"))</f>
        <v/>
      </c>
      <c r="D863" s="9"/>
      <c r="E863" s="15" t="str">
        <f aca="false">IF($D863="","",IFERROR(INDEX(교육과정!$B$3:$B$102,MATCH($D863,교육과정!$A$3:$A$102,0)),"미등록과정"))</f>
        <v/>
      </c>
      <c r="F863" s="13"/>
      <c r="G863" s="9"/>
      <c r="H863" s="9"/>
    </row>
    <row r="864" customFormat="false" ht="15" hidden="false" customHeight="true" outlineLevel="0" collapsed="false">
      <c r="A864" s="11"/>
      <c r="B864" s="9"/>
      <c r="C864" s="15" t="str">
        <f aca="false">IF($B864="","",IFERROR(INDEX(직원목록!$B$3:$B$302,MATCH($B864,직원목록!$A$3:$A$302,0)),"미등록사번"))</f>
        <v/>
      </c>
      <c r="D864" s="9"/>
      <c r="E864" s="15" t="str">
        <f aca="false">IF($D864="","",IFERROR(INDEX(교육과정!$B$3:$B$102,MATCH($D864,교육과정!$A$3:$A$102,0)),"미등록과정"))</f>
        <v/>
      </c>
      <c r="F864" s="13"/>
      <c r="G864" s="9"/>
      <c r="H864" s="9"/>
    </row>
    <row r="865" customFormat="false" ht="15" hidden="false" customHeight="true" outlineLevel="0" collapsed="false">
      <c r="A865" s="11"/>
      <c r="B865" s="9"/>
      <c r="C865" s="15" t="str">
        <f aca="false">IF($B865="","",IFERROR(INDEX(직원목록!$B$3:$B$302,MATCH($B865,직원목록!$A$3:$A$302,0)),"미등록사번"))</f>
        <v/>
      </c>
      <c r="D865" s="9"/>
      <c r="E865" s="15" t="str">
        <f aca="false">IF($D865="","",IFERROR(INDEX(교육과정!$B$3:$B$102,MATCH($D865,교육과정!$A$3:$A$102,0)),"미등록과정"))</f>
        <v/>
      </c>
      <c r="F865" s="13"/>
      <c r="G865" s="9"/>
      <c r="H865" s="9"/>
    </row>
    <row r="866" customFormat="false" ht="15" hidden="false" customHeight="true" outlineLevel="0" collapsed="false">
      <c r="A866" s="11"/>
      <c r="B866" s="9"/>
      <c r="C866" s="15" t="str">
        <f aca="false">IF($B866="","",IFERROR(INDEX(직원목록!$B$3:$B$302,MATCH($B866,직원목록!$A$3:$A$302,0)),"미등록사번"))</f>
        <v/>
      </c>
      <c r="D866" s="9"/>
      <c r="E866" s="15" t="str">
        <f aca="false">IF($D866="","",IFERROR(INDEX(교육과정!$B$3:$B$102,MATCH($D866,교육과정!$A$3:$A$102,0)),"미등록과정"))</f>
        <v/>
      </c>
      <c r="F866" s="13"/>
      <c r="G866" s="9"/>
      <c r="H866" s="9"/>
    </row>
    <row r="867" customFormat="false" ht="15" hidden="false" customHeight="true" outlineLevel="0" collapsed="false">
      <c r="A867" s="11"/>
      <c r="B867" s="9"/>
      <c r="C867" s="15" t="str">
        <f aca="false">IF($B867="","",IFERROR(INDEX(직원목록!$B$3:$B$302,MATCH($B867,직원목록!$A$3:$A$302,0)),"미등록사번"))</f>
        <v/>
      </c>
      <c r="D867" s="9"/>
      <c r="E867" s="15" t="str">
        <f aca="false">IF($D867="","",IFERROR(INDEX(교육과정!$B$3:$B$102,MATCH($D867,교육과정!$A$3:$A$102,0)),"미등록과정"))</f>
        <v/>
      </c>
      <c r="F867" s="13"/>
      <c r="G867" s="9"/>
      <c r="H867" s="9"/>
    </row>
    <row r="868" customFormat="false" ht="15" hidden="false" customHeight="true" outlineLevel="0" collapsed="false">
      <c r="A868" s="11"/>
      <c r="B868" s="9"/>
      <c r="C868" s="15" t="str">
        <f aca="false">IF($B868="","",IFERROR(INDEX(직원목록!$B$3:$B$302,MATCH($B868,직원목록!$A$3:$A$302,0)),"미등록사번"))</f>
        <v/>
      </c>
      <c r="D868" s="9"/>
      <c r="E868" s="15" t="str">
        <f aca="false">IF($D868="","",IFERROR(INDEX(교육과정!$B$3:$B$102,MATCH($D868,교육과정!$A$3:$A$102,0)),"미등록과정"))</f>
        <v/>
      </c>
      <c r="F868" s="13"/>
      <c r="G868" s="9"/>
      <c r="H868" s="9"/>
    </row>
    <row r="869" customFormat="false" ht="15" hidden="false" customHeight="true" outlineLevel="0" collapsed="false">
      <c r="A869" s="11"/>
      <c r="B869" s="9"/>
      <c r="C869" s="15" t="str">
        <f aca="false">IF($B869="","",IFERROR(INDEX(직원목록!$B$3:$B$302,MATCH($B869,직원목록!$A$3:$A$302,0)),"미등록사번"))</f>
        <v/>
      </c>
      <c r="D869" s="9"/>
      <c r="E869" s="15" t="str">
        <f aca="false">IF($D869="","",IFERROR(INDEX(교육과정!$B$3:$B$102,MATCH($D869,교육과정!$A$3:$A$102,0)),"미등록과정"))</f>
        <v/>
      </c>
      <c r="F869" s="13"/>
      <c r="G869" s="9"/>
      <c r="H869" s="9"/>
    </row>
    <row r="870" customFormat="false" ht="15" hidden="false" customHeight="true" outlineLevel="0" collapsed="false">
      <c r="A870" s="11"/>
      <c r="B870" s="9"/>
      <c r="C870" s="15" t="str">
        <f aca="false">IF($B870="","",IFERROR(INDEX(직원목록!$B$3:$B$302,MATCH($B870,직원목록!$A$3:$A$302,0)),"미등록사번"))</f>
        <v/>
      </c>
      <c r="D870" s="9"/>
      <c r="E870" s="15" t="str">
        <f aca="false">IF($D870="","",IFERROR(INDEX(교육과정!$B$3:$B$102,MATCH($D870,교육과정!$A$3:$A$102,0)),"미등록과정"))</f>
        <v/>
      </c>
      <c r="F870" s="13"/>
      <c r="G870" s="9"/>
      <c r="H870" s="9"/>
    </row>
    <row r="871" customFormat="false" ht="15" hidden="false" customHeight="true" outlineLevel="0" collapsed="false">
      <c r="A871" s="11"/>
      <c r="B871" s="9"/>
      <c r="C871" s="15" t="str">
        <f aca="false">IF($B871="","",IFERROR(INDEX(직원목록!$B$3:$B$302,MATCH($B871,직원목록!$A$3:$A$302,0)),"미등록사번"))</f>
        <v/>
      </c>
      <c r="D871" s="9"/>
      <c r="E871" s="15" t="str">
        <f aca="false">IF($D871="","",IFERROR(INDEX(교육과정!$B$3:$B$102,MATCH($D871,교육과정!$A$3:$A$102,0)),"미등록과정"))</f>
        <v/>
      </c>
      <c r="F871" s="13"/>
      <c r="G871" s="9"/>
      <c r="H871" s="9"/>
    </row>
    <row r="872" customFormat="false" ht="15" hidden="false" customHeight="true" outlineLevel="0" collapsed="false">
      <c r="A872" s="11"/>
      <c r="B872" s="9"/>
      <c r="C872" s="15" t="str">
        <f aca="false">IF($B872="","",IFERROR(INDEX(직원목록!$B$3:$B$302,MATCH($B872,직원목록!$A$3:$A$302,0)),"미등록사번"))</f>
        <v/>
      </c>
      <c r="D872" s="9"/>
      <c r="E872" s="15" t="str">
        <f aca="false">IF($D872="","",IFERROR(INDEX(교육과정!$B$3:$B$102,MATCH($D872,교육과정!$A$3:$A$102,0)),"미등록과정"))</f>
        <v/>
      </c>
      <c r="F872" s="13"/>
      <c r="G872" s="9"/>
      <c r="H872" s="9"/>
    </row>
    <row r="873" customFormat="false" ht="15" hidden="false" customHeight="true" outlineLevel="0" collapsed="false">
      <c r="A873" s="11"/>
      <c r="B873" s="9"/>
      <c r="C873" s="15" t="str">
        <f aca="false">IF($B873="","",IFERROR(INDEX(직원목록!$B$3:$B$302,MATCH($B873,직원목록!$A$3:$A$302,0)),"미등록사번"))</f>
        <v/>
      </c>
      <c r="D873" s="9"/>
      <c r="E873" s="15" t="str">
        <f aca="false">IF($D873="","",IFERROR(INDEX(교육과정!$B$3:$B$102,MATCH($D873,교육과정!$A$3:$A$102,0)),"미등록과정"))</f>
        <v/>
      </c>
      <c r="F873" s="13"/>
      <c r="G873" s="9"/>
      <c r="H873" s="9"/>
    </row>
    <row r="874" customFormat="false" ht="15" hidden="false" customHeight="true" outlineLevel="0" collapsed="false">
      <c r="A874" s="11"/>
      <c r="B874" s="9"/>
      <c r="C874" s="15" t="str">
        <f aca="false">IF($B874="","",IFERROR(INDEX(직원목록!$B$3:$B$302,MATCH($B874,직원목록!$A$3:$A$302,0)),"미등록사번"))</f>
        <v/>
      </c>
      <c r="D874" s="9"/>
      <c r="E874" s="15" t="str">
        <f aca="false">IF($D874="","",IFERROR(INDEX(교육과정!$B$3:$B$102,MATCH($D874,교육과정!$A$3:$A$102,0)),"미등록과정"))</f>
        <v/>
      </c>
      <c r="F874" s="13"/>
      <c r="G874" s="9"/>
      <c r="H874" s="9"/>
    </row>
    <row r="875" customFormat="false" ht="15" hidden="false" customHeight="true" outlineLevel="0" collapsed="false">
      <c r="A875" s="11"/>
      <c r="B875" s="9"/>
      <c r="C875" s="15" t="str">
        <f aca="false">IF($B875="","",IFERROR(INDEX(직원목록!$B$3:$B$302,MATCH($B875,직원목록!$A$3:$A$302,0)),"미등록사번"))</f>
        <v/>
      </c>
      <c r="D875" s="9"/>
      <c r="E875" s="15" t="str">
        <f aca="false">IF($D875="","",IFERROR(INDEX(교육과정!$B$3:$B$102,MATCH($D875,교육과정!$A$3:$A$102,0)),"미등록과정"))</f>
        <v/>
      </c>
      <c r="F875" s="13"/>
      <c r="G875" s="9"/>
      <c r="H875" s="9"/>
    </row>
    <row r="876" customFormat="false" ht="15" hidden="false" customHeight="true" outlineLevel="0" collapsed="false">
      <c r="A876" s="11"/>
      <c r="B876" s="9"/>
      <c r="C876" s="15" t="str">
        <f aca="false">IF($B876="","",IFERROR(INDEX(직원목록!$B$3:$B$302,MATCH($B876,직원목록!$A$3:$A$302,0)),"미등록사번"))</f>
        <v/>
      </c>
      <c r="D876" s="9"/>
      <c r="E876" s="15" t="str">
        <f aca="false">IF($D876="","",IFERROR(INDEX(교육과정!$B$3:$B$102,MATCH($D876,교육과정!$A$3:$A$102,0)),"미등록과정"))</f>
        <v/>
      </c>
      <c r="F876" s="13"/>
      <c r="G876" s="9"/>
      <c r="H876" s="9"/>
    </row>
    <row r="877" customFormat="false" ht="15" hidden="false" customHeight="true" outlineLevel="0" collapsed="false">
      <c r="A877" s="11"/>
      <c r="B877" s="9"/>
      <c r="C877" s="15" t="str">
        <f aca="false">IF($B877="","",IFERROR(INDEX(직원목록!$B$3:$B$302,MATCH($B877,직원목록!$A$3:$A$302,0)),"미등록사번"))</f>
        <v/>
      </c>
      <c r="D877" s="9"/>
      <c r="E877" s="15" t="str">
        <f aca="false">IF($D877="","",IFERROR(INDEX(교육과정!$B$3:$B$102,MATCH($D877,교육과정!$A$3:$A$102,0)),"미등록과정"))</f>
        <v/>
      </c>
      <c r="F877" s="13"/>
      <c r="G877" s="9"/>
      <c r="H877" s="9"/>
    </row>
    <row r="878" customFormat="false" ht="15" hidden="false" customHeight="true" outlineLevel="0" collapsed="false">
      <c r="A878" s="11"/>
      <c r="B878" s="9"/>
      <c r="C878" s="15" t="str">
        <f aca="false">IF($B878="","",IFERROR(INDEX(직원목록!$B$3:$B$302,MATCH($B878,직원목록!$A$3:$A$302,0)),"미등록사번"))</f>
        <v/>
      </c>
      <c r="D878" s="9"/>
      <c r="E878" s="15" t="str">
        <f aca="false">IF($D878="","",IFERROR(INDEX(교육과정!$B$3:$B$102,MATCH($D878,교육과정!$A$3:$A$102,0)),"미등록과정"))</f>
        <v/>
      </c>
      <c r="F878" s="13"/>
      <c r="G878" s="9"/>
      <c r="H878" s="9"/>
    </row>
    <row r="879" customFormat="false" ht="15" hidden="false" customHeight="true" outlineLevel="0" collapsed="false">
      <c r="A879" s="11"/>
      <c r="B879" s="9"/>
      <c r="C879" s="15" t="str">
        <f aca="false">IF($B879="","",IFERROR(INDEX(직원목록!$B$3:$B$302,MATCH($B879,직원목록!$A$3:$A$302,0)),"미등록사번"))</f>
        <v/>
      </c>
      <c r="D879" s="9"/>
      <c r="E879" s="15" t="str">
        <f aca="false">IF($D879="","",IFERROR(INDEX(교육과정!$B$3:$B$102,MATCH($D879,교육과정!$A$3:$A$102,0)),"미등록과정"))</f>
        <v/>
      </c>
      <c r="F879" s="13"/>
      <c r="G879" s="9"/>
      <c r="H879" s="9"/>
    </row>
    <row r="880" customFormat="false" ht="15" hidden="false" customHeight="true" outlineLevel="0" collapsed="false">
      <c r="A880" s="11"/>
      <c r="B880" s="9"/>
      <c r="C880" s="15" t="str">
        <f aca="false">IF($B880="","",IFERROR(INDEX(직원목록!$B$3:$B$302,MATCH($B880,직원목록!$A$3:$A$302,0)),"미등록사번"))</f>
        <v/>
      </c>
      <c r="D880" s="9"/>
      <c r="E880" s="15" t="str">
        <f aca="false">IF($D880="","",IFERROR(INDEX(교육과정!$B$3:$B$102,MATCH($D880,교육과정!$A$3:$A$102,0)),"미등록과정"))</f>
        <v/>
      </c>
      <c r="F880" s="13"/>
      <c r="G880" s="9"/>
      <c r="H880" s="9"/>
    </row>
    <row r="881" customFormat="false" ht="15" hidden="false" customHeight="true" outlineLevel="0" collapsed="false">
      <c r="A881" s="11"/>
      <c r="B881" s="9"/>
      <c r="C881" s="15" t="str">
        <f aca="false">IF($B881="","",IFERROR(INDEX(직원목록!$B$3:$B$302,MATCH($B881,직원목록!$A$3:$A$302,0)),"미등록사번"))</f>
        <v/>
      </c>
      <c r="D881" s="9"/>
      <c r="E881" s="15" t="str">
        <f aca="false">IF($D881="","",IFERROR(INDEX(교육과정!$B$3:$B$102,MATCH($D881,교육과정!$A$3:$A$102,0)),"미등록과정"))</f>
        <v/>
      </c>
      <c r="F881" s="13"/>
      <c r="G881" s="9"/>
      <c r="H881" s="9"/>
    </row>
    <row r="882" customFormat="false" ht="15" hidden="false" customHeight="true" outlineLevel="0" collapsed="false">
      <c r="A882" s="11"/>
      <c r="B882" s="9"/>
      <c r="C882" s="15" t="str">
        <f aca="false">IF($B882="","",IFERROR(INDEX(직원목록!$B$3:$B$302,MATCH($B882,직원목록!$A$3:$A$302,0)),"미등록사번"))</f>
        <v/>
      </c>
      <c r="D882" s="9"/>
      <c r="E882" s="15" t="str">
        <f aca="false">IF($D882="","",IFERROR(INDEX(교육과정!$B$3:$B$102,MATCH($D882,교육과정!$A$3:$A$102,0)),"미등록과정"))</f>
        <v/>
      </c>
      <c r="F882" s="13"/>
      <c r="G882" s="9"/>
      <c r="H882" s="9"/>
    </row>
    <row r="883" customFormat="false" ht="15" hidden="false" customHeight="true" outlineLevel="0" collapsed="false">
      <c r="A883" s="11"/>
      <c r="B883" s="9"/>
      <c r="C883" s="15" t="str">
        <f aca="false">IF($B883="","",IFERROR(INDEX(직원목록!$B$3:$B$302,MATCH($B883,직원목록!$A$3:$A$302,0)),"미등록사번"))</f>
        <v/>
      </c>
      <c r="D883" s="9"/>
      <c r="E883" s="15" t="str">
        <f aca="false">IF($D883="","",IFERROR(INDEX(교육과정!$B$3:$B$102,MATCH($D883,교육과정!$A$3:$A$102,0)),"미등록과정"))</f>
        <v/>
      </c>
      <c r="F883" s="13"/>
      <c r="G883" s="9"/>
      <c r="H883" s="9"/>
    </row>
    <row r="884" customFormat="false" ht="15" hidden="false" customHeight="true" outlineLevel="0" collapsed="false">
      <c r="A884" s="11"/>
      <c r="B884" s="9"/>
      <c r="C884" s="15" t="str">
        <f aca="false">IF($B884="","",IFERROR(INDEX(직원목록!$B$3:$B$302,MATCH($B884,직원목록!$A$3:$A$302,0)),"미등록사번"))</f>
        <v/>
      </c>
      <c r="D884" s="9"/>
      <c r="E884" s="15" t="str">
        <f aca="false">IF($D884="","",IFERROR(INDEX(교육과정!$B$3:$B$102,MATCH($D884,교육과정!$A$3:$A$102,0)),"미등록과정"))</f>
        <v/>
      </c>
      <c r="F884" s="13"/>
      <c r="G884" s="9"/>
      <c r="H884" s="9"/>
    </row>
    <row r="885" customFormat="false" ht="15" hidden="false" customHeight="true" outlineLevel="0" collapsed="false">
      <c r="A885" s="11"/>
      <c r="B885" s="9"/>
      <c r="C885" s="15" t="str">
        <f aca="false">IF($B885="","",IFERROR(INDEX(직원목록!$B$3:$B$302,MATCH($B885,직원목록!$A$3:$A$302,0)),"미등록사번"))</f>
        <v/>
      </c>
      <c r="D885" s="9"/>
      <c r="E885" s="15" t="str">
        <f aca="false">IF($D885="","",IFERROR(INDEX(교육과정!$B$3:$B$102,MATCH($D885,교육과정!$A$3:$A$102,0)),"미등록과정"))</f>
        <v/>
      </c>
      <c r="F885" s="13"/>
      <c r="G885" s="9"/>
      <c r="H885" s="9"/>
    </row>
    <row r="886" customFormat="false" ht="15" hidden="false" customHeight="true" outlineLevel="0" collapsed="false">
      <c r="A886" s="11"/>
      <c r="B886" s="9"/>
      <c r="C886" s="15" t="str">
        <f aca="false">IF($B886="","",IFERROR(INDEX(직원목록!$B$3:$B$302,MATCH($B886,직원목록!$A$3:$A$302,0)),"미등록사번"))</f>
        <v/>
      </c>
      <c r="D886" s="9"/>
      <c r="E886" s="15" t="str">
        <f aca="false">IF($D886="","",IFERROR(INDEX(교육과정!$B$3:$B$102,MATCH($D886,교육과정!$A$3:$A$102,0)),"미등록과정"))</f>
        <v/>
      </c>
      <c r="F886" s="13"/>
      <c r="G886" s="9"/>
      <c r="H886" s="9"/>
    </row>
    <row r="887" customFormat="false" ht="15" hidden="false" customHeight="true" outlineLevel="0" collapsed="false">
      <c r="A887" s="11"/>
      <c r="B887" s="9"/>
      <c r="C887" s="15" t="str">
        <f aca="false">IF($B887="","",IFERROR(INDEX(직원목록!$B$3:$B$302,MATCH($B887,직원목록!$A$3:$A$302,0)),"미등록사번"))</f>
        <v/>
      </c>
      <c r="D887" s="9"/>
      <c r="E887" s="15" t="str">
        <f aca="false">IF($D887="","",IFERROR(INDEX(교육과정!$B$3:$B$102,MATCH($D887,교육과정!$A$3:$A$102,0)),"미등록과정"))</f>
        <v/>
      </c>
      <c r="F887" s="13"/>
      <c r="G887" s="9"/>
      <c r="H887" s="9"/>
    </row>
    <row r="888" customFormat="false" ht="15" hidden="false" customHeight="true" outlineLevel="0" collapsed="false">
      <c r="A888" s="11"/>
      <c r="B888" s="9"/>
      <c r="C888" s="15" t="str">
        <f aca="false">IF($B888="","",IFERROR(INDEX(직원목록!$B$3:$B$302,MATCH($B888,직원목록!$A$3:$A$302,0)),"미등록사번"))</f>
        <v/>
      </c>
      <c r="D888" s="9"/>
      <c r="E888" s="15" t="str">
        <f aca="false">IF($D888="","",IFERROR(INDEX(교육과정!$B$3:$B$102,MATCH($D888,교육과정!$A$3:$A$102,0)),"미등록과정"))</f>
        <v/>
      </c>
      <c r="F888" s="13"/>
      <c r="G888" s="9"/>
      <c r="H888" s="9"/>
    </row>
    <row r="889" customFormat="false" ht="15" hidden="false" customHeight="true" outlineLevel="0" collapsed="false">
      <c r="A889" s="11"/>
      <c r="B889" s="9"/>
      <c r="C889" s="15" t="str">
        <f aca="false">IF($B889="","",IFERROR(INDEX(직원목록!$B$3:$B$302,MATCH($B889,직원목록!$A$3:$A$302,0)),"미등록사번"))</f>
        <v/>
      </c>
      <c r="D889" s="9"/>
      <c r="E889" s="15" t="str">
        <f aca="false">IF($D889="","",IFERROR(INDEX(교육과정!$B$3:$B$102,MATCH($D889,교육과정!$A$3:$A$102,0)),"미등록과정"))</f>
        <v/>
      </c>
      <c r="F889" s="13"/>
      <c r="G889" s="9"/>
      <c r="H889" s="9"/>
    </row>
    <row r="890" customFormat="false" ht="15" hidden="false" customHeight="true" outlineLevel="0" collapsed="false">
      <c r="A890" s="11"/>
      <c r="B890" s="9"/>
      <c r="C890" s="15" t="str">
        <f aca="false">IF($B890="","",IFERROR(INDEX(직원목록!$B$3:$B$302,MATCH($B890,직원목록!$A$3:$A$302,0)),"미등록사번"))</f>
        <v/>
      </c>
      <c r="D890" s="9"/>
      <c r="E890" s="15" t="str">
        <f aca="false">IF($D890="","",IFERROR(INDEX(교육과정!$B$3:$B$102,MATCH($D890,교육과정!$A$3:$A$102,0)),"미등록과정"))</f>
        <v/>
      </c>
      <c r="F890" s="13"/>
      <c r="G890" s="9"/>
      <c r="H890" s="9"/>
    </row>
    <row r="891" customFormat="false" ht="15" hidden="false" customHeight="true" outlineLevel="0" collapsed="false">
      <c r="A891" s="11"/>
      <c r="B891" s="9"/>
      <c r="C891" s="15" t="str">
        <f aca="false">IF($B891="","",IFERROR(INDEX(직원목록!$B$3:$B$302,MATCH($B891,직원목록!$A$3:$A$302,0)),"미등록사번"))</f>
        <v/>
      </c>
      <c r="D891" s="9"/>
      <c r="E891" s="15" t="str">
        <f aca="false">IF($D891="","",IFERROR(INDEX(교육과정!$B$3:$B$102,MATCH($D891,교육과정!$A$3:$A$102,0)),"미등록과정"))</f>
        <v/>
      </c>
      <c r="F891" s="13"/>
      <c r="G891" s="9"/>
      <c r="H891" s="9"/>
    </row>
    <row r="892" customFormat="false" ht="15" hidden="false" customHeight="true" outlineLevel="0" collapsed="false">
      <c r="A892" s="11"/>
      <c r="B892" s="9"/>
      <c r="C892" s="15" t="str">
        <f aca="false">IF($B892="","",IFERROR(INDEX(직원목록!$B$3:$B$302,MATCH($B892,직원목록!$A$3:$A$302,0)),"미등록사번"))</f>
        <v/>
      </c>
      <c r="D892" s="9"/>
      <c r="E892" s="15" t="str">
        <f aca="false">IF($D892="","",IFERROR(INDEX(교육과정!$B$3:$B$102,MATCH($D892,교육과정!$A$3:$A$102,0)),"미등록과정"))</f>
        <v/>
      </c>
      <c r="F892" s="13"/>
      <c r="G892" s="9"/>
      <c r="H892" s="9"/>
    </row>
    <row r="893" customFormat="false" ht="15" hidden="false" customHeight="true" outlineLevel="0" collapsed="false">
      <c r="A893" s="11"/>
      <c r="B893" s="9"/>
      <c r="C893" s="15" t="str">
        <f aca="false">IF($B893="","",IFERROR(INDEX(직원목록!$B$3:$B$302,MATCH($B893,직원목록!$A$3:$A$302,0)),"미등록사번"))</f>
        <v/>
      </c>
      <c r="D893" s="9"/>
      <c r="E893" s="15" t="str">
        <f aca="false">IF($D893="","",IFERROR(INDEX(교육과정!$B$3:$B$102,MATCH($D893,교육과정!$A$3:$A$102,0)),"미등록과정"))</f>
        <v/>
      </c>
      <c r="F893" s="13"/>
      <c r="G893" s="9"/>
      <c r="H893" s="9"/>
    </row>
    <row r="894" customFormat="false" ht="15" hidden="false" customHeight="true" outlineLevel="0" collapsed="false">
      <c r="A894" s="11"/>
      <c r="B894" s="9"/>
      <c r="C894" s="15" t="str">
        <f aca="false">IF($B894="","",IFERROR(INDEX(직원목록!$B$3:$B$302,MATCH($B894,직원목록!$A$3:$A$302,0)),"미등록사번"))</f>
        <v/>
      </c>
      <c r="D894" s="9"/>
      <c r="E894" s="15" t="str">
        <f aca="false">IF($D894="","",IFERROR(INDEX(교육과정!$B$3:$B$102,MATCH($D894,교육과정!$A$3:$A$102,0)),"미등록과정"))</f>
        <v/>
      </c>
      <c r="F894" s="13"/>
      <c r="G894" s="9"/>
      <c r="H894" s="9"/>
    </row>
    <row r="895" customFormat="false" ht="15" hidden="false" customHeight="true" outlineLevel="0" collapsed="false">
      <c r="A895" s="11"/>
      <c r="B895" s="9"/>
      <c r="C895" s="15" t="str">
        <f aca="false">IF($B895="","",IFERROR(INDEX(직원목록!$B$3:$B$302,MATCH($B895,직원목록!$A$3:$A$302,0)),"미등록사번"))</f>
        <v/>
      </c>
      <c r="D895" s="9"/>
      <c r="E895" s="15" t="str">
        <f aca="false">IF($D895="","",IFERROR(INDEX(교육과정!$B$3:$B$102,MATCH($D895,교육과정!$A$3:$A$102,0)),"미등록과정"))</f>
        <v/>
      </c>
      <c r="F895" s="13"/>
      <c r="G895" s="9"/>
      <c r="H895" s="9"/>
    </row>
    <row r="896" customFormat="false" ht="15" hidden="false" customHeight="true" outlineLevel="0" collapsed="false">
      <c r="A896" s="11"/>
      <c r="B896" s="9"/>
      <c r="C896" s="15" t="str">
        <f aca="false">IF($B896="","",IFERROR(INDEX(직원목록!$B$3:$B$302,MATCH($B896,직원목록!$A$3:$A$302,0)),"미등록사번"))</f>
        <v/>
      </c>
      <c r="D896" s="9"/>
      <c r="E896" s="15" t="str">
        <f aca="false">IF($D896="","",IFERROR(INDEX(교육과정!$B$3:$B$102,MATCH($D896,교육과정!$A$3:$A$102,0)),"미등록과정"))</f>
        <v/>
      </c>
      <c r="F896" s="13"/>
      <c r="G896" s="9"/>
      <c r="H896" s="9"/>
    </row>
    <row r="897" customFormat="false" ht="15" hidden="false" customHeight="true" outlineLevel="0" collapsed="false">
      <c r="A897" s="11"/>
      <c r="B897" s="9"/>
      <c r="C897" s="15" t="str">
        <f aca="false">IF($B897="","",IFERROR(INDEX(직원목록!$B$3:$B$302,MATCH($B897,직원목록!$A$3:$A$302,0)),"미등록사번"))</f>
        <v/>
      </c>
      <c r="D897" s="9"/>
      <c r="E897" s="15" t="str">
        <f aca="false">IF($D897="","",IFERROR(INDEX(교육과정!$B$3:$B$102,MATCH($D897,교육과정!$A$3:$A$102,0)),"미등록과정"))</f>
        <v/>
      </c>
      <c r="F897" s="13"/>
      <c r="G897" s="9"/>
      <c r="H897" s="9"/>
    </row>
    <row r="898" customFormat="false" ht="15" hidden="false" customHeight="true" outlineLevel="0" collapsed="false">
      <c r="A898" s="11"/>
      <c r="B898" s="9"/>
      <c r="C898" s="15" t="str">
        <f aca="false">IF($B898="","",IFERROR(INDEX(직원목록!$B$3:$B$302,MATCH($B898,직원목록!$A$3:$A$302,0)),"미등록사번"))</f>
        <v/>
      </c>
      <c r="D898" s="9"/>
      <c r="E898" s="15" t="str">
        <f aca="false">IF($D898="","",IFERROR(INDEX(교육과정!$B$3:$B$102,MATCH($D898,교육과정!$A$3:$A$102,0)),"미등록과정"))</f>
        <v/>
      </c>
      <c r="F898" s="13"/>
      <c r="G898" s="9"/>
      <c r="H898" s="9"/>
    </row>
    <row r="899" customFormat="false" ht="15" hidden="false" customHeight="true" outlineLevel="0" collapsed="false">
      <c r="A899" s="11"/>
      <c r="B899" s="9"/>
      <c r="C899" s="15" t="str">
        <f aca="false">IF($B899="","",IFERROR(INDEX(직원목록!$B$3:$B$302,MATCH($B899,직원목록!$A$3:$A$302,0)),"미등록사번"))</f>
        <v/>
      </c>
      <c r="D899" s="9"/>
      <c r="E899" s="15" t="str">
        <f aca="false">IF($D899="","",IFERROR(INDEX(교육과정!$B$3:$B$102,MATCH($D899,교육과정!$A$3:$A$102,0)),"미등록과정"))</f>
        <v/>
      </c>
      <c r="F899" s="13"/>
      <c r="G899" s="9"/>
      <c r="H899" s="9"/>
    </row>
    <row r="900" customFormat="false" ht="15" hidden="false" customHeight="true" outlineLevel="0" collapsed="false">
      <c r="A900" s="11"/>
      <c r="B900" s="9"/>
      <c r="C900" s="15" t="str">
        <f aca="false">IF($B900="","",IFERROR(INDEX(직원목록!$B$3:$B$302,MATCH($B900,직원목록!$A$3:$A$302,0)),"미등록사번"))</f>
        <v/>
      </c>
      <c r="D900" s="9"/>
      <c r="E900" s="15" t="str">
        <f aca="false">IF($D900="","",IFERROR(INDEX(교육과정!$B$3:$B$102,MATCH($D900,교육과정!$A$3:$A$102,0)),"미등록과정"))</f>
        <v/>
      </c>
      <c r="F900" s="13"/>
      <c r="G900" s="9"/>
      <c r="H900" s="9"/>
    </row>
    <row r="901" customFormat="false" ht="15" hidden="false" customHeight="true" outlineLevel="0" collapsed="false">
      <c r="A901" s="11"/>
      <c r="B901" s="9"/>
      <c r="C901" s="15" t="str">
        <f aca="false">IF($B901="","",IFERROR(INDEX(직원목록!$B$3:$B$302,MATCH($B901,직원목록!$A$3:$A$302,0)),"미등록사번"))</f>
        <v/>
      </c>
      <c r="D901" s="9"/>
      <c r="E901" s="15" t="str">
        <f aca="false">IF($D901="","",IFERROR(INDEX(교육과정!$B$3:$B$102,MATCH($D901,교육과정!$A$3:$A$102,0)),"미등록과정"))</f>
        <v/>
      </c>
      <c r="F901" s="13"/>
      <c r="G901" s="9"/>
      <c r="H901" s="9"/>
    </row>
    <row r="902" customFormat="false" ht="15" hidden="false" customHeight="true" outlineLevel="0" collapsed="false">
      <c r="A902" s="11"/>
      <c r="B902" s="9"/>
      <c r="C902" s="15" t="str">
        <f aca="false">IF($B902="","",IFERROR(INDEX(직원목록!$B$3:$B$302,MATCH($B902,직원목록!$A$3:$A$302,0)),"미등록사번"))</f>
        <v/>
      </c>
      <c r="D902" s="9"/>
      <c r="E902" s="15" t="str">
        <f aca="false">IF($D902="","",IFERROR(INDEX(교육과정!$B$3:$B$102,MATCH($D902,교육과정!$A$3:$A$102,0)),"미등록과정"))</f>
        <v/>
      </c>
      <c r="F902" s="13"/>
      <c r="G902" s="9"/>
      <c r="H902" s="9"/>
    </row>
    <row r="903" customFormat="false" ht="15" hidden="false" customHeight="true" outlineLevel="0" collapsed="false">
      <c r="A903" s="11"/>
      <c r="B903" s="9"/>
      <c r="C903" s="15" t="str">
        <f aca="false">IF($B903="","",IFERROR(INDEX(직원목록!$B$3:$B$302,MATCH($B903,직원목록!$A$3:$A$302,0)),"미등록사번"))</f>
        <v/>
      </c>
      <c r="D903" s="9"/>
      <c r="E903" s="15" t="str">
        <f aca="false">IF($D903="","",IFERROR(INDEX(교육과정!$B$3:$B$102,MATCH($D903,교육과정!$A$3:$A$102,0)),"미등록과정"))</f>
        <v/>
      </c>
      <c r="F903" s="13"/>
      <c r="G903" s="9"/>
      <c r="H903" s="9"/>
    </row>
    <row r="904" customFormat="false" ht="15" hidden="false" customHeight="true" outlineLevel="0" collapsed="false">
      <c r="A904" s="11"/>
      <c r="B904" s="9"/>
      <c r="C904" s="15" t="str">
        <f aca="false">IF($B904="","",IFERROR(INDEX(직원목록!$B$3:$B$302,MATCH($B904,직원목록!$A$3:$A$302,0)),"미등록사번"))</f>
        <v/>
      </c>
      <c r="D904" s="9"/>
      <c r="E904" s="15" t="str">
        <f aca="false">IF($D904="","",IFERROR(INDEX(교육과정!$B$3:$B$102,MATCH($D904,교육과정!$A$3:$A$102,0)),"미등록과정"))</f>
        <v/>
      </c>
      <c r="F904" s="13"/>
      <c r="G904" s="9"/>
      <c r="H904" s="9"/>
    </row>
    <row r="905" customFormat="false" ht="15" hidden="false" customHeight="true" outlineLevel="0" collapsed="false">
      <c r="A905" s="11"/>
      <c r="B905" s="9"/>
      <c r="C905" s="15" t="str">
        <f aca="false">IF($B905="","",IFERROR(INDEX(직원목록!$B$3:$B$302,MATCH($B905,직원목록!$A$3:$A$302,0)),"미등록사번"))</f>
        <v/>
      </c>
      <c r="D905" s="9"/>
      <c r="E905" s="15" t="str">
        <f aca="false">IF($D905="","",IFERROR(INDEX(교육과정!$B$3:$B$102,MATCH($D905,교육과정!$A$3:$A$102,0)),"미등록과정"))</f>
        <v/>
      </c>
      <c r="F905" s="13"/>
      <c r="G905" s="9"/>
      <c r="H905" s="9"/>
    </row>
    <row r="906" customFormat="false" ht="15" hidden="false" customHeight="true" outlineLevel="0" collapsed="false">
      <c r="A906" s="11"/>
      <c r="B906" s="9"/>
      <c r="C906" s="15" t="str">
        <f aca="false">IF($B906="","",IFERROR(INDEX(직원목록!$B$3:$B$302,MATCH($B906,직원목록!$A$3:$A$302,0)),"미등록사번"))</f>
        <v/>
      </c>
      <c r="D906" s="9"/>
      <c r="E906" s="15" t="str">
        <f aca="false">IF($D906="","",IFERROR(INDEX(교육과정!$B$3:$B$102,MATCH($D906,교육과정!$A$3:$A$102,0)),"미등록과정"))</f>
        <v/>
      </c>
      <c r="F906" s="13"/>
      <c r="G906" s="9"/>
      <c r="H906" s="9"/>
    </row>
    <row r="907" customFormat="false" ht="15" hidden="false" customHeight="true" outlineLevel="0" collapsed="false">
      <c r="A907" s="11"/>
      <c r="B907" s="9"/>
      <c r="C907" s="15" t="str">
        <f aca="false">IF($B907="","",IFERROR(INDEX(직원목록!$B$3:$B$302,MATCH($B907,직원목록!$A$3:$A$302,0)),"미등록사번"))</f>
        <v/>
      </c>
      <c r="D907" s="9"/>
      <c r="E907" s="15" t="str">
        <f aca="false">IF($D907="","",IFERROR(INDEX(교육과정!$B$3:$B$102,MATCH($D907,교육과정!$A$3:$A$102,0)),"미등록과정"))</f>
        <v/>
      </c>
      <c r="F907" s="13"/>
      <c r="G907" s="9"/>
      <c r="H907" s="9"/>
    </row>
    <row r="908" customFormat="false" ht="15" hidden="false" customHeight="true" outlineLevel="0" collapsed="false">
      <c r="A908" s="11"/>
      <c r="B908" s="9"/>
      <c r="C908" s="15" t="str">
        <f aca="false">IF($B908="","",IFERROR(INDEX(직원목록!$B$3:$B$302,MATCH($B908,직원목록!$A$3:$A$302,0)),"미등록사번"))</f>
        <v/>
      </c>
      <c r="D908" s="9"/>
      <c r="E908" s="15" t="str">
        <f aca="false">IF($D908="","",IFERROR(INDEX(교육과정!$B$3:$B$102,MATCH($D908,교육과정!$A$3:$A$102,0)),"미등록과정"))</f>
        <v/>
      </c>
      <c r="F908" s="13"/>
      <c r="G908" s="9"/>
      <c r="H908" s="9"/>
    </row>
    <row r="909" customFormat="false" ht="15" hidden="false" customHeight="true" outlineLevel="0" collapsed="false">
      <c r="A909" s="11"/>
      <c r="B909" s="9"/>
      <c r="C909" s="15" t="str">
        <f aca="false">IF($B909="","",IFERROR(INDEX(직원목록!$B$3:$B$302,MATCH($B909,직원목록!$A$3:$A$302,0)),"미등록사번"))</f>
        <v/>
      </c>
      <c r="D909" s="9"/>
      <c r="E909" s="15" t="str">
        <f aca="false">IF($D909="","",IFERROR(INDEX(교육과정!$B$3:$B$102,MATCH($D909,교육과정!$A$3:$A$102,0)),"미등록과정"))</f>
        <v/>
      </c>
      <c r="F909" s="13"/>
      <c r="G909" s="9"/>
      <c r="H909" s="9"/>
    </row>
    <row r="910" customFormat="false" ht="15" hidden="false" customHeight="true" outlineLevel="0" collapsed="false">
      <c r="A910" s="11"/>
      <c r="B910" s="9"/>
      <c r="C910" s="15" t="str">
        <f aca="false">IF($B910="","",IFERROR(INDEX(직원목록!$B$3:$B$302,MATCH($B910,직원목록!$A$3:$A$302,0)),"미등록사번"))</f>
        <v/>
      </c>
      <c r="D910" s="9"/>
      <c r="E910" s="15" t="str">
        <f aca="false">IF($D910="","",IFERROR(INDEX(교육과정!$B$3:$B$102,MATCH($D910,교육과정!$A$3:$A$102,0)),"미등록과정"))</f>
        <v/>
      </c>
      <c r="F910" s="13"/>
      <c r="G910" s="9"/>
      <c r="H910" s="9"/>
    </row>
    <row r="911" customFormat="false" ht="15" hidden="false" customHeight="true" outlineLevel="0" collapsed="false">
      <c r="A911" s="11"/>
      <c r="B911" s="9"/>
      <c r="C911" s="15" t="str">
        <f aca="false">IF($B911="","",IFERROR(INDEX(직원목록!$B$3:$B$302,MATCH($B911,직원목록!$A$3:$A$302,0)),"미등록사번"))</f>
        <v/>
      </c>
      <c r="D911" s="9"/>
      <c r="E911" s="15" t="str">
        <f aca="false">IF($D911="","",IFERROR(INDEX(교육과정!$B$3:$B$102,MATCH($D911,교육과정!$A$3:$A$102,0)),"미등록과정"))</f>
        <v/>
      </c>
      <c r="F911" s="13"/>
      <c r="G911" s="9"/>
      <c r="H911" s="9"/>
    </row>
    <row r="912" customFormat="false" ht="15" hidden="false" customHeight="true" outlineLevel="0" collapsed="false">
      <c r="A912" s="11"/>
      <c r="B912" s="9"/>
      <c r="C912" s="15" t="str">
        <f aca="false">IF($B912="","",IFERROR(INDEX(직원목록!$B$3:$B$302,MATCH($B912,직원목록!$A$3:$A$302,0)),"미등록사번"))</f>
        <v/>
      </c>
      <c r="D912" s="9"/>
      <c r="E912" s="15" t="str">
        <f aca="false">IF($D912="","",IFERROR(INDEX(교육과정!$B$3:$B$102,MATCH($D912,교육과정!$A$3:$A$102,0)),"미등록과정"))</f>
        <v/>
      </c>
      <c r="F912" s="13"/>
      <c r="G912" s="9"/>
      <c r="H912" s="9"/>
    </row>
    <row r="913" customFormat="false" ht="15" hidden="false" customHeight="true" outlineLevel="0" collapsed="false">
      <c r="A913" s="11"/>
      <c r="B913" s="9"/>
      <c r="C913" s="15" t="str">
        <f aca="false">IF($B913="","",IFERROR(INDEX(직원목록!$B$3:$B$302,MATCH($B913,직원목록!$A$3:$A$302,0)),"미등록사번"))</f>
        <v/>
      </c>
      <c r="D913" s="9"/>
      <c r="E913" s="15" t="str">
        <f aca="false">IF($D913="","",IFERROR(INDEX(교육과정!$B$3:$B$102,MATCH($D913,교육과정!$A$3:$A$102,0)),"미등록과정"))</f>
        <v/>
      </c>
      <c r="F913" s="13"/>
      <c r="G913" s="9"/>
      <c r="H913" s="9"/>
    </row>
    <row r="914" customFormat="false" ht="15" hidden="false" customHeight="true" outlineLevel="0" collapsed="false">
      <c r="A914" s="11"/>
      <c r="B914" s="9"/>
      <c r="C914" s="15" t="str">
        <f aca="false">IF($B914="","",IFERROR(INDEX(직원목록!$B$3:$B$302,MATCH($B914,직원목록!$A$3:$A$302,0)),"미등록사번"))</f>
        <v/>
      </c>
      <c r="D914" s="9"/>
      <c r="E914" s="15" t="str">
        <f aca="false">IF($D914="","",IFERROR(INDEX(교육과정!$B$3:$B$102,MATCH($D914,교육과정!$A$3:$A$102,0)),"미등록과정"))</f>
        <v/>
      </c>
      <c r="F914" s="13"/>
      <c r="G914" s="9"/>
      <c r="H914" s="9"/>
    </row>
    <row r="915" customFormat="false" ht="15" hidden="false" customHeight="true" outlineLevel="0" collapsed="false">
      <c r="A915" s="11"/>
      <c r="B915" s="9"/>
      <c r="C915" s="15" t="str">
        <f aca="false">IF($B915="","",IFERROR(INDEX(직원목록!$B$3:$B$302,MATCH($B915,직원목록!$A$3:$A$302,0)),"미등록사번"))</f>
        <v/>
      </c>
      <c r="D915" s="9"/>
      <c r="E915" s="15" t="str">
        <f aca="false">IF($D915="","",IFERROR(INDEX(교육과정!$B$3:$B$102,MATCH($D915,교육과정!$A$3:$A$102,0)),"미등록과정"))</f>
        <v/>
      </c>
      <c r="F915" s="13"/>
      <c r="G915" s="9"/>
      <c r="H915" s="9"/>
    </row>
    <row r="916" customFormat="false" ht="15" hidden="false" customHeight="true" outlineLevel="0" collapsed="false">
      <c r="A916" s="11"/>
      <c r="B916" s="9"/>
      <c r="C916" s="15" t="str">
        <f aca="false">IF($B916="","",IFERROR(INDEX(직원목록!$B$3:$B$302,MATCH($B916,직원목록!$A$3:$A$302,0)),"미등록사번"))</f>
        <v/>
      </c>
      <c r="D916" s="9"/>
      <c r="E916" s="15" t="str">
        <f aca="false">IF($D916="","",IFERROR(INDEX(교육과정!$B$3:$B$102,MATCH($D916,교육과정!$A$3:$A$102,0)),"미등록과정"))</f>
        <v/>
      </c>
      <c r="F916" s="13"/>
      <c r="G916" s="9"/>
      <c r="H916" s="9"/>
    </row>
    <row r="917" customFormat="false" ht="15" hidden="false" customHeight="true" outlineLevel="0" collapsed="false">
      <c r="A917" s="11"/>
      <c r="B917" s="9"/>
      <c r="C917" s="15" t="str">
        <f aca="false">IF($B917="","",IFERROR(INDEX(직원목록!$B$3:$B$302,MATCH($B917,직원목록!$A$3:$A$302,0)),"미등록사번"))</f>
        <v/>
      </c>
      <c r="D917" s="9"/>
      <c r="E917" s="15" t="str">
        <f aca="false">IF($D917="","",IFERROR(INDEX(교육과정!$B$3:$B$102,MATCH($D917,교육과정!$A$3:$A$102,0)),"미등록과정"))</f>
        <v/>
      </c>
      <c r="F917" s="13"/>
      <c r="G917" s="9"/>
      <c r="H917" s="9"/>
    </row>
    <row r="918" customFormat="false" ht="15" hidden="false" customHeight="true" outlineLevel="0" collapsed="false">
      <c r="A918" s="11"/>
      <c r="B918" s="9"/>
      <c r="C918" s="15" t="str">
        <f aca="false">IF($B918="","",IFERROR(INDEX(직원목록!$B$3:$B$302,MATCH($B918,직원목록!$A$3:$A$302,0)),"미등록사번"))</f>
        <v/>
      </c>
      <c r="D918" s="9"/>
      <c r="E918" s="15" t="str">
        <f aca="false">IF($D918="","",IFERROR(INDEX(교육과정!$B$3:$B$102,MATCH($D918,교육과정!$A$3:$A$102,0)),"미등록과정"))</f>
        <v/>
      </c>
      <c r="F918" s="13"/>
      <c r="G918" s="9"/>
      <c r="H918" s="9"/>
    </row>
    <row r="919" customFormat="false" ht="15" hidden="false" customHeight="true" outlineLevel="0" collapsed="false">
      <c r="A919" s="11"/>
      <c r="B919" s="9"/>
      <c r="C919" s="15" t="str">
        <f aca="false">IF($B919="","",IFERROR(INDEX(직원목록!$B$3:$B$302,MATCH($B919,직원목록!$A$3:$A$302,0)),"미등록사번"))</f>
        <v/>
      </c>
      <c r="D919" s="9"/>
      <c r="E919" s="15" t="str">
        <f aca="false">IF($D919="","",IFERROR(INDEX(교육과정!$B$3:$B$102,MATCH($D919,교육과정!$A$3:$A$102,0)),"미등록과정"))</f>
        <v/>
      </c>
      <c r="F919" s="13"/>
      <c r="G919" s="9"/>
      <c r="H919" s="9"/>
    </row>
    <row r="920" customFormat="false" ht="15" hidden="false" customHeight="true" outlineLevel="0" collapsed="false">
      <c r="A920" s="11"/>
      <c r="B920" s="9"/>
      <c r="C920" s="15" t="str">
        <f aca="false">IF($B920="","",IFERROR(INDEX(직원목록!$B$3:$B$302,MATCH($B920,직원목록!$A$3:$A$302,0)),"미등록사번"))</f>
        <v/>
      </c>
      <c r="D920" s="9"/>
      <c r="E920" s="15" t="str">
        <f aca="false">IF($D920="","",IFERROR(INDEX(교육과정!$B$3:$B$102,MATCH($D920,교육과정!$A$3:$A$102,0)),"미등록과정"))</f>
        <v/>
      </c>
      <c r="F920" s="13"/>
      <c r="G920" s="9"/>
      <c r="H920" s="9"/>
    </row>
    <row r="921" customFormat="false" ht="15" hidden="false" customHeight="true" outlineLevel="0" collapsed="false">
      <c r="A921" s="11"/>
      <c r="B921" s="9"/>
      <c r="C921" s="15" t="str">
        <f aca="false">IF($B921="","",IFERROR(INDEX(직원목록!$B$3:$B$302,MATCH($B921,직원목록!$A$3:$A$302,0)),"미등록사번"))</f>
        <v/>
      </c>
      <c r="D921" s="9"/>
      <c r="E921" s="15" t="str">
        <f aca="false">IF($D921="","",IFERROR(INDEX(교육과정!$B$3:$B$102,MATCH($D921,교육과정!$A$3:$A$102,0)),"미등록과정"))</f>
        <v/>
      </c>
      <c r="F921" s="13"/>
      <c r="G921" s="9"/>
      <c r="H921" s="9"/>
    </row>
    <row r="922" customFormat="false" ht="15" hidden="false" customHeight="true" outlineLevel="0" collapsed="false">
      <c r="A922" s="11"/>
      <c r="B922" s="9"/>
      <c r="C922" s="15" t="str">
        <f aca="false">IF($B922="","",IFERROR(INDEX(직원목록!$B$3:$B$302,MATCH($B922,직원목록!$A$3:$A$302,0)),"미등록사번"))</f>
        <v/>
      </c>
      <c r="D922" s="9"/>
      <c r="E922" s="15" t="str">
        <f aca="false">IF($D922="","",IFERROR(INDEX(교육과정!$B$3:$B$102,MATCH($D922,교육과정!$A$3:$A$102,0)),"미등록과정"))</f>
        <v/>
      </c>
      <c r="F922" s="13"/>
      <c r="G922" s="9"/>
      <c r="H922" s="9"/>
    </row>
    <row r="923" customFormat="false" ht="15" hidden="false" customHeight="true" outlineLevel="0" collapsed="false">
      <c r="A923" s="11"/>
      <c r="B923" s="9"/>
      <c r="C923" s="15" t="str">
        <f aca="false">IF($B923="","",IFERROR(INDEX(직원목록!$B$3:$B$302,MATCH($B923,직원목록!$A$3:$A$302,0)),"미등록사번"))</f>
        <v/>
      </c>
      <c r="D923" s="9"/>
      <c r="E923" s="15" t="str">
        <f aca="false">IF($D923="","",IFERROR(INDEX(교육과정!$B$3:$B$102,MATCH($D923,교육과정!$A$3:$A$102,0)),"미등록과정"))</f>
        <v/>
      </c>
      <c r="F923" s="13"/>
      <c r="G923" s="9"/>
      <c r="H923" s="9"/>
    </row>
    <row r="924" customFormat="false" ht="15" hidden="false" customHeight="true" outlineLevel="0" collapsed="false">
      <c r="A924" s="11"/>
      <c r="B924" s="9"/>
      <c r="C924" s="15" t="str">
        <f aca="false">IF($B924="","",IFERROR(INDEX(직원목록!$B$3:$B$302,MATCH($B924,직원목록!$A$3:$A$302,0)),"미등록사번"))</f>
        <v/>
      </c>
      <c r="D924" s="9"/>
      <c r="E924" s="15" t="str">
        <f aca="false">IF($D924="","",IFERROR(INDEX(교육과정!$B$3:$B$102,MATCH($D924,교육과정!$A$3:$A$102,0)),"미등록과정"))</f>
        <v/>
      </c>
      <c r="F924" s="13"/>
      <c r="G924" s="9"/>
      <c r="H924" s="9"/>
    </row>
    <row r="925" customFormat="false" ht="15" hidden="false" customHeight="true" outlineLevel="0" collapsed="false">
      <c r="A925" s="11"/>
      <c r="B925" s="9"/>
      <c r="C925" s="15" t="str">
        <f aca="false">IF($B925="","",IFERROR(INDEX(직원목록!$B$3:$B$302,MATCH($B925,직원목록!$A$3:$A$302,0)),"미등록사번"))</f>
        <v/>
      </c>
      <c r="D925" s="9"/>
      <c r="E925" s="15" t="str">
        <f aca="false">IF($D925="","",IFERROR(INDEX(교육과정!$B$3:$B$102,MATCH($D925,교육과정!$A$3:$A$102,0)),"미등록과정"))</f>
        <v/>
      </c>
      <c r="F925" s="13"/>
      <c r="G925" s="9"/>
      <c r="H925" s="9"/>
    </row>
    <row r="926" customFormat="false" ht="15" hidden="false" customHeight="true" outlineLevel="0" collapsed="false">
      <c r="A926" s="11"/>
      <c r="B926" s="9"/>
      <c r="C926" s="15" t="str">
        <f aca="false">IF($B926="","",IFERROR(INDEX(직원목록!$B$3:$B$302,MATCH($B926,직원목록!$A$3:$A$302,0)),"미등록사번"))</f>
        <v/>
      </c>
      <c r="D926" s="9"/>
      <c r="E926" s="15" t="str">
        <f aca="false">IF($D926="","",IFERROR(INDEX(교육과정!$B$3:$B$102,MATCH($D926,교육과정!$A$3:$A$102,0)),"미등록과정"))</f>
        <v/>
      </c>
      <c r="F926" s="13"/>
      <c r="G926" s="9"/>
      <c r="H926" s="9"/>
    </row>
    <row r="927" customFormat="false" ht="15" hidden="false" customHeight="true" outlineLevel="0" collapsed="false">
      <c r="A927" s="11"/>
      <c r="B927" s="9"/>
      <c r="C927" s="15" t="str">
        <f aca="false">IF($B927="","",IFERROR(INDEX(직원목록!$B$3:$B$302,MATCH($B927,직원목록!$A$3:$A$302,0)),"미등록사번"))</f>
        <v/>
      </c>
      <c r="D927" s="9"/>
      <c r="E927" s="15" t="str">
        <f aca="false">IF($D927="","",IFERROR(INDEX(교육과정!$B$3:$B$102,MATCH($D927,교육과정!$A$3:$A$102,0)),"미등록과정"))</f>
        <v/>
      </c>
      <c r="F927" s="13"/>
      <c r="G927" s="9"/>
      <c r="H927" s="9"/>
    </row>
    <row r="928" customFormat="false" ht="15" hidden="false" customHeight="true" outlineLevel="0" collapsed="false">
      <c r="A928" s="11"/>
      <c r="B928" s="9"/>
      <c r="C928" s="15" t="str">
        <f aca="false">IF($B928="","",IFERROR(INDEX(직원목록!$B$3:$B$302,MATCH($B928,직원목록!$A$3:$A$302,0)),"미등록사번"))</f>
        <v/>
      </c>
      <c r="D928" s="9"/>
      <c r="E928" s="15" t="str">
        <f aca="false">IF($D928="","",IFERROR(INDEX(교육과정!$B$3:$B$102,MATCH($D928,교육과정!$A$3:$A$102,0)),"미등록과정"))</f>
        <v/>
      </c>
      <c r="F928" s="13"/>
      <c r="G928" s="9"/>
      <c r="H928" s="9"/>
    </row>
    <row r="929" customFormat="false" ht="15" hidden="false" customHeight="true" outlineLevel="0" collapsed="false">
      <c r="A929" s="11"/>
      <c r="B929" s="9"/>
      <c r="C929" s="15" t="str">
        <f aca="false">IF($B929="","",IFERROR(INDEX(직원목록!$B$3:$B$302,MATCH($B929,직원목록!$A$3:$A$302,0)),"미등록사번"))</f>
        <v/>
      </c>
      <c r="D929" s="9"/>
      <c r="E929" s="15" t="str">
        <f aca="false">IF($D929="","",IFERROR(INDEX(교육과정!$B$3:$B$102,MATCH($D929,교육과정!$A$3:$A$102,0)),"미등록과정"))</f>
        <v/>
      </c>
      <c r="F929" s="13"/>
      <c r="G929" s="9"/>
      <c r="H929" s="9"/>
    </row>
    <row r="930" customFormat="false" ht="15" hidden="false" customHeight="true" outlineLevel="0" collapsed="false">
      <c r="A930" s="11"/>
      <c r="B930" s="9"/>
      <c r="C930" s="15" t="str">
        <f aca="false">IF($B930="","",IFERROR(INDEX(직원목록!$B$3:$B$302,MATCH($B930,직원목록!$A$3:$A$302,0)),"미등록사번"))</f>
        <v/>
      </c>
      <c r="D930" s="9"/>
      <c r="E930" s="15" t="str">
        <f aca="false">IF($D930="","",IFERROR(INDEX(교육과정!$B$3:$B$102,MATCH($D930,교육과정!$A$3:$A$102,0)),"미등록과정"))</f>
        <v/>
      </c>
      <c r="F930" s="13"/>
      <c r="G930" s="9"/>
      <c r="H930" s="9"/>
    </row>
    <row r="931" customFormat="false" ht="15" hidden="false" customHeight="true" outlineLevel="0" collapsed="false">
      <c r="A931" s="11"/>
      <c r="B931" s="9"/>
      <c r="C931" s="15" t="str">
        <f aca="false">IF($B931="","",IFERROR(INDEX(직원목록!$B$3:$B$302,MATCH($B931,직원목록!$A$3:$A$302,0)),"미등록사번"))</f>
        <v/>
      </c>
      <c r="D931" s="9"/>
      <c r="E931" s="15" t="str">
        <f aca="false">IF($D931="","",IFERROR(INDEX(교육과정!$B$3:$B$102,MATCH($D931,교육과정!$A$3:$A$102,0)),"미등록과정"))</f>
        <v/>
      </c>
      <c r="F931" s="13"/>
      <c r="G931" s="9"/>
      <c r="H931" s="9"/>
    </row>
    <row r="932" customFormat="false" ht="15" hidden="false" customHeight="true" outlineLevel="0" collapsed="false">
      <c r="A932" s="11"/>
      <c r="B932" s="9"/>
      <c r="C932" s="15" t="str">
        <f aca="false">IF($B932="","",IFERROR(INDEX(직원목록!$B$3:$B$302,MATCH($B932,직원목록!$A$3:$A$302,0)),"미등록사번"))</f>
        <v/>
      </c>
      <c r="D932" s="9"/>
      <c r="E932" s="15" t="str">
        <f aca="false">IF($D932="","",IFERROR(INDEX(교육과정!$B$3:$B$102,MATCH($D932,교육과정!$A$3:$A$102,0)),"미등록과정"))</f>
        <v/>
      </c>
      <c r="F932" s="13"/>
      <c r="G932" s="9"/>
      <c r="H932" s="9"/>
    </row>
    <row r="933" customFormat="false" ht="15" hidden="false" customHeight="true" outlineLevel="0" collapsed="false">
      <c r="A933" s="11"/>
      <c r="B933" s="9"/>
      <c r="C933" s="15" t="str">
        <f aca="false">IF($B933="","",IFERROR(INDEX(직원목록!$B$3:$B$302,MATCH($B933,직원목록!$A$3:$A$302,0)),"미등록사번"))</f>
        <v/>
      </c>
      <c r="D933" s="9"/>
      <c r="E933" s="15" t="str">
        <f aca="false">IF($D933="","",IFERROR(INDEX(교육과정!$B$3:$B$102,MATCH($D933,교육과정!$A$3:$A$102,0)),"미등록과정"))</f>
        <v/>
      </c>
      <c r="F933" s="13"/>
      <c r="G933" s="9"/>
      <c r="H933" s="9"/>
    </row>
    <row r="934" customFormat="false" ht="15" hidden="false" customHeight="true" outlineLevel="0" collapsed="false">
      <c r="A934" s="11"/>
      <c r="B934" s="9"/>
      <c r="C934" s="15" t="str">
        <f aca="false">IF($B934="","",IFERROR(INDEX(직원목록!$B$3:$B$302,MATCH($B934,직원목록!$A$3:$A$302,0)),"미등록사번"))</f>
        <v/>
      </c>
      <c r="D934" s="9"/>
      <c r="E934" s="15" t="str">
        <f aca="false">IF($D934="","",IFERROR(INDEX(교육과정!$B$3:$B$102,MATCH($D934,교육과정!$A$3:$A$102,0)),"미등록과정"))</f>
        <v/>
      </c>
      <c r="F934" s="13"/>
      <c r="G934" s="9"/>
      <c r="H934" s="9"/>
    </row>
    <row r="935" customFormat="false" ht="15" hidden="false" customHeight="true" outlineLevel="0" collapsed="false">
      <c r="A935" s="11"/>
      <c r="B935" s="9"/>
      <c r="C935" s="15" t="str">
        <f aca="false">IF($B935="","",IFERROR(INDEX(직원목록!$B$3:$B$302,MATCH($B935,직원목록!$A$3:$A$302,0)),"미등록사번"))</f>
        <v/>
      </c>
      <c r="D935" s="9"/>
      <c r="E935" s="15" t="str">
        <f aca="false">IF($D935="","",IFERROR(INDEX(교육과정!$B$3:$B$102,MATCH($D935,교육과정!$A$3:$A$102,0)),"미등록과정"))</f>
        <v/>
      </c>
      <c r="F935" s="13"/>
      <c r="G935" s="9"/>
      <c r="H935" s="9"/>
    </row>
    <row r="936" customFormat="false" ht="15" hidden="false" customHeight="true" outlineLevel="0" collapsed="false">
      <c r="A936" s="11"/>
      <c r="B936" s="9"/>
      <c r="C936" s="15" t="str">
        <f aca="false">IF($B936="","",IFERROR(INDEX(직원목록!$B$3:$B$302,MATCH($B936,직원목록!$A$3:$A$302,0)),"미등록사번"))</f>
        <v/>
      </c>
      <c r="D936" s="9"/>
      <c r="E936" s="15" t="str">
        <f aca="false">IF($D936="","",IFERROR(INDEX(교육과정!$B$3:$B$102,MATCH($D936,교육과정!$A$3:$A$102,0)),"미등록과정"))</f>
        <v/>
      </c>
      <c r="F936" s="13"/>
      <c r="G936" s="9"/>
      <c r="H936" s="9"/>
    </row>
    <row r="937" customFormat="false" ht="15" hidden="false" customHeight="true" outlineLevel="0" collapsed="false">
      <c r="A937" s="11"/>
      <c r="B937" s="9"/>
      <c r="C937" s="15" t="str">
        <f aca="false">IF($B937="","",IFERROR(INDEX(직원목록!$B$3:$B$302,MATCH($B937,직원목록!$A$3:$A$302,0)),"미등록사번"))</f>
        <v/>
      </c>
      <c r="D937" s="9"/>
      <c r="E937" s="15" t="str">
        <f aca="false">IF($D937="","",IFERROR(INDEX(교육과정!$B$3:$B$102,MATCH($D937,교육과정!$A$3:$A$102,0)),"미등록과정"))</f>
        <v/>
      </c>
      <c r="F937" s="13"/>
      <c r="G937" s="9"/>
      <c r="H937" s="9"/>
    </row>
    <row r="938" customFormat="false" ht="15" hidden="false" customHeight="true" outlineLevel="0" collapsed="false">
      <c r="A938" s="11"/>
      <c r="B938" s="9"/>
      <c r="C938" s="15" t="str">
        <f aca="false">IF($B938="","",IFERROR(INDEX(직원목록!$B$3:$B$302,MATCH($B938,직원목록!$A$3:$A$302,0)),"미등록사번"))</f>
        <v/>
      </c>
      <c r="D938" s="9"/>
      <c r="E938" s="15" t="str">
        <f aca="false">IF($D938="","",IFERROR(INDEX(교육과정!$B$3:$B$102,MATCH($D938,교육과정!$A$3:$A$102,0)),"미등록과정"))</f>
        <v/>
      </c>
      <c r="F938" s="13"/>
      <c r="G938" s="9"/>
      <c r="H938" s="9"/>
    </row>
    <row r="939" customFormat="false" ht="15" hidden="false" customHeight="true" outlineLevel="0" collapsed="false">
      <c r="A939" s="11"/>
      <c r="B939" s="9"/>
      <c r="C939" s="15" t="str">
        <f aca="false">IF($B939="","",IFERROR(INDEX(직원목록!$B$3:$B$302,MATCH($B939,직원목록!$A$3:$A$302,0)),"미등록사번"))</f>
        <v/>
      </c>
      <c r="D939" s="9"/>
      <c r="E939" s="15" t="str">
        <f aca="false">IF($D939="","",IFERROR(INDEX(교육과정!$B$3:$B$102,MATCH($D939,교육과정!$A$3:$A$102,0)),"미등록과정"))</f>
        <v/>
      </c>
      <c r="F939" s="13"/>
      <c r="G939" s="9"/>
      <c r="H939" s="9"/>
    </row>
    <row r="940" customFormat="false" ht="15" hidden="false" customHeight="true" outlineLevel="0" collapsed="false">
      <c r="A940" s="11"/>
      <c r="B940" s="9"/>
      <c r="C940" s="15" t="str">
        <f aca="false">IF($B940="","",IFERROR(INDEX(직원목록!$B$3:$B$302,MATCH($B940,직원목록!$A$3:$A$302,0)),"미등록사번"))</f>
        <v/>
      </c>
      <c r="D940" s="9"/>
      <c r="E940" s="15" t="str">
        <f aca="false">IF($D940="","",IFERROR(INDEX(교육과정!$B$3:$B$102,MATCH($D940,교육과정!$A$3:$A$102,0)),"미등록과정"))</f>
        <v/>
      </c>
      <c r="F940" s="13"/>
      <c r="G940" s="9"/>
      <c r="H940" s="9"/>
    </row>
    <row r="941" customFormat="false" ht="15" hidden="false" customHeight="true" outlineLevel="0" collapsed="false">
      <c r="A941" s="11"/>
      <c r="B941" s="9"/>
      <c r="C941" s="15" t="str">
        <f aca="false">IF($B941="","",IFERROR(INDEX(직원목록!$B$3:$B$302,MATCH($B941,직원목록!$A$3:$A$302,0)),"미등록사번"))</f>
        <v/>
      </c>
      <c r="D941" s="9"/>
      <c r="E941" s="15" t="str">
        <f aca="false">IF($D941="","",IFERROR(INDEX(교육과정!$B$3:$B$102,MATCH($D941,교육과정!$A$3:$A$102,0)),"미등록과정"))</f>
        <v/>
      </c>
      <c r="F941" s="13"/>
      <c r="G941" s="9"/>
      <c r="H941" s="9"/>
    </row>
    <row r="942" customFormat="false" ht="15" hidden="false" customHeight="true" outlineLevel="0" collapsed="false">
      <c r="A942" s="11"/>
      <c r="B942" s="9"/>
      <c r="C942" s="15" t="str">
        <f aca="false">IF($B942="","",IFERROR(INDEX(직원목록!$B$3:$B$302,MATCH($B942,직원목록!$A$3:$A$302,0)),"미등록사번"))</f>
        <v/>
      </c>
      <c r="D942" s="9"/>
      <c r="E942" s="15" t="str">
        <f aca="false">IF($D942="","",IFERROR(INDEX(교육과정!$B$3:$B$102,MATCH($D942,교육과정!$A$3:$A$102,0)),"미등록과정"))</f>
        <v/>
      </c>
      <c r="F942" s="13"/>
      <c r="G942" s="9"/>
      <c r="H942" s="9"/>
    </row>
    <row r="943" customFormat="false" ht="15" hidden="false" customHeight="true" outlineLevel="0" collapsed="false">
      <c r="A943" s="11"/>
      <c r="B943" s="9"/>
      <c r="C943" s="15" t="str">
        <f aca="false">IF($B943="","",IFERROR(INDEX(직원목록!$B$3:$B$302,MATCH($B943,직원목록!$A$3:$A$302,0)),"미등록사번"))</f>
        <v/>
      </c>
      <c r="D943" s="9"/>
      <c r="E943" s="15" t="str">
        <f aca="false">IF($D943="","",IFERROR(INDEX(교육과정!$B$3:$B$102,MATCH($D943,교육과정!$A$3:$A$102,0)),"미등록과정"))</f>
        <v/>
      </c>
      <c r="F943" s="13"/>
      <c r="G943" s="9"/>
      <c r="H943" s="9"/>
    </row>
    <row r="944" customFormat="false" ht="15" hidden="false" customHeight="true" outlineLevel="0" collapsed="false">
      <c r="A944" s="11"/>
      <c r="B944" s="9"/>
      <c r="C944" s="15" t="str">
        <f aca="false">IF($B944="","",IFERROR(INDEX(직원목록!$B$3:$B$302,MATCH($B944,직원목록!$A$3:$A$302,0)),"미등록사번"))</f>
        <v/>
      </c>
      <c r="D944" s="9"/>
      <c r="E944" s="15" t="str">
        <f aca="false">IF($D944="","",IFERROR(INDEX(교육과정!$B$3:$B$102,MATCH($D944,교육과정!$A$3:$A$102,0)),"미등록과정"))</f>
        <v/>
      </c>
      <c r="F944" s="13"/>
      <c r="G944" s="9"/>
      <c r="H944" s="9"/>
    </row>
    <row r="945" customFormat="false" ht="15" hidden="false" customHeight="true" outlineLevel="0" collapsed="false">
      <c r="A945" s="11"/>
      <c r="B945" s="9"/>
      <c r="C945" s="15" t="str">
        <f aca="false">IF($B945="","",IFERROR(INDEX(직원목록!$B$3:$B$302,MATCH($B945,직원목록!$A$3:$A$302,0)),"미등록사번"))</f>
        <v/>
      </c>
      <c r="D945" s="9"/>
      <c r="E945" s="15" t="str">
        <f aca="false">IF($D945="","",IFERROR(INDEX(교육과정!$B$3:$B$102,MATCH($D945,교육과정!$A$3:$A$102,0)),"미등록과정"))</f>
        <v/>
      </c>
      <c r="F945" s="13"/>
      <c r="G945" s="9"/>
      <c r="H945" s="9"/>
    </row>
    <row r="946" customFormat="false" ht="15" hidden="false" customHeight="true" outlineLevel="0" collapsed="false">
      <c r="A946" s="11"/>
      <c r="B946" s="9"/>
      <c r="C946" s="15" t="str">
        <f aca="false">IF($B946="","",IFERROR(INDEX(직원목록!$B$3:$B$302,MATCH($B946,직원목록!$A$3:$A$302,0)),"미등록사번"))</f>
        <v/>
      </c>
      <c r="D946" s="9"/>
      <c r="E946" s="15" t="str">
        <f aca="false">IF($D946="","",IFERROR(INDEX(교육과정!$B$3:$B$102,MATCH($D946,교육과정!$A$3:$A$102,0)),"미등록과정"))</f>
        <v/>
      </c>
      <c r="F946" s="13"/>
      <c r="G946" s="9"/>
      <c r="H946" s="9"/>
    </row>
    <row r="947" customFormat="false" ht="15" hidden="false" customHeight="true" outlineLevel="0" collapsed="false">
      <c r="A947" s="11"/>
      <c r="B947" s="9"/>
      <c r="C947" s="15" t="str">
        <f aca="false">IF($B947="","",IFERROR(INDEX(직원목록!$B$3:$B$302,MATCH($B947,직원목록!$A$3:$A$302,0)),"미등록사번"))</f>
        <v/>
      </c>
      <c r="D947" s="9"/>
      <c r="E947" s="15" t="str">
        <f aca="false">IF($D947="","",IFERROR(INDEX(교육과정!$B$3:$B$102,MATCH($D947,교육과정!$A$3:$A$102,0)),"미등록과정"))</f>
        <v/>
      </c>
      <c r="F947" s="13"/>
      <c r="G947" s="9"/>
      <c r="H947" s="9"/>
    </row>
    <row r="948" customFormat="false" ht="15" hidden="false" customHeight="true" outlineLevel="0" collapsed="false">
      <c r="A948" s="11"/>
      <c r="B948" s="9"/>
      <c r="C948" s="15" t="str">
        <f aca="false">IF($B948="","",IFERROR(INDEX(직원목록!$B$3:$B$302,MATCH($B948,직원목록!$A$3:$A$302,0)),"미등록사번"))</f>
        <v/>
      </c>
      <c r="D948" s="9"/>
      <c r="E948" s="15" t="str">
        <f aca="false">IF($D948="","",IFERROR(INDEX(교육과정!$B$3:$B$102,MATCH($D948,교육과정!$A$3:$A$102,0)),"미등록과정"))</f>
        <v/>
      </c>
      <c r="F948" s="13"/>
      <c r="G948" s="9"/>
      <c r="H948" s="9"/>
    </row>
    <row r="949" customFormat="false" ht="15" hidden="false" customHeight="true" outlineLevel="0" collapsed="false">
      <c r="A949" s="11"/>
      <c r="B949" s="9"/>
      <c r="C949" s="15" t="str">
        <f aca="false">IF($B949="","",IFERROR(INDEX(직원목록!$B$3:$B$302,MATCH($B949,직원목록!$A$3:$A$302,0)),"미등록사번"))</f>
        <v/>
      </c>
      <c r="D949" s="9"/>
      <c r="E949" s="15" t="str">
        <f aca="false">IF($D949="","",IFERROR(INDEX(교육과정!$B$3:$B$102,MATCH($D949,교육과정!$A$3:$A$102,0)),"미등록과정"))</f>
        <v/>
      </c>
      <c r="F949" s="13"/>
      <c r="G949" s="9"/>
      <c r="H949" s="9"/>
    </row>
    <row r="950" customFormat="false" ht="15" hidden="false" customHeight="true" outlineLevel="0" collapsed="false">
      <c r="A950" s="11"/>
      <c r="B950" s="9"/>
      <c r="C950" s="15" t="str">
        <f aca="false">IF($B950="","",IFERROR(INDEX(직원목록!$B$3:$B$302,MATCH($B950,직원목록!$A$3:$A$302,0)),"미등록사번"))</f>
        <v/>
      </c>
      <c r="D950" s="9"/>
      <c r="E950" s="15" t="str">
        <f aca="false">IF($D950="","",IFERROR(INDEX(교육과정!$B$3:$B$102,MATCH($D950,교육과정!$A$3:$A$102,0)),"미등록과정"))</f>
        <v/>
      </c>
      <c r="F950" s="13"/>
      <c r="G950" s="9"/>
      <c r="H950" s="9"/>
    </row>
    <row r="951" customFormat="false" ht="15" hidden="false" customHeight="true" outlineLevel="0" collapsed="false">
      <c r="A951" s="11"/>
      <c r="B951" s="9"/>
      <c r="C951" s="15" t="str">
        <f aca="false">IF($B951="","",IFERROR(INDEX(직원목록!$B$3:$B$302,MATCH($B951,직원목록!$A$3:$A$302,0)),"미등록사번"))</f>
        <v/>
      </c>
      <c r="D951" s="9"/>
      <c r="E951" s="15" t="str">
        <f aca="false">IF($D951="","",IFERROR(INDEX(교육과정!$B$3:$B$102,MATCH($D951,교육과정!$A$3:$A$102,0)),"미등록과정"))</f>
        <v/>
      </c>
      <c r="F951" s="13"/>
      <c r="G951" s="9"/>
      <c r="H951" s="9"/>
    </row>
    <row r="952" customFormat="false" ht="15" hidden="false" customHeight="true" outlineLevel="0" collapsed="false">
      <c r="A952" s="11"/>
      <c r="B952" s="9"/>
      <c r="C952" s="15" t="str">
        <f aca="false">IF($B952="","",IFERROR(INDEX(직원목록!$B$3:$B$302,MATCH($B952,직원목록!$A$3:$A$302,0)),"미등록사번"))</f>
        <v/>
      </c>
      <c r="D952" s="9"/>
      <c r="E952" s="15" t="str">
        <f aca="false">IF($D952="","",IFERROR(INDEX(교육과정!$B$3:$B$102,MATCH($D952,교육과정!$A$3:$A$102,0)),"미등록과정"))</f>
        <v/>
      </c>
      <c r="F952" s="13"/>
      <c r="G952" s="9"/>
      <c r="H952" s="9"/>
    </row>
    <row r="953" customFormat="false" ht="15" hidden="false" customHeight="true" outlineLevel="0" collapsed="false">
      <c r="A953" s="11"/>
      <c r="B953" s="9"/>
      <c r="C953" s="15" t="str">
        <f aca="false">IF($B953="","",IFERROR(INDEX(직원목록!$B$3:$B$302,MATCH($B953,직원목록!$A$3:$A$302,0)),"미등록사번"))</f>
        <v/>
      </c>
      <c r="D953" s="9"/>
      <c r="E953" s="15" t="str">
        <f aca="false">IF($D953="","",IFERROR(INDEX(교육과정!$B$3:$B$102,MATCH($D953,교육과정!$A$3:$A$102,0)),"미등록과정"))</f>
        <v/>
      </c>
      <c r="F953" s="13"/>
      <c r="G953" s="9"/>
      <c r="H953" s="9"/>
    </row>
    <row r="954" customFormat="false" ht="15" hidden="false" customHeight="true" outlineLevel="0" collapsed="false">
      <c r="A954" s="11"/>
      <c r="B954" s="9"/>
      <c r="C954" s="15" t="str">
        <f aca="false">IF($B954="","",IFERROR(INDEX(직원목록!$B$3:$B$302,MATCH($B954,직원목록!$A$3:$A$302,0)),"미등록사번"))</f>
        <v/>
      </c>
      <c r="D954" s="9"/>
      <c r="E954" s="15" t="str">
        <f aca="false">IF($D954="","",IFERROR(INDEX(교육과정!$B$3:$B$102,MATCH($D954,교육과정!$A$3:$A$102,0)),"미등록과정"))</f>
        <v/>
      </c>
      <c r="F954" s="13"/>
      <c r="G954" s="9"/>
      <c r="H954" s="9"/>
    </row>
    <row r="955" customFormat="false" ht="15" hidden="false" customHeight="true" outlineLevel="0" collapsed="false">
      <c r="A955" s="11"/>
      <c r="B955" s="9"/>
      <c r="C955" s="15" t="str">
        <f aca="false">IF($B955="","",IFERROR(INDEX(직원목록!$B$3:$B$302,MATCH($B955,직원목록!$A$3:$A$302,0)),"미등록사번"))</f>
        <v/>
      </c>
      <c r="D955" s="9"/>
      <c r="E955" s="15" t="str">
        <f aca="false">IF($D955="","",IFERROR(INDEX(교육과정!$B$3:$B$102,MATCH($D955,교육과정!$A$3:$A$102,0)),"미등록과정"))</f>
        <v/>
      </c>
      <c r="F955" s="13"/>
      <c r="G955" s="9"/>
      <c r="H955" s="9"/>
    </row>
    <row r="956" customFormat="false" ht="15" hidden="false" customHeight="true" outlineLevel="0" collapsed="false">
      <c r="A956" s="11"/>
      <c r="B956" s="9"/>
      <c r="C956" s="15" t="str">
        <f aca="false">IF($B956="","",IFERROR(INDEX(직원목록!$B$3:$B$302,MATCH($B956,직원목록!$A$3:$A$302,0)),"미등록사번"))</f>
        <v/>
      </c>
      <c r="D956" s="9"/>
      <c r="E956" s="15" t="str">
        <f aca="false">IF($D956="","",IFERROR(INDEX(교육과정!$B$3:$B$102,MATCH($D956,교육과정!$A$3:$A$102,0)),"미등록과정"))</f>
        <v/>
      </c>
      <c r="F956" s="13"/>
      <c r="G956" s="9"/>
      <c r="H956" s="9"/>
    </row>
    <row r="957" customFormat="false" ht="15" hidden="false" customHeight="true" outlineLevel="0" collapsed="false">
      <c r="A957" s="11"/>
      <c r="B957" s="9"/>
      <c r="C957" s="15" t="str">
        <f aca="false">IF($B957="","",IFERROR(INDEX(직원목록!$B$3:$B$302,MATCH($B957,직원목록!$A$3:$A$302,0)),"미등록사번"))</f>
        <v/>
      </c>
      <c r="D957" s="9"/>
      <c r="E957" s="15" t="str">
        <f aca="false">IF($D957="","",IFERROR(INDEX(교육과정!$B$3:$B$102,MATCH($D957,교육과정!$A$3:$A$102,0)),"미등록과정"))</f>
        <v/>
      </c>
      <c r="F957" s="13"/>
      <c r="G957" s="9"/>
      <c r="H957" s="9"/>
    </row>
    <row r="958" customFormat="false" ht="15" hidden="false" customHeight="true" outlineLevel="0" collapsed="false">
      <c r="A958" s="11"/>
      <c r="B958" s="9"/>
      <c r="C958" s="15" t="str">
        <f aca="false">IF($B958="","",IFERROR(INDEX(직원목록!$B$3:$B$302,MATCH($B958,직원목록!$A$3:$A$302,0)),"미등록사번"))</f>
        <v/>
      </c>
      <c r="D958" s="9"/>
      <c r="E958" s="15" t="str">
        <f aca="false">IF($D958="","",IFERROR(INDEX(교육과정!$B$3:$B$102,MATCH($D958,교육과정!$A$3:$A$102,0)),"미등록과정"))</f>
        <v/>
      </c>
      <c r="F958" s="13"/>
      <c r="G958" s="9"/>
      <c r="H958" s="9"/>
    </row>
    <row r="959" customFormat="false" ht="15" hidden="false" customHeight="true" outlineLevel="0" collapsed="false">
      <c r="A959" s="11"/>
      <c r="B959" s="9"/>
      <c r="C959" s="15" t="str">
        <f aca="false">IF($B959="","",IFERROR(INDEX(직원목록!$B$3:$B$302,MATCH($B959,직원목록!$A$3:$A$302,0)),"미등록사번"))</f>
        <v/>
      </c>
      <c r="D959" s="9"/>
      <c r="E959" s="15" t="str">
        <f aca="false">IF($D959="","",IFERROR(INDEX(교육과정!$B$3:$B$102,MATCH($D959,교육과정!$A$3:$A$102,0)),"미등록과정"))</f>
        <v/>
      </c>
      <c r="F959" s="13"/>
      <c r="G959" s="9"/>
      <c r="H959" s="9"/>
    </row>
    <row r="960" customFormat="false" ht="15" hidden="false" customHeight="true" outlineLevel="0" collapsed="false">
      <c r="A960" s="11"/>
      <c r="B960" s="9"/>
      <c r="C960" s="15" t="str">
        <f aca="false">IF($B960="","",IFERROR(INDEX(직원목록!$B$3:$B$302,MATCH($B960,직원목록!$A$3:$A$302,0)),"미등록사번"))</f>
        <v/>
      </c>
      <c r="D960" s="9"/>
      <c r="E960" s="15" t="str">
        <f aca="false">IF($D960="","",IFERROR(INDEX(교육과정!$B$3:$B$102,MATCH($D960,교육과정!$A$3:$A$102,0)),"미등록과정"))</f>
        <v/>
      </c>
      <c r="F960" s="13"/>
      <c r="G960" s="9"/>
      <c r="H960" s="9"/>
    </row>
    <row r="961" customFormat="false" ht="15" hidden="false" customHeight="true" outlineLevel="0" collapsed="false">
      <c r="A961" s="11"/>
      <c r="B961" s="9"/>
      <c r="C961" s="15" t="str">
        <f aca="false">IF($B961="","",IFERROR(INDEX(직원목록!$B$3:$B$302,MATCH($B961,직원목록!$A$3:$A$302,0)),"미등록사번"))</f>
        <v/>
      </c>
      <c r="D961" s="9"/>
      <c r="E961" s="15" t="str">
        <f aca="false">IF($D961="","",IFERROR(INDEX(교육과정!$B$3:$B$102,MATCH($D961,교육과정!$A$3:$A$102,0)),"미등록과정"))</f>
        <v/>
      </c>
      <c r="F961" s="13"/>
      <c r="G961" s="9"/>
      <c r="H961" s="9"/>
    </row>
    <row r="962" customFormat="false" ht="15" hidden="false" customHeight="true" outlineLevel="0" collapsed="false">
      <c r="A962" s="11"/>
      <c r="B962" s="9"/>
      <c r="C962" s="15" t="str">
        <f aca="false">IF($B962="","",IFERROR(INDEX(직원목록!$B$3:$B$302,MATCH($B962,직원목록!$A$3:$A$302,0)),"미등록사번"))</f>
        <v/>
      </c>
      <c r="D962" s="9"/>
      <c r="E962" s="15" t="str">
        <f aca="false">IF($D962="","",IFERROR(INDEX(교육과정!$B$3:$B$102,MATCH($D962,교육과정!$A$3:$A$102,0)),"미등록과정"))</f>
        <v/>
      </c>
      <c r="F962" s="13"/>
      <c r="G962" s="9"/>
      <c r="H962" s="9"/>
    </row>
    <row r="963" customFormat="false" ht="15" hidden="false" customHeight="true" outlineLevel="0" collapsed="false">
      <c r="A963" s="11"/>
      <c r="B963" s="9"/>
      <c r="C963" s="15" t="str">
        <f aca="false">IF($B963="","",IFERROR(INDEX(직원목록!$B$3:$B$302,MATCH($B963,직원목록!$A$3:$A$302,0)),"미등록사번"))</f>
        <v/>
      </c>
      <c r="D963" s="9"/>
      <c r="E963" s="15" t="str">
        <f aca="false">IF($D963="","",IFERROR(INDEX(교육과정!$B$3:$B$102,MATCH($D963,교육과정!$A$3:$A$102,0)),"미등록과정"))</f>
        <v/>
      </c>
      <c r="F963" s="13"/>
      <c r="G963" s="9"/>
      <c r="H963" s="9"/>
    </row>
    <row r="964" customFormat="false" ht="15" hidden="false" customHeight="true" outlineLevel="0" collapsed="false">
      <c r="A964" s="11"/>
      <c r="B964" s="9"/>
      <c r="C964" s="15" t="str">
        <f aca="false">IF($B964="","",IFERROR(INDEX(직원목록!$B$3:$B$302,MATCH($B964,직원목록!$A$3:$A$302,0)),"미등록사번"))</f>
        <v/>
      </c>
      <c r="D964" s="9"/>
      <c r="E964" s="15" t="str">
        <f aca="false">IF($D964="","",IFERROR(INDEX(교육과정!$B$3:$B$102,MATCH($D964,교육과정!$A$3:$A$102,0)),"미등록과정"))</f>
        <v/>
      </c>
      <c r="F964" s="13"/>
      <c r="G964" s="9"/>
      <c r="H964" s="9"/>
    </row>
    <row r="965" customFormat="false" ht="15" hidden="false" customHeight="true" outlineLevel="0" collapsed="false">
      <c r="A965" s="11"/>
      <c r="B965" s="9"/>
      <c r="C965" s="15" t="str">
        <f aca="false">IF($B965="","",IFERROR(INDEX(직원목록!$B$3:$B$302,MATCH($B965,직원목록!$A$3:$A$302,0)),"미등록사번"))</f>
        <v/>
      </c>
      <c r="D965" s="9"/>
      <c r="E965" s="15" t="str">
        <f aca="false">IF($D965="","",IFERROR(INDEX(교육과정!$B$3:$B$102,MATCH($D965,교육과정!$A$3:$A$102,0)),"미등록과정"))</f>
        <v/>
      </c>
      <c r="F965" s="13"/>
      <c r="G965" s="9"/>
      <c r="H965" s="9"/>
    </row>
    <row r="966" customFormat="false" ht="15" hidden="false" customHeight="true" outlineLevel="0" collapsed="false">
      <c r="A966" s="11"/>
      <c r="B966" s="9"/>
      <c r="C966" s="15" t="str">
        <f aca="false">IF($B966="","",IFERROR(INDEX(직원목록!$B$3:$B$302,MATCH($B966,직원목록!$A$3:$A$302,0)),"미등록사번"))</f>
        <v/>
      </c>
      <c r="D966" s="9"/>
      <c r="E966" s="15" t="str">
        <f aca="false">IF($D966="","",IFERROR(INDEX(교육과정!$B$3:$B$102,MATCH($D966,교육과정!$A$3:$A$102,0)),"미등록과정"))</f>
        <v/>
      </c>
      <c r="F966" s="13"/>
      <c r="G966" s="9"/>
      <c r="H966" s="9"/>
    </row>
    <row r="967" customFormat="false" ht="15" hidden="false" customHeight="true" outlineLevel="0" collapsed="false">
      <c r="A967" s="11"/>
      <c r="B967" s="9"/>
      <c r="C967" s="15" t="str">
        <f aca="false">IF($B967="","",IFERROR(INDEX(직원목록!$B$3:$B$302,MATCH($B967,직원목록!$A$3:$A$302,0)),"미등록사번"))</f>
        <v/>
      </c>
      <c r="D967" s="9"/>
      <c r="E967" s="15" t="str">
        <f aca="false">IF($D967="","",IFERROR(INDEX(교육과정!$B$3:$B$102,MATCH($D967,교육과정!$A$3:$A$102,0)),"미등록과정"))</f>
        <v/>
      </c>
      <c r="F967" s="13"/>
      <c r="G967" s="9"/>
      <c r="H967" s="9"/>
    </row>
    <row r="968" customFormat="false" ht="15" hidden="false" customHeight="true" outlineLevel="0" collapsed="false">
      <c r="A968" s="11"/>
      <c r="B968" s="9"/>
      <c r="C968" s="15" t="str">
        <f aca="false">IF($B968="","",IFERROR(INDEX(직원목록!$B$3:$B$302,MATCH($B968,직원목록!$A$3:$A$302,0)),"미등록사번"))</f>
        <v/>
      </c>
      <c r="D968" s="9"/>
      <c r="E968" s="15" t="str">
        <f aca="false">IF($D968="","",IFERROR(INDEX(교육과정!$B$3:$B$102,MATCH($D968,교육과정!$A$3:$A$102,0)),"미등록과정"))</f>
        <v/>
      </c>
      <c r="F968" s="13"/>
      <c r="G968" s="9"/>
      <c r="H968" s="9"/>
    </row>
    <row r="969" customFormat="false" ht="15" hidden="false" customHeight="true" outlineLevel="0" collapsed="false">
      <c r="A969" s="11"/>
      <c r="B969" s="9"/>
      <c r="C969" s="15" t="str">
        <f aca="false">IF($B969="","",IFERROR(INDEX(직원목록!$B$3:$B$302,MATCH($B969,직원목록!$A$3:$A$302,0)),"미등록사번"))</f>
        <v/>
      </c>
      <c r="D969" s="9"/>
      <c r="E969" s="15" t="str">
        <f aca="false">IF($D969="","",IFERROR(INDEX(교육과정!$B$3:$B$102,MATCH($D969,교육과정!$A$3:$A$102,0)),"미등록과정"))</f>
        <v/>
      </c>
      <c r="F969" s="13"/>
      <c r="G969" s="9"/>
      <c r="H969" s="9"/>
    </row>
    <row r="970" customFormat="false" ht="15" hidden="false" customHeight="true" outlineLevel="0" collapsed="false">
      <c r="A970" s="11"/>
      <c r="B970" s="9"/>
      <c r="C970" s="15" t="str">
        <f aca="false">IF($B970="","",IFERROR(INDEX(직원목록!$B$3:$B$302,MATCH($B970,직원목록!$A$3:$A$302,0)),"미등록사번"))</f>
        <v/>
      </c>
      <c r="D970" s="9"/>
      <c r="E970" s="15" t="str">
        <f aca="false">IF($D970="","",IFERROR(INDEX(교육과정!$B$3:$B$102,MATCH($D970,교육과정!$A$3:$A$102,0)),"미등록과정"))</f>
        <v/>
      </c>
      <c r="F970" s="13"/>
      <c r="G970" s="9"/>
      <c r="H970" s="9"/>
    </row>
    <row r="971" customFormat="false" ht="15" hidden="false" customHeight="true" outlineLevel="0" collapsed="false">
      <c r="A971" s="11"/>
      <c r="B971" s="9"/>
      <c r="C971" s="15" t="str">
        <f aca="false">IF($B971="","",IFERROR(INDEX(직원목록!$B$3:$B$302,MATCH($B971,직원목록!$A$3:$A$302,0)),"미등록사번"))</f>
        <v/>
      </c>
      <c r="D971" s="9"/>
      <c r="E971" s="15" t="str">
        <f aca="false">IF($D971="","",IFERROR(INDEX(교육과정!$B$3:$B$102,MATCH($D971,교육과정!$A$3:$A$102,0)),"미등록과정"))</f>
        <v/>
      </c>
      <c r="F971" s="13"/>
      <c r="G971" s="9"/>
      <c r="H971" s="9"/>
    </row>
    <row r="972" customFormat="false" ht="15" hidden="false" customHeight="true" outlineLevel="0" collapsed="false">
      <c r="A972" s="11"/>
      <c r="B972" s="9"/>
      <c r="C972" s="15" t="str">
        <f aca="false">IF($B972="","",IFERROR(INDEX(직원목록!$B$3:$B$302,MATCH($B972,직원목록!$A$3:$A$302,0)),"미등록사번"))</f>
        <v/>
      </c>
      <c r="D972" s="9"/>
      <c r="E972" s="15" t="str">
        <f aca="false">IF($D972="","",IFERROR(INDEX(교육과정!$B$3:$B$102,MATCH($D972,교육과정!$A$3:$A$102,0)),"미등록과정"))</f>
        <v/>
      </c>
      <c r="F972" s="13"/>
      <c r="G972" s="9"/>
      <c r="H972" s="9"/>
    </row>
    <row r="973" customFormat="false" ht="15" hidden="false" customHeight="true" outlineLevel="0" collapsed="false">
      <c r="A973" s="11"/>
      <c r="B973" s="9"/>
      <c r="C973" s="15" t="str">
        <f aca="false">IF($B973="","",IFERROR(INDEX(직원목록!$B$3:$B$302,MATCH($B973,직원목록!$A$3:$A$302,0)),"미등록사번"))</f>
        <v/>
      </c>
      <c r="D973" s="9"/>
      <c r="E973" s="15" t="str">
        <f aca="false">IF($D973="","",IFERROR(INDEX(교육과정!$B$3:$B$102,MATCH($D973,교육과정!$A$3:$A$102,0)),"미등록과정"))</f>
        <v/>
      </c>
      <c r="F973" s="13"/>
      <c r="G973" s="9"/>
      <c r="H973" s="9"/>
    </row>
    <row r="974" customFormat="false" ht="15" hidden="false" customHeight="true" outlineLevel="0" collapsed="false">
      <c r="A974" s="11"/>
      <c r="B974" s="9"/>
      <c r="C974" s="15" t="str">
        <f aca="false">IF($B974="","",IFERROR(INDEX(직원목록!$B$3:$B$302,MATCH($B974,직원목록!$A$3:$A$302,0)),"미등록사번"))</f>
        <v/>
      </c>
      <c r="D974" s="9"/>
      <c r="E974" s="15" t="str">
        <f aca="false">IF($D974="","",IFERROR(INDEX(교육과정!$B$3:$B$102,MATCH($D974,교육과정!$A$3:$A$102,0)),"미등록과정"))</f>
        <v/>
      </c>
      <c r="F974" s="13"/>
      <c r="G974" s="9"/>
      <c r="H974" s="9"/>
    </row>
    <row r="975" customFormat="false" ht="15" hidden="false" customHeight="true" outlineLevel="0" collapsed="false">
      <c r="A975" s="11"/>
      <c r="B975" s="9"/>
      <c r="C975" s="15" t="str">
        <f aca="false">IF($B975="","",IFERROR(INDEX(직원목록!$B$3:$B$302,MATCH($B975,직원목록!$A$3:$A$302,0)),"미등록사번"))</f>
        <v/>
      </c>
      <c r="D975" s="9"/>
      <c r="E975" s="15" t="str">
        <f aca="false">IF($D975="","",IFERROR(INDEX(교육과정!$B$3:$B$102,MATCH($D975,교육과정!$A$3:$A$102,0)),"미등록과정"))</f>
        <v/>
      </c>
      <c r="F975" s="13"/>
      <c r="G975" s="9"/>
      <c r="H975" s="9"/>
    </row>
    <row r="976" customFormat="false" ht="15" hidden="false" customHeight="true" outlineLevel="0" collapsed="false">
      <c r="A976" s="11"/>
      <c r="B976" s="9"/>
      <c r="C976" s="15" t="str">
        <f aca="false">IF($B976="","",IFERROR(INDEX(직원목록!$B$3:$B$302,MATCH($B976,직원목록!$A$3:$A$302,0)),"미등록사번"))</f>
        <v/>
      </c>
      <c r="D976" s="9"/>
      <c r="E976" s="15" t="str">
        <f aca="false">IF($D976="","",IFERROR(INDEX(교육과정!$B$3:$B$102,MATCH($D976,교육과정!$A$3:$A$102,0)),"미등록과정"))</f>
        <v/>
      </c>
      <c r="F976" s="13"/>
      <c r="G976" s="9"/>
      <c r="H976" s="9"/>
    </row>
    <row r="977" customFormat="false" ht="15" hidden="false" customHeight="true" outlineLevel="0" collapsed="false">
      <c r="A977" s="11"/>
      <c r="B977" s="9"/>
      <c r="C977" s="15" t="str">
        <f aca="false">IF($B977="","",IFERROR(INDEX(직원목록!$B$3:$B$302,MATCH($B977,직원목록!$A$3:$A$302,0)),"미등록사번"))</f>
        <v/>
      </c>
      <c r="D977" s="9"/>
      <c r="E977" s="15" t="str">
        <f aca="false">IF($D977="","",IFERROR(INDEX(교육과정!$B$3:$B$102,MATCH($D977,교육과정!$A$3:$A$102,0)),"미등록과정"))</f>
        <v/>
      </c>
      <c r="F977" s="13"/>
      <c r="G977" s="9"/>
      <c r="H977" s="9"/>
    </row>
    <row r="978" customFormat="false" ht="15" hidden="false" customHeight="true" outlineLevel="0" collapsed="false">
      <c r="A978" s="11"/>
      <c r="B978" s="9"/>
      <c r="C978" s="15" t="str">
        <f aca="false">IF($B978="","",IFERROR(INDEX(직원목록!$B$3:$B$302,MATCH($B978,직원목록!$A$3:$A$302,0)),"미등록사번"))</f>
        <v/>
      </c>
      <c r="D978" s="9"/>
      <c r="E978" s="15" t="str">
        <f aca="false">IF($D978="","",IFERROR(INDEX(교육과정!$B$3:$B$102,MATCH($D978,교육과정!$A$3:$A$102,0)),"미등록과정"))</f>
        <v/>
      </c>
      <c r="F978" s="13"/>
      <c r="G978" s="9"/>
      <c r="H978" s="9"/>
    </row>
    <row r="979" customFormat="false" ht="15" hidden="false" customHeight="true" outlineLevel="0" collapsed="false">
      <c r="A979" s="11"/>
      <c r="B979" s="9"/>
      <c r="C979" s="15" t="str">
        <f aca="false">IF($B979="","",IFERROR(INDEX(직원목록!$B$3:$B$302,MATCH($B979,직원목록!$A$3:$A$302,0)),"미등록사번"))</f>
        <v/>
      </c>
      <c r="D979" s="9"/>
      <c r="E979" s="15" t="str">
        <f aca="false">IF($D979="","",IFERROR(INDEX(교육과정!$B$3:$B$102,MATCH($D979,교육과정!$A$3:$A$102,0)),"미등록과정"))</f>
        <v/>
      </c>
      <c r="F979" s="13"/>
      <c r="G979" s="9"/>
      <c r="H979" s="9"/>
    </row>
    <row r="980" customFormat="false" ht="15" hidden="false" customHeight="true" outlineLevel="0" collapsed="false">
      <c r="A980" s="11"/>
      <c r="B980" s="9"/>
      <c r="C980" s="15" t="str">
        <f aca="false">IF($B980="","",IFERROR(INDEX(직원목록!$B$3:$B$302,MATCH($B980,직원목록!$A$3:$A$302,0)),"미등록사번"))</f>
        <v/>
      </c>
      <c r="D980" s="9"/>
      <c r="E980" s="15" t="str">
        <f aca="false">IF($D980="","",IFERROR(INDEX(교육과정!$B$3:$B$102,MATCH($D980,교육과정!$A$3:$A$102,0)),"미등록과정"))</f>
        <v/>
      </c>
      <c r="F980" s="13"/>
      <c r="G980" s="9"/>
      <c r="H980" s="9"/>
    </row>
    <row r="981" customFormat="false" ht="15" hidden="false" customHeight="true" outlineLevel="0" collapsed="false">
      <c r="A981" s="11"/>
      <c r="B981" s="9"/>
      <c r="C981" s="15" t="str">
        <f aca="false">IF($B981="","",IFERROR(INDEX(직원목록!$B$3:$B$302,MATCH($B981,직원목록!$A$3:$A$302,0)),"미등록사번"))</f>
        <v/>
      </c>
      <c r="D981" s="9"/>
      <c r="E981" s="15" t="str">
        <f aca="false">IF($D981="","",IFERROR(INDEX(교육과정!$B$3:$B$102,MATCH($D981,교육과정!$A$3:$A$102,0)),"미등록과정"))</f>
        <v/>
      </c>
      <c r="F981" s="13"/>
      <c r="G981" s="9"/>
      <c r="H981" s="9"/>
    </row>
    <row r="982" customFormat="false" ht="15" hidden="false" customHeight="true" outlineLevel="0" collapsed="false">
      <c r="A982" s="11"/>
      <c r="B982" s="9"/>
      <c r="C982" s="15" t="str">
        <f aca="false">IF($B982="","",IFERROR(INDEX(직원목록!$B$3:$B$302,MATCH($B982,직원목록!$A$3:$A$302,0)),"미등록사번"))</f>
        <v/>
      </c>
      <c r="D982" s="9"/>
      <c r="E982" s="15" t="str">
        <f aca="false">IF($D982="","",IFERROR(INDEX(교육과정!$B$3:$B$102,MATCH($D982,교육과정!$A$3:$A$102,0)),"미등록과정"))</f>
        <v/>
      </c>
      <c r="F982" s="13"/>
      <c r="G982" s="9"/>
      <c r="H982" s="9"/>
    </row>
    <row r="983" customFormat="false" ht="15" hidden="false" customHeight="true" outlineLevel="0" collapsed="false">
      <c r="A983" s="11"/>
      <c r="B983" s="9"/>
      <c r="C983" s="15" t="str">
        <f aca="false">IF($B983="","",IFERROR(INDEX(직원목록!$B$3:$B$302,MATCH($B983,직원목록!$A$3:$A$302,0)),"미등록사번"))</f>
        <v/>
      </c>
      <c r="D983" s="9"/>
      <c r="E983" s="15" t="str">
        <f aca="false">IF($D983="","",IFERROR(INDEX(교육과정!$B$3:$B$102,MATCH($D983,교육과정!$A$3:$A$102,0)),"미등록과정"))</f>
        <v/>
      </c>
      <c r="F983" s="13"/>
      <c r="G983" s="9"/>
      <c r="H983" s="9"/>
    </row>
    <row r="984" customFormat="false" ht="15" hidden="false" customHeight="true" outlineLevel="0" collapsed="false">
      <c r="A984" s="11"/>
      <c r="B984" s="9"/>
      <c r="C984" s="15" t="str">
        <f aca="false">IF($B984="","",IFERROR(INDEX(직원목록!$B$3:$B$302,MATCH($B984,직원목록!$A$3:$A$302,0)),"미등록사번"))</f>
        <v/>
      </c>
      <c r="D984" s="9"/>
      <c r="E984" s="15" t="str">
        <f aca="false">IF($D984="","",IFERROR(INDEX(교육과정!$B$3:$B$102,MATCH($D984,교육과정!$A$3:$A$102,0)),"미등록과정"))</f>
        <v/>
      </c>
      <c r="F984" s="13"/>
      <c r="G984" s="9"/>
      <c r="H984" s="9"/>
    </row>
    <row r="985" customFormat="false" ht="15" hidden="false" customHeight="true" outlineLevel="0" collapsed="false">
      <c r="A985" s="11"/>
      <c r="B985" s="9"/>
      <c r="C985" s="15" t="str">
        <f aca="false">IF($B985="","",IFERROR(INDEX(직원목록!$B$3:$B$302,MATCH($B985,직원목록!$A$3:$A$302,0)),"미등록사번"))</f>
        <v/>
      </c>
      <c r="D985" s="9"/>
      <c r="E985" s="15" t="str">
        <f aca="false">IF($D985="","",IFERROR(INDEX(교육과정!$B$3:$B$102,MATCH($D985,교육과정!$A$3:$A$102,0)),"미등록과정"))</f>
        <v/>
      </c>
      <c r="F985" s="13"/>
      <c r="G985" s="9"/>
      <c r="H985" s="9"/>
    </row>
    <row r="986" customFormat="false" ht="15" hidden="false" customHeight="true" outlineLevel="0" collapsed="false">
      <c r="A986" s="11"/>
      <c r="B986" s="9"/>
      <c r="C986" s="15" t="str">
        <f aca="false">IF($B986="","",IFERROR(INDEX(직원목록!$B$3:$B$302,MATCH($B986,직원목록!$A$3:$A$302,0)),"미등록사번"))</f>
        <v/>
      </c>
      <c r="D986" s="9"/>
      <c r="E986" s="15" t="str">
        <f aca="false">IF($D986="","",IFERROR(INDEX(교육과정!$B$3:$B$102,MATCH($D986,교육과정!$A$3:$A$102,0)),"미등록과정"))</f>
        <v/>
      </c>
      <c r="F986" s="13"/>
      <c r="G986" s="9"/>
      <c r="H986" s="9"/>
    </row>
    <row r="987" customFormat="false" ht="15" hidden="false" customHeight="true" outlineLevel="0" collapsed="false">
      <c r="A987" s="11"/>
      <c r="B987" s="9"/>
      <c r="C987" s="15" t="str">
        <f aca="false">IF($B987="","",IFERROR(INDEX(직원목록!$B$3:$B$302,MATCH($B987,직원목록!$A$3:$A$302,0)),"미등록사번"))</f>
        <v/>
      </c>
      <c r="D987" s="9"/>
      <c r="E987" s="15" t="str">
        <f aca="false">IF($D987="","",IFERROR(INDEX(교육과정!$B$3:$B$102,MATCH($D987,교육과정!$A$3:$A$102,0)),"미등록과정"))</f>
        <v/>
      </c>
      <c r="F987" s="13"/>
      <c r="G987" s="9"/>
      <c r="H987" s="9"/>
    </row>
    <row r="988" customFormat="false" ht="15" hidden="false" customHeight="true" outlineLevel="0" collapsed="false">
      <c r="A988" s="11"/>
      <c r="B988" s="9"/>
      <c r="C988" s="15" t="str">
        <f aca="false">IF($B988="","",IFERROR(INDEX(직원목록!$B$3:$B$302,MATCH($B988,직원목록!$A$3:$A$302,0)),"미등록사번"))</f>
        <v/>
      </c>
      <c r="D988" s="9"/>
      <c r="E988" s="15" t="str">
        <f aca="false">IF($D988="","",IFERROR(INDEX(교육과정!$B$3:$B$102,MATCH($D988,교육과정!$A$3:$A$102,0)),"미등록과정"))</f>
        <v/>
      </c>
      <c r="F988" s="13"/>
      <c r="G988" s="9"/>
      <c r="H988" s="9"/>
    </row>
    <row r="989" customFormat="false" ht="15" hidden="false" customHeight="true" outlineLevel="0" collapsed="false">
      <c r="A989" s="11"/>
      <c r="B989" s="9"/>
      <c r="C989" s="15" t="str">
        <f aca="false">IF($B989="","",IFERROR(INDEX(직원목록!$B$3:$B$302,MATCH($B989,직원목록!$A$3:$A$302,0)),"미등록사번"))</f>
        <v/>
      </c>
      <c r="D989" s="9"/>
      <c r="E989" s="15" t="str">
        <f aca="false">IF($D989="","",IFERROR(INDEX(교육과정!$B$3:$B$102,MATCH($D989,교육과정!$A$3:$A$102,0)),"미등록과정"))</f>
        <v/>
      </c>
      <c r="F989" s="13"/>
      <c r="G989" s="9"/>
      <c r="H989" s="9"/>
    </row>
    <row r="990" customFormat="false" ht="15" hidden="false" customHeight="true" outlineLevel="0" collapsed="false">
      <c r="A990" s="11"/>
      <c r="B990" s="9"/>
      <c r="C990" s="15" t="str">
        <f aca="false">IF($B990="","",IFERROR(INDEX(직원목록!$B$3:$B$302,MATCH($B990,직원목록!$A$3:$A$302,0)),"미등록사번"))</f>
        <v/>
      </c>
      <c r="D990" s="9"/>
      <c r="E990" s="15" t="str">
        <f aca="false">IF($D990="","",IFERROR(INDEX(교육과정!$B$3:$B$102,MATCH($D990,교육과정!$A$3:$A$102,0)),"미등록과정"))</f>
        <v/>
      </c>
      <c r="F990" s="13"/>
      <c r="G990" s="9"/>
      <c r="H990" s="9"/>
    </row>
    <row r="991" customFormat="false" ht="15" hidden="false" customHeight="true" outlineLevel="0" collapsed="false">
      <c r="A991" s="11"/>
      <c r="B991" s="9"/>
      <c r="C991" s="15" t="str">
        <f aca="false">IF($B991="","",IFERROR(INDEX(직원목록!$B$3:$B$302,MATCH($B991,직원목록!$A$3:$A$302,0)),"미등록사번"))</f>
        <v/>
      </c>
      <c r="D991" s="9"/>
      <c r="E991" s="15" t="str">
        <f aca="false">IF($D991="","",IFERROR(INDEX(교육과정!$B$3:$B$102,MATCH($D991,교육과정!$A$3:$A$102,0)),"미등록과정"))</f>
        <v/>
      </c>
      <c r="F991" s="13"/>
      <c r="G991" s="9"/>
      <c r="H991" s="9"/>
    </row>
    <row r="992" customFormat="false" ht="15" hidden="false" customHeight="true" outlineLevel="0" collapsed="false">
      <c r="A992" s="11"/>
      <c r="B992" s="9"/>
      <c r="C992" s="15" t="str">
        <f aca="false">IF($B992="","",IFERROR(INDEX(직원목록!$B$3:$B$302,MATCH($B992,직원목록!$A$3:$A$302,0)),"미등록사번"))</f>
        <v/>
      </c>
      <c r="D992" s="9"/>
      <c r="E992" s="15" t="str">
        <f aca="false">IF($D992="","",IFERROR(INDEX(교육과정!$B$3:$B$102,MATCH($D992,교육과정!$A$3:$A$102,0)),"미등록과정"))</f>
        <v/>
      </c>
      <c r="F992" s="13"/>
      <c r="G992" s="9"/>
      <c r="H992" s="9"/>
    </row>
    <row r="993" customFormat="false" ht="15" hidden="false" customHeight="true" outlineLevel="0" collapsed="false">
      <c r="A993" s="11"/>
      <c r="B993" s="9"/>
      <c r="C993" s="15" t="str">
        <f aca="false">IF($B993="","",IFERROR(INDEX(직원목록!$B$3:$B$302,MATCH($B993,직원목록!$A$3:$A$302,0)),"미등록사번"))</f>
        <v/>
      </c>
      <c r="D993" s="9"/>
      <c r="E993" s="15" t="str">
        <f aca="false">IF($D993="","",IFERROR(INDEX(교육과정!$B$3:$B$102,MATCH($D993,교육과정!$A$3:$A$102,0)),"미등록과정"))</f>
        <v/>
      </c>
      <c r="F993" s="13"/>
      <c r="G993" s="9"/>
      <c r="H993" s="9"/>
    </row>
    <row r="994" customFormat="false" ht="15" hidden="false" customHeight="true" outlineLevel="0" collapsed="false">
      <c r="A994" s="11"/>
      <c r="B994" s="9"/>
      <c r="C994" s="15" t="str">
        <f aca="false">IF($B994="","",IFERROR(INDEX(직원목록!$B$3:$B$302,MATCH($B994,직원목록!$A$3:$A$302,0)),"미등록사번"))</f>
        <v/>
      </c>
      <c r="D994" s="9"/>
      <c r="E994" s="15" t="str">
        <f aca="false">IF($D994="","",IFERROR(INDEX(교육과정!$B$3:$B$102,MATCH($D994,교육과정!$A$3:$A$102,0)),"미등록과정"))</f>
        <v/>
      </c>
      <c r="F994" s="13"/>
      <c r="G994" s="9"/>
      <c r="H994" s="9"/>
    </row>
    <row r="995" customFormat="false" ht="15" hidden="false" customHeight="true" outlineLevel="0" collapsed="false">
      <c r="A995" s="11"/>
      <c r="B995" s="9"/>
      <c r="C995" s="15" t="str">
        <f aca="false">IF($B995="","",IFERROR(INDEX(직원목록!$B$3:$B$302,MATCH($B995,직원목록!$A$3:$A$302,0)),"미등록사번"))</f>
        <v/>
      </c>
      <c r="D995" s="9"/>
      <c r="E995" s="15" t="str">
        <f aca="false">IF($D995="","",IFERROR(INDEX(교육과정!$B$3:$B$102,MATCH($D995,교육과정!$A$3:$A$102,0)),"미등록과정"))</f>
        <v/>
      </c>
      <c r="F995" s="13"/>
      <c r="G995" s="9"/>
      <c r="H995" s="9"/>
    </row>
    <row r="996" customFormat="false" ht="15" hidden="false" customHeight="true" outlineLevel="0" collapsed="false">
      <c r="A996" s="11"/>
      <c r="B996" s="9"/>
      <c r="C996" s="15" t="str">
        <f aca="false">IF($B996="","",IFERROR(INDEX(직원목록!$B$3:$B$302,MATCH($B996,직원목록!$A$3:$A$302,0)),"미등록사번"))</f>
        <v/>
      </c>
      <c r="D996" s="9"/>
      <c r="E996" s="15" t="str">
        <f aca="false">IF($D996="","",IFERROR(INDEX(교육과정!$B$3:$B$102,MATCH($D996,교육과정!$A$3:$A$102,0)),"미등록과정"))</f>
        <v/>
      </c>
      <c r="F996" s="13"/>
      <c r="G996" s="9"/>
      <c r="H996" s="9"/>
    </row>
    <row r="997" customFormat="false" ht="15" hidden="false" customHeight="true" outlineLevel="0" collapsed="false">
      <c r="A997" s="11"/>
      <c r="B997" s="9"/>
      <c r="C997" s="15" t="str">
        <f aca="false">IF($B997="","",IFERROR(INDEX(직원목록!$B$3:$B$302,MATCH($B997,직원목록!$A$3:$A$302,0)),"미등록사번"))</f>
        <v/>
      </c>
      <c r="D997" s="9"/>
      <c r="E997" s="15" t="str">
        <f aca="false">IF($D997="","",IFERROR(INDEX(교육과정!$B$3:$B$102,MATCH($D997,교육과정!$A$3:$A$102,0)),"미등록과정"))</f>
        <v/>
      </c>
      <c r="F997" s="13"/>
      <c r="G997" s="9"/>
      <c r="H997" s="9"/>
    </row>
    <row r="998" customFormat="false" ht="15" hidden="false" customHeight="true" outlineLevel="0" collapsed="false">
      <c r="A998" s="11"/>
      <c r="B998" s="9"/>
      <c r="C998" s="15" t="str">
        <f aca="false">IF($B998="","",IFERROR(INDEX(직원목록!$B$3:$B$302,MATCH($B998,직원목록!$A$3:$A$302,0)),"미등록사번"))</f>
        <v/>
      </c>
      <c r="D998" s="9"/>
      <c r="E998" s="15" t="str">
        <f aca="false">IF($D998="","",IFERROR(INDEX(교육과정!$B$3:$B$102,MATCH($D998,교육과정!$A$3:$A$102,0)),"미등록과정"))</f>
        <v/>
      </c>
      <c r="F998" s="13"/>
      <c r="G998" s="9"/>
      <c r="H998" s="9"/>
    </row>
    <row r="999" customFormat="false" ht="15" hidden="false" customHeight="true" outlineLevel="0" collapsed="false">
      <c r="A999" s="11"/>
      <c r="B999" s="9"/>
      <c r="C999" s="15" t="str">
        <f aca="false">IF($B999="","",IFERROR(INDEX(직원목록!$B$3:$B$302,MATCH($B999,직원목록!$A$3:$A$302,0)),"미등록사번"))</f>
        <v/>
      </c>
      <c r="D999" s="9"/>
      <c r="E999" s="15" t="str">
        <f aca="false">IF($D999="","",IFERROR(INDEX(교육과정!$B$3:$B$102,MATCH($D999,교육과정!$A$3:$A$102,0)),"미등록과정"))</f>
        <v/>
      </c>
      <c r="F999" s="13"/>
      <c r="G999" s="9"/>
      <c r="H999" s="9"/>
    </row>
    <row r="1000" customFormat="false" ht="15" hidden="false" customHeight="true" outlineLevel="0" collapsed="false">
      <c r="A1000" s="11"/>
      <c r="B1000" s="9"/>
      <c r="C1000" s="15" t="str">
        <f aca="false">IF($B1000="","",IFERROR(INDEX(직원목록!$B$3:$B$302,MATCH($B1000,직원목록!$A$3:$A$302,0)),"미등록사번"))</f>
        <v/>
      </c>
      <c r="D1000" s="9"/>
      <c r="E1000" s="15" t="str">
        <f aca="false">IF($D1000="","",IFERROR(INDEX(교육과정!$B$3:$B$102,MATCH($D1000,교육과정!$A$3:$A$102,0)),"미등록과정"))</f>
        <v/>
      </c>
      <c r="F1000" s="13"/>
      <c r="G1000" s="9"/>
      <c r="H1000" s="9"/>
    </row>
    <row r="1001" customFormat="false" ht="15" hidden="false" customHeight="true" outlineLevel="0" collapsed="false">
      <c r="A1001" s="11"/>
      <c r="B1001" s="9"/>
      <c r="C1001" s="15" t="str">
        <f aca="false">IF($B1001="","",IFERROR(INDEX(직원목록!$B$3:$B$302,MATCH($B1001,직원목록!$A$3:$A$302,0)),"미등록사번"))</f>
        <v/>
      </c>
      <c r="D1001" s="9"/>
      <c r="E1001" s="15" t="str">
        <f aca="false">IF($D1001="","",IFERROR(INDEX(교육과정!$B$3:$B$102,MATCH($D1001,교육과정!$A$3:$A$102,0)),"미등록과정"))</f>
        <v/>
      </c>
      <c r="F1001" s="13"/>
      <c r="G1001" s="9"/>
      <c r="H1001" s="9"/>
    </row>
    <row r="1002" customFormat="false" ht="15" hidden="false" customHeight="true" outlineLevel="0" collapsed="false">
      <c r="A1002" s="11"/>
      <c r="B1002" s="9"/>
      <c r="C1002" s="15" t="str">
        <f aca="false">IF($B1002="","",IFERROR(INDEX(직원목록!$B$3:$B$302,MATCH($B1002,직원목록!$A$3:$A$302,0)),"미등록사번"))</f>
        <v/>
      </c>
      <c r="D1002" s="9"/>
      <c r="E1002" s="15" t="str">
        <f aca="false">IF($D1002="","",IFERROR(INDEX(교육과정!$B$3:$B$102,MATCH($D1002,교육과정!$A$3:$A$102,0)),"미등록과정"))</f>
        <v/>
      </c>
      <c r="F1002" s="13"/>
      <c r="G1002" s="9"/>
      <c r="H1002" s="9"/>
    </row>
    <row r="1003" customFormat="false" ht="15" hidden="false" customHeight="true" outlineLevel="0" collapsed="false">
      <c r="A1003" s="11"/>
      <c r="B1003" s="9"/>
      <c r="C1003" s="15" t="str">
        <f aca="false">IF($B1003="","",IFERROR(INDEX(직원목록!$B$3:$B$302,MATCH($B1003,직원목록!$A$3:$A$302,0)),"미등록사번"))</f>
        <v/>
      </c>
      <c r="D1003" s="9"/>
      <c r="E1003" s="15" t="str">
        <f aca="false">IF($D1003="","",IFERROR(INDEX(교육과정!$B$3:$B$102,MATCH($D1003,교육과정!$A$3:$A$102,0)),"미등록과정"))</f>
        <v/>
      </c>
      <c r="F1003" s="13"/>
      <c r="G1003" s="9"/>
      <c r="H1003" s="9"/>
    </row>
    <row r="1004" customFormat="false" ht="15" hidden="false" customHeight="true" outlineLevel="0" collapsed="false">
      <c r="A1004" s="11"/>
      <c r="B1004" s="9"/>
      <c r="C1004" s="15" t="str">
        <f aca="false">IF($B1004="","",IFERROR(INDEX(직원목록!$B$3:$B$302,MATCH($B1004,직원목록!$A$3:$A$302,0)),"미등록사번"))</f>
        <v/>
      </c>
      <c r="D1004" s="9"/>
      <c r="E1004" s="15" t="str">
        <f aca="false">IF($D1004="","",IFERROR(INDEX(교육과정!$B$3:$B$102,MATCH($D1004,교육과정!$A$3:$A$102,0)),"미등록과정"))</f>
        <v/>
      </c>
      <c r="F1004" s="13"/>
      <c r="G1004" s="9"/>
      <c r="H1004" s="9"/>
    </row>
    <row r="1005" customFormat="false" ht="15" hidden="false" customHeight="true" outlineLevel="0" collapsed="false">
      <c r="A1005" s="11"/>
      <c r="B1005" s="9"/>
      <c r="C1005" s="15" t="str">
        <f aca="false">IF($B1005="","",IFERROR(INDEX(직원목록!$B$3:$B$302,MATCH($B1005,직원목록!$A$3:$A$302,0)),"미등록사번"))</f>
        <v/>
      </c>
      <c r="D1005" s="9"/>
      <c r="E1005" s="15" t="str">
        <f aca="false">IF($D1005="","",IFERROR(INDEX(교육과정!$B$3:$B$102,MATCH($D1005,교육과정!$A$3:$A$102,0)),"미등록과정"))</f>
        <v/>
      </c>
      <c r="F1005" s="13"/>
      <c r="G1005" s="9"/>
      <c r="H1005" s="9"/>
    </row>
    <row r="1006" customFormat="false" ht="15" hidden="false" customHeight="true" outlineLevel="0" collapsed="false">
      <c r="A1006" s="11"/>
      <c r="B1006" s="9"/>
      <c r="C1006" s="15" t="str">
        <f aca="false">IF($B1006="","",IFERROR(INDEX(직원목록!$B$3:$B$302,MATCH($B1006,직원목록!$A$3:$A$302,0)),"미등록사번"))</f>
        <v/>
      </c>
      <c r="D1006" s="9"/>
      <c r="E1006" s="15" t="str">
        <f aca="false">IF($D1006="","",IFERROR(INDEX(교육과정!$B$3:$B$102,MATCH($D1006,교육과정!$A$3:$A$102,0)),"미등록과정"))</f>
        <v/>
      </c>
      <c r="F1006" s="13"/>
      <c r="G1006" s="9"/>
      <c r="H1006" s="9"/>
    </row>
    <row r="1007" customFormat="false" ht="15" hidden="false" customHeight="true" outlineLevel="0" collapsed="false">
      <c r="A1007" s="11"/>
      <c r="B1007" s="9"/>
      <c r="C1007" s="15" t="str">
        <f aca="false">IF($B1007="","",IFERROR(INDEX(직원목록!$B$3:$B$302,MATCH($B1007,직원목록!$A$3:$A$302,0)),"미등록사번"))</f>
        <v/>
      </c>
      <c r="D1007" s="9"/>
      <c r="E1007" s="15" t="str">
        <f aca="false">IF($D1007="","",IFERROR(INDEX(교육과정!$B$3:$B$102,MATCH($D1007,교육과정!$A$3:$A$102,0)),"미등록과정"))</f>
        <v/>
      </c>
      <c r="F1007" s="13"/>
      <c r="G1007" s="9"/>
      <c r="H1007" s="9"/>
    </row>
    <row r="1008" customFormat="false" ht="15" hidden="false" customHeight="true" outlineLevel="0" collapsed="false">
      <c r="A1008" s="11"/>
      <c r="B1008" s="9"/>
      <c r="C1008" s="15" t="str">
        <f aca="false">IF($B1008="","",IFERROR(INDEX(직원목록!$B$3:$B$302,MATCH($B1008,직원목록!$A$3:$A$302,0)),"미등록사번"))</f>
        <v/>
      </c>
      <c r="D1008" s="9"/>
      <c r="E1008" s="15" t="str">
        <f aca="false">IF($D1008="","",IFERROR(INDEX(교육과정!$B$3:$B$102,MATCH($D1008,교육과정!$A$3:$A$102,0)),"미등록과정"))</f>
        <v/>
      </c>
      <c r="F1008" s="13"/>
      <c r="G1008" s="9"/>
      <c r="H1008" s="9"/>
    </row>
    <row r="1009" customFormat="false" ht="15" hidden="false" customHeight="true" outlineLevel="0" collapsed="false">
      <c r="A1009" s="11"/>
      <c r="B1009" s="9"/>
      <c r="C1009" s="15" t="str">
        <f aca="false">IF($B1009="","",IFERROR(INDEX(직원목록!$B$3:$B$302,MATCH($B1009,직원목록!$A$3:$A$302,0)),"미등록사번"))</f>
        <v/>
      </c>
      <c r="D1009" s="9"/>
      <c r="E1009" s="15" t="str">
        <f aca="false">IF($D1009="","",IFERROR(INDEX(교육과정!$B$3:$B$102,MATCH($D1009,교육과정!$A$3:$A$102,0)),"미등록과정"))</f>
        <v/>
      </c>
      <c r="F1009" s="13"/>
      <c r="G1009" s="9"/>
      <c r="H1009" s="9"/>
    </row>
    <row r="1010" customFormat="false" ht="15" hidden="false" customHeight="true" outlineLevel="0" collapsed="false">
      <c r="A1010" s="11"/>
      <c r="B1010" s="9"/>
      <c r="C1010" s="15" t="str">
        <f aca="false">IF($B1010="","",IFERROR(INDEX(직원목록!$B$3:$B$302,MATCH($B1010,직원목록!$A$3:$A$302,0)),"미등록사번"))</f>
        <v/>
      </c>
      <c r="D1010" s="9"/>
      <c r="E1010" s="15" t="str">
        <f aca="false">IF($D1010="","",IFERROR(INDEX(교육과정!$B$3:$B$102,MATCH($D1010,교육과정!$A$3:$A$102,0)),"미등록과정"))</f>
        <v/>
      </c>
      <c r="F1010" s="13"/>
      <c r="G1010" s="9"/>
      <c r="H1010" s="9"/>
    </row>
    <row r="1011" customFormat="false" ht="15" hidden="false" customHeight="true" outlineLevel="0" collapsed="false">
      <c r="A1011" s="11"/>
      <c r="B1011" s="9"/>
      <c r="C1011" s="15" t="str">
        <f aca="false">IF($B1011="","",IFERROR(INDEX(직원목록!$B$3:$B$302,MATCH($B1011,직원목록!$A$3:$A$302,0)),"미등록사번"))</f>
        <v/>
      </c>
      <c r="D1011" s="9"/>
      <c r="E1011" s="15" t="str">
        <f aca="false">IF($D1011="","",IFERROR(INDEX(교육과정!$B$3:$B$102,MATCH($D1011,교육과정!$A$3:$A$102,0)),"미등록과정"))</f>
        <v/>
      </c>
      <c r="F1011" s="13"/>
      <c r="G1011" s="9"/>
      <c r="H1011" s="9"/>
    </row>
    <row r="1012" customFormat="false" ht="15" hidden="false" customHeight="true" outlineLevel="0" collapsed="false">
      <c r="A1012" s="11"/>
      <c r="B1012" s="9"/>
      <c r="C1012" s="15" t="str">
        <f aca="false">IF($B1012="","",IFERROR(INDEX(직원목록!$B$3:$B$302,MATCH($B1012,직원목록!$A$3:$A$302,0)),"미등록사번"))</f>
        <v/>
      </c>
      <c r="D1012" s="9"/>
      <c r="E1012" s="15" t="str">
        <f aca="false">IF($D1012="","",IFERROR(INDEX(교육과정!$B$3:$B$102,MATCH($D1012,교육과정!$A$3:$A$102,0)),"미등록과정"))</f>
        <v/>
      </c>
      <c r="F1012" s="13"/>
      <c r="G1012" s="9"/>
      <c r="H1012" s="9"/>
    </row>
    <row r="1013" customFormat="false" ht="15" hidden="false" customHeight="true" outlineLevel="0" collapsed="false">
      <c r="A1013" s="11"/>
      <c r="B1013" s="9"/>
      <c r="C1013" s="15" t="str">
        <f aca="false">IF($B1013="","",IFERROR(INDEX(직원목록!$B$3:$B$302,MATCH($B1013,직원목록!$A$3:$A$302,0)),"미등록사번"))</f>
        <v/>
      </c>
      <c r="D1013" s="9"/>
      <c r="E1013" s="15" t="str">
        <f aca="false">IF($D1013="","",IFERROR(INDEX(교육과정!$B$3:$B$102,MATCH($D1013,교육과정!$A$3:$A$102,0)),"미등록과정"))</f>
        <v/>
      </c>
      <c r="F1013" s="13"/>
      <c r="G1013" s="9"/>
      <c r="H1013" s="9"/>
    </row>
    <row r="1014" customFormat="false" ht="15" hidden="false" customHeight="true" outlineLevel="0" collapsed="false">
      <c r="A1014" s="11"/>
      <c r="B1014" s="9"/>
      <c r="C1014" s="15" t="str">
        <f aca="false">IF($B1014="","",IFERROR(INDEX(직원목록!$B$3:$B$302,MATCH($B1014,직원목록!$A$3:$A$302,0)),"미등록사번"))</f>
        <v/>
      </c>
      <c r="D1014" s="9"/>
      <c r="E1014" s="15" t="str">
        <f aca="false">IF($D1014="","",IFERROR(INDEX(교육과정!$B$3:$B$102,MATCH($D1014,교육과정!$A$3:$A$102,0)),"미등록과정"))</f>
        <v/>
      </c>
      <c r="F1014" s="13"/>
      <c r="G1014" s="9"/>
      <c r="H1014" s="9"/>
    </row>
    <row r="1015" customFormat="false" ht="15" hidden="false" customHeight="true" outlineLevel="0" collapsed="false">
      <c r="A1015" s="11"/>
      <c r="B1015" s="9"/>
      <c r="C1015" s="15" t="str">
        <f aca="false">IF($B1015="","",IFERROR(INDEX(직원목록!$B$3:$B$302,MATCH($B1015,직원목록!$A$3:$A$302,0)),"미등록사번"))</f>
        <v/>
      </c>
      <c r="D1015" s="9"/>
      <c r="E1015" s="15" t="str">
        <f aca="false">IF($D1015="","",IFERROR(INDEX(교육과정!$B$3:$B$102,MATCH($D1015,교육과정!$A$3:$A$102,0)),"미등록과정"))</f>
        <v/>
      </c>
      <c r="F1015" s="13"/>
      <c r="G1015" s="9"/>
      <c r="H1015" s="9"/>
    </row>
    <row r="1016" customFormat="false" ht="15" hidden="false" customHeight="true" outlineLevel="0" collapsed="false">
      <c r="A1016" s="11"/>
      <c r="B1016" s="9"/>
      <c r="C1016" s="15" t="str">
        <f aca="false">IF($B1016="","",IFERROR(INDEX(직원목록!$B$3:$B$302,MATCH($B1016,직원목록!$A$3:$A$302,0)),"미등록사번"))</f>
        <v/>
      </c>
      <c r="D1016" s="9"/>
      <c r="E1016" s="15" t="str">
        <f aca="false">IF($D1016="","",IFERROR(INDEX(교육과정!$B$3:$B$102,MATCH($D1016,교육과정!$A$3:$A$102,0)),"미등록과정"))</f>
        <v/>
      </c>
      <c r="F1016" s="13"/>
      <c r="G1016" s="9"/>
      <c r="H1016" s="9"/>
    </row>
    <row r="1017" customFormat="false" ht="15" hidden="false" customHeight="true" outlineLevel="0" collapsed="false">
      <c r="A1017" s="11"/>
      <c r="B1017" s="9"/>
      <c r="C1017" s="15" t="str">
        <f aca="false">IF($B1017="","",IFERROR(INDEX(직원목록!$B$3:$B$302,MATCH($B1017,직원목록!$A$3:$A$302,0)),"미등록사번"))</f>
        <v/>
      </c>
      <c r="D1017" s="9"/>
      <c r="E1017" s="15" t="str">
        <f aca="false">IF($D1017="","",IFERROR(INDEX(교육과정!$B$3:$B$102,MATCH($D1017,교육과정!$A$3:$A$102,0)),"미등록과정"))</f>
        <v/>
      </c>
      <c r="F1017" s="13"/>
      <c r="G1017" s="9"/>
      <c r="H1017" s="9"/>
    </row>
    <row r="1018" customFormat="false" ht="15" hidden="false" customHeight="true" outlineLevel="0" collapsed="false">
      <c r="A1018" s="11"/>
      <c r="B1018" s="9"/>
      <c r="C1018" s="15" t="str">
        <f aca="false">IF($B1018="","",IFERROR(INDEX(직원목록!$B$3:$B$302,MATCH($B1018,직원목록!$A$3:$A$302,0)),"미등록사번"))</f>
        <v/>
      </c>
      <c r="D1018" s="9"/>
      <c r="E1018" s="15" t="str">
        <f aca="false">IF($D1018="","",IFERROR(INDEX(교육과정!$B$3:$B$102,MATCH($D1018,교육과정!$A$3:$A$102,0)),"미등록과정"))</f>
        <v/>
      </c>
      <c r="F1018" s="13"/>
      <c r="G1018" s="9"/>
      <c r="H1018" s="9"/>
    </row>
    <row r="1019" customFormat="false" ht="15" hidden="false" customHeight="true" outlineLevel="0" collapsed="false">
      <c r="A1019" s="11"/>
      <c r="B1019" s="9"/>
      <c r="C1019" s="15" t="str">
        <f aca="false">IF($B1019="","",IFERROR(INDEX(직원목록!$B$3:$B$302,MATCH($B1019,직원목록!$A$3:$A$302,0)),"미등록사번"))</f>
        <v/>
      </c>
      <c r="D1019" s="9"/>
      <c r="E1019" s="15" t="str">
        <f aca="false">IF($D1019="","",IFERROR(INDEX(교육과정!$B$3:$B$102,MATCH($D1019,교육과정!$A$3:$A$102,0)),"미등록과정"))</f>
        <v/>
      </c>
      <c r="F1019" s="13"/>
      <c r="G1019" s="9"/>
      <c r="H1019" s="9"/>
    </row>
    <row r="1020" customFormat="false" ht="15" hidden="false" customHeight="true" outlineLevel="0" collapsed="false">
      <c r="A1020" s="11"/>
      <c r="B1020" s="9"/>
      <c r="C1020" s="15" t="str">
        <f aca="false">IF($B1020="","",IFERROR(INDEX(직원목록!$B$3:$B$302,MATCH($B1020,직원목록!$A$3:$A$302,0)),"미등록사번"))</f>
        <v/>
      </c>
      <c r="D1020" s="9"/>
      <c r="E1020" s="15" t="str">
        <f aca="false">IF($D1020="","",IFERROR(INDEX(교육과정!$B$3:$B$102,MATCH($D1020,교육과정!$A$3:$A$102,0)),"미등록과정"))</f>
        <v/>
      </c>
      <c r="F1020" s="13"/>
      <c r="G1020" s="9"/>
      <c r="H1020" s="9"/>
    </row>
    <row r="1021" customFormat="false" ht="15" hidden="false" customHeight="true" outlineLevel="0" collapsed="false">
      <c r="A1021" s="11"/>
      <c r="B1021" s="9"/>
      <c r="C1021" s="15" t="str">
        <f aca="false">IF($B1021="","",IFERROR(INDEX(직원목록!$B$3:$B$302,MATCH($B1021,직원목록!$A$3:$A$302,0)),"미등록사번"))</f>
        <v/>
      </c>
      <c r="D1021" s="9"/>
      <c r="E1021" s="15" t="str">
        <f aca="false">IF($D1021="","",IFERROR(INDEX(교육과정!$B$3:$B$102,MATCH($D1021,교육과정!$A$3:$A$102,0)),"미등록과정"))</f>
        <v/>
      </c>
      <c r="F1021" s="13"/>
      <c r="G1021" s="9"/>
      <c r="H1021" s="9"/>
    </row>
    <row r="1022" customFormat="false" ht="15" hidden="false" customHeight="true" outlineLevel="0" collapsed="false">
      <c r="A1022" s="11"/>
      <c r="B1022" s="9"/>
      <c r="C1022" s="15" t="str">
        <f aca="false">IF($B1022="","",IFERROR(INDEX(직원목록!$B$3:$B$302,MATCH($B1022,직원목록!$A$3:$A$302,0)),"미등록사번"))</f>
        <v/>
      </c>
      <c r="D1022" s="9"/>
      <c r="E1022" s="15" t="str">
        <f aca="false">IF($D1022="","",IFERROR(INDEX(교육과정!$B$3:$B$102,MATCH($D1022,교육과정!$A$3:$A$102,0)),"미등록과정"))</f>
        <v/>
      </c>
      <c r="F1022" s="13"/>
      <c r="G1022" s="9"/>
      <c r="H1022" s="9"/>
    </row>
    <row r="1023" customFormat="false" ht="15" hidden="false" customHeight="true" outlineLevel="0" collapsed="false">
      <c r="A1023" s="11"/>
      <c r="B1023" s="9"/>
      <c r="C1023" s="15" t="str">
        <f aca="false">IF($B1023="","",IFERROR(INDEX(직원목록!$B$3:$B$302,MATCH($B1023,직원목록!$A$3:$A$302,0)),"미등록사번"))</f>
        <v/>
      </c>
      <c r="D1023" s="9"/>
      <c r="E1023" s="15" t="str">
        <f aca="false">IF($D1023="","",IFERROR(INDEX(교육과정!$B$3:$B$102,MATCH($D1023,교육과정!$A$3:$A$102,0)),"미등록과정"))</f>
        <v/>
      </c>
      <c r="F1023" s="13"/>
      <c r="G1023" s="9"/>
      <c r="H1023" s="9"/>
    </row>
    <row r="1024" customFormat="false" ht="15" hidden="false" customHeight="true" outlineLevel="0" collapsed="false">
      <c r="A1024" s="11"/>
      <c r="B1024" s="9"/>
      <c r="C1024" s="15" t="str">
        <f aca="false">IF($B1024="","",IFERROR(INDEX(직원목록!$B$3:$B$302,MATCH($B1024,직원목록!$A$3:$A$302,0)),"미등록사번"))</f>
        <v/>
      </c>
      <c r="D1024" s="9"/>
      <c r="E1024" s="15" t="str">
        <f aca="false">IF($D1024="","",IFERROR(INDEX(교육과정!$B$3:$B$102,MATCH($D1024,교육과정!$A$3:$A$102,0)),"미등록과정"))</f>
        <v/>
      </c>
      <c r="F1024" s="13"/>
      <c r="G1024" s="9"/>
      <c r="H1024" s="9"/>
    </row>
    <row r="1025" customFormat="false" ht="15" hidden="false" customHeight="true" outlineLevel="0" collapsed="false">
      <c r="A1025" s="11"/>
      <c r="B1025" s="9"/>
      <c r="C1025" s="15" t="str">
        <f aca="false">IF($B1025="","",IFERROR(INDEX(직원목록!$B$3:$B$302,MATCH($B1025,직원목록!$A$3:$A$302,0)),"미등록사번"))</f>
        <v/>
      </c>
      <c r="D1025" s="9"/>
      <c r="E1025" s="15" t="str">
        <f aca="false">IF($D1025="","",IFERROR(INDEX(교육과정!$B$3:$B$102,MATCH($D1025,교육과정!$A$3:$A$102,0)),"미등록과정"))</f>
        <v/>
      </c>
      <c r="F1025" s="13"/>
      <c r="G1025" s="9"/>
      <c r="H1025" s="9"/>
    </row>
    <row r="1026" customFormat="false" ht="15" hidden="false" customHeight="true" outlineLevel="0" collapsed="false">
      <c r="A1026" s="11"/>
      <c r="B1026" s="9"/>
      <c r="C1026" s="15" t="str">
        <f aca="false">IF($B1026="","",IFERROR(INDEX(직원목록!$B$3:$B$302,MATCH($B1026,직원목록!$A$3:$A$302,0)),"미등록사번"))</f>
        <v/>
      </c>
      <c r="D1026" s="9"/>
      <c r="E1026" s="15" t="str">
        <f aca="false">IF($D1026="","",IFERROR(INDEX(교육과정!$B$3:$B$102,MATCH($D1026,교육과정!$A$3:$A$102,0)),"미등록과정"))</f>
        <v/>
      </c>
      <c r="F1026" s="13"/>
      <c r="G1026" s="9"/>
      <c r="H1026" s="9"/>
    </row>
    <row r="1027" customFormat="false" ht="15" hidden="false" customHeight="true" outlineLevel="0" collapsed="false">
      <c r="A1027" s="11"/>
      <c r="B1027" s="9"/>
      <c r="C1027" s="15" t="str">
        <f aca="false">IF($B1027="","",IFERROR(INDEX(직원목록!$B$3:$B$302,MATCH($B1027,직원목록!$A$3:$A$302,0)),"미등록사번"))</f>
        <v/>
      </c>
      <c r="D1027" s="9"/>
      <c r="E1027" s="15" t="str">
        <f aca="false">IF($D1027="","",IFERROR(INDEX(교육과정!$B$3:$B$102,MATCH($D1027,교육과정!$A$3:$A$102,0)),"미등록과정"))</f>
        <v/>
      </c>
      <c r="F1027" s="13"/>
      <c r="G1027" s="9"/>
      <c r="H1027" s="9"/>
    </row>
    <row r="1028" customFormat="false" ht="15" hidden="false" customHeight="true" outlineLevel="0" collapsed="false">
      <c r="A1028" s="11"/>
      <c r="B1028" s="9"/>
      <c r="C1028" s="15" t="str">
        <f aca="false">IF($B1028="","",IFERROR(INDEX(직원목록!$B$3:$B$302,MATCH($B1028,직원목록!$A$3:$A$302,0)),"미등록사번"))</f>
        <v/>
      </c>
      <c r="D1028" s="9"/>
      <c r="E1028" s="15" t="str">
        <f aca="false">IF($D1028="","",IFERROR(INDEX(교육과정!$B$3:$B$102,MATCH($D1028,교육과정!$A$3:$A$102,0)),"미등록과정"))</f>
        <v/>
      </c>
      <c r="F1028" s="13"/>
      <c r="G1028" s="9"/>
      <c r="H1028" s="9"/>
    </row>
    <row r="1029" customFormat="false" ht="15" hidden="false" customHeight="true" outlineLevel="0" collapsed="false">
      <c r="A1029" s="11"/>
      <c r="B1029" s="9"/>
      <c r="C1029" s="15" t="str">
        <f aca="false">IF($B1029="","",IFERROR(INDEX(직원목록!$B$3:$B$302,MATCH($B1029,직원목록!$A$3:$A$302,0)),"미등록사번"))</f>
        <v/>
      </c>
      <c r="D1029" s="9"/>
      <c r="E1029" s="15" t="str">
        <f aca="false">IF($D1029="","",IFERROR(INDEX(교육과정!$B$3:$B$102,MATCH($D1029,교육과정!$A$3:$A$102,0)),"미등록과정"))</f>
        <v/>
      </c>
      <c r="F1029" s="13"/>
      <c r="G1029" s="9"/>
      <c r="H1029" s="9"/>
    </row>
    <row r="1030" customFormat="false" ht="15" hidden="false" customHeight="true" outlineLevel="0" collapsed="false">
      <c r="A1030" s="11"/>
      <c r="B1030" s="9"/>
      <c r="C1030" s="15" t="str">
        <f aca="false">IF($B1030="","",IFERROR(INDEX(직원목록!$B$3:$B$302,MATCH($B1030,직원목록!$A$3:$A$302,0)),"미등록사번"))</f>
        <v/>
      </c>
      <c r="D1030" s="9"/>
      <c r="E1030" s="15" t="str">
        <f aca="false">IF($D1030="","",IFERROR(INDEX(교육과정!$B$3:$B$102,MATCH($D1030,교육과정!$A$3:$A$102,0)),"미등록과정"))</f>
        <v/>
      </c>
      <c r="F1030" s="13"/>
      <c r="G1030" s="9"/>
      <c r="H1030" s="9"/>
    </row>
    <row r="1031" customFormat="false" ht="15" hidden="false" customHeight="true" outlineLevel="0" collapsed="false">
      <c r="A1031" s="11"/>
      <c r="B1031" s="9"/>
      <c r="C1031" s="15" t="str">
        <f aca="false">IF($B1031="","",IFERROR(INDEX(직원목록!$B$3:$B$302,MATCH($B1031,직원목록!$A$3:$A$302,0)),"미등록사번"))</f>
        <v/>
      </c>
      <c r="D1031" s="9"/>
      <c r="E1031" s="15" t="str">
        <f aca="false">IF($D1031="","",IFERROR(INDEX(교육과정!$B$3:$B$102,MATCH($D1031,교육과정!$A$3:$A$102,0)),"미등록과정"))</f>
        <v/>
      </c>
      <c r="F1031" s="13"/>
      <c r="G1031" s="9"/>
      <c r="H1031" s="9"/>
    </row>
    <row r="1032" customFormat="false" ht="15" hidden="false" customHeight="true" outlineLevel="0" collapsed="false">
      <c r="A1032" s="11"/>
      <c r="B1032" s="9"/>
      <c r="C1032" s="15" t="str">
        <f aca="false">IF($B1032="","",IFERROR(INDEX(직원목록!$B$3:$B$302,MATCH($B1032,직원목록!$A$3:$A$302,0)),"미등록사번"))</f>
        <v/>
      </c>
      <c r="D1032" s="9"/>
      <c r="E1032" s="15" t="str">
        <f aca="false">IF($D1032="","",IFERROR(INDEX(교육과정!$B$3:$B$102,MATCH($D1032,교육과정!$A$3:$A$102,0)),"미등록과정"))</f>
        <v/>
      </c>
      <c r="F1032" s="13"/>
      <c r="G1032" s="9"/>
      <c r="H1032" s="9"/>
    </row>
    <row r="1033" customFormat="false" ht="15" hidden="false" customHeight="true" outlineLevel="0" collapsed="false">
      <c r="A1033" s="11"/>
      <c r="B1033" s="9"/>
      <c r="C1033" s="15" t="str">
        <f aca="false">IF($B1033="","",IFERROR(INDEX(직원목록!$B$3:$B$302,MATCH($B1033,직원목록!$A$3:$A$302,0)),"미등록사번"))</f>
        <v/>
      </c>
      <c r="D1033" s="9"/>
      <c r="E1033" s="15" t="str">
        <f aca="false">IF($D1033="","",IFERROR(INDEX(교육과정!$B$3:$B$102,MATCH($D1033,교육과정!$A$3:$A$102,0)),"미등록과정"))</f>
        <v/>
      </c>
      <c r="F1033" s="13"/>
      <c r="G1033" s="9"/>
      <c r="H1033" s="9"/>
    </row>
    <row r="1034" customFormat="false" ht="15" hidden="false" customHeight="true" outlineLevel="0" collapsed="false">
      <c r="A1034" s="11"/>
      <c r="B1034" s="9"/>
      <c r="C1034" s="15" t="str">
        <f aca="false">IF($B1034="","",IFERROR(INDEX(직원목록!$B$3:$B$302,MATCH($B1034,직원목록!$A$3:$A$302,0)),"미등록사번"))</f>
        <v/>
      </c>
      <c r="D1034" s="9"/>
      <c r="E1034" s="15" t="str">
        <f aca="false">IF($D1034="","",IFERROR(INDEX(교육과정!$B$3:$B$102,MATCH($D1034,교육과정!$A$3:$A$102,0)),"미등록과정"))</f>
        <v/>
      </c>
      <c r="F1034" s="13"/>
      <c r="G1034" s="9"/>
      <c r="H1034" s="9"/>
    </row>
    <row r="1035" customFormat="false" ht="15" hidden="false" customHeight="true" outlineLevel="0" collapsed="false">
      <c r="A1035" s="11"/>
      <c r="B1035" s="9"/>
      <c r="C1035" s="15" t="str">
        <f aca="false">IF($B1035="","",IFERROR(INDEX(직원목록!$B$3:$B$302,MATCH($B1035,직원목록!$A$3:$A$302,0)),"미등록사번"))</f>
        <v/>
      </c>
      <c r="D1035" s="9"/>
      <c r="E1035" s="15" t="str">
        <f aca="false">IF($D1035="","",IFERROR(INDEX(교육과정!$B$3:$B$102,MATCH($D1035,교육과정!$A$3:$A$102,0)),"미등록과정"))</f>
        <v/>
      </c>
      <c r="F1035" s="13"/>
      <c r="G1035" s="9"/>
      <c r="H1035" s="9"/>
    </row>
    <row r="1036" customFormat="false" ht="15" hidden="false" customHeight="true" outlineLevel="0" collapsed="false">
      <c r="A1036" s="11"/>
      <c r="B1036" s="9"/>
      <c r="C1036" s="15" t="str">
        <f aca="false">IF($B1036="","",IFERROR(INDEX(직원목록!$B$3:$B$302,MATCH($B1036,직원목록!$A$3:$A$302,0)),"미등록사번"))</f>
        <v/>
      </c>
      <c r="D1036" s="9"/>
      <c r="E1036" s="15" t="str">
        <f aca="false">IF($D1036="","",IFERROR(INDEX(교육과정!$B$3:$B$102,MATCH($D1036,교육과정!$A$3:$A$102,0)),"미등록과정"))</f>
        <v/>
      </c>
      <c r="F1036" s="13"/>
      <c r="G1036" s="9"/>
      <c r="H1036" s="9"/>
    </row>
    <row r="1037" customFormat="false" ht="15" hidden="false" customHeight="true" outlineLevel="0" collapsed="false">
      <c r="A1037" s="11"/>
      <c r="B1037" s="9"/>
      <c r="C1037" s="15" t="str">
        <f aca="false">IF($B1037="","",IFERROR(INDEX(직원목록!$B$3:$B$302,MATCH($B1037,직원목록!$A$3:$A$302,0)),"미등록사번"))</f>
        <v/>
      </c>
      <c r="D1037" s="9"/>
      <c r="E1037" s="15" t="str">
        <f aca="false">IF($D1037="","",IFERROR(INDEX(교육과정!$B$3:$B$102,MATCH($D1037,교육과정!$A$3:$A$102,0)),"미등록과정"))</f>
        <v/>
      </c>
      <c r="F1037" s="13"/>
      <c r="G1037" s="9"/>
      <c r="H1037" s="9"/>
    </row>
    <row r="1038" customFormat="false" ht="15" hidden="false" customHeight="true" outlineLevel="0" collapsed="false">
      <c r="A1038" s="11"/>
      <c r="B1038" s="9"/>
      <c r="C1038" s="15" t="str">
        <f aca="false">IF($B1038="","",IFERROR(INDEX(직원목록!$B$3:$B$302,MATCH($B1038,직원목록!$A$3:$A$302,0)),"미등록사번"))</f>
        <v/>
      </c>
      <c r="D1038" s="9"/>
      <c r="E1038" s="15" t="str">
        <f aca="false">IF($D1038="","",IFERROR(INDEX(교육과정!$B$3:$B$102,MATCH($D1038,교육과정!$A$3:$A$102,0)),"미등록과정"))</f>
        <v/>
      </c>
      <c r="F1038" s="13"/>
      <c r="G1038" s="9"/>
      <c r="H1038" s="9"/>
    </row>
    <row r="1039" customFormat="false" ht="15" hidden="false" customHeight="true" outlineLevel="0" collapsed="false">
      <c r="A1039" s="11"/>
      <c r="B1039" s="9"/>
      <c r="C1039" s="15" t="str">
        <f aca="false">IF($B1039="","",IFERROR(INDEX(직원목록!$B$3:$B$302,MATCH($B1039,직원목록!$A$3:$A$302,0)),"미등록사번"))</f>
        <v/>
      </c>
      <c r="D1039" s="9"/>
      <c r="E1039" s="15" t="str">
        <f aca="false">IF($D1039="","",IFERROR(INDEX(교육과정!$B$3:$B$102,MATCH($D1039,교육과정!$A$3:$A$102,0)),"미등록과정"))</f>
        <v/>
      </c>
      <c r="F1039" s="13"/>
      <c r="G1039" s="9"/>
      <c r="H1039" s="9"/>
    </row>
    <row r="1040" customFormat="false" ht="15" hidden="false" customHeight="true" outlineLevel="0" collapsed="false">
      <c r="A1040" s="11"/>
      <c r="B1040" s="9"/>
      <c r="C1040" s="15" t="str">
        <f aca="false">IF($B1040="","",IFERROR(INDEX(직원목록!$B$3:$B$302,MATCH($B1040,직원목록!$A$3:$A$302,0)),"미등록사번"))</f>
        <v/>
      </c>
      <c r="D1040" s="9"/>
      <c r="E1040" s="15" t="str">
        <f aca="false">IF($D1040="","",IFERROR(INDEX(교육과정!$B$3:$B$102,MATCH($D1040,교육과정!$A$3:$A$102,0)),"미등록과정"))</f>
        <v/>
      </c>
      <c r="F1040" s="13"/>
      <c r="G1040" s="9"/>
      <c r="H1040" s="9"/>
    </row>
    <row r="1041" customFormat="false" ht="15" hidden="false" customHeight="true" outlineLevel="0" collapsed="false">
      <c r="A1041" s="11"/>
      <c r="B1041" s="9"/>
      <c r="C1041" s="15" t="str">
        <f aca="false">IF($B1041="","",IFERROR(INDEX(직원목록!$B$3:$B$302,MATCH($B1041,직원목록!$A$3:$A$302,0)),"미등록사번"))</f>
        <v/>
      </c>
      <c r="D1041" s="9"/>
      <c r="E1041" s="15" t="str">
        <f aca="false">IF($D1041="","",IFERROR(INDEX(교육과정!$B$3:$B$102,MATCH($D1041,교육과정!$A$3:$A$102,0)),"미등록과정"))</f>
        <v/>
      </c>
      <c r="F1041" s="13"/>
      <c r="G1041" s="9"/>
      <c r="H1041" s="9"/>
    </row>
    <row r="1042" customFormat="false" ht="15" hidden="false" customHeight="true" outlineLevel="0" collapsed="false">
      <c r="A1042" s="11"/>
      <c r="B1042" s="9"/>
      <c r="C1042" s="15" t="str">
        <f aca="false">IF($B1042="","",IFERROR(INDEX(직원목록!$B$3:$B$302,MATCH($B1042,직원목록!$A$3:$A$302,0)),"미등록사번"))</f>
        <v/>
      </c>
      <c r="D1042" s="9"/>
      <c r="E1042" s="15" t="str">
        <f aca="false">IF($D1042="","",IFERROR(INDEX(교육과정!$B$3:$B$102,MATCH($D1042,교육과정!$A$3:$A$102,0)),"미등록과정"))</f>
        <v/>
      </c>
      <c r="F1042" s="13"/>
      <c r="G1042" s="9"/>
      <c r="H1042" s="9"/>
    </row>
    <row r="1043" customFormat="false" ht="15" hidden="false" customHeight="true" outlineLevel="0" collapsed="false">
      <c r="A1043" s="11"/>
      <c r="B1043" s="9"/>
      <c r="C1043" s="15" t="str">
        <f aca="false">IF($B1043="","",IFERROR(INDEX(직원목록!$B$3:$B$302,MATCH($B1043,직원목록!$A$3:$A$302,0)),"미등록사번"))</f>
        <v/>
      </c>
      <c r="D1043" s="9"/>
      <c r="E1043" s="15" t="str">
        <f aca="false">IF($D1043="","",IFERROR(INDEX(교육과정!$B$3:$B$102,MATCH($D1043,교육과정!$A$3:$A$102,0)),"미등록과정"))</f>
        <v/>
      </c>
      <c r="F1043" s="13"/>
      <c r="G1043" s="9"/>
      <c r="H1043" s="9"/>
    </row>
    <row r="1044" customFormat="false" ht="15" hidden="false" customHeight="true" outlineLevel="0" collapsed="false">
      <c r="A1044" s="11"/>
      <c r="B1044" s="9"/>
      <c r="C1044" s="15" t="str">
        <f aca="false">IF($B1044="","",IFERROR(INDEX(직원목록!$B$3:$B$302,MATCH($B1044,직원목록!$A$3:$A$302,0)),"미등록사번"))</f>
        <v/>
      </c>
      <c r="D1044" s="9"/>
      <c r="E1044" s="15" t="str">
        <f aca="false">IF($D1044="","",IFERROR(INDEX(교육과정!$B$3:$B$102,MATCH($D1044,교육과정!$A$3:$A$102,0)),"미등록과정"))</f>
        <v/>
      </c>
      <c r="F1044" s="13"/>
      <c r="G1044" s="9"/>
      <c r="H1044" s="9"/>
    </row>
    <row r="1045" customFormat="false" ht="15" hidden="false" customHeight="true" outlineLevel="0" collapsed="false">
      <c r="A1045" s="11"/>
      <c r="B1045" s="9"/>
      <c r="C1045" s="15" t="str">
        <f aca="false">IF($B1045="","",IFERROR(INDEX(직원목록!$B$3:$B$302,MATCH($B1045,직원목록!$A$3:$A$302,0)),"미등록사번"))</f>
        <v/>
      </c>
      <c r="D1045" s="9"/>
      <c r="E1045" s="15" t="str">
        <f aca="false">IF($D1045="","",IFERROR(INDEX(교육과정!$B$3:$B$102,MATCH($D1045,교육과정!$A$3:$A$102,0)),"미등록과정"))</f>
        <v/>
      </c>
      <c r="F1045" s="13"/>
      <c r="G1045" s="9"/>
      <c r="H1045" s="9"/>
    </row>
    <row r="1046" customFormat="false" ht="15" hidden="false" customHeight="true" outlineLevel="0" collapsed="false">
      <c r="A1046" s="11"/>
      <c r="B1046" s="9"/>
      <c r="C1046" s="15" t="str">
        <f aca="false">IF($B1046="","",IFERROR(INDEX(직원목록!$B$3:$B$302,MATCH($B1046,직원목록!$A$3:$A$302,0)),"미등록사번"))</f>
        <v/>
      </c>
      <c r="D1046" s="9"/>
      <c r="E1046" s="15" t="str">
        <f aca="false">IF($D1046="","",IFERROR(INDEX(교육과정!$B$3:$B$102,MATCH($D1046,교육과정!$A$3:$A$102,0)),"미등록과정"))</f>
        <v/>
      </c>
      <c r="F1046" s="13"/>
      <c r="G1046" s="9"/>
      <c r="H1046" s="9"/>
    </row>
    <row r="1047" customFormat="false" ht="15" hidden="false" customHeight="true" outlineLevel="0" collapsed="false">
      <c r="A1047" s="11"/>
      <c r="B1047" s="9"/>
      <c r="C1047" s="15" t="str">
        <f aca="false">IF($B1047="","",IFERROR(INDEX(직원목록!$B$3:$B$302,MATCH($B1047,직원목록!$A$3:$A$302,0)),"미등록사번"))</f>
        <v/>
      </c>
      <c r="D1047" s="9"/>
      <c r="E1047" s="15" t="str">
        <f aca="false">IF($D1047="","",IFERROR(INDEX(교육과정!$B$3:$B$102,MATCH($D1047,교육과정!$A$3:$A$102,0)),"미등록과정"))</f>
        <v/>
      </c>
      <c r="F1047" s="13"/>
      <c r="G1047" s="9"/>
      <c r="H1047" s="9"/>
    </row>
    <row r="1048" customFormat="false" ht="15" hidden="false" customHeight="true" outlineLevel="0" collapsed="false">
      <c r="A1048" s="11"/>
      <c r="B1048" s="9"/>
      <c r="C1048" s="15" t="str">
        <f aca="false">IF($B1048="","",IFERROR(INDEX(직원목록!$B$3:$B$302,MATCH($B1048,직원목록!$A$3:$A$302,0)),"미등록사번"))</f>
        <v/>
      </c>
      <c r="D1048" s="9"/>
      <c r="E1048" s="15" t="str">
        <f aca="false">IF($D1048="","",IFERROR(INDEX(교육과정!$B$3:$B$102,MATCH($D1048,교육과정!$A$3:$A$102,0)),"미등록과정"))</f>
        <v/>
      </c>
      <c r="F1048" s="13"/>
      <c r="G1048" s="9"/>
      <c r="H1048" s="9"/>
    </row>
    <row r="1049" customFormat="false" ht="15" hidden="false" customHeight="true" outlineLevel="0" collapsed="false">
      <c r="A1049" s="11"/>
      <c r="B1049" s="9"/>
      <c r="C1049" s="15" t="str">
        <f aca="false">IF($B1049="","",IFERROR(INDEX(직원목록!$B$3:$B$302,MATCH($B1049,직원목록!$A$3:$A$302,0)),"미등록사번"))</f>
        <v/>
      </c>
      <c r="D1049" s="9"/>
      <c r="E1049" s="15" t="str">
        <f aca="false">IF($D1049="","",IFERROR(INDEX(교육과정!$B$3:$B$102,MATCH($D1049,교육과정!$A$3:$A$102,0)),"미등록과정"))</f>
        <v/>
      </c>
      <c r="F1049" s="13"/>
      <c r="G1049" s="9"/>
      <c r="H1049" s="9"/>
    </row>
    <row r="1050" customFormat="false" ht="15" hidden="false" customHeight="true" outlineLevel="0" collapsed="false">
      <c r="A1050" s="11"/>
      <c r="B1050" s="9"/>
      <c r="C1050" s="15" t="str">
        <f aca="false">IF($B1050="","",IFERROR(INDEX(직원목록!$B$3:$B$302,MATCH($B1050,직원목록!$A$3:$A$302,0)),"미등록사번"))</f>
        <v/>
      </c>
      <c r="D1050" s="9"/>
      <c r="E1050" s="15" t="str">
        <f aca="false">IF($D1050="","",IFERROR(INDEX(교육과정!$B$3:$B$102,MATCH($D1050,교육과정!$A$3:$A$102,0)),"미등록과정"))</f>
        <v/>
      </c>
      <c r="F1050" s="13"/>
      <c r="G1050" s="9"/>
      <c r="H1050" s="9"/>
    </row>
    <row r="1051" customFormat="false" ht="15" hidden="false" customHeight="true" outlineLevel="0" collapsed="false">
      <c r="A1051" s="11"/>
      <c r="B1051" s="9"/>
      <c r="C1051" s="15" t="str">
        <f aca="false">IF($B1051="","",IFERROR(INDEX(직원목록!$B$3:$B$302,MATCH($B1051,직원목록!$A$3:$A$302,0)),"미등록사번"))</f>
        <v/>
      </c>
      <c r="D1051" s="9"/>
      <c r="E1051" s="15" t="str">
        <f aca="false">IF($D1051="","",IFERROR(INDEX(교육과정!$B$3:$B$102,MATCH($D1051,교육과정!$A$3:$A$102,0)),"미등록과정"))</f>
        <v/>
      </c>
      <c r="F1051" s="13"/>
      <c r="G1051" s="9"/>
      <c r="H1051" s="9"/>
    </row>
    <row r="1052" customFormat="false" ht="15" hidden="false" customHeight="true" outlineLevel="0" collapsed="false">
      <c r="A1052" s="11"/>
      <c r="B1052" s="9"/>
      <c r="C1052" s="15" t="str">
        <f aca="false">IF($B1052="","",IFERROR(INDEX(직원목록!$B$3:$B$302,MATCH($B1052,직원목록!$A$3:$A$302,0)),"미등록사번"))</f>
        <v/>
      </c>
      <c r="D1052" s="9"/>
      <c r="E1052" s="15" t="str">
        <f aca="false">IF($D1052="","",IFERROR(INDEX(교육과정!$B$3:$B$102,MATCH($D1052,교육과정!$A$3:$A$102,0)),"미등록과정"))</f>
        <v/>
      </c>
      <c r="F1052" s="13"/>
      <c r="G1052" s="9"/>
      <c r="H1052" s="9"/>
    </row>
    <row r="1053" customFormat="false" ht="15" hidden="false" customHeight="true" outlineLevel="0" collapsed="false">
      <c r="A1053" s="11"/>
      <c r="B1053" s="9"/>
      <c r="C1053" s="15" t="str">
        <f aca="false">IF($B1053="","",IFERROR(INDEX(직원목록!$B$3:$B$302,MATCH($B1053,직원목록!$A$3:$A$302,0)),"미등록사번"))</f>
        <v/>
      </c>
      <c r="D1053" s="9"/>
      <c r="E1053" s="15" t="str">
        <f aca="false">IF($D1053="","",IFERROR(INDEX(교육과정!$B$3:$B$102,MATCH($D1053,교육과정!$A$3:$A$102,0)),"미등록과정"))</f>
        <v/>
      </c>
      <c r="F1053" s="13"/>
      <c r="G1053" s="9"/>
      <c r="H1053" s="9"/>
    </row>
    <row r="1054" customFormat="false" ht="15" hidden="false" customHeight="true" outlineLevel="0" collapsed="false">
      <c r="A1054" s="11"/>
      <c r="B1054" s="9"/>
      <c r="C1054" s="15" t="str">
        <f aca="false">IF($B1054="","",IFERROR(INDEX(직원목록!$B$3:$B$302,MATCH($B1054,직원목록!$A$3:$A$302,0)),"미등록사번"))</f>
        <v/>
      </c>
      <c r="D1054" s="9"/>
      <c r="E1054" s="15" t="str">
        <f aca="false">IF($D1054="","",IFERROR(INDEX(교육과정!$B$3:$B$102,MATCH($D1054,교육과정!$A$3:$A$102,0)),"미등록과정"))</f>
        <v/>
      </c>
      <c r="F1054" s="13"/>
      <c r="G1054" s="9"/>
      <c r="H1054" s="9"/>
    </row>
    <row r="1055" customFormat="false" ht="15" hidden="false" customHeight="true" outlineLevel="0" collapsed="false">
      <c r="A1055" s="11"/>
      <c r="B1055" s="9"/>
      <c r="C1055" s="15" t="str">
        <f aca="false">IF($B1055="","",IFERROR(INDEX(직원목록!$B$3:$B$302,MATCH($B1055,직원목록!$A$3:$A$302,0)),"미등록사번"))</f>
        <v/>
      </c>
      <c r="D1055" s="9"/>
      <c r="E1055" s="15" t="str">
        <f aca="false">IF($D1055="","",IFERROR(INDEX(교육과정!$B$3:$B$102,MATCH($D1055,교육과정!$A$3:$A$102,0)),"미등록과정"))</f>
        <v/>
      </c>
      <c r="F1055" s="13"/>
      <c r="G1055" s="9"/>
      <c r="H1055" s="9"/>
    </row>
    <row r="1056" customFormat="false" ht="15" hidden="false" customHeight="true" outlineLevel="0" collapsed="false">
      <c r="A1056" s="11"/>
      <c r="B1056" s="9"/>
      <c r="C1056" s="15" t="str">
        <f aca="false">IF($B1056="","",IFERROR(INDEX(직원목록!$B$3:$B$302,MATCH($B1056,직원목록!$A$3:$A$302,0)),"미등록사번"))</f>
        <v/>
      </c>
      <c r="D1056" s="9"/>
      <c r="E1056" s="15" t="str">
        <f aca="false">IF($D1056="","",IFERROR(INDEX(교육과정!$B$3:$B$102,MATCH($D1056,교육과정!$A$3:$A$102,0)),"미등록과정"))</f>
        <v/>
      </c>
      <c r="F1056" s="13"/>
      <c r="G1056" s="9"/>
      <c r="H1056" s="9"/>
    </row>
    <row r="1057" customFormat="false" ht="15" hidden="false" customHeight="true" outlineLevel="0" collapsed="false">
      <c r="A1057" s="11"/>
      <c r="B1057" s="9"/>
      <c r="C1057" s="15" t="str">
        <f aca="false">IF($B1057="","",IFERROR(INDEX(직원목록!$B$3:$B$302,MATCH($B1057,직원목록!$A$3:$A$302,0)),"미등록사번"))</f>
        <v/>
      </c>
      <c r="D1057" s="9"/>
      <c r="E1057" s="15" t="str">
        <f aca="false">IF($D1057="","",IFERROR(INDEX(교육과정!$B$3:$B$102,MATCH($D1057,교육과정!$A$3:$A$102,0)),"미등록과정"))</f>
        <v/>
      </c>
      <c r="F1057" s="13"/>
      <c r="G1057" s="9"/>
      <c r="H1057" s="9"/>
    </row>
    <row r="1058" customFormat="false" ht="15" hidden="false" customHeight="true" outlineLevel="0" collapsed="false">
      <c r="A1058" s="11"/>
      <c r="B1058" s="9"/>
      <c r="C1058" s="15" t="str">
        <f aca="false">IF($B1058="","",IFERROR(INDEX(직원목록!$B$3:$B$302,MATCH($B1058,직원목록!$A$3:$A$302,0)),"미등록사번"))</f>
        <v/>
      </c>
      <c r="D1058" s="9"/>
      <c r="E1058" s="15" t="str">
        <f aca="false">IF($D1058="","",IFERROR(INDEX(교육과정!$B$3:$B$102,MATCH($D1058,교육과정!$A$3:$A$102,0)),"미등록과정"))</f>
        <v/>
      </c>
      <c r="F1058" s="13"/>
      <c r="G1058" s="9"/>
      <c r="H1058" s="9"/>
    </row>
    <row r="1059" customFormat="false" ht="15" hidden="false" customHeight="true" outlineLevel="0" collapsed="false">
      <c r="A1059" s="11"/>
      <c r="B1059" s="9"/>
      <c r="C1059" s="15" t="str">
        <f aca="false">IF($B1059="","",IFERROR(INDEX(직원목록!$B$3:$B$302,MATCH($B1059,직원목록!$A$3:$A$302,0)),"미등록사번"))</f>
        <v/>
      </c>
      <c r="D1059" s="9"/>
      <c r="E1059" s="15" t="str">
        <f aca="false">IF($D1059="","",IFERROR(INDEX(교육과정!$B$3:$B$102,MATCH($D1059,교육과정!$A$3:$A$102,0)),"미등록과정"))</f>
        <v/>
      </c>
      <c r="F1059" s="13"/>
      <c r="G1059" s="9"/>
      <c r="H1059" s="9"/>
    </row>
    <row r="1060" customFormat="false" ht="15" hidden="false" customHeight="true" outlineLevel="0" collapsed="false">
      <c r="A1060" s="11"/>
      <c r="B1060" s="9"/>
      <c r="C1060" s="15" t="str">
        <f aca="false">IF($B1060="","",IFERROR(INDEX(직원목록!$B$3:$B$302,MATCH($B1060,직원목록!$A$3:$A$302,0)),"미등록사번"))</f>
        <v/>
      </c>
      <c r="D1060" s="9"/>
      <c r="E1060" s="15" t="str">
        <f aca="false">IF($D1060="","",IFERROR(INDEX(교육과정!$B$3:$B$102,MATCH($D1060,교육과정!$A$3:$A$102,0)),"미등록과정"))</f>
        <v/>
      </c>
      <c r="F1060" s="13"/>
      <c r="G1060" s="9"/>
      <c r="H1060" s="9"/>
    </row>
    <row r="1061" customFormat="false" ht="15" hidden="false" customHeight="true" outlineLevel="0" collapsed="false">
      <c r="A1061" s="11"/>
      <c r="B1061" s="9"/>
      <c r="C1061" s="15" t="str">
        <f aca="false">IF($B1061="","",IFERROR(INDEX(직원목록!$B$3:$B$302,MATCH($B1061,직원목록!$A$3:$A$302,0)),"미등록사번"))</f>
        <v/>
      </c>
      <c r="D1061" s="9"/>
      <c r="E1061" s="15" t="str">
        <f aca="false">IF($D1061="","",IFERROR(INDEX(교육과정!$B$3:$B$102,MATCH($D1061,교육과정!$A$3:$A$102,0)),"미등록과정"))</f>
        <v/>
      </c>
      <c r="F1061" s="13"/>
      <c r="G1061" s="9"/>
      <c r="H1061" s="9"/>
    </row>
    <row r="1062" customFormat="false" ht="15" hidden="false" customHeight="true" outlineLevel="0" collapsed="false">
      <c r="A1062" s="11"/>
      <c r="B1062" s="9"/>
      <c r="C1062" s="15" t="str">
        <f aca="false">IF($B1062="","",IFERROR(INDEX(직원목록!$B$3:$B$302,MATCH($B1062,직원목록!$A$3:$A$302,0)),"미등록사번"))</f>
        <v/>
      </c>
      <c r="D1062" s="9"/>
      <c r="E1062" s="15" t="str">
        <f aca="false">IF($D1062="","",IFERROR(INDEX(교육과정!$B$3:$B$102,MATCH($D1062,교육과정!$A$3:$A$102,0)),"미등록과정"))</f>
        <v/>
      </c>
      <c r="F1062" s="13"/>
      <c r="G1062" s="9"/>
      <c r="H1062" s="9"/>
    </row>
    <row r="1063" customFormat="false" ht="15" hidden="false" customHeight="true" outlineLevel="0" collapsed="false">
      <c r="A1063" s="11"/>
      <c r="B1063" s="9"/>
      <c r="C1063" s="15" t="str">
        <f aca="false">IF($B1063="","",IFERROR(INDEX(직원목록!$B$3:$B$302,MATCH($B1063,직원목록!$A$3:$A$302,0)),"미등록사번"))</f>
        <v/>
      </c>
      <c r="D1063" s="9"/>
      <c r="E1063" s="15" t="str">
        <f aca="false">IF($D1063="","",IFERROR(INDEX(교육과정!$B$3:$B$102,MATCH($D1063,교육과정!$A$3:$A$102,0)),"미등록과정"))</f>
        <v/>
      </c>
      <c r="F1063" s="13"/>
      <c r="G1063" s="9"/>
      <c r="H1063" s="9"/>
    </row>
    <row r="1064" customFormat="false" ht="15" hidden="false" customHeight="true" outlineLevel="0" collapsed="false">
      <c r="A1064" s="11"/>
      <c r="B1064" s="9"/>
      <c r="C1064" s="15" t="str">
        <f aca="false">IF($B1064="","",IFERROR(INDEX(직원목록!$B$3:$B$302,MATCH($B1064,직원목록!$A$3:$A$302,0)),"미등록사번"))</f>
        <v/>
      </c>
      <c r="D1064" s="9"/>
      <c r="E1064" s="15" t="str">
        <f aca="false">IF($D1064="","",IFERROR(INDEX(교육과정!$B$3:$B$102,MATCH($D1064,교육과정!$A$3:$A$102,0)),"미등록과정"))</f>
        <v/>
      </c>
      <c r="F1064" s="13"/>
      <c r="G1064" s="9"/>
      <c r="H1064" s="9"/>
    </row>
    <row r="1065" customFormat="false" ht="15" hidden="false" customHeight="true" outlineLevel="0" collapsed="false">
      <c r="A1065" s="11"/>
      <c r="B1065" s="9"/>
      <c r="C1065" s="15" t="str">
        <f aca="false">IF($B1065="","",IFERROR(INDEX(직원목록!$B$3:$B$302,MATCH($B1065,직원목록!$A$3:$A$302,0)),"미등록사번"))</f>
        <v/>
      </c>
      <c r="D1065" s="9"/>
      <c r="E1065" s="15" t="str">
        <f aca="false">IF($D1065="","",IFERROR(INDEX(교육과정!$B$3:$B$102,MATCH($D1065,교육과정!$A$3:$A$102,0)),"미등록과정"))</f>
        <v/>
      </c>
      <c r="F1065" s="13"/>
      <c r="G1065" s="9"/>
      <c r="H1065" s="9"/>
    </row>
    <row r="1066" customFormat="false" ht="15" hidden="false" customHeight="true" outlineLevel="0" collapsed="false">
      <c r="A1066" s="11"/>
      <c r="B1066" s="9"/>
      <c r="C1066" s="15" t="str">
        <f aca="false">IF($B1066="","",IFERROR(INDEX(직원목록!$B$3:$B$302,MATCH($B1066,직원목록!$A$3:$A$302,0)),"미등록사번"))</f>
        <v/>
      </c>
      <c r="D1066" s="9"/>
      <c r="E1066" s="15" t="str">
        <f aca="false">IF($D1066="","",IFERROR(INDEX(교육과정!$B$3:$B$102,MATCH($D1066,교육과정!$A$3:$A$102,0)),"미등록과정"))</f>
        <v/>
      </c>
      <c r="F1066" s="13"/>
      <c r="G1066" s="9"/>
      <c r="H1066" s="9"/>
    </row>
    <row r="1067" customFormat="false" ht="15" hidden="false" customHeight="true" outlineLevel="0" collapsed="false">
      <c r="A1067" s="11"/>
      <c r="B1067" s="9"/>
      <c r="C1067" s="15" t="str">
        <f aca="false">IF($B1067="","",IFERROR(INDEX(직원목록!$B$3:$B$302,MATCH($B1067,직원목록!$A$3:$A$302,0)),"미등록사번"))</f>
        <v/>
      </c>
      <c r="D1067" s="9"/>
      <c r="E1067" s="15" t="str">
        <f aca="false">IF($D1067="","",IFERROR(INDEX(교육과정!$B$3:$B$102,MATCH($D1067,교육과정!$A$3:$A$102,0)),"미등록과정"))</f>
        <v/>
      </c>
      <c r="F1067" s="13"/>
      <c r="G1067" s="9"/>
      <c r="H1067" s="9"/>
    </row>
    <row r="1068" customFormat="false" ht="15" hidden="false" customHeight="true" outlineLevel="0" collapsed="false">
      <c r="A1068" s="11"/>
      <c r="B1068" s="9"/>
      <c r="C1068" s="15" t="str">
        <f aca="false">IF($B1068="","",IFERROR(INDEX(직원목록!$B$3:$B$302,MATCH($B1068,직원목록!$A$3:$A$302,0)),"미등록사번"))</f>
        <v/>
      </c>
      <c r="D1068" s="9"/>
      <c r="E1068" s="15" t="str">
        <f aca="false">IF($D1068="","",IFERROR(INDEX(교육과정!$B$3:$B$102,MATCH($D1068,교육과정!$A$3:$A$102,0)),"미등록과정"))</f>
        <v/>
      </c>
      <c r="F1068" s="13"/>
      <c r="G1068" s="9"/>
      <c r="H1068" s="9"/>
    </row>
    <row r="1069" customFormat="false" ht="15" hidden="false" customHeight="true" outlineLevel="0" collapsed="false">
      <c r="A1069" s="11"/>
      <c r="B1069" s="9"/>
      <c r="C1069" s="15" t="str">
        <f aca="false">IF($B1069="","",IFERROR(INDEX(직원목록!$B$3:$B$302,MATCH($B1069,직원목록!$A$3:$A$302,0)),"미등록사번"))</f>
        <v/>
      </c>
      <c r="D1069" s="9"/>
      <c r="E1069" s="15" t="str">
        <f aca="false">IF($D1069="","",IFERROR(INDEX(교육과정!$B$3:$B$102,MATCH($D1069,교육과정!$A$3:$A$102,0)),"미등록과정"))</f>
        <v/>
      </c>
      <c r="F1069" s="13"/>
      <c r="G1069" s="9"/>
      <c r="H1069" s="9"/>
    </row>
    <row r="1070" customFormat="false" ht="15" hidden="false" customHeight="true" outlineLevel="0" collapsed="false">
      <c r="A1070" s="11"/>
      <c r="B1070" s="9"/>
      <c r="C1070" s="15" t="str">
        <f aca="false">IF($B1070="","",IFERROR(INDEX(직원목록!$B$3:$B$302,MATCH($B1070,직원목록!$A$3:$A$302,0)),"미등록사번"))</f>
        <v/>
      </c>
      <c r="D1070" s="9"/>
      <c r="E1070" s="15" t="str">
        <f aca="false">IF($D1070="","",IFERROR(INDEX(교육과정!$B$3:$B$102,MATCH($D1070,교육과정!$A$3:$A$102,0)),"미등록과정"))</f>
        <v/>
      </c>
      <c r="F1070" s="13"/>
      <c r="G1070" s="9"/>
      <c r="H1070" s="9"/>
    </row>
    <row r="1071" customFormat="false" ht="15" hidden="false" customHeight="true" outlineLevel="0" collapsed="false">
      <c r="A1071" s="11"/>
      <c r="B1071" s="9"/>
      <c r="C1071" s="15" t="str">
        <f aca="false">IF($B1071="","",IFERROR(INDEX(직원목록!$B$3:$B$302,MATCH($B1071,직원목록!$A$3:$A$302,0)),"미등록사번"))</f>
        <v/>
      </c>
      <c r="D1071" s="9"/>
      <c r="E1071" s="15" t="str">
        <f aca="false">IF($D1071="","",IFERROR(INDEX(교육과정!$B$3:$B$102,MATCH($D1071,교육과정!$A$3:$A$102,0)),"미등록과정"))</f>
        <v/>
      </c>
      <c r="F1071" s="13"/>
      <c r="G1071" s="9"/>
      <c r="H1071" s="9"/>
    </row>
    <row r="1072" customFormat="false" ht="15" hidden="false" customHeight="true" outlineLevel="0" collapsed="false">
      <c r="A1072" s="11"/>
      <c r="B1072" s="9"/>
      <c r="C1072" s="15" t="str">
        <f aca="false">IF($B1072="","",IFERROR(INDEX(직원목록!$B$3:$B$302,MATCH($B1072,직원목록!$A$3:$A$302,0)),"미등록사번"))</f>
        <v/>
      </c>
      <c r="D1072" s="9"/>
      <c r="E1072" s="15" t="str">
        <f aca="false">IF($D1072="","",IFERROR(INDEX(교육과정!$B$3:$B$102,MATCH($D1072,교육과정!$A$3:$A$102,0)),"미등록과정"))</f>
        <v/>
      </c>
      <c r="F1072" s="13"/>
      <c r="G1072" s="9"/>
      <c r="H1072" s="9"/>
    </row>
    <row r="1073" customFormat="false" ht="15" hidden="false" customHeight="true" outlineLevel="0" collapsed="false">
      <c r="A1073" s="11"/>
      <c r="B1073" s="9"/>
      <c r="C1073" s="15" t="str">
        <f aca="false">IF($B1073="","",IFERROR(INDEX(직원목록!$B$3:$B$302,MATCH($B1073,직원목록!$A$3:$A$302,0)),"미등록사번"))</f>
        <v/>
      </c>
      <c r="D1073" s="9"/>
      <c r="E1073" s="15" t="str">
        <f aca="false">IF($D1073="","",IFERROR(INDEX(교육과정!$B$3:$B$102,MATCH($D1073,교육과정!$A$3:$A$102,0)),"미등록과정"))</f>
        <v/>
      </c>
      <c r="F1073" s="13"/>
      <c r="G1073" s="9"/>
      <c r="H1073" s="9"/>
    </row>
    <row r="1074" customFormat="false" ht="15" hidden="false" customHeight="true" outlineLevel="0" collapsed="false">
      <c r="A1074" s="11"/>
      <c r="B1074" s="9"/>
      <c r="C1074" s="15" t="str">
        <f aca="false">IF($B1074="","",IFERROR(INDEX(직원목록!$B$3:$B$302,MATCH($B1074,직원목록!$A$3:$A$302,0)),"미등록사번"))</f>
        <v/>
      </c>
      <c r="D1074" s="9"/>
      <c r="E1074" s="15" t="str">
        <f aca="false">IF($D1074="","",IFERROR(INDEX(교육과정!$B$3:$B$102,MATCH($D1074,교육과정!$A$3:$A$102,0)),"미등록과정"))</f>
        <v/>
      </c>
      <c r="F1074" s="13"/>
      <c r="G1074" s="9"/>
      <c r="H1074" s="9"/>
    </row>
    <row r="1075" customFormat="false" ht="15" hidden="false" customHeight="true" outlineLevel="0" collapsed="false">
      <c r="A1075" s="11"/>
      <c r="B1075" s="9"/>
      <c r="C1075" s="15" t="str">
        <f aca="false">IF($B1075="","",IFERROR(INDEX(직원목록!$B$3:$B$302,MATCH($B1075,직원목록!$A$3:$A$302,0)),"미등록사번"))</f>
        <v/>
      </c>
      <c r="D1075" s="9"/>
      <c r="E1075" s="15" t="str">
        <f aca="false">IF($D1075="","",IFERROR(INDEX(교육과정!$B$3:$B$102,MATCH($D1075,교육과정!$A$3:$A$102,0)),"미등록과정"))</f>
        <v/>
      </c>
      <c r="F1075" s="13"/>
      <c r="G1075" s="9"/>
      <c r="H1075" s="9"/>
    </row>
    <row r="1076" customFormat="false" ht="15" hidden="false" customHeight="true" outlineLevel="0" collapsed="false">
      <c r="A1076" s="11"/>
      <c r="B1076" s="9"/>
      <c r="C1076" s="15" t="str">
        <f aca="false">IF($B1076="","",IFERROR(INDEX(직원목록!$B$3:$B$302,MATCH($B1076,직원목록!$A$3:$A$302,0)),"미등록사번"))</f>
        <v/>
      </c>
      <c r="D1076" s="9"/>
      <c r="E1076" s="15" t="str">
        <f aca="false">IF($D1076="","",IFERROR(INDEX(교육과정!$B$3:$B$102,MATCH($D1076,교육과정!$A$3:$A$102,0)),"미등록과정"))</f>
        <v/>
      </c>
      <c r="F1076" s="13"/>
      <c r="G1076" s="9"/>
      <c r="H1076" s="9"/>
    </row>
    <row r="1077" customFormat="false" ht="15" hidden="false" customHeight="true" outlineLevel="0" collapsed="false">
      <c r="A1077" s="11"/>
      <c r="B1077" s="9"/>
      <c r="C1077" s="15" t="str">
        <f aca="false">IF($B1077="","",IFERROR(INDEX(직원목록!$B$3:$B$302,MATCH($B1077,직원목록!$A$3:$A$302,0)),"미등록사번"))</f>
        <v/>
      </c>
      <c r="D1077" s="9"/>
      <c r="E1077" s="15" t="str">
        <f aca="false">IF($D1077="","",IFERROR(INDEX(교육과정!$B$3:$B$102,MATCH($D1077,교육과정!$A$3:$A$102,0)),"미등록과정"))</f>
        <v/>
      </c>
      <c r="F1077" s="13"/>
      <c r="G1077" s="9"/>
      <c r="H1077" s="9"/>
    </row>
    <row r="1078" customFormat="false" ht="15" hidden="false" customHeight="true" outlineLevel="0" collapsed="false">
      <c r="A1078" s="11"/>
      <c r="B1078" s="9"/>
      <c r="C1078" s="15" t="str">
        <f aca="false">IF($B1078="","",IFERROR(INDEX(직원목록!$B$3:$B$302,MATCH($B1078,직원목록!$A$3:$A$302,0)),"미등록사번"))</f>
        <v/>
      </c>
      <c r="D1078" s="9"/>
      <c r="E1078" s="15" t="str">
        <f aca="false">IF($D1078="","",IFERROR(INDEX(교육과정!$B$3:$B$102,MATCH($D1078,교육과정!$A$3:$A$102,0)),"미등록과정"))</f>
        <v/>
      </c>
      <c r="F1078" s="13"/>
      <c r="G1078" s="9"/>
      <c r="H1078" s="9"/>
    </row>
    <row r="1079" customFormat="false" ht="15" hidden="false" customHeight="true" outlineLevel="0" collapsed="false">
      <c r="A1079" s="11"/>
      <c r="B1079" s="9"/>
      <c r="C1079" s="15" t="str">
        <f aca="false">IF($B1079="","",IFERROR(INDEX(직원목록!$B$3:$B$302,MATCH($B1079,직원목록!$A$3:$A$302,0)),"미등록사번"))</f>
        <v/>
      </c>
      <c r="D1079" s="9"/>
      <c r="E1079" s="15" t="str">
        <f aca="false">IF($D1079="","",IFERROR(INDEX(교육과정!$B$3:$B$102,MATCH($D1079,교육과정!$A$3:$A$102,0)),"미등록과정"))</f>
        <v/>
      </c>
      <c r="F1079" s="13"/>
      <c r="G1079" s="9"/>
      <c r="H1079" s="9"/>
    </row>
    <row r="1080" customFormat="false" ht="15" hidden="false" customHeight="true" outlineLevel="0" collapsed="false">
      <c r="A1080" s="11"/>
      <c r="B1080" s="9"/>
      <c r="C1080" s="15" t="str">
        <f aca="false">IF($B1080="","",IFERROR(INDEX(직원목록!$B$3:$B$302,MATCH($B1080,직원목록!$A$3:$A$302,0)),"미등록사번"))</f>
        <v/>
      </c>
      <c r="D1080" s="9"/>
      <c r="E1080" s="15" t="str">
        <f aca="false">IF($D1080="","",IFERROR(INDEX(교육과정!$B$3:$B$102,MATCH($D1080,교육과정!$A$3:$A$102,0)),"미등록과정"))</f>
        <v/>
      </c>
      <c r="F1080" s="13"/>
      <c r="G1080" s="9"/>
      <c r="H1080" s="9"/>
    </row>
    <row r="1081" customFormat="false" ht="15" hidden="false" customHeight="true" outlineLevel="0" collapsed="false">
      <c r="A1081" s="11"/>
      <c r="B1081" s="9"/>
      <c r="C1081" s="15" t="str">
        <f aca="false">IF($B1081="","",IFERROR(INDEX(직원목록!$B$3:$B$302,MATCH($B1081,직원목록!$A$3:$A$302,0)),"미등록사번"))</f>
        <v/>
      </c>
      <c r="D1081" s="9"/>
      <c r="E1081" s="15" t="str">
        <f aca="false">IF($D1081="","",IFERROR(INDEX(교육과정!$B$3:$B$102,MATCH($D1081,교육과정!$A$3:$A$102,0)),"미등록과정"))</f>
        <v/>
      </c>
      <c r="F1081" s="13"/>
      <c r="G1081" s="9"/>
      <c r="H1081" s="9"/>
    </row>
    <row r="1082" customFormat="false" ht="15" hidden="false" customHeight="true" outlineLevel="0" collapsed="false">
      <c r="A1082" s="11"/>
      <c r="B1082" s="9"/>
      <c r="C1082" s="15" t="str">
        <f aca="false">IF($B1082="","",IFERROR(INDEX(직원목록!$B$3:$B$302,MATCH($B1082,직원목록!$A$3:$A$302,0)),"미등록사번"))</f>
        <v/>
      </c>
      <c r="D1082" s="9"/>
      <c r="E1082" s="15" t="str">
        <f aca="false">IF($D1082="","",IFERROR(INDEX(교육과정!$B$3:$B$102,MATCH($D1082,교육과정!$A$3:$A$102,0)),"미등록과정"))</f>
        <v/>
      </c>
      <c r="F1082" s="13"/>
      <c r="G1082" s="9"/>
      <c r="H1082" s="9"/>
    </row>
    <row r="1083" customFormat="false" ht="15" hidden="false" customHeight="true" outlineLevel="0" collapsed="false">
      <c r="A1083" s="11"/>
      <c r="B1083" s="9"/>
      <c r="C1083" s="15" t="str">
        <f aca="false">IF($B1083="","",IFERROR(INDEX(직원목록!$B$3:$B$302,MATCH($B1083,직원목록!$A$3:$A$302,0)),"미등록사번"))</f>
        <v/>
      </c>
      <c r="D1083" s="9"/>
      <c r="E1083" s="15" t="str">
        <f aca="false">IF($D1083="","",IFERROR(INDEX(교육과정!$B$3:$B$102,MATCH($D1083,교육과정!$A$3:$A$102,0)),"미등록과정"))</f>
        <v/>
      </c>
      <c r="F1083" s="13"/>
      <c r="G1083" s="9"/>
      <c r="H1083" s="9"/>
    </row>
    <row r="1084" customFormat="false" ht="15" hidden="false" customHeight="true" outlineLevel="0" collapsed="false">
      <c r="A1084" s="11"/>
      <c r="B1084" s="9"/>
      <c r="C1084" s="15" t="str">
        <f aca="false">IF($B1084="","",IFERROR(INDEX(직원목록!$B$3:$B$302,MATCH($B1084,직원목록!$A$3:$A$302,0)),"미등록사번"))</f>
        <v/>
      </c>
      <c r="D1084" s="9"/>
      <c r="E1084" s="15" t="str">
        <f aca="false">IF($D1084="","",IFERROR(INDEX(교육과정!$B$3:$B$102,MATCH($D1084,교육과정!$A$3:$A$102,0)),"미등록과정"))</f>
        <v/>
      </c>
      <c r="F1084" s="13"/>
      <c r="G1084" s="9"/>
      <c r="H1084" s="9"/>
    </row>
    <row r="1085" customFormat="false" ht="15" hidden="false" customHeight="true" outlineLevel="0" collapsed="false">
      <c r="A1085" s="11"/>
      <c r="B1085" s="9"/>
      <c r="C1085" s="15" t="str">
        <f aca="false">IF($B1085="","",IFERROR(INDEX(직원목록!$B$3:$B$302,MATCH($B1085,직원목록!$A$3:$A$302,0)),"미등록사번"))</f>
        <v/>
      </c>
      <c r="D1085" s="9"/>
      <c r="E1085" s="15" t="str">
        <f aca="false">IF($D1085="","",IFERROR(INDEX(교육과정!$B$3:$B$102,MATCH($D1085,교육과정!$A$3:$A$102,0)),"미등록과정"))</f>
        <v/>
      </c>
      <c r="F1085" s="13"/>
      <c r="G1085" s="9"/>
      <c r="H1085" s="9"/>
    </row>
    <row r="1086" customFormat="false" ht="15" hidden="false" customHeight="true" outlineLevel="0" collapsed="false">
      <c r="A1086" s="11"/>
      <c r="B1086" s="9"/>
      <c r="C1086" s="15" t="str">
        <f aca="false">IF($B1086="","",IFERROR(INDEX(직원목록!$B$3:$B$302,MATCH($B1086,직원목록!$A$3:$A$302,0)),"미등록사번"))</f>
        <v/>
      </c>
      <c r="D1086" s="9"/>
      <c r="E1086" s="15" t="str">
        <f aca="false">IF($D1086="","",IFERROR(INDEX(교육과정!$B$3:$B$102,MATCH($D1086,교육과정!$A$3:$A$102,0)),"미등록과정"))</f>
        <v/>
      </c>
      <c r="F1086" s="13"/>
      <c r="G1086" s="9"/>
      <c r="H1086" s="9"/>
    </row>
    <row r="1087" customFormat="false" ht="15" hidden="false" customHeight="true" outlineLevel="0" collapsed="false">
      <c r="A1087" s="11"/>
      <c r="B1087" s="9"/>
      <c r="C1087" s="15" t="str">
        <f aca="false">IF($B1087="","",IFERROR(INDEX(직원목록!$B$3:$B$302,MATCH($B1087,직원목록!$A$3:$A$302,0)),"미등록사번"))</f>
        <v/>
      </c>
      <c r="D1087" s="9"/>
      <c r="E1087" s="15" t="str">
        <f aca="false">IF($D1087="","",IFERROR(INDEX(교육과정!$B$3:$B$102,MATCH($D1087,교육과정!$A$3:$A$102,0)),"미등록과정"))</f>
        <v/>
      </c>
      <c r="F1087" s="13"/>
      <c r="G1087" s="9"/>
      <c r="H1087" s="9"/>
    </row>
    <row r="1088" customFormat="false" ht="15" hidden="false" customHeight="true" outlineLevel="0" collapsed="false">
      <c r="A1088" s="11"/>
      <c r="B1088" s="9"/>
      <c r="C1088" s="15" t="str">
        <f aca="false">IF($B1088="","",IFERROR(INDEX(직원목록!$B$3:$B$302,MATCH($B1088,직원목록!$A$3:$A$302,0)),"미등록사번"))</f>
        <v/>
      </c>
      <c r="D1088" s="9"/>
      <c r="E1088" s="15" t="str">
        <f aca="false">IF($D1088="","",IFERROR(INDEX(교육과정!$B$3:$B$102,MATCH($D1088,교육과정!$A$3:$A$102,0)),"미등록과정"))</f>
        <v/>
      </c>
      <c r="F1088" s="13"/>
      <c r="G1088" s="9"/>
      <c r="H1088" s="9"/>
    </row>
    <row r="1089" customFormat="false" ht="15" hidden="false" customHeight="true" outlineLevel="0" collapsed="false">
      <c r="A1089" s="11"/>
      <c r="B1089" s="9"/>
      <c r="C1089" s="15" t="str">
        <f aca="false">IF($B1089="","",IFERROR(INDEX(직원목록!$B$3:$B$302,MATCH($B1089,직원목록!$A$3:$A$302,0)),"미등록사번"))</f>
        <v/>
      </c>
      <c r="D1089" s="9"/>
      <c r="E1089" s="15" t="str">
        <f aca="false">IF($D1089="","",IFERROR(INDEX(교육과정!$B$3:$B$102,MATCH($D1089,교육과정!$A$3:$A$102,0)),"미등록과정"))</f>
        <v/>
      </c>
      <c r="F1089" s="13"/>
      <c r="G1089" s="9"/>
      <c r="H1089" s="9"/>
    </row>
    <row r="1090" customFormat="false" ht="15" hidden="false" customHeight="true" outlineLevel="0" collapsed="false">
      <c r="A1090" s="11"/>
      <c r="B1090" s="9"/>
      <c r="C1090" s="15" t="str">
        <f aca="false">IF($B1090="","",IFERROR(INDEX(직원목록!$B$3:$B$302,MATCH($B1090,직원목록!$A$3:$A$302,0)),"미등록사번"))</f>
        <v/>
      </c>
      <c r="D1090" s="9"/>
      <c r="E1090" s="15" t="str">
        <f aca="false">IF($D1090="","",IFERROR(INDEX(교육과정!$B$3:$B$102,MATCH($D1090,교육과정!$A$3:$A$102,0)),"미등록과정"))</f>
        <v/>
      </c>
      <c r="F1090" s="13"/>
      <c r="G1090" s="9"/>
      <c r="H1090" s="9"/>
    </row>
    <row r="1091" customFormat="false" ht="15" hidden="false" customHeight="true" outlineLevel="0" collapsed="false">
      <c r="A1091" s="11"/>
      <c r="B1091" s="9"/>
      <c r="C1091" s="15" t="str">
        <f aca="false">IF($B1091="","",IFERROR(INDEX(직원목록!$B$3:$B$302,MATCH($B1091,직원목록!$A$3:$A$302,0)),"미등록사번"))</f>
        <v/>
      </c>
      <c r="D1091" s="9"/>
      <c r="E1091" s="15" t="str">
        <f aca="false">IF($D1091="","",IFERROR(INDEX(교육과정!$B$3:$B$102,MATCH($D1091,교육과정!$A$3:$A$102,0)),"미등록과정"))</f>
        <v/>
      </c>
      <c r="F1091" s="13"/>
      <c r="G1091" s="9"/>
      <c r="H1091" s="9"/>
    </row>
    <row r="1092" customFormat="false" ht="15" hidden="false" customHeight="true" outlineLevel="0" collapsed="false">
      <c r="A1092" s="11"/>
      <c r="B1092" s="9"/>
      <c r="C1092" s="15" t="str">
        <f aca="false">IF($B1092="","",IFERROR(INDEX(직원목록!$B$3:$B$302,MATCH($B1092,직원목록!$A$3:$A$302,0)),"미등록사번"))</f>
        <v/>
      </c>
      <c r="D1092" s="9"/>
      <c r="E1092" s="15" t="str">
        <f aca="false">IF($D1092="","",IFERROR(INDEX(교육과정!$B$3:$B$102,MATCH($D1092,교육과정!$A$3:$A$102,0)),"미등록과정"))</f>
        <v/>
      </c>
      <c r="F1092" s="13"/>
      <c r="G1092" s="9"/>
      <c r="H1092" s="9"/>
    </row>
    <row r="1093" customFormat="false" ht="15" hidden="false" customHeight="true" outlineLevel="0" collapsed="false">
      <c r="A1093" s="11"/>
      <c r="B1093" s="9"/>
      <c r="C1093" s="15" t="str">
        <f aca="false">IF($B1093="","",IFERROR(INDEX(직원목록!$B$3:$B$302,MATCH($B1093,직원목록!$A$3:$A$302,0)),"미등록사번"))</f>
        <v/>
      </c>
      <c r="D1093" s="9"/>
      <c r="E1093" s="15" t="str">
        <f aca="false">IF($D1093="","",IFERROR(INDEX(교육과정!$B$3:$B$102,MATCH($D1093,교육과정!$A$3:$A$102,0)),"미등록과정"))</f>
        <v/>
      </c>
      <c r="F1093" s="13"/>
      <c r="G1093" s="9"/>
      <c r="H1093" s="9"/>
    </row>
    <row r="1094" customFormat="false" ht="15" hidden="false" customHeight="true" outlineLevel="0" collapsed="false">
      <c r="A1094" s="11"/>
      <c r="B1094" s="9"/>
      <c r="C1094" s="15" t="str">
        <f aca="false">IF($B1094="","",IFERROR(INDEX(직원목록!$B$3:$B$302,MATCH($B1094,직원목록!$A$3:$A$302,0)),"미등록사번"))</f>
        <v/>
      </c>
      <c r="D1094" s="9"/>
      <c r="E1094" s="15" t="str">
        <f aca="false">IF($D1094="","",IFERROR(INDEX(교육과정!$B$3:$B$102,MATCH($D1094,교육과정!$A$3:$A$102,0)),"미등록과정"))</f>
        <v/>
      </c>
      <c r="F1094" s="13"/>
      <c r="G1094" s="9"/>
      <c r="H1094" s="9"/>
    </row>
    <row r="1095" customFormat="false" ht="15" hidden="false" customHeight="true" outlineLevel="0" collapsed="false">
      <c r="A1095" s="11"/>
      <c r="B1095" s="9"/>
      <c r="C1095" s="15" t="str">
        <f aca="false">IF($B1095="","",IFERROR(INDEX(직원목록!$B$3:$B$302,MATCH($B1095,직원목록!$A$3:$A$302,0)),"미등록사번"))</f>
        <v/>
      </c>
      <c r="D1095" s="9"/>
      <c r="E1095" s="15" t="str">
        <f aca="false">IF($D1095="","",IFERROR(INDEX(교육과정!$B$3:$B$102,MATCH($D1095,교육과정!$A$3:$A$102,0)),"미등록과정"))</f>
        <v/>
      </c>
      <c r="F1095" s="13"/>
      <c r="G1095" s="9"/>
      <c r="H1095" s="9"/>
    </row>
    <row r="1096" customFormat="false" ht="15" hidden="false" customHeight="true" outlineLevel="0" collapsed="false">
      <c r="A1096" s="11"/>
      <c r="B1096" s="9"/>
      <c r="C1096" s="15" t="str">
        <f aca="false">IF($B1096="","",IFERROR(INDEX(직원목록!$B$3:$B$302,MATCH($B1096,직원목록!$A$3:$A$302,0)),"미등록사번"))</f>
        <v/>
      </c>
      <c r="D1096" s="9"/>
      <c r="E1096" s="15" t="str">
        <f aca="false">IF($D1096="","",IFERROR(INDEX(교육과정!$B$3:$B$102,MATCH($D1096,교육과정!$A$3:$A$102,0)),"미등록과정"))</f>
        <v/>
      </c>
      <c r="F1096" s="13"/>
      <c r="G1096" s="9"/>
      <c r="H1096" s="9"/>
    </row>
    <row r="1097" customFormat="false" ht="15" hidden="false" customHeight="true" outlineLevel="0" collapsed="false">
      <c r="A1097" s="11"/>
      <c r="B1097" s="9"/>
      <c r="C1097" s="15" t="str">
        <f aca="false">IF($B1097="","",IFERROR(INDEX(직원목록!$B$3:$B$302,MATCH($B1097,직원목록!$A$3:$A$302,0)),"미등록사번"))</f>
        <v/>
      </c>
      <c r="D1097" s="9"/>
      <c r="E1097" s="15" t="str">
        <f aca="false">IF($D1097="","",IFERROR(INDEX(교육과정!$B$3:$B$102,MATCH($D1097,교육과정!$A$3:$A$102,0)),"미등록과정"))</f>
        <v/>
      </c>
      <c r="F1097" s="13"/>
      <c r="G1097" s="9"/>
      <c r="H1097" s="9"/>
    </row>
    <row r="1098" customFormat="false" ht="15" hidden="false" customHeight="true" outlineLevel="0" collapsed="false">
      <c r="A1098" s="11"/>
      <c r="B1098" s="9"/>
      <c r="C1098" s="15" t="str">
        <f aca="false">IF($B1098="","",IFERROR(INDEX(직원목록!$B$3:$B$302,MATCH($B1098,직원목록!$A$3:$A$302,0)),"미등록사번"))</f>
        <v/>
      </c>
      <c r="D1098" s="9"/>
      <c r="E1098" s="15" t="str">
        <f aca="false">IF($D1098="","",IFERROR(INDEX(교육과정!$B$3:$B$102,MATCH($D1098,교육과정!$A$3:$A$102,0)),"미등록과정"))</f>
        <v/>
      </c>
      <c r="F1098" s="13"/>
      <c r="G1098" s="9"/>
      <c r="H1098" s="9"/>
    </row>
    <row r="1099" customFormat="false" ht="15" hidden="false" customHeight="true" outlineLevel="0" collapsed="false">
      <c r="A1099" s="11"/>
      <c r="B1099" s="9"/>
      <c r="C1099" s="15" t="str">
        <f aca="false">IF($B1099="","",IFERROR(INDEX(직원목록!$B$3:$B$302,MATCH($B1099,직원목록!$A$3:$A$302,0)),"미등록사번"))</f>
        <v/>
      </c>
      <c r="D1099" s="9"/>
      <c r="E1099" s="15" t="str">
        <f aca="false">IF($D1099="","",IFERROR(INDEX(교육과정!$B$3:$B$102,MATCH($D1099,교육과정!$A$3:$A$102,0)),"미등록과정"))</f>
        <v/>
      </c>
      <c r="F1099" s="13"/>
      <c r="G1099" s="9"/>
      <c r="H1099" s="9"/>
    </row>
    <row r="1100" customFormat="false" ht="15" hidden="false" customHeight="true" outlineLevel="0" collapsed="false">
      <c r="A1100" s="11"/>
      <c r="B1100" s="9"/>
      <c r="C1100" s="15" t="str">
        <f aca="false">IF($B1100="","",IFERROR(INDEX(직원목록!$B$3:$B$302,MATCH($B1100,직원목록!$A$3:$A$302,0)),"미등록사번"))</f>
        <v/>
      </c>
      <c r="D1100" s="9"/>
      <c r="E1100" s="15" t="str">
        <f aca="false">IF($D1100="","",IFERROR(INDEX(교육과정!$B$3:$B$102,MATCH($D1100,교육과정!$A$3:$A$102,0)),"미등록과정"))</f>
        <v/>
      </c>
      <c r="F1100" s="13"/>
      <c r="G1100" s="9"/>
      <c r="H1100" s="9"/>
    </row>
    <row r="1101" customFormat="false" ht="15" hidden="false" customHeight="true" outlineLevel="0" collapsed="false">
      <c r="A1101" s="11"/>
      <c r="B1101" s="9"/>
      <c r="C1101" s="15" t="str">
        <f aca="false">IF($B1101="","",IFERROR(INDEX(직원목록!$B$3:$B$302,MATCH($B1101,직원목록!$A$3:$A$302,0)),"미등록사번"))</f>
        <v/>
      </c>
      <c r="D1101" s="9"/>
      <c r="E1101" s="15" t="str">
        <f aca="false">IF($D1101="","",IFERROR(INDEX(교육과정!$B$3:$B$102,MATCH($D1101,교육과정!$A$3:$A$102,0)),"미등록과정"))</f>
        <v/>
      </c>
      <c r="F1101" s="13"/>
      <c r="G1101" s="9"/>
      <c r="H1101" s="9"/>
    </row>
    <row r="1102" customFormat="false" ht="15" hidden="false" customHeight="true" outlineLevel="0" collapsed="false">
      <c r="A1102" s="11"/>
      <c r="B1102" s="9"/>
      <c r="C1102" s="15" t="str">
        <f aca="false">IF($B1102="","",IFERROR(INDEX(직원목록!$B$3:$B$302,MATCH($B1102,직원목록!$A$3:$A$302,0)),"미등록사번"))</f>
        <v/>
      </c>
      <c r="D1102" s="9"/>
      <c r="E1102" s="15" t="str">
        <f aca="false">IF($D1102="","",IFERROR(INDEX(교육과정!$B$3:$B$102,MATCH($D1102,교육과정!$A$3:$A$102,0)),"미등록과정"))</f>
        <v/>
      </c>
      <c r="F1102" s="13"/>
      <c r="G1102" s="9"/>
      <c r="H1102" s="9"/>
    </row>
    <row r="1103" customFormat="false" ht="15" hidden="false" customHeight="true" outlineLevel="0" collapsed="false">
      <c r="A1103" s="11"/>
      <c r="B1103" s="9"/>
      <c r="C1103" s="15" t="str">
        <f aca="false">IF($B1103="","",IFERROR(INDEX(직원목록!$B$3:$B$302,MATCH($B1103,직원목록!$A$3:$A$302,0)),"미등록사번"))</f>
        <v/>
      </c>
      <c r="D1103" s="9"/>
      <c r="E1103" s="15" t="str">
        <f aca="false">IF($D1103="","",IFERROR(INDEX(교육과정!$B$3:$B$102,MATCH($D1103,교육과정!$A$3:$A$102,0)),"미등록과정"))</f>
        <v/>
      </c>
      <c r="F1103" s="13"/>
      <c r="G1103" s="9"/>
      <c r="H1103" s="9"/>
    </row>
    <row r="1104" customFormat="false" ht="15" hidden="false" customHeight="true" outlineLevel="0" collapsed="false">
      <c r="A1104" s="11"/>
      <c r="B1104" s="9"/>
      <c r="C1104" s="15" t="str">
        <f aca="false">IF($B1104="","",IFERROR(INDEX(직원목록!$B$3:$B$302,MATCH($B1104,직원목록!$A$3:$A$302,0)),"미등록사번"))</f>
        <v/>
      </c>
      <c r="D1104" s="9"/>
      <c r="E1104" s="15" t="str">
        <f aca="false">IF($D1104="","",IFERROR(INDEX(교육과정!$B$3:$B$102,MATCH($D1104,교육과정!$A$3:$A$102,0)),"미등록과정"))</f>
        <v/>
      </c>
      <c r="F1104" s="13"/>
      <c r="G1104" s="9"/>
      <c r="H1104" s="9"/>
    </row>
    <row r="1105" customFormat="false" ht="15" hidden="false" customHeight="true" outlineLevel="0" collapsed="false">
      <c r="A1105" s="11"/>
      <c r="B1105" s="9"/>
      <c r="C1105" s="15" t="str">
        <f aca="false">IF($B1105="","",IFERROR(INDEX(직원목록!$B$3:$B$302,MATCH($B1105,직원목록!$A$3:$A$302,0)),"미등록사번"))</f>
        <v/>
      </c>
      <c r="D1105" s="9"/>
      <c r="E1105" s="15" t="str">
        <f aca="false">IF($D1105="","",IFERROR(INDEX(교육과정!$B$3:$B$102,MATCH($D1105,교육과정!$A$3:$A$102,0)),"미등록과정"))</f>
        <v/>
      </c>
      <c r="F1105" s="13"/>
      <c r="G1105" s="9"/>
      <c r="H1105" s="9"/>
    </row>
    <row r="1106" customFormat="false" ht="15" hidden="false" customHeight="true" outlineLevel="0" collapsed="false">
      <c r="A1106" s="11"/>
      <c r="B1106" s="9"/>
      <c r="C1106" s="15" t="str">
        <f aca="false">IF($B1106="","",IFERROR(INDEX(직원목록!$B$3:$B$302,MATCH($B1106,직원목록!$A$3:$A$302,0)),"미등록사번"))</f>
        <v/>
      </c>
      <c r="D1106" s="9"/>
      <c r="E1106" s="15" t="str">
        <f aca="false">IF($D1106="","",IFERROR(INDEX(교육과정!$B$3:$B$102,MATCH($D1106,교육과정!$A$3:$A$102,0)),"미등록과정"))</f>
        <v/>
      </c>
      <c r="F1106" s="13"/>
      <c r="G1106" s="9"/>
      <c r="H1106" s="9"/>
    </row>
    <row r="1107" customFormat="false" ht="15" hidden="false" customHeight="true" outlineLevel="0" collapsed="false">
      <c r="A1107" s="11"/>
      <c r="B1107" s="9"/>
      <c r="C1107" s="15" t="str">
        <f aca="false">IF($B1107="","",IFERROR(INDEX(직원목록!$B$3:$B$302,MATCH($B1107,직원목록!$A$3:$A$302,0)),"미등록사번"))</f>
        <v/>
      </c>
      <c r="D1107" s="9"/>
      <c r="E1107" s="15" t="str">
        <f aca="false">IF($D1107="","",IFERROR(INDEX(교육과정!$B$3:$B$102,MATCH($D1107,교육과정!$A$3:$A$102,0)),"미등록과정"))</f>
        <v/>
      </c>
      <c r="F1107" s="13"/>
      <c r="G1107" s="9"/>
      <c r="H1107" s="9"/>
    </row>
    <row r="1108" customFormat="false" ht="15" hidden="false" customHeight="true" outlineLevel="0" collapsed="false">
      <c r="A1108" s="11"/>
      <c r="B1108" s="9"/>
      <c r="C1108" s="15" t="str">
        <f aca="false">IF($B1108="","",IFERROR(INDEX(직원목록!$B$3:$B$302,MATCH($B1108,직원목록!$A$3:$A$302,0)),"미등록사번"))</f>
        <v/>
      </c>
      <c r="D1108" s="9"/>
      <c r="E1108" s="15" t="str">
        <f aca="false">IF($D1108="","",IFERROR(INDEX(교육과정!$B$3:$B$102,MATCH($D1108,교육과정!$A$3:$A$102,0)),"미등록과정"))</f>
        <v/>
      </c>
      <c r="F1108" s="13"/>
      <c r="G1108" s="9"/>
      <c r="H1108" s="9"/>
    </row>
    <row r="1109" customFormat="false" ht="15" hidden="false" customHeight="true" outlineLevel="0" collapsed="false">
      <c r="A1109" s="11"/>
      <c r="B1109" s="9"/>
      <c r="C1109" s="15" t="str">
        <f aca="false">IF($B1109="","",IFERROR(INDEX(직원목록!$B$3:$B$302,MATCH($B1109,직원목록!$A$3:$A$302,0)),"미등록사번"))</f>
        <v/>
      </c>
      <c r="D1109" s="9"/>
      <c r="E1109" s="15" t="str">
        <f aca="false">IF($D1109="","",IFERROR(INDEX(교육과정!$B$3:$B$102,MATCH($D1109,교육과정!$A$3:$A$102,0)),"미등록과정"))</f>
        <v/>
      </c>
      <c r="F1109" s="13"/>
      <c r="G1109" s="9"/>
      <c r="H1109" s="9"/>
    </row>
    <row r="1110" customFormat="false" ht="15" hidden="false" customHeight="true" outlineLevel="0" collapsed="false">
      <c r="A1110" s="11"/>
      <c r="B1110" s="9"/>
      <c r="C1110" s="15" t="str">
        <f aca="false">IF($B1110="","",IFERROR(INDEX(직원목록!$B$3:$B$302,MATCH($B1110,직원목록!$A$3:$A$302,0)),"미등록사번"))</f>
        <v/>
      </c>
      <c r="D1110" s="9"/>
      <c r="E1110" s="15" t="str">
        <f aca="false">IF($D1110="","",IFERROR(INDEX(교육과정!$B$3:$B$102,MATCH($D1110,교육과정!$A$3:$A$102,0)),"미등록과정"))</f>
        <v/>
      </c>
      <c r="F1110" s="13"/>
      <c r="G1110" s="9"/>
      <c r="H1110" s="9"/>
    </row>
    <row r="1111" customFormat="false" ht="15" hidden="false" customHeight="true" outlineLevel="0" collapsed="false">
      <c r="A1111" s="11"/>
      <c r="B1111" s="9"/>
      <c r="C1111" s="15" t="str">
        <f aca="false">IF($B1111="","",IFERROR(INDEX(직원목록!$B$3:$B$302,MATCH($B1111,직원목록!$A$3:$A$302,0)),"미등록사번"))</f>
        <v/>
      </c>
      <c r="D1111" s="9"/>
      <c r="E1111" s="15" t="str">
        <f aca="false">IF($D1111="","",IFERROR(INDEX(교육과정!$B$3:$B$102,MATCH($D1111,교육과정!$A$3:$A$102,0)),"미등록과정"))</f>
        <v/>
      </c>
      <c r="F1111" s="13"/>
      <c r="G1111" s="9"/>
      <c r="H1111" s="9"/>
    </row>
    <row r="1112" customFormat="false" ht="15" hidden="false" customHeight="true" outlineLevel="0" collapsed="false">
      <c r="A1112" s="11"/>
      <c r="B1112" s="9"/>
      <c r="C1112" s="15" t="str">
        <f aca="false">IF($B1112="","",IFERROR(INDEX(직원목록!$B$3:$B$302,MATCH($B1112,직원목록!$A$3:$A$302,0)),"미등록사번"))</f>
        <v/>
      </c>
      <c r="D1112" s="9"/>
      <c r="E1112" s="15" t="str">
        <f aca="false">IF($D1112="","",IFERROR(INDEX(교육과정!$B$3:$B$102,MATCH($D1112,교육과정!$A$3:$A$102,0)),"미등록과정"))</f>
        <v/>
      </c>
      <c r="F1112" s="13"/>
      <c r="G1112" s="9"/>
      <c r="H1112" s="9"/>
    </row>
    <row r="1113" customFormat="false" ht="15" hidden="false" customHeight="true" outlineLevel="0" collapsed="false">
      <c r="A1113" s="11"/>
      <c r="B1113" s="9"/>
      <c r="C1113" s="15" t="str">
        <f aca="false">IF($B1113="","",IFERROR(INDEX(직원목록!$B$3:$B$302,MATCH($B1113,직원목록!$A$3:$A$302,0)),"미등록사번"))</f>
        <v/>
      </c>
      <c r="D1113" s="9"/>
      <c r="E1113" s="15" t="str">
        <f aca="false">IF($D1113="","",IFERROR(INDEX(교육과정!$B$3:$B$102,MATCH($D1113,교육과정!$A$3:$A$102,0)),"미등록과정"))</f>
        <v/>
      </c>
      <c r="F1113" s="13"/>
      <c r="G1113" s="9"/>
      <c r="H1113" s="9"/>
    </row>
    <row r="1114" customFormat="false" ht="15" hidden="false" customHeight="true" outlineLevel="0" collapsed="false">
      <c r="A1114" s="11"/>
      <c r="B1114" s="9"/>
      <c r="C1114" s="15" t="str">
        <f aca="false">IF($B1114="","",IFERROR(INDEX(직원목록!$B$3:$B$302,MATCH($B1114,직원목록!$A$3:$A$302,0)),"미등록사번"))</f>
        <v/>
      </c>
      <c r="D1114" s="9"/>
      <c r="E1114" s="15" t="str">
        <f aca="false">IF($D1114="","",IFERROR(INDEX(교육과정!$B$3:$B$102,MATCH($D1114,교육과정!$A$3:$A$102,0)),"미등록과정"))</f>
        <v/>
      </c>
      <c r="F1114" s="13"/>
      <c r="G1114" s="9"/>
      <c r="H1114" s="9"/>
    </row>
    <row r="1115" customFormat="false" ht="15" hidden="false" customHeight="true" outlineLevel="0" collapsed="false">
      <c r="A1115" s="11"/>
      <c r="B1115" s="9"/>
      <c r="C1115" s="15" t="str">
        <f aca="false">IF($B1115="","",IFERROR(INDEX(직원목록!$B$3:$B$302,MATCH($B1115,직원목록!$A$3:$A$302,0)),"미등록사번"))</f>
        <v/>
      </c>
      <c r="D1115" s="9"/>
      <c r="E1115" s="15" t="str">
        <f aca="false">IF($D1115="","",IFERROR(INDEX(교육과정!$B$3:$B$102,MATCH($D1115,교육과정!$A$3:$A$102,0)),"미등록과정"))</f>
        <v/>
      </c>
      <c r="F1115" s="13"/>
      <c r="G1115" s="9"/>
      <c r="H1115" s="9"/>
    </row>
    <row r="1116" customFormat="false" ht="15" hidden="false" customHeight="true" outlineLevel="0" collapsed="false">
      <c r="A1116" s="11"/>
      <c r="B1116" s="9"/>
      <c r="C1116" s="15" t="str">
        <f aca="false">IF($B1116="","",IFERROR(INDEX(직원목록!$B$3:$B$302,MATCH($B1116,직원목록!$A$3:$A$302,0)),"미등록사번"))</f>
        <v/>
      </c>
      <c r="D1116" s="9"/>
      <c r="E1116" s="15" t="str">
        <f aca="false">IF($D1116="","",IFERROR(INDEX(교육과정!$B$3:$B$102,MATCH($D1116,교육과정!$A$3:$A$102,0)),"미등록과정"))</f>
        <v/>
      </c>
      <c r="F1116" s="13"/>
      <c r="G1116" s="9"/>
      <c r="H1116" s="9"/>
    </row>
    <row r="1117" customFormat="false" ht="15" hidden="false" customHeight="true" outlineLevel="0" collapsed="false">
      <c r="A1117" s="11"/>
      <c r="B1117" s="9"/>
      <c r="C1117" s="15" t="str">
        <f aca="false">IF($B1117="","",IFERROR(INDEX(직원목록!$B$3:$B$302,MATCH($B1117,직원목록!$A$3:$A$302,0)),"미등록사번"))</f>
        <v/>
      </c>
      <c r="D1117" s="9"/>
      <c r="E1117" s="15" t="str">
        <f aca="false">IF($D1117="","",IFERROR(INDEX(교육과정!$B$3:$B$102,MATCH($D1117,교육과정!$A$3:$A$102,0)),"미등록과정"))</f>
        <v/>
      </c>
      <c r="F1117" s="13"/>
      <c r="G1117" s="9"/>
      <c r="H1117" s="9"/>
    </row>
    <row r="1118" customFormat="false" ht="15" hidden="false" customHeight="true" outlineLevel="0" collapsed="false">
      <c r="A1118" s="11"/>
      <c r="B1118" s="9"/>
      <c r="C1118" s="15" t="str">
        <f aca="false">IF($B1118="","",IFERROR(INDEX(직원목록!$B$3:$B$302,MATCH($B1118,직원목록!$A$3:$A$302,0)),"미등록사번"))</f>
        <v/>
      </c>
      <c r="D1118" s="9"/>
      <c r="E1118" s="15" t="str">
        <f aca="false">IF($D1118="","",IFERROR(INDEX(교육과정!$B$3:$B$102,MATCH($D1118,교육과정!$A$3:$A$102,0)),"미등록과정"))</f>
        <v/>
      </c>
      <c r="F1118" s="13"/>
      <c r="G1118" s="9"/>
      <c r="H1118" s="9"/>
    </row>
    <row r="1119" customFormat="false" ht="15" hidden="false" customHeight="true" outlineLevel="0" collapsed="false">
      <c r="A1119" s="11"/>
      <c r="B1119" s="9"/>
      <c r="C1119" s="15" t="str">
        <f aca="false">IF($B1119="","",IFERROR(INDEX(직원목록!$B$3:$B$302,MATCH($B1119,직원목록!$A$3:$A$302,0)),"미등록사번"))</f>
        <v/>
      </c>
      <c r="D1119" s="9"/>
      <c r="E1119" s="15" t="str">
        <f aca="false">IF($D1119="","",IFERROR(INDEX(교육과정!$B$3:$B$102,MATCH($D1119,교육과정!$A$3:$A$102,0)),"미등록과정"))</f>
        <v/>
      </c>
      <c r="F1119" s="13"/>
      <c r="G1119" s="9"/>
      <c r="H1119" s="9"/>
    </row>
    <row r="1120" customFormat="false" ht="15" hidden="false" customHeight="true" outlineLevel="0" collapsed="false">
      <c r="A1120" s="11"/>
      <c r="B1120" s="9"/>
      <c r="C1120" s="15" t="str">
        <f aca="false">IF($B1120="","",IFERROR(INDEX(직원목록!$B$3:$B$302,MATCH($B1120,직원목록!$A$3:$A$302,0)),"미등록사번"))</f>
        <v/>
      </c>
      <c r="D1120" s="9"/>
      <c r="E1120" s="15" t="str">
        <f aca="false">IF($D1120="","",IFERROR(INDEX(교육과정!$B$3:$B$102,MATCH($D1120,교육과정!$A$3:$A$102,0)),"미등록과정"))</f>
        <v/>
      </c>
      <c r="F1120" s="13"/>
      <c r="G1120" s="9"/>
      <c r="H1120" s="9"/>
    </row>
    <row r="1121" customFormat="false" ht="15" hidden="false" customHeight="true" outlineLevel="0" collapsed="false">
      <c r="A1121" s="11"/>
      <c r="B1121" s="9"/>
      <c r="C1121" s="15" t="str">
        <f aca="false">IF($B1121="","",IFERROR(INDEX(직원목록!$B$3:$B$302,MATCH($B1121,직원목록!$A$3:$A$302,0)),"미등록사번"))</f>
        <v/>
      </c>
      <c r="D1121" s="9"/>
      <c r="E1121" s="15" t="str">
        <f aca="false">IF($D1121="","",IFERROR(INDEX(교육과정!$B$3:$B$102,MATCH($D1121,교육과정!$A$3:$A$102,0)),"미등록과정"))</f>
        <v/>
      </c>
      <c r="F1121" s="13"/>
      <c r="G1121" s="9"/>
      <c r="H1121" s="9"/>
    </row>
    <row r="1122" customFormat="false" ht="15" hidden="false" customHeight="true" outlineLevel="0" collapsed="false">
      <c r="A1122" s="11"/>
      <c r="B1122" s="9"/>
      <c r="C1122" s="15" t="str">
        <f aca="false">IF($B1122="","",IFERROR(INDEX(직원목록!$B$3:$B$302,MATCH($B1122,직원목록!$A$3:$A$302,0)),"미등록사번"))</f>
        <v/>
      </c>
      <c r="D1122" s="9"/>
      <c r="E1122" s="15" t="str">
        <f aca="false">IF($D1122="","",IFERROR(INDEX(교육과정!$B$3:$B$102,MATCH($D1122,교육과정!$A$3:$A$102,0)),"미등록과정"))</f>
        <v/>
      </c>
      <c r="F1122" s="13"/>
      <c r="G1122" s="9"/>
      <c r="H1122" s="9"/>
    </row>
    <row r="1123" customFormat="false" ht="15" hidden="false" customHeight="true" outlineLevel="0" collapsed="false">
      <c r="A1123" s="11"/>
      <c r="B1123" s="9"/>
      <c r="C1123" s="15" t="str">
        <f aca="false">IF($B1123="","",IFERROR(INDEX(직원목록!$B$3:$B$302,MATCH($B1123,직원목록!$A$3:$A$302,0)),"미등록사번"))</f>
        <v/>
      </c>
      <c r="D1123" s="9"/>
      <c r="E1123" s="15" t="str">
        <f aca="false">IF($D1123="","",IFERROR(INDEX(교육과정!$B$3:$B$102,MATCH($D1123,교육과정!$A$3:$A$102,0)),"미등록과정"))</f>
        <v/>
      </c>
      <c r="F1123" s="13"/>
      <c r="G1123" s="9"/>
      <c r="H1123" s="9"/>
    </row>
    <row r="1124" customFormat="false" ht="15" hidden="false" customHeight="true" outlineLevel="0" collapsed="false">
      <c r="A1124" s="11"/>
      <c r="B1124" s="9"/>
      <c r="C1124" s="15" t="str">
        <f aca="false">IF($B1124="","",IFERROR(INDEX(직원목록!$B$3:$B$302,MATCH($B1124,직원목록!$A$3:$A$302,0)),"미등록사번"))</f>
        <v/>
      </c>
      <c r="D1124" s="9"/>
      <c r="E1124" s="15" t="str">
        <f aca="false">IF($D1124="","",IFERROR(INDEX(교육과정!$B$3:$B$102,MATCH($D1124,교육과정!$A$3:$A$102,0)),"미등록과정"))</f>
        <v/>
      </c>
      <c r="F1124" s="13"/>
      <c r="G1124" s="9"/>
      <c r="H1124" s="9"/>
    </row>
    <row r="1125" customFormat="false" ht="15" hidden="false" customHeight="true" outlineLevel="0" collapsed="false">
      <c r="A1125" s="11"/>
      <c r="B1125" s="9"/>
      <c r="C1125" s="15" t="str">
        <f aca="false">IF($B1125="","",IFERROR(INDEX(직원목록!$B$3:$B$302,MATCH($B1125,직원목록!$A$3:$A$302,0)),"미등록사번"))</f>
        <v/>
      </c>
      <c r="D1125" s="9"/>
      <c r="E1125" s="15" t="str">
        <f aca="false">IF($D1125="","",IFERROR(INDEX(교육과정!$B$3:$B$102,MATCH($D1125,교육과정!$A$3:$A$102,0)),"미등록과정"))</f>
        <v/>
      </c>
      <c r="F1125" s="13"/>
      <c r="G1125" s="9"/>
      <c r="H1125" s="9"/>
    </row>
    <row r="1126" customFormat="false" ht="15" hidden="false" customHeight="true" outlineLevel="0" collapsed="false">
      <c r="A1126" s="11"/>
      <c r="B1126" s="9"/>
      <c r="C1126" s="15" t="str">
        <f aca="false">IF($B1126="","",IFERROR(INDEX(직원목록!$B$3:$B$302,MATCH($B1126,직원목록!$A$3:$A$302,0)),"미등록사번"))</f>
        <v/>
      </c>
      <c r="D1126" s="9"/>
      <c r="E1126" s="15" t="str">
        <f aca="false">IF($D1126="","",IFERROR(INDEX(교육과정!$B$3:$B$102,MATCH($D1126,교육과정!$A$3:$A$102,0)),"미등록과정"))</f>
        <v/>
      </c>
      <c r="F1126" s="13"/>
      <c r="G1126" s="9"/>
      <c r="H1126" s="9"/>
    </row>
    <row r="1127" customFormat="false" ht="15" hidden="false" customHeight="true" outlineLevel="0" collapsed="false">
      <c r="A1127" s="11"/>
      <c r="B1127" s="9"/>
      <c r="C1127" s="15" t="str">
        <f aca="false">IF($B1127="","",IFERROR(INDEX(직원목록!$B$3:$B$302,MATCH($B1127,직원목록!$A$3:$A$302,0)),"미등록사번"))</f>
        <v/>
      </c>
      <c r="D1127" s="9"/>
      <c r="E1127" s="15" t="str">
        <f aca="false">IF($D1127="","",IFERROR(INDEX(교육과정!$B$3:$B$102,MATCH($D1127,교육과정!$A$3:$A$102,0)),"미등록과정"))</f>
        <v/>
      </c>
      <c r="F1127" s="13"/>
      <c r="G1127" s="9"/>
      <c r="H1127" s="9"/>
    </row>
    <row r="1128" customFormat="false" ht="15" hidden="false" customHeight="true" outlineLevel="0" collapsed="false">
      <c r="A1128" s="11"/>
      <c r="B1128" s="9"/>
      <c r="C1128" s="15" t="str">
        <f aca="false">IF($B1128="","",IFERROR(INDEX(직원목록!$B$3:$B$302,MATCH($B1128,직원목록!$A$3:$A$302,0)),"미등록사번"))</f>
        <v/>
      </c>
      <c r="D1128" s="9"/>
      <c r="E1128" s="15" t="str">
        <f aca="false">IF($D1128="","",IFERROR(INDEX(교육과정!$B$3:$B$102,MATCH($D1128,교육과정!$A$3:$A$102,0)),"미등록과정"))</f>
        <v/>
      </c>
      <c r="F1128" s="13"/>
      <c r="G1128" s="9"/>
      <c r="H1128" s="9"/>
    </row>
    <row r="1129" customFormat="false" ht="15" hidden="false" customHeight="true" outlineLevel="0" collapsed="false">
      <c r="A1129" s="11"/>
      <c r="B1129" s="9"/>
      <c r="C1129" s="15" t="str">
        <f aca="false">IF($B1129="","",IFERROR(INDEX(직원목록!$B$3:$B$302,MATCH($B1129,직원목록!$A$3:$A$302,0)),"미등록사번"))</f>
        <v/>
      </c>
      <c r="D1129" s="9"/>
      <c r="E1129" s="15" t="str">
        <f aca="false">IF($D1129="","",IFERROR(INDEX(교육과정!$B$3:$B$102,MATCH($D1129,교육과정!$A$3:$A$102,0)),"미등록과정"))</f>
        <v/>
      </c>
      <c r="F1129" s="13"/>
      <c r="G1129" s="9"/>
      <c r="H1129" s="9"/>
    </row>
    <row r="1130" customFormat="false" ht="15" hidden="false" customHeight="true" outlineLevel="0" collapsed="false">
      <c r="A1130" s="11"/>
      <c r="B1130" s="9"/>
      <c r="C1130" s="15" t="str">
        <f aca="false">IF($B1130="","",IFERROR(INDEX(직원목록!$B$3:$B$302,MATCH($B1130,직원목록!$A$3:$A$302,0)),"미등록사번"))</f>
        <v/>
      </c>
      <c r="D1130" s="9"/>
      <c r="E1130" s="15" t="str">
        <f aca="false">IF($D1130="","",IFERROR(INDEX(교육과정!$B$3:$B$102,MATCH($D1130,교육과정!$A$3:$A$102,0)),"미등록과정"))</f>
        <v/>
      </c>
      <c r="F1130" s="13"/>
      <c r="G1130" s="9"/>
      <c r="H1130" s="9"/>
    </row>
    <row r="1131" customFormat="false" ht="15" hidden="false" customHeight="true" outlineLevel="0" collapsed="false">
      <c r="A1131" s="11"/>
      <c r="B1131" s="9"/>
      <c r="C1131" s="15" t="str">
        <f aca="false">IF($B1131="","",IFERROR(INDEX(직원목록!$B$3:$B$302,MATCH($B1131,직원목록!$A$3:$A$302,0)),"미등록사번"))</f>
        <v/>
      </c>
      <c r="D1131" s="9"/>
      <c r="E1131" s="15" t="str">
        <f aca="false">IF($D1131="","",IFERROR(INDEX(교육과정!$B$3:$B$102,MATCH($D1131,교육과정!$A$3:$A$102,0)),"미등록과정"))</f>
        <v/>
      </c>
      <c r="F1131" s="13"/>
      <c r="G1131" s="9"/>
      <c r="H1131" s="9"/>
    </row>
    <row r="1132" customFormat="false" ht="15" hidden="false" customHeight="true" outlineLevel="0" collapsed="false">
      <c r="A1132" s="11"/>
      <c r="B1132" s="9"/>
      <c r="C1132" s="15" t="str">
        <f aca="false">IF($B1132="","",IFERROR(INDEX(직원목록!$B$3:$B$302,MATCH($B1132,직원목록!$A$3:$A$302,0)),"미등록사번"))</f>
        <v/>
      </c>
      <c r="D1132" s="9"/>
      <c r="E1132" s="15" t="str">
        <f aca="false">IF($D1132="","",IFERROR(INDEX(교육과정!$B$3:$B$102,MATCH($D1132,교육과정!$A$3:$A$102,0)),"미등록과정"))</f>
        <v/>
      </c>
      <c r="F1132" s="13"/>
      <c r="G1132" s="9"/>
      <c r="H1132" s="9"/>
    </row>
    <row r="1133" customFormat="false" ht="15" hidden="false" customHeight="true" outlineLevel="0" collapsed="false">
      <c r="A1133" s="11"/>
      <c r="B1133" s="9"/>
      <c r="C1133" s="15" t="str">
        <f aca="false">IF($B1133="","",IFERROR(INDEX(직원목록!$B$3:$B$302,MATCH($B1133,직원목록!$A$3:$A$302,0)),"미등록사번"))</f>
        <v/>
      </c>
      <c r="D1133" s="9"/>
      <c r="E1133" s="15" t="str">
        <f aca="false">IF($D1133="","",IFERROR(INDEX(교육과정!$B$3:$B$102,MATCH($D1133,교육과정!$A$3:$A$102,0)),"미등록과정"))</f>
        <v/>
      </c>
      <c r="F1133" s="13"/>
      <c r="G1133" s="9"/>
      <c r="H1133" s="9"/>
    </row>
    <row r="1134" customFormat="false" ht="15" hidden="false" customHeight="true" outlineLevel="0" collapsed="false">
      <c r="A1134" s="11"/>
      <c r="B1134" s="9"/>
      <c r="C1134" s="15" t="str">
        <f aca="false">IF($B1134="","",IFERROR(INDEX(직원목록!$B$3:$B$302,MATCH($B1134,직원목록!$A$3:$A$302,0)),"미등록사번"))</f>
        <v/>
      </c>
      <c r="D1134" s="9"/>
      <c r="E1134" s="15" t="str">
        <f aca="false">IF($D1134="","",IFERROR(INDEX(교육과정!$B$3:$B$102,MATCH($D1134,교육과정!$A$3:$A$102,0)),"미등록과정"))</f>
        <v/>
      </c>
      <c r="F1134" s="13"/>
      <c r="G1134" s="9"/>
      <c r="H1134" s="9"/>
    </row>
    <row r="1135" customFormat="false" ht="15" hidden="false" customHeight="true" outlineLevel="0" collapsed="false">
      <c r="A1135" s="11"/>
      <c r="B1135" s="9"/>
      <c r="C1135" s="15" t="str">
        <f aca="false">IF($B1135="","",IFERROR(INDEX(직원목록!$B$3:$B$302,MATCH($B1135,직원목록!$A$3:$A$302,0)),"미등록사번"))</f>
        <v/>
      </c>
      <c r="D1135" s="9"/>
      <c r="E1135" s="15" t="str">
        <f aca="false">IF($D1135="","",IFERROR(INDEX(교육과정!$B$3:$B$102,MATCH($D1135,교육과정!$A$3:$A$102,0)),"미등록과정"))</f>
        <v/>
      </c>
      <c r="F1135" s="13"/>
      <c r="G1135" s="9"/>
      <c r="H1135" s="9"/>
    </row>
    <row r="1136" customFormat="false" ht="15" hidden="false" customHeight="true" outlineLevel="0" collapsed="false">
      <c r="A1136" s="11"/>
      <c r="B1136" s="9"/>
      <c r="C1136" s="15" t="str">
        <f aca="false">IF($B1136="","",IFERROR(INDEX(직원목록!$B$3:$B$302,MATCH($B1136,직원목록!$A$3:$A$302,0)),"미등록사번"))</f>
        <v/>
      </c>
      <c r="D1136" s="9"/>
      <c r="E1136" s="15" t="str">
        <f aca="false">IF($D1136="","",IFERROR(INDEX(교육과정!$B$3:$B$102,MATCH($D1136,교육과정!$A$3:$A$102,0)),"미등록과정"))</f>
        <v/>
      </c>
      <c r="F1136" s="13"/>
      <c r="G1136" s="9"/>
      <c r="H1136" s="9"/>
    </row>
    <row r="1137" customFormat="false" ht="15" hidden="false" customHeight="true" outlineLevel="0" collapsed="false">
      <c r="A1137" s="11"/>
      <c r="B1137" s="9"/>
      <c r="C1137" s="15" t="str">
        <f aca="false">IF($B1137="","",IFERROR(INDEX(직원목록!$B$3:$B$302,MATCH($B1137,직원목록!$A$3:$A$302,0)),"미등록사번"))</f>
        <v/>
      </c>
      <c r="D1137" s="9"/>
      <c r="E1137" s="15" t="str">
        <f aca="false">IF($D1137="","",IFERROR(INDEX(교육과정!$B$3:$B$102,MATCH($D1137,교육과정!$A$3:$A$102,0)),"미등록과정"))</f>
        <v/>
      </c>
      <c r="F1137" s="13"/>
      <c r="G1137" s="9"/>
      <c r="H1137" s="9"/>
    </row>
    <row r="1138" customFormat="false" ht="15" hidden="false" customHeight="true" outlineLevel="0" collapsed="false">
      <c r="A1138" s="11"/>
      <c r="B1138" s="9"/>
      <c r="C1138" s="15" t="str">
        <f aca="false">IF($B1138="","",IFERROR(INDEX(직원목록!$B$3:$B$302,MATCH($B1138,직원목록!$A$3:$A$302,0)),"미등록사번"))</f>
        <v/>
      </c>
      <c r="D1138" s="9"/>
      <c r="E1138" s="15" t="str">
        <f aca="false">IF($D1138="","",IFERROR(INDEX(교육과정!$B$3:$B$102,MATCH($D1138,교육과정!$A$3:$A$102,0)),"미등록과정"))</f>
        <v/>
      </c>
      <c r="F1138" s="13"/>
      <c r="G1138" s="9"/>
      <c r="H1138" s="9"/>
    </row>
    <row r="1139" customFormat="false" ht="15" hidden="false" customHeight="true" outlineLevel="0" collapsed="false">
      <c r="A1139" s="11"/>
      <c r="B1139" s="9"/>
      <c r="C1139" s="15" t="str">
        <f aca="false">IF($B1139="","",IFERROR(INDEX(직원목록!$B$3:$B$302,MATCH($B1139,직원목록!$A$3:$A$302,0)),"미등록사번"))</f>
        <v/>
      </c>
      <c r="D1139" s="9"/>
      <c r="E1139" s="15" t="str">
        <f aca="false">IF($D1139="","",IFERROR(INDEX(교육과정!$B$3:$B$102,MATCH($D1139,교육과정!$A$3:$A$102,0)),"미등록과정"))</f>
        <v/>
      </c>
      <c r="F1139" s="13"/>
      <c r="G1139" s="9"/>
      <c r="H1139" s="9"/>
    </row>
    <row r="1140" customFormat="false" ht="15" hidden="false" customHeight="true" outlineLevel="0" collapsed="false">
      <c r="A1140" s="11"/>
      <c r="B1140" s="9"/>
      <c r="C1140" s="15" t="str">
        <f aca="false">IF($B1140="","",IFERROR(INDEX(직원목록!$B$3:$B$302,MATCH($B1140,직원목록!$A$3:$A$302,0)),"미등록사번"))</f>
        <v/>
      </c>
      <c r="D1140" s="9"/>
      <c r="E1140" s="15" t="str">
        <f aca="false">IF($D1140="","",IFERROR(INDEX(교육과정!$B$3:$B$102,MATCH($D1140,교육과정!$A$3:$A$102,0)),"미등록과정"))</f>
        <v/>
      </c>
      <c r="F1140" s="13"/>
      <c r="G1140" s="9"/>
      <c r="H1140" s="9"/>
    </row>
    <row r="1141" customFormat="false" ht="15" hidden="false" customHeight="true" outlineLevel="0" collapsed="false">
      <c r="A1141" s="11"/>
      <c r="B1141" s="9"/>
      <c r="C1141" s="15" t="str">
        <f aca="false">IF($B1141="","",IFERROR(INDEX(직원목록!$B$3:$B$302,MATCH($B1141,직원목록!$A$3:$A$302,0)),"미등록사번"))</f>
        <v/>
      </c>
      <c r="D1141" s="9"/>
      <c r="E1141" s="15" t="str">
        <f aca="false">IF($D1141="","",IFERROR(INDEX(교육과정!$B$3:$B$102,MATCH($D1141,교육과정!$A$3:$A$102,0)),"미등록과정"))</f>
        <v/>
      </c>
      <c r="F1141" s="13"/>
      <c r="G1141" s="9"/>
      <c r="H1141" s="9"/>
    </row>
    <row r="1142" customFormat="false" ht="15" hidden="false" customHeight="true" outlineLevel="0" collapsed="false">
      <c r="A1142" s="11"/>
      <c r="B1142" s="9"/>
      <c r="C1142" s="15" t="str">
        <f aca="false">IF($B1142="","",IFERROR(INDEX(직원목록!$B$3:$B$302,MATCH($B1142,직원목록!$A$3:$A$302,0)),"미등록사번"))</f>
        <v/>
      </c>
      <c r="D1142" s="9"/>
      <c r="E1142" s="15" t="str">
        <f aca="false">IF($D1142="","",IFERROR(INDEX(교육과정!$B$3:$B$102,MATCH($D1142,교육과정!$A$3:$A$102,0)),"미등록과정"))</f>
        <v/>
      </c>
      <c r="F1142" s="13"/>
      <c r="G1142" s="9"/>
      <c r="H1142" s="9"/>
    </row>
    <row r="1143" customFormat="false" ht="15" hidden="false" customHeight="true" outlineLevel="0" collapsed="false">
      <c r="A1143" s="11"/>
      <c r="B1143" s="9"/>
      <c r="C1143" s="15" t="str">
        <f aca="false">IF($B1143="","",IFERROR(INDEX(직원목록!$B$3:$B$302,MATCH($B1143,직원목록!$A$3:$A$302,0)),"미등록사번"))</f>
        <v/>
      </c>
      <c r="D1143" s="9"/>
      <c r="E1143" s="15" t="str">
        <f aca="false">IF($D1143="","",IFERROR(INDEX(교육과정!$B$3:$B$102,MATCH($D1143,교육과정!$A$3:$A$102,0)),"미등록과정"))</f>
        <v/>
      </c>
      <c r="F1143" s="13"/>
      <c r="G1143" s="9"/>
      <c r="H1143" s="9"/>
    </row>
    <row r="1144" customFormat="false" ht="15" hidden="false" customHeight="true" outlineLevel="0" collapsed="false">
      <c r="A1144" s="11"/>
      <c r="B1144" s="9"/>
      <c r="C1144" s="15" t="str">
        <f aca="false">IF($B1144="","",IFERROR(INDEX(직원목록!$B$3:$B$302,MATCH($B1144,직원목록!$A$3:$A$302,0)),"미등록사번"))</f>
        <v/>
      </c>
      <c r="D1144" s="9"/>
      <c r="E1144" s="15" t="str">
        <f aca="false">IF($D1144="","",IFERROR(INDEX(교육과정!$B$3:$B$102,MATCH($D1144,교육과정!$A$3:$A$102,0)),"미등록과정"))</f>
        <v/>
      </c>
      <c r="F1144" s="13"/>
      <c r="G1144" s="9"/>
      <c r="H1144" s="9"/>
    </row>
    <row r="1145" customFormat="false" ht="15" hidden="false" customHeight="true" outlineLevel="0" collapsed="false">
      <c r="A1145" s="11"/>
      <c r="B1145" s="9"/>
      <c r="C1145" s="15" t="str">
        <f aca="false">IF($B1145="","",IFERROR(INDEX(직원목록!$B$3:$B$302,MATCH($B1145,직원목록!$A$3:$A$302,0)),"미등록사번"))</f>
        <v/>
      </c>
      <c r="D1145" s="9"/>
      <c r="E1145" s="15" t="str">
        <f aca="false">IF($D1145="","",IFERROR(INDEX(교육과정!$B$3:$B$102,MATCH($D1145,교육과정!$A$3:$A$102,0)),"미등록과정"))</f>
        <v/>
      </c>
      <c r="F1145" s="13"/>
      <c r="G1145" s="9"/>
      <c r="H1145" s="9"/>
    </row>
    <row r="1146" customFormat="false" ht="15" hidden="false" customHeight="true" outlineLevel="0" collapsed="false">
      <c r="A1146" s="11"/>
      <c r="B1146" s="9"/>
      <c r="C1146" s="15" t="str">
        <f aca="false">IF($B1146="","",IFERROR(INDEX(직원목록!$B$3:$B$302,MATCH($B1146,직원목록!$A$3:$A$302,0)),"미등록사번"))</f>
        <v/>
      </c>
      <c r="D1146" s="9"/>
      <c r="E1146" s="15" t="str">
        <f aca="false">IF($D1146="","",IFERROR(INDEX(교육과정!$B$3:$B$102,MATCH($D1146,교육과정!$A$3:$A$102,0)),"미등록과정"))</f>
        <v/>
      </c>
      <c r="F1146" s="13"/>
      <c r="G1146" s="9"/>
      <c r="H1146" s="9"/>
    </row>
    <row r="1147" customFormat="false" ht="15" hidden="false" customHeight="true" outlineLevel="0" collapsed="false">
      <c r="A1147" s="11"/>
      <c r="B1147" s="9"/>
      <c r="C1147" s="15" t="str">
        <f aca="false">IF($B1147="","",IFERROR(INDEX(직원목록!$B$3:$B$302,MATCH($B1147,직원목록!$A$3:$A$302,0)),"미등록사번"))</f>
        <v/>
      </c>
      <c r="D1147" s="9"/>
      <c r="E1147" s="15" t="str">
        <f aca="false">IF($D1147="","",IFERROR(INDEX(교육과정!$B$3:$B$102,MATCH($D1147,교육과정!$A$3:$A$102,0)),"미등록과정"))</f>
        <v/>
      </c>
      <c r="F1147" s="13"/>
      <c r="G1147" s="9"/>
      <c r="H1147" s="9"/>
    </row>
    <row r="1148" customFormat="false" ht="15" hidden="false" customHeight="true" outlineLevel="0" collapsed="false">
      <c r="A1148" s="11"/>
      <c r="B1148" s="9"/>
      <c r="C1148" s="15" t="str">
        <f aca="false">IF($B1148="","",IFERROR(INDEX(직원목록!$B$3:$B$302,MATCH($B1148,직원목록!$A$3:$A$302,0)),"미등록사번"))</f>
        <v/>
      </c>
      <c r="D1148" s="9"/>
      <c r="E1148" s="15" t="str">
        <f aca="false">IF($D1148="","",IFERROR(INDEX(교육과정!$B$3:$B$102,MATCH($D1148,교육과정!$A$3:$A$102,0)),"미등록과정"))</f>
        <v/>
      </c>
      <c r="F1148" s="13"/>
      <c r="G1148" s="9"/>
      <c r="H1148" s="9"/>
    </row>
    <row r="1149" customFormat="false" ht="15" hidden="false" customHeight="true" outlineLevel="0" collapsed="false">
      <c r="A1149" s="11"/>
      <c r="B1149" s="9"/>
      <c r="C1149" s="15" t="str">
        <f aca="false">IF($B1149="","",IFERROR(INDEX(직원목록!$B$3:$B$302,MATCH($B1149,직원목록!$A$3:$A$302,0)),"미등록사번"))</f>
        <v/>
      </c>
      <c r="D1149" s="9"/>
      <c r="E1149" s="15" t="str">
        <f aca="false">IF($D1149="","",IFERROR(INDEX(교육과정!$B$3:$B$102,MATCH($D1149,교육과정!$A$3:$A$102,0)),"미등록과정"))</f>
        <v/>
      </c>
      <c r="F1149" s="13"/>
      <c r="G1149" s="9"/>
      <c r="H1149" s="9"/>
    </row>
    <row r="1150" customFormat="false" ht="15" hidden="false" customHeight="true" outlineLevel="0" collapsed="false">
      <c r="A1150" s="11"/>
      <c r="B1150" s="9"/>
      <c r="C1150" s="15" t="str">
        <f aca="false">IF($B1150="","",IFERROR(INDEX(직원목록!$B$3:$B$302,MATCH($B1150,직원목록!$A$3:$A$302,0)),"미등록사번"))</f>
        <v/>
      </c>
      <c r="D1150" s="9"/>
      <c r="E1150" s="15" t="str">
        <f aca="false">IF($D1150="","",IFERROR(INDEX(교육과정!$B$3:$B$102,MATCH($D1150,교육과정!$A$3:$A$102,0)),"미등록과정"))</f>
        <v/>
      </c>
      <c r="F1150" s="13"/>
      <c r="G1150" s="9"/>
      <c r="H1150" s="9"/>
    </row>
    <row r="1151" customFormat="false" ht="15" hidden="false" customHeight="true" outlineLevel="0" collapsed="false">
      <c r="A1151" s="11"/>
      <c r="B1151" s="9"/>
      <c r="C1151" s="15" t="str">
        <f aca="false">IF($B1151="","",IFERROR(INDEX(직원목록!$B$3:$B$302,MATCH($B1151,직원목록!$A$3:$A$302,0)),"미등록사번"))</f>
        <v/>
      </c>
      <c r="D1151" s="9"/>
      <c r="E1151" s="15" t="str">
        <f aca="false">IF($D1151="","",IFERROR(INDEX(교육과정!$B$3:$B$102,MATCH($D1151,교육과정!$A$3:$A$102,0)),"미등록과정"))</f>
        <v/>
      </c>
      <c r="F1151" s="13"/>
      <c r="G1151" s="9"/>
      <c r="H1151" s="9"/>
    </row>
    <row r="1152" customFormat="false" ht="15" hidden="false" customHeight="true" outlineLevel="0" collapsed="false">
      <c r="A1152" s="11"/>
      <c r="B1152" s="9"/>
      <c r="C1152" s="15" t="str">
        <f aca="false">IF($B1152="","",IFERROR(INDEX(직원목록!$B$3:$B$302,MATCH($B1152,직원목록!$A$3:$A$302,0)),"미등록사번"))</f>
        <v/>
      </c>
      <c r="D1152" s="9"/>
      <c r="E1152" s="15" t="str">
        <f aca="false">IF($D1152="","",IFERROR(INDEX(교육과정!$B$3:$B$102,MATCH($D1152,교육과정!$A$3:$A$102,0)),"미등록과정"))</f>
        <v/>
      </c>
      <c r="F1152" s="13"/>
      <c r="G1152" s="9"/>
      <c r="H1152" s="9"/>
    </row>
    <row r="1153" customFormat="false" ht="15" hidden="false" customHeight="true" outlineLevel="0" collapsed="false">
      <c r="A1153" s="11"/>
      <c r="B1153" s="9"/>
      <c r="C1153" s="15" t="str">
        <f aca="false">IF($B1153="","",IFERROR(INDEX(직원목록!$B$3:$B$302,MATCH($B1153,직원목록!$A$3:$A$302,0)),"미등록사번"))</f>
        <v/>
      </c>
      <c r="D1153" s="9"/>
      <c r="E1153" s="15" t="str">
        <f aca="false">IF($D1153="","",IFERROR(INDEX(교육과정!$B$3:$B$102,MATCH($D1153,교육과정!$A$3:$A$102,0)),"미등록과정"))</f>
        <v/>
      </c>
      <c r="F1153" s="13"/>
      <c r="G1153" s="9"/>
      <c r="H1153" s="9"/>
    </row>
    <row r="1154" customFormat="false" ht="15" hidden="false" customHeight="true" outlineLevel="0" collapsed="false">
      <c r="A1154" s="11"/>
      <c r="B1154" s="9"/>
      <c r="C1154" s="15" t="str">
        <f aca="false">IF($B1154="","",IFERROR(INDEX(직원목록!$B$3:$B$302,MATCH($B1154,직원목록!$A$3:$A$302,0)),"미등록사번"))</f>
        <v/>
      </c>
      <c r="D1154" s="9"/>
      <c r="E1154" s="15" t="str">
        <f aca="false">IF($D1154="","",IFERROR(INDEX(교육과정!$B$3:$B$102,MATCH($D1154,교육과정!$A$3:$A$102,0)),"미등록과정"))</f>
        <v/>
      </c>
      <c r="F1154" s="13"/>
      <c r="G1154" s="9"/>
      <c r="H1154" s="9"/>
    </row>
    <row r="1155" customFormat="false" ht="15" hidden="false" customHeight="true" outlineLevel="0" collapsed="false">
      <c r="A1155" s="11"/>
      <c r="B1155" s="9"/>
      <c r="C1155" s="15" t="str">
        <f aca="false">IF($B1155="","",IFERROR(INDEX(직원목록!$B$3:$B$302,MATCH($B1155,직원목록!$A$3:$A$302,0)),"미등록사번"))</f>
        <v/>
      </c>
      <c r="D1155" s="9"/>
      <c r="E1155" s="15" t="str">
        <f aca="false">IF($D1155="","",IFERROR(INDEX(교육과정!$B$3:$B$102,MATCH($D1155,교육과정!$A$3:$A$102,0)),"미등록과정"))</f>
        <v/>
      </c>
      <c r="F1155" s="13"/>
      <c r="G1155" s="9"/>
      <c r="H1155" s="9"/>
    </row>
    <row r="1156" customFormat="false" ht="15" hidden="false" customHeight="true" outlineLevel="0" collapsed="false">
      <c r="A1156" s="11"/>
      <c r="B1156" s="9"/>
      <c r="C1156" s="15" t="str">
        <f aca="false">IF($B1156="","",IFERROR(INDEX(직원목록!$B$3:$B$302,MATCH($B1156,직원목록!$A$3:$A$302,0)),"미등록사번"))</f>
        <v/>
      </c>
      <c r="D1156" s="9"/>
      <c r="E1156" s="15" t="str">
        <f aca="false">IF($D1156="","",IFERROR(INDEX(교육과정!$B$3:$B$102,MATCH($D1156,교육과정!$A$3:$A$102,0)),"미등록과정"))</f>
        <v/>
      </c>
      <c r="F1156" s="13"/>
      <c r="G1156" s="9"/>
      <c r="H1156" s="9"/>
    </row>
    <row r="1157" customFormat="false" ht="15" hidden="false" customHeight="true" outlineLevel="0" collapsed="false">
      <c r="A1157" s="11"/>
      <c r="B1157" s="9"/>
      <c r="C1157" s="15" t="str">
        <f aca="false">IF($B1157="","",IFERROR(INDEX(직원목록!$B$3:$B$302,MATCH($B1157,직원목록!$A$3:$A$302,0)),"미등록사번"))</f>
        <v/>
      </c>
      <c r="D1157" s="9"/>
      <c r="E1157" s="15" t="str">
        <f aca="false">IF($D1157="","",IFERROR(INDEX(교육과정!$B$3:$B$102,MATCH($D1157,교육과정!$A$3:$A$102,0)),"미등록과정"))</f>
        <v/>
      </c>
      <c r="F1157" s="13"/>
      <c r="G1157" s="9"/>
      <c r="H1157" s="9"/>
    </row>
    <row r="1158" customFormat="false" ht="15" hidden="false" customHeight="true" outlineLevel="0" collapsed="false">
      <c r="A1158" s="11"/>
      <c r="B1158" s="9"/>
      <c r="C1158" s="15" t="str">
        <f aca="false">IF($B1158="","",IFERROR(INDEX(직원목록!$B$3:$B$302,MATCH($B1158,직원목록!$A$3:$A$302,0)),"미등록사번"))</f>
        <v/>
      </c>
      <c r="D1158" s="9"/>
      <c r="E1158" s="15" t="str">
        <f aca="false">IF($D1158="","",IFERROR(INDEX(교육과정!$B$3:$B$102,MATCH($D1158,교육과정!$A$3:$A$102,0)),"미등록과정"))</f>
        <v/>
      </c>
      <c r="F1158" s="13"/>
      <c r="G1158" s="9"/>
      <c r="H1158" s="9"/>
    </row>
    <row r="1159" customFormat="false" ht="15" hidden="false" customHeight="true" outlineLevel="0" collapsed="false">
      <c r="A1159" s="11"/>
      <c r="B1159" s="9"/>
      <c r="C1159" s="15" t="str">
        <f aca="false">IF($B1159="","",IFERROR(INDEX(직원목록!$B$3:$B$302,MATCH($B1159,직원목록!$A$3:$A$302,0)),"미등록사번"))</f>
        <v/>
      </c>
      <c r="D1159" s="9"/>
      <c r="E1159" s="15" t="str">
        <f aca="false">IF($D1159="","",IFERROR(INDEX(교육과정!$B$3:$B$102,MATCH($D1159,교육과정!$A$3:$A$102,0)),"미등록과정"))</f>
        <v/>
      </c>
      <c r="F1159" s="13"/>
      <c r="G1159" s="9"/>
      <c r="H1159" s="9"/>
    </row>
    <row r="1160" customFormat="false" ht="15" hidden="false" customHeight="true" outlineLevel="0" collapsed="false">
      <c r="A1160" s="11"/>
      <c r="B1160" s="9"/>
      <c r="C1160" s="15" t="str">
        <f aca="false">IF($B1160="","",IFERROR(INDEX(직원목록!$B$3:$B$302,MATCH($B1160,직원목록!$A$3:$A$302,0)),"미등록사번"))</f>
        <v/>
      </c>
      <c r="D1160" s="9"/>
      <c r="E1160" s="15" t="str">
        <f aca="false">IF($D1160="","",IFERROR(INDEX(교육과정!$B$3:$B$102,MATCH($D1160,교육과정!$A$3:$A$102,0)),"미등록과정"))</f>
        <v/>
      </c>
      <c r="F1160" s="13"/>
      <c r="G1160" s="9"/>
      <c r="H1160" s="9"/>
    </row>
    <row r="1161" customFormat="false" ht="15" hidden="false" customHeight="true" outlineLevel="0" collapsed="false">
      <c r="A1161" s="11"/>
      <c r="B1161" s="9"/>
      <c r="C1161" s="15" t="str">
        <f aca="false">IF($B1161="","",IFERROR(INDEX(직원목록!$B$3:$B$302,MATCH($B1161,직원목록!$A$3:$A$302,0)),"미등록사번"))</f>
        <v/>
      </c>
      <c r="D1161" s="9"/>
      <c r="E1161" s="15" t="str">
        <f aca="false">IF($D1161="","",IFERROR(INDEX(교육과정!$B$3:$B$102,MATCH($D1161,교육과정!$A$3:$A$102,0)),"미등록과정"))</f>
        <v/>
      </c>
      <c r="F1161" s="13"/>
      <c r="G1161" s="9"/>
      <c r="H1161" s="9"/>
    </row>
    <row r="1162" customFormat="false" ht="15" hidden="false" customHeight="true" outlineLevel="0" collapsed="false">
      <c r="A1162" s="11"/>
      <c r="B1162" s="9"/>
      <c r="C1162" s="15" t="str">
        <f aca="false">IF($B1162="","",IFERROR(INDEX(직원목록!$B$3:$B$302,MATCH($B1162,직원목록!$A$3:$A$302,0)),"미등록사번"))</f>
        <v/>
      </c>
      <c r="D1162" s="9"/>
      <c r="E1162" s="15" t="str">
        <f aca="false">IF($D1162="","",IFERROR(INDEX(교육과정!$B$3:$B$102,MATCH($D1162,교육과정!$A$3:$A$102,0)),"미등록과정"))</f>
        <v/>
      </c>
      <c r="F1162" s="13"/>
      <c r="G1162" s="9"/>
      <c r="H1162" s="9"/>
    </row>
    <row r="1163" customFormat="false" ht="15" hidden="false" customHeight="true" outlineLevel="0" collapsed="false">
      <c r="A1163" s="11"/>
      <c r="B1163" s="9"/>
      <c r="C1163" s="15" t="str">
        <f aca="false">IF($B1163="","",IFERROR(INDEX(직원목록!$B$3:$B$302,MATCH($B1163,직원목록!$A$3:$A$302,0)),"미등록사번"))</f>
        <v/>
      </c>
      <c r="D1163" s="9"/>
      <c r="E1163" s="15" t="str">
        <f aca="false">IF($D1163="","",IFERROR(INDEX(교육과정!$B$3:$B$102,MATCH($D1163,교육과정!$A$3:$A$102,0)),"미등록과정"))</f>
        <v/>
      </c>
      <c r="F1163" s="13"/>
      <c r="G1163" s="9"/>
      <c r="H1163" s="9"/>
    </row>
    <row r="1164" customFormat="false" ht="15" hidden="false" customHeight="true" outlineLevel="0" collapsed="false">
      <c r="A1164" s="11"/>
      <c r="B1164" s="9"/>
      <c r="C1164" s="15" t="str">
        <f aca="false">IF($B1164="","",IFERROR(INDEX(직원목록!$B$3:$B$302,MATCH($B1164,직원목록!$A$3:$A$302,0)),"미등록사번"))</f>
        <v/>
      </c>
      <c r="D1164" s="9"/>
      <c r="E1164" s="15" t="str">
        <f aca="false">IF($D1164="","",IFERROR(INDEX(교육과정!$B$3:$B$102,MATCH($D1164,교육과정!$A$3:$A$102,0)),"미등록과정"))</f>
        <v/>
      </c>
      <c r="F1164" s="13"/>
      <c r="G1164" s="9"/>
      <c r="H1164" s="9"/>
    </row>
    <row r="1165" customFormat="false" ht="15" hidden="false" customHeight="true" outlineLevel="0" collapsed="false">
      <c r="A1165" s="11"/>
      <c r="B1165" s="9"/>
      <c r="C1165" s="15" t="str">
        <f aca="false">IF($B1165="","",IFERROR(INDEX(직원목록!$B$3:$B$302,MATCH($B1165,직원목록!$A$3:$A$302,0)),"미등록사번"))</f>
        <v/>
      </c>
      <c r="D1165" s="9"/>
      <c r="E1165" s="15" t="str">
        <f aca="false">IF($D1165="","",IFERROR(INDEX(교육과정!$B$3:$B$102,MATCH($D1165,교육과정!$A$3:$A$102,0)),"미등록과정"))</f>
        <v/>
      </c>
      <c r="F1165" s="13"/>
      <c r="G1165" s="9"/>
      <c r="H1165" s="9"/>
    </row>
    <row r="1166" customFormat="false" ht="15" hidden="false" customHeight="true" outlineLevel="0" collapsed="false">
      <c r="A1166" s="11"/>
      <c r="B1166" s="9"/>
      <c r="C1166" s="15" t="str">
        <f aca="false">IF($B1166="","",IFERROR(INDEX(직원목록!$B$3:$B$302,MATCH($B1166,직원목록!$A$3:$A$302,0)),"미등록사번"))</f>
        <v/>
      </c>
      <c r="D1166" s="9"/>
      <c r="E1166" s="15" t="str">
        <f aca="false">IF($D1166="","",IFERROR(INDEX(교육과정!$B$3:$B$102,MATCH($D1166,교육과정!$A$3:$A$102,0)),"미등록과정"))</f>
        <v/>
      </c>
      <c r="F1166" s="13"/>
      <c r="G1166" s="9"/>
      <c r="H1166" s="9"/>
    </row>
    <row r="1167" customFormat="false" ht="15" hidden="false" customHeight="true" outlineLevel="0" collapsed="false">
      <c r="A1167" s="11"/>
      <c r="B1167" s="9"/>
      <c r="C1167" s="15" t="str">
        <f aca="false">IF($B1167="","",IFERROR(INDEX(직원목록!$B$3:$B$302,MATCH($B1167,직원목록!$A$3:$A$302,0)),"미등록사번"))</f>
        <v/>
      </c>
      <c r="D1167" s="9"/>
      <c r="E1167" s="15" t="str">
        <f aca="false">IF($D1167="","",IFERROR(INDEX(교육과정!$B$3:$B$102,MATCH($D1167,교육과정!$A$3:$A$102,0)),"미등록과정"))</f>
        <v/>
      </c>
      <c r="F1167" s="13"/>
      <c r="G1167" s="9"/>
      <c r="H1167" s="9"/>
    </row>
    <row r="1168" customFormat="false" ht="15" hidden="false" customHeight="true" outlineLevel="0" collapsed="false">
      <c r="A1168" s="11"/>
      <c r="B1168" s="9"/>
      <c r="C1168" s="15" t="str">
        <f aca="false">IF($B1168="","",IFERROR(INDEX(직원목록!$B$3:$B$302,MATCH($B1168,직원목록!$A$3:$A$302,0)),"미등록사번"))</f>
        <v/>
      </c>
      <c r="D1168" s="9"/>
      <c r="E1168" s="15" t="str">
        <f aca="false">IF($D1168="","",IFERROR(INDEX(교육과정!$B$3:$B$102,MATCH($D1168,교육과정!$A$3:$A$102,0)),"미등록과정"))</f>
        <v/>
      </c>
      <c r="F1168" s="13"/>
      <c r="G1168" s="9"/>
      <c r="H1168" s="9"/>
    </row>
    <row r="1169" customFormat="false" ht="15" hidden="false" customHeight="true" outlineLevel="0" collapsed="false">
      <c r="A1169" s="11"/>
      <c r="B1169" s="9"/>
      <c r="C1169" s="15" t="str">
        <f aca="false">IF($B1169="","",IFERROR(INDEX(직원목록!$B$3:$B$302,MATCH($B1169,직원목록!$A$3:$A$302,0)),"미등록사번"))</f>
        <v/>
      </c>
      <c r="D1169" s="9"/>
      <c r="E1169" s="15" t="str">
        <f aca="false">IF($D1169="","",IFERROR(INDEX(교육과정!$B$3:$B$102,MATCH($D1169,교육과정!$A$3:$A$102,0)),"미등록과정"))</f>
        <v/>
      </c>
      <c r="F1169" s="13"/>
      <c r="G1169" s="9"/>
      <c r="H1169" s="9"/>
    </row>
    <row r="1170" customFormat="false" ht="15" hidden="false" customHeight="true" outlineLevel="0" collapsed="false">
      <c r="A1170" s="11"/>
      <c r="B1170" s="9"/>
      <c r="C1170" s="15" t="str">
        <f aca="false">IF($B1170="","",IFERROR(INDEX(직원목록!$B$3:$B$302,MATCH($B1170,직원목록!$A$3:$A$302,0)),"미등록사번"))</f>
        <v/>
      </c>
      <c r="D1170" s="9"/>
      <c r="E1170" s="15" t="str">
        <f aca="false">IF($D1170="","",IFERROR(INDEX(교육과정!$B$3:$B$102,MATCH($D1170,교육과정!$A$3:$A$102,0)),"미등록과정"))</f>
        <v/>
      </c>
      <c r="F1170" s="13"/>
      <c r="G1170" s="9"/>
      <c r="H1170" s="9"/>
    </row>
    <row r="1171" customFormat="false" ht="15" hidden="false" customHeight="true" outlineLevel="0" collapsed="false">
      <c r="A1171" s="11"/>
      <c r="B1171" s="9"/>
      <c r="C1171" s="15" t="str">
        <f aca="false">IF($B1171="","",IFERROR(INDEX(직원목록!$B$3:$B$302,MATCH($B1171,직원목록!$A$3:$A$302,0)),"미등록사번"))</f>
        <v/>
      </c>
      <c r="D1171" s="9"/>
      <c r="E1171" s="15" t="str">
        <f aca="false">IF($D1171="","",IFERROR(INDEX(교육과정!$B$3:$B$102,MATCH($D1171,교육과정!$A$3:$A$102,0)),"미등록과정"))</f>
        <v/>
      </c>
      <c r="F1171" s="13"/>
      <c r="G1171" s="9"/>
      <c r="H1171" s="9"/>
    </row>
    <row r="1172" customFormat="false" ht="15" hidden="false" customHeight="true" outlineLevel="0" collapsed="false">
      <c r="A1172" s="11"/>
      <c r="B1172" s="9"/>
      <c r="C1172" s="15" t="str">
        <f aca="false">IF($B1172="","",IFERROR(INDEX(직원목록!$B$3:$B$302,MATCH($B1172,직원목록!$A$3:$A$302,0)),"미등록사번"))</f>
        <v/>
      </c>
      <c r="D1172" s="9"/>
      <c r="E1172" s="15" t="str">
        <f aca="false">IF($D1172="","",IFERROR(INDEX(교육과정!$B$3:$B$102,MATCH($D1172,교육과정!$A$3:$A$102,0)),"미등록과정"))</f>
        <v/>
      </c>
      <c r="F1172" s="13"/>
      <c r="G1172" s="9"/>
      <c r="H1172" s="9"/>
    </row>
    <row r="1173" customFormat="false" ht="15" hidden="false" customHeight="true" outlineLevel="0" collapsed="false">
      <c r="A1173" s="11"/>
      <c r="B1173" s="9"/>
      <c r="C1173" s="15" t="str">
        <f aca="false">IF($B1173="","",IFERROR(INDEX(직원목록!$B$3:$B$302,MATCH($B1173,직원목록!$A$3:$A$302,0)),"미등록사번"))</f>
        <v/>
      </c>
      <c r="D1173" s="9"/>
      <c r="E1173" s="15" t="str">
        <f aca="false">IF($D1173="","",IFERROR(INDEX(교육과정!$B$3:$B$102,MATCH($D1173,교육과정!$A$3:$A$102,0)),"미등록과정"))</f>
        <v/>
      </c>
      <c r="F1173" s="13"/>
      <c r="G1173" s="9"/>
      <c r="H1173" s="9"/>
    </row>
    <row r="1174" customFormat="false" ht="15" hidden="false" customHeight="true" outlineLevel="0" collapsed="false">
      <c r="A1174" s="11"/>
      <c r="B1174" s="9"/>
      <c r="C1174" s="15" t="str">
        <f aca="false">IF($B1174="","",IFERROR(INDEX(직원목록!$B$3:$B$302,MATCH($B1174,직원목록!$A$3:$A$302,0)),"미등록사번"))</f>
        <v/>
      </c>
      <c r="D1174" s="9"/>
      <c r="E1174" s="15" t="str">
        <f aca="false">IF($D1174="","",IFERROR(INDEX(교육과정!$B$3:$B$102,MATCH($D1174,교육과정!$A$3:$A$102,0)),"미등록과정"))</f>
        <v/>
      </c>
      <c r="F1174" s="13"/>
      <c r="G1174" s="9"/>
      <c r="H1174" s="9"/>
    </row>
    <row r="1175" customFormat="false" ht="15" hidden="false" customHeight="true" outlineLevel="0" collapsed="false">
      <c r="A1175" s="11"/>
      <c r="B1175" s="9"/>
      <c r="C1175" s="15" t="str">
        <f aca="false">IF($B1175="","",IFERROR(INDEX(직원목록!$B$3:$B$302,MATCH($B1175,직원목록!$A$3:$A$302,0)),"미등록사번"))</f>
        <v/>
      </c>
      <c r="D1175" s="9"/>
      <c r="E1175" s="15" t="str">
        <f aca="false">IF($D1175="","",IFERROR(INDEX(교육과정!$B$3:$B$102,MATCH($D1175,교육과정!$A$3:$A$102,0)),"미등록과정"))</f>
        <v/>
      </c>
      <c r="F1175" s="13"/>
      <c r="G1175" s="9"/>
      <c r="H1175" s="9"/>
    </row>
    <row r="1176" customFormat="false" ht="15" hidden="false" customHeight="true" outlineLevel="0" collapsed="false">
      <c r="A1176" s="11"/>
      <c r="B1176" s="9"/>
      <c r="C1176" s="15" t="str">
        <f aca="false">IF($B1176="","",IFERROR(INDEX(직원목록!$B$3:$B$302,MATCH($B1176,직원목록!$A$3:$A$302,0)),"미등록사번"))</f>
        <v/>
      </c>
      <c r="D1176" s="9"/>
      <c r="E1176" s="15" t="str">
        <f aca="false">IF($D1176="","",IFERROR(INDEX(교육과정!$B$3:$B$102,MATCH($D1176,교육과정!$A$3:$A$102,0)),"미등록과정"))</f>
        <v/>
      </c>
      <c r="F1176" s="13"/>
      <c r="G1176" s="9"/>
      <c r="H1176" s="9"/>
    </row>
    <row r="1177" customFormat="false" ht="15" hidden="false" customHeight="true" outlineLevel="0" collapsed="false">
      <c r="A1177" s="11"/>
      <c r="B1177" s="9"/>
      <c r="C1177" s="15" t="str">
        <f aca="false">IF($B1177="","",IFERROR(INDEX(직원목록!$B$3:$B$302,MATCH($B1177,직원목록!$A$3:$A$302,0)),"미등록사번"))</f>
        <v/>
      </c>
      <c r="D1177" s="9"/>
      <c r="E1177" s="15" t="str">
        <f aca="false">IF($D1177="","",IFERROR(INDEX(교육과정!$B$3:$B$102,MATCH($D1177,교육과정!$A$3:$A$102,0)),"미등록과정"))</f>
        <v/>
      </c>
      <c r="F1177" s="13"/>
      <c r="G1177" s="9"/>
      <c r="H1177" s="9"/>
    </row>
    <row r="1178" customFormat="false" ht="15" hidden="false" customHeight="true" outlineLevel="0" collapsed="false">
      <c r="A1178" s="11"/>
      <c r="B1178" s="9"/>
      <c r="C1178" s="15" t="str">
        <f aca="false">IF($B1178="","",IFERROR(INDEX(직원목록!$B$3:$B$302,MATCH($B1178,직원목록!$A$3:$A$302,0)),"미등록사번"))</f>
        <v/>
      </c>
      <c r="D1178" s="9"/>
      <c r="E1178" s="15" t="str">
        <f aca="false">IF($D1178="","",IFERROR(INDEX(교육과정!$B$3:$B$102,MATCH($D1178,교육과정!$A$3:$A$102,0)),"미등록과정"))</f>
        <v/>
      </c>
      <c r="F1178" s="13"/>
      <c r="G1178" s="9"/>
      <c r="H1178" s="9"/>
    </row>
    <row r="1179" customFormat="false" ht="15" hidden="false" customHeight="true" outlineLevel="0" collapsed="false">
      <c r="A1179" s="11"/>
      <c r="B1179" s="9"/>
      <c r="C1179" s="15" t="str">
        <f aca="false">IF($B1179="","",IFERROR(INDEX(직원목록!$B$3:$B$302,MATCH($B1179,직원목록!$A$3:$A$302,0)),"미등록사번"))</f>
        <v/>
      </c>
      <c r="D1179" s="9"/>
      <c r="E1179" s="15" t="str">
        <f aca="false">IF($D1179="","",IFERROR(INDEX(교육과정!$B$3:$B$102,MATCH($D1179,교육과정!$A$3:$A$102,0)),"미등록과정"))</f>
        <v/>
      </c>
      <c r="F1179" s="13"/>
      <c r="G1179" s="9"/>
      <c r="H1179" s="9"/>
    </row>
    <row r="1180" customFormat="false" ht="15" hidden="false" customHeight="true" outlineLevel="0" collapsed="false">
      <c r="A1180" s="11"/>
      <c r="B1180" s="9"/>
      <c r="C1180" s="15" t="str">
        <f aca="false">IF($B1180="","",IFERROR(INDEX(직원목록!$B$3:$B$302,MATCH($B1180,직원목록!$A$3:$A$302,0)),"미등록사번"))</f>
        <v/>
      </c>
      <c r="D1180" s="9"/>
      <c r="E1180" s="15" t="str">
        <f aca="false">IF($D1180="","",IFERROR(INDEX(교육과정!$B$3:$B$102,MATCH($D1180,교육과정!$A$3:$A$102,0)),"미등록과정"))</f>
        <v/>
      </c>
      <c r="F1180" s="13"/>
      <c r="G1180" s="9"/>
      <c r="H1180" s="9"/>
    </row>
    <row r="1181" customFormat="false" ht="15" hidden="false" customHeight="true" outlineLevel="0" collapsed="false">
      <c r="A1181" s="11"/>
      <c r="B1181" s="9"/>
      <c r="C1181" s="15" t="str">
        <f aca="false">IF($B1181="","",IFERROR(INDEX(직원목록!$B$3:$B$302,MATCH($B1181,직원목록!$A$3:$A$302,0)),"미등록사번"))</f>
        <v/>
      </c>
      <c r="D1181" s="9"/>
      <c r="E1181" s="15" t="str">
        <f aca="false">IF($D1181="","",IFERROR(INDEX(교육과정!$B$3:$B$102,MATCH($D1181,교육과정!$A$3:$A$102,0)),"미등록과정"))</f>
        <v/>
      </c>
      <c r="F1181" s="13"/>
      <c r="G1181" s="9"/>
      <c r="H1181" s="9"/>
    </row>
    <row r="1182" customFormat="false" ht="15" hidden="false" customHeight="true" outlineLevel="0" collapsed="false">
      <c r="A1182" s="11"/>
      <c r="B1182" s="9"/>
      <c r="C1182" s="15" t="str">
        <f aca="false">IF($B1182="","",IFERROR(INDEX(직원목록!$B$3:$B$302,MATCH($B1182,직원목록!$A$3:$A$302,0)),"미등록사번"))</f>
        <v/>
      </c>
      <c r="D1182" s="9"/>
      <c r="E1182" s="15" t="str">
        <f aca="false">IF($D1182="","",IFERROR(INDEX(교육과정!$B$3:$B$102,MATCH($D1182,교육과정!$A$3:$A$102,0)),"미등록과정"))</f>
        <v/>
      </c>
      <c r="F1182" s="13"/>
      <c r="G1182" s="9"/>
      <c r="H1182" s="9"/>
    </row>
    <row r="1183" customFormat="false" ht="15" hidden="false" customHeight="true" outlineLevel="0" collapsed="false">
      <c r="A1183" s="11"/>
      <c r="B1183" s="9"/>
      <c r="C1183" s="15" t="str">
        <f aca="false">IF($B1183="","",IFERROR(INDEX(직원목록!$B$3:$B$302,MATCH($B1183,직원목록!$A$3:$A$302,0)),"미등록사번"))</f>
        <v/>
      </c>
      <c r="D1183" s="9"/>
      <c r="E1183" s="15" t="str">
        <f aca="false">IF($D1183="","",IFERROR(INDEX(교육과정!$B$3:$B$102,MATCH($D1183,교육과정!$A$3:$A$102,0)),"미등록과정"))</f>
        <v/>
      </c>
      <c r="F1183" s="13"/>
      <c r="G1183" s="9"/>
      <c r="H1183" s="9"/>
    </row>
    <row r="1184" customFormat="false" ht="15" hidden="false" customHeight="true" outlineLevel="0" collapsed="false">
      <c r="A1184" s="11"/>
      <c r="B1184" s="9"/>
      <c r="C1184" s="15" t="str">
        <f aca="false">IF($B1184="","",IFERROR(INDEX(직원목록!$B$3:$B$302,MATCH($B1184,직원목록!$A$3:$A$302,0)),"미등록사번"))</f>
        <v/>
      </c>
      <c r="D1184" s="9"/>
      <c r="E1184" s="15" t="str">
        <f aca="false">IF($D1184="","",IFERROR(INDEX(교육과정!$B$3:$B$102,MATCH($D1184,교육과정!$A$3:$A$102,0)),"미등록과정"))</f>
        <v/>
      </c>
      <c r="F1184" s="13"/>
      <c r="G1184" s="9"/>
      <c r="H1184" s="9"/>
    </row>
    <row r="1185" customFormat="false" ht="15" hidden="false" customHeight="true" outlineLevel="0" collapsed="false">
      <c r="A1185" s="11"/>
      <c r="B1185" s="9"/>
      <c r="C1185" s="15" t="str">
        <f aca="false">IF($B1185="","",IFERROR(INDEX(직원목록!$B$3:$B$302,MATCH($B1185,직원목록!$A$3:$A$302,0)),"미등록사번"))</f>
        <v/>
      </c>
      <c r="D1185" s="9"/>
      <c r="E1185" s="15" t="str">
        <f aca="false">IF($D1185="","",IFERROR(INDEX(교육과정!$B$3:$B$102,MATCH($D1185,교육과정!$A$3:$A$102,0)),"미등록과정"))</f>
        <v/>
      </c>
      <c r="F1185" s="13"/>
      <c r="G1185" s="9"/>
      <c r="H1185" s="9"/>
    </row>
    <row r="1186" customFormat="false" ht="15" hidden="false" customHeight="true" outlineLevel="0" collapsed="false">
      <c r="A1186" s="11"/>
      <c r="B1186" s="9"/>
      <c r="C1186" s="15" t="str">
        <f aca="false">IF($B1186="","",IFERROR(INDEX(직원목록!$B$3:$B$302,MATCH($B1186,직원목록!$A$3:$A$302,0)),"미등록사번"))</f>
        <v/>
      </c>
      <c r="D1186" s="9"/>
      <c r="E1186" s="15" t="str">
        <f aca="false">IF($D1186="","",IFERROR(INDEX(교육과정!$B$3:$B$102,MATCH($D1186,교육과정!$A$3:$A$102,0)),"미등록과정"))</f>
        <v/>
      </c>
      <c r="F1186" s="13"/>
      <c r="G1186" s="9"/>
      <c r="H1186" s="9"/>
    </row>
    <row r="1187" customFormat="false" ht="15" hidden="false" customHeight="true" outlineLevel="0" collapsed="false">
      <c r="A1187" s="11"/>
      <c r="B1187" s="9"/>
      <c r="C1187" s="15" t="str">
        <f aca="false">IF($B1187="","",IFERROR(INDEX(직원목록!$B$3:$B$302,MATCH($B1187,직원목록!$A$3:$A$302,0)),"미등록사번"))</f>
        <v/>
      </c>
      <c r="D1187" s="9"/>
      <c r="E1187" s="15" t="str">
        <f aca="false">IF($D1187="","",IFERROR(INDEX(교육과정!$B$3:$B$102,MATCH($D1187,교육과정!$A$3:$A$102,0)),"미등록과정"))</f>
        <v/>
      </c>
      <c r="F1187" s="13"/>
      <c r="G1187" s="9"/>
      <c r="H1187" s="9"/>
    </row>
    <row r="1188" customFormat="false" ht="15" hidden="false" customHeight="true" outlineLevel="0" collapsed="false">
      <c r="A1188" s="11"/>
      <c r="B1188" s="9"/>
      <c r="C1188" s="15" t="str">
        <f aca="false">IF($B1188="","",IFERROR(INDEX(직원목록!$B$3:$B$302,MATCH($B1188,직원목록!$A$3:$A$302,0)),"미등록사번"))</f>
        <v/>
      </c>
      <c r="D1188" s="9"/>
      <c r="E1188" s="15" t="str">
        <f aca="false">IF($D1188="","",IFERROR(INDEX(교육과정!$B$3:$B$102,MATCH($D1188,교육과정!$A$3:$A$102,0)),"미등록과정"))</f>
        <v/>
      </c>
      <c r="F1188" s="13"/>
      <c r="G1188" s="9"/>
      <c r="H1188" s="9"/>
    </row>
    <row r="1189" customFormat="false" ht="15" hidden="false" customHeight="true" outlineLevel="0" collapsed="false">
      <c r="A1189" s="11"/>
      <c r="B1189" s="9"/>
      <c r="C1189" s="15" t="str">
        <f aca="false">IF($B1189="","",IFERROR(INDEX(직원목록!$B$3:$B$302,MATCH($B1189,직원목록!$A$3:$A$302,0)),"미등록사번"))</f>
        <v/>
      </c>
      <c r="D1189" s="9"/>
      <c r="E1189" s="15" t="str">
        <f aca="false">IF($D1189="","",IFERROR(INDEX(교육과정!$B$3:$B$102,MATCH($D1189,교육과정!$A$3:$A$102,0)),"미등록과정"))</f>
        <v/>
      </c>
      <c r="F1189" s="13"/>
      <c r="G1189" s="9"/>
      <c r="H1189" s="9"/>
    </row>
    <row r="1190" customFormat="false" ht="15" hidden="false" customHeight="true" outlineLevel="0" collapsed="false">
      <c r="A1190" s="11"/>
      <c r="B1190" s="9"/>
      <c r="C1190" s="15" t="str">
        <f aca="false">IF($B1190="","",IFERROR(INDEX(직원목록!$B$3:$B$302,MATCH($B1190,직원목록!$A$3:$A$302,0)),"미등록사번"))</f>
        <v/>
      </c>
      <c r="D1190" s="9"/>
      <c r="E1190" s="15" t="str">
        <f aca="false">IF($D1190="","",IFERROR(INDEX(교육과정!$B$3:$B$102,MATCH($D1190,교육과정!$A$3:$A$102,0)),"미등록과정"))</f>
        <v/>
      </c>
      <c r="F1190" s="13"/>
      <c r="G1190" s="9"/>
      <c r="H1190" s="9"/>
    </row>
    <row r="1191" customFormat="false" ht="15" hidden="false" customHeight="true" outlineLevel="0" collapsed="false">
      <c r="A1191" s="11"/>
      <c r="B1191" s="9"/>
      <c r="C1191" s="15" t="str">
        <f aca="false">IF($B1191="","",IFERROR(INDEX(직원목록!$B$3:$B$302,MATCH($B1191,직원목록!$A$3:$A$302,0)),"미등록사번"))</f>
        <v/>
      </c>
      <c r="D1191" s="9"/>
      <c r="E1191" s="15" t="str">
        <f aca="false">IF($D1191="","",IFERROR(INDEX(교육과정!$B$3:$B$102,MATCH($D1191,교육과정!$A$3:$A$102,0)),"미등록과정"))</f>
        <v/>
      </c>
      <c r="F1191" s="13"/>
      <c r="G1191" s="9"/>
      <c r="H1191" s="9"/>
    </row>
    <row r="1192" customFormat="false" ht="15" hidden="false" customHeight="true" outlineLevel="0" collapsed="false">
      <c r="A1192" s="11"/>
      <c r="B1192" s="9"/>
      <c r="C1192" s="15" t="str">
        <f aca="false">IF($B1192="","",IFERROR(INDEX(직원목록!$B$3:$B$302,MATCH($B1192,직원목록!$A$3:$A$302,0)),"미등록사번"))</f>
        <v/>
      </c>
      <c r="D1192" s="9"/>
      <c r="E1192" s="15" t="str">
        <f aca="false">IF($D1192="","",IFERROR(INDEX(교육과정!$B$3:$B$102,MATCH($D1192,교육과정!$A$3:$A$102,0)),"미등록과정"))</f>
        <v/>
      </c>
      <c r="F1192" s="13"/>
      <c r="G1192" s="9"/>
      <c r="H1192" s="9"/>
    </row>
    <row r="1193" customFormat="false" ht="15" hidden="false" customHeight="true" outlineLevel="0" collapsed="false">
      <c r="A1193" s="11"/>
      <c r="B1193" s="9"/>
      <c r="C1193" s="15" t="str">
        <f aca="false">IF($B1193="","",IFERROR(INDEX(직원목록!$B$3:$B$302,MATCH($B1193,직원목록!$A$3:$A$302,0)),"미등록사번"))</f>
        <v/>
      </c>
      <c r="D1193" s="9"/>
      <c r="E1193" s="15" t="str">
        <f aca="false">IF($D1193="","",IFERROR(INDEX(교육과정!$B$3:$B$102,MATCH($D1193,교육과정!$A$3:$A$102,0)),"미등록과정"))</f>
        <v/>
      </c>
      <c r="F1193" s="13"/>
      <c r="G1193" s="9"/>
      <c r="H1193" s="9"/>
    </row>
    <row r="1194" customFormat="false" ht="15" hidden="false" customHeight="true" outlineLevel="0" collapsed="false">
      <c r="A1194" s="11"/>
      <c r="B1194" s="9"/>
      <c r="C1194" s="15" t="str">
        <f aca="false">IF($B1194="","",IFERROR(INDEX(직원목록!$B$3:$B$302,MATCH($B1194,직원목록!$A$3:$A$302,0)),"미등록사번"))</f>
        <v/>
      </c>
      <c r="D1194" s="9"/>
      <c r="E1194" s="15" t="str">
        <f aca="false">IF($D1194="","",IFERROR(INDEX(교육과정!$B$3:$B$102,MATCH($D1194,교육과정!$A$3:$A$102,0)),"미등록과정"))</f>
        <v/>
      </c>
      <c r="F1194" s="13"/>
      <c r="G1194" s="9"/>
      <c r="H1194" s="9"/>
    </row>
    <row r="1195" customFormat="false" ht="15" hidden="false" customHeight="true" outlineLevel="0" collapsed="false">
      <c r="A1195" s="11"/>
      <c r="B1195" s="9"/>
      <c r="C1195" s="15" t="str">
        <f aca="false">IF($B1195="","",IFERROR(INDEX(직원목록!$B$3:$B$302,MATCH($B1195,직원목록!$A$3:$A$302,0)),"미등록사번"))</f>
        <v/>
      </c>
      <c r="D1195" s="9"/>
      <c r="E1195" s="15" t="str">
        <f aca="false">IF($D1195="","",IFERROR(INDEX(교육과정!$B$3:$B$102,MATCH($D1195,교육과정!$A$3:$A$102,0)),"미등록과정"))</f>
        <v/>
      </c>
      <c r="F1195" s="13"/>
      <c r="G1195" s="9"/>
      <c r="H1195" s="9"/>
    </row>
    <row r="1196" customFormat="false" ht="15" hidden="false" customHeight="true" outlineLevel="0" collapsed="false">
      <c r="A1196" s="11"/>
      <c r="B1196" s="9"/>
      <c r="C1196" s="15" t="str">
        <f aca="false">IF($B1196="","",IFERROR(INDEX(직원목록!$B$3:$B$302,MATCH($B1196,직원목록!$A$3:$A$302,0)),"미등록사번"))</f>
        <v/>
      </c>
      <c r="D1196" s="9"/>
      <c r="E1196" s="15" t="str">
        <f aca="false">IF($D1196="","",IFERROR(INDEX(교육과정!$B$3:$B$102,MATCH($D1196,교육과정!$A$3:$A$102,0)),"미등록과정"))</f>
        <v/>
      </c>
      <c r="F1196" s="13"/>
      <c r="G1196" s="9"/>
      <c r="H1196" s="9"/>
    </row>
    <row r="1197" customFormat="false" ht="15" hidden="false" customHeight="true" outlineLevel="0" collapsed="false">
      <c r="A1197" s="11"/>
      <c r="B1197" s="9"/>
      <c r="C1197" s="15" t="str">
        <f aca="false">IF($B1197="","",IFERROR(INDEX(직원목록!$B$3:$B$302,MATCH($B1197,직원목록!$A$3:$A$302,0)),"미등록사번"))</f>
        <v/>
      </c>
      <c r="D1197" s="9"/>
      <c r="E1197" s="15" t="str">
        <f aca="false">IF($D1197="","",IFERROR(INDEX(교육과정!$B$3:$B$102,MATCH($D1197,교육과정!$A$3:$A$102,0)),"미등록과정"))</f>
        <v/>
      </c>
      <c r="F1197" s="13"/>
      <c r="G1197" s="9"/>
      <c r="H1197" s="9"/>
    </row>
    <row r="1198" customFormat="false" ht="15" hidden="false" customHeight="true" outlineLevel="0" collapsed="false">
      <c r="A1198" s="11"/>
      <c r="B1198" s="9"/>
      <c r="C1198" s="15" t="str">
        <f aca="false">IF($B1198="","",IFERROR(INDEX(직원목록!$B$3:$B$302,MATCH($B1198,직원목록!$A$3:$A$302,0)),"미등록사번"))</f>
        <v/>
      </c>
      <c r="D1198" s="9"/>
      <c r="E1198" s="15" t="str">
        <f aca="false">IF($D1198="","",IFERROR(INDEX(교육과정!$B$3:$B$102,MATCH($D1198,교육과정!$A$3:$A$102,0)),"미등록과정"))</f>
        <v/>
      </c>
      <c r="F1198" s="13"/>
      <c r="G1198" s="9"/>
      <c r="H1198" s="9"/>
    </row>
    <row r="1199" customFormat="false" ht="15" hidden="false" customHeight="true" outlineLevel="0" collapsed="false">
      <c r="A1199" s="11"/>
      <c r="B1199" s="9"/>
      <c r="C1199" s="15" t="str">
        <f aca="false">IF($B1199="","",IFERROR(INDEX(직원목록!$B$3:$B$302,MATCH($B1199,직원목록!$A$3:$A$302,0)),"미등록사번"))</f>
        <v/>
      </c>
      <c r="D1199" s="9"/>
      <c r="E1199" s="15" t="str">
        <f aca="false">IF($D1199="","",IFERROR(INDEX(교육과정!$B$3:$B$102,MATCH($D1199,교육과정!$A$3:$A$102,0)),"미등록과정"))</f>
        <v/>
      </c>
      <c r="F1199" s="13"/>
      <c r="G1199" s="9"/>
      <c r="H1199" s="9"/>
    </row>
    <row r="1200" customFormat="false" ht="15" hidden="false" customHeight="true" outlineLevel="0" collapsed="false">
      <c r="A1200" s="11"/>
      <c r="B1200" s="9"/>
      <c r="C1200" s="15" t="str">
        <f aca="false">IF($B1200="","",IFERROR(INDEX(직원목록!$B$3:$B$302,MATCH($B1200,직원목록!$A$3:$A$302,0)),"미등록사번"))</f>
        <v/>
      </c>
      <c r="D1200" s="9"/>
      <c r="E1200" s="15" t="str">
        <f aca="false">IF($D1200="","",IFERROR(INDEX(교육과정!$B$3:$B$102,MATCH($D1200,교육과정!$A$3:$A$102,0)),"미등록과정"))</f>
        <v/>
      </c>
      <c r="F1200" s="13"/>
      <c r="G1200" s="9"/>
      <c r="H1200" s="9"/>
    </row>
    <row r="1201" customFormat="false" ht="15" hidden="false" customHeight="true" outlineLevel="0" collapsed="false">
      <c r="A1201" s="11"/>
      <c r="B1201" s="9"/>
      <c r="C1201" s="15" t="str">
        <f aca="false">IF($B1201="","",IFERROR(INDEX(직원목록!$B$3:$B$302,MATCH($B1201,직원목록!$A$3:$A$302,0)),"미등록사번"))</f>
        <v/>
      </c>
      <c r="D1201" s="9"/>
      <c r="E1201" s="15" t="str">
        <f aca="false">IF($D1201="","",IFERROR(INDEX(교육과정!$B$3:$B$102,MATCH($D1201,교육과정!$A$3:$A$102,0)),"미등록과정"))</f>
        <v/>
      </c>
      <c r="F1201" s="13"/>
      <c r="G1201" s="9"/>
      <c r="H1201" s="9"/>
    </row>
    <row r="1202" customFormat="false" ht="15" hidden="false" customHeight="true" outlineLevel="0" collapsed="false">
      <c r="A1202" s="11"/>
      <c r="B1202" s="9"/>
      <c r="C1202" s="15" t="str">
        <f aca="false">IF($B1202="","",IFERROR(INDEX(직원목록!$B$3:$B$302,MATCH($B1202,직원목록!$A$3:$A$302,0)),"미등록사번"))</f>
        <v/>
      </c>
      <c r="D1202" s="9"/>
      <c r="E1202" s="15" t="str">
        <f aca="false">IF($D1202="","",IFERROR(INDEX(교육과정!$B$3:$B$102,MATCH($D1202,교육과정!$A$3:$A$102,0)),"미등록과정"))</f>
        <v/>
      </c>
      <c r="F1202" s="13"/>
      <c r="G1202" s="9"/>
      <c r="H1202" s="9"/>
    </row>
    <row r="1203" customFormat="false" ht="15" hidden="false" customHeight="true" outlineLevel="0" collapsed="false">
      <c r="A1203" s="11"/>
      <c r="B1203" s="9"/>
      <c r="C1203" s="15" t="str">
        <f aca="false">IF($B1203="","",IFERROR(INDEX(직원목록!$B$3:$B$302,MATCH($B1203,직원목록!$A$3:$A$302,0)),"미등록사번"))</f>
        <v/>
      </c>
      <c r="D1203" s="9"/>
      <c r="E1203" s="15" t="str">
        <f aca="false">IF($D1203="","",IFERROR(INDEX(교육과정!$B$3:$B$102,MATCH($D1203,교육과정!$A$3:$A$102,0)),"미등록과정"))</f>
        <v/>
      </c>
      <c r="F1203" s="13"/>
      <c r="G1203" s="9"/>
      <c r="H1203" s="9"/>
    </row>
    <row r="1204" customFormat="false" ht="15" hidden="false" customHeight="true" outlineLevel="0" collapsed="false">
      <c r="A1204" s="11"/>
      <c r="B1204" s="9"/>
      <c r="C1204" s="15" t="str">
        <f aca="false">IF($B1204="","",IFERROR(INDEX(직원목록!$B$3:$B$302,MATCH($B1204,직원목록!$A$3:$A$302,0)),"미등록사번"))</f>
        <v/>
      </c>
      <c r="D1204" s="9"/>
      <c r="E1204" s="15" t="str">
        <f aca="false">IF($D1204="","",IFERROR(INDEX(교육과정!$B$3:$B$102,MATCH($D1204,교육과정!$A$3:$A$102,0)),"미등록과정"))</f>
        <v/>
      </c>
      <c r="F1204" s="13"/>
      <c r="G1204" s="9"/>
      <c r="H1204" s="9"/>
    </row>
    <row r="1205" customFormat="false" ht="15" hidden="false" customHeight="true" outlineLevel="0" collapsed="false">
      <c r="A1205" s="11"/>
      <c r="B1205" s="9"/>
      <c r="C1205" s="15" t="str">
        <f aca="false">IF($B1205="","",IFERROR(INDEX(직원목록!$B$3:$B$302,MATCH($B1205,직원목록!$A$3:$A$302,0)),"미등록사번"))</f>
        <v/>
      </c>
      <c r="D1205" s="9"/>
      <c r="E1205" s="15" t="str">
        <f aca="false">IF($D1205="","",IFERROR(INDEX(교육과정!$B$3:$B$102,MATCH($D1205,교육과정!$A$3:$A$102,0)),"미등록과정"))</f>
        <v/>
      </c>
      <c r="F1205" s="13"/>
      <c r="G1205" s="9"/>
      <c r="H1205" s="9"/>
    </row>
    <row r="1206" customFormat="false" ht="15" hidden="false" customHeight="true" outlineLevel="0" collapsed="false">
      <c r="A1206" s="11"/>
      <c r="B1206" s="9"/>
      <c r="C1206" s="15" t="str">
        <f aca="false">IF($B1206="","",IFERROR(INDEX(직원목록!$B$3:$B$302,MATCH($B1206,직원목록!$A$3:$A$302,0)),"미등록사번"))</f>
        <v/>
      </c>
      <c r="D1206" s="9"/>
      <c r="E1206" s="15" t="str">
        <f aca="false">IF($D1206="","",IFERROR(INDEX(교육과정!$B$3:$B$102,MATCH($D1206,교육과정!$A$3:$A$102,0)),"미등록과정"))</f>
        <v/>
      </c>
      <c r="F1206" s="13"/>
      <c r="G1206" s="9"/>
      <c r="H1206" s="9"/>
    </row>
    <row r="1207" customFormat="false" ht="15" hidden="false" customHeight="true" outlineLevel="0" collapsed="false">
      <c r="A1207" s="11"/>
      <c r="B1207" s="9"/>
      <c r="C1207" s="15" t="str">
        <f aca="false">IF($B1207="","",IFERROR(INDEX(직원목록!$B$3:$B$302,MATCH($B1207,직원목록!$A$3:$A$302,0)),"미등록사번"))</f>
        <v/>
      </c>
      <c r="D1207" s="9"/>
      <c r="E1207" s="15" t="str">
        <f aca="false">IF($D1207="","",IFERROR(INDEX(교육과정!$B$3:$B$102,MATCH($D1207,교육과정!$A$3:$A$102,0)),"미등록과정"))</f>
        <v/>
      </c>
      <c r="F1207" s="13"/>
      <c r="G1207" s="9"/>
      <c r="H1207" s="9"/>
    </row>
    <row r="1208" customFormat="false" ht="15" hidden="false" customHeight="true" outlineLevel="0" collapsed="false">
      <c r="A1208" s="11"/>
      <c r="B1208" s="9"/>
      <c r="C1208" s="15" t="str">
        <f aca="false">IF($B1208="","",IFERROR(INDEX(직원목록!$B$3:$B$302,MATCH($B1208,직원목록!$A$3:$A$302,0)),"미등록사번"))</f>
        <v/>
      </c>
      <c r="D1208" s="9"/>
      <c r="E1208" s="15" t="str">
        <f aca="false">IF($D1208="","",IFERROR(INDEX(교육과정!$B$3:$B$102,MATCH($D1208,교육과정!$A$3:$A$102,0)),"미등록과정"))</f>
        <v/>
      </c>
      <c r="F1208" s="13"/>
      <c r="G1208" s="9"/>
      <c r="H1208" s="9"/>
    </row>
    <row r="1209" customFormat="false" ht="15" hidden="false" customHeight="true" outlineLevel="0" collapsed="false">
      <c r="A1209" s="11"/>
      <c r="B1209" s="9"/>
      <c r="C1209" s="15" t="str">
        <f aca="false">IF($B1209="","",IFERROR(INDEX(직원목록!$B$3:$B$302,MATCH($B1209,직원목록!$A$3:$A$302,0)),"미등록사번"))</f>
        <v/>
      </c>
      <c r="D1209" s="9"/>
      <c r="E1209" s="15" t="str">
        <f aca="false">IF($D1209="","",IFERROR(INDEX(교육과정!$B$3:$B$102,MATCH($D1209,교육과정!$A$3:$A$102,0)),"미등록과정"))</f>
        <v/>
      </c>
      <c r="F1209" s="13"/>
      <c r="G1209" s="9"/>
      <c r="H1209" s="9"/>
    </row>
    <row r="1210" customFormat="false" ht="15" hidden="false" customHeight="true" outlineLevel="0" collapsed="false">
      <c r="A1210" s="11"/>
      <c r="B1210" s="9"/>
      <c r="C1210" s="15" t="str">
        <f aca="false">IF($B1210="","",IFERROR(INDEX(직원목록!$B$3:$B$302,MATCH($B1210,직원목록!$A$3:$A$302,0)),"미등록사번"))</f>
        <v/>
      </c>
      <c r="D1210" s="9"/>
      <c r="E1210" s="15" t="str">
        <f aca="false">IF($D1210="","",IFERROR(INDEX(교육과정!$B$3:$B$102,MATCH($D1210,교육과정!$A$3:$A$102,0)),"미등록과정"))</f>
        <v/>
      </c>
      <c r="F1210" s="13"/>
      <c r="G1210" s="9"/>
      <c r="H1210" s="9"/>
    </row>
    <row r="1211" customFormat="false" ht="15" hidden="false" customHeight="true" outlineLevel="0" collapsed="false">
      <c r="A1211" s="11"/>
      <c r="B1211" s="9"/>
      <c r="C1211" s="15" t="str">
        <f aca="false">IF($B1211="","",IFERROR(INDEX(직원목록!$B$3:$B$302,MATCH($B1211,직원목록!$A$3:$A$302,0)),"미등록사번"))</f>
        <v/>
      </c>
      <c r="D1211" s="9"/>
      <c r="E1211" s="15" t="str">
        <f aca="false">IF($D1211="","",IFERROR(INDEX(교육과정!$B$3:$B$102,MATCH($D1211,교육과정!$A$3:$A$102,0)),"미등록과정"))</f>
        <v/>
      </c>
      <c r="F1211" s="13"/>
      <c r="G1211" s="9"/>
      <c r="H1211" s="9"/>
    </row>
    <row r="1212" customFormat="false" ht="15" hidden="false" customHeight="true" outlineLevel="0" collapsed="false">
      <c r="A1212" s="11"/>
      <c r="B1212" s="9"/>
      <c r="C1212" s="15" t="str">
        <f aca="false">IF($B1212="","",IFERROR(INDEX(직원목록!$B$3:$B$302,MATCH($B1212,직원목록!$A$3:$A$302,0)),"미등록사번"))</f>
        <v/>
      </c>
      <c r="D1212" s="9"/>
      <c r="E1212" s="15" t="str">
        <f aca="false">IF($D1212="","",IFERROR(INDEX(교육과정!$B$3:$B$102,MATCH($D1212,교육과정!$A$3:$A$102,0)),"미등록과정"))</f>
        <v/>
      </c>
      <c r="F1212" s="13"/>
      <c r="G1212" s="9"/>
      <c r="H1212" s="9"/>
    </row>
    <row r="1213" customFormat="false" ht="15" hidden="false" customHeight="true" outlineLevel="0" collapsed="false">
      <c r="A1213" s="11"/>
      <c r="B1213" s="9"/>
      <c r="C1213" s="15" t="str">
        <f aca="false">IF($B1213="","",IFERROR(INDEX(직원목록!$B$3:$B$302,MATCH($B1213,직원목록!$A$3:$A$302,0)),"미등록사번"))</f>
        <v/>
      </c>
      <c r="D1213" s="9"/>
      <c r="E1213" s="15" t="str">
        <f aca="false">IF($D1213="","",IFERROR(INDEX(교육과정!$B$3:$B$102,MATCH($D1213,교육과정!$A$3:$A$102,0)),"미등록과정"))</f>
        <v/>
      </c>
      <c r="F1213" s="13"/>
      <c r="G1213" s="9"/>
      <c r="H1213" s="9"/>
    </row>
    <row r="1214" customFormat="false" ht="15" hidden="false" customHeight="true" outlineLevel="0" collapsed="false">
      <c r="A1214" s="11"/>
      <c r="B1214" s="9"/>
      <c r="C1214" s="15" t="str">
        <f aca="false">IF($B1214="","",IFERROR(INDEX(직원목록!$B$3:$B$302,MATCH($B1214,직원목록!$A$3:$A$302,0)),"미등록사번"))</f>
        <v/>
      </c>
      <c r="D1214" s="9"/>
      <c r="E1214" s="15" t="str">
        <f aca="false">IF($D1214="","",IFERROR(INDEX(교육과정!$B$3:$B$102,MATCH($D1214,교육과정!$A$3:$A$102,0)),"미등록과정"))</f>
        <v/>
      </c>
      <c r="F1214" s="13"/>
      <c r="G1214" s="9"/>
      <c r="H1214" s="9"/>
    </row>
    <row r="1215" customFormat="false" ht="15" hidden="false" customHeight="true" outlineLevel="0" collapsed="false">
      <c r="A1215" s="11"/>
      <c r="B1215" s="9"/>
      <c r="C1215" s="15" t="str">
        <f aca="false">IF($B1215="","",IFERROR(INDEX(직원목록!$B$3:$B$302,MATCH($B1215,직원목록!$A$3:$A$302,0)),"미등록사번"))</f>
        <v/>
      </c>
      <c r="D1215" s="9"/>
      <c r="E1215" s="15" t="str">
        <f aca="false">IF($D1215="","",IFERROR(INDEX(교육과정!$B$3:$B$102,MATCH($D1215,교육과정!$A$3:$A$102,0)),"미등록과정"))</f>
        <v/>
      </c>
      <c r="F1215" s="13"/>
      <c r="G1215" s="9"/>
      <c r="H1215" s="9"/>
    </row>
    <row r="1216" customFormat="false" ht="15" hidden="false" customHeight="true" outlineLevel="0" collapsed="false">
      <c r="A1216" s="11"/>
      <c r="B1216" s="9"/>
      <c r="C1216" s="15" t="str">
        <f aca="false">IF($B1216="","",IFERROR(INDEX(직원목록!$B$3:$B$302,MATCH($B1216,직원목록!$A$3:$A$302,0)),"미등록사번"))</f>
        <v/>
      </c>
      <c r="D1216" s="9"/>
      <c r="E1216" s="15" t="str">
        <f aca="false">IF($D1216="","",IFERROR(INDEX(교육과정!$B$3:$B$102,MATCH($D1216,교육과정!$A$3:$A$102,0)),"미등록과정"))</f>
        <v/>
      </c>
      <c r="F1216" s="13"/>
      <c r="G1216" s="9"/>
      <c r="H1216" s="9"/>
    </row>
    <row r="1217" customFormat="false" ht="15" hidden="false" customHeight="true" outlineLevel="0" collapsed="false">
      <c r="A1217" s="11"/>
      <c r="B1217" s="9"/>
      <c r="C1217" s="15" t="str">
        <f aca="false">IF($B1217="","",IFERROR(INDEX(직원목록!$B$3:$B$302,MATCH($B1217,직원목록!$A$3:$A$302,0)),"미등록사번"))</f>
        <v/>
      </c>
      <c r="D1217" s="9"/>
      <c r="E1217" s="15" t="str">
        <f aca="false">IF($D1217="","",IFERROR(INDEX(교육과정!$B$3:$B$102,MATCH($D1217,교육과정!$A$3:$A$102,0)),"미등록과정"))</f>
        <v/>
      </c>
      <c r="F1217" s="13"/>
      <c r="G1217" s="9"/>
      <c r="H1217" s="9"/>
    </row>
    <row r="1218" customFormat="false" ht="15" hidden="false" customHeight="true" outlineLevel="0" collapsed="false">
      <c r="A1218" s="11"/>
      <c r="B1218" s="9"/>
      <c r="C1218" s="15" t="str">
        <f aca="false">IF($B1218="","",IFERROR(INDEX(직원목록!$B$3:$B$302,MATCH($B1218,직원목록!$A$3:$A$302,0)),"미등록사번"))</f>
        <v/>
      </c>
      <c r="D1218" s="9"/>
      <c r="E1218" s="15" t="str">
        <f aca="false">IF($D1218="","",IFERROR(INDEX(교육과정!$B$3:$B$102,MATCH($D1218,교육과정!$A$3:$A$102,0)),"미등록과정"))</f>
        <v/>
      </c>
      <c r="F1218" s="13"/>
      <c r="G1218" s="9"/>
      <c r="H1218" s="9"/>
    </row>
    <row r="1219" customFormat="false" ht="15" hidden="false" customHeight="true" outlineLevel="0" collapsed="false">
      <c r="A1219" s="11"/>
      <c r="B1219" s="9"/>
      <c r="C1219" s="15" t="str">
        <f aca="false">IF($B1219="","",IFERROR(INDEX(직원목록!$B$3:$B$302,MATCH($B1219,직원목록!$A$3:$A$302,0)),"미등록사번"))</f>
        <v/>
      </c>
      <c r="D1219" s="9"/>
      <c r="E1219" s="15" t="str">
        <f aca="false">IF($D1219="","",IFERROR(INDEX(교육과정!$B$3:$B$102,MATCH($D1219,교육과정!$A$3:$A$102,0)),"미등록과정"))</f>
        <v/>
      </c>
      <c r="F1219" s="13"/>
      <c r="G1219" s="9"/>
      <c r="H1219" s="9"/>
    </row>
    <row r="1220" customFormat="false" ht="15" hidden="false" customHeight="true" outlineLevel="0" collapsed="false">
      <c r="A1220" s="11"/>
      <c r="B1220" s="9"/>
      <c r="C1220" s="15" t="str">
        <f aca="false">IF($B1220="","",IFERROR(INDEX(직원목록!$B$3:$B$302,MATCH($B1220,직원목록!$A$3:$A$302,0)),"미등록사번"))</f>
        <v/>
      </c>
      <c r="D1220" s="9"/>
      <c r="E1220" s="15" t="str">
        <f aca="false">IF($D1220="","",IFERROR(INDEX(교육과정!$B$3:$B$102,MATCH($D1220,교육과정!$A$3:$A$102,0)),"미등록과정"))</f>
        <v/>
      </c>
      <c r="F1220" s="13"/>
      <c r="G1220" s="9"/>
      <c r="H1220" s="9"/>
    </row>
    <row r="1221" customFormat="false" ht="15" hidden="false" customHeight="true" outlineLevel="0" collapsed="false">
      <c r="A1221" s="11"/>
      <c r="B1221" s="9"/>
      <c r="C1221" s="15" t="str">
        <f aca="false">IF($B1221="","",IFERROR(INDEX(직원목록!$B$3:$B$302,MATCH($B1221,직원목록!$A$3:$A$302,0)),"미등록사번"))</f>
        <v/>
      </c>
      <c r="D1221" s="9"/>
      <c r="E1221" s="15" t="str">
        <f aca="false">IF($D1221="","",IFERROR(INDEX(교육과정!$B$3:$B$102,MATCH($D1221,교육과정!$A$3:$A$102,0)),"미등록과정"))</f>
        <v/>
      </c>
      <c r="F1221" s="13"/>
      <c r="G1221" s="9"/>
      <c r="H1221" s="9"/>
    </row>
    <row r="1222" customFormat="false" ht="15" hidden="false" customHeight="true" outlineLevel="0" collapsed="false">
      <c r="A1222" s="11"/>
      <c r="B1222" s="9"/>
      <c r="C1222" s="15" t="str">
        <f aca="false">IF($B1222="","",IFERROR(INDEX(직원목록!$B$3:$B$302,MATCH($B1222,직원목록!$A$3:$A$302,0)),"미등록사번"))</f>
        <v/>
      </c>
      <c r="D1222" s="9"/>
      <c r="E1222" s="15" t="str">
        <f aca="false">IF($D1222="","",IFERROR(INDEX(교육과정!$B$3:$B$102,MATCH($D1222,교육과정!$A$3:$A$102,0)),"미등록과정"))</f>
        <v/>
      </c>
      <c r="F1222" s="13"/>
      <c r="G1222" s="9"/>
      <c r="H1222" s="9"/>
    </row>
    <row r="1223" customFormat="false" ht="15" hidden="false" customHeight="true" outlineLevel="0" collapsed="false">
      <c r="A1223" s="11"/>
      <c r="B1223" s="9"/>
      <c r="C1223" s="15" t="str">
        <f aca="false">IF($B1223="","",IFERROR(INDEX(직원목록!$B$3:$B$302,MATCH($B1223,직원목록!$A$3:$A$302,0)),"미등록사번"))</f>
        <v/>
      </c>
      <c r="D1223" s="9"/>
      <c r="E1223" s="15" t="str">
        <f aca="false">IF($D1223="","",IFERROR(INDEX(교육과정!$B$3:$B$102,MATCH($D1223,교육과정!$A$3:$A$102,0)),"미등록과정"))</f>
        <v/>
      </c>
      <c r="F1223" s="13"/>
      <c r="G1223" s="9"/>
      <c r="H1223" s="9"/>
    </row>
    <row r="1224" customFormat="false" ht="15" hidden="false" customHeight="true" outlineLevel="0" collapsed="false">
      <c r="A1224" s="11"/>
      <c r="B1224" s="9"/>
      <c r="C1224" s="15" t="str">
        <f aca="false">IF($B1224="","",IFERROR(INDEX(직원목록!$B$3:$B$302,MATCH($B1224,직원목록!$A$3:$A$302,0)),"미등록사번"))</f>
        <v/>
      </c>
      <c r="D1224" s="9"/>
      <c r="E1224" s="15" t="str">
        <f aca="false">IF($D1224="","",IFERROR(INDEX(교육과정!$B$3:$B$102,MATCH($D1224,교육과정!$A$3:$A$102,0)),"미등록과정"))</f>
        <v/>
      </c>
      <c r="F1224" s="13"/>
      <c r="G1224" s="9"/>
      <c r="H1224" s="9"/>
    </row>
    <row r="1225" customFormat="false" ht="15" hidden="false" customHeight="true" outlineLevel="0" collapsed="false">
      <c r="A1225" s="11"/>
      <c r="B1225" s="9"/>
      <c r="C1225" s="15" t="str">
        <f aca="false">IF($B1225="","",IFERROR(INDEX(직원목록!$B$3:$B$302,MATCH($B1225,직원목록!$A$3:$A$302,0)),"미등록사번"))</f>
        <v/>
      </c>
      <c r="D1225" s="9"/>
      <c r="E1225" s="15" t="str">
        <f aca="false">IF($D1225="","",IFERROR(INDEX(교육과정!$B$3:$B$102,MATCH($D1225,교육과정!$A$3:$A$102,0)),"미등록과정"))</f>
        <v/>
      </c>
      <c r="F1225" s="13"/>
      <c r="G1225" s="9"/>
      <c r="H1225" s="9"/>
    </row>
    <row r="1226" customFormat="false" ht="15" hidden="false" customHeight="true" outlineLevel="0" collapsed="false">
      <c r="A1226" s="11"/>
      <c r="B1226" s="9"/>
      <c r="C1226" s="15" t="str">
        <f aca="false">IF($B1226="","",IFERROR(INDEX(직원목록!$B$3:$B$302,MATCH($B1226,직원목록!$A$3:$A$302,0)),"미등록사번"))</f>
        <v/>
      </c>
      <c r="D1226" s="9"/>
      <c r="E1226" s="15" t="str">
        <f aca="false">IF($D1226="","",IFERROR(INDEX(교육과정!$B$3:$B$102,MATCH($D1226,교육과정!$A$3:$A$102,0)),"미등록과정"))</f>
        <v/>
      </c>
      <c r="F1226" s="13"/>
      <c r="G1226" s="9"/>
      <c r="H1226" s="9"/>
    </row>
    <row r="1227" customFormat="false" ht="15" hidden="false" customHeight="true" outlineLevel="0" collapsed="false">
      <c r="A1227" s="11"/>
      <c r="B1227" s="9"/>
      <c r="C1227" s="15" t="str">
        <f aca="false">IF($B1227="","",IFERROR(INDEX(직원목록!$B$3:$B$302,MATCH($B1227,직원목록!$A$3:$A$302,0)),"미등록사번"))</f>
        <v/>
      </c>
      <c r="D1227" s="9"/>
      <c r="E1227" s="15" t="str">
        <f aca="false">IF($D1227="","",IFERROR(INDEX(교육과정!$B$3:$B$102,MATCH($D1227,교육과정!$A$3:$A$102,0)),"미등록과정"))</f>
        <v/>
      </c>
      <c r="F1227" s="13"/>
      <c r="G1227" s="9"/>
      <c r="H1227" s="9"/>
    </row>
    <row r="1228" customFormat="false" ht="15" hidden="false" customHeight="true" outlineLevel="0" collapsed="false">
      <c r="A1228" s="11"/>
      <c r="B1228" s="9"/>
      <c r="C1228" s="15" t="str">
        <f aca="false">IF($B1228="","",IFERROR(INDEX(직원목록!$B$3:$B$302,MATCH($B1228,직원목록!$A$3:$A$302,0)),"미등록사번"))</f>
        <v/>
      </c>
      <c r="D1228" s="9"/>
      <c r="E1228" s="15" t="str">
        <f aca="false">IF($D1228="","",IFERROR(INDEX(교육과정!$B$3:$B$102,MATCH($D1228,교육과정!$A$3:$A$102,0)),"미등록과정"))</f>
        <v/>
      </c>
      <c r="F1228" s="13"/>
      <c r="G1228" s="9"/>
      <c r="H1228" s="9"/>
    </row>
    <row r="1229" customFormat="false" ht="15" hidden="false" customHeight="true" outlineLevel="0" collapsed="false">
      <c r="A1229" s="11"/>
      <c r="B1229" s="9"/>
      <c r="C1229" s="15" t="str">
        <f aca="false">IF($B1229="","",IFERROR(INDEX(직원목록!$B$3:$B$302,MATCH($B1229,직원목록!$A$3:$A$302,0)),"미등록사번"))</f>
        <v/>
      </c>
      <c r="D1229" s="9"/>
      <c r="E1229" s="15" t="str">
        <f aca="false">IF($D1229="","",IFERROR(INDEX(교육과정!$B$3:$B$102,MATCH($D1229,교육과정!$A$3:$A$102,0)),"미등록과정"))</f>
        <v/>
      </c>
      <c r="F1229" s="13"/>
      <c r="G1229" s="9"/>
      <c r="H1229" s="9"/>
    </row>
    <row r="1230" customFormat="false" ht="15" hidden="false" customHeight="true" outlineLevel="0" collapsed="false">
      <c r="A1230" s="11"/>
      <c r="B1230" s="9"/>
      <c r="C1230" s="15" t="str">
        <f aca="false">IF($B1230="","",IFERROR(INDEX(직원목록!$B$3:$B$302,MATCH($B1230,직원목록!$A$3:$A$302,0)),"미등록사번"))</f>
        <v/>
      </c>
      <c r="D1230" s="9"/>
      <c r="E1230" s="15" t="str">
        <f aca="false">IF($D1230="","",IFERROR(INDEX(교육과정!$B$3:$B$102,MATCH($D1230,교육과정!$A$3:$A$102,0)),"미등록과정"))</f>
        <v/>
      </c>
      <c r="F1230" s="13"/>
      <c r="G1230" s="9"/>
      <c r="H1230" s="9"/>
    </row>
    <row r="1231" customFormat="false" ht="15" hidden="false" customHeight="true" outlineLevel="0" collapsed="false">
      <c r="A1231" s="11"/>
      <c r="B1231" s="9"/>
      <c r="C1231" s="15" t="str">
        <f aca="false">IF($B1231="","",IFERROR(INDEX(직원목록!$B$3:$B$302,MATCH($B1231,직원목록!$A$3:$A$302,0)),"미등록사번"))</f>
        <v/>
      </c>
      <c r="D1231" s="9"/>
      <c r="E1231" s="15" t="str">
        <f aca="false">IF($D1231="","",IFERROR(INDEX(교육과정!$B$3:$B$102,MATCH($D1231,교육과정!$A$3:$A$102,0)),"미등록과정"))</f>
        <v/>
      </c>
      <c r="F1231" s="13"/>
      <c r="G1231" s="9"/>
      <c r="H1231" s="9"/>
    </row>
    <row r="1232" customFormat="false" ht="15" hidden="false" customHeight="true" outlineLevel="0" collapsed="false">
      <c r="A1232" s="11"/>
      <c r="B1232" s="9"/>
      <c r="C1232" s="15" t="str">
        <f aca="false">IF($B1232="","",IFERROR(INDEX(직원목록!$B$3:$B$302,MATCH($B1232,직원목록!$A$3:$A$302,0)),"미등록사번"))</f>
        <v/>
      </c>
      <c r="D1232" s="9"/>
      <c r="E1232" s="15" t="str">
        <f aca="false">IF($D1232="","",IFERROR(INDEX(교육과정!$B$3:$B$102,MATCH($D1232,교육과정!$A$3:$A$102,0)),"미등록과정"))</f>
        <v/>
      </c>
      <c r="F1232" s="13"/>
      <c r="G1232" s="9"/>
      <c r="H1232" s="9"/>
    </row>
    <row r="1233" customFormat="false" ht="15" hidden="false" customHeight="true" outlineLevel="0" collapsed="false">
      <c r="A1233" s="11"/>
      <c r="B1233" s="9"/>
      <c r="C1233" s="15" t="str">
        <f aca="false">IF($B1233="","",IFERROR(INDEX(직원목록!$B$3:$B$302,MATCH($B1233,직원목록!$A$3:$A$302,0)),"미등록사번"))</f>
        <v/>
      </c>
      <c r="D1233" s="9"/>
      <c r="E1233" s="15" t="str">
        <f aca="false">IF($D1233="","",IFERROR(INDEX(교육과정!$B$3:$B$102,MATCH($D1233,교육과정!$A$3:$A$102,0)),"미등록과정"))</f>
        <v/>
      </c>
      <c r="F1233" s="13"/>
      <c r="G1233" s="9"/>
      <c r="H1233" s="9"/>
    </row>
    <row r="1234" customFormat="false" ht="15" hidden="false" customHeight="true" outlineLevel="0" collapsed="false">
      <c r="A1234" s="11"/>
      <c r="B1234" s="9"/>
      <c r="C1234" s="15" t="str">
        <f aca="false">IF($B1234="","",IFERROR(INDEX(직원목록!$B$3:$B$302,MATCH($B1234,직원목록!$A$3:$A$302,0)),"미등록사번"))</f>
        <v/>
      </c>
      <c r="D1234" s="9"/>
      <c r="E1234" s="15" t="str">
        <f aca="false">IF($D1234="","",IFERROR(INDEX(교육과정!$B$3:$B$102,MATCH($D1234,교육과정!$A$3:$A$102,0)),"미등록과정"))</f>
        <v/>
      </c>
      <c r="F1234" s="13"/>
      <c r="G1234" s="9"/>
      <c r="H1234" s="9"/>
    </row>
    <row r="1235" customFormat="false" ht="15" hidden="false" customHeight="true" outlineLevel="0" collapsed="false">
      <c r="A1235" s="11"/>
      <c r="B1235" s="9"/>
      <c r="C1235" s="15" t="str">
        <f aca="false">IF($B1235="","",IFERROR(INDEX(직원목록!$B$3:$B$302,MATCH($B1235,직원목록!$A$3:$A$302,0)),"미등록사번"))</f>
        <v/>
      </c>
      <c r="D1235" s="9"/>
      <c r="E1235" s="15" t="str">
        <f aca="false">IF($D1235="","",IFERROR(INDEX(교육과정!$B$3:$B$102,MATCH($D1235,교육과정!$A$3:$A$102,0)),"미등록과정"))</f>
        <v/>
      </c>
      <c r="F1235" s="13"/>
      <c r="G1235" s="9"/>
      <c r="H1235" s="9"/>
    </row>
    <row r="1236" customFormat="false" ht="15" hidden="false" customHeight="true" outlineLevel="0" collapsed="false">
      <c r="A1236" s="11"/>
      <c r="B1236" s="9"/>
      <c r="C1236" s="15" t="str">
        <f aca="false">IF($B1236="","",IFERROR(INDEX(직원목록!$B$3:$B$302,MATCH($B1236,직원목록!$A$3:$A$302,0)),"미등록사번"))</f>
        <v/>
      </c>
      <c r="D1236" s="9"/>
      <c r="E1236" s="15" t="str">
        <f aca="false">IF($D1236="","",IFERROR(INDEX(교육과정!$B$3:$B$102,MATCH($D1236,교육과정!$A$3:$A$102,0)),"미등록과정"))</f>
        <v/>
      </c>
      <c r="F1236" s="13"/>
      <c r="G1236" s="9"/>
      <c r="H1236" s="9"/>
    </row>
    <row r="1237" customFormat="false" ht="15" hidden="false" customHeight="true" outlineLevel="0" collapsed="false">
      <c r="A1237" s="11"/>
      <c r="B1237" s="9"/>
      <c r="C1237" s="15" t="str">
        <f aca="false">IF($B1237="","",IFERROR(INDEX(직원목록!$B$3:$B$302,MATCH($B1237,직원목록!$A$3:$A$302,0)),"미등록사번"))</f>
        <v/>
      </c>
      <c r="D1237" s="9"/>
      <c r="E1237" s="15" t="str">
        <f aca="false">IF($D1237="","",IFERROR(INDEX(교육과정!$B$3:$B$102,MATCH($D1237,교육과정!$A$3:$A$102,0)),"미등록과정"))</f>
        <v/>
      </c>
      <c r="F1237" s="13"/>
      <c r="G1237" s="9"/>
      <c r="H1237" s="9"/>
    </row>
    <row r="1238" customFormat="false" ht="15" hidden="false" customHeight="true" outlineLevel="0" collapsed="false">
      <c r="A1238" s="11"/>
      <c r="B1238" s="9"/>
      <c r="C1238" s="15" t="str">
        <f aca="false">IF($B1238="","",IFERROR(INDEX(직원목록!$B$3:$B$302,MATCH($B1238,직원목록!$A$3:$A$302,0)),"미등록사번"))</f>
        <v/>
      </c>
      <c r="D1238" s="9"/>
      <c r="E1238" s="15" t="str">
        <f aca="false">IF($D1238="","",IFERROR(INDEX(교육과정!$B$3:$B$102,MATCH($D1238,교육과정!$A$3:$A$102,0)),"미등록과정"))</f>
        <v/>
      </c>
      <c r="F1238" s="13"/>
      <c r="G1238" s="9"/>
      <c r="H1238" s="9"/>
    </row>
    <row r="1239" customFormat="false" ht="15" hidden="false" customHeight="true" outlineLevel="0" collapsed="false">
      <c r="A1239" s="11"/>
      <c r="B1239" s="9"/>
      <c r="C1239" s="15" t="str">
        <f aca="false">IF($B1239="","",IFERROR(INDEX(직원목록!$B$3:$B$302,MATCH($B1239,직원목록!$A$3:$A$302,0)),"미등록사번"))</f>
        <v/>
      </c>
      <c r="D1239" s="9"/>
      <c r="E1239" s="15" t="str">
        <f aca="false">IF($D1239="","",IFERROR(INDEX(교육과정!$B$3:$B$102,MATCH($D1239,교육과정!$A$3:$A$102,0)),"미등록과정"))</f>
        <v/>
      </c>
      <c r="F1239" s="13"/>
      <c r="G1239" s="9"/>
      <c r="H1239" s="9"/>
    </row>
    <row r="1240" customFormat="false" ht="15" hidden="false" customHeight="true" outlineLevel="0" collapsed="false">
      <c r="A1240" s="11"/>
      <c r="B1240" s="9"/>
      <c r="C1240" s="15" t="str">
        <f aca="false">IF($B1240="","",IFERROR(INDEX(직원목록!$B$3:$B$302,MATCH($B1240,직원목록!$A$3:$A$302,0)),"미등록사번"))</f>
        <v/>
      </c>
      <c r="D1240" s="9"/>
      <c r="E1240" s="15" t="str">
        <f aca="false">IF($D1240="","",IFERROR(INDEX(교육과정!$B$3:$B$102,MATCH($D1240,교육과정!$A$3:$A$102,0)),"미등록과정"))</f>
        <v/>
      </c>
      <c r="F1240" s="13"/>
      <c r="G1240" s="9"/>
      <c r="H1240" s="9"/>
    </row>
    <row r="1241" customFormat="false" ht="15" hidden="false" customHeight="true" outlineLevel="0" collapsed="false">
      <c r="A1241" s="11"/>
      <c r="B1241" s="9"/>
      <c r="C1241" s="15" t="str">
        <f aca="false">IF($B1241="","",IFERROR(INDEX(직원목록!$B$3:$B$302,MATCH($B1241,직원목록!$A$3:$A$302,0)),"미등록사번"))</f>
        <v/>
      </c>
      <c r="D1241" s="9"/>
      <c r="E1241" s="15" t="str">
        <f aca="false">IF($D1241="","",IFERROR(INDEX(교육과정!$B$3:$B$102,MATCH($D1241,교육과정!$A$3:$A$102,0)),"미등록과정"))</f>
        <v/>
      </c>
      <c r="F1241" s="13"/>
      <c r="G1241" s="9"/>
      <c r="H1241" s="9"/>
    </row>
    <row r="1242" customFormat="false" ht="15" hidden="false" customHeight="true" outlineLevel="0" collapsed="false">
      <c r="A1242" s="11"/>
      <c r="B1242" s="9"/>
      <c r="C1242" s="15" t="str">
        <f aca="false">IF($B1242="","",IFERROR(INDEX(직원목록!$B$3:$B$302,MATCH($B1242,직원목록!$A$3:$A$302,0)),"미등록사번"))</f>
        <v/>
      </c>
      <c r="D1242" s="9"/>
      <c r="E1242" s="15" t="str">
        <f aca="false">IF($D1242="","",IFERROR(INDEX(교육과정!$B$3:$B$102,MATCH($D1242,교육과정!$A$3:$A$102,0)),"미등록과정"))</f>
        <v/>
      </c>
      <c r="F1242" s="13"/>
      <c r="G1242" s="9"/>
      <c r="H1242" s="9"/>
    </row>
    <row r="1243" customFormat="false" ht="15" hidden="false" customHeight="true" outlineLevel="0" collapsed="false">
      <c r="A1243" s="11"/>
      <c r="B1243" s="9"/>
      <c r="C1243" s="15" t="str">
        <f aca="false">IF($B1243="","",IFERROR(INDEX(직원목록!$B$3:$B$302,MATCH($B1243,직원목록!$A$3:$A$302,0)),"미등록사번"))</f>
        <v/>
      </c>
      <c r="D1243" s="9"/>
      <c r="E1243" s="15" t="str">
        <f aca="false">IF($D1243="","",IFERROR(INDEX(교육과정!$B$3:$B$102,MATCH($D1243,교육과정!$A$3:$A$102,0)),"미등록과정"))</f>
        <v/>
      </c>
      <c r="F1243" s="13"/>
      <c r="G1243" s="9"/>
      <c r="H1243" s="9"/>
    </row>
    <row r="1244" customFormat="false" ht="15" hidden="false" customHeight="true" outlineLevel="0" collapsed="false">
      <c r="A1244" s="11"/>
      <c r="B1244" s="9"/>
      <c r="C1244" s="15" t="str">
        <f aca="false">IF($B1244="","",IFERROR(INDEX(직원목록!$B$3:$B$302,MATCH($B1244,직원목록!$A$3:$A$302,0)),"미등록사번"))</f>
        <v/>
      </c>
      <c r="D1244" s="9"/>
      <c r="E1244" s="15" t="str">
        <f aca="false">IF($D1244="","",IFERROR(INDEX(교육과정!$B$3:$B$102,MATCH($D1244,교육과정!$A$3:$A$102,0)),"미등록과정"))</f>
        <v/>
      </c>
      <c r="F1244" s="13"/>
      <c r="G1244" s="9"/>
      <c r="H1244" s="9"/>
    </row>
    <row r="1245" customFormat="false" ht="15" hidden="false" customHeight="true" outlineLevel="0" collapsed="false">
      <c r="A1245" s="11"/>
      <c r="B1245" s="9"/>
      <c r="C1245" s="15" t="str">
        <f aca="false">IF($B1245="","",IFERROR(INDEX(직원목록!$B$3:$B$302,MATCH($B1245,직원목록!$A$3:$A$302,0)),"미등록사번"))</f>
        <v/>
      </c>
      <c r="D1245" s="9"/>
      <c r="E1245" s="15" t="str">
        <f aca="false">IF($D1245="","",IFERROR(INDEX(교육과정!$B$3:$B$102,MATCH($D1245,교육과정!$A$3:$A$102,0)),"미등록과정"))</f>
        <v/>
      </c>
      <c r="F1245" s="13"/>
      <c r="G1245" s="9"/>
      <c r="H1245" s="9"/>
    </row>
    <row r="1246" customFormat="false" ht="15" hidden="false" customHeight="true" outlineLevel="0" collapsed="false">
      <c r="A1246" s="11"/>
      <c r="B1246" s="9"/>
      <c r="C1246" s="15" t="str">
        <f aca="false">IF($B1246="","",IFERROR(INDEX(직원목록!$B$3:$B$302,MATCH($B1246,직원목록!$A$3:$A$302,0)),"미등록사번"))</f>
        <v/>
      </c>
      <c r="D1246" s="9"/>
      <c r="E1246" s="15" t="str">
        <f aca="false">IF($D1246="","",IFERROR(INDEX(교육과정!$B$3:$B$102,MATCH($D1246,교육과정!$A$3:$A$102,0)),"미등록과정"))</f>
        <v/>
      </c>
      <c r="F1246" s="13"/>
      <c r="G1246" s="9"/>
      <c r="H1246" s="9"/>
    </row>
    <row r="1247" customFormat="false" ht="15" hidden="false" customHeight="true" outlineLevel="0" collapsed="false">
      <c r="A1247" s="11"/>
      <c r="B1247" s="9"/>
      <c r="C1247" s="15" t="str">
        <f aca="false">IF($B1247="","",IFERROR(INDEX(직원목록!$B$3:$B$302,MATCH($B1247,직원목록!$A$3:$A$302,0)),"미등록사번"))</f>
        <v/>
      </c>
      <c r="D1247" s="9"/>
      <c r="E1247" s="15" t="str">
        <f aca="false">IF($D1247="","",IFERROR(INDEX(교육과정!$B$3:$B$102,MATCH($D1247,교육과정!$A$3:$A$102,0)),"미등록과정"))</f>
        <v/>
      </c>
      <c r="F1247" s="13"/>
      <c r="G1247" s="9"/>
      <c r="H1247" s="9"/>
    </row>
    <row r="1248" customFormat="false" ht="15" hidden="false" customHeight="true" outlineLevel="0" collapsed="false">
      <c r="A1248" s="11"/>
      <c r="B1248" s="9"/>
      <c r="C1248" s="15" t="str">
        <f aca="false">IF($B1248="","",IFERROR(INDEX(직원목록!$B$3:$B$302,MATCH($B1248,직원목록!$A$3:$A$302,0)),"미등록사번"))</f>
        <v/>
      </c>
      <c r="D1248" s="9"/>
      <c r="E1248" s="15" t="str">
        <f aca="false">IF($D1248="","",IFERROR(INDEX(교육과정!$B$3:$B$102,MATCH($D1248,교육과정!$A$3:$A$102,0)),"미등록과정"))</f>
        <v/>
      </c>
      <c r="F1248" s="13"/>
      <c r="G1248" s="9"/>
      <c r="H1248" s="9"/>
    </row>
    <row r="1249" customFormat="false" ht="15" hidden="false" customHeight="true" outlineLevel="0" collapsed="false">
      <c r="A1249" s="11"/>
      <c r="B1249" s="9"/>
      <c r="C1249" s="15" t="str">
        <f aca="false">IF($B1249="","",IFERROR(INDEX(직원목록!$B$3:$B$302,MATCH($B1249,직원목록!$A$3:$A$302,0)),"미등록사번"))</f>
        <v/>
      </c>
      <c r="D1249" s="9"/>
      <c r="E1249" s="15" t="str">
        <f aca="false">IF($D1249="","",IFERROR(INDEX(교육과정!$B$3:$B$102,MATCH($D1249,교육과정!$A$3:$A$102,0)),"미등록과정"))</f>
        <v/>
      </c>
      <c r="F1249" s="13"/>
      <c r="G1249" s="9"/>
      <c r="H1249" s="9"/>
    </row>
    <row r="1250" customFormat="false" ht="15" hidden="false" customHeight="true" outlineLevel="0" collapsed="false">
      <c r="A1250" s="11"/>
      <c r="B1250" s="9"/>
      <c r="C1250" s="15" t="str">
        <f aca="false">IF($B1250="","",IFERROR(INDEX(직원목록!$B$3:$B$302,MATCH($B1250,직원목록!$A$3:$A$302,0)),"미등록사번"))</f>
        <v/>
      </c>
      <c r="D1250" s="9"/>
      <c r="E1250" s="15" t="str">
        <f aca="false">IF($D1250="","",IFERROR(INDEX(교육과정!$B$3:$B$102,MATCH($D1250,교육과정!$A$3:$A$102,0)),"미등록과정"))</f>
        <v/>
      </c>
      <c r="F1250" s="13"/>
      <c r="G1250" s="9"/>
      <c r="H1250" s="9"/>
    </row>
    <row r="1251" customFormat="false" ht="15" hidden="false" customHeight="true" outlineLevel="0" collapsed="false">
      <c r="A1251" s="11"/>
      <c r="B1251" s="9"/>
      <c r="C1251" s="15" t="str">
        <f aca="false">IF($B1251="","",IFERROR(INDEX(직원목록!$B$3:$B$302,MATCH($B1251,직원목록!$A$3:$A$302,0)),"미등록사번"))</f>
        <v/>
      </c>
      <c r="D1251" s="9"/>
      <c r="E1251" s="15" t="str">
        <f aca="false">IF($D1251="","",IFERROR(INDEX(교육과정!$B$3:$B$102,MATCH($D1251,교육과정!$A$3:$A$102,0)),"미등록과정"))</f>
        <v/>
      </c>
      <c r="F1251" s="13"/>
      <c r="G1251" s="9"/>
      <c r="H1251" s="9"/>
    </row>
    <row r="1252" customFormat="false" ht="15" hidden="false" customHeight="true" outlineLevel="0" collapsed="false">
      <c r="A1252" s="11"/>
      <c r="B1252" s="9"/>
      <c r="C1252" s="15" t="str">
        <f aca="false">IF($B1252="","",IFERROR(INDEX(직원목록!$B$3:$B$302,MATCH($B1252,직원목록!$A$3:$A$302,0)),"미등록사번"))</f>
        <v/>
      </c>
      <c r="D1252" s="9"/>
      <c r="E1252" s="15" t="str">
        <f aca="false">IF($D1252="","",IFERROR(INDEX(교육과정!$B$3:$B$102,MATCH($D1252,교육과정!$A$3:$A$102,0)),"미등록과정"))</f>
        <v/>
      </c>
      <c r="F1252" s="13"/>
      <c r="G1252" s="9"/>
      <c r="H1252" s="9"/>
    </row>
    <row r="1253" customFormat="false" ht="15" hidden="false" customHeight="true" outlineLevel="0" collapsed="false">
      <c r="A1253" s="11"/>
      <c r="B1253" s="9"/>
      <c r="C1253" s="15" t="str">
        <f aca="false">IF($B1253="","",IFERROR(INDEX(직원목록!$B$3:$B$302,MATCH($B1253,직원목록!$A$3:$A$302,0)),"미등록사번"))</f>
        <v/>
      </c>
      <c r="D1253" s="9"/>
      <c r="E1253" s="15" t="str">
        <f aca="false">IF($D1253="","",IFERROR(INDEX(교육과정!$B$3:$B$102,MATCH($D1253,교육과정!$A$3:$A$102,0)),"미등록과정"))</f>
        <v/>
      </c>
      <c r="F1253" s="13"/>
      <c r="G1253" s="9"/>
      <c r="H1253" s="9"/>
    </row>
    <row r="1254" customFormat="false" ht="15" hidden="false" customHeight="true" outlineLevel="0" collapsed="false">
      <c r="A1254" s="11"/>
      <c r="B1254" s="9"/>
      <c r="C1254" s="15" t="str">
        <f aca="false">IF($B1254="","",IFERROR(INDEX(직원목록!$B$3:$B$302,MATCH($B1254,직원목록!$A$3:$A$302,0)),"미등록사번"))</f>
        <v/>
      </c>
      <c r="D1254" s="9"/>
      <c r="E1254" s="15" t="str">
        <f aca="false">IF($D1254="","",IFERROR(INDEX(교육과정!$B$3:$B$102,MATCH($D1254,교육과정!$A$3:$A$102,0)),"미등록과정"))</f>
        <v/>
      </c>
      <c r="F1254" s="13"/>
      <c r="G1254" s="9"/>
      <c r="H1254" s="9"/>
    </row>
    <row r="1255" customFormat="false" ht="15" hidden="false" customHeight="true" outlineLevel="0" collapsed="false">
      <c r="A1255" s="11"/>
      <c r="B1255" s="9"/>
      <c r="C1255" s="15" t="str">
        <f aca="false">IF($B1255="","",IFERROR(INDEX(직원목록!$B$3:$B$302,MATCH($B1255,직원목록!$A$3:$A$302,0)),"미등록사번"))</f>
        <v/>
      </c>
      <c r="D1255" s="9"/>
      <c r="E1255" s="15" t="str">
        <f aca="false">IF($D1255="","",IFERROR(INDEX(교육과정!$B$3:$B$102,MATCH($D1255,교육과정!$A$3:$A$102,0)),"미등록과정"))</f>
        <v/>
      </c>
      <c r="F1255" s="13"/>
      <c r="G1255" s="9"/>
      <c r="H1255" s="9"/>
    </row>
    <row r="1256" customFormat="false" ht="15" hidden="false" customHeight="true" outlineLevel="0" collapsed="false">
      <c r="A1256" s="11"/>
      <c r="B1256" s="9"/>
      <c r="C1256" s="15" t="str">
        <f aca="false">IF($B1256="","",IFERROR(INDEX(직원목록!$B$3:$B$302,MATCH($B1256,직원목록!$A$3:$A$302,0)),"미등록사번"))</f>
        <v/>
      </c>
      <c r="D1256" s="9"/>
      <c r="E1256" s="15" t="str">
        <f aca="false">IF($D1256="","",IFERROR(INDEX(교육과정!$B$3:$B$102,MATCH($D1256,교육과정!$A$3:$A$102,0)),"미등록과정"))</f>
        <v/>
      </c>
      <c r="F1256" s="13"/>
      <c r="G1256" s="9"/>
      <c r="H1256" s="9"/>
    </row>
    <row r="1257" customFormat="false" ht="15" hidden="false" customHeight="true" outlineLevel="0" collapsed="false">
      <c r="A1257" s="11"/>
      <c r="B1257" s="9"/>
      <c r="C1257" s="15" t="str">
        <f aca="false">IF($B1257="","",IFERROR(INDEX(직원목록!$B$3:$B$302,MATCH($B1257,직원목록!$A$3:$A$302,0)),"미등록사번"))</f>
        <v/>
      </c>
      <c r="D1257" s="9"/>
      <c r="E1257" s="15" t="str">
        <f aca="false">IF($D1257="","",IFERROR(INDEX(교육과정!$B$3:$B$102,MATCH($D1257,교육과정!$A$3:$A$102,0)),"미등록과정"))</f>
        <v/>
      </c>
      <c r="F1257" s="13"/>
      <c r="G1257" s="9"/>
      <c r="H1257" s="9"/>
    </row>
    <row r="1258" customFormat="false" ht="15" hidden="false" customHeight="true" outlineLevel="0" collapsed="false">
      <c r="A1258" s="11"/>
      <c r="B1258" s="9"/>
      <c r="C1258" s="15" t="str">
        <f aca="false">IF($B1258="","",IFERROR(INDEX(직원목록!$B$3:$B$302,MATCH($B1258,직원목록!$A$3:$A$302,0)),"미등록사번"))</f>
        <v/>
      </c>
      <c r="D1258" s="9"/>
      <c r="E1258" s="15" t="str">
        <f aca="false">IF($D1258="","",IFERROR(INDEX(교육과정!$B$3:$B$102,MATCH($D1258,교육과정!$A$3:$A$102,0)),"미등록과정"))</f>
        <v/>
      </c>
      <c r="F1258" s="13"/>
      <c r="G1258" s="9"/>
      <c r="H1258" s="9"/>
    </row>
    <row r="1259" customFormat="false" ht="15" hidden="false" customHeight="true" outlineLevel="0" collapsed="false">
      <c r="A1259" s="11"/>
      <c r="B1259" s="9"/>
      <c r="C1259" s="15" t="str">
        <f aca="false">IF($B1259="","",IFERROR(INDEX(직원목록!$B$3:$B$302,MATCH($B1259,직원목록!$A$3:$A$302,0)),"미등록사번"))</f>
        <v/>
      </c>
      <c r="D1259" s="9"/>
      <c r="E1259" s="15" t="str">
        <f aca="false">IF($D1259="","",IFERROR(INDEX(교육과정!$B$3:$B$102,MATCH($D1259,교육과정!$A$3:$A$102,0)),"미등록과정"))</f>
        <v/>
      </c>
      <c r="F1259" s="13"/>
      <c r="G1259" s="9"/>
      <c r="H1259" s="9"/>
    </row>
    <row r="1260" customFormat="false" ht="15" hidden="false" customHeight="true" outlineLevel="0" collapsed="false">
      <c r="A1260" s="11"/>
      <c r="B1260" s="9"/>
      <c r="C1260" s="15" t="str">
        <f aca="false">IF($B1260="","",IFERROR(INDEX(직원목록!$B$3:$B$302,MATCH($B1260,직원목록!$A$3:$A$302,0)),"미등록사번"))</f>
        <v/>
      </c>
      <c r="D1260" s="9"/>
      <c r="E1260" s="15" t="str">
        <f aca="false">IF($D1260="","",IFERROR(INDEX(교육과정!$B$3:$B$102,MATCH($D1260,교육과정!$A$3:$A$102,0)),"미등록과정"))</f>
        <v/>
      </c>
      <c r="F1260" s="13"/>
      <c r="G1260" s="9"/>
      <c r="H1260" s="9"/>
    </row>
    <row r="1261" customFormat="false" ht="15" hidden="false" customHeight="true" outlineLevel="0" collapsed="false">
      <c r="A1261" s="11"/>
      <c r="B1261" s="9"/>
      <c r="C1261" s="15" t="str">
        <f aca="false">IF($B1261="","",IFERROR(INDEX(직원목록!$B$3:$B$302,MATCH($B1261,직원목록!$A$3:$A$302,0)),"미등록사번"))</f>
        <v/>
      </c>
      <c r="D1261" s="9"/>
      <c r="E1261" s="15" t="str">
        <f aca="false">IF($D1261="","",IFERROR(INDEX(교육과정!$B$3:$B$102,MATCH($D1261,교육과정!$A$3:$A$102,0)),"미등록과정"))</f>
        <v/>
      </c>
      <c r="F1261" s="13"/>
      <c r="G1261" s="9"/>
      <c r="H1261" s="9"/>
    </row>
    <row r="1262" customFormat="false" ht="15" hidden="false" customHeight="true" outlineLevel="0" collapsed="false">
      <c r="A1262" s="11"/>
      <c r="B1262" s="9"/>
      <c r="C1262" s="15" t="str">
        <f aca="false">IF($B1262="","",IFERROR(INDEX(직원목록!$B$3:$B$302,MATCH($B1262,직원목록!$A$3:$A$302,0)),"미등록사번"))</f>
        <v/>
      </c>
      <c r="D1262" s="9"/>
      <c r="E1262" s="15" t="str">
        <f aca="false">IF($D1262="","",IFERROR(INDEX(교육과정!$B$3:$B$102,MATCH($D1262,교육과정!$A$3:$A$102,0)),"미등록과정"))</f>
        <v/>
      </c>
      <c r="F1262" s="13"/>
      <c r="G1262" s="9"/>
      <c r="H1262" s="9"/>
    </row>
    <row r="1263" customFormat="false" ht="15" hidden="false" customHeight="true" outlineLevel="0" collapsed="false">
      <c r="A1263" s="11"/>
      <c r="B1263" s="9"/>
      <c r="C1263" s="15" t="str">
        <f aca="false">IF($B1263="","",IFERROR(INDEX(직원목록!$B$3:$B$302,MATCH($B1263,직원목록!$A$3:$A$302,0)),"미등록사번"))</f>
        <v/>
      </c>
      <c r="D1263" s="9"/>
      <c r="E1263" s="15" t="str">
        <f aca="false">IF($D1263="","",IFERROR(INDEX(교육과정!$B$3:$B$102,MATCH($D1263,교육과정!$A$3:$A$102,0)),"미등록과정"))</f>
        <v/>
      </c>
      <c r="F1263" s="13"/>
      <c r="G1263" s="9"/>
      <c r="H1263" s="9"/>
    </row>
    <row r="1264" customFormat="false" ht="15" hidden="false" customHeight="true" outlineLevel="0" collapsed="false">
      <c r="A1264" s="11"/>
      <c r="B1264" s="9"/>
      <c r="C1264" s="15" t="str">
        <f aca="false">IF($B1264="","",IFERROR(INDEX(직원목록!$B$3:$B$302,MATCH($B1264,직원목록!$A$3:$A$302,0)),"미등록사번"))</f>
        <v/>
      </c>
      <c r="D1264" s="9"/>
      <c r="E1264" s="15" t="str">
        <f aca="false">IF($D1264="","",IFERROR(INDEX(교육과정!$B$3:$B$102,MATCH($D1264,교육과정!$A$3:$A$102,0)),"미등록과정"))</f>
        <v/>
      </c>
      <c r="F1264" s="13"/>
      <c r="G1264" s="9"/>
      <c r="H1264" s="9"/>
    </row>
    <row r="1265" customFormat="false" ht="15" hidden="false" customHeight="true" outlineLevel="0" collapsed="false">
      <c r="A1265" s="11"/>
      <c r="B1265" s="9"/>
      <c r="C1265" s="15" t="str">
        <f aca="false">IF($B1265="","",IFERROR(INDEX(직원목록!$B$3:$B$302,MATCH($B1265,직원목록!$A$3:$A$302,0)),"미등록사번"))</f>
        <v/>
      </c>
      <c r="D1265" s="9"/>
      <c r="E1265" s="15" t="str">
        <f aca="false">IF($D1265="","",IFERROR(INDEX(교육과정!$B$3:$B$102,MATCH($D1265,교육과정!$A$3:$A$102,0)),"미등록과정"))</f>
        <v/>
      </c>
      <c r="F1265" s="13"/>
      <c r="G1265" s="9"/>
      <c r="H1265" s="9"/>
    </row>
    <row r="1266" customFormat="false" ht="15" hidden="false" customHeight="true" outlineLevel="0" collapsed="false">
      <c r="A1266" s="11"/>
      <c r="B1266" s="9"/>
      <c r="C1266" s="15" t="str">
        <f aca="false">IF($B1266="","",IFERROR(INDEX(직원목록!$B$3:$B$302,MATCH($B1266,직원목록!$A$3:$A$302,0)),"미등록사번"))</f>
        <v/>
      </c>
      <c r="D1266" s="9"/>
      <c r="E1266" s="15" t="str">
        <f aca="false">IF($D1266="","",IFERROR(INDEX(교육과정!$B$3:$B$102,MATCH($D1266,교육과정!$A$3:$A$102,0)),"미등록과정"))</f>
        <v/>
      </c>
      <c r="F1266" s="13"/>
      <c r="G1266" s="9"/>
      <c r="H1266" s="9"/>
    </row>
    <row r="1267" customFormat="false" ht="15" hidden="false" customHeight="true" outlineLevel="0" collapsed="false">
      <c r="A1267" s="11"/>
      <c r="B1267" s="9"/>
      <c r="C1267" s="15" t="str">
        <f aca="false">IF($B1267="","",IFERROR(INDEX(직원목록!$B$3:$B$302,MATCH($B1267,직원목록!$A$3:$A$302,0)),"미등록사번"))</f>
        <v/>
      </c>
      <c r="D1267" s="9"/>
      <c r="E1267" s="15" t="str">
        <f aca="false">IF($D1267="","",IFERROR(INDEX(교육과정!$B$3:$B$102,MATCH($D1267,교육과정!$A$3:$A$102,0)),"미등록과정"))</f>
        <v/>
      </c>
      <c r="F1267" s="13"/>
      <c r="G1267" s="9"/>
      <c r="H1267" s="9"/>
    </row>
    <row r="1268" customFormat="false" ht="15" hidden="false" customHeight="true" outlineLevel="0" collapsed="false">
      <c r="A1268" s="11"/>
      <c r="B1268" s="9"/>
      <c r="C1268" s="15" t="str">
        <f aca="false">IF($B1268="","",IFERROR(INDEX(직원목록!$B$3:$B$302,MATCH($B1268,직원목록!$A$3:$A$302,0)),"미등록사번"))</f>
        <v/>
      </c>
      <c r="D1268" s="9"/>
      <c r="E1268" s="15" t="str">
        <f aca="false">IF($D1268="","",IFERROR(INDEX(교육과정!$B$3:$B$102,MATCH($D1268,교육과정!$A$3:$A$102,0)),"미등록과정"))</f>
        <v/>
      </c>
      <c r="F1268" s="13"/>
      <c r="G1268" s="9"/>
      <c r="H1268" s="9"/>
    </row>
    <row r="1269" customFormat="false" ht="15" hidden="false" customHeight="true" outlineLevel="0" collapsed="false">
      <c r="A1269" s="11"/>
      <c r="B1269" s="9"/>
      <c r="C1269" s="15" t="str">
        <f aca="false">IF($B1269="","",IFERROR(INDEX(직원목록!$B$3:$B$302,MATCH($B1269,직원목록!$A$3:$A$302,0)),"미등록사번"))</f>
        <v/>
      </c>
      <c r="D1269" s="9"/>
      <c r="E1269" s="15" t="str">
        <f aca="false">IF($D1269="","",IFERROR(INDEX(교육과정!$B$3:$B$102,MATCH($D1269,교육과정!$A$3:$A$102,0)),"미등록과정"))</f>
        <v/>
      </c>
      <c r="F1269" s="13"/>
      <c r="G1269" s="9"/>
      <c r="H1269" s="9"/>
    </row>
    <row r="1270" customFormat="false" ht="15" hidden="false" customHeight="true" outlineLevel="0" collapsed="false">
      <c r="A1270" s="11"/>
      <c r="B1270" s="9"/>
      <c r="C1270" s="15" t="str">
        <f aca="false">IF($B1270="","",IFERROR(INDEX(직원목록!$B$3:$B$302,MATCH($B1270,직원목록!$A$3:$A$302,0)),"미등록사번"))</f>
        <v/>
      </c>
      <c r="D1270" s="9"/>
      <c r="E1270" s="15" t="str">
        <f aca="false">IF($D1270="","",IFERROR(INDEX(교육과정!$B$3:$B$102,MATCH($D1270,교육과정!$A$3:$A$102,0)),"미등록과정"))</f>
        <v/>
      </c>
      <c r="F1270" s="13"/>
      <c r="G1270" s="9"/>
      <c r="H1270" s="9"/>
    </row>
    <row r="1271" customFormat="false" ht="15" hidden="false" customHeight="true" outlineLevel="0" collapsed="false">
      <c r="A1271" s="11"/>
      <c r="B1271" s="9"/>
      <c r="C1271" s="15" t="str">
        <f aca="false">IF($B1271="","",IFERROR(INDEX(직원목록!$B$3:$B$302,MATCH($B1271,직원목록!$A$3:$A$302,0)),"미등록사번"))</f>
        <v/>
      </c>
      <c r="D1271" s="9"/>
      <c r="E1271" s="15" t="str">
        <f aca="false">IF($D1271="","",IFERROR(INDEX(교육과정!$B$3:$B$102,MATCH($D1271,교육과정!$A$3:$A$102,0)),"미등록과정"))</f>
        <v/>
      </c>
      <c r="F1271" s="13"/>
      <c r="G1271" s="9"/>
      <c r="H1271" s="9"/>
    </row>
    <row r="1272" customFormat="false" ht="15" hidden="false" customHeight="true" outlineLevel="0" collapsed="false">
      <c r="A1272" s="11"/>
      <c r="B1272" s="9"/>
      <c r="C1272" s="15" t="str">
        <f aca="false">IF($B1272="","",IFERROR(INDEX(직원목록!$B$3:$B$302,MATCH($B1272,직원목록!$A$3:$A$302,0)),"미등록사번"))</f>
        <v/>
      </c>
      <c r="D1272" s="9"/>
      <c r="E1272" s="15" t="str">
        <f aca="false">IF($D1272="","",IFERROR(INDEX(교육과정!$B$3:$B$102,MATCH($D1272,교육과정!$A$3:$A$102,0)),"미등록과정"))</f>
        <v/>
      </c>
      <c r="F1272" s="13"/>
      <c r="G1272" s="9"/>
      <c r="H1272" s="9"/>
    </row>
    <row r="1273" customFormat="false" ht="15" hidden="false" customHeight="true" outlineLevel="0" collapsed="false">
      <c r="A1273" s="11"/>
      <c r="B1273" s="9"/>
      <c r="C1273" s="15" t="str">
        <f aca="false">IF($B1273="","",IFERROR(INDEX(직원목록!$B$3:$B$302,MATCH($B1273,직원목록!$A$3:$A$302,0)),"미등록사번"))</f>
        <v/>
      </c>
      <c r="D1273" s="9"/>
      <c r="E1273" s="15" t="str">
        <f aca="false">IF($D1273="","",IFERROR(INDEX(교육과정!$B$3:$B$102,MATCH($D1273,교육과정!$A$3:$A$102,0)),"미등록과정"))</f>
        <v/>
      </c>
      <c r="F1273" s="13"/>
      <c r="G1273" s="9"/>
      <c r="H1273" s="9"/>
    </row>
    <row r="1274" customFormat="false" ht="15" hidden="false" customHeight="true" outlineLevel="0" collapsed="false">
      <c r="A1274" s="11"/>
      <c r="B1274" s="9"/>
      <c r="C1274" s="15" t="str">
        <f aca="false">IF($B1274="","",IFERROR(INDEX(직원목록!$B$3:$B$302,MATCH($B1274,직원목록!$A$3:$A$302,0)),"미등록사번"))</f>
        <v/>
      </c>
      <c r="D1274" s="9"/>
      <c r="E1274" s="15" t="str">
        <f aca="false">IF($D1274="","",IFERROR(INDEX(교육과정!$B$3:$B$102,MATCH($D1274,교육과정!$A$3:$A$102,0)),"미등록과정"))</f>
        <v/>
      </c>
      <c r="F1274" s="13"/>
      <c r="G1274" s="9"/>
      <c r="H1274" s="9"/>
    </row>
    <row r="1275" customFormat="false" ht="15" hidden="false" customHeight="true" outlineLevel="0" collapsed="false">
      <c r="A1275" s="11"/>
      <c r="B1275" s="9"/>
      <c r="C1275" s="15" t="str">
        <f aca="false">IF($B1275="","",IFERROR(INDEX(직원목록!$B$3:$B$302,MATCH($B1275,직원목록!$A$3:$A$302,0)),"미등록사번"))</f>
        <v/>
      </c>
      <c r="D1275" s="9"/>
      <c r="E1275" s="15" t="str">
        <f aca="false">IF($D1275="","",IFERROR(INDEX(교육과정!$B$3:$B$102,MATCH($D1275,교육과정!$A$3:$A$102,0)),"미등록과정"))</f>
        <v/>
      </c>
      <c r="F1275" s="13"/>
      <c r="G1275" s="9"/>
      <c r="H1275" s="9"/>
    </row>
    <row r="1276" customFormat="false" ht="15" hidden="false" customHeight="true" outlineLevel="0" collapsed="false">
      <c r="A1276" s="11"/>
      <c r="B1276" s="9"/>
      <c r="C1276" s="15" t="str">
        <f aca="false">IF($B1276="","",IFERROR(INDEX(직원목록!$B$3:$B$302,MATCH($B1276,직원목록!$A$3:$A$302,0)),"미등록사번"))</f>
        <v/>
      </c>
      <c r="D1276" s="9"/>
      <c r="E1276" s="15" t="str">
        <f aca="false">IF($D1276="","",IFERROR(INDEX(교육과정!$B$3:$B$102,MATCH($D1276,교육과정!$A$3:$A$102,0)),"미등록과정"))</f>
        <v/>
      </c>
      <c r="F1276" s="13"/>
      <c r="G1276" s="9"/>
      <c r="H1276" s="9"/>
    </row>
    <row r="1277" customFormat="false" ht="15" hidden="false" customHeight="true" outlineLevel="0" collapsed="false">
      <c r="A1277" s="11"/>
      <c r="B1277" s="9"/>
      <c r="C1277" s="15" t="str">
        <f aca="false">IF($B1277="","",IFERROR(INDEX(직원목록!$B$3:$B$302,MATCH($B1277,직원목록!$A$3:$A$302,0)),"미등록사번"))</f>
        <v/>
      </c>
      <c r="D1277" s="9"/>
      <c r="E1277" s="15" t="str">
        <f aca="false">IF($D1277="","",IFERROR(INDEX(교육과정!$B$3:$B$102,MATCH($D1277,교육과정!$A$3:$A$102,0)),"미등록과정"))</f>
        <v/>
      </c>
      <c r="F1277" s="13"/>
      <c r="G1277" s="9"/>
      <c r="H1277" s="9"/>
    </row>
    <row r="1278" customFormat="false" ht="15" hidden="false" customHeight="true" outlineLevel="0" collapsed="false">
      <c r="A1278" s="11"/>
      <c r="B1278" s="9"/>
      <c r="C1278" s="15" t="str">
        <f aca="false">IF($B1278="","",IFERROR(INDEX(직원목록!$B$3:$B$302,MATCH($B1278,직원목록!$A$3:$A$302,0)),"미등록사번"))</f>
        <v/>
      </c>
      <c r="D1278" s="9"/>
      <c r="E1278" s="15" t="str">
        <f aca="false">IF($D1278="","",IFERROR(INDEX(교육과정!$B$3:$B$102,MATCH($D1278,교육과정!$A$3:$A$102,0)),"미등록과정"))</f>
        <v/>
      </c>
      <c r="F1278" s="13"/>
      <c r="G1278" s="9"/>
      <c r="H1278" s="9"/>
    </row>
    <row r="1279" customFormat="false" ht="15" hidden="false" customHeight="true" outlineLevel="0" collapsed="false">
      <c r="A1279" s="11"/>
      <c r="B1279" s="9"/>
      <c r="C1279" s="15" t="str">
        <f aca="false">IF($B1279="","",IFERROR(INDEX(직원목록!$B$3:$B$302,MATCH($B1279,직원목록!$A$3:$A$302,0)),"미등록사번"))</f>
        <v/>
      </c>
      <c r="D1279" s="9"/>
      <c r="E1279" s="15" t="str">
        <f aca="false">IF($D1279="","",IFERROR(INDEX(교육과정!$B$3:$B$102,MATCH($D1279,교육과정!$A$3:$A$102,0)),"미등록과정"))</f>
        <v/>
      </c>
      <c r="F1279" s="13"/>
      <c r="G1279" s="9"/>
      <c r="H1279" s="9"/>
    </row>
    <row r="1280" customFormat="false" ht="15" hidden="false" customHeight="true" outlineLevel="0" collapsed="false">
      <c r="A1280" s="11"/>
      <c r="B1280" s="9"/>
      <c r="C1280" s="15" t="str">
        <f aca="false">IF($B1280="","",IFERROR(INDEX(직원목록!$B$3:$B$302,MATCH($B1280,직원목록!$A$3:$A$302,0)),"미등록사번"))</f>
        <v/>
      </c>
      <c r="D1280" s="9"/>
      <c r="E1280" s="15" t="str">
        <f aca="false">IF($D1280="","",IFERROR(INDEX(교육과정!$B$3:$B$102,MATCH($D1280,교육과정!$A$3:$A$102,0)),"미등록과정"))</f>
        <v/>
      </c>
      <c r="F1280" s="13"/>
      <c r="G1280" s="9"/>
      <c r="H1280" s="9"/>
    </row>
    <row r="1281" customFormat="false" ht="15" hidden="false" customHeight="true" outlineLevel="0" collapsed="false">
      <c r="A1281" s="11"/>
      <c r="B1281" s="9"/>
      <c r="C1281" s="15" t="str">
        <f aca="false">IF($B1281="","",IFERROR(INDEX(직원목록!$B$3:$B$302,MATCH($B1281,직원목록!$A$3:$A$302,0)),"미등록사번"))</f>
        <v/>
      </c>
      <c r="D1281" s="9"/>
      <c r="E1281" s="15" t="str">
        <f aca="false">IF($D1281="","",IFERROR(INDEX(교육과정!$B$3:$B$102,MATCH($D1281,교육과정!$A$3:$A$102,0)),"미등록과정"))</f>
        <v/>
      </c>
      <c r="F1281" s="13"/>
      <c r="G1281" s="9"/>
      <c r="H1281" s="9"/>
    </row>
    <row r="1282" customFormat="false" ht="15" hidden="false" customHeight="true" outlineLevel="0" collapsed="false">
      <c r="A1282" s="11"/>
      <c r="B1282" s="9"/>
      <c r="C1282" s="15" t="str">
        <f aca="false">IF($B1282="","",IFERROR(INDEX(직원목록!$B$3:$B$302,MATCH($B1282,직원목록!$A$3:$A$302,0)),"미등록사번"))</f>
        <v/>
      </c>
      <c r="D1282" s="9"/>
      <c r="E1282" s="15" t="str">
        <f aca="false">IF($D1282="","",IFERROR(INDEX(교육과정!$B$3:$B$102,MATCH($D1282,교육과정!$A$3:$A$102,0)),"미등록과정"))</f>
        <v/>
      </c>
      <c r="F1282" s="13"/>
      <c r="G1282" s="9"/>
      <c r="H1282" s="9"/>
    </row>
    <row r="1283" customFormat="false" ht="15" hidden="false" customHeight="true" outlineLevel="0" collapsed="false">
      <c r="A1283" s="11"/>
      <c r="B1283" s="9"/>
      <c r="C1283" s="15" t="str">
        <f aca="false">IF($B1283="","",IFERROR(INDEX(직원목록!$B$3:$B$302,MATCH($B1283,직원목록!$A$3:$A$302,0)),"미등록사번"))</f>
        <v/>
      </c>
      <c r="D1283" s="9"/>
      <c r="E1283" s="15" t="str">
        <f aca="false">IF($D1283="","",IFERROR(INDEX(교육과정!$B$3:$B$102,MATCH($D1283,교육과정!$A$3:$A$102,0)),"미등록과정"))</f>
        <v/>
      </c>
      <c r="F1283" s="13"/>
      <c r="G1283" s="9"/>
      <c r="H1283" s="9"/>
    </row>
    <row r="1284" customFormat="false" ht="15" hidden="false" customHeight="true" outlineLevel="0" collapsed="false">
      <c r="A1284" s="11"/>
      <c r="B1284" s="9"/>
      <c r="C1284" s="15" t="str">
        <f aca="false">IF($B1284="","",IFERROR(INDEX(직원목록!$B$3:$B$302,MATCH($B1284,직원목록!$A$3:$A$302,0)),"미등록사번"))</f>
        <v/>
      </c>
      <c r="D1284" s="9"/>
      <c r="E1284" s="15" t="str">
        <f aca="false">IF($D1284="","",IFERROR(INDEX(교육과정!$B$3:$B$102,MATCH($D1284,교육과정!$A$3:$A$102,0)),"미등록과정"))</f>
        <v/>
      </c>
      <c r="F1284" s="13"/>
      <c r="G1284" s="9"/>
      <c r="H1284" s="9"/>
    </row>
    <row r="1285" customFormat="false" ht="15" hidden="false" customHeight="true" outlineLevel="0" collapsed="false">
      <c r="A1285" s="11"/>
      <c r="B1285" s="9"/>
      <c r="C1285" s="15" t="str">
        <f aca="false">IF($B1285="","",IFERROR(INDEX(직원목록!$B$3:$B$302,MATCH($B1285,직원목록!$A$3:$A$302,0)),"미등록사번"))</f>
        <v/>
      </c>
      <c r="D1285" s="9"/>
      <c r="E1285" s="15" t="str">
        <f aca="false">IF($D1285="","",IFERROR(INDEX(교육과정!$B$3:$B$102,MATCH($D1285,교육과정!$A$3:$A$102,0)),"미등록과정"))</f>
        <v/>
      </c>
      <c r="F1285" s="13"/>
      <c r="G1285" s="9"/>
      <c r="H1285" s="9"/>
    </row>
    <row r="1286" customFormat="false" ht="15" hidden="false" customHeight="true" outlineLevel="0" collapsed="false">
      <c r="A1286" s="11"/>
      <c r="B1286" s="9"/>
      <c r="C1286" s="15" t="str">
        <f aca="false">IF($B1286="","",IFERROR(INDEX(직원목록!$B$3:$B$302,MATCH($B1286,직원목록!$A$3:$A$302,0)),"미등록사번"))</f>
        <v/>
      </c>
      <c r="D1286" s="9"/>
      <c r="E1286" s="15" t="str">
        <f aca="false">IF($D1286="","",IFERROR(INDEX(교육과정!$B$3:$B$102,MATCH($D1286,교육과정!$A$3:$A$102,0)),"미등록과정"))</f>
        <v/>
      </c>
      <c r="F1286" s="13"/>
      <c r="G1286" s="9"/>
      <c r="H1286" s="9"/>
    </row>
    <row r="1287" customFormat="false" ht="15" hidden="false" customHeight="true" outlineLevel="0" collapsed="false">
      <c r="A1287" s="11"/>
      <c r="B1287" s="9"/>
      <c r="C1287" s="15" t="str">
        <f aca="false">IF($B1287="","",IFERROR(INDEX(직원목록!$B$3:$B$302,MATCH($B1287,직원목록!$A$3:$A$302,0)),"미등록사번"))</f>
        <v/>
      </c>
      <c r="D1287" s="9"/>
      <c r="E1287" s="15" t="str">
        <f aca="false">IF($D1287="","",IFERROR(INDEX(교육과정!$B$3:$B$102,MATCH($D1287,교육과정!$A$3:$A$102,0)),"미등록과정"))</f>
        <v/>
      </c>
      <c r="F1287" s="13"/>
      <c r="G1287" s="9"/>
      <c r="H1287" s="9"/>
    </row>
    <row r="1288" customFormat="false" ht="15" hidden="false" customHeight="true" outlineLevel="0" collapsed="false">
      <c r="A1288" s="11"/>
      <c r="B1288" s="9"/>
      <c r="C1288" s="15" t="str">
        <f aca="false">IF($B1288="","",IFERROR(INDEX(직원목록!$B$3:$B$302,MATCH($B1288,직원목록!$A$3:$A$302,0)),"미등록사번"))</f>
        <v/>
      </c>
      <c r="D1288" s="9"/>
      <c r="E1288" s="15" t="str">
        <f aca="false">IF($D1288="","",IFERROR(INDEX(교육과정!$B$3:$B$102,MATCH($D1288,교육과정!$A$3:$A$102,0)),"미등록과정"))</f>
        <v/>
      </c>
      <c r="F1288" s="13"/>
      <c r="G1288" s="9"/>
      <c r="H1288" s="9"/>
    </row>
    <row r="1289" customFormat="false" ht="15" hidden="false" customHeight="true" outlineLevel="0" collapsed="false">
      <c r="A1289" s="11"/>
      <c r="B1289" s="9"/>
      <c r="C1289" s="15" t="str">
        <f aca="false">IF($B1289="","",IFERROR(INDEX(직원목록!$B$3:$B$302,MATCH($B1289,직원목록!$A$3:$A$302,0)),"미등록사번"))</f>
        <v/>
      </c>
      <c r="D1289" s="9"/>
      <c r="E1289" s="15" t="str">
        <f aca="false">IF($D1289="","",IFERROR(INDEX(교육과정!$B$3:$B$102,MATCH($D1289,교육과정!$A$3:$A$102,0)),"미등록과정"))</f>
        <v/>
      </c>
      <c r="F1289" s="13"/>
      <c r="G1289" s="9"/>
      <c r="H1289" s="9"/>
    </row>
    <row r="1290" customFormat="false" ht="15" hidden="false" customHeight="true" outlineLevel="0" collapsed="false">
      <c r="A1290" s="11"/>
      <c r="B1290" s="9"/>
      <c r="C1290" s="15" t="str">
        <f aca="false">IF($B1290="","",IFERROR(INDEX(직원목록!$B$3:$B$302,MATCH($B1290,직원목록!$A$3:$A$302,0)),"미등록사번"))</f>
        <v/>
      </c>
      <c r="D1290" s="9"/>
      <c r="E1290" s="15" t="str">
        <f aca="false">IF($D1290="","",IFERROR(INDEX(교육과정!$B$3:$B$102,MATCH($D1290,교육과정!$A$3:$A$102,0)),"미등록과정"))</f>
        <v/>
      </c>
      <c r="F1290" s="13"/>
      <c r="G1290" s="9"/>
      <c r="H1290" s="9"/>
    </row>
    <row r="1291" customFormat="false" ht="15" hidden="false" customHeight="true" outlineLevel="0" collapsed="false">
      <c r="A1291" s="11"/>
      <c r="B1291" s="9"/>
      <c r="C1291" s="15" t="str">
        <f aca="false">IF($B1291="","",IFERROR(INDEX(직원목록!$B$3:$B$302,MATCH($B1291,직원목록!$A$3:$A$302,0)),"미등록사번"))</f>
        <v/>
      </c>
      <c r="D1291" s="9"/>
      <c r="E1291" s="15" t="str">
        <f aca="false">IF($D1291="","",IFERROR(INDEX(교육과정!$B$3:$B$102,MATCH($D1291,교육과정!$A$3:$A$102,0)),"미등록과정"))</f>
        <v/>
      </c>
      <c r="F1291" s="13"/>
      <c r="G1291" s="9"/>
      <c r="H1291" s="9"/>
    </row>
    <row r="1292" customFormat="false" ht="15" hidden="false" customHeight="true" outlineLevel="0" collapsed="false">
      <c r="A1292" s="11"/>
      <c r="B1292" s="9"/>
      <c r="C1292" s="15" t="str">
        <f aca="false">IF($B1292="","",IFERROR(INDEX(직원목록!$B$3:$B$302,MATCH($B1292,직원목록!$A$3:$A$302,0)),"미등록사번"))</f>
        <v/>
      </c>
      <c r="D1292" s="9"/>
      <c r="E1292" s="15" t="str">
        <f aca="false">IF($D1292="","",IFERROR(INDEX(교육과정!$B$3:$B$102,MATCH($D1292,교육과정!$A$3:$A$102,0)),"미등록과정"))</f>
        <v/>
      </c>
      <c r="F1292" s="13"/>
      <c r="G1292" s="9"/>
      <c r="H1292" s="9"/>
    </row>
    <row r="1293" customFormat="false" ht="15" hidden="false" customHeight="true" outlineLevel="0" collapsed="false">
      <c r="A1293" s="11"/>
      <c r="B1293" s="9"/>
      <c r="C1293" s="15" t="str">
        <f aca="false">IF($B1293="","",IFERROR(INDEX(직원목록!$B$3:$B$302,MATCH($B1293,직원목록!$A$3:$A$302,0)),"미등록사번"))</f>
        <v/>
      </c>
      <c r="D1293" s="9"/>
      <c r="E1293" s="15" t="str">
        <f aca="false">IF($D1293="","",IFERROR(INDEX(교육과정!$B$3:$B$102,MATCH($D1293,교육과정!$A$3:$A$102,0)),"미등록과정"))</f>
        <v/>
      </c>
      <c r="F1293" s="13"/>
      <c r="G1293" s="9"/>
      <c r="H1293" s="9"/>
    </row>
    <row r="1294" customFormat="false" ht="15" hidden="false" customHeight="true" outlineLevel="0" collapsed="false">
      <c r="A1294" s="11"/>
      <c r="B1294" s="9"/>
      <c r="C1294" s="15" t="str">
        <f aca="false">IF($B1294="","",IFERROR(INDEX(직원목록!$B$3:$B$302,MATCH($B1294,직원목록!$A$3:$A$302,0)),"미등록사번"))</f>
        <v/>
      </c>
      <c r="D1294" s="9"/>
      <c r="E1294" s="15" t="str">
        <f aca="false">IF($D1294="","",IFERROR(INDEX(교육과정!$B$3:$B$102,MATCH($D1294,교육과정!$A$3:$A$102,0)),"미등록과정"))</f>
        <v/>
      </c>
      <c r="F1294" s="13"/>
      <c r="G1294" s="9"/>
      <c r="H1294" s="9"/>
    </row>
    <row r="1295" customFormat="false" ht="15" hidden="false" customHeight="true" outlineLevel="0" collapsed="false">
      <c r="A1295" s="11"/>
      <c r="B1295" s="9"/>
      <c r="C1295" s="15" t="str">
        <f aca="false">IF($B1295="","",IFERROR(INDEX(직원목록!$B$3:$B$302,MATCH($B1295,직원목록!$A$3:$A$302,0)),"미등록사번"))</f>
        <v/>
      </c>
      <c r="D1295" s="9"/>
      <c r="E1295" s="15" t="str">
        <f aca="false">IF($D1295="","",IFERROR(INDEX(교육과정!$B$3:$B$102,MATCH($D1295,교육과정!$A$3:$A$102,0)),"미등록과정"))</f>
        <v/>
      </c>
      <c r="F1295" s="13"/>
      <c r="G1295" s="9"/>
      <c r="H1295" s="9"/>
    </row>
    <row r="1296" customFormat="false" ht="15" hidden="false" customHeight="true" outlineLevel="0" collapsed="false">
      <c r="A1296" s="11"/>
      <c r="B1296" s="9"/>
      <c r="C1296" s="15" t="str">
        <f aca="false">IF($B1296="","",IFERROR(INDEX(직원목록!$B$3:$B$302,MATCH($B1296,직원목록!$A$3:$A$302,0)),"미등록사번"))</f>
        <v/>
      </c>
      <c r="D1296" s="9"/>
      <c r="E1296" s="15" t="str">
        <f aca="false">IF($D1296="","",IFERROR(INDEX(교육과정!$B$3:$B$102,MATCH($D1296,교육과정!$A$3:$A$102,0)),"미등록과정"))</f>
        <v/>
      </c>
      <c r="F1296" s="13"/>
      <c r="G1296" s="9"/>
      <c r="H1296" s="9"/>
    </row>
    <row r="1297" customFormat="false" ht="15" hidden="false" customHeight="true" outlineLevel="0" collapsed="false">
      <c r="A1297" s="11"/>
      <c r="B1297" s="9"/>
      <c r="C1297" s="15" t="str">
        <f aca="false">IF($B1297="","",IFERROR(INDEX(직원목록!$B$3:$B$302,MATCH($B1297,직원목록!$A$3:$A$302,0)),"미등록사번"))</f>
        <v/>
      </c>
      <c r="D1297" s="9"/>
      <c r="E1297" s="15" t="str">
        <f aca="false">IF($D1297="","",IFERROR(INDEX(교육과정!$B$3:$B$102,MATCH($D1297,교육과정!$A$3:$A$102,0)),"미등록과정"))</f>
        <v/>
      </c>
      <c r="F1297" s="13"/>
      <c r="G1297" s="9"/>
      <c r="H1297" s="9"/>
    </row>
    <row r="1298" customFormat="false" ht="15" hidden="false" customHeight="true" outlineLevel="0" collapsed="false">
      <c r="A1298" s="11"/>
      <c r="B1298" s="9"/>
      <c r="C1298" s="15" t="str">
        <f aca="false">IF($B1298="","",IFERROR(INDEX(직원목록!$B$3:$B$302,MATCH($B1298,직원목록!$A$3:$A$302,0)),"미등록사번"))</f>
        <v/>
      </c>
      <c r="D1298" s="9"/>
      <c r="E1298" s="15" t="str">
        <f aca="false">IF($D1298="","",IFERROR(INDEX(교육과정!$B$3:$B$102,MATCH($D1298,교육과정!$A$3:$A$102,0)),"미등록과정"))</f>
        <v/>
      </c>
      <c r="F1298" s="13"/>
      <c r="G1298" s="9"/>
      <c r="H1298" s="9"/>
    </row>
    <row r="1299" customFormat="false" ht="15" hidden="false" customHeight="true" outlineLevel="0" collapsed="false">
      <c r="A1299" s="11"/>
      <c r="B1299" s="9"/>
      <c r="C1299" s="15" t="str">
        <f aca="false">IF($B1299="","",IFERROR(INDEX(직원목록!$B$3:$B$302,MATCH($B1299,직원목록!$A$3:$A$302,0)),"미등록사번"))</f>
        <v/>
      </c>
      <c r="D1299" s="9"/>
      <c r="E1299" s="15" t="str">
        <f aca="false">IF($D1299="","",IFERROR(INDEX(교육과정!$B$3:$B$102,MATCH($D1299,교육과정!$A$3:$A$102,0)),"미등록과정"))</f>
        <v/>
      </c>
      <c r="F1299" s="13"/>
      <c r="G1299" s="9"/>
      <c r="H1299" s="9"/>
    </row>
    <row r="1300" customFormat="false" ht="15" hidden="false" customHeight="true" outlineLevel="0" collapsed="false">
      <c r="A1300" s="11"/>
      <c r="B1300" s="9"/>
      <c r="C1300" s="15" t="str">
        <f aca="false">IF($B1300="","",IFERROR(INDEX(직원목록!$B$3:$B$302,MATCH($B1300,직원목록!$A$3:$A$302,0)),"미등록사번"))</f>
        <v/>
      </c>
      <c r="D1300" s="9"/>
      <c r="E1300" s="15" t="str">
        <f aca="false">IF($D1300="","",IFERROR(INDEX(교육과정!$B$3:$B$102,MATCH($D1300,교육과정!$A$3:$A$102,0)),"미등록과정"))</f>
        <v/>
      </c>
      <c r="F1300" s="13"/>
      <c r="G1300" s="9"/>
      <c r="H1300" s="9"/>
    </row>
    <row r="1301" customFormat="false" ht="15" hidden="false" customHeight="true" outlineLevel="0" collapsed="false">
      <c r="A1301" s="11"/>
      <c r="B1301" s="9"/>
      <c r="C1301" s="15" t="str">
        <f aca="false">IF($B1301="","",IFERROR(INDEX(직원목록!$B$3:$B$302,MATCH($B1301,직원목록!$A$3:$A$302,0)),"미등록사번"))</f>
        <v/>
      </c>
      <c r="D1301" s="9"/>
      <c r="E1301" s="15" t="str">
        <f aca="false">IF($D1301="","",IFERROR(INDEX(교육과정!$B$3:$B$102,MATCH($D1301,교육과정!$A$3:$A$102,0)),"미등록과정"))</f>
        <v/>
      </c>
      <c r="F1301" s="13"/>
      <c r="G1301" s="9"/>
      <c r="H1301" s="9"/>
    </row>
    <row r="1302" customFormat="false" ht="15" hidden="false" customHeight="true" outlineLevel="0" collapsed="false">
      <c r="A1302" s="11"/>
      <c r="B1302" s="9"/>
      <c r="C1302" s="15" t="str">
        <f aca="false">IF($B1302="","",IFERROR(INDEX(직원목록!$B$3:$B$302,MATCH($B1302,직원목록!$A$3:$A$302,0)),"미등록사번"))</f>
        <v/>
      </c>
      <c r="D1302" s="9"/>
      <c r="E1302" s="15" t="str">
        <f aca="false">IF($D1302="","",IFERROR(INDEX(교육과정!$B$3:$B$102,MATCH($D1302,교육과정!$A$3:$A$102,0)),"미등록과정"))</f>
        <v/>
      </c>
      <c r="F1302" s="13"/>
      <c r="G1302" s="9"/>
      <c r="H1302" s="9"/>
    </row>
    <row r="1303" customFormat="false" ht="15" hidden="false" customHeight="true" outlineLevel="0" collapsed="false">
      <c r="A1303" s="11"/>
      <c r="B1303" s="9"/>
      <c r="C1303" s="15" t="str">
        <f aca="false">IF($B1303="","",IFERROR(INDEX(직원목록!$B$3:$B$302,MATCH($B1303,직원목록!$A$3:$A$302,0)),"미등록사번"))</f>
        <v/>
      </c>
      <c r="D1303" s="9"/>
      <c r="E1303" s="15" t="str">
        <f aca="false">IF($D1303="","",IFERROR(INDEX(교육과정!$B$3:$B$102,MATCH($D1303,교육과정!$A$3:$A$102,0)),"미등록과정"))</f>
        <v/>
      </c>
      <c r="F1303" s="13"/>
      <c r="G1303" s="9"/>
      <c r="H1303" s="9"/>
    </row>
    <row r="1304" customFormat="false" ht="15" hidden="false" customHeight="true" outlineLevel="0" collapsed="false">
      <c r="A1304" s="11"/>
      <c r="B1304" s="9"/>
      <c r="C1304" s="15" t="str">
        <f aca="false">IF($B1304="","",IFERROR(INDEX(직원목록!$B$3:$B$302,MATCH($B1304,직원목록!$A$3:$A$302,0)),"미등록사번"))</f>
        <v/>
      </c>
      <c r="D1304" s="9"/>
      <c r="E1304" s="15" t="str">
        <f aca="false">IF($D1304="","",IFERROR(INDEX(교육과정!$B$3:$B$102,MATCH($D1304,교육과정!$A$3:$A$102,0)),"미등록과정"))</f>
        <v/>
      </c>
      <c r="F1304" s="13"/>
      <c r="G1304" s="9"/>
      <c r="H1304" s="9"/>
    </row>
    <row r="1305" customFormat="false" ht="15" hidden="false" customHeight="true" outlineLevel="0" collapsed="false">
      <c r="A1305" s="11"/>
      <c r="B1305" s="9"/>
      <c r="C1305" s="15" t="str">
        <f aca="false">IF($B1305="","",IFERROR(INDEX(직원목록!$B$3:$B$302,MATCH($B1305,직원목록!$A$3:$A$302,0)),"미등록사번"))</f>
        <v/>
      </c>
      <c r="D1305" s="9"/>
      <c r="E1305" s="15" t="str">
        <f aca="false">IF($D1305="","",IFERROR(INDEX(교육과정!$B$3:$B$102,MATCH($D1305,교육과정!$A$3:$A$102,0)),"미등록과정"))</f>
        <v/>
      </c>
      <c r="F1305" s="13"/>
      <c r="G1305" s="9"/>
      <c r="H1305" s="9"/>
    </row>
    <row r="1306" customFormat="false" ht="15" hidden="false" customHeight="true" outlineLevel="0" collapsed="false">
      <c r="A1306" s="11"/>
      <c r="B1306" s="9"/>
      <c r="C1306" s="15" t="str">
        <f aca="false">IF($B1306="","",IFERROR(INDEX(직원목록!$B$3:$B$302,MATCH($B1306,직원목록!$A$3:$A$302,0)),"미등록사번"))</f>
        <v/>
      </c>
      <c r="D1306" s="9"/>
      <c r="E1306" s="15" t="str">
        <f aca="false">IF($D1306="","",IFERROR(INDEX(교육과정!$B$3:$B$102,MATCH($D1306,교육과정!$A$3:$A$102,0)),"미등록과정"))</f>
        <v/>
      </c>
      <c r="F1306" s="13"/>
      <c r="G1306" s="9"/>
      <c r="H1306" s="9"/>
    </row>
    <row r="1307" customFormat="false" ht="15" hidden="false" customHeight="true" outlineLevel="0" collapsed="false">
      <c r="A1307" s="11"/>
      <c r="B1307" s="9"/>
      <c r="C1307" s="15" t="str">
        <f aca="false">IF($B1307="","",IFERROR(INDEX(직원목록!$B$3:$B$302,MATCH($B1307,직원목록!$A$3:$A$302,0)),"미등록사번"))</f>
        <v/>
      </c>
      <c r="D1307" s="9"/>
      <c r="E1307" s="15" t="str">
        <f aca="false">IF($D1307="","",IFERROR(INDEX(교육과정!$B$3:$B$102,MATCH($D1307,교육과정!$A$3:$A$102,0)),"미등록과정"))</f>
        <v/>
      </c>
      <c r="F1307" s="13"/>
      <c r="G1307" s="9"/>
      <c r="H1307" s="9"/>
    </row>
    <row r="1308" customFormat="false" ht="15" hidden="false" customHeight="true" outlineLevel="0" collapsed="false">
      <c r="A1308" s="11"/>
      <c r="B1308" s="9"/>
      <c r="C1308" s="15" t="str">
        <f aca="false">IF($B1308="","",IFERROR(INDEX(직원목록!$B$3:$B$302,MATCH($B1308,직원목록!$A$3:$A$302,0)),"미등록사번"))</f>
        <v/>
      </c>
      <c r="D1308" s="9"/>
      <c r="E1308" s="15" t="str">
        <f aca="false">IF($D1308="","",IFERROR(INDEX(교육과정!$B$3:$B$102,MATCH($D1308,교육과정!$A$3:$A$102,0)),"미등록과정"))</f>
        <v/>
      </c>
      <c r="F1308" s="13"/>
      <c r="G1308" s="9"/>
      <c r="H1308" s="9"/>
    </row>
    <row r="1309" customFormat="false" ht="15" hidden="false" customHeight="true" outlineLevel="0" collapsed="false">
      <c r="A1309" s="11"/>
      <c r="B1309" s="9"/>
      <c r="C1309" s="15" t="str">
        <f aca="false">IF($B1309="","",IFERROR(INDEX(직원목록!$B$3:$B$302,MATCH($B1309,직원목록!$A$3:$A$302,0)),"미등록사번"))</f>
        <v/>
      </c>
      <c r="D1309" s="9"/>
      <c r="E1309" s="15" t="str">
        <f aca="false">IF($D1309="","",IFERROR(INDEX(교육과정!$B$3:$B$102,MATCH($D1309,교육과정!$A$3:$A$102,0)),"미등록과정"))</f>
        <v/>
      </c>
      <c r="F1309" s="13"/>
      <c r="G1309" s="9"/>
      <c r="H1309" s="9"/>
    </row>
    <row r="1310" customFormat="false" ht="15" hidden="false" customHeight="true" outlineLevel="0" collapsed="false">
      <c r="A1310" s="11"/>
      <c r="B1310" s="9"/>
      <c r="C1310" s="15" t="str">
        <f aca="false">IF($B1310="","",IFERROR(INDEX(직원목록!$B$3:$B$302,MATCH($B1310,직원목록!$A$3:$A$302,0)),"미등록사번"))</f>
        <v/>
      </c>
      <c r="D1310" s="9"/>
      <c r="E1310" s="15" t="str">
        <f aca="false">IF($D1310="","",IFERROR(INDEX(교육과정!$B$3:$B$102,MATCH($D1310,교육과정!$A$3:$A$102,0)),"미등록과정"))</f>
        <v/>
      </c>
      <c r="F1310" s="13"/>
      <c r="G1310" s="9"/>
      <c r="H1310" s="9"/>
    </row>
    <row r="1311" customFormat="false" ht="15" hidden="false" customHeight="true" outlineLevel="0" collapsed="false">
      <c r="A1311" s="11"/>
      <c r="B1311" s="9"/>
      <c r="C1311" s="15" t="str">
        <f aca="false">IF($B1311="","",IFERROR(INDEX(직원목록!$B$3:$B$302,MATCH($B1311,직원목록!$A$3:$A$302,0)),"미등록사번"))</f>
        <v/>
      </c>
      <c r="D1311" s="9"/>
      <c r="E1311" s="15" t="str">
        <f aca="false">IF($D1311="","",IFERROR(INDEX(교육과정!$B$3:$B$102,MATCH($D1311,교육과정!$A$3:$A$102,0)),"미등록과정"))</f>
        <v/>
      </c>
      <c r="F1311" s="13"/>
      <c r="G1311" s="9"/>
      <c r="H1311" s="9"/>
    </row>
    <row r="1312" customFormat="false" ht="15" hidden="false" customHeight="true" outlineLevel="0" collapsed="false">
      <c r="A1312" s="11"/>
      <c r="B1312" s="9"/>
      <c r="C1312" s="15" t="str">
        <f aca="false">IF($B1312="","",IFERROR(INDEX(직원목록!$B$3:$B$302,MATCH($B1312,직원목록!$A$3:$A$302,0)),"미등록사번"))</f>
        <v/>
      </c>
      <c r="D1312" s="9"/>
      <c r="E1312" s="15" t="str">
        <f aca="false">IF($D1312="","",IFERROR(INDEX(교육과정!$B$3:$B$102,MATCH($D1312,교육과정!$A$3:$A$102,0)),"미등록과정"))</f>
        <v/>
      </c>
      <c r="F1312" s="13"/>
      <c r="G1312" s="9"/>
      <c r="H1312" s="9"/>
    </row>
    <row r="1313" customFormat="false" ht="15" hidden="false" customHeight="true" outlineLevel="0" collapsed="false">
      <c r="A1313" s="11"/>
      <c r="B1313" s="9"/>
      <c r="C1313" s="15" t="str">
        <f aca="false">IF($B1313="","",IFERROR(INDEX(직원목록!$B$3:$B$302,MATCH($B1313,직원목록!$A$3:$A$302,0)),"미등록사번"))</f>
        <v/>
      </c>
      <c r="D1313" s="9"/>
      <c r="E1313" s="15" t="str">
        <f aca="false">IF($D1313="","",IFERROR(INDEX(교육과정!$B$3:$B$102,MATCH($D1313,교육과정!$A$3:$A$102,0)),"미등록과정"))</f>
        <v/>
      </c>
      <c r="F1313" s="13"/>
      <c r="G1313" s="9"/>
      <c r="H1313" s="9"/>
    </row>
    <row r="1314" customFormat="false" ht="15" hidden="false" customHeight="true" outlineLevel="0" collapsed="false">
      <c r="A1314" s="11"/>
      <c r="B1314" s="9"/>
      <c r="C1314" s="15" t="str">
        <f aca="false">IF($B1314="","",IFERROR(INDEX(직원목록!$B$3:$B$302,MATCH($B1314,직원목록!$A$3:$A$302,0)),"미등록사번"))</f>
        <v/>
      </c>
      <c r="D1314" s="9"/>
      <c r="E1314" s="15" t="str">
        <f aca="false">IF($D1314="","",IFERROR(INDEX(교육과정!$B$3:$B$102,MATCH($D1314,교육과정!$A$3:$A$102,0)),"미등록과정"))</f>
        <v/>
      </c>
      <c r="F1314" s="13"/>
      <c r="G1314" s="9"/>
      <c r="H1314" s="9"/>
    </row>
    <row r="1315" customFormat="false" ht="15" hidden="false" customHeight="true" outlineLevel="0" collapsed="false">
      <c r="A1315" s="11"/>
      <c r="B1315" s="9"/>
      <c r="C1315" s="15" t="str">
        <f aca="false">IF($B1315="","",IFERROR(INDEX(직원목록!$B$3:$B$302,MATCH($B1315,직원목록!$A$3:$A$302,0)),"미등록사번"))</f>
        <v/>
      </c>
      <c r="D1315" s="9"/>
      <c r="E1315" s="15" t="str">
        <f aca="false">IF($D1315="","",IFERROR(INDEX(교육과정!$B$3:$B$102,MATCH($D1315,교육과정!$A$3:$A$102,0)),"미등록과정"))</f>
        <v/>
      </c>
      <c r="F1315" s="13"/>
      <c r="G1315" s="9"/>
      <c r="H1315" s="9"/>
    </row>
    <row r="1316" customFormat="false" ht="15" hidden="false" customHeight="true" outlineLevel="0" collapsed="false">
      <c r="A1316" s="11"/>
      <c r="B1316" s="9"/>
      <c r="C1316" s="15" t="str">
        <f aca="false">IF($B1316="","",IFERROR(INDEX(직원목록!$B$3:$B$302,MATCH($B1316,직원목록!$A$3:$A$302,0)),"미등록사번"))</f>
        <v/>
      </c>
      <c r="D1316" s="9"/>
      <c r="E1316" s="15" t="str">
        <f aca="false">IF($D1316="","",IFERROR(INDEX(교육과정!$B$3:$B$102,MATCH($D1316,교육과정!$A$3:$A$102,0)),"미등록과정"))</f>
        <v/>
      </c>
      <c r="F1316" s="13"/>
      <c r="G1316" s="9"/>
      <c r="H1316" s="9"/>
    </row>
    <row r="1317" customFormat="false" ht="15" hidden="false" customHeight="true" outlineLevel="0" collapsed="false">
      <c r="A1317" s="11"/>
      <c r="B1317" s="9"/>
      <c r="C1317" s="15" t="str">
        <f aca="false">IF($B1317="","",IFERROR(INDEX(직원목록!$B$3:$B$302,MATCH($B1317,직원목록!$A$3:$A$302,0)),"미등록사번"))</f>
        <v/>
      </c>
      <c r="D1317" s="9"/>
      <c r="E1317" s="15" t="str">
        <f aca="false">IF($D1317="","",IFERROR(INDEX(교육과정!$B$3:$B$102,MATCH($D1317,교육과정!$A$3:$A$102,0)),"미등록과정"))</f>
        <v/>
      </c>
      <c r="F1317" s="13"/>
      <c r="G1317" s="9"/>
      <c r="H1317" s="9"/>
    </row>
    <row r="1318" customFormat="false" ht="15" hidden="false" customHeight="true" outlineLevel="0" collapsed="false">
      <c r="A1318" s="11"/>
      <c r="B1318" s="9"/>
      <c r="C1318" s="15" t="str">
        <f aca="false">IF($B1318="","",IFERROR(INDEX(직원목록!$B$3:$B$302,MATCH($B1318,직원목록!$A$3:$A$302,0)),"미등록사번"))</f>
        <v/>
      </c>
      <c r="D1318" s="9"/>
      <c r="E1318" s="15" t="str">
        <f aca="false">IF($D1318="","",IFERROR(INDEX(교육과정!$B$3:$B$102,MATCH($D1318,교육과정!$A$3:$A$102,0)),"미등록과정"))</f>
        <v/>
      </c>
      <c r="F1318" s="13"/>
      <c r="G1318" s="9"/>
      <c r="H1318" s="9"/>
    </row>
    <row r="1319" customFormat="false" ht="15" hidden="false" customHeight="true" outlineLevel="0" collapsed="false">
      <c r="A1319" s="11"/>
      <c r="B1319" s="9"/>
      <c r="C1319" s="15" t="str">
        <f aca="false">IF($B1319="","",IFERROR(INDEX(직원목록!$B$3:$B$302,MATCH($B1319,직원목록!$A$3:$A$302,0)),"미등록사번"))</f>
        <v/>
      </c>
      <c r="D1319" s="9"/>
      <c r="E1319" s="15" t="str">
        <f aca="false">IF($D1319="","",IFERROR(INDEX(교육과정!$B$3:$B$102,MATCH($D1319,교육과정!$A$3:$A$102,0)),"미등록과정"))</f>
        <v/>
      </c>
      <c r="F1319" s="13"/>
      <c r="G1319" s="9"/>
      <c r="H1319" s="9"/>
    </row>
    <row r="1320" customFormat="false" ht="15" hidden="false" customHeight="true" outlineLevel="0" collapsed="false">
      <c r="A1320" s="11"/>
      <c r="B1320" s="9"/>
      <c r="C1320" s="15" t="str">
        <f aca="false">IF($B1320="","",IFERROR(INDEX(직원목록!$B$3:$B$302,MATCH($B1320,직원목록!$A$3:$A$302,0)),"미등록사번"))</f>
        <v/>
      </c>
      <c r="D1320" s="9"/>
      <c r="E1320" s="15" t="str">
        <f aca="false">IF($D1320="","",IFERROR(INDEX(교육과정!$B$3:$B$102,MATCH($D1320,교육과정!$A$3:$A$102,0)),"미등록과정"))</f>
        <v/>
      </c>
      <c r="F1320" s="13"/>
      <c r="G1320" s="9"/>
      <c r="H1320" s="9"/>
    </row>
    <row r="1321" customFormat="false" ht="15" hidden="false" customHeight="true" outlineLevel="0" collapsed="false">
      <c r="A1321" s="11"/>
      <c r="B1321" s="9"/>
      <c r="C1321" s="15" t="str">
        <f aca="false">IF($B1321="","",IFERROR(INDEX(직원목록!$B$3:$B$302,MATCH($B1321,직원목록!$A$3:$A$302,0)),"미등록사번"))</f>
        <v/>
      </c>
      <c r="D1321" s="9"/>
      <c r="E1321" s="15" t="str">
        <f aca="false">IF($D1321="","",IFERROR(INDEX(교육과정!$B$3:$B$102,MATCH($D1321,교육과정!$A$3:$A$102,0)),"미등록과정"))</f>
        <v/>
      </c>
      <c r="F1321" s="13"/>
      <c r="G1321" s="9"/>
      <c r="H1321" s="9"/>
    </row>
    <row r="1322" customFormat="false" ht="15" hidden="false" customHeight="true" outlineLevel="0" collapsed="false">
      <c r="A1322" s="11"/>
      <c r="B1322" s="9"/>
      <c r="C1322" s="15" t="str">
        <f aca="false">IF($B1322="","",IFERROR(INDEX(직원목록!$B$3:$B$302,MATCH($B1322,직원목록!$A$3:$A$302,0)),"미등록사번"))</f>
        <v/>
      </c>
      <c r="D1322" s="9"/>
      <c r="E1322" s="15" t="str">
        <f aca="false">IF($D1322="","",IFERROR(INDEX(교육과정!$B$3:$B$102,MATCH($D1322,교육과정!$A$3:$A$102,0)),"미등록과정"))</f>
        <v/>
      </c>
      <c r="F1322" s="13"/>
      <c r="G1322" s="9"/>
      <c r="H1322" s="9"/>
    </row>
    <row r="1323" customFormat="false" ht="15" hidden="false" customHeight="true" outlineLevel="0" collapsed="false">
      <c r="A1323" s="11"/>
      <c r="B1323" s="9"/>
      <c r="C1323" s="15" t="str">
        <f aca="false">IF($B1323="","",IFERROR(INDEX(직원목록!$B$3:$B$302,MATCH($B1323,직원목록!$A$3:$A$302,0)),"미등록사번"))</f>
        <v/>
      </c>
      <c r="D1323" s="9"/>
      <c r="E1323" s="15" t="str">
        <f aca="false">IF($D1323="","",IFERROR(INDEX(교육과정!$B$3:$B$102,MATCH($D1323,교육과정!$A$3:$A$102,0)),"미등록과정"))</f>
        <v/>
      </c>
      <c r="F1323" s="13"/>
      <c r="G1323" s="9"/>
      <c r="H1323" s="9"/>
    </row>
    <row r="1324" customFormat="false" ht="15" hidden="false" customHeight="true" outlineLevel="0" collapsed="false">
      <c r="A1324" s="11"/>
      <c r="B1324" s="9"/>
      <c r="C1324" s="15" t="str">
        <f aca="false">IF($B1324="","",IFERROR(INDEX(직원목록!$B$3:$B$302,MATCH($B1324,직원목록!$A$3:$A$302,0)),"미등록사번"))</f>
        <v/>
      </c>
      <c r="D1324" s="9"/>
      <c r="E1324" s="15" t="str">
        <f aca="false">IF($D1324="","",IFERROR(INDEX(교육과정!$B$3:$B$102,MATCH($D1324,교육과정!$A$3:$A$102,0)),"미등록과정"))</f>
        <v/>
      </c>
      <c r="F1324" s="13"/>
      <c r="G1324" s="9"/>
      <c r="H1324" s="9"/>
    </row>
    <row r="1325" customFormat="false" ht="15" hidden="false" customHeight="true" outlineLevel="0" collapsed="false">
      <c r="A1325" s="11"/>
      <c r="B1325" s="9"/>
      <c r="C1325" s="15" t="str">
        <f aca="false">IF($B1325="","",IFERROR(INDEX(직원목록!$B$3:$B$302,MATCH($B1325,직원목록!$A$3:$A$302,0)),"미등록사번"))</f>
        <v/>
      </c>
      <c r="D1325" s="9"/>
      <c r="E1325" s="15" t="str">
        <f aca="false">IF($D1325="","",IFERROR(INDEX(교육과정!$B$3:$B$102,MATCH($D1325,교육과정!$A$3:$A$102,0)),"미등록과정"))</f>
        <v/>
      </c>
      <c r="F1325" s="13"/>
      <c r="G1325" s="9"/>
      <c r="H1325" s="9"/>
    </row>
    <row r="1326" customFormat="false" ht="15" hidden="false" customHeight="true" outlineLevel="0" collapsed="false">
      <c r="A1326" s="11"/>
      <c r="B1326" s="9"/>
      <c r="C1326" s="15" t="str">
        <f aca="false">IF($B1326="","",IFERROR(INDEX(직원목록!$B$3:$B$302,MATCH($B1326,직원목록!$A$3:$A$302,0)),"미등록사번"))</f>
        <v/>
      </c>
      <c r="D1326" s="9"/>
      <c r="E1326" s="15" t="str">
        <f aca="false">IF($D1326="","",IFERROR(INDEX(교육과정!$B$3:$B$102,MATCH($D1326,교육과정!$A$3:$A$102,0)),"미등록과정"))</f>
        <v/>
      </c>
      <c r="F1326" s="13"/>
      <c r="G1326" s="9"/>
      <c r="H1326" s="9"/>
    </row>
    <row r="1327" customFormat="false" ht="15" hidden="false" customHeight="true" outlineLevel="0" collapsed="false">
      <c r="A1327" s="11"/>
      <c r="B1327" s="9"/>
      <c r="C1327" s="15" t="str">
        <f aca="false">IF($B1327="","",IFERROR(INDEX(직원목록!$B$3:$B$302,MATCH($B1327,직원목록!$A$3:$A$302,0)),"미등록사번"))</f>
        <v/>
      </c>
      <c r="D1327" s="9"/>
      <c r="E1327" s="15" t="str">
        <f aca="false">IF($D1327="","",IFERROR(INDEX(교육과정!$B$3:$B$102,MATCH($D1327,교육과정!$A$3:$A$102,0)),"미등록과정"))</f>
        <v/>
      </c>
      <c r="F1327" s="13"/>
      <c r="G1327" s="9"/>
      <c r="H1327" s="9"/>
    </row>
    <row r="1328" customFormat="false" ht="15" hidden="false" customHeight="true" outlineLevel="0" collapsed="false">
      <c r="A1328" s="11"/>
      <c r="B1328" s="9"/>
      <c r="C1328" s="15" t="str">
        <f aca="false">IF($B1328="","",IFERROR(INDEX(직원목록!$B$3:$B$302,MATCH($B1328,직원목록!$A$3:$A$302,0)),"미등록사번"))</f>
        <v/>
      </c>
      <c r="D1328" s="9"/>
      <c r="E1328" s="15" t="str">
        <f aca="false">IF($D1328="","",IFERROR(INDEX(교육과정!$B$3:$B$102,MATCH($D1328,교육과정!$A$3:$A$102,0)),"미등록과정"))</f>
        <v/>
      </c>
      <c r="F1328" s="13"/>
      <c r="G1328" s="9"/>
      <c r="H1328" s="9"/>
    </row>
    <row r="1329" customFormat="false" ht="15" hidden="false" customHeight="true" outlineLevel="0" collapsed="false">
      <c r="A1329" s="11"/>
      <c r="B1329" s="9"/>
      <c r="C1329" s="15" t="str">
        <f aca="false">IF($B1329="","",IFERROR(INDEX(직원목록!$B$3:$B$302,MATCH($B1329,직원목록!$A$3:$A$302,0)),"미등록사번"))</f>
        <v/>
      </c>
      <c r="D1329" s="9"/>
      <c r="E1329" s="15" t="str">
        <f aca="false">IF($D1329="","",IFERROR(INDEX(교육과정!$B$3:$B$102,MATCH($D1329,교육과정!$A$3:$A$102,0)),"미등록과정"))</f>
        <v/>
      </c>
      <c r="F1329" s="13"/>
      <c r="G1329" s="9"/>
      <c r="H1329" s="9"/>
    </row>
    <row r="1330" customFormat="false" ht="15" hidden="false" customHeight="true" outlineLevel="0" collapsed="false">
      <c r="A1330" s="11"/>
      <c r="B1330" s="9"/>
      <c r="C1330" s="15" t="str">
        <f aca="false">IF($B1330="","",IFERROR(INDEX(직원목록!$B$3:$B$302,MATCH($B1330,직원목록!$A$3:$A$302,0)),"미등록사번"))</f>
        <v/>
      </c>
      <c r="D1330" s="9"/>
      <c r="E1330" s="15" t="str">
        <f aca="false">IF($D1330="","",IFERROR(INDEX(교육과정!$B$3:$B$102,MATCH($D1330,교육과정!$A$3:$A$102,0)),"미등록과정"))</f>
        <v/>
      </c>
      <c r="F1330" s="13"/>
      <c r="G1330" s="9"/>
      <c r="H1330" s="9"/>
    </row>
    <row r="1331" customFormat="false" ht="15" hidden="false" customHeight="true" outlineLevel="0" collapsed="false">
      <c r="A1331" s="11"/>
      <c r="B1331" s="9"/>
      <c r="C1331" s="15" t="str">
        <f aca="false">IF($B1331="","",IFERROR(INDEX(직원목록!$B$3:$B$302,MATCH($B1331,직원목록!$A$3:$A$302,0)),"미등록사번"))</f>
        <v/>
      </c>
      <c r="D1331" s="9"/>
      <c r="E1331" s="15" t="str">
        <f aca="false">IF($D1331="","",IFERROR(INDEX(교육과정!$B$3:$B$102,MATCH($D1331,교육과정!$A$3:$A$102,0)),"미등록과정"))</f>
        <v/>
      </c>
      <c r="F1331" s="13"/>
      <c r="G1331" s="9"/>
      <c r="H1331" s="9"/>
    </row>
    <row r="1332" customFormat="false" ht="15" hidden="false" customHeight="true" outlineLevel="0" collapsed="false">
      <c r="A1332" s="11"/>
      <c r="B1332" s="9"/>
      <c r="C1332" s="15" t="str">
        <f aca="false">IF($B1332="","",IFERROR(INDEX(직원목록!$B$3:$B$302,MATCH($B1332,직원목록!$A$3:$A$302,0)),"미등록사번"))</f>
        <v/>
      </c>
      <c r="D1332" s="9"/>
      <c r="E1332" s="15" t="str">
        <f aca="false">IF($D1332="","",IFERROR(INDEX(교육과정!$B$3:$B$102,MATCH($D1332,교육과정!$A$3:$A$102,0)),"미등록과정"))</f>
        <v/>
      </c>
      <c r="F1332" s="13"/>
      <c r="G1332" s="9"/>
      <c r="H1332" s="9"/>
    </row>
    <row r="1333" customFormat="false" ht="15" hidden="false" customHeight="true" outlineLevel="0" collapsed="false">
      <c r="A1333" s="11"/>
      <c r="B1333" s="9"/>
      <c r="C1333" s="15" t="str">
        <f aca="false">IF($B1333="","",IFERROR(INDEX(직원목록!$B$3:$B$302,MATCH($B1333,직원목록!$A$3:$A$302,0)),"미등록사번"))</f>
        <v/>
      </c>
      <c r="D1333" s="9"/>
      <c r="E1333" s="15" t="str">
        <f aca="false">IF($D1333="","",IFERROR(INDEX(교육과정!$B$3:$B$102,MATCH($D1333,교육과정!$A$3:$A$102,0)),"미등록과정"))</f>
        <v/>
      </c>
      <c r="F1333" s="13"/>
      <c r="G1333" s="9"/>
      <c r="H1333" s="9"/>
    </row>
    <row r="1334" customFormat="false" ht="15" hidden="false" customHeight="true" outlineLevel="0" collapsed="false">
      <c r="A1334" s="11"/>
      <c r="B1334" s="9"/>
      <c r="C1334" s="15" t="str">
        <f aca="false">IF($B1334="","",IFERROR(INDEX(직원목록!$B$3:$B$302,MATCH($B1334,직원목록!$A$3:$A$302,0)),"미등록사번"))</f>
        <v/>
      </c>
      <c r="D1334" s="9"/>
      <c r="E1334" s="15" t="str">
        <f aca="false">IF($D1334="","",IFERROR(INDEX(교육과정!$B$3:$B$102,MATCH($D1334,교육과정!$A$3:$A$102,0)),"미등록과정"))</f>
        <v/>
      </c>
      <c r="F1334" s="13"/>
      <c r="G1334" s="9"/>
      <c r="H1334" s="9"/>
    </row>
    <row r="1335" customFormat="false" ht="15" hidden="false" customHeight="true" outlineLevel="0" collapsed="false">
      <c r="A1335" s="11"/>
      <c r="B1335" s="9"/>
      <c r="C1335" s="15" t="str">
        <f aca="false">IF($B1335="","",IFERROR(INDEX(직원목록!$B$3:$B$302,MATCH($B1335,직원목록!$A$3:$A$302,0)),"미등록사번"))</f>
        <v/>
      </c>
      <c r="D1335" s="9"/>
      <c r="E1335" s="15" t="str">
        <f aca="false">IF($D1335="","",IFERROR(INDEX(교육과정!$B$3:$B$102,MATCH($D1335,교육과정!$A$3:$A$102,0)),"미등록과정"))</f>
        <v/>
      </c>
      <c r="F1335" s="13"/>
      <c r="G1335" s="9"/>
      <c r="H1335" s="9"/>
    </row>
    <row r="1336" customFormat="false" ht="15" hidden="false" customHeight="true" outlineLevel="0" collapsed="false">
      <c r="A1336" s="11"/>
      <c r="B1336" s="9"/>
      <c r="C1336" s="15" t="str">
        <f aca="false">IF($B1336="","",IFERROR(INDEX(직원목록!$B$3:$B$302,MATCH($B1336,직원목록!$A$3:$A$302,0)),"미등록사번"))</f>
        <v/>
      </c>
      <c r="D1336" s="9"/>
      <c r="E1336" s="15" t="str">
        <f aca="false">IF($D1336="","",IFERROR(INDEX(교육과정!$B$3:$B$102,MATCH($D1336,교육과정!$A$3:$A$102,0)),"미등록과정"))</f>
        <v/>
      </c>
      <c r="F1336" s="13"/>
      <c r="G1336" s="9"/>
      <c r="H1336" s="9"/>
    </row>
    <row r="1337" customFormat="false" ht="15" hidden="false" customHeight="true" outlineLevel="0" collapsed="false">
      <c r="A1337" s="11"/>
      <c r="B1337" s="9"/>
      <c r="C1337" s="15" t="str">
        <f aca="false">IF($B1337="","",IFERROR(INDEX(직원목록!$B$3:$B$302,MATCH($B1337,직원목록!$A$3:$A$302,0)),"미등록사번"))</f>
        <v/>
      </c>
      <c r="D1337" s="9"/>
      <c r="E1337" s="15" t="str">
        <f aca="false">IF($D1337="","",IFERROR(INDEX(교육과정!$B$3:$B$102,MATCH($D1337,교육과정!$A$3:$A$102,0)),"미등록과정"))</f>
        <v/>
      </c>
      <c r="F1337" s="13"/>
      <c r="G1337" s="9"/>
      <c r="H1337" s="9"/>
    </row>
    <row r="1338" customFormat="false" ht="15" hidden="false" customHeight="true" outlineLevel="0" collapsed="false">
      <c r="A1338" s="11"/>
      <c r="B1338" s="9"/>
      <c r="C1338" s="15" t="str">
        <f aca="false">IF($B1338="","",IFERROR(INDEX(직원목록!$B$3:$B$302,MATCH($B1338,직원목록!$A$3:$A$302,0)),"미등록사번"))</f>
        <v/>
      </c>
      <c r="D1338" s="9"/>
      <c r="E1338" s="15" t="str">
        <f aca="false">IF($D1338="","",IFERROR(INDEX(교육과정!$B$3:$B$102,MATCH($D1338,교육과정!$A$3:$A$102,0)),"미등록과정"))</f>
        <v/>
      </c>
      <c r="F1338" s="13"/>
      <c r="G1338" s="9"/>
      <c r="H1338" s="9"/>
    </row>
    <row r="1339" customFormat="false" ht="15" hidden="false" customHeight="true" outlineLevel="0" collapsed="false">
      <c r="A1339" s="11"/>
      <c r="B1339" s="9"/>
      <c r="C1339" s="15" t="str">
        <f aca="false">IF($B1339="","",IFERROR(INDEX(직원목록!$B$3:$B$302,MATCH($B1339,직원목록!$A$3:$A$302,0)),"미등록사번"))</f>
        <v/>
      </c>
      <c r="D1339" s="9"/>
      <c r="E1339" s="15" t="str">
        <f aca="false">IF($D1339="","",IFERROR(INDEX(교육과정!$B$3:$B$102,MATCH($D1339,교육과정!$A$3:$A$102,0)),"미등록과정"))</f>
        <v/>
      </c>
      <c r="F1339" s="13"/>
      <c r="G1339" s="9"/>
      <c r="H1339" s="9"/>
    </row>
    <row r="1340" customFormat="false" ht="15" hidden="false" customHeight="true" outlineLevel="0" collapsed="false">
      <c r="A1340" s="11"/>
      <c r="B1340" s="9"/>
      <c r="C1340" s="15" t="str">
        <f aca="false">IF($B1340="","",IFERROR(INDEX(직원목록!$B$3:$B$302,MATCH($B1340,직원목록!$A$3:$A$302,0)),"미등록사번"))</f>
        <v/>
      </c>
      <c r="D1340" s="9"/>
      <c r="E1340" s="15" t="str">
        <f aca="false">IF($D1340="","",IFERROR(INDEX(교육과정!$B$3:$B$102,MATCH($D1340,교육과정!$A$3:$A$102,0)),"미등록과정"))</f>
        <v/>
      </c>
      <c r="F1340" s="13"/>
      <c r="G1340" s="9"/>
      <c r="H1340" s="9"/>
    </row>
    <row r="1341" customFormat="false" ht="15" hidden="false" customHeight="true" outlineLevel="0" collapsed="false">
      <c r="A1341" s="11"/>
      <c r="B1341" s="9"/>
      <c r="C1341" s="15" t="str">
        <f aca="false">IF($B1341="","",IFERROR(INDEX(직원목록!$B$3:$B$302,MATCH($B1341,직원목록!$A$3:$A$302,0)),"미등록사번"))</f>
        <v/>
      </c>
      <c r="D1341" s="9"/>
      <c r="E1341" s="15" t="str">
        <f aca="false">IF($D1341="","",IFERROR(INDEX(교육과정!$B$3:$B$102,MATCH($D1341,교육과정!$A$3:$A$102,0)),"미등록과정"))</f>
        <v/>
      </c>
      <c r="F1341" s="13"/>
      <c r="G1341" s="9"/>
      <c r="H1341" s="9"/>
    </row>
    <row r="1342" customFormat="false" ht="15" hidden="false" customHeight="true" outlineLevel="0" collapsed="false">
      <c r="A1342" s="11"/>
      <c r="B1342" s="9"/>
      <c r="C1342" s="15" t="str">
        <f aca="false">IF($B1342="","",IFERROR(INDEX(직원목록!$B$3:$B$302,MATCH($B1342,직원목록!$A$3:$A$302,0)),"미등록사번"))</f>
        <v/>
      </c>
      <c r="D1342" s="9"/>
      <c r="E1342" s="15" t="str">
        <f aca="false">IF($D1342="","",IFERROR(INDEX(교육과정!$B$3:$B$102,MATCH($D1342,교육과정!$A$3:$A$102,0)),"미등록과정"))</f>
        <v/>
      </c>
      <c r="F1342" s="13"/>
      <c r="G1342" s="9"/>
      <c r="H1342" s="9"/>
    </row>
    <row r="1343" customFormat="false" ht="15" hidden="false" customHeight="true" outlineLevel="0" collapsed="false">
      <c r="A1343" s="11"/>
      <c r="B1343" s="9"/>
      <c r="C1343" s="15" t="str">
        <f aca="false">IF($B1343="","",IFERROR(INDEX(직원목록!$B$3:$B$302,MATCH($B1343,직원목록!$A$3:$A$302,0)),"미등록사번"))</f>
        <v/>
      </c>
      <c r="D1343" s="9"/>
      <c r="E1343" s="15" t="str">
        <f aca="false">IF($D1343="","",IFERROR(INDEX(교육과정!$B$3:$B$102,MATCH($D1343,교육과정!$A$3:$A$102,0)),"미등록과정"))</f>
        <v/>
      </c>
      <c r="F1343" s="13"/>
      <c r="G1343" s="9"/>
      <c r="H1343" s="9"/>
    </row>
    <row r="1344" customFormat="false" ht="15" hidden="false" customHeight="true" outlineLevel="0" collapsed="false">
      <c r="A1344" s="11"/>
      <c r="B1344" s="9"/>
      <c r="C1344" s="15" t="str">
        <f aca="false">IF($B1344="","",IFERROR(INDEX(직원목록!$B$3:$B$302,MATCH($B1344,직원목록!$A$3:$A$302,0)),"미등록사번"))</f>
        <v/>
      </c>
      <c r="D1344" s="9"/>
      <c r="E1344" s="15" t="str">
        <f aca="false">IF($D1344="","",IFERROR(INDEX(교육과정!$B$3:$B$102,MATCH($D1344,교육과정!$A$3:$A$102,0)),"미등록과정"))</f>
        <v/>
      </c>
      <c r="F1344" s="13"/>
      <c r="G1344" s="9"/>
      <c r="H1344" s="9"/>
    </row>
    <row r="1345" customFormat="false" ht="15" hidden="false" customHeight="true" outlineLevel="0" collapsed="false">
      <c r="A1345" s="11"/>
      <c r="B1345" s="9"/>
      <c r="C1345" s="15" t="str">
        <f aca="false">IF($B1345="","",IFERROR(INDEX(직원목록!$B$3:$B$302,MATCH($B1345,직원목록!$A$3:$A$302,0)),"미등록사번"))</f>
        <v/>
      </c>
      <c r="D1345" s="9"/>
      <c r="E1345" s="15" t="str">
        <f aca="false">IF($D1345="","",IFERROR(INDEX(교육과정!$B$3:$B$102,MATCH($D1345,교육과정!$A$3:$A$102,0)),"미등록과정"))</f>
        <v/>
      </c>
      <c r="F1345" s="13"/>
      <c r="G1345" s="9"/>
      <c r="H1345" s="9"/>
    </row>
    <row r="1346" customFormat="false" ht="15" hidden="false" customHeight="true" outlineLevel="0" collapsed="false">
      <c r="A1346" s="11"/>
      <c r="B1346" s="9"/>
      <c r="C1346" s="15" t="str">
        <f aca="false">IF($B1346="","",IFERROR(INDEX(직원목록!$B$3:$B$302,MATCH($B1346,직원목록!$A$3:$A$302,0)),"미등록사번"))</f>
        <v/>
      </c>
      <c r="D1346" s="9"/>
      <c r="E1346" s="15" t="str">
        <f aca="false">IF($D1346="","",IFERROR(INDEX(교육과정!$B$3:$B$102,MATCH($D1346,교육과정!$A$3:$A$102,0)),"미등록과정"))</f>
        <v/>
      </c>
      <c r="F1346" s="13"/>
      <c r="G1346" s="9"/>
      <c r="H1346" s="9"/>
    </row>
    <row r="1347" customFormat="false" ht="15" hidden="false" customHeight="true" outlineLevel="0" collapsed="false">
      <c r="A1347" s="11"/>
      <c r="B1347" s="9"/>
      <c r="C1347" s="15" t="str">
        <f aca="false">IF($B1347="","",IFERROR(INDEX(직원목록!$B$3:$B$302,MATCH($B1347,직원목록!$A$3:$A$302,0)),"미등록사번"))</f>
        <v/>
      </c>
      <c r="D1347" s="9"/>
      <c r="E1347" s="15" t="str">
        <f aca="false">IF($D1347="","",IFERROR(INDEX(교육과정!$B$3:$B$102,MATCH($D1347,교육과정!$A$3:$A$102,0)),"미등록과정"))</f>
        <v/>
      </c>
      <c r="F1347" s="13"/>
      <c r="G1347" s="9"/>
      <c r="H1347" s="9"/>
    </row>
    <row r="1348" customFormat="false" ht="15" hidden="false" customHeight="true" outlineLevel="0" collapsed="false">
      <c r="A1348" s="11"/>
      <c r="B1348" s="9"/>
      <c r="C1348" s="15" t="str">
        <f aca="false">IF($B1348="","",IFERROR(INDEX(직원목록!$B$3:$B$302,MATCH($B1348,직원목록!$A$3:$A$302,0)),"미등록사번"))</f>
        <v/>
      </c>
      <c r="D1348" s="9"/>
      <c r="E1348" s="15" t="str">
        <f aca="false">IF($D1348="","",IFERROR(INDEX(교육과정!$B$3:$B$102,MATCH($D1348,교육과정!$A$3:$A$102,0)),"미등록과정"))</f>
        <v/>
      </c>
      <c r="F1348" s="13"/>
      <c r="G1348" s="9"/>
      <c r="H1348" s="9"/>
    </row>
    <row r="1349" customFormat="false" ht="15" hidden="false" customHeight="true" outlineLevel="0" collapsed="false">
      <c r="A1349" s="11"/>
      <c r="B1349" s="9"/>
      <c r="C1349" s="15" t="str">
        <f aca="false">IF($B1349="","",IFERROR(INDEX(직원목록!$B$3:$B$302,MATCH($B1349,직원목록!$A$3:$A$302,0)),"미등록사번"))</f>
        <v/>
      </c>
      <c r="D1349" s="9"/>
      <c r="E1349" s="15" t="str">
        <f aca="false">IF($D1349="","",IFERROR(INDEX(교육과정!$B$3:$B$102,MATCH($D1349,교육과정!$A$3:$A$102,0)),"미등록과정"))</f>
        <v/>
      </c>
      <c r="F1349" s="13"/>
      <c r="G1349" s="9"/>
      <c r="H1349" s="9"/>
    </row>
    <row r="1350" customFormat="false" ht="15" hidden="false" customHeight="true" outlineLevel="0" collapsed="false">
      <c r="A1350" s="11"/>
      <c r="B1350" s="9"/>
      <c r="C1350" s="15" t="str">
        <f aca="false">IF($B1350="","",IFERROR(INDEX(직원목록!$B$3:$B$302,MATCH($B1350,직원목록!$A$3:$A$302,0)),"미등록사번"))</f>
        <v/>
      </c>
      <c r="D1350" s="9"/>
      <c r="E1350" s="15" t="str">
        <f aca="false">IF($D1350="","",IFERROR(INDEX(교육과정!$B$3:$B$102,MATCH($D1350,교육과정!$A$3:$A$102,0)),"미등록과정"))</f>
        <v/>
      </c>
      <c r="F1350" s="13"/>
      <c r="G1350" s="9"/>
      <c r="H1350" s="9"/>
    </row>
    <row r="1351" customFormat="false" ht="15" hidden="false" customHeight="true" outlineLevel="0" collapsed="false">
      <c r="A1351" s="11"/>
      <c r="B1351" s="9"/>
      <c r="C1351" s="15" t="str">
        <f aca="false">IF($B1351="","",IFERROR(INDEX(직원목록!$B$3:$B$302,MATCH($B1351,직원목록!$A$3:$A$302,0)),"미등록사번"))</f>
        <v/>
      </c>
      <c r="D1351" s="9"/>
      <c r="E1351" s="15" t="str">
        <f aca="false">IF($D1351="","",IFERROR(INDEX(교육과정!$B$3:$B$102,MATCH($D1351,교육과정!$A$3:$A$102,0)),"미등록과정"))</f>
        <v/>
      </c>
      <c r="F1351" s="13"/>
      <c r="G1351" s="9"/>
      <c r="H1351" s="9"/>
    </row>
    <row r="1352" customFormat="false" ht="15" hidden="false" customHeight="true" outlineLevel="0" collapsed="false">
      <c r="A1352" s="11"/>
      <c r="B1352" s="9"/>
      <c r="C1352" s="15" t="str">
        <f aca="false">IF($B1352="","",IFERROR(INDEX(직원목록!$B$3:$B$302,MATCH($B1352,직원목록!$A$3:$A$302,0)),"미등록사번"))</f>
        <v/>
      </c>
      <c r="D1352" s="9"/>
      <c r="E1352" s="15" t="str">
        <f aca="false">IF($D1352="","",IFERROR(INDEX(교육과정!$B$3:$B$102,MATCH($D1352,교육과정!$A$3:$A$102,0)),"미등록과정"))</f>
        <v/>
      </c>
      <c r="F1352" s="13"/>
      <c r="G1352" s="9"/>
      <c r="H1352" s="9"/>
    </row>
    <row r="1353" customFormat="false" ht="15" hidden="false" customHeight="true" outlineLevel="0" collapsed="false">
      <c r="A1353" s="11"/>
      <c r="B1353" s="9"/>
      <c r="C1353" s="15" t="str">
        <f aca="false">IF($B1353="","",IFERROR(INDEX(직원목록!$B$3:$B$302,MATCH($B1353,직원목록!$A$3:$A$302,0)),"미등록사번"))</f>
        <v/>
      </c>
      <c r="D1353" s="9"/>
      <c r="E1353" s="15" t="str">
        <f aca="false">IF($D1353="","",IFERROR(INDEX(교육과정!$B$3:$B$102,MATCH($D1353,교육과정!$A$3:$A$102,0)),"미등록과정"))</f>
        <v/>
      </c>
      <c r="F1353" s="13"/>
      <c r="G1353" s="9"/>
      <c r="H1353" s="9"/>
    </row>
    <row r="1354" customFormat="false" ht="15" hidden="false" customHeight="true" outlineLevel="0" collapsed="false">
      <c r="A1354" s="11"/>
      <c r="B1354" s="9"/>
      <c r="C1354" s="15" t="str">
        <f aca="false">IF($B1354="","",IFERROR(INDEX(직원목록!$B$3:$B$302,MATCH($B1354,직원목록!$A$3:$A$302,0)),"미등록사번"))</f>
        <v/>
      </c>
      <c r="D1354" s="9"/>
      <c r="E1354" s="15" t="str">
        <f aca="false">IF($D1354="","",IFERROR(INDEX(교육과정!$B$3:$B$102,MATCH($D1354,교육과정!$A$3:$A$102,0)),"미등록과정"))</f>
        <v/>
      </c>
      <c r="F1354" s="13"/>
      <c r="G1354" s="9"/>
      <c r="H1354" s="9"/>
    </row>
    <row r="1355" customFormat="false" ht="15" hidden="false" customHeight="true" outlineLevel="0" collapsed="false">
      <c r="A1355" s="11"/>
      <c r="B1355" s="9"/>
      <c r="C1355" s="15" t="str">
        <f aca="false">IF($B1355="","",IFERROR(INDEX(직원목록!$B$3:$B$302,MATCH($B1355,직원목록!$A$3:$A$302,0)),"미등록사번"))</f>
        <v/>
      </c>
      <c r="D1355" s="9"/>
      <c r="E1355" s="15" t="str">
        <f aca="false">IF($D1355="","",IFERROR(INDEX(교육과정!$B$3:$B$102,MATCH($D1355,교육과정!$A$3:$A$102,0)),"미등록과정"))</f>
        <v/>
      </c>
      <c r="F1355" s="13"/>
      <c r="G1355" s="9"/>
      <c r="H1355" s="9"/>
    </row>
    <row r="1356" customFormat="false" ht="15" hidden="false" customHeight="true" outlineLevel="0" collapsed="false">
      <c r="A1356" s="11"/>
      <c r="B1356" s="9"/>
      <c r="C1356" s="15" t="str">
        <f aca="false">IF($B1356="","",IFERROR(INDEX(직원목록!$B$3:$B$302,MATCH($B1356,직원목록!$A$3:$A$302,0)),"미등록사번"))</f>
        <v/>
      </c>
      <c r="D1356" s="9"/>
      <c r="E1356" s="15" t="str">
        <f aca="false">IF($D1356="","",IFERROR(INDEX(교육과정!$B$3:$B$102,MATCH($D1356,교육과정!$A$3:$A$102,0)),"미등록과정"))</f>
        <v/>
      </c>
      <c r="F1356" s="13"/>
      <c r="G1356" s="9"/>
      <c r="H1356" s="9"/>
    </row>
    <row r="1357" customFormat="false" ht="15" hidden="false" customHeight="true" outlineLevel="0" collapsed="false">
      <c r="A1357" s="11"/>
      <c r="B1357" s="9"/>
      <c r="C1357" s="15" t="str">
        <f aca="false">IF($B1357="","",IFERROR(INDEX(직원목록!$B$3:$B$302,MATCH($B1357,직원목록!$A$3:$A$302,0)),"미등록사번"))</f>
        <v/>
      </c>
      <c r="D1357" s="9"/>
      <c r="E1357" s="15" t="str">
        <f aca="false">IF($D1357="","",IFERROR(INDEX(교육과정!$B$3:$B$102,MATCH($D1357,교육과정!$A$3:$A$102,0)),"미등록과정"))</f>
        <v/>
      </c>
      <c r="F1357" s="13"/>
      <c r="G1357" s="9"/>
      <c r="H1357" s="9"/>
    </row>
    <row r="1358" customFormat="false" ht="15" hidden="false" customHeight="true" outlineLevel="0" collapsed="false">
      <c r="A1358" s="11"/>
      <c r="B1358" s="9"/>
      <c r="C1358" s="15" t="str">
        <f aca="false">IF($B1358="","",IFERROR(INDEX(직원목록!$B$3:$B$302,MATCH($B1358,직원목록!$A$3:$A$302,0)),"미등록사번"))</f>
        <v/>
      </c>
      <c r="D1358" s="9"/>
      <c r="E1358" s="15" t="str">
        <f aca="false">IF($D1358="","",IFERROR(INDEX(교육과정!$B$3:$B$102,MATCH($D1358,교육과정!$A$3:$A$102,0)),"미등록과정"))</f>
        <v/>
      </c>
      <c r="F1358" s="13"/>
      <c r="G1358" s="9"/>
      <c r="H1358" s="9"/>
    </row>
    <row r="1359" customFormat="false" ht="15" hidden="false" customHeight="true" outlineLevel="0" collapsed="false">
      <c r="A1359" s="11"/>
      <c r="B1359" s="9"/>
      <c r="C1359" s="15" t="str">
        <f aca="false">IF($B1359="","",IFERROR(INDEX(직원목록!$B$3:$B$302,MATCH($B1359,직원목록!$A$3:$A$302,0)),"미등록사번"))</f>
        <v/>
      </c>
      <c r="D1359" s="9"/>
      <c r="E1359" s="15" t="str">
        <f aca="false">IF($D1359="","",IFERROR(INDEX(교육과정!$B$3:$B$102,MATCH($D1359,교육과정!$A$3:$A$102,0)),"미등록과정"))</f>
        <v/>
      </c>
      <c r="F1359" s="13"/>
      <c r="G1359" s="9"/>
      <c r="H1359" s="9"/>
    </row>
    <row r="1360" customFormat="false" ht="15" hidden="false" customHeight="true" outlineLevel="0" collapsed="false">
      <c r="A1360" s="11"/>
      <c r="B1360" s="9"/>
      <c r="C1360" s="15" t="str">
        <f aca="false">IF($B1360="","",IFERROR(INDEX(직원목록!$B$3:$B$302,MATCH($B1360,직원목록!$A$3:$A$302,0)),"미등록사번"))</f>
        <v/>
      </c>
      <c r="D1360" s="9"/>
      <c r="E1360" s="15" t="str">
        <f aca="false">IF($D1360="","",IFERROR(INDEX(교육과정!$B$3:$B$102,MATCH($D1360,교육과정!$A$3:$A$102,0)),"미등록과정"))</f>
        <v/>
      </c>
      <c r="F1360" s="13"/>
      <c r="G1360" s="9"/>
      <c r="H1360" s="9"/>
    </row>
    <row r="1361" customFormat="false" ht="15" hidden="false" customHeight="true" outlineLevel="0" collapsed="false">
      <c r="A1361" s="11"/>
      <c r="B1361" s="9"/>
      <c r="C1361" s="15" t="str">
        <f aca="false">IF($B1361="","",IFERROR(INDEX(직원목록!$B$3:$B$302,MATCH($B1361,직원목록!$A$3:$A$302,0)),"미등록사번"))</f>
        <v/>
      </c>
      <c r="D1361" s="9"/>
      <c r="E1361" s="15" t="str">
        <f aca="false">IF($D1361="","",IFERROR(INDEX(교육과정!$B$3:$B$102,MATCH($D1361,교육과정!$A$3:$A$102,0)),"미등록과정"))</f>
        <v/>
      </c>
      <c r="F1361" s="13"/>
      <c r="G1361" s="9"/>
      <c r="H1361" s="9"/>
    </row>
    <row r="1362" customFormat="false" ht="15" hidden="false" customHeight="true" outlineLevel="0" collapsed="false">
      <c r="A1362" s="11"/>
      <c r="B1362" s="9"/>
      <c r="C1362" s="15" t="str">
        <f aca="false">IF($B1362="","",IFERROR(INDEX(직원목록!$B$3:$B$302,MATCH($B1362,직원목록!$A$3:$A$302,0)),"미등록사번"))</f>
        <v/>
      </c>
      <c r="D1362" s="9"/>
      <c r="E1362" s="15" t="str">
        <f aca="false">IF($D1362="","",IFERROR(INDEX(교육과정!$B$3:$B$102,MATCH($D1362,교육과정!$A$3:$A$102,0)),"미등록과정"))</f>
        <v/>
      </c>
      <c r="F1362" s="13"/>
      <c r="G1362" s="9"/>
      <c r="H1362" s="9"/>
    </row>
    <row r="1363" customFormat="false" ht="15" hidden="false" customHeight="true" outlineLevel="0" collapsed="false">
      <c r="A1363" s="11"/>
      <c r="B1363" s="9"/>
      <c r="C1363" s="15" t="str">
        <f aca="false">IF($B1363="","",IFERROR(INDEX(직원목록!$B$3:$B$302,MATCH($B1363,직원목록!$A$3:$A$302,0)),"미등록사번"))</f>
        <v/>
      </c>
      <c r="D1363" s="9"/>
      <c r="E1363" s="15" t="str">
        <f aca="false">IF($D1363="","",IFERROR(INDEX(교육과정!$B$3:$B$102,MATCH($D1363,교육과정!$A$3:$A$102,0)),"미등록과정"))</f>
        <v/>
      </c>
      <c r="F1363" s="13"/>
      <c r="G1363" s="9"/>
      <c r="H1363" s="9"/>
    </row>
    <row r="1364" customFormat="false" ht="15" hidden="false" customHeight="true" outlineLevel="0" collapsed="false">
      <c r="A1364" s="11"/>
      <c r="B1364" s="9"/>
      <c r="C1364" s="15" t="str">
        <f aca="false">IF($B1364="","",IFERROR(INDEX(직원목록!$B$3:$B$302,MATCH($B1364,직원목록!$A$3:$A$302,0)),"미등록사번"))</f>
        <v/>
      </c>
      <c r="D1364" s="9"/>
      <c r="E1364" s="15" t="str">
        <f aca="false">IF($D1364="","",IFERROR(INDEX(교육과정!$B$3:$B$102,MATCH($D1364,교육과정!$A$3:$A$102,0)),"미등록과정"))</f>
        <v/>
      </c>
      <c r="F1364" s="13"/>
      <c r="G1364" s="9"/>
      <c r="H1364" s="9"/>
    </row>
    <row r="1365" customFormat="false" ht="15" hidden="false" customHeight="true" outlineLevel="0" collapsed="false">
      <c r="A1365" s="11"/>
      <c r="B1365" s="9"/>
      <c r="C1365" s="15" t="str">
        <f aca="false">IF($B1365="","",IFERROR(INDEX(직원목록!$B$3:$B$302,MATCH($B1365,직원목록!$A$3:$A$302,0)),"미등록사번"))</f>
        <v/>
      </c>
      <c r="D1365" s="9"/>
      <c r="E1365" s="15" t="str">
        <f aca="false">IF($D1365="","",IFERROR(INDEX(교육과정!$B$3:$B$102,MATCH($D1365,교육과정!$A$3:$A$102,0)),"미등록과정"))</f>
        <v/>
      </c>
      <c r="F1365" s="13"/>
      <c r="G1365" s="9"/>
      <c r="H1365" s="9"/>
    </row>
    <row r="1366" customFormat="false" ht="15" hidden="false" customHeight="true" outlineLevel="0" collapsed="false">
      <c r="A1366" s="11"/>
      <c r="B1366" s="9"/>
      <c r="C1366" s="15" t="str">
        <f aca="false">IF($B1366="","",IFERROR(INDEX(직원목록!$B$3:$B$302,MATCH($B1366,직원목록!$A$3:$A$302,0)),"미등록사번"))</f>
        <v/>
      </c>
      <c r="D1366" s="9"/>
      <c r="E1366" s="15" t="str">
        <f aca="false">IF($D1366="","",IFERROR(INDEX(교육과정!$B$3:$B$102,MATCH($D1366,교육과정!$A$3:$A$102,0)),"미등록과정"))</f>
        <v/>
      </c>
      <c r="F1366" s="13"/>
      <c r="G1366" s="9"/>
      <c r="H1366" s="9"/>
    </row>
    <row r="1367" customFormat="false" ht="15" hidden="false" customHeight="true" outlineLevel="0" collapsed="false">
      <c r="A1367" s="11"/>
      <c r="B1367" s="9"/>
      <c r="C1367" s="15" t="str">
        <f aca="false">IF($B1367="","",IFERROR(INDEX(직원목록!$B$3:$B$302,MATCH($B1367,직원목록!$A$3:$A$302,0)),"미등록사번"))</f>
        <v/>
      </c>
      <c r="D1367" s="9"/>
      <c r="E1367" s="15" t="str">
        <f aca="false">IF($D1367="","",IFERROR(INDEX(교육과정!$B$3:$B$102,MATCH($D1367,교육과정!$A$3:$A$102,0)),"미등록과정"))</f>
        <v/>
      </c>
      <c r="F1367" s="13"/>
      <c r="G1367" s="9"/>
      <c r="H1367" s="9"/>
    </row>
    <row r="1368" customFormat="false" ht="15" hidden="false" customHeight="true" outlineLevel="0" collapsed="false">
      <c r="A1368" s="11"/>
      <c r="B1368" s="9"/>
      <c r="C1368" s="15" t="str">
        <f aca="false">IF($B1368="","",IFERROR(INDEX(직원목록!$B$3:$B$302,MATCH($B1368,직원목록!$A$3:$A$302,0)),"미등록사번"))</f>
        <v/>
      </c>
      <c r="D1368" s="9"/>
      <c r="E1368" s="15" t="str">
        <f aca="false">IF($D1368="","",IFERROR(INDEX(교육과정!$B$3:$B$102,MATCH($D1368,교육과정!$A$3:$A$102,0)),"미등록과정"))</f>
        <v/>
      </c>
      <c r="F1368" s="13"/>
      <c r="G1368" s="9"/>
      <c r="H1368" s="9"/>
    </row>
    <row r="1369" customFormat="false" ht="15" hidden="false" customHeight="true" outlineLevel="0" collapsed="false">
      <c r="A1369" s="11"/>
      <c r="B1369" s="9"/>
      <c r="C1369" s="15" t="str">
        <f aca="false">IF($B1369="","",IFERROR(INDEX(직원목록!$B$3:$B$302,MATCH($B1369,직원목록!$A$3:$A$302,0)),"미등록사번"))</f>
        <v/>
      </c>
      <c r="D1369" s="9"/>
      <c r="E1369" s="15" t="str">
        <f aca="false">IF($D1369="","",IFERROR(INDEX(교육과정!$B$3:$B$102,MATCH($D1369,교육과정!$A$3:$A$102,0)),"미등록과정"))</f>
        <v/>
      </c>
      <c r="F1369" s="13"/>
      <c r="G1369" s="9"/>
      <c r="H1369" s="9"/>
    </row>
    <row r="1370" customFormat="false" ht="15" hidden="false" customHeight="true" outlineLevel="0" collapsed="false">
      <c r="A1370" s="11"/>
      <c r="B1370" s="9"/>
      <c r="C1370" s="15" t="str">
        <f aca="false">IF($B1370="","",IFERROR(INDEX(직원목록!$B$3:$B$302,MATCH($B1370,직원목록!$A$3:$A$302,0)),"미등록사번"))</f>
        <v/>
      </c>
      <c r="D1370" s="9"/>
      <c r="E1370" s="15" t="str">
        <f aca="false">IF($D1370="","",IFERROR(INDEX(교육과정!$B$3:$B$102,MATCH($D1370,교육과정!$A$3:$A$102,0)),"미등록과정"))</f>
        <v/>
      </c>
      <c r="F1370" s="13"/>
      <c r="G1370" s="9"/>
      <c r="H1370" s="9"/>
    </row>
    <row r="1371" customFormat="false" ht="15" hidden="false" customHeight="true" outlineLevel="0" collapsed="false">
      <c r="A1371" s="11"/>
      <c r="B1371" s="9"/>
      <c r="C1371" s="15" t="str">
        <f aca="false">IF($B1371="","",IFERROR(INDEX(직원목록!$B$3:$B$302,MATCH($B1371,직원목록!$A$3:$A$302,0)),"미등록사번"))</f>
        <v/>
      </c>
      <c r="D1371" s="9"/>
      <c r="E1371" s="15" t="str">
        <f aca="false">IF($D1371="","",IFERROR(INDEX(교육과정!$B$3:$B$102,MATCH($D1371,교육과정!$A$3:$A$102,0)),"미등록과정"))</f>
        <v/>
      </c>
      <c r="F1371" s="13"/>
      <c r="G1371" s="9"/>
      <c r="H1371" s="9"/>
    </row>
    <row r="1372" customFormat="false" ht="15" hidden="false" customHeight="true" outlineLevel="0" collapsed="false">
      <c r="A1372" s="11"/>
      <c r="B1372" s="9"/>
      <c r="C1372" s="15" t="str">
        <f aca="false">IF($B1372="","",IFERROR(INDEX(직원목록!$B$3:$B$302,MATCH($B1372,직원목록!$A$3:$A$302,0)),"미등록사번"))</f>
        <v/>
      </c>
      <c r="D1372" s="9"/>
      <c r="E1372" s="15" t="str">
        <f aca="false">IF($D1372="","",IFERROR(INDEX(교육과정!$B$3:$B$102,MATCH($D1372,교육과정!$A$3:$A$102,0)),"미등록과정"))</f>
        <v/>
      </c>
      <c r="F1372" s="13"/>
      <c r="G1372" s="9"/>
      <c r="H1372" s="9"/>
    </row>
    <row r="1373" customFormat="false" ht="15" hidden="false" customHeight="true" outlineLevel="0" collapsed="false">
      <c r="A1373" s="11"/>
      <c r="B1373" s="9"/>
      <c r="C1373" s="15" t="str">
        <f aca="false">IF($B1373="","",IFERROR(INDEX(직원목록!$B$3:$B$302,MATCH($B1373,직원목록!$A$3:$A$302,0)),"미등록사번"))</f>
        <v/>
      </c>
      <c r="D1373" s="9"/>
      <c r="E1373" s="15" t="str">
        <f aca="false">IF($D1373="","",IFERROR(INDEX(교육과정!$B$3:$B$102,MATCH($D1373,교육과정!$A$3:$A$102,0)),"미등록과정"))</f>
        <v/>
      </c>
      <c r="F1373" s="13"/>
      <c r="G1373" s="9"/>
      <c r="H1373" s="9"/>
    </row>
    <row r="1374" customFormat="false" ht="15" hidden="false" customHeight="true" outlineLevel="0" collapsed="false">
      <c r="A1374" s="11"/>
      <c r="B1374" s="9"/>
      <c r="C1374" s="15" t="str">
        <f aca="false">IF($B1374="","",IFERROR(INDEX(직원목록!$B$3:$B$302,MATCH($B1374,직원목록!$A$3:$A$302,0)),"미등록사번"))</f>
        <v/>
      </c>
      <c r="D1374" s="9"/>
      <c r="E1374" s="15" t="str">
        <f aca="false">IF($D1374="","",IFERROR(INDEX(교육과정!$B$3:$B$102,MATCH($D1374,교육과정!$A$3:$A$102,0)),"미등록과정"))</f>
        <v/>
      </c>
      <c r="F1374" s="13"/>
      <c r="G1374" s="9"/>
      <c r="H1374" s="9"/>
    </row>
    <row r="1375" customFormat="false" ht="15" hidden="false" customHeight="true" outlineLevel="0" collapsed="false">
      <c r="A1375" s="11"/>
      <c r="B1375" s="9"/>
      <c r="C1375" s="15" t="str">
        <f aca="false">IF($B1375="","",IFERROR(INDEX(직원목록!$B$3:$B$302,MATCH($B1375,직원목록!$A$3:$A$302,0)),"미등록사번"))</f>
        <v/>
      </c>
      <c r="D1375" s="9"/>
      <c r="E1375" s="15" t="str">
        <f aca="false">IF($D1375="","",IFERROR(INDEX(교육과정!$B$3:$B$102,MATCH($D1375,교육과정!$A$3:$A$102,0)),"미등록과정"))</f>
        <v/>
      </c>
      <c r="F1375" s="13"/>
      <c r="G1375" s="9"/>
      <c r="H1375" s="9"/>
    </row>
    <row r="1376" customFormat="false" ht="15" hidden="false" customHeight="true" outlineLevel="0" collapsed="false">
      <c r="A1376" s="11"/>
      <c r="B1376" s="9"/>
      <c r="C1376" s="15" t="str">
        <f aca="false">IF($B1376="","",IFERROR(INDEX(직원목록!$B$3:$B$302,MATCH($B1376,직원목록!$A$3:$A$302,0)),"미등록사번"))</f>
        <v/>
      </c>
      <c r="D1376" s="9"/>
      <c r="E1376" s="15" t="str">
        <f aca="false">IF($D1376="","",IFERROR(INDEX(교육과정!$B$3:$B$102,MATCH($D1376,교육과정!$A$3:$A$102,0)),"미등록과정"))</f>
        <v/>
      </c>
      <c r="F1376" s="13"/>
      <c r="G1376" s="9"/>
      <c r="H1376" s="9"/>
    </row>
    <row r="1377" customFormat="false" ht="15" hidden="false" customHeight="true" outlineLevel="0" collapsed="false">
      <c r="A1377" s="11"/>
      <c r="B1377" s="9"/>
      <c r="C1377" s="15" t="str">
        <f aca="false">IF($B1377="","",IFERROR(INDEX(직원목록!$B$3:$B$302,MATCH($B1377,직원목록!$A$3:$A$302,0)),"미등록사번"))</f>
        <v/>
      </c>
      <c r="D1377" s="9"/>
      <c r="E1377" s="15" t="str">
        <f aca="false">IF($D1377="","",IFERROR(INDEX(교육과정!$B$3:$B$102,MATCH($D1377,교육과정!$A$3:$A$102,0)),"미등록과정"))</f>
        <v/>
      </c>
      <c r="F1377" s="13"/>
      <c r="G1377" s="9"/>
      <c r="H1377" s="9"/>
    </row>
    <row r="1378" customFormat="false" ht="15" hidden="false" customHeight="true" outlineLevel="0" collapsed="false">
      <c r="A1378" s="11"/>
      <c r="B1378" s="9"/>
      <c r="C1378" s="15" t="str">
        <f aca="false">IF($B1378="","",IFERROR(INDEX(직원목록!$B$3:$B$302,MATCH($B1378,직원목록!$A$3:$A$302,0)),"미등록사번"))</f>
        <v/>
      </c>
      <c r="D1378" s="9"/>
      <c r="E1378" s="15" t="str">
        <f aca="false">IF($D1378="","",IFERROR(INDEX(교육과정!$B$3:$B$102,MATCH($D1378,교육과정!$A$3:$A$102,0)),"미등록과정"))</f>
        <v/>
      </c>
      <c r="F1378" s="13"/>
      <c r="G1378" s="9"/>
      <c r="H1378" s="9"/>
    </row>
    <row r="1379" customFormat="false" ht="15" hidden="false" customHeight="true" outlineLevel="0" collapsed="false">
      <c r="A1379" s="11"/>
      <c r="B1379" s="9"/>
      <c r="C1379" s="15" t="str">
        <f aca="false">IF($B1379="","",IFERROR(INDEX(직원목록!$B$3:$B$302,MATCH($B1379,직원목록!$A$3:$A$302,0)),"미등록사번"))</f>
        <v/>
      </c>
      <c r="D1379" s="9"/>
      <c r="E1379" s="15" t="str">
        <f aca="false">IF($D1379="","",IFERROR(INDEX(교육과정!$B$3:$B$102,MATCH($D1379,교육과정!$A$3:$A$102,0)),"미등록과정"))</f>
        <v/>
      </c>
      <c r="F1379" s="13"/>
      <c r="G1379" s="9"/>
      <c r="H1379" s="9"/>
    </row>
    <row r="1380" customFormat="false" ht="15" hidden="false" customHeight="true" outlineLevel="0" collapsed="false">
      <c r="A1380" s="11"/>
      <c r="B1380" s="9"/>
      <c r="C1380" s="15" t="str">
        <f aca="false">IF($B1380="","",IFERROR(INDEX(직원목록!$B$3:$B$302,MATCH($B1380,직원목록!$A$3:$A$302,0)),"미등록사번"))</f>
        <v/>
      </c>
      <c r="D1380" s="9"/>
      <c r="E1380" s="15" t="str">
        <f aca="false">IF($D1380="","",IFERROR(INDEX(교육과정!$B$3:$B$102,MATCH($D1380,교육과정!$A$3:$A$102,0)),"미등록과정"))</f>
        <v/>
      </c>
      <c r="F1380" s="13"/>
      <c r="G1380" s="9"/>
      <c r="H1380" s="9"/>
    </row>
    <row r="1381" customFormat="false" ht="15" hidden="false" customHeight="true" outlineLevel="0" collapsed="false">
      <c r="A1381" s="11"/>
      <c r="B1381" s="9"/>
      <c r="C1381" s="15" t="str">
        <f aca="false">IF($B1381="","",IFERROR(INDEX(직원목록!$B$3:$B$302,MATCH($B1381,직원목록!$A$3:$A$302,0)),"미등록사번"))</f>
        <v/>
      </c>
      <c r="D1381" s="9"/>
      <c r="E1381" s="15" t="str">
        <f aca="false">IF($D1381="","",IFERROR(INDEX(교육과정!$B$3:$B$102,MATCH($D1381,교육과정!$A$3:$A$102,0)),"미등록과정"))</f>
        <v/>
      </c>
      <c r="F1381" s="13"/>
      <c r="G1381" s="9"/>
      <c r="H1381" s="9"/>
    </row>
    <row r="1382" customFormat="false" ht="15" hidden="false" customHeight="true" outlineLevel="0" collapsed="false">
      <c r="A1382" s="11"/>
      <c r="B1382" s="9"/>
      <c r="C1382" s="15" t="str">
        <f aca="false">IF($B1382="","",IFERROR(INDEX(직원목록!$B$3:$B$302,MATCH($B1382,직원목록!$A$3:$A$302,0)),"미등록사번"))</f>
        <v/>
      </c>
      <c r="D1382" s="9"/>
      <c r="E1382" s="15" t="str">
        <f aca="false">IF($D1382="","",IFERROR(INDEX(교육과정!$B$3:$B$102,MATCH($D1382,교육과정!$A$3:$A$102,0)),"미등록과정"))</f>
        <v/>
      </c>
      <c r="F1382" s="13"/>
      <c r="G1382" s="9"/>
      <c r="H1382" s="9"/>
    </row>
    <row r="1383" customFormat="false" ht="15" hidden="false" customHeight="true" outlineLevel="0" collapsed="false">
      <c r="A1383" s="11"/>
      <c r="B1383" s="9"/>
      <c r="C1383" s="15" t="str">
        <f aca="false">IF($B1383="","",IFERROR(INDEX(직원목록!$B$3:$B$302,MATCH($B1383,직원목록!$A$3:$A$302,0)),"미등록사번"))</f>
        <v/>
      </c>
      <c r="D1383" s="9"/>
      <c r="E1383" s="15" t="str">
        <f aca="false">IF($D1383="","",IFERROR(INDEX(교육과정!$B$3:$B$102,MATCH($D1383,교육과정!$A$3:$A$102,0)),"미등록과정"))</f>
        <v/>
      </c>
      <c r="F1383" s="13"/>
      <c r="G1383" s="9"/>
      <c r="H1383" s="9"/>
    </row>
    <row r="1384" customFormat="false" ht="15" hidden="false" customHeight="true" outlineLevel="0" collapsed="false">
      <c r="A1384" s="11"/>
      <c r="B1384" s="9"/>
      <c r="C1384" s="15" t="str">
        <f aca="false">IF($B1384="","",IFERROR(INDEX(직원목록!$B$3:$B$302,MATCH($B1384,직원목록!$A$3:$A$302,0)),"미등록사번"))</f>
        <v/>
      </c>
      <c r="D1384" s="9"/>
      <c r="E1384" s="15" t="str">
        <f aca="false">IF($D1384="","",IFERROR(INDEX(교육과정!$B$3:$B$102,MATCH($D1384,교육과정!$A$3:$A$102,0)),"미등록과정"))</f>
        <v/>
      </c>
      <c r="F1384" s="13"/>
      <c r="G1384" s="9"/>
      <c r="H1384" s="9"/>
    </row>
    <row r="1385" customFormat="false" ht="15" hidden="false" customHeight="true" outlineLevel="0" collapsed="false">
      <c r="A1385" s="11"/>
      <c r="B1385" s="9"/>
      <c r="C1385" s="15" t="str">
        <f aca="false">IF($B1385="","",IFERROR(INDEX(직원목록!$B$3:$B$302,MATCH($B1385,직원목록!$A$3:$A$302,0)),"미등록사번"))</f>
        <v/>
      </c>
      <c r="D1385" s="9"/>
      <c r="E1385" s="15" t="str">
        <f aca="false">IF($D1385="","",IFERROR(INDEX(교육과정!$B$3:$B$102,MATCH($D1385,교육과정!$A$3:$A$102,0)),"미등록과정"))</f>
        <v/>
      </c>
      <c r="F1385" s="13"/>
      <c r="G1385" s="9"/>
      <c r="H1385" s="9"/>
    </row>
    <row r="1386" customFormat="false" ht="15" hidden="false" customHeight="true" outlineLevel="0" collapsed="false">
      <c r="A1386" s="11"/>
      <c r="B1386" s="9"/>
      <c r="C1386" s="15" t="str">
        <f aca="false">IF($B1386="","",IFERROR(INDEX(직원목록!$B$3:$B$302,MATCH($B1386,직원목록!$A$3:$A$302,0)),"미등록사번"))</f>
        <v/>
      </c>
      <c r="D1386" s="9"/>
      <c r="E1386" s="15" t="str">
        <f aca="false">IF($D1386="","",IFERROR(INDEX(교육과정!$B$3:$B$102,MATCH($D1386,교육과정!$A$3:$A$102,0)),"미등록과정"))</f>
        <v/>
      </c>
      <c r="F1386" s="13"/>
      <c r="G1386" s="9"/>
      <c r="H1386" s="9"/>
    </row>
    <row r="1387" customFormat="false" ht="15" hidden="false" customHeight="true" outlineLevel="0" collapsed="false">
      <c r="A1387" s="11"/>
      <c r="B1387" s="9"/>
      <c r="C1387" s="15" t="str">
        <f aca="false">IF($B1387="","",IFERROR(INDEX(직원목록!$B$3:$B$302,MATCH($B1387,직원목록!$A$3:$A$302,0)),"미등록사번"))</f>
        <v/>
      </c>
      <c r="D1387" s="9"/>
      <c r="E1387" s="15" t="str">
        <f aca="false">IF($D1387="","",IFERROR(INDEX(교육과정!$B$3:$B$102,MATCH($D1387,교육과정!$A$3:$A$102,0)),"미등록과정"))</f>
        <v/>
      </c>
      <c r="F1387" s="13"/>
      <c r="G1387" s="9"/>
      <c r="H1387" s="9"/>
    </row>
    <row r="1388" customFormat="false" ht="15" hidden="false" customHeight="true" outlineLevel="0" collapsed="false">
      <c r="A1388" s="11"/>
      <c r="B1388" s="9"/>
      <c r="C1388" s="15" t="str">
        <f aca="false">IF($B1388="","",IFERROR(INDEX(직원목록!$B$3:$B$302,MATCH($B1388,직원목록!$A$3:$A$302,0)),"미등록사번"))</f>
        <v/>
      </c>
      <c r="D1388" s="9"/>
      <c r="E1388" s="15" t="str">
        <f aca="false">IF($D1388="","",IFERROR(INDEX(교육과정!$B$3:$B$102,MATCH($D1388,교육과정!$A$3:$A$102,0)),"미등록과정"))</f>
        <v/>
      </c>
      <c r="F1388" s="13"/>
      <c r="G1388" s="9"/>
      <c r="H1388" s="9"/>
    </row>
    <row r="1389" customFormat="false" ht="15" hidden="false" customHeight="true" outlineLevel="0" collapsed="false">
      <c r="A1389" s="11"/>
      <c r="B1389" s="9"/>
      <c r="C1389" s="15" t="str">
        <f aca="false">IF($B1389="","",IFERROR(INDEX(직원목록!$B$3:$B$302,MATCH($B1389,직원목록!$A$3:$A$302,0)),"미등록사번"))</f>
        <v/>
      </c>
      <c r="D1389" s="9"/>
      <c r="E1389" s="15" t="str">
        <f aca="false">IF($D1389="","",IFERROR(INDEX(교육과정!$B$3:$B$102,MATCH($D1389,교육과정!$A$3:$A$102,0)),"미등록과정"))</f>
        <v/>
      </c>
      <c r="F1389" s="13"/>
      <c r="G1389" s="9"/>
      <c r="H1389" s="9"/>
    </row>
    <row r="1390" customFormat="false" ht="15" hidden="false" customHeight="true" outlineLevel="0" collapsed="false">
      <c r="A1390" s="11"/>
      <c r="B1390" s="9"/>
      <c r="C1390" s="15" t="str">
        <f aca="false">IF($B1390="","",IFERROR(INDEX(직원목록!$B$3:$B$302,MATCH($B1390,직원목록!$A$3:$A$302,0)),"미등록사번"))</f>
        <v/>
      </c>
      <c r="D1390" s="9"/>
      <c r="E1390" s="15" t="str">
        <f aca="false">IF($D1390="","",IFERROR(INDEX(교육과정!$B$3:$B$102,MATCH($D1390,교육과정!$A$3:$A$102,0)),"미등록과정"))</f>
        <v/>
      </c>
      <c r="F1390" s="13"/>
      <c r="G1390" s="9"/>
      <c r="H1390" s="9"/>
    </row>
    <row r="1391" customFormat="false" ht="15" hidden="false" customHeight="true" outlineLevel="0" collapsed="false">
      <c r="A1391" s="11"/>
      <c r="B1391" s="9"/>
      <c r="C1391" s="15" t="str">
        <f aca="false">IF($B1391="","",IFERROR(INDEX(직원목록!$B$3:$B$302,MATCH($B1391,직원목록!$A$3:$A$302,0)),"미등록사번"))</f>
        <v/>
      </c>
      <c r="D1391" s="9"/>
      <c r="E1391" s="15" t="str">
        <f aca="false">IF($D1391="","",IFERROR(INDEX(교육과정!$B$3:$B$102,MATCH($D1391,교육과정!$A$3:$A$102,0)),"미등록과정"))</f>
        <v/>
      </c>
      <c r="F1391" s="13"/>
      <c r="G1391" s="9"/>
      <c r="H1391" s="9"/>
    </row>
    <row r="1392" customFormat="false" ht="15" hidden="false" customHeight="true" outlineLevel="0" collapsed="false">
      <c r="A1392" s="11"/>
      <c r="B1392" s="9"/>
      <c r="C1392" s="15" t="str">
        <f aca="false">IF($B1392="","",IFERROR(INDEX(직원목록!$B$3:$B$302,MATCH($B1392,직원목록!$A$3:$A$302,0)),"미등록사번"))</f>
        <v/>
      </c>
      <c r="D1392" s="9"/>
      <c r="E1392" s="15" t="str">
        <f aca="false">IF($D1392="","",IFERROR(INDEX(교육과정!$B$3:$B$102,MATCH($D1392,교육과정!$A$3:$A$102,0)),"미등록과정"))</f>
        <v/>
      </c>
      <c r="F1392" s="13"/>
      <c r="G1392" s="9"/>
      <c r="H1392" s="9"/>
    </row>
    <row r="1393" customFormat="false" ht="15" hidden="false" customHeight="true" outlineLevel="0" collapsed="false">
      <c r="A1393" s="11"/>
      <c r="B1393" s="9"/>
      <c r="C1393" s="15" t="str">
        <f aca="false">IF($B1393="","",IFERROR(INDEX(직원목록!$B$3:$B$302,MATCH($B1393,직원목록!$A$3:$A$302,0)),"미등록사번"))</f>
        <v/>
      </c>
      <c r="D1393" s="9"/>
      <c r="E1393" s="15" t="str">
        <f aca="false">IF($D1393="","",IFERROR(INDEX(교육과정!$B$3:$B$102,MATCH($D1393,교육과정!$A$3:$A$102,0)),"미등록과정"))</f>
        <v/>
      </c>
      <c r="F1393" s="13"/>
      <c r="G1393" s="9"/>
      <c r="H1393" s="9"/>
    </row>
    <row r="1394" customFormat="false" ht="15" hidden="false" customHeight="true" outlineLevel="0" collapsed="false">
      <c r="A1394" s="11"/>
      <c r="B1394" s="9"/>
      <c r="C1394" s="15" t="str">
        <f aca="false">IF($B1394="","",IFERROR(INDEX(직원목록!$B$3:$B$302,MATCH($B1394,직원목록!$A$3:$A$302,0)),"미등록사번"))</f>
        <v/>
      </c>
      <c r="D1394" s="9"/>
      <c r="E1394" s="15" t="str">
        <f aca="false">IF($D1394="","",IFERROR(INDEX(교육과정!$B$3:$B$102,MATCH($D1394,교육과정!$A$3:$A$102,0)),"미등록과정"))</f>
        <v/>
      </c>
      <c r="F1394" s="13"/>
      <c r="G1394" s="9"/>
      <c r="H1394" s="9"/>
    </row>
    <row r="1395" customFormat="false" ht="15" hidden="false" customHeight="true" outlineLevel="0" collapsed="false">
      <c r="A1395" s="11"/>
      <c r="B1395" s="9"/>
      <c r="C1395" s="15" t="str">
        <f aca="false">IF($B1395="","",IFERROR(INDEX(직원목록!$B$3:$B$302,MATCH($B1395,직원목록!$A$3:$A$302,0)),"미등록사번"))</f>
        <v/>
      </c>
      <c r="D1395" s="9"/>
      <c r="E1395" s="15" t="str">
        <f aca="false">IF($D1395="","",IFERROR(INDEX(교육과정!$B$3:$B$102,MATCH($D1395,교육과정!$A$3:$A$102,0)),"미등록과정"))</f>
        <v/>
      </c>
      <c r="F1395" s="13"/>
      <c r="G1395" s="9"/>
      <c r="H1395" s="9"/>
    </row>
    <row r="1396" customFormat="false" ht="15" hidden="false" customHeight="true" outlineLevel="0" collapsed="false">
      <c r="A1396" s="11"/>
      <c r="B1396" s="9"/>
      <c r="C1396" s="15" t="str">
        <f aca="false">IF($B1396="","",IFERROR(INDEX(직원목록!$B$3:$B$302,MATCH($B1396,직원목록!$A$3:$A$302,0)),"미등록사번"))</f>
        <v/>
      </c>
      <c r="D1396" s="9"/>
      <c r="E1396" s="15" t="str">
        <f aca="false">IF($D1396="","",IFERROR(INDEX(교육과정!$B$3:$B$102,MATCH($D1396,교육과정!$A$3:$A$102,0)),"미등록과정"))</f>
        <v/>
      </c>
      <c r="F1396" s="13"/>
      <c r="G1396" s="9"/>
      <c r="H1396" s="9"/>
    </row>
    <row r="1397" customFormat="false" ht="15" hidden="false" customHeight="true" outlineLevel="0" collapsed="false">
      <c r="A1397" s="11"/>
      <c r="B1397" s="9"/>
      <c r="C1397" s="15" t="str">
        <f aca="false">IF($B1397="","",IFERROR(INDEX(직원목록!$B$3:$B$302,MATCH($B1397,직원목록!$A$3:$A$302,0)),"미등록사번"))</f>
        <v/>
      </c>
      <c r="D1397" s="9"/>
      <c r="E1397" s="15" t="str">
        <f aca="false">IF($D1397="","",IFERROR(INDEX(교육과정!$B$3:$B$102,MATCH($D1397,교육과정!$A$3:$A$102,0)),"미등록과정"))</f>
        <v/>
      </c>
      <c r="F1397" s="13"/>
      <c r="G1397" s="9"/>
      <c r="H1397" s="9"/>
    </row>
    <row r="1398" customFormat="false" ht="15" hidden="false" customHeight="true" outlineLevel="0" collapsed="false">
      <c r="A1398" s="11"/>
      <c r="B1398" s="9"/>
      <c r="C1398" s="15" t="str">
        <f aca="false">IF($B1398="","",IFERROR(INDEX(직원목록!$B$3:$B$302,MATCH($B1398,직원목록!$A$3:$A$302,0)),"미등록사번"))</f>
        <v/>
      </c>
      <c r="D1398" s="9"/>
      <c r="E1398" s="15" t="str">
        <f aca="false">IF($D1398="","",IFERROR(INDEX(교육과정!$B$3:$B$102,MATCH($D1398,교육과정!$A$3:$A$102,0)),"미등록과정"))</f>
        <v/>
      </c>
      <c r="F1398" s="13"/>
      <c r="G1398" s="9"/>
      <c r="H1398" s="9"/>
    </row>
    <row r="1399" customFormat="false" ht="15" hidden="false" customHeight="true" outlineLevel="0" collapsed="false">
      <c r="A1399" s="11"/>
      <c r="B1399" s="9"/>
      <c r="C1399" s="15" t="str">
        <f aca="false">IF($B1399="","",IFERROR(INDEX(직원목록!$B$3:$B$302,MATCH($B1399,직원목록!$A$3:$A$302,0)),"미등록사번"))</f>
        <v/>
      </c>
      <c r="D1399" s="9"/>
      <c r="E1399" s="15" t="str">
        <f aca="false">IF($D1399="","",IFERROR(INDEX(교육과정!$B$3:$B$102,MATCH($D1399,교육과정!$A$3:$A$102,0)),"미등록과정"))</f>
        <v/>
      </c>
      <c r="F1399" s="13"/>
      <c r="G1399" s="9"/>
      <c r="H1399" s="9"/>
    </row>
    <row r="1400" customFormat="false" ht="15" hidden="false" customHeight="true" outlineLevel="0" collapsed="false">
      <c r="A1400" s="11"/>
      <c r="B1400" s="9"/>
      <c r="C1400" s="15" t="str">
        <f aca="false">IF($B1400="","",IFERROR(INDEX(직원목록!$B$3:$B$302,MATCH($B1400,직원목록!$A$3:$A$302,0)),"미등록사번"))</f>
        <v/>
      </c>
      <c r="D1400" s="9"/>
      <c r="E1400" s="15" t="str">
        <f aca="false">IF($D1400="","",IFERROR(INDEX(교육과정!$B$3:$B$102,MATCH($D1400,교육과정!$A$3:$A$102,0)),"미등록과정"))</f>
        <v/>
      </c>
      <c r="F1400" s="13"/>
      <c r="G1400" s="9"/>
      <c r="H1400" s="9"/>
    </row>
    <row r="1401" customFormat="false" ht="15" hidden="false" customHeight="true" outlineLevel="0" collapsed="false">
      <c r="A1401" s="11"/>
      <c r="B1401" s="9"/>
      <c r="C1401" s="15" t="str">
        <f aca="false">IF($B1401="","",IFERROR(INDEX(직원목록!$B$3:$B$302,MATCH($B1401,직원목록!$A$3:$A$302,0)),"미등록사번"))</f>
        <v/>
      </c>
      <c r="D1401" s="9"/>
      <c r="E1401" s="15" t="str">
        <f aca="false">IF($D1401="","",IFERROR(INDEX(교육과정!$B$3:$B$102,MATCH($D1401,교육과정!$A$3:$A$102,0)),"미등록과정"))</f>
        <v/>
      </c>
      <c r="F1401" s="13"/>
      <c r="G1401" s="9"/>
      <c r="H1401" s="9"/>
    </row>
    <row r="1402" customFormat="false" ht="15" hidden="false" customHeight="true" outlineLevel="0" collapsed="false">
      <c r="A1402" s="11"/>
      <c r="B1402" s="9"/>
      <c r="C1402" s="15" t="str">
        <f aca="false">IF($B1402="","",IFERROR(INDEX(직원목록!$B$3:$B$302,MATCH($B1402,직원목록!$A$3:$A$302,0)),"미등록사번"))</f>
        <v/>
      </c>
      <c r="D1402" s="9"/>
      <c r="E1402" s="15" t="str">
        <f aca="false">IF($D1402="","",IFERROR(INDEX(교육과정!$B$3:$B$102,MATCH($D1402,교육과정!$A$3:$A$102,0)),"미등록과정"))</f>
        <v/>
      </c>
      <c r="F1402" s="13"/>
      <c r="G1402" s="9"/>
      <c r="H1402" s="9"/>
    </row>
    <row r="1403" customFormat="false" ht="15" hidden="false" customHeight="true" outlineLevel="0" collapsed="false">
      <c r="A1403" s="11"/>
      <c r="B1403" s="9"/>
      <c r="C1403" s="15" t="str">
        <f aca="false">IF($B1403="","",IFERROR(INDEX(직원목록!$B$3:$B$302,MATCH($B1403,직원목록!$A$3:$A$302,0)),"미등록사번"))</f>
        <v/>
      </c>
      <c r="D1403" s="9"/>
      <c r="E1403" s="15" t="str">
        <f aca="false">IF($D1403="","",IFERROR(INDEX(교육과정!$B$3:$B$102,MATCH($D1403,교육과정!$A$3:$A$102,0)),"미등록과정"))</f>
        <v/>
      </c>
      <c r="F1403" s="13"/>
      <c r="G1403" s="9"/>
      <c r="H1403" s="9"/>
    </row>
    <row r="1404" customFormat="false" ht="15" hidden="false" customHeight="true" outlineLevel="0" collapsed="false">
      <c r="A1404" s="11"/>
      <c r="B1404" s="9"/>
      <c r="C1404" s="15" t="str">
        <f aca="false">IF($B1404="","",IFERROR(INDEX(직원목록!$B$3:$B$302,MATCH($B1404,직원목록!$A$3:$A$302,0)),"미등록사번"))</f>
        <v/>
      </c>
      <c r="D1404" s="9"/>
      <c r="E1404" s="15" t="str">
        <f aca="false">IF($D1404="","",IFERROR(INDEX(교육과정!$B$3:$B$102,MATCH($D1404,교육과정!$A$3:$A$102,0)),"미등록과정"))</f>
        <v/>
      </c>
      <c r="F1404" s="13"/>
      <c r="G1404" s="9"/>
      <c r="H1404" s="9"/>
    </row>
    <row r="1405" customFormat="false" ht="15" hidden="false" customHeight="true" outlineLevel="0" collapsed="false">
      <c r="A1405" s="11"/>
      <c r="B1405" s="9"/>
      <c r="C1405" s="15" t="str">
        <f aca="false">IF($B1405="","",IFERROR(INDEX(직원목록!$B$3:$B$302,MATCH($B1405,직원목록!$A$3:$A$302,0)),"미등록사번"))</f>
        <v/>
      </c>
      <c r="D1405" s="9"/>
      <c r="E1405" s="15" t="str">
        <f aca="false">IF($D1405="","",IFERROR(INDEX(교육과정!$B$3:$B$102,MATCH($D1405,교육과정!$A$3:$A$102,0)),"미등록과정"))</f>
        <v/>
      </c>
      <c r="F1405" s="13"/>
      <c r="G1405" s="9"/>
      <c r="H1405" s="9"/>
    </row>
    <row r="1406" customFormat="false" ht="15" hidden="false" customHeight="true" outlineLevel="0" collapsed="false">
      <c r="A1406" s="11"/>
      <c r="B1406" s="9"/>
      <c r="C1406" s="15" t="str">
        <f aca="false">IF($B1406="","",IFERROR(INDEX(직원목록!$B$3:$B$302,MATCH($B1406,직원목록!$A$3:$A$302,0)),"미등록사번"))</f>
        <v/>
      </c>
      <c r="D1406" s="9"/>
      <c r="E1406" s="15" t="str">
        <f aca="false">IF($D1406="","",IFERROR(INDEX(교육과정!$B$3:$B$102,MATCH($D1406,교육과정!$A$3:$A$102,0)),"미등록과정"))</f>
        <v/>
      </c>
      <c r="F1406" s="13"/>
      <c r="G1406" s="9"/>
      <c r="H1406" s="9"/>
    </row>
    <row r="1407" customFormat="false" ht="15" hidden="false" customHeight="true" outlineLevel="0" collapsed="false">
      <c r="A1407" s="11"/>
      <c r="B1407" s="9"/>
      <c r="C1407" s="15" t="str">
        <f aca="false">IF($B1407="","",IFERROR(INDEX(직원목록!$B$3:$B$302,MATCH($B1407,직원목록!$A$3:$A$302,0)),"미등록사번"))</f>
        <v/>
      </c>
      <c r="D1407" s="9"/>
      <c r="E1407" s="15" t="str">
        <f aca="false">IF($D1407="","",IFERROR(INDEX(교육과정!$B$3:$B$102,MATCH($D1407,교육과정!$A$3:$A$102,0)),"미등록과정"))</f>
        <v/>
      </c>
      <c r="F1407" s="13"/>
      <c r="G1407" s="9"/>
      <c r="H1407" s="9"/>
    </row>
    <row r="1408" customFormat="false" ht="15" hidden="false" customHeight="true" outlineLevel="0" collapsed="false">
      <c r="A1408" s="11"/>
      <c r="B1408" s="9"/>
      <c r="C1408" s="15" t="str">
        <f aca="false">IF($B1408="","",IFERROR(INDEX(직원목록!$B$3:$B$302,MATCH($B1408,직원목록!$A$3:$A$302,0)),"미등록사번"))</f>
        <v/>
      </c>
      <c r="D1408" s="9"/>
      <c r="E1408" s="15" t="str">
        <f aca="false">IF($D1408="","",IFERROR(INDEX(교육과정!$B$3:$B$102,MATCH($D1408,교육과정!$A$3:$A$102,0)),"미등록과정"))</f>
        <v/>
      </c>
      <c r="F1408" s="13"/>
      <c r="G1408" s="9"/>
      <c r="H1408" s="9"/>
    </row>
    <row r="1409" customFormat="false" ht="15" hidden="false" customHeight="true" outlineLevel="0" collapsed="false">
      <c r="A1409" s="11"/>
      <c r="B1409" s="9"/>
      <c r="C1409" s="15" t="str">
        <f aca="false">IF($B1409="","",IFERROR(INDEX(직원목록!$B$3:$B$302,MATCH($B1409,직원목록!$A$3:$A$302,0)),"미등록사번"))</f>
        <v/>
      </c>
      <c r="D1409" s="9"/>
      <c r="E1409" s="15" t="str">
        <f aca="false">IF($D1409="","",IFERROR(INDEX(교육과정!$B$3:$B$102,MATCH($D1409,교육과정!$A$3:$A$102,0)),"미등록과정"))</f>
        <v/>
      </c>
      <c r="F1409" s="13"/>
      <c r="G1409" s="9"/>
      <c r="H1409" s="9"/>
    </row>
    <row r="1410" customFormat="false" ht="15" hidden="false" customHeight="true" outlineLevel="0" collapsed="false">
      <c r="A1410" s="11"/>
      <c r="B1410" s="9"/>
      <c r="C1410" s="15" t="str">
        <f aca="false">IF($B1410="","",IFERROR(INDEX(직원목록!$B$3:$B$302,MATCH($B1410,직원목록!$A$3:$A$302,0)),"미등록사번"))</f>
        <v/>
      </c>
      <c r="D1410" s="9"/>
      <c r="E1410" s="15" t="str">
        <f aca="false">IF($D1410="","",IFERROR(INDEX(교육과정!$B$3:$B$102,MATCH($D1410,교육과정!$A$3:$A$102,0)),"미등록과정"))</f>
        <v/>
      </c>
      <c r="F1410" s="13"/>
      <c r="G1410" s="9"/>
      <c r="H1410" s="9"/>
    </row>
    <row r="1411" customFormat="false" ht="15" hidden="false" customHeight="true" outlineLevel="0" collapsed="false">
      <c r="A1411" s="11"/>
      <c r="B1411" s="9"/>
      <c r="C1411" s="15" t="str">
        <f aca="false">IF($B1411="","",IFERROR(INDEX(직원목록!$B$3:$B$302,MATCH($B1411,직원목록!$A$3:$A$302,0)),"미등록사번"))</f>
        <v/>
      </c>
      <c r="D1411" s="9"/>
      <c r="E1411" s="15" t="str">
        <f aca="false">IF($D1411="","",IFERROR(INDEX(교육과정!$B$3:$B$102,MATCH($D1411,교육과정!$A$3:$A$102,0)),"미등록과정"))</f>
        <v/>
      </c>
      <c r="F1411" s="13"/>
      <c r="G1411" s="9"/>
      <c r="H1411" s="9"/>
    </row>
    <row r="1412" customFormat="false" ht="15" hidden="false" customHeight="true" outlineLevel="0" collapsed="false">
      <c r="A1412" s="11"/>
      <c r="B1412" s="9"/>
      <c r="C1412" s="15" t="str">
        <f aca="false">IF($B1412="","",IFERROR(INDEX(직원목록!$B$3:$B$302,MATCH($B1412,직원목록!$A$3:$A$302,0)),"미등록사번"))</f>
        <v/>
      </c>
      <c r="D1412" s="9"/>
      <c r="E1412" s="15" t="str">
        <f aca="false">IF($D1412="","",IFERROR(INDEX(교육과정!$B$3:$B$102,MATCH($D1412,교육과정!$A$3:$A$102,0)),"미등록과정"))</f>
        <v/>
      </c>
      <c r="F1412" s="13"/>
      <c r="G1412" s="9"/>
      <c r="H1412" s="9"/>
    </row>
    <row r="1413" customFormat="false" ht="15" hidden="false" customHeight="true" outlineLevel="0" collapsed="false">
      <c r="A1413" s="11"/>
      <c r="B1413" s="9"/>
      <c r="C1413" s="15" t="str">
        <f aca="false">IF($B1413="","",IFERROR(INDEX(직원목록!$B$3:$B$302,MATCH($B1413,직원목록!$A$3:$A$302,0)),"미등록사번"))</f>
        <v/>
      </c>
      <c r="D1413" s="9"/>
      <c r="E1413" s="15" t="str">
        <f aca="false">IF($D1413="","",IFERROR(INDEX(교육과정!$B$3:$B$102,MATCH($D1413,교육과정!$A$3:$A$102,0)),"미등록과정"))</f>
        <v/>
      </c>
      <c r="F1413" s="13"/>
      <c r="G1413" s="9"/>
      <c r="H1413" s="9"/>
    </row>
    <row r="1414" customFormat="false" ht="15" hidden="false" customHeight="true" outlineLevel="0" collapsed="false">
      <c r="A1414" s="11"/>
      <c r="B1414" s="9"/>
      <c r="C1414" s="15" t="str">
        <f aca="false">IF($B1414="","",IFERROR(INDEX(직원목록!$B$3:$B$302,MATCH($B1414,직원목록!$A$3:$A$302,0)),"미등록사번"))</f>
        <v/>
      </c>
      <c r="D1414" s="9"/>
      <c r="E1414" s="15" t="str">
        <f aca="false">IF($D1414="","",IFERROR(INDEX(교육과정!$B$3:$B$102,MATCH($D1414,교육과정!$A$3:$A$102,0)),"미등록과정"))</f>
        <v/>
      </c>
      <c r="F1414" s="13"/>
      <c r="G1414" s="9"/>
      <c r="H1414" s="9"/>
    </row>
    <row r="1415" customFormat="false" ht="15" hidden="false" customHeight="true" outlineLevel="0" collapsed="false">
      <c r="A1415" s="11"/>
      <c r="B1415" s="9"/>
      <c r="C1415" s="15" t="str">
        <f aca="false">IF($B1415="","",IFERROR(INDEX(직원목록!$B$3:$B$302,MATCH($B1415,직원목록!$A$3:$A$302,0)),"미등록사번"))</f>
        <v/>
      </c>
      <c r="D1415" s="9"/>
      <c r="E1415" s="15" t="str">
        <f aca="false">IF($D1415="","",IFERROR(INDEX(교육과정!$B$3:$B$102,MATCH($D1415,교육과정!$A$3:$A$102,0)),"미등록과정"))</f>
        <v/>
      </c>
      <c r="F1415" s="13"/>
      <c r="G1415" s="9"/>
      <c r="H1415" s="9"/>
    </row>
    <row r="1416" customFormat="false" ht="15" hidden="false" customHeight="true" outlineLevel="0" collapsed="false">
      <c r="A1416" s="11"/>
      <c r="B1416" s="9"/>
      <c r="C1416" s="15" t="str">
        <f aca="false">IF($B1416="","",IFERROR(INDEX(직원목록!$B$3:$B$302,MATCH($B1416,직원목록!$A$3:$A$302,0)),"미등록사번"))</f>
        <v/>
      </c>
      <c r="D1416" s="9"/>
      <c r="E1416" s="15" t="str">
        <f aca="false">IF($D1416="","",IFERROR(INDEX(교육과정!$B$3:$B$102,MATCH($D1416,교육과정!$A$3:$A$102,0)),"미등록과정"))</f>
        <v/>
      </c>
      <c r="F1416" s="13"/>
      <c r="G1416" s="9"/>
      <c r="H1416" s="9"/>
    </row>
    <row r="1417" customFormat="false" ht="15" hidden="false" customHeight="true" outlineLevel="0" collapsed="false">
      <c r="A1417" s="11"/>
      <c r="B1417" s="9"/>
      <c r="C1417" s="15" t="str">
        <f aca="false">IF($B1417="","",IFERROR(INDEX(직원목록!$B$3:$B$302,MATCH($B1417,직원목록!$A$3:$A$302,0)),"미등록사번"))</f>
        <v/>
      </c>
      <c r="D1417" s="9"/>
      <c r="E1417" s="15" t="str">
        <f aca="false">IF($D1417="","",IFERROR(INDEX(교육과정!$B$3:$B$102,MATCH($D1417,교육과정!$A$3:$A$102,0)),"미등록과정"))</f>
        <v/>
      </c>
      <c r="F1417" s="13"/>
      <c r="G1417" s="9"/>
      <c r="H1417" s="9"/>
    </row>
    <row r="1418" customFormat="false" ht="15" hidden="false" customHeight="true" outlineLevel="0" collapsed="false">
      <c r="A1418" s="11"/>
      <c r="B1418" s="9"/>
      <c r="C1418" s="15" t="str">
        <f aca="false">IF($B1418="","",IFERROR(INDEX(직원목록!$B$3:$B$302,MATCH($B1418,직원목록!$A$3:$A$302,0)),"미등록사번"))</f>
        <v/>
      </c>
      <c r="D1418" s="9"/>
      <c r="E1418" s="15" t="str">
        <f aca="false">IF($D1418="","",IFERROR(INDEX(교육과정!$B$3:$B$102,MATCH($D1418,교육과정!$A$3:$A$102,0)),"미등록과정"))</f>
        <v/>
      </c>
      <c r="F1418" s="13"/>
      <c r="G1418" s="9"/>
      <c r="H1418" s="9"/>
    </row>
    <row r="1419" customFormat="false" ht="15" hidden="false" customHeight="true" outlineLevel="0" collapsed="false">
      <c r="A1419" s="11"/>
      <c r="B1419" s="9"/>
      <c r="C1419" s="15" t="str">
        <f aca="false">IF($B1419="","",IFERROR(INDEX(직원목록!$B$3:$B$302,MATCH($B1419,직원목록!$A$3:$A$302,0)),"미등록사번"))</f>
        <v/>
      </c>
      <c r="D1419" s="9"/>
      <c r="E1419" s="15" t="str">
        <f aca="false">IF($D1419="","",IFERROR(INDEX(교육과정!$B$3:$B$102,MATCH($D1419,교육과정!$A$3:$A$102,0)),"미등록과정"))</f>
        <v/>
      </c>
      <c r="F1419" s="13"/>
      <c r="G1419" s="9"/>
      <c r="H1419" s="9"/>
    </row>
    <row r="1420" customFormat="false" ht="15" hidden="false" customHeight="true" outlineLevel="0" collapsed="false">
      <c r="A1420" s="11"/>
      <c r="B1420" s="9"/>
      <c r="C1420" s="15" t="str">
        <f aca="false">IF($B1420="","",IFERROR(INDEX(직원목록!$B$3:$B$302,MATCH($B1420,직원목록!$A$3:$A$302,0)),"미등록사번"))</f>
        <v/>
      </c>
      <c r="D1420" s="9"/>
      <c r="E1420" s="15" t="str">
        <f aca="false">IF($D1420="","",IFERROR(INDEX(교육과정!$B$3:$B$102,MATCH($D1420,교육과정!$A$3:$A$102,0)),"미등록과정"))</f>
        <v/>
      </c>
      <c r="F1420" s="13"/>
      <c r="G1420" s="9"/>
      <c r="H1420" s="9"/>
    </row>
    <row r="1421" customFormat="false" ht="15" hidden="false" customHeight="true" outlineLevel="0" collapsed="false">
      <c r="A1421" s="11"/>
      <c r="B1421" s="9"/>
      <c r="C1421" s="15" t="str">
        <f aca="false">IF($B1421="","",IFERROR(INDEX(직원목록!$B$3:$B$302,MATCH($B1421,직원목록!$A$3:$A$302,0)),"미등록사번"))</f>
        <v/>
      </c>
      <c r="D1421" s="9"/>
      <c r="E1421" s="15" t="str">
        <f aca="false">IF($D1421="","",IFERROR(INDEX(교육과정!$B$3:$B$102,MATCH($D1421,교육과정!$A$3:$A$102,0)),"미등록과정"))</f>
        <v/>
      </c>
      <c r="F1421" s="13"/>
      <c r="G1421" s="9"/>
      <c r="H1421" s="9"/>
    </row>
    <row r="1422" customFormat="false" ht="15" hidden="false" customHeight="true" outlineLevel="0" collapsed="false">
      <c r="A1422" s="11"/>
      <c r="B1422" s="9"/>
      <c r="C1422" s="15" t="str">
        <f aca="false">IF($B1422="","",IFERROR(INDEX(직원목록!$B$3:$B$302,MATCH($B1422,직원목록!$A$3:$A$302,0)),"미등록사번"))</f>
        <v/>
      </c>
      <c r="D1422" s="9"/>
      <c r="E1422" s="15" t="str">
        <f aca="false">IF($D1422="","",IFERROR(INDEX(교육과정!$B$3:$B$102,MATCH($D1422,교육과정!$A$3:$A$102,0)),"미등록과정"))</f>
        <v/>
      </c>
      <c r="F1422" s="13"/>
      <c r="G1422" s="9"/>
      <c r="H1422" s="9"/>
    </row>
    <row r="1423" customFormat="false" ht="15" hidden="false" customHeight="true" outlineLevel="0" collapsed="false">
      <c r="A1423" s="11"/>
      <c r="B1423" s="9"/>
      <c r="C1423" s="15" t="str">
        <f aca="false">IF($B1423="","",IFERROR(INDEX(직원목록!$B$3:$B$302,MATCH($B1423,직원목록!$A$3:$A$302,0)),"미등록사번"))</f>
        <v/>
      </c>
      <c r="D1423" s="9"/>
      <c r="E1423" s="15" t="str">
        <f aca="false">IF($D1423="","",IFERROR(INDEX(교육과정!$B$3:$B$102,MATCH($D1423,교육과정!$A$3:$A$102,0)),"미등록과정"))</f>
        <v/>
      </c>
      <c r="F1423" s="13"/>
      <c r="G1423" s="9"/>
      <c r="H1423" s="9"/>
    </row>
    <row r="1424" customFormat="false" ht="15" hidden="false" customHeight="true" outlineLevel="0" collapsed="false">
      <c r="A1424" s="11"/>
      <c r="B1424" s="9"/>
      <c r="C1424" s="15" t="str">
        <f aca="false">IF($B1424="","",IFERROR(INDEX(직원목록!$B$3:$B$302,MATCH($B1424,직원목록!$A$3:$A$302,0)),"미등록사번"))</f>
        <v/>
      </c>
      <c r="D1424" s="9"/>
      <c r="E1424" s="15" t="str">
        <f aca="false">IF($D1424="","",IFERROR(INDEX(교육과정!$B$3:$B$102,MATCH($D1424,교육과정!$A$3:$A$102,0)),"미등록과정"))</f>
        <v/>
      </c>
      <c r="F1424" s="13"/>
      <c r="G1424" s="9"/>
      <c r="H1424" s="9"/>
    </row>
    <row r="1425" customFormat="false" ht="15" hidden="false" customHeight="true" outlineLevel="0" collapsed="false">
      <c r="A1425" s="11"/>
      <c r="B1425" s="9"/>
      <c r="C1425" s="15" t="str">
        <f aca="false">IF($B1425="","",IFERROR(INDEX(직원목록!$B$3:$B$302,MATCH($B1425,직원목록!$A$3:$A$302,0)),"미등록사번"))</f>
        <v/>
      </c>
      <c r="D1425" s="9"/>
      <c r="E1425" s="15" t="str">
        <f aca="false">IF($D1425="","",IFERROR(INDEX(교육과정!$B$3:$B$102,MATCH($D1425,교육과정!$A$3:$A$102,0)),"미등록과정"))</f>
        <v/>
      </c>
      <c r="F1425" s="13"/>
      <c r="G1425" s="9"/>
      <c r="H1425" s="9"/>
    </row>
    <row r="1426" customFormat="false" ht="15" hidden="false" customHeight="true" outlineLevel="0" collapsed="false">
      <c r="A1426" s="11"/>
      <c r="B1426" s="9"/>
      <c r="C1426" s="15" t="str">
        <f aca="false">IF($B1426="","",IFERROR(INDEX(직원목록!$B$3:$B$302,MATCH($B1426,직원목록!$A$3:$A$302,0)),"미등록사번"))</f>
        <v/>
      </c>
      <c r="D1426" s="9"/>
      <c r="E1426" s="15" t="str">
        <f aca="false">IF($D1426="","",IFERROR(INDEX(교육과정!$B$3:$B$102,MATCH($D1426,교육과정!$A$3:$A$102,0)),"미등록과정"))</f>
        <v/>
      </c>
      <c r="F1426" s="13"/>
      <c r="G1426" s="9"/>
      <c r="H1426" s="9"/>
    </row>
    <row r="1427" customFormat="false" ht="15" hidden="false" customHeight="true" outlineLevel="0" collapsed="false">
      <c r="A1427" s="11"/>
      <c r="B1427" s="9"/>
      <c r="C1427" s="15" t="str">
        <f aca="false">IF($B1427="","",IFERROR(INDEX(직원목록!$B$3:$B$302,MATCH($B1427,직원목록!$A$3:$A$302,0)),"미등록사번"))</f>
        <v/>
      </c>
      <c r="D1427" s="9"/>
      <c r="E1427" s="15" t="str">
        <f aca="false">IF($D1427="","",IFERROR(INDEX(교육과정!$B$3:$B$102,MATCH($D1427,교육과정!$A$3:$A$102,0)),"미등록과정"))</f>
        <v/>
      </c>
      <c r="F1427" s="13"/>
      <c r="G1427" s="9"/>
      <c r="H1427" s="9"/>
    </row>
    <row r="1428" customFormat="false" ht="15" hidden="false" customHeight="true" outlineLevel="0" collapsed="false">
      <c r="A1428" s="11"/>
      <c r="B1428" s="9"/>
      <c r="C1428" s="15" t="str">
        <f aca="false">IF($B1428="","",IFERROR(INDEX(직원목록!$B$3:$B$302,MATCH($B1428,직원목록!$A$3:$A$302,0)),"미등록사번"))</f>
        <v/>
      </c>
      <c r="D1428" s="9"/>
      <c r="E1428" s="15" t="str">
        <f aca="false">IF($D1428="","",IFERROR(INDEX(교육과정!$B$3:$B$102,MATCH($D1428,교육과정!$A$3:$A$102,0)),"미등록과정"))</f>
        <v/>
      </c>
      <c r="F1428" s="13"/>
      <c r="G1428" s="9"/>
      <c r="H1428" s="9"/>
    </row>
    <row r="1429" customFormat="false" ht="15" hidden="false" customHeight="true" outlineLevel="0" collapsed="false">
      <c r="A1429" s="11"/>
      <c r="B1429" s="9"/>
      <c r="C1429" s="15" t="str">
        <f aca="false">IF($B1429="","",IFERROR(INDEX(직원목록!$B$3:$B$302,MATCH($B1429,직원목록!$A$3:$A$302,0)),"미등록사번"))</f>
        <v/>
      </c>
      <c r="D1429" s="9"/>
      <c r="E1429" s="15" t="str">
        <f aca="false">IF($D1429="","",IFERROR(INDEX(교육과정!$B$3:$B$102,MATCH($D1429,교육과정!$A$3:$A$102,0)),"미등록과정"))</f>
        <v/>
      </c>
      <c r="F1429" s="13"/>
      <c r="G1429" s="9"/>
      <c r="H1429" s="9"/>
    </row>
    <row r="1430" customFormat="false" ht="15" hidden="false" customHeight="true" outlineLevel="0" collapsed="false">
      <c r="A1430" s="11"/>
      <c r="B1430" s="9"/>
      <c r="C1430" s="15" t="str">
        <f aca="false">IF($B1430="","",IFERROR(INDEX(직원목록!$B$3:$B$302,MATCH($B1430,직원목록!$A$3:$A$302,0)),"미등록사번"))</f>
        <v/>
      </c>
      <c r="D1430" s="9"/>
      <c r="E1430" s="15" t="str">
        <f aca="false">IF($D1430="","",IFERROR(INDEX(교육과정!$B$3:$B$102,MATCH($D1430,교육과정!$A$3:$A$102,0)),"미등록과정"))</f>
        <v/>
      </c>
      <c r="F1430" s="13"/>
      <c r="G1430" s="9"/>
      <c r="H1430" s="9"/>
    </row>
    <row r="1431" customFormat="false" ht="15" hidden="false" customHeight="true" outlineLevel="0" collapsed="false">
      <c r="A1431" s="11"/>
      <c r="B1431" s="9"/>
      <c r="C1431" s="15" t="str">
        <f aca="false">IF($B1431="","",IFERROR(INDEX(직원목록!$B$3:$B$302,MATCH($B1431,직원목록!$A$3:$A$302,0)),"미등록사번"))</f>
        <v/>
      </c>
      <c r="D1431" s="9"/>
      <c r="E1431" s="15" t="str">
        <f aca="false">IF($D1431="","",IFERROR(INDEX(교육과정!$B$3:$B$102,MATCH($D1431,교육과정!$A$3:$A$102,0)),"미등록과정"))</f>
        <v/>
      </c>
      <c r="F1431" s="13"/>
      <c r="G1431" s="9"/>
      <c r="H1431" s="9"/>
    </row>
    <row r="1432" customFormat="false" ht="15" hidden="false" customHeight="true" outlineLevel="0" collapsed="false">
      <c r="A1432" s="11"/>
      <c r="B1432" s="9"/>
      <c r="C1432" s="15" t="str">
        <f aca="false">IF($B1432="","",IFERROR(INDEX(직원목록!$B$3:$B$302,MATCH($B1432,직원목록!$A$3:$A$302,0)),"미등록사번"))</f>
        <v/>
      </c>
      <c r="D1432" s="9"/>
      <c r="E1432" s="15" t="str">
        <f aca="false">IF($D1432="","",IFERROR(INDEX(교육과정!$B$3:$B$102,MATCH($D1432,교육과정!$A$3:$A$102,0)),"미등록과정"))</f>
        <v/>
      </c>
      <c r="F1432" s="13"/>
      <c r="G1432" s="9"/>
      <c r="H1432" s="9"/>
    </row>
    <row r="1433" customFormat="false" ht="15" hidden="false" customHeight="true" outlineLevel="0" collapsed="false">
      <c r="A1433" s="11"/>
      <c r="B1433" s="9"/>
      <c r="C1433" s="15" t="str">
        <f aca="false">IF($B1433="","",IFERROR(INDEX(직원목록!$B$3:$B$302,MATCH($B1433,직원목록!$A$3:$A$302,0)),"미등록사번"))</f>
        <v/>
      </c>
      <c r="D1433" s="9"/>
      <c r="E1433" s="15" t="str">
        <f aca="false">IF($D1433="","",IFERROR(INDEX(교육과정!$B$3:$B$102,MATCH($D1433,교육과정!$A$3:$A$102,0)),"미등록과정"))</f>
        <v/>
      </c>
      <c r="F1433" s="13"/>
      <c r="G1433" s="9"/>
      <c r="H1433" s="9"/>
    </row>
    <row r="1434" customFormat="false" ht="15" hidden="false" customHeight="true" outlineLevel="0" collapsed="false">
      <c r="A1434" s="11"/>
      <c r="B1434" s="9"/>
      <c r="C1434" s="15" t="str">
        <f aca="false">IF($B1434="","",IFERROR(INDEX(직원목록!$B$3:$B$302,MATCH($B1434,직원목록!$A$3:$A$302,0)),"미등록사번"))</f>
        <v/>
      </c>
      <c r="D1434" s="9"/>
      <c r="E1434" s="15" t="str">
        <f aca="false">IF($D1434="","",IFERROR(INDEX(교육과정!$B$3:$B$102,MATCH($D1434,교육과정!$A$3:$A$102,0)),"미등록과정"))</f>
        <v/>
      </c>
      <c r="F1434" s="13"/>
      <c r="G1434" s="9"/>
      <c r="H1434" s="9"/>
    </row>
    <row r="1435" customFormat="false" ht="15" hidden="false" customHeight="true" outlineLevel="0" collapsed="false">
      <c r="A1435" s="11"/>
      <c r="B1435" s="9"/>
      <c r="C1435" s="15" t="str">
        <f aca="false">IF($B1435="","",IFERROR(INDEX(직원목록!$B$3:$B$302,MATCH($B1435,직원목록!$A$3:$A$302,0)),"미등록사번"))</f>
        <v/>
      </c>
      <c r="D1435" s="9"/>
      <c r="E1435" s="15" t="str">
        <f aca="false">IF($D1435="","",IFERROR(INDEX(교육과정!$B$3:$B$102,MATCH($D1435,교육과정!$A$3:$A$102,0)),"미등록과정"))</f>
        <v/>
      </c>
      <c r="F1435" s="13"/>
      <c r="G1435" s="9"/>
      <c r="H1435" s="9"/>
    </row>
    <row r="1436" customFormat="false" ht="15" hidden="false" customHeight="true" outlineLevel="0" collapsed="false">
      <c r="A1436" s="11"/>
      <c r="B1436" s="9"/>
      <c r="C1436" s="15" t="str">
        <f aca="false">IF($B1436="","",IFERROR(INDEX(직원목록!$B$3:$B$302,MATCH($B1436,직원목록!$A$3:$A$302,0)),"미등록사번"))</f>
        <v/>
      </c>
      <c r="D1436" s="9"/>
      <c r="E1436" s="15" t="str">
        <f aca="false">IF($D1436="","",IFERROR(INDEX(교육과정!$B$3:$B$102,MATCH($D1436,교육과정!$A$3:$A$102,0)),"미등록과정"))</f>
        <v/>
      </c>
      <c r="F1436" s="13"/>
      <c r="G1436" s="9"/>
      <c r="H1436" s="9"/>
    </row>
    <row r="1437" customFormat="false" ht="15" hidden="false" customHeight="true" outlineLevel="0" collapsed="false">
      <c r="A1437" s="11"/>
      <c r="B1437" s="9"/>
      <c r="C1437" s="15" t="str">
        <f aca="false">IF($B1437="","",IFERROR(INDEX(직원목록!$B$3:$B$302,MATCH($B1437,직원목록!$A$3:$A$302,0)),"미등록사번"))</f>
        <v/>
      </c>
      <c r="D1437" s="9"/>
      <c r="E1437" s="15" t="str">
        <f aca="false">IF($D1437="","",IFERROR(INDEX(교육과정!$B$3:$B$102,MATCH($D1437,교육과정!$A$3:$A$102,0)),"미등록과정"))</f>
        <v/>
      </c>
      <c r="F1437" s="13"/>
      <c r="G1437" s="9"/>
      <c r="H1437" s="9"/>
    </row>
    <row r="1438" customFormat="false" ht="15" hidden="false" customHeight="true" outlineLevel="0" collapsed="false">
      <c r="A1438" s="11"/>
      <c r="B1438" s="9"/>
      <c r="C1438" s="15" t="str">
        <f aca="false">IF($B1438="","",IFERROR(INDEX(직원목록!$B$3:$B$302,MATCH($B1438,직원목록!$A$3:$A$302,0)),"미등록사번"))</f>
        <v/>
      </c>
      <c r="D1438" s="9"/>
      <c r="E1438" s="15" t="str">
        <f aca="false">IF($D1438="","",IFERROR(INDEX(교육과정!$B$3:$B$102,MATCH($D1438,교육과정!$A$3:$A$102,0)),"미등록과정"))</f>
        <v/>
      </c>
      <c r="F1438" s="13"/>
      <c r="G1438" s="9"/>
      <c r="H1438" s="9"/>
    </row>
    <row r="1439" customFormat="false" ht="15" hidden="false" customHeight="true" outlineLevel="0" collapsed="false">
      <c r="A1439" s="11"/>
      <c r="B1439" s="9"/>
      <c r="C1439" s="15" t="str">
        <f aca="false">IF($B1439="","",IFERROR(INDEX(직원목록!$B$3:$B$302,MATCH($B1439,직원목록!$A$3:$A$302,0)),"미등록사번"))</f>
        <v/>
      </c>
      <c r="D1439" s="9"/>
      <c r="E1439" s="15" t="str">
        <f aca="false">IF($D1439="","",IFERROR(INDEX(교육과정!$B$3:$B$102,MATCH($D1439,교육과정!$A$3:$A$102,0)),"미등록과정"))</f>
        <v/>
      </c>
      <c r="F1439" s="13"/>
      <c r="G1439" s="9"/>
      <c r="H1439" s="9"/>
    </row>
    <row r="1440" customFormat="false" ht="15" hidden="false" customHeight="true" outlineLevel="0" collapsed="false">
      <c r="A1440" s="11"/>
      <c r="B1440" s="9"/>
      <c r="C1440" s="15" t="str">
        <f aca="false">IF($B1440="","",IFERROR(INDEX(직원목록!$B$3:$B$302,MATCH($B1440,직원목록!$A$3:$A$302,0)),"미등록사번"))</f>
        <v/>
      </c>
      <c r="D1440" s="9"/>
      <c r="E1440" s="15" t="str">
        <f aca="false">IF($D1440="","",IFERROR(INDEX(교육과정!$B$3:$B$102,MATCH($D1440,교육과정!$A$3:$A$102,0)),"미등록과정"))</f>
        <v/>
      </c>
      <c r="F1440" s="13"/>
      <c r="G1440" s="9"/>
      <c r="H1440" s="9"/>
    </row>
    <row r="1441" customFormat="false" ht="15" hidden="false" customHeight="true" outlineLevel="0" collapsed="false">
      <c r="A1441" s="11"/>
      <c r="B1441" s="9"/>
      <c r="C1441" s="15" t="str">
        <f aca="false">IF($B1441="","",IFERROR(INDEX(직원목록!$B$3:$B$302,MATCH($B1441,직원목록!$A$3:$A$302,0)),"미등록사번"))</f>
        <v/>
      </c>
      <c r="D1441" s="9"/>
      <c r="E1441" s="15" t="str">
        <f aca="false">IF($D1441="","",IFERROR(INDEX(교육과정!$B$3:$B$102,MATCH($D1441,교육과정!$A$3:$A$102,0)),"미등록과정"))</f>
        <v/>
      </c>
      <c r="F1441" s="13"/>
      <c r="G1441" s="9"/>
      <c r="H1441" s="9"/>
    </row>
    <row r="1442" customFormat="false" ht="15" hidden="false" customHeight="true" outlineLevel="0" collapsed="false">
      <c r="A1442" s="11"/>
      <c r="B1442" s="9"/>
      <c r="C1442" s="15" t="str">
        <f aca="false">IF($B1442="","",IFERROR(INDEX(직원목록!$B$3:$B$302,MATCH($B1442,직원목록!$A$3:$A$302,0)),"미등록사번"))</f>
        <v/>
      </c>
      <c r="D1442" s="9"/>
      <c r="E1442" s="15" t="str">
        <f aca="false">IF($D1442="","",IFERROR(INDEX(교육과정!$B$3:$B$102,MATCH($D1442,교육과정!$A$3:$A$102,0)),"미등록과정"))</f>
        <v/>
      </c>
      <c r="F1442" s="13"/>
      <c r="G1442" s="9"/>
      <c r="H1442" s="9"/>
    </row>
    <row r="1443" customFormat="false" ht="15" hidden="false" customHeight="true" outlineLevel="0" collapsed="false">
      <c r="A1443" s="11"/>
      <c r="B1443" s="9"/>
      <c r="C1443" s="15" t="str">
        <f aca="false">IF($B1443="","",IFERROR(INDEX(직원목록!$B$3:$B$302,MATCH($B1443,직원목록!$A$3:$A$302,0)),"미등록사번"))</f>
        <v/>
      </c>
      <c r="D1443" s="9"/>
      <c r="E1443" s="15" t="str">
        <f aca="false">IF($D1443="","",IFERROR(INDEX(교육과정!$B$3:$B$102,MATCH($D1443,교육과정!$A$3:$A$102,0)),"미등록과정"))</f>
        <v/>
      </c>
      <c r="F1443" s="13"/>
      <c r="G1443" s="9"/>
      <c r="H1443" s="9"/>
    </row>
    <row r="1444" customFormat="false" ht="15" hidden="false" customHeight="true" outlineLevel="0" collapsed="false">
      <c r="A1444" s="11"/>
      <c r="B1444" s="9"/>
      <c r="C1444" s="15" t="str">
        <f aca="false">IF($B1444="","",IFERROR(INDEX(직원목록!$B$3:$B$302,MATCH($B1444,직원목록!$A$3:$A$302,0)),"미등록사번"))</f>
        <v/>
      </c>
      <c r="D1444" s="9"/>
      <c r="E1444" s="15" t="str">
        <f aca="false">IF($D1444="","",IFERROR(INDEX(교육과정!$B$3:$B$102,MATCH($D1444,교육과정!$A$3:$A$102,0)),"미등록과정"))</f>
        <v/>
      </c>
      <c r="F1444" s="13"/>
      <c r="G1444" s="9"/>
      <c r="H1444" s="9"/>
    </row>
    <row r="1445" customFormat="false" ht="15" hidden="false" customHeight="true" outlineLevel="0" collapsed="false">
      <c r="A1445" s="11"/>
      <c r="B1445" s="9"/>
      <c r="C1445" s="15" t="str">
        <f aca="false">IF($B1445="","",IFERROR(INDEX(직원목록!$B$3:$B$302,MATCH($B1445,직원목록!$A$3:$A$302,0)),"미등록사번"))</f>
        <v/>
      </c>
      <c r="D1445" s="9"/>
      <c r="E1445" s="15" t="str">
        <f aca="false">IF($D1445="","",IFERROR(INDEX(교육과정!$B$3:$B$102,MATCH($D1445,교육과정!$A$3:$A$102,0)),"미등록과정"))</f>
        <v/>
      </c>
      <c r="F1445" s="13"/>
      <c r="G1445" s="9"/>
      <c r="H1445" s="9"/>
    </row>
    <row r="1446" customFormat="false" ht="15" hidden="false" customHeight="true" outlineLevel="0" collapsed="false">
      <c r="A1446" s="11"/>
      <c r="B1446" s="9"/>
      <c r="C1446" s="15" t="str">
        <f aca="false">IF($B1446="","",IFERROR(INDEX(직원목록!$B$3:$B$302,MATCH($B1446,직원목록!$A$3:$A$302,0)),"미등록사번"))</f>
        <v/>
      </c>
      <c r="D1446" s="9"/>
      <c r="E1446" s="15" t="str">
        <f aca="false">IF($D1446="","",IFERROR(INDEX(교육과정!$B$3:$B$102,MATCH($D1446,교육과정!$A$3:$A$102,0)),"미등록과정"))</f>
        <v/>
      </c>
      <c r="F1446" s="13"/>
      <c r="G1446" s="9"/>
      <c r="H1446" s="9"/>
    </row>
    <row r="1447" customFormat="false" ht="15" hidden="false" customHeight="true" outlineLevel="0" collapsed="false">
      <c r="A1447" s="11"/>
      <c r="B1447" s="9"/>
      <c r="C1447" s="15" t="str">
        <f aca="false">IF($B1447="","",IFERROR(INDEX(직원목록!$B$3:$B$302,MATCH($B1447,직원목록!$A$3:$A$302,0)),"미등록사번"))</f>
        <v/>
      </c>
      <c r="D1447" s="9"/>
      <c r="E1447" s="15" t="str">
        <f aca="false">IF($D1447="","",IFERROR(INDEX(교육과정!$B$3:$B$102,MATCH($D1447,교육과정!$A$3:$A$102,0)),"미등록과정"))</f>
        <v/>
      </c>
      <c r="F1447" s="13"/>
      <c r="G1447" s="9"/>
      <c r="H1447" s="9"/>
    </row>
    <row r="1448" customFormat="false" ht="15" hidden="false" customHeight="true" outlineLevel="0" collapsed="false">
      <c r="A1448" s="11"/>
      <c r="B1448" s="9"/>
      <c r="C1448" s="15" t="str">
        <f aca="false">IF($B1448="","",IFERROR(INDEX(직원목록!$B$3:$B$302,MATCH($B1448,직원목록!$A$3:$A$302,0)),"미등록사번"))</f>
        <v/>
      </c>
      <c r="D1448" s="9"/>
      <c r="E1448" s="15" t="str">
        <f aca="false">IF($D1448="","",IFERROR(INDEX(교육과정!$B$3:$B$102,MATCH($D1448,교육과정!$A$3:$A$102,0)),"미등록과정"))</f>
        <v/>
      </c>
      <c r="F1448" s="13"/>
      <c r="G1448" s="9"/>
      <c r="H1448" s="9"/>
    </row>
    <row r="1449" customFormat="false" ht="15" hidden="false" customHeight="true" outlineLevel="0" collapsed="false">
      <c r="A1449" s="11"/>
      <c r="B1449" s="9"/>
      <c r="C1449" s="15" t="str">
        <f aca="false">IF($B1449="","",IFERROR(INDEX(직원목록!$B$3:$B$302,MATCH($B1449,직원목록!$A$3:$A$302,0)),"미등록사번"))</f>
        <v/>
      </c>
      <c r="D1449" s="9"/>
      <c r="E1449" s="15" t="str">
        <f aca="false">IF($D1449="","",IFERROR(INDEX(교육과정!$B$3:$B$102,MATCH($D1449,교육과정!$A$3:$A$102,0)),"미등록과정"))</f>
        <v/>
      </c>
      <c r="F1449" s="13"/>
      <c r="G1449" s="9"/>
      <c r="H1449" s="9"/>
    </row>
    <row r="1450" customFormat="false" ht="15" hidden="false" customHeight="true" outlineLevel="0" collapsed="false">
      <c r="A1450" s="11"/>
      <c r="B1450" s="9"/>
      <c r="C1450" s="15" t="str">
        <f aca="false">IF($B1450="","",IFERROR(INDEX(직원목록!$B$3:$B$302,MATCH($B1450,직원목록!$A$3:$A$302,0)),"미등록사번"))</f>
        <v/>
      </c>
      <c r="D1450" s="9"/>
      <c r="E1450" s="15" t="str">
        <f aca="false">IF($D1450="","",IFERROR(INDEX(교육과정!$B$3:$B$102,MATCH($D1450,교육과정!$A$3:$A$102,0)),"미등록과정"))</f>
        <v/>
      </c>
      <c r="F1450" s="13"/>
      <c r="G1450" s="9"/>
      <c r="H1450" s="9"/>
    </row>
    <row r="1451" customFormat="false" ht="15" hidden="false" customHeight="true" outlineLevel="0" collapsed="false">
      <c r="A1451" s="11"/>
      <c r="B1451" s="9"/>
      <c r="C1451" s="15" t="str">
        <f aca="false">IF($B1451="","",IFERROR(INDEX(직원목록!$B$3:$B$302,MATCH($B1451,직원목록!$A$3:$A$302,0)),"미등록사번"))</f>
        <v/>
      </c>
      <c r="D1451" s="9"/>
      <c r="E1451" s="15" t="str">
        <f aca="false">IF($D1451="","",IFERROR(INDEX(교육과정!$B$3:$B$102,MATCH($D1451,교육과정!$A$3:$A$102,0)),"미등록과정"))</f>
        <v/>
      </c>
      <c r="F1451" s="13"/>
      <c r="G1451" s="9"/>
      <c r="H1451" s="9"/>
    </row>
    <row r="1452" customFormat="false" ht="15" hidden="false" customHeight="true" outlineLevel="0" collapsed="false">
      <c r="A1452" s="11"/>
      <c r="B1452" s="9"/>
      <c r="C1452" s="15" t="str">
        <f aca="false">IF($B1452="","",IFERROR(INDEX(직원목록!$B$3:$B$302,MATCH($B1452,직원목록!$A$3:$A$302,0)),"미등록사번"))</f>
        <v/>
      </c>
      <c r="D1452" s="9"/>
      <c r="E1452" s="15" t="str">
        <f aca="false">IF($D1452="","",IFERROR(INDEX(교육과정!$B$3:$B$102,MATCH($D1452,교육과정!$A$3:$A$102,0)),"미등록과정"))</f>
        <v/>
      </c>
      <c r="F1452" s="13"/>
      <c r="G1452" s="9"/>
      <c r="H1452" s="9"/>
    </row>
    <row r="1453" customFormat="false" ht="15" hidden="false" customHeight="true" outlineLevel="0" collapsed="false">
      <c r="A1453" s="11"/>
      <c r="B1453" s="9"/>
      <c r="C1453" s="15" t="str">
        <f aca="false">IF($B1453="","",IFERROR(INDEX(직원목록!$B$3:$B$302,MATCH($B1453,직원목록!$A$3:$A$302,0)),"미등록사번"))</f>
        <v/>
      </c>
      <c r="D1453" s="9"/>
      <c r="E1453" s="15" t="str">
        <f aca="false">IF($D1453="","",IFERROR(INDEX(교육과정!$B$3:$B$102,MATCH($D1453,교육과정!$A$3:$A$102,0)),"미등록과정"))</f>
        <v/>
      </c>
      <c r="F1453" s="13"/>
      <c r="G1453" s="9"/>
      <c r="H1453" s="9"/>
    </row>
    <row r="1454" customFormat="false" ht="15" hidden="false" customHeight="true" outlineLevel="0" collapsed="false">
      <c r="A1454" s="11"/>
      <c r="B1454" s="9"/>
      <c r="C1454" s="15" t="str">
        <f aca="false">IF($B1454="","",IFERROR(INDEX(직원목록!$B$3:$B$302,MATCH($B1454,직원목록!$A$3:$A$302,0)),"미등록사번"))</f>
        <v/>
      </c>
      <c r="D1454" s="9"/>
      <c r="E1454" s="15" t="str">
        <f aca="false">IF($D1454="","",IFERROR(INDEX(교육과정!$B$3:$B$102,MATCH($D1454,교육과정!$A$3:$A$102,0)),"미등록과정"))</f>
        <v/>
      </c>
      <c r="F1454" s="13"/>
      <c r="G1454" s="9"/>
      <c r="H1454" s="9"/>
    </row>
    <row r="1455" customFormat="false" ht="15" hidden="false" customHeight="true" outlineLevel="0" collapsed="false">
      <c r="A1455" s="11"/>
      <c r="B1455" s="9"/>
      <c r="C1455" s="15" t="str">
        <f aca="false">IF($B1455="","",IFERROR(INDEX(직원목록!$B$3:$B$302,MATCH($B1455,직원목록!$A$3:$A$302,0)),"미등록사번"))</f>
        <v/>
      </c>
      <c r="D1455" s="9"/>
      <c r="E1455" s="15" t="str">
        <f aca="false">IF($D1455="","",IFERROR(INDEX(교육과정!$B$3:$B$102,MATCH($D1455,교육과정!$A$3:$A$102,0)),"미등록과정"))</f>
        <v/>
      </c>
      <c r="F1455" s="13"/>
      <c r="G1455" s="9"/>
      <c r="H1455" s="9"/>
    </row>
    <row r="1456" customFormat="false" ht="15" hidden="false" customHeight="true" outlineLevel="0" collapsed="false">
      <c r="A1456" s="11"/>
      <c r="B1456" s="9"/>
      <c r="C1456" s="15" t="str">
        <f aca="false">IF($B1456="","",IFERROR(INDEX(직원목록!$B$3:$B$302,MATCH($B1456,직원목록!$A$3:$A$302,0)),"미등록사번"))</f>
        <v/>
      </c>
      <c r="D1456" s="9"/>
      <c r="E1456" s="15" t="str">
        <f aca="false">IF($D1456="","",IFERROR(INDEX(교육과정!$B$3:$B$102,MATCH($D1456,교육과정!$A$3:$A$102,0)),"미등록과정"))</f>
        <v/>
      </c>
      <c r="F1456" s="13"/>
      <c r="G1456" s="9"/>
      <c r="H1456" s="9"/>
    </row>
    <row r="1457" customFormat="false" ht="15" hidden="false" customHeight="true" outlineLevel="0" collapsed="false">
      <c r="A1457" s="11"/>
      <c r="B1457" s="9"/>
      <c r="C1457" s="15" t="str">
        <f aca="false">IF($B1457="","",IFERROR(INDEX(직원목록!$B$3:$B$302,MATCH($B1457,직원목록!$A$3:$A$302,0)),"미등록사번"))</f>
        <v/>
      </c>
      <c r="D1457" s="9"/>
      <c r="E1457" s="15" t="str">
        <f aca="false">IF($D1457="","",IFERROR(INDEX(교육과정!$B$3:$B$102,MATCH($D1457,교육과정!$A$3:$A$102,0)),"미등록과정"))</f>
        <v/>
      </c>
      <c r="F1457" s="13"/>
      <c r="G1457" s="9"/>
      <c r="H1457" s="9"/>
    </row>
    <row r="1458" customFormat="false" ht="15" hidden="false" customHeight="true" outlineLevel="0" collapsed="false">
      <c r="A1458" s="11"/>
      <c r="B1458" s="9"/>
      <c r="C1458" s="15" t="str">
        <f aca="false">IF($B1458="","",IFERROR(INDEX(직원목록!$B$3:$B$302,MATCH($B1458,직원목록!$A$3:$A$302,0)),"미등록사번"))</f>
        <v/>
      </c>
      <c r="D1458" s="9"/>
      <c r="E1458" s="15" t="str">
        <f aca="false">IF($D1458="","",IFERROR(INDEX(교육과정!$B$3:$B$102,MATCH($D1458,교육과정!$A$3:$A$102,0)),"미등록과정"))</f>
        <v/>
      </c>
      <c r="F1458" s="13"/>
      <c r="G1458" s="9"/>
      <c r="H1458" s="9"/>
    </row>
    <row r="1459" customFormat="false" ht="15" hidden="false" customHeight="true" outlineLevel="0" collapsed="false">
      <c r="A1459" s="11"/>
      <c r="B1459" s="9"/>
      <c r="C1459" s="15" t="str">
        <f aca="false">IF($B1459="","",IFERROR(INDEX(직원목록!$B$3:$B$302,MATCH($B1459,직원목록!$A$3:$A$302,0)),"미등록사번"))</f>
        <v/>
      </c>
      <c r="D1459" s="9"/>
      <c r="E1459" s="15" t="str">
        <f aca="false">IF($D1459="","",IFERROR(INDEX(교육과정!$B$3:$B$102,MATCH($D1459,교육과정!$A$3:$A$102,0)),"미등록과정"))</f>
        <v/>
      </c>
      <c r="F1459" s="13"/>
      <c r="G1459" s="9"/>
      <c r="H1459" s="9"/>
    </row>
    <row r="1460" customFormat="false" ht="15" hidden="false" customHeight="true" outlineLevel="0" collapsed="false">
      <c r="A1460" s="11"/>
      <c r="B1460" s="9"/>
      <c r="C1460" s="15" t="str">
        <f aca="false">IF($B1460="","",IFERROR(INDEX(직원목록!$B$3:$B$302,MATCH($B1460,직원목록!$A$3:$A$302,0)),"미등록사번"))</f>
        <v/>
      </c>
      <c r="D1460" s="9"/>
      <c r="E1460" s="15" t="str">
        <f aca="false">IF($D1460="","",IFERROR(INDEX(교육과정!$B$3:$B$102,MATCH($D1460,교육과정!$A$3:$A$102,0)),"미등록과정"))</f>
        <v/>
      </c>
      <c r="F1460" s="13"/>
      <c r="G1460" s="9"/>
      <c r="H1460" s="9"/>
    </row>
    <row r="1461" customFormat="false" ht="15" hidden="false" customHeight="true" outlineLevel="0" collapsed="false">
      <c r="A1461" s="11"/>
      <c r="B1461" s="9"/>
      <c r="C1461" s="15" t="str">
        <f aca="false">IF($B1461="","",IFERROR(INDEX(직원목록!$B$3:$B$302,MATCH($B1461,직원목록!$A$3:$A$302,0)),"미등록사번"))</f>
        <v/>
      </c>
      <c r="D1461" s="9"/>
      <c r="E1461" s="15" t="str">
        <f aca="false">IF($D1461="","",IFERROR(INDEX(교육과정!$B$3:$B$102,MATCH($D1461,교육과정!$A$3:$A$102,0)),"미등록과정"))</f>
        <v/>
      </c>
      <c r="F1461" s="13"/>
      <c r="G1461" s="9"/>
      <c r="H1461" s="9"/>
    </row>
    <row r="1462" customFormat="false" ht="15" hidden="false" customHeight="true" outlineLevel="0" collapsed="false">
      <c r="A1462" s="11"/>
      <c r="B1462" s="9"/>
      <c r="C1462" s="15" t="str">
        <f aca="false">IF($B1462="","",IFERROR(INDEX(직원목록!$B$3:$B$302,MATCH($B1462,직원목록!$A$3:$A$302,0)),"미등록사번"))</f>
        <v/>
      </c>
      <c r="D1462" s="9"/>
      <c r="E1462" s="15" t="str">
        <f aca="false">IF($D1462="","",IFERROR(INDEX(교육과정!$B$3:$B$102,MATCH($D1462,교육과정!$A$3:$A$102,0)),"미등록과정"))</f>
        <v/>
      </c>
      <c r="F1462" s="13"/>
      <c r="G1462" s="9"/>
      <c r="H1462" s="9"/>
    </row>
    <row r="1463" customFormat="false" ht="15" hidden="false" customHeight="true" outlineLevel="0" collapsed="false">
      <c r="A1463" s="11"/>
      <c r="B1463" s="9"/>
      <c r="C1463" s="15" t="str">
        <f aca="false">IF($B1463="","",IFERROR(INDEX(직원목록!$B$3:$B$302,MATCH($B1463,직원목록!$A$3:$A$302,0)),"미등록사번"))</f>
        <v/>
      </c>
      <c r="D1463" s="9"/>
      <c r="E1463" s="15" t="str">
        <f aca="false">IF($D1463="","",IFERROR(INDEX(교육과정!$B$3:$B$102,MATCH($D1463,교육과정!$A$3:$A$102,0)),"미등록과정"))</f>
        <v/>
      </c>
      <c r="F1463" s="13"/>
      <c r="G1463" s="9"/>
      <c r="H1463" s="9"/>
    </row>
    <row r="1464" customFormat="false" ht="15" hidden="false" customHeight="true" outlineLevel="0" collapsed="false">
      <c r="A1464" s="11"/>
      <c r="B1464" s="9"/>
      <c r="C1464" s="15" t="str">
        <f aca="false">IF($B1464="","",IFERROR(INDEX(직원목록!$B$3:$B$302,MATCH($B1464,직원목록!$A$3:$A$302,0)),"미등록사번"))</f>
        <v/>
      </c>
      <c r="D1464" s="9"/>
      <c r="E1464" s="15" t="str">
        <f aca="false">IF($D1464="","",IFERROR(INDEX(교육과정!$B$3:$B$102,MATCH($D1464,교육과정!$A$3:$A$102,0)),"미등록과정"))</f>
        <v/>
      </c>
      <c r="F1464" s="13"/>
      <c r="G1464" s="9"/>
      <c r="H1464" s="9"/>
    </row>
    <row r="1465" customFormat="false" ht="15" hidden="false" customHeight="true" outlineLevel="0" collapsed="false">
      <c r="A1465" s="11"/>
      <c r="B1465" s="9"/>
      <c r="C1465" s="15" t="str">
        <f aca="false">IF($B1465="","",IFERROR(INDEX(직원목록!$B$3:$B$302,MATCH($B1465,직원목록!$A$3:$A$302,0)),"미등록사번"))</f>
        <v/>
      </c>
      <c r="D1465" s="9"/>
      <c r="E1465" s="15" t="str">
        <f aca="false">IF($D1465="","",IFERROR(INDEX(교육과정!$B$3:$B$102,MATCH($D1465,교육과정!$A$3:$A$102,0)),"미등록과정"))</f>
        <v/>
      </c>
      <c r="F1465" s="13"/>
      <c r="G1465" s="9"/>
      <c r="H1465" s="9"/>
    </row>
    <row r="1466" customFormat="false" ht="15" hidden="false" customHeight="true" outlineLevel="0" collapsed="false">
      <c r="A1466" s="11"/>
      <c r="B1466" s="9"/>
      <c r="C1466" s="15" t="str">
        <f aca="false">IF($B1466="","",IFERROR(INDEX(직원목록!$B$3:$B$302,MATCH($B1466,직원목록!$A$3:$A$302,0)),"미등록사번"))</f>
        <v/>
      </c>
      <c r="D1466" s="9"/>
      <c r="E1466" s="15" t="str">
        <f aca="false">IF($D1466="","",IFERROR(INDEX(교육과정!$B$3:$B$102,MATCH($D1466,교육과정!$A$3:$A$102,0)),"미등록과정"))</f>
        <v/>
      </c>
      <c r="F1466" s="13"/>
      <c r="G1466" s="9"/>
      <c r="H1466" s="9"/>
    </row>
    <row r="1467" customFormat="false" ht="15" hidden="false" customHeight="true" outlineLevel="0" collapsed="false">
      <c r="A1467" s="11"/>
      <c r="B1467" s="9"/>
      <c r="C1467" s="15" t="str">
        <f aca="false">IF($B1467="","",IFERROR(INDEX(직원목록!$B$3:$B$302,MATCH($B1467,직원목록!$A$3:$A$302,0)),"미등록사번"))</f>
        <v/>
      </c>
      <c r="D1467" s="9"/>
      <c r="E1467" s="15" t="str">
        <f aca="false">IF($D1467="","",IFERROR(INDEX(교육과정!$B$3:$B$102,MATCH($D1467,교육과정!$A$3:$A$102,0)),"미등록과정"))</f>
        <v/>
      </c>
      <c r="F1467" s="13"/>
      <c r="G1467" s="9"/>
      <c r="H1467" s="9"/>
    </row>
    <row r="1468" customFormat="false" ht="15" hidden="false" customHeight="true" outlineLevel="0" collapsed="false">
      <c r="A1468" s="11"/>
      <c r="B1468" s="9"/>
      <c r="C1468" s="15" t="str">
        <f aca="false">IF($B1468="","",IFERROR(INDEX(직원목록!$B$3:$B$302,MATCH($B1468,직원목록!$A$3:$A$302,0)),"미등록사번"))</f>
        <v/>
      </c>
      <c r="D1468" s="9"/>
      <c r="E1468" s="15" t="str">
        <f aca="false">IF($D1468="","",IFERROR(INDEX(교육과정!$B$3:$B$102,MATCH($D1468,교육과정!$A$3:$A$102,0)),"미등록과정"))</f>
        <v/>
      </c>
      <c r="F1468" s="13"/>
      <c r="G1468" s="9"/>
      <c r="H1468" s="9"/>
    </row>
    <row r="1469" customFormat="false" ht="15" hidden="false" customHeight="true" outlineLevel="0" collapsed="false">
      <c r="A1469" s="11"/>
      <c r="B1469" s="9"/>
      <c r="C1469" s="15" t="str">
        <f aca="false">IF($B1469="","",IFERROR(INDEX(직원목록!$B$3:$B$302,MATCH($B1469,직원목록!$A$3:$A$302,0)),"미등록사번"))</f>
        <v/>
      </c>
      <c r="D1469" s="9"/>
      <c r="E1469" s="15" t="str">
        <f aca="false">IF($D1469="","",IFERROR(INDEX(교육과정!$B$3:$B$102,MATCH($D1469,교육과정!$A$3:$A$102,0)),"미등록과정"))</f>
        <v/>
      </c>
      <c r="F1469" s="13"/>
      <c r="G1469" s="9"/>
      <c r="H1469" s="9"/>
    </row>
    <row r="1470" customFormat="false" ht="15" hidden="false" customHeight="true" outlineLevel="0" collapsed="false">
      <c r="A1470" s="11"/>
      <c r="B1470" s="9"/>
      <c r="C1470" s="15" t="str">
        <f aca="false">IF($B1470="","",IFERROR(INDEX(직원목록!$B$3:$B$302,MATCH($B1470,직원목록!$A$3:$A$302,0)),"미등록사번"))</f>
        <v/>
      </c>
      <c r="D1470" s="9"/>
      <c r="E1470" s="15" t="str">
        <f aca="false">IF($D1470="","",IFERROR(INDEX(교육과정!$B$3:$B$102,MATCH($D1470,교육과정!$A$3:$A$102,0)),"미등록과정"))</f>
        <v/>
      </c>
      <c r="F1470" s="13"/>
      <c r="G1470" s="9"/>
      <c r="H1470" s="9"/>
    </row>
    <row r="1471" customFormat="false" ht="15" hidden="false" customHeight="true" outlineLevel="0" collapsed="false">
      <c r="A1471" s="11"/>
      <c r="B1471" s="9"/>
      <c r="C1471" s="15" t="str">
        <f aca="false">IF($B1471="","",IFERROR(INDEX(직원목록!$B$3:$B$302,MATCH($B1471,직원목록!$A$3:$A$302,0)),"미등록사번"))</f>
        <v/>
      </c>
      <c r="D1471" s="9"/>
      <c r="E1471" s="15" t="str">
        <f aca="false">IF($D1471="","",IFERROR(INDEX(교육과정!$B$3:$B$102,MATCH($D1471,교육과정!$A$3:$A$102,0)),"미등록과정"))</f>
        <v/>
      </c>
      <c r="F1471" s="13"/>
      <c r="G1471" s="9"/>
      <c r="H1471" s="9"/>
    </row>
    <row r="1472" customFormat="false" ht="15" hidden="false" customHeight="true" outlineLevel="0" collapsed="false">
      <c r="A1472" s="11"/>
      <c r="B1472" s="9"/>
      <c r="C1472" s="15" t="str">
        <f aca="false">IF($B1472="","",IFERROR(INDEX(직원목록!$B$3:$B$302,MATCH($B1472,직원목록!$A$3:$A$302,0)),"미등록사번"))</f>
        <v/>
      </c>
      <c r="D1472" s="9"/>
      <c r="E1472" s="15" t="str">
        <f aca="false">IF($D1472="","",IFERROR(INDEX(교육과정!$B$3:$B$102,MATCH($D1472,교육과정!$A$3:$A$102,0)),"미등록과정"))</f>
        <v/>
      </c>
      <c r="F1472" s="13"/>
      <c r="G1472" s="9"/>
      <c r="H1472" s="9"/>
    </row>
    <row r="1473" customFormat="false" ht="15" hidden="false" customHeight="true" outlineLevel="0" collapsed="false">
      <c r="A1473" s="11"/>
      <c r="B1473" s="9"/>
      <c r="C1473" s="15" t="str">
        <f aca="false">IF($B1473="","",IFERROR(INDEX(직원목록!$B$3:$B$302,MATCH($B1473,직원목록!$A$3:$A$302,0)),"미등록사번"))</f>
        <v/>
      </c>
      <c r="D1473" s="9"/>
      <c r="E1473" s="15" t="str">
        <f aca="false">IF($D1473="","",IFERROR(INDEX(교육과정!$B$3:$B$102,MATCH($D1473,교육과정!$A$3:$A$102,0)),"미등록과정"))</f>
        <v/>
      </c>
      <c r="F1473" s="13"/>
      <c r="G1473" s="9"/>
      <c r="H1473" s="9"/>
    </row>
    <row r="1474" customFormat="false" ht="15" hidden="false" customHeight="true" outlineLevel="0" collapsed="false">
      <c r="A1474" s="11"/>
      <c r="B1474" s="9"/>
      <c r="C1474" s="15" t="str">
        <f aca="false">IF($B1474="","",IFERROR(INDEX(직원목록!$B$3:$B$302,MATCH($B1474,직원목록!$A$3:$A$302,0)),"미등록사번"))</f>
        <v/>
      </c>
      <c r="D1474" s="9"/>
      <c r="E1474" s="15" t="str">
        <f aca="false">IF($D1474="","",IFERROR(INDEX(교육과정!$B$3:$B$102,MATCH($D1474,교육과정!$A$3:$A$102,0)),"미등록과정"))</f>
        <v/>
      </c>
      <c r="F1474" s="13"/>
      <c r="G1474" s="9"/>
      <c r="H1474" s="9"/>
    </row>
    <row r="1475" customFormat="false" ht="15" hidden="false" customHeight="true" outlineLevel="0" collapsed="false">
      <c r="A1475" s="11"/>
      <c r="B1475" s="9"/>
      <c r="C1475" s="15" t="str">
        <f aca="false">IF($B1475="","",IFERROR(INDEX(직원목록!$B$3:$B$302,MATCH($B1475,직원목록!$A$3:$A$302,0)),"미등록사번"))</f>
        <v/>
      </c>
      <c r="D1475" s="9"/>
      <c r="E1475" s="15" t="str">
        <f aca="false">IF($D1475="","",IFERROR(INDEX(교육과정!$B$3:$B$102,MATCH($D1475,교육과정!$A$3:$A$102,0)),"미등록과정"))</f>
        <v/>
      </c>
      <c r="F1475" s="13"/>
      <c r="G1475" s="9"/>
      <c r="H1475" s="9"/>
    </row>
    <row r="1476" customFormat="false" ht="15" hidden="false" customHeight="true" outlineLevel="0" collapsed="false">
      <c r="A1476" s="11"/>
      <c r="B1476" s="9"/>
      <c r="C1476" s="15" t="str">
        <f aca="false">IF($B1476="","",IFERROR(INDEX(직원목록!$B$3:$B$302,MATCH($B1476,직원목록!$A$3:$A$302,0)),"미등록사번"))</f>
        <v/>
      </c>
      <c r="D1476" s="9"/>
      <c r="E1476" s="15" t="str">
        <f aca="false">IF($D1476="","",IFERROR(INDEX(교육과정!$B$3:$B$102,MATCH($D1476,교육과정!$A$3:$A$102,0)),"미등록과정"))</f>
        <v/>
      </c>
      <c r="F1476" s="13"/>
      <c r="G1476" s="9"/>
      <c r="H1476" s="9"/>
    </row>
    <row r="1477" customFormat="false" ht="15" hidden="false" customHeight="true" outlineLevel="0" collapsed="false">
      <c r="A1477" s="11"/>
      <c r="B1477" s="9"/>
      <c r="C1477" s="15" t="str">
        <f aca="false">IF($B1477="","",IFERROR(INDEX(직원목록!$B$3:$B$302,MATCH($B1477,직원목록!$A$3:$A$302,0)),"미등록사번"))</f>
        <v/>
      </c>
      <c r="D1477" s="9"/>
      <c r="E1477" s="15" t="str">
        <f aca="false">IF($D1477="","",IFERROR(INDEX(교육과정!$B$3:$B$102,MATCH($D1477,교육과정!$A$3:$A$102,0)),"미등록과정"))</f>
        <v/>
      </c>
      <c r="F1477" s="13"/>
      <c r="G1477" s="9"/>
      <c r="H1477" s="9"/>
    </row>
    <row r="1478" customFormat="false" ht="15" hidden="false" customHeight="true" outlineLevel="0" collapsed="false">
      <c r="A1478" s="11"/>
      <c r="B1478" s="9"/>
      <c r="C1478" s="15" t="str">
        <f aca="false">IF($B1478="","",IFERROR(INDEX(직원목록!$B$3:$B$302,MATCH($B1478,직원목록!$A$3:$A$302,0)),"미등록사번"))</f>
        <v/>
      </c>
      <c r="D1478" s="9"/>
      <c r="E1478" s="15" t="str">
        <f aca="false">IF($D1478="","",IFERROR(INDEX(교육과정!$B$3:$B$102,MATCH($D1478,교육과정!$A$3:$A$102,0)),"미등록과정"))</f>
        <v/>
      </c>
      <c r="F1478" s="13"/>
      <c r="G1478" s="9"/>
      <c r="H1478" s="9"/>
    </row>
    <row r="1479" customFormat="false" ht="15" hidden="false" customHeight="true" outlineLevel="0" collapsed="false">
      <c r="A1479" s="11"/>
      <c r="B1479" s="9"/>
      <c r="C1479" s="15" t="str">
        <f aca="false">IF($B1479="","",IFERROR(INDEX(직원목록!$B$3:$B$302,MATCH($B1479,직원목록!$A$3:$A$302,0)),"미등록사번"))</f>
        <v/>
      </c>
      <c r="D1479" s="9"/>
      <c r="E1479" s="15" t="str">
        <f aca="false">IF($D1479="","",IFERROR(INDEX(교육과정!$B$3:$B$102,MATCH($D1479,교육과정!$A$3:$A$102,0)),"미등록과정"))</f>
        <v/>
      </c>
      <c r="F1479" s="13"/>
      <c r="G1479" s="9"/>
      <c r="H1479" s="9"/>
    </row>
    <row r="1480" customFormat="false" ht="15" hidden="false" customHeight="true" outlineLevel="0" collapsed="false">
      <c r="A1480" s="11"/>
      <c r="B1480" s="9"/>
      <c r="C1480" s="15" t="str">
        <f aca="false">IF($B1480="","",IFERROR(INDEX(직원목록!$B$3:$B$302,MATCH($B1480,직원목록!$A$3:$A$302,0)),"미등록사번"))</f>
        <v/>
      </c>
      <c r="D1480" s="9"/>
      <c r="E1480" s="15" t="str">
        <f aca="false">IF($D1480="","",IFERROR(INDEX(교육과정!$B$3:$B$102,MATCH($D1480,교육과정!$A$3:$A$102,0)),"미등록과정"))</f>
        <v/>
      </c>
      <c r="F1480" s="13"/>
      <c r="G1480" s="9"/>
      <c r="H1480" s="9"/>
    </row>
    <row r="1481" customFormat="false" ht="15" hidden="false" customHeight="true" outlineLevel="0" collapsed="false">
      <c r="A1481" s="11"/>
      <c r="B1481" s="9"/>
      <c r="C1481" s="15" t="str">
        <f aca="false">IF($B1481="","",IFERROR(INDEX(직원목록!$B$3:$B$302,MATCH($B1481,직원목록!$A$3:$A$302,0)),"미등록사번"))</f>
        <v/>
      </c>
      <c r="D1481" s="9"/>
      <c r="E1481" s="15" t="str">
        <f aca="false">IF($D1481="","",IFERROR(INDEX(교육과정!$B$3:$B$102,MATCH($D1481,교육과정!$A$3:$A$102,0)),"미등록과정"))</f>
        <v/>
      </c>
      <c r="F1481" s="13"/>
      <c r="G1481" s="9"/>
      <c r="H1481" s="9"/>
    </row>
    <row r="1482" customFormat="false" ht="15" hidden="false" customHeight="true" outlineLevel="0" collapsed="false">
      <c r="A1482" s="11"/>
      <c r="B1482" s="9"/>
      <c r="C1482" s="15" t="str">
        <f aca="false">IF($B1482="","",IFERROR(INDEX(직원목록!$B$3:$B$302,MATCH($B1482,직원목록!$A$3:$A$302,0)),"미등록사번"))</f>
        <v/>
      </c>
      <c r="D1482" s="9"/>
      <c r="E1482" s="15" t="str">
        <f aca="false">IF($D1482="","",IFERROR(INDEX(교육과정!$B$3:$B$102,MATCH($D1482,교육과정!$A$3:$A$102,0)),"미등록과정"))</f>
        <v/>
      </c>
      <c r="F1482" s="13"/>
      <c r="G1482" s="9"/>
      <c r="H1482" s="9"/>
    </row>
    <row r="1483" customFormat="false" ht="15" hidden="false" customHeight="true" outlineLevel="0" collapsed="false">
      <c r="A1483" s="11"/>
      <c r="B1483" s="9"/>
      <c r="C1483" s="15" t="str">
        <f aca="false">IF($B1483="","",IFERROR(INDEX(직원목록!$B$3:$B$302,MATCH($B1483,직원목록!$A$3:$A$302,0)),"미등록사번"))</f>
        <v/>
      </c>
      <c r="D1483" s="9"/>
      <c r="E1483" s="15" t="str">
        <f aca="false">IF($D1483="","",IFERROR(INDEX(교육과정!$B$3:$B$102,MATCH($D1483,교육과정!$A$3:$A$102,0)),"미등록과정"))</f>
        <v/>
      </c>
      <c r="F1483" s="13"/>
      <c r="G1483" s="9"/>
      <c r="H1483" s="9"/>
    </row>
    <row r="1484" customFormat="false" ht="15" hidden="false" customHeight="true" outlineLevel="0" collapsed="false">
      <c r="A1484" s="11"/>
      <c r="B1484" s="9"/>
      <c r="C1484" s="15" t="str">
        <f aca="false">IF($B1484="","",IFERROR(INDEX(직원목록!$B$3:$B$302,MATCH($B1484,직원목록!$A$3:$A$302,0)),"미등록사번"))</f>
        <v/>
      </c>
      <c r="D1484" s="9"/>
      <c r="E1484" s="15" t="str">
        <f aca="false">IF($D1484="","",IFERROR(INDEX(교육과정!$B$3:$B$102,MATCH($D1484,교육과정!$A$3:$A$102,0)),"미등록과정"))</f>
        <v/>
      </c>
      <c r="F1484" s="13"/>
      <c r="G1484" s="9"/>
      <c r="H1484" s="9"/>
    </row>
    <row r="1485" customFormat="false" ht="15" hidden="false" customHeight="true" outlineLevel="0" collapsed="false">
      <c r="A1485" s="11"/>
      <c r="B1485" s="9"/>
      <c r="C1485" s="15" t="str">
        <f aca="false">IF($B1485="","",IFERROR(INDEX(직원목록!$B$3:$B$302,MATCH($B1485,직원목록!$A$3:$A$302,0)),"미등록사번"))</f>
        <v/>
      </c>
      <c r="D1485" s="9"/>
      <c r="E1485" s="15" t="str">
        <f aca="false">IF($D1485="","",IFERROR(INDEX(교육과정!$B$3:$B$102,MATCH($D1485,교육과정!$A$3:$A$102,0)),"미등록과정"))</f>
        <v/>
      </c>
      <c r="F1485" s="13"/>
      <c r="G1485" s="9"/>
      <c r="H1485" s="9"/>
    </row>
    <row r="1486" customFormat="false" ht="15" hidden="false" customHeight="true" outlineLevel="0" collapsed="false">
      <c r="A1486" s="11"/>
      <c r="B1486" s="9"/>
      <c r="C1486" s="15" t="str">
        <f aca="false">IF($B1486="","",IFERROR(INDEX(직원목록!$B$3:$B$302,MATCH($B1486,직원목록!$A$3:$A$302,0)),"미등록사번"))</f>
        <v/>
      </c>
      <c r="D1486" s="9"/>
      <c r="E1486" s="15" t="str">
        <f aca="false">IF($D1486="","",IFERROR(INDEX(교육과정!$B$3:$B$102,MATCH($D1486,교육과정!$A$3:$A$102,0)),"미등록과정"))</f>
        <v/>
      </c>
      <c r="F1486" s="13"/>
      <c r="G1486" s="9"/>
      <c r="H1486" s="9"/>
    </row>
    <row r="1487" customFormat="false" ht="15" hidden="false" customHeight="true" outlineLevel="0" collapsed="false">
      <c r="A1487" s="11"/>
      <c r="B1487" s="9"/>
      <c r="C1487" s="15" t="str">
        <f aca="false">IF($B1487="","",IFERROR(INDEX(직원목록!$B$3:$B$302,MATCH($B1487,직원목록!$A$3:$A$302,0)),"미등록사번"))</f>
        <v/>
      </c>
      <c r="D1487" s="9"/>
      <c r="E1487" s="15" t="str">
        <f aca="false">IF($D1487="","",IFERROR(INDEX(교육과정!$B$3:$B$102,MATCH($D1487,교육과정!$A$3:$A$102,0)),"미등록과정"))</f>
        <v/>
      </c>
      <c r="F1487" s="13"/>
      <c r="G1487" s="9"/>
      <c r="H1487" s="9"/>
    </row>
    <row r="1488" customFormat="false" ht="15" hidden="false" customHeight="true" outlineLevel="0" collapsed="false">
      <c r="A1488" s="11"/>
      <c r="B1488" s="9"/>
      <c r="C1488" s="15" t="str">
        <f aca="false">IF($B1488="","",IFERROR(INDEX(직원목록!$B$3:$B$302,MATCH($B1488,직원목록!$A$3:$A$302,0)),"미등록사번"))</f>
        <v/>
      </c>
      <c r="D1488" s="9"/>
      <c r="E1488" s="15" t="str">
        <f aca="false">IF($D1488="","",IFERROR(INDEX(교육과정!$B$3:$B$102,MATCH($D1488,교육과정!$A$3:$A$102,0)),"미등록과정"))</f>
        <v/>
      </c>
      <c r="F1488" s="13"/>
      <c r="G1488" s="9"/>
      <c r="H1488" s="9"/>
    </row>
    <row r="1489" customFormat="false" ht="15" hidden="false" customHeight="true" outlineLevel="0" collapsed="false">
      <c r="A1489" s="11"/>
      <c r="B1489" s="9"/>
      <c r="C1489" s="15" t="str">
        <f aca="false">IF($B1489="","",IFERROR(INDEX(직원목록!$B$3:$B$302,MATCH($B1489,직원목록!$A$3:$A$302,0)),"미등록사번"))</f>
        <v/>
      </c>
      <c r="D1489" s="9"/>
      <c r="E1489" s="15" t="str">
        <f aca="false">IF($D1489="","",IFERROR(INDEX(교육과정!$B$3:$B$102,MATCH($D1489,교육과정!$A$3:$A$102,0)),"미등록과정"))</f>
        <v/>
      </c>
      <c r="F1489" s="13"/>
      <c r="G1489" s="9"/>
      <c r="H1489" s="9"/>
    </row>
    <row r="1490" customFormat="false" ht="15" hidden="false" customHeight="true" outlineLevel="0" collapsed="false">
      <c r="A1490" s="11"/>
      <c r="B1490" s="9"/>
      <c r="C1490" s="15" t="str">
        <f aca="false">IF($B1490="","",IFERROR(INDEX(직원목록!$B$3:$B$302,MATCH($B1490,직원목록!$A$3:$A$302,0)),"미등록사번"))</f>
        <v/>
      </c>
      <c r="D1490" s="9"/>
      <c r="E1490" s="15" t="str">
        <f aca="false">IF($D1490="","",IFERROR(INDEX(교육과정!$B$3:$B$102,MATCH($D1490,교육과정!$A$3:$A$102,0)),"미등록과정"))</f>
        <v/>
      </c>
      <c r="F1490" s="13"/>
      <c r="G1490" s="9"/>
      <c r="H1490" s="9"/>
    </row>
    <row r="1491" customFormat="false" ht="15" hidden="false" customHeight="true" outlineLevel="0" collapsed="false">
      <c r="A1491" s="11"/>
      <c r="B1491" s="9"/>
      <c r="C1491" s="15" t="str">
        <f aca="false">IF($B1491="","",IFERROR(INDEX(직원목록!$B$3:$B$302,MATCH($B1491,직원목록!$A$3:$A$302,0)),"미등록사번"))</f>
        <v/>
      </c>
      <c r="D1491" s="9"/>
      <c r="E1491" s="15" t="str">
        <f aca="false">IF($D1491="","",IFERROR(INDEX(교육과정!$B$3:$B$102,MATCH($D1491,교육과정!$A$3:$A$102,0)),"미등록과정"))</f>
        <v/>
      </c>
      <c r="F1491" s="13"/>
      <c r="G1491" s="9"/>
      <c r="H1491" s="9"/>
    </row>
    <row r="1492" customFormat="false" ht="15" hidden="false" customHeight="true" outlineLevel="0" collapsed="false">
      <c r="A1492" s="11"/>
      <c r="B1492" s="9"/>
      <c r="C1492" s="15" t="str">
        <f aca="false">IF($B1492="","",IFERROR(INDEX(직원목록!$B$3:$B$302,MATCH($B1492,직원목록!$A$3:$A$302,0)),"미등록사번"))</f>
        <v/>
      </c>
      <c r="D1492" s="9"/>
      <c r="E1492" s="15" t="str">
        <f aca="false">IF($D1492="","",IFERROR(INDEX(교육과정!$B$3:$B$102,MATCH($D1492,교육과정!$A$3:$A$102,0)),"미등록과정"))</f>
        <v/>
      </c>
      <c r="F1492" s="13"/>
      <c r="G1492" s="9"/>
      <c r="H1492" s="9"/>
    </row>
    <row r="1493" customFormat="false" ht="15" hidden="false" customHeight="true" outlineLevel="0" collapsed="false">
      <c r="A1493" s="11"/>
      <c r="B1493" s="9"/>
      <c r="C1493" s="15" t="str">
        <f aca="false">IF($B1493="","",IFERROR(INDEX(직원목록!$B$3:$B$302,MATCH($B1493,직원목록!$A$3:$A$302,0)),"미등록사번"))</f>
        <v/>
      </c>
      <c r="D1493" s="9"/>
      <c r="E1493" s="15" t="str">
        <f aca="false">IF($D1493="","",IFERROR(INDEX(교육과정!$B$3:$B$102,MATCH($D1493,교육과정!$A$3:$A$102,0)),"미등록과정"))</f>
        <v/>
      </c>
      <c r="F1493" s="13"/>
      <c r="G1493" s="9"/>
      <c r="H1493" s="9"/>
    </row>
    <row r="1494" customFormat="false" ht="15" hidden="false" customHeight="true" outlineLevel="0" collapsed="false">
      <c r="A1494" s="11"/>
      <c r="B1494" s="9"/>
      <c r="C1494" s="15" t="str">
        <f aca="false">IF($B1494="","",IFERROR(INDEX(직원목록!$B$3:$B$302,MATCH($B1494,직원목록!$A$3:$A$302,0)),"미등록사번"))</f>
        <v/>
      </c>
      <c r="D1494" s="9"/>
      <c r="E1494" s="15" t="str">
        <f aca="false">IF($D1494="","",IFERROR(INDEX(교육과정!$B$3:$B$102,MATCH($D1494,교육과정!$A$3:$A$102,0)),"미등록과정"))</f>
        <v/>
      </c>
      <c r="F1494" s="13"/>
      <c r="G1494" s="9"/>
      <c r="H1494" s="9"/>
    </row>
    <row r="1495" customFormat="false" ht="15" hidden="false" customHeight="true" outlineLevel="0" collapsed="false">
      <c r="A1495" s="11"/>
      <c r="B1495" s="9"/>
      <c r="C1495" s="15" t="str">
        <f aca="false">IF($B1495="","",IFERROR(INDEX(직원목록!$B$3:$B$302,MATCH($B1495,직원목록!$A$3:$A$302,0)),"미등록사번"))</f>
        <v/>
      </c>
      <c r="D1495" s="9"/>
      <c r="E1495" s="15" t="str">
        <f aca="false">IF($D1495="","",IFERROR(INDEX(교육과정!$B$3:$B$102,MATCH($D1495,교육과정!$A$3:$A$102,0)),"미등록과정"))</f>
        <v/>
      </c>
      <c r="F1495" s="13"/>
      <c r="G1495" s="9"/>
      <c r="H1495" s="9"/>
    </row>
    <row r="1496" customFormat="false" ht="15" hidden="false" customHeight="true" outlineLevel="0" collapsed="false">
      <c r="A1496" s="11"/>
      <c r="B1496" s="9"/>
      <c r="C1496" s="15" t="str">
        <f aca="false">IF($B1496="","",IFERROR(INDEX(직원목록!$B$3:$B$302,MATCH($B1496,직원목록!$A$3:$A$302,0)),"미등록사번"))</f>
        <v/>
      </c>
      <c r="D1496" s="9"/>
      <c r="E1496" s="15" t="str">
        <f aca="false">IF($D1496="","",IFERROR(INDEX(교육과정!$B$3:$B$102,MATCH($D1496,교육과정!$A$3:$A$102,0)),"미등록과정"))</f>
        <v/>
      </c>
      <c r="F1496" s="13"/>
      <c r="G1496" s="9"/>
      <c r="H1496" s="9"/>
    </row>
    <row r="1497" customFormat="false" ht="15" hidden="false" customHeight="true" outlineLevel="0" collapsed="false">
      <c r="A1497" s="11"/>
      <c r="B1497" s="9"/>
      <c r="C1497" s="15" t="str">
        <f aca="false">IF($B1497="","",IFERROR(INDEX(직원목록!$B$3:$B$302,MATCH($B1497,직원목록!$A$3:$A$302,0)),"미등록사번"))</f>
        <v/>
      </c>
      <c r="D1497" s="9"/>
      <c r="E1497" s="15" t="str">
        <f aca="false">IF($D1497="","",IFERROR(INDEX(교육과정!$B$3:$B$102,MATCH($D1497,교육과정!$A$3:$A$102,0)),"미등록과정"))</f>
        <v/>
      </c>
      <c r="F1497" s="13"/>
      <c r="G1497" s="9"/>
      <c r="H1497" s="9"/>
    </row>
    <row r="1498" customFormat="false" ht="15" hidden="false" customHeight="true" outlineLevel="0" collapsed="false">
      <c r="A1498" s="11"/>
      <c r="B1498" s="9"/>
      <c r="C1498" s="15" t="str">
        <f aca="false">IF($B1498="","",IFERROR(INDEX(직원목록!$B$3:$B$302,MATCH($B1498,직원목록!$A$3:$A$302,0)),"미등록사번"))</f>
        <v/>
      </c>
      <c r="D1498" s="9"/>
      <c r="E1498" s="15" t="str">
        <f aca="false">IF($D1498="","",IFERROR(INDEX(교육과정!$B$3:$B$102,MATCH($D1498,교육과정!$A$3:$A$102,0)),"미등록과정"))</f>
        <v/>
      </c>
      <c r="F1498" s="13"/>
      <c r="G1498" s="9"/>
      <c r="H1498" s="9"/>
    </row>
    <row r="1499" customFormat="false" ht="15" hidden="false" customHeight="true" outlineLevel="0" collapsed="false">
      <c r="A1499" s="11"/>
      <c r="B1499" s="9"/>
      <c r="C1499" s="15" t="str">
        <f aca="false">IF($B1499="","",IFERROR(INDEX(직원목록!$B$3:$B$302,MATCH($B1499,직원목록!$A$3:$A$302,0)),"미등록사번"))</f>
        <v/>
      </c>
      <c r="D1499" s="9"/>
      <c r="E1499" s="15" t="str">
        <f aca="false">IF($D1499="","",IFERROR(INDEX(교육과정!$B$3:$B$102,MATCH($D1499,교육과정!$A$3:$A$102,0)),"미등록과정"))</f>
        <v/>
      </c>
      <c r="F1499" s="13"/>
      <c r="G1499" s="9"/>
      <c r="H1499" s="9"/>
    </row>
    <row r="1500" customFormat="false" ht="15" hidden="false" customHeight="true" outlineLevel="0" collapsed="false">
      <c r="A1500" s="11"/>
      <c r="B1500" s="9"/>
      <c r="C1500" s="15" t="str">
        <f aca="false">IF($B1500="","",IFERROR(INDEX(직원목록!$B$3:$B$302,MATCH($B1500,직원목록!$A$3:$A$302,0)),"미등록사번"))</f>
        <v/>
      </c>
      <c r="D1500" s="9"/>
      <c r="E1500" s="15" t="str">
        <f aca="false">IF($D1500="","",IFERROR(INDEX(교육과정!$B$3:$B$102,MATCH($D1500,교육과정!$A$3:$A$102,0)),"미등록과정"))</f>
        <v/>
      </c>
      <c r="F1500" s="13"/>
      <c r="G1500" s="9"/>
      <c r="H1500" s="9"/>
    </row>
    <row r="1501" customFormat="false" ht="15" hidden="false" customHeight="true" outlineLevel="0" collapsed="false">
      <c r="A1501" s="11"/>
      <c r="B1501" s="9"/>
      <c r="C1501" s="15" t="str">
        <f aca="false">IF($B1501="","",IFERROR(INDEX(직원목록!$B$3:$B$302,MATCH($B1501,직원목록!$A$3:$A$302,0)),"미등록사번"))</f>
        <v/>
      </c>
      <c r="D1501" s="9"/>
      <c r="E1501" s="15" t="str">
        <f aca="false">IF($D1501="","",IFERROR(INDEX(교육과정!$B$3:$B$102,MATCH($D1501,교육과정!$A$3:$A$102,0)),"미등록과정"))</f>
        <v/>
      </c>
      <c r="F1501" s="13"/>
      <c r="G1501" s="9"/>
      <c r="H1501" s="9"/>
    </row>
    <row r="1502" customFormat="false" ht="15" hidden="false" customHeight="true" outlineLevel="0" collapsed="false">
      <c r="A1502" s="11"/>
      <c r="B1502" s="9"/>
      <c r="C1502" s="15" t="str">
        <f aca="false">IF($B1502="","",IFERROR(INDEX(직원목록!$B$3:$B$302,MATCH($B1502,직원목록!$A$3:$A$302,0)),"미등록사번"))</f>
        <v/>
      </c>
      <c r="D1502" s="9"/>
      <c r="E1502" s="15" t="str">
        <f aca="false">IF($D1502="","",IFERROR(INDEX(교육과정!$B$3:$B$102,MATCH($D1502,교육과정!$A$3:$A$102,0)),"미등록과정"))</f>
        <v/>
      </c>
      <c r="F1502" s="13"/>
      <c r="G1502" s="9"/>
      <c r="H1502" s="9"/>
    </row>
    <row r="1503" customFormat="false" ht="15" hidden="false" customHeight="true" outlineLevel="0" collapsed="false">
      <c r="A1503" s="11"/>
      <c r="B1503" s="9"/>
      <c r="C1503" s="15" t="str">
        <f aca="false">IF($B1503="","",IFERROR(INDEX(직원목록!$B$3:$B$302,MATCH($B1503,직원목록!$A$3:$A$302,0)),"미등록사번"))</f>
        <v/>
      </c>
      <c r="D1503" s="9"/>
      <c r="E1503" s="15" t="str">
        <f aca="false">IF($D1503="","",IFERROR(INDEX(교육과정!$B$3:$B$102,MATCH($D1503,교육과정!$A$3:$A$102,0)),"미등록과정"))</f>
        <v/>
      </c>
      <c r="F1503" s="13"/>
      <c r="G1503" s="9"/>
      <c r="H1503" s="9"/>
    </row>
    <row r="1504" customFormat="false" ht="15" hidden="false" customHeight="true" outlineLevel="0" collapsed="false">
      <c r="A1504" s="11"/>
      <c r="B1504" s="9"/>
      <c r="C1504" s="15" t="str">
        <f aca="false">IF($B1504="","",IFERROR(INDEX(직원목록!$B$3:$B$302,MATCH($B1504,직원목록!$A$3:$A$302,0)),"미등록사번"))</f>
        <v/>
      </c>
      <c r="D1504" s="9"/>
      <c r="E1504" s="15" t="str">
        <f aca="false">IF($D1504="","",IFERROR(INDEX(교육과정!$B$3:$B$102,MATCH($D1504,교육과정!$A$3:$A$102,0)),"미등록과정"))</f>
        <v/>
      </c>
      <c r="F1504" s="13"/>
      <c r="G1504" s="9"/>
      <c r="H1504" s="9"/>
    </row>
    <row r="1505" customFormat="false" ht="15" hidden="false" customHeight="true" outlineLevel="0" collapsed="false">
      <c r="A1505" s="11"/>
      <c r="B1505" s="9"/>
      <c r="C1505" s="15" t="str">
        <f aca="false">IF($B1505="","",IFERROR(INDEX(직원목록!$B$3:$B$302,MATCH($B1505,직원목록!$A$3:$A$302,0)),"미등록사번"))</f>
        <v/>
      </c>
      <c r="D1505" s="9"/>
      <c r="E1505" s="15" t="str">
        <f aca="false">IF($D1505="","",IFERROR(INDEX(교육과정!$B$3:$B$102,MATCH($D1505,교육과정!$A$3:$A$102,0)),"미등록과정"))</f>
        <v/>
      </c>
      <c r="F1505" s="13"/>
      <c r="G1505" s="9"/>
      <c r="H1505" s="9"/>
    </row>
    <row r="1506" customFormat="false" ht="15" hidden="false" customHeight="true" outlineLevel="0" collapsed="false">
      <c r="A1506" s="11"/>
      <c r="B1506" s="9"/>
      <c r="C1506" s="15" t="str">
        <f aca="false">IF($B1506="","",IFERROR(INDEX(직원목록!$B$3:$B$302,MATCH($B1506,직원목록!$A$3:$A$302,0)),"미등록사번"))</f>
        <v/>
      </c>
      <c r="D1506" s="9"/>
      <c r="E1506" s="15" t="str">
        <f aca="false">IF($D1506="","",IFERROR(INDEX(교육과정!$B$3:$B$102,MATCH($D1506,교육과정!$A$3:$A$102,0)),"미등록과정"))</f>
        <v/>
      </c>
      <c r="F1506" s="13"/>
      <c r="G1506" s="9"/>
      <c r="H1506" s="9"/>
    </row>
    <row r="1507" customFormat="false" ht="15" hidden="false" customHeight="true" outlineLevel="0" collapsed="false">
      <c r="A1507" s="11"/>
      <c r="B1507" s="9"/>
      <c r="C1507" s="15" t="str">
        <f aca="false">IF($B1507="","",IFERROR(INDEX(직원목록!$B$3:$B$302,MATCH($B1507,직원목록!$A$3:$A$302,0)),"미등록사번"))</f>
        <v/>
      </c>
      <c r="D1507" s="9"/>
      <c r="E1507" s="15" t="str">
        <f aca="false">IF($D1507="","",IFERROR(INDEX(교육과정!$B$3:$B$102,MATCH($D1507,교육과정!$A$3:$A$102,0)),"미등록과정"))</f>
        <v/>
      </c>
      <c r="F1507" s="13"/>
      <c r="G1507" s="9"/>
      <c r="H1507" s="9"/>
    </row>
    <row r="1508" customFormat="false" ht="15" hidden="false" customHeight="true" outlineLevel="0" collapsed="false">
      <c r="A1508" s="11"/>
      <c r="B1508" s="9"/>
      <c r="C1508" s="15" t="str">
        <f aca="false">IF($B1508="","",IFERROR(INDEX(직원목록!$B$3:$B$302,MATCH($B1508,직원목록!$A$3:$A$302,0)),"미등록사번"))</f>
        <v/>
      </c>
      <c r="D1508" s="9"/>
      <c r="E1508" s="15" t="str">
        <f aca="false">IF($D1508="","",IFERROR(INDEX(교육과정!$B$3:$B$102,MATCH($D1508,교육과정!$A$3:$A$102,0)),"미등록과정"))</f>
        <v/>
      </c>
      <c r="F1508" s="13"/>
      <c r="G1508" s="9"/>
      <c r="H1508" s="9"/>
    </row>
    <row r="1509" customFormat="false" ht="15" hidden="false" customHeight="true" outlineLevel="0" collapsed="false">
      <c r="A1509" s="11"/>
      <c r="B1509" s="9"/>
      <c r="C1509" s="15" t="str">
        <f aca="false">IF($B1509="","",IFERROR(INDEX(직원목록!$B$3:$B$302,MATCH($B1509,직원목록!$A$3:$A$302,0)),"미등록사번"))</f>
        <v/>
      </c>
      <c r="D1509" s="9"/>
      <c r="E1509" s="15" t="str">
        <f aca="false">IF($D1509="","",IFERROR(INDEX(교육과정!$B$3:$B$102,MATCH($D1509,교육과정!$A$3:$A$102,0)),"미등록과정"))</f>
        <v/>
      </c>
      <c r="F1509" s="13"/>
      <c r="G1509" s="9"/>
      <c r="H1509" s="9"/>
    </row>
    <row r="1510" customFormat="false" ht="15" hidden="false" customHeight="true" outlineLevel="0" collapsed="false">
      <c r="A1510" s="11"/>
      <c r="B1510" s="9"/>
      <c r="C1510" s="15" t="str">
        <f aca="false">IF($B1510="","",IFERROR(INDEX(직원목록!$B$3:$B$302,MATCH($B1510,직원목록!$A$3:$A$302,0)),"미등록사번"))</f>
        <v/>
      </c>
      <c r="D1510" s="9"/>
      <c r="E1510" s="15" t="str">
        <f aca="false">IF($D1510="","",IFERROR(INDEX(교육과정!$B$3:$B$102,MATCH($D1510,교육과정!$A$3:$A$102,0)),"미등록과정"))</f>
        <v/>
      </c>
      <c r="F1510" s="13"/>
      <c r="G1510" s="9"/>
      <c r="H1510" s="9"/>
    </row>
    <row r="1511" customFormat="false" ht="15" hidden="false" customHeight="true" outlineLevel="0" collapsed="false">
      <c r="A1511" s="11"/>
      <c r="B1511" s="9"/>
      <c r="C1511" s="15" t="str">
        <f aca="false">IF($B1511="","",IFERROR(INDEX(직원목록!$B$3:$B$302,MATCH($B1511,직원목록!$A$3:$A$302,0)),"미등록사번"))</f>
        <v/>
      </c>
      <c r="D1511" s="9"/>
      <c r="E1511" s="15" t="str">
        <f aca="false">IF($D1511="","",IFERROR(INDEX(교육과정!$B$3:$B$102,MATCH($D1511,교육과정!$A$3:$A$102,0)),"미등록과정"))</f>
        <v/>
      </c>
      <c r="F1511" s="13"/>
      <c r="G1511" s="9"/>
      <c r="H1511" s="9"/>
    </row>
    <row r="1512" customFormat="false" ht="15" hidden="false" customHeight="true" outlineLevel="0" collapsed="false">
      <c r="A1512" s="11"/>
      <c r="B1512" s="9"/>
      <c r="C1512" s="15" t="str">
        <f aca="false">IF($B1512="","",IFERROR(INDEX(직원목록!$B$3:$B$302,MATCH($B1512,직원목록!$A$3:$A$302,0)),"미등록사번"))</f>
        <v/>
      </c>
      <c r="D1512" s="9"/>
      <c r="E1512" s="15" t="str">
        <f aca="false">IF($D1512="","",IFERROR(INDEX(교육과정!$B$3:$B$102,MATCH($D1512,교육과정!$A$3:$A$102,0)),"미등록과정"))</f>
        <v/>
      </c>
      <c r="F1512" s="13"/>
      <c r="G1512" s="9"/>
      <c r="H1512" s="9"/>
    </row>
    <row r="1513" customFormat="false" ht="15" hidden="false" customHeight="true" outlineLevel="0" collapsed="false">
      <c r="A1513" s="11"/>
      <c r="B1513" s="9"/>
      <c r="C1513" s="15" t="str">
        <f aca="false">IF($B1513="","",IFERROR(INDEX(직원목록!$B$3:$B$302,MATCH($B1513,직원목록!$A$3:$A$302,0)),"미등록사번"))</f>
        <v/>
      </c>
      <c r="D1513" s="9"/>
      <c r="E1513" s="15" t="str">
        <f aca="false">IF($D1513="","",IFERROR(INDEX(교육과정!$B$3:$B$102,MATCH($D1513,교육과정!$A$3:$A$102,0)),"미등록과정"))</f>
        <v/>
      </c>
      <c r="F1513" s="13"/>
      <c r="G1513" s="9"/>
      <c r="H1513" s="9"/>
    </row>
    <row r="1514" customFormat="false" ht="15" hidden="false" customHeight="true" outlineLevel="0" collapsed="false">
      <c r="A1514" s="11"/>
      <c r="B1514" s="9"/>
      <c r="C1514" s="15" t="str">
        <f aca="false">IF($B1514="","",IFERROR(INDEX(직원목록!$B$3:$B$302,MATCH($B1514,직원목록!$A$3:$A$302,0)),"미등록사번"))</f>
        <v/>
      </c>
      <c r="D1514" s="9"/>
      <c r="E1514" s="15" t="str">
        <f aca="false">IF($D1514="","",IFERROR(INDEX(교육과정!$B$3:$B$102,MATCH($D1514,교육과정!$A$3:$A$102,0)),"미등록과정"))</f>
        <v/>
      </c>
      <c r="F1514" s="13"/>
      <c r="G1514" s="9"/>
      <c r="H1514" s="9"/>
    </row>
    <row r="1515" customFormat="false" ht="15" hidden="false" customHeight="true" outlineLevel="0" collapsed="false">
      <c r="A1515" s="11"/>
      <c r="B1515" s="9"/>
      <c r="C1515" s="15" t="str">
        <f aca="false">IF($B1515="","",IFERROR(INDEX(직원목록!$B$3:$B$302,MATCH($B1515,직원목록!$A$3:$A$302,0)),"미등록사번"))</f>
        <v/>
      </c>
      <c r="D1515" s="9"/>
      <c r="E1515" s="15" t="str">
        <f aca="false">IF($D1515="","",IFERROR(INDEX(교육과정!$B$3:$B$102,MATCH($D1515,교육과정!$A$3:$A$102,0)),"미등록과정"))</f>
        <v/>
      </c>
      <c r="F1515" s="13"/>
      <c r="G1515" s="9"/>
      <c r="H1515" s="9"/>
    </row>
    <row r="1516" customFormat="false" ht="15" hidden="false" customHeight="true" outlineLevel="0" collapsed="false">
      <c r="A1516" s="11"/>
      <c r="B1516" s="9"/>
      <c r="C1516" s="15" t="str">
        <f aca="false">IF($B1516="","",IFERROR(INDEX(직원목록!$B$3:$B$302,MATCH($B1516,직원목록!$A$3:$A$302,0)),"미등록사번"))</f>
        <v/>
      </c>
      <c r="D1516" s="9"/>
      <c r="E1516" s="15" t="str">
        <f aca="false">IF($D1516="","",IFERROR(INDEX(교육과정!$B$3:$B$102,MATCH($D1516,교육과정!$A$3:$A$102,0)),"미등록과정"))</f>
        <v/>
      </c>
      <c r="F1516" s="13"/>
      <c r="G1516" s="9"/>
      <c r="H1516" s="9"/>
    </row>
    <row r="1517" customFormat="false" ht="15" hidden="false" customHeight="true" outlineLevel="0" collapsed="false">
      <c r="A1517" s="11"/>
      <c r="B1517" s="9"/>
      <c r="C1517" s="15" t="str">
        <f aca="false">IF($B1517="","",IFERROR(INDEX(직원목록!$B$3:$B$302,MATCH($B1517,직원목록!$A$3:$A$302,0)),"미등록사번"))</f>
        <v/>
      </c>
      <c r="D1517" s="9"/>
      <c r="E1517" s="15" t="str">
        <f aca="false">IF($D1517="","",IFERROR(INDEX(교육과정!$B$3:$B$102,MATCH($D1517,교육과정!$A$3:$A$102,0)),"미등록과정"))</f>
        <v/>
      </c>
      <c r="F1517" s="13"/>
      <c r="G1517" s="9"/>
      <c r="H1517" s="9"/>
    </row>
    <row r="1518" customFormat="false" ht="15" hidden="false" customHeight="true" outlineLevel="0" collapsed="false">
      <c r="A1518" s="11"/>
      <c r="B1518" s="9"/>
      <c r="C1518" s="15" t="str">
        <f aca="false">IF($B1518="","",IFERROR(INDEX(직원목록!$B$3:$B$302,MATCH($B1518,직원목록!$A$3:$A$302,0)),"미등록사번"))</f>
        <v/>
      </c>
      <c r="D1518" s="9"/>
      <c r="E1518" s="15" t="str">
        <f aca="false">IF($D1518="","",IFERROR(INDEX(교육과정!$B$3:$B$102,MATCH($D1518,교육과정!$A$3:$A$102,0)),"미등록과정"))</f>
        <v/>
      </c>
      <c r="F1518" s="13"/>
      <c r="G1518" s="9"/>
      <c r="H1518" s="9"/>
    </row>
    <row r="1519" customFormat="false" ht="15" hidden="false" customHeight="true" outlineLevel="0" collapsed="false">
      <c r="A1519" s="11"/>
      <c r="B1519" s="9"/>
      <c r="C1519" s="15" t="str">
        <f aca="false">IF($B1519="","",IFERROR(INDEX(직원목록!$B$3:$B$302,MATCH($B1519,직원목록!$A$3:$A$302,0)),"미등록사번"))</f>
        <v/>
      </c>
      <c r="D1519" s="9"/>
      <c r="E1519" s="15" t="str">
        <f aca="false">IF($D1519="","",IFERROR(INDEX(교육과정!$B$3:$B$102,MATCH($D1519,교육과정!$A$3:$A$102,0)),"미등록과정"))</f>
        <v/>
      </c>
      <c r="F1519" s="13"/>
      <c r="G1519" s="9"/>
      <c r="H1519" s="9"/>
    </row>
    <row r="1520" customFormat="false" ht="15" hidden="false" customHeight="true" outlineLevel="0" collapsed="false">
      <c r="A1520" s="11"/>
      <c r="B1520" s="9"/>
      <c r="C1520" s="15" t="str">
        <f aca="false">IF($B1520="","",IFERROR(INDEX(직원목록!$B$3:$B$302,MATCH($B1520,직원목록!$A$3:$A$302,0)),"미등록사번"))</f>
        <v/>
      </c>
      <c r="D1520" s="9"/>
      <c r="E1520" s="15" t="str">
        <f aca="false">IF($D1520="","",IFERROR(INDEX(교육과정!$B$3:$B$102,MATCH($D1520,교육과정!$A$3:$A$102,0)),"미등록과정"))</f>
        <v/>
      </c>
      <c r="F1520" s="13"/>
      <c r="G1520" s="9"/>
      <c r="H1520" s="9"/>
    </row>
    <row r="1521" customFormat="false" ht="15" hidden="false" customHeight="true" outlineLevel="0" collapsed="false">
      <c r="A1521" s="11"/>
      <c r="B1521" s="9"/>
      <c r="C1521" s="15" t="str">
        <f aca="false">IF($B1521="","",IFERROR(INDEX(직원목록!$B$3:$B$302,MATCH($B1521,직원목록!$A$3:$A$302,0)),"미등록사번"))</f>
        <v/>
      </c>
      <c r="D1521" s="9"/>
      <c r="E1521" s="15" t="str">
        <f aca="false">IF($D1521="","",IFERROR(INDEX(교육과정!$B$3:$B$102,MATCH($D1521,교육과정!$A$3:$A$102,0)),"미등록과정"))</f>
        <v/>
      </c>
      <c r="F1521" s="13"/>
      <c r="G1521" s="9"/>
      <c r="H1521" s="9"/>
    </row>
    <row r="1522" customFormat="false" ht="15" hidden="false" customHeight="true" outlineLevel="0" collapsed="false">
      <c r="A1522" s="11"/>
      <c r="B1522" s="9"/>
      <c r="C1522" s="15" t="str">
        <f aca="false">IF($B1522="","",IFERROR(INDEX(직원목록!$B$3:$B$302,MATCH($B1522,직원목록!$A$3:$A$302,0)),"미등록사번"))</f>
        <v/>
      </c>
      <c r="D1522" s="9"/>
      <c r="E1522" s="15" t="str">
        <f aca="false">IF($D1522="","",IFERROR(INDEX(교육과정!$B$3:$B$102,MATCH($D1522,교육과정!$A$3:$A$102,0)),"미등록과정"))</f>
        <v/>
      </c>
      <c r="F1522" s="13"/>
      <c r="G1522" s="9"/>
      <c r="H1522" s="9"/>
    </row>
    <row r="1523" customFormat="false" ht="15" hidden="false" customHeight="true" outlineLevel="0" collapsed="false">
      <c r="A1523" s="11"/>
      <c r="B1523" s="9"/>
      <c r="C1523" s="15" t="str">
        <f aca="false">IF($B1523="","",IFERROR(INDEX(직원목록!$B$3:$B$302,MATCH($B1523,직원목록!$A$3:$A$302,0)),"미등록사번"))</f>
        <v/>
      </c>
      <c r="D1523" s="9"/>
      <c r="E1523" s="15" t="str">
        <f aca="false">IF($D1523="","",IFERROR(INDEX(교육과정!$B$3:$B$102,MATCH($D1523,교육과정!$A$3:$A$102,0)),"미등록과정"))</f>
        <v/>
      </c>
      <c r="F1523" s="13"/>
      <c r="G1523" s="9"/>
      <c r="H1523" s="9"/>
    </row>
    <row r="1524" customFormat="false" ht="15" hidden="false" customHeight="true" outlineLevel="0" collapsed="false">
      <c r="A1524" s="11"/>
      <c r="B1524" s="9"/>
      <c r="C1524" s="15" t="str">
        <f aca="false">IF($B1524="","",IFERROR(INDEX(직원목록!$B$3:$B$302,MATCH($B1524,직원목록!$A$3:$A$302,0)),"미등록사번"))</f>
        <v/>
      </c>
      <c r="D1524" s="9"/>
      <c r="E1524" s="15" t="str">
        <f aca="false">IF($D1524="","",IFERROR(INDEX(교육과정!$B$3:$B$102,MATCH($D1524,교육과정!$A$3:$A$102,0)),"미등록과정"))</f>
        <v/>
      </c>
      <c r="F1524" s="13"/>
      <c r="G1524" s="9"/>
      <c r="H1524" s="9"/>
    </row>
    <row r="1525" customFormat="false" ht="15" hidden="false" customHeight="true" outlineLevel="0" collapsed="false">
      <c r="A1525" s="11"/>
      <c r="B1525" s="9"/>
      <c r="C1525" s="15" t="str">
        <f aca="false">IF($B1525="","",IFERROR(INDEX(직원목록!$B$3:$B$302,MATCH($B1525,직원목록!$A$3:$A$302,0)),"미등록사번"))</f>
        <v/>
      </c>
      <c r="D1525" s="9"/>
      <c r="E1525" s="15" t="str">
        <f aca="false">IF($D1525="","",IFERROR(INDEX(교육과정!$B$3:$B$102,MATCH($D1525,교육과정!$A$3:$A$102,0)),"미등록과정"))</f>
        <v/>
      </c>
      <c r="F1525" s="13"/>
      <c r="G1525" s="9"/>
      <c r="H1525" s="9"/>
    </row>
    <row r="1526" customFormat="false" ht="15" hidden="false" customHeight="true" outlineLevel="0" collapsed="false">
      <c r="A1526" s="11"/>
      <c r="B1526" s="9"/>
      <c r="C1526" s="15" t="str">
        <f aca="false">IF($B1526="","",IFERROR(INDEX(직원목록!$B$3:$B$302,MATCH($B1526,직원목록!$A$3:$A$302,0)),"미등록사번"))</f>
        <v/>
      </c>
      <c r="D1526" s="9"/>
      <c r="E1526" s="15" t="str">
        <f aca="false">IF($D1526="","",IFERROR(INDEX(교육과정!$B$3:$B$102,MATCH($D1526,교육과정!$A$3:$A$102,0)),"미등록과정"))</f>
        <v/>
      </c>
      <c r="F1526" s="13"/>
      <c r="G1526" s="9"/>
      <c r="H1526" s="9"/>
    </row>
    <row r="1527" customFormat="false" ht="15" hidden="false" customHeight="true" outlineLevel="0" collapsed="false">
      <c r="A1527" s="11"/>
      <c r="B1527" s="9"/>
      <c r="C1527" s="15" t="str">
        <f aca="false">IF($B1527="","",IFERROR(INDEX(직원목록!$B$3:$B$302,MATCH($B1527,직원목록!$A$3:$A$302,0)),"미등록사번"))</f>
        <v/>
      </c>
      <c r="D1527" s="9"/>
      <c r="E1527" s="15" t="str">
        <f aca="false">IF($D1527="","",IFERROR(INDEX(교육과정!$B$3:$B$102,MATCH($D1527,교육과정!$A$3:$A$102,0)),"미등록과정"))</f>
        <v/>
      </c>
      <c r="F1527" s="13"/>
      <c r="G1527" s="9"/>
      <c r="H1527" s="9"/>
    </row>
    <row r="1528" customFormat="false" ht="15" hidden="false" customHeight="true" outlineLevel="0" collapsed="false">
      <c r="A1528" s="11"/>
      <c r="B1528" s="9"/>
      <c r="C1528" s="15" t="str">
        <f aca="false">IF($B1528="","",IFERROR(INDEX(직원목록!$B$3:$B$302,MATCH($B1528,직원목록!$A$3:$A$302,0)),"미등록사번"))</f>
        <v/>
      </c>
      <c r="D1528" s="9"/>
      <c r="E1528" s="15" t="str">
        <f aca="false">IF($D1528="","",IFERROR(INDEX(교육과정!$B$3:$B$102,MATCH($D1528,교육과정!$A$3:$A$102,0)),"미등록과정"))</f>
        <v/>
      </c>
      <c r="F1528" s="13"/>
      <c r="G1528" s="9"/>
      <c r="H1528" s="9"/>
    </row>
    <row r="1529" customFormat="false" ht="15" hidden="false" customHeight="true" outlineLevel="0" collapsed="false">
      <c r="A1529" s="11"/>
      <c r="B1529" s="9"/>
      <c r="C1529" s="15" t="str">
        <f aca="false">IF($B1529="","",IFERROR(INDEX(직원목록!$B$3:$B$302,MATCH($B1529,직원목록!$A$3:$A$302,0)),"미등록사번"))</f>
        <v/>
      </c>
      <c r="D1529" s="9"/>
      <c r="E1529" s="15" t="str">
        <f aca="false">IF($D1529="","",IFERROR(INDEX(교육과정!$B$3:$B$102,MATCH($D1529,교육과정!$A$3:$A$102,0)),"미등록과정"))</f>
        <v/>
      </c>
      <c r="F1529" s="13"/>
      <c r="G1529" s="9"/>
      <c r="H1529" s="9"/>
    </row>
    <row r="1530" customFormat="false" ht="15" hidden="false" customHeight="true" outlineLevel="0" collapsed="false">
      <c r="A1530" s="11"/>
      <c r="B1530" s="9"/>
      <c r="C1530" s="15" t="str">
        <f aca="false">IF($B1530="","",IFERROR(INDEX(직원목록!$B$3:$B$302,MATCH($B1530,직원목록!$A$3:$A$302,0)),"미등록사번"))</f>
        <v/>
      </c>
      <c r="D1530" s="9"/>
      <c r="E1530" s="15" t="str">
        <f aca="false">IF($D1530="","",IFERROR(INDEX(교육과정!$B$3:$B$102,MATCH($D1530,교육과정!$A$3:$A$102,0)),"미등록과정"))</f>
        <v/>
      </c>
      <c r="F1530" s="13"/>
      <c r="G1530" s="9"/>
      <c r="H1530" s="9"/>
    </row>
    <row r="1531" customFormat="false" ht="15" hidden="false" customHeight="true" outlineLevel="0" collapsed="false">
      <c r="A1531" s="11"/>
      <c r="B1531" s="9"/>
      <c r="C1531" s="15" t="str">
        <f aca="false">IF($B1531="","",IFERROR(INDEX(직원목록!$B$3:$B$302,MATCH($B1531,직원목록!$A$3:$A$302,0)),"미등록사번"))</f>
        <v/>
      </c>
      <c r="D1531" s="9"/>
      <c r="E1531" s="15" t="str">
        <f aca="false">IF($D1531="","",IFERROR(INDEX(교육과정!$B$3:$B$102,MATCH($D1531,교육과정!$A$3:$A$102,0)),"미등록과정"))</f>
        <v/>
      </c>
      <c r="F1531" s="13"/>
      <c r="G1531" s="9"/>
      <c r="H1531" s="9"/>
    </row>
    <row r="1532" customFormat="false" ht="15" hidden="false" customHeight="true" outlineLevel="0" collapsed="false">
      <c r="A1532" s="11"/>
      <c r="B1532" s="9"/>
      <c r="C1532" s="15" t="str">
        <f aca="false">IF($B1532="","",IFERROR(INDEX(직원목록!$B$3:$B$302,MATCH($B1532,직원목록!$A$3:$A$302,0)),"미등록사번"))</f>
        <v/>
      </c>
      <c r="D1532" s="9"/>
      <c r="E1532" s="15" t="str">
        <f aca="false">IF($D1532="","",IFERROR(INDEX(교육과정!$B$3:$B$102,MATCH($D1532,교육과정!$A$3:$A$102,0)),"미등록과정"))</f>
        <v/>
      </c>
      <c r="F1532" s="13"/>
      <c r="G1532" s="9"/>
      <c r="H1532" s="9"/>
    </row>
    <row r="1533" customFormat="false" ht="15" hidden="false" customHeight="true" outlineLevel="0" collapsed="false">
      <c r="A1533" s="11"/>
      <c r="B1533" s="9"/>
      <c r="C1533" s="15" t="str">
        <f aca="false">IF($B1533="","",IFERROR(INDEX(직원목록!$B$3:$B$302,MATCH($B1533,직원목록!$A$3:$A$302,0)),"미등록사번"))</f>
        <v/>
      </c>
      <c r="D1533" s="9"/>
      <c r="E1533" s="15" t="str">
        <f aca="false">IF($D1533="","",IFERROR(INDEX(교육과정!$B$3:$B$102,MATCH($D1533,교육과정!$A$3:$A$102,0)),"미등록과정"))</f>
        <v/>
      </c>
      <c r="F1533" s="13"/>
      <c r="G1533" s="9"/>
      <c r="H1533" s="9"/>
    </row>
    <row r="1534" customFormat="false" ht="15" hidden="false" customHeight="true" outlineLevel="0" collapsed="false">
      <c r="A1534" s="11"/>
      <c r="B1534" s="9"/>
      <c r="C1534" s="15" t="str">
        <f aca="false">IF($B1534="","",IFERROR(INDEX(직원목록!$B$3:$B$302,MATCH($B1534,직원목록!$A$3:$A$302,0)),"미등록사번"))</f>
        <v/>
      </c>
      <c r="D1534" s="9"/>
      <c r="E1534" s="15" t="str">
        <f aca="false">IF($D1534="","",IFERROR(INDEX(교육과정!$B$3:$B$102,MATCH($D1534,교육과정!$A$3:$A$102,0)),"미등록과정"))</f>
        <v/>
      </c>
      <c r="F1534" s="13"/>
      <c r="G1534" s="9"/>
      <c r="H1534" s="9"/>
    </row>
    <row r="1535" customFormat="false" ht="15" hidden="false" customHeight="true" outlineLevel="0" collapsed="false">
      <c r="A1535" s="11"/>
      <c r="B1535" s="9"/>
      <c r="C1535" s="15" t="str">
        <f aca="false">IF($B1535="","",IFERROR(INDEX(직원목록!$B$3:$B$302,MATCH($B1535,직원목록!$A$3:$A$302,0)),"미등록사번"))</f>
        <v/>
      </c>
      <c r="D1535" s="9"/>
      <c r="E1535" s="15" t="str">
        <f aca="false">IF($D1535="","",IFERROR(INDEX(교육과정!$B$3:$B$102,MATCH($D1535,교육과정!$A$3:$A$102,0)),"미등록과정"))</f>
        <v/>
      </c>
      <c r="F1535" s="13"/>
      <c r="G1535" s="9"/>
      <c r="H1535" s="9"/>
    </row>
    <row r="1536" customFormat="false" ht="15" hidden="false" customHeight="true" outlineLevel="0" collapsed="false">
      <c r="A1536" s="11"/>
      <c r="B1536" s="9"/>
      <c r="C1536" s="15" t="str">
        <f aca="false">IF($B1536="","",IFERROR(INDEX(직원목록!$B$3:$B$302,MATCH($B1536,직원목록!$A$3:$A$302,0)),"미등록사번"))</f>
        <v/>
      </c>
      <c r="D1536" s="9"/>
      <c r="E1536" s="15" t="str">
        <f aca="false">IF($D1536="","",IFERROR(INDEX(교육과정!$B$3:$B$102,MATCH($D1536,교육과정!$A$3:$A$102,0)),"미등록과정"))</f>
        <v/>
      </c>
      <c r="F1536" s="13"/>
      <c r="G1536" s="9"/>
      <c r="H1536" s="9"/>
    </row>
    <row r="1537" customFormat="false" ht="15" hidden="false" customHeight="true" outlineLevel="0" collapsed="false">
      <c r="A1537" s="11"/>
      <c r="B1537" s="9"/>
      <c r="C1537" s="15" t="str">
        <f aca="false">IF($B1537="","",IFERROR(INDEX(직원목록!$B$3:$B$302,MATCH($B1537,직원목록!$A$3:$A$302,0)),"미등록사번"))</f>
        <v/>
      </c>
      <c r="D1537" s="9"/>
      <c r="E1537" s="15" t="str">
        <f aca="false">IF($D1537="","",IFERROR(INDEX(교육과정!$B$3:$B$102,MATCH($D1537,교육과정!$A$3:$A$102,0)),"미등록과정"))</f>
        <v/>
      </c>
      <c r="F1537" s="13"/>
      <c r="G1537" s="9"/>
      <c r="H1537" s="9"/>
    </row>
    <row r="1538" customFormat="false" ht="15" hidden="false" customHeight="true" outlineLevel="0" collapsed="false">
      <c r="A1538" s="11"/>
      <c r="B1538" s="9"/>
      <c r="C1538" s="15" t="str">
        <f aca="false">IF($B1538="","",IFERROR(INDEX(직원목록!$B$3:$B$302,MATCH($B1538,직원목록!$A$3:$A$302,0)),"미등록사번"))</f>
        <v/>
      </c>
      <c r="D1538" s="9"/>
      <c r="E1538" s="15" t="str">
        <f aca="false">IF($D1538="","",IFERROR(INDEX(교육과정!$B$3:$B$102,MATCH($D1538,교육과정!$A$3:$A$102,0)),"미등록과정"))</f>
        <v/>
      </c>
      <c r="F1538" s="13"/>
      <c r="G1538" s="9"/>
      <c r="H1538" s="9"/>
    </row>
    <row r="1539" customFormat="false" ht="15" hidden="false" customHeight="true" outlineLevel="0" collapsed="false">
      <c r="A1539" s="11"/>
      <c r="B1539" s="9"/>
      <c r="C1539" s="15" t="str">
        <f aca="false">IF($B1539="","",IFERROR(INDEX(직원목록!$B$3:$B$302,MATCH($B1539,직원목록!$A$3:$A$302,0)),"미등록사번"))</f>
        <v/>
      </c>
      <c r="D1539" s="9"/>
      <c r="E1539" s="15" t="str">
        <f aca="false">IF($D1539="","",IFERROR(INDEX(교육과정!$B$3:$B$102,MATCH($D1539,교육과정!$A$3:$A$102,0)),"미등록과정"))</f>
        <v/>
      </c>
      <c r="F1539" s="13"/>
      <c r="G1539" s="9"/>
      <c r="H1539" s="9"/>
    </row>
    <row r="1540" customFormat="false" ht="15" hidden="false" customHeight="true" outlineLevel="0" collapsed="false">
      <c r="A1540" s="11"/>
      <c r="B1540" s="9"/>
      <c r="C1540" s="15" t="str">
        <f aca="false">IF($B1540="","",IFERROR(INDEX(직원목록!$B$3:$B$302,MATCH($B1540,직원목록!$A$3:$A$302,0)),"미등록사번"))</f>
        <v/>
      </c>
      <c r="D1540" s="9"/>
      <c r="E1540" s="15" t="str">
        <f aca="false">IF($D1540="","",IFERROR(INDEX(교육과정!$B$3:$B$102,MATCH($D1540,교육과정!$A$3:$A$102,0)),"미등록과정"))</f>
        <v/>
      </c>
      <c r="F1540" s="13"/>
      <c r="G1540" s="9"/>
      <c r="H1540" s="9"/>
    </row>
    <row r="1541" customFormat="false" ht="15" hidden="false" customHeight="true" outlineLevel="0" collapsed="false">
      <c r="A1541" s="11"/>
      <c r="B1541" s="9"/>
      <c r="C1541" s="15" t="str">
        <f aca="false">IF($B1541="","",IFERROR(INDEX(직원목록!$B$3:$B$302,MATCH($B1541,직원목록!$A$3:$A$302,0)),"미등록사번"))</f>
        <v/>
      </c>
      <c r="D1541" s="9"/>
      <c r="E1541" s="15" t="str">
        <f aca="false">IF($D1541="","",IFERROR(INDEX(교육과정!$B$3:$B$102,MATCH($D1541,교육과정!$A$3:$A$102,0)),"미등록과정"))</f>
        <v/>
      </c>
      <c r="F1541" s="13"/>
      <c r="G1541" s="9"/>
      <c r="H1541" s="9"/>
    </row>
    <row r="1542" customFormat="false" ht="15" hidden="false" customHeight="true" outlineLevel="0" collapsed="false">
      <c r="A1542" s="11"/>
      <c r="B1542" s="9"/>
      <c r="C1542" s="15" t="str">
        <f aca="false">IF($B1542="","",IFERROR(INDEX(직원목록!$B$3:$B$302,MATCH($B1542,직원목록!$A$3:$A$302,0)),"미등록사번"))</f>
        <v/>
      </c>
      <c r="D1542" s="9"/>
      <c r="E1542" s="15" t="str">
        <f aca="false">IF($D1542="","",IFERROR(INDEX(교육과정!$B$3:$B$102,MATCH($D1542,교육과정!$A$3:$A$102,0)),"미등록과정"))</f>
        <v/>
      </c>
      <c r="F1542" s="13"/>
      <c r="G1542" s="9"/>
      <c r="H1542" s="9"/>
    </row>
    <row r="1543" customFormat="false" ht="15" hidden="false" customHeight="true" outlineLevel="0" collapsed="false">
      <c r="A1543" s="11"/>
      <c r="B1543" s="9"/>
      <c r="C1543" s="15" t="str">
        <f aca="false">IF($B1543="","",IFERROR(INDEX(직원목록!$B$3:$B$302,MATCH($B1543,직원목록!$A$3:$A$302,0)),"미등록사번"))</f>
        <v/>
      </c>
      <c r="D1543" s="9"/>
      <c r="E1543" s="15" t="str">
        <f aca="false">IF($D1543="","",IFERROR(INDEX(교육과정!$B$3:$B$102,MATCH($D1543,교육과정!$A$3:$A$102,0)),"미등록과정"))</f>
        <v/>
      </c>
      <c r="F1543" s="13"/>
      <c r="G1543" s="9"/>
      <c r="H1543" s="9"/>
    </row>
    <row r="1544" customFormat="false" ht="15" hidden="false" customHeight="true" outlineLevel="0" collapsed="false">
      <c r="A1544" s="11"/>
      <c r="B1544" s="9"/>
      <c r="C1544" s="15" t="str">
        <f aca="false">IF($B1544="","",IFERROR(INDEX(직원목록!$B$3:$B$302,MATCH($B1544,직원목록!$A$3:$A$302,0)),"미등록사번"))</f>
        <v/>
      </c>
      <c r="D1544" s="9"/>
      <c r="E1544" s="15" t="str">
        <f aca="false">IF($D1544="","",IFERROR(INDEX(교육과정!$B$3:$B$102,MATCH($D1544,교육과정!$A$3:$A$102,0)),"미등록과정"))</f>
        <v/>
      </c>
      <c r="F1544" s="13"/>
      <c r="G1544" s="9"/>
      <c r="H1544" s="9"/>
    </row>
    <row r="1545" customFormat="false" ht="15" hidden="false" customHeight="true" outlineLevel="0" collapsed="false">
      <c r="A1545" s="11"/>
      <c r="B1545" s="9"/>
      <c r="C1545" s="15" t="str">
        <f aca="false">IF($B1545="","",IFERROR(INDEX(직원목록!$B$3:$B$302,MATCH($B1545,직원목록!$A$3:$A$302,0)),"미등록사번"))</f>
        <v/>
      </c>
      <c r="D1545" s="9"/>
      <c r="E1545" s="15" t="str">
        <f aca="false">IF($D1545="","",IFERROR(INDEX(교육과정!$B$3:$B$102,MATCH($D1545,교육과정!$A$3:$A$102,0)),"미등록과정"))</f>
        <v/>
      </c>
      <c r="F1545" s="13"/>
      <c r="G1545" s="9"/>
      <c r="H1545" s="9"/>
    </row>
    <row r="1546" customFormat="false" ht="15" hidden="false" customHeight="true" outlineLevel="0" collapsed="false">
      <c r="A1546" s="11"/>
      <c r="B1546" s="9"/>
      <c r="C1546" s="15" t="str">
        <f aca="false">IF($B1546="","",IFERROR(INDEX(직원목록!$B$3:$B$302,MATCH($B1546,직원목록!$A$3:$A$302,0)),"미등록사번"))</f>
        <v/>
      </c>
      <c r="D1546" s="9"/>
      <c r="E1546" s="15" t="str">
        <f aca="false">IF($D1546="","",IFERROR(INDEX(교육과정!$B$3:$B$102,MATCH($D1546,교육과정!$A$3:$A$102,0)),"미등록과정"))</f>
        <v/>
      </c>
      <c r="F1546" s="13"/>
      <c r="G1546" s="9"/>
      <c r="H1546" s="9"/>
    </row>
    <row r="1547" customFormat="false" ht="15" hidden="false" customHeight="true" outlineLevel="0" collapsed="false">
      <c r="A1547" s="11"/>
      <c r="B1547" s="9"/>
      <c r="C1547" s="15" t="str">
        <f aca="false">IF($B1547="","",IFERROR(INDEX(직원목록!$B$3:$B$302,MATCH($B1547,직원목록!$A$3:$A$302,0)),"미등록사번"))</f>
        <v/>
      </c>
      <c r="D1547" s="9"/>
      <c r="E1547" s="15" t="str">
        <f aca="false">IF($D1547="","",IFERROR(INDEX(교육과정!$B$3:$B$102,MATCH($D1547,교육과정!$A$3:$A$102,0)),"미등록과정"))</f>
        <v/>
      </c>
      <c r="F1547" s="13"/>
      <c r="G1547" s="9"/>
      <c r="H1547" s="9"/>
    </row>
    <row r="1548" customFormat="false" ht="15" hidden="false" customHeight="true" outlineLevel="0" collapsed="false">
      <c r="A1548" s="11"/>
      <c r="B1548" s="9"/>
      <c r="C1548" s="15" t="str">
        <f aca="false">IF($B1548="","",IFERROR(INDEX(직원목록!$B$3:$B$302,MATCH($B1548,직원목록!$A$3:$A$302,0)),"미등록사번"))</f>
        <v/>
      </c>
      <c r="D1548" s="9"/>
      <c r="E1548" s="15" t="str">
        <f aca="false">IF($D1548="","",IFERROR(INDEX(교육과정!$B$3:$B$102,MATCH($D1548,교육과정!$A$3:$A$102,0)),"미등록과정"))</f>
        <v/>
      </c>
      <c r="F1548" s="13"/>
      <c r="G1548" s="9"/>
      <c r="H1548" s="9"/>
    </row>
    <row r="1549" customFormat="false" ht="15" hidden="false" customHeight="true" outlineLevel="0" collapsed="false">
      <c r="A1549" s="11"/>
      <c r="B1549" s="9"/>
      <c r="C1549" s="15" t="str">
        <f aca="false">IF($B1549="","",IFERROR(INDEX(직원목록!$B$3:$B$302,MATCH($B1549,직원목록!$A$3:$A$302,0)),"미등록사번"))</f>
        <v/>
      </c>
      <c r="D1549" s="9"/>
      <c r="E1549" s="15" t="str">
        <f aca="false">IF($D1549="","",IFERROR(INDEX(교육과정!$B$3:$B$102,MATCH($D1549,교육과정!$A$3:$A$102,0)),"미등록과정"))</f>
        <v/>
      </c>
      <c r="F1549" s="13"/>
      <c r="G1549" s="9"/>
      <c r="H1549" s="9"/>
    </row>
    <row r="1550" customFormat="false" ht="15" hidden="false" customHeight="true" outlineLevel="0" collapsed="false">
      <c r="A1550" s="11"/>
      <c r="B1550" s="9"/>
      <c r="C1550" s="15" t="str">
        <f aca="false">IF($B1550="","",IFERROR(INDEX(직원목록!$B$3:$B$302,MATCH($B1550,직원목록!$A$3:$A$302,0)),"미등록사번"))</f>
        <v/>
      </c>
      <c r="D1550" s="9"/>
      <c r="E1550" s="15" t="str">
        <f aca="false">IF($D1550="","",IFERROR(INDEX(교육과정!$B$3:$B$102,MATCH($D1550,교육과정!$A$3:$A$102,0)),"미등록과정"))</f>
        <v/>
      </c>
      <c r="F1550" s="13"/>
      <c r="G1550" s="9"/>
      <c r="H1550" s="9"/>
    </row>
    <row r="1551" customFormat="false" ht="15" hidden="false" customHeight="true" outlineLevel="0" collapsed="false">
      <c r="A1551" s="11"/>
      <c r="B1551" s="9"/>
      <c r="C1551" s="15" t="str">
        <f aca="false">IF($B1551="","",IFERROR(INDEX(직원목록!$B$3:$B$302,MATCH($B1551,직원목록!$A$3:$A$302,0)),"미등록사번"))</f>
        <v/>
      </c>
      <c r="D1551" s="9"/>
      <c r="E1551" s="15" t="str">
        <f aca="false">IF($D1551="","",IFERROR(INDEX(교육과정!$B$3:$B$102,MATCH($D1551,교육과정!$A$3:$A$102,0)),"미등록과정"))</f>
        <v/>
      </c>
      <c r="F1551" s="13"/>
      <c r="G1551" s="9"/>
      <c r="H1551" s="9"/>
    </row>
    <row r="1552" customFormat="false" ht="15" hidden="false" customHeight="true" outlineLevel="0" collapsed="false">
      <c r="A1552" s="11"/>
      <c r="B1552" s="9"/>
      <c r="C1552" s="15" t="str">
        <f aca="false">IF($B1552="","",IFERROR(INDEX(직원목록!$B$3:$B$302,MATCH($B1552,직원목록!$A$3:$A$302,0)),"미등록사번"))</f>
        <v/>
      </c>
      <c r="D1552" s="9"/>
      <c r="E1552" s="15" t="str">
        <f aca="false">IF($D1552="","",IFERROR(INDEX(교육과정!$B$3:$B$102,MATCH($D1552,교육과정!$A$3:$A$102,0)),"미등록과정"))</f>
        <v/>
      </c>
      <c r="F1552" s="13"/>
      <c r="G1552" s="9"/>
      <c r="H1552" s="9"/>
    </row>
    <row r="1553" customFormat="false" ht="15" hidden="false" customHeight="true" outlineLevel="0" collapsed="false">
      <c r="A1553" s="11"/>
      <c r="B1553" s="9"/>
      <c r="C1553" s="15" t="str">
        <f aca="false">IF($B1553="","",IFERROR(INDEX(직원목록!$B$3:$B$302,MATCH($B1553,직원목록!$A$3:$A$302,0)),"미등록사번"))</f>
        <v/>
      </c>
      <c r="D1553" s="9"/>
      <c r="E1553" s="15" t="str">
        <f aca="false">IF($D1553="","",IFERROR(INDEX(교육과정!$B$3:$B$102,MATCH($D1553,교육과정!$A$3:$A$102,0)),"미등록과정"))</f>
        <v/>
      </c>
      <c r="F1553" s="13"/>
      <c r="G1553" s="9"/>
      <c r="H1553" s="9"/>
    </row>
    <row r="1554" customFormat="false" ht="15" hidden="false" customHeight="true" outlineLevel="0" collapsed="false">
      <c r="A1554" s="11"/>
      <c r="B1554" s="9"/>
      <c r="C1554" s="15" t="str">
        <f aca="false">IF($B1554="","",IFERROR(INDEX(직원목록!$B$3:$B$302,MATCH($B1554,직원목록!$A$3:$A$302,0)),"미등록사번"))</f>
        <v/>
      </c>
      <c r="D1554" s="9"/>
      <c r="E1554" s="15" t="str">
        <f aca="false">IF($D1554="","",IFERROR(INDEX(교육과정!$B$3:$B$102,MATCH($D1554,교육과정!$A$3:$A$102,0)),"미등록과정"))</f>
        <v/>
      </c>
      <c r="F1554" s="13"/>
      <c r="G1554" s="9"/>
      <c r="H1554" s="9"/>
    </row>
    <row r="1555" customFormat="false" ht="15" hidden="false" customHeight="true" outlineLevel="0" collapsed="false">
      <c r="A1555" s="11"/>
      <c r="B1555" s="9"/>
      <c r="C1555" s="15" t="str">
        <f aca="false">IF($B1555="","",IFERROR(INDEX(직원목록!$B$3:$B$302,MATCH($B1555,직원목록!$A$3:$A$302,0)),"미등록사번"))</f>
        <v/>
      </c>
      <c r="D1555" s="9"/>
      <c r="E1555" s="15" t="str">
        <f aca="false">IF($D1555="","",IFERROR(INDEX(교육과정!$B$3:$B$102,MATCH($D1555,교육과정!$A$3:$A$102,0)),"미등록과정"))</f>
        <v/>
      </c>
      <c r="F1555" s="13"/>
      <c r="G1555" s="9"/>
      <c r="H1555" s="9"/>
    </row>
    <row r="1556" customFormat="false" ht="15" hidden="false" customHeight="true" outlineLevel="0" collapsed="false">
      <c r="A1556" s="11"/>
      <c r="B1556" s="9"/>
      <c r="C1556" s="15" t="str">
        <f aca="false">IF($B1556="","",IFERROR(INDEX(직원목록!$B$3:$B$302,MATCH($B1556,직원목록!$A$3:$A$302,0)),"미등록사번"))</f>
        <v/>
      </c>
      <c r="D1556" s="9"/>
      <c r="E1556" s="15" t="str">
        <f aca="false">IF($D1556="","",IFERROR(INDEX(교육과정!$B$3:$B$102,MATCH($D1556,교육과정!$A$3:$A$102,0)),"미등록과정"))</f>
        <v/>
      </c>
      <c r="F1556" s="13"/>
      <c r="G1556" s="9"/>
      <c r="H1556" s="9"/>
    </row>
    <row r="1557" customFormat="false" ht="15" hidden="false" customHeight="true" outlineLevel="0" collapsed="false">
      <c r="A1557" s="11"/>
      <c r="B1557" s="9"/>
      <c r="C1557" s="15" t="str">
        <f aca="false">IF($B1557="","",IFERROR(INDEX(직원목록!$B$3:$B$302,MATCH($B1557,직원목록!$A$3:$A$302,0)),"미등록사번"))</f>
        <v/>
      </c>
      <c r="D1557" s="9"/>
      <c r="E1557" s="15" t="str">
        <f aca="false">IF($D1557="","",IFERROR(INDEX(교육과정!$B$3:$B$102,MATCH($D1557,교육과정!$A$3:$A$102,0)),"미등록과정"))</f>
        <v/>
      </c>
      <c r="F1557" s="13"/>
      <c r="G1557" s="9"/>
      <c r="H1557" s="9"/>
    </row>
    <row r="1558" customFormat="false" ht="15" hidden="false" customHeight="true" outlineLevel="0" collapsed="false">
      <c r="A1558" s="11"/>
      <c r="B1558" s="9"/>
      <c r="C1558" s="15" t="str">
        <f aca="false">IF($B1558="","",IFERROR(INDEX(직원목록!$B$3:$B$302,MATCH($B1558,직원목록!$A$3:$A$302,0)),"미등록사번"))</f>
        <v/>
      </c>
      <c r="D1558" s="9"/>
      <c r="E1558" s="15" t="str">
        <f aca="false">IF($D1558="","",IFERROR(INDEX(교육과정!$B$3:$B$102,MATCH($D1558,교육과정!$A$3:$A$102,0)),"미등록과정"))</f>
        <v/>
      </c>
      <c r="F1558" s="13"/>
      <c r="G1558" s="9"/>
      <c r="H1558" s="9"/>
    </row>
    <row r="1559" customFormat="false" ht="15" hidden="false" customHeight="true" outlineLevel="0" collapsed="false">
      <c r="A1559" s="11"/>
      <c r="B1559" s="9"/>
      <c r="C1559" s="15" t="str">
        <f aca="false">IF($B1559="","",IFERROR(INDEX(직원목록!$B$3:$B$302,MATCH($B1559,직원목록!$A$3:$A$302,0)),"미등록사번"))</f>
        <v/>
      </c>
      <c r="D1559" s="9"/>
      <c r="E1559" s="15" t="str">
        <f aca="false">IF($D1559="","",IFERROR(INDEX(교육과정!$B$3:$B$102,MATCH($D1559,교육과정!$A$3:$A$102,0)),"미등록과정"))</f>
        <v/>
      </c>
      <c r="F1559" s="13"/>
      <c r="G1559" s="9"/>
      <c r="H1559" s="9"/>
    </row>
    <row r="1560" customFormat="false" ht="15" hidden="false" customHeight="true" outlineLevel="0" collapsed="false">
      <c r="A1560" s="11"/>
      <c r="B1560" s="9"/>
      <c r="C1560" s="15" t="str">
        <f aca="false">IF($B1560="","",IFERROR(INDEX(직원목록!$B$3:$B$302,MATCH($B1560,직원목록!$A$3:$A$302,0)),"미등록사번"))</f>
        <v/>
      </c>
      <c r="D1560" s="9"/>
      <c r="E1560" s="15" t="str">
        <f aca="false">IF($D1560="","",IFERROR(INDEX(교육과정!$B$3:$B$102,MATCH($D1560,교육과정!$A$3:$A$102,0)),"미등록과정"))</f>
        <v/>
      </c>
      <c r="F1560" s="13"/>
      <c r="G1560" s="9"/>
      <c r="H1560" s="9"/>
    </row>
    <row r="1561" customFormat="false" ht="15" hidden="false" customHeight="true" outlineLevel="0" collapsed="false">
      <c r="A1561" s="11"/>
      <c r="B1561" s="9"/>
      <c r="C1561" s="15" t="str">
        <f aca="false">IF($B1561="","",IFERROR(INDEX(직원목록!$B$3:$B$302,MATCH($B1561,직원목록!$A$3:$A$302,0)),"미등록사번"))</f>
        <v/>
      </c>
      <c r="D1561" s="9"/>
      <c r="E1561" s="15" t="str">
        <f aca="false">IF($D1561="","",IFERROR(INDEX(교육과정!$B$3:$B$102,MATCH($D1561,교육과정!$A$3:$A$102,0)),"미등록과정"))</f>
        <v/>
      </c>
      <c r="F1561" s="13"/>
      <c r="G1561" s="9"/>
      <c r="H1561" s="9"/>
    </row>
    <row r="1562" customFormat="false" ht="15" hidden="false" customHeight="true" outlineLevel="0" collapsed="false">
      <c r="A1562" s="11"/>
      <c r="B1562" s="9"/>
      <c r="C1562" s="15" t="str">
        <f aca="false">IF($B1562="","",IFERROR(INDEX(직원목록!$B$3:$B$302,MATCH($B1562,직원목록!$A$3:$A$302,0)),"미등록사번"))</f>
        <v/>
      </c>
      <c r="D1562" s="9"/>
      <c r="E1562" s="15" t="str">
        <f aca="false">IF($D1562="","",IFERROR(INDEX(교육과정!$B$3:$B$102,MATCH($D1562,교육과정!$A$3:$A$102,0)),"미등록과정"))</f>
        <v/>
      </c>
      <c r="F1562" s="13"/>
      <c r="G1562" s="9"/>
      <c r="H1562" s="9"/>
    </row>
    <row r="1563" customFormat="false" ht="15" hidden="false" customHeight="true" outlineLevel="0" collapsed="false">
      <c r="A1563" s="11"/>
      <c r="B1563" s="9"/>
      <c r="C1563" s="15" t="str">
        <f aca="false">IF($B1563="","",IFERROR(INDEX(직원목록!$B$3:$B$302,MATCH($B1563,직원목록!$A$3:$A$302,0)),"미등록사번"))</f>
        <v/>
      </c>
      <c r="D1563" s="9"/>
      <c r="E1563" s="15" t="str">
        <f aca="false">IF($D1563="","",IFERROR(INDEX(교육과정!$B$3:$B$102,MATCH($D1563,교육과정!$A$3:$A$102,0)),"미등록과정"))</f>
        <v/>
      </c>
      <c r="F1563" s="13"/>
      <c r="G1563" s="9"/>
      <c r="H1563" s="9"/>
    </row>
    <row r="1564" customFormat="false" ht="15" hidden="false" customHeight="true" outlineLevel="0" collapsed="false">
      <c r="A1564" s="11"/>
      <c r="B1564" s="9"/>
      <c r="C1564" s="15" t="str">
        <f aca="false">IF($B1564="","",IFERROR(INDEX(직원목록!$B$3:$B$302,MATCH($B1564,직원목록!$A$3:$A$302,0)),"미등록사번"))</f>
        <v/>
      </c>
      <c r="D1564" s="9"/>
      <c r="E1564" s="15" t="str">
        <f aca="false">IF($D1564="","",IFERROR(INDEX(교육과정!$B$3:$B$102,MATCH($D1564,교육과정!$A$3:$A$102,0)),"미등록과정"))</f>
        <v/>
      </c>
      <c r="F1564" s="13"/>
      <c r="G1564" s="9"/>
      <c r="H1564" s="9"/>
    </row>
    <row r="1565" customFormat="false" ht="15" hidden="false" customHeight="true" outlineLevel="0" collapsed="false">
      <c r="A1565" s="11"/>
      <c r="B1565" s="9"/>
      <c r="C1565" s="15" t="str">
        <f aca="false">IF($B1565="","",IFERROR(INDEX(직원목록!$B$3:$B$302,MATCH($B1565,직원목록!$A$3:$A$302,0)),"미등록사번"))</f>
        <v/>
      </c>
      <c r="D1565" s="9"/>
      <c r="E1565" s="15" t="str">
        <f aca="false">IF($D1565="","",IFERROR(INDEX(교육과정!$B$3:$B$102,MATCH($D1565,교육과정!$A$3:$A$102,0)),"미등록과정"))</f>
        <v/>
      </c>
      <c r="F1565" s="13"/>
      <c r="G1565" s="9"/>
      <c r="H1565" s="9"/>
    </row>
    <row r="1566" customFormat="false" ht="15" hidden="false" customHeight="true" outlineLevel="0" collapsed="false">
      <c r="A1566" s="11"/>
      <c r="B1566" s="9"/>
      <c r="C1566" s="15" t="str">
        <f aca="false">IF($B1566="","",IFERROR(INDEX(직원목록!$B$3:$B$302,MATCH($B1566,직원목록!$A$3:$A$302,0)),"미등록사번"))</f>
        <v/>
      </c>
      <c r="D1566" s="9"/>
      <c r="E1566" s="15" t="str">
        <f aca="false">IF($D1566="","",IFERROR(INDEX(교육과정!$B$3:$B$102,MATCH($D1566,교육과정!$A$3:$A$102,0)),"미등록과정"))</f>
        <v/>
      </c>
      <c r="F1566" s="13"/>
      <c r="G1566" s="9"/>
      <c r="H1566" s="9"/>
    </row>
    <row r="1567" customFormat="false" ht="15" hidden="false" customHeight="true" outlineLevel="0" collapsed="false">
      <c r="A1567" s="11"/>
      <c r="B1567" s="9"/>
      <c r="C1567" s="15" t="str">
        <f aca="false">IF($B1567="","",IFERROR(INDEX(직원목록!$B$3:$B$302,MATCH($B1567,직원목록!$A$3:$A$302,0)),"미등록사번"))</f>
        <v/>
      </c>
      <c r="D1567" s="9"/>
      <c r="E1567" s="15" t="str">
        <f aca="false">IF($D1567="","",IFERROR(INDEX(교육과정!$B$3:$B$102,MATCH($D1567,교육과정!$A$3:$A$102,0)),"미등록과정"))</f>
        <v/>
      </c>
      <c r="F1567" s="13"/>
      <c r="G1567" s="9"/>
      <c r="H1567" s="9"/>
    </row>
    <row r="1568" customFormat="false" ht="15" hidden="false" customHeight="true" outlineLevel="0" collapsed="false">
      <c r="A1568" s="11"/>
      <c r="B1568" s="9"/>
      <c r="C1568" s="15" t="str">
        <f aca="false">IF($B1568="","",IFERROR(INDEX(직원목록!$B$3:$B$302,MATCH($B1568,직원목록!$A$3:$A$302,0)),"미등록사번"))</f>
        <v/>
      </c>
      <c r="D1568" s="9"/>
      <c r="E1568" s="15" t="str">
        <f aca="false">IF($D1568="","",IFERROR(INDEX(교육과정!$B$3:$B$102,MATCH($D1568,교육과정!$A$3:$A$102,0)),"미등록과정"))</f>
        <v/>
      </c>
      <c r="F1568" s="13"/>
      <c r="G1568" s="9"/>
      <c r="H1568" s="9"/>
    </row>
    <row r="1569" customFormat="false" ht="15" hidden="false" customHeight="true" outlineLevel="0" collapsed="false">
      <c r="A1569" s="11"/>
      <c r="B1569" s="9"/>
      <c r="C1569" s="15" t="str">
        <f aca="false">IF($B1569="","",IFERROR(INDEX(직원목록!$B$3:$B$302,MATCH($B1569,직원목록!$A$3:$A$302,0)),"미등록사번"))</f>
        <v/>
      </c>
      <c r="D1569" s="9"/>
      <c r="E1569" s="15" t="str">
        <f aca="false">IF($D1569="","",IFERROR(INDEX(교육과정!$B$3:$B$102,MATCH($D1569,교육과정!$A$3:$A$102,0)),"미등록과정"))</f>
        <v/>
      </c>
      <c r="F1569" s="13"/>
      <c r="G1569" s="9"/>
      <c r="H1569" s="9"/>
    </row>
    <row r="1570" customFormat="false" ht="15" hidden="false" customHeight="true" outlineLevel="0" collapsed="false">
      <c r="A1570" s="11"/>
      <c r="B1570" s="9"/>
      <c r="C1570" s="15" t="str">
        <f aca="false">IF($B1570="","",IFERROR(INDEX(직원목록!$B$3:$B$302,MATCH($B1570,직원목록!$A$3:$A$302,0)),"미등록사번"))</f>
        <v/>
      </c>
      <c r="D1570" s="9"/>
      <c r="E1570" s="15" t="str">
        <f aca="false">IF($D1570="","",IFERROR(INDEX(교육과정!$B$3:$B$102,MATCH($D1570,교육과정!$A$3:$A$102,0)),"미등록과정"))</f>
        <v/>
      </c>
      <c r="F1570" s="13"/>
      <c r="G1570" s="9"/>
      <c r="H1570" s="9"/>
    </row>
    <row r="1571" customFormat="false" ht="15" hidden="false" customHeight="true" outlineLevel="0" collapsed="false">
      <c r="A1571" s="11"/>
      <c r="B1571" s="9"/>
      <c r="C1571" s="15" t="str">
        <f aca="false">IF($B1571="","",IFERROR(INDEX(직원목록!$B$3:$B$302,MATCH($B1571,직원목록!$A$3:$A$302,0)),"미등록사번"))</f>
        <v/>
      </c>
      <c r="D1571" s="9"/>
      <c r="E1571" s="15" t="str">
        <f aca="false">IF($D1571="","",IFERROR(INDEX(교육과정!$B$3:$B$102,MATCH($D1571,교육과정!$A$3:$A$102,0)),"미등록과정"))</f>
        <v/>
      </c>
      <c r="F1571" s="13"/>
      <c r="G1571" s="9"/>
      <c r="H1571" s="9"/>
    </row>
    <row r="1572" customFormat="false" ht="15" hidden="false" customHeight="true" outlineLevel="0" collapsed="false">
      <c r="A1572" s="11"/>
      <c r="B1572" s="9"/>
      <c r="C1572" s="15" t="str">
        <f aca="false">IF($B1572="","",IFERROR(INDEX(직원목록!$B$3:$B$302,MATCH($B1572,직원목록!$A$3:$A$302,0)),"미등록사번"))</f>
        <v/>
      </c>
      <c r="D1572" s="9"/>
      <c r="E1572" s="15" t="str">
        <f aca="false">IF($D1572="","",IFERROR(INDEX(교육과정!$B$3:$B$102,MATCH($D1572,교육과정!$A$3:$A$102,0)),"미등록과정"))</f>
        <v/>
      </c>
      <c r="F1572" s="13"/>
      <c r="G1572" s="9"/>
      <c r="H1572" s="9"/>
    </row>
    <row r="1573" customFormat="false" ht="15" hidden="false" customHeight="true" outlineLevel="0" collapsed="false">
      <c r="A1573" s="11"/>
      <c r="B1573" s="9"/>
      <c r="C1573" s="15" t="str">
        <f aca="false">IF($B1573="","",IFERROR(INDEX(직원목록!$B$3:$B$302,MATCH($B1573,직원목록!$A$3:$A$302,0)),"미등록사번"))</f>
        <v/>
      </c>
      <c r="D1573" s="9"/>
      <c r="E1573" s="15" t="str">
        <f aca="false">IF($D1573="","",IFERROR(INDEX(교육과정!$B$3:$B$102,MATCH($D1573,교육과정!$A$3:$A$102,0)),"미등록과정"))</f>
        <v/>
      </c>
      <c r="F1573" s="13"/>
      <c r="G1573" s="9"/>
      <c r="H1573" s="9"/>
    </row>
    <row r="1574" customFormat="false" ht="15" hidden="false" customHeight="true" outlineLevel="0" collapsed="false">
      <c r="A1574" s="11"/>
      <c r="B1574" s="9"/>
      <c r="C1574" s="15" t="str">
        <f aca="false">IF($B1574="","",IFERROR(INDEX(직원목록!$B$3:$B$302,MATCH($B1574,직원목록!$A$3:$A$302,0)),"미등록사번"))</f>
        <v/>
      </c>
      <c r="D1574" s="9"/>
      <c r="E1574" s="15" t="str">
        <f aca="false">IF($D1574="","",IFERROR(INDEX(교육과정!$B$3:$B$102,MATCH($D1574,교육과정!$A$3:$A$102,0)),"미등록과정"))</f>
        <v/>
      </c>
      <c r="F1574" s="13"/>
      <c r="G1574" s="9"/>
      <c r="H1574" s="9"/>
    </row>
    <row r="1575" customFormat="false" ht="15" hidden="false" customHeight="true" outlineLevel="0" collapsed="false">
      <c r="A1575" s="11"/>
      <c r="B1575" s="9"/>
      <c r="C1575" s="15" t="str">
        <f aca="false">IF($B1575="","",IFERROR(INDEX(직원목록!$B$3:$B$302,MATCH($B1575,직원목록!$A$3:$A$302,0)),"미등록사번"))</f>
        <v/>
      </c>
      <c r="D1575" s="9"/>
      <c r="E1575" s="15" t="str">
        <f aca="false">IF($D1575="","",IFERROR(INDEX(교육과정!$B$3:$B$102,MATCH($D1575,교육과정!$A$3:$A$102,0)),"미등록과정"))</f>
        <v/>
      </c>
      <c r="F1575" s="13"/>
      <c r="G1575" s="9"/>
      <c r="H1575" s="9"/>
    </row>
    <row r="1576" customFormat="false" ht="15" hidden="false" customHeight="true" outlineLevel="0" collapsed="false">
      <c r="A1576" s="11"/>
      <c r="B1576" s="9"/>
      <c r="C1576" s="15" t="str">
        <f aca="false">IF($B1576="","",IFERROR(INDEX(직원목록!$B$3:$B$302,MATCH($B1576,직원목록!$A$3:$A$302,0)),"미등록사번"))</f>
        <v/>
      </c>
      <c r="D1576" s="9"/>
      <c r="E1576" s="15" t="str">
        <f aca="false">IF($D1576="","",IFERROR(INDEX(교육과정!$B$3:$B$102,MATCH($D1576,교육과정!$A$3:$A$102,0)),"미등록과정"))</f>
        <v/>
      </c>
      <c r="F1576" s="13"/>
      <c r="G1576" s="9"/>
      <c r="H1576" s="9"/>
    </row>
    <row r="1577" customFormat="false" ht="15" hidden="false" customHeight="true" outlineLevel="0" collapsed="false">
      <c r="A1577" s="11"/>
      <c r="B1577" s="9"/>
      <c r="C1577" s="15" t="str">
        <f aca="false">IF($B1577="","",IFERROR(INDEX(직원목록!$B$3:$B$302,MATCH($B1577,직원목록!$A$3:$A$302,0)),"미등록사번"))</f>
        <v/>
      </c>
      <c r="D1577" s="9"/>
      <c r="E1577" s="15" t="str">
        <f aca="false">IF($D1577="","",IFERROR(INDEX(교육과정!$B$3:$B$102,MATCH($D1577,교육과정!$A$3:$A$102,0)),"미등록과정"))</f>
        <v/>
      </c>
      <c r="F1577" s="13"/>
      <c r="G1577" s="9"/>
      <c r="H1577" s="9"/>
    </row>
    <row r="1578" customFormat="false" ht="15" hidden="false" customHeight="true" outlineLevel="0" collapsed="false">
      <c r="A1578" s="11"/>
      <c r="B1578" s="9"/>
      <c r="C1578" s="15" t="str">
        <f aca="false">IF($B1578="","",IFERROR(INDEX(직원목록!$B$3:$B$302,MATCH($B1578,직원목록!$A$3:$A$302,0)),"미등록사번"))</f>
        <v/>
      </c>
      <c r="D1578" s="9"/>
      <c r="E1578" s="15" t="str">
        <f aca="false">IF($D1578="","",IFERROR(INDEX(교육과정!$B$3:$B$102,MATCH($D1578,교육과정!$A$3:$A$102,0)),"미등록과정"))</f>
        <v/>
      </c>
      <c r="F1578" s="13"/>
      <c r="G1578" s="9"/>
      <c r="H1578" s="9"/>
    </row>
    <row r="1579" customFormat="false" ht="15" hidden="false" customHeight="true" outlineLevel="0" collapsed="false">
      <c r="A1579" s="11"/>
      <c r="B1579" s="9"/>
      <c r="C1579" s="15" t="str">
        <f aca="false">IF($B1579="","",IFERROR(INDEX(직원목록!$B$3:$B$302,MATCH($B1579,직원목록!$A$3:$A$302,0)),"미등록사번"))</f>
        <v/>
      </c>
      <c r="D1579" s="9"/>
      <c r="E1579" s="15" t="str">
        <f aca="false">IF($D1579="","",IFERROR(INDEX(교육과정!$B$3:$B$102,MATCH($D1579,교육과정!$A$3:$A$102,0)),"미등록과정"))</f>
        <v/>
      </c>
      <c r="F1579" s="13"/>
      <c r="G1579" s="9"/>
      <c r="H1579" s="9"/>
    </row>
    <row r="1580" customFormat="false" ht="15" hidden="false" customHeight="true" outlineLevel="0" collapsed="false">
      <c r="A1580" s="11"/>
      <c r="B1580" s="9"/>
      <c r="C1580" s="15" t="str">
        <f aca="false">IF($B1580="","",IFERROR(INDEX(직원목록!$B$3:$B$302,MATCH($B1580,직원목록!$A$3:$A$302,0)),"미등록사번"))</f>
        <v/>
      </c>
      <c r="D1580" s="9"/>
      <c r="E1580" s="15" t="str">
        <f aca="false">IF($D1580="","",IFERROR(INDEX(교육과정!$B$3:$B$102,MATCH($D1580,교육과정!$A$3:$A$102,0)),"미등록과정"))</f>
        <v/>
      </c>
      <c r="F1580" s="13"/>
      <c r="G1580" s="9"/>
      <c r="H1580" s="9"/>
    </row>
    <row r="1581" customFormat="false" ht="15" hidden="false" customHeight="true" outlineLevel="0" collapsed="false">
      <c r="A1581" s="11"/>
      <c r="B1581" s="9"/>
      <c r="C1581" s="15" t="str">
        <f aca="false">IF($B1581="","",IFERROR(INDEX(직원목록!$B$3:$B$302,MATCH($B1581,직원목록!$A$3:$A$302,0)),"미등록사번"))</f>
        <v/>
      </c>
      <c r="D1581" s="9"/>
      <c r="E1581" s="15" t="str">
        <f aca="false">IF($D1581="","",IFERROR(INDEX(교육과정!$B$3:$B$102,MATCH($D1581,교육과정!$A$3:$A$102,0)),"미등록과정"))</f>
        <v/>
      </c>
      <c r="F1581" s="13"/>
      <c r="G1581" s="9"/>
      <c r="H1581" s="9"/>
    </row>
    <row r="1582" customFormat="false" ht="15" hidden="false" customHeight="true" outlineLevel="0" collapsed="false">
      <c r="A1582" s="11"/>
      <c r="B1582" s="9"/>
      <c r="C1582" s="15" t="str">
        <f aca="false">IF($B1582="","",IFERROR(INDEX(직원목록!$B$3:$B$302,MATCH($B1582,직원목록!$A$3:$A$302,0)),"미등록사번"))</f>
        <v/>
      </c>
      <c r="D1582" s="9"/>
      <c r="E1582" s="15" t="str">
        <f aca="false">IF($D1582="","",IFERROR(INDEX(교육과정!$B$3:$B$102,MATCH($D1582,교육과정!$A$3:$A$102,0)),"미등록과정"))</f>
        <v/>
      </c>
      <c r="F1582" s="13"/>
      <c r="G1582" s="9"/>
      <c r="H1582" s="9"/>
    </row>
    <row r="1583" customFormat="false" ht="15" hidden="false" customHeight="true" outlineLevel="0" collapsed="false">
      <c r="A1583" s="11"/>
      <c r="B1583" s="9"/>
      <c r="C1583" s="15" t="str">
        <f aca="false">IF($B1583="","",IFERROR(INDEX(직원목록!$B$3:$B$302,MATCH($B1583,직원목록!$A$3:$A$302,0)),"미등록사번"))</f>
        <v/>
      </c>
      <c r="D1583" s="9"/>
      <c r="E1583" s="15" t="str">
        <f aca="false">IF($D1583="","",IFERROR(INDEX(교육과정!$B$3:$B$102,MATCH($D1583,교육과정!$A$3:$A$102,0)),"미등록과정"))</f>
        <v/>
      </c>
      <c r="F1583" s="13"/>
      <c r="G1583" s="9"/>
      <c r="H1583" s="9"/>
    </row>
    <row r="1584" customFormat="false" ht="15" hidden="false" customHeight="true" outlineLevel="0" collapsed="false">
      <c r="A1584" s="11"/>
      <c r="B1584" s="9"/>
      <c r="C1584" s="15" t="str">
        <f aca="false">IF($B1584="","",IFERROR(INDEX(직원목록!$B$3:$B$302,MATCH($B1584,직원목록!$A$3:$A$302,0)),"미등록사번"))</f>
        <v/>
      </c>
      <c r="D1584" s="9"/>
      <c r="E1584" s="15" t="str">
        <f aca="false">IF($D1584="","",IFERROR(INDEX(교육과정!$B$3:$B$102,MATCH($D1584,교육과정!$A$3:$A$102,0)),"미등록과정"))</f>
        <v/>
      </c>
      <c r="F1584" s="13"/>
      <c r="G1584" s="9"/>
      <c r="H1584" s="9"/>
    </row>
    <row r="1585" customFormat="false" ht="15" hidden="false" customHeight="true" outlineLevel="0" collapsed="false">
      <c r="A1585" s="11"/>
      <c r="B1585" s="9"/>
      <c r="C1585" s="15" t="str">
        <f aca="false">IF($B1585="","",IFERROR(INDEX(직원목록!$B$3:$B$302,MATCH($B1585,직원목록!$A$3:$A$302,0)),"미등록사번"))</f>
        <v/>
      </c>
      <c r="D1585" s="9"/>
      <c r="E1585" s="15" t="str">
        <f aca="false">IF($D1585="","",IFERROR(INDEX(교육과정!$B$3:$B$102,MATCH($D1585,교육과정!$A$3:$A$102,0)),"미등록과정"))</f>
        <v/>
      </c>
      <c r="F1585" s="13"/>
      <c r="G1585" s="9"/>
      <c r="H1585" s="9"/>
    </row>
    <row r="1586" customFormat="false" ht="15" hidden="false" customHeight="true" outlineLevel="0" collapsed="false">
      <c r="A1586" s="11"/>
      <c r="B1586" s="9"/>
      <c r="C1586" s="15" t="str">
        <f aca="false">IF($B1586="","",IFERROR(INDEX(직원목록!$B$3:$B$302,MATCH($B1586,직원목록!$A$3:$A$302,0)),"미등록사번"))</f>
        <v/>
      </c>
      <c r="D1586" s="9"/>
      <c r="E1586" s="15" t="str">
        <f aca="false">IF($D1586="","",IFERROR(INDEX(교육과정!$B$3:$B$102,MATCH($D1586,교육과정!$A$3:$A$102,0)),"미등록과정"))</f>
        <v/>
      </c>
      <c r="F1586" s="13"/>
      <c r="G1586" s="9"/>
      <c r="H1586" s="9"/>
    </row>
    <row r="1587" customFormat="false" ht="15" hidden="false" customHeight="true" outlineLevel="0" collapsed="false">
      <c r="A1587" s="11"/>
      <c r="B1587" s="9"/>
      <c r="C1587" s="15" t="str">
        <f aca="false">IF($B1587="","",IFERROR(INDEX(직원목록!$B$3:$B$302,MATCH($B1587,직원목록!$A$3:$A$302,0)),"미등록사번"))</f>
        <v/>
      </c>
      <c r="D1587" s="9"/>
      <c r="E1587" s="15" t="str">
        <f aca="false">IF($D1587="","",IFERROR(INDEX(교육과정!$B$3:$B$102,MATCH($D1587,교육과정!$A$3:$A$102,0)),"미등록과정"))</f>
        <v/>
      </c>
      <c r="F1587" s="13"/>
      <c r="G1587" s="9"/>
      <c r="H1587" s="9"/>
    </row>
    <row r="1588" customFormat="false" ht="15" hidden="false" customHeight="true" outlineLevel="0" collapsed="false">
      <c r="A1588" s="11"/>
      <c r="B1588" s="9"/>
      <c r="C1588" s="15" t="str">
        <f aca="false">IF($B1588="","",IFERROR(INDEX(직원목록!$B$3:$B$302,MATCH($B1588,직원목록!$A$3:$A$302,0)),"미등록사번"))</f>
        <v/>
      </c>
      <c r="D1588" s="9"/>
      <c r="E1588" s="15" t="str">
        <f aca="false">IF($D1588="","",IFERROR(INDEX(교육과정!$B$3:$B$102,MATCH($D1588,교육과정!$A$3:$A$102,0)),"미등록과정"))</f>
        <v/>
      </c>
      <c r="F1588" s="13"/>
      <c r="G1588" s="9"/>
      <c r="H1588" s="9"/>
    </row>
    <row r="1589" customFormat="false" ht="15" hidden="false" customHeight="true" outlineLevel="0" collapsed="false">
      <c r="A1589" s="11"/>
      <c r="B1589" s="9"/>
      <c r="C1589" s="15" t="str">
        <f aca="false">IF($B1589="","",IFERROR(INDEX(직원목록!$B$3:$B$302,MATCH($B1589,직원목록!$A$3:$A$302,0)),"미등록사번"))</f>
        <v/>
      </c>
      <c r="D1589" s="9"/>
      <c r="E1589" s="15" t="str">
        <f aca="false">IF($D1589="","",IFERROR(INDEX(교육과정!$B$3:$B$102,MATCH($D1589,교육과정!$A$3:$A$102,0)),"미등록과정"))</f>
        <v/>
      </c>
      <c r="F1589" s="13"/>
      <c r="G1589" s="9"/>
      <c r="H1589" s="9"/>
    </row>
    <row r="1590" customFormat="false" ht="15" hidden="false" customHeight="true" outlineLevel="0" collapsed="false">
      <c r="A1590" s="11"/>
      <c r="B1590" s="9"/>
      <c r="C1590" s="15" t="str">
        <f aca="false">IF($B1590="","",IFERROR(INDEX(직원목록!$B$3:$B$302,MATCH($B1590,직원목록!$A$3:$A$302,0)),"미등록사번"))</f>
        <v/>
      </c>
      <c r="D1590" s="9"/>
      <c r="E1590" s="15" t="str">
        <f aca="false">IF($D1590="","",IFERROR(INDEX(교육과정!$B$3:$B$102,MATCH($D1590,교육과정!$A$3:$A$102,0)),"미등록과정"))</f>
        <v/>
      </c>
      <c r="F1590" s="13"/>
      <c r="G1590" s="9"/>
      <c r="H1590" s="9"/>
    </row>
    <row r="1591" customFormat="false" ht="15" hidden="false" customHeight="true" outlineLevel="0" collapsed="false">
      <c r="A1591" s="11"/>
      <c r="B1591" s="9"/>
      <c r="C1591" s="15" t="str">
        <f aca="false">IF($B1591="","",IFERROR(INDEX(직원목록!$B$3:$B$302,MATCH($B1591,직원목록!$A$3:$A$302,0)),"미등록사번"))</f>
        <v/>
      </c>
      <c r="D1591" s="9"/>
      <c r="E1591" s="15" t="str">
        <f aca="false">IF($D1591="","",IFERROR(INDEX(교육과정!$B$3:$B$102,MATCH($D1591,교육과정!$A$3:$A$102,0)),"미등록과정"))</f>
        <v/>
      </c>
      <c r="F1591" s="13"/>
      <c r="G1591" s="9"/>
      <c r="H1591" s="9"/>
    </row>
    <row r="1592" customFormat="false" ht="15" hidden="false" customHeight="true" outlineLevel="0" collapsed="false">
      <c r="A1592" s="11"/>
      <c r="B1592" s="9"/>
      <c r="C1592" s="15" t="str">
        <f aca="false">IF($B1592="","",IFERROR(INDEX(직원목록!$B$3:$B$302,MATCH($B1592,직원목록!$A$3:$A$302,0)),"미등록사번"))</f>
        <v/>
      </c>
      <c r="D1592" s="9"/>
      <c r="E1592" s="15" t="str">
        <f aca="false">IF($D1592="","",IFERROR(INDEX(교육과정!$B$3:$B$102,MATCH($D1592,교육과정!$A$3:$A$102,0)),"미등록과정"))</f>
        <v/>
      </c>
      <c r="F1592" s="13"/>
      <c r="G1592" s="9"/>
      <c r="H1592" s="9"/>
    </row>
    <row r="1593" customFormat="false" ht="15" hidden="false" customHeight="true" outlineLevel="0" collapsed="false">
      <c r="A1593" s="11"/>
      <c r="B1593" s="9"/>
      <c r="C1593" s="15" t="str">
        <f aca="false">IF($B1593="","",IFERROR(INDEX(직원목록!$B$3:$B$302,MATCH($B1593,직원목록!$A$3:$A$302,0)),"미등록사번"))</f>
        <v/>
      </c>
      <c r="D1593" s="9"/>
      <c r="E1593" s="15" t="str">
        <f aca="false">IF($D1593="","",IFERROR(INDEX(교육과정!$B$3:$B$102,MATCH($D1593,교육과정!$A$3:$A$102,0)),"미등록과정"))</f>
        <v/>
      </c>
      <c r="F1593" s="13"/>
      <c r="G1593" s="9"/>
      <c r="H1593" s="9"/>
    </row>
    <row r="1594" customFormat="false" ht="15" hidden="false" customHeight="true" outlineLevel="0" collapsed="false">
      <c r="A1594" s="11"/>
      <c r="B1594" s="9"/>
      <c r="C1594" s="15" t="str">
        <f aca="false">IF($B1594="","",IFERROR(INDEX(직원목록!$B$3:$B$302,MATCH($B1594,직원목록!$A$3:$A$302,0)),"미등록사번"))</f>
        <v/>
      </c>
      <c r="D1594" s="9"/>
      <c r="E1594" s="15" t="str">
        <f aca="false">IF($D1594="","",IFERROR(INDEX(교육과정!$B$3:$B$102,MATCH($D1594,교육과정!$A$3:$A$102,0)),"미등록과정"))</f>
        <v/>
      </c>
      <c r="F1594" s="13"/>
      <c r="G1594" s="9"/>
      <c r="H1594" s="9"/>
    </row>
    <row r="1595" customFormat="false" ht="15" hidden="false" customHeight="true" outlineLevel="0" collapsed="false">
      <c r="A1595" s="11"/>
      <c r="B1595" s="9"/>
      <c r="C1595" s="15" t="str">
        <f aca="false">IF($B1595="","",IFERROR(INDEX(직원목록!$B$3:$B$302,MATCH($B1595,직원목록!$A$3:$A$302,0)),"미등록사번"))</f>
        <v/>
      </c>
      <c r="D1595" s="9"/>
      <c r="E1595" s="15" t="str">
        <f aca="false">IF($D1595="","",IFERROR(INDEX(교육과정!$B$3:$B$102,MATCH($D1595,교육과정!$A$3:$A$102,0)),"미등록과정"))</f>
        <v/>
      </c>
      <c r="F1595" s="13"/>
      <c r="G1595" s="9"/>
      <c r="H1595" s="9"/>
    </row>
    <row r="1596" customFormat="false" ht="15" hidden="false" customHeight="true" outlineLevel="0" collapsed="false">
      <c r="A1596" s="11"/>
      <c r="B1596" s="9"/>
      <c r="C1596" s="15" t="str">
        <f aca="false">IF($B1596="","",IFERROR(INDEX(직원목록!$B$3:$B$302,MATCH($B1596,직원목록!$A$3:$A$302,0)),"미등록사번"))</f>
        <v/>
      </c>
      <c r="D1596" s="9"/>
      <c r="E1596" s="15" t="str">
        <f aca="false">IF($D1596="","",IFERROR(INDEX(교육과정!$B$3:$B$102,MATCH($D1596,교육과정!$A$3:$A$102,0)),"미등록과정"))</f>
        <v/>
      </c>
      <c r="F1596" s="13"/>
      <c r="G1596" s="9"/>
      <c r="H1596" s="9"/>
    </row>
    <row r="1597" customFormat="false" ht="15" hidden="false" customHeight="true" outlineLevel="0" collapsed="false">
      <c r="A1597" s="11"/>
      <c r="B1597" s="9"/>
      <c r="C1597" s="15" t="str">
        <f aca="false">IF($B1597="","",IFERROR(INDEX(직원목록!$B$3:$B$302,MATCH($B1597,직원목록!$A$3:$A$302,0)),"미등록사번"))</f>
        <v/>
      </c>
      <c r="D1597" s="9"/>
      <c r="E1597" s="15" t="str">
        <f aca="false">IF($D1597="","",IFERROR(INDEX(교육과정!$B$3:$B$102,MATCH($D1597,교육과정!$A$3:$A$102,0)),"미등록과정"))</f>
        <v/>
      </c>
      <c r="F1597" s="13"/>
      <c r="G1597" s="9"/>
      <c r="H1597" s="9"/>
    </row>
    <row r="1598" customFormat="false" ht="15" hidden="false" customHeight="true" outlineLevel="0" collapsed="false">
      <c r="A1598" s="11"/>
      <c r="B1598" s="9"/>
      <c r="C1598" s="15" t="str">
        <f aca="false">IF($B1598="","",IFERROR(INDEX(직원목록!$B$3:$B$302,MATCH($B1598,직원목록!$A$3:$A$302,0)),"미등록사번"))</f>
        <v/>
      </c>
      <c r="D1598" s="9"/>
      <c r="E1598" s="15" t="str">
        <f aca="false">IF($D1598="","",IFERROR(INDEX(교육과정!$B$3:$B$102,MATCH($D1598,교육과정!$A$3:$A$102,0)),"미등록과정"))</f>
        <v/>
      </c>
      <c r="F1598" s="13"/>
      <c r="G1598" s="9"/>
      <c r="H1598" s="9"/>
    </row>
    <row r="1599" customFormat="false" ht="15" hidden="false" customHeight="true" outlineLevel="0" collapsed="false">
      <c r="A1599" s="11"/>
      <c r="B1599" s="9"/>
      <c r="C1599" s="15" t="str">
        <f aca="false">IF($B1599="","",IFERROR(INDEX(직원목록!$B$3:$B$302,MATCH($B1599,직원목록!$A$3:$A$302,0)),"미등록사번"))</f>
        <v/>
      </c>
      <c r="D1599" s="9"/>
      <c r="E1599" s="15" t="str">
        <f aca="false">IF($D1599="","",IFERROR(INDEX(교육과정!$B$3:$B$102,MATCH($D1599,교육과정!$A$3:$A$102,0)),"미등록과정"))</f>
        <v/>
      </c>
      <c r="F1599" s="13"/>
      <c r="G1599" s="9"/>
      <c r="H1599" s="9"/>
    </row>
    <row r="1600" customFormat="false" ht="15" hidden="false" customHeight="true" outlineLevel="0" collapsed="false">
      <c r="A1600" s="11"/>
      <c r="B1600" s="9"/>
      <c r="C1600" s="15" t="str">
        <f aca="false">IF($B1600="","",IFERROR(INDEX(직원목록!$B$3:$B$302,MATCH($B1600,직원목록!$A$3:$A$302,0)),"미등록사번"))</f>
        <v/>
      </c>
      <c r="D1600" s="9"/>
      <c r="E1600" s="15" t="str">
        <f aca="false">IF($D1600="","",IFERROR(INDEX(교육과정!$B$3:$B$102,MATCH($D1600,교육과정!$A$3:$A$102,0)),"미등록과정"))</f>
        <v/>
      </c>
      <c r="F1600" s="13"/>
      <c r="G1600" s="9"/>
      <c r="H1600" s="9"/>
    </row>
    <row r="1601" customFormat="false" ht="15" hidden="false" customHeight="true" outlineLevel="0" collapsed="false">
      <c r="A1601" s="11"/>
      <c r="B1601" s="9"/>
      <c r="C1601" s="15" t="str">
        <f aca="false">IF($B1601="","",IFERROR(INDEX(직원목록!$B$3:$B$302,MATCH($B1601,직원목록!$A$3:$A$302,0)),"미등록사번"))</f>
        <v/>
      </c>
      <c r="D1601" s="9"/>
      <c r="E1601" s="15" t="str">
        <f aca="false">IF($D1601="","",IFERROR(INDEX(교육과정!$B$3:$B$102,MATCH($D1601,교육과정!$A$3:$A$102,0)),"미등록과정"))</f>
        <v/>
      </c>
      <c r="F1601" s="13"/>
      <c r="G1601" s="9"/>
      <c r="H1601" s="9"/>
    </row>
    <row r="1602" customFormat="false" ht="15" hidden="false" customHeight="true" outlineLevel="0" collapsed="false">
      <c r="A1602" s="11"/>
      <c r="B1602" s="9"/>
      <c r="C1602" s="15" t="str">
        <f aca="false">IF($B1602="","",IFERROR(INDEX(직원목록!$B$3:$B$302,MATCH($B1602,직원목록!$A$3:$A$302,0)),"미등록사번"))</f>
        <v/>
      </c>
      <c r="D1602" s="9"/>
      <c r="E1602" s="15" t="str">
        <f aca="false">IF($D1602="","",IFERROR(INDEX(교육과정!$B$3:$B$102,MATCH($D1602,교육과정!$A$3:$A$102,0)),"미등록과정"))</f>
        <v/>
      </c>
      <c r="F1602" s="13"/>
      <c r="G1602" s="9"/>
      <c r="H1602" s="9"/>
    </row>
    <row r="1603" customFormat="false" ht="15" hidden="false" customHeight="true" outlineLevel="0" collapsed="false">
      <c r="A1603" s="11"/>
      <c r="B1603" s="9"/>
      <c r="C1603" s="15" t="str">
        <f aca="false">IF($B1603="","",IFERROR(INDEX(직원목록!$B$3:$B$302,MATCH($B1603,직원목록!$A$3:$A$302,0)),"미등록사번"))</f>
        <v/>
      </c>
      <c r="D1603" s="9"/>
      <c r="E1603" s="15" t="str">
        <f aca="false">IF($D1603="","",IFERROR(INDEX(교육과정!$B$3:$B$102,MATCH($D1603,교육과정!$A$3:$A$102,0)),"미등록과정"))</f>
        <v/>
      </c>
      <c r="F1603" s="13"/>
      <c r="G1603" s="9"/>
      <c r="H1603" s="9"/>
    </row>
    <row r="1604" customFormat="false" ht="15" hidden="false" customHeight="true" outlineLevel="0" collapsed="false">
      <c r="A1604" s="11"/>
      <c r="B1604" s="9"/>
      <c r="C1604" s="15" t="str">
        <f aca="false">IF($B1604="","",IFERROR(INDEX(직원목록!$B$3:$B$302,MATCH($B1604,직원목록!$A$3:$A$302,0)),"미등록사번"))</f>
        <v/>
      </c>
      <c r="D1604" s="9"/>
      <c r="E1604" s="15" t="str">
        <f aca="false">IF($D1604="","",IFERROR(INDEX(교육과정!$B$3:$B$102,MATCH($D1604,교육과정!$A$3:$A$102,0)),"미등록과정"))</f>
        <v/>
      </c>
      <c r="F1604" s="13"/>
      <c r="G1604" s="9"/>
      <c r="H1604" s="9"/>
    </row>
    <row r="1605" customFormat="false" ht="15" hidden="false" customHeight="true" outlineLevel="0" collapsed="false">
      <c r="A1605" s="11"/>
      <c r="B1605" s="9"/>
      <c r="C1605" s="15" t="str">
        <f aca="false">IF($B1605="","",IFERROR(INDEX(직원목록!$B$3:$B$302,MATCH($B1605,직원목록!$A$3:$A$302,0)),"미등록사번"))</f>
        <v/>
      </c>
      <c r="D1605" s="9"/>
      <c r="E1605" s="15" t="str">
        <f aca="false">IF($D1605="","",IFERROR(INDEX(교육과정!$B$3:$B$102,MATCH($D1605,교육과정!$A$3:$A$102,0)),"미등록과정"))</f>
        <v/>
      </c>
      <c r="F1605" s="13"/>
      <c r="G1605" s="9"/>
      <c r="H1605" s="9"/>
    </row>
    <row r="1606" customFormat="false" ht="15" hidden="false" customHeight="true" outlineLevel="0" collapsed="false">
      <c r="A1606" s="11"/>
      <c r="B1606" s="9"/>
      <c r="C1606" s="15" t="str">
        <f aca="false">IF($B1606="","",IFERROR(INDEX(직원목록!$B$3:$B$302,MATCH($B1606,직원목록!$A$3:$A$302,0)),"미등록사번"))</f>
        <v/>
      </c>
      <c r="D1606" s="9"/>
      <c r="E1606" s="15" t="str">
        <f aca="false">IF($D1606="","",IFERROR(INDEX(교육과정!$B$3:$B$102,MATCH($D1606,교육과정!$A$3:$A$102,0)),"미등록과정"))</f>
        <v/>
      </c>
      <c r="F1606" s="13"/>
      <c r="G1606" s="9"/>
      <c r="H1606" s="9"/>
    </row>
    <row r="1607" customFormat="false" ht="15" hidden="false" customHeight="true" outlineLevel="0" collapsed="false">
      <c r="A1607" s="11"/>
      <c r="B1607" s="9"/>
      <c r="C1607" s="15" t="str">
        <f aca="false">IF($B1607="","",IFERROR(INDEX(직원목록!$B$3:$B$302,MATCH($B1607,직원목록!$A$3:$A$302,0)),"미등록사번"))</f>
        <v/>
      </c>
      <c r="D1607" s="9"/>
      <c r="E1607" s="15" t="str">
        <f aca="false">IF($D1607="","",IFERROR(INDEX(교육과정!$B$3:$B$102,MATCH($D1607,교육과정!$A$3:$A$102,0)),"미등록과정"))</f>
        <v/>
      </c>
      <c r="F1607" s="13"/>
      <c r="G1607" s="9"/>
      <c r="H1607" s="9"/>
    </row>
    <row r="1608" customFormat="false" ht="15" hidden="false" customHeight="true" outlineLevel="0" collapsed="false">
      <c r="A1608" s="11"/>
      <c r="B1608" s="9"/>
      <c r="C1608" s="15" t="str">
        <f aca="false">IF($B1608="","",IFERROR(INDEX(직원목록!$B$3:$B$302,MATCH($B1608,직원목록!$A$3:$A$302,0)),"미등록사번"))</f>
        <v/>
      </c>
      <c r="D1608" s="9"/>
      <c r="E1608" s="15" t="str">
        <f aca="false">IF($D1608="","",IFERROR(INDEX(교육과정!$B$3:$B$102,MATCH($D1608,교육과정!$A$3:$A$102,0)),"미등록과정"))</f>
        <v/>
      </c>
      <c r="F1608" s="13"/>
      <c r="G1608" s="9"/>
      <c r="H1608" s="9"/>
    </row>
    <row r="1609" customFormat="false" ht="15" hidden="false" customHeight="true" outlineLevel="0" collapsed="false">
      <c r="A1609" s="11"/>
      <c r="B1609" s="9"/>
      <c r="C1609" s="15" t="str">
        <f aca="false">IF($B1609="","",IFERROR(INDEX(직원목록!$B$3:$B$302,MATCH($B1609,직원목록!$A$3:$A$302,0)),"미등록사번"))</f>
        <v/>
      </c>
      <c r="D1609" s="9"/>
      <c r="E1609" s="15" t="str">
        <f aca="false">IF($D1609="","",IFERROR(INDEX(교육과정!$B$3:$B$102,MATCH($D1609,교육과정!$A$3:$A$102,0)),"미등록과정"))</f>
        <v/>
      </c>
      <c r="F1609" s="13"/>
      <c r="G1609" s="9"/>
      <c r="H1609" s="9"/>
    </row>
    <row r="1610" customFormat="false" ht="15" hidden="false" customHeight="true" outlineLevel="0" collapsed="false">
      <c r="A1610" s="11"/>
      <c r="B1610" s="9"/>
      <c r="C1610" s="15" t="str">
        <f aca="false">IF($B1610="","",IFERROR(INDEX(직원목록!$B$3:$B$302,MATCH($B1610,직원목록!$A$3:$A$302,0)),"미등록사번"))</f>
        <v/>
      </c>
      <c r="D1610" s="9"/>
      <c r="E1610" s="15" t="str">
        <f aca="false">IF($D1610="","",IFERROR(INDEX(교육과정!$B$3:$B$102,MATCH($D1610,교육과정!$A$3:$A$102,0)),"미등록과정"))</f>
        <v/>
      </c>
      <c r="F1610" s="13"/>
      <c r="G1610" s="9"/>
      <c r="H1610" s="9"/>
    </row>
    <row r="1611" customFormat="false" ht="15" hidden="false" customHeight="true" outlineLevel="0" collapsed="false">
      <c r="A1611" s="11"/>
      <c r="B1611" s="9"/>
      <c r="C1611" s="15" t="str">
        <f aca="false">IF($B1611="","",IFERROR(INDEX(직원목록!$B$3:$B$302,MATCH($B1611,직원목록!$A$3:$A$302,0)),"미등록사번"))</f>
        <v/>
      </c>
      <c r="D1611" s="9"/>
      <c r="E1611" s="15" t="str">
        <f aca="false">IF($D1611="","",IFERROR(INDEX(교육과정!$B$3:$B$102,MATCH($D1611,교육과정!$A$3:$A$102,0)),"미등록과정"))</f>
        <v/>
      </c>
      <c r="F1611" s="13"/>
      <c r="G1611" s="9"/>
      <c r="H1611" s="9"/>
    </row>
    <row r="1612" customFormat="false" ht="15" hidden="false" customHeight="true" outlineLevel="0" collapsed="false">
      <c r="A1612" s="11"/>
      <c r="B1612" s="9"/>
      <c r="C1612" s="15" t="str">
        <f aca="false">IF($B1612="","",IFERROR(INDEX(직원목록!$B$3:$B$302,MATCH($B1612,직원목록!$A$3:$A$302,0)),"미등록사번"))</f>
        <v/>
      </c>
      <c r="D1612" s="9"/>
      <c r="E1612" s="15" t="str">
        <f aca="false">IF($D1612="","",IFERROR(INDEX(교육과정!$B$3:$B$102,MATCH($D1612,교육과정!$A$3:$A$102,0)),"미등록과정"))</f>
        <v/>
      </c>
      <c r="F1612" s="13"/>
      <c r="G1612" s="9"/>
      <c r="H1612" s="9"/>
    </row>
    <row r="1613" customFormat="false" ht="15" hidden="false" customHeight="true" outlineLevel="0" collapsed="false">
      <c r="A1613" s="11"/>
      <c r="B1613" s="9"/>
      <c r="C1613" s="15" t="str">
        <f aca="false">IF($B1613="","",IFERROR(INDEX(직원목록!$B$3:$B$302,MATCH($B1613,직원목록!$A$3:$A$302,0)),"미등록사번"))</f>
        <v/>
      </c>
      <c r="D1613" s="9"/>
      <c r="E1613" s="15" t="str">
        <f aca="false">IF($D1613="","",IFERROR(INDEX(교육과정!$B$3:$B$102,MATCH($D1613,교육과정!$A$3:$A$102,0)),"미등록과정"))</f>
        <v/>
      </c>
      <c r="F1613" s="13"/>
      <c r="G1613" s="9"/>
      <c r="H1613" s="9"/>
    </row>
    <row r="1614" customFormat="false" ht="15" hidden="false" customHeight="true" outlineLevel="0" collapsed="false">
      <c r="A1614" s="11"/>
      <c r="B1614" s="9"/>
      <c r="C1614" s="15" t="str">
        <f aca="false">IF($B1614="","",IFERROR(INDEX(직원목록!$B$3:$B$302,MATCH($B1614,직원목록!$A$3:$A$302,0)),"미등록사번"))</f>
        <v/>
      </c>
      <c r="D1614" s="9"/>
      <c r="E1614" s="15" t="str">
        <f aca="false">IF($D1614="","",IFERROR(INDEX(교육과정!$B$3:$B$102,MATCH($D1614,교육과정!$A$3:$A$102,0)),"미등록과정"))</f>
        <v/>
      </c>
      <c r="F1614" s="13"/>
      <c r="G1614" s="9"/>
      <c r="H1614" s="9"/>
    </row>
    <row r="1615" customFormat="false" ht="15" hidden="false" customHeight="true" outlineLevel="0" collapsed="false">
      <c r="A1615" s="11"/>
      <c r="B1615" s="9"/>
      <c r="C1615" s="15" t="str">
        <f aca="false">IF($B1615="","",IFERROR(INDEX(직원목록!$B$3:$B$302,MATCH($B1615,직원목록!$A$3:$A$302,0)),"미등록사번"))</f>
        <v/>
      </c>
      <c r="D1615" s="9"/>
      <c r="E1615" s="15" t="str">
        <f aca="false">IF($D1615="","",IFERROR(INDEX(교육과정!$B$3:$B$102,MATCH($D1615,교육과정!$A$3:$A$102,0)),"미등록과정"))</f>
        <v/>
      </c>
      <c r="F1615" s="13"/>
      <c r="G1615" s="9"/>
      <c r="H1615" s="9"/>
    </row>
    <row r="1616" customFormat="false" ht="15" hidden="false" customHeight="true" outlineLevel="0" collapsed="false">
      <c r="A1616" s="11"/>
      <c r="B1616" s="9"/>
      <c r="C1616" s="15" t="str">
        <f aca="false">IF($B1616="","",IFERROR(INDEX(직원목록!$B$3:$B$302,MATCH($B1616,직원목록!$A$3:$A$302,0)),"미등록사번"))</f>
        <v/>
      </c>
      <c r="D1616" s="9"/>
      <c r="E1616" s="15" t="str">
        <f aca="false">IF($D1616="","",IFERROR(INDEX(교육과정!$B$3:$B$102,MATCH($D1616,교육과정!$A$3:$A$102,0)),"미등록과정"))</f>
        <v/>
      </c>
      <c r="F1616" s="13"/>
      <c r="G1616" s="9"/>
      <c r="H1616" s="9"/>
    </row>
    <row r="1617" customFormat="false" ht="15" hidden="false" customHeight="true" outlineLevel="0" collapsed="false">
      <c r="A1617" s="11"/>
      <c r="B1617" s="9"/>
      <c r="C1617" s="15" t="str">
        <f aca="false">IF($B1617="","",IFERROR(INDEX(직원목록!$B$3:$B$302,MATCH($B1617,직원목록!$A$3:$A$302,0)),"미등록사번"))</f>
        <v/>
      </c>
      <c r="D1617" s="9"/>
      <c r="E1617" s="15" t="str">
        <f aca="false">IF($D1617="","",IFERROR(INDEX(교육과정!$B$3:$B$102,MATCH($D1617,교육과정!$A$3:$A$102,0)),"미등록과정"))</f>
        <v/>
      </c>
      <c r="F1617" s="13"/>
      <c r="G1617" s="9"/>
      <c r="H1617" s="9"/>
    </row>
    <row r="1618" customFormat="false" ht="15" hidden="false" customHeight="true" outlineLevel="0" collapsed="false">
      <c r="A1618" s="11"/>
      <c r="B1618" s="9"/>
      <c r="C1618" s="15" t="str">
        <f aca="false">IF($B1618="","",IFERROR(INDEX(직원목록!$B$3:$B$302,MATCH($B1618,직원목록!$A$3:$A$302,0)),"미등록사번"))</f>
        <v/>
      </c>
      <c r="D1618" s="9"/>
      <c r="E1618" s="15" t="str">
        <f aca="false">IF($D1618="","",IFERROR(INDEX(교육과정!$B$3:$B$102,MATCH($D1618,교육과정!$A$3:$A$102,0)),"미등록과정"))</f>
        <v/>
      </c>
      <c r="F1618" s="13"/>
      <c r="G1618" s="9"/>
      <c r="H1618" s="9"/>
    </row>
    <row r="1619" customFormat="false" ht="15" hidden="false" customHeight="true" outlineLevel="0" collapsed="false">
      <c r="A1619" s="11"/>
      <c r="B1619" s="9"/>
      <c r="C1619" s="15" t="str">
        <f aca="false">IF($B1619="","",IFERROR(INDEX(직원목록!$B$3:$B$302,MATCH($B1619,직원목록!$A$3:$A$302,0)),"미등록사번"))</f>
        <v/>
      </c>
      <c r="D1619" s="9"/>
      <c r="E1619" s="15" t="str">
        <f aca="false">IF($D1619="","",IFERROR(INDEX(교육과정!$B$3:$B$102,MATCH($D1619,교육과정!$A$3:$A$102,0)),"미등록과정"))</f>
        <v/>
      </c>
      <c r="F1619" s="13"/>
      <c r="G1619" s="9"/>
      <c r="H1619" s="9"/>
    </row>
    <row r="1620" customFormat="false" ht="15" hidden="false" customHeight="true" outlineLevel="0" collapsed="false">
      <c r="A1620" s="11"/>
      <c r="B1620" s="9"/>
      <c r="C1620" s="15" t="str">
        <f aca="false">IF($B1620="","",IFERROR(INDEX(직원목록!$B$3:$B$302,MATCH($B1620,직원목록!$A$3:$A$302,0)),"미등록사번"))</f>
        <v/>
      </c>
      <c r="D1620" s="9"/>
      <c r="E1620" s="15" t="str">
        <f aca="false">IF($D1620="","",IFERROR(INDEX(교육과정!$B$3:$B$102,MATCH($D1620,교육과정!$A$3:$A$102,0)),"미등록과정"))</f>
        <v/>
      </c>
      <c r="F1620" s="13"/>
      <c r="G1620" s="9"/>
      <c r="H1620" s="9"/>
    </row>
    <row r="1621" customFormat="false" ht="15" hidden="false" customHeight="true" outlineLevel="0" collapsed="false">
      <c r="A1621" s="11"/>
      <c r="B1621" s="9"/>
      <c r="C1621" s="15" t="str">
        <f aca="false">IF($B1621="","",IFERROR(INDEX(직원목록!$B$3:$B$302,MATCH($B1621,직원목록!$A$3:$A$302,0)),"미등록사번"))</f>
        <v/>
      </c>
      <c r="D1621" s="9"/>
      <c r="E1621" s="15" t="str">
        <f aca="false">IF($D1621="","",IFERROR(INDEX(교육과정!$B$3:$B$102,MATCH($D1621,교육과정!$A$3:$A$102,0)),"미등록과정"))</f>
        <v/>
      </c>
      <c r="F1621" s="13"/>
      <c r="G1621" s="9"/>
      <c r="H1621" s="9"/>
    </row>
    <row r="1622" customFormat="false" ht="15" hidden="false" customHeight="true" outlineLevel="0" collapsed="false">
      <c r="A1622" s="11"/>
      <c r="B1622" s="9"/>
      <c r="C1622" s="15" t="str">
        <f aca="false">IF($B1622="","",IFERROR(INDEX(직원목록!$B$3:$B$302,MATCH($B1622,직원목록!$A$3:$A$302,0)),"미등록사번"))</f>
        <v/>
      </c>
      <c r="D1622" s="9"/>
      <c r="E1622" s="15" t="str">
        <f aca="false">IF($D1622="","",IFERROR(INDEX(교육과정!$B$3:$B$102,MATCH($D1622,교육과정!$A$3:$A$102,0)),"미등록과정"))</f>
        <v/>
      </c>
      <c r="F1622" s="13"/>
      <c r="G1622" s="9"/>
      <c r="H1622" s="9"/>
    </row>
    <row r="1623" customFormat="false" ht="15" hidden="false" customHeight="true" outlineLevel="0" collapsed="false">
      <c r="A1623" s="11"/>
      <c r="B1623" s="9"/>
      <c r="C1623" s="15" t="str">
        <f aca="false">IF($B1623="","",IFERROR(INDEX(직원목록!$B$3:$B$302,MATCH($B1623,직원목록!$A$3:$A$302,0)),"미등록사번"))</f>
        <v/>
      </c>
      <c r="D1623" s="9"/>
      <c r="E1623" s="15" t="str">
        <f aca="false">IF($D1623="","",IFERROR(INDEX(교육과정!$B$3:$B$102,MATCH($D1623,교육과정!$A$3:$A$102,0)),"미등록과정"))</f>
        <v/>
      </c>
      <c r="F1623" s="13"/>
      <c r="G1623" s="9"/>
      <c r="H1623" s="9"/>
    </row>
    <row r="1624" customFormat="false" ht="15" hidden="false" customHeight="true" outlineLevel="0" collapsed="false">
      <c r="A1624" s="11"/>
      <c r="B1624" s="9"/>
      <c r="C1624" s="15" t="str">
        <f aca="false">IF($B1624="","",IFERROR(INDEX(직원목록!$B$3:$B$302,MATCH($B1624,직원목록!$A$3:$A$302,0)),"미등록사번"))</f>
        <v/>
      </c>
      <c r="D1624" s="9"/>
      <c r="E1624" s="15" t="str">
        <f aca="false">IF($D1624="","",IFERROR(INDEX(교육과정!$B$3:$B$102,MATCH($D1624,교육과정!$A$3:$A$102,0)),"미등록과정"))</f>
        <v/>
      </c>
      <c r="F1624" s="13"/>
      <c r="G1624" s="9"/>
      <c r="H1624" s="9"/>
    </row>
    <row r="1625" customFormat="false" ht="15" hidden="false" customHeight="true" outlineLevel="0" collapsed="false">
      <c r="A1625" s="11"/>
      <c r="B1625" s="9"/>
      <c r="C1625" s="15" t="str">
        <f aca="false">IF($B1625="","",IFERROR(INDEX(직원목록!$B$3:$B$302,MATCH($B1625,직원목록!$A$3:$A$302,0)),"미등록사번"))</f>
        <v/>
      </c>
      <c r="D1625" s="9"/>
      <c r="E1625" s="15" t="str">
        <f aca="false">IF($D1625="","",IFERROR(INDEX(교육과정!$B$3:$B$102,MATCH($D1625,교육과정!$A$3:$A$102,0)),"미등록과정"))</f>
        <v/>
      </c>
      <c r="F1625" s="13"/>
      <c r="G1625" s="9"/>
      <c r="H1625" s="9"/>
    </row>
    <row r="1626" customFormat="false" ht="15" hidden="false" customHeight="true" outlineLevel="0" collapsed="false">
      <c r="A1626" s="11"/>
      <c r="B1626" s="9"/>
      <c r="C1626" s="15" t="str">
        <f aca="false">IF($B1626="","",IFERROR(INDEX(직원목록!$B$3:$B$302,MATCH($B1626,직원목록!$A$3:$A$302,0)),"미등록사번"))</f>
        <v/>
      </c>
      <c r="D1626" s="9"/>
      <c r="E1626" s="15" t="str">
        <f aca="false">IF($D1626="","",IFERROR(INDEX(교육과정!$B$3:$B$102,MATCH($D1626,교육과정!$A$3:$A$102,0)),"미등록과정"))</f>
        <v/>
      </c>
      <c r="F1626" s="13"/>
      <c r="G1626" s="9"/>
      <c r="H1626" s="9"/>
    </row>
    <row r="1627" customFormat="false" ht="15" hidden="false" customHeight="true" outlineLevel="0" collapsed="false">
      <c r="A1627" s="11"/>
      <c r="B1627" s="9"/>
      <c r="C1627" s="15" t="str">
        <f aca="false">IF($B1627="","",IFERROR(INDEX(직원목록!$B$3:$B$302,MATCH($B1627,직원목록!$A$3:$A$302,0)),"미등록사번"))</f>
        <v/>
      </c>
      <c r="D1627" s="9"/>
      <c r="E1627" s="15" t="str">
        <f aca="false">IF($D1627="","",IFERROR(INDEX(교육과정!$B$3:$B$102,MATCH($D1627,교육과정!$A$3:$A$102,0)),"미등록과정"))</f>
        <v/>
      </c>
      <c r="F1627" s="13"/>
      <c r="G1627" s="9"/>
      <c r="H1627" s="9"/>
    </row>
    <row r="1628" customFormat="false" ht="15" hidden="false" customHeight="true" outlineLevel="0" collapsed="false">
      <c r="A1628" s="11"/>
      <c r="B1628" s="9"/>
      <c r="C1628" s="15" t="str">
        <f aca="false">IF($B1628="","",IFERROR(INDEX(직원목록!$B$3:$B$302,MATCH($B1628,직원목록!$A$3:$A$302,0)),"미등록사번"))</f>
        <v/>
      </c>
      <c r="D1628" s="9"/>
      <c r="E1628" s="15" t="str">
        <f aca="false">IF($D1628="","",IFERROR(INDEX(교육과정!$B$3:$B$102,MATCH($D1628,교육과정!$A$3:$A$102,0)),"미등록과정"))</f>
        <v/>
      </c>
      <c r="F1628" s="13"/>
      <c r="G1628" s="9"/>
      <c r="H1628" s="9"/>
    </row>
    <row r="1629" customFormat="false" ht="15" hidden="false" customHeight="true" outlineLevel="0" collapsed="false">
      <c r="A1629" s="11"/>
      <c r="B1629" s="9"/>
      <c r="C1629" s="15" t="str">
        <f aca="false">IF($B1629="","",IFERROR(INDEX(직원목록!$B$3:$B$302,MATCH($B1629,직원목록!$A$3:$A$302,0)),"미등록사번"))</f>
        <v/>
      </c>
      <c r="D1629" s="9"/>
      <c r="E1629" s="15" t="str">
        <f aca="false">IF($D1629="","",IFERROR(INDEX(교육과정!$B$3:$B$102,MATCH($D1629,교육과정!$A$3:$A$102,0)),"미등록과정"))</f>
        <v/>
      </c>
      <c r="F1629" s="13"/>
      <c r="G1629" s="9"/>
      <c r="H1629" s="9"/>
    </row>
    <row r="1630" customFormat="false" ht="15" hidden="false" customHeight="true" outlineLevel="0" collapsed="false">
      <c r="A1630" s="11"/>
      <c r="B1630" s="9"/>
      <c r="C1630" s="15" t="str">
        <f aca="false">IF($B1630="","",IFERROR(INDEX(직원목록!$B$3:$B$302,MATCH($B1630,직원목록!$A$3:$A$302,0)),"미등록사번"))</f>
        <v/>
      </c>
      <c r="D1630" s="9"/>
      <c r="E1630" s="15" t="str">
        <f aca="false">IF($D1630="","",IFERROR(INDEX(교육과정!$B$3:$B$102,MATCH($D1630,교육과정!$A$3:$A$102,0)),"미등록과정"))</f>
        <v/>
      </c>
      <c r="F1630" s="13"/>
      <c r="G1630" s="9"/>
      <c r="H1630" s="9"/>
    </row>
    <row r="1631" customFormat="false" ht="15" hidden="false" customHeight="true" outlineLevel="0" collapsed="false">
      <c r="A1631" s="11"/>
      <c r="B1631" s="9"/>
      <c r="C1631" s="15" t="str">
        <f aca="false">IF($B1631="","",IFERROR(INDEX(직원목록!$B$3:$B$302,MATCH($B1631,직원목록!$A$3:$A$302,0)),"미등록사번"))</f>
        <v/>
      </c>
      <c r="D1631" s="9"/>
      <c r="E1631" s="15" t="str">
        <f aca="false">IF($D1631="","",IFERROR(INDEX(교육과정!$B$3:$B$102,MATCH($D1631,교육과정!$A$3:$A$102,0)),"미등록과정"))</f>
        <v/>
      </c>
      <c r="F1631" s="13"/>
      <c r="G1631" s="9"/>
      <c r="H1631" s="9"/>
    </row>
    <row r="1632" customFormat="false" ht="15" hidden="false" customHeight="true" outlineLevel="0" collapsed="false">
      <c r="A1632" s="11"/>
      <c r="B1632" s="9"/>
      <c r="C1632" s="15" t="str">
        <f aca="false">IF($B1632="","",IFERROR(INDEX(직원목록!$B$3:$B$302,MATCH($B1632,직원목록!$A$3:$A$302,0)),"미등록사번"))</f>
        <v/>
      </c>
      <c r="D1632" s="9"/>
      <c r="E1632" s="15" t="str">
        <f aca="false">IF($D1632="","",IFERROR(INDEX(교육과정!$B$3:$B$102,MATCH($D1632,교육과정!$A$3:$A$102,0)),"미등록과정"))</f>
        <v/>
      </c>
      <c r="F1632" s="13"/>
      <c r="G1632" s="9"/>
      <c r="H1632" s="9"/>
    </row>
    <row r="1633" customFormat="false" ht="15" hidden="false" customHeight="true" outlineLevel="0" collapsed="false">
      <c r="A1633" s="11"/>
      <c r="B1633" s="9"/>
      <c r="C1633" s="15" t="str">
        <f aca="false">IF($B1633="","",IFERROR(INDEX(직원목록!$B$3:$B$302,MATCH($B1633,직원목록!$A$3:$A$302,0)),"미등록사번"))</f>
        <v/>
      </c>
      <c r="D1633" s="9"/>
      <c r="E1633" s="15" t="str">
        <f aca="false">IF($D1633="","",IFERROR(INDEX(교육과정!$B$3:$B$102,MATCH($D1633,교육과정!$A$3:$A$102,0)),"미등록과정"))</f>
        <v/>
      </c>
      <c r="F1633" s="13"/>
      <c r="G1633" s="9"/>
      <c r="H1633" s="9"/>
    </row>
    <row r="1634" customFormat="false" ht="15" hidden="false" customHeight="true" outlineLevel="0" collapsed="false">
      <c r="A1634" s="11"/>
      <c r="B1634" s="9"/>
      <c r="C1634" s="15" t="str">
        <f aca="false">IF($B1634="","",IFERROR(INDEX(직원목록!$B$3:$B$302,MATCH($B1634,직원목록!$A$3:$A$302,0)),"미등록사번"))</f>
        <v/>
      </c>
      <c r="D1634" s="9"/>
      <c r="E1634" s="15" t="str">
        <f aca="false">IF($D1634="","",IFERROR(INDEX(교육과정!$B$3:$B$102,MATCH($D1634,교육과정!$A$3:$A$102,0)),"미등록과정"))</f>
        <v/>
      </c>
      <c r="F1634" s="13"/>
      <c r="G1634" s="9"/>
      <c r="H1634" s="9"/>
    </row>
    <row r="1635" customFormat="false" ht="15" hidden="false" customHeight="true" outlineLevel="0" collapsed="false">
      <c r="A1635" s="11"/>
      <c r="B1635" s="9"/>
      <c r="C1635" s="15" t="str">
        <f aca="false">IF($B1635="","",IFERROR(INDEX(직원목록!$B$3:$B$302,MATCH($B1635,직원목록!$A$3:$A$302,0)),"미등록사번"))</f>
        <v/>
      </c>
      <c r="D1635" s="9"/>
      <c r="E1635" s="15" t="str">
        <f aca="false">IF($D1635="","",IFERROR(INDEX(교육과정!$B$3:$B$102,MATCH($D1635,교육과정!$A$3:$A$102,0)),"미등록과정"))</f>
        <v/>
      </c>
      <c r="F1635" s="13"/>
      <c r="G1635" s="9"/>
      <c r="H1635" s="9"/>
    </row>
    <row r="1636" customFormat="false" ht="15" hidden="false" customHeight="true" outlineLevel="0" collapsed="false">
      <c r="A1636" s="11"/>
      <c r="B1636" s="9"/>
      <c r="C1636" s="15" t="str">
        <f aca="false">IF($B1636="","",IFERROR(INDEX(직원목록!$B$3:$B$302,MATCH($B1636,직원목록!$A$3:$A$302,0)),"미등록사번"))</f>
        <v/>
      </c>
      <c r="D1636" s="9"/>
      <c r="E1636" s="15" t="str">
        <f aca="false">IF($D1636="","",IFERROR(INDEX(교육과정!$B$3:$B$102,MATCH($D1636,교육과정!$A$3:$A$102,0)),"미등록과정"))</f>
        <v/>
      </c>
      <c r="F1636" s="13"/>
      <c r="G1636" s="9"/>
      <c r="H1636" s="9"/>
    </row>
    <row r="1637" customFormat="false" ht="15" hidden="false" customHeight="true" outlineLevel="0" collapsed="false">
      <c r="A1637" s="11"/>
      <c r="B1637" s="9"/>
      <c r="C1637" s="15" t="str">
        <f aca="false">IF($B1637="","",IFERROR(INDEX(직원목록!$B$3:$B$302,MATCH($B1637,직원목록!$A$3:$A$302,0)),"미등록사번"))</f>
        <v/>
      </c>
      <c r="D1637" s="9"/>
      <c r="E1637" s="15" t="str">
        <f aca="false">IF($D1637="","",IFERROR(INDEX(교육과정!$B$3:$B$102,MATCH($D1637,교육과정!$A$3:$A$102,0)),"미등록과정"))</f>
        <v/>
      </c>
      <c r="F1637" s="13"/>
      <c r="G1637" s="9"/>
      <c r="H1637" s="9"/>
    </row>
    <row r="1638" customFormat="false" ht="15" hidden="false" customHeight="true" outlineLevel="0" collapsed="false">
      <c r="A1638" s="11"/>
      <c r="B1638" s="9"/>
      <c r="C1638" s="15" t="str">
        <f aca="false">IF($B1638="","",IFERROR(INDEX(직원목록!$B$3:$B$302,MATCH($B1638,직원목록!$A$3:$A$302,0)),"미등록사번"))</f>
        <v/>
      </c>
      <c r="D1638" s="9"/>
      <c r="E1638" s="15" t="str">
        <f aca="false">IF($D1638="","",IFERROR(INDEX(교육과정!$B$3:$B$102,MATCH($D1638,교육과정!$A$3:$A$102,0)),"미등록과정"))</f>
        <v/>
      </c>
      <c r="F1638" s="13"/>
      <c r="G1638" s="9"/>
      <c r="H1638" s="9"/>
    </row>
    <row r="1639" customFormat="false" ht="15" hidden="false" customHeight="true" outlineLevel="0" collapsed="false">
      <c r="A1639" s="11"/>
      <c r="B1639" s="9"/>
      <c r="C1639" s="15" t="str">
        <f aca="false">IF($B1639="","",IFERROR(INDEX(직원목록!$B$3:$B$302,MATCH($B1639,직원목록!$A$3:$A$302,0)),"미등록사번"))</f>
        <v/>
      </c>
      <c r="D1639" s="9"/>
      <c r="E1639" s="15" t="str">
        <f aca="false">IF($D1639="","",IFERROR(INDEX(교육과정!$B$3:$B$102,MATCH($D1639,교육과정!$A$3:$A$102,0)),"미등록과정"))</f>
        <v/>
      </c>
      <c r="F1639" s="13"/>
      <c r="G1639" s="9"/>
      <c r="H1639" s="9"/>
    </row>
    <row r="1640" customFormat="false" ht="15" hidden="false" customHeight="true" outlineLevel="0" collapsed="false">
      <c r="A1640" s="11"/>
      <c r="B1640" s="9"/>
      <c r="C1640" s="15" t="str">
        <f aca="false">IF($B1640="","",IFERROR(INDEX(직원목록!$B$3:$B$302,MATCH($B1640,직원목록!$A$3:$A$302,0)),"미등록사번"))</f>
        <v/>
      </c>
      <c r="D1640" s="9"/>
      <c r="E1640" s="15" t="str">
        <f aca="false">IF($D1640="","",IFERROR(INDEX(교육과정!$B$3:$B$102,MATCH($D1640,교육과정!$A$3:$A$102,0)),"미등록과정"))</f>
        <v/>
      </c>
      <c r="F1640" s="13"/>
      <c r="G1640" s="9"/>
      <c r="H1640" s="9"/>
    </row>
    <row r="1641" customFormat="false" ht="15" hidden="false" customHeight="true" outlineLevel="0" collapsed="false">
      <c r="A1641" s="11"/>
      <c r="B1641" s="9"/>
      <c r="C1641" s="15" t="str">
        <f aca="false">IF($B1641="","",IFERROR(INDEX(직원목록!$B$3:$B$302,MATCH($B1641,직원목록!$A$3:$A$302,0)),"미등록사번"))</f>
        <v/>
      </c>
      <c r="D1641" s="9"/>
      <c r="E1641" s="15" t="str">
        <f aca="false">IF($D1641="","",IFERROR(INDEX(교육과정!$B$3:$B$102,MATCH($D1641,교육과정!$A$3:$A$102,0)),"미등록과정"))</f>
        <v/>
      </c>
      <c r="F1641" s="13"/>
      <c r="G1641" s="9"/>
      <c r="H1641" s="9"/>
    </row>
    <row r="1642" customFormat="false" ht="15" hidden="false" customHeight="true" outlineLevel="0" collapsed="false">
      <c r="A1642" s="11"/>
      <c r="B1642" s="9"/>
      <c r="C1642" s="15" t="str">
        <f aca="false">IF($B1642="","",IFERROR(INDEX(직원목록!$B$3:$B$302,MATCH($B1642,직원목록!$A$3:$A$302,0)),"미등록사번"))</f>
        <v/>
      </c>
      <c r="D1642" s="9"/>
      <c r="E1642" s="15" t="str">
        <f aca="false">IF($D1642="","",IFERROR(INDEX(교육과정!$B$3:$B$102,MATCH($D1642,교육과정!$A$3:$A$102,0)),"미등록과정"))</f>
        <v/>
      </c>
      <c r="F1642" s="13"/>
      <c r="G1642" s="9"/>
      <c r="H1642" s="9"/>
    </row>
    <row r="1643" customFormat="false" ht="15" hidden="false" customHeight="true" outlineLevel="0" collapsed="false">
      <c r="A1643" s="11"/>
      <c r="B1643" s="9"/>
      <c r="C1643" s="15" t="str">
        <f aca="false">IF($B1643="","",IFERROR(INDEX(직원목록!$B$3:$B$302,MATCH($B1643,직원목록!$A$3:$A$302,0)),"미등록사번"))</f>
        <v/>
      </c>
      <c r="D1643" s="9"/>
      <c r="E1643" s="15" t="str">
        <f aca="false">IF($D1643="","",IFERROR(INDEX(교육과정!$B$3:$B$102,MATCH($D1643,교육과정!$A$3:$A$102,0)),"미등록과정"))</f>
        <v/>
      </c>
      <c r="F1643" s="13"/>
      <c r="G1643" s="9"/>
      <c r="H1643" s="9"/>
    </row>
    <row r="1644" customFormat="false" ht="15" hidden="false" customHeight="true" outlineLevel="0" collapsed="false">
      <c r="A1644" s="11"/>
      <c r="B1644" s="9"/>
      <c r="C1644" s="15" t="str">
        <f aca="false">IF($B1644="","",IFERROR(INDEX(직원목록!$B$3:$B$302,MATCH($B1644,직원목록!$A$3:$A$302,0)),"미등록사번"))</f>
        <v/>
      </c>
      <c r="D1644" s="9"/>
      <c r="E1644" s="15" t="str">
        <f aca="false">IF($D1644="","",IFERROR(INDEX(교육과정!$B$3:$B$102,MATCH($D1644,교육과정!$A$3:$A$102,0)),"미등록과정"))</f>
        <v/>
      </c>
      <c r="F1644" s="13"/>
      <c r="G1644" s="9"/>
      <c r="H1644" s="9"/>
    </row>
    <row r="1645" customFormat="false" ht="15" hidden="false" customHeight="true" outlineLevel="0" collapsed="false">
      <c r="A1645" s="11"/>
      <c r="B1645" s="9"/>
      <c r="C1645" s="15" t="str">
        <f aca="false">IF($B1645="","",IFERROR(INDEX(직원목록!$B$3:$B$302,MATCH($B1645,직원목록!$A$3:$A$302,0)),"미등록사번"))</f>
        <v/>
      </c>
      <c r="D1645" s="9"/>
      <c r="E1645" s="15" t="str">
        <f aca="false">IF($D1645="","",IFERROR(INDEX(교육과정!$B$3:$B$102,MATCH($D1645,교육과정!$A$3:$A$102,0)),"미등록과정"))</f>
        <v/>
      </c>
      <c r="F1645" s="13"/>
      <c r="G1645" s="9"/>
      <c r="H1645" s="9"/>
    </row>
    <row r="1646" customFormat="false" ht="15" hidden="false" customHeight="true" outlineLevel="0" collapsed="false">
      <c r="A1646" s="11"/>
      <c r="B1646" s="9"/>
      <c r="C1646" s="15" t="str">
        <f aca="false">IF($B1646="","",IFERROR(INDEX(직원목록!$B$3:$B$302,MATCH($B1646,직원목록!$A$3:$A$302,0)),"미등록사번"))</f>
        <v/>
      </c>
      <c r="D1646" s="9"/>
      <c r="E1646" s="15" t="str">
        <f aca="false">IF($D1646="","",IFERROR(INDEX(교육과정!$B$3:$B$102,MATCH($D1646,교육과정!$A$3:$A$102,0)),"미등록과정"))</f>
        <v/>
      </c>
      <c r="F1646" s="13"/>
      <c r="G1646" s="9"/>
      <c r="H1646" s="9"/>
    </row>
    <row r="1647" customFormat="false" ht="15" hidden="false" customHeight="true" outlineLevel="0" collapsed="false">
      <c r="A1647" s="11"/>
      <c r="B1647" s="9"/>
      <c r="C1647" s="15" t="str">
        <f aca="false">IF($B1647="","",IFERROR(INDEX(직원목록!$B$3:$B$302,MATCH($B1647,직원목록!$A$3:$A$302,0)),"미등록사번"))</f>
        <v/>
      </c>
      <c r="D1647" s="9"/>
      <c r="E1647" s="15" t="str">
        <f aca="false">IF($D1647="","",IFERROR(INDEX(교육과정!$B$3:$B$102,MATCH($D1647,교육과정!$A$3:$A$102,0)),"미등록과정"))</f>
        <v/>
      </c>
      <c r="F1647" s="13"/>
      <c r="G1647" s="9"/>
      <c r="H1647" s="9"/>
    </row>
    <row r="1648" customFormat="false" ht="15" hidden="false" customHeight="true" outlineLevel="0" collapsed="false">
      <c r="A1648" s="11"/>
      <c r="B1648" s="9"/>
      <c r="C1648" s="15" t="str">
        <f aca="false">IF($B1648="","",IFERROR(INDEX(직원목록!$B$3:$B$302,MATCH($B1648,직원목록!$A$3:$A$302,0)),"미등록사번"))</f>
        <v/>
      </c>
      <c r="D1648" s="9"/>
      <c r="E1648" s="15" t="str">
        <f aca="false">IF($D1648="","",IFERROR(INDEX(교육과정!$B$3:$B$102,MATCH($D1648,교육과정!$A$3:$A$102,0)),"미등록과정"))</f>
        <v/>
      </c>
      <c r="F1648" s="13"/>
      <c r="G1648" s="9"/>
      <c r="H1648" s="9"/>
    </row>
    <row r="1649" customFormat="false" ht="15" hidden="false" customHeight="true" outlineLevel="0" collapsed="false">
      <c r="A1649" s="11"/>
      <c r="B1649" s="9"/>
      <c r="C1649" s="15" t="str">
        <f aca="false">IF($B1649="","",IFERROR(INDEX(직원목록!$B$3:$B$302,MATCH($B1649,직원목록!$A$3:$A$302,0)),"미등록사번"))</f>
        <v/>
      </c>
      <c r="D1649" s="9"/>
      <c r="E1649" s="15" t="str">
        <f aca="false">IF($D1649="","",IFERROR(INDEX(교육과정!$B$3:$B$102,MATCH($D1649,교육과정!$A$3:$A$102,0)),"미등록과정"))</f>
        <v/>
      </c>
      <c r="F1649" s="13"/>
      <c r="G1649" s="9"/>
      <c r="H1649" s="9"/>
    </row>
    <row r="1650" customFormat="false" ht="15" hidden="false" customHeight="true" outlineLevel="0" collapsed="false">
      <c r="A1650" s="11"/>
      <c r="B1650" s="9"/>
      <c r="C1650" s="15" t="str">
        <f aca="false">IF($B1650="","",IFERROR(INDEX(직원목록!$B$3:$B$302,MATCH($B1650,직원목록!$A$3:$A$302,0)),"미등록사번"))</f>
        <v/>
      </c>
      <c r="D1650" s="9"/>
      <c r="E1650" s="15" t="str">
        <f aca="false">IF($D1650="","",IFERROR(INDEX(교육과정!$B$3:$B$102,MATCH($D1650,교육과정!$A$3:$A$102,0)),"미등록과정"))</f>
        <v/>
      </c>
      <c r="F1650" s="13"/>
      <c r="G1650" s="9"/>
      <c r="H1650" s="9"/>
    </row>
    <row r="1651" customFormat="false" ht="15" hidden="false" customHeight="true" outlineLevel="0" collapsed="false">
      <c r="A1651" s="11"/>
      <c r="B1651" s="9"/>
      <c r="C1651" s="15" t="str">
        <f aca="false">IF($B1651="","",IFERROR(INDEX(직원목록!$B$3:$B$302,MATCH($B1651,직원목록!$A$3:$A$302,0)),"미등록사번"))</f>
        <v/>
      </c>
      <c r="D1651" s="9"/>
      <c r="E1651" s="15" t="str">
        <f aca="false">IF($D1651="","",IFERROR(INDEX(교육과정!$B$3:$B$102,MATCH($D1651,교육과정!$A$3:$A$102,0)),"미등록과정"))</f>
        <v/>
      </c>
      <c r="F1651" s="13"/>
      <c r="G1651" s="9"/>
      <c r="H1651" s="9"/>
    </row>
    <row r="1652" customFormat="false" ht="15" hidden="false" customHeight="true" outlineLevel="0" collapsed="false">
      <c r="A1652" s="11"/>
      <c r="B1652" s="9"/>
      <c r="C1652" s="15" t="str">
        <f aca="false">IF($B1652="","",IFERROR(INDEX(직원목록!$B$3:$B$302,MATCH($B1652,직원목록!$A$3:$A$302,0)),"미등록사번"))</f>
        <v/>
      </c>
      <c r="D1652" s="9"/>
      <c r="E1652" s="15" t="str">
        <f aca="false">IF($D1652="","",IFERROR(INDEX(교육과정!$B$3:$B$102,MATCH($D1652,교육과정!$A$3:$A$102,0)),"미등록과정"))</f>
        <v/>
      </c>
      <c r="F1652" s="13"/>
      <c r="G1652" s="9"/>
      <c r="H1652" s="9"/>
    </row>
    <row r="1653" customFormat="false" ht="15" hidden="false" customHeight="true" outlineLevel="0" collapsed="false">
      <c r="A1653" s="11"/>
      <c r="B1653" s="9"/>
      <c r="C1653" s="15" t="str">
        <f aca="false">IF($B1653="","",IFERROR(INDEX(직원목록!$B$3:$B$302,MATCH($B1653,직원목록!$A$3:$A$302,0)),"미등록사번"))</f>
        <v/>
      </c>
      <c r="D1653" s="9"/>
      <c r="E1653" s="15" t="str">
        <f aca="false">IF($D1653="","",IFERROR(INDEX(교육과정!$B$3:$B$102,MATCH($D1653,교육과정!$A$3:$A$102,0)),"미등록과정"))</f>
        <v/>
      </c>
      <c r="F1653" s="13"/>
      <c r="G1653" s="9"/>
      <c r="H1653" s="9"/>
    </row>
    <row r="1654" customFormat="false" ht="15" hidden="false" customHeight="true" outlineLevel="0" collapsed="false">
      <c r="A1654" s="11"/>
      <c r="B1654" s="9"/>
      <c r="C1654" s="15" t="str">
        <f aca="false">IF($B1654="","",IFERROR(INDEX(직원목록!$B$3:$B$302,MATCH($B1654,직원목록!$A$3:$A$302,0)),"미등록사번"))</f>
        <v/>
      </c>
      <c r="D1654" s="9"/>
      <c r="E1654" s="15" t="str">
        <f aca="false">IF($D1654="","",IFERROR(INDEX(교육과정!$B$3:$B$102,MATCH($D1654,교육과정!$A$3:$A$102,0)),"미등록과정"))</f>
        <v/>
      </c>
      <c r="F1654" s="13"/>
      <c r="G1654" s="9"/>
      <c r="H1654" s="9"/>
    </row>
    <row r="1655" customFormat="false" ht="15" hidden="false" customHeight="true" outlineLevel="0" collapsed="false">
      <c r="A1655" s="11"/>
      <c r="B1655" s="9"/>
      <c r="C1655" s="15" t="str">
        <f aca="false">IF($B1655="","",IFERROR(INDEX(직원목록!$B$3:$B$302,MATCH($B1655,직원목록!$A$3:$A$302,0)),"미등록사번"))</f>
        <v/>
      </c>
      <c r="D1655" s="9"/>
      <c r="E1655" s="15" t="str">
        <f aca="false">IF($D1655="","",IFERROR(INDEX(교육과정!$B$3:$B$102,MATCH($D1655,교육과정!$A$3:$A$102,0)),"미등록과정"))</f>
        <v/>
      </c>
      <c r="F1655" s="13"/>
      <c r="G1655" s="9"/>
      <c r="H1655" s="9"/>
    </row>
    <row r="1656" customFormat="false" ht="15" hidden="false" customHeight="true" outlineLevel="0" collapsed="false">
      <c r="A1656" s="11"/>
      <c r="B1656" s="9"/>
      <c r="C1656" s="15" t="str">
        <f aca="false">IF($B1656="","",IFERROR(INDEX(직원목록!$B$3:$B$302,MATCH($B1656,직원목록!$A$3:$A$302,0)),"미등록사번"))</f>
        <v/>
      </c>
      <c r="D1656" s="9"/>
      <c r="E1656" s="15" t="str">
        <f aca="false">IF($D1656="","",IFERROR(INDEX(교육과정!$B$3:$B$102,MATCH($D1656,교육과정!$A$3:$A$102,0)),"미등록과정"))</f>
        <v/>
      </c>
      <c r="F1656" s="13"/>
      <c r="G1656" s="9"/>
      <c r="H1656" s="9"/>
    </row>
    <row r="1657" customFormat="false" ht="15" hidden="false" customHeight="true" outlineLevel="0" collapsed="false">
      <c r="A1657" s="11"/>
      <c r="B1657" s="9"/>
      <c r="C1657" s="15" t="str">
        <f aca="false">IF($B1657="","",IFERROR(INDEX(직원목록!$B$3:$B$302,MATCH($B1657,직원목록!$A$3:$A$302,0)),"미등록사번"))</f>
        <v/>
      </c>
      <c r="D1657" s="9"/>
      <c r="E1657" s="15" t="str">
        <f aca="false">IF($D1657="","",IFERROR(INDEX(교육과정!$B$3:$B$102,MATCH($D1657,교육과정!$A$3:$A$102,0)),"미등록과정"))</f>
        <v/>
      </c>
      <c r="F1657" s="13"/>
      <c r="G1657" s="9"/>
      <c r="H1657" s="9"/>
    </row>
    <row r="1658" customFormat="false" ht="15" hidden="false" customHeight="true" outlineLevel="0" collapsed="false">
      <c r="A1658" s="11"/>
      <c r="B1658" s="9"/>
      <c r="C1658" s="15" t="str">
        <f aca="false">IF($B1658="","",IFERROR(INDEX(직원목록!$B$3:$B$302,MATCH($B1658,직원목록!$A$3:$A$302,0)),"미등록사번"))</f>
        <v/>
      </c>
      <c r="D1658" s="9"/>
      <c r="E1658" s="15" t="str">
        <f aca="false">IF($D1658="","",IFERROR(INDEX(교육과정!$B$3:$B$102,MATCH($D1658,교육과정!$A$3:$A$102,0)),"미등록과정"))</f>
        <v/>
      </c>
      <c r="F1658" s="13"/>
      <c r="G1658" s="9"/>
      <c r="H1658" s="9"/>
    </row>
    <row r="1659" customFormat="false" ht="15" hidden="false" customHeight="true" outlineLevel="0" collapsed="false">
      <c r="A1659" s="11"/>
      <c r="B1659" s="9"/>
      <c r="C1659" s="15" t="str">
        <f aca="false">IF($B1659="","",IFERROR(INDEX(직원목록!$B$3:$B$302,MATCH($B1659,직원목록!$A$3:$A$302,0)),"미등록사번"))</f>
        <v/>
      </c>
      <c r="D1659" s="9"/>
      <c r="E1659" s="15" t="str">
        <f aca="false">IF($D1659="","",IFERROR(INDEX(교육과정!$B$3:$B$102,MATCH($D1659,교육과정!$A$3:$A$102,0)),"미등록과정"))</f>
        <v/>
      </c>
      <c r="F1659" s="13"/>
      <c r="G1659" s="9"/>
      <c r="H1659" s="9"/>
    </row>
    <row r="1660" customFormat="false" ht="15" hidden="false" customHeight="true" outlineLevel="0" collapsed="false">
      <c r="A1660" s="11"/>
      <c r="B1660" s="9"/>
      <c r="C1660" s="15" t="str">
        <f aca="false">IF($B1660="","",IFERROR(INDEX(직원목록!$B$3:$B$302,MATCH($B1660,직원목록!$A$3:$A$302,0)),"미등록사번"))</f>
        <v/>
      </c>
      <c r="D1660" s="9"/>
      <c r="E1660" s="15" t="str">
        <f aca="false">IF($D1660="","",IFERROR(INDEX(교육과정!$B$3:$B$102,MATCH($D1660,교육과정!$A$3:$A$102,0)),"미등록과정"))</f>
        <v/>
      </c>
      <c r="F1660" s="13"/>
      <c r="G1660" s="9"/>
      <c r="H1660" s="9"/>
    </row>
    <row r="1661" customFormat="false" ht="15" hidden="false" customHeight="true" outlineLevel="0" collapsed="false">
      <c r="A1661" s="11"/>
      <c r="B1661" s="9"/>
      <c r="C1661" s="15" t="str">
        <f aca="false">IF($B1661="","",IFERROR(INDEX(직원목록!$B$3:$B$302,MATCH($B1661,직원목록!$A$3:$A$302,0)),"미등록사번"))</f>
        <v/>
      </c>
      <c r="D1661" s="9"/>
      <c r="E1661" s="15" t="str">
        <f aca="false">IF($D1661="","",IFERROR(INDEX(교육과정!$B$3:$B$102,MATCH($D1661,교육과정!$A$3:$A$102,0)),"미등록과정"))</f>
        <v/>
      </c>
      <c r="F1661" s="13"/>
      <c r="G1661" s="9"/>
      <c r="H1661" s="9"/>
    </row>
    <row r="1662" customFormat="false" ht="15" hidden="false" customHeight="true" outlineLevel="0" collapsed="false">
      <c r="A1662" s="11"/>
      <c r="B1662" s="9"/>
      <c r="C1662" s="15" t="str">
        <f aca="false">IF($B1662="","",IFERROR(INDEX(직원목록!$B$3:$B$302,MATCH($B1662,직원목록!$A$3:$A$302,0)),"미등록사번"))</f>
        <v/>
      </c>
      <c r="D1662" s="9"/>
      <c r="E1662" s="15" t="str">
        <f aca="false">IF($D1662="","",IFERROR(INDEX(교육과정!$B$3:$B$102,MATCH($D1662,교육과정!$A$3:$A$102,0)),"미등록과정"))</f>
        <v/>
      </c>
      <c r="F1662" s="13"/>
      <c r="G1662" s="9"/>
      <c r="H1662" s="9"/>
    </row>
    <row r="1663" customFormat="false" ht="15" hidden="false" customHeight="true" outlineLevel="0" collapsed="false">
      <c r="A1663" s="11"/>
      <c r="B1663" s="9"/>
      <c r="C1663" s="15" t="str">
        <f aca="false">IF($B1663="","",IFERROR(INDEX(직원목록!$B$3:$B$302,MATCH($B1663,직원목록!$A$3:$A$302,0)),"미등록사번"))</f>
        <v/>
      </c>
      <c r="D1663" s="9"/>
      <c r="E1663" s="15" t="str">
        <f aca="false">IF($D1663="","",IFERROR(INDEX(교육과정!$B$3:$B$102,MATCH($D1663,교육과정!$A$3:$A$102,0)),"미등록과정"))</f>
        <v/>
      </c>
      <c r="F1663" s="13"/>
      <c r="G1663" s="9"/>
      <c r="H1663" s="9"/>
    </row>
    <row r="1664" customFormat="false" ht="15" hidden="false" customHeight="true" outlineLevel="0" collapsed="false">
      <c r="A1664" s="11"/>
      <c r="B1664" s="9"/>
      <c r="C1664" s="15" t="str">
        <f aca="false">IF($B1664="","",IFERROR(INDEX(직원목록!$B$3:$B$302,MATCH($B1664,직원목록!$A$3:$A$302,0)),"미등록사번"))</f>
        <v/>
      </c>
      <c r="D1664" s="9"/>
      <c r="E1664" s="15" t="str">
        <f aca="false">IF($D1664="","",IFERROR(INDEX(교육과정!$B$3:$B$102,MATCH($D1664,교육과정!$A$3:$A$102,0)),"미등록과정"))</f>
        <v/>
      </c>
      <c r="F1664" s="13"/>
      <c r="G1664" s="9"/>
      <c r="H1664" s="9"/>
    </row>
    <row r="1665" customFormat="false" ht="15" hidden="false" customHeight="true" outlineLevel="0" collapsed="false">
      <c r="A1665" s="11"/>
      <c r="B1665" s="9"/>
      <c r="C1665" s="15" t="str">
        <f aca="false">IF($B1665="","",IFERROR(INDEX(직원목록!$B$3:$B$302,MATCH($B1665,직원목록!$A$3:$A$302,0)),"미등록사번"))</f>
        <v/>
      </c>
      <c r="D1665" s="9"/>
      <c r="E1665" s="15" t="str">
        <f aca="false">IF($D1665="","",IFERROR(INDEX(교육과정!$B$3:$B$102,MATCH($D1665,교육과정!$A$3:$A$102,0)),"미등록과정"))</f>
        <v/>
      </c>
      <c r="F1665" s="13"/>
      <c r="G1665" s="9"/>
      <c r="H1665" s="9"/>
    </row>
    <row r="1666" customFormat="false" ht="15" hidden="false" customHeight="true" outlineLevel="0" collapsed="false">
      <c r="A1666" s="11"/>
      <c r="B1666" s="9"/>
      <c r="C1666" s="15" t="str">
        <f aca="false">IF($B1666="","",IFERROR(INDEX(직원목록!$B$3:$B$302,MATCH($B1666,직원목록!$A$3:$A$302,0)),"미등록사번"))</f>
        <v/>
      </c>
      <c r="D1666" s="9"/>
      <c r="E1666" s="15" t="str">
        <f aca="false">IF($D1666="","",IFERROR(INDEX(교육과정!$B$3:$B$102,MATCH($D1666,교육과정!$A$3:$A$102,0)),"미등록과정"))</f>
        <v/>
      </c>
      <c r="F1666" s="13"/>
      <c r="G1666" s="9"/>
      <c r="H1666" s="9"/>
    </row>
    <row r="1667" customFormat="false" ht="15" hidden="false" customHeight="true" outlineLevel="0" collapsed="false">
      <c r="A1667" s="11"/>
      <c r="B1667" s="9"/>
      <c r="C1667" s="15" t="str">
        <f aca="false">IF($B1667="","",IFERROR(INDEX(직원목록!$B$3:$B$302,MATCH($B1667,직원목록!$A$3:$A$302,0)),"미등록사번"))</f>
        <v/>
      </c>
      <c r="D1667" s="9"/>
      <c r="E1667" s="15" t="str">
        <f aca="false">IF($D1667="","",IFERROR(INDEX(교육과정!$B$3:$B$102,MATCH($D1667,교육과정!$A$3:$A$102,0)),"미등록과정"))</f>
        <v/>
      </c>
      <c r="F1667" s="13"/>
      <c r="G1667" s="9"/>
      <c r="H1667" s="9"/>
    </row>
    <row r="1668" customFormat="false" ht="15" hidden="false" customHeight="true" outlineLevel="0" collapsed="false">
      <c r="A1668" s="11"/>
      <c r="B1668" s="9"/>
      <c r="C1668" s="15" t="str">
        <f aca="false">IF($B1668="","",IFERROR(INDEX(직원목록!$B$3:$B$302,MATCH($B1668,직원목록!$A$3:$A$302,0)),"미등록사번"))</f>
        <v/>
      </c>
      <c r="D1668" s="9"/>
      <c r="E1668" s="15" t="str">
        <f aca="false">IF($D1668="","",IFERROR(INDEX(교육과정!$B$3:$B$102,MATCH($D1668,교육과정!$A$3:$A$102,0)),"미등록과정"))</f>
        <v/>
      </c>
      <c r="F1668" s="13"/>
      <c r="G1668" s="9"/>
      <c r="H1668" s="9"/>
    </row>
    <row r="1669" customFormat="false" ht="15" hidden="false" customHeight="true" outlineLevel="0" collapsed="false">
      <c r="A1669" s="11"/>
      <c r="B1669" s="9"/>
      <c r="C1669" s="15" t="str">
        <f aca="false">IF($B1669="","",IFERROR(INDEX(직원목록!$B$3:$B$302,MATCH($B1669,직원목록!$A$3:$A$302,0)),"미등록사번"))</f>
        <v/>
      </c>
      <c r="D1669" s="9"/>
      <c r="E1669" s="15" t="str">
        <f aca="false">IF($D1669="","",IFERROR(INDEX(교육과정!$B$3:$B$102,MATCH($D1669,교육과정!$A$3:$A$102,0)),"미등록과정"))</f>
        <v/>
      </c>
      <c r="F1669" s="13"/>
      <c r="G1669" s="9"/>
      <c r="H1669" s="9"/>
    </row>
    <row r="1670" customFormat="false" ht="15" hidden="false" customHeight="true" outlineLevel="0" collapsed="false">
      <c r="A1670" s="11"/>
      <c r="B1670" s="9"/>
      <c r="C1670" s="15" t="str">
        <f aca="false">IF($B1670="","",IFERROR(INDEX(직원목록!$B$3:$B$302,MATCH($B1670,직원목록!$A$3:$A$302,0)),"미등록사번"))</f>
        <v/>
      </c>
      <c r="D1670" s="9"/>
      <c r="E1670" s="15" t="str">
        <f aca="false">IF($D1670="","",IFERROR(INDEX(교육과정!$B$3:$B$102,MATCH($D1670,교육과정!$A$3:$A$102,0)),"미등록과정"))</f>
        <v/>
      </c>
      <c r="F1670" s="13"/>
      <c r="G1670" s="9"/>
      <c r="H1670" s="9"/>
    </row>
    <row r="1671" customFormat="false" ht="15" hidden="false" customHeight="true" outlineLevel="0" collapsed="false">
      <c r="A1671" s="11"/>
      <c r="B1671" s="9"/>
      <c r="C1671" s="15" t="str">
        <f aca="false">IF($B1671="","",IFERROR(INDEX(직원목록!$B$3:$B$302,MATCH($B1671,직원목록!$A$3:$A$302,0)),"미등록사번"))</f>
        <v/>
      </c>
      <c r="D1671" s="9"/>
      <c r="E1671" s="15" t="str">
        <f aca="false">IF($D1671="","",IFERROR(INDEX(교육과정!$B$3:$B$102,MATCH($D1671,교육과정!$A$3:$A$102,0)),"미등록과정"))</f>
        <v/>
      </c>
      <c r="F1671" s="13"/>
      <c r="G1671" s="9"/>
      <c r="H1671" s="9"/>
    </row>
    <row r="1672" customFormat="false" ht="15" hidden="false" customHeight="true" outlineLevel="0" collapsed="false">
      <c r="A1672" s="11"/>
      <c r="B1672" s="9"/>
      <c r="C1672" s="15" t="str">
        <f aca="false">IF($B1672="","",IFERROR(INDEX(직원목록!$B$3:$B$302,MATCH($B1672,직원목록!$A$3:$A$302,0)),"미등록사번"))</f>
        <v/>
      </c>
      <c r="D1672" s="9"/>
      <c r="E1672" s="15" t="str">
        <f aca="false">IF($D1672="","",IFERROR(INDEX(교육과정!$B$3:$B$102,MATCH($D1672,교육과정!$A$3:$A$102,0)),"미등록과정"))</f>
        <v/>
      </c>
      <c r="F1672" s="13"/>
      <c r="G1672" s="9"/>
      <c r="H1672" s="9"/>
    </row>
    <row r="1673" customFormat="false" ht="15" hidden="false" customHeight="true" outlineLevel="0" collapsed="false">
      <c r="A1673" s="11"/>
      <c r="B1673" s="9"/>
      <c r="C1673" s="15" t="str">
        <f aca="false">IF($B1673="","",IFERROR(INDEX(직원목록!$B$3:$B$302,MATCH($B1673,직원목록!$A$3:$A$302,0)),"미등록사번"))</f>
        <v/>
      </c>
      <c r="D1673" s="9"/>
      <c r="E1673" s="15" t="str">
        <f aca="false">IF($D1673="","",IFERROR(INDEX(교육과정!$B$3:$B$102,MATCH($D1673,교육과정!$A$3:$A$102,0)),"미등록과정"))</f>
        <v/>
      </c>
      <c r="F1673" s="13"/>
      <c r="G1673" s="9"/>
      <c r="H1673" s="9"/>
    </row>
    <row r="1674" customFormat="false" ht="15" hidden="false" customHeight="true" outlineLevel="0" collapsed="false">
      <c r="A1674" s="11"/>
      <c r="B1674" s="9"/>
      <c r="C1674" s="15" t="str">
        <f aca="false">IF($B1674="","",IFERROR(INDEX(직원목록!$B$3:$B$302,MATCH($B1674,직원목록!$A$3:$A$302,0)),"미등록사번"))</f>
        <v/>
      </c>
      <c r="D1674" s="9"/>
      <c r="E1674" s="15" t="str">
        <f aca="false">IF($D1674="","",IFERROR(INDEX(교육과정!$B$3:$B$102,MATCH($D1674,교육과정!$A$3:$A$102,0)),"미등록과정"))</f>
        <v/>
      </c>
      <c r="F1674" s="13"/>
      <c r="G1674" s="9"/>
      <c r="H1674" s="9"/>
    </row>
    <row r="1675" customFormat="false" ht="15" hidden="false" customHeight="true" outlineLevel="0" collapsed="false">
      <c r="A1675" s="11"/>
      <c r="B1675" s="9"/>
      <c r="C1675" s="15" t="str">
        <f aca="false">IF($B1675="","",IFERROR(INDEX(직원목록!$B$3:$B$302,MATCH($B1675,직원목록!$A$3:$A$302,0)),"미등록사번"))</f>
        <v/>
      </c>
      <c r="D1675" s="9"/>
      <c r="E1675" s="15" t="str">
        <f aca="false">IF($D1675="","",IFERROR(INDEX(교육과정!$B$3:$B$102,MATCH($D1675,교육과정!$A$3:$A$102,0)),"미등록과정"))</f>
        <v/>
      </c>
      <c r="F1675" s="13"/>
      <c r="G1675" s="9"/>
      <c r="H1675" s="9"/>
    </row>
    <row r="1676" customFormat="false" ht="15" hidden="false" customHeight="true" outlineLevel="0" collapsed="false">
      <c r="A1676" s="11"/>
      <c r="B1676" s="9"/>
      <c r="C1676" s="15" t="str">
        <f aca="false">IF($B1676="","",IFERROR(INDEX(직원목록!$B$3:$B$302,MATCH($B1676,직원목록!$A$3:$A$302,0)),"미등록사번"))</f>
        <v/>
      </c>
      <c r="D1676" s="9"/>
      <c r="E1676" s="15" t="str">
        <f aca="false">IF($D1676="","",IFERROR(INDEX(교육과정!$B$3:$B$102,MATCH($D1676,교육과정!$A$3:$A$102,0)),"미등록과정"))</f>
        <v/>
      </c>
      <c r="F1676" s="13"/>
      <c r="G1676" s="9"/>
      <c r="H1676" s="9"/>
    </row>
    <row r="1677" customFormat="false" ht="15" hidden="false" customHeight="true" outlineLevel="0" collapsed="false">
      <c r="A1677" s="11"/>
      <c r="B1677" s="9"/>
      <c r="C1677" s="15" t="str">
        <f aca="false">IF($B1677="","",IFERROR(INDEX(직원목록!$B$3:$B$302,MATCH($B1677,직원목록!$A$3:$A$302,0)),"미등록사번"))</f>
        <v/>
      </c>
      <c r="D1677" s="9"/>
      <c r="E1677" s="15" t="str">
        <f aca="false">IF($D1677="","",IFERROR(INDEX(교육과정!$B$3:$B$102,MATCH($D1677,교육과정!$A$3:$A$102,0)),"미등록과정"))</f>
        <v/>
      </c>
      <c r="F1677" s="13"/>
      <c r="G1677" s="9"/>
      <c r="H1677" s="9"/>
    </row>
    <row r="1678" customFormat="false" ht="15" hidden="false" customHeight="true" outlineLevel="0" collapsed="false">
      <c r="A1678" s="11"/>
      <c r="B1678" s="9"/>
      <c r="C1678" s="15" t="str">
        <f aca="false">IF($B1678="","",IFERROR(INDEX(직원목록!$B$3:$B$302,MATCH($B1678,직원목록!$A$3:$A$302,0)),"미등록사번"))</f>
        <v/>
      </c>
      <c r="D1678" s="9"/>
      <c r="E1678" s="15" t="str">
        <f aca="false">IF($D1678="","",IFERROR(INDEX(교육과정!$B$3:$B$102,MATCH($D1678,교육과정!$A$3:$A$102,0)),"미등록과정"))</f>
        <v/>
      </c>
      <c r="F1678" s="13"/>
      <c r="G1678" s="9"/>
      <c r="H1678" s="9"/>
    </row>
    <row r="1679" customFormat="false" ht="15" hidden="false" customHeight="true" outlineLevel="0" collapsed="false">
      <c r="A1679" s="11"/>
      <c r="B1679" s="9"/>
      <c r="C1679" s="15" t="str">
        <f aca="false">IF($B1679="","",IFERROR(INDEX(직원목록!$B$3:$B$302,MATCH($B1679,직원목록!$A$3:$A$302,0)),"미등록사번"))</f>
        <v/>
      </c>
      <c r="D1679" s="9"/>
      <c r="E1679" s="15" t="str">
        <f aca="false">IF($D1679="","",IFERROR(INDEX(교육과정!$B$3:$B$102,MATCH($D1679,교육과정!$A$3:$A$102,0)),"미등록과정"))</f>
        <v/>
      </c>
      <c r="F1679" s="13"/>
      <c r="G1679" s="9"/>
      <c r="H1679" s="9"/>
    </row>
    <row r="1680" customFormat="false" ht="15" hidden="false" customHeight="true" outlineLevel="0" collapsed="false">
      <c r="A1680" s="11"/>
      <c r="B1680" s="9"/>
      <c r="C1680" s="15" t="str">
        <f aca="false">IF($B1680="","",IFERROR(INDEX(직원목록!$B$3:$B$302,MATCH($B1680,직원목록!$A$3:$A$302,0)),"미등록사번"))</f>
        <v/>
      </c>
      <c r="D1680" s="9"/>
      <c r="E1680" s="15" t="str">
        <f aca="false">IF($D1680="","",IFERROR(INDEX(교육과정!$B$3:$B$102,MATCH($D1680,교육과정!$A$3:$A$102,0)),"미등록과정"))</f>
        <v/>
      </c>
      <c r="F1680" s="13"/>
      <c r="G1680" s="9"/>
      <c r="H1680" s="9"/>
    </row>
    <row r="1681" customFormat="false" ht="15" hidden="false" customHeight="true" outlineLevel="0" collapsed="false">
      <c r="A1681" s="11"/>
      <c r="B1681" s="9"/>
      <c r="C1681" s="15" t="str">
        <f aca="false">IF($B1681="","",IFERROR(INDEX(직원목록!$B$3:$B$302,MATCH($B1681,직원목록!$A$3:$A$302,0)),"미등록사번"))</f>
        <v/>
      </c>
      <c r="D1681" s="9"/>
      <c r="E1681" s="15" t="str">
        <f aca="false">IF($D1681="","",IFERROR(INDEX(교육과정!$B$3:$B$102,MATCH($D1681,교육과정!$A$3:$A$102,0)),"미등록과정"))</f>
        <v/>
      </c>
      <c r="F1681" s="13"/>
      <c r="G1681" s="9"/>
      <c r="H1681" s="9"/>
    </row>
    <row r="1682" customFormat="false" ht="15" hidden="false" customHeight="true" outlineLevel="0" collapsed="false">
      <c r="A1682" s="11"/>
      <c r="B1682" s="9"/>
      <c r="C1682" s="15" t="str">
        <f aca="false">IF($B1682="","",IFERROR(INDEX(직원목록!$B$3:$B$302,MATCH($B1682,직원목록!$A$3:$A$302,0)),"미등록사번"))</f>
        <v/>
      </c>
      <c r="D1682" s="9"/>
      <c r="E1682" s="15" t="str">
        <f aca="false">IF($D1682="","",IFERROR(INDEX(교육과정!$B$3:$B$102,MATCH($D1682,교육과정!$A$3:$A$102,0)),"미등록과정"))</f>
        <v/>
      </c>
      <c r="F1682" s="13"/>
      <c r="G1682" s="9"/>
      <c r="H1682" s="9"/>
    </row>
    <row r="1683" customFormat="false" ht="15" hidden="false" customHeight="true" outlineLevel="0" collapsed="false">
      <c r="A1683" s="11"/>
      <c r="B1683" s="9"/>
      <c r="C1683" s="15" t="str">
        <f aca="false">IF($B1683="","",IFERROR(INDEX(직원목록!$B$3:$B$302,MATCH($B1683,직원목록!$A$3:$A$302,0)),"미등록사번"))</f>
        <v/>
      </c>
      <c r="D1683" s="9"/>
      <c r="E1683" s="15" t="str">
        <f aca="false">IF($D1683="","",IFERROR(INDEX(교육과정!$B$3:$B$102,MATCH($D1683,교육과정!$A$3:$A$102,0)),"미등록과정"))</f>
        <v/>
      </c>
      <c r="F1683" s="13"/>
      <c r="G1683" s="9"/>
      <c r="H1683" s="9"/>
    </row>
    <row r="1684" customFormat="false" ht="15" hidden="false" customHeight="true" outlineLevel="0" collapsed="false">
      <c r="A1684" s="11"/>
      <c r="B1684" s="9"/>
      <c r="C1684" s="15" t="str">
        <f aca="false">IF($B1684="","",IFERROR(INDEX(직원목록!$B$3:$B$302,MATCH($B1684,직원목록!$A$3:$A$302,0)),"미등록사번"))</f>
        <v/>
      </c>
      <c r="D1684" s="9"/>
      <c r="E1684" s="15" t="str">
        <f aca="false">IF($D1684="","",IFERROR(INDEX(교육과정!$B$3:$B$102,MATCH($D1684,교육과정!$A$3:$A$102,0)),"미등록과정"))</f>
        <v/>
      </c>
      <c r="F1684" s="13"/>
      <c r="G1684" s="9"/>
      <c r="H1684" s="9"/>
    </row>
    <row r="1685" customFormat="false" ht="15" hidden="false" customHeight="true" outlineLevel="0" collapsed="false">
      <c r="A1685" s="11"/>
      <c r="B1685" s="9"/>
      <c r="C1685" s="15" t="str">
        <f aca="false">IF($B1685="","",IFERROR(INDEX(직원목록!$B$3:$B$302,MATCH($B1685,직원목록!$A$3:$A$302,0)),"미등록사번"))</f>
        <v/>
      </c>
      <c r="D1685" s="9"/>
      <c r="E1685" s="15" t="str">
        <f aca="false">IF($D1685="","",IFERROR(INDEX(교육과정!$B$3:$B$102,MATCH($D1685,교육과정!$A$3:$A$102,0)),"미등록과정"))</f>
        <v/>
      </c>
      <c r="F1685" s="13"/>
      <c r="G1685" s="9"/>
      <c r="H1685" s="9"/>
    </row>
    <row r="1686" customFormat="false" ht="15" hidden="false" customHeight="true" outlineLevel="0" collapsed="false">
      <c r="A1686" s="11"/>
      <c r="B1686" s="9"/>
      <c r="C1686" s="15" t="str">
        <f aca="false">IF($B1686="","",IFERROR(INDEX(직원목록!$B$3:$B$302,MATCH($B1686,직원목록!$A$3:$A$302,0)),"미등록사번"))</f>
        <v/>
      </c>
      <c r="D1686" s="9"/>
      <c r="E1686" s="15" t="str">
        <f aca="false">IF($D1686="","",IFERROR(INDEX(교육과정!$B$3:$B$102,MATCH($D1686,교육과정!$A$3:$A$102,0)),"미등록과정"))</f>
        <v/>
      </c>
      <c r="F1686" s="13"/>
      <c r="G1686" s="9"/>
      <c r="H1686" s="9"/>
    </row>
    <row r="1687" customFormat="false" ht="15" hidden="false" customHeight="true" outlineLevel="0" collapsed="false">
      <c r="A1687" s="11"/>
      <c r="B1687" s="9"/>
      <c r="C1687" s="15" t="str">
        <f aca="false">IF($B1687="","",IFERROR(INDEX(직원목록!$B$3:$B$302,MATCH($B1687,직원목록!$A$3:$A$302,0)),"미등록사번"))</f>
        <v/>
      </c>
      <c r="D1687" s="9"/>
      <c r="E1687" s="15" t="str">
        <f aca="false">IF($D1687="","",IFERROR(INDEX(교육과정!$B$3:$B$102,MATCH($D1687,교육과정!$A$3:$A$102,0)),"미등록과정"))</f>
        <v/>
      </c>
      <c r="F1687" s="13"/>
      <c r="G1687" s="9"/>
      <c r="H1687" s="9"/>
    </row>
    <row r="1688" customFormat="false" ht="15" hidden="false" customHeight="true" outlineLevel="0" collapsed="false">
      <c r="A1688" s="11"/>
      <c r="B1688" s="9"/>
      <c r="C1688" s="15" t="str">
        <f aca="false">IF($B1688="","",IFERROR(INDEX(직원목록!$B$3:$B$302,MATCH($B1688,직원목록!$A$3:$A$302,0)),"미등록사번"))</f>
        <v/>
      </c>
      <c r="D1688" s="9"/>
      <c r="E1688" s="15" t="str">
        <f aca="false">IF($D1688="","",IFERROR(INDEX(교육과정!$B$3:$B$102,MATCH($D1688,교육과정!$A$3:$A$102,0)),"미등록과정"))</f>
        <v/>
      </c>
      <c r="F1688" s="13"/>
      <c r="G1688" s="9"/>
      <c r="H1688" s="9"/>
    </row>
    <row r="1689" customFormat="false" ht="15" hidden="false" customHeight="true" outlineLevel="0" collapsed="false">
      <c r="A1689" s="11"/>
      <c r="B1689" s="9"/>
      <c r="C1689" s="15" t="str">
        <f aca="false">IF($B1689="","",IFERROR(INDEX(직원목록!$B$3:$B$302,MATCH($B1689,직원목록!$A$3:$A$302,0)),"미등록사번"))</f>
        <v/>
      </c>
      <c r="D1689" s="9"/>
      <c r="E1689" s="15" t="str">
        <f aca="false">IF($D1689="","",IFERROR(INDEX(교육과정!$B$3:$B$102,MATCH($D1689,교육과정!$A$3:$A$102,0)),"미등록과정"))</f>
        <v/>
      </c>
      <c r="F1689" s="13"/>
      <c r="G1689" s="9"/>
      <c r="H1689" s="9"/>
    </row>
    <row r="1690" customFormat="false" ht="15" hidden="false" customHeight="true" outlineLevel="0" collapsed="false">
      <c r="A1690" s="11"/>
      <c r="B1690" s="9"/>
      <c r="C1690" s="15" t="str">
        <f aca="false">IF($B1690="","",IFERROR(INDEX(직원목록!$B$3:$B$302,MATCH($B1690,직원목록!$A$3:$A$302,0)),"미등록사번"))</f>
        <v/>
      </c>
      <c r="D1690" s="9"/>
      <c r="E1690" s="15" t="str">
        <f aca="false">IF($D1690="","",IFERROR(INDEX(교육과정!$B$3:$B$102,MATCH($D1690,교육과정!$A$3:$A$102,0)),"미등록과정"))</f>
        <v/>
      </c>
      <c r="F1690" s="13"/>
      <c r="G1690" s="9"/>
      <c r="H1690" s="9"/>
    </row>
    <row r="1691" customFormat="false" ht="15" hidden="false" customHeight="true" outlineLevel="0" collapsed="false">
      <c r="A1691" s="11"/>
      <c r="B1691" s="9"/>
      <c r="C1691" s="15" t="str">
        <f aca="false">IF($B1691="","",IFERROR(INDEX(직원목록!$B$3:$B$302,MATCH($B1691,직원목록!$A$3:$A$302,0)),"미등록사번"))</f>
        <v/>
      </c>
      <c r="D1691" s="9"/>
      <c r="E1691" s="15" t="str">
        <f aca="false">IF($D1691="","",IFERROR(INDEX(교육과정!$B$3:$B$102,MATCH($D1691,교육과정!$A$3:$A$102,0)),"미등록과정"))</f>
        <v/>
      </c>
      <c r="F1691" s="13"/>
      <c r="G1691" s="9"/>
      <c r="H1691" s="9"/>
    </row>
    <row r="1692" customFormat="false" ht="15" hidden="false" customHeight="true" outlineLevel="0" collapsed="false">
      <c r="A1692" s="11"/>
      <c r="B1692" s="9"/>
      <c r="C1692" s="15" t="str">
        <f aca="false">IF($B1692="","",IFERROR(INDEX(직원목록!$B$3:$B$302,MATCH($B1692,직원목록!$A$3:$A$302,0)),"미등록사번"))</f>
        <v/>
      </c>
      <c r="D1692" s="9"/>
      <c r="E1692" s="15" t="str">
        <f aca="false">IF($D1692="","",IFERROR(INDEX(교육과정!$B$3:$B$102,MATCH($D1692,교육과정!$A$3:$A$102,0)),"미등록과정"))</f>
        <v/>
      </c>
      <c r="F1692" s="13"/>
      <c r="G1692" s="9"/>
      <c r="H1692" s="9"/>
    </row>
    <row r="1693" customFormat="false" ht="15" hidden="false" customHeight="true" outlineLevel="0" collapsed="false">
      <c r="A1693" s="11"/>
      <c r="B1693" s="9"/>
      <c r="C1693" s="15" t="str">
        <f aca="false">IF($B1693="","",IFERROR(INDEX(직원목록!$B$3:$B$302,MATCH($B1693,직원목록!$A$3:$A$302,0)),"미등록사번"))</f>
        <v/>
      </c>
      <c r="D1693" s="9"/>
      <c r="E1693" s="15" t="str">
        <f aca="false">IF($D1693="","",IFERROR(INDEX(교육과정!$B$3:$B$102,MATCH($D1693,교육과정!$A$3:$A$102,0)),"미등록과정"))</f>
        <v/>
      </c>
      <c r="F1693" s="13"/>
      <c r="G1693" s="9"/>
      <c r="H1693" s="9"/>
    </row>
    <row r="1694" customFormat="false" ht="15" hidden="false" customHeight="true" outlineLevel="0" collapsed="false">
      <c r="A1694" s="11"/>
      <c r="B1694" s="9"/>
      <c r="C1694" s="15" t="str">
        <f aca="false">IF($B1694="","",IFERROR(INDEX(직원목록!$B$3:$B$302,MATCH($B1694,직원목록!$A$3:$A$302,0)),"미등록사번"))</f>
        <v/>
      </c>
      <c r="D1694" s="9"/>
      <c r="E1694" s="15" t="str">
        <f aca="false">IF($D1694="","",IFERROR(INDEX(교육과정!$B$3:$B$102,MATCH($D1694,교육과정!$A$3:$A$102,0)),"미등록과정"))</f>
        <v/>
      </c>
      <c r="F1694" s="13"/>
      <c r="G1694" s="9"/>
      <c r="H1694" s="9"/>
    </row>
    <row r="1695" customFormat="false" ht="15" hidden="false" customHeight="true" outlineLevel="0" collapsed="false">
      <c r="A1695" s="11"/>
      <c r="B1695" s="9"/>
      <c r="C1695" s="15" t="str">
        <f aca="false">IF($B1695="","",IFERROR(INDEX(직원목록!$B$3:$B$302,MATCH($B1695,직원목록!$A$3:$A$302,0)),"미등록사번"))</f>
        <v/>
      </c>
      <c r="D1695" s="9"/>
      <c r="E1695" s="15" t="str">
        <f aca="false">IF($D1695="","",IFERROR(INDEX(교육과정!$B$3:$B$102,MATCH($D1695,교육과정!$A$3:$A$102,0)),"미등록과정"))</f>
        <v/>
      </c>
      <c r="F1695" s="13"/>
      <c r="G1695" s="9"/>
      <c r="H1695" s="9"/>
    </row>
    <row r="1696" customFormat="false" ht="15" hidden="false" customHeight="true" outlineLevel="0" collapsed="false">
      <c r="A1696" s="11"/>
      <c r="B1696" s="9"/>
      <c r="C1696" s="15" t="str">
        <f aca="false">IF($B1696="","",IFERROR(INDEX(직원목록!$B$3:$B$302,MATCH($B1696,직원목록!$A$3:$A$302,0)),"미등록사번"))</f>
        <v/>
      </c>
      <c r="D1696" s="9"/>
      <c r="E1696" s="15" t="str">
        <f aca="false">IF($D1696="","",IFERROR(INDEX(교육과정!$B$3:$B$102,MATCH($D1696,교육과정!$A$3:$A$102,0)),"미등록과정"))</f>
        <v/>
      </c>
      <c r="F1696" s="13"/>
      <c r="G1696" s="9"/>
      <c r="H1696" s="9"/>
    </row>
    <row r="1697" customFormat="false" ht="15" hidden="false" customHeight="true" outlineLevel="0" collapsed="false">
      <c r="A1697" s="11"/>
      <c r="B1697" s="9"/>
      <c r="C1697" s="15" t="str">
        <f aca="false">IF($B1697="","",IFERROR(INDEX(직원목록!$B$3:$B$302,MATCH($B1697,직원목록!$A$3:$A$302,0)),"미등록사번"))</f>
        <v/>
      </c>
      <c r="D1697" s="9"/>
      <c r="E1697" s="15" t="str">
        <f aca="false">IF($D1697="","",IFERROR(INDEX(교육과정!$B$3:$B$102,MATCH($D1697,교육과정!$A$3:$A$102,0)),"미등록과정"))</f>
        <v/>
      </c>
      <c r="F1697" s="13"/>
      <c r="G1697" s="9"/>
      <c r="H1697" s="9"/>
    </row>
    <row r="1698" customFormat="false" ht="15" hidden="false" customHeight="true" outlineLevel="0" collapsed="false">
      <c r="A1698" s="11"/>
      <c r="B1698" s="9"/>
      <c r="C1698" s="15" t="str">
        <f aca="false">IF($B1698="","",IFERROR(INDEX(직원목록!$B$3:$B$302,MATCH($B1698,직원목록!$A$3:$A$302,0)),"미등록사번"))</f>
        <v/>
      </c>
      <c r="D1698" s="9"/>
      <c r="E1698" s="15" t="str">
        <f aca="false">IF($D1698="","",IFERROR(INDEX(교육과정!$B$3:$B$102,MATCH($D1698,교육과정!$A$3:$A$102,0)),"미등록과정"))</f>
        <v/>
      </c>
      <c r="F1698" s="13"/>
      <c r="G1698" s="9"/>
      <c r="H1698" s="9"/>
    </row>
    <row r="1699" customFormat="false" ht="15" hidden="false" customHeight="true" outlineLevel="0" collapsed="false">
      <c r="A1699" s="11"/>
      <c r="B1699" s="9"/>
      <c r="C1699" s="15" t="str">
        <f aca="false">IF($B1699="","",IFERROR(INDEX(직원목록!$B$3:$B$302,MATCH($B1699,직원목록!$A$3:$A$302,0)),"미등록사번"))</f>
        <v/>
      </c>
      <c r="D1699" s="9"/>
      <c r="E1699" s="15" t="str">
        <f aca="false">IF($D1699="","",IFERROR(INDEX(교육과정!$B$3:$B$102,MATCH($D1699,교육과정!$A$3:$A$102,0)),"미등록과정"))</f>
        <v/>
      </c>
      <c r="F1699" s="13"/>
      <c r="G1699" s="9"/>
      <c r="H1699" s="9"/>
    </row>
    <row r="1700" customFormat="false" ht="15" hidden="false" customHeight="true" outlineLevel="0" collapsed="false">
      <c r="A1700" s="11"/>
      <c r="B1700" s="9"/>
      <c r="C1700" s="15" t="str">
        <f aca="false">IF($B1700="","",IFERROR(INDEX(직원목록!$B$3:$B$302,MATCH($B1700,직원목록!$A$3:$A$302,0)),"미등록사번"))</f>
        <v/>
      </c>
      <c r="D1700" s="9"/>
      <c r="E1700" s="15" t="str">
        <f aca="false">IF($D1700="","",IFERROR(INDEX(교육과정!$B$3:$B$102,MATCH($D1700,교육과정!$A$3:$A$102,0)),"미등록과정"))</f>
        <v/>
      </c>
      <c r="F1700" s="13"/>
      <c r="G1700" s="9"/>
      <c r="H1700" s="9"/>
    </row>
    <row r="1701" customFormat="false" ht="15" hidden="false" customHeight="true" outlineLevel="0" collapsed="false">
      <c r="A1701" s="11"/>
      <c r="B1701" s="9"/>
      <c r="C1701" s="15" t="str">
        <f aca="false">IF($B1701="","",IFERROR(INDEX(직원목록!$B$3:$B$302,MATCH($B1701,직원목록!$A$3:$A$302,0)),"미등록사번"))</f>
        <v/>
      </c>
      <c r="D1701" s="9"/>
      <c r="E1701" s="15" t="str">
        <f aca="false">IF($D1701="","",IFERROR(INDEX(교육과정!$B$3:$B$102,MATCH($D1701,교육과정!$A$3:$A$102,0)),"미등록과정"))</f>
        <v/>
      </c>
      <c r="F1701" s="13"/>
      <c r="G1701" s="9"/>
      <c r="H1701" s="9"/>
    </row>
    <row r="1702" customFormat="false" ht="15" hidden="false" customHeight="true" outlineLevel="0" collapsed="false">
      <c r="A1702" s="11"/>
      <c r="B1702" s="9"/>
      <c r="C1702" s="15" t="str">
        <f aca="false">IF($B1702="","",IFERROR(INDEX(직원목록!$B$3:$B$302,MATCH($B1702,직원목록!$A$3:$A$302,0)),"미등록사번"))</f>
        <v/>
      </c>
      <c r="D1702" s="9"/>
      <c r="E1702" s="15" t="str">
        <f aca="false">IF($D1702="","",IFERROR(INDEX(교육과정!$B$3:$B$102,MATCH($D1702,교육과정!$A$3:$A$102,0)),"미등록과정"))</f>
        <v/>
      </c>
      <c r="F1702" s="13"/>
      <c r="G1702" s="9"/>
      <c r="H1702" s="9"/>
    </row>
    <row r="1703" customFormat="false" ht="15" hidden="false" customHeight="true" outlineLevel="0" collapsed="false">
      <c r="A1703" s="11"/>
      <c r="B1703" s="9"/>
      <c r="C1703" s="15" t="str">
        <f aca="false">IF($B1703="","",IFERROR(INDEX(직원목록!$B$3:$B$302,MATCH($B1703,직원목록!$A$3:$A$302,0)),"미등록사번"))</f>
        <v/>
      </c>
      <c r="D1703" s="9"/>
      <c r="E1703" s="15" t="str">
        <f aca="false">IF($D1703="","",IFERROR(INDEX(교육과정!$B$3:$B$102,MATCH($D1703,교육과정!$A$3:$A$102,0)),"미등록과정"))</f>
        <v/>
      </c>
      <c r="F1703" s="13"/>
      <c r="G1703" s="9"/>
      <c r="H1703" s="9"/>
    </row>
    <row r="1704" customFormat="false" ht="15" hidden="false" customHeight="true" outlineLevel="0" collapsed="false">
      <c r="A1704" s="11"/>
      <c r="B1704" s="9"/>
      <c r="C1704" s="15" t="str">
        <f aca="false">IF($B1704="","",IFERROR(INDEX(직원목록!$B$3:$B$302,MATCH($B1704,직원목록!$A$3:$A$302,0)),"미등록사번"))</f>
        <v/>
      </c>
      <c r="D1704" s="9"/>
      <c r="E1704" s="15" t="str">
        <f aca="false">IF($D1704="","",IFERROR(INDEX(교육과정!$B$3:$B$102,MATCH($D1704,교육과정!$A$3:$A$102,0)),"미등록과정"))</f>
        <v/>
      </c>
      <c r="F1704" s="13"/>
      <c r="G1704" s="9"/>
      <c r="H1704" s="9"/>
    </row>
    <row r="1705" customFormat="false" ht="15" hidden="false" customHeight="true" outlineLevel="0" collapsed="false">
      <c r="A1705" s="11"/>
      <c r="B1705" s="9"/>
      <c r="C1705" s="15" t="str">
        <f aca="false">IF($B1705="","",IFERROR(INDEX(직원목록!$B$3:$B$302,MATCH($B1705,직원목록!$A$3:$A$302,0)),"미등록사번"))</f>
        <v/>
      </c>
      <c r="D1705" s="9"/>
      <c r="E1705" s="15" t="str">
        <f aca="false">IF($D1705="","",IFERROR(INDEX(교육과정!$B$3:$B$102,MATCH($D1705,교육과정!$A$3:$A$102,0)),"미등록과정"))</f>
        <v/>
      </c>
      <c r="F1705" s="13"/>
      <c r="G1705" s="9"/>
      <c r="H1705" s="9"/>
    </row>
    <row r="1706" customFormat="false" ht="15" hidden="false" customHeight="true" outlineLevel="0" collapsed="false">
      <c r="A1706" s="11"/>
      <c r="B1706" s="9"/>
      <c r="C1706" s="15" t="str">
        <f aca="false">IF($B1706="","",IFERROR(INDEX(직원목록!$B$3:$B$302,MATCH($B1706,직원목록!$A$3:$A$302,0)),"미등록사번"))</f>
        <v/>
      </c>
      <c r="D1706" s="9"/>
      <c r="E1706" s="15" t="str">
        <f aca="false">IF($D1706="","",IFERROR(INDEX(교육과정!$B$3:$B$102,MATCH($D1706,교육과정!$A$3:$A$102,0)),"미등록과정"))</f>
        <v/>
      </c>
      <c r="F1706" s="13"/>
      <c r="G1706" s="9"/>
      <c r="H1706" s="9"/>
    </row>
    <row r="1707" customFormat="false" ht="15" hidden="false" customHeight="true" outlineLevel="0" collapsed="false">
      <c r="A1707" s="11"/>
      <c r="B1707" s="9"/>
      <c r="C1707" s="15" t="str">
        <f aca="false">IF($B1707="","",IFERROR(INDEX(직원목록!$B$3:$B$302,MATCH($B1707,직원목록!$A$3:$A$302,0)),"미등록사번"))</f>
        <v/>
      </c>
      <c r="D1707" s="9"/>
      <c r="E1707" s="15" t="str">
        <f aca="false">IF($D1707="","",IFERROR(INDEX(교육과정!$B$3:$B$102,MATCH($D1707,교육과정!$A$3:$A$102,0)),"미등록과정"))</f>
        <v/>
      </c>
      <c r="F1707" s="13"/>
      <c r="G1707" s="9"/>
      <c r="H1707" s="9"/>
    </row>
    <row r="1708" customFormat="false" ht="15" hidden="false" customHeight="true" outlineLevel="0" collapsed="false">
      <c r="A1708" s="11"/>
      <c r="B1708" s="9"/>
      <c r="C1708" s="15" t="str">
        <f aca="false">IF($B1708="","",IFERROR(INDEX(직원목록!$B$3:$B$302,MATCH($B1708,직원목록!$A$3:$A$302,0)),"미등록사번"))</f>
        <v/>
      </c>
      <c r="D1708" s="9"/>
      <c r="E1708" s="15" t="str">
        <f aca="false">IF($D1708="","",IFERROR(INDEX(교육과정!$B$3:$B$102,MATCH($D1708,교육과정!$A$3:$A$102,0)),"미등록과정"))</f>
        <v/>
      </c>
      <c r="F1708" s="13"/>
      <c r="G1708" s="9"/>
      <c r="H1708" s="9"/>
    </row>
    <row r="1709" customFormat="false" ht="15" hidden="false" customHeight="true" outlineLevel="0" collapsed="false">
      <c r="A1709" s="11"/>
      <c r="B1709" s="9"/>
      <c r="C1709" s="15" t="str">
        <f aca="false">IF($B1709="","",IFERROR(INDEX(직원목록!$B$3:$B$302,MATCH($B1709,직원목록!$A$3:$A$302,0)),"미등록사번"))</f>
        <v/>
      </c>
      <c r="D1709" s="9"/>
      <c r="E1709" s="15" t="str">
        <f aca="false">IF($D1709="","",IFERROR(INDEX(교육과정!$B$3:$B$102,MATCH($D1709,교육과정!$A$3:$A$102,0)),"미등록과정"))</f>
        <v/>
      </c>
      <c r="F1709" s="13"/>
      <c r="G1709" s="9"/>
      <c r="H1709" s="9"/>
    </row>
    <row r="1710" customFormat="false" ht="15" hidden="false" customHeight="true" outlineLevel="0" collapsed="false">
      <c r="A1710" s="11"/>
      <c r="B1710" s="9"/>
      <c r="C1710" s="15" t="str">
        <f aca="false">IF($B1710="","",IFERROR(INDEX(직원목록!$B$3:$B$302,MATCH($B1710,직원목록!$A$3:$A$302,0)),"미등록사번"))</f>
        <v/>
      </c>
      <c r="D1710" s="9"/>
      <c r="E1710" s="15" t="str">
        <f aca="false">IF($D1710="","",IFERROR(INDEX(교육과정!$B$3:$B$102,MATCH($D1710,교육과정!$A$3:$A$102,0)),"미등록과정"))</f>
        <v/>
      </c>
      <c r="F1710" s="13"/>
      <c r="G1710" s="9"/>
      <c r="H1710" s="9"/>
    </row>
    <row r="1711" customFormat="false" ht="15" hidden="false" customHeight="true" outlineLevel="0" collapsed="false">
      <c r="A1711" s="11"/>
      <c r="B1711" s="9"/>
      <c r="C1711" s="15" t="str">
        <f aca="false">IF($B1711="","",IFERROR(INDEX(직원목록!$B$3:$B$302,MATCH($B1711,직원목록!$A$3:$A$302,0)),"미등록사번"))</f>
        <v/>
      </c>
      <c r="D1711" s="9"/>
      <c r="E1711" s="15" t="str">
        <f aca="false">IF($D1711="","",IFERROR(INDEX(교육과정!$B$3:$B$102,MATCH($D1711,교육과정!$A$3:$A$102,0)),"미등록과정"))</f>
        <v/>
      </c>
      <c r="F1711" s="13"/>
      <c r="G1711" s="9"/>
      <c r="H1711" s="9"/>
    </row>
    <row r="1712" customFormat="false" ht="15" hidden="false" customHeight="true" outlineLevel="0" collapsed="false">
      <c r="A1712" s="11"/>
      <c r="B1712" s="9"/>
      <c r="C1712" s="15" t="str">
        <f aca="false">IF($B1712="","",IFERROR(INDEX(직원목록!$B$3:$B$302,MATCH($B1712,직원목록!$A$3:$A$302,0)),"미등록사번"))</f>
        <v/>
      </c>
      <c r="D1712" s="9"/>
      <c r="E1712" s="15" t="str">
        <f aca="false">IF($D1712="","",IFERROR(INDEX(교육과정!$B$3:$B$102,MATCH($D1712,교육과정!$A$3:$A$102,0)),"미등록과정"))</f>
        <v/>
      </c>
      <c r="F1712" s="13"/>
      <c r="G1712" s="9"/>
      <c r="H1712" s="9"/>
    </row>
    <row r="1713" customFormat="false" ht="15" hidden="false" customHeight="true" outlineLevel="0" collapsed="false">
      <c r="A1713" s="11"/>
      <c r="B1713" s="9"/>
      <c r="C1713" s="15" t="str">
        <f aca="false">IF($B1713="","",IFERROR(INDEX(직원목록!$B$3:$B$302,MATCH($B1713,직원목록!$A$3:$A$302,0)),"미등록사번"))</f>
        <v/>
      </c>
      <c r="D1713" s="9"/>
      <c r="E1713" s="15" t="str">
        <f aca="false">IF($D1713="","",IFERROR(INDEX(교육과정!$B$3:$B$102,MATCH($D1713,교육과정!$A$3:$A$102,0)),"미등록과정"))</f>
        <v/>
      </c>
      <c r="F1713" s="13"/>
      <c r="G1713" s="9"/>
      <c r="H1713" s="9"/>
    </row>
    <row r="1714" customFormat="false" ht="15" hidden="false" customHeight="true" outlineLevel="0" collapsed="false">
      <c r="A1714" s="11"/>
      <c r="B1714" s="9"/>
      <c r="C1714" s="15" t="str">
        <f aca="false">IF($B1714="","",IFERROR(INDEX(직원목록!$B$3:$B$302,MATCH($B1714,직원목록!$A$3:$A$302,0)),"미등록사번"))</f>
        <v/>
      </c>
      <c r="D1714" s="9"/>
      <c r="E1714" s="15" t="str">
        <f aca="false">IF($D1714="","",IFERROR(INDEX(교육과정!$B$3:$B$102,MATCH($D1714,교육과정!$A$3:$A$102,0)),"미등록과정"))</f>
        <v/>
      </c>
      <c r="F1714" s="13"/>
      <c r="G1714" s="9"/>
      <c r="H1714" s="9"/>
    </row>
    <row r="1715" customFormat="false" ht="15" hidden="false" customHeight="true" outlineLevel="0" collapsed="false">
      <c r="A1715" s="11"/>
      <c r="B1715" s="9"/>
      <c r="C1715" s="15" t="str">
        <f aca="false">IF($B1715="","",IFERROR(INDEX(직원목록!$B$3:$B$302,MATCH($B1715,직원목록!$A$3:$A$302,0)),"미등록사번"))</f>
        <v/>
      </c>
      <c r="D1715" s="9"/>
      <c r="E1715" s="15" t="str">
        <f aca="false">IF($D1715="","",IFERROR(INDEX(교육과정!$B$3:$B$102,MATCH($D1715,교육과정!$A$3:$A$102,0)),"미등록과정"))</f>
        <v/>
      </c>
      <c r="F1715" s="13"/>
      <c r="G1715" s="9"/>
      <c r="H1715" s="9"/>
    </row>
    <row r="1716" customFormat="false" ht="15" hidden="false" customHeight="true" outlineLevel="0" collapsed="false">
      <c r="A1716" s="11"/>
      <c r="B1716" s="9"/>
      <c r="C1716" s="15" t="str">
        <f aca="false">IF($B1716="","",IFERROR(INDEX(직원목록!$B$3:$B$302,MATCH($B1716,직원목록!$A$3:$A$302,0)),"미등록사번"))</f>
        <v/>
      </c>
      <c r="D1716" s="9"/>
      <c r="E1716" s="15" t="str">
        <f aca="false">IF($D1716="","",IFERROR(INDEX(교육과정!$B$3:$B$102,MATCH($D1716,교육과정!$A$3:$A$102,0)),"미등록과정"))</f>
        <v/>
      </c>
      <c r="F1716" s="13"/>
      <c r="G1716" s="9"/>
      <c r="H1716" s="9"/>
    </row>
    <row r="1717" customFormat="false" ht="15" hidden="false" customHeight="true" outlineLevel="0" collapsed="false">
      <c r="A1717" s="11"/>
      <c r="B1717" s="9"/>
      <c r="C1717" s="15" t="str">
        <f aca="false">IF($B1717="","",IFERROR(INDEX(직원목록!$B$3:$B$302,MATCH($B1717,직원목록!$A$3:$A$302,0)),"미등록사번"))</f>
        <v/>
      </c>
      <c r="D1717" s="9"/>
      <c r="E1717" s="15" t="str">
        <f aca="false">IF($D1717="","",IFERROR(INDEX(교육과정!$B$3:$B$102,MATCH($D1717,교육과정!$A$3:$A$102,0)),"미등록과정"))</f>
        <v/>
      </c>
      <c r="F1717" s="13"/>
      <c r="G1717" s="9"/>
      <c r="H1717" s="9"/>
    </row>
    <row r="1718" customFormat="false" ht="15" hidden="false" customHeight="true" outlineLevel="0" collapsed="false">
      <c r="A1718" s="11"/>
      <c r="B1718" s="9"/>
      <c r="C1718" s="15" t="str">
        <f aca="false">IF($B1718="","",IFERROR(INDEX(직원목록!$B$3:$B$302,MATCH($B1718,직원목록!$A$3:$A$302,0)),"미등록사번"))</f>
        <v/>
      </c>
      <c r="D1718" s="9"/>
      <c r="E1718" s="15" t="str">
        <f aca="false">IF($D1718="","",IFERROR(INDEX(교육과정!$B$3:$B$102,MATCH($D1718,교육과정!$A$3:$A$102,0)),"미등록과정"))</f>
        <v/>
      </c>
      <c r="F1718" s="13"/>
      <c r="G1718" s="9"/>
      <c r="H1718" s="9"/>
    </row>
    <row r="1719" customFormat="false" ht="15" hidden="false" customHeight="true" outlineLevel="0" collapsed="false">
      <c r="A1719" s="11"/>
      <c r="B1719" s="9"/>
      <c r="C1719" s="15" t="str">
        <f aca="false">IF($B1719="","",IFERROR(INDEX(직원목록!$B$3:$B$302,MATCH($B1719,직원목록!$A$3:$A$302,0)),"미등록사번"))</f>
        <v/>
      </c>
      <c r="D1719" s="9"/>
      <c r="E1719" s="15" t="str">
        <f aca="false">IF($D1719="","",IFERROR(INDEX(교육과정!$B$3:$B$102,MATCH($D1719,교육과정!$A$3:$A$102,0)),"미등록과정"))</f>
        <v/>
      </c>
      <c r="F1719" s="13"/>
      <c r="G1719" s="9"/>
      <c r="H1719" s="9"/>
    </row>
    <row r="1720" customFormat="false" ht="15" hidden="false" customHeight="true" outlineLevel="0" collapsed="false">
      <c r="A1720" s="11"/>
      <c r="B1720" s="9"/>
      <c r="C1720" s="15" t="str">
        <f aca="false">IF($B1720="","",IFERROR(INDEX(직원목록!$B$3:$B$302,MATCH($B1720,직원목록!$A$3:$A$302,0)),"미등록사번"))</f>
        <v/>
      </c>
      <c r="D1720" s="9"/>
      <c r="E1720" s="15" t="str">
        <f aca="false">IF($D1720="","",IFERROR(INDEX(교육과정!$B$3:$B$102,MATCH($D1720,교육과정!$A$3:$A$102,0)),"미등록과정"))</f>
        <v/>
      </c>
      <c r="F1720" s="13"/>
      <c r="G1720" s="9"/>
      <c r="H1720" s="9"/>
    </row>
    <row r="1721" customFormat="false" ht="15" hidden="false" customHeight="true" outlineLevel="0" collapsed="false">
      <c r="A1721" s="11"/>
      <c r="B1721" s="9"/>
      <c r="C1721" s="15" t="str">
        <f aca="false">IF($B1721="","",IFERROR(INDEX(직원목록!$B$3:$B$302,MATCH($B1721,직원목록!$A$3:$A$302,0)),"미등록사번"))</f>
        <v/>
      </c>
      <c r="D1721" s="9"/>
      <c r="E1721" s="15" t="str">
        <f aca="false">IF($D1721="","",IFERROR(INDEX(교육과정!$B$3:$B$102,MATCH($D1721,교육과정!$A$3:$A$102,0)),"미등록과정"))</f>
        <v/>
      </c>
      <c r="F1721" s="13"/>
      <c r="G1721" s="9"/>
      <c r="H1721" s="9"/>
    </row>
    <row r="1722" customFormat="false" ht="15" hidden="false" customHeight="true" outlineLevel="0" collapsed="false">
      <c r="A1722" s="11"/>
      <c r="B1722" s="9"/>
      <c r="C1722" s="15" t="str">
        <f aca="false">IF($B1722="","",IFERROR(INDEX(직원목록!$B$3:$B$302,MATCH($B1722,직원목록!$A$3:$A$302,0)),"미등록사번"))</f>
        <v/>
      </c>
      <c r="D1722" s="9"/>
      <c r="E1722" s="15" t="str">
        <f aca="false">IF($D1722="","",IFERROR(INDEX(교육과정!$B$3:$B$102,MATCH($D1722,교육과정!$A$3:$A$102,0)),"미등록과정"))</f>
        <v/>
      </c>
      <c r="F1722" s="13"/>
      <c r="G1722" s="9"/>
      <c r="H1722" s="9"/>
    </row>
    <row r="1723" customFormat="false" ht="15" hidden="false" customHeight="true" outlineLevel="0" collapsed="false">
      <c r="A1723" s="11"/>
      <c r="B1723" s="9"/>
      <c r="C1723" s="15" t="str">
        <f aca="false">IF($B1723="","",IFERROR(INDEX(직원목록!$B$3:$B$302,MATCH($B1723,직원목록!$A$3:$A$302,0)),"미등록사번"))</f>
        <v/>
      </c>
      <c r="D1723" s="9"/>
      <c r="E1723" s="15" t="str">
        <f aca="false">IF($D1723="","",IFERROR(INDEX(교육과정!$B$3:$B$102,MATCH($D1723,교육과정!$A$3:$A$102,0)),"미등록과정"))</f>
        <v/>
      </c>
      <c r="F1723" s="13"/>
      <c r="G1723" s="9"/>
      <c r="H1723" s="9"/>
    </row>
    <row r="1724" customFormat="false" ht="15" hidden="false" customHeight="true" outlineLevel="0" collapsed="false">
      <c r="A1724" s="11"/>
      <c r="B1724" s="9"/>
      <c r="C1724" s="15" t="str">
        <f aca="false">IF($B1724="","",IFERROR(INDEX(직원목록!$B$3:$B$302,MATCH($B1724,직원목록!$A$3:$A$302,0)),"미등록사번"))</f>
        <v/>
      </c>
      <c r="D1724" s="9"/>
      <c r="E1724" s="15" t="str">
        <f aca="false">IF($D1724="","",IFERROR(INDEX(교육과정!$B$3:$B$102,MATCH($D1724,교육과정!$A$3:$A$102,0)),"미등록과정"))</f>
        <v/>
      </c>
      <c r="F1724" s="13"/>
      <c r="G1724" s="9"/>
      <c r="H1724" s="9"/>
    </row>
    <row r="1725" customFormat="false" ht="15" hidden="false" customHeight="true" outlineLevel="0" collapsed="false">
      <c r="A1725" s="11"/>
      <c r="B1725" s="9"/>
      <c r="C1725" s="15" t="str">
        <f aca="false">IF($B1725="","",IFERROR(INDEX(직원목록!$B$3:$B$302,MATCH($B1725,직원목록!$A$3:$A$302,0)),"미등록사번"))</f>
        <v/>
      </c>
      <c r="D1725" s="9"/>
      <c r="E1725" s="15" t="str">
        <f aca="false">IF($D1725="","",IFERROR(INDEX(교육과정!$B$3:$B$102,MATCH($D1725,교육과정!$A$3:$A$102,0)),"미등록과정"))</f>
        <v/>
      </c>
      <c r="F1725" s="13"/>
      <c r="G1725" s="9"/>
      <c r="H1725" s="9"/>
    </row>
    <row r="1726" customFormat="false" ht="15" hidden="false" customHeight="true" outlineLevel="0" collapsed="false">
      <c r="A1726" s="11"/>
      <c r="B1726" s="9"/>
      <c r="C1726" s="15" t="str">
        <f aca="false">IF($B1726="","",IFERROR(INDEX(직원목록!$B$3:$B$302,MATCH($B1726,직원목록!$A$3:$A$302,0)),"미등록사번"))</f>
        <v/>
      </c>
      <c r="D1726" s="9"/>
      <c r="E1726" s="15" t="str">
        <f aca="false">IF($D1726="","",IFERROR(INDEX(교육과정!$B$3:$B$102,MATCH($D1726,교육과정!$A$3:$A$102,0)),"미등록과정"))</f>
        <v/>
      </c>
      <c r="F1726" s="13"/>
      <c r="G1726" s="9"/>
      <c r="H1726" s="9"/>
    </row>
    <row r="1727" customFormat="false" ht="15" hidden="false" customHeight="true" outlineLevel="0" collapsed="false">
      <c r="A1727" s="11"/>
      <c r="B1727" s="9"/>
      <c r="C1727" s="15" t="str">
        <f aca="false">IF($B1727="","",IFERROR(INDEX(직원목록!$B$3:$B$302,MATCH($B1727,직원목록!$A$3:$A$302,0)),"미등록사번"))</f>
        <v/>
      </c>
      <c r="D1727" s="9"/>
      <c r="E1727" s="15" t="str">
        <f aca="false">IF($D1727="","",IFERROR(INDEX(교육과정!$B$3:$B$102,MATCH($D1727,교육과정!$A$3:$A$102,0)),"미등록과정"))</f>
        <v/>
      </c>
      <c r="F1727" s="13"/>
      <c r="G1727" s="9"/>
      <c r="H1727" s="9"/>
    </row>
    <row r="1728" customFormat="false" ht="15" hidden="false" customHeight="true" outlineLevel="0" collapsed="false">
      <c r="A1728" s="11"/>
      <c r="B1728" s="9"/>
      <c r="C1728" s="15" t="str">
        <f aca="false">IF($B1728="","",IFERROR(INDEX(직원목록!$B$3:$B$302,MATCH($B1728,직원목록!$A$3:$A$302,0)),"미등록사번"))</f>
        <v/>
      </c>
      <c r="D1728" s="9"/>
      <c r="E1728" s="15" t="str">
        <f aca="false">IF($D1728="","",IFERROR(INDEX(교육과정!$B$3:$B$102,MATCH($D1728,교육과정!$A$3:$A$102,0)),"미등록과정"))</f>
        <v/>
      </c>
      <c r="F1728" s="13"/>
      <c r="G1728" s="9"/>
      <c r="H1728" s="9"/>
    </row>
    <row r="1729" customFormat="false" ht="15" hidden="false" customHeight="true" outlineLevel="0" collapsed="false">
      <c r="A1729" s="11"/>
      <c r="B1729" s="9"/>
      <c r="C1729" s="15" t="str">
        <f aca="false">IF($B1729="","",IFERROR(INDEX(직원목록!$B$3:$B$302,MATCH($B1729,직원목록!$A$3:$A$302,0)),"미등록사번"))</f>
        <v/>
      </c>
      <c r="D1729" s="9"/>
      <c r="E1729" s="15" t="str">
        <f aca="false">IF($D1729="","",IFERROR(INDEX(교육과정!$B$3:$B$102,MATCH($D1729,교육과정!$A$3:$A$102,0)),"미등록과정"))</f>
        <v/>
      </c>
      <c r="F1729" s="13"/>
      <c r="G1729" s="9"/>
      <c r="H1729" s="9"/>
    </row>
    <row r="1730" customFormat="false" ht="15" hidden="false" customHeight="true" outlineLevel="0" collapsed="false">
      <c r="A1730" s="11"/>
      <c r="B1730" s="9"/>
      <c r="C1730" s="15" t="str">
        <f aca="false">IF($B1730="","",IFERROR(INDEX(직원목록!$B$3:$B$302,MATCH($B1730,직원목록!$A$3:$A$302,0)),"미등록사번"))</f>
        <v/>
      </c>
      <c r="D1730" s="9"/>
      <c r="E1730" s="15" t="str">
        <f aca="false">IF($D1730="","",IFERROR(INDEX(교육과정!$B$3:$B$102,MATCH($D1730,교육과정!$A$3:$A$102,0)),"미등록과정"))</f>
        <v/>
      </c>
      <c r="F1730" s="13"/>
      <c r="G1730" s="9"/>
      <c r="H1730" s="9"/>
    </row>
    <row r="1731" customFormat="false" ht="15" hidden="false" customHeight="true" outlineLevel="0" collapsed="false">
      <c r="A1731" s="11"/>
      <c r="B1731" s="9"/>
      <c r="C1731" s="15" t="str">
        <f aca="false">IF($B1731="","",IFERROR(INDEX(직원목록!$B$3:$B$302,MATCH($B1731,직원목록!$A$3:$A$302,0)),"미등록사번"))</f>
        <v/>
      </c>
      <c r="D1731" s="9"/>
      <c r="E1731" s="15" t="str">
        <f aca="false">IF($D1731="","",IFERROR(INDEX(교육과정!$B$3:$B$102,MATCH($D1731,교육과정!$A$3:$A$102,0)),"미등록과정"))</f>
        <v/>
      </c>
      <c r="F1731" s="13"/>
      <c r="G1731" s="9"/>
      <c r="H1731" s="9"/>
    </row>
    <row r="1732" customFormat="false" ht="15" hidden="false" customHeight="true" outlineLevel="0" collapsed="false">
      <c r="A1732" s="11"/>
      <c r="B1732" s="9"/>
      <c r="C1732" s="15" t="str">
        <f aca="false">IF($B1732="","",IFERROR(INDEX(직원목록!$B$3:$B$302,MATCH($B1732,직원목록!$A$3:$A$302,0)),"미등록사번"))</f>
        <v/>
      </c>
      <c r="D1732" s="9"/>
      <c r="E1732" s="15" t="str">
        <f aca="false">IF($D1732="","",IFERROR(INDEX(교육과정!$B$3:$B$102,MATCH($D1732,교육과정!$A$3:$A$102,0)),"미등록과정"))</f>
        <v/>
      </c>
      <c r="F1732" s="13"/>
      <c r="G1732" s="9"/>
      <c r="H1732" s="9"/>
    </row>
    <row r="1733" customFormat="false" ht="15" hidden="false" customHeight="true" outlineLevel="0" collapsed="false">
      <c r="A1733" s="11"/>
      <c r="B1733" s="9"/>
      <c r="C1733" s="15" t="str">
        <f aca="false">IF($B1733="","",IFERROR(INDEX(직원목록!$B$3:$B$302,MATCH($B1733,직원목록!$A$3:$A$302,0)),"미등록사번"))</f>
        <v/>
      </c>
      <c r="D1733" s="9"/>
      <c r="E1733" s="15" t="str">
        <f aca="false">IF($D1733="","",IFERROR(INDEX(교육과정!$B$3:$B$102,MATCH($D1733,교육과정!$A$3:$A$102,0)),"미등록과정"))</f>
        <v/>
      </c>
      <c r="F1733" s="13"/>
      <c r="G1733" s="9"/>
      <c r="H1733" s="9"/>
    </row>
    <row r="1734" customFormat="false" ht="15" hidden="false" customHeight="true" outlineLevel="0" collapsed="false">
      <c r="A1734" s="11"/>
      <c r="B1734" s="9"/>
      <c r="C1734" s="15" t="str">
        <f aca="false">IF($B1734="","",IFERROR(INDEX(직원목록!$B$3:$B$302,MATCH($B1734,직원목록!$A$3:$A$302,0)),"미등록사번"))</f>
        <v/>
      </c>
      <c r="D1734" s="9"/>
      <c r="E1734" s="15" t="str">
        <f aca="false">IF($D1734="","",IFERROR(INDEX(교육과정!$B$3:$B$102,MATCH($D1734,교육과정!$A$3:$A$102,0)),"미등록과정"))</f>
        <v/>
      </c>
      <c r="F1734" s="13"/>
      <c r="G1734" s="9"/>
      <c r="H1734" s="9"/>
    </row>
    <row r="1735" customFormat="false" ht="15" hidden="false" customHeight="true" outlineLevel="0" collapsed="false">
      <c r="A1735" s="11"/>
      <c r="B1735" s="9"/>
      <c r="C1735" s="15" t="str">
        <f aca="false">IF($B1735="","",IFERROR(INDEX(직원목록!$B$3:$B$302,MATCH($B1735,직원목록!$A$3:$A$302,0)),"미등록사번"))</f>
        <v/>
      </c>
      <c r="D1735" s="9"/>
      <c r="E1735" s="15" t="str">
        <f aca="false">IF($D1735="","",IFERROR(INDEX(교육과정!$B$3:$B$102,MATCH($D1735,교육과정!$A$3:$A$102,0)),"미등록과정"))</f>
        <v/>
      </c>
      <c r="F1735" s="13"/>
      <c r="G1735" s="9"/>
      <c r="H1735" s="9"/>
    </row>
    <row r="1736" customFormat="false" ht="15" hidden="false" customHeight="true" outlineLevel="0" collapsed="false">
      <c r="A1736" s="11"/>
      <c r="B1736" s="9"/>
      <c r="C1736" s="15" t="str">
        <f aca="false">IF($B1736="","",IFERROR(INDEX(직원목록!$B$3:$B$302,MATCH($B1736,직원목록!$A$3:$A$302,0)),"미등록사번"))</f>
        <v/>
      </c>
      <c r="D1736" s="9"/>
      <c r="E1736" s="15" t="str">
        <f aca="false">IF($D1736="","",IFERROR(INDEX(교육과정!$B$3:$B$102,MATCH($D1736,교육과정!$A$3:$A$102,0)),"미등록과정"))</f>
        <v/>
      </c>
      <c r="F1736" s="13"/>
      <c r="G1736" s="9"/>
      <c r="H1736" s="9"/>
    </row>
    <row r="1737" customFormat="false" ht="15" hidden="false" customHeight="true" outlineLevel="0" collapsed="false">
      <c r="A1737" s="11"/>
      <c r="B1737" s="9"/>
      <c r="C1737" s="15" t="str">
        <f aca="false">IF($B1737="","",IFERROR(INDEX(직원목록!$B$3:$B$302,MATCH($B1737,직원목록!$A$3:$A$302,0)),"미등록사번"))</f>
        <v/>
      </c>
      <c r="D1737" s="9"/>
      <c r="E1737" s="15" t="str">
        <f aca="false">IF($D1737="","",IFERROR(INDEX(교육과정!$B$3:$B$102,MATCH($D1737,교육과정!$A$3:$A$102,0)),"미등록과정"))</f>
        <v/>
      </c>
      <c r="F1737" s="13"/>
      <c r="G1737" s="9"/>
      <c r="H1737" s="9"/>
    </row>
    <row r="1738" customFormat="false" ht="15" hidden="false" customHeight="true" outlineLevel="0" collapsed="false">
      <c r="A1738" s="11"/>
      <c r="B1738" s="9"/>
      <c r="C1738" s="15" t="str">
        <f aca="false">IF($B1738="","",IFERROR(INDEX(직원목록!$B$3:$B$302,MATCH($B1738,직원목록!$A$3:$A$302,0)),"미등록사번"))</f>
        <v/>
      </c>
      <c r="D1738" s="9"/>
      <c r="E1738" s="15" t="str">
        <f aca="false">IF($D1738="","",IFERROR(INDEX(교육과정!$B$3:$B$102,MATCH($D1738,교육과정!$A$3:$A$102,0)),"미등록과정"))</f>
        <v/>
      </c>
      <c r="F1738" s="13"/>
      <c r="G1738" s="9"/>
      <c r="H1738" s="9"/>
    </row>
    <row r="1739" customFormat="false" ht="15" hidden="false" customHeight="true" outlineLevel="0" collapsed="false">
      <c r="A1739" s="11"/>
      <c r="B1739" s="9"/>
      <c r="C1739" s="15" t="str">
        <f aca="false">IF($B1739="","",IFERROR(INDEX(직원목록!$B$3:$B$302,MATCH($B1739,직원목록!$A$3:$A$302,0)),"미등록사번"))</f>
        <v/>
      </c>
      <c r="D1739" s="9"/>
      <c r="E1739" s="15" t="str">
        <f aca="false">IF($D1739="","",IFERROR(INDEX(교육과정!$B$3:$B$102,MATCH($D1739,교육과정!$A$3:$A$102,0)),"미등록과정"))</f>
        <v/>
      </c>
      <c r="F1739" s="13"/>
      <c r="G1739" s="9"/>
      <c r="H1739" s="9"/>
    </row>
    <row r="1740" customFormat="false" ht="15" hidden="false" customHeight="true" outlineLevel="0" collapsed="false">
      <c r="A1740" s="11"/>
      <c r="B1740" s="9"/>
      <c r="C1740" s="15" t="str">
        <f aca="false">IF($B1740="","",IFERROR(INDEX(직원목록!$B$3:$B$302,MATCH($B1740,직원목록!$A$3:$A$302,0)),"미등록사번"))</f>
        <v/>
      </c>
      <c r="D1740" s="9"/>
      <c r="E1740" s="15" t="str">
        <f aca="false">IF($D1740="","",IFERROR(INDEX(교육과정!$B$3:$B$102,MATCH($D1740,교육과정!$A$3:$A$102,0)),"미등록과정"))</f>
        <v/>
      </c>
      <c r="F1740" s="13"/>
      <c r="G1740" s="9"/>
      <c r="H1740" s="9"/>
    </row>
    <row r="1741" customFormat="false" ht="15" hidden="false" customHeight="true" outlineLevel="0" collapsed="false">
      <c r="A1741" s="11"/>
      <c r="B1741" s="9"/>
      <c r="C1741" s="15" t="str">
        <f aca="false">IF($B1741="","",IFERROR(INDEX(직원목록!$B$3:$B$302,MATCH($B1741,직원목록!$A$3:$A$302,0)),"미등록사번"))</f>
        <v/>
      </c>
      <c r="D1741" s="9"/>
      <c r="E1741" s="15" t="str">
        <f aca="false">IF($D1741="","",IFERROR(INDEX(교육과정!$B$3:$B$102,MATCH($D1741,교육과정!$A$3:$A$102,0)),"미등록과정"))</f>
        <v/>
      </c>
      <c r="F1741" s="13"/>
      <c r="G1741" s="9"/>
      <c r="H1741" s="9"/>
    </row>
    <row r="1742" customFormat="false" ht="15" hidden="false" customHeight="true" outlineLevel="0" collapsed="false">
      <c r="A1742" s="11"/>
      <c r="B1742" s="9"/>
      <c r="C1742" s="15" t="str">
        <f aca="false">IF($B1742="","",IFERROR(INDEX(직원목록!$B$3:$B$302,MATCH($B1742,직원목록!$A$3:$A$302,0)),"미등록사번"))</f>
        <v/>
      </c>
      <c r="D1742" s="9"/>
      <c r="E1742" s="15" t="str">
        <f aca="false">IF($D1742="","",IFERROR(INDEX(교육과정!$B$3:$B$102,MATCH($D1742,교육과정!$A$3:$A$102,0)),"미등록과정"))</f>
        <v/>
      </c>
      <c r="F1742" s="13"/>
      <c r="G1742" s="9"/>
      <c r="H1742" s="9"/>
    </row>
    <row r="1743" customFormat="false" ht="15" hidden="false" customHeight="true" outlineLevel="0" collapsed="false">
      <c r="A1743" s="11"/>
      <c r="B1743" s="9"/>
      <c r="C1743" s="15" t="str">
        <f aca="false">IF($B1743="","",IFERROR(INDEX(직원목록!$B$3:$B$302,MATCH($B1743,직원목록!$A$3:$A$302,0)),"미등록사번"))</f>
        <v/>
      </c>
      <c r="D1743" s="9"/>
      <c r="E1743" s="15" t="str">
        <f aca="false">IF($D1743="","",IFERROR(INDEX(교육과정!$B$3:$B$102,MATCH($D1743,교육과정!$A$3:$A$102,0)),"미등록과정"))</f>
        <v/>
      </c>
      <c r="F1743" s="13"/>
      <c r="G1743" s="9"/>
      <c r="H1743" s="9"/>
    </row>
    <row r="1744" customFormat="false" ht="15" hidden="false" customHeight="true" outlineLevel="0" collapsed="false">
      <c r="A1744" s="11"/>
      <c r="B1744" s="9"/>
      <c r="C1744" s="15" t="str">
        <f aca="false">IF($B1744="","",IFERROR(INDEX(직원목록!$B$3:$B$302,MATCH($B1744,직원목록!$A$3:$A$302,0)),"미등록사번"))</f>
        <v/>
      </c>
      <c r="D1744" s="9"/>
      <c r="E1744" s="15" t="str">
        <f aca="false">IF($D1744="","",IFERROR(INDEX(교육과정!$B$3:$B$102,MATCH($D1744,교육과정!$A$3:$A$102,0)),"미등록과정"))</f>
        <v/>
      </c>
      <c r="F1744" s="13"/>
      <c r="G1744" s="9"/>
      <c r="H1744" s="9"/>
    </row>
    <row r="1745" customFormat="false" ht="15" hidden="false" customHeight="true" outlineLevel="0" collapsed="false">
      <c r="A1745" s="11"/>
      <c r="B1745" s="9"/>
      <c r="C1745" s="15" t="str">
        <f aca="false">IF($B1745="","",IFERROR(INDEX(직원목록!$B$3:$B$302,MATCH($B1745,직원목록!$A$3:$A$302,0)),"미등록사번"))</f>
        <v/>
      </c>
      <c r="D1745" s="9"/>
      <c r="E1745" s="15" t="str">
        <f aca="false">IF($D1745="","",IFERROR(INDEX(교육과정!$B$3:$B$102,MATCH($D1745,교육과정!$A$3:$A$102,0)),"미등록과정"))</f>
        <v/>
      </c>
      <c r="F1745" s="13"/>
      <c r="G1745" s="9"/>
      <c r="H1745" s="9"/>
    </row>
    <row r="1746" customFormat="false" ht="15" hidden="false" customHeight="true" outlineLevel="0" collapsed="false">
      <c r="A1746" s="11"/>
      <c r="B1746" s="9"/>
      <c r="C1746" s="15" t="str">
        <f aca="false">IF($B1746="","",IFERROR(INDEX(직원목록!$B$3:$B$302,MATCH($B1746,직원목록!$A$3:$A$302,0)),"미등록사번"))</f>
        <v/>
      </c>
      <c r="D1746" s="9"/>
      <c r="E1746" s="15" t="str">
        <f aca="false">IF($D1746="","",IFERROR(INDEX(교육과정!$B$3:$B$102,MATCH($D1746,교육과정!$A$3:$A$102,0)),"미등록과정"))</f>
        <v/>
      </c>
      <c r="F1746" s="13"/>
      <c r="G1746" s="9"/>
      <c r="H1746" s="9"/>
    </row>
    <row r="1747" customFormat="false" ht="15" hidden="false" customHeight="true" outlineLevel="0" collapsed="false">
      <c r="A1747" s="11"/>
      <c r="B1747" s="9"/>
      <c r="C1747" s="15" t="str">
        <f aca="false">IF($B1747="","",IFERROR(INDEX(직원목록!$B$3:$B$302,MATCH($B1747,직원목록!$A$3:$A$302,0)),"미등록사번"))</f>
        <v/>
      </c>
      <c r="D1747" s="9"/>
      <c r="E1747" s="15" t="str">
        <f aca="false">IF($D1747="","",IFERROR(INDEX(교육과정!$B$3:$B$102,MATCH($D1747,교육과정!$A$3:$A$102,0)),"미등록과정"))</f>
        <v/>
      </c>
      <c r="F1747" s="13"/>
      <c r="G1747" s="9"/>
      <c r="H1747" s="9"/>
    </row>
    <row r="1748" customFormat="false" ht="15" hidden="false" customHeight="true" outlineLevel="0" collapsed="false">
      <c r="A1748" s="11"/>
      <c r="B1748" s="9"/>
      <c r="C1748" s="15" t="str">
        <f aca="false">IF($B1748="","",IFERROR(INDEX(직원목록!$B$3:$B$302,MATCH($B1748,직원목록!$A$3:$A$302,0)),"미등록사번"))</f>
        <v/>
      </c>
      <c r="D1748" s="9"/>
      <c r="E1748" s="15" t="str">
        <f aca="false">IF($D1748="","",IFERROR(INDEX(교육과정!$B$3:$B$102,MATCH($D1748,교육과정!$A$3:$A$102,0)),"미등록과정"))</f>
        <v/>
      </c>
      <c r="F1748" s="13"/>
      <c r="G1748" s="9"/>
      <c r="H1748" s="9"/>
    </row>
    <row r="1749" customFormat="false" ht="15" hidden="false" customHeight="true" outlineLevel="0" collapsed="false">
      <c r="A1749" s="11"/>
      <c r="B1749" s="9"/>
      <c r="C1749" s="15" t="str">
        <f aca="false">IF($B1749="","",IFERROR(INDEX(직원목록!$B$3:$B$302,MATCH($B1749,직원목록!$A$3:$A$302,0)),"미등록사번"))</f>
        <v/>
      </c>
      <c r="D1749" s="9"/>
      <c r="E1749" s="15" t="str">
        <f aca="false">IF($D1749="","",IFERROR(INDEX(교육과정!$B$3:$B$102,MATCH($D1749,교육과정!$A$3:$A$102,0)),"미등록과정"))</f>
        <v/>
      </c>
      <c r="F1749" s="13"/>
      <c r="G1749" s="9"/>
      <c r="H1749" s="9"/>
    </row>
    <row r="1750" customFormat="false" ht="15" hidden="false" customHeight="true" outlineLevel="0" collapsed="false">
      <c r="A1750" s="11"/>
      <c r="B1750" s="9"/>
      <c r="C1750" s="15" t="str">
        <f aca="false">IF($B1750="","",IFERROR(INDEX(직원목록!$B$3:$B$302,MATCH($B1750,직원목록!$A$3:$A$302,0)),"미등록사번"))</f>
        <v/>
      </c>
      <c r="D1750" s="9"/>
      <c r="E1750" s="15" t="str">
        <f aca="false">IF($D1750="","",IFERROR(INDEX(교육과정!$B$3:$B$102,MATCH($D1750,교육과정!$A$3:$A$102,0)),"미등록과정"))</f>
        <v/>
      </c>
      <c r="F1750" s="13"/>
      <c r="G1750" s="9"/>
      <c r="H1750" s="9"/>
    </row>
    <row r="1751" customFormat="false" ht="15" hidden="false" customHeight="true" outlineLevel="0" collapsed="false">
      <c r="A1751" s="11"/>
      <c r="B1751" s="9"/>
      <c r="C1751" s="15" t="str">
        <f aca="false">IF($B1751="","",IFERROR(INDEX(직원목록!$B$3:$B$302,MATCH($B1751,직원목록!$A$3:$A$302,0)),"미등록사번"))</f>
        <v/>
      </c>
      <c r="D1751" s="9"/>
      <c r="E1751" s="15" t="str">
        <f aca="false">IF($D1751="","",IFERROR(INDEX(교육과정!$B$3:$B$102,MATCH($D1751,교육과정!$A$3:$A$102,0)),"미등록과정"))</f>
        <v/>
      </c>
      <c r="F1751" s="13"/>
      <c r="G1751" s="9"/>
      <c r="H1751" s="9"/>
    </row>
    <row r="1752" customFormat="false" ht="15" hidden="false" customHeight="true" outlineLevel="0" collapsed="false">
      <c r="A1752" s="11"/>
      <c r="B1752" s="9"/>
      <c r="C1752" s="15" t="str">
        <f aca="false">IF($B1752="","",IFERROR(INDEX(직원목록!$B$3:$B$302,MATCH($B1752,직원목록!$A$3:$A$302,0)),"미등록사번"))</f>
        <v/>
      </c>
      <c r="D1752" s="9"/>
      <c r="E1752" s="15" t="str">
        <f aca="false">IF($D1752="","",IFERROR(INDEX(교육과정!$B$3:$B$102,MATCH($D1752,교육과정!$A$3:$A$102,0)),"미등록과정"))</f>
        <v/>
      </c>
      <c r="F1752" s="13"/>
      <c r="G1752" s="9"/>
      <c r="H1752" s="9"/>
    </row>
    <row r="1753" customFormat="false" ht="15" hidden="false" customHeight="true" outlineLevel="0" collapsed="false">
      <c r="A1753" s="11"/>
      <c r="B1753" s="9"/>
      <c r="C1753" s="15" t="str">
        <f aca="false">IF($B1753="","",IFERROR(INDEX(직원목록!$B$3:$B$302,MATCH($B1753,직원목록!$A$3:$A$302,0)),"미등록사번"))</f>
        <v/>
      </c>
      <c r="D1753" s="9"/>
      <c r="E1753" s="15" t="str">
        <f aca="false">IF($D1753="","",IFERROR(INDEX(교육과정!$B$3:$B$102,MATCH($D1753,교육과정!$A$3:$A$102,0)),"미등록과정"))</f>
        <v/>
      </c>
      <c r="F1753" s="13"/>
      <c r="G1753" s="9"/>
      <c r="H1753" s="9"/>
    </row>
    <row r="1754" customFormat="false" ht="15" hidden="false" customHeight="true" outlineLevel="0" collapsed="false">
      <c r="A1754" s="11"/>
      <c r="B1754" s="9"/>
      <c r="C1754" s="15" t="str">
        <f aca="false">IF($B1754="","",IFERROR(INDEX(직원목록!$B$3:$B$302,MATCH($B1754,직원목록!$A$3:$A$302,0)),"미등록사번"))</f>
        <v/>
      </c>
      <c r="D1754" s="9"/>
      <c r="E1754" s="15" t="str">
        <f aca="false">IF($D1754="","",IFERROR(INDEX(교육과정!$B$3:$B$102,MATCH($D1754,교육과정!$A$3:$A$102,0)),"미등록과정"))</f>
        <v/>
      </c>
      <c r="F1754" s="13"/>
      <c r="G1754" s="9"/>
      <c r="H1754" s="9"/>
    </row>
    <row r="1755" customFormat="false" ht="15" hidden="false" customHeight="true" outlineLevel="0" collapsed="false">
      <c r="A1755" s="11"/>
      <c r="B1755" s="9"/>
      <c r="C1755" s="15" t="str">
        <f aca="false">IF($B1755="","",IFERROR(INDEX(직원목록!$B$3:$B$302,MATCH($B1755,직원목록!$A$3:$A$302,0)),"미등록사번"))</f>
        <v/>
      </c>
      <c r="D1755" s="9"/>
      <c r="E1755" s="15" t="str">
        <f aca="false">IF($D1755="","",IFERROR(INDEX(교육과정!$B$3:$B$102,MATCH($D1755,교육과정!$A$3:$A$102,0)),"미등록과정"))</f>
        <v/>
      </c>
      <c r="F1755" s="13"/>
      <c r="G1755" s="9"/>
      <c r="H1755" s="9"/>
    </row>
    <row r="1756" customFormat="false" ht="15" hidden="false" customHeight="true" outlineLevel="0" collapsed="false">
      <c r="A1756" s="11"/>
      <c r="B1756" s="9"/>
      <c r="C1756" s="15" t="str">
        <f aca="false">IF($B1756="","",IFERROR(INDEX(직원목록!$B$3:$B$302,MATCH($B1756,직원목록!$A$3:$A$302,0)),"미등록사번"))</f>
        <v/>
      </c>
      <c r="D1756" s="9"/>
      <c r="E1756" s="15" t="str">
        <f aca="false">IF($D1756="","",IFERROR(INDEX(교육과정!$B$3:$B$102,MATCH($D1756,교육과정!$A$3:$A$102,0)),"미등록과정"))</f>
        <v/>
      </c>
      <c r="F1756" s="13"/>
      <c r="G1756" s="9"/>
      <c r="H1756" s="9"/>
    </row>
    <row r="1757" customFormat="false" ht="15" hidden="false" customHeight="true" outlineLevel="0" collapsed="false">
      <c r="A1757" s="11"/>
      <c r="B1757" s="9"/>
      <c r="C1757" s="15" t="str">
        <f aca="false">IF($B1757="","",IFERROR(INDEX(직원목록!$B$3:$B$302,MATCH($B1757,직원목록!$A$3:$A$302,0)),"미등록사번"))</f>
        <v/>
      </c>
      <c r="D1757" s="9"/>
      <c r="E1757" s="15" t="str">
        <f aca="false">IF($D1757="","",IFERROR(INDEX(교육과정!$B$3:$B$102,MATCH($D1757,교육과정!$A$3:$A$102,0)),"미등록과정"))</f>
        <v/>
      </c>
      <c r="F1757" s="13"/>
      <c r="G1757" s="9"/>
      <c r="H1757" s="9"/>
    </row>
    <row r="1758" customFormat="false" ht="15" hidden="false" customHeight="true" outlineLevel="0" collapsed="false">
      <c r="A1758" s="11"/>
      <c r="B1758" s="9"/>
      <c r="C1758" s="15" t="str">
        <f aca="false">IF($B1758="","",IFERROR(INDEX(직원목록!$B$3:$B$302,MATCH($B1758,직원목록!$A$3:$A$302,0)),"미등록사번"))</f>
        <v/>
      </c>
      <c r="D1758" s="9"/>
      <c r="E1758" s="15" t="str">
        <f aca="false">IF($D1758="","",IFERROR(INDEX(교육과정!$B$3:$B$102,MATCH($D1758,교육과정!$A$3:$A$102,0)),"미등록과정"))</f>
        <v/>
      </c>
      <c r="F1758" s="13"/>
      <c r="G1758" s="9"/>
      <c r="H1758" s="9"/>
    </row>
    <row r="1759" customFormat="false" ht="15" hidden="false" customHeight="true" outlineLevel="0" collapsed="false">
      <c r="A1759" s="11"/>
      <c r="B1759" s="9"/>
      <c r="C1759" s="15" t="str">
        <f aca="false">IF($B1759="","",IFERROR(INDEX(직원목록!$B$3:$B$302,MATCH($B1759,직원목록!$A$3:$A$302,0)),"미등록사번"))</f>
        <v/>
      </c>
      <c r="D1759" s="9"/>
      <c r="E1759" s="15" t="str">
        <f aca="false">IF($D1759="","",IFERROR(INDEX(교육과정!$B$3:$B$102,MATCH($D1759,교육과정!$A$3:$A$102,0)),"미등록과정"))</f>
        <v/>
      </c>
      <c r="F1759" s="13"/>
      <c r="G1759" s="9"/>
      <c r="H1759" s="9"/>
    </row>
    <row r="1760" customFormat="false" ht="15" hidden="false" customHeight="true" outlineLevel="0" collapsed="false">
      <c r="A1760" s="11"/>
      <c r="B1760" s="9"/>
      <c r="C1760" s="15" t="str">
        <f aca="false">IF($B1760="","",IFERROR(INDEX(직원목록!$B$3:$B$302,MATCH($B1760,직원목록!$A$3:$A$302,0)),"미등록사번"))</f>
        <v/>
      </c>
      <c r="D1760" s="9"/>
      <c r="E1760" s="15" t="str">
        <f aca="false">IF($D1760="","",IFERROR(INDEX(교육과정!$B$3:$B$102,MATCH($D1760,교육과정!$A$3:$A$102,0)),"미등록과정"))</f>
        <v/>
      </c>
      <c r="F1760" s="13"/>
      <c r="G1760" s="9"/>
      <c r="H1760" s="9"/>
    </row>
    <row r="1761" customFormat="false" ht="15" hidden="false" customHeight="true" outlineLevel="0" collapsed="false">
      <c r="A1761" s="11"/>
      <c r="B1761" s="9"/>
      <c r="C1761" s="15" t="str">
        <f aca="false">IF($B1761="","",IFERROR(INDEX(직원목록!$B$3:$B$302,MATCH($B1761,직원목록!$A$3:$A$302,0)),"미등록사번"))</f>
        <v/>
      </c>
      <c r="D1761" s="9"/>
      <c r="E1761" s="15" t="str">
        <f aca="false">IF($D1761="","",IFERROR(INDEX(교육과정!$B$3:$B$102,MATCH($D1761,교육과정!$A$3:$A$102,0)),"미등록과정"))</f>
        <v/>
      </c>
      <c r="F1761" s="13"/>
      <c r="G1761" s="9"/>
      <c r="H1761" s="9"/>
    </row>
    <row r="1762" customFormat="false" ht="15" hidden="false" customHeight="true" outlineLevel="0" collapsed="false">
      <c r="A1762" s="11"/>
      <c r="B1762" s="9"/>
      <c r="C1762" s="15" t="str">
        <f aca="false">IF($B1762="","",IFERROR(INDEX(직원목록!$B$3:$B$302,MATCH($B1762,직원목록!$A$3:$A$302,0)),"미등록사번"))</f>
        <v/>
      </c>
      <c r="D1762" s="9"/>
      <c r="E1762" s="15" t="str">
        <f aca="false">IF($D1762="","",IFERROR(INDEX(교육과정!$B$3:$B$102,MATCH($D1762,교육과정!$A$3:$A$102,0)),"미등록과정"))</f>
        <v/>
      </c>
      <c r="F1762" s="13"/>
      <c r="G1762" s="9"/>
      <c r="H1762" s="9"/>
    </row>
    <row r="1763" customFormat="false" ht="15" hidden="false" customHeight="true" outlineLevel="0" collapsed="false">
      <c r="A1763" s="11"/>
      <c r="B1763" s="9"/>
      <c r="C1763" s="15" t="str">
        <f aca="false">IF($B1763="","",IFERROR(INDEX(직원목록!$B$3:$B$302,MATCH($B1763,직원목록!$A$3:$A$302,0)),"미등록사번"))</f>
        <v/>
      </c>
      <c r="D1763" s="9"/>
      <c r="E1763" s="15" t="str">
        <f aca="false">IF($D1763="","",IFERROR(INDEX(교육과정!$B$3:$B$102,MATCH($D1763,교육과정!$A$3:$A$102,0)),"미등록과정"))</f>
        <v/>
      </c>
      <c r="F1763" s="13"/>
      <c r="G1763" s="9"/>
      <c r="H1763" s="9"/>
    </row>
    <row r="1764" customFormat="false" ht="15" hidden="false" customHeight="true" outlineLevel="0" collapsed="false">
      <c r="A1764" s="11"/>
      <c r="B1764" s="9"/>
      <c r="C1764" s="15" t="str">
        <f aca="false">IF($B1764="","",IFERROR(INDEX(직원목록!$B$3:$B$302,MATCH($B1764,직원목록!$A$3:$A$302,0)),"미등록사번"))</f>
        <v/>
      </c>
      <c r="D1764" s="9"/>
      <c r="E1764" s="15" t="str">
        <f aca="false">IF($D1764="","",IFERROR(INDEX(교육과정!$B$3:$B$102,MATCH($D1764,교육과정!$A$3:$A$102,0)),"미등록과정"))</f>
        <v/>
      </c>
      <c r="F1764" s="13"/>
      <c r="G1764" s="9"/>
      <c r="H1764" s="9"/>
    </row>
    <row r="1765" customFormat="false" ht="15" hidden="false" customHeight="true" outlineLevel="0" collapsed="false">
      <c r="A1765" s="11"/>
      <c r="B1765" s="9"/>
      <c r="C1765" s="15" t="str">
        <f aca="false">IF($B1765="","",IFERROR(INDEX(직원목록!$B$3:$B$302,MATCH($B1765,직원목록!$A$3:$A$302,0)),"미등록사번"))</f>
        <v/>
      </c>
      <c r="D1765" s="9"/>
      <c r="E1765" s="15" t="str">
        <f aca="false">IF($D1765="","",IFERROR(INDEX(교육과정!$B$3:$B$102,MATCH($D1765,교육과정!$A$3:$A$102,0)),"미등록과정"))</f>
        <v/>
      </c>
      <c r="F1765" s="13"/>
      <c r="G1765" s="9"/>
      <c r="H1765" s="9"/>
    </row>
    <row r="1766" customFormat="false" ht="15" hidden="false" customHeight="true" outlineLevel="0" collapsed="false">
      <c r="A1766" s="11"/>
      <c r="B1766" s="9"/>
      <c r="C1766" s="15" t="str">
        <f aca="false">IF($B1766="","",IFERROR(INDEX(직원목록!$B$3:$B$302,MATCH($B1766,직원목록!$A$3:$A$302,0)),"미등록사번"))</f>
        <v/>
      </c>
      <c r="D1766" s="9"/>
      <c r="E1766" s="15" t="str">
        <f aca="false">IF($D1766="","",IFERROR(INDEX(교육과정!$B$3:$B$102,MATCH($D1766,교육과정!$A$3:$A$102,0)),"미등록과정"))</f>
        <v/>
      </c>
      <c r="F1766" s="13"/>
      <c r="G1766" s="9"/>
      <c r="H1766" s="9"/>
    </row>
    <row r="1767" customFormat="false" ht="15" hidden="false" customHeight="true" outlineLevel="0" collapsed="false">
      <c r="A1767" s="11"/>
      <c r="B1767" s="9"/>
      <c r="C1767" s="15" t="str">
        <f aca="false">IF($B1767="","",IFERROR(INDEX(직원목록!$B$3:$B$302,MATCH($B1767,직원목록!$A$3:$A$302,0)),"미등록사번"))</f>
        <v/>
      </c>
      <c r="D1767" s="9"/>
      <c r="E1767" s="15" t="str">
        <f aca="false">IF($D1767="","",IFERROR(INDEX(교육과정!$B$3:$B$102,MATCH($D1767,교육과정!$A$3:$A$102,0)),"미등록과정"))</f>
        <v/>
      </c>
      <c r="F1767" s="13"/>
      <c r="G1767" s="9"/>
      <c r="H1767" s="9"/>
    </row>
    <row r="1768" customFormat="false" ht="15" hidden="false" customHeight="true" outlineLevel="0" collapsed="false">
      <c r="A1768" s="11"/>
      <c r="B1768" s="9"/>
      <c r="C1768" s="15" t="str">
        <f aca="false">IF($B1768="","",IFERROR(INDEX(직원목록!$B$3:$B$302,MATCH($B1768,직원목록!$A$3:$A$302,0)),"미등록사번"))</f>
        <v/>
      </c>
      <c r="D1768" s="9"/>
      <c r="E1768" s="15" t="str">
        <f aca="false">IF($D1768="","",IFERROR(INDEX(교육과정!$B$3:$B$102,MATCH($D1768,교육과정!$A$3:$A$102,0)),"미등록과정"))</f>
        <v/>
      </c>
      <c r="F1768" s="13"/>
      <c r="G1768" s="9"/>
      <c r="H1768" s="9"/>
    </row>
    <row r="1769" customFormat="false" ht="15" hidden="false" customHeight="true" outlineLevel="0" collapsed="false">
      <c r="A1769" s="11"/>
      <c r="B1769" s="9"/>
      <c r="C1769" s="15" t="str">
        <f aca="false">IF($B1769="","",IFERROR(INDEX(직원목록!$B$3:$B$302,MATCH($B1769,직원목록!$A$3:$A$302,0)),"미등록사번"))</f>
        <v/>
      </c>
      <c r="D1769" s="9"/>
      <c r="E1769" s="15" t="str">
        <f aca="false">IF($D1769="","",IFERROR(INDEX(교육과정!$B$3:$B$102,MATCH($D1769,교육과정!$A$3:$A$102,0)),"미등록과정"))</f>
        <v/>
      </c>
      <c r="F1769" s="13"/>
      <c r="G1769" s="9"/>
      <c r="H1769" s="9"/>
    </row>
    <row r="1770" customFormat="false" ht="15" hidden="false" customHeight="true" outlineLevel="0" collapsed="false">
      <c r="A1770" s="11"/>
      <c r="B1770" s="9"/>
      <c r="C1770" s="15" t="str">
        <f aca="false">IF($B1770="","",IFERROR(INDEX(직원목록!$B$3:$B$302,MATCH($B1770,직원목록!$A$3:$A$302,0)),"미등록사번"))</f>
        <v/>
      </c>
      <c r="D1770" s="9"/>
      <c r="E1770" s="15" t="str">
        <f aca="false">IF($D1770="","",IFERROR(INDEX(교육과정!$B$3:$B$102,MATCH($D1770,교육과정!$A$3:$A$102,0)),"미등록과정"))</f>
        <v/>
      </c>
      <c r="F1770" s="13"/>
      <c r="G1770" s="9"/>
      <c r="H1770" s="9"/>
    </row>
    <row r="1771" customFormat="false" ht="15" hidden="false" customHeight="true" outlineLevel="0" collapsed="false">
      <c r="A1771" s="11"/>
      <c r="B1771" s="9"/>
      <c r="C1771" s="15" t="str">
        <f aca="false">IF($B1771="","",IFERROR(INDEX(직원목록!$B$3:$B$302,MATCH($B1771,직원목록!$A$3:$A$302,0)),"미등록사번"))</f>
        <v/>
      </c>
      <c r="D1771" s="9"/>
      <c r="E1771" s="15" t="str">
        <f aca="false">IF($D1771="","",IFERROR(INDEX(교육과정!$B$3:$B$102,MATCH($D1771,교육과정!$A$3:$A$102,0)),"미등록과정"))</f>
        <v/>
      </c>
      <c r="F1771" s="13"/>
      <c r="G1771" s="9"/>
      <c r="H1771" s="9"/>
    </row>
    <row r="1772" customFormat="false" ht="15" hidden="false" customHeight="true" outlineLevel="0" collapsed="false">
      <c r="A1772" s="11"/>
      <c r="B1772" s="9"/>
      <c r="C1772" s="15" t="str">
        <f aca="false">IF($B1772="","",IFERROR(INDEX(직원목록!$B$3:$B$302,MATCH($B1772,직원목록!$A$3:$A$302,0)),"미등록사번"))</f>
        <v/>
      </c>
      <c r="D1772" s="9"/>
      <c r="E1772" s="15" t="str">
        <f aca="false">IF($D1772="","",IFERROR(INDEX(교육과정!$B$3:$B$102,MATCH($D1772,교육과정!$A$3:$A$102,0)),"미등록과정"))</f>
        <v/>
      </c>
      <c r="F1772" s="13"/>
      <c r="G1772" s="9"/>
      <c r="H1772" s="9"/>
    </row>
    <row r="1773" customFormat="false" ht="15" hidden="false" customHeight="true" outlineLevel="0" collapsed="false">
      <c r="A1773" s="11"/>
      <c r="B1773" s="9"/>
      <c r="C1773" s="15" t="str">
        <f aca="false">IF($B1773="","",IFERROR(INDEX(직원목록!$B$3:$B$302,MATCH($B1773,직원목록!$A$3:$A$302,0)),"미등록사번"))</f>
        <v/>
      </c>
      <c r="D1773" s="9"/>
      <c r="E1773" s="15" t="str">
        <f aca="false">IF($D1773="","",IFERROR(INDEX(교육과정!$B$3:$B$102,MATCH($D1773,교육과정!$A$3:$A$102,0)),"미등록과정"))</f>
        <v/>
      </c>
      <c r="F1773" s="13"/>
      <c r="G1773" s="9"/>
      <c r="H1773" s="9"/>
    </row>
    <row r="1774" customFormat="false" ht="15" hidden="false" customHeight="true" outlineLevel="0" collapsed="false">
      <c r="A1774" s="11"/>
      <c r="B1774" s="9"/>
      <c r="C1774" s="15" t="str">
        <f aca="false">IF($B1774="","",IFERROR(INDEX(직원목록!$B$3:$B$302,MATCH($B1774,직원목록!$A$3:$A$302,0)),"미등록사번"))</f>
        <v/>
      </c>
      <c r="D1774" s="9"/>
      <c r="E1774" s="15" t="str">
        <f aca="false">IF($D1774="","",IFERROR(INDEX(교육과정!$B$3:$B$102,MATCH($D1774,교육과정!$A$3:$A$102,0)),"미등록과정"))</f>
        <v/>
      </c>
      <c r="F1774" s="13"/>
      <c r="G1774" s="9"/>
      <c r="H1774" s="9"/>
    </row>
    <row r="1775" customFormat="false" ht="15" hidden="false" customHeight="true" outlineLevel="0" collapsed="false">
      <c r="A1775" s="11"/>
      <c r="B1775" s="9"/>
      <c r="C1775" s="15" t="str">
        <f aca="false">IF($B1775="","",IFERROR(INDEX(직원목록!$B$3:$B$302,MATCH($B1775,직원목록!$A$3:$A$302,0)),"미등록사번"))</f>
        <v/>
      </c>
      <c r="D1775" s="9"/>
      <c r="E1775" s="15" t="str">
        <f aca="false">IF($D1775="","",IFERROR(INDEX(교육과정!$B$3:$B$102,MATCH($D1775,교육과정!$A$3:$A$102,0)),"미등록과정"))</f>
        <v/>
      </c>
      <c r="F1775" s="13"/>
      <c r="G1775" s="9"/>
      <c r="H1775" s="9"/>
    </row>
    <row r="1776" customFormat="false" ht="15" hidden="false" customHeight="true" outlineLevel="0" collapsed="false">
      <c r="A1776" s="11"/>
      <c r="B1776" s="9"/>
      <c r="C1776" s="15" t="str">
        <f aca="false">IF($B1776="","",IFERROR(INDEX(직원목록!$B$3:$B$302,MATCH($B1776,직원목록!$A$3:$A$302,0)),"미등록사번"))</f>
        <v/>
      </c>
      <c r="D1776" s="9"/>
      <c r="E1776" s="15" t="str">
        <f aca="false">IF($D1776="","",IFERROR(INDEX(교육과정!$B$3:$B$102,MATCH($D1776,교육과정!$A$3:$A$102,0)),"미등록과정"))</f>
        <v/>
      </c>
      <c r="F1776" s="13"/>
      <c r="G1776" s="9"/>
      <c r="H1776" s="9"/>
    </row>
    <row r="1777" customFormat="false" ht="15" hidden="false" customHeight="true" outlineLevel="0" collapsed="false">
      <c r="A1777" s="11"/>
      <c r="B1777" s="9"/>
      <c r="C1777" s="15" t="str">
        <f aca="false">IF($B1777="","",IFERROR(INDEX(직원목록!$B$3:$B$302,MATCH($B1777,직원목록!$A$3:$A$302,0)),"미등록사번"))</f>
        <v/>
      </c>
      <c r="D1777" s="9"/>
      <c r="E1777" s="15" t="str">
        <f aca="false">IF($D1777="","",IFERROR(INDEX(교육과정!$B$3:$B$102,MATCH($D1777,교육과정!$A$3:$A$102,0)),"미등록과정"))</f>
        <v/>
      </c>
      <c r="F1777" s="13"/>
      <c r="G1777" s="9"/>
      <c r="H1777" s="9"/>
    </row>
    <row r="1778" customFormat="false" ht="15" hidden="false" customHeight="true" outlineLevel="0" collapsed="false">
      <c r="A1778" s="11"/>
      <c r="B1778" s="9"/>
      <c r="C1778" s="15" t="str">
        <f aca="false">IF($B1778="","",IFERROR(INDEX(직원목록!$B$3:$B$302,MATCH($B1778,직원목록!$A$3:$A$302,0)),"미등록사번"))</f>
        <v/>
      </c>
      <c r="D1778" s="9"/>
      <c r="E1778" s="15" t="str">
        <f aca="false">IF($D1778="","",IFERROR(INDEX(교육과정!$B$3:$B$102,MATCH($D1778,교육과정!$A$3:$A$102,0)),"미등록과정"))</f>
        <v/>
      </c>
      <c r="F1778" s="13"/>
      <c r="G1778" s="9"/>
      <c r="H1778" s="9"/>
    </row>
    <row r="1779" customFormat="false" ht="15" hidden="false" customHeight="true" outlineLevel="0" collapsed="false">
      <c r="A1779" s="11"/>
      <c r="B1779" s="9"/>
      <c r="C1779" s="15" t="str">
        <f aca="false">IF($B1779="","",IFERROR(INDEX(직원목록!$B$3:$B$302,MATCH($B1779,직원목록!$A$3:$A$302,0)),"미등록사번"))</f>
        <v/>
      </c>
      <c r="D1779" s="9"/>
      <c r="E1779" s="15" t="str">
        <f aca="false">IF($D1779="","",IFERROR(INDEX(교육과정!$B$3:$B$102,MATCH($D1779,교육과정!$A$3:$A$102,0)),"미등록과정"))</f>
        <v/>
      </c>
      <c r="F1779" s="13"/>
      <c r="G1779" s="9"/>
      <c r="H1779" s="9"/>
    </row>
    <row r="1780" customFormat="false" ht="15" hidden="false" customHeight="true" outlineLevel="0" collapsed="false">
      <c r="A1780" s="11"/>
      <c r="B1780" s="9"/>
      <c r="C1780" s="15" t="str">
        <f aca="false">IF($B1780="","",IFERROR(INDEX(직원목록!$B$3:$B$302,MATCH($B1780,직원목록!$A$3:$A$302,0)),"미등록사번"))</f>
        <v/>
      </c>
      <c r="D1780" s="9"/>
      <c r="E1780" s="15" t="str">
        <f aca="false">IF($D1780="","",IFERROR(INDEX(교육과정!$B$3:$B$102,MATCH($D1780,교육과정!$A$3:$A$102,0)),"미등록과정"))</f>
        <v/>
      </c>
      <c r="F1780" s="13"/>
      <c r="G1780" s="9"/>
      <c r="H1780" s="9"/>
    </row>
    <row r="1781" customFormat="false" ht="15" hidden="false" customHeight="true" outlineLevel="0" collapsed="false">
      <c r="A1781" s="11"/>
      <c r="B1781" s="9"/>
      <c r="C1781" s="15" t="str">
        <f aca="false">IF($B1781="","",IFERROR(INDEX(직원목록!$B$3:$B$302,MATCH($B1781,직원목록!$A$3:$A$302,0)),"미등록사번"))</f>
        <v/>
      </c>
      <c r="D1781" s="9"/>
      <c r="E1781" s="15" t="str">
        <f aca="false">IF($D1781="","",IFERROR(INDEX(교육과정!$B$3:$B$102,MATCH($D1781,교육과정!$A$3:$A$102,0)),"미등록과정"))</f>
        <v/>
      </c>
      <c r="F1781" s="13"/>
      <c r="G1781" s="9"/>
      <c r="H1781" s="9"/>
    </row>
    <row r="1782" customFormat="false" ht="15" hidden="false" customHeight="true" outlineLevel="0" collapsed="false">
      <c r="A1782" s="11"/>
      <c r="B1782" s="9"/>
      <c r="C1782" s="15" t="str">
        <f aca="false">IF($B1782="","",IFERROR(INDEX(직원목록!$B$3:$B$302,MATCH($B1782,직원목록!$A$3:$A$302,0)),"미등록사번"))</f>
        <v/>
      </c>
      <c r="D1782" s="9"/>
      <c r="E1782" s="15" t="str">
        <f aca="false">IF($D1782="","",IFERROR(INDEX(교육과정!$B$3:$B$102,MATCH($D1782,교육과정!$A$3:$A$102,0)),"미등록과정"))</f>
        <v/>
      </c>
      <c r="F1782" s="13"/>
      <c r="G1782" s="9"/>
      <c r="H1782" s="9"/>
    </row>
    <row r="1783" customFormat="false" ht="15" hidden="false" customHeight="true" outlineLevel="0" collapsed="false">
      <c r="A1783" s="11"/>
      <c r="B1783" s="9"/>
      <c r="C1783" s="15" t="str">
        <f aca="false">IF($B1783="","",IFERROR(INDEX(직원목록!$B$3:$B$302,MATCH($B1783,직원목록!$A$3:$A$302,0)),"미등록사번"))</f>
        <v/>
      </c>
      <c r="D1783" s="9"/>
      <c r="E1783" s="15" t="str">
        <f aca="false">IF($D1783="","",IFERROR(INDEX(교육과정!$B$3:$B$102,MATCH($D1783,교육과정!$A$3:$A$102,0)),"미등록과정"))</f>
        <v/>
      </c>
      <c r="F1783" s="13"/>
      <c r="G1783" s="9"/>
      <c r="H1783" s="9"/>
    </row>
    <row r="1784" customFormat="false" ht="15" hidden="false" customHeight="true" outlineLevel="0" collapsed="false">
      <c r="A1784" s="11"/>
      <c r="B1784" s="9"/>
      <c r="C1784" s="15" t="str">
        <f aca="false">IF($B1784="","",IFERROR(INDEX(직원목록!$B$3:$B$302,MATCH($B1784,직원목록!$A$3:$A$302,0)),"미등록사번"))</f>
        <v/>
      </c>
      <c r="D1784" s="9"/>
      <c r="E1784" s="15" t="str">
        <f aca="false">IF($D1784="","",IFERROR(INDEX(교육과정!$B$3:$B$102,MATCH($D1784,교육과정!$A$3:$A$102,0)),"미등록과정"))</f>
        <v/>
      </c>
      <c r="F1784" s="13"/>
      <c r="G1784" s="9"/>
      <c r="H1784" s="9"/>
    </row>
    <row r="1785" customFormat="false" ht="15" hidden="false" customHeight="true" outlineLevel="0" collapsed="false">
      <c r="A1785" s="11"/>
      <c r="B1785" s="9"/>
      <c r="C1785" s="15" t="str">
        <f aca="false">IF($B1785="","",IFERROR(INDEX(직원목록!$B$3:$B$302,MATCH($B1785,직원목록!$A$3:$A$302,0)),"미등록사번"))</f>
        <v/>
      </c>
      <c r="D1785" s="9"/>
      <c r="E1785" s="15" t="str">
        <f aca="false">IF($D1785="","",IFERROR(INDEX(교육과정!$B$3:$B$102,MATCH($D1785,교육과정!$A$3:$A$102,0)),"미등록과정"))</f>
        <v/>
      </c>
      <c r="F1785" s="13"/>
      <c r="G1785" s="9"/>
      <c r="H1785" s="9"/>
    </row>
    <row r="1786" customFormat="false" ht="15" hidden="false" customHeight="true" outlineLevel="0" collapsed="false">
      <c r="A1786" s="11"/>
      <c r="B1786" s="9"/>
      <c r="C1786" s="15" t="str">
        <f aca="false">IF($B1786="","",IFERROR(INDEX(직원목록!$B$3:$B$302,MATCH($B1786,직원목록!$A$3:$A$302,0)),"미등록사번"))</f>
        <v/>
      </c>
      <c r="D1786" s="9"/>
      <c r="E1786" s="15" t="str">
        <f aca="false">IF($D1786="","",IFERROR(INDEX(교육과정!$B$3:$B$102,MATCH($D1786,교육과정!$A$3:$A$102,0)),"미등록과정"))</f>
        <v/>
      </c>
      <c r="F1786" s="13"/>
      <c r="G1786" s="9"/>
      <c r="H1786" s="9"/>
    </row>
    <row r="1787" customFormat="false" ht="15" hidden="false" customHeight="true" outlineLevel="0" collapsed="false">
      <c r="A1787" s="11"/>
      <c r="B1787" s="9"/>
      <c r="C1787" s="15" t="str">
        <f aca="false">IF($B1787="","",IFERROR(INDEX(직원목록!$B$3:$B$302,MATCH($B1787,직원목록!$A$3:$A$302,0)),"미등록사번"))</f>
        <v/>
      </c>
      <c r="D1787" s="9"/>
      <c r="E1787" s="15" t="str">
        <f aca="false">IF($D1787="","",IFERROR(INDEX(교육과정!$B$3:$B$102,MATCH($D1787,교육과정!$A$3:$A$102,0)),"미등록과정"))</f>
        <v/>
      </c>
      <c r="F1787" s="13"/>
      <c r="G1787" s="9"/>
      <c r="H1787" s="9"/>
    </row>
    <row r="1788" customFormat="false" ht="15" hidden="false" customHeight="true" outlineLevel="0" collapsed="false">
      <c r="A1788" s="11"/>
      <c r="B1788" s="9"/>
      <c r="C1788" s="15" t="str">
        <f aca="false">IF($B1788="","",IFERROR(INDEX(직원목록!$B$3:$B$302,MATCH($B1788,직원목록!$A$3:$A$302,0)),"미등록사번"))</f>
        <v/>
      </c>
      <c r="D1788" s="9"/>
      <c r="E1788" s="15" t="str">
        <f aca="false">IF($D1788="","",IFERROR(INDEX(교육과정!$B$3:$B$102,MATCH($D1788,교육과정!$A$3:$A$102,0)),"미등록과정"))</f>
        <v/>
      </c>
      <c r="F1788" s="13"/>
      <c r="G1788" s="9"/>
      <c r="H1788" s="9"/>
    </row>
    <row r="1789" customFormat="false" ht="15" hidden="false" customHeight="true" outlineLevel="0" collapsed="false">
      <c r="A1789" s="11"/>
      <c r="B1789" s="9"/>
      <c r="C1789" s="15" t="str">
        <f aca="false">IF($B1789="","",IFERROR(INDEX(직원목록!$B$3:$B$302,MATCH($B1789,직원목록!$A$3:$A$302,0)),"미등록사번"))</f>
        <v/>
      </c>
      <c r="D1789" s="9"/>
      <c r="E1789" s="15" t="str">
        <f aca="false">IF($D1789="","",IFERROR(INDEX(교육과정!$B$3:$B$102,MATCH($D1789,교육과정!$A$3:$A$102,0)),"미등록과정"))</f>
        <v/>
      </c>
      <c r="F1789" s="13"/>
      <c r="G1789" s="9"/>
      <c r="H1789" s="9"/>
    </row>
    <row r="1790" customFormat="false" ht="15" hidden="false" customHeight="true" outlineLevel="0" collapsed="false">
      <c r="A1790" s="11"/>
      <c r="B1790" s="9"/>
      <c r="C1790" s="15" t="str">
        <f aca="false">IF($B1790="","",IFERROR(INDEX(직원목록!$B$3:$B$302,MATCH($B1790,직원목록!$A$3:$A$302,0)),"미등록사번"))</f>
        <v/>
      </c>
      <c r="D1790" s="9"/>
      <c r="E1790" s="15" t="str">
        <f aca="false">IF($D1790="","",IFERROR(INDEX(교육과정!$B$3:$B$102,MATCH($D1790,교육과정!$A$3:$A$102,0)),"미등록과정"))</f>
        <v/>
      </c>
      <c r="F1790" s="13"/>
      <c r="G1790" s="9"/>
      <c r="H1790" s="9"/>
    </row>
    <row r="1791" customFormat="false" ht="15" hidden="false" customHeight="true" outlineLevel="0" collapsed="false">
      <c r="A1791" s="11"/>
      <c r="B1791" s="9"/>
      <c r="C1791" s="15" t="str">
        <f aca="false">IF($B1791="","",IFERROR(INDEX(직원목록!$B$3:$B$302,MATCH($B1791,직원목록!$A$3:$A$302,0)),"미등록사번"))</f>
        <v/>
      </c>
      <c r="D1791" s="9"/>
      <c r="E1791" s="15" t="str">
        <f aca="false">IF($D1791="","",IFERROR(INDEX(교육과정!$B$3:$B$102,MATCH($D1791,교육과정!$A$3:$A$102,0)),"미등록과정"))</f>
        <v/>
      </c>
      <c r="F1791" s="13"/>
      <c r="G1791" s="9"/>
      <c r="H1791" s="9"/>
    </row>
    <row r="1792" customFormat="false" ht="15" hidden="false" customHeight="true" outlineLevel="0" collapsed="false">
      <c r="A1792" s="11"/>
      <c r="B1792" s="9"/>
      <c r="C1792" s="15" t="str">
        <f aca="false">IF($B1792="","",IFERROR(INDEX(직원목록!$B$3:$B$302,MATCH($B1792,직원목록!$A$3:$A$302,0)),"미등록사번"))</f>
        <v/>
      </c>
      <c r="D1792" s="9"/>
      <c r="E1792" s="15" t="str">
        <f aca="false">IF($D1792="","",IFERROR(INDEX(교육과정!$B$3:$B$102,MATCH($D1792,교육과정!$A$3:$A$102,0)),"미등록과정"))</f>
        <v/>
      </c>
      <c r="F1792" s="13"/>
      <c r="G1792" s="9"/>
      <c r="H1792" s="9"/>
    </row>
    <row r="1793" customFormat="false" ht="15" hidden="false" customHeight="true" outlineLevel="0" collapsed="false">
      <c r="A1793" s="11"/>
      <c r="B1793" s="9"/>
      <c r="C1793" s="15" t="str">
        <f aca="false">IF($B1793="","",IFERROR(INDEX(직원목록!$B$3:$B$302,MATCH($B1793,직원목록!$A$3:$A$302,0)),"미등록사번"))</f>
        <v/>
      </c>
      <c r="D1793" s="9"/>
      <c r="E1793" s="15" t="str">
        <f aca="false">IF($D1793="","",IFERROR(INDEX(교육과정!$B$3:$B$102,MATCH($D1793,교육과정!$A$3:$A$102,0)),"미등록과정"))</f>
        <v/>
      </c>
      <c r="F1793" s="13"/>
      <c r="G1793" s="9"/>
      <c r="H1793" s="9"/>
    </row>
    <row r="1794" customFormat="false" ht="15" hidden="false" customHeight="true" outlineLevel="0" collapsed="false">
      <c r="A1794" s="11"/>
      <c r="B1794" s="9"/>
      <c r="C1794" s="15" t="str">
        <f aca="false">IF($B1794="","",IFERROR(INDEX(직원목록!$B$3:$B$302,MATCH($B1794,직원목록!$A$3:$A$302,0)),"미등록사번"))</f>
        <v/>
      </c>
      <c r="D1794" s="9"/>
      <c r="E1794" s="15" t="str">
        <f aca="false">IF($D1794="","",IFERROR(INDEX(교육과정!$B$3:$B$102,MATCH($D1794,교육과정!$A$3:$A$102,0)),"미등록과정"))</f>
        <v/>
      </c>
      <c r="F1794" s="13"/>
      <c r="G1794" s="9"/>
      <c r="H1794" s="9"/>
    </row>
    <row r="1795" customFormat="false" ht="15" hidden="false" customHeight="true" outlineLevel="0" collapsed="false">
      <c r="A1795" s="11"/>
      <c r="B1795" s="9"/>
      <c r="C1795" s="15" t="str">
        <f aca="false">IF($B1795="","",IFERROR(INDEX(직원목록!$B$3:$B$302,MATCH($B1795,직원목록!$A$3:$A$302,0)),"미등록사번"))</f>
        <v/>
      </c>
      <c r="D1795" s="9"/>
      <c r="E1795" s="15" t="str">
        <f aca="false">IF($D1795="","",IFERROR(INDEX(교육과정!$B$3:$B$102,MATCH($D1795,교육과정!$A$3:$A$102,0)),"미등록과정"))</f>
        <v/>
      </c>
      <c r="F1795" s="13"/>
      <c r="G1795" s="9"/>
      <c r="H1795" s="9"/>
    </row>
    <row r="1796" customFormat="false" ht="15" hidden="false" customHeight="true" outlineLevel="0" collapsed="false">
      <c r="A1796" s="11"/>
      <c r="B1796" s="9"/>
      <c r="C1796" s="15" t="str">
        <f aca="false">IF($B1796="","",IFERROR(INDEX(직원목록!$B$3:$B$302,MATCH($B1796,직원목록!$A$3:$A$302,0)),"미등록사번"))</f>
        <v/>
      </c>
      <c r="D1796" s="9"/>
      <c r="E1796" s="15" t="str">
        <f aca="false">IF($D1796="","",IFERROR(INDEX(교육과정!$B$3:$B$102,MATCH($D1796,교육과정!$A$3:$A$102,0)),"미등록과정"))</f>
        <v/>
      </c>
      <c r="F1796" s="13"/>
      <c r="G1796" s="9"/>
      <c r="H1796" s="9"/>
    </row>
    <row r="1797" customFormat="false" ht="15" hidden="false" customHeight="true" outlineLevel="0" collapsed="false">
      <c r="A1797" s="11"/>
      <c r="B1797" s="9"/>
      <c r="C1797" s="15" t="str">
        <f aca="false">IF($B1797="","",IFERROR(INDEX(직원목록!$B$3:$B$302,MATCH($B1797,직원목록!$A$3:$A$302,0)),"미등록사번"))</f>
        <v/>
      </c>
      <c r="D1797" s="9"/>
      <c r="E1797" s="15" t="str">
        <f aca="false">IF($D1797="","",IFERROR(INDEX(교육과정!$B$3:$B$102,MATCH($D1797,교육과정!$A$3:$A$102,0)),"미등록과정"))</f>
        <v/>
      </c>
      <c r="F1797" s="13"/>
      <c r="G1797" s="9"/>
      <c r="H1797" s="9"/>
    </row>
    <row r="1798" customFormat="false" ht="15" hidden="false" customHeight="true" outlineLevel="0" collapsed="false">
      <c r="A1798" s="11"/>
      <c r="B1798" s="9"/>
      <c r="C1798" s="15" t="str">
        <f aca="false">IF($B1798="","",IFERROR(INDEX(직원목록!$B$3:$B$302,MATCH($B1798,직원목록!$A$3:$A$302,0)),"미등록사번"))</f>
        <v/>
      </c>
      <c r="D1798" s="9"/>
      <c r="E1798" s="15" t="str">
        <f aca="false">IF($D1798="","",IFERROR(INDEX(교육과정!$B$3:$B$102,MATCH($D1798,교육과정!$A$3:$A$102,0)),"미등록과정"))</f>
        <v/>
      </c>
      <c r="F1798" s="13"/>
      <c r="G1798" s="9"/>
      <c r="H1798" s="9"/>
    </row>
    <row r="1799" customFormat="false" ht="15" hidden="false" customHeight="true" outlineLevel="0" collapsed="false">
      <c r="A1799" s="11"/>
      <c r="B1799" s="9"/>
      <c r="C1799" s="15" t="str">
        <f aca="false">IF($B1799="","",IFERROR(INDEX(직원목록!$B$3:$B$302,MATCH($B1799,직원목록!$A$3:$A$302,0)),"미등록사번"))</f>
        <v/>
      </c>
      <c r="D1799" s="9"/>
      <c r="E1799" s="15" t="str">
        <f aca="false">IF($D1799="","",IFERROR(INDEX(교육과정!$B$3:$B$102,MATCH($D1799,교육과정!$A$3:$A$102,0)),"미등록과정"))</f>
        <v/>
      </c>
      <c r="F1799" s="13"/>
      <c r="G1799" s="9"/>
      <c r="H1799" s="9"/>
    </row>
    <row r="1800" customFormat="false" ht="15" hidden="false" customHeight="true" outlineLevel="0" collapsed="false">
      <c r="A1800" s="11"/>
      <c r="B1800" s="9"/>
      <c r="C1800" s="15" t="str">
        <f aca="false">IF($B1800="","",IFERROR(INDEX(직원목록!$B$3:$B$302,MATCH($B1800,직원목록!$A$3:$A$302,0)),"미등록사번"))</f>
        <v/>
      </c>
      <c r="D1800" s="9"/>
      <c r="E1800" s="15" t="str">
        <f aca="false">IF($D1800="","",IFERROR(INDEX(교육과정!$B$3:$B$102,MATCH($D1800,교육과정!$A$3:$A$102,0)),"미등록과정"))</f>
        <v/>
      </c>
      <c r="F1800" s="13"/>
      <c r="G1800" s="9"/>
      <c r="H1800" s="9"/>
    </row>
    <row r="1801" customFormat="false" ht="15" hidden="false" customHeight="true" outlineLevel="0" collapsed="false">
      <c r="A1801" s="11"/>
      <c r="B1801" s="9"/>
      <c r="C1801" s="15" t="str">
        <f aca="false">IF($B1801="","",IFERROR(INDEX(직원목록!$B$3:$B$302,MATCH($B1801,직원목록!$A$3:$A$302,0)),"미등록사번"))</f>
        <v/>
      </c>
      <c r="D1801" s="9"/>
      <c r="E1801" s="15" t="str">
        <f aca="false">IF($D1801="","",IFERROR(INDEX(교육과정!$B$3:$B$102,MATCH($D1801,교육과정!$A$3:$A$102,0)),"미등록과정"))</f>
        <v/>
      </c>
      <c r="F1801" s="13"/>
      <c r="G1801" s="9"/>
      <c r="H1801" s="9"/>
    </row>
    <row r="1802" customFormat="false" ht="15" hidden="false" customHeight="true" outlineLevel="0" collapsed="false">
      <c r="A1802" s="11"/>
      <c r="B1802" s="9"/>
      <c r="C1802" s="15" t="str">
        <f aca="false">IF($B1802="","",IFERROR(INDEX(직원목록!$B$3:$B$302,MATCH($B1802,직원목록!$A$3:$A$302,0)),"미등록사번"))</f>
        <v/>
      </c>
      <c r="D1802" s="9"/>
      <c r="E1802" s="15" t="str">
        <f aca="false">IF($D1802="","",IFERROR(INDEX(교육과정!$B$3:$B$102,MATCH($D1802,교육과정!$A$3:$A$102,0)),"미등록과정"))</f>
        <v/>
      </c>
      <c r="F1802" s="13"/>
      <c r="G1802" s="9"/>
      <c r="H1802" s="9"/>
    </row>
    <row r="1803" customFormat="false" ht="15" hidden="false" customHeight="true" outlineLevel="0" collapsed="false">
      <c r="A1803" s="11"/>
      <c r="B1803" s="9"/>
      <c r="C1803" s="15" t="str">
        <f aca="false">IF($B1803="","",IFERROR(INDEX(직원목록!$B$3:$B$302,MATCH($B1803,직원목록!$A$3:$A$302,0)),"미등록사번"))</f>
        <v/>
      </c>
      <c r="D1803" s="9"/>
      <c r="E1803" s="15" t="str">
        <f aca="false">IF($D1803="","",IFERROR(INDEX(교육과정!$B$3:$B$102,MATCH($D1803,교육과정!$A$3:$A$102,0)),"미등록과정"))</f>
        <v/>
      </c>
      <c r="F1803" s="13"/>
      <c r="G1803" s="9"/>
      <c r="H1803" s="9"/>
    </row>
    <row r="1804" customFormat="false" ht="15" hidden="false" customHeight="true" outlineLevel="0" collapsed="false">
      <c r="A1804" s="11"/>
      <c r="B1804" s="9"/>
      <c r="C1804" s="15" t="str">
        <f aca="false">IF($B1804="","",IFERROR(INDEX(직원목록!$B$3:$B$302,MATCH($B1804,직원목록!$A$3:$A$302,0)),"미등록사번"))</f>
        <v/>
      </c>
      <c r="D1804" s="9"/>
      <c r="E1804" s="15" t="str">
        <f aca="false">IF($D1804="","",IFERROR(INDEX(교육과정!$B$3:$B$102,MATCH($D1804,교육과정!$A$3:$A$102,0)),"미등록과정"))</f>
        <v/>
      </c>
      <c r="F1804" s="13"/>
      <c r="G1804" s="9"/>
      <c r="H1804" s="9"/>
    </row>
    <row r="1805" customFormat="false" ht="15" hidden="false" customHeight="true" outlineLevel="0" collapsed="false">
      <c r="A1805" s="11"/>
      <c r="B1805" s="9"/>
      <c r="C1805" s="15" t="str">
        <f aca="false">IF($B1805="","",IFERROR(INDEX(직원목록!$B$3:$B$302,MATCH($B1805,직원목록!$A$3:$A$302,0)),"미등록사번"))</f>
        <v/>
      </c>
      <c r="D1805" s="9"/>
      <c r="E1805" s="15" t="str">
        <f aca="false">IF($D1805="","",IFERROR(INDEX(교육과정!$B$3:$B$102,MATCH($D1805,교육과정!$A$3:$A$102,0)),"미등록과정"))</f>
        <v/>
      </c>
      <c r="F1805" s="13"/>
      <c r="G1805" s="9"/>
      <c r="H1805" s="9"/>
    </row>
    <row r="1806" customFormat="false" ht="15" hidden="false" customHeight="true" outlineLevel="0" collapsed="false">
      <c r="A1806" s="11"/>
      <c r="B1806" s="9"/>
      <c r="C1806" s="15" t="str">
        <f aca="false">IF($B1806="","",IFERROR(INDEX(직원목록!$B$3:$B$302,MATCH($B1806,직원목록!$A$3:$A$302,0)),"미등록사번"))</f>
        <v/>
      </c>
      <c r="D1806" s="9"/>
      <c r="E1806" s="15" t="str">
        <f aca="false">IF($D1806="","",IFERROR(INDEX(교육과정!$B$3:$B$102,MATCH($D1806,교육과정!$A$3:$A$102,0)),"미등록과정"))</f>
        <v/>
      </c>
      <c r="F1806" s="13"/>
      <c r="G1806" s="9"/>
      <c r="H1806" s="9"/>
    </row>
    <row r="1807" customFormat="false" ht="15" hidden="false" customHeight="true" outlineLevel="0" collapsed="false">
      <c r="A1807" s="11"/>
      <c r="B1807" s="9"/>
      <c r="C1807" s="15" t="str">
        <f aca="false">IF($B1807="","",IFERROR(INDEX(직원목록!$B$3:$B$302,MATCH($B1807,직원목록!$A$3:$A$302,0)),"미등록사번"))</f>
        <v/>
      </c>
      <c r="D1807" s="9"/>
      <c r="E1807" s="15" t="str">
        <f aca="false">IF($D1807="","",IFERROR(INDEX(교육과정!$B$3:$B$102,MATCH($D1807,교육과정!$A$3:$A$102,0)),"미등록과정"))</f>
        <v/>
      </c>
      <c r="F1807" s="13"/>
      <c r="G1807" s="9"/>
      <c r="H1807" s="9"/>
    </row>
    <row r="1808" customFormat="false" ht="15" hidden="false" customHeight="true" outlineLevel="0" collapsed="false">
      <c r="A1808" s="11"/>
      <c r="B1808" s="9"/>
      <c r="C1808" s="15" t="str">
        <f aca="false">IF($B1808="","",IFERROR(INDEX(직원목록!$B$3:$B$302,MATCH($B1808,직원목록!$A$3:$A$302,0)),"미등록사번"))</f>
        <v/>
      </c>
      <c r="D1808" s="9"/>
      <c r="E1808" s="15" t="str">
        <f aca="false">IF($D1808="","",IFERROR(INDEX(교육과정!$B$3:$B$102,MATCH($D1808,교육과정!$A$3:$A$102,0)),"미등록과정"))</f>
        <v/>
      </c>
      <c r="F1808" s="13"/>
      <c r="G1808" s="9"/>
      <c r="H1808" s="9"/>
    </row>
    <row r="1809" customFormat="false" ht="15" hidden="false" customHeight="true" outlineLevel="0" collapsed="false">
      <c r="A1809" s="11"/>
      <c r="B1809" s="9"/>
      <c r="C1809" s="15" t="str">
        <f aca="false">IF($B1809="","",IFERROR(INDEX(직원목록!$B$3:$B$302,MATCH($B1809,직원목록!$A$3:$A$302,0)),"미등록사번"))</f>
        <v/>
      </c>
      <c r="D1809" s="9"/>
      <c r="E1809" s="15" t="str">
        <f aca="false">IF($D1809="","",IFERROR(INDEX(교육과정!$B$3:$B$102,MATCH($D1809,교육과정!$A$3:$A$102,0)),"미등록과정"))</f>
        <v/>
      </c>
      <c r="F1809" s="13"/>
      <c r="G1809" s="9"/>
      <c r="H1809" s="9"/>
    </row>
    <row r="1810" customFormat="false" ht="15" hidden="false" customHeight="true" outlineLevel="0" collapsed="false">
      <c r="A1810" s="11"/>
      <c r="B1810" s="9"/>
      <c r="C1810" s="15" t="str">
        <f aca="false">IF($B1810="","",IFERROR(INDEX(직원목록!$B$3:$B$302,MATCH($B1810,직원목록!$A$3:$A$302,0)),"미등록사번"))</f>
        <v/>
      </c>
      <c r="D1810" s="9"/>
      <c r="E1810" s="15" t="str">
        <f aca="false">IF($D1810="","",IFERROR(INDEX(교육과정!$B$3:$B$102,MATCH($D1810,교육과정!$A$3:$A$102,0)),"미등록과정"))</f>
        <v/>
      </c>
      <c r="F1810" s="13"/>
      <c r="G1810" s="9"/>
      <c r="H1810" s="9"/>
    </row>
    <row r="1811" customFormat="false" ht="15" hidden="false" customHeight="true" outlineLevel="0" collapsed="false">
      <c r="A1811" s="11"/>
      <c r="B1811" s="9"/>
      <c r="C1811" s="15" t="str">
        <f aca="false">IF($B1811="","",IFERROR(INDEX(직원목록!$B$3:$B$302,MATCH($B1811,직원목록!$A$3:$A$302,0)),"미등록사번"))</f>
        <v/>
      </c>
      <c r="D1811" s="9"/>
      <c r="E1811" s="15" t="str">
        <f aca="false">IF($D1811="","",IFERROR(INDEX(교육과정!$B$3:$B$102,MATCH($D1811,교육과정!$A$3:$A$102,0)),"미등록과정"))</f>
        <v/>
      </c>
      <c r="F1811" s="13"/>
      <c r="G1811" s="9"/>
      <c r="H1811" s="9"/>
    </row>
    <row r="1812" customFormat="false" ht="15" hidden="false" customHeight="true" outlineLevel="0" collapsed="false">
      <c r="A1812" s="11"/>
      <c r="B1812" s="9"/>
      <c r="C1812" s="15" t="str">
        <f aca="false">IF($B1812="","",IFERROR(INDEX(직원목록!$B$3:$B$302,MATCH($B1812,직원목록!$A$3:$A$302,0)),"미등록사번"))</f>
        <v/>
      </c>
      <c r="D1812" s="9"/>
      <c r="E1812" s="15" t="str">
        <f aca="false">IF($D1812="","",IFERROR(INDEX(교육과정!$B$3:$B$102,MATCH($D1812,교육과정!$A$3:$A$102,0)),"미등록과정"))</f>
        <v/>
      </c>
      <c r="F1812" s="13"/>
      <c r="G1812" s="9"/>
      <c r="H1812" s="9"/>
    </row>
    <row r="1813" customFormat="false" ht="15" hidden="false" customHeight="true" outlineLevel="0" collapsed="false">
      <c r="A1813" s="11"/>
      <c r="B1813" s="9"/>
      <c r="C1813" s="15" t="str">
        <f aca="false">IF($B1813="","",IFERROR(INDEX(직원목록!$B$3:$B$302,MATCH($B1813,직원목록!$A$3:$A$302,0)),"미등록사번"))</f>
        <v/>
      </c>
      <c r="D1813" s="9"/>
      <c r="E1813" s="15" t="str">
        <f aca="false">IF($D1813="","",IFERROR(INDEX(교육과정!$B$3:$B$102,MATCH($D1813,교육과정!$A$3:$A$102,0)),"미등록과정"))</f>
        <v/>
      </c>
      <c r="F1813" s="13"/>
      <c r="G1813" s="9"/>
      <c r="H1813" s="9"/>
    </row>
    <row r="1814" customFormat="false" ht="15" hidden="false" customHeight="true" outlineLevel="0" collapsed="false">
      <c r="A1814" s="11"/>
      <c r="B1814" s="9"/>
      <c r="C1814" s="15" t="str">
        <f aca="false">IF($B1814="","",IFERROR(INDEX(직원목록!$B$3:$B$302,MATCH($B1814,직원목록!$A$3:$A$302,0)),"미등록사번"))</f>
        <v/>
      </c>
      <c r="D1814" s="9"/>
      <c r="E1814" s="15" t="str">
        <f aca="false">IF($D1814="","",IFERROR(INDEX(교육과정!$B$3:$B$102,MATCH($D1814,교육과정!$A$3:$A$102,0)),"미등록과정"))</f>
        <v/>
      </c>
      <c r="F1814" s="13"/>
      <c r="G1814" s="9"/>
      <c r="H1814" s="9"/>
    </row>
    <row r="1815" customFormat="false" ht="15" hidden="false" customHeight="true" outlineLevel="0" collapsed="false">
      <c r="A1815" s="11"/>
      <c r="B1815" s="9"/>
      <c r="C1815" s="15" t="str">
        <f aca="false">IF($B1815="","",IFERROR(INDEX(직원목록!$B$3:$B$302,MATCH($B1815,직원목록!$A$3:$A$302,0)),"미등록사번"))</f>
        <v/>
      </c>
      <c r="D1815" s="9"/>
      <c r="E1815" s="15" t="str">
        <f aca="false">IF($D1815="","",IFERROR(INDEX(교육과정!$B$3:$B$102,MATCH($D1815,교육과정!$A$3:$A$102,0)),"미등록과정"))</f>
        <v/>
      </c>
      <c r="F1815" s="13"/>
      <c r="G1815" s="9"/>
      <c r="H1815" s="9"/>
    </row>
    <row r="1816" customFormat="false" ht="15" hidden="false" customHeight="true" outlineLevel="0" collapsed="false">
      <c r="A1816" s="11"/>
      <c r="B1816" s="9"/>
      <c r="C1816" s="15" t="str">
        <f aca="false">IF($B1816="","",IFERROR(INDEX(직원목록!$B$3:$B$302,MATCH($B1816,직원목록!$A$3:$A$302,0)),"미등록사번"))</f>
        <v/>
      </c>
      <c r="D1816" s="9"/>
      <c r="E1816" s="15" t="str">
        <f aca="false">IF($D1816="","",IFERROR(INDEX(교육과정!$B$3:$B$102,MATCH($D1816,교육과정!$A$3:$A$102,0)),"미등록과정"))</f>
        <v/>
      </c>
      <c r="F1816" s="13"/>
      <c r="G1816" s="9"/>
      <c r="H1816" s="9"/>
    </row>
    <row r="1817" customFormat="false" ht="15" hidden="false" customHeight="true" outlineLevel="0" collapsed="false">
      <c r="A1817" s="11"/>
      <c r="B1817" s="9"/>
      <c r="C1817" s="15" t="str">
        <f aca="false">IF($B1817="","",IFERROR(INDEX(직원목록!$B$3:$B$302,MATCH($B1817,직원목록!$A$3:$A$302,0)),"미등록사번"))</f>
        <v/>
      </c>
      <c r="D1817" s="9"/>
      <c r="E1817" s="15" t="str">
        <f aca="false">IF($D1817="","",IFERROR(INDEX(교육과정!$B$3:$B$102,MATCH($D1817,교육과정!$A$3:$A$102,0)),"미등록과정"))</f>
        <v/>
      </c>
      <c r="F1817" s="13"/>
      <c r="G1817" s="9"/>
      <c r="H1817" s="9"/>
    </row>
    <row r="1818" customFormat="false" ht="15" hidden="false" customHeight="true" outlineLevel="0" collapsed="false">
      <c r="A1818" s="11"/>
      <c r="B1818" s="9"/>
      <c r="C1818" s="15" t="str">
        <f aca="false">IF($B1818="","",IFERROR(INDEX(직원목록!$B$3:$B$302,MATCH($B1818,직원목록!$A$3:$A$302,0)),"미등록사번"))</f>
        <v/>
      </c>
      <c r="D1818" s="9"/>
      <c r="E1818" s="15" t="str">
        <f aca="false">IF($D1818="","",IFERROR(INDEX(교육과정!$B$3:$B$102,MATCH($D1818,교육과정!$A$3:$A$102,0)),"미등록과정"))</f>
        <v/>
      </c>
      <c r="F1818" s="13"/>
      <c r="G1818" s="9"/>
      <c r="H1818" s="9"/>
    </row>
    <row r="1819" customFormat="false" ht="15" hidden="false" customHeight="true" outlineLevel="0" collapsed="false">
      <c r="A1819" s="11"/>
      <c r="B1819" s="9"/>
      <c r="C1819" s="15" t="str">
        <f aca="false">IF($B1819="","",IFERROR(INDEX(직원목록!$B$3:$B$302,MATCH($B1819,직원목록!$A$3:$A$302,0)),"미등록사번"))</f>
        <v/>
      </c>
      <c r="D1819" s="9"/>
      <c r="E1819" s="15" t="str">
        <f aca="false">IF($D1819="","",IFERROR(INDEX(교육과정!$B$3:$B$102,MATCH($D1819,교육과정!$A$3:$A$102,0)),"미등록과정"))</f>
        <v/>
      </c>
      <c r="F1819" s="13"/>
      <c r="G1819" s="9"/>
      <c r="H1819" s="9"/>
    </row>
    <row r="1820" customFormat="false" ht="15" hidden="false" customHeight="true" outlineLevel="0" collapsed="false">
      <c r="A1820" s="11"/>
      <c r="B1820" s="9"/>
      <c r="C1820" s="15" t="str">
        <f aca="false">IF($B1820="","",IFERROR(INDEX(직원목록!$B$3:$B$302,MATCH($B1820,직원목록!$A$3:$A$302,0)),"미등록사번"))</f>
        <v/>
      </c>
      <c r="D1820" s="9"/>
      <c r="E1820" s="15" t="str">
        <f aca="false">IF($D1820="","",IFERROR(INDEX(교육과정!$B$3:$B$102,MATCH($D1820,교육과정!$A$3:$A$102,0)),"미등록과정"))</f>
        <v/>
      </c>
      <c r="F1820" s="13"/>
      <c r="G1820" s="9"/>
      <c r="H1820" s="9"/>
    </row>
    <row r="1821" customFormat="false" ht="15" hidden="false" customHeight="true" outlineLevel="0" collapsed="false">
      <c r="A1821" s="11"/>
      <c r="B1821" s="9"/>
      <c r="C1821" s="15" t="str">
        <f aca="false">IF($B1821="","",IFERROR(INDEX(직원목록!$B$3:$B$302,MATCH($B1821,직원목록!$A$3:$A$302,0)),"미등록사번"))</f>
        <v/>
      </c>
      <c r="D1821" s="9"/>
      <c r="E1821" s="15" t="str">
        <f aca="false">IF($D1821="","",IFERROR(INDEX(교육과정!$B$3:$B$102,MATCH($D1821,교육과정!$A$3:$A$102,0)),"미등록과정"))</f>
        <v/>
      </c>
      <c r="F1821" s="13"/>
      <c r="G1821" s="9"/>
      <c r="H1821" s="9"/>
    </row>
    <row r="1822" customFormat="false" ht="15" hidden="false" customHeight="true" outlineLevel="0" collapsed="false">
      <c r="A1822" s="11"/>
      <c r="B1822" s="9"/>
      <c r="C1822" s="15" t="str">
        <f aca="false">IF($B1822="","",IFERROR(INDEX(직원목록!$B$3:$B$302,MATCH($B1822,직원목록!$A$3:$A$302,0)),"미등록사번"))</f>
        <v/>
      </c>
      <c r="D1822" s="9"/>
      <c r="E1822" s="15" t="str">
        <f aca="false">IF($D1822="","",IFERROR(INDEX(교육과정!$B$3:$B$102,MATCH($D1822,교육과정!$A$3:$A$102,0)),"미등록과정"))</f>
        <v/>
      </c>
      <c r="F1822" s="13"/>
      <c r="G1822" s="9"/>
      <c r="H1822" s="9"/>
    </row>
    <row r="1823" customFormat="false" ht="15" hidden="false" customHeight="true" outlineLevel="0" collapsed="false">
      <c r="A1823" s="11"/>
      <c r="B1823" s="9"/>
      <c r="C1823" s="15" t="str">
        <f aca="false">IF($B1823="","",IFERROR(INDEX(직원목록!$B$3:$B$302,MATCH($B1823,직원목록!$A$3:$A$302,0)),"미등록사번"))</f>
        <v/>
      </c>
      <c r="D1823" s="9"/>
      <c r="E1823" s="15" t="str">
        <f aca="false">IF($D1823="","",IFERROR(INDEX(교육과정!$B$3:$B$102,MATCH($D1823,교육과정!$A$3:$A$102,0)),"미등록과정"))</f>
        <v/>
      </c>
      <c r="F1823" s="13"/>
      <c r="G1823" s="9"/>
      <c r="H1823" s="9"/>
    </row>
    <row r="1824" customFormat="false" ht="15" hidden="false" customHeight="true" outlineLevel="0" collapsed="false">
      <c r="A1824" s="11"/>
      <c r="B1824" s="9"/>
      <c r="C1824" s="15" t="str">
        <f aca="false">IF($B1824="","",IFERROR(INDEX(직원목록!$B$3:$B$302,MATCH($B1824,직원목록!$A$3:$A$302,0)),"미등록사번"))</f>
        <v/>
      </c>
      <c r="D1824" s="9"/>
      <c r="E1824" s="15" t="str">
        <f aca="false">IF($D1824="","",IFERROR(INDEX(교육과정!$B$3:$B$102,MATCH($D1824,교육과정!$A$3:$A$102,0)),"미등록과정"))</f>
        <v/>
      </c>
      <c r="F1824" s="13"/>
      <c r="G1824" s="9"/>
      <c r="H1824" s="9"/>
    </row>
    <row r="1825" customFormat="false" ht="15" hidden="false" customHeight="true" outlineLevel="0" collapsed="false">
      <c r="A1825" s="11"/>
      <c r="B1825" s="9"/>
      <c r="C1825" s="15" t="str">
        <f aca="false">IF($B1825="","",IFERROR(INDEX(직원목록!$B$3:$B$302,MATCH($B1825,직원목록!$A$3:$A$302,0)),"미등록사번"))</f>
        <v/>
      </c>
      <c r="D1825" s="9"/>
      <c r="E1825" s="15" t="str">
        <f aca="false">IF($D1825="","",IFERROR(INDEX(교육과정!$B$3:$B$102,MATCH($D1825,교육과정!$A$3:$A$102,0)),"미등록과정"))</f>
        <v/>
      </c>
      <c r="F1825" s="13"/>
      <c r="G1825" s="9"/>
      <c r="H1825" s="9"/>
    </row>
    <row r="1826" customFormat="false" ht="15" hidden="false" customHeight="true" outlineLevel="0" collapsed="false">
      <c r="A1826" s="11"/>
      <c r="B1826" s="9"/>
      <c r="C1826" s="15" t="str">
        <f aca="false">IF($B1826="","",IFERROR(INDEX(직원목록!$B$3:$B$302,MATCH($B1826,직원목록!$A$3:$A$302,0)),"미등록사번"))</f>
        <v/>
      </c>
      <c r="D1826" s="9"/>
      <c r="E1826" s="15" t="str">
        <f aca="false">IF($D1826="","",IFERROR(INDEX(교육과정!$B$3:$B$102,MATCH($D1826,교육과정!$A$3:$A$102,0)),"미등록과정"))</f>
        <v/>
      </c>
      <c r="F1826" s="13"/>
      <c r="G1826" s="9"/>
      <c r="H1826" s="9"/>
    </row>
    <row r="1827" customFormat="false" ht="15" hidden="false" customHeight="true" outlineLevel="0" collapsed="false">
      <c r="A1827" s="11"/>
      <c r="B1827" s="9"/>
      <c r="C1827" s="15" t="str">
        <f aca="false">IF($B1827="","",IFERROR(INDEX(직원목록!$B$3:$B$302,MATCH($B1827,직원목록!$A$3:$A$302,0)),"미등록사번"))</f>
        <v/>
      </c>
      <c r="D1827" s="9"/>
      <c r="E1827" s="15" t="str">
        <f aca="false">IF($D1827="","",IFERROR(INDEX(교육과정!$B$3:$B$102,MATCH($D1827,교육과정!$A$3:$A$102,0)),"미등록과정"))</f>
        <v/>
      </c>
      <c r="F1827" s="13"/>
      <c r="G1827" s="9"/>
      <c r="H1827" s="9"/>
    </row>
    <row r="1828" customFormat="false" ht="15" hidden="false" customHeight="true" outlineLevel="0" collapsed="false">
      <c r="A1828" s="11"/>
      <c r="B1828" s="9"/>
      <c r="C1828" s="15" t="str">
        <f aca="false">IF($B1828="","",IFERROR(INDEX(직원목록!$B$3:$B$302,MATCH($B1828,직원목록!$A$3:$A$302,0)),"미등록사번"))</f>
        <v/>
      </c>
      <c r="D1828" s="9"/>
      <c r="E1828" s="15" t="str">
        <f aca="false">IF($D1828="","",IFERROR(INDEX(교육과정!$B$3:$B$102,MATCH($D1828,교육과정!$A$3:$A$102,0)),"미등록과정"))</f>
        <v/>
      </c>
      <c r="F1828" s="13"/>
      <c r="G1828" s="9"/>
      <c r="H1828" s="9"/>
    </row>
    <row r="1829" customFormat="false" ht="15" hidden="false" customHeight="true" outlineLevel="0" collapsed="false">
      <c r="A1829" s="11"/>
      <c r="B1829" s="9"/>
      <c r="C1829" s="15" t="str">
        <f aca="false">IF($B1829="","",IFERROR(INDEX(직원목록!$B$3:$B$302,MATCH($B1829,직원목록!$A$3:$A$302,0)),"미등록사번"))</f>
        <v/>
      </c>
      <c r="D1829" s="9"/>
      <c r="E1829" s="15" t="str">
        <f aca="false">IF($D1829="","",IFERROR(INDEX(교육과정!$B$3:$B$102,MATCH($D1829,교육과정!$A$3:$A$102,0)),"미등록과정"))</f>
        <v/>
      </c>
      <c r="F1829" s="13"/>
      <c r="G1829" s="9"/>
      <c r="H1829" s="9"/>
    </row>
    <row r="1830" customFormat="false" ht="15" hidden="false" customHeight="true" outlineLevel="0" collapsed="false">
      <c r="A1830" s="11"/>
      <c r="B1830" s="9"/>
      <c r="C1830" s="15" t="str">
        <f aca="false">IF($B1830="","",IFERROR(INDEX(직원목록!$B$3:$B$302,MATCH($B1830,직원목록!$A$3:$A$302,0)),"미등록사번"))</f>
        <v/>
      </c>
      <c r="D1830" s="9"/>
      <c r="E1830" s="15" t="str">
        <f aca="false">IF($D1830="","",IFERROR(INDEX(교육과정!$B$3:$B$102,MATCH($D1830,교육과정!$A$3:$A$102,0)),"미등록과정"))</f>
        <v/>
      </c>
      <c r="F1830" s="13"/>
      <c r="G1830" s="9"/>
      <c r="H1830" s="9"/>
    </row>
    <row r="1831" customFormat="false" ht="15" hidden="false" customHeight="true" outlineLevel="0" collapsed="false">
      <c r="A1831" s="11"/>
      <c r="B1831" s="9"/>
      <c r="C1831" s="15" t="str">
        <f aca="false">IF($B1831="","",IFERROR(INDEX(직원목록!$B$3:$B$302,MATCH($B1831,직원목록!$A$3:$A$302,0)),"미등록사번"))</f>
        <v/>
      </c>
      <c r="D1831" s="9"/>
      <c r="E1831" s="15" t="str">
        <f aca="false">IF($D1831="","",IFERROR(INDEX(교육과정!$B$3:$B$102,MATCH($D1831,교육과정!$A$3:$A$102,0)),"미등록과정"))</f>
        <v/>
      </c>
      <c r="F1831" s="13"/>
      <c r="G1831" s="9"/>
      <c r="H1831" s="9"/>
    </row>
    <row r="1832" customFormat="false" ht="15" hidden="false" customHeight="true" outlineLevel="0" collapsed="false">
      <c r="A1832" s="11"/>
      <c r="B1832" s="9"/>
      <c r="C1832" s="15" t="str">
        <f aca="false">IF($B1832="","",IFERROR(INDEX(직원목록!$B$3:$B$302,MATCH($B1832,직원목록!$A$3:$A$302,0)),"미등록사번"))</f>
        <v/>
      </c>
      <c r="D1832" s="9"/>
      <c r="E1832" s="15" t="str">
        <f aca="false">IF($D1832="","",IFERROR(INDEX(교육과정!$B$3:$B$102,MATCH($D1832,교육과정!$A$3:$A$102,0)),"미등록과정"))</f>
        <v/>
      </c>
      <c r="F1832" s="13"/>
      <c r="G1832" s="9"/>
      <c r="H1832" s="9"/>
    </row>
    <row r="1833" customFormat="false" ht="15" hidden="false" customHeight="true" outlineLevel="0" collapsed="false">
      <c r="A1833" s="11"/>
      <c r="B1833" s="9"/>
      <c r="C1833" s="15" t="str">
        <f aca="false">IF($B1833="","",IFERROR(INDEX(직원목록!$B$3:$B$302,MATCH($B1833,직원목록!$A$3:$A$302,0)),"미등록사번"))</f>
        <v/>
      </c>
      <c r="D1833" s="9"/>
      <c r="E1833" s="15" t="str">
        <f aca="false">IF($D1833="","",IFERROR(INDEX(교육과정!$B$3:$B$102,MATCH($D1833,교육과정!$A$3:$A$102,0)),"미등록과정"))</f>
        <v/>
      </c>
      <c r="F1833" s="13"/>
      <c r="G1833" s="9"/>
      <c r="H1833" s="9"/>
    </row>
    <row r="1834" customFormat="false" ht="15" hidden="false" customHeight="true" outlineLevel="0" collapsed="false">
      <c r="A1834" s="11"/>
      <c r="B1834" s="9"/>
      <c r="C1834" s="15" t="str">
        <f aca="false">IF($B1834="","",IFERROR(INDEX(직원목록!$B$3:$B$302,MATCH($B1834,직원목록!$A$3:$A$302,0)),"미등록사번"))</f>
        <v/>
      </c>
      <c r="D1834" s="9"/>
      <c r="E1834" s="15" t="str">
        <f aca="false">IF($D1834="","",IFERROR(INDEX(교육과정!$B$3:$B$102,MATCH($D1834,교육과정!$A$3:$A$102,0)),"미등록과정"))</f>
        <v/>
      </c>
      <c r="F1834" s="13"/>
      <c r="G1834" s="9"/>
      <c r="H1834" s="9"/>
    </row>
    <row r="1835" customFormat="false" ht="15" hidden="false" customHeight="true" outlineLevel="0" collapsed="false">
      <c r="A1835" s="11"/>
      <c r="B1835" s="9"/>
      <c r="C1835" s="15" t="str">
        <f aca="false">IF($B1835="","",IFERROR(INDEX(직원목록!$B$3:$B$302,MATCH($B1835,직원목록!$A$3:$A$302,0)),"미등록사번"))</f>
        <v/>
      </c>
      <c r="D1835" s="9"/>
      <c r="E1835" s="15" t="str">
        <f aca="false">IF($D1835="","",IFERROR(INDEX(교육과정!$B$3:$B$102,MATCH($D1835,교육과정!$A$3:$A$102,0)),"미등록과정"))</f>
        <v/>
      </c>
      <c r="F1835" s="13"/>
      <c r="G1835" s="9"/>
      <c r="H1835" s="9"/>
    </row>
    <row r="1836" customFormat="false" ht="15" hidden="false" customHeight="true" outlineLevel="0" collapsed="false">
      <c r="A1836" s="11"/>
      <c r="B1836" s="9"/>
      <c r="C1836" s="15" t="str">
        <f aca="false">IF($B1836="","",IFERROR(INDEX(직원목록!$B$3:$B$302,MATCH($B1836,직원목록!$A$3:$A$302,0)),"미등록사번"))</f>
        <v/>
      </c>
      <c r="D1836" s="9"/>
      <c r="E1836" s="15" t="str">
        <f aca="false">IF($D1836="","",IFERROR(INDEX(교육과정!$B$3:$B$102,MATCH($D1836,교육과정!$A$3:$A$102,0)),"미등록과정"))</f>
        <v/>
      </c>
      <c r="F1836" s="13"/>
      <c r="G1836" s="9"/>
      <c r="H1836" s="9"/>
    </row>
    <row r="1837" customFormat="false" ht="15" hidden="false" customHeight="true" outlineLevel="0" collapsed="false">
      <c r="A1837" s="11"/>
      <c r="B1837" s="9"/>
      <c r="C1837" s="15" t="str">
        <f aca="false">IF($B1837="","",IFERROR(INDEX(직원목록!$B$3:$B$302,MATCH($B1837,직원목록!$A$3:$A$302,0)),"미등록사번"))</f>
        <v/>
      </c>
      <c r="D1837" s="9"/>
      <c r="E1837" s="15" t="str">
        <f aca="false">IF($D1837="","",IFERROR(INDEX(교육과정!$B$3:$B$102,MATCH($D1837,교육과정!$A$3:$A$102,0)),"미등록과정"))</f>
        <v/>
      </c>
      <c r="F1837" s="13"/>
      <c r="G1837" s="9"/>
      <c r="H1837" s="9"/>
    </row>
    <row r="1838" customFormat="false" ht="15" hidden="false" customHeight="true" outlineLevel="0" collapsed="false">
      <c r="A1838" s="11"/>
      <c r="B1838" s="9"/>
      <c r="C1838" s="15" t="str">
        <f aca="false">IF($B1838="","",IFERROR(INDEX(직원목록!$B$3:$B$302,MATCH($B1838,직원목록!$A$3:$A$302,0)),"미등록사번"))</f>
        <v/>
      </c>
      <c r="D1838" s="9"/>
      <c r="E1838" s="15" t="str">
        <f aca="false">IF($D1838="","",IFERROR(INDEX(교육과정!$B$3:$B$102,MATCH($D1838,교육과정!$A$3:$A$102,0)),"미등록과정"))</f>
        <v/>
      </c>
      <c r="F1838" s="13"/>
      <c r="G1838" s="9"/>
      <c r="H1838" s="9"/>
    </row>
    <row r="1839" customFormat="false" ht="15" hidden="false" customHeight="true" outlineLevel="0" collapsed="false">
      <c r="A1839" s="11"/>
      <c r="B1839" s="9"/>
      <c r="C1839" s="15" t="str">
        <f aca="false">IF($B1839="","",IFERROR(INDEX(직원목록!$B$3:$B$302,MATCH($B1839,직원목록!$A$3:$A$302,0)),"미등록사번"))</f>
        <v/>
      </c>
      <c r="D1839" s="9"/>
      <c r="E1839" s="15" t="str">
        <f aca="false">IF($D1839="","",IFERROR(INDEX(교육과정!$B$3:$B$102,MATCH($D1839,교육과정!$A$3:$A$102,0)),"미등록과정"))</f>
        <v/>
      </c>
      <c r="F1839" s="13"/>
      <c r="G1839" s="9"/>
      <c r="H1839" s="9"/>
    </row>
    <row r="1840" customFormat="false" ht="15" hidden="false" customHeight="true" outlineLevel="0" collapsed="false">
      <c r="A1840" s="11"/>
      <c r="B1840" s="9"/>
      <c r="C1840" s="15" t="str">
        <f aca="false">IF($B1840="","",IFERROR(INDEX(직원목록!$B$3:$B$302,MATCH($B1840,직원목록!$A$3:$A$302,0)),"미등록사번"))</f>
        <v/>
      </c>
      <c r="D1840" s="9"/>
      <c r="E1840" s="15" t="str">
        <f aca="false">IF($D1840="","",IFERROR(INDEX(교육과정!$B$3:$B$102,MATCH($D1840,교육과정!$A$3:$A$102,0)),"미등록과정"))</f>
        <v/>
      </c>
      <c r="F1840" s="13"/>
      <c r="G1840" s="9"/>
      <c r="H1840" s="9"/>
    </row>
    <row r="1841" customFormat="false" ht="15" hidden="false" customHeight="true" outlineLevel="0" collapsed="false">
      <c r="A1841" s="11"/>
      <c r="B1841" s="9"/>
      <c r="C1841" s="15" t="str">
        <f aca="false">IF($B1841="","",IFERROR(INDEX(직원목록!$B$3:$B$302,MATCH($B1841,직원목록!$A$3:$A$302,0)),"미등록사번"))</f>
        <v/>
      </c>
      <c r="D1841" s="9"/>
      <c r="E1841" s="15" t="str">
        <f aca="false">IF($D1841="","",IFERROR(INDEX(교육과정!$B$3:$B$102,MATCH($D1841,교육과정!$A$3:$A$102,0)),"미등록과정"))</f>
        <v/>
      </c>
      <c r="F1841" s="13"/>
      <c r="G1841" s="9"/>
      <c r="H1841" s="9"/>
    </row>
    <row r="1842" customFormat="false" ht="15" hidden="false" customHeight="true" outlineLevel="0" collapsed="false">
      <c r="A1842" s="11"/>
      <c r="B1842" s="9"/>
      <c r="C1842" s="15" t="str">
        <f aca="false">IF($B1842="","",IFERROR(INDEX(직원목록!$B$3:$B$302,MATCH($B1842,직원목록!$A$3:$A$302,0)),"미등록사번"))</f>
        <v/>
      </c>
      <c r="D1842" s="9"/>
      <c r="E1842" s="15" t="str">
        <f aca="false">IF($D1842="","",IFERROR(INDEX(교육과정!$B$3:$B$102,MATCH($D1842,교육과정!$A$3:$A$102,0)),"미등록과정"))</f>
        <v/>
      </c>
      <c r="F1842" s="13"/>
      <c r="G1842" s="9"/>
      <c r="H1842" s="9"/>
    </row>
    <row r="1843" customFormat="false" ht="15" hidden="false" customHeight="true" outlineLevel="0" collapsed="false">
      <c r="A1843" s="11"/>
      <c r="B1843" s="9"/>
      <c r="C1843" s="15" t="str">
        <f aca="false">IF($B1843="","",IFERROR(INDEX(직원목록!$B$3:$B$302,MATCH($B1843,직원목록!$A$3:$A$302,0)),"미등록사번"))</f>
        <v/>
      </c>
      <c r="D1843" s="9"/>
      <c r="E1843" s="15" t="str">
        <f aca="false">IF($D1843="","",IFERROR(INDEX(교육과정!$B$3:$B$102,MATCH($D1843,교육과정!$A$3:$A$102,0)),"미등록과정"))</f>
        <v/>
      </c>
      <c r="F1843" s="13"/>
      <c r="G1843" s="9"/>
      <c r="H1843" s="9"/>
    </row>
    <row r="1844" customFormat="false" ht="15" hidden="false" customHeight="true" outlineLevel="0" collapsed="false">
      <c r="A1844" s="11"/>
      <c r="B1844" s="9"/>
      <c r="C1844" s="15" t="str">
        <f aca="false">IF($B1844="","",IFERROR(INDEX(직원목록!$B$3:$B$302,MATCH($B1844,직원목록!$A$3:$A$302,0)),"미등록사번"))</f>
        <v/>
      </c>
      <c r="D1844" s="9"/>
      <c r="E1844" s="15" t="str">
        <f aca="false">IF($D1844="","",IFERROR(INDEX(교육과정!$B$3:$B$102,MATCH($D1844,교육과정!$A$3:$A$102,0)),"미등록과정"))</f>
        <v/>
      </c>
      <c r="F1844" s="13"/>
      <c r="G1844" s="9"/>
      <c r="H1844" s="9"/>
    </row>
    <row r="1845" customFormat="false" ht="15" hidden="false" customHeight="true" outlineLevel="0" collapsed="false">
      <c r="A1845" s="11"/>
      <c r="B1845" s="9"/>
      <c r="C1845" s="15" t="str">
        <f aca="false">IF($B1845="","",IFERROR(INDEX(직원목록!$B$3:$B$302,MATCH($B1845,직원목록!$A$3:$A$302,0)),"미등록사번"))</f>
        <v/>
      </c>
      <c r="D1845" s="9"/>
      <c r="E1845" s="15" t="str">
        <f aca="false">IF($D1845="","",IFERROR(INDEX(교육과정!$B$3:$B$102,MATCH($D1845,교육과정!$A$3:$A$102,0)),"미등록과정"))</f>
        <v/>
      </c>
      <c r="F1845" s="13"/>
      <c r="G1845" s="9"/>
      <c r="H1845" s="9"/>
    </row>
    <row r="1846" customFormat="false" ht="15" hidden="false" customHeight="true" outlineLevel="0" collapsed="false">
      <c r="A1846" s="11"/>
      <c r="B1846" s="9"/>
      <c r="C1846" s="15" t="str">
        <f aca="false">IF($B1846="","",IFERROR(INDEX(직원목록!$B$3:$B$302,MATCH($B1846,직원목록!$A$3:$A$302,0)),"미등록사번"))</f>
        <v/>
      </c>
      <c r="D1846" s="9"/>
      <c r="E1846" s="15" t="str">
        <f aca="false">IF($D1846="","",IFERROR(INDEX(교육과정!$B$3:$B$102,MATCH($D1846,교육과정!$A$3:$A$102,0)),"미등록과정"))</f>
        <v/>
      </c>
      <c r="F1846" s="13"/>
      <c r="G1846" s="9"/>
      <c r="H1846" s="9"/>
    </row>
    <row r="1847" customFormat="false" ht="15" hidden="false" customHeight="true" outlineLevel="0" collapsed="false">
      <c r="A1847" s="11"/>
      <c r="B1847" s="9"/>
      <c r="C1847" s="15" t="str">
        <f aca="false">IF($B1847="","",IFERROR(INDEX(직원목록!$B$3:$B$302,MATCH($B1847,직원목록!$A$3:$A$302,0)),"미등록사번"))</f>
        <v/>
      </c>
      <c r="D1847" s="9"/>
      <c r="E1847" s="15" t="str">
        <f aca="false">IF($D1847="","",IFERROR(INDEX(교육과정!$B$3:$B$102,MATCH($D1847,교육과정!$A$3:$A$102,0)),"미등록과정"))</f>
        <v/>
      </c>
      <c r="F1847" s="13"/>
      <c r="G1847" s="9"/>
      <c r="H1847" s="9"/>
    </row>
    <row r="1848" customFormat="false" ht="15" hidden="false" customHeight="true" outlineLevel="0" collapsed="false">
      <c r="A1848" s="11"/>
      <c r="B1848" s="9"/>
      <c r="C1848" s="15" t="str">
        <f aca="false">IF($B1848="","",IFERROR(INDEX(직원목록!$B$3:$B$302,MATCH($B1848,직원목록!$A$3:$A$302,0)),"미등록사번"))</f>
        <v/>
      </c>
      <c r="D1848" s="9"/>
      <c r="E1848" s="15" t="str">
        <f aca="false">IF($D1848="","",IFERROR(INDEX(교육과정!$B$3:$B$102,MATCH($D1848,교육과정!$A$3:$A$102,0)),"미등록과정"))</f>
        <v/>
      </c>
      <c r="F1848" s="13"/>
      <c r="G1848" s="9"/>
      <c r="H1848" s="9"/>
    </row>
    <row r="1849" customFormat="false" ht="15" hidden="false" customHeight="true" outlineLevel="0" collapsed="false">
      <c r="A1849" s="11"/>
      <c r="B1849" s="9"/>
      <c r="C1849" s="15" t="str">
        <f aca="false">IF($B1849="","",IFERROR(INDEX(직원목록!$B$3:$B$302,MATCH($B1849,직원목록!$A$3:$A$302,0)),"미등록사번"))</f>
        <v/>
      </c>
      <c r="D1849" s="9"/>
      <c r="E1849" s="15" t="str">
        <f aca="false">IF($D1849="","",IFERROR(INDEX(교육과정!$B$3:$B$102,MATCH($D1849,교육과정!$A$3:$A$102,0)),"미등록과정"))</f>
        <v/>
      </c>
      <c r="F1849" s="13"/>
      <c r="G1849" s="9"/>
      <c r="H1849" s="9"/>
    </row>
    <row r="1850" customFormat="false" ht="15" hidden="false" customHeight="true" outlineLevel="0" collapsed="false">
      <c r="A1850" s="11"/>
      <c r="B1850" s="9"/>
      <c r="C1850" s="15" t="str">
        <f aca="false">IF($B1850="","",IFERROR(INDEX(직원목록!$B$3:$B$302,MATCH($B1850,직원목록!$A$3:$A$302,0)),"미등록사번"))</f>
        <v/>
      </c>
      <c r="D1850" s="9"/>
      <c r="E1850" s="15" t="str">
        <f aca="false">IF($D1850="","",IFERROR(INDEX(교육과정!$B$3:$B$102,MATCH($D1850,교육과정!$A$3:$A$102,0)),"미등록과정"))</f>
        <v/>
      </c>
      <c r="F1850" s="13"/>
      <c r="G1850" s="9"/>
      <c r="H1850" s="9"/>
    </row>
    <row r="1851" customFormat="false" ht="15" hidden="false" customHeight="true" outlineLevel="0" collapsed="false">
      <c r="A1851" s="11"/>
      <c r="B1851" s="9"/>
      <c r="C1851" s="15" t="str">
        <f aca="false">IF($B1851="","",IFERROR(INDEX(직원목록!$B$3:$B$302,MATCH($B1851,직원목록!$A$3:$A$302,0)),"미등록사번"))</f>
        <v/>
      </c>
      <c r="D1851" s="9"/>
      <c r="E1851" s="15" t="str">
        <f aca="false">IF($D1851="","",IFERROR(INDEX(교육과정!$B$3:$B$102,MATCH($D1851,교육과정!$A$3:$A$102,0)),"미등록과정"))</f>
        <v/>
      </c>
      <c r="F1851" s="13"/>
      <c r="G1851" s="9"/>
      <c r="H1851" s="9"/>
    </row>
    <row r="1852" customFormat="false" ht="15" hidden="false" customHeight="true" outlineLevel="0" collapsed="false">
      <c r="A1852" s="11"/>
      <c r="B1852" s="9"/>
      <c r="C1852" s="15" t="str">
        <f aca="false">IF($B1852="","",IFERROR(INDEX(직원목록!$B$3:$B$302,MATCH($B1852,직원목록!$A$3:$A$302,0)),"미등록사번"))</f>
        <v/>
      </c>
      <c r="D1852" s="9"/>
      <c r="E1852" s="15" t="str">
        <f aca="false">IF($D1852="","",IFERROR(INDEX(교육과정!$B$3:$B$102,MATCH($D1852,교육과정!$A$3:$A$102,0)),"미등록과정"))</f>
        <v/>
      </c>
      <c r="F1852" s="13"/>
      <c r="G1852" s="9"/>
      <c r="H1852" s="9"/>
    </row>
    <row r="1853" customFormat="false" ht="15" hidden="false" customHeight="true" outlineLevel="0" collapsed="false">
      <c r="A1853" s="11"/>
      <c r="B1853" s="9"/>
      <c r="C1853" s="15" t="str">
        <f aca="false">IF($B1853="","",IFERROR(INDEX(직원목록!$B$3:$B$302,MATCH($B1853,직원목록!$A$3:$A$302,0)),"미등록사번"))</f>
        <v/>
      </c>
      <c r="D1853" s="9"/>
      <c r="E1853" s="15" t="str">
        <f aca="false">IF($D1853="","",IFERROR(INDEX(교육과정!$B$3:$B$102,MATCH($D1853,교육과정!$A$3:$A$102,0)),"미등록과정"))</f>
        <v/>
      </c>
      <c r="F1853" s="13"/>
      <c r="G1853" s="9"/>
      <c r="H1853" s="9"/>
    </row>
    <row r="1854" customFormat="false" ht="15" hidden="false" customHeight="true" outlineLevel="0" collapsed="false">
      <c r="A1854" s="11"/>
      <c r="B1854" s="9"/>
      <c r="C1854" s="15" t="str">
        <f aca="false">IF($B1854="","",IFERROR(INDEX(직원목록!$B$3:$B$302,MATCH($B1854,직원목록!$A$3:$A$302,0)),"미등록사번"))</f>
        <v/>
      </c>
      <c r="D1854" s="9"/>
      <c r="E1854" s="15" t="str">
        <f aca="false">IF($D1854="","",IFERROR(INDEX(교육과정!$B$3:$B$102,MATCH($D1854,교육과정!$A$3:$A$102,0)),"미등록과정"))</f>
        <v/>
      </c>
      <c r="F1854" s="13"/>
      <c r="G1854" s="9"/>
      <c r="H1854" s="9"/>
    </row>
    <row r="1855" customFormat="false" ht="15" hidden="false" customHeight="true" outlineLevel="0" collapsed="false">
      <c r="A1855" s="11"/>
      <c r="B1855" s="9"/>
      <c r="C1855" s="15" t="str">
        <f aca="false">IF($B1855="","",IFERROR(INDEX(직원목록!$B$3:$B$302,MATCH($B1855,직원목록!$A$3:$A$302,0)),"미등록사번"))</f>
        <v/>
      </c>
      <c r="D1855" s="9"/>
      <c r="E1855" s="15" t="str">
        <f aca="false">IF($D1855="","",IFERROR(INDEX(교육과정!$B$3:$B$102,MATCH($D1855,교육과정!$A$3:$A$102,0)),"미등록과정"))</f>
        <v/>
      </c>
      <c r="F1855" s="13"/>
      <c r="G1855" s="9"/>
      <c r="H1855" s="9"/>
    </row>
    <row r="1856" customFormat="false" ht="15" hidden="false" customHeight="true" outlineLevel="0" collapsed="false">
      <c r="A1856" s="11"/>
      <c r="B1856" s="9"/>
      <c r="C1856" s="15" t="str">
        <f aca="false">IF($B1856="","",IFERROR(INDEX(직원목록!$B$3:$B$302,MATCH($B1856,직원목록!$A$3:$A$302,0)),"미등록사번"))</f>
        <v/>
      </c>
      <c r="D1856" s="9"/>
      <c r="E1856" s="15" t="str">
        <f aca="false">IF($D1856="","",IFERROR(INDEX(교육과정!$B$3:$B$102,MATCH($D1856,교육과정!$A$3:$A$102,0)),"미등록과정"))</f>
        <v/>
      </c>
      <c r="F1856" s="13"/>
      <c r="G1856" s="9"/>
      <c r="H1856" s="9"/>
    </row>
    <row r="1857" customFormat="false" ht="15" hidden="false" customHeight="true" outlineLevel="0" collapsed="false">
      <c r="A1857" s="11"/>
      <c r="B1857" s="9"/>
      <c r="C1857" s="15" t="str">
        <f aca="false">IF($B1857="","",IFERROR(INDEX(직원목록!$B$3:$B$302,MATCH($B1857,직원목록!$A$3:$A$302,0)),"미등록사번"))</f>
        <v/>
      </c>
      <c r="D1857" s="9"/>
      <c r="E1857" s="15" t="str">
        <f aca="false">IF($D1857="","",IFERROR(INDEX(교육과정!$B$3:$B$102,MATCH($D1857,교육과정!$A$3:$A$102,0)),"미등록과정"))</f>
        <v/>
      </c>
      <c r="F1857" s="13"/>
      <c r="G1857" s="9"/>
      <c r="H1857" s="9"/>
    </row>
    <row r="1858" customFormat="false" ht="15" hidden="false" customHeight="true" outlineLevel="0" collapsed="false">
      <c r="A1858" s="11"/>
      <c r="B1858" s="9"/>
      <c r="C1858" s="15" t="str">
        <f aca="false">IF($B1858="","",IFERROR(INDEX(직원목록!$B$3:$B$302,MATCH($B1858,직원목록!$A$3:$A$302,0)),"미등록사번"))</f>
        <v/>
      </c>
      <c r="D1858" s="9"/>
      <c r="E1858" s="15" t="str">
        <f aca="false">IF($D1858="","",IFERROR(INDEX(교육과정!$B$3:$B$102,MATCH($D1858,교육과정!$A$3:$A$102,0)),"미등록과정"))</f>
        <v/>
      </c>
      <c r="F1858" s="13"/>
      <c r="G1858" s="9"/>
      <c r="H1858" s="9"/>
    </row>
    <row r="1859" customFormat="false" ht="15" hidden="false" customHeight="true" outlineLevel="0" collapsed="false">
      <c r="A1859" s="11"/>
      <c r="B1859" s="9"/>
      <c r="C1859" s="15" t="str">
        <f aca="false">IF($B1859="","",IFERROR(INDEX(직원목록!$B$3:$B$302,MATCH($B1859,직원목록!$A$3:$A$302,0)),"미등록사번"))</f>
        <v/>
      </c>
      <c r="D1859" s="9"/>
      <c r="E1859" s="15" t="str">
        <f aca="false">IF($D1859="","",IFERROR(INDEX(교육과정!$B$3:$B$102,MATCH($D1859,교육과정!$A$3:$A$102,0)),"미등록과정"))</f>
        <v/>
      </c>
      <c r="F1859" s="13"/>
      <c r="G1859" s="9"/>
      <c r="H1859" s="9"/>
    </row>
    <row r="1860" customFormat="false" ht="15" hidden="false" customHeight="true" outlineLevel="0" collapsed="false">
      <c r="A1860" s="11"/>
      <c r="B1860" s="9"/>
      <c r="C1860" s="15" t="str">
        <f aca="false">IF($B1860="","",IFERROR(INDEX(직원목록!$B$3:$B$302,MATCH($B1860,직원목록!$A$3:$A$302,0)),"미등록사번"))</f>
        <v/>
      </c>
      <c r="D1860" s="9"/>
      <c r="E1860" s="15" t="str">
        <f aca="false">IF($D1860="","",IFERROR(INDEX(교육과정!$B$3:$B$102,MATCH($D1860,교육과정!$A$3:$A$102,0)),"미등록과정"))</f>
        <v/>
      </c>
      <c r="F1860" s="13"/>
      <c r="G1860" s="9"/>
      <c r="H1860" s="9"/>
    </row>
    <row r="1861" customFormat="false" ht="15" hidden="false" customHeight="true" outlineLevel="0" collapsed="false">
      <c r="A1861" s="11"/>
      <c r="B1861" s="9"/>
      <c r="C1861" s="15" t="str">
        <f aca="false">IF($B1861="","",IFERROR(INDEX(직원목록!$B$3:$B$302,MATCH($B1861,직원목록!$A$3:$A$302,0)),"미등록사번"))</f>
        <v/>
      </c>
      <c r="D1861" s="9"/>
      <c r="E1861" s="15" t="str">
        <f aca="false">IF($D1861="","",IFERROR(INDEX(교육과정!$B$3:$B$102,MATCH($D1861,교육과정!$A$3:$A$102,0)),"미등록과정"))</f>
        <v/>
      </c>
      <c r="F1861" s="13"/>
      <c r="G1861" s="9"/>
      <c r="H1861" s="9"/>
    </row>
    <row r="1862" customFormat="false" ht="15" hidden="false" customHeight="true" outlineLevel="0" collapsed="false">
      <c r="A1862" s="11"/>
      <c r="B1862" s="9"/>
      <c r="C1862" s="15" t="str">
        <f aca="false">IF($B1862="","",IFERROR(INDEX(직원목록!$B$3:$B$302,MATCH($B1862,직원목록!$A$3:$A$302,0)),"미등록사번"))</f>
        <v/>
      </c>
      <c r="D1862" s="9"/>
      <c r="E1862" s="15" t="str">
        <f aca="false">IF($D1862="","",IFERROR(INDEX(교육과정!$B$3:$B$102,MATCH($D1862,교육과정!$A$3:$A$102,0)),"미등록과정"))</f>
        <v/>
      </c>
      <c r="F1862" s="13"/>
      <c r="G1862" s="9"/>
      <c r="H1862" s="9"/>
    </row>
    <row r="1863" customFormat="false" ht="15" hidden="false" customHeight="true" outlineLevel="0" collapsed="false">
      <c r="A1863" s="11"/>
      <c r="B1863" s="9"/>
      <c r="C1863" s="15" t="str">
        <f aca="false">IF($B1863="","",IFERROR(INDEX(직원목록!$B$3:$B$302,MATCH($B1863,직원목록!$A$3:$A$302,0)),"미등록사번"))</f>
        <v/>
      </c>
      <c r="D1863" s="9"/>
      <c r="E1863" s="15" t="str">
        <f aca="false">IF($D1863="","",IFERROR(INDEX(교육과정!$B$3:$B$102,MATCH($D1863,교육과정!$A$3:$A$102,0)),"미등록과정"))</f>
        <v/>
      </c>
      <c r="F1863" s="13"/>
      <c r="G1863" s="9"/>
      <c r="H1863" s="9"/>
    </row>
    <row r="1864" customFormat="false" ht="15" hidden="false" customHeight="true" outlineLevel="0" collapsed="false">
      <c r="A1864" s="11"/>
      <c r="B1864" s="9"/>
      <c r="C1864" s="15" t="str">
        <f aca="false">IF($B1864="","",IFERROR(INDEX(직원목록!$B$3:$B$302,MATCH($B1864,직원목록!$A$3:$A$302,0)),"미등록사번"))</f>
        <v/>
      </c>
      <c r="D1864" s="9"/>
      <c r="E1864" s="15" t="str">
        <f aca="false">IF($D1864="","",IFERROR(INDEX(교육과정!$B$3:$B$102,MATCH($D1864,교육과정!$A$3:$A$102,0)),"미등록과정"))</f>
        <v/>
      </c>
      <c r="F1864" s="13"/>
      <c r="G1864" s="9"/>
      <c r="H1864" s="9"/>
    </row>
    <row r="1865" customFormat="false" ht="15" hidden="false" customHeight="true" outlineLevel="0" collapsed="false">
      <c r="A1865" s="11"/>
      <c r="B1865" s="9"/>
      <c r="C1865" s="15" t="str">
        <f aca="false">IF($B1865="","",IFERROR(INDEX(직원목록!$B$3:$B$302,MATCH($B1865,직원목록!$A$3:$A$302,0)),"미등록사번"))</f>
        <v/>
      </c>
      <c r="D1865" s="9"/>
      <c r="E1865" s="15" t="str">
        <f aca="false">IF($D1865="","",IFERROR(INDEX(교육과정!$B$3:$B$102,MATCH($D1865,교육과정!$A$3:$A$102,0)),"미등록과정"))</f>
        <v/>
      </c>
      <c r="F1865" s="13"/>
      <c r="G1865" s="9"/>
      <c r="H1865" s="9"/>
    </row>
    <row r="1866" customFormat="false" ht="15" hidden="false" customHeight="true" outlineLevel="0" collapsed="false">
      <c r="A1866" s="11"/>
      <c r="B1866" s="9"/>
      <c r="C1866" s="15" t="str">
        <f aca="false">IF($B1866="","",IFERROR(INDEX(직원목록!$B$3:$B$302,MATCH($B1866,직원목록!$A$3:$A$302,0)),"미등록사번"))</f>
        <v/>
      </c>
      <c r="D1866" s="9"/>
      <c r="E1866" s="15" t="str">
        <f aca="false">IF($D1866="","",IFERROR(INDEX(교육과정!$B$3:$B$102,MATCH($D1866,교육과정!$A$3:$A$102,0)),"미등록과정"))</f>
        <v/>
      </c>
      <c r="F1866" s="13"/>
      <c r="G1866" s="9"/>
      <c r="H1866" s="9"/>
    </row>
    <row r="1867" customFormat="false" ht="15" hidden="false" customHeight="true" outlineLevel="0" collapsed="false">
      <c r="A1867" s="11"/>
      <c r="B1867" s="9"/>
      <c r="C1867" s="15" t="str">
        <f aca="false">IF($B1867="","",IFERROR(INDEX(직원목록!$B$3:$B$302,MATCH($B1867,직원목록!$A$3:$A$302,0)),"미등록사번"))</f>
        <v/>
      </c>
      <c r="D1867" s="9"/>
      <c r="E1867" s="15" t="str">
        <f aca="false">IF($D1867="","",IFERROR(INDEX(교육과정!$B$3:$B$102,MATCH($D1867,교육과정!$A$3:$A$102,0)),"미등록과정"))</f>
        <v/>
      </c>
      <c r="F1867" s="13"/>
      <c r="G1867" s="9"/>
      <c r="H1867" s="9"/>
    </row>
    <row r="1868" customFormat="false" ht="15" hidden="false" customHeight="true" outlineLevel="0" collapsed="false">
      <c r="A1868" s="11"/>
      <c r="B1868" s="9"/>
      <c r="C1868" s="15" t="str">
        <f aca="false">IF($B1868="","",IFERROR(INDEX(직원목록!$B$3:$B$302,MATCH($B1868,직원목록!$A$3:$A$302,0)),"미등록사번"))</f>
        <v/>
      </c>
      <c r="D1868" s="9"/>
      <c r="E1868" s="15" t="str">
        <f aca="false">IF($D1868="","",IFERROR(INDEX(교육과정!$B$3:$B$102,MATCH($D1868,교육과정!$A$3:$A$102,0)),"미등록과정"))</f>
        <v/>
      </c>
      <c r="F1868" s="13"/>
      <c r="G1868" s="9"/>
      <c r="H1868" s="9"/>
    </row>
    <row r="1869" customFormat="false" ht="15" hidden="false" customHeight="true" outlineLevel="0" collapsed="false">
      <c r="A1869" s="11"/>
      <c r="B1869" s="9"/>
      <c r="C1869" s="15" t="str">
        <f aca="false">IF($B1869="","",IFERROR(INDEX(직원목록!$B$3:$B$302,MATCH($B1869,직원목록!$A$3:$A$302,0)),"미등록사번"))</f>
        <v/>
      </c>
      <c r="D1869" s="9"/>
      <c r="E1869" s="15" t="str">
        <f aca="false">IF($D1869="","",IFERROR(INDEX(교육과정!$B$3:$B$102,MATCH($D1869,교육과정!$A$3:$A$102,0)),"미등록과정"))</f>
        <v/>
      </c>
      <c r="F1869" s="13"/>
      <c r="G1869" s="9"/>
      <c r="H1869" s="9"/>
    </row>
    <row r="1870" customFormat="false" ht="15" hidden="false" customHeight="true" outlineLevel="0" collapsed="false">
      <c r="A1870" s="11"/>
      <c r="B1870" s="9"/>
      <c r="C1870" s="15" t="str">
        <f aca="false">IF($B1870="","",IFERROR(INDEX(직원목록!$B$3:$B$302,MATCH($B1870,직원목록!$A$3:$A$302,0)),"미등록사번"))</f>
        <v/>
      </c>
      <c r="D1870" s="9"/>
      <c r="E1870" s="15" t="str">
        <f aca="false">IF($D1870="","",IFERROR(INDEX(교육과정!$B$3:$B$102,MATCH($D1870,교육과정!$A$3:$A$102,0)),"미등록과정"))</f>
        <v/>
      </c>
      <c r="F1870" s="13"/>
      <c r="G1870" s="9"/>
      <c r="H1870" s="9"/>
    </row>
    <row r="1871" customFormat="false" ht="15" hidden="false" customHeight="true" outlineLevel="0" collapsed="false">
      <c r="A1871" s="11"/>
      <c r="B1871" s="9"/>
      <c r="C1871" s="15" t="str">
        <f aca="false">IF($B1871="","",IFERROR(INDEX(직원목록!$B$3:$B$302,MATCH($B1871,직원목록!$A$3:$A$302,0)),"미등록사번"))</f>
        <v/>
      </c>
      <c r="D1871" s="9"/>
      <c r="E1871" s="15" t="str">
        <f aca="false">IF($D1871="","",IFERROR(INDEX(교육과정!$B$3:$B$102,MATCH($D1871,교육과정!$A$3:$A$102,0)),"미등록과정"))</f>
        <v/>
      </c>
      <c r="F1871" s="13"/>
      <c r="G1871" s="9"/>
      <c r="H1871" s="9"/>
    </row>
    <row r="1872" customFormat="false" ht="15" hidden="false" customHeight="true" outlineLevel="0" collapsed="false">
      <c r="A1872" s="11"/>
      <c r="B1872" s="9"/>
      <c r="C1872" s="15" t="str">
        <f aca="false">IF($B1872="","",IFERROR(INDEX(직원목록!$B$3:$B$302,MATCH($B1872,직원목록!$A$3:$A$302,0)),"미등록사번"))</f>
        <v/>
      </c>
      <c r="D1872" s="9"/>
      <c r="E1872" s="15" t="str">
        <f aca="false">IF($D1872="","",IFERROR(INDEX(교육과정!$B$3:$B$102,MATCH($D1872,교육과정!$A$3:$A$102,0)),"미등록과정"))</f>
        <v/>
      </c>
      <c r="F1872" s="13"/>
      <c r="G1872" s="9"/>
      <c r="H1872" s="9"/>
    </row>
    <row r="1873" customFormat="false" ht="15" hidden="false" customHeight="true" outlineLevel="0" collapsed="false">
      <c r="A1873" s="11"/>
      <c r="B1873" s="9"/>
      <c r="C1873" s="15" t="str">
        <f aca="false">IF($B1873="","",IFERROR(INDEX(직원목록!$B$3:$B$302,MATCH($B1873,직원목록!$A$3:$A$302,0)),"미등록사번"))</f>
        <v/>
      </c>
      <c r="D1873" s="9"/>
      <c r="E1873" s="15" t="str">
        <f aca="false">IF($D1873="","",IFERROR(INDEX(교육과정!$B$3:$B$102,MATCH($D1873,교육과정!$A$3:$A$102,0)),"미등록과정"))</f>
        <v/>
      </c>
      <c r="F1873" s="13"/>
      <c r="G1873" s="9"/>
      <c r="H1873" s="9"/>
    </row>
    <row r="1874" customFormat="false" ht="15" hidden="false" customHeight="true" outlineLevel="0" collapsed="false">
      <c r="A1874" s="11"/>
      <c r="B1874" s="9"/>
      <c r="C1874" s="15" t="str">
        <f aca="false">IF($B1874="","",IFERROR(INDEX(직원목록!$B$3:$B$302,MATCH($B1874,직원목록!$A$3:$A$302,0)),"미등록사번"))</f>
        <v/>
      </c>
      <c r="D1874" s="9"/>
      <c r="E1874" s="15" t="str">
        <f aca="false">IF($D1874="","",IFERROR(INDEX(교육과정!$B$3:$B$102,MATCH($D1874,교육과정!$A$3:$A$102,0)),"미등록과정"))</f>
        <v/>
      </c>
      <c r="F1874" s="13"/>
      <c r="G1874" s="9"/>
      <c r="H1874" s="9"/>
    </row>
    <row r="1875" customFormat="false" ht="15" hidden="false" customHeight="true" outlineLevel="0" collapsed="false">
      <c r="A1875" s="11"/>
      <c r="B1875" s="9"/>
      <c r="C1875" s="15" t="str">
        <f aca="false">IF($B1875="","",IFERROR(INDEX(직원목록!$B$3:$B$302,MATCH($B1875,직원목록!$A$3:$A$302,0)),"미등록사번"))</f>
        <v/>
      </c>
      <c r="D1875" s="9"/>
      <c r="E1875" s="15" t="str">
        <f aca="false">IF($D1875="","",IFERROR(INDEX(교육과정!$B$3:$B$102,MATCH($D1875,교육과정!$A$3:$A$102,0)),"미등록과정"))</f>
        <v/>
      </c>
      <c r="F1875" s="13"/>
      <c r="G1875" s="9"/>
      <c r="H1875" s="9"/>
    </row>
    <row r="1876" customFormat="false" ht="15" hidden="false" customHeight="true" outlineLevel="0" collapsed="false">
      <c r="A1876" s="11"/>
      <c r="B1876" s="9"/>
      <c r="C1876" s="15" t="str">
        <f aca="false">IF($B1876="","",IFERROR(INDEX(직원목록!$B$3:$B$302,MATCH($B1876,직원목록!$A$3:$A$302,0)),"미등록사번"))</f>
        <v/>
      </c>
      <c r="D1876" s="9"/>
      <c r="E1876" s="15" t="str">
        <f aca="false">IF($D1876="","",IFERROR(INDEX(교육과정!$B$3:$B$102,MATCH($D1876,교육과정!$A$3:$A$102,0)),"미등록과정"))</f>
        <v/>
      </c>
      <c r="F1876" s="13"/>
      <c r="G1876" s="9"/>
      <c r="H1876" s="9"/>
    </row>
    <row r="1877" customFormat="false" ht="15" hidden="false" customHeight="true" outlineLevel="0" collapsed="false">
      <c r="A1877" s="11"/>
      <c r="B1877" s="9"/>
      <c r="C1877" s="15" t="str">
        <f aca="false">IF($B1877="","",IFERROR(INDEX(직원목록!$B$3:$B$302,MATCH($B1877,직원목록!$A$3:$A$302,0)),"미등록사번"))</f>
        <v/>
      </c>
      <c r="D1877" s="9"/>
      <c r="E1877" s="15" t="str">
        <f aca="false">IF($D1877="","",IFERROR(INDEX(교육과정!$B$3:$B$102,MATCH($D1877,교육과정!$A$3:$A$102,0)),"미등록과정"))</f>
        <v/>
      </c>
      <c r="F1877" s="13"/>
      <c r="G1877" s="9"/>
      <c r="H1877" s="9"/>
    </row>
    <row r="1878" customFormat="false" ht="15" hidden="false" customHeight="true" outlineLevel="0" collapsed="false">
      <c r="A1878" s="11"/>
      <c r="B1878" s="9"/>
      <c r="C1878" s="15" t="str">
        <f aca="false">IF($B1878="","",IFERROR(INDEX(직원목록!$B$3:$B$302,MATCH($B1878,직원목록!$A$3:$A$302,0)),"미등록사번"))</f>
        <v/>
      </c>
      <c r="D1878" s="9"/>
      <c r="E1878" s="15" t="str">
        <f aca="false">IF($D1878="","",IFERROR(INDEX(교육과정!$B$3:$B$102,MATCH($D1878,교육과정!$A$3:$A$102,0)),"미등록과정"))</f>
        <v/>
      </c>
      <c r="F1878" s="13"/>
      <c r="G1878" s="9"/>
      <c r="H1878" s="9"/>
    </row>
    <row r="1879" customFormat="false" ht="15" hidden="false" customHeight="true" outlineLevel="0" collapsed="false">
      <c r="A1879" s="11"/>
      <c r="B1879" s="9"/>
      <c r="C1879" s="15" t="str">
        <f aca="false">IF($B1879="","",IFERROR(INDEX(직원목록!$B$3:$B$302,MATCH($B1879,직원목록!$A$3:$A$302,0)),"미등록사번"))</f>
        <v/>
      </c>
      <c r="D1879" s="9"/>
      <c r="E1879" s="15" t="str">
        <f aca="false">IF($D1879="","",IFERROR(INDEX(교육과정!$B$3:$B$102,MATCH($D1879,교육과정!$A$3:$A$102,0)),"미등록과정"))</f>
        <v/>
      </c>
      <c r="F1879" s="13"/>
      <c r="G1879" s="9"/>
      <c r="H1879" s="9"/>
    </row>
    <row r="1880" customFormat="false" ht="15" hidden="false" customHeight="true" outlineLevel="0" collapsed="false">
      <c r="A1880" s="11"/>
      <c r="B1880" s="9"/>
      <c r="C1880" s="15" t="str">
        <f aca="false">IF($B1880="","",IFERROR(INDEX(직원목록!$B$3:$B$302,MATCH($B1880,직원목록!$A$3:$A$302,0)),"미등록사번"))</f>
        <v/>
      </c>
      <c r="D1880" s="9"/>
      <c r="E1880" s="15" t="str">
        <f aca="false">IF($D1880="","",IFERROR(INDEX(교육과정!$B$3:$B$102,MATCH($D1880,교육과정!$A$3:$A$102,0)),"미등록과정"))</f>
        <v/>
      </c>
      <c r="F1880" s="13"/>
      <c r="G1880" s="9"/>
      <c r="H1880" s="9"/>
    </row>
    <row r="1881" customFormat="false" ht="15" hidden="false" customHeight="true" outlineLevel="0" collapsed="false">
      <c r="A1881" s="11"/>
      <c r="B1881" s="9"/>
      <c r="C1881" s="15" t="str">
        <f aca="false">IF($B1881="","",IFERROR(INDEX(직원목록!$B$3:$B$302,MATCH($B1881,직원목록!$A$3:$A$302,0)),"미등록사번"))</f>
        <v/>
      </c>
      <c r="D1881" s="9"/>
      <c r="E1881" s="15" t="str">
        <f aca="false">IF($D1881="","",IFERROR(INDEX(교육과정!$B$3:$B$102,MATCH($D1881,교육과정!$A$3:$A$102,0)),"미등록과정"))</f>
        <v/>
      </c>
      <c r="F1881" s="13"/>
      <c r="G1881" s="9"/>
      <c r="H1881" s="9"/>
    </row>
    <row r="1882" customFormat="false" ht="15" hidden="false" customHeight="true" outlineLevel="0" collapsed="false">
      <c r="A1882" s="11"/>
      <c r="B1882" s="9"/>
      <c r="C1882" s="15" t="str">
        <f aca="false">IF($B1882="","",IFERROR(INDEX(직원목록!$B$3:$B$302,MATCH($B1882,직원목록!$A$3:$A$302,0)),"미등록사번"))</f>
        <v/>
      </c>
      <c r="D1882" s="9"/>
      <c r="E1882" s="15" t="str">
        <f aca="false">IF($D1882="","",IFERROR(INDEX(교육과정!$B$3:$B$102,MATCH($D1882,교육과정!$A$3:$A$102,0)),"미등록과정"))</f>
        <v/>
      </c>
      <c r="F1882" s="13"/>
      <c r="G1882" s="9"/>
      <c r="H1882" s="9"/>
    </row>
    <row r="1883" customFormat="false" ht="15" hidden="false" customHeight="true" outlineLevel="0" collapsed="false">
      <c r="A1883" s="11"/>
      <c r="B1883" s="9"/>
      <c r="C1883" s="15" t="str">
        <f aca="false">IF($B1883="","",IFERROR(INDEX(직원목록!$B$3:$B$302,MATCH($B1883,직원목록!$A$3:$A$302,0)),"미등록사번"))</f>
        <v/>
      </c>
      <c r="D1883" s="9"/>
      <c r="E1883" s="15" t="str">
        <f aca="false">IF($D1883="","",IFERROR(INDEX(교육과정!$B$3:$B$102,MATCH($D1883,교육과정!$A$3:$A$102,0)),"미등록과정"))</f>
        <v/>
      </c>
      <c r="F1883" s="13"/>
      <c r="G1883" s="9"/>
      <c r="H1883" s="9"/>
    </row>
    <row r="1884" customFormat="false" ht="15" hidden="false" customHeight="true" outlineLevel="0" collapsed="false">
      <c r="A1884" s="11"/>
      <c r="B1884" s="9"/>
      <c r="C1884" s="15" t="str">
        <f aca="false">IF($B1884="","",IFERROR(INDEX(직원목록!$B$3:$B$302,MATCH($B1884,직원목록!$A$3:$A$302,0)),"미등록사번"))</f>
        <v/>
      </c>
      <c r="D1884" s="9"/>
      <c r="E1884" s="15" t="str">
        <f aca="false">IF($D1884="","",IFERROR(INDEX(교육과정!$B$3:$B$102,MATCH($D1884,교육과정!$A$3:$A$102,0)),"미등록과정"))</f>
        <v/>
      </c>
      <c r="F1884" s="13"/>
      <c r="G1884" s="9"/>
      <c r="H1884" s="9"/>
    </row>
    <row r="1885" customFormat="false" ht="15" hidden="false" customHeight="true" outlineLevel="0" collapsed="false">
      <c r="A1885" s="11"/>
      <c r="B1885" s="9"/>
      <c r="C1885" s="15" t="str">
        <f aca="false">IF($B1885="","",IFERROR(INDEX(직원목록!$B$3:$B$302,MATCH($B1885,직원목록!$A$3:$A$302,0)),"미등록사번"))</f>
        <v/>
      </c>
      <c r="D1885" s="9"/>
      <c r="E1885" s="15" t="str">
        <f aca="false">IF($D1885="","",IFERROR(INDEX(교육과정!$B$3:$B$102,MATCH($D1885,교육과정!$A$3:$A$102,0)),"미등록과정"))</f>
        <v/>
      </c>
      <c r="F1885" s="13"/>
      <c r="G1885" s="9"/>
      <c r="H1885" s="9"/>
    </row>
    <row r="1886" customFormat="false" ht="15" hidden="false" customHeight="true" outlineLevel="0" collapsed="false">
      <c r="A1886" s="11"/>
      <c r="B1886" s="9"/>
      <c r="C1886" s="15" t="str">
        <f aca="false">IF($B1886="","",IFERROR(INDEX(직원목록!$B$3:$B$302,MATCH($B1886,직원목록!$A$3:$A$302,0)),"미등록사번"))</f>
        <v/>
      </c>
      <c r="D1886" s="9"/>
      <c r="E1886" s="15" t="str">
        <f aca="false">IF($D1886="","",IFERROR(INDEX(교육과정!$B$3:$B$102,MATCH($D1886,교육과정!$A$3:$A$102,0)),"미등록과정"))</f>
        <v/>
      </c>
      <c r="F1886" s="13"/>
      <c r="G1886" s="9"/>
      <c r="H1886" s="9"/>
    </row>
    <row r="1887" customFormat="false" ht="15" hidden="false" customHeight="true" outlineLevel="0" collapsed="false">
      <c r="A1887" s="11"/>
      <c r="B1887" s="9"/>
      <c r="C1887" s="15" t="str">
        <f aca="false">IF($B1887="","",IFERROR(INDEX(직원목록!$B$3:$B$302,MATCH($B1887,직원목록!$A$3:$A$302,0)),"미등록사번"))</f>
        <v/>
      </c>
      <c r="D1887" s="9"/>
      <c r="E1887" s="15" t="str">
        <f aca="false">IF($D1887="","",IFERROR(INDEX(교육과정!$B$3:$B$102,MATCH($D1887,교육과정!$A$3:$A$102,0)),"미등록과정"))</f>
        <v/>
      </c>
      <c r="F1887" s="13"/>
      <c r="G1887" s="9"/>
      <c r="H1887" s="9"/>
    </row>
    <row r="1888" customFormat="false" ht="15" hidden="false" customHeight="true" outlineLevel="0" collapsed="false">
      <c r="A1888" s="11"/>
      <c r="B1888" s="9"/>
      <c r="C1888" s="15" t="str">
        <f aca="false">IF($B1888="","",IFERROR(INDEX(직원목록!$B$3:$B$302,MATCH($B1888,직원목록!$A$3:$A$302,0)),"미등록사번"))</f>
        <v/>
      </c>
      <c r="D1888" s="9"/>
      <c r="E1888" s="15" t="str">
        <f aca="false">IF($D1888="","",IFERROR(INDEX(교육과정!$B$3:$B$102,MATCH($D1888,교육과정!$A$3:$A$102,0)),"미등록과정"))</f>
        <v/>
      </c>
      <c r="F1888" s="13"/>
      <c r="G1888" s="9"/>
      <c r="H1888" s="9"/>
    </row>
    <row r="1889" customFormat="false" ht="15" hidden="false" customHeight="true" outlineLevel="0" collapsed="false">
      <c r="A1889" s="11"/>
      <c r="B1889" s="9"/>
      <c r="C1889" s="15" t="str">
        <f aca="false">IF($B1889="","",IFERROR(INDEX(직원목록!$B$3:$B$302,MATCH($B1889,직원목록!$A$3:$A$302,0)),"미등록사번"))</f>
        <v/>
      </c>
      <c r="D1889" s="9"/>
      <c r="E1889" s="15" t="str">
        <f aca="false">IF($D1889="","",IFERROR(INDEX(교육과정!$B$3:$B$102,MATCH($D1889,교육과정!$A$3:$A$102,0)),"미등록과정"))</f>
        <v/>
      </c>
      <c r="F1889" s="13"/>
      <c r="G1889" s="9"/>
      <c r="H1889" s="9"/>
    </row>
    <row r="1890" customFormat="false" ht="15" hidden="false" customHeight="true" outlineLevel="0" collapsed="false">
      <c r="A1890" s="11"/>
      <c r="B1890" s="9"/>
      <c r="C1890" s="15" t="str">
        <f aca="false">IF($B1890="","",IFERROR(INDEX(직원목록!$B$3:$B$302,MATCH($B1890,직원목록!$A$3:$A$302,0)),"미등록사번"))</f>
        <v/>
      </c>
      <c r="D1890" s="9"/>
      <c r="E1890" s="15" t="str">
        <f aca="false">IF($D1890="","",IFERROR(INDEX(교육과정!$B$3:$B$102,MATCH($D1890,교육과정!$A$3:$A$102,0)),"미등록과정"))</f>
        <v/>
      </c>
      <c r="F1890" s="13"/>
      <c r="G1890" s="9"/>
      <c r="H1890" s="9"/>
    </row>
    <row r="1891" customFormat="false" ht="15" hidden="false" customHeight="true" outlineLevel="0" collapsed="false">
      <c r="A1891" s="11"/>
      <c r="B1891" s="9"/>
      <c r="C1891" s="15" t="str">
        <f aca="false">IF($B1891="","",IFERROR(INDEX(직원목록!$B$3:$B$302,MATCH($B1891,직원목록!$A$3:$A$302,0)),"미등록사번"))</f>
        <v/>
      </c>
      <c r="D1891" s="9"/>
      <c r="E1891" s="15" t="str">
        <f aca="false">IF($D1891="","",IFERROR(INDEX(교육과정!$B$3:$B$102,MATCH($D1891,교육과정!$A$3:$A$102,0)),"미등록과정"))</f>
        <v/>
      </c>
      <c r="F1891" s="13"/>
      <c r="G1891" s="9"/>
      <c r="H1891" s="9"/>
    </row>
    <row r="1892" customFormat="false" ht="15" hidden="false" customHeight="true" outlineLevel="0" collapsed="false">
      <c r="A1892" s="11"/>
      <c r="B1892" s="9"/>
      <c r="C1892" s="15" t="str">
        <f aca="false">IF($B1892="","",IFERROR(INDEX(직원목록!$B$3:$B$302,MATCH($B1892,직원목록!$A$3:$A$302,0)),"미등록사번"))</f>
        <v/>
      </c>
      <c r="D1892" s="9"/>
      <c r="E1892" s="15" t="str">
        <f aca="false">IF($D1892="","",IFERROR(INDEX(교육과정!$B$3:$B$102,MATCH($D1892,교육과정!$A$3:$A$102,0)),"미등록과정"))</f>
        <v/>
      </c>
      <c r="F1892" s="13"/>
      <c r="G1892" s="9"/>
      <c r="H1892" s="9"/>
    </row>
    <row r="1893" customFormat="false" ht="15" hidden="false" customHeight="true" outlineLevel="0" collapsed="false">
      <c r="A1893" s="11"/>
      <c r="B1893" s="9"/>
      <c r="C1893" s="15" t="str">
        <f aca="false">IF($B1893="","",IFERROR(INDEX(직원목록!$B$3:$B$302,MATCH($B1893,직원목록!$A$3:$A$302,0)),"미등록사번"))</f>
        <v/>
      </c>
      <c r="D1893" s="9"/>
      <c r="E1893" s="15" t="str">
        <f aca="false">IF($D1893="","",IFERROR(INDEX(교육과정!$B$3:$B$102,MATCH($D1893,교육과정!$A$3:$A$102,0)),"미등록과정"))</f>
        <v/>
      </c>
      <c r="F1893" s="13"/>
      <c r="G1893" s="9"/>
      <c r="H1893" s="9"/>
    </row>
    <row r="1894" customFormat="false" ht="15" hidden="false" customHeight="true" outlineLevel="0" collapsed="false">
      <c r="A1894" s="11"/>
      <c r="B1894" s="9"/>
      <c r="C1894" s="15" t="str">
        <f aca="false">IF($B1894="","",IFERROR(INDEX(직원목록!$B$3:$B$302,MATCH($B1894,직원목록!$A$3:$A$302,0)),"미등록사번"))</f>
        <v/>
      </c>
      <c r="D1894" s="9"/>
      <c r="E1894" s="15" t="str">
        <f aca="false">IF($D1894="","",IFERROR(INDEX(교육과정!$B$3:$B$102,MATCH($D1894,교육과정!$A$3:$A$102,0)),"미등록과정"))</f>
        <v/>
      </c>
      <c r="F1894" s="13"/>
      <c r="G1894" s="9"/>
      <c r="H1894" s="9"/>
    </row>
    <row r="1895" customFormat="false" ht="15" hidden="false" customHeight="true" outlineLevel="0" collapsed="false">
      <c r="A1895" s="11"/>
      <c r="B1895" s="9"/>
      <c r="C1895" s="15" t="str">
        <f aca="false">IF($B1895="","",IFERROR(INDEX(직원목록!$B$3:$B$302,MATCH($B1895,직원목록!$A$3:$A$302,0)),"미등록사번"))</f>
        <v/>
      </c>
      <c r="D1895" s="9"/>
      <c r="E1895" s="15" t="str">
        <f aca="false">IF($D1895="","",IFERROR(INDEX(교육과정!$B$3:$B$102,MATCH($D1895,교육과정!$A$3:$A$102,0)),"미등록과정"))</f>
        <v/>
      </c>
      <c r="F1895" s="13"/>
      <c r="G1895" s="9"/>
      <c r="H1895" s="9"/>
    </row>
    <row r="1896" customFormat="false" ht="15" hidden="false" customHeight="true" outlineLevel="0" collapsed="false">
      <c r="A1896" s="11"/>
      <c r="B1896" s="9"/>
      <c r="C1896" s="15" t="str">
        <f aca="false">IF($B1896="","",IFERROR(INDEX(직원목록!$B$3:$B$302,MATCH($B1896,직원목록!$A$3:$A$302,0)),"미등록사번"))</f>
        <v/>
      </c>
      <c r="D1896" s="9"/>
      <c r="E1896" s="15" t="str">
        <f aca="false">IF($D1896="","",IFERROR(INDEX(교육과정!$B$3:$B$102,MATCH($D1896,교육과정!$A$3:$A$102,0)),"미등록과정"))</f>
        <v/>
      </c>
      <c r="F1896" s="13"/>
      <c r="G1896" s="9"/>
      <c r="H1896" s="9"/>
    </row>
    <row r="1897" customFormat="false" ht="15" hidden="false" customHeight="true" outlineLevel="0" collapsed="false">
      <c r="A1897" s="11"/>
      <c r="B1897" s="9"/>
      <c r="C1897" s="15" t="str">
        <f aca="false">IF($B1897="","",IFERROR(INDEX(직원목록!$B$3:$B$302,MATCH($B1897,직원목록!$A$3:$A$302,0)),"미등록사번"))</f>
        <v/>
      </c>
      <c r="D1897" s="9"/>
      <c r="E1897" s="15" t="str">
        <f aca="false">IF($D1897="","",IFERROR(INDEX(교육과정!$B$3:$B$102,MATCH($D1897,교육과정!$A$3:$A$102,0)),"미등록과정"))</f>
        <v/>
      </c>
      <c r="F1897" s="13"/>
      <c r="G1897" s="9"/>
      <c r="H1897" s="9"/>
    </row>
    <row r="1898" customFormat="false" ht="15" hidden="false" customHeight="true" outlineLevel="0" collapsed="false">
      <c r="A1898" s="11"/>
      <c r="B1898" s="9"/>
      <c r="C1898" s="15" t="str">
        <f aca="false">IF($B1898="","",IFERROR(INDEX(직원목록!$B$3:$B$302,MATCH($B1898,직원목록!$A$3:$A$302,0)),"미등록사번"))</f>
        <v/>
      </c>
      <c r="D1898" s="9"/>
      <c r="E1898" s="15" t="str">
        <f aca="false">IF($D1898="","",IFERROR(INDEX(교육과정!$B$3:$B$102,MATCH($D1898,교육과정!$A$3:$A$102,0)),"미등록과정"))</f>
        <v/>
      </c>
      <c r="F1898" s="13"/>
      <c r="G1898" s="9"/>
      <c r="H1898" s="9"/>
    </row>
    <row r="1899" customFormat="false" ht="15" hidden="false" customHeight="true" outlineLevel="0" collapsed="false">
      <c r="A1899" s="11"/>
      <c r="B1899" s="9"/>
      <c r="C1899" s="15" t="str">
        <f aca="false">IF($B1899="","",IFERROR(INDEX(직원목록!$B$3:$B$302,MATCH($B1899,직원목록!$A$3:$A$302,0)),"미등록사번"))</f>
        <v/>
      </c>
      <c r="D1899" s="9"/>
      <c r="E1899" s="15" t="str">
        <f aca="false">IF($D1899="","",IFERROR(INDEX(교육과정!$B$3:$B$102,MATCH($D1899,교육과정!$A$3:$A$102,0)),"미등록과정"))</f>
        <v/>
      </c>
      <c r="F1899" s="13"/>
      <c r="G1899" s="9"/>
      <c r="H1899" s="9"/>
    </row>
    <row r="1900" customFormat="false" ht="15" hidden="false" customHeight="true" outlineLevel="0" collapsed="false">
      <c r="A1900" s="11"/>
      <c r="B1900" s="9"/>
      <c r="C1900" s="15" t="str">
        <f aca="false">IF($B1900="","",IFERROR(INDEX(직원목록!$B$3:$B$302,MATCH($B1900,직원목록!$A$3:$A$302,0)),"미등록사번"))</f>
        <v/>
      </c>
      <c r="D1900" s="9"/>
      <c r="E1900" s="15" t="str">
        <f aca="false">IF($D1900="","",IFERROR(INDEX(교육과정!$B$3:$B$102,MATCH($D1900,교육과정!$A$3:$A$102,0)),"미등록과정"))</f>
        <v/>
      </c>
      <c r="F1900" s="13"/>
      <c r="G1900" s="9"/>
      <c r="H1900" s="9"/>
    </row>
    <row r="1901" customFormat="false" ht="15" hidden="false" customHeight="true" outlineLevel="0" collapsed="false">
      <c r="A1901" s="11"/>
      <c r="B1901" s="9"/>
      <c r="C1901" s="15" t="str">
        <f aca="false">IF($B1901="","",IFERROR(INDEX(직원목록!$B$3:$B$302,MATCH($B1901,직원목록!$A$3:$A$302,0)),"미등록사번"))</f>
        <v/>
      </c>
      <c r="D1901" s="9"/>
      <c r="E1901" s="15" t="str">
        <f aca="false">IF($D1901="","",IFERROR(INDEX(교육과정!$B$3:$B$102,MATCH($D1901,교육과정!$A$3:$A$102,0)),"미등록과정"))</f>
        <v/>
      </c>
      <c r="F1901" s="13"/>
      <c r="G1901" s="9"/>
      <c r="H1901" s="9"/>
    </row>
    <row r="1902" customFormat="false" ht="15" hidden="false" customHeight="true" outlineLevel="0" collapsed="false">
      <c r="A1902" s="11"/>
      <c r="B1902" s="9"/>
      <c r="C1902" s="15" t="str">
        <f aca="false">IF($B1902="","",IFERROR(INDEX(직원목록!$B$3:$B$302,MATCH($B1902,직원목록!$A$3:$A$302,0)),"미등록사번"))</f>
        <v/>
      </c>
      <c r="D1902" s="9"/>
      <c r="E1902" s="15" t="str">
        <f aca="false">IF($D1902="","",IFERROR(INDEX(교육과정!$B$3:$B$102,MATCH($D1902,교육과정!$A$3:$A$102,0)),"미등록과정"))</f>
        <v/>
      </c>
      <c r="F1902" s="13"/>
      <c r="G1902" s="9"/>
      <c r="H1902" s="9"/>
    </row>
    <row r="1903" customFormat="false" ht="15" hidden="false" customHeight="true" outlineLevel="0" collapsed="false">
      <c r="A1903" s="11"/>
      <c r="B1903" s="9"/>
      <c r="C1903" s="15" t="str">
        <f aca="false">IF($B1903="","",IFERROR(INDEX(직원목록!$B$3:$B$302,MATCH($B1903,직원목록!$A$3:$A$302,0)),"미등록사번"))</f>
        <v/>
      </c>
      <c r="D1903" s="9"/>
      <c r="E1903" s="15" t="str">
        <f aca="false">IF($D1903="","",IFERROR(INDEX(교육과정!$B$3:$B$102,MATCH($D1903,교육과정!$A$3:$A$102,0)),"미등록과정"))</f>
        <v/>
      </c>
      <c r="F1903" s="13"/>
      <c r="G1903" s="9"/>
      <c r="H1903" s="9"/>
    </row>
    <row r="1904" customFormat="false" ht="15" hidden="false" customHeight="true" outlineLevel="0" collapsed="false">
      <c r="A1904" s="11"/>
      <c r="B1904" s="9"/>
      <c r="C1904" s="15" t="str">
        <f aca="false">IF($B1904="","",IFERROR(INDEX(직원목록!$B$3:$B$302,MATCH($B1904,직원목록!$A$3:$A$302,0)),"미등록사번"))</f>
        <v/>
      </c>
      <c r="D1904" s="9"/>
      <c r="E1904" s="15" t="str">
        <f aca="false">IF($D1904="","",IFERROR(INDEX(교육과정!$B$3:$B$102,MATCH($D1904,교육과정!$A$3:$A$102,0)),"미등록과정"))</f>
        <v/>
      </c>
      <c r="F1904" s="13"/>
      <c r="G1904" s="9"/>
      <c r="H1904" s="9"/>
    </row>
    <row r="1905" customFormat="false" ht="15" hidden="false" customHeight="true" outlineLevel="0" collapsed="false">
      <c r="A1905" s="11"/>
      <c r="B1905" s="9"/>
      <c r="C1905" s="15" t="str">
        <f aca="false">IF($B1905="","",IFERROR(INDEX(직원목록!$B$3:$B$302,MATCH($B1905,직원목록!$A$3:$A$302,0)),"미등록사번"))</f>
        <v/>
      </c>
      <c r="D1905" s="9"/>
      <c r="E1905" s="15" t="str">
        <f aca="false">IF($D1905="","",IFERROR(INDEX(교육과정!$B$3:$B$102,MATCH($D1905,교육과정!$A$3:$A$102,0)),"미등록과정"))</f>
        <v/>
      </c>
      <c r="F1905" s="13"/>
      <c r="G1905" s="9"/>
      <c r="H1905" s="9"/>
    </row>
    <row r="1906" customFormat="false" ht="15" hidden="false" customHeight="true" outlineLevel="0" collapsed="false">
      <c r="A1906" s="11"/>
      <c r="B1906" s="9"/>
      <c r="C1906" s="15" t="str">
        <f aca="false">IF($B1906="","",IFERROR(INDEX(직원목록!$B$3:$B$302,MATCH($B1906,직원목록!$A$3:$A$302,0)),"미등록사번"))</f>
        <v/>
      </c>
      <c r="D1906" s="9"/>
      <c r="E1906" s="15" t="str">
        <f aca="false">IF($D1906="","",IFERROR(INDEX(교육과정!$B$3:$B$102,MATCH($D1906,교육과정!$A$3:$A$102,0)),"미등록과정"))</f>
        <v/>
      </c>
      <c r="F1906" s="13"/>
      <c r="G1906" s="9"/>
      <c r="H1906" s="9"/>
    </row>
    <row r="1907" customFormat="false" ht="15" hidden="false" customHeight="true" outlineLevel="0" collapsed="false">
      <c r="A1907" s="11"/>
      <c r="B1907" s="9"/>
      <c r="C1907" s="15" t="str">
        <f aca="false">IF($B1907="","",IFERROR(INDEX(직원목록!$B$3:$B$302,MATCH($B1907,직원목록!$A$3:$A$302,0)),"미등록사번"))</f>
        <v/>
      </c>
      <c r="D1907" s="9"/>
      <c r="E1907" s="15" t="str">
        <f aca="false">IF($D1907="","",IFERROR(INDEX(교육과정!$B$3:$B$102,MATCH($D1907,교육과정!$A$3:$A$102,0)),"미등록과정"))</f>
        <v/>
      </c>
      <c r="F1907" s="13"/>
      <c r="G1907" s="9"/>
      <c r="H1907" s="9"/>
    </row>
    <row r="1908" customFormat="false" ht="15" hidden="false" customHeight="true" outlineLevel="0" collapsed="false">
      <c r="A1908" s="11"/>
      <c r="B1908" s="9"/>
      <c r="C1908" s="15" t="str">
        <f aca="false">IF($B1908="","",IFERROR(INDEX(직원목록!$B$3:$B$302,MATCH($B1908,직원목록!$A$3:$A$302,0)),"미등록사번"))</f>
        <v/>
      </c>
      <c r="D1908" s="9"/>
      <c r="E1908" s="15" t="str">
        <f aca="false">IF($D1908="","",IFERROR(INDEX(교육과정!$B$3:$B$102,MATCH($D1908,교육과정!$A$3:$A$102,0)),"미등록과정"))</f>
        <v/>
      </c>
      <c r="F1908" s="13"/>
      <c r="G1908" s="9"/>
      <c r="H1908" s="9"/>
    </row>
    <row r="1909" customFormat="false" ht="15" hidden="false" customHeight="true" outlineLevel="0" collapsed="false">
      <c r="A1909" s="11"/>
      <c r="B1909" s="9"/>
      <c r="C1909" s="15" t="str">
        <f aca="false">IF($B1909="","",IFERROR(INDEX(직원목록!$B$3:$B$302,MATCH($B1909,직원목록!$A$3:$A$302,0)),"미등록사번"))</f>
        <v/>
      </c>
      <c r="D1909" s="9"/>
      <c r="E1909" s="15" t="str">
        <f aca="false">IF($D1909="","",IFERROR(INDEX(교육과정!$B$3:$B$102,MATCH($D1909,교육과정!$A$3:$A$102,0)),"미등록과정"))</f>
        <v/>
      </c>
      <c r="F1909" s="13"/>
      <c r="G1909" s="9"/>
      <c r="H1909" s="9"/>
    </row>
    <row r="1910" customFormat="false" ht="15" hidden="false" customHeight="true" outlineLevel="0" collapsed="false">
      <c r="A1910" s="11"/>
      <c r="B1910" s="9"/>
      <c r="C1910" s="15" t="str">
        <f aca="false">IF($B1910="","",IFERROR(INDEX(직원목록!$B$3:$B$302,MATCH($B1910,직원목록!$A$3:$A$302,0)),"미등록사번"))</f>
        <v/>
      </c>
      <c r="D1910" s="9"/>
      <c r="E1910" s="15" t="str">
        <f aca="false">IF($D1910="","",IFERROR(INDEX(교육과정!$B$3:$B$102,MATCH($D1910,교육과정!$A$3:$A$102,0)),"미등록과정"))</f>
        <v/>
      </c>
      <c r="F1910" s="13"/>
      <c r="G1910" s="9"/>
      <c r="H1910" s="9"/>
    </row>
    <row r="1911" customFormat="false" ht="15" hidden="false" customHeight="true" outlineLevel="0" collapsed="false">
      <c r="A1911" s="11"/>
      <c r="B1911" s="9"/>
      <c r="C1911" s="15" t="str">
        <f aca="false">IF($B1911="","",IFERROR(INDEX(직원목록!$B$3:$B$302,MATCH($B1911,직원목록!$A$3:$A$302,0)),"미등록사번"))</f>
        <v/>
      </c>
      <c r="D1911" s="9"/>
      <c r="E1911" s="15" t="str">
        <f aca="false">IF($D1911="","",IFERROR(INDEX(교육과정!$B$3:$B$102,MATCH($D1911,교육과정!$A$3:$A$102,0)),"미등록과정"))</f>
        <v/>
      </c>
      <c r="F1911" s="13"/>
      <c r="G1911" s="9"/>
      <c r="H1911" s="9"/>
    </row>
    <row r="1912" customFormat="false" ht="15" hidden="false" customHeight="true" outlineLevel="0" collapsed="false">
      <c r="A1912" s="11"/>
      <c r="B1912" s="9"/>
      <c r="C1912" s="15" t="str">
        <f aca="false">IF($B1912="","",IFERROR(INDEX(직원목록!$B$3:$B$302,MATCH($B1912,직원목록!$A$3:$A$302,0)),"미등록사번"))</f>
        <v/>
      </c>
      <c r="D1912" s="9"/>
      <c r="E1912" s="15" t="str">
        <f aca="false">IF($D1912="","",IFERROR(INDEX(교육과정!$B$3:$B$102,MATCH($D1912,교육과정!$A$3:$A$102,0)),"미등록과정"))</f>
        <v/>
      </c>
      <c r="F1912" s="13"/>
      <c r="G1912" s="9"/>
      <c r="H1912" s="9"/>
    </row>
    <row r="1913" customFormat="false" ht="15" hidden="false" customHeight="true" outlineLevel="0" collapsed="false">
      <c r="A1913" s="11"/>
      <c r="B1913" s="9"/>
      <c r="C1913" s="15" t="str">
        <f aca="false">IF($B1913="","",IFERROR(INDEX(직원목록!$B$3:$B$302,MATCH($B1913,직원목록!$A$3:$A$302,0)),"미등록사번"))</f>
        <v/>
      </c>
      <c r="D1913" s="9"/>
      <c r="E1913" s="15" t="str">
        <f aca="false">IF($D1913="","",IFERROR(INDEX(교육과정!$B$3:$B$102,MATCH($D1913,교육과정!$A$3:$A$102,0)),"미등록과정"))</f>
        <v/>
      </c>
      <c r="F1913" s="13"/>
      <c r="G1913" s="9"/>
      <c r="H1913" s="9"/>
    </row>
    <row r="1914" customFormat="false" ht="15" hidden="false" customHeight="true" outlineLevel="0" collapsed="false">
      <c r="A1914" s="11"/>
      <c r="B1914" s="9"/>
      <c r="C1914" s="15" t="str">
        <f aca="false">IF($B1914="","",IFERROR(INDEX(직원목록!$B$3:$B$302,MATCH($B1914,직원목록!$A$3:$A$302,0)),"미등록사번"))</f>
        <v/>
      </c>
      <c r="D1914" s="9"/>
      <c r="E1914" s="15" t="str">
        <f aca="false">IF($D1914="","",IFERROR(INDEX(교육과정!$B$3:$B$102,MATCH($D1914,교육과정!$A$3:$A$102,0)),"미등록과정"))</f>
        <v/>
      </c>
      <c r="F1914" s="13"/>
      <c r="G1914" s="9"/>
      <c r="H1914" s="9"/>
    </row>
    <row r="1915" customFormat="false" ht="15" hidden="false" customHeight="true" outlineLevel="0" collapsed="false">
      <c r="A1915" s="11"/>
      <c r="B1915" s="9"/>
      <c r="C1915" s="15" t="str">
        <f aca="false">IF($B1915="","",IFERROR(INDEX(직원목록!$B$3:$B$302,MATCH($B1915,직원목록!$A$3:$A$302,0)),"미등록사번"))</f>
        <v/>
      </c>
      <c r="D1915" s="9"/>
      <c r="E1915" s="15" t="str">
        <f aca="false">IF($D1915="","",IFERROR(INDEX(교육과정!$B$3:$B$102,MATCH($D1915,교육과정!$A$3:$A$102,0)),"미등록과정"))</f>
        <v/>
      </c>
      <c r="F1915" s="13"/>
      <c r="G1915" s="9"/>
      <c r="H1915" s="9"/>
    </row>
    <row r="1916" customFormat="false" ht="15" hidden="false" customHeight="true" outlineLevel="0" collapsed="false">
      <c r="A1916" s="11"/>
      <c r="B1916" s="9"/>
      <c r="C1916" s="15" t="str">
        <f aca="false">IF($B1916="","",IFERROR(INDEX(직원목록!$B$3:$B$302,MATCH($B1916,직원목록!$A$3:$A$302,0)),"미등록사번"))</f>
        <v/>
      </c>
      <c r="D1916" s="9"/>
      <c r="E1916" s="15" t="str">
        <f aca="false">IF($D1916="","",IFERROR(INDEX(교육과정!$B$3:$B$102,MATCH($D1916,교육과정!$A$3:$A$102,0)),"미등록과정"))</f>
        <v/>
      </c>
      <c r="F1916" s="13"/>
      <c r="G1916" s="9"/>
      <c r="H1916" s="9"/>
    </row>
    <row r="1917" customFormat="false" ht="15" hidden="false" customHeight="true" outlineLevel="0" collapsed="false">
      <c r="A1917" s="11"/>
      <c r="B1917" s="9"/>
      <c r="C1917" s="15" t="str">
        <f aca="false">IF($B1917="","",IFERROR(INDEX(직원목록!$B$3:$B$302,MATCH($B1917,직원목록!$A$3:$A$302,0)),"미등록사번"))</f>
        <v/>
      </c>
      <c r="D1917" s="9"/>
      <c r="E1917" s="15" t="str">
        <f aca="false">IF($D1917="","",IFERROR(INDEX(교육과정!$B$3:$B$102,MATCH($D1917,교육과정!$A$3:$A$102,0)),"미등록과정"))</f>
        <v/>
      </c>
      <c r="F1917" s="13"/>
      <c r="G1917" s="9"/>
      <c r="H1917" s="9"/>
    </row>
    <row r="1918" customFormat="false" ht="15" hidden="false" customHeight="true" outlineLevel="0" collapsed="false">
      <c r="A1918" s="11"/>
      <c r="B1918" s="9"/>
      <c r="C1918" s="15" t="str">
        <f aca="false">IF($B1918="","",IFERROR(INDEX(직원목록!$B$3:$B$302,MATCH($B1918,직원목록!$A$3:$A$302,0)),"미등록사번"))</f>
        <v/>
      </c>
      <c r="D1918" s="9"/>
      <c r="E1918" s="15" t="str">
        <f aca="false">IF($D1918="","",IFERROR(INDEX(교육과정!$B$3:$B$102,MATCH($D1918,교육과정!$A$3:$A$102,0)),"미등록과정"))</f>
        <v/>
      </c>
      <c r="F1918" s="13"/>
      <c r="G1918" s="9"/>
      <c r="H1918" s="9"/>
    </row>
    <row r="1919" customFormat="false" ht="15" hidden="false" customHeight="true" outlineLevel="0" collapsed="false">
      <c r="A1919" s="11"/>
      <c r="B1919" s="9"/>
      <c r="C1919" s="15" t="str">
        <f aca="false">IF($B1919="","",IFERROR(INDEX(직원목록!$B$3:$B$302,MATCH($B1919,직원목록!$A$3:$A$302,0)),"미등록사번"))</f>
        <v/>
      </c>
      <c r="D1919" s="9"/>
      <c r="E1919" s="15" t="str">
        <f aca="false">IF($D1919="","",IFERROR(INDEX(교육과정!$B$3:$B$102,MATCH($D1919,교육과정!$A$3:$A$102,0)),"미등록과정"))</f>
        <v/>
      </c>
      <c r="F1919" s="13"/>
      <c r="G1919" s="9"/>
      <c r="H1919" s="9"/>
    </row>
    <row r="1920" customFormat="false" ht="15" hidden="false" customHeight="true" outlineLevel="0" collapsed="false">
      <c r="A1920" s="11"/>
      <c r="B1920" s="9"/>
      <c r="C1920" s="15" t="str">
        <f aca="false">IF($B1920="","",IFERROR(INDEX(직원목록!$B$3:$B$302,MATCH($B1920,직원목록!$A$3:$A$302,0)),"미등록사번"))</f>
        <v/>
      </c>
      <c r="D1920" s="9"/>
      <c r="E1920" s="15" t="str">
        <f aca="false">IF($D1920="","",IFERROR(INDEX(교육과정!$B$3:$B$102,MATCH($D1920,교육과정!$A$3:$A$102,0)),"미등록과정"))</f>
        <v/>
      </c>
      <c r="F1920" s="13"/>
      <c r="G1920" s="9"/>
      <c r="H1920" s="9"/>
    </row>
    <row r="1921" customFormat="false" ht="15" hidden="false" customHeight="true" outlineLevel="0" collapsed="false">
      <c r="A1921" s="11"/>
      <c r="B1921" s="9"/>
      <c r="C1921" s="15" t="str">
        <f aca="false">IF($B1921="","",IFERROR(INDEX(직원목록!$B$3:$B$302,MATCH($B1921,직원목록!$A$3:$A$302,0)),"미등록사번"))</f>
        <v/>
      </c>
      <c r="D1921" s="9"/>
      <c r="E1921" s="15" t="str">
        <f aca="false">IF($D1921="","",IFERROR(INDEX(교육과정!$B$3:$B$102,MATCH($D1921,교육과정!$A$3:$A$102,0)),"미등록과정"))</f>
        <v/>
      </c>
      <c r="F1921" s="13"/>
      <c r="G1921" s="9"/>
      <c r="H1921" s="9"/>
    </row>
    <row r="1922" customFormat="false" ht="15" hidden="false" customHeight="true" outlineLevel="0" collapsed="false">
      <c r="A1922" s="11"/>
      <c r="B1922" s="9"/>
      <c r="C1922" s="15" t="str">
        <f aca="false">IF($B1922="","",IFERROR(INDEX(직원목록!$B$3:$B$302,MATCH($B1922,직원목록!$A$3:$A$302,0)),"미등록사번"))</f>
        <v/>
      </c>
      <c r="D1922" s="9"/>
      <c r="E1922" s="15" t="str">
        <f aca="false">IF($D1922="","",IFERROR(INDEX(교육과정!$B$3:$B$102,MATCH($D1922,교육과정!$A$3:$A$102,0)),"미등록과정"))</f>
        <v/>
      </c>
      <c r="F1922" s="13"/>
      <c r="G1922" s="9"/>
      <c r="H1922" s="9"/>
    </row>
    <row r="1923" customFormat="false" ht="15" hidden="false" customHeight="true" outlineLevel="0" collapsed="false">
      <c r="A1923" s="11"/>
      <c r="B1923" s="9"/>
      <c r="C1923" s="15" t="str">
        <f aca="false">IF($B1923="","",IFERROR(INDEX(직원목록!$B$3:$B$302,MATCH($B1923,직원목록!$A$3:$A$302,0)),"미등록사번"))</f>
        <v/>
      </c>
      <c r="D1923" s="9"/>
      <c r="E1923" s="15" t="str">
        <f aca="false">IF($D1923="","",IFERROR(INDEX(교육과정!$B$3:$B$102,MATCH($D1923,교육과정!$A$3:$A$102,0)),"미등록과정"))</f>
        <v/>
      </c>
      <c r="F1923" s="13"/>
      <c r="G1923" s="9"/>
      <c r="H1923" s="9"/>
    </row>
    <row r="1924" customFormat="false" ht="15" hidden="false" customHeight="true" outlineLevel="0" collapsed="false">
      <c r="A1924" s="11"/>
      <c r="B1924" s="9"/>
      <c r="C1924" s="15" t="str">
        <f aca="false">IF($B1924="","",IFERROR(INDEX(직원목록!$B$3:$B$302,MATCH($B1924,직원목록!$A$3:$A$302,0)),"미등록사번"))</f>
        <v/>
      </c>
      <c r="D1924" s="9"/>
      <c r="E1924" s="15" t="str">
        <f aca="false">IF($D1924="","",IFERROR(INDEX(교육과정!$B$3:$B$102,MATCH($D1924,교육과정!$A$3:$A$102,0)),"미등록과정"))</f>
        <v/>
      </c>
      <c r="F1924" s="13"/>
      <c r="G1924" s="9"/>
      <c r="H1924" s="9"/>
    </row>
    <row r="1925" customFormat="false" ht="15" hidden="false" customHeight="true" outlineLevel="0" collapsed="false">
      <c r="A1925" s="11"/>
      <c r="B1925" s="9"/>
      <c r="C1925" s="15" t="str">
        <f aca="false">IF($B1925="","",IFERROR(INDEX(직원목록!$B$3:$B$302,MATCH($B1925,직원목록!$A$3:$A$302,0)),"미등록사번"))</f>
        <v/>
      </c>
      <c r="D1925" s="9"/>
      <c r="E1925" s="15" t="str">
        <f aca="false">IF($D1925="","",IFERROR(INDEX(교육과정!$B$3:$B$102,MATCH($D1925,교육과정!$A$3:$A$102,0)),"미등록과정"))</f>
        <v/>
      </c>
      <c r="F1925" s="13"/>
      <c r="G1925" s="9"/>
      <c r="H1925" s="9"/>
    </row>
    <row r="1926" customFormat="false" ht="15" hidden="false" customHeight="true" outlineLevel="0" collapsed="false">
      <c r="A1926" s="11"/>
      <c r="B1926" s="9"/>
      <c r="C1926" s="15" t="str">
        <f aca="false">IF($B1926="","",IFERROR(INDEX(직원목록!$B$3:$B$302,MATCH($B1926,직원목록!$A$3:$A$302,0)),"미등록사번"))</f>
        <v/>
      </c>
      <c r="D1926" s="9"/>
      <c r="E1926" s="15" t="str">
        <f aca="false">IF($D1926="","",IFERROR(INDEX(교육과정!$B$3:$B$102,MATCH($D1926,교육과정!$A$3:$A$102,0)),"미등록과정"))</f>
        <v/>
      </c>
      <c r="F1926" s="13"/>
      <c r="G1926" s="9"/>
      <c r="H1926" s="9"/>
    </row>
    <row r="1927" customFormat="false" ht="15" hidden="false" customHeight="true" outlineLevel="0" collapsed="false">
      <c r="A1927" s="11"/>
      <c r="B1927" s="9"/>
      <c r="C1927" s="15" t="str">
        <f aca="false">IF($B1927="","",IFERROR(INDEX(직원목록!$B$3:$B$302,MATCH($B1927,직원목록!$A$3:$A$302,0)),"미등록사번"))</f>
        <v/>
      </c>
      <c r="D1927" s="9"/>
      <c r="E1927" s="15" t="str">
        <f aca="false">IF($D1927="","",IFERROR(INDEX(교육과정!$B$3:$B$102,MATCH($D1927,교육과정!$A$3:$A$102,0)),"미등록과정"))</f>
        <v/>
      </c>
      <c r="F1927" s="13"/>
      <c r="G1927" s="9"/>
      <c r="H1927" s="9"/>
    </row>
    <row r="1928" customFormat="false" ht="15" hidden="false" customHeight="true" outlineLevel="0" collapsed="false">
      <c r="A1928" s="11"/>
      <c r="B1928" s="9"/>
      <c r="C1928" s="15" t="str">
        <f aca="false">IF($B1928="","",IFERROR(INDEX(직원목록!$B$3:$B$302,MATCH($B1928,직원목록!$A$3:$A$302,0)),"미등록사번"))</f>
        <v/>
      </c>
      <c r="D1928" s="9"/>
      <c r="E1928" s="15" t="str">
        <f aca="false">IF($D1928="","",IFERROR(INDEX(교육과정!$B$3:$B$102,MATCH($D1928,교육과정!$A$3:$A$102,0)),"미등록과정"))</f>
        <v/>
      </c>
      <c r="F1928" s="13"/>
      <c r="G1928" s="9"/>
      <c r="H1928" s="9"/>
    </row>
    <row r="1929" customFormat="false" ht="15" hidden="false" customHeight="true" outlineLevel="0" collapsed="false">
      <c r="A1929" s="11"/>
      <c r="B1929" s="9"/>
      <c r="C1929" s="15" t="str">
        <f aca="false">IF($B1929="","",IFERROR(INDEX(직원목록!$B$3:$B$302,MATCH($B1929,직원목록!$A$3:$A$302,0)),"미등록사번"))</f>
        <v/>
      </c>
      <c r="D1929" s="9"/>
      <c r="E1929" s="15" t="str">
        <f aca="false">IF($D1929="","",IFERROR(INDEX(교육과정!$B$3:$B$102,MATCH($D1929,교육과정!$A$3:$A$102,0)),"미등록과정"))</f>
        <v/>
      </c>
      <c r="F1929" s="13"/>
      <c r="G1929" s="9"/>
      <c r="H1929" s="9"/>
    </row>
    <row r="1930" customFormat="false" ht="15" hidden="false" customHeight="true" outlineLevel="0" collapsed="false">
      <c r="A1930" s="11"/>
      <c r="B1930" s="9"/>
      <c r="C1930" s="15" t="str">
        <f aca="false">IF($B1930="","",IFERROR(INDEX(직원목록!$B$3:$B$302,MATCH($B1930,직원목록!$A$3:$A$302,0)),"미등록사번"))</f>
        <v/>
      </c>
      <c r="D1930" s="9"/>
      <c r="E1930" s="15" t="str">
        <f aca="false">IF($D1930="","",IFERROR(INDEX(교육과정!$B$3:$B$102,MATCH($D1930,교육과정!$A$3:$A$102,0)),"미등록과정"))</f>
        <v/>
      </c>
      <c r="F1930" s="13"/>
      <c r="G1930" s="9"/>
      <c r="H1930" s="9"/>
    </row>
    <row r="1931" customFormat="false" ht="15" hidden="false" customHeight="true" outlineLevel="0" collapsed="false">
      <c r="A1931" s="11"/>
      <c r="B1931" s="9"/>
      <c r="C1931" s="15" t="str">
        <f aca="false">IF($B1931="","",IFERROR(INDEX(직원목록!$B$3:$B$302,MATCH($B1931,직원목록!$A$3:$A$302,0)),"미등록사번"))</f>
        <v/>
      </c>
      <c r="D1931" s="9"/>
      <c r="E1931" s="15" t="str">
        <f aca="false">IF($D1931="","",IFERROR(INDEX(교육과정!$B$3:$B$102,MATCH($D1931,교육과정!$A$3:$A$102,0)),"미등록과정"))</f>
        <v/>
      </c>
      <c r="F1931" s="13"/>
      <c r="G1931" s="9"/>
      <c r="H1931" s="9"/>
    </row>
    <row r="1932" customFormat="false" ht="15" hidden="false" customHeight="true" outlineLevel="0" collapsed="false">
      <c r="A1932" s="11"/>
      <c r="B1932" s="9"/>
      <c r="C1932" s="15" t="str">
        <f aca="false">IF($B1932="","",IFERROR(INDEX(직원목록!$B$3:$B$302,MATCH($B1932,직원목록!$A$3:$A$302,0)),"미등록사번"))</f>
        <v/>
      </c>
      <c r="D1932" s="9"/>
      <c r="E1932" s="15" t="str">
        <f aca="false">IF($D1932="","",IFERROR(INDEX(교육과정!$B$3:$B$102,MATCH($D1932,교육과정!$A$3:$A$102,0)),"미등록과정"))</f>
        <v/>
      </c>
      <c r="F1932" s="13"/>
      <c r="G1932" s="9"/>
      <c r="H1932" s="9"/>
    </row>
    <row r="1933" customFormat="false" ht="15" hidden="false" customHeight="true" outlineLevel="0" collapsed="false">
      <c r="A1933" s="11"/>
      <c r="B1933" s="9"/>
      <c r="C1933" s="15" t="str">
        <f aca="false">IF($B1933="","",IFERROR(INDEX(직원목록!$B$3:$B$302,MATCH($B1933,직원목록!$A$3:$A$302,0)),"미등록사번"))</f>
        <v/>
      </c>
      <c r="D1933" s="9"/>
      <c r="E1933" s="15" t="str">
        <f aca="false">IF($D1933="","",IFERROR(INDEX(교육과정!$B$3:$B$102,MATCH($D1933,교육과정!$A$3:$A$102,0)),"미등록과정"))</f>
        <v/>
      </c>
      <c r="F1933" s="13"/>
      <c r="G1933" s="9"/>
      <c r="H1933" s="9"/>
    </row>
    <row r="1934" customFormat="false" ht="15" hidden="false" customHeight="true" outlineLevel="0" collapsed="false">
      <c r="A1934" s="11"/>
      <c r="B1934" s="9"/>
      <c r="C1934" s="15" t="str">
        <f aca="false">IF($B1934="","",IFERROR(INDEX(직원목록!$B$3:$B$302,MATCH($B1934,직원목록!$A$3:$A$302,0)),"미등록사번"))</f>
        <v/>
      </c>
      <c r="D1934" s="9"/>
      <c r="E1934" s="15" t="str">
        <f aca="false">IF($D1934="","",IFERROR(INDEX(교육과정!$B$3:$B$102,MATCH($D1934,교육과정!$A$3:$A$102,0)),"미등록과정"))</f>
        <v/>
      </c>
      <c r="F1934" s="13"/>
      <c r="G1934" s="9"/>
      <c r="H1934" s="9"/>
    </row>
    <row r="1935" customFormat="false" ht="15" hidden="false" customHeight="true" outlineLevel="0" collapsed="false">
      <c r="A1935" s="11"/>
      <c r="B1935" s="9"/>
      <c r="C1935" s="15" t="str">
        <f aca="false">IF($B1935="","",IFERROR(INDEX(직원목록!$B$3:$B$302,MATCH($B1935,직원목록!$A$3:$A$302,0)),"미등록사번"))</f>
        <v/>
      </c>
      <c r="D1935" s="9"/>
      <c r="E1935" s="15" t="str">
        <f aca="false">IF($D1935="","",IFERROR(INDEX(교육과정!$B$3:$B$102,MATCH($D1935,교육과정!$A$3:$A$102,0)),"미등록과정"))</f>
        <v/>
      </c>
      <c r="F1935" s="13"/>
      <c r="G1935" s="9"/>
      <c r="H1935" s="9"/>
    </row>
    <row r="1936" customFormat="false" ht="15" hidden="false" customHeight="true" outlineLevel="0" collapsed="false">
      <c r="A1936" s="11"/>
      <c r="B1936" s="9"/>
      <c r="C1936" s="15" t="str">
        <f aca="false">IF($B1936="","",IFERROR(INDEX(직원목록!$B$3:$B$302,MATCH($B1936,직원목록!$A$3:$A$302,0)),"미등록사번"))</f>
        <v/>
      </c>
      <c r="D1936" s="9"/>
      <c r="E1936" s="15" t="str">
        <f aca="false">IF($D1936="","",IFERROR(INDEX(교육과정!$B$3:$B$102,MATCH($D1936,교육과정!$A$3:$A$102,0)),"미등록과정"))</f>
        <v/>
      </c>
      <c r="F1936" s="13"/>
      <c r="G1936" s="9"/>
      <c r="H1936" s="9"/>
    </row>
    <row r="1937" customFormat="false" ht="15" hidden="false" customHeight="true" outlineLevel="0" collapsed="false">
      <c r="A1937" s="11"/>
      <c r="B1937" s="9"/>
      <c r="C1937" s="15" t="str">
        <f aca="false">IF($B1937="","",IFERROR(INDEX(직원목록!$B$3:$B$302,MATCH($B1937,직원목록!$A$3:$A$302,0)),"미등록사번"))</f>
        <v/>
      </c>
      <c r="D1937" s="9"/>
      <c r="E1937" s="15" t="str">
        <f aca="false">IF($D1937="","",IFERROR(INDEX(교육과정!$B$3:$B$102,MATCH($D1937,교육과정!$A$3:$A$102,0)),"미등록과정"))</f>
        <v/>
      </c>
      <c r="F1937" s="13"/>
      <c r="G1937" s="9"/>
      <c r="H1937" s="9"/>
    </row>
    <row r="1938" customFormat="false" ht="15" hidden="false" customHeight="true" outlineLevel="0" collapsed="false">
      <c r="A1938" s="11"/>
      <c r="B1938" s="9"/>
      <c r="C1938" s="15" t="str">
        <f aca="false">IF($B1938="","",IFERROR(INDEX(직원목록!$B$3:$B$302,MATCH($B1938,직원목록!$A$3:$A$302,0)),"미등록사번"))</f>
        <v/>
      </c>
      <c r="D1938" s="9"/>
      <c r="E1938" s="15" t="str">
        <f aca="false">IF($D1938="","",IFERROR(INDEX(교육과정!$B$3:$B$102,MATCH($D1938,교육과정!$A$3:$A$102,0)),"미등록과정"))</f>
        <v/>
      </c>
      <c r="F1938" s="13"/>
      <c r="G1938" s="9"/>
      <c r="H1938" s="9"/>
    </row>
    <row r="1939" customFormat="false" ht="15" hidden="false" customHeight="true" outlineLevel="0" collapsed="false">
      <c r="A1939" s="11"/>
      <c r="B1939" s="9"/>
      <c r="C1939" s="15" t="str">
        <f aca="false">IF($B1939="","",IFERROR(INDEX(직원목록!$B$3:$B$302,MATCH($B1939,직원목록!$A$3:$A$302,0)),"미등록사번"))</f>
        <v/>
      </c>
      <c r="D1939" s="9"/>
      <c r="E1939" s="15" t="str">
        <f aca="false">IF($D1939="","",IFERROR(INDEX(교육과정!$B$3:$B$102,MATCH($D1939,교육과정!$A$3:$A$102,0)),"미등록과정"))</f>
        <v/>
      </c>
      <c r="F1939" s="13"/>
      <c r="G1939" s="9"/>
      <c r="H1939" s="9"/>
    </row>
    <row r="1940" customFormat="false" ht="15" hidden="false" customHeight="true" outlineLevel="0" collapsed="false">
      <c r="A1940" s="11"/>
      <c r="B1940" s="9"/>
      <c r="C1940" s="15" t="str">
        <f aca="false">IF($B1940="","",IFERROR(INDEX(직원목록!$B$3:$B$302,MATCH($B1940,직원목록!$A$3:$A$302,0)),"미등록사번"))</f>
        <v/>
      </c>
      <c r="D1940" s="9"/>
      <c r="E1940" s="15" t="str">
        <f aca="false">IF($D1940="","",IFERROR(INDEX(교육과정!$B$3:$B$102,MATCH($D1940,교육과정!$A$3:$A$102,0)),"미등록과정"))</f>
        <v/>
      </c>
      <c r="F1940" s="13"/>
      <c r="G1940" s="9"/>
      <c r="H1940" s="9"/>
    </row>
    <row r="1941" customFormat="false" ht="15" hidden="false" customHeight="true" outlineLevel="0" collapsed="false">
      <c r="A1941" s="11"/>
      <c r="B1941" s="9"/>
      <c r="C1941" s="15" t="str">
        <f aca="false">IF($B1941="","",IFERROR(INDEX(직원목록!$B$3:$B$302,MATCH($B1941,직원목록!$A$3:$A$302,0)),"미등록사번"))</f>
        <v/>
      </c>
      <c r="D1941" s="9"/>
      <c r="E1941" s="15" t="str">
        <f aca="false">IF($D1941="","",IFERROR(INDEX(교육과정!$B$3:$B$102,MATCH($D1941,교육과정!$A$3:$A$102,0)),"미등록과정"))</f>
        <v/>
      </c>
      <c r="F1941" s="13"/>
      <c r="G1941" s="9"/>
      <c r="H1941" s="9"/>
    </row>
    <row r="1942" customFormat="false" ht="15" hidden="false" customHeight="true" outlineLevel="0" collapsed="false">
      <c r="A1942" s="11"/>
      <c r="B1942" s="9"/>
      <c r="C1942" s="15" t="str">
        <f aca="false">IF($B1942="","",IFERROR(INDEX(직원목록!$B$3:$B$302,MATCH($B1942,직원목록!$A$3:$A$302,0)),"미등록사번"))</f>
        <v/>
      </c>
      <c r="D1942" s="9"/>
      <c r="E1942" s="15" t="str">
        <f aca="false">IF($D1942="","",IFERROR(INDEX(교육과정!$B$3:$B$102,MATCH($D1942,교육과정!$A$3:$A$102,0)),"미등록과정"))</f>
        <v/>
      </c>
      <c r="F1942" s="13"/>
      <c r="G1942" s="9"/>
      <c r="H1942" s="9"/>
    </row>
    <row r="1943" customFormat="false" ht="15" hidden="false" customHeight="true" outlineLevel="0" collapsed="false">
      <c r="A1943" s="11"/>
      <c r="B1943" s="9"/>
      <c r="C1943" s="15" t="str">
        <f aca="false">IF($B1943="","",IFERROR(INDEX(직원목록!$B$3:$B$302,MATCH($B1943,직원목록!$A$3:$A$302,0)),"미등록사번"))</f>
        <v/>
      </c>
      <c r="D1943" s="9"/>
      <c r="E1943" s="15" t="str">
        <f aca="false">IF($D1943="","",IFERROR(INDEX(교육과정!$B$3:$B$102,MATCH($D1943,교육과정!$A$3:$A$102,0)),"미등록과정"))</f>
        <v/>
      </c>
      <c r="F1943" s="13"/>
      <c r="G1943" s="9"/>
      <c r="H1943" s="9"/>
    </row>
    <row r="1944" customFormat="false" ht="15" hidden="false" customHeight="true" outlineLevel="0" collapsed="false">
      <c r="A1944" s="11"/>
      <c r="B1944" s="9"/>
      <c r="C1944" s="15" t="str">
        <f aca="false">IF($B1944="","",IFERROR(INDEX(직원목록!$B$3:$B$302,MATCH($B1944,직원목록!$A$3:$A$302,0)),"미등록사번"))</f>
        <v/>
      </c>
      <c r="D1944" s="9"/>
      <c r="E1944" s="15" t="str">
        <f aca="false">IF($D1944="","",IFERROR(INDEX(교육과정!$B$3:$B$102,MATCH($D1944,교육과정!$A$3:$A$102,0)),"미등록과정"))</f>
        <v/>
      </c>
      <c r="F1944" s="13"/>
      <c r="G1944" s="9"/>
      <c r="H1944" s="9"/>
    </row>
    <row r="1945" customFormat="false" ht="15" hidden="false" customHeight="true" outlineLevel="0" collapsed="false">
      <c r="A1945" s="11"/>
      <c r="B1945" s="9"/>
      <c r="C1945" s="15" t="str">
        <f aca="false">IF($B1945="","",IFERROR(INDEX(직원목록!$B$3:$B$302,MATCH($B1945,직원목록!$A$3:$A$302,0)),"미등록사번"))</f>
        <v/>
      </c>
      <c r="D1945" s="9"/>
      <c r="E1945" s="15" t="str">
        <f aca="false">IF($D1945="","",IFERROR(INDEX(교육과정!$B$3:$B$102,MATCH($D1945,교육과정!$A$3:$A$102,0)),"미등록과정"))</f>
        <v/>
      </c>
      <c r="F1945" s="13"/>
      <c r="G1945" s="9"/>
      <c r="H1945" s="9"/>
    </row>
    <row r="1946" customFormat="false" ht="15" hidden="false" customHeight="true" outlineLevel="0" collapsed="false">
      <c r="A1946" s="11"/>
      <c r="B1946" s="9"/>
      <c r="C1946" s="15" t="str">
        <f aca="false">IF($B1946="","",IFERROR(INDEX(직원목록!$B$3:$B$302,MATCH($B1946,직원목록!$A$3:$A$302,0)),"미등록사번"))</f>
        <v/>
      </c>
      <c r="D1946" s="9"/>
      <c r="E1946" s="15" t="str">
        <f aca="false">IF($D1946="","",IFERROR(INDEX(교육과정!$B$3:$B$102,MATCH($D1946,교육과정!$A$3:$A$102,0)),"미등록과정"))</f>
        <v/>
      </c>
      <c r="F1946" s="13"/>
      <c r="G1946" s="9"/>
      <c r="H1946" s="9"/>
    </row>
    <row r="1947" customFormat="false" ht="15" hidden="false" customHeight="true" outlineLevel="0" collapsed="false">
      <c r="A1947" s="11"/>
      <c r="B1947" s="9"/>
      <c r="C1947" s="15" t="str">
        <f aca="false">IF($B1947="","",IFERROR(INDEX(직원목록!$B$3:$B$302,MATCH($B1947,직원목록!$A$3:$A$302,0)),"미등록사번"))</f>
        <v/>
      </c>
      <c r="D1947" s="9"/>
      <c r="E1947" s="15" t="str">
        <f aca="false">IF($D1947="","",IFERROR(INDEX(교육과정!$B$3:$B$102,MATCH($D1947,교육과정!$A$3:$A$102,0)),"미등록과정"))</f>
        <v/>
      </c>
      <c r="F1947" s="13"/>
      <c r="G1947" s="9"/>
      <c r="H1947" s="9"/>
    </row>
    <row r="1948" customFormat="false" ht="15" hidden="false" customHeight="true" outlineLevel="0" collapsed="false">
      <c r="A1948" s="11"/>
      <c r="B1948" s="9"/>
      <c r="C1948" s="15" t="str">
        <f aca="false">IF($B1948="","",IFERROR(INDEX(직원목록!$B$3:$B$302,MATCH($B1948,직원목록!$A$3:$A$302,0)),"미등록사번"))</f>
        <v/>
      </c>
      <c r="D1948" s="9"/>
      <c r="E1948" s="15" t="str">
        <f aca="false">IF($D1948="","",IFERROR(INDEX(교육과정!$B$3:$B$102,MATCH($D1948,교육과정!$A$3:$A$102,0)),"미등록과정"))</f>
        <v/>
      </c>
      <c r="F1948" s="13"/>
      <c r="G1948" s="9"/>
      <c r="H1948" s="9"/>
    </row>
    <row r="1949" customFormat="false" ht="15" hidden="false" customHeight="true" outlineLevel="0" collapsed="false">
      <c r="A1949" s="11"/>
      <c r="B1949" s="9"/>
      <c r="C1949" s="15" t="str">
        <f aca="false">IF($B1949="","",IFERROR(INDEX(직원목록!$B$3:$B$302,MATCH($B1949,직원목록!$A$3:$A$302,0)),"미등록사번"))</f>
        <v/>
      </c>
      <c r="D1949" s="9"/>
      <c r="E1949" s="15" t="str">
        <f aca="false">IF($D1949="","",IFERROR(INDEX(교육과정!$B$3:$B$102,MATCH($D1949,교육과정!$A$3:$A$102,0)),"미등록과정"))</f>
        <v/>
      </c>
      <c r="F1949" s="13"/>
      <c r="G1949" s="9"/>
      <c r="H1949" s="9"/>
    </row>
    <row r="1950" customFormat="false" ht="15" hidden="false" customHeight="true" outlineLevel="0" collapsed="false">
      <c r="A1950" s="11"/>
      <c r="B1950" s="9"/>
      <c r="C1950" s="15" t="str">
        <f aca="false">IF($B1950="","",IFERROR(INDEX(직원목록!$B$3:$B$302,MATCH($B1950,직원목록!$A$3:$A$302,0)),"미등록사번"))</f>
        <v/>
      </c>
      <c r="D1950" s="9"/>
      <c r="E1950" s="15" t="str">
        <f aca="false">IF($D1950="","",IFERROR(INDEX(교육과정!$B$3:$B$102,MATCH($D1950,교육과정!$A$3:$A$102,0)),"미등록과정"))</f>
        <v/>
      </c>
      <c r="F1950" s="13"/>
      <c r="G1950" s="9"/>
      <c r="H1950" s="9"/>
    </row>
    <row r="1951" customFormat="false" ht="15" hidden="false" customHeight="true" outlineLevel="0" collapsed="false">
      <c r="A1951" s="11"/>
      <c r="B1951" s="9"/>
      <c r="C1951" s="15" t="str">
        <f aca="false">IF($B1951="","",IFERROR(INDEX(직원목록!$B$3:$B$302,MATCH($B1951,직원목록!$A$3:$A$302,0)),"미등록사번"))</f>
        <v/>
      </c>
      <c r="D1951" s="9"/>
      <c r="E1951" s="15" t="str">
        <f aca="false">IF($D1951="","",IFERROR(INDEX(교육과정!$B$3:$B$102,MATCH($D1951,교육과정!$A$3:$A$102,0)),"미등록과정"))</f>
        <v/>
      </c>
      <c r="F1951" s="13"/>
      <c r="G1951" s="9"/>
      <c r="H1951" s="9"/>
    </row>
    <row r="1952" customFormat="false" ht="15" hidden="false" customHeight="true" outlineLevel="0" collapsed="false">
      <c r="A1952" s="11"/>
      <c r="B1952" s="9"/>
      <c r="C1952" s="15" t="str">
        <f aca="false">IF($B1952="","",IFERROR(INDEX(직원목록!$B$3:$B$302,MATCH($B1952,직원목록!$A$3:$A$302,0)),"미등록사번"))</f>
        <v/>
      </c>
      <c r="D1952" s="9"/>
      <c r="E1952" s="15" t="str">
        <f aca="false">IF($D1952="","",IFERROR(INDEX(교육과정!$B$3:$B$102,MATCH($D1952,교육과정!$A$3:$A$102,0)),"미등록과정"))</f>
        <v/>
      </c>
      <c r="F1952" s="13"/>
      <c r="G1952" s="9"/>
      <c r="H1952" s="9"/>
    </row>
    <row r="1953" customFormat="false" ht="15" hidden="false" customHeight="true" outlineLevel="0" collapsed="false">
      <c r="A1953" s="11"/>
      <c r="B1953" s="9"/>
      <c r="C1953" s="15" t="str">
        <f aca="false">IF($B1953="","",IFERROR(INDEX(직원목록!$B$3:$B$302,MATCH($B1953,직원목록!$A$3:$A$302,0)),"미등록사번"))</f>
        <v/>
      </c>
      <c r="D1953" s="9"/>
      <c r="E1953" s="15" t="str">
        <f aca="false">IF($D1953="","",IFERROR(INDEX(교육과정!$B$3:$B$102,MATCH($D1953,교육과정!$A$3:$A$102,0)),"미등록과정"))</f>
        <v/>
      </c>
      <c r="F1953" s="13"/>
      <c r="G1953" s="9"/>
      <c r="H1953" s="9"/>
    </row>
    <row r="1954" customFormat="false" ht="15" hidden="false" customHeight="true" outlineLevel="0" collapsed="false">
      <c r="A1954" s="11"/>
      <c r="B1954" s="9"/>
      <c r="C1954" s="15" t="str">
        <f aca="false">IF($B1954="","",IFERROR(INDEX(직원목록!$B$3:$B$302,MATCH($B1954,직원목록!$A$3:$A$302,0)),"미등록사번"))</f>
        <v/>
      </c>
      <c r="D1954" s="9"/>
      <c r="E1954" s="15" t="str">
        <f aca="false">IF($D1954="","",IFERROR(INDEX(교육과정!$B$3:$B$102,MATCH($D1954,교육과정!$A$3:$A$102,0)),"미등록과정"))</f>
        <v/>
      </c>
      <c r="F1954" s="13"/>
      <c r="G1954" s="9"/>
      <c r="H1954" s="9"/>
    </row>
    <row r="1955" customFormat="false" ht="15" hidden="false" customHeight="true" outlineLevel="0" collapsed="false">
      <c r="A1955" s="11"/>
      <c r="B1955" s="9"/>
      <c r="C1955" s="15" t="str">
        <f aca="false">IF($B1955="","",IFERROR(INDEX(직원목록!$B$3:$B$302,MATCH($B1955,직원목록!$A$3:$A$302,0)),"미등록사번"))</f>
        <v/>
      </c>
      <c r="D1955" s="9"/>
      <c r="E1955" s="15" t="str">
        <f aca="false">IF($D1955="","",IFERROR(INDEX(교육과정!$B$3:$B$102,MATCH($D1955,교육과정!$A$3:$A$102,0)),"미등록과정"))</f>
        <v/>
      </c>
      <c r="F1955" s="13"/>
      <c r="G1955" s="9"/>
      <c r="H1955" s="9"/>
    </row>
    <row r="1956" customFormat="false" ht="15" hidden="false" customHeight="true" outlineLevel="0" collapsed="false">
      <c r="A1956" s="11"/>
      <c r="B1956" s="9"/>
      <c r="C1956" s="15" t="str">
        <f aca="false">IF($B1956="","",IFERROR(INDEX(직원목록!$B$3:$B$302,MATCH($B1956,직원목록!$A$3:$A$302,0)),"미등록사번"))</f>
        <v/>
      </c>
      <c r="D1956" s="9"/>
      <c r="E1956" s="15" t="str">
        <f aca="false">IF($D1956="","",IFERROR(INDEX(교육과정!$B$3:$B$102,MATCH($D1956,교육과정!$A$3:$A$102,0)),"미등록과정"))</f>
        <v/>
      </c>
      <c r="F1956" s="13"/>
      <c r="G1956" s="9"/>
      <c r="H1956" s="9"/>
    </row>
    <row r="1957" customFormat="false" ht="15" hidden="false" customHeight="true" outlineLevel="0" collapsed="false">
      <c r="A1957" s="11"/>
      <c r="B1957" s="9"/>
      <c r="C1957" s="15" t="str">
        <f aca="false">IF($B1957="","",IFERROR(INDEX(직원목록!$B$3:$B$302,MATCH($B1957,직원목록!$A$3:$A$302,0)),"미등록사번"))</f>
        <v/>
      </c>
      <c r="D1957" s="9"/>
      <c r="E1957" s="15" t="str">
        <f aca="false">IF($D1957="","",IFERROR(INDEX(교육과정!$B$3:$B$102,MATCH($D1957,교육과정!$A$3:$A$102,0)),"미등록과정"))</f>
        <v/>
      </c>
      <c r="F1957" s="13"/>
      <c r="G1957" s="9"/>
      <c r="H1957" s="9"/>
    </row>
    <row r="1958" customFormat="false" ht="15" hidden="false" customHeight="true" outlineLevel="0" collapsed="false">
      <c r="A1958" s="11"/>
      <c r="B1958" s="9"/>
      <c r="C1958" s="15" t="str">
        <f aca="false">IF($B1958="","",IFERROR(INDEX(직원목록!$B$3:$B$302,MATCH($B1958,직원목록!$A$3:$A$302,0)),"미등록사번"))</f>
        <v/>
      </c>
      <c r="D1958" s="9"/>
      <c r="E1958" s="15" t="str">
        <f aca="false">IF($D1958="","",IFERROR(INDEX(교육과정!$B$3:$B$102,MATCH($D1958,교육과정!$A$3:$A$102,0)),"미등록과정"))</f>
        <v/>
      </c>
      <c r="F1958" s="13"/>
      <c r="G1958" s="9"/>
      <c r="H1958" s="9"/>
    </row>
    <row r="1959" customFormat="false" ht="15" hidden="false" customHeight="true" outlineLevel="0" collapsed="false">
      <c r="A1959" s="11"/>
      <c r="B1959" s="9"/>
      <c r="C1959" s="15" t="str">
        <f aca="false">IF($B1959="","",IFERROR(INDEX(직원목록!$B$3:$B$302,MATCH($B1959,직원목록!$A$3:$A$302,0)),"미등록사번"))</f>
        <v/>
      </c>
      <c r="D1959" s="9"/>
      <c r="E1959" s="15" t="str">
        <f aca="false">IF($D1959="","",IFERROR(INDEX(교육과정!$B$3:$B$102,MATCH($D1959,교육과정!$A$3:$A$102,0)),"미등록과정"))</f>
        <v/>
      </c>
      <c r="F1959" s="13"/>
      <c r="G1959" s="9"/>
      <c r="H1959" s="9"/>
    </row>
    <row r="1960" customFormat="false" ht="15" hidden="false" customHeight="true" outlineLevel="0" collapsed="false">
      <c r="A1960" s="11"/>
      <c r="B1960" s="9"/>
      <c r="C1960" s="15" t="str">
        <f aca="false">IF($B1960="","",IFERROR(INDEX(직원목록!$B$3:$B$302,MATCH($B1960,직원목록!$A$3:$A$302,0)),"미등록사번"))</f>
        <v/>
      </c>
      <c r="D1960" s="9"/>
      <c r="E1960" s="15" t="str">
        <f aca="false">IF($D1960="","",IFERROR(INDEX(교육과정!$B$3:$B$102,MATCH($D1960,교육과정!$A$3:$A$102,0)),"미등록과정"))</f>
        <v/>
      </c>
      <c r="F1960" s="13"/>
      <c r="G1960" s="9"/>
      <c r="H1960" s="9"/>
    </row>
    <row r="1961" customFormat="false" ht="15" hidden="false" customHeight="true" outlineLevel="0" collapsed="false">
      <c r="A1961" s="11"/>
      <c r="B1961" s="9"/>
      <c r="C1961" s="15" t="str">
        <f aca="false">IF($B1961="","",IFERROR(INDEX(직원목록!$B$3:$B$302,MATCH($B1961,직원목록!$A$3:$A$302,0)),"미등록사번"))</f>
        <v/>
      </c>
      <c r="D1961" s="9"/>
      <c r="E1961" s="15" t="str">
        <f aca="false">IF($D1961="","",IFERROR(INDEX(교육과정!$B$3:$B$102,MATCH($D1961,교육과정!$A$3:$A$102,0)),"미등록과정"))</f>
        <v/>
      </c>
      <c r="F1961" s="13"/>
      <c r="G1961" s="9"/>
      <c r="H1961" s="9"/>
    </row>
    <row r="1962" customFormat="false" ht="15" hidden="false" customHeight="true" outlineLevel="0" collapsed="false">
      <c r="A1962" s="11"/>
      <c r="B1962" s="9"/>
      <c r="C1962" s="15" t="str">
        <f aca="false">IF($B1962="","",IFERROR(INDEX(직원목록!$B$3:$B$302,MATCH($B1962,직원목록!$A$3:$A$302,0)),"미등록사번"))</f>
        <v/>
      </c>
      <c r="D1962" s="9"/>
      <c r="E1962" s="15" t="str">
        <f aca="false">IF($D1962="","",IFERROR(INDEX(교육과정!$B$3:$B$102,MATCH($D1962,교육과정!$A$3:$A$102,0)),"미등록과정"))</f>
        <v/>
      </c>
      <c r="F1962" s="13"/>
      <c r="G1962" s="9"/>
      <c r="H1962" s="9"/>
    </row>
    <row r="1963" customFormat="false" ht="15" hidden="false" customHeight="true" outlineLevel="0" collapsed="false">
      <c r="A1963" s="11"/>
      <c r="B1963" s="9"/>
      <c r="C1963" s="15" t="str">
        <f aca="false">IF($B1963="","",IFERROR(INDEX(직원목록!$B$3:$B$302,MATCH($B1963,직원목록!$A$3:$A$302,0)),"미등록사번"))</f>
        <v/>
      </c>
      <c r="D1963" s="9"/>
      <c r="E1963" s="15" t="str">
        <f aca="false">IF($D1963="","",IFERROR(INDEX(교육과정!$B$3:$B$102,MATCH($D1963,교육과정!$A$3:$A$102,0)),"미등록과정"))</f>
        <v/>
      </c>
      <c r="F1963" s="13"/>
      <c r="G1963" s="9"/>
      <c r="H1963" s="9"/>
    </row>
    <row r="1964" customFormat="false" ht="15" hidden="false" customHeight="true" outlineLevel="0" collapsed="false">
      <c r="A1964" s="11"/>
      <c r="B1964" s="9"/>
      <c r="C1964" s="15" t="str">
        <f aca="false">IF($B1964="","",IFERROR(INDEX(직원목록!$B$3:$B$302,MATCH($B1964,직원목록!$A$3:$A$302,0)),"미등록사번"))</f>
        <v/>
      </c>
      <c r="D1964" s="9"/>
      <c r="E1964" s="15" t="str">
        <f aca="false">IF($D1964="","",IFERROR(INDEX(교육과정!$B$3:$B$102,MATCH($D1964,교육과정!$A$3:$A$102,0)),"미등록과정"))</f>
        <v/>
      </c>
      <c r="F1964" s="13"/>
      <c r="G1964" s="9"/>
      <c r="H1964" s="9"/>
    </row>
    <row r="1965" customFormat="false" ht="15" hidden="false" customHeight="true" outlineLevel="0" collapsed="false">
      <c r="A1965" s="11"/>
      <c r="B1965" s="9"/>
      <c r="C1965" s="15" t="str">
        <f aca="false">IF($B1965="","",IFERROR(INDEX(직원목록!$B$3:$B$302,MATCH($B1965,직원목록!$A$3:$A$302,0)),"미등록사번"))</f>
        <v/>
      </c>
      <c r="D1965" s="9"/>
      <c r="E1965" s="15" t="str">
        <f aca="false">IF($D1965="","",IFERROR(INDEX(교육과정!$B$3:$B$102,MATCH($D1965,교육과정!$A$3:$A$102,0)),"미등록과정"))</f>
        <v/>
      </c>
      <c r="F1965" s="13"/>
      <c r="G1965" s="9"/>
      <c r="H1965" s="9"/>
    </row>
    <row r="1966" customFormat="false" ht="15" hidden="false" customHeight="true" outlineLevel="0" collapsed="false">
      <c r="A1966" s="11"/>
      <c r="B1966" s="9"/>
      <c r="C1966" s="15" t="str">
        <f aca="false">IF($B1966="","",IFERROR(INDEX(직원목록!$B$3:$B$302,MATCH($B1966,직원목록!$A$3:$A$302,0)),"미등록사번"))</f>
        <v/>
      </c>
      <c r="D1966" s="9"/>
      <c r="E1966" s="15" t="str">
        <f aca="false">IF($D1966="","",IFERROR(INDEX(교육과정!$B$3:$B$102,MATCH($D1966,교육과정!$A$3:$A$102,0)),"미등록과정"))</f>
        <v/>
      </c>
      <c r="F1966" s="13"/>
      <c r="G1966" s="9"/>
      <c r="H1966" s="9"/>
    </row>
    <row r="1967" customFormat="false" ht="15" hidden="false" customHeight="true" outlineLevel="0" collapsed="false">
      <c r="A1967" s="11"/>
      <c r="B1967" s="9"/>
      <c r="C1967" s="15" t="str">
        <f aca="false">IF($B1967="","",IFERROR(INDEX(직원목록!$B$3:$B$302,MATCH($B1967,직원목록!$A$3:$A$302,0)),"미등록사번"))</f>
        <v/>
      </c>
      <c r="D1967" s="9"/>
      <c r="E1967" s="15" t="str">
        <f aca="false">IF($D1967="","",IFERROR(INDEX(교육과정!$B$3:$B$102,MATCH($D1967,교육과정!$A$3:$A$102,0)),"미등록과정"))</f>
        <v/>
      </c>
      <c r="F1967" s="13"/>
      <c r="G1967" s="9"/>
      <c r="H1967" s="9"/>
    </row>
    <row r="1968" customFormat="false" ht="15" hidden="false" customHeight="true" outlineLevel="0" collapsed="false">
      <c r="A1968" s="11"/>
      <c r="B1968" s="9"/>
      <c r="C1968" s="15" t="str">
        <f aca="false">IF($B1968="","",IFERROR(INDEX(직원목록!$B$3:$B$302,MATCH($B1968,직원목록!$A$3:$A$302,0)),"미등록사번"))</f>
        <v/>
      </c>
      <c r="D1968" s="9"/>
      <c r="E1968" s="15" t="str">
        <f aca="false">IF($D1968="","",IFERROR(INDEX(교육과정!$B$3:$B$102,MATCH($D1968,교육과정!$A$3:$A$102,0)),"미등록과정"))</f>
        <v/>
      </c>
      <c r="F1968" s="13"/>
      <c r="G1968" s="9"/>
      <c r="H1968" s="9"/>
    </row>
    <row r="1969" customFormat="false" ht="15" hidden="false" customHeight="true" outlineLevel="0" collapsed="false">
      <c r="A1969" s="11"/>
      <c r="B1969" s="9"/>
      <c r="C1969" s="15" t="str">
        <f aca="false">IF($B1969="","",IFERROR(INDEX(직원목록!$B$3:$B$302,MATCH($B1969,직원목록!$A$3:$A$302,0)),"미등록사번"))</f>
        <v/>
      </c>
      <c r="D1969" s="9"/>
      <c r="E1969" s="15" t="str">
        <f aca="false">IF($D1969="","",IFERROR(INDEX(교육과정!$B$3:$B$102,MATCH($D1969,교육과정!$A$3:$A$102,0)),"미등록과정"))</f>
        <v/>
      </c>
      <c r="F1969" s="13"/>
      <c r="G1969" s="9"/>
      <c r="H1969" s="9"/>
    </row>
    <row r="1970" customFormat="false" ht="15" hidden="false" customHeight="true" outlineLevel="0" collapsed="false">
      <c r="A1970" s="11"/>
      <c r="B1970" s="9"/>
      <c r="C1970" s="15" t="str">
        <f aca="false">IF($B1970="","",IFERROR(INDEX(직원목록!$B$3:$B$302,MATCH($B1970,직원목록!$A$3:$A$302,0)),"미등록사번"))</f>
        <v/>
      </c>
      <c r="D1970" s="9"/>
      <c r="E1970" s="15" t="str">
        <f aca="false">IF($D1970="","",IFERROR(INDEX(교육과정!$B$3:$B$102,MATCH($D1970,교육과정!$A$3:$A$102,0)),"미등록과정"))</f>
        <v/>
      </c>
      <c r="F1970" s="13"/>
      <c r="G1970" s="9"/>
      <c r="H1970" s="9"/>
    </row>
    <row r="1971" customFormat="false" ht="15" hidden="false" customHeight="true" outlineLevel="0" collapsed="false">
      <c r="A1971" s="11"/>
      <c r="B1971" s="9"/>
      <c r="C1971" s="15" t="str">
        <f aca="false">IF($B1971="","",IFERROR(INDEX(직원목록!$B$3:$B$302,MATCH($B1971,직원목록!$A$3:$A$302,0)),"미등록사번"))</f>
        <v/>
      </c>
      <c r="D1971" s="9"/>
      <c r="E1971" s="15" t="str">
        <f aca="false">IF($D1971="","",IFERROR(INDEX(교육과정!$B$3:$B$102,MATCH($D1971,교육과정!$A$3:$A$102,0)),"미등록과정"))</f>
        <v/>
      </c>
      <c r="F1971" s="13"/>
      <c r="G1971" s="9"/>
      <c r="H1971" s="9"/>
    </row>
    <row r="1972" customFormat="false" ht="15" hidden="false" customHeight="true" outlineLevel="0" collapsed="false">
      <c r="A1972" s="11"/>
      <c r="B1972" s="9"/>
      <c r="C1972" s="15" t="str">
        <f aca="false">IF($B1972="","",IFERROR(INDEX(직원목록!$B$3:$B$302,MATCH($B1972,직원목록!$A$3:$A$302,0)),"미등록사번"))</f>
        <v/>
      </c>
      <c r="D1972" s="9"/>
      <c r="E1972" s="15" t="str">
        <f aca="false">IF($D1972="","",IFERROR(INDEX(교육과정!$B$3:$B$102,MATCH($D1972,교육과정!$A$3:$A$102,0)),"미등록과정"))</f>
        <v/>
      </c>
      <c r="F1972" s="13"/>
      <c r="G1972" s="9"/>
      <c r="H1972" s="9"/>
    </row>
    <row r="1973" customFormat="false" ht="15" hidden="false" customHeight="true" outlineLevel="0" collapsed="false">
      <c r="A1973" s="11"/>
      <c r="B1973" s="9"/>
      <c r="C1973" s="15" t="str">
        <f aca="false">IF($B1973="","",IFERROR(INDEX(직원목록!$B$3:$B$302,MATCH($B1973,직원목록!$A$3:$A$302,0)),"미등록사번"))</f>
        <v/>
      </c>
      <c r="D1973" s="9"/>
      <c r="E1973" s="15" t="str">
        <f aca="false">IF($D1973="","",IFERROR(INDEX(교육과정!$B$3:$B$102,MATCH($D1973,교육과정!$A$3:$A$102,0)),"미등록과정"))</f>
        <v/>
      </c>
      <c r="F1973" s="13"/>
      <c r="G1973" s="9"/>
      <c r="H1973" s="9"/>
    </row>
    <row r="1974" customFormat="false" ht="15" hidden="false" customHeight="true" outlineLevel="0" collapsed="false">
      <c r="A1974" s="11"/>
      <c r="B1974" s="9"/>
      <c r="C1974" s="15" t="str">
        <f aca="false">IF($B1974="","",IFERROR(INDEX(직원목록!$B$3:$B$302,MATCH($B1974,직원목록!$A$3:$A$302,0)),"미등록사번"))</f>
        <v/>
      </c>
      <c r="D1974" s="9"/>
      <c r="E1974" s="15" t="str">
        <f aca="false">IF($D1974="","",IFERROR(INDEX(교육과정!$B$3:$B$102,MATCH($D1974,교육과정!$A$3:$A$102,0)),"미등록과정"))</f>
        <v/>
      </c>
      <c r="F1974" s="13"/>
      <c r="G1974" s="9"/>
      <c r="H1974" s="9"/>
    </row>
    <row r="1975" customFormat="false" ht="15" hidden="false" customHeight="true" outlineLevel="0" collapsed="false">
      <c r="A1975" s="11"/>
      <c r="B1975" s="9"/>
      <c r="C1975" s="15" t="str">
        <f aca="false">IF($B1975="","",IFERROR(INDEX(직원목록!$B$3:$B$302,MATCH($B1975,직원목록!$A$3:$A$302,0)),"미등록사번"))</f>
        <v/>
      </c>
      <c r="D1975" s="9"/>
      <c r="E1975" s="15" t="str">
        <f aca="false">IF($D1975="","",IFERROR(INDEX(교육과정!$B$3:$B$102,MATCH($D1975,교육과정!$A$3:$A$102,0)),"미등록과정"))</f>
        <v/>
      </c>
      <c r="F1975" s="13"/>
      <c r="G1975" s="9"/>
      <c r="H1975" s="9"/>
    </row>
    <row r="1976" customFormat="false" ht="15" hidden="false" customHeight="true" outlineLevel="0" collapsed="false">
      <c r="A1976" s="11"/>
      <c r="B1976" s="9"/>
      <c r="C1976" s="15" t="str">
        <f aca="false">IF($B1976="","",IFERROR(INDEX(직원목록!$B$3:$B$302,MATCH($B1976,직원목록!$A$3:$A$302,0)),"미등록사번"))</f>
        <v/>
      </c>
      <c r="D1976" s="9"/>
      <c r="E1976" s="15" t="str">
        <f aca="false">IF($D1976="","",IFERROR(INDEX(교육과정!$B$3:$B$102,MATCH($D1976,교육과정!$A$3:$A$102,0)),"미등록과정"))</f>
        <v/>
      </c>
      <c r="F1976" s="13"/>
      <c r="G1976" s="9"/>
      <c r="H1976" s="9"/>
    </row>
    <row r="1977" customFormat="false" ht="15" hidden="false" customHeight="true" outlineLevel="0" collapsed="false">
      <c r="A1977" s="11"/>
      <c r="B1977" s="9"/>
      <c r="C1977" s="15" t="str">
        <f aca="false">IF($B1977="","",IFERROR(INDEX(직원목록!$B$3:$B$302,MATCH($B1977,직원목록!$A$3:$A$302,0)),"미등록사번"))</f>
        <v/>
      </c>
      <c r="D1977" s="9"/>
      <c r="E1977" s="15" t="str">
        <f aca="false">IF($D1977="","",IFERROR(INDEX(교육과정!$B$3:$B$102,MATCH($D1977,교육과정!$A$3:$A$102,0)),"미등록과정"))</f>
        <v/>
      </c>
      <c r="F1977" s="13"/>
      <c r="G1977" s="9"/>
      <c r="H1977" s="9"/>
    </row>
    <row r="1978" customFormat="false" ht="15" hidden="false" customHeight="true" outlineLevel="0" collapsed="false">
      <c r="A1978" s="11"/>
      <c r="B1978" s="9"/>
      <c r="C1978" s="15" t="str">
        <f aca="false">IF($B1978="","",IFERROR(INDEX(직원목록!$B$3:$B$302,MATCH($B1978,직원목록!$A$3:$A$302,0)),"미등록사번"))</f>
        <v/>
      </c>
      <c r="D1978" s="9"/>
      <c r="E1978" s="15" t="str">
        <f aca="false">IF($D1978="","",IFERROR(INDEX(교육과정!$B$3:$B$102,MATCH($D1978,교육과정!$A$3:$A$102,0)),"미등록과정"))</f>
        <v/>
      </c>
      <c r="F1978" s="13"/>
      <c r="G1978" s="9"/>
      <c r="H1978" s="9"/>
    </row>
    <row r="1979" customFormat="false" ht="15" hidden="false" customHeight="true" outlineLevel="0" collapsed="false">
      <c r="A1979" s="11"/>
      <c r="B1979" s="9"/>
      <c r="C1979" s="15" t="str">
        <f aca="false">IF($B1979="","",IFERROR(INDEX(직원목록!$B$3:$B$302,MATCH($B1979,직원목록!$A$3:$A$302,0)),"미등록사번"))</f>
        <v/>
      </c>
      <c r="D1979" s="9"/>
      <c r="E1979" s="15" t="str">
        <f aca="false">IF($D1979="","",IFERROR(INDEX(교육과정!$B$3:$B$102,MATCH($D1979,교육과정!$A$3:$A$102,0)),"미등록과정"))</f>
        <v/>
      </c>
      <c r="F1979" s="13"/>
      <c r="G1979" s="9"/>
      <c r="H1979" s="9"/>
    </row>
    <row r="1980" customFormat="false" ht="15" hidden="false" customHeight="true" outlineLevel="0" collapsed="false">
      <c r="A1980" s="11"/>
      <c r="B1980" s="9"/>
      <c r="C1980" s="15" t="str">
        <f aca="false">IF($B1980="","",IFERROR(INDEX(직원목록!$B$3:$B$302,MATCH($B1980,직원목록!$A$3:$A$302,0)),"미등록사번"))</f>
        <v/>
      </c>
      <c r="D1980" s="9"/>
      <c r="E1980" s="15" t="str">
        <f aca="false">IF($D1980="","",IFERROR(INDEX(교육과정!$B$3:$B$102,MATCH($D1980,교육과정!$A$3:$A$102,0)),"미등록과정"))</f>
        <v/>
      </c>
      <c r="F1980" s="13"/>
      <c r="G1980" s="9"/>
      <c r="H1980" s="9"/>
    </row>
    <row r="1981" customFormat="false" ht="15" hidden="false" customHeight="true" outlineLevel="0" collapsed="false">
      <c r="A1981" s="11"/>
      <c r="B1981" s="9"/>
      <c r="C1981" s="15" t="str">
        <f aca="false">IF($B1981="","",IFERROR(INDEX(직원목록!$B$3:$B$302,MATCH($B1981,직원목록!$A$3:$A$302,0)),"미등록사번"))</f>
        <v/>
      </c>
      <c r="D1981" s="9"/>
      <c r="E1981" s="15" t="str">
        <f aca="false">IF($D1981="","",IFERROR(INDEX(교육과정!$B$3:$B$102,MATCH($D1981,교육과정!$A$3:$A$102,0)),"미등록과정"))</f>
        <v/>
      </c>
      <c r="F1981" s="13"/>
      <c r="G1981" s="9"/>
      <c r="H1981" s="9"/>
    </row>
    <row r="1982" customFormat="false" ht="15" hidden="false" customHeight="true" outlineLevel="0" collapsed="false">
      <c r="A1982" s="11"/>
      <c r="B1982" s="9"/>
      <c r="C1982" s="15" t="str">
        <f aca="false">IF($B1982="","",IFERROR(INDEX(직원목록!$B$3:$B$302,MATCH($B1982,직원목록!$A$3:$A$302,0)),"미등록사번"))</f>
        <v/>
      </c>
      <c r="D1982" s="9"/>
      <c r="E1982" s="15" t="str">
        <f aca="false">IF($D1982="","",IFERROR(INDEX(교육과정!$B$3:$B$102,MATCH($D1982,교육과정!$A$3:$A$102,0)),"미등록과정"))</f>
        <v/>
      </c>
      <c r="F1982" s="13"/>
      <c r="G1982" s="9"/>
      <c r="H1982" s="9"/>
    </row>
    <row r="1983" customFormat="false" ht="15" hidden="false" customHeight="true" outlineLevel="0" collapsed="false">
      <c r="A1983" s="11"/>
      <c r="B1983" s="9"/>
      <c r="C1983" s="15" t="str">
        <f aca="false">IF($B1983="","",IFERROR(INDEX(직원목록!$B$3:$B$302,MATCH($B1983,직원목록!$A$3:$A$302,0)),"미등록사번"))</f>
        <v/>
      </c>
      <c r="D1983" s="9"/>
      <c r="E1983" s="15" t="str">
        <f aca="false">IF($D1983="","",IFERROR(INDEX(교육과정!$B$3:$B$102,MATCH($D1983,교육과정!$A$3:$A$102,0)),"미등록과정"))</f>
        <v/>
      </c>
      <c r="F1983" s="13"/>
      <c r="G1983" s="9"/>
      <c r="H1983" s="9"/>
    </row>
    <row r="1984" customFormat="false" ht="15" hidden="false" customHeight="true" outlineLevel="0" collapsed="false">
      <c r="A1984" s="11"/>
      <c r="B1984" s="9"/>
      <c r="C1984" s="15" t="str">
        <f aca="false">IF($B1984="","",IFERROR(INDEX(직원목록!$B$3:$B$302,MATCH($B1984,직원목록!$A$3:$A$302,0)),"미등록사번"))</f>
        <v/>
      </c>
      <c r="D1984" s="9"/>
      <c r="E1984" s="15" t="str">
        <f aca="false">IF($D1984="","",IFERROR(INDEX(교육과정!$B$3:$B$102,MATCH($D1984,교육과정!$A$3:$A$102,0)),"미등록과정"))</f>
        <v/>
      </c>
      <c r="F1984" s="13"/>
      <c r="G1984" s="9"/>
      <c r="H1984" s="9"/>
    </row>
    <row r="1985" customFormat="false" ht="15" hidden="false" customHeight="true" outlineLevel="0" collapsed="false">
      <c r="A1985" s="11"/>
      <c r="B1985" s="9"/>
      <c r="C1985" s="15" t="str">
        <f aca="false">IF($B1985="","",IFERROR(INDEX(직원목록!$B$3:$B$302,MATCH($B1985,직원목록!$A$3:$A$302,0)),"미등록사번"))</f>
        <v/>
      </c>
      <c r="D1985" s="9"/>
      <c r="E1985" s="15" t="str">
        <f aca="false">IF($D1985="","",IFERROR(INDEX(교육과정!$B$3:$B$102,MATCH($D1985,교육과정!$A$3:$A$102,0)),"미등록과정"))</f>
        <v/>
      </c>
      <c r="F1985" s="13"/>
      <c r="G1985" s="9"/>
      <c r="H1985" s="9"/>
    </row>
    <row r="1986" customFormat="false" ht="15" hidden="false" customHeight="true" outlineLevel="0" collapsed="false">
      <c r="A1986" s="11"/>
      <c r="B1986" s="9"/>
      <c r="C1986" s="15" t="str">
        <f aca="false">IF($B1986="","",IFERROR(INDEX(직원목록!$B$3:$B$302,MATCH($B1986,직원목록!$A$3:$A$302,0)),"미등록사번"))</f>
        <v/>
      </c>
      <c r="D1986" s="9"/>
      <c r="E1986" s="15" t="str">
        <f aca="false">IF($D1986="","",IFERROR(INDEX(교육과정!$B$3:$B$102,MATCH($D1986,교육과정!$A$3:$A$102,0)),"미등록과정"))</f>
        <v/>
      </c>
      <c r="F1986" s="13"/>
      <c r="G1986" s="9"/>
      <c r="H1986" s="9"/>
    </row>
    <row r="1987" customFormat="false" ht="15" hidden="false" customHeight="true" outlineLevel="0" collapsed="false">
      <c r="A1987" s="11"/>
      <c r="B1987" s="9"/>
      <c r="C1987" s="15" t="str">
        <f aca="false">IF($B1987="","",IFERROR(INDEX(직원목록!$B$3:$B$302,MATCH($B1987,직원목록!$A$3:$A$302,0)),"미등록사번"))</f>
        <v/>
      </c>
      <c r="D1987" s="9"/>
      <c r="E1987" s="15" t="str">
        <f aca="false">IF($D1987="","",IFERROR(INDEX(교육과정!$B$3:$B$102,MATCH($D1987,교육과정!$A$3:$A$102,0)),"미등록과정"))</f>
        <v/>
      </c>
      <c r="F1987" s="13"/>
      <c r="G1987" s="9"/>
      <c r="H1987" s="9"/>
    </row>
    <row r="1988" customFormat="false" ht="15" hidden="false" customHeight="true" outlineLevel="0" collapsed="false">
      <c r="A1988" s="11"/>
      <c r="B1988" s="9"/>
      <c r="C1988" s="15" t="str">
        <f aca="false">IF($B1988="","",IFERROR(INDEX(직원목록!$B$3:$B$302,MATCH($B1988,직원목록!$A$3:$A$302,0)),"미등록사번"))</f>
        <v/>
      </c>
      <c r="D1988" s="9"/>
      <c r="E1988" s="15" t="str">
        <f aca="false">IF($D1988="","",IFERROR(INDEX(교육과정!$B$3:$B$102,MATCH($D1988,교육과정!$A$3:$A$102,0)),"미등록과정"))</f>
        <v/>
      </c>
      <c r="F1988" s="13"/>
      <c r="G1988" s="9"/>
      <c r="H1988" s="9"/>
    </row>
    <row r="1989" customFormat="false" ht="15" hidden="false" customHeight="true" outlineLevel="0" collapsed="false">
      <c r="A1989" s="11"/>
      <c r="B1989" s="9"/>
      <c r="C1989" s="15" t="str">
        <f aca="false">IF($B1989="","",IFERROR(INDEX(직원목록!$B$3:$B$302,MATCH($B1989,직원목록!$A$3:$A$302,0)),"미등록사번"))</f>
        <v/>
      </c>
      <c r="D1989" s="9"/>
      <c r="E1989" s="15" t="str">
        <f aca="false">IF($D1989="","",IFERROR(INDEX(교육과정!$B$3:$B$102,MATCH($D1989,교육과정!$A$3:$A$102,0)),"미등록과정"))</f>
        <v/>
      </c>
      <c r="F1989" s="13"/>
      <c r="G1989" s="9"/>
      <c r="H1989" s="9"/>
    </row>
    <row r="1990" customFormat="false" ht="15" hidden="false" customHeight="true" outlineLevel="0" collapsed="false">
      <c r="A1990" s="11"/>
      <c r="B1990" s="9"/>
      <c r="C1990" s="15" t="str">
        <f aca="false">IF($B1990="","",IFERROR(INDEX(직원목록!$B$3:$B$302,MATCH($B1990,직원목록!$A$3:$A$302,0)),"미등록사번"))</f>
        <v/>
      </c>
      <c r="D1990" s="9"/>
      <c r="E1990" s="15" t="str">
        <f aca="false">IF($D1990="","",IFERROR(INDEX(교육과정!$B$3:$B$102,MATCH($D1990,교육과정!$A$3:$A$102,0)),"미등록과정"))</f>
        <v/>
      </c>
      <c r="F1990" s="13"/>
      <c r="G1990" s="9"/>
      <c r="H1990" s="9"/>
    </row>
    <row r="1991" customFormat="false" ht="15" hidden="false" customHeight="true" outlineLevel="0" collapsed="false">
      <c r="A1991" s="11"/>
      <c r="B1991" s="9"/>
      <c r="C1991" s="15" t="str">
        <f aca="false">IF($B1991="","",IFERROR(INDEX(직원목록!$B$3:$B$302,MATCH($B1991,직원목록!$A$3:$A$302,0)),"미등록사번"))</f>
        <v/>
      </c>
      <c r="D1991" s="9"/>
      <c r="E1991" s="15" t="str">
        <f aca="false">IF($D1991="","",IFERROR(INDEX(교육과정!$B$3:$B$102,MATCH($D1991,교육과정!$A$3:$A$102,0)),"미등록과정"))</f>
        <v/>
      </c>
      <c r="F1991" s="13"/>
      <c r="G1991" s="9"/>
      <c r="H1991" s="9"/>
    </row>
    <row r="1992" customFormat="false" ht="15" hidden="false" customHeight="true" outlineLevel="0" collapsed="false">
      <c r="A1992" s="11"/>
      <c r="B1992" s="9"/>
      <c r="C1992" s="15" t="str">
        <f aca="false">IF($B1992="","",IFERROR(INDEX(직원목록!$B$3:$B$302,MATCH($B1992,직원목록!$A$3:$A$302,0)),"미등록사번"))</f>
        <v/>
      </c>
      <c r="D1992" s="9"/>
      <c r="E1992" s="15" t="str">
        <f aca="false">IF($D1992="","",IFERROR(INDEX(교육과정!$B$3:$B$102,MATCH($D1992,교육과정!$A$3:$A$102,0)),"미등록과정"))</f>
        <v/>
      </c>
      <c r="F1992" s="13"/>
      <c r="G1992" s="9"/>
      <c r="H1992" s="9"/>
    </row>
    <row r="1993" customFormat="false" ht="15" hidden="false" customHeight="true" outlineLevel="0" collapsed="false">
      <c r="A1993" s="11"/>
      <c r="B1993" s="9"/>
      <c r="C1993" s="15" t="str">
        <f aca="false">IF($B1993="","",IFERROR(INDEX(직원목록!$B$3:$B$302,MATCH($B1993,직원목록!$A$3:$A$302,0)),"미등록사번"))</f>
        <v/>
      </c>
      <c r="D1993" s="9"/>
      <c r="E1993" s="15" t="str">
        <f aca="false">IF($D1993="","",IFERROR(INDEX(교육과정!$B$3:$B$102,MATCH($D1993,교육과정!$A$3:$A$102,0)),"미등록과정"))</f>
        <v/>
      </c>
      <c r="F1993" s="13"/>
      <c r="G1993" s="9"/>
      <c r="H1993" s="9"/>
    </row>
    <row r="1994" customFormat="false" ht="15" hidden="false" customHeight="true" outlineLevel="0" collapsed="false">
      <c r="A1994" s="11"/>
      <c r="B1994" s="9"/>
      <c r="C1994" s="15" t="str">
        <f aca="false">IF($B1994="","",IFERROR(INDEX(직원목록!$B$3:$B$302,MATCH($B1994,직원목록!$A$3:$A$302,0)),"미등록사번"))</f>
        <v/>
      </c>
      <c r="D1994" s="9"/>
      <c r="E1994" s="15" t="str">
        <f aca="false">IF($D1994="","",IFERROR(INDEX(교육과정!$B$3:$B$102,MATCH($D1994,교육과정!$A$3:$A$102,0)),"미등록과정"))</f>
        <v/>
      </c>
      <c r="F1994" s="13"/>
      <c r="G1994" s="9"/>
      <c r="H1994" s="9"/>
    </row>
    <row r="1995" customFormat="false" ht="15" hidden="false" customHeight="true" outlineLevel="0" collapsed="false">
      <c r="A1995" s="11"/>
      <c r="B1995" s="9"/>
      <c r="C1995" s="15" t="str">
        <f aca="false">IF($B1995="","",IFERROR(INDEX(직원목록!$B$3:$B$302,MATCH($B1995,직원목록!$A$3:$A$302,0)),"미등록사번"))</f>
        <v/>
      </c>
      <c r="D1995" s="9"/>
      <c r="E1995" s="15" t="str">
        <f aca="false">IF($D1995="","",IFERROR(INDEX(교육과정!$B$3:$B$102,MATCH($D1995,교육과정!$A$3:$A$102,0)),"미등록과정"))</f>
        <v/>
      </c>
      <c r="F1995" s="13"/>
      <c r="G1995" s="9"/>
      <c r="H1995" s="9"/>
    </row>
    <row r="1996" customFormat="false" ht="15" hidden="false" customHeight="true" outlineLevel="0" collapsed="false">
      <c r="A1996" s="11"/>
      <c r="B1996" s="9"/>
      <c r="C1996" s="15" t="str">
        <f aca="false">IF($B1996="","",IFERROR(INDEX(직원목록!$B$3:$B$302,MATCH($B1996,직원목록!$A$3:$A$302,0)),"미등록사번"))</f>
        <v/>
      </c>
      <c r="D1996" s="9"/>
      <c r="E1996" s="15" t="str">
        <f aca="false">IF($D1996="","",IFERROR(INDEX(교육과정!$B$3:$B$102,MATCH($D1996,교육과정!$A$3:$A$102,0)),"미등록과정"))</f>
        <v/>
      </c>
      <c r="F1996" s="13"/>
      <c r="G1996" s="9"/>
      <c r="H1996" s="9"/>
    </row>
    <row r="1997" customFormat="false" ht="15" hidden="false" customHeight="true" outlineLevel="0" collapsed="false">
      <c r="A1997" s="11"/>
      <c r="B1997" s="9"/>
      <c r="C1997" s="15" t="str">
        <f aca="false">IF($B1997="","",IFERROR(INDEX(직원목록!$B$3:$B$302,MATCH($B1997,직원목록!$A$3:$A$302,0)),"미등록사번"))</f>
        <v/>
      </c>
      <c r="D1997" s="9"/>
      <c r="E1997" s="15" t="str">
        <f aca="false">IF($D1997="","",IFERROR(INDEX(교육과정!$B$3:$B$102,MATCH($D1997,교육과정!$A$3:$A$102,0)),"미등록과정"))</f>
        <v/>
      </c>
      <c r="F1997" s="13"/>
      <c r="G1997" s="9"/>
      <c r="H1997" s="9"/>
    </row>
    <row r="1998" customFormat="false" ht="15" hidden="false" customHeight="true" outlineLevel="0" collapsed="false">
      <c r="A1998" s="11"/>
      <c r="B1998" s="9"/>
      <c r="C1998" s="15" t="str">
        <f aca="false">IF($B1998="","",IFERROR(INDEX(직원목록!$B$3:$B$302,MATCH($B1998,직원목록!$A$3:$A$302,0)),"미등록사번"))</f>
        <v/>
      </c>
      <c r="D1998" s="9"/>
      <c r="E1998" s="15" t="str">
        <f aca="false">IF($D1998="","",IFERROR(INDEX(교육과정!$B$3:$B$102,MATCH($D1998,교육과정!$A$3:$A$102,0)),"미등록과정"))</f>
        <v/>
      </c>
      <c r="F1998" s="13"/>
      <c r="G1998" s="9"/>
      <c r="H1998" s="9"/>
    </row>
    <row r="1999" customFormat="false" ht="15" hidden="false" customHeight="true" outlineLevel="0" collapsed="false">
      <c r="A1999" s="11"/>
      <c r="B1999" s="9"/>
      <c r="C1999" s="15" t="str">
        <f aca="false">IF($B1999="","",IFERROR(INDEX(직원목록!$B$3:$B$302,MATCH($B1999,직원목록!$A$3:$A$302,0)),"미등록사번"))</f>
        <v/>
      </c>
      <c r="D1999" s="9"/>
      <c r="E1999" s="15" t="str">
        <f aca="false">IF($D1999="","",IFERROR(INDEX(교육과정!$B$3:$B$102,MATCH($D1999,교육과정!$A$3:$A$102,0)),"미등록과정"))</f>
        <v/>
      </c>
      <c r="F1999" s="13"/>
      <c r="G1999" s="9"/>
      <c r="H1999" s="9"/>
    </row>
    <row r="2000" customFormat="false" ht="15" hidden="false" customHeight="true" outlineLevel="0" collapsed="false">
      <c r="A2000" s="11"/>
      <c r="B2000" s="9"/>
      <c r="C2000" s="15" t="str">
        <f aca="false">IF($B2000="","",IFERROR(INDEX(직원목록!$B$3:$B$302,MATCH($B2000,직원목록!$A$3:$A$302,0)),"미등록사번"))</f>
        <v/>
      </c>
      <c r="D2000" s="9"/>
      <c r="E2000" s="15" t="str">
        <f aca="false">IF($D2000="","",IFERROR(INDEX(교육과정!$B$3:$B$102,MATCH($D2000,교육과정!$A$3:$A$102,0)),"미등록과정"))</f>
        <v/>
      </c>
      <c r="F2000" s="13"/>
      <c r="G2000" s="9"/>
      <c r="H2000" s="9"/>
    </row>
    <row r="2001" customFormat="false" ht="15" hidden="false" customHeight="true" outlineLevel="0" collapsed="false">
      <c r="A2001" s="11"/>
      <c r="B2001" s="9"/>
      <c r="C2001" s="15" t="str">
        <f aca="false">IF($B2001="","",IFERROR(INDEX(직원목록!$B$3:$B$302,MATCH($B2001,직원목록!$A$3:$A$302,0)),"미등록사번"))</f>
        <v/>
      </c>
      <c r="D2001" s="9"/>
      <c r="E2001" s="15" t="str">
        <f aca="false">IF($D2001="","",IFERROR(INDEX(교육과정!$B$3:$B$102,MATCH($D2001,교육과정!$A$3:$A$102,0)),"미등록과정"))</f>
        <v/>
      </c>
      <c r="F2001" s="13"/>
      <c r="G2001" s="9"/>
      <c r="H2001" s="9"/>
    </row>
    <row r="2002" customFormat="false" ht="15" hidden="false" customHeight="true" outlineLevel="0" collapsed="false">
      <c r="A2002" s="11"/>
      <c r="B2002" s="9"/>
      <c r="C2002" s="15" t="str">
        <f aca="false">IF($B2002="","",IFERROR(INDEX(직원목록!$B$3:$B$302,MATCH($B2002,직원목록!$A$3:$A$302,0)),"미등록사번"))</f>
        <v/>
      </c>
      <c r="D2002" s="9"/>
      <c r="E2002" s="15" t="str">
        <f aca="false">IF($D2002="","",IFERROR(INDEX(교육과정!$B$3:$B$102,MATCH($D2002,교육과정!$A$3:$A$102,0)),"미등록과정"))</f>
        <v/>
      </c>
      <c r="F2002" s="13"/>
      <c r="G2002" s="9"/>
      <c r="H2002" s="9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B3:B2002" type="list">
      <formula1>직원목록!$A$3:$A$302</formula1>
      <formula2>0</formula2>
    </dataValidation>
    <dataValidation allowBlank="true" errorStyle="stop" operator="between" showDropDown="false" showErrorMessage="false" showInputMessage="false" sqref="D3:D2002" type="list">
      <formula1>교육과정!$A$3:$A$102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28"/>
    <col collapsed="false" customWidth="true" hidden="false" outlineLevel="0" max="6" min="6" style="1" width="13"/>
    <col collapsed="false" customWidth="true" hidden="false" outlineLevel="0" max="8" min="7" style="1" width="14"/>
    <col collapsed="false" customWidth="true" hidden="false" outlineLevel="0" max="9" min="9" style="1" width="11"/>
    <col collapsed="false" customWidth="true" hidden="false" outlineLevel="0" max="10" min="10" style="1" width="13"/>
  </cols>
  <sheetData>
    <row r="1" customFormat="false" ht="25.5" hidden="false" customHeight="true" outlineLevel="0" collapsed="false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69</v>
      </c>
      <c r="B3" s="16" t="n">
        <f aca="true">TODAY()</f>
        <v>46279</v>
      </c>
      <c r="D3" s="3" t="s">
        <v>70</v>
      </c>
      <c r="E3" s="17" t="n">
        <f aca="false">COUNTIF($J$6:$J$485,"기한초과")</f>
        <v>9</v>
      </c>
      <c r="G3" s="3" t="s">
        <v>71</v>
      </c>
      <c r="H3" s="18" t="n">
        <f aca="false">COUNTIF($J$6:$J$485,"임박")</f>
        <v>1</v>
      </c>
    </row>
    <row r="5" customFormat="false" ht="15" hidden="false" customHeight="true" outlineLevel="0" collapsed="false">
      <c r="A5" s="8" t="s">
        <v>26</v>
      </c>
      <c r="B5" s="8" t="s">
        <v>27</v>
      </c>
      <c r="C5" s="8" t="s">
        <v>28</v>
      </c>
      <c r="D5" s="8" t="s">
        <v>45</v>
      </c>
      <c r="E5" s="8" t="s">
        <v>46</v>
      </c>
      <c r="F5" s="8" t="s">
        <v>47</v>
      </c>
      <c r="G5" s="8" t="s">
        <v>72</v>
      </c>
      <c r="H5" s="8" t="s">
        <v>73</v>
      </c>
      <c r="I5" s="19" t="s">
        <v>74</v>
      </c>
      <c r="J5" s="8" t="s">
        <v>75</v>
      </c>
    </row>
    <row r="6" customFormat="false" ht="15" hidden="false" customHeight="true" outlineLevel="0" collapsed="false">
      <c r="A6" s="20" t="str">
        <f aca="false">IF(OR(직원목록!$A3="",교육과정!$A3="",직원목록!$F3="퇴사"),"",직원목록!$A3)</f>
        <v>E001</v>
      </c>
      <c r="B6" s="20" t="str">
        <f aca="false">IF($A6="","",직원목록!$B3)</f>
        <v>김직원</v>
      </c>
      <c r="C6" s="20" t="str">
        <f aca="false">IF($A6="","",직원목록!$C3)</f>
        <v>생산1팀</v>
      </c>
      <c r="D6" s="21" t="str">
        <f aca="false">IF($A6="","",교육과정!$A3)</f>
        <v>C01</v>
      </c>
      <c r="E6" s="20" t="str">
        <f aca="false">IF($A6="","",교육과정!$B3)</f>
        <v>산업안전보건교육</v>
      </c>
      <c r="F6" s="22" t="n">
        <f aca="false">IF($A6="","",교육과정!$C3)</f>
        <v>3</v>
      </c>
      <c r="G6" s="23" t="n">
        <f aca="false">IF($A6="","",IF(COUNTIFS(이수내역!$B$3:$B$2002,$A6,이수내역!$D$3:$D$2002,$D6)=0,"",SUMPRODUCT(MAX((이수내역!$B$3:$B$2002=$A6)*(이수내역!$D$3:$D$2002=$D6)*이수내역!$A$3:$A$2002))))</f>
        <v>46213</v>
      </c>
      <c r="H6" s="23" t="n">
        <f aca="false">IF($A6="","",IF($F6="","",IF($G6="",EDATE(직원목록!$E3,$F6),EDATE($G6,$F6))))</f>
        <v>46305</v>
      </c>
      <c r="I6" s="21" t="n">
        <f aca="true">IF($H6="","",$H6-TODAY())</f>
        <v>26</v>
      </c>
      <c r="J6" s="21" t="str">
        <f aca="false">IF($A6="","",IF($H6="","-",IF($I6&lt;0,"기한초과",IF($I6&lt;=사용안내!$C$16,"임박","정상"))))</f>
        <v>임박</v>
      </c>
    </row>
    <row r="7" customFormat="false" ht="15" hidden="false" customHeight="true" outlineLevel="0" collapsed="false">
      <c r="A7" s="20" t="str">
        <f aca="false">IF(OR(직원목록!$A3="",교육과정!$A4="",직원목록!$F3="퇴사"),"",직원목록!$A3)</f>
        <v>E001</v>
      </c>
      <c r="B7" s="20" t="str">
        <f aca="false">IF($A7="","",직원목록!$B3)</f>
        <v>김직원</v>
      </c>
      <c r="C7" s="20" t="str">
        <f aca="false">IF($A7="","",직원목록!$C3)</f>
        <v>생산1팀</v>
      </c>
      <c r="D7" s="21" t="str">
        <f aca="false">IF($A7="","",교육과정!$A4)</f>
        <v>C02</v>
      </c>
      <c r="E7" s="20" t="str">
        <f aca="false">IF($A7="","",교육과정!$B4)</f>
        <v>성희롱 예방교육</v>
      </c>
      <c r="F7" s="22" t="n">
        <f aca="false">IF($A7="","",교육과정!$C4)</f>
        <v>12</v>
      </c>
      <c r="G7" s="23" t="n">
        <f aca="false">IF($A7="","",IF(COUNTIFS(이수내역!$B$3:$B$2002,$A7,이수내역!$D$3:$D$2002,$D7)=0,"",SUMPRODUCT(MAX((이수내역!$B$3:$B$2002=$A7)*(이수내역!$D$3:$D$2002=$D7)*이수내역!$A$3:$A$2002))))</f>
        <v>46086</v>
      </c>
      <c r="H7" s="23" t="n">
        <f aca="false">IF($A7="","",IF($F7="","",IF($G7="",EDATE(직원목록!$E3,$F7),EDATE($G7,$F7))))</f>
        <v>46451</v>
      </c>
      <c r="I7" s="21" t="n">
        <f aca="true">IF($H7="","",$H7-TODAY())</f>
        <v>172</v>
      </c>
      <c r="J7" s="21" t="str">
        <f aca="false">IF($A7="","",IF($H7="","-",IF($I7&lt;0,"기한초과",IF($I7&lt;=사용안내!$C$16,"임박","정상"))))</f>
        <v>정상</v>
      </c>
    </row>
    <row r="8" customFormat="false" ht="15" hidden="false" customHeight="true" outlineLevel="0" collapsed="false">
      <c r="A8" s="20" t="str">
        <f aca="false">IF(OR(직원목록!$A3="",교육과정!$A5="",직원목록!$F3="퇴사"),"",직원목록!$A3)</f>
        <v>E001</v>
      </c>
      <c r="B8" s="20" t="str">
        <f aca="false">IF($A8="","",직원목록!$B3)</f>
        <v>김직원</v>
      </c>
      <c r="C8" s="20" t="str">
        <f aca="false">IF($A8="","",직원목록!$C3)</f>
        <v>생산1팀</v>
      </c>
      <c r="D8" s="21" t="str">
        <f aca="false">IF($A8="","",교육과정!$A5)</f>
        <v>C03</v>
      </c>
      <c r="E8" s="20" t="str">
        <f aca="false">IF($A8="","",교육과정!$B5)</f>
        <v>개인정보보호 교육</v>
      </c>
      <c r="F8" s="22" t="n">
        <f aca="false">IF($A8="","",교육과정!$C5)</f>
        <v>12</v>
      </c>
      <c r="G8" s="23" t="str">
        <f aca="false">IF($A8="","",IF(COUNTIFS(이수내역!$B$3:$B$2002,$A8,이수내역!$D$3:$D$2002,$D8)=0,"",SUMPRODUCT(MAX((이수내역!$B$3:$B$2002=$A8)*(이수내역!$D$3:$D$2002=$D8)*이수내역!$A$3:$A$2002))))</f>
        <v/>
      </c>
      <c r="H8" s="23" t="n">
        <f aca="false">IF($A8="","",IF($F8="","",IF($G8="",EDATE(직원목록!$E3,$F8),EDATE($G8,$F8))))</f>
        <v>45718</v>
      </c>
      <c r="I8" s="21" t="n">
        <f aca="true">IF($H8="","",$H8-TODAY())</f>
        <v>-561</v>
      </c>
      <c r="J8" s="21" t="str">
        <f aca="false">IF($A8="","",IF($H8="","-",IF($I8&lt;0,"기한초과",IF($I8&lt;=사용안내!$C$16,"임박","정상"))))</f>
        <v>기한초과</v>
      </c>
    </row>
    <row r="9" customFormat="false" ht="15" hidden="false" customHeight="true" outlineLevel="0" collapsed="false">
      <c r="A9" s="20" t="str">
        <f aca="false">IF(OR(직원목록!$A3="",교육과정!$A6="",직원목록!$F3="퇴사"),"",직원목록!$A3)</f>
        <v>E001</v>
      </c>
      <c r="B9" s="20" t="str">
        <f aca="false">IF($A9="","",직원목록!$B3)</f>
        <v>김직원</v>
      </c>
      <c r="C9" s="20" t="str">
        <f aca="false">IF($A9="","",직원목록!$C3)</f>
        <v>생산1팀</v>
      </c>
      <c r="D9" s="21" t="str">
        <f aca="false">IF($A9="","",교육과정!$A6)</f>
        <v>C04</v>
      </c>
      <c r="E9" s="20" t="str">
        <f aca="false">IF($A9="","",교육과정!$B6)</f>
        <v>지게차 운전 자격</v>
      </c>
      <c r="F9" s="22" t="n">
        <f aca="false">IF($A9="","",교육과정!$C6)</f>
        <v>24</v>
      </c>
      <c r="G9" s="23" t="str">
        <f aca="false">IF($A9="","",IF(COUNTIFS(이수내역!$B$3:$B$2002,$A9,이수내역!$D$3:$D$2002,$D9)=0,"",SUMPRODUCT(MAX((이수내역!$B$3:$B$2002=$A9)*(이수내역!$D$3:$D$2002=$D9)*이수내역!$A$3:$A$2002))))</f>
        <v/>
      </c>
      <c r="H9" s="23" t="n">
        <f aca="false">IF($A9="","",IF($F9="","",IF($G9="",EDATE(직원목록!$E3,$F9),EDATE($G9,$F9))))</f>
        <v>46083</v>
      </c>
      <c r="I9" s="21" t="n">
        <f aca="true">IF($H9="","",$H9-TODAY())</f>
        <v>-196</v>
      </c>
      <c r="J9" s="21" t="str">
        <f aca="false">IF($A9="","",IF($H9="","-",IF($I9&lt;0,"기한초과",IF($I9&lt;=사용안내!$C$16,"임박","정상"))))</f>
        <v>기한초과</v>
      </c>
    </row>
    <row r="10" customFormat="false" ht="15" hidden="false" customHeight="true" outlineLevel="0" collapsed="false">
      <c r="A10" s="20" t="str">
        <f aca="false">IF(OR(직원목록!$A3="",교육과정!$A7="",직원목록!$F3="퇴사"),"",직원목록!$A3)</f>
        <v/>
      </c>
      <c r="B10" s="20" t="str">
        <f aca="false">IF($A10="","",직원목록!$B3)</f>
        <v/>
      </c>
      <c r="C10" s="20" t="str">
        <f aca="false">IF($A10="","",직원목록!$C3)</f>
        <v/>
      </c>
      <c r="D10" s="21" t="str">
        <f aca="false">IF($A10="","",교육과정!$A7)</f>
        <v/>
      </c>
      <c r="E10" s="20" t="str">
        <f aca="false">IF($A10="","",교육과정!$B7)</f>
        <v/>
      </c>
      <c r="F10" s="21" t="str">
        <f aca="false">IF($A10="","",교육과정!$C7)</f>
        <v/>
      </c>
      <c r="G10" s="23" t="str">
        <f aca="false">IF($A10="","",IF(COUNTIFS(이수내역!$B$3:$B$2002,$A10,이수내역!$D$3:$D$2002,$D10)=0,"",SUMPRODUCT(MAX((이수내역!$B$3:$B$2002=$A10)*(이수내역!$D$3:$D$2002=$D10)*이수내역!$A$3:$A$2002))))</f>
        <v/>
      </c>
      <c r="H10" s="23" t="str">
        <f aca="false">IF($A10="","",IF($F10="","",IF($G10="",EDATE(직원목록!$E3,$F10),EDATE($G10,$F10))))</f>
        <v/>
      </c>
      <c r="I10" s="21" t="str">
        <f aca="true">IF($H10="","",$H10-TODAY())</f>
        <v/>
      </c>
      <c r="J10" s="21" t="str">
        <f aca="false">IF($A10="","",IF($H10="","-",IF($I10&lt;0,"기한초과",IF($I10&lt;=사용안내!$C$16,"임박","정상"))))</f>
        <v/>
      </c>
    </row>
    <row r="11" customFormat="false" ht="15" hidden="false" customHeight="true" outlineLevel="0" collapsed="false">
      <c r="A11" s="20" t="str">
        <f aca="false">IF(OR(직원목록!$A3="",교육과정!$A8="",직원목록!$F3="퇴사"),"",직원목록!$A3)</f>
        <v/>
      </c>
      <c r="B11" s="20" t="str">
        <f aca="false">IF($A11="","",직원목록!$B3)</f>
        <v/>
      </c>
      <c r="C11" s="20" t="str">
        <f aca="false">IF($A11="","",직원목록!$C3)</f>
        <v/>
      </c>
      <c r="D11" s="21" t="str">
        <f aca="false">IF($A11="","",교육과정!$A8)</f>
        <v/>
      </c>
      <c r="E11" s="20" t="str">
        <f aca="false">IF($A11="","",교육과정!$B8)</f>
        <v/>
      </c>
      <c r="F11" s="21" t="str">
        <f aca="false">IF($A11="","",교육과정!$C8)</f>
        <v/>
      </c>
      <c r="G11" s="23" t="str">
        <f aca="false">IF($A11="","",IF(COUNTIFS(이수내역!$B$3:$B$2002,$A11,이수내역!$D$3:$D$2002,$D11)=0,"",SUMPRODUCT(MAX((이수내역!$B$3:$B$2002=$A11)*(이수내역!$D$3:$D$2002=$D11)*이수내역!$A$3:$A$2002))))</f>
        <v/>
      </c>
      <c r="H11" s="23" t="str">
        <f aca="false">IF($A11="","",IF($F11="","",IF($G11="",EDATE(직원목록!$E3,$F11),EDATE($G11,$F11))))</f>
        <v/>
      </c>
      <c r="I11" s="21" t="str">
        <f aca="true">IF($H11="","",$H11-TODAY())</f>
        <v/>
      </c>
      <c r="J11" s="21" t="str">
        <f aca="false">IF($A11="","",IF($H11="","-",IF($I11&lt;0,"기한초과",IF($I11&lt;=사용안내!$C$16,"임박","정상"))))</f>
        <v/>
      </c>
    </row>
    <row r="12" customFormat="false" ht="15" hidden="false" customHeight="true" outlineLevel="0" collapsed="false">
      <c r="A12" s="20" t="str">
        <f aca="false">IF(OR(직원목록!$A3="",교육과정!$A9="",직원목록!$F3="퇴사"),"",직원목록!$A3)</f>
        <v/>
      </c>
      <c r="B12" s="20" t="str">
        <f aca="false">IF($A12="","",직원목록!$B3)</f>
        <v/>
      </c>
      <c r="C12" s="20" t="str">
        <f aca="false">IF($A12="","",직원목록!$C3)</f>
        <v/>
      </c>
      <c r="D12" s="21" t="str">
        <f aca="false">IF($A12="","",교육과정!$A9)</f>
        <v/>
      </c>
      <c r="E12" s="20" t="str">
        <f aca="false">IF($A12="","",교육과정!$B9)</f>
        <v/>
      </c>
      <c r="F12" s="21" t="str">
        <f aca="false">IF($A12="","",교육과정!$C9)</f>
        <v/>
      </c>
      <c r="G12" s="23" t="str">
        <f aca="false">IF($A12="","",IF(COUNTIFS(이수내역!$B$3:$B$2002,$A12,이수내역!$D$3:$D$2002,$D12)=0,"",SUMPRODUCT(MAX((이수내역!$B$3:$B$2002=$A12)*(이수내역!$D$3:$D$2002=$D12)*이수내역!$A$3:$A$2002))))</f>
        <v/>
      </c>
      <c r="H12" s="23" t="str">
        <f aca="false">IF($A12="","",IF($F12="","",IF($G12="",EDATE(직원목록!$E3,$F12),EDATE($G12,$F12))))</f>
        <v/>
      </c>
      <c r="I12" s="21" t="str">
        <f aca="true">IF($H12="","",$H12-TODAY())</f>
        <v/>
      </c>
      <c r="J12" s="21" t="str">
        <f aca="false">IF($A12="","",IF($H12="","-",IF($I12&lt;0,"기한초과",IF($I12&lt;=사용안내!$C$16,"임박","정상"))))</f>
        <v/>
      </c>
    </row>
    <row r="13" customFormat="false" ht="15" hidden="false" customHeight="true" outlineLevel="0" collapsed="false">
      <c r="A13" s="20" t="str">
        <f aca="false">IF(OR(직원목록!$A3="",교육과정!$A10="",직원목록!$F3="퇴사"),"",직원목록!$A3)</f>
        <v/>
      </c>
      <c r="B13" s="20" t="str">
        <f aca="false">IF($A13="","",직원목록!$B3)</f>
        <v/>
      </c>
      <c r="C13" s="20" t="str">
        <f aca="false">IF($A13="","",직원목록!$C3)</f>
        <v/>
      </c>
      <c r="D13" s="21" t="str">
        <f aca="false">IF($A13="","",교육과정!$A10)</f>
        <v/>
      </c>
      <c r="E13" s="20" t="str">
        <f aca="false">IF($A13="","",교육과정!$B10)</f>
        <v/>
      </c>
      <c r="F13" s="21" t="str">
        <f aca="false">IF($A13="","",교육과정!$C10)</f>
        <v/>
      </c>
      <c r="G13" s="23" t="str">
        <f aca="false">IF($A13="","",IF(COUNTIFS(이수내역!$B$3:$B$2002,$A13,이수내역!$D$3:$D$2002,$D13)=0,"",SUMPRODUCT(MAX((이수내역!$B$3:$B$2002=$A13)*(이수내역!$D$3:$D$2002=$D13)*이수내역!$A$3:$A$2002))))</f>
        <v/>
      </c>
      <c r="H13" s="23" t="str">
        <f aca="false">IF($A13="","",IF($F13="","",IF($G13="",EDATE(직원목록!$E3,$F13),EDATE($G13,$F13))))</f>
        <v/>
      </c>
      <c r="I13" s="21" t="str">
        <f aca="true">IF($H13="","",$H13-TODAY())</f>
        <v/>
      </c>
      <c r="J13" s="21" t="str">
        <f aca="false">IF($A13="","",IF($H13="","-",IF($I13&lt;0,"기한초과",IF($I13&lt;=사용안내!$C$16,"임박","정상"))))</f>
        <v/>
      </c>
    </row>
    <row r="14" customFormat="false" ht="15" hidden="false" customHeight="true" outlineLevel="0" collapsed="false">
      <c r="A14" s="20" t="str">
        <f aca="false">IF(OR(직원목록!$A3="",교육과정!$A11="",직원목록!$F3="퇴사"),"",직원목록!$A3)</f>
        <v/>
      </c>
      <c r="B14" s="20" t="str">
        <f aca="false">IF($A14="","",직원목록!$B3)</f>
        <v/>
      </c>
      <c r="C14" s="20" t="str">
        <f aca="false">IF($A14="","",직원목록!$C3)</f>
        <v/>
      </c>
      <c r="D14" s="21" t="str">
        <f aca="false">IF($A14="","",교육과정!$A11)</f>
        <v/>
      </c>
      <c r="E14" s="20" t="str">
        <f aca="false">IF($A14="","",교육과정!$B11)</f>
        <v/>
      </c>
      <c r="F14" s="21" t="str">
        <f aca="false">IF($A14="","",교육과정!$C11)</f>
        <v/>
      </c>
      <c r="G14" s="23" t="str">
        <f aca="false">IF($A14="","",IF(COUNTIFS(이수내역!$B$3:$B$2002,$A14,이수내역!$D$3:$D$2002,$D14)=0,"",SUMPRODUCT(MAX((이수내역!$B$3:$B$2002=$A14)*(이수내역!$D$3:$D$2002=$D14)*이수내역!$A$3:$A$2002))))</f>
        <v/>
      </c>
      <c r="H14" s="23" t="str">
        <f aca="false">IF($A14="","",IF($F14="","",IF($G14="",EDATE(직원목록!$E3,$F14),EDATE($G14,$F14))))</f>
        <v/>
      </c>
      <c r="I14" s="21" t="str">
        <f aca="true">IF($H14="","",$H14-TODAY())</f>
        <v/>
      </c>
      <c r="J14" s="21" t="str">
        <f aca="false">IF($A14="","",IF($H14="","-",IF($I14&lt;0,"기한초과",IF($I14&lt;=사용안내!$C$16,"임박","정상"))))</f>
        <v/>
      </c>
    </row>
    <row r="15" customFormat="false" ht="15" hidden="false" customHeight="true" outlineLevel="0" collapsed="false">
      <c r="A15" s="20" t="str">
        <f aca="false">IF(OR(직원목록!$A3="",교육과정!$A12="",직원목록!$F3="퇴사"),"",직원목록!$A3)</f>
        <v/>
      </c>
      <c r="B15" s="20" t="str">
        <f aca="false">IF($A15="","",직원목록!$B3)</f>
        <v/>
      </c>
      <c r="C15" s="20" t="str">
        <f aca="false">IF($A15="","",직원목록!$C3)</f>
        <v/>
      </c>
      <c r="D15" s="21" t="str">
        <f aca="false">IF($A15="","",교육과정!$A12)</f>
        <v/>
      </c>
      <c r="E15" s="20" t="str">
        <f aca="false">IF($A15="","",교육과정!$B12)</f>
        <v/>
      </c>
      <c r="F15" s="21" t="str">
        <f aca="false">IF($A15="","",교육과정!$C12)</f>
        <v/>
      </c>
      <c r="G15" s="23" t="str">
        <f aca="false">IF($A15="","",IF(COUNTIFS(이수내역!$B$3:$B$2002,$A15,이수내역!$D$3:$D$2002,$D15)=0,"",SUMPRODUCT(MAX((이수내역!$B$3:$B$2002=$A15)*(이수내역!$D$3:$D$2002=$D15)*이수내역!$A$3:$A$2002))))</f>
        <v/>
      </c>
      <c r="H15" s="23" t="str">
        <f aca="false">IF($A15="","",IF($F15="","",IF($G15="",EDATE(직원목록!$E3,$F15),EDATE($G15,$F15))))</f>
        <v/>
      </c>
      <c r="I15" s="21" t="str">
        <f aca="true">IF($H15="","",$H15-TODAY())</f>
        <v/>
      </c>
      <c r="J15" s="21" t="str">
        <f aca="false">IF($A15="","",IF($H15="","-",IF($I15&lt;0,"기한초과",IF($I15&lt;=사용안내!$C$16,"임박","정상"))))</f>
        <v/>
      </c>
    </row>
    <row r="16" customFormat="false" ht="15" hidden="false" customHeight="true" outlineLevel="0" collapsed="false">
      <c r="A16" s="20" t="str">
        <f aca="false">IF(OR(직원목록!$A3="",교육과정!$A13="",직원목록!$F3="퇴사"),"",직원목록!$A3)</f>
        <v/>
      </c>
      <c r="B16" s="20" t="str">
        <f aca="false">IF($A16="","",직원목록!$B3)</f>
        <v/>
      </c>
      <c r="C16" s="20" t="str">
        <f aca="false">IF($A16="","",직원목록!$C3)</f>
        <v/>
      </c>
      <c r="D16" s="21" t="str">
        <f aca="false">IF($A16="","",교육과정!$A13)</f>
        <v/>
      </c>
      <c r="E16" s="20" t="str">
        <f aca="false">IF($A16="","",교육과정!$B13)</f>
        <v/>
      </c>
      <c r="F16" s="21" t="str">
        <f aca="false">IF($A16="","",교육과정!$C13)</f>
        <v/>
      </c>
      <c r="G16" s="23" t="str">
        <f aca="false">IF($A16="","",IF(COUNTIFS(이수내역!$B$3:$B$2002,$A16,이수내역!$D$3:$D$2002,$D16)=0,"",SUMPRODUCT(MAX((이수내역!$B$3:$B$2002=$A16)*(이수내역!$D$3:$D$2002=$D16)*이수내역!$A$3:$A$2002))))</f>
        <v/>
      </c>
      <c r="H16" s="23" t="str">
        <f aca="false">IF($A16="","",IF($F16="","",IF($G16="",EDATE(직원목록!$E3,$F16),EDATE($G16,$F16))))</f>
        <v/>
      </c>
      <c r="I16" s="21" t="str">
        <f aca="true">IF($H16="","",$H16-TODAY())</f>
        <v/>
      </c>
      <c r="J16" s="21" t="str">
        <f aca="false">IF($A16="","",IF($H16="","-",IF($I16&lt;0,"기한초과",IF($I16&lt;=사용안내!$C$16,"임박","정상"))))</f>
        <v/>
      </c>
    </row>
    <row r="17" customFormat="false" ht="15" hidden="false" customHeight="true" outlineLevel="0" collapsed="false">
      <c r="A17" s="20" t="str">
        <f aca="false">IF(OR(직원목록!$A3="",교육과정!$A14="",직원목록!$F3="퇴사"),"",직원목록!$A3)</f>
        <v/>
      </c>
      <c r="B17" s="20" t="str">
        <f aca="false">IF($A17="","",직원목록!$B3)</f>
        <v/>
      </c>
      <c r="C17" s="20" t="str">
        <f aca="false">IF($A17="","",직원목록!$C3)</f>
        <v/>
      </c>
      <c r="D17" s="21" t="str">
        <f aca="false">IF($A17="","",교육과정!$A14)</f>
        <v/>
      </c>
      <c r="E17" s="20" t="str">
        <f aca="false">IF($A17="","",교육과정!$B14)</f>
        <v/>
      </c>
      <c r="F17" s="21" t="str">
        <f aca="false">IF($A17="","",교육과정!$C14)</f>
        <v/>
      </c>
      <c r="G17" s="23" t="str">
        <f aca="false">IF($A17="","",IF(COUNTIFS(이수내역!$B$3:$B$2002,$A17,이수내역!$D$3:$D$2002,$D17)=0,"",SUMPRODUCT(MAX((이수내역!$B$3:$B$2002=$A17)*(이수내역!$D$3:$D$2002=$D17)*이수내역!$A$3:$A$2002))))</f>
        <v/>
      </c>
      <c r="H17" s="23" t="str">
        <f aca="false">IF($A17="","",IF($F17="","",IF($G17="",EDATE(직원목록!$E3,$F17),EDATE($G17,$F17))))</f>
        <v/>
      </c>
      <c r="I17" s="21" t="str">
        <f aca="true">IF($H17="","",$H17-TODAY())</f>
        <v/>
      </c>
      <c r="J17" s="21" t="str">
        <f aca="false">IF($A17="","",IF($H17="","-",IF($I17&lt;0,"기한초과",IF($I17&lt;=사용안내!$C$16,"임박","정상"))))</f>
        <v/>
      </c>
    </row>
    <row r="18" customFormat="false" ht="15" hidden="false" customHeight="true" outlineLevel="0" collapsed="false">
      <c r="A18" s="20" t="str">
        <f aca="false">IF(OR(직원목록!$A4="",교육과정!$A3="",직원목록!$F4="퇴사"),"",직원목록!$A4)</f>
        <v>E002</v>
      </c>
      <c r="B18" s="20" t="str">
        <f aca="false">IF($A18="","",직원목록!$B4)</f>
        <v>이직원</v>
      </c>
      <c r="C18" s="20" t="str">
        <f aca="false">IF($A18="","",직원목록!$C4)</f>
        <v>생산1팀</v>
      </c>
      <c r="D18" s="21" t="str">
        <f aca="false">IF($A18="","",교육과정!$A3)</f>
        <v>C01</v>
      </c>
      <c r="E18" s="20" t="str">
        <f aca="false">IF($A18="","",교육과정!$B3)</f>
        <v>산업안전보건교육</v>
      </c>
      <c r="F18" s="22" t="n">
        <f aca="false">IF($A18="","",교육과정!$C3)</f>
        <v>3</v>
      </c>
      <c r="G18" s="23" t="n">
        <f aca="false">IF($A18="","",IF(COUNTIFS(이수내역!$B$3:$B$2002,$A18,이수내역!$D$3:$D$2002,$D18)=0,"",SUMPRODUCT(MAX((이수내역!$B$3:$B$2002=$A18)*(이수내역!$D$3:$D$2002=$D18)*이수내역!$A$3:$A$2002))))</f>
        <v>46254</v>
      </c>
      <c r="H18" s="23" t="n">
        <f aca="false">IF($A18="","",IF($F18="","",IF($G18="",EDATE(직원목록!$E4,$F18),EDATE($G18,$F18))))</f>
        <v>46346</v>
      </c>
      <c r="I18" s="21" t="n">
        <f aca="true">IF($H18="","",$H18-TODAY())</f>
        <v>67</v>
      </c>
      <c r="J18" s="21" t="str">
        <f aca="false">IF($A18="","",IF($H18="","-",IF($I18&lt;0,"기한초과",IF($I18&lt;=사용안내!$C$16,"임박","정상"))))</f>
        <v>정상</v>
      </c>
    </row>
    <row r="19" customFormat="false" ht="15" hidden="false" customHeight="true" outlineLevel="0" collapsed="false">
      <c r="A19" s="20" t="str">
        <f aca="false">IF(OR(직원목록!$A4="",교육과정!$A4="",직원목록!$F4="퇴사"),"",직원목록!$A4)</f>
        <v>E002</v>
      </c>
      <c r="B19" s="20" t="str">
        <f aca="false">IF($A19="","",직원목록!$B4)</f>
        <v>이직원</v>
      </c>
      <c r="C19" s="20" t="str">
        <f aca="false">IF($A19="","",직원목록!$C4)</f>
        <v>생산1팀</v>
      </c>
      <c r="D19" s="21" t="str">
        <f aca="false">IF($A19="","",교육과정!$A4)</f>
        <v>C02</v>
      </c>
      <c r="E19" s="20" t="str">
        <f aca="false">IF($A19="","",교육과정!$B4)</f>
        <v>성희롱 예방교육</v>
      </c>
      <c r="F19" s="22" t="n">
        <f aca="false">IF($A19="","",교육과정!$C4)</f>
        <v>12</v>
      </c>
      <c r="G19" s="23" t="str">
        <f aca="false">IF($A19="","",IF(COUNTIFS(이수내역!$B$3:$B$2002,$A19,이수내역!$D$3:$D$2002,$D19)=0,"",SUMPRODUCT(MAX((이수내역!$B$3:$B$2002=$A19)*(이수내역!$D$3:$D$2002=$D19)*이수내역!$A$3:$A$2002))))</f>
        <v/>
      </c>
      <c r="H19" s="23" t="n">
        <f aca="false">IF($A19="","",IF($F19="","",IF($G19="",EDATE(직원목록!$E4,$F19),EDATE($G19,$F19))))</f>
        <v>45427</v>
      </c>
      <c r="I19" s="21" t="n">
        <f aca="true">IF($H19="","",$H19-TODAY())</f>
        <v>-852</v>
      </c>
      <c r="J19" s="21" t="str">
        <f aca="false">IF($A19="","",IF($H19="","-",IF($I19&lt;0,"기한초과",IF($I19&lt;=사용안내!$C$16,"임박","정상"))))</f>
        <v>기한초과</v>
      </c>
    </row>
    <row r="20" customFormat="false" ht="15" hidden="false" customHeight="true" outlineLevel="0" collapsed="false">
      <c r="A20" s="20" t="str">
        <f aca="false">IF(OR(직원목록!$A4="",교육과정!$A5="",직원목록!$F4="퇴사"),"",직원목록!$A4)</f>
        <v>E002</v>
      </c>
      <c r="B20" s="20" t="str">
        <f aca="false">IF($A20="","",직원목록!$B4)</f>
        <v>이직원</v>
      </c>
      <c r="C20" s="20" t="str">
        <f aca="false">IF($A20="","",직원목록!$C4)</f>
        <v>생산1팀</v>
      </c>
      <c r="D20" s="21" t="str">
        <f aca="false">IF($A20="","",교육과정!$A5)</f>
        <v>C03</v>
      </c>
      <c r="E20" s="20" t="str">
        <f aca="false">IF($A20="","",교육과정!$B5)</f>
        <v>개인정보보호 교육</v>
      </c>
      <c r="F20" s="22" t="n">
        <f aca="false">IF($A20="","",교육과정!$C5)</f>
        <v>12</v>
      </c>
      <c r="G20" s="23" t="str">
        <f aca="false">IF($A20="","",IF(COUNTIFS(이수내역!$B$3:$B$2002,$A20,이수내역!$D$3:$D$2002,$D20)=0,"",SUMPRODUCT(MAX((이수내역!$B$3:$B$2002=$A20)*(이수내역!$D$3:$D$2002=$D20)*이수내역!$A$3:$A$2002))))</f>
        <v/>
      </c>
      <c r="H20" s="23" t="n">
        <f aca="false">IF($A20="","",IF($F20="","",IF($G20="",EDATE(직원목록!$E4,$F20),EDATE($G20,$F20))))</f>
        <v>45427</v>
      </c>
      <c r="I20" s="21" t="n">
        <f aca="true">IF($H20="","",$H20-TODAY())</f>
        <v>-852</v>
      </c>
      <c r="J20" s="21" t="str">
        <f aca="false">IF($A20="","",IF($H20="","-",IF($I20&lt;0,"기한초과",IF($I20&lt;=사용안내!$C$16,"임박","정상"))))</f>
        <v>기한초과</v>
      </c>
    </row>
    <row r="21" customFormat="false" ht="15" hidden="false" customHeight="true" outlineLevel="0" collapsed="false">
      <c r="A21" s="20" t="str">
        <f aca="false">IF(OR(직원목록!$A4="",교육과정!$A6="",직원목록!$F4="퇴사"),"",직원목록!$A4)</f>
        <v>E002</v>
      </c>
      <c r="B21" s="20" t="str">
        <f aca="false">IF($A21="","",직원목록!$B4)</f>
        <v>이직원</v>
      </c>
      <c r="C21" s="20" t="str">
        <f aca="false">IF($A21="","",직원목록!$C4)</f>
        <v>생산1팀</v>
      </c>
      <c r="D21" s="21" t="str">
        <f aca="false">IF($A21="","",교육과정!$A6)</f>
        <v>C04</v>
      </c>
      <c r="E21" s="20" t="str">
        <f aca="false">IF($A21="","",교육과정!$B6)</f>
        <v>지게차 운전 자격</v>
      </c>
      <c r="F21" s="22" t="n">
        <f aca="false">IF($A21="","",교육과정!$C6)</f>
        <v>24</v>
      </c>
      <c r="G21" s="23" t="str">
        <f aca="false">IF($A21="","",IF(COUNTIFS(이수내역!$B$3:$B$2002,$A21,이수내역!$D$3:$D$2002,$D21)=0,"",SUMPRODUCT(MAX((이수내역!$B$3:$B$2002=$A21)*(이수내역!$D$3:$D$2002=$D21)*이수내역!$A$3:$A$2002))))</f>
        <v/>
      </c>
      <c r="H21" s="23" t="n">
        <f aca="false">IF($A21="","",IF($F21="","",IF($G21="",EDATE(직원목록!$E4,$F21),EDATE($G21,$F21))))</f>
        <v>45792</v>
      </c>
      <c r="I21" s="21" t="n">
        <f aca="true">IF($H21="","",$H21-TODAY())</f>
        <v>-487</v>
      </c>
      <c r="J21" s="21" t="str">
        <f aca="false">IF($A21="","",IF($H21="","-",IF($I21&lt;0,"기한초과",IF($I21&lt;=사용안내!$C$16,"임박","정상"))))</f>
        <v>기한초과</v>
      </c>
    </row>
    <row r="22" customFormat="false" ht="15" hidden="false" customHeight="true" outlineLevel="0" collapsed="false">
      <c r="A22" s="20" t="str">
        <f aca="false">IF(OR(직원목록!$A4="",교육과정!$A7="",직원목록!$F4="퇴사"),"",직원목록!$A4)</f>
        <v/>
      </c>
      <c r="B22" s="20" t="str">
        <f aca="false">IF($A22="","",직원목록!$B4)</f>
        <v/>
      </c>
      <c r="C22" s="20" t="str">
        <f aca="false">IF($A22="","",직원목록!$C4)</f>
        <v/>
      </c>
      <c r="D22" s="21" t="str">
        <f aca="false">IF($A22="","",교육과정!$A7)</f>
        <v/>
      </c>
      <c r="E22" s="20" t="str">
        <f aca="false">IF($A22="","",교육과정!$B7)</f>
        <v/>
      </c>
      <c r="F22" s="21" t="str">
        <f aca="false">IF($A22="","",교육과정!$C7)</f>
        <v/>
      </c>
      <c r="G22" s="23" t="str">
        <f aca="false">IF($A22="","",IF(COUNTIFS(이수내역!$B$3:$B$2002,$A22,이수내역!$D$3:$D$2002,$D22)=0,"",SUMPRODUCT(MAX((이수내역!$B$3:$B$2002=$A22)*(이수내역!$D$3:$D$2002=$D22)*이수내역!$A$3:$A$2002))))</f>
        <v/>
      </c>
      <c r="H22" s="23" t="str">
        <f aca="false">IF($A22="","",IF($F22="","",IF($G22="",EDATE(직원목록!$E4,$F22),EDATE($G22,$F22))))</f>
        <v/>
      </c>
      <c r="I22" s="21" t="str">
        <f aca="true">IF($H22="","",$H22-TODAY())</f>
        <v/>
      </c>
      <c r="J22" s="21" t="str">
        <f aca="false">IF($A22="","",IF($H22="","-",IF($I22&lt;0,"기한초과",IF($I22&lt;=사용안내!$C$16,"임박","정상"))))</f>
        <v/>
      </c>
    </row>
    <row r="23" customFormat="false" ht="15" hidden="false" customHeight="true" outlineLevel="0" collapsed="false">
      <c r="A23" s="20" t="str">
        <f aca="false">IF(OR(직원목록!$A4="",교육과정!$A8="",직원목록!$F4="퇴사"),"",직원목록!$A4)</f>
        <v/>
      </c>
      <c r="B23" s="20" t="str">
        <f aca="false">IF($A23="","",직원목록!$B4)</f>
        <v/>
      </c>
      <c r="C23" s="20" t="str">
        <f aca="false">IF($A23="","",직원목록!$C4)</f>
        <v/>
      </c>
      <c r="D23" s="21" t="str">
        <f aca="false">IF($A23="","",교육과정!$A8)</f>
        <v/>
      </c>
      <c r="E23" s="20" t="str">
        <f aca="false">IF($A23="","",교육과정!$B8)</f>
        <v/>
      </c>
      <c r="F23" s="21" t="str">
        <f aca="false">IF($A23="","",교육과정!$C8)</f>
        <v/>
      </c>
      <c r="G23" s="23" t="str">
        <f aca="false">IF($A23="","",IF(COUNTIFS(이수내역!$B$3:$B$2002,$A23,이수내역!$D$3:$D$2002,$D23)=0,"",SUMPRODUCT(MAX((이수내역!$B$3:$B$2002=$A23)*(이수내역!$D$3:$D$2002=$D23)*이수내역!$A$3:$A$2002))))</f>
        <v/>
      </c>
      <c r="H23" s="23" t="str">
        <f aca="false">IF($A23="","",IF($F23="","",IF($G23="",EDATE(직원목록!$E4,$F23),EDATE($G23,$F23))))</f>
        <v/>
      </c>
      <c r="I23" s="21" t="str">
        <f aca="true">IF($H23="","",$H23-TODAY())</f>
        <v/>
      </c>
      <c r="J23" s="21" t="str">
        <f aca="false">IF($A23="","",IF($H23="","-",IF($I23&lt;0,"기한초과",IF($I23&lt;=사용안내!$C$16,"임박","정상"))))</f>
        <v/>
      </c>
    </row>
    <row r="24" customFormat="false" ht="15" hidden="false" customHeight="true" outlineLevel="0" collapsed="false">
      <c r="A24" s="20" t="str">
        <f aca="false">IF(OR(직원목록!$A4="",교육과정!$A9="",직원목록!$F4="퇴사"),"",직원목록!$A4)</f>
        <v/>
      </c>
      <c r="B24" s="20" t="str">
        <f aca="false">IF($A24="","",직원목록!$B4)</f>
        <v/>
      </c>
      <c r="C24" s="20" t="str">
        <f aca="false">IF($A24="","",직원목록!$C4)</f>
        <v/>
      </c>
      <c r="D24" s="21" t="str">
        <f aca="false">IF($A24="","",교육과정!$A9)</f>
        <v/>
      </c>
      <c r="E24" s="20" t="str">
        <f aca="false">IF($A24="","",교육과정!$B9)</f>
        <v/>
      </c>
      <c r="F24" s="21" t="str">
        <f aca="false">IF($A24="","",교육과정!$C9)</f>
        <v/>
      </c>
      <c r="G24" s="23" t="str">
        <f aca="false">IF($A24="","",IF(COUNTIFS(이수내역!$B$3:$B$2002,$A24,이수내역!$D$3:$D$2002,$D24)=0,"",SUMPRODUCT(MAX((이수내역!$B$3:$B$2002=$A24)*(이수내역!$D$3:$D$2002=$D24)*이수내역!$A$3:$A$2002))))</f>
        <v/>
      </c>
      <c r="H24" s="23" t="str">
        <f aca="false">IF($A24="","",IF($F24="","",IF($G24="",EDATE(직원목록!$E4,$F24),EDATE($G24,$F24))))</f>
        <v/>
      </c>
      <c r="I24" s="21" t="str">
        <f aca="true">IF($H24="","",$H24-TODAY())</f>
        <v/>
      </c>
      <c r="J24" s="21" t="str">
        <f aca="false">IF($A24="","",IF($H24="","-",IF($I24&lt;0,"기한초과",IF($I24&lt;=사용안내!$C$16,"임박","정상"))))</f>
        <v/>
      </c>
    </row>
    <row r="25" customFormat="false" ht="15" hidden="false" customHeight="true" outlineLevel="0" collapsed="false">
      <c r="A25" s="20" t="str">
        <f aca="false">IF(OR(직원목록!$A4="",교육과정!$A10="",직원목록!$F4="퇴사"),"",직원목록!$A4)</f>
        <v/>
      </c>
      <c r="B25" s="20" t="str">
        <f aca="false">IF($A25="","",직원목록!$B4)</f>
        <v/>
      </c>
      <c r="C25" s="20" t="str">
        <f aca="false">IF($A25="","",직원목록!$C4)</f>
        <v/>
      </c>
      <c r="D25" s="21" t="str">
        <f aca="false">IF($A25="","",교육과정!$A10)</f>
        <v/>
      </c>
      <c r="E25" s="20" t="str">
        <f aca="false">IF($A25="","",교육과정!$B10)</f>
        <v/>
      </c>
      <c r="F25" s="21" t="str">
        <f aca="false">IF($A25="","",교육과정!$C10)</f>
        <v/>
      </c>
      <c r="G25" s="23" t="str">
        <f aca="false">IF($A25="","",IF(COUNTIFS(이수내역!$B$3:$B$2002,$A25,이수내역!$D$3:$D$2002,$D25)=0,"",SUMPRODUCT(MAX((이수내역!$B$3:$B$2002=$A25)*(이수내역!$D$3:$D$2002=$D25)*이수내역!$A$3:$A$2002))))</f>
        <v/>
      </c>
      <c r="H25" s="23" t="str">
        <f aca="false">IF($A25="","",IF($F25="","",IF($G25="",EDATE(직원목록!$E4,$F25),EDATE($G25,$F25))))</f>
        <v/>
      </c>
      <c r="I25" s="21" t="str">
        <f aca="true">IF($H25="","",$H25-TODAY())</f>
        <v/>
      </c>
      <c r="J25" s="21" t="str">
        <f aca="false">IF($A25="","",IF($H25="","-",IF($I25&lt;0,"기한초과",IF($I25&lt;=사용안내!$C$16,"임박","정상"))))</f>
        <v/>
      </c>
    </row>
    <row r="26" customFormat="false" ht="15" hidden="false" customHeight="true" outlineLevel="0" collapsed="false">
      <c r="A26" s="20" t="str">
        <f aca="false">IF(OR(직원목록!$A4="",교육과정!$A11="",직원목록!$F4="퇴사"),"",직원목록!$A4)</f>
        <v/>
      </c>
      <c r="B26" s="20" t="str">
        <f aca="false">IF($A26="","",직원목록!$B4)</f>
        <v/>
      </c>
      <c r="C26" s="20" t="str">
        <f aca="false">IF($A26="","",직원목록!$C4)</f>
        <v/>
      </c>
      <c r="D26" s="21" t="str">
        <f aca="false">IF($A26="","",교육과정!$A11)</f>
        <v/>
      </c>
      <c r="E26" s="20" t="str">
        <f aca="false">IF($A26="","",교육과정!$B11)</f>
        <v/>
      </c>
      <c r="F26" s="21" t="str">
        <f aca="false">IF($A26="","",교육과정!$C11)</f>
        <v/>
      </c>
      <c r="G26" s="23" t="str">
        <f aca="false">IF($A26="","",IF(COUNTIFS(이수내역!$B$3:$B$2002,$A26,이수내역!$D$3:$D$2002,$D26)=0,"",SUMPRODUCT(MAX((이수내역!$B$3:$B$2002=$A26)*(이수내역!$D$3:$D$2002=$D26)*이수내역!$A$3:$A$2002))))</f>
        <v/>
      </c>
      <c r="H26" s="23" t="str">
        <f aca="false">IF($A26="","",IF($F26="","",IF($G26="",EDATE(직원목록!$E4,$F26),EDATE($G26,$F26))))</f>
        <v/>
      </c>
      <c r="I26" s="21" t="str">
        <f aca="true">IF($H26="","",$H26-TODAY())</f>
        <v/>
      </c>
      <c r="J26" s="21" t="str">
        <f aca="false">IF($A26="","",IF($H26="","-",IF($I26&lt;0,"기한초과",IF($I26&lt;=사용안내!$C$16,"임박","정상"))))</f>
        <v/>
      </c>
    </row>
    <row r="27" customFormat="false" ht="15" hidden="false" customHeight="true" outlineLevel="0" collapsed="false">
      <c r="A27" s="20" t="str">
        <f aca="false">IF(OR(직원목록!$A4="",교육과정!$A12="",직원목록!$F4="퇴사"),"",직원목록!$A4)</f>
        <v/>
      </c>
      <c r="B27" s="20" t="str">
        <f aca="false">IF($A27="","",직원목록!$B4)</f>
        <v/>
      </c>
      <c r="C27" s="20" t="str">
        <f aca="false">IF($A27="","",직원목록!$C4)</f>
        <v/>
      </c>
      <c r="D27" s="21" t="str">
        <f aca="false">IF($A27="","",교육과정!$A12)</f>
        <v/>
      </c>
      <c r="E27" s="20" t="str">
        <f aca="false">IF($A27="","",교육과정!$B12)</f>
        <v/>
      </c>
      <c r="F27" s="21" t="str">
        <f aca="false">IF($A27="","",교육과정!$C12)</f>
        <v/>
      </c>
      <c r="G27" s="23" t="str">
        <f aca="false">IF($A27="","",IF(COUNTIFS(이수내역!$B$3:$B$2002,$A27,이수내역!$D$3:$D$2002,$D27)=0,"",SUMPRODUCT(MAX((이수내역!$B$3:$B$2002=$A27)*(이수내역!$D$3:$D$2002=$D27)*이수내역!$A$3:$A$2002))))</f>
        <v/>
      </c>
      <c r="H27" s="23" t="str">
        <f aca="false">IF($A27="","",IF($F27="","",IF($G27="",EDATE(직원목록!$E4,$F27),EDATE($G27,$F27))))</f>
        <v/>
      </c>
      <c r="I27" s="21" t="str">
        <f aca="true">IF($H27="","",$H27-TODAY())</f>
        <v/>
      </c>
      <c r="J27" s="21" t="str">
        <f aca="false">IF($A27="","",IF($H27="","-",IF($I27&lt;0,"기한초과",IF($I27&lt;=사용안내!$C$16,"임박","정상"))))</f>
        <v/>
      </c>
    </row>
    <row r="28" customFormat="false" ht="15" hidden="false" customHeight="true" outlineLevel="0" collapsed="false">
      <c r="A28" s="20" t="str">
        <f aca="false">IF(OR(직원목록!$A4="",교육과정!$A13="",직원목록!$F4="퇴사"),"",직원목록!$A4)</f>
        <v/>
      </c>
      <c r="B28" s="20" t="str">
        <f aca="false">IF($A28="","",직원목록!$B4)</f>
        <v/>
      </c>
      <c r="C28" s="20" t="str">
        <f aca="false">IF($A28="","",직원목록!$C4)</f>
        <v/>
      </c>
      <c r="D28" s="21" t="str">
        <f aca="false">IF($A28="","",교육과정!$A13)</f>
        <v/>
      </c>
      <c r="E28" s="20" t="str">
        <f aca="false">IF($A28="","",교육과정!$B13)</f>
        <v/>
      </c>
      <c r="F28" s="21" t="str">
        <f aca="false">IF($A28="","",교육과정!$C13)</f>
        <v/>
      </c>
      <c r="G28" s="23" t="str">
        <f aca="false">IF($A28="","",IF(COUNTIFS(이수내역!$B$3:$B$2002,$A28,이수내역!$D$3:$D$2002,$D28)=0,"",SUMPRODUCT(MAX((이수내역!$B$3:$B$2002=$A28)*(이수내역!$D$3:$D$2002=$D28)*이수내역!$A$3:$A$2002))))</f>
        <v/>
      </c>
      <c r="H28" s="23" t="str">
        <f aca="false">IF($A28="","",IF($F28="","",IF($G28="",EDATE(직원목록!$E4,$F28),EDATE($G28,$F28))))</f>
        <v/>
      </c>
      <c r="I28" s="21" t="str">
        <f aca="true">IF($H28="","",$H28-TODAY())</f>
        <v/>
      </c>
      <c r="J28" s="21" t="str">
        <f aca="false">IF($A28="","",IF($H28="","-",IF($I28&lt;0,"기한초과",IF($I28&lt;=사용안내!$C$16,"임박","정상"))))</f>
        <v/>
      </c>
    </row>
    <row r="29" customFormat="false" ht="15" hidden="false" customHeight="true" outlineLevel="0" collapsed="false">
      <c r="A29" s="20" t="str">
        <f aca="false">IF(OR(직원목록!$A4="",교육과정!$A14="",직원목록!$F4="퇴사"),"",직원목록!$A4)</f>
        <v/>
      </c>
      <c r="B29" s="20" t="str">
        <f aca="false">IF($A29="","",직원목록!$B4)</f>
        <v/>
      </c>
      <c r="C29" s="20" t="str">
        <f aca="false">IF($A29="","",직원목록!$C4)</f>
        <v/>
      </c>
      <c r="D29" s="21" t="str">
        <f aca="false">IF($A29="","",교육과정!$A14)</f>
        <v/>
      </c>
      <c r="E29" s="20" t="str">
        <f aca="false">IF($A29="","",교육과정!$B14)</f>
        <v/>
      </c>
      <c r="F29" s="21" t="str">
        <f aca="false">IF($A29="","",교육과정!$C14)</f>
        <v/>
      </c>
      <c r="G29" s="23" t="str">
        <f aca="false">IF($A29="","",IF(COUNTIFS(이수내역!$B$3:$B$2002,$A29,이수내역!$D$3:$D$2002,$D29)=0,"",SUMPRODUCT(MAX((이수내역!$B$3:$B$2002=$A29)*(이수내역!$D$3:$D$2002=$D29)*이수내역!$A$3:$A$2002))))</f>
        <v/>
      </c>
      <c r="H29" s="23" t="str">
        <f aca="false">IF($A29="","",IF($F29="","",IF($G29="",EDATE(직원목록!$E4,$F29),EDATE($G29,$F29))))</f>
        <v/>
      </c>
      <c r="I29" s="21" t="str">
        <f aca="true">IF($H29="","",$H29-TODAY())</f>
        <v/>
      </c>
      <c r="J29" s="21" t="str">
        <f aca="false">IF($A29="","",IF($H29="","-",IF($I29&lt;0,"기한초과",IF($I29&lt;=사용안내!$C$16,"임박","정상"))))</f>
        <v/>
      </c>
    </row>
    <row r="30" customFormat="false" ht="15" hidden="false" customHeight="true" outlineLevel="0" collapsed="false">
      <c r="A30" s="20" t="str">
        <f aca="false">IF(OR(직원목록!$A5="",교육과정!$A3="",직원목록!$F5="퇴사"),"",직원목록!$A5)</f>
        <v>E003</v>
      </c>
      <c r="B30" s="20" t="str">
        <f aca="false">IF($A30="","",직원목록!$B5)</f>
        <v>박직원</v>
      </c>
      <c r="C30" s="20" t="str">
        <f aca="false">IF($A30="","",직원목록!$C5)</f>
        <v>관리팀</v>
      </c>
      <c r="D30" s="21" t="str">
        <f aca="false">IF($A30="","",교육과정!$A3)</f>
        <v>C01</v>
      </c>
      <c r="E30" s="20" t="str">
        <f aca="false">IF($A30="","",교육과정!$B3)</f>
        <v>산업안전보건교육</v>
      </c>
      <c r="F30" s="22" t="n">
        <f aca="false">IF($A30="","",교육과정!$C3)</f>
        <v>3</v>
      </c>
      <c r="G30" s="23" t="str">
        <f aca="false">IF($A30="","",IF(COUNTIFS(이수내역!$B$3:$B$2002,$A30,이수내역!$D$3:$D$2002,$D30)=0,"",SUMPRODUCT(MAX((이수내역!$B$3:$B$2002=$A30)*(이수내역!$D$3:$D$2002=$D30)*이수내역!$A$3:$A$2002))))</f>
        <v/>
      </c>
      <c r="H30" s="23" t="n">
        <f aca="false">IF($A30="","",IF($F30="","",IF($G30="",EDATE(직원목록!$E5,$F30),EDATE($G30,$F30))))</f>
        <v>44661</v>
      </c>
      <c r="I30" s="21" t="n">
        <f aca="true">IF($H30="","",$H30-TODAY())</f>
        <v>-1618</v>
      </c>
      <c r="J30" s="21" t="str">
        <f aca="false">IF($A30="","",IF($H30="","-",IF($I30&lt;0,"기한초과",IF($I30&lt;=사용안내!$C$16,"임박","정상"))))</f>
        <v>기한초과</v>
      </c>
    </row>
    <row r="31" customFormat="false" ht="15" hidden="false" customHeight="true" outlineLevel="0" collapsed="false">
      <c r="A31" s="20" t="str">
        <f aca="false">IF(OR(직원목록!$A5="",교육과정!$A4="",직원목록!$F5="퇴사"),"",직원목록!$A5)</f>
        <v>E003</v>
      </c>
      <c r="B31" s="20" t="str">
        <f aca="false">IF($A31="","",직원목록!$B5)</f>
        <v>박직원</v>
      </c>
      <c r="C31" s="20" t="str">
        <f aca="false">IF($A31="","",직원목록!$C5)</f>
        <v>관리팀</v>
      </c>
      <c r="D31" s="21" t="str">
        <f aca="false">IF($A31="","",교육과정!$A4)</f>
        <v>C02</v>
      </c>
      <c r="E31" s="20" t="str">
        <f aca="false">IF($A31="","",교육과정!$B4)</f>
        <v>성희롱 예방교육</v>
      </c>
      <c r="F31" s="22" t="n">
        <f aca="false">IF($A31="","",교육과정!$C4)</f>
        <v>12</v>
      </c>
      <c r="G31" s="23" t="n">
        <f aca="false">IF($A31="","",IF(COUNTIFS(이수내역!$B$3:$B$2002,$A31,이수내역!$D$3:$D$2002,$D31)=0,"",SUMPRODUCT(MAX((이수내역!$B$3:$B$2002=$A31)*(이수내역!$D$3:$D$2002=$D31)*이수내역!$A$3:$A$2002))))</f>
        <v>45809</v>
      </c>
      <c r="H31" s="23" t="n">
        <f aca="false">IF($A31="","",IF($F31="","",IF($G31="",EDATE(직원목록!$E5,$F31),EDATE($G31,$F31))))</f>
        <v>46174</v>
      </c>
      <c r="I31" s="21" t="n">
        <f aca="true">IF($H31="","",$H31-TODAY())</f>
        <v>-105</v>
      </c>
      <c r="J31" s="21" t="str">
        <f aca="false">IF($A31="","",IF($H31="","-",IF($I31&lt;0,"기한초과",IF($I31&lt;=사용안내!$C$16,"임박","정상"))))</f>
        <v>기한초과</v>
      </c>
    </row>
    <row r="32" customFormat="false" ht="15" hidden="false" customHeight="true" outlineLevel="0" collapsed="false">
      <c r="A32" s="20" t="str">
        <f aca="false">IF(OR(직원목록!$A5="",교육과정!$A5="",직원목록!$F5="퇴사"),"",직원목록!$A5)</f>
        <v>E003</v>
      </c>
      <c r="B32" s="20" t="str">
        <f aca="false">IF($A32="","",직원목록!$B5)</f>
        <v>박직원</v>
      </c>
      <c r="C32" s="20" t="str">
        <f aca="false">IF($A32="","",직원목록!$C5)</f>
        <v>관리팀</v>
      </c>
      <c r="D32" s="21" t="str">
        <f aca="false">IF($A32="","",교육과정!$A5)</f>
        <v>C03</v>
      </c>
      <c r="E32" s="20" t="str">
        <f aca="false">IF($A32="","",교육과정!$B5)</f>
        <v>개인정보보호 교육</v>
      </c>
      <c r="F32" s="22" t="n">
        <f aca="false">IF($A32="","",교육과정!$C5)</f>
        <v>12</v>
      </c>
      <c r="G32" s="23" t="str">
        <f aca="false">IF($A32="","",IF(COUNTIFS(이수내역!$B$3:$B$2002,$A32,이수내역!$D$3:$D$2002,$D32)=0,"",SUMPRODUCT(MAX((이수내역!$B$3:$B$2002=$A32)*(이수내역!$D$3:$D$2002=$D32)*이수내역!$A$3:$A$2002))))</f>
        <v/>
      </c>
      <c r="H32" s="23" t="n">
        <f aca="false">IF($A32="","",IF($F32="","",IF($G32="",EDATE(직원목록!$E5,$F32),EDATE($G32,$F32))))</f>
        <v>44936</v>
      </c>
      <c r="I32" s="21" t="n">
        <f aca="true">IF($H32="","",$H32-TODAY())</f>
        <v>-1343</v>
      </c>
      <c r="J32" s="21" t="str">
        <f aca="false">IF($A32="","",IF($H32="","-",IF($I32&lt;0,"기한초과",IF($I32&lt;=사용안내!$C$16,"임박","정상"))))</f>
        <v>기한초과</v>
      </c>
    </row>
    <row r="33" customFormat="false" ht="15" hidden="false" customHeight="true" outlineLevel="0" collapsed="false">
      <c r="A33" s="20" t="str">
        <f aca="false">IF(OR(직원목록!$A5="",교육과정!$A6="",직원목록!$F5="퇴사"),"",직원목록!$A5)</f>
        <v>E003</v>
      </c>
      <c r="B33" s="20" t="str">
        <f aca="false">IF($A33="","",직원목록!$B5)</f>
        <v>박직원</v>
      </c>
      <c r="C33" s="20" t="str">
        <f aca="false">IF($A33="","",직원목록!$C5)</f>
        <v>관리팀</v>
      </c>
      <c r="D33" s="21" t="str">
        <f aca="false">IF($A33="","",교육과정!$A6)</f>
        <v>C04</v>
      </c>
      <c r="E33" s="20" t="str">
        <f aca="false">IF($A33="","",교육과정!$B6)</f>
        <v>지게차 운전 자격</v>
      </c>
      <c r="F33" s="22" t="n">
        <f aca="false">IF($A33="","",교육과정!$C6)</f>
        <v>24</v>
      </c>
      <c r="G33" s="23" t="str">
        <f aca="false">IF($A33="","",IF(COUNTIFS(이수내역!$B$3:$B$2002,$A33,이수내역!$D$3:$D$2002,$D33)=0,"",SUMPRODUCT(MAX((이수내역!$B$3:$B$2002=$A33)*(이수내역!$D$3:$D$2002=$D33)*이수내역!$A$3:$A$2002))))</f>
        <v/>
      </c>
      <c r="H33" s="23" t="n">
        <f aca="false">IF($A33="","",IF($F33="","",IF($G33="",EDATE(직원목록!$E5,$F33),EDATE($G33,$F33))))</f>
        <v>45301</v>
      </c>
      <c r="I33" s="21" t="n">
        <f aca="true">IF($H33="","",$H33-TODAY())</f>
        <v>-978</v>
      </c>
      <c r="J33" s="21" t="str">
        <f aca="false">IF($A33="","",IF($H33="","-",IF($I33&lt;0,"기한초과",IF($I33&lt;=사용안내!$C$16,"임박","정상"))))</f>
        <v>기한초과</v>
      </c>
    </row>
    <row r="34" customFormat="false" ht="15" hidden="false" customHeight="true" outlineLevel="0" collapsed="false">
      <c r="A34" s="20" t="str">
        <f aca="false">IF(OR(직원목록!$A5="",교육과정!$A7="",직원목록!$F5="퇴사"),"",직원목록!$A5)</f>
        <v/>
      </c>
      <c r="B34" s="20" t="str">
        <f aca="false">IF($A34="","",직원목록!$B5)</f>
        <v/>
      </c>
      <c r="C34" s="20" t="str">
        <f aca="false">IF($A34="","",직원목록!$C5)</f>
        <v/>
      </c>
      <c r="D34" s="21" t="str">
        <f aca="false">IF($A34="","",교육과정!$A7)</f>
        <v/>
      </c>
      <c r="E34" s="20" t="str">
        <f aca="false">IF($A34="","",교육과정!$B7)</f>
        <v/>
      </c>
      <c r="F34" s="21" t="str">
        <f aca="false">IF($A34="","",교육과정!$C7)</f>
        <v/>
      </c>
      <c r="G34" s="23" t="str">
        <f aca="false">IF($A34="","",IF(COUNTIFS(이수내역!$B$3:$B$2002,$A34,이수내역!$D$3:$D$2002,$D34)=0,"",SUMPRODUCT(MAX((이수내역!$B$3:$B$2002=$A34)*(이수내역!$D$3:$D$2002=$D34)*이수내역!$A$3:$A$2002))))</f>
        <v/>
      </c>
      <c r="H34" s="23" t="str">
        <f aca="false">IF($A34="","",IF($F34="","",IF($G34="",EDATE(직원목록!$E5,$F34),EDATE($G34,$F34))))</f>
        <v/>
      </c>
      <c r="I34" s="21" t="str">
        <f aca="true">IF($H34="","",$H34-TODAY())</f>
        <v/>
      </c>
      <c r="J34" s="21" t="str">
        <f aca="false">IF($A34="","",IF($H34="","-",IF($I34&lt;0,"기한초과",IF($I34&lt;=사용안내!$C$16,"임박","정상"))))</f>
        <v/>
      </c>
    </row>
    <row r="35" customFormat="false" ht="15" hidden="false" customHeight="true" outlineLevel="0" collapsed="false">
      <c r="A35" s="20" t="str">
        <f aca="false">IF(OR(직원목록!$A5="",교육과정!$A8="",직원목록!$F5="퇴사"),"",직원목록!$A5)</f>
        <v/>
      </c>
      <c r="B35" s="20" t="str">
        <f aca="false">IF($A35="","",직원목록!$B5)</f>
        <v/>
      </c>
      <c r="C35" s="20" t="str">
        <f aca="false">IF($A35="","",직원목록!$C5)</f>
        <v/>
      </c>
      <c r="D35" s="21" t="str">
        <f aca="false">IF($A35="","",교육과정!$A8)</f>
        <v/>
      </c>
      <c r="E35" s="20" t="str">
        <f aca="false">IF($A35="","",교육과정!$B8)</f>
        <v/>
      </c>
      <c r="F35" s="21" t="str">
        <f aca="false">IF($A35="","",교육과정!$C8)</f>
        <v/>
      </c>
      <c r="G35" s="23" t="str">
        <f aca="false">IF($A35="","",IF(COUNTIFS(이수내역!$B$3:$B$2002,$A35,이수내역!$D$3:$D$2002,$D35)=0,"",SUMPRODUCT(MAX((이수내역!$B$3:$B$2002=$A35)*(이수내역!$D$3:$D$2002=$D35)*이수내역!$A$3:$A$2002))))</f>
        <v/>
      </c>
      <c r="H35" s="23" t="str">
        <f aca="false">IF($A35="","",IF($F35="","",IF($G35="",EDATE(직원목록!$E5,$F35),EDATE($G35,$F35))))</f>
        <v/>
      </c>
      <c r="I35" s="21" t="str">
        <f aca="true">IF($H35="","",$H35-TODAY())</f>
        <v/>
      </c>
      <c r="J35" s="21" t="str">
        <f aca="false">IF($A35="","",IF($H35="","-",IF($I35&lt;0,"기한초과",IF($I35&lt;=사용안내!$C$16,"임박","정상"))))</f>
        <v/>
      </c>
    </row>
    <row r="36" customFormat="false" ht="15" hidden="false" customHeight="true" outlineLevel="0" collapsed="false">
      <c r="A36" s="20" t="str">
        <f aca="false">IF(OR(직원목록!$A5="",교육과정!$A9="",직원목록!$F5="퇴사"),"",직원목록!$A5)</f>
        <v/>
      </c>
      <c r="B36" s="20" t="str">
        <f aca="false">IF($A36="","",직원목록!$B5)</f>
        <v/>
      </c>
      <c r="C36" s="20" t="str">
        <f aca="false">IF($A36="","",직원목록!$C5)</f>
        <v/>
      </c>
      <c r="D36" s="21" t="str">
        <f aca="false">IF($A36="","",교육과정!$A9)</f>
        <v/>
      </c>
      <c r="E36" s="20" t="str">
        <f aca="false">IF($A36="","",교육과정!$B9)</f>
        <v/>
      </c>
      <c r="F36" s="21" t="str">
        <f aca="false">IF($A36="","",교육과정!$C9)</f>
        <v/>
      </c>
      <c r="G36" s="23" t="str">
        <f aca="false">IF($A36="","",IF(COUNTIFS(이수내역!$B$3:$B$2002,$A36,이수내역!$D$3:$D$2002,$D36)=0,"",SUMPRODUCT(MAX((이수내역!$B$3:$B$2002=$A36)*(이수내역!$D$3:$D$2002=$D36)*이수내역!$A$3:$A$2002))))</f>
        <v/>
      </c>
      <c r="H36" s="23" t="str">
        <f aca="false">IF($A36="","",IF($F36="","",IF($G36="",EDATE(직원목록!$E5,$F36),EDATE($G36,$F36))))</f>
        <v/>
      </c>
      <c r="I36" s="21" t="str">
        <f aca="true">IF($H36="","",$H36-TODAY())</f>
        <v/>
      </c>
      <c r="J36" s="21" t="str">
        <f aca="false">IF($A36="","",IF($H36="","-",IF($I36&lt;0,"기한초과",IF($I36&lt;=사용안내!$C$16,"임박","정상"))))</f>
        <v/>
      </c>
    </row>
    <row r="37" customFormat="false" ht="15" hidden="false" customHeight="true" outlineLevel="0" collapsed="false">
      <c r="A37" s="20" t="str">
        <f aca="false">IF(OR(직원목록!$A5="",교육과정!$A10="",직원목록!$F5="퇴사"),"",직원목록!$A5)</f>
        <v/>
      </c>
      <c r="B37" s="20" t="str">
        <f aca="false">IF($A37="","",직원목록!$B5)</f>
        <v/>
      </c>
      <c r="C37" s="20" t="str">
        <f aca="false">IF($A37="","",직원목록!$C5)</f>
        <v/>
      </c>
      <c r="D37" s="21" t="str">
        <f aca="false">IF($A37="","",교육과정!$A10)</f>
        <v/>
      </c>
      <c r="E37" s="20" t="str">
        <f aca="false">IF($A37="","",교육과정!$B10)</f>
        <v/>
      </c>
      <c r="F37" s="21" t="str">
        <f aca="false">IF($A37="","",교육과정!$C10)</f>
        <v/>
      </c>
      <c r="G37" s="23" t="str">
        <f aca="false">IF($A37="","",IF(COUNTIFS(이수내역!$B$3:$B$2002,$A37,이수내역!$D$3:$D$2002,$D37)=0,"",SUMPRODUCT(MAX((이수내역!$B$3:$B$2002=$A37)*(이수내역!$D$3:$D$2002=$D37)*이수내역!$A$3:$A$2002))))</f>
        <v/>
      </c>
      <c r="H37" s="23" t="str">
        <f aca="false">IF($A37="","",IF($F37="","",IF($G37="",EDATE(직원목록!$E5,$F37),EDATE($G37,$F37))))</f>
        <v/>
      </c>
      <c r="I37" s="21" t="str">
        <f aca="true">IF($H37="","",$H37-TODAY())</f>
        <v/>
      </c>
      <c r="J37" s="21" t="str">
        <f aca="false">IF($A37="","",IF($H37="","-",IF($I37&lt;0,"기한초과",IF($I37&lt;=사용안내!$C$16,"임박","정상"))))</f>
        <v/>
      </c>
    </row>
    <row r="38" customFormat="false" ht="15" hidden="false" customHeight="true" outlineLevel="0" collapsed="false">
      <c r="A38" s="20" t="str">
        <f aca="false">IF(OR(직원목록!$A5="",교육과정!$A11="",직원목록!$F5="퇴사"),"",직원목록!$A5)</f>
        <v/>
      </c>
      <c r="B38" s="20" t="str">
        <f aca="false">IF($A38="","",직원목록!$B5)</f>
        <v/>
      </c>
      <c r="C38" s="20" t="str">
        <f aca="false">IF($A38="","",직원목록!$C5)</f>
        <v/>
      </c>
      <c r="D38" s="21" t="str">
        <f aca="false">IF($A38="","",교육과정!$A11)</f>
        <v/>
      </c>
      <c r="E38" s="20" t="str">
        <f aca="false">IF($A38="","",교육과정!$B11)</f>
        <v/>
      </c>
      <c r="F38" s="21" t="str">
        <f aca="false">IF($A38="","",교육과정!$C11)</f>
        <v/>
      </c>
      <c r="G38" s="23" t="str">
        <f aca="false">IF($A38="","",IF(COUNTIFS(이수내역!$B$3:$B$2002,$A38,이수내역!$D$3:$D$2002,$D38)=0,"",SUMPRODUCT(MAX((이수내역!$B$3:$B$2002=$A38)*(이수내역!$D$3:$D$2002=$D38)*이수내역!$A$3:$A$2002))))</f>
        <v/>
      </c>
      <c r="H38" s="23" t="str">
        <f aca="false">IF($A38="","",IF($F38="","",IF($G38="",EDATE(직원목록!$E5,$F38),EDATE($G38,$F38))))</f>
        <v/>
      </c>
      <c r="I38" s="21" t="str">
        <f aca="true">IF($H38="","",$H38-TODAY())</f>
        <v/>
      </c>
      <c r="J38" s="21" t="str">
        <f aca="false">IF($A38="","",IF($H38="","-",IF($I38&lt;0,"기한초과",IF($I38&lt;=사용안내!$C$16,"임박","정상"))))</f>
        <v/>
      </c>
    </row>
    <row r="39" customFormat="false" ht="15" hidden="false" customHeight="true" outlineLevel="0" collapsed="false">
      <c r="A39" s="20" t="str">
        <f aca="false">IF(OR(직원목록!$A5="",교육과정!$A12="",직원목록!$F5="퇴사"),"",직원목록!$A5)</f>
        <v/>
      </c>
      <c r="B39" s="20" t="str">
        <f aca="false">IF($A39="","",직원목록!$B5)</f>
        <v/>
      </c>
      <c r="C39" s="20" t="str">
        <f aca="false">IF($A39="","",직원목록!$C5)</f>
        <v/>
      </c>
      <c r="D39" s="21" t="str">
        <f aca="false">IF($A39="","",교육과정!$A12)</f>
        <v/>
      </c>
      <c r="E39" s="20" t="str">
        <f aca="false">IF($A39="","",교육과정!$B12)</f>
        <v/>
      </c>
      <c r="F39" s="21" t="str">
        <f aca="false">IF($A39="","",교육과정!$C12)</f>
        <v/>
      </c>
      <c r="G39" s="23" t="str">
        <f aca="false">IF($A39="","",IF(COUNTIFS(이수내역!$B$3:$B$2002,$A39,이수내역!$D$3:$D$2002,$D39)=0,"",SUMPRODUCT(MAX((이수내역!$B$3:$B$2002=$A39)*(이수내역!$D$3:$D$2002=$D39)*이수내역!$A$3:$A$2002))))</f>
        <v/>
      </c>
      <c r="H39" s="23" t="str">
        <f aca="false">IF($A39="","",IF($F39="","",IF($G39="",EDATE(직원목록!$E5,$F39),EDATE($G39,$F39))))</f>
        <v/>
      </c>
      <c r="I39" s="21" t="str">
        <f aca="true">IF($H39="","",$H39-TODAY())</f>
        <v/>
      </c>
      <c r="J39" s="21" t="str">
        <f aca="false">IF($A39="","",IF($H39="","-",IF($I39&lt;0,"기한초과",IF($I39&lt;=사용안내!$C$16,"임박","정상"))))</f>
        <v/>
      </c>
    </row>
    <row r="40" customFormat="false" ht="15" hidden="false" customHeight="true" outlineLevel="0" collapsed="false">
      <c r="A40" s="20" t="str">
        <f aca="false">IF(OR(직원목록!$A5="",교육과정!$A13="",직원목록!$F5="퇴사"),"",직원목록!$A5)</f>
        <v/>
      </c>
      <c r="B40" s="20" t="str">
        <f aca="false">IF($A40="","",직원목록!$B5)</f>
        <v/>
      </c>
      <c r="C40" s="20" t="str">
        <f aca="false">IF($A40="","",직원목록!$C5)</f>
        <v/>
      </c>
      <c r="D40" s="21" t="str">
        <f aca="false">IF($A40="","",교육과정!$A13)</f>
        <v/>
      </c>
      <c r="E40" s="20" t="str">
        <f aca="false">IF($A40="","",교육과정!$B13)</f>
        <v/>
      </c>
      <c r="F40" s="21" t="str">
        <f aca="false">IF($A40="","",교육과정!$C13)</f>
        <v/>
      </c>
      <c r="G40" s="23" t="str">
        <f aca="false">IF($A40="","",IF(COUNTIFS(이수내역!$B$3:$B$2002,$A40,이수내역!$D$3:$D$2002,$D40)=0,"",SUMPRODUCT(MAX((이수내역!$B$3:$B$2002=$A40)*(이수내역!$D$3:$D$2002=$D40)*이수내역!$A$3:$A$2002))))</f>
        <v/>
      </c>
      <c r="H40" s="23" t="str">
        <f aca="false">IF($A40="","",IF($F40="","",IF($G40="",EDATE(직원목록!$E5,$F40),EDATE($G40,$F40))))</f>
        <v/>
      </c>
      <c r="I40" s="21" t="str">
        <f aca="true">IF($H40="","",$H40-TODAY())</f>
        <v/>
      </c>
      <c r="J40" s="21" t="str">
        <f aca="false">IF($A40="","",IF($H40="","-",IF($I40&lt;0,"기한초과",IF($I40&lt;=사용안내!$C$16,"임박","정상"))))</f>
        <v/>
      </c>
    </row>
    <row r="41" customFormat="false" ht="15" hidden="false" customHeight="true" outlineLevel="0" collapsed="false">
      <c r="A41" s="20" t="str">
        <f aca="false">IF(OR(직원목록!$A5="",교육과정!$A14="",직원목록!$F5="퇴사"),"",직원목록!$A5)</f>
        <v/>
      </c>
      <c r="B41" s="20" t="str">
        <f aca="false">IF($A41="","",직원목록!$B5)</f>
        <v/>
      </c>
      <c r="C41" s="20" t="str">
        <f aca="false">IF($A41="","",직원목록!$C5)</f>
        <v/>
      </c>
      <c r="D41" s="21" t="str">
        <f aca="false">IF($A41="","",교육과정!$A14)</f>
        <v/>
      </c>
      <c r="E41" s="20" t="str">
        <f aca="false">IF($A41="","",교육과정!$B14)</f>
        <v/>
      </c>
      <c r="F41" s="21" t="str">
        <f aca="false">IF($A41="","",교육과정!$C14)</f>
        <v/>
      </c>
      <c r="G41" s="23" t="str">
        <f aca="false">IF($A41="","",IF(COUNTIFS(이수내역!$B$3:$B$2002,$A41,이수내역!$D$3:$D$2002,$D41)=0,"",SUMPRODUCT(MAX((이수내역!$B$3:$B$2002=$A41)*(이수내역!$D$3:$D$2002=$D41)*이수내역!$A$3:$A$2002))))</f>
        <v/>
      </c>
      <c r="H41" s="23" t="str">
        <f aca="false">IF($A41="","",IF($F41="","",IF($G41="",EDATE(직원목록!$E5,$F41),EDATE($G41,$F41))))</f>
        <v/>
      </c>
      <c r="I41" s="21" t="str">
        <f aca="true">IF($H41="","",$H41-TODAY())</f>
        <v/>
      </c>
      <c r="J41" s="21" t="str">
        <f aca="false">IF($A41="","",IF($H41="","-",IF($I41&lt;0,"기한초과",IF($I41&lt;=사용안내!$C$16,"임박","정상"))))</f>
        <v/>
      </c>
    </row>
    <row r="42" customFormat="false" ht="15" hidden="false" customHeight="true" outlineLevel="0" collapsed="false">
      <c r="A42" s="20" t="str">
        <f aca="false">IF(OR(직원목록!$A6="",교육과정!$A3="",직원목록!$F6="퇴사"),"",직원목록!$A6)</f>
        <v/>
      </c>
      <c r="B42" s="20" t="str">
        <f aca="false">IF($A42="","",직원목록!$B6)</f>
        <v/>
      </c>
      <c r="C42" s="20" t="str">
        <f aca="false">IF($A42="","",직원목록!$C6)</f>
        <v/>
      </c>
      <c r="D42" s="21" t="str">
        <f aca="false">IF($A42="","",교육과정!$A3)</f>
        <v/>
      </c>
      <c r="E42" s="20" t="str">
        <f aca="false">IF($A42="","",교육과정!$B3)</f>
        <v/>
      </c>
      <c r="F42" s="21" t="str">
        <f aca="false">IF($A42="","",교육과정!$C3)</f>
        <v/>
      </c>
      <c r="G42" s="23" t="str">
        <f aca="false">IF($A42="","",IF(COUNTIFS(이수내역!$B$3:$B$2002,$A42,이수내역!$D$3:$D$2002,$D42)=0,"",SUMPRODUCT(MAX((이수내역!$B$3:$B$2002=$A42)*(이수내역!$D$3:$D$2002=$D42)*이수내역!$A$3:$A$2002))))</f>
        <v/>
      </c>
      <c r="H42" s="23" t="str">
        <f aca="false">IF($A42="","",IF($F42="","",IF($G42="",EDATE(직원목록!$E6,$F42),EDATE($G42,$F42))))</f>
        <v/>
      </c>
      <c r="I42" s="21" t="str">
        <f aca="true">IF($H42="","",$H42-TODAY())</f>
        <v/>
      </c>
      <c r="J42" s="21" t="str">
        <f aca="false">IF($A42="","",IF($H42="","-",IF($I42&lt;0,"기한초과",IF($I42&lt;=사용안내!$C$16,"임박","정상"))))</f>
        <v/>
      </c>
    </row>
    <row r="43" customFormat="false" ht="15" hidden="false" customHeight="true" outlineLevel="0" collapsed="false">
      <c r="A43" s="20" t="str">
        <f aca="false">IF(OR(직원목록!$A6="",교육과정!$A4="",직원목록!$F6="퇴사"),"",직원목록!$A6)</f>
        <v/>
      </c>
      <c r="B43" s="20" t="str">
        <f aca="false">IF($A43="","",직원목록!$B6)</f>
        <v/>
      </c>
      <c r="C43" s="20" t="str">
        <f aca="false">IF($A43="","",직원목록!$C6)</f>
        <v/>
      </c>
      <c r="D43" s="21" t="str">
        <f aca="false">IF($A43="","",교육과정!$A4)</f>
        <v/>
      </c>
      <c r="E43" s="20" t="str">
        <f aca="false">IF($A43="","",교육과정!$B4)</f>
        <v/>
      </c>
      <c r="F43" s="21" t="str">
        <f aca="false">IF($A43="","",교육과정!$C4)</f>
        <v/>
      </c>
      <c r="G43" s="23" t="str">
        <f aca="false">IF($A43="","",IF(COUNTIFS(이수내역!$B$3:$B$2002,$A43,이수내역!$D$3:$D$2002,$D43)=0,"",SUMPRODUCT(MAX((이수내역!$B$3:$B$2002=$A43)*(이수내역!$D$3:$D$2002=$D43)*이수내역!$A$3:$A$2002))))</f>
        <v/>
      </c>
      <c r="H43" s="23" t="str">
        <f aca="false">IF($A43="","",IF($F43="","",IF($G43="",EDATE(직원목록!$E6,$F43),EDATE($G43,$F43))))</f>
        <v/>
      </c>
      <c r="I43" s="21" t="str">
        <f aca="true">IF($H43="","",$H43-TODAY())</f>
        <v/>
      </c>
      <c r="J43" s="21" t="str">
        <f aca="false">IF($A43="","",IF($H43="","-",IF($I43&lt;0,"기한초과",IF($I43&lt;=사용안내!$C$16,"임박","정상"))))</f>
        <v/>
      </c>
    </row>
    <row r="44" customFormat="false" ht="15" hidden="false" customHeight="true" outlineLevel="0" collapsed="false">
      <c r="A44" s="20" t="str">
        <f aca="false">IF(OR(직원목록!$A6="",교육과정!$A5="",직원목록!$F6="퇴사"),"",직원목록!$A6)</f>
        <v/>
      </c>
      <c r="B44" s="20" t="str">
        <f aca="false">IF($A44="","",직원목록!$B6)</f>
        <v/>
      </c>
      <c r="C44" s="20" t="str">
        <f aca="false">IF($A44="","",직원목록!$C6)</f>
        <v/>
      </c>
      <c r="D44" s="21" t="str">
        <f aca="false">IF($A44="","",교육과정!$A5)</f>
        <v/>
      </c>
      <c r="E44" s="20" t="str">
        <f aca="false">IF($A44="","",교육과정!$B5)</f>
        <v/>
      </c>
      <c r="F44" s="21" t="str">
        <f aca="false">IF($A44="","",교육과정!$C5)</f>
        <v/>
      </c>
      <c r="G44" s="23" t="str">
        <f aca="false">IF($A44="","",IF(COUNTIFS(이수내역!$B$3:$B$2002,$A44,이수내역!$D$3:$D$2002,$D44)=0,"",SUMPRODUCT(MAX((이수내역!$B$3:$B$2002=$A44)*(이수내역!$D$3:$D$2002=$D44)*이수내역!$A$3:$A$2002))))</f>
        <v/>
      </c>
      <c r="H44" s="23" t="str">
        <f aca="false">IF($A44="","",IF($F44="","",IF($G44="",EDATE(직원목록!$E6,$F44),EDATE($G44,$F44))))</f>
        <v/>
      </c>
      <c r="I44" s="21" t="str">
        <f aca="true">IF($H44="","",$H44-TODAY())</f>
        <v/>
      </c>
      <c r="J44" s="21" t="str">
        <f aca="false">IF($A44="","",IF($H44="","-",IF($I44&lt;0,"기한초과",IF($I44&lt;=사용안내!$C$16,"임박","정상"))))</f>
        <v/>
      </c>
    </row>
    <row r="45" customFormat="false" ht="15" hidden="false" customHeight="true" outlineLevel="0" collapsed="false">
      <c r="A45" s="20" t="str">
        <f aca="false">IF(OR(직원목록!$A6="",교육과정!$A6="",직원목록!$F6="퇴사"),"",직원목록!$A6)</f>
        <v/>
      </c>
      <c r="B45" s="20" t="str">
        <f aca="false">IF($A45="","",직원목록!$B6)</f>
        <v/>
      </c>
      <c r="C45" s="20" t="str">
        <f aca="false">IF($A45="","",직원목록!$C6)</f>
        <v/>
      </c>
      <c r="D45" s="21" t="str">
        <f aca="false">IF($A45="","",교육과정!$A6)</f>
        <v/>
      </c>
      <c r="E45" s="20" t="str">
        <f aca="false">IF($A45="","",교육과정!$B6)</f>
        <v/>
      </c>
      <c r="F45" s="21" t="str">
        <f aca="false">IF($A45="","",교육과정!$C6)</f>
        <v/>
      </c>
      <c r="G45" s="23" t="str">
        <f aca="false">IF($A45="","",IF(COUNTIFS(이수내역!$B$3:$B$2002,$A45,이수내역!$D$3:$D$2002,$D45)=0,"",SUMPRODUCT(MAX((이수내역!$B$3:$B$2002=$A45)*(이수내역!$D$3:$D$2002=$D45)*이수내역!$A$3:$A$2002))))</f>
        <v/>
      </c>
      <c r="H45" s="23" t="str">
        <f aca="false">IF($A45="","",IF($F45="","",IF($G45="",EDATE(직원목록!$E6,$F45),EDATE($G45,$F45))))</f>
        <v/>
      </c>
      <c r="I45" s="21" t="str">
        <f aca="true">IF($H45="","",$H45-TODAY())</f>
        <v/>
      </c>
      <c r="J45" s="21" t="str">
        <f aca="false">IF($A45="","",IF($H45="","-",IF($I45&lt;0,"기한초과",IF($I45&lt;=사용안내!$C$16,"임박","정상"))))</f>
        <v/>
      </c>
    </row>
    <row r="46" customFormat="false" ht="15" hidden="false" customHeight="true" outlineLevel="0" collapsed="false">
      <c r="A46" s="20" t="str">
        <f aca="false">IF(OR(직원목록!$A6="",교육과정!$A7="",직원목록!$F6="퇴사"),"",직원목록!$A6)</f>
        <v/>
      </c>
      <c r="B46" s="20" t="str">
        <f aca="false">IF($A46="","",직원목록!$B6)</f>
        <v/>
      </c>
      <c r="C46" s="20" t="str">
        <f aca="false">IF($A46="","",직원목록!$C6)</f>
        <v/>
      </c>
      <c r="D46" s="21" t="str">
        <f aca="false">IF($A46="","",교육과정!$A7)</f>
        <v/>
      </c>
      <c r="E46" s="20" t="str">
        <f aca="false">IF($A46="","",교육과정!$B7)</f>
        <v/>
      </c>
      <c r="F46" s="21" t="str">
        <f aca="false">IF($A46="","",교육과정!$C7)</f>
        <v/>
      </c>
      <c r="G46" s="23" t="str">
        <f aca="false">IF($A46="","",IF(COUNTIFS(이수내역!$B$3:$B$2002,$A46,이수내역!$D$3:$D$2002,$D46)=0,"",SUMPRODUCT(MAX((이수내역!$B$3:$B$2002=$A46)*(이수내역!$D$3:$D$2002=$D46)*이수내역!$A$3:$A$2002))))</f>
        <v/>
      </c>
      <c r="H46" s="23" t="str">
        <f aca="false">IF($A46="","",IF($F46="","",IF($G46="",EDATE(직원목록!$E6,$F46),EDATE($G46,$F46))))</f>
        <v/>
      </c>
      <c r="I46" s="21" t="str">
        <f aca="true">IF($H46="","",$H46-TODAY())</f>
        <v/>
      </c>
      <c r="J46" s="21" t="str">
        <f aca="false">IF($A46="","",IF($H46="","-",IF($I46&lt;0,"기한초과",IF($I46&lt;=사용안내!$C$16,"임박","정상"))))</f>
        <v/>
      </c>
    </row>
    <row r="47" customFormat="false" ht="15" hidden="false" customHeight="true" outlineLevel="0" collapsed="false">
      <c r="A47" s="20" t="str">
        <f aca="false">IF(OR(직원목록!$A6="",교육과정!$A8="",직원목록!$F6="퇴사"),"",직원목록!$A6)</f>
        <v/>
      </c>
      <c r="B47" s="20" t="str">
        <f aca="false">IF($A47="","",직원목록!$B6)</f>
        <v/>
      </c>
      <c r="C47" s="20" t="str">
        <f aca="false">IF($A47="","",직원목록!$C6)</f>
        <v/>
      </c>
      <c r="D47" s="21" t="str">
        <f aca="false">IF($A47="","",교육과정!$A8)</f>
        <v/>
      </c>
      <c r="E47" s="20" t="str">
        <f aca="false">IF($A47="","",교육과정!$B8)</f>
        <v/>
      </c>
      <c r="F47" s="21" t="str">
        <f aca="false">IF($A47="","",교육과정!$C8)</f>
        <v/>
      </c>
      <c r="G47" s="23" t="str">
        <f aca="false">IF($A47="","",IF(COUNTIFS(이수내역!$B$3:$B$2002,$A47,이수내역!$D$3:$D$2002,$D47)=0,"",SUMPRODUCT(MAX((이수내역!$B$3:$B$2002=$A47)*(이수내역!$D$3:$D$2002=$D47)*이수내역!$A$3:$A$2002))))</f>
        <v/>
      </c>
      <c r="H47" s="23" t="str">
        <f aca="false">IF($A47="","",IF($F47="","",IF($G47="",EDATE(직원목록!$E6,$F47),EDATE($G47,$F47))))</f>
        <v/>
      </c>
      <c r="I47" s="21" t="str">
        <f aca="true">IF($H47="","",$H47-TODAY())</f>
        <v/>
      </c>
      <c r="J47" s="21" t="str">
        <f aca="false">IF($A47="","",IF($H47="","-",IF($I47&lt;0,"기한초과",IF($I47&lt;=사용안내!$C$16,"임박","정상"))))</f>
        <v/>
      </c>
    </row>
    <row r="48" customFormat="false" ht="15" hidden="false" customHeight="true" outlineLevel="0" collapsed="false">
      <c r="A48" s="20" t="str">
        <f aca="false">IF(OR(직원목록!$A6="",교육과정!$A9="",직원목록!$F6="퇴사"),"",직원목록!$A6)</f>
        <v/>
      </c>
      <c r="B48" s="20" t="str">
        <f aca="false">IF($A48="","",직원목록!$B6)</f>
        <v/>
      </c>
      <c r="C48" s="20" t="str">
        <f aca="false">IF($A48="","",직원목록!$C6)</f>
        <v/>
      </c>
      <c r="D48" s="21" t="str">
        <f aca="false">IF($A48="","",교육과정!$A9)</f>
        <v/>
      </c>
      <c r="E48" s="20" t="str">
        <f aca="false">IF($A48="","",교육과정!$B9)</f>
        <v/>
      </c>
      <c r="F48" s="21" t="str">
        <f aca="false">IF($A48="","",교육과정!$C9)</f>
        <v/>
      </c>
      <c r="G48" s="23" t="str">
        <f aca="false">IF($A48="","",IF(COUNTIFS(이수내역!$B$3:$B$2002,$A48,이수내역!$D$3:$D$2002,$D48)=0,"",SUMPRODUCT(MAX((이수내역!$B$3:$B$2002=$A48)*(이수내역!$D$3:$D$2002=$D48)*이수내역!$A$3:$A$2002))))</f>
        <v/>
      </c>
      <c r="H48" s="23" t="str">
        <f aca="false">IF($A48="","",IF($F48="","",IF($G48="",EDATE(직원목록!$E6,$F48),EDATE($G48,$F48))))</f>
        <v/>
      </c>
      <c r="I48" s="21" t="str">
        <f aca="true">IF($H48="","",$H48-TODAY())</f>
        <v/>
      </c>
      <c r="J48" s="21" t="str">
        <f aca="false">IF($A48="","",IF($H48="","-",IF($I48&lt;0,"기한초과",IF($I48&lt;=사용안내!$C$16,"임박","정상"))))</f>
        <v/>
      </c>
    </row>
    <row r="49" customFormat="false" ht="15" hidden="false" customHeight="true" outlineLevel="0" collapsed="false">
      <c r="A49" s="20" t="str">
        <f aca="false">IF(OR(직원목록!$A6="",교육과정!$A10="",직원목록!$F6="퇴사"),"",직원목록!$A6)</f>
        <v/>
      </c>
      <c r="B49" s="20" t="str">
        <f aca="false">IF($A49="","",직원목록!$B6)</f>
        <v/>
      </c>
      <c r="C49" s="20" t="str">
        <f aca="false">IF($A49="","",직원목록!$C6)</f>
        <v/>
      </c>
      <c r="D49" s="21" t="str">
        <f aca="false">IF($A49="","",교육과정!$A10)</f>
        <v/>
      </c>
      <c r="E49" s="20" t="str">
        <f aca="false">IF($A49="","",교육과정!$B10)</f>
        <v/>
      </c>
      <c r="F49" s="21" t="str">
        <f aca="false">IF($A49="","",교육과정!$C10)</f>
        <v/>
      </c>
      <c r="G49" s="23" t="str">
        <f aca="false">IF($A49="","",IF(COUNTIFS(이수내역!$B$3:$B$2002,$A49,이수내역!$D$3:$D$2002,$D49)=0,"",SUMPRODUCT(MAX((이수내역!$B$3:$B$2002=$A49)*(이수내역!$D$3:$D$2002=$D49)*이수내역!$A$3:$A$2002))))</f>
        <v/>
      </c>
      <c r="H49" s="23" t="str">
        <f aca="false">IF($A49="","",IF($F49="","",IF($G49="",EDATE(직원목록!$E6,$F49),EDATE($G49,$F49))))</f>
        <v/>
      </c>
      <c r="I49" s="21" t="str">
        <f aca="true">IF($H49="","",$H49-TODAY())</f>
        <v/>
      </c>
      <c r="J49" s="21" t="str">
        <f aca="false">IF($A49="","",IF($H49="","-",IF($I49&lt;0,"기한초과",IF($I49&lt;=사용안내!$C$16,"임박","정상"))))</f>
        <v/>
      </c>
    </row>
    <row r="50" customFormat="false" ht="15" hidden="false" customHeight="true" outlineLevel="0" collapsed="false">
      <c r="A50" s="20" t="str">
        <f aca="false">IF(OR(직원목록!$A6="",교육과정!$A11="",직원목록!$F6="퇴사"),"",직원목록!$A6)</f>
        <v/>
      </c>
      <c r="B50" s="20" t="str">
        <f aca="false">IF($A50="","",직원목록!$B6)</f>
        <v/>
      </c>
      <c r="C50" s="20" t="str">
        <f aca="false">IF($A50="","",직원목록!$C6)</f>
        <v/>
      </c>
      <c r="D50" s="21" t="str">
        <f aca="false">IF($A50="","",교육과정!$A11)</f>
        <v/>
      </c>
      <c r="E50" s="20" t="str">
        <f aca="false">IF($A50="","",교육과정!$B11)</f>
        <v/>
      </c>
      <c r="F50" s="21" t="str">
        <f aca="false">IF($A50="","",교육과정!$C11)</f>
        <v/>
      </c>
      <c r="G50" s="23" t="str">
        <f aca="false">IF($A50="","",IF(COUNTIFS(이수내역!$B$3:$B$2002,$A50,이수내역!$D$3:$D$2002,$D50)=0,"",SUMPRODUCT(MAX((이수내역!$B$3:$B$2002=$A50)*(이수내역!$D$3:$D$2002=$D50)*이수내역!$A$3:$A$2002))))</f>
        <v/>
      </c>
      <c r="H50" s="23" t="str">
        <f aca="false">IF($A50="","",IF($F50="","",IF($G50="",EDATE(직원목록!$E6,$F50),EDATE($G50,$F50))))</f>
        <v/>
      </c>
      <c r="I50" s="21" t="str">
        <f aca="true">IF($H50="","",$H50-TODAY())</f>
        <v/>
      </c>
      <c r="J50" s="21" t="str">
        <f aca="false">IF($A50="","",IF($H50="","-",IF($I50&lt;0,"기한초과",IF($I50&lt;=사용안내!$C$16,"임박","정상"))))</f>
        <v/>
      </c>
    </row>
    <row r="51" customFormat="false" ht="15" hidden="false" customHeight="true" outlineLevel="0" collapsed="false">
      <c r="A51" s="20" t="str">
        <f aca="false">IF(OR(직원목록!$A6="",교육과정!$A12="",직원목록!$F6="퇴사"),"",직원목록!$A6)</f>
        <v/>
      </c>
      <c r="B51" s="20" t="str">
        <f aca="false">IF($A51="","",직원목록!$B6)</f>
        <v/>
      </c>
      <c r="C51" s="20" t="str">
        <f aca="false">IF($A51="","",직원목록!$C6)</f>
        <v/>
      </c>
      <c r="D51" s="21" t="str">
        <f aca="false">IF($A51="","",교육과정!$A12)</f>
        <v/>
      </c>
      <c r="E51" s="20" t="str">
        <f aca="false">IF($A51="","",교육과정!$B12)</f>
        <v/>
      </c>
      <c r="F51" s="21" t="str">
        <f aca="false">IF($A51="","",교육과정!$C12)</f>
        <v/>
      </c>
      <c r="G51" s="23" t="str">
        <f aca="false">IF($A51="","",IF(COUNTIFS(이수내역!$B$3:$B$2002,$A51,이수내역!$D$3:$D$2002,$D51)=0,"",SUMPRODUCT(MAX((이수내역!$B$3:$B$2002=$A51)*(이수내역!$D$3:$D$2002=$D51)*이수내역!$A$3:$A$2002))))</f>
        <v/>
      </c>
      <c r="H51" s="23" t="str">
        <f aca="false">IF($A51="","",IF($F51="","",IF($G51="",EDATE(직원목록!$E6,$F51),EDATE($G51,$F51))))</f>
        <v/>
      </c>
      <c r="I51" s="21" t="str">
        <f aca="true">IF($H51="","",$H51-TODAY())</f>
        <v/>
      </c>
      <c r="J51" s="21" t="str">
        <f aca="false">IF($A51="","",IF($H51="","-",IF($I51&lt;0,"기한초과",IF($I51&lt;=사용안내!$C$16,"임박","정상"))))</f>
        <v/>
      </c>
    </row>
    <row r="52" customFormat="false" ht="15" hidden="false" customHeight="true" outlineLevel="0" collapsed="false">
      <c r="A52" s="20" t="str">
        <f aca="false">IF(OR(직원목록!$A6="",교육과정!$A13="",직원목록!$F6="퇴사"),"",직원목록!$A6)</f>
        <v/>
      </c>
      <c r="B52" s="20" t="str">
        <f aca="false">IF($A52="","",직원목록!$B6)</f>
        <v/>
      </c>
      <c r="C52" s="20" t="str">
        <f aca="false">IF($A52="","",직원목록!$C6)</f>
        <v/>
      </c>
      <c r="D52" s="21" t="str">
        <f aca="false">IF($A52="","",교육과정!$A13)</f>
        <v/>
      </c>
      <c r="E52" s="20" t="str">
        <f aca="false">IF($A52="","",교육과정!$B13)</f>
        <v/>
      </c>
      <c r="F52" s="21" t="str">
        <f aca="false">IF($A52="","",교육과정!$C13)</f>
        <v/>
      </c>
      <c r="G52" s="23" t="str">
        <f aca="false">IF($A52="","",IF(COUNTIFS(이수내역!$B$3:$B$2002,$A52,이수내역!$D$3:$D$2002,$D52)=0,"",SUMPRODUCT(MAX((이수내역!$B$3:$B$2002=$A52)*(이수내역!$D$3:$D$2002=$D52)*이수내역!$A$3:$A$2002))))</f>
        <v/>
      </c>
      <c r="H52" s="23" t="str">
        <f aca="false">IF($A52="","",IF($F52="","",IF($G52="",EDATE(직원목록!$E6,$F52),EDATE($G52,$F52))))</f>
        <v/>
      </c>
      <c r="I52" s="21" t="str">
        <f aca="true">IF($H52="","",$H52-TODAY())</f>
        <v/>
      </c>
      <c r="J52" s="21" t="str">
        <f aca="false">IF($A52="","",IF($H52="","-",IF($I52&lt;0,"기한초과",IF($I52&lt;=사용안내!$C$16,"임박","정상"))))</f>
        <v/>
      </c>
    </row>
    <row r="53" customFormat="false" ht="15" hidden="false" customHeight="true" outlineLevel="0" collapsed="false">
      <c r="A53" s="20" t="str">
        <f aca="false">IF(OR(직원목록!$A6="",교육과정!$A14="",직원목록!$F6="퇴사"),"",직원목록!$A6)</f>
        <v/>
      </c>
      <c r="B53" s="20" t="str">
        <f aca="false">IF($A53="","",직원목록!$B6)</f>
        <v/>
      </c>
      <c r="C53" s="20" t="str">
        <f aca="false">IF($A53="","",직원목록!$C6)</f>
        <v/>
      </c>
      <c r="D53" s="21" t="str">
        <f aca="false">IF($A53="","",교육과정!$A14)</f>
        <v/>
      </c>
      <c r="E53" s="20" t="str">
        <f aca="false">IF($A53="","",교육과정!$B14)</f>
        <v/>
      </c>
      <c r="F53" s="21" t="str">
        <f aca="false">IF($A53="","",교육과정!$C14)</f>
        <v/>
      </c>
      <c r="G53" s="23" t="str">
        <f aca="false">IF($A53="","",IF(COUNTIFS(이수내역!$B$3:$B$2002,$A53,이수내역!$D$3:$D$2002,$D53)=0,"",SUMPRODUCT(MAX((이수내역!$B$3:$B$2002=$A53)*(이수내역!$D$3:$D$2002=$D53)*이수내역!$A$3:$A$2002))))</f>
        <v/>
      </c>
      <c r="H53" s="23" t="str">
        <f aca="false">IF($A53="","",IF($F53="","",IF($G53="",EDATE(직원목록!$E6,$F53),EDATE($G53,$F53))))</f>
        <v/>
      </c>
      <c r="I53" s="21" t="str">
        <f aca="true">IF($H53="","",$H53-TODAY())</f>
        <v/>
      </c>
      <c r="J53" s="21" t="str">
        <f aca="false">IF($A53="","",IF($H53="","-",IF($I53&lt;0,"기한초과",IF($I53&lt;=사용안내!$C$16,"임박","정상"))))</f>
        <v/>
      </c>
    </row>
    <row r="54" customFormat="false" ht="15" hidden="false" customHeight="true" outlineLevel="0" collapsed="false">
      <c r="A54" s="20" t="str">
        <f aca="false">IF(OR(직원목록!$A7="",교육과정!$A3="",직원목록!$F7="퇴사"),"",직원목록!$A7)</f>
        <v/>
      </c>
      <c r="B54" s="20" t="str">
        <f aca="false">IF($A54="","",직원목록!$B7)</f>
        <v/>
      </c>
      <c r="C54" s="20" t="str">
        <f aca="false">IF($A54="","",직원목록!$C7)</f>
        <v/>
      </c>
      <c r="D54" s="21" t="str">
        <f aca="false">IF($A54="","",교육과정!$A3)</f>
        <v/>
      </c>
      <c r="E54" s="20" t="str">
        <f aca="false">IF($A54="","",교육과정!$B3)</f>
        <v/>
      </c>
      <c r="F54" s="21" t="str">
        <f aca="false">IF($A54="","",교육과정!$C3)</f>
        <v/>
      </c>
      <c r="G54" s="23" t="str">
        <f aca="false">IF($A54="","",IF(COUNTIFS(이수내역!$B$3:$B$2002,$A54,이수내역!$D$3:$D$2002,$D54)=0,"",SUMPRODUCT(MAX((이수내역!$B$3:$B$2002=$A54)*(이수내역!$D$3:$D$2002=$D54)*이수내역!$A$3:$A$2002))))</f>
        <v/>
      </c>
      <c r="H54" s="23" t="str">
        <f aca="false">IF($A54="","",IF($F54="","",IF($G54="",EDATE(직원목록!$E7,$F54),EDATE($G54,$F54))))</f>
        <v/>
      </c>
      <c r="I54" s="21" t="str">
        <f aca="true">IF($H54="","",$H54-TODAY())</f>
        <v/>
      </c>
      <c r="J54" s="21" t="str">
        <f aca="false">IF($A54="","",IF($H54="","-",IF($I54&lt;0,"기한초과",IF($I54&lt;=사용안내!$C$16,"임박","정상"))))</f>
        <v/>
      </c>
    </row>
    <row r="55" customFormat="false" ht="15" hidden="false" customHeight="true" outlineLevel="0" collapsed="false">
      <c r="A55" s="20" t="str">
        <f aca="false">IF(OR(직원목록!$A7="",교육과정!$A4="",직원목록!$F7="퇴사"),"",직원목록!$A7)</f>
        <v/>
      </c>
      <c r="B55" s="20" t="str">
        <f aca="false">IF($A55="","",직원목록!$B7)</f>
        <v/>
      </c>
      <c r="C55" s="20" t="str">
        <f aca="false">IF($A55="","",직원목록!$C7)</f>
        <v/>
      </c>
      <c r="D55" s="21" t="str">
        <f aca="false">IF($A55="","",교육과정!$A4)</f>
        <v/>
      </c>
      <c r="E55" s="20" t="str">
        <f aca="false">IF($A55="","",교육과정!$B4)</f>
        <v/>
      </c>
      <c r="F55" s="21" t="str">
        <f aca="false">IF($A55="","",교육과정!$C4)</f>
        <v/>
      </c>
      <c r="G55" s="23" t="str">
        <f aca="false">IF($A55="","",IF(COUNTIFS(이수내역!$B$3:$B$2002,$A55,이수내역!$D$3:$D$2002,$D55)=0,"",SUMPRODUCT(MAX((이수내역!$B$3:$B$2002=$A55)*(이수내역!$D$3:$D$2002=$D55)*이수내역!$A$3:$A$2002))))</f>
        <v/>
      </c>
      <c r="H55" s="23" t="str">
        <f aca="false">IF($A55="","",IF($F55="","",IF($G55="",EDATE(직원목록!$E7,$F55),EDATE($G55,$F55))))</f>
        <v/>
      </c>
      <c r="I55" s="21" t="str">
        <f aca="true">IF($H55="","",$H55-TODAY())</f>
        <v/>
      </c>
      <c r="J55" s="21" t="str">
        <f aca="false">IF($A55="","",IF($H55="","-",IF($I55&lt;0,"기한초과",IF($I55&lt;=사용안내!$C$16,"임박","정상"))))</f>
        <v/>
      </c>
    </row>
    <row r="56" customFormat="false" ht="15" hidden="false" customHeight="true" outlineLevel="0" collapsed="false">
      <c r="A56" s="20" t="str">
        <f aca="false">IF(OR(직원목록!$A7="",교육과정!$A5="",직원목록!$F7="퇴사"),"",직원목록!$A7)</f>
        <v/>
      </c>
      <c r="B56" s="20" t="str">
        <f aca="false">IF($A56="","",직원목록!$B7)</f>
        <v/>
      </c>
      <c r="C56" s="20" t="str">
        <f aca="false">IF($A56="","",직원목록!$C7)</f>
        <v/>
      </c>
      <c r="D56" s="21" t="str">
        <f aca="false">IF($A56="","",교육과정!$A5)</f>
        <v/>
      </c>
      <c r="E56" s="20" t="str">
        <f aca="false">IF($A56="","",교육과정!$B5)</f>
        <v/>
      </c>
      <c r="F56" s="21" t="str">
        <f aca="false">IF($A56="","",교육과정!$C5)</f>
        <v/>
      </c>
      <c r="G56" s="23" t="str">
        <f aca="false">IF($A56="","",IF(COUNTIFS(이수내역!$B$3:$B$2002,$A56,이수내역!$D$3:$D$2002,$D56)=0,"",SUMPRODUCT(MAX((이수내역!$B$3:$B$2002=$A56)*(이수내역!$D$3:$D$2002=$D56)*이수내역!$A$3:$A$2002))))</f>
        <v/>
      </c>
      <c r="H56" s="23" t="str">
        <f aca="false">IF($A56="","",IF($F56="","",IF($G56="",EDATE(직원목록!$E7,$F56),EDATE($G56,$F56))))</f>
        <v/>
      </c>
      <c r="I56" s="21" t="str">
        <f aca="true">IF($H56="","",$H56-TODAY())</f>
        <v/>
      </c>
      <c r="J56" s="21" t="str">
        <f aca="false">IF($A56="","",IF($H56="","-",IF($I56&lt;0,"기한초과",IF($I56&lt;=사용안내!$C$16,"임박","정상"))))</f>
        <v/>
      </c>
    </row>
    <row r="57" customFormat="false" ht="15" hidden="false" customHeight="true" outlineLevel="0" collapsed="false">
      <c r="A57" s="20" t="str">
        <f aca="false">IF(OR(직원목록!$A7="",교육과정!$A6="",직원목록!$F7="퇴사"),"",직원목록!$A7)</f>
        <v/>
      </c>
      <c r="B57" s="20" t="str">
        <f aca="false">IF($A57="","",직원목록!$B7)</f>
        <v/>
      </c>
      <c r="C57" s="20" t="str">
        <f aca="false">IF($A57="","",직원목록!$C7)</f>
        <v/>
      </c>
      <c r="D57" s="21" t="str">
        <f aca="false">IF($A57="","",교육과정!$A6)</f>
        <v/>
      </c>
      <c r="E57" s="20" t="str">
        <f aca="false">IF($A57="","",교육과정!$B6)</f>
        <v/>
      </c>
      <c r="F57" s="21" t="str">
        <f aca="false">IF($A57="","",교육과정!$C6)</f>
        <v/>
      </c>
      <c r="G57" s="23" t="str">
        <f aca="false">IF($A57="","",IF(COUNTIFS(이수내역!$B$3:$B$2002,$A57,이수내역!$D$3:$D$2002,$D57)=0,"",SUMPRODUCT(MAX((이수내역!$B$3:$B$2002=$A57)*(이수내역!$D$3:$D$2002=$D57)*이수내역!$A$3:$A$2002))))</f>
        <v/>
      </c>
      <c r="H57" s="23" t="str">
        <f aca="false">IF($A57="","",IF($F57="","",IF($G57="",EDATE(직원목록!$E7,$F57),EDATE($G57,$F57))))</f>
        <v/>
      </c>
      <c r="I57" s="21" t="str">
        <f aca="true">IF($H57="","",$H57-TODAY())</f>
        <v/>
      </c>
      <c r="J57" s="21" t="str">
        <f aca="false">IF($A57="","",IF($H57="","-",IF($I57&lt;0,"기한초과",IF($I57&lt;=사용안내!$C$16,"임박","정상"))))</f>
        <v/>
      </c>
    </row>
    <row r="58" customFormat="false" ht="15" hidden="false" customHeight="true" outlineLevel="0" collapsed="false">
      <c r="A58" s="20" t="str">
        <f aca="false">IF(OR(직원목록!$A7="",교육과정!$A7="",직원목록!$F7="퇴사"),"",직원목록!$A7)</f>
        <v/>
      </c>
      <c r="B58" s="20" t="str">
        <f aca="false">IF($A58="","",직원목록!$B7)</f>
        <v/>
      </c>
      <c r="C58" s="20" t="str">
        <f aca="false">IF($A58="","",직원목록!$C7)</f>
        <v/>
      </c>
      <c r="D58" s="21" t="str">
        <f aca="false">IF($A58="","",교육과정!$A7)</f>
        <v/>
      </c>
      <c r="E58" s="20" t="str">
        <f aca="false">IF($A58="","",교육과정!$B7)</f>
        <v/>
      </c>
      <c r="F58" s="21" t="str">
        <f aca="false">IF($A58="","",교육과정!$C7)</f>
        <v/>
      </c>
      <c r="G58" s="23" t="str">
        <f aca="false">IF($A58="","",IF(COUNTIFS(이수내역!$B$3:$B$2002,$A58,이수내역!$D$3:$D$2002,$D58)=0,"",SUMPRODUCT(MAX((이수내역!$B$3:$B$2002=$A58)*(이수내역!$D$3:$D$2002=$D58)*이수내역!$A$3:$A$2002))))</f>
        <v/>
      </c>
      <c r="H58" s="23" t="str">
        <f aca="false">IF($A58="","",IF($F58="","",IF($G58="",EDATE(직원목록!$E7,$F58),EDATE($G58,$F58))))</f>
        <v/>
      </c>
      <c r="I58" s="21" t="str">
        <f aca="true">IF($H58="","",$H58-TODAY())</f>
        <v/>
      </c>
      <c r="J58" s="21" t="str">
        <f aca="false">IF($A58="","",IF($H58="","-",IF($I58&lt;0,"기한초과",IF($I58&lt;=사용안내!$C$16,"임박","정상"))))</f>
        <v/>
      </c>
    </row>
    <row r="59" customFormat="false" ht="15" hidden="false" customHeight="true" outlineLevel="0" collapsed="false">
      <c r="A59" s="20" t="str">
        <f aca="false">IF(OR(직원목록!$A7="",교육과정!$A8="",직원목록!$F7="퇴사"),"",직원목록!$A7)</f>
        <v/>
      </c>
      <c r="B59" s="20" t="str">
        <f aca="false">IF($A59="","",직원목록!$B7)</f>
        <v/>
      </c>
      <c r="C59" s="20" t="str">
        <f aca="false">IF($A59="","",직원목록!$C7)</f>
        <v/>
      </c>
      <c r="D59" s="21" t="str">
        <f aca="false">IF($A59="","",교육과정!$A8)</f>
        <v/>
      </c>
      <c r="E59" s="20" t="str">
        <f aca="false">IF($A59="","",교육과정!$B8)</f>
        <v/>
      </c>
      <c r="F59" s="21" t="str">
        <f aca="false">IF($A59="","",교육과정!$C8)</f>
        <v/>
      </c>
      <c r="G59" s="23" t="str">
        <f aca="false">IF($A59="","",IF(COUNTIFS(이수내역!$B$3:$B$2002,$A59,이수내역!$D$3:$D$2002,$D59)=0,"",SUMPRODUCT(MAX((이수내역!$B$3:$B$2002=$A59)*(이수내역!$D$3:$D$2002=$D59)*이수내역!$A$3:$A$2002))))</f>
        <v/>
      </c>
      <c r="H59" s="23" t="str">
        <f aca="false">IF($A59="","",IF($F59="","",IF($G59="",EDATE(직원목록!$E7,$F59),EDATE($G59,$F59))))</f>
        <v/>
      </c>
      <c r="I59" s="21" t="str">
        <f aca="true">IF($H59="","",$H59-TODAY())</f>
        <v/>
      </c>
      <c r="J59" s="21" t="str">
        <f aca="false">IF($A59="","",IF($H59="","-",IF($I59&lt;0,"기한초과",IF($I59&lt;=사용안내!$C$16,"임박","정상"))))</f>
        <v/>
      </c>
    </row>
    <row r="60" customFormat="false" ht="15" hidden="false" customHeight="true" outlineLevel="0" collapsed="false">
      <c r="A60" s="20" t="str">
        <f aca="false">IF(OR(직원목록!$A7="",교육과정!$A9="",직원목록!$F7="퇴사"),"",직원목록!$A7)</f>
        <v/>
      </c>
      <c r="B60" s="20" t="str">
        <f aca="false">IF($A60="","",직원목록!$B7)</f>
        <v/>
      </c>
      <c r="C60" s="20" t="str">
        <f aca="false">IF($A60="","",직원목록!$C7)</f>
        <v/>
      </c>
      <c r="D60" s="21" t="str">
        <f aca="false">IF($A60="","",교육과정!$A9)</f>
        <v/>
      </c>
      <c r="E60" s="20" t="str">
        <f aca="false">IF($A60="","",교육과정!$B9)</f>
        <v/>
      </c>
      <c r="F60" s="21" t="str">
        <f aca="false">IF($A60="","",교육과정!$C9)</f>
        <v/>
      </c>
      <c r="G60" s="23" t="str">
        <f aca="false">IF($A60="","",IF(COUNTIFS(이수내역!$B$3:$B$2002,$A60,이수내역!$D$3:$D$2002,$D60)=0,"",SUMPRODUCT(MAX((이수내역!$B$3:$B$2002=$A60)*(이수내역!$D$3:$D$2002=$D60)*이수내역!$A$3:$A$2002))))</f>
        <v/>
      </c>
      <c r="H60" s="23" t="str">
        <f aca="false">IF($A60="","",IF($F60="","",IF($G60="",EDATE(직원목록!$E7,$F60),EDATE($G60,$F60))))</f>
        <v/>
      </c>
      <c r="I60" s="21" t="str">
        <f aca="true">IF($H60="","",$H60-TODAY())</f>
        <v/>
      </c>
      <c r="J60" s="21" t="str">
        <f aca="false">IF($A60="","",IF($H60="","-",IF($I60&lt;0,"기한초과",IF($I60&lt;=사용안내!$C$16,"임박","정상"))))</f>
        <v/>
      </c>
    </row>
    <row r="61" customFormat="false" ht="15" hidden="false" customHeight="true" outlineLevel="0" collapsed="false">
      <c r="A61" s="20" t="str">
        <f aca="false">IF(OR(직원목록!$A7="",교육과정!$A10="",직원목록!$F7="퇴사"),"",직원목록!$A7)</f>
        <v/>
      </c>
      <c r="B61" s="20" t="str">
        <f aca="false">IF($A61="","",직원목록!$B7)</f>
        <v/>
      </c>
      <c r="C61" s="20" t="str">
        <f aca="false">IF($A61="","",직원목록!$C7)</f>
        <v/>
      </c>
      <c r="D61" s="21" t="str">
        <f aca="false">IF($A61="","",교육과정!$A10)</f>
        <v/>
      </c>
      <c r="E61" s="20" t="str">
        <f aca="false">IF($A61="","",교육과정!$B10)</f>
        <v/>
      </c>
      <c r="F61" s="21" t="str">
        <f aca="false">IF($A61="","",교육과정!$C10)</f>
        <v/>
      </c>
      <c r="G61" s="23" t="str">
        <f aca="false">IF($A61="","",IF(COUNTIFS(이수내역!$B$3:$B$2002,$A61,이수내역!$D$3:$D$2002,$D61)=0,"",SUMPRODUCT(MAX((이수내역!$B$3:$B$2002=$A61)*(이수내역!$D$3:$D$2002=$D61)*이수내역!$A$3:$A$2002))))</f>
        <v/>
      </c>
      <c r="H61" s="23" t="str">
        <f aca="false">IF($A61="","",IF($F61="","",IF($G61="",EDATE(직원목록!$E7,$F61),EDATE($G61,$F61))))</f>
        <v/>
      </c>
      <c r="I61" s="21" t="str">
        <f aca="true">IF($H61="","",$H61-TODAY())</f>
        <v/>
      </c>
      <c r="J61" s="21" t="str">
        <f aca="false">IF($A61="","",IF($H61="","-",IF($I61&lt;0,"기한초과",IF($I61&lt;=사용안내!$C$16,"임박","정상"))))</f>
        <v/>
      </c>
    </row>
    <row r="62" customFormat="false" ht="15" hidden="false" customHeight="true" outlineLevel="0" collapsed="false">
      <c r="A62" s="20" t="str">
        <f aca="false">IF(OR(직원목록!$A7="",교육과정!$A11="",직원목록!$F7="퇴사"),"",직원목록!$A7)</f>
        <v/>
      </c>
      <c r="B62" s="20" t="str">
        <f aca="false">IF($A62="","",직원목록!$B7)</f>
        <v/>
      </c>
      <c r="C62" s="20" t="str">
        <f aca="false">IF($A62="","",직원목록!$C7)</f>
        <v/>
      </c>
      <c r="D62" s="21" t="str">
        <f aca="false">IF($A62="","",교육과정!$A11)</f>
        <v/>
      </c>
      <c r="E62" s="20" t="str">
        <f aca="false">IF($A62="","",교육과정!$B11)</f>
        <v/>
      </c>
      <c r="F62" s="21" t="str">
        <f aca="false">IF($A62="","",교육과정!$C11)</f>
        <v/>
      </c>
      <c r="G62" s="23" t="str">
        <f aca="false">IF($A62="","",IF(COUNTIFS(이수내역!$B$3:$B$2002,$A62,이수내역!$D$3:$D$2002,$D62)=0,"",SUMPRODUCT(MAX((이수내역!$B$3:$B$2002=$A62)*(이수내역!$D$3:$D$2002=$D62)*이수내역!$A$3:$A$2002))))</f>
        <v/>
      </c>
      <c r="H62" s="23" t="str">
        <f aca="false">IF($A62="","",IF($F62="","",IF($G62="",EDATE(직원목록!$E7,$F62),EDATE($G62,$F62))))</f>
        <v/>
      </c>
      <c r="I62" s="21" t="str">
        <f aca="true">IF($H62="","",$H62-TODAY())</f>
        <v/>
      </c>
      <c r="J62" s="21" t="str">
        <f aca="false">IF($A62="","",IF($H62="","-",IF($I62&lt;0,"기한초과",IF($I62&lt;=사용안내!$C$16,"임박","정상"))))</f>
        <v/>
      </c>
    </row>
    <row r="63" customFormat="false" ht="15" hidden="false" customHeight="true" outlineLevel="0" collapsed="false">
      <c r="A63" s="20" t="str">
        <f aca="false">IF(OR(직원목록!$A7="",교육과정!$A12="",직원목록!$F7="퇴사"),"",직원목록!$A7)</f>
        <v/>
      </c>
      <c r="B63" s="20" t="str">
        <f aca="false">IF($A63="","",직원목록!$B7)</f>
        <v/>
      </c>
      <c r="C63" s="20" t="str">
        <f aca="false">IF($A63="","",직원목록!$C7)</f>
        <v/>
      </c>
      <c r="D63" s="21" t="str">
        <f aca="false">IF($A63="","",교육과정!$A12)</f>
        <v/>
      </c>
      <c r="E63" s="20" t="str">
        <f aca="false">IF($A63="","",교육과정!$B12)</f>
        <v/>
      </c>
      <c r="F63" s="21" t="str">
        <f aca="false">IF($A63="","",교육과정!$C12)</f>
        <v/>
      </c>
      <c r="G63" s="23" t="str">
        <f aca="false">IF($A63="","",IF(COUNTIFS(이수내역!$B$3:$B$2002,$A63,이수내역!$D$3:$D$2002,$D63)=0,"",SUMPRODUCT(MAX((이수내역!$B$3:$B$2002=$A63)*(이수내역!$D$3:$D$2002=$D63)*이수내역!$A$3:$A$2002))))</f>
        <v/>
      </c>
      <c r="H63" s="23" t="str">
        <f aca="false">IF($A63="","",IF($F63="","",IF($G63="",EDATE(직원목록!$E7,$F63),EDATE($G63,$F63))))</f>
        <v/>
      </c>
      <c r="I63" s="21" t="str">
        <f aca="true">IF($H63="","",$H63-TODAY())</f>
        <v/>
      </c>
      <c r="J63" s="21" t="str">
        <f aca="false">IF($A63="","",IF($H63="","-",IF($I63&lt;0,"기한초과",IF($I63&lt;=사용안내!$C$16,"임박","정상"))))</f>
        <v/>
      </c>
    </row>
    <row r="64" customFormat="false" ht="15" hidden="false" customHeight="true" outlineLevel="0" collapsed="false">
      <c r="A64" s="20" t="str">
        <f aca="false">IF(OR(직원목록!$A7="",교육과정!$A13="",직원목록!$F7="퇴사"),"",직원목록!$A7)</f>
        <v/>
      </c>
      <c r="B64" s="20" t="str">
        <f aca="false">IF($A64="","",직원목록!$B7)</f>
        <v/>
      </c>
      <c r="C64" s="20" t="str">
        <f aca="false">IF($A64="","",직원목록!$C7)</f>
        <v/>
      </c>
      <c r="D64" s="21" t="str">
        <f aca="false">IF($A64="","",교육과정!$A13)</f>
        <v/>
      </c>
      <c r="E64" s="20" t="str">
        <f aca="false">IF($A64="","",교육과정!$B13)</f>
        <v/>
      </c>
      <c r="F64" s="21" t="str">
        <f aca="false">IF($A64="","",교육과정!$C13)</f>
        <v/>
      </c>
      <c r="G64" s="23" t="str">
        <f aca="false">IF($A64="","",IF(COUNTIFS(이수내역!$B$3:$B$2002,$A64,이수내역!$D$3:$D$2002,$D64)=0,"",SUMPRODUCT(MAX((이수내역!$B$3:$B$2002=$A64)*(이수내역!$D$3:$D$2002=$D64)*이수내역!$A$3:$A$2002))))</f>
        <v/>
      </c>
      <c r="H64" s="23" t="str">
        <f aca="false">IF($A64="","",IF($F64="","",IF($G64="",EDATE(직원목록!$E7,$F64),EDATE($G64,$F64))))</f>
        <v/>
      </c>
      <c r="I64" s="21" t="str">
        <f aca="true">IF($H64="","",$H64-TODAY())</f>
        <v/>
      </c>
      <c r="J64" s="21" t="str">
        <f aca="false">IF($A64="","",IF($H64="","-",IF($I64&lt;0,"기한초과",IF($I64&lt;=사용안내!$C$16,"임박","정상"))))</f>
        <v/>
      </c>
    </row>
    <row r="65" customFormat="false" ht="15" hidden="false" customHeight="true" outlineLevel="0" collapsed="false">
      <c r="A65" s="20" t="str">
        <f aca="false">IF(OR(직원목록!$A7="",교육과정!$A14="",직원목록!$F7="퇴사"),"",직원목록!$A7)</f>
        <v/>
      </c>
      <c r="B65" s="20" t="str">
        <f aca="false">IF($A65="","",직원목록!$B7)</f>
        <v/>
      </c>
      <c r="C65" s="20" t="str">
        <f aca="false">IF($A65="","",직원목록!$C7)</f>
        <v/>
      </c>
      <c r="D65" s="21" t="str">
        <f aca="false">IF($A65="","",교육과정!$A14)</f>
        <v/>
      </c>
      <c r="E65" s="20" t="str">
        <f aca="false">IF($A65="","",교육과정!$B14)</f>
        <v/>
      </c>
      <c r="F65" s="21" t="str">
        <f aca="false">IF($A65="","",교육과정!$C14)</f>
        <v/>
      </c>
      <c r="G65" s="23" t="str">
        <f aca="false">IF($A65="","",IF(COUNTIFS(이수내역!$B$3:$B$2002,$A65,이수내역!$D$3:$D$2002,$D65)=0,"",SUMPRODUCT(MAX((이수내역!$B$3:$B$2002=$A65)*(이수내역!$D$3:$D$2002=$D65)*이수내역!$A$3:$A$2002))))</f>
        <v/>
      </c>
      <c r="H65" s="23" t="str">
        <f aca="false">IF($A65="","",IF($F65="","",IF($G65="",EDATE(직원목록!$E7,$F65),EDATE($G65,$F65))))</f>
        <v/>
      </c>
      <c r="I65" s="21" t="str">
        <f aca="true">IF($H65="","",$H65-TODAY())</f>
        <v/>
      </c>
      <c r="J65" s="21" t="str">
        <f aca="false">IF($A65="","",IF($H65="","-",IF($I65&lt;0,"기한초과",IF($I65&lt;=사용안내!$C$16,"임박","정상"))))</f>
        <v/>
      </c>
    </row>
    <row r="66" customFormat="false" ht="15" hidden="false" customHeight="true" outlineLevel="0" collapsed="false">
      <c r="A66" s="20" t="str">
        <f aca="false">IF(OR(직원목록!$A8="",교육과정!$A3="",직원목록!$F8="퇴사"),"",직원목록!$A8)</f>
        <v/>
      </c>
      <c r="B66" s="20" t="str">
        <f aca="false">IF($A66="","",직원목록!$B8)</f>
        <v/>
      </c>
      <c r="C66" s="20" t="str">
        <f aca="false">IF($A66="","",직원목록!$C8)</f>
        <v/>
      </c>
      <c r="D66" s="21" t="str">
        <f aca="false">IF($A66="","",교육과정!$A3)</f>
        <v/>
      </c>
      <c r="E66" s="20" t="str">
        <f aca="false">IF($A66="","",교육과정!$B3)</f>
        <v/>
      </c>
      <c r="F66" s="21" t="str">
        <f aca="false">IF($A66="","",교육과정!$C3)</f>
        <v/>
      </c>
      <c r="G66" s="23" t="str">
        <f aca="false">IF($A66="","",IF(COUNTIFS(이수내역!$B$3:$B$2002,$A66,이수내역!$D$3:$D$2002,$D66)=0,"",SUMPRODUCT(MAX((이수내역!$B$3:$B$2002=$A66)*(이수내역!$D$3:$D$2002=$D66)*이수내역!$A$3:$A$2002))))</f>
        <v/>
      </c>
      <c r="H66" s="23" t="str">
        <f aca="false">IF($A66="","",IF($F66="","",IF($G66="",EDATE(직원목록!$E8,$F66),EDATE($G66,$F66))))</f>
        <v/>
      </c>
      <c r="I66" s="21" t="str">
        <f aca="true">IF($H66="","",$H66-TODAY())</f>
        <v/>
      </c>
      <c r="J66" s="21" t="str">
        <f aca="false">IF($A66="","",IF($H66="","-",IF($I66&lt;0,"기한초과",IF($I66&lt;=사용안내!$C$16,"임박","정상"))))</f>
        <v/>
      </c>
    </row>
    <row r="67" customFormat="false" ht="15" hidden="false" customHeight="true" outlineLevel="0" collapsed="false">
      <c r="A67" s="20" t="str">
        <f aca="false">IF(OR(직원목록!$A8="",교육과정!$A4="",직원목록!$F8="퇴사"),"",직원목록!$A8)</f>
        <v/>
      </c>
      <c r="B67" s="20" t="str">
        <f aca="false">IF($A67="","",직원목록!$B8)</f>
        <v/>
      </c>
      <c r="C67" s="20" t="str">
        <f aca="false">IF($A67="","",직원목록!$C8)</f>
        <v/>
      </c>
      <c r="D67" s="21" t="str">
        <f aca="false">IF($A67="","",교육과정!$A4)</f>
        <v/>
      </c>
      <c r="E67" s="20" t="str">
        <f aca="false">IF($A67="","",교육과정!$B4)</f>
        <v/>
      </c>
      <c r="F67" s="21" t="str">
        <f aca="false">IF($A67="","",교육과정!$C4)</f>
        <v/>
      </c>
      <c r="G67" s="23" t="str">
        <f aca="false">IF($A67="","",IF(COUNTIFS(이수내역!$B$3:$B$2002,$A67,이수내역!$D$3:$D$2002,$D67)=0,"",SUMPRODUCT(MAX((이수내역!$B$3:$B$2002=$A67)*(이수내역!$D$3:$D$2002=$D67)*이수내역!$A$3:$A$2002))))</f>
        <v/>
      </c>
      <c r="H67" s="23" t="str">
        <f aca="false">IF($A67="","",IF($F67="","",IF($G67="",EDATE(직원목록!$E8,$F67),EDATE($G67,$F67))))</f>
        <v/>
      </c>
      <c r="I67" s="21" t="str">
        <f aca="true">IF($H67="","",$H67-TODAY())</f>
        <v/>
      </c>
      <c r="J67" s="21" t="str">
        <f aca="false">IF($A67="","",IF($H67="","-",IF($I67&lt;0,"기한초과",IF($I67&lt;=사용안내!$C$16,"임박","정상"))))</f>
        <v/>
      </c>
    </row>
    <row r="68" customFormat="false" ht="15" hidden="false" customHeight="true" outlineLevel="0" collapsed="false">
      <c r="A68" s="20" t="str">
        <f aca="false">IF(OR(직원목록!$A8="",교육과정!$A5="",직원목록!$F8="퇴사"),"",직원목록!$A8)</f>
        <v/>
      </c>
      <c r="B68" s="20" t="str">
        <f aca="false">IF($A68="","",직원목록!$B8)</f>
        <v/>
      </c>
      <c r="C68" s="20" t="str">
        <f aca="false">IF($A68="","",직원목록!$C8)</f>
        <v/>
      </c>
      <c r="D68" s="21" t="str">
        <f aca="false">IF($A68="","",교육과정!$A5)</f>
        <v/>
      </c>
      <c r="E68" s="20" t="str">
        <f aca="false">IF($A68="","",교육과정!$B5)</f>
        <v/>
      </c>
      <c r="F68" s="21" t="str">
        <f aca="false">IF($A68="","",교육과정!$C5)</f>
        <v/>
      </c>
      <c r="G68" s="23" t="str">
        <f aca="false">IF($A68="","",IF(COUNTIFS(이수내역!$B$3:$B$2002,$A68,이수내역!$D$3:$D$2002,$D68)=0,"",SUMPRODUCT(MAX((이수내역!$B$3:$B$2002=$A68)*(이수내역!$D$3:$D$2002=$D68)*이수내역!$A$3:$A$2002))))</f>
        <v/>
      </c>
      <c r="H68" s="23" t="str">
        <f aca="false">IF($A68="","",IF($F68="","",IF($G68="",EDATE(직원목록!$E8,$F68),EDATE($G68,$F68))))</f>
        <v/>
      </c>
      <c r="I68" s="21" t="str">
        <f aca="true">IF($H68="","",$H68-TODAY())</f>
        <v/>
      </c>
      <c r="J68" s="21" t="str">
        <f aca="false">IF($A68="","",IF($H68="","-",IF($I68&lt;0,"기한초과",IF($I68&lt;=사용안내!$C$16,"임박","정상"))))</f>
        <v/>
      </c>
    </row>
    <row r="69" customFormat="false" ht="15" hidden="false" customHeight="true" outlineLevel="0" collapsed="false">
      <c r="A69" s="20" t="str">
        <f aca="false">IF(OR(직원목록!$A8="",교육과정!$A6="",직원목록!$F8="퇴사"),"",직원목록!$A8)</f>
        <v/>
      </c>
      <c r="B69" s="20" t="str">
        <f aca="false">IF($A69="","",직원목록!$B8)</f>
        <v/>
      </c>
      <c r="C69" s="20" t="str">
        <f aca="false">IF($A69="","",직원목록!$C8)</f>
        <v/>
      </c>
      <c r="D69" s="21" t="str">
        <f aca="false">IF($A69="","",교육과정!$A6)</f>
        <v/>
      </c>
      <c r="E69" s="20" t="str">
        <f aca="false">IF($A69="","",교육과정!$B6)</f>
        <v/>
      </c>
      <c r="F69" s="21" t="str">
        <f aca="false">IF($A69="","",교육과정!$C6)</f>
        <v/>
      </c>
      <c r="G69" s="23" t="str">
        <f aca="false">IF($A69="","",IF(COUNTIFS(이수내역!$B$3:$B$2002,$A69,이수내역!$D$3:$D$2002,$D69)=0,"",SUMPRODUCT(MAX((이수내역!$B$3:$B$2002=$A69)*(이수내역!$D$3:$D$2002=$D69)*이수내역!$A$3:$A$2002))))</f>
        <v/>
      </c>
      <c r="H69" s="23" t="str">
        <f aca="false">IF($A69="","",IF($F69="","",IF($G69="",EDATE(직원목록!$E8,$F69),EDATE($G69,$F69))))</f>
        <v/>
      </c>
      <c r="I69" s="21" t="str">
        <f aca="true">IF($H69="","",$H69-TODAY())</f>
        <v/>
      </c>
      <c r="J69" s="21" t="str">
        <f aca="false">IF($A69="","",IF($H69="","-",IF($I69&lt;0,"기한초과",IF($I69&lt;=사용안내!$C$16,"임박","정상"))))</f>
        <v/>
      </c>
    </row>
    <row r="70" customFormat="false" ht="15" hidden="false" customHeight="true" outlineLevel="0" collapsed="false">
      <c r="A70" s="20" t="str">
        <f aca="false">IF(OR(직원목록!$A8="",교육과정!$A7="",직원목록!$F8="퇴사"),"",직원목록!$A8)</f>
        <v/>
      </c>
      <c r="B70" s="20" t="str">
        <f aca="false">IF($A70="","",직원목록!$B8)</f>
        <v/>
      </c>
      <c r="C70" s="20" t="str">
        <f aca="false">IF($A70="","",직원목록!$C8)</f>
        <v/>
      </c>
      <c r="D70" s="21" t="str">
        <f aca="false">IF($A70="","",교육과정!$A7)</f>
        <v/>
      </c>
      <c r="E70" s="20" t="str">
        <f aca="false">IF($A70="","",교육과정!$B7)</f>
        <v/>
      </c>
      <c r="F70" s="21" t="str">
        <f aca="false">IF($A70="","",교육과정!$C7)</f>
        <v/>
      </c>
      <c r="G70" s="23" t="str">
        <f aca="false">IF($A70="","",IF(COUNTIFS(이수내역!$B$3:$B$2002,$A70,이수내역!$D$3:$D$2002,$D70)=0,"",SUMPRODUCT(MAX((이수내역!$B$3:$B$2002=$A70)*(이수내역!$D$3:$D$2002=$D70)*이수내역!$A$3:$A$2002))))</f>
        <v/>
      </c>
      <c r="H70" s="23" t="str">
        <f aca="false">IF($A70="","",IF($F70="","",IF($G70="",EDATE(직원목록!$E8,$F70),EDATE($G70,$F70))))</f>
        <v/>
      </c>
      <c r="I70" s="21" t="str">
        <f aca="true">IF($H70="","",$H70-TODAY())</f>
        <v/>
      </c>
      <c r="J70" s="21" t="str">
        <f aca="false">IF($A70="","",IF($H70="","-",IF($I70&lt;0,"기한초과",IF($I70&lt;=사용안내!$C$16,"임박","정상"))))</f>
        <v/>
      </c>
    </row>
    <row r="71" customFormat="false" ht="15" hidden="false" customHeight="true" outlineLevel="0" collapsed="false">
      <c r="A71" s="20" t="str">
        <f aca="false">IF(OR(직원목록!$A8="",교육과정!$A8="",직원목록!$F8="퇴사"),"",직원목록!$A8)</f>
        <v/>
      </c>
      <c r="B71" s="20" t="str">
        <f aca="false">IF($A71="","",직원목록!$B8)</f>
        <v/>
      </c>
      <c r="C71" s="20" t="str">
        <f aca="false">IF($A71="","",직원목록!$C8)</f>
        <v/>
      </c>
      <c r="D71" s="21" t="str">
        <f aca="false">IF($A71="","",교육과정!$A8)</f>
        <v/>
      </c>
      <c r="E71" s="20" t="str">
        <f aca="false">IF($A71="","",교육과정!$B8)</f>
        <v/>
      </c>
      <c r="F71" s="21" t="str">
        <f aca="false">IF($A71="","",교육과정!$C8)</f>
        <v/>
      </c>
      <c r="G71" s="23" t="str">
        <f aca="false">IF($A71="","",IF(COUNTIFS(이수내역!$B$3:$B$2002,$A71,이수내역!$D$3:$D$2002,$D71)=0,"",SUMPRODUCT(MAX((이수내역!$B$3:$B$2002=$A71)*(이수내역!$D$3:$D$2002=$D71)*이수내역!$A$3:$A$2002))))</f>
        <v/>
      </c>
      <c r="H71" s="23" t="str">
        <f aca="false">IF($A71="","",IF($F71="","",IF($G71="",EDATE(직원목록!$E8,$F71),EDATE($G71,$F71))))</f>
        <v/>
      </c>
      <c r="I71" s="21" t="str">
        <f aca="true">IF($H71="","",$H71-TODAY())</f>
        <v/>
      </c>
      <c r="J71" s="21" t="str">
        <f aca="false">IF($A71="","",IF($H71="","-",IF($I71&lt;0,"기한초과",IF($I71&lt;=사용안내!$C$16,"임박","정상"))))</f>
        <v/>
      </c>
    </row>
    <row r="72" customFormat="false" ht="15" hidden="false" customHeight="true" outlineLevel="0" collapsed="false">
      <c r="A72" s="20" t="str">
        <f aca="false">IF(OR(직원목록!$A8="",교육과정!$A9="",직원목록!$F8="퇴사"),"",직원목록!$A8)</f>
        <v/>
      </c>
      <c r="B72" s="20" t="str">
        <f aca="false">IF($A72="","",직원목록!$B8)</f>
        <v/>
      </c>
      <c r="C72" s="20" t="str">
        <f aca="false">IF($A72="","",직원목록!$C8)</f>
        <v/>
      </c>
      <c r="D72" s="21" t="str">
        <f aca="false">IF($A72="","",교육과정!$A9)</f>
        <v/>
      </c>
      <c r="E72" s="20" t="str">
        <f aca="false">IF($A72="","",교육과정!$B9)</f>
        <v/>
      </c>
      <c r="F72" s="21" t="str">
        <f aca="false">IF($A72="","",교육과정!$C9)</f>
        <v/>
      </c>
      <c r="G72" s="23" t="str">
        <f aca="false">IF($A72="","",IF(COUNTIFS(이수내역!$B$3:$B$2002,$A72,이수내역!$D$3:$D$2002,$D72)=0,"",SUMPRODUCT(MAX((이수내역!$B$3:$B$2002=$A72)*(이수내역!$D$3:$D$2002=$D72)*이수내역!$A$3:$A$2002))))</f>
        <v/>
      </c>
      <c r="H72" s="23" t="str">
        <f aca="false">IF($A72="","",IF($F72="","",IF($G72="",EDATE(직원목록!$E8,$F72),EDATE($G72,$F72))))</f>
        <v/>
      </c>
      <c r="I72" s="21" t="str">
        <f aca="true">IF($H72="","",$H72-TODAY())</f>
        <v/>
      </c>
      <c r="J72" s="21" t="str">
        <f aca="false">IF($A72="","",IF($H72="","-",IF($I72&lt;0,"기한초과",IF($I72&lt;=사용안내!$C$16,"임박","정상"))))</f>
        <v/>
      </c>
    </row>
    <row r="73" customFormat="false" ht="15" hidden="false" customHeight="true" outlineLevel="0" collapsed="false">
      <c r="A73" s="20" t="str">
        <f aca="false">IF(OR(직원목록!$A8="",교육과정!$A10="",직원목록!$F8="퇴사"),"",직원목록!$A8)</f>
        <v/>
      </c>
      <c r="B73" s="20" t="str">
        <f aca="false">IF($A73="","",직원목록!$B8)</f>
        <v/>
      </c>
      <c r="C73" s="20" t="str">
        <f aca="false">IF($A73="","",직원목록!$C8)</f>
        <v/>
      </c>
      <c r="D73" s="21" t="str">
        <f aca="false">IF($A73="","",교육과정!$A10)</f>
        <v/>
      </c>
      <c r="E73" s="20" t="str">
        <f aca="false">IF($A73="","",교육과정!$B10)</f>
        <v/>
      </c>
      <c r="F73" s="21" t="str">
        <f aca="false">IF($A73="","",교육과정!$C10)</f>
        <v/>
      </c>
      <c r="G73" s="23" t="str">
        <f aca="false">IF($A73="","",IF(COUNTIFS(이수내역!$B$3:$B$2002,$A73,이수내역!$D$3:$D$2002,$D73)=0,"",SUMPRODUCT(MAX((이수내역!$B$3:$B$2002=$A73)*(이수내역!$D$3:$D$2002=$D73)*이수내역!$A$3:$A$2002))))</f>
        <v/>
      </c>
      <c r="H73" s="23" t="str">
        <f aca="false">IF($A73="","",IF($F73="","",IF($G73="",EDATE(직원목록!$E8,$F73),EDATE($G73,$F73))))</f>
        <v/>
      </c>
      <c r="I73" s="21" t="str">
        <f aca="true">IF($H73="","",$H73-TODAY())</f>
        <v/>
      </c>
      <c r="J73" s="21" t="str">
        <f aca="false">IF($A73="","",IF($H73="","-",IF($I73&lt;0,"기한초과",IF($I73&lt;=사용안내!$C$16,"임박","정상"))))</f>
        <v/>
      </c>
    </row>
    <row r="74" customFormat="false" ht="15" hidden="false" customHeight="true" outlineLevel="0" collapsed="false">
      <c r="A74" s="20" t="str">
        <f aca="false">IF(OR(직원목록!$A8="",교육과정!$A11="",직원목록!$F8="퇴사"),"",직원목록!$A8)</f>
        <v/>
      </c>
      <c r="B74" s="20" t="str">
        <f aca="false">IF($A74="","",직원목록!$B8)</f>
        <v/>
      </c>
      <c r="C74" s="20" t="str">
        <f aca="false">IF($A74="","",직원목록!$C8)</f>
        <v/>
      </c>
      <c r="D74" s="21" t="str">
        <f aca="false">IF($A74="","",교육과정!$A11)</f>
        <v/>
      </c>
      <c r="E74" s="20" t="str">
        <f aca="false">IF($A74="","",교육과정!$B11)</f>
        <v/>
      </c>
      <c r="F74" s="21" t="str">
        <f aca="false">IF($A74="","",교육과정!$C11)</f>
        <v/>
      </c>
      <c r="G74" s="23" t="str">
        <f aca="false">IF($A74="","",IF(COUNTIFS(이수내역!$B$3:$B$2002,$A74,이수내역!$D$3:$D$2002,$D74)=0,"",SUMPRODUCT(MAX((이수내역!$B$3:$B$2002=$A74)*(이수내역!$D$3:$D$2002=$D74)*이수내역!$A$3:$A$2002))))</f>
        <v/>
      </c>
      <c r="H74" s="23" t="str">
        <f aca="false">IF($A74="","",IF($F74="","",IF($G74="",EDATE(직원목록!$E8,$F74),EDATE($G74,$F74))))</f>
        <v/>
      </c>
      <c r="I74" s="21" t="str">
        <f aca="true">IF($H74="","",$H74-TODAY())</f>
        <v/>
      </c>
      <c r="J74" s="21" t="str">
        <f aca="false">IF($A74="","",IF($H74="","-",IF($I74&lt;0,"기한초과",IF($I74&lt;=사용안내!$C$16,"임박","정상"))))</f>
        <v/>
      </c>
    </row>
    <row r="75" customFormat="false" ht="15" hidden="false" customHeight="true" outlineLevel="0" collapsed="false">
      <c r="A75" s="20" t="str">
        <f aca="false">IF(OR(직원목록!$A8="",교육과정!$A12="",직원목록!$F8="퇴사"),"",직원목록!$A8)</f>
        <v/>
      </c>
      <c r="B75" s="20" t="str">
        <f aca="false">IF($A75="","",직원목록!$B8)</f>
        <v/>
      </c>
      <c r="C75" s="20" t="str">
        <f aca="false">IF($A75="","",직원목록!$C8)</f>
        <v/>
      </c>
      <c r="D75" s="21" t="str">
        <f aca="false">IF($A75="","",교육과정!$A12)</f>
        <v/>
      </c>
      <c r="E75" s="20" t="str">
        <f aca="false">IF($A75="","",교육과정!$B12)</f>
        <v/>
      </c>
      <c r="F75" s="21" t="str">
        <f aca="false">IF($A75="","",교육과정!$C12)</f>
        <v/>
      </c>
      <c r="G75" s="23" t="str">
        <f aca="false">IF($A75="","",IF(COUNTIFS(이수내역!$B$3:$B$2002,$A75,이수내역!$D$3:$D$2002,$D75)=0,"",SUMPRODUCT(MAX((이수내역!$B$3:$B$2002=$A75)*(이수내역!$D$3:$D$2002=$D75)*이수내역!$A$3:$A$2002))))</f>
        <v/>
      </c>
      <c r="H75" s="23" t="str">
        <f aca="false">IF($A75="","",IF($F75="","",IF($G75="",EDATE(직원목록!$E8,$F75),EDATE($G75,$F75))))</f>
        <v/>
      </c>
      <c r="I75" s="21" t="str">
        <f aca="true">IF($H75="","",$H75-TODAY())</f>
        <v/>
      </c>
      <c r="J75" s="21" t="str">
        <f aca="false">IF($A75="","",IF($H75="","-",IF($I75&lt;0,"기한초과",IF($I75&lt;=사용안내!$C$16,"임박","정상"))))</f>
        <v/>
      </c>
    </row>
    <row r="76" customFormat="false" ht="15" hidden="false" customHeight="true" outlineLevel="0" collapsed="false">
      <c r="A76" s="20" t="str">
        <f aca="false">IF(OR(직원목록!$A8="",교육과정!$A13="",직원목록!$F8="퇴사"),"",직원목록!$A8)</f>
        <v/>
      </c>
      <c r="B76" s="20" t="str">
        <f aca="false">IF($A76="","",직원목록!$B8)</f>
        <v/>
      </c>
      <c r="C76" s="20" t="str">
        <f aca="false">IF($A76="","",직원목록!$C8)</f>
        <v/>
      </c>
      <c r="D76" s="21" t="str">
        <f aca="false">IF($A76="","",교육과정!$A13)</f>
        <v/>
      </c>
      <c r="E76" s="20" t="str">
        <f aca="false">IF($A76="","",교육과정!$B13)</f>
        <v/>
      </c>
      <c r="F76" s="21" t="str">
        <f aca="false">IF($A76="","",교육과정!$C13)</f>
        <v/>
      </c>
      <c r="G76" s="23" t="str">
        <f aca="false">IF($A76="","",IF(COUNTIFS(이수내역!$B$3:$B$2002,$A76,이수내역!$D$3:$D$2002,$D76)=0,"",SUMPRODUCT(MAX((이수내역!$B$3:$B$2002=$A76)*(이수내역!$D$3:$D$2002=$D76)*이수내역!$A$3:$A$2002))))</f>
        <v/>
      </c>
      <c r="H76" s="23" t="str">
        <f aca="false">IF($A76="","",IF($F76="","",IF($G76="",EDATE(직원목록!$E8,$F76),EDATE($G76,$F76))))</f>
        <v/>
      </c>
      <c r="I76" s="21" t="str">
        <f aca="true">IF($H76="","",$H76-TODAY())</f>
        <v/>
      </c>
      <c r="J76" s="21" t="str">
        <f aca="false">IF($A76="","",IF($H76="","-",IF($I76&lt;0,"기한초과",IF($I76&lt;=사용안내!$C$16,"임박","정상"))))</f>
        <v/>
      </c>
    </row>
    <row r="77" customFormat="false" ht="15" hidden="false" customHeight="true" outlineLevel="0" collapsed="false">
      <c r="A77" s="20" t="str">
        <f aca="false">IF(OR(직원목록!$A8="",교육과정!$A14="",직원목록!$F8="퇴사"),"",직원목록!$A8)</f>
        <v/>
      </c>
      <c r="B77" s="20" t="str">
        <f aca="false">IF($A77="","",직원목록!$B8)</f>
        <v/>
      </c>
      <c r="C77" s="20" t="str">
        <f aca="false">IF($A77="","",직원목록!$C8)</f>
        <v/>
      </c>
      <c r="D77" s="21" t="str">
        <f aca="false">IF($A77="","",교육과정!$A14)</f>
        <v/>
      </c>
      <c r="E77" s="20" t="str">
        <f aca="false">IF($A77="","",교육과정!$B14)</f>
        <v/>
      </c>
      <c r="F77" s="21" t="str">
        <f aca="false">IF($A77="","",교육과정!$C14)</f>
        <v/>
      </c>
      <c r="G77" s="23" t="str">
        <f aca="false">IF($A77="","",IF(COUNTIFS(이수내역!$B$3:$B$2002,$A77,이수내역!$D$3:$D$2002,$D77)=0,"",SUMPRODUCT(MAX((이수내역!$B$3:$B$2002=$A77)*(이수내역!$D$3:$D$2002=$D77)*이수내역!$A$3:$A$2002))))</f>
        <v/>
      </c>
      <c r="H77" s="23" t="str">
        <f aca="false">IF($A77="","",IF($F77="","",IF($G77="",EDATE(직원목록!$E8,$F77),EDATE($G77,$F77))))</f>
        <v/>
      </c>
      <c r="I77" s="21" t="str">
        <f aca="true">IF($H77="","",$H77-TODAY())</f>
        <v/>
      </c>
      <c r="J77" s="21" t="str">
        <f aca="false">IF($A77="","",IF($H77="","-",IF($I77&lt;0,"기한초과",IF($I77&lt;=사용안내!$C$16,"임박","정상"))))</f>
        <v/>
      </c>
    </row>
    <row r="78" customFormat="false" ht="15" hidden="false" customHeight="true" outlineLevel="0" collapsed="false">
      <c r="A78" s="20" t="str">
        <f aca="false">IF(OR(직원목록!$A9="",교육과정!$A3="",직원목록!$F9="퇴사"),"",직원목록!$A9)</f>
        <v/>
      </c>
      <c r="B78" s="20" t="str">
        <f aca="false">IF($A78="","",직원목록!$B9)</f>
        <v/>
      </c>
      <c r="C78" s="20" t="str">
        <f aca="false">IF($A78="","",직원목록!$C9)</f>
        <v/>
      </c>
      <c r="D78" s="21" t="str">
        <f aca="false">IF($A78="","",교육과정!$A3)</f>
        <v/>
      </c>
      <c r="E78" s="20" t="str">
        <f aca="false">IF($A78="","",교육과정!$B3)</f>
        <v/>
      </c>
      <c r="F78" s="21" t="str">
        <f aca="false">IF($A78="","",교육과정!$C3)</f>
        <v/>
      </c>
      <c r="G78" s="23" t="str">
        <f aca="false">IF($A78="","",IF(COUNTIFS(이수내역!$B$3:$B$2002,$A78,이수내역!$D$3:$D$2002,$D78)=0,"",SUMPRODUCT(MAX((이수내역!$B$3:$B$2002=$A78)*(이수내역!$D$3:$D$2002=$D78)*이수내역!$A$3:$A$2002))))</f>
        <v/>
      </c>
      <c r="H78" s="23" t="str">
        <f aca="false">IF($A78="","",IF($F78="","",IF($G78="",EDATE(직원목록!$E9,$F78),EDATE($G78,$F78))))</f>
        <v/>
      </c>
      <c r="I78" s="21" t="str">
        <f aca="true">IF($H78="","",$H78-TODAY())</f>
        <v/>
      </c>
      <c r="J78" s="21" t="str">
        <f aca="false">IF($A78="","",IF($H78="","-",IF($I78&lt;0,"기한초과",IF($I78&lt;=사용안내!$C$16,"임박","정상"))))</f>
        <v/>
      </c>
    </row>
    <row r="79" customFormat="false" ht="15" hidden="false" customHeight="true" outlineLevel="0" collapsed="false">
      <c r="A79" s="20" t="str">
        <f aca="false">IF(OR(직원목록!$A9="",교육과정!$A4="",직원목록!$F9="퇴사"),"",직원목록!$A9)</f>
        <v/>
      </c>
      <c r="B79" s="20" t="str">
        <f aca="false">IF($A79="","",직원목록!$B9)</f>
        <v/>
      </c>
      <c r="C79" s="20" t="str">
        <f aca="false">IF($A79="","",직원목록!$C9)</f>
        <v/>
      </c>
      <c r="D79" s="21" t="str">
        <f aca="false">IF($A79="","",교육과정!$A4)</f>
        <v/>
      </c>
      <c r="E79" s="20" t="str">
        <f aca="false">IF($A79="","",교육과정!$B4)</f>
        <v/>
      </c>
      <c r="F79" s="21" t="str">
        <f aca="false">IF($A79="","",교육과정!$C4)</f>
        <v/>
      </c>
      <c r="G79" s="23" t="str">
        <f aca="false">IF($A79="","",IF(COUNTIFS(이수내역!$B$3:$B$2002,$A79,이수내역!$D$3:$D$2002,$D79)=0,"",SUMPRODUCT(MAX((이수내역!$B$3:$B$2002=$A79)*(이수내역!$D$3:$D$2002=$D79)*이수내역!$A$3:$A$2002))))</f>
        <v/>
      </c>
      <c r="H79" s="23" t="str">
        <f aca="false">IF($A79="","",IF($F79="","",IF($G79="",EDATE(직원목록!$E9,$F79),EDATE($G79,$F79))))</f>
        <v/>
      </c>
      <c r="I79" s="21" t="str">
        <f aca="true">IF($H79="","",$H79-TODAY())</f>
        <v/>
      </c>
      <c r="J79" s="21" t="str">
        <f aca="false">IF($A79="","",IF($H79="","-",IF($I79&lt;0,"기한초과",IF($I79&lt;=사용안내!$C$16,"임박","정상"))))</f>
        <v/>
      </c>
    </row>
    <row r="80" customFormat="false" ht="15" hidden="false" customHeight="true" outlineLevel="0" collapsed="false">
      <c r="A80" s="20" t="str">
        <f aca="false">IF(OR(직원목록!$A9="",교육과정!$A5="",직원목록!$F9="퇴사"),"",직원목록!$A9)</f>
        <v/>
      </c>
      <c r="B80" s="20" t="str">
        <f aca="false">IF($A80="","",직원목록!$B9)</f>
        <v/>
      </c>
      <c r="C80" s="20" t="str">
        <f aca="false">IF($A80="","",직원목록!$C9)</f>
        <v/>
      </c>
      <c r="D80" s="21" t="str">
        <f aca="false">IF($A80="","",교육과정!$A5)</f>
        <v/>
      </c>
      <c r="E80" s="20" t="str">
        <f aca="false">IF($A80="","",교육과정!$B5)</f>
        <v/>
      </c>
      <c r="F80" s="21" t="str">
        <f aca="false">IF($A80="","",교육과정!$C5)</f>
        <v/>
      </c>
      <c r="G80" s="23" t="str">
        <f aca="false">IF($A80="","",IF(COUNTIFS(이수내역!$B$3:$B$2002,$A80,이수내역!$D$3:$D$2002,$D80)=0,"",SUMPRODUCT(MAX((이수내역!$B$3:$B$2002=$A80)*(이수내역!$D$3:$D$2002=$D80)*이수내역!$A$3:$A$2002))))</f>
        <v/>
      </c>
      <c r="H80" s="23" t="str">
        <f aca="false">IF($A80="","",IF($F80="","",IF($G80="",EDATE(직원목록!$E9,$F80),EDATE($G80,$F80))))</f>
        <v/>
      </c>
      <c r="I80" s="21" t="str">
        <f aca="true">IF($H80="","",$H80-TODAY())</f>
        <v/>
      </c>
      <c r="J80" s="21" t="str">
        <f aca="false">IF($A80="","",IF($H80="","-",IF($I80&lt;0,"기한초과",IF($I80&lt;=사용안내!$C$16,"임박","정상"))))</f>
        <v/>
      </c>
    </row>
    <row r="81" customFormat="false" ht="15" hidden="false" customHeight="true" outlineLevel="0" collapsed="false">
      <c r="A81" s="20" t="str">
        <f aca="false">IF(OR(직원목록!$A9="",교육과정!$A6="",직원목록!$F9="퇴사"),"",직원목록!$A9)</f>
        <v/>
      </c>
      <c r="B81" s="20" t="str">
        <f aca="false">IF($A81="","",직원목록!$B9)</f>
        <v/>
      </c>
      <c r="C81" s="20" t="str">
        <f aca="false">IF($A81="","",직원목록!$C9)</f>
        <v/>
      </c>
      <c r="D81" s="21" t="str">
        <f aca="false">IF($A81="","",교육과정!$A6)</f>
        <v/>
      </c>
      <c r="E81" s="20" t="str">
        <f aca="false">IF($A81="","",교육과정!$B6)</f>
        <v/>
      </c>
      <c r="F81" s="21" t="str">
        <f aca="false">IF($A81="","",교육과정!$C6)</f>
        <v/>
      </c>
      <c r="G81" s="23" t="str">
        <f aca="false">IF($A81="","",IF(COUNTIFS(이수내역!$B$3:$B$2002,$A81,이수내역!$D$3:$D$2002,$D81)=0,"",SUMPRODUCT(MAX((이수내역!$B$3:$B$2002=$A81)*(이수내역!$D$3:$D$2002=$D81)*이수내역!$A$3:$A$2002))))</f>
        <v/>
      </c>
      <c r="H81" s="23" t="str">
        <f aca="false">IF($A81="","",IF($F81="","",IF($G81="",EDATE(직원목록!$E9,$F81),EDATE($G81,$F81))))</f>
        <v/>
      </c>
      <c r="I81" s="21" t="str">
        <f aca="true">IF($H81="","",$H81-TODAY())</f>
        <v/>
      </c>
      <c r="J81" s="21" t="str">
        <f aca="false">IF($A81="","",IF($H81="","-",IF($I81&lt;0,"기한초과",IF($I81&lt;=사용안내!$C$16,"임박","정상"))))</f>
        <v/>
      </c>
    </row>
    <row r="82" customFormat="false" ht="15" hidden="false" customHeight="true" outlineLevel="0" collapsed="false">
      <c r="A82" s="20" t="str">
        <f aca="false">IF(OR(직원목록!$A9="",교육과정!$A7="",직원목록!$F9="퇴사"),"",직원목록!$A9)</f>
        <v/>
      </c>
      <c r="B82" s="20" t="str">
        <f aca="false">IF($A82="","",직원목록!$B9)</f>
        <v/>
      </c>
      <c r="C82" s="20" t="str">
        <f aca="false">IF($A82="","",직원목록!$C9)</f>
        <v/>
      </c>
      <c r="D82" s="21" t="str">
        <f aca="false">IF($A82="","",교육과정!$A7)</f>
        <v/>
      </c>
      <c r="E82" s="20" t="str">
        <f aca="false">IF($A82="","",교육과정!$B7)</f>
        <v/>
      </c>
      <c r="F82" s="21" t="str">
        <f aca="false">IF($A82="","",교육과정!$C7)</f>
        <v/>
      </c>
      <c r="G82" s="23" t="str">
        <f aca="false">IF($A82="","",IF(COUNTIFS(이수내역!$B$3:$B$2002,$A82,이수내역!$D$3:$D$2002,$D82)=0,"",SUMPRODUCT(MAX((이수내역!$B$3:$B$2002=$A82)*(이수내역!$D$3:$D$2002=$D82)*이수내역!$A$3:$A$2002))))</f>
        <v/>
      </c>
      <c r="H82" s="23" t="str">
        <f aca="false">IF($A82="","",IF($F82="","",IF($G82="",EDATE(직원목록!$E9,$F82),EDATE($G82,$F82))))</f>
        <v/>
      </c>
      <c r="I82" s="21" t="str">
        <f aca="true">IF($H82="","",$H82-TODAY())</f>
        <v/>
      </c>
      <c r="J82" s="21" t="str">
        <f aca="false">IF($A82="","",IF($H82="","-",IF($I82&lt;0,"기한초과",IF($I82&lt;=사용안내!$C$16,"임박","정상"))))</f>
        <v/>
      </c>
    </row>
    <row r="83" customFormat="false" ht="15" hidden="false" customHeight="true" outlineLevel="0" collapsed="false">
      <c r="A83" s="20" t="str">
        <f aca="false">IF(OR(직원목록!$A9="",교육과정!$A8="",직원목록!$F9="퇴사"),"",직원목록!$A9)</f>
        <v/>
      </c>
      <c r="B83" s="20" t="str">
        <f aca="false">IF($A83="","",직원목록!$B9)</f>
        <v/>
      </c>
      <c r="C83" s="20" t="str">
        <f aca="false">IF($A83="","",직원목록!$C9)</f>
        <v/>
      </c>
      <c r="D83" s="21" t="str">
        <f aca="false">IF($A83="","",교육과정!$A8)</f>
        <v/>
      </c>
      <c r="E83" s="20" t="str">
        <f aca="false">IF($A83="","",교육과정!$B8)</f>
        <v/>
      </c>
      <c r="F83" s="21" t="str">
        <f aca="false">IF($A83="","",교육과정!$C8)</f>
        <v/>
      </c>
      <c r="G83" s="23" t="str">
        <f aca="false">IF($A83="","",IF(COUNTIFS(이수내역!$B$3:$B$2002,$A83,이수내역!$D$3:$D$2002,$D83)=0,"",SUMPRODUCT(MAX((이수내역!$B$3:$B$2002=$A83)*(이수내역!$D$3:$D$2002=$D83)*이수내역!$A$3:$A$2002))))</f>
        <v/>
      </c>
      <c r="H83" s="23" t="str">
        <f aca="false">IF($A83="","",IF($F83="","",IF($G83="",EDATE(직원목록!$E9,$F83),EDATE($G83,$F83))))</f>
        <v/>
      </c>
      <c r="I83" s="21" t="str">
        <f aca="true">IF($H83="","",$H83-TODAY())</f>
        <v/>
      </c>
      <c r="J83" s="21" t="str">
        <f aca="false">IF($A83="","",IF($H83="","-",IF($I83&lt;0,"기한초과",IF($I83&lt;=사용안내!$C$16,"임박","정상"))))</f>
        <v/>
      </c>
    </row>
    <row r="84" customFormat="false" ht="15" hidden="false" customHeight="true" outlineLevel="0" collapsed="false">
      <c r="A84" s="20" t="str">
        <f aca="false">IF(OR(직원목록!$A9="",교육과정!$A9="",직원목록!$F9="퇴사"),"",직원목록!$A9)</f>
        <v/>
      </c>
      <c r="B84" s="20" t="str">
        <f aca="false">IF($A84="","",직원목록!$B9)</f>
        <v/>
      </c>
      <c r="C84" s="20" t="str">
        <f aca="false">IF($A84="","",직원목록!$C9)</f>
        <v/>
      </c>
      <c r="D84" s="21" t="str">
        <f aca="false">IF($A84="","",교육과정!$A9)</f>
        <v/>
      </c>
      <c r="E84" s="20" t="str">
        <f aca="false">IF($A84="","",교육과정!$B9)</f>
        <v/>
      </c>
      <c r="F84" s="21" t="str">
        <f aca="false">IF($A84="","",교육과정!$C9)</f>
        <v/>
      </c>
      <c r="G84" s="23" t="str">
        <f aca="false">IF($A84="","",IF(COUNTIFS(이수내역!$B$3:$B$2002,$A84,이수내역!$D$3:$D$2002,$D84)=0,"",SUMPRODUCT(MAX((이수내역!$B$3:$B$2002=$A84)*(이수내역!$D$3:$D$2002=$D84)*이수내역!$A$3:$A$2002))))</f>
        <v/>
      </c>
      <c r="H84" s="23" t="str">
        <f aca="false">IF($A84="","",IF($F84="","",IF($G84="",EDATE(직원목록!$E9,$F84),EDATE($G84,$F84))))</f>
        <v/>
      </c>
      <c r="I84" s="21" t="str">
        <f aca="true">IF($H84="","",$H84-TODAY())</f>
        <v/>
      </c>
      <c r="J84" s="21" t="str">
        <f aca="false">IF($A84="","",IF($H84="","-",IF($I84&lt;0,"기한초과",IF($I84&lt;=사용안내!$C$16,"임박","정상"))))</f>
        <v/>
      </c>
    </row>
    <row r="85" customFormat="false" ht="15" hidden="false" customHeight="true" outlineLevel="0" collapsed="false">
      <c r="A85" s="20" t="str">
        <f aca="false">IF(OR(직원목록!$A9="",교육과정!$A10="",직원목록!$F9="퇴사"),"",직원목록!$A9)</f>
        <v/>
      </c>
      <c r="B85" s="20" t="str">
        <f aca="false">IF($A85="","",직원목록!$B9)</f>
        <v/>
      </c>
      <c r="C85" s="20" t="str">
        <f aca="false">IF($A85="","",직원목록!$C9)</f>
        <v/>
      </c>
      <c r="D85" s="21" t="str">
        <f aca="false">IF($A85="","",교육과정!$A10)</f>
        <v/>
      </c>
      <c r="E85" s="20" t="str">
        <f aca="false">IF($A85="","",교육과정!$B10)</f>
        <v/>
      </c>
      <c r="F85" s="21" t="str">
        <f aca="false">IF($A85="","",교육과정!$C10)</f>
        <v/>
      </c>
      <c r="G85" s="23" t="str">
        <f aca="false">IF($A85="","",IF(COUNTIFS(이수내역!$B$3:$B$2002,$A85,이수내역!$D$3:$D$2002,$D85)=0,"",SUMPRODUCT(MAX((이수내역!$B$3:$B$2002=$A85)*(이수내역!$D$3:$D$2002=$D85)*이수내역!$A$3:$A$2002))))</f>
        <v/>
      </c>
      <c r="H85" s="23" t="str">
        <f aca="false">IF($A85="","",IF($F85="","",IF($G85="",EDATE(직원목록!$E9,$F85),EDATE($G85,$F85))))</f>
        <v/>
      </c>
      <c r="I85" s="21" t="str">
        <f aca="true">IF($H85="","",$H85-TODAY())</f>
        <v/>
      </c>
      <c r="J85" s="21" t="str">
        <f aca="false">IF($A85="","",IF($H85="","-",IF($I85&lt;0,"기한초과",IF($I85&lt;=사용안내!$C$16,"임박","정상"))))</f>
        <v/>
      </c>
    </row>
    <row r="86" customFormat="false" ht="15" hidden="false" customHeight="true" outlineLevel="0" collapsed="false">
      <c r="A86" s="20" t="str">
        <f aca="false">IF(OR(직원목록!$A9="",교육과정!$A11="",직원목록!$F9="퇴사"),"",직원목록!$A9)</f>
        <v/>
      </c>
      <c r="B86" s="20" t="str">
        <f aca="false">IF($A86="","",직원목록!$B9)</f>
        <v/>
      </c>
      <c r="C86" s="20" t="str">
        <f aca="false">IF($A86="","",직원목록!$C9)</f>
        <v/>
      </c>
      <c r="D86" s="21" t="str">
        <f aca="false">IF($A86="","",교육과정!$A11)</f>
        <v/>
      </c>
      <c r="E86" s="20" t="str">
        <f aca="false">IF($A86="","",교육과정!$B11)</f>
        <v/>
      </c>
      <c r="F86" s="21" t="str">
        <f aca="false">IF($A86="","",교육과정!$C11)</f>
        <v/>
      </c>
      <c r="G86" s="23" t="str">
        <f aca="false">IF($A86="","",IF(COUNTIFS(이수내역!$B$3:$B$2002,$A86,이수내역!$D$3:$D$2002,$D86)=0,"",SUMPRODUCT(MAX((이수내역!$B$3:$B$2002=$A86)*(이수내역!$D$3:$D$2002=$D86)*이수내역!$A$3:$A$2002))))</f>
        <v/>
      </c>
      <c r="H86" s="23" t="str">
        <f aca="false">IF($A86="","",IF($F86="","",IF($G86="",EDATE(직원목록!$E9,$F86),EDATE($G86,$F86))))</f>
        <v/>
      </c>
      <c r="I86" s="21" t="str">
        <f aca="true">IF($H86="","",$H86-TODAY())</f>
        <v/>
      </c>
      <c r="J86" s="21" t="str">
        <f aca="false">IF($A86="","",IF($H86="","-",IF($I86&lt;0,"기한초과",IF($I86&lt;=사용안내!$C$16,"임박","정상"))))</f>
        <v/>
      </c>
    </row>
    <row r="87" customFormat="false" ht="15" hidden="false" customHeight="true" outlineLevel="0" collapsed="false">
      <c r="A87" s="20" t="str">
        <f aca="false">IF(OR(직원목록!$A9="",교육과정!$A12="",직원목록!$F9="퇴사"),"",직원목록!$A9)</f>
        <v/>
      </c>
      <c r="B87" s="20" t="str">
        <f aca="false">IF($A87="","",직원목록!$B9)</f>
        <v/>
      </c>
      <c r="C87" s="20" t="str">
        <f aca="false">IF($A87="","",직원목록!$C9)</f>
        <v/>
      </c>
      <c r="D87" s="21" t="str">
        <f aca="false">IF($A87="","",교육과정!$A12)</f>
        <v/>
      </c>
      <c r="E87" s="20" t="str">
        <f aca="false">IF($A87="","",교육과정!$B12)</f>
        <v/>
      </c>
      <c r="F87" s="21" t="str">
        <f aca="false">IF($A87="","",교육과정!$C12)</f>
        <v/>
      </c>
      <c r="G87" s="23" t="str">
        <f aca="false">IF($A87="","",IF(COUNTIFS(이수내역!$B$3:$B$2002,$A87,이수내역!$D$3:$D$2002,$D87)=0,"",SUMPRODUCT(MAX((이수내역!$B$3:$B$2002=$A87)*(이수내역!$D$3:$D$2002=$D87)*이수내역!$A$3:$A$2002))))</f>
        <v/>
      </c>
      <c r="H87" s="23" t="str">
        <f aca="false">IF($A87="","",IF($F87="","",IF($G87="",EDATE(직원목록!$E9,$F87),EDATE($G87,$F87))))</f>
        <v/>
      </c>
      <c r="I87" s="21" t="str">
        <f aca="true">IF($H87="","",$H87-TODAY())</f>
        <v/>
      </c>
      <c r="J87" s="21" t="str">
        <f aca="false">IF($A87="","",IF($H87="","-",IF($I87&lt;0,"기한초과",IF($I87&lt;=사용안내!$C$16,"임박","정상"))))</f>
        <v/>
      </c>
    </row>
    <row r="88" customFormat="false" ht="15" hidden="false" customHeight="true" outlineLevel="0" collapsed="false">
      <c r="A88" s="20" t="str">
        <f aca="false">IF(OR(직원목록!$A9="",교육과정!$A13="",직원목록!$F9="퇴사"),"",직원목록!$A9)</f>
        <v/>
      </c>
      <c r="B88" s="20" t="str">
        <f aca="false">IF($A88="","",직원목록!$B9)</f>
        <v/>
      </c>
      <c r="C88" s="20" t="str">
        <f aca="false">IF($A88="","",직원목록!$C9)</f>
        <v/>
      </c>
      <c r="D88" s="21" t="str">
        <f aca="false">IF($A88="","",교육과정!$A13)</f>
        <v/>
      </c>
      <c r="E88" s="20" t="str">
        <f aca="false">IF($A88="","",교육과정!$B13)</f>
        <v/>
      </c>
      <c r="F88" s="21" t="str">
        <f aca="false">IF($A88="","",교육과정!$C13)</f>
        <v/>
      </c>
      <c r="G88" s="23" t="str">
        <f aca="false">IF($A88="","",IF(COUNTIFS(이수내역!$B$3:$B$2002,$A88,이수내역!$D$3:$D$2002,$D88)=0,"",SUMPRODUCT(MAX((이수내역!$B$3:$B$2002=$A88)*(이수내역!$D$3:$D$2002=$D88)*이수내역!$A$3:$A$2002))))</f>
        <v/>
      </c>
      <c r="H88" s="23" t="str">
        <f aca="false">IF($A88="","",IF($F88="","",IF($G88="",EDATE(직원목록!$E9,$F88),EDATE($G88,$F88))))</f>
        <v/>
      </c>
      <c r="I88" s="21" t="str">
        <f aca="true">IF($H88="","",$H88-TODAY())</f>
        <v/>
      </c>
      <c r="J88" s="21" t="str">
        <f aca="false">IF($A88="","",IF($H88="","-",IF($I88&lt;0,"기한초과",IF($I88&lt;=사용안내!$C$16,"임박","정상"))))</f>
        <v/>
      </c>
    </row>
    <row r="89" customFormat="false" ht="15" hidden="false" customHeight="true" outlineLevel="0" collapsed="false">
      <c r="A89" s="20" t="str">
        <f aca="false">IF(OR(직원목록!$A9="",교육과정!$A14="",직원목록!$F9="퇴사"),"",직원목록!$A9)</f>
        <v/>
      </c>
      <c r="B89" s="20" t="str">
        <f aca="false">IF($A89="","",직원목록!$B9)</f>
        <v/>
      </c>
      <c r="C89" s="20" t="str">
        <f aca="false">IF($A89="","",직원목록!$C9)</f>
        <v/>
      </c>
      <c r="D89" s="21" t="str">
        <f aca="false">IF($A89="","",교육과정!$A14)</f>
        <v/>
      </c>
      <c r="E89" s="20" t="str">
        <f aca="false">IF($A89="","",교육과정!$B14)</f>
        <v/>
      </c>
      <c r="F89" s="21" t="str">
        <f aca="false">IF($A89="","",교육과정!$C14)</f>
        <v/>
      </c>
      <c r="G89" s="23" t="str">
        <f aca="false">IF($A89="","",IF(COUNTIFS(이수내역!$B$3:$B$2002,$A89,이수내역!$D$3:$D$2002,$D89)=0,"",SUMPRODUCT(MAX((이수내역!$B$3:$B$2002=$A89)*(이수내역!$D$3:$D$2002=$D89)*이수내역!$A$3:$A$2002))))</f>
        <v/>
      </c>
      <c r="H89" s="23" t="str">
        <f aca="false">IF($A89="","",IF($F89="","",IF($G89="",EDATE(직원목록!$E9,$F89),EDATE($G89,$F89))))</f>
        <v/>
      </c>
      <c r="I89" s="21" t="str">
        <f aca="true">IF($H89="","",$H89-TODAY())</f>
        <v/>
      </c>
      <c r="J89" s="21" t="str">
        <f aca="false">IF($A89="","",IF($H89="","-",IF($I89&lt;0,"기한초과",IF($I89&lt;=사용안내!$C$16,"임박","정상"))))</f>
        <v/>
      </c>
    </row>
    <row r="90" customFormat="false" ht="15" hidden="false" customHeight="true" outlineLevel="0" collapsed="false">
      <c r="A90" s="20" t="str">
        <f aca="false">IF(OR(직원목록!$A10="",교육과정!$A3="",직원목록!$F10="퇴사"),"",직원목록!$A10)</f>
        <v/>
      </c>
      <c r="B90" s="20" t="str">
        <f aca="false">IF($A90="","",직원목록!$B10)</f>
        <v/>
      </c>
      <c r="C90" s="20" t="str">
        <f aca="false">IF($A90="","",직원목록!$C10)</f>
        <v/>
      </c>
      <c r="D90" s="21" t="str">
        <f aca="false">IF($A90="","",교육과정!$A3)</f>
        <v/>
      </c>
      <c r="E90" s="20" t="str">
        <f aca="false">IF($A90="","",교육과정!$B3)</f>
        <v/>
      </c>
      <c r="F90" s="21" t="str">
        <f aca="false">IF($A90="","",교육과정!$C3)</f>
        <v/>
      </c>
      <c r="G90" s="23" t="str">
        <f aca="false">IF($A90="","",IF(COUNTIFS(이수내역!$B$3:$B$2002,$A90,이수내역!$D$3:$D$2002,$D90)=0,"",SUMPRODUCT(MAX((이수내역!$B$3:$B$2002=$A90)*(이수내역!$D$3:$D$2002=$D90)*이수내역!$A$3:$A$2002))))</f>
        <v/>
      </c>
      <c r="H90" s="23" t="str">
        <f aca="false">IF($A90="","",IF($F90="","",IF($G90="",EDATE(직원목록!$E10,$F90),EDATE($G90,$F90))))</f>
        <v/>
      </c>
      <c r="I90" s="21" t="str">
        <f aca="true">IF($H90="","",$H90-TODAY())</f>
        <v/>
      </c>
      <c r="J90" s="21" t="str">
        <f aca="false">IF($A90="","",IF($H90="","-",IF($I90&lt;0,"기한초과",IF($I90&lt;=사용안내!$C$16,"임박","정상"))))</f>
        <v/>
      </c>
    </row>
    <row r="91" customFormat="false" ht="15" hidden="false" customHeight="true" outlineLevel="0" collapsed="false">
      <c r="A91" s="20" t="str">
        <f aca="false">IF(OR(직원목록!$A10="",교육과정!$A4="",직원목록!$F10="퇴사"),"",직원목록!$A10)</f>
        <v/>
      </c>
      <c r="B91" s="20" t="str">
        <f aca="false">IF($A91="","",직원목록!$B10)</f>
        <v/>
      </c>
      <c r="C91" s="20" t="str">
        <f aca="false">IF($A91="","",직원목록!$C10)</f>
        <v/>
      </c>
      <c r="D91" s="21" t="str">
        <f aca="false">IF($A91="","",교육과정!$A4)</f>
        <v/>
      </c>
      <c r="E91" s="20" t="str">
        <f aca="false">IF($A91="","",교육과정!$B4)</f>
        <v/>
      </c>
      <c r="F91" s="21" t="str">
        <f aca="false">IF($A91="","",교육과정!$C4)</f>
        <v/>
      </c>
      <c r="G91" s="23" t="str">
        <f aca="false">IF($A91="","",IF(COUNTIFS(이수내역!$B$3:$B$2002,$A91,이수내역!$D$3:$D$2002,$D91)=0,"",SUMPRODUCT(MAX((이수내역!$B$3:$B$2002=$A91)*(이수내역!$D$3:$D$2002=$D91)*이수내역!$A$3:$A$2002))))</f>
        <v/>
      </c>
      <c r="H91" s="23" t="str">
        <f aca="false">IF($A91="","",IF($F91="","",IF($G91="",EDATE(직원목록!$E10,$F91),EDATE($G91,$F91))))</f>
        <v/>
      </c>
      <c r="I91" s="21" t="str">
        <f aca="true">IF($H91="","",$H91-TODAY())</f>
        <v/>
      </c>
      <c r="J91" s="21" t="str">
        <f aca="false">IF($A91="","",IF($H91="","-",IF($I91&lt;0,"기한초과",IF($I91&lt;=사용안내!$C$16,"임박","정상"))))</f>
        <v/>
      </c>
    </row>
    <row r="92" customFormat="false" ht="15" hidden="false" customHeight="true" outlineLevel="0" collapsed="false">
      <c r="A92" s="20" t="str">
        <f aca="false">IF(OR(직원목록!$A10="",교육과정!$A5="",직원목록!$F10="퇴사"),"",직원목록!$A10)</f>
        <v/>
      </c>
      <c r="B92" s="20" t="str">
        <f aca="false">IF($A92="","",직원목록!$B10)</f>
        <v/>
      </c>
      <c r="C92" s="20" t="str">
        <f aca="false">IF($A92="","",직원목록!$C10)</f>
        <v/>
      </c>
      <c r="D92" s="21" t="str">
        <f aca="false">IF($A92="","",교육과정!$A5)</f>
        <v/>
      </c>
      <c r="E92" s="20" t="str">
        <f aca="false">IF($A92="","",교육과정!$B5)</f>
        <v/>
      </c>
      <c r="F92" s="21" t="str">
        <f aca="false">IF($A92="","",교육과정!$C5)</f>
        <v/>
      </c>
      <c r="G92" s="23" t="str">
        <f aca="false">IF($A92="","",IF(COUNTIFS(이수내역!$B$3:$B$2002,$A92,이수내역!$D$3:$D$2002,$D92)=0,"",SUMPRODUCT(MAX((이수내역!$B$3:$B$2002=$A92)*(이수내역!$D$3:$D$2002=$D92)*이수내역!$A$3:$A$2002))))</f>
        <v/>
      </c>
      <c r="H92" s="23" t="str">
        <f aca="false">IF($A92="","",IF($F92="","",IF($G92="",EDATE(직원목록!$E10,$F92),EDATE($G92,$F92))))</f>
        <v/>
      </c>
      <c r="I92" s="21" t="str">
        <f aca="true">IF($H92="","",$H92-TODAY())</f>
        <v/>
      </c>
      <c r="J92" s="21" t="str">
        <f aca="false">IF($A92="","",IF($H92="","-",IF($I92&lt;0,"기한초과",IF($I92&lt;=사용안내!$C$16,"임박","정상"))))</f>
        <v/>
      </c>
    </row>
    <row r="93" customFormat="false" ht="15" hidden="false" customHeight="true" outlineLevel="0" collapsed="false">
      <c r="A93" s="20" t="str">
        <f aca="false">IF(OR(직원목록!$A10="",교육과정!$A6="",직원목록!$F10="퇴사"),"",직원목록!$A10)</f>
        <v/>
      </c>
      <c r="B93" s="20" t="str">
        <f aca="false">IF($A93="","",직원목록!$B10)</f>
        <v/>
      </c>
      <c r="C93" s="20" t="str">
        <f aca="false">IF($A93="","",직원목록!$C10)</f>
        <v/>
      </c>
      <c r="D93" s="21" t="str">
        <f aca="false">IF($A93="","",교육과정!$A6)</f>
        <v/>
      </c>
      <c r="E93" s="20" t="str">
        <f aca="false">IF($A93="","",교육과정!$B6)</f>
        <v/>
      </c>
      <c r="F93" s="21" t="str">
        <f aca="false">IF($A93="","",교육과정!$C6)</f>
        <v/>
      </c>
      <c r="G93" s="23" t="str">
        <f aca="false">IF($A93="","",IF(COUNTIFS(이수내역!$B$3:$B$2002,$A93,이수내역!$D$3:$D$2002,$D93)=0,"",SUMPRODUCT(MAX((이수내역!$B$3:$B$2002=$A93)*(이수내역!$D$3:$D$2002=$D93)*이수내역!$A$3:$A$2002))))</f>
        <v/>
      </c>
      <c r="H93" s="23" t="str">
        <f aca="false">IF($A93="","",IF($F93="","",IF($G93="",EDATE(직원목록!$E10,$F93),EDATE($G93,$F93))))</f>
        <v/>
      </c>
      <c r="I93" s="21" t="str">
        <f aca="true">IF($H93="","",$H93-TODAY())</f>
        <v/>
      </c>
      <c r="J93" s="21" t="str">
        <f aca="false">IF($A93="","",IF($H93="","-",IF($I93&lt;0,"기한초과",IF($I93&lt;=사용안내!$C$16,"임박","정상"))))</f>
        <v/>
      </c>
    </row>
    <row r="94" customFormat="false" ht="15" hidden="false" customHeight="true" outlineLevel="0" collapsed="false">
      <c r="A94" s="20" t="str">
        <f aca="false">IF(OR(직원목록!$A10="",교육과정!$A7="",직원목록!$F10="퇴사"),"",직원목록!$A10)</f>
        <v/>
      </c>
      <c r="B94" s="20" t="str">
        <f aca="false">IF($A94="","",직원목록!$B10)</f>
        <v/>
      </c>
      <c r="C94" s="20" t="str">
        <f aca="false">IF($A94="","",직원목록!$C10)</f>
        <v/>
      </c>
      <c r="D94" s="21" t="str">
        <f aca="false">IF($A94="","",교육과정!$A7)</f>
        <v/>
      </c>
      <c r="E94" s="20" t="str">
        <f aca="false">IF($A94="","",교육과정!$B7)</f>
        <v/>
      </c>
      <c r="F94" s="21" t="str">
        <f aca="false">IF($A94="","",교육과정!$C7)</f>
        <v/>
      </c>
      <c r="G94" s="23" t="str">
        <f aca="false">IF($A94="","",IF(COUNTIFS(이수내역!$B$3:$B$2002,$A94,이수내역!$D$3:$D$2002,$D94)=0,"",SUMPRODUCT(MAX((이수내역!$B$3:$B$2002=$A94)*(이수내역!$D$3:$D$2002=$D94)*이수내역!$A$3:$A$2002))))</f>
        <v/>
      </c>
      <c r="H94" s="23" t="str">
        <f aca="false">IF($A94="","",IF($F94="","",IF($G94="",EDATE(직원목록!$E10,$F94),EDATE($G94,$F94))))</f>
        <v/>
      </c>
      <c r="I94" s="21" t="str">
        <f aca="true">IF($H94="","",$H94-TODAY())</f>
        <v/>
      </c>
      <c r="J94" s="21" t="str">
        <f aca="false">IF($A94="","",IF($H94="","-",IF($I94&lt;0,"기한초과",IF($I94&lt;=사용안내!$C$16,"임박","정상"))))</f>
        <v/>
      </c>
    </row>
    <row r="95" customFormat="false" ht="15" hidden="false" customHeight="true" outlineLevel="0" collapsed="false">
      <c r="A95" s="20" t="str">
        <f aca="false">IF(OR(직원목록!$A10="",교육과정!$A8="",직원목록!$F10="퇴사"),"",직원목록!$A10)</f>
        <v/>
      </c>
      <c r="B95" s="20" t="str">
        <f aca="false">IF($A95="","",직원목록!$B10)</f>
        <v/>
      </c>
      <c r="C95" s="20" t="str">
        <f aca="false">IF($A95="","",직원목록!$C10)</f>
        <v/>
      </c>
      <c r="D95" s="21" t="str">
        <f aca="false">IF($A95="","",교육과정!$A8)</f>
        <v/>
      </c>
      <c r="E95" s="20" t="str">
        <f aca="false">IF($A95="","",교육과정!$B8)</f>
        <v/>
      </c>
      <c r="F95" s="21" t="str">
        <f aca="false">IF($A95="","",교육과정!$C8)</f>
        <v/>
      </c>
      <c r="G95" s="23" t="str">
        <f aca="false">IF($A95="","",IF(COUNTIFS(이수내역!$B$3:$B$2002,$A95,이수내역!$D$3:$D$2002,$D95)=0,"",SUMPRODUCT(MAX((이수내역!$B$3:$B$2002=$A95)*(이수내역!$D$3:$D$2002=$D95)*이수내역!$A$3:$A$2002))))</f>
        <v/>
      </c>
      <c r="H95" s="23" t="str">
        <f aca="false">IF($A95="","",IF($F95="","",IF($G95="",EDATE(직원목록!$E10,$F95),EDATE($G95,$F95))))</f>
        <v/>
      </c>
      <c r="I95" s="21" t="str">
        <f aca="true">IF($H95="","",$H95-TODAY())</f>
        <v/>
      </c>
      <c r="J95" s="21" t="str">
        <f aca="false">IF($A95="","",IF($H95="","-",IF($I95&lt;0,"기한초과",IF($I95&lt;=사용안내!$C$16,"임박","정상"))))</f>
        <v/>
      </c>
    </row>
    <row r="96" customFormat="false" ht="15" hidden="false" customHeight="true" outlineLevel="0" collapsed="false">
      <c r="A96" s="20" t="str">
        <f aca="false">IF(OR(직원목록!$A10="",교육과정!$A9="",직원목록!$F10="퇴사"),"",직원목록!$A10)</f>
        <v/>
      </c>
      <c r="B96" s="20" t="str">
        <f aca="false">IF($A96="","",직원목록!$B10)</f>
        <v/>
      </c>
      <c r="C96" s="20" t="str">
        <f aca="false">IF($A96="","",직원목록!$C10)</f>
        <v/>
      </c>
      <c r="D96" s="21" t="str">
        <f aca="false">IF($A96="","",교육과정!$A9)</f>
        <v/>
      </c>
      <c r="E96" s="20" t="str">
        <f aca="false">IF($A96="","",교육과정!$B9)</f>
        <v/>
      </c>
      <c r="F96" s="21" t="str">
        <f aca="false">IF($A96="","",교육과정!$C9)</f>
        <v/>
      </c>
      <c r="G96" s="23" t="str">
        <f aca="false">IF($A96="","",IF(COUNTIFS(이수내역!$B$3:$B$2002,$A96,이수내역!$D$3:$D$2002,$D96)=0,"",SUMPRODUCT(MAX((이수내역!$B$3:$B$2002=$A96)*(이수내역!$D$3:$D$2002=$D96)*이수내역!$A$3:$A$2002))))</f>
        <v/>
      </c>
      <c r="H96" s="23" t="str">
        <f aca="false">IF($A96="","",IF($F96="","",IF($G96="",EDATE(직원목록!$E10,$F96),EDATE($G96,$F96))))</f>
        <v/>
      </c>
      <c r="I96" s="21" t="str">
        <f aca="true">IF($H96="","",$H96-TODAY())</f>
        <v/>
      </c>
      <c r="J96" s="21" t="str">
        <f aca="false">IF($A96="","",IF($H96="","-",IF($I96&lt;0,"기한초과",IF($I96&lt;=사용안내!$C$16,"임박","정상"))))</f>
        <v/>
      </c>
    </row>
    <row r="97" customFormat="false" ht="15" hidden="false" customHeight="true" outlineLevel="0" collapsed="false">
      <c r="A97" s="20" t="str">
        <f aca="false">IF(OR(직원목록!$A10="",교육과정!$A10="",직원목록!$F10="퇴사"),"",직원목록!$A10)</f>
        <v/>
      </c>
      <c r="B97" s="20" t="str">
        <f aca="false">IF($A97="","",직원목록!$B10)</f>
        <v/>
      </c>
      <c r="C97" s="20" t="str">
        <f aca="false">IF($A97="","",직원목록!$C10)</f>
        <v/>
      </c>
      <c r="D97" s="21" t="str">
        <f aca="false">IF($A97="","",교육과정!$A10)</f>
        <v/>
      </c>
      <c r="E97" s="20" t="str">
        <f aca="false">IF($A97="","",교육과정!$B10)</f>
        <v/>
      </c>
      <c r="F97" s="21" t="str">
        <f aca="false">IF($A97="","",교육과정!$C10)</f>
        <v/>
      </c>
      <c r="G97" s="23" t="str">
        <f aca="false">IF($A97="","",IF(COUNTIFS(이수내역!$B$3:$B$2002,$A97,이수내역!$D$3:$D$2002,$D97)=0,"",SUMPRODUCT(MAX((이수내역!$B$3:$B$2002=$A97)*(이수내역!$D$3:$D$2002=$D97)*이수내역!$A$3:$A$2002))))</f>
        <v/>
      </c>
      <c r="H97" s="23" t="str">
        <f aca="false">IF($A97="","",IF($F97="","",IF($G97="",EDATE(직원목록!$E10,$F97),EDATE($G97,$F97))))</f>
        <v/>
      </c>
      <c r="I97" s="21" t="str">
        <f aca="true">IF($H97="","",$H97-TODAY())</f>
        <v/>
      </c>
      <c r="J97" s="21" t="str">
        <f aca="false">IF($A97="","",IF($H97="","-",IF($I97&lt;0,"기한초과",IF($I97&lt;=사용안내!$C$16,"임박","정상"))))</f>
        <v/>
      </c>
    </row>
    <row r="98" customFormat="false" ht="15" hidden="false" customHeight="true" outlineLevel="0" collapsed="false">
      <c r="A98" s="20" t="str">
        <f aca="false">IF(OR(직원목록!$A10="",교육과정!$A11="",직원목록!$F10="퇴사"),"",직원목록!$A10)</f>
        <v/>
      </c>
      <c r="B98" s="20" t="str">
        <f aca="false">IF($A98="","",직원목록!$B10)</f>
        <v/>
      </c>
      <c r="C98" s="20" t="str">
        <f aca="false">IF($A98="","",직원목록!$C10)</f>
        <v/>
      </c>
      <c r="D98" s="21" t="str">
        <f aca="false">IF($A98="","",교육과정!$A11)</f>
        <v/>
      </c>
      <c r="E98" s="20" t="str">
        <f aca="false">IF($A98="","",교육과정!$B11)</f>
        <v/>
      </c>
      <c r="F98" s="21" t="str">
        <f aca="false">IF($A98="","",교육과정!$C11)</f>
        <v/>
      </c>
      <c r="G98" s="23" t="str">
        <f aca="false">IF($A98="","",IF(COUNTIFS(이수내역!$B$3:$B$2002,$A98,이수내역!$D$3:$D$2002,$D98)=0,"",SUMPRODUCT(MAX((이수내역!$B$3:$B$2002=$A98)*(이수내역!$D$3:$D$2002=$D98)*이수내역!$A$3:$A$2002))))</f>
        <v/>
      </c>
      <c r="H98" s="23" t="str">
        <f aca="false">IF($A98="","",IF($F98="","",IF($G98="",EDATE(직원목록!$E10,$F98),EDATE($G98,$F98))))</f>
        <v/>
      </c>
      <c r="I98" s="21" t="str">
        <f aca="true">IF($H98="","",$H98-TODAY())</f>
        <v/>
      </c>
      <c r="J98" s="21" t="str">
        <f aca="false">IF($A98="","",IF($H98="","-",IF($I98&lt;0,"기한초과",IF($I98&lt;=사용안내!$C$16,"임박","정상"))))</f>
        <v/>
      </c>
    </row>
    <row r="99" customFormat="false" ht="15" hidden="false" customHeight="true" outlineLevel="0" collapsed="false">
      <c r="A99" s="20" t="str">
        <f aca="false">IF(OR(직원목록!$A10="",교육과정!$A12="",직원목록!$F10="퇴사"),"",직원목록!$A10)</f>
        <v/>
      </c>
      <c r="B99" s="20" t="str">
        <f aca="false">IF($A99="","",직원목록!$B10)</f>
        <v/>
      </c>
      <c r="C99" s="20" t="str">
        <f aca="false">IF($A99="","",직원목록!$C10)</f>
        <v/>
      </c>
      <c r="D99" s="21" t="str">
        <f aca="false">IF($A99="","",교육과정!$A12)</f>
        <v/>
      </c>
      <c r="E99" s="20" t="str">
        <f aca="false">IF($A99="","",교육과정!$B12)</f>
        <v/>
      </c>
      <c r="F99" s="21" t="str">
        <f aca="false">IF($A99="","",교육과정!$C12)</f>
        <v/>
      </c>
      <c r="G99" s="23" t="str">
        <f aca="false">IF($A99="","",IF(COUNTIFS(이수내역!$B$3:$B$2002,$A99,이수내역!$D$3:$D$2002,$D99)=0,"",SUMPRODUCT(MAX((이수내역!$B$3:$B$2002=$A99)*(이수내역!$D$3:$D$2002=$D99)*이수내역!$A$3:$A$2002))))</f>
        <v/>
      </c>
      <c r="H99" s="23" t="str">
        <f aca="false">IF($A99="","",IF($F99="","",IF($G99="",EDATE(직원목록!$E10,$F99),EDATE($G99,$F99))))</f>
        <v/>
      </c>
      <c r="I99" s="21" t="str">
        <f aca="true">IF($H99="","",$H99-TODAY())</f>
        <v/>
      </c>
      <c r="J99" s="21" t="str">
        <f aca="false">IF($A99="","",IF($H99="","-",IF($I99&lt;0,"기한초과",IF($I99&lt;=사용안내!$C$16,"임박","정상"))))</f>
        <v/>
      </c>
    </row>
    <row r="100" customFormat="false" ht="15" hidden="false" customHeight="true" outlineLevel="0" collapsed="false">
      <c r="A100" s="20" t="str">
        <f aca="false">IF(OR(직원목록!$A10="",교육과정!$A13="",직원목록!$F10="퇴사"),"",직원목록!$A10)</f>
        <v/>
      </c>
      <c r="B100" s="20" t="str">
        <f aca="false">IF($A100="","",직원목록!$B10)</f>
        <v/>
      </c>
      <c r="C100" s="20" t="str">
        <f aca="false">IF($A100="","",직원목록!$C10)</f>
        <v/>
      </c>
      <c r="D100" s="21" t="str">
        <f aca="false">IF($A100="","",교육과정!$A13)</f>
        <v/>
      </c>
      <c r="E100" s="20" t="str">
        <f aca="false">IF($A100="","",교육과정!$B13)</f>
        <v/>
      </c>
      <c r="F100" s="21" t="str">
        <f aca="false">IF($A100="","",교육과정!$C13)</f>
        <v/>
      </c>
      <c r="G100" s="23" t="str">
        <f aca="false">IF($A100="","",IF(COUNTIFS(이수내역!$B$3:$B$2002,$A100,이수내역!$D$3:$D$2002,$D100)=0,"",SUMPRODUCT(MAX((이수내역!$B$3:$B$2002=$A100)*(이수내역!$D$3:$D$2002=$D100)*이수내역!$A$3:$A$2002))))</f>
        <v/>
      </c>
      <c r="H100" s="23" t="str">
        <f aca="false">IF($A100="","",IF($F100="","",IF($G100="",EDATE(직원목록!$E10,$F100),EDATE($G100,$F100))))</f>
        <v/>
      </c>
      <c r="I100" s="21" t="str">
        <f aca="true">IF($H100="","",$H100-TODAY())</f>
        <v/>
      </c>
      <c r="J100" s="21" t="str">
        <f aca="false">IF($A100="","",IF($H100="","-",IF($I100&lt;0,"기한초과",IF($I100&lt;=사용안내!$C$16,"임박","정상"))))</f>
        <v/>
      </c>
    </row>
    <row r="101" customFormat="false" ht="15" hidden="false" customHeight="true" outlineLevel="0" collapsed="false">
      <c r="A101" s="20" t="str">
        <f aca="false">IF(OR(직원목록!$A10="",교육과정!$A14="",직원목록!$F10="퇴사"),"",직원목록!$A10)</f>
        <v/>
      </c>
      <c r="B101" s="20" t="str">
        <f aca="false">IF($A101="","",직원목록!$B10)</f>
        <v/>
      </c>
      <c r="C101" s="20" t="str">
        <f aca="false">IF($A101="","",직원목록!$C10)</f>
        <v/>
      </c>
      <c r="D101" s="21" t="str">
        <f aca="false">IF($A101="","",교육과정!$A14)</f>
        <v/>
      </c>
      <c r="E101" s="20" t="str">
        <f aca="false">IF($A101="","",교육과정!$B14)</f>
        <v/>
      </c>
      <c r="F101" s="21" t="str">
        <f aca="false">IF($A101="","",교육과정!$C14)</f>
        <v/>
      </c>
      <c r="G101" s="23" t="str">
        <f aca="false">IF($A101="","",IF(COUNTIFS(이수내역!$B$3:$B$2002,$A101,이수내역!$D$3:$D$2002,$D101)=0,"",SUMPRODUCT(MAX((이수내역!$B$3:$B$2002=$A101)*(이수내역!$D$3:$D$2002=$D101)*이수내역!$A$3:$A$2002))))</f>
        <v/>
      </c>
      <c r="H101" s="23" t="str">
        <f aca="false">IF($A101="","",IF($F101="","",IF($G101="",EDATE(직원목록!$E10,$F101),EDATE($G101,$F101))))</f>
        <v/>
      </c>
      <c r="I101" s="21" t="str">
        <f aca="true">IF($H101="","",$H101-TODAY())</f>
        <v/>
      </c>
      <c r="J101" s="21" t="str">
        <f aca="false">IF($A101="","",IF($H101="","-",IF($I101&lt;0,"기한초과",IF($I101&lt;=사용안내!$C$16,"임박","정상"))))</f>
        <v/>
      </c>
    </row>
    <row r="102" customFormat="false" ht="15" hidden="false" customHeight="true" outlineLevel="0" collapsed="false">
      <c r="A102" s="20" t="str">
        <f aca="false">IF(OR(직원목록!$A11="",교육과정!$A3="",직원목록!$F11="퇴사"),"",직원목록!$A11)</f>
        <v/>
      </c>
      <c r="B102" s="20" t="str">
        <f aca="false">IF($A102="","",직원목록!$B11)</f>
        <v/>
      </c>
      <c r="C102" s="20" t="str">
        <f aca="false">IF($A102="","",직원목록!$C11)</f>
        <v/>
      </c>
      <c r="D102" s="21" t="str">
        <f aca="false">IF($A102="","",교육과정!$A3)</f>
        <v/>
      </c>
      <c r="E102" s="20" t="str">
        <f aca="false">IF($A102="","",교육과정!$B3)</f>
        <v/>
      </c>
      <c r="F102" s="21" t="str">
        <f aca="false">IF($A102="","",교육과정!$C3)</f>
        <v/>
      </c>
      <c r="G102" s="23" t="str">
        <f aca="false">IF($A102="","",IF(COUNTIFS(이수내역!$B$3:$B$2002,$A102,이수내역!$D$3:$D$2002,$D102)=0,"",SUMPRODUCT(MAX((이수내역!$B$3:$B$2002=$A102)*(이수내역!$D$3:$D$2002=$D102)*이수내역!$A$3:$A$2002))))</f>
        <v/>
      </c>
      <c r="H102" s="23" t="str">
        <f aca="false">IF($A102="","",IF($F102="","",IF($G102="",EDATE(직원목록!$E11,$F102),EDATE($G102,$F102))))</f>
        <v/>
      </c>
      <c r="I102" s="21" t="str">
        <f aca="true">IF($H102="","",$H102-TODAY())</f>
        <v/>
      </c>
      <c r="J102" s="21" t="str">
        <f aca="false">IF($A102="","",IF($H102="","-",IF($I102&lt;0,"기한초과",IF($I102&lt;=사용안내!$C$16,"임박","정상"))))</f>
        <v/>
      </c>
    </row>
    <row r="103" customFormat="false" ht="15" hidden="false" customHeight="true" outlineLevel="0" collapsed="false">
      <c r="A103" s="20" t="str">
        <f aca="false">IF(OR(직원목록!$A11="",교육과정!$A4="",직원목록!$F11="퇴사"),"",직원목록!$A11)</f>
        <v/>
      </c>
      <c r="B103" s="20" t="str">
        <f aca="false">IF($A103="","",직원목록!$B11)</f>
        <v/>
      </c>
      <c r="C103" s="20" t="str">
        <f aca="false">IF($A103="","",직원목록!$C11)</f>
        <v/>
      </c>
      <c r="D103" s="21" t="str">
        <f aca="false">IF($A103="","",교육과정!$A4)</f>
        <v/>
      </c>
      <c r="E103" s="20" t="str">
        <f aca="false">IF($A103="","",교육과정!$B4)</f>
        <v/>
      </c>
      <c r="F103" s="21" t="str">
        <f aca="false">IF($A103="","",교육과정!$C4)</f>
        <v/>
      </c>
      <c r="G103" s="23" t="str">
        <f aca="false">IF($A103="","",IF(COUNTIFS(이수내역!$B$3:$B$2002,$A103,이수내역!$D$3:$D$2002,$D103)=0,"",SUMPRODUCT(MAX((이수내역!$B$3:$B$2002=$A103)*(이수내역!$D$3:$D$2002=$D103)*이수내역!$A$3:$A$2002))))</f>
        <v/>
      </c>
      <c r="H103" s="23" t="str">
        <f aca="false">IF($A103="","",IF($F103="","",IF($G103="",EDATE(직원목록!$E11,$F103),EDATE($G103,$F103))))</f>
        <v/>
      </c>
      <c r="I103" s="21" t="str">
        <f aca="true">IF($H103="","",$H103-TODAY())</f>
        <v/>
      </c>
      <c r="J103" s="21" t="str">
        <f aca="false">IF($A103="","",IF($H103="","-",IF($I103&lt;0,"기한초과",IF($I103&lt;=사용안내!$C$16,"임박","정상"))))</f>
        <v/>
      </c>
    </row>
    <row r="104" customFormat="false" ht="15" hidden="false" customHeight="true" outlineLevel="0" collapsed="false">
      <c r="A104" s="20" t="str">
        <f aca="false">IF(OR(직원목록!$A11="",교육과정!$A5="",직원목록!$F11="퇴사"),"",직원목록!$A11)</f>
        <v/>
      </c>
      <c r="B104" s="20" t="str">
        <f aca="false">IF($A104="","",직원목록!$B11)</f>
        <v/>
      </c>
      <c r="C104" s="20" t="str">
        <f aca="false">IF($A104="","",직원목록!$C11)</f>
        <v/>
      </c>
      <c r="D104" s="21" t="str">
        <f aca="false">IF($A104="","",교육과정!$A5)</f>
        <v/>
      </c>
      <c r="E104" s="20" t="str">
        <f aca="false">IF($A104="","",교육과정!$B5)</f>
        <v/>
      </c>
      <c r="F104" s="21" t="str">
        <f aca="false">IF($A104="","",교육과정!$C5)</f>
        <v/>
      </c>
      <c r="G104" s="23" t="str">
        <f aca="false">IF($A104="","",IF(COUNTIFS(이수내역!$B$3:$B$2002,$A104,이수내역!$D$3:$D$2002,$D104)=0,"",SUMPRODUCT(MAX((이수내역!$B$3:$B$2002=$A104)*(이수내역!$D$3:$D$2002=$D104)*이수내역!$A$3:$A$2002))))</f>
        <v/>
      </c>
      <c r="H104" s="23" t="str">
        <f aca="false">IF($A104="","",IF($F104="","",IF($G104="",EDATE(직원목록!$E11,$F104),EDATE($G104,$F104))))</f>
        <v/>
      </c>
      <c r="I104" s="21" t="str">
        <f aca="true">IF($H104="","",$H104-TODAY())</f>
        <v/>
      </c>
      <c r="J104" s="21" t="str">
        <f aca="false">IF($A104="","",IF($H104="","-",IF($I104&lt;0,"기한초과",IF($I104&lt;=사용안내!$C$16,"임박","정상"))))</f>
        <v/>
      </c>
    </row>
    <row r="105" customFormat="false" ht="15" hidden="false" customHeight="true" outlineLevel="0" collapsed="false">
      <c r="A105" s="20" t="str">
        <f aca="false">IF(OR(직원목록!$A11="",교육과정!$A6="",직원목록!$F11="퇴사"),"",직원목록!$A11)</f>
        <v/>
      </c>
      <c r="B105" s="20" t="str">
        <f aca="false">IF($A105="","",직원목록!$B11)</f>
        <v/>
      </c>
      <c r="C105" s="20" t="str">
        <f aca="false">IF($A105="","",직원목록!$C11)</f>
        <v/>
      </c>
      <c r="D105" s="21" t="str">
        <f aca="false">IF($A105="","",교육과정!$A6)</f>
        <v/>
      </c>
      <c r="E105" s="20" t="str">
        <f aca="false">IF($A105="","",교육과정!$B6)</f>
        <v/>
      </c>
      <c r="F105" s="21" t="str">
        <f aca="false">IF($A105="","",교육과정!$C6)</f>
        <v/>
      </c>
      <c r="G105" s="23" t="str">
        <f aca="false">IF($A105="","",IF(COUNTIFS(이수내역!$B$3:$B$2002,$A105,이수내역!$D$3:$D$2002,$D105)=0,"",SUMPRODUCT(MAX((이수내역!$B$3:$B$2002=$A105)*(이수내역!$D$3:$D$2002=$D105)*이수내역!$A$3:$A$2002))))</f>
        <v/>
      </c>
      <c r="H105" s="23" t="str">
        <f aca="false">IF($A105="","",IF($F105="","",IF($G105="",EDATE(직원목록!$E11,$F105),EDATE($G105,$F105))))</f>
        <v/>
      </c>
      <c r="I105" s="21" t="str">
        <f aca="true">IF($H105="","",$H105-TODAY())</f>
        <v/>
      </c>
      <c r="J105" s="21" t="str">
        <f aca="false">IF($A105="","",IF($H105="","-",IF($I105&lt;0,"기한초과",IF($I105&lt;=사용안내!$C$16,"임박","정상"))))</f>
        <v/>
      </c>
    </row>
    <row r="106" customFormat="false" ht="15" hidden="false" customHeight="true" outlineLevel="0" collapsed="false">
      <c r="A106" s="20" t="str">
        <f aca="false">IF(OR(직원목록!$A11="",교육과정!$A7="",직원목록!$F11="퇴사"),"",직원목록!$A11)</f>
        <v/>
      </c>
      <c r="B106" s="20" t="str">
        <f aca="false">IF($A106="","",직원목록!$B11)</f>
        <v/>
      </c>
      <c r="C106" s="20" t="str">
        <f aca="false">IF($A106="","",직원목록!$C11)</f>
        <v/>
      </c>
      <c r="D106" s="21" t="str">
        <f aca="false">IF($A106="","",교육과정!$A7)</f>
        <v/>
      </c>
      <c r="E106" s="20" t="str">
        <f aca="false">IF($A106="","",교육과정!$B7)</f>
        <v/>
      </c>
      <c r="F106" s="21" t="str">
        <f aca="false">IF($A106="","",교육과정!$C7)</f>
        <v/>
      </c>
      <c r="G106" s="23" t="str">
        <f aca="false">IF($A106="","",IF(COUNTIFS(이수내역!$B$3:$B$2002,$A106,이수내역!$D$3:$D$2002,$D106)=0,"",SUMPRODUCT(MAX((이수내역!$B$3:$B$2002=$A106)*(이수내역!$D$3:$D$2002=$D106)*이수내역!$A$3:$A$2002))))</f>
        <v/>
      </c>
      <c r="H106" s="23" t="str">
        <f aca="false">IF($A106="","",IF($F106="","",IF($G106="",EDATE(직원목록!$E11,$F106),EDATE($G106,$F106))))</f>
        <v/>
      </c>
      <c r="I106" s="21" t="str">
        <f aca="true">IF($H106="","",$H106-TODAY())</f>
        <v/>
      </c>
      <c r="J106" s="21" t="str">
        <f aca="false">IF($A106="","",IF($H106="","-",IF($I106&lt;0,"기한초과",IF($I106&lt;=사용안내!$C$16,"임박","정상"))))</f>
        <v/>
      </c>
    </row>
    <row r="107" customFormat="false" ht="15" hidden="false" customHeight="true" outlineLevel="0" collapsed="false">
      <c r="A107" s="20" t="str">
        <f aca="false">IF(OR(직원목록!$A11="",교육과정!$A8="",직원목록!$F11="퇴사"),"",직원목록!$A11)</f>
        <v/>
      </c>
      <c r="B107" s="20" t="str">
        <f aca="false">IF($A107="","",직원목록!$B11)</f>
        <v/>
      </c>
      <c r="C107" s="20" t="str">
        <f aca="false">IF($A107="","",직원목록!$C11)</f>
        <v/>
      </c>
      <c r="D107" s="21" t="str">
        <f aca="false">IF($A107="","",교육과정!$A8)</f>
        <v/>
      </c>
      <c r="E107" s="20" t="str">
        <f aca="false">IF($A107="","",교육과정!$B8)</f>
        <v/>
      </c>
      <c r="F107" s="21" t="str">
        <f aca="false">IF($A107="","",교육과정!$C8)</f>
        <v/>
      </c>
      <c r="G107" s="23" t="str">
        <f aca="false">IF($A107="","",IF(COUNTIFS(이수내역!$B$3:$B$2002,$A107,이수내역!$D$3:$D$2002,$D107)=0,"",SUMPRODUCT(MAX((이수내역!$B$3:$B$2002=$A107)*(이수내역!$D$3:$D$2002=$D107)*이수내역!$A$3:$A$2002))))</f>
        <v/>
      </c>
      <c r="H107" s="23" t="str">
        <f aca="false">IF($A107="","",IF($F107="","",IF($G107="",EDATE(직원목록!$E11,$F107),EDATE($G107,$F107))))</f>
        <v/>
      </c>
      <c r="I107" s="21" t="str">
        <f aca="true">IF($H107="","",$H107-TODAY())</f>
        <v/>
      </c>
      <c r="J107" s="21" t="str">
        <f aca="false">IF($A107="","",IF($H107="","-",IF($I107&lt;0,"기한초과",IF($I107&lt;=사용안내!$C$16,"임박","정상"))))</f>
        <v/>
      </c>
    </row>
    <row r="108" customFormat="false" ht="15" hidden="false" customHeight="true" outlineLevel="0" collapsed="false">
      <c r="A108" s="20" t="str">
        <f aca="false">IF(OR(직원목록!$A11="",교육과정!$A9="",직원목록!$F11="퇴사"),"",직원목록!$A11)</f>
        <v/>
      </c>
      <c r="B108" s="20" t="str">
        <f aca="false">IF($A108="","",직원목록!$B11)</f>
        <v/>
      </c>
      <c r="C108" s="20" t="str">
        <f aca="false">IF($A108="","",직원목록!$C11)</f>
        <v/>
      </c>
      <c r="D108" s="21" t="str">
        <f aca="false">IF($A108="","",교육과정!$A9)</f>
        <v/>
      </c>
      <c r="E108" s="20" t="str">
        <f aca="false">IF($A108="","",교육과정!$B9)</f>
        <v/>
      </c>
      <c r="F108" s="21" t="str">
        <f aca="false">IF($A108="","",교육과정!$C9)</f>
        <v/>
      </c>
      <c r="G108" s="23" t="str">
        <f aca="false">IF($A108="","",IF(COUNTIFS(이수내역!$B$3:$B$2002,$A108,이수내역!$D$3:$D$2002,$D108)=0,"",SUMPRODUCT(MAX((이수내역!$B$3:$B$2002=$A108)*(이수내역!$D$3:$D$2002=$D108)*이수내역!$A$3:$A$2002))))</f>
        <v/>
      </c>
      <c r="H108" s="23" t="str">
        <f aca="false">IF($A108="","",IF($F108="","",IF($G108="",EDATE(직원목록!$E11,$F108),EDATE($G108,$F108))))</f>
        <v/>
      </c>
      <c r="I108" s="21" t="str">
        <f aca="true">IF($H108="","",$H108-TODAY())</f>
        <v/>
      </c>
      <c r="J108" s="21" t="str">
        <f aca="false">IF($A108="","",IF($H108="","-",IF($I108&lt;0,"기한초과",IF($I108&lt;=사용안내!$C$16,"임박","정상"))))</f>
        <v/>
      </c>
    </row>
    <row r="109" customFormat="false" ht="15" hidden="false" customHeight="true" outlineLevel="0" collapsed="false">
      <c r="A109" s="20" t="str">
        <f aca="false">IF(OR(직원목록!$A11="",교육과정!$A10="",직원목록!$F11="퇴사"),"",직원목록!$A11)</f>
        <v/>
      </c>
      <c r="B109" s="20" t="str">
        <f aca="false">IF($A109="","",직원목록!$B11)</f>
        <v/>
      </c>
      <c r="C109" s="20" t="str">
        <f aca="false">IF($A109="","",직원목록!$C11)</f>
        <v/>
      </c>
      <c r="D109" s="21" t="str">
        <f aca="false">IF($A109="","",교육과정!$A10)</f>
        <v/>
      </c>
      <c r="E109" s="20" t="str">
        <f aca="false">IF($A109="","",교육과정!$B10)</f>
        <v/>
      </c>
      <c r="F109" s="21" t="str">
        <f aca="false">IF($A109="","",교육과정!$C10)</f>
        <v/>
      </c>
      <c r="G109" s="23" t="str">
        <f aca="false">IF($A109="","",IF(COUNTIFS(이수내역!$B$3:$B$2002,$A109,이수내역!$D$3:$D$2002,$D109)=0,"",SUMPRODUCT(MAX((이수내역!$B$3:$B$2002=$A109)*(이수내역!$D$3:$D$2002=$D109)*이수내역!$A$3:$A$2002))))</f>
        <v/>
      </c>
      <c r="H109" s="23" t="str">
        <f aca="false">IF($A109="","",IF($F109="","",IF($G109="",EDATE(직원목록!$E11,$F109),EDATE($G109,$F109))))</f>
        <v/>
      </c>
      <c r="I109" s="21" t="str">
        <f aca="true">IF($H109="","",$H109-TODAY())</f>
        <v/>
      </c>
      <c r="J109" s="21" t="str">
        <f aca="false">IF($A109="","",IF($H109="","-",IF($I109&lt;0,"기한초과",IF($I109&lt;=사용안내!$C$16,"임박","정상"))))</f>
        <v/>
      </c>
    </row>
    <row r="110" customFormat="false" ht="15" hidden="false" customHeight="true" outlineLevel="0" collapsed="false">
      <c r="A110" s="20" t="str">
        <f aca="false">IF(OR(직원목록!$A11="",교육과정!$A11="",직원목록!$F11="퇴사"),"",직원목록!$A11)</f>
        <v/>
      </c>
      <c r="B110" s="20" t="str">
        <f aca="false">IF($A110="","",직원목록!$B11)</f>
        <v/>
      </c>
      <c r="C110" s="20" t="str">
        <f aca="false">IF($A110="","",직원목록!$C11)</f>
        <v/>
      </c>
      <c r="D110" s="21" t="str">
        <f aca="false">IF($A110="","",교육과정!$A11)</f>
        <v/>
      </c>
      <c r="E110" s="20" t="str">
        <f aca="false">IF($A110="","",교육과정!$B11)</f>
        <v/>
      </c>
      <c r="F110" s="21" t="str">
        <f aca="false">IF($A110="","",교육과정!$C11)</f>
        <v/>
      </c>
      <c r="G110" s="23" t="str">
        <f aca="false">IF($A110="","",IF(COUNTIFS(이수내역!$B$3:$B$2002,$A110,이수내역!$D$3:$D$2002,$D110)=0,"",SUMPRODUCT(MAX((이수내역!$B$3:$B$2002=$A110)*(이수내역!$D$3:$D$2002=$D110)*이수내역!$A$3:$A$2002))))</f>
        <v/>
      </c>
      <c r="H110" s="23" t="str">
        <f aca="false">IF($A110="","",IF($F110="","",IF($G110="",EDATE(직원목록!$E11,$F110),EDATE($G110,$F110))))</f>
        <v/>
      </c>
      <c r="I110" s="21" t="str">
        <f aca="true">IF($H110="","",$H110-TODAY())</f>
        <v/>
      </c>
      <c r="J110" s="21" t="str">
        <f aca="false">IF($A110="","",IF($H110="","-",IF($I110&lt;0,"기한초과",IF($I110&lt;=사용안내!$C$16,"임박","정상"))))</f>
        <v/>
      </c>
    </row>
    <row r="111" customFormat="false" ht="15" hidden="false" customHeight="true" outlineLevel="0" collapsed="false">
      <c r="A111" s="20" t="str">
        <f aca="false">IF(OR(직원목록!$A11="",교육과정!$A12="",직원목록!$F11="퇴사"),"",직원목록!$A11)</f>
        <v/>
      </c>
      <c r="B111" s="20" t="str">
        <f aca="false">IF($A111="","",직원목록!$B11)</f>
        <v/>
      </c>
      <c r="C111" s="20" t="str">
        <f aca="false">IF($A111="","",직원목록!$C11)</f>
        <v/>
      </c>
      <c r="D111" s="21" t="str">
        <f aca="false">IF($A111="","",교육과정!$A12)</f>
        <v/>
      </c>
      <c r="E111" s="20" t="str">
        <f aca="false">IF($A111="","",교육과정!$B12)</f>
        <v/>
      </c>
      <c r="F111" s="21" t="str">
        <f aca="false">IF($A111="","",교육과정!$C12)</f>
        <v/>
      </c>
      <c r="G111" s="23" t="str">
        <f aca="false">IF($A111="","",IF(COUNTIFS(이수내역!$B$3:$B$2002,$A111,이수내역!$D$3:$D$2002,$D111)=0,"",SUMPRODUCT(MAX((이수내역!$B$3:$B$2002=$A111)*(이수내역!$D$3:$D$2002=$D111)*이수내역!$A$3:$A$2002))))</f>
        <v/>
      </c>
      <c r="H111" s="23" t="str">
        <f aca="false">IF($A111="","",IF($F111="","",IF($G111="",EDATE(직원목록!$E11,$F111),EDATE($G111,$F111))))</f>
        <v/>
      </c>
      <c r="I111" s="21" t="str">
        <f aca="true">IF($H111="","",$H111-TODAY())</f>
        <v/>
      </c>
      <c r="J111" s="21" t="str">
        <f aca="false">IF($A111="","",IF($H111="","-",IF($I111&lt;0,"기한초과",IF($I111&lt;=사용안내!$C$16,"임박","정상"))))</f>
        <v/>
      </c>
    </row>
    <row r="112" customFormat="false" ht="15" hidden="false" customHeight="true" outlineLevel="0" collapsed="false">
      <c r="A112" s="20" t="str">
        <f aca="false">IF(OR(직원목록!$A11="",교육과정!$A13="",직원목록!$F11="퇴사"),"",직원목록!$A11)</f>
        <v/>
      </c>
      <c r="B112" s="20" t="str">
        <f aca="false">IF($A112="","",직원목록!$B11)</f>
        <v/>
      </c>
      <c r="C112" s="20" t="str">
        <f aca="false">IF($A112="","",직원목록!$C11)</f>
        <v/>
      </c>
      <c r="D112" s="21" t="str">
        <f aca="false">IF($A112="","",교육과정!$A13)</f>
        <v/>
      </c>
      <c r="E112" s="20" t="str">
        <f aca="false">IF($A112="","",교육과정!$B13)</f>
        <v/>
      </c>
      <c r="F112" s="21" t="str">
        <f aca="false">IF($A112="","",교육과정!$C13)</f>
        <v/>
      </c>
      <c r="G112" s="23" t="str">
        <f aca="false">IF($A112="","",IF(COUNTIFS(이수내역!$B$3:$B$2002,$A112,이수내역!$D$3:$D$2002,$D112)=0,"",SUMPRODUCT(MAX((이수내역!$B$3:$B$2002=$A112)*(이수내역!$D$3:$D$2002=$D112)*이수내역!$A$3:$A$2002))))</f>
        <v/>
      </c>
      <c r="H112" s="23" t="str">
        <f aca="false">IF($A112="","",IF($F112="","",IF($G112="",EDATE(직원목록!$E11,$F112),EDATE($G112,$F112))))</f>
        <v/>
      </c>
      <c r="I112" s="21" t="str">
        <f aca="true">IF($H112="","",$H112-TODAY())</f>
        <v/>
      </c>
      <c r="J112" s="21" t="str">
        <f aca="false">IF($A112="","",IF($H112="","-",IF($I112&lt;0,"기한초과",IF($I112&lt;=사용안내!$C$16,"임박","정상"))))</f>
        <v/>
      </c>
    </row>
    <row r="113" customFormat="false" ht="15" hidden="false" customHeight="true" outlineLevel="0" collapsed="false">
      <c r="A113" s="20" t="str">
        <f aca="false">IF(OR(직원목록!$A11="",교육과정!$A14="",직원목록!$F11="퇴사"),"",직원목록!$A11)</f>
        <v/>
      </c>
      <c r="B113" s="20" t="str">
        <f aca="false">IF($A113="","",직원목록!$B11)</f>
        <v/>
      </c>
      <c r="C113" s="20" t="str">
        <f aca="false">IF($A113="","",직원목록!$C11)</f>
        <v/>
      </c>
      <c r="D113" s="21" t="str">
        <f aca="false">IF($A113="","",교육과정!$A14)</f>
        <v/>
      </c>
      <c r="E113" s="20" t="str">
        <f aca="false">IF($A113="","",교육과정!$B14)</f>
        <v/>
      </c>
      <c r="F113" s="21" t="str">
        <f aca="false">IF($A113="","",교육과정!$C14)</f>
        <v/>
      </c>
      <c r="G113" s="23" t="str">
        <f aca="false">IF($A113="","",IF(COUNTIFS(이수내역!$B$3:$B$2002,$A113,이수내역!$D$3:$D$2002,$D113)=0,"",SUMPRODUCT(MAX((이수내역!$B$3:$B$2002=$A113)*(이수내역!$D$3:$D$2002=$D113)*이수내역!$A$3:$A$2002))))</f>
        <v/>
      </c>
      <c r="H113" s="23" t="str">
        <f aca="false">IF($A113="","",IF($F113="","",IF($G113="",EDATE(직원목록!$E11,$F113),EDATE($G113,$F113))))</f>
        <v/>
      </c>
      <c r="I113" s="21" t="str">
        <f aca="true">IF($H113="","",$H113-TODAY())</f>
        <v/>
      </c>
      <c r="J113" s="21" t="str">
        <f aca="false">IF($A113="","",IF($H113="","-",IF($I113&lt;0,"기한초과",IF($I113&lt;=사용안내!$C$16,"임박","정상"))))</f>
        <v/>
      </c>
    </row>
    <row r="114" customFormat="false" ht="15" hidden="false" customHeight="true" outlineLevel="0" collapsed="false">
      <c r="A114" s="20" t="str">
        <f aca="false">IF(OR(직원목록!$A12="",교육과정!$A3="",직원목록!$F12="퇴사"),"",직원목록!$A12)</f>
        <v/>
      </c>
      <c r="B114" s="20" t="str">
        <f aca="false">IF($A114="","",직원목록!$B12)</f>
        <v/>
      </c>
      <c r="C114" s="20" t="str">
        <f aca="false">IF($A114="","",직원목록!$C12)</f>
        <v/>
      </c>
      <c r="D114" s="21" t="str">
        <f aca="false">IF($A114="","",교육과정!$A3)</f>
        <v/>
      </c>
      <c r="E114" s="20" t="str">
        <f aca="false">IF($A114="","",교육과정!$B3)</f>
        <v/>
      </c>
      <c r="F114" s="21" t="str">
        <f aca="false">IF($A114="","",교육과정!$C3)</f>
        <v/>
      </c>
      <c r="G114" s="23" t="str">
        <f aca="false">IF($A114="","",IF(COUNTIFS(이수내역!$B$3:$B$2002,$A114,이수내역!$D$3:$D$2002,$D114)=0,"",SUMPRODUCT(MAX((이수내역!$B$3:$B$2002=$A114)*(이수내역!$D$3:$D$2002=$D114)*이수내역!$A$3:$A$2002))))</f>
        <v/>
      </c>
      <c r="H114" s="23" t="str">
        <f aca="false">IF($A114="","",IF($F114="","",IF($G114="",EDATE(직원목록!$E12,$F114),EDATE($G114,$F114))))</f>
        <v/>
      </c>
      <c r="I114" s="21" t="str">
        <f aca="true">IF($H114="","",$H114-TODAY())</f>
        <v/>
      </c>
      <c r="J114" s="21" t="str">
        <f aca="false">IF($A114="","",IF($H114="","-",IF($I114&lt;0,"기한초과",IF($I114&lt;=사용안내!$C$16,"임박","정상"))))</f>
        <v/>
      </c>
    </row>
    <row r="115" customFormat="false" ht="15" hidden="false" customHeight="true" outlineLevel="0" collapsed="false">
      <c r="A115" s="20" t="str">
        <f aca="false">IF(OR(직원목록!$A12="",교육과정!$A4="",직원목록!$F12="퇴사"),"",직원목록!$A12)</f>
        <v/>
      </c>
      <c r="B115" s="20" t="str">
        <f aca="false">IF($A115="","",직원목록!$B12)</f>
        <v/>
      </c>
      <c r="C115" s="20" t="str">
        <f aca="false">IF($A115="","",직원목록!$C12)</f>
        <v/>
      </c>
      <c r="D115" s="21" t="str">
        <f aca="false">IF($A115="","",교육과정!$A4)</f>
        <v/>
      </c>
      <c r="E115" s="20" t="str">
        <f aca="false">IF($A115="","",교육과정!$B4)</f>
        <v/>
      </c>
      <c r="F115" s="21" t="str">
        <f aca="false">IF($A115="","",교육과정!$C4)</f>
        <v/>
      </c>
      <c r="G115" s="23" t="str">
        <f aca="false">IF($A115="","",IF(COUNTIFS(이수내역!$B$3:$B$2002,$A115,이수내역!$D$3:$D$2002,$D115)=0,"",SUMPRODUCT(MAX((이수내역!$B$3:$B$2002=$A115)*(이수내역!$D$3:$D$2002=$D115)*이수내역!$A$3:$A$2002))))</f>
        <v/>
      </c>
      <c r="H115" s="23" t="str">
        <f aca="false">IF($A115="","",IF($F115="","",IF($G115="",EDATE(직원목록!$E12,$F115),EDATE($G115,$F115))))</f>
        <v/>
      </c>
      <c r="I115" s="21" t="str">
        <f aca="true">IF($H115="","",$H115-TODAY())</f>
        <v/>
      </c>
      <c r="J115" s="21" t="str">
        <f aca="false">IF($A115="","",IF($H115="","-",IF($I115&lt;0,"기한초과",IF($I115&lt;=사용안내!$C$16,"임박","정상"))))</f>
        <v/>
      </c>
    </row>
    <row r="116" customFormat="false" ht="15" hidden="false" customHeight="true" outlineLevel="0" collapsed="false">
      <c r="A116" s="20" t="str">
        <f aca="false">IF(OR(직원목록!$A12="",교육과정!$A5="",직원목록!$F12="퇴사"),"",직원목록!$A12)</f>
        <v/>
      </c>
      <c r="B116" s="20" t="str">
        <f aca="false">IF($A116="","",직원목록!$B12)</f>
        <v/>
      </c>
      <c r="C116" s="20" t="str">
        <f aca="false">IF($A116="","",직원목록!$C12)</f>
        <v/>
      </c>
      <c r="D116" s="21" t="str">
        <f aca="false">IF($A116="","",교육과정!$A5)</f>
        <v/>
      </c>
      <c r="E116" s="20" t="str">
        <f aca="false">IF($A116="","",교육과정!$B5)</f>
        <v/>
      </c>
      <c r="F116" s="21" t="str">
        <f aca="false">IF($A116="","",교육과정!$C5)</f>
        <v/>
      </c>
      <c r="G116" s="23" t="str">
        <f aca="false">IF($A116="","",IF(COUNTIFS(이수내역!$B$3:$B$2002,$A116,이수내역!$D$3:$D$2002,$D116)=0,"",SUMPRODUCT(MAX((이수내역!$B$3:$B$2002=$A116)*(이수내역!$D$3:$D$2002=$D116)*이수내역!$A$3:$A$2002))))</f>
        <v/>
      </c>
      <c r="H116" s="23" t="str">
        <f aca="false">IF($A116="","",IF($F116="","",IF($G116="",EDATE(직원목록!$E12,$F116),EDATE($G116,$F116))))</f>
        <v/>
      </c>
      <c r="I116" s="21" t="str">
        <f aca="true">IF($H116="","",$H116-TODAY())</f>
        <v/>
      </c>
      <c r="J116" s="21" t="str">
        <f aca="false">IF($A116="","",IF($H116="","-",IF($I116&lt;0,"기한초과",IF($I116&lt;=사용안내!$C$16,"임박","정상"))))</f>
        <v/>
      </c>
    </row>
    <row r="117" customFormat="false" ht="15" hidden="false" customHeight="true" outlineLevel="0" collapsed="false">
      <c r="A117" s="20" t="str">
        <f aca="false">IF(OR(직원목록!$A12="",교육과정!$A6="",직원목록!$F12="퇴사"),"",직원목록!$A12)</f>
        <v/>
      </c>
      <c r="B117" s="20" t="str">
        <f aca="false">IF($A117="","",직원목록!$B12)</f>
        <v/>
      </c>
      <c r="C117" s="20" t="str">
        <f aca="false">IF($A117="","",직원목록!$C12)</f>
        <v/>
      </c>
      <c r="D117" s="21" t="str">
        <f aca="false">IF($A117="","",교육과정!$A6)</f>
        <v/>
      </c>
      <c r="E117" s="20" t="str">
        <f aca="false">IF($A117="","",교육과정!$B6)</f>
        <v/>
      </c>
      <c r="F117" s="21" t="str">
        <f aca="false">IF($A117="","",교육과정!$C6)</f>
        <v/>
      </c>
      <c r="G117" s="23" t="str">
        <f aca="false">IF($A117="","",IF(COUNTIFS(이수내역!$B$3:$B$2002,$A117,이수내역!$D$3:$D$2002,$D117)=0,"",SUMPRODUCT(MAX((이수내역!$B$3:$B$2002=$A117)*(이수내역!$D$3:$D$2002=$D117)*이수내역!$A$3:$A$2002))))</f>
        <v/>
      </c>
      <c r="H117" s="23" t="str">
        <f aca="false">IF($A117="","",IF($F117="","",IF($G117="",EDATE(직원목록!$E12,$F117),EDATE($G117,$F117))))</f>
        <v/>
      </c>
      <c r="I117" s="21" t="str">
        <f aca="true">IF($H117="","",$H117-TODAY())</f>
        <v/>
      </c>
      <c r="J117" s="21" t="str">
        <f aca="false">IF($A117="","",IF($H117="","-",IF($I117&lt;0,"기한초과",IF($I117&lt;=사용안내!$C$16,"임박","정상"))))</f>
        <v/>
      </c>
    </row>
    <row r="118" customFormat="false" ht="15" hidden="false" customHeight="true" outlineLevel="0" collapsed="false">
      <c r="A118" s="20" t="str">
        <f aca="false">IF(OR(직원목록!$A12="",교육과정!$A7="",직원목록!$F12="퇴사"),"",직원목록!$A12)</f>
        <v/>
      </c>
      <c r="B118" s="20" t="str">
        <f aca="false">IF($A118="","",직원목록!$B12)</f>
        <v/>
      </c>
      <c r="C118" s="20" t="str">
        <f aca="false">IF($A118="","",직원목록!$C12)</f>
        <v/>
      </c>
      <c r="D118" s="21" t="str">
        <f aca="false">IF($A118="","",교육과정!$A7)</f>
        <v/>
      </c>
      <c r="E118" s="20" t="str">
        <f aca="false">IF($A118="","",교육과정!$B7)</f>
        <v/>
      </c>
      <c r="F118" s="21" t="str">
        <f aca="false">IF($A118="","",교육과정!$C7)</f>
        <v/>
      </c>
      <c r="G118" s="23" t="str">
        <f aca="false">IF($A118="","",IF(COUNTIFS(이수내역!$B$3:$B$2002,$A118,이수내역!$D$3:$D$2002,$D118)=0,"",SUMPRODUCT(MAX((이수내역!$B$3:$B$2002=$A118)*(이수내역!$D$3:$D$2002=$D118)*이수내역!$A$3:$A$2002))))</f>
        <v/>
      </c>
      <c r="H118" s="23" t="str">
        <f aca="false">IF($A118="","",IF($F118="","",IF($G118="",EDATE(직원목록!$E12,$F118),EDATE($G118,$F118))))</f>
        <v/>
      </c>
      <c r="I118" s="21" t="str">
        <f aca="true">IF($H118="","",$H118-TODAY())</f>
        <v/>
      </c>
      <c r="J118" s="21" t="str">
        <f aca="false">IF($A118="","",IF($H118="","-",IF($I118&lt;0,"기한초과",IF($I118&lt;=사용안내!$C$16,"임박","정상"))))</f>
        <v/>
      </c>
    </row>
    <row r="119" customFormat="false" ht="15" hidden="false" customHeight="true" outlineLevel="0" collapsed="false">
      <c r="A119" s="20" t="str">
        <f aca="false">IF(OR(직원목록!$A12="",교육과정!$A8="",직원목록!$F12="퇴사"),"",직원목록!$A12)</f>
        <v/>
      </c>
      <c r="B119" s="20" t="str">
        <f aca="false">IF($A119="","",직원목록!$B12)</f>
        <v/>
      </c>
      <c r="C119" s="20" t="str">
        <f aca="false">IF($A119="","",직원목록!$C12)</f>
        <v/>
      </c>
      <c r="D119" s="21" t="str">
        <f aca="false">IF($A119="","",교육과정!$A8)</f>
        <v/>
      </c>
      <c r="E119" s="20" t="str">
        <f aca="false">IF($A119="","",교육과정!$B8)</f>
        <v/>
      </c>
      <c r="F119" s="21" t="str">
        <f aca="false">IF($A119="","",교육과정!$C8)</f>
        <v/>
      </c>
      <c r="G119" s="23" t="str">
        <f aca="false">IF($A119="","",IF(COUNTIFS(이수내역!$B$3:$B$2002,$A119,이수내역!$D$3:$D$2002,$D119)=0,"",SUMPRODUCT(MAX((이수내역!$B$3:$B$2002=$A119)*(이수내역!$D$3:$D$2002=$D119)*이수내역!$A$3:$A$2002))))</f>
        <v/>
      </c>
      <c r="H119" s="23" t="str">
        <f aca="false">IF($A119="","",IF($F119="","",IF($G119="",EDATE(직원목록!$E12,$F119),EDATE($G119,$F119))))</f>
        <v/>
      </c>
      <c r="I119" s="21" t="str">
        <f aca="true">IF($H119="","",$H119-TODAY())</f>
        <v/>
      </c>
      <c r="J119" s="21" t="str">
        <f aca="false">IF($A119="","",IF($H119="","-",IF($I119&lt;0,"기한초과",IF($I119&lt;=사용안내!$C$16,"임박","정상"))))</f>
        <v/>
      </c>
    </row>
    <row r="120" customFormat="false" ht="15" hidden="false" customHeight="true" outlineLevel="0" collapsed="false">
      <c r="A120" s="20" t="str">
        <f aca="false">IF(OR(직원목록!$A12="",교육과정!$A9="",직원목록!$F12="퇴사"),"",직원목록!$A12)</f>
        <v/>
      </c>
      <c r="B120" s="20" t="str">
        <f aca="false">IF($A120="","",직원목록!$B12)</f>
        <v/>
      </c>
      <c r="C120" s="20" t="str">
        <f aca="false">IF($A120="","",직원목록!$C12)</f>
        <v/>
      </c>
      <c r="D120" s="21" t="str">
        <f aca="false">IF($A120="","",교육과정!$A9)</f>
        <v/>
      </c>
      <c r="E120" s="20" t="str">
        <f aca="false">IF($A120="","",교육과정!$B9)</f>
        <v/>
      </c>
      <c r="F120" s="21" t="str">
        <f aca="false">IF($A120="","",교육과정!$C9)</f>
        <v/>
      </c>
      <c r="G120" s="23" t="str">
        <f aca="false">IF($A120="","",IF(COUNTIFS(이수내역!$B$3:$B$2002,$A120,이수내역!$D$3:$D$2002,$D120)=0,"",SUMPRODUCT(MAX((이수내역!$B$3:$B$2002=$A120)*(이수내역!$D$3:$D$2002=$D120)*이수내역!$A$3:$A$2002))))</f>
        <v/>
      </c>
      <c r="H120" s="23" t="str">
        <f aca="false">IF($A120="","",IF($F120="","",IF($G120="",EDATE(직원목록!$E12,$F120),EDATE($G120,$F120))))</f>
        <v/>
      </c>
      <c r="I120" s="21" t="str">
        <f aca="true">IF($H120="","",$H120-TODAY())</f>
        <v/>
      </c>
      <c r="J120" s="21" t="str">
        <f aca="false">IF($A120="","",IF($H120="","-",IF($I120&lt;0,"기한초과",IF($I120&lt;=사용안내!$C$16,"임박","정상"))))</f>
        <v/>
      </c>
    </row>
    <row r="121" customFormat="false" ht="15" hidden="false" customHeight="true" outlineLevel="0" collapsed="false">
      <c r="A121" s="20" t="str">
        <f aca="false">IF(OR(직원목록!$A12="",교육과정!$A10="",직원목록!$F12="퇴사"),"",직원목록!$A12)</f>
        <v/>
      </c>
      <c r="B121" s="20" t="str">
        <f aca="false">IF($A121="","",직원목록!$B12)</f>
        <v/>
      </c>
      <c r="C121" s="20" t="str">
        <f aca="false">IF($A121="","",직원목록!$C12)</f>
        <v/>
      </c>
      <c r="D121" s="21" t="str">
        <f aca="false">IF($A121="","",교육과정!$A10)</f>
        <v/>
      </c>
      <c r="E121" s="20" t="str">
        <f aca="false">IF($A121="","",교육과정!$B10)</f>
        <v/>
      </c>
      <c r="F121" s="21" t="str">
        <f aca="false">IF($A121="","",교육과정!$C10)</f>
        <v/>
      </c>
      <c r="G121" s="23" t="str">
        <f aca="false">IF($A121="","",IF(COUNTIFS(이수내역!$B$3:$B$2002,$A121,이수내역!$D$3:$D$2002,$D121)=0,"",SUMPRODUCT(MAX((이수내역!$B$3:$B$2002=$A121)*(이수내역!$D$3:$D$2002=$D121)*이수내역!$A$3:$A$2002))))</f>
        <v/>
      </c>
      <c r="H121" s="23" t="str">
        <f aca="false">IF($A121="","",IF($F121="","",IF($G121="",EDATE(직원목록!$E12,$F121),EDATE($G121,$F121))))</f>
        <v/>
      </c>
      <c r="I121" s="21" t="str">
        <f aca="true">IF($H121="","",$H121-TODAY())</f>
        <v/>
      </c>
      <c r="J121" s="21" t="str">
        <f aca="false">IF($A121="","",IF($H121="","-",IF($I121&lt;0,"기한초과",IF($I121&lt;=사용안내!$C$16,"임박","정상"))))</f>
        <v/>
      </c>
    </row>
    <row r="122" customFormat="false" ht="15" hidden="false" customHeight="true" outlineLevel="0" collapsed="false">
      <c r="A122" s="20" t="str">
        <f aca="false">IF(OR(직원목록!$A12="",교육과정!$A11="",직원목록!$F12="퇴사"),"",직원목록!$A12)</f>
        <v/>
      </c>
      <c r="B122" s="20" t="str">
        <f aca="false">IF($A122="","",직원목록!$B12)</f>
        <v/>
      </c>
      <c r="C122" s="20" t="str">
        <f aca="false">IF($A122="","",직원목록!$C12)</f>
        <v/>
      </c>
      <c r="D122" s="21" t="str">
        <f aca="false">IF($A122="","",교육과정!$A11)</f>
        <v/>
      </c>
      <c r="E122" s="20" t="str">
        <f aca="false">IF($A122="","",교육과정!$B11)</f>
        <v/>
      </c>
      <c r="F122" s="21" t="str">
        <f aca="false">IF($A122="","",교육과정!$C11)</f>
        <v/>
      </c>
      <c r="G122" s="23" t="str">
        <f aca="false">IF($A122="","",IF(COUNTIFS(이수내역!$B$3:$B$2002,$A122,이수내역!$D$3:$D$2002,$D122)=0,"",SUMPRODUCT(MAX((이수내역!$B$3:$B$2002=$A122)*(이수내역!$D$3:$D$2002=$D122)*이수내역!$A$3:$A$2002))))</f>
        <v/>
      </c>
      <c r="H122" s="23" t="str">
        <f aca="false">IF($A122="","",IF($F122="","",IF($G122="",EDATE(직원목록!$E12,$F122),EDATE($G122,$F122))))</f>
        <v/>
      </c>
      <c r="I122" s="21" t="str">
        <f aca="true">IF($H122="","",$H122-TODAY())</f>
        <v/>
      </c>
      <c r="J122" s="21" t="str">
        <f aca="false">IF($A122="","",IF($H122="","-",IF($I122&lt;0,"기한초과",IF($I122&lt;=사용안내!$C$16,"임박","정상"))))</f>
        <v/>
      </c>
    </row>
    <row r="123" customFormat="false" ht="15" hidden="false" customHeight="true" outlineLevel="0" collapsed="false">
      <c r="A123" s="20" t="str">
        <f aca="false">IF(OR(직원목록!$A12="",교육과정!$A12="",직원목록!$F12="퇴사"),"",직원목록!$A12)</f>
        <v/>
      </c>
      <c r="B123" s="20" t="str">
        <f aca="false">IF($A123="","",직원목록!$B12)</f>
        <v/>
      </c>
      <c r="C123" s="20" t="str">
        <f aca="false">IF($A123="","",직원목록!$C12)</f>
        <v/>
      </c>
      <c r="D123" s="21" t="str">
        <f aca="false">IF($A123="","",교육과정!$A12)</f>
        <v/>
      </c>
      <c r="E123" s="20" t="str">
        <f aca="false">IF($A123="","",교육과정!$B12)</f>
        <v/>
      </c>
      <c r="F123" s="21" t="str">
        <f aca="false">IF($A123="","",교육과정!$C12)</f>
        <v/>
      </c>
      <c r="G123" s="23" t="str">
        <f aca="false">IF($A123="","",IF(COUNTIFS(이수내역!$B$3:$B$2002,$A123,이수내역!$D$3:$D$2002,$D123)=0,"",SUMPRODUCT(MAX((이수내역!$B$3:$B$2002=$A123)*(이수내역!$D$3:$D$2002=$D123)*이수내역!$A$3:$A$2002))))</f>
        <v/>
      </c>
      <c r="H123" s="23" t="str">
        <f aca="false">IF($A123="","",IF($F123="","",IF($G123="",EDATE(직원목록!$E12,$F123),EDATE($G123,$F123))))</f>
        <v/>
      </c>
      <c r="I123" s="21" t="str">
        <f aca="true">IF($H123="","",$H123-TODAY())</f>
        <v/>
      </c>
      <c r="J123" s="21" t="str">
        <f aca="false">IF($A123="","",IF($H123="","-",IF($I123&lt;0,"기한초과",IF($I123&lt;=사용안내!$C$16,"임박","정상"))))</f>
        <v/>
      </c>
    </row>
    <row r="124" customFormat="false" ht="15" hidden="false" customHeight="true" outlineLevel="0" collapsed="false">
      <c r="A124" s="20" t="str">
        <f aca="false">IF(OR(직원목록!$A12="",교육과정!$A13="",직원목록!$F12="퇴사"),"",직원목록!$A12)</f>
        <v/>
      </c>
      <c r="B124" s="20" t="str">
        <f aca="false">IF($A124="","",직원목록!$B12)</f>
        <v/>
      </c>
      <c r="C124" s="20" t="str">
        <f aca="false">IF($A124="","",직원목록!$C12)</f>
        <v/>
      </c>
      <c r="D124" s="21" t="str">
        <f aca="false">IF($A124="","",교육과정!$A13)</f>
        <v/>
      </c>
      <c r="E124" s="20" t="str">
        <f aca="false">IF($A124="","",교육과정!$B13)</f>
        <v/>
      </c>
      <c r="F124" s="21" t="str">
        <f aca="false">IF($A124="","",교육과정!$C13)</f>
        <v/>
      </c>
      <c r="G124" s="23" t="str">
        <f aca="false">IF($A124="","",IF(COUNTIFS(이수내역!$B$3:$B$2002,$A124,이수내역!$D$3:$D$2002,$D124)=0,"",SUMPRODUCT(MAX((이수내역!$B$3:$B$2002=$A124)*(이수내역!$D$3:$D$2002=$D124)*이수내역!$A$3:$A$2002))))</f>
        <v/>
      </c>
      <c r="H124" s="23" t="str">
        <f aca="false">IF($A124="","",IF($F124="","",IF($G124="",EDATE(직원목록!$E12,$F124),EDATE($G124,$F124))))</f>
        <v/>
      </c>
      <c r="I124" s="21" t="str">
        <f aca="true">IF($H124="","",$H124-TODAY())</f>
        <v/>
      </c>
      <c r="J124" s="21" t="str">
        <f aca="false">IF($A124="","",IF($H124="","-",IF($I124&lt;0,"기한초과",IF($I124&lt;=사용안내!$C$16,"임박","정상"))))</f>
        <v/>
      </c>
    </row>
    <row r="125" customFormat="false" ht="15" hidden="false" customHeight="true" outlineLevel="0" collapsed="false">
      <c r="A125" s="20" t="str">
        <f aca="false">IF(OR(직원목록!$A12="",교육과정!$A14="",직원목록!$F12="퇴사"),"",직원목록!$A12)</f>
        <v/>
      </c>
      <c r="B125" s="20" t="str">
        <f aca="false">IF($A125="","",직원목록!$B12)</f>
        <v/>
      </c>
      <c r="C125" s="20" t="str">
        <f aca="false">IF($A125="","",직원목록!$C12)</f>
        <v/>
      </c>
      <c r="D125" s="21" t="str">
        <f aca="false">IF($A125="","",교육과정!$A14)</f>
        <v/>
      </c>
      <c r="E125" s="20" t="str">
        <f aca="false">IF($A125="","",교육과정!$B14)</f>
        <v/>
      </c>
      <c r="F125" s="21" t="str">
        <f aca="false">IF($A125="","",교육과정!$C14)</f>
        <v/>
      </c>
      <c r="G125" s="23" t="str">
        <f aca="false">IF($A125="","",IF(COUNTIFS(이수내역!$B$3:$B$2002,$A125,이수내역!$D$3:$D$2002,$D125)=0,"",SUMPRODUCT(MAX((이수내역!$B$3:$B$2002=$A125)*(이수내역!$D$3:$D$2002=$D125)*이수내역!$A$3:$A$2002))))</f>
        <v/>
      </c>
      <c r="H125" s="23" t="str">
        <f aca="false">IF($A125="","",IF($F125="","",IF($G125="",EDATE(직원목록!$E12,$F125),EDATE($G125,$F125))))</f>
        <v/>
      </c>
      <c r="I125" s="21" t="str">
        <f aca="true">IF($H125="","",$H125-TODAY())</f>
        <v/>
      </c>
      <c r="J125" s="21" t="str">
        <f aca="false">IF($A125="","",IF($H125="","-",IF($I125&lt;0,"기한초과",IF($I125&lt;=사용안내!$C$16,"임박","정상"))))</f>
        <v/>
      </c>
    </row>
    <row r="126" customFormat="false" ht="15" hidden="false" customHeight="true" outlineLevel="0" collapsed="false">
      <c r="A126" s="20" t="str">
        <f aca="false">IF(OR(직원목록!$A13="",교육과정!$A3="",직원목록!$F13="퇴사"),"",직원목록!$A13)</f>
        <v/>
      </c>
      <c r="B126" s="20" t="str">
        <f aca="false">IF($A126="","",직원목록!$B13)</f>
        <v/>
      </c>
      <c r="C126" s="20" t="str">
        <f aca="false">IF($A126="","",직원목록!$C13)</f>
        <v/>
      </c>
      <c r="D126" s="21" t="str">
        <f aca="false">IF($A126="","",교육과정!$A3)</f>
        <v/>
      </c>
      <c r="E126" s="20" t="str">
        <f aca="false">IF($A126="","",교육과정!$B3)</f>
        <v/>
      </c>
      <c r="F126" s="21" t="str">
        <f aca="false">IF($A126="","",교육과정!$C3)</f>
        <v/>
      </c>
      <c r="G126" s="23" t="str">
        <f aca="false">IF($A126="","",IF(COUNTIFS(이수내역!$B$3:$B$2002,$A126,이수내역!$D$3:$D$2002,$D126)=0,"",SUMPRODUCT(MAX((이수내역!$B$3:$B$2002=$A126)*(이수내역!$D$3:$D$2002=$D126)*이수내역!$A$3:$A$2002))))</f>
        <v/>
      </c>
      <c r="H126" s="23" t="str">
        <f aca="false">IF($A126="","",IF($F126="","",IF($G126="",EDATE(직원목록!$E13,$F126),EDATE($G126,$F126))))</f>
        <v/>
      </c>
      <c r="I126" s="21" t="str">
        <f aca="true">IF($H126="","",$H126-TODAY())</f>
        <v/>
      </c>
      <c r="J126" s="21" t="str">
        <f aca="false">IF($A126="","",IF($H126="","-",IF($I126&lt;0,"기한초과",IF($I126&lt;=사용안내!$C$16,"임박","정상"))))</f>
        <v/>
      </c>
    </row>
    <row r="127" customFormat="false" ht="15" hidden="false" customHeight="true" outlineLevel="0" collapsed="false">
      <c r="A127" s="20" t="str">
        <f aca="false">IF(OR(직원목록!$A13="",교육과정!$A4="",직원목록!$F13="퇴사"),"",직원목록!$A13)</f>
        <v/>
      </c>
      <c r="B127" s="20" t="str">
        <f aca="false">IF($A127="","",직원목록!$B13)</f>
        <v/>
      </c>
      <c r="C127" s="20" t="str">
        <f aca="false">IF($A127="","",직원목록!$C13)</f>
        <v/>
      </c>
      <c r="D127" s="21" t="str">
        <f aca="false">IF($A127="","",교육과정!$A4)</f>
        <v/>
      </c>
      <c r="E127" s="20" t="str">
        <f aca="false">IF($A127="","",교육과정!$B4)</f>
        <v/>
      </c>
      <c r="F127" s="21" t="str">
        <f aca="false">IF($A127="","",교육과정!$C4)</f>
        <v/>
      </c>
      <c r="G127" s="23" t="str">
        <f aca="false">IF($A127="","",IF(COUNTIFS(이수내역!$B$3:$B$2002,$A127,이수내역!$D$3:$D$2002,$D127)=0,"",SUMPRODUCT(MAX((이수내역!$B$3:$B$2002=$A127)*(이수내역!$D$3:$D$2002=$D127)*이수내역!$A$3:$A$2002))))</f>
        <v/>
      </c>
      <c r="H127" s="23" t="str">
        <f aca="false">IF($A127="","",IF($F127="","",IF($G127="",EDATE(직원목록!$E13,$F127),EDATE($G127,$F127))))</f>
        <v/>
      </c>
      <c r="I127" s="21" t="str">
        <f aca="true">IF($H127="","",$H127-TODAY())</f>
        <v/>
      </c>
      <c r="J127" s="21" t="str">
        <f aca="false">IF($A127="","",IF($H127="","-",IF($I127&lt;0,"기한초과",IF($I127&lt;=사용안내!$C$16,"임박","정상"))))</f>
        <v/>
      </c>
    </row>
    <row r="128" customFormat="false" ht="15" hidden="false" customHeight="true" outlineLevel="0" collapsed="false">
      <c r="A128" s="20" t="str">
        <f aca="false">IF(OR(직원목록!$A13="",교육과정!$A5="",직원목록!$F13="퇴사"),"",직원목록!$A13)</f>
        <v/>
      </c>
      <c r="B128" s="20" t="str">
        <f aca="false">IF($A128="","",직원목록!$B13)</f>
        <v/>
      </c>
      <c r="C128" s="20" t="str">
        <f aca="false">IF($A128="","",직원목록!$C13)</f>
        <v/>
      </c>
      <c r="D128" s="21" t="str">
        <f aca="false">IF($A128="","",교육과정!$A5)</f>
        <v/>
      </c>
      <c r="E128" s="20" t="str">
        <f aca="false">IF($A128="","",교육과정!$B5)</f>
        <v/>
      </c>
      <c r="F128" s="21" t="str">
        <f aca="false">IF($A128="","",교육과정!$C5)</f>
        <v/>
      </c>
      <c r="G128" s="23" t="str">
        <f aca="false">IF($A128="","",IF(COUNTIFS(이수내역!$B$3:$B$2002,$A128,이수내역!$D$3:$D$2002,$D128)=0,"",SUMPRODUCT(MAX((이수내역!$B$3:$B$2002=$A128)*(이수내역!$D$3:$D$2002=$D128)*이수내역!$A$3:$A$2002))))</f>
        <v/>
      </c>
      <c r="H128" s="23" t="str">
        <f aca="false">IF($A128="","",IF($F128="","",IF($G128="",EDATE(직원목록!$E13,$F128),EDATE($G128,$F128))))</f>
        <v/>
      </c>
      <c r="I128" s="21" t="str">
        <f aca="true">IF($H128="","",$H128-TODAY())</f>
        <v/>
      </c>
      <c r="J128" s="21" t="str">
        <f aca="false">IF($A128="","",IF($H128="","-",IF($I128&lt;0,"기한초과",IF($I128&lt;=사용안내!$C$16,"임박","정상"))))</f>
        <v/>
      </c>
    </row>
    <row r="129" customFormat="false" ht="15" hidden="false" customHeight="true" outlineLevel="0" collapsed="false">
      <c r="A129" s="20" t="str">
        <f aca="false">IF(OR(직원목록!$A13="",교육과정!$A6="",직원목록!$F13="퇴사"),"",직원목록!$A13)</f>
        <v/>
      </c>
      <c r="B129" s="20" t="str">
        <f aca="false">IF($A129="","",직원목록!$B13)</f>
        <v/>
      </c>
      <c r="C129" s="20" t="str">
        <f aca="false">IF($A129="","",직원목록!$C13)</f>
        <v/>
      </c>
      <c r="D129" s="21" t="str">
        <f aca="false">IF($A129="","",교육과정!$A6)</f>
        <v/>
      </c>
      <c r="E129" s="20" t="str">
        <f aca="false">IF($A129="","",교육과정!$B6)</f>
        <v/>
      </c>
      <c r="F129" s="21" t="str">
        <f aca="false">IF($A129="","",교육과정!$C6)</f>
        <v/>
      </c>
      <c r="G129" s="23" t="str">
        <f aca="false">IF($A129="","",IF(COUNTIFS(이수내역!$B$3:$B$2002,$A129,이수내역!$D$3:$D$2002,$D129)=0,"",SUMPRODUCT(MAX((이수내역!$B$3:$B$2002=$A129)*(이수내역!$D$3:$D$2002=$D129)*이수내역!$A$3:$A$2002))))</f>
        <v/>
      </c>
      <c r="H129" s="23" t="str">
        <f aca="false">IF($A129="","",IF($F129="","",IF($G129="",EDATE(직원목록!$E13,$F129),EDATE($G129,$F129))))</f>
        <v/>
      </c>
      <c r="I129" s="21" t="str">
        <f aca="true">IF($H129="","",$H129-TODAY())</f>
        <v/>
      </c>
      <c r="J129" s="21" t="str">
        <f aca="false">IF($A129="","",IF($H129="","-",IF($I129&lt;0,"기한초과",IF($I129&lt;=사용안내!$C$16,"임박","정상"))))</f>
        <v/>
      </c>
    </row>
    <row r="130" customFormat="false" ht="15" hidden="false" customHeight="true" outlineLevel="0" collapsed="false">
      <c r="A130" s="20" t="str">
        <f aca="false">IF(OR(직원목록!$A13="",교육과정!$A7="",직원목록!$F13="퇴사"),"",직원목록!$A13)</f>
        <v/>
      </c>
      <c r="B130" s="20" t="str">
        <f aca="false">IF($A130="","",직원목록!$B13)</f>
        <v/>
      </c>
      <c r="C130" s="20" t="str">
        <f aca="false">IF($A130="","",직원목록!$C13)</f>
        <v/>
      </c>
      <c r="D130" s="21" t="str">
        <f aca="false">IF($A130="","",교육과정!$A7)</f>
        <v/>
      </c>
      <c r="E130" s="20" t="str">
        <f aca="false">IF($A130="","",교육과정!$B7)</f>
        <v/>
      </c>
      <c r="F130" s="21" t="str">
        <f aca="false">IF($A130="","",교육과정!$C7)</f>
        <v/>
      </c>
      <c r="G130" s="23" t="str">
        <f aca="false">IF($A130="","",IF(COUNTIFS(이수내역!$B$3:$B$2002,$A130,이수내역!$D$3:$D$2002,$D130)=0,"",SUMPRODUCT(MAX((이수내역!$B$3:$B$2002=$A130)*(이수내역!$D$3:$D$2002=$D130)*이수내역!$A$3:$A$2002))))</f>
        <v/>
      </c>
      <c r="H130" s="23" t="str">
        <f aca="false">IF($A130="","",IF($F130="","",IF($G130="",EDATE(직원목록!$E13,$F130),EDATE($G130,$F130))))</f>
        <v/>
      </c>
      <c r="I130" s="21" t="str">
        <f aca="true">IF($H130="","",$H130-TODAY())</f>
        <v/>
      </c>
      <c r="J130" s="21" t="str">
        <f aca="false">IF($A130="","",IF($H130="","-",IF($I130&lt;0,"기한초과",IF($I130&lt;=사용안내!$C$16,"임박","정상"))))</f>
        <v/>
      </c>
    </row>
    <row r="131" customFormat="false" ht="15" hidden="false" customHeight="true" outlineLevel="0" collapsed="false">
      <c r="A131" s="20" t="str">
        <f aca="false">IF(OR(직원목록!$A13="",교육과정!$A8="",직원목록!$F13="퇴사"),"",직원목록!$A13)</f>
        <v/>
      </c>
      <c r="B131" s="20" t="str">
        <f aca="false">IF($A131="","",직원목록!$B13)</f>
        <v/>
      </c>
      <c r="C131" s="20" t="str">
        <f aca="false">IF($A131="","",직원목록!$C13)</f>
        <v/>
      </c>
      <c r="D131" s="21" t="str">
        <f aca="false">IF($A131="","",교육과정!$A8)</f>
        <v/>
      </c>
      <c r="E131" s="20" t="str">
        <f aca="false">IF($A131="","",교육과정!$B8)</f>
        <v/>
      </c>
      <c r="F131" s="21" t="str">
        <f aca="false">IF($A131="","",교육과정!$C8)</f>
        <v/>
      </c>
      <c r="G131" s="23" t="str">
        <f aca="false">IF($A131="","",IF(COUNTIFS(이수내역!$B$3:$B$2002,$A131,이수내역!$D$3:$D$2002,$D131)=0,"",SUMPRODUCT(MAX((이수내역!$B$3:$B$2002=$A131)*(이수내역!$D$3:$D$2002=$D131)*이수내역!$A$3:$A$2002))))</f>
        <v/>
      </c>
      <c r="H131" s="23" t="str">
        <f aca="false">IF($A131="","",IF($F131="","",IF($G131="",EDATE(직원목록!$E13,$F131),EDATE($G131,$F131))))</f>
        <v/>
      </c>
      <c r="I131" s="21" t="str">
        <f aca="true">IF($H131="","",$H131-TODAY())</f>
        <v/>
      </c>
      <c r="J131" s="21" t="str">
        <f aca="false">IF($A131="","",IF($H131="","-",IF($I131&lt;0,"기한초과",IF($I131&lt;=사용안내!$C$16,"임박","정상"))))</f>
        <v/>
      </c>
    </row>
    <row r="132" customFormat="false" ht="15" hidden="false" customHeight="true" outlineLevel="0" collapsed="false">
      <c r="A132" s="20" t="str">
        <f aca="false">IF(OR(직원목록!$A13="",교육과정!$A9="",직원목록!$F13="퇴사"),"",직원목록!$A13)</f>
        <v/>
      </c>
      <c r="B132" s="20" t="str">
        <f aca="false">IF($A132="","",직원목록!$B13)</f>
        <v/>
      </c>
      <c r="C132" s="20" t="str">
        <f aca="false">IF($A132="","",직원목록!$C13)</f>
        <v/>
      </c>
      <c r="D132" s="21" t="str">
        <f aca="false">IF($A132="","",교육과정!$A9)</f>
        <v/>
      </c>
      <c r="E132" s="20" t="str">
        <f aca="false">IF($A132="","",교육과정!$B9)</f>
        <v/>
      </c>
      <c r="F132" s="21" t="str">
        <f aca="false">IF($A132="","",교육과정!$C9)</f>
        <v/>
      </c>
      <c r="G132" s="23" t="str">
        <f aca="false">IF($A132="","",IF(COUNTIFS(이수내역!$B$3:$B$2002,$A132,이수내역!$D$3:$D$2002,$D132)=0,"",SUMPRODUCT(MAX((이수내역!$B$3:$B$2002=$A132)*(이수내역!$D$3:$D$2002=$D132)*이수내역!$A$3:$A$2002))))</f>
        <v/>
      </c>
      <c r="H132" s="23" t="str">
        <f aca="false">IF($A132="","",IF($F132="","",IF($G132="",EDATE(직원목록!$E13,$F132),EDATE($G132,$F132))))</f>
        <v/>
      </c>
      <c r="I132" s="21" t="str">
        <f aca="true">IF($H132="","",$H132-TODAY())</f>
        <v/>
      </c>
      <c r="J132" s="21" t="str">
        <f aca="false">IF($A132="","",IF($H132="","-",IF($I132&lt;0,"기한초과",IF($I132&lt;=사용안내!$C$16,"임박","정상"))))</f>
        <v/>
      </c>
    </row>
    <row r="133" customFormat="false" ht="15" hidden="false" customHeight="true" outlineLevel="0" collapsed="false">
      <c r="A133" s="20" t="str">
        <f aca="false">IF(OR(직원목록!$A13="",교육과정!$A10="",직원목록!$F13="퇴사"),"",직원목록!$A13)</f>
        <v/>
      </c>
      <c r="B133" s="20" t="str">
        <f aca="false">IF($A133="","",직원목록!$B13)</f>
        <v/>
      </c>
      <c r="C133" s="20" t="str">
        <f aca="false">IF($A133="","",직원목록!$C13)</f>
        <v/>
      </c>
      <c r="D133" s="21" t="str">
        <f aca="false">IF($A133="","",교육과정!$A10)</f>
        <v/>
      </c>
      <c r="E133" s="20" t="str">
        <f aca="false">IF($A133="","",교육과정!$B10)</f>
        <v/>
      </c>
      <c r="F133" s="21" t="str">
        <f aca="false">IF($A133="","",교육과정!$C10)</f>
        <v/>
      </c>
      <c r="G133" s="23" t="str">
        <f aca="false">IF($A133="","",IF(COUNTIFS(이수내역!$B$3:$B$2002,$A133,이수내역!$D$3:$D$2002,$D133)=0,"",SUMPRODUCT(MAX((이수내역!$B$3:$B$2002=$A133)*(이수내역!$D$3:$D$2002=$D133)*이수내역!$A$3:$A$2002))))</f>
        <v/>
      </c>
      <c r="H133" s="23" t="str">
        <f aca="false">IF($A133="","",IF($F133="","",IF($G133="",EDATE(직원목록!$E13,$F133),EDATE($G133,$F133))))</f>
        <v/>
      </c>
      <c r="I133" s="21" t="str">
        <f aca="true">IF($H133="","",$H133-TODAY())</f>
        <v/>
      </c>
      <c r="J133" s="21" t="str">
        <f aca="false">IF($A133="","",IF($H133="","-",IF($I133&lt;0,"기한초과",IF($I133&lt;=사용안내!$C$16,"임박","정상"))))</f>
        <v/>
      </c>
    </row>
    <row r="134" customFormat="false" ht="15" hidden="false" customHeight="true" outlineLevel="0" collapsed="false">
      <c r="A134" s="20" t="str">
        <f aca="false">IF(OR(직원목록!$A13="",교육과정!$A11="",직원목록!$F13="퇴사"),"",직원목록!$A13)</f>
        <v/>
      </c>
      <c r="B134" s="20" t="str">
        <f aca="false">IF($A134="","",직원목록!$B13)</f>
        <v/>
      </c>
      <c r="C134" s="20" t="str">
        <f aca="false">IF($A134="","",직원목록!$C13)</f>
        <v/>
      </c>
      <c r="D134" s="21" t="str">
        <f aca="false">IF($A134="","",교육과정!$A11)</f>
        <v/>
      </c>
      <c r="E134" s="20" t="str">
        <f aca="false">IF($A134="","",교육과정!$B11)</f>
        <v/>
      </c>
      <c r="F134" s="21" t="str">
        <f aca="false">IF($A134="","",교육과정!$C11)</f>
        <v/>
      </c>
      <c r="G134" s="23" t="str">
        <f aca="false">IF($A134="","",IF(COUNTIFS(이수내역!$B$3:$B$2002,$A134,이수내역!$D$3:$D$2002,$D134)=0,"",SUMPRODUCT(MAX((이수내역!$B$3:$B$2002=$A134)*(이수내역!$D$3:$D$2002=$D134)*이수내역!$A$3:$A$2002))))</f>
        <v/>
      </c>
      <c r="H134" s="23" t="str">
        <f aca="false">IF($A134="","",IF($F134="","",IF($G134="",EDATE(직원목록!$E13,$F134),EDATE($G134,$F134))))</f>
        <v/>
      </c>
      <c r="I134" s="21" t="str">
        <f aca="true">IF($H134="","",$H134-TODAY())</f>
        <v/>
      </c>
      <c r="J134" s="21" t="str">
        <f aca="false">IF($A134="","",IF($H134="","-",IF($I134&lt;0,"기한초과",IF($I134&lt;=사용안내!$C$16,"임박","정상"))))</f>
        <v/>
      </c>
    </row>
    <row r="135" customFormat="false" ht="15" hidden="false" customHeight="true" outlineLevel="0" collapsed="false">
      <c r="A135" s="20" t="str">
        <f aca="false">IF(OR(직원목록!$A13="",교육과정!$A12="",직원목록!$F13="퇴사"),"",직원목록!$A13)</f>
        <v/>
      </c>
      <c r="B135" s="20" t="str">
        <f aca="false">IF($A135="","",직원목록!$B13)</f>
        <v/>
      </c>
      <c r="C135" s="20" t="str">
        <f aca="false">IF($A135="","",직원목록!$C13)</f>
        <v/>
      </c>
      <c r="D135" s="21" t="str">
        <f aca="false">IF($A135="","",교육과정!$A12)</f>
        <v/>
      </c>
      <c r="E135" s="20" t="str">
        <f aca="false">IF($A135="","",교육과정!$B12)</f>
        <v/>
      </c>
      <c r="F135" s="21" t="str">
        <f aca="false">IF($A135="","",교육과정!$C12)</f>
        <v/>
      </c>
      <c r="G135" s="23" t="str">
        <f aca="false">IF($A135="","",IF(COUNTIFS(이수내역!$B$3:$B$2002,$A135,이수내역!$D$3:$D$2002,$D135)=0,"",SUMPRODUCT(MAX((이수내역!$B$3:$B$2002=$A135)*(이수내역!$D$3:$D$2002=$D135)*이수내역!$A$3:$A$2002))))</f>
        <v/>
      </c>
      <c r="H135" s="23" t="str">
        <f aca="false">IF($A135="","",IF($F135="","",IF($G135="",EDATE(직원목록!$E13,$F135),EDATE($G135,$F135))))</f>
        <v/>
      </c>
      <c r="I135" s="21" t="str">
        <f aca="true">IF($H135="","",$H135-TODAY())</f>
        <v/>
      </c>
      <c r="J135" s="21" t="str">
        <f aca="false">IF($A135="","",IF($H135="","-",IF($I135&lt;0,"기한초과",IF($I135&lt;=사용안내!$C$16,"임박","정상"))))</f>
        <v/>
      </c>
    </row>
    <row r="136" customFormat="false" ht="15" hidden="false" customHeight="true" outlineLevel="0" collapsed="false">
      <c r="A136" s="20" t="str">
        <f aca="false">IF(OR(직원목록!$A13="",교육과정!$A13="",직원목록!$F13="퇴사"),"",직원목록!$A13)</f>
        <v/>
      </c>
      <c r="B136" s="20" t="str">
        <f aca="false">IF($A136="","",직원목록!$B13)</f>
        <v/>
      </c>
      <c r="C136" s="20" t="str">
        <f aca="false">IF($A136="","",직원목록!$C13)</f>
        <v/>
      </c>
      <c r="D136" s="21" t="str">
        <f aca="false">IF($A136="","",교육과정!$A13)</f>
        <v/>
      </c>
      <c r="E136" s="20" t="str">
        <f aca="false">IF($A136="","",교육과정!$B13)</f>
        <v/>
      </c>
      <c r="F136" s="21" t="str">
        <f aca="false">IF($A136="","",교육과정!$C13)</f>
        <v/>
      </c>
      <c r="G136" s="23" t="str">
        <f aca="false">IF($A136="","",IF(COUNTIFS(이수내역!$B$3:$B$2002,$A136,이수내역!$D$3:$D$2002,$D136)=0,"",SUMPRODUCT(MAX((이수내역!$B$3:$B$2002=$A136)*(이수내역!$D$3:$D$2002=$D136)*이수내역!$A$3:$A$2002))))</f>
        <v/>
      </c>
      <c r="H136" s="23" t="str">
        <f aca="false">IF($A136="","",IF($F136="","",IF($G136="",EDATE(직원목록!$E13,$F136),EDATE($G136,$F136))))</f>
        <v/>
      </c>
      <c r="I136" s="21" t="str">
        <f aca="true">IF($H136="","",$H136-TODAY())</f>
        <v/>
      </c>
      <c r="J136" s="21" t="str">
        <f aca="false">IF($A136="","",IF($H136="","-",IF($I136&lt;0,"기한초과",IF($I136&lt;=사용안내!$C$16,"임박","정상"))))</f>
        <v/>
      </c>
    </row>
    <row r="137" customFormat="false" ht="15" hidden="false" customHeight="true" outlineLevel="0" collapsed="false">
      <c r="A137" s="20" t="str">
        <f aca="false">IF(OR(직원목록!$A13="",교육과정!$A14="",직원목록!$F13="퇴사"),"",직원목록!$A13)</f>
        <v/>
      </c>
      <c r="B137" s="20" t="str">
        <f aca="false">IF($A137="","",직원목록!$B13)</f>
        <v/>
      </c>
      <c r="C137" s="20" t="str">
        <f aca="false">IF($A137="","",직원목록!$C13)</f>
        <v/>
      </c>
      <c r="D137" s="21" t="str">
        <f aca="false">IF($A137="","",교육과정!$A14)</f>
        <v/>
      </c>
      <c r="E137" s="20" t="str">
        <f aca="false">IF($A137="","",교육과정!$B14)</f>
        <v/>
      </c>
      <c r="F137" s="21" t="str">
        <f aca="false">IF($A137="","",교육과정!$C14)</f>
        <v/>
      </c>
      <c r="G137" s="23" t="str">
        <f aca="false">IF($A137="","",IF(COUNTIFS(이수내역!$B$3:$B$2002,$A137,이수내역!$D$3:$D$2002,$D137)=0,"",SUMPRODUCT(MAX((이수내역!$B$3:$B$2002=$A137)*(이수내역!$D$3:$D$2002=$D137)*이수내역!$A$3:$A$2002))))</f>
        <v/>
      </c>
      <c r="H137" s="23" t="str">
        <f aca="false">IF($A137="","",IF($F137="","",IF($G137="",EDATE(직원목록!$E13,$F137),EDATE($G137,$F137))))</f>
        <v/>
      </c>
      <c r="I137" s="21" t="str">
        <f aca="true">IF($H137="","",$H137-TODAY())</f>
        <v/>
      </c>
      <c r="J137" s="21" t="str">
        <f aca="false">IF($A137="","",IF($H137="","-",IF($I137&lt;0,"기한초과",IF($I137&lt;=사용안내!$C$16,"임박","정상"))))</f>
        <v/>
      </c>
    </row>
    <row r="138" customFormat="false" ht="15" hidden="false" customHeight="true" outlineLevel="0" collapsed="false">
      <c r="A138" s="20" t="str">
        <f aca="false">IF(OR(직원목록!$A14="",교육과정!$A3="",직원목록!$F14="퇴사"),"",직원목록!$A14)</f>
        <v/>
      </c>
      <c r="B138" s="20" t="str">
        <f aca="false">IF($A138="","",직원목록!$B14)</f>
        <v/>
      </c>
      <c r="C138" s="20" t="str">
        <f aca="false">IF($A138="","",직원목록!$C14)</f>
        <v/>
      </c>
      <c r="D138" s="21" t="str">
        <f aca="false">IF($A138="","",교육과정!$A3)</f>
        <v/>
      </c>
      <c r="E138" s="20" t="str">
        <f aca="false">IF($A138="","",교육과정!$B3)</f>
        <v/>
      </c>
      <c r="F138" s="21" t="str">
        <f aca="false">IF($A138="","",교육과정!$C3)</f>
        <v/>
      </c>
      <c r="G138" s="23" t="str">
        <f aca="false">IF($A138="","",IF(COUNTIFS(이수내역!$B$3:$B$2002,$A138,이수내역!$D$3:$D$2002,$D138)=0,"",SUMPRODUCT(MAX((이수내역!$B$3:$B$2002=$A138)*(이수내역!$D$3:$D$2002=$D138)*이수내역!$A$3:$A$2002))))</f>
        <v/>
      </c>
      <c r="H138" s="23" t="str">
        <f aca="false">IF($A138="","",IF($F138="","",IF($G138="",EDATE(직원목록!$E14,$F138),EDATE($G138,$F138))))</f>
        <v/>
      </c>
      <c r="I138" s="21" t="str">
        <f aca="true">IF($H138="","",$H138-TODAY())</f>
        <v/>
      </c>
      <c r="J138" s="21" t="str">
        <f aca="false">IF($A138="","",IF($H138="","-",IF($I138&lt;0,"기한초과",IF($I138&lt;=사용안내!$C$16,"임박","정상"))))</f>
        <v/>
      </c>
    </row>
    <row r="139" customFormat="false" ht="15" hidden="false" customHeight="true" outlineLevel="0" collapsed="false">
      <c r="A139" s="20" t="str">
        <f aca="false">IF(OR(직원목록!$A14="",교육과정!$A4="",직원목록!$F14="퇴사"),"",직원목록!$A14)</f>
        <v/>
      </c>
      <c r="B139" s="20" t="str">
        <f aca="false">IF($A139="","",직원목록!$B14)</f>
        <v/>
      </c>
      <c r="C139" s="20" t="str">
        <f aca="false">IF($A139="","",직원목록!$C14)</f>
        <v/>
      </c>
      <c r="D139" s="21" t="str">
        <f aca="false">IF($A139="","",교육과정!$A4)</f>
        <v/>
      </c>
      <c r="E139" s="20" t="str">
        <f aca="false">IF($A139="","",교육과정!$B4)</f>
        <v/>
      </c>
      <c r="F139" s="21" t="str">
        <f aca="false">IF($A139="","",교육과정!$C4)</f>
        <v/>
      </c>
      <c r="G139" s="23" t="str">
        <f aca="false">IF($A139="","",IF(COUNTIFS(이수내역!$B$3:$B$2002,$A139,이수내역!$D$3:$D$2002,$D139)=0,"",SUMPRODUCT(MAX((이수내역!$B$3:$B$2002=$A139)*(이수내역!$D$3:$D$2002=$D139)*이수내역!$A$3:$A$2002))))</f>
        <v/>
      </c>
      <c r="H139" s="23" t="str">
        <f aca="false">IF($A139="","",IF($F139="","",IF($G139="",EDATE(직원목록!$E14,$F139),EDATE($G139,$F139))))</f>
        <v/>
      </c>
      <c r="I139" s="21" t="str">
        <f aca="true">IF($H139="","",$H139-TODAY())</f>
        <v/>
      </c>
      <c r="J139" s="21" t="str">
        <f aca="false">IF($A139="","",IF($H139="","-",IF($I139&lt;0,"기한초과",IF($I139&lt;=사용안내!$C$16,"임박","정상"))))</f>
        <v/>
      </c>
    </row>
    <row r="140" customFormat="false" ht="15" hidden="false" customHeight="true" outlineLevel="0" collapsed="false">
      <c r="A140" s="20" t="str">
        <f aca="false">IF(OR(직원목록!$A14="",교육과정!$A5="",직원목록!$F14="퇴사"),"",직원목록!$A14)</f>
        <v/>
      </c>
      <c r="B140" s="20" t="str">
        <f aca="false">IF($A140="","",직원목록!$B14)</f>
        <v/>
      </c>
      <c r="C140" s="20" t="str">
        <f aca="false">IF($A140="","",직원목록!$C14)</f>
        <v/>
      </c>
      <c r="D140" s="21" t="str">
        <f aca="false">IF($A140="","",교육과정!$A5)</f>
        <v/>
      </c>
      <c r="E140" s="20" t="str">
        <f aca="false">IF($A140="","",교육과정!$B5)</f>
        <v/>
      </c>
      <c r="F140" s="21" t="str">
        <f aca="false">IF($A140="","",교육과정!$C5)</f>
        <v/>
      </c>
      <c r="G140" s="23" t="str">
        <f aca="false">IF($A140="","",IF(COUNTIFS(이수내역!$B$3:$B$2002,$A140,이수내역!$D$3:$D$2002,$D140)=0,"",SUMPRODUCT(MAX((이수내역!$B$3:$B$2002=$A140)*(이수내역!$D$3:$D$2002=$D140)*이수내역!$A$3:$A$2002))))</f>
        <v/>
      </c>
      <c r="H140" s="23" t="str">
        <f aca="false">IF($A140="","",IF($F140="","",IF($G140="",EDATE(직원목록!$E14,$F140),EDATE($G140,$F140))))</f>
        <v/>
      </c>
      <c r="I140" s="21" t="str">
        <f aca="true">IF($H140="","",$H140-TODAY())</f>
        <v/>
      </c>
      <c r="J140" s="21" t="str">
        <f aca="false">IF($A140="","",IF($H140="","-",IF($I140&lt;0,"기한초과",IF($I140&lt;=사용안내!$C$16,"임박","정상"))))</f>
        <v/>
      </c>
    </row>
    <row r="141" customFormat="false" ht="15" hidden="false" customHeight="true" outlineLevel="0" collapsed="false">
      <c r="A141" s="20" t="str">
        <f aca="false">IF(OR(직원목록!$A14="",교육과정!$A6="",직원목록!$F14="퇴사"),"",직원목록!$A14)</f>
        <v/>
      </c>
      <c r="B141" s="20" t="str">
        <f aca="false">IF($A141="","",직원목록!$B14)</f>
        <v/>
      </c>
      <c r="C141" s="20" t="str">
        <f aca="false">IF($A141="","",직원목록!$C14)</f>
        <v/>
      </c>
      <c r="D141" s="21" t="str">
        <f aca="false">IF($A141="","",교육과정!$A6)</f>
        <v/>
      </c>
      <c r="E141" s="20" t="str">
        <f aca="false">IF($A141="","",교육과정!$B6)</f>
        <v/>
      </c>
      <c r="F141" s="21" t="str">
        <f aca="false">IF($A141="","",교육과정!$C6)</f>
        <v/>
      </c>
      <c r="G141" s="23" t="str">
        <f aca="false">IF($A141="","",IF(COUNTIFS(이수내역!$B$3:$B$2002,$A141,이수내역!$D$3:$D$2002,$D141)=0,"",SUMPRODUCT(MAX((이수내역!$B$3:$B$2002=$A141)*(이수내역!$D$3:$D$2002=$D141)*이수내역!$A$3:$A$2002))))</f>
        <v/>
      </c>
      <c r="H141" s="23" t="str">
        <f aca="false">IF($A141="","",IF($F141="","",IF($G141="",EDATE(직원목록!$E14,$F141),EDATE($G141,$F141))))</f>
        <v/>
      </c>
      <c r="I141" s="21" t="str">
        <f aca="true">IF($H141="","",$H141-TODAY())</f>
        <v/>
      </c>
      <c r="J141" s="21" t="str">
        <f aca="false">IF($A141="","",IF($H141="","-",IF($I141&lt;0,"기한초과",IF($I141&lt;=사용안내!$C$16,"임박","정상"))))</f>
        <v/>
      </c>
    </row>
    <row r="142" customFormat="false" ht="15" hidden="false" customHeight="true" outlineLevel="0" collapsed="false">
      <c r="A142" s="20" t="str">
        <f aca="false">IF(OR(직원목록!$A14="",교육과정!$A7="",직원목록!$F14="퇴사"),"",직원목록!$A14)</f>
        <v/>
      </c>
      <c r="B142" s="20" t="str">
        <f aca="false">IF($A142="","",직원목록!$B14)</f>
        <v/>
      </c>
      <c r="C142" s="20" t="str">
        <f aca="false">IF($A142="","",직원목록!$C14)</f>
        <v/>
      </c>
      <c r="D142" s="21" t="str">
        <f aca="false">IF($A142="","",교육과정!$A7)</f>
        <v/>
      </c>
      <c r="E142" s="20" t="str">
        <f aca="false">IF($A142="","",교육과정!$B7)</f>
        <v/>
      </c>
      <c r="F142" s="21" t="str">
        <f aca="false">IF($A142="","",교육과정!$C7)</f>
        <v/>
      </c>
      <c r="G142" s="23" t="str">
        <f aca="false">IF($A142="","",IF(COUNTIFS(이수내역!$B$3:$B$2002,$A142,이수내역!$D$3:$D$2002,$D142)=0,"",SUMPRODUCT(MAX((이수내역!$B$3:$B$2002=$A142)*(이수내역!$D$3:$D$2002=$D142)*이수내역!$A$3:$A$2002))))</f>
        <v/>
      </c>
      <c r="H142" s="23" t="str">
        <f aca="false">IF($A142="","",IF($F142="","",IF($G142="",EDATE(직원목록!$E14,$F142),EDATE($G142,$F142))))</f>
        <v/>
      </c>
      <c r="I142" s="21" t="str">
        <f aca="true">IF($H142="","",$H142-TODAY())</f>
        <v/>
      </c>
      <c r="J142" s="21" t="str">
        <f aca="false">IF($A142="","",IF($H142="","-",IF($I142&lt;0,"기한초과",IF($I142&lt;=사용안내!$C$16,"임박","정상"))))</f>
        <v/>
      </c>
    </row>
    <row r="143" customFormat="false" ht="15" hidden="false" customHeight="true" outlineLevel="0" collapsed="false">
      <c r="A143" s="20" t="str">
        <f aca="false">IF(OR(직원목록!$A14="",교육과정!$A8="",직원목록!$F14="퇴사"),"",직원목록!$A14)</f>
        <v/>
      </c>
      <c r="B143" s="20" t="str">
        <f aca="false">IF($A143="","",직원목록!$B14)</f>
        <v/>
      </c>
      <c r="C143" s="20" t="str">
        <f aca="false">IF($A143="","",직원목록!$C14)</f>
        <v/>
      </c>
      <c r="D143" s="21" t="str">
        <f aca="false">IF($A143="","",교육과정!$A8)</f>
        <v/>
      </c>
      <c r="E143" s="20" t="str">
        <f aca="false">IF($A143="","",교육과정!$B8)</f>
        <v/>
      </c>
      <c r="F143" s="21" t="str">
        <f aca="false">IF($A143="","",교육과정!$C8)</f>
        <v/>
      </c>
      <c r="G143" s="23" t="str">
        <f aca="false">IF($A143="","",IF(COUNTIFS(이수내역!$B$3:$B$2002,$A143,이수내역!$D$3:$D$2002,$D143)=0,"",SUMPRODUCT(MAX((이수내역!$B$3:$B$2002=$A143)*(이수내역!$D$3:$D$2002=$D143)*이수내역!$A$3:$A$2002))))</f>
        <v/>
      </c>
      <c r="H143" s="23" t="str">
        <f aca="false">IF($A143="","",IF($F143="","",IF($G143="",EDATE(직원목록!$E14,$F143),EDATE($G143,$F143))))</f>
        <v/>
      </c>
      <c r="I143" s="21" t="str">
        <f aca="true">IF($H143="","",$H143-TODAY())</f>
        <v/>
      </c>
      <c r="J143" s="21" t="str">
        <f aca="false">IF($A143="","",IF($H143="","-",IF($I143&lt;0,"기한초과",IF($I143&lt;=사용안내!$C$16,"임박","정상"))))</f>
        <v/>
      </c>
    </row>
    <row r="144" customFormat="false" ht="15" hidden="false" customHeight="true" outlineLevel="0" collapsed="false">
      <c r="A144" s="20" t="str">
        <f aca="false">IF(OR(직원목록!$A14="",교육과정!$A9="",직원목록!$F14="퇴사"),"",직원목록!$A14)</f>
        <v/>
      </c>
      <c r="B144" s="20" t="str">
        <f aca="false">IF($A144="","",직원목록!$B14)</f>
        <v/>
      </c>
      <c r="C144" s="20" t="str">
        <f aca="false">IF($A144="","",직원목록!$C14)</f>
        <v/>
      </c>
      <c r="D144" s="21" t="str">
        <f aca="false">IF($A144="","",교육과정!$A9)</f>
        <v/>
      </c>
      <c r="E144" s="20" t="str">
        <f aca="false">IF($A144="","",교육과정!$B9)</f>
        <v/>
      </c>
      <c r="F144" s="21" t="str">
        <f aca="false">IF($A144="","",교육과정!$C9)</f>
        <v/>
      </c>
      <c r="G144" s="23" t="str">
        <f aca="false">IF($A144="","",IF(COUNTIFS(이수내역!$B$3:$B$2002,$A144,이수내역!$D$3:$D$2002,$D144)=0,"",SUMPRODUCT(MAX((이수내역!$B$3:$B$2002=$A144)*(이수내역!$D$3:$D$2002=$D144)*이수내역!$A$3:$A$2002))))</f>
        <v/>
      </c>
      <c r="H144" s="23" t="str">
        <f aca="false">IF($A144="","",IF($F144="","",IF($G144="",EDATE(직원목록!$E14,$F144),EDATE($G144,$F144))))</f>
        <v/>
      </c>
      <c r="I144" s="21" t="str">
        <f aca="true">IF($H144="","",$H144-TODAY())</f>
        <v/>
      </c>
      <c r="J144" s="21" t="str">
        <f aca="false">IF($A144="","",IF($H144="","-",IF($I144&lt;0,"기한초과",IF($I144&lt;=사용안내!$C$16,"임박","정상"))))</f>
        <v/>
      </c>
    </row>
    <row r="145" customFormat="false" ht="15" hidden="false" customHeight="true" outlineLevel="0" collapsed="false">
      <c r="A145" s="20" t="str">
        <f aca="false">IF(OR(직원목록!$A14="",교육과정!$A10="",직원목록!$F14="퇴사"),"",직원목록!$A14)</f>
        <v/>
      </c>
      <c r="B145" s="20" t="str">
        <f aca="false">IF($A145="","",직원목록!$B14)</f>
        <v/>
      </c>
      <c r="C145" s="20" t="str">
        <f aca="false">IF($A145="","",직원목록!$C14)</f>
        <v/>
      </c>
      <c r="D145" s="21" t="str">
        <f aca="false">IF($A145="","",교육과정!$A10)</f>
        <v/>
      </c>
      <c r="E145" s="20" t="str">
        <f aca="false">IF($A145="","",교육과정!$B10)</f>
        <v/>
      </c>
      <c r="F145" s="21" t="str">
        <f aca="false">IF($A145="","",교육과정!$C10)</f>
        <v/>
      </c>
      <c r="G145" s="23" t="str">
        <f aca="false">IF($A145="","",IF(COUNTIFS(이수내역!$B$3:$B$2002,$A145,이수내역!$D$3:$D$2002,$D145)=0,"",SUMPRODUCT(MAX((이수내역!$B$3:$B$2002=$A145)*(이수내역!$D$3:$D$2002=$D145)*이수내역!$A$3:$A$2002))))</f>
        <v/>
      </c>
      <c r="H145" s="23" t="str">
        <f aca="false">IF($A145="","",IF($F145="","",IF($G145="",EDATE(직원목록!$E14,$F145),EDATE($G145,$F145))))</f>
        <v/>
      </c>
      <c r="I145" s="21" t="str">
        <f aca="true">IF($H145="","",$H145-TODAY())</f>
        <v/>
      </c>
      <c r="J145" s="21" t="str">
        <f aca="false">IF($A145="","",IF($H145="","-",IF($I145&lt;0,"기한초과",IF($I145&lt;=사용안내!$C$16,"임박","정상"))))</f>
        <v/>
      </c>
    </row>
    <row r="146" customFormat="false" ht="15" hidden="false" customHeight="true" outlineLevel="0" collapsed="false">
      <c r="A146" s="20" t="str">
        <f aca="false">IF(OR(직원목록!$A14="",교육과정!$A11="",직원목록!$F14="퇴사"),"",직원목록!$A14)</f>
        <v/>
      </c>
      <c r="B146" s="20" t="str">
        <f aca="false">IF($A146="","",직원목록!$B14)</f>
        <v/>
      </c>
      <c r="C146" s="20" t="str">
        <f aca="false">IF($A146="","",직원목록!$C14)</f>
        <v/>
      </c>
      <c r="D146" s="21" t="str">
        <f aca="false">IF($A146="","",교육과정!$A11)</f>
        <v/>
      </c>
      <c r="E146" s="20" t="str">
        <f aca="false">IF($A146="","",교육과정!$B11)</f>
        <v/>
      </c>
      <c r="F146" s="21" t="str">
        <f aca="false">IF($A146="","",교육과정!$C11)</f>
        <v/>
      </c>
      <c r="G146" s="23" t="str">
        <f aca="false">IF($A146="","",IF(COUNTIFS(이수내역!$B$3:$B$2002,$A146,이수내역!$D$3:$D$2002,$D146)=0,"",SUMPRODUCT(MAX((이수내역!$B$3:$B$2002=$A146)*(이수내역!$D$3:$D$2002=$D146)*이수내역!$A$3:$A$2002))))</f>
        <v/>
      </c>
      <c r="H146" s="23" t="str">
        <f aca="false">IF($A146="","",IF($F146="","",IF($G146="",EDATE(직원목록!$E14,$F146),EDATE($G146,$F146))))</f>
        <v/>
      </c>
      <c r="I146" s="21" t="str">
        <f aca="true">IF($H146="","",$H146-TODAY())</f>
        <v/>
      </c>
      <c r="J146" s="21" t="str">
        <f aca="false">IF($A146="","",IF($H146="","-",IF($I146&lt;0,"기한초과",IF($I146&lt;=사용안내!$C$16,"임박","정상"))))</f>
        <v/>
      </c>
    </row>
    <row r="147" customFormat="false" ht="15" hidden="false" customHeight="true" outlineLevel="0" collapsed="false">
      <c r="A147" s="20" t="str">
        <f aca="false">IF(OR(직원목록!$A14="",교육과정!$A12="",직원목록!$F14="퇴사"),"",직원목록!$A14)</f>
        <v/>
      </c>
      <c r="B147" s="20" t="str">
        <f aca="false">IF($A147="","",직원목록!$B14)</f>
        <v/>
      </c>
      <c r="C147" s="20" t="str">
        <f aca="false">IF($A147="","",직원목록!$C14)</f>
        <v/>
      </c>
      <c r="D147" s="21" t="str">
        <f aca="false">IF($A147="","",교육과정!$A12)</f>
        <v/>
      </c>
      <c r="E147" s="20" t="str">
        <f aca="false">IF($A147="","",교육과정!$B12)</f>
        <v/>
      </c>
      <c r="F147" s="21" t="str">
        <f aca="false">IF($A147="","",교육과정!$C12)</f>
        <v/>
      </c>
      <c r="G147" s="23" t="str">
        <f aca="false">IF($A147="","",IF(COUNTIFS(이수내역!$B$3:$B$2002,$A147,이수내역!$D$3:$D$2002,$D147)=0,"",SUMPRODUCT(MAX((이수내역!$B$3:$B$2002=$A147)*(이수내역!$D$3:$D$2002=$D147)*이수내역!$A$3:$A$2002))))</f>
        <v/>
      </c>
      <c r="H147" s="23" t="str">
        <f aca="false">IF($A147="","",IF($F147="","",IF($G147="",EDATE(직원목록!$E14,$F147),EDATE($G147,$F147))))</f>
        <v/>
      </c>
      <c r="I147" s="21" t="str">
        <f aca="true">IF($H147="","",$H147-TODAY())</f>
        <v/>
      </c>
      <c r="J147" s="21" t="str">
        <f aca="false">IF($A147="","",IF($H147="","-",IF($I147&lt;0,"기한초과",IF($I147&lt;=사용안내!$C$16,"임박","정상"))))</f>
        <v/>
      </c>
    </row>
    <row r="148" customFormat="false" ht="15" hidden="false" customHeight="true" outlineLevel="0" collapsed="false">
      <c r="A148" s="20" t="str">
        <f aca="false">IF(OR(직원목록!$A14="",교육과정!$A13="",직원목록!$F14="퇴사"),"",직원목록!$A14)</f>
        <v/>
      </c>
      <c r="B148" s="20" t="str">
        <f aca="false">IF($A148="","",직원목록!$B14)</f>
        <v/>
      </c>
      <c r="C148" s="20" t="str">
        <f aca="false">IF($A148="","",직원목록!$C14)</f>
        <v/>
      </c>
      <c r="D148" s="21" t="str">
        <f aca="false">IF($A148="","",교육과정!$A13)</f>
        <v/>
      </c>
      <c r="E148" s="20" t="str">
        <f aca="false">IF($A148="","",교육과정!$B13)</f>
        <v/>
      </c>
      <c r="F148" s="21" t="str">
        <f aca="false">IF($A148="","",교육과정!$C13)</f>
        <v/>
      </c>
      <c r="G148" s="23" t="str">
        <f aca="false">IF($A148="","",IF(COUNTIFS(이수내역!$B$3:$B$2002,$A148,이수내역!$D$3:$D$2002,$D148)=0,"",SUMPRODUCT(MAX((이수내역!$B$3:$B$2002=$A148)*(이수내역!$D$3:$D$2002=$D148)*이수내역!$A$3:$A$2002))))</f>
        <v/>
      </c>
      <c r="H148" s="23" t="str">
        <f aca="false">IF($A148="","",IF($F148="","",IF($G148="",EDATE(직원목록!$E14,$F148),EDATE($G148,$F148))))</f>
        <v/>
      </c>
      <c r="I148" s="21" t="str">
        <f aca="true">IF($H148="","",$H148-TODAY())</f>
        <v/>
      </c>
      <c r="J148" s="21" t="str">
        <f aca="false">IF($A148="","",IF($H148="","-",IF($I148&lt;0,"기한초과",IF($I148&lt;=사용안내!$C$16,"임박","정상"))))</f>
        <v/>
      </c>
    </row>
    <row r="149" customFormat="false" ht="15" hidden="false" customHeight="true" outlineLevel="0" collapsed="false">
      <c r="A149" s="20" t="str">
        <f aca="false">IF(OR(직원목록!$A14="",교육과정!$A14="",직원목록!$F14="퇴사"),"",직원목록!$A14)</f>
        <v/>
      </c>
      <c r="B149" s="20" t="str">
        <f aca="false">IF($A149="","",직원목록!$B14)</f>
        <v/>
      </c>
      <c r="C149" s="20" t="str">
        <f aca="false">IF($A149="","",직원목록!$C14)</f>
        <v/>
      </c>
      <c r="D149" s="21" t="str">
        <f aca="false">IF($A149="","",교육과정!$A14)</f>
        <v/>
      </c>
      <c r="E149" s="20" t="str">
        <f aca="false">IF($A149="","",교육과정!$B14)</f>
        <v/>
      </c>
      <c r="F149" s="21" t="str">
        <f aca="false">IF($A149="","",교육과정!$C14)</f>
        <v/>
      </c>
      <c r="G149" s="23" t="str">
        <f aca="false">IF($A149="","",IF(COUNTIFS(이수내역!$B$3:$B$2002,$A149,이수내역!$D$3:$D$2002,$D149)=0,"",SUMPRODUCT(MAX((이수내역!$B$3:$B$2002=$A149)*(이수내역!$D$3:$D$2002=$D149)*이수내역!$A$3:$A$2002))))</f>
        <v/>
      </c>
      <c r="H149" s="23" t="str">
        <f aca="false">IF($A149="","",IF($F149="","",IF($G149="",EDATE(직원목록!$E14,$F149),EDATE($G149,$F149))))</f>
        <v/>
      </c>
      <c r="I149" s="21" t="str">
        <f aca="true">IF($H149="","",$H149-TODAY())</f>
        <v/>
      </c>
      <c r="J149" s="21" t="str">
        <f aca="false">IF($A149="","",IF($H149="","-",IF($I149&lt;0,"기한초과",IF($I149&lt;=사용안내!$C$16,"임박","정상"))))</f>
        <v/>
      </c>
    </row>
    <row r="150" customFormat="false" ht="15" hidden="false" customHeight="true" outlineLevel="0" collapsed="false">
      <c r="A150" s="20" t="str">
        <f aca="false">IF(OR(직원목록!$A15="",교육과정!$A3="",직원목록!$F15="퇴사"),"",직원목록!$A15)</f>
        <v/>
      </c>
      <c r="B150" s="20" t="str">
        <f aca="false">IF($A150="","",직원목록!$B15)</f>
        <v/>
      </c>
      <c r="C150" s="20" t="str">
        <f aca="false">IF($A150="","",직원목록!$C15)</f>
        <v/>
      </c>
      <c r="D150" s="21" t="str">
        <f aca="false">IF($A150="","",교육과정!$A3)</f>
        <v/>
      </c>
      <c r="E150" s="20" t="str">
        <f aca="false">IF($A150="","",교육과정!$B3)</f>
        <v/>
      </c>
      <c r="F150" s="21" t="str">
        <f aca="false">IF($A150="","",교육과정!$C3)</f>
        <v/>
      </c>
      <c r="G150" s="23" t="str">
        <f aca="false">IF($A150="","",IF(COUNTIFS(이수내역!$B$3:$B$2002,$A150,이수내역!$D$3:$D$2002,$D150)=0,"",SUMPRODUCT(MAX((이수내역!$B$3:$B$2002=$A150)*(이수내역!$D$3:$D$2002=$D150)*이수내역!$A$3:$A$2002))))</f>
        <v/>
      </c>
      <c r="H150" s="23" t="str">
        <f aca="false">IF($A150="","",IF($F150="","",IF($G150="",EDATE(직원목록!$E15,$F150),EDATE($G150,$F150))))</f>
        <v/>
      </c>
      <c r="I150" s="21" t="str">
        <f aca="true">IF($H150="","",$H150-TODAY())</f>
        <v/>
      </c>
      <c r="J150" s="21" t="str">
        <f aca="false">IF($A150="","",IF($H150="","-",IF($I150&lt;0,"기한초과",IF($I150&lt;=사용안내!$C$16,"임박","정상"))))</f>
        <v/>
      </c>
    </row>
    <row r="151" customFormat="false" ht="15" hidden="false" customHeight="true" outlineLevel="0" collapsed="false">
      <c r="A151" s="20" t="str">
        <f aca="false">IF(OR(직원목록!$A15="",교육과정!$A4="",직원목록!$F15="퇴사"),"",직원목록!$A15)</f>
        <v/>
      </c>
      <c r="B151" s="20" t="str">
        <f aca="false">IF($A151="","",직원목록!$B15)</f>
        <v/>
      </c>
      <c r="C151" s="20" t="str">
        <f aca="false">IF($A151="","",직원목록!$C15)</f>
        <v/>
      </c>
      <c r="D151" s="21" t="str">
        <f aca="false">IF($A151="","",교육과정!$A4)</f>
        <v/>
      </c>
      <c r="E151" s="20" t="str">
        <f aca="false">IF($A151="","",교육과정!$B4)</f>
        <v/>
      </c>
      <c r="F151" s="21" t="str">
        <f aca="false">IF($A151="","",교육과정!$C4)</f>
        <v/>
      </c>
      <c r="G151" s="23" t="str">
        <f aca="false">IF($A151="","",IF(COUNTIFS(이수내역!$B$3:$B$2002,$A151,이수내역!$D$3:$D$2002,$D151)=0,"",SUMPRODUCT(MAX((이수내역!$B$3:$B$2002=$A151)*(이수내역!$D$3:$D$2002=$D151)*이수내역!$A$3:$A$2002))))</f>
        <v/>
      </c>
      <c r="H151" s="23" t="str">
        <f aca="false">IF($A151="","",IF($F151="","",IF($G151="",EDATE(직원목록!$E15,$F151),EDATE($G151,$F151))))</f>
        <v/>
      </c>
      <c r="I151" s="21" t="str">
        <f aca="true">IF($H151="","",$H151-TODAY())</f>
        <v/>
      </c>
      <c r="J151" s="21" t="str">
        <f aca="false">IF($A151="","",IF($H151="","-",IF($I151&lt;0,"기한초과",IF($I151&lt;=사용안내!$C$16,"임박","정상"))))</f>
        <v/>
      </c>
    </row>
    <row r="152" customFormat="false" ht="15" hidden="false" customHeight="true" outlineLevel="0" collapsed="false">
      <c r="A152" s="20" t="str">
        <f aca="false">IF(OR(직원목록!$A15="",교육과정!$A5="",직원목록!$F15="퇴사"),"",직원목록!$A15)</f>
        <v/>
      </c>
      <c r="B152" s="20" t="str">
        <f aca="false">IF($A152="","",직원목록!$B15)</f>
        <v/>
      </c>
      <c r="C152" s="20" t="str">
        <f aca="false">IF($A152="","",직원목록!$C15)</f>
        <v/>
      </c>
      <c r="D152" s="21" t="str">
        <f aca="false">IF($A152="","",교육과정!$A5)</f>
        <v/>
      </c>
      <c r="E152" s="20" t="str">
        <f aca="false">IF($A152="","",교육과정!$B5)</f>
        <v/>
      </c>
      <c r="F152" s="21" t="str">
        <f aca="false">IF($A152="","",교육과정!$C5)</f>
        <v/>
      </c>
      <c r="G152" s="23" t="str">
        <f aca="false">IF($A152="","",IF(COUNTIFS(이수내역!$B$3:$B$2002,$A152,이수내역!$D$3:$D$2002,$D152)=0,"",SUMPRODUCT(MAX((이수내역!$B$3:$B$2002=$A152)*(이수내역!$D$3:$D$2002=$D152)*이수내역!$A$3:$A$2002))))</f>
        <v/>
      </c>
      <c r="H152" s="23" t="str">
        <f aca="false">IF($A152="","",IF($F152="","",IF($G152="",EDATE(직원목록!$E15,$F152),EDATE($G152,$F152))))</f>
        <v/>
      </c>
      <c r="I152" s="21" t="str">
        <f aca="true">IF($H152="","",$H152-TODAY())</f>
        <v/>
      </c>
      <c r="J152" s="21" t="str">
        <f aca="false">IF($A152="","",IF($H152="","-",IF($I152&lt;0,"기한초과",IF($I152&lt;=사용안내!$C$16,"임박","정상"))))</f>
        <v/>
      </c>
    </row>
    <row r="153" customFormat="false" ht="15" hidden="false" customHeight="true" outlineLevel="0" collapsed="false">
      <c r="A153" s="20" t="str">
        <f aca="false">IF(OR(직원목록!$A15="",교육과정!$A6="",직원목록!$F15="퇴사"),"",직원목록!$A15)</f>
        <v/>
      </c>
      <c r="B153" s="20" t="str">
        <f aca="false">IF($A153="","",직원목록!$B15)</f>
        <v/>
      </c>
      <c r="C153" s="20" t="str">
        <f aca="false">IF($A153="","",직원목록!$C15)</f>
        <v/>
      </c>
      <c r="D153" s="21" t="str">
        <f aca="false">IF($A153="","",교육과정!$A6)</f>
        <v/>
      </c>
      <c r="E153" s="20" t="str">
        <f aca="false">IF($A153="","",교육과정!$B6)</f>
        <v/>
      </c>
      <c r="F153" s="21" t="str">
        <f aca="false">IF($A153="","",교육과정!$C6)</f>
        <v/>
      </c>
      <c r="G153" s="23" t="str">
        <f aca="false">IF($A153="","",IF(COUNTIFS(이수내역!$B$3:$B$2002,$A153,이수내역!$D$3:$D$2002,$D153)=0,"",SUMPRODUCT(MAX((이수내역!$B$3:$B$2002=$A153)*(이수내역!$D$3:$D$2002=$D153)*이수내역!$A$3:$A$2002))))</f>
        <v/>
      </c>
      <c r="H153" s="23" t="str">
        <f aca="false">IF($A153="","",IF($F153="","",IF($G153="",EDATE(직원목록!$E15,$F153),EDATE($G153,$F153))))</f>
        <v/>
      </c>
      <c r="I153" s="21" t="str">
        <f aca="true">IF($H153="","",$H153-TODAY())</f>
        <v/>
      </c>
      <c r="J153" s="21" t="str">
        <f aca="false">IF($A153="","",IF($H153="","-",IF($I153&lt;0,"기한초과",IF($I153&lt;=사용안내!$C$16,"임박","정상"))))</f>
        <v/>
      </c>
    </row>
    <row r="154" customFormat="false" ht="15" hidden="false" customHeight="true" outlineLevel="0" collapsed="false">
      <c r="A154" s="20" t="str">
        <f aca="false">IF(OR(직원목록!$A15="",교육과정!$A7="",직원목록!$F15="퇴사"),"",직원목록!$A15)</f>
        <v/>
      </c>
      <c r="B154" s="20" t="str">
        <f aca="false">IF($A154="","",직원목록!$B15)</f>
        <v/>
      </c>
      <c r="C154" s="20" t="str">
        <f aca="false">IF($A154="","",직원목록!$C15)</f>
        <v/>
      </c>
      <c r="D154" s="21" t="str">
        <f aca="false">IF($A154="","",교육과정!$A7)</f>
        <v/>
      </c>
      <c r="E154" s="20" t="str">
        <f aca="false">IF($A154="","",교육과정!$B7)</f>
        <v/>
      </c>
      <c r="F154" s="21" t="str">
        <f aca="false">IF($A154="","",교육과정!$C7)</f>
        <v/>
      </c>
      <c r="G154" s="23" t="str">
        <f aca="false">IF($A154="","",IF(COUNTIFS(이수내역!$B$3:$B$2002,$A154,이수내역!$D$3:$D$2002,$D154)=0,"",SUMPRODUCT(MAX((이수내역!$B$3:$B$2002=$A154)*(이수내역!$D$3:$D$2002=$D154)*이수내역!$A$3:$A$2002))))</f>
        <v/>
      </c>
      <c r="H154" s="23" t="str">
        <f aca="false">IF($A154="","",IF($F154="","",IF($G154="",EDATE(직원목록!$E15,$F154),EDATE($G154,$F154))))</f>
        <v/>
      </c>
      <c r="I154" s="21" t="str">
        <f aca="true">IF($H154="","",$H154-TODAY())</f>
        <v/>
      </c>
      <c r="J154" s="21" t="str">
        <f aca="false">IF($A154="","",IF($H154="","-",IF($I154&lt;0,"기한초과",IF($I154&lt;=사용안내!$C$16,"임박","정상"))))</f>
        <v/>
      </c>
    </row>
    <row r="155" customFormat="false" ht="15" hidden="false" customHeight="true" outlineLevel="0" collapsed="false">
      <c r="A155" s="20" t="str">
        <f aca="false">IF(OR(직원목록!$A15="",교육과정!$A8="",직원목록!$F15="퇴사"),"",직원목록!$A15)</f>
        <v/>
      </c>
      <c r="B155" s="20" t="str">
        <f aca="false">IF($A155="","",직원목록!$B15)</f>
        <v/>
      </c>
      <c r="C155" s="20" t="str">
        <f aca="false">IF($A155="","",직원목록!$C15)</f>
        <v/>
      </c>
      <c r="D155" s="21" t="str">
        <f aca="false">IF($A155="","",교육과정!$A8)</f>
        <v/>
      </c>
      <c r="E155" s="20" t="str">
        <f aca="false">IF($A155="","",교육과정!$B8)</f>
        <v/>
      </c>
      <c r="F155" s="21" t="str">
        <f aca="false">IF($A155="","",교육과정!$C8)</f>
        <v/>
      </c>
      <c r="G155" s="23" t="str">
        <f aca="false">IF($A155="","",IF(COUNTIFS(이수내역!$B$3:$B$2002,$A155,이수내역!$D$3:$D$2002,$D155)=0,"",SUMPRODUCT(MAX((이수내역!$B$3:$B$2002=$A155)*(이수내역!$D$3:$D$2002=$D155)*이수내역!$A$3:$A$2002))))</f>
        <v/>
      </c>
      <c r="H155" s="23" t="str">
        <f aca="false">IF($A155="","",IF($F155="","",IF($G155="",EDATE(직원목록!$E15,$F155),EDATE($G155,$F155))))</f>
        <v/>
      </c>
      <c r="I155" s="21" t="str">
        <f aca="true">IF($H155="","",$H155-TODAY())</f>
        <v/>
      </c>
      <c r="J155" s="21" t="str">
        <f aca="false">IF($A155="","",IF($H155="","-",IF($I155&lt;0,"기한초과",IF($I155&lt;=사용안내!$C$16,"임박","정상"))))</f>
        <v/>
      </c>
    </row>
    <row r="156" customFormat="false" ht="15" hidden="false" customHeight="true" outlineLevel="0" collapsed="false">
      <c r="A156" s="20" t="str">
        <f aca="false">IF(OR(직원목록!$A15="",교육과정!$A9="",직원목록!$F15="퇴사"),"",직원목록!$A15)</f>
        <v/>
      </c>
      <c r="B156" s="20" t="str">
        <f aca="false">IF($A156="","",직원목록!$B15)</f>
        <v/>
      </c>
      <c r="C156" s="20" t="str">
        <f aca="false">IF($A156="","",직원목록!$C15)</f>
        <v/>
      </c>
      <c r="D156" s="21" t="str">
        <f aca="false">IF($A156="","",교육과정!$A9)</f>
        <v/>
      </c>
      <c r="E156" s="20" t="str">
        <f aca="false">IF($A156="","",교육과정!$B9)</f>
        <v/>
      </c>
      <c r="F156" s="21" t="str">
        <f aca="false">IF($A156="","",교육과정!$C9)</f>
        <v/>
      </c>
      <c r="G156" s="23" t="str">
        <f aca="false">IF($A156="","",IF(COUNTIFS(이수내역!$B$3:$B$2002,$A156,이수내역!$D$3:$D$2002,$D156)=0,"",SUMPRODUCT(MAX((이수내역!$B$3:$B$2002=$A156)*(이수내역!$D$3:$D$2002=$D156)*이수내역!$A$3:$A$2002))))</f>
        <v/>
      </c>
      <c r="H156" s="23" t="str">
        <f aca="false">IF($A156="","",IF($F156="","",IF($G156="",EDATE(직원목록!$E15,$F156),EDATE($G156,$F156))))</f>
        <v/>
      </c>
      <c r="I156" s="21" t="str">
        <f aca="true">IF($H156="","",$H156-TODAY())</f>
        <v/>
      </c>
      <c r="J156" s="21" t="str">
        <f aca="false">IF($A156="","",IF($H156="","-",IF($I156&lt;0,"기한초과",IF($I156&lt;=사용안내!$C$16,"임박","정상"))))</f>
        <v/>
      </c>
    </row>
    <row r="157" customFormat="false" ht="15" hidden="false" customHeight="true" outlineLevel="0" collapsed="false">
      <c r="A157" s="20" t="str">
        <f aca="false">IF(OR(직원목록!$A15="",교육과정!$A10="",직원목록!$F15="퇴사"),"",직원목록!$A15)</f>
        <v/>
      </c>
      <c r="B157" s="20" t="str">
        <f aca="false">IF($A157="","",직원목록!$B15)</f>
        <v/>
      </c>
      <c r="C157" s="20" t="str">
        <f aca="false">IF($A157="","",직원목록!$C15)</f>
        <v/>
      </c>
      <c r="D157" s="21" t="str">
        <f aca="false">IF($A157="","",교육과정!$A10)</f>
        <v/>
      </c>
      <c r="E157" s="20" t="str">
        <f aca="false">IF($A157="","",교육과정!$B10)</f>
        <v/>
      </c>
      <c r="F157" s="21" t="str">
        <f aca="false">IF($A157="","",교육과정!$C10)</f>
        <v/>
      </c>
      <c r="G157" s="23" t="str">
        <f aca="false">IF($A157="","",IF(COUNTIFS(이수내역!$B$3:$B$2002,$A157,이수내역!$D$3:$D$2002,$D157)=0,"",SUMPRODUCT(MAX((이수내역!$B$3:$B$2002=$A157)*(이수내역!$D$3:$D$2002=$D157)*이수내역!$A$3:$A$2002))))</f>
        <v/>
      </c>
      <c r="H157" s="23" t="str">
        <f aca="false">IF($A157="","",IF($F157="","",IF($G157="",EDATE(직원목록!$E15,$F157),EDATE($G157,$F157))))</f>
        <v/>
      </c>
      <c r="I157" s="21" t="str">
        <f aca="true">IF($H157="","",$H157-TODAY())</f>
        <v/>
      </c>
      <c r="J157" s="21" t="str">
        <f aca="false">IF($A157="","",IF($H157="","-",IF($I157&lt;0,"기한초과",IF($I157&lt;=사용안내!$C$16,"임박","정상"))))</f>
        <v/>
      </c>
    </row>
    <row r="158" customFormat="false" ht="15" hidden="false" customHeight="true" outlineLevel="0" collapsed="false">
      <c r="A158" s="20" t="str">
        <f aca="false">IF(OR(직원목록!$A15="",교육과정!$A11="",직원목록!$F15="퇴사"),"",직원목록!$A15)</f>
        <v/>
      </c>
      <c r="B158" s="20" t="str">
        <f aca="false">IF($A158="","",직원목록!$B15)</f>
        <v/>
      </c>
      <c r="C158" s="20" t="str">
        <f aca="false">IF($A158="","",직원목록!$C15)</f>
        <v/>
      </c>
      <c r="D158" s="21" t="str">
        <f aca="false">IF($A158="","",교육과정!$A11)</f>
        <v/>
      </c>
      <c r="E158" s="20" t="str">
        <f aca="false">IF($A158="","",교육과정!$B11)</f>
        <v/>
      </c>
      <c r="F158" s="21" t="str">
        <f aca="false">IF($A158="","",교육과정!$C11)</f>
        <v/>
      </c>
      <c r="G158" s="23" t="str">
        <f aca="false">IF($A158="","",IF(COUNTIFS(이수내역!$B$3:$B$2002,$A158,이수내역!$D$3:$D$2002,$D158)=0,"",SUMPRODUCT(MAX((이수내역!$B$3:$B$2002=$A158)*(이수내역!$D$3:$D$2002=$D158)*이수내역!$A$3:$A$2002))))</f>
        <v/>
      </c>
      <c r="H158" s="23" t="str">
        <f aca="false">IF($A158="","",IF($F158="","",IF($G158="",EDATE(직원목록!$E15,$F158),EDATE($G158,$F158))))</f>
        <v/>
      </c>
      <c r="I158" s="21" t="str">
        <f aca="true">IF($H158="","",$H158-TODAY())</f>
        <v/>
      </c>
      <c r="J158" s="21" t="str">
        <f aca="false">IF($A158="","",IF($H158="","-",IF($I158&lt;0,"기한초과",IF($I158&lt;=사용안내!$C$16,"임박","정상"))))</f>
        <v/>
      </c>
    </row>
    <row r="159" customFormat="false" ht="15" hidden="false" customHeight="true" outlineLevel="0" collapsed="false">
      <c r="A159" s="20" t="str">
        <f aca="false">IF(OR(직원목록!$A15="",교육과정!$A12="",직원목록!$F15="퇴사"),"",직원목록!$A15)</f>
        <v/>
      </c>
      <c r="B159" s="20" t="str">
        <f aca="false">IF($A159="","",직원목록!$B15)</f>
        <v/>
      </c>
      <c r="C159" s="20" t="str">
        <f aca="false">IF($A159="","",직원목록!$C15)</f>
        <v/>
      </c>
      <c r="D159" s="21" t="str">
        <f aca="false">IF($A159="","",교육과정!$A12)</f>
        <v/>
      </c>
      <c r="E159" s="20" t="str">
        <f aca="false">IF($A159="","",교육과정!$B12)</f>
        <v/>
      </c>
      <c r="F159" s="21" t="str">
        <f aca="false">IF($A159="","",교육과정!$C12)</f>
        <v/>
      </c>
      <c r="G159" s="23" t="str">
        <f aca="false">IF($A159="","",IF(COUNTIFS(이수내역!$B$3:$B$2002,$A159,이수내역!$D$3:$D$2002,$D159)=0,"",SUMPRODUCT(MAX((이수내역!$B$3:$B$2002=$A159)*(이수내역!$D$3:$D$2002=$D159)*이수내역!$A$3:$A$2002))))</f>
        <v/>
      </c>
      <c r="H159" s="23" t="str">
        <f aca="false">IF($A159="","",IF($F159="","",IF($G159="",EDATE(직원목록!$E15,$F159),EDATE($G159,$F159))))</f>
        <v/>
      </c>
      <c r="I159" s="21" t="str">
        <f aca="true">IF($H159="","",$H159-TODAY())</f>
        <v/>
      </c>
      <c r="J159" s="21" t="str">
        <f aca="false">IF($A159="","",IF($H159="","-",IF($I159&lt;0,"기한초과",IF($I159&lt;=사용안내!$C$16,"임박","정상"))))</f>
        <v/>
      </c>
    </row>
    <row r="160" customFormat="false" ht="15" hidden="false" customHeight="true" outlineLevel="0" collapsed="false">
      <c r="A160" s="20" t="str">
        <f aca="false">IF(OR(직원목록!$A15="",교육과정!$A13="",직원목록!$F15="퇴사"),"",직원목록!$A15)</f>
        <v/>
      </c>
      <c r="B160" s="20" t="str">
        <f aca="false">IF($A160="","",직원목록!$B15)</f>
        <v/>
      </c>
      <c r="C160" s="20" t="str">
        <f aca="false">IF($A160="","",직원목록!$C15)</f>
        <v/>
      </c>
      <c r="D160" s="21" t="str">
        <f aca="false">IF($A160="","",교육과정!$A13)</f>
        <v/>
      </c>
      <c r="E160" s="20" t="str">
        <f aca="false">IF($A160="","",교육과정!$B13)</f>
        <v/>
      </c>
      <c r="F160" s="21" t="str">
        <f aca="false">IF($A160="","",교육과정!$C13)</f>
        <v/>
      </c>
      <c r="G160" s="23" t="str">
        <f aca="false">IF($A160="","",IF(COUNTIFS(이수내역!$B$3:$B$2002,$A160,이수내역!$D$3:$D$2002,$D160)=0,"",SUMPRODUCT(MAX((이수내역!$B$3:$B$2002=$A160)*(이수내역!$D$3:$D$2002=$D160)*이수내역!$A$3:$A$2002))))</f>
        <v/>
      </c>
      <c r="H160" s="23" t="str">
        <f aca="false">IF($A160="","",IF($F160="","",IF($G160="",EDATE(직원목록!$E15,$F160),EDATE($G160,$F160))))</f>
        <v/>
      </c>
      <c r="I160" s="21" t="str">
        <f aca="true">IF($H160="","",$H160-TODAY())</f>
        <v/>
      </c>
      <c r="J160" s="21" t="str">
        <f aca="false">IF($A160="","",IF($H160="","-",IF($I160&lt;0,"기한초과",IF($I160&lt;=사용안내!$C$16,"임박","정상"))))</f>
        <v/>
      </c>
    </row>
    <row r="161" customFormat="false" ht="15" hidden="false" customHeight="true" outlineLevel="0" collapsed="false">
      <c r="A161" s="20" t="str">
        <f aca="false">IF(OR(직원목록!$A15="",교육과정!$A14="",직원목록!$F15="퇴사"),"",직원목록!$A15)</f>
        <v/>
      </c>
      <c r="B161" s="20" t="str">
        <f aca="false">IF($A161="","",직원목록!$B15)</f>
        <v/>
      </c>
      <c r="C161" s="20" t="str">
        <f aca="false">IF($A161="","",직원목록!$C15)</f>
        <v/>
      </c>
      <c r="D161" s="21" t="str">
        <f aca="false">IF($A161="","",교육과정!$A14)</f>
        <v/>
      </c>
      <c r="E161" s="20" t="str">
        <f aca="false">IF($A161="","",교육과정!$B14)</f>
        <v/>
      </c>
      <c r="F161" s="21" t="str">
        <f aca="false">IF($A161="","",교육과정!$C14)</f>
        <v/>
      </c>
      <c r="G161" s="23" t="str">
        <f aca="false">IF($A161="","",IF(COUNTIFS(이수내역!$B$3:$B$2002,$A161,이수내역!$D$3:$D$2002,$D161)=0,"",SUMPRODUCT(MAX((이수내역!$B$3:$B$2002=$A161)*(이수내역!$D$3:$D$2002=$D161)*이수내역!$A$3:$A$2002))))</f>
        <v/>
      </c>
      <c r="H161" s="23" t="str">
        <f aca="false">IF($A161="","",IF($F161="","",IF($G161="",EDATE(직원목록!$E15,$F161),EDATE($G161,$F161))))</f>
        <v/>
      </c>
      <c r="I161" s="21" t="str">
        <f aca="true">IF($H161="","",$H161-TODAY())</f>
        <v/>
      </c>
      <c r="J161" s="21" t="str">
        <f aca="false">IF($A161="","",IF($H161="","-",IF($I161&lt;0,"기한초과",IF($I161&lt;=사용안내!$C$16,"임박","정상"))))</f>
        <v/>
      </c>
    </row>
    <row r="162" customFormat="false" ht="15" hidden="false" customHeight="true" outlineLevel="0" collapsed="false">
      <c r="A162" s="20" t="str">
        <f aca="false">IF(OR(직원목록!$A16="",교육과정!$A3="",직원목록!$F16="퇴사"),"",직원목록!$A16)</f>
        <v/>
      </c>
      <c r="B162" s="20" t="str">
        <f aca="false">IF($A162="","",직원목록!$B16)</f>
        <v/>
      </c>
      <c r="C162" s="20" t="str">
        <f aca="false">IF($A162="","",직원목록!$C16)</f>
        <v/>
      </c>
      <c r="D162" s="21" t="str">
        <f aca="false">IF($A162="","",교육과정!$A3)</f>
        <v/>
      </c>
      <c r="E162" s="20" t="str">
        <f aca="false">IF($A162="","",교육과정!$B3)</f>
        <v/>
      </c>
      <c r="F162" s="21" t="str">
        <f aca="false">IF($A162="","",교육과정!$C3)</f>
        <v/>
      </c>
      <c r="G162" s="23" t="str">
        <f aca="false">IF($A162="","",IF(COUNTIFS(이수내역!$B$3:$B$2002,$A162,이수내역!$D$3:$D$2002,$D162)=0,"",SUMPRODUCT(MAX((이수내역!$B$3:$B$2002=$A162)*(이수내역!$D$3:$D$2002=$D162)*이수내역!$A$3:$A$2002))))</f>
        <v/>
      </c>
      <c r="H162" s="23" t="str">
        <f aca="false">IF($A162="","",IF($F162="","",IF($G162="",EDATE(직원목록!$E16,$F162),EDATE($G162,$F162))))</f>
        <v/>
      </c>
      <c r="I162" s="21" t="str">
        <f aca="true">IF($H162="","",$H162-TODAY())</f>
        <v/>
      </c>
      <c r="J162" s="21" t="str">
        <f aca="false">IF($A162="","",IF($H162="","-",IF($I162&lt;0,"기한초과",IF($I162&lt;=사용안내!$C$16,"임박","정상"))))</f>
        <v/>
      </c>
    </row>
    <row r="163" customFormat="false" ht="15" hidden="false" customHeight="true" outlineLevel="0" collapsed="false">
      <c r="A163" s="20" t="str">
        <f aca="false">IF(OR(직원목록!$A16="",교육과정!$A4="",직원목록!$F16="퇴사"),"",직원목록!$A16)</f>
        <v/>
      </c>
      <c r="B163" s="20" t="str">
        <f aca="false">IF($A163="","",직원목록!$B16)</f>
        <v/>
      </c>
      <c r="C163" s="20" t="str">
        <f aca="false">IF($A163="","",직원목록!$C16)</f>
        <v/>
      </c>
      <c r="D163" s="21" t="str">
        <f aca="false">IF($A163="","",교육과정!$A4)</f>
        <v/>
      </c>
      <c r="E163" s="20" t="str">
        <f aca="false">IF($A163="","",교육과정!$B4)</f>
        <v/>
      </c>
      <c r="F163" s="21" t="str">
        <f aca="false">IF($A163="","",교육과정!$C4)</f>
        <v/>
      </c>
      <c r="G163" s="23" t="str">
        <f aca="false">IF($A163="","",IF(COUNTIFS(이수내역!$B$3:$B$2002,$A163,이수내역!$D$3:$D$2002,$D163)=0,"",SUMPRODUCT(MAX((이수내역!$B$3:$B$2002=$A163)*(이수내역!$D$3:$D$2002=$D163)*이수내역!$A$3:$A$2002))))</f>
        <v/>
      </c>
      <c r="H163" s="23" t="str">
        <f aca="false">IF($A163="","",IF($F163="","",IF($G163="",EDATE(직원목록!$E16,$F163),EDATE($G163,$F163))))</f>
        <v/>
      </c>
      <c r="I163" s="21" t="str">
        <f aca="true">IF($H163="","",$H163-TODAY())</f>
        <v/>
      </c>
      <c r="J163" s="21" t="str">
        <f aca="false">IF($A163="","",IF($H163="","-",IF($I163&lt;0,"기한초과",IF($I163&lt;=사용안내!$C$16,"임박","정상"))))</f>
        <v/>
      </c>
    </row>
    <row r="164" customFormat="false" ht="15" hidden="false" customHeight="true" outlineLevel="0" collapsed="false">
      <c r="A164" s="20" t="str">
        <f aca="false">IF(OR(직원목록!$A16="",교육과정!$A5="",직원목록!$F16="퇴사"),"",직원목록!$A16)</f>
        <v/>
      </c>
      <c r="B164" s="20" t="str">
        <f aca="false">IF($A164="","",직원목록!$B16)</f>
        <v/>
      </c>
      <c r="C164" s="20" t="str">
        <f aca="false">IF($A164="","",직원목록!$C16)</f>
        <v/>
      </c>
      <c r="D164" s="21" t="str">
        <f aca="false">IF($A164="","",교육과정!$A5)</f>
        <v/>
      </c>
      <c r="E164" s="20" t="str">
        <f aca="false">IF($A164="","",교육과정!$B5)</f>
        <v/>
      </c>
      <c r="F164" s="21" t="str">
        <f aca="false">IF($A164="","",교육과정!$C5)</f>
        <v/>
      </c>
      <c r="G164" s="23" t="str">
        <f aca="false">IF($A164="","",IF(COUNTIFS(이수내역!$B$3:$B$2002,$A164,이수내역!$D$3:$D$2002,$D164)=0,"",SUMPRODUCT(MAX((이수내역!$B$3:$B$2002=$A164)*(이수내역!$D$3:$D$2002=$D164)*이수내역!$A$3:$A$2002))))</f>
        <v/>
      </c>
      <c r="H164" s="23" t="str">
        <f aca="false">IF($A164="","",IF($F164="","",IF($G164="",EDATE(직원목록!$E16,$F164),EDATE($G164,$F164))))</f>
        <v/>
      </c>
      <c r="I164" s="21" t="str">
        <f aca="true">IF($H164="","",$H164-TODAY())</f>
        <v/>
      </c>
      <c r="J164" s="21" t="str">
        <f aca="false">IF($A164="","",IF($H164="","-",IF($I164&lt;0,"기한초과",IF($I164&lt;=사용안내!$C$16,"임박","정상"))))</f>
        <v/>
      </c>
    </row>
    <row r="165" customFormat="false" ht="15" hidden="false" customHeight="true" outlineLevel="0" collapsed="false">
      <c r="A165" s="20" t="str">
        <f aca="false">IF(OR(직원목록!$A16="",교육과정!$A6="",직원목록!$F16="퇴사"),"",직원목록!$A16)</f>
        <v/>
      </c>
      <c r="B165" s="20" t="str">
        <f aca="false">IF($A165="","",직원목록!$B16)</f>
        <v/>
      </c>
      <c r="C165" s="20" t="str">
        <f aca="false">IF($A165="","",직원목록!$C16)</f>
        <v/>
      </c>
      <c r="D165" s="21" t="str">
        <f aca="false">IF($A165="","",교육과정!$A6)</f>
        <v/>
      </c>
      <c r="E165" s="20" t="str">
        <f aca="false">IF($A165="","",교육과정!$B6)</f>
        <v/>
      </c>
      <c r="F165" s="21" t="str">
        <f aca="false">IF($A165="","",교육과정!$C6)</f>
        <v/>
      </c>
      <c r="G165" s="23" t="str">
        <f aca="false">IF($A165="","",IF(COUNTIFS(이수내역!$B$3:$B$2002,$A165,이수내역!$D$3:$D$2002,$D165)=0,"",SUMPRODUCT(MAX((이수내역!$B$3:$B$2002=$A165)*(이수내역!$D$3:$D$2002=$D165)*이수내역!$A$3:$A$2002))))</f>
        <v/>
      </c>
      <c r="H165" s="23" t="str">
        <f aca="false">IF($A165="","",IF($F165="","",IF($G165="",EDATE(직원목록!$E16,$F165),EDATE($G165,$F165))))</f>
        <v/>
      </c>
      <c r="I165" s="21" t="str">
        <f aca="true">IF($H165="","",$H165-TODAY())</f>
        <v/>
      </c>
      <c r="J165" s="21" t="str">
        <f aca="false">IF($A165="","",IF($H165="","-",IF($I165&lt;0,"기한초과",IF($I165&lt;=사용안내!$C$16,"임박","정상"))))</f>
        <v/>
      </c>
    </row>
    <row r="166" customFormat="false" ht="15" hidden="false" customHeight="true" outlineLevel="0" collapsed="false">
      <c r="A166" s="20" t="str">
        <f aca="false">IF(OR(직원목록!$A16="",교육과정!$A7="",직원목록!$F16="퇴사"),"",직원목록!$A16)</f>
        <v/>
      </c>
      <c r="B166" s="20" t="str">
        <f aca="false">IF($A166="","",직원목록!$B16)</f>
        <v/>
      </c>
      <c r="C166" s="20" t="str">
        <f aca="false">IF($A166="","",직원목록!$C16)</f>
        <v/>
      </c>
      <c r="D166" s="21" t="str">
        <f aca="false">IF($A166="","",교육과정!$A7)</f>
        <v/>
      </c>
      <c r="E166" s="20" t="str">
        <f aca="false">IF($A166="","",교육과정!$B7)</f>
        <v/>
      </c>
      <c r="F166" s="21" t="str">
        <f aca="false">IF($A166="","",교육과정!$C7)</f>
        <v/>
      </c>
      <c r="G166" s="23" t="str">
        <f aca="false">IF($A166="","",IF(COUNTIFS(이수내역!$B$3:$B$2002,$A166,이수내역!$D$3:$D$2002,$D166)=0,"",SUMPRODUCT(MAX((이수내역!$B$3:$B$2002=$A166)*(이수내역!$D$3:$D$2002=$D166)*이수내역!$A$3:$A$2002))))</f>
        <v/>
      </c>
      <c r="H166" s="23" t="str">
        <f aca="false">IF($A166="","",IF($F166="","",IF($G166="",EDATE(직원목록!$E16,$F166),EDATE($G166,$F166))))</f>
        <v/>
      </c>
      <c r="I166" s="21" t="str">
        <f aca="true">IF($H166="","",$H166-TODAY())</f>
        <v/>
      </c>
      <c r="J166" s="21" t="str">
        <f aca="false">IF($A166="","",IF($H166="","-",IF($I166&lt;0,"기한초과",IF($I166&lt;=사용안내!$C$16,"임박","정상"))))</f>
        <v/>
      </c>
    </row>
    <row r="167" customFormat="false" ht="15" hidden="false" customHeight="true" outlineLevel="0" collapsed="false">
      <c r="A167" s="20" t="str">
        <f aca="false">IF(OR(직원목록!$A16="",교육과정!$A8="",직원목록!$F16="퇴사"),"",직원목록!$A16)</f>
        <v/>
      </c>
      <c r="B167" s="20" t="str">
        <f aca="false">IF($A167="","",직원목록!$B16)</f>
        <v/>
      </c>
      <c r="C167" s="20" t="str">
        <f aca="false">IF($A167="","",직원목록!$C16)</f>
        <v/>
      </c>
      <c r="D167" s="21" t="str">
        <f aca="false">IF($A167="","",교육과정!$A8)</f>
        <v/>
      </c>
      <c r="E167" s="20" t="str">
        <f aca="false">IF($A167="","",교육과정!$B8)</f>
        <v/>
      </c>
      <c r="F167" s="21" t="str">
        <f aca="false">IF($A167="","",교육과정!$C8)</f>
        <v/>
      </c>
      <c r="G167" s="23" t="str">
        <f aca="false">IF($A167="","",IF(COUNTIFS(이수내역!$B$3:$B$2002,$A167,이수내역!$D$3:$D$2002,$D167)=0,"",SUMPRODUCT(MAX((이수내역!$B$3:$B$2002=$A167)*(이수내역!$D$3:$D$2002=$D167)*이수내역!$A$3:$A$2002))))</f>
        <v/>
      </c>
      <c r="H167" s="23" t="str">
        <f aca="false">IF($A167="","",IF($F167="","",IF($G167="",EDATE(직원목록!$E16,$F167),EDATE($G167,$F167))))</f>
        <v/>
      </c>
      <c r="I167" s="21" t="str">
        <f aca="true">IF($H167="","",$H167-TODAY())</f>
        <v/>
      </c>
      <c r="J167" s="21" t="str">
        <f aca="false">IF($A167="","",IF($H167="","-",IF($I167&lt;0,"기한초과",IF($I167&lt;=사용안내!$C$16,"임박","정상"))))</f>
        <v/>
      </c>
    </row>
    <row r="168" customFormat="false" ht="15" hidden="false" customHeight="true" outlineLevel="0" collapsed="false">
      <c r="A168" s="20" t="str">
        <f aca="false">IF(OR(직원목록!$A16="",교육과정!$A9="",직원목록!$F16="퇴사"),"",직원목록!$A16)</f>
        <v/>
      </c>
      <c r="B168" s="20" t="str">
        <f aca="false">IF($A168="","",직원목록!$B16)</f>
        <v/>
      </c>
      <c r="C168" s="20" t="str">
        <f aca="false">IF($A168="","",직원목록!$C16)</f>
        <v/>
      </c>
      <c r="D168" s="21" t="str">
        <f aca="false">IF($A168="","",교육과정!$A9)</f>
        <v/>
      </c>
      <c r="E168" s="20" t="str">
        <f aca="false">IF($A168="","",교육과정!$B9)</f>
        <v/>
      </c>
      <c r="F168" s="21" t="str">
        <f aca="false">IF($A168="","",교육과정!$C9)</f>
        <v/>
      </c>
      <c r="G168" s="23" t="str">
        <f aca="false">IF($A168="","",IF(COUNTIFS(이수내역!$B$3:$B$2002,$A168,이수내역!$D$3:$D$2002,$D168)=0,"",SUMPRODUCT(MAX((이수내역!$B$3:$B$2002=$A168)*(이수내역!$D$3:$D$2002=$D168)*이수내역!$A$3:$A$2002))))</f>
        <v/>
      </c>
      <c r="H168" s="23" t="str">
        <f aca="false">IF($A168="","",IF($F168="","",IF($G168="",EDATE(직원목록!$E16,$F168),EDATE($G168,$F168))))</f>
        <v/>
      </c>
      <c r="I168" s="21" t="str">
        <f aca="true">IF($H168="","",$H168-TODAY())</f>
        <v/>
      </c>
      <c r="J168" s="21" t="str">
        <f aca="false">IF($A168="","",IF($H168="","-",IF($I168&lt;0,"기한초과",IF($I168&lt;=사용안내!$C$16,"임박","정상"))))</f>
        <v/>
      </c>
    </row>
    <row r="169" customFormat="false" ht="15" hidden="false" customHeight="true" outlineLevel="0" collapsed="false">
      <c r="A169" s="20" t="str">
        <f aca="false">IF(OR(직원목록!$A16="",교육과정!$A10="",직원목록!$F16="퇴사"),"",직원목록!$A16)</f>
        <v/>
      </c>
      <c r="B169" s="20" t="str">
        <f aca="false">IF($A169="","",직원목록!$B16)</f>
        <v/>
      </c>
      <c r="C169" s="20" t="str">
        <f aca="false">IF($A169="","",직원목록!$C16)</f>
        <v/>
      </c>
      <c r="D169" s="21" t="str">
        <f aca="false">IF($A169="","",교육과정!$A10)</f>
        <v/>
      </c>
      <c r="E169" s="20" t="str">
        <f aca="false">IF($A169="","",교육과정!$B10)</f>
        <v/>
      </c>
      <c r="F169" s="21" t="str">
        <f aca="false">IF($A169="","",교육과정!$C10)</f>
        <v/>
      </c>
      <c r="G169" s="23" t="str">
        <f aca="false">IF($A169="","",IF(COUNTIFS(이수내역!$B$3:$B$2002,$A169,이수내역!$D$3:$D$2002,$D169)=0,"",SUMPRODUCT(MAX((이수내역!$B$3:$B$2002=$A169)*(이수내역!$D$3:$D$2002=$D169)*이수내역!$A$3:$A$2002))))</f>
        <v/>
      </c>
      <c r="H169" s="23" t="str">
        <f aca="false">IF($A169="","",IF($F169="","",IF($G169="",EDATE(직원목록!$E16,$F169),EDATE($G169,$F169))))</f>
        <v/>
      </c>
      <c r="I169" s="21" t="str">
        <f aca="true">IF($H169="","",$H169-TODAY())</f>
        <v/>
      </c>
      <c r="J169" s="21" t="str">
        <f aca="false">IF($A169="","",IF($H169="","-",IF($I169&lt;0,"기한초과",IF($I169&lt;=사용안내!$C$16,"임박","정상"))))</f>
        <v/>
      </c>
    </row>
    <row r="170" customFormat="false" ht="15" hidden="false" customHeight="true" outlineLevel="0" collapsed="false">
      <c r="A170" s="20" t="str">
        <f aca="false">IF(OR(직원목록!$A16="",교육과정!$A11="",직원목록!$F16="퇴사"),"",직원목록!$A16)</f>
        <v/>
      </c>
      <c r="B170" s="20" t="str">
        <f aca="false">IF($A170="","",직원목록!$B16)</f>
        <v/>
      </c>
      <c r="C170" s="20" t="str">
        <f aca="false">IF($A170="","",직원목록!$C16)</f>
        <v/>
      </c>
      <c r="D170" s="21" t="str">
        <f aca="false">IF($A170="","",교육과정!$A11)</f>
        <v/>
      </c>
      <c r="E170" s="20" t="str">
        <f aca="false">IF($A170="","",교육과정!$B11)</f>
        <v/>
      </c>
      <c r="F170" s="21" t="str">
        <f aca="false">IF($A170="","",교육과정!$C11)</f>
        <v/>
      </c>
      <c r="G170" s="23" t="str">
        <f aca="false">IF($A170="","",IF(COUNTIFS(이수내역!$B$3:$B$2002,$A170,이수내역!$D$3:$D$2002,$D170)=0,"",SUMPRODUCT(MAX((이수내역!$B$3:$B$2002=$A170)*(이수내역!$D$3:$D$2002=$D170)*이수내역!$A$3:$A$2002))))</f>
        <v/>
      </c>
      <c r="H170" s="23" t="str">
        <f aca="false">IF($A170="","",IF($F170="","",IF($G170="",EDATE(직원목록!$E16,$F170),EDATE($G170,$F170))))</f>
        <v/>
      </c>
      <c r="I170" s="21" t="str">
        <f aca="true">IF($H170="","",$H170-TODAY())</f>
        <v/>
      </c>
      <c r="J170" s="21" t="str">
        <f aca="false">IF($A170="","",IF($H170="","-",IF($I170&lt;0,"기한초과",IF($I170&lt;=사용안내!$C$16,"임박","정상"))))</f>
        <v/>
      </c>
    </row>
    <row r="171" customFormat="false" ht="15" hidden="false" customHeight="true" outlineLevel="0" collapsed="false">
      <c r="A171" s="20" t="str">
        <f aca="false">IF(OR(직원목록!$A16="",교육과정!$A12="",직원목록!$F16="퇴사"),"",직원목록!$A16)</f>
        <v/>
      </c>
      <c r="B171" s="20" t="str">
        <f aca="false">IF($A171="","",직원목록!$B16)</f>
        <v/>
      </c>
      <c r="C171" s="20" t="str">
        <f aca="false">IF($A171="","",직원목록!$C16)</f>
        <v/>
      </c>
      <c r="D171" s="21" t="str">
        <f aca="false">IF($A171="","",교육과정!$A12)</f>
        <v/>
      </c>
      <c r="E171" s="20" t="str">
        <f aca="false">IF($A171="","",교육과정!$B12)</f>
        <v/>
      </c>
      <c r="F171" s="21" t="str">
        <f aca="false">IF($A171="","",교육과정!$C12)</f>
        <v/>
      </c>
      <c r="G171" s="23" t="str">
        <f aca="false">IF($A171="","",IF(COUNTIFS(이수내역!$B$3:$B$2002,$A171,이수내역!$D$3:$D$2002,$D171)=0,"",SUMPRODUCT(MAX((이수내역!$B$3:$B$2002=$A171)*(이수내역!$D$3:$D$2002=$D171)*이수내역!$A$3:$A$2002))))</f>
        <v/>
      </c>
      <c r="H171" s="23" t="str">
        <f aca="false">IF($A171="","",IF($F171="","",IF($G171="",EDATE(직원목록!$E16,$F171),EDATE($G171,$F171))))</f>
        <v/>
      </c>
      <c r="I171" s="21" t="str">
        <f aca="true">IF($H171="","",$H171-TODAY())</f>
        <v/>
      </c>
      <c r="J171" s="21" t="str">
        <f aca="false">IF($A171="","",IF($H171="","-",IF($I171&lt;0,"기한초과",IF($I171&lt;=사용안내!$C$16,"임박","정상"))))</f>
        <v/>
      </c>
    </row>
    <row r="172" customFormat="false" ht="15" hidden="false" customHeight="true" outlineLevel="0" collapsed="false">
      <c r="A172" s="20" t="str">
        <f aca="false">IF(OR(직원목록!$A16="",교육과정!$A13="",직원목록!$F16="퇴사"),"",직원목록!$A16)</f>
        <v/>
      </c>
      <c r="B172" s="20" t="str">
        <f aca="false">IF($A172="","",직원목록!$B16)</f>
        <v/>
      </c>
      <c r="C172" s="20" t="str">
        <f aca="false">IF($A172="","",직원목록!$C16)</f>
        <v/>
      </c>
      <c r="D172" s="21" t="str">
        <f aca="false">IF($A172="","",교육과정!$A13)</f>
        <v/>
      </c>
      <c r="E172" s="20" t="str">
        <f aca="false">IF($A172="","",교육과정!$B13)</f>
        <v/>
      </c>
      <c r="F172" s="21" t="str">
        <f aca="false">IF($A172="","",교육과정!$C13)</f>
        <v/>
      </c>
      <c r="G172" s="23" t="str">
        <f aca="false">IF($A172="","",IF(COUNTIFS(이수내역!$B$3:$B$2002,$A172,이수내역!$D$3:$D$2002,$D172)=0,"",SUMPRODUCT(MAX((이수내역!$B$3:$B$2002=$A172)*(이수내역!$D$3:$D$2002=$D172)*이수내역!$A$3:$A$2002))))</f>
        <v/>
      </c>
      <c r="H172" s="23" t="str">
        <f aca="false">IF($A172="","",IF($F172="","",IF($G172="",EDATE(직원목록!$E16,$F172),EDATE($G172,$F172))))</f>
        <v/>
      </c>
      <c r="I172" s="21" t="str">
        <f aca="true">IF($H172="","",$H172-TODAY())</f>
        <v/>
      </c>
      <c r="J172" s="21" t="str">
        <f aca="false">IF($A172="","",IF($H172="","-",IF($I172&lt;0,"기한초과",IF($I172&lt;=사용안내!$C$16,"임박","정상"))))</f>
        <v/>
      </c>
    </row>
    <row r="173" customFormat="false" ht="15" hidden="false" customHeight="true" outlineLevel="0" collapsed="false">
      <c r="A173" s="20" t="str">
        <f aca="false">IF(OR(직원목록!$A16="",교육과정!$A14="",직원목록!$F16="퇴사"),"",직원목록!$A16)</f>
        <v/>
      </c>
      <c r="B173" s="20" t="str">
        <f aca="false">IF($A173="","",직원목록!$B16)</f>
        <v/>
      </c>
      <c r="C173" s="20" t="str">
        <f aca="false">IF($A173="","",직원목록!$C16)</f>
        <v/>
      </c>
      <c r="D173" s="21" t="str">
        <f aca="false">IF($A173="","",교육과정!$A14)</f>
        <v/>
      </c>
      <c r="E173" s="20" t="str">
        <f aca="false">IF($A173="","",교육과정!$B14)</f>
        <v/>
      </c>
      <c r="F173" s="21" t="str">
        <f aca="false">IF($A173="","",교육과정!$C14)</f>
        <v/>
      </c>
      <c r="G173" s="23" t="str">
        <f aca="false">IF($A173="","",IF(COUNTIFS(이수내역!$B$3:$B$2002,$A173,이수내역!$D$3:$D$2002,$D173)=0,"",SUMPRODUCT(MAX((이수내역!$B$3:$B$2002=$A173)*(이수내역!$D$3:$D$2002=$D173)*이수내역!$A$3:$A$2002))))</f>
        <v/>
      </c>
      <c r="H173" s="23" t="str">
        <f aca="false">IF($A173="","",IF($F173="","",IF($G173="",EDATE(직원목록!$E16,$F173),EDATE($G173,$F173))))</f>
        <v/>
      </c>
      <c r="I173" s="21" t="str">
        <f aca="true">IF($H173="","",$H173-TODAY())</f>
        <v/>
      </c>
      <c r="J173" s="21" t="str">
        <f aca="false">IF($A173="","",IF($H173="","-",IF($I173&lt;0,"기한초과",IF($I173&lt;=사용안내!$C$16,"임박","정상"))))</f>
        <v/>
      </c>
    </row>
    <row r="174" customFormat="false" ht="15" hidden="false" customHeight="true" outlineLevel="0" collapsed="false">
      <c r="A174" s="20" t="str">
        <f aca="false">IF(OR(직원목록!$A17="",교육과정!$A3="",직원목록!$F17="퇴사"),"",직원목록!$A17)</f>
        <v/>
      </c>
      <c r="B174" s="20" t="str">
        <f aca="false">IF($A174="","",직원목록!$B17)</f>
        <v/>
      </c>
      <c r="C174" s="20" t="str">
        <f aca="false">IF($A174="","",직원목록!$C17)</f>
        <v/>
      </c>
      <c r="D174" s="21" t="str">
        <f aca="false">IF($A174="","",교육과정!$A3)</f>
        <v/>
      </c>
      <c r="E174" s="20" t="str">
        <f aca="false">IF($A174="","",교육과정!$B3)</f>
        <v/>
      </c>
      <c r="F174" s="21" t="str">
        <f aca="false">IF($A174="","",교육과정!$C3)</f>
        <v/>
      </c>
      <c r="G174" s="23" t="str">
        <f aca="false">IF($A174="","",IF(COUNTIFS(이수내역!$B$3:$B$2002,$A174,이수내역!$D$3:$D$2002,$D174)=0,"",SUMPRODUCT(MAX((이수내역!$B$3:$B$2002=$A174)*(이수내역!$D$3:$D$2002=$D174)*이수내역!$A$3:$A$2002))))</f>
        <v/>
      </c>
      <c r="H174" s="23" t="str">
        <f aca="false">IF($A174="","",IF($F174="","",IF($G174="",EDATE(직원목록!$E17,$F174),EDATE($G174,$F174))))</f>
        <v/>
      </c>
      <c r="I174" s="21" t="str">
        <f aca="true">IF($H174="","",$H174-TODAY())</f>
        <v/>
      </c>
      <c r="J174" s="21" t="str">
        <f aca="false">IF($A174="","",IF($H174="","-",IF($I174&lt;0,"기한초과",IF($I174&lt;=사용안내!$C$16,"임박","정상"))))</f>
        <v/>
      </c>
    </row>
    <row r="175" customFormat="false" ht="15" hidden="false" customHeight="true" outlineLevel="0" collapsed="false">
      <c r="A175" s="20" t="str">
        <f aca="false">IF(OR(직원목록!$A17="",교육과정!$A4="",직원목록!$F17="퇴사"),"",직원목록!$A17)</f>
        <v/>
      </c>
      <c r="B175" s="20" t="str">
        <f aca="false">IF($A175="","",직원목록!$B17)</f>
        <v/>
      </c>
      <c r="C175" s="20" t="str">
        <f aca="false">IF($A175="","",직원목록!$C17)</f>
        <v/>
      </c>
      <c r="D175" s="21" t="str">
        <f aca="false">IF($A175="","",교육과정!$A4)</f>
        <v/>
      </c>
      <c r="E175" s="20" t="str">
        <f aca="false">IF($A175="","",교육과정!$B4)</f>
        <v/>
      </c>
      <c r="F175" s="21" t="str">
        <f aca="false">IF($A175="","",교육과정!$C4)</f>
        <v/>
      </c>
      <c r="G175" s="23" t="str">
        <f aca="false">IF($A175="","",IF(COUNTIFS(이수내역!$B$3:$B$2002,$A175,이수내역!$D$3:$D$2002,$D175)=0,"",SUMPRODUCT(MAX((이수내역!$B$3:$B$2002=$A175)*(이수내역!$D$3:$D$2002=$D175)*이수내역!$A$3:$A$2002))))</f>
        <v/>
      </c>
      <c r="H175" s="23" t="str">
        <f aca="false">IF($A175="","",IF($F175="","",IF($G175="",EDATE(직원목록!$E17,$F175),EDATE($G175,$F175))))</f>
        <v/>
      </c>
      <c r="I175" s="21" t="str">
        <f aca="true">IF($H175="","",$H175-TODAY())</f>
        <v/>
      </c>
      <c r="J175" s="21" t="str">
        <f aca="false">IF($A175="","",IF($H175="","-",IF($I175&lt;0,"기한초과",IF($I175&lt;=사용안내!$C$16,"임박","정상"))))</f>
        <v/>
      </c>
    </row>
    <row r="176" customFormat="false" ht="15" hidden="false" customHeight="true" outlineLevel="0" collapsed="false">
      <c r="A176" s="20" t="str">
        <f aca="false">IF(OR(직원목록!$A17="",교육과정!$A5="",직원목록!$F17="퇴사"),"",직원목록!$A17)</f>
        <v/>
      </c>
      <c r="B176" s="20" t="str">
        <f aca="false">IF($A176="","",직원목록!$B17)</f>
        <v/>
      </c>
      <c r="C176" s="20" t="str">
        <f aca="false">IF($A176="","",직원목록!$C17)</f>
        <v/>
      </c>
      <c r="D176" s="21" t="str">
        <f aca="false">IF($A176="","",교육과정!$A5)</f>
        <v/>
      </c>
      <c r="E176" s="20" t="str">
        <f aca="false">IF($A176="","",교육과정!$B5)</f>
        <v/>
      </c>
      <c r="F176" s="21" t="str">
        <f aca="false">IF($A176="","",교육과정!$C5)</f>
        <v/>
      </c>
      <c r="G176" s="23" t="str">
        <f aca="false">IF($A176="","",IF(COUNTIFS(이수내역!$B$3:$B$2002,$A176,이수내역!$D$3:$D$2002,$D176)=0,"",SUMPRODUCT(MAX((이수내역!$B$3:$B$2002=$A176)*(이수내역!$D$3:$D$2002=$D176)*이수내역!$A$3:$A$2002))))</f>
        <v/>
      </c>
      <c r="H176" s="23" t="str">
        <f aca="false">IF($A176="","",IF($F176="","",IF($G176="",EDATE(직원목록!$E17,$F176),EDATE($G176,$F176))))</f>
        <v/>
      </c>
      <c r="I176" s="21" t="str">
        <f aca="true">IF($H176="","",$H176-TODAY())</f>
        <v/>
      </c>
      <c r="J176" s="21" t="str">
        <f aca="false">IF($A176="","",IF($H176="","-",IF($I176&lt;0,"기한초과",IF($I176&lt;=사용안내!$C$16,"임박","정상"))))</f>
        <v/>
      </c>
    </row>
    <row r="177" customFormat="false" ht="15" hidden="false" customHeight="true" outlineLevel="0" collapsed="false">
      <c r="A177" s="20" t="str">
        <f aca="false">IF(OR(직원목록!$A17="",교육과정!$A6="",직원목록!$F17="퇴사"),"",직원목록!$A17)</f>
        <v/>
      </c>
      <c r="B177" s="20" t="str">
        <f aca="false">IF($A177="","",직원목록!$B17)</f>
        <v/>
      </c>
      <c r="C177" s="20" t="str">
        <f aca="false">IF($A177="","",직원목록!$C17)</f>
        <v/>
      </c>
      <c r="D177" s="21" t="str">
        <f aca="false">IF($A177="","",교육과정!$A6)</f>
        <v/>
      </c>
      <c r="E177" s="20" t="str">
        <f aca="false">IF($A177="","",교육과정!$B6)</f>
        <v/>
      </c>
      <c r="F177" s="21" t="str">
        <f aca="false">IF($A177="","",교육과정!$C6)</f>
        <v/>
      </c>
      <c r="G177" s="23" t="str">
        <f aca="false">IF($A177="","",IF(COUNTIFS(이수내역!$B$3:$B$2002,$A177,이수내역!$D$3:$D$2002,$D177)=0,"",SUMPRODUCT(MAX((이수내역!$B$3:$B$2002=$A177)*(이수내역!$D$3:$D$2002=$D177)*이수내역!$A$3:$A$2002))))</f>
        <v/>
      </c>
      <c r="H177" s="23" t="str">
        <f aca="false">IF($A177="","",IF($F177="","",IF($G177="",EDATE(직원목록!$E17,$F177),EDATE($G177,$F177))))</f>
        <v/>
      </c>
      <c r="I177" s="21" t="str">
        <f aca="true">IF($H177="","",$H177-TODAY())</f>
        <v/>
      </c>
      <c r="J177" s="21" t="str">
        <f aca="false">IF($A177="","",IF($H177="","-",IF($I177&lt;0,"기한초과",IF($I177&lt;=사용안내!$C$16,"임박","정상"))))</f>
        <v/>
      </c>
    </row>
    <row r="178" customFormat="false" ht="15" hidden="false" customHeight="true" outlineLevel="0" collapsed="false">
      <c r="A178" s="20" t="str">
        <f aca="false">IF(OR(직원목록!$A17="",교육과정!$A7="",직원목록!$F17="퇴사"),"",직원목록!$A17)</f>
        <v/>
      </c>
      <c r="B178" s="20" t="str">
        <f aca="false">IF($A178="","",직원목록!$B17)</f>
        <v/>
      </c>
      <c r="C178" s="20" t="str">
        <f aca="false">IF($A178="","",직원목록!$C17)</f>
        <v/>
      </c>
      <c r="D178" s="21" t="str">
        <f aca="false">IF($A178="","",교육과정!$A7)</f>
        <v/>
      </c>
      <c r="E178" s="20" t="str">
        <f aca="false">IF($A178="","",교육과정!$B7)</f>
        <v/>
      </c>
      <c r="F178" s="21" t="str">
        <f aca="false">IF($A178="","",교육과정!$C7)</f>
        <v/>
      </c>
      <c r="G178" s="23" t="str">
        <f aca="false">IF($A178="","",IF(COUNTIFS(이수내역!$B$3:$B$2002,$A178,이수내역!$D$3:$D$2002,$D178)=0,"",SUMPRODUCT(MAX((이수내역!$B$3:$B$2002=$A178)*(이수내역!$D$3:$D$2002=$D178)*이수내역!$A$3:$A$2002))))</f>
        <v/>
      </c>
      <c r="H178" s="23" t="str">
        <f aca="false">IF($A178="","",IF($F178="","",IF($G178="",EDATE(직원목록!$E17,$F178),EDATE($G178,$F178))))</f>
        <v/>
      </c>
      <c r="I178" s="21" t="str">
        <f aca="true">IF($H178="","",$H178-TODAY())</f>
        <v/>
      </c>
      <c r="J178" s="21" t="str">
        <f aca="false">IF($A178="","",IF($H178="","-",IF($I178&lt;0,"기한초과",IF($I178&lt;=사용안내!$C$16,"임박","정상"))))</f>
        <v/>
      </c>
    </row>
    <row r="179" customFormat="false" ht="15" hidden="false" customHeight="true" outlineLevel="0" collapsed="false">
      <c r="A179" s="20" t="str">
        <f aca="false">IF(OR(직원목록!$A17="",교육과정!$A8="",직원목록!$F17="퇴사"),"",직원목록!$A17)</f>
        <v/>
      </c>
      <c r="B179" s="20" t="str">
        <f aca="false">IF($A179="","",직원목록!$B17)</f>
        <v/>
      </c>
      <c r="C179" s="20" t="str">
        <f aca="false">IF($A179="","",직원목록!$C17)</f>
        <v/>
      </c>
      <c r="D179" s="21" t="str">
        <f aca="false">IF($A179="","",교육과정!$A8)</f>
        <v/>
      </c>
      <c r="E179" s="20" t="str">
        <f aca="false">IF($A179="","",교육과정!$B8)</f>
        <v/>
      </c>
      <c r="F179" s="21" t="str">
        <f aca="false">IF($A179="","",교육과정!$C8)</f>
        <v/>
      </c>
      <c r="G179" s="23" t="str">
        <f aca="false">IF($A179="","",IF(COUNTIFS(이수내역!$B$3:$B$2002,$A179,이수내역!$D$3:$D$2002,$D179)=0,"",SUMPRODUCT(MAX((이수내역!$B$3:$B$2002=$A179)*(이수내역!$D$3:$D$2002=$D179)*이수내역!$A$3:$A$2002))))</f>
        <v/>
      </c>
      <c r="H179" s="23" t="str">
        <f aca="false">IF($A179="","",IF($F179="","",IF($G179="",EDATE(직원목록!$E17,$F179),EDATE($G179,$F179))))</f>
        <v/>
      </c>
      <c r="I179" s="21" t="str">
        <f aca="true">IF($H179="","",$H179-TODAY())</f>
        <v/>
      </c>
      <c r="J179" s="21" t="str">
        <f aca="false">IF($A179="","",IF($H179="","-",IF($I179&lt;0,"기한초과",IF($I179&lt;=사용안내!$C$16,"임박","정상"))))</f>
        <v/>
      </c>
    </row>
    <row r="180" customFormat="false" ht="15" hidden="false" customHeight="true" outlineLevel="0" collapsed="false">
      <c r="A180" s="20" t="str">
        <f aca="false">IF(OR(직원목록!$A17="",교육과정!$A9="",직원목록!$F17="퇴사"),"",직원목록!$A17)</f>
        <v/>
      </c>
      <c r="B180" s="20" t="str">
        <f aca="false">IF($A180="","",직원목록!$B17)</f>
        <v/>
      </c>
      <c r="C180" s="20" t="str">
        <f aca="false">IF($A180="","",직원목록!$C17)</f>
        <v/>
      </c>
      <c r="D180" s="21" t="str">
        <f aca="false">IF($A180="","",교육과정!$A9)</f>
        <v/>
      </c>
      <c r="E180" s="20" t="str">
        <f aca="false">IF($A180="","",교육과정!$B9)</f>
        <v/>
      </c>
      <c r="F180" s="21" t="str">
        <f aca="false">IF($A180="","",교육과정!$C9)</f>
        <v/>
      </c>
      <c r="G180" s="23" t="str">
        <f aca="false">IF($A180="","",IF(COUNTIFS(이수내역!$B$3:$B$2002,$A180,이수내역!$D$3:$D$2002,$D180)=0,"",SUMPRODUCT(MAX((이수내역!$B$3:$B$2002=$A180)*(이수내역!$D$3:$D$2002=$D180)*이수내역!$A$3:$A$2002))))</f>
        <v/>
      </c>
      <c r="H180" s="23" t="str">
        <f aca="false">IF($A180="","",IF($F180="","",IF($G180="",EDATE(직원목록!$E17,$F180),EDATE($G180,$F180))))</f>
        <v/>
      </c>
      <c r="I180" s="21" t="str">
        <f aca="true">IF($H180="","",$H180-TODAY())</f>
        <v/>
      </c>
      <c r="J180" s="21" t="str">
        <f aca="false">IF($A180="","",IF($H180="","-",IF($I180&lt;0,"기한초과",IF($I180&lt;=사용안내!$C$16,"임박","정상"))))</f>
        <v/>
      </c>
    </row>
    <row r="181" customFormat="false" ht="15" hidden="false" customHeight="true" outlineLevel="0" collapsed="false">
      <c r="A181" s="20" t="str">
        <f aca="false">IF(OR(직원목록!$A17="",교육과정!$A10="",직원목록!$F17="퇴사"),"",직원목록!$A17)</f>
        <v/>
      </c>
      <c r="B181" s="20" t="str">
        <f aca="false">IF($A181="","",직원목록!$B17)</f>
        <v/>
      </c>
      <c r="C181" s="20" t="str">
        <f aca="false">IF($A181="","",직원목록!$C17)</f>
        <v/>
      </c>
      <c r="D181" s="21" t="str">
        <f aca="false">IF($A181="","",교육과정!$A10)</f>
        <v/>
      </c>
      <c r="E181" s="20" t="str">
        <f aca="false">IF($A181="","",교육과정!$B10)</f>
        <v/>
      </c>
      <c r="F181" s="21" t="str">
        <f aca="false">IF($A181="","",교육과정!$C10)</f>
        <v/>
      </c>
      <c r="G181" s="23" t="str">
        <f aca="false">IF($A181="","",IF(COUNTIFS(이수내역!$B$3:$B$2002,$A181,이수내역!$D$3:$D$2002,$D181)=0,"",SUMPRODUCT(MAX((이수내역!$B$3:$B$2002=$A181)*(이수내역!$D$3:$D$2002=$D181)*이수내역!$A$3:$A$2002))))</f>
        <v/>
      </c>
      <c r="H181" s="23" t="str">
        <f aca="false">IF($A181="","",IF($F181="","",IF($G181="",EDATE(직원목록!$E17,$F181),EDATE($G181,$F181))))</f>
        <v/>
      </c>
      <c r="I181" s="21" t="str">
        <f aca="true">IF($H181="","",$H181-TODAY())</f>
        <v/>
      </c>
      <c r="J181" s="21" t="str">
        <f aca="false">IF($A181="","",IF($H181="","-",IF($I181&lt;0,"기한초과",IF($I181&lt;=사용안내!$C$16,"임박","정상"))))</f>
        <v/>
      </c>
    </row>
    <row r="182" customFormat="false" ht="15" hidden="false" customHeight="true" outlineLevel="0" collapsed="false">
      <c r="A182" s="20" t="str">
        <f aca="false">IF(OR(직원목록!$A17="",교육과정!$A11="",직원목록!$F17="퇴사"),"",직원목록!$A17)</f>
        <v/>
      </c>
      <c r="B182" s="20" t="str">
        <f aca="false">IF($A182="","",직원목록!$B17)</f>
        <v/>
      </c>
      <c r="C182" s="20" t="str">
        <f aca="false">IF($A182="","",직원목록!$C17)</f>
        <v/>
      </c>
      <c r="D182" s="21" t="str">
        <f aca="false">IF($A182="","",교육과정!$A11)</f>
        <v/>
      </c>
      <c r="E182" s="20" t="str">
        <f aca="false">IF($A182="","",교육과정!$B11)</f>
        <v/>
      </c>
      <c r="F182" s="21" t="str">
        <f aca="false">IF($A182="","",교육과정!$C11)</f>
        <v/>
      </c>
      <c r="G182" s="23" t="str">
        <f aca="false">IF($A182="","",IF(COUNTIFS(이수내역!$B$3:$B$2002,$A182,이수내역!$D$3:$D$2002,$D182)=0,"",SUMPRODUCT(MAX((이수내역!$B$3:$B$2002=$A182)*(이수내역!$D$3:$D$2002=$D182)*이수내역!$A$3:$A$2002))))</f>
        <v/>
      </c>
      <c r="H182" s="23" t="str">
        <f aca="false">IF($A182="","",IF($F182="","",IF($G182="",EDATE(직원목록!$E17,$F182),EDATE($G182,$F182))))</f>
        <v/>
      </c>
      <c r="I182" s="21" t="str">
        <f aca="true">IF($H182="","",$H182-TODAY())</f>
        <v/>
      </c>
      <c r="J182" s="21" t="str">
        <f aca="false">IF($A182="","",IF($H182="","-",IF($I182&lt;0,"기한초과",IF($I182&lt;=사용안내!$C$16,"임박","정상"))))</f>
        <v/>
      </c>
    </row>
    <row r="183" customFormat="false" ht="15" hidden="false" customHeight="true" outlineLevel="0" collapsed="false">
      <c r="A183" s="20" t="str">
        <f aca="false">IF(OR(직원목록!$A17="",교육과정!$A12="",직원목록!$F17="퇴사"),"",직원목록!$A17)</f>
        <v/>
      </c>
      <c r="B183" s="20" t="str">
        <f aca="false">IF($A183="","",직원목록!$B17)</f>
        <v/>
      </c>
      <c r="C183" s="20" t="str">
        <f aca="false">IF($A183="","",직원목록!$C17)</f>
        <v/>
      </c>
      <c r="D183" s="21" t="str">
        <f aca="false">IF($A183="","",교육과정!$A12)</f>
        <v/>
      </c>
      <c r="E183" s="20" t="str">
        <f aca="false">IF($A183="","",교육과정!$B12)</f>
        <v/>
      </c>
      <c r="F183" s="21" t="str">
        <f aca="false">IF($A183="","",교육과정!$C12)</f>
        <v/>
      </c>
      <c r="G183" s="23" t="str">
        <f aca="false">IF($A183="","",IF(COUNTIFS(이수내역!$B$3:$B$2002,$A183,이수내역!$D$3:$D$2002,$D183)=0,"",SUMPRODUCT(MAX((이수내역!$B$3:$B$2002=$A183)*(이수내역!$D$3:$D$2002=$D183)*이수내역!$A$3:$A$2002))))</f>
        <v/>
      </c>
      <c r="H183" s="23" t="str">
        <f aca="false">IF($A183="","",IF($F183="","",IF($G183="",EDATE(직원목록!$E17,$F183),EDATE($G183,$F183))))</f>
        <v/>
      </c>
      <c r="I183" s="21" t="str">
        <f aca="true">IF($H183="","",$H183-TODAY())</f>
        <v/>
      </c>
      <c r="J183" s="21" t="str">
        <f aca="false">IF($A183="","",IF($H183="","-",IF($I183&lt;0,"기한초과",IF($I183&lt;=사용안내!$C$16,"임박","정상"))))</f>
        <v/>
      </c>
    </row>
    <row r="184" customFormat="false" ht="15" hidden="false" customHeight="true" outlineLevel="0" collapsed="false">
      <c r="A184" s="20" t="str">
        <f aca="false">IF(OR(직원목록!$A17="",교육과정!$A13="",직원목록!$F17="퇴사"),"",직원목록!$A17)</f>
        <v/>
      </c>
      <c r="B184" s="20" t="str">
        <f aca="false">IF($A184="","",직원목록!$B17)</f>
        <v/>
      </c>
      <c r="C184" s="20" t="str">
        <f aca="false">IF($A184="","",직원목록!$C17)</f>
        <v/>
      </c>
      <c r="D184" s="21" t="str">
        <f aca="false">IF($A184="","",교육과정!$A13)</f>
        <v/>
      </c>
      <c r="E184" s="20" t="str">
        <f aca="false">IF($A184="","",교육과정!$B13)</f>
        <v/>
      </c>
      <c r="F184" s="21" t="str">
        <f aca="false">IF($A184="","",교육과정!$C13)</f>
        <v/>
      </c>
      <c r="G184" s="23" t="str">
        <f aca="false">IF($A184="","",IF(COUNTIFS(이수내역!$B$3:$B$2002,$A184,이수내역!$D$3:$D$2002,$D184)=0,"",SUMPRODUCT(MAX((이수내역!$B$3:$B$2002=$A184)*(이수내역!$D$3:$D$2002=$D184)*이수내역!$A$3:$A$2002))))</f>
        <v/>
      </c>
      <c r="H184" s="23" t="str">
        <f aca="false">IF($A184="","",IF($F184="","",IF($G184="",EDATE(직원목록!$E17,$F184),EDATE($G184,$F184))))</f>
        <v/>
      </c>
      <c r="I184" s="21" t="str">
        <f aca="true">IF($H184="","",$H184-TODAY())</f>
        <v/>
      </c>
      <c r="J184" s="21" t="str">
        <f aca="false">IF($A184="","",IF($H184="","-",IF($I184&lt;0,"기한초과",IF($I184&lt;=사용안내!$C$16,"임박","정상"))))</f>
        <v/>
      </c>
    </row>
    <row r="185" customFormat="false" ht="15" hidden="false" customHeight="true" outlineLevel="0" collapsed="false">
      <c r="A185" s="20" t="str">
        <f aca="false">IF(OR(직원목록!$A17="",교육과정!$A14="",직원목록!$F17="퇴사"),"",직원목록!$A17)</f>
        <v/>
      </c>
      <c r="B185" s="20" t="str">
        <f aca="false">IF($A185="","",직원목록!$B17)</f>
        <v/>
      </c>
      <c r="C185" s="20" t="str">
        <f aca="false">IF($A185="","",직원목록!$C17)</f>
        <v/>
      </c>
      <c r="D185" s="21" t="str">
        <f aca="false">IF($A185="","",교육과정!$A14)</f>
        <v/>
      </c>
      <c r="E185" s="20" t="str">
        <f aca="false">IF($A185="","",교육과정!$B14)</f>
        <v/>
      </c>
      <c r="F185" s="21" t="str">
        <f aca="false">IF($A185="","",교육과정!$C14)</f>
        <v/>
      </c>
      <c r="G185" s="23" t="str">
        <f aca="false">IF($A185="","",IF(COUNTIFS(이수내역!$B$3:$B$2002,$A185,이수내역!$D$3:$D$2002,$D185)=0,"",SUMPRODUCT(MAX((이수내역!$B$3:$B$2002=$A185)*(이수내역!$D$3:$D$2002=$D185)*이수내역!$A$3:$A$2002))))</f>
        <v/>
      </c>
      <c r="H185" s="23" t="str">
        <f aca="false">IF($A185="","",IF($F185="","",IF($G185="",EDATE(직원목록!$E17,$F185),EDATE($G185,$F185))))</f>
        <v/>
      </c>
      <c r="I185" s="21" t="str">
        <f aca="true">IF($H185="","",$H185-TODAY())</f>
        <v/>
      </c>
      <c r="J185" s="21" t="str">
        <f aca="false">IF($A185="","",IF($H185="","-",IF($I185&lt;0,"기한초과",IF($I185&lt;=사용안내!$C$16,"임박","정상"))))</f>
        <v/>
      </c>
    </row>
    <row r="186" customFormat="false" ht="15" hidden="false" customHeight="true" outlineLevel="0" collapsed="false">
      <c r="A186" s="20" t="str">
        <f aca="false">IF(OR(직원목록!$A18="",교육과정!$A3="",직원목록!$F18="퇴사"),"",직원목록!$A18)</f>
        <v/>
      </c>
      <c r="B186" s="20" t="str">
        <f aca="false">IF($A186="","",직원목록!$B18)</f>
        <v/>
      </c>
      <c r="C186" s="20" t="str">
        <f aca="false">IF($A186="","",직원목록!$C18)</f>
        <v/>
      </c>
      <c r="D186" s="21" t="str">
        <f aca="false">IF($A186="","",교육과정!$A3)</f>
        <v/>
      </c>
      <c r="E186" s="20" t="str">
        <f aca="false">IF($A186="","",교육과정!$B3)</f>
        <v/>
      </c>
      <c r="F186" s="21" t="str">
        <f aca="false">IF($A186="","",교육과정!$C3)</f>
        <v/>
      </c>
      <c r="G186" s="23" t="str">
        <f aca="false">IF($A186="","",IF(COUNTIFS(이수내역!$B$3:$B$2002,$A186,이수내역!$D$3:$D$2002,$D186)=0,"",SUMPRODUCT(MAX((이수내역!$B$3:$B$2002=$A186)*(이수내역!$D$3:$D$2002=$D186)*이수내역!$A$3:$A$2002))))</f>
        <v/>
      </c>
      <c r="H186" s="23" t="str">
        <f aca="false">IF($A186="","",IF($F186="","",IF($G186="",EDATE(직원목록!$E18,$F186),EDATE($G186,$F186))))</f>
        <v/>
      </c>
      <c r="I186" s="21" t="str">
        <f aca="true">IF($H186="","",$H186-TODAY())</f>
        <v/>
      </c>
      <c r="J186" s="21" t="str">
        <f aca="false">IF($A186="","",IF($H186="","-",IF($I186&lt;0,"기한초과",IF($I186&lt;=사용안내!$C$16,"임박","정상"))))</f>
        <v/>
      </c>
    </row>
    <row r="187" customFormat="false" ht="15" hidden="false" customHeight="true" outlineLevel="0" collapsed="false">
      <c r="A187" s="20" t="str">
        <f aca="false">IF(OR(직원목록!$A18="",교육과정!$A4="",직원목록!$F18="퇴사"),"",직원목록!$A18)</f>
        <v/>
      </c>
      <c r="B187" s="20" t="str">
        <f aca="false">IF($A187="","",직원목록!$B18)</f>
        <v/>
      </c>
      <c r="C187" s="20" t="str">
        <f aca="false">IF($A187="","",직원목록!$C18)</f>
        <v/>
      </c>
      <c r="D187" s="21" t="str">
        <f aca="false">IF($A187="","",교육과정!$A4)</f>
        <v/>
      </c>
      <c r="E187" s="20" t="str">
        <f aca="false">IF($A187="","",교육과정!$B4)</f>
        <v/>
      </c>
      <c r="F187" s="21" t="str">
        <f aca="false">IF($A187="","",교육과정!$C4)</f>
        <v/>
      </c>
      <c r="G187" s="23" t="str">
        <f aca="false">IF($A187="","",IF(COUNTIFS(이수내역!$B$3:$B$2002,$A187,이수내역!$D$3:$D$2002,$D187)=0,"",SUMPRODUCT(MAX((이수내역!$B$3:$B$2002=$A187)*(이수내역!$D$3:$D$2002=$D187)*이수내역!$A$3:$A$2002))))</f>
        <v/>
      </c>
      <c r="H187" s="23" t="str">
        <f aca="false">IF($A187="","",IF($F187="","",IF($G187="",EDATE(직원목록!$E18,$F187),EDATE($G187,$F187))))</f>
        <v/>
      </c>
      <c r="I187" s="21" t="str">
        <f aca="true">IF($H187="","",$H187-TODAY())</f>
        <v/>
      </c>
      <c r="J187" s="21" t="str">
        <f aca="false">IF($A187="","",IF($H187="","-",IF($I187&lt;0,"기한초과",IF($I187&lt;=사용안내!$C$16,"임박","정상"))))</f>
        <v/>
      </c>
    </row>
    <row r="188" customFormat="false" ht="15" hidden="false" customHeight="true" outlineLevel="0" collapsed="false">
      <c r="A188" s="20" t="str">
        <f aca="false">IF(OR(직원목록!$A18="",교육과정!$A5="",직원목록!$F18="퇴사"),"",직원목록!$A18)</f>
        <v/>
      </c>
      <c r="B188" s="20" t="str">
        <f aca="false">IF($A188="","",직원목록!$B18)</f>
        <v/>
      </c>
      <c r="C188" s="20" t="str">
        <f aca="false">IF($A188="","",직원목록!$C18)</f>
        <v/>
      </c>
      <c r="D188" s="21" t="str">
        <f aca="false">IF($A188="","",교육과정!$A5)</f>
        <v/>
      </c>
      <c r="E188" s="20" t="str">
        <f aca="false">IF($A188="","",교육과정!$B5)</f>
        <v/>
      </c>
      <c r="F188" s="21" t="str">
        <f aca="false">IF($A188="","",교육과정!$C5)</f>
        <v/>
      </c>
      <c r="G188" s="23" t="str">
        <f aca="false">IF($A188="","",IF(COUNTIFS(이수내역!$B$3:$B$2002,$A188,이수내역!$D$3:$D$2002,$D188)=0,"",SUMPRODUCT(MAX((이수내역!$B$3:$B$2002=$A188)*(이수내역!$D$3:$D$2002=$D188)*이수내역!$A$3:$A$2002))))</f>
        <v/>
      </c>
      <c r="H188" s="23" t="str">
        <f aca="false">IF($A188="","",IF($F188="","",IF($G188="",EDATE(직원목록!$E18,$F188),EDATE($G188,$F188))))</f>
        <v/>
      </c>
      <c r="I188" s="21" t="str">
        <f aca="true">IF($H188="","",$H188-TODAY())</f>
        <v/>
      </c>
      <c r="J188" s="21" t="str">
        <f aca="false">IF($A188="","",IF($H188="","-",IF($I188&lt;0,"기한초과",IF($I188&lt;=사용안내!$C$16,"임박","정상"))))</f>
        <v/>
      </c>
    </row>
    <row r="189" customFormat="false" ht="15" hidden="false" customHeight="true" outlineLevel="0" collapsed="false">
      <c r="A189" s="20" t="str">
        <f aca="false">IF(OR(직원목록!$A18="",교육과정!$A6="",직원목록!$F18="퇴사"),"",직원목록!$A18)</f>
        <v/>
      </c>
      <c r="B189" s="20" t="str">
        <f aca="false">IF($A189="","",직원목록!$B18)</f>
        <v/>
      </c>
      <c r="C189" s="20" t="str">
        <f aca="false">IF($A189="","",직원목록!$C18)</f>
        <v/>
      </c>
      <c r="D189" s="21" t="str">
        <f aca="false">IF($A189="","",교육과정!$A6)</f>
        <v/>
      </c>
      <c r="E189" s="20" t="str">
        <f aca="false">IF($A189="","",교육과정!$B6)</f>
        <v/>
      </c>
      <c r="F189" s="21" t="str">
        <f aca="false">IF($A189="","",교육과정!$C6)</f>
        <v/>
      </c>
      <c r="G189" s="23" t="str">
        <f aca="false">IF($A189="","",IF(COUNTIFS(이수내역!$B$3:$B$2002,$A189,이수내역!$D$3:$D$2002,$D189)=0,"",SUMPRODUCT(MAX((이수내역!$B$3:$B$2002=$A189)*(이수내역!$D$3:$D$2002=$D189)*이수내역!$A$3:$A$2002))))</f>
        <v/>
      </c>
      <c r="H189" s="23" t="str">
        <f aca="false">IF($A189="","",IF($F189="","",IF($G189="",EDATE(직원목록!$E18,$F189),EDATE($G189,$F189))))</f>
        <v/>
      </c>
      <c r="I189" s="21" t="str">
        <f aca="true">IF($H189="","",$H189-TODAY())</f>
        <v/>
      </c>
      <c r="J189" s="21" t="str">
        <f aca="false">IF($A189="","",IF($H189="","-",IF($I189&lt;0,"기한초과",IF($I189&lt;=사용안내!$C$16,"임박","정상"))))</f>
        <v/>
      </c>
    </row>
    <row r="190" customFormat="false" ht="15" hidden="false" customHeight="true" outlineLevel="0" collapsed="false">
      <c r="A190" s="20" t="str">
        <f aca="false">IF(OR(직원목록!$A18="",교육과정!$A7="",직원목록!$F18="퇴사"),"",직원목록!$A18)</f>
        <v/>
      </c>
      <c r="B190" s="20" t="str">
        <f aca="false">IF($A190="","",직원목록!$B18)</f>
        <v/>
      </c>
      <c r="C190" s="20" t="str">
        <f aca="false">IF($A190="","",직원목록!$C18)</f>
        <v/>
      </c>
      <c r="D190" s="21" t="str">
        <f aca="false">IF($A190="","",교육과정!$A7)</f>
        <v/>
      </c>
      <c r="E190" s="20" t="str">
        <f aca="false">IF($A190="","",교육과정!$B7)</f>
        <v/>
      </c>
      <c r="F190" s="21" t="str">
        <f aca="false">IF($A190="","",교육과정!$C7)</f>
        <v/>
      </c>
      <c r="G190" s="23" t="str">
        <f aca="false">IF($A190="","",IF(COUNTIFS(이수내역!$B$3:$B$2002,$A190,이수내역!$D$3:$D$2002,$D190)=0,"",SUMPRODUCT(MAX((이수내역!$B$3:$B$2002=$A190)*(이수내역!$D$3:$D$2002=$D190)*이수내역!$A$3:$A$2002))))</f>
        <v/>
      </c>
      <c r="H190" s="23" t="str">
        <f aca="false">IF($A190="","",IF($F190="","",IF($G190="",EDATE(직원목록!$E18,$F190),EDATE($G190,$F190))))</f>
        <v/>
      </c>
      <c r="I190" s="21" t="str">
        <f aca="true">IF($H190="","",$H190-TODAY())</f>
        <v/>
      </c>
      <c r="J190" s="21" t="str">
        <f aca="false">IF($A190="","",IF($H190="","-",IF($I190&lt;0,"기한초과",IF($I190&lt;=사용안내!$C$16,"임박","정상"))))</f>
        <v/>
      </c>
    </row>
    <row r="191" customFormat="false" ht="15" hidden="false" customHeight="true" outlineLevel="0" collapsed="false">
      <c r="A191" s="20" t="str">
        <f aca="false">IF(OR(직원목록!$A18="",교육과정!$A8="",직원목록!$F18="퇴사"),"",직원목록!$A18)</f>
        <v/>
      </c>
      <c r="B191" s="20" t="str">
        <f aca="false">IF($A191="","",직원목록!$B18)</f>
        <v/>
      </c>
      <c r="C191" s="20" t="str">
        <f aca="false">IF($A191="","",직원목록!$C18)</f>
        <v/>
      </c>
      <c r="D191" s="21" t="str">
        <f aca="false">IF($A191="","",교육과정!$A8)</f>
        <v/>
      </c>
      <c r="E191" s="20" t="str">
        <f aca="false">IF($A191="","",교육과정!$B8)</f>
        <v/>
      </c>
      <c r="F191" s="21" t="str">
        <f aca="false">IF($A191="","",교육과정!$C8)</f>
        <v/>
      </c>
      <c r="G191" s="23" t="str">
        <f aca="false">IF($A191="","",IF(COUNTIFS(이수내역!$B$3:$B$2002,$A191,이수내역!$D$3:$D$2002,$D191)=0,"",SUMPRODUCT(MAX((이수내역!$B$3:$B$2002=$A191)*(이수내역!$D$3:$D$2002=$D191)*이수내역!$A$3:$A$2002))))</f>
        <v/>
      </c>
      <c r="H191" s="23" t="str">
        <f aca="false">IF($A191="","",IF($F191="","",IF($G191="",EDATE(직원목록!$E18,$F191),EDATE($G191,$F191))))</f>
        <v/>
      </c>
      <c r="I191" s="21" t="str">
        <f aca="true">IF($H191="","",$H191-TODAY())</f>
        <v/>
      </c>
      <c r="J191" s="21" t="str">
        <f aca="false">IF($A191="","",IF($H191="","-",IF($I191&lt;0,"기한초과",IF($I191&lt;=사용안내!$C$16,"임박","정상"))))</f>
        <v/>
      </c>
    </row>
    <row r="192" customFormat="false" ht="15" hidden="false" customHeight="true" outlineLevel="0" collapsed="false">
      <c r="A192" s="20" t="str">
        <f aca="false">IF(OR(직원목록!$A18="",교육과정!$A9="",직원목록!$F18="퇴사"),"",직원목록!$A18)</f>
        <v/>
      </c>
      <c r="B192" s="20" t="str">
        <f aca="false">IF($A192="","",직원목록!$B18)</f>
        <v/>
      </c>
      <c r="C192" s="20" t="str">
        <f aca="false">IF($A192="","",직원목록!$C18)</f>
        <v/>
      </c>
      <c r="D192" s="21" t="str">
        <f aca="false">IF($A192="","",교육과정!$A9)</f>
        <v/>
      </c>
      <c r="E192" s="20" t="str">
        <f aca="false">IF($A192="","",교육과정!$B9)</f>
        <v/>
      </c>
      <c r="F192" s="21" t="str">
        <f aca="false">IF($A192="","",교육과정!$C9)</f>
        <v/>
      </c>
      <c r="G192" s="23" t="str">
        <f aca="false">IF($A192="","",IF(COUNTIFS(이수내역!$B$3:$B$2002,$A192,이수내역!$D$3:$D$2002,$D192)=0,"",SUMPRODUCT(MAX((이수내역!$B$3:$B$2002=$A192)*(이수내역!$D$3:$D$2002=$D192)*이수내역!$A$3:$A$2002))))</f>
        <v/>
      </c>
      <c r="H192" s="23" t="str">
        <f aca="false">IF($A192="","",IF($F192="","",IF($G192="",EDATE(직원목록!$E18,$F192),EDATE($G192,$F192))))</f>
        <v/>
      </c>
      <c r="I192" s="21" t="str">
        <f aca="true">IF($H192="","",$H192-TODAY())</f>
        <v/>
      </c>
      <c r="J192" s="21" t="str">
        <f aca="false">IF($A192="","",IF($H192="","-",IF($I192&lt;0,"기한초과",IF($I192&lt;=사용안내!$C$16,"임박","정상"))))</f>
        <v/>
      </c>
    </row>
    <row r="193" customFormat="false" ht="15" hidden="false" customHeight="true" outlineLevel="0" collapsed="false">
      <c r="A193" s="20" t="str">
        <f aca="false">IF(OR(직원목록!$A18="",교육과정!$A10="",직원목록!$F18="퇴사"),"",직원목록!$A18)</f>
        <v/>
      </c>
      <c r="B193" s="20" t="str">
        <f aca="false">IF($A193="","",직원목록!$B18)</f>
        <v/>
      </c>
      <c r="C193" s="20" t="str">
        <f aca="false">IF($A193="","",직원목록!$C18)</f>
        <v/>
      </c>
      <c r="D193" s="21" t="str">
        <f aca="false">IF($A193="","",교육과정!$A10)</f>
        <v/>
      </c>
      <c r="E193" s="20" t="str">
        <f aca="false">IF($A193="","",교육과정!$B10)</f>
        <v/>
      </c>
      <c r="F193" s="21" t="str">
        <f aca="false">IF($A193="","",교육과정!$C10)</f>
        <v/>
      </c>
      <c r="G193" s="23" t="str">
        <f aca="false">IF($A193="","",IF(COUNTIFS(이수내역!$B$3:$B$2002,$A193,이수내역!$D$3:$D$2002,$D193)=0,"",SUMPRODUCT(MAX((이수내역!$B$3:$B$2002=$A193)*(이수내역!$D$3:$D$2002=$D193)*이수내역!$A$3:$A$2002))))</f>
        <v/>
      </c>
      <c r="H193" s="23" t="str">
        <f aca="false">IF($A193="","",IF($F193="","",IF($G193="",EDATE(직원목록!$E18,$F193),EDATE($G193,$F193))))</f>
        <v/>
      </c>
      <c r="I193" s="21" t="str">
        <f aca="true">IF($H193="","",$H193-TODAY())</f>
        <v/>
      </c>
      <c r="J193" s="21" t="str">
        <f aca="false">IF($A193="","",IF($H193="","-",IF($I193&lt;0,"기한초과",IF($I193&lt;=사용안내!$C$16,"임박","정상"))))</f>
        <v/>
      </c>
    </row>
    <row r="194" customFormat="false" ht="15" hidden="false" customHeight="true" outlineLevel="0" collapsed="false">
      <c r="A194" s="20" t="str">
        <f aca="false">IF(OR(직원목록!$A18="",교육과정!$A11="",직원목록!$F18="퇴사"),"",직원목록!$A18)</f>
        <v/>
      </c>
      <c r="B194" s="20" t="str">
        <f aca="false">IF($A194="","",직원목록!$B18)</f>
        <v/>
      </c>
      <c r="C194" s="20" t="str">
        <f aca="false">IF($A194="","",직원목록!$C18)</f>
        <v/>
      </c>
      <c r="D194" s="21" t="str">
        <f aca="false">IF($A194="","",교육과정!$A11)</f>
        <v/>
      </c>
      <c r="E194" s="20" t="str">
        <f aca="false">IF($A194="","",교육과정!$B11)</f>
        <v/>
      </c>
      <c r="F194" s="21" t="str">
        <f aca="false">IF($A194="","",교육과정!$C11)</f>
        <v/>
      </c>
      <c r="G194" s="23" t="str">
        <f aca="false">IF($A194="","",IF(COUNTIFS(이수내역!$B$3:$B$2002,$A194,이수내역!$D$3:$D$2002,$D194)=0,"",SUMPRODUCT(MAX((이수내역!$B$3:$B$2002=$A194)*(이수내역!$D$3:$D$2002=$D194)*이수내역!$A$3:$A$2002))))</f>
        <v/>
      </c>
      <c r="H194" s="23" t="str">
        <f aca="false">IF($A194="","",IF($F194="","",IF($G194="",EDATE(직원목록!$E18,$F194),EDATE($G194,$F194))))</f>
        <v/>
      </c>
      <c r="I194" s="21" t="str">
        <f aca="true">IF($H194="","",$H194-TODAY())</f>
        <v/>
      </c>
      <c r="J194" s="21" t="str">
        <f aca="false">IF($A194="","",IF($H194="","-",IF($I194&lt;0,"기한초과",IF($I194&lt;=사용안내!$C$16,"임박","정상"))))</f>
        <v/>
      </c>
    </row>
    <row r="195" customFormat="false" ht="15" hidden="false" customHeight="true" outlineLevel="0" collapsed="false">
      <c r="A195" s="20" t="str">
        <f aca="false">IF(OR(직원목록!$A18="",교육과정!$A12="",직원목록!$F18="퇴사"),"",직원목록!$A18)</f>
        <v/>
      </c>
      <c r="B195" s="20" t="str">
        <f aca="false">IF($A195="","",직원목록!$B18)</f>
        <v/>
      </c>
      <c r="C195" s="20" t="str">
        <f aca="false">IF($A195="","",직원목록!$C18)</f>
        <v/>
      </c>
      <c r="D195" s="21" t="str">
        <f aca="false">IF($A195="","",교육과정!$A12)</f>
        <v/>
      </c>
      <c r="E195" s="20" t="str">
        <f aca="false">IF($A195="","",교육과정!$B12)</f>
        <v/>
      </c>
      <c r="F195" s="21" t="str">
        <f aca="false">IF($A195="","",교육과정!$C12)</f>
        <v/>
      </c>
      <c r="G195" s="23" t="str">
        <f aca="false">IF($A195="","",IF(COUNTIFS(이수내역!$B$3:$B$2002,$A195,이수내역!$D$3:$D$2002,$D195)=0,"",SUMPRODUCT(MAX((이수내역!$B$3:$B$2002=$A195)*(이수내역!$D$3:$D$2002=$D195)*이수내역!$A$3:$A$2002))))</f>
        <v/>
      </c>
      <c r="H195" s="23" t="str">
        <f aca="false">IF($A195="","",IF($F195="","",IF($G195="",EDATE(직원목록!$E18,$F195),EDATE($G195,$F195))))</f>
        <v/>
      </c>
      <c r="I195" s="21" t="str">
        <f aca="true">IF($H195="","",$H195-TODAY())</f>
        <v/>
      </c>
      <c r="J195" s="21" t="str">
        <f aca="false">IF($A195="","",IF($H195="","-",IF($I195&lt;0,"기한초과",IF($I195&lt;=사용안내!$C$16,"임박","정상"))))</f>
        <v/>
      </c>
    </row>
    <row r="196" customFormat="false" ht="15" hidden="false" customHeight="true" outlineLevel="0" collapsed="false">
      <c r="A196" s="20" t="str">
        <f aca="false">IF(OR(직원목록!$A18="",교육과정!$A13="",직원목록!$F18="퇴사"),"",직원목록!$A18)</f>
        <v/>
      </c>
      <c r="B196" s="20" t="str">
        <f aca="false">IF($A196="","",직원목록!$B18)</f>
        <v/>
      </c>
      <c r="C196" s="20" t="str">
        <f aca="false">IF($A196="","",직원목록!$C18)</f>
        <v/>
      </c>
      <c r="D196" s="21" t="str">
        <f aca="false">IF($A196="","",교육과정!$A13)</f>
        <v/>
      </c>
      <c r="E196" s="20" t="str">
        <f aca="false">IF($A196="","",교육과정!$B13)</f>
        <v/>
      </c>
      <c r="F196" s="21" t="str">
        <f aca="false">IF($A196="","",교육과정!$C13)</f>
        <v/>
      </c>
      <c r="G196" s="23" t="str">
        <f aca="false">IF($A196="","",IF(COUNTIFS(이수내역!$B$3:$B$2002,$A196,이수내역!$D$3:$D$2002,$D196)=0,"",SUMPRODUCT(MAX((이수내역!$B$3:$B$2002=$A196)*(이수내역!$D$3:$D$2002=$D196)*이수내역!$A$3:$A$2002))))</f>
        <v/>
      </c>
      <c r="H196" s="23" t="str">
        <f aca="false">IF($A196="","",IF($F196="","",IF($G196="",EDATE(직원목록!$E18,$F196),EDATE($G196,$F196))))</f>
        <v/>
      </c>
      <c r="I196" s="21" t="str">
        <f aca="true">IF($H196="","",$H196-TODAY())</f>
        <v/>
      </c>
      <c r="J196" s="21" t="str">
        <f aca="false">IF($A196="","",IF($H196="","-",IF($I196&lt;0,"기한초과",IF($I196&lt;=사용안내!$C$16,"임박","정상"))))</f>
        <v/>
      </c>
    </row>
    <row r="197" customFormat="false" ht="15" hidden="false" customHeight="true" outlineLevel="0" collapsed="false">
      <c r="A197" s="20" t="str">
        <f aca="false">IF(OR(직원목록!$A18="",교육과정!$A14="",직원목록!$F18="퇴사"),"",직원목록!$A18)</f>
        <v/>
      </c>
      <c r="B197" s="20" t="str">
        <f aca="false">IF($A197="","",직원목록!$B18)</f>
        <v/>
      </c>
      <c r="C197" s="20" t="str">
        <f aca="false">IF($A197="","",직원목록!$C18)</f>
        <v/>
      </c>
      <c r="D197" s="21" t="str">
        <f aca="false">IF($A197="","",교육과정!$A14)</f>
        <v/>
      </c>
      <c r="E197" s="20" t="str">
        <f aca="false">IF($A197="","",교육과정!$B14)</f>
        <v/>
      </c>
      <c r="F197" s="21" t="str">
        <f aca="false">IF($A197="","",교육과정!$C14)</f>
        <v/>
      </c>
      <c r="G197" s="23" t="str">
        <f aca="false">IF($A197="","",IF(COUNTIFS(이수내역!$B$3:$B$2002,$A197,이수내역!$D$3:$D$2002,$D197)=0,"",SUMPRODUCT(MAX((이수내역!$B$3:$B$2002=$A197)*(이수내역!$D$3:$D$2002=$D197)*이수내역!$A$3:$A$2002))))</f>
        <v/>
      </c>
      <c r="H197" s="23" t="str">
        <f aca="false">IF($A197="","",IF($F197="","",IF($G197="",EDATE(직원목록!$E18,$F197),EDATE($G197,$F197))))</f>
        <v/>
      </c>
      <c r="I197" s="21" t="str">
        <f aca="true">IF($H197="","",$H197-TODAY())</f>
        <v/>
      </c>
      <c r="J197" s="21" t="str">
        <f aca="false">IF($A197="","",IF($H197="","-",IF($I197&lt;0,"기한초과",IF($I197&lt;=사용안내!$C$16,"임박","정상"))))</f>
        <v/>
      </c>
    </row>
    <row r="198" customFormat="false" ht="15" hidden="false" customHeight="true" outlineLevel="0" collapsed="false">
      <c r="A198" s="20" t="str">
        <f aca="false">IF(OR(직원목록!$A19="",교육과정!$A3="",직원목록!$F19="퇴사"),"",직원목록!$A19)</f>
        <v/>
      </c>
      <c r="B198" s="20" t="str">
        <f aca="false">IF($A198="","",직원목록!$B19)</f>
        <v/>
      </c>
      <c r="C198" s="20" t="str">
        <f aca="false">IF($A198="","",직원목록!$C19)</f>
        <v/>
      </c>
      <c r="D198" s="21" t="str">
        <f aca="false">IF($A198="","",교육과정!$A3)</f>
        <v/>
      </c>
      <c r="E198" s="20" t="str">
        <f aca="false">IF($A198="","",교육과정!$B3)</f>
        <v/>
      </c>
      <c r="F198" s="21" t="str">
        <f aca="false">IF($A198="","",교육과정!$C3)</f>
        <v/>
      </c>
      <c r="G198" s="23" t="str">
        <f aca="false">IF($A198="","",IF(COUNTIFS(이수내역!$B$3:$B$2002,$A198,이수내역!$D$3:$D$2002,$D198)=0,"",SUMPRODUCT(MAX((이수내역!$B$3:$B$2002=$A198)*(이수내역!$D$3:$D$2002=$D198)*이수내역!$A$3:$A$2002))))</f>
        <v/>
      </c>
      <c r="H198" s="23" t="str">
        <f aca="false">IF($A198="","",IF($F198="","",IF($G198="",EDATE(직원목록!$E19,$F198),EDATE($G198,$F198))))</f>
        <v/>
      </c>
      <c r="I198" s="21" t="str">
        <f aca="true">IF($H198="","",$H198-TODAY())</f>
        <v/>
      </c>
      <c r="J198" s="21" t="str">
        <f aca="false">IF($A198="","",IF($H198="","-",IF($I198&lt;0,"기한초과",IF($I198&lt;=사용안내!$C$16,"임박","정상"))))</f>
        <v/>
      </c>
    </row>
    <row r="199" customFormat="false" ht="15" hidden="false" customHeight="true" outlineLevel="0" collapsed="false">
      <c r="A199" s="20" t="str">
        <f aca="false">IF(OR(직원목록!$A19="",교육과정!$A4="",직원목록!$F19="퇴사"),"",직원목록!$A19)</f>
        <v/>
      </c>
      <c r="B199" s="20" t="str">
        <f aca="false">IF($A199="","",직원목록!$B19)</f>
        <v/>
      </c>
      <c r="C199" s="20" t="str">
        <f aca="false">IF($A199="","",직원목록!$C19)</f>
        <v/>
      </c>
      <c r="D199" s="21" t="str">
        <f aca="false">IF($A199="","",교육과정!$A4)</f>
        <v/>
      </c>
      <c r="E199" s="20" t="str">
        <f aca="false">IF($A199="","",교육과정!$B4)</f>
        <v/>
      </c>
      <c r="F199" s="21" t="str">
        <f aca="false">IF($A199="","",교육과정!$C4)</f>
        <v/>
      </c>
      <c r="G199" s="23" t="str">
        <f aca="false">IF($A199="","",IF(COUNTIFS(이수내역!$B$3:$B$2002,$A199,이수내역!$D$3:$D$2002,$D199)=0,"",SUMPRODUCT(MAX((이수내역!$B$3:$B$2002=$A199)*(이수내역!$D$3:$D$2002=$D199)*이수내역!$A$3:$A$2002))))</f>
        <v/>
      </c>
      <c r="H199" s="23" t="str">
        <f aca="false">IF($A199="","",IF($F199="","",IF($G199="",EDATE(직원목록!$E19,$F199),EDATE($G199,$F199))))</f>
        <v/>
      </c>
      <c r="I199" s="21" t="str">
        <f aca="true">IF($H199="","",$H199-TODAY())</f>
        <v/>
      </c>
      <c r="J199" s="21" t="str">
        <f aca="false">IF($A199="","",IF($H199="","-",IF($I199&lt;0,"기한초과",IF($I199&lt;=사용안내!$C$16,"임박","정상"))))</f>
        <v/>
      </c>
    </row>
    <row r="200" customFormat="false" ht="15" hidden="false" customHeight="true" outlineLevel="0" collapsed="false">
      <c r="A200" s="20" t="str">
        <f aca="false">IF(OR(직원목록!$A19="",교육과정!$A5="",직원목록!$F19="퇴사"),"",직원목록!$A19)</f>
        <v/>
      </c>
      <c r="B200" s="20" t="str">
        <f aca="false">IF($A200="","",직원목록!$B19)</f>
        <v/>
      </c>
      <c r="C200" s="20" t="str">
        <f aca="false">IF($A200="","",직원목록!$C19)</f>
        <v/>
      </c>
      <c r="D200" s="21" t="str">
        <f aca="false">IF($A200="","",교육과정!$A5)</f>
        <v/>
      </c>
      <c r="E200" s="20" t="str">
        <f aca="false">IF($A200="","",교육과정!$B5)</f>
        <v/>
      </c>
      <c r="F200" s="21" t="str">
        <f aca="false">IF($A200="","",교육과정!$C5)</f>
        <v/>
      </c>
      <c r="G200" s="23" t="str">
        <f aca="false">IF($A200="","",IF(COUNTIFS(이수내역!$B$3:$B$2002,$A200,이수내역!$D$3:$D$2002,$D200)=0,"",SUMPRODUCT(MAX((이수내역!$B$3:$B$2002=$A200)*(이수내역!$D$3:$D$2002=$D200)*이수내역!$A$3:$A$2002))))</f>
        <v/>
      </c>
      <c r="H200" s="23" t="str">
        <f aca="false">IF($A200="","",IF($F200="","",IF($G200="",EDATE(직원목록!$E19,$F200),EDATE($G200,$F200))))</f>
        <v/>
      </c>
      <c r="I200" s="21" t="str">
        <f aca="true">IF($H200="","",$H200-TODAY())</f>
        <v/>
      </c>
      <c r="J200" s="21" t="str">
        <f aca="false">IF($A200="","",IF($H200="","-",IF($I200&lt;0,"기한초과",IF($I200&lt;=사용안내!$C$16,"임박","정상"))))</f>
        <v/>
      </c>
    </row>
    <row r="201" customFormat="false" ht="15" hidden="false" customHeight="true" outlineLevel="0" collapsed="false">
      <c r="A201" s="20" t="str">
        <f aca="false">IF(OR(직원목록!$A19="",교육과정!$A6="",직원목록!$F19="퇴사"),"",직원목록!$A19)</f>
        <v/>
      </c>
      <c r="B201" s="20" t="str">
        <f aca="false">IF($A201="","",직원목록!$B19)</f>
        <v/>
      </c>
      <c r="C201" s="20" t="str">
        <f aca="false">IF($A201="","",직원목록!$C19)</f>
        <v/>
      </c>
      <c r="D201" s="21" t="str">
        <f aca="false">IF($A201="","",교육과정!$A6)</f>
        <v/>
      </c>
      <c r="E201" s="20" t="str">
        <f aca="false">IF($A201="","",교육과정!$B6)</f>
        <v/>
      </c>
      <c r="F201" s="21" t="str">
        <f aca="false">IF($A201="","",교육과정!$C6)</f>
        <v/>
      </c>
      <c r="G201" s="23" t="str">
        <f aca="false">IF($A201="","",IF(COUNTIFS(이수내역!$B$3:$B$2002,$A201,이수내역!$D$3:$D$2002,$D201)=0,"",SUMPRODUCT(MAX((이수내역!$B$3:$B$2002=$A201)*(이수내역!$D$3:$D$2002=$D201)*이수내역!$A$3:$A$2002))))</f>
        <v/>
      </c>
      <c r="H201" s="23" t="str">
        <f aca="false">IF($A201="","",IF($F201="","",IF($G201="",EDATE(직원목록!$E19,$F201),EDATE($G201,$F201))))</f>
        <v/>
      </c>
      <c r="I201" s="21" t="str">
        <f aca="true">IF($H201="","",$H201-TODAY())</f>
        <v/>
      </c>
      <c r="J201" s="21" t="str">
        <f aca="false">IF($A201="","",IF($H201="","-",IF($I201&lt;0,"기한초과",IF($I201&lt;=사용안내!$C$16,"임박","정상"))))</f>
        <v/>
      </c>
    </row>
    <row r="202" customFormat="false" ht="15" hidden="false" customHeight="true" outlineLevel="0" collapsed="false">
      <c r="A202" s="20" t="str">
        <f aca="false">IF(OR(직원목록!$A19="",교육과정!$A7="",직원목록!$F19="퇴사"),"",직원목록!$A19)</f>
        <v/>
      </c>
      <c r="B202" s="20" t="str">
        <f aca="false">IF($A202="","",직원목록!$B19)</f>
        <v/>
      </c>
      <c r="C202" s="20" t="str">
        <f aca="false">IF($A202="","",직원목록!$C19)</f>
        <v/>
      </c>
      <c r="D202" s="21" t="str">
        <f aca="false">IF($A202="","",교육과정!$A7)</f>
        <v/>
      </c>
      <c r="E202" s="20" t="str">
        <f aca="false">IF($A202="","",교육과정!$B7)</f>
        <v/>
      </c>
      <c r="F202" s="21" t="str">
        <f aca="false">IF($A202="","",교육과정!$C7)</f>
        <v/>
      </c>
      <c r="G202" s="23" t="str">
        <f aca="false">IF($A202="","",IF(COUNTIFS(이수내역!$B$3:$B$2002,$A202,이수내역!$D$3:$D$2002,$D202)=0,"",SUMPRODUCT(MAX((이수내역!$B$3:$B$2002=$A202)*(이수내역!$D$3:$D$2002=$D202)*이수내역!$A$3:$A$2002))))</f>
        <v/>
      </c>
      <c r="H202" s="23" t="str">
        <f aca="false">IF($A202="","",IF($F202="","",IF($G202="",EDATE(직원목록!$E19,$F202),EDATE($G202,$F202))))</f>
        <v/>
      </c>
      <c r="I202" s="21" t="str">
        <f aca="true">IF($H202="","",$H202-TODAY())</f>
        <v/>
      </c>
      <c r="J202" s="21" t="str">
        <f aca="false">IF($A202="","",IF($H202="","-",IF($I202&lt;0,"기한초과",IF($I202&lt;=사용안내!$C$16,"임박","정상"))))</f>
        <v/>
      </c>
    </row>
    <row r="203" customFormat="false" ht="15" hidden="false" customHeight="true" outlineLevel="0" collapsed="false">
      <c r="A203" s="20" t="str">
        <f aca="false">IF(OR(직원목록!$A19="",교육과정!$A8="",직원목록!$F19="퇴사"),"",직원목록!$A19)</f>
        <v/>
      </c>
      <c r="B203" s="20" t="str">
        <f aca="false">IF($A203="","",직원목록!$B19)</f>
        <v/>
      </c>
      <c r="C203" s="20" t="str">
        <f aca="false">IF($A203="","",직원목록!$C19)</f>
        <v/>
      </c>
      <c r="D203" s="21" t="str">
        <f aca="false">IF($A203="","",교육과정!$A8)</f>
        <v/>
      </c>
      <c r="E203" s="20" t="str">
        <f aca="false">IF($A203="","",교육과정!$B8)</f>
        <v/>
      </c>
      <c r="F203" s="21" t="str">
        <f aca="false">IF($A203="","",교육과정!$C8)</f>
        <v/>
      </c>
      <c r="G203" s="23" t="str">
        <f aca="false">IF($A203="","",IF(COUNTIFS(이수내역!$B$3:$B$2002,$A203,이수내역!$D$3:$D$2002,$D203)=0,"",SUMPRODUCT(MAX((이수내역!$B$3:$B$2002=$A203)*(이수내역!$D$3:$D$2002=$D203)*이수내역!$A$3:$A$2002))))</f>
        <v/>
      </c>
      <c r="H203" s="23" t="str">
        <f aca="false">IF($A203="","",IF($F203="","",IF($G203="",EDATE(직원목록!$E19,$F203),EDATE($G203,$F203))))</f>
        <v/>
      </c>
      <c r="I203" s="21" t="str">
        <f aca="true">IF($H203="","",$H203-TODAY())</f>
        <v/>
      </c>
      <c r="J203" s="21" t="str">
        <f aca="false">IF($A203="","",IF($H203="","-",IF($I203&lt;0,"기한초과",IF($I203&lt;=사용안내!$C$16,"임박","정상"))))</f>
        <v/>
      </c>
    </row>
    <row r="204" customFormat="false" ht="15" hidden="false" customHeight="true" outlineLevel="0" collapsed="false">
      <c r="A204" s="20" t="str">
        <f aca="false">IF(OR(직원목록!$A19="",교육과정!$A9="",직원목록!$F19="퇴사"),"",직원목록!$A19)</f>
        <v/>
      </c>
      <c r="B204" s="20" t="str">
        <f aca="false">IF($A204="","",직원목록!$B19)</f>
        <v/>
      </c>
      <c r="C204" s="20" t="str">
        <f aca="false">IF($A204="","",직원목록!$C19)</f>
        <v/>
      </c>
      <c r="D204" s="21" t="str">
        <f aca="false">IF($A204="","",교육과정!$A9)</f>
        <v/>
      </c>
      <c r="E204" s="20" t="str">
        <f aca="false">IF($A204="","",교육과정!$B9)</f>
        <v/>
      </c>
      <c r="F204" s="21" t="str">
        <f aca="false">IF($A204="","",교육과정!$C9)</f>
        <v/>
      </c>
      <c r="G204" s="23" t="str">
        <f aca="false">IF($A204="","",IF(COUNTIFS(이수내역!$B$3:$B$2002,$A204,이수내역!$D$3:$D$2002,$D204)=0,"",SUMPRODUCT(MAX((이수내역!$B$3:$B$2002=$A204)*(이수내역!$D$3:$D$2002=$D204)*이수내역!$A$3:$A$2002))))</f>
        <v/>
      </c>
      <c r="H204" s="23" t="str">
        <f aca="false">IF($A204="","",IF($F204="","",IF($G204="",EDATE(직원목록!$E19,$F204),EDATE($G204,$F204))))</f>
        <v/>
      </c>
      <c r="I204" s="21" t="str">
        <f aca="true">IF($H204="","",$H204-TODAY())</f>
        <v/>
      </c>
      <c r="J204" s="21" t="str">
        <f aca="false">IF($A204="","",IF($H204="","-",IF($I204&lt;0,"기한초과",IF($I204&lt;=사용안내!$C$16,"임박","정상"))))</f>
        <v/>
      </c>
    </row>
    <row r="205" customFormat="false" ht="15" hidden="false" customHeight="true" outlineLevel="0" collapsed="false">
      <c r="A205" s="20" t="str">
        <f aca="false">IF(OR(직원목록!$A19="",교육과정!$A10="",직원목록!$F19="퇴사"),"",직원목록!$A19)</f>
        <v/>
      </c>
      <c r="B205" s="20" t="str">
        <f aca="false">IF($A205="","",직원목록!$B19)</f>
        <v/>
      </c>
      <c r="C205" s="20" t="str">
        <f aca="false">IF($A205="","",직원목록!$C19)</f>
        <v/>
      </c>
      <c r="D205" s="21" t="str">
        <f aca="false">IF($A205="","",교육과정!$A10)</f>
        <v/>
      </c>
      <c r="E205" s="20" t="str">
        <f aca="false">IF($A205="","",교육과정!$B10)</f>
        <v/>
      </c>
      <c r="F205" s="21" t="str">
        <f aca="false">IF($A205="","",교육과정!$C10)</f>
        <v/>
      </c>
      <c r="G205" s="23" t="str">
        <f aca="false">IF($A205="","",IF(COUNTIFS(이수내역!$B$3:$B$2002,$A205,이수내역!$D$3:$D$2002,$D205)=0,"",SUMPRODUCT(MAX((이수내역!$B$3:$B$2002=$A205)*(이수내역!$D$3:$D$2002=$D205)*이수내역!$A$3:$A$2002))))</f>
        <v/>
      </c>
      <c r="H205" s="23" t="str">
        <f aca="false">IF($A205="","",IF($F205="","",IF($G205="",EDATE(직원목록!$E19,$F205),EDATE($G205,$F205))))</f>
        <v/>
      </c>
      <c r="I205" s="21" t="str">
        <f aca="true">IF($H205="","",$H205-TODAY())</f>
        <v/>
      </c>
      <c r="J205" s="21" t="str">
        <f aca="false">IF($A205="","",IF($H205="","-",IF($I205&lt;0,"기한초과",IF($I205&lt;=사용안내!$C$16,"임박","정상"))))</f>
        <v/>
      </c>
    </row>
    <row r="206" customFormat="false" ht="15" hidden="false" customHeight="true" outlineLevel="0" collapsed="false">
      <c r="A206" s="20" t="str">
        <f aca="false">IF(OR(직원목록!$A19="",교육과정!$A11="",직원목록!$F19="퇴사"),"",직원목록!$A19)</f>
        <v/>
      </c>
      <c r="B206" s="20" t="str">
        <f aca="false">IF($A206="","",직원목록!$B19)</f>
        <v/>
      </c>
      <c r="C206" s="20" t="str">
        <f aca="false">IF($A206="","",직원목록!$C19)</f>
        <v/>
      </c>
      <c r="D206" s="21" t="str">
        <f aca="false">IF($A206="","",교육과정!$A11)</f>
        <v/>
      </c>
      <c r="E206" s="20" t="str">
        <f aca="false">IF($A206="","",교육과정!$B11)</f>
        <v/>
      </c>
      <c r="F206" s="21" t="str">
        <f aca="false">IF($A206="","",교육과정!$C11)</f>
        <v/>
      </c>
      <c r="G206" s="23" t="str">
        <f aca="false">IF($A206="","",IF(COUNTIFS(이수내역!$B$3:$B$2002,$A206,이수내역!$D$3:$D$2002,$D206)=0,"",SUMPRODUCT(MAX((이수내역!$B$3:$B$2002=$A206)*(이수내역!$D$3:$D$2002=$D206)*이수내역!$A$3:$A$2002))))</f>
        <v/>
      </c>
      <c r="H206" s="23" t="str">
        <f aca="false">IF($A206="","",IF($F206="","",IF($G206="",EDATE(직원목록!$E19,$F206),EDATE($G206,$F206))))</f>
        <v/>
      </c>
      <c r="I206" s="21" t="str">
        <f aca="true">IF($H206="","",$H206-TODAY())</f>
        <v/>
      </c>
      <c r="J206" s="21" t="str">
        <f aca="false">IF($A206="","",IF($H206="","-",IF($I206&lt;0,"기한초과",IF($I206&lt;=사용안내!$C$16,"임박","정상"))))</f>
        <v/>
      </c>
    </row>
    <row r="207" customFormat="false" ht="15" hidden="false" customHeight="true" outlineLevel="0" collapsed="false">
      <c r="A207" s="20" t="str">
        <f aca="false">IF(OR(직원목록!$A19="",교육과정!$A12="",직원목록!$F19="퇴사"),"",직원목록!$A19)</f>
        <v/>
      </c>
      <c r="B207" s="20" t="str">
        <f aca="false">IF($A207="","",직원목록!$B19)</f>
        <v/>
      </c>
      <c r="C207" s="20" t="str">
        <f aca="false">IF($A207="","",직원목록!$C19)</f>
        <v/>
      </c>
      <c r="D207" s="21" t="str">
        <f aca="false">IF($A207="","",교육과정!$A12)</f>
        <v/>
      </c>
      <c r="E207" s="20" t="str">
        <f aca="false">IF($A207="","",교육과정!$B12)</f>
        <v/>
      </c>
      <c r="F207" s="21" t="str">
        <f aca="false">IF($A207="","",교육과정!$C12)</f>
        <v/>
      </c>
      <c r="G207" s="23" t="str">
        <f aca="false">IF($A207="","",IF(COUNTIFS(이수내역!$B$3:$B$2002,$A207,이수내역!$D$3:$D$2002,$D207)=0,"",SUMPRODUCT(MAX((이수내역!$B$3:$B$2002=$A207)*(이수내역!$D$3:$D$2002=$D207)*이수내역!$A$3:$A$2002))))</f>
        <v/>
      </c>
      <c r="H207" s="23" t="str">
        <f aca="false">IF($A207="","",IF($F207="","",IF($G207="",EDATE(직원목록!$E19,$F207),EDATE($G207,$F207))))</f>
        <v/>
      </c>
      <c r="I207" s="21" t="str">
        <f aca="true">IF($H207="","",$H207-TODAY())</f>
        <v/>
      </c>
      <c r="J207" s="21" t="str">
        <f aca="false">IF($A207="","",IF($H207="","-",IF($I207&lt;0,"기한초과",IF($I207&lt;=사용안내!$C$16,"임박","정상"))))</f>
        <v/>
      </c>
    </row>
    <row r="208" customFormat="false" ht="15" hidden="false" customHeight="true" outlineLevel="0" collapsed="false">
      <c r="A208" s="20" t="str">
        <f aca="false">IF(OR(직원목록!$A19="",교육과정!$A13="",직원목록!$F19="퇴사"),"",직원목록!$A19)</f>
        <v/>
      </c>
      <c r="B208" s="20" t="str">
        <f aca="false">IF($A208="","",직원목록!$B19)</f>
        <v/>
      </c>
      <c r="C208" s="20" t="str">
        <f aca="false">IF($A208="","",직원목록!$C19)</f>
        <v/>
      </c>
      <c r="D208" s="21" t="str">
        <f aca="false">IF($A208="","",교육과정!$A13)</f>
        <v/>
      </c>
      <c r="E208" s="20" t="str">
        <f aca="false">IF($A208="","",교육과정!$B13)</f>
        <v/>
      </c>
      <c r="F208" s="21" t="str">
        <f aca="false">IF($A208="","",교육과정!$C13)</f>
        <v/>
      </c>
      <c r="G208" s="23" t="str">
        <f aca="false">IF($A208="","",IF(COUNTIFS(이수내역!$B$3:$B$2002,$A208,이수내역!$D$3:$D$2002,$D208)=0,"",SUMPRODUCT(MAX((이수내역!$B$3:$B$2002=$A208)*(이수내역!$D$3:$D$2002=$D208)*이수내역!$A$3:$A$2002))))</f>
        <v/>
      </c>
      <c r="H208" s="23" t="str">
        <f aca="false">IF($A208="","",IF($F208="","",IF($G208="",EDATE(직원목록!$E19,$F208),EDATE($G208,$F208))))</f>
        <v/>
      </c>
      <c r="I208" s="21" t="str">
        <f aca="true">IF($H208="","",$H208-TODAY())</f>
        <v/>
      </c>
      <c r="J208" s="21" t="str">
        <f aca="false">IF($A208="","",IF($H208="","-",IF($I208&lt;0,"기한초과",IF($I208&lt;=사용안내!$C$16,"임박","정상"))))</f>
        <v/>
      </c>
    </row>
    <row r="209" customFormat="false" ht="15" hidden="false" customHeight="true" outlineLevel="0" collapsed="false">
      <c r="A209" s="20" t="str">
        <f aca="false">IF(OR(직원목록!$A19="",교육과정!$A14="",직원목록!$F19="퇴사"),"",직원목록!$A19)</f>
        <v/>
      </c>
      <c r="B209" s="20" t="str">
        <f aca="false">IF($A209="","",직원목록!$B19)</f>
        <v/>
      </c>
      <c r="C209" s="20" t="str">
        <f aca="false">IF($A209="","",직원목록!$C19)</f>
        <v/>
      </c>
      <c r="D209" s="21" t="str">
        <f aca="false">IF($A209="","",교육과정!$A14)</f>
        <v/>
      </c>
      <c r="E209" s="20" t="str">
        <f aca="false">IF($A209="","",교육과정!$B14)</f>
        <v/>
      </c>
      <c r="F209" s="21" t="str">
        <f aca="false">IF($A209="","",교육과정!$C14)</f>
        <v/>
      </c>
      <c r="G209" s="23" t="str">
        <f aca="false">IF($A209="","",IF(COUNTIFS(이수내역!$B$3:$B$2002,$A209,이수내역!$D$3:$D$2002,$D209)=0,"",SUMPRODUCT(MAX((이수내역!$B$3:$B$2002=$A209)*(이수내역!$D$3:$D$2002=$D209)*이수내역!$A$3:$A$2002))))</f>
        <v/>
      </c>
      <c r="H209" s="23" t="str">
        <f aca="false">IF($A209="","",IF($F209="","",IF($G209="",EDATE(직원목록!$E19,$F209),EDATE($G209,$F209))))</f>
        <v/>
      </c>
      <c r="I209" s="21" t="str">
        <f aca="true">IF($H209="","",$H209-TODAY())</f>
        <v/>
      </c>
      <c r="J209" s="21" t="str">
        <f aca="false">IF($A209="","",IF($H209="","-",IF($I209&lt;0,"기한초과",IF($I209&lt;=사용안내!$C$16,"임박","정상"))))</f>
        <v/>
      </c>
    </row>
    <row r="210" customFormat="false" ht="15" hidden="false" customHeight="true" outlineLevel="0" collapsed="false">
      <c r="A210" s="20" t="str">
        <f aca="false">IF(OR(직원목록!$A20="",교육과정!$A3="",직원목록!$F20="퇴사"),"",직원목록!$A20)</f>
        <v/>
      </c>
      <c r="B210" s="20" t="str">
        <f aca="false">IF($A210="","",직원목록!$B20)</f>
        <v/>
      </c>
      <c r="C210" s="20" t="str">
        <f aca="false">IF($A210="","",직원목록!$C20)</f>
        <v/>
      </c>
      <c r="D210" s="21" t="str">
        <f aca="false">IF($A210="","",교육과정!$A3)</f>
        <v/>
      </c>
      <c r="E210" s="20" t="str">
        <f aca="false">IF($A210="","",교육과정!$B3)</f>
        <v/>
      </c>
      <c r="F210" s="21" t="str">
        <f aca="false">IF($A210="","",교육과정!$C3)</f>
        <v/>
      </c>
      <c r="G210" s="23" t="str">
        <f aca="false">IF($A210="","",IF(COUNTIFS(이수내역!$B$3:$B$2002,$A210,이수내역!$D$3:$D$2002,$D210)=0,"",SUMPRODUCT(MAX((이수내역!$B$3:$B$2002=$A210)*(이수내역!$D$3:$D$2002=$D210)*이수내역!$A$3:$A$2002))))</f>
        <v/>
      </c>
      <c r="H210" s="23" t="str">
        <f aca="false">IF($A210="","",IF($F210="","",IF($G210="",EDATE(직원목록!$E20,$F210),EDATE($G210,$F210))))</f>
        <v/>
      </c>
      <c r="I210" s="21" t="str">
        <f aca="true">IF($H210="","",$H210-TODAY())</f>
        <v/>
      </c>
      <c r="J210" s="21" t="str">
        <f aca="false">IF($A210="","",IF($H210="","-",IF($I210&lt;0,"기한초과",IF($I210&lt;=사용안내!$C$16,"임박","정상"))))</f>
        <v/>
      </c>
    </row>
    <row r="211" customFormat="false" ht="15" hidden="false" customHeight="true" outlineLevel="0" collapsed="false">
      <c r="A211" s="20" t="str">
        <f aca="false">IF(OR(직원목록!$A20="",교육과정!$A4="",직원목록!$F20="퇴사"),"",직원목록!$A20)</f>
        <v/>
      </c>
      <c r="B211" s="20" t="str">
        <f aca="false">IF($A211="","",직원목록!$B20)</f>
        <v/>
      </c>
      <c r="C211" s="20" t="str">
        <f aca="false">IF($A211="","",직원목록!$C20)</f>
        <v/>
      </c>
      <c r="D211" s="21" t="str">
        <f aca="false">IF($A211="","",교육과정!$A4)</f>
        <v/>
      </c>
      <c r="E211" s="20" t="str">
        <f aca="false">IF($A211="","",교육과정!$B4)</f>
        <v/>
      </c>
      <c r="F211" s="21" t="str">
        <f aca="false">IF($A211="","",교육과정!$C4)</f>
        <v/>
      </c>
      <c r="G211" s="23" t="str">
        <f aca="false">IF($A211="","",IF(COUNTIFS(이수내역!$B$3:$B$2002,$A211,이수내역!$D$3:$D$2002,$D211)=0,"",SUMPRODUCT(MAX((이수내역!$B$3:$B$2002=$A211)*(이수내역!$D$3:$D$2002=$D211)*이수내역!$A$3:$A$2002))))</f>
        <v/>
      </c>
      <c r="H211" s="23" t="str">
        <f aca="false">IF($A211="","",IF($F211="","",IF($G211="",EDATE(직원목록!$E20,$F211),EDATE($G211,$F211))))</f>
        <v/>
      </c>
      <c r="I211" s="21" t="str">
        <f aca="true">IF($H211="","",$H211-TODAY())</f>
        <v/>
      </c>
      <c r="J211" s="21" t="str">
        <f aca="false">IF($A211="","",IF($H211="","-",IF($I211&lt;0,"기한초과",IF($I211&lt;=사용안내!$C$16,"임박","정상"))))</f>
        <v/>
      </c>
    </row>
    <row r="212" customFormat="false" ht="15" hidden="false" customHeight="true" outlineLevel="0" collapsed="false">
      <c r="A212" s="20" t="str">
        <f aca="false">IF(OR(직원목록!$A20="",교육과정!$A5="",직원목록!$F20="퇴사"),"",직원목록!$A20)</f>
        <v/>
      </c>
      <c r="B212" s="20" t="str">
        <f aca="false">IF($A212="","",직원목록!$B20)</f>
        <v/>
      </c>
      <c r="C212" s="20" t="str">
        <f aca="false">IF($A212="","",직원목록!$C20)</f>
        <v/>
      </c>
      <c r="D212" s="21" t="str">
        <f aca="false">IF($A212="","",교육과정!$A5)</f>
        <v/>
      </c>
      <c r="E212" s="20" t="str">
        <f aca="false">IF($A212="","",교육과정!$B5)</f>
        <v/>
      </c>
      <c r="F212" s="21" t="str">
        <f aca="false">IF($A212="","",교육과정!$C5)</f>
        <v/>
      </c>
      <c r="G212" s="23" t="str">
        <f aca="false">IF($A212="","",IF(COUNTIFS(이수내역!$B$3:$B$2002,$A212,이수내역!$D$3:$D$2002,$D212)=0,"",SUMPRODUCT(MAX((이수내역!$B$3:$B$2002=$A212)*(이수내역!$D$3:$D$2002=$D212)*이수내역!$A$3:$A$2002))))</f>
        <v/>
      </c>
      <c r="H212" s="23" t="str">
        <f aca="false">IF($A212="","",IF($F212="","",IF($G212="",EDATE(직원목록!$E20,$F212),EDATE($G212,$F212))))</f>
        <v/>
      </c>
      <c r="I212" s="21" t="str">
        <f aca="true">IF($H212="","",$H212-TODAY())</f>
        <v/>
      </c>
      <c r="J212" s="21" t="str">
        <f aca="false">IF($A212="","",IF($H212="","-",IF($I212&lt;0,"기한초과",IF($I212&lt;=사용안내!$C$16,"임박","정상"))))</f>
        <v/>
      </c>
    </row>
    <row r="213" customFormat="false" ht="15" hidden="false" customHeight="true" outlineLevel="0" collapsed="false">
      <c r="A213" s="20" t="str">
        <f aca="false">IF(OR(직원목록!$A20="",교육과정!$A6="",직원목록!$F20="퇴사"),"",직원목록!$A20)</f>
        <v/>
      </c>
      <c r="B213" s="20" t="str">
        <f aca="false">IF($A213="","",직원목록!$B20)</f>
        <v/>
      </c>
      <c r="C213" s="20" t="str">
        <f aca="false">IF($A213="","",직원목록!$C20)</f>
        <v/>
      </c>
      <c r="D213" s="21" t="str">
        <f aca="false">IF($A213="","",교육과정!$A6)</f>
        <v/>
      </c>
      <c r="E213" s="20" t="str">
        <f aca="false">IF($A213="","",교육과정!$B6)</f>
        <v/>
      </c>
      <c r="F213" s="21" t="str">
        <f aca="false">IF($A213="","",교육과정!$C6)</f>
        <v/>
      </c>
      <c r="G213" s="23" t="str">
        <f aca="false">IF($A213="","",IF(COUNTIFS(이수내역!$B$3:$B$2002,$A213,이수내역!$D$3:$D$2002,$D213)=0,"",SUMPRODUCT(MAX((이수내역!$B$3:$B$2002=$A213)*(이수내역!$D$3:$D$2002=$D213)*이수내역!$A$3:$A$2002))))</f>
        <v/>
      </c>
      <c r="H213" s="23" t="str">
        <f aca="false">IF($A213="","",IF($F213="","",IF($G213="",EDATE(직원목록!$E20,$F213),EDATE($G213,$F213))))</f>
        <v/>
      </c>
      <c r="I213" s="21" t="str">
        <f aca="true">IF($H213="","",$H213-TODAY())</f>
        <v/>
      </c>
      <c r="J213" s="21" t="str">
        <f aca="false">IF($A213="","",IF($H213="","-",IF($I213&lt;0,"기한초과",IF($I213&lt;=사용안내!$C$16,"임박","정상"))))</f>
        <v/>
      </c>
    </row>
    <row r="214" customFormat="false" ht="15" hidden="false" customHeight="true" outlineLevel="0" collapsed="false">
      <c r="A214" s="20" t="str">
        <f aca="false">IF(OR(직원목록!$A20="",교육과정!$A7="",직원목록!$F20="퇴사"),"",직원목록!$A20)</f>
        <v/>
      </c>
      <c r="B214" s="20" t="str">
        <f aca="false">IF($A214="","",직원목록!$B20)</f>
        <v/>
      </c>
      <c r="C214" s="20" t="str">
        <f aca="false">IF($A214="","",직원목록!$C20)</f>
        <v/>
      </c>
      <c r="D214" s="21" t="str">
        <f aca="false">IF($A214="","",교육과정!$A7)</f>
        <v/>
      </c>
      <c r="E214" s="20" t="str">
        <f aca="false">IF($A214="","",교육과정!$B7)</f>
        <v/>
      </c>
      <c r="F214" s="21" t="str">
        <f aca="false">IF($A214="","",교육과정!$C7)</f>
        <v/>
      </c>
      <c r="G214" s="23" t="str">
        <f aca="false">IF($A214="","",IF(COUNTIFS(이수내역!$B$3:$B$2002,$A214,이수내역!$D$3:$D$2002,$D214)=0,"",SUMPRODUCT(MAX((이수내역!$B$3:$B$2002=$A214)*(이수내역!$D$3:$D$2002=$D214)*이수내역!$A$3:$A$2002))))</f>
        <v/>
      </c>
      <c r="H214" s="23" t="str">
        <f aca="false">IF($A214="","",IF($F214="","",IF($G214="",EDATE(직원목록!$E20,$F214),EDATE($G214,$F214))))</f>
        <v/>
      </c>
      <c r="I214" s="21" t="str">
        <f aca="true">IF($H214="","",$H214-TODAY())</f>
        <v/>
      </c>
      <c r="J214" s="21" t="str">
        <f aca="false">IF($A214="","",IF($H214="","-",IF($I214&lt;0,"기한초과",IF($I214&lt;=사용안내!$C$16,"임박","정상"))))</f>
        <v/>
      </c>
    </row>
    <row r="215" customFormat="false" ht="15" hidden="false" customHeight="true" outlineLevel="0" collapsed="false">
      <c r="A215" s="20" t="str">
        <f aca="false">IF(OR(직원목록!$A20="",교육과정!$A8="",직원목록!$F20="퇴사"),"",직원목록!$A20)</f>
        <v/>
      </c>
      <c r="B215" s="20" t="str">
        <f aca="false">IF($A215="","",직원목록!$B20)</f>
        <v/>
      </c>
      <c r="C215" s="20" t="str">
        <f aca="false">IF($A215="","",직원목록!$C20)</f>
        <v/>
      </c>
      <c r="D215" s="21" t="str">
        <f aca="false">IF($A215="","",교육과정!$A8)</f>
        <v/>
      </c>
      <c r="E215" s="20" t="str">
        <f aca="false">IF($A215="","",교육과정!$B8)</f>
        <v/>
      </c>
      <c r="F215" s="21" t="str">
        <f aca="false">IF($A215="","",교육과정!$C8)</f>
        <v/>
      </c>
      <c r="G215" s="23" t="str">
        <f aca="false">IF($A215="","",IF(COUNTIFS(이수내역!$B$3:$B$2002,$A215,이수내역!$D$3:$D$2002,$D215)=0,"",SUMPRODUCT(MAX((이수내역!$B$3:$B$2002=$A215)*(이수내역!$D$3:$D$2002=$D215)*이수내역!$A$3:$A$2002))))</f>
        <v/>
      </c>
      <c r="H215" s="23" t="str">
        <f aca="false">IF($A215="","",IF($F215="","",IF($G215="",EDATE(직원목록!$E20,$F215),EDATE($G215,$F215))))</f>
        <v/>
      </c>
      <c r="I215" s="21" t="str">
        <f aca="true">IF($H215="","",$H215-TODAY())</f>
        <v/>
      </c>
      <c r="J215" s="21" t="str">
        <f aca="false">IF($A215="","",IF($H215="","-",IF($I215&lt;0,"기한초과",IF($I215&lt;=사용안내!$C$16,"임박","정상"))))</f>
        <v/>
      </c>
    </row>
    <row r="216" customFormat="false" ht="15" hidden="false" customHeight="true" outlineLevel="0" collapsed="false">
      <c r="A216" s="20" t="str">
        <f aca="false">IF(OR(직원목록!$A20="",교육과정!$A9="",직원목록!$F20="퇴사"),"",직원목록!$A20)</f>
        <v/>
      </c>
      <c r="B216" s="20" t="str">
        <f aca="false">IF($A216="","",직원목록!$B20)</f>
        <v/>
      </c>
      <c r="C216" s="20" t="str">
        <f aca="false">IF($A216="","",직원목록!$C20)</f>
        <v/>
      </c>
      <c r="D216" s="21" t="str">
        <f aca="false">IF($A216="","",교육과정!$A9)</f>
        <v/>
      </c>
      <c r="E216" s="20" t="str">
        <f aca="false">IF($A216="","",교육과정!$B9)</f>
        <v/>
      </c>
      <c r="F216" s="21" t="str">
        <f aca="false">IF($A216="","",교육과정!$C9)</f>
        <v/>
      </c>
      <c r="G216" s="23" t="str">
        <f aca="false">IF($A216="","",IF(COUNTIFS(이수내역!$B$3:$B$2002,$A216,이수내역!$D$3:$D$2002,$D216)=0,"",SUMPRODUCT(MAX((이수내역!$B$3:$B$2002=$A216)*(이수내역!$D$3:$D$2002=$D216)*이수내역!$A$3:$A$2002))))</f>
        <v/>
      </c>
      <c r="H216" s="23" t="str">
        <f aca="false">IF($A216="","",IF($F216="","",IF($G216="",EDATE(직원목록!$E20,$F216),EDATE($G216,$F216))))</f>
        <v/>
      </c>
      <c r="I216" s="21" t="str">
        <f aca="true">IF($H216="","",$H216-TODAY())</f>
        <v/>
      </c>
      <c r="J216" s="21" t="str">
        <f aca="false">IF($A216="","",IF($H216="","-",IF($I216&lt;0,"기한초과",IF($I216&lt;=사용안내!$C$16,"임박","정상"))))</f>
        <v/>
      </c>
    </row>
    <row r="217" customFormat="false" ht="15" hidden="false" customHeight="true" outlineLevel="0" collapsed="false">
      <c r="A217" s="20" t="str">
        <f aca="false">IF(OR(직원목록!$A20="",교육과정!$A10="",직원목록!$F20="퇴사"),"",직원목록!$A20)</f>
        <v/>
      </c>
      <c r="B217" s="20" t="str">
        <f aca="false">IF($A217="","",직원목록!$B20)</f>
        <v/>
      </c>
      <c r="C217" s="20" t="str">
        <f aca="false">IF($A217="","",직원목록!$C20)</f>
        <v/>
      </c>
      <c r="D217" s="21" t="str">
        <f aca="false">IF($A217="","",교육과정!$A10)</f>
        <v/>
      </c>
      <c r="E217" s="20" t="str">
        <f aca="false">IF($A217="","",교육과정!$B10)</f>
        <v/>
      </c>
      <c r="F217" s="21" t="str">
        <f aca="false">IF($A217="","",교육과정!$C10)</f>
        <v/>
      </c>
      <c r="G217" s="23" t="str">
        <f aca="false">IF($A217="","",IF(COUNTIFS(이수내역!$B$3:$B$2002,$A217,이수내역!$D$3:$D$2002,$D217)=0,"",SUMPRODUCT(MAX((이수내역!$B$3:$B$2002=$A217)*(이수내역!$D$3:$D$2002=$D217)*이수내역!$A$3:$A$2002))))</f>
        <v/>
      </c>
      <c r="H217" s="23" t="str">
        <f aca="false">IF($A217="","",IF($F217="","",IF($G217="",EDATE(직원목록!$E20,$F217),EDATE($G217,$F217))))</f>
        <v/>
      </c>
      <c r="I217" s="21" t="str">
        <f aca="true">IF($H217="","",$H217-TODAY())</f>
        <v/>
      </c>
      <c r="J217" s="21" t="str">
        <f aca="false">IF($A217="","",IF($H217="","-",IF($I217&lt;0,"기한초과",IF($I217&lt;=사용안내!$C$16,"임박","정상"))))</f>
        <v/>
      </c>
    </row>
    <row r="218" customFormat="false" ht="15" hidden="false" customHeight="true" outlineLevel="0" collapsed="false">
      <c r="A218" s="20" t="str">
        <f aca="false">IF(OR(직원목록!$A20="",교육과정!$A11="",직원목록!$F20="퇴사"),"",직원목록!$A20)</f>
        <v/>
      </c>
      <c r="B218" s="20" t="str">
        <f aca="false">IF($A218="","",직원목록!$B20)</f>
        <v/>
      </c>
      <c r="C218" s="20" t="str">
        <f aca="false">IF($A218="","",직원목록!$C20)</f>
        <v/>
      </c>
      <c r="D218" s="21" t="str">
        <f aca="false">IF($A218="","",교육과정!$A11)</f>
        <v/>
      </c>
      <c r="E218" s="20" t="str">
        <f aca="false">IF($A218="","",교육과정!$B11)</f>
        <v/>
      </c>
      <c r="F218" s="21" t="str">
        <f aca="false">IF($A218="","",교육과정!$C11)</f>
        <v/>
      </c>
      <c r="G218" s="23" t="str">
        <f aca="false">IF($A218="","",IF(COUNTIFS(이수내역!$B$3:$B$2002,$A218,이수내역!$D$3:$D$2002,$D218)=0,"",SUMPRODUCT(MAX((이수내역!$B$3:$B$2002=$A218)*(이수내역!$D$3:$D$2002=$D218)*이수내역!$A$3:$A$2002))))</f>
        <v/>
      </c>
      <c r="H218" s="23" t="str">
        <f aca="false">IF($A218="","",IF($F218="","",IF($G218="",EDATE(직원목록!$E20,$F218),EDATE($G218,$F218))))</f>
        <v/>
      </c>
      <c r="I218" s="21" t="str">
        <f aca="true">IF($H218="","",$H218-TODAY())</f>
        <v/>
      </c>
      <c r="J218" s="21" t="str">
        <f aca="false">IF($A218="","",IF($H218="","-",IF($I218&lt;0,"기한초과",IF($I218&lt;=사용안내!$C$16,"임박","정상"))))</f>
        <v/>
      </c>
    </row>
    <row r="219" customFormat="false" ht="15" hidden="false" customHeight="true" outlineLevel="0" collapsed="false">
      <c r="A219" s="20" t="str">
        <f aca="false">IF(OR(직원목록!$A20="",교육과정!$A12="",직원목록!$F20="퇴사"),"",직원목록!$A20)</f>
        <v/>
      </c>
      <c r="B219" s="20" t="str">
        <f aca="false">IF($A219="","",직원목록!$B20)</f>
        <v/>
      </c>
      <c r="C219" s="20" t="str">
        <f aca="false">IF($A219="","",직원목록!$C20)</f>
        <v/>
      </c>
      <c r="D219" s="21" t="str">
        <f aca="false">IF($A219="","",교육과정!$A12)</f>
        <v/>
      </c>
      <c r="E219" s="20" t="str">
        <f aca="false">IF($A219="","",교육과정!$B12)</f>
        <v/>
      </c>
      <c r="F219" s="21" t="str">
        <f aca="false">IF($A219="","",교육과정!$C12)</f>
        <v/>
      </c>
      <c r="G219" s="23" t="str">
        <f aca="false">IF($A219="","",IF(COUNTIFS(이수내역!$B$3:$B$2002,$A219,이수내역!$D$3:$D$2002,$D219)=0,"",SUMPRODUCT(MAX((이수내역!$B$3:$B$2002=$A219)*(이수내역!$D$3:$D$2002=$D219)*이수내역!$A$3:$A$2002))))</f>
        <v/>
      </c>
      <c r="H219" s="23" t="str">
        <f aca="false">IF($A219="","",IF($F219="","",IF($G219="",EDATE(직원목록!$E20,$F219),EDATE($G219,$F219))))</f>
        <v/>
      </c>
      <c r="I219" s="21" t="str">
        <f aca="true">IF($H219="","",$H219-TODAY())</f>
        <v/>
      </c>
      <c r="J219" s="21" t="str">
        <f aca="false">IF($A219="","",IF($H219="","-",IF($I219&lt;0,"기한초과",IF($I219&lt;=사용안내!$C$16,"임박","정상"))))</f>
        <v/>
      </c>
    </row>
    <row r="220" customFormat="false" ht="15" hidden="false" customHeight="true" outlineLevel="0" collapsed="false">
      <c r="A220" s="20" t="str">
        <f aca="false">IF(OR(직원목록!$A20="",교육과정!$A13="",직원목록!$F20="퇴사"),"",직원목록!$A20)</f>
        <v/>
      </c>
      <c r="B220" s="20" t="str">
        <f aca="false">IF($A220="","",직원목록!$B20)</f>
        <v/>
      </c>
      <c r="C220" s="20" t="str">
        <f aca="false">IF($A220="","",직원목록!$C20)</f>
        <v/>
      </c>
      <c r="D220" s="21" t="str">
        <f aca="false">IF($A220="","",교육과정!$A13)</f>
        <v/>
      </c>
      <c r="E220" s="20" t="str">
        <f aca="false">IF($A220="","",교육과정!$B13)</f>
        <v/>
      </c>
      <c r="F220" s="21" t="str">
        <f aca="false">IF($A220="","",교육과정!$C13)</f>
        <v/>
      </c>
      <c r="G220" s="23" t="str">
        <f aca="false">IF($A220="","",IF(COUNTIFS(이수내역!$B$3:$B$2002,$A220,이수내역!$D$3:$D$2002,$D220)=0,"",SUMPRODUCT(MAX((이수내역!$B$3:$B$2002=$A220)*(이수내역!$D$3:$D$2002=$D220)*이수내역!$A$3:$A$2002))))</f>
        <v/>
      </c>
      <c r="H220" s="23" t="str">
        <f aca="false">IF($A220="","",IF($F220="","",IF($G220="",EDATE(직원목록!$E20,$F220),EDATE($G220,$F220))))</f>
        <v/>
      </c>
      <c r="I220" s="21" t="str">
        <f aca="true">IF($H220="","",$H220-TODAY())</f>
        <v/>
      </c>
      <c r="J220" s="21" t="str">
        <f aca="false">IF($A220="","",IF($H220="","-",IF($I220&lt;0,"기한초과",IF($I220&lt;=사용안내!$C$16,"임박","정상"))))</f>
        <v/>
      </c>
    </row>
    <row r="221" customFormat="false" ht="15" hidden="false" customHeight="true" outlineLevel="0" collapsed="false">
      <c r="A221" s="20" t="str">
        <f aca="false">IF(OR(직원목록!$A20="",교육과정!$A14="",직원목록!$F20="퇴사"),"",직원목록!$A20)</f>
        <v/>
      </c>
      <c r="B221" s="20" t="str">
        <f aca="false">IF($A221="","",직원목록!$B20)</f>
        <v/>
      </c>
      <c r="C221" s="20" t="str">
        <f aca="false">IF($A221="","",직원목록!$C20)</f>
        <v/>
      </c>
      <c r="D221" s="21" t="str">
        <f aca="false">IF($A221="","",교육과정!$A14)</f>
        <v/>
      </c>
      <c r="E221" s="20" t="str">
        <f aca="false">IF($A221="","",교육과정!$B14)</f>
        <v/>
      </c>
      <c r="F221" s="21" t="str">
        <f aca="false">IF($A221="","",교육과정!$C14)</f>
        <v/>
      </c>
      <c r="G221" s="23" t="str">
        <f aca="false">IF($A221="","",IF(COUNTIFS(이수내역!$B$3:$B$2002,$A221,이수내역!$D$3:$D$2002,$D221)=0,"",SUMPRODUCT(MAX((이수내역!$B$3:$B$2002=$A221)*(이수내역!$D$3:$D$2002=$D221)*이수내역!$A$3:$A$2002))))</f>
        <v/>
      </c>
      <c r="H221" s="23" t="str">
        <f aca="false">IF($A221="","",IF($F221="","",IF($G221="",EDATE(직원목록!$E20,$F221),EDATE($G221,$F221))))</f>
        <v/>
      </c>
      <c r="I221" s="21" t="str">
        <f aca="true">IF($H221="","",$H221-TODAY())</f>
        <v/>
      </c>
      <c r="J221" s="21" t="str">
        <f aca="false">IF($A221="","",IF($H221="","-",IF($I221&lt;0,"기한초과",IF($I221&lt;=사용안내!$C$16,"임박","정상"))))</f>
        <v/>
      </c>
    </row>
    <row r="222" customFormat="false" ht="15" hidden="false" customHeight="true" outlineLevel="0" collapsed="false">
      <c r="A222" s="20" t="str">
        <f aca="false">IF(OR(직원목록!$A21="",교육과정!$A3="",직원목록!$F21="퇴사"),"",직원목록!$A21)</f>
        <v/>
      </c>
      <c r="B222" s="20" t="str">
        <f aca="false">IF($A222="","",직원목록!$B21)</f>
        <v/>
      </c>
      <c r="C222" s="20" t="str">
        <f aca="false">IF($A222="","",직원목록!$C21)</f>
        <v/>
      </c>
      <c r="D222" s="21" t="str">
        <f aca="false">IF($A222="","",교육과정!$A3)</f>
        <v/>
      </c>
      <c r="E222" s="20" t="str">
        <f aca="false">IF($A222="","",교육과정!$B3)</f>
        <v/>
      </c>
      <c r="F222" s="21" t="str">
        <f aca="false">IF($A222="","",교육과정!$C3)</f>
        <v/>
      </c>
      <c r="G222" s="23" t="str">
        <f aca="false">IF($A222="","",IF(COUNTIFS(이수내역!$B$3:$B$2002,$A222,이수내역!$D$3:$D$2002,$D222)=0,"",SUMPRODUCT(MAX((이수내역!$B$3:$B$2002=$A222)*(이수내역!$D$3:$D$2002=$D222)*이수내역!$A$3:$A$2002))))</f>
        <v/>
      </c>
      <c r="H222" s="23" t="str">
        <f aca="false">IF($A222="","",IF($F222="","",IF($G222="",EDATE(직원목록!$E21,$F222),EDATE($G222,$F222))))</f>
        <v/>
      </c>
      <c r="I222" s="21" t="str">
        <f aca="true">IF($H222="","",$H222-TODAY())</f>
        <v/>
      </c>
      <c r="J222" s="21" t="str">
        <f aca="false">IF($A222="","",IF($H222="","-",IF($I222&lt;0,"기한초과",IF($I222&lt;=사용안내!$C$16,"임박","정상"))))</f>
        <v/>
      </c>
    </row>
    <row r="223" customFormat="false" ht="15" hidden="false" customHeight="true" outlineLevel="0" collapsed="false">
      <c r="A223" s="20" t="str">
        <f aca="false">IF(OR(직원목록!$A21="",교육과정!$A4="",직원목록!$F21="퇴사"),"",직원목록!$A21)</f>
        <v/>
      </c>
      <c r="B223" s="20" t="str">
        <f aca="false">IF($A223="","",직원목록!$B21)</f>
        <v/>
      </c>
      <c r="C223" s="20" t="str">
        <f aca="false">IF($A223="","",직원목록!$C21)</f>
        <v/>
      </c>
      <c r="D223" s="21" t="str">
        <f aca="false">IF($A223="","",교육과정!$A4)</f>
        <v/>
      </c>
      <c r="E223" s="20" t="str">
        <f aca="false">IF($A223="","",교육과정!$B4)</f>
        <v/>
      </c>
      <c r="F223" s="21" t="str">
        <f aca="false">IF($A223="","",교육과정!$C4)</f>
        <v/>
      </c>
      <c r="G223" s="23" t="str">
        <f aca="false">IF($A223="","",IF(COUNTIFS(이수내역!$B$3:$B$2002,$A223,이수내역!$D$3:$D$2002,$D223)=0,"",SUMPRODUCT(MAX((이수내역!$B$3:$B$2002=$A223)*(이수내역!$D$3:$D$2002=$D223)*이수내역!$A$3:$A$2002))))</f>
        <v/>
      </c>
      <c r="H223" s="23" t="str">
        <f aca="false">IF($A223="","",IF($F223="","",IF($G223="",EDATE(직원목록!$E21,$F223),EDATE($G223,$F223))))</f>
        <v/>
      </c>
      <c r="I223" s="21" t="str">
        <f aca="true">IF($H223="","",$H223-TODAY())</f>
        <v/>
      </c>
      <c r="J223" s="21" t="str">
        <f aca="false">IF($A223="","",IF($H223="","-",IF($I223&lt;0,"기한초과",IF($I223&lt;=사용안내!$C$16,"임박","정상"))))</f>
        <v/>
      </c>
    </row>
    <row r="224" customFormat="false" ht="15" hidden="false" customHeight="true" outlineLevel="0" collapsed="false">
      <c r="A224" s="20" t="str">
        <f aca="false">IF(OR(직원목록!$A21="",교육과정!$A5="",직원목록!$F21="퇴사"),"",직원목록!$A21)</f>
        <v/>
      </c>
      <c r="B224" s="20" t="str">
        <f aca="false">IF($A224="","",직원목록!$B21)</f>
        <v/>
      </c>
      <c r="C224" s="20" t="str">
        <f aca="false">IF($A224="","",직원목록!$C21)</f>
        <v/>
      </c>
      <c r="D224" s="21" t="str">
        <f aca="false">IF($A224="","",교육과정!$A5)</f>
        <v/>
      </c>
      <c r="E224" s="20" t="str">
        <f aca="false">IF($A224="","",교육과정!$B5)</f>
        <v/>
      </c>
      <c r="F224" s="21" t="str">
        <f aca="false">IF($A224="","",교육과정!$C5)</f>
        <v/>
      </c>
      <c r="G224" s="23" t="str">
        <f aca="false">IF($A224="","",IF(COUNTIFS(이수내역!$B$3:$B$2002,$A224,이수내역!$D$3:$D$2002,$D224)=0,"",SUMPRODUCT(MAX((이수내역!$B$3:$B$2002=$A224)*(이수내역!$D$3:$D$2002=$D224)*이수내역!$A$3:$A$2002))))</f>
        <v/>
      </c>
      <c r="H224" s="23" t="str">
        <f aca="false">IF($A224="","",IF($F224="","",IF($G224="",EDATE(직원목록!$E21,$F224),EDATE($G224,$F224))))</f>
        <v/>
      </c>
      <c r="I224" s="21" t="str">
        <f aca="true">IF($H224="","",$H224-TODAY())</f>
        <v/>
      </c>
      <c r="J224" s="21" t="str">
        <f aca="false">IF($A224="","",IF($H224="","-",IF($I224&lt;0,"기한초과",IF($I224&lt;=사용안내!$C$16,"임박","정상"))))</f>
        <v/>
      </c>
    </row>
    <row r="225" customFormat="false" ht="15" hidden="false" customHeight="true" outlineLevel="0" collapsed="false">
      <c r="A225" s="20" t="str">
        <f aca="false">IF(OR(직원목록!$A21="",교육과정!$A6="",직원목록!$F21="퇴사"),"",직원목록!$A21)</f>
        <v/>
      </c>
      <c r="B225" s="20" t="str">
        <f aca="false">IF($A225="","",직원목록!$B21)</f>
        <v/>
      </c>
      <c r="C225" s="20" t="str">
        <f aca="false">IF($A225="","",직원목록!$C21)</f>
        <v/>
      </c>
      <c r="D225" s="21" t="str">
        <f aca="false">IF($A225="","",교육과정!$A6)</f>
        <v/>
      </c>
      <c r="E225" s="20" t="str">
        <f aca="false">IF($A225="","",교육과정!$B6)</f>
        <v/>
      </c>
      <c r="F225" s="21" t="str">
        <f aca="false">IF($A225="","",교육과정!$C6)</f>
        <v/>
      </c>
      <c r="G225" s="23" t="str">
        <f aca="false">IF($A225="","",IF(COUNTIFS(이수내역!$B$3:$B$2002,$A225,이수내역!$D$3:$D$2002,$D225)=0,"",SUMPRODUCT(MAX((이수내역!$B$3:$B$2002=$A225)*(이수내역!$D$3:$D$2002=$D225)*이수내역!$A$3:$A$2002))))</f>
        <v/>
      </c>
      <c r="H225" s="23" t="str">
        <f aca="false">IF($A225="","",IF($F225="","",IF($G225="",EDATE(직원목록!$E21,$F225),EDATE($G225,$F225))))</f>
        <v/>
      </c>
      <c r="I225" s="21" t="str">
        <f aca="true">IF($H225="","",$H225-TODAY())</f>
        <v/>
      </c>
      <c r="J225" s="21" t="str">
        <f aca="false">IF($A225="","",IF($H225="","-",IF($I225&lt;0,"기한초과",IF($I225&lt;=사용안내!$C$16,"임박","정상"))))</f>
        <v/>
      </c>
    </row>
    <row r="226" customFormat="false" ht="15" hidden="false" customHeight="true" outlineLevel="0" collapsed="false">
      <c r="A226" s="20" t="str">
        <f aca="false">IF(OR(직원목록!$A21="",교육과정!$A7="",직원목록!$F21="퇴사"),"",직원목록!$A21)</f>
        <v/>
      </c>
      <c r="B226" s="20" t="str">
        <f aca="false">IF($A226="","",직원목록!$B21)</f>
        <v/>
      </c>
      <c r="C226" s="20" t="str">
        <f aca="false">IF($A226="","",직원목록!$C21)</f>
        <v/>
      </c>
      <c r="D226" s="21" t="str">
        <f aca="false">IF($A226="","",교육과정!$A7)</f>
        <v/>
      </c>
      <c r="E226" s="20" t="str">
        <f aca="false">IF($A226="","",교육과정!$B7)</f>
        <v/>
      </c>
      <c r="F226" s="21" t="str">
        <f aca="false">IF($A226="","",교육과정!$C7)</f>
        <v/>
      </c>
      <c r="G226" s="23" t="str">
        <f aca="false">IF($A226="","",IF(COUNTIFS(이수내역!$B$3:$B$2002,$A226,이수내역!$D$3:$D$2002,$D226)=0,"",SUMPRODUCT(MAX((이수내역!$B$3:$B$2002=$A226)*(이수내역!$D$3:$D$2002=$D226)*이수내역!$A$3:$A$2002))))</f>
        <v/>
      </c>
      <c r="H226" s="23" t="str">
        <f aca="false">IF($A226="","",IF($F226="","",IF($G226="",EDATE(직원목록!$E21,$F226),EDATE($G226,$F226))))</f>
        <v/>
      </c>
      <c r="I226" s="21" t="str">
        <f aca="true">IF($H226="","",$H226-TODAY())</f>
        <v/>
      </c>
      <c r="J226" s="21" t="str">
        <f aca="false">IF($A226="","",IF($H226="","-",IF($I226&lt;0,"기한초과",IF($I226&lt;=사용안내!$C$16,"임박","정상"))))</f>
        <v/>
      </c>
    </row>
    <row r="227" customFormat="false" ht="15" hidden="false" customHeight="true" outlineLevel="0" collapsed="false">
      <c r="A227" s="20" t="str">
        <f aca="false">IF(OR(직원목록!$A21="",교육과정!$A8="",직원목록!$F21="퇴사"),"",직원목록!$A21)</f>
        <v/>
      </c>
      <c r="B227" s="20" t="str">
        <f aca="false">IF($A227="","",직원목록!$B21)</f>
        <v/>
      </c>
      <c r="C227" s="20" t="str">
        <f aca="false">IF($A227="","",직원목록!$C21)</f>
        <v/>
      </c>
      <c r="D227" s="21" t="str">
        <f aca="false">IF($A227="","",교육과정!$A8)</f>
        <v/>
      </c>
      <c r="E227" s="20" t="str">
        <f aca="false">IF($A227="","",교육과정!$B8)</f>
        <v/>
      </c>
      <c r="F227" s="21" t="str">
        <f aca="false">IF($A227="","",교육과정!$C8)</f>
        <v/>
      </c>
      <c r="G227" s="23" t="str">
        <f aca="false">IF($A227="","",IF(COUNTIFS(이수내역!$B$3:$B$2002,$A227,이수내역!$D$3:$D$2002,$D227)=0,"",SUMPRODUCT(MAX((이수내역!$B$3:$B$2002=$A227)*(이수내역!$D$3:$D$2002=$D227)*이수내역!$A$3:$A$2002))))</f>
        <v/>
      </c>
      <c r="H227" s="23" t="str">
        <f aca="false">IF($A227="","",IF($F227="","",IF($G227="",EDATE(직원목록!$E21,$F227),EDATE($G227,$F227))))</f>
        <v/>
      </c>
      <c r="I227" s="21" t="str">
        <f aca="true">IF($H227="","",$H227-TODAY())</f>
        <v/>
      </c>
      <c r="J227" s="21" t="str">
        <f aca="false">IF($A227="","",IF($H227="","-",IF($I227&lt;0,"기한초과",IF($I227&lt;=사용안내!$C$16,"임박","정상"))))</f>
        <v/>
      </c>
    </row>
    <row r="228" customFormat="false" ht="15" hidden="false" customHeight="true" outlineLevel="0" collapsed="false">
      <c r="A228" s="20" t="str">
        <f aca="false">IF(OR(직원목록!$A21="",교육과정!$A9="",직원목록!$F21="퇴사"),"",직원목록!$A21)</f>
        <v/>
      </c>
      <c r="B228" s="20" t="str">
        <f aca="false">IF($A228="","",직원목록!$B21)</f>
        <v/>
      </c>
      <c r="C228" s="20" t="str">
        <f aca="false">IF($A228="","",직원목록!$C21)</f>
        <v/>
      </c>
      <c r="D228" s="21" t="str">
        <f aca="false">IF($A228="","",교육과정!$A9)</f>
        <v/>
      </c>
      <c r="E228" s="20" t="str">
        <f aca="false">IF($A228="","",교육과정!$B9)</f>
        <v/>
      </c>
      <c r="F228" s="21" t="str">
        <f aca="false">IF($A228="","",교육과정!$C9)</f>
        <v/>
      </c>
      <c r="G228" s="23" t="str">
        <f aca="false">IF($A228="","",IF(COUNTIFS(이수내역!$B$3:$B$2002,$A228,이수내역!$D$3:$D$2002,$D228)=0,"",SUMPRODUCT(MAX((이수내역!$B$3:$B$2002=$A228)*(이수내역!$D$3:$D$2002=$D228)*이수내역!$A$3:$A$2002))))</f>
        <v/>
      </c>
      <c r="H228" s="23" t="str">
        <f aca="false">IF($A228="","",IF($F228="","",IF($G228="",EDATE(직원목록!$E21,$F228),EDATE($G228,$F228))))</f>
        <v/>
      </c>
      <c r="I228" s="21" t="str">
        <f aca="true">IF($H228="","",$H228-TODAY())</f>
        <v/>
      </c>
      <c r="J228" s="21" t="str">
        <f aca="false">IF($A228="","",IF($H228="","-",IF($I228&lt;0,"기한초과",IF($I228&lt;=사용안내!$C$16,"임박","정상"))))</f>
        <v/>
      </c>
    </row>
    <row r="229" customFormat="false" ht="15" hidden="false" customHeight="true" outlineLevel="0" collapsed="false">
      <c r="A229" s="20" t="str">
        <f aca="false">IF(OR(직원목록!$A21="",교육과정!$A10="",직원목록!$F21="퇴사"),"",직원목록!$A21)</f>
        <v/>
      </c>
      <c r="B229" s="20" t="str">
        <f aca="false">IF($A229="","",직원목록!$B21)</f>
        <v/>
      </c>
      <c r="C229" s="20" t="str">
        <f aca="false">IF($A229="","",직원목록!$C21)</f>
        <v/>
      </c>
      <c r="D229" s="21" t="str">
        <f aca="false">IF($A229="","",교육과정!$A10)</f>
        <v/>
      </c>
      <c r="E229" s="20" t="str">
        <f aca="false">IF($A229="","",교육과정!$B10)</f>
        <v/>
      </c>
      <c r="F229" s="21" t="str">
        <f aca="false">IF($A229="","",교육과정!$C10)</f>
        <v/>
      </c>
      <c r="G229" s="23" t="str">
        <f aca="false">IF($A229="","",IF(COUNTIFS(이수내역!$B$3:$B$2002,$A229,이수내역!$D$3:$D$2002,$D229)=0,"",SUMPRODUCT(MAX((이수내역!$B$3:$B$2002=$A229)*(이수내역!$D$3:$D$2002=$D229)*이수내역!$A$3:$A$2002))))</f>
        <v/>
      </c>
      <c r="H229" s="23" t="str">
        <f aca="false">IF($A229="","",IF($F229="","",IF($G229="",EDATE(직원목록!$E21,$F229),EDATE($G229,$F229))))</f>
        <v/>
      </c>
      <c r="I229" s="21" t="str">
        <f aca="true">IF($H229="","",$H229-TODAY())</f>
        <v/>
      </c>
      <c r="J229" s="21" t="str">
        <f aca="false">IF($A229="","",IF($H229="","-",IF($I229&lt;0,"기한초과",IF($I229&lt;=사용안내!$C$16,"임박","정상"))))</f>
        <v/>
      </c>
    </row>
    <row r="230" customFormat="false" ht="15" hidden="false" customHeight="true" outlineLevel="0" collapsed="false">
      <c r="A230" s="20" t="str">
        <f aca="false">IF(OR(직원목록!$A21="",교육과정!$A11="",직원목록!$F21="퇴사"),"",직원목록!$A21)</f>
        <v/>
      </c>
      <c r="B230" s="20" t="str">
        <f aca="false">IF($A230="","",직원목록!$B21)</f>
        <v/>
      </c>
      <c r="C230" s="20" t="str">
        <f aca="false">IF($A230="","",직원목록!$C21)</f>
        <v/>
      </c>
      <c r="D230" s="21" t="str">
        <f aca="false">IF($A230="","",교육과정!$A11)</f>
        <v/>
      </c>
      <c r="E230" s="20" t="str">
        <f aca="false">IF($A230="","",교육과정!$B11)</f>
        <v/>
      </c>
      <c r="F230" s="21" t="str">
        <f aca="false">IF($A230="","",교육과정!$C11)</f>
        <v/>
      </c>
      <c r="G230" s="23" t="str">
        <f aca="false">IF($A230="","",IF(COUNTIFS(이수내역!$B$3:$B$2002,$A230,이수내역!$D$3:$D$2002,$D230)=0,"",SUMPRODUCT(MAX((이수내역!$B$3:$B$2002=$A230)*(이수내역!$D$3:$D$2002=$D230)*이수내역!$A$3:$A$2002))))</f>
        <v/>
      </c>
      <c r="H230" s="23" t="str">
        <f aca="false">IF($A230="","",IF($F230="","",IF($G230="",EDATE(직원목록!$E21,$F230),EDATE($G230,$F230))))</f>
        <v/>
      </c>
      <c r="I230" s="21" t="str">
        <f aca="true">IF($H230="","",$H230-TODAY())</f>
        <v/>
      </c>
      <c r="J230" s="21" t="str">
        <f aca="false">IF($A230="","",IF($H230="","-",IF($I230&lt;0,"기한초과",IF($I230&lt;=사용안내!$C$16,"임박","정상"))))</f>
        <v/>
      </c>
    </row>
    <row r="231" customFormat="false" ht="15" hidden="false" customHeight="true" outlineLevel="0" collapsed="false">
      <c r="A231" s="20" t="str">
        <f aca="false">IF(OR(직원목록!$A21="",교육과정!$A12="",직원목록!$F21="퇴사"),"",직원목록!$A21)</f>
        <v/>
      </c>
      <c r="B231" s="20" t="str">
        <f aca="false">IF($A231="","",직원목록!$B21)</f>
        <v/>
      </c>
      <c r="C231" s="20" t="str">
        <f aca="false">IF($A231="","",직원목록!$C21)</f>
        <v/>
      </c>
      <c r="D231" s="21" t="str">
        <f aca="false">IF($A231="","",교육과정!$A12)</f>
        <v/>
      </c>
      <c r="E231" s="20" t="str">
        <f aca="false">IF($A231="","",교육과정!$B12)</f>
        <v/>
      </c>
      <c r="F231" s="21" t="str">
        <f aca="false">IF($A231="","",교육과정!$C12)</f>
        <v/>
      </c>
      <c r="G231" s="23" t="str">
        <f aca="false">IF($A231="","",IF(COUNTIFS(이수내역!$B$3:$B$2002,$A231,이수내역!$D$3:$D$2002,$D231)=0,"",SUMPRODUCT(MAX((이수내역!$B$3:$B$2002=$A231)*(이수내역!$D$3:$D$2002=$D231)*이수내역!$A$3:$A$2002))))</f>
        <v/>
      </c>
      <c r="H231" s="23" t="str">
        <f aca="false">IF($A231="","",IF($F231="","",IF($G231="",EDATE(직원목록!$E21,$F231),EDATE($G231,$F231))))</f>
        <v/>
      </c>
      <c r="I231" s="21" t="str">
        <f aca="true">IF($H231="","",$H231-TODAY())</f>
        <v/>
      </c>
      <c r="J231" s="21" t="str">
        <f aca="false">IF($A231="","",IF($H231="","-",IF($I231&lt;0,"기한초과",IF($I231&lt;=사용안내!$C$16,"임박","정상"))))</f>
        <v/>
      </c>
    </row>
    <row r="232" customFormat="false" ht="15" hidden="false" customHeight="true" outlineLevel="0" collapsed="false">
      <c r="A232" s="20" t="str">
        <f aca="false">IF(OR(직원목록!$A21="",교육과정!$A13="",직원목록!$F21="퇴사"),"",직원목록!$A21)</f>
        <v/>
      </c>
      <c r="B232" s="20" t="str">
        <f aca="false">IF($A232="","",직원목록!$B21)</f>
        <v/>
      </c>
      <c r="C232" s="20" t="str">
        <f aca="false">IF($A232="","",직원목록!$C21)</f>
        <v/>
      </c>
      <c r="D232" s="21" t="str">
        <f aca="false">IF($A232="","",교육과정!$A13)</f>
        <v/>
      </c>
      <c r="E232" s="20" t="str">
        <f aca="false">IF($A232="","",교육과정!$B13)</f>
        <v/>
      </c>
      <c r="F232" s="21" t="str">
        <f aca="false">IF($A232="","",교육과정!$C13)</f>
        <v/>
      </c>
      <c r="G232" s="23" t="str">
        <f aca="false">IF($A232="","",IF(COUNTIFS(이수내역!$B$3:$B$2002,$A232,이수내역!$D$3:$D$2002,$D232)=0,"",SUMPRODUCT(MAX((이수내역!$B$3:$B$2002=$A232)*(이수내역!$D$3:$D$2002=$D232)*이수내역!$A$3:$A$2002))))</f>
        <v/>
      </c>
      <c r="H232" s="23" t="str">
        <f aca="false">IF($A232="","",IF($F232="","",IF($G232="",EDATE(직원목록!$E21,$F232),EDATE($G232,$F232))))</f>
        <v/>
      </c>
      <c r="I232" s="21" t="str">
        <f aca="true">IF($H232="","",$H232-TODAY())</f>
        <v/>
      </c>
      <c r="J232" s="21" t="str">
        <f aca="false">IF($A232="","",IF($H232="","-",IF($I232&lt;0,"기한초과",IF($I232&lt;=사용안내!$C$16,"임박","정상"))))</f>
        <v/>
      </c>
    </row>
    <row r="233" customFormat="false" ht="15" hidden="false" customHeight="true" outlineLevel="0" collapsed="false">
      <c r="A233" s="20" t="str">
        <f aca="false">IF(OR(직원목록!$A21="",교육과정!$A14="",직원목록!$F21="퇴사"),"",직원목록!$A21)</f>
        <v/>
      </c>
      <c r="B233" s="20" t="str">
        <f aca="false">IF($A233="","",직원목록!$B21)</f>
        <v/>
      </c>
      <c r="C233" s="20" t="str">
        <f aca="false">IF($A233="","",직원목록!$C21)</f>
        <v/>
      </c>
      <c r="D233" s="21" t="str">
        <f aca="false">IF($A233="","",교육과정!$A14)</f>
        <v/>
      </c>
      <c r="E233" s="20" t="str">
        <f aca="false">IF($A233="","",교육과정!$B14)</f>
        <v/>
      </c>
      <c r="F233" s="21" t="str">
        <f aca="false">IF($A233="","",교육과정!$C14)</f>
        <v/>
      </c>
      <c r="G233" s="23" t="str">
        <f aca="false">IF($A233="","",IF(COUNTIFS(이수내역!$B$3:$B$2002,$A233,이수내역!$D$3:$D$2002,$D233)=0,"",SUMPRODUCT(MAX((이수내역!$B$3:$B$2002=$A233)*(이수내역!$D$3:$D$2002=$D233)*이수내역!$A$3:$A$2002))))</f>
        <v/>
      </c>
      <c r="H233" s="23" t="str">
        <f aca="false">IF($A233="","",IF($F233="","",IF($G233="",EDATE(직원목록!$E21,$F233),EDATE($G233,$F233))))</f>
        <v/>
      </c>
      <c r="I233" s="21" t="str">
        <f aca="true">IF($H233="","",$H233-TODAY())</f>
        <v/>
      </c>
      <c r="J233" s="21" t="str">
        <f aca="false">IF($A233="","",IF($H233="","-",IF($I233&lt;0,"기한초과",IF($I233&lt;=사용안내!$C$16,"임박","정상"))))</f>
        <v/>
      </c>
    </row>
    <row r="234" customFormat="false" ht="15" hidden="false" customHeight="true" outlineLevel="0" collapsed="false">
      <c r="A234" s="20" t="str">
        <f aca="false">IF(OR(직원목록!$A22="",교육과정!$A3="",직원목록!$F22="퇴사"),"",직원목록!$A22)</f>
        <v/>
      </c>
      <c r="B234" s="20" t="str">
        <f aca="false">IF($A234="","",직원목록!$B22)</f>
        <v/>
      </c>
      <c r="C234" s="20" t="str">
        <f aca="false">IF($A234="","",직원목록!$C22)</f>
        <v/>
      </c>
      <c r="D234" s="21" t="str">
        <f aca="false">IF($A234="","",교육과정!$A3)</f>
        <v/>
      </c>
      <c r="E234" s="20" t="str">
        <f aca="false">IF($A234="","",교육과정!$B3)</f>
        <v/>
      </c>
      <c r="F234" s="21" t="str">
        <f aca="false">IF($A234="","",교육과정!$C3)</f>
        <v/>
      </c>
      <c r="G234" s="23" t="str">
        <f aca="false">IF($A234="","",IF(COUNTIFS(이수내역!$B$3:$B$2002,$A234,이수내역!$D$3:$D$2002,$D234)=0,"",SUMPRODUCT(MAX((이수내역!$B$3:$B$2002=$A234)*(이수내역!$D$3:$D$2002=$D234)*이수내역!$A$3:$A$2002))))</f>
        <v/>
      </c>
      <c r="H234" s="23" t="str">
        <f aca="false">IF($A234="","",IF($F234="","",IF($G234="",EDATE(직원목록!$E22,$F234),EDATE($G234,$F234))))</f>
        <v/>
      </c>
      <c r="I234" s="21" t="str">
        <f aca="true">IF($H234="","",$H234-TODAY())</f>
        <v/>
      </c>
      <c r="J234" s="21" t="str">
        <f aca="false">IF($A234="","",IF($H234="","-",IF($I234&lt;0,"기한초과",IF($I234&lt;=사용안내!$C$16,"임박","정상"))))</f>
        <v/>
      </c>
    </row>
    <row r="235" customFormat="false" ht="15" hidden="false" customHeight="true" outlineLevel="0" collapsed="false">
      <c r="A235" s="20" t="str">
        <f aca="false">IF(OR(직원목록!$A22="",교육과정!$A4="",직원목록!$F22="퇴사"),"",직원목록!$A22)</f>
        <v/>
      </c>
      <c r="B235" s="20" t="str">
        <f aca="false">IF($A235="","",직원목록!$B22)</f>
        <v/>
      </c>
      <c r="C235" s="20" t="str">
        <f aca="false">IF($A235="","",직원목록!$C22)</f>
        <v/>
      </c>
      <c r="D235" s="21" t="str">
        <f aca="false">IF($A235="","",교육과정!$A4)</f>
        <v/>
      </c>
      <c r="E235" s="20" t="str">
        <f aca="false">IF($A235="","",교육과정!$B4)</f>
        <v/>
      </c>
      <c r="F235" s="21" t="str">
        <f aca="false">IF($A235="","",교육과정!$C4)</f>
        <v/>
      </c>
      <c r="G235" s="23" t="str">
        <f aca="false">IF($A235="","",IF(COUNTIFS(이수내역!$B$3:$B$2002,$A235,이수내역!$D$3:$D$2002,$D235)=0,"",SUMPRODUCT(MAX((이수내역!$B$3:$B$2002=$A235)*(이수내역!$D$3:$D$2002=$D235)*이수내역!$A$3:$A$2002))))</f>
        <v/>
      </c>
      <c r="H235" s="23" t="str">
        <f aca="false">IF($A235="","",IF($F235="","",IF($G235="",EDATE(직원목록!$E22,$F235),EDATE($G235,$F235))))</f>
        <v/>
      </c>
      <c r="I235" s="21" t="str">
        <f aca="true">IF($H235="","",$H235-TODAY())</f>
        <v/>
      </c>
      <c r="J235" s="21" t="str">
        <f aca="false">IF($A235="","",IF($H235="","-",IF($I235&lt;0,"기한초과",IF($I235&lt;=사용안내!$C$16,"임박","정상"))))</f>
        <v/>
      </c>
    </row>
    <row r="236" customFormat="false" ht="15" hidden="false" customHeight="true" outlineLevel="0" collapsed="false">
      <c r="A236" s="20" t="str">
        <f aca="false">IF(OR(직원목록!$A22="",교육과정!$A5="",직원목록!$F22="퇴사"),"",직원목록!$A22)</f>
        <v/>
      </c>
      <c r="B236" s="20" t="str">
        <f aca="false">IF($A236="","",직원목록!$B22)</f>
        <v/>
      </c>
      <c r="C236" s="20" t="str">
        <f aca="false">IF($A236="","",직원목록!$C22)</f>
        <v/>
      </c>
      <c r="D236" s="21" t="str">
        <f aca="false">IF($A236="","",교육과정!$A5)</f>
        <v/>
      </c>
      <c r="E236" s="20" t="str">
        <f aca="false">IF($A236="","",교육과정!$B5)</f>
        <v/>
      </c>
      <c r="F236" s="21" t="str">
        <f aca="false">IF($A236="","",교육과정!$C5)</f>
        <v/>
      </c>
      <c r="G236" s="23" t="str">
        <f aca="false">IF($A236="","",IF(COUNTIFS(이수내역!$B$3:$B$2002,$A236,이수내역!$D$3:$D$2002,$D236)=0,"",SUMPRODUCT(MAX((이수내역!$B$3:$B$2002=$A236)*(이수내역!$D$3:$D$2002=$D236)*이수내역!$A$3:$A$2002))))</f>
        <v/>
      </c>
      <c r="H236" s="23" t="str">
        <f aca="false">IF($A236="","",IF($F236="","",IF($G236="",EDATE(직원목록!$E22,$F236),EDATE($G236,$F236))))</f>
        <v/>
      </c>
      <c r="I236" s="21" t="str">
        <f aca="true">IF($H236="","",$H236-TODAY())</f>
        <v/>
      </c>
      <c r="J236" s="21" t="str">
        <f aca="false">IF($A236="","",IF($H236="","-",IF($I236&lt;0,"기한초과",IF($I236&lt;=사용안내!$C$16,"임박","정상"))))</f>
        <v/>
      </c>
    </row>
    <row r="237" customFormat="false" ht="15" hidden="false" customHeight="true" outlineLevel="0" collapsed="false">
      <c r="A237" s="20" t="str">
        <f aca="false">IF(OR(직원목록!$A22="",교육과정!$A6="",직원목록!$F22="퇴사"),"",직원목록!$A22)</f>
        <v/>
      </c>
      <c r="B237" s="20" t="str">
        <f aca="false">IF($A237="","",직원목록!$B22)</f>
        <v/>
      </c>
      <c r="C237" s="20" t="str">
        <f aca="false">IF($A237="","",직원목록!$C22)</f>
        <v/>
      </c>
      <c r="D237" s="21" t="str">
        <f aca="false">IF($A237="","",교육과정!$A6)</f>
        <v/>
      </c>
      <c r="E237" s="20" t="str">
        <f aca="false">IF($A237="","",교육과정!$B6)</f>
        <v/>
      </c>
      <c r="F237" s="21" t="str">
        <f aca="false">IF($A237="","",교육과정!$C6)</f>
        <v/>
      </c>
      <c r="G237" s="23" t="str">
        <f aca="false">IF($A237="","",IF(COUNTIFS(이수내역!$B$3:$B$2002,$A237,이수내역!$D$3:$D$2002,$D237)=0,"",SUMPRODUCT(MAX((이수내역!$B$3:$B$2002=$A237)*(이수내역!$D$3:$D$2002=$D237)*이수내역!$A$3:$A$2002))))</f>
        <v/>
      </c>
      <c r="H237" s="23" t="str">
        <f aca="false">IF($A237="","",IF($F237="","",IF($G237="",EDATE(직원목록!$E22,$F237),EDATE($G237,$F237))))</f>
        <v/>
      </c>
      <c r="I237" s="21" t="str">
        <f aca="true">IF($H237="","",$H237-TODAY())</f>
        <v/>
      </c>
      <c r="J237" s="21" t="str">
        <f aca="false">IF($A237="","",IF($H237="","-",IF($I237&lt;0,"기한초과",IF($I237&lt;=사용안내!$C$16,"임박","정상"))))</f>
        <v/>
      </c>
    </row>
    <row r="238" customFormat="false" ht="15" hidden="false" customHeight="true" outlineLevel="0" collapsed="false">
      <c r="A238" s="20" t="str">
        <f aca="false">IF(OR(직원목록!$A22="",교육과정!$A7="",직원목록!$F22="퇴사"),"",직원목록!$A22)</f>
        <v/>
      </c>
      <c r="B238" s="20" t="str">
        <f aca="false">IF($A238="","",직원목록!$B22)</f>
        <v/>
      </c>
      <c r="C238" s="20" t="str">
        <f aca="false">IF($A238="","",직원목록!$C22)</f>
        <v/>
      </c>
      <c r="D238" s="21" t="str">
        <f aca="false">IF($A238="","",교육과정!$A7)</f>
        <v/>
      </c>
      <c r="E238" s="20" t="str">
        <f aca="false">IF($A238="","",교육과정!$B7)</f>
        <v/>
      </c>
      <c r="F238" s="21" t="str">
        <f aca="false">IF($A238="","",교육과정!$C7)</f>
        <v/>
      </c>
      <c r="G238" s="23" t="str">
        <f aca="false">IF($A238="","",IF(COUNTIFS(이수내역!$B$3:$B$2002,$A238,이수내역!$D$3:$D$2002,$D238)=0,"",SUMPRODUCT(MAX((이수내역!$B$3:$B$2002=$A238)*(이수내역!$D$3:$D$2002=$D238)*이수내역!$A$3:$A$2002))))</f>
        <v/>
      </c>
      <c r="H238" s="23" t="str">
        <f aca="false">IF($A238="","",IF($F238="","",IF($G238="",EDATE(직원목록!$E22,$F238),EDATE($G238,$F238))))</f>
        <v/>
      </c>
      <c r="I238" s="21" t="str">
        <f aca="true">IF($H238="","",$H238-TODAY())</f>
        <v/>
      </c>
      <c r="J238" s="21" t="str">
        <f aca="false">IF($A238="","",IF($H238="","-",IF($I238&lt;0,"기한초과",IF($I238&lt;=사용안내!$C$16,"임박","정상"))))</f>
        <v/>
      </c>
    </row>
    <row r="239" customFormat="false" ht="15" hidden="false" customHeight="true" outlineLevel="0" collapsed="false">
      <c r="A239" s="20" t="str">
        <f aca="false">IF(OR(직원목록!$A22="",교육과정!$A8="",직원목록!$F22="퇴사"),"",직원목록!$A22)</f>
        <v/>
      </c>
      <c r="B239" s="20" t="str">
        <f aca="false">IF($A239="","",직원목록!$B22)</f>
        <v/>
      </c>
      <c r="C239" s="20" t="str">
        <f aca="false">IF($A239="","",직원목록!$C22)</f>
        <v/>
      </c>
      <c r="D239" s="21" t="str">
        <f aca="false">IF($A239="","",교육과정!$A8)</f>
        <v/>
      </c>
      <c r="E239" s="20" t="str">
        <f aca="false">IF($A239="","",교육과정!$B8)</f>
        <v/>
      </c>
      <c r="F239" s="21" t="str">
        <f aca="false">IF($A239="","",교육과정!$C8)</f>
        <v/>
      </c>
      <c r="G239" s="23" t="str">
        <f aca="false">IF($A239="","",IF(COUNTIFS(이수내역!$B$3:$B$2002,$A239,이수내역!$D$3:$D$2002,$D239)=0,"",SUMPRODUCT(MAX((이수내역!$B$3:$B$2002=$A239)*(이수내역!$D$3:$D$2002=$D239)*이수내역!$A$3:$A$2002))))</f>
        <v/>
      </c>
      <c r="H239" s="23" t="str">
        <f aca="false">IF($A239="","",IF($F239="","",IF($G239="",EDATE(직원목록!$E22,$F239),EDATE($G239,$F239))))</f>
        <v/>
      </c>
      <c r="I239" s="21" t="str">
        <f aca="true">IF($H239="","",$H239-TODAY())</f>
        <v/>
      </c>
      <c r="J239" s="21" t="str">
        <f aca="false">IF($A239="","",IF($H239="","-",IF($I239&lt;0,"기한초과",IF($I239&lt;=사용안내!$C$16,"임박","정상"))))</f>
        <v/>
      </c>
    </row>
    <row r="240" customFormat="false" ht="15" hidden="false" customHeight="true" outlineLevel="0" collapsed="false">
      <c r="A240" s="20" t="str">
        <f aca="false">IF(OR(직원목록!$A22="",교육과정!$A9="",직원목록!$F22="퇴사"),"",직원목록!$A22)</f>
        <v/>
      </c>
      <c r="B240" s="20" t="str">
        <f aca="false">IF($A240="","",직원목록!$B22)</f>
        <v/>
      </c>
      <c r="C240" s="20" t="str">
        <f aca="false">IF($A240="","",직원목록!$C22)</f>
        <v/>
      </c>
      <c r="D240" s="21" t="str">
        <f aca="false">IF($A240="","",교육과정!$A9)</f>
        <v/>
      </c>
      <c r="E240" s="20" t="str">
        <f aca="false">IF($A240="","",교육과정!$B9)</f>
        <v/>
      </c>
      <c r="F240" s="21" t="str">
        <f aca="false">IF($A240="","",교육과정!$C9)</f>
        <v/>
      </c>
      <c r="G240" s="23" t="str">
        <f aca="false">IF($A240="","",IF(COUNTIFS(이수내역!$B$3:$B$2002,$A240,이수내역!$D$3:$D$2002,$D240)=0,"",SUMPRODUCT(MAX((이수내역!$B$3:$B$2002=$A240)*(이수내역!$D$3:$D$2002=$D240)*이수내역!$A$3:$A$2002))))</f>
        <v/>
      </c>
      <c r="H240" s="23" t="str">
        <f aca="false">IF($A240="","",IF($F240="","",IF($G240="",EDATE(직원목록!$E22,$F240),EDATE($G240,$F240))))</f>
        <v/>
      </c>
      <c r="I240" s="21" t="str">
        <f aca="true">IF($H240="","",$H240-TODAY())</f>
        <v/>
      </c>
      <c r="J240" s="21" t="str">
        <f aca="false">IF($A240="","",IF($H240="","-",IF($I240&lt;0,"기한초과",IF($I240&lt;=사용안내!$C$16,"임박","정상"))))</f>
        <v/>
      </c>
    </row>
    <row r="241" customFormat="false" ht="15" hidden="false" customHeight="true" outlineLevel="0" collapsed="false">
      <c r="A241" s="20" t="str">
        <f aca="false">IF(OR(직원목록!$A22="",교육과정!$A10="",직원목록!$F22="퇴사"),"",직원목록!$A22)</f>
        <v/>
      </c>
      <c r="B241" s="20" t="str">
        <f aca="false">IF($A241="","",직원목록!$B22)</f>
        <v/>
      </c>
      <c r="C241" s="20" t="str">
        <f aca="false">IF($A241="","",직원목록!$C22)</f>
        <v/>
      </c>
      <c r="D241" s="21" t="str">
        <f aca="false">IF($A241="","",교육과정!$A10)</f>
        <v/>
      </c>
      <c r="E241" s="20" t="str">
        <f aca="false">IF($A241="","",교육과정!$B10)</f>
        <v/>
      </c>
      <c r="F241" s="21" t="str">
        <f aca="false">IF($A241="","",교육과정!$C10)</f>
        <v/>
      </c>
      <c r="G241" s="23" t="str">
        <f aca="false">IF($A241="","",IF(COUNTIFS(이수내역!$B$3:$B$2002,$A241,이수내역!$D$3:$D$2002,$D241)=0,"",SUMPRODUCT(MAX((이수내역!$B$3:$B$2002=$A241)*(이수내역!$D$3:$D$2002=$D241)*이수내역!$A$3:$A$2002))))</f>
        <v/>
      </c>
      <c r="H241" s="23" t="str">
        <f aca="false">IF($A241="","",IF($F241="","",IF($G241="",EDATE(직원목록!$E22,$F241),EDATE($G241,$F241))))</f>
        <v/>
      </c>
      <c r="I241" s="21" t="str">
        <f aca="true">IF($H241="","",$H241-TODAY())</f>
        <v/>
      </c>
      <c r="J241" s="21" t="str">
        <f aca="false">IF($A241="","",IF($H241="","-",IF($I241&lt;0,"기한초과",IF($I241&lt;=사용안내!$C$16,"임박","정상"))))</f>
        <v/>
      </c>
    </row>
    <row r="242" customFormat="false" ht="15" hidden="false" customHeight="true" outlineLevel="0" collapsed="false">
      <c r="A242" s="20" t="str">
        <f aca="false">IF(OR(직원목록!$A22="",교육과정!$A11="",직원목록!$F22="퇴사"),"",직원목록!$A22)</f>
        <v/>
      </c>
      <c r="B242" s="20" t="str">
        <f aca="false">IF($A242="","",직원목록!$B22)</f>
        <v/>
      </c>
      <c r="C242" s="20" t="str">
        <f aca="false">IF($A242="","",직원목록!$C22)</f>
        <v/>
      </c>
      <c r="D242" s="21" t="str">
        <f aca="false">IF($A242="","",교육과정!$A11)</f>
        <v/>
      </c>
      <c r="E242" s="20" t="str">
        <f aca="false">IF($A242="","",교육과정!$B11)</f>
        <v/>
      </c>
      <c r="F242" s="21" t="str">
        <f aca="false">IF($A242="","",교육과정!$C11)</f>
        <v/>
      </c>
      <c r="G242" s="23" t="str">
        <f aca="false">IF($A242="","",IF(COUNTIFS(이수내역!$B$3:$B$2002,$A242,이수내역!$D$3:$D$2002,$D242)=0,"",SUMPRODUCT(MAX((이수내역!$B$3:$B$2002=$A242)*(이수내역!$D$3:$D$2002=$D242)*이수내역!$A$3:$A$2002))))</f>
        <v/>
      </c>
      <c r="H242" s="23" t="str">
        <f aca="false">IF($A242="","",IF($F242="","",IF($G242="",EDATE(직원목록!$E22,$F242),EDATE($G242,$F242))))</f>
        <v/>
      </c>
      <c r="I242" s="21" t="str">
        <f aca="true">IF($H242="","",$H242-TODAY())</f>
        <v/>
      </c>
      <c r="J242" s="21" t="str">
        <f aca="false">IF($A242="","",IF($H242="","-",IF($I242&lt;0,"기한초과",IF($I242&lt;=사용안내!$C$16,"임박","정상"))))</f>
        <v/>
      </c>
    </row>
    <row r="243" customFormat="false" ht="15" hidden="false" customHeight="true" outlineLevel="0" collapsed="false">
      <c r="A243" s="20" t="str">
        <f aca="false">IF(OR(직원목록!$A22="",교육과정!$A12="",직원목록!$F22="퇴사"),"",직원목록!$A22)</f>
        <v/>
      </c>
      <c r="B243" s="20" t="str">
        <f aca="false">IF($A243="","",직원목록!$B22)</f>
        <v/>
      </c>
      <c r="C243" s="20" t="str">
        <f aca="false">IF($A243="","",직원목록!$C22)</f>
        <v/>
      </c>
      <c r="D243" s="21" t="str">
        <f aca="false">IF($A243="","",교육과정!$A12)</f>
        <v/>
      </c>
      <c r="E243" s="20" t="str">
        <f aca="false">IF($A243="","",교육과정!$B12)</f>
        <v/>
      </c>
      <c r="F243" s="21" t="str">
        <f aca="false">IF($A243="","",교육과정!$C12)</f>
        <v/>
      </c>
      <c r="G243" s="23" t="str">
        <f aca="false">IF($A243="","",IF(COUNTIFS(이수내역!$B$3:$B$2002,$A243,이수내역!$D$3:$D$2002,$D243)=0,"",SUMPRODUCT(MAX((이수내역!$B$3:$B$2002=$A243)*(이수내역!$D$3:$D$2002=$D243)*이수내역!$A$3:$A$2002))))</f>
        <v/>
      </c>
      <c r="H243" s="23" t="str">
        <f aca="false">IF($A243="","",IF($F243="","",IF($G243="",EDATE(직원목록!$E22,$F243),EDATE($G243,$F243))))</f>
        <v/>
      </c>
      <c r="I243" s="21" t="str">
        <f aca="true">IF($H243="","",$H243-TODAY())</f>
        <v/>
      </c>
      <c r="J243" s="21" t="str">
        <f aca="false">IF($A243="","",IF($H243="","-",IF($I243&lt;0,"기한초과",IF($I243&lt;=사용안내!$C$16,"임박","정상"))))</f>
        <v/>
      </c>
    </row>
    <row r="244" customFormat="false" ht="15" hidden="false" customHeight="true" outlineLevel="0" collapsed="false">
      <c r="A244" s="20" t="str">
        <f aca="false">IF(OR(직원목록!$A22="",교육과정!$A13="",직원목록!$F22="퇴사"),"",직원목록!$A22)</f>
        <v/>
      </c>
      <c r="B244" s="20" t="str">
        <f aca="false">IF($A244="","",직원목록!$B22)</f>
        <v/>
      </c>
      <c r="C244" s="20" t="str">
        <f aca="false">IF($A244="","",직원목록!$C22)</f>
        <v/>
      </c>
      <c r="D244" s="21" t="str">
        <f aca="false">IF($A244="","",교육과정!$A13)</f>
        <v/>
      </c>
      <c r="E244" s="20" t="str">
        <f aca="false">IF($A244="","",교육과정!$B13)</f>
        <v/>
      </c>
      <c r="F244" s="21" t="str">
        <f aca="false">IF($A244="","",교육과정!$C13)</f>
        <v/>
      </c>
      <c r="G244" s="23" t="str">
        <f aca="false">IF($A244="","",IF(COUNTIFS(이수내역!$B$3:$B$2002,$A244,이수내역!$D$3:$D$2002,$D244)=0,"",SUMPRODUCT(MAX((이수내역!$B$3:$B$2002=$A244)*(이수내역!$D$3:$D$2002=$D244)*이수내역!$A$3:$A$2002))))</f>
        <v/>
      </c>
      <c r="H244" s="23" t="str">
        <f aca="false">IF($A244="","",IF($F244="","",IF($G244="",EDATE(직원목록!$E22,$F244),EDATE($G244,$F244))))</f>
        <v/>
      </c>
      <c r="I244" s="21" t="str">
        <f aca="true">IF($H244="","",$H244-TODAY())</f>
        <v/>
      </c>
      <c r="J244" s="21" t="str">
        <f aca="false">IF($A244="","",IF($H244="","-",IF($I244&lt;0,"기한초과",IF($I244&lt;=사용안내!$C$16,"임박","정상"))))</f>
        <v/>
      </c>
    </row>
    <row r="245" customFormat="false" ht="15" hidden="false" customHeight="true" outlineLevel="0" collapsed="false">
      <c r="A245" s="20" t="str">
        <f aca="false">IF(OR(직원목록!$A22="",교육과정!$A14="",직원목록!$F22="퇴사"),"",직원목록!$A22)</f>
        <v/>
      </c>
      <c r="B245" s="20" t="str">
        <f aca="false">IF($A245="","",직원목록!$B22)</f>
        <v/>
      </c>
      <c r="C245" s="20" t="str">
        <f aca="false">IF($A245="","",직원목록!$C22)</f>
        <v/>
      </c>
      <c r="D245" s="21" t="str">
        <f aca="false">IF($A245="","",교육과정!$A14)</f>
        <v/>
      </c>
      <c r="E245" s="20" t="str">
        <f aca="false">IF($A245="","",교육과정!$B14)</f>
        <v/>
      </c>
      <c r="F245" s="21" t="str">
        <f aca="false">IF($A245="","",교육과정!$C14)</f>
        <v/>
      </c>
      <c r="G245" s="23" t="str">
        <f aca="false">IF($A245="","",IF(COUNTIFS(이수내역!$B$3:$B$2002,$A245,이수내역!$D$3:$D$2002,$D245)=0,"",SUMPRODUCT(MAX((이수내역!$B$3:$B$2002=$A245)*(이수내역!$D$3:$D$2002=$D245)*이수내역!$A$3:$A$2002))))</f>
        <v/>
      </c>
      <c r="H245" s="23" t="str">
        <f aca="false">IF($A245="","",IF($F245="","",IF($G245="",EDATE(직원목록!$E22,$F245),EDATE($G245,$F245))))</f>
        <v/>
      </c>
      <c r="I245" s="21" t="str">
        <f aca="true">IF($H245="","",$H245-TODAY())</f>
        <v/>
      </c>
      <c r="J245" s="21" t="str">
        <f aca="false">IF($A245="","",IF($H245="","-",IF($I245&lt;0,"기한초과",IF($I245&lt;=사용안내!$C$16,"임박","정상"))))</f>
        <v/>
      </c>
    </row>
    <row r="246" customFormat="false" ht="15" hidden="false" customHeight="true" outlineLevel="0" collapsed="false">
      <c r="A246" s="20" t="str">
        <f aca="false">IF(OR(직원목록!$A23="",교육과정!$A3="",직원목록!$F23="퇴사"),"",직원목록!$A23)</f>
        <v/>
      </c>
      <c r="B246" s="20" t="str">
        <f aca="false">IF($A246="","",직원목록!$B23)</f>
        <v/>
      </c>
      <c r="C246" s="20" t="str">
        <f aca="false">IF($A246="","",직원목록!$C23)</f>
        <v/>
      </c>
      <c r="D246" s="21" t="str">
        <f aca="false">IF($A246="","",교육과정!$A3)</f>
        <v/>
      </c>
      <c r="E246" s="20" t="str">
        <f aca="false">IF($A246="","",교육과정!$B3)</f>
        <v/>
      </c>
      <c r="F246" s="21" t="str">
        <f aca="false">IF($A246="","",교육과정!$C3)</f>
        <v/>
      </c>
      <c r="G246" s="23" t="str">
        <f aca="false">IF($A246="","",IF(COUNTIFS(이수내역!$B$3:$B$2002,$A246,이수내역!$D$3:$D$2002,$D246)=0,"",SUMPRODUCT(MAX((이수내역!$B$3:$B$2002=$A246)*(이수내역!$D$3:$D$2002=$D246)*이수내역!$A$3:$A$2002))))</f>
        <v/>
      </c>
      <c r="H246" s="23" t="str">
        <f aca="false">IF($A246="","",IF($F246="","",IF($G246="",EDATE(직원목록!$E23,$F246),EDATE($G246,$F246))))</f>
        <v/>
      </c>
      <c r="I246" s="21" t="str">
        <f aca="true">IF($H246="","",$H246-TODAY())</f>
        <v/>
      </c>
      <c r="J246" s="21" t="str">
        <f aca="false">IF($A246="","",IF($H246="","-",IF($I246&lt;0,"기한초과",IF($I246&lt;=사용안내!$C$16,"임박","정상"))))</f>
        <v/>
      </c>
    </row>
    <row r="247" customFormat="false" ht="15" hidden="false" customHeight="true" outlineLevel="0" collapsed="false">
      <c r="A247" s="20" t="str">
        <f aca="false">IF(OR(직원목록!$A23="",교육과정!$A4="",직원목록!$F23="퇴사"),"",직원목록!$A23)</f>
        <v/>
      </c>
      <c r="B247" s="20" t="str">
        <f aca="false">IF($A247="","",직원목록!$B23)</f>
        <v/>
      </c>
      <c r="C247" s="20" t="str">
        <f aca="false">IF($A247="","",직원목록!$C23)</f>
        <v/>
      </c>
      <c r="D247" s="21" t="str">
        <f aca="false">IF($A247="","",교육과정!$A4)</f>
        <v/>
      </c>
      <c r="E247" s="20" t="str">
        <f aca="false">IF($A247="","",교육과정!$B4)</f>
        <v/>
      </c>
      <c r="F247" s="21" t="str">
        <f aca="false">IF($A247="","",교육과정!$C4)</f>
        <v/>
      </c>
      <c r="G247" s="23" t="str">
        <f aca="false">IF($A247="","",IF(COUNTIFS(이수내역!$B$3:$B$2002,$A247,이수내역!$D$3:$D$2002,$D247)=0,"",SUMPRODUCT(MAX((이수내역!$B$3:$B$2002=$A247)*(이수내역!$D$3:$D$2002=$D247)*이수내역!$A$3:$A$2002))))</f>
        <v/>
      </c>
      <c r="H247" s="23" t="str">
        <f aca="false">IF($A247="","",IF($F247="","",IF($G247="",EDATE(직원목록!$E23,$F247),EDATE($G247,$F247))))</f>
        <v/>
      </c>
      <c r="I247" s="21" t="str">
        <f aca="true">IF($H247="","",$H247-TODAY())</f>
        <v/>
      </c>
      <c r="J247" s="21" t="str">
        <f aca="false">IF($A247="","",IF($H247="","-",IF($I247&lt;0,"기한초과",IF($I247&lt;=사용안내!$C$16,"임박","정상"))))</f>
        <v/>
      </c>
    </row>
    <row r="248" customFormat="false" ht="15" hidden="false" customHeight="true" outlineLevel="0" collapsed="false">
      <c r="A248" s="20" t="str">
        <f aca="false">IF(OR(직원목록!$A23="",교육과정!$A5="",직원목록!$F23="퇴사"),"",직원목록!$A23)</f>
        <v/>
      </c>
      <c r="B248" s="20" t="str">
        <f aca="false">IF($A248="","",직원목록!$B23)</f>
        <v/>
      </c>
      <c r="C248" s="20" t="str">
        <f aca="false">IF($A248="","",직원목록!$C23)</f>
        <v/>
      </c>
      <c r="D248" s="21" t="str">
        <f aca="false">IF($A248="","",교육과정!$A5)</f>
        <v/>
      </c>
      <c r="E248" s="20" t="str">
        <f aca="false">IF($A248="","",교육과정!$B5)</f>
        <v/>
      </c>
      <c r="F248" s="21" t="str">
        <f aca="false">IF($A248="","",교육과정!$C5)</f>
        <v/>
      </c>
      <c r="G248" s="23" t="str">
        <f aca="false">IF($A248="","",IF(COUNTIFS(이수내역!$B$3:$B$2002,$A248,이수내역!$D$3:$D$2002,$D248)=0,"",SUMPRODUCT(MAX((이수내역!$B$3:$B$2002=$A248)*(이수내역!$D$3:$D$2002=$D248)*이수내역!$A$3:$A$2002))))</f>
        <v/>
      </c>
      <c r="H248" s="23" t="str">
        <f aca="false">IF($A248="","",IF($F248="","",IF($G248="",EDATE(직원목록!$E23,$F248),EDATE($G248,$F248))))</f>
        <v/>
      </c>
      <c r="I248" s="21" t="str">
        <f aca="true">IF($H248="","",$H248-TODAY())</f>
        <v/>
      </c>
      <c r="J248" s="21" t="str">
        <f aca="false">IF($A248="","",IF($H248="","-",IF($I248&lt;0,"기한초과",IF($I248&lt;=사용안내!$C$16,"임박","정상"))))</f>
        <v/>
      </c>
    </row>
    <row r="249" customFormat="false" ht="15" hidden="false" customHeight="true" outlineLevel="0" collapsed="false">
      <c r="A249" s="20" t="str">
        <f aca="false">IF(OR(직원목록!$A23="",교육과정!$A6="",직원목록!$F23="퇴사"),"",직원목록!$A23)</f>
        <v/>
      </c>
      <c r="B249" s="20" t="str">
        <f aca="false">IF($A249="","",직원목록!$B23)</f>
        <v/>
      </c>
      <c r="C249" s="20" t="str">
        <f aca="false">IF($A249="","",직원목록!$C23)</f>
        <v/>
      </c>
      <c r="D249" s="21" t="str">
        <f aca="false">IF($A249="","",교육과정!$A6)</f>
        <v/>
      </c>
      <c r="E249" s="20" t="str">
        <f aca="false">IF($A249="","",교육과정!$B6)</f>
        <v/>
      </c>
      <c r="F249" s="21" t="str">
        <f aca="false">IF($A249="","",교육과정!$C6)</f>
        <v/>
      </c>
      <c r="G249" s="23" t="str">
        <f aca="false">IF($A249="","",IF(COUNTIFS(이수내역!$B$3:$B$2002,$A249,이수내역!$D$3:$D$2002,$D249)=0,"",SUMPRODUCT(MAX((이수내역!$B$3:$B$2002=$A249)*(이수내역!$D$3:$D$2002=$D249)*이수내역!$A$3:$A$2002))))</f>
        <v/>
      </c>
      <c r="H249" s="23" t="str">
        <f aca="false">IF($A249="","",IF($F249="","",IF($G249="",EDATE(직원목록!$E23,$F249),EDATE($G249,$F249))))</f>
        <v/>
      </c>
      <c r="I249" s="21" t="str">
        <f aca="true">IF($H249="","",$H249-TODAY())</f>
        <v/>
      </c>
      <c r="J249" s="21" t="str">
        <f aca="false">IF($A249="","",IF($H249="","-",IF($I249&lt;0,"기한초과",IF($I249&lt;=사용안내!$C$16,"임박","정상"))))</f>
        <v/>
      </c>
    </row>
    <row r="250" customFormat="false" ht="15" hidden="false" customHeight="true" outlineLevel="0" collapsed="false">
      <c r="A250" s="20" t="str">
        <f aca="false">IF(OR(직원목록!$A23="",교육과정!$A7="",직원목록!$F23="퇴사"),"",직원목록!$A23)</f>
        <v/>
      </c>
      <c r="B250" s="20" t="str">
        <f aca="false">IF($A250="","",직원목록!$B23)</f>
        <v/>
      </c>
      <c r="C250" s="20" t="str">
        <f aca="false">IF($A250="","",직원목록!$C23)</f>
        <v/>
      </c>
      <c r="D250" s="21" t="str">
        <f aca="false">IF($A250="","",교육과정!$A7)</f>
        <v/>
      </c>
      <c r="E250" s="20" t="str">
        <f aca="false">IF($A250="","",교육과정!$B7)</f>
        <v/>
      </c>
      <c r="F250" s="21" t="str">
        <f aca="false">IF($A250="","",교육과정!$C7)</f>
        <v/>
      </c>
      <c r="G250" s="23" t="str">
        <f aca="false">IF($A250="","",IF(COUNTIFS(이수내역!$B$3:$B$2002,$A250,이수내역!$D$3:$D$2002,$D250)=0,"",SUMPRODUCT(MAX((이수내역!$B$3:$B$2002=$A250)*(이수내역!$D$3:$D$2002=$D250)*이수내역!$A$3:$A$2002))))</f>
        <v/>
      </c>
      <c r="H250" s="23" t="str">
        <f aca="false">IF($A250="","",IF($F250="","",IF($G250="",EDATE(직원목록!$E23,$F250),EDATE($G250,$F250))))</f>
        <v/>
      </c>
      <c r="I250" s="21" t="str">
        <f aca="true">IF($H250="","",$H250-TODAY())</f>
        <v/>
      </c>
      <c r="J250" s="21" t="str">
        <f aca="false">IF($A250="","",IF($H250="","-",IF($I250&lt;0,"기한초과",IF($I250&lt;=사용안내!$C$16,"임박","정상"))))</f>
        <v/>
      </c>
    </row>
    <row r="251" customFormat="false" ht="15" hidden="false" customHeight="true" outlineLevel="0" collapsed="false">
      <c r="A251" s="20" t="str">
        <f aca="false">IF(OR(직원목록!$A23="",교육과정!$A8="",직원목록!$F23="퇴사"),"",직원목록!$A23)</f>
        <v/>
      </c>
      <c r="B251" s="20" t="str">
        <f aca="false">IF($A251="","",직원목록!$B23)</f>
        <v/>
      </c>
      <c r="C251" s="20" t="str">
        <f aca="false">IF($A251="","",직원목록!$C23)</f>
        <v/>
      </c>
      <c r="D251" s="21" t="str">
        <f aca="false">IF($A251="","",교육과정!$A8)</f>
        <v/>
      </c>
      <c r="E251" s="20" t="str">
        <f aca="false">IF($A251="","",교육과정!$B8)</f>
        <v/>
      </c>
      <c r="F251" s="21" t="str">
        <f aca="false">IF($A251="","",교육과정!$C8)</f>
        <v/>
      </c>
      <c r="G251" s="23" t="str">
        <f aca="false">IF($A251="","",IF(COUNTIFS(이수내역!$B$3:$B$2002,$A251,이수내역!$D$3:$D$2002,$D251)=0,"",SUMPRODUCT(MAX((이수내역!$B$3:$B$2002=$A251)*(이수내역!$D$3:$D$2002=$D251)*이수내역!$A$3:$A$2002))))</f>
        <v/>
      </c>
      <c r="H251" s="23" t="str">
        <f aca="false">IF($A251="","",IF($F251="","",IF($G251="",EDATE(직원목록!$E23,$F251),EDATE($G251,$F251))))</f>
        <v/>
      </c>
      <c r="I251" s="21" t="str">
        <f aca="true">IF($H251="","",$H251-TODAY())</f>
        <v/>
      </c>
      <c r="J251" s="21" t="str">
        <f aca="false">IF($A251="","",IF($H251="","-",IF($I251&lt;0,"기한초과",IF($I251&lt;=사용안내!$C$16,"임박","정상"))))</f>
        <v/>
      </c>
    </row>
    <row r="252" customFormat="false" ht="15" hidden="false" customHeight="true" outlineLevel="0" collapsed="false">
      <c r="A252" s="20" t="str">
        <f aca="false">IF(OR(직원목록!$A23="",교육과정!$A9="",직원목록!$F23="퇴사"),"",직원목록!$A23)</f>
        <v/>
      </c>
      <c r="B252" s="20" t="str">
        <f aca="false">IF($A252="","",직원목록!$B23)</f>
        <v/>
      </c>
      <c r="C252" s="20" t="str">
        <f aca="false">IF($A252="","",직원목록!$C23)</f>
        <v/>
      </c>
      <c r="D252" s="21" t="str">
        <f aca="false">IF($A252="","",교육과정!$A9)</f>
        <v/>
      </c>
      <c r="E252" s="20" t="str">
        <f aca="false">IF($A252="","",교육과정!$B9)</f>
        <v/>
      </c>
      <c r="F252" s="21" t="str">
        <f aca="false">IF($A252="","",교육과정!$C9)</f>
        <v/>
      </c>
      <c r="G252" s="23" t="str">
        <f aca="false">IF($A252="","",IF(COUNTIFS(이수내역!$B$3:$B$2002,$A252,이수내역!$D$3:$D$2002,$D252)=0,"",SUMPRODUCT(MAX((이수내역!$B$3:$B$2002=$A252)*(이수내역!$D$3:$D$2002=$D252)*이수내역!$A$3:$A$2002))))</f>
        <v/>
      </c>
      <c r="H252" s="23" t="str">
        <f aca="false">IF($A252="","",IF($F252="","",IF($G252="",EDATE(직원목록!$E23,$F252),EDATE($G252,$F252))))</f>
        <v/>
      </c>
      <c r="I252" s="21" t="str">
        <f aca="true">IF($H252="","",$H252-TODAY())</f>
        <v/>
      </c>
      <c r="J252" s="21" t="str">
        <f aca="false">IF($A252="","",IF($H252="","-",IF($I252&lt;0,"기한초과",IF($I252&lt;=사용안내!$C$16,"임박","정상"))))</f>
        <v/>
      </c>
    </row>
    <row r="253" customFormat="false" ht="15" hidden="false" customHeight="true" outlineLevel="0" collapsed="false">
      <c r="A253" s="20" t="str">
        <f aca="false">IF(OR(직원목록!$A23="",교육과정!$A10="",직원목록!$F23="퇴사"),"",직원목록!$A23)</f>
        <v/>
      </c>
      <c r="B253" s="20" t="str">
        <f aca="false">IF($A253="","",직원목록!$B23)</f>
        <v/>
      </c>
      <c r="C253" s="20" t="str">
        <f aca="false">IF($A253="","",직원목록!$C23)</f>
        <v/>
      </c>
      <c r="D253" s="21" t="str">
        <f aca="false">IF($A253="","",교육과정!$A10)</f>
        <v/>
      </c>
      <c r="E253" s="20" t="str">
        <f aca="false">IF($A253="","",교육과정!$B10)</f>
        <v/>
      </c>
      <c r="F253" s="21" t="str">
        <f aca="false">IF($A253="","",교육과정!$C10)</f>
        <v/>
      </c>
      <c r="G253" s="23" t="str">
        <f aca="false">IF($A253="","",IF(COUNTIFS(이수내역!$B$3:$B$2002,$A253,이수내역!$D$3:$D$2002,$D253)=0,"",SUMPRODUCT(MAX((이수내역!$B$3:$B$2002=$A253)*(이수내역!$D$3:$D$2002=$D253)*이수내역!$A$3:$A$2002))))</f>
        <v/>
      </c>
      <c r="H253" s="23" t="str">
        <f aca="false">IF($A253="","",IF($F253="","",IF($G253="",EDATE(직원목록!$E23,$F253),EDATE($G253,$F253))))</f>
        <v/>
      </c>
      <c r="I253" s="21" t="str">
        <f aca="true">IF($H253="","",$H253-TODAY())</f>
        <v/>
      </c>
      <c r="J253" s="21" t="str">
        <f aca="false">IF($A253="","",IF($H253="","-",IF($I253&lt;0,"기한초과",IF($I253&lt;=사용안내!$C$16,"임박","정상"))))</f>
        <v/>
      </c>
    </row>
    <row r="254" customFormat="false" ht="15" hidden="false" customHeight="true" outlineLevel="0" collapsed="false">
      <c r="A254" s="20" t="str">
        <f aca="false">IF(OR(직원목록!$A23="",교육과정!$A11="",직원목록!$F23="퇴사"),"",직원목록!$A23)</f>
        <v/>
      </c>
      <c r="B254" s="20" t="str">
        <f aca="false">IF($A254="","",직원목록!$B23)</f>
        <v/>
      </c>
      <c r="C254" s="20" t="str">
        <f aca="false">IF($A254="","",직원목록!$C23)</f>
        <v/>
      </c>
      <c r="D254" s="21" t="str">
        <f aca="false">IF($A254="","",교육과정!$A11)</f>
        <v/>
      </c>
      <c r="E254" s="20" t="str">
        <f aca="false">IF($A254="","",교육과정!$B11)</f>
        <v/>
      </c>
      <c r="F254" s="21" t="str">
        <f aca="false">IF($A254="","",교육과정!$C11)</f>
        <v/>
      </c>
      <c r="G254" s="23" t="str">
        <f aca="false">IF($A254="","",IF(COUNTIFS(이수내역!$B$3:$B$2002,$A254,이수내역!$D$3:$D$2002,$D254)=0,"",SUMPRODUCT(MAX((이수내역!$B$3:$B$2002=$A254)*(이수내역!$D$3:$D$2002=$D254)*이수내역!$A$3:$A$2002))))</f>
        <v/>
      </c>
      <c r="H254" s="23" t="str">
        <f aca="false">IF($A254="","",IF($F254="","",IF($G254="",EDATE(직원목록!$E23,$F254),EDATE($G254,$F254))))</f>
        <v/>
      </c>
      <c r="I254" s="21" t="str">
        <f aca="true">IF($H254="","",$H254-TODAY())</f>
        <v/>
      </c>
      <c r="J254" s="21" t="str">
        <f aca="false">IF($A254="","",IF($H254="","-",IF($I254&lt;0,"기한초과",IF($I254&lt;=사용안내!$C$16,"임박","정상"))))</f>
        <v/>
      </c>
    </row>
    <row r="255" customFormat="false" ht="15" hidden="false" customHeight="true" outlineLevel="0" collapsed="false">
      <c r="A255" s="20" t="str">
        <f aca="false">IF(OR(직원목록!$A23="",교육과정!$A12="",직원목록!$F23="퇴사"),"",직원목록!$A23)</f>
        <v/>
      </c>
      <c r="B255" s="20" t="str">
        <f aca="false">IF($A255="","",직원목록!$B23)</f>
        <v/>
      </c>
      <c r="C255" s="20" t="str">
        <f aca="false">IF($A255="","",직원목록!$C23)</f>
        <v/>
      </c>
      <c r="D255" s="21" t="str">
        <f aca="false">IF($A255="","",교육과정!$A12)</f>
        <v/>
      </c>
      <c r="E255" s="20" t="str">
        <f aca="false">IF($A255="","",교육과정!$B12)</f>
        <v/>
      </c>
      <c r="F255" s="21" t="str">
        <f aca="false">IF($A255="","",교육과정!$C12)</f>
        <v/>
      </c>
      <c r="G255" s="23" t="str">
        <f aca="false">IF($A255="","",IF(COUNTIFS(이수내역!$B$3:$B$2002,$A255,이수내역!$D$3:$D$2002,$D255)=0,"",SUMPRODUCT(MAX((이수내역!$B$3:$B$2002=$A255)*(이수내역!$D$3:$D$2002=$D255)*이수내역!$A$3:$A$2002))))</f>
        <v/>
      </c>
      <c r="H255" s="23" t="str">
        <f aca="false">IF($A255="","",IF($F255="","",IF($G255="",EDATE(직원목록!$E23,$F255),EDATE($G255,$F255))))</f>
        <v/>
      </c>
      <c r="I255" s="21" t="str">
        <f aca="true">IF($H255="","",$H255-TODAY())</f>
        <v/>
      </c>
      <c r="J255" s="21" t="str">
        <f aca="false">IF($A255="","",IF($H255="","-",IF($I255&lt;0,"기한초과",IF($I255&lt;=사용안내!$C$16,"임박","정상"))))</f>
        <v/>
      </c>
    </row>
    <row r="256" customFormat="false" ht="15" hidden="false" customHeight="true" outlineLevel="0" collapsed="false">
      <c r="A256" s="20" t="str">
        <f aca="false">IF(OR(직원목록!$A23="",교육과정!$A13="",직원목록!$F23="퇴사"),"",직원목록!$A23)</f>
        <v/>
      </c>
      <c r="B256" s="20" t="str">
        <f aca="false">IF($A256="","",직원목록!$B23)</f>
        <v/>
      </c>
      <c r="C256" s="20" t="str">
        <f aca="false">IF($A256="","",직원목록!$C23)</f>
        <v/>
      </c>
      <c r="D256" s="21" t="str">
        <f aca="false">IF($A256="","",교육과정!$A13)</f>
        <v/>
      </c>
      <c r="E256" s="20" t="str">
        <f aca="false">IF($A256="","",교육과정!$B13)</f>
        <v/>
      </c>
      <c r="F256" s="21" t="str">
        <f aca="false">IF($A256="","",교육과정!$C13)</f>
        <v/>
      </c>
      <c r="G256" s="23" t="str">
        <f aca="false">IF($A256="","",IF(COUNTIFS(이수내역!$B$3:$B$2002,$A256,이수내역!$D$3:$D$2002,$D256)=0,"",SUMPRODUCT(MAX((이수내역!$B$3:$B$2002=$A256)*(이수내역!$D$3:$D$2002=$D256)*이수내역!$A$3:$A$2002))))</f>
        <v/>
      </c>
      <c r="H256" s="23" t="str">
        <f aca="false">IF($A256="","",IF($F256="","",IF($G256="",EDATE(직원목록!$E23,$F256),EDATE($G256,$F256))))</f>
        <v/>
      </c>
      <c r="I256" s="21" t="str">
        <f aca="true">IF($H256="","",$H256-TODAY())</f>
        <v/>
      </c>
      <c r="J256" s="21" t="str">
        <f aca="false">IF($A256="","",IF($H256="","-",IF($I256&lt;0,"기한초과",IF($I256&lt;=사용안내!$C$16,"임박","정상"))))</f>
        <v/>
      </c>
    </row>
    <row r="257" customFormat="false" ht="15" hidden="false" customHeight="true" outlineLevel="0" collapsed="false">
      <c r="A257" s="20" t="str">
        <f aca="false">IF(OR(직원목록!$A23="",교육과정!$A14="",직원목록!$F23="퇴사"),"",직원목록!$A23)</f>
        <v/>
      </c>
      <c r="B257" s="20" t="str">
        <f aca="false">IF($A257="","",직원목록!$B23)</f>
        <v/>
      </c>
      <c r="C257" s="20" t="str">
        <f aca="false">IF($A257="","",직원목록!$C23)</f>
        <v/>
      </c>
      <c r="D257" s="21" t="str">
        <f aca="false">IF($A257="","",교육과정!$A14)</f>
        <v/>
      </c>
      <c r="E257" s="20" t="str">
        <f aca="false">IF($A257="","",교육과정!$B14)</f>
        <v/>
      </c>
      <c r="F257" s="21" t="str">
        <f aca="false">IF($A257="","",교육과정!$C14)</f>
        <v/>
      </c>
      <c r="G257" s="23" t="str">
        <f aca="false">IF($A257="","",IF(COUNTIFS(이수내역!$B$3:$B$2002,$A257,이수내역!$D$3:$D$2002,$D257)=0,"",SUMPRODUCT(MAX((이수내역!$B$3:$B$2002=$A257)*(이수내역!$D$3:$D$2002=$D257)*이수내역!$A$3:$A$2002))))</f>
        <v/>
      </c>
      <c r="H257" s="23" t="str">
        <f aca="false">IF($A257="","",IF($F257="","",IF($G257="",EDATE(직원목록!$E23,$F257),EDATE($G257,$F257))))</f>
        <v/>
      </c>
      <c r="I257" s="21" t="str">
        <f aca="true">IF($H257="","",$H257-TODAY())</f>
        <v/>
      </c>
      <c r="J257" s="21" t="str">
        <f aca="false">IF($A257="","",IF($H257="","-",IF($I257&lt;0,"기한초과",IF($I257&lt;=사용안내!$C$16,"임박","정상"))))</f>
        <v/>
      </c>
    </row>
    <row r="258" customFormat="false" ht="15" hidden="false" customHeight="true" outlineLevel="0" collapsed="false">
      <c r="A258" s="20" t="str">
        <f aca="false">IF(OR(직원목록!$A24="",교육과정!$A3="",직원목록!$F24="퇴사"),"",직원목록!$A24)</f>
        <v/>
      </c>
      <c r="B258" s="20" t="str">
        <f aca="false">IF($A258="","",직원목록!$B24)</f>
        <v/>
      </c>
      <c r="C258" s="20" t="str">
        <f aca="false">IF($A258="","",직원목록!$C24)</f>
        <v/>
      </c>
      <c r="D258" s="21" t="str">
        <f aca="false">IF($A258="","",교육과정!$A3)</f>
        <v/>
      </c>
      <c r="E258" s="20" t="str">
        <f aca="false">IF($A258="","",교육과정!$B3)</f>
        <v/>
      </c>
      <c r="F258" s="21" t="str">
        <f aca="false">IF($A258="","",교육과정!$C3)</f>
        <v/>
      </c>
      <c r="G258" s="23" t="str">
        <f aca="false">IF($A258="","",IF(COUNTIFS(이수내역!$B$3:$B$2002,$A258,이수내역!$D$3:$D$2002,$D258)=0,"",SUMPRODUCT(MAX((이수내역!$B$3:$B$2002=$A258)*(이수내역!$D$3:$D$2002=$D258)*이수내역!$A$3:$A$2002))))</f>
        <v/>
      </c>
      <c r="H258" s="23" t="str">
        <f aca="false">IF($A258="","",IF($F258="","",IF($G258="",EDATE(직원목록!$E24,$F258),EDATE($G258,$F258))))</f>
        <v/>
      </c>
      <c r="I258" s="21" t="str">
        <f aca="true">IF($H258="","",$H258-TODAY())</f>
        <v/>
      </c>
      <c r="J258" s="21" t="str">
        <f aca="false">IF($A258="","",IF($H258="","-",IF($I258&lt;0,"기한초과",IF($I258&lt;=사용안내!$C$16,"임박","정상"))))</f>
        <v/>
      </c>
    </row>
    <row r="259" customFormat="false" ht="15" hidden="false" customHeight="true" outlineLevel="0" collapsed="false">
      <c r="A259" s="20" t="str">
        <f aca="false">IF(OR(직원목록!$A24="",교육과정!$A4="",직원목록!$F24="퇴사"),"",직원목록!$A24)</f>
        <v/>
      </c>
      <c r="B259" s="20" t="str">
        <f aca="false">IF($A259="","",직원목록!$B24)</f>
        <v/>
      </c>
      <c r="C259" s="20" t="str">
        <f aca="false">IF($A259="","",직원목록!$C24)</f>
        <v/>
      </c>
      <c r="D259" s="21" t="str">
        <f aca="false">IF($A259="","",교육과정!$A4)</f>
        <v/>
      </c>
      <c r="E259" s="20" t="str">
        <f aca="false">IF($A259="","",교육과정!$B4)</f>
        <v/>
      </c>
      <c r="F259" s="21" t="str">
        <f aca="false">IF($A259="","",교육과정!$C4)</f>
        <v/>
      </c>
      <c r="G259" s="23" t="str">
        <f aca="false">IF($A259="","",IF(COUNTIFS(이수내역!$B$3:$B$2002,$A259,이수내역!$D$3:$D$2002,$D259)=0,"",SUMPRODUCT(MAX((이수내역!$B$3:$B$2002=$A259)*(이수내역!$D$3:$D$2002=$D259)*이수내역!$A$3:$A$2002))))</f>
        <v/>
      </c>
      <c r="H259" s="23" t="str">
        <f aca="false">IF($A259="","",IF($F259="","",IF($G259="",EDATE(직원목록!$E24,$F259),EDATE($G259,$F259))))</f>
        <v/>
      </c>
      <c r="I259" s="21" t="str">
        <f aca="true">IF($H259="","",$H259-TODAY())</f>
        <v/>
      </c>
      <c r="J259" s="21" t="str">
        <f aca="false">IF($A259="","",IF($H259="","-",IF($I259&lt;0,"기한초과",IF($I259&lt;=사용안내!$C$16,"임박","정상"))))</f>
        <v/>
      </c>
    </row>
    <row r="260" customFormat="false" ht="15" hidden="false" customHeight="true" outlineLevel="0" collapsed="false">
      <c r="A260" s="20" t="str">
        <f aca="false">IF(OR(직원목록!$A24="",교육과정!$A5="",직원목록!$F24="퇴사"),"",직원목록!$A24)</f>
        <v/>
      </c>
      <c r="B260" s="20" t="str">
        <f aca="false">IF($A260="","",직원목록!$B24)</f>
        <v/>
      </c>
      <c r="C260" s="20" t="str">
        <f aca="false">IF($A260="","",직원목록!$C24)</f>
        <v/>
      </c>
      <c r="D260" s="21" t="str">
        <f aca="false">IF($A260="","",교육과정!$A5)</f>
        <v/>
      </c>
      <c r="E260" s="20" t="str">
        <f aca="false">IF($A260="","",교육과정!$B5)</f>
        <v/>
      </c>
      <c r="F260" s="21" t="str">
        <f aca="false">IF($A260="","",교육과정!$C5)</f>
        <v/>
      </c>
      <c r="G260" s="23" t="str">
        <f aca="false">IF($A260="","",IF(COUNTIFS(이수내역!$B$3:$B$2002,$A260,이수내역!$D$3:$D$2002,$D260)=0,"",SUMPRODUCT(MAX((이수내역!$B$3:$B$2002=$A260)*(이수내역!$D$3:$D$2002=$D260)*이수내역!$A$3:$A$2002))))</f>
        <v/>
      </c>
      <c r="H260" s="23" t="str">
        <f aca="false">IF($A260="","",IF($F260="","",IF($G260="",EDATE(직원목록!$E24,$F260),EDATE($G260,$F260))))</f>
        <v/>
      </c>
      <c r="I260" s="21" t="str">
        <f aca="true">IF($H260="","",$H260-TODAY())</f>
        <v/>
      </c>
      <c r="J260" s="21" t="str">
        <f aca="false">IF($A260="","",IF($H260="","-",IF($I260&lt;0,"기한초과",IF($I260&lt;=사용안내!$C$16,"임박","정상"))))</f>
        <v/>
      </c>
    </row>
    <row r="261" customFormat="false" ht="15" hidden="false" customHeight="true" outlineLevel="0" collapsed="false">
      <c r="A261" s="20" t="str">
        <f aca="false">IF(OR(직원목록!$A24="",교육과정!$A6="",직원목록!$F24="퇴사"),"",직원목록!$A24)</f>
        <v/>
      </c>
      <c r="B261" s="20" t="str">
        <f aca="false">IF($A261="","",직원목록!$B24)</f>
        <v/>
      </c>
      <c r="C261" s="20" t="str">
        <f aca="false">IF($A261="","",직원목록!$C24)</f>
        <v/>
      </c>
      <c r="D261" s="21" t="str">
        <f aca="false">IF($A261="","",교육과정!$A6)</f>
        <v/>
      </c>
      <c r="E261" s="20" t="str">
        <f aca="false">IF($A261="","",교육과정!$B6)</f>
        <v/>
      </c>
      <c r="F261" s="21" t="str">
        <f aca="false">IF($A261="","",교육과정!$C6)</f>
        <v/>
      </c>
      <c r="G261" s="23" t="str">
        <f aca="false">IF($A261="","",IF(COUNTIFS(이수내역!$B$3:$B$2002,$A261,이수내역!$D$3:$D$2002,$D261)=0,"",SUMPRODUCT(MAX((이수내역!$B$3:$B$2002=$A261)*(이수내역!$D$3:$D$2002=$D261)*이수내역!$A$3:$A$2002))))</f>
        <v/>
      </c>
      <c r="H261" s="23" t="str">
        <f aca="false">IF($A261="","",IF($F261="","",IF($G261="",EDATE(직원목록!$E24,$F261),EDATE($G261,$F261))))</f>
        <v/>
      </c>
      <c r="I261" s="21" t="str">
        <f aca="true">IF($H261="","",$H261-TODAY())</f>
        <v/>
      </c>
      <c r="J261" s="21" t="str">
        <f aca="false">IF($A261="","",IF($H261="","-",IF($I261&lt;0,"기한초과",IF($I261&lt;=사용안내!$C$16,"임박","정상"))))</f>
        <v/>
      </c>
    </row>
    <row r="262" customFormat="false" ht="15" hidden="false" customHeight="true" outlineLevel="0" collapsed="false">
      <c r="A262" s="20" t="str">
        <f aca="false">IF(OR(직원목록!$A24="",교육과정!$A7="",직원목록!$F24="퇴사"),"",직원목록!$A24)</f>
        <v/>
      </c>
      <c r="B262" s="20" t="str">
        <f aca="false">IF($A262="","",직원목록!$B24)</f>
        <v/>
      </c>
      <c r="C262" s="20" t="str">
        <f aca="false">IF($A262="","",직원목록!$C24)</f>
        <v/>
      </c>
      <c r="D262" s="21" t="str">
        <f aca="false">IF($A262="","",교육과정!$A7)</f>
        <v/>
      </c>
      <c r="E262" s="20" t="str">
        <f aca="false">IF($A262="","",교육과정!$B7)</f>
        <v/>
      </c>
      <c r="F262" s="21" t="str">
        <f aca="false">IF($A262="","",교육과정!$C7)</f>
        <v/>
      </c>
      <c r="G262" s="23" t="str">
        <f aca="false">IF($A262="","",IF(COUNTIFS(이수내역!$B$3:$B$2002,$A262,이수내역!$D$3:$D$2002,$D262)=0,"",SUMPRODUCT(MAX((이수내역!$B$3:$B$2002=$A262)*(이수내역!$D$3:$D$2002=$D262)*이수내역!$A$3:$A$2002))))</f>
        <v/>
      </c>
      <c r="H262" s="23" t="str">
        <f aca="false">IF($A262="","",IF($F262="","",IF($G262="",EDATE(직원목록!$E24,$F262),EDATE($G262,$F262))))</f>
        <v/>
      </c>
      <c r="I262" s="21" t="str">
        <f aca="true">IF($H262="","",$H262-TODAY())</f>
        <v/>
      </c>
      <c r="J262" s="21" t="str">
        <f aca="false">IF($A262="","",IF($H262="","-",IF($I262&lt;0,"기한초과",IF($I262&lt;=사용안내!$C$16,"임박","정상"))))</f>
        <v/>
      </c>
    </row>
    <row r="263" customFormat="false" ht="15" hidden="false" customHeight="true" outlineLevel="0" collapsed="false">
      <c r="A263" s="20" t="str">
        <f aca="false">IF(OR(직원목록!$A24="",교육과정!$A8="",직원목록!$F24="퇴사"),"",직원목록!$A24)</f>
        <v/>
      </c>
      <c r="B263" s="20" t="str">
        <f aca="false">IF($A263="","",직원목록!$B24)</f>
        <v/>
      </c>
      <c r="C263" s="20" t="str">
        <f aca="false">IF($A263="","",직원목록!$C24)</f>
        <v/>
      </c>
      <c r="D263" s="21" t="str">
        <f aca="false">IF($A263="","",교육과정!$A8)</f>
        <v/>
      </c>
      <c r="E263" s="20" t="str">
        <f aca="false">IF($A263="","",교육과정!$B8)</f>
        <v/>
      </c>
      <c r="F263" s="21" t="str">
        <f aca="false">IF($A263="","",교육과정!$C8)</f>
        <v/>
      </c>
      <c r="G263" s="23" t="str">
        <f aca="false">IF($A263="","",IF(COUNTIFS(이수내역!$B$3:$B$2002,$A263,이수내역!$D$3:$D$2002,$D263)=0,"",SUMPRODUCT(MAX((이수내역!$B$3:$B$2002=$A263)*(이수내역!$D$3:$D$2002=$D263)*이수내역!$A$3:$A$2002))))</f>
        <v/>
      </c>
      <c r="H263" s="23" t="str">
        <f aca="false">IF($A263="","",IF($F263="","",IF($G263="",EDATE(직원목록!$E24,$F263),EDATE($G263,$F263))))</f>
        <v/>
      </c>
      <c r="I263" s="21" t="str">
        <f aca="true">IF($H263="","",$H263-TODAY())</f>
        <v/>
      </c>
      <c r="J263" s="21" t="str">
        <f aca="false">IF($A263="","",IF($H263="","-",IF($I263&lt;0,"기한초과",IF($I263&lt;=사용안내!$C$16,"임박","정상"))))</f>
        <v/>
      </c>
    </row>
    <row r="264" customFormat="false" ht="15" hidden="false" customHeight="true" outlineLevel="0" collapsed="false">
      <c r="A264" s="20" t="str">
        <f aca="false">IF(OR(직원목록!$A24="",교육과정!$A9="",직원목록!$F24="퇴사"),"",직원목록!$A24)</f>
        <v/>
      </c>
      <c r="B264" s="20" t="str">
        <f aca="false">IF($A264="","",직원목록!$B24)</f>
        <v/>
      </c>
      <c r="C264" s="20" t="str">
        <f aca="false">IF($A264="","",직원목록!$C24)</f>
        <v/>
      </c>
      <c r="D264" s="21" t="str">
        <f aca="false">IF($A264="","",교육과정!$A9)</f>
        <v/>
      </c>
      <c r="E264" s="20" t="str">
        <f aca="false">IF($A264="","",교육과정!$B9)</f>
        <v/>
      </c>
      <c r="F264" s="21" t="str">
        <f aca="false">IF($A264="","",교육과정!$C9)</f>
        <v/>
      </c>
      <c r="G264" s="23" t="str">
        <f aca="false">IF($A264="","",IF(COUNTIFS(이수내역!$B$3:$B$2002,$A264,이수내역!$D$3:$D$2002,$D264)=0,"",SUMPRODUCT(MAX((이수내역!$B$3:$B$2002=$A264)*(이수내역!$D$3:$D$2002=$D264)*이수내역!$A$3:$A$2002))))</f>
        <v/>
      </c>
      <c r="H264" s="23" t="str">
        <f aca="false">IF($A264="","",IF($F264="","",IF($G264="",EDATE(직원목록!$E24,$F264),EDATE($G264,$F264))))</f>
        <v/>
      </c>
      <c r="I264" s="21" t="str">
        <f aca="true">IF($H264="","",$H264-TODAY())</f>
        <v/>
      </c>
      <c r="J264" s="21" t="str">
        <f aca="false">IF($A264="","",IF($H264="","-",IF($I264&lt;0,"기한초과",IF($I264&lt;=사용안내!$C$16,"임박","정상"))))</f>
        <v/>
      </c>
    </row>
    <row r="265" customFormat="false" ht="15" hidden="false" customHeight="true" outlineLevel="0" collapsed="false">
      <c r="A265" s="20" t="str">
        <f aca="false">IF(OR(직원목록!$A24="",교육과정!$A10="",직원목록!$F24="퇴사"),"",직원목록!$A24)</f>
        <v/>
      </c>
      <c r="B265" s="20" t="str">
        <f aca="false">IF($A265="","",직원목록!$B24)</f>
        <v/>
      </c>
      <c r="C265" s="20" t="str">
        <f aca="false">IF($A265="","",직원목록!$C24)</f>
        <v/>
      </c>
      <c r="D265" s="21" t="str">
        <f aca="false">IF($A265="","",교육과정!$A10)</f>
        <v/>
      </c>
      <c r="E265" s="20" t="str">
        <f aca="false">IF($A265="","",교육과정!$B10)</f>
        <v/>
      </c>
      <c r="F265" s="21" t="str">
        <f aca="false">IF($A265="","",교육과정!$C10)</f>
        <v/>
      </c>
      <c r="G265" s="23" t="str">
        <f aca="false">IF($A265="","",IF(COUNTIFS(이수내역!$B$3:$B$2002,$A265,이수내역!$D$3:$D$2002,$D265)=0,"",SUMPRODUCT(MAX((이수내역!$B$3:$B$2002=$A265)*(이수내역!$D$3:$D$2002=$D265)*이수내역!$A$3:$A$2002))))</f>
        <v/>
      </c>
      <c r="H265" s="23" t="str">
        <f aca="false">IF($A265="","",IF($F265="","",IF($G265="",EDATE(직원목록!$E24,$F265),EDATE($G265,$F265))))</f>
        <v/>
      </c>
      <c r="I265" s="21" t="str">
        <f aca="true">IF($H265="","",$H265-TODAY())</f>
        <v/>
      </c>
      <c r="J265" s="21" t="str">
        <f aca="false">IF($A265="","",IF($H265="","-",IF($I265&lt;0,"기한초과",IF($I265&lt;=사용안내!$C$16,"임박","정상"))))</f>
        <v/>
      </c>
    </row>
    <row r="266" customFormat="false" ht="15" hidden="false" customHeight="true" outlineLevel="0" collapsed="false">
      <c r="A266" s="20" t="str">
        <f aca="false">IF(OR(직원목록!$A24="",교육과정!$A11="",직원목록!$F24="퇴사"),"",직원목록!$A24)</f>
        <v/>
      </c>
      <c r="B266" s="20" t="str">
        <f aca="false">IF($A266="","",직원목록!$B24)</f>
        <v/>
      </c>
      <c r="C266" s="20" t="str">
        <f aca="false">IF($A266="","",직원목록!$C24)</f>
        <v/>
      </c>
      <c r="D266" s="21" t="str">
        <f aca="false">IF($A266="","",교육과정!$A11)</f>
        <v/>
      </c>
      <c r="E266" s="20" t="str">
        <f aca="false">IF($A266="","",교육과정!$B11)</f>
        <v/>
      </c>
      <c r="F266" s="21" t="str">
        <f aca="false">IF($A266="","",교육과정!$C11)</f>
        <v/>
      </c>
      <c r="G266" s="23" t="str">
        <f aca="false">IF($A266="","",IF(COUNTIFS(이수내역!$B$3:$B$2002,$A266,이수내역!$D$3:$D$2002,$D266)=0,"",SUMPRODUCT(MAX((이수내역!$B$3:$B$2002=$A266)*(이수내역!$D$3:$D$2002=$D266)*이수내역!$A$3:$A$2002))))</f>
        <v/>
      </c>
      <c r="H266" s="23" t="str">
        <f aca="false">IF($A266="","",IF($F266="","",IF($G266="",EDATE(직원목록!$E24,$F266),EDATE($G266,$F266))))</f>
        <v/>
      </c>
      <c r="I266" s="21" t="str">
        <f aca="true">IF($H266="","",$H266-TODAY())</f>
        <v/>
      </c>
      <c r="J266" s="21" t="str">
        <f aca="false">IF($A266="","",IF($H266="","-",IF($I266&lt;0,"기한초과",IF($I266&lt;=사용안내!$C$16,"임박","정상"))))</f>
        <v/>
      </c>
    </row>
    <row r="267" customFormat="false" ht="15" hidden="false" customHeight="true" outlineLevel="0" collapsed="false">
      <c r="A267" s="20" t="str">
        <f aca="false">IF(OR(직원목록!$A24="",교육과정!$A12="",직원목록!$F24="퇴사"),"",직원목록!$A24)</f>
        <v/>
      </c>
      <c r="B267" s="20" t="str">
        <f aca="false">IF($A267="","",직원목록!$B24)</f>
        <v/>
      </c>
      <c r="C267" s="20" t="str">
        <f aca="false">IF($A267="","",직원목록!$C24)</f>
        <v/>
      </c>
      <c r="D267" s="21" t="str">
        <f aca="false">IF($A267="","",교육과정!$A12)</f>
        <v/>
      </c>
      <c r="E267" s="20" t="str">
        <f aca="false">IF($A267="","",교육과정!$B12)</f>
        <v/>
      </c>
      <c r="F267" s="21" t="str">
        <f aca="false">IF($A267="","",교육과정!$C12)</f>
        <v/>
      </c>
      <c r="G267" s="23" t="str">
        <f aca="false">IF($A267="","",IF(COUNTIFS(이수내역!$B$3:$B$2002,$A267,이수내역!$D$3:$D$2002,$D267)=0,"",SUMPRODUCT(MAX((이수내역!$B$3:$B$2002=$A267)*(이수내역!$D$3:$D$2002=$D267)*이수내역!$A$3:$A$2002))))</f>
        <v/>
      </c>
      <c r="H267" s="23" t="str">
        <f aca="false">IF($A267="","",IF($F267="","",IF($G267="",EDATE(직원목록!$E24,$F267),EDATE($G267,$F267))))</f>
        <v/>
      </c>
      <c r="I267" s="21" t="str">
        <f aca="true">IF($H267="","",$H267-TODAY())</f>
        <v/>
      </c>
      <c r="J267" s="21" t="str">
        <f aca="false">IF($A267="","",IF($H267="","-",IF($I267&lt;0,"기한초과",IF($I267&lt;=사용안내!$C$16,"임박","정상"))))</f>
        <v/>
      </c>
    </row>
    <row r="268" customFormat="false" ht="15" hidden="false" customHeight="true" outlineLevel="0" collapsed="false">
      <c r="A268" s="20" t="str">
        <f aca="false">IF(OR(직원목록!$A24="",교육과정!$A13="",직원목록!$F24="퇴사"),"",직원목록!$A24)</f>
        <v/>
      </c>
      <c r="B268" s="20" t="str">
        <f aca="false">IF($A268="","",직원목록!$B24)</f>
        <v/>
      </c>
      <c r="C268" s="20" t="str">
        <f aca="false">IF($A268="","",직원목록!$C24)</f>
        <v/>
      </c>
      <c r="D268" s="21" t="str">
        <f aca="false">IF($A268="","",교육과정!$A13)</f>
        <v/>
      </c>
      <c r="E268" s="20" t="str">
        <f aca="false">IF($A268="","",교육과정!$B13)</f>
        <v/>
      </c>
      <c r="F268" s="21" t="str">
        <f aca="false">IF($A268="","",교육과정!$C13)</f>
        <v/>
      </c>
      <c r="G268" s="23" t="str">
        <f aca="false">IF($A268="","",IF(COUNTIFS(이수내역!$B$3:$B$2002,$A268,이수내역!$D$3:$D$2002,$D268)=0,"",SUMPRODUCT(MAX((이수내역!$B$3:$B$2002=$A268)*(이수내역!$D$3:$D$2002=$D268)*이수내역!$A$3:$A$2002))))</f>
        <v/>
      </c>
      <c r="H268" s="23" t="str">
        <f aca="false">IF($A268="","",IF($F268="","",IF($G268="",EDATE(직원목록!$E24,$F268),EDATE($G268,$F268))))</f>
        <v/>
      </c>
      <c r="I268" s="21" t="str">
        <f aca="true">IF($H268="","",$H268-TODAY())</f>
        <v/>
      </c>
      <c r="J268" s="21" t="str">
        <f aca="false">IF($A268="","",IF($H268="","-",IF($I268&lt;0,"기한초과",IF($I268&lt;=사용안내!$C$16,"임박","정상"))))</f>
        <v/>
      </c>
    </row>
    <row r="269" customFormat="false" ht="15" hidden="false" customHeight="true" outlineLevel="0" collapsed="false">
      <c r="A269" s="20" t="str">
        <f aca="false">IF(OR(직원목록!$A24="",교육과정!$A14="",직원목록!$F24="퇴사"),"",직원목록!$A24)</f>
        <v/>
      </c>
      <c r="B269" s="20" t="str">
        <f aca="false">IF($A269="","",직원목록!$B24)</f>
        <v/>
      </c>
      <c r="C269" s="20" t="str">
        <f aca="false">IF($A269="","",직원목록!$C24)</f>
        <v/>
      </c>
      <c r="D269" s="21" t="str">
        <f aca="false">IF($A269="","",교육과정!$A14)</f>
        <v/>
      </c>
      <c r="E269" s="20" t="str">
        <f aca="false">IF($A269="","",교육과정!$B14)</f>
        <v/>
      </c>
      <c r="F269" s="21" t="str">
        <f aca="false">IF($A269="","",교육과정!$C14)</f>
        <v/>
      </c>
      <c r="G269" s="23" t="str">
        <f aca="false">IF($A269="","",IF(COUNTIFS(이수내역!$B$3:$B$2002,$A269,이수내역!$D$3:$D$2002,$D269)=0,"",SUMPRODUCT(MAX((이수내역!$B$3:$B$2002=$A269)*(이수내역!$D$3:$D$2002=$D269)*이수내역!$A$3:$A$2002))))</f>
        <v/>
      </c>
      <c r="H269" s="23" t="str">
        <f aca="false">IF($A269="","",IF($F269="","",IF($G269="",EDATE(직원목록!$E24,$F269),EDATE($G269,$F269))))</f>
        <v/>
      </c>
      <c r="I269" s="21" t="str">
        <f aca="true">IF($H269="","",$H269-TODAY())</f>
        <v/>
      </c>
      <c r="J269" s="21" t="str">
        <f aca="false">IF($A269="","",IF($H269="","-",IF($I269&lt;0,"기한초과",IF($I269&lt;=사용안내!$C$16,"임박","정상"))))</f>
        <v/>
      </c>
    </row>
    <row r="270" customFormat="false" ht="15" hidden="false" customHeight="true" outlineLevel="0" collapsed="false">
      <c r="A270" s="20" t="str">
        <f aca="false">IF(OR(직원목록!$A25="",교육과정!$A3="",직원목록!$F25="퇴사"),"",직원목록!$A25)</f>
        <v/>
      </c>
      <c r="B270" s="20" t="str">
        <f aca="false">IF($A270="","",직원목록!$B25)</f>
        <v/>
      </c>
      <c r="C270" s="20" t="str">
        <f aca="false">IF($A270="","",직원목록!$C25)</f>
        <v/>
      </c>
      <c r="D270" s="21" t="str">
        <f aca="false">IF($A270="","",교육과정!$A3)</f>
        <v/>
      </c>
      <c r="E270" s="20" t="str">
        <f aca="false">IF($A270="","",교육과정!$B3)</f>
        <v/>
      </c>
      <c r="F270" s="21" t="str">
        <f aca="false">IF($A270="","",교육과정!$C3)</f>
        <v/>
      </c>
      <c r="G270" s="23" t="str">
        <f aca="false">IF($A270="","",IF(COUNTIFS(이수내역!$B$3:$B$2002,$A270,이수내역!$D$3:$D$2002,$D270)=0,"",SUMPRODUCT(MAX((이수내역!$B$3:$B$2002=$A270)*(이수내역!$D$3:$D$2002=$D270)*이수내역!$A$3:$A$2002))))</f>
        <v/>
      </c>
      <c r="H270" s="23" t="str">
        <f aca="false">IF($A270="","",IF($F270="","",IF($G270="",EDATE(직원목록!$E25,$F270),EDATE($G270,$F270))))</f>
        <v/>
      </c>
      <c r="I270" s="21" t="str">
        <f aca="true">IF($H270="","",$H270-TODAY())</f>
        <v/>
      </c>
      <c r="J270" s="21" t="str">
        <f aca="false">IF($A270="","",IF($H270="","-",IF($I270&lt;0,"기한초과",IF($I270&lt;=사용안내!$C$16,"임박","정상"))))</f>
        <v/>
      </c>
    </row>
    <row r="271" customFormat="false" ht="15" hidden="false" customHeight="true" outlineLevel="0" collapsed="false">
      <c r="A271" s="20" t="str">
        <f aca="false">IF(OR(직원목록!$A25="",교육과정!$A4="",직원목록!$F25="퇴사"),"",직원목록!$A25)</f>
        <v/>
      </c>
      <c r="B271" s="20" t="str">
        <f aca="false">IF($A271="","",직원목록!$B25)</f>
        <v/>
      </c>
      <c r="C271" s="20" t="str">
        <f aca="false">IF($A271="","",직원목록!$C25)</f>
        <v/>
      </c>
      <c r="D271" s="21" t="str">
        <f aca="false">IF($A271="","",교육과정!$A4)</f>
        <v/>
      </c>
      <c r="E271" s="20" t="str">
        <f aca="false">IF($A271="","",교육과정!$B4)</f>
        <v/>
      </c>
      <c r="F271" s="21" t="str">
        <f aca="false">IF($A271="","",교육과정!$C4)</f>
        <v/>
      </c>
      <c r="G271" s="23" t="str">
        <f aca="false">IF($A271="","",IF(COUNTIFS(이수내역!$B$3:$B$2002,$A271,이수내역!$D$3:$D$2002,$D271)=0,"",SUMPRODUCT(MAX((이수내역!$B$3:$B$2002=$A271)*(이수내역!$D$3:$D$2002=$D271)*이수내역!$A$3:$A$2002))))</f>
        <v/>
      </c>
      <c r="H271" s="23" t="str">
        <f aca="false">IF($A271="","",IF($F271="","",IF($G271="",EDATE(직원목록!$E25,$F271),EDATE($G271,$F271))))</f>
        <v/>
      </c>
      <c r="I271" s="21" t="str">
        <f aca="true">IF($H271="","",$H271-TODAY())</f>
        <v/>
      </c>
      <c r="J271" s="21" t="str">
        <f aca="false">IF($A271="","",IF($H271="","-",IF($I271&lt;0,"기한초과",IF($I271&lt;=사용안내!$C$16,"임박","정상"))))</f>
        <v/>
      </c>
    </row>
    <row r="272" customFormat="false" ht="15" hidden="false" customHeight="true" outlineLevel="0" collapsed="false">
      <c r="A272" s="20" t="str">
        <f aca="false">IF(OR(직원목록!$A25="",교육과정!$A5="",직원목록!$F25="퇴사"),"",직원목록!$A25)</f>
        <v/>
      </c>
      <c r="B272" s="20" t="str">
        <f aca="false">IF($A272="","",직원목록!$B25)</f>
        <v/>
      </c>
      <c r="C272" s="20" t="str">
        <f aca="false">IF($A272="","",직원목록!$C25)</f>
        <v/>
      </c>
      <c r="D272" s="21" t="str">
        <f aca="false">IF($A272="","",교육과정!$A5)</f>
        <v/>
      </c>
      <c r="E272" s="20" t="str">
        <f aca="false">IF($A272="","",교육과정!$B5)</f>
        <v/>
      </c>
      <c r="F272" s="21" t="str">
        <f aca="false">IF($A272="","",교육과정!$C5)</f>
        <v/>
      </c>
      <c r="G272" s="23" t="str">
        <f aca="false">IF($A272="","",IF(COUNTIFS(이수내역!$B$3:$B$2002,$A272,이수내역!$D$3:$D$2002,$D272)=0,"",SUMPRODUCT(MAX((이수내역!$B$3:$B$2002=$A272)*(이수내역!$D$3:$D$2002=$D272)*이수내역!$A$3:$A$2002))))</f>
        <v/>
      </c>
      <c r="H272" s="23" t="str">
        <f aca="false">IF($A272="","",IF($F272="","",IF($G272="",EDATE(직원목록!$E25,$F272),EDATE($G272,$F272))))</f>
        <v/>
      </c>
      <c r="I272" s="21" t="str">
        <f aca="true">IF($H272="","",$H272-TODAY())</f>
        <v/>
      </c>
      <c r="J272" s="21" t="str">
        <f aca="false">IF($A272="","",IF($H272="","-",IF($I272&lt;0,"기한초과",IF($I272&lt;=사용안내!$C$16,"임박","정상"))))</f>
        <v/>
      </c>
    </row>
    <row r="273" customFormat="false" ht="15" hidden="false" customHeight="true" outlineLevel="0" collapsed="false">
      <c r="A273" s="20" t="str">
        <f aca="false">IF(OR(직원목록!$A25="",교육과정!$A6="",직원목록!$F25="퇴사"),"",직원목록!$A25)</f>
        <v/>
      </c>
      <c r="B273" s="20" t="str">
        <f aca="false">IF($A273="","",직원목록!$B25)</f>
        <v/>
      </c>
      <c r="C273" s="20" t="str">
        <f aca="false">IF($A273="","",직원목록!$C25)</f>
        <v/>
      </c>
      <c r="D273" s="21" t="str">
        <f aca="false">IF($A273="","",교육과정!$A6)</f>
        <v/>
      </c>
      <c r="E273" s="20" t="str">
        <f aca="false">IF($A273="","",교육과정!$B6)</f>
        <v/>
      </c>
      <c r="F273" s="21" t="str">
        <f aca="false">IF($A273="","",교육과정!$C6)</f>
        <v/>
      </c>
      <c r="G273" s="23" t="str">
        <f aca="false">IF($A273="","",IF(COUNTIFS(이수내역!$B$3:$B$2002,$A273,이수내역!$D$3:$D$2002,$D273)=0,"",SUMPRODUCT(MAX((이수내역!$B$3:$B$2002=$A273)*(이수내역!$D$3:$D$2002=$D273)*이수내역!$A$3:$A$2002))))</f>
        <v/>
      </c>
      <c r="H273" s="23" t="str">
        <f aca="false">IF($A273="","",IF($F273="","",IF($G273="",EDATE(직원목록!$E25,$F273),EDATE($G273,$F273))))</f>
        <v/>
      </c>
      <c r="I273" s="21" t="str">
        <f aca="true">IF($H273="","",$H273-TODAY())</f>
        <v/>
      </c>
      <c r="J273" s="21" t="str">
        <f aca="false">IF($A273="","",IF($H273="","-",IF($I273&lt;0,"기한초과",IF($I273&lt;=사용안내!$C$16,"임박","정상"))))</f>
        <v/>
      </c>
    </row>
    <row r="274" customFormat="false" ht="15" hidden="false" customHeight="true" outlineLevel="0" collapsed="false">
      <c r="A274" s="20" t="str">
        <f aca="false">IF(OR(직원목록!$A25="",교육과정!$A7="",직원목록!$F25="퇴사"),"",직원목록!$A25)</f>
        <v/>
      </c>
      <c r="B274" s="20" t="str">
        <f aca="false">IF($A274="","",직원목록!$B25)</f>
        <v/>
      </c>
      <c r="C274" s="20" t="str">
        <f aca="false">IF($A274="","",직원목록!$C25)</f>
        <v/>
      </c>
      <c r="D274" s="21" t="str">
        <f aca="false">IF($A274="","",교육과정!$A7)</f>
        <v/>
      </c>
      <c r="E274" s="20" t="str">
        <f aca="false">IF($A274="","",교육과정!$B7)</f>
        <v/>
      </c>
      <c r="F274" s="21" t="str">
        <f aca="false">IF($A274="","",교육과정!$C7)</f>
        <v/>
      </c>
      <c r="G274" s="23" t="str">
        <f aca="false">IF($A274="","",IF(COUNTIFS(이수내역!$B$3:$B$2002,$A274,이수내역!$D$3:$D$2002,$D274)=0,"",SUMPRODUCT(MAX((이수내역!$B$3:$B$2002=$A274)*(이수내역!$D$3:$D$2002=$D274)*이수내역!$A$3:$A$2002))))</f>
        <v/>
      </c>
      <c r="H274" s="23" t="str">
        <f aca="false">IF($A274="","",IF($F274="","",IF($G274="",EDATE(직원목록!$E25,$F274),EDATE($G274,$F274))))</f>
        <v/>
      </c>
      <c r="I274" s="21" t="str">
        <f aca="true">IF($H274="","",$H274-TODAY())</f>
        <v/>
      </c>
      <c r="J274" s="21" t="str">
        <f aca="false">IF($A274="","",IF($H274="","-",IF($I274&lt;0,"기한초과",IF($I274&lt;=사용안내!$C$16,"임박","정상"))))</f>
        <v/>
      </c>
    </row>
    <row r="275" customFormat="false" ht="15" hidden="false" customHeight="true" outlineLevel="0" collapsed="false">
      <c r="A275" s="20" t="str">
        <f aca="false">IF(OR(직원목록!$A25="",교육과정!$A8="",직원목록!$F25="퇴사"),"",직원목록!$A25)</f>
        <v/>
      </c>
      <c r="B275" s="20" t="str">
        <f aca="false">IF($A275="","",직원목록!$B25)</f>
        <v/>
      </c>
      <c r="C275" s="20" t="str">
        <f aca="false">IF($A275="","",직원목록!$C25)</f>
        <v/>
      </c>
      <c r="D275" s="21" t="str">
        <f aca="false">IF($A275="","",교육과정!$A8)</f>
        <v/>
      </c>
      <c r="E275" s="20" t="str">
        <f aca="false">IF($A275="","",교육과정!$B8)</f>
        <v/>
      </c>
      <c r="F275" s="21" t="str">
        <f aca="false">IF($A275="","",교육과정!$C8)</f>
        <v/>
      </c>
      <c r="G275" s="23" t="str">
        <f aca="false">IF($A275="","",IF(COUNTIFS(이수내역!$B$3:$B$2002,$A275,이수내역!$D$3:$D$2002,$D275)=0,"",SUMPRODUCT(MAX((이수내역!$B$3:$B$2002=$A275)*(이수내역!$D$3:$D$2002=$D275)*이수내역!$A$3:$A$2002))))</f>
        <v/>
      </c>
      <c r="H275" s="23" t="str">
        <f aca="false">IF($A275="","",IF($F275="","",IF($G275="",EDATE(직원목록!$E25,$F275),EDATE($G275,$F275))))</f>
        <v/>
      </c>
      <c r="I275" s="21" t="str">
        <f aca="true">IF($H275="","",$H275-TODAY())</f>
        <v/>
      </c>
      <c r="J275" s="21" t="str">
        <f aca="false">IF($A275="","",IF($H275="","-",IF($I275&lt;0,"기한초과",IF($I275&lt;=사용안내!$C$16,"임박","정상"))))</f>
        <v/>
      </c>
    </row>
    <row r="276" customFormat="false" ht="15" hidden="false" customHeight="true" outlineLevel="0" collapsed="false">
      <c r="A276" s="20" t="str">
        <f aca="false">IF(OR(직원목록!$A25="",교육과정!$A9="",직원목록!$F25="퇴사"),"",직원목록!$A25)</f>
        <v/>
      </c>
      <c r="B276" s="20" t="str">
        <f aca="false">IF($A276="","",직원목록!$B25)</f>
        <v/>
      </c>
      <c r="C276" s="20" t="str">
        <f aca="false">IF($A276="","",직원목록!$C25)</f>
        <v/>
      </c>
      <c r="D276" s="21" t="str">
        <f aca="false">IF($A276="","",교육과정!$A9)</f>
        <v/>
      </c>
      <c r="E276" s="20" t="str">
        <f aca="false">IF($A276="","",교육과정!$B9)</f>
        <v/>
      </c>
      <c r="F276" s="21" t="str">
        <f aca="false">IF($A276="","",교육과정!$C9)</f>
        <v/>
      </c>
      <c r="G276" s="23" t="str">
        <f aca="false">IF($A276="","",IF(COUNTIFS(이수내역!$B$3:$B$2002,$A276,이수내역!$D$3:$D$2002,$D276)=0,"",SUMPRODUCT(MAX((이수내역!$B$3:$B$2002=$A276)*(이수내역!$D$3:$D$2002=$D276)*이수내역!$A$3:$A$2002))))</f>
        <v/>
      </c>
      <c r="H276" s="23" t="str">
        <f aca="false">IF($A276="","",IF($F276="","",IF($G276="",EDATE(직원목록!$E25,$F276),EDATE($G276,$F276))))</f>
        <v/>
      </c>
      <c r="I276" s="21" t="str">
        <f aca="true">IF($H276="","",$H276-TODAY())</f>
        <v/>
      </c>
      <c r="J276" s="21" t="str">
        <f aca="false">IF($A276="","",IF($H276="","-",IF($I276&lt;0,"기한초과",IF($I276&lt;=사용안내!$C$16,"임박","정상"))))</f>
        <v/>
      </c>
    </row>
    <row r="277" customFormat="false" ht="15" hidden="false" customHeight="true" outlineLevel="0" collapsed="false">
      <c r="A277" s="20" t="str">
        <f aca="false">IF(OR(직원목록!$A25="",교육과정!$A10="",직원목록!$F25="퇴사"),"",직원목록!$A25)</f>
        <v/>
      </c>
      <c r="B277" s="20" t="str">
        <f aca="false">IF($A277="","",직원목록!$B25)</f>
        <v/>
      </c>
      <c r="C277" s="20" t="str">
        <f aca="false">IF($A277="","",직원목록!$C25)</f>
        <v/>
      </c>
      <c r="D277" s="21" t="str">
        <f aca="false">IF($A277="","",교육과정!$A10)</f>
        <v/>
      </c>
      <c r="E277" s="20" t="str">
        <f aca="false">IF($A277="","",교육과정!$B10)</f>
        <v/>
      </c>
      <c r="F277" s="21" t="str">
        <f aca="false">IF($A277="","",교육과정!$C10)</f>
        <v/>
      </c>
      <c r="G277" s="23" t="str">
        <f aca="false">IF($A277="","",IF(COUNTIFS(이수내역!$B$3:$B$2002,$A277,이수내역!$D$3:$D$2002,$D277)=0,"",SUMPRODUCT(MAX((이수내역!$B$3:$B$2002=$A277)*(이수내역!$D$3:$D$2002=$D277)*이수내역!$A$3:$A$2002))))</f>
        <v/>
      </c>
      <c r="H277" s="23" t="str">
        <f aca="false">IF($A277="","",IF($F277="","",IF($G277="",EDATE(직원목록!$E25,$F277),EDATE($G277,$F277))))</f>
        <v/>
      </c>
      <c r="I277" s="21" t="str">
        <f aca="true">IF($H277="","",$H277-TODAY())</f>
        <v/>
      </c>
      <c r="J277" s="21" t="str">
        <f aca="false">IF($A277="","",IF($H277="","-",IF($I277&lt;0,"기한초과",IF($I277&lt;=사용안내!$C$16,"임박","정상"))))</f>
        <v/>
      </c>
    </row>
    <row r="278" customFormat="false" ht="15" hidden="false" customHeight="true" outlineLevel="0" collapsed="false">
      <c r="A278" s="20" t="str">
        <f aca="false">IF(OR(직원목록!$A25="",교육과정!$A11="",직원목록!$F25="퇴사"),"",직원목록!$A25)</f>
        <v/>
      </c>
      <c r="B278" s="20" t="str">
        <f aca="false">IF($A278="","",직원목록!$B25)</f>
        <v/>
      </c>
      <c r="C278" s="20" t="str">
        <f aca="false">IF($A278="","",직원목록!$C25)</f>
        <v/>
      </c>
      <c r="D278" s="21" t="str">
        <f aca="false">IF($A278="","",교육과정!$A11)</f>
        <v/>
      </c>
      <c r="E278" s="20" t="str">
        <f aca="false">IF($A278="","",교육과정!$B11)</f>
        <v/>
      </c>
      <c r="F278" s="21" t="str">
        <f aca="false">IF($A278="","",교육과정!$C11)</f>
        <v/>
      </c>
      <c r="G278" s="23" t="str">
        <f aca="false">IF($A278="","",IF(COUNTIFS(이수내역!$B$3:$B$2002,$A278,이수내역!$D$3:$D$2002,$D278)=0,"",SUMPRODUCT(MAX((이수내역!$B$3:$B$2002=$A278)*(이수내역!$D$3:$D$2002=$D278)*이수내역!$A$3:$A$2002))))</f>
        <v/>
      </c>
      <c r="H278" s="23" t="str">
        <f aca="false">IF($A278="","",IF($F278="","",IF($G278="",EDATE(직원목록!$E25,$F278),EDATE($G278,$F278))))</f>
        <v/>
      </c>
      <c r="I278" s="21" t="str">
        <f aca="true">IF($H278="","",$H278-TODAY())</f>
        <v/>
      </c>
      <c r="J278" s="21" t="str">
        <f aca="false">IF($A278="","",IF($H278="","-",IF($I278&lt;0,"기한초과",IF($I278&lt;=사용안내!$C$16,"임박","정상"))))</f>
        <v/>
      </c>
    </row>
    <row r="279" customFormat="false" ht="15" hidden="false" customHeight="true" outlineLevel="0" collapsed="false">
      <c r="A279" s="20" t="str">
        <f aca="false">IF(OR(직원목록!$A25="",교육과정!$A12="",직원목록!$F25="퇴사"),"",직원목록!$A25)</f>
        <v/>
      </c>
      <c r="B279" s="20" t="str">
        <f aca="false">IF($A279="","",직원목록!$B25)</f>
        <v/>
      </c>
      <c r="C279" s="20" t="str">
        <f aca="false">IF($A279="","",직원목록!$C25)</f>
        <v/>
      </c>
      <c r="D279" s="21" t="str">
        <f aca="false">IF($A279="","",교육과정!$A12)</f>
        <v/>
      </c>
      <c r="E279" s="20" t="str">
        <f aca="false">IF($A279="","",교육과정!$B12)</f>
        <v/>
      </c>
      <c r="F279" s="21" t="str">
        <f aca="false">IF($A279="","",교육과정!$C12)</f>
        <v/>
      </c>
      <c r="G279" s="23" t="str">
        <f aca="false">IF($A279="","",IF(COUNTIFS(이수내역!$B$3:$B$2002,$A279,이수내역!$D$3:$D$2002,$D279)=0,"",SUMPRODUCT(MAX((이수내역!$B$3:$B$2002=$A279)*(이수내역!$D$3:$D$2002=$D279)*이수내역!$A$3:$A$2002))))</f>
        <v/>
      </c>
      <c r="H279" s="23" t="str">
        <f aca="false">IF($A279="","",IF($F279="","",IF($G279="",EDATE(직원목록!$E25,$F279),EDATE($G279,$F279))))</f>
        <v/>
      </c>
      <c r="I279" s="21" t="str">
        <f aca="true">IF($H279="","",$H279-TODAY())</f>
        <v/>
      </c>
      <c r="J279" s="21" t="str">
        <f aca="false">IF($A279="","",IF($H279="","-",IF($I279&lt;0,"기한초과",IF($I279&lt;=사용안내!$C$16,"임박","정상"))))</f>
        <v/>
      </c>
    </row>
    <row r="280" customFormat="false" ht="15" hidden="false" customHeight="true" outlineLevel="0" collapsed="false">
      <c r="A280" s="20" t="str">
        <f aca="false">IF(OR(직원목록!$A25="",교육과정!$A13="",직원목록!$F25="퇴사"),"",직원목록!$A25)</f>
        <v/>
      </c>
      <c r="B280" s="20" t="str">
        <f aca="false">IF($A280="","",직원목록!$B25)</f>
        <v/>
      </c>
      <c r="C280" s="20" t="str">
        <f aca="false">IF($A280="","",직원목록!$C25)</f>
        <v/>
      </c>
      <c r="D280" s="21" t="str">
        <f aca="false">IF($A280="","",교육과정!$A13)</f>
        <v/>
      </c>
      <c r="E280" s="20" t="str">
        <f aca="false">IF($A280="","",교육과정!$B13)</f>
        <v/>
      </c>
      <c r="F280" s="21" t="str">
        <f aca="false">IF($A280="","",교육과정!$C13)</f>
        <v/>
      </c>
      <c r="G280" s="23" t="str">
        <f aca="false">IF($A280="","",IF(COUNTIFS(이수내역!$B$3:$B$2002,$A280,이수내역!$D$3:$D$2002,$D280)=0,"",SUMPRODUCT(MAX((이수내역!$B$3:$B$2002=$A280)*(이수내역!$D$3:$D$2002=$D280)*이수내역!$A$3:$A$2002))))</f>
        <v/>
      </c>
      <c r="H280" s="23" t="str">
        <f aca="false">IF($A280="","",IF($F280="","",IF($G280="",EDATE(직원목록!$E25,$F280),EDATE($G280,$F280))))</f>
        <v/>
      </c>
      <c r="I280" s="21" t="str">
        <f aca="true">IF($H280="","",$H280-TODAY())</f>
        <v/>
      </c>
      <c r="J280" s="21" t="str">
        <f aca="false">IF($A280="","",IF($H280="","-",IF($I280&lt;0,"기한초과",IF($I280&lt;=사용안내!$C$16,"임박","정상"))))</f>
        <v/>
      </c>
    </row>
    <row r="281" customFormat="false" ht="15" hidden="false" customHeight="true" outlineLevel="0" collapsed="false">
      <c r="A281" s="20" t="str">
        <f aca="false">IF(OR(직원목록!$A25="",교육과정!$A14="",직원목록!$F25="퇴사"),"",직원목록!$A25)</f>
        <v/>
      </c>
      <c r="B281" s="20" t="str">
        <f aca="false">IF($A281="","",직원목록!$B25)</f>
        <v/>
      </c>
      <c r="C281" s="20" t="str">
        <f aca="false">IF($A281="","",직원목록!$C25)</f>
        <v/>
      </c>
      <c r="D281" s="21" t="str">
        <f aca="false">IF($A281="","",교육과정!$A14)</f>
        <v/>
      </c>
      <c r="E281" s="20" t="str">
        <f aca="false">IF($A281="","",교육과정!$B14)</f>
        <v/>
      </c>
      <c r="F281" s="21" t="str">
        <f aca="false">IF($A281="","",교육과정!$C14)</f>
        <v/>
      </c>
      <c r="G281" s="23" t="str">
        <f aca="false">IF($A281="","",IF(COUNTIFS(이수내역!$B$3:$B$2002,$A281,이수내역!$D$3:$D$2002,$D281)=0,"",SUMPRODUCT(MAX((이수내역!$B$3:$B$2002=$A281)*(이수내역!$D$3:$D$2002=$D281)*이수내역!$A$3:$A$2002))))</f>
        <v/>
      </c>
      <c r="H281" s="23" t="str">
        <f aca="false">IF($A281="","",IF($F281="","",IF($G281="",EDATE(직원목록!$E25,$F281),EDATE($G281,$F281))))</f>
        <v/>
      </c>
      <c r="I281" s="21" t="str">
        <f aca="true">IF($H281="","",$H281-TODAY())</f>
        <v/>
      </c>
      <c r="J281" s="21" t="str">
        <f aca="false">IF($A281="","",IF($H281="","-",IF($I281&lt;0,"기한초과",IF($I281&lt;=사용안내!$C$16,"임박","정상"))))</f>
        <v/>
      </c>
    </row>
    <row r="282" customFormat="false" ht="15" hidden="false" customHeight="true" outlineLevel="0" collapsed="false">
      <c r="A282" s="20" t="str">
        <f aca="false">IF(OR(직원목록!$A26="",교육과정!$A3="",직원목록!$F26="퇴사"),"",직원목록!$A26)</f>
        <v/>
      </c>
      <c r="B282" s="20" t="str">
        <f aca="false">IF($A282="","",직원목록!$B26)</f>
        <v/>
      </c>
      <c r="C282" s="20" t="str">
        <f aca="false">IF($A282="","",직원목록!$C26)</f>
        <v/>
      </c>
      <c r="D282" s="21" t="str">
        <f aca="false">IF($A282="","",교육과정!$A3)</f>
        <v/>
      </c>
      <c r="E282" s="20" t="str">
        <f aca="false">IF($A282="","",교육과정!$B3)</f>
        <v/>
      </c>
      <c r="F282" s="21" t="str">
        <f aca="false">IF($A282="","",교육과정!$C3)</f>
        <v/>
      </c>
      <c r="G282" s="23" t="str">
        <f aca="false">IF($A282="","",IF(COUNTIFS(이수내역!$B$3:$B$2002,$A282,이수내역!$D$3:$D$2002,$D282)=0,"",SUMPRODUCT(MAX((이수내역!$B$3:$B$2002=$A282)*(이수내역!$D$3:$D$2002=$D282)*이수내역!$A$3:$A$2002))))</f>
        <v/>
      </c>
      <c r="H282" s="23" t="str">
        <f aca="false">IF($A282="","",IF($F282="","",IF($G282="",EDATE(직원목록!$E26,$F282),EDATE($G282,$F282))))</f>
        <v/>
      </c>
      <c r="I282" s="21" t="str">
        <f aca="true">IF($H282="","",$H282-TODAY())</f>
        <v/>
      </c>
      <c r="J282" s="21" t="str">
        <f aca="false">IF($A282="","",IF($H282="","-",IF($I282&lt;0,"기한초과",IF($I282&lt;=사용안내!$C$16,"임박","정상"))))</f>
        <v/>
      </c>
    </row>
    <row r="283" customFormat="false" ht="15" hidden="false" customHeight="true" outlineLevel="0" collapsed="false">
      <c r="A283" s="20" t="str">
        <f aca="false">IF(OR(직원목록!$A26="",교육과정!$A4="",직원목록!$F26="퇴사"),"",직원목록!$A26)</f>
        <v/>
      </c>
      <c r="B283" s="20" t="str">
        <f aca="false">IF($A283="","",직원목록!$B26)</f>
        <v/>
      </c>
      <c r="C283" s="20" t="str">
        <f aca="false">IF($A283="","",직원목록!$C26)</f>
        <v/>
      </c>
      <c r="D283" s="21" t="str">
        <f aca="false">IF($A283="","",교육과정!$A4)</f>
        <v/>
      </c>
      <c r="E283" s="20" t="str">
        <f aca="false">IF($A283="","",교육과정!$B4)</f>
        <v/>
      </c>
      <c r="F283" s="21" t="str">
        <f aca="false">IF($A283="","",교육과정!$C4)</f>
        <v/>
      </c>
      <c r="G283" s="23" t="str">
        <f aca="false">IF($A283="","",IF(COUNTIFS(이수내역!$B$3:$B$2002,$A283,이수내역!$D$3:$D$2002,$D283)=0,"",SUMPRODUCT(MAX((이수내역!$B$3:$B$2002=$A283)*(이수내역!$D$3:$D$2002=$D283)*이수내역!$A$3:$A$2002))))</f>
        <v/>
      </c>
      <c r="H283" s="23" t="str">
        <f aca="false">IF($A283="","",IF($F283="","",IF($G283="",EDATE(직원목록!$E26,$F283),EDATE($G283,$F283))))</f>
        <v/>
      </c>
      <c r="I283" s="21" t="str">
        <f aca="true">IF($H283="","",$H283-TODAY())</f>
        <v/>
      </c>
      <c r="J283" s="21" t="str">
        <f aca="false">IF($A283="","",IF($H283="","-",IF($I283&lt;0,"기한초과",IF($I283&lt;=사용안내!$C$16,"임박","정상"))))</f>
        <v/>
      </c>
    </row>
    <row r="284" customFormat="false" ht="15" hidden="false" customHeight="true" outlineLevel="0" collapsed="false">
      <c r="A284" s="20" t="str">
        <f aca="false">IF(OR(직원목록!$A26="",교육과정!$A5="",직원목록!$F26="퇴사"),"",직원목록!$A26)</f>
        <v/>
      </c>
      <c r="B284" s="20" t="str">
        <f aca="false">IF($A284="","",직원목록!$B26)</f>
        <v/>
      </c>
      <c r="C284" s="20" t="str">
        <f aca="false">IF($A284="","",직원목록!$C26)</f>
        <v/>
      </c>
      <c r="D284" s="21" t="str">
        <f aca="false">IF($A284="","",교육과정!$A5)</f>
        <v/>
      </c>
      <c r="E284" s="20" t="str">
        <f aca="false">IF($A284="","",교육과정!$B5)</f>
        <v/>
      </c>
      <c r="F284" s="21" t="str">
        <f aca="false">IF($A284="","",교육과정!$C5)</f>
        <v/>
      </c>
      <c r="G284" s="23" t="str">
        <f aca="false">IF($A284="","",IF(COUNTIFS(이수내역!$B$3:$B$2002,$A284,이수내역!$D$3:$D$2002,$D284)=0,"",SUMPRODUCT(MAX((이수내역!$B$3:$B$2002=$A284)*(이수내역!$D$3:$D$2002=$D284)*이수내역!$A$3:$A$2002))))</f>
        <v/>
      </c>
      <c r="H284" s="23" t="str">
        <f aca="false">IF($A284="","",IF($F284="","",IF($G284="",EDATE(직원목록!$E26,$F284),EDATE($G284,$F284))))</f>
        <v/>
      </c>
      <c r="I284" s="21" t="str">
        <f aca="true">IF($H284="","",$H284-TODAY())</f>
        <v/>
      </c>
      <c r="J284" s="21" t="str">
        <f aca="false">IF($A284="","",IF($H284="","-",IF($I284&lt;0,"기한초과",IF($I284&lt;=사용안내!$C$16,"임박","정상"))))</f>
        <v/>
      </c>
    </row>
    <row r="285" customFormat="false" ht="15" hidden="false" customHeight="true" outlineLevel="0" collapsed="false">
      <c r="A285" s="20" t="str">
        <f aca="false">IF(OR(직원목록!$A26="",교육과정!$A6="",직원목록!$F26="퇴사"),"",직원목록!$A26)</f>
        <v/>
      </c>
      <c r="B285" s="20" t="str">
        <f aca="false">IF($A285="","",직원목록!$B26)</f>
        <v/>
      </c>
      <c r="C285" s="20" t="str">
        <f aca="false">IF($A285="","",직원목록!$C26)</f>
        <v/>
      </c>
      <c r="D285" s="21" t="str">
        <f aca="false">IF($A285="","",교육과정!$A6)</f>
        <v/>
      </c>
      <c r="E285" s="20" t="str">
        <f aca="false">IF($A285="","",교육과정!$B6)</f>
        <v/>
      </c>
      <c r="F285" s="21" t="str">
        <f aca="false">IF($A285="","",교육과정!$C6)</f>
        <v/>
      </c>
      <c r="G285" s="23" t="str">
        <f aca="false">IF($A285="","",IF(COUNTIFS(이수내역!$B$3:$B$2002,$A285,이수내역!$D$3:$D$2002,$D285)=0,"",SUMPRODUCT(MAX((이수내역!$B$3:$B$2002=$A285)*(이수내역!$D$3:$D$2002=$D285)*이수내역!$A$3:$A$2002))))</f>
        <v/>
      </c>
      <c r="H285" s="23" t="str">
        <f aca="false">IF($A285="","",IF($F285="","",IF($G285="",EDATE(직원목록!$E26,$F285),EDATE($G285,$F285))))</f>
        <v/>
      </c>
      <c r="I285" s="21" t="str">
        <f aca="true">IF($H285="","",$H285-TODAY())</f>
        <v/>
      </c>
      <c r="J285" s="21" t="str">
        <f aca="false">IF($A285="","",IF($H285="","-",IF($I285&lt;0,"기한초과",IF($I285&lt;=사용안내!$C$16,"임박","정상"))))</f>
        <v/>
      </c>
    </row>
    <row r="286" customFormat="false" ht="15" hidden="false" customHeight="true" outlineLevel="0" collapsed="false">
      <c r="A286" s="20" t="str">
        <f aca="false">IF(OR(직원목록!$A26="",교육과정!$A7="",직원목록!$F26="퇴사"),"",직원목록!$A26)</f>
        <v/>
      </c>
      <c r="B286" s="20" t="str">
        <f aca="false">IF($A286="","",직원목록!$B26)</f>
        <v/>
      </c>
      <c r="C286" s="20" t="str">
        <f aca="false">IF($A286="","",직원목록!$C26)</f>
        <v/>
      </c>
      <c r="D286" s="21" t="str">
        <f aca="false">IF($A286="","",교육과정!$A7)</f>
        <v/>
      </c>
      <c r="E286" s="20" t="str">
        <f aca="false">IF($A286="","",교육과정!$B7)</f>
        <v/>
      </c>
      <c r="F286" s="21" t="str">
        <f aca="false">IF($A286="","",교육과정!$C7)</f>
        <v/>
      </c>
      <c r="G286" s="23" t="str">
        <f aca="false">IF($A286="","",IF(COUNTIFS(이수내역!$B$3:$B$2002,$A286,이수내역!$D$3:$D$2002,$D286)=0,"",SUMPRODUCT(MAX((이수내역!$B$3:$B$2002=$A286)*(이수내역!$D$3:$D$2002=$D286)*이수내역!$A$3:$A$2002))))</f>
        <v/>
      </c>
      <c r="H286" s="23" t="str">
        <f aca="false">IF($A286="","",IF($F286="","",IF($G286="",EDATE(직원목록!$E26,$F286),EDATE($G286,$F286))))</f>
        <v/>
      </c>
      <c r="I286" s="21" t="str">
        <f aca="true">IF($H286="","",$H286-TODAY())</f>
        <v/>
      </c>
      <c r="J286" s="21" t="str">
        <f aca="false">IF($A286="","",IF($H286="","-",IF($I286&lt;0,"기한초과",IF($I286&lt;=사용안내!$C$16,"임박","정상"))))</f>
        <v/>
      </c>
    </row>
    <row r="287" customFormat="false" ht="15" hidden="false" customHeight="true" outlineLevel="0" collapsed="false">
      <c r="A287" s="20" t="str">
        <f aca="false">IF(OR(직원목록!$A26="",교육과정!$A8="",직원목록!$F26="퇴사"),"",직원목록!$A26)</f>
        <v/>
      </c>
      <c r="B287" s="20" t="str">
        <f aca="false">IF($A287="","",직원목록!$B26)</f>
        <v/>
      </c>
      <c r="C287" s="20" t="str">
        <f aca="false">IF($A287="","",직원목록!$C26)</f>
        <v/>
      </c>
      <c r="D287" s="21" t="str">
        <f aca="false">IF($A287="","",교육과정!$A8)</f>
        <v/>
      </c>
      <c r="E287" s="20" t="str">
        <f aca="false">IF($A287="","",교육과정!$B8)</f>
        <v/>
      </c>
      <c r="F287" s="21" t="str">
        <f aca="false">IF($A287="","",교육과정!$C8)</f>
        <v/>
      </c>
      <c r="G287" s="23" t="str">
        <f aca="false">IF($A287="","",IF(COUNTIFS(이수내역!$B$3:$B$2002,$A287,이수내역!$D$3:$D$2002,$D287)=0,"",SUMPRODUCT(MAX((이수내역!$B$3:$B$2002=$A287)*(이수내역!$D$3:$D$2002=$D287)*이수내역!$A$3:$A$2002))))</f>
        <v/>
      </c>
      <c r="H287" s="23" t="str">
        <f aca="false">IF($A287="","",IF($F287="","",IF($G287="",EDATE(직원목록!$E26,$F287),EDATE($G287,$F287))))</f>
        <v/>
      </c>
      <c r="I287" s="21" t="str">
        <f aca="true">IF($H287="","",$H287-TODAY())</f>
        <v/>
      </c>
      <c r="J287" s="21" t="str">
        <f aca="false">IF($A287="","",IF($H287="","-",IF($I287&lt;0,"기한초과",IF($I287&lt;=사용안내!$C$16,"임박","정상"))))</f>
        <v/>
      </c>
    </row>
    <row r="288" customFormat="false" ht="15" hidden="false" customHeight="true" outlineLevel="0" collapsed="false">
      <c r="A288" s="20" t="str">
        <f aca="false">IF(OR(직원목록!$A26="",교육과정!$A9="",직원목록!$F26="퇴사"),"",직원목록!$A26)</f>
        <v/>
      </c>
      <c r="B288" s="20" t="str">
        <f aca="false">IF($A288="","",직원목록!$B26)</f>
        <v/>
      </c>
      <c r="C288" s="20" t="str">
        <f aca="false">IF($A288="","",직원목록!$C26)</f>
        <v/>
      </c>
      <c r="D288" s="21" t="str">
        <f aca="false">IF($A288="","",교육과정!$A9)</f>
        <v/>
      </c>
      <c r="E288" s="20" t="str">
        <f aca="false">IF($A288="","",교육과정!$B9)</f>
        <v/>
      </c>
      <c r="F288" s="21" t="str">
        <f aca="false">IF($A288="","",교육과정!$C9)</f>
        <v/>
      </c>
      <c r="G288" s="23" t="str">
        <f aca="false">IF($A288="","",IF(COUNTIFS(이수내역!$B$3:$B$2002,$A288,이수내역!$D$3:$D$2002,$D288)=0,"",SUMPRODUCT(MAX((이수내역!$B$3:$B$2002=$A288)*(이수내역!$D$3:$D$2002=$D288)*이수내역!$A$3:$A$2002))))</f>
        <v/>
      </c>
      <c r="H288" s="23" t="str">
        <f aca="false">IF($A288="","",IF($F288="","",IF($G288="",EDATE(직원목록!$E26,$F288),EDATE($G288,$F288))))</f>
        <v/>
      </c>
      <c r="I288" s="21" t="str">
        <f aca="true">IF($H288="","",$H288-TODAY())</f>
        <v/>
      </c>
      <c r="J288" s="21" t="str">
        <f aca="false">IF($A288="","",IF($H288="","-",IF($I288&lt;0,"기한초과",IF($I288&lt;=사용안내!$C$16,"임박","정상"))))</f>
        <v/>
      </c>
    </row>
    <row r="289" customFormat="false" ht="15" hidden="false" customHeight="true" outlineLevel="0" collapsed="false">
      <c r="A289" s="20" t="str">
        <f aca="false">IF(OR(직원목록!$A26="",교육과정!$A10="",직원목록!$F26="퇴사"),"",직원목록!$A26)</f>
        <v/>
      </c>
      <c r="B289" s="20" t="str">
        <f aca="false">IF($A289="","",직원목록!$B26)</f>
        <v/>
      </c>
      <c r="C289" s="20" t="str">
        <f aca="false">IF($A289="","",직원목록!$C26)</f>
        <v/>
      </c>
      <c r="D289" s="21" t="str">
        <f aca="false">IF($A289="","",교육과정!$A10)</f>
        <v/>
      </c>
      <c r="E289" s="20" t="str">
        <f aca="false">IF($A289="","",교육과정!$B10)</f>
        <v/>
      </c>
      <c r="F289" s="21" t="str">
        <f aca="false">IF($A289="","",교육과정!$C10)</f>
        <v/>
      </c>
      <c r="G289" s="23" t="str">
        <f aca="false">IF($A289="","",IF(COUNTIFS(이수내역!$B$3:$B$2002,$A289,이수내역!$D$3:$D$2002,$D289)=0,"",SUMPRODUCT(MAX((이수내역!$B$3:$B$2002=$A289)*(이수내역!$D$3:$D$2002=$D289)*이수내역!$A$3:$A$2002))))</f>
        <v/>
      </c>
      <c r="H289" s="23" t="str">
        <f aca="false">IF($A289="","",IF($F289="","",IF($G289="",EDATE(직원목록!$E26,$F289),EDATE($G289,$F289))))</f>
        <v/>
      </c>
      <c r="I289" s="21" t="str">
        <f aca="true">IF($H289="","",$H289-TODAY())</f>
        <v/>
      </c>
      <c r="J289" s="21" t="str">
        <f aca="false">IF($A289="","",IF($H289="","-",IF($I289&lt;0,"기한초과",IF($I289&lt;=사용안내!$C$16,"임박","정상"))))</f>
        <v/>
      </c>
    </row>
    <row r="290" customFormat="false" ht="15" hidden="false" customHeight="true" outlineLevel="0" collapsed="false">
      <c r="A290" s="20" t="str">
        <f aca="false">IF(OR(직원목록!$A26="",교육과정!$A11="",직원목록!$F26="퇴사"),"",직원목록!$A26)</f>
        <v/>
      </c>
      <c r="B290" s="20" t="str">
        <f aca="false">IF($A290="","",직원목록!$B26)</f>
        <v/>
      </c>
      <c r="C290" s="20" t="str">
        <f aca="false">IF($A290="","",직원목록!$C26)</f>
        <v/>
      </c>
      <c r="D290" s="21" t="str">
        <f aca="false">IF($A290="","",교육과정!$A11)</f>
        <v/>
      </c>
      <c r="E290" s="20" t="str">
        <f aca="false">IF($A290="","",교육과정!$B11)</f>
        <v/>
      </c>
      <c r="F290" s="21" t="str">
        <f aca="false">IF($A290="","",교육과정!$C11)</f>
        <v/>
      </c>
      <c r="G290" s="23" t="str">
        <f aca="false">IF($A290="","",IF(COUNTIFS(이수내역!$B$3:$B$2002,$A290,이수내역!$D$3:$D$2002,$D290)=0,"",SUMPRODUCT(MAX((이수내역!$B$3:$B$2002=$A290)*(이수내역!$D$3:$D$2002=$D290)*이수내역!$A$3:$A$2002))))</f>
        <v/>
      </c>
      <c r="H290" s="23" t="str">
        <f aca="false">IF($A290="","",IF($F290="","",IF($G290="",EDATE(직원목록!$E26,$F290),EDATE($G290,$F290))))</f>
        <v/>
      </c>
      <c r="I290" s="21" t="str">
        <f aca="true">IF($H290="","",$H290-TODAY())</f>
        <v/>
      </c>
      <c r="J290" s="21" t="str">
        <f aca="false">IF($A290="","",IF($H290="","-",IF($I290&lt;0,"기한초과",IF($I290&lt;=사용안내!$C$16,"임박","정상"))))</f>
        <v/>
      </c>
    </row>
    <row r="291" customFormat="false" ht="15" hidden="false" customHeight="true" outlineLevel="0" collapsed="false">
      <c r="A291" s="20" t="str">
        <f aca="false">IF(OR(직원목록!$A26="",교육과정!$A12="",직원목록!$F26="퇴사"),"",직원목록!$A26)</f>
        <v/>
      </c>
      <c r="B291" s="20" t="str">
        <f aca="false">IF($A291="","",직원목록!$B26)</f>
        <v/>
      </c>
      <c r="C291" s="20" t="str">
        <f aca="false">IF($A291="","",직원목록!$C26)</f>
        <v/>
      </c>
      <c r="D291" s="21" t="str">
        <f aca="false">IF($A291="","",교육과정!$A12)</f>
        <v/>
      </c>
      <c r="E291" s="20" t="str">
        <f aca="false">IF($A291="","",교육과정!$B12)</f>
        <v/>
      </c>
      <c r="F291" s="21" t="str">
        <f aca="false">IF($A291="","",교육과정!$C12)</f>
        <v/>
      </c>
      <c r="G291" s="23" t="str">
        <f aca="false">IF($A291="","",IF(COUNTIFS(이수내역!$B$3:$B$2002,$A291,이수내역!$D$3:$D$2002,$D291)=0,"",SUMPRODUCT(MAX((이수내역!$B$3:$B$2002=$A291)*(이수내역!$D$3:$D$2002=$D291)*이수내역!$A$3:$A$2002))))</f>
        <v/>
      </c>
      <c r="H291" s="23" t="str">
        <f aca="false">IF($A291="","",IF($F291="","",IF($G291="",EDATE(직원목록!$E26,$F291),EDATE($G291,$F291))))</f>
        <v/>
      </c>
      <c r="I291" s="21" t="str">
        <f aca="true">IF($H291="","",$H291-TODAY())</f>
        <v/>
      </c>
      <c r="J291" s="21" t="str">
        <f aca="false">IF($A291="","",IF($H291="","-",IF($I291&lt;0,"기한초과",IF($I291&lt;=사용안내!$C$16,"임박","정상"))))</f>
        <v/>
      </c>
    </row>
    <row r="292" customFormat="false" ht="15" hidden="false" customHeight="true" outlineLevel="0" collapsed="false">
      <c r="A292" s="20" t="str">
        <f aca="false">IF(OR(직원목록!$A26="",교육과정!$A13="",직원목록!$F26="퇴사"),"",직원목록!$A26)</f>
        <v/>
      </c>
      <c r="B292" s="20" t="str">
        <f aca="false">IF($A292="","",직원목록!$B26)</f>
        <v/>
      </c>
      <c r="C292" s="20" t="str">
        <f aca="false">IF($A292="","",직원목록!$C26)</f>
        <v/>
      </c>
      <c r="D292" s="21" t="str">
        <f aca="false">IF($A292="","",교육과정!$A13)</f>
        <v/>
      </c>
      <c r="E292" s="20" t="str">
        <f aca="false">IF($A292="","",교육과정!$B13)</f>
        <v/>
      </c>
      <c r="F292" s="21" t="str">
        <f aca="false">IF($A292="","",교육과정!$C13)</f>
        <v/>
      </c>
      <c r="G292" s="23" t="str">
        <f aca="false">IF($A292="","",IF(COUNTIFS(이수내역!$B$3:$B$2002,$A292,이수내역!$D$3:$D$2002,$D292)=0,"",SUMPRODUCT(MAX((이수내역!$B$3:$B$2002=$A292)*(이수내역!$D$3:$D$2002=$D292)*이수내역!$A$3:$A$2002))))</f>
        <v/>
      </c>
      <c r="H292" s="23" t="str">
        <f aca="false">IF($A292="","",IF($F292="","",IF($G292="",EDATE(직원목록!$E26,$F292),EDATE($G292,$F292))))</f>
        <v/>
      </c>
      <c r="I292" s="21" t="str">
        <f aca="true">IF($H292="","",$H292-TODAY())</f>
        <v/>
      </c>
      <c r="J292" s="21" t="str">
        <f aca="false">IF($A292="","",IF($H292="","-",IF($I292&lt;0,"기한초과",IF($I292&lt;=사용안내!$C$16,"임박","정상"))))</f>
        <v/>
      </c>
    </row>
    <row r="293" customFormat="false" ht="15" hidden="false" customHeight="true" outlineLevel="0" collapsed="false">
      <c r="A293" s="20" t="str">
        <f aca="false">IF(OR(직원목록!$A26="",교육과정!$A14="",직원목록!$F26="퇴사"),"",직원목록!$A26)</f>
        <v/>
      </c>
      <c r="B293" s="20" t="str">
        <f aca="false">IF($A293="","",직원목록!$B26)</f>
        <v/>
      </c>
      <c r="C293" s="20" t="str">
        <f aca="false">IF($A293="","",직원목록!$C26)</f>
        <v/>
      </c>
      <c r="D293" s="21" t="str">
        <f aca="false">IF($A293="","",교육과정!$A14)</f>
        <v/>
      </c>
      <c r="E293" s="20" t="str">
        <f aca="false">IF($A293="","",교육과정!$B14)</f>
        <v/>
      </c>
      <c r="F293" s="21" t="str">
        <f aca="false">IF($A293="","",교육과정!$C14)</f>
        <v/>
      </c>
      <c r="G293" s="23" t="str">
        <f aca="false">IF($A293="","",IF(COUNTIFS(이수내역!$B$3:$B$2002,$A293,이수내역!$D$3:$D$2002,$D293)=0,"",SUMPRODUCT(MAX((이수내역!$B$3:$B$2002=$A293)*(이수내역!$D$3:$D$2002=$D293)*이수내역!$A$3:$A$2002))))</f>
        <v/>
      </c>
      <c r="H293" s="23" t="str">
        <f aca="false">IF($A293="","",IF($F293="","",IF($G293="",EDATE(직원목록!$E26,$F293),EDATE($G293,$F293))))</f>
        <v/>
      </c>
      <c r="I293" s="21" t="str">
        <f aca="true">IF($H293="","",$H293-TODAY())</f>
        <v/>
      </c>
      <c r="J293" s="21" t="str">
        <f aca="false">IF($A293="","",IF($H293="","-",IF($I293&lt;0,"기한초과",IF($I293&lt;=사용안내!$C$16,"임박","정상"))))</f>
        <v/>
      </c>
    </row>
    <row r="294" customFormat="false" ht="15" hidden="false" customHeight="true" outlineLevel="0" collapsed="false">
      <c r="A294" s="20" t="str">
        <f aca="false">IF(OR(직원목록!$A27="",교육과정!$A3="",직원목록!$F27="퇴사"),"",직원목록!$A27)</f>
        <v/>
      </c>
      <c r="B294" s="20" t="str">
        <f aca="false">IF($A294="","",직원목록!$B27)</f>
        <v/>
      </c>
      <c r="C294" s="20" t="str">
        <f aca="false">IF($A294="","",직원목록!$C27)</f>
        <v/>
      </c>
      <c r="D294" s="21" t="str">
        <f aca="false">IF($A294="","",교육과정!$A3)</f>
        <v/>
      </c>
      <c r="E294" s="20" t="str">
        <f aca="false">IF($A294="","",교육과정!$B3)</f>
        <v/>
      </c>
      <c r="F294" s="21" t="str">
        <f aca="false">IF($A294="","",교육과정!$C3)</f>
        <v/>
      </c>
      <c r="G294" s="23" t="str">
        <f aca="false">IF($A294="","",IF(COUNTIFS(이수내역!$B$3:$B$2002,$A294,이수내역!$D$3:$D$2002,$D294)=0,"",SUMPRODUCT(MAX((이수내역!$B$3:$B$2002=$A294)*(이수내역!$D$3:$D$2002=$D294)*이수내역!$A$3:$A$2002))))</f>
        <v/>
      </c>
      <c r="H294" s="23" t="str">
        <f aca="false">IF($A294="","",IF($F294="","",IF($G294="",EDATE(직원목록!$E27,$F294),EDATE($G294,$F294))))</f>
        <v/>
      </c>
      <c r="I294" s="21" t="str">
        <f aca="true">IF($H294="","",$H294-TODAY())</f>
        <v/>
      </c>
      <c r="J294" s="21" t="str">
        <f aca="false">IF($A294="","",IF($H294="","-",IF($I294&lt;0,"기한초과",IF($I294&lt;=사용안내!$C$16,"임박","정상"))))</f>
        <v/>
      </c>
    </row>
    <row r="295" customFormat="false" ht="15" hidden="false" customHeight="true" outlineLevel="0" collapsed="false">
      <c r="A295" s="20" t="str">
        <f aca="false">IF(OR(직원목록!$A27="",교육과정!$A4="",직원목록!$F27="퇴사"),"",직원목록!$A27)</f>
        <v/>
      </c>
      <c r="B295" s="20" t="str">
        <f aca="false">IF($A295="","",직원목록!$B27)</f>
        <v/>
      </c>
      <c r="C295" s="20" t="str">
        <f aca="false">IF($A295="","",직원목록!$C27)</f>
        <v/>
      </c>
      <c r="D295" s="21" t="str">
        <f aca="false">IF($A295="","",교육과정!$A4)</f>
        <v/>
      </c>
      <c r="E295" s="20" t="str">
        <f aca="false">IF($A295="","",교육과정!$B4)</f>
        <v/>
      </c>
      <c r="F295" s="21" t="str">
        <f aca="false">IF($A295="","",교육과정!$C4)</f>
        <v/>
      </c>
      <c r="G295" s="23" t="str">
        <f aca="false">IF($A295="","",IF(COUNTIFS(이수내역!$B$3:$B$2002,$A295,이수내역!$D$3:$D$2002,$D295)=0,"",SUMPRODUCT(MAX((이수내역!$B$3:$B$2002=$A295)*(이수내역!$D$3:$D$2002=$D295)*이수내역!$A$3:$A$2002))))</f>
        <v/>
      </c>
      <c r="H295" s="23" t="str">
        <f aca="false">IF($A295="","",IF($F295="","",IF($G295="",EDATE(직원목록!$E27,$F295),EDATE($G295,$F295))))</f>
        <v/>
      </c>
      <c r="I295" s="21" t="str">
        <f aca="true">IF($H295="","",$H295-TODAY())</f>
        <v/>
      </c>
      <c r="J295" s="21" t="str">
        <f aca="false">IF($A295="","",IF($H295="","-",IF($I295&lt;0,"기한초과",IF($I295&lt;=사용안내!$C$16,"임박","정상"))))</f>
        <v/>
      </c>
    </row>
    <row r="296" customFormat="false" ht="15" hidden="false" customHeight="true" outlineLevel="0" collapsed="false">
      <c r="A296" s="20" t="str">
        <f aca="false">IF(OR(직원목록!$A27="",교육과정!$A5="",직원목록!$F27="퇴사"),"",직원목록!$A27)</f>
        <v/>
      </c>
      <c r="B296" s="20" t="str">
        <f aca="false">IF($A296="","",직원목록!$B27)</f>
        <v/>
      </c>
      <c r="C296" s="20" t="str">
        <f aca="false">IF($A296="","",직원목록!$C27)</f>
        <v/>
      </c>
      <c r="D296" s="21" t="str">
        <f aca="false">IF($A296="","",교육과정!$A5)</f>
        <v/>
      </c>
      <c r="E296" s="20" t="str">
        <f aca="false">IF($A296="","",교육과정!$B5)</f>
        <v/>
      </c>
      <c r="F296" s="21" t="str">
        <f aca="false">IF($A296="","",교육과정!$C5)</f>
        <v/>
      </c>
      <c r="G296" s="23" t="str">
        <f aca="false">IF($A296="","",IF(COUNTIFS(이수내역!$B$3:$B$2002,$A296,이수내역!$D$3:$D$2002,$D296)=0,"",SUMPRODUCT(MAX((이수내역!$B$3:$B$2002=$A296)*(이수내역!$D$3:$D$2002=$D296)*이수내역!$A$3:$A$2002))))</f>
        <v/>
      </c>
      <c r="H296" s="23" t="str">
        <f aca="false">IF($A296="","",IF($F296="","",IF($G296="",EDATE(직원목록!$E27,$F296),EDATE($G296,$F296))))</f>
        <v/>
      </c>
      <c r="I296" s="21" t="str">
        <f aca="true">IF($H296="","",$H296-TODAY())</f>
        <v/>
      </c>
      <c r="J296" s="21" t="str">
        <f aca="false">IF($A296="","",IF($H296="","-",IF($I296&lt;0,"기한초과",IF($I296&lt;=사용안내!$C$16,"임박","정상"))))</f>
        <v/>
      </c>
    </row>
    <row r="297" customFormat="false" ht="15" hidden="false" customHeight="true" outlineLevel="0" collapsed="false">
      <c r="A297" s="20" t="str">
        <f aca="false">IF(OR(직원목록!$A27="",교육과정!$A6="",직원목록!$F27="퇴사"),"",직원목록!$A27)</f>
        <v/>
      </c>
      <c r="B297" s="20" t="str">
        <f aca="false">IF($A297="","",직원목록!$B27)</f>
        <v/>
      </c>
      <c r="C297" s="20" t="str">
        <f aca="false">IF($A297="","",직원목록!$C27)</f>
        <v/>
      </c>
      <c r="D297" s="21" t="str">
        <f aca="false">IF($A297="","",교육과정!$A6)</f>
        <v/>
      </c>
      <c r="E297" s="20" t="str">
        <f aca="false">IF($A297="","",교육과정!$B6)</f>
        <v/>
      </c>
      <c r="F297" s="21" t="str">
        <f aca="false">IF($A297="","",교육과정!$C6)</f>
        <v/>
      </c>
      <c r="G297" s="23" t="str">
        <f aca="false">IF($A297="","",IF(COUNTIFS(이수내역!$B$3:$B$2002,$A297,이수내역!$D$3:$D$2002,$D297)=0,"",SUMPRODUCT(MAX((이수내역!$B$3:$B$2002=$A297)*(이수내역!$D$3:$D$2002=$D297)*이수내역!$A$3:$A$2002))))</f>
        <v/>
      </c>
      <c r="H297" s="23" t="str">
        <f aca="false">IF($A297="","",IF($F297="","",IF($G297="",EDATE(직원목록!$E27,$F297),EDATE($G297,$F297))))</f>
        <v/>
      </c>
      <c r="I297" s="21" t="str">
        <f aca="true">IF($H297="","",$H297-TODAY())</f>
        <v/>
      </c>
      <c r="J297" s="21" t="str">
        <f aca="false">IF($A297="","",IF($H297="","-",IF($I297&lt;0,"기한초과",IF($I297&lt;=사용안내!$C$16,"임박","정상"))))</f>
        <v/>
      </c>
    </row>
    <row r="298" customFormat="false" ht="15" hidden="false" customHeight="true" outlineLevel="0" collapsed="false">
      <c r="A298" s="20" t="str">
        <f aca="false">IF(OR(직원목록!$A27="",교육과정!$A7="",직원목록!$F27="퇴사"),"",직원목록!$A27)</f>
        <v/>
      </c>
      <c r="B298" s="20" t="str">
        <f aca="false">IF($A298="","",직원목록!$B27)</f>
        <v/>
      </c>
      <c r="C298" s="20" t="str">
        <f aca="false">IF($A298="","",직원목록!$C27)</f>
        <v/>
      </c>
      <c r="D298" s="21" t="str">
        <f aca="false">IF($A298="","",교육과정!$A7)</f>
        <v/>
      </c>
      <c r="E298" s="20" t="str">
        <f aca="false">IF($A298="","",교육과정!$B7)</f>
        <v/>
      </c>
      <c r="F298" s="21" t="str">
        <f aca="false">IF($A298="","",교육과정!$C7)</f>
        <v/>
      </c>
      <c r="G298" s="23" t="str">
        <f aca="false">IF($A298="","",IF(COUNTIFS(이수내역!$B$3:$B$2002,$A298,이수내역!$D$3:$D$2002,$D298)=0,"",SUMPRODUCT(MAX((이수내역!$B$3:$B$2002=$A298)*(이수내역!$D$3:$D$2002=$D298)*이수내역!$A$3:$A$2002))))</f>
        <v/>
      </c>
      <c r="H298" s="23" t="str">
        <f aca="false">IF($A298="","",IF($F298="","",IF($G298="",EDATE(직원목록!$E27,$F298),EDATE($G298,$F298))))</f>
        <v/>
      </c>
      <c r="I298" s="21" t="str">
        <f aca="true">IF($H298="","",$H298-TODAY())</f>
        <v/>
      </c>
      <c r="J298" s="21" t="str">
        <f aca="false">IF($A298="","",IF($H298="","-",IF($I298&lt;0,"기한초과",IF($I298&lt;=사용안내!$C$16,"임박","정상"))))</f>
        <v/>
      </c>
    </row>
    <row r="299" customFormat="false" ht="15" hidden="false" customHeight="true" outlineLevel="0" collapsed="false">
      <c r="A299" s="20" t="str">
        <f aca="false">IF(OR(직원목록!$A27="",교육과정!$A8="",직원목록!$F27="퇴사"),"",직원목록!$A27)</f>
        <v/>
      </c>
      <c r="B299" s="20" t="str">
        <f aca="false">IF($A299="","",직원목록!$B27)</f>
        <v/>
      </c>
      <c r="C299" s="20" t="str">
        <f aca="false">IF($A299="","",직원목록!$C27)</f>
        <v/>
      </c>
      <c r="D299" s="21" t="str">
        <f aca="false">IF($A299="","",교육과정!$A8)</f>
        <v/>
      </c>
      <c r="E299" s="20" t="str">
        <f aca="false">IF($A299="","",교육과정!$B8)</f>
        <v/>
      </c>
      <c r="F299" s="21" t="str">
        <f aca="false">IF($A299="","",교육과정!$C8)</f>
        <v/>
      </c>
      <c r="G299" s="23" t="str">
        <f aca="false">IF($A299="","",IF(COUNTIFS(이수내역!$B$3:$B$2002,$A299,이수내역!$D$3:$D$2002,$D299)=0,"",SUMPRODUCT(MAX((이수내역!$B$3:$B$2002=$A299)*(이수내역!$D$3:$D$2002=$D299)*이수내역!$A$3:$A$2002))))</f>
        <v/>
      </c>
      <c r="H299" s="23" t="str">
        <f aca="false">IF($A299="","",IF($F299="","",IF($G299="",EDATE(직원목록!$E27,$F299),EDATE($G299,$F299))))</f>
        <v/>
      </c>
      <c r="I299" s="21" t="str">
        <f aca="true">IF($H299="","",$H299-TODAY())</f>
        <v/>
      </c>
      <c r="J299" s="21" t="str">
        <f aca="false">IF($A299="","",IF($H299="","-",IF($I299&lt;0,"기한초과",IF($I299&lt;=사용안내!$C$16,"임박","정상"))))</f>
        <v/>
      </c>
    </row>
    <row r="300" customFormat="false" ht="15" hidden="false" customHeight="true" outlineLevel="0" collapsed="false">
      <c r="A300" s="20" t="str">
        <f aca="false">IF(OR(직원목록!$A27="",교육과정!$A9="",직원목록!$F27="퇴사"),"",직원목록!$A27)</f>
        <v/>
      </c>
      <c r="B300" s="20" t="str">
        <f aca="false">IF($A300="","",직원목록!$B27)</f>
        <v/>
      </c>
      <c r="C300" s="20" t="str">
        <f aca="false">IF($A300="","",직원목록!$C27)</f>
        <v/>
      </c>
      <c r="D300" s="21" t="str">
        <f aca="false">IF($A300="","",교육과정!$A9)</f>
        <v/>
      </c>
      <c r="E300" s="20" t="str">
        <f aca="false">IF($A300="","",교육과정!$B9)</f>
        <v/>
      </c>
      <c r="F300" s="21" t="str">
        <f aca="false">IF($A300="","",교육과정!$C9)</f>
        <v/>
      </c>
      <c r="G300" s="23" t="str">
        <f aca="false">IF($A300="","",IF(COUNTIFS(이수내역!$B$3:$B$2002,$A300,이수내역!$D$3:$D$2002,$D300)=0,"",SUMPRODUCT(MAX((이수내역!$B$3:$B$2002=$A300)*(이수내역!$D$3:$D$2002=$D300)*이수내역!$A$3:$A$2002))))</f>
        <v/>
      </c>
      <c r="H300" s="23" t="str">
        <f aca="false">IF($A300="","",IF($F300="","",IF($G300="",EDATE(직원목록!$E27,$F300),EDATE($G300,$F300))))</f>
        <v/>
      </c>
      <c r="I300" s="21" t="str">
        <f aca="true">IF($H300="","",$H300-TODAY())</f>
        <v/>
      </c>
      <c r="J300" s="21" t="str">
        <f aca="false">IF($A300="","",IF($H300="","-",IF($I300&lt;0,"기한초과",IF($I300&lt;=사용안내!$C$16,"임박","정상"))))</f>
        <v/>
      </c>
    </row>
    <row r="301" customFormat="false" ht="15" hidden="false" customHeight="true" outlineLevel="0" collapsed="false">
      <c r="A301" s="20" t="str">
        <f aca="false">IF(OR(직원목록!$A27="",교육과정!$A10="",직원목록!$F27="퇴사"),"",직원목록!$A27)</f>
        <v/>
      </c>
      <c r="B301" s="20" t="str">
        <f aca="false">IF($A301="","",직원목록!$B27)</f>
        <v/>
      </c>
      <c r="C301" s="20" t="str">
        <f aca="false">IF($A301="","",직원목록!$C27)</f>
        <v/>
      </c>
      <c r="D301" s="21" t="str">
        <f aca="false">IF($A301="","",교육과정!$A10)</f>
        <v/>
      </c>
      <c r="E301" s="20" t="str">
        <f aca="false">IF($A301="","",교육과정!$B10)</f>
        <v/>
      </c>
      <c r="F301" s="21" t="str">
        <f aca="false">IF($A301="","",교육과정!$C10)</f>
        <v/>
      </c>
      <c r="G301" s="23" t="str">
        <f aca="false">IF($A301="","",IF(COUNTIFS(이수내역!$B$3:$B$2002,$A301,이수내역!$D$3:$D$2002,$D301)=0,"",SUMPRODUCT(MAX((이수내역!$B$3:$B$2002=$A301)*(이수내역!$D$3:$D$2002=$D301)*이수내역!$A$3:$A$2002))))</f>
        <v/>
      </c>
      <c r="H301" s="23" t="str">
        <f aca="false">IF($A301="","",IF($F301="","",IF($G301="",EDATE(직원목록!$E27,$F301),EDATE($G301,$F301))))</f>
        <v/>
      </c>
      <c r="I301" s="21" t="str">
        <f aca="true">IF($H301="","",$H301-TODAY())</f>
        <v/>
      </c>
      <c r="J301" s="21" t="str">
        <f aca="false">IF($A301="","",IF($H301="","-",IF($I301&lt;0,"기한초과",IF($I301&lt;=사용안내!$C$16,"임박","정상"))))</f>
        <v/>
      </c>
    </row>
    <row r="302" customFormat="false" ht="15" hidden="false" customHeight="true" outlineLevel="0" collapsed="false">
      <c r="A302" s="20" t="str">
        <f aca="false">IF(OR(직원목록!$A27="",교육과정!$A11="",직원목록!$F27="퇴사"),"",직원목록!$A27)</f>
        <v/>
      </c>
      <c r="B302" s="20" t="str">
        <f aca="false">IF($A302="","",직원목록!$B27)</f>
        <v/>
      </c>
      <c r="C302" s="20" t="str">
        <f aca="false">IF($A302="","",직원목록!$C27)</f>
        <v/>
      </c>
      <c r="D302" s="21" t="str">
        <f aca="false">IF($A302="","",교육과정!$A11)</f>
        <v/>
      </c>
      <c r="E302" s="20" t="str">
        <f aca="false">IF($A302="","",교육과정!$B11)</f>
        <v/>
      </c>
      <c r="F302" s="21" t="str">
        <f aca="false">IF($A302="","",교육과정!$C11)</f>
        <v/>
      </c>
      <c r="G302" s="23" t="str">
        <f aca="false">IF($A302="","",IF(COUNTIFS(이수내역!$B$3:$B$2002,$A302,이수내역!$D$3:$D$2002,$D302)=0,"",SUMPRODUCT(MAX((이수내역!$B$3:$B$2002=$A302)*(이수내역!$D$3:$D$2002=$D302)*이수내역!$A$3:$A$2002))))</f>
        <v/>
      </c>
      <c r="H302" s="23" t="str">
        <f aca="false">IF($A302="","",IF($F302="","",IF($G302="",EDATE(직원목록!$E27,$F302),EDATE($G302,$F302))))</f>
        <v/>
      </c>
      <c r="I302" s="21" t="str">
        <f aca="true">IF($H302="","",$H302-TODAY())</f>
        <v/>
      </c>
      <c r="J302" s="21" t="str">
        <f aca="false">IF($A302="","",IF($H302="","-",IF($I302&lt;0,"기한초과",IF($I302&lt;=사용안내!$C$16,"임박","정상"))))</f>
        <v/>
      </c>
    </row>
    <row r="303" customFormat="false" ht="15" hidden="false" customHeight="true" outlineLevel="0" collapsed="false">
      <c r="A303" s="20" t="str">
        <f aca="false">IF(OR(직원목록!$A27="",교육과정!$A12="",직원목록!$F27="퇴사"),"",직원목록!$A27)</f>
        <v/>
      </c>
      <c r="B303" s="20" t="str">
        <f aca="false">IF($A303="","",직원목록!$B27)</f>
        <v/>
      </c>
      <c r="C303" s="20" t="str">
        <f aca="false">IF($A303="","",직원목록!$C27)</f>
        <v/>
      </c>
      <c r="D303" s="21" t="str">
        <f aca="false">IF($A303="","",교육과정!$A12)</f>
        <v/>
      </c>
      <c r="E303" s="20" t="str">
        <f aca="false">IF($A303="","",교육과정!$B12)</f>
        <v/>
      </c>
      <c r="F303" s="21" t="str">
        <f aca="false">IF($A303="","",교육과정!$C12)</f>
        <v/>
      </c>
      <c r="G303" s="23" t="str">
        <f aca="false">IF($A303="","",IF(COUNTIFS(이수내역!$B$3:$B$2002,$A303,이수내역!$D$3:$D$2002,$D303)=0,"",SUMPRODUCT(MAX((이수내역!$B$3:$B$2002=$A303)*(이수내역!$D$3:$D$2002=$D303)*이수내역!$A$3:$A$2002))))</f>
        <v/>
      </c>
      <c r="H303" s="23" t="str">
        <f aca="false">IF($A303="","",IF($F303="","",IF($G303="",EDATE(직원목록!$E27,$F303),EDATE($G303,$F303))))</f>
        <v/>
      </c>
      <c r="I303" s="21" t="str">
        <f aca="true">IF($H303="","",$H303-TODAY())</f>
        <v/>
      </c>
      <c r="J303" s="21" t="str">
        <f aca="false">IF($A303="","",IF($H303="","-",IF($I303&lt;0,"기한초과",IF($I303&lt;=사용안내!$C$16,"임박","정상"))))</f>
        <v/>
      </c>
    </row>
    <row r="304" customFormat="false" ht="15" hidden="false" customHeight="true" outlineLevel="0" collapsed="false">
      <c r="A304" s="20" t="str">
        <f aca="false">IF(OR(직원목록!$A27="",교육과정!$A13="",직원목록!$F27="퇴사"),"",직원목록!$A27)</f>
        <v/>
      </c>
      <c r="B304" s="20" t="str">
        <f aca="false">IF($A304="","",직원목록!$B27)</f>
        <v/>
      </c>
      <c r="C304" s="20" t="str">
        <f aca="false">IF($A304="","",직원목록!$C27)</f>
        <v/>
      </c>
      <c r="D304" s="21" t="str">
        <f aca="false">IF($A304="","",교육과정!$A13)</f>
        <v/>
      </c>
      <c r="E304" s="20" t="str">
        <f aca="false">IF($A304="","",교육과정!$B13)</f>
        <v/>
      </c>
      <c r="F304" s="21" t="str">
        <f aca="false">IF($A304="","",교육과정!$C13)</f>
        <v/>
      </c>
      <c r="G304" s="23" t="str">
        <f aca="false">IF($A304="","",IF(COUNTIFS(이수내역!$B$3:$B$2002,$A304,이수내역!$D$3:$D$2002,$D304)=0,"",SUMPRODUCT(MAX((이수내역!$B$3:$B$2002=$A304)*(이수내역!$D$3:$D$2002=$D304)*이수내역!$A$3:$A$2002))))</f>
        <v/>
      </c>
      <c r="H304" s="23" t="str">
        <f aca="false">IF($A304="","",IF($F304="","",IF($G304="",EDATE(직원목록!$E27,$F304),EDATE($G304,$F304))))</f>
        <v/>
      </c>
      <c r="I304" s="21" t="str">
        <f aca="true">IF($H304="","",$H304-TODAY())</f>
        <v/>
      </c>
      <c r="J304" s="21" t="str">
        <f aca="false">IF($A304="","",IF($H304="","-",IF($I304&lt;0,"기한초과",IF($I304&lt;=사용안내!$C$16,"임박","정상"))))</f>
        <v/>
      </c>
    </row>
    <row r="305" customFormat="false" ht="15" hidden="false" customHeight="true" outlineLevel="0" collapsed="false">
      <c r="A305" s="20" t="str">
        <f aca="false">IF(OR(직원목록!$A27="",교육과정!$A14="",직원목록!$F27="퇴사"),"",직원목록!$A27)</f>
        <v/>
      </c>
      <c r="B305" s="20" t="str">
        <f aca="false">IF($A305="","",직원목록!$B27)</f>
        <v/>
      </c>
      <c r="C305" s="20" t="str">
        <f aca="false">IF($A305="","",직원목록!$C27)</f>
        <v/>
      </c>
      <c r="D305" s="21" t="str">
        <f aca="false">IF($A305="","",교육과정!$A14)</f>
        <v/>
      </c>
      <c r="E305" s="20" t="str">
        <f aca="false">IF($A305="","",교육과정!$B14)</f>
        <v/>
      </c>
      <c r="F305" s="21" t="str">
        <f aca="false">IF($A305="","",교육과정!$C14)</f>
        <v/>
      </c>
      <c r="G305" s="23" t="str">
        <f aca="false">IF($A305="","",IF(COUNTIFS(이수내역!$B$3:$B$2002,$A305,이수내역!$D$3:$D$2002,$D305)=0,"",SUMPRODUCT(MAX((이수내역!$B$3:$B$2002=$A305)*(이수내역!$D$3:$D$2002=$D305)*이수내역!$A$3:$A$2002))))</f>
        <v/>
      </c>
      <c r="H305" s="23" t="str">
        <f aca="false">IF($A305="","",IF($F305="","",IF($G305="",EDATE(직원목록!$E27,$F305),EDATE($G305,$F305))))</f>
        <v/>
      </c>
      <c r="I305" s="21" t="str">
        <f aca="true">IF($H305="","",$H305-TODAY())</f>
        <v/>
      </c>
      <c r="J305" s="21" t="str">
        <f aca="false">IF($A305="","",IF($H305="","-",IF($I305&lt;0,"기한초과",IF($I305&lt;=사용안내!$C$16,"임박","정상"))))</f>
        <v/>
      </c>
    </row>
    <row r="306" customFormat="false" ht="15" hidden="false" customHeight="true" outlineLevel="0" collapsed="false">
      <c r="A306" s="20" t="str">
        <f aca="false">IF(OR(직원목록!$A28="",교육과정!$A3="",직원목록!$F28="퇴사"),"",직원목록!$A28)</f>
        <v/>
      </c>
      <c r="B306" s="20" t="str">
        <f aca="false">IF($A306="","",직원목록!$B28)</f>
        <v/>
      </c>
      <c r="C306" s="20" t="str">
        <f aca="false">IF($A306="","",직원목록!$C28)</f>
        <v/>
      </c>
      <c r="D306" s="21" t="str">
        <f aca="false">IF($A306="","",교육과정!$A3)</f>
        <v/>
      </c>
      <c r="E306" s="20" t="str">
        <f aca="false">IF($A306="","",교육과정!$B3)</f>
        <v/>
      </c>
      <c r="F306" s="21" t="str">
        <f aca="false">IF($A306="","",교육과정!$C3)</f>
        <v/>
      </c>
      <c r="G306" s="23" t="str">
        <f aca="false">IF($A306="","",IF(COUNTIFS(이수내역!$B$3:$B$2002,$A306,이수내역!$D$3:$D$2002,$D306)=0,"",SUMPRODUCT(MAX((이수내역!$B$3:$B$2002=$A306)*(이수내역!$D$3:$D$2002=$D306)*이수내역!$A$3:$A$2002))))</f>
        <v/>
      </c>
      <c r="H306" s="23" t="str">
        <f aca="false">IF($A306="","",IF($F306="","",IF($G306="",EDATE(직원목록!$E28,$F306),EDATE($G306,$F306))))</f>
        <v/>
      </c>
      <c r="I306" s="21" t="str">
        <f aca="true">IF($H306="","",$H306-TODAY())</f>
        <v/>
      </c>
      <c r="J306" s="21" t="str">
        <f aca="false">IF($A306="","",IF($H306="","-",IF($I306&lt;0,"기한초과",IF($I306&lt;=사용안내!$C$16,"임박","정상"))))</f>
        <v/>
      </c>
    </row>
    <row r="307" customFormat="false" ht="15" hidden="false" customHeight="true" outlineLevel="0" collapsed="false">
      <c r="A307" s="20" t="str">
        <f aca="false">IF(OR(직원목록!$A28="",교육과정!$A4="",직원목록!$F28="퇴사"),"",직원목록!$A28)</f>
        <v/>
      </c>
      <c r="B307" s="20" t="str">
        <f aca="false">IF($A307="","",직원목록!$B28)</f>
        <v/>
      </c>
      <c r="C307" s="20" t="str">
        <f aca="false">IF($A307="","",직원목록!$C28)</f>
        <v/>
      </c>
      <c r="D307" s="21" t="str">
        <f aca="false">IF($A307="","",교육과정!$A4)</f>
        <v/>
      </c>
      <c r="E307" s="20" t="str">
        <f aca="false">IF($A307="","",교육과정!$B4)</f>
        <v/>
      </c>
      <c r="F307" s="21" t="str">
        <f aca="false">IF($A307="","",교육과정!$C4)</f>
        <v/>
      </c>
      <c r="G307" s="23" t="str">
        <f aca="false">IF($A307="","",IF(COUNTIFS(이수내역!$B$3:$B$2002,$A307,이수내역!$D$3:$D$2002,$D307)=0,"",SUMPRODUCT(MAX((이수내역!$B$3:$B$2002=$A307)*(이수내역!$D$3:$D$2002=$D307)*이수내역!$A$3:$A$2002))))</f>
        <v/>
      </c>
      <c r="H307" s="23" t="str">
        <f aca="false">IF($A307="","",IF($F307="","",IF($G307="",EDATE(직원목록!$E28,$F307),EDATE($G307,$F307))))</f>
        <v/>
      </c>
      <c r="I307" s="21" t="str">
        <f aca="true">IF($H307="","",$H307-TODAY())</f>
        <v/>
      </c>
      <c r="J307" s="21" t="str">
        <f aca="false">IF($A307="","",IF($H307="","-",IF($I307&lt;0,"기한초과",IF($I307&lt;=사용안내!$C$16,"임박","정상"))))</f>
        <v/>
      </c>
    </row>
    <row r="308" customFormat="false" ht="15" hidden="false" customHeight="true" outlineLevel="0" collapsed="false">
      <c r="A308" s="20" t="str">
        <f aca="false">IF(OR(직원목록!$A28="",교육과정!$A5="",직원목록!$F28="퇴사"),"",직원목록!$A28)</f>
        <v/>
      </c>
      <c r="B308" s="20" t="str">
        <f aca="false">IF($A308="","",직원목록!$B28)</f>
        <v/>
      </c>
      <c r="C308" s="20" t="str">
        <f aca="false">IF($A308="","",직원목록!$C28)</f>
        <v/>
      </c>
      <c r="D308" s="21" t="str">
        <f aca="false">IF($A308="","",교육과정!$A5)</f>
        <v/>
      </c>
      <c r="E308" s="20" t="str">
        <f aca="false">IF($A308="","",교육과정!$B5)</f>
        <v/>
      </c>
      <c r="F308" s="21" t="str">
        <f aca="false">IF($A308="","",교육과정!$C5)</f>
        <v/>
      </c>
      <c r="G308" s="23" t="str">
        <f aca="false">IF($A308="","",IF(COUNTIFS(이수내역!$B$3:$B$2002,$A308,이수내역!$D$3:$D$2002,$D308)=0,"",SUMPRODUCT(MAX((이수내역!$B$3:$B$2002=$A308)*(이수내역!$D$3:$D$2002=$D308)*이수내역!$A$3:$A$2002))))</f>
        <v/>
      </c>
      <c r="H308" s="23" t="str">
        <f aca="false">IF($A308="","",IF($F308="","",IF($G308="",EDATE(직원목록!$E28,$F308),EDATE($G308,$F308))))</f>
        <v/>
      </c>
      <c r="I308" s="21" t="str">
        <f aca="true">IF($H308="","",$H308-TODAY())</f>
        <v/>
      </c>
      <c r="J308" s="21" t="str">
        <f aca="false">IF($A308="","",IF($H308="","-",IF($I308&lt;0,"기한초과",IF($I308&lt;=사용안내!$C$16,"임박","정상"))))</f>
        <v/>
      </c>
    </row>
    <row r="309" customFormat="false" ht="15" hidden="false" customHeight="true" outlineLevel="0" collapsed="false">
      <c r="A309" s="20" t="str">
        <f aca="false">IF(OR(직원목록!$A28="",교육과정!$A6="",직원목록!$F28="퇴사"),"",직원목록!$A28)</f>
        <v/>
      </c>
      <c r="B309" s="20" t="str">
        <f aca="false">IF($A309="","",직원목록!$B28)</f>
        <v/>
      </c>
      <c r="C309" s="20" t="str">
        <f aca="false">IF($A309="","",직원목록!$C28)</f>
        <v/>
      </c>
      <c r="D309" s="21" t="str">
        <f aca="false">IF($A309="","",교육과정!$A6)</f>
        <v/>
      </c>
      <c r="E309" s="20" t="str">
        <f aca="false">IF($A309="","",교육과정!$B6)</f>
        <v/>
      </c>
      <c r="F309" s="21" t="str">
        <f aca="false">IF($A309="","",교육과정!$C6)</f>
        <v/>
      </c>
      <c r="G309" s="23" t="str">
        <f aca="false">IF($A309="","",IF(COUNTIFS(이수내역!$B$3:$B$2002,$A309,이수내역!$D$3:$D$2002,$D309)=0,"",SUMPRODUCT(MAX((이수내역!$B$3:$B$2002=$A309)*(이수내역!$D$3:$D$2002=$D309)*이수내역!$A$3:$A$2002))))</f>
        <v/>
      </c>
      <c r="H309" s="23" t="str">
        <f aca="false">IF($A309="","",IF($F309="","",IF($G309="",EDATE(직원목록!$E28,$F309),EDATE($G309,$F309))))</f>
        <v/>
      </c>
      <c r="I309" s="21" t="str">
        <f aca="true">IF($H309="","",$H309-TODAY())</f>
        <v/>
      </c>
      <c r="J309" s="21" t="str">
        <f aca="false">IF($A309="","",IF($H309="","-",IF($I309&lt;0,"기한초과",IF($I309&lt;=사용안내!$C$16,"임박","정상"))))</f>
        <v/>
      </c>
    </row>
    <row r="310" customFormat="false" ht="15" hidden="false" customHeight="true" outlineLevel="0" collapsed="false">
      <c r="A310" s="20" t="str">
        <f aca="false">IF(OR(직원목록!$A28="",교육과정!$A7="",직원목록!$F28="퇴사"),"",직원목록!$A28)</f>
        <v/>
      </c>
      <c r="B310" s="20" t="str">
        <f aca="false">IF($A310="","",직원목록!$B28)</f>
        <v/>
      </c>
      <c r="C310" s="20" t="str">
        <f aca="false">IF($A310="","",직원목록!$C28)</f>
        <v/>
      </c>
      <c r="D310" s="21" t="str">
        <f aca="false">IF($A310="","",교육과정!$A7)</f>
        <v/>
      </c>
      <c r="E310" s="20" t="str">
        <f aca="false">IF($A310="","",교육과정!$B7)</f>
        <v/>
      </c>
      <c r="F310" s="21" t="str">
        <f aca="false">IF($A310="","",교육과정!$C7)</f>
        <v/>
      </c>
      <c r="G310" s="23" t="str">
        <f aca="false">IF($A310="","",IF(COUNTIFS(이수내역!$B$3:$B$2002,$A310,이수내역!$D$3:$D$2002,$D310)=0,"",SUMPRODUCT(MAX((이수내역!$B$3:$B$2002=$A310)*(이수내역!$D$3:$D$2002=$D310)*이수내역!$A$3:$A$2002))))</f>
        <v/>
      </c>
      <c r="H310" s="23" t="str">
        <f aca="false">IF($A310="","",IF($F310="","",IF($G310="",EDATE(직원목록!$E28,$F310),EDATE($G310,$F310))))</f>
        <v/>
      </c>
      <c r="I310" s="21" t="str">
        <f aca="true">IF($H310="","",$H310-TODAY())</f>
        <v/>
      </c>
      <c r="J310" s="21" t="str">
        <f aca="false">IF($A310="","",IF($H310="","-",IF($I310&lt;0,"기한초과",IF($I310&lt;=사용안내!$C$16,"임박","정상"))))</f>
        <v/>
      </c>
    </row>
    <row r="311" customFormat="false" ht="15" hidden="false" customHeight="true" outlineLevel="0" collapsed="false">
      <c r="A311" s="20" t="str">
        <f aca="false">IF(OR(직원목록!$A28="",교육과정!$A8="",직원목록!$F28="퇴사"),"",직원목록!$A28)</f>
        <v/>
      </c>
      <c r="B311" s="20" t="str">
        <f aca="false">IF($A311="","",직원목록!$B28)</f>
        <v/>
      </c>
      <c r="C311" s="20" t="str">
        <f aca="false">IF($A311="","",직원목록!$C28)</f>
        <v/>
      </c>
      <c r="D311" s="21" t="str">
        <f aca="false">IF($A311="","",교육과정!$A8)</f>
        <v/>
      </c>
      <c r="E311" s="20" t="str">
        <f aca="false">IF($A311="","",교육과정!$B8)</f>
        <v/>
      </c>
      <c r="F311" s="21" t="str">
        <f aca="false">IF($A311="","",교육과정!$C8)</f>
        <v/>
      </c>
      <c r="G311" s="23" t="str">
        <f aca="false">IF($A311="","",IF(COUNTIFS(이수내역!$B$3:$B$2002,$A311,이수내역!$D$3:$D$2002,$D311)=0,"",SUMPRODUCT(MAX((이수내역!$B$3:$B$2002=$A311)*(이수내역!$D$3:$D$2002=$D311)*이수내역!$A$3:$A$2002))))</f>
        <v/>
      </c>
      <c r="H311" s="23" t="str">
        <f aca="false">IF($A311="","",IF($F311="","",IF($G311="",EDATE(직원목록!$E28,$F311),EDATE($G311,$F311))))</f>
        <v/>
      </c>
      <c r="I311" s="21" t="str">
        <f aca="true">IF($H311="","",$H311-TODAY())</f>
        <v/>
      </c>
      <c r="J311" s="21" t="str">
        <f aca="false">IF($A311="","",IF($H311="","-",IF($I311&lt;0,"기한초과",IF($I311&lt;=사용안내!$C$16,"임박","정상"))))</f>
        <v/>
      </c>
    </row>
    <row r="312" customFormat="false" ht="15" hidden="false" customHeight="true" outlineLevel="0" collapsed="false">
      <c r="A312" s="20" t="str">
        <f aca="false">IF(OR(직원목록!$A28="",교육과정!$A9="",직원목록!$F28="퇴사"),"",직원목록!$A28)</f>
        <v/>
      </c>
      <c r="B312" s="20" t="str">
        <f aca="false">IF($A312="","",직원목록!$B28)</f>
        <v/>
      </c>
      <c r="C312" s="20" t="str">
        <f aca="false">IF($A312="","",직원목록!$C28)</f>
        <v/>
      </c>
      <c r="D312" s="21" t="str">
        <f aca="false">IF($A312="","",교육과정!$A9)</f>
        <v/>
      </c>
      <c r="E312" s="20" t="str">
        <f aca="false">IF($A312="","",교육과정!$B9)</f>
        <v/>
      </c>
      <c r="F312" s="21" t="str">
        <f aca="false">IF($A312="","",교육과정!$C9)</f>
        <v/>
      </c>
      <c r="G312" s="23" t="str">
        <f aca="false">IF($A312="","",IF(COUNTIFS(이수내역!$B$3:$B$2002,$A312,이수내역!$D$3:$D$2002,$D312)=0,"",SUMPRODUCT(MAX((이수내역!$B$3:$B$2002=$A312)*(이수내역!$D$3:$D$2002=$D312)*이수내역!$A$3:$A$2002))))</f>
        <v/>
      </c>
      <c r="H312" s="23" t="str">
        <f aca="false">IF($A312="","",IF($F312="","",IF($G312="",EDATE(직원목록!$E28,$F312),EDATE($G312,$F312))))</f>
        <v/>
      </c>
      <c r="I312" s="21" t="str">
        <f aca="true">IF($H312="","",$H312-TODAY())</f>
        <v/>
      </c>
      <c r="J312" s="21" t="str">
        <f aca="false">IF($A312="","",IF($H312="","-",IF($I312&lt;0,"기한초과",IF($I312&lt;=사용안내!$C$16,"임박","정상"))))</f>
        <v/>
      </c>
    </row>
    <row r="313" customFormat="false" ht="15" hidden="false" customHeight="true" outlineLevel="0" collapsed="false">
      <c r="A313" s="20" t="str">
        <f aca="false">IF(OR(직원목록!$A28="",교육과정!$A10="",직원목록!$F28="퇴사"),"",직원목록!$A28)</f>
        <v/>
      </c>
      <c r="B313" s="20" t="str">
        <f aca="false">IF($A313="","",직원목록!$B28)</f>
        <v/>
      </c>
      <c r="C313" s="20" t="str">
        <f aca="false">IF($A313="","",직원목록!$C28)</f>
        <v/>
      </c>
      <c r="D313" s="21" t="str">
        <f aca="false">IF($A313="","",교육과정!$A10)</f>
        <v/>
      </c>
      <c r="E313" s="20" t="str">
        <f aca="false">IF($A313="","",교육과정!$B10)</f>
        <v/>
      </c>
      <c r="F313" s="21" t="str">
        <f aca="false">IF($A313="","",교육과정!$C10)</f>
        <v/>
      </c>
      <c r="G313" s="23" t="str">
        <f aca="false">IF($A313="","",IF(COUNTIFS(이수내역!$B$3:$B$2002,$A313,이수내역!$D$3:$D$2002,$D313)=0,"",SUMPRODUCT(MAX((이수내역!$B$3:$B$2002=$A313)*(이수내역!$D$3:$D$2002=$D313)*이수내역!$A$3:$A$2002))))</f>
        <v/>
      </c>
      <c r="H313" s="23" t="str">
        <f aca="false">IF($A313="","",IF($F313="","",IF($G313="",EDATE(직원목록!$E28,$F313),EDATE($G313,$F313))))</f>
        <v/>
      </c>
      <c r="I313" s="21" t="str">
        <f aca="true">IF($H313="","",$H313-TODAY())</f>
        <v/>
      </c>
      <c r="J313" s="21" t="str">
        <f aca="false">IF($A313="","",IF($H313="","-",IF($I313&lt;0,"기한초과",IF($I313&lt;=사용안내!$C$16,"임박","정상"))))</f>
        <v/>
      </c>
    </row>
    <row r="314" customFormat="false" ht="15" hidden="false" customHeight="true" outlineLevel="0" collapsed="false">
      <c r="A314" s="20" t="str">
        <f aca="false">IF(OR(직원목록!$A28="",교육과정!$A11="",직원목록!$F28="퇴사"),"",직원목록!$A28)</f>
        <v/>
      </c>
      <c r="B314" s="20" t="str">
        <f aca="false">IF($A314="","",직원목록!$B28)</f>
        <v/>
      </c>
      <c r="C314" s="20" t="str">
        <f aca="false">IF($A314="","",직원목록!$C28)</f>
        <v/>
      </c>
      <c r="D314" s="21" t="str">
        <f aca="false">IF($A314="","",교육과정!$A11)</f>
        <v/>
      </c>
      <c r="E314" s="20" t="str">
        <f aca="false">IF($A314="","",교육과정!$B11)</f>
        <v/>
      </c>
      <c r="F314" s="21" t="str">
        <f aca="false">IF($A314="","",교육과정!$C11)</f>
        <v/>
      </c>
      <c r="G314" s="23" t="str">
        <f aca="false">IF($A314="","",IF(COUNTIFS(이수내역!$B$3:$B$2002,$A314,이수내역!$D$3:$D$2002,$D314)=0,"",SUMPRODUCT(MAX((이수내역!$B$3:$B$2002=$A314)*(이수내역!$D$3:$D$2002=$D314)*이수내역!$A$3:$A$2002))))</f>
        <v/>
      </c>
      <c r="H314" s="23" t="str">
        <f aca="false">IF($A314="","",IF($F314="","",IF($G314="",EDATE(직원목록!$E28,$F314),EDATE($G314,$F314))))</f>
        <v/>
      </c>
      <c r="I314" s="21" t="str">
        <f aca="true">IF($H314="","",$H314-TODAY())</f>
        <v/>
      </c>
      <c r="J314" s="21" t="str">
        <f aca="false">IF($A314="","",IF($H314="","-",IF($I314&lt;0,"기한초과",IF($I314&lt;=사용안내!$C$16,"임박","정상"))))</f>
        <v/>
      </c>
    </row>
    <row r="315" customFormat="false" ht="15" hidden="false" customHeight="true" outlineLevel="0" collapsed="false">
      <c r="A315" s="20" t="str">
        <f aca="false">IF(OR(직원목록!$A28="",교육과정!$A12="",직원목록!$F28="퇴사"),"",직원목록!$A28)</f>
        <v/>
      </c>
      <c r="B315" s="20" t="str">
        <f aca="false">IF($A315="","",직원목록!$B28)</f>
        <v/>
      </c>
      <c r="C315" s="20" t="str">
        <f aca="false">IF($A315="","",직원목록!$C28)</f>
        <v/>
      </c>
      <c r="D315" s="21" t="str">
        <f aca="false">IF($A315="","",교육과정!$A12)</f>
        <v/>
      </c>
      <c r="E315" s="20" t="str">
        <f aca="false">IF($A315="","",교육과정!$B12)</f>
        <v/>
      </c>
      <c r="F315" s="21" t="str">
        <f aca="false">IF($A315="","",교육과정!$C12)</f>
        <v/>
      </c>
      <c r="G315" s="23" t="str">
        <f aca="false">IF($A315="","",IF(COUNTIFS(이수내역!$B$3:$B$2002,$A315,이수내역!$D$3:$D$2002,$D315)=0,"",SUMPRODUCT(MAX((이수내역!$B$3:$B$2002=$A315)*(이수내역!$D$3:$D$2002=$D315)*이수내역!$A$3:$A$2002))))</f>
        <v/>
      </c>
      <c r="H315" s="23" t="str">
        <f aca="false">IF($A315="","",IF($F315="","",IF($G315="",EDATE(직원목록!$E28,$F315),EDATE($G315,$F315))))</f>
        <v/>
      </c>
      <c r="I315" s="21" t="str">
        <f aca="true">IF($H315="","",$H315-TODAY())</f>
        <v/>
      </c>
      <c r="J315" s="21" t="str">
        <f aca="false">IF($A315="","",IF($H315="","-",IF($I315&lt;0,"기한초과",IF($I315&lt;=사용안내!$C$16,"임박","정상"))))</f>
        <v/>
      </c>
    </row>
    <row r="316" customFormat="false" ht="15" hidden="false" customHeight="true" outlineLevel="0" collapsed="false">
      <c r="A316" s="20" t="str">
        <f aca="false">IF(OR(직원목록!$A28="",교육과정!$A13="",직원목록!$F28="퇴사"),"",직원목록!$A28)</f>
        <v/>
      </c>
      <c r="B316" s="20" t="str">
        <f aca="false">IF($A316="","",직원목록!$B28)</f>
        <v/>
      </c>
      <c r="C316" s="20" t="str">
        <f aca="false">IF($A316="","",직원목록!$C28)</f>
        <v/>
      </c>
      <c r="D316" s="21" t="str">
        <f aca="false">IF($A316="","",교육과정!$A13)</f>
        <v/>
      </c>
      <c r="E316" s="20" t="str">
        <f aca="false">IF($A316="","",교육과정!$B13)</f>
        <v/>
      </c>
      <c r="F316" s="21" t="str">
        <f aca="false">IF($A316="","",교육과정!$C13)</f>
        <v/>
      </c>
      <c r="G316" s="23" t="str">
        <f aca="false">IF($A316="","",IF(COUNTIFS(이수내역!$B$3:$B$2002,$A316,이수내역!$D$3:$D$2002,$D316)=0,"",SUMPRODUCT(MAX((이수내역!$B$3:$B$2002=$A316)*(이수내역!$D$3:$D$2002=$D316)*이수내역!$A$3:$A$2002))))</f>
        <v/>
      </c>
      <c r="H316" s="23" t="str">
        <f aca="false">IF($A316="","",IF($F316="","",IF($G316="",EDATE(직원목록!$E28,$F316),EDATE($G316,$F316))))</f>
        <v/>
      </c>
      <c r="I316" s="21" t="str">
        <f aca="true">IF($H316="","",$H316-TODAY())</f>
        <v/>
      </c>
      <c r="J316" s="21" t="str">
        <f aca="false">IF($A316="","",IF($H316="","-",IF($I316&lt;0,"기한초과",IF($I316&lt;=사용안내!$C$16,"임박","정상"))))</f>
        <v/>
      </c>
    </row>
    <row r="317" customFormat="false" ht="15" hidden="false" customHeight="true" outlineLevel="0" collapsed="false">
      <c r="A317" s="20" t="str">
        <f aca="false">IF(OR(직원목록!$A28="",교육과정!$A14="",직원목록!$F28="퇴사"),"",직원목록!$A28)</f>
        <v/>
      </c>
      <c r="B317" s="20" t="str">
        <f aca="false">IF($A317="","",직원목록!$B28)</f>
        <v/>
      </c>
      <c r="C317" s="20" t="str">
        <f aca="false">IF($A317="","",직원목록!$C28)</f>
        <v/>
      </c>
      <c r="D317" s="21" t="str">
        <f aca="false">IF($A317="","",교육과정!$A14)</f>
        <v/>
      </c>
      <c r="E317" s="20" t="str">
        <f aca="false">IF($A317="","",교육과정!$B14)</f>
        <v/>
      </c>
      <c r="F317" s="21" t="str">
        <f aca="false">IF($A317="","",교육과정!$C14)</f>
        <v/>
      </c>
      <c r="G317" s="23" t="str">
        <f aca="false">IF($A317="","",IF(COUNTIFS(이수내역!$B$3:$B$2002,$A317,이수내역!$D$3:$D$2002,$D317)=0,"",SUMPRODUCT(MAX((이수내역!$B$3:$B$2002=$A317)*(이수내역!$D$3:$D$2002=$D317)*이수내역!$A$3:$A$2002))))</f>
        <v/>
      </c>
      <c r="H317" s="23" t="str">
        <f aca="false">IF($A317="","",IF($F317="","",IF($G317="",EDATE(직원목록!$E28,$F317),EDATE($G317,$F317))))</f>
        <v/>
      </c>
      <c r="I317" s="21" t="str">
        <f aca="true">IF($H317="","",$H317-TODAY())</f>
        <v/>
      </c>
      <c r="J317" s="21" t="str">
        <f aca="false">IF($A317="","",IF($H317="","-",IF($I317&lt;0,"기한초과",IF($I317&lt;=사용안내!$C$16,"임박","정상"))))</f>
        <v/>
      </c>
    </row>
    <row r="318" customFormat="false" ht="15" hidden="false" customHeight="true" outlineLevel="0" collapsed="false">
      <c r="A318" s="20" t="str">
        <f aca="false">IF(OR(직원목록!$A29="",교육과정!$A3="",직원목록!$F29="퇴사"),"",직원목록!$A29)</f>
        <v/>
      </c>
      <c r="B318" s="20" t="str">
        <f aca="false">IF($A318="","",직원목록!$B29)</f>
        <v/>
      </c>
      <c r="C318" s="20" t="str">
        <f aca="false">IF($A318="","",직원목록!$C29)</f>
        <v/>
      </c>
      <c r="D318" s="21" t="str">
        <f aca="false">IF($A318="","",교육과정!$A3)</f>
        <v/>
      </c>
      <c r="E318" s="20" t="str">
        <f aca="false">IF($A318="","",교육과정!$B3)</f>
        <v/>
      </c>
      <c r="F318" s="21" t="str">
        <f aca="false">IF($A318="","",교육과정!$C3)</f>
        <v/>
      </c>
      <c r="G318" s="23" t="str">
        <f aca="false">IF($A318="","",IF(COUNTIFS(이수내역!$B$3:$B$2002,$A318,이수내역!$D$3:$D$2002,$D318)=0,"",SUMPRODUCT(MAX((이수내역!$B$3:$B$2002=$A318)*(이수내역!$D$3:$D$2002=$D318)*이수내역!$A$3:$A$2002))))</f>
        <v/>
      </c>
      <c r="H318" s="23" t="str">
        <f aca="false">IF($A318="","",IF($F318="","",IF($G318="",EDATE(직원목록!$E29,$F318),EDATE($G318,$F318))))</f>
        <v/>
      </c>
      <c r="I318" s="21" t="str">
        <f aca="true">IF($H318="","",$H318-TODAY())</f>
        <v/>
      </c>
      <c r="J318" s="21" t="str">
        <f aca="false">IF($A318="","",IF($H318="","-",IF($I318&lt;0,"기한초과",IF($I318&lt;=사용안내!$C$16,"임박","정상"))))</f>
        <v/>
      </c>
    </row>
    <row r="319" customFormat="false" ht="15" hidden="false" customHeight="true" outlineLevel="0" collapsed="false">
      <c r="A319" s="20" t="str">
        <f aca="false">IF(OR(직원목록!$A29="",교육과정!$A4="",직원목록!$F29="퇴사"),"",직원목록!$A29)</f>
        <v/>
      </c>
      <c r="B319" s="20" t="str">
        <f aca="false">IF($A319="","",직원목록!$B29)</f>
        <v/>
      </c>
      <c r="C319" s="20" t="str">
        <f aca="false">IF($A319="","",직원목록!$C29)</f>
        <v/>
      </c>
      <c r="D319" s="21" t="str">
        <f aca="false">IF($A319="","",교육과정!$A4)</f>
        <v/>
      </c>
      <c r="E319" s="20" t="str">
        <f aca="false">IF($A319="","",교육과정!$B4)</f>
        <v/>
      </c>
      <c r="F319" s="21" t="str">
        <f aca="false">IF($A319="","",교육과정!$C4)</f>
        <v/>
      </c>
      <c r="G319" s="23" t="str">
        <f aca="false">IF($A319="","",IF(COUNTIFS(이수내역!$B$3:$B$2002,$A319,이수내역!$D$3:$D$2002,$D319)=0,"",SUMPRODUCT(MAX((이수내역!$B$3:$B$2002=$A319)*(이수내역!$D$3:$D$2002=$D319)*이수내역!$A$3:$A$2002))))</f>
        <v/>
      </c>
      <c r="H319" s="23" t="str">
        <f aca="false">IF($A319="","",IF($F319="","",IF($G319="",EDATE(직원목록!$E29,$F319),EDATE($G319,$F319))))</f>
        <v/>
      </c>
      <c r="I319" s="21" t="str">
        <f aca="true">IF($H319="","",$H319-TODAY())</f>
        <v/>
      </c>
      <c r="J319" s="21" t="str">
        <f aca="false">IF($A319="","",IF($H319="","-",IF($I319&lt;0,"기한초과",IF($I319&lt;=사용안내!$C$16,"임박","정상"))))</f>
        <v/>
      </c>
    </row>
    <row r="320" customFormat="false" ht="15" hidden="false" customHeight="true" outlineLevel="0" collapsed="false">
      <c r="A320" s="20" t="str">
        <f aca="false">IF(OR(직원목록!$A29="",교육과정!$A5="",직원목록!$F29="퇴사"),"",직원목록!$A29)</f>
        <v/>
      </c>
      <c r="B320" s="20" t="str">
        <f aca="false">IF($A320="","",직원목록!$B29)</f>
        <v/>
      </c>
      <c r="C320" s="20" t="str">
        <f aca="false">IF($A320="","",직원목록!$C29)</f>
        <v/>
      </c>
      <c r="D320" s="21" t="str">
        <f aca="false">IF($A320="","",교육과정!$A5)</f>
        <v/>
      </c>
      <c r="E320" s="20" t="str">
        <f aca="false">IF($A320="","",교육과정!$B5)</f>
        <v/>
      </c>
      <c r="F320" s="21" t="str">
        <f aca="false">IF($A320="","",교육과정!$C5)</f>
        <v/>
      </c>
      <c r="G320" s="23" t="str">
        <f aca="false">IF($A320="","",IF(COUNTIFS(이수내역!$B$3:$B$2002,$A320,이수내역!$D$3:$D$2002,$D320)=0,"",SUMPRODUCT(MAX((이수내역!$B$3:$B$2002=$A320)*(이수내역!$D$3:$D$2002=$D320)*이수내역!$A$3:$A$2002))))</f>
        <v/>
      </c>
      <c r="H320" s="23" t="str">
        <f aca="false">IF($A320="","",IF($F320="","",IF($G320="",EDATE(직원목록!$E29,$F320),EDATE($G320,$F320))))</f>
        <v/>
      </c>
      <c r="I320" s="21" t="str">
        <f aca="true">IF($H320="","",$H320-TODAY())</f>
        <v/>
      </c>
      <c r="J320" s="21" t="str">
        <f aca="false">IF($A320="","",IF($H320="","-",IF($I320&lt;0,"기한초과",IF($I320&lt;=사용안내!$C$16,"임박","정상"))))</f>
        <v/>
      </c>
    </row>
    <row r="321" customFormat="false" ht="15" hidden="false" customHeight="true" outlineLevel="0" collapsed="false">
      <c r="A321" s="20" t="str">
        <f aca="false">IF(OR(직원목록!$A29="",교육과정!$A6="",직원목록!$F29="퇴사"),"",직원목록!$A29)</f>
        <v/>
      </c>
      <c r="B321" s="20" t="str">
        <f aca="false">IF($A321="","",직원목록!$B29)</f>
        <v/>
      </c>
      <c r="C321" s="20" t="str">
        <f aca="false">IF($A321="","",직원목록!$C29)</f>
        <v/>
      </c>
      <c r="D321" s="21" t="str">
        <f aca="false">IF($A321="","",교육과정!$A6)</f>
        <v/>
      </c>
      <c r="E321" s="20" t="str">
        <f aca="false">IF($A321="","",교육과정!$B6)</f>
        <v/>
      </c>
      <c r="F321" s="21" t="str">
        <f aca="false">IF($A321="","",교육과정!$C6)</f>
        <v/>
      </c>
      <c r="G321" s="23" t="str">
        <f aca="false">IF($A321="","",IF(COUNTIFS(이수내역!$B$3:$B$2002,$A321,이수내역!$D$3:$D$2002,$D321)=0,"",SUMPRODUCT(MAX((이수내역!$B$3:$B$2002=$A321)*(이수내역!$D$3:$D$2002=$D321)*이수내역!$A$3:$A$2002))))</f>
        <v/>
      </c>
      <c r="H321" s="23" t="str">
        <f aca="false">IF($A321="","",IF($F321="","",IF($G321="",EDATE(직원목록!$E29,$F321),EDATE($G321,$F321))))</f>
        <v/>
      </c>
      <c r="I321" s="21" t="str">
        <f aca="true">IF($H321="","",$H321-TODAY())</f>
        <v/>
      </c>
      <c r="J321" s="21" t="str">
        <f aca="false">IF($A321="","",IF($H321="","-",IF($I321&lt;0,"기한초과",IF($I321&lt;=사용안내!$C$16,"임박","정상"))))</f>
        <v/>
      </c>
    </row>
    <row r="322" customFormat="false" ht="15" hidden="false" customHeight="true" outlineLevel="0" collapsed="false">
      <c r="A322" s="20" t="str">
        <f aca="false">IF(OR(직원목록!$A29="",교육과정!$A7="",직원목록!$F29="퇴사"),"",직원목록!$A29)</f>
        <v/>
      </c>
      <c r="B322" s="20" t="str">
        <f aca="false">IF($A322="","",직원목록!$B29)</f>
        <v/>
      </c>
      <c r="C322" s="20" t="str">
        <f aca="false">IF($A322="","",직원목록!$C29)</f>
        <v/>
      </c>
      <c r="D322" s="21" t="str">
        <f aca="false">IF($A322="","",교육과정!$A7)</f>
        <v/>
      </c>
      <c r="E322" s="20" t="str">
        <f aca="false">IF($A322="","",교육과정!$B7)</f>
        <v/>
      </c>
      <c r="F322" s="21" t="str">
        <f aca="false">IF($A322="","",교육과정!$C7)</f>
        <v/>
      </c>
      <c r="G322" s="23" t="str">
        <f aca="false">IF($A322="","",IF(COUNTIFS(이수내역!$B$3:$B$2002,$A322,이수내역!$D$3:$D$2002,$D322)=0,"",SUMPRODUCT(MAX((이수내역!$B$3:$B$2002=$A322)*(이수내역!$D$3:$D$2002=$D322)*이수내역!$A$3:$A$2002))))</f>
        <v/>
      </c>
      <c r="H322" s="23" t="str">
        <f aca="false">IF($A322="","",IF($F322="","",IF($G322="",EDATE(직원목록!$E29,$F322),EDATE($G322,$F322))))</f>
        <v/>
      </c>
      <c r="I322" s="21" t="str">
        <f aca="true">IF($H322="","",$H322-TODAY())</f>
        <v/>
      </c>
      <c r="J322" s="21" t="str">
        <f aca="false">IF($A322="","",IF($H322="","-",IF($I322&lt;0,"기한초과",IF($I322&lt;=사용안내!$C$16,"임박","정상"))))</f>
        <v/>
      </c>
    </row>
    <row r="323" customFormat="false" ht="15" hidden="false" customHeight="true" outlineLevel="0" collapsed="false">
      <c r="A323" s="20" t="str">
        <f aca="false">IF(OR(직원목록!$A29="",교육과정!$A8="",직원목록!$F29="퇴사"),"",직원목록!$A29)</f>
        <v/>
      </c>
      <c r="B323" s="20" t="str">
        <f aca="false">IF($A323="","",직원목록!$B29)</f>
        <v/>
      </c>
      <c r="C323" s="20" t="str">
        <f aca="false">IF($A323="","",직원목록!$C29)</f>
        <v/>
      </c>
      <c r="D323" s="21" t="str">
        <f aca="false">IF($A323="","",교육과정!$A8)</f>
        <v/>
      </c>
      <c r="E323" s="20" t="str">
        <f aca="false">IF($A323="","",교육과정!$B8)</f>
        <v/>
      </c>
      <c r="F323" s="21" t="str">
        <f aca="false">IF($A323="","",교육과정!$C8)</f>
        <v/>
      </c>
      <c r="G323" s="23" t="str">
        <f aca="false">IF($A323="","",IF(COUNTIFS(이수내역!$B$3:$B$2002,$A323,이수내역!$D$3:$D$2002,$D323)=0,"",SUMPRODUCT(MAX((이수내역!$B$3:$B$2002=$A323)*(이수내역!$D$3:$D$2002=$D323)*이수내역!$A$3:$A$2002))))</f>
        <v/>
      </c>
      <c r="H323" s="23" t="str">
        <f aca="false">IF($A323="","",IF($F323="","",IF($G323="",EDATE(직원목록!$E29,$F323),EDATE($G323,$F323))))</f>
        <v/>
      </c>
      <c r="I323" s="21" t="str">
        <f aca="true">IF($H323="","",$H323-TODAY())</f>
        <v/>
      </c>
      <c r="J323" s="21" t="str">
        <f aca="false">IF($A323="","",IF($H323="","-",IF($I323&lt;0,"기한초과",IF($I323&lt;=사용안내!$C$16,"임박","정상"))))</f>
        <v/>
      </c>
    </row>
    <row r="324" customFormat="false" ht="15" hidden="false" customHeight="true" outlineLevel="0" collapsed="false">
      <c r="A324" s="20" t="str">
        <f aca="false">IF(OR(직원목록!$A29="",교육과정!$A9="",직원목록!$F29="퇴사"),"",직원목록!$A29)</f>
        <v/>
      </c>
      <c r="B324" s="20" t="str">
        <f aca="false">IF($A324="","",직원목록!$B29)</f>
        <v/>
      </c>
      <c r="C324" s="20" t="str">
        <f aca="false">IF($A324="","",직원목록!$C29)</f>
        <v/>
      </c>
      <c r="D324" s="21" t="str">
        <f aca="false">IF($A324="","",교육과정!$A9)</f>
        <v/>
      </c>
      <c r="E324" s="20" t="str">
        <f aca="false">IF($A324="","",교육과정!$B9)</f>
        <v/>
      </c>
      <c r="F324" s="21" t="str">
        <f aca="false">IF($A324="","",교육과정!$C9)</f>
        <v/>
      </c>
      <c r="G324" s="23" t="str">
        <f aca="false">IF($A324="","",IF(COUNTIFS(이수내역!$B$3:$B$2002,$A324,이수내역!$D$3:$D$2002,$D324)=0,"",SUMPRODUCT(MAX((이수내역!$B$3:$B$2002=$A324)*(이수내역!$D$3:$D$2002=$D324)*이수내역!$A$3:$A$2002))))</f>
        <v/>
      </c>
      <c r="H324" s="23" t="str">
        <f aca="false">IF($A324="","",IF($F324="","",IF($G324="",EDATE(직원목록!$E29,$F324),EDATE($G324,$F324))))</f>
        <v/>
      </c>
      <c r="I324" s="21" t="str">
        <f aca="true">IF($H324="","",$H324-TODAY())</f>
        <v/>
      </c>
      <c r="J324" s="21" t="str">
        <f aca="false">IF($A324="","",IF($H324="","-",IF($I324&lt;0,"기한초과",IF($I324&lt;=사용안내!$C$16,"임박","정상"))))</f>
        <v/>
      </c>
    </row>
    <row r="325" customFormat="false" ht="15" hidden="false" customHeight="true" outlineLevel="0" collapsed="false">
      <c r="A325" s="20" t="str">
        <f aca="false">IF(OR(직원목록!$A29="",교육과정!$A10="",직원목록!$F29="퇴사"),"",직원목록!$A29)</f>
        <v/>
      </c>
      <c r="B325" s="20" t="str">
        <f aca="false">IF($A325="","",직원목록!$B29)</f>
        <v/>
      </c>
      <c r="C325" s="20" t="str">
        <f aca="false">IF($A325="","",직원목록!$C29)</f>
        <v/>
      </c>
      <c r="D325" s="21" t="str">
        <f aca="false">IF($A325="","",교육과정!$A10)</f>
        <v/>
      </c>
      <c r="E325" s="20" t="str">
        <f aca="false">IF($A325="","",교육과정!$B10)</f>
        <v/>
      </c>
      <c r="F325" s="21" t="str">
        <f aca="false">IF($A325="","",교육과정!$C10)</f>
        <v/>
      </c>
      <c r="G325" s="23" t="str">
        <f aca="false">IF($A325="","",IF(COUNTIFS(이수내역!$B$3:$B$2002,$A325,이수내역!$D$3:$D$2002,$D325)=0,"",SUMPRODUCT(MAX((이수내역!$B$3:$B$2002=$A325)*(이수내역!$D$3:$D$2002=$D325)*이수내역!$A$3:$A$2002))))</f>
        <v/>
      </c>
      <c r="H325" s="23" t="str">
        <f aca="false">IF($A325="","",IF($F325="","",IF($G325="",EDATE(직원목록!$E29,$F325),EDATE($G325,$F325))))</f>
        <v/>
      </c>
      <c r="I325" s="21" t="str">
        <f aca="true">IF($H325="","",$H325-TODAY())</f>
        <v/>
      </c>
      <c r="J325" s="21" t="str">
        <f aca="false">IF($A325="","",IF($H325="","-",IF($I325&lt;0,"기한초과",IF($I325&lt;=사용안내!$C$16,"임박","정상"))))</f>
        <v/>
      </c>
    </row>
    <row r="326" customFormat="false" ht="15" hidden="false" customHeight="true" outlineLevel="0" collapsed="false">
      <c r="A326" s="20" t="str">
        <f aca="false">IF(OR(직원목록!$A29="",교육과정!$A11="",직원목록!$F29="퇴사"),"",직원목록!$A29)</f>
        <v/>
      </c>
      <c r="B326" s="20" t="str">
        <f aca="false">IF($A326="","",직원목록!$B29)</f>
        <v/>
      </c>
      <c r="C326" s="20" t="str">
        <f aca="false">IF($A326="","",직원목록!$C29)</f>
        <v/>
      </c>
      <c r="D326" s="21" t="str">
        <f aca="false">IF($A326="","",교육과정!$A11)</f>
        <v/>
      </c>
      <c r="E326" s="20" t="str">
        <f aca="false">IF($A326="","",교육과정!$B11)</f>
        <v/>
      </c>
      <c r="F326" s="21" t="str">
        <f aca="false">IF($A326="","",교육과정!$C11)</f>
        <v/>
      </c>
      <c r="G326" s="23" t="str">
        <f aca="false">IF($A326="","",IF(COUNTIFS(이수내역!$B$3:$B$2002,$A326,이수내역!$D$3:$D$2002,$D326)=0,"",SUMPRODUCT(MAX((이수내역!$B$3:$B$2002=$A326)*(이수내역!$D$3:$D$2002=$D326)*이수내역!$A$3:$A$2002))))</f>
        <v/>
      </c>
      <c r="H326" s="23" t="str">
        <f aca="false">IF($A326="","",IF($F326="","",IF($G326="",EDATE(직원목록!$E29,$F326),EDATE($G326,$F326))))</f>
        <v/>
      </c>
      <c r="I326" s="21" t="str">
        <f aca="true">IF($H326="","",$H326-TODAY())</f>
        <v/>
      </c>
      <c r="J326" s="21" t="str">
        <f aca="false">IF($A326="","",IF($H326="","-",IF($I326&lt;0,"기한초과",IF($I326&lt;=사용안내!$C$16,"임박","정상"))))</f>
        <v/>
      </c>
    </row>
    <row r="327" customFormat="false" ht="15" hidden="false" customHeight="true" outlineLevel="0" collapsed="false">
      <c r="A327" s="20" t="str">
        <f aca="false">IF(OR(직원목록!$A29="",교육과정!$A12="",직원목록!$F29="퇴사"),"",직원목록!$A29)</f>
        <v/>
      </c>
      <c r="B327" s="20" t="str">
        <f aca="false">IF($A327="","",직원목록!$B29)</f>
        <v/>
      </c>
      <c r="C327" s="20" t="str">
        <f aca="false">IF($A327="","",직원목록!$C29)</f>
        <v/>
      </c>
      <c r="D327" s="21" t="str">
        <f aca="false">IF($A327="","",교육과정!$A12)</f>
        <v/>
      </c>
      <c r="E327" s="20" t="str">
        <f aca="false">IF($A327="","",교육과정!$B12)</f>
        <v/>
      </c>
      <c r="F327" s="21" t="str">
        <f aca="false">IF($A327="","",교육과정!$C12)</f>
        <v/>
      </c>
      <c r="G327" s="23" t="str">
        <f aca="false">IF($A327="","",IF(COUNTIFS(이수내역!$B$3:$B$2002,$A327,이수내역!$D$3:$D$2002,$D327)=0,"",SUMPRODUCT(MAX((이수내역!$B$3:$B$2002=$A327)*(이수내역!$D$3:$D$2002=$D327)*이수내역!$A$3:$A$2002))))</f>
        <v/>
      </c>
      <c r="H327" s="23" t="str">
        <f aca="false">IF($A327="","",IF($F327="","",IF($G327="",EDATE(직원목록!$E29,$F327),EDATE($G327,$F327))))</f>
        <v/>
      </c>
      <c r="I327" s="21" t="str">
        <f aca="true">IF($H327="","",$H327-TODAY())</f>
        <v/>
      </c>
      <c r="J327" s="21" t="str">
        <f aca="false">IF($A327="","",IF($H327="","-",IF($I327&lt;0,"기한초과",IF($I327&lt;=사용안내!$C$16,"임박","정상"))))</f>
        <v/>
      </c>
    </row>
    <row r="328" customFormat="false" ht="15" hidden="false" customHeight="true" outlineLevel="0" collapsed="false">
      <c r="A328" s="20" t="str">
        <f aca="false">IF(OR(직원목록!$A29="",교육과정!$A13="",직원목록!$F29="퇴사"),"",직원목록!$A29)</f>
        <v/>
      </c>
      <c r="B328" s="20" t="str">
        <f aca="false">IF($A328="","",직원목록!$B29)</f>
        <v/>
      </c>
      <c r="C328" s="20" t="str">
        <f aca="false">IF($A328="","",직원목록!$C29)</f>
        <v/>
      </c>
      <c r="D328" s="21" t="str">
        <f aca="false">IF($A328="","",교육과정!$A13)</f>
        <v/>
      </c>
      <c r="E328" s="20" t="str">
        <f aca="false">IF($A328="","",교육과정!$B13)</f>
        <v/>
      </c>
      <c r="F328" s="21" t="str">
        <f aca="false">IF($A328="","",교육과정!$C13)</f>
        <v/>
      </c>
      <c r="G328" s="23" t="str">
        <f aca="false">IF($A328="","",IF(COUNTIFS(이수내역!$B$3:$B$2002,$A328,이수내역!$D$3:$D$2002,$D328)=0,"",SUMPRODUCT(MAX((이수내역!$B$3:$B$2002=$A328)*(이수내역!$D$3:$D$2002=$D328)*이수내역!$A$3:$A$2002))))</f>
        <v/>
      </c>
      <c r="H328" s="23" t="str">
        <f aca="false">IF($A328="","",IF($F328="","",IF($G328="",EDATE(직원목록!$E29,$F328),EDATE($G328,$F328))))</f>
        <v/>
      </c>
      <c r="I328" s="21" t="str">
        <f aca="true">IF($H328="","",$H328-TODAY())</f>
        <v/>
      </c>
      <c r="J328" s="21" t="str">
        <f aca="false">IF($A328="","",IF($H328="","-",IF($I328&lt;0,"기한초과",IF($I328&lt;=사용안내!$C$16,"임박","정상"))))</f>
        <v/>
      </c>
    </row>
    <row r="329" customFormat="false" ht="15" hidden="false" customHeight="true" outlineLevel="0" collapsed="false">
      <c r="A329" s="20" t="str">
        <f aca="false">IF(OR(직원목록!$A29="",교육과정!$A14="",직원목록!$F29="퇴사"),"",직원목록!$A29)</f>
        <v/>
      </c>
      <c r="B329" s="20" t="str">
        <f aca="false">IF($A329="","",직원목록!$B29)</f>
        <v/>
      </c>
      <c r="C329" s="20" t="str">
        <f aca="false">IF($A329="","",직원목록!$C29)</f>
        <v/>
      </c>
      <c r="D329" s="21" t="str">
        <f aca="false">IF($A329="","",교육과정!$A14)</f>
        <v/>
      </c>
      <c r="E329" s="20" t="str">
        <f aca="false">IF($A329="","",교육과정!$B14)</f>
        <v/>
      </c>
      <c r="F329" s="21" t="str">
        <f aca="false">IF($A329="","",교육과정!$C14)</f>
        <v/>
      </c>
      <c r="G329" s="23" t="str">
        <f aca="false">IF($A329="","",IF(COUNTIFS(이수내역!$B$3:$B$2002,$A329,이수내역!$D$3:$D$2002,$D329)=0,"",SUMPRODUCT(MAX((이수내역!$B$3:$B$2002=$A329)*(이수내역!$D$3:$D$2002=$D329)*이수내역!$A$3:$A$2002))))</f>
        <v/>
      </c>
      <c r="H329" s="23" t="str">
        <f aca="false">IF($A329="","",IF($F329="","",IF($G329="",EDATE(직원목록!$E29,$F329),EDATE($G329,$F329))))</f>
        <v/>
      </c>
      <c r="I329" s="21" t="str">
        <f aca="true">IF($H329="","",$H329-TODAY())</f>
        <v/>
      </c>
      <c r="J329" s="21" t="str">
        <f aca="false">IF($A329="","",IF($H329="","-",IF($I329&lt;0,"기한초과",IF($I329&lt;=사용안내!$C$16,"임박","정상"))))</f>
        <v/>
      </c>
    </row>
    <row r="330" customFormat="false" ht="15" hidden="false" customHeight="true" outlineLevel="0" collapsed="false">
      <c r="A330" s="20" t="str">
        <f aca="false">IF(OR(직원목록!$A30="",교육과정!$A3="",직원목록!$F30="퇴사"),"",직원목록!$A30)</f>
        <v/>
      </c>
      <c r="B330" s="20" t="str">
        <f aca="false">IF($A330="","",직원목록!$B30)</f>
        <v/>
      </c>
      <c r="C330" s="20" t="str">
        <f aca="false">IF($A330="","",직원목록!$C30)</f>
        <v/>
      </c>
      <c r="D330" s="21" t="str">
        <f aca="false">IF($A330="","",교육과정!$A3)</f>
        <v/>
      </c>
      <c r="E330" s="20" t="str">
        <f aca="false">IF($A330="","",교육과정!$B3)</f>
        <v/>
      </c>
      <c r="F330" s="21" t="str">
        <f aca="false">IF($A330="","",교육과정!$C3)</f>
        <v/>
      </c>
      <c r="G330" s="23" t="str">
        <f aca="false">IF($A330="","",IF(COUNTIFS(이수내역!$B$3:$B$2002,$A330,이수내역!$D$3:$D$2002,$D330)=0,"",SUMPRODUCT(MAX((이수내역!$B$3:$B$2002=$A330)*(이수내역!$D$3:$D$2002=$D330)*이수내역!$A$3:$A$2002))))</f>
        <v/>
      </c>
      <c r="H330" s="23" t="str">
        <f aca="false">IF($A330="","",IF($F330="","",IF($G330="",EDATE(직원목록!$E30,$F330),EDATE($G330,$F330))))</f>
        <v/>
      </c>
      <c r="I330" s="21" t="str">
        <f aca="true">IF($H330="","",$H330-TODAY())</f>
        <v/>
      </c>
      <c r="J330" s="21" t="str">
        <f aca="false">IF($A330="","",IF($H330="","-",IF($I330&lt;0,"기한초과",IF($I330&lt;=사용안내!$C$16,"임박","정상"))))</f>
        <v/>
      </c>
    </row>
    <row r="331" customFormat="false" ht="15" hidden="false" customHeight="true" outlineLevel="0" collapsed="false">
      <c r="A331" s="20" t="str">
        <f aca="false">IF(OR(직원목록!$A30="",교육과정!$A4="",직원목록!$F30="퇴사"),"",직원목록!$A30)</f>
        <v/>
      </c>
      <c r="B331" s="20" t="str">
        <f aca="false">IF($A331="","",직원목록!$B30)</f>
        <v/>
      </c>
      <c r="C331" s="20" t="str">
        <f aca="false">IF($A331="","",직원목록!$C30)</f>
        <v/>
      </c>
      <c r="D331" s="21" t="str">
        <f aca="false">IF($A331="","",교육과정!$A4)</f>
        <v/>
      </c>
      <c r="E331" s="20" t="str">
        <f aca="false">IF($A331="","",교육과정!$B4)</f>
        <v/>
      </c>
      <c r="F331" s="21" t="str">
        <f aca="false">IF($A331="","",교육과정!$C4)</f>
        <v/>
      </c>
      <c r="G331" s="23" t="str">
        <f aca="false">IF($A331="","",IF(COUNTIFS(이수내역!$B$3:$B$2002,$A331,이수내역!$D$3:$D$2002,$D331)=0,"",SUMPRODUCT(MAX((이수내역!$B$3:$B$2002=$A331)*(이수내역!$D$3:$D$2002=$D331)*이수내역!$A$3:$A$2002))))</f>
        <v/>
      </c>
      <c r="H331" s="23" t="str">
        <f aca="false">IF($A331="","",IF($F331="","",IF($G331="",EDATE(직원목록!$E30,$F331),EDATE($G331,$F331))))</f>
        <v/>
      </c>
      <c r="I331" s="21" t="str">
        <f aca="true">IF($H331="","",$H331-TODAY())</f>
        <v/>
      </c>
      <c r="J331" s="21" t="str">
        <f aca="false">IF($A331="","",IF($H331="","-",IF($I331&lt;0,"기한초과",IF($I331&lt;=사용안내!$C$16,"임박","정상"))))</f>
        <v/>
      </c>
    </row>
    <row r="332" customFormat="false" ht="15" hidden="false" customHeight="true" outlineLevel="0" collapsed="false">
      <c r="A332" s="20" t="str">
        <f aca="false">IF(OR(직원목록!$A30="",교육과정!$A5="",직원목록!$F30="퇴사"),"",직원목록!$A30)</f>
        <v/>
      </c>
      <c r="B332" s="20" t="str">
        <f aca="false">IF($A332="","",직원목록!$B30)</f>
        <v/>
      </c>
      <c r="C332" s="20" t="str">
        <f aca="false">IF($A332="","",직원목록!$C30)</f>
        <v/>
      </c>
      <c r="D332" s="21" t="str">
        <f aca="false">IF($A332="","",교육과정!$A5)</f>
        <v/>
      </c>
      <c r="E332" s="20" t="str">
        <f aca="false">IF($A332="","",교육과정!$B5)</f>
        <v/>
      </c>
      <c r="F332" s="21" t="str">
        <f aca="false">IF($A332="","",교육과정!$C5)</f>
        <v/>
      </c>
      <c r="G332" s="23" t="str">
        <f aca="false">IF($A332="","",IF(COUNTIFS(이수내역!$B$3:$B$2002,$A332,이수내역!$D$3:$D$2002,$D332)=0,"",SUMPRODUCT(MAX((이수내역!$B$3:$B$2002=$A332)*(이수내역!$D$3:$D$2002=$D332)*이수내역!$A$3:$A$2002))))</f>
        <v/>
      </c>
      <c r="H332" s="23" t="str">
        <f aca="false">IF($A332="","",IF($F332="","",IF($G332="",EDATE(직원목록!$E30,$F332),EDATE($G332,$F332))))</f>
        <v/>
      </c>
      <c r="I332" s="21" t="str">
        <f aca="true">IF($H332="","",$H332-TODAY())</f>
        <v/>
      </c>
      <c r="J332" s="21" t="str">
        <f aca="false">IF($A332="","",IF($H332="","-",IF($I332&lt;0,"기한초과",IF($I332&lt;=사용안내!$C$16,"임박","정상"))))</f>
        <v/>
      </c>
    </row>
    <row r="333" customFormat="false" ht="15" hidden="false" customHeight="true" outlineLevel="0" collapsed="false">
      <c r="A333" s="20" t="str">
        <f aca="false">IF(OR(직원목록!$A30="",교육과정!$A6="",직원목록!$F30="퇴사"),"",직원목록!$A30)</f>
        <v/>
      </c>
      <c r="B333" s="20" t="str">
        <f aca="false">IF($A333="","",직원목록!$B30)</f>
        <v/>
      </c>
      <c r="C333" s="20" t="str">
        <f aca="false">IF($A333="","",직원목록!$C30)</f>
        <v/>
      </c>
      <c r="D333" s="21" t="str">
        <f aca="false">IF($A333="","",교육과정!$A6)</f>
        <v/>
      </c>
      <c r="E333" s="20" t="str">
        <f aca="false">IF($A333="","",교육과정!$B6)</f>
        <v/>
      </c>
      <c r="F333" s="21" t="str">
        <f aca="false">IF($A333="","",교육과정!$C6)</f>
        <v/>
      </c>
      <c r="G333" s="23" t="str">
        <f aca="false">IF($A333="","",IF(COUNTIFS(이수내역!$B$3:$B$2002,$A333,이수내역!$D$3:$D$2002,$D333)=0,"",SUMPRODUCT(MAX((이수내역!$B$3:$B$2002=$A333)*(이수내역!$D$3:$D$2002=$D333)*이수내역!$A$3:$A$2002))))</f>
        <v/>
      </c>
      <c r="H333" s="23" t="str">
        <f aca="false">IF($A333="","",IF($F333="","",IF($G333="",EDATE(직원목록!$E30,$F333),EDATE($G333,$F333))))</f>
        <v/>
      </c>
      <c r="I333" s="21" t="str">
        <f aca="true">IF($H333="","",$H333-TODAY())</f>
        <v/>
      </c>
      <c r="J333" s="21" t="str">
        <f aca="false">IF($A333="","",IF($H333="","-",IF($I333&lt;0,"기한초과",IF($I333&lt;=사용안내!$C$16,"임박","정상"))))</f>
        <v/>
      </c>
    </row>
    <row r="334" customFormat="false" ht="15" hidden="false" customHeight="true" outlineLevel="0" collapsed="false">
      <c r="A334" s="20" t="str">
        <f aca="false">IF(OR(직원목록!$A30="",교육과정!$A7="",직원목록!$F30="퇴사"),"",직원목록!$A30)</f>
        <v/>
      </c>
      <c r="B334" s="20" t="str">
        <f aca="false">IF($A334="","",직원목록!$B30)</f>
        <v/>
      </c>
      <c r="C334" s="20" t="str">
        <f aca="false">IF($A334="","",직원목록!$C30)</f>
        <v/>
      </c>
      <c r="D334" s="21" t="str">
        <f aca="false">IF($A334="","",교육과정!$A7)</f>
        <v/>
      </c>
      <c r="E334" s="20" t="str">
        <f aca="false">IF($A334="","",교육과정!$B7)</f>
        <v/>
      </c>
      <c r="F334" s="21" t="str">
        <f aca="false">IF($A334="","",교육과정!$C7)</f>
        <v/>
      </c>
      <c r="G334" s="23" t="str">
        <f aca="false">IF($A334="","",IF(COUNTIFS(이수내역!$B$3:$B$2002,$A334,이수내역!$D$3:$D$2002,$D334)=0,"",SUMPRODUCT(MAX((이수내역!$B$3:$B$2002=$A334)*(이수내역!$D$3:$D$2002=$D334)*이수내역!$A$3:$A$2002))))</f>
        <v/>
      </c>
      <c r="H334" s="23" t="str">
        <f aca="false">IF($A334="","",IF($F334="","",IF($G334="",EDATE(직원목록!$E30,$F334),EDATE($G334,$F334))))</f>
        <v/>
      </c>
      <c r="I334" s="21" t="str">
        <f aca="true">IF($H334="","",$H334-TODAY())</f>
        <v/>
      </c>
      <c r="J334" s="21" t="str">
        <f aca="false">IF($A334="","",IF($H334="","-",IF($I334&lt;0,"기한초과",IF($I334&lt;=사용안내!$C$16,"임박","정상"))))</f>
        <v/>
      </c>
    </row>
    <row r="335" customFormat="false" ht="15" hidden="false" customHeight="true" outlineLevel="0" collapsed="false">
      <c r="A335" s="20" t="str">
        <f aca="false">IF(OR(직원목록!$A30="",교육과정!$A8="",직원목록!$F30="퇴사"),"",직원목록!$A30)</f>
        <v/>
      </c>
      <c r="B335" s="20" t="str">
        <f aca="false">IF($A335="","",직원목록!$B30)</f>
        <v/>
      </c>
      <c r="C335" s="20" t="str">
        <f aca="false">IF($A335="","",직원목록!$C30)</f>
        <v/>
      </c>
      <c r="D335" s="21" t="str">
        <f aca="false">IF($A335="","",교육과정!$A8)</f>
        <v/>
      </c>
      <c r="E335" s="20" t="str">
        <f aca="false">IF($A335="","",교육과정!$B8)</f>
        <v/>
      </c>
      <c r="F335" s="21" t="str">
        <f aca="false">IF($A335="","",교육과정!$C8)</f>
        <v/>
      </c>
      <c r="G335" s="23" t="str">
        <f aca="false">IF($A335="","",IF(COUNTIFS(이수내역!$B$3:$B$2002,$A335,이수내역!$D$3:$D$2002,$D335)=0,"",SUMPRODUCT(MAX((이수내역!$B$3:$B$2002=$A335)*(이수내역!$D$3:$D$2002=$D335)*이수내역!$A$3:$A$2002))))</f>
        <v/>
      </c>
      <c r="H335" s="23" t="str">
        <f aca="false">IF($A335="","",IF($F335="","",IF($G335="",EDATE(직원목록!$E30,$F335),EDATE($G335,$F335))))</f>
        <v/>
      </c>
      <c r="I335" s="21" t="str">
        <f aca="true">IF($H335="","",$H335-TODAY())</f>
        <v/>
      </c>
      <c r="J335" s="21" t="str">
        <f aca="false">IF($A335="","",IF($H335="","-",IF($I335&lt;0,"기한초과",IF($I335&lt;=사용안내!$C$16,"임박","정상"))))</f>
        <v/>
      </c>
    </row>
    <row r="336" customFormat="false" ht="15" hidden="false" customHeight="true" outlineLevel="0" collapsed="false">
      <c r="A336" s="20" t="str">
        <f aca="false">IF(OR(직원목록!$A30="",교육과정!$A9="",직원목록!$F30="퇴사"),"",직원목록!$A30)</f>
        <v/>
      </c>
      <c r="B336" s="20" t="str">
        <f aca="false">IF($A336="","",직원목록!$B30)</f>
        <v/>
      </c>
      <c r="C336" s="20" t="str">
        <f aca="false">IF($A336="","",직원목록!$C30)</f>
        <v/>
      </c>
      <c r="D336" s="21" t="str">
        <f aca="false">IF($A336="","",교육과정!$A9)</f>
        <v/>
      </c>
      <c r="E336" s="20" t="str">
        <f aca="false">IF($A336="","",교육과정!$B9)</f>
        <v/>
      </c>
      <c r="F336" s="21" t="str">
        <f aca="false">IF($A336="","",교육과정!$C9)</f>
        <v/>
      </c>
      <c r="G336" s="23" t="str">
        <f aca="false">IF($A336="","",IF(COUNTIFS(이수내역!$B$3:$B$2002,$A336,이수내역!$D$3:$D$2002,$D336)=0,"",SUMPRODUCT(MAX((이수내역!$B$3:$B$2002=$A336)*(이수내역!$D$3:$D$2002=$D336)*이수내역!$A$3:$A$2002))))</f>
        <v/>
      </c>
      <c r="H336" s="23" t="str">
        <f aca="false">IF($A336="","",IF($F336="","",IF($G336="",EDATE(직원목록!$E30,$F336),EDATE($G336,$F336))))</f>
        <v/>
      </c>
      <c r="I336" s="21" t="str">
        <f aca="true">IF($H336="","",$H336-TODAY())</f>
        <v/>
      </c>
      <c r="J336" s="21" t="str">
        <f aca="false">IF($A336="","",IF($H336="","-",IF($I336&lt;0,"기한초과",IF($I336&lt;=사용안내!$C$16,"임박","정상"))))</f>
        <v/>
      </c>
    </row>
    <row r="337" customFormat="false" ht="15" hidden="false" customHeight="true" outlineLevel="0" collapsed="false">
      <c r="A337" s="20" t="str">
        <f aca="false">IF(OR(직원목록!$A30="",교육과정!$A10="",직원목록!$F30="퇴사"),"",직원목록!$A30)</f>
        <v/>
      </c>
      <c r="B337" s="20" t="str">
        <f aca="false">IF($A337="","",직원목록!$B30)</f>
        <v/>
      </c>
      <c r="C337" s="20" t="str">
        <f aca="false">IF($A337="","",직원목록!$C30)</f>
        <v/>
      </c>
      <c r="D337" s="21" t="str">
        <f aca="false">IF($A337="","",교육과정!$A10)</f>
        <v/>
      </c>
      <c r="E337" s="20" t="str">
        <f aca="false">IF($A337="","",교육과정!$B10)</f>
        <v/>
      </c>
      <c r="F337" s="21" t="str">
        <f aca="false">IF($A337="","",교육과정!$C10)</f>
        <v/>
      </c>
      <c r="G337" s="23" t="str">
        <f aca="false">IF($A337="","",IF(COUNTIFS(이수내역!$B$3:$B$2002,$A337,이수내역!$D$3:$D$2002,$D337)=0,"",SUMPRODUCT(MAX((이수내역!$B$3:$B$2002=$A337)*(이수내역!$D$3:$D$2002=$D337)*이수내역!$A$3:$A$2002))))</f>
        <v/>
      </c>
      <c r="H337" s="23" t="str">
        <f aca="false">IF($A337="","",IF($F337="","",IF($G337="",EDATE(직원목록!$E30,$F337),EDATE($G337,$F337))))</f>
        <v/>
      </c>
      <c r="I337" s="21" t="str">
        <f aca="true">IF($H337="","",$H337-TODAY())</f>
        <v/>
      </c>
      <c r="J337" s="21" t="str">
        <f aca="false">IF($A337="","",IF($H337="","-",IF($I337&lt;0,"기한초과",IF($I337&lt;=사용안내!$C$16,"임박","정상"))))</f>
        <v/>
      </c>
    </row>
    <row r="338" customFormat="false" ht="15" hidden="false" customHeight="true" outlineLevel="0" collapsed="false">
      <c r="A338" s="20" t="str">
        <f aca="false">IF(OR(직원목록!$A30="",교육과정!$A11="",직원목록!$F30="퇴사"),"",직원목록!$A30)</f>
        <v/>
      </c>
      <c r="B338" s="20" t="str">
        <f aca="false">IF($A338="","",직원목록!$B30)</f>
        <v/>
      </c>
      <c r="C338" s="20" t="str">
        <f aca="false">IF($A338="","",직원목록!$C30)</f>
        <v/>
      </c>
      <c r="D338" s="21" t="str">
        <f aca="false">IF($A338="","",교육과정!$A11)</f>
        <v/>
      </c>
      <c r="E338" s="20" t="str">
        <f aca="false">IF($A338="","",교육과정!$B11)</f>
        <v/>
      </c>
      <c r="F338" s="21" t="str">
        <f aca="false">IF($A338="","",교육과정!$C11)</f>
        <v/>
      </c>
      <c r="G338" s="23" t="str">
        <f aca="false">IF($A338="","",IF(COUNTIFS(이수내역!$B$3:$B$2002,$A338,이수내역!$D$3:$D$2002,$D338)=0,"",SUMPRODUCT(MAX((이수내역!$B$3:$B$2002=$A338)*(이수내역!$D$3:$D$2002=$D338)*이수내역!$A$3:$A$2002))))</f>
        <v/>
      </c>
      <c r="H338" s="23" t="str">
        <f aca="false">IF($A338="","",IF($F338="","",IF($G338="",EDATE(직원목록!$E30,$F338),EDATE($G338,$F338))))</f>
        <v/>
      </c>
      <c r="I338" s="21" t="str">
        <f aca="true">IF($H338="","",$H338-TODAY())</f>
        <v/>
      </c>
      <c r="J338" s="21" t="str">
        <f aca="false">IF($A338="","",IF($H338="","-",IF($I338&lt;0,"기한초과",IF($I338&lt;=사용안내!$C$16,"임박","정상"))))</f>
        <v/>
      </c>
    </row>
    <row r="339" customFormat="false" ht="15" hidden="false" customHeight="true" outlineLevel="0" collapsed="false">
      <c r="A339" s="20" t="str">
        <f aca="false">IF(OR(직원목록!$A30="",교육과정!$A12="",직원목록!$F30="퇴사"),"",직원목록!$A30)</f>
        <v/>
      </c>
      <c r="B339" s="20" t="str">
        <f aca="false">IF($A339="","",직원목록!$B30)</f>
        <v/>
      </c>
      <c r="C339" s="20" t="str">
        <f aca="false">IF($A339="","",직원목록!$C30)</f>
        <v/>
      </c>
      <c r="D339" s="21" t="str">
        <f aca="false">IF($A339="","",교육과정!$A12)</f>
        <v/>
      </c>
      <c r="E339" s="20" t="str">
        <f aca="false">IF($A339="","",교육과정!$B12)</f>
        <v/>
      </c>
      <c r="F339" s="21" t="str">
        <f aca="false">IF($A339="","",교육과정!$C12)</f>
        <v/>
      </c>
      <c r="G339" s="23" t="str">
        <f aca="false">IF($A339="","",IF(COUNTIFS(이수내역!$B$3:$B$2002,$A339,이수내역!$D$3:$D$2002,$D339)=0,"",SUMPRODUCT(MAX((이수내역!$B$3:$B$2002=$A339)*(이수내역!$D$3:$D$2002=$D339)*이수내역!$A$3:$A$2002))))</f>
        <v/>
      </c>
      <c r="H339" s="23" t="str">
        <f aca="false">IF($A339="","",IF($F339="","",IF($G339="",EDATE(직원목록!$E30,$F339),EDATE($G339,$F339))))</f>
        <v/>
      </c>
      <c r="I339" s="21" t="str">
        <f aca="true">IF($H339="","",$H339-TODAY())</f>
        <v/>
      </c>
      <c r="J339" s="21" t="str">
        <f aca="false">IF($A339="","",IF($H339="","-",IF($I339&lt;0,"기한초과",IF($I339&lt;=사용안내!$C$16,"임박","정상"))))</f>
        <v/>
      </c>
    </row>
    <row r="340" customFormat="false" ht="15" hidden="false" customHeight="true" outlineLevel="0" collapsed="false">
      <c r="A340" s="20" t="str">
        <f aca="false">IF(OR(직원목록!$A30="",교육과정!$A13="",직원목록!$F30="퇴사"),"",직원목록!$A30)</f>
        <v/>
      </c>
      <c r="B340" s="20" t="str">
        <f aca="false">IF($A340="","",직원목록!$B30)</f>
        <v/>
      </c>
      <c r="C340" s="20" t="str">
        <f aca="false">IF($A340="","",직원목록!$C30)</f>
        <v/>
      </c>
      <c r="D340" s="21" t="str">
        <f aca="false">IF($A340="","",교육과정!$A13)</f>
        <v/>
      </c>
      <c r="E340" s="20" t="str">
        <f aca="false">IF($A340="","",교육과정!$B13)</f>
        <v/>
      </c>
      <c r="F340" s="21" t="str">
        <f aca="false">IF($A340="","",교육과정!$C13)</f>
        <v/>
      </c>
      <c r="G340" s="23" t="str">
        <f aca="false">IF($A340="","",IF(COUNTIFS(이수내역!$B$3:$B$2002,$A340,이수내역!$D$3:$D$2002,$D340)=0,"",SUMPRODUCT(MAX((이수내역!$B$3:$B$2002=$A340)*(이수내역!$D$3:$D$2002=$D340)*이수내역!$A$3:$A$2002))))</f>
        <v/>
      </c>
      <c r="H340" s="23" t="str">
        <f aca="false">IF($A340="","",IF($F340="","",IF($G340="",EDATE(직원목록!$E30,$F340),EDATE($G340,$F340))))</f>
        <v/>
      </c>
      <c r="I340" s="21" t="str">
        <f aca="true">IF($H340="","",$H340-TODAY())</f>
        <v/>
      </c>
      <c r="J340" s="21" t="str">
        <f aca="false">IF($A340="","",IF($H340="","-",IF($I340&lt;0,"기한초과",IF($I340&lt;=사용안내!$C$16,"임박","정상"))))</f>
        <v/>
      </c>
    </row>
    <row r="341" customFormat="false" ht="15" hidden="false" customHeight="true" outlineLevel="0" collapsed="false">
      <c r="A341" s="20" t="str">
        <f aca="false">IF(OR(직원목록!$A30="",교육과정!$A14="",직원목록!$F30="퇴사"),"",직원목록!$A30)</f>
        <v/>
      </c>
      <c r="B341" s="20" t="str">
        <f aca="false">IF($A341="","",직원목록!$B30)</f>
        <v/>
      </c>
      <c r="C341" s="20" t="str">
        <f aca="false">IF($A341="","",직원목록!$C30)</f>
        <v/>
      </c>
      <c r="D341" s="21" t="str">
        <f aca="false">IF($A341="","",교육과정!$A14)</f>
        <v/>
      </c>
      <c r="E341" s="20" t="str">
        <f aca="false">IF($A341="","",교육과정!$B14)</f>
        <v/>
      </c>
      <c r="F341" s="21" t="str">
        <f aca="false">IF($A341="","",교육과정!$C14)</f>
        <v/>
      </c>
      <c r="G341" s="23" t="str">
        <f aca="false">IF($A341="","",IF(COUNTIFS(이수내역!$B$3:$B$2002,$A341,이수내역!$D$3:$D$2002,$D341)=0,"",SUMPRODUCT(MAX((이수내역!$B$3:$B$2002=$A341)*(이수내역!$D$3:$D$2002=$D341)*이수내역!$A$3:$A$2002))))</f>
        <v/>
      </c>
      <c r="H341" s="23" t="str">
        <f aca="false">IF($A341="","",IF($F341="","",IF($G341="",EDATE(직원목록!$E30,$F341),EDATE($G341,$F341))))</f>
        <v/>
      </c>
      <c r="I341" s="21" t="str">
        <f aca="true">IF($H341="","",$H341-TODAY())</f>
        <v/>
      </c>
      <c r="J341" s="21" t="str">
        <f aca="false">IF($A341="","",IF($H341="","-",IF($I341&lt;0,"기한초과",IF($I341&lt;=사용안내!$C$16,"임박","정상"))))</f>
        <v/>
      </c>
    </row>
    <row r="342" customFormat="false" ht="15" hidden="false" customHeight="true" outlineLevel="0" collapsed="false">
      <c r="A342" s="20" t="str">
        <f aca="false">IF(OR(직원목록!$A31="",교육과정!$A3="",직원목록!$F31="퇴사"),"",직원목록!$A31)</f>
        <v/>
      </c>
      <c r="B342" s="20" t="str">
        <f aca="false">IF($A342="","",직원목록!$B31)</f>
        <v/>
      </c>
      <c r="C342" s="20" t="str">
        <f aca="false">IF($A342="","",직원목록!$C31)</f>
        <v/>
      </c>
      <c r="D342" s="21" t="str">
        <f aca="false">IF($A342="","",교육과정!$A3)</f>
        <v/>
      </c>
      <c r="E342" s="20" t="str">
        <f aca="false">IF($A342="","",교육과정!$B3)</f>
        <v/>
      </c>
      <c r="F342" s="21" t="str">
        <f aca="false">IF($A342="","",교육과정!$C3)</f>
        <v/>
      </c>
      <c r="G342" s="23" t="str">
        <f aca="false">IF($A342="","",IF(COUNTIFS(이수내역!$B$3:$B$2002,$A342,이수내역!$D$3:$D$2002,$D342)=0,"",SUMPRODUCT(MAX((이수내역!$B$3:$B$2002=$A342)*(이수내역!$D$3:$D$2002=$D342)*이수내역!$A$3:$A$2002))))</f>
        <v/>
      </c>
      <c r="H342" s="23" t="str">
        <f aca="false">IF($A342="","",IF($F342="","",IF($G342="",EDATE(직원목록!$E31,$F342),EDATE($G342,$F342))))</f>
        <v/>
      </c>
      <c r="I342" s="21" t="str">
        <f aca="true">IF($H342="","",$H342-TODAY())</f>
        <v/>
      </c>
      <c r="J342" s="21" t="str">
        <f aca="false">IF($A342="","",IF($H342="","-",IF($I342&lt;0,"기한초과",IF($I342&lt;=사용안내!$C$16,"임박","정상"))))</f>
        <v/>
      </c>
    </row>
    <row r="343" customFormat="false" ht="15" hidden="false" customHeight="true" outlineLevel="0" collapsed="false">
      <c r="A343" s="20" t="str">
        <f aca="false">IF(OR(직원목록!$A31="",교육과정!$A4="",직원목록!$F31="퇴사"),"",직원목록!$A31)</f>
        <v/>
      </c>
      <c r="B343" s="20" t="str">
        <f aca="false">IF($A343="","",직원목록!$B31)</f>
        <v/>
      </c>
      <c r="C343" s="20" t="str">
        <f aca="false">IF($A343="","",직원목록!$C31)</f>
        <v/>
      </c>
      <c r="D343" s="21" t="str">
        <f aca="false">IF($A343="","",교육과정!$A4)</f>
        <v/>
      </c>
      <c r="E343" s="20" t="str">
        <f aca="false">IF($A343="","",교육과정!$B4)</f>
        <v/>
      </c>
      <c r="F343" s="21" t="str">
        <f aca="false">IF($A343="","",교육과정!$C4)</f>
        <v/>
      </c>
      <c r="G343" s="23" t="str">
        <f aca="false">IF($A343="","",IF(COUNTIFS(이수내역!$B$3:$B$2002,$A343,이수내역!$D$3:$D$2002,$D343)=0,"",SUMPRODUCT(MAX((이수내역!$B$3:$B$2002=$A343)*(이수내역!$D$3:$D$2002=$D343)*이수내역!$A$3:$A$2002))))</f>
        <v/>
      </c>
      <c r="H343" s="23" t="str">
        <f aca="false">IF($A343="","",IF($F343="","",IF($G343="",EDATE(직원목록!$E31,$F343),EDATE($G343,$F343))))</f>
        <v/>
      </c>
      <c r="I343" s="21" t="str">
        <f aca="true">IF($H343="","",$H343-TODAY())</f>
        <v/>
      </c>
      <c r="J343" s="21" t="str">
        <f aca="false">IF($A343="","",IF($H343="","-",IF($I343&lt;0,"기한초과",IF($I343&lt;=사용안내!$C$16,"임박","정상"))))</f>
        <v/>
      </c>
    </row>
    <row r="344" customFormat="false" ht="15" hidden="false" customHeight="true" outlineLevel="0" collapsed="false">
      <c r="A344" s="20" t="str">
        <f aca="false">IF(OR(직원목록!$A31="",교육과정!$A5="",직원목록!$F31="퇴사"),"",직원목록!$A31)</f>
        <v/>
      </c>
      <c r="B344" s="20" t="str">
        <f aca="false">IF($A344="","",직원목록!$B31)</f>
        <v/>
      </c>
      <c r="C344" s="20" t="str">
        <f aca="false">IF($A344="","",직원목록!$C31)</f>
        <v/>
      </c>
      <c r="D344" s="21" t="str">
        <f aca="false">IF($A344="","",교육과정!$A5)</f>
        <v/>
      </c>
      <c r="E344" s="20" t="str">
        <f aca="false">IF($A344="","",교육과정!$B5)</f>
        <v/>
      </c>
      <c r="F344" s="21" t="str">
        <f aca="false">IF($A344="","",교육과정!$C5)</f>
        <v/>
      </c>
      <c r="G344" s="23" t="str">
        <f aca="false">IF($A344="","",IF(COUNTIFS(이수내역!$B$3:$B$2002,$A344,이수내역!$D$3:$D$2002,$D344)=0,"",SUMPRODUCT(MAX((이수내역!$B$3:$B$2002=$A344)*(이수내역!$D$3:$D$2002=$D344)*이수내역!$A$3:$A$2002))))</f>
        <v/>
      </c>
      <c r="H344" s="23" t="str">
        <f aca="false">IF($A344="","",IF($F344="","",IF($G344="",EDATE(직원목록!$E31,$F344),EDATE($G344,$F344))))</f>
        <v/>
      </c>
      <c r="I344" s="21" t="str">
        <f aca="true">IF($H344="","",$H344-TODAY())</f>
        <v/>
      </c>
      <c r="J344" s="21" t="str">
        <f aca="false">IF($A344="","",IF($H344="","-",IF($I344&lt;0,"기한초과",IF($I344&lt;=사용안내!$C$16,"임박","정상"))))</f>
        <v/>
      </c>
    </row>
    <row r="345" customFormat="false" ht="15" hidden="false" customHeight="true" outlineLevel="0" collapsed="false">
      <c r="A345" s="20" t="str">
        <f aca="false">IF(OR(직원목록!$A31="",교육과정!$A6="",직원목록!$F31="퇴사"),"",직원목록!$A31)</f>
        <v/>
      </c>
      <c r="B345" s="20" t="str">
        <f aca="false">IF($A345="","",직원목록!$B31)</f>
        <v/>
      </c>
      <c r="C345" s="20" t="str">
        <f aca="false">IF($A345="","",직원목록!$C31)</f>
        <v/>
      </c>
      <c r="D345" s="21" t="str">
        <f aca="false">IF($A345="","",교육과정!$A6)</f>
        <v/>
      </c>
      <c r="E345" s="20" t="str">
        <f aca="false">IF($A345="","",교육과정!$B6)</f>
        <v/>
      </c>
      <c r="F345" s="21" t="str">
        <f aca="false">IF($A345="","",교육과정!$C6)</f>
        <v/>
      </c>
      <c r="G345" s="23" t="str">
        <f aca="false">IF($A345="","",IF(COUNTIFS(이수내역!$B$3:$B$2002,$A345,이수내역!$D$3:$D$2002,$D345)=0,"",SUMPRODUCT(MAX((이수내역!$B$3:$B$2002=$A345)*(이수내역!$D$3:$D$2002=$D345)*이수내역!$A$3:$A$2002))))</f>
        <v/>
      </c>
      <c r="H345" s="23" t="str">
        <f aca="false">IF($A345="","",IF($F345="","",IF($G345="",EDATE(직원목록!$E31,$F345),EDATE($G345,$F345))))</f>
        <v/>
      </c>
      <c r="I345" s="21" t="str">
        <f aca="true">IF($H345="","",$H345-TODAY())</f>
        <v/>
      </c>
      <c r="J345" s="21" t="str">
        <f aca="false">IF($A345="","",IF($H345="","-",IF($I345&lt;0,"기한초과",IF($I345&lt;=사용안내!$C$16,"임박","정상"))))</f>
        <v/>
      </c>
    </row>
    <row r="346" customFormat="false" ht="15" hidden="false" customHeight="true" outlineLevel="0" collapsed="false">
      <c r="A346" s="20" t="str">
        <f aca="false">IF(OR(직원목록!$A31="",교육과정!$A7="",직원목록!$F31="퇴사"),"",직원목록!$A31)</f>
        <v/>
      </c>
      <c r="B346" s="20" t="str">
        <f aca="false">IF($A346="","",직원목록!$B31)</f>
        <v/>
      </c>
      <c r="C346" s="20" t="str">
        <f aca="false">IF($A346="","",직원목록!$C31)</f>
        <v/>
      </c>
      <c r="D346" s="21" t="str">
        <f aca="false">IF($A346="","",교육과정!$A7)</f>
        <v/>
      </c>
      <c r="E346" s="20" t="str">
        <f aca="false">IF($A346="","",교육과정!$B7)</f>
        <v/>
      </c>
      <c r="F346" s="21" t="str">
        <f aca="false">IF($A346="","",교육과정!$C7)</f>
        <v/>
      </c>
      <c r="G346" s="23" t="str">
        <f aca="false">IF($A346="","",IF(COUNTIFS(이수내역!$B$3:$B$2002,$A346,이수내역!$D$3:$D$2002,$D346)=0,"",SUMPRODUCT(MAX((이수내역!$B$3:$B$2002=$A346)*(이수내역!$D$3:$D$2002=$D346)*이수내역!$A$3:$A$2002))))</f>
        <v/>
      </c>
      <c r="H346" s="23" t="str">
        <f aca="false">IF($A346="","",IF($F346="","",IF($G346="",EDATE(직원목록!$E31,$F346),EDATE($G346,$F346))))</f>
        <v/>
      </c>
      <c r="I346" s="21" t="str">
        <f aca="true">IF($H346="","",$H346-TODAY())</f>
        <v/>
      </c>
      <c r="J346" s="21" t="str">
        <f aca="false">IF($A346="","",IF($H346="","-",IF($I346&lt;0,"기한초과",IF($I346&lt;=사용안내!$C$16,"임박","정상"))))</f>
        <v/>
      </c>
    </row>
    <row r="347" customFormat="false" ht="15" hidden="false" customHeight="true" outlineLevel="0" collapsed="false">
      <c r="A347" s="20" t="str">
        <f aca="false">IF(OR(직원목록!$A31="",교육과정!$A8="",직원목록!$F31="퇴사"),"",직원목록!$A31)</f>
        <v/>
      </c>
      <c r="B347" s="20" t="str">
        <f aca="false">IF($A347="","",직원목록!$B31)</f>
        <v/>
      </c>
      <c r="C347" s="20" t="str">
        <f aca="false">IF($A347="","",직원목록!$C31)</f>
        <v/>
      </c>
      <c r="D347" s="21" t="str">
        <f aca="false">IF($A347="","",교육과정!$A8)</f>
        <v/>
      </c>
      <c r="E347" s="20" t="str">
        <f aca="false">IF($A347="","",교육과정!$B8)</f>
        <v/>
      </c>
      <c r="F347" s="21" t="str">
        <f aca="false">IF($A347="","",교육과정!$C8)</f>
        <v/>
      </c>
      <c r="G347" s="23" t="str">
        <f aca="false">IF($A347="","",IF(COUNTIFS(이수내역!$B$3:$B$2002,$A347,이수내역!$D$3:$D$2002,$D347)=0,"",SUMPRODUCT(MAX((이수내역!$B$3:$B$2002=$A347)*(이수내역!$D$3:$D$2002=$D347)*이수내역!$A$3:$A$2002))))</f>
        <v/>
      </c>
      <c r="H347" s="23" t="str">
        <f aca="false">IF($A347="","",IF($F347="","",IF($G347="",EDATE(직원목록!$E31,$F347),EDATE($G347,$F347))))</f>
        <v/>
      </c>
      <c r="I347" s="21" t="str">
        <f aca="true">IF($H347="","",$H347-TODAY())</f>
        <v/>
      </c>
      <c r="J347" s="21" t="str">
        <f aca="false">IF($A347="","",IF($H347="","-",IF($I347&lt;0,"기한초과",IF($I347&lt;=사용안내!$C$16,"임박","정상"))))</f>
        <v/>
      </c>
    </row>
    <row r="348" customFormat="false" ht="15" hidden="false" customHeight="true" outlineLevel="0" collapsed="false">
      <c r="A348" s="20" t="str">
        <f aca="false">IF(OR(직원목록!$A31="",교육과정!$A9="",직원목록!$F31="퇴사"),"",직원목록!$A31)</f>
        <v/>
      </c>
      <c r="B348" s="20" t="str">
        <f aca="false">IF($A348="","",직원목록!$B31)</f>
        <v/>
      </c>
      <c r="C348" s="20" t="str">
        <f aca="false">IF($A348="","",직원목록!$C31)</f>
        <v/>
      </c>
      <c r="D348" s="21" t="str">
        <f aca="false">IF($A348="","",교육과정!$A9)</f>
        <v/>
      </c>
      <c r="E348" s="20" t="str">
        <f aca="false">IF($A348="","",교육과정!$B9)</f>
        <v/>
      </c>
      <c r="F348" s="21" t="str">
        <f aca="false">IF($A348="","",교육과정!$C9)</f>
        <v/>
      </c>
      <c r="G348" s="23" t="str">
        <f aca="false">IF($A348="","",IF(COUNTIFS(이수내역!$B$3:$B$2002,$A348,이수내역!$D$3:$D$2002,$D348)=0,"",SUMPRODUCT(MAX((이수내역!$B$3:$B$2002=$A348)*(이수내역!$D$3:$D$2002=$D348)*이수내역!$A$3:$A$2002))))</f>
        <v/>
      </c>
      <c r="H348" s="23" t="str">
        <f aca="false">IF($A348="","",IF($F348="","",IF($G348="",EDATE(직원목록!$E31,$F348),EDATE($G348,$F348))))</f>
        <v/>
      </c>
      <c r="I348" s="21" t="str">
        <f aca="true">IF($H348="","",$H348-TODAY())</f>
        <v/>
      </c>
      <c r="J348" s="21" t="str">
        <f aca="false">IF($A348="","",IF($H348="","-",IF($I348&lt;0,"기한초과",IF($I348&lt;=사용안내!$C$16,"임박","정상"))))</f>
        <v/>
      </c>
    </row>
    <row r="349" customFormat="false" ht="15" hidden="false" customHeight="true" outlineLevel="0" collapsed="false">
      <c r="A349" s="20" t="str">
        <f aca="false">IF(OR(직원목록!$A31="",교육과정!$A10="",직원목록!$F31="퇴사"),"",직원목록!$A31)</f>
        <v/>
      </c>
      <c r="B349" s="20" t="str">
        <f aca="false">IF($A349="","",직원목록!$B31)</f>
        <v/>
      </c>
      <c r="C349" s="20" t="str">
        <f aca="false">IF($A349="","",직원목록!$C31)</f>
        <v/>
      </c>
      <c r="D349" s="21" t="str">
        <f aca="false">IF($A349="","",교육과정!$A10)</f>
        <v/>
      </c>
      <c r="E349" s="20" t="str">
        <f aca="false">IF($A349="","",교육과정!$B10)</f>
        <v/>
      </c>
      <c r="F349" s="21" t="str">
        <f aca="false">IF($A349="","",교육과정!$C10)</f>
        <v/>
      </c>
      <c r="G349" s="23" t="str">
        <f aca="false">IF($A349="","",IF(COUNTIFS(이수내역!$B$3:$B$2002,$A349,이수내역!$D$3:$D$2002,$D349)=0,"",SUMPRODUCT(MAX((이수내역!$B$3:$B$2002=$A349)*(이수내역!$D$3:$D$2002=$D349)*이수내역!$A$3:$A$2002))))</f>
        <v/>
      </c>
      <c r="H349" s="23" t="str">
        <f aca="false">IF($A349="","",IF($F349="","",IF($G349="",EDATE(직원목록!$E31,$F349),EDATE($G349,$F349))))</f>
        <v/>
      </c>
      <c r="I349" s="21" t="str">
        <f aca="true">IF($H349="","",$H349-TODAY())</f>
        <v/>
      </c>
      <c r="J349" s="21" t="str">
        <f aca="false">IF($A349="","",IF($H349="","-",IF($I349&lt;0,"기한초과",IF($I349&lt;=사용안내!$C$16,"임박","정상"))))</f>
        <v/>
      </c>
    </row>
    <row r="350" customFormat="false" ht="15" hidden="false" customHeight="true" outlineLevel="0" collapsed="false">
      <c r="A350" s="20" t="str">
        <f aca="false">IF(OR(직원목록!$A31="",교육과정!$A11="",직원목록!$F31="퇴사"),"",직원목록!$A31)</f>
        <v/>
      </c>
      <c r="B350" s="20" t="str">
        <f aca="false">IF($A350="","",직원목록!$B31)</f>
        <v/>
      </c>
      <c r="C350" s="20" t="str">
        <f aca="false">IF($A350="","",직원목록!$C31)</f>
        <v/>
      </c>
      <c r="D350" s="21" t="str">
        <f aca="false">IF($A350="","",교육과정!$A11)</f>
        <v/>
      </c>
      <c r="E350" s="20" t="str">
        <f aca="false">IF($A350="","",교육과정!$B11)</f>
        <v/>
      </c>
      <c r="F350" s="21" t="str">
        <f aca="false">IF($A350="","",교육과정!$C11)</f>
        <v/>
      </c>
      <c r="G350" s="23" t="str">
        <f aca="false">IF($A350="","",IF(COUNTIFS(이수내역!$B$3:$B$2002,$A350,이수내역!$D$3:$D$2002,$D350)=0,"",SUMPRODUCT(MAX((이수내역!$B$3:$B$2002=$A350)*(이수내역!$D$3:$D$2002=$D350)*이수내역!$A$3:$A$2002))))</f>
        <v/>
      </c>
      <c r="H350" s="23" t="str">
        <f aca="false">IF($A350="","",IF($F350="","",IF($G350="",EDATE(직원목록!$E31,$F350),EDATE($G350,$F350))))</f>
        <v/>
      </c>
      <c r="I350" s="21" t="str">
        <f aca="true">IF($H350="","",$H350-TODAY())</f>
        <v/>
      </c>
      <c r="J350" s="21" t="str">
        <f aca="false">IF($A350="","",IF($H350="","-",IF($I350&lt;0,"기한초과",IF($I350&lt;=사용안내!$C$16,"임박","정상"))))</f>
        <v/>
      </c>
    </row>
    <row r="351" customFormat="false" ht="15" hidden="false" customHeight="true" outlineLevel="0" collapsed="false">
      <c r="A351" s="20" t="str">
        <f aca="false">IF(OR(직원목록!$A31="",교육과정!$A12="",직원목록!$F31="퇴사"),"",직원목록!$A31)</f>
        <v/>
      </c>
      <c r="B351" s="20" t="str">
        <f aca="false">IF($A351="","",직원목록!$B31)</f>
        <v/>
      </c>
      <c r="C351" s="20" t="str">
        <f aca="false">IF($A351="","",직원목록!$C31)</f>
        <v/>
      </c>
      <c r="D351" s="21" t="str">
        <f aca="false">IF($A351="","",교육과정!$A12)</f>
        <v/>
      </c>
      <c r="E351" s="20" t="str">
        <f aca="false">IF($A351="","",교육과정!$B12)</f>
        <v/>
      </c>
      <c r="F351" s="21" t="str">
        <f aca="false">IF($A351="","",교육과정!$C12)</f>
        <v/>
      </c>
      <c r="G351" s="23" t="str">
        <f aca="false">IF($A351="","",IF(COUNTIFS(이수내역!$B$3:$B$2002,$A351,이수내역!$D$3:$D$2002,$D351)=0,"",SUMPRODUCT(MAX((이수내역!$B$3:$B$2002=$A351)*(이수내역!$D$3:$D$2002=$D351)*이수내역!$A$3:$A$2002))))</f>
        <v/>
      </c>
      <c r="H351" s="23" t="str">
        <f aca="false">IF($A351="","",IF($F351="","",IF($G351="",EDATE(직원목록!$E31,$F351),EDATE($G351,$F351))))</f>
        <v/>
      </c>
      <c r="I351" s="21" t="str">
        <f aca="true">IF($H351="","",$H351-TODAY())</f>
        <v/>
      </c>
      <c r="J351" s="21" t="str">
        <f aca="false">IF($A351="","",IF($H351="","-",IF($I351&lt;0,"기한초과",IF($I351&lt;=사용안내!$C$16,"임박","정상"))))</f>
        <v/>
      </c>
    </row>
    <row r="352" customFormat="false" ht="15" hidden="false" customHeight="true" outlineLevel="0" collapsed="false">
      <c r="A352" s="20" t="str">
        <f aca="false">IF(OR(직원목록!$A31="",교육과정!$A13="",직원목록!$F31="퇴사"),"",직원목록!$A31)</f>
        <v/>
      </c>
      <c r="B352" s="20" t="str">
        <f aca="false">IF($A352="","",직원목록!$B31)</f>
        <v/>
      </c>
      <c r="C352" s="20" t="str">
        <f aca="false">IF($A352="","",직원목록!$C31)</f>
        <v/>
      </c>
      <c r="D352" s="21" t="str">
        <f aca="false">IF($A352="","",교육과정!$A13)</f>
        <v/>
      </c>
      <c r="E352" s="20" t="str">
        <f aca="false">IF($A352="","",교육과정!$B13)</f>
        <v/>
      </c>
      <c r="F352" s="21" t="str">
        <f aca="false">IF($A352="","",교육과정!$C13)</f>
        <v/>
      </c>
      <c r="G352" s="23" t="str">
        <f aca="false">IF($A352="","",IF(COUNTIFS(이수내역!$B$3:$B$2002,$A352,이수내역!$D$3:$D$2002,$D352)=0,"",SUMPRODUCT(MAX((이수내역!$B$3:$B$2002=$A352)*(이수내역!$D$3:$D$2002=$D352)*이수내역!$A$3:$A$2002))))</f>
        <v/>
      </c>
      <c r="H352" s="23" t="str">
        <f aca="false">IF($A352="","",IF($F352="","",IF($G352="",EDATE(직원목록!$E31,$F352),EDATE($G352,$F352))))</f>
        <v/>
      </c>
      <c r="I352" s="21" t="str">
        <f aca="true">IF($H352="","",$H352-TODAY())</f>
        <v/>
      </c>
      <c r="J352" s="21" t="str">
        <f aca="false">IF($A352="","",IF($H352="","-",IF($I352&lt;0,"기한초과",IF($I352&lt;=사용안내!$C$16,"임박","정상"))))</f>
        <v/>
      </c>
    </row>
    <row r="353" customFormat="false" ht="15" hidden="false" customHeight="true" outlineLevel="0" collapsed="false">
      <c r="A353" s="20" t="str">
        <f aca="false">IF(OR(직원목록!$A31="",교육과정!$A14="",직원목록!$F31="퇴사"),"",직원목록!$A31)</f>
        <v/>
      </c>
      <c r="B353" s="20" t="str">
        <f aca="false">IF($A353="","",직원목록!$B31)</f>
        <v/>
      </c>
      <c r="C353" s="20" t="str">
        <f aca="false">IF($A353="","",직원목록!$C31)</f>
        <v/>
      </c>
      <c r="D353" s="21" t="str">
        <f aca="false">IF($A353="","",교육과정!$A14)</f>
        <v/>
      </c>
      <c r="E353" s="20" t="str">
        <f aca="false">IF($A353="","",교육과정!$B14)</f>
        <v/>
      </c>
      <c r="F353" s="21" t="str">
        <f aca="false">IF($A353="","",교육과정!$C14)</f>
        <v/>
      </c>
      <c r="G353" s="23" t="str">
        <f aca="false">IF($A353="","",IF(COUNTIFS(이수내역!$B$3:$B$2002,$A353,이수내역!$D$3:$D$2002,$D353)=0,"",SUMPRODUCT(MAX((이수내역!$B$3:$B$2002=$A353)*(이수내역!$D$3:$D$2002=$D353)*이수내역!$A$3:$A$2002))))</f>
        <v/>
      </c>
      <c r="H353" s="23" t="str">
        <f aca="false">IF($A353="","",IF($F353="","",IF($G353="",EDATE(직원목록!$E31,$F353),EDATE($G353,$F353))))</f>
        <v/>
      </c>
      <c r="I353" s="21" t="str">
        <f aca="true">IF($H353="","",$H353-TODAY())</f>
        <v/>
      </c>
      <c r="J353" s="21" t="str">
        <f aca="false">IF($A353="","",IF($H353="","-",IF($I353&lt;0,"기한초과",IF($I353&lt;=사용안내!$C$16,"임박","정상"))))</f>
        <v/>
      </c>
    </row>
    <row r="354" customFormat="false" ht="15" hidden="false" customHeight="true" outlineLevel="0" collapsed="false">
      <c r="A354" s="20" t="str">
        <f aca="false">IF(OR(직원목록!$A32="",교육과정!$A3="",직원목록!$F32="퇴사"),"",직원목록!$A32)</f>
        <v/>
      </c>
      <c r="B354" s="20" t="str">
        <f aca="false">IF($A354="","",직원목록!$B32)</f>
        <v/>
      </c>
      <c r="C354" s="20" t="str">
        <f aca="false">IF($A354="","",직원목록!$C32)</f>
        <v/>
      </c>
      <c r="D354" s="21" t="str">
        <f aca="false">IF($A354="","",교육과정!$A3)</f>
        <v/>
      </c>
      <c r="E354" s="20" t="str">
        <f aca="false">IF($A354="","",교육과정!$B3)</f>
        <v/>
      </c>
      <c r="F354" s="21" t="str">
        <f aca="false">IF($A354="","",교육과정!$C3)</f>
        <v/>
      </c>
      <c r="G354" s="23" t="str">
        <f aca="false">IF($A354="","",IF(COUNTIFS(이수내역!$B$3:$B$2002,$A354,이수내역!$D$3:$D$2002,$D354)=0,"",SUMPRODUCT(MAX((이수내역!$B$3:$B$2002=$A354)*(이수내역!$D$3:$D$2002=$D354)*이수내역!$A$3:$A$2002))))</f>
        <v/>
      </c>
      <c r="H354" s="23" t="str">
        <f aca="false">IF($A354="","",IF($F354="","",IF($G354="",EDATE(직원목록!$E32,$F354),EDATE($G354,$F354))))</f>
        <v/>
      </c>
      <c r="I354" s="21" t="str">
        <f aca="true">IF($H354="","",$H354-TODAY())</f>
        <v/>
      </c>
      <c r="J354" s="21" t="str">
        <f aca="false">IF($A354="","",IF($H354="","-",IF($I354&lt;0,"기한초과",IF($I354&lt;=사용안내!$C$16,"임박","정상"))))</f>
        <v/>
      </c>
    </row>
    <row r="355" customFormat="false" ht="15" hidden="false" customHeight="true" outlineLevel="0" collapsed="false">
      <c r="A355" s="20" t="str">
        <f aca="false">IF(OR(직원목록!$A32="",교육과정!$A4="",직원목록!$F32="퇴사"),"",직원목록!$A32)</f>
        <v/>
      </c>
      <c r="B355" s="20" t="str">
        <f aca="false">IF($A355="","",직원목록!$B32)</f>
        <v/>
      </c>
      <c r="C355" s="20" t="str">
        <f aca="false">IF($A355="","",직원목록!$C32)</f>
        <v/>
      </c>
      <c r="D355" s="21" t="str">
        <f aca="false">IF($A355="","",교육과정!$A4)</f>
        <v/>
      </c>
      <c r="E355" s="20" t="str">
        <f aca="false">IF($A355="","",교육과정!$B4)</f>
        <v/>
      </c>
      <c r="F355" s="21" t="str">
        <f aca="false">IF($A355="","",교육과정!$C4)</f>
        <v/>
      </c>
      <c r="G355" s="23" t="str">
        <f aca="false">IF($A355="","",IF(COUNTIFS(이수내역!$B$3:$B$2002,$A355,이수내역!$D$3:$D$2002,$D355)=0,"",SUMPRODUCT(MAX((이수내역!$B$3:$B$2002=$A355)*(이수내역!$D$3:$D$2002=$D355)*이수내역!$A$3:$A$2002))))</f>
        <v/>
      </c>
      <c r="H355" s="23" t="str">
        <f aca="false">IF($A355="","",IF($F355="","",IF($G355="",EDATE(직원목록!$E32,$F355),EDATE($G355,$F355))))</f>
        <v/>
      </c>
      <c r="I355" s="21" t="str">
        <f aca="true">IF($H355="","",$H355-TODAY())</f>
        <v/>
      </c>
      <c r="J355" s="21" t="str">
        <f aca="false">IF($A355="","",IF($H355="","-",IF($I355&lt;0,"기한초과",IF($I355&lt;=사용안내!$C$16,"임박","정상"))))</f>
        <v/>
      </c>
    </row>
    <row r="356" customFormat="false" ht="15" hidden="false" customHeight="true" outlineLevel="0" collapsed="false">
      <c r="A356" s="20" t="str">
        <f aca="false">IF(OR(직원목록!$A32="",교육과정!$A5="",직원목록!$F32="퇴사"),"",직원목록!$A32)</f>
        <v/>
      </c>
      <c r="B356" s="20" t="str">
        <f aca="false">IF($A356="","",직원목록!$B32)</f>
        <v/>
      </c>
      <c r="C356" s="20" t="str">
        <f aca="false">IF($A356="","",직원목록!$C32)</f>
        <v/>
      </c>
      <c r="D356" s="21" t="str">
        <f aca="false">IF($A356="","",교육과정!$A5)</f>
        <v/>
      </c>
      <c r="E356" s="20" t="str">
        <f aca="false">IF($A356="","",교육과정!$B5)</f>
        <v/>
      </c>
      <c r="F356" s="21" t="str">
        <f aca="false">IF($A356="","",교육과정!$C5)</f>
        <v/>
      </c>
      <c r="G356" s="23" t="str">
        <f aca="false">IF($A356="","",IF(COUNTIFS(이수내역!$B$3:$B$2002,$A356,이수내역!$D$3:$D$2002,$D356)=0,"",SUMPRODUCT(MAX((이수내역!$B$3:$B$2002=$A356)*(이수내역!$D$3:$D$2002=$D356)*이수내역!$A$3:$A$2002))))</f>
        <v/>
      </c>
      <c r="H356" s="23" t="str">
        <f aca="false">IF($A356="","",IF($F356="","",IF($G356="",EDATE(직원목록!$E32,$F356),EDATE($G356,$F356))))</f>
        <v/>
      </c>
      <c r="I356" s="21" t="str">
        <f aca="true">IF($H356="","",$H356-TODAY())</f>
        <v/>
      </c>
      <c r="J356" s="21" t="str">
        <f aca="false">IF($A356="","",IF($H356="","-",IF($I356&lt;0,"기한초과",IF($I356&lt;=사용안내!$C$16,"임박","정상"))))</f>
        <v/>
      </c>
    </row>
    <row r="357" customFormat="false" ht="15" hidden="false" customHeight="true" outlineLevel="0" collapsed="false">
      <c r="A357" s="20" t="str">
        <f aca="false">IF(OR(직원목록!$A32="",교육과정!$A6="",직원목록!$F32="퇴사"),"",직원목록!$A32)</f>
        <v/>
      </c>
      <c r="B357" s="20" t="str">
        <f aca="false">IF($A357="","",직원목록!$B32)</f>
        <v/>
      </c>
      <c r="C357" s="20" t="str">
        <f aca="false">IF($A357="","",직원목록!$C32)</f>
        <v/>
      </c>
      <c r="D357" s="21" t="str">
        <f aca="false">IF($A357="","",교육과정!$A6)</f>
        <v/>
      </c>
      <c r="E357" s="20" t="str">
        <f aca="false">IF($A357="","",교육과정!$B6)</f>
        <v/>
      </c>
      <c r="F357" s="21" t="str">
        <f aca="false">IF($A357="","",교육과정!$C6)</f>
        <v/>
      </c>
      <c r="G357" s="23" t="str">
        <f aca="false">IF($A357="","",IF(COUNTIFS(이수내역!$B$3:$B$2002,$A357,이수내역!$D$3:$D$2002,$D357)=0,"",SUMPRODUCT(MAX((이수내역!$B$3:$B$2002=$A357)*(이수내역!$D$3:$D$2002=$D357)*이수내역!$A$3:$A$2002))))</f>
        <v/>
      </c>
      <c r="H357" s="23" t="str">
        <f aca="false">IF($A357="","",IF($F357="","",IF($G357="",EDATE(직원목록!$E32,$F357),EDATE($G357,$F357))))</f>
        <v/>
      </c>
      <c r="I357" s="21" t="str">
        <f aca="true">IF($H357="","",$H357-TODAY())</f>
        <v/>
      </c>
      <c r="J357" s="21" t="str">
        <f aca="false">IF($A357="","",IF($H357="","-",IF($I357&lt;0,"기한초과",IF($I357&lt;=사용안내!$C$16,"임박","정상"))))</f>
        <v/>
      </c>
    </row>
    <row r="358" customFormat="false" ht="15" hidden="false" customHeight="true" outlineLevel="0" collapsed="false">
      <c r="A358" s="20" t="str">
        <f aca="false">IF(OR(직원목록!$A32="",교육과정!$A7="",직원목록!$F32="퇴사"),"",직원목록!$A32)</f>
        <v/>
      </c>
      <c r="B358" s="20" t="str">
        <f aca="false">IF($A358="","",직원목록!$B32)</f>
        <v/>
      </c>
      <c r="C358" s="20" t="str">
        <f aca="false">IF($A358="","",직원목록!$C32)</f>
        <v/>
      </c>
      <c r="D358" s="21" t="str">
        <f aca="false">IF($A358="","",교육과정!$A7)</f>
        <v/>
      </c>
      <c r="E358" s="20" t="str">
        <f aca="false">IF($A358="","",교육과정!$B7)</f>
        <v/>
      </c>
      <c r="F358" s="21" t="str">
        <f aca="false">IF($A358="","",교육과정!$C7)</f>
        <v/>
      </c>
      <c r="G358" s="23" t="str">
        <f aca="false">IF($A358="","",IF(COUNTIFS(이수내역!$B$3:$B$2002,$A358,이수내역!$D$3:$D$2002,$D358)=0,"",SUMPRODUCT(MAX((이수내역!$B$3:$B$2002=$A358)*(이수내역!$D$3:$D$2002=$D358)*이수내역!$A$3:$A$2002))))</f>
        <v/>
      </c>
      <c r="H358" s="23" t="str">
        <f aca="false">IF($A358="","",IF($F358="","",IF($G358="",EDATE(직원목록!$E32,$F358),EDATE($G358,$F358))))</f>
        <v/>
      </c>
      <c r="I358" s="21" t="str">
        <f aca="true">IF($H358="","",$H358-TODAY())</f>
        <v/>
      </c>
      <c r="J358" s="21" t="str">
        <f aca="false">IF($A358="","",IF($H358="","-",IF($I358&lt;0,"기한초과",IF($I358&lt;=사용안내!$C$16,"임박","정상"))))</f>
        <v/>
      </c>
    </row>
    <row r="359" customFormat="false" ht="15" hidden="false" customHeight="true" outlineLevel="0" collapsed="false">
      <c r="A359" s="20" t="str">
        <f aca="false">IF(OR(직원목록!$A32="",교육과정!$A8="",직원목록!$F32="퇴사"),"",직원목록!$A32)</f>
        <v/>
      </c>
      <c r="B359" s="20" t="str">
        <f aca="false">IF($A359="","",직원목록!$B32)</f>
        <v/>
      </c>
      <c r="C359" s="20" t="str">
        <f aca="false">IF($A359="","",직원목록!$C32)</f>
        <v/>
      </c>
      <c r="D359" s="21" t="str">
        <f aca="false">IF($A359="","",교육과정!$A8)</f>
        <v/>
      </c>
      <c r="E359" s="20" t="str">
        <f aca="false">IF($A359="","",교육과정!$B8)</f>
        <v/>
      </c>
      <c r="F359" s="21" t="str">
        <f aca="false">IF($A359="","",교육과정!$C8)</f>
        <v/>
      </c>
      <c r="G359" s="23" t="str">
        <f aca="false">IF($A359="","",IF(COUNTIFS(이수내역!$B$3:$B$2002,$A359,이수내역!$D$3:$D$2002,$D359)=0,"",SUMPRODUCT(MAX((이수내역!$B$3:$B$2002=$A359)*(이수내역!$D$3:$D$2002=$D359)*이수내역!$A$3:$A$2002))))</f>
        <v/>
      </c>
      <c r="H359" s="23" t="str">
        <f aca="false">IF($A359="","",IF($F359="","",IF($G359="",EDATE(직원목록!$E32,$F359),EDATE($G359,$F359))))</f>
        <v/>
      </c>
      <c r="I359" s="21" t="str">
        <f aca="true">IF($H359="","",$H359-TODAY())</f>
        <v/>
      </c>
      <c r="J359" s="21" t="str">
        <f aca="false">IF($A359="","",IF($H359="","-",IF($I359&lt;0,"기한초과",IF($I359&lt;=사용안내!$C$16,"임박","정상"))))</f>
        <v/>
      </c>
    </row>
    <row r="360" customFormat="false" ht="15" hidden="false" customHeight="true" outlineLevel="0" collapsed="false">
      <c r="A360" s="20" t="str">
        <f aca="false">IF(OR(직원목록!$A32="",교육과정!$A9="",직원목록!$F32="퇴사"),"",직원목록!$A32)</f>
        <v/>
      </c>
      <c r="B360" s="20" t="str">
        <f aca="false">IF($A360="","",직원목록!$B32)</f>
        <v/>
      </c>
      <c r="C360" s="20" t="str">
        <f aca="false">IF($A360="","",직원목록!$C32)</f>
        <v/>
      </c>
      <c r="D360" s="21" t="str">
        <f aca="false">IF($A360="","",교육과정!$A9)</f>
        <v/>
      </c>
      <c r="E360" s="20" t="str">
        <f aca="false">IF($A360="","",교육과정!$B9)</f>
        <v/>
      </c>
      <c r="F360" s="21" t="str">
        <f aca="false">IF($A360="","",교육과정!$C9)</f>
        <v/>
      </c>
      <c r="G360" s="23" t="str">
        <f aca="false">IF($A360="","",IF(COUNTIFS(이수내역!$B$3:$B$2002,$A360,이수내역!$D$3:$D$2002,$D360)=0,"",SUMPRODUCT(MAX((이수내역!$B$3:$B$2002=$A360)*(이수내역!$D$3:$D$2002=$D360)*이수내역!$A$3:$A$2002))))</f>
        <v/>
      </c>
      <c r="H360" s="23" t="str">
        <f aca="false">IF($A360="","",IF($F360="","",IF($G360="",EDATE(직원목록!$E32,$F360),EDATE($G360,$F360))))</f>
        <v/>
      </c>
      <c r="I360" s="21" t="str">
        <f aca="true">IF($H360="","",$H360-TODAY())</f>
        <v/>
      </c>
      <c r="J360" s="21" t="str">
        <f aca="false">IF($A360="","",IF($H360="","-",IF($I360&lt;0,"기한초과",IF($I360&lt;=사용안내!$C$16,"임박","정상"))))</f>
        <v/>
      </c>
    </row>
    <row r="361" customFormat="false" ht="15" hidden="false" customHeight="true" outlineLevel="0" collapsed="false">
      <c r="A361" s="20" t="str">
        <f aca="false">IF(OR(직원목록!$A32="",교육과정!$A10="",직원목록!$F32="퇴사"),"",직원목록!$A32)</f>
        <v/>
      </c>
      <c r="B361" s="20" t="str">
        <f aca="false">IF($A361="","",직원목록!$B32)</f>
        <v/>
      </c>
      <c r="C361" s="20" t="str">
        <f aca="false">IF($A361="","",직원목록!$C32)</f>
        <v/>
      </c>
      <c r="D361" s="21" t="str">
        <f aca="false">IF($A361="","",교육과정!$A10)</f>
        <v/>
      </c>
      <c r="E361" s="20" t="str">
        <f aca="false">IF($A361="","",교육과정!$B10)</f>
        <v/>
      </c>
      <c r="F361" s="21" t="str">
        <f aca="false">IF($A361="","",교육과정!$C10)</f>
        <v/>
      </c>
      <c r="G361" s="23" t="str">
        <f aca="false">IF($A361="","",IF(COUNTIFS(이수내역!$B$3:$B$2002,$A361,이수내역!$D$3:$D$2002,$D361)=0,"",SUMPRODUCT(MAX((이수내역!$B$3:$B$2002=$A361)*(이수내역!$D$3:$D$2002=$D361)*이수내역!$A$3:$A$2002))))</f>
        <v/>
      </c>
      <c r="H361" s="23" t="str">
        <f aca="false">IF($A361="","",IF($F361="","",IF($G361="",EDATE(직원목록!$E32,$F361),EDATE($G361,$F361))))</f>
        <v/>
      </c>
      <c r="I361" s="21" t="str">
        <f aca="true">IF($H361="","",$H361-TODAY())</f>
        <v/>
      </c>
      <c r="J361" s="21" t="str">
        <f aca="false">IF($A361="","",IF($H361="","-",IF($I361&lt;0,"기한초과",IF($I361&lt;=사용안내!$C$16,"임박","정상"))))</f>
        <v/>
      </c>
    </row>
    <row r="362" customFormat="false" ht="15" hidden="false" customHeight="true" outlineLevel="0" collapsed="false">
      <c r="A362" s="20" t="str">
        <f aca="false">IF(OR(직원목록!$A32="",교육과정!$A11="",직원목록!$F32="퇴사"),"",직원목록!$A32)</f>
        <v/>
      </c>
      <c r="B362" s="20" t="str">
        <f aca="false">IF($A362="","",직원목록!$B32)</f>
        <v/>
      </c>
      <c r="C362" s="20" t="str">
        <f aca="false">IF($A362="","",직원목록!$C32)</f>
        <v/>
      </c>
      <c r="D362" s="21" t="str">
        <f aca="false">IF($A362="","",교육과정!$A11)</f>
        <v/>
      </c>
      <c r="E362" s="20" t="str">
        <f aca="false">IF($A362="","",교육과정!$B11)</f>
        <v/>
      </c>
      <c r="F362" s="21" t="str">
        <f aca="false">IF($A362="","",교육과정!$C11)</f>
        <v/>
      </c>
      <c r="G362" s="23" t="str">
        <f aca="false">IF($A362="","",IF(COUNTIFS(이수내역!$B$3:$B$2002,$A362,이수내역!$D$3:$D$2002,$D362)=0,"",SUMPRODUCT(MAX((이수내역!$B$3:$B$2002=$A362)*(이수내역!$D$3:$D$2002=$D362)*이수내역!$A$3:$A$2002))))</f>
        <v/>
      </c>
      <c r="H362" s="23" t="str">
        <f aca="false">IF($A362="","",IF($F362="","",IF($G362="",EDATE(직원목록!$E32,$F362),EDATE($G362,$F362))))</f>
        <v/>
      </c>
      <c r="I362" s="21" t="str">
        <f aca="true">IF($H362="","",$H362-TODAY())</f>
        <v/>
      </c>
      <c r="J362" s="21" t="str">
        <f aca="false">IF($A362="","",IF($H362="","-",IF($I362&lt;0,"기한초과",IF($I362&lt;=사용안내!$C$16,"임박","정상"))))</f>
        <v/>
      </c>
    </row>
    <row r="363" customFormat="false" ht="15" hidden="false" customHeight="true" outlineLevel="0" collapsed="false">
      <c r="A363" s="20" t="str">
        <f aca="false">IF(OR(직원목록!$A32="",교육과정!$A12="",직원목록!$F32="퇴사"),"",직원목록!$A32)</f>
        <v/>
      </c>
      <c r="B363" s="20" t="str">
        <f aca="false">IF($A363="","",직원목록!$B32)</f>
        <v/>
      </c>
      <c r="C363" s="20" t="str">
        <f aca="false">IF($A363="","",직원목록!$C32)</f>
        <v/>
      </c>
      <c r="D363" s="21" t="str">
        <f aca="false">IF($A363="","",교육과정!$A12)</f>
        <v/>
      </c>
      <c r="E363" s="20" t="str">
        <f aca="false">IF($A363="","",교육과정!$B12)</f>
        <v/>
      </c>
      <c r="F363" s="21" t="str">
        <f aca="false">IF($A363="","",교육과정!$C12)</f>
        <v/>
      </c>
      <c r="G363" s="23" t="str">
        <f aca="false">IF($A363="","",IF(COUNTIFS(이수내역!$B$3:$B$2002,$A363,이수내역!$D$3:$D$2002,$D363)=0,"",SUMPRODUCT(MAX((이수내역!$B$3:$B$2002=$A363)*(이수내역!$D$3:$D$2002=$D363)*이수내역!$A$3:$A$2002))))</f>
        <v/>
      </c>
      <c r="H363" s="23" t="str">
        <f aca="false">IF($A363="","",IF($F363="","",IF($G363="",EDATE(직원목록!$E32,$F363),EDATE($G363,$F363))))</f>
        <v/>
      </c>
      <c r="I363" s="21" t="str">
        <f aca="true">IF($H363="","",$H363-TODAY())</f>
        <v/>
      </c>
      <c r="J363" s="21" t="str">
        <f aca="false">IF($A363="","",IF($H363="","-",IF($I363&lt;0,"기한초과",IF($I363&lt;=사용안내!$C$16,"임박","정상"))))</f>
        <v/>
      </c>
    </row>
    <row r="364" customFormat="false" ht="15" hidden="false" customHeight="true" outlineLevel="0" collapsed="false">
      <c r="A364" s="20" t="str">
        <f aca="false">IF(OR(직원목록!$A32="",교육과정!$A13="",직원목록!$F32="퇴사"),"",직원목록!$A32)</f>
        <v/>
      </c>
      <c r="B364" s="20" t="str">
        <f aca="false">IF($A364="","",직원목록!$B32)</f>
        <v/>
      </c>
      <c r="C364" s="20" t="str">
        <f aca="false">IF($A364="","",직원목록!$C32)</f>
        <v/>
      </c>
      <c r="D364" s="21" t="str">
        <f aca="false">IF($A364="","",교육과정!$A13)</f>
        <v/>
      </c>
      <c r="E364" s="20" t="str">
        <f aca="false">IF($A364="","",교육과정!$B13)</f>
        <v/>
      </c>
      <c r="F364" s="21" t="str">
        <f aca="false">IF($A364="","",교육과정!$C13)</f>
        <v/>
      </c>
      <c r="G364" s="23" t="str">
        <f aca="false">IF($A364="","",IF(COUNTIFS(이수내역!$B$3:$B$2002,$A364,이수내역!$D$3:$D$2002,$D364)=0,"",SUMPRODUCT(MAX((이수내역!$B$3:$B$2002=$A364)*(이수내역!$D$3:$D$2002=$D364)*이수내역!$A$3:$A$2002))))</f>
        <v/>
      </c>
      <c r="H364" s="23" t="str">
        <f aca="false">IF($A364="","",IF($F364="","",IF($G364="",EDATE(직원목록!$E32,$F364),EDATE($G364,$F364))))</f>
        <v/>
      </c>
      <c r="I364" s="21" t="str">
        <f aca="true">IF($H364="","",$H364-TODAY())</f>
        <v/>
      </c>
      <c r="J364" s="21" t="str">
        <f aca="false">IF($A364="","",IF($H364="","-",IF($I364&lt;0,"기한초과",IF($I364&lt;=사용안내!$C$16,"임박","정상"))))</f>
        <v/>
      </c>
    </row>
    <row r="365" customFormat="false" ht="15" hidden="false" customHeight="true" outlineLevel="0" collapsed="false">
      <c r="A365" s="20" t="str">
        <f aca="false">IF(OR(직원목록!$A32="",교육과정!$A14="",직원목록!$F32="퇴사"),"",직원목록!$A32)</f>
        <v/>
      </c>
      <c r="B365" s="20" t="str">
        <f aca="false">IF($A365="","",직원목록!$B32)</f>
        <v/>
      </c>
      <c r="C365" s="20" t="str">
        <f aca="false">IF($A365="","",직원목록!$C32)</f>
        <v/>
      </c>
      <c r="D365" s="21" t="str">
        <f aca="false">IF($A365="","",교육과정!$A14)</f>
        <v/>
      </c>
      <c r="E365" s="20" t="str">
        <f aca="false">IF($A365="","",교육과정!$B14)</f>
        <v/>
      </c>
      <c r="F365" s="21" t="str">
        <f aca="false">IF($A365="","",교육과정!$C14)</f>
        <v/>
      </c>
      <c r="G365" s="23" t="str">
        <f aca="false">IF($A365="","",IF(COUNTIFS(이수내역!$B$3:$B$2002,$A365,이수내역!$D$3:$D$2002,$D365)=0,"",SUMPRODUCT(MAX((이수내역!$B$3:$B$2002=$A365)*(이수내역!$D$3:$D$2002=$D365)*이수내역!$A$3:$A$2002))))</f>
        <v/>
      </c>
      <c r="H365" s="23" t="str">
        <f aca="false">IF($A365="","",IF($F365="","",IF($G365="",EDATE(직원목록!$E32,$F365),EDATE($G365,$F365))))</f>
        <v/>
      </c>
      <c r="I365" s="21" t="str">
        <f aca="true">IF($H365="","",$H365-TODAY())</f>
        <v/>
      </c>
      <c r="J365" s="21" t="str">
        <f aca="false">IF($A365="","",IF($H365="","-",IF($I365&lt;0,"기한초과",IF($I365&lt;=사용안내!$C$16,"임박","정상"))))</f>
        <v/>
      </c>
    </row>
    <row r="366" customFormat="false" ht="15" hidden="false" customHeight="true" outlineLevel="0" collapsed="false">
      <c r="A366" s="20" t="str">
        <f aca="false">IF(OR(직원목록!$A33="",교육과정!$A3="",직원목록!$F33="퇴사"),"",직원목록!$A33)</f>
        <v/>
      </c>
      <c r="B366" s="20" t="str">
        <f aca="false">IF($A366="","",직원목록!$B33)</f>
        <v/>
      </c>
      <c r="C366" s="20" t="str">
        <f aca="false">IF($A366="","",직원목록!$C33)</f>
        <v/>
      </c>
      <c r="D366" s="21" t="str">
        <f aca="false">IF($A366="","",교육과정!$A3)</f>
        <v/>
      </c>
      <c r="E366" s="20" t="str">
        <f aca="false">IF($A366="","",교육과정!$B3)</f>
        <v/>
      </c>
      <c r="F366" s="21" t="str">
        <f aca="false">IF($A366="","",교육과정!$C3)</f>
        <v/>
      </c>
      <c r="G366" s="23" t="str">
        <f aca="false">IF($A366="","",IF(COUNTIFS(이수내역!$B$3:$B$2002,$A366,이수내역!$D$3:$D$2002,$D366)=0,"",SUMPRODUCT(MAX((이수내역!$B$3:$B$2002=$A366)*(이수내역!$D$3:$D$2002=$D366)*이수내역!$A$3:$A$2002))))</f>
        <v/>
      </c>
      <c r="H366" s="23" t="str">
        <f aca="false">IF($A366="","",IF($F366="","",IF($G366="",EDATE(직원목록!$E33,$F366),EDATE($G366,$F366))))</f>
        <v/>
      </c>
      <c r="I366" s="21" t="str">
        <f aca="true">IF($H366="","",$H366-TODAY())</f>
        <v/>
      </c>
      <c r="J366" s="21" t="str">
        <f aca="false">IF($A366="","",IF($H366="","-",IF($I366&lt;0,"기한초과",IF($I366&lt;=사용안내!$C$16,"임박","정상"))))</f>
        <v/>
      </c>
    </row>
    <row r="367" customFormat="false" ht="15" hidden="false" customHeight="true" outlineLevel="0" collapsed="false">
      <c r="A367" s="20" t="str">
        <f aca="false">IF(OR(직원목록!$A33="",교육과정!$A4="",직원목록!$F33="퇴사"),"",직원목록!$A33)</f>
        <v/>
      </c>
      <c r="B367" s="20" t="str">
        <f aca="false">IF($A367="","",직원목록!$B33)</f>
        <v/>
      </c>
      <c r="C367" s="20" t="str">
        <f aca="false">IF($A367="","",직원목록!$C33)</f>
        <v/>
      </c>
      <c r="D367" s="21" t="str">
        <f aca="false">IF($A367="","",교육과정!$A4)</f>
        <v/>
      </c>
      <c r="E367" s="20" t="str">
        <f aca="false">IF($A367="","",교육과정!$B4)</f>
        <v/>
      </c>
      <c r="F367" s="21" t="str">
        <f aca="false">IF($A367="","",교육과정!$C4)</f>
        <v/>
      </c>
      <c r="G367" s="23" t="str">
        <f aca="false">IF($A367="","",IF(COUNTIFS(이수내역!$B$3:$B$2002,$A367,이수내역!$D$3:$D$2002,$D367)=0,"",SUMPRODUCT(MAX((이수내역!$B$3:$B$2002=$A367)*(이수내역!$D$3:$D$2002=$D367)*이수내역!$A$3:$A$2002))))</f>
        <v/>
      </c>
      <c r="H367" s="23" t="str">
        <f aca="false">IF($A367="","",IF($F367="","",IF($G367="",EDATE(직원목록!$E33,$F367),EDATE($G367,$F367))))</f>
        <v/>
      </c>
      <c r="I367" s="21" t="str">
        <f aca="true">IF($H367="","",$H367-TODAY())</f>
        <v/>
      </c>
      <c r="J367" s="21" t="str">
        <f aca="false">IF($A367="","",IF($H367="","-",IF($I367&lt;0,"기한초과",IF($I367&lt;=사용안내!$C$16,"임박","정상"))))</f>
        <v/>
      </c>
    </row>
    <row r="368" customFormat="false" ht="15" hidden="false" customHeight="true" outlineLevel="0" collapsed="false">
      <c r="A368" s="20" t="str">
        <f aca="false">IF(OR(직원목록!$A33="",교육과정!$A5="",직원목록!$F33="퇴사"),"",직원목록!$A33)</f>
        <v/>
      </c>
      <c r="B368" s="20" t="str">
        <f aca="false">IF($A368="","",직원목록!$B33)</f>
        <v/>
      </c>
      <c r="C368" s="20" t="str">
        <f aca="false">IF($A368="","",직원목록!$C33)</f>
        <v/>
      </c>
      <c r="D368" s="21" t="str">
        <f aca="false">IF($A368="","",교육과정!$A5)</f>
        <v/>
      </c>
      <c r="E368" s="20" t="str">
        <f aca="false">IF($A368="","",교육과정!$B5)</f>
        <v/>
      </c>
      <c r="F368" s="21" t="str">
        <f aca="false">IF($A368="","",교육과정!$C5)</f>
        <v/>
      </c>
      <c r="G368" s="23" t="str">
        <f aca="false">IF($A368="","",IF(COUNTIFS(이수내역!$B$3:$B$2002,$A368,이수내역!$D$3:$D$2002,$D368)=0,"",SUMPRODUCT(MAX((이수내역!$B$3:$B$2002=$A368)*(이수내역!$D$3:$D$2002=$D368)*이수내역!$A$3:$A$2002))))</f>
        <v/>
      </c>
      <c r="H368" s="23" t="str">
        <f aca="false">IF($A368="","",IF($F368="","",IF($G368="",EDATE(직원목록!$E33,$F368),EDATE($G368,$F368))))</f>
        <v/>
      </c>
      <c r="I368" s="21" t="str">
        <f aca="true">IF($H368="","",$H368-TODAY())</f>
        <v/>
      </c>
      <c r="J368" s="21" t="str">
        <f aca="false">IF($A368="","",IF($H368="","-",IF($I368&lt;0,"기한초과",IF($I368&lt;=사용안내!$C$16,"임박","정상"))))</f>
        <v/>
      </c>
    </row>
    <row r="369" customFormat="false" ht="15" hidden="false" customHeight="true" outlineLevel="0" collapsed="false">
      <c r="A369" s="20" t="str">
        <f aca="false">IF(OR(직원목록!$A33="",교육과정!$A6="",직원목록!$F33="퇴사"),"",직원목록!$A33)</f>
        <v/>
      </c>
      <c r="B369" s="20" t="str">
        <f aca="false">IF($A369="","",직원목록!$B33)</f>
        <v/>
      </c>
      <c r="C369" s="20" t="str">
        <f aca="false">IF($A369="","",직원목록!$C33)</f>
        <v/>
      </c>
      <c r="D369" s="21" t="str">
        <f aca="false">IF($A369="","",교육과정!$A6)</f>
        <v/>
      </c>
      <c r="E369" s="20" t="str">
        <f aca="false">IF($A369="","",교육과정!$B6)</f>
        <v/>
      </c>
      <c r="F369" s="21" t="str">
        <f aca="false">IF($A369="","",교육과정!$C6)</f>
        <v/>
      </c>
      <c r="G369" s="23" t="str">
        <f aca="false">IF($A369="","",IF(COUNTIFS(이수내역!$B$3:$B$2002,$A369,이수내역!$D$3:$D$2002,$D369)=0,"",SUMPRODUCT(MAX((이수내역!$B$3:$B$2002=$A369)*(이수내역!$D$3:$D$2002=$D369)*이수내역!$A$3:$A$2002))))</f>
        <v/>
      </c>
      <c r="H369" s="23" t="str">
        <f aca="false">IF($A369="","",IF($F369="","",IF($G369="",EDATE(직원목록!$E33,$F369),EDATE($G369,$F369))))</f>
        <v/>
      </c>
      <c r="I369" s="21" t="str">
        <f aca="true">IF($H369="","",$H369-TODAY())</f>
        <v/>
      </c>
      <c r="J369" s="21" t="str">
        <f aca="false">IF($A369="","",IF($H369="","-",IF($I369&lt;0,"기한초과",IF($I369&lt;=사용안내!$C$16,"임박","정상"))))</f>
        <v/>
      </c>
    </row>
    <row r="370" customFormat="false" ht="15" hidden="false" customHeight="true" outlineLevel="0" collapsed="false">
      <c r="A370" s="20" t="str">
        <f aca="false">IF(OR(직원목록!$A33="",교육과정!$A7="",직원목록!$F33="퇴사"),"",직원목록!$A33)</f>
        <v/>
      </c>
      <c r="B370" s="20" t="str">
        <f aca="false">IF($A370="","",직원목록!$B33)</f>
        <v/>
      </c>
      <c r="C370" s="20" t="str">
        <f aca="false">IF($A370="","",직원목록!$C33)</f>
        <v/>
      </c>
      <c r="D370" s="21" t="str">
        <f aca="false">IF($A370="","",교육과정!$A7)</f>
        <v/>
      </c>
      <c r="E370" s="20" t="str">
        <f aca="false">IF($A370="","",교육과정!$B7)</f>
        <v/>
      </c>
      <c r="F370" s="21" t="str">
        <f aca="false">IF($A370="","",교육과정!$C7)</f>
        <v/>
      </c>
      <c r="G370" s="23" t="str">
        <f aca="false">IF($A370="","",IF(COUNTIFS(이수내역!$B$3:$B$2002,$A370,이수내역!$D$3:$D$2002,$D370)=0,"",SUMPRODUCT(MAX((이수내역!$B$3:$B$2002=$A370)*(이수내역!$D$3:$D$2002=$D370)*이수내역!$A$3:$A$2002))))</f>
        <v/>
      </c>
      <c r="H370" s="23" t="str">
        <f aca="false">IF($A370="","",IF($F370="","",IF($G370="",EDATE(직원목록!$E33,$F370),EDATE($G370,$F370))))</f>
        <v/>
      </c>
      <c r="I370" s="21" t="str">
        <f aca="true">IF($H370="","",$H370-TODAY())</f>
        <v/>
      </c>
      <c r="J370" s="21" t="str">
        <f aca="false">IF($A370="","",IF($H370="","-",IF($I370&lt;0,"기한초과",IF($I370&lt;=사용안내!$C$16,"임박","정상"))))</f>
        <v/>
      </c>
    </row>
    <row r="371" customFormat="false" ht="15" hidden="false" customHeight="true" outlineLevel="0" collapsed="false">
      <c r="A371" s="20" t="str">
        <f aca="false">IF(OR(직원목록!$A33="",교육과정!$A8="",직원목록!$F33="퇴사"),"",직원목록!$A33)</f>
        <v/>
      </c>
      <c r="B371" s="20" t="str">
        <f aca="false">IF($A371="","",직원목록!$B33)</f>
        <v/>
      </c>
      <c r="C371" s="20" t="str">
        <f aca="false">IF($A371="","",직원목록!$C33)</f>
        <v/>
      </c>
      <c r="D371" s="21" t="str">
        <f aca="false">IF($A371="","",교육과정!$A8)</f>
        <v/>
      </c>
      <c r="E371" s="20" t="str">
        <f aca="false">IF($A371="","",교육과정!$B8)</f>
        <v/>
      </c>
      <c r="F371" s="21" t="str">
        <f aca="false">IF($A371="","",교육과정!$C8)</f>
        <v/>
      </c>
      <c r="G371" s="23" t="str">
        <f aca="false">IF($A371="","",IF(COUNTIFS(이수내역!$B$3:$B$2002,$A371,이수내역!$D$3:$D$2002,$D371)=0,"",SUMPRODUCT(MAX((이수내역!$B$3:$B$2002=$A371)*(이수내역!$D$3:$D$2002=$D371)*이수내역!$A$3:$A$2002))))</f>
        <v/>
      </c>
      <c r="H371" s="23" t="str">
        <f aca="false">IF($A371="","",IF($F371="","",IF($G371="",EDATE(직원목록!$E33,$F371),EDATE($G371,$F371))))</f>
        <v/>
      </c>
      <c r="I371" s="21" t="str">
        <f aca="true">IF($H371="","",$H371-TODAY())</f>
        <v/>
      </c>
      <c r="J371" s="21" t="str">
        <f aca="false">IF($A371="","",IF($H371="","-",IF($I371&lt;0,"기한초과",IF($I371&lt;=사용안내!$C$16,"임박","정상"))))</f>
        <v/>
      </c>
    </row>
    <row r="372" customFormat="false" ht="15" hidden="false" customHeight="true" outlineLevel="0" collapsed="false">
      <c r="A372" s="20" t="str">
        <f aca="false">IF(OR(직원목록!$A33="",교육과정!$A9="",직원목록!$F33="퇴사"),"",직원목록!$A33)</f>
        <v/>
      </c>
      <c r="B372" s="20" t="str">
        <f aca="false">IF($A372="","",직원목록!$B33)</f>
        <v/>
      </c>
      <c r="C372" s="20" t="str">
        <f aca="false">IF($A372="","",직원목록!$C33)</f>
        <v/>
      </c>
      <c r="D372" s="21" t="str">
        <f aca="false">IF($A372="","",교육과정!$A9)</f>
        <v/>
      </c>
      <c r="E372" s="20" t="str">
        <f aca="false">IF($A372="","",교육과정!$B9)</f>
        <v/>
      </c>
      <c r="F372" s="21" t="str">
        <f aca="false">IF($A372="","",교육과정!$C9)</f>
        <v/>
      </c>
      <c r="G372" s="23" t="str">
        <f aca="false">IF($A372="","",IF(COUNTIFS(이수내역!$B$3:$B$2002,$A372,이수내역!$D$3:$D$2002,$D372)=0,"",SUMPRODUCT(MAX((이수내역!$B$3:$B$2002=$A372)*(이수내역!$D$3:$D$2002=$D372)*이수내역!$A$3:$A$2002))))</f>
        <v/>
      </c>
      <c r="H372" s="23" t="str">
        <f aca="false">IF($A372="","",IF($F372="","",IF($G372="",EDATE(직원목록!$E33,$F372),EDATE($G372,$F372))))</f>
        <v/>
      </c>
      <c r="I372" s="21" t="str">
        <f aca="true">IF($H372="","",$H372-TODAY())</f>
        <v/>
      </c>
      <c r="J372" s="21" t="str">
        <f aca="false">IF($A372="","",IF($H372="","-",IF($I372&lt;0,"기한초과",IF($I372&lt;=사용안내!$C$16,"임박","정상"))))</f>
        <v/>
      </c>
    </row>
    <row r="373" customFormat="false" ht="15" hidden="false" customHeight="true" outlineLevel="0" collapsed="false">
      <c r="A373" s="20" t="str">
        <f aca="false">IF(OR(직원목록!$A33="",교육과정!$A10="",직원목록!$F33="퇴사"),"",직원목록!$A33)</f>
        <v/>
      </c>
      <c r="B373" s="20" t="str">
        <f aca="false">IF($A373="","",직원목록!$B33)</f>
        <v/>
      </c>
      <c r="C373" s="20" t="str">
        <f aca="false">IF($A373="","",직원목록!$C33)</f>
        <v/>
      </c>
      <c r="D373" s="21" t="str">
        <f aca="false">IF($A373="","",교육과정!$A10)</f>
        <v/>
      </c>
      <c r="E373" s="20" t="str">
        <f aca="false">IF($A373="","",교육과정!$B10)</f>
        <v/>
      </c>
      <c r="F373" s="21" t="str">
        <f aca="false">IF($A373="","",교육과정!$C10)</f>
        <v/>
      </c>
      <c r="G373" s="23" t="str">
        <f aca="false">IF($A373="","",IF(COUNTIFS(이수내역!$B$3:$B$2002,$A373,이수내역!$D$3:$D$2002,$D373)=0,"",SUMPRODUCT(MAX((이수내역!$B$3:$B$2002=$A373)*(이수내역!$D$3:$D$2002=$D373)*이수내역!$A$3:$A$2002))))</f>
        <v/>
      </c>
      <c r="H373" s="23" t="str">
        <f aca="false">IF($A373="","",IF($F373="","",IF($G373="",EDATE(직원목록!$E33,$F373),EDATE($G373,$F373))))</f>
        <v/>
      </c>
      <c r="I373" s="21" t="str">
        <f aca="true">IF($H373="","",$H373-TODAY())</f>
        <v/>
      </c>
      <c r="J373" s="21" t="str">
        <f aca="false">IF($A373="","",IF($H373="","-",IF($I373&lt;0,"기한초과",IF($I373&lt;=사용안내!$C$16,"임박","정상"))))</f>
        <v/>
      </c>
    </row>
    <row r="374" customFormat="false" ht="15" hidden="false" customHeight="true" outlineLevel="0" collapsed="false">
      <c r="A374" s="20" t="str">
        <f aca="false">IF(OR(직원목록!$A33="",교육과정!$A11="",직원목록!$F33="퇴사"),"",직원목록!$A33)</f>
        <v/>
      </c>
      <c r="B374" s="20" t="str">
        <f aca="false">IF($A374="","",직원목록!$B33)</f>
        <v/>
      </c>
      <c r="C374" s="20" t="str">
        <f aca="false">IF($A374="","",직원목록!$C33)</f>
        <v/>
      </c>
      <c r="D374" s="21" t="str">
        <f aca="false">IF($A374="","",교육과정!$A11)</f>
        <v/>
      </c>
      <c r="E374" s="20" t="str">
        <f aca="false">IF($A374="","",교육과정!$B11)</f>
        <v/>
      </c>
      <c r="F374" s="21" t="str">
        <f aca="false">IF($A374="","",교육과정!$C11)</f>
        <v/>
      </c>
      <c r="G374" s="23" t="str">
        <f aca="false">IF($A374="","",IF(COUNTIFS(이수내역!$B$3:$B$2002,$A374,이수내역!$D$3:$D$2002,$D374)=0,"",SUMPRODUCT(MAX((이수내역!$B$3:$B$2002=$A374)*(이수내역!$D$3:$D$2002=$D374)*이수내역!$A$3:$A$2002))))</f>
        <v/>
      </c>
      <c r="H374" s="23" t="str">
        <f aca="false">IF($A374="","",IF($F374="","",IF($G374="",EDATE(직원목록!$E33,$F374),EDATE($G374,$F374))))</f>
        <v/>
      </c>
      <c r="I374" s="21" t="str">
        <f aca="true">IF($H374="","",$H374-TODAY())</f>
        <v/>
      </c>
      <c r="J374" s="21" t="str">
        <f aca="false">IF($A374="","",IF($H374="","-",IF($I374&lt;0,"기한초과",IF($I374&lt;=사용안내!$C$16,"임박","정상"))))</f>
        <v/>
      </c>
    </row>
    <row r="375" customFormat="false" ht="15" hidden="false" customHeight="true" outlineLevel="0" collapsed="false">
      <c r="A375" s="20" t="str">
        <f aca="false">IF(OR(직원목록!$A33="",교육과정!$A12="",직원목록!$F33="퇴사"),"",직원목록!$A33)</f>
        <v/>
      </c>
      <c r="B375" s="20" t="str">
        <f aca="false">IF($A375="","",직원목록!$B33)</f>
        <v/>
      </c>
      <c r="C375" s="20" t="str">
        <f aca="false">IF($A375="","",직원목록!$C33)</f>
        <v/>
      </c>
      <c r="D375" s="21" t="str">
        <f aca="false">IF($A375="","",교육과정!$A12)</f>
        <v/>
      </c>
      <c r="E375" s="20" t="str">
        <f aca="false">IF($A375="","",교육과정!$B12)</f>
        <v/>
      </c>
      <c r="F375" s="21" t="str">
        <f aca="false">IF($A375="","",교육과정!$C12)</f>
        <v/>
      </c>
      <c r="G375" s="23" t="str">
        <f aca="false">IF($A375="","",IF(COUNTIFS(이수내역!$B$3:$B$2002,$A375,이수내역!$D$3:$D$2002,$D375)=0,"",SUMPRODUCT(MAX((이수내역!$B$3:$B$2002=$A375)*(이수내역!$D$3:$D$2002=$D375)*이수내역!$A$3:$A$2002))))</f>
        <v/>
      </c>
      <c r="H375" s="23" t="str">
        <f aca="false">IF($A375="","",IF($F375="","",IF($G375="",EDATE(직원목록!$E33,$F375),EDATE($G375,$F375))))</f>
        <v/>
      </c>
      <c r="I375" s="21" t="str">
        <f aca="true">IF($H375="","",$H375-TODAY())</f>
        <v/>
      </c>
      <c r="J375" s="21" t="str">
        <f aca="false">IF($A375="","",IF($H375="","-",IF($I375&lt;0,"기한초과",IF($I375&lt;=사용안내!$C$16,"임박","정상"))))</f>
        <v/>
      </c>
    </row>
    <row r="376" customFormat="false" ht="15" hidden="false" customHeight="true" outlineLevel="0" collapsed="false">
      <c r="A376" s="20" t="str">
        <f aca="false">IF(OR(직원목록!$A33="",교육과정!$A13="",직원목록!$F33="퇴사"),"",직원목록!$A33)</f>
        <v/>
      </c>
      <c r="B376" s="20" t="str">
        <f aca="false">IF($A376="","",직원목록!$B33)</f>
        <v/>
      </c>
      <c r="C376" s="20" t="str">
        <f aca="false">IF($A376="","",직원목록!$C33)</f>
        <v/>
      </c>
      <c r="D376" s="21" t="str">
        <f aca="false">IF($A376="","",교육과정!$A13)</f>
        <v/>
      </c>
      <c r="E376" s="20" t="str">
        <f aca="false">IF($A376="","",교육과정!$B13)</f>
        <v/>
      </c>
      <c r="F376" s="21" t="str">
        <f aca="false">IF($A376="","",교육과정!$C13)</f>
        <v/>
      </c>
      <c r="G376" s="23" t="str">
        <f aca="false">IF($A376="","",IF(COUNTIFS(이수내역!$B$3:$B$2002,$A376,이수내역!$D$3:$D$2002,$D376)=0,"",SUMPRODUCT(MAX((이수내역!$B$3:$B$2002=$A376)*(이수내역!$D$3:$D$2002=$D376)*이수내역!$A$3:$A$2002))))</f>
        <v/>
      </c>
      <c r="H376" s="23" t="str">
        <f aca="false">IF($A376="","",IF($F376="","",IF($G376="",EDATE(직원목록!$E33,$F376),EDATE($G376,$F376))))</f>
        <v/>
      </c>
      <c r="I376" s="21" t="str">
        <f aca="true">IF($H376="","",$H376-TODAY())</f>
        <v/>
      </c>
      <c r="J376" s="21" t="str">
        <f aca="false">IF($A376="","",IF($H376="","-",IF($I376&lt;0,"기한초과",IF($I376&lt;=사용안내!$C$16,"임박","정상"))))</f>
        <v/>
      </c>
    </row>
    <row r="377" customFormat="false" ht="15" hidden="false" customHeight="true" outlineLevel="0" collapsed="false">
      <c r="A377" s="20" t="str">
        <f aca="false">IF(OR(직원목록!$A33="",교육과정!$A14="",직원목록!$F33="퇴사"),"",직원목록!$A33)</f>
        <v/>
      </c>
      <c r="B377" s="20" t="str">
        <f aca="false">IF($A377="","",직원목록!$B33)</f>
        <v/>
      </c>
      <c r="C377" s="20" t="str">
        <f aca="false">IF($A377="","",직원목록!$C33)</f>
        <v/>
      </c>
      <c r="D377" s="21" t="str">
        <f aca="false">IF($A377="","",교육과정!$A14)</f>
        <v/>
      </c>
      <c r="E377" s="20" t="str">
        <f aca="false">IF($A377="","",교육과정!$B14)</f>
        <v/>
      </c>
      <c r="F377" s="21" t="str">
        <f aca="false">IF($A377="","",교육과정!$C14)</f>
        <v/>
      </c>
      <c r="G377" s="23" t="str">
        <f aca="false">IF($A377="","",IF(COUNTIFS(이수내역!$B$3:$B$2002,$A377,이수내역!$D$3:$D$2002,$D377)=0,"",SUMPRODUCT(MAX((이수내역!$B$3:$B$2002=$A377)*(이수내역!$D$3:$D$2002=$D377)*이수내역!$A$3:$A$2002))))</f>
        <v/>
      </c>
      <c r="H377" s="23" t="str">
        <f aca="false">IF($A377="","",IF($F377="","",IF($G377="",EDATE(직원목록!$E33,$F377),EDATE($G377,$F377))))</f>
        <v/>
      </c>
      <c r="I377" s="21" t="str">
        <f aca="true">IF($H377="","",$H377-TODAY())</f>
        <v/>
      </c>
      <c r="J377" s="21" t="str">
        <f aca="false">IF($A377="","",IF($H377="","-",IF($I377&lt;0,"기한초과",IF($I377&lt;=사용안내!$C$16,"임박","정상"))))</f>
        <v/>
      </c>
    </row>
    <row r="378" customFormat="false" ht="15" hidden="false" customHeight="true" outlineLevel="0" collapsed="false">
      <c r="A378" s="20" t="str">
        <f aca="false">IF(OR(직원목록!$A34="",교육과정!$A3="",직원목록!$F34="퇴사"),"",직원목록!$A34)</f>
        <v/>
      </c>
      <c r="B378" s="20" t="str">
        <f aca="false">IF($A378="","",직원목록!$B34)</f>
        <v/>
      </c>
      <c r="C378" s="20" t="str">
        <f aca="false">IF($A378="","",직원목록!$C34)</f>
        <v/>
      </c>
      <c r="D378" s="21" t="str">
        <f aca="false">IF($A378="","",교육과정!$A3)</f>
        <v/>
      </c>
      <c r="E378" s="20" t="str">
        <f aca="false">IF($A378="","",교육과정!$B3)</f>
        <v/>
      </c>
      <c r="F378" s="21" t="str">
        <f aca="false">IF($A378="","",교육과정!$C3)</f>
        <v/>
      </c>
      <c r="G378" s="23" t="str">
        <f aca="false">IF($A378="","",IF(COUNTIFS(이수내역!$B$3:$B$2002,$A378,이수내역!$D$3:$D$2002,$D378)=0,"",SUMPRODUCT(MAX((이수내역!$B$3:$B$2002=$A378)*(이수내역!$D$3:$D$2002=$D378)*이수내역!$A$3:$A$2002))))</f>
        <v/>
      </c>
      <c r="H378" s="23" t="str">
        <f aca="false">IF($A378="","",IF($F378="","",IF($G378="",EDATE(직원목록!$E34,$F378),EDATE($G378,$F378))))</f>
        <v/>
      </c>
      <c r="I378" s="21" t="str">
        <f aca="true">IF($H378="","",$H378-TODAY())</f>
        <v/>
      </c>
      <c r="J378" s="21" t="str">
        <f aca="false">IF($A378="","",IF($H378="","-",IF($I378&lt;0,"기한초과",IF($I378&lt;=사용안내!$C$16,"임박","정상"))))</f>
        <v/>
      </c>
    </row>
    <row r="379" customFormat="false" ht="15" hidden="false" customHeight="true" outlineLevel="0" collapsed="false">
      <c r="A379" s="20" t="str">
        <f aca="false">IF(OR(직원목록!$A34="",교육과정!$A4="",직원목록!$F34="퇴사"),"",직원목록!$A34)</f>
        <v/>
      </c>
      <c r="B379" s="20" t="str">
        <f aca="false">IF($A379="","",직원목록!$B34)</f>
        <v/>
      </c>
      <c r="C379" s="20" t="str">
        <f aca="false">IF($A379="","",직원목록!$C34)</f>
        <v/>
      </c>
      <c r="D379" s="21" t="str">
        <f aca="false">IF($A379="","",교육과정!$A4)</f>
        <v/>
      </c>
      <c r="E379" s="20" t="str">
        <f aca="false">IF($A379="","",교육과정!$B4)</f>
        <v/>
      </c>
      <c r="F379" s="21" t="str">
        <f aca="false">IF($A379="","",교육과정!$C4)</f>
        <v/>
      </c>
      <c r="G379" s="23" t="str">
        <f aca="false">IF($A379="","",IF(COUNTIFS(이수내역!$B$3:$B$2002,$A379,이수내역!$D$3:$D$2002,$D379)=0,"",SUMPRODUCT(MAX((이수내역!$B$3:$B$2002=$A379)*(이수내역!$D$3:$D$2002=$D379)*이수내역!$A$3:$A$2002))))</f>
        <v/>
      </c>
      <c r="H379" s="23" t="str">
        <f aca="false">IF($A379="","",IF($F379="","",IF($G379="",EDATE(직원목록!$E34,$F379),EDATE($G379,$F379))))</f>
        <v/>
      </c>
      <c r="I379" s="21" t="str">
        <f aca="true">IF($H379="","",$H379-TODAY())</f>
        <v/>
      </c>
      <c r="J379" s="21" t="str">
        <f aca="false">IF($A379="","",IF($H379="","-",IF($I379&lt;0,"기한초과",IF($I379&lt;=사용안내!$C$16,"임박","정상"))))</f>
        <v/>
      </c>
    </row>
    <row r="380" customFormat="false" ht="15" hidden="false" customHeight="true" outlineLevel="0" collapsed="false">
      <c r="A380" s="20" t="str">
        <f aca="false">IF(OR(직원목록!$A34="",교육과정!$A5="",직원목록!$F34="퇴사"),"",직원목록!$A34)</f>
        <v/>
      </c>
      <c r="B380" s="20" t="str">
        <f aca="false">IF($A380="","",직원목록!$B34)</f>
        <v/>
      </c>
      <c r="C380" s="20" t="str">
        <f aca="false">IF($A380="","",직원목록!$C34)</f>
        <v/>
      </c>
      <c r="D380" s="21" t="str">
        <f aca="false">IF($A380="","",교육과정!$A5)</f>
        <v/>
      </c>
      <c r="E380" s="20" t="str">
        <f aca="false">IF($A380="","",교육과정!$B5)</f>
        <v/>
      </c>
      <c r="F380" s="21" t="str">
        <f aca="false">IF($A380="","",교육과정!$C5)</f>
        <v/>
      </c>
      <c r="G380" s="23" t="str">
        <f aca="false">IF($A380="","",IF(COUNTIFS(이수내역!$B$3:$B$2002,$A380,이수내역!$D$3:$D$2002,$D380)=0,"",SUMPRODUCT(MAX((이수내역!$B$3:$B$2002=$A380)*(이수내역!$D$3:$D$2002=$D380)*이수내역!$A$3:$A$2002))))</f>
        <v/>
      </c>
      <c r="H380" s="23" t="str">
        <f aca="false">IF($A380="","",IF($F380="","",IF($G380="",EDATE(직원목록!$E34,$F380),EDATE($G380,$F380))))</f>
        <v/>
      </c>
      <c r="I380" s="21" t="str">
        <f aca="true">IF($H380="","",$H380-TODAY())</f>
        <v/>
      </c>
      <c r="J380" s="21" t="str">
        <f aca="false">IF($A380="","",IF($H380="","-",IF($I380&lt;0,"기한초과",IF($I380&lt;=사용안내!$C$16,"임박","정상"))))</f>
        <v/>
      </c>
    </row>
    <row r="381" customFormat="false" ht="15" hidden="false" customHeight="true" outlineLevel="0" collapsed="false">
      <c r="A381" s="20" t="str">
        <f aca="false">IF(OR(직원목록!$A34="",교육과정!$A6="",직원목록!$F34="퇴사"),"",직원목록!$A34)</f>
        <v/>
      </c>
      <c r="B381" s="20" t="str">
        <f aca="false">IF($A381="","",직원목록!$B34)</f>
        <v/>
      </c>
      <c r="C381" s="20" t="str">
        <f aca="false">IF($A381="","",직원목록!$C34)</f>
        <v/>
      </c>
      <c r="D381" s="21" t="str">
        <f aca="false">IF($A381="","",교육과정!$A6)</f>
        <v/>
      </c>
      <c r="E381" s="20" t="str">
        <f aca="false">IF($A381="","",교육과정!$B6)</f>
        <v/>
      </c>
      <c r="F381" s="21" t="str">
        <f aca="false">IF($A381="","",교육과정!$C6)</f>
        <v/>
      </c>
      <c r="G381" s="23" t="str">
        <f aca="false">IF($A381="","",IF(COUNTIFS(이수내역!$B$3:$B$2002,$A381,이수내역!$D$3:$D$2002,$D381)=0,"",SUMPRODUCT(MAX((이수내역!$B$3:$B$2002=$A381)*(이수내역!$D$3:$D$2002=$D381)*이수내역!$A$3:$A$2002))))</f>
        <v/>
      </c>
      <c r="H381" s="23" t="str">
        <f aca="false">IF($A381="","",IF($F381="","",IF($G381="",EDATE(직원목록!$E34,$F381),EDATE($G381,$F381))))</f>
        <v/>
      </c>
      <c r="I381" s="21" t="str">
        <f aca="true">IF($H381="","",$H381-TODAY())</f>
        <v/>
      </c>
      <c r="J381" s="21" t="str">
        <f aca="false">IF($A381="","",IF($H381="","-",IF($I381&lt;0,"기한초과",IF($I381&lt;=사용안내!$C$16,"임박","정상"))))</f>
        <v/>
      </c>
    </row>
    <row r="382" customFormat="false" ht="15" hidden="false" customHeight="true" outlineLevel="0" collapsed="false">
      <c r="A382" s="20" t="str">
        <f aca="false">IF(OR(직원목록!$A34="",교육과정!$A7="",직원목록!$F34="퇴사"),"",직원목록!$A34)</f>
        <v/>
      </c>
      <c r="B382" s="20" t="str">
        <f aca="false">IF($A382="","",직원목록!$B34)</f>
        <v/>
      </c>
      <c r="C382" s="20" t="str">
        <f aca="false">IF($A382="","",직원목록!$C34)</f>
        <v/>
      </c>
      <c r="D382" s="21" t="str">
        <f aca="false">IF($A382="","",교육과정!$A7)</f>
        <v/>
      </c>
      <c r="E382" s="20" t="str">
        <f aca="false">IF($A382="","",교육과정!$B7)</f>
        <v/>
      </c>
      <c r="F382" s="21" t="str">
        <f aca="false">IF($A382="","",교육과정!$C7)</f>
        <v/>
      </c>
      <c r="G382" s="23" t="str">
        <f aca="false">IF($A382="","",IF(COUNTIFS(이수내역!$B$3:$B$2002,$A382,이수내역!$D$3:$D$2002,$D382)=0,"",SUMPRODUCT(MAX((이수내역!$B$3:$B$2002=$A382)*(이수내역!$D$3:$D$2002=$D382)*이수내역!$A$3:$A$2002))))</f>
        <v/>
      </c>
      <c r="H382" s="23" t="str">
        <f aca="false">IF($A382="","",IF($F382="","",IF($G382="",EDATE(직원목록!$E34,$F382),EDATE($G382,$F382))))</f>
        <v/>
      </c>
      <c r="I382" s="21" t="str">
        <f aca="true">IF($H382="","",$H382-TODAY())</f>
        <v/>
      </c>
      <c r="J382" s="21" t="str">
        <f aca="false">IF($A382="","",IF($H382="","-",IF($I382&lt;0,"기한초과",IF($I382&lt;=사용안내!$C$16,"임박","정상"))))</f>
        <v/>
      </c>
    </row>
    <row r="383" customFormat="false" ht="15" hidden="false" customHeight="true" outlineLevel="0" collapsed="false">
      <c r="A383" s="20" t="str">
        <f aca="false">IF(OR(직원목록!$A34="",교육과정!$A8="",직원목록!$F34="퇴사"),"",직원목록!$A34)</f>
        <v/>
      </c>
      <c r="B383" s="20" t="str">
        <f aca="false">IF($A383="","",직원목록!$B34)</f>
        <v/>
      </c>
      <c r="C383" s="20" t="str">
        <f aca="false">IF($A383="","",직원목록!$C34)</f>
        <v/>
      </c>
      <c r="D383" s="21" t="str">
        <f aca="false">IF($A383="","",교육과정!$A8)</f>
        <v/>
      </c>
      <c r="E383" s="20" t="str">
        <f aca="false">IF($A383="","",교육과정!$B8)</f>
        <v/>
      </c>
      <c r="F383" s="21" t="str">
        <f aca="false">IF($A383="","",교육과정!$C8)</f>
        <v/>
      </c>
      <c r="G383" s="23" t="str">
        <f aca="false">IF($A383="","",IF(COUNTIFS(이수내역!$B$3:$B$2002,$A383,이수내역!$D$3:$D$2002,$D383)=0,"",SUMPRODUCT(MAX((이수내역!$B$3:$B$2002=$A383)*(이수내역!$D$3:$D$2002=$D383)*이수내역!$A$3:$A$2002))))</f>
        <v/>
      </c>
      <c r="H383" s="23" t="str">
        <f aca="false">IF($A383="","",IF($F383="","",IF($G383="",EDATE(직원목록!$E34,$F383),EDATE($G383,$F383))))</f>
        <v/>
      </c>
      <c r="I383" s="21" t="str">
        <f aca="true">IF($H383="","",$H383-TODAY())</f>
        <v/>
      </c>
      <c r="J383" s="21" t="str">
        <f aca="false">IF($A383="","",IF($H383="","-",IF($I383&lt;0,"기한초과",IF($I383&lt;=사용안내!$C$16,"임박","정상"))))</f>
        <v/>
      </c>
    </row>
    <row r="384" customFormat="false" ht="15" hidden="false" customHeight="true" outlineLevel="0" collapsed="false">
      <c r="A384" s="20" t="str">
        <f aca="false">IF(OR(직원목록!$A34="",교육과정!$A9="",직원목록!$F34="퇴사"),"",직원목록!$A34)</f>
        <v/>
      </c>
      <c r="B384" s="20" t="str">
        <f aca="false">IF($A384="","",직원목록!$B34)</f>
        <v/>
      </c>
      <c r="C384" s="20" t="str">
        <f aca="false">IF($A384="","",직원목록!$C34)</f>
        <v/>
      </c>
      <c r="D384" s="21" t="str">
        <f aca="false">IF($A384="","",교육과정!$A9)</f>
        <v/>
      </c>
      <c r="E384" s="20" t="str">
        <f aca="false">IF($A384="","",교육과정!$B9)</f>
        <v/>
      </c>
      <c r="F384" s="21" t="str">
        <f aca="false">IF($A384="","",교육과정!$C9)</f>
        <v/>
      </c>
      <c r="G384" s="23" t="str">
        <f aca="false">IF($A384="","",IF(COUNTIFS(이수내역!$B$3:$B$2002,$A384,이수내역!$D$3:$D$2002,$D384)=0,"",SUMPRODUCT(MAX((이수내역!$B$3:$B$2002=$A384)*(이수내역!$D$3:$D$2002=$D384)*이수내역!$A$3:$A$2002))))</f>
        <v/>
      </c>
      <c r="H384" s="23" t="str">
        <f aca="false">IF($A384="","",IF($F384="","",IF($G384="",EDATE(직원목록!$E34,$F384),EDATE($G384,$F384))))</f>
        <v/>
      </c>
      <c r="I384" s="21" t="str">
        <f aca="true">IF($H384="","",$H384-TODAY())</f>
        <v/>
      </c>
      <c r="J384" s="21" t="str">
        <f aca="false">IF($A384="","",IF($H384="","-",IF($I384&lt;0,"기한초과",IF($I384&lt;=사용안내!$C$16,"임박","정상"))))</f>
        <v/>
      </c>
    </row>
    <row r="385" customFormat="false" ht="15" hidden="false" customHeight="true" outlineLevel="0" collapsed="false">
      <c r="A385" s="20" t="str">
        <f aca="false">IF(OR(직원목록!$A34="",교육과정!$A10="",직원목록!$F34="퇴사"),"",직원목록!$A34)</f>
        <v/>
      </c>
      <c r="B385" s="20" t="str">
        <f aca="false">IF($A385="","",직원목록!$B34)</f>
        <v/>
      </c>
      <c r="C385" s="20" t="str">
        <f aca="false">IF($A385="","",직원목록!$C34)</f>
        <v/>
      </c>
      <c r="D385" s="21" t="str">
        <f aca="false">IF($A385="","",교육과정!$A10)</f>
        <v/>
      </c>
      <c r="E385" s="20" t="str">
        <f aca="false">IF($A385="","",교육과정!$B10)</f>
        <v/>
      </c>
      <c r="F385" s="21" t="str">
        <f aca="false">IF($A385="","",교육과정!$C10)</f>
        <v/>
      </c>
      <c r="G385" s="23" t="str">
        <f aca="false">IF($A385="","",IF(COUNTIFS(이수내역!$B$3:$B$2002,$A385,이수내역!$D$3:$D$2002,$D385)=0,"",SUMPRODUCT(MAX((이수내역!$B$3:$B$2002=$A385)*(이수내역!$D$3:$D$2002=$D385)*이수내역!$A$3:$A$2002))))</f>
        <v/>
      </c>
      <c r="H385" s="23" t="str">
        <f aca="false">IF($A385="","",IF($F385="","",IF($G385="",EDATE(직원목록!$E34,$F385),EDATE($G385,$F385))))</f>
        <v/>
      </c>
      <c r="I385" s="21" t="str">
        <f aca="true">IF($H385="","",$H385-TODAY())</f>
        <v/>
      </c>
      <c r="J385" s="21" t="str">
        <f aca="false">IF($A385="","",IF($H385="","-",IF($I385&lt;0,"기한초과",IF($I385&lt;=사용안내!$C$16,"임박","정상"))))</f>
        <v/>
      </c>
    </row>
    <row r="386" customFormat="false" ht="15" hidden="false" customHeight="true" outlineLevel="0" collapsed="false">
      <c r="A386" s="20" t="str">
        <f aca="false">IF(OR(직원목록!$A34="",교육과정!$A11="",직원목록!$F34="퇴사"),"",직원목록!$A34)</f>
        <v/>
      </c>
      <c r="B386" s="20" t="str">
        <f aca="false">IF($A386="","",직원목록!$B34)</f>
        <v/>
      </c>
      <c r="C386" s="20" t="str">
        <f aca="false">IF($A386="","",직원목록!$C34)</f>
        <v/>
      </c>
      <c r="D386" s="21" t="str">
        <f aca="false">IF($A386="","",교육과정!$A11)</f>
        <v/>
      </c>
      <c r="E386" s="20" t="str">
        <f aca="false">IF($A386="","",교육과정!$B11)</f>
        <v/>
      </c>
      <c r="F386" s="21" t="str">
        <f aca="false">IF($A386="","",교육과정!$C11)</f>
        <v/>
      </c>
      <c r="G386" s="23" t="str">
        <f aca="false">IF($A386="","",IF(COUNTIFS(이수내역!$B$3:$B$2002,$A386,이수내역!$D$3:$D$2002,$D386)=0,"",SUMPRODUCT(MAX((이수내역!$B$3:$B$2002=$A386)*(이수내역!$D$3:$D$2002=$D386)*이수내역!$A$3:$A$2002))))</f>
        <v/>
      </c>
      <c r="H386" s="23" t="str">
        <f aca="false">IF($A386="","",IF($F386="","",IF($G386="",EDATE(직원목록!$E34,$F386),EDATE($G386,$F386))))</f>
        <v/>
      </c>
      <c r="I386" s="21" t="str">
        <f aca="true">IF($H386="","",$H386-TODAY())</f>
        <v/>
      </c>
      <c r="J386" s="21" t="str">
        <f aca="false">IF($A386="","",IF($H386="","-",IF($I386&lt;0,"기한초과",IF($I386&lt;=사용안내!$C$16,"임박","정상"))))</f>
        <v/>
      </c>
    </row>
    <row r="387" customFormat="false" ht="15" hidden="false" customHeight="true" outlineLevel="0" collapsed="false">
      <c r="A387" s="20" t="str">
        <f aca="false">IF(OR(직원목록!$A34="",교육과정!$A12="",직원목록!$F34="퇴사"),"",직원목록!$A34)</f>
        <v/>
      </c>
      <c r="B387" s="20" t="str">
        <f aca="false">IF($A387="","",직원목록!$B34)</f>
        <v/>
      </c>
      <c r="C387" s="20" t="str">
        <f aca="false">IF($A387="","",직원목록!$C34)</f>
        <v/>
      </c>
      <c r="D387" s="21" t="str">
        <f aca="false">IF($A387="","",교육과정!$A12)</f>
        <v/>
      </c>
      <c r="E387" s="20" t="str">
        <f aca="false">IF($A387="","",교육과정!$B12)</f>
        <v/>
      </c>
      <c r="F387" s="21" t="str">
        <f aca="false">IF($A387="","",교육과정!$C12)</f>
        <v/>
      </c>
      <c r="G387" s="23" t="str">
        <f aca="false">IF($A387="","",IF(COUNTIFS(이수내역!$B$3:$B$2002,$A387,이수내역!$D$3:$D$2002,$D387)=0,"",SUMPRODUCT(MAX((이수내역!$B$3:$B$2002=$A387)*(이수내역!$D$3:$D$2002=$D387)*이수내역!$A$3:$A$2002))))</f>
        <v/>
      </c>
      <c r="H387" s="23" t="str">
        <f aca="false">IF($A387="","",IF($F387="","",IF($G387="",EDATE(직원목록!$E34,$F387),EDATE($G387,$F387))))</f>
        <v/>
      </c>
      <c r="I387" s="21" t="str">
        <f aca="true">IF($H387="","",$H387-TODAY())</f>
        <v/>
      </c>
      <c r="J387" s="21" t="str">
        <f aca="false">IF($A387="","",IF($H387="","-",IF($I387&lt;0,"기한초과",IF($I387&lt;=사용안내!$C$16,"임박","정상"))))</f>
        <v/>
      </c>
    </row>
    <row r="388" customFormat="false" ht="15" hidden="false" customHeight="true" outlineLevel="0" collapsed="false">
      <c r="A388" s="20" t="str">
        <f aca="false">IF(OR(직원목록!$A34="",교육과정!$A13="",직원목록!$F34="퇴사"),"",직원목록!$A34)</f>
        <v/>
      </c>
      <c r="B388" s="20" t="str">
        <f aca="false">IF($A388="","",직원목록!$B34)</f>
        <v/>
      </c>
      <c r="C388" s="20" t="str">
        <f aca="false">IF($A388="","",직원목록!$C34)</f>
        <v/>
      </c>
      <c r="D388" s="21" t="str">
        <f aca="false">IF($A388="","",교육과정!$A13)</f>
        <v/>
      </c>
      <c r="E388" s="20" t="str">
        <f aca="false">IF($A388="","",교육과정!$B13)</f>
        <v/>
      </c>
      <c r="F388" s="21" t="str">
        <f aca="false">IF($A388="","",교육과정!$C13)</f>
        <v/>
      </c>
      <c r="G388" s="23" t="str">
        <f aca="false">IF($A388="","",IF(COUNTIFS(이수내역!$B$3:$B$2002,$A388,이수내역!$D$3:$D$2002,$D388)=0,"",SUMPRODUCT(MAX((이수내역!$B$3:$B$2002=$A388)*(이수내역!$D$3:$D$2002=$D388)*이수내역!$A$3:$A$2002))))</f>
        <v/>
      </c>
      <c r="H388" s="23" t="str">
        <f aca="false">IF($A388="","",IF($F388="","",IF($G388="",EDATE(직원목록!$E34,$F388),EDATE($G388,$F388))))</f>
        <v/>
      </c>
      <c r="I388" s="21" t="str">
        <f aca="true">IF($H388="","",$H388-TODAY())</f>
        <v/>
      </c>
      <c r="J388" s="21" t="str">
        <f aca="false">IF($A388="","",IF($H388="","-",IF($I388&lt;0,"기한초과",IF($I388&lt;=사용안내!$C$16,"임박","정상"))))</f>
        <v/>
      </c>
    </row>
    <row r="389" customFormat="false" ht="15" hidden="false" customHeight="true" outlineLevel="0" collapsed="false">
      <c r="A389" s="20" t="str">
        <f aca="false">IF(OR(직원목록!$A34="",교육과정!$A14="",직원목록!$F34="퇴사"),"",직원목록!$A34)</f>
        <v/>
      </c>
      <c r="B389" s="20" t="str">
        <f aca="false">IF($A389="","",직원목록!$B34)</f>
        <v/>
      </c>
      <c r="C389" s="20" t="str">
        <f aca="false">IF($A389="","",직원목록!$C34)</f>
        <v/>
      </c>
      <c r="D389" s="21" t="str">
        <f aca="false">IF($A389="","",교육과정!$A14)</f>
        <v/>
      </c>
      <c r="E389" s="20" t="str">
        <f aca="false">IF($A389="","",교육과정!$B14)</f>
        <v/>
      </c>
      <c r="F389" s="21" t="str">
        <f aca="false">IF($A389="","",교육과정!$C14)</f>
        <v/>
      </c>
      <c r="G389" s="23" t="str">
        <f aca="false">IF($A389="","",IF(COUNTIFS(이수내역!$B$3:$B$2002,$A389,이수내역!$D$3:$D$2002,$D389)=0,"",SUMPRODUCT(MAX((이수내역!$B$3:$B$2002=$A389)*(이수내역!$D$3:$D$2002=$D389)*이수내역!$A$3:$A$2002))))</f>
        <v/>
      </c>
      <c r="H389" s="23" t="str">
        <f aca="false">IF($A389="","",IF($F389="","",IF($G389="",EDATE(직원목록!$E34,$F389),EDATE($G389,$F389))))</f>
        <v/>
      </c>
      <c r="I389" s="21" t="str">
        <f aca="true">IF($H389="","",$H389-TODAY())</f>
        <v/>
      </c>
      <c r="J389" s="21" t="str">
        <f aca="false">IF($A389="","",IF($H389="","-",IF($I389&lt;0,"기한초과",IF($I389&lt;=사용안내!$C$16,"임박","정상"))))</f>
        <v/>
      </c>
    </row>
    <row r="390" customFormat="false" ht="15" hidden="false" customHeight="true" outlineLevel="0" collapsed="false">
      <c r="A390" s="20" t="str">
        <f aca="false">IF(OR(직원목록!$A35="",교육과정!$A3="",직원목록!$F35="퇴사"),"",직원목록!$A35)</f>
        <v/>
      </c>
      <c r="B390" s="20" t="str">
        <f aca="false">IF($A390="","",직원목록!$B35)</f>
        <v/>
      </c>
      <c r="C390" s="20" t="str">
        <f aca="false">IF($A390="","",직원목록!$C35)</f>
        <v/>
      </c>
      <c r="D390" s="21" t="str">
        <f aca="false">IF($A390="","",교육과정!$A3)</f>
        <v/>
      </c>
      <c r="E390" s="20" t="str">
        <f aca="false">IF($A390="","",교육과정!$B3)</f>
        <v/>
      </c>
      <c r="F390" s="21" t="str">
        <f aca="false">IF($A390="","",교육과정!$C3)</f>
        <v/>
      </c>
      <c r="G390" s="23" t="str">
        <f aca="false">IF($A390="","",IF(COUNTIFS(이수내역!$B$3:$B$2002,$A390,이수내역!$D$3:$D$2002,$D390)=0,"",SUMPRODUCT(MAX((이수내역!$B$3:$B$2002=$A390)*(이수내역!$D$3:$D$2002=$D390)*이수내역!$A$3:$A$2002))))</f>
        <v/>
      </c>
      <c r="H390" s="23" t="str">
        <f aca="false">IF($A390="","",IF($F390="","",IF($G390="",EDATE(직원목록!$E35,$F390),EDATE($G390,$F390))))</f>
        <v/>
      </c>
      <c r="I390" s="21" t="str">
        <f aca="true">IF($H390="","",$H390-TODAY())</f>
        <v/>
      </c>
      <c r="J390" s="21" t="str">
        <f aca="false">IF($A390="","",IF($H390="","-",IF($I390&lt;0,"기한초과",IF($I390&lt;=사용안내!$C$16,"임박","정상"))))</f>
        <v/>
      </c>
    </row>
    <row r="391" customFormat="false" ht="15" hidden="false" customHeight="true" outlineLevel="0" collapsed="false">
      <c r="A391" s="20" t="str">
        <f aca="false">IF(OR(직원목록!$A35="",교육과정!$A4="",직원목록!$F35="퇴사"),"",직원목록!$A35)</f>
        <v/>
      </c>
      <c r="B391" s="20" t="str">
        <f aca="false">IF($A391="","",직원목록!$B35)</f>
        <v/>
      </c>
      <c r="C391" s="20" t="str">
        <f aca="false">IF($A391="","",직원목록!$C35)</f>
        <v/>
      </c>
      <c r="D391" s="21" t="str">
        <f aca="false">IF($A391="","",교육과정!$A4)</f>
        <v/>
      </c>
      <c r="E391" s="20" t="str">
        <f aca="false">IF($A391="","",교육과정!$B4)</f>
        <v/>
      </c>
      <c r="F391" s="21" t="str">
        <f aca="false">IF($A391="","",교육과정!$C4)</f>
        <v/>
      </c>
      <c r="G391" s="23" t="str">
        <f aca="false">IF($A391="","",IF(COUNTIFS(이수내역!$B$3:$B$2002,$A391,이수내역!$D$3:$D$2002,$D391)=0,"",SUMPRODUCT(MAX((이수내역!$B$3:$B$2002=$A391)*(이수내역!$D$3:$D$2002=$D391)*이수내역!$A$3:$A$2002))))</f>
        <v/>
      </c>
      <c r="H391" s="23" t="str">
        <f aca="false">IF($A391="","",IF($F391="","",IF($G391="",EDATE(직원목록!$E35,$F391),EDATE($G391,$F391))))</f>
        <v/>
      </c>
      <c r="I391" s="21" t="str">
        <f aca="true">IF($H391="","",$H391-TODAY())</f>
        <v/>
      </c>
      <c r="J391" s="21" t="str">
        <f aca="false">IF($A391="","",IF($H391="","-",IF($I391&lt;0,"기한초과",IF($I391&lt;=사용안내!$C$16,"임박","정상"))))</f>
        <v/>
      </c>
    </row>
    <row r="392" customFormat="false" ht="15" hidden="false" customHeight="true" outlineLevel="0" collapsed="false">
      <c r="A392" s="20" t="str">
        <f aca="false">IF(OR(직원목록!$A35="",교육과정!$A5="",직원목록!$F35="퇴사"),"",직원목록!$A35)</f>
        <v/>
      </c>
      <c r="B392" s="20" t="str">
        <f aca="false">IF($A392="","",직원목록!$B35)</f>
        <v/>
      </c>
      <c r="C392" s="20" t="str">
        <f aca="false">IF($A392="","",직원목록!$C35)</f>
        <v/>
      </c>
      <c r="D392" s="21" t="str">
        <f aca="false">IF($A392="","",교육과정!$A5)</f>
        <v/>
      </c>
      <c r="E392" s="20" t="str">
        <f aca="false">IF($A392="","",교육과정!$B5)</f>
        <v/>
      </c>
      <c r="F392" s="21" t="str">
        <f aca="false">IF($A392="","",교육과정!$C5)</f>
        <v/>
      </c>
      <c r="G392" s="23" t="str">
        <f aca="false">IF($A392="","",IF(COUNTIFS(이수내역!$B$3:$B$2002,$A392,이수내역!$D$3:$D$2002,$D392)=0,"",SUMPRODUCT(MAX((이수내역!$B$3:$B$2002=$A392)*(이수내역!$D$3:$D$2002=$D392)*이수내역!$A$3:$A$2002))))</f>
        <v/>
      </c>
      <c r="H392" s="23" t="str">
        <f aca="false">IF($A392="","",IF($F392="","",IF($G392="",EDATE(직원목록!$E35,$F392),EDATE($G392,$F392))))</f>
        <v/>
      </c>
      <c r="I392" s="21" t="str">
        <f aca="true">IF($H392="","",$H392-TODAY())</f>
        <v/>
      </c>
      <c r="J392" s="21" t="str">
        <f aca="false">IF($A392="","",IF($H392="","-",IF($I392&lt;0,"기한초과",IF($I392&lt;=사용안내!$C$16,"임박","정상"))))</f>
        <v/>
      </c>
    </row>
    <row r="393" customFormat="false" ht="15" hidden="false" customHeight="true" outlineLevel="0" collapsed="false">
      <c r="A393" s="20" t="str">
        <f aca="false">IF(OR(직원목록!$A35="",교육과정!$A6="",직원목록!$F35="퇴사"),"",직원목록!$A35)</f>
        <v/>
      </c>
      <c r="B393" s="20" t="str">
        <f aca="false">IF($A393="","",직원목록!$B35)</f>
        <v/>
      </c>
      <c r="C393" s="20" t="str">
        <f aca="false">IF($A393="","",직원목록!$C35)</f>
        <v/>
      </c>
      <c r="D393" s="21" t="str">
        <f aca="false">IF($A393="","",교육과정!$A6)</f>
        <v/>
      </c>
      <c r="E393" s="20" t="str">
        <f aca="false">IF($A393="","",교육과정!$B6)</f>
        <v/>
      </c>
      <c r="F393" s="21" t="str">
        <f aca="false">IF($A393="","",교육과정!$C6)</f>
        <v/>
      </c>
      <c r="G393" s="23" t="str">
        <f aca="false">IF($A393="","",IF(COUNTIFS(이수내역!$B$3:$B$2002,$A393,이수내역!$D$3:$D$2002,$D393)=0,"",SUMPRODUCT(MAX((이수내역!$B$3:$B$2002=$A393)*(이수내역!$D$3:$D$2002=$D393)*이수내역!$A$3:$A$2002))))</f>
        <v/>
      </c>
      <c r="H393" s="23" t="str">
        <f aca="false">IF($A393="","",IF($F393="","",IF($G393="",EDATE(직원목록!$E35,$F393),EDATE($G393,$F393))))</f>
        <v/>
      </c>
      <c r="I393" s="21" t="str">
        <f aca="true">IF($H393="","",$H393-TODAY())</f>
        <v/>
      </c>
      <c r="J393" s="21" t="str">
        <f aca="false">IF($A393="","",IF($H393="","-",IF($I393&lt;0,"기한초과",IF($I393&lt;=사용안내!$C$16,"임박","정상"))))</f>
        <v/>
      </c>
    </row>
    <row r="394" customFormat="false" ht="15" hidden="false" customHeight="true" outlineLevel="0" collapsed="false">
      <c r="A394" s="20" t="str">
        <f aca="false">IF(OR(직원목록!$A35="",교육과정!$A7="",직원목록!$F35="퇴사"),"",직원목록!$A35)</f>
        <v/>
      </c>
      <c r="B394" s="20" t="str">
        <f aca="false">IF($A394="","",직원목록!$B35)</f>
        <v/>
      </c>
      <c r="C394" s="20" t="str">
        <f aca="false">IF($A394="","",직원목록!$C35)</f>
        <v/>
      </c>
      <c r="D394" s="21" t="str">
        <f aca="false">IF($A394="","",교육과정!$A7)</f>
        <v/>
      </c>
      <c r="E394" s="20" t="str">
        <f aca="false">IF($A394="","",교육과정!$B7)</f>
        <v/>
      </c>
      <c r="F394" s="21" t="str">
        <f aca="false">IF($A394="","",교육과정!$C7)</f>
        <v/>
      </c>
      <c r="G394" s="23" t="str">
        <f aca="false">IF($A394="","",IF(COUNTIFS(이수내역!$B$3:$B$2002,$A394,이수내역!$D$3:$D$2002,$D394)=0,"",SUMPRODUCT(MAX((이수내역!$B$3:$B$2002=$A394)*(이수내역!$D$3:$D$2002=$D394)*이수내역!$A$3:$A$2002))))</f>
        <v/>
      </c>
      <c r="H394" s="23" t="str">
        <f aca="false">IF($A394="","",IF($F394="","",IF($G394="",EDATE(직원목록!$E35,$F394),EDATE($G394,$F394))))</f>
        <v/>
      </c>
      <c r="I394" s="21" t="str">
        <f aca="true">IF($H394="","",$H394-TODAY())</f>
        <v/>
      </c>
      <c r="J394" s="21" t="str">
        <f aca="false">IF($A394="","",IF($H394="","-",IF($I394&lt;0,"기한초과",IF($I394&lt;=사용안내!$C$16,"임박","정상"))))</f>
        <v/>
      </c>
    </row>
    <row r="395" customFormat="false" ht="15" hidden="false" customHeight="true" outlineLevel="0" collapsed="false">
      <c r="A395" s="20" t="str">
        <f aca="false">IF(OR(직원목록!$A35="",교육과정!$A8="",직원목록!$F35="퇴사"),"",직원목록!$A35)</f>
        <v/>
      </c>
      <c r="B395" s="20" t="str">
        <f aca="false">IF($A395="","",직원목록!$B35)</f>
        <v/>
      </c>
      <c r="C395" s="20" t="str">
        <f aca="false">IF($A395="","",직원목록!$C35)</f>
        <v/>
      </c>
      <c r="D395" s="21" t="str">
        <f aca="false">IF($A395="","",교육과정!$A8)</f>
        <v/>
      </c>
      <c r="E395" s="20" t="str">
        <f aca="false">IF($A395="","",교육과정!$B8)</f>
        <v/>
      </c>
      <c r="F395" s="21" t="str">
        <f aca="false">IF($A395="","",교육과정!$C8)</f>
        <v/>
      </c>
      <c r="G395" s="23" t="str">
        <f aca="false">IF($A395="","",IF(COUNTIFS(이수내역!$B$3:$B$2002,$A395,이수내역!$D$3:$D$2002,$D395)=0,"",SUMPRODUCT(MAX((이수내역!$B$3:$B$2002=$A395)*(이수내역!$D$3:$D$2002=$D395)*이수내역!$A$3:$A$2002))))</f>
        <v/>
      </c>
      <c r="H395" s="23" t="str">
        <f aca="false">IF($A395="","",IF($F395="","",IF($G395="",EDATE(직원목록!$E35,$F395),EDATE($G395,$F395))))</f>
        <v/>
      </c>
      <c r="I395" s="21" t="str">
        <f aca="true">IF($H395="","",$H395-TODAY())</f>
        <v/>
      </c>
      <c r="J395" s="21" t="str">
        <f aca="false">IF($A395="","",IF($H395="","-",IF($I395&lt;0,"기한초과",IF($I395&lt;=사용안내!$C$16,"임박","정상"))))</f>
        <v/>
      </c>
    </row>
    <row r="396" customFormat="false" ht="15" hidden="false" customHeight="true" outlineLevel="0" collapsed="false">
      <c r="A396" s="20" t="str">
        <f aca="false">IF(OR(직원목록!$A35="",교육과정!$A9="",직원목록!$F35="퇴사"),"",직원목록!$A35)</f>
        <v/>
      </c>
      <c r="B396" s="20" t="str">
        <f aca="false">IF($A396="","",직원목록!$B35)</f>
        <v/>
      </c>
      <c r="C396" s="20" t="str">
        <f aca="false">IF($A396="","",직원목록!$C35)</f>
        <v/>
      </c>
      <c r="D396" s="21" t="str">
        <f aca="false">IF($A396="","",교육과정!$A9)</f>
        <v/>
      </c>
      <c r="E396" s="20" t="str">
        <f aca="false">IF($A396="","",교육과정!$B9)</f>
        <v/>
      </c>
      <c r="F396" s="21" t="str">
        <f aca="false">IF($A396="","",교육과정!$C9)</f>
        <v/>
      </c>
      <c r="G396" s="23" t="str">
        <f aca="false">IF($A396="","",IF(COUNTIFS(이수내역!$B$3:$B$2002,$A396,이수내역!$D$3:$D$2002,$D396)=0,"",SUMPRODUCT(MAX((이수내역!$B$3:$B$2002=$A396)*(이수내역!$D$3:$D$2002=$D396)*이수내역!$A$3:$A$2002))))</f>
        <v/>
      </c>
      <c r="H396" s="23" t="str">
        <f aca="false">IF($A396="","",IF($F396="","",IF($G396="",EDATE(직원목록!$E35,$F396),EDATE($G396,$F396))))</f>
        <v/>
      </c>
      <c r="I396" s="21" t="str">
        <f aca="true">IF($H396="","",$H396-TODAY())</f>
        <v/>
      </c>
      <c r="J396" s="21" t="str">
        <f aca="false">IF($A396="","",IF($H396="","-",IF($I396&lt;0,"기한초과",IF($I396&lt;=사용안내!$C$16,"임박","정상"))))</f>
        <v/>
      </c>
    </row>
    <row r="397" customFormat="false" ht="15" hidden="false" customHeight="true" outlineLevel="0" collapsed="false">
      <c r="A397" s="20" t="str">
        <f aca="false">IF(OR(직원목록!$A35="",교육과정!$A10="",직원목록!$F35="퇴사"),"",직원목록!$A35)</f>
        <v/>
      </c>
      <c r="B397" s="20" t="str">
        <f aca="false">IF($A397="","",직원목록!$B35)</f>
        <v/>
      </c>
      <c r="C397" s="20" t="str">
        <f aca="false">IF($A397="","",직원목록!$C35)</f>
        <v/>
      </c>
      <c r="D397" s="21" t="str">
        <f aca="false">IF($A397="","",교육과정!$A10)</f>
        <v/>
      </c>
      <c r="E397" s="20" t="str">
        <f aca="false">IF($A397="","",교육과정!$B10)</f>
        <v/>
      </c>
      <c r="F397" s="21" t="str">
        <f aca="false">IF($A397="","",교육과정!$C10)</f>
        <v/>
      </c>
      <c r="G397" s="23" t="str">
        <f aca="false">IF($A397="","",IF(COUNTIFS(이수내역!$B$3:$B$2002,$A397,이수내역!$D$3:$D$2002,$D397)=0,"",SUMPRODUCT(MAX((이수내역!$B$3:$B$2002=$A397)*(이수내역!$D$3:$D$2002=$D397)*이수내역!$A$3:$A$2002))))</f>
        <v/>
      </c>
      <c r="H397" s="23" t="str">
        <f aca="false">IF($A397="","",IF($F397="","",IF($G397="",EDATE(직원목록!$E35,$F397),EDATE($G397,$F397))))</f>
        <v/>
      </c>
      <c r="I397" s="21" t="str">
        <f aca="true">IF($H397="","",$H397-TODAY())</f>
        <v/>
      </c>
      <c r="J397" s="21" t="str">
        <f aca="false">IF($A397="","",IF($H397="","-",IF($I397&lt;0,"기한초과",IF($I397&lt;=사용안내!$C$16,"임박","정상"))))</f>
        <v/>
      </c>
    </row>
    <row r="398" customFormat="false" ht="15" hidden="false" customHeight="true" outlineLevel="0" collapsed="false">
      <c r="A398" s="20" t="str">
        <f aca="false">IF(OR(직원목록!$A35="",교육과정!$A11="",직원목록!$F35="퇴사"),"",직원목록!$A35)</f>
        <v/>
      </c>
      <c r="B398" s="20" t="str">
        <f aca="false">IF($A398="","",직원목록!$B35)</f>
        <v/>
      </c>
      <c r="C398" s="20" t="str">
        <f aca="false">IF($A398="","",직원목록!$C35)</f>
        <v/>
      </c>
      <c r="D398" s="21" t="str">
        <f aca="false">IF($A398="","",교육과정!$A11)</f>
        <v/>
      </c>
      <c r="E398" s="20" t="str">
        <f aca="false">IF($A398="","",교육과정!$B11)</f>
        <v/>
      </c>
      <c r="F398" s="21" t="str">
        <f aca="false">IF($A398="","",교육과정!$C11)</f>
        <v/>
      </c>
      <c r="G398" s="23" t="str">
        <f aca="false">IF($A398="","",IF(COUNTIFS(이수내역!$B$3:$B$2002,$A398,이수내역!$D$3:$D$2002,$D398)=0,"",SUMPRODUCT(MAX((이수내역!$B$3:$B$2002=$A398)*(이수내역!$D$3:$D$2002=$D398)*이수내역!$A$3:$A$2002))))</f>
        <v/>
      </c>
      <c r="H398" s="23" t="str">
        <f aca="false">IF($A398="","",IF($F398="","",IF($G398="",EDATE(직원목록!$E35,$F398),EDATE($G398,$F398))))</f>
        <v/>
      </c>
      <c r="I398" s="21" t="str">
        <f aca="true">IF($H398="","",$H398-TODAY())</f>
        <v/>
      </c>
      <c r="J398" s="21" t="str">
        <f aca="false">IF($A398="","",IF($H398="","-",IF($I398&lt;0,"기한초과",IF($I398&lt;=사용안내!$C$16,"임박","정상"))))</f>
        <v/>
      </c>
    </row>
    <row r="399" customFormat="false" ht="15" hidden="false" customHeight="true" outlineLevel="0" collapsed="false">
      <c r="A399" s="20" t="str">
        <f aca="false">IF(OR(직원목록!$A35="",교육과정!$A12="",직원목록!$F35="퇴사"),"",직원목록!$A35)</f>
        <v/>
      </c>
      <c r="B399" s="20" t="str">
        <f aca="false">IF($A399="","",직원목록!$B35)</f>
        <v/>
      </c>
      <c r="C399" s="20" t="str">
        <f aca="false">IF($A399="","",직원목록!$C35)</f>
        <v/>
      </c>
      <c r="D399" s="21" t="str">
        <f aca="false">IF($A399="","",교육과정!$A12)</f>
        <v/>
      </c>
      <c r="E399" s="20" t="str">
        <f aca="false">IF($A399="","",교육과정!$B12)</f>
        <v/>
      </c>
      <c r="F399" s="21" t="str">
        <f aca="false">IF($A399="","",교육과정!$C12)</f>
        <v/>
      </c>
      <c r="G399" s="23" t="str">
        <f aca="false">IF($A399="","",IF(COUNTIFS(이수내역!$B$3:$B$2002,$A399,이수내역!$D$3:$D$2002,$D399)=0,"",SUMPRODUCT(MAX((이수내역!$B$3:$B$2002=$A399)*(이수내역!$D$3:$D$2002=$D399)*이수내역!$A$3:$A$2002))))</f>
        <v/>
      </c>
      <c r="H399" s="23" t="str">
        <f aca="false">IF($A399="","",IF($F399="","",IF($G399="",EDATE(직원목록!$E35,$F399),EDATE($G399,$F399))))</f>
        <v/>
      </c>
      <c r="I399" s="21" t="str">
        <f aca="true">IF($H399="","",$H399-TODAY())</f>
        <v/>
      </c>
      <c r="J399" s="21" t="str">
        <f aca="false">IF($A399="","",IF($H399="","-",IF($I399&lt;0,"기한초과",IF($I399&lt;=사용안내!$C$16,"임박","정상"))))</f>
        <v/>
      </c>
    </row>
    <row r="400" customFormat="false" ht="15" hidden="false" customHeight="true" outlineLevel="0" collapsed="false">
      <c r="A400" s="20" t="str">
        <f aca="false">IF(OR(직원목록!$A35="",교육과정!$A13="",직원목록!$F35="퇴사"),"",직원목록!$A35)</f>
        <v/>
      </c>
      <c r="B400" s="20" t="str">
        <f aca="false">IF($A400="","",직원목록!$B35)</f>
        <v/>
      </c>
      <c r="C400" s="20" t="str">
        <f aca="false">IF($A400="","",직원목록!$C35)</f>
        <v/>
      </c>
      <c r="D400" s="21" t="str">
        <f aca="false">IF($A400="","",교육과정!$A13)</f>
        <v/>
      </c>
      <c r="E400" s="20" t="str">
        <f aca="false">IF($A400="","",교육과정!$B13)</f>
        <v/>
      </c>
      <c r="F400" s="21" t="str">
        <f aca="false">IF($A400="","",교육과정!$C13)</f>
        <v/>
      </c>
      <c r="G400" s="23" t="str">
        <f aca="false">IF($A400="","",IF(COUNTIFS(이수내역!$B$3:$B$2002,$A400,이수내역!$D$3:$D$2002,$D400)=0,"",SUMPRODUCT(MAX((이수내역!$B$3:$B$2002=$A400)*(이수내역!$D$3:$D$2002=$D400)*이수내역!$A$3:$A$2002))))</f>
        <v/>
      </c>
      <c r="H400" s="23" t="str">
        <f aca="false">IF($A400="","",IF($F400="","",IF($G400="",EDATE(직원목록!$E35,$F400),EDATE($G400,$F400))))</f>
        <v/>
      </c>
      <c r="I400" s="21" t="str">
        <f aca="true">IF($H400="","",$H400-TODAY())</f>
        <v/>
      </c>
      <c r="J400" s="21" t="str">
        <f aca="false">IF($A400="","",IF($H400="","-",IF($I400&lt;0,"기한초과",IF($I400&lt;=사용안내!$C$16,"임박","정상"))))</f>
        <v/>
      </c>
    </row>
    <row r="401" customFormat="false" ht="15" hidden="false" customHeight="true" outlineLevel="0" collapsed="false">
      <c r="A401" s="20" t="str">
        <f aca="false">IF(OR(직원목록!$A35="",교육과정!$A14="",직원목록!$F35="퇴사"),"",직원목록!$A35)</f>
        <v/>
      </c>
      <c r="B401" s="20" t="str">
        <f aca="false">IF($A401="","",직원목록!$B35)</f>
        <v/>
      </c>
      <c r="C401" s="20" t="str">
        <f aca="false">IF($A401="","",직원목록!$C35)</f>
        <v/>
      </c>
      <c r="D401" s="21" t="str">
        <f aca="false">IF($A401="","",교육과정!$A14)</f>
        <v/>
      </c>
      <c r="E401" s="20" t="str">
        <f aca="false">IF($A401="","",교육과정!$B14)</f>
        <v/>
      </c>
      <c r="F401" s="21" t="str">
        <f aca="false">IF($A401="","",교육과정!$C14)</f>
        <v/>
      </c>
      <c r="G401" s="23" t="str">
        <f aca="false">IF($A401="","",IF(COUNTIFS(이수내역!$B$3:$B$2002,$A401,이수내역!$D$3:$D$2002,$D401)=0,"",SUMPRODUCT(MAX((이수내역!$B$3:$B$2002=$A401)*(이수내역!$D$3:$D$2002=$D401)*이수내역!$A$3:$A$2002))))</f>
        <v/>
      </c>
      <c r="H401" s="23" t="str">
        <f aca="false">IF($A401="","",IF($F401="","",IF($G401="",EDATE(직원목록!$E35,$F401),EDATE($G401,$F401))))</f>
        <v/>
      </c>
      <c r="I401" s="21" t="str">
        <f aca="true">IF($H401="","",$H401-TODAY())</f>
        <v/>
      </c>
      <c r="J401" s="21" t="str">
        <f aca="false">IF($A401="","",IF($H401="","-",IF($I401&lt;0,"기한초과",IF($I401&lt;=사용안내!$C$16,"임박","정상"))))</f>
        <v/>
      </c>
    </row>
    <row r="402" customFormat="false" ht="15" hidden="false" customHeight="true" outlineLevel="0" collapsed="false">
      <c r="A402" s="20" t="str">
        <f aca="false">IF(OR(직원목록!$A36="",교육과정!$A3="",직원목록!$F36="퇴사"),"",직원목록!$A36)</f>
        <v/>
      </c>
      <c r="B402" s="20" t="str">
        <f aca="false">IF($A402="","",직원목록!$B36)</f>
        <v/>
      </c>
      <c r="C402" s="20" t="str">
        <f aca="false">IF($A402="","",직원목록!$C36)</f>
        <v/>
      </c>
      <c r="D402" s="21" t="str">
        <f aca="false">IF($A402="","",교육과정!$A3)</f>
        <v/>
      </c>
      <c r="E402" s="20" t="str">
        <f aca="false">IF($A402="","",교육과정!$B3)</f>
        <v/>
      </c>
      <c r="F402" s="21" t="str">
        <f aca="false">IF($A402="","",교육과정!$C3)</f>
        <v/>
      </c>
      <c r="G402" s="23" t="str">
        <f aca="false">IF($A402="","",IF(COUNTIFS(이수내역!$B$3:$B$2002,$A402,이수내역!$D$3:$D$2002,$D402)=0,"",SUMPRODUCT(MAX((이수내역!$B$3:$B$2002=$A402)*(이수내역!$D$3:$D$2002=$D402)*이수내역!$A$3:$A$2002))))</f>
        <v/>
      </c>
      <c r="H402" s="23" t="str">
        <f aca="false">IF($A402="","",IF($F402="","",IF($G402="",EDATE(직원목록!$E36,$F402),EDATE($G402,$F402))))</f>
        <v/>
      </c>
      <c r="I402" s="21" t="str">
        <f aca="true">IF($H402="","",$H402-TODAY())</f>
        <v/>
      </c>
      <c r="J402" s="21" t="str">
        <f aca="false">IF($A402="","",IF($H402="","-",IF($I402&lt;0,"기한초과",IF($I402&lt;=사용안내!$C$16,"임박","정상"))))</f>
        <v/>
      </c>
    </row>
    <row r="403" customFormat="false" ht="15" hidden="false" customHeight="true" outlineLevel="0" collapsed="false">
      <c r="A403" s="20" t="str">
        <f aca="false">IF(OR(직원목록!$A36="",교육과정!$A4="",직원목록!$F36="퇴사"),"",직원목록!$A36)</f>
        <v/>
      </c>
      <c r="B403" s="20" t="str">
        <f aca="false">IF($A403="","",직원목록!$B36)</f>
        <v/>
      </c>
      <c r="C403" s="20" t="str">
        <f aca="false">IF($A403="","",직원목록!$C36)</f>
        <v/>
      </c>
      <c r="D403" s="21" t="str">
        <f aca="false">IF($A403="","",교육과정!$A4)</f>
        <v/>
      </c>
      <c r="E403" s="20" t="str">
        <f aca="false">IF($A403="","",교육과정!$B4)</f>
        <v/>
      </c>
      <c r="F403" s="21" t="str">
        <f aca="false">IF($A403="","",교육과정!$C4)</f>
        <v/>
      </c>
      <c r="G403" s="23" t="str">
        <f aca="false">IF($A403="","",IF(COUNTIFS(이수내역!$B$3:$B$2002,$A403,이수내역!$D$3:$D$2002,$D403)=0,"",SUMPRODUCT(MAX((이수내역!$B$3:$B$2002=$A403)*(이수내역!$D$3:$D$2002=$D403)*이수내역!$A$3:$A$2002))))</f>
        <v/>
      </c>
      <c r="H403" s="23" t="str">
        <f aca="false">IF($A403="","",IF($F403="","",IF($G403="",EDATE(직원목록!$E36,$F403),EDATE($G403,$F403))))</f>
        <v/>
      </c>
      <c r="I403" s="21" t="str">
        <f aca="true">IF($H403="","",$H403-TODAY())</f>
        <v/>
      </c>
      <c r="J403" s="21" t="str">
        <f aca="false">IF($A403="","",IF($H403="","-",IF($I403&lt;0,"기한초과",IF($I403&lt;=사용안내!$C$16,"임박","정상"))))</f>
        <v/>
      </c>
    </row>
    <row r="404" customFormat="false" ht="15" hidden="false" customHeight="true" outlineLevel="0" collapsed="false">
      <c r="A404" s="20" t="str">
        <f aca="false">IF(OR(직원목록!$A36="",교육과정!$A5="",직원목록!$F36="퇴사"),"",직원목록!$A36)</f>
        <v/>
      </c>
      <c r="B404" s="20" t="str">
        <f aca="false">IF($A404="","",직원목록!$B36)</f>
        <v/>
      </c>
      <c r="C404" s="20" t="str">
        <f aca="false">IF($A404="","",직원목록!$C36)</f>
        <v/>
      </c>
      <c r="D404" s="21" t="str">
        <f aca="false">IF($A404="","",교육과정!$A5)</f>
        <v/>
      </c>
      <c r="E404" s="20" t="str">
        <f aca="false">IF($A404="","",교육과정!$B5)</f>
        <v/>
      </c>
      <c r="F404" s="21" t="str">
        <f aca="false">IF($A404="","",교육과정!$C5)</f>
        <v/>
      </c>
      <c r="G404" s="23" t="str">
        <f aca="false">IF($A404="","",IF(COUNTIFS(이수내역!$B$3:$B$2002,$A404,이수내역!$D$3:$D$2002,$D404)=0,"",SUMPRODUCT(MAX((이수내역!$B$3:$B$2002=$A404)*(이수내역!$D$3:$D$2002=$D404)*이수내역!$A$3:$A$2002))))</f>
        <v/>
      </c>
      <c r="H404" s="23" t="str">
        <f aca="false">IF($A404="","",IF($F404="","",IF($G404="",EDATE(직원목록!$E36,$F404),EDATE($G404,$F404))))</f>
        <v/>
      </c>
      <c r="I404" s="21" t="str">
        <f aca="true">IF($H404="","",$H404-TODAY())</f>
        <v/>
      </c>
      <c r="J404" s="21" t="str">
        <f aca="false">IF($A404="","",IF($H404="","-",IF($I404&lt;0,"기한초과",IF($I404&lt;=사용안내!$C$16,"임박","정상"))))</f>
        <v/>
      </c>
    </row>
    <row r="405" customFormat="false" ht="15" hidden="false" customHeight="true" outlineLevel="0" collapsed="false">
      <c r="A405" s="20" t="str">
        <f aca="false">IF(OR(직원목록!$A36="",교육과정!$A6="",직원목록!$F36="퇴사"),"",직원목록!$A36)</f>
        <v/>
      </c>
      <c r="B405" s="20" t="str">
        <f aca="false">IF($A405="","",직원목록!$B36)</f>
        <v/>
      </c>
      <c r="C405" s="20" t="str">
        <f aca="false">IF($A405="","",직원목록!$C36)</f>
        <v/>
      </c>
      <c r="D405" s="21" t="str">
        <f aca="false">IF($A405="","",교육과정!$A6)</f>
        <v/>
      </c>
      <c r="E405" s="20" t="str">
        <f aca="false">IF($A405="","",교육과정!$B6)</f>
        <v/>
      </c>
      <c r="F405" s="21" t="str">
        <f aca="false">IF($A405="","",교육과정!$C6)</f>
        <v/>
      </c>
      <c r="G405" s="23" t="str">
        <f aca="false">IF($A405="","",IF(COUNTIFS(이수내역!$B$3:$B$2002,$A405,이수내역!$D$3:$D$2002,$D405)=0,"",SUMPRODUCT(MAX((이수내역!$B$3:$B$2002=$A405)*(이수내역!$D$3:$D$2002=$D405)*이수내역!$A$3:$A$2002))))</f>
        <v/>
      </c>
      <c r="H405" s="23" t="str">
        <f aca="false">IF($A405="","",IF($F405="","",IF($G405="",EDATE(직원목록!$E36,$F405),EDATE($G405,$F405))))</f>
        <v/>
      </c>
      <c r="I405" s="21" t="str">
        <f aca="true">IF($H405="","",$H405-TODAY())</f>
        <v/>
      </c>
      <c r="J405" s="21" t="str">
        <f aca="false">IF($A405="","",IF($H405="","-",IF($I405&lt;0,"기한초과",IF($I405&lt;=사용안내!$C$16,"임박","정상"))))</f>
        <v/>
      </c>
    </row>
    <row r="406" customFormat="false" ht="15" hidden="false" customHeight="true" outlineLevel="0" collapsed="false">
      <c r="A406" s="20" t="str">
        <f aca="false">IF(OR(직원목록!$A36="",교육과정!$A7="",직원목록!$F36="퇴사"),"",직원목록!$A36)</f>
        <v/>
      </c>
      <c r="B406" s="20" t="str">
        <f aca="false">IF($A406="","",직원목록!$B36)</f>
        <v/>
      </c>
      <c r="C406" s="20" t="str">
        <f aca="false">IF($A406="","",직원목록!$C36)</f>
        <v/>
      </c>
      <c r="D406" s="21" t="str">
        <f aca="false">IF($A406="","",교육과정!$A7)</f>
        <v/>
      </c>
      <c r="E406" s="20" t="str">
        <f aca="false">IF($A406="","",교육과정!$B7)</f>
        <v/>
      </c>
      <c r="F406" s="21" t="str">
        <f aca="false">IF($A406="","",교육과정!$C7)</f>
        <v/>
      </c>
      <c r="G406" s="23" t="str">
        <f aca="false">IF($A406="","",IF(COUNTIFS(이수내역!$B$3:$B$2002,$A406,이수내역!$D$3:$D$2002,$D406)=0,"",SUMPRODUCT(MAX((이수내역!$B$3:$B$2002=$A406)*(이수내역!$D$3:$D$2002=$D406)*이수내역!$A$3:$A$2002))))</f>
        <v/>
      </c>
      <c r="H406" s="23" t="str">
        <f aca="false">IF($A406="","",IF($F406="","",IF($G406="",EDATE(직원목록!$E36,$F406),EDATE($G406,$F406))))</f>
        <v/>
      </c>
      <c r="I406" s="21" t="str">
        <f aca="true">IF($H406="","",$H406-TODAY())</f>
        <v/>
      </c>
      <c r="J406" s="21" t="str">
        <f aca="false">IF($A406="","",IF($H406="","-",IF($I406&lt;0,"기한초과",IF($I406&lt;=사용안내!$C$16,"임박","정상"))))</f>
        <v/>
      </c>
    </row>
    <row r="407" customFormat="false" ht="15" hidden="false" customHeight="true" outlineLevel="0" collapsed="false">
      <c r="A407" s="20" t="str">
        <f aca="false">IF(OR(직원목록!$A36="",교육과정!$A8="",직원목록!$F36="퇴사"),"",직원목록!$A36)</f>
        <v/>
      </c>
      <c r="B407" s="20" t="str">
        <f aca="false">IF($A407="","",직원목록!$B36)</f>
        <v/>
      </c>
      <c r="C407" s="20" t="str">
        <f aca="false">IF($A407="","",직원목록!$C36)</f>
        <v/>
      </c>
      <c r="D407" s="21" t="str">
        <f aca="false">IF($A407="","",교육과정!$A8)</f>
        <v/>
      </c>
      <c r="E407" s="20" t="str">
        <f aca="false">IF($A407="","",교육과정!$B8)</f>
        <v/>
      </c>
      <c r="F407" s="21" t="str">
        <f aca="false">IF($A407="","",교육과정!$C8)</f>
        <v/>
      </c>
      <c r="G407" s="23" t="str">
        <f aca="false">IF($A407="","",IF(COUNTIFS(이수내역!$B$3:$B$2002,$A407,이수내역!$D$3:$D$2002,$D407)=0,"",SUMPRODUCT(MAX((이수내역!$B$3:$B$2002=$A407)*(이수내역!$D$3:$D$2002=$D407)*이수내역!$A$3:$A$2002))))</f>
        <v/>
      </c>
      <c r="H407" s="23" t="str">
        <f aca="false">IF($A407="","",IF($F407="","",IF($G407="",EDATE(직원목록!$E36,$F407),EDATE($G407,$F407))))</f>
        <v/>
      </c>
      <c r="I407" s="21" t="str">
        <f aca="true">IF($H407="","",$H407-TODAY())</f>
        <v/>
      </c>
      <c r="J407" s="21" t="str">
        <f aca="false">IF($A407="","",IF($H407="","-",IF($I407&lt;0,"기한초과",IF($I407&lt;=사용안내!$C$16,"임박","정상"))))</f>
        <v/>
      </c>
    </row>
    <row r="408" customFormat="false" ht="15" hidden="false" customHeight="true" outlineLevel="0" collapsed="false">
      <c r="A408" s="20" t="str">
        <f aca="false">IF(OR(직원목록!$A36="",교육과정!$A9="",직원목록!$F36="퇴사"),"",직원목록!$A36)</f>
        <v/>
      </c>
      <c r="B408" s="20" t="str">
        <f aca="false">IF($A408="","",직원목록!$B36)</f>
        <v/>
      </c>
      <c r="C408" s="20" t="str">
        <f aca="false">IF($A408="","",직원목록!$C36)</f>
        <v/>
      </c>
      <c r="D408" s="21" t="str">
        <f aca="false">IF($A408="","",교육과정!$A9)</f>
        <v/>
      </c>
      <c r="E408" s="20" t="str">
        <f aca="false">IF($A408="","",교육과정!$B9)</f>
        <v/>
      </c>
      <c r="F408" s="21" t="str">
        <f aca="false">IF($A408="","",교육과정!$C9)</f>
        <v/>
      </c>
      <c r="G408" s="23" t="str">
        <f aca="false">IF($A408="","",IF(COUNTIFS(이수내역!$B$3:$B$2002,$A408,이수내역!$D$3:$D$2002,$D408)=0,"",SUMPRODUCT(MAX((이수내역!$B$3:$B$2002=$A408)*(이수내역!$D$3:$D$2002=$D408)*이수내역!$A$3:$A$2002))))</f>
        <v/>
      </c>
      <c r="H408" s="23" t="str">
        <f aca="false">IF($A408="","",IF($F408="","",IF($G408="",EDATE(직원목록!$E36,$F408),EDATE($G408,$F408))))</f>
        <v/>
      </c>
      <c r="I408" s="21" t="str">
        <f aca="true">IF($H408="","",$H408-TODAY())</f>
        <v/>
      </c>
      <c r="J408" s="21" t="str">
        <f aca="false">IF($A408="","",IF($H408="","-",IF($I408&lt;0,"기한초과",IF($I408&lt;=사용안내!$C$16,"임박","정상"))))</f>
        <v/>
      </c>
    </row>
    <row r="409" customFormat="false" ht="15" hidden="false" customHeight="true" outlineLevel="0" collapsed="false">
      <c r="A409" s="20" t="str">
        <f aca="false">IF(OR(직원목록!$A36="",교육과정!$A10="",직원목록!$F36="퇴사"),"",직원목록!$A36)</f>
        <v/>
      </c>
      <c r="B409" s="20" t="str">
        <f aca="false">IF($A409="","",직원목록!$B36)</f>
        <v/>
      </c>
      <c r="C409" s="20" t="str">
        <f aca="false">IF($A409="","",직원목록!$C36)</f>
        <v/>
      </c>
      <c r="D409" s="21" t="str">
        <f aca="false">IF($A409="","",교육과정!$A10)</f>
        <v/>
      </c>
      <c r="E409" s="20" t="str">
        <f aca="false">IF($A409="","",교육과정!$B10)</f>
        <v/>
      </c>
      <c r="F409" s="21" t="str">
        <f aca="false">IF($A409="","",교육과정!$C10)</f>
        <v/>
      </c>
      <c r="G409" s="23" t="str">
        <f aca="false">IF($A409="","",IF(COUNTIFS(이수내역!$B$3:$B$2002,$A409,이수내역!$D$3:$D$2002,$D409)=0,"",SUMPRODUCT(MAX((이수내역!$B$3:$B$2002=$A409)*(이수내역!$D$3:$D$2002=$D409)*이수내역!$A$3:$A$2002))))</f>
        <v/>
      </c>
      <c r="H409" s="23" t="str">
        <f aca="false">IF($A409="","",IF($F409="","",IF($G409="",EDATE(직원목록!$E36,$F409),EDATE($G409,$F409))))</f>
        <v/>
      </c>
      <c r="I409" s="21" t="str">
        <f aca="true">IF($H409="","",$H409-TODAY())</f>
        <v/>
      </c>
      <c r="J409" s="21" t="str">
        <f aca="false">IF($A409="","",IF($H409="","-",IF($I409&lt;0,"기한초과",IF($I409&lt;=사용안내!$C$16,"임박","정상"))))</f>
        <v/>
      </c>
    </row>
    <row r="410" customFormat="false" ht="15" hidden="false" customHeight="true" outlineLevel="0" collapsed="false">
      <c r="A410" s="20" t="str">
        <f aca="false">IF(OR(직원목록!$A36="",교육과정!$A11="",직원목록!$F36="퇴사"),"",직원목록!$A36)</f>
        <v/>
      </c>
      <c r="B410" s="20" t="str">
        <f aca="false">IF($A410="","",직원목록!$B36)</f>
        <v/>
      </c>
      <c r="C410" s="20" t="str">
        <f aca="false">IF($A410="","",직원목록!$C36)</f>
        <v/>
      </c>
      <c r="D410" s="21" t="str">
        <f aca="false">IF($A410="","",교육과정!$A11)</f>
        <v/>
      </c>
      <c r="E410" s="20" t="str">
        <f aca="false">IF($A410="","",교육과정!$B11)</f>
        <v/>
      </c>
      <c r="F410" s="21" t="str">
        <f aca="false">IF($A410="","",교육과정!$C11)</f>
        <v/>
      </c>
      <c r="G410" s="23" t="str">
        <f aca="false">IF($A410="","",IF(COUNTIFS(이수내역!$B$3:$B$2002,$A410,이수내역!$D$3:$D$2002,$D410)=0,"",SUMPRODUCT(MAX((이수내역!$B$3:$B$2002=$A410)*(이수내역!$D$3:$D$2002=$D410)*이수내역!$A$3:$A$2002))))</f>
        <v/>
      </c>
      <c r="H410" s="23" t="str">
        <f aca="false">IF($A410="","",IF($F410="","",IF($G410="",EDATE(직원목록!$E36,$F410),EDATE($G410,$F410))))</f>
        <v/>
      </c>
      <c r="I410" s="21" t="str">
        <f aca="true">IF($H410="","",$H410-TODAY())</f>
        <v/>
      </c>
      <c r="J410" s="21" t="str">
        <f aca="false">IF($A410="","",IF($H410="","-",IF($I410&lt;0,"기한초과",IF($I410&lt;=사용안내!$C$16,"임박","정상"))))</f>
        <v/>
      </c>
    </row>
    <row r="411" customFormat="false" ht="15" hidden="false" customHeight="true" outlineLevel="0" collapsed="false">
      <c r="A411" s="20" t="str">
        <f aca="false">IF(OR(직원목록!$A36="",교육과정!$A12="",직원목록!$F36="퇴사"),"",직원목록!$A36)</f>
        <v/>
      </c>
      <c r="B411" s="20" t="str">
        <f aca="false">IF($A411="","",직원목록!$B36)</f>
        <v/>
      </c>
      <c r="C411" s="20" t="str">
        <f aca="false">IF($A411="","",직원목록!$C36)</f>
        <v/>
      </c>
      <c r="D411" s="21" t="str">
        <f aca="false">IF($A411="","",교육과정!$A12)</f>
        <v/>
      </c>
      <c r="E411" s="20" t="str">
        <f aca="false">IF($A411="","",교육과정!$B12)</f>
        <v/>
      </c>
      <c r="F411" s="21" t="str">
        <f aca="false">IF($A411="","",교육과정!$C12)</f>
        <v/>
      </c>
      <c r="G411" s="23" t="str">
        <f aca="false">IF($A411="","",IF(COUNTIFS(이수내역!$B$3:$B$2002,$A411,이수내역!$D$3:$D$2002,$D411)=0,"",SUMPRODUCT(MAX((이수내역!$B$3:$B$2002=$A411)*(이수내역!$D$3:$D$2002=$D411)*이수내역!$A$3:$A$2002))))</f>
        <v/>
      </c>
      <c r="H411" s="23" t="str">
        <f aca="false">IF($A411="","",IF($F411="","",IF($G411="",EDATE(직원목록!$E36,$F411),EDATE($G411,$F411))))</f>
        <v/>
      </c>
      <c r="I411" s="21" t="str">
        <f aca="true">IF($H411="","",$H411-TODAY())</f>
        <v/>
      </c>
      <c r="J411" s="21" t="str">
        <f aca="false">IF($A411="","",IF($H411="","-",IF($I411&lt;0,"기한초과",IF($I411&lt;=사용안내!$C$16,"임박","정상"))))</f>
        <v/>
      </c>
    </row>
    <row r="412" customFormat="false" ht="15" hidden="false" customHeight="true" outlineLevel="0" collapsed="false">
      <c r="A412" s="20" t="str">
        <f aca="false">IF(OR(직원목록!$A36="",교육과정!$A13="",직원목록!$F36="퇴사"),"",직원목록!$A36)</f>
        <v/>
      </c>
      <c r="B412" s="20" t="str">
        <f aca="false">IF($A412="","",직원목록!$B36)</f>
        <v/>
      </c>
      <c r="C412" s="20" t="str">
        <f aca="false">IF($A412="","",직원목록!$C36)</f>
        <v/>
      </c>
      <c r="D412" s="21" t="str">
        <f aca="false">IF($A412="","",교육과정!$A13)</f>
        <v/>
      </c>
      <c r="E412" s="20" t="str">
        <f aca="false">IF($A412="","",교육과정!$B13)</f>
        <v/>
      </c>
      <c r="F412" s="21" t="str">
        <f aca="false">IF($A412="","",교육과정!$C13)</f>
        <v/>
      </c>
      <c r="G412" s="23" t="str">
        <f aca="false">IF($A412="","",IF(COUNTIFS(이수내역!$B$3:$B$2002,$A412,이수내역!$D$3:$D$2002,$D412)=0,"",SUMPRODUCT(MAX((이수내역!$B$3:$B$2002=$A412)*(이수내역!$D$3:$D$2002=$D412)*이수내역!$A$3:$A$2002))))</f>
        <v/>
      </c>
      <c r="H412" s="23" t="str">
        <f aca="false">IF($A412="","",IF($F412="","",IF($G412="",EDATE(직원목록!$E36,$F412),EDATE($G412,$F412))))</f>
        <v/>
      </c>
      <c r="I412" s="21" t="str">
        <f aca="true">IF($H412="","",$H412-TODAY())</f>
        <v/>
      </c>
      <c r="J412" s="21" t="str">
        <f aca="false">IF($A412="","",IF($H412="","-",IF($I412&lt;0,"기한초과",IF($I412&lt;=사용안내!$C$16,"임박","정상"))))</f>
        <v/>
      </c>
    </row>
    <row r="413" customFormat="false" ht="15" hidden="false" customHeight="true" outlineLevel="0" collapsed="false">
      <c r="A413" s="20" t="str">
        <f aca="false">IF(OR(직원목록!$A36="",교육과정!$A14="",직원목록!$F36="퇴사"),"",직원목록!$A36)</f>
        <v/>
      </c>
      <c r="B413" s="20" t="str">
        <f aca="false">IF($A413="","",직원목록!$B36)</f>
        <v/>
      </c>
      <c r="C413" s="20" t="str">
        <f aca="false">IF($A413="","",직원목록!$C36)</f>
        <v/>
      </c>
      <c r="D413" s="21" t="str">
        <f aca="false">IF($A413="","",교육과정!$A14)</f>
        <v/>
      </c>
      <c r="E413" s="20" t="str">
        <f aca="false">IF($A413="","",교육과정!$B14)</f>
        <v/>
      </c>
      <c r="F413" s="21" t="str">
        <f aca="false">IF($A413="","",교육과정!$C14)</f>
        <v/>
      </c>
      <c r="G413" s="23" t="str">
        <f aca="false">IF($A413="","",IF(COUNTIFS(이수내역!$B$3:$B$2002,$A413,이수내역!$D$3:$D$2002,$D413)=0,"",SUMPRODUCT(MAX((이수내역!$B$3:$B$2002=$A413)*(이수내역!$D$3:$D$2002=$D413)*이수내역!$A$3:$A$2002))))</f>
        <v/>
      </c>
      <c r="H413" s="23" t="str">
        <f aca="false">IF($A413="","",IF($F413="","",IF($G413="",EDATE(직원목록!$E36,$F413),EDATE($G413,$F413))))</f>
        <v/>
      </c>
      <c r="I413" s="21" t="str">
        <f aca="true">IF($H413="","",$H413-TODAY())</f>
        <v/>
      </c>
      <c r="J413" s="21" t="str">
        <f aca="false">IF($A413="","",IF($H413="","-",IF($I413&lt;0,"기한초과",IF($I413&lt;=사용안내!$C$16,"임박","정상"))))</f>
        <v/>
      </c>
    </row>
    <row r="414" customFormat="false" ht="15" hidden="false" customHeight="true" outlineLevel="0" collapsed="false">
      <c r="A414" s="20" t="str">
        <f aca="false">IF(OR(직원목록!$A37="",교육과정!$A3="",직원목록!$F37="퇴사"),"",직원목록!$A37)</f>
        <v/>
      </c>
      <c r="B414" s="20" t="str">
        <f aca="false">IF($A414="","",직원목록!$B37)</f>
        <v/>
      </c>
      <c r="C414" s="20" t="str">
        <f aca="false">IF($A414="","",직원목록!$C37)</f>
        <v/>
      </c>
      <c r="D414" s="21" t="str">
        <f aca="false">IF($A414="","",교육과정!$A3)</f>
        <v/>
      </c>
      <c r="E414" s="20" t="str">
        <f aca="false">IF($A414="","",교육과정!$B3)</f>
        <v/>
      </c>
      <c r="F414" s="21" t="str">
        <f aca="false">IF($A414="","",교육과정!$C3)</f>
        <v/>
      </c>
      <c r="G414" s="23" t="str">
        <f aca="false">IF($A414="","",IF(COUNTIFS(이수내역!$B$3:$B$2002,$A414,이수내역!$D$3:$D$2002,$D414)=0,"",SUMPRODUCT(MAX((이수내역!$B$3:$B$2002=$A414)*(이수내역!$D$3:$D$2002=$D414)*이수내역!$A$3:$A$2002))))</f>
        <v/>
      </c>
      <c r="H414" s="23" t="str">
        <f aca="false">IF($A414="","",IF($F414="","",IF($G414="",EDATE(직원목록!$E37,$F414),EDATE($G414,$F414))))</f>
        <v/>
      </c>
      <c r="I414" s="21" t="str">
        <f aca="true">IF($H414="","",$H414-TODAY())</f>
        <v/>
      </c>
      <c r="J414" s="21" t="str">
        <f aca="false">IF($A414="","",IF($H414="","-",IF($I414&lt;0,"기한초과",IF($I414&lt;=사용안내!$C$16,"임박","정상"))))</f>
        <v/>
      </c>
    </row>
    <row r="415" customFormat="false" ht="15" hidden="false" customHeight="true" outlineLevel="0" collapsed="false">
      <c r="A415" s="20" t="str">
        <f aca="false">IF(OR(직원목록!$A37="",교육과정!$A4="",직원목록!$F37="퇴사"),"",직원목록!$A37)</f>
        <v/>
      </c>
      <c r="B415" s="20" t="str">
        <f aca="false">IF($A415="","",직원목록!$B37)</f>
        <v/>
      </c>
      <c r="C415" s="20" t="str">
        <f aca="false">IF($A415="","",직원목록!$C37)</f>
        <v/>
      </c>
      <c r="D415" s="21" t="str">
        <f aca="false">IF($A415="","",교육과정!$A4)</f>
        <v/>
      </c>
      <c r="E415" s="20" t="str">
        <f aca="false">IF($A415="","",교육과정!$B4)</f>
        <v/>
      </c>
      <c r="F415" s="21" t="str">
        <f aca="false">IF($A415="","",교육과정!$C4)</f>
        <v/>
      </c>
      <c r="G415" s="23" t="str">
        <f aca="false">IF($A415="","",IF(COUNTIFS(이수내역!$B$3:$B$2002,$A415,이수내역!$D$3:$D$2002,$D415)=0,"",SUMPRODUCT(MAX((이수내역!$B$3:$B$2002=$A415)*(이수내역!$D$3:$D$2002=$D415)*이수내역!$A$3:$A$2002))))</f>
        <v/>
      </c>
      <c r="H415" s="23" t="str">
        <f aca="false">IF($A415="","",IF($F415="","",IF($G415="",EDATE(직원목록!$E37,$F415),EDATE($G415,$F415))))</f>
        <v/>
      </c>
      <c r="I415" s="21" t="str">
        <f aca="true">IF($H415="","",$H415-TODAY())</f>
        <v/>
      </c>
      <c r="J415" s="21" t="str">
        <f aca="false">IF($A415="","",IF($H415="","-",IF($I415&lt;0,"기한초과",IF($I415&lt;=사용안내!$C$16,"임박","정상"))))</f>
        <v/>
      </c>
    </row>
    <row r="416" customFormat="false" ht="15" hidden="false" customHeight="true" outlineLevel="0" collapsed="false">
      <c r="A416" s="20" t="str">
        <f aca="false">IF(OR(직원목록!$A37="",교육과정!$A5="",직원목록!$F37="퇴사"),"",직원목록!$A37)</f>
        <v/>
      </c>
      <c r="B416" s="20" t="str">
        <f aca="false">IF($A416="","",직원목록!$B37)</f>
        <v/>
      </c>
      <c r="C416" s="20" t="str">
        <f aca="false">IF($A416="","",직원목록!$C37)</f>
        <v/>
      </c>
      <c r="D416" s="21" t="str">
        <f aca="false">IF($A416="","",교육과정!$A5)</f>
        <v/>
      </c>
      <c r="E416" s="20" t="str">
        <f aca="false">IF($A416="","",교육과정!$B5)</f>
        <v/>
      </c>
      <c r="F416" s="21" t="str">
        <f aca="false">IF($A416="","",교육과정!$C5)</f>
        <v/>
      </c>
      <c r="G416" s="23" t="str">
        <f aca="false">IF($A416="","",IF(COUNTIFS(이수내역!$B$3:$B$2002,$A416,이수내역!$D$3:$D$2002,$D416)=0,"",SUMPRODUCT(MAX((이수내역!$B$3:$B$2002=$A416)*(이수내역!$D$3:$D$2002=$D416)*이수내역!$A$3:$A$2002))))</f>
        <v/>
      </c>
      <c r="H416" s="23" t="str">
        <f aca="false">IF($A416="","",IF($F416="","",IF($G416="",EDATE(직원목록!$E37,$F416),EDATE($G416,$F416))))</f>
        <v/>
      </c>
      <c r="I416" s="21" t="str">
        <f aca="true">IF($H416="","",$H416-TODAY())</f>
        <v/>
      </c>
      <c r="J416" s="21" t="str">
        <f aca="false">IF($A416="","",IF($H416="","-",IF($I416&lt;0,"기한초과",IF($I416&lt;=사용안내!$C$16,"임박","정상"))))</f>
        <v/>
      </c>
    </row>
    <row r="417" customFormat="false" ht="15" hidden="false" customHeight="true" outlineLevel="0" collapsed="false">
      <c r="A417" s="20" t="str">
        <f aca="false">IF(OR(직원목록!$A37="",교육과정!$A6="",직원목록!$F37="퇴사"),"",직원목록!$A37)</f>
        <v/>
      </c>
      <c r="B417" s="20" t="str">
        <f aca="false">IF($A417="","",직원목록!$B37)</f>
        <v/>
      </c>
      <c r="C417" s="20" t="str">
        <f aca="false">IF($A417="","",직원목록!$C37)</f>
        <v/>
      </c>
      <c r="D417" s="21" t="str">
        <f aca="false">IF($A417="","",교육과정!$A6)</f>
        <v/>
      </c>
      <c r="E417" s="20" t="str">
        <f aca="false">IF($A417="","",교육과정!$B6)</f>
        <v/>
      </c>
      <c r="F417" s="21" t="str">
        <f aca="false">IF($A417="","",교육과정!$C6)</f>
        <v/>
      </c>
      <c r="G417" s="23" t="str">
        <f aca="false">IF($A417="","",IF(COUNTIFS(이수내역!$B$3:$B$2002,$A417,이수내역!$D$3:$D$2002,$D417)=0,"",SUMPRODUCT(MAX((이수내역!$B$3:$B$2002=$A417)*(이수내역!$D$3:$D$2002=$D417)*이수내역!$A$3:$A$2002))))</f>
        <v/>
      </c>
      <c r="H417" s="23" t="str">
        <f aca="false">IF($A417="","",IF($F417="","",IF($G417="",EDATE(직원목록!$E37,$F417),EDATE($G417,$F417))))</f>
        <v/>
      </c>
      <c r="I417" s="21" t="str">
        <f aca="true">IF($H417="","",$H417-TODAY())</f>
        <v/>
      </c>
      <c r="J417" s="21" t="str">
        <f aca="false">IF($A417="","",IF($H417="","-",IF($I417&lt;0,"기한초과",IF($I417&lt;=사용안내!$C$16,"임박","정상"))))</f>
        <v/>
      </c>
    </row>
    <row r="418" customFormat="false" ht="15" hidden="false" customHeight="true" outlineLevel="0" collapsed="false">
      <c r="A418" s="20" t="str">
        <f aca="false">IF(OR(직원목록!$A37="",교육과정!$A7="",직원목록!$F37="퇴사"),"",직원목록!$A37)</f>
        <v/>
      </c>
      <c r="B418" s="20" t="str">
        <f aca="false">IF($A418="","",직원목록!$B37)</f>
        <v/>
      </c>
      <c r="C418" s="20" t="str">
        <f aca="false">IF($A418="","",직원목록!$C37)</f>
        <v/>
      </c>
      <c r="D418" s="21" t="str">
        <f aca="false">IF($A418="","",교육과정!$A7)</f>
        <v/>
      </c>
      <c r="E418" s="20" t="str">
        <f aca="false">IF($A418="","",교육과정!$B7)</f>
        <v/>
      </c>
      <c r="F418" s="21" t="str">
        <f aca="false">IF($A418="","",교육과정!$C7)</f>
        <v/>
      </c>
      <c r="G418" s="23" t="str">
        <f aca="false">IF($A418="","",IF(COUNTIFS(이수내역!$B$3:$B$2002,$A418,이수내역!$D$3:$D$2002,$D418)=0,"",SUMPRODUCT(MAX((이수내역!$B$3:$B$2002=$A418)*(이수내역!$D$3:$D$2002=$D418)*이수내역!$A$3:$A$2002))))</f>
        <v/>
      </c>
      <c r="H418" s="23" t="str">
        <f aca="false">IF($A418="","",IF($F418="","",IF($G418="",EDATE(직원목록!$E37,$F418),EDATE($G418,$F418))))</f>
        <v/>
      </c>
      <c r="I418" s="21" t="str">
        <f aca="true">IF($H418="","",$H418-TODAY())</f>
        <v/>
      </c>
      <c r="J418" s="21" t="str">
        <f aca="false">IF($A418="","",IF($H418="","-",IF($I418&lt;0,"기한초과",IF($I418&lt;=사용안내!$C$16,"임박","정상"))))</f>
        <v/>
      </c>
    </row>
    <row r="419" customFormat="false" ht="15" hidden="false" customHeight="true" outlineLevel="0" collapsed="false">
      <c r="A419" s="20" t="str">
        <f aca="false">IF(OR(직원목록!$A37="",교육과정!$A8="",직원목록!$F37="퇴사"),"",직원목록!$A37)</f>
        <v/>
      </c>
      <c r="B419" s="20" t="str">
        <f aca="false">IF($A419="","",직원목록!$B37)</f>
        <v/>
      </c>
      <c r="C419" s="20" t="str">
        <f aca="false">IF($A419="","",직원목록!$C37)</f>
        <v/>
      </c>
      <c r="D419" s="21" t="str">
        <f aca="false">IF($A419="","",교육과정!$A8)</f>
        <v/>
      </c>
      <c r="E419" s="20" t="str">
        <f aca="false">IF($A419="","",교육과정!$B8)</f>
        <v/>
      </c>
      <c r="F419" s="21" t="str">
        <f aca="false">IF($A419="","",교육과정!$C8)</f>
        <v/>
      </c>
      <c r="G419" s="23" t="str">
        <f aca="false">IF($A419="","",IF(COUNTIFS(이수내역!$B$3:$B$2002,$A419,이수내역!$D$3:$D$2002,$D419)=0,"",SUMPRODUCT(MAX((이수내역!$B$3:$B$2002=$A419)*(이수내역!$D$3:$D$2002=$D419)*이수내역!$A$3:$A$2002))))</f>
        <v/>
      </c>
      <c r="H419" s="23" t="str">
        <f aca="false">IF($A419="","",IF($F419="","",IF($G419="",EDATE(직원목록!$E37,$F419),EDATE($G419,$F419))))</f>
        <v/>
      </c>
      <c r="I419" s="21" t="str">
        <f aca="true">IF($H419="","",$H419-TODAY())</f>
        <v/>
      </c>
      <c r="J419" s="21" t="str">
        <f aca="false">IF($A419="","",IF($H419="","-",IF($I419&lt;0,"기한초과",IF($I419&lt;=사용안내!$C$16,"임박","정상"))))</f>
        <v/>
      </c>
    </row>
    <row r="420" customFormat="false" ht="15" hidden="false" customHeight="true" outlineLevel="0" collapsed="false">
      <c r="A420" s="20" t="str">
        <f aca="false">IF(OR(직원목록!$A37="",교육과정!$A9="",직원목록!$F37="퇴사"),"",직원목록!$A37)</f>
        <v/>
      </c>
      <c r="B420" s="20" t="str">
        <f aca="false">IF($A420="","",직원목록!$B37)</f>
        <v/>
      </c>
      <c r="C420" s="20" t="str">
        <f aca="false">IF($A420="","",직원목록!$C37)</f>
        <v/>
      </c>
      <c r="D420" s="21" t="str">
        <f aca="false">IF($A420="","",교육과정!$A9)</f>
        <v/>
      </c>
      <c r="E420" s="20" t="str">
        <f aca="false">IF($A420="","",교육과정!$B9)</f>
        <v/>
      </c>
      <c r="F420" s="21" t="str">
        <f aca="false">IF($A420="","",교육과정!$C9)</f>
        <v/>
      </c>
      <c r="G420" s="23" t="str">
        <f aca="false">IF($A420="","",IF(COUNTIFS(이수내역!$B$3:$B$2002,$A420,이수내역!$D$3:$D$2002,$D420)=0,"",SUMPRODUCT(MAX((이수내역!$B$3:$B$2002=$A420)*(이수내역!$D$3:$D$2002=$D420)*이수내역!$A$3:$A$2002))))</f>
        <v/>
      </c>
      <c r="H420" s="23" t="str">
        <f aca="false">IF($A420="","",IF($F420="","",IF($G420="",EDATE(직원목록!$E37,$F420),EDATE($G420,$F420))))</f>
        <v/>
      </c>
      <c r="I420" s="21" t="str">
        <f aca="true">IF($H420="","",$H420-TODAY())</f>
        <v/>
      </c>
      <c r="J420" s="21" t="str">
        <f aca="false">IF($A420="","",IF($H420="","-",IF($I420&lt;0,"기한초과",IF($I420&lt;=사용안내!$C$16,"임박","정상"))))</f>
        <v/>
      </c>
    </row>
    <row r="421" customFormat="false" ht="15" hidden="false" customHeight="true" outlineLevel="0" collapsed="false">
      <c r="A421" s="20" t="str">
        <f aca="false">IF(OR(직원목록!$A37="",교육과정!$A10="",직원목록!$F37="퇴사"),"",직원목록!$A37)</f>
        <v/>
      </c>
      <c r="B421" s="20" t="str">
        <f aca="false">IF($A421="","",직원목록!$B37)</f>
        <v/>
      </c>
      <c r="C421" s="20" t="str">
        <f aca="false">IF($A421="","",직원목록!$C37)</f>
        <v/>
      </c>
      <c r="D421" s="21" t="str">
        <f aca="false">IF($A421="","",교육과정!$A10)</f>
        <v/>
      </c>
      <c r="E421" s="20" t="str">
        <f aca="false">IF($A421="","",교육과정!$B10)</f>
        <v/>
      </c>
      <c r="F421" s="21" t="str">
        <f aca="false">IF($A421="","",교육과정!$C10)</f>
        <v/>
      </c>
      <c r="G421" s="23" t="str">
        <f aca="false">IF($A421="","",IF(COUNTIFS(이수내역!$B$3:$B$2002,$A421,이수내역!$D$3:$D$2002,$D421)=0,"",SUMPRODUCT(MAX((이수내역!$B$3:$B$2002=$A421)*(이수내역!$D$3:$D$2002=$D421)*이수내역!$A$3:$A$2002))))</f>
        <v/>
      </c>
      <c r="H421" s="23" t="str">
        <f aca="false">IF($A421="","",IF($F421="","",IF($G421="",EDATE(직원목록!$E37,$F421),EDATE($G421,$F421))))</f>
        <v/>
      </c>
      <c r="I421" s="21" t="str">
        <f aca="true">IF($H421="","",$H421-TODAY())</f>
        <v/>
      </c>
      <c r="J421" s="21" t="str">
        <f aca="false">IF($A421="","",IF($H421="","-",IF($I421&lt;0,"기한초과",IF($I421&lt;=사용안내!$C$16,"임박","정상"))))</f>
        <v/>
      </c>
    </row>
    <row r="422" customFormat="false" ht="15" hidden="false" customHeight="true" outlineLevel="0" collapsed="false">
      <c r="A422" s="20" t="str">
        <f aca="false">IF(OR(직원목록!$A37="",교육과정!$A11="",직원목록!$F37="퇴사"),"",직원목록!$A37)</f>
        <v/>
      </c>
      <c r="B422" s="20" t="str">
        <f aca="false">IF($A422="","",직원목록!$B37)</f>
        <v/>
      </c>
      <c r="C422" s="20" t="str">
        <f aca="false">IF($A422="","",직원목록!$C37)</f>
        <v/>
      </c>
      <c r="D422" s="21" t="str">
        <f aca="false">IF($A422="","",교육과정!$A11)</f>
        <v/>
      </c>
      <c r="E422" s="20" t="str">
        <f aca="false">IF($A422="","",교육과정!$B11)</f>
        <v/>
      </c>
      <c r="F422" s="21" t="str">
        <f aca="false">IF($A422="","",교육과정!$C11)</f>
        <v/>
      </c>
      <c r="G422" s="23" t="str">
        <f aca="false">IF($A422="","",IF(COUNTIFS(이수내역!$B$3:$B$2002,$A422,이수내역!$D$3:$D$2002,$D422)=0,"",SUMPRODUCT(MAX((이수내역!$B$3:$B$2002=$A422)*(이수내역!$D$3:$D$2002=$D422)*이수내역!$A$3:$A$2002))))</f>
        <v/>
      </c>
      <c r="H422" s="23" t="str">
        <f aca="false">IF($A422="","",IF($F422="","",IF($G422="",EDATE(직원목록!$E37,$F422),EDATE($G422,$F422))))</f>
        <v/>
      </c>
      <c r="I422" s="21" t="str">
        <f aca="true">IF($H422="","",$H422-TODAY())</f>
        <v/>
      </c>
      <c r="J422" s="21" t="str">
        <f aca="false">IF($A422="","",IF($H422="","-",IF($I422&lt;0,"기한초과",IF($I422&lt;=사용안내!$C$16,"임박","정상"))))</f>
        <v/>
      </c>
    </row>
    <row r="423" customFormat="false" ht="15" hidden="false" customHeight="true" outlineLevel="0" collapsed="false">
      <c r="A423" s="20" t="str">
        <f aca="false">IF(OR(직원목록!$A37="",교육과정!$A12="",직원목록!$F37="퇴사"),"",직원목록!$A37)</f>
        <v/>
      </c>
      <c r="B423" s="20" t="str">
        <f aca="false">IF($A423="","",직원목록!$B37)</f>
        <v/>
      </c>
      <c r="C423" s="20" t="str">
        <f aca="false">IF($A423="","",직원목록!$C37)</f>
        <v/>
      </c>
      <c r="D423" s="21" t="str">
        <f aca="false">IF($A423="","",교육과정!$A12)</f>
        <v/>
      </c>
      <c r="E423" s="20" t="str">
        <f aca="false">IF($A423="","",교육과정!$B12)</f>
        <v/>
      </c>
      <c r="F423" s="21" t="str">
        <f aca="false">IF($A423="","",교육과정!$C12)</f>
        <v/>
      </c>
      <c r="G423" s="23" t="str">
        <f aca="false">IF($A423="","",IF(COUNTIFS(이수내역!$B$3:$B$2002,$A423,이수내역!$D$3:$D$2002,$D423)=0,"",SUMPRODUCT(MAX((이수내역!$B$3:$B$2002=$A423)*(이수내역!$D$3:$D$2002=$D423)*이수내역!$A$3:$A$2002))))</f>
        <v/>
      </c>
      <c r="H423" s="23" t="str">
        <f aca="false">IF($A423="","",IF($F423="","",IF($G423="",EDATE(직원목록!$E37,$F423),EDATE($G423,$F423))))</f>
        <v/>
      </c>
      <c r="I423" s="21" t="str">
        <f aca="true">IF($H423="","",$H423-TODAY())</f>
        <v/>
      </c>
      <c r="J423" s="21" t="str">
        <f aca="false">IF($A423="","",IF($H423="","-",IF($I423&lt;0,"기한초과",IF($I423&lt;=사용안내!$C$16,"임박","정상"))))</f>
        <v/>
      </c>
    </row>
    <row r="424" customFormat="false" ht="15" hidden="false" customHeight="true" outlineLevel="0" collapsed="false">
      <c r="A424" s="20" t="str">
        <f aca="false">IF(OR(직원목록!$A37="",교육과정!$A13="",직원목록!$F37="퇴사"),"",직원목록!$A37)</f>
        <v/>
      </c>
      <c r="B424" s="20" t="str">
        <f aca="false">IF($A424="","",직원목록!$B37)</f>
        <v/>
      </c>
      <c r="C424" s="20" t="str">
        <f aca="false">IF($A424="","",직원목록!$C37)</f>
        <v/>
      </c>
      <c r="D424" s="21" t="str">
        <f aca="false">IF($A424="","",교육과정!$A13)</f>
        <v/>
      </c>
      <c r="E424" s="20" t="str">
        <f aca="false">IF($A424="","",교육과정!$B13)</f>
        <v/>
      </c>
      <c r="F424" s="21" t="str">
        <f aca="false">IF($A424="","",교육과정!$C13)</f>
        <v/>
      </c>
      <c r="G424" s="23" t="str">
        <f aca="false">IF($A424="","",IF(COUNTIFS(이수내역!$B$3:$B$2002,$A424,이수내역!$D$3:$D$2002,$D424)=0,"",SUMPRODUCT(MAX((이수내역!$B$3:$B$2002=$A424)*(이수내역!$D$3:$D$2002=$D424)*이수내역!$A$3:$A$2002))))</f>
        <v/>
      </c>
      <c r="H424" s="23" t="str">
        <f aca="false">IF($A424="","",IF($F424="","",IF($G424="",EDATE(직원목록!$E37,$F424),EDATE($G424,$F424))))</f>
        <v/>
      </c>
      <c r="I424" s="21" t="str">
        <f aca="true">IF($H424="","",$H424-TODAY())</f>
        <v/>
      </c>
      <c r="J424" s="21" t="str">
        <f aca="false">IF($A424="","",IF($H424="","-",IF($I424&lt;0,"기한초과",IF($I424&lt;=사용안내!$C$16,"임박","정상"))))</f>
        <v/>
      </c>
    </row>
    <row r="425" customFormat="false" ht="15" hidden="false" customHeight="true" outlineLevel="0" collapsed="false">
      <c r="A425" s="20" t="str">
        <f aca="false">IF(OR(직원목록!$A37="",교육과정!$A14="",직원목록!$F37="퇴사"),"",직원목록!$A37)</f>
        <v/>
      </c>
      <c r="B425" s="20" t="str">
        <f aca="false">IF($A425="","",직원목록!$B37)</f>
        <v/>
      </c>
      <c r="C425" s="20" t="str">
        <f aca="false">IF($A425="","",직원목록!$C37)</f>
        <v/>
      </c>
      <c r="D425" s="21" t="str">
        <f aca="false">IF($A425="","",교육과정!$A14)</f>
        <v/>
      </c>
      <c r="E425" s="20" t="str">
        <f aca="false">IF($A425="","",교육과정!$B14)</f>
        <v/>
      </c>
      <c r="F425" s="21" t="str">
        <f aca="false">IF($A425="","",교육과정!$C14)</f>
        <v/>
      </c>
      <c r="G425" s="23" t="str">
        <f aca="false">IF($A425="","",IF(COUNTIFS(이수내역!$B$3:$B$2002,$A425,이수내역!$D$3:$D$2002,$D425)=0,"",SUMPRODUCT(MAX((이수내역!$B$3:$B$2002=$A425)*(이수내역!$D$3:$D$2002=$D425)*이수내역!$A$3:$A$2002))))</f>
        <v/>
      </c>
      <c r="H425" s="23" t="str">
        <f aca="false">IF($A425="","",IF($F425="","",IF($G425="",EDATE(직원목록!$E37,$F425),EDATE($G425,$F425))))</f>
        <v/>
      </c>
      <c r="I425" s="21" t="str">
        <f aca="true">IF($H425="","",$H425-TODAY())</f>
        <v/>
      </c>
      <c r="J425" s="21" t="str">
        <f aca="false">IF($A425="","",IF($H425="","-",IF($I425&lt;0,"기한초과",IF($I425&lt;=사용안내!$C$16,"임박","정상"))))</f>
        <v/>
      </c>
    </row>
    <row r="426" customFormat="false" ht="15" hidden="false" customHeight="true" outlineLevel="0" collapsed="false">
      <c r="A426" s="20" t="str">
        <f aca="false">IF(OR(직원목록!$A38="",교육과정!$A3="",직원목록!$F38="퇴사"),"",직원목록!$A38)</f>
        <v/>
      </c>
      <c r="B426" s="20" t="str">
        <f aca="false">IF($A426="","",직원목록!$B38)</f>
        <v/>
      </c>
      <c r="C426" s="20" t="str">
        <f aca="false">IF($A426="","",직원목록!$C38)</f>
        <v/>
      </c>
      <c r="D426" s="21" t="str">
        <f aca="false">IF($A426="","",교육과정!$A3)</f>
        <v/>
      </c>
      <c r="E426" s="20" t="str">
        <f aca="false">IF($A426="","",교육과정!$B3)</f>
        <v/>
      </c>
      <c r="F426" s="21" t="str">
        <f aca="false">IF($A426="","",교육과정!$C3)</f>
        <v/>
      </c>
      <c r="G426" s="23" t="str">
        <f aca="false">IF($A426="","",IF(COUNTIFS(이수내역!$B$3:$B$2002,$A426,이수내역!$D$3:$D$2002,$D426)=0,"",SUMPRODUCT(MAX((이수내역!$B$3:$B$2002=$A426)*(이수내역!$D$3:$D$2002=$D426)*이수내역!$A$3:$A$2002))))</f>
        <v/>
      </c>
      <c r="H426" s="23" t="str">
        <f aca="false">IF($A426="","",IF($F426="","",IF($G426="",EDATE(직원목록!$E38,$F426),EDATE($G426,$F426))))</f>
        <v/>
      </c>
      <c r="I426" s="21" t="str">
        <f aca="true">IF($H426="","",$H426-TODAY())</f>
        <v/>
      </c>
      <c r="J426" s="21" t="str">
        <f aca="false">IF($A426="","",IF($H426="","-",IF($I426&lt;0,"기한초과",IF($I426&lt;=사용안내!$C$16,"임박","정상"))))</f>
        <v/>
      </c>
    </row>
    <row r="427" customFormat="false" ht="15" hidden="false" customHeight="true" outlineLevel="0" collapsed="false">
      <c r="A427" s="20" t="str">
        <f aca="false">IF(OR(직원목록!$A38="",교육과정!$A4="",직원목록!$F38="퇴사"),"",직원목록!$A38)</f>
        <v/>
      </c>
      <c r="B427" s="20" t="str">
        <f aca="false">IF($A427="","",직원목록!$B38)</f>
        <v/>
      </c>
      <c r="C427" s="20" t="str">
        <f aca="false">IF($A427="","",직원목록!$C38)</f>
        <v/>
      </c>
      <c r="D427" s="21" t="str">
        <f aca="false">IF($A427="","",교육과정!$A4)</f>
        <v/>
      </c>
      <c r="E427" s="20" t="str">
        <f aca="false">IF($A427="","",교육과정!$B4)</f>
        <v/>
      </c>
      <c r="F427" s="21" t="str">
        <f aca="false">IF($A427="","",교육과정!$C4)</f>
        <v/>
      </c>
      <c r="G427" s="23" t="str">
        <f aca="false">IF($A427="","",IF(COUNTIFS(이수내역!$B$3:$B$2002,$A427,이수내역!$D$3:$D$2002,$D427)=0,"",SUMPRODUCT(MAX((이수내역!$B$3:$B$2002=$A427)*(이수내역!$D$3:$D$2002=$D427)*이수내역!$A$3:$A$2002))))</f>
        <v/>
      </c>
      <c r="H427" s="23" t="str">
        <f aca="false">IF($A427="","",IF($F427="","",IF($G427="",EDATE(직원목록!$E38,$F427),EDATE($G427,$F427))))</f>
        <v/>
      </c>
      <c r="I427" s="21" t="str">
        <f aca="true">IF($H427="","",$H427-TODAY())</f>
        <v/>
      </c>
      <c r="J427" s="21" t="str">
        <f aca="false">IF($A427="","",IF($H427="","-",IF($I427&lt;0,"기한초과",IF($I427&lt;=사용안내!$C$16,"임박","정상"))))</f>
        <v/>
      </c>
    </row>
    <row r="428" customFormat="false" ht="15" hidden="false" customHeight="true" outlineLevel="0" collapsed="false">
      <c r="A428" s="20" t="str">
        <f aca="false">IF(OR(직원목록!$A38="",교육과정!$A5="",직원목록!$F38="퇴사"),"",직원목록!$A38)</f>
        <v/>
      </c>
      <c r="B428" s="20" t="str">
        <f aca="false">IF($A428="","",직원목록!$B38)</f>
        <v/>
      </c>
      <c r="C428" s="20" t="str">
        <f aca="false">IF($A428="","",직원목록!$C38)</f>
        <v/>
      </c>
      <c r="D428" s="21" t="str">
        <f aca="false">IF($A428="","",교육과정!$A5)</f>
        <v/>
      </c>
      <c r="E428" s="20" t="str">
        <f aca="false">IF($A428="","",교육과정!$B5)</f>
        <v/>
      </c>
      <c r="F428" s="21" t="str">
        <f aca="false">IF($A428="","",교육과정!$C5)</f>
        <v/>
      </c>
      <c r="G428" s="23" t="str">
        <f aca="false">IF($A428="","",IF(COUNTIFS(이수내역!$B$3:$B$2002,$A428,이수내역!$D$3:$D$2002,$D428)=0,"",SUMPRODUCT(MAX((이수내역!$B$3:$B$2002=$A428)*(이수내역!$D$3:$D$2002=$D428)*이수내역!$A$3:$A$2002))))</f>
        <v/>
      </c>
      <c r="H428" s="23" t="str">
        <f aca="false">IF($A428="","",IF($F428="","",IF($G428="",EDATE(직원목록!$E38,$F428),EDATE($G428,$F428))))</f>
        <v/>
      </c>
      <c r="I428" s="21" t="str">
        <f aca="true">IF($H428="","",$H428-TODAY())</f>
        <v/>
      </c>
      <c r="J428" s="21" t="str">
        <f aca="false">IF($A428="","",IF($H428="","-",IF($I428&lt;0,"기한초과",IF($I428&lt;=사용안내!$C$16,"임박","정상"))))</f>
        <v/>
      </c>
    </row>
    <row r="429" customFormat="false" ht="15" hidden="false" customHeight="true" outlineLevel="0" collapsed="false">
      <c r="A429" s="20" t="str">
        <f aca="false">IF(OR(직원목록!$A38="",교육과정!$A6="",직원목록!$F38="퇴사"),"",직원목록!$A38)</f>
        <v/>
      </c>
      <c r="B429" s="20" t="str">
        <f aca="false">IF($A429="","",직원목록!$B38)</f>
        <v/>
      </c>
      <c r="C429" s="20" t="str">
        <f aca="false">IF($A429="","",직원목록!$C38)</f>
        <v/>
      </c>
      <c r="D429" s="21" t="str">
        <f aca="false">IF($A429="","",교육과정!$A6)</f>
        <v/>
      </c>
      <c r="E429" s="20" t="str">
        <f aca="false">IF($A429="","",교육과정!$B6)</f>
        <v/>
      </c>
      <c r="F429" s="21" t="str">
        <f aca="false">IF($A429="","",교육과정!$C6)</f>
        <v/>
      </c>
      <c r="G429" s="23" t="str">
        <f aca="false">IF($A429="","",IF(COUNTIFS(이수내역!$B$3:$B$2002,$A429,이수내역!$D$3:$D$2002,$D429)=0,"",SUMPRODUCT(MAX((이수내역!$B$3:$B$2002=$A429)*(이수내역!$D$3:$D$2002=$D429)*이수내역!$A$3:$A$2002))))</f>
        <v/>
      </c>
      <c r="H429" s="23" t="str">
        <f aca="false">IF($A429="","",IF($F429="","",IF($G429="",EDATE(직원목록!$E38,$F429),EDATE($G429,$F429))))</f>
        <v/>
      </c>
      <c r="I429" s="21" t="str">
        <f aca="true">IF($H429="","",$H429-TODAY())</f>
        <v/>
      </c>
      <c r="J429" s="21" t="str">
        <f aca="false">IF($A429="","",IF($H429="","-",IF($I429&lt;0,"기한초과",IF($I429&lt;=사용안내!$C$16,"임박","정상"))))</f>
        <v/>
      </c>
    </row>
    <row r="430" customFormat="false" ht="15" hidden="false" customHeight="true" outlineLevel="0" collapsed="false">
      <c r="A430" s="20" t="str">
        <f aca="false">IF(OR(직원목록!$A38="",교육과정!$A7="",직원목록!$F38="퇴사"),"",직원목록!$A38)</f>
        <v/>
      </c>
      <c r="B430" s="20" t="str">
        <f aca="false">IF($A430="","",직원목록!$B38)</f>
        <v/>
      </c>
      <c r="C430" s="20" t="str">
        <f aca="false">IF($A430="","",직원목록!$C38)</f>
        <v/>
      </c>
      <c r="D430" s="21" t="str">
        <f aca="false">IF($A430="","",교육과정!$A7)</f>
        <v/>
      </c>
      <c r="E430" s="20" t="str">
        <f aca="false">IF($A430="","",교육과정!$B7)</f>
        <v/>
      </c>
      <c r="F430" s="21" t="str">
        <f aca="false">IF($A430="","",교육과정!$C7)</f>
        <v/>
      </c>
      <c r="G430" s="23" t="str">
        <f aca="false">IF($A430="","",IF(COUNTIFS(이수내역!$B$3:$B$2002,$A430,이수내역!$D$3:$D$2002,$D430)=0,"",SUMPRODUCT(MAX((이수내역!$B$3:$B$2002=$A430)*(이수내역!$D$3:$D$2002=$D430)*이수내역!$A$3:$A$2002))))</f>
        <v/>
      </c>
      <c r="H430" s="23" t="str">
        <f aca="false">IF($A430="","",IF($F430="","",IF($G430="",EDATE(직원목록!$E38,$F430),EDATE($G430,$F430))))</f>
        <v/>
      </c>
      <c r="I430" s="21" t="str">
        <f aca="true">IF($H430="","",$H430-TODAY())</f>
        <v/>
      </c>
      <c r="J430" s="21" t="str">
        <f aca="false">IF($A430="","",IF($H430="","-",IF($I430&lt;0,"기한초과",IF($I430&lt;=사용안내!$C$16,"임박","정상"))))</f>
        <v/>
      </c>
    </row>
    <row r="431" customFormat="false" ht="15" hidden="false" customHeight="true" outlineLevel="0" collapsed="false">
      <c r="A431" s="20" t="str">
        <f aca="false">IF(OR(직원목록!$A38="",교육과정!$A8="",직원목록!$F38="퇴사"),"",직원목록!$A38)</f>
        <v/>
      </c>
      <c r="B431" s="20" t="str">
        <f aca="false">IF($A431="","",직원목록!$B38)</f>
        <v/>
      </c>
      <c r="C431" s="20" t="str">
        <f aca="false">IF($A431="","",직원목록!$C38)</f>
        <v/>
      </c>
      <c r="D431" s="21" t="str">
        <f aca="false">IF($A431="","",교육과정!$A8)</f>
        <v/>
      </c>
      <c r="E431" s="20" t="str">
        <f aca="false">IF($A431="","",교육과정!$B8)</f>
        <v/>
      </c>
      <c r="F431" s="21" t="str">
        <f aca="false">IF($A431="","",교육과정!$C8)</f>
        <v/>
      </c>
      <c r="G431" s="23" t="str">
        <f aca="false">IF($A431="","",IF(COUNTIFS(이수내역!$B$3:$B$2002,$A431,이수내역!$D$3:$D$2002,$D431)=0,"",SUMPRODUCT(MAX((이수내역!$B$3:$B$2002=$A431)*(이수내역!$D$3:$D$2002=$D431)*이수내역!$A$3:$A$2002))))</f>
        <v/>
      </c>
      <c r="H431" s="23" t="str">
        <f aca="false">IF($A431="","",IF($F431="","",IF($G431="",EDATE(직원목록!$E38,$F431),EDATE($G431,$F431))))</f>
        <v/>
      </c>
      <c r="I431" s="21" t="str">
        <f aca="true">IF($H431="","",$H431-TODAY())</f>
        <v/>
      </c>
      <c r="J431" s="21" t="str">
        <f aca="false">IF($A431="","",IF($H431="","-",IF($I431&lt;0,"기한초과",IF($I431&lt;=사용안내!$C$16,"임박","정상"))))</f>
        <v/>
      </c>
    </row>
    <row r="432" customFormat="false" ht="15" hidden="false" customHeight="true" outlineLevel="0" collapsed="false">
      <c r="A432" s="20" t="str">
        <f aca="false">IF(OR(직원목록!$A38="",교육과정!$A9="",직원목록!$F38="퇴사"),"",직원목록!$A38)</f>
        <v/>
      </c>
      <c r="B432" s="20" t="str">
        <f aca="false">IF($A432="","",직원목록!$B38)</f>
        <v/>
      </c>
      <c r="C432" s="20" t="str">
        <f aca="false">IF($A432="","",직원목록!$C38)</f>
        <v/>
      </c>
      <c r="D432" s="21" t="str">
        <f aca="false">IF($A432="","",교육과정!$A9)</f>
        <v/>
      </c>
      <c r="E432" s="20" t="str">
        <f aca="false">IF($A432="","",교육과정!$B9)</f>
        <v/>
      </c>
      <c r="F432" s="21" t="str">
        <f aca="false">IF($A432="","",교육과정!$C9)</f>
        <v/>
      </c>
      <c r="G432" s="23" t="str">
        <f aca="false">IF($A432="","",IF(COUNTIFS(이수내역!$B$3:$B$2002,$A432,이수내역!$D$3:$D$2002,$D432)=0,"",SUMPRODUCT(MAX((이수내역!$B$3:$B$2002=$A432)*(이수내역!$D$3:$D$2002=$D432)*이수내역!$A$3:$A$2002))))</f>
        <v/>
      </c>
      <c r="H432" s="23" t="str">
        <f aca="false">IF($A432="","",IF($F432="","",IF($G432="",EDATE(직원목록!$E38,$F432),EDATE($G432,$F432))))</f>
        <v/>
      </c>
      <c r="I432" s="21" t="str">
        <f aca="true">IF($H432="","",$H432-TODAY())</f>
        <v/>
      </c>
      <c r="J432" s="21" t="str">
        <f aca="false">IF($A432="","",IF($H432="","-",IF($I432&lt;0,"기한초과",IF($I432&lt;=사용안내!$C$16,"임박","정상"))))</f>
        <v/>
      </c>
    </row>
    <row r="433" customFormat="false" ht="15" hidden="false" customHeight="true" outlineLevel="0" collapsed="false">
      <c r="A433" s="20" t="str">
        <f aca="false">IF(OR(직원목록!$A38="",교육과정!$A10="",직원목록!$F38="퇴사"),"",직원목록!$A38)</f>
        <v/>
      </c>
      <c r="B433" s="20" t="str">
        <f aca="false">IF($A433="","",직원목록!$B38)</f>
        <v/>
      </c>
      <c r="C433" s="20" t="str">
        <f aca="false">IF($A433="","",직원목록!$C38)</f>
        <v/>
      </c>
      <c r="D433" s="21" t="str">
        <f aca="false">IF($A433="","",교육과정!$A10)</f>
        <v/>
      </c>
      <c r="E433" s="20" t="str">
        <f aca="false">IF($A433="","",교육과정!$B10)</f>
        <v/>
      </c>
      <c r="F433" s="21" t="str">
        <f aca="false">IF($A433="","",교육과정!$C10)</f>
        <v/>
      </c>
      <c r="G433" s="23" t="str">
        <f aca="false">IF($A433="","",IF(COUNTIFS(이수내역!$B$3:$B$2002,$A433,이수내역!$D$3:$D$2002,$D433)=0,"",SUMPRODUCT(MAX((이수내역!$B$3:$B$2002=$A433)*(이수내역!$D$3:$D$2002=$D433)*이수내역!$A$3:$A$2002))))</f>
        <v/>
      </c>
      <c r="H433" s="23" t="str">
        <f aca="false">IF($A433="","",IF($F433="","",IF($G433="",EDATE(직원목록!$E38,$F433),EDATE($G433,$F433))))</f>
        <v/>
      </c>
      <c r="I433" s="21" t="str">
        <f aca="true">IF($H433="","",$H433-TODAY())</f>
        <v/>
      </c>
      <c r="J433" s="21" t="str">
        <f aca="false">IF($A433="","",IF($H433="","-",IF($I433&lt;0,"기한초과",IF($I433&lt;=사용안내!$C$16,"임박","정상"))))</f>
        <v/>
      </c>
    </row>
    <row r="434" customFormat="false" ht="15" hidden="false" customHeight="true" outlineLevel="0" collapsed="false">
      <c r="A434" s="20" t="str">
        <f aca="false">IF(OR(직원목록!$A38="",교육과정!$A11="",직원목록!$F38="퇴사"),"",직원목록!$A38)</f>
        <v/>
      </c>
      <c r="B434" s="20" t="str">
        <f aca="false">IF($A434="","",직원목록!$B38)</f>
        <v/>
      </c>
      <c r="C434" s="20" t="str">
        <f aca="false">IF($A434="","",직원목록!$C38)</f>
        <v/>
      </c>
      <c r="D434" s="21" t="str">
        <f aca="false">IF($A434="","",교육과정!$A11)</f>
        <v/>
      </c>
      <c r="E434" s="20" t="str">
        <f aca="false">IF($A434="","",교육과정!$B11)</f>
        <v/>
      </c>
      <c r="F434" s="21" t="str">
        <f aca="false">IF($A434="","",교육과정!$C11)</f>
        <v/>
      </c>
      <c r="G434" s="23" t="str">
        <f aca="false">IF($A434="","",IF(COUNTIFS(이수내역!$B$3:$B$2002,$A434,이수내역!$D$3:$D$2002,$D434)=0,"",SUMPRODUCT(MAX((이수내역!$B$3:$B$2002=$A434)*(이수내역!$D$3:$D$2002=$D434)*이수내역!$A$3:$A$2002))))</f>
        <v/>
      </c>
      <c r="H434" s="23" t="str">
        <f aca="false">IF($A434="","",IF($F434="","",IF($G434="",EDATE(직원목록!$E38,$F434),EDATE($G434,$F434))))</f>
        <v/>
      </c>
      <c r="I434" s="21" t="str">
        <f aca="true">IF($H434="","",$H434-TODAY())</f>
        <v/>
      </c>
      <c r="J434" s="21" t="str">
        <f aca="false">IF($A434="","",IF($H434="","-",IF($I434&lt;0,"기한초과",IF($I434&lt;=사용안내!$C$16,"임박","정상"))))</f>
        <v/>
      </c>
    </row>
    <row r="435" customFormat="false" ht="15" hidden="false" customHeight="true" outlineLevel="0" collapsed="false">
      <c r="A435" s="20" t="str">
        <f aca="false">IF(OR(직원목록!$A38="",교육과정!$A12="",직원목록!$F38="퇴사"),"",직원목록!$A38)</f>
        <v/>
      </c>
      <c r="B435" s="20" t="str">
        <f aca="false">IF($A435="","",직원목록!$B38)</f>
        <v/>
      </c>
      <c r="C435" s="20" t="str">
        <f aca="false">IF($A435="","",직원목록!$C38)</f>
        <v/>
      </c>
      <c r="D435" s="21" t="str">
        <f aca="false">IF($A435="","",교육과정!$A12)</f>
        <v/>
      </c>
      <c r="E435" s="20" t="str">
        <f aca="false">IF($A435="","",교육과정!$B12)</f>
        <v/>
      </c>
      <c r="F435" s="21" t="str">
        <f aca="false">IF($A435="","",교육과정!$C12)</f>
        <v/>
      </c>
      <c r="G435" s="23" t="str">
        <f aca="false">IF($A435="","",IF(COUNTIFS(이수내역!$B$3:$B$2002,$A435,이수내역!$D$3:$D$2002,$D435)=0,"",SUMPRODUCT(MAX((이수내역!$B$3:$B$2002=$A435)*(이수내역!$D$3:$D$2002=$D435)*이수내역!$A$3:$A$2002))))</f>
        <v/>
      </c>
      <c r="H435" s="23" t="str">
        <f aca="false">IF($A435="","",IF($F435="","",IF($G435="",EDATE(직원목록!$E38,$F435),EDATE($G435,$F435))))</f>
        <v/>
      </c>
      <c r="I435" s="21" t="str">
        <f aca="true">IF($H435="","",$H435-TODAY())</f>
        <v/>
      </c>
      <c r="J435" s="21" t="str">
        <f aca="false">IF($A435="","",IF($H435="","-",IF($I435&lt;0,"기한초과",IF($I435&lt;=사용안내!$C$16,"임박","정상"))))</f>
        <v/>
      </c>
    </row>
    <row r="436" customFormat="false" ht="15" hidden="false" customHeight="true" outlineLevel="0" collapsed="false">
      <c r="A436" s="20" t="str">
        <f aca="false">IF(OR(직원목록!$A38="",교육과정!$A13="",직원목록!$F38="퇴사"),"",직원목록!$A38)</f>
        <v/>
      </c>
      <c r="B436" s="20" t="str">
        <f aca="false">IF($A436="","",직원목록!$B38)</f>
        <v/>
      </c>
      <c r="C436" s="20" t="str">
        <f aca="false">IF($A436="","",직원목록!$C38)</f>
        <v/>
      </c>
      <c r="D436" s="21" t="str">
        <f aca="false">IF($A436="","",교육과정!$A13)</f>
        <v/>
      </c>
      <c r="E436" s="20" t="str">
        <f aca="false">IF($A436="","",교육과정!$B13)</f>
        <v/>
      </c>
      <c r="F436" s="21" t="str">
        <f aca="false">IF($A436="","",교육과정!$C13)</f>
        <v/>
      </c>
      <c r="G436" s="23" t="str">
        <f aca="false">IF($A436="","",IF(COUNTIFS(이수내역!$B$3:$B$2002,$A436,이수내역!$D$3:$D$2002,$D436)=0,"",SUMPRODUCT(MAX((이수내역!$B$3:$B$2002=$A436)*(이수내역!$D$3:$D$2002=$D436)*이수내역!$A$3:$A$2002))))</f>
        <v/>
      </c>
      <c r="H436" s="23" t="str">
        <f aca="false">IF($A436="","",IF($F436="","",IF($G436="",EDATE(직원목록!$E38,$F436),EDATE($G436,$F436))))</f>
        <v/>
      </c>
      <c r="I436" s="21" t="str">
        <f aca="true">IF($H436="","",$H436-TODAY())</f>
        <v/>
      </c>
      <c r="J436" s="21" t="str">
        <f aca="false">IF($A436="","",IF($H436="","-",IF($I436&lt;0,"기한초과",IF($I436&lt;=사용안내!$C$16,"임박","정상"))))</f>
        <v/>
      </c>
    </row>
    <row r="437" customFormat="false" ht="15" hidden="false" customHeight="true" outlineLevel="0" collapsed="false">
      <c r="A437" s="20" t="str">
        <f aca="false">IF(OR(직원목록!$A38="",교육과정!$A14="",직원목록!$F38="퇴사"),"",직원목록!$A38)</f>
        <v/>
      </c>
      <c r="B437" s="20" t="str">
        <f aca="false">IF($A437="","",직원목록!$B38)</f>
        <v/>
      </c>
      <c r="C437" s="20" t="str">
        <f aca="false">IF($A437="","",직원목록!$C38)</f>
        <v/>
      </c>
      <c r="D437" s="21" t="str">
        <f aca="false">IF($A437="","",교육과정!$A14)</f>
        <v/>
      </c>
      <c r="E437" s="20" t="str">
        <f aca="false">IF($A437="","",교육과정!$B14)</f>
        <v/>
      </c>
      <c r="F437" s="21" t="str">
        <f aca="false">IF($A437="","",교육과정!$C14)</f>
        <v/>
      </c>
      <c r="G437" s="23" t="str">
        <f aca="false">IF($A437="","",IF(COUNTIFS(이수내역!$B$3:$B$2002,$A437,이수내역!$D$3:$D$2002,$D437)=0,"",SUMPRODUCT(MAX((이수내역!$B$3:$B$2002=$A437)*(이수내역!$D$3:$D$2002=$D437)*이수내역!$A$3:$A$2002))))</f>
        <v/>
      </c>
      <c r="H437" s="23" t="str">
        <f aca="false">IF($A437="","",IF($F437="","",IF($G437="",EDATE(직원목록!$E38,$F437),EDATE($G437,$F437))))</f>
        <v/>
      </c>
      <c r="I437" s="21" t="str">
        <f aca="true">IF($H437="","",$H437-TODAY())</f>
        <v/>
      </c>
      <c r="J437" s="21" t="str">
        <f aca="false">IF($A437="","",IF($H437="","-",IF($I437&lt;0,"기한초과",IF($I437&lt;=사용안내!$C$16,"임박","정상"))))</f>
        <v/>
      </c>
    </row>
    <row r="438" customFormat="false" ht="15" hidden="false" customHeight="true" outlineLevel="0" collapsed="false">
      <c r="A438" s="20" t="str">
        <f aca="false">IF(OR(직원목록!$A39="",교육과정!$A3="",직원목록!$F39="퇴사"),"",직원목록!$A39)</f>
        <v/>
      </c>
      <c r="B438" s="20" t="str">
        <f aca="false">IF($A438="","",직원목록!$B39)</f>
        <v/>
      </c>
      <c r="C438" s="20" t="str">
        <f aca="false">IF($A438="","",직원목록!$C39)</f>
        <v/>
      </c>
      <c r="D438" s="21" t="str">
        <f aca="false">IF($A438="","",교육과정!$A3)</f>
        <v/>
      </c>
      <c r="E438" s="20" t="str">
        <f aca="false">IF($A438="","",교육과정!$B3)</f>
        <v/>
      </c>
      <c r="F438" s="21" t="str">
        <f aca="false">IF($A438="","",교육과정!$C3)</f>
        <v/>
      </c>
      <c r="G438" s="23" t="str">
        <f aca="false">IF($A438="","",IF(COUNTIFS(이수내역!$B$3:$B$2002,$A438,이수내역!$D$3:$D$2002,$D438)=0,"",SUMPRODUCT(MAX((이수내역!$B$3:$B$2002=$A438)*(이수내역!$D$3:$D$2002=$D438)*이수내역!$A$3:$A$2002))))</f>
        <v/>
      </c>
      <c r="H438" s="23" t="str">
        <f aca="false">IF($A438="","",IF($F438="","",IF($G438="",EDATE(직원목록!$E39,$F438),EDATE($G438,$F438))))</f>
        <v/>
      </c>
      <c r="I438" s="21" t="str">
        <f aca="true">IF($H438="","",$H438-TODAY())</f>
        <v/>
      </c>
      <c r="J438" s="21" t="str">
        <f aca="false">IF($A438="","",IF($H438="","-",IF($I438&lt;0,"기한초과",IF($I438&lt;=사용안내!$C$16,"임박","정상"))))</f>
        <v/>
      </c>
    </row>
    <row r="439" customFormat="false" ht="15" hidden="false" customHeight="true" outlineLevel="0" collapsed="false">
      <c r="A439" s="20" t="str">
        <f aca="false">IF(OR(직원목록!$A39="",교육과정!$A4="",직원목록!$F39="퇴사"),"",직원목록!$A39)</f>
        <v/>
      </c>
      <c r="B439" s="20" t="str">
        <f aca="false">IF($A439="","",직원목록!$B39)</f>
        <v/>
      </c>
      <c r="C439" s="20" t="str">
        <f aca="false">IF($A439="","",직원목록!$C39)</f>
        <v/>
      </c>
      <c r="D439" s="21" t="str">
        <f aca="false">IF($A439="","",교육과정!$A4)</f>
        <v/>
      </c>
      <c r="E439" s="20" t="str">
        <f aca="false">IF($A439="","",교육과정!$B4)</f>
        <v/>
      </c>
      <c r="F439" s="21" t="str">
        <f aca="false">IF($A439="","",교육과정!$C4)</f>
        <v/>
      </c>
      <c r="G439" s="23" t="str">
        <f aca="false">IF($A439="","",IF(COUNTIFS(이수내역!$B$3:$B$2002,$A439,이수내역!$D$3:$D$2002,$D439)=0,"",SUMPRODUCT(MAX((이수내역!$B$3:$B$2002=$A439)*(이수내역!$D$3:$D$2002=$D439)*이수내역!$A$3:$A$2002))))</f>
        <v/>
      </c>
      <c r="H439" s="23" t="str">
        <f aca="false">IF($A439="","",IF($F439="","",IF($G439="",EDATE(직원목록!$E39,$F439),EDATE($G439,$F439))))</f>
        <v/>
      </c>
      <c r="I439" s="21" t="str">
        <f aca="true">IF($H439="","",$H439-TODAY())</f>
        <v/>
      </c>
      <c r="J439" s="21" t="str">
        <f aca="false">IF($A439="","",IF($H439="","-",IF($I439&lt;0,"기한초과",IF($I439&lt;=사용안내!$C$16,"임박","정상"))))</f>
        <v/>
      </c>
    </row>
    <row r="440" customFormat="false" ht="15" hidden="false" customHeight="true" outlineLevel="0" collapsed="false">
      <c r="A440" s="20" t="str">
        <f aca="false">IF(OR(직원목록!$A39="",교육과정!$A5="",직원목록!$F39="퇴사"),"",직원목록!$A39)</f>
        <v/>
      </c>
      <c r="B440" s="20" t="str">
        <f aca="false">IF($A440="","",직원목록!$B39)</f>
        <v/>
      </c>
      <c r="C440" s="20" t="str">
        <f aca="false">IF($A440="","",직원목록!$C39)</f>
        <v/>
      </c>
      <c r="D440" s="21" t="str">
        <f aca="false">IF($A440="","",교육과정!$A5)</f>
        <v/>
      </c>
      <c r="E440" s="20" t="str">
        <f aca="false">IF($A440="","",교육과정!$B5)</f>
        <v/>
      </c>
      <c r="F440" s="21" t="str">
        <f aca="false">IF($A440="","",교육과정!$C5)</f>
        <v/>
      </c>
      <c r="G440" s="23" t="str">
        <f aca="false">IF($A440="","",IF(COUNTIFS(이수내역!$B$3:$B$2002,$A440,이수내역!$D$3:$D$2002,$D440)=0,"",SUMPRODUCT(MAX((이수내역!$B$3:$B$2002=$A440)*(이수내역!$D$3:$D$2002=$D440)*이수내역!$A$3:$A$2002))))</f>
        <v/>
      </c>
      <c r="H440" s="23" t="str">
        <f aca="false">IF($A440="","",IF($F440="","",IF($G440="",EDATE(직원목록!$E39,$F440),EDATE($G440,$F440))))</f>
        <v/>
      </c>
      <c r="I440" s="21" t="str">
        <f aca="true">IF($H440="","",$H440-TODAY())</f>
        <v/>
      </c>
      <c r="J440" s="21" t="str">
        <f aca="false">IF($A440="","",IF($H440="","-",IF($I440&lt;0,"기한초과",IF($I440&lt;=사용안내!$C$16,"임박","정상"))))</f>
        <v/>
      </c>
    </row>
    <row r="441" customFormat="false" ht="15" hidden="false" customHeight="true" outlineLevel="0" collapsed="false">
      <c r="A441" s="20" t="str">
        <f aca="false">IF(OR(직원목록!$A39="",교육과정!$A6="",직원목록!$F39="퇴사"),"",직원목록!$A39)</f>
        <v/>
      </c>
      <c r="B441" s="20" t="str">
        <f aca="false">IF($A441="","",직원목록!$B39)</f>
        <v/>
      </c>
      <c r="C441" s="20" t="str">
        <f aca="false">IF($A441="","",직원목록!$C39)</f>
        <v/>
      </c>
      <c r="D441" s="21" t="str">
        <f aca="false">IF($A441="","",교육과정!$A6)</f>
        <v/>
      </c>
      <c r="E441" s="20" t="str">
        <f aca="false">IF($A441="","",교육과정!$B6)</f>
        <v/>
      </c>
      <c r="F441" s="21" t="str">
        <f aca="false">IF($A441="","",교육과정!$C6)</f>
        <v/>
      </c>
      <c r="G441" s="23" t="str">
        <f aca="false">IF($A441="","",IF(COUNTIFS(이수내역!$B$3:$B$2002,$A441,이수내역!$D$3:$D$2002,$D441)=0,"",SUMPRODUCT(MAX((이수내역!$B$3:$B$2002=$A441)*(이수내역!$D$3:$D$2002=$D441)*이수내역!$A$3:$A$2002))))</f>
        <v/>
      </c>
      <c r="H441" s="23" t="str">
        <f aca="false">IF($A441="","",IF($F441="","",IF($G441="",EDATE(직원목록!$E39,$F441),EDATE($G441,$F441))))</f>
        <v/>
      </c>
      <c r="I441" s="21" t="str">
        <f aca="true">IF($H441="","",$H441-TODAY())</f>
        <v/>
      </c>
      <c r="J441" s="21" t="str">
        <f aca="false">IF($A441="","",IF($H441="","-",IF($I441&lt;0,"기한초과",IF($I441&lt;=사용안내!$C$16,"임박","정상"))))</f>
        <v/>
      </c>
    </row>
    <row r="442" customFormat="false" ht="15" hidden="false" customHeight="true" outlineLevel="0" collapsed="false">
      <c r="A442" s="20" t="str">
        <f aca="false">IF(OR(직원목록!$A39="",교육과정!$A7="",직원목록!$F39="퇴사"),"",직원목록!$A39)</f>
        <v/>
      </c>
      <c r="B442" s="20" t="str">
        <f aca="false">IF($A442="","",직원목록!$B39)</f>
        <v/>
      </c>
      <c r="C442" s="20" t="str">
        <f aca="false">IF($A442="","",직원목록!$C39)</f>
        <v/>
      </c>
      <c r="D442" s="21" t="str">
        <f aca="false">IF($A442="","",교육과정!$A7)</f>
        <v/>
      </c>
      <c r="E442" s="20" t="str">
        <f aca="false">IF($A442="","",교육과정!$B7)</f>
        <v/>
      </c>
      <c r="F442" s="21" t="str">
        <f aca="false">IF($A442="","",교육과정!$C7)</f>
        <v/>
      </c>
      <c r="G442" s="23" t="str">
        <f aca="false">IF($A442="","",IF(COUNTIFS(이수내역!$B$3:$B$2002,$A442,이수내역!$D$3:$D$2002,$D442)=0,"",SUMPRODUCT(MAX((이수내역!$B$3:$B$2002=$A442)*(이수내역!$D$3:$D$2002=$D442)*이수내역!$A$3:$A$2002))))</f>
        <v/>
      </c>
      <c r="H442" s="23" t="str">
        <f aca="false">IF($A442="","",IF($F442="","",IF($G442="",EDATE(직원목록!$E39,$F442),EDATE($G442,$F442))))</f>
        <v/>
      </c>
      <c r="I442" s="21" t="str">
        <f aca="true">IF($H442="","",$H442-TODAY())</f>
        <v/>
      </c>
      <c r="J442" s="21" t="str">
        <f aca="false">IF($A442="","",IF($H442="","-",IF($I442&lt;0,"기한초과",IF($I442&lt;=사용안내!$C$16,"임박","정상"))))</f>
        <v/>
      </c>
    </row>
    <row r="443" customFormat="false" ht="15" hidden="false" customHeight="true" outlineLevel="0" collapsed="false">
      <c r="A443" s="20" t="str">
        <f aca="false">IF(OR(직원목록!$A39="",교육과정!$A8="",직원목록!$F39="퇴사"),"",직원목록!$A39)</f>
        <v/>
      </c>
      <c r="B443" s="20" t="str">
        <f aca="false">IF($A443="","",직원목록!$B39)</f>
        <v/>
      </c>
      <c r="C443" s="20" t="str">
        <f aca="false">IF($A443="","",직원목록!$C39)</f>
        <v/>
      </c>
      <c r="D443" s="21" t="str">
        <f aca="false">IF($A443="","",교육과정!$A8)</f>
        <v/>
      </c>
      <c r="E443" s="20" t="str">
        <f aca="false">IF($A443="","",교육과정!$B8)</f>
        <v/>
      </c>
      <c r="F443" s="21" t="str">
        <f aca="false">IF($A443="","",교육과정!$C8)</f>
        <v/>
      </c>
      <c r="G443" s="23" t="str">
        <f aca="false">IF($A443="","",IF(COUNTIFS(이수내역!$B$3:$B$2002,$A443,이수내역!$D$3:$D$2002,$D443)=0,"",SUMPRODUCT(MAX((이수내역!$B$3:$B$2002=$A443)*(이수내역!$D$3:$D$2002=$D443)*이수내역!$A$3:$A$2002))))</f>
        <v/>
      </c>
      <c r="H443" s="23" t="str">
        <f aca="false">IF($A443="","",IF($F443="","",IF($G443="",EDATE(직원목록!$E39,$F443),EDATE($G443,$F443))))</f>
        <v/>
      </c>
      <c r="I443" s="21" t="str">
        <f aca="true">IF($H443="","",$H443-TODAY())</f>
        <v/>
      </c>
      <c r="J443" s="21" t="str">
        <f aca="false">IF($A443="","",IF($H443="","-",IF($I443&lt;0,"기한초과",IF($I443&lt;=사용안내!$C$16,"임박","정상"))))</f>
        <v/>
      </c>
    </row>
    <row r="444" customFormat="false" ht="15" hidden="false" customHeight="true" outlineLevel="0" collapsed="false">
      <c r="A444" s="20" t="str">
        <f aca="false">IF(OR(직원목록!$A39="",교육과정!$A9="",직원목록!$F39="퇴사"),"",직원목록!$A39)</f>
        <v/>
      </c>
      <c r="B444" s="20" t="str">
        <f aca="false">IF($A444="","",직원목록!$B39)</f>
        <v/>
      </c>
      <c r="C444" s="20" t="str">
        <f aca="false">IF($A444="","",직원목록!$C39)</f>
        <v/>
      </c>
      <c r="D444" s="21" t="str">
        <f aca="false">IF($A444="","",교육과정!$A9)</f>
        <v/>
      </c>
      <c r="E444" s="20" t="str">
        <f aca="false">IF($A444="","",교육과정!$B9)</f>
        <v/>
      </c>
      <c r="F444" s="21" t="str">
        <f aca="false">IF($A444="","",교육과정!$C9)</f>
        <v/>
      </c>
      <c r="G444" s="23" t="str">
        <f aca="false">IF($A444="","",IF(COUNTIFS(이수내역!$B$3:$B$2002,$A444,이수내역!$D$3:$D$2002,$D444)=0,"",SUMPRODUCT(MAX((이수내역!$B$3:$B$2002=$A444)*(이수내역!$D$3:$D$2002=$D444)*이수내역!$A$3:$A$2002))))</f>
        <v/>
      </c>
      <c r="H444" s="23" t="str">
        <f aca="false">IF($A444="","",IF($F444="","",IF($G444="",EDATE(직원목록!$E39,$F444),EDATE($G444,$F444))))</f>
        <v/>
      </c>
      <c r="I444" s="21" t="str">
        <f aca="true">IF($H444="","",$H444-TODAY())</f>
        <v/>
      </c>
      <c r="J444" s="21" t="str">
        <f aca="false">IF($A444="","",IF($H444="","-",IF($I444&lt;0,"기한초과",IF($I444&lt;=사용안내!$C$16,"임박","정상"))))</f>
        <v/>
      </c>
    </row>
    <row r="445" customFormat="false" ht="15" hidden="false" customHeight="true" outlineLevel="0" collapsed="false">
      <c r="A445" s="20" t="str">
        <f aca="false">IF(OR(직원목록!$A39="",교육과정!$A10="",직원목록!$F39="퇴사"),"",직원목록!$A39)</f>
        <v/>
      </c>
      <c r="B445" s="20" t="str">
        <f aca="false">IF($A445="","",직원목록!$B39)</f>
        <v/>
      </c>
      <c r="C445" s="20" t="str">
        <f aca="false">IF($A445="","",직원목록!$C39)</f>
        <v/>
      </c>
      <c r="D445" s="21" t="str">
        <f aca="false">IF($A445="","",교육과정!$A10)</f>
        <v/>
      </c>
      <c r="E445" s="20" t="str">
        <f aca="false">IF($A445="","",교육과정!$B10)</f>
        <v/>
      </c>
      <c r="F445" s="21" t="str">
        <f aca="false">IF($A445="","",교육과정!$C10)</f>
        <v/>
      </c>
      <c r="G445" s="23" t="str">
        <f aca="false">IF($A445="","",IF(COUNTIFS(이수내역!$B$3:$B$2002,$A445,이수내역!$D$3:$D$2002,$D445)=0,"",SUMPRODUCT(MAX((이수내역!$B$3:$B$2002=$A445)*(이수내역!$D$3:$D$2002=$D445)*이수내역!$A$3:$A$2002))))</f>
        <v/>
      </c>
      <c r="H445" s="23" t="str">
        <f aca="false">IF($A445="","",IF($F445="","",IF($G445="",EDATE(직원목록!$E39,$F445),EDATE($G445,$F445))))</f>
        <v/>
      </c>
      <c r="I445" s="21" t="str">
        <f aca="true">IF($H445="","",$H445-TODAY())</f>
        <v/>
      </c>
      <c r="J445" s="21" t="str">
        <f aca="false">IF($A445="","",IF($H445="","-",IF($I445&lt;0,"기한초과",IF($I445&lt;=사용안내!$C$16,"임박","정상"))))</f>
        <v/>
      </c>
    </row>
    <row r="446" customFormat="false" ht="15" hidden="false" customHeight="true" outlineLevel="0" collapsed="false">
      <c r="A446" s="20" t="str">
        <f aca="false">IF(OR(직원목록!$A39="",교육과정!$A11="",직원목록!$F39="퇴사"),"",직원목록!$A39)</f>
        <v/>
      </c>
      <c r="B446" s="20" t="str">
        <f aca="false">IF($A446="","",직원목록!$B39)</f>
        <v/>
      </c>
      <c r="C446" s="20" t="str">
        <f aca="false">IF($A446="","",직원목록!$C39)</f>
        <v/>
      </c>
      <c r="D446" s="21" t="str">
        <f aca="false">IF($A446="","",교육과정!$A11)</f>
        <v/>
      </c>
      <c r="E446" s="20" t="str">
        <f aca="false">IF($A446="","",교육과정!$B11)</f>
        <v/>
      </c>
      <c r="F446" s="21" t="str">
        <f aca="false">IF($A446="","",교육과정!$C11)</f>
        <v/>
      </c>
      <c r="G446" s="23" t="str">
        <f aca="false">IF($A446="","",IF(COUNTIFS(이수내역!$B$3:$B$2002,$A446,이수내역!$D$3:$D$2002,$D446)=0,"",SUMPRODUCT(MAX((이수내역!$B$3:$B$2002=$A446)*(이수내역!$D$3:$D$2002=$D446)*이수내역!$A$3:$A$2002))))</f>
        <v/>
      </c>
      <c r="H446" s="23" t="str">
        <f aca="false">IF($A446="","",IF($F446="","",IF($G446="",EDATE(직원목록!$E39,$F446),EDATE($G446,$F446))))</f>
        <v/>
      </c>
      <c r="I446" s="21" t="str">
        <f aca="true">IF($H446="","",$H446-TODAY())</f>
        <v/>
      </c>
      <c r="J446" s="21" t="str">
        <f aca="false">IF($A446="","",IF($H446="","-",IF($I446&lt;0,"기한초과",IF($I446&lt;=사용안내!$C$16,"임박","정상"))))</f>
        <v/>
      </c>
    </row>
    <row r="447" customFormat="false" ht="15" hidden="false" customHeight="true" outlineLevel="0" collapsed="false">
      <c r="A447" s="20" t="str">
        <f aca="false">IF(OR(직원목록!$A39="",교육과정!$A12="",직원목록!$F39="퇴사"),"",직원목록!$A39)</f>
        <v/>
      </c>
      <c r="B447" s="20" t="str">
        <f aca="false">IF($A447="","",직원목록!$B39)</f>
        <v/>
      </c>
      <c r="C447" s="20" t="str">
        <f aca="false">IF($A447="","",직원목록!$C39)</f>
        <v/>
      </c>
      <c r="D447" s="21" t="str">
        <f aca="false">IF($A447="","",교육과정!$A12)</f>
        <v/>
      </c>
      <c r="E447" s="20" t="str">
        <f aca="false">IF($A447="","",교육과정!$B12)</f>
        <v/>
      </c>
      <c r="F447" s="21" t="str">
        <f aca="false">IF($A447="","",교육과정!$C12)</f>
        <v/>
      </c>
      <c r="G447" s="23" t="str">
        <f aca="false">IF($A447="","",IF(COUNTIFS(이수내역!$B$3:$B$2002,$A447,이수내역!$D$3:$D$2002,$D447)=0,"",SUMPRODUCT(MAX((이수내역!$B$3:$B$2002=$A447)*(이수내역!$D$3:$D$2002=$D447)*이수내역!$A$3:$A$2002))))</f>
        <v/>
      </c>
      <c r="H447" s="23" t="str">
        <f aca="false">IF($A447="","",IF($F447="","",IF($G447="",EDATE(직원목록!$E39,$F447),EDATE($G447,$F447))))</f>
        <v/>
      </c>
      <c r="I447" s="21" t="str">
        <f aca="true">IF($H447="","",$H447-TODAY())</f>
        <v/>
      </c>
      <c r="J447" s="21" t="str">
        <f aca="false">IF($A447="","",IF($H447="","-",IF($I447&lt;0,"기한초과",IF($I447&lt;=사용안내!$C$16,"임박","정상"))))</f>
        <v/>
      </c>
    </row>
    <row r="448" customFormat="false" ht="15" hidden="false" customHeight="true" outlineLevel="0" collapsed="false">
      <c r="A448" s="20" t="str">
        <f aca="false">IF(OR(직원목록!$A39="",교육과정!$A13="",직원목록!$F39="퇴사"),"",직원목록!$A39)</f>
        <v/>
      </c>
      <c r="B448" s="20" t="str">
        <f aca="false">IF($A448="","",직원목록!$B39)</f>
        <v/>
      </c>
      <c r="C448" s="20" t="str">
        <f aca="false">IF($A448="","",직원목록!$C39)</f>
        <v/>
      </c>
      <c r="D448" s="21" t="str">
        <f aca="false">IF($A448="","",교육과정!$A13)</f>
        <v/>
      </c>
      <c r="E448" s="20" t="str">
        <f aca="false">IF($A448="","",교육과정!$B13)</f>
        <v/>
      </c>
      <c r="F448" s="21" t="str">
        <f aca="false">IF($A448="","",교육과정!$C13)</f>
        <v/>
      </c>
      <c r="G448" s="23" t="str">
        <f aca="false">IF($A448="","",IF(COUNTIFS(이수내역!$B$3:$B$2002,$A448,이수내역!$D$3:$D$2002,$D448)=0,"",SUMPRODUCT(MAX((이수내역!$B$3:$B$2002=$A448)*(이수내역!$D$3:$D$2002=$D448)*이수내역!$A$3:$A$2002))))</f>
        <v/>
      </c>
      <c r="H448" s="23" t="str">
        <f aca="false">IF($A448="","",IF($F448="","",IF($G448="",EDATE(직원목록!$E39,$F448),EDATE($G448,$F448))))</f>
        <v/>
      </c>
      <c r="I448" s="21" t="str">
        <f aca="true">IF($H448="","",$H448-TODAY())</f>
        <v/>
      </c>
      <c r="J448" s="21" t="str">
        <f aca="false">IF($A448="","",IF($H448="","-",IF($I448&lt;0,"기한초과",IF($I448&lt;=사용안내!$C$16,"임박","정상"))))</f>
        <v/>
      </c>
    </row>
    <row r="449" customFormat="false" ht="15" hidden="false" customHeight="true" outlineLevel="0" collapsed="false">
      <c r="A449" s="20" t="str">
        <f aca="false">IF(OR(직원목록!$A39="",교육과정!$A14="",직원목록!$F39="퇴사"),"",직원목록!$A39)</f>
        <v/>
      </c>
      <c r="B449" s="20" t="str">
        <f aca="false">IF($A449="","",직원목록!$B39)</f>
        <v/>
      </c>
      <c r="C449" s="20" t="str">
        <f aca="false">IF($A449="","",직원목록!$C39)</f>
        <v/>
      </c>
      <c r="D449" s="21" t="str">
        <f aca="false">IF($A449="","",교육과정!$A14)</f>
        <v/>
      </c>
      <c r="E449" s="20" t="str">
        <f aca="false">IF($A449="","",교육과정!$B14)</f>
        <v/>
      </c>
      <c r="F449" s="21" t="str">
        <f aca="false">IF($A449="","",교육과정!$C14)</f>
        <v/>
      </c>
      <c r="G449" s="23" t="str">
        <f aca="false">IF($A449="","",IF(COUNTIFS(이수내역!$B$3:$B$2002,$A449,이수내역!$D$3:$D$2002,$D449)=0,"",SUMPRODUCT(MAX((이수내역!$B$3:$B$2002=$A449)*(이수내역!$D$3:$D$2002=$D449)*이수내역!$A$3:$A$2002))))</f>
        <v/>
      </c>
      <c r="H449" s="23" t="str">
        <f aca="false">IF($A449="","",IF($F449="","",IF($G449="",EDATE(직원목록!$E39,$F449),EDATE($G449,$F449))))</f>
        <v/>
      </c>
      <c r="I449" s="21" t="str">
        <f aca="true">IF($H449="","",$H449-TODAY())</f>
        <v/>
      </c>
      <c r="J449" s="21" t="str">
        <f aca="false">IF($A449="","",IF($H449="","-",IF($I449&lt;0,"기한초과",IF($I449&lt;=사용안내!$C$16,"임박","정상"))))</f>
        <v/>
      </c>
    </row>
    <row r="450" customFormat="false" ht="15" hidden="false" customHeight="true" outlineLevel="0" collapsed="false">
      <c r="A450" s="20" t="str">
        <f aca="false">IF(OR(직원목록!$A40="",교육과정!$A3="",직원목록!$F40="퇴사"),"",직원목록!$A40)</f>
        <v/>
      </c>
      <c r="B450" s="20" t="str">
        <f aca="false">IF($A450="","",직원목록!$B40)</f>
        <v/>
      </c>
      <c r="C450" s="20" t="str">
        <f aca="false">IF($A450="","",직원목록!$C40)</f>
        <v/>
      </c>
      <c r="D450" s="21" t="str">
        <f aca="false">IF($A450="","",교육과정!$A3)</f>
        <v/>
      </c>
      <c r="E450" s="20" t="str">
        <f aca="false">IF($A450="","",교육과정!$B3)</f>
        <v/>
      </c>
      <c r="F450" s="21" t="str">
        <f aca="false">IF($A450="","",교육과정!$C3)</f>
        <v/>
      </c>
      <c r="G450" s="23" t="str">
        <f aca="false">IF($A450="","",IF(COUNTIFS(이수내역!$B$3:$B$2002,$A450,이수내역!$D$3:$D$2002,$D450)=0,"",SUMPRODUCT(MAX((이수내역!$B$3:$B$2002=$A450)*(이수내역!$D$3:$D$2002=$D450)*이수내역!$A$3:$A$2002))))</f>
        <v/>
      </c>
      <c r="H450" s="23" t="str">
        <f aca="false">IF($A450="","",IF($F450="","",IF($G450="",EDATE(직원목록!$E40,$F450),EDATE($G450,$F450))))</f>
        <v/>
      </c>
      <c r="I450" s="21" t="str">
        <f aca="true">IF($H450="","",$H450-TODAY())</f>
        <v/>
      </c>
      <c r="J450" s="21" t="str">
        <f aca="false">IF($A450="","",IF($H450="","-",IF($I450&lt;0,"기한초과",IF($I450&lt;=사용안내!$C$16,"임박","정상"))))</f>
        <v/>
      </c>
    </row>
    <row r="451" customFormat="false" ht="15" hidden="false" customHeight="true" outlineLevel="0" collapsed="false">
      <c r="A451" s="20" t="str">
        <f aca="false">IF(OR(직원목록!$A40="",교육과정!$A4="",직원목록!$F40="퇴사"),"",직원목록!$A40)</f>
        <v/>
      </c>
      <c r="B451" s="20" t="str">
        <f aca="false">IF($A451="","",직원목록!$B40)</f>
        <v/>
      </c>
      <c r="C451" s="20" t="str">
        <f aca="false">IF($A451="","",직원목록!$C40)</f>
        <v/>
      </c>
      <c r="D451" s="21" t="str">
        <f aca="false">IF($A451="","",교육과정!$A4)</f>
        <v/>
      </c>
      <c r="E451" s="20" t="str">
        <f aca="false">IF($A451="","",교육과정!$B4)</f>
        <v/>
      </c>
      <c r="F451" s="21" t="str">
        <f aca="false">IF($A451="","",교육과정!$C4)</f>
        <v/>
      </c>
      <c r="G451" s="23" t="str">
        <f aca="false">IF($A451="","",IF(COUNTIFS(이수내역!$B$3:$B$2002,$A451,이수내역!$D$3:$D$2002,$D451)=0,"",SUMPRODUCT(MAX((이수내역!$B$3:$B$2002=$A451)*(이수내역!$D$3:$D$2002=$D451)*이수내역!$A$3:$A$2002))))</f>
        <v/>
      </c>
      <c r="H451" s="23" t="str">
        <f aca="false">IF($A451="","",IF($F451="","",IF($G451="",EDATE(직원목록!$E40,$F451),EDATE($G451,$F451))))</f>
        <v/>
      </c>
      <c r="I451" s="21" t="str">
        <f aca="true">IF($H451="","",$H451-TODAY())</f>
        <v/>
      </c>
      <c r="J451" s="21" t="str">
        <f aca="false">IF($A451="","",IF($H451="","-",IF($I451&lt;0,"기한초과",IF($I451&lt;=사용안내!$C$16,"임박","정상"))))</f>
        <v/>
      </c>
    </row>
    <row r="452" customFormat="false" ht="15" hidden="false" customHeight="true" outlineLevel="0" collapsed="false">
      <c r="A452" s="20" t="str">
        <f aca="false">IF(OR(직원목록!$A40="",교육과정!$A5="",직원목록!$F40="퇴사"),"",직원목록!$A40)</f>
        <v/>
      </c>
      <c r="B452" s="20" t="str">
        <f aca="false">IF($A452="","",직원목록!$B40)</f>
        <v/>
      </c>
      <c r="C452" s="20" t="str">
        <f aca="false">IF($A452="","",직원목록!$C40)</f>
        <v/>
      </c>
      <c r="D452" s="21" t="str">
        <f aca="false">IF($A452="","",교육과정!$A5)</f>
        <v/>
      </c>
      <c r="E452" s="20" t="str">
        <f aca="false">IF($A452="","",교육과정!$B5)</f>
        <v/>
      </c>
      <c r="F452" s="21" t="str">
        <f aca="false">IF($A452="","",교육과정!$C5)</f>
        <v/>
      </c>
      <c r="G452" s="23" t="str">
        <f aca="false">IF($A452="","",IF(COUNTIFS(이수내역!$B$3:$B$2002,$A452,이수내역!$D$3:$D$2002,$D452)=0,"",SUMPRODUCT(MAX((이수내역!$B$3:$B$2002=$A452)*(이수내역!$D$3:$D$2002=$D452)*이수내역!$A$3:$A$2002))))</f>
        <v/>
      </c>
      <c r="H452" s="23" t="str">
        <f aca="false">IF($A452="","",IF($F452="","",IF($G452="",EDATE(직원목록!$E40,$F452),EDATE($G452,$F452))))</f>
        <v/>
      </c>
      <c r="I452" s="21" t="str">
        <f aca="true">IF($H452="","",$H452-TODAY())</f>
        <v/>
      </c>
      <c r="J452" s="21" t="str">
        <f aca="false">IF($A452="","",IF($H452="","-",IF($I452&lt;0,"기한초과",IF($I452&lt;=사용안내!$C$16,"임박","정상"))))</f>
        <v/>
      </c>
    </row>
    <row r="453" customFormat="false" ht="15" hidden="false" customHeight="true" outlineLevel="0" collapsed="false">
      <c r="A453" s="20" t="str">
        <f aca="false">IF(OR(직원목록!$A40="",교육과정!$A6="",직원목록!$F40="퇴사"),"",직원목록!$A40)</f>
        <v/>
      </c>
      <c r="B453" s="20" t="str">
        <f aca="false">IF($A453="","",직원목록!$B40)</f>
        <v/>
      </c>
      <c r="C453" s="20" t="str">
        <f aca="false">IF($A453="","",직원목록!$C40)</f>
        <v/>
      </c>
      <c r="D453" s="21" t="str">
        <f aca="false">IF($A453="","",교육과정!$A6)</f>
        <v/>
      </c>
      <c r="E453" s="20" t="str">
        <f aca="false">IF($A453="","",교육과정!$B6)</f>
        <v/>
      </c>
      <c r="F453" s="21" t="str">
        <f aca="false">IF($A453="","",교육과정!$C6)</f>
        <v/>
      </c>
      <c r="G453" s="23" t="str">
        <f aca="false">IF($A453="","",IF(COUNTIFS(이수내역!$B$3:$B$2002,$A453,이수내역!$D$3:$D$2002,$D453)=0,"",SUMPRODUCT(MAX((이수내역!$B$3:$B$2002=$A453)*(이수내역!$D$3:$D$2002=$D453)*이수내역!$A$3:$A$2002))))</f>
        <v/>
      </c>
      <c r="H453" s="23" t="str">
        <f aca="false">IF($A453="","",IF($F453="","",IF($G453="",EDATE(직원목록!$E40,$F453),EDATE($G453,$F453))))</f>
        <v/>
      </c>
      <c r="I453" s="21" t="str">
        <f aca="true">IF($H453="","",$H453-TODAY())</f>
        <v/>
      </c>
      <c r="J453" s="21" t="str">
        <f aca="false">IF($A453="","",IF($H453="","-",IF($I453&lt;0,"기한초과",IF($I453&lt;=사용안내!$C$16,"임박","정상"))))</f>
        <v/>
      </c>
    </row>
    <row r="454" customFormat="false" ht="15" hidden="false" customHeight="true" outlineLevel="0" collapsed="false">
      <c r="A454" s="20" t="str">
        <f aca="false">IF(OR(직원목록!$A40="",교육과정!$A7="",직원목록!$F40="퇴사"),"",직원목록!$A40)</f>
        <v/>
      </c>
      <c r="B454" s="20" t="str">
        <f aca="false">IF($A454="","",직원목록!$B40)</f>
        <v/>
      </c>
      <c r="C454" s="20" t="str">
        <f aca="false">IF($A454="","",직원목록!$C40)</f>
        <v/>
      </c>
      <c r="D454" s="21" t="str">
        <f aca="false">IF($A454="","",교육과정!$A7)</f>
        <v/>
      </c>
      <c r="E454" s="20" t="str">
        <f aca="false">IF($A454="","",교육과정!$B7)</f>
        <v/>
      </c>
      <c r="F454" s="21" t="str">
        <f aca="false">IF($A454="","",교육과정!$C7)</f>
        <v/>
      </c>
      <c r="G454" s="23" t="str">
        <f aca="false">IF($A454="","",IF(COUNTIFS(이수내역!$B$3:$B$2002,$A454,이수내역!$D$3:$D$2002,$D454)=0,"",SUMPRODUCT(MAX((이수내역!$B$3:$B$2002=$A454)*(이수내역!$D$3:$D$2002=$D454)*이수내역!$A$3:$A$2002))))</f>
        <v/>
      </c>
      <c r="H454" s="23" t="str">
        <f aca="false">IF($A454="","",IF($F454="","",IF($G454="",EDATE(직원목록!$E40,$F454),EDATE($G454,$F454))))</f>
        <v/>
      </c>
      <c r="I454" s="21" t="str">
        <f aca="true">IF($H454="","",$H454-TODAY())</f>
        <v/>
      </c>
      <c r="J454" s="21" t="str">
        <f aca="false">IF($A454="","",IF($H454="","-",IF($I454&lt;0,"기한초과",IF($I454&lt;=사용안내!$C$16,"임박","정상"))))</f>
        <v/>
      </c>
    </row>
    <row r="455" customFormat="false" ht="15" hidden="false" customHeight="true" outlineLevel="0" collapsed="false">
      <c r="A455" s="20" t="str">
        <f aca="false">IF(OR(직원목록!$A40="",교육과정!$A8="",직원목록!$F40="퇴사"),"",직원목록!$A40)</f>
        <v/>
      </c>
      <c r="B455" s="20" t="str">
        <f aca="false">IF($A455="","",직원목록!$B40)</f>
        <v/>
      </c>
      <c r="C455" s="20" t="str">
        <f aca="false">IF($A455="","",직원목록!$C40)</f>
        <v/>
      </c>
      <c r="D455" s="21" t="str">
        <f aca="false">IF($A455="","",교육과정!$A8)</f>
        <v/>
      </c>
      <c r="E455" s="20" t="str">
        <f aca="false">IF($A455="","",교육과정!$B8)</f>
        <v/>
      </c>
      <c r="F455" s="21" t="str">
        <f aca="false">IF($A455="","",교육과정!$C8)</f>
        <v/>
      </c>
      <c r="G455" s="23" t="str">
        <f aca="false">IF($A455="","",IF(COUNTIFS(이수내역!$B$3:$B$2002,$A455,이수내역!$D$3:$D$2002,$D455)=0,"",SUMPRODUCT(MAX((이수내역!$B$3:$B$2002=$A455)*(이수내역!$D$3:$D$2002=$D455)*이수내역!$A$3:$A$2002))))</f>
        <v/>
      </c>
      <c r="H455" s="23" t="str">
        <f aca="false">IF($A455="","",IF($F455="","",IF($G455="",EDATE(직원목록!$E40,$F455),EDATE($G455,$F455))))</f>
        <v/>
      </c>
      <c r="I455" s="21" t="str">
        <f aca="true">IF($H455="","",$H455-TODAY())</f>
        <v/>
      </c>
      <c r="J455" s="21" t="str">
        <f aca="false">IF($A455="","",IF($H455="","-",IF($I455&lt;0,"기한초과",IF($I455&lt;=사용안내!$C$16,"임박","정상"))))</f>
        <v/>
      </c>
    </row>
    <row r="456" customFormat="false" ht="15" hidden="false" customHeight="true" outlineLevel="0" collapsed="false">
      <c r="A456" s="20" t="str">
        <f aca="false">IF(OR(직원목록!$A40="",교육과정!$A9="",직원목록!$F40="퇴사"),"",직원목록!$A40)</f>
        <v/>
      </c>
      <c r="B456" s="20" t="str">
        <f aca="false">IF($A456="","",직원목록!$B40)</f>
        <v/>
      </c>
      <c r="C456" s="20" t="str">
        <f aca="false">IF($A456="","",직원목록!$C40)</f>
        <v/>
      </c>
      <c r="D456" s="21" t="str">
        <f aca="false">IF($A456="","",교육과정!$A9)</f>
        <v/>
      </c>
      <c r="E456" s="20" t="str">
        <f aca="false">IF($A456="","",교육과정!$B9)</f>
        <v/>
      </c>
      <c r="F456" s="21" t="str">
        <f aca="false">IF($A456="","",교육과정!$C9)</f>
        <v/>
      </c>
      <c r="G456" s="23" t="str">
        <f aca="false">IF($A456="","",IF(COUNTIFS(이수내역!$B$3:$B$2002,$A456,이수내역!$D$3:$D$2002,$D456)=0,"",SUMPRODUCT(MAX((이수내역!$B$3:$B$2002=$A456)*(이수내역!$D$3:$D$2002=$D456)*이수내역!$A$3:$A$2002))))</f>
        <v/>
      </c>
      <c r="H456" s="23" t="str">
        <f aca="false">IF($A456="","",IF($F456="","",IF($G456="",EDATE(직원목록!$E40,$F456),EDATE($G456,$F456))))</f>
        <v/>
      </c>
      <c r="I456" s="21" t="str">
        <f aca="true">IF($H456="","",$H456-TODAY())</f>
        <v/>
      </c>
      <c r="J456" s="21" t="str">
        <f aca="false">IF($A456="","",IF($H456="","-",IF($I456&lt;0,"기한초과",IF($I456&lt;=사용안내!$C$16,"임박","정상"))))</f>
        <v/>
      </c>
    </row>
    <row r="457" customFormat="false" ht="15" hidden="false" customHeight="true" outlineLevel="0" collapsed="false">
      <c r="A457" s="20" t="str">
        <f aca="false">IF(OR(직원목록!$A40="",교육과정!$A10="",직원목록!$F40="퇴사"),"",직원목록!$A40)</f>
        <v/>
      </c>
      <c r="B457" s="20" t="str">
        <f aca="false">IF($A457="","",직원목록!$B40)</f>
        <v/>
      </c>
      <c r="C457" s="20" t="str">
        <f aca="false">IF($A457="","",직원목록!$C40)</f>
        <v/>
      </c>
      <c r="D457" s="21" t="str">
        <f aca="false">IF($A457="","",교육과정!$A10)</f>
        <v/>
      </c>
      <c r="E457" s="20" t="str">
        <f aca="false">IF($A457="","",교육과정!$B10)</f>
        <v/>
      </c>
      <c r="F457" s="21" t="str">
        <f aca="false">IF($A457="","",교육과정!$C10)</f>
        <v/>
      </c>
      <c r="G457" s="23" t="str">
        <f aca="false">IF($A457="","",IF(COUNTIFS(이수내역!$B$3:$B$2002,$A457,이수내역!$D$3:$D$2002,$D457)=0,"",SUMPRODUCT(MAX((이수내역!$B$3:$B$2002=$A457)*(이수내역!$D$3:$D$2002=$D457)*이수내역!$A$3:$A$2002))))</f>
        <v/>
      </c>
      <c r="H457" s="23" t="str">
        <f aca="false">IF($A457="","",IF($F457="","",IF($G457="",EDATE(직원목록!$E40,$F457),EDATE($G457,$F457))))</f>
        <v/>
      </c>
      <c r="I457" s="21" t="str">
        <f aca="true">IF($H457="","",$H457-TODAY())</f>
        <v/>
      </c>
      <c r="J457" s="21" t="str">
        <f aca="false">IF($A457="","",IF($H457="","-",IF($I457&lt;0,"기한초과",IF($I457&lt;=사용안내!$C$16,"임박","정상"))))</f>
        <v/>
      </c>
    </row>
    <row r="458" customFormat="false" ht="15" hidden="false" customHeight="true" outlineLevel="0" collapsed="false">
      <c r="A458" s="20" t="str">
        <f aca="false">IF(OR(직원목록!$A40="",교육과정!$A11="",직원목록!$F40="퇴사"),"",직원목록!$A40)</f>
        <v/>
      </c>
      <c r="B458" s="20" t="str">
        <f aca="false">IF($A458="","",직원목록!$B40)</f>
        <v/>
      </c>
      <c r="C458" s="20" t="str">
        <f aca="false">IF($A458="","",직원목록!$C40)</f>
        <v/>
      </c>
      <c r="D458" s="21" t="str">
        <f aca="false">IF($A458="","",교육과정!$A11)</f>
        <v/>
      </c>
      <c r="E458" s="20" t="str">
        <f aca="false">IF($A458="","",교육과정!$B11)</f>
        <v/>
      </c>
      <c r="F458" s="21" t="str">
        <f aca="false">IF($A458="","",교육과정!$C11)</f>
        <v/>
      </c>
      <c r="G458" s="23" t="str">
        <f aca="false">IF($A458="","",IF(COUNTIFS(이수내역!$B$3:$B$2002,$A458,이수내역!$D$3:$D$2002,$D458)=0,"",SUMPRODUCT(MAX((이수내역!$B$3:$B$2002=$A458)*(이수내역!$D$3:$D$2002=$D458)*이수내역!$A$3:$A$2002))))</f>
        <v/>
      </c>
      <c r="H458" s="23" t="str">
        <f aca="false">IF($A458="","",IF($F458="","",IF($G458="",EDATE(직원목록!$E40,$F458),EDATE($G458,$F458))))</f>
        <v/>
      </c>
      <c r="I458" s="21" t="str">
        <f aca="true">IF($H458="","",$H458-TODAY())</f>
        <v/>
      </c>
      <c r="J458" s="21" t="str">
        <f aca="false">IF($A458="","",IF($H458="","-",IF($I458&lt;0,"기한초과",IF($I458&lt;=사용안내!$C$16,"임박","정상"))))</f>
        <v/>
      </c>
    </row>
    <row r="459" customFormat="false" ht="15" hidden="false" customHeight="true" outlineLevel="0" collapsed="false">
      <c r="A459" s="20" t="str">
        <f aca="false">IF(OR(직원목록!$A40="",교육과정!$A12="",직원목록!$F40="퇴사"),"",직원목록!$A40)</f>
        <v/>
      </c>
      <c r="B459" s="20" t="str">
        <f aca="false">IF($A459="","",직원목록!$B40)</f>
        <v/>
      </c>
      <c r="C459" s="20" t="str">
        <f aca="false">IF($A459="","",직원목록!$C40)</f>
        <v/>
      </c>
      <c r="D459" s="21" t="str">
        <f aca="false">IF($A459="","",교육과정!$A12)</f>
        <v/>
      </c>
      <c r="E459" s="20" t="str">
        <f aca="false">IF($A459="","",교육과정!$B12)</f>
        <v/>
      </c>
      <c r="F459" s="21" t="str">
        <f aca="false">IF($A459="","",교육과정!$C12)</f>
        <v/>
      </c>
      <c r="G459" s="23" t="str">
        <f aca="false">IF($A459="","",IF(COUNTIFS(이수내역!$B$3:$B$2002,$A459,이수내역!$D$3:$D$2002,$D459)=0,"",SUMPRODUCT(MAX((이수내역!$B$3:$B$2002=$A459)*(이수내역!$D$3:$D$2002=$D459)*이수내역!$A$3:$A$2002))))</f>
        <v/>
      </c>
      <c r="H459" s="23" t="str">
        <f aca="false">IF($A459="","",IF($F459="","",IF($G459="",EDATE(직원목록!$E40,$F459),EDATE($G459,$F459))))</f>
        <v/>
      </c>
      <c r="I459" s="21" t="str">
        <f aca="true">IF($H459="","",$H459-TODAY())</f>
        <v/>
      </c>
      <c r="J459" s="21" t="str">
        <f aca="false">IF($A459="","",IF($H459="","-",IF($I459&lt;0,"기한초과",IF($I459&lt;=사용안내!$C$16,"임박","정상"))))</f>
        <v/>
      </c>
    </row>
    <row r="460" customFormat="false" ht="15" hidden="false" customHeight="true" outlineLevel="0" collapsed="false">
      <c r="A460" s="20" t="str">
        <f aca="false">IF(OR(직원목록!$A40="",교육과정!$A13="",직원목록!$F40="퇴사"),"",직원목록!$A40)</f>
        <v/>
      </c>
      <c r="B460" s="20" t="str">
        <f aca="false">IF($A460="","",직원목록!$B40)</f>
        <v/>
      </c>
      <c r="C460" s="20" t="str">
        <f aca="false">IF($A460="","",직원목록!$C40)</f>
        <v/>
      </c>
      <c r="D460" s="21" t="str">
        <f aca="false">IF($A460="","",교육과정!$A13)</f>
        <v/>
      </c>
      <c r="E460" s="20" t="str">
        <f aca="false">IF($A460="","",교육과정!$B13)</f>
        <v/>
      </c>
      <c r="F460" s="21" t="str">
        <f aca="false">IF($A460="","",교육과정!$C13)</f>
        <v/>
      </c>
      <c r="G460" s="23" t="str">
        <f aca="false">IF($A460="","",IF(COUNTIFS(이수내역!$B$3:$B$2002,$A460,이수내역!$D$3:$D$2002,$D460)=0,"",SUMPRODUCT(MAX((이수내역!$B$3:$B$2002=$A460)*(이수내역!$D$3:$D$2002=$D460)*이수내역!$A$3:$A$2002))))</f>
        <v/>
      </c>
      <c r="H460" s="23" t="str">
        <f aca="false">IF($A460="","",IF($F460="","",IF($G460="",EDATE(직원목록!$E40,$F460),EDATE($G460,$F460))))</f>
        <v/>
      </c>
      <c r="I460" s="21" t="str">
        <f aca="true">IF($H460="","",$H460-TODAY())</f>
        <v/>
      </c>
      <c r="J460" s="21" t="str">
        <f aca="false">IF($A460="","",IF($H460="","-",IF($I460&lt;0,"기한초과",IF($I460&lt;=사용안내!$C$16,"임박","정상"))))</f>
        <v/>
      </c>
    </row>
    <row r="461" customFormat="false" ht="15" hidden="false" customHeight="true" outlineLevel="0" collapsed="false">
      <c r="A461" s="20" t="str">
        <f aca="false">IF(OR(직원목록!$A40="",교육과정!$A14="",직원목록!$F40="퇴사"),"",직원목록!$A40)</f>
        <v/>
      </c>
      <c r="B461" s="20" t="str">
        <f aca="false">IF($A461="","",직원목록!$B40)</f>
        <v/>
      </c>
      <c r="C461" s="20" t="str">
        <f aca="false">IF($A461="","",직원목록!$C40)</f>
        <v/>
      </c>
      <c r="D461" s="21" t="str">
        <f aca="false">IF($A461="","",교육과정!$A14)</f>
        <v/>
      </c>
      <c r="E461" s="20" t="str">
        <f aca="false">IF($A461="","",교육과정!$B14)</f>
        <v/>
      </c>
      <c r="F461" s="21" t="str">
        <f aca="false">IF($A461="","",교육과정!$C14)</f>
        <v/>
      </c>
      <c r="G461" s="23" t="str">
        <f aca="false">IF($A461="","",IF(COUNTIFS(이수내역!$B$3:$B$2002,$A461,이수내역!$D$3:$D$2002,$D461)=0,"",SUMPRODUCT(MAX((이수내역!$B$3:$B$2002=$A461)*(이수내역!$D$3:$D$2002=$D461)*이수내역!$A$3:$A$2002))))</f>
        <v/>
      </c>
      <c r="H461" s="23" t="str">
        <f aca="false">IF($A461="","",IF($F461="","",IF($G461="",EDATE(직원목록!$E40,$F461),EDATE($G461,$F461))))</f>
        <v/>
      </c>
      <c r="I461" s="21" t="str">
        <f aca="true">IF($H461="","",$H461-TODAY())</f>
        <v/>
      </c>
      <c r="J461" s="21" t="str">
        <f aca="false">IF($A461="","",IF($H461="","-",IF($I461&lt;0,"기한초과",IF($I461&lt;=사용안내!$C$16,"임박","정상"))))</f>
        <v/>
      </c>
    </row>
    <row r="462" customFormat="false" ht="15" hidden="false" customHeight="true" outlineLevel="0" collapsed="false">
      <c r="A462" s="20" t="str">
        <f aca="false">IF(OR(직원목록!$A41="",교육과정!$A3="",직원목록!$F41="퇴사"),"",직원목록!$A41)</f>
        <v/>
      </c>
      <c r="B462" s="20" t="str">
        <f aca="false">IF($A462="","",직원목록!$B41)</f>
        <v/>
      </c>
      <c r="C462" s="20" t="str">
        <f aca="false">IF($A462="","",직원목록!$C41)</f>
        <v/>
      </c>
      <c r="D462" s="21" t="str">
        <f aca="false">IF($A462="","",교육과정!$A3)</f>
        <v/>
      </c>
      <c r="E462" s="20" t="str">
        <f aca="false">IF($A462="","",교육과정!$B3)</f>
        <v/>
      </c>
      <c r="F462" s="21" t="str">
        <f aca="false">IF($A462="","",교육과정!$C3)</f>
        <v/>
      </c>
      <c r="G462" s="23" t="str">
        <f aca="false">IF($A462="","",IF(COUNTIFS(이수내역!$B$3:$B$2002,$A462,이수내역!$D$3:$D$2002,$D462)=0,"",SUMPRODUCT(MAX((이수내역!$B$3:$B$2002=$A462)*(이수내역!$D$3:$D$2002=$D462)*이수내역!$A$3:$A$2002))))</f>
        <v/>
      </c>
      <c r="H462" s="23" t="str">
        <f aca="false">IF($A462="","",IF($F462="","",IF($G462="",EDATE(직원목록!$E41,$F462),EDATE($G462,$F462))))</f>
        <v/>
      </c>
      <c r="I462" s="21" t="str">
        <f aca="true">IF($H462="","",$H462-TODAY())</f>
        <v/>
      </c>
      <c r="J462" s="21" t="str">
        <f aca="false">IF($A462="","",IF($H462="","-",IF($I462&lt;0,"기한초과",IF($I462&lt;=사용안내!$C$16,"임박","정상"))))</f>
        <v/>
      </c>
    </row>
    <row r="463" customFormat="false" ht="15" hidden="false" customHeight="true" outlineLevel="0" collapsed="false">
      <c r="A463" s="20" t="str">
        <f aca="false">IF(OR(직원목록!$A41="",교육과정!$A4="",직원목록!$F41="퇴사"),"",직원목록!$A41)</f>
        <v/>
      </c>
      <c r="B463" s="20" t="str">
        <f aca="false">IF($A463="","",직원목록!$B41)</f>
        <v/>
      </c>
      <c r="C463" s="20" t="str">
        <f aca="false">IF($A463="","",직원목록!$C41)</f>
        <v/>
      </c>
      <c r="D463" s="21" t="str">
        <f aca="false">IF($A463="","",교육과정!$A4)</f>
        <v/>
      </c>
      <c r="E463" s="20" t="str">
        <f aca="false">IF($A463="","",교육과정!$B4)</f>
        <v/>
      </c>
      <c r="F463" s="21" t="str">
        <f aca="false">IF($A463="","",교육과정!$C4)</f>
        <v/>
      </c>
      <c r="G463" s="23" t="str">
        <f aca="false">IF($A463="","",IF(COUNTIFS(이수내역!$B$3:$B$2002,$A463,이수내역!$D$3:$D$2002,$D463)=0,"",SUMPRODUCT(MAX((이수내역!$B$3:$B$2002=$A463)*(이수내역!$D$3:$D$2002=$D463)*이수내역!$A$3:$A$2002))))</f>
        <v/>
      </c>
      <c r="H463" s="23" t="str">
        <f aca="false">IF($A463="","",IF($F463="","",IF($G463="",EDATE(직원목록!$E41,$F463),EDATE($G463,$F463))))</f>
        <v/>
      </c>
      <c r="I463" s="21" t="str">
        <f aca="true">IF($H463="","",$H463-TODAY())</f>
        <v/>
      </c>
      <c r="J463" s="21" t="str">
        <f aca="false">IF($A463="","",IF($H463="","-",IF($I463&lt;0,"기한초과",IF($I463&lt;=사용안내!$C$16,"임박","정상"))))</f>
        <v/>
      </c>
    </row>
    <row r="464" customFormat="false" ht="15" hidden="false" customHeight="true" outlineLevel="0" collapsed="false">
      <c r="A464" s="20" t="str">
        <f aca="false">IF(OR(직원목록!$A41="",교육과정!$A5="",직원목록!$F41="퇴사"),"",직원목록!$A41)</f>
        <v/>
      </c>
      <c r="B464" s="20" t="str">
        <f aca="false">IF($A464="","",직원목록!$B41)</f>
        <v/>
      </c>
      <c r="C464" s="20" t="str">
        <f aca="false">IF($A464="","",직원목록!$C41)</f>
        <v/>
      </c>
      <c r="D464" s="21" t="str">
        <f aca="false">IF($A464="","",교육과정!$A5)</f>
        <v/>
      </c>
      <c r="E464" s="20" t="str">
        <f aca="false">IF($A464="","",교육과정!$B5)</f>
        <v/>
      </c>
      <c r="F464" s="21" t="str">
        <f aca="false">IF($A464="","",교육과정!$C5)</f>
        <v/>
      </c>
      <c r="G464" s="23" t="str">
        <f aca="false">IF($A464="","",IF(COUNTIFS(이수내역!$B$3:$B$2002,$A464,이수내역!$D$3:$D$2002,$D464)=0,"",SUMPRODUCT(MAX((이수내역!$B$3:$B$2002=$A464)*(이수내역!$D$3:$D$2002=$D464)*이수내역!$A$3:$A$2002))))</f>
        <v/>
      </c>
      <c r="H464" s="23" t="str">
        <f aca="false">IF($A464="","",IF($F464="","",IF($G464="",EDATE(직원목록!$E41,$F464),EDATE($G464,$F464))))</f>
        <v/>
      </c>
      <c r="I464" s="21" t="str">
        <f aca="true">IF($H464="","",$H464-TODAY())</f>
        <v/>
      </c>
      <c r="J464" s="21" t="str">
        <f aca="false">IF($A464="","",IF($H464="","-",IF($I464&lt;0,"기한초과",IF($I464&lt;=사용안내!$C$16,"임박","정상"))))</f>
        <v/>
      </c>
    </row>
    <row r="465" customFormat="false" ht="15" hidden="false" customHeight="true" outlineLevel="0" collapsed="false">
      <c r="A465" s="20" t="str">
        <f aca="false">IF(OR(직원목록!$A41="",교육과정!$A6="",직원목록!$F41="퇴사"),"",직원목록!$A41)</f>
        <v/>
      </c>
      <c r="B465" s="20" t="str">
        <f aca="false">IF($A465="","",직원목록!$B41)</f>
        <v/>
      </c>
      <c r="C465" s="20" t="str">
        <f aca="false">IF($A465="","",직원목록!$C41)</f>
        <v/>
      </c>
      <c r="D465" s="21" t="str">
        <f aca="false">IF($A465="","",교육과정!$A6)</f>
        <v/>
      </c>
      <c r="E465" s="20" t="str">
        <f aca="false">IF($A465="","",교육과정!$B6)</f>
        <v/>
      </c>
      <c r="F465" s="21" t="str">
        <f aca="false">IF($A465="","",교육과정!$C6)</f>
        <v/>
      </c>
      <c r="G465" s="23" t="str">
        <f aca="false">IF($A465="","",IF(COUNTIFS(이수내역!$B$3:$B$2002,$A465,이수내역!$D$3:$D$2002,$D465)=0,"",SUMPRODUCT(MAX((이수내역!$B$3:$B$2002=$A465)*(이수내역!$D$3:$D$2002=$D465)*이수내역!$A$3:$A$2002))))</f>
        <v/>
      </c>
      <c r="H465" s="23" t="str">
        <f aca="false">IF($A465="","",IF($F465="","",IF($G465="",EDATE(직원목록!$E41,$F465),EDATE($G465,$F465))))</f>
        <v/>
      </c>
      <c r="I465" s="21" t="str">
        <f aca="true">IF($H465="","",$H465-TODAY())</f>
        <v/>
      </c>
      <c r="J465" s="21" t="str">
        <f aca="false">IF($A465="","",IF($H465="","-",IF($I465&lt;0,"기한초과",IF($I465&lt;=사용안내!$C$16,"임박","정상"))))</f>
        <v/>
      </c>
    </row>
    <row r="466" customFormat="false" ht="15" hidden="false" customHeight="true" outlineLevel="0" collapsed="false">
      <c r="A466" s="20" t="str">
        <f aca="false">IF(OR(직원목록!$A41="",교육과정!$A7="",직원목록!$F41="퇴사"),"",직원목록!$A41)</f>
        <v/>
      </c>
      <c r="B466" s="20" t="str">
        <f aca="false">IF($A466="","",직원목록!$B41)</f>
        <v/>
      </c>
      <c r="C466" s="20" t="str">
        <f aca="false">IF($A466="","",직원목록!$C41)</f>
        <v/>
      </c>
      <c r="D466" s="21" t="str">
        <f aca="false">IF($A466="","",교육과정!$A7)</f>
        <v/>
      </c>
      <c r="E466" s="20" t="str">
        <f aca="false">IF($A466="","",교육과정!$B7)</f>
        <v/>
      </c>
      <c r="F466" s="21" t="str">
        <f aca="false">IF($A466="","",교육과정!$C7)</f>
        <v/>
      </c>
      <c r="G466" s="23" t="str">
        <f aca="false">IF($A466="","",IF(COUNTIFS(이수내역!$B$3:$B$2002,$A466,이수내역!$D$3:$D$2002,$D466)=0,"",SUMPRODUCT(MAX((이수내역!$B$3:$B$2002=$A466)*(이수내역!$D$3:$D$2002=$D466)*이수내역!$A$3:$A$2002))))</f>
        <v/>
      </c>
      <c r="H466" s="23" t="str">
        <f aca="false">IF($A466="","",IF($F466="","",IF($G466="",EDATE(직원목록!$E41,$F466),EDATE($G466,$F466))))</f>
        <v/>
      </c>
      <c r="I466" s="21" t="str">
        <f aca="true">IF($H466="","",$H466-TODAY())</f>
        <v/>
      </c>
      <c r="J466" s="21" t="str">
        <f aca="false">IF($A466="","",IF($H466="","-",IF($I466&lt;0,"기한초과",IF($I466&lt;=사용안내!$C$16,"임박","정상"))))</f>
        <v/>
      </c>
    </row>
    <row r="467" customFormat="false" ht="15" hidden="false" customHeight="true" outlineLevel="0" collapsed="false">
      <c r="A467" s="20" t="str">
        <f aca="false">IF(OR(직원목록!$A41="",교육과정!$A8="",직원목록!$F41="퇴사"),"",직원목록!$A41)</f>
        <v/>
      </c>
      <c r="B467" s="20" t="str">
        <f aca="false">IF($A467="","",직원목록!$B41)</f>
        <v/>
      </c>
      <c r="C467" s="20" t="str">
        <f aca="false">IF($A467="","",직원목록!$C41)</f>
        <v/>
      </c>
      <c r="D467" s="21" t="str">
        <f aca="false">IF($A467="","",교육과정!$A8)</f>
        <v/>
      </c>
      <c r="E467" s="20" t="str">
        <f aca="false">IF($A467="","",교육과정!$B8)</f>
        <v/>
      </c>
      <c r="F467" s="21" t="str">
        <f aca="false">IF($A467="","",교육과정!$C8)</f>
        <v/>
      </c>
      <c r="G467" s="23" t="str">
        <f aca="false">IF($A467="","",IF(COUNTIFS(이수내역!$B$3:$B$2002,$A467,이수내역!$D$3:$D$2002,$D467)=0,"",SUMPRODUCT(MAX((이수내역!$B$3:$B$2002=$A467)*(이수내역!$D$3:$D$2002=$D467)*이수내역!$A$3:$A$2002))))</f>
        <v/>
      </c>
      <c r="H467" s="23" t="str">
        <f aca="false">IF($A467="","",IF($F467="","",IF($G467="",EDATE(직원목록!$E41,$F467),EDATE($G467,$F467))))</f>
        <v/>
      </c>
      <c r="I467" s="21" t="str">
        <f aca="true">IF($H467="","",$H467-TODAY())</f>
        <v/>
      </c>
      <c r="J467" s="21" t="str">
        <f aca="false">IF($A467="","",IF($H467="","-",IF($I467&lt;0,"기한초과",IF($I467&lt;=사용안내!$C$16,"임박","정상"))))</f>
        <v/>
      </c>
    </row>
    <row r="468" customFormat="false" ht="15" hidden="false" customHeight="true" outlineLevel="0" collapsed="false">
      <c r="A468" s="20" t="str">
        <f aca="false">IF(OR(직원목록!$A41="",교육과정!$A9="",직원목록!$F41="퇴사"),"",직원목록!$A41)</f>
        <v/>
      </c>
      <c r="B468" s="20" t="str">
        <f aca="false">IF($A468="","",직원목록!$B41)</f>
        <v/>
      </c>
      <c r="C468" s="20" t="str">
        <f aca="false">IF($A468="","",직원목록!$C41)</f>
        <v/>
      </c>
      <c r="D468" s="21" t="str">
        <f aca="false">IF($A468="","",교육과정!$A9)</f>
        <v/>
      </c>
      <c r="E468" s="20" t="str">
        <f aca="false">IF($A468="","",교육과정!$B9)</f>
        <v/>
      </c>
      <c r="F468" s="21" t="str">
        <f aca="false">IF($A468="","",교육과정!$C9)</f>
        <v/>
      </c>
      <c r="G468" s="23" t="str">
        <f aca="false">IF($A468="","",IF(COUNTIFS(이수내역!$B$3:$B$2002,$A468,이수내역!$D$3:$D$2002,$D468)=0,"",SUMPRODUCT(MAX((이수내역!$B$3:$B$2002=$A468)*(이수내역!$D$3:$D$2002=$D468)*이수내역!$A$3:$A$2002))))</f>
        <v/>
      </c>
      <c r="H468" s="23" t="str">
        <f aca="false">IF($A468="","",IF($F468="","",IF($G468="",EDATE(직원목록!$E41,$F468),EDATE($G468,$F468))))</f>
        <v/>
      </c>
      <c r="I468" s="21" t="str">
        <f aca="true">IF($H468="","",$H468-TODAY())</f>
        <v/>
      </c>
      <c r="J468" s="21" t="str">
        <f aca="false">IF($A468="","",IF($H468="","-",IF($I468&lt;0,"기한초과",IF($I468&lt;=사용안내!$C$16,"임박","정상"))))</f>
        <v/>
      </c>
    </row>
    <row r="469" customFormat="false" ht="15" hidden="false" customHeight="true" outlineLevel="0" collapsed="false">
      <c r="A469" s="20" t="str">
        <f aca="false">IF(OR(직원목록!$A41="",교육과정!$A10="",직원목록!$F41="퇴사"),"",직원목록!$A41)</f>
        <v/>
      </c>
      <c r="B469" s="20" t="str">
        <f aca="false">IF($A469="","",직원목록!$B41)</f>
        <v/>
      </c>
      <c r="C469" s="20" t="str">
        <f aca="false">IF($A469="","",직원목록!$C41)</f>
        <v/>
      </c>
      <c r="D469" s="21" t="str">
        <f aca="false">IF($A469="","",교육과정!$A10)</f>
        <v/>
      </c>
      <c r="E469" s="20" t="str">
        <f aca="false">IF($A469="","",교육과정!$B10)</f>
        <v/>
      </c>
      <c r="F469" s="21" t="str">
        <f aca="false">IF($A469="","",교육과정!$C10)</f>
        <v/>
      </c>
      <c r="G469" s="23" t="str">
        <f aca="false">IF($A469="","",IF(COUNTIFS(이수내역!$B$3:$B$2002,$A469,이수내역!$D$3:$D$2002,$D469)=0,"",SUMPRODUCT(MAX((이수내역!$B$3:$B$2002=$A469)*(이수내역!$D$3:$D$2002=$D469)*이수내역!$A$3:$A$2002))))</f>
        <v/>
      </c>
      <c r="H469" s="23" t="str">
        <f aca="false">IF($A469="","",IF($F469="","",IF($G469="",EDATE(직원목록!$E41,$F469),EDATE($G469,$F469))))</f>
        <v/>
      </c>
      <c r="I469" s="21" t="str">
        <f aca="true">IF($H469="","",$H469-TODAY())</f>
        <v/>
      </c>
      <c r="J469" s="21" t="str">
        <f aca="false">IF($A469="","",IF($H469="","-",IF($I469&lt;0,"기한초과",IF($I469&lt;=사용안내!$C$16,"임박","정상"))))</f>
        <v/>
      </c>
    </row>
    <row r="470" customFormat="false" ht="15" hidden="false" customHeight="true" outlineLevel="0" collapsed="false">
      <c r="A470" s="20" t="str">
        <f aca="false">IF(OR(직원목록!$A41="",교육과정!$A11="",직원목록!$F41="퇴사"),"",직원목록!$A41)</f>
        <v/>
      </c>
      <c r="B470" s="20" t="str">
        <f aca="false">IF($A470="","",직원목록!$B41)</f>
        <v/>
      </c>
      <c r="C470" s="20" t="str">
        <f aca="false">IF($A470="","",직원목록!$C41)</f>
        <v/>
      </c>
      <c r="D470" s="21" t="str">
        <f aca="false">IF($A470="","",교육과정!$A11)</f>
        <v/>
      </c>
      <c r="E470" s="20" t="str">
        <f aca="false">IF($A470="","",교육과정!$B11)</f>
        <v/>
      </c>
      <c r="F470" s="21" t="str">
        <f aca="false">IF($A470="","",교육과정!$C11)</f>
        <v/>
      </c>
      <c r="G470" s="23" t="str">
        <f aca="false">IF($A470="","",IF(COUNTIFS(이수내역!$B$3:$B$2002,$A470,이수내역!$D$3:$D$2002,$D470)=0,"",SUMPRODUCT(MAX((이수내역!$B$3:$B$2002=$A470)*(이수내역!$D$3:$D$2002=$D470)*이수내역!$A$3:$A$2002))))</f>
        <v/>
      </c>
      <c r="H470" s="23" t="str">
        <f aca="false">IF($A470="","",IF($F470="","",IF($G470="",EDATE(직원목록!$E41,$F470),EDATE($G470,$F470))))</f>
        <v/>
      </c>
      <c r="I470" s="21" t="str">
        <f aca="true">IF($H470="","",$H470-TODAY())</f>
        <v/>
      </c>
      <c r="J470" s="21" t="str">
        <f aca="false">IF($A470="","",IF($H470="","-",IF($I470&lt;0,"기한초과",IF($I470&lt;=사용안내!$C$16,"임박","정상"))))</f>
        <v/>
      </c>
    </row>
    <row r="471" customFormat="false" ht="15" hidden="false" customHeight="true" outlineLevel="0" collapsed="false">
      <c r="A471" s="20" t="str">
        <f aca="false">IF(OR(직원목록!$A41="",교육과정!$A12="",직원목록!$F41="퇴사"),"",직원목록!$A41)</f>
        <v/>
      </c>
      <c r="B471" s="20" t="str">
        <f aca="false">IF($A471="","",직원목록!$B41)</f>
        <v/>
      </c>
      <c r="C471" s="20" t="str">
        <f aca="false">IF($A471="","",직원목록!$C41)</f>
        <v/>
      </c>
      <c r="D471" s="21" t="str">
        <f aca="false">IF($A471="","",교육과정!$A12)</f>
        <v/>
      </c>
      <c r="E471" s="20" t="str">
        <f aca="false">IF($A471="","",교육과정!$B12)</f>
        <v/>
      </c>
      <c r="F471" s="21" t="str">
        <f aca="false">IF($A471="","",교육과정!$C12)</f>
        <v/>
      </c>
      <c r="G471" s="23" t="str">
        <f aca="false">IF($A471="","",IF(COUNTIFS(이수내역!$B$3:$B$2002,$A471,이수내역!$D$3:$D$2002,$D471)=0,"",SUMPRODUCT(MAX((이수내역!$B$3:$B$2002=$A471)*(이수내역!$D$3:$D$2002=$D471)*이수내역!$A$3:$A$2002))))</f>
        <v/>
      </c>
      <c r="H471" s="23" t="str">
        <f aca="false">IF($A471="","",IF($F471="","",IF($G471="",EDATE(직원목록!$E41,$F471),EDATE($G471,$F471))))</f>
        <v/>
      </c>
      <c r="I471" s="21" t="str">
        <f aca="true">IF($H471="","",$H471-TODAY())</f>
        <v/>
      </c>
      <c r="J471" s="21" t="str">
        <f aca="false">IF($A471="","",IF($H471="","-",IF($I471&lt;0,"기한초과",IF($I471&lt;=사용안내!$C$16,"임박","정상"))))</f>
        <v/>
      </c>
    </row>
    <row r="472" customFormat="false" ht="15" hidden="false" customHeight="true" outlineLevel="0" collapsed="false">
      <c r="A472" s="20" t="str">
        <f aca="false">IF(OR(직원목록!$A41="",교육과정!$A13="",직원목록!$F41="퇴사"),"",직원목록!$A41)</f>
        <v/>
      </c>
      <c r="B472" s="20" t="str">
        <f aca="false">IF($A472="","",직원목록!$B41)</f>
        <v/>
      </c>
      <c r="C472" s="20" t="str">
        <f aca="false">IF($A472="","",직원목록!$C41)</f>
        <v/>
      </c>
      <c r="D472" s="21" t="str">
        <f aca="false">IF($A472="","",교육과정!$A13)</f>
        <v/>
      </c>
      <c r="E472" s="20" t="str">
        <f aca="false">IF($A472="","",교육과정!$B13)</f>
        <v/>
      </c>
      <c r="F472" s="21" t="str">
        <f aca="false">IF($A472="","",교육과정!$C13)</f>
        <v/>
      </c>
      <c r="G472" s="23" t="str">
        <f aca="false">IF($A472="","",IF(COUNTIFS(이수내역!$B$3:$B$2002,$A472,이수내역!$D$3:$D$2002,$D472)=0,"",SUMPRODUCT(MAX((이수내역!$B$3:$B$2002=$A472)*(이수내역!$D$3:$D$2002=$D472)*이수내역!$A$3:$A$2002))))</f>
        <v/>
      </c>
      <c r="H472" s="23" t="str">
        <f aca="false">IF($A472="","",IF($F472="","",IF($G472="",EDATE(직원목록!$E41,$F472),EDATE($G472,$F472))))</f>
        <v/>
      </c>
      <c r="I472" s="21" t="str">
        <f aca="true">IF($H472="","",$H472-TODAY())</f>
        <v/>
      </c>
      <c r="J472" s="21" t="str">
        <f aca="false">IF($A472="","",IF($H472="","-",IF($I472&lt;0,"기한초과",IF($I472&lt;=사용안내!$C$16,"임박","정상"))))</f>
        <v/>
      </c>
    </row>
    <row r="473" customFormat="false" ht="15" hidden="false" customHeight="true" outlineLevel="0" collapsed="false">
      <c r="A473" s="20" t="str">
        <f aca="false">IF(OR(직원목록!$A41="",교육과정!$A14="",직원목록!$F41="퇴사"),"",직원목록!$A41)</f>
        <v/>
      </c>
      <c r="B473" s="20" t="str">
        <f aca="false">IF($A473="","",직원목록!$B41)</f>
        <v/>
      </c>
      <c r="C473" s="20" t="str">
        <f aca="false">IF($A473="","",직원목록!$C41)</f>
        <v/>
      </c>
      <c r="D473" s="21" t="str">
        <f aca="false">IF($A473="","",교육과정!$A14)</f>
        <v/>
      </c>
      <c r="E473" s="20" t="str">
        <f aca="false">IF($A473="","",교육과정!$B14)</f>
        <v/>
      </c>
      <c r="F473" s="21" t="str">
        <f aca="false">IF($A473="","",교육과정!$C14)</f>
        <v/>
      </c>
      <c r="G473" s="23" t="str">
        <f aca="false">IF($A473="","",IF(COUNTIFS(이수내역!$B$3:$B$2002,$A473,이수내역!$D$3:$D$2002,$D473)=0,"",SUMPRODUCT(MAX((이수내역!$B$3:$B$2002=$A473)*(이수내역!$D$3:$D$2002=$D473)*이수내역!$A$3:$A$2002))))</f>
        <v/>
      </c>
      <c r="H473" s="23" t="str">
        <f aca="false">IF($A473="","",IF($F473="","",IF($G473="",EDATE(직원목록!$E41,$F473),EDATE($G473,$F473))))</f>
        <v/>
      </c>
      <c r="I473" s="21" t="str">
        <f aca="true">IF($H473="","",$H473-TODAY())</f>
        <v/>
      </c>
      <c r="J473" s="21" t="str">
        <f aca="false">IF($A473="","",IF($H473="","-",IF($I473&lt;0,"기한초과",IF($I473&lt;=사용안내!$C$16,"임박","정상"))))</f>
        <v/>
      </c>
    </row>
    <row r="474" customFormat="false" ht="15" hidden="false" customHeight="true" outlineLevel="0" collapsed="false">
      <c r="A474" s="20" t="str">
        <f aca="false">IF(OR(직원목록!$A42="",교육과정!$A3="",직원목록!$F42="퇴사"),"",직원목록!$A42)</f>
        <v/>
      </c>
      <c r="B474" s="20" t="str">
        <f aca="false">IF($A474="","",직원목록!$B42)</f>
        <v/>
      </c>
      <c r="C474" s="20" t="str">
        <f aca="false">IF($A474="","",직원목록!$C42)</f>
        <v/>
      </c>
      <c r="D474" s="21" t="str">
        <f aca="false">IF($A474="","",교육과정!$A3)</f>
        <v/>
      </c>
      <c r="E474" s="20" t="str">
        <f aca="false">IF($A474="","",교육과정!$B3)</f>
        <v/>
      </c>
      <c r="F474" s="21" t="str">
        <f aca="false">IF($A474="","",교육과정!$C3)</f>
        <v/>
      </c>
      <c r="G474" s="23" t="str">
        <f aca="false">IF($A474="","",IF(COUNTIFS(이수내역!$B$3:$B$2002,$A474,이수내역!$D$3:$D$2002,$D474)=0,"",SUMPRODUCT(MAX((이수내역!$B$3:$B$2002=$A474)*(이수내역!$D$3:$D$2002=$D474)*이수내역!$A$3:$A$2002))))</f>
        <v/>
      </c>
      <c r="H474" s="23" t="str">
        <f aca="false">IF($A474="","",IF($F474="","",IF($G474="",EDATE(직원목록!$E42,$F474),EDATE($G474,$F474))))</f>
        <v/>
      </c>
      <c r="I474" s="21" t="str">
        <f aca="true">IF($H474="","",$H474-TODAY())</f>
        <v/>
      </c>
      <c r="J474" s="21" t="str">
        <f aca="false">IF($A474="","",IF($H474="","-",IF($I474&lt;0,"기한초과",IF($I474&lt;=사용안내!$C$16,"임박","정상"))))</f>
        <v/>
      </c>
    </row>
    <row r="475" customFormat="false" ht="15" hidden="false" customHeight="true" outlineLevel="0" collapsed="false">
      <c r="A475" s="20" t="str">
        <f aca="false">IF(OR(직원목록!$A42="",교육과정!$A4="",직원목록!$F42="퇴사"),"",직원목록!$A42)</f>
        <v/>
      </c>
      <c r="B475" s="20" t="str">
        <f aca="false">IF($A475="","",직원목록!$B42)</f>
        <v/>
      </c>
      <c r="C475" s="20" t="str">
        <f aca="false">IF($A475="","",직원목록!$C42)</f>
        <v/>
      </c>
      <c r="D475" s="21" t="str">
        <f aca="false">IF($A475="","",교육과정!$A4)</f>
        <v/>
      </c>
      <c r="E475" s="20" t="str">
        <f aca="false">IF($A475="","",교육과정!$B4)</f>
        <v/>
      </c>
      <c r="F475" s="21" t="str">
        <f aca="false">IF($A475="","",교육과정!$C4)</f>
        <v/>
      </c>
      <c r="G475" s="23" t="str">
        <f aca="false">IF($A475="","",IF(COUNTIFS(이수내역!$B$3:$B$2002,$A475,이수내역!$D$3:$D$2002,$D475)=0,"",SUMPRODUCT(MAX((이수내역!$B$3:$B$2002=$A475)*(이수내역!$D$3:$D$2002=$D475)*이수내역!$A$3:$A$2002))))</f>
        <v/>
      </c>
      <c r="H475" s="23" t="str">
        <f aca="false">IF($A475="","",IF($F475="","",IF($G475="",EDATE(직원목록!$E42,$F475),EDATE($G475,$F475))))</f>
        <v/>
      </c>
      <c r="I475" s="21" t="str">
        <f aca="true">IF($H475="","",$H475-TODAY())</f>
        <v/>
      </c>
      <c r="J475" s="21" t="str">
        <f aca="false">IF($A475="","",IF($H475="","-",IF($I475&lt;0,"기한초과",IF($I475&lt;=사용안내!$C$16,"임박","정상"))))</f>
        <v/>
      </c>
    </row>
    <row r="476" customFormat="false" ht="15" hidden="false" customHeight="true" outlineLevel="0" collapsed="false">
      <c r="A476" s="20" t="str">
        <f aca="false">IF(OR(직원목록!$A42="",교육과정!$A5="",직원목록!$F42="퇴사"),"",직원목록!$A42)</f>
        <v/>
      </c>
      <c r="B476" s="20" t="str">
        <f aca="false">IF($A476="","",직원목록!$B42)</f>
        <v/>
      </c>
      <c r="C476" s="20" t="str">
        <f aca="false">IF($A476="","",직원목록!$C42)</f>
        <v/>
      </c>
      <c r="D476" s="21" t="str">
        <f aca="false">IF($A476="","",교육과정!$A5)</f>
        <v/>
      </c>
      <c r="E476" s="20" t="str">
        <f aca="false">IF($A476="","",교육과정!$B5)</f>
        <v/>
      </c>
      <c r="F476" s="21" t="str">
        <f aca="false">IF($A476="","",교육과정!$C5)</f>
        <v/>
      </c>
      <c r="G476" s="23" t="str">
        <f aca="false">IF($A476="","",IF(COUNTIFS(이수내역!$B$3:$B$2002,$A476,이수내역!$D$3:$D$2002,$D476)=0,"",SUMPRODUCT(MAX((이수내역!$B$3:$B$2002=$A476)*(이수내역!$D$3:$D$2002=$D476)*이수내역!$A$3:$A$2002))))</f>
        <v/>
      </c>
      <c r="H476" s="23" t="str">
        <f aca="false">IF($A476="","",IF($F476="","",IF($G476="",EDATE(직원목록!$E42,$F476),EDATE($G476,$F476))))</f>
        <v/>
      </c>
      <c r="I476" s="21" t="str">
        <f aca="true">IF($H476="","",$H476-TODAY())</f>
        <v/>
      </c>
      <c r="J476" s="21" t="str">
        <f aca="false">IF($A476="","",IF($H476="","-",IF($I476&lt;0,"기한초과",IF($I476&lt;=사용안내!$C$16,"임박","정상"))))</f>
        <v/>
      </c>
    </row>
    <row r="477" customFormat="false" ht="15" hidden="false" customHeight="true" outlineLevel="0" collapsed="false">
      <c r="A477" s="20" t="str">
        <f aca="false">IF(OR(직원목록!$A42="",교육과정!$A6="",직원목록!$F42="퇴사"),"",직원목록!$A42)</f>
        <v/>
      </c>
      <c r="B477" s="20" t="str">
        <f aca="false">IF($A477="","",직원목록!$B42)</f>
        <v/>
      </c>
      <c r="C477" s="20" t="str">
        <f aca="false">IF($A477="","",직원목록!$C42)</f>
        <v/>
      </c>
      <c r="D477" s="21" t="str">
        <f aca="false">IF($A477="","",교육과정!$A6)</f>
        <v/>
      </c>
      <c r="E477" s="20" t="str">
        <f aca="false">IF($A477="","",교육과정!$B6)</f>
        <v/>
      </c>
      <c r="F477" s="21" t="str">
        <f aca="false">IF($A477="","",교육과정!$C6)</f>
        <v/>
      </c>
      <c r="G477" s="23" t="str">
        <f aca="false">IF($A477="","",IF(COUNTIFS(이수내역!$B$3:$B$2002,$A477,이수내역!$D$3:$D$2002,$D477)=0,"",SUMPRODUCT(MAX((이수내역!$B$3:$B$2002=$A477)*(이수내역!$D$3:$D$2002=$D477)*이수내역!$A$3:$A$2002))))</f>
        <v/>
      </c>
      <c r="H477" s="23" t="str">
        <f aca="false">IF($A477="","",IF($F477="","",IF($G477="",EDATE(직원목록!$E42,$F477),EDATE($G477,$F477))))</f>
        <v/>
      </c>
      <c r="I477" s="21" t="str">
        <f aca="true">IF($H477="","",$H477-TODAY())</f>
        <v/>
      </c>
      <c r="J477" s="21" t="str">
        <f aca="false">IF($A477="","",IF($H477="","-",IF($I477&lt;0,"기한초과",IF($I477&lt;=사용안내!$C$16,"임박","정상"))))</f>
        <v/>
      </c>
    </row>
    <row r="478" customFormat="false" ht="15" hidden="false" customHeight="true" outlineLevel="0" collapsed="false">
      <c r="A478" s="20" t="str">
        <f aca="false">IF(OR(직원목록!$A42="",교육과정!$A7="",직원목록!$F42="퇴사"),"",직원목록!$A42)</f>
        <v/>
      </c>
      <c r="B478" s="20" t="str">
        <f aca="false">IF($A478="","",직원목록!$B42)</f>
        <v/>
      </c>
      <c r="C478" s="20" t="str">
        <f aca="false">IF($A478="","",직원목록!$C42)</f>
        <v/>
      </c>
      <c r="D478" s="21" t="str">
        <f aca="false">IF($A478="","",교육과정!$A7)</f>
        <v/>
      </c>
      <c r="E478" s="20" t="str">
        <f aca="false">IF($A478="","",교육과정!$B7)</f>
        <v/>
      </c>
      <c r="F478" s="21" t="str">
        <f aca="false">IF($A478="","",교육과정!$C7)</f>
        <v/>
      </c>
      <c r="G478" s="23" t="str">
        <f aca="false">IF($A478="","",IF(COUNTIFS(이수내역!$B$3:$B$2002,$A478,이수내역!$D$3:$D$2002,$D478)=0,"",SUMPRODUCT(MAX((이수내역!$B$3:$B$2002=$A478)*(이수내역!$D$3:$D$2002=$D478)*이수내역!$A$3:$A$2002))))</f>
        <v/>
      </c>
      <c r="H478" s="23" t="str">
        <f aca="false">IF($A478="","",IF($F478="","",IF($G478="",EDATE(직원목록!$E42,$F478),EDATE($G478,$F478))))</f>
        <v/>
      </c>
      <c r="I478" s="21" t="str">
        <f aca="true">IF($H478="","",$H478-TODAY())</f>
        <v/>
      </c>
      <c r="J478" s="21" t="str">
        <f aca="false">IF($A478="","",IF($H478="","-",IF($I478&lt;0,"기한초과",IF($I478&lt;=사용안내!$C$16,"임박","정상"))))</f>
        <v/>
      </c>
    </row>
    <row r="479" customFormat="false" ht="15" hidden="false" customHeight="true" outlineLevel="0" collapsed="false">
      <c r="A479" s="20" t="str">
        <f aca="false">IF(OR(직원목록!$A42="",교육과정!$A8="",직원목록!$F42="퇴사"),"",직원목록!$A42)</f>
        <v/>
      </c>
      <c r="B479" s="20" t="str">
        <f aca="false">IF($A479="","",직원목록!$B42)</f>
        <v/>
      </c>
      <c r="C479" s="20" t="str">
        <f aca="false">IF($A479="","",직원목록!$C42)</f>
        <v/>
      </c>
      <c r="D479" s="21" t="str">
        <f aca="false">IF($A479="","",교육과정!$A8)</f>
        <v/>
      </c>
      <c r="E479" s="20" t="str">
        <f aca="false">IF($A479="","",교육과정!$B8)</f>
        <v/>
      </c>
      <c r="F479" s="21" t="str">
        <f aca="false">IF($A479="","",교육과정!$C8)</f>
        <v/>
      </c>
      <c r="G479" s="23" t="str">
        <f aca="false">IF($A479="","",IF(COUNTIFS(이수내역!$B$3:$B$2002,$A479,이수내역!$D$3:$D$2002,$D479)=0,"",SUMPRODUCT(MAX((이수내역!$B$3:$B$2002=$A479)*(이수내역!$D$3:$D$2002=$D479)*이수내역!$A$3:$A$2002))))</f>
        <v/>
      </c>
      <c r="H479" s="23" t="str">
        <f aca="false">IF($A479="","",IF($F479="","",IF($G479="",EDATE(직원목록!$E42,$F479),EDATE($G479,$F479))))</f>
        <v/>
      </c>
      <c r="I479" s="21" t="str">
        <f aca="true">IF($H479="","",$H479-TODAY())</f>
        <v/>
      </c>
      <c r="J479" s="21" t="str">
        <f aca="false">IF($A479="","",IF($H479="","-",IF($I479&lt;0,"기한초과",IF($I479&lt;=사용안내!$C$16,"임박","정상"))))</f>
        <v/>
      </c>
    </row>
    <row r="480" customFormat="false" ht="15" hidden="false" customHeight="true" outlineLevel="0" collapsed="false">
      <c r="A480" s="20" t="str">
        <f aca="false">IF(OR(직원목록!$A42="",교육과정!$A9="",직원목록!$F42="퇴사"),"",직원목록!$A42)</f>
        <v/>
      </c>
      <c r="B480" s="20" t="str">
        <f aca="false">IF($A480="","",직원목록!$B42)</f>
        <v/>
      </c>
      <c r="C480" s="20" t="str">
        <f aca="false">IF($A480="","",직원목록!$C42)</f>
        <v/>
      </c>
      <c r="D480" s="21" t="str">
        <f aca="false">IF($A480="","",교육과정!$A9)</f>
        <v/>
      </c>
      <c r="E480" s="20" t="str">
        <f aca="false">IF($A480="","",교육과정!$B9)</f>
        <v/>
      </c>
      <c r="F480" s="21" t="str">
        <f aca="false">IF($A480="","",교육과정!$C9)</f>
        <v/>
      </c>
      <c r="G480" s="23" t="str">
        <f aca="false">IF($A480="","",IF(COUNTIFS(이수내역!$B$3:$B$2002,$A480,이수내역!$D$3:$D$2002,$D480)=0,"",SUMPRODUCT(MAX((이수내역!$B$3:$B$2002=$A480)*(이수내역!$D$3:$D$2002=$D480)*이수내역!$A$3:$A$2002))))</f>
        <v/>
      </c>
      <c r="H480" s="23" t="str">
        <f aca="false">IF($A480="","",IF($F480="","",IF($G480="",EDATE(직원목록!$E42,$F480),EDATE($G480,$F480))))</f>
        <v/>
      </c>
      <c r="I480" s="21" t="str">
        <f aca="true">IF($H480="","",$H480-TODAY())</f>
        <v/>
      </c>
      <c r="J480" s="21" t="str">
        <f aca="false">IF($A480="","",IF($H480="","-",IF($I480&lt;0,"기한초과",IF($I480&lt;=사용안내!$C$16,"임박","정상"))))</f>
        <v/>
      </c>
    </row>
    <row r="481" customFormat="false" ht="15" hidden="false" customHeight="true" outlineLevel="0" collapsed="false">
      <c r="A481" s="20" t="str">
        <f aca="false">IF(OR(직원목록!$A42="",교육과정!$A10="",직원목록!$F42="퇴사"),"",직원목록!$A42)</f>
        <v/>
      </c>
      <c r="B481" s="20" t="str">
        <f aca="false">IF($A481="","",직원목록!$B42)</f>
        <v/>
      </c>
      <c r="C481" s="20" t="str">
        <f aca="false">IF($A481="","",직원목록!$C42)</f>
        <v/>
      </c>
      <c r="D481" s="21" t="str">
        <f aca="false">IF($A481="","",교육과정!$A10)</f>
        <v/>
      </c>
      <c r="E481" s="20" t="str">
        <f aca="false">IF($A481="","",교육과정!$B10)</f>
        <v/>
      </c>
      <c r="F481" s="21" t="str">
        <f aca="false">IF($A481="","",교육과정!$C10)</f>
        <v/>
      </c>
      <c r="G481" s="23" t="str">
        <f aca="false">IF($A481="","",IF(COUNTIFS(이수내역!$B$3:$B$2002,$A481,이수내역!$D$3:$D$2002,$D481)=0,"",SUMPRODUCT(MAX((이수내역!$B$3:$B$2002=$A481)*(이수내역!$D$3:$D$2002=$D481)*이수내역!$A$3:$A$2002))))</f>
        <v/>
      </c>
      <c r="H481" s="23" t="str">
        <f aca="false">IF($A481="","",IF($F481="","",IF($G481="",EDATE(직원목록!$E42,$F481),EDATE($G481,$F481))))</f>
        <v/>
      </c>
      <c r="I481" s="21" t="str">
        <f aca="true">IF($H481="","",$H481-TODAY())</f>
        <v/>
      </c>
      <c r="J481" s="21" t="str">
        <f aca="false">IF($A481="","",IF($H481="","-",IF($I481&lt;0,"기한초과",IF($I481&lt;=사용안내!$C$16,"임박","정상"))))</f>
        <v/>
      </c>
    </row>
    <row r="482" customFormat="false" ht="15" hidden="false" customHeight="true" outlineLevel="0" collapsed="false">
      <c r="A482" s="20" t="str">
        <f aca="false">IF(OR(직원목록!$A42="",교육과정!$A11="",직원목록!$F42="퇴사"),"",직원목록!$A42)</f>
        <v/>
      </c>
      <c r="B482" s="20" t="str">
        <f aca="false">IF($A482="","",직원목록!$B42)</f>
        <v/>
      </c>
      <c r="C482" s="20" t="str">
        <f aca="false">IF($A482="","",직원목록!$C42)</f>
        <v/>
      </c>
      <c r="D482" s="21" t="str">
        <f aca="false">IF($A482="","",교육과정!$A11)</f>
        <v/>
      </c>
      <c r="E482" s="20" t="str">
        <f aca="false">IF($A482="","",교육과정!$B11)</f>
        <v/>
      </c>
      <c r="F482" s="21" t="str">
        <f aca="false">IF($A482="","",교육과정!$C11)</f>
        <v/>
      </c>
      <c r="G482" s="23" t="str">
        <f aca="false">IF($A482="","",IF(COUNTIFS(이수내역!$B$3:$B$2002,$A482,이수내역!$D$3:$D$2002,$D482)=0,"",SUMPRODUCT(MAX((이수내역!$B$3:$B$2002=$A482)*(이수내역!$D$3:$D$2002=$D482)*이수내역!$A$3:$A$2002))))</f>
        <v/>
      </c>
      <c r="H482" s="23" t="str">
        <f aca="false">IF($A482="","",IF($F482="","",IF($G482="",EDATE(직원목록!$E42,$F482),EDATE($G482,$F482))))</f>
        <v/>
      </c>
      <c r="I482" s="21" t="str">
        <f aca="true">IF($H482="","",$H482-TODAY())</f>
        <v/>
      </c>
      <c r="J482" s="21" t="str">
        <f aca="false">IF($A482="","",IF($H482="","-",IF($I482&lt;0,"기한초과",IF($I482&lt;=사용안내!$C$16,"임박","정상"))))</f>
        <v/>
      </c>
    </row>
    <row r="483" customFormat="false" ht="15" hidden="false" customHeight="true" outlineLevel="0" collapsed="false">
      <c r="A483" s="20" t="str">
        <f aca="false">IF(OR(직원목록!$A42="",교육과정!$A12="",직원목록!$F42="퇴사"),"",직원목록!$A42)</f>
        <v/>
      </c>
      <c r="B483" s="20" t="str">
        <f aca="false">IF($A483="","",직원목록!$B42)</f>
        <v/>
      </c>
      <c r="C483" s="20" t="str">
        <f aca="false">IF($A483="","",직원목록!$C42)</f>
        <v/>
      </c>
      <c r="D483" s="21" t="str">
        <f aca="false">IF($A483="","",교육과정!$A12)</f>
        <v/>
      </c>
      <c r="E483" s="20" t="str">
        <f aca="false">IF($A483="","",교육과정!$B12)</f>
        <v/>
      </c>
      <c r="F483" s="21" t="str">
        <f aca="false">IF($A483="","",교육과정!$C12)</f>
        <v/>
      </c>
      <c r="G483" s="23" t="str">
        <f aca="false">IF($A483="","",IF(COUNTIFS(이수내역!$B$3:$B$2002,$A483,이수내역!$D$3:$D$2002,$D483)=0,"",SUMPRODUCT(MAX((이수내역!$B$3:$B$2002=$A483)*(이수내역!$D$3:$D$2002=$D483)*이수내역!$A$3:$A$2002))))</f>
        <v/>
      </c>
      <c r="H483" s="23" t="str">
        <f aca="false">IF($A483="","",IF($F483="","",IF($G483="",EDATE(직원목록!$E42,$F483),EDATE($G483,$F483))))</f>
        <v/>
      </c>
      <c r="I483" s="21" t="str">
        <f aca="true">IF($H483="","",$H483-TODAY())</f>
        <v/>
      </c>
      <c r="J483" s="21" t="str">
        <f aca="false">IF($A483="","",IF($H483="","-",IF($I483&lt;0,"기한초과",IF($I483&lt;=사용안내!$C$16,"임박","정상"))))</f>
        <v/>
      </c>
    </row>
    <row r="484" customFormat="false" ht="15" hidden="false" customHeight="true" outlineLevel="0" collapsed="false">
      <c r="A484" s="20" t="str">
        <f aca="false">IF(OR(직원목록!$A42="",교육과정!$A13="",직원목록!$F42="퇴사"),"",직원목록!$A42)</f>
        <v/>
      </c>
      <c r="B484" s="20" t="str">
        <f aca="false">IF($A484="","",직원목록!$B42)</f>
        <v/>
      </c>
      <c r="C484" s="20" t="str">
        <f aca="false">IF($A484="","",직원목록!$C42)</f>
        <v/>
      </c>
      <c r="D484" s="21" t="str">
        <f aca="false">IF($A484="","",교육과정!$A13)</f>
        <v/>
      </c>
      <c r="E484" s="20" t="str">
        <f aca="false">IF($A484="","",교육과정!$B13)</f>
        <v/>
      </c>
      <c r="F484" s="21" t="str">
        <f aca="false">IF($A484="","",교육과정!$C13)</f>
        <v/>
      </c>
      <c r="G484" s="23" t="str">
        <f aca="false">IF($A484="","",IF(COUNTIFS(이수내역!$B$3:$B$2002,$A484,이수내역!$D$3:$D$2002,$D484)=0,"",SUMPRODUCT(MAX((이수내역!$B$3:$B$2002=$A484)*(이수내역!$D$3:$D$2002=$D484)*이수내역!$A$3:$A$2002))))</f>
        <v/>
      </c>
      <c r="H484" s="23" t="str">
        <f aca="false">IF($A484="","",IF($F484="","",IF($G484="",EDATE(직원목록!$E42,$F484),EDATE($G484,$F484))))</f>
        <v/>
      </c>
      <c r="I484" s="21" t="str">
        <f aca="true">IF($H484="","",$H484-TODAY())</f>
        <v/>
      </c>
      <c r="J484" s="21" t="str">
        <f aca="false">IF($A484="","",IF($H484="","-",IF($I484&lt;0,"기한초과",IF($I484&lt;=사용안내!$C$16,"임박","정상"))))</f>
        <v/>
      </c>
    </row>
    <row r="485" customFormat="false" ht="15" hidden="false" customHeight="true" outlineLevel="0" collapsed="false">
      <c r="A485" s="20" t="str">
        <f aca="false">IF(OR(직원목록!$A42="",교육과정!$A14="",직원목록!$F42="퇴사"),"",직원목록!$A42)</f>
        <v/>
      </c>
      <c r="B485" s="20" t="str">
        <f aca="false">IF($A485="","",직원목록!$B42)</f>
        <v/>
      </c>
      <c r="C485" s="20" t="str">
        <f aca="false">IF($A485="","",직원목록!$C42)</f>
        <v/>
      </c>
      <c r="D485" s="21" t="str">
        <f aca="false">IF($A485="","",교육과정!$A14)</f>
        <v/>
      </c>
      <c r="E485" s="20" t="str">
        <f aca="false">IF($A485="","",교육과정!$B14)</f>
        <v/>
      </c>
      <c r="F485" s="21" t="str">
        <f aca="false">IF($A485="","",교육과정!$C14)</f>
        <v/>
      </c>
      <c r="G485" s="23" t="str">
        <f aca="false">IF($A485="","",IF(COUNTIFS(이수내역!$B$3:$B$2002,$A485,이수내역!$D$3:$D$2002,$D485)=0,"",SUMPRODUCT(MAX((이수내역!$B$3:$B$2002=$A485)*(이수내역!$D$3:$D$2002=$D485)*이수내역!$A$3:$A$2002))))</f>
        <v/>
      </c>
      <c r="H485" s="23" t="str">
        <f aca="false">IF($A485="","",IF($F485="","",IF($G485="",EDATE(직원목록!$E42,$F485),EDATE($G485,$F485))))</f>
        <v/>
      </c>
      <c r="I485" s="21" t="str">
        <f aca="true">IF($H485="","",$H485-TODAY())</f>
        <v/>
      </c>
      <c r="J485" s="21" t="str">
        <f aca="false">IF($A485="","",IF($H485="","-",IF($I485&lt;0,"기한초과",IF($I485&lt;=사용안내!$C$16,"임박","정상"))))</f>
        <v/>
      </c>
    </row>
    <row r="487" customFormat="false" ht="15" hidden="false" customHeight="true" outlineLevel="0" collapsed="false">
      <c r="A487" s="6" t="s">
        <v>76</v>
      </c>
    </row>
    <row r="488" customFormat="false" ht="15" hidden="false" customHeight="true" outlineLevel="0" collapsed="false">
      <c r="A488" s="6" t="s">
        <v>77</v>
      </c>
    </row>
  </sheetData>
  <mergeCells count="1">
    <mergeCell ref="A1:J1"/>
  </mergeCells>
  <conditionalFormatting sqref="A6:J485">
    <cfRule type="expression" priority="2" aboveAverage="0" equalAverage="0" bottom="0" percent="0" rank="0" text="" dxfId="0">
      <formula>$J6="기한초과"</formula>
    </cfRule>
    <cfRule type="expression" priority="3" aboveAverage="0" equalAverage="0" bottom="0" percent="0" rank="0" text="" dxfId="1">
      <formula>$J6="임박"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7" min="6" style="1" width="14"/>
    <col collapsed="false" customWidth="true" hidden="false" outlineLevel="0" max="8" min="8" style="1" width="11"/>
    <col collapsed="false" customWidth="true" hidden="false" outlineLevel="0" max="11" min="10" style="1" width="11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79</v>
      </c>
      <c r="B3" s="17" t="n">
        <f aca="false">COUNTIF($J$6:$J$485,TRUE())</f>
        <v>10</v>
      </c>
    </row>
    <row r="5" customFormat="false" ht="15" hidden="false" customHeight="true" outlineLevel="0" collapsed="false">
      <c r="A5" s="8" t="s">
        <v>80</v>
      </c>
      <c r="B5" s="8" t="s">
        <v>26</v>
      </c>
      <c r="C5" s="8" t="s">
        <v>27</v>
      </c>
      <c r="D5" s="8" t="s">
        <v>28</v>
      </c>
      <c r="E5" s="8" t="s">
        <v>46</v>
      </c>
      <c r="F5" s="8" t="s">
        <v>72</v>
      </c>
      <c r="G5" s="8" t="s">
        <v>73</v>
      </c>
      <c r="H5" s="19" t="s">
        <v>74</v>
      </c>
    </row>
    <row r="6" customFormat="false" ht="15" hidden="false" customHeight="true" outlineLevel="0" collapsed="false">
      <c r="A6" s="21" t="n">
        <f aca="false">IF($B6="","",1)</f>
        <v>1</v>
      </c>
      <c r="B6" s="20" t="str">
        <f aca="false">IFERROR(INDEX(이수현황!$A$6:$A$485,MATCH("R"&amp;1,미이수현황!$L$6:$L$485,0)),"")</f>
        <v>E001</v>
      </c>
      <c r="C6" s="20" t="str">
        <f aca="false">IF($B6="","",IFERROR(INDEX(이수현황!$B$6:$B$485,MATCH("R"&amp;1,미이수현황!$L$6:$L$485,0)),""))</f>
        <v>김직원</v>
      </c>
      <c r="D6" s="20" t="str">
        <f aca="false">IF($B6="","",IFERROR(INDEX(이수현황!$C$6:$C$485,MATCH("R"&amp;1,미이수현황!$L$6:$L$485,0)),""))</f>
        <v>생산1팀</v>
      </c>
      <c r="E6" s="20" t="str">
        <f aca="false">IF($B6="","",IFERROR(INDEX(이수현황!$E$6:$E$485,MATCH("R"&amp;1,미이수현황!$L$6:$L$485,0)),""))</f>
        <v>산업안전보건교육</v>
      </c>
      <c r="F6" s="23" t="n">
        <f aca="false">IF($B6="","",IFERROR(INDEX(이수현황!$G$6:$G$485,MATCH("R"&amp;1,미이수현황!$L$6:$L$485,0)),""))</f>
        <v>46213</v>
      </c>
      <c r="G6" s="23" t="n">
        <f aca="false">IF($B6="","",IFERROR(INDEX(이수현황!$H$6:$H$485,MATCH("R"&amp;1,미이수현황!$L$6:$L$485,0)),""))</f>
        <v>46305</v>
      </c>
      <c r="H6" s="21" t="n">
        <f aca="false">IF($B6="","",IFERROR(INDEX(이수현황!$I$6:$I$485,MATCH("R"&amp;1,미이수현황!$L$6:$L$485,0)),""))</f>
        <v>26</v>
      </c>
      <c r="J6" s="24" t="b">
        <f aca="false">IF(이수현황!$A6="",FALSE(),OR(이수현황!$J6="기한초과",이수현황!$J6="임박"))</f>
        <v>1</v>
      </c>
      <c r="K6" s="6" t="n">
        <f aca="false">IF($J6=FALSE(),"",COUNTIF($J$6:$J6,TRUE()))</f>
        <v>1</v>
      </c>
      <c r="L6" s="6" t="str">
        <f aca="false">IF($K6="","","R"&amp;$K6)</f>
        <v>R1</v>
      </c>
    </row>
    <row r="7" customFormat="false" ht="15" hidden="false" customHeight="true" outlineLevel="0" collapsed="false">
      <c r="A7" s="21" t="n">
        <f aca="false">IF($B7="","",2)</f>
        <v>2</v>
      </c>
      <c r="B7" s="20" t="str">
        <f aca="false">IFERROR(INDEX(이수현황!$A$6:$A$485,MATCH("R"&amp;2,미이수현황!$L$6:$L$485,0)),"")</f>
        <v>E001</v>
      </c>
      <c r="C7" s="20" t="str">
        <f aca="false">IF($B7="","",IFERROR(INDEX(이수현황!$B$6:$B$485,MATCH("R"&amp;2,미이수현황!$L$6:$L$485,0)),""))</f>
        <v>김직원</v>
      </c>
      <c r="D7" s="20" t="str">
        <f aca="false">IF($B7="","",IFERROR(INDEX(이수현황!$C$6:$C$485,MATCH("R"&amp;2,미이수현황!$L$6:$L$485,0)),""))</f>
        <v>생산1팀</v>
      </c>
      <c r="E7" s="20" t="str">
        <f aca="false">IF($B7="","",IFERROR(INDEX(이수현황!$E$6:$E$485,MATCH("R"&amp;2,미이수현황!$L$6:$L$485,0)),""))</f>
        <v>개인정보보호 교육</v>
      </c>
      <c r="F7" s="23" t="str">
        <f aca="false">IF($B7="","",IFERROR(INDEX(이수현황!$G$6:$G$485,MATCH("R"&amp;2,미이수현황!$L$6:$L$485,0)),""))</f>
        <v/>
      </c>
      <c r="G7" s="23" t="n">
        <f aca="false">IF($B7="","",IFERROR(INDEX(이수현황!$H$6:$H$485,MATCH("R"&amp;2,미이수현황!$L$6:$L$485,0)),""))</f>
        <v>45718</v>
      </c>
      <c r="H7" s="21" t="n">
        <f aca="false">IF($B7="","",IFERROR(INDEX(이수현황!$I$6:$I$485,MATCH("R"&amp;2,미이수현황!$L$6:$L$485,0)),""))</f>
        <v>-561</v>
      </c>
      <c r="J7" s="24" t="b">
        <f aca="false">IF(이수현황!$A7="",FALSE(),OR(이수현황!$J7="기한초과",이수현황!$J7="임박"))</f>
        <v>0</v>
      </c>
      <c r="K7" s="6" t="str">
        <f aca="false">IF($J7=FALSE(),"",COUNTIF($J$6:$J7,TRUE()))</f>
        <v/>
      </c>
      <c r="L7" s="6" t="str">
        <f aca="false">IF($K7="","","R"&amp;$K7)</f>
        <v/>
      </c>
    </row>
    <row r="8" customFormat="false" ht="15" hidden="false" customHeight="true" outlineLevel="0" collapsed="false">
      <c r="A8" s="21" t="n">
        <f aca="false">IF($B8="","",3)</f>
        <v>3</v>
      </c>
      <c r="B8" s="20" t="str">
        <f aca="false">IFERROR(INDEX(이수현황!$A$6:$A$485,MATCH("R"&amp;3,미이수현황!$L$6:$L$485,0)),"")</f>
        <v>E001</v>
      </c>
      <c r="C8" s="20" t="str">
        <f aca="false">IF($B8="","",IFERROR(INDEX(이수현황!$B$6:$B$485,MATCH("R"&amp;3,미이수현황!$L$6:$L$485,0)),""))</f>
        <v>김직원</v>
      </c>
      <c r="D8" s="20" t="str">
        <f aca="false">IF($B8="","",IFERROR(INDEX(이수현황!$C$6:$C$485,MATCH("R"&amp;3,미이수현황!$L$6:$L$485,0)),""))</f>
        <v>생산1팀</v>
      </c>
      <c r="E8" s="20" t="str">
        <f aca="false">IF($B8="","",IFERROR(INDEX(이수현황!$E$6:$E$485,MATCH("R"&amp;3,미이수현황!$L$6:$L$485,0)),""))</f>
        <v>지게차 운전 자격</v>
      </c>
      <c r="F8" s="23" t="str">
        <f aca="false">IF($B8="","",IFERROR(INDEX(이수현황!$G$6:$G$485,MATCH("R"&amp;3,미이수현황!$L$6:$L$485,0)),""))</f>
        <v/>
      </c>
      <c r="G8" s="23" t="n">
        <f aca="false">IF($B8="","",IFERROR(INDEX(이수현황!$H$6:$H$485,MATCH("R"&amp;3,미이수현황!$L$6:$L$485,0)),""))</f>
        <v>46083</v>
      </c>
      <c r="H8" s="21" t="n">
        <f aca="false">IF($B8="","",IFERROR(INDEX(이수현황!$I$6:$I$485,MATCH("R"&amp;3,미이수현황!$L$6:$L$485,0)),""))</f>
        <v>-196</v>
      </c>
      <c r="J8" s="24" t="b">
        <f aca="false">IF(이수현황!$A8="",FALSE(),OR(이수현황!$J8="기한초과",이수현황!$J8="임박"))</f>
        <v>1</v>
      </c>
      <c r="K8" s="6" t="n">
        <f aca="false">IF($J8=FALSE(),"",COUNTIF($J$6:$J8,TRUE()))</f>
        <v>2</v>
      </c>
      <c r="L8" s="6" t="str">
        <f aca="false">IF($K8="","","R"&amp;$K8)</f>
        <v>R2</v>
      </c>
    </row>
    <row r="9" customFormat="false" ht="15" hidden="false" customHeight="true" outlineLevel="0" collapsed="false">
      <c r="A9" s="21" t="n">
        <f aca="false">IF($B9="","",4)</f>
        <v>4</v>
      </c>
      <c r="B9" s="20" t="str">
        <f aca="false">IFERROR(INDEX(이수현황!$A$6:$A$485,MATCH("R"&amp;4,미이수현황!$L$6:$L$485,0)),"")</f>
        <v>E002</v>
      </c>
      <c r="C9" s="20" t="str">
        <f aca="false">IF($B9="","",IFERROR(INDEX(이수현황!$B$6:$B$485,MATCH("R"&amp;4,미이수현황!$L$6:$L$485,0)),""))</f>
        <v>이직원</v>
      </c>
      <c r="D9" s="20" t="str">
        <f aca="false">IF($B9="","",IFERROR(INDEX(이수현황!$C$6:$C$485,MATCH("R"&amp;4,미이수현황!$L$6:$L$485,0)),""))</f>
        <v>생산1팀</v>
      </c>
      <c r="E9" s="20" t="str">
        <f aca="false">IF($B9="","",IFERROR(INDEX(이수현황!$E$6:$E$485,MATCH("R"&amp;4,미이수현황!$L$6:$L$485,0)),""))</f>
        <v>성희롱 예방교육</v>
      </c>
      <c r="F9" s="23" t="str">
        <f aca="false">IF($B9="","",IFERROR(INDEX(이수현황!$G$6:$G$485,MATCH("R"&amp;4,미이수현황!$L$6:$L$485,0)),""))</f>
        <v/>
      </c>
      <c r="G9" s="23" t="n">
        <f aca="false">IF($B9="","",IFERROR(INDEX(이수현황!$H$6:$H$485,MATCH("R"&amp;4,미이수현황!$L$6:$L$485,0)),""))</f>
        <v>45427</v>
      </c>
      <c r="H9" s="21" t="n">
        <f aca="false">IF($B9="","",IFERROR(INDEX(이수현황!$I$6:$I$485,MATCH("R"&amp;4,미이수현황!$L$6:$L$485,0)),""))</f>
        <v>-852</v>
      </c>
      <c r="J9" s="24" t="b">
        <f aca="false">IF(이수현황!$A9="",FALSE(),OR(이수현황!$J9="기한초과",이수현황!$J9="임박"))</f>
        <v>1</v>
      </c>
      <c r="K9" s="6" t="n">
        <f aca="false">IF($J9=FALSE(),"",COUNTIF($J$6:$J9,TRUE()))</f>
        <v>3</v>
      </c>
      <c r="L9" s="6" t="str">
        <f aca="false">IF($K9="","","R"&amp;$K9)</f>
        <v>R3</v>
      </c>
    </row>
    <row r="10" customFormat="false" ht="15" hidden="false" customHeight="true" outlineLevel="0" collapsed="false">
      <c r="A10" s="21" t="n">
        <f aca="false">IF($B10="","",5)</f>
        <v>5</v>
      </c>
      <c r="B10" s="20" t="str">
        <f aca="false">IFERROR(INDEX(이수현황!$A$6:$A$485,MATCH("R"&amp;5,미이수현황!$L$6:$L$485,0)),"")</f>
        <v>E002</v>
      </c>
      <c r="C10" s="20" t="str">
        <f aca="false">IF($B10="","",IFERROR(INDEX(이수현황!$B$6:$B$485,MATCH("R"&amp;5,미이수현황!$L$6:$L$485,0)),""))</f>
        <v>이직원</v>
      </c>
      <c r="D10" s="20" t="str">
        <f aca="false">IF($B10="","",IFERROR(INDEX(이수현황!$C$6:$C$485,MATCH("R"&amp;5,미이수현황!$L$6:$L$485,0)),""))</f>
        <v>생산1팀</v>
      </c>
      <c r="E10" s="20" t="str">
        <f aca="false">IF($B10="","",IFERROR(INDEX(이수현황!$E$6:$E$485,MATCH("R"&amp;5,미이수현황!$L$6:$L$485,0)),""))</f>
        <v>개인정보보호 교육</v>
      </c>
      <c r="F10" s="23" t="str">
        <f aca="false">IF($B10="","",IFERROR(INDEX(이수현황!$G$6:$G$485,MATCH("R"&amp;5,미이수현황!$L$6:$L$485,0)),""))</f>
        <v/>
      </c>
      <c r="G10" s="23" t="n">
        <f aca="false">IF($B10="","",IFERROR(INDEX(이수현황!$H$6:$H$485,MATCH("R"&amp;5,미이수현황!$L$6:$L$485,0)),""))</f>
        <v>45427</v>
      </c>
      <c r="H10" s="21" t="n">
        <f aca="false">IF($B10="","",IFERROR(INDEX(이수현황!$I$6:$I$485,MATCH("R"&amp;5,미이수현황!$L$6:$L$485,0)),""))</f>
        <v>-852</v>
      </c>
      <c r="J10" s="24" t="b">
        <f aca="false">IF(이수현황!$A10="",FALSE(),OR(이수현황!$J10="기한초과",이수현황!$J10="임박"))</f>
        <v>0</v>
      </c>
      <c r="K10" s="6" t="str">
        <f aca="false">IF($J10=FALSE(),"",COUNTIF($J$6:$J10,TRUE()))</f>
        <v/>
      </c>
      <c r="L10" s="6" t="str">
        <f aca="false">IF($K10="","","R"&amp;$K10)</f>
        <v/>
      </c>
    </row>
    <row r="11" customFormat="false" ht="15" hidden="false" customHeight="true" outlineLevel="0" collapsed="false">
      <c r="A11" s="21" t="n">
        <f aca="false">IF($B11="","",6)</f>
        <v>6</v>
      </c>
      <c r="B11" s="20" t="str">
        <f aca="false">IFERROR(INDEX(이수현황!$A$6:$A$485,MATCH("R"&amp;6,미이수현황!$L$6:$L$485,0)),"")</f>
        <v>E002</v>
      </c>
      <c r="C11" s="20" t="str">
        <f aca="false">IF($B11="","",IFERROR(INDEX(이수현황!$B$6:$B$485,MATCH("R"&amp;6,미이수현황!$L$6:$L$485,0)),""))</f>
        <v>이직원</v>
      </c>
      <c r="D11" s="20" t="str">
        <f aca="false">IF($B11="","",IFERROR(INDEX(이수현황!$C$6:$C$485,MATCH("R"&amp;6,미이수현황!$L$6:$L$485,0)),""))</f>
        <v>생산1팀</v>
      </c>
      <c r="E11" s="20" t="str">
        <f aca="false">IF($B11="","",IFERROR(INDEX(이수현황!$E$6:$E$485,MATCH("R"&amp;6,미이수현황!$L$6:$L$485,0)),""))</f>
        <v>지게차 운전 자격</v>
      </c>
      <c r="F11" s="23" t="str">
        <f aca="false">IF($B11="","",IFERROR(INDEX(이수현황!$G$6:$G$485,MATCH("R"&amp;6,미이수현황!$L$6:$L$485,0)),""))</f>
        <v/>
      </c>
      <c r="G11" s="23" t="n">
        <f aca="false">IF($B11="","",IFERROR(INDEX(이수현황!$H$6:$H$485,MATCH("R"&amp;6,미이수현황!$L$6:$L$485,0)),""))</f>
        <v>45792</v>
      </c>
      <c r="H11" s="21" t="n">
        <f aca="false">IF($B11="","",IFERROR(INDEX(이수현황!$I$6:$I$485,MATCH("R"&amp;6,미이수현황!$L$6:$L$485,0)),""))</f>
        <v>-487</v>
      </c>
      <c r="J11" s="24" t="b">
        <f aca="false">IF(이수현황!$A11="",FALSE(),OR(이수현황!$J11="기한초과",이수현황!$J11="임박"))</f>
        <v>0</v>
      </c>
      <c r="K11" s="6" t="str">
        <f aca="false">IF($J11=FALSE(),"",COUNTIF($J$6:$J11,TRUE()))</f>
        <v/>
      </c>
      <c r="L11" s="6" t="str">
        <f aca="false">IF($K11="","","R"&amp;$K11)</f>
        <v/>
      </c>
    </row>
    <row r="12" customFormat="false" ht="15" hidden="false" customHeight="true" outlineLevel="0" collapsed="false">
      <c r="A12" s="21" t="n">
        <f aca="false">IF($B12="","",7)</f>
        <v>7</v>
      </c>
      <c r="B12" s="20" t="str">
        <f aca="false">IFERROR(INDEX(이수현황!$A$6:$A$485,MATCH("R"&amp;7,미이수현황!$L$6:$L$485,0)),"")</f>
        <v>E003</v>
      </c>
      <c r="C12" s="20" t="str">
        <f aca="false">IF($B12="","",IFERROR(INDEX(이수현황!$B$6:$B$485,MATCH("R"&amp;7,미이수현황!$L$6:$L$485,0)),""))</f>
        <v>박직원</v>
      </c>
      <c r="D12" s="20" t="str">
        <f aca="false">IF($B12="","",IFERROR(INDEX(이수현황!$C$6:$C$485,MATCH("R"&amp;7,미이수현황!$L$6:$L$485,0)),""))</f>
        <v>관리팀</v>
      </c>
      <c r="E12" s="20" t="str">
        <f aca="false">IF($B12="","",IFERROR(INDEX(이수현황!$E$6:$E$485,MATCH("R"&amp;7,미이수현황!$L$6:$L$485,0)),""))</f>
        <v>산업안전보건교육</v>
      </c>
      <c r="F12" s="23" t="str">
        <f aca="false">IF($B12="","",IFERROR(INDEX(이수현황!$G$6:$G$485,MATCH("R"&amp;7,미이수현황!$L$6:$L$485,0)),""))</f>
        <v/>
      </c>
      <c r="G12" s="23" t="n">
        <f aca="false">IF($B12="","",IFERROR(INDEX(이수현황!$H$6:$H$485,MATCH("R"&amp;7,미이수현황!$L$6:$L$485,0)),""))</f>
        <v>44661</v>
      </c>
      <c r="H12" s="21" t="n">
        <f aca="false">IF($B12="","",IFERROR(INDEX(이수현황!$I$6:$I$485,MATCH("R"&amp;7,미이수현황!$L$6:$L$485,0)),""))</f>
        <v>-1618</v>
      </c>
      <c r="J12" s="24" t="b">
        <f aca="false">IF(이수현황!$A12="",FALSE(),OR(이수현황!$J12="기한초과",이수현황!$J12="임박"))</f>
        <v>0</v>
      </c>
      <c r="K12" s="6" t="str">
        <f aca="false">IF($J12=FALSE(),"",COUNTIF($J$6:$J12,TRUE()))</f>
        <v/>
      </c>
      <c r="L12" s="6" t="str">
        <f aca="false">IF($K12="","","R"&amp;$K12)</f>
        <v/>
      </c>
    </row>
    <row r="13" customFormat="false" ht="15" hidden="false" customHeight="true" outlineLevel="0" collapsed="false">
      <c r="A13" s="21" t="n">
        <f aca="false">IF($B13="","",8)</f>
        <v>8</v>
      </c>
      <c r="B13" s="20" t="str">
        <f aca="false">IFERROR(INDEX(이수현황!$A$6:$A$485,MATCH("R"&amp;8,미이수현황!$L$6:$L$485,0)),"")</f>
        <v>E003</v>
      </c>
      <c r="C13" s="20" t="str">
        <f aca="false">IF($B13="","",IFERROR(INDEX(이수현황!$B$6:$B$485,MATCH("R"&amp;8,미이수현황!$L$6:$L$485,0)),""))</f>
        <v>박직원</v>
      </c>
      <c r="D13" s="20" t="str">
        <f aca="false">IF($B13="","",IFERROR(INDEX(이수현황!$C$6:$C$485,MATCH("R"&amp;8,미이수현황!$L$6:$L$485,0)),""))</f>
        <v>관리팀</v>
      </c>
      <c r="E13" s="20" t="str">
        <f aca="false">IF($B13="","",IFERROR(INDEX(이수현황!$E$6:$E$485,MATCH("R"&amp;8,미이수현황!$L$6:$L$485,0)),""))</f>
        <v>성희롱 예방교육</v>
      </c>
      <c r="F13" s="23" t="n">
        <f aca="false">IF($B13="","",IFERROR(INDEX(이수현황!$G$6:$G$485,MATCH("R"&amp;8,미이수현황!$L$6:$L$485,0)),""))</f>
        <v>45809</v>
      </c>
      <c r="G13" s="23" t="n">
        <f aca="false">IF($B13="","",IFERROR(INDEX(이수현황!$H$6:$H$485,MATCH("R"&amp;8,미이수현황!$L$6:$L$485,0)),""))</f>
        <v>46174</v>
      </c>
      <c r="H13" s="21" t="n">
        <f aca="false">IF($B13="","",IFERROR(INDEX(이수현황!$I$6:$I$485,MATCH("R"&amp;8,미이수현황!$L$6:$L$485,0)),""))</f>
        <v>-105</v>
      </c>
      <c r="J13" s="24" t="b">
        <f aca="false">IF(이수현황!$A13="",FALSE(),OR(이수현황!$J13="기한초과",이수현황!$J13="임박"))</f>
        <v>0</v>
      </c>
      <c r="K13" s="6" t="str">
        <f aca="false">IF($J13=FALSE(),"",COUNTIF($J$6:$J13,TRUE()))</f>
        <v/>
      </c>
      <c r="L13" s="6" t="str">
        <f aca="false">IF($K13="","","R"&amp;$K13)</f>
        <v/>
      </c>
    </row>
    <row r="14" customFormat="false" ht="15" hidden="false" customHeight="true" outlineLevel="0" collapsed="false">
      <c r="A14" s="21" t="n">
        <f aca="false">IF($B14="","",9)</f>
        <v>9</v>
      </c>
      <c r="B14" s="20" t="str">
        <f aca="false">IFERROR(INDEX(이수현황!$A$6:$A$485,MATCH("R"&amp;9,미이수현황!$L$6:$L$485,0)),"")</f>
        <v>E003</v>
      </c>
      <c r="C14" s="20" t="str">
        <f aca="false">IF($B14="","",IFERROR(INDEX(이수현황!$B$6:$B$485,MATCH("R"&amp;9,미이수현황!$L$6:$L$485,0)),""))</f>
        <v>박직원</v>
      </c>
      <c r="D14" s="20" t="str">
        <f aca="false">IF($B14="","",IFERROR(INDEX(이수현황!$C$6:$C$485,MATCH("R"&amp;9,미이수현황!$L$6:$L$485,0)),""))</f>
        <v>관리팀</v>
      </c>
      <c r="E14" s="20" t="str">
        <f aca="false">IF($B14="","",IFERROR(INDEX(이수현황!$E$6:$E$485,MATCH("R"&amp;9,미이수현황!$L$6:$L$485,0)),""))</f>
        <v>개인정보보호 교육</v>
      </c>
      <c r="F14" s="23" t="str">
        <f aca="false">IF($B14="","",IFERROR(INDEX(이수현황!$G$6:$G$485,MATCH("R"&amp;9,미이수현황!$L$6:$L$485,0)),""))</f>
        <v/>
      </c>
      <c r="G14" s="23" t="n">
        <f aca="false">IF($B14="","",IFERROR(INDEX(이수현황!$H$6:$H$485,MATCH("R"&amp;9,미이수현황!$L$6:$L$485,0)),""))</f>
        <v>44936</v>
      </c>
      <c r="H14" s="21" t="n">
        <f aca="false">IF($B14="","",IFERROR(INDEX(이수현황!$I$6:$I$485,MATCH("R"&amp;9,미이수현황!$L$6:$L$485,0)),""))</f>
        <v>-1343</v>
      </c>
      <c r="J14" s="24" t="b">
        <f aca="false">IF(이수현황!$A14="",FALSE(),OR(이수현황!$J14="기한초과",이수현황!$J14="임박"))</f>
        <v>0</v>
      </c>
      <c r="K14" s="6" t="str">
        <f aca="false">IF($J14=FALSE(),"",COUNTIF($J$6:$J14,TRUE()))</f>
        <v/>
      </c>
      <c r="L14" s="6" t="str">
        <f aca="false">IF($K14="","","R"&amp;$K14)</f>
        <v/>
      </c>
    </row>
    <row r="15" customFormat="false" ht="15" hidden="false" customHeight="true" outlineLevel="0" collapsed="false">
      <c r="A15" s="21" t="n">
        <f aca="false">IF($B15="","",10)</f>
        <v>10</v>
      </c>
      <c r="B15" s="20" t="str">
        <f aca="false">IFERROR(INDEX(이수현황!$A$6:$A$485,MATCH("R"&amp;10,미이수현황!$L$6:$L$485,0)),"")</f>
        <v>E003</v>
      </c>
      <c r="C15" s="20" t="str">
        <f aca="false">IF($B15="","",IFERROR(INDEX(이수현황!$B$6:$B$485,MATCH("R"&amp;10,미이수현황!$L$6:$L$485,0)),""))</f>
        <v>박직원</v>
      </c>
      <c r="D15" s="20" t="str">
        <f aca="false">IF($B15="","",IFERROR(INDEX(이수현황!$C$6:$C$485,MATCH("R"&amp;10,미이수현황!$L$6:$L$485,0)),""))</f>
        <v>관리팀</v>
      </c>
      <c r="E15" s="20" t="str">
        <f aca="false">IF($B15="","",IFERROR(INDEX(이수현황!$E$6:$E$485,MATCH("R"&amp;10,미이수현황!$L$6:$L$485,0)),""))</f>
        <v>지게차 운전 자격</v>
      </c>
      <c r="F15" s="23" t="str">
        <f aca="false">IF($B15="","",IFERROR(INDEX(이수현황!$G$6:$G$485,MATCH("R"&amp;10,미이수현황!$L$6:$L$485,0)),""))</f>
        <v/>
      </c>
      <c r="G15" s="23" t="n">
        <f aca="false">IF($B15="","",IFERROR(INDEX(이수현황!$H$6:$H$485,MATCH("R"&amp;10,미이수현황!$L$6:$L$485,0)),""))</f>
        <v>45301</v>
      </c>
      <c r="H15" s="21" t="n">
        <f aca="false">IF($B15="","",IFERROR(INDEX(이수현황!$I$6:$I$485,MATCH("R"&amp;10,미이수현황!$L$6:$L$485,0)),""))</f>
        <v>-978</v>
      </c>
      <c r="J15" s="24" t="b">
        <f aca="false">IF(이수현황!$A15="",FALSE(),OR(이수현황!$J15="기한초과",이수현황!$J15="임박"))</f>
        <v>0</v>
      </c>
      <c r="K15" s="6" t="str">
        <f aca="false">IF($J15=FALSE(),"",COUNTIF($J$6:$J15,TRUE()))</f>
        <v/>
      </c>
      <c r="L15" s="6" t="str">
        <f aca="false">IF($K15="","","R"&amp;$K15)</f>
        <v/>
      </c>
    </row>
    <row r="16" customFormat="false" ht="15" hidden="false" customHeight="true" outlineLevel="0" collapsed="false">
      <c r="A16" s="21" t="str">
        <f aca="false">IF($B16="","",11)</f>
        <v/>
      </c>
      <c r="B16" s="20" t="str">
        <f aca="false">IFERROR(INDEX(이수현황!$A$6:$A$485,MATCH("R"&amp;11,미이수현황!$L$6:$L$485,0)),"")</f>
        <v/>
      </c>
      <c r="C16" s="20" t="str">
        <f aca="false">IF($B16="","",IFERROR(INDEX(이수현황!$B$6:$B$485,MATCH("R"&amp;11,미이수현황!$L$6:$L$485,0)),""))</f>
        <v/>
      </c>
      <c r="D16" s="20" t="str">
        <f aca="false">IF($B16="","",IFERROR(INDEX(이수현황!$C$6:$C$485,MATCH("R"&amp;11,미이수현황!$L$6:$L$485,0)),""))</f>
        <v/>
      </c>
      <c r="E16" s="20" t="str">
        <f aca="false">IF($B16="","",IFERROR(INDEX(이수현황!$E$6:$E$485,MATCH("R"&amp;11,미이수현황!$L$6:$L$485,0)),""))</f>
        <v/>
      </c>
      <c r="F16" s="23" t="str">
        <f aca="false">IF($B16="","",IFERROR(INDEX(이수현황!$G$6:$G$485,MATCH("R"&amp;11,미이수현황!$L$6:$L$485,0)),""))</f>
        <v/>
      </c>
      <c r="G16" s="23" t="str">
        <f aca="false">IF($B16="","",IFERROR(INDEX(이수현황!$H$6:$H$485,MATCH("R"&amp;11,미이수현황!$L$6:$L$485,0)),""))</f>
        <v/>
      </c>
      <c r="H16" s="21" t="str">
        <f aca="false">IF($B16="","",IFERROR(INDEX(이수현황!$I$6:$I$485,MATCH("R"&amp;11,미이수현황!$L$6:$L$485,0)),""))</f>
        <v/>
      </c>
      <c r="J16" s="24" t="b">
        <f aca="false">IF(이수현황!$A16="",FALSE(),OR(이수현황!$J16="기한초과",이수현황!$J16="임박"))</f>
        <v>0</v>
      </c>
      <c r="K16" s="6" t="str">
        <f aca="false">IF($J16=FALSE(),"",COUNTIF($J$6:$J16,TRUE()))</f>
        <v/>
      </c>
      <c r="L16" s="6" t="str">
        <f aca="false">IF($K16="","","R"&amp;$K16)</f>
        <v/>
      </c>
    </row>
    <row r="17" customFormat="false" ht="15" hidden="false" customHeight="true" outlineLevel="0" collapsed="false">
      <c r="A17" s="21" t="str">
        <f aca="false">IF($B17="","",12)</f>
        <v/>
      </c>
      <c r="B17" s="20" t="str">
        <f aca="false">IFERROR(INDEX(이수현황!$A$6:$A$485,MATCH("R"&amp;12,미이수현황!$L$6:$L$485,0)),"")</f>
        <v/>
      </c>
      <c r="C17" s="20" t="str">
        <f aca="false">IF($B17="","",IFERROR(INDEX(이수현황!$B$6:$B$485,MATCH("R"&amp;12,미이수현황!$L$6:$L$485,0)),""))</f>
        <v/>
      </c>
      <c r="D17" s="20" t="str">
        <f aca="false">IF($B17="","",IFERROR(INDEX(이수현황!$C$6:$C$485,MATCH("R"&amp;12,미이수현황!$L$6:$L$485,0)),""))</f>
        <v/>
      </c>
      <c r="E17" s="20" t="str">
        <f aca="false">IF($B17="","",IFERROR(INDEX(이수현황!$E$6:$E$485,MATCH("R"&amp;12,미이수현황!$L$6:$L$485,0)),""))</f>
        <v/>
      </c>
      <c r="F17" s="23" t="str">
        <f aca="false">IF($B17="","",IFERROR(INDEX(이수현황!$G$6:$G$485,MATCH("R"&amp;12,미이수현황!$L$6:$L$485,0)),""))</f>
        <v/>
      </c>
      <c r="G17" s="23" t="str">
        <f aca="false">IF($B17="","",IFERROR(INDEX(이수현황!$H$6:$H$485,MATCH("R"&amp;12,미이수현황!$L$6:$L$485,0)),""))</f>
        <v/>
      </c>
      <c r="H17" s="21" t="str">
        <f aca="false">IF($B17="","",IFERROR(INDEX(이수현황!$I$6:$I$485,MATCH("R"&amp;12,미이수현황!$L$6:$L$485,0)),""))</f>
        <v/>
      </c>
      <c r="J17" s="24" t="b">
        <f aca="false">IF(이수현황!$A17="",FALSE(),OR(이수현황!$J17="기한초과",이수현황!$J17="임박"))</f>
        <v>0</v>
      </c>
      <c r="K17" s="6" t="str">
        <f aca="false">IF($J17=FALSE(),"",COUNTIF($J$6:$J17,TRUE()))</f>
        <v/>
      </c>
      <c r="L17" s="6" t="str">
        <f aca="false">IF($K17="","","R"&amp;$K17)</f>
        <v/>
      </c>
    </row>
    <row r="18" customFormat="false" ht="15" hidden="false" customHeight="true" outlineLevel="0" collapsed="false">
      <c r="A18" s="21" t="str">
        <f aca="false">IF($B18="","",13)</f>
        <v/>
      </c>
      <c r="B18" s="20" t="str">
        <f aca="false">IFERROR(INDEX(이수현황!$A$6:$A$485,MATCH("R"&amp;13,미이수현황!$L$6:$L$485,0)),"")</f>
        <v/>
      </c>
      <c r="C18" s="20" t="str">
        <f aca="false">IF($B18="","",IFERROR(INDEX(이수현황!$B$6:$B$485,MATCH("R"&amp;13,미이수현황!$L$6:$L$485,0)),""))</f>
        <v/>
      </c>
      <c r="D18" s="20" t="str">
        <f aca="false">IF($B18="","",IFERROR(INDEX(이수현황!$C$6:$C$485,MATCH("R"&amp;13,미이수현황!$L$6:$L$485,0)),""))</f>
        <v/>
      </c>
      <c r="E18" s="20" t="str">
        <f aca="false">IF($B18="","",IFERROR(INDEX(이수현황!$E$6:$E$485,MATCH("R"&amp;13,미이수현황!$L$6:$L$485,0)),""))</f>
        <v/>
      </c>
      <c r="F18" s="23" t="str">
        <f aca="false">IF($B18="","",IFERROR(INDEX(이수현황!$G$6:$G$485,MATCH("R"&amp;13,미이수현황!$L$6:$L$485,0)),""))</f>
        <v/>
      </c>
      <c r="G18" s="23" t="str">
        <f aca="false">IF($B18="","",IFERROR(INDEX(이수현황!$H$6:$H$485,MATCH("R"&amp;13,미이수현황!$L$6:$L$485,0)),""))</f>
        <v/>
      </c>
      <c r="H18" s="21" t="str">
        <f aca="false">IF($B18="","",IFERROR(INDEX(이수현황!$I$6:$I$485,MATCH("R"&amp;13,미이수현황!$L$6:$L$485,0)),""))</f>
        <v/>
      </c>
      <c r="J18" s="24" t="b">
        <f aca="false">IF(이수현황!$A18="",FALSE(),OR(이수현황!$J18="기한초과",이수현황!$J18="임박"))</f>
        <v>0</v>
      </c>
      <c r="K18" s="6" t="str">
        <f aca="false">IF($J18=FALSE(),"",COUNTIF($J$6:$J18,TRUE()))</f>
        <v/>
      </c>
      <c r="L18" s="6" t="str">
        <f aca="false">IF($K18="","","R"&amp;$K18)</f>
        <v/>
      </c>
    </row>
    <row r="19" customFormat="false" ht="15" hidden="false" customHeight="true" outlineLevel="0" collapsed="false">
      <c r="A19" s="21" t="str">
        <f aca="false">IF($B19="","",14)</f>
        <v/>
      </c>
      <c r="B19" s="20" t="str">
        <f aca="false">IFERROR(INDEX(이수현황!$A$6:$A$485,MATCH("R"&amp;14,미이수현황!$L$6:$L$485,0)),"")</f>
        <v/>
      </c>
      <c r="C19" s="20" t="str">
        <f aca="false">IF($B19="","",IFERROR(INDEX(이수현황!$B$6:$B$485,MATCH("R"&amp;14,미이수현황!$L$6:$L$485,0)),""))</f>
        <v/>
      </c>
      <c r="D19" s="20" t="str">
        <f aca="false">IF($B19="","",IFERROR(INDEX(이수현황!$C$6:$C$485,MATCH("R"&amp;14,미이수현황!$L$6:$L$485,0)),""))</f>
        <v/>
      </c>
      <c r="E19" s="20" t="str">
        <f aca="false">IF($B19="","",IFERROR(INDEX(이수현황!$E$6:$E$485,MATCH("R"&amp;14,미이수현황!$L$6:$L$485,0)),""))</f>
        <v/>
      </c>
      <c r="F19" s="23" t="str">
        <f aca="false">IF($B19="","",IFERROR(INDEX(이수현황!$G$6:$G$485,MATCH("R"&amp;14,미이수현황!$L$6:$L$485,0)),""))</f>
        <v/>
      </c>
      <c r="G19" s="23" t="str">
        <f aca="false">IF($B19="","",IFERROR(INDEX(이수현황!$H$6:$H$485,MATCH("R"&amp;14,미이수현황!$L$6:$L$485,0)),""))</f>
        <v/>
      </c>
      <c r="H19" s="21" t="str">
        <f aca="false">IF($B19="","",IFERROR(INDEX(이수현황!$I$6:$I$485,MATCH("R"&amp;14,미이수현황!$L$6:$L$485,0)),""))</f>
        <v/>
      </c>
      <c r="J19" s="24" t="b">
        <f aca="false">IF(이수현황!$A19="",FALSE(),OR(이수현황!$J19="기한초과",이수현황!$J19="임박"))</f>
        <v>1</v>
      </c>
      <c r="K19" s="6" t="n">
        <f aca="false">IF($J19=FALSE(),"",COUNTIF($J$6:$J19,TRUE()))</f>
        <v>4</v>
      </c>
      <c r="L19" s="6" t="str">
        <f aca="false">IF($K19="","","R"&amp;$K19)</f>
        <v>R4</v>
      </c>
    </row>
    <row r="20" customFormat="false" ht="15" hidden="false" customHeight="true" outlineLevel="0" collapsed="false">
      <c r="A20" s="21" t="str">
        <f aca="false">IF($B20="","",15)</f>
        <v/>
      </c>
      <c r="B20" s="20" t="str">
        <f aca="false">IFERROR(INDEX(이수현황!$A$6:$A$485,MATCH("R"&amp;15,미이수현황!$L$6:$L$485,0)),"")</f>
        <v/>
      </c>
      <c r="C20" s="20" t="str">
        <f aca="false">IF($B20="","",IFERROR(INDEX(이수현황!$B$6:$B$485,MATCH("R"&amp;15,미이수현황!$L$6:$L$485,0)),""))</f>
        <v/>
      </c>
      <c r="D20" s="20" t="str">
        <f aca="false">IF($B20="","",IFERROR(INDEX(이수현황!$C$6:$C$485,MATCH("R"&amp;15,미이수현황!$L$6:$L$485,0)),""))</f>
        <v/>
      </c>
      <c r="E20" s="20" t="str">
        <f aca="false">IF($B20="","",IFERROR(INDEX(이수현황!$E$6:$E$485,MATCH("R"&amp;15,미이수현황!$L$6:$L$485,0)),""))</f>
        <v/>
      </c>
      <c r="F20" s="23" t="str">
        <f aca="false">IF($B20="","",IFERROR(INDEX(이수현황!$G$6:$G$485,MATCH("R"&amp;15,미이수현황!$L$6:$L$485,0)),""))</f>
        <v/>
      </c>
      <c r="G20" s="23" t="str">
        <f aca="false">IF($B20="","",IFERROR(INDEX(이수현황!$H$6:$H$485,MATCH("R"&amp;15,미이수현황!$L$6:$L$485,0)),""))</f>
        <v/>
      </c>
      <c r="H20" s="21" t="str">
        <f aca="false">IF($B20="","",IFERROR(INDEX(이수현황!$I$6:$I$485,MATCH("R"&amp;15,미이수현황!$L$6:$L$485,0)),""))</f>
        <v/>
      </c>
      <c r="J20" s="24" t="b">
        <f aca="false">IF(이수현황!$A20="",FALSE(),OR(이수현황!$J20="기한초과",이수현황!$J20="임박"))</f>
        <v>1</v>
      </c>
      <c r="K20" s="6" t="n">
        <f aca="false">IF($J20=FALSE(),"",COUNTIF($J$6:$J20,TRUE()))</f>
        <v>5</v>
      </c>
      <c r="L20" s="6" t="str">
        <f aca="false">IF($K20="","","R"&amp;$K20)</f>
        <v>R5</v>
      </c>
    </row>
    <row r="21" customFormat="false" ht="15" hidden="false" customHeight="true" outlineLevel="0" collapsed="false">
      <c r="A21" s="21" t="str">
        <f aca="false">IF($B21="","",16)</f>
        <v/>
      </c>
      <c r="B21" s="20" t="str">
        <f aca="false">IFERROR(INDEX(이수현황!$A$6:$A$485,MATCH("R"&amp;16,미이수현황!$L$6:$L$485,0)),"")</f>
        <v/>
      </c>
      <c r="C21" s="20" t="str">
        <f aca="false">IF($B21="","",IFERROR(INDEX(이수현황!$B$6:$B$485,MATCH("R"&amp;16,미이수현황!$L$6:$L$485,0)),""))</f>
        <v/>
      </c>
      <c r="D21" s="20" t="str">
        <f aca="false">IF($B21="","",IFERROR(INDEX(이수현황!$C$6:$C$485,MATCH("R"&amp;16,미이수현황!$L$6:$L$485,0)),""))</f>
        <v/>
      </c>
      <c r="E21" s="20" t="str">
        <f aca="false">IF($B21="","",IFERROR(INDEX(이수현황!$E$6:$E$485,MATCH("R"&amp;16,미이수현황!$L$6:$L$485,0)),""))</f>
        <v/>
      </c>
      <c r="F21" s="23" t="str">
        <f aca="false">IF($B21="","",IFERROR(INDEX(이수현황!$G$6:$G$485,MATCH("R"&amp;16,미이수현황!$L$6:$L$485,0)),""))</f>
        <v/>
      </c>
      <c r="G21" s="23" t="str">
        <f aca="false">IF($B21="","",IFERROR(INDEX(이수현황!$H$6:$H$485,MATCH("R"&amp;16,미이수현황!$L$6:$L$485,0)),""))</f>
        <v/>
      </c>
      <c r="H21" s="21" t="str">
        <f aca="false">IF($B21="","",IFERROR(INDEX(이수현황!$I$6:$I$485,MATCH("R"&amp;16,미이수현황!$L$6:$L$485,0)),""))</f>
        <v/>
      </c>
      <c r="J21" s="24" t="b">
        <f aca="false">IF(이수현황!$A21="",FALSE(),OR(이수현황!$J21="기한초과",이수현황!$J21="임박"))</f>
        <v>1</v>
      </c>
      <c r="K21" s="6" t="n">
        <f aca="false">IF($J21=FALSE(),"",COUNTIF($J$6:$J21,TRUE()))</f>
        <v>6</v>
      </c>
      <c r="L21" s="6" t="str">
        <f aca="false">IF($K21="","","R"&amp;$K21)</f>
        <v>R6</v>
      </c>
    </row>
    <row r="22" customFormat="false" ht="15" hidden="false" customHeight="true" outlineLevel="0" collapsed="false">
      <c r="A22" s="21" t="str">
        <f aca="false">IF($B22="","",17)</f>
        <v/>
      </c>
      <c r="B22" s="20" t="str">
        <f aca="false">IFERROR(INDEX(이수현황!$A$6:$A$485,MATCH("R"&amp;17,미이수현황!$L$6:$L$485,0)),"")</f>
        <v/>
      </c>
      <c r="C22" s="20" t="str">
        <f aca="false">IF($B22="","",IFERROR(INDEX(이수현황!$B$6:$B$485,MATCH("R"&amp;17,미이수현황!$L$6:$L$485,0)),""))</f>
        <v/>
      </c>
      <c r="D22" s="20" t="str">
        <f aca="false">IF($B22="","",IFERROR(INDEX(이수현황!$C$6:$C$485,MATCH("R"&amp;17,미이수현황!$L$6:$L$485,0)),""))</f>
        <v/>
      </c>
      <c r="E22" s="20" t="str">
        <f aca="false">IF($B22="","",IFERROR(INDEX(이수현황!$E$6:$E$485,MATCH("R"&amp;17,미이수현황!$L$6:$L$485,0)),""))</f>
        <v/>
      </c>
      <c r="F22" s="23" t="str">
        <f aca="false">IF($B22="","",IFERROR(INDEX(이수현황!$G$6:$G$485,MATCH("R"&amp;17,미이수현황!$L$6:$L$485,0)),""))</f>
        <v/>
      </c>
      <c r="G22" s="23" t="str">
        <f aca="false">IF($B22="","",IFERROR(INDEX(이수현황!$H$6:$H$485,MATCH("R"&amp;17,미이수현황!$L$6:$L$485,0)),""))</f>
        <v/>
      </c>
      <c r="H22" s="21" t="str">
        <f aca="false">IF($B22="","",IFERROR(INDEX(이수현황!$I$6:$I$485,MATCH("R"&amp;17,미이수현황!$L$6:$L$485,0)),""))</f>
        <v/>
      </c>
      <c r="J22" s="24" t="b">
        <f aca="false">IF(이수현황!$A22="",FALSE(),OR(이수현황!$J22="기한초과",이수현황!$J22="임박"))</f>
        <v>0</v>
      </c>
      <c r="K22" s="6" t="str">
        <f aca="false">IF($J22=FALSE(),"",COUNTIF($J$6:$J22,TRUE()))</f>
        <v/>
      </c>
      <c r="L22" s="6" t="str">
        <f aca="false">IF($K22="","","R"&amp;$K22)</f>
        <v/>
      </c>
    </row>
    <row r="23" customFormat="false" ht="15" hidden="false" customHeight="true" outlineLevel="0" collapsed="false">
      <c r="A23" s="21" t="str">
        <f aca="false">IF($B23="","",18)</f>
        <v/>
      </c>
      <c r="B23" s="20" t="str">
        <f aca="false">IFERROR(INDEX(이수현황!$A$6:$A$485,MATCH("R"&amp;18,미이수현황!$L$6:$L$485,0)),"")</f>
        <v/>
      </c>
      <c r="C23" s="20" t="str">
        <f aca="false">IF($B23="","",IFERROR(INDEX(이수현황!$B$6:$B$485,MATCH("R"&amp;18,미이수현황!$L$6:$L$485,0)),""))</f>
        <v/>
      </c>
      <c r="D23" s="20" t="str">
        <f aca="false">IF($B23="","",IFERROR(INDEX(이수현황!$C$6:$C$485,MATCH("R"&amp;18,미이수현황!$L$6:$L$485,0)),""))</f>
        <v/>
      </c>
      <c r="E23" s="20" t="str">
        <f aca="false">IF($B23="","",IFERROR(INDEX(이수현황!$E$6:$E$485,MATCH("R"&amp;18,미이수현황!$L$6:$L$485,0)),""))</f>
        <v/>
      </c>
      <c r="F23" s="23" t="str">
        <f aca="false">IF($B23="","",IFERROR(INDEX(이수현황!$G$6:$G$485,MATCH("R"&amp;18,미이수현황!$L$6:$L$485,0)),""))</f>
        <v/>
      </c>
      <c r="G23" s="23" t="str">
        <f aca="false">IF($B23="","",IFERROR(INDEX(이수현황!$H$6:$H$485,MATCH("R"&amp;18,미이수현황!$L$6:$L$485,0)),""))</f>
        <v/>
      </c>
      <c r="H23" s="21" t="str">
        <f aca="false">IF($B23="","",IFERROR(INDEX(이수현황!$I$6:$I$485,MATCH("R"&amp;18,미이수현황!$L$6:$L$485,0)),""))</f>
        <v/>
      </c>
      <c r="J23" s="24" t="b">
        <f aca="false">IF(이수현황!$A23="",FALSE(),OR(이수현황!$J23="기한초과",이수현황!$J23="임박"))</f>
        <v>0</v>
      </c>
      <c r="K23" s="6" t="str">
        <f aca="false">IF($J23=FALSE(),"",COUNTIF($J$6:$J23,TRUE()))</f>
        <v/>
      </c>
      <c r="L23" s="6" t="str">
        <f aca="false">IF($K23="","","R"&amp;$K23)</f>
        <v/>
      </c>
    </row>
    <row r="24" customFormat="false" ht="15" hidden="false" customHeight="true" outlineLevel="0" collapsed="false">
      <c r="A24" s="21" t="str">
        <f aca="false">IF($B24="","",19)</f>
        <v/>
      </c>
      <c r="B24" s="20" t="str">
        <f aca="false">IFERROR(INDEX(이수현황!$A$6:$A$485,MATCH("R"&amp;19,미이수현황!$L$6:$L$485,0)),"")</f>
        <v/>
      </c>
      <c r="C24" s="20" t="str">
        <f aca="false">IF($B24="","",IFERROR(INDEX(이수현황!$B$6:$B$485,MATCH("R"&amp;19,미이수현황!$L$6:$L$485,0)),""))</f>
        <v/>
      </c>
      <c r="D24" s="20" t="str">
        <f aca="false">IF($B24="","",IFERROR(INDEX(이수현황!$C$6:$C$485,MATCH("R"&amp;19,미이수현황!$L$6:$L$485,0)),""))</f>
        <v/>
      </c>
      <c r="E24" s="20" t="str">
        <f aca="false">IF($B24="","",IFERROR(INDEX(이수현황!$E$6:$E$485,MATCH("R"&amp;19,미이수현황!$L$6:$L$485,0)),""))</f>
        <v/>
      </c>
      <c r="F24" s="23" t="str">
        <f aca="false">IF($B24="","",IFERROR(INDEX(이수현황!$G$6:$G$485,MATCH("R"&amp;19,미이수현황!$L$6:$L$485,0)),""))</f>
        <v/>
      </c>
      <c r="G24" s="23" t="str">
        <f aca="false">IF($B24="","",IFERROR(INDEX(이수현황!$H$6:$H$485,MATCH("R"&amp;19,미이수현황!$L$6:$L$485,0)),""))</f>
        <v/>
      </c>
      <c r="H24" s="21" t="str">
        <f aca="false">IF($B24="","",IFERROR(INDEX(이수현황!$I$6:$I$485,MATCH("R"&amp;19,미이수현황!$L$6:$L$485,0)),""))</f>
        <v/>
      </c>
      <c r="J24" s="24" t="b">
        <f aca="false">IF(이수현황!$A24="",FALSE(),OR(이수현황!$J24="기한초과",이수현황!$J24="임박"))</f>
        <v>0</v>
      </c>
      <c r="K24" s="6" t="str">
        <f aca="false">IF($J24=FALSE(),"",COUNTIF($J$6:$J24,TRUE()))</f>
        <v/>
      </c>
      <c r="L24" s="6" t="str">
        <f aca="false">IF($K24="","","R"&amp;$K24)</f>
        <v/>
      </c>
    </row>
    <row r="25" customFormat="false" ht="15" hidden="false" customHeight="true" outlineLevel="0" collapsed="false">
      <c r="A25" s="21" t="str">
        <f aca="false">IF($B25="","",20)</f>
        <v/>
      </c>
      <c r="B25" s="20" t="str">
        <f aca="false">IFERROR(INDEX(이수현황!$A$6:$A$485,MATCH("R"&amp;20,미이수현황!$L$6:$L$485,0)),"")</f>
        <v/>
      </c>
      <c r="C25" s="20" t="str">
        <f aca="false">IF($B25="","",IFERROR(INDEX(이수현황!$B$6:$B$485,MATCH("R"&amp;20,미이수현황!$L$6:$L$485,0)),""))</f>
        <v/>
      </c>
      <c r="D25" s="20" t="str">
        <f aca="false">IF($B25="","",IFERROR(INDEX(이수현황!$C$6:$C$485,MATCH("R"&amp;20,미이수현황!$L$6:$L$485,0)),""))</f>
        <v/>
      </c>
      <c r="E25" s="20" t="str">
        <f aca="false">IF($B25="","",IFERROR(INDEX(이수현황!$E$6:$E$485,MATCH("R"&amp;20,미이수현황!$L$6:$L$485,0)),""))</f>
        <v/>
      </c>
      <c r="F25" s="23" t="str">
        <f aca="false">IF($B25="","",IFERROR(INDEX(이수현황!$G$6:$G$485,MATCH("R"&amp;20,미이수현황!$L$6:$L$485,0)),""))</f>
        <v/>
      </c>
      <c r="G25" s="23" t="str">
        <f aca="false">IF($B25="","",IFERROR(INDEX(이수현황!$H$6:$H$485,MATCH("R"&amp;20,미이수현황!$L$6:$L$485,0)),""))</f>
        <v/>
      </c>
      <c r="H25" s="21" t="str">
        <f aca="false">IF($B25="","",IFERROR(INDEX(이수현황!$I$6:$I$485,MATCH("R"&amp;20,미이수현황!$L$6:$L$485,0)),""))</f>
        <v/>
      </c>
      <c r="J25" s="24" t="b">
        <f aca="false">IF(이수현황!$A25="",FALSE(),OR(이수현황!$J25="기한초과",이수현황!$J25="임박"))</f>
        <v>0</v>
      </c>
      <c r="K25" s="6" t="str">
        <f aca="false">IF($J25=FALSE(),"",COUNTIF($J$6:$J25,TRUE()))</f>
        <v/>
      </c>
      <c r="L25" s="6" t="str">
        <f aca="false">IF($K25="","","R"&amp;$K25)</f>
        <v/>
      </c>
    </row>
    <row r="26" customFormat="false" ht="15" hidden="false" customHeight="true" outlineLevel="0" collapsed="false">
      <c r="A26" s="21" t="str">
        <f aca="false">IF($B26="","",21)</f>
        <v/>
      </c>
      <c r="B26" s="20" t="str">
        <f aca="false">IFERROR(INDEX(이수현황!$A$6:$A$485,MATCH("R"&amp;21,미이수현황!$L$6:$L$485,0)),"")</f>
        <v/>
      </c>
      <c r="C26" s="20" t="str">
        <f aca="false">IF($B26="","",IFERROR(INDEX(이수현황!$B$6:$B$485,MATCH("R"&amp;21,미이수현황!$L$6:$L$485,0)),""))</f>
        <v/>
      </c>
      <c r="D26" s="20" t="str">
        <f aca="false">IF($B26="","",IFERROR(INDEX(이수현황!$C$6:$C$485,MATCH("R"&amp;21,미이수현황!$L$6:$L$485,0)),""))</f>
        <v/>
      </c>
      <c r="E26" s="20" t="str">
        <f aca="false">IF($B26="","",IFERROR(INDEX(이수현황!$E$6:$E$485,MATCH("R"&amp;21,미이수현황!$L$6:$L$485,0)),""))</f>
        <v/>
      </c>
      <c r="F26" s="23" t="str">
        <f aca="false">IF($B26="","",IFERROR(INDEX(이수현황!$G$6:$G$485,MATCH("R"&amp;21,미이수현황!$L$6:$L$485,0)),""))</f>
        <v/>
      </c>
      <c r="G26" s="23" t="str">
        <f aca="false">IF($B26="","",IFERROR(INDEX(이수현황!$H$6:$H$485,MATCH("R"&amp;21,미이수현황!$L$6:$L$485,0)),""))</f>
        <v/>
      </c>
      <c r="H26" s="21" t="str">
        <f aca="false">IF($B26="","",IFERROR(INDEX(이수현황!$I$6:$I$485,MATCH("R"&amp;21,미이수현황!$L$6:$L$485,0)),""))</f>
        <v/>
      </c>
      <c r="J26" s="24" t="b">
        <f aca="false">IF(이수현황!$A26="",FALSE(),OR(이수현황!$J26="기한초과",이수현황!$J26="임박"))</f>
        <v>0</v>
      </c>
      <c r="K26" s="6" t="str">
        <f aca="false">IF($J26=FALSE(),"",COUNTIF($J$6:$J26,TRUE()))</f>
        <v/>
      </c>
      <c r="L26" s="6" t="str">
        <f aca="false">IF($K26="","","R"&amp;$K26)</f>
        <v/>
      </c>
    </row>
    <row r="27" customFormat="false" ht="15" hidden="false" customHeight="true" outlineLevel="0" collapsed="false">
      <c r="A27" s="21" t="str">
        <f aca="false">IF($B27="","",22)</f>
        <v/>
      </c>
      <c r="B27" s="20" t="str">
        <f aca="false">IFERROR(INDEX(이수현황!$A$6:$A$485,MATCH("R"&amp;22,미이수현황!$L$6:$L$485,0)),"")</f>
        <v/>
      </c>
      <c r="C27" s="20" t="str">
        <f aca="false">IF($B27="","",IFERROR(INDEX(이수현황!$B$6:$B$485,MATCH("R"&amp;22,미이수현황!$L$6:$L$485,0)),""))</f>
        <v/>
      </c>
      <c r="D27" s="20" t="str">
        <f aca="false">IF($B27="","",IFERROR(INDEX(이수현황!$C$6:$C$485,MATCH("R"&amp;22,미이수현황!$L$6:$L$485,0)),""))</f>
        <v/>
      </c>
      <c r="E27" s="20" t="str">
        <f aca="false">IF($B27="","",IFERROR(INDEX(이수현황!$E$6:$E$485,MATCH("R"&amp;22,미이수현황!$L$6:$L$485,0)),""))</f>
        <v/>
      </c>
      <c r="F27" s="23" t="str">
        <f aca="false">IF($B27="","",IFERROR(INDEX(이수현황!$G$6:$G$485,MATCH("R"&amp;22,미이수현황!$L$6:$L$485,0)),""))</f>
        <v/>
      </c>
      <c r="G27" s="23" t="str">
        <f aca="false">IF($B27="","",IFERROR(INDEX(이수현황!$H$6:$H$485,MATCH("R"&amp;22,미이수현황!$L$6:$L$485,0)),""))</f>
        <v/>
      </c>
      <c r="H27" s="21" t="str">
        <f aca="false">IF($B27="","",IFERROR(INDEX(이수현황!$I$6:$I$485,MATCH("R"&amp;22,미이수현황!$L$6:$L$485,0)),""))</f>
        <v/>
      </c>
      <c r="J27" s="24" t="b">
        <f aca="false">IF(이수현황!$A27="",FALSE(),OR(이수현황!$J27="기한초과",이수현황!$J27="임박"))</f>
        <v>0</v>
      </c>
      <c r="K27" s="6" t="str">
        <f aca="false">IF($J27=FALSE(),"",COUNTIF($J$6:$J27,TRUE()))</f>
        <v/>
      </c>
      <c r="L27" s="6" t="str">
        <f aca="false">IF($K27="","","R"&amp;$K27)</f>
        <v/>
      </c>
    </row>
    <row r="28" customFormat="false" ht="15" hidden="false" customHeight="true" outlineLevel="0" collapsed="false">
      <c r="A28" s="21" t="str">
        <f aca="false">IF($B28="","",23)</f>
        <v/>
      </c>
      <c r="B28" s="20" t="str">
        <f aca="false">IFERROR(INDEX(이수현황!$A$6:$A$485,MATCH("R"&amp;23,미이수현황!$L$6:$L$485,0)),"")</f>
        <v/>
      </c>
      <c r="C28" s="20" t="str">
        <f aca="false">IF($B28="","",IFERROR(INDEX(이수현황!$B$6:$B$485,MATCH("R"&amp;23,미이수현황!$L$6:$L$485,0)),""))</f>
        <v/>
      </c>
      <c r="D28" s="20" t="str">
        <f aca="false">IF($B28="","",IFERROR(INDEX(이수현황!$C$6:$C$485,MATCH("R"&amp;23,미이수현황!$L$6:$L$485,0)),""))</f>
        <v/>
      </c>
      <c r="E28" s="20" t="str">
        <f aca="false">IF($B28="","",IFERROR(INDEX(이수현황!$E$6:$E$485,MATCH("R"&amp;23,미이수현황!$L$6:$L$485,0)),""))</f>
        <v/>
      </c>
      <c r="F28" s="23" t="str">
        <f aca="false">IF($B28="","",IFERROR(INDEX(이수현황!$G$6:$G$485,MATCH("R"&amp;23,미이수현황!$L$6:$L$485,0)),""))</f>
        <v/>
      </c>
      <c r="G28" s="23" t="str">
        <f aca="false">IF($B28="","",IFERROR(INDEX(이수현황!$H$6:$H$485,MATCH("R"&amp;23,미이수현황!$L$6:$L$485,0)),""))</f>
        <v/>
      </c>
      <c r="H28" s="21" t="str">
        <f aca="false">IF($B28="","",IFERROR(INDEX(이수현황!$I$6:$I$485,MATCH("R"&amp;23,미이수현황!$L$6:$L$485,0)),""))</f>
        <v/>
      </c>
      <c r="J28" s="24" t="b">
        <f aca="false">IF(이수현황!$A28="",FALSE(),OR(이수현황!$J28="기한초과",이수현황!$J28="임박"))</f>
        <v>0</v>
      </c>
      <c r="K28" s="6" t="str">
        <f aca="false">IF($J28=FALSE(),"",COUNTIF($J$6:$J28,TRUE()))</f>
        <v/>
      </c>
      <c r="L28" s="6" t="str">
        <f aca="false">IF($K28="","","R"&amp;$K28)</f>
        <v/>
      </c>
    </row>
    <row r="29" customFormat="false" ht="15" hidden="false" customHeight="true" outlineLevel="0" collapsed="false">
      <c r="A29" s="21" t="str">
        <f aca="false">IF($B29="","",24)</f>
        <v/>
      </c>
      <c r="B29" s="20" t="str">
        <f aca="false">IFERROR(INDEX(이수현황!$A$6:$A$485,MATCH("R"&amp;24,미이수현황!$L$6:$L$485,0)),"")</f>
        <v/>
      </c>
      <c r="C29" s="20" t="str">
        <f aca="false">IF($B29="","",IFERROR(INDEX(이수현황!$B$6:$B$485,MATCH("R"&amp;24,미이수현황!$L$6:$L$485,0)),""))</f>
        <v/>
      </c>
      <c r="D29" s="20" t="str">
        <f aca="false">IF($B29="","",IFERROR(INDEX(이수현황!$C$6:$C$485,MATCH("R"&amp;24,미이수현황!$L$6:$L$485,0)),""))</f>
        <v/>
      </c>
      <c r="E29" s="20" t="str">
        <f aca="false">IF($B29="","",IFERROR(INDEX(이수현황!$E$6:$E$485,MATCH("R"&amp;24,미이수현황!$L$6:$L$485,0)),""))</f>
        <v/>
      </c>
      <c r="F29" s="23" t="str">
        <f aca="false">IF($B29="","",IFERROR(INDEX(이수현황!$G$6:$G$485,MATCH("R"&amp;24,미이수현황!$L$6:$L$485,0)),""))</f>
        <v/>
      </c>
      <c r="G29" s="23" t="str">
        <f aca="false">IF($B29="","",IFERROR(INDEX(이수현황!$H$6:$H$485,MATCH("R"&amp;24,미이수현황!$L$6:$L$485,0)),""))</f>
        <v/>
      </c>
      <c r="H29" s="21" t="str">
        <f aca="false">IF($B29="","",IFERROR(INDEX(이수현황!$I$6:$I$485,MATCH("R"&amp;24,미이수현황!$L$6:$L$485,0)),""))</f>
        <v/>
      </c>
      <c r="J29" s="24" t="b">
        <f aca="false">IF(이수현황!$A29="",FALSE(),OR(이수현황!$J29="기한초과",이수현황!$J29="임박"))</f>
        <v>0</v>
      </c>
      <c r="K29" s="6" t="str">
        <f aca="false">IF($J29=FALSE(),"",COUNTIF($J$6:$J29,TRUE()))</f>
        <v/>
      </c>
      <c r="L29" s="6" t="str">
        <f aca="false">IF($K29="","","R"&amp;$K29)</f>
        <v/>
      </c>
    </row>
    <row r="30" customFormat="false" ht="15" hidden="false" customHeight="true" outlineLevel="0" collapsed="false">
      <c r="A30" s="21" t="str">
        <f aca="false">IF($B30="","",25)</f>
        <v/>
      </c>
      <c r="B30" s="20" t="str">
        <f aca="false">IFERROR(INDEX(이수현황!$A$6:$A$485,MATCH("R"&amp;25,미이수현황!$L$6:$L$485,0)),"")</f>
        <v/>
      </c>
      <c r="C30" s="20" t="str">
        <f aca="false">IF($B30="","",IFERROR(INDEX(이수현황!$B$6:$B$485,MATCH("R"&amp;25,미이수현황!$L$6:$L$485,0)),""))</f>
        <v/>
      </c>
      <c r="D30" s="20" t="str">
        <f aca="false">IF($B30="","",IFERROR(INDEX(이수현황!$C$6:$C$485,MATCH("R"&amp;25,미이수현황!$L$6:$L$485,0)),""))</f>
        <v/>
      </c>
      <c r="E30" s="20" t="str">
        <f aca="false">IF($B30="","",IFERROR(INDEX(이수현황!$E$6:$E$485,MATCH("R"&amp;25,미이수현황!$L$6:$L$485,0)),""))</f>
        <v/>
      </c>
      <c r="F30" s="23" t="str">
        <f aca="false">IF($B30="","",IFERROR(INDEX(이수현황!$G$6:$G$485,MATCH("R"&amp;25,미이수현황!$L$6:$L$485,0)),""))</f>
        <v/>
      </c>
      <c r="G30" s="23" t="str">
        <f aca="false">IF($B30="","",IFERROR(INDEX(이수현황!$H$6:$H$485,MATCH("R"&amp;25,미이수현황!$L$6:$L$485,0)),""))</f>
        <v/>
      </c>
      <c r="H30" s="21" t="str">
        <f aca="false">IF($B30="","",IFERROR(INDEX(이수현황!$I$6:$I$485,MATCH("R"&amp;25,미이수현황!$L$6:$L$485,0)),""))</f>
        <v/>
      </c>
      <c r="J30" s="24" t="b">
        <f aca="false">IF(이수현황!$A30="",FALSE(),OR(이수현황!$J30="기한초과",이수현황!$J30="임박"))</f>
        <v>1</v>
      </c>
      <c r="K30" s="6" t="n">
        <f aca="false">IF($J30=FALSE(),"",COUNTIF($J$6:$J30,TRUE()))</f>
        <v>7</v>
      </c>
      <c r="L30" s="6" t="str">
        <f aca="false">IF($K30="","","R"&amp;$K30)</f>
        <v>R7</v>
      </c>
    </row>
    <row r="31" customFormat="false" ht="15" hidden="false" customHeight="true" outlineLevel="0" collapsed="false">
      <c r="A31" s="21" t="str">
        <f aca="false">IF($B31="","",26)</f>
        <v/>
      </c>
      <c r="B31" s="20" t="str">
        <f aca="false">IFERROR(INDEX(이수현황!$A$6:$A$485,MATCH("R"&amp;26,미이수현황!$L$6:$L$485,0)),"")</f>
        <v/>
      </c>
      <c r="C31" s="20" t="str">
        <f aca="false">IF($B31="","",IFERROR(INDEX(이수현황!$B$6:$B$485,MATCH("R"&amp;26,미이수현황!$L$6:$L$485,0)),""))</f>
        <v/>
      </c>
      <c r="D31" s="20" t="str">
        <f aca="false">IF($B31="","",IFERROR(INDEX(이수현황!$C$6:$C$485,MATCH("R"&amp;26,미이수현황!$L$6:$L$485,0)),""))</f>
        <v/>
      </c>
      <c r="E31" s="20" t="str">
        <f aca="false">IF($B31="","",IFERROR(INDEX(이수현황!$E$6:$E$485,MATCH("R"&amp;26,미이수현황!$L$6:$L$485,0)),""))</f>
        <v/>
      </c>
      <c r="F31" s="23" t="str">
        <f aca="false">IF($B31="","",IFERROR(INDEX(이수현황!$G$6:$G$485,MATCH("R"&amp;26,미이수현황!$L$6:$L$485,0)),""))</f>
        <v/>
      </c>
      <c r="G31" s="23" t="str">
        <f aca="false">IF($B31="","",IFERROR(INDEX(이수현황!$H$6:$H$485,MATCH("R"&amp;26,미이수현황!$L$6:$L$485,0)),""))</f>
        <v/>
      </c>
      <c r="H31" s="21" t="str">
        <f aca="false">IF($B31="","",IFERROR(INDEX(이수현황!$I$6:$I$485,MATCH("R"&amp;26,미이수현황!$L$6:$L$485,0)),""))</f>
        <v/>
      </c>
      <c r="J31" s="24" t="b">
        <f aca="false">IF(이수현황!$A31="",FALSE(),OR(이수현황!$J31="기한초과",이수현황!$J31="임박"))</f>
        <v>1</v>
      </c>
      <c r="K31" s="6" t="n">
        <f aca="false">IF($J31=FALSE(),"",COUNTIF($J$6:$J31,TRUE()))</f>
        <v>8</v>
      </c>
      <c r="L31" s="6" t="str">
        <f aca="false">IF($K31="","","R"&amp;$K31)</f>
        <v>R8</v>
      </c>
    </row>
    <row r="32" customFormat="false" ht="15" hidden="false" customHeight="true" outlineLevel="0" collapsed="false">
      <c r="A32" s="21" t="str">
        <f aca="false">IF($B32="","",27)</f>
        <v/>
      </c>
      <c r="B32" s="20" t="str">
        <f aca="false">IFERROR(INDEX(이수현황!$A$6:$A$485,MATCH("R"&amp;27,미이수현황!$L$6:$L$485,0)),"")</f>
        <v/>
      </c>
      <c r="C32" s="20" t="str">
        <f aca="false">IF($B32="","",IFERROR(INDEX(이수현황!$B$6:$B$485,MATCH("R"&amp;27,미이수현황!$L$6:$L$485,0)),""))</f>
        <v/>
      </c>
      <c r="D32" s="20" t="str">
        <f aca="false">IF($B32="","",IFERROR(INDEX(이수현황!$C$6:$C$485,MATCH("R"&amp;27,미이수현황!$L$6:$L$485,0)),""))</f>
        <v/>
      </c>
      <c r="E32" s="20" t="str">
        <f aca="false">IF($B32="","",IFERROR(INDEX(이수현황!$E$6:$E$485,MATCH("R"&amp;27,미이수현황!$L$6:$L$485,0)),""))</f>
        <v/>
      </c>
      <c r="F32" s="23" t="str">
        <f aca="false">IF($B32="","",IFERROR(INDEX(이수현황!$G$6:$G$485,MATCH("R"&amp;27,미이수현황!$L$6:$L$485,0)),""))</f>
        <v/>
      </c>
      <c r="G32" s="23" t="str">
        <f aca="false">IF($B32="","",IFERROR(INDEX(이수현황!$H$6:$H$485,MATCH("R"&amp;27,미이수현황!$L$6:$L$485,0)),""))</f>
        <v/>
      </c>
      <c r="H32" s="21" t="str">
        <f aca="false">IF($B32="","",IFERROR(INDEX(이수현황!$I$6:$I$485,MATCH("R"&amp;27,미이수현황!$L$6:$L$485,0)),""))</f>
        <v/>
      </c>
      <c r="J32" s="24" t="b">
        <f aca="false">IF(이수현황!$A32="",FALSE(),OR(이수현황!$J32="기한초과",이수현황!$J32="임박"))</f>
        <v>1</v>
      </c>
      <c r="K32" s="6" t="n">
        <f aca="false">IF($J32=FALSE(),"",COUNTIF($J$6:$J32,TRUE()))</f>
        <v>9</v>
      </c>
      <c r="L32" s="6" t="str">
        <f aca="false">IF($K32="","","R"&amp;$K32)</f>
        <v>R9</v>
      </c>
    </row>
    <row r="33" customFormat="false" ht="15" hidden="false" customHeight="true" outlineLevel="0" collapsed="false">
      <c r="A33" s="21" t="str">
        <f aca="false">IF($B33="","",28)</f>
        <v/>
      </c>
      <c r="B33" s="20" t="str">
        <f aca="false">IFERROR(INDEX(이수현황!$A$6:$A$485,MATCH("R"&amp;28,미이수현황!$L$6:$L$485,0)),"")</f>
        <v/>
      </c>
      <c r="C33" s="20" t="str">
        <f aca="false">IF($B33="","",IFERROR(INDEX(이수현황!$B$6:$B$485,MATCH("R"&amp;28,미이수현황!$L$6:$L$485,0)),""))</f>
        <v/>
      </c>
      <c r="D33" s="20" t="str">
        <f aca="false">IF($B33="","",IFERROR(INDEX(이수현황!$C$6:$C$485,MATCH("R"&amp;28,미이수현황!$L$6:$L$485,0)),""))</f>
        <v/>
      </c>
      <c r="E33" s="20" t="str">
        <f aca="false">IF($B33="","",IFERROR(INDEX(이수현황!$E$6:$E$485,MATCH("R"&amp;28,미이수현황!$L$6:$L$485,0)),""))</f>
        <v/>
      </c>
      <c r="F33" s="23" t="str">
        <f aca="false">IF($B33="","",IFERROR(INDEX(이수현황!$G$6:$G$485,MATCH("R"&amp;28,미이수현황!$L$6:$L$485,0)),""))</f>
        <v/>
      </c>
      <c r="G33" s="23" t="str">
        <f aca="false">IF($B33="","",IFERROR(INDEX(이수현황!$H$6:$H$485,MATCH("R"&amp;28,미이수현황!$L$6:$L$485,0)),""))</f>
        <v/>
      </c>
      <c r="H33" s="21" t="str">
        <f aca="false">IF($B33="","",IFERROR(INDEX(이수현황!$I$6:$I$485,MATCH("R"&amp;28,미이수현황!$L$6:$L$485,0)),""))</f>
        <v/>
      </c>
      <c r="J33" s="24" t="b">
        <f aca="false">IF(이수현황!$A33="",FALSE(),OR(이수현황!$J33="기한초과",이수현황!$J33="임박"))</f>
        <v>1</v>
      </c>
      <c r="K33" s="6" t="n">
        <f aca="false">IF($J33=FALSE(),"",COUNTIF($J$6:$J33,TRUE()))</f>
        <v>10</v>
      </c>
      <c r="L33" s="6" t="str">
        <f aca="false">IF($K33="","","R"&amp;$K33)</f>
        <v>R10</v>
      </c>
    </row>
    <row r="34" customFormat="false" ht="15" hidden="false" customHeight="true" outlineLevel="0" collapsed="false">
      <c r="A34" s="21" t="str">
        <f aca="false">IF($B34="","",29)</f>
        <v/>
      </c>
      <c r="B34" s="20" t="str">
        <f aca="false">IFERROR(INDEX(이수현황!$A$6:$A$485,MATCH("R"&amp;29,미이수현황!$L$6:$L$485,0)),"")</f>
        <v/>
      </c>
      <c r="C34" s="20" t="str">
        <f aca="false">IF($B34="","",IFERROR(INDEX(이수현황!$B$6:$B$485,MATCH("R"&amp;29,미이수현황!$L$6:$L$485,0)),""))</f>
        <v/>
      </c>
      <c r="D34" s="20" t="str">
        <f aca="false">IF($B34="","",IFERROR(INDEX(이수현황!$C$6:$C$485,MATCH("R"&amp;29,미이수현황!$L$6:$L$485,0)),""))</f>
        <v/>
      </c>
      <c r="E34" s="20" t="str">
        <f aca="false">IF($B34="","",IFERROR(INDEX(이수현황!$E$6:$E$485,MATCH("R"&amp;29,미이수현황!$L$6:$L$485,0)),""))</f>
        <v/>
      </c>
      <c r="F34" s="23" t="str">
        <f aca="false">IF($B34="","",IFERROR(INDEX(이수현황!$G$6:$G$485,MATCH("R"&amp;29,미이수현황!$L$6:$L$485,0)),""))</f>
        <v/>
      </c>
      <c r="G34" s="23" t="str">
        <f aca="false">IF($B34="","",IFERROR(INDEX(이수현황!$H$6:$H$485,MATCH("R"&amp;29,미이수현황!$L$6:$L$485,0)),""))</f>
        <v/>
      </c>
      <c r="H34" s="21" t="str">
        <f aca="false">IF($B34="","",IFERROR(INDEX(이수현황!$I$6:$I$485,MATCH("R"&amp;29,미이수현황!$L$6:$L$485,0)),""))</f>
        <v/>
      </c>
      <c r="J34" s="24" t="b">
        <f aca="false">IF(이수현황!$A34="",FALSE(),OR(이수현황!$J34="기한초과",이수현황!$J34="임박"))</f>
        <v>0</v>
      </c>
      <c r="K34" s="6" t="str">
        <f aca="false">IF($J34=FALSE(),"",COUNTIF($J$6:$J34,TRUE()))</f>
        <v/>
      </c>
      <c r="L34" s="6" t="str">
        <f aca="false">IF($K34="","","R"&amp;$K34)</f>
        <v/>
      </c>
    </row>
    <row r="35" customFormat="false" ht="15" hidden="false" customHeight="true" outlineLevel="0" collapsed="false">
      <c r="A35" s="21" t="str">
        <f aca="false">IF($B35="","",30)</f>
        <v/>
      </c>
      <c r="B35" s="20" t="str">
        <f aca="false">IFERROR(INDEX(이수현황!$A$6:$A$485,MATCH("R"&amp;30,미이수현황!$L$6:$L$485,0)),"")</f>
        <v/>
      </c>
      <c r="C35" s="20" t="str">
        <f aca="false">IF($B35="","",IFERROR(INDEX(이수현황!$B$6:$B$485,MATCH("R"&amp;30,미이수현황!$L$6:$L$485,0)),""))</f>
        <v/>
      </c>
      <c r="D35" s="20" t="str">
        <f aca="false">IF($B35="","",IFERROR(INDEX(이수현황!$C$6:$C$485,MATCH("R"&amp;30,미이수현황!$L$6:$L$485,0)),""))</f>
        <v/>
      </c>
      <c r="E35" s="20" t="str">
        <f aca="false">IF($B35="","",IFERROR(INDEX(이수현황!$E$6:$E$485,MATCH("R"&amp;30,미이수현황!$L$6:$L$485,0)),""))</f>
        <v/>
      </c>
      <c r="F35" s="23" t="str">
        <f aca="false">IF($B35="","",IFERROR(INDEX(이수현황!$G$6:$G$485,MATCH("R"&amp;30,미이수현황!$L$6:$L$485,0)),""))</f>
        <v/>
      </c>
      <c r="G35" s="23" t="str">
        <f aca="false">IF($B35="","",IFERROR(INDEX(이수현황!$H$6:$H$485,MATCH("R"&amp;30,미이수현황!$L$6:$L$485,0)),""))</f>
        <v/>
      </c>
      <c r="H35" s="21" t="str">
        <f aca="false">IF($B35="","",IFERROR(INDEX(이수현황!$I$6:$I$485,MATCH("R"&amp;30,미이수현황!$L$6:$L$485,0)),""))</f>
        <v/>
      </c>
      <c r="J35" s="24" t="b">
        <f aca="false">IF(이수현황!$A35="",FALSE(),OR(이수현황!$J35="기한초과",이수현황!$J35="임박"))</f>
        <v>0</v>
      </c>
      <c r="K35" s="6" t="str">
        <f aca="false">IF($J35=FALSE(),"",COUNTIF($J$6:$J35,TRUE()))</f>
        <v/>
      </c>
      <c r="L35" s="6" t="str">
        <f aca="false">IF($K35="","","R"&amp;$K35)</f>
        <v/>
      </c>
    </row>
    <row r="36" customFormat="false" ht="15" hidden="false" customHeight="true" outlineLevel="0" collapsed="false">
      <c r="A36" s="21" t="str">
        <f aca="false">IF($B36="","",31)</f>
        <v/>
      </c>
      <c r="B36" s="20" t="str">
        <f aca="false">IFERROR(INDEX(이수현황!$A$6:$A$485,MATCH("R"&amp;31,미이수현황!$L$6:$L$485,0)),"")</f>
        <v/>
      </c>
      <c r="C36" s="20" t="str">
        <f aca="false">IF($B36="","",IFERROR(INDEX(이수현황!$B$6:$B$485,MATCH("R"&amp;31,미이수현황!$L$6:$L$485,0)),""))</f>
        <v/>
      </c>
      <c r="D36" s="20" t="str">
        <f aca="false">IF($B36="","",IFERROR(INDEX(이수현황!$C$6:$C$485,MATCH("R"&amp;31,미이수현황!$L$6:$L$485,0)),""))</f>
        <v/>
      </c>
      <c r="E36" s="20" t="str">
        <f aca="false">IF($B36="","",IFERROR(INDEX(이수현황!$E$6:$E$485,MATCH("R"&amp;31,미이수현황!$L$6:$L$485,0)),""))</f>
        <v/>
      </c>
      <c r="F36" s="23" t="str">
        <f aca="false">IF($B36="","",IFERROR(INDEX(이수현황!$G$6:$G$485,MATCH("R"&amp;31,미이수현황!$L$6:$L$485,0)),""))</f>
        <v/>
      </c>
      <c r="G36" s="23" t="str">
        <f aca="false">IF($B36="","",IFERROR(INDEX(이수현황!$H$6:$H$485,MATCH("R"&amp;31,미이수현황!$L$6:$L$485,0)),""))</f>
        <v/>
      </c>
      <c r="H36" s="21" t="str">
        <f aca="false">IF($B36="","",IFERROR(INDEX(이수현황!$I$6:$I$485,MATCH("R"&amp;31,미이수현황!$L$6:$L$485,0)),""))</f>
        <v/>
      </c>
      <c r="J36" s="24" t="b">
        <f aca="false">IF(이수현황!$A36="",FALSE(),OR(이수현황!$J36="기한초과",이수현황!$J36="임박"))</f>
        <v>0</v>
      </c>
      <c r="K36" s="6" t="str">
        <f aca="false">IF($J36=FALSE(),"",COUNTIF($J$6:$J36,TRUE()))</f>
        <v/>
      </c>
      <c r="L36" s="6" t="str">
        <f aca="false">IF($K36="","","R"&amp;$K36)</f>
        <v/>
      </c>
    </row>
    <row r="37" customFormat="false" ht="15" hidden="false" customHeight="true" outlineLevel="0" collapsed="false">
      <c r="A37" s="21" t="str">
        <f aca="false">IF($B37="","",32)</f>
        <v/>
      </c>
      <c r="B37" s="20" t="str">
        <f aca="false">IFERROR(INDEX(이수현황!$A$6:$A$485,MATCH("R"&amp;32,미이수현황!$L$6:$L$485,0)),"")</f>
        <v/>
      </c>
      <c r="C37" s="20" t="str">
        <f aca="false">IF($B37="","",IFERROR(INDEX(이수현황!$B$6:$B$485,MATCH("R"&amp;32,미이수현황!$L$6:$L$485,0)),""))</f>
        <v/>
      </c>
      <c r="D37" s="20" t="str">
        <f aca="false">IF($B37="","",IFERROR(INDEX(이수현황!$C$6:$C$485,MATCH("R"&amp;32,미이수현황!$L$6:$L$485,0)),""))</f>
        <v/>
      </c>
      <c r="E37" s="20" t="str">
        <f aca="false">IF($B37="","",IFERROR(INDEX(이수현황!$E$6:$E$485,MATCH("R"&amp;32,미이수현황!$L$6:$L$485,0)),""))</f>
        <v/>
      </c>
      <c r="F37" s="23" t="str">
        <f aca="false">IF($B37="","",IFERROR(INDEX(이수현황!$G$6:$G$485,MATCH("R"&amp;32,미이수현황!$L$6:$L$485,0)),""))</f>
        <v/>
      </c>
      <c r="G37" s="23" t="str">
        <f aca="false">IF($B37="","",IFERROR(INDEX(이수현황!$H$6:$H$485,MATCH("R"&amp;32,미이수현황!$L$6:$L$485,0)),""))</f>
        <v/>
      </c>
      <c r="H37" s="21" t="str">
        <f aca="false">IF($B37="","",IFERROR(INDEX(이수현황!$I$6:$I$485,MATCH("R"&amp;32,미이수현황!$L$6:$L$485,0)),""))</f>
        <v/>
      </c>
      <c r="J37" s="24" t="b">
        <f aca="false">IF(이수현황!$A37="",FALSE(),OR(이수현황!$J37="기한초과",이수현황!$J37="임박"))</f>
        <v>0</v>
      </c>
      <c r="K37" s="6" t="str">
        <f aca="false">IF($J37=FALSE(),"",COUNTIF($J$6:$J37,TRUE()))</f>
        <v/>
      </c>
      <c r="L37" s="6" t="str">
        <f aca="false">IF($K37="","","R"&amp;$K37)</f>
        <v/>
      </c>
    </row>
    <row r="38" customFormat="false" ht="15" hidden="false" customHeight="true" outlineLevel="0" collapsed="false">
      <c r="A38" s="21" t="str">
        <f aca="false">IF($B38="","",33)</f>
        <v/>
      </c>
      <c r="B38" s="20" t="str">
        <f aca="false">IFERROR(INDEX(이수현황!$A$6:$A$485,MATCH("R"&amp;33,미이수현황!$L$6:$L$485,0)),"")</f>
        <v/>
      </c>
      <c r="C38" s="20" t="str">
        <f aca="false">IF($B38="","",IFERROR(INDEX(이수현황!$B$6:$B$485,MATCH("R"&amp;33,미이수현황!$L$6:$L$485,0)),""))</f>
        <v/>
      </c>
      <c r="D38" s="20" t="str">
        <f aca="false">IF($B38="","",IFERROR(INDEX(이수현황!$C$6:$C$485,MATCH("R"&amp;33,미이수현황!$L$6:$L$485,0)),""))</f>
        <v/>
      </c>
      <c r="E38" s="20" t="str">
        <f aca="false">IF($B38="","",IFERROR(INDEX(이수현황!$E$6:$E$485,MATCH("R"&amp;33,미이수현황!$L$6:$L$485,0)),""))</f>
        <v/>
      </c>
      <c r="F38" s="23" t="str">
        <f aca="false">IF($B38="","",IFERROR(INDEX(이수현황!$G$6:$G$485,MATCH("R"&amp;33,미이수현황!$L$6:$L$485,0)),""))</f>
        <v/>
      </c>
      <c r="G38" s="23" t="str">
        <f aca="false">IF($B38="","",IFERROR(INDEX(이수현황!$H$6:$H$485,MATCH("R"&amp;33,미이수현황!$L$6:$L$485,0)),""))</f>
        <v/>
      </c>
      <c r="H38" s="21" t="str">
        <f aca="false">IF($B38="","",IFERROR(INDEX(이수현황!$I$6:$I$485,MATCH("R"&amp;33,미이수현황!$L$6:$L$485,0)),""))</f>
        <v/>
      </c>
      <c r="J38" s="24" t="b">
        <f aca="false">IF(이수현황!$A38="",FALSE(),OR(이수현황!$J38="기한초과",이수현황!$J38="임박"))</f>
        <v>0</v>
      </c>
      <c r="K38" s="6" t="str">
        <f aca="false">IF($J38=FALSE(),"",COUNTIF($J$6:$J38,TRUE()))</f>
        <v/>
      </c>
      <c r="L38" s="6" t="str">
        <f aca="false">IF($K38="","","R"&amp;$K38)</f>
        <v/>
      </c>
    </row>
    <row r="39" customFormat="false" ht="15" hidden="false" customHeight="true" outlineLevel="0" collapsed="false">
      <c r="A39" s="21" t="str">
        <f aca="false">IF($B39="","",34)</f>
        <v/>
      </c>
      <c r="B39" s="20" t="str">
        <f aca="false">IFERROR(INDEX(이수현황!$A$6:$A$485,MATCH("R"&amp;34,미이수현황!$L$6:$L$485,0)),"")</f>
        <v/>
      </c>
      <c r="C39" s="20" t="str">
        <f aca="false">IF($B39="","",IFERROR(INDEX(이수현황!$B$6:$B$485,MATCH("R"&amp;34,미이수현황!$L$6:$L$485,0)),""))</f>
        <v/>
      </c>
      <c r="D39" s="20" t="str">
        <f aca="false">IF($B39="","",IFERROR(INDEX(이수현황!$C$6:$C$485,MATCH("R"&amp;34,미이수현황!$L$6:$L$485,0)),""))</f>
        <v/>
      </c>
      <c r="E39" s="20" t="str">
        <f aca="false">IF($B39="","",IFERROR(INDEX(이수현황!$E$6:$E$485,MATCH("R"&amp;34,미이수현황!$L$6:$L$485,0)),""))</f>
        <v/>
      </c>
      <c r="F39" s="23" t="str">
        <f aca="false">IF($B39="","",IFERROR(INDEX(이수현황!$G$6:$G$485,MATCH("R"&amp;34,미이수현황!$L$6:$L$485,0)),""))</f>
        <v/>
      </c>
      <c r="G39" s="23" t="str">
        <f aca="false">IF($B39="","",IFERROR(INDEX(이수현황!$H$6:$H$485,MATCH("R"&amp;34,미이수현황!$L$6:$L$485,0)),""))</f>
        <v/>
      </c>
      <c r="H39" s="21" t="str">
        <f aca="false">IF($B39="","",IFERROR(INDEX(이수현황!$I$6:$I$485,MATCH("R"&amp;34,미이수현황!$L$6:$L$485,0)),""))</f>
        <v/>
      </c>
      <c r="J39" s="24" t="b">
        <f aca="false">IF(이수현황!$A39="",FALSE(),OR(이수현황!$J39="기한초과",이수현황!$J39="임박"))</f>
        <v>0</v>
      </c>
      <c r="K39" s="6" t="str">
        <f aca="false">IF($J39=FALSE(),"",COUNTIF($J$6:$J39,TRUE()))</f>
        <v/>
      </c>
      <c r="L39" s="6" t="str">
        <f aca="false">IF($K39="","","R"&amp;$K39)</f>
        <v/>
      </c>
    </row>
    <row r="40" customFormat="false" ht="15" hidden="false" customHeight="true" outlineLevel="0" collapsed="false">
      <c r="A40" s="21" t="str">
        <f aca="false">IF($B40="","",35)</f>
        <v/>
      </c>
      <c r="B40" s="20" t="str">
        <f aca="false">IFERROR(INDEX(이수현황!$A$6:$A$485,MATCH("R"&amp;35,미이수현황!$L$6:$L$485,0)),"")</f>
        <v/>
      </c>
      <c r="C40" s="20" t="str">
        <f aca="false">IF($B40="","",IFERROR(INDEX(이수현황!$B$6:$B$485,MATCH("R"&amp;35,미이수현황!$L$6:$L$485,0)),""))</f>
        <v/>
      </c>
      <c r="D40" s="20" t="str">
        <f aca="false">IF($B40="","",IFERROR(INDEX(이수현황!$C$6:$C$485,MATCH("R"&amp;35,미이수현황!$L$6:$L$485,0)),""))</f>
        <v/>
      </c>
      <c r="E40" s="20" t="str">
        <f aca="false">IF($B40="","",IFERROR(INDEX(이수현황!$E$6:$E$485,MATCH("R"&amp;35,미이수현황!$L$6:$L$485,0)),""))</f>
        <v/>
      </c>
      <c r="F40" s="23" t="str">
        <f aca="false">IF($B40="","",IFERROR(INDEX(이수현황!$G$6:$G$485,MATCH("R"&amp;35,미이수현황!$L$6:$L$485,0)),""))</f>
        <v/>
      </c>
      <c r="G40" s="23" t="str">
        <f aca="false">IF($B40="","",IFERROR(INDEX(이수현황!$H$6:$H$485,MATCH("R"&amp;35,미이수현황!$L$6:$L$485,0)),""))</f>
        <v/>
      </c>
      <c r="H40" s="21" t="str">
        <f aca="false">IF($B40="","",IFERROR(INDEX(이수현황!$I$6:$I$485,MATCH("R"&amp;35,미이수현황!$L$6:$L$485,0)),""))</f>
        <v/>
      </c>
      <c r="J40" s="24" t="b">
        <f aca="false">IF(이수현황!$A40="",FALSE(),OR(이수현황!$J40="기한초과",이수현황!$J40="임박"))</f>
        <v>0</v>
      </c>
      <c r="K40" s="6" t="str">
        <f aca="false">IF($J40=FALSE(),"",COUNTIF($J$6:$J40,TRUE()))</f>
        <v/>
      </c>
      <c r="L40" s="6" t="str">
        <f aca="false">IF($K40="","","R"&amp;$K40)</f>
        <v/>
      </c>
    </row>
    <row r="41" customFormat="false" ht="15" hidden="false" customHeight="true" outlineLevel="0" collapsed="false">
      <c r="A41" s="21" t="str">
        <f aca="false">IF($B41="","",36)</f>
        <v/>
      </c>
      <c r="B41" s="20" t="str">
        <f aca="false">IFERROR(INDEX(이수현황!$A$6:$A$485,MATCH("R"&amp;36,미이수현황!$L$6:$L$485,0)),"")</f>
        <v/>
      </c>
      <c r="C41" s="20" t="str">
        <f aca="false">IF($B41="","",IFERROR(INDEX(이수현황!$B$6:$B$485,MATCH("R"&amp;36,미이수현황!$L$6:$L$485,0)),""))</f>
        <v/>
      </c>
      <c r="D41" s="20" t="str">
        <f aca="false">IF($B41="","",IFERROR(INDEX(이수현황!$C$6:$C$485,MATCH("R"&amp;36,미이수현황!$L$6:$L$485,0)),""))</f>
        <v/>
      </c>
      <c r="E41" s="20" t="str">
        <f aca="false">IF($B41="","",IFERROR(INDEX(이수현황!$E$6:$E$485,MATCH("R"&amp;36,미이수현황!$L$6:$L$485,0)),""))</f>
        <v/>
      </c>
      <c r="F41" s="23" t="str">
        <f aca="false">IF($B41="","",IFERROR(INDEX(이수현황!$G$6:$G$485,MATCH("R"&amp;36,미이수현황!$L$6:$L$485,0)),""))</f>
        <v/>
      </c>
      <c r="G41" s="23" t="str">
        <f aca="false">IF($B41="","",IFERROR(INDEX(이수현황!$H$6:$H$485,MATCH("R"&amp;36,미이수현황!$L$6:$L$485,0)),""))</f>
        <v/>
      </c>
      <c r="H41" s="21" t="str">
        <f aca="false">IF($B41="","",IFERROR(INDEX(이수현황!$I$6:$I$485,MATCH("R"&amp;36,미이수현황!$L$6:$L$485,0)),""))</f>
        <v/>
      </c>
      <c r="J41" s="24" t="b">
        <f aca="false">IF(이수현황!$A41="",FALSE(),OR(이수현황!$J41="기한초과",이수현황!$J41="임박"))</f>
        <v>0</v>
      </c>
      <c r="K41" s="6" t="str">
        <f aca="false">IF($J41=FALSE(),"",COUNTIF($J$6:$J41,TRUE()))</f>
        <v/>
      </c>
      <c r="L41" s="6" t="str">
        <f aca="false">IF($K41="","","R"&amp;$K41)</f>
        <v/>
      </c>
    </row>
    <row r="42" customFormat="false" ht="15" hidden="false" customHeight="true" outlineLevel="0" collapsed="false">
      <c r="A42" s="21" t="str">
        <f aca="false">IF($B42="","",37)</f>
        <v/>
      </c>
      <c r="B42" s="20" t="str">
        <f aca="false">IFERROR(INDEX(이수현황!$A$6:$A$485,MATCH("R"&amp;37,미이수현황!$L$6:$L$485,0)),"")</f>
        <v/>
      </c>
      <c r="C42" s="20" t="str">
        <f aca="false">IF($B42="","",IFERROR(INDEX(이수현황!$B$6:$B$485,MATCH("R"&amp;37,미이수현황!$L$6:$L$485,0)),""))</f>
        <v/>
      </c>
      <c r="D42" s="20" t="str">
        <f aca="false">IF($B42="","",IFERROR(INDEX(이수현황!$C$6:$C$485,MATCH("R"&amp;37,미이수현황!$L$6:$L$485,0)),""))</f>
        <v/>
      </c>
      <c r="E42" s="20" t="str">
        <f aca="false">IF($B42="","",IFERROR(INDEX(이수현황!$E$6:$E$485,MATCH("R"&amp;37,미이수현황!$L$6:$L$485,0)),""))</f>
        <v/>
      </c>
      <c r="F42" s="23" t="str">
        <f aca="false">IF($B42="","",IFERROR(INDEX(이수현황!$G$6:$G$485,MATCH("R"&amp;37,미이수현황!$L$6:$L$485,0)),""))</f>
        <v/>
      </c>
      <c r="G42" s="23" t="str">
        <f aca="false">IF($B42="","",IFERROR(INDEX(이수현황!$H$6:$H$485,MATCH("R"&amp;37,미이수현황!$L$6:$L$485,0)),""))</f>
        <v/>
      </c>
      <c r="H42" s="21" t="str">
        <f aca="false">IF($B42="","",IFERROR(INDEX(이수현황!$I$6:$I$485,MATCH("R"&amp;37,미이수현황!$L$6:$L$485,0)),""))</f>
        <v/>
      </c>
      <c r="J42" s="24" t="b">
        <f aca="false">IF(이수현황!$A42="",FALSE(),OR(이수현황!$J42="기한초과",이수현황!$J42="임박"))</f>
        <v>0</v>
      </c>
      <c r="K42" s="6" t="str">
        <f aca="false">IF($J42=FALSE(),"",COUNTIF($J$6:$J42,TRUE()))</f>
        <v/>
      </c>
      <c r="L42" s="6" t="str">
        <f aca="false">IF($K42="","","R"&amp;$K42)</f>
        <v/>
      </c>
    </row>
    <row r="43" customFormat="false" ht="15" hidden="false" customHeight="true" outlineLevel="0" collapsed="false">
      <c r="A43" s="21" t="str">
        <f aca="false">IF($B43="","",38)</f>
        <v/>
      </c>
      <c r="B43" s="20" t="str">
        <f aca="false">IFERROR(INDEX(이수현황!$A$6:$A$485,MATCH("R"&amp;38,미이수현황!$L$6:$L$485,0)),"")</f>
        <v/>
      </c>
      <c r="C43" s="20" t="str">
        <f aca="false">IF($B43="","",IFERROR(INDEX(이수현황!$B$6:$B$485,MATCH("R"&amp;38,미이수현황!$L$6:$L$485,0)),""))</f>
        <v/>
      </c>
      <c r="D43" s="20" t="str">
        <f aca="false">IF($B43="","",IFERROR(INDEX(이수현황!$C$6:$C$485,MATCH("R"&amp;38,미이수현황!$L$6:$L$485,0)),""))</f>
        <v/>
      </c>
      <c r="E43" s="20" t="str">
        <f aca="false">IF($B43="","",IFERROR(INDEX(이수현황!$E$6:$E$485,MATCH("R"&amp;38,미이수현황!$L$6:$L$485,0)),""))</f>
        <v/>
      </c>
      <c r="F43" s="23" t="str">
        <f aca="false">IF($B43="","",IFERROR(INDEX(이수현황!$G$6:$G$485,MATCH("R"&amp;38,미이수현황!$L$6:$L$485,0)),""))</f>
        <v/>
      </c>
      <c r="G43" s="23" t="str">
        <f aca="false">IF($B43="","",IFERROR(INDEX(이수현황!$H$6:$H$485,MATCH("R"&amp;38,미이수현황!$L$6:$L$485,0)),""))</f>
        <v/>
      </c>
      <c r="H43" s="21" t="str">
        <f aca="false">IF($B43="","",IFERROR(INDEX(이수현황!$I$6:$I$485,MATCH("R"&amp;38,미이수현황!$L$6:$L$485,0)),""))</f>
        <v/>
      </c>
      <c r="J43" s="24" t="b">
        <f aca="false">IF(이수현황!$A43="",FALSE(),OR(이수현황!$J43="기한초과",이수현황!$J43="임박"))</f>
        <v>0</v>
      </c>
      <c r="K43" s="6" t="str">
        <f aca="false">IF($J43=FALSE(),"",COUNTIF($J$6:$J43,TRUE()))</f>
        <v/>
      </c>
      <c r="L43" s="6" t="str">
        <f aca="false">IF($K43="","","R"&amp;$K43)</f>
        <v/>
      </c>
    </row>
    <row r="44" customFormat="false" ht="15" hidden="false" customHeight="true" outlineLevel="0" collapsed="false">
      <c r="A44" s="21" t="str">
        <f aca="false">IF($B44="","",39)</f>
        <v/>
      </c>
      <c r="B44" s="20" t="str">
        <f aca="false">IFERROR(INDEX(이수현황!$A$6:$A$485,MATCH("R"&amp;39,미이수현황!$L$6:$L$485,0)),"")</f>
        <v/>
      </c>
      <c r="C44" s="20" t="str">
        <f aca="false">IF($B44="","",IFERROR(INDEX(이수현황!$B$6:$B$485,MATCH("R"&amp;39,미이수현황!$L$6:$L$485,0)),""))</f>
        <v/>
      </c>
      <c r="D44" s="20" t="str">
        <f aca="false">IF($B44="","",IFERROR(INDEX(이수현황!$C$6:$C$485,MATCH("R"&amp;39,미이수현황!$L$6:$L$485,0)),""))</f>
        <v/>
      </c>
      <c r="E44" s="20" t="str">
        <f aca="false">IF($B44="","",IFERROR(INDEX(이수현황!$E$6:$E$485,MATCH("R"&amp;39,미이수현황!$L$6:$L$485,0)),""))</f>
        <v/>
      </c>
      <c r="F44" s="23" t="str">
        <f aca="false">IF($B44="","",IFERROR(INDEX(이수현황!$G$6:$G$485,MATCH("R"&amp;39,미이수현황!$L$6:$L$485,0)),""))</f>
        <v/>
      </c>
      <c r="G44" s="23" t="str">
        <f aca="false">IF($B44="","",IFERROR(INDEX(이수현황!$H$6:$H$485,MATCH("R"&amp;39,미이수현황!$L$6:$L$485,0)),""))</f>
        <v/>
      </c>
      <c r="H44" s="21" t="str">
        <f aca="false">IF($B44="","",IFERROR(INDEX(이수현황!$I$6:$I$485,MATCH("R"&amp;39,미이수현황!$L$6:$L$485,0)),""))</f>
        <v/>
      </c>
      <c r="J44" s="24" t="b">
        <f aca="false">IF(이수현황!$A44="",FALSE(),OR(이수현황!$J44="기한초과",이수현황!$J44="임박"))</f>
        <v>0</v>
      </c>
      <c r="K44" s="6" t="str">
        <f aca="false">IF($J44=FALSE(),"",COUNTIF($J$6:$J44,TRUE()))</f>
        <v/>
      </c>
      <c r="L44" s="6" t="str">
        <f aca="false">IF($K44="","","R"&amp;$K44)</f>
        <v/>
      </c>
    </row>
    <row r="45" customFormat="false" ht="15" hidden="false" customHeight="true" outlineLevel="0" collapsed="false">
      <c r="A45" s="21" t="str">
        <f aca="false">IF($B45="","",40)</f>
        <v/>
      </c>
      <c r="B45" s="20" t="str">
        <f aca="false">IFERROR(INDEX(이수현황!$A$6:$A$485,MATCH("R"&amp;40,미이수현황!$L$6:$L$485,0)),"")</f>
        <v/>
      </c>
      <c r="C45" s="20" t="str">
        <f aca="false">IF($B45="","",IFERROR(INDEX(이수현황!$B$6:$B$485,MATCH("R"&amp;40,미이수현황!$L$6:$L$485,0)),""))</f>
        <v/>
      </c>
      <c r="D45" s="20" t="str">
        <f aca="false">IF($B45="","",IFERROR(INDEX(이수현황!$C$6:$C$485,MATCH("R"&amp;40,미이수현황!$L$6:$L$485,0)),""))</f>
        <v/>
      </c>
      <c r="E45" s="20" t="str">
        <f aca="false">IF($B45="","",IFERROR(INDEX(이수현황!$E$6:$E$485,MATCH("R"&amp;40,미이수현황!$L$6:$L$485,0)),""))</f>
        <v/>
      </c>
      <c r="F45" s="23" t="str">
        <f aca="false">IF($B45="","",IFERROR(INDEX(이수현황!$G$6:$G$485,MATCH("R"&amp;40,미이수현황!$L$6:$L$485,0)),""))</f>
        <v/>
      </c>
      <c r="G45" s="23" t="str">
        <f aca="false">IF($B45="","",IFERROR(INDEX(이수현황!$H$6:$H$485,MATCH("R"&amp;40,미이수현황!$L$6:$L$485,0)),""))</f>
        <v/>
      </c>
      <c r="H45" s="21" t="str">
        <f aca="false">IF($B45="","",IFERROR(INDEX(이수현황!$I$6:$I$485,MATCH("R"&amp;40,미이수현황!$L$6:$L$485,0)),""))</f>
        <v/>
      </c>
      <c r="J45" s="24" t="b">
        <f aca="false">IF(이수현황!$A45="",FALSE(),OR(이수현황!$J45="기한초과",이수현황!$J45="임박"))</f>
        <v>0</v>
      </c>
      <c r="K45" s="6" t="str">
        <f aca="false">IF($J45=FALSE(),"",COUNTIF($J$6:$J45,TRUE()))</f>
        <v/>
      </c>
      <c r="L45" s="6" t="str">
        <f aca="false">IF($K45="","","R"&amp;$K45)</f>
        <v/>
      </c>
    </row>
    <row r="46" customFormat="false" ht="15" hidden="false" customHeight="true" outlineLevel="0" collapsed="false">
      <c r="A46" s="21" t="str">
        <f aca="false">IF($B46="","",41)</f>
        <v/>
      </c>
      <c r="B46" s="20" t="str">
        <f aca="false">IFERROR(INDEX(이수현황!$A$6:$A$485,MATCH("R"&amp;41,미이수현황!$L$6:$L$485,0)),"")</f>
        <v/>
      </c>
      <c r="C46" s="20" t="str">
        <f aca="false">IF($B46="","",IFERROR(INDEX(이수현황!$B$6:$B$485,MATCH("R"&amp;41,미이수현황!$L$6:$L$485,0)),""))</f>
        <v/>
      </c>
      <c r="D46" s="20" t="str">
        <f aca="false">IF($B46="","",IFERROR(INDEX(이수현황!$C$6:$C$485,MATCH("R"&amp;41,미이수현황!$L$6:$L$485,0)),""))</f>
        <v/>
      </c>
      <c r="E46" s="20" t="str">
        <f aca="false">IF($B46="","",IFERROR(INDEX(이수현황!$E$6:$E$485,MATCH("R"&amp;41,미이수현황!$L$6:$L$485,0)),""))</f>
        <v/>
      </c>
      <c r="F46" s="23" t="str">
        <f aca="false">IF($B46="","",IFERROR(INDEX(이수현황!$G$6:$G$485,MATCH("R"&amp;41,미이수현황!$L$6:$L$485,0)),""))</f>
        <v/>
      </c>
      <c r="G46" s="23" t="str">
        <f aca="false">IF($B46="","",IFERROR(INDEX(이수현황!$H$6:$H$485,MATCH("R"&amp;41,미이수현황!$L$6:$L$485,0)),""))</f>
        <v/>
      </c>
      <c r="H46" s="21" t="str">
        <f aca="false">IF($B46="","",IFERROR(INDEX(이수현황!$I$6:$I$485,MATCH("R"&amp;41,미이수현황!$L$6:$L$485,0)),""))</f>
        <v/>
      </c>
      <c r="J46" s="24" t="b">
        <f aca="false">IF(이수현황!$A46="",FALSE(),OR(이수현황!$J46="기한초과",이수현황!$J46="임박"))</f>
        <v>0</v>
      </c>
      <c r="K46" s="6" t="str">
        <f aca="false">IF($J46=FALSE(),"",COUNTIF($J$6:$J46,TRUE()))</f>
        <v/>
      </c>
      <c r="L46" s="6" t="str">
        <f aca="false">IF($K46="","","R"&amp;$K46)</f>
        <v/>
      </c>
    </row>
    <row r="47" customFormat="false" ht="15" hidden="false" customHeight="true" outlineLevel="0" collapsed="false">
      <c r="A47" s="21" t="str">
        <f aca="false">IF($B47="","",42)</f>
        <v/>
      </c>
      <c r="B47" s="20" t="str">
        <f aca="false">IFERROR(INDEX(이수현황!$A$6:$A$485,MATCH("R"&amp;42,미이수현황!$L$6:$L$485,0)),"")</f>
        <v/>
      </c>
      <c r="C47" s="20" t="str">
        <f aca="false">IF($B47="","",IFERROR(INDEX(이수현황!$B$6:$B$485,MATCH("R"&amp;42,미이수현황!$L$6:$L$485,0)),""))</f>
        <v/>
      </c>
      <c r="D47" s="20" t="str">
        <f aca="false">IF($B47="","",IFERROR(INDEX(이수현황!$C$6:$C$485,MATCH("R"&amp;42,미이수현황!$L$6:$L$485,0)),""))</f>
        <v/>
      </c>
      <c r="E47" s="20" t="str">
        <f aca="false">IF($B47="","",IFERROR(INDEX(이수현황!$E$6:$E$485,MATCH("R"&amp;42,미이수현황!$L$6:$L$485,0)),""))</f>
        <v/>
      </c>
      <c r="F47" s="23" t="str">
        <f aca="false">IF($B47="","",IFERROR(INDEX(이수현황!$G$6:$G$485,MATCH("R"&amp;42,미이수현황!$L$6:$L$485,0)),""))</f>
        <v/>
      </c>
      <c r="G47" s="23" t="str">
        <f aca="false">IF($B47="","",IFERROR(INDEX(이수현황!$H$6:$H$485,MATCH("R"&amp;42,미이수현황!$L$6:$L$485,0)),""))</f>
        <v/>
      </c>
      <c r="H47" s="21" t="str">
        <f aca="false">IF($B47="","",IFERROR(INDEX(이수현황!$I$6:$I$485,MATCH("R"&amp;42,미이수현황!$L$6:$L$485,0)),""))</f>
        <v/>
      </c>
      <c r="J47" s="24" t="b">
        <f aca="false">IF(이수현황!$A47="",FALSE(),OR(이수현황!$J47="기한초과",이수현황!$J47="임박"))</f>
        <v>0</v>
      </c>
      <c r="K47" s="6" t="str">
        <f aca="false">IF($J47=FALSE(),"",COUNTIF($J$6:$J47,TRUE()))</f>
        <v/>
      </c>
      <c r="L47" s="6" t="str">
        <f aca="false">IF($K47="","","R"&amp;$K47)</f>
        <v/>
      </c>
    </row>
    <row r="48" customFormat="false" ht="15" hidden="false" customHeight="true" outlineLevel="0" collapsed="false">
      <c r="A48" s="21" t="str">
        <f aca="false">IF($B48="","",43)</f>
        <v/>
      </c>
      <c r="B48" s="20" t="str">
        <f aca="false">IFERROR(INDEX(이수현황!$A$6:$A$485,MATCH("R"&amp;43,미이수현황!$L$6:$L$485,0)),"")</f>
        <v/>
      </c>
      <c r="C48" s="20" t="str">
        <f aca="false">IF($B48="","",IFERROR(INDEX(이수현황!$B$6:$B$485,MATCH("R"&amp;43,미이수현황!$L$6:$L$485,0)),""))</f>
        <v/>
      </c>
      <c r="D48" s="20" t="str">
        <f aca="false">IF($B48="","",IFERROR(INDEX(이수현황!$C$6:$C$485,MATCH("R"&amp;43,미이수현황!$L$6:$L$485,0)),""))</f>
        <v/>
      </c>
      <c r="E48" s="20" t="str">
        <f aca="false">IF($B48="","",IFERROR(INDEX(이수현황!$E$6:$E$485,MATCH("R"&amp;43,미이수현황!$L$6:$L$485,0)),""))</f>
        <v/>
      </c>
      <c r="F48" s="23" t="str">
        <f aca="false">IF($B48="","",IFERROR(INDEX(이수현황!$G$6:$G$485,MATCH("R"&amp;43,미이수현황!$L$6:$L$485,0)),""))</f>
        <v/>
      </c>
      <c r="G48" s="23" t="str">
        <f aca="false">IF($B48="","",IFERROR(INDEX(이수현황!$H$6:$H$485,MATCH("R"&amp;43,미이수현황!$L$6:$L$485,0)),""))</f>
        <v/>
      </c>
      <c r="H48" s="21" t="str">
        <f aca="false">IF($B48="","",IFERROR(INDEX(이수현황!$I$6:$I$485,MATCH("R"&amp;43,미이수현황!$L$6:$L$485,0)),""))</f>
        <v/>
      </c>
      <c r="J48" s="24" t="b">
        <f aca="false">IF(이수현황!$A48="",FALSE(),OR(이수현황!$J48="기한초과",이수현황!$J48="임박"))</f>
        <v>0</v>
      </c>
      <c r="K48" s="6" t="str">
        <f aca="false">IF($J48=FALSE(),"",COUNTIF($J$6:$J48,TRUE()))</f>
        <v/>
      </c>
      <c r="L48" s="6" t="str">
        <f aca="false">IF($K48="","","R"&amp;$K48)</f>
        <v/>
      </c>
    </row>
    <row r="49" customFormat="false" ht="15" hidden="false" customHeight="true" outlineLevel="0" collapsed="false">
      <c r="A49" s="21" t="str">
        <f aca="false">IF($B49="","",44)</f>
        <v/>
      </c>
      <c r="B49" s="20" t="str">
        <f aca="false">IFERROR(INDEX(이수현황!$A$6:$A$485,MATCH("R"&amp;44,미이수현황!$L$6:$L$485,0)),"")</f>
        <v/>
      </c>
      <c r="C49" s="20" t="str">
        <f aca="false">IF($B49="","",IFERROR(INDEX(이수현황!$B$6:$B$485,MATCH("R"&amp;44,미이수현황!$L$6:$L$485,0)),""))</f>
        <v/>
      </c>
      <c r="D49" s="20" t="str">
        <f aca="false">IF($B49="","",IFERROR(INDEX(이수현황!$C$6:$C$485,MATCH("R"&amp;44,미이수현황!$L$6:$L$485,0)),""))</f>
        <v/>
      </c>
      <c r="E49" s="20" t="str">
        <f aca="false">IF($B49="","",IFERROR(INDEX(이수현황!$E$6:$E$485,MATCH("R"&amp;44,미이수현황!$L$6:$L$485,0)),""))</f>
        <v/>
      </c>
      <c r="F49" s="23" t="str">
        <f aca="false">IF($B49="","",IFERROR(INDEX(이수현황!$G$6:$G$485,MATCH("R"&amp;44,미이수현황!$L$6:$L$485,0)),""))</f>
        <v/>
      </c>
      <c r="G49" s="23" t="str">
        <f aca="false">IF($B49="","",IFERROR(INDEX(이수현황!$H$6:$H$485,MATCH("R"&amp;44,미이수현황!$L$6:$L$485,0)),""))</f>
        <v/>
      </c>
      <c r="H49" s="21" t="str">
        <f aca="false">IF($B49="","",IFERROR(INDEX(이수현황!$I$6:$I$485,MATCH("R"&amp;44,미이수현황!$L$6:$L$485,0)),""))</f>
        <v/>
      </c>
      <c r="J49" s="24" t="b">
        <f aca="false">IF(이수현황!$A49="",FALSE(),OR(이수현황!$J49="기한초과",이수현황!$J49="임박"))</f>
        <v>0</v>
      </c>
      <c r="K49" s="6" t="str">
        <f aca="false">IF($J49=FALSE(),"",COUNTIF($J$6:$J49,TRUE()))</f>
        <v/>
      </c>
      <c r="L49" s="6" t="str">
        <f aca="false">IF($K49="","","R"&amp;$K49)</f>
        <v/>
      </c>
    </row>
    <row r="50" customFormat="false" ht="15" hidden="false" customHeight="true" outlineLevel="0" collapsed="false">
      <c r="A50" s="21" t="str">
        <f aca="false">IF($B50="","",45)</f>
        <v/>
      </c>
      <c r="B50" s="20" t="str">
        <f aca="false">IFERROR(INDEX(이수현황!$A$6:$A$485,MATCH("R"&amp;45,미이수현황!$L$6:$L$485,0)),"")</f>
        <v/>
      </c>
      <c r="C50" s="20" t="str">
        <f aca="false">IF($B50="","",IFERROR(INDEX(이수현황!$B$6:$B$485,MATCH("R"&amp;45,미이수현황!$L$6:$L$485,0)),""))</f>
        <v/>
      </c>
      <c r="D50" s="20" t="str">
        <f aca="false">IF($B50="","",IFERROR(INDEX(이수현황!$C$6:$C$485,MATCH("R"&amp;45,미이수현황!$L$6:$L$485,0)),""))</f>
        <v/>
      </c>
      <c r="E50" s="20" t="str">
        <f aca="false">IF($B50="","",IFERROR(INDEX(이수현황!$E$6:$E$485,MATCH("R"&amp;45,미이수현황!$L$6:$L$485,0)),""))</f>
        <v/>
      </c>
      <c r="F50" s="23" t="str">
        <f aca="false">IF($B50="","",IFERROR(INDEX(이수현황!$G$6:$G$485,MATCH("R"&amp;45,미이수현황!$L$6:$L$485,0)),""))</f>
        <v/>
      </c>
      <c r="G50" s="23" t="str">
        <f aca="false">IF($B50="","",IFERROR(INDEX(이수현황!$H$6:$H$485,MATCH("R"&amp;45,미이수현황!$L$6:$L$485,0)),""))</f>
        <v/>
      </c>
      <c r="H50" s="21" t="str">
        <f aca="false">IF($B50="","",IFERROR(INDEX(이수현황!$I$6:$I$485,MATCH("R"&amp;45,미이수현황!$L$6:$L$485,0)),""))</f>
        <v/>
      </c>
      <c r="J50" s="24" t="b">
        <f aca="false">IF(이수현황!$A50="",FALSE(),OR(이수현황!$J50="기한초과",이수현황!$J50="임박"))</f>
        <v>0</v>
      </c>
      <c r="K50" s="6" t="str">
        <f aca="false">IF($J50=FALSE(),"",COUNTIF($J$6:$J50,TRUE()))</f>
        <v/>
      </c>
      <c r="L50" s="6" t="str">
        <f aca="false">IF($K50="","","R"&amp;$K50)</f>
        <v/>
      </c>
    </row>
    <row r="51" customFormat="false" ht="15" hidden="false" customHeight="true" outlineLevel="0" collapsed="false">
      <c r="A51" s="21" t="str">
        <f aca="false">IF($B51="","",46)</f>
        <v/>
      </c>
      <c r="B51" s="20" t="str">
        <f aca="false">IFERROR(INDEX(이수현황!$A$6:$A$485,MATCH("R"&amp;46,미이수현황!$L$6:$L$485,0)),"")</f>
        <v/>
      </c>
      <c r="C51" s="20" t="str">
        <f aca="false">IF($B51="","",IFERROR(INDEX(이수현황!$B$6:$B$485,MATCH("R"&amp;46,미이수현황!$L$6:$L$485,0)),""))</f>
        <v/>
      </c>
      <c r="D51" s="20" t="str">
        <f aca="false">IF($B51="","",IFERROR(INDEX(이수현황!$C$6:$C$485,MATCH("R"&amp;46,미이수현황!$L$6:$L$485,0)),""))</f>
        <v/>
      </c>
      <c r="E51" s="20" t="str">
        <f aca="false">IF($B51="","",IFERROR(INDEX(이수현황!$E$6:$E$485,MATCH("R"&amp;46,미이수현황!$L$6:$L$485,0)),""))</f>
        <v/>
      </c>
      <c r="F51" s="23" t="str">
        <f aca="false">IF($B51="","",IFERROR(INDEX(이수현황!$G$6:$G$485,MATCH("R"&amp;46,미이수현황!$L$6:$L$485,0)),""))</f>
        <v/>
      </c>
      <c r="G51" s="23" t="str">
        <f aca="false">IF($B51="","",IFERROR(INDEX(이수현황!$H$6:$H$485,MATCH("R"&amp;46,미이수현황!$L$6:$L$485,0)),""))</f>
        <v/>
      </c>
      <c r="H51" s="21" t="str">
        <f aca="false">IF($B51="","",IFERROR(INDEX(이수현황!$I$6:$I$485,MATCH("R"&amp;46,미이수현황!$L$6:$L$485,0)),""))</f>
        <v/>
      </c>
      <c r="J51" s="24" t="b">
        <f aca="false">IF(이수현황!$A51="",FALSE(),OR(이수현황!$J51="기한초과",이수현황!$J51="임박"))</f>
        <v>0</v>
      </c>
      <c r="K51" s="6" t="str">
        <f aca="false">IF($J51=FALSE(),"",COUNTIF($J$6:$J51,TRUE()))</f>
        <v/>
      </c>
      <c r="L51" s="6" t="str">
        <f aca="false">IF($K51="","","R"&amp;$K51)</f>
        <v/>
      </c>
    </row>
    <row r="52" customFormat="false" ht="15" hidden="false" customHeight="true" outlineLevel="0" collapsed="false">
      <c r="A52" s="21" t="str">
        <f aca="false">IF($B52="","",47)</f>
        <v/>
      </c>
      <c r="B52" s="20" t="str">
        <f aca="false">IFERROR(INDEX(이수현황!$A$6:$A$485,MATCH("R"&amp;47,미이수현황!$L$6:$L$485,0)),"")</f>
        <v/>
      </c>
      <c r="C52" s="20" t="str">
        <f aca="false">IF($B52="","",IFERROR(INDEX(이수현황!$B$6:$B$485,MATCH("R"&amp;47,미이수현황!$L$6:$L$485,0)),""))</f>
        <v/>
      </c>
      <c r="D52" s="20" t="str">
        <f aca="false">IF($B52="","",IFERROR(INDEX(이수현황!$C$6:$C$485,MATCH("R"&amp;47,미이수현황!$L$6:$L$485,0)),""))</f>
        <v/>
      </c>
      <c r="E52" s="20" t="str">
        <f aca="false">IF($B52="","",IFERROR(INDEX(이수현황!$E$6:$E$485,MATCH("R"&amp;47,미이수현황!$L$6:$L$485,0)),""))</f>
        <v/>
      </c>
      <c r="F52" s="23" t="str">
        <f aca="false">IF($B52="","",IFERROR(INDEX(이수현황!$G$6:$G$485,MATCH("R"&amp;47,미이수현황!$L$6:$L$485,0)),""))</f>
        <v/>
      </c>
      <c r="G52" s="23" t="str">
        <f aca="false">IF($B52="","",IFERROR(INDEX(이수현황!$H$6:$H$485,MATCH("R"&amp;47,미이수현황!$L$6:$L$485,0)),""))</f>
        <v/>
      </c>
      <c r="H52" s="21" t="str">
        <f aca="false">IF($B52="","",IFERROR(INDEX(이수현황!$I$6:$I$485,MATCH("R"&amp;47,미이수현황!$L$6:$L$485,0)),""))</f>
        <v/>
      </c>
      <c r="J52" s="24" t="b">
        <f aca="false">IF(이수현황!$A52="",FALSE(),OR(이수현황!$J52="기한초과",이수현황!$J52="임박"))</f>
        <v>0</v>
      </c>
      <c r="K52" s="6" t="str">
        <f aca="false">IF($J52=FALSE(),"",COUNTIF($J$6:$J52,TRUE()))</f>
        <v/>
      </c>
      <c r="L52" s="6" t="str">
        <f aca="false">IF($K52="","","R"&amp;$K52)</f>
        <v/>
      </c>
    </row>
    <row r="53" customFormat="false" ht="15" hidden="false" customHeight="true" outlineLevel="0" collapsed="false">
      <c r="A53" s="21" t="str">
        <f aca="false">IF($B53="","",48)</f>
        <v/>
      </c>
      <c r="B53" s="20" t="str">
        <f aca="false">IFERROR(INDEX(이수현황!$A$6:$A$485,MATCH("R"&amp;48,미이수현황!$L$6:$L$485,0)),"")</f>
        <v/>
      </c>
      <c r="C53" s="20" t="str">
        <f aca="false">IF($B53="","",IFERROR(INDEX(이수현황!$B$6:$B$485,MATCH("R"&amp;48,미이수현황!$L$6:$L$485,0)),""))</f>
        <v/>
      </c>
      <c r="D53" s="20" t="str">
        <f aca="false">IF($B53="","",IFERROR(INDEX(이수현황!$C$6:$C$485,MATCH("R"&amp;48,미이수현황!$L$6:$L$485,0)),""))</f>
        <v/>
      </c>
      <c r="E53" s="20" t="str">
        <f aca="false">IF($B53="","",IFERROR(INDEX(이수현황!$E$6:$E$485,MATCH("R"&amp;48,미이수현황!$L$6:$L$485,0)),""))</f>
        <v/>
      </c>
      <c r="F53" s="23" t="str">
        <f aca="false">IF($B53="","",IFERROR(INDEX(이수현황!$G$6:$G$485,MATCH("R"&amp;48,미이수현황!$L$6:$L$485,0)),""))</f>
        <v/>
      </c>
      <c r="G53" s="23" t="str">
        <f aca="false">IF($B53="","",IFERROR(INDEX(이수현황!$H$6:$H$485,MATCH("R"&amp;48,미이수현황!$L$6:$L$485,0)),""))</f>
        <v/>
      </c>
      <c r="H53" s="21" t="str">
        <f aca="false">IF($B53="","",IFERROR(INDEX(이수현황!$I$6:$I$485,MATCH("R"&amp;48,미이수현황!$L$6:$L$485,0)),""))</f>
        <v/>
      </c>
      <c r="J53" s="24" t="b">
        <f aca="false">IF(이수현황!$A53="",FALSE(),OR(이수현황!$J53="기한초과",이수현황!$J53="임박"))</f>
        <v>0</v>
      </c>
      <c r="K53" s="6" t="str">
        <f aca="false">IF($J53=FALSE(),"",COUNTIF($J$6:$J53,TRUE()))</f>
        <v/>
      </c>
      <c r="L53" s="6" t="str">
        <f aca="false">IF($K53="","","R"&amp;$K53)</f>
        <v/>
      </c>
    </row>
    <row r="54" customFormat="false" ht="15" hidden="false" customHeight="true" outlineLevel="0" collapsed="false">
      <c r="A54" s="21" t="str">
        <f aca="false">IF($B54="","",49)</f>
        <v/>
      </c>
      <c r="B54" s="20" t="str">
        <f aca="false">IFERROR(INDEX(이수현황!$A$6:$A$485,MATCH("R"&amp;49,미이수현황!$L$6:$L$485,0)),"")</f>
        <v/>
      </c>
      <c r="C54" s="20" t="str">
        <f aca="false">IF($B54="","",IFERROR(INDEX(이수현황!$B$6:$B$485,MATCH("R"&amp;49,미이수현황!$L$6:$L$485,0)),""))</f>
        <v/>
      </c>
      <c r="D54" s="20" t="str">
        <f aca="false">IF($B54="","",IFERROR(INDEX(이수현황!$C$6:$C$485,MATCH("R"&amp;49,미이수현황!$L$6:$L$485,0)),""))</f>
        <v/>
      </c>
      <c r="E54" s="20" t="str">
        <f aca="false">IF($B54="","",IFERROR(INDEX(이수현황!$E$6:$E$485,MATCH("R"&amp;49,미이수현황!$L$6:$L$485,0)),""))</f>
        <v/>
      </c>
      <c r="F54" s="23" t="str">
        <f aca="false">IF($B54="","",IFERROR(INDEX(이수현황!$G$6:$G$485,MATCH("R"&amp;49,미이수현황!$L$6:$L$485,0)),""))</f>
        <v/>
      </c>
      <c r="G54" s="23" t="str">
        <f aca="false">IF($B54="","",IFERROR(INDEX(이수현황!$H$6:$H$485,MATCH("R"&amp;49,미이수현황!$L$6:$L$485,0)),""))</f>
        <v/>
      </c>
      <c r="H54" s="21" t="str">
        <f aca="false">IF($B54="","",IFERROR(INDEX(이수현황!$I$6:$I$485,MATCH("R"&amp;49,미이수현황!$L$6:$L$485,0)),""))</f>
        <v/>
      </c>
      <c r="J54" s="24" t="b">
        <f aca="false">IF(이수현황!$A54="",FALSE(),OR(이수현황!$J54="기한초과",이수현황!$J54="임박"))</f>
        <v>0</v>
      </c>
      <c r="K54" s="6" t="str">
        <f aca="false">IF($J54=FALSE(),"",COUNTIF($J$6:$J54,TRUE()))</f>
        <v/>
      </c>
      <c r="L54" s="6" t="str">
        <f aca="false">IF($K54="","","R"&amp;$K54)</f>
        <v/>
      </c>
    </row>
    <row r="55" customFormat="false" ht="15" hidden="false" customHeight="true" outlineLevel="0" collapsed="false">
      <c r="A55" s="21" t="str">
        <f aca="false">IF($B55="","",50)</f>
        <v/>
      </c>
      <c r="B55" s="20" t="str">
        <f aca="false">IFERROR(INDEX(이수현황!$A$6:$A$485,MATCH("R"&amp;50,미이수현황!$L$6:$L$485,0)),"")</f>
        <v/>
      </c>
      <c r="C55" s="20" t="str">
        <f aca="false">IF($B55="","",IFERROR(INDEX(이수현황!$B$6:$B$485,MATCH("R"&amp;50,미이수현황!$L$6:$L$485,0)),""))</f>
        <v/>
      </c>
      <c r="D55" s="20" t="str">
        <f aca="false">IF($B55="","",IFERROR(INDEX(이수현황!$C$6:$C$485,MATCH("R"&amp;50,미이수현황!$L$6:$L$485,0)),""))</f>
        <v/>
      </c>
      <c r="E55" s="20" t="str">
        <f aca="false">IF($B55="","",IFERROR(INDEX(이수현황!$E$6:$E$485,MATCH("R"&amp;50,미이수현황!$L$6:$L$485,0)),""))</f>
        <v/>
      </c>
      <c r="F55" s="23" t="str">
        <f aca="false">IF($B55="","",IFERROR(INDEX(이수현황!$G$6:$G$485,MATCH("R"&amp;50,미이수현황!$L$6:$L$485,0)),""))</f>
        <v/>
      </c>
      <c r="G55" s="23" t="str">
        <f aca="false">IF($B55="","",IFERROR(INDEX(이수현황!$H$6:$H$485,MATCH("R"&amp;50,미이수현황!$L$6:$L$485,0)),""))</f>
        <v/>
      </c>
      <c r="H55" s="21" t="str">
        <f aca="false">IF($B55="","",IFERROR(INDEX(이수현황!$I$6:$I$485,MATCH("R"&amp;50,미이수현황!$L$6:$L$485,0)),""))</f>
        <v/>
      </c>
      <c r="J55" s="24" t="b">
        <f aca="false">IF(이수현황!$A55="",FALSE(),OR(이수현황!$J55="기한초과",이수현황!$J55="임박"))</f>
        <v>0</v>
      </c>
      <c r="K55" s="6" t="str">
        <f aca="false">IF($J55=FALSE(),"",COUNTIF($J$6:$J55,TRUE()))</f>
        <v/>
      </c>
      <c r="L55" s="6" t="str">
        <f aca="false">IF($K55="","","R"&amp;$K55)</f>
        <v/>
      </c>
    </row>
    <row r="56" customFormat="false" ht="15" hidden="false" customHeight="true" outlineLevel="0" collapsed="false">
      <c r="A56" s="21" t="str">
        <f aca="false">IF($B56="","",51)</f>
        <v/>
      </c>
      <c r="B56" s="20" t="str">
        <f aca="false">IFERROR(INDEX(이수현황!$A$6:$A$485,MATCH("R"&amp;51,미이수현황!$L$6:$L$485,0)),"")</f>
        <v/>
      </c>
      <c r="C56" s="20" t="str">
        <f aca="false">IF($B56="","",IFERROR(INDEX(이수현황!$B$6:$B$485,MATCH("R"&amp;51,미이수현황!$L$6:$L$485,0)),""))</f>
        <v/>
      </c>
      <c r="D56" s="20" t="str">
        <f aca="false">IF($B56="","",IFERROR(INDEX(이수현황!$C$6:$C$485,MATCH("R"&amp;51,미이수현황!$L$6:$L$485,0)),""))</f>
        <v/>
      </c>
      <c r="E56" s="20" t="str">
        <f aca="false">IF($B56="","",IFERROR(INDEX(이수현황!$E$6:$E$485,MATCH("R"&amp;51,미이수현황!$L$6:$L$485,0)),""))</f>
        <v/>
      </c>
      <c r="F56" s="23" t="str">
        <f aca="false">IF($B56="","",IFERROR(INDEX(이수현황!$G$6:$G$485,MATCH("R"&amp;51,미이수현황!$L$6:$L$485,0)),""))</f>
        <v/>
      </c>
      <c r="G56" s="23" t="str">
        <f aca="false">IF($B56="","",IFERROR(INDEX(이수현황!$H$6:$H$485,MATCH("R"&amp;51,미이수현황!$L$6:$L$485,0)),""))</f>
        <v/>
      </c>
      <c r="H56" s="21" t="str">
        <f aca="false">IF($B56="","",IFERROR(INDEX(이수현황!$I$6:$I$485,MATCH("R"&amp;51,미이수현황!$L$6:$L$485,0)),""))</f>
        <v/>
      </c>
      <c r="J56" s="24" t="b">
        <f aca="false">IF(이수현황!$A56="",FALSE(),OR(이수현황!$J56="기한초과",이수현황!$J56="임박"))</f>
        <v>0</v>
      </c>
      <c r="K56" s="6" t="str">
        <f aca="false">IF($J56=FALSE(),"",COUNTIF($J$6:$J56,TRUE()))</f>
        <v/>
      </c>
      <c r="L56" s="6" t="str">
        <f aca="false">IF($K56="","","R"&amp;$K56)</f>
        <v/>
      </c>
    </row>
    <row r="57" customFormat="false" ht="15" hidden="false" customHeight="true" outlineLevel="0" collapsed="false">
      <c r="A57" s="21" t="str">
        <f aca="false">IF($B57="","",52)</f>
        <v/>
      </c>
      <c r="B57" s="20" t="str">
        <f aca="false">IFERROR(INDEX(이수현황!$A$6:$A$485,MATCH("R"&amp;52,미이수현황!$L$6:$L$485,0)),"")</f>
        <v/>
      </c>
      <c r="C57" s="20" t="str">
        <f aca="false">IF($B57="","",IFERROR(INDEX(이수현황!$B$6:$B$485,MATCH("R"&amp;52,미이수현황!$L$6:$L$485,0)),""))</f>
        <v/>
      </c>
      <c r="D57" s="20" t="str">
        <f aca="false">IF($B57="","",IFERROR(INDEX(이수현황!$C$6:$C$485,MATCH("R"&amp;52,미이수현황!$L$6:$L$485,0)),""))</f>
        <v/>
      </c>
      <c r="E57" s="20" t="str">
        <f aca="false">IF($B57="","",IFERROR(INDEX(이수현황!$E$6:$E$485,MATCH("R"&amp;52,미이수현황!$L$6:$L$485,0)),""))</f>
        <v/>
      </c>
      <c r="F57" s="23" t="str">
        <f aca="false">IF($B57="","",IFERROR(INDEX(이수현황!$G$6:$G$485,MATCH("R"&amp;52,미이수현황!$L$6:$L$485,0)),""))</f>
        <v/>
      </c>
      <c r="G57" s="23" t="str">
        <f aca="false">IF($B57="","",IFERROR(INDEX(이수현황!$H$6:$H$485,MATCH("R"&amp;52,미이수현황!$L$6:$L$485,0)),""))</f>
        <v/>
      </c>
      <c r="H57" s="21" t="str">
        <f aca="false">IF($B57="","",IFERROR(INDEX(이수현황!$I$6:$I$485,MATCH("R"&amp;52,미이수현황!$L$6:$L$485,0)),""))</f>
        <v/>
      </c>
      <c r="J57" s="24" t="b">
        <f aca="false">IF(이수현황!$A57="",FALSE(),OR(이수현황!$J57="기한초과",이수현황!$J57="임박"))</f>
        <v>0</v>
      </c>
      <c r="K57" s="6" t="str">
        <f aca="false">IF($J57=FALSE(),"",COUNTIF($J$6:$J57,TRUE()))</f>
        <v/>
      </c>
      <c r="L57" s="6" t="str">
        <f aca="false">IF($K57="","","R"&amp;$K57)</f>
        <v/>
      </c>
    </row>
    <row r="58" customFormat="false" ht="15" hidden="false" customHeight="true" outlineLevel="0" collapsed="false">
      <c r="A58" s="21" t="str">
        <f aca="false">IF($B58="","",53)</f>
        <v/>
      </c>
      <c r="B58" s="20" t="str">
        <f aca="false">IFERROR(INDEX(이수현황!$A$6:$A$485,MATCH("R"&amp;53,미이수현황!$L$6:$L$485,0)),"")</f>
        <v/>
      </c>
      <c r="C58" s="20" t="str">
        <f aca="false">IF($B58="","",IFERROR(INDEX(이수현황!$B$6:$B$485,MATCH("R"&amp;53,미이수현황!$L$6:$L$485,0)),""))</f>
        <v/>
      </c>
      <c r="D58" s="20" t="str">
        <f aca="false">IF($B58="","",IFERROR(INDEX(이수현황!$C$6:$C$485,MATCH("R"&amp;53,미이수현황!$L$6:$L$485,0)),""))</f>
        <v/>
      </c>
      <c r="E58" s="20" t="str">
        <f aca="false">IF($B58="","",IFERROR(INDEX(이수현황!$E$6:$E$485,MATCH("R"&amp;53,미이수현황!$L$6:$L$485,0)),""))</f>
        <v/>
      </c>
      <c r="F58" s="23" t="str">
        <f aca="false">IF($B58="","",IFERROR(INDEX(이수현황!$G$6:$G$485,MATCH("R"&amp;53,미이수현황!$L$6:$L$485,0)),""))</f>
        <v/>
      </c>
      <c r="G58" s="23" t="str">
        <f aca="false">IF($B58="","",IFERROR(INDEX(이수현황!$H$6:$H$485,MATCH("R"&amp;53,미이수현황!$L$6:$L$485,0)),""))</f>
        <v/>
      </c>
      <c r="H58" s="21" t="str">
        <f aca="false">IF($B58="","",IFERROR(INDEX(이수현황!$I$6:$I$485,MATCH("R"&amp;53,미이수현황!$L$6:$L$485,0)),""))</f>
        <v/>
      </c>
      <c r="J58" s="24" t="b">
        <f aca="false">IF(이수현황!$A58="",FALSE(),OR(이수현황!$J58="기한초과",이수현황!$J58="임박"))</f>
        <v>0</v>
      </c>
      <c r="K58" s="6" t="str">
        <f aca="false">IF($J58=FALSE(),"",COUNTIF($J$6:$J58,TRUE()))</f>
        <v/>
      </c>
      <c r="L58" s="6" t="str">
        <f aca="false">IF($K58="","","R"&amp;$K58)</f>
        <v/>
      </c>
    </row>
    <row r="59" customFormat="false" ht="15" hidden="false" customHeight="true" outlineLevel="0" collapsed="false">
      <c r="A59" s="21" t="str">
        <f aca="false">IF($B59="","",54)</f>
        <v/>
      </c>
      <c r="B59" s="20" t="str">
        <f aca="false">IFERROR(INDEX(이수현황!$A$6:$A$485,MATCH("R"&amp;54,미이수현황!$L$6:$L$485,0)),"")</f>
        <v/>
      </c>
      <c r="C59" s="20" t="str">
        <f aca="false">IF($B59="","",IFERROR(INDEX(이수현황!$B$6:$B$485,MATCH("R"&amp;54,미이수현황!$L$6:$L$485,0)),""))</f>
        <v/>
      </c>
      <c r="D59" s="20" t="str">
        <f aca="false">IF($B59="","",IFERROR(INDEX(이수현황!$C$6:$C$485,MATCH("R"&amp;54,미이수현황!$L$6:$L$485,0)),""))</f>
        <v/>
      </c>
      <c r="E59" s="20" t="str">
        <f aca="false">IF($B59="","",IFERROR(INDEX(이수현황!$E$6:$E$485,MATCH("R"&amp;54,미이수현황!$L$6:$L$485,0)),""))</f>
        <v/>
      </c>
      <c r="F59" s="23" t="str">
        <f aca="false">IF($B59="","",IFERROR(INDEX(이수현황!$G$6:$G$485,MATCH("R"&amp;54,미이수현황!$L$6:$L$485,0)),""))</f>
        <v/>
      </c>
      <c r="G59" s="23" t="str">
        <f aca="false">IF($B59="","",IFERROR(INDEX(이수현황!$H$6:$H$485,MATCH("R"&amp;54,미이수현황!$L$6:$L$485,0)),""))</f>
        <v/>
      </c>
      <c r="H59" s="21" t="str">
        <f aca="false">IF($B59="","",IFERROR(INDEX(이수현황!$I$6:$I$485,MATCH("R"&amp;54,미이수현황!$L$6:$L$485,0)),""))</f>
        <v/>
      </c>
      <c r="J59" s="24" t="b">
        <f aca="false">IF(이수현황!$A59="",FALSE(),OR(이수현황!$J59="기한초과",이수현황!$J59="임박"))</f>
        <v>0</v>
      </c>
      <c r="K59" s="6" t="str">
        <f aca="false">IF($J59=FALSE(),"",COUNTIF($J$6:$J59,TRUE()))</f>
        <v/>
      </c>
      <c r="L59" s="6" t="str">
        <f aca="false">IF($K59="","","R"&amp;$K59)</f>
        <v/>
      </c>
    </row>
    <row r="60" customFormat="false" ht="15" hidden="false" customHeight="true" outlineLevel="0" collapsed="false">
      <c r="A60" s="21" t="str">
        <f aca="false">IF($B60="","",55)</f>
        <v/>
      </c>
      <c r="B60" s="20" t="str">
        <f aca="false">IFERROR(INDEX(이수현황!$A$6:$A$485,MATCH("R"&amp;55,미이수현황!$L$6:$L$485,0)),"")</f>
        <v/>
      </c>
      <c r="C60" s="20" t="str">
        <f aca="false">IF($B60="","",IFERROR(INDEX(이수현황!$B$6:$B$485,MATCH("R"&amp;55,미이수현황!$L$6:$L$485,0)),""))</f>
        <v/>
      </c>
      <c r="D60" s="20" t="str">
        <f aca="false">IF($B60="","",IFERROR(INDEX(이수현황!$C$6:$C$485,MATCH("R"&amp;55,미이수현황!$L$6:$L$485,0)),""))</f>
        <v/>
      </c>
      <c r="E60" s="20" t="str">
        <f aca="false">IF($B60="","",IFERROR(INDEX(이수현황!$E$6:$E$485,MATCH("R"&amp;55,미이수현황!$L$6:$L$485,0)),""))</f>
        <v/>
      </c>
      <c r="F60" s="23" t="str">
        <f aca="false">IF($B60="","",IFERROR(INDEX(이수현황!$G$6:$G$485,MATCH("R"&amp;55,미이수현황!$L$6:$L$485,0)),""))</f>
        <v/>
      </c>
      <c r="G60" s="23" t="str">
        <f aca="false">IF($B60="","",IFERROR(INDEX(이수현황!$H$6:$H$485,MATCH("R"&amp;55,미이수현황!$L$6:$L$485,0)),""))</f>
        <v/>
      </c>
      <c r="H60" s="21" t="str">
        <f aca="false">IF($B60="","",IFERROR(INDEX(이수현황!$I$6:$I$485,MATCH("R"&amp;55,미이수현황!$L$6:$L$485,0)),""))</f>
        <v/>
      </c>
      <c r="J60" s="24" t="b">
        <f aca="false">IF(이수현황!$A60="",FALSE(),OR(이수현황!$J60="기한초과",이수현황!$J60="임박"))</f>
        <v>0</v>
      </c>
      <c r="K60" s="6" t="str">
        <f aca="false">IF($J60=FALSE(),"",COUNTIF($J$6:$J60,TRUE()))</f>
        <v/>
      </c>
      <c r="L60" s="6" t="str">
        <f aca="false">IF($K60="","","R"&amp;$K60)</f>
        <v/>
      </c>
    </row>
    <row r="61" customFormat="false" ht="15" hidden="false" customHeight="true" outlineLevel="0" collapsed="false">
      <c r="A61" s="21" t="str">
        <f aca="false">IF($B61="","",56)</f>
        <v/>
      </c>
      <c r="B61" s="20" t="str">
        <f aca="false">IFERROR(INDEX(이수현황!$A$6:$A$485,MATCH("R"&amp;56,미이수현황!$L$6:$L$485,0)),"")</f>
        <v/>
      </c>
      <c r="C61" s="20" t="str">
        <f aca="false">IF($B61="","",IFERROR(INDEX(이수현황!$B$6:$B$485,MATCH("R"&amp;56,미이수현황!$L$6:$L$485,0)),""))</f>
        <v/>
      </c>
      <c r="D61" s="20" t="str">
        <f aca="false">IF($B61="","",IFERROR(INDEX(이수현황!$C$6:$C$485,MATCH("R"&amp;56,미이수현황!$L$6:$L$485,0)),""))</f>
        <v/>
      </c>
      <c r="E61" s="20" t="str">
        <f aca="false">IF($B61="","",IFERROR(INDEX(이수현황!$E$6:$E$485,MATCH("R"&amp;56,미이수현황!$L$6:$L$485,0)),""))</f>
        <v/>
      </c>
      <c r="F61" s="23" t="str">
        <f aca="false">IF($B61="","",IFERROR(INDEX(이수현황!$G$6:$G$485,MATCH("R"&amp;56,미이수현황!$L$6:$L$485,0)),""))</f>
        <v/>
      </c>
      <c r="G61" s="23" t="str">
        <f aca="false">IF($B61="","",IFERROR(INDEX(이수현황!$H$6:$H$485,MATCH("R"&amp;56,미이수현황!$L$6:$L$485,0)),""))</f>
        <v/>
      </c>
      <c r="H61" s="21" t="str">
        <f aca="false">IF($B61="","",IFERROR(INDEX(이수현황!$I$6:$I$485,MATCH("R"&amp;56,미이수현황!$L$6:$L$485,0)),""))</f>
        <v/>
      </c>
      <c r="J61" s="24" t="b">
        <f aca="false">IF(이수현황!$A61="",FALSE(),OR(이수현황!$J61="기한초과",이수현황!$J61="임박"))</f>
        <v>0</v>
      </c>
      <c r="K61" s="6" t="str">
        <f aca="false">IF($J61=FALSE(),"",COUNTIF($J$6:$J61,TRUE()))</f>
        <v/>
      </c>
      <c r="L61" s="6" t="str">
        <f aca="false">IF($K61="","","R"&amp;$K61)</f>
        <v/>
      </c>
    </row>
    <row r="62" customFormat="false" ht="15" hidden="false" customHeight="true" outlineLevel="0" collapsed="false">
      <c r="A62" s="21" t="str">
        <f aca="false">IF($B62="","",57)</f>
        <v/>
      </c>
      <c r="B62" s="20" t="str">
        <f aca="false">IFERROR(INDEX(이수현황!$A$6:$A$485,MATCH("R"&amp;57,미이수현황!$L$6:$L$485,0)),"")</f>
        <v/>
      </c>
      <c r="C62" s="20" t="str">
        <f aca="false">IF($B62="","",IFERROR(INDEX(이수현황!$B$6:$B$485,MATCH("R"&amp;57,미이수현황!$L$6:$L$485,0)),""))</f>
        <v/>
      </c>
      <c r="D62" s="20" t="str">
        <f aca="false">IF($B62="","",IFERROR(INDEX(이수현황!$C$6:$C$485,MATCH("R"&amp;57,미이수현황!$L$6:$L$485,0)),""))</f>
        <v/>
      </c>
      <c r="E62" s="20" t="str">
        <f aca="false">IF($B62="","",IFERROR(INDEX(이수현황!$E$6:$E$485,MATCH("R"&amp;57,미이수현황!$L$6:$L$485,0)),""))</f>
        <v/>
      </c>
      <c r="F62" s="23" t="str">
        <f aca="false">IF($B62="","",IFERROR(INDEX(이수현황!$G$6:$G$485,MATCH("R"&amp;57,미이수현황!$L$6:$L$485,0)),""))</f>
        <v/>
      </c>
      <c r="G62" s="23" t="str">
        <f aca="false">IF($B62="","",IFERROR(INDEX(이수현황!$H$6:$H$485,MATCH("R"&amp;57,미이수현황!$L$6:$L$485,0)),""))</f>
        <v/>
      </c>
      <c r="H62" s="21" t="str">
        <f aca="false">IF($B62="","",IFERROR(INDEX(이수현황!$I$6:$I$485,MATCH("R"&amp;57,미이수현황!$L$6:$L$485,0)),""))</f>
        <v/>
      </c>
      <c r="J62" s="24" t="b">
        <f aca="false">IF(이수현황!$A62="",FALSE(),OR(이수현황!$J62="기한초과",이수현황!$J62="임박"))</f>
        <v>0</v>
      </c>
      <c r="K62" s="6" t="str">
        <f aca="false">IF($J62=FALSE(),"",COUNTIF($J$6:$J62,TRUE()))</f>
        <v/>
      </c>
      <c r="L62" s="6" t="str">
        <f aca="false">IF($K62="","","R"&amp;$K62)</f>
        <v/>
      </c>
    </row>
    <row r="63" customFormat="false" ht="15" hidden="false" customHeight="true" outlineLevel="0" collapsed="false">
      <c r="A63" s="21" t="str">
        <f aca="false">IF($B63="","",58)</f>
        <v/>
      </c>
      <c r="B63" s="20" t="str">
        <f aca="false">IFERROR(INDEX(이수현황!$A$6:$A$485,MATCH("R"&amp;58,미이수현황!$L$6:$L$485,0)),"")</f>
        <v/>
      </c>
      <c r="C63" s="20" t="str">
        <f aca="false">IF($B63="","",IFERROR(INDEX(이수현황!$B$6:$B$485,MATCH("R"&amp;58,미이수현황!$L$6:$L$485,0)),""))</f>
        <v/>
      </c>
      <c r="D63" s="20" t="str">
        <f aca="false">IF($B63="","",IFERROR(INDEX(이수현황!$C$6:$C$485,MATCH("R"&amp;58,미이수현황!$L$6:$L$485,0)),""))</f>
        <v/>
      </c>
      <c r="E63" s="20" t="str">
        <f aca="false">IF($B63="","",IFERROR(INDEX(이수현황!$E$6:$E$485,MATCH("R"&amp;58,미이수현황!$L$6:$L$485,0)),""))</f>
        <v/>
      </c>
      <c r="F63" s="23" t="str">
        <f aca="false">IF($B63="","",IFERROR(INDEX(이수현황!$G$6:$G$485,MATCH("R"&amp;58,미이수현황!$L$6:$L$485,0)),""))</f>
        <v/>
      </c>
      <c r="G63" s="23" t="str">
        <f aca="false">IF($B63="","",IFERROR(INDEX(이수현황!$H$6:$H$485,MATCH("R"&amp;58,미이수현황!$L$6:$L$485,0)),""))</f>
        <v/>
      </c>
      <c r="H63" s="21" t="str">
        <f aca="false">IF($B63="","",IFERROR(INDEX(이수현황!$I$6:$I$485,MATCH("R"&amp;58,미이수현황!$L$6:$L$485,0)),""))</f>
        <v/>
      </c>
      <c r="J63" s="24" t="b">
        <f aca="false">IF(이수현황!$A63="",FALSE(),OR(이수현황!$J63="기한초과",이수현황!$J63="임박"))</f>
        <v>0</v>
      </c>
      <c r="K63" s="6" t="str">
        <f aca="false">IF($J63=FALSE(),"",COUNTIF($J$6:$J63,TRUE()))</f>
        <v/>
      </c>
      <c r="L63" s="6" t="str">
        <f aca="false">IF($K63="","","R"&amp;$K63)</f>
        <v/>
      </c>
    </row>
    <row r="64" customFormat="false" ht="15" hidden="false" customHeight="true" outlineLevel="0" collapsed="false">
      <c r="A64" s="21" t="str">
        <f aca="false">IF($B64="","",59)</f>
        <v/>
      </c>
      <c r="B64" s="20" t="str">
        <f aca="false">IFERROR(INDEX(이수현황!$A$6:$A$485,MATCH("R"&amp;59,미이수현황!$L$6:$L$485,0)),"")</f>
        <v/>
      </c>
      <c r="C64" s="20" t="str">
        <f aca="false">IF($B64="","",IFERROR(INDEX(이수현황!$B$6:$B$485,MATCH("R"&amp;59,미이수현황!$L$6:$L$485,0)),""))</f>
        <v/>
      </c>
      <c r="D64" s="20" t="str">
        <f aca="false">IF($B64="","",IFERROR(INDEX(이수현황!$C$6:$C$485,MATCH("R"&amp;59,미이수현황!$L$6:$L$485,0)),""))</f>
        <v/>
      </c>
      <c r="E64" s="20" t="str">
        <f aca="false">IF($B64="","",IFERROR(INDEX(이수현황!$E$6:$E$485,MATCH("R"&amp;59,미이수현황!$L$6:$L$485,0)),""))</f>
        <v/>
      </c>
      <c r="F64" s="23" t="str">
        <f aca="false">IF($B64="","",IFERROR(INDEX(이수현황!$G$6:$G$485,MATCH("R"&amp;59,미이수현황!$L$6:$L$485,0)),""))</f>
        <v/>
      </c>
      <c r="G64" s="23" t="str">
        <f aca="false">IF($B64="","",IFERROR(INDEX(이수현황!$H$6:$H$485,MATCH("R"&amp;59,미이수현황!$L$6:$L$485,0)),""))</f>
        <v/>
      </c>
      <c r="H64" s="21" t="str">
        <f aca="false">IF($B64="","",IFERROR(INDEX(이수현황!$I$6:$I$485,MATCH("R"&amp;59,미이수현황!$L$6:$L$485,0)),""))</f>
        <v/>
      </c>
      <c r="J64" s="24" t="b">
        <f aca="false">IF(이수현황!$A64="",FALSE(),OR(이수현황!$J64="기한초과",이수현황!$J64="임박"))</f>
        <v>0</v>
      </c>
      <c r="K64" s="6" t="str">
        <f aca="false">IF($J64=FALSE(),"",COUNTIF($J$6:$J64,TRUE()))</f>
        <v/>
      </c>
      <c r="L64" s="6" t="str">
        <f aca="false">IF($K64="","","R"&amp;$K64)</f>
        <v/>
      </c>
    </row>
    <row r="65" customFormat="false" ht="15" hidden="false" customHeight="true" outlineLevel="0" collapsed="false">
      <c r="A65" s="21" t="str">
        <f aca="false">IF($B65="","",60)</f>
        <v/>
      </c>
      <c r="B65" s="20" t="str">
        <f aca="false">IFERROR(INDEX(이수현황!$A$6:$A$485,MATCH("R"&amp;60,미이수현황!$L$6:$L$485,0)),"")</f>
        <v/>
      </c>
      <c r="C65" s="20" t="str">
        <f aca="false">IF($B65="","",IFERROR(INDEX(이수현황!$B$6:$B$485,MATCH("R"&amp;60,미이수현황!$L$6:$L$485,0)),""))</f>
        <v/>
      </c>
      <c r="D65" s="20" t="str">
        <f aca="false">IF($B65="","",IFERROR(INDEX(이수현황!$C$6:$C$485,MATCH("R"&amp;60,미이수현황!$L$6:$L$485,0)),""))</f>
        <v/>
      </c>
      <c r="E65" s="20" t="str">
        <f aca="false">IF($B65="","",IFERROR(INDEX(이수현황!$E$6:$E$485,MATCH("R"&amp;60,미이수현황!$L$6:$L$485,0)),""))</f>
        <v/>
      </c>
      <c r="F65" s="23" t="str">
        <f aca="false">IF($B65="","",IFERROR(INDEX(이수현황!$G$6:$G$485,MATCH("R"&amp;60,미이수현황!$L$6:$L$485,0)),""))</f>
        <v/>
      </c>
      <c r="G65" s="23" t="str">
        <f aca="false">IF($B65="","",IFERROR(INDEX(이수현황!$H$6:$H$485,MATCH("R"&amp;60,미이수현황!$L$6:$L$485,0)),""))</f>
        <v/>
      </c>
      <c r="H65" s="21" t="str">
        <f aca="false">IF($B65="","",IFERROR(INDEX(이수현황!$I$6:$I$485,MATCH("R"&amp;60,미이수현황!$L$6:$L$485,0)),""))</f>
        <v/>
      </c>
      <c r="J65" s="24" t="b">
        <f aca="false">IF(이수현황!$A65="",FALSE(),OR(이수현황!$J65="기한초과",이수현황!$J65="임박"))</f>
        <v>0</v>
      </c>
      <c r="K65" s="6" t="str">
        <f aca="false">IF($J65=FALSE(),"",COUNTIF($J$6:$J65,TRUE()))</f>
        <v/>
      </c>
      <c r="L65" s="6" t="str">
        <f aca="false">IF($K65="","","R"&amp;$K65)</f>
        <v/>
      </c>
    </row>
    <row r="66" customFormat="false" ht="15" hidden="false" customHeight="true" outlineLevel="0" collapsed="false">
      <c r="A66" s="21" t="str">
        <f aca="false">IF($B66="","",61)</f>
        <v/>
      </c>
      <c r="B66" s="20" t="str">
        <f aca="false">IFERROR(INDEX(이수현황!$A$6:$A$485,MATCH("R"&amp;61,미이수현황!$L$6:$L$485,0)),"")</f>
        <v/>
      </c>
      <c r="C66" s="20" t="str">
        <f aca="false">IF($B66="","",IFERROR(INDEX(이수현황!$B$6:$B$485,MATCH("R"&amp;61,미이수현황!$L$6:$L$485,0)),""))</f>
        <v/>
      </c>
      <c r="D66" s="20" t="str">
        <f aca="false">IF($B66="","",IFERROR(INDEX(이수현황!$C$6:$C$485,MATCH("R"&amp;61,미이수현황!$L$6:$L$485,0)),""))</f>
        <v/>
      </c>
      <c r="E66" s="20" t="str">
        <f aca="false">IF($B66="","",IFERROR(INDEX(이수현황!$E$6:$E$485,MATCH("R"&amp;61,미이수현황!$L$6:$L$485,0)),""))</f>
        <v/>
      </c>
      <c r="F66" s="23" t="str">
        <f aca="false">IF($B66="","",IFERROR(INDEX(이수현황!$G$6:$G$485,MATCH("R"&amp;61,미이수현황!$L$6:$L$485,0)),""))</f>
        <v/>
      </c>
      <c r="G66" s="23" t="str">
        <f aca="false">IF($B66="","",IFERROR(INDEX(이수현황!$H$6:$H$485,MATCH("R"&amp;61,미이수현황!$L$6:$L$485,0)),""))</f>
        <v/>
      </c>
      <c r="H66" s="21" t="str">
        <f aca="false">IF($B66="","",IFERROR(INDEX(이수현황!$I$6:$I$485,MATCH("R"&amp;61,미이수현황!$L$6:$L$485,0)),""))</f>
        <v/>
      </c>
      <c r="J66" s="24" t="b">
        <f aca="false">IF(이수현황!$A66="",FALSE(),OR(이수현황!$J66="기한초과",이수현황!$J66="임박"))</f>
        <v>0</v>
      </c>
      <c r="K66" s="6" t="str">
        <f aca="false">IF($J66=FALSE(),"",COUNTIF($J$6:$J66,TRUE()))</f>
        <v/>
      </c>
      <c r="L66" s="6" t="str">
        <f aca="false">IF($K66="","","R"&amp;$K66)</f>
        <v/>
      </c>
    </row>
    <row r="67" customFormat="false" ht="15" hidden="false" customHeight="true" outlineLevel="0" collapsed="false">
      <c r="A67" s="21" t="str">
        <f aca="false">IF($B67="","",62)</f>
        <v/>
      </c>
      <c r="B67" s="20" t="str">
        <f aca="false">IFERROR(INDEX(이수현황!$A$6:$A$485,MATCH("R"&amp;62,미이수현황!$L$6:$L$485,0)),"")</f>
        <v/>
      </c>
      <c r="C67" s="20" t="str">
        <f aca="false">IF($B67="","",IFERROR(INDEX(이수현황!$B$6:$B$485,MATCH("R"&amp;62,미이수현황!$L$6:$L$485,0)),""))</f>
        <v/>
      </c>
      <c r="D67" s="20" t="str">
        <f aca="false">IF($B67="","",IFERROR(INDEX(이수현황!$C$6:$C$485,MATCH("R"&amp;62,미이수현황!$L$6:$L$485,0)),""))</f>
        <v/>
      </c>
      <c r="E67" s="20" t="str">
        <f aca="false">IF($B67="","",IFERROR(INDEX(이수현황!$E$6:$E$485,MATCH("R"&amp;62,미이수현황!$L$6:$L$485,0)),""))</f>
        <v/>
      </c>
      <c r="F67" s="23" t="str">
        <f aca="false">IF($B67="","",IFERROR(INDEX(이수현황!$G$6:$G$485,MATCH("R"&amp;62,미이수현황!$L$6:$L$485,0)),""))</f>
        <v/>
      </c>
      <c r="G67" s="23" t="str">
        <f aca="false">IF($B67="","",IFERROR(INDEX(이수현황!$H$6:$H$485,MATCH("R"&amp;62,미이수현황!$L$6:$L$485,0)),""))</f>
        <v/>
      </c>
      <c r="H67" s="21" t="str">
        <f aca="false">IF($B67="","",IFERROR(INDEX(이수현황!$I$6:$I$485,MATCH("R"&amp;62,미이수현황!$L$6:$L$485,0)),""))</f>
        <v/>
      </c>
      <c r="J67" s="24" t="b">
        <f aca="false">IF(이수현황!$A67="",FALSE(),OR(이수현황!$J67="기한초과",이수현황!$J67="임박"))</f>
        <v>0</v>
      </c>
      <c r="K67" s="6" t="str">
        <f aca="false">IF($J67=FALSE(),"",COUNTIF($J$6:$J67,TRUE()))</f>
        <v/>
      </c>
      <c r="L67" s="6" t="str">
        <f aca="false">IF($K67="","","R"&amp;$K67)</f>
        <v/>
      </c>
    </row>
    <row r="68" customFormat="false" ht="15" hidden="false" customHeight="true" outlineLevel="0" collapsed="false">
      <c r="A68" s="21" t="str">
        <f aca="false">IF($B68="","",63)</f>
        <v/>
      </c>
      <c r="B68" s="20" t="str">
        <f aca="false">IFERROR(INDEX(이수현황!$A$6:$A$485,MATCH("R"&amp;63,미이수현황!$L$6:$L$485,0)),"")</f>
        <v/>
      </c>
      <c r="C68" s="20" t="str">
        <f aca="false">IF($B68="","",IFERROR(INDEX(이수현황!$B$6:$B$485,MATCH("R"&amp;63,미이수현황!$L$6:$L$485,0)),""))</f>
        <v/>
      </c>
      <c r="D68" s="20" t="str">
        <f aca="false">IF($B68="","",IFERROR(INDEX(이수현황!$C$6:$C$485,MATCH("R"&amp;63,미이수현황!$L$6:$L$485,0)),""))</f>
        <v/>
      </c>
      <c r="E68" s="20" t="str">
        <f aca="false">IF($B68="","",IFERROR(INDEX(이수현황!$E$6:$E$485,MATCH("R"&amp;63,미이수현황!$L$6:$L$485,0)),""))</f>
        <v/>
      </c>
      <c r="F68" s="23" t="str">
        <f aca="false">IF($B68="","",IFERROR(INDEX(이수현황!$G$6:$G$485,MATCH("R"&amp;63,미이수현황!$L$6:$L$485,0)),""))</f>
        <v/>
      </c>
      <c r="G68" s="23" t="str">
        <f aca="false">IF($B68="","",IFERROR(INDEX(이수현황!$H$6:$H$485,MATCH("R"&amp;63,미이수현황!$L$6:$L$485,0)),""))</f>
        <v/>
      </c>
      <c r="H68" s="21" t="str">
        <f aca="false">IF($B68="","",IFERROR(INDEX(이수현황!$I$6:$I$485,MATCH("R"&amp;63,미이수현황!$L$6:$L$485,0)),""))</f>
        <v/>
      </c>
      <c r="J68" s="24" t="b">
        <f aca="false">IF(이수현황!$A68="",FALSE(),OR(이수현황!$J68="기한초과",이수현황!$J68="임박"))</f>
        <v>0</v>
      </c>
      <c r="K68" s="6" t="str">
        <f aca="false">IF($J68=FALSE(),"",COUNTIF($J$6:$J68,TRUE()))</f>
        <v/>
      </c>
      <c r="L68" s="6" t="str">
        <f aca="false">IF($K68="","","R"&amp;$K68)</f>
        <v/>
      </c>
    </row>
    <row r="69" customFormat="false" ht="15" hidden="false" customHeight="true" outlineLevel="0" collapsed="false">
      <c r="A69" s="21" t="str">
        <f aca="false">IF($B69="","",64)</f>
        <v/>
      </c>
      <c r="B69" s="20" t="str">
        <f aca="false">IFERROR(INDEX(이수현황!$A$6:$A$485,MATCH("R"&amp;64,미이수현황!$L$6:$L$485,0)),"")</f>
        <v/>
      </c>
      <c r="C69" s="20" t="str">
        <f aca="false">IF($B69="","",IFERROR(INDEX(이수현황!$B$6:$B$485,MATCH("R"&amp;64,미이수현황!$L$6:$L$485,0)),""))</f>
        <v/>
      </c>
      <c r="D69" s="20" t="str">
        <f aca="false">IF($B69="","",IFERROR(INDEX(이수현황!$C$6:$C$485,MATCH("R"&amp;64,미이수현황!$L$6:$L$485,0)),""))</f>
        <v/>
      </c>
      <c r="E69" s="20" t="str">
        <f aca="false">IF($B69="","",IFERROR(INDEX(이수현황!$E$6:$E$485,MATCH("R"&amp;64,미이수현황!$L$6:$L$485,0)),""))</f>
        <v/>
      </c>
      <c r="F69" s="23" t="str">
        <f aca="false">IF($B69="","",IFERROR(INDEX(이수현황!$G$6:$G$485,MATCH("R"&amp;64,미이수현황!$L$6:$L$485,0)),""))</f>
        <v/>
      </c>
      <c r="G69" s="23" t="str">
        <f aca="false">IF($B69="","",IFERROR(INDEX(이수현황!$H$6:$H$485,MATCH("R"&amp;64,미이수현황!$L$6:$L$485,0)),""))</f>
        <v/>
      </c>
      <c r="H69" s="21" t="str">
        <f aca="false">IF($B69="","",IFERROR(INDEX(이수현황!$I$6:$I$485,MATCH("R"&amp;64,미이수현황!$L$6:$L$485,0)),""))</f>
        <v/>
      </c>
      <c r="J69" s="24" t="b">
        <f aca="false">IF(이수현황!$A69="",FALSE(),OR(이수현황!$J69="기한초과",이수현황!$J69="임박"))</f>
        <v>0</v>
      </c>
      <c r="K69" s="6" t="str">
        <f aca="false">IF($J69=FALSE(),"",COUNTIF($J$6:$J69,TRUE()))</f>
        <v/>
      </c>
      <c r="L69" s="6" t="str">
        <f aca="false">IF($K69="","","R"&amp;$K69)</f>
        <v/>
      </c>
    </row>
    <row r="70" customFormat="false" ht="15" hidden="false" customHeight="true" outlineLevel="0" collapsed="false">
      <c r="A70" s="21" t="str">
        <f aca="false">IF($B70="","",65)</f>
        <v/>
      </c>
      <c r="B70" s="20" t="str">
        <f aca="false">IFERROR(INDEX(이수현황!$A$6:$A$485,MATCH("R"&amp;65,미이수현황!$L$6:$L$485,0)),"")</f>
        <v/>
      </c>
      <c r="C70" s="20" t="str">
        <f aca="false">IF($B70="","",IFERROR(INDEX(이수현황!$B$6:$B$485,MATCH("R"&amp;65,미이수현황!$L$6:$L$485,0)),""))</f>
        <v/>
      </c>
      <c r="D70" s="20" t="str">
        <f aca="false">IF($B70="","",IFERROR(INDEX(이수현황!$C$6:$C$485,MATCH("R"&amp;65,미이수현황!$L$6:$L$485,0)),""))</f>
        <v/>
      </c>
      <c r="E70" s="20" t="str">
        <f aca="false">IF($B70="","",IFERROR(INDEX(이수현황!$E$6:$E$485,MATCH("R"&amp;65,미이수현황!$L$6:$L$485,0)),""))</f>
        <v/>
      </c>
      <c r="F70" s="23" t="str">
        <f aca="false">IF($B70="","",IFERROR(INDEX(이수현황!$G$6:$G$485,MATCH("R"&amp;65,미이수현황!$L$6:$L$485,0)),""))</f>
        <v/>
      </c>
      <c r="G70" s="23" t="str">
        <f aca="false">IF($B70="","",IFERROR(INDEX(이수현황!$H$6:$H$485,MATCH("R"&amp;65,미이수현황!$L$6:$L$485,0)),""))</f>
        <v/>
      </c>
      <c r="H70" s="21" t="str">
        <f aca="false">IF($B70="","",IFERROR(INDEX(이수현황!$I$6:$I$485,MATCH("R"&amp;65,미이수현황!$L$6:$L$485,0)),""))</f>
        <v/>
      </c>
      <c r="J70" s="24" t="b">
        <f aca="false">IF(이수현황!$A70="",FALSE(),OR(이수현황!$J70="기한초과",이수현황!$J70="임박"))</f>
        <v>0</v>
      </c>
      <c r="K70" s="6" t="str">
        <f aca="false">IF($J70=FALSE(),"",COUNTIF($J$6:$J70,TRUE()))</f>
        <v/>
      </c>
      <c r="L70" s="6" t="str">
        <f aca="false">IF($K70="","","R"&amp;$K70)</f>
        <v/>
      </c>
    </row>
    <row r="71" customFormat="false" ht="15" hidden="false" customHeight="true" outlineLevel="0" collapsed="false">
      <c r="A71" s="21" t="str">
        <f aca="false">IF($B71="","",66)</f>
        <v/>
      </c>
      <c r="B71" s="20" t="str">
        <f aca="false">IFERROR(INDEX(이수현황!$A$6:$A$485,MATCH("R"&amp;66,미이수현황!$L$6:$L$485,0)),"")</f>
        <v/>
      </c>
      <c r="C71" s="20" t="str">
        <f aca="false">IF($B71="","",IFERROR(INDEX(이수현황!$B$6:$B$485,MATCH("R"&amp;66,미이수현황!$L$6:$L$485,0)),""))</f>
        <v/>
      </c>
      <c r="D71" s="20" t="str">
        <f aca="false">IF($B71="","",IFERROR(INDEX(이수현황!$C$6:$C$485,MATCH("R"&amp;66,미이수현황!$L$6:$L$485,0)),""))</f>
        <v/>
      </c>
      <c r="E71" s="20" t="str">
        <f aca="false">IF($B71="","",IFERROR(INDEX(이수현황!$E$6:$E$485,MATCH("R"&amp;66,미이수현황!$L$6:$L$485,0)),""))</f>
        <v/>
      </c>
      <c r="F71" s="23" t="str">
        <f aca="false">IF($B71="","",IFERROR(INDEX(이수현황!$G$6:$G$485,MATCH("R"&amp;66,미이수현황!$L$6:$L$485,0)),""))</f>
        <v/>
      </c>
      <c r="G71" s="23" t="str">
        <f aca="false">IF($B71="","",IFERROR(INDEX(이수현황!$H$6:$H$485,MATCH("R"&amp;66,미이수현황!$L$6:$L$485,0)),""))</f>
        <v/>
      </c>
      <c r="H71" s="21" t="str">
        <f aca="false">IF($B71="","",IFERROR(INDEX(이수현황!$I$6:$I$485,MATCH("R"&amp;66,미이수현황!$L$6:$L$485,0)),""))</f>
        <v/>
      </c>
      <c r="J71" s="24" t="b">
        <f aca="false">IF(이수현황!$A71="",FALSE(),OR(이수현황!$J71="기한초과",이수현황!$J71="임박"))</f>
        <v>0</v>
      </c>
      <c r="K71" s="6" t="str">
        <f aca="false">IF($J71=FALSE(),"",COUNTIF($J$6:$J71,TRUE()))</f>
        <v/>
      </c>
      <c r="L71" s="6" t="str">
        <f aca="false">IF($K71="","","R"&amp;$K71)</f>
        <v/>
      </c>
    </row>
    <row r="72" customFormat="false" ht="15" hidden="false" customHeight="true" outlineLevel="0" collapsed="false">
      <c r="A72" s="21" t="str">
        <f aca="false">IF($B72="","",67)</f>
        <v/>
      </c>
      <c r="B72" s="20" t="str">
        <f aca="false">IFERROR(INDEX(이수현황!$A$6:$A$485,MATCH("R"&amp;67,미이수현황!$L$6:$L$485,0)),"")</f>
        <v/>
      </c>
      <c r="C72" s="20" t="str">
        <f aca="false">IF($B72="","",IFERROR(INDEX(이수현황!$B$6:$B$485,MATCH("R"&amp;67,미이수현황!$L$6:$L$485,0)),""))</f>
        <v/>
      </c>
      <c r="D72" s="20" t="str">
        <f aca="false">IF($B72="","",IFERROR(INDEX(이수현황!$C$6:$C$485,MATCH("R"&amp;67,미이수현황!$L$6:$L$485,0)),""))</f>
        <v/>
      </c>
      <c r="E72" s="20" t="str">
        <f aca="false">IF($B72="","",IFERROR(INDEX(이수현황!$E$6:$E$485,MATCH("R"&amp;67,미이수현황!$L$6:$L$485,0)),""))</f>
        <v/>
      </c>
      <c r="F72" s="23" t="str">
        <f aca="false">IF($B72="","",IFERROR(INDEX(이수현황!$G$6:$G$485,MATCH("R"&amp;67,미이수현황!$L$6:$L$485,0)),""))</f>
        <v/>
      </c>
      <c r="G72" s="23" t="str">
        <f aca="false">IF($B72="","",IFERROR(INDEX(이수현황!$H$6:$H$485,MATCH("R"&amp;67,미이수현황!$L$6:$L$485,0)),""))</f>
        <v/>
      </c>
      <c r="H72" s="21" t="str">
        <f aca="false">IF($B72="","",IFERROR(INDEX(이수현황!$I$6:$I$485,MATCH("R"&amp;67,미이수현황!$L$6:$L$485,0)),""))</f>
        <v/>
      </c>
      <c r="J72" s="24" t="b">
        <f aca="false">IF(이수현황!$A72="",FALSE(),OR(이수현황!$J72="기한초과",이수현황!$J72="임박"))</f>
        <v>0</v>
      </c>
      <c r="K72" s="6" t="str">
        <f aca="false">IF($J72=FALSE(),"",COUNTIF($J$6:$J72,TRUE()))</f>
        <v/>
      </c>
      <c r="L72" s="6" t="str">
        <f aca="false">IF($K72="","","R"&amp;$K72)</f>
        <v/>
      </c>
    </row>
    <row r="73" customFormat="false" ht="15" hidden="false" customHeight="true" outlineLevel="0" collapsed="false">
      <c r="A73" s="21" t="str">
        <f aca="false">IF($B73="","",68)</f>
        <v/>
      </c>
      <c r="B73" s="20" t="str">
        <f aca="false">IFERROR(INDEX(이수현황!$A$6:$A$485,MATCH("R"&amp;68,미이수현황!$L$6:$L$485,0)),"")</f>
        <v/>
      </c>
      <c r="C73" s="20" t="str">
        <f aca="false">IF($B73="","",IFERROR(INDEX(이수현황!$B$6:$B$485,MATCH("R"&amp;68,미이수현황!$L$6:$L$485,0)),""))</f>
        <v/>
      </c>
      <c r="D73" s="20" t="str">
        <f aca="false">IF($B73="","",IFERROR(INDEX(이수현황!$C$6:$C$485,MATCH("R"&amp;68,미이수현황!$L$6:$L$485,0)),""))</f>
        <v/>
      </c>
      <c r="E73" s="20" t="str">
        <f aca="false">IF($B73="","",IFERROR(INDEX(이수현황!$E$6:$E$485,MATCH("R"&amp;68,미이수현황!$L$6:$L$485,0)),""))</f>
        <v/>
      </c>
      <c r="F73" s="23" t="str">
        <f aca="false">IF($B73="","",IFERROR(INDEX(이수현황!$G$6:$G$485,MATCH("R"&amp;68,미이수현황!$L$6:$L$485,0)),""))</f>
        <v/>
      </c>
      <c r="G73" s="23" t="str">
        <f aca="false">IF($B73="","",IFERROR(INDEX(이수현황!$H$6:$H$485,MATCH("R"&amp;68,미이수현황!$L$6:$L$485,0)),""))</f>
        <v/>
      </c>
      <c r="H73" s="21" t="str">
        <f aca="false">IF($B73="","",IFERROR(INDEX(이수현황!$I$6:$I$485,MATCH("R"&amp;68,미이수현황!$L$6:$L$485,0)),""))</f>
        <v/>
      </c>
      <c r="J73" s="24" t="b">
        <f aca="false">IF(이수현황!$A73="",FALSE(),OR(이수현황!$J73="기한초과",이수현황!$J73="임박"))</f>
        <v>0</v>
      </c>
      <c r="K73" s="6" t="str">
        <f aca="false">IF($J73=FALSE(),"",COUNTIF($J$6:$J73,TRUE()))</f>
        <v/>
      </c>
      <c r="L73" s="6" t="str">
        <f aca="false">IF($K73="","","R"&amp;$K73)</f>
        <v/>
      </c>
    </row>
    <row r="74" customFormat="false" ht="15" hidden="false" customHeight="true" outlineLevel="0" collapsed="false">
      <c r="A74" s="21" t="str">
        <f aca="false">IF($B74="","",69)</f>
        <v/>
      </c>
      <c r="B74" s="20" t="str">
        <f aca="false">IFERROR(INDEX(이수현황!$A$6:$A$485,MATCH("R"&amp;69,미이수현황!$L$6:$L$485,0)),"")</f>
        <v/>
      </c>
      <c r="C74" s="20" t="str">
        <f aca="false">IF($B74="","",IFERROR(INDEX(이수현황!$B$6:$B$485,MATCH("R"&amp;69,미이수현황!$L$6:$L$485,0)),""))</f>
        <v/>
      </c>
      <c r="D74" s="20" t="str">
        <f aca="false">IF($B74="","",IFERROR(INDEX(이수현황!$C$6:$C$485,MATCH("R"&amp;69,미이수현황!$L$6:$L$485,0)),""))</f>
        <v/>
      </c>
      <c r="E74" s="20" t="str">
        <f aca="false">IF($B74="","",IFERROR(INDEX(이수현황!$E$6:$E$485,MATCH("R"&amp;69,미이수현황!$L$6:$L$485,0)),""))</f>
        <v/>
      </c>
      <c r="F74" s="23" t="str">
        <f aca="false">IF($B74="","",IFERROR(INDEX(이수현황!$G$6:$G$485,MATCH("R"&amp;69,미이수현황!$L$6:$L$485,0)),""))</f>
        <v/>
      </c>
      <c r="G74" s="23" t="str">
        <f aca="false">IF($B74="","",IFERROR(INDEX(이수현황!$H$6:$H$485,MATCH("R"&amp;69,미이수현황!$L$6:$L$485,0)),""))</f>
        <v/>
      </c>
      <c r="H74" s="21" t="str">
        <f aca="false">IF($B74="","",IFERROR(INDEX(이수현황!$I$6:$I$485,MATCH("R"&amp;69,미이수현황!$L$6:$L$485,0)),""))</f>
        <v/>
      </c>
      <c r="J74" s="24" t="b">
        <f aca="false">IF(이수현황!$A74="",FALSE(),OR(이수현황!$J74="기한초과",이수현황!$J74="임박"))</f>
        <v>0</v>
      </c>
      <c r="K74" s="6" t="str">
        <f aca="false">IF($J74=FALSE(),"",COUNTIF($J$6:$J74,TRUE()))</f>
        <v/>
      </c>
      <c r="L74" s="6" t="str">
        <f aca="false">IF($K74="","","R"&amp;$K74)</f>
        <v/>
      </c>
    </row>
    <row r="75" customFormat="false" ht="15" hidden="false" customHeight="true" outlineLevel="0" collapsed="false">
      <c r="A75" s="21" t="str">
        <f aca="false">IF($B75="","",70)</f>
        <v/>
      </c>
      <c r="B75" s="20" t="str">
        <f aca="false">IFERROR(INDEX(이수현황!$A$6:$A$485,MATCH("R"&amp;70,미이수현황!$L$6:$L$485,0)),"")</f>
        <v/>
      </c>
      <c r="C75" s="20" t="str">
        <f aca="false">IF($B75="","",IFERROR(INDEX(이수현황!$B$6:$B$485,MATCH("R"&amp;70,미이수현황!$L$6:$L$485,0)),""))</f>
        <v/>
      </c>
      <c r="D75" s="20" t="str">
        <f aca="false">IF($B75="","",IFERROR(INDEX(이수현황!$C$6:$C$485,MATCH("R"&amp;70,미이수현황!$L$6:$L$485,0)),""))</f>
        <v/>
      </c>
      <c r="E75" s="20" t="str">
        <f aca="false">IF($B75="","",IFERROR(INDEX(이수현황!$E$6:$E$485,MATCH("R"&amp;70,미이수현황!$L$6:$L$485,0)),""))</f>
        <v/>
      </c>
      <c r="F75" s="23" t="str">
        <f aca="false">IF($B75="","",IFERROR(INDEX(이수현황!$G$6:$G$485,MATCH("R"&amp;70,미이수현황!$L$6:$L$485,0)),""))</f>
        <v/>
      </c>
      <c r="G75" s="23" t="str">
        <f aca="false">IF($B75="","",IFERROR(INDEX(이수현황!$H$6:$H$485,MATCH("R"&amp;70,미이수현황!$L$6:$L$485,0)),""))</f>
        <v/>
      </c>
      <c r="H75" s="21" t="str">
        <f aca="false">IF($B75="","",IFERROR(INDEX(이수현황!$I$6:$I$485,MATCH("R"&amp;70,미이수현황!$L$6:$L$485,0)),""))</f>
        <v/>
      </c>
      <c r="J75" s="24" t="b">
        <f aca="false">IF(이수현황!$A75="",FALSE(),OR(이수현황!$J75="기한초과",이수현황!$J75="임박"))</f>
        <v>0</v>
      </c>
      <c r="K75" s="6" t="str">
        <f aca="false">IF($J75=FALSE(),"",COUNTIF($J$6:$J75,TRUE()))</f>
        <v/>
      </c>
      <c r="L75" s="6" t="str">
        <f aca="false">IF($K75="","","R"&amp;$K75)</f>
        <v/>
      </c>
    </row>
    <row r="76" customFormat="false" ht="15" hidden="false" customHeight="true" outlineLevel="0" collapsed="false">
      <c r="A76" s="21" t="str">
        <f aca="false">IF($B76="","",71)</f>
        <v/>
      </c>
      <c r="B76" s="20" t="str">
        <f aca="false">IFERROR(INDEX(이수현황!$A$6:$A$485,MATCH("R"&amp;71,미이수현황!$L$6:$L$485,0)),"")</f>
        <v/>
      </c>
      <c r="C76" s="20" t="str">
        <f aca="false">IF($B76="","",IFERROR(INDEX(이수현황!$B$6:$B$485,MATCH("R"&amp;71,미이수현황!$L$6:$L$485,0)),""))</f>
        <v/>
      </c>
      <c r="D76" s="20" t="str">
        <f aca="false">IF($B76="","",IFERROR(INDEX(이수현황!$C$6:$C$485,MATCH("R"&amp;71,미이수현황!$L$6:$L$485,0)),""))</f>
        <v/>
      </c>
      <c r="E76" s="20" t="str">
        <f aca="false">IF($B76="","",IFERROR(INDEX(이수현황!$E$6:$E$485,MATCH("R"&amp;71,미이수현황!$L$6:$L$485,0)),""))</f>
        <v/>
      </c>
      <c r="F76" s="23" t="str">
        <f aca="false">IF($B76="","",IFERROR(INDEX(이수현황!$G$6:$G$485,MATCH("R"&amp;71,미이수현황!$L$6:$L$485,0)),""))</f>
        <v/>
      </c>
      <c r="G76" s="23" t="str">
        <f aca="false">IF($B76="","",IFERROR(INDEX(이수현황!$H$6:$H$485,MATCH("R"&amp;71,미이수현황!$L$6:$L$485,0)),""))</f>
        <v/>
      </c>
      <c r="H76" s="21" t="str">
        <f aca="false">IF($B76="","",IFERROR(INDEX(이수현황!$I$6:$I$485,MATCH("R"&amp;71,미이수현황!$L$6:$L$485,0)),""))</f>
        <v/>
      </c>
      <c r="J76" s="24" t="b">
        <f aca="false">IF(이수현황!$A76="",FALSE(),OR(이수현황!$J76="기한초과",이수현황!$J76="임박"))</f>
        <v>0</v>
      </c>
      <c r="K76" s="6" t="str">
        <f aca="false">IF($J76=FALSE(),"",COUNTIF($J$6:$J76,TRUE()))</f>
        <v/>
      </c>
      <c r="L76" s="6" t="str">
        <f aca="false">IF($K76="","","R"&amp;$K76)</f>
        <v/>
      </c>
    </row>
    <row r="77" customFormat="false" ht="15" hidden="false" customHeight="true" outlineLevel="0" collapsed="false">
      <c r="A77" s="21" t="str">
        <f aca="false">IF($B77="","",72)</f>
        <v/>
      </c>
      <c r="B77" s="20" t="str">
        <f aca="false">IFERROR(INDEX(이수현황!$A$6:$A$485,MATCH("R"&amp;72,미이수현황!$L$6:$L$485,0)),"")</f>
        <v/>
      </c>
      <c r="C77" s="20" t="str">
        <f aca="false">IF($B77="","",IFERROR(INDEX(이수현황!$B$6:$B$485,MATCH("R"&amp;72,미이수현황!$L$6:$L$485,0)),""))</f>
        <v/>
      </c>
      <c r="D77" s="20" t="str">
        <f aca="false">IF($B77="","",IFERROR(INDEX(이수현황!$C$6:$C$485,MATCH("R"&amp;72,미이수현황!$L$6:$L$485,0)),""))</f>
        <v/>
      </c>
      <c r="E77" s="20" t="str">
        <f aca="false">IF($B77="","",IFERROR(INDEX(이수현황!$E$6:$E$485,MATCH("R"&amp;72,미이수현황!$L$6:$L$485,0)),""))</f>
        <v/>
      </c>
      <c r="F77" s="23" t="str">
        <f aca="false">IF($B77="","",IFERROR(INDEX(이수현황!$G$6:$G$485,MATCH("R"&amp;72,미이수현황!$L$6:$L$485,0)),""))</f>
        <v/>
      </c>
      <c r="G77" s="23" t="str">
        <f aca="false">IF($B77="","",IFERROR(INDEX(이수현황!$H$6:$H$485,MATCH("R"&amp;72,미이수현황!$L$6:$L$485,0)),""))</f>
        <v/>
      </c>
      <c r="H77" s="21" t="str">
        <f aca="false">IF($B77="","",IFERROR(INDEX(이수현황!$I$6:$I$485,MATCH("R"&amp;72,미이수현황!$L$6:$L$485,0)),""))</f>
        <v/>
      </c>
      <c r="J77" s="24" t="b">
        <f aca="false">IF(이수현황!$A77="",FALSE(),OR(이수현황!$J77="기한초과",이수현황!$J77="임박"))</f>
        <v>0</v>
      </c>
      <c r="K77" s="6" t="str">
        <f aca="false">IF($J77=FALSE(),"",COUNTIF($J$6:$J77,TRUE()))</f>
        <v/>
      </c>
      <c r="L77" s="6" t="str">
        <f aca="false">IF($K77="","","R"&amp;$K77)</f>
        <v/>
      </c>
    </row>
    <row r="78" customFormat="false" ht="15" hidden="false" customHeight="true" outlineLevel="0" collapsed="false">
      <c r="A78" s="21" t="str">
        <f aca="false">IF($B78="","",73)</f>
        <v/>
      </c>
      <c r="B78" s="20" t="str">
        <f aca="false">IFERROR(INDEX(이수현황!$A$6:$A$485,MATCH("R"&amp;73,미이수현황!$L$6:$L$485,0)),"")</f>
        <v/>
      </c>
      <c r="C78" s="20" t="str">
        <f aca="false">IF($B78="","",IFERROR(INDEX(이수현황!$B$6:$B$485,MATCH("R"&amp;73,미이수현황!$L$6:$L$485,0)),""))</f>
        <v/>
      </c>
      <c r="D78" s="20" t="str">
        <f aca="false">IF($B78="","",IFERROR(INDEX(이수현황!$C$6:$C$485,MATCH("R"&amp;73,미이수현황!$L$6:$L$485,0)),""))</f>
        <v/>
      </c>
      <c r="E78" s="20" t="str">
        <f aca="false">IF($B78="","",IFERROR(INDEX(이수현황!$E$6:$E$485,MATCH("R"&amp;73,미이수현황!$L$6:$L$485,0)),""))</f>
        <v/>
      </c>
      <c r="F78" s="23" t="str">
        <f aca="false">IF($B78="","",IFERROR(INDEX(이수현황!$G$6:$G$485,MATCH("R"&amp;73,미이수현황!$L$6:$L$485,0)),""))</f>
        <v/>
      </c>
      <c r="G78" s="23" t="str">
        <f aca="false">IF($B78="","",IFERROR(INDEX(이수현황!$H$6:$H$485,MATCH("R"&amp;73,미이수현황!$L$6:$L$485,0)),""))</f>
        <v/>
      </c>
      <c r="H78" s="21" t="str">
        <f aca="false">IF($B78="","",IFERROR(INDEX(이수현황!$I$6:$I$485,MATCH("R"&amp;73,미이수현황!$L$6:$L$485,0)),""))</f>
        <v/>
      </c>
      <c r="J78" s="24" t="b">
        <f aca="false">IF(이수현황!$A78="",FALSE(),OR(이수현황!$J78="기한초과",이수현황!$J78="임박"))</f>
        <v>0</v>
      </c>
      <c r="K78" s="6" t="str">
        <f aca="false">IF($J78=FALSE(),"",COUNTIF($J$6:$J78,TRUE()))</f>
        <v/>
      </c>
      <c r="L78" s="6" t="str">
        <f aca="false">IF($K78="","","R"&amp;$K78)</f>
        <v/>
      </c>
    </row>
    <row r="79" customFormat="false" ht="15" hidden="false" customHeight="true" outlineLevel="0" collapsed="false">
      <c r="A79" s="21" t="str">
        <f aca="false">IF($B79="","",74)</f>
        <v/>
      </c>
      <c r="B79" s="20" t="str">
        <f aca="false">IFERROR(INDEX(이수현황!$A$6:$A$485,MATCH("R"&amp;74,미이수현황!$L$6:$L$485,0)),"")</f>
        <v/>
      </c>
      <c r="C79" s="20" t="str">
        <f aca="false">IF($B79="","",IFERROR(INDEX(이수현황!$B$6:$B$485,MATCH("R"&amp;74,미이수현황!$L$6:$L$485,0)),""))</f>
        <v/>
      </c>
      <c r="D79" s="20" t="str">
        <f aca="false">IF($B79="","",IFERROR(INDEX(이수현황!$C$6:$C$485,MATCH("R"&amp;74,미이수현황!$L$6:$L$485,0)),""))</f>
        <v/>
      </c>
      <c r="E79" s="20" t="str">
        <f aca="false">IF($B79="","",IFERROR(INDEX(이수현황!$E$6:$E$485,MATCH("R"&amp;74,미이수현황!$L$6:$L$485,0)),""))</f>
        <v/>
      </c>
      <c r="F79" s="23" t="str">
        <f aca="false">IF($B79="","",IFERROR(INDEX(이수현황!$G$6:$G$485,MATCH("R"&amp;74,미이수현황!$L$6:$L$485,0)),""))</f>
        <v/>
      </c>
      <c r="G79" s="23" t="str">
        <f aca="false">IF($B79="","",IFERROR(INDEX(이수현황!$H$6:$H$485,MATCH("R"&amp;74,미이수현황!$L$6:$L$485,0)),""))</f>
        <v/>
      </c>
      <c r="H79" s="21" t="str">
        <f aca="false">IF($B79="","",IFERROR(INDEX(이수현황!$I$6:$I$485,MATCH("R"&amp;74,미이수현황!$L$6:$L$485,0)),""))</f>
        <v/>
      </c>
      <c r="J79" s="24" t="b">
        <f aca="false">IF(이수현황!$A79="",FALSE(),OR(이수현황!$J79="기한초과",이수현황!$J79="임박"))</f>
        <v>0</v>
      </c>
      <c r="K79" s="6" t="str">
        <f aca="false">IF($J79=FALSE(),"",COUNTIF($J$6:$J79,TRUE()))</f>
        <v/>
      </c>
      <c r="L79" s="6" t="str">
        <f aca="false">IF($K79="","","R"&amp;$K79)</f>
        <v/>
      </c>
    </row>
    <row r="80" customFormat="false" ht="15" hidden="false" customHeight="true" outlineLevel="0" collapsed="false">
      <c r="A80" s="21" t="str">
        <f aca="false">IF($B80="","",75)</f>
        <v/>
      </c>
      <c r="B80" s="20" t="str">
        <f aca="false">IFERROR(INDEX(이수현황!$A$6:$A$485,MATCH("R"&amp;75,미이수현황!$L$6:$L$485,0)),"")</f>
        <v/>
      </c>
      <c r="C80" s="20" t="str">
        <f aca="false">IF($B80="","",IFERROR(INDEX(이수현황!$B$6:$B$485,MATCH("R"&amp;75,미이수현황!$L$6:$L$485,0)),""))</f>
        <v/>
      </c>
      <c r="D80" s="20" t="str">
        <f aca="false">IF($B80="","",IFERROR(INDEX(이수현황!$C$6:$C$485,MATCH("R"&amp;75,미이수현황!$L$6:$L$485,0)),""))</f>
        <v/>
      </c>
      <c r="E80" s="20" t="str">
        <f aca="false">IF($B80="","",IFERROR(INDEX(이수현황!$E$6:$E$485,MATCH("R"&amp;75,미이수현황!$L$6:$L$485,0)),""))</f>
        <v/>
      </c>
      <c r="F80" s="23" t="str">
        <f aca="false">IF($B80="","",IFERROR(INDEX(이수현황!$G$6:$G$485,MATCH("R"&amp;75,미이수현황!$L$6:$L$485,0)),""))</f>
        <v/>
      </c>
      <c r="G80" s="23" t="str">
        <f aca="false">IF($B80="","",IFERROR(INDEX(이수현황!$H$6:$H$485,MATCH("R"&amp;75,미이수현황!$L$6:$L$485,0)),""))</f>
        <v/>
      </c>
      <c r="H80" s="21" t="str">
        <f aca="false">IF($B80="","",IFERROR(INDEX(이수현황!$I$6:$I$485,MATCH("R"&amp;75,미이수현황!$L$6:$L$485,0)),""))</f>
        <v/>
      </c>
      <c r="J80" s="24" t="b">
        <f aca="false">IF(이수현황!$A80="",FALSE(),OR(이수현황!$J80="기한초과",이수현황!$J80="임박"))</f>
        <v>0</v>
      </c>
      <c r="K80" s="6" t="str">
        <f aca="false">IF($J80=FALSE(),"",COUNTIF($J$6:$J80,TRUE()))</f>
        <v/>
      </c>
      <c r="L80" s="6" t="str">
        <f aca="false">IF($K80="","","R"&amp;$K80)</f>
        <v/>
      </c>
    </row>
    <row r="81" customFormat="false" ht="15" hidden="false" customHeight="true" outlineLevel="0" collapsed="false">
      <c r="A81" s="21" t="str">
        <f aca="false">IF($B81="","",76)</f>
        <v/>
      </c>
      <c r="B81" s="20" t="str">
        <f aca="false">IFERROR(INDEX(이수현황!$A$6:$A$485,MATCH("R"&amp;76,미이수현황!$L$6:$L$485,0)),"")</f>
        <v/>
      </c>
      <c r="C81" s="20" t="str">
        <f aca="false">IF($B81="","",IFERROR(INDEX(이수현황!$B$6:$B$485,MATCH("R"&amp;76,미이수현황!$L$6:$L$485,0)),""))</f>
        <v/>
      </c>
      <c r="D81" s="20" t="str">
        <f aca="false">IF($B81="","",IFERROR(INDEX(이수현황!$C$6:$C$485,MATCH("R"&amp;76,미이수현황!$L$6:$L$485,0)),""))</f>
        <v/>
      </c>
      <c r="E81" s="20" t="str">
        <f aca="false">IF($B81="","",IFERROR(INDEX(이수현황!$E$6:$E$485,MATCH("R"&amp;76,미이수현황!$L$6:$L$485,0)),""))</f>
        <v/>
      </c>
      <c r="F81" s="23" t="str">
        <f aca="false">IF($B81="","",IFERROR(INDEX(이수현황!$G$6:$G$485,MATCH("R"&amp;76,미이수현황!$L$6:$L$485,0)),""))</f>
        <v/>
      </c>
      <c r="G81" s="23" t="str">
        <f aca="false">IF($B81="","",IFERROR(INDEX(이수현황!$H$6:$H$485,MATCH("R"&amp;76,미이수현황!$L$6:$L$485,0)),""))</f>
        <v/>
      </c>
      <c r="H81" s="21" t="str">
        <f aca="false">IF($B81="","",IFERROR(INDEX(이수현황!$I$6:$I$485,MATCH("R"&amp;76,미이수현황!$L$6:$L$485,0)),""))</f>
        <v/>
      </c>
      <c r="J81" s="24" t="b">
        <f aca="false">IF(이수현황!$A81="",FALSE(),OR(이수현황!$J81="기한초과",이수현황!$J81="임박"))</f>
        <v>0</v>
      </c>
      <c r="K81" s="6" t="str">
        <f aca="false">IF($J81=FALSE(),"",COUNTIF($J$6:$J81,TRUE()))</f>
        <v/>
      </c>
      <c r="L81" s="6" t="str">
        <f aca="false">IF($K81="","","R"&amp;$K81)</f>
        <v/>
      </c>
    </row>
    <row r="82" customFormat="false" ht="15" hidden="false" customHeight="true" outlineLevel="0" collapsed="false">
      <c r="A82" s="21" t="str">
        <f aca="false">IF($B82="","",77)</f>
        <v/>
      </c>
      <c r="B82" s="20" t="str">
        <f aca="false">IFERROR(INDEX(이수현황!$A$6:$A$485,MATCH("R"&amp;77,미이수현황!$L$6:$L$485,0)),"")</f>
        <v/>
      </c>
      <c r="C82" s="20" t="str">
        <f aca="false">IF($B82="","",IFERROR(INDEX(이수현황!$B$6:$B$485,MATCH("R"&amp;77,미이수현황!$L$6:$L$485,0)),""))</f>
        <v/>
      </c>
      <c r="D82" s="20" t="str">
        <f aca="false">IF($B82="","",IFERROR(INDEX(이수현황!$C$6:$C$485,MATCH("R"&amp;77,미이수현황!$L$6:$L$485,0)),""))</f>
        <v/>
      </c>
      <c r="E82" s="20" t="str">
        <f aca="false">IF($B82="","",IFERROR(INDEX(이수현황!$E$6:$E$485,MATCH("R"&amp;77,미이수현황!$L$6:$L$485,0)),""))</f>
        <v/>
      </c>
      <c r="F82" s="23" t="str">
        <f aca="false">IF($B82="","",IFERROR(INDEX(이수현황!$G$6:$G$485,MATCH("R"&amp;77,미이수현황!$L$6:$L$485,0)),""))</f>
        <v/>
      </c>
      <c r="G82" s="23" t="str">
        <f aca="false">IF($B82="","",IFERROR(INDEX(이수현황!$H$6:$H$485,MATCH("R"&amp;77,미이수현황!$L$6:$L$485,0)),""))</f>
        <v/>
      </c>
      <c r="H82" s="21" t="str">
        <f aca="false">IF($B82="","",IFERROR(INDEX(이수현황!$I$6:$I$485,MATCH("R"&amp;77,미이수현황!$L$6:$L$485,0)),""))</f>
        <v/>
      </c>
      <c r="J82" s="24" t="b">
        <f aca="false">IF(이수현황!$A82="",FALSE(),OR(이수현황!$J82="기한초과",이수현황!$J82="임박"))</f>
        <v>0</v>
      </c>
      <c r="K82" s="6" t="str">
        <f aca="false">IF($J82=FALSE(),"",COUNTIF($J$6:$J82,TRUE()))</f>
        <v/>
      </c>
      <c r="L82" s="6" t="str">
        <f aca="false">IF($K82="","","R"&amp;$K82)</f>
        <v/>
      </c>
    </row>
    <row r="83" customFormat="false" ht="15" hidden="false" customHeight="true" outlineLevel="0" collapsed="false">
      <c r="A83" s="21" t="str">
        <f aca="false">IF($B83="","",78)</f>
        <v/>
      </c>
      <c r="B83" s="20" t="str">
        <f aca="false">IFERROR(INDEX(이수현황!$A$6:$A$485,MATCH("R"&amp;78,미이수현황!$L$6:$L$485,0)),"")</f>
        <v/>
      </c>
      <c r="C83" s="20" t="str">
        <f aca="false">IF($B83="","",IFERROR(INDEX(이수현황!$B$6:$B$485,MATCH("R"&amp;78,미이수현황!$L$6:$L$485,0)),""))</f>
        <v/>
      </c>
      <c r="D83" s="20" t="str">
        <f aca="false">IF($B83="","",IFERROR(INDEX(이수현황!$C$6:$C$485,MATCH("R"&amp;78,미이수현황!$L$6:$L$485,0)),""))</f>
        <v/>
      </c>
      <c r="E83" s="20" t="str">
        <f aca="false">IF($B83="","",IFERROR(INDEX(이수현황!$E$6:$E$485,MATCH("R"&amp;78,미이수현황!$L$6:$L$485,0)),""))</f>
        <v/>
      </c>
      <c r="F83" s="23" t="str">
        <f aca="false">IF($B83="","",IFERROR(INDEX(이수현황!$G$6:$G$485,MATCH("R"&amp;78,미이수현황!$L$6:$L$485,0)),""))</f>
        <v/>
      </c>
      <c r="G83" s="23" t="str">
        <f aca="false">IF($B83="","",IFERROR(INDEX(이수현황!$H$6:$H$485,MATCH("R"&amp;78,미이수현황!$L$6:$L$485,0)),""))</f>
        <v/>
      </c>
      <c r="H83" s="21" t="str">
        <f aca="false">IF($B83="","",IFERROR(INDEX(이수현황!$I$6:$I$485,MATCH("R"&amp;78,미이수현황!$L$6:$L$485,0)),""))</f>
        <v/>
      </c>
      <c r="J83" s="24" t="b">
        <f aca="false">IF(이수현황!$A83="",FALSE(),OR(이수현황!$J83="기한초과",이수현황!$J83="임박"))</f>
        <v>0</v>
      </c>
      <c r="K83" s="6" t="str">
        <f aca="false">IF($J83=FALSE(),"",COUNTIF($J$6:$J83,TRUE()))</f>
        <v/>
      </c>
      <c r="L83" s="6" t="str">
        <f aca="false">IF($K83="","","R"&amp;$K83)</f>
        <v/>
      </c>
    </row>
    <row r="84" customFormat="false" ht="15" hidden="false" customHeight="true" outlineLevel="0" collapsed="false">
      <c r="A84" s="21" t="str">
        <f aca="false">IF($B84="","",79)</f>
        <v/>
      </c>
      <c r="B84" s="20" t="str">
        <f aca="false">IFERROR(INDEX(이수현황!$A$6:$A$485,MATCH("R"&amp;79,미이수현황!$L$6:$L$485,0)),"")</f>
        <v/>
      </c>
      <c r="C84" s="20" t="str">
        <f aca="false">IF($B84="","",IFERROR(INDEX(이수현황!$B$6:$B$485,MATCH("R"&amp;79,미이수현황!$L$6:$L$485,0)),""))</f>
        <v/>
      </c>
      <c r="D84" s="20" t="str">
        <f aca="false">IF($B84="","",IFERROR(INDEX(이수현황!$C$6:$C$485,MATCH("R"&amp;79,미이수현황!$L$6:$L$485,0)),""))</f>
        <v/>
      </c>
      <c r="E84" s="20" t="str">
        <f aca="false">IF($B84="","",IFERROR(INDEX(이수현황!$E$6:$E$485,MATCH("R"&amp;79,미이수현황!$L$6:$L$485,0)),""))</f>
        <v/>
      </c>
      <c r="F84" s="23" t="str">
        <f aca="false">IF($B84="","",IFERROR(INDEX(이수현황!$G$6:$G$485,MATCH("R"&amp;79,미이수현황!$L$6:$L$485,0)),""))</f>
        <v/>
      </c>
      <c r="G84" s="23" t="str">
        <f aca="false">IF($B84="","",IFERROR(INDEX(이수현황!$H$6:$H$485,MATCH("R"&amp;79,미이수현황!$L$6:$L$485,0)),""))</f>
        <v/>
      </c>
      <c r="H84" s="21" t="str">
        <f aca="false">IF($B84="","",IFERROR(INDEX(이수현황!$I$6:$I$485,MATCH("R"&amp;79,미이수현황!$L$6:$L$485,0)),""))</f>
        <v/>
      </c>
      <c r="J84" s="24" t="b">
        <f aca="false">IF(이수현황!$A84="",FALSE(),OR(이수현황!$J84="기한초과",이수현황!$J84="임박"))</f>
        <v>0</v>
      </c>
      <c r="K84" s="6" t="str">
        <f aca="false">IF($J84=FALSE(),"",COUNTIF($J$6:$J84,TRUE()))</f>
        <v/>
      </c>
      <c r="L84" s="6" t="str">
        <f aca="false">IF($K84="","","R"&amp;$K84)</f>
        <v/>
      </c>
    </row>
    <row r="85" customFormat="false" ht="15" hidden="false" customHeight="true" outlineLevel="0" collapsed="false">
      <c r="A85" s="21" t="str">
        <f aca="false">IF($B85="","",80)</f>
        <v/>
      </c>
      <c r="B85" s="20" t="str">
        <f aca="false">IFERROR(INDEX(이수현황!$A$6:$A$485,MATCH("R"&amp;80,미이수현황!$L$6:$L$485,0)),"")</f>
        <v/>
      </c>
      <c r="C85" s="20" t="str">
        <f aca="false">IF($B85="","",IFERROR(INDEX(이수현황!$B$6:$B$485,MATCH("R"&amp;80,미이수현황!$L$6:$L$485,0)),""))</f>
        <v/>
      </c>
      <c r="D85" s="20" t="str">
        <f aca="false">IF($B85="","",IFERROR(INDEX(이수현황!$C$6:$C$485,MATCH("R"&amp;80,미이수현황!$L$6:$L$485,0)),""))</f>
        <v/>
      </c>
      <c r="E85" s="20" t="str">
        <f aca="false">IF($B85="","",IFERROR(INDEX(이수현황!$E$6:$E$485,MATCH("R"&amp;80,미이수현황!$L$6:$L$485,0)),""))</f>
        <v/>
      </c>
      <c r="F85" s="23" t="str">
        <f aca="false">IF($B85="","",IFERROR(INDEX(이수현황!$G$6:$G$485,MATCH("R"&amp;80,미이수현황!$L$6:$L$485,0)),""))</f>
        <v/>
      </c>
      <c r="G85" s="23" t="str">
        <f aca="false">IF($B85="","",IFERROR(INDEX(이수현황!$H$6:$H$485,MATCH("R"&amp;80,미이수현황!$L$6:$L$485,0)),""))</f>
        <v/>
      </c>
      <c r="H85" s="21" t="str">
        <f aca="false">IF($B85="","",IFERROR(INDEX(이수현황!$I$6:$I$485,MATCH("R"&amp;80,미이수현황!$L$6:$L$485,0)),""))</f>
        <v/>
      </c>
      <c r="J85" s="24" t="b">
        <f aca="false">IF(이수현황!$A85="",FALSE(),OR(이수현황!$J85="기한초과",이수현황!$J85="임박"))</f>
        <v>0</v>
      </c>
      <c r="K85" s="6" t="str">
        <f aca="false">IF($J85=FALSE(),"",COUNTIF($J$6:$J85,TRUE()))</f>
        <v/>
      </c>
      <c r="L85" s="6" t="str">
        <f aca="false">IF($K85="","","R"&amp;$K85)</f>
        <v/>
      </c>
    </row>
    <row r="86" customFormat="false" ht="15" hidden="false" customHeight="true" outlineLevel="0" collapsed="false">
      <c r="A86" s="21" t="str">
        <f aca="false">IF($B86="","",81)</f>
        <v/>
      </c>
      <c r="B86" s="20" t="str">
        <f aca="false">IFERROR(INDEX(이수현황!$A$6:$A$485,MATCH("R"&amp;81,미이수현황!$L$6:$L$485,0)),"")</f>
        <v/>
      </c>
      <c r="C86" s="20" t="str">
        <f aca="false">IF($B86="","",IFERROR(INDEX(이수현황!$B$6:$B$485,MATCH("R"&amp;81,미이수현황!$L$6:$L$485,0)),""))</f>
        <v/>
      </c>
      <c r="D86" s="20" t="str">
        <f aca="false">IF($B86="","",IFERROR(INDEX(이수현황!$C$6:$C$485,MATCH("R"&amp;81,미이수현황!$L$6:$L$485,0)),""))</f>
        <v/>
      </c>
      <c r="E86" s="20" t="str">
        <f aca="false">IF($B86="","",IFERROR(INDEX(이수현황!$E$6:$E$485,MATCH("R"&amp;81,미이수현황!$L$6:$L$485,0)),""))</f>
        <v/>
      </c>
      <c r="F86" s="23" t="str">
        <f aca="false">IF($B86="","",IFERROR(INDEX(이수현황!$G$6:$G$485,MATCH("R"&amp;81,미이수현황!$L$6:$L$485,0)),""))</f>
        <v/>
      </c>
      <c r="G86" s="23" t="str">
        <f aca="false">IF($B86="","",IFERROR(INDEX(이수현황!$H$6:$H$485,MATCH("R"&amp;81,미이수현황!$L$6:$L$485,0)),""))</f>
        <v/>
      </c>
      <c r="H86" s="21" t="str">
        <f aca="false">IF($B86="","",IFERROR(INDEX(이수현황!$I$6:$I$485,MATCH("R"&amp;81,미이수현황!$L$6:$L$485,0)),""))</f>
        <v/>
      </c>
      <c r="J86" s="24" t="b">
        <f aca="false">IF(이수현황!$A86="",FALSE(),OR(이수현황!$J86="기한초과",이수현황!$J86="임박"))</f>
        <v>0</v>
      </c>
      <c r="K86" s="6" t="str">
        <f aca="false">IF($J86=FALSE(),"",COUNTIF($J$6:$J86,TRUE()))</f>
        <v/>
      </c>
      <c r="L86" s="6" t="str">
        <f aca="false">IF($K86="","","R"&amp;$K86)</f>
        <v/>
      </c>
    </row>
    <row r="87" customFormat="false" ht="15" hidden="false" customHeight="true" outlineLevel="0" collapsed="false">
      <c r="A87" s="21" t="str">
        <f aca="false">IF($B87="","",82)</f>
        <v/>
      </c>
      <c r="B87" s="20" t="str">
        <f aca="false">IFERROR(INDEX(이수현황!$A$6:$A$485,MATCH("R"&amp;82,미이수현황!$L$6:$L$485,0)),"")</f>
        <v/>
      </c>
      <c r="C87" s="20" t="str">
        <f aca="false">IF($B87="","",IFERROR(INDEX(이수현황!$B$6:$B$485,MATCH("R"&amp;82,미이수현황!$L$6:$L$485,0)),""))</f>
        <v/>
      </c>
      <c r="D87" s="20" t="str">
        <f aca="false">IF($B87="","",IFERROR(INDEX(이수현황!$C$6:$C$485,MATCH("R"&amp;82,미이수현황!$L$6:$L$485,0)),""))</f>
        <v/>
      </c>
      <c r="E87" s="20" t="str">
        <f aca="false">IF($B87="","",IFERROR(INDEX(이수현황!$E$6:$E$485,MATCH("R"&amp;82,미이수현황!$L$6:$L$485,0)),""))</f>
        <v/>
      </c>
      <c r="F87" s="23" t="str">
        <f aca="false">IF($B87="","",IFERROR(INDEX(이수현황!$G$6:$G$485,MATCH("R"&amp;82,미이수현황!$L$6:$L$485,0)),""))</f>
        <v/>
      </c>
      <c r="G87" s="23" t="str">
        <f aca="false">IF($B87="","",IFERROR(INDEX(이수현황!$H$6:$H$485,MATCH("R"&amp;82,미이수현황!$L$6:$L$485,0)),""))</f>
        <v/>
      </c>
      <c r="H87" s="21" t="str">
        <f aca="false">IF($B87="","",IFERROR(INDEX(이수현황!$I$6:$I$485,MATCH("R"&amp;82,미이수현황!$L$6:$L$485,0)),""))</f>
        <v/>
      </c>
      <c r="J87" s="24" t="b">
        <f aca="false">IF(이수현황!$A87="",FALSE(),OR(이수현황!$J87="기한초과",이수현황!$J87="임박"))</f>
        <v>0</v>
      </c>
      <c r="K87" s="6" t="str">
        <f aca="false">IF($J87=FALSE(),"",COUNTIF($J$6:$J87,TRUE()))</f>
        <v/>
      </c>
      <c r="L87" s="6" t="str">
        <f aca="false">IF($K87="","","R"&amp;$K87)</f>
        <v/>
      </c>
    </row>
    <row r="88" customFormat="false" ht="15" hidden="false" customHeight="true" outlineLevel="0" collapsed="false">
      <c r="A88" s="21" t="str">
        <f aca="false">IF($B88="","",83)</f>
        <v/>
      </c>
      <c r="B88" s="20" t="str">
        <f aca="false">IFERROR(INDEX(이수현황!$A$6:$A$485,MATCH("R"&amp;83,미이수현황!$L$6:$L$485,0)),"")</f>
        <v/>
      </c>
      <c r="C88" s="20" t="str">
        <f aca="false">IF($B88="","",IFERROR(INDEX(이수현황!$B$6:$B$485,MATCH("R"&amp;83,미이수현황!$L$6:$L$485,0)),""))</f>
        <v/>
      </c>
      <c r="D88" s="20" t="str">
        <f aca="false">IF($B88="","",IFERROR(INDEX(이수현황!$C$6:$C$485,MATCH("R"&amp;83,미이수현황!$L$6:$L$485,0)),""))</f>
        <v/>
      </c>
      <c r="E88" s="20" t="str">
        <f aca="false">IF($B88="","",IFERROR(INDEX(이수현황!$E$6:$E$485,MATCH("R"&amp;83,미이수현황!$L$6:$L$485,0)),""))</f>
        <v/>
      </c>
      <c r="F88" s="23" t="str">
        <f aca="false">IF($B88="","",IFERROR(INDEX(이수현황!$G$6:$G$485,MATCH("R"&amp;83,미이수현황!$L$6:$L$485,0)),""))</f>
        <v/>
      </c>
      <c r="G88" s="23" t="str">
        <f aca="false">IF($B88="","",IFERROR(INDEX(이수현황!$H$6:$H$485,MATCH("R"&amp;83,미이수현황!$L$6:$L$485,0)),""))</f>
        <v/>
      </c>
      <c r="H88" s="21" t="str">
        <f aca="false">IF($B88="","",IFERROR(INDEX(이수현황!$I$6:$I$485,MATCH("R"&amp;83,미이수현황!$L$6:$L$485,0)),""))</f>
        <v/>
      </c>
      <c r="J88" s="24" t="b">
        <f aca="false">IF(이수현황!$A88="",FALSE(),OR(이수현황!$J88="기한초과",이수현황!$J88="임박"))</f>
        <v>0</v>
      </c>
      <c r="K88" s="6" t="str">
        <f aca="false">IF($J88=FALSE(),"",COUNTIF($J$6:$J88,TRUE()))</f>
        <v/>
      </c>
      <c r="L88" s="6" t="str">
        <f aca="false">IF($K88="","","R"&amp;$K88)</f>
        <v/>
      </c>
    </row>
    <row r="89" customFormat="false" ht="15" hidden="false" customHeight="true" outlineLevel="0" collapsed="false">
      <c r="A89" s="21" t="str">
        <f aca="false">IF($B89="","",84)</f>
        <v/>
      </c>
      <c r="B89" s="20" t="str">
        <f aca="false">IFERROR(INDEX(이수현황!$A$6:$A$485,MATCH("R"&amp;84,미이수현황!$L$6:$L$485,0)),"")</f>
        <v/>
      </c>
      <c r="C89" s="20" t="str">
        <f aca="false">IF($B89="","",IFERROR(INDEX(이수현황!$B$6:$B$485,MATCH("R"&amp;84,미이수현황!$L$6:$L$485,0)),""))</f>
        <v/>
      </c>
      <c r="D89" s="20" t="str">
        <f aca="false">IF($B89="","",IFERROR(INDEX(이수현황!$C$6:$C$485,MATCH("R"&amp;84,미이수현황!$L$6:$L$485,0)),""))</f>
        <v/>
      </c>
      <c r="E89" s="20" t="str">
        <f aca="false">IF($B89="","",IFERROR(INDEX(이수현황!$E$6:$E$485,MATCH("R"&amp;84,미이수현황!$L$6:$L$485,0)),""))</f>
        <v/>
      </c>
      <c r="F89" s="23" t="str">
        <f aca="false">IF($B89="","",IFERROR(INDEX(이수현황!$G$6:$G$485,MATCH("R"&amp;84,미이수현황!$L$6:$L$485,0)),""))</f>
        <v/>
      </c>
      <c r="G89" s="23" t="str">
        <f aca="false">IF($B89="","",IFERROR(INDEX(이수현황!$H$6:$H$485,MATCH("R"&amp;84,미이수현황!$L$6:$L$485,0)),""))</f>
        <v/>
      </c>
      <c r="H89" s="21" t="str">
        <f aca="false">IF($B89="","",IFERROR(INDEX(이수현황!$I$6:$I$485,MATCH("R"&amp;84,미이수현황!$L$6:$L$485,0)),""))</f>
        <v/>
      </c>
      <c r="J89" s="24" t="b">
        <f aca="false">IF(이수현황!$A89="",FALSE(),OR(이수현황!$J89="기한초과",이수현황!$J89="임박"))</f>
        <v>0</v>
      </c>
      <c r="K89" s="6" t="str">
        <f aca="false">IF($J89=FALSE(),"",COUNTIF($J$6:$J89,TRUE()))</f>
        <v/>
      </c>
      <c r="L89" s="6" t="str">
        <f aca="false">IF($K89="","","R"&amp;$K89)</f>
        <v/>
      </c>
    </row>
    <row r="90" customFormat="false" ht="15" hidden="false" customHeight="true" outlineLevel="0" collapsed="false">
      <c r="A90" s="21" t="str">
        <f aca="false">IF($B90="","",85)</f>
        <v/>
      </c>
      <c r="B90" s="20" t="str">
        <f aca="false">IFERROR(INDEX(이수현황!$A$6:$A$485,MATCH("R"&amp;85,미이수현황!$L$6:$L$485,0)),"")</f>
        <v/>
      </c>
      <c r="C90" s="20" t="str">
        <f aca="false">IF($B90="","",IFERROR(INDEX(이수현황!$B$6:$B$485,MATCH("R"&amp;85,미이수현황!$L$6:$L$485,0)),""))</f>
        <v/>
      </c>
      <c r="D90" s="20" t="str">
        <f aca="false">IF($B90="","",IFERROR(INDEX(이수현황!$C$6:$C$485,MATCH("R"&amp;85,미이수현황!$L$6:$L$485,0)),""))</f>
        <v/>
      </c>
      <c r="E90" s="20" t="str">
        <f aca="false">IF($B90="","",IFERROR(INDEX(이수현황!$E$6:$E$485,MATCH("R"&amp;85,미이수현황!$L$6:$L$485,0)),""))</f>
        <v/>
      </c>
      <c r="F90" s="23" t="str">
        <f aca="false">IF($B90="","",IFERROR(INDEX(이수현황!$G$6:$G$485,MATCH("R"&amp;85,미이수현황!$L$6:$L$485,0)),""))</f>
        <v/>
      </c>
      <c r="G90" s="23" t="str">
        <f aca="false">IF($B90="","",IFERROR(INDEX(이수현황!$H$6:$H$485,MATCH("R"&amp;85,미이수현황!$L$6:$L$485,0)),""))</f>
        <v/>
      </c>
      <c r="H90" s="21" t="str">
        <f aca="false">IF($B90="","",IFERROR(INDEX(이수현황!$I$6:$I$485,MATCH("R"&amp;85,미이수현황!$L$6:$L$485,0)),""))</f>
        <v/>
      </c>
      <c r="J90" s="24" t="b">
        <f aca="false">IF(이수현황!$A90="",FALSE(),OR(이수현황!$J90="기한초과",이수현황!$J90="임박"))</f>
        <v>0</v>
      </c>
      <c r="K90" s="6" t="str">
        <f aca="false">IF($J90=FALSE(),"",COUNTIF($J$6:$J90,TRUE()))</f>
        <v/>
      </c>
      <c r="L90" s="6" t="str">
        <f aca="false">IF($K90="","","R"&amp;$K90)</f>
        <v/>
      </c>
    </row>
    <row r="91" customFormat="false" ht="15" hidden="false" customHeight="true" outlineLevel="0" collapsed="false">
      <c r="A91" s="21" t="str">
        <f aca="false">IF($B91="","",86)</f>
        <v/>
      </c>
      <c r="B91" s="20" t="str">
        <f aca="false">IFERROR(INDEX(이수현황!$A$6:$A$485,MATCH("R"&amp;86,미이수현황!$L$6:$L$485,0)),"")</f>
        <v/>
      </c>
      <c r="C91" s="20" t="str">
        <f aca="false">IF($B91="","",IFERROR(INDEX(이수현황!$B$6:$B$485,MATCH("R"&amp;86,미이수현황!$L$6:$L$485,0)),""))</f>
        <v/>
      </c>
      <c r="D91" s="20" t="str">
        <f aca="false">IF($B91="","",IFERROR(INDEX(이수현황!$C$6:$C$485,MATCH("R"&amp;86,미이수현황!$L$6:$L$485,0)),""))</f>
        <v/>
      </c>
      <c r="E91" s="20" t="str">
        <f aca="false">IF($B91="","",IFERROR(INDEX(이수현황!$E$6:$E$485,MATCH("R"&amp;86,미이수현황!$L$6:$L$485,0)),""))</f>
        <v/>
      </c>
      <c r="F91" s="23" t="str">
        <f aca="false">IF($B91="","",IFERROR(INDEX(이수현황!$G$6:$G$485,MATCH("R"&amp;86,미이수현황!$L$6:$L$485,0)),""))</f>
        <v/>
      </c>
      <c r="G91" s="23" t="str">
        <f aca="false">IF($B91="","",IFERROR(INDEX(이수현황!$H$6:$H$485,MATCH("R"&amp;86,미이수현황!$L$6:$L$485,0)),""))</f>
        <v/>
      </c>
      <c r="H91" s="21" t="str">
        <f aca="false">IF($B91="","",IFERROR(INDEX(이수현황!$I$6:$I$485,MATCH("R"&amp;86,미이수현황!$L$6:$L$485,0)),""))</f>
        <v/>
      </c>
      <c r="J91" s="24" t="b">
        <f aca="false">IF(이수현황!$A91="",FALSE(),OR(이수현황!$J91="기한초과",이수현황!$J91="임박"))</f>
        <v>0</v>
      </c>
      <c r="K91" s="6" t="str">
        <f aca="false">IF($J91=FALSE(),"",COUNTIF($J$6:$J91,TRUE()))</f>
        <v/>
      </c>
      <c r="L91" s="6" t="str">
        <f aca="false">IF($K91="","","R"&amp;$K91)</f>
        <v/>
      </c>
    </row>
    <row r="92" customFormat="false" ht="15" hidden="false" customHeight="true" outlineLevel="0" collapsed="false">
      <c r="A92" s="21" t="str">
        <f aca="false">IF($B92="","",87)</f>
        <v/>
      </c>
      <c r="B92" s="20" t="str">
        <f aca="false">IFERROR(INDEX(이수현황!$A$6:$A$485,MATCH("R"&amp;87,미이수현황!$L$6:$L$485,0)),"")</f>
        <v/>
      </c>
      <c r="C92" s="20" t="str">
        <f aca="false">IF($B92="","",IFERROR(INDEX(이수현황!$B$6:$B$485,MATCH("R"&amp;87,미이수현황!$L$6:$L$485,0)),""))</f>
        <v/>
      </c>
      <c r="D92" s="20" t="str">
        <f aca="false">IF($B92="","",IFERROR(INDEX(이수현황!$C$6:$C$485,MATCH("R"&amp;87,미이수현황!$L$6:$L$485,0)),""))</f>
        <v/>
      </c>
      <c r="E92" s="20" t="str">
        <f aca="false">IF($B92="","",IFERROR(INDEX(이수현황!$E$6:$E$485,MATCH("R"&amp;87,미이수현황!$L$6:$L$485,0)),""))</f>
        <v/>
      </c>
      <c r="F92" s="23" t="str">
        <f aca="false">IF($B92="","",IFERROR(INDEX(이수현황!$G$6:$G$485,MATCH("R"&amp;87,미이수현황!$L$6:$L$485,0)),""))</f>
        <v/>
      </c>
      <c r="G92" s="23" t="str">
        <f aca="false">IF($B92="","",IFERROR(INDEX(이수현황!$H$6:$H$485,MATCH("R"&amp;87,미이수현황!$L$6:$L$485,0)),""))</f>
        <v/>
      </c>
      <c r="H92" s="21" t="str">
        <f aca="false">IF($B92="","",IFERROR(INDEX(이수현황!$I$6:$I$485,MATCH("R"&amp;87,미이수현황!$L$6:$L$485,0)),""))</f>
        <v/>
      </c>
      <c r="J92" s="24" t="b">
        <f aca="false">IF(이수현황!$A92="",FALSE(),OR(이수현황!$J92="기한초과",이수현황!$J92="임박"))</f>
        <v>0</v>
      </c>
      <c r="K92" s="6" t="str">
        <f aca="false">IF($J92=FALSE(),"",COUNTIF($J$6:$J92,TRUE()))</f>
        <v/>
      </c>
      <c r="L92" s="6" t="str">
        <f aca="false">IF($K92="","","R"&amp;$K92)</f>
        <v/>
      </c>
    </row>
    <row r="93" customFormat="false" ht="15" hidden="false" customHeight="true" outlineLevel="0" collapsed="false">
      <c r="A93" s="21" t="str">
        <f aca="false">IF($B93="","",88)</f>
        <v/>
      </c>
      <c r="B93" s="20" t="str">
        <f aca="false">IFERROR(INDEX(이수현황!$A$6:$A$485,MATCH("R"&amp;88,미이수현황!$L$6:$L$485,0)),"")</f>
        <v/>
      </c>
      <c r="C93" s="20" t="str">
        <f aca="false">IF($B93="","",IFERROR(INDEX(이수현황!$B$6:$B$485,MATCH("R"&amp;88,미이수현황!$L$6:$L$485,0)),""))</f>
        <v/>
      </c>
      <c r="D93" s="20" t="str">
        <f aca="false">IF($B93="","",IFERROR(INDEX(이수현황!$C$6:$C$485,MATCH("R"&amp;88,미이수현황!$L$6:$L$485,0)),""))</f>
        <v/>
      </c>
      <c r="E93" s="20" t="str">
        <f aca="false">IF($B93="","",IFERROR(INDEX(이수현황!$E$6:$E$485,MATCH("R"&amp;88,미이수현황!$L$6:$L$485,0)),""))</f>
        <v/>
      </c>
      <c r="F93" s="23" t="str">
        <f aca="false">IF($B93="","",IFERROR(INDEX(이수현황!$G$6:$G$485,MATCH("R"&amp;88,미이수현황!$L$6:$L$485,0)),""))</f>
        <v/>
      </c>
      <c r="G93" s="23" t="str">
        <f aca="false">IF($B93="","",IFERROR(INDEX(이수현황!$H$6:$H$485,MATCH("R"&amp;88,미이수현황!$L$6:$L$485,0)),""))</f>
        <v/>
      </c>
      <c r="H93" s="21" t="str">
        <f aca="false">IF($B93="","",IFERROR(INDEX(이수현황!$I$6:$I$485,MATCH("R"&amp;88,미이수현황!$L$6:$L$485,0)),""))</f>
        <v/>
      </c>
      <c r="J93" s="24" t="b">
        <f aca="false">IF(이수현황!$A93="",FALSE(),OR(이수현황!$J93="기한초과",이수현황!$J93="임박"))</f>
        <v>0</v>
      </c>
      <c r="K93" s="6" t="str">
        <f aca="false">IF($J93=FALSE(),"",COUNTIF($J$6:$J93,TRUE()))</f>
        <v/>
      </c>
      <c r="L93" s="6" t="str">
        <f aca="false">IF($K93="","","R"&amp;$K93)</f>
        <v/>
      </c>
    </row>
    <row r="94" customFormat="false" ht="15" hidden="false" customHeight="true" outlineLevel="0" collapsed="false">
      <c r="A94" s="21" t="str">
        <f aca="false">IF($B94="","",89)</f>
        <v/>
      </c>
      <c r="B94" s="20" t="str">
        <f aca="false">IFERROR(INDEX(이수현황!$A$6:$A$485,MATCH("R"&amp;89,미이수현황!$L$6:$L$485,0)),"")</f>
        <v/>
      </c>
      <c r="C94" s="20" t="str">
        <f aca="false">IF($B94="","",IFERROR(INDEX(이수현황!$B$6:$B$485,MATCH("R"&amp;89,미이수현황!$L$6:$L$485,0)),""))</f>
        <v/>
      </c>
      <c r="D94" s="20" t="str">
        <f aca="false">IF($B94="","",IFERROR(INDEX(이수현황!$C$6:$C$485,MATCH("R"&amp;89,미이수현황!$L$6:$L$485,0)),""))</f>
        <v/>
      </c>
      <c r="E94" s="20" t="str">
        <f aca="false">IF($B94="","",IFERROR(INDEX(이수현황!$E$6:$E$485,MATCH("R"&amp;89,미이수현황!$L$6:$L$485,0)),""))</f>
        <v/>
      </c>
      <c r="F94" s="23" t="str">
        <f aca="false">IF($B94="","",IFERROR(INDEX(이수현황!$G$6:$G$485,MATCH("R"&amp;89,미이수현황!$L$6:$L$485,0)),""))</f>
        <v/>
      </c>
      <c r="G94" s="23" t="str">
        <f aca="false">IF($B94="","",IFERROR(INDEX(이수현황!$H$6:$H$485,MATCH("R"&amp;89,미이수현황!$L$6:$L$485,0)),""))</f>
        <v/>
      </c>
      <c r="H94" s="21" t="str">
        <f aca="false">IF($B94="","",IFERROR(INDEX(이수현황!$I$6:$I$485,MATCH("R"&amp;89,미이수현황!$L$6:$L$485,0)),""))</f>
        <v/>
      </c>
      <c r="J94" s="24" t="b">
        <f aca="false">IF(이수현황!$A94="",FALSE(),OR(이수현황!$J94="기한초과",이수현황!$J94="임박"))</f>
        <v>0</v>
      </c>
      <c r="K94" s="6" t="str">
        <f aca="false">IF($J94=FALSE(),"",COUNTIF($J$6:$J94,TRUE()))</f>
        <v/>
      </c>
      <c r="L94" s="6" t="str">
        <f aca="false">IF($K94="","","R"&amp;$K94)</f>
        <v/>
      </c>
    </row>
    <row r="95" customFormat="false" ht="15" hidden="false" customHeight="true" outlineLevel="0" collapsed="false">
      <c r="A95" s="21" t="str">
        <f aca="false">IF($B95="","",90)</f>
        <v/>
      </c>
      <c r="B95" s="20" t="str">
        <f aca="false">IFERROR(INDEX(이수현황!$A$6:$A$485,MATCH("R"&amp;90,미이수현황!$L$6:$L$485,0)),"")</f>
        <v/>
      </c>
      <c r="C95" s="20" t="str">
        <f aca="false">IF($B95="","",IFERROR(INDEX(이수현황!$B$6:$B$485,MATCH("R"&amp;90,미이수현황!$L$6:$L$485,0)),""))</f>
        <v/>
      </c>
      <c r="D95" s="20" t="str">
        <f aca="false">IF($B95="","",IFERROR(INDEX(이수현황!$C$6:$C$485,MATCH("R"&amp;90,미이수현황!$L$6:$L$485,0)),""))</f>
        <v/>
      </c>
      <c r="E95" s="20" t="str">
        <f aca="false">IF($B95="","",IFERROR(INDEX(이수현황!$E$6:$E$485,MATCH("R"&amp;90,미이수현황!$L$6:$L$485,0)),""))</f>
        <v/>
      </c>
      <c r="F95" s="23" t="str">
        <f aca="false">IF($B95="","",IFERROR(INDEX(이수현황!$G$6:$G$485,MATCH("R"&amp;90,미이수현황!$L$6:$L$485,0)),""))</f>
        <v/>
      </c>
      <c r="G95" s="23" t="str">
        <f aca="false">IF($B95="","",IFERROR(INDEX(이수현황!$H$6:$H$485,MATCH("R"&amp;90,미이수현황!$L$6:$L$485,0)),""))</f>
        <v/>
      </c>
      <c r="H95" s="21" t="str">
        <f aca="false">IF($B95="","",IFERROR(INDEX(이수현황!$I$6:$I$485,MATCH("R"&amp;90,미이수현황!$L$6:$L$485,0)),""))</f>
        <v/>
      </c>
      <c r="J95" s="24" t="b">
        <f aca="false">IF(이수현황!$A95="",FALSE(),OR(이수현황!$J95="기한초과",이수현황!$J95="임박"))</f>
        <v>0</v>
      </c>
      <c r="K95" s="6" t="str">
        <f aca="false">IF($J95=FALSE(),"",COUNTIF($J$6:$J95,TRUE()))</f>
        <v/>
      </c>
      <c r="L95" s="6" t="str">
        <f aca="false">IF($K95="","","R"&amp;$K95)</f>
        <v/>
      </c>
    </row>
    <row r="96" customFormat="false" ht="15" hidden="false" customHeight="true" outlineLevel="0" collapsed="false">
      <c r="A96" s="21" t="str">
        <f aca="false">IF($B96="","",91)</f>
        <v/>
      </c>
      <c r="B96" s="20" t="str">
        <f aca="false">IFERROR(INDEX(이수현황!$A$6:$A$485,MATCH("R"&amp;91,미이수현황!$L$6:$L$485,0)),"")</f>
        <v/>
      </c>
      <c r="C96" s="20" t="str">
        <f aca="false">IF($B96="","",IFERROR(INDEX(이수현황!$B$6:$B$485,MATCH("R"&amp;91,미이수현황!$L$6:$L$485,0)),""))</f>
        <v/>
      </c>
      <c r="D96" s="20" t="str">
        <f aca="false">IF($B96="","",IFERROR(INDEX(이수현황!$C$6:$C$485,MATCH("R"&amp;91,미이수현황!$L$6:$L$485,0)),""))</f>
        <v/>
      </c>
      <c r="E96" s="20" t="str">
        <f aca="false">IF($B96="","",IFERROR(INDEX(이수현황!$E$6:$E$485,MATCH("R"&amp;91,미이수현황!$L$6:$L$485,0)),""))</f>
        <v/>
      </c>
      <c r="F96" s="23" t="str">
        <f aca="false">IF($B96="","",IFERROR(INDEX(이수현황!$G$6:$G$485,MATCH("R"&amp;91,미이수현황!$L$6:$L$485,0)),""))</f>
        <v/>
      </c>
      <c r="G96" s="23" t="str">
        <f aca="false">IF($B96="","",IFERROR(INDEX(이수현황!$H$6:$H$485,MATCH("R"&amp;91,미이수현황!$L$6:$L$485,0)),""))</f>
        <v/>
      </c>
      <c r="H96" s="21" t="str">
        <f aca="false">IF($B96="","",IFERROR(INDEX(이수현황!$I$6:$I$485,MATCH("R"&amp;91,미이수현황!$L$6:$L$485,0)),""))</f>
        <v/>
      </c>
      <c r="J96" s="24" t="b">
        <f aca="false">IF(이수현황!$A96="",FALSE(),OR(이수현황!$J96="기한초과",이수현황!$J96="임박"))</f>
        <v>0</v>
      </c>
      <c r="K96" s="6" t="str">
        <f aca="false">IF($J96=FALSE(),"",COUNTIF($J$6:$J96,TRUE()))</f>
        <v/>
      </c>
      <c r="L96" s="6" t="str">
        <f aca="false">IF($K96="","","R"&amp;$K96)</f>
        <v/>
      </c>
    </row>
    <row r="97" customFormat="false" ht="15" hidden="false" customHeight="true" outlineLevel="0" collapsed="false">
      <c r="A97" s="21" t="str">
        <f aca="false">IF($B97="","",92)</f>
        <v/>
      </c>
      <c r="B97" s="20" t="str">
        <f aca="false">IFERROR(INDEX(이수현황!$A$6:$A$485,MATCH("R"&amp;92,미이수현황!$L$6:$L$485,0)),"")</f>
        <v/>
      </c>
      <c r="C97" s="20" t="str">
        <f aca="false">IF($B97="","",IFERROR(INDEX(이수현황!$B$6:$B$485,MATCH("R"&amp;92,미이수현황!$L$6:$L$485,0)),""))</f>
        <v/>
      </c>
      <c r="D97" s="20" t="str">
        <f aca="false">IF($B97="","",IFERROR(INDEX(이수현황!$C$6:$C$485,MATCH("R"&amp;92,미이수현황!$L$6:$L$485,0)),""))</f>
        <v/>
      </c>
      <c r="E97" s="20" t="str">
        <f aca="false">IF($B97="","",IFERROR(INDEX(이수현황!$E$6:$E$485,MATCH("R"&amp;92,미이수현황!$L$6:$L$485,0)),""))</f>
        <v/>
      </c>
      <c r="F97" s="23" t="str">
        <f aca="false">IF($B97="","",IFERROR(INDEX(이수현황!$G$6:$G$485,MATCH("R"&amp;92,미이수현황!$L$6:$L$485,0)),""))</f>
        <v/>
      </c>
      <c r="G97" s="23" t="str">
        <f aca="false">IF($B97="","",IFERROR(INDEX(이수현황!$H$6:$H$485,MATCH("R"&amp;92,미이수현황!$L$6:$L$485,0)),""))</f>
        <v/>
      </c>
      <c r="H97" s="21" t="str">
        <f aca="false">IF($B97="","",IFERROR(INDEX(이수현황!$I$6:$I$485,MATCH("R"&amp;92,미이수현황!$L$6:$L$485,0)),""))</f>
        <v/>
      </c>
      <c r="J97" s="24" t="b">
        <f aca="false">IF(이수현황!$A97="",FALSE(),OR(이수현황!$J97="기한초과",이수현황!$J97="임박"))</f>
        <v>0</v>
      </c>
      <c r="K97" s="6" t="str">
        <f aca="false">IF($J97=FALSE(),"",COUNTIF($J$6:$J97,TRUE()))</f>
        <v/>
      </c>
      <c r="L97" s="6" t="str">
        <f aca="false">IF($K97="","","R"&amp;$K97)</f>
        <v/>
      </c>
    </row>
    <row r="98" customFormat="false" ht="15" hidden="false" customHeight="true" outlineLevel="0" collapsed="false">
      <c r="A98" s="21" t="str">
        <f aca="false">IF($B98="","",93)</f>
        <v/>
      </c>
      <c r="B98" s="20" t="str">
        <f aca="false">IFERROR(INDEX(이수현황!$A$6:$A$485,MATCH("R"&amp;93,미이수현황!$L$6:$L$485,0)),"")</f>
        <v/>
      </c>
      <c r="C98" s="20" t="str">
        <f aca="false">IF($B98="","",IFERROR(INDEX(이수현황!$B$6:$B$485,MATCH("R"&amp;93,미이수현황!$L$6:$L$485,0)),""))</f>
        <v/>
      </c>
      <c r="D98" s="20" t="str">
        <f aca="false">IF($B98="","",IFERROR(INDEX(이수현황!$C$6:$C$485,MATCH("R"&amp;93,미이수현황!$L$6:$L$485,0)),""))</f>
        <v/>
      </c>
      <c r="E98" s="20" t="str">
        <f aca="false">IF($B98="","",IFERROR(INDEX(이수현황!$E$6:$E$485,MATCH("R"&amp;93,미이수현황!$L$6:$L$485,0)),""))</f>
        <v/>
      </c>
      <c r="F98" s="23" t="str">
        <f aca="false">IF($B98="","",IFERROR(INDEX(이수현황!$G$6:$G$485,MATCH("R"&amp;93,미이수현황!$L$6:$L$485,0)),""))</f>
        <v/>
      </c>
      <c r="G98" s="23" t="str">
        <f aca="false">IF($B98="","",IFERROR(INDEX(이수현황!$H$6:$H$485,MATCH("R"&amp;93,미이수현황!$L$6:$L$485,0)),""))</f>
        <v/>
      </c>
      <c r="H98" s="21" t="str">
        <f aca="false">IF($B98="","",IFERROR(INDEX(이수현황!$I$6:$I$485,MATCH("R"&amp;93,미이수현황!$L$6:$L$485,0)),""))</f>
        <v/>
      </c>
      <c r="J98" s="24" t="b">
        <f aca="false">IF(이수현황!$A98="",FALSE(),OR(이수현황!$J98="기한초과",이수현황!$J98="임박"))</f>
        <v>0</v>
      </c>
      <c r="K98" s="6" t="str">
        <f aca="false">IF($J98=FALSE(),"",COUNTIF($J$6:$J98,TRUE()))</f>
        <v/>
      </c>
      <c r="L98" s="6" t="str">
        <f aca="false">IF($K98="","","R"&amp;$K98)</f>
        <v/>
      </c>
    </row>
    <row r="99" customFormat="false" ht="15" hidden="false" customHeight="true" outlineLevel="0" collapsed="false">
      <c r="A99" s="21" t="str">
        <f aca="false">IF($B99="","",94)</f>
        <v/>
      </c>
      <c r="B99" s="20" t="str">
        <f aca="false">IFERROR(INDEX(이수현황!$A$6:$A$485,MATCH("R"&amp;94,미이수현황!$L$6:$L$485,0)),"")</f>
        <v/>
      </c>
      <c r="C99" s="20" t="str">
        <f aca="false">IF($B99="","",IFERROR(INDEX(이수현황!$B$6:$B$485,MATCH("R"&amp;94,미이수현황!$L$6:$L$485,0)),""))</f>
        <v/>
      </c>
      <c r="D99" s="20" t="str">
        <f aca="false">IF($B99="","",IFERROR(INDEX(이수현황!$C$6:$C$485,MATCH("R"&amp;94,미이수현황!$L$6:$L$485,0)),""))</f>
        <v/>
      </c>
      <c r="E99" s="20" t="str">
        <f aca="false">IF($B99="","",IFERROR(INDEX(이수현황!$E$6:$E$485,MATCH("R"&amp;94,미이수현황!$L$6:$L$485,0)),""))</f>
        <v/>
      </c>
      <c r="F99" s="23" t="str">
        <f aca="false">IF($B99="","",IFERROR(INDEX(이수현황!$G$6:$G$485,MATCH("R"&amp;94,미이수현황!$L$6:$L$485,0)),""))</f>
        <v/>
      </c>
      <c r="G99" s="23" t="str">
        <f aca="false">IF($B99="","",IFERROR(INDEX(이수현황!$H$6:$H$485,MATCH("R"&amp;94,미이수현황!$L$6:$L$485,0)),""))</f>
        <v/>
      </c>
      <c r="H99" s="21" t="str">
        <f aca="false">IF($B99="","",IFERROR(INDEX(이수현황!$I$6:$I$485,MATCH("R"&amp;94,미이수현황!$L$6:$L$485,0)),""))</f>
        <v/>
      </c>
      <c r="J99" s="24" t="b">
        <f aca="false">IF(이수현황!$A99="",FALSE(),OR(이수현황!$J99="기한초과",이수현황!$J99="임박"))</f>
        <v>0</v>
      </c>
      <c r="K99" s="6" t="str">
        <f aca="false">IF($J99=FALSE(),"",COUNTIF($J$6:$J99,TRUE()))</f>
        <v/>
      </c>
      <c r="L99" s="6" t="str">
        <f aca="false">IF($K99="","","R"&amp;$K99)</f>
        <v/>
      </c>
    </row>
    <row r="100" customFormat="false" ht="15" hidden="false" customHeight="true" outlineLevel="0" collapsed="false">
      <c r="A100" s="21" t="str">
        <f aca="false">IF($B100="","",95)</f>
        <v/>
      </c>
      <c r="B100" s="20" t="str">
        <f aca="false">IFERROR(INDEX(이수현황!$A$6:$A$485,MATCH("R"&amp;95,미이수현황!$L$6:$L$485,0)),"")</f>
        <v/>
      </c>
      <c r="C100" s="20" t="str">
        <f aca="false">IF($B100="","",IFERROR(INDEX(이수현황!$B$6:$B$485,MATCH("R"&amp;95,미이수현황!$L$6:$L$485,0)),""))</f>
        <v/>
      </c>
      <c r="D100" s="20" t="str">
        <f aca="false">IF($B100="","",IFERROR(INDEX(이수현황!$C$6:$C$485,MATCH("R"&amp;95,미이수현황!$L$6:$L$485,0)),""))</f>
        <v/>
      </c>
      <c r="E100" s="20" t="str">
        <f aca="false">IF($B100="","",IFERROR(INDEX(이수현황!$E$6:$E$485,MATCH("R"&amp;95,미이수현황!$L$6:$L$485,0)),""))</f>
        <v/>
      </c>
      <c r="F100" s="23" t="str">
        <f aca="false">IF($B100="","",IFERROR(INDEX(이수현황!$G$6:$G$485,MATCH("R"&amp;95,미이수현황!$L$6:$L$485,0)),""))</f>
        <v/>
      </c>
      <c r="G100" s="23" t="str">
        <f aca="false">IF($B100="","",IFERROR(INDEX(이수현황!$H$6:$H$485,MATCH("R"&amp;95,미이수현황!$L$6:$L$485,0)),""))</f>
        <v/>
      </c>
      <c r="H100" s="21" t="str">
        <f aca="false">IF($B100="","",IFERROR(INDEX(이수현황!$I$6:$I$485,MATCH("R"&amp;95,미이수현황!$L$6:$L$485,0)),""))</f>
        <v/>
      </c>
      <c r="J100" s="24" t="b">
        <f aca="false">IF(이수현황!$A100="",FALSE(),OR(이수현황!$J100="기한초과",이수현황!$J100="임박"))</f>
        <v>0</v>
      </c>
      <c r="K100" s="6" t="str">
        <f aca="false">IF($J100=FALSE(),"",COUNTIF($J$6:$J100,TRUE()))</f>
        <v/>
      </c>
      <c r="L100" s="6" t="str">
        <f aca="false">IF($K100="","","R"&amp;$K100)</f>
        <v/>
      </c>
    </row>
    <row r="101" customFormat="false" ht="15" hidden="false" customHeight="true" outlineLevel="0" collapsed="false">
      <c r="A101" s="21" t="str">
        <f aca="false">IF($B101="","",96)</f>
        <v/>
      </c>
      <c r="B101" s="20" t="str">
        <f aca="false">IFERROR(INDEX(이수현황!$A$6:$A$485,MATCH("R"&amp;96,미이수현황!$L$6:$L$485,0)),"")</f>
        <v/>
      </c>
      <c r="C101" s="20" t="str">
        <f aca="false">IF($B101="","",IFERROR(INDEX(이수현황!$B$6:$B$485,MATCH("R"&amp;96,미이수현황!$L$6:$L$485,0)),""))</f>
        <v/>
      </c>
      <c r="D101" s="20" t="str">
        <f aca="false">IF($B101="","",IFERROR(INDEX(이수현황!$C$6:$C$485,MATCH("R"&amp;96,미이수현황!$L$6:$L$485,0)),""))</f>
        <v/>
      </c>
      <c r="E101" s="20" t="str">
        <f aca="false">IF($B101="","",IFERROR(INDEX(이수현황!$E$6:$E$485,MATCH("R"&amp;96,미이수현황!$L$6:$L$485,0)),""))</f>
        <v/>
      </c>
      <c r="F101" s="23" t="str">
        <f aca="false">IF($B101="","",IFERROR(INDEX(이수현황!$G$6:$G$485,MATCH("R"&amp;96,미이수현황!$L$6:$L$485,0)),""))</f>
        <v/>
      </c>
      <c r="G101" s="23" t="str">
        <f aca="false">IF($B101="","",IFERROR(INDEX(이수현황!$H$6:$H$485,MATCH("R"&amp;96,미이수현황!$L$6:$L$485,0)),""))</f>
        <v/>
      </c>
      <c r="H101" s="21" t="str">
        <f aca="false">IF($B101="","",IFERROR(INDEX(이수현황!$I$6:$I$485,MATCH("R"&amp;96,미이수현황!$L$6:$L$485,0)),""))</f>
        <v/>
      </c>
      <c r="J101" s="24" t="b">
        <f aca="false">IF(이수현황!$A101="",FALSE(),OR(이수현황!$J101="기한초과",이수현황!$J101="임박"))</f>
        <v>0</v>
      </c>
      <c r="K101" s="6" t="str">
        <f aca="false">IF($J101=FALSE(),"",COUNTIF($J$6:$J101,TRUE()))</f>
        <v/>
      </c>
      <c r="L101" s="6" t="str">
        <f aca="false">IF($K101="","","R"&amp;$K101)</f>
        <v/>
      </c>
    </row>
    <row r="102" customFormat="false" ht="15" hidden="false" customHeight="true" outlineLevel="0" collapsed="false">
      <c r="A102" s="21" t="str">
        <f aca="false">IF($B102="","",97)</f>
        <v/>
      </c>
      <c r="B102" s="20" t="str">
        <f aca="false">IFERROR(INDEX(이수현황!$A$6:$A$485,MATCH("R"&amp;97,미이수현황!$L$6:$L$485,0)),"")</f>
        <v/>
      </c>
      <c r="C102" s="20" t="str">
        <f aca="false">IF($B102="","",IFERROR(INDEX(이수현황!$B$6:$B$485,MATCH("R"&amp;97,미이수현황!$L$6:$L$485,0)),""))</f>
        <v/>
      </c>
      <c r="D102" s="20" t="str">
        <f aca="false">IF($B102="","",IFERROR(INDEX(이수현황!$C$6:$C$485,MATCH("R"&amp;97,미이수현황!$L$6:$L$485,0)),""))</f>
        <v/>
      </c>
      <c r="E102" s="20" t="str">
        <f aca="false">IF($B102="","",IFERROR(INDEX(이수현황!$E$6:$E$485,MATCH("R"&amp;97,미이수현황!$L$6:$L$485,0)),""))</f>
        <v/>
      </c>
      <c r="F102" s="23" t="str">
        <f aca="false">IF($B102="","",IFERROR(INDEX(이수현황!$G$6:$G$485,MATCH("R"&amp;97,미이수현황!$L$6:$L$485,0)),""))</f>
        <v/>
      </c>
      <c r="G102" s="23" t="str">
        <f aca="false">IF($B102="","",IFERROR(INDEX(이수현황!$H$6:$H$485,MATCH("R"&amp;97,미이수현황!$L$6:$L$485,0)),""))</f>
        <v/>
      </c>
      <c r="H102" s="21" t="str">
        <f aca="false">IF($B102="","",IFERROR(INDEX(이수현황!$I$6:$I$485,MATCH("R"&amp;97,미이수현황!$L$6:$L$485,0)),""))</f>
        <v/>
      </c>
      <c r="J102" s="24" t="b">
        <f aca="false">IF(이수현황!$A102="",FALSE(),OR(이수현황!$J102="기한초과",이수현황!$J102="임박"))</f>
        <v>0</v>
      </c>
      <c r="K102" s="6" t="str">
        <f aca="false">IF($J102=FALSE(),"",COUNTIF($J$6:$J102,TRUE()))</f>
        <v/>
      </c>
      <c r="L102" s="6" t="str">
        <f aca="false">IF($K102="","","R"&amp;$K102)</f>
        <v/>
      </c>
    </row>
    <row r="103" customFormat="false" ht="15" hidden="false" customHeight="true" outlineLevel="0" collapsed="false">
      <c r="A103" s="21" t="str">
        <f aca="false">IF($B103="","",98)</f>
        <v/>
      </c>
      <c r="B103" s="20" t="str">
        <f aca="false">IFERROR(INDEX(이수현황!$A$6:$A$485,MATCH("R"&amp;98,미이수현황!$L$6:$L$485,0)),"")</f>
        <v/>
      </c>
      <c r="C103" s="20" t="str">
        <f aca="false">IF($B103="","",IFERROR(INDEX(이수현황!$B$6:$B$485,MATCH("R"&amp;98,미이수현황!$L$6:$L$485,0)),""))</f>
        <v/>
      </c>
      <c r="D103" s="20" t="str">
        <f aca="false">IF($B103="","",IFERROR(INDEX(이수현황!$C$6:$C$485,MATCH("R"&amp;98,미이수현황!$L$6:$L$485,0)),""))</f>
        <v/>
      </c>
      <c r="E103" s="20" t="str">
        <f aca="false">IF($B103="","",IFERROR(INDEX(이수현황!$E$6:$E$485,MATCH("R"&amp;98,미이수현황!$L$6:$L$485,0)),""))</f>
        <v/>
      </c>
      <c r="F103" s="23" t="str">
        <f aca="false">IF($B103="","",IFERROR(INDEX(이수현황!$G$6:$G$485,MATCH("R"&amp;98,미이수현황!$L$6:$L$485,0)),""))</f>
        <v/>
      </c>
      <c r="G103" s="23" t="str">
        <f aca="false">IF($B103="","",IFERROR(INDEX(이수현황!$H$6:$H$485,MATCH("R"&amp;98,미이수현황!$L$6:$L$485,0)),""))</f>
        <v/>
      </c>
      <c r="H103" s="21" t="str">
        <f aca="false">IF($B103="","",IFERROR(INDEX(이수현황!$I$6:$I$485,MATCH("R"&amp;98,미이수현황!$L$6:$L$485,0)),""))</f>
        <v/>
      </c>
      <c r="J103" s="24" t="b">
        <f aca="false">IF(이수현황!$A103="",FALSE(),OR(이수현황!$J103="기한초과",이수현황!$J103="임박"))</f>
        <v>0</v>
      </c>
      <c r="K103" s="6" t="str">
        <f aca="false">IF($J103=FALSE(),"",COUNTIF($J$6:$J103,TRUE()))</f>
        <v/>
      </c>
      <c r="L103" s="6" t="str">
        <f aca="false">IF($K103="","","R"&amp;$K103)</f>
        <v/>
      </c>
    </row>
    <row r="104" customFormat="false" ht="15" hidden="false" customHeight="true" outlineLevel="0" collapsed="false">
      <c r="A104" s="21" t="str">
        <f aca="false">IF($B104="","",99)</f>
        <v/>
      </c>
      <c r="B104" s="20" t="str">
        <f aca="false">IFERROR(INDEX(이수현황!$A$6:$A$485,MATCH("R"&amp;99,미이수현황!$L$6:$L$485,0)),"")</f>
        <v/>
      </c>
      <c r="C104" s="20" t="str">
        <f aca="false">IF($B104="","",IFERROR(INDEX(이수현황!$B$6:$B$485,MATCH("R"&amp;99,미이수현황!$L$6:$L$485,0)),""))</f>
        <v/>
      </c>
      <c r="D104" s="20" t="str">
        <f aca="false">IF($B104="","",IFERROR(INDEX(이수현황!$C$6:$C$485,MATCH("R"&amp;99,미이수현황!$L$6:$L$485,0)),""))</f>
        <v/>
      </c>
      <c r="E104" s="20" t="str">
        <f aca="false">IF($B104="","",IFERROR(INDEX(이수현황!$E$6:$E$485,MATCH("R"&amp;99,미이수현황!$L$6:$L$485,0)),""))</f>
        <v/>
      </c>
      <c r="F104" s="23" t="str">
        <f aca="false">IF($B104="","",IFERROR(INDEX(이수현황!$G$6:$G$485,MATCH("R"&amp;99,미이수현황!$L$6:$L$485,0)),""))</f>
        <v/>
      </c>
      <c r="G104" s="23" t="str">
        <f aca="false">IF($B104="","",IFERROR(INDEX(이수현황!$H$6:$H$485,MATCH("R"&amp;99,미이수현황!$L$6:$L$485,0)),""))</f>
        <v/>
      </c>
      <c r="H104" s="21" t="str">
        <f aca="false">IF($B104="","",IFERROR(INDEX(이수현황!$I$6:$I$485,MATCH("R"&amp;99,미이수현황!$L$6:$L$485,0)),""))</f>
        <v/>
      </c>
      <c r="J104" s="24" t="b">
        <f aca="false">IF(이수현황!$A104="",FALSE(),OR(이수현황!$J104="기한초과",이수현황!$J104="임박"))</f>
        <v>0</v>
      </c>
      <c r="K104" s="6" t="str">
        <f aca="false">IF($J104=FALSE(),"",COUNTIF($J$6:$J104,TRUE()))</f>
        <v/>
      </c>
      <c r="L104" s="6" t="str">
        <f aca="false">IF($K104="","","R"&amp;$K104)</f>
        <v/>
      </c>
    </row>
    <row r="105" customFormat="false" ht="15" hidden="false" customHeight="true" outlineLevel="0" collapsed="false">
      <c r="A105" s="21" t="str">
        <f aca="false">IF($B105="","",100)</f>
        <v/>
      </c>
      <c r="B105" s="20" t="str">
        <f aca="false">IFERROR(INDEX(이수현황!$A$6:$A$485,MATCH("R"&amp;100,미이수현황!$L$6:$L$485,0)),"")</f>
        <v/>
      </c>
      <c r="C105" s="20" t="str">
        <f aca="false">IF($B105="","",IFERROR(INDEX(이수현황!$B$6:$B$485,MATCH("R"&amp;100,미이수현황!$L$6:$L$485,0)),""))</f>
        <v/>
      </c>
      <c r="D105" s="20" t="str">
        <f aca="false">IF($B105="","",IFERROR(INDEX(이수현황!$C$6:$C$485,MATCH("R"&amp;100,미이수현황!$L$6:$L$485,0)),""))</f>
        <v/>
      </c>
      <c r="E105" s="20" t="str">
        <f aca="false">IF($B105="","",IFERROR(INDEX(이수현황!$E$6:$E$485,MATCH("R"&amp;100,미이수현황!$L$6:$L$485,0)),""))</f>
        <v/>
      </c>
      <c r="F105" s="23" t="str">
        <f aca="false">IF($B105="","",IFERROR(INDEX(이수현황!$G$6:$G$485,MATCH("R"&amp;100,미이수현황!$L$6:$L$485,0)),""))</f>
        <v/>
      </c>
      <c r="G105" s="23" t="str">
        <f aca="false">IF($B105="","",IFERROR(INDEX(이수현황!$H$6:$H$485,MATCH("R"&amp;100,미이수현황!$L$6:$L$485,0)),""))</f>
        <v/>
      </c>
      <c r="H105" s="21" t="str">
        <f aca="false">IF($B105="","",IFERROR(INDEX(이수현황!$I$6:$I$485,MATCH("R"&amp;100,미이수현황!$L$6:$L$485,0)),""))</f>
        <v/>
      </c>
      <c r="J105" s="24" t="b">
        <f aca="false">IF(이수현황!$A105="",FALSE(),OR(이수현황!$J105="기한초과",이수현황!$J105="임박"))</f>
        <v>0</v>
      </c>
      <c r="K105" s="6" t="str">
        <f aca="false">IF($J105=FALSE(),"",COUNTIF($J$6:$J105,TRUE()))</f>
        <v/>
      </c>
      <c r="L105" s="6" t="str">
        <f aca="false">IF($K105="","","R"&amp;$K105)</f>
        <v/>
      </c>
    </row>
    <row r="106" customFormat="false" ht="15" hidden="false" customHeight="true" outlineLevel="0" collapsed="false">
      <c r="A106" s="21" t="str">
        <f aca="false">IF($B106="","",101)</f>
        <v/>
      </c>
      <c r="B106" s="20" t="str">
        <f aca="false">IFERROR(INDEX(이수현황!$A$6:$A$485,MATCH("R"&amp;101,미이수현황!$L$6:$L$485,0)),"")</f>
        <v/>
      </c>
      <c r="C106" s="20" t="str">
        <f aca="false">IF($B106="","",IFERROR(INDEX(이수현황!$B$6:$B$485,MATCH("R"&amp;101,미이수현황!$L$6:$L$485,0)),""))</f>
        <v/>
      </c>
      <c r="D106" s="20" t="str">
        <f aca="false">IF($B106="","",IFERROR(INDEX(이수현황!$C$6:$C$485,MATCH("R"&amp;101,미이수현황!$L$6:$L$485,0)),""))</f>
        <v/>
      </c>
      <c r="E106" s="20" t="str">
        <f aca="false">IF($B106="","",IFERROR(INDEX(이수현황!$E$6:$E$485,MATCH("R"&amp;101,미이수현황!$L$6:$L$485,0)),""))</f>
        <v/>
      </c>
      <c r="F106" s="23" t="str">
        <f aca="false">IF($B106="","",IFERROR(INDEX(이수현황!$G$6:$G$485,MATCH("R"&amp;101,미이수현황!$L$6:$L$485,0)),""))</f>
        <v/>
      </c>
      <c r="G106" s="23" t="str">
        <f aca="false">IF($B106="","",IFERROR(INDEX(이수현황!$H$6:$H$485,MATCH("R"&amp;101,미이수현황!$L$6:$L$485,0)),""))</f>
        <v/>
      </c>
      <c r="H106" s="21" t="str">
        <f aca="false">IF($B106="","",IFERROR(INDEX(이수현황!$I$6:$I$485,MATCH("R"&amp;101,미이수현황!$L$6:$L$485,0)),""))</f>
        <v/>
      </c>
      <c r="J106" s="24" t="b">
        <f aca="false">IF(이수현황!$A106="",FALSE(),OR(이수현황!$J106="기한초과",이수현황!$J106="임박"))</f>
        <v>0</v>
      </c>
      <c r="K106" s="6" t="str">
        <f aca="false">IF($J106=FALSE(),"",COUNTIF($J$6:$J106,TRUE()))</f>
        <v/>
      </c>
      <c r="L106" s="6" t="str">
        <f aca="false">IF($K106="","","R"&amp;$K106)</f>
        <v/>
      </c>
    </row>
    <row r="107" customFormat="false" ht="15" hidden="false" customHeight="true" outlineLevel="0" collapsed="false">
      <c r="A107" s="21" t="str">
        <f aca="false">IF($B107="","",102)</f>
        <v/>
      </c>
      <c r="B107" s="20" t="str">
        <f aca="false">IFERROR(INDEX(이수현황!$A$6:$A$485,MATCH("R"&amp;102,미이수현황!$L$6:$L$485,0)),"")</f>
        <v/>
      </c>
      <c r="C107" s="20" t="str">
        <f aca="false">IF($B107="","",IFERROR(INDEX(이수현황!$B$6:$B$485,MATCH("R"&amp;102,미이수현황!$L$6:$L$485,0)),""))</f>
        <v/>
      </c>
      <c r="D107" s="20" t="str">
        <f aca="false">IF($B107="","",IFERROR(INDEX(이수현황!$C$6:$C$485,MATCH("R"&amp;102,미이수현황!$L$6:$L$485,0)),""))</f>
        <v/>
      </c>
      <c r="E107" s="20" t="str">
        <f aca="false">IF($B107="","",IFERROR(INDEX(이수현황!$E$6:$E$485,MATCH("R"&amp;102,미이수현황!$L$6:$L$485,0)),""))</f>
        <v/>
      </c>
      <c r="F107" s="23" t="str">
        <f aca="false">IF($B107="","",IFERROR(INDEX(이수현황!$G$6:$G$485,MATCH("R"&amp;102,미이수현황!$L$6:$L$485,0)),""))</f>
        <v/>
      </c>
      <c r="G107" s="23" t="str">
        <f aca="false">IF($B107="","",IFERROR(INDEX(이수현황!$H$6:$H$485,MATCH("R"&amp;102,미이수현황!$L$6:$L$485,0)),""))</f>
        <v/>
      </c>
      <c r="H107" s="21" t="str">
        <f aca="false">IF($B107="","",IFERROR(INDEX(이수현황!$I$6:$I$485,MATCH("R"&amp;102,미이수현황!$L$6:$L$485,0)),""))</f>
        <v/>
      </c>
      <c r="J107" s="24" t="b">
        <f aca="false">IF(이수현황!$A107="",FALSE(),OR(이수현황!$J107="기한초과",이수현황!$J107="임박"))</f>
        <v>0</v>
      </c>
      <c r="K107" s="6" t="str">
        <f aca="false">IF($J107=FALSE(),"",COUNTIF($J$6:$J107,TRUE()))</f>
        <v/>
      </c>
      <c r="L107" s="6" t="str">
        <f aca="false">IF($K107="","","R"&amp;$K107)</f>
        <v/>
      </c>
    </row>
    <row r="108" customFormat="false" ht="15" hidden="false" customHeight="true" outlineLevel="0" collapsed="false">
      <c r="A108" s="21" t="str">
        <f aca="false">IF($B108="","",103)</f>
        <v/>
      </c>
      <c r="B108" s="20" t="str">
        <f aca="false">IFERROR(INDEX(이수현황!$A$6:$A$485,MATCH("R"&amp;103,미이수현황!$L$6:$L$485,0)),"")</f>
        <v/>
      </c>
      <c r="C108" s="20" t="str">
        <f aca="false">IF($B108="","",IFERROR(INDEX(이수현황!$B$6:$B$485,MATCH("R"&amp;103,미이수현황!$L$6:$L$485,0)),""))</f>
        <v/>
      </c>
      <c r="D108" s="20" t="str">
        <f aca="false">IF($B108="","",IFERROR(INDEX(이수현황!$C$6:$C$485,MATCH("R"&amp;103,미이수현황!$L$6:$L$485,0)),""))</f>
        <v/>
      </c>
      <c r="E108" s="20" t="str">
        <f aca="false">IF($B108="","",IFERROR(INDEX(이수현황!$E$6:$E$485,MATCH("R"&amp;103,미이수현황!$L$6:$L$485,0)),""))</f>
        <v/>
      </c>
      <c r="F108" s="23" t="str">
        <f aca="false">IF($B108="","",IFERROR(INDEX(이수현황!$G$6:$G$485,MATCH("R"&amp;103,미이수현황!$L$6:$L$485,0)),""))</f>
        <v/>
      </c>
      <c r="G108" s="23" t="str">
        <f aca="false">IF($B108="","",IFERROR(INDEX(이수현황!$H$6:$H$485,MATCH("R"&amp;103,미이수현황!$L$6:$L$485,0)),""))</f>
        <v/>
      </c>
      <c r="H108" s="21" t="str">
        <f aca="false">IF($B108="","",IFERROR(INDEX(이수현황!$I$6:$I$485,MATCH("R"&amp;103,미이수현황!$L$6:$L$485,0)),""))</f>
        <v/>
      </c>
      <c r="J108" s="24" t="b">
        <f aca="false">IF(이수현황!$A108="",FALSE(),OR(이수현황!$J108="기한초과",이수현황!$J108="임박"))</f>
        <v>0</v>
      </c>
      <c r="K108" s="6" t="str">
        <f aca="false">IF($J108=FALSE(),"",COUNTIF($J$6:$J108,TRUE()))</f>
        <v/>
      </c>
      <c r="L108" s="6" t="str">
        <f aca="false">IF($K108="","","R"&amp;$K108)</f>
        <v/>
      </c>
    </row>
    <row r="109" customFormat="false" ht="15" hidden="false" customHeight="true" outlineLevel="0" collapsed="false">
      <c r="A109" s="21" t="str">
        <f aca="false">IF($B109="","",104)</f>
        <v/>
      </c>
      <c r="B109" s="20" t="str">
        <f aca="false">IFERROR(INDEX(이수현황!$A$6:$A$485,MATCH("R"&amp;104,미이수현황!$L$6:$L$485,0)),"")</f>
        <v/>
      </c>
      <c r="C109" s="20" t="str">
        <f aca="false">IF($B109="","",IFERROR(INDEX(이수현황!$B$6:$B$485,MATCH("R"&amp;104,미이수현황!$L$6:$L$485,0)),""))</f>
        <v/>
      </c>
      <c r="D109" s="20" t="str">
        <f aca="false">IF($B109="","",IFERROR(INDEX(이수현황!$C$6:$C$485,MATCH("R"&amp;104,미이수현황!$L$6:$L$485,0)),""))</f>
        <v/>
      </c>
      <c r="E109" s="20" t="str">
        <f aca="false">IF($B109="","",IFERROR(INDEX(이수현황!$E$6:$E$485,MATCH("R"&amp;104,미이수현황!$L$6:$L$485,0)),""))</f>
        <v/>
      </c>
      <c r="F109" s="23" t="str">
        <f aca="false">IF($B109="","",IFERROR(INDEX(이수현황!$G$6:$G$485,MATCH("R"&amp;104,미이수현황!$L$6:$L$485,0)),""))</f>
        <v/>
      </c>
      <c r="G109" s="23" t="str">
        <f aca="false">IF($B109="","",IFERROR(INDEX(이수현황!$H$6:$H$485,MATCH("R"&amp;104,미이수현황!$L$6:$L$485,0)),""))</f>
        <v/>
      </c>
      <c r="H109" s="21" t="str">
        <f aca="false">IF($B109="","",IFERROR(INDEX(이수현황!$I$6:$I$485,MATCH("R"&amp;104,미이수현황!$L$6:$L$485,0)),""))</f>
        <v/>
      </c>
      <c r="J109" s="24" t="b">
        <f aca="false">IF(이수현황!$A109="",FALSE(),OR(이수현황!$J109="기한초과",이수현황!$J109="임박"))</f>
        <v>0</v>
      </c>
      <c r="K109" s="6" t="str">
        <f aca="false">IF($J109=FALSE(),"",COUNTIF($J$6:$J109,TRUE()))</f>
        <v/>
      </c>
      <c r="L109" s="6" t="str">
        <f aca="false">IF($K109="","","R"&amp;$K109)</f>
        <v/>
      </c>
    </row>
    <row r="110" customFormat="false" ht="15" hidden="false" customHeight="true" outlineLevel="0" collapsed="false">
      <c r="A110" s="21" t="str">
        <f aca="false">IF($B110="","",105)</f>
        <v/>
      </c>
      <c r="B110" s="20" t="str">
        <f aca="false">IFERROR(INDEX(이수현황!$A$6:$A$485,MATCH("R"&amp;105,미이수현황!$L$6:$L$485,0)),"")</f>
        <v/>
      </c>
      <c r="C110" s="20" t="str">
        <f aca="false">IF($B110="","",IFERROR(INDEX(이수현황!$B$6:$B$485,MATCH("R"&amp;105,미이수현황!$L$6:$L$485,0)),""))</f>
        <v/>
      </c>
      <c r="D110" s="20" t="str">
        <f aca="false">IF($B110="","",IFERROR(INDEX(이수현황!$C$6:$C$485,MATCH("R"&amp;105,미이수현황!$L$6:$L$485,0)),""))</f>
        <v/>
      </c>
      <c r="E110" s="20" t="str">
        <f aca="false">IF($B110="","",IFERROR(INDEX(이수현황!$E$6:$E$485,MATCH("R"&amp;105,미이수현황!$L$6:$L$485,0)),""))</f>
        <v/>
      </c>
      <c r="F110" s="23" t="str">
        <f aca="false">IF($B110="","",IFERROR(INDEX(이수현황!$G$6:$G$485,MATCH("R"&amp;105,미이수현황!$L$6:$L$485,0)),""))</f>
        <v/>
      </c>
      <c r="G110" s="23" t="str">
        <f aca="false">IF($B110="","",IFERROR(INDEX(이수현황!$H$6:$H$485,MATCH("R"&amp;105,미이수현황!$L$6:$L$485,0)),""))</f>
        <v/>
      </c>
      <c r="H110" s="21" t="str">
        <f aca="false">IF($B110="","",IFERROR(INDEX(이수현황!$I$6:$I$485,MATCH("R"&amp;105,미이수현황!$L$6:$L$485,0)),""))</f>
        <v/>
      </c>
      <c r="J110" s="24" t="b">
        <f aca="false">IF(이수현황!$A110="",FALSE(),OR(이수현황!$J110="기한초과",이수현황!$J110="임박"))</f>
        <v>0</v>
      </c>
      <c r="K110" s="6" t="str">
        <f aca="false">IF($J110=FALSE(),"",COUNTIF($J$6:$J110,TRUE()))</f>
        <v/>
      </c>
      <c r="L110" s="6" t="str">
        <f aca="false">IF($K110="","","R"&amp;$K110)</f>
        <v/>
      </c>
    </row>
    <row r="111" customFormat="false" ht="15" hidden="false" customHeight="true" outlineLevel="0" collapsed="false">
      <c r="A111" s="21" t="str">
        <f aca="false">IF($B111="","",106)</f>
        <v/>
      </c>
      <c r="B111" s="20" t="str">
        <f aca="false">IFERROR(INDEX(이수현황!$A$6:$A$485,MATCH("R"&amp;106,미이수현황!$L$6:$L$485,0)),"")</f>
        <v/>
      </c>
      <c r="C111" s="20" t="str">
        <f aca="false">IF($B111="","",IFERROR(INDEX(이수현황!$B$6:$B$485,MATCH("R"&amp;106,미이수현황!$L$6:$L$485,0)),""))</f>
        <v/>
      </c>
      <c r="D111" s="20" t="str">
        <f aca="false">IF($B111="","",IFERROR(INDEX(이수현황!$C$6:$C$485,MATCH("R"&amp;106,미이수현황!$L$6:$L$485,0)),""))</f>
        <v/>
      </c>
      <c r="E111" s="20" t="str">
        <f aca="false">IF($B111="","",IFERROR(INDEX(이수현황!$E$6:$E$485,MATCH("R"&amp;106,미이수현황!$L$6:$L$485,0)),""))</f>
        <v/>
      </c>
      <c r="F111" s="23" t="str">
        <f aca="false">IF($B111="","",IFERROR(INDEX(이수현황!$G$6:$G$485,MATCH("R"&amp;106,미이수현황!$L$6:$L$485,0)),""))</f>
        <v/>
      </c>
      <c r="G111" s="23" t="str">
        <f aca="false">IF($B111="","",IFERROR(INDEX(이수현황!$H$6:$H$485,MATCH("R"&amp;106,미이수현황!$L$6:$L$485,0)),""))</f>
        <v/>
      </c>
      <c r="H111" s="21" t="str">
        <f aca="false">IF($B111="","",IFERROR(INDEX(이수현황!$I$6:$I$485,MATCH("R"&amp;106,미이수현황!$L$6:$L$485,0)),""))</f>
        <v/>
      </c>
      <c r="J111" s="24" t="b">
        <f aca="false">IF(이수현황!$A111="",FALSE(),OR(이수현황!$J111="기한초과",이수현황!$J111="임박"))</f>
        <v>0</v>
      </c>
      <c r="K111" s="6" t="str">
        <f aca="false">IF($J111=FALSE(),"",COUNTIF($J$6:$J111,TRUE()))</f>
        <v/>
      </c>
      <c r="L111" s="6" t="str">
        <f aca="false">IF($K111="","","R"&amp;$K111)</f>
        <v/>
      </c>
    </row>
    <row r="112" customFormat="false" ht="15" hidden="false" customHeight="true" outlineLevel="0" collapsed="false">
      <c r="A112" s="21" t="str">
        <f aca="false">IF($B112="","",107)</f>
        <v/>
      </c>
      <c r="B112" s="20" t="str">
        <f aca="false">IFERROR(INDEX(이수현황!$A$6:$A$485,MATCH("R"&amp;107,미이수현황!$L$6:$L$485,0)),"")</f>
        <v/>
      </c>
      <c r="C112" s="20" t="str">
        <f aca="false">IF($B112="","",IFERROR(INDEX(이수현황!$B$6:$B$485,MATCH("R"&amp;107,미이수현황!$L$6:$L$485,0)),""))</f>
        <v/>
      </c>
      <c r="D112" s="20" t="str">
        <f aca="false">IF($B112="","",IFERROR(INDEX(이수현황!$C$6:$C$485,MATCH("R"&amp;107,미이수현황!$L$6:$L$485,0)),""))</f>
        <v/>
      </c>
      <c r="E112" s="20" t="str">
        <f aca="false">IF($B112="","",IFERROR(INDEX(이수현황!$E$6:$E$485,MATCH("R"&amp;107,미이수현황!$L$6:$L$485,0)),""))</f>
        <v/>
      </c>
      <c r="F112" s="23" t="str">
        <f aca="false">IF($B112="","",IFERROR(INDEX(이수현황!$G$6:$G$485,MATCH("R"&amp;107,미이수현황!$L$6:$L$485,0)),""))</f>
        <v/>
      </c>
      <c r="G112" s="23" t="str">
        <f aca="false">IF($B112="","",IFERROR(INDEX(이수현황!$H$6:$H$485,MATCH("R"&amp;107,미이수현황!$L$6:$L$485,0)),""))</f>
        <v/>
      </c>
      <c r="H112" s="21" t="str">
        <f aca="false">IF($B112="","",IFERROR(INDEX(이수현황!$I$6:$I$485,MATCH("R"&amp;107,미이수현황!$L$6:$L$485,0)),""))</f>
        <v/>
      </c>
      <c r="J112" s="24" t="b">
        <f aca="false">IF(이수현황!$A112="",FALSE(),OR(이수현황!$J112="기한초과",이수현황!$J112="임박"))</f>
        <v>0</v>
      </c>
      <c r="K112" s="6" t="str">
        <f aca="false">IF($J112=FALSE(),"",COUNTIF($J$6:$J112,TRUE()))</f>
        <v/>
      </c>
      <c r="L112" s="6" t="str">
        <f aca="false">IF($K112="","","R"&amp;$K112)</f>
        <v/>
      </c>
    </row>
    <row r="113" customFormat="false" ht="15" hidden="false" customHeight="true" outlineLevel="0" collapsed="false">
      <c r="A113" s="21" t="str">
        <f aca="false">IF($B113="","",108)</f>
        <v/>
      </c>
      <c r="B113" s="20" t="str">
        <f aca="false">IFERROR(INDEX(이수현황!$A$6:$A$485,MATCH("R"&amp;108,미이수현황!$L$6:$L$485,0)),"")</f>
        <v/>
      </c>
      <c r="C113" s="20" t="str">
        <f aca="false">IF($B113="","",IFERROR(INDEX(이수현황!$B$6:$B$485,MATCH("R"&amp;108,미이수현황!$L$6:$L$485,0)),""))</f>
        <v/>
      </c>
      <c r="D113" s="20" t="str">
        <f aca="false">IF($B113="","",IFERROR(INDEX(이수현황!$C$6:$C$485,MATCH("R"&amp;108,미이수현황!$L$6:$L$485,0)),""))</f>
        <v/>
      </c>
      <c r="E113" s="20" t="str">
        <f aca="false">IF($B113="","",IFERROR(INDEX(이수현황!$E$6:$E$485,MATCH("R"&amp;108,미이수현황!$L$6:$L$485,0)),""))</f>
        <v/>
      </c>
      <c r="F113" s="23" t="str">
        <f aca="false">IF($B113="","",IFERROR(INDEX(이수현황!$G$6:$G$485,MATCH("R"&amp;108,미이수현황!$L$6:$L$485,0)),""))</f>
        <v/>
      </c>
      <c r="G113" s="23" t="str">
        <f aca="false">IF($B113="","",IFERROR(INDEX(이수현황!$H$6:$H$485,MATCH("R"&amp;108,미이수현황!$L$6:$L$485,0)),""))</f>
        <v/>
      </c>
      <c r="H113" s="21" t="str">
        <f aca="false">IF($B113="","",IFERROR(INDEX(이수현황!$I$6:$I$485,MATCH("R"&amp;108,미이수현황!$L$6:$L$485,0)),""))</f>
        <v/>
      </c>
      <c r="J113" s="24" t="b">
        <f aca="false">IF(이수현황!$A113="",FALSE(),OR(이수현황!$J113="기한초과",이수현황!$J113="임박"))</f>
        <v>0</v>
      </c>
      <c r="K113" s="6" t="str">
        <f aca="false">IF($J113=FALSE(),"",COUNTIF($J$6:$J113,TRUE()))</f>
        <v/>
      </c>
      <c r="L113" s="6" t="str">
        <f aca="false">IF($K113="","","R"&amp;$K113)</f>
        <v/>
      </c>
    </row>
    <row r="114" customFormat="false" ht="15" hidden="false" customHeight="true" outlineLevel="0" collapsed="false">
      <c r="A114" s="21" t="str">
        <f aca="false">IF($B114="","",109)</f>
        <v/>
      </c>
      <c r="B114" s="20" t="str">
        <f aca="false">IFERROR(INDEX(이수현황!$A$6:$A$485,MATCH("R"&amp;109,미이수현황!$L$6:$L$485,0)),"")</f>
        <v/>
      </c>
      <c r="C114" s="20" t="str">
        <f aca="false">IF($B114="","",IFERROR(INDEX(이수현황!$B$6:$B$485,MATCH("R"&amp;109,미이수현황!$L$6:$L$485,0)),""))</f>
        <v/>
      </c>
      <c r="D114" s="20" t="str">
        <f aca="false">IF($B114="","",IFERROR(INDEX(이수현황!$C$6:$C$485,MATCH("R"&amp;109,미이수현황!$L$6:$L$485,0)),""))</f>
        <v/>
      </c>
      <c r="E114" s="20" t="str">
        <f aca="false">IF($B114="","",IFERROR(INDEX(이수현황!$E$6:$E$485,MATCH("R"&amp;109,미이수현황!$L$6:$L$485,0)),""))</f>
        <v/>
      </c>
      <c r="F114" s="23" t="str">
        <f aca="false">IF($B114="","",IFERROR(INDEX(이수현황!$G$6:$G$485,MATCH("R"&amp;109,미이수현황!$L$6:$L$485,0)),""))</f>
        <v/>
      </c>
      <c r="G114" s="23" t="str">
        <f aca="false">IF($B114="","",IFERROR(INDEX(이수현황!$H$6:$H$485,MATCH("R"&amp;109,미이수현황!$L$6:$L$485,0)),""))</f>
        <v/>
      </c>
      <c r="H114" s="21" t="str">
        <f aca="false">IF($B114="","",IFERROR(INDEX(이수현황!$I$6:$I$485,MATCH("R"&amp;109,미이수현황!$L$6:$L$485,0)),""))</f>
        <v/>
      </c>
      <c r="J114" s="24" t="b">
        <f aca="false">IF(이수현황!$A114="",FALSE(),OR(이수현황!$J114="기한초과",이수현황!$J114="임박"))</f>
        <v>0</v>
      </c>
      <c r="K114" s="6" t="str">
        <f aca="false">IF($J114=FALSE(),"",COUNTIF($J$6:$J114,TRUE()))</f>
        <v/>
      </c>
      <c r="L114" s="6" t="str">
        <f aca="false">IF($K114="","","R"&amp;$K114)</f>
        <v/>
      </c>
    </row>
    <row r="115" customFormat="false" ht="15" hidden="false" customHeight="true" outlineLevel="0" collapsed="false">
      <c r="A115" s="21" t="str">
        <f aca="false">IF($B115="","",110)</f>
        <v/>
      </c>
      <c r="B115" s="20" t="str">
        <f aca="false">IFERROR(INDEX(이수현황!$A$6:$A$485,MATCH("R"&amp;110,미이수현황!$L$6:$L$485,0)),"")</f>
        <v/>
      </c>
      <c r="C115" s="20" t="str">
        <f aca="false">IF($B115="","",IFERROR(INDEX(이수현황!$B$6:$B$485,MATCH("R"&amp;110,미이수현황!$L$6:$L$485,0)),""))</f>
        <v/>
      </c>
      <c r="D115" s="20" t="str">
        <f aca="false">IF($B115="","",IFERROR(INDEX(이수현황!$C$6:$C$485,MATCH("R"&amp;110,미이수현황!$L$6:$L$485,0)),""))</f>
        <v/>
      </c>
      <c r="E115" s="20" t="str">
        <f aca="false">IF($B115="","",IFERROR(INDEX(이수현황!$E$6:$E$485,MATCH("R"&amp;110,미이수현황!$L$6:$L$485,0)),""))</f>
        <v/>
      </c>
      <c r="F115" s="23" t="str">
        <f aca="false">IF($B115="","",IFERROR(INDEX(이수현황!$G$6:$G$485,MATCH("R"&amp;110,미이수현황!$L$6:$L$485,0)),""))</f>
        <v/>
      </c>
      <c r="G115" s="23" t="str">
        <f aca="false">IF($B115="","",IFERROR(INDEX(이수현황!$H$6:$H$485,MATCH("R"&amp;110,미이수현황!$L$6:$L$485,0)),""))</f>
        <v/>
      </c>
      <c r="H115" s="21" t="str">
        <f aca="false">IF($B115="","",IFERROR(INDEX(이수현황!$I$6:$I$485,MATCH("R"&amp;110,미이수현황!$L$6:$L$485,0)),""))</f>
        <v/>
      </c>
      <c r="J115" s="24" t="b">
        <f aca="false">IF(이수현황!$A115="",FALSE(),OR(이수현황!$J115="기한초과",이수현황!$J115="임박"))</f>
        <v>0</v>
      </c>
      <c r="K115" s="6" t="str">
        <f aca="false">IF($J115=FALSE(),"",COUNTIF($J$6:$J115,TRUE()))</f>
        <v/>
      </c>
      <c r="L115" s="6" t="str">
        <f aca="false">IF($K115="","","R"&amp;$K115)</f>
        <v/>
      </c>
    </row>
    <row r="116" customFormat="false" ht="15" hidden="false" customHeight="true" outlineLevel="0" collapsed="false">
      <c r="A116" s="21" t="str">
        <f aca="false">IF($B116="","",111)</f>
        <v/>
      </c>
      <c r="B116" s="20" t="str">
        <f aca="false">IFERROR(INDEX(이수현황!$A$6:$A$485,MATCH("R"&amp;111,미이수현황!$L$6:$L$485,0)),"")</f>
        <v/>
      </c>
      <c r="C116" s="20" t="str">
        <f aca="false">IF($B116="","",IFERROR(INDEX(이수현황!$B$6:$B$485,MATCH("R"&amp;111,미이수현황!$L$6:$L$485,0)),""))</f>
        <v/>
      </c>
      <c r="D116" s="20" t="str">
        <f aca="false">IF($B116="","",IFERROR(INDEX(이수현황!$C$6:$C$485,MATCH("R"&amp;111,미이수현황!$L$6:$L$485,0)),""))</f>
        <v/>
      </c>
      <c r="E116" s="20" t="str">
        <f aca="false">IF($B116="","",IFERROR(INDEX(이수현황!$E$6:$E$485,MATCH("R"&amp;111,미이수현황!$L$6:$L$485,0)),""))</f>
        <v/>
      </c>
      <c r="F116" s="23" t="str">
        <f aca="false">IF($B116="","",IFERROR(INDEX(이수현황!$G$6:$G$485,MATCH("R"&amp;111,미이수현황!$L$6:$L$485,0)),""))</f>
        <v/>
      </c>
      <c r="G116" s="23" t="str">
        <f aca="false">IF($B116="","",IFERROR(INDEX(이수현황!$H$6:$H$485,MATCH("R"&amp;111,미이수현황!$L$6:$L$485,0)),""))</f>
        <v/>
      </c>
      <c r="H116" s="21" t="str">
        <f aca="false">IF($B116="","",IFERROR(INDEX(이수현황!$I$6:$I$485,MATCH("R"&amp;111,미이수현황!$L$6:$L$485,0)),""))</f>
        <v/>
      </c>
      <c r="J116" s="24" t="b">
        <f aca="false">IF(이수현황!$A116="",FALSE(),OR(이수현황!$J116="기한초과",이수현황!$J116="임박"))</f>
        <v>0</v>
      </c>
      <c r="K116" s="6" t="str">
        <f aca="false">IF($J116=FALSE(),"",COUNTIF($J$6:$J116,TRUE()))</f>
        <v/>
      </c>
      <c r="L116" s="6" t="str">
        <f aca="false">IF($K116="","","R"&amp;$K116)</f>
        <v/>
      </c>
    </row>
    <row r="117" customFormat="false" ht="15" hidden="false" customHeight="true" outlineLevel="0" collapsed="false">
      <c r="A117" s="21" t="str">
        <f aca="false">IF($B117="","",112)</f>
        <v/>
      </c>
      <c r="B117" s="20" t="str">
        <f aca="false">IFERROR(INDEX(이수현황!$A$6:$A$485,MATCH("R"&amp;112,미이수현황!$L$6:$L$485,0)),"")</f>
        <v/>
      </c>
      <c r="C117" s="20" t="str">
        <f aca="false">IF($B117="","",IFERROR(INDEX(이수현황!$B$6:$B$485,MATCH("R"&amp;112,미이수현황!$L$6:$L$485,0)),""))</f>
        <v/>
      </c>
      <c r="D117" s="20" t="str">
        <f aca="false">IF($B117="","",IFERROR(INDEX(이수현황!$C$6:$C$485,MATCH("R"&amp;112,미이수현황!$L$6:$L$485,0)),""))</f>
        <v/>
      </c>
      <c r="E117" s="20" t="str">
        <f aca="false">IF($B117="","",IFERROR(INDEX(이수현황!$E$6:$E$485,MATCH("R"&amp;112,미이수현황!$L$6:$L$485,0)),""))</f>
        <v/>
      </c>
      <c r="F117" s="23" t="str">
        <f aca="false">IF($B117="","",IFERROR(INDEX(이수현황!$G$6:$G$485,MATCH("R"&amp;112,미이수현황!$L$6:$L$485,0)),""))</f>
        <v/>
      </c>
      <c r="G117" s="23" t="str">
        <f aca="false">IF($B117="","",IFERROR(INDEX(이수현황!$H$6:$H$485,MATCH("R"&amp;112,미이수현황!$L$6:$L$485,0)),""))</f>
        <v/>
      </c>
      <c r="H117" s="21" t="str">
        <f aca="false">IF($B117="","",IFERROR(INDEX(이수현황!$I$6:$I$485,MATCH("R"&amp;112,미이수현황!$L$6:$L$485,0)),""))</f>
        <v/>
      </c>
      <c r="J117" s="24" t="b">
        <f aca="false">IF(이수현황!$A117="",FALSE(),OR(이수현황!$J117="기한초과",이수현황!$J117="임박"))</f>
        <v>0</v>
      </c>
      <c r="K117" s="6" t="str">
        <f aca="false">IF($J117=FALSE(),"",COUNTIF($J$6:$J117,TRUE()))</f>
        <v/>
      </c>
      <c r="L117" s="6" t="str">
        <f aca="false">IF($K117="","","R"&amp;$K117)</f>
        <v/>
      </c>
    </row>
    <row r="118" customFormat="false" ht="15" hidden="false" customHeight="true" outlineLevel="0" collapsed="false">
      <c r="A118" s="21" t="str">
        <f aca="false">IF($B118="","",113)</f>
        <v/>
      </c>
      <c r="B118" s="20" t="str">
        <f aca="false">IFERROR(INDEX(이수현황!$A$6:$A$485,MATCH("R"&amp;113,미이수현황!$L$6:$L$485,0)),"")</f>
        <v/>
      </c>
      <c r="C118" s="20" t="str">
        <f aca="false">IF($B118="","",IFERROR(INDEX(이수현황!$B$6:$B$485,MATCH("R"&amp;113,미이수현황!$L$6:$L$485,0)),""))</f>
        <v/>
      </c>
      <c r="D118" s="20" t="str">
        <f aca="false">IF($B118="","",IFERROR(INDEX(이수현황!$C$6:$C$485,MATCH("R"&amp;113,미이수현황!$L$6:$L$485,0)),""))</f>
        <v/>
      </c>
      <c r="E118" s="20" t="str">
        <f aca="false">IF($B118="","",IFERROR(INDEX(이수현황!$E$6:$E$485,MATCH("R"&amp;113,미이수현황!$L$6:$L$485,0)),""))</f>
        <v/>
      </c>
      <c r="F118" s="23" t="str">
        <f aca="false">IF($B118="","",IFERROR(INDEX(이수현황!$G$6:$G$485,MATCH("R"&amp;113,미이수현황!$L$6:$L$485,0)),""))</f>
        <v/>
      </c>
      <c r="G118" s="23" t="str">
        <f aca="false">IF($B118="","",IFERROR(INDEX(이수현황!$H$6:$H$485,MATCH("R"&amp;113,미이수현황!$L$6:$L$485,0)),""))</f>
        <v/>
      </c>
      <c r="H118" s="21" t="str">
        <f aca="false">IF($B118="","",IFERROR(INDEX(이수현황!$I$6:$I$485,MATCH("R"&amp;113,미이수현황!$L$6:$L$485,0)),""))</f>
        <v/>
      </c>
      <c r="J118" s="24" t="b">
        <f aca="false">IF(이수현황!$A118="",FALSE(),OR(이수현황!$J118="기한초과",이수현황!$J118="임박"))</f>
        <v>0</v>
      </c>
      <c r="K118" s="6" t="str">
        <f aca="false">IF($J118=FALSE(),"",COUNTIF($J$6:$J118,TRUE()))</f>
        <v/>
      </c>
      <c r="L118" s="6" t="str">
        <f aca="false">IF($K118="","","R"&amp;$K118)</f>
        <v/>
      </c>
    </row>
    <row r="119" customFormat="false" ht="15" hidden="false" customHeight="true" outlineLevel="0" collapsed="false">
      <c r="A119" s="21" t="str">
        <f aca="false">IF($B119="","",114)</f>
        <v/>
      </c>
      <c r="B119" s="20" t="str">
        <f aca="false">IFERROR(INDEX(이수현황!$A$6:$A$485,MATCH("R"&amp;114,미이수현황!$L$6:$L$485,0)),"")</f>
        <v/>
      </c>
      <c r="C119" s="20" t="str">
        <f aca="false">IF($B119="","",IFERROR(INDEX(이수현황!$B$6:$B$485,MATCH("R"&amp;114,미이수현황!$L$6:$L$485,0)),""))</f>
        <v/>
      </c>
      <c r="D119" s="20" t="str">
        <f aca="false">IF($B119="","",IFERROR(INDEX(이수현황!$C$6:$C$485,MATCH("R"&amp;114,미이수현황!$L$6:$L$485,0)),""))</f>
        <v/>
      </c>
      <c r="E119" s="20" t="str">
        <f aca="false">IF($B119="","",IFERROR(INDEX(이수현황!$E$6:$E$485,MATCH("R"&amp;114,미이수현황!$L$6:$L$485,0)),""))</f>
        <v/>
      </c>
      <c r="F119" s="23" t="str">
        <f aca="false">IF($B119="","",IFERROR(INDEX(이수현황!$G$6:$G$485,MATCH("R"&amp;114,미이수현황!$L$6:$L$485,0)),""))</f>
        <v/>
      </c>
      <c r="G119" s="23" t="str">
        <f aca="false">IF($B119="","",IFERROR(INDEX(이수현황!$H$6:$H$485,MATCH("R"&amp;114,미이수현황!$L$6:$L$485,0)),""))</f>
        <v/>
      </c>
      <c r="H119" s="21" t="str">
        <f aca="false">IF($B119="","",IFERROR(INDEX(이수현황!$I$6:$I$485,MATCH("R"&amp;114,미이수현황!$L$6:$L$485,0)),""))</f>
        <v/>
      </c>
      <c r="J119" s="24" t="b">
        <f aca="false">IF(이수현황!$A119="",FALSE(),OR(이수현황!$J119="기한초과",이수현황!$J119="임박"))</f>
        <v>0</v>
      </c>
      <c r="K119" s="6" t="str">
        <f aca="false">IF($J119=FALSE(),"",COUNTIF($J$6:$J119,TRUE()))</f>
        <v/>
      </c>
      <c r="L119" s="6" t="str">
        <f aca="false">IF($K119="","","R"&amp;$K119)</f>
        <v/>
      </c>
    </row>
    <row r="120" customFormat="false" ht="15" hidden="false" customHeight="true" outlineLevel="0" collapsed="false">
      <c r="A120" s="21" t="str">
        <f aca="false">IF($B120="","",115)</f>
        <v/>
      </c>
      <c r="B120" s="20" t="str">
        <f aca="false">IFERROR(INDEX(이수현황!$A$6:$A$485,MATCH("R"&amp;115,미이수현황!$L$6:$L$485,0)),"")</f>
        <v/>
      </c>
      <c r="C120" s="20" t="str">
        <f aca="false">IF($B120="","",IFERROR(INDEX(이수현황!$B$6:$B$485,MATCH("R"&amp;115,미이수현황!$L$6:$L$485,0)),""))</f>
        <v/>
      </c>
      <c r="D120" s="20" t="str">
        <f aca="false">IF($B120="","",IFERROR(INDEX(이수현황!$C$6:$C$485,MATCH("R"&amp;115,미이수현황!$L$6:$L$485,0)),""))</f>
        <v/>
      </c>
      <c r="E120" s="20" t="str">
        <f aca="false">IF($B120="","",IFERROR(INDEX(이수현황!$E$6:$E$485,MATCH("R"&amp;115,미이수현황!$L$6:$L$485,0)),""))</f>
        <v/>
      </c>
      <c r="F120" s="23" t="str">
        <f aca="false">IF($B120="","",IFERROR(INDEX(이수현황!$G$6:$G$485,MATCH("R"&amp;115,미이수현황!$L$6:$L$485,0)),""))</f>
        <v/>
      </c>
      <c r="G120" s="23" t="str">
        <f aca="false">IF($B120="","",IFERROR(INDEX(이수현황!$H$6:$H$485,MATCH("R"&amp;115,미이수현황!$L$6:$L$485,0)),""))</f>
        <v/>
      </c>
      <c r="H120" s="21" t="str">
        <f aca="false">IF($B120="","",IFERROR(INDEX(이수현황!$I$6:$I$485,MATCH("R"&amp;115,미이수현황!$L$6:$L$485,0)),""))</f>
        <v/>
      </c>
      <c r="J120" s="24" t="b">
        <f aca="false">IF(이수현황!$A120="",FALSE(),OR(이수현황!$J120="기한초과",이수현황!$J120="임박"))</f>
        <v>0</v>
      </c>
      <c r="K120" s="6" t="str">
        <f aca="false">IF($J120=FALSE(),"",COUNTIF($J$6:$J120,TRUE()))</f>
        <v/>
      </c>
      <c r="L120" s="6" t="str">
        <f aca="false">IF($K120="","","R"&amp;$K120)</f>
        <v/>
      </c>
    </row>
    <row r="121" customFormat="false" ht="15" hidden="false" customHeight="true" outlineLevel="0" collapsed="false">
      <c r="A121" s="21" t="str">
        <f aca="false">IF($B121="","",116)</f>
        <v/>
      </c>
      <c r="B121" s="20" t="str">
        <f aca="false">IFERROR(INDEX(이수현황!$A$6:$A$485,MATCH("R"&amp;116,미이수현황!$L$6:$L$485,0)),"")</f>
        <v/>
      </c>
      <c r="C121" s="20" t="str">
        <f aca="false">IF($B121="","",IFERROR(INDEX(이수현황!$B$6:$B$485,MATCH("R"&amp;116,미이수현황!$L$6:$L$485,0)),""))</f>
        <v/>
      </c>
      <c r="D121" s="20" t="str">
        <f aca="false">IF($B121="","",IFERROR(INDEX(이수현황!$C$6:$C$485,MATCH("R"&amp;116,미이수현황!$L$6:$L$485,0)),""))</f>
        <v/>
      </c>
      <c r="E121" s="20" t="str">
        <f aca="false">IF($B121="","",IFERROR(INDEX(이수현황!$E$6:$E$485,MATCH("R"&amp;116,미이수현황!$L$6:$L$485,0)),""))</f>
        <v/>
      </c>
      <c r="F121" s="23" t="str">
        <f aca="false">IF($B121="","",IFERROR(INDEX(이수현황!$G$6:$G$485,MATCH("R"&amp;116,미이수현황!$L$6:$L$485,0)),""))</f>
        <v/>
      </c>
      <c r="G121" s="23" t="str">
        <f aca="false">IF($B121="","",IFERROR(INDEX(이수현황!$H$6:$H$485,MATCH("R"&amp;116,미이수현황!$L$6:$L$485,0)),""))</f>
        <v/>
      </c>
      <c r="H121" s="21" t="str">
        <f aca="false">IF($B121="","",IFERROR(INDEX(이수현황!$I$6:$I$485,MATCH("R"&amp;116,미이수현황!$L$6:$L$485,0)),""))</f>
        <v/>
      </c>
      <c r="J121" s="24" t="b">
        <f aca="false">IF(이수현황!$A121="",FALSE(),OR(이수현황!$J121="기한초과",이수현황!$J121="임박"))</f>
        <v>0</v>
      </c>
      <c r="K121" s="6" t="str">
        <f aca="false">IF($J121=FALSE(),"",COUNTIF($J$6:$J121,TRUE()))</f>
        <v/>
      </c>
      <c r="L121" s="6" t="str">
        <f aca="false">IF($K121="","","R"&amp;$K121)</f>
        <v/>
      </c>
    </row>
    <row r="122" customFormat="false" ht="15" hidden="false" customHeight="true" outlineLevel="0" collapsed="false">
      <c r="A122" s="21" t="str">
        <f aca="false">IF($B122="","",117)</f>
        <v/>
      </c>
      <c r="B122" s="20" t="str">
        <f aca="false">IFERROR(INDEX(이수현황!$A$6:$A$485,MATCH("R"&amp;117,미이수현황!$L$6:$L$485,0)),"")</f>
        <v/>
      </c>
      <c r="C122" s="20" t="str">
        <f aca="false">IF($B122="","",IFERROR(INDEX(이수현황!$B$6:$B$485,MATCH("R"&amp;117,미이수현황!$L$6:$L$485,0)),""))</f>
        <v/>
      </c>
      <c r="D122" s="20" t="str">
        <f aca="false">IF($B122="","",IFERROR(INDEX(이수현황!$C$6:$C$485,MATCH("R"&amp;117,미이수현황!$L$6:$L$485,0)),""))</f>
        <v/>
      </c>
      <c r="E122" s="20" t="str">
        <f aca="false">IF($B122="","",IFERROR(INDEX(이수현황!$E$6:$E$485,MATCH("R"&amp;117,미이수현황!$L$6:$L$485,0)),""))</f>
        <v/>
      </c>
      <c r="F122" s="23" t="str">
        <f aca="false">IF($B122="","",IFERROR(INDEX(이수현황!$G$6:$G$485,MATCH("R"&amp;117,미이수현황!$L$6:$L$485,0)),""))</f>
        <v/>
      </c>
      <c r="G122" s="23" t="str">
        <f aca="false">IF($B122="","",IFERROR(INDEX(이수현황!$H$6:$H$485,MATCH("R"&amp;117,미이수현황!$L$6:$L$485,0)),""))</f>
        <v/>
      </c>
      <c r="H122" s="21" t="str">
        <f aca="false">IF($B122="","",IFERROR(INDEX(이수현황!$I$6:$I$485,MATCH("R"&amp;117,미이수현황!$L$6:$L$485,0)),""))</f>
        <v/>
      </c>
      <c r="J122" s="24" t="b">
        <f aca="false">IF(이수현황!$A122="",FALSE(),OR(이수현황!$J122="기한초과",이수현황!$J122="임박"))</f>
        <v>0</v>
      </c>
      <c r="K122" s="6" t="str">
        <f aca="false">IF($J122=FALSE(),"",COUNTIF($J$6:$J122,TRUE()))</f>
        <v/>
      </c>
      <c r="L122" s="6" t="str">
        <f aca="false">IF($K122="","","R"&amp;$K122)</f>
        <v/>
      </c>
    </row>
    <row r="123" customFormat="false" ht="15" hidden="false" customHeight="true" outlineLevel="0" collapsed="false">
      <c r="A123" s="21" t="str">
        <f aca="false">IF($B123="","",118)</f>
        <v/>
      </c>
      <c r="B123" s="20" t="str">
        <f aca="false">IFERROR(INDEX(이수현황!$A$6:$A$485,MATCH("R"&amp;118,미이수현황!$L$6:$L$485,0)),"")</f>
        <v/>
      </c>
      <c r="C123" s="20" t="str">
        <f aca="false">IF($B123="","",IFERROR(INDEX(이수현황!$B$6:$B$485,MATCH("R"&amp;118,미이수현황!$L$6:$L$485,0)),""))</f>
        <v/>
      </c>
      <c r="D123" s="20" t="str">
        <f aca="false">IF($B123="","",IFERROR(INDEX(이수현황!$C$6:$C$485,MATCH("R"&amp;118,미이수현황!$L$6:$L$485,0)),""))</f>
        <v/>
      </c>
      <c r="E123" s="20" t="str">
        <f aca="false">IF($B123="","",IFERROR(INDEX(이수현황!$E$6:$E$485,MATCH("R"&amp;118,미이수현황!$L$6:$L$485,0)),""))</f>
        <v/>
      </c>
      <c r="F123" s="23" t="str">
        <f aca="false">IF($B123="","",IFERROR(INDEX(이수현황!$G$6:$G$485,MATCH("R"&amp;118,미이수현황!$L$6:$L$485,0)),""))</f>
        <v/>
      </c>
      <c r="G123" s="23" t="str">
        <f aca="false">IF($B123="","",IFERROR(INDEX(이수현황!$H$6:$H$485,MATCH("R"&amp;118,미이수현황!$L$6:$L$485,0)),""))</f>
        <v/>
      </c>
      <c r="H123" s="21" t="str">
        <f aca="false">IF($B123="","",IFERROR(INDEX(이수현황!$I$6:$I$485,MATCH("R"&amp;118,미이수현황!$L$6:$L$485,0)),""))</f>
        <v/>
      </c>
      <c r="J123" s="24" t="b">
        <f aca="false">IF(이수현황!$A123="",FALSE(),OR(이수현황!$J123="기한초과",이수현황!$J123="임박"))</f>
        <v>0</v>
      </c>
      <c r="K123" s="6" t="str">
        <f aca="false">IF($J123=FALSE(),"",COUNTIF($J$6:$J123,TRUE()))</f>
        <v/>
      </c>
      <c r="L123" s="6" t="str">
        <f aca="false">IF($K123="","","R"&amp;$K123)</f>
        <v/>
      </c>
    </row>
    <row r="124" customFormat="false" ht="15" hidden="false" customHeight="true" outlineLevel="0" collapsed="false">
      <c r="A124" s="21" t="str">
        <f aca="false">IF($B124="","",119)</f>
        <v/>
      </c>
      <c r="B124" s="20" t="str">
        <f aca="false">IFERROR(INDEX(이수현황!$A$6:$A$485,MATCH("R"&amp;119,미이수현황!$L$6:$L$485,0)),"")</f>
        <v/>
      </c>
      <c r="C124" s="20" t="str">
        <f aca="false">IF($B124="","",IFERROR(INDEX(이수현황!$B$6:$B$485,MATCH("R"&amp;119,미이수현황!$L$6:$L$485,0)),""))</f>
        <v/>
      </c>
      <c r="D124" s="20" t="str">
        <f aca="false">IF($B124="","",IFERROR(INDEX(이수현황!$C$6:$C$485,MATCH("R"&amp;119,미이수현황!$L$6:$L$485,0)),""))</f>
        <v/>
      </c>
      <c r="E124" s="20" t="str">
        <f aca="false">IF($B124="","",IFERROR(INDEX(이수현황!$E$6:$E$485,MATCH("R"&amp;119,미이수현황!$L$6:$L$485,0)),""))</f>
        <v/>
      </c>
      <c r="F124" s="23" t="str">
        <f aca="false">IF($B124="","",IFERROR(INDEX(이수현황!$G$6:$G$485,MATCH("R"&amp;119,미이수현황!$L$6:$L$485,0)),""))</f>
        <v/>
      </c>
      <c r="G124" s="23" t="str">
        <f aca="false">IF($B124="","",IFERROR(INDEX(이수현황!$H$6:$H$485,MATCH("R"&amp;119,미이수현황!$L$6:$L$485,0)),""))</f>
        <v/>
      </c>
      <c r="H124" s="21" t="str">
        <f aca="false">IF($B124="","",IFERROR(INDEX(이수현황!$I$6:$I$485,MATCH("R"&amp;119,미이수현황!$L$6:$L$485,0)),""))</f>
        <v/>
      </c>
      <c r="J124" s="24" t="b">
        <f aca="false">IF(이수현황!$A124="",FALSE(),OR(이수현황!$J124="기한초과",이수현황!$J124="임박"))</f>
        <v>0</v>
      </c>
      <c r="K124" s="6" t="str">
        <f aca="false">IF($J124=FALSE(),"",COUNTIF($J$6:$J124,TRUE()))</f>
        <v/>
      </c>
      <c r="L124" s="6" t="str">
        <f aca="false">IF($K124="","","R"&amp;$K124)</f>
        <v/>
      </c>
    </row>
    <row r="125" customFormat="false" ht="15" hidden="false" customHeight="true" outlineLevel="0" collapsed="false">
      <c r="A125" s="21" t="str">
        <f aca="false">IF($B125="","",120)</f>
        <v/>
      </c>
      <c r="B125" s="20" t="str">
        <f aca="false">IFERROR(INDEX(이수현황!$A$6:$A$485,MATCH("R"&amp;120,미이수현황!$L$6:$L$485,0)),"")</f>
        <v/>
      </c>
      <c r="C125" s="20" t="str">
        <f aca="false">IF($B125="","",IFERROR(INDEX(이수현황!$B$6:$B$485,MATCH("R"&amp;120,미이수현황!$L$6:$L$485,0)),""))</f>
        <v/>
      </c>
      <c r="D125" s="20" t="str">
        <f aca="false">IF($B125="","",IFERROR(INDEX(이수현황!$C$6:$C$485,MATCH("R"&amp;120,미이수현황!$L$6:$L$485,0)),""))</f>
        <v/>
      </c>
      <c r="E125" s="20" t="str">
        <f aca="false">IF($B125="","",IFERROR(INDEX(이수현황!$E$6:$E$485,MATCH("R"&amp;120,미이수현황!$L$6:$L$485,0)),""))</f>
        <v/>
      </c>
      <c r="F125" s="23" t="str">
        <f aca="false">IF($B125="","",IFERROR(INDEX(이수현황!$G$6:$G$485,MATCH("R"&amp;120,미이수현황!$L$6:$L$485,0)),""))</f>
        <v/>
      </c>
      <c r="G125" s="23" t="str">
        <f aca="false">IF($B125="","",IFERROR(INDEX(이수현황!$H$6:$H$485,MATCH("R"&amp;120,미이수현황!$L$6:$L$485,0)),""))</f>
        <v/>
      </c>
      <c r="H125" s="21" t="str">
        <f aca="false">IF($B125="","",IFERROR(INDEX(이수현황!$I$6:$I$485,MATCH("R"&amp;120,미이수현황!$L$6:$L$485,0)),""))</f>
        <v/>
      </c>
      <c r="J125" s="24" t="b">
        <f aca="false">IF(이수현황!$A125="",FALSE(),OR(이수현황!$J125="기한초과",이수현황!$J125="임박"))</f>
        <v>0</v>
      </c>
      <c r="K125" s="6" t="str">
        <f aca="false">IF($J125=FALSE(),"",COUNTIF($J$6:$J125,TRUE()))</f>
        <v/>
      </c>
      <c r="L125" s="6" t="str">
        <f aca="false">IF($K125="","","R"&amp;$K125)</f>
        <v/>
      </c>
    </row>
    <row r="126" customFormat="false" ht="15" hidden="false" customHeight="true" outlineLevel="0" collapsed="false">
      <c r="J126" s="24" t="b">
        <f aca="false">IF(이수현황!$A126="",FALSE(),OR(이수현황!$J126="기한초과",이수현황!$J126="임박"))</f>
        <v>0</v>
      </c>
      <c r="K126" s="6" t="str">
        <f aca="false">IF($J126=FALSE(),"",COUNTIF($J$6:$J126,TRUE()))</f>
        <v/>
      </c>
      <c r="L126" s="6" t="str">
        <f aca="false">IF($K126="","","R"&amp;$K126)</f>
        <v/>
      </c>
    </row>
    <row r="127" customFormat="false" ht="15" hidden="false" customHeight="true" outlineLevel="0" collapsed="false">
      <c r="J127" s="24" t="b">
        <f aca="false">IF(이수현황!$A127="",FALSE(),OR(이수현황!$J127="기한초과",이수현황!$J127="임박"))</f>
        <v>0</v>
      </c>
      <c r="K127" s="6" t="str">
        <f aca="false">IF($J127=FALSE(),"",COUNTIF($J$6:$J127,TRUE()))</f>
        <v/>
      </c>
      <c r="L127" s="6" t="str">
        <f aca="false">IF($K127="","","R"&amp;$K127)</f>
        <v/>
      </c>
    </row>
    <row r="128" customFormat="false" ht="15" hidden="false" customHeight="true" outlineLevel="0" collapsed="false">
      <c r="A128" s="25" t="s">
        <v>81</v>
      </c>
      <c r="J128" s="24" t="b">
        <f aca="false">IF(이수현황!$A128="",FALSE(),OR(이수현황!$J128="기한초과",이수현황!$J128="임박"))</f>
        <v>0</v>
      </c>
      <c r="K128" s="6" t="str">
        <f aca="false">IF($J128=FALSE(),"",COUNTIF($J$6:$J128,TRUE()))</f>
        <v/>
      </c>
      <c r="L128" s="6" t="str">
        <f aca="false">IF($K128="","","R"&amp;$K128)</f>
        <v/>
      </c>
    </row>
    <row r="129" customFormat="false" ht="15" hidden="false" customHeight="true" outlineLevel="0" collapsed="false">
      <c r="J129" s="24" t="b">
        <f aca="false">IF(이수현황!$A129="",FALSE(),OR(이수현황!$J129="기한초과",이수현황!$J129="임박"))</f>
        <v>0</v>
      </c>
      <c r="K129" s="6" t="str">
        <f aca="false">IF($J129=FALSE(),"",COUNTIF($J$6:$J129,TRUE()))</f>
        <v/>
      </c>
      <c r="L129" s="6" t="str">
        <f aca="false">IF($K129="","","R"&amp;$K129)</f>
        <v/>
      </c>
    </row>
    <row r="130" customFormat="false" ht="15" hidden="false" customHeight="true" outlineLevel="0" collapsed="false">
      <c r="J130" s="24" t="b">
        <f aca="false">IF(이수현황!$A130="",FALSE(),OR(이수현황!$J130="기한초과",이수현황!$J130="임박"))</f>
        <v>0</v>
      </c>
      <c r="K130" s="6" t="str">
        <f aca="false">IF($J130=FALSE(),"",COUNTIF($J$6:$J130,TRUE()))</f>
        <v/>
      </c>
      <c r="L130" s="6" t="str">
        <f aca="false">IF($K130="","","R"&amp;$K130)</f>
        <v/>
      </c>
    </row>
    <row r="131" customFormat="false" ht="15" hidden="false" customHeight="true" outlineLevel="0" collapsed="false">
      <c r="J131" s="24" t="b">
        <f aca="false">IF(이수현황!$A131="",FALSE(),OR(이수현황!$J131="기한초과",이수현황!$J131="임박"))</f>
        <v>0</v>
      </c>
      <c r="K131" s="6" t="str">
        <f aca="false">IF($J131=FALSE(),"",COUNTIF($J$6:$J131,TRUE()))</f>
        <v/>
      </c>
      <c r="L131" s="6" t="str">
        <f aca="false">IF($K131="","","R"&amp;$K131)</f>
        <v/>
      </c>
    </row>
    <row r="132" customFormat="false" ht="15" hidden="false" customHeight="true" outlineLevel="0" collapsed="false">
      <c r="J132" s="24" t="b">
        <f aca="false">IF(이수현황!$A132="",FALSE(),OR(이수현황!$J132="기한초과",이수현황!$J132="임박"))</f>
        <v>0</v>
      </c>
      <c r="K132" s="6" t="str">
        <f aca="false">IF($J132=FALSE(),"",COUNTIF($J$6:$J132,TRUE()))</f>
        <v/>
      </c>
      <c r="L132" s="6" t="str">
        <f aca="false">IF($K132="","","R"&amp;$K132)</f>
        <v/>
      </c>
    </row>
    <row r="133" customFormat="false" ht="15" hidden="false" customHeight="true" outlineLevel="0" collapsed="false">
      <c r="J133" s="24" t="b">
        <f aca="false">IF(이수현황!$A133="",FALSE(),OR(이수현황!$J133="기한초과",이수현황!$J133="임박"))</f>
        <v>0</v>
      </c>
      <c r="K133" s="6" t="str">
        <f aca="false">IF($J133=FALSE(),"",COUNTIF($J$6:$J133,TRUE()))</f>
        <v/>
      </c>
      <c r="L133" s="6" t="str">
        <f aca="false">IF($K133="","","R"&amp;$K133)</f>
        <v/>
      </c>
    </row>
    <row r="134" customFormat="false" ht="15" hidden="false" customHeight="true" outlineLevel="0" collapsed="false">
      <c r="J134" s="24" t="b">
        <f aca="false">IF(이수현황!$A134="",FALSE(),OR(이수현황!$J134="기한초과",이수현황!$J134="임박"))</f>
        <v>0</v>
      </c>
      <c r="K134" s="6" t="str">
        <f aca="false">IF($J134=FALSE(),"",COUNTIF($J$6:$J134,TRUE()))</f>
        <v/>
      </c>
      <c r="L134" s="6" t="str">
        <f aca="false">IF($K134="","","R"&amp;$K134)</f>
        <v/>
      </c>
    </row>
    <row r="135" customFormat="false" ht="15" hidden="false" customHeight="true" outlineLevel="0" collapsed="false">
      <c r="J135" s="24" t="b">
        <f aca="false">IF(이수현황!$A135="",FALSE(),OR(이수현황!$J135="기한초과",이수현황!$J135="임박"))</f>
        <v>0</v>
      </c>
      <c r="K135" s="6" t="str">
        <f aca="false">IF($J135=FALSE(),"",COUNTIF($J$6:$J135,TRUE()))</f>
        <v/>
      </c>
      <c r="L135" s="6" t="str">
        <f aca="false">IF($K135="","","R"&amp;$K135)</f>
        <v/>
      </c>
    </row>
    <row r="136" customFormat="false" ht="15" hidden="false" customHeight="true" outlineLevel="0" collapsed="false">
      <c r="J136" s="24" t="b">
        <f aca="false">IF(이수현황!$A136="",FALSE(),OR(이수현황!$J136="기한초과",이수현황!$J136="임박"))</f>
        <v>0</v>
      </c>
      <c r="K136" s="6" t="str">
        <f aca="false">IF($J136=FALSE(),"",COUNTIF($J$6:$J136,TRUE()))</f>
        <v/>
      </c>
      <c r="L136" s="6" t="str">
        <f aca="false">IF($K136="","","R"&amp;$K136)</f>
        <v/>
      </c>
    </row>
    <row r="137" customFormat="false" ht="15" hidden="false" customHeight="true" outlineLevel="0" collapsed="false">
      <c r="J137" s="24" t="b">
        <f aca="false">IF(이수현황!$A137="",FALSE(),OR(이수현황!$J137="기한초과",이수현황!$J137="임박"))</f>
        <v>0</v>
      </c>
      <c r="K137" s="6" t="str">
        <f aca="false">IF($J137=FALSE(),"",COUNTIF($J$6:$J137,TRUE()))</f>
        <v/>
      </c>
      <c r="L137" s="6" t="str">
        <f aca="false">IF($K137="","","R"&amp;$K137)</f>
        <v/>
      </c>
    </row>
    <row r="138" customFormat="false" ht="15" hidden="false" customHeight="true" outlineLevel="0" collapsed="false">
      <c r="J138" s="24" t="b">
        <f aca="false">IF(이수현황!$A138="",FALSE(),OR(이수현황!$J138="기한초과",이수현황!$J138="임박"))</f>
        <v>0</v>
      </c>
      <c r="K138" s="6" t="str">
        <f aca="false">IF($J138=FALSE(),"",COUNTIF($J$6:$J138,TRUE()))</f>
        <v/>
      </c>
      <c r="L138" s="6" t="str">
        <f aca="false">IF($K138="","","R"&amp;$K138)</f>
        <v/>
      </c>
    </row>
    <row r="139" customFormat="false" ht="15" hidden="false" customHeight="true" outlineLevel="0" collapsed="false">
      <c r="J139" s="24" t="b">
        <f aca="false">IF(이수현황!$A139="",FALSE(),OR(이수현황!$J139="기한초과",이수현황!$J139="임박"))</f>
        <v>0</v>
      </c>
      <c r="K139" s="6" t="str">
        <f aca="false">IF($J139=FALSE(),"",COUNTIF($J$6:$J139,TRUE()))</f>
        <v/>
      </c>
      <c r="L139" s="6" t="str">
        <f aca="false">IF($K139="","","R"&amp;$K139)</f>
        <v/>
      </c>
    </row>
    <row r="140" customFormat="false" ht="15" hidden="false" customHeight="true" outlineLevel="0" collapsed="false">
      <c r="J140" s="24" t="b">
        <f aca="false">IF(이수현황!$A140="",FALSE(),OR(이수현황!$J140="기한초과",이수현황!$J140="임박"))</f>
        <v>0</v>
      </c>
      <c r="K140" s="6" t="str">
        <f aca="false">IF($J140=FALSE(),"",COUNTIF($J$6:$J140,TRUE()))</f>
        <v/>
      </c>
      <c r="L140" s="6" t="str">
        <f aca="false">IF($K140="","","R"&amp;$K140)</f>
        <v/>
      </c>
    </row>
    <row r="141" customFormat="false" ht="15" hidden="false" customHeight="true" outlineLevel="0" collapsed="false">
      <c r="J141" s="24" t="b">
        <f aca="false">IF(이수현황!$A141="",FALSE(),OR(이수현황!$J141="기한초과",이수현황!$J141="임박"))</f>
        <v>0</v>
      </c>
      <c r="K141" s="6" t="str">
        <f aca="false">IF($J141=FALSE(),"",COUNTIF($J$6:$J141,TRUE()))</f>
        <v/>
      </c>
      <c r="L141" s="6" t="str">
        <f aca="false">IF($K141="","","R"&amp;$K141)</f>
        <v/>
      </c>
    </row>
    <row r="142" customFormat="false" ht="15" hidden="false" customHeight="true" outlineLevel="0" collapsed="false">
      <c r="J142" s="24" t="b">
        <f aca="false">IF(이수현황!$A142="",FALSE(),OR(이수현황!$J142="기한초과",이수현황!$J142="임박"))</f>
        <v>0</v>
      </c>
      <c r="K142" s="6" t="str">
        <f aca="false">IF($J142=FALSE(),"",COUNTIF($J$6:$J142,TRUE()))</f>
        <v/>
      </c>
      <c r="L142" s="6" t="str">
        <f aca="false">IF($K142="","","R"&amp;$K142)</f>
        <v/>
      </c>
    </row>
    <row r="143" customFormat="false" ht="15" hidden="false" customHeight="true" outlineLevel="0" collapsed="false">
      <c r="J143" s="24" t="b">
        <f aca="false">IF(이수현황!$A143="",FALSE(),OR(이수현황!$J143="기한초과",이수현황!$J143="임박"))</f>
        <v>0</v>
      </c>
      <c r="K143" s="6" t="str">
        <f aca="false">IF($J143=FALSE(),"",COUNTIF($J$6:$J143,TRUE()))</f>
        <v/>
      </c>
      <c r="L143" s="6" t="str">
        <f aca="false">IF($K143="","","R"&amp;$K143)</f>
        <v/>
      </c>
    </row>
    <row r="144" customFormat="false" ht="15" hidden="false" customHeight="true" outlineLevel="0" collapsed="false">
      <c r="J144" s="24" t="b">
        <f aca="false">IF(이수현황!$A144="",FALSE(),OR(이수현황!$J144="기한초과",이수현황!$J144="임박"))</f>
        <v>0</v>
      </c>
      <c r="K144" s="6" t="str">
        <f aca="false">IF($J144=FALSE(),"",COUNTIF($J$6:$J144,TRUE()))</f>
        <v/>
      </c>
      <c r="L144" s="6" t="str">
        <f aca="false">IF($K144="","","R"&amp;$K144)</f>
        <v/>
      </c>
    </row>
    <row r="145" customFormat="false" ht="15" hidden="false" customHeight="true" outlineLevel="0" collapsed="false">
      <c r="J145" s="24" t="b">
        <f aca="false">IF(이수현황!$A145="",FALSE(),OR(이수현황!$J145="기한초과",이수현황!$J145="임박"))</f>
        <v>0</v>
      </c>
      <c r="K145" s="6" t="str">
        <f aca="false">IF($J145=FALSE(),"",COUNTIF($J$6:$J145,TRUE()))</f>
        <v/>
      </c>
      <c r="L145" s="6" t="str">
        <f aca="false">IF($K145="","","R"&amp;$K145)</f>
        <v/>
      </c>
    </row>
    <row r="146" customFormat="false" ht="15" hidden="false" customHeight="true" outlineLevel="0" collapsed="false">
      <c r="J146" s="24" t="b">
        <f aca="false">IF(이수현황!$A146="",FALSE(),OR(이수현황!$J146="기한초과",이수현황!$J146="임박"))</f>
        <v>0</v>
      </c>
      <c r="K146" s="6" t="str">
        <f aca="false">IF($J146=FALSE(),"",COUNTIF($J$6:$J146,TRUE()))</f>
        <v/>
      </c>
      <c r="L146" s="6" t="str">
        <f aca="false">IF($K146="","","R"&amp;$K146)</f>
        <v/>
      </c>
    </row>
    <row r="147" customFormat="false" ht="15" hidden="false" customHeight="true" outlineLevel="0" collapsed="false">
      <c r="J147" s="24" t="b">
        <f aca="false">IF(이수현황!$A147="",FALSE(),OR(이수현황!$J147="기한초과",이수현황!$J147="임박"))</f>
        <v>0</v>
      </c>
      <c r="K147" s="6" t="str">
        <f aca="false">IF($J147=FALSE(),"",COUNTIF($J$6:$J147,TRUE()))</f>
        <v/>
      </c>
      <c r="L147" s="6" t="str">
        <f aca="false">IF($K147="","","R"&amp;$K147)</f>
        <v/>
      </c>
    </row>
    <row r="148" customFormat="false" ht="15" hidden="false" customHeight="true" outlineLevel="0" collapsed="false">
      <c r="J148" s="24" t="b">
        <f aca="false">IF(이수현황!$A148="",FALSE(),OR(이수현황!$J148="기한초과",이수현황!$J148="임박"))</f>
        <v>0</v>
      </c>
      <c r="K148" s="6" t="str">
        <f aca="false">IF($J148=FALSE(),"",COUNTIF($J$6:$J148,TRUE()))</f>
        <v/>
      </c>
      <c r="L148" s="6" t="str">
        <f aca="false">IF($K148="","","R"&amp;$K148)</f>
        <v/>
      </c>
    </row>
    <row r="149" customFormat="false" ht="15" hidden="false" customHeight="true" outlineLevel="0" collapsed="false">
      <c r="J149" s="24" t="b">
        <f aca="false">IF(이수현황!$A149="",FALSE(),OR(이수현황!$J149="기한초과",이수현황!$J149="임박"))</f>
        <v>0</v>
      </c>
      <c r="K149" s="6" t="str">
        <f aca="false">IF($J149=FALSE(),"",COUNTIF($J$6:$J149,TRUE()))</f>
        <v/>
      </c>
      <c r="L149" s="6" t="str">
        <f aca="false">IF($K149="","","R"&amp;$K149)</f>
        <v/>
      </c>
    </row>
    <row r="150" customFormat="false" ht="15" hidden="false" customHeight="true" outlineLevel="0" collapsed="false">
      <c r="J150" s="24" t="b">
        <f aca="false">IF(이수현황!$A150="",FALSE(),OR(이수현황!$J150="기한초과",이수현황!$J150="임박"))</f>
        <v>0</v>
      </c>
      <c r="K150" s="6" t="str">
        <f aca="false">IF($J150=FALSE(),"",COUNTIF($J$6:$J150,TRUE()))</f>
        <v/>
      </c>
      <c r="L150" s="6" t="str">
        <f aca="false">IF($K150="","","R"&amp;$K150)</f>
        <v/>
      </c>
    </row>
    <row r="151" customFormat="false" ht="15" hidden="false" customHeight="true" outlineLevel="0" collapsed="false">
      <c r="J151" s="24" t="b">
        <f aca="false">IF(이수현황!$A151="",FALSE(),OR(이수현황!$J151="기한초과",이수현황!$J151="임박"))</f>
        <v>0</v>
      </c>
      <c r="K151" s="6" t="str">
        <f aca="false">IF($J151=FALSE(),"",COUNTIF($J$6:$J151,TRUE()))</f>
        <v/>
      </c>
      <c r="L151" s="6" t="str">
        <f aca="false">IF($K151="","","R"&amp;$K151)</f>
        <v/>
      </c>
    </row>
    <row r="152" customFormat="false" ht="15" hidden="false" customHeight="true" outlineLevel="0" collapsed="false">
      <c r="J152" s="24" t="b">
        <f aca="false">IF(이수현황!$A152="",FALSE(),OR(이수현황!$J152="기한초과",이수현황!$J152="임박"))</f>
        <v>0</v>
      </c>
      <c r="K152" s="6" t="str">
        <f aca="false">IF($J152=FALSE(),"",COUNTIF($J$6:$J152,TRUE()))</f>
        <v/>
      </c>
      <c r="L152" s="6" t="str">
        <f aca="false">IF($K152="","","R"&amp;$K152)</f>
        <v/>
      </c>
    </row>
    <row r="153" customFormat="false" ht="15" hidden="false" customHeight="true" outlineLevel="0" collapsed="false">
      <c r="J153" s="24" t="b">
        <f aca="false">IF(이수현황!$A153="",FALSE(),OR(이수현황!$J153="기한초과",이수현황!$J153="임박"))</f>
        <v>0</v>
      </c>
      <c r="K153" s="6" t="str">
        <f aca="false">IF($J153=FALSE(),"",COUNTIF($J$6:$J153,TRUE()))</f>
        <v/>
      </c>
      <c r="L153" s="6" t="str">
        <f aca="false">IF($K153="","","R"&amp;$K153)</f>
        <v/>
      </c>
    </row>
    <row r="154" customFormat="false" ht="15" hidden="false" customHeight="true" outlineLevel="0" collapsed="false">
      <c r="J154" s="24" t="b">
        <f aca="false">IF(이수현황!$A154="",FALSE(),OR(이수현황!$J154="기한초과",이수현황!$J154="임박"))</f>
        <v>0</v>
      </c>
      <c r="K154" s="6" t="str">
        <f aca="false">IF($J154=FALSE(),"",COUNTIF($J$6:$J154,TRUE()))</f>
        <v/>
      </c>
      <c r="L154" s="6" t="str">
        <f aca="false">IF($K154="","","R"&amp;$K154)</f>
        <v/>
      </c>
    </row>
    <row r="155" customFormat="false" ht="15" hidden="false" customHeight="true" outlineLevel="0" collapsed="false">
      <c r="J155" s="24" t="b">
        <f aca="false">IF(이수현황!$A155="",FALSE(),OR(이수현황!$J155="기한초과",이수현황!$J155="임박"))</f>
        <v>0</v>
      </c>
      <c r="K155" s="6" t="str">
        <f aca="false">IF($J155=FALSE(),"",COUNTIF($J$6:$J155,TRUE()))</f>
        <v/>
      </c>
      <c r="L155" s="6" t="str">
        <f aca="false">IF($K155="","","R"&amp;$K155)</f>
        <v/>
      </c>
    </row>
    <row r="156" customFormat="false" ht="15" hidden="false" customHeight="true" outlineLevel="0" collapsed="false">
      <c r="J156" s="24" t="b">
        <f aca="false">IF(이수현황!$A156="",FALSE(),OR(이수현황!$J156="기한초과",이수현황!$J156="임박"))</f>
        <v>0</v>
      </c>
      <c r="K156" s="6" t="str">
        <f aca="false">IF($J156=FALSE(),"",COUNTIF($J$6:$J156,TRUE()))</f>
        <v/>
      </c>
      <c r="L156" s="6" t="str">
        <f aca="false">IF($K156="","","R"&amp;$K156)</f>
        <v/>
      </c>
    </row>
    <row r="157" customFormat="false" ht="15" hidden="false" customHeight="true" outlineLevel="0" collapsed="false">
      <c r="J157" s="24" t="b">
        <f aca="false">IF(이수현황!$A157="",FALSE(),OR(이수현황!$J157="기한초과",이수현황!$J157="임박"))</f>
        <v>0</v>
      </c>
      <c r="K157" s="6" t="str">
        <f aca="false">IF($J157=FALSE(),"",COUNTIF($J$6:$J157,TRUE()))</f>
        <v/>
      </c>
      <c r="L157" s="6" t="str">
        <f aca="false">IF($K157="","","R"&amp;$K157)</f>
        <v/>
      </c>
    </row>
    <row r="158" customFormat="false" ht="15" hidden="false" customHeight="true" outlineLevel="0" collapsed="false">
      <c r="J158" s="24" t="b">
        <f aca="false">IF(이수현황!$A158="",FALSE(),OR(이수현황!$J158="기한초과",이수현황!$J158="임박"))</f>
        <v>0</v>
      </c>
      <c r="K158" s="6" t="str">
        <f aca="false">IF($J158=FALSE(),"",COUNTIF($J$6:$J158,TRUE()))</f>
        <v/>
      </c>
      <c r="L158" s="6" t="str">
        <f aca="false">IF($K158="","","R"&amp;$K158)</f>
        <v/>
      </c>
    </row>
    <row r="159" customFormat="false" ht="15" hidden="false" customHeight="true" outlineLevel="0" collapsed="false">
      <c r="J159" s="24" t="b">
        <f aca="false">IF(이수현황!$A159="",FALSE(),OR(이수현황!$J159="기한초과",이수현황!$J159="임박"))</f>
        <v>0</v>
      </c>
      <c r="K159" s="6" t="str">
        <f aca="false">IF($J159=FALSE(),"",COUNTIF($J$6:$J159,TRUE()))</f>
        <v/>
      </c>
      <c r="L159" s="6" t="str">
        <f aca="false">IF($K159="","","R"&amp;$K159)</f>
        <v/>
      </c>
    </row>
    <row r="160" customFormat="false" ht="15" hidden="false" customHeight="true" outlineLevel="0" collapsed="false">
      <c r="J160" s="24" t="b">
        <f aca="false">IF(이수현황!$A160="",FALSE(),OR(이수현황!$J160="기한초과",이수현황!$J160="임박"))</f>
        <v>0</v>
      </c>
      <c r="K160" s="6" t="str">
        <f aca="false">IF($J160=FALSE(),"",COUNTIF($J$6:$J160,TRUE()))</f>
        <v/>
      </c>
      <c r="L160" s="6" t="str">
        <f aca="false">IF($K160="","","R"&amp;$K160)</f>
        <v/>
      </c>
    </row>
    <row r="161" customFormat="false" ht="15" hidden="false" customHeight="true" outlineLevel="0" collapsed="false">
      <c r="J161" s="24" t="b">
        <f aca="false">IF(이수현황!$A161="",FALSE(),OR(이수현황!$J161="기한초과",이수현황!$J161="임박"))</f>
        <v>0</v>
      </c>
      <c r="K161" s="6" t="str">
        <f aca="false">IF($J161=FALSE(),"",COUNTIF($J$6:$J161,TRUE()))</f>
        <v/>
      </c>
      <c r="L161" s="6" t="str">
        <f aca="false">IF($K161="","","R"&amp;$K161)</f>
        <v/>
      </c>
    </row>
    <row r="162" customFormat="false" ht="15" hidden="false" customHeight="true" outlineLevel="0" collapsed="false">
      <c r="J162" s="24" t="b">
        <f aca="false">IF(이수현황!$A162="",FALSE(),OR(이수현황!$J162="기한초과",이수현황!$J162="임박"))</f>
        <v>0</v>
      </c>
      <c r="K162" s="6" t="str">
        <f aca="false">IF($J162=FALSE(),"",COUNTIF($J$6:$J162,TRUE()))</f>
        <v/>
      </c>
      <c r="L162" s="6" t="str">
        <f aca="false">IF($K162="","","R"&amp;$K162)</f>
        <v/>
      </c>
    </row>
    <row r="163" customFormat="false" ht="15" hidden="false" customHeight="true" outlineLevel="0" collapsed="false">
      <c r="J163" s="24" t="b">
        <f aca="false">IF(이수현황!$A163="",FALSE(),OR(이수현황!$J163="기한초과",이수현황!$J163="임박"))</f>
        <v>0</v>
      </c>
      <c r="K163" s="6" t="str">
        <f aca="false">IF($J163=FALSE(),"",COUNTIF($J$6:$J163,TRUE()))</f>
        <v/>
      </c>
      <c r="L163" s="6" t="str">
        <f aca="false">IF($K163="","","R"&amp;$K163)</f>
        <v/>
      </c>
    </row>
    <row r="164" customFormat="false" ht="15" hidden="false" customHeight="true" outlineLevel="0" collapsed="false">
      <c r="J164" s="24" t="b">
        <f aca="false">IF(이수현황!$A164="",FALSE(),OR(이수현황!$J164="기한초과",이수현황!$J164="임박"))</f>
        <v>0</v>
      </c>
      <c r="K164" s="6" t="str">
        <f aca="false">IF($J164=FALSE(),"",COUNTIF($J$6:$J164,TRUE()))</f>
        <v/>
      </c>
      <c r="L164" s="6" t="str">
        <f aca="false">IF($K164="","","R"&amp;$K164)</f>
        <v/>
      </c>
    </row>
    <row r="165" customFormat="false" ht="15" hidden="false" customHeight="true" outlineLevel="0" collapsed="false">
      <c r="J165" s="24" t="b">
        <f aca="false">IF(이수현황!$A165="",FALSE(),OR(이수현황!$J165="기한초과",이수현황!$J165="임박"))</f>
        <v>0</v>
      </c>
      <c r="K165" s="6" t="str">
        <f aca="false">IF($J165=FALSE(),"",COUNTIF($J$6:$J165,TRUE()))</f>
        <v/>
      </c>
      <c r="L165" s="6" t="str">
        <f aca="false">IF($K165="","","R"&amp;$K165)</f>
        <v/>
      </c>
    </row>
    <row r="166" customFormat="false" ht="15" hidden="false" customHeight="true" outlineLevel="0" collapsed="false">
      <c r="J166" s="24" t="b">
        <f aca="false">IF(이수현황!$A166="",FALSE(),OR(이수현황!$J166="기한초과",이수현황!$J166="임박"))</f>
        <v>0</v>
      </c>
      <c r="K166" s="6" t="str">
        <f aca="false">IF($J166=FALSE(),"",COUNTIF($J$6:$J166,TRUE()))</f>
        <v/>
      </c>
      <c r="L166" s="6" t="str">
        <f aca="false">IF($K166="","","R"&amp;$K166)</f>
        <v/>
      </c>
    </row>
    <row r="167" customFormat="false" ht="15" hidden="false" customHeight="true" outlineLevel="0" collapsed="false">
      <c r="J167" s="24" t="b">
        <f aca="false">IF(이수현황!$A167="",FALSE(),OR(이수현황!$J167="기한초과",이수현황!$J167="임박"))</f>
        <v>0</v>
      </c>
      <c r="K167" s="6" t="str">
        <f aca="false">IF($J167=FALSE(),"",COUNTIF($J$6:$J167,TRUE()))</f>
        <v/>
      </c>
      <c r="L167" s="6" t="str">
        <f aca="false">IF($K167="","","R"&amp;$K167)</f>
        <v/>
      </c>
    </row>
    <row r="168" customFormat="false" ht="15" hidden="false" customHeight="true" outlineLevel="0" collapsed="false">
      <c r="J168" s="24" t="b">
        <f aca="false">IF(이수현황!$A168="",FALSE(),OR(이수현황!$J168="기한초과",이수현황!$J168="임박"))</f>
        <v>0</v>
      </c>
      <c r="K168" s="6" t="str">
        <f aca="false">IF($J168=FALSE(),"",COUNTIF($J$6:$J168,TRUE()))</f>
        <v/>
      </c>
      <c r="L168" s="6" t="str">
        <f aca="false">IF($K168="","","R"&amp;$K168)</f>
        <v/>
      </c>
    </row>
    <row r="169" customFormat="false" ht="15" hidden="false" customHeight="true" outlineLevel="0" collapsed="false">
      <c r="J169" s="24" t="b">
        <f aca="false">IF(이수현황!$A169="",FALSE(),OR(이수현황!$J169="기한초과",이수현황!$J169="임박"))</f>
        <v>0</v>
      </c>
      <c r="K169" s="6" t="str">
        <f aca="false">IF($J169=FALSE(),"",COUNTIF($J$6:$J169,TRUE()))</f>
        <v/>
      </c>
      <c r="L169" s="6" t="str">
        <f aca="false">IF($K169="","","R"&amp;$K169)</f>
        <v/>
      </c>
    </row>
    <row r="170" customFormat="false" ht="15" hidden="false" customHeight="true" outlineLevel="0" collapsed="false">
      <c r="J170" s="24" t="b">
        <f aca="false">IF(이수현황!$A170="",FALSE(),OR(이수현황!$J170="기한초과",이수현황!$J170="임박"))</f>
        <v>0</v>
      </c>
      <c r="K170" s="6" t="str">
        <f aca="false">IF($J170=FALSE(),"",COUNTIF($J$6:$J170,TRUE()))</f>
        <v/>
      </c>
      <c r="L170" s="6" t="str">
        <f aca="false">IF($K170="","","R"&amp;$K170)</f>
        <v/>
      </c>
    </row>
    <row r="171" customFormat="false" ht="15" hidden="false" customHeight="true" outlineLevel="0" collapsed="false">
      <c r="J171" s="24" t="b">
        <f aca="false">IF(이수현황!$A171="",FALSE(),OR(이수현황!$J171="기한초과",이수현황!$J171="임박"))</f>
        <v>0</v>
      </c>
      <c r="K171" s="6" t="str">
        <f aca="false">IF($J171=FALSE(),"",COUNTIF($J$6:$J171,TRUE()))</f>
        <v/>
      </c>
      <c r="L171" s="6" t="str">
        <f aca="false">IF($K171="","","R"&amp;$K171)</f>
        <v/>
      </c>
    </row>
    <row r="172" customFormat="false" ht="15" hidden="false" customHeight="true" outlineLevel="0" collapsed="false">
      <c r="J172" s="24" t="b">
        <f aca="false">IF(이수현황!$A172="",FALSE(),OR(이수현황!$J172="기한초과",이수현황!$J172="임박"))</f>
        <v>0</v>
      </c>
      <c r="K172" s="6" t="str">
        <f aca="false">IF($J172=FALSE(),"",COUNTIF($J$6:$J172,TRUE()))</f>
        <v/>
      </c>
      <c r="L172" s="6" t="str">
        <f aca="false">IF($K172="","","R"&amp;$K172)</f>
        <v/>
      </c>
    </row>
    <row r="173" customFormat="false" ht="15" hidden="false" customHeight="true" outlineLevel="0" collapsed="false">
      <c r="J173" s="24" t="b">
        <f aca="false">IF(이수현황!$A173="",FALSE(),OR(이수현황!$J173="기한초과",이수현황!$J173="임박"))</f>
        <v>0</v>
      </c>
      <c r="K173" s="6" t="str">
        <f aca="false">IF($J173=FALSE(),"",COUNTIF($J$6:$J173,TRUE()))</f>
        <v/>
      </c>
      <c r="L173" s="6" t="str">
        <f aca="false">IF($K173="","","R"&amp;$K173)</f>
        <v/>
      </c>
    </row>
    <row r="174" customFormat="false" ht="15" hidden="false" customHeight="true" outlineLevel="0" collapsed="false">
      <c r="J174" s="24" t="b">
        <f aca="false">IF(이수현황!$A174="",FALSE(),OR(이수현황!$J174="기한초과",이수현황!$J174="임박"))</f>
        <v>0</v>
      </c>
      <c r="K174" s="6" t="str">
        <f aca="false">IF($J174=FALSE(),"",COUNTIF($J$6:$J174,TRUE()))</f>
        <v/>
      </c>
      <c r="L174" s="6" t="str">
        <f aca="false">IF($K174="","","R"&amp;$K174)</f>
        <v/>
      </c>
    </row>
    <row r="175" customFormat="false" ht="15" hidden="false" customHeight="true" outlineLevel="0" collapsed="false">
      <c r="J175" s="24" t="b">
        <f aca="false">IF(이수현황!$A175="",FALSE(),OR(이수현황!$J175="기한초과",이수현황!$J175="임박"))</f>
        <v>0</v>
      </c>
      <c r="K175" s="6" t="str">
        <f aca="false">IF($J175=FALSE(),"",COUNTIF($J$6:$J175,TRUE()))</f>
        <v/>
      </c>
      <c r="L175" s="6" t="str">
        <f aca="false">IF($K175="","","R"&amp;$K175)</f>
        <v/>
      </c>
    </row>
    <row r="176" customFormat="false" ht="15" hidden="false" customHeight="true" outlineLevel="0" collapsed="false">
      <c r="J176" s="24" t="b">
        <f aca="false">IF(이수현황!$A176="",FALSE(),OR(이수현황!$J176="기한초과",이수현황!$J176="임박"))</f>
        <v>0</v>
      </c>
      <c r="K176" s="6" t="str">
        <f aca="false">IF($J176=FALSE(),"",COUNTIF($J$6:$J176,TRUE()))</f>
        <v/>
      </c>
      <c r="L176" s="6" t="str">
        <f aca="false">IF($K176="","","R"&amp;$K176)</f>
        <v/>
      </c>
    </row>
    <row r="177" customFormat="false" ht="15" hidden="false" customHeight="true" outlineLevel="0" collapsed="false">
      <c r="J177" s="24" t="b">
        <f aca="false">IF(이수현황!$A177="",FALSE(),OR(이수현황!$J177="기한초과",이수현황!$J177="임박"))</f>
        <v>0</v>
      </c>
      <c r="K177" s="6" t="str">
        <f aca="false">IF($J177=FALSE(),"",COUNTIF($J$6:$J177,TRUE()))</f>
        <v/>
      </c>
      <c r="L177" s="6" t="str">
        <f aca="false">IF($K177="","","R"&amp;$K177)</f>
        <v/>
      </c>
    </row>
    <row r="178" customFormat="false" ht="15" hidden="false" customHeight="true" outlineLevel="0" collapsed="false">
      <c r="J178" s="24" t="b">
        <f aca="false">IF(이수현황!$A178="",FALSE(),OR(이수현황!$J178="기한초과",이수현황!$J178="임박"))</f>
        <v>0</v>
      </c>
      <c r="K178" s="6" t="str">
        <f aca="false">IF($J178=FALSE(),"",COUNTIF($J$6:$J178,TRUE()))</f>
        <v/>
      </c>
      <c r="L178" s="6" t="str">
        <f aca="false">IF($K178="","","R"&amp;$K178)</f>
        <v/>
      </c>
    </row>
    <row r="179" customFormat="false" ht="15" hidden="false" customHeight="true" outlineLevel="0" collapsed="false">
      <c r="J179" s="24" t="b">
        <f aca="false">IF(이수현황!$A179="",FALSE(),OR(이수현황!$J179="기한초과",이수현황!$J179="임박"))</f>
        <v>0</v>
      </c>
      <c r="K179" s="6" t="str">
        <f aca="false">IF($J179=FALSE(),"",COUNTIF($J$6:$J179,TRUE()))</f>
        <v/>
      </c>
      <c r="L179" s="6" t="str">
        <f aca="false">IF($K179="","","R"&amp;$K179)</f>
        <v/>
      </c>
    </row>
    <row r="180" customFormat="false" ht="15" hidden="false" customHeight="true" outlineLevel="0" collapsed="false">
      <c r="J180" s="24" t="b">
        <f aca="false">IF(이수현황!$A180="",FALSE(),OR(이수현황!$J180="기한초과",이수현황!$J180="임박"))</f>
        <v>0</v>
      </c>
      <c r="K180" s="6" t="str">
        <f aca="false">IF($J180=FALSE(),"",COUNTIF($J$6:$J180,TRUE()))</f>
        <v/>
      </c>
      <c r="L180" s="6" t="str">
        <f aca="false">IF($K180="","","R"&amp;$K180)</f>
        <v/>
      </c>
    </row>
    <row r="181" customFormat="false" ht="15" hidden="false" customHeight="true" outlineLevel="0" collapsed="false">
      <c r="J181" s="24" t="b">
        <f aca="false">IF(이수현황!$A181="",FALSE(),OR(이수현황!$J181="기한초과",이수현황!$J181="임박"))</f>
        <v>0</v>
      </c>
      <c r="K181" s="6" t="str">
        <f aca="false">IF($J181=FALSE(),"",COUNTIF($J$6:$J181,TRUE()))</f>
        <v/>
      </c>
      <c r="L181" s="6" t="str">
        <f aca="false">IF($K181="","","R"&amp;$K181)</f>
        <v/>
      </c>
    </row>
    <row r="182" customFormat="false" ht="15" hidden="false" customHeight="true" outlineLevel="0" collapsed="false">
      <c r="J182" s="24" t="b">
        <f aca="false">IF(이수현황!$A182="",FALSE(),OR(이수현황!$J182="기한초과",이수현황!$J182="임박"))</f>
        <v>0</v>
      </c>
      <c r="K182" s="6" t="str">
        <f aca="false">IF($J182=FALSE(),"",COUNTIF($J$6:$J182,TRUE()))</f>
        <v/>
      </c>
      <c r="L182" s="6" t="str">
        <f aca="false">IF($K182="","","R"&amp;$K182)</f>
        <v/>
      </c>
    </row>
    <row r="183" customFormat="false" ht="15" hidden="false" customHeight="true" outlineLevel="0" collapsed="false">
      <c r="J183" s="24" t="b">
        <f aca="false">IF(이수현황!$A183="",FALSE(),OR(이수현황!$J183="기한초과",이수현황!$J183="임박"))</f>
        <v>0</v>
      </c>
      <c r="K183" s="6" t="str">
        <f aca="false">IF($J183=FALSE(),"",COUNTIF($J$6:$J183,TRUE()))</f>
        <v/>
      </c>
      <c r="L183" s="6" t="str">
        <f aca="false">IF($K183="","","R"&amp;$K183)</f>
        <v/>
      </c>
    </row>
    <row r="184" customFormat="false" ht="15" hidden="false" customHeight="true" outlineLevel="0" collapsed="false">
      <c r="J184" s="24" t="b">
        <f aca="false">IF(이수현황!$A184="",FALSE(),OR(이수현황!$J184="기한초과",이수현황!$J184="임박"))</f>
        <v>0</v>
      </c>
      <c r="K184" s="6" t="str">
        <f aca="false">IF($J184=FALSE(),"",COUNTIF($J$6:$J184,TRUE()))</f>
        <v/>
      </c>
      <c r="L184" s="6" t="str">
        <f aca="false">IF($K184="","","R"&amp;$K184)</f>
        <v/>
      </c>
    </row>
    <row r="185" customFormat="false" ht="15" hidden="false" customHeight="true" outlineLevel="0" collapsed="false">
      <c r="J185" s="24" t="b">
        <f aca="false">IF(이수현황!$A185="",FALSE(),OR(이수현황!$J185="기한초과",이수현황!$J185="임박"))</f>
        <v>0</v>
      </c>
      <c r="K185" s="6" t="str">
        <f aca="false">IF($J185=FALSE(),"",COUNTIF($J$6:$J185,TRUE()))</f>
        <v/>
      </c>
      <c r="L185" s="6" t="str">
        <f aca="false">IF($K185="","","R"&amp;$K185)</f>
        <v/>
      </c>
    </row>
    <row r="186" customFormat="false" ht="15" hidden="false" customHeight="true" outlineLevel="0" collapsed="false">
      <c r="J186" s="24" t="b">
        <f aca="false">IF(이수현황!$A186="",FALSE(),OR(이수현황!$J186="기한초과",이수현황!$J186="임박"))</f>
        <v>0</v>
      </c>
      <c r="K186" s="6" t="str">
        <f aca="false">IF($J186=FALSE(),"",COUNTIF($J$6:$J186,TRUE()))</f>
        <v/>
      </c>
      <c r="L186" s="6" t="str">
        <f aca="false">IF($K186="","","R"&amp;$K186)</f>
        <v/>
      </c>
    </row>
    <row r="187" customFormat="false" ht="15" hidden="false" customHeight="true" outlineLevel="0" collapsed="false">
      <c r="J187" s="24" t="b">
        <f aca="false">IF(이수현황!$A187="",FALSE(),OR(이수현황!$J187="기한초과",이수현황!$J187="임박"))</f>
        <v>0</v>
      </c>
      <c r="K187" s="6" t="str">
        <f aca="false">IF($J187=FALSE(),"",COUNTIF($J$6:$J187,TRUE()))</f>
        <v/>
      </c>
      <c r="L187" s="6" t="str">
        <f aca="false">IF($K187="","","R"&amp;$K187)</f>
        <v/>
      </c>
    </row>
    <row r="188" customFormat="false" ht="15" hidden="false" customHeight="true" outlineLevel="0" collapsed="false">
      <c r="J188" s="24" t="b">
        <f aca="false">IF(이수현황!$A188="",FALSE(),OR(이수현황!$J188="기한초과",이수현황!$J188="임박"))</f>
        <v>0</v>
      </c>
      <c r="K188" s="6" t="str">
        <f aca="false">IF($J188=FALSE(),"",COUNTIF($J$6:$J188,TRUE()))</f>
        <v/>
      </c>
      <c r="L188" s="6" t="str">
        <f aca="false">IF($K188="","","R"&amp;$K188)</f>
        <v/>
      </c>
    </row>
    <row r="189" customFormat="false" ht="15" hidden="false" customHeight="true" outlineLevel="0" collapsed="false">
      <c r="J189" s="24" t="b">
        <f aca="false">IF(이수현황!$A189="",FALSE(),OR(이수현황!$J189="기한초과",이수현황!$J189="임박"))</f>
        <v>0</v>
      </c>
      <c r="K189" s="6" t="str">
        <f aca="false">IF($J189=FALSE(),"",COUNTIF($J$6:$J189,TRUE()))</f>
        <v/>
      </c>
      <c r="L189" s="6" t="str">
        <f aca="false">IF($K189="","","R"&amp;$K189)</f>
        <v/>
      </c>
    </row>
    <row r="190" customFormat="false" ht="15" hidden="false" customHeight="true" outlineLevel="0" collapsed="false">
      <c r="J190" s="24" t="b">
        <f aca="false">IF(이수현황!$A190="",FALSE(),OR(이수현황!$J190="기한초과",이수현황!$J190="임박"))</f>
        <v>0</v>
      </c>
      <c r="K190" s="6" t="str">
        <f aca="false">IF($J190=FALSE(),"",COUNTIF($J$6:$J190,TRUE()))</f>
        <v/>
      </c>
      <c r="L190" s="6" t="str">
        <f aca="false">IF($K190="","","R"&amp;$K190)</f>
        <v/>
      </c>
    </row>
    <row r="191" customFormat="false" ht="15" hidden="false" customHeight="true" outlineLevel="0" collapsed="false">
      <c r="J191" s="24" t="b">
        <f aca="false">IF(이수현황!$A191="",FALSE(),OR(이수현황!$J191="기한초과",이수현황!$J191="임박"))</f>
        <v>0</v>
      </c>
      <c r="K191" s="6" t="str">
        <f aca="false">IF($J191=FALSE(),"",COUNTIF($J$6:$J191,TRUE()))</f>
        <v/>
      </c>
      <c r="L191" s="6" t="str">
        <f aca="false">IF($K191="","","R"&amp;$K191)</f>
        <v/>
      </c>
    </row>
    <row r="192" customFormat="false" ht="15" hidden="false" customHeight="true" outlineLevel="0" collapsed="false">
      <c r="J192" s="24" t="b">
        <f aca="false">IF(이수현황!$A192="",FALSE(),OR(이수현황!$J192="기한초과",이수현황!$J192="임박"))</f>
        <v>0</v>
      </c>
      <c r="K192" s="6" t="str">
        <f aca="false">IF($J192=FALSE(),"",COUNTIF($J$6:$J192,TRUE()))</f>
        <v/>
      </c>
      <c r="L192" s="6" t="str">
        <f aca="false">IF($K192="","","R"&amp;$K192)</f>
        <v/>
      </c>
    </row>
    <row r="193" customFormat="false" ht="15" hidden="false" customHeight="true" outlineLevel="0" collapsed="false">
      <c r="J193" s="24" t="b">
        <f aca="false">IF(이수현황!$A193="",FALSE(),OR(이수현황!$J193="기한초과",이수현황!$J193="임박"))</f>
        <v>0</v>
      </c>
      <c r="K193" s="6" t="str">
        <f aca="false">IF($J193=FALSE(),"",COUNTIF($J$6:$J193,TRUE()))</f>
        <v/>
      </c>
      <c r="L193" s="6" t="str">
        <f aca="false">IF($K193="","","R"&amp;$K193)</f>
        <v/>
      </c>
    </row>
    <row r="194" customFormat="false" ht="15" hidden="false" customHeight="true" outlineLevel="0" collapsed="false">
      <c r="J194" s="24" t="b">
        <f aca="false">IF(이수현황!$A194="",FALSE(),OR(이수현황!$J194="기한초과",이수현황!$J194="임박"))</f>
        <v>0</v>
      </c>
      <c r="K194" s="6" t="str">
        <f aca="false">IF($J194=FALSE(),"",COUNTIF($J$6:$J194,TRUE()))</f>
        <v/>
      </c>
      <c r="L194" s="6" t="str">
        <f aca="false">IF($K194="","","R"&amp;$K194)</f>
        <v/>
      </c>
    </row>
    <row r="195" customFormat="false" ht="15" hidden="false" customHeight="true" outlineLevel="0" collapsed="false">
      <c r="J195" s="24" t="b">
        <f aca="false">IF(이수현황!$A195="",FALSE(),OR(이수현황!$J195="기한초과",이수현황!$J195="임박"))</f>
        <v>0</v>
      </c>
      <c r="K195" s="6" t="str">
        <f aca="false">IF($J195=FALSE(),"",COUNTIF($J$6:$J195,TRUE()))</f>
        <v/>
      </c>
      <c r="L195" s="6" t="str">
        <f aca="false">IF($K195="","","R"&amp;$K195)</f>
        <v/>
      </c>
    </row>
    <row r="196" customFormat="false" ht="15" hidden="false" customHeight="true" outlineLevel="0" collapsed="false">
      <c r="J196" s="24" t="b">
        <f aca="false">IF(이수현황!$A196="",FALSE(),OR(이수현황!$J196="기한초과",이수현황!$J196="임박"))</f>
        <v>0</v>
      </c>
      <c r="K196" s="6" t="str">
        <f aca="false">IF($J196=FALSE(),"",COUNTIF($J$6:$J196,TRUE()))</f>
        <v/>
      </c>
      <c r="L196" s="6" t="str">
        <f aca="false">IF($K196="","","R"&amp;$K196)</f>
        <v/>
      </c>
    </row>
    <row r="197" customFormat="false" ht="15" hidden="false" customHeight="true" outlineLevel="0" collapsed="false">
      <c r="J197" s="24" t="b">
        <f aca="false">IF(이수현황!$A197="",FALSE(),OR(이수현황!$J197="기한초과",이수현황!$J197="임박"))</f>
        <v>0</v>
      </c>
      <c r="K197" s="6" t="str">
        <f aca="false">IF($J197=FALSE(),"",COUNTIF($J$6:$J197,TRUE()))</f>
        <v/>
      </c>
      <c r="L197" s="6" t="str">
        <f aca="false">IF($K197="","","R"&amp;$K197)</f>
        <v/>
      </c>
    </row>
    <row r="198" customFormat="false" ht="15" hidden="false" customHeight="true" outlineLevel="0" collapsed="false">
      <c r="J198" s="24" t="b">
        <f aca="false">IF(이수현황!$A198="",FALSE(),OR(이수현황!$J198="기한초과",이수현황!$J198="임박"))</f>
        <v>0</v>
      </c>
      <c r="K198" s="6" t="str">
        <f aca="false">IF($J198=FALSE(),"",COUNTIF($J$6:$J198,TRUE()))</f>
        <v/>
      </c>
      <c r="L198" s="6" t="str">
        <f aca="false">IF($K198="","","R"&amp;$K198)</f>
        <v/>
      </c>
    </row>
    <row r="199" customFormat="false" ht="15" hidden="false" customHeight="true" outlineLevel="0" collapsed="false">
      <c r="J199" s="24" t="b">
        <f aca="false">IF(이수현황!$A199="",FALSE(),OR(이수현황!$J199="기한초과",이수현황!$J199="임박"))</f>
        <v>0</v>
      </c>
      <c r="K199" s="6" t="str">
        <f aca="false">IF($J199=FALSE(),"",COUNTIF($J$6:$J199,TRUE()))</f>
        <v/>
      </c>
      <c r="L199" s="6" t="str">
        <f aca="false">IF($K199="","","R"&amp;$K199)</f>
        <v/>
      </c>
    </row>
    <row r="200" customFormat="false" ht="15" hidden="false" customHeight="true" outlineLevel="0" collapsed="false">
      <c r="J200" s="24" t="b">
        <f aca="false">IF(이수현황!$A200="",FALSE(),OR(이수현황!$J200="기한초과",이수현황!$J200="임박"))</f>
        <v>0</v>
      </c>
      <c r="K200" s="6" t="str">
        <f aca="false">IF($J200=FALSE(),"",COUNTIF($J$6:$J200,TRUE()))</f>
        <v/>
      </c>
      <c r="L200" s="6" t="str">
        <f aca="false">IF($K200="","","R"&amp;$K200)</f>
        <v/>
      </c>
    </row>
    <row r="201" customFormat="false" ht="15" hidden="false" customHeight="true" outlineLevel="0" collapsed="false">
      <c r="J201" s="24" t="b">
        <f aca="false">IF(이수현황!$A201="",FALSE(),OR(이수현황!$J201="기한초과",이수현황!$J201="임박"))</f>
        <v>0</v>
      </c>
      <c r="K201" s="6" t="str">
        <f aca="false">IF($J201=FALSE(),"",COUNTIF($J$6:$J201,TRUE()))</f>
        <v/>
      </c>
      <c r="L201" s="6" t="str">
        <f aca="false">IF($K201="","","R"&amp;$K201)</f>
        <v/>
      </c>
    </row>
    <row r="202" customFormat="false" ht="15" hidden="false" customHeight="true" outlineLevel="0" collapsed="false">
      <c r="J202" s="24" t="b">
        <f aca="false">IF(이수현황!$A202="",FALSE(),OR(이수현황!$J202="기한초과",이수현황!$J202="임박"))</f>
        <v>0</v>
      </c>
      <c r="K202" s="6" t="str">
        <f aca="false">IF($J202=FALSE(),"",COUNTIF($J$6:$J202,TRUE()))</f>
        <v/>
      </c>
      <c r="L202" s="6" t="str">
        <f aca="false">IF($K202="","","R"&amp;$K202)</f>
        <v/>
      </c>
    </row>
    <row r="203" customFormat="false" ht="15" hidden="false" customHeight="true" outlineLevel="0" collapsed="false">
      <c r="J203" s="24" t="b">
        <f aca="false">IF(이수현황!$A203="",FALSE(),OR(이수현황!$J203="기한초과",이수현황!$J203="임박"))</f>
        <v>0</v>
      </c>
      <c r="K203" s="6" t="str">
        <f aca="false">IF($J203=FALSE(),"",COUNTIF($J$6:$J203,TRUE()))</f>
        <v/>
      </c>
      <c r="L203" s="6" t="str">
        <f aca="false">IF($K203="","","R"&amp;$K203)</f>
        <v/>
      </c>
    </row>
    <row r="204" customFormat="false" ht="15" hidden="false" customHeight="true" outlineLevel="0" collapsed="false">
      <c r="J204" s="24" t="b">
        <f aca="false">IF(이수현황!$A204="",FALSE(),OR(이수현황!$J204="기한초과",이수현황!$J204="임박"))</f>
        <v>0</v>
      </c>
      <c r="K204" s="6" t="str">
        <f aca="false">IF($J204=FALSE(),"",COUNTIF($J$6:$J204,TRUE()))</f>
        <v/>
      </c>
      <c r="L204" s="6" t="str">
        <f aca="false">IF($K204="","","R"&amp;$K204)</f>
        <v/>
      </c>
    </row>
    <row r="205" customFormat="false" ht="15" hidden="false" customHeight="true" outlineLevel="0" collapsed="false">
      <c r="J205" s="24" t="b">
        <f aca="false">IF(이수현황!$A205="",FALSE(),OR(이수현황!$J205="기한초과",이수현황!$J205="임박"))</f>
        <v>0</v>
      </c>
      <c r="K205" s="6" t="str">
        <f aca="false">IF($J205=FALSE(),"",COUNTIF($J$6:$J205,TRUE()))</f>
        <v/>
      </c>
      <c r="L205" s="6" t="str">
        <f aca="false">IF($K205="","","R"&amp;$K205)</f>
        <v/>
      </c>
    </row>
    <row r="206" customFormat="false" ht="15" hidden="false" customHeight="true" outlineLevel="0" collapsed="false">
      <c r="J206" s="24" t="b">
        <f aca="false">IF(이수현황!$A206="",FALSE(),OR(이수현황!$J206="기한초과",이수현황!$J206="임박"))</f>
        <v>0</v>
      </c>
      <c r="K206" s="6" t="str">
        <f aca="false">IF($J206=FALSE(),"",COUNTIF($J$6:$J206,TRUE()))</f>
        <v/>
      </c>
      <c r="L206" s="6" t="str">
        <f aca="false">IF($K206="","","R"&amp;$K206)</f>
        <v/>
      </c>
    </row>
    <row r="207" customFormat="false" ht="15" hidden="false" customHeight="true" outlineLevel="0" collapsed="false">
      <c r="J207" s="24" t="b">
        <f aca="false">IF(이수현황!$A207="",FALSE(),OR(이수현황!$J207="기한초과",이수현황!$J207="임박"))</f>
        <v>0</v>
      </c>
      <c r="K207" s="6" t="str">
        <f aca="false">IF($J207=FALSE(),"",COUNTIF($J$6:$J207,TRUE()))</f>
        <v/>
      </c>
      <c r="L207" s="6" t="str">
        <f aca="false">IF($K207="","","R"&amp;$K207)</f>
        <v/>
      </c>
    </row>
    <row r="208" customFormat="false" ht="15" hidden="false" customHeight="true" outlineLevel="0" collapsed="false">
      <c r="J208" s="24" t="b">
        <f aca="false">IF(이수현황!$A208="",FALSE(),OR(이수현황!$J208="기한초과",이수현황!$J208="임박"))</f>
        <v>0</v>
      </c>
      <c r="K208" s="6" t="str">
        <f aca="false">IF($J208=FALSE(),"",COUNTIF($J$6:$J208,TRUE()))</f>
        <v/>
      </c>
      <c r="L208" s="6" t="str">
        <f aca="false">IF($K208="","","R"&amp;$K208)</f>
        <v/>
      </c>
    </row>
    <row r="209" customFormat="false" ht="15" hidden="false" customHeight="true" outlineLevel="0" collapsed="false">
      <c r="J209" s="24" t="b">
        <f aca="false">IF(이수현황!$A209="",FALSE(),OR(이수현황!$J209="기한초과",이수현황!$J209="임박"))</f>
        <v>0</v>
      </c>
      <c r="K209" s="6" t="str">
        <f aca="false">IF($J209=FALSE(),"",COUNTIF($J$6:$J209,TRUE()))</f>
        <v/>
      </c>
      <c r="L209" s="6" t="str">
        <f aca="false">IF($K209="","","R"&amp;$K209)</f>
        <v/>
      </c>
    </row>
    <row r="210" customFormat="false" ht="15" hidden="false" customHeight="true" outlineLevel="0" collapsed="false">
      <c r="J210" s="24" t="b">
        <f aca="false">IF(이수현황!$A210="",FALSE(),OR(이수현황!$J210="기한초과",이수현황!$J210="임박"))</f>
        <v>0</v>
      </c>
      <c r="K210" s="6" t="str">
        <f aca="false">IF($J210=FALSE(),"",COUNTIF($J$6:$J210,TRUE()))</f>
        <v/>
      </c>
      <c r="L210" s="6" t="str">
        <f aca="false">IF($K210="","","R"&amp;$K210)</f>
        <v/>
      </c>
    </row>
    <row r="211" customFormat="false" ht="15" hidden="false" customHeight="true" outlineLevel="0" collapsed="false">
      <c r="J211" s="24" t="b">
        <f aca="false">IF(이수현황!$A211="",FALSE(),OR(이수현황!$J211="기한초과",이수현황!$J211="임박"))</f>
        <v>0</v>
      </c>
      <c r="K211" s="6" t="str">
        <f aca="false">IF($J211=FALSE(),"",COUNTIF($J$6:$J211,TRUE()))</f>
        <v/>
      </c>
      <c r="L211" s="6" t="str">
        <f aca="false">IF($K211="","","R"&amp;$K211)</f>
        <v/>
      </c>
    </row>
    <row r="212" customFormat="false" ht="15" hidden="false" customHeight="true" outlineLevel="0" collapsed="false">
      <c r="J212" s="24" t="b">
        <f aca="false">IF(이수현황!$A212="",FALSE(),OR(이수현황!$J212="기한초과",이수현황!$J212="임박"))</f>
        <v>0</v>
      </c>
      <c r="K212" s="6" t="str">
        <f aca="false">IF($J212=FALSE(),"",COUNTIF($J$6:$J212,TRUE()))</f>
        <v/>
      </c>
      <c r="L212" s="6" t="str">
        <f aca="false">IF($K212="","","R"&amp;$K212)</f>
        <v/>
      </c>
    </row>
    <row r="213" customFormat="false" ht="15" hidden="false" customHeight="true" outlineLevel="0" collapsed="false">
      <c r="J213" s="24" t="b">
        <f aca="false">IF(이수현황!$A213="",FALSE(),OR(이수현황!$J213="기한초과",이수현황!$J213="임박"))</f>
        <v>0</v>
      </c>
      <c r="K213" s="6" t="str">
        <f aca="false">IF($J213=FALSE(),"",COUNTIF($J$6:$J213,TRUE()))</f>
        <v/>
      </c>
      <c r="L213" s="6" t="str">
        <f aca="false">IF($K213="","","R"&amp;$K213)</f>
        <v/>
      </c>
    </row>
    <row r="214" customFormat="false" ht="15" hidden="false" customHeight="true" outlineLevel="0" collapsed="false">
      <c r="J214" s="24" t="b">
        <f aca="false">IF(이수현황!$A214="",FALSE(),OR(이수현황!$J214="기한초과",이수현황!$J214="임박"))</f>
        <v>0</v>
      </c>
      <c r="K214" s="6" t="str">
        <f aca="false">IF($J214=FALSE(),"",COUNTIF($J$6:$J214,TRUE()))</f>
        <v/>
      </c>
      <c r="L214" s="6" t="str">
        <f aca="false">IF($K214="","","R"&amp;$K214)</f>
        <v/>
      </c>
    </row>
    <row r="215" customFormat="false" ht="15" hidden="false" customHeight="true" outlineLevel="0" collapsed="false">
      <c r="J215" s="24" t="b">
        <f aca="false">IF(이수현황!$A215="",FALSE(),OR(이수현황!$J215="기한초과",이수현황!$J215="임박"))</f>
        <v>0</v>
      </c>
      <c r="K215" s="6" t="str">
        <f aca="false">IF($J215=FALSE(),"",COUNTIF($J$6:$J215,TRUE()))</f>
        <v/>
      </c>
      <c r="L215" s="6" t="str">
        <f aca="false">IF($K215="","","R"&amp;$K215)</f>
        <v/>
      </c>
    </row>
    <row r="216" customFormat="false" ht="15" hidden="false" customHeight="true" outlineLevel="0" collapsed="false">
      <c r="J216" s="24" t="b">
        <f aca="false">IF(이수현황!$A216="",FALSE(),OR(이수현황!$J216="기한초과",이수현황!$J216="임박"))</f>
        <v>0</v>
      </c>
      <c r="K216" s="6" t="str">
        <f aca="false">IF($J216=FALSE(),"",COUNTIF($J$6:$J216,TRUE()))</f>
        <v/>
      </c>
      <c r="L216" s="6" t="str">
        <f aca="false">IF($K216="","","R"&amp;$K216)</f>
        <v/>
      </c>
    </row>
    <row r="217" customFormat="false" ht="15" hidden="false" customHeight="true" outlineLevel="0" collapsed="false">
      <c r="J217" s="24" t="b">
        <f aca="false">IF(이수현황!$A217="",FALSE(),OR(이수현황!$J217="기한초과",이수현황!$J217="임박"))</f>
        <v>0</v>
      </c>
      <c r="K217" s="6" t="str">
        <f aca="false">IF($J217=FALSE(),"",COUNTIF($J$6:$J217,TRUE()))</f>
        <v/>
      </c>
      <c r="L217" s="6" t="str">
        <f aca="false">IF($K217="","","R"&amp;$K217)</f>
        <v/>
      </c>
    </row>
    <row r="218" customFormat="false" ht="15" hidden="false" customHeight="true" outlineLevel="0" collapsed="false">
      <c r="J218" s="24" t="b">
        <f aca="false">IF(이수현황!$A218="",FALSE(),OR(이수현황!$J218="기한초과",이수현황!$J218="임박"))</f>
        <v>0</v>
      </c>
      <c r="K218" s="6" t="str">
        <f aca="false">IF($J218=FALSE(),"",COUNTIF($J$6:$J218,TRUE()))</f>
        <v/>
      </c>
      <c r="L218" s="6" t="str">
        <f aca="false">IF($K218="","","R"&amp;$K218)</f>
        <v/>
      </c>
    </row>
    <row r="219" customFormat="false" ht="15" hidden="false" customHeight="true" outlineLevel="0" collapsed="false">
      <c r="J219" s="24" t="b">
        <f aca="false">IF(이수현황!$A219="",FALSE(),OR(이수현황!$J219="기한초과",이수현황!$J219="임박"))</f>
        <v>0</v>
      </c>
      <c r="K219" s="6" t="str">
        <f aca="false">IF($J219=FALSE(),"",COUNTIF($J$6:$J219,TRUE()))</f>
        <v/>
      </c>
      <c r="L219" s="6" t="str">
        <f aca="false">IF($K219="","","R"&amp;$K219)</f>
        <v/>
      </c>
    </row>
    <row r="220" customFormat="false" ht="15" hidden="false" customHeight="true" outlineLevel="0" collapsed="false">
      <c r="J220" s="24" t="b">
        <f aca="false">IF(이수현황!$A220="",FALSE(),OR(이수현황!$J220="기한초과",이수현황!$J220="임박"))</f>
        <v>0</v>
      </c>
      <c r="K220" s="6" t="str">
        <f aca="false">IF($J220=FALSE(),"",COUNTIF($J$6:$J220,TRUE()))</f>
        <v/>
      </c>
      <c r="L220" s="6" t="str">
        <f aca="false">IF($K220="","","R"&amp;$K220)</f>
        <v/>
      </c>
    </row>
    <row r="221" customFormat="false" ht="15" hidden="false" customHeight="true" outlineLevel="0" collapsed="false">
      <c r="J221" s="24" t="b">
        <f aca="false">IF(이수현황!$A221="",FALSE(),OR(이수현황!$J221="기한초과",이수현황!$J221="임박"))</f>
        <v>0</v>
      </c>
      <c r="K221" s="6" t="str">
        <f aca="false">IF($J221=FALSE(),"",COUNTIF($J$6:$J221,TRUE()))</f>
        <v/>
      </c>
      <c r="L221" s="6" t="str">
        <f aca="false">IF($K221="","","R"&amp;$K221)</f>
        <v/>
      </c>
    </row>
    <row r="222" customFormat="false" ht="15" hidden="false" customHeight="true" outlineLevel="0" collapsed="false">
      <c r="J222" s="24" t="b">
        <f aca="false">IF(이수현황!$A222="",FALSE(),OR(이수현황!$J222="기한초과",이수현황!$J222="임박"))</f>
        <v>0</v>
      </c>
      <c r="K222" s="6" t="str">
        <f aca="false">IF($J222=FALSE(),"",COUNTIF($J$6:$J222,TRUE()))</f>
        <v/>
      </c>
      <c r="L222" s="6" t="str">
        <f aca="false">IF($K222="","","R"&amp;$K222)</f>
        <v/>
      </c>
    </row>
    <row r="223" customFormat="false" ht="15" hidden="false" customHeight="true" outlineLevel="0" collapsed="false">
      <c r="J223" s="24" t="b">
        <f aca="false">IF(이수현황!$A223="",FALSE(),OR(이수현황!$J223="기한초과",이수현황!$J223="임박"))</f>
        <v>0</v>
      </c>
      <c r="K223" s="6" t="str">
        <f aca="false">IF($J223=FALSE(),"",COUNTIF($J$6:$J223,TRUE()))</f>
        <v/>
      </c>
      <c r="L223" s="6" t="str">
        <f aca="false">IF($K223="","","R"&amp;$K223)</f>
        <v/>
      </c>
    </row>
    <row r="224" customFormat="false" ht="15" hidden="false" customHeight="true" outlineLevel="0" collapsed="false">
      <c r="J224" s="24" t="b">
        <f aca="false">IF(이수현황!$A224="",FALSE(),OR(이수현황!$J224="기한초과",이수현황!$J224="임박"))</f>
        <v>0</v>
      </c>
      <c r="K224" s="6" t="str">
        <f aca="false">IF($J224=FALSE(),"",COUNTIF($J$6:$J224,TRUE()))</f>
        <v/>
      </c>
      <c r="L224" s="6" t="str">
        <f aca="false">IF($K224="","","R"&amp;$K224)</f>
        <v/>
      </c>
    </row>
    <row r="225" customFormat="false" ht="15" hidden="false" customHeight="true" outlineLevel="0" collapsed="false">
      <c r="J225" s="24" t="b">
        <f aca="false">IF(이수현황!$A225="",FALSE(),OR(이수현황!$J225="기한초과",이수현황!$J225="임박"))</f>
        <v>0</v>
      </c>
      <c r="K225" s="6" t="str">
        <f aca="false">IF($J225=FALSE(),"",COUNTIF($J$6:$J225,TRUE()))</f>
        <v/>
      </c>
      <c r="L225" s="6" t="str">
        <f aca="false">IF($K225="","","R"&amp;$K225)</f>
        <v/>
      </c>
    </row>
    <row r="226" customFormat="false" ht="15" hidden="false" customHeight="true" outlineLevel="0" collapsed="false">
      <c r="J226" s="24" t="b">
        <f aca="false">IF(이수현황!$A226="",FALSE(),OR(이수현황!$J226="기한초과",이수현황!$J226="임박"))</f>
        <v>0</v>
      </c>
      <c r="K226" s="6" t="str">
        <f aca="false">IF($J226=FALSE(),"",COUNTIF($J$6:$J226,TRUE()))</f>
        <v/>
      </c>
      <c r="L226" s="6" t="str">
        <f aca="false">IF($K226="","","R"&amp;$K226)</f>
        <v/>
      </c>
    </row>
    <row r="227" customFormat="false" ht="15" hidden="false" customHeight="true" outlineLevel="0" collapsed="false">
      <c r="J227" s="24" t="b">
        <f aca="false">IF(이수현황!$A227="",FALSE(),OR(이수현황!$J227="기한초과",이수현황!$J227="임박"))</f>
        <v>0</v>
      </c>
      <c r="K227" s="6" t="str">
        <f aca="false">IF($J227=FALSE(),"",COUNTIF($J$6:$J227,TRUE()))</f>
        <v/>
      </c>
      <c r="L227" s="6" t="str">
        <f aca="false">IF($K227="","","R"&amp;$K227)</f>
        <v/>
      </c>
    </row>
    <row r="228" customFormat="false" ht="15" hidden="false" customHeight="true" outlineLevel="0" collapsed="false">
      <c r="J228" s="24" t="b">
        <f aca="false">IF(이수현황!$A228="",FALSE(),OR(이수현황!$J228="기한초과",이수현황!$J228="임박"))</f>
        <v>0</v>
      </c>
      <c r="K228" s="6" t="str">
        <f aca="false">IF($J228=FALSE(),"",COUNTIF($J$6:$J228,TRUE()))</f>
        <v/>
      </c>
      <c r="L228" s="6" t="str">
        <f aca="false">IF($K228="","","R"&amp;$K228)</f>
        <v/>
      </c>
    </row>
    <row r="229" customFormat="false" ht="15" hidden="false" customHeight="true" outlineLevel="0" collapsed="false">
      <c r="J229" s="24" t="b">
        <f aca="false">IF(이수현황!$A229="",FALSE(),OR(이수현황!$J229="기한초과",이수현황!$J229="임박"))</f>
        <v>0</v>
      </c>
      <c r="K229" s="6" t="str">
        <f aca="false">IF($J229=FALSE(),"",COUNTIF($J$6:$J229,TRUE()))</f>
        <v/>
      </c>
      <c r="L229" s="6" t="str">
        <f aca="false">IF($K229="","","R"&amp;$K229)</f>
        <v/>
      </c>
    </row>
    <row r="230" customFormat="false" ht="15" hidden="false" customHeight="true" outlineLevel="0" collapsed="false">
      <c r="J230" s="24" t="b">
        <f aca="false">IF(이수현황!$A230="",FALSE(),OR(이수현황!$J230="기한초과",이수현황!$J230="임박"))</f>
        <v>0</v>
      </c>
      <c r="K230" s="6" t="str">
        <f aca="false">IF($J230=FALSE(),"",COUNTIF($J$6:$J230,TRUE()))</f>
        <v/>
      </c>
      <c r="L230" s="6" t="str">
        <f aca="false">IF($K230="","","R"&amp;$K230)</f>
        <v/>
      </c>
    </row>
    <row r="231" customFormat="false" ht="15" hidden="false" customHeight="true" outlineLevel="0" collapsed="false">
      <c r="J231" s="24" t="b">
        <f aca="false">IF(이수현황!$A231="",FALSE(),OR(이수현황!$J231="기한초과",이수현황!$J231="임박"))</f>
        <v>0</v>
      </c>
      <c r="K231" s="6" t="str">
        <f aca="false">IF($J231=FALSE(),"",COUNTIF($J$6:$J231,TRUE()))</f>
        <v/>
      </c>
      <c r="L231" s="6" t="str">
        <f aca="false">IF($K231="","","R"&amp;$K231)</f>
        <v/>
      </c>
    </row>
    <row r="232" customFormat="false" ht="15" hidden="false" customHeight="true" outlineLevel="0" collapsed="false">
      <c r="J232" s="24" t="b">
        <f aca="false">IF(이수현황!$A232="",FALSE(),OR(이수현황!$J232="기한초과",이수현황!$J232="임박"))</f>
        <v>0</v>
      </c>
      <c r="K232" s="6" t="str">
        <f aca="false">IF($J232=FALSE(),"",COUNTIF($J$6:$J232,TRUE()))</f>
        <v/>
      </c>
      <c r="L232" s="6" t="str">
        <f aca="false">IF($K232="","","R"&amp;$K232)</f>
        <v/>
      </c>
    </row>
    <row r="233" customFormat="false" ht="15" hidden="false" customHeight="true" outlineLevel="0" collapsed="false">
      <c r="J233" s="24" t="b">
        <f aca="false">IF(이수현황!$A233="",FALSE(),OR(이수현황!$J233="기한초과",이수현황!$J233="임박"))</f>
        <v>0</v>
      </c>
      <c r="K233" s="6" t="str">
        <f aca="false">IF($J233=FALSE(),"",COUNTIF($J$6:$J233,TRUE()))</f>
        <v/>
      </c>
      <c r="L233" s="6" t="str">
        <f aca="false">IF($K233="","","R"&amp;$K233)</f>
        <v/>
      </c>
    </row>
    <row r="234" customFormat="false" ht="15" hidden="false" customHeight="true" outlineLevel="0" collapsed="false">
      <c r="J234" s="24" t="b">
        <f aca="false">IF(이수현황!$A234="",FALSE(),OR(이수현황!$J234="기한초과",이수현황!$J234="임박"))</f>
        <v>0</v>
      </c>
      <c r="K234" s="6" t="str">
        <f aca="false">IF($J234=FALSE(),"",COUNTIF($J$6:$J234,TRUE()))</f>
        <v/>
      </c>
      <c r="L234" s="6" t="str">
        <f aca="false">IF($K234="","","R"&amp;$K234)</f>
        <v/>
      </c>
    </row>
    <row r="235" customFormat="false" ht="15" hidden="false" customHeight="true" outlineLevel="0" collapsed="false">
      <c r="J235" s="24" t="b">
        <f aca="false">IF(이수현황!$A235="",FALSE(),OR(이수현황!$J235="기한초과",이수현황!$J235="임박"))</f>
        <v>0</v>
      </c>
      <c r="K235" s="6" t="str">
        <f aca="false">IF($J235=FALSE(),"",COUNTIF($J$6:$J235,TRUE()))</f>
        <v/>
      </c>
      <c r="L235" s="6" t="str">
        <f aca="false">IF($K235="","","R"&amp;$K235)</f>
        <v/>
      </c>
    </row>
    <row r="236" customFormat="false" ht="15" hidden="false" customHeight="true" outlineLevel="0" collapsed="false">
      <c r="J236" s="24" t="b">
        <f aca="false">IF(이수현황!$A236="",FALSE(),OR(이수현황!$J236="기한초과",이수현황!$J236="임박"))</f>
        <v>0</v>
      </c>
      <c r="K236" s="6" t="str">
        <f aca="false">IF($J236=FALSE(),"",COUNTIF($J$6:$J236,TRUE()))</f>
        <v/>
      </c>
      <c r="L236" s="6" t="str">
        <f aca="false">IF($K236="","","R"&amp;$K236)</f>
        <v/>
      </c>
    </row>
    <row r="237" customFormat="false" ht="15" hidden="false" customHeight="true" outlineLevel="0" collapsed="false">
      <c r="J237" s="24" t="b">
        <f aca="false">IF(이수현황!$A237="",FALSE(),OR(이수현황!$J237="기한초과",이수현황!$J237="임박"))</f>
        <v>0</v>
      </c>
      <c r="K237" s="6" t="str">
        <f aca="false">IF($J237=FALSE(),"",COUNTIF($J$6:$J237,TRUE()))</f>
        <v/>
      </c>
      <c r="L237" s="6" t="str">
        <f aca="false">IF($K237="","","R"&amp;$K237)</f>
        <v/>
      </c>
    </row>
    <row r="238" customFormat="false" ht="15" hidden="false" customHeight="true" outlineLevel="0" collapsed="false">
      <c r="J238" s="24" t="b">
        <f aca="false">IF(이수현황!$A238="",FALSE(),OR(이수현황!$J238="기한초과",이수현황!$J238="임박"))</f>
        <v>0</v>
      </c>
      <c r="K238" s="6" t="str">
        <f aca="false">IF($J238=FALSE(),"",COUNTIF($J$6:$J238,TRUE()))</f>
        <v/>
      </c>
      <c r="L238" s="6" t="str">
        <f aca="false">IF($K238="","","R"&amp;$K238)</f>
        <v/>
      </c>
    </row>
    <row r="239" customFormat="false" ht="15" hidden="false" customHeight="true" outlineLevel="0" collapsed="false">
      <c r="J239" s="24" t="b">
        <f aca="false">IF(이수현황!$A239="",FALSE(),OR(이수현황!$J239="기한초과",이수현황!$J239="임박"))</f>
        <v>0</v>
      </c>
      <c r="K239" s="6" t="str">
        <f aca="false">IF($J239=FALSE(),"",COUNTIF($J$6:$J239,TRUE()))</f>
        <v/>
      </c>
      <c r="L239" s="6" t="str">
        <f aca="false">IF($K239="","","R"&amp;$K239)</f>
        <v/>
      </c>
    </row>
    <row r="240" customFormat="false" ht="15" hidden="false" customHeight="true" outlineLevel="0" collapsed="false">
      <c r="J240" s="24" t="b">
        <f aca="false">IF(이수현황!$A240="",FALSE(),OR(이수현황!$J240="기한초과",이수현황!$J240="임박"))</f>
        <v>0</v>
      </c>
      <c r="K240" s="6" t="str">
        <f aca="false">IF($J240=FALSE(),"",COUNTIF($J$6:$J240,TRUE()))</f>
        <v/>
      </c>
      <c r="L240" s="6" t="str">
        <f aca="false">IF($K240="","","R"&amp;$K240)</f>
        <v/>
      </c>
    </row>
    <row r="241" customFormat="false" ht="15" hidden="false" customHeight="true" outlineLevel="0" collapsed="false">
      <c r="J241" s="24" t="b">
        <f aca="false">IF(이수현황!$A241="",FALSE(),OR(이수현황!$J241="기한초과",이수현황!$J241="임박"))</f>
        <v>0</v>
      </c>
      <c r="K241" s="6" t="str">
        <f aca="false">IF($J241=FALSE(),"",COUNTIF($J$6:$J241,TRUE()))</f>
        <v/>
      </c>
      <c r="L241" s="6" t="str">
        <f aca="false">IF($K241="","","R"&amp;$K241)</f>
        <v/>
      </c>
    </row>
    <row r="242" customFormat="false" ht="15" hidden="false" customHeight="true" outlineLevel="0" collapsed="false">
      <c r="J242" s="24" t="b">
        <f aca="false">IF(이수현황!$A242="",FALSE(),OR(이수현황!$J242="기한초과",이수현황!$J242="임박"))</f>
        <v>0</v>
      </c>
      <c r="K242" s="6" t="str">
        <f aca="false">IF($J242=FALSE(),"",COUNTIF($J$6:$J242,TRUE()))</f>
        <v/>
      </c>
      <c r="L242" s="6" t="str">
        <f aca="false">IF($K242="","","R"&amp;$K242)</f>
        <v/>
      </c>
    </row>
    <row r="243" customFormat="false" ht="15" hidden="false" customHeight="true" outlineLevel="0" collapsed="false">
      <c r="J243" s="24" t="b">
        <f aca="false">IF(이수현황!$A243="",FALSE(),OR(이수현황!$J243="기한초과",이수현황!$J243="임박"))</f>
        <v>0</v>
      </c>
      <c r="K243" s="6" t="str">
        <f aca="false">IF($J243=FALSE(),"",COUNTIF($J$6:$J243,TRUE()))</f>
        <v/>
      </c>
      <c r="L243" s="6" t="str">
        <f aca="false">IF($K243="","","R"&amp;$K243)</f>
        <v/>
      </c>
    </row>
    <row r="244" customFormat="false" ht="15" hidden="false" customHeight="true" outlineLevel="0" collapsed="false">
      <c r="J244" s="24" t="b">
        <f aca="false">IF(이수현황!$A244="",FALSE(),OR(이수현황!$J244="기한초과",이수현황!$J244="임박"))</f>
        <v>0</v>
      </c>
      <c r="K244" s="6" t="str">
        <f aca="false">IF($J244=FALSE(),"",COUNTIF($J$6:$J244,TRUE()))</f>
        <v/>
      </c>
      <c r="L244" s="6" t="str">
        <f aca="false">IF($K244="","","R"&amp;$K244)</f>
        <v/>
      </c>
    </row>
    <row r="245" customFormat="false" ht="15" hidden="false" customHeight="true" outlineLevel="0" collapsed="false">
      <c r="J245" s="24" t="b">
        <f aca="false">IF(이수현황!$A245="",FALSE(),OR(이수현황!$J245="기한초과",이수현황!$J245="임박"))</f>
        <v>0</v>
      </c>
      <c r="K245" s="6" t="str">
        <f aca="false">IF($J245=FALSE(),"",COUNTIF($J$6:$J245,TRUE()))</f>
        <v/>
      </c>
      <c r="L245" s="6" t="str">
        <f aca="false">IF($K245="","","R"&amp;$K245)</f>
        <v/>
      </c>
    </row>
    <row r="246" customFormat="false" ht="15" hidden="false" customHeight="true" outlineLevel="0" collapsed="false">
      <c r="J246" s="24" t="b">
        <f aca="false">IF(이수현황!$A246="",FALSE(),OR(이수현황!$J246="기한초과",이수현황!$J246="임박"))</f>
        <v>0</v>
      </c>
      <c r="K246" s="6" t="str">
        <f aca="false">IF($J246=FALSE(),"",COUNTIF($J$6:$J246,TRUE()))</f>
        <v/>
      </c>
      <c r="L246" s="6" t="str">
        <f aca="false">IF($K246="","","R"&amp;$K246)</f>
        <v/>
      </c>
    </row>
    <row r="247" customFormat="false" ht="15" hidden="false" customHeight="true" outlineLevel="0" collapsed="false">
      <c r="J247" s="24" t="b">
        <f aca="false">IF(이수현황!$A247="",FALSE(),OR(이수현황!$J247="기한초과",이수현황!$J247="임박"))</f>
        <v>0</v>
      </c>
      <c r="K247" s="6" t="str">
        <f aca="false">IF($J247=FALSE(),"",COUNTIF($J$6:$J247,TRUE()))</f>
        <v/>
      </c>
      <c r="L247" s="6" t="str">
        <f aca="false">IF($K247="","","R"&amp;$K247)</f>
        <v/>
      </c>
    </row>
    <row r="248" customFormat="false" ht="15" hidden="false" customHeight="true" outlineLevel="0" collapsed="false">
      <c r="J248" s="24" t="b">
        <f aca="false">IF(이수현황!$A248="",FALSE(),OR(이수현황!$J248="기한초과",이수현황!$J248="임박"))</f>
        <v>0</v>
      </c>
      <c r="K248" s="6" t="str">
        <f aca="false">IF($J248=FALSE(),"",COUNTIF($J$6:$J248,TRUE()))</f>
        <v/>
      </c>
      <c r="L248" s="6" t="str">
        <f aca="false">IF($K248="","","R"&amp;$K248)</f>
        <v/>
      </c>
    </row>
    <row r="249" customFormat="false" ht="15" hidden="false" customHeight="true" outlineLevel="0" collapsed="false">
      <c r="J249" s="24" t="b">
        <f aca="false">IF(이수현황!$A249="",FALSE(),OR(이수현황!$J249="기한초과",이수현황!$J249="임박"))</f>
        <v>0</v>
      </c>
      <c r="K249" s="6" t="str">
        <f aca="false">IF($J249=FALSE(),"",COUNTIF($J$6:$J249,TRUE()))</f>
        <v/>
      </c>
      <c r="L249" s="6" t="str">
        <f aca="false">IF($K249="","","R"&amp;$K249)</f>
        <v/>
      </c>
    </row>
    <row r="250" customFormat="false" ht="15" hidden="false" customHeight="true" outlineLevel="0" collapsed="false">
      <c r="J250" s="24" t="b">
        <f aca="false">IF(이수현황!$A250="",FALSE(),OR(이수현황!$J250="기한초과",이수현황!$J250="임박"))</f>
        <v>0</v>
      </c>
      <c r="K250" s="6" t="str">
        <f aca="false">IF($J250=FALSE(),"",COUNTIF($J$6:$J250,TRUE()))</f>
        <v/>
      </c>
      <c r="L250" s="6" t="str">
        <f aca="false">IF($K250="","","R"&amp;$K250)</f>
        <v/>
      </c>
    </row>
    <row r="251" customFormat="false" ht="15" hidden="false" customHeight="true" outlineLevel="0" collapsed="false">
      <c r="J251" s="24" t="b">
        <f aca="false">IF(이수현황!$A251="",FALSE(),OR(이수현황!$J251="기한초과",이수현황!$J251="임박"))</f>
        <v>0</v>
      </c>
      <c r="K251" s="6" t="str">
        <f aca="false">IF($J251=FALSE(),"",COUNTIF($J$6:$J251,TRUE()))</f>
        <v/>
      </c>
      <c r="L251" s="6" t="str">
        <f aca="false">IF($K251="","","R"&amp;$K251)</f>
        <v/>
      </c>
    </row>
    <row r="252" customFormat="false" ht="15" hidden="false" customHeight="true" outlineLevel="0" collapsed="false">
      <c r="J252" s="24" t="b">
        <f aca="false">IF(이수현황!$A252="",FALSE(),OR(이수현황!$J252="기한초과",이수현황!$J252="임박"))</f>
        <v>0</v>
      </c>
      <c r="K252" s="6" t="str">
        <f aca="false">IF($J252=FALSE(),"",COUNTIF($J$6:$J252,TRUE()))</f>
        <v/>
      </c>
      <c r="L252" s="6" t="str">
        <f aca="false">IF($K252="","","R"&amp;$K252)</f>
        <v/>
      </c>
    </row>
    <row r="253" customFormat="false" ht="15" hidden="false" customHeight="true" outlineLevel="0" collapsed="false">
      <c r="J253" s="24" t="b">
        <f aca="false">IF(이수현황!$A253="",FALSE(),OR(이수현황!$J253="기한초과",이수현황!$J253="임박"))</f>
        <v>0</v>
      </c>
      <c r="K253" s="6" t="str">
        <f aca="false">IF($J253=FALSE(),"",COUNTIF($J$6:$J253,TRUE()))</f>
        <v/>
      </c>
      <c r="L253" s="6" t="str">
        <f aca="false">IF($K253="","","R"&amp;$K253)</f>
        <v/>
      </c>
    </row>
    <row r="254" customFormat="false" ht="15" hidden="false" customHeight="true" outlineLevel="0" collapsed="false">
      <c r="J254" s="24" t="b">
        <f aca="false">IF(이수현황!$A254="",FALSE(),OR(이수현황!$J254="기한초과",이수현황!$J254="임박"))</f>
        <v>0</v>
      </c>
      <c r="K254" s="6" t="str">
        <f aca="false">IF($J254=FALSE(),"",COUNTIF($J$6:$J254,TRUE()))</f>
        <v/>
      </c>
      <c r="L254" s="6" t="str">
        <f aca="false">IF($K254="","","R"&amp;$K254)</f>
        <v/>
      </c>
    </row>
    <row r="255" customFormat="false" ht="15" hidden="false" customHeight="true" outlineLevel="0" collapsed="false">
      <c r="J255" s="24" t="b">
        <f aca="false">IF(이수현황!$A255="",FALSE(),OR(이수현황!$J255="기한초과",이수현황!$J255="임박"))</f>
        <v>0</v>
      </c>
      <c r="K255" s="6" t="str">
        <f aca="false">IF($J255=FALSE(),"",COUNTIF($J$6:$J255,TRUE()))</f>
        <v/>
      </c>
      <c r="L255" s="6" t="str">
        <f aca="false">IF($K255="","","R"&amp;$K255)</f>
        <v/>
      </c>
    </row>
    <row r="256" customFormat="false" ht="15" hidden="false" customHeight="true" outlineLevel="0" collapsed="false">
      <c r="J256" s="24" t="b">
        <f aca="false">IF(이수현황!$A256="",FALSE(),OR(이수현황!$J256="기한초과",이수현황!$J256="임박"))</f>
        <v>0</v>
      </c>
      <c r="K256" s="6" t="str">
        <f aca="false">IF($J256=FALSE(),"",COUNTIF($J$6:$J256,TRUE()))</f>
        <v/>
      </c>
      <c r="L256" s="6" t="str">
        <f aca="false">IF($K256="","","R"&amp;$K256)</f>
        <v/>
      </c>
    </row>
    <row r="257" customFormat="false" ht="15" hidden="false" customHeight="true" outlineLevel="0" collapsed="false">
      <c r="J257" s="24" t="b">
        <f aca="false">IF(이수현황!$A257="",FALSE(),OR(이수현황!$J257="기한초과",이수현황!$J257="임박"))</f>
        <v>0</v>
      </c>
      <c r="K257" s="6" t="str">
        <f aca="false">IF($J257=FALSE(),"",COUNTIF($J$6:$J257,TRUE()))</f>
        <v/>
      </c>
      <c r="L257" s="6" t="str">
        <f aca="false">IF($K257="","","R"&amp;$K257)</f>
        <v/>
      </c>
    </row>
    <row r="258" customFormat="false" ht="15" hidden="false" customHeight="true" outlineLevel="0" collapsed="false">
      <c r="J258" s="24" t="b">
        <f aca="false">IF(이수현황!$A258="",FALSE(),OR(이수현황!$J258="기한초과",이수현황!$J258="임박"))</f>
        <v>0</v>
      </c>
      <c r="K258" s="6" t="str">
        <f aca="false">IF($J258=FALSE(),"",COUNTIF($J$6:$J258,TRUE()))</f>
        <v/>
      </c>
      <c r="L258" s="6" t="str">
        <f aca="false">IF($K258="","","R"&amp;$K258)</f>
        <v/>
      </c>
    </row>
    <row r="259" customFormat="false" ht="15" hidden="false" customHeight="true" outlineLevel="0" collapsed="false">
      <c r="J259" s="24" t="b">
        <f aca="false">IF(이수현황!$A259="",FALSE(),OR(이수현황!$J259="기한초과",이수현황!$J259="임박"))</f>
        <v>0</v>
      </c>
      <c r="K259" s="6" t="str">
        <f aca="false">IF($J259=FALSE(),"",COUNTIF($J$6:$J259,TRUE()))</f>
        <v/>
      </c>
      <c r="L259" s="6" t="str">
        <f aca="false">IF($K259="","","R"&amp;$K259)</f>
        <v/>
      </c>
    </row>
    <row r="260" customFormat="false" ht="15" hidden="false" customHeight="true" outlineLevel="0" collapsed="false">
      <c r="J260" s="24" t="b">
        <f aca="false">IF(이수현황!$A260="",FALSE(),OR(이수현황!$J260="기한초과",이수현황!$J260="임박"))</f>
        <v>0</v>
      </c>
      <c r="K260" s="6" t="str">
        <f aca="false">IF($J260=FALSE(),"",COUNTIF($J$6:$J260,TRUE()))</f>
        <v/>
      </c>
      <c r="L260" s="6" t="str">
        <f aca="false">IF($K260="","","R"&amp;$K260)</f>
        <v/>
      </c>
    </row>
    <row r="261" customFormat="false" ht="15" hidden="false" customHeight="true" outlineLevel="0" collapsed="false">
      <c r="J261" s="24" t="b">
        <f aca="false">IF(이수현황!$A261="",FALSE(),OR(이수현황!$J261="기한초과",이수현황!$J261="임박"))</f>
        <v>0</v>
      </c>
      <c r="K261" s="6" t="str">
        <f aca="false">IF($J261=FALSE(),"",COUNTIF($J$6:$J261,TRUE()))</f>
        <v/>
      </c>
      <c r="L261" s="6" t="str">
        <f aca="false">IF($K261="","","R"&amp;$K261)</f>
        <v/>
      </c>
    </row>
    <row r="262" customFormat="false" ht="15" hidden="false" customHeight="true" outlineLevel="0" collapsed="false">
      <c r="J262" s="24" t="b">
        <f aca="false">IF(이수현황!$A262="",FALSE(),OR(이수현황!$J262="기한초과",이수현황!$J262="임박"))</f>
        <v>0</v>
      </c>
      <c r="K262" s="6" t="str">
        <f aca="false">IF($J262=FALSE(),"",COUNTIF($J$6:$J262,TRUE()))</f>
        <v/>
      </c>
      <c r="L262" s="6" t="str">
        <f aca="false">IF($K262="","","R"&amp;$K262)</f>
        <v/>
      </c>
    </row>
    <row r="263" customFormat="false" ht="15" hidden="false" customHeight="true" outlineLevel="0" collapsed="false">
      <c r="J263" s="24" t="b">
        <f aca="false">IF(이수현황!$A263="",FALSE(),OR(이수현황!$J263="기한초과",이수현황!$J263="임박"))</f>
        <v>0</v>
      </c>
      <c r="K263" s="6" t="str">
        <f aca="false">IF($J263=FALSE(),"",COUNTIF($J$6:$J263,TRUE()))</f>
        <v/>
      </c>
      <c r="L263" s="6" t="str">
        <f aca="false">IF($K263="","","R"&amp;$K263)</f>
        <v/>
      </c>
    </row>
    <row r="264" customFormat="false" ht="15" hidden="false" customHeight="true" outlineLevel="0" collapsed="false">
      <c r="J264" s="24" t="b">
        <f aca="false">IF(이수현황!$A264="",FALSE(),OR(이수현황!$J264="기한초과",이수현황!$J264="임박"))</f>
        <v>0</v>
      </c>
      <c r="K264" s="6" t="str">
        <f aca="false">IF($J264=FALSE(),"",COUNTIF($J$6:$J264,TRUE()))</f>
        <v/>
      </c>
      <c r="L264" s="6" t="str">
        <f aca="false">IF($K264="","","R"&amp;$K264)</f>
        <v/>
      </c>
    </row>
    <row r="265" customFormat="false" ht="15" hidden="false" customHeight="true" outlineLevel="0" collapsed="false">
      <c r="J265" s="24" t="b">
        <f aca="false">IF(이수현황!$A265="",FALSE(),OR(이수현황!$J265="기한초과",이수현황!$J265="임박"))</f>
        <v>0</v>
      </c>
      <c r="K265" s="6" t="str">
        <f aca="false">IF($J265=FALSE(),"",COUNTIF($J$6:$J265,TRUE()))</f>
        <v/>
      </c>
      <c r="L265" s="6" t="str">
        <f aca="false">IF($K265="","","R"&amp;$K265)</f>
        <v/>
      </c>
    </row>
    <row r="266" customFormat="false" ht="15" hidden="false" customHeight="true" outlineLevel="0" collapsed="false">
      <c r="J266" s="24" t="b">
        <f aca="false">IF(이수현황!$A266="",FALSE(),OR(이수현황!$J266="기한초과",이수현황!$J266="임박"))</f>
        <v>0</v>
      </c>
      <c r="K266" s="6" t="str">
        <f aca="false">IF($J266=FALSE(),"",COUNTIF($J$6:$J266,TRUE()))</f>
        <v/>
      </c>
      <c r="L266" s="6" t="str">
        <f aca="false">IF($K266="","","R"&amp;$K266)</f>
        <v/>
      </c>
    </row>
    <row r="267" customFormat="false" ht="15" hidden="false" customHeight="true" outlineLevel="0" collapsed="false">
      <c r="J267" s="24" t="b">
        <f aca="false">IF(이수현황!$A267="",FALSE(),OR(이수현황!$J267="기한초과",이수현황!$J267="임박"))</f>
        <v>0</v>
      </c>
      <c r="K267" s="6" t="str">
        <f aca="false">IF($J267=FALSE(),"",COUNTIF($J$6:$J267,TRUE()))</f>
        <v/>
      </c>
      <c r="L267" s="6" t="str">
        <f aca="false">IF($K267="","","R"&amp;$K267)</f>
        <v/>
      </c>
    </row>
    <row r="268" customFormat="false" ht="15" hidden="false" customHeight="true" outlineLevel="0" collapsed="false">
      <c r="J268" s="24" t="b">
        <f aca="false">IF(이수현황!$A268="",FALSE(),OR(이수현황!$J268="기한초과",이수현황!$J268="임박"))</f>
        <v>0</v>
      </c>
      <c r="K268" s="6" t="str">
        <f aca="false">IF($J268=FALSE(),"",COUNTIF($J$6:$J268,TRUE()))</f>
        <v/>
      </c>
      <c r="L268" s="6" t="str">
        <f aca="false">IF($K268="","","R"&amp;$K268)</f>
        <v/>
      </c>
    </row>
    <row r="269" customFormat="false" ht="15" hidden="false" customHeight="true" outlineLevel="0" collapsed="false">
      <c r="J269" s="24" t="b">
        <f aca="false">IF(이수현황!$A269="",FALSE(),OR(이수현황!$J269="기한초과",이수현황!$J269="임박"))</f>
        <v>0</v>
      </c>
      <c r="K269" s="6" t="str">
        <f aca="false">IF($J269=FALSE(),"",COUNTIF($J$6:$J269,TRUE()))</f>
        <v/>
      </c>
      <c r="L269" s="6" t="str">
        <f aca="false">IF($K269="","","R"&amp;$K269)</f>
        <v/>
      </c>
    </row>
    <row r="270" customFormat="false" ht="15" hidden="false" customHeight="true" outlineLevel="0" collapsed="false">
      <c r="J270" s="24" t="b">
        <f aca="false">IF(이수현황!$A270="",FALSE(),OR(이수현황!$J270="기한초과",이수현황!$J270="임박"))</f>
        <v>0</v>
      </c>
      <c r="K270" s="6" t="str">
        <f aca="false">IF($J270=FALSE(),"",COUNTIF($J$6:$J270,TRUE()))</f>
        <v/>
      </c>
      <c r="L270" s="6" t="str">
        <f aca="false">IF($K270="","","R"&amp;$K270)</f>
        <v/>
      </c>
    </row>
    <row r="271" customFormat="false" ht="15" hidden="false" customHeight="true" outlineLevel="0" collapsed="false">
      <c r="J271" s="24" t="b">
        <f aca="false">IF(이수현황!$A271="",FALSE(),OR(이수현황!$J271="기한초과",이수현황!$J271="임박"))</f>
        <v>0</v>
      </c>
      <c r="K271" s="6" t="str">
        <f aca="false">IF($J271=FALSE(),"",COUNTIF($J$6:$J271,TRUE()))</f>
        <v/>
      </c>
      <c r="L271" s="6" t="str">
        <f aca="false">IF($K271="","","R"&amp;$K271)</f>
        <v/>
      </c>
    </row>
    <row r="272" customFormat="false" ht="15" hidden="false" customHeight="true" outlineLevel="0" collapsed="false">
      <c r="J272" s="24" t="b">
        <f aca="false">IF(이수현황!$A272="",FALSE(),OR(이수현황!$J272="기한초과",이수현황!$J272="임박"))</f>
        <v>0</v>
      </c>
      <c r="K272" s="6" t="str">
        <f aca="false">IF($J272=FALSE(),"",COUNTIF($J$6:$J272,TRUE()))</f>
        <v/>
      </c>
      <c r="L272" s="6" t="str">
        <f aca="false">IF($K272="","","R"&amp;$K272)</f>
        <v/>
      </c>
    </row>
    <row r="273" customFormat="false" ht="15" hidden="false" customHeight="true" outlineLevel="0" collapsed="false">
      <c r="J273" s="24" t="b">
        <f aca="false">IF(이수현황!$A273="",FALSE(),OR(이수현황!$J273="기한초과",이수현황!$J273="임박"))</f>
        <v>0</v>
      </c>
      <c r="K273" s="6" t="str">
        <f aca="false">IF($J273=FALSE(),"",COUNTIF($J$6:$J273,TRUE()))</f>
        <v/>
      </c>
      <c r="L273" s="6" t="str">
        <f aca="false">IF($K273="","","R"&amp;$K273)</f>
        <v/>
      </c>
    </row>
    <row r="274" customFormat="false" ht="15" hidden="false" customHeight="true" outlineLevel="0" collapsed="false">
      <c r="J274" s="24" t="b">
        <f aca="false">IF(이수현황!$A274="",FALSE(),OR(이수현황!$J274="기한초과",이수현황!$J274="임박"))</f>
        <v>0</v>
      </c>
      <c r="K274" s="6" t="str">
        <f aca="false">IF($J274=FALSE(),"",COUNTIF($J$6:$J274,TRUE()))</f>
        <v/>
      </c>
      <c r="L274" s="6" t="str">
        <f aca="false">IF($K274="","","R"&amp;$K274)</f>
        <v/>
      </c>
    </row>
    <row r="275" customFormat="false" ht="15" hidden="false" customHeight="true" outlineLevel="0" collapsed="false">
      <c r="J275" s="24" t="b">
        <f aca="false">IF(이수현황!$A275="",FALSE(),OR(이수현황!$J275="기한초과",이수현황!$J275="임박"))</f>
        <v>0</v>
      </c>
      <c r="K275" s="6" t="str">
        <f aca="false">IF($J275=FALSE(),"",COUNTIF($J$6:$J275,TRUE()))</f>
        <v/>
      </c>
      <c r="L275" s="6" t="str">
        <f aca="false">IF($K275="","","R"&amp;$K275)</f>
        <v/>
      </c>
    </row>
    <row r="276" customFormat="false" ht="15" hidden="false" customHeight="true" outlineLevel="0" collapsed="false">
      <c r="J276" s="24" t="b">
        <f aca="false">IF(이수현황!$A276="",FALSE(),OR(이수현황!$J276="기한초과",이수현황!$J276="임박"))</f>
        <v>0</v>
      </c>
      <c r="K276" s="6" t="str">
        <f aca="false">IF($J276=FALSE(),"",COUNTIF($J$6:$J276,TRUE()))</f>
        <v/>
      </c>
      <c r="L276" s="6" t="str">
        <f aca="false">IF($K276="","","R"&amp;$K276)</f>
        <v/>
      </c>
    </row>
    <row r="277" customFormat="false" ht="15" hidden="false" customHeight="true" outlineLevel="0" collapsed="false">
      <c r="J277" s="24" t="b">
        <f aca="false">IF(이수현황!$A277="",FALSE(),OR(이수현황!$J277="기한초과",이수현황!$J277="임박"))</f>
        <v>0</v>
      </c>
      <c r="K277" s="6" t="str">
        <f aca="false">IF($J277=FALSE(),"",COUNTIF($J$6:$J277,TRUE()))</f>
        <v/>
      </c>
      <c r="L277" s="6" t="str">
        <f aca="false">IF($K277="","","R"&amp;$K277)</f>
        <v/>
      </c>
    </row>
    <row r="278" customFormat="false" ht="15" hidden="false" customHeight="true" outlineLevel="0" collapsed="false">
      <c r="J278" s="24" t="b">
        <f aca="false">IF(이수현황!$A278="",FALSE(),OR(이수현황!$J278="기한초과",이수현황!$J278="임박"))</f>
        <v>0</v>
      </c>
      <c r="K278" s="6" t="str">
        <f aca="false">IF($J278=FALSE(),"",COUNTIF($J$6:$J278,TRUE()))</f>
        <v/>
      </c>
      <c r="L278" s="6" t="str">
        <f aca="false">IF($K278="","","R"&amp;$K278)</f>
        <v/>
      </c>
    </row>
    <row r="279" customFormat="false" ht="15" hidden="false" customHeight="true" outlineLevel="0" collapsed="false">
      <c r="J279" s="24" t="b">
        <f aca="false">IF(이수현황!$A279="",FALSE(),OR(이수현황!$J279="기한초과",이수현황!$J279="임박"))</f>
        <v>0</v>
      </c>
      <c r="K279" s="6" t="str">
        <f aca="false">IF($J279=FALSE(),"",COUNTIF($J$6:$J279,TRUE()))</f>
        <v/>
      </c>
      <c r="L279" s="6" t="str">
        <f aca="false">IF($K279="","","R"&amp;$K279)</f>
        <v/>
      </c>
    </row>
    <row r="280" customFormat="false" ht="15" hidden="false" customHeight="true" outlineLevel="0" collapsed="false">
      <c r="J280" s="24" t="b">
        <f aca="false">IF(이수현황!$A280="",FALSE(),OR(이수현황!$J280="기한초과",이수현황!$J280="임박"))</f>
        <v>0</v>
      </c>
      <c r="K280" s="6" t="str">
        <f aca="false">IF($J280=FALSE(),"",COUNTIF($J$6:$J280,TRUE()))</f>
        <v/>
      </c>
      <c r="L280" s="6" t="str">
        <f aca="false">IF($K280="","","R"&amp;$K280)</f>
        <v/>
      </c>
    </row>
    <row r="281" customFormat="false" ht="15" hidden="false" customHeight="true" outlineLevel="0" collapsed="false">
      <c r="J281" s="24" t="b">
        <f aca="false">IF(이수현황!$A281="",FALSE(),OR(이수현황!$J281="기한초과",이수현황!$J281="임박"))</f>
        <v>0</v>
      </c>
      <c r="K281" s="6" t="str">
        <f aca="false">IF($J281=FALSE(),"",COUNTIF($J$6:$J281,TRUE()))</f>
        <v/>
      </c>
      <c r="L281" s="6" t="str">
        <f aca="false">IF($K281="","","R"&amp;$K281)</f>
        <v/>
      </c>
    </row>
    <row r="282" customFormat="false" ht="15" hidden="false" customHeight="true" outlineLevel="0" collapsed="false">
      <c r="J282" s="24" t="b">
        <f aca="false">IF(이수현황!$A282="",FALSE(),OR(이수현황!$J282="기한초과",이수현황!$J282="임박"))</f>
        <v>0</v>
      </c>
      <c r="K282" s="6" t="str">
        <f aca="false">IF($J282=FALSE(),"",COUNTIF($J$6:$J282,TRUE()))</f>
        <v/>
      </c>
      <c r="L282" s="6" t="str">
        <f aca="false">IF($K282="","","R"&amp;$K282)</f>
        <v/>
      </c>
    </row>
    <row r="283" customFormat="false" ht="15" hidden="false" customHeight="true" outlineLevel="0" collapsed="false">
      <c r="J283" s="24" t="b">
        <f aca="false">IF(이수현황!$A283="",FALSE(),OR(이수현황!$J283="기한초과",이수현황!$J283="임박"))</f>
        <v>0</v>
      </c>
      <c r="K283" s="6" t="str">
        <f aca="false">IF($J283=FALSE(),"",COUNTIF($J$6:$J283,TRUE()))</f>
        <v/>
      </c>
      <c r="L283" s="6" t="str">
        <f aca="false">IF($K283="","","R"&amp;$K283)</f>
        <v/>
      </c>
    </row>
    <row r="284" customFormat="false" ht="15" hidden="false" customHeight="true" outlineLevel="0" collapsed="false">
      <c r="J284" s="24" t="b">
        <f aca="false">IF(이수현황!$A284="",FALSE(),OR(이수현황!$J284="기한초과",이수현황!$J284="임박"))</f>
        <v>0</v>
      </c>
      <c r="K284" s="6" t="str">
        <f aca="false">IF($J284=FALSE(),"",COUNTIF($J$6:$J284,TRUE()))</f>
        <v/>
      </c>
      <c r="L284" s="6" t="str">
        <f aca="false">IF($K284="","","R"&amp;$K284)</f>
        <v/>
      </c>
    </row>
    <row r="285" customFormat="false" ht="15" hidden="false" customHeight="true" outlineLevel="0" collapsed="false">
      <c r="J285" s="24" t="b">
        <f aca="false">IF(이수현황!$A285="",FALSE(),OR(이수현황!$J285="기한초과",이수현황!$J285="임박"))</f>
        <v>0</v>
      </c>
      <c r="K285" s="6" t="str">
        <f aca="false">IF($J285=FALSE(),"",COUNTIF($J$6:$J285,TRUE()))</f>
        <v/>
      </c>
      <c r="L285" s="6" t="str">
        <f aca="false">IF($K285="","","R"&amp;$K285)</f>
        <v/>
      </c>
    </row>
    <row r="286" customFormat="false" ht="15" hidden="false" customHeight="true" outlineLevel="0" collapsed="false">
      <c r="J286" s="24" t="b">
        <f aca="false">IF(이수현황!$A286="",FALSE(),OR(이수현황!$J286="기한초과",이수현황!$J286="임박"))</f>
        <v>0</v>
      </c>
      <c r="K286" s="6" t="str">
        <f aca="false">IF($J286=FALSE(),"",COUNTIF($J$6:$J286,TRUE()))</f>
        <v/>
      </c>
      <c r="L286" s="6" t="str">
        <f aca="false">IF($K286="","","R"&amp;$K286)</f>
        <v/>
      </c>
    </row>
    <row r="287" customFormat="false" ht="15" hidden="false" customHeight="true" outlineLevel="0" collapsed="false">
      <c r="J287" s="24" t="b">
        <f aca="false">IF(이수현황!$A287="",FALSE(),OR(이수현황!$J287="기한초과",이수현황!$J287="임박"))</f>
        <v>0</v>
      </c>
      <c r="K287" s="6" t="str">
        <f aca="false">IF($J287=FALSE(),"",COUNTIF($J$6:$J287,TRUE()))</f>
        <v/>
      </c>
      <c r="L287" s="6" t="str">
        <f aca="false">IF($K287="","","R"&amp;$K287)</f>
        <v/>
      </c>
    </row>
    <row r="288" customFormat="false" ht="15" hidden="false" customHeight="true" outlineLevel="0" collapsed="false">
      <c r="J288" s="24" t="b">
        <f aca="false">IF(이수현황!$A288="",FALSE(),OR(이수현황!$J288="기한초과",이수현황!$J288="임박"))</f>
        <v>0</v>
      </c>
      <c r="K288" s="6" t="str">
        <f aca="false">IF($J288=FALSE(),"",COUNTIF($J$6:$J288,TRUE()))</f>
        <v/>
      </c>
      <c r="L288" s="6" t="str">
        <f aca="false">IF($K288="","","R"&amp;$K288)</f>
        <v/>
      </c>
    </row>
    <row r="289" customFormat="false" ht="15" hidden="false" customHeight="true" outlineLevel="0" collapsed="false">
      <c r="J289" s="24" t="b">
        <f aca="false">IF(이수현황!$A289="",FALSE(),OR(이수현황!$J289="기한초과",이수현황!$J289="임박"))</f>
        <v>0</v>
      </c>
      <c r="K289" s="6" t="str">
        <f aca="false">IF($J289=FALSE(),"",COUNTIF($J$6:$J289,TRUE()))</f>
        <v/>
      </c>
      <c r="L289" s="6" t="str">
        <f aca="false">IF($K289="","","R"&amp;$K289)</f>
        <v/>
      </c>
    </row>
    <row r="290" customFormat="false" ht="15" hidden="false" customHeight="true" outlineLevel="0" collapsed="false">
      <c r="J290" s="24" t="b">
        <f aca="false">IF(이수현황!$A290="",FALSE(),OR(이수현황!$J290="기한초과",이수현황!$J290="임박"))</f>
        <v>0</v>
      </c>
      <c r="K290" s="6" t="str">
        <f aca="false">IF($J290=FALSE(),"",COUNTIF($J$6:$J290,TRUE()))</f>
        <v/>
      </c>
      <c r="L290" s="6" t="str">
        <f aca="false">IF($K290="","","R"&amp;$K290)</f>
        <v/>
      </c>
    </row>
    <row r="291" customFormat="false" ht="15" hidden="false" customHeight="true" outlineLevel="0" collapsed="false">
      <c r="J291" s="24" t="b">
        <f aca="false">IF(이수현황!$A291="",FALSE(),OR(이수현황!$J291="기한초과",이수현황!$J291="임박"))</f>
        <v>0</v>
      </c>
      <c r="K291" s="6" t="str">
        <f aca="false">IF($J291=FALSE(),"",COUNTIF($J$6:$J291,TRUE()))</f>
        <v/>
      </c>
      <c r="L291" s="6" t="str">
        <f aca="false">IF($K291="","","R"&amp;$K291)</f>
        <v/>
      </c>
    </row>
    <row r="292" customFormat="false" ht="15" hidden="false" customHeight="true" outlineLevel="0" collapsed="false">
      <c r="J292" s="24" t="b">
        <f aca="false">IF(이수현황!$A292="",FALSE(),OR(이수현황!$J292="기한초과",이수현황!$J292="임박"))</f>
        <v>0</v>
      </c>
      <c r="K292" s="6" t="str">
        <f aca="false">IF($J292=FALSE(),"",COUNTIF($J$6:$J292,TRUE()))</f>
        <v/>
      </c>
      <c r="L292" s="6" t="str">
        <f aca="false">IF($K292="","","R"&amp;$K292)</f>
        <v/>
      </c>
    </row>
    <row r="293" customFormat="false" ht="15" hidden="false" customHeight="true" outlineLevel="0" collapsed="false">
      <c r="J293" s="24" t="b">
        <f aca="false">IF(이수현황!$A293="",FALSE(),OR(이수현황!$J293="기한초과",이수현황!$J293="임박"))</f>
        <v>0</v>
      </c>
      <c r="K293" s="6" t="str">
        <f aca="false">IF($J293=FALSE(),"",COUNTIF($J$6:$J293,TRUE()))</f>
        <v/>
      </c>
      <c r="L293" s="6" t="str">
        <f aca="false">IF($K293="","","R"&amp;$K293)</f>
        <v/>
      </c>
    </row>
    <row r="294" customFormat="false" ht="15" hidden="false" customHeight="true" outlineLevel="0" collapsed="false">
      <c r="J294" s="24" t="b">
        <f aca="false">IF(이수현황!$A294="",FALSE(),OR(이수현황!$J294="기한초과",이수현황!$J294="임박"))</f>
        <v>0</v>
      </c>
      <c r="K294" s="6" t="str">
        <f aca="false">IF($J294=FALSE(),"",COUNTIF($J$6:$J294,TRUE()))</f>
        <v/>
      </c>
      <c r="L294" s="6" t="str">
        <f aca="false">IF($K294="","","R"&amp;$K294)</f>
        <v/>
      </c>
    </row>
    <row r="295" customFormat="false" ht="15" hidden="false" customHeight="true" outlineLevel="0" collapsed="false">
      <c r="J295" s="24" t="b">
        <f aca="false">IF(이수현황!$A295="",FALSE(),OR(이수현황!$J295="기한초과",이수현황!$J295="임박"))</f>
        <v>0</v>
      </c>
      <c r="K295" s="6" t="str">
        <f aca="false">IF($J295=FALSE(),"",COUNTIF($J$6:$J295,TRUE()))</f>
        <v/>
      </c>
      <c r="L295" s="6" t="str">
        <f aca="false">IF($K295="","","R"&amp;$K295)</f>
        <v/>
      </c>
    </row>
    <row r="296" customFormat="false" ht="15" hidden="false" customHeight="true" outlineLevel="0" collapsed="false">
      <c r="J296" s="24" t="b">
        <f aca="false">IF(이수현황!$A296="",FALSE(),OR(이수현황!$J296="기한초과",이수현황!$J296="임박"))</f>
        <v>0</v>
      </c>
      <c r="K296" s="6" t="str">
        <f aca="false">IF($J296=FALSE(),"",COUNTIF($J$6:$J296,TRUE()))</f>
        <v/>
      </c>
      <c r="L296" s="6" t="str">
        <f aca="false">IF($K296="","","R"&amp;$K296)</f>
        <v/>
      </c>
    </row>
    <row r="297" customFormat="false" ht="15" hidden="false" customHeight="true" outlineLevel="0" collapsed="false">
      <c r="J297" s="24" t="b">
        <f aca="false">IF(이수현황!$A297="",FALSE(),OR(이수현황!$J297="기한초과",이수현황!$J297="임박"))</f>
        <v>0</v>
      </c>
      <c r="K297" s="6" t="str">
        <f aca="false">IF($J297=FALSE(),"",COUNTIF($J$6:$J297,TRUE()))</f>
        <v/>
      </c>
      <c r="L297" s="6" t="str">
        <f aca="false">IF($K297="","","R"&amp;$K297)</f>
        <v/>
      </c>
    </row>
    <row r="298" customFormat="false" ht="15" hidden="false" customHeight="true" outlineLevel="0" collapsed="false">
      <c r="J298" s="24" t="b">
        <f aca="false">IF(이수현황!$A298="",FALSE(),OR(이수현황!$J298="기한초과",이수현황!$J298="임박"))</f>
        <v>0</v>
      </c>
      <c r="K298" s="6" t="str">
        <f aca="false">IF($J298=FALSE(),"",COUNTIF($J$6:$J298,TRUE()))</f>
        <v/>
      </c>
      <c r="L298" s="6" t="str">
        <f aca="false">IF($K298="","","R"&amp;$K298)</f>
        <v/>
      </c>
    </row>
    <row r="299" customFormat="false" ht="15" hidden="false" customHeight="true" outlineLevel="0" collapsed="false">
      <c r="J299" s="24" t="b">
        <f aca="false">IF(이수현황!$A299="",FALSE(),OR(이수현황!$J299="기한초과",이수현황!$J299="임박"))</f>
        <v>0</v>
      </c>
      <c r="K299" s="6" t="str">
        <f aca="false">IF($J299=FALSE(),"",COUNTIF($J$6:$J299,TRUE()))</f>
        <v/>
      </c>
      <c r="L299" s="6" t="str">
        <f aca="false">IF($K299="","","R"&amp;$K299)</f>
        <v/>
      </c>
    </row>
    <row r="300" customFormat="false" ht="15" hidden="false" customHeight="true" outlineLevel="0" collapsed="false">
      <c r="J300" s="24" t="b">
        <f aca="false">IF(이수현황!$A300="",FALSE(),OR(이수현황!$J300="기한초과",이수현황!$J300="임박"))</f>
        <v>0</v>
      </c>
      <c r="K300" s="6" t="str">
        <f aca="false">IF($J300=FALSE(),"",COUNTIF($J$6:$J300,TRUE()))</f>
        <v/>
      </c>
      <c r="L300" s="6" t="str">
        <f aca="false">IF($K300="","","R"&amp;$K300)</f>
        <v/>
      </c>
    </row>
    <row r="301" customFormat="false" ht="15" hidden="false" customHeight="true" outlineLevel="0" collapsed="false">
      <c r="J301" s="24" t="b">
        <f aca="false">IF(이수현황!$A301="",FALSE(),OR(이수현황!$J301="기한초과",이수현황!$J301="임박"))</f>
        <v>0</v>
      </c>
      <c r="K301" s="6" t="str">
        <f aca="false">IF($J301=FALSE(),"",COUNTIF($J$6:$J301,TRUE()))</f>
        <v/>
      </c>
      <c r="L301" s="6" t="str">
        <f aca="false">IF($K301="","","R"&amp;$K301)</f>
        <v/>
      </c>
    </row>
    <row r="302" customFormat="false" ht="15" hidden="false" customHeight="true" outlineLevel="0" collapsed="false">
      <c r="J302" s="24" t="b">
        <f aca="false">IF(이수현황!$A302="",FALSE(),OR(이수현황!$J302="기한초과",이수현황!$J302="임박"))</f>
        <v>0</v>
      </c>
      <c r="K302" s="6" t="str">
        <f aca="false">IF($J302=FALSE(),"",COUNTIF($J$6:$J302,TRUE()))</f>
        <v/>
      </c>
      <c r="L302" s="6" t="str">
        <f aca="false">IF($K302="","","R"&amp;$K302)</f>
        <v/>
      </c>
    </row>
    <row r="303" customFormat="false" ht="15" hidden="false" customHeight="true" outlineLevel="0" collapsed="false">
      <c r="J303" s="24" t="b">
        <f aca="false">IF(이수현황!$A303="",FALSE(),OR(이수현황!$J303="기한초과",이수현황!$J303="임박"))</f>
        <v>0</v>
      </c>
      <c r="K303" s="6" t="str">
        <f aca="false">IF($J303=FALSE(),"",COUNTIF($J$6:$J303,TRUE()))</f>
        <v/>
      </c>
      <c r="L303" s="6" t="str">
        <f aca="false">IF($K303="","","R"&amp;$K303)</f>
        <v/>
      </c>
    </row>
    <row r="304" customFormat="false" ht="15" hidden="false" customHeight="true" outlineLevel="0" collapsed="false">
      <c r="J304" s="24" t="b">
        <f aca="false">IF(이수현황!$A304="",FALSE(),OR(이수현황!$J304="기한초과",이수현황!$J304="임박"))</f>
        <v>0</v>
      </c>
      <c r="K304" s="6" t="str">
        <f aca="false">IF($J304=FALSE(),"",COUNTIF($J$6:$J304,TRUE()))</f>
        <v/>
      </c>
      <c r="L304" s="6" t="str">
        <f aca="false">IF($K304="","","R"&amp;$K304)</f>
        <v/>
      </c>
    </row>
    <row r="305" customFormat="false" ht="15" hidden="false" customHeight="true" outlineLevel="0" collapsed="false">
      <c r="J305" s="24" t="b">
        <f aca="false">IF(이수현황!$A305="",FALSE(),OR(이수현황!$J305="기한초과",이수현황!$J305="임박"))</f>
        <v>0</v>
      </c>
      <c r="K305" s="6" t="str">
        <f aca="false">IF($J305=FALSE(),"",COUNTIF($J$6:$J305,TRUE()))</f>
        <v/>
      </c>
      <c r="L305" s="6" t="str">
        <f aca="false">IF($K305="","","R"&amp;$K305)</f>
        <v/>
      </c>
    </row>
    <row r="306" customFormat="false" ht="15" hidden="false" customHeight="true" outlineLevel="0" collapsed="false">
      <c r="J306" s="24" t="b">
        <f aca="false">IF(이수현황!$A306="",FALSE(),OR(이수현황!$J306="기한초과",이수현황!$J306="임박"))</f>
        <v>0</v>
      </c>
      <c r="K306" s="6" t="str">
        <f aca="false">IF($J306=FALSE(),"",COUNTIF($J$6:$J306,TRUE()))</f>
        <v/>
      </c>
      <c r="L306" s="6" t="str">
        <f aca="false">IF($K306="","","R"&amp;$K306)</f>
        <v/>
      </c>
    </row>
    <row r="307" customFormat="false" ht="15" hidden="false" customHeight="true" outlineLevel="0" collapsed="false">
      <c r="J307" s="24" t="b">
        <f aca="false">IF(이수현황!$A307="",FALSE(),OR(이수현황!$J307="기한초과",이수현황!$J307="임박"))</f>
        <v>0</v>
      </c>
      <c r="K307" s="6" t="str">
        <f aca="false">IF($J307=FALSE(),"",COUNTIF($J$6:$J307,TRUE()))</f>
        <v/>
      </c>
      <c r="L307" s="6" t="str">
        <f aca="false">IF($K307="","","R"&amp;$K307)</f>
        <v/>
      </c>
    </row>
    <row r="308" customFormat="false" ht="15" hidden="false" customHeight="true" outlineLevel="0" collapsed="false">
      <c r="J308" s="24" t="b">
        <f aca="false">IF(이수현황!$A308="",FALSE(),OR(이수현황!$J308="기한초과",이수현황!$J308="임박"))</f>
        <v>0</v>
      </c>
      <c r="K308" s="6" t="str">
        <f aca="false">IF($J308=FALSE(),"",COUNTIF($J$6:$J308,TRUE()))</f>
        <v/>
      </c>
      <c r="L308" s="6" t="str">
        <f aca="false">IF($K308="","","R"&amp;$K308)</f>
        <v/>
      </c>
    </row>
    <row r="309" customFormat="false" ht="15" hidden="false" customHeight="true" outlineLevel="0" collapsed="false">
      <c r="J309" s="24" t="b">
        <f aca="false">IF(이수현황!$A309="",FALSE(),OR(이수현황!$J309="기한초과",이수현황!$J309="임박"))</f>
        <v>0</v>
      </c>
      <c r="K309" s="6" t="str">
        <f aca="false">IF($J309=FALSE(),"",COUNTIF($J$6:$J309,TRUE()))</f>
        <v/>
      </c>
      <c r="L309" s="6" t="str">
        <f aca="false">IF($K309="","","R"&amp;$K309)</f>
        <v/>
      </c>
    </row>
    <row r="310" customFormat="false" ht="15" hidden="false" customHeight="true" outlineLevel="0" collapsed="false">
      <c r="J310" s="24" t="b">
        <f aca="false">IF(이수현황!$A310="",FALSE(),OR(이수현황!$J310="기한초과",이수현황!$J310="임박"))</f>
        <v>0</v>
      </c>
      <c r="K310" s="6" t="str">
        <f aca="false">IF($J310=FALSE(),"",COUNTIF($J$6:$J310,TRUE()))</f>
        <v/>
      </c>
      <c r="L310" s="6" t="str">
        <f aca="false">IF($K310="","","R"&amp;$K310)</f>
        <v/>
      </c>
    </row>
    <row r="311" customFormat="false" ht="15" hidden="false" customHeight="true" outlineLevel="0" collapsed="false">
      <c r="J311" s="24" t="b">
        <f aca="false">IF(이수현황!$A311="",FALSE(),OR(이수현황!$J311="기한초과",이수현황!$J311="임박"))</f>
        <v>0</v>
      </c>
      <c r="K311" s="6" t="str">
        <f aca="false">IF($J311=FALSE(),"",COUNTIF($J$6:$J311,TRUE()))</f>
        <v/>
      </c>
      <c r="L311" s="6" t="str">
        <f aca="false">IF($K311="","","R"&amp;$K311)</f>
        <v/>
      </c>
    </row>
    <row r="312" customFormat="false" ht="15" hidden="false" customHeight="true" outlineLevel="0" collapsed="false">
      <c r="J312" s="24" t="b">
        <f aca="false">IF(이수현황!$A312="",FALSE(),OR(이수현황!$J312="기한초과",이수현황!$J312="임박"))</f>
        <v>0</v>
      </c>
      <c r="K312" s="6" t="str">
        <f aca="false">IF($J312=FALSE(),"",COUNTIF($J$6:$J312,TRUE()))</f>
        <v/>
      </c>
      <c r="L312" s="6" t="str">
        <f aca="false">IF($K312="","","R"&amp;$K312)</f>
        <v/>
      </c>
    </row>
    <row r="313" customFormat="false" ht="15" hidden="false" customHeight="true" outlineLevel="0" collapsed="false">
      <c r="J313" s="24" t="b">
        <f aca="false">IF(이수현황!$A313="",FALSE(),OR(이수현황!$J313="기한초과",이수현황!$J313="임박"))</f>
        <v>0</v>
      </c>
      <c r="K313" s="6" t="str">
        <f aca="false">IF($J313=FALSE(),"",COUNTIF($J$6:$J313,TRUE()))</f>
        <v/>
      </c>
      <c r="L313" s="6" t="str">
        <f aca="false">IF($K313="","","R"&amp;$K313)</f>
        <v/>
      </c>
    </row>
    <row r="314" customFormat="false" ht="15" hidden="false" customHeight="true" outlineLevel="0" collapsed="false">
      <c r="J314" s="24" t="b">
        <f aca="false">IF(이수현황!$A314="",FALSE(),OR(이수현황!$J314="기한초과",이수현황!$J314="임박"))</f>
        <v>0</v>
      </c>
      <c r="K314" s="6" t="str">
        <f aca="false">IF($J314=FALSE(),"",COUNTIF($J$6:$J314,TRUE()))</f>
        <v/>
      </c>
      <c r="L314" s="6" t="str">
        <f aca="false">IF($K314="","","R"&amp;$K314)</f>
        <v/>
      </c>
    </row>
    <row r="315" customFormat="false" ht="15" hidden="false" customHeight="true" outlineLevel="0" collapsed="false">
      <c r="J315" s="24" t="b">
        <f aca="false">IF(이수현황!$A315="",FALSE(),OR(이수현황!$J315="기한초과",이수현황!$J315="임박"))</f>
        <v>0</v>
      </c>
      <c r="K315" s="6" t="str">
        <f aca="false">IF($J315=FALSE(),"",COUNTIF($J$6:$J315,TRUE()))</f>
        <v/>
      </c>
      <c r="L315" s="6" t="str">
        <f aca="false">IF($K315="","","R"&amp;$K315)</f>
        <v/>
      </c>
    </row>
    <row r="316" customFormat="false" ht="15" hidden="false" customHeight="true" outlineLevel="0" collapsed="false">
      <c r="J316" s="24" t="b">
        <f aca="false">IF(이수현황!$A316="",FALSE(),OR(이수현황!$J316="기한초과",이수현황!$J316="임박"))</f>
        <v>0</v>
      </c>
      <c r="K316" s="6" t="str">
        <f aca="false">IF($J316=FALSE(),"",COUNTIF($J$6:$J316,TRUE()))</f>
        <v/>
      </c>
      <c r="L316" s="6" t="str">
        <f aca="false">IF($K316="","","R"&amp;$K316)</f>
        <v/>
      </c>
    </row>
    <row r="317" customFormat="false" ht="15" hidden="false" customHeight="true" outlineLevel="0" collapsed="false">
      <c r="J317" s="24" t="b">
        <f aca="false">IF(이수현황!$A317="",FALSE(),OR(이수현황!$J317="기한초과",이수현황!$J317="임박"))</f>
        <v>0</v>
      </c>
      <c r="K317" s="6" t="str">
        <f aca="false">IF($J317=FALSE(),"",COUNTIF($J$6:$J317,TRUE()))</f>
        <v/>
      </c>
      <c r="L317" s="6" t="str">
        <f aca="false">IF($K317="","","R"&amp;$K317)</f>
        <v/>
      </c>
    </row>
    <row r="318" customFormat="false" ht="15" hidden="false" customHeight="true" outlineLevel="0" collapsed="false">
      <c r="J318" s="24" t="b">
        <f aca="false">IF(이수현황!$A318="",FALSE(),OR(이수현황!$J318="기한초과",이수현황!$J318="임박"))</f>
        <v>0</v>
      </c>
      <c r="K318" s="6" t="str">
        <f aca="false">IF($J318=FALSE(),"",COUNTIF($J$6:$J318,TRUE()))</f>
        <v/>
      </c>
      <c r="L318" s="6" t="str">
        <f aca="false">IF($K318="","","R"&amp;$K318)</f>
        <v/>
      </c>
    </row>
    <row r="319" customFormat="false" ht="15" hidden="false" customHeight="true" outlineLevel="0" collapsed="false">
      <c r="J319" s="24" t="b">
        <f aca="false">IF(이수현황!$A319="",FALSE(),OR(이수현황!$J319="기한초과",이수현황!$J319="임박"))</f>
        <v>0</v>
      </c>
      <c r="K319" s="6" t="str">
        <f aca="false">IF($J319=FALSE(),"",COUNTIF($J$6:$J319,TRUE()))</f>
        <v/>
      </c>
      <c r="L319" s="6" t="str">
        <f aca="false">IF($K319="","","R"&amp;$K319)</f>
        <v/>
      </c>
    </row>
    <row r="320" customFormat="false" ht="15" hidden="false" customHeight="true" outlineLevel="0" collapsed="false">
      <c r="J320" s="24" t="b">
        <f aca="false">IF(이수현황!$A320="",FALSE(),OR(이수현황!$J320="기한초과",이수현황!$J320="임박"))</f>
        <v>0</v>
      </c>
      <c r="K320" s="6" t="str">
        <f aca="false">IF($J320=FALSE(),"",COUNTIF($J$6:$J320,TRUE()))</f>
        <v/>
      </c>
      <c r="L320" s="6" t="str">
        <f aca="false">IF($K320="","","R"&amp;$K320)</f>
        <v/>
      </c>
    </row>
    <row r="321" customFormat="false" ht="15" hidden="false" customHeight="true" outlineLevel="0" collapsed="false">
      <c r="J321" s="24" t="b">
        <f aca="false">IF(이수현황!$A321="",FALSE(),OR(이수현황!$J321="기한초과",이수현황!$J321="임박"))</f>
        <v>0</v>
      </c>
      <c r="K321" s="6" t="str">
        <f aca="false">IF($J321=FALSE(),"",COUNTIF($J$6:$J321,TRUE()))</f>
        <v/>
      </c>
      <c r="L321" s="6" t="str">
        <f aca="false">IF($K321="","","R"&amp;$K321)</f>
        <v/>
      </c>
    </row>
    <row r="322" customFormat="false" ht="15" hidden="false" customHeight="true" outlineLevel="0" collapsed="false">
      <c r="J322" s="24" t="b">
        <f aca="false">IF(이수현황!$A322="",FALSE(),OR(이수현황!$J322="기한초과",이수현황!$J322="임박"))</f>
        <v>0</v>
      </c>
      <c r="K322" s="6" t="str">
        <f aca="false">IF($J322=FALSE(),"",COUNTIF($J$6:$J322,TRUE()))</f>
        <v/>
      </c>
      <c r="L322" s="6" t="str">
        <f aca="false">IF($K322="","","R"&amp;$K322)</f>
        <v/>
      </c>
    </row>
    <row r="323" customFormat="false" ht="15" hidden="false" customHeight="true" outlineLevel="0" collapsed="false">
      <c r="J323" s="24" t="b">
        <f aca="false">IF(이수현황!$A323="",FALSE(),OR(이수현황!$J323="기한초과",이수현황!$J323="임박"))</f>
        <v>0</v>
      </c>
      <c r="K323" s="6" t="str">
        <f aca="false">IF($J323=FALSE(),"",COUNTIF($J$6:$J323,TRUE()))</f>
        <v/>
      </c>
      <c r="L323" s="6" t="str">
        <f aca="false">IF($K323="","","R"&amp;$K323)</f>
        <v/>
      </c>
    </row>
    <row r="324" customFormat="false" ht="15" hidden="false" customHeight="true" outlineLevel="0" collapsed="false">
      <c r="J324" s="24" t="b">
        <f aca="false">IF(이수현황!$A324="",FALSE(),OR(이수현황!$J324="기한초과",이수현황!$J324="임박"))</f>
        <v>0</v>
      </c>
      <c r="K324" s="6" t="str">
        <f aca="false">IF($J324=FALSE(),"",COUNTIF($J$6:$J324,TRUE()))</f>
        <v/>
      </c>
      <c r="L324" s="6" t="str">
        <f aca="false">IF($K324="","","R"&amp;$K324)</f>
        <v/>
      </c>
    </row>
    <row r="325" customFormat="false" ht="15" hidden="false" customHeight="true" outlineLevel="0" collapsed="false">
      <c r="J325" s="24" t="b">
        <f aca="false">IF(이수현황!$A325="",FALSE(),OR(이수현황!$J325="기한초과",이수현황!$J325="임박"))</f>
        <v>0</v>
      </c>
      <c r="K325" s="6" t="str">
        <f aca="false">IF($J325=FALSE(),"",COUNTIF($J$6:$J325,TRUE()))</f>
        <v/>
      </c>
      <c r="L325" s="6" t="str">
        <f aca="false">IF($K325="","","R"&amp;$K325)</f>
        <v/>
      </c>
    </row>
    <row r="326" customFormat="false" ht="15" hidden="false" customHeight="true" outlineLevel="0" collapsed="false">
      <c r="J326" s="24" t="b">
        <f aca="false">IF(이수현황!$A326="",FALSE(),OR(이수현황!$J326="기한초과",이수현황!$J326="임박"))</f>
        <v>0</v>
      </c>
      <c r="K326" s="6" t="str">
        <f aca="false">IF($J326=FALSE(),"",COUNTIF($J$6:$J326,TRUE()))</f>
        <v/>
      </c>
      <c r="L326" s="6" t="str">
        <f aca="false">IF($K326="","","R"&amp;$K326)</f>
        <v/>
      </c>
    </row>
    <row r="327" customFormat="false" ht="15" hidden="false" customHeight="true" outlineLevel="0" collapsed="false">
      <c r="J327" s="24" t="b">
        <f aca="false">IF(이수현황!$A327="",FALSE(),OR(이수현황!$J327="기한초과",이수현황!$J327="임박"))</f>
        <v>0</v>
      </c>
      <c r="K327" s="6" t="str">
        <f aca="false">IF($J327=FALSE(),"",COUNTIF($J$6:$J327,TRUE()))</f>
        <v/>
      </c>
      <c r="L327" s="6" t="str">
        <f aca="false">IF($K327="","","R"&amp;$K327)</f>
        <v/>
      </c>
    </row>
    <row r="328" customFormat="false" ht="15" hidden="false" customHeight="true" outlineLevel="0" collapsed="false">
      <c r="J328" s="24" t="b">
        <f aca="false">IF(이수현황!$A328="",FALSE(),OR(이수현황!$J328="기한초과",이수현황!$J328="임박"))</f>
        <v>0</v>
      </c>
      <c r="K328" s="6" t="str">
        <f aca="false">IF($J328=FALSE(),"",COUNTIF($J$6:$J328,TRUE()))</f>
        <v/>
      </c>
      <c r="L328" s="6" t="str">
        <f aca="false">IF($K328="","","R"&amp;$K328)</f>
        <v/>
      </c>
    </row>
    <row r="329" customFormat="false" ht="15" hidden="false" customHeight="true" outlineLevel="0" collapsed="false">
      <c r="J329" s="24" t="b">
        <f aca="false">IF(이수현황!$A329="",FALSE(),OR(이수현황!$J329="기한초과",이수현황!$J329="임박"))</f>
        <v>0</v>
      </c>
      <c r="K329" s="6" t="str">
        <f aca="false">IF($J329=FALSE(),"",COUNTIF($J$6:$J329,TRUE()))</f>
        <v/>
      </c>
      <c r="L329" s="6" t="str">
        <f aca="false">IF($K329="","","R"&amp;$K329)</f>
        <v/>
      </c>
    </row>
    <row r="330" customFormat="false" ht="15" hidden="false" customHeight="true" outlineLevel="0" collapsed="false">
      <c r="J330" s="24" t="b">
        <f aca="false">IF(이수현황!$A330="",FALSE(),OR(이수현황!$J330="기한초과",이수현황!$J330="임박"))</f>
        <v>0</v>
      </c>
      <c r="K330" s="6" t="str">
        <f aca="false">IF($J330=FALSE(),"",COUNTIF($J$6:$J330,TRUE()))</f>
        <v/>
      </c>
      <c r="L330" s="6" t="str">
        <f aca="false">IF($K330="","","R"&amp;$K330)</f>
        <v/>
      </c>
    </row>
    <row r="331" customFormat="false" ht="15" hidden="false" customHeight="true" outlineLevel="0" collapsed="false">
      <c r="J331" s="24" t="b">
        <f aca="false">IF(이수현황!$A331="",FALSE(),OR(이수현황!$J331="기한초과",이수현황!$J331="임박"))</f>
        <v>0</v>
      </c>
      <c r="K331" s="6" t="str">
        <f aca="false">IF($J331=FALSE(),"",COUNTIF($J$6:$J331,TRUE()))</f>
        <v/>
      </c>
      <c r="L331" s="6" t="str">
        <f aca="false">IF($K331="","","R"&amp;$K331)</f>
        <v/>
      </c>
    </row>
    <row r="332" customFormat="false" ht="15" hidden="false" customHeight="true" outlineLevel="0" collapsed="false">
      <c r="J332" s="24" t="b">
        <f aca="false">IF(이수현황!$A332="",FALSE(),OR(이수현황!$J332="기한초과",이수현황!$J332="임박"))</f>
        <v>0</v>
      </c>
      <c r="K332" s="6" t="str">
        <f aca="false">IF($J332=FALSE(),"",COUNTIF($J$6:$J332,TRUE()))</f>
        <v/>
      </c>
      <c r="L332" s="6" t="str">
        <f aca="false">IF($K332="","","R"&amp;$K332)</f>
        <v/>
      </c>
    </row>
    <row r="333" customFormat="false" ht="15" hidden="false" customHeight="true" outlineLevel="0" collapsed="false">
      <c r="J333" s="24" t="b">
        <f aca="false">IF(이수현황!$A333="",FALSE(),OR(이수현황!$J333="기한초과",이수현황!$J333="임박"))</f>
        <v>0</v>
      </c>
      <c r="K333" s="6" t="str">
        <f aca="false">IF($J333=FALSE(),"",COUNTIF($J$6:$J333,TRUE()))</f>
        <v/>
      </c>
      <c r="L333" s="6" t="str">
        <f aca="false">IF($K333="","","R"&amp;$K333)</f>
        <v/>
      </c>
    </row>
    <row r="334" customFormat="false" ht="15" hidden="false" customHeight="true" outlineLevel="0" collapsed="false">
      <c r="J334" s="24" t="b">
        <f aca="false">IF(이수현황!$A334="",FALSE(),OR(이수현황!$J334="기한초과",이수현황!$J334="임박"))</f>
        <v>0</v>
      </c>
      <c r="K334" s="6" t="str">
        <f aca="false">IF($J334=FALSE(),"",COUNTIF($J$6:$J334,TRUE()))</f>
        <v/>
      </c>
      <c r="L334" s="6" t="str">
        <f aca="false">IF($K334="","","R"&amp;$K334)</f>
        <v/>
      </c>
    </row>
    <row r="335" customFormat="false" ht="15" hidden="false" customHeight="true" outlineLevel="0" collapsed="false">
      <c r="J335" s="24" t="b">
        <f aca="false">IF(이수현황!$A335="",FALSE(),OR(이수현황!$J335="기한초과",이수현황!$J335="임박"))</f>
        <v>0</v>
      </c>
      <c r="K335" s="6" t="str">
        <f aca="false">IF($J335=FALSE(),"",COUNTIF($J$6:$J335,TRUE()))</f>
        <v/>
      </c>
      <c r="L335" s="6" t="str">
        <f aca="false">IF($K335="","","R"&amp;$K335)</f>
        <v/>
      </c>
    </row>
    <row r="336" customFormat="false" ht="15" hidden="false" customHeight="true" outlineLevel="0" collapsed="false">
      <c r="J336" s="24" t="b">
        <f aca="false">IF(이수현황!$A336="",FALSE(),OR(이수현황!$J336="기한초과",이수현황!$J336="임박"))</f>
        <v>0</v>
      </c>
      <c r="K336" s="6" t="str">
        <f aca="false">IF($J336=FALSE(),"",COUNTIF($J$6:$J336,TRUE()))</f>
        <v/>
      </c>
      <c r="L336" s="6" t="str">
        <f aca="false">IF($K336="","","R"&amp;$K336)</f>
        <v/>
      </c>
    </row>
    <row r="337" customFormat="false" ht="15" hidden="false" customHeight="true" outlineLevel="0" collapsed="false">
      <c r="J337" s="24" t="b">
        <f aca="false">IF(이수현황!$A337="",FALSE(),OR(이수현황!$J337="기한초과",이수현황!$J337="임박"))</f>
        <v>0</v>
      </c>
      <c r="K337" s="6" t="str">
        <f aca="false">IF($J337=FALSE(),"",COUNTIF($J$6:$J337,TRUE()))</f>
        <v/>
      </c>
      <c r="L337" s="6" t="str">
        <f aca="false">IF($K337="","","R"&amp;$K337)</f>
        <v/>
      </c>
    </row>
    <row r="338" customFormat="false" ht="15" hidden="false" customHeight="true" outlineLevel="0" collapsed="false">
      <c r="J338" s="24" t="b">
        <f aca="false">IF(이수현황!$A338="",FALSE(),OR(이수현황!$J338="기한초과",이수현황!$J338="임박"))</f>
        <v>0</v>
      </c>
      <c r="K338" s="6" t="str">
        <f aca="false">IF($J338=FALSE(),"",COUNTIF($J$6:$J338,TRUE()))</f>
        <v/>
      </c>
      <c r="L338" s="6" t="str">
        <f aca="false">IF($K338="","","R"&amp;$K338)</f>
        <v/>
      </c>
    </row>
    <row r="339" customFormat="false" ht="15" hidden="false" customHeight="true" outlineLevel="0" collapsed="false">
      <c r="J339" s="24" t="b">
        <f aca="false">IF(이수현황!$A339="",FALSE(),OR(이수현황!$J339="기한초과",이수현황!$J339="임박"))</f>
        <v>0</v>
      </c>
      <c r="K339" s="6" t="str">
        <f aca="false">IF($J339=FALSE(),"",COUNTIF($J$6:$J339,TRUE()))</f>
        <v/>
      </c>
      <c r="L339" s="6" t="str">
        <f aca="false">IF($K339="","","R"&amp;$K339)</f>
        <v/>
      </c>
    </row>
    <row r="340" customFormat="false" ht="15" hidden="false" customHeight="true" outlineLevel="0" collapsed="false">
      <c r="J340" s="24" t="b">
        <f aca="false">IF(이수현황!$A340="",FALSE(),OR(이수현황!$J340="기한초과",이수현황!$J340="임박"))</f>
        <v>0</v>
      </c>
      <c r="K340" s="6" t="str">
        <f aca="false">IF($J340=FALSE(),"",COUNTIF($J$6:$J340,TRUE()))</f>
        <v/>
      </c>
      <c r="L340" s="6" t="str">
        <f aca="false">IF($K340="","","R"&amp;$K340)</f>
        <v/>
      </c>
    </row>
    <row r="341" customFormat="false" ht="15" hidden="false" customHeight="true" outlineLevel="0" collapsed="false">
      <c r="J341" s="24" t="b">
        <f aca="false">IF(이수현황!$A341="",FALSE(),OR(이수현황!$J341="기한초과",이수현황!$J341="임박"))</f>
        <v>0</v>
      </c>
      <c r="K341" s="6" t="str">
        <f aca="false">IF($J341=FALSE(),"",COUNTIF($J$6:$J341,TRUE()))</f>
        <v/>
      </c>
      <c r="L341" s="6" t="str">
        <f aca="false">IF($K341="","","R"&amp;$K341)</f>
        <v/>
      </c>
    </row>
    <row r="342" customFormat="false" ht="15" hidden="false" customHeight="true" outlineLevel="0" collapsed="false">
      <c r="J342" s="24" t="b">
        <f aca="false">IF(이수현황!$A342="",FALSE(),OR(이수현황!$J342="기한초과",이수현황!$J342="임박"))</f>
        <v>0</v>
      </c>
      <c r="K342" s="6" t="str">
        <f aca="false">IF($J342=FALSE(),"",COUNTIF($J$6:$J342,TRUE()))</f>
        <v/>
      </c>
      <c r="L342" s="6" t="str">
        <f aca="false">IF($K342="","","R"&amp;$K342)</f>
        <v/>
      </c>
    </row>
    <row r="343" customFormat="false" ht="15" hidden="false" customHeight="true" outlineLevel="0" collapsed="false">
      <c r="J343" s="24" t="b">
        <f aca="false">IF(이수현황!$A343="",FALSE(),OR(이수현황!$J343="기한초과",이수현황!$J343="임박"))</f>
        <v>0</v>
      </c>
      <c r="K343" s="6" t="str">
        <f aca="false">IF($J343=FALSE(),"",COUNTIF($J$6:$J343,TRUE()))</f>
        <v/>
      </c>
      <c r="L343" s="6" t="str">
        <f aca="false">IF($K343="","","R"&amp;$K343)</f>
        <v/>
      </c>
    </row>
    <row r="344" customFormat="false" ht="15" hidden="false" customHeight="true" outlineLevel="0" collapsed="false">
      <c r="J344" s="24" t="b">
        <f aca="false">IF(이수현황!$A344="",FALSE(),OR(이수현황!$J344="기한초과",이수현황!$J344="임박"))</f>
        <v>0</v>
      </c>
      <c r="K344" s="6" t="str">
        <f aca="false">IF($J344=FALSE(),"",COUNTIF($J$6:$J344,TRUE()))</f>
        <v/>
      </c>
      <c r="L344" s="6" t="str">
        <f aca="false">IF($K344="","","R"&amp;$K344)</f>
        <v/>
      </c>
    </row>
    <row r="345" customFormat="false" ht="15" hidden="false" customHeight="true" outlineLevel="0" collapsed="false">
      <c r="J345" s="24" t="b">
        <f aca="false">IF(이수현황!$A345="",FALSE(),OR(이수현황!$J345="기한초과",이수현황!$J345="임박"))</f>
        <v>0</v>
      </c>
      <c r="K345" s="6" t="str">
        <f aca="false">IF($J345=FALSE(),"",COUNTIF($J$6:$J345,TRUE()))</f>
        <v/>
      </c>
      <c r="L345" s="6" t="str">
        <f aca="false">IF($K345="","","R"&amp;$K345)</f>
        <v/>
      </c>
    </row>
    <row r="346" customFormat="false" ht="15" hidden="false" customHeight="true" outlineLevel="0" collapsed="false">
      <c r="J346" s="24" t="b">
        <f aca="false">IF(이수현황!$A346="",FALSE(),OR(이수현황!$J346="기한초과",이수현황!$J346="임박"))</f>
        <v>0</v>
      </c>
      <c r="K346" s="6" t="str">
        <f aca="false">IF($J346=FALSE(),"",COUNTIF($J$6:$J346,TRUE()))</f>
        <v/>
      </c>
      <c r="L346" s="6" t="str">
        <f aca="false">IF($K346="","","R"&amp;$K346)</f>
        <v/>
      </c>
    </row>
    <row r="347" customFormat="false" ht="15" hidden="false" customHeight="true" outlineLevel="0" collapsed="false">
      <c r="J347" s="24" t="b">
        <f aca="false">IF(이수현황!$A347="",FALSE(),OR(이수현황!$J347="기한초과",이수현황!$J347="임박"))</f>
        <v>0</v>
      </c>
      <c r="K347" s="6" t="str">
        <f aca="false">IF($J347=FALSE(),"",COUNTIF($J$6:$J347,TRUE()))</f>
        <v/>
      </c>
      <c r="L347" s="6" t="str">
        <f aca="false">IF($K347="","","R"&amp;$K347)</f>
        <v/>
      </c>
    </row>
    <row r="348" customFormat="false" ht="15" hidden="false" customHeight="true" outlineLevel="0" collapsed="false">
      <c r="J348" s="24" t="b">
        <f aca="false">IF(이수현황!$A348="",FALSE(),OR(이수현황!$J348="기한초과",이수현황!$J348="임박"))</f>
        <v>0</v>
      </c>
      <c r="K348" s="6" t="str">
        <f aca="false">IF($J348=FALSE(),"",COUNTIF($J$6:$J348,TRUE()))</f>
        <v/>
      </c>
      <c r="L348" s="6" t="str">
        <f aca="false">IF($K348="","","R"&amp;$K348)</f>
        <v/>
      </c>
    </row>
    <row r="349" customFormat="false" ht="15" hidden="false" customHeight="true" outlineLevel="0" collapsed="false">
      <c r="J349" s="24" t="b">
        <f aca="false">IF(이수현황!$A349="",FALSE(),OR(이수현황!$J349="기한초과",이수현황!$J349="임박"))</f>
        <v>0</v>
      </c>
      <c r="K349" s="6" t="str">
        <f aca="false">IF($J349=FALSE(),"",COUNTIF($J$6:$J349,TRUE()))</f>
        <v/>
      </c>
      <c r="L349" s="6" t="str">
        <f aca="false">IF($K349="","","R"&amp;$K349)</f>
        <v/>
      </c>
    </row>
    <row r="350" customFormat="false" ht="15" hidden="false" customHeight="true" outlineLevel="0" collapsed="false">
      <c r="J350" s="24" t="b">
        <f aca="false">IF(이수현황!$A350="",FALSE(),OR(이수현황!$J350="기한초과",이수현황!$J350="임박"))</f>
        <v>0</v>
      </c>
      <c r="K350" s="6" t="str">
        <f aca="false">IF($J350=FALSE(),"",COUNTIF($J$6:$J350,TRUE()))</f>
        <v/>
      </c>
      <c r="L350" s="6" t="str">
        <f aca="false">IF($K350="","","R"&amp;$K350)</f>
        <v/>
      </c>
    </row>
    <row r="351" customFormat="false" ht="15" hidden="false" customHeight="true" outlineLevel="0" collapsed="false">
      <c r="J351" s="24" t="b">
        <f aca="false">IF(이수현황!$A351="",FALSE(),OR(이수현황!$J351="기한초과",이수현황!$J351="임박"))</f>
        <v>0</v>
      </c>
      <c r="K351" s="6" t="str">
        <f aca="false">IF($J351=FALSE(),"",COUNTIF($J$6:$J351,TRUE()))</f>
        <v/>
      </c>
      <c r="L351" s="6" t="str">
        <f aca="false">IF($K351="","","R"&amp;$K351)</f>
        <v/>
      </c>
    </row>
    <row r="352" customFormat="false" ht="15" hidden="false" customHeight="true" outlineLevel="0" collapsed="false">
      <c r="J352" s="24" t="b">
        <f aca="false">IF(이수현황!$A352="",FALSE(),OR(이수현황!$J352="기한초과",이수현황!$J352="임박"))</f>
        <v>0</v>
      </c>
      <c r="K352" s="6" t="str">
        <f aca="false">IF($J352=FALSE(),"",COUNTIF($J$6:$J352,TRUE()))</f>
        <v/>
      </c>
      <c r="L352" s="6" t="str">
        <f aca="false">IF($K352="","","R"&amp;$K352)</f>
        <v/>
      </c>
    </row>
    <row r="353" customFormat="false" ht="15" hidden="false" customHeight="true" outlineLevel="0" collapsed="false">
      <c r="J353" s="24" t="b">
        <f aca="false">IF(이수현황!$A353="",FALSE(),OR(이수현황!$J353="기한초과",이수현황!$J353="임박"))</f>
        <v>0</v>
      </c>
      <c r="K353" s="6" t="str">
        <f aca="false">IF($J353=FALSE(),"",COUNTIF($J$6:$J353,TRUE()))</f>
        <v/>
      </c>
      <c r="L353" s="6" t="str">
        <f aca="false">IF($K353="","","R"&amp;$K353)</f>
        <v/>
      </c>
    </row>
    <row r="354" customFormat="false" ht="15" hidden="false" customHeight="true" outlineLevel="0" collapsed="false">
      <c r="J354" s="24" t="b">
        <f aca="false">IF(이수현황!$A354="",FALSE(),OR(이수현황!$J354="기한초과",이수현황!$J354="임박"))</f>
        <v>0</v>
      </c>
      <c r="K354" s="6" t="str">
        <f aca="false">IF($J354=FALSE(),"",COUNTIF($J$6:$J354,TRUE()))</f>
        <v/>
      </c>
      <c r="L354" s="6" t="str">
        <f aca="false">IF($K354="","","R"&amp;$K354)</f>
        <v/>
      </c>
    </row>
    <row r="355" customFormat="false" ht="15" hidden="false" customHeight="true" outlineLevel="0" collapsed="false">
      <c r="J355" s="24" t="b">
        <f aca="false">IF(이수현황!$A355="",FALSE(),OR(이수현황!$J355="기한초과",이수현황!$J355="임박"))</f>
        <v>0</v>
      </c>
      <c r="K355" s="6" t="str">
        <f aca="false">IF($J355=FALSE(),"",COUNTIF($J$6:$J355,TRUE()))</f>
        <v/>
      </c>
      <c r="L355" s="6" t="str">
        <f aca="false">IF($K355="","","R"&amp;$K355)</f>
        <v/>
      </c>
    </row>
    <row r="356" customFormat="false" ht="15" hidden="false" customHeight="true" outlineLevel="0" collapsed="false">
      <c r="J356" s="24" t="b">
        <f aca="false">IF(이수현황!$A356="",FALSE(),OR(이수현황!$J356="기한초과",이수현황!$J356="임박"))</f>
        <v>0</v>
      </c>
      <c r="K356" s="6" t="str">
        <f aca="false">IF($J356=FALSE(),"",COUNTIF($J$6:$J356,TRUE()))</f>
        <v/>
      </c>
      <c r="L356" s="6" t="str">
        <f aca="false">IF($K356="","","R"&amp;$K356)</f>
        <v/>
      </c>
    </row>
    <row r="357" customFormat="false" ht="15" hidden="false" customHeight="true" outlineLevel="0" collapsed="false">
      <c r="J357" s="24" t="b">
        <f aca="false">IF(이수현황!$A357="",FALSE(),OR(이수현황!$J357="기한초과",이수현황!$J357="임박"))</f>
        <v>0</v>
      </c>
      <c r="K357" s="6" t="str">
        <f aca="false">IF($J357=FALSE(),"",COUNTIF($J$6:$J357,TRUE()))</f>
        <v/>
      </c>
      <c r="L357" s="6" t="str">
        <f aca="false">IF($K357="","","R"&amp;$K357)</f>
        <v/>
      </c>
    </row>
    <row r="358" customFormat="false" ht="15" hidden="false" customHeight="true" outlineLevel="0" collapsed="false">
      <c r="J358" s="24" t="b">
        <f aca="false">IF(이수현황!$A358="",FALSE(),OR(이수현황!$J358="기한초과",이수현황!$J358="임박"))</f>
        <v>0</v>
      </c>
      <c r="K358" s="6" t="str">
        <f aca="false">IF($J358=FALSE(),"",COUNTIF($J$6:$J358,TRUE()))</f>
        <v/>
      </c>
      <c r="L358" s="6" t="str">
        <f aca="false">IF($K358="","","R"&amp;$K358)</f>
        <v/>
      </c>
    </row>
    <row r="359" customFormat="false" ht="15" hidden="false" customHeight="true" outlineLevel="0" collapsed="false">
      <c r="J359" s="24" t="b">
        <f aca="false">IF(이수현황!$A359="",FALSE(),OR(이수현황!$J359="기한초과",이수현황!$J359="임박"))</f>
        <v>0</v>
      </c>
      <c r="K359" s="6" t="str">
        <f aca="false">IF($J359=FALSE(),"",COUNTIF($J$6:$J359,TRUE()))</f>
        <v/>
      </c>
      <c r="L359" s="6" t="str">
        <f aca="false">IF($K359="","","R"&amp;$K359)</f>
        <v/>
      </c>
    </row>
    <row r="360" customFormat="false" ht="15" hidden="false" customHeight="true" outlineLevel="0" collapsed="false">
      <c r="J360" s="24" t="b">
        <f aca="false">IF(이수현황!$A360="",FALSE(),OR(이수현황!$J360="기한초과",이수현황!$J360="임박"))</f>
        <v>0</v>
      </c>
      <c r="K360" s="6" t="str">
        <f aca="false">IF($J360=FALSE(),"",COUNTIF($J$6:$J360,TRUE()))</f>
        <v/>
      </c>
      <c r="L360" s="6" t="str">
        <f aca="false">IF($K360="","","R"&amp;$K360)</f>
        <v/>
      </c>
    </row>
    <row r="361" customFormat="false" ht="15" hidden="false" customHeight="true" outlineLevel="0" collapsed="false">
      <c r="J361" s="24" t="b">
        <f aca="false">IF(이수현황!$A361="",FALSE(),OR(이수현황!$J361="기한초과",이수현황!$J361="임박"))</f>
        <v>0</v>
      </c>
      <c r="K361" s="6" t="str">
        <f aca="false">IF($J361=FALSE(),"",COUNTIF($J$6:$J361,TRUE()))</f>
        <v/>
      </c>
      <c r="L361" s="6" t="str">
        <f aca="false">IF($K361="","","R"&amp;$K361)</f>
        <v/>
      </c>
    </row>
    <row r="362" customFormat="false" ht="15" hidden="false" customHeight="true" outlineLevel="0" collapsed="false">
      <c r="J362" s="24" t="b">
        <f aca="false">IF(이수현황!$A362="",FALSE(),OR(이수현황!$J362="기한초과",이수현황!$J362="임박"))</f>
        <v>0</v>
      </c>
      <c r="K362" s="6" t="str">
        <f aca="false">IF($J362=FALSE(),"",COUNTIF($J$6:$J362,TRUE()))</f>
        <v/>
      </c>
      <c r="L362" s="6" t="str">
        <f aca="false">IF($K362="","","R"&amp;$K362)</f>
        <v/>
      </c>
    </row>
    <row r="363" customFormat="false" ht="15" hidden="false" customHeight="true" outlineLevel="0" collapsed="false">
      <c r="J363" s="24" t="b">
        <f aca="false">IF(이수현황!$A363="",FALSE(),OR(이수현황!$J363="기한초과",이수현황!$J363="임박"))</f>
        <v>0</v>
      </c>
      <c r="K363" s="6" t="str">
        <f aca="false">IF($J363=FALSE(),"",COUNTIF($J$6:$J363,TRUE()))</f>
        <v/>
      </c>
      <c r="L363" s="6" t="str">
        <f aca="false">IF($K363="","","R"&amp;$K363)</f>
        <v/>
      </c>
    </row>
    <row r="364" customFormat="false" ht="15" hidden="false" customHeight="true" outlineLevel="0" collapsed="false">
      <c r="J364" s="24" t="b">
        <f aca="false">IF(이수현황!$A364="",FALSE(),OR(이수현황!$J364="기한초과",이수현황!$J364="임박"))</f>
        <v>0</v>
      </c>
      <c r="K364" s="6" t="str">
        <f aca="false">IF($J364=FALSE(),"",COUNTIF($J$6:$J364,TRUE()))</f>
        <v/>
      </c>
      <c r="L364" s="6" t="str">
        <f aca="false">IF($K364="","","R"&amp;$K364)</f>
        <v/>
      </c>
    </row>
    <row r="365" customFormat="false" ht="15" hidden="false" customHeight="true" outlineLevel="0" collapsed="false">
      <c r="J365" s="24" t="b">
        <f aca="false">IF(이수현황!$A365="",FALSE(),OR(이수현황!$J365="기한초과",이수현황!$J365="임박"))</f>
        <v>0</v>
      </c>
      <c r="K365" s="6" t="str">
        <f aca="false">IF($J365=FALSE(),"",COUNTIF($J$6:$J365,TRUE()))</f>
        <v/>
      </c>
      <c r="L365" s="6" t="str">
        <f aca="false">IF($K365="","","R"&amp;$K365)</f>
        <v/>
      </c>
    </row>
    <row r="366" customFormat="false" ht="15" hidden="false" customHeight="true" outlineLevel="0" collapsed="false">
      <c r="J366" s="24" t="b">
        <f aca="false">IF(이수현황!$A366="",FALSE(),OR(이수현황!$J366="기한초과",이수현황!$J366="임박"))</f>
        <v>0</v>
      </c>
      <c r="K366" s="6" t="str">
        <f aca="false">IF($J366=FALSE(),"",COUNTIF($J$6:$J366,TRUE()))</f>
        <v/>
      </c>
      <c r="L366" s="6" t="str">
        <f aca="false">IF($K366="","","R"&amp;$K366)</f>
        <v/>
      </c>
    </row>
    <row r="367" customFormat="false" ht="15" hidden="false" customHeight="true" outlineLevel="0" collapsed="false">
      <c r="J367" s="24" t="b">
        <f aca="false">IF(이수현황!$A367="",FALSE(),OR(이수현황!$J367="기한초과",이수현황!$J367="임박"))</f>
        <v>0</v>
      </c>
      <c r="K367" s="6" t="str">
        <f aca="false">IF($J367=FALSE(),"",COUNTIF($J$6:$J367,TRUE()))</f>
        <v/>
      </c>
      <c r="L367" s="6" t="str">
        <f aca="false">IF($K367="","","R"&amp;$K367)</f>
        <v/>
      </c>
    </row>
    <row r="368" customFormat="false" ht="15" hidden="false" customHeight="true" outlineLevel="0" collapsed="false">
      <c r="J368" s="24" t="b">
        <f aca="false">IF(이수현황!$A368="",FALSE(),OR(이수현황!$J368="기한초과",이수현황!$J368="임박"))</f>
        <v>0</v>
      </c>
      <c r="K368" s="6" t="str">
        <f aca="false">IF($J368=FALSE(),"",COUNTIF($J$6:$J368,TRUE()))</f>
        <v/>
      </c>
      <c r="L368" s="6" t="str">
        <f aca="false">IF($K368="","","R"&amp;$K368)</f>
        <v/>
      </c>
    </row>
    <row r="369" customFormat="false" ht="15" hidden="false" customHeight="true" outlineLevel="0" collapsed="false">
      <c r="J369" s="24" t="b">
        <f aca="false">IF(이수현황!$A369="",FALSE(),OR(이수현황!$J369="기한초과",이수현황!$J369="임박"))</f>
        <v>0</v>
      </c>
      <c r="K369" s="6" t="str">
        <f aca="false">IF($J369=FALSE(),"",COUNTIF($J$6:$J369,TRUE()))</f>
        <v/>
      </c>
      <c r="L369" s="6" t="str">
        <f aca="false">IF($K369="","","R"&amp;$K369)</f>
        <v/>
      </c>
    </row>
    <row r="370" customFormat="false" ht="15" hidden="false" customHeight="true" outlineLevel="0" collapsed="false">
      <c r="J370" s="24" t="b">
        <f aca="false">IF(이수현황!$A370="",FALSE(),OR(이수현황!$J370="기한초과",이수현황!$J370="임박"))</f>
        <v>0</v>
      </c>
      <c r="K370" s="6" t="str">
        <f aca="false">IF($J370=FALSE(),"",COUNTIF($J$6:$J370,TRUE()))</f>
        <v/>
      </c>
      <c r="L370" s="6" t="str">
        <f aca="false">IF($K370="","","R"&amp;$K370)</f>
        <v/>
      </c>
    </row>
    <row r="371" customFormat="false" ht="15" hidden="false" customHeight="true" outlineLevel="0" collapsed="false">
      <c r="J371" s="24" t="b">
        <f aca="false">IF(이수현황!$A371="",FALSE(),OR(이수현황!$J371="기한초과",이수현황!$J371="임박"))</f>
        <v>0</v>
      </c>
      <c r="K371" s="6" t="str">
        <f aca="false">IF($J371=FALSE(),"",COUNTIF($J$6:$J371,TRUE()))</f>
        <v/>
      </c>
      <c r="L371" s="6" t="str">
        <f aca="false">IF($K371="","","R"&amp;$K371)</f>
        <v/>
      </c>
    </row>
    <row r="372" customFormat="false" ht="15" hidden="false" customHeight="true" outlineLevel="0" collapsed="false">
      <c r="J372" s="24" t="b">
        <f aca="false">IF(이수현황!$A372="",FALSE(),OR(이수현황!$J372="기한초과",이수현황!$J372="임박"))</f>
        <v>0</v>
      </c>
      <c r="K372" s="6" t="str">
        <f aca="false">IF($J372=FALSE(),"",COUNTIF($J$6:$J372,TRUE()))</f>
        <v/>
      </c>
      <c r="L372" s="6" t="str">
        <f aca="false">IF($K372="","","R"&amp;$K372)</f>
        <v/>
      </c>
    </row>
    <row r="373" customFormat="false" ht="15" hidden="false" customHeight="true" outlineLevel="0" collapsed="false">
      <c r="J373" s="24" t="b">
        <f aca="false">IF(이수현황!$A373="",FALSE(),OR(이수현황!$J373="기한초과",이수현황!$J373="임박"))</f>
        <v>0</v>
      </c>
      <c r="K373" s="6" t="str">
        <f aca="false">IF($J373=FALSE(),"",COUNTIF($J$6:$J373,TRUE()))</f>
        <v/>
      </c>
      <c r="L373" s="6" t="str">
        <f aca="false">IF($K373="","","R"&amp;$K373)</f>
        <v/>
      </c>
    </row>
    <row r="374" customFormat="false" ht="15" hidden="false" customHeight="true" outlineLevel="0" collapsed="false">
      <c r="J374" s="24" t="b">
        <f aca="false">IF(이수현황!$A374="",FALSE(),OR(이수현황!$J374="기한초과",이수현황!$J374="임박"))</f>
        <v>0</v>
      </c>
      <c r="K374" s="6" t="str">
        <f aca="false">IF($J374=FALSE(),"",COUNTIF($J$6:$J374,TRUE()))</f>
        <v/>
      </c>
      <c r="L374" s="6" t="str">
        <f aca="false">IF($K374="","","R"&amp;$K374)</f>
        <v/>
      </c>
    </row>
    <row r="375" customFormat="false" ht="15" hidden="false" customHeight="true" outlineLevel="0" collapsed="false">
      <c r="J375" s="24" t="b">
        <f aca="false">IF(이수현황!$A375="",FALSE(),OR(이수현황!$J375="기한초과",이수현황!$J375="임박"))</f>
        <v>0</v>
      </c>
      <c r="K375" s="6" t="str">
        <f aca="false">IF($J375=FALSE(),"",COUNTIF($J$6:$J375,TRUE()))</f>
        <v/>
      </c>
      <c r="L375" s="6" t="str">
        <f aca="false">IF($K375="","","R"&amp;$K375)</f>
        <v/>
      </c>
    </row>
    <row r="376" customFormat="false" ht="15" hidden="false" customHeight="true" outlineLevel="0" collapsed="false">
      <c r="J376" s="24" t="b">
        <f aca="false">IF(이수현황!$A376="",FALSE(),OR(이수현황!$J376="기한초과",이수현황!$J376="임박"))</f>
        <v>0</v>
      </c>
      <c r="K376" s="6" t="str">
        <f aca="false">IF($J376=FALSE(),"",COUNTIF($J$6:$J376,TRUE()))</f>
        <v/>
      </c>
      <c r="L376" s="6" t="str">
        <f aca="false">IF($K376="","","R"&amp;$K376)</f>
        <v/>
      </c>
    </row>
    <row r="377" customFormat="false" ht="15" hidden="false" customHeight="true" outlineLevel="0" collapsed="false">
      <c r="J377" s="24" t="b">
        <f aca="false">IF(이수현황!$A377="",FALSE(),OR(이수현황!$J377="기한초과",이수현황!$J377="임박"))</f>
        <v>0</v>
      </c>
      <c r="K377" s="6" t="str">
        <f aca="false">IF($J377=FALSE(),"",COUNTIF($J$6:$J377,TRUE()))</f>
        <v/>
      </c>
      <c r="L377" s="6" t="str">
        <f aca="false">IF($K377="","","R"&amp;$K377)</f>
        <v/>
      </c>
    </row>
    <row r="378" customFormat="false" ht="15" hidden="false" customHeight="true" outlineLevel="0" collapsed="false">
      <c r="J378" s="24" t="b">
        <f aca="false">IF(이수현황!$A378="",FALSE(),OR(이수현황!$J378="기한초과",이수현황!$J378="임박"))</f>
        <v>0</v>
      </c>
      <c r="K378" s="6" t="str">
        <f aca="false">IF($J378=FALSE(),"",COUNTIF($J$6:$J378,TRUE()))</f>
        <v/>
      </c>
      <c r="L378" s="6" t="str">
        <f aca="false">IF($K378="","","R"&amp;$K378)</f>
        <v/>
      </c>
    </row>
    <row r="379" customFormat="false" ht="15" hidden="false" customHeight="true" outlineLevel="0" collapsed="false">
      <c r="J379" s="24" t="b">
        <f aca="false">IF(이수현황!$A379="",FALSE(),OR(이수현황!$J379="기한초과",이수현황!$J379="임박"))</f>
        <v>0</v>
      </c>
      <c r="K379" s="6" t="str">
        <f aca="false">IF($J379=FALSE(),"",COUNTIF($J$6:$J379,TRUE()))</f>
        <v/>
      </c>
      <c r="L379" s="6" t="str">
        <f aca="false">IF($K379="","","R"&amp;$K379)</f>
        <v/>
      </c>
    </row>
    <row r="380" customFormat="false" ht="15" hidden="false" customHeight="true" outlineLevel="0" collapsed="false">
      <c r="J380" s="24" t="b">
        <f aca="false">IF(이수현황!$A380="",FALSE(),OR(이수현황!$J380="기한초과",이수현황!$J380="임박"))</f>
        <v>0</v>
      </c>
      <c r="K380" s="6" t="str">
        <f aca="false">IF($J380=FALSE(),"",COUNTIF($J$6:$J380,TRUE()))</f>
        <v/>
      </c>
      <c r="L380" s="6" t="str">
        <f aca="false">IF($K380="","","R"&amp;$K380)</f>
        <v/>
      </c>
    </row>
    <row r="381" customFormat="false" ht="15" hidden="false" customHeight="true" outlineLevel="0" collapsed="false">
      <c r="J381" s="24" t="b">
        <f aca="false">IF(이수현황!$A381="",FALSE(),OR(이수현황!$J381="기한초과",이수현황!$J381="임박"))</f>
        <v>0</v>
      </c>
      <c r="K381" s="6" t="str">
        <f aca="false">IF($J381=FALSE(),"",COUNTIF($J$6:$J381,TRUE()))</f>
        <v/>
      </c>
      <c r="L381" s="6" t="str">
        <f aca="false">IF($K381="","","R"&amp;$K381)</f>
        <v/>
      </c>
    </row>
    <row r="382" customFormat="false" ht="15" hidden="false" customHeight="true" outlineLevel="0" collapsed="false">
      <c r="J382" s="24" t="b">
        <f aca="false">IF(이수현황!$A382="",FALSE(),OR(이수현황!$J382="기한초과",이수현황!$J382="임박"))</f>
        <v>0</v>
      </c>
      <c r="K382" s="6" t="str">
        <f aca="false">IF($J382=FALSE(),"",COUNTIF($J$6:$J382,TRUE()))</f>
        <v/>
      </c>
      <c r="L382" s="6" t="str">
        <f aca="false">IF($K382="","","R"&amp;$K382)</f>
        <v/>
      </c>
    </row>
    <row r="383" customFormat="false" ht="15" hidden="false" customHeight="true" outlineLevel="0" collapsed="false">
      <c r="J383" s="24" t="b">
        <f aca="false">IF(이수현황!$A383="",FALSE(),OR(이수현황!$J383="기한초과",이수현황!$J383="임박"))</f>
        <v>0</v>
      </c>
      <c r="K383" s="6" t="str">
        <f aca="false">IF($J383=FALSE(),"",COUNTIF($J$6:$J383,TRUE()))</f>
        <v/>
      </c>
      <c r="L383" s="6" t="str">
        <f aca="false">IF($K383="","","R"&amp;$K383)</f>
        <v/>
      </c>
    </row>
    <row r="384" customFormat="false" ht="15" hidden="false" customHeight="true" outlineLevel="0" collapsed="false">
      <c r="J384" s="24" t="b">
        <f aca="false">IF(이수현황!$A384="",FALSE(),OR(이수현황!$J384="기한초과",이수현황!$J384="임박"))</f>
        <v>0</v>
      </c>
      <c r="K384" s="6" t="str">
        <f aca="false">IF($J384=FALSE(),"",COUNTIF($J$6:$J384,TRUE()))</f>
        <v/>
      </c>
      <c r="L384" s="6" t="str">
        <f aca="false">IF($K384="","","R"&amp;$K384)</f>
        <v/>
      </c>
    </row>
    <row r="385" customFormat="false" ht="15" hidden="false" customHeight="true" outlineLevel="0" collapsed="false">
      <c r="J385" s="24" t="b">
        <f aca="false">IF(이수현황!$A385="",FALSE(),OR(이수현황!$J385="기한초과",이수현황!$J385="임박"))</f>
        <v>0</v>
      </c>
      <c r="K385" s="6" t="str">
        <f aca="false">IF($J385=FALSE(),"",COUNTIF($J$6:$J385,TRUE()))</f>
        <v/>
      </c>
      <c r="L385" s="6" t="str">
        <f aca="false">IF($K385="","","R"&amp;$K385)</f>
        <v/>
      </c>
    </row>
    <row r="386" customFormat="false" ht="15" hidden="false" customHeight="true" outlineLevel="0" collapsed="false">
      <c r="J386" s="24" t="b">
        <f aca="false">IF(이수현황!$A386="",FALSE(),OR(이수현황!$J386="기한초과",이수현황!$J386="임박"))</f>
        <v>0</v>
      </c>
      <c r="K386" s="6" t="str">
        <f aca="false">IF($J386=FALSE(),"",COUNTIF($J$6:$J386,TRUE()))</f>
        <v/>
      </c>
      <c r="L386" s="6" t="str">
        <f aca="false">IF($K386="","","R"&amp;$K386)</f>
        <v/>
      </c>
    </row>
    <row r="387" customFormat="false" ht="15" hidden="false" customHeight="true" outlineLevel="0" collapsed="false">
      <c r="J387" s="24" t="b">
        <f aca="false">IF(이수현황!$A387="",FALSE(),OR(이수현황!$J387="기한초과",이수현황!$J387="임박"))</f>
        <v>0</v>
      </c>
      <c r="K387" s="6" t="str">
        <f aca="false">IF($J387=FALSE(),"",COUNTIF($J$6:$J387,TRUE()))</f>
        <v/>
      </c>
      <c r="L387" s="6" t="str">
        <f aca="false">IF($K387="","","R"&amp;$K387)</f>
        <v/>
      </c>
    </row>
    <row r="388" customFormat="false" ht="15" hidden="false" customHeight="true" outlineLevel="0" collapsed="false">
      <c r="J388" s="24" t="b">
        <f aca="false">IF(이수현황!$A388="",FALSE(),OR(이수현황!$J388="기한초과",이수현황!$J388="임박"))</f>
        <v>0</v>
      </c>
      <c r="K388" s="6" t="str">
        <f aca="false">IF($J388=FALSE(),"",COUNTIF($J$6:$J388,TRUE()))</f>
        <v/>
      </c>
      <c r="L388" s="6" t="str">
        <f aca="false">IF($K388="","","R"&amp;$K388)</f>
        <v/>
      </c>
    </row>
    <row r="389" customFormat="false" ht="15" hidden="false" customHeight="true" outlineLevel="0" collapsed="false">
      <c r="J389" s="24" t="b">
        <f aca="false">IF(이수현황!$A389="",FALSE(),OR(이수현황!$J389="기한초과",이수현황!$J389="임박"))</f>
        <v>0</v>
      </c>
      <c r="K389" s="6" t="str">
        <f aca="false">IF($J389=FALSE(),"",COUNTIF($J$6:$J389,TRUE()))</f>
        <v/>
      </c>
      <c r="L389" s="6" t="str">
        <f aca="false">IF($K389="","","R"&amp;$K389)</f>
        <v/>
      </c>
    </row>
    <row r="390" customFormat="false" ht="15" hidden="false" customHeight="true" outlineLevel="0" collapsed="false">
      <c r="J390" s="24" t="b">
        <f aca="false">IF(이수현황!$A390="",FALSE(),OR(이수현황!$J390="기한초과",이수현황!$J390="임박"))</f>
        <v>0</v>
      </c>
      <c r="K390" s="6" t="str">
        <f aca="false">IF($J390=FALSE(),"",COUNTIF($J$6:$J390,TRUE()))</f>
        <v/>
      </c>
      <c r="L390" s="6" t="str">
        <f aca="false">IF($K390="","","R"&amp;$K390)</f>
        <v/>
      </c>
    </row>
    <row r="391" customFormat="false" ht="15" hidden="false" customHeight="true" outlineLevel="0" collapsed="false">
      <c r="J391" s="24" t="b">
        <f aca="false">IF(이수현황!$A391="",FALSE(),OR(이수현황!$J391="기한초과",이수현황!$J391="임박"))</f>
        <v>0</v>
      </c>
      <c r="K391" s="6" t="str">
        <f aca="false">IF($J391=FALSE(),"",COUNTIF($J$6:$J391,TRUE()))</f>
        <v/>
      </c>
      <c r="L391" s="6" t="str">
        <f aca="false">IF($K391="","","R"&amp;$K391)</f>
        <v/>
      </c>
    </row>
    <row r="392" customFormat="false" ht="15" hidden="false" customHeight="true" outlineLevel="0" collapsed="false">
      <c r="J392" s="24" t="b">
        <f aca="false">IF(이수현황!$A392="",FALSE(),OR(이수현황!$J392="기한초과",이수현황!$J392="임박"))</f>
        <v>0</v>
      </c>
      <c r="K392" s="6" t="str">
        <f aca="false">IF($J392=FALSE(),"",COUNTIF($J$6:$J392,TRUE()))</f>
        <v/>
      </c>
      <c r="L392" s="6" t="str">
        <f aca="false">IF($K392="","","R"&amp;$K392)</f>
        <v/>
      </c>
    </row>
    <row r="393" customFormat="false" ht="15" hidden="false" customHeight="true" outlineLevel="0" collapsed="false">
      <c r="J393" s="24" t="b">
        <f aca="false">IF(이수현황!$A393="",FALSE(),OR(이수현황!$J393="기한초과",이수현황!$J393="임박"))</f>
        <v>0</v>
      </c>
      <c r="K393" s="6" t="str">
        <f aca="false">IF($J393=FALSE(),"",COUNTIF($J$6:$J393,TRUE()))</f>
        <v/>
      </c>
      <c r="L393" s="6" t="str">
        <f aca="false">IF($K393="","","R"&amp;$K393)</f>
        <v/>
      </c>
    </row>
    <row r="394" customFormat="false" ht="15" hidden="false" customHeight="true" outlineLevel="0" collapsed="false">
      <c r="J394" s="24" t="b">
        <f aca="false">IF(이수현황!$A394="",FALSE(),OR(이수현황!$J394="기한초과",이수현황!$J394="임박"))</f>
        <v>0</v>
      </c>
      <c r="K394" s="6" t="str">
        <f aca="false">IF($J394=FALSE(),"",COUNTIF($J$6:$J394,TRUE()))</f>
        <v/>
      </c>
      <c r="L394" s="6" t="str">
        <f aca="false">IF($K394="","","R"&amp;$K394)</f>
        <v/>
      </c>
    </row>
    <row r="395" customFormat="false" ht="15" hidden="false" customHeight="true" outlineLevel="0" collapsed="false">
      <c r="J395" s="24" t="b">
        <f aca="false">IF(이수현황!$A395="",FALSE(),OR(이수현황!$J395="기한초과",이수현황!$J395="임박"))</f>
        <v>0</v>
      </c>
      <c r="K395" s="6" t="str">
        <f aca="false">IF($J395=FALSE(),"",COUNTIF($J$6:$J395,TRUE()))</f>
        <v/>
      </c>
      <c r="L395" s="6" t="str">
        <f aca="false">IF($K395="","","R"&amp;$K395)</f>
        <v/>
      </c>
    </row>
    <row r="396" customFormat="false" ht="15" hidden="false" customHeight="true" outlineLevel="0" collapsed="false">
      <c r="J396" s="24" t="b">
        <f aca="false">IF(이수현황!$A396="",FALSE(),OR(이수현황!$J396="기한초과",이수현황!$J396="임박"))</f>
        <v>0</v>
      </c>
      <c r="K396" s="6" t="str">
        <f aca="false">IF($J396=FALSE(),"",COUNTIF($J$6:$J396,TRUE()))</f>
        <v/>
      </c>
      <c r="L396" s="6" t="str">
        <f aca="false">IF($K396="","","R"&amp;$K396)</f>
        <v/>
      </c>
    </row>
    <row r="397" customFormat="false" ht="15" hidden="false" customHeight="true" outlineLevel="0" collapsed="false">
      <c r="J397" s="24" t="b">
        <f aca="false">IF(이수현황!$A397="",FALSE(),OR(이수현황!$J397="기한초과",이수현황!$J397="임박"))</f>
        <v>0</v>
      </c>
      <c r="K397" s="6" t="str">
        <f aca="false">IF($J397=FALSE(),"",COUNTIF($J$6:$J397,TRUE()))</f>
        <v/>
      </c>
      <c r="L397" s="6" t="str">
        <f aca="false">IF($K397="","","R"&amp;$K397)</f>
        <v/>
      </c>
    </row>
    <row r="398" customFormat="false" ht="15" hidden="false" customHeight="true" outlineLevel="0" collapsed="false">
      <c r="J398" s="24" t="b">
        <f aca="false">IF(이수현황!$A398="",FALSE(),OR(이수현황!$J398="기한초과",이수현황!$J398="임박"))</f>
        <v>0</v>
      </c>
      <c r="K398" s="6" t="str">
        <f aca="false">IF($J398=FALSE(),"",COUNTIF($J$6:$J398,TRUE()))</f>
        <v/>
      </c>
      <c r="L398" s="6" t="str">
        <f aca="false">IF($K398="","","R"&amp;$K398)</f>
        <v/>
      </c>
    </row>
    <row r="399" customFormat="false" ht="15" hidden="false" customHeight="true" outlineLevel="0" collapsed="false">
      <c r="J399" s="24" t="b">
        <f aca="false">IF(이수현황!$A399="",FALSE(),OR(이수현황!$J399="기한초과",이수현황!$J399="임박"))</f>
        <v>0</v>
      </c>
      <c r="K399" s="6" t="str">
        <f aca="false">IF($J399=FALSE(),"",COUNTIF($J$6:$J399,TRUE()))</f>
        <v/>
      </c>
      <c r="L399" s="6" t="str">
        <f aca="false">IF($K399="","","R"&amp;$K399)</f>
        <v/>
      </c>
    </row>
    <row r="400" customFormat="false" ht="15" hidden="false" customHeight="true" outlineLevel="0" collapsed="false">
      <c r="J400" s="24" t="b">
        <f aca="false">IF(이수현황!$A400="",FALSE(),OR(이수현황!$J400="기한초과",이수현황!$J400="임박"))</f>
        <v>0</v>
      </c>
      <c r="K400" s="6" t="str">
        <f aca="false">IF($J400=FALSE(),"",COUNTIF($J$6:$J400,TRUE()))</f>
        <v/>
      </c>
      <c r="L400" s="6" t="str">
        <f aca="false">IF($K400="","","R"&amp;$K400)</f>
        <v/>
      </c>
    </row>
    <row r="401" customFormat="false" ht="15" hidden="false" customHeight="true" outlineLevel="0" collapsed="false">
      <c r="J401" s="24" t="b">
        <f aca="false">IF(이수현황!$A401="",FALSE(),OR(이수현황!$J401="기한초과",이수현황!$J401="임박"))</f>
        <v>0</v>
      </c>
      <c r="K401" s="6" t="str">
        <f aca="false">IF($J401=FALSE(),"",COUNTIF($J$6:$J401,TRUE()))</f>
        <v/>
      </c>
      <c r="L401" s="6" t="str">
        <f aca="false">IF($K401="","","R"&amp;$K401)</f>
        <v/>
      </c>
    </row>
    <row r="402" customFormat="false" ht="15" hidden="false" customHeight="true" outlineLevel="0" collapsed="false">
      <c r="J402" s="24" t="b">
        <f aca="false">IF(이수현황!$A402="",FALSE(),OR(이수현황!$J402="기한초과",이수현황!$J402="임박"))</f>
        <v>0</v>
      </c>
      <c r="K402" s="6" t="str">
        <f aca="false">IF($J402=FALSE(),"",COUNTIF($J$6:$J402,TRUE()))</f>
        <v/>
      </c>
      <c r="L402" s="6" t="str">
        <f aca="false">IF($K402="","","R"&amp;$K402)</f>
        <v/>
      </c>
    </row>
    <row r="403" customFormat="false" ht="15" hidden="false" customHeight="true" outlineLevel="0" collapsed="false">
      <c r="J403" s="24" t="b">
        <f aca="false">IF(이수현황!$A403="",FALSE(),OR(이수현황!$J403="기한초과",이수현황!$J403="임박"))</f>
        <v>0</v>
      </c>
      <c r="K403" s="6" t="str">
        <f aca="false">IF($J403=FALSE(),"",COUNTIF($J$6:$J403,TRUE()))</f>
        <v/>
      </c>
      <c r="L403" s="6" t="str">
        <f aca="false">IF($K403="","","R"&amp;$K403)</f>
        <v/>
      </c>
    </row>
    <row r="404" customFormat="false" ht="15" hidden="false" customHeight="true" outlineLevel="0" collapsed="false">
      <c r="J404" s="24" t="b">
        <f aca="false">IF(이수현황!$A404="",FALSE(),OR(이수현황!$J404="기한초과",이수현황!$J404="임박"))</f>
        <v>0</v>
      </c>
      <c r="K404" s="6" t="str">
        <f aca="false">IF($J404=FALSE(),"",COUNTIF($J$6:$J404,TRUE()))</f>
        <v/>
      </c>
      <c r="L404" s="6" t="str">
        <f aca="false">IF($K404="","","R"&amp;$K404)</f>
        <v/>
      </c>
    </row>
    <row r="405" customFormat="false" ht="15" hidden="false" customHeight="true" outlineLevel="0" collapsed="false">
      <c r="J405" s="24" t="b">
        <f aca="false">IF(이수현황!$A405="",FALSE(),OR(이수현황!$J405="기한초과",이수현황!$J405="임박"))</f>
        <v>0</v>
      </c>
      <c r="K405" s="6" t="str">
        <f aca="false">IF($J405=FALSE(),"",COUNTIF($J$6:$J405,TRUE()))</f>
        <v/>
      </c>
      <c r="L405" s="6" t="str">
        <f aca="false">IF($K405="","","R"&amp;$K405)</f>
        <v/>
      </c>
    </row>
    <row r="406" customFormat="false" ht="15" hidden="false" customHeight="true" outlineLevel="0" collapsed="false">
      <c r="J406" s="24" t="b">
        <f aca="false">IF(이수현황!$A406="",FALSE(),OR(이수현황!$J406="기한초과",이수현황!$J406="임박"))</f>
        <v>0</v>
      </c>
      <c r="K406" s="6" t="str">
        <f aca="false">IF($J406=FALSE(),"",COUNTIF($J$6:$J406,TRUE()))</f>
        <v/>
      </c>
      <c r="L406" s="6" t="str">
        <f aca="false">IF($K406="","","R"&amp;$K406)</f>
        <v/>
      </c>
    </row>
    <row r="407" customFormat="false" ht="15" hidden="false" customHeight="true" outlineLevel="0" collapsed="false">
      <c r="J407" s="24" t="b">
        <f aca="false">IF(이수현황!$A407="",FALSE(),OR(이수현황!$J407="기한초과",이수현황!$J407="임박"))</f>
        <v>0</v>
      </c>
      <c r="K407" s="6" t="str">
        <f aca="false">IF($J407=FALSE(),"",COUNTIF($J$6:$J407,TRUE()))</f>
        <v/>
      </c>
      <c r="L407" s="6" t="str">
        <f aca="false">IF($K407="","","R"&amp;$K407)</f>
        <v/>
      </c>
    </row>
    <row r="408" customFormat="false" ht="15" hidden="false" customHeight="true" outlineLevel="0" collapsed="false">
      <c r="J408" s="24" t="b">
        <f aca="false">IF(이수현황!$A408="",FALSE(),OR(이수현황!$J408="기한초과",이수현황!$J408="임박"))</f>
        <v>0</v>
      </c>
      <c r="K408" s="6" t="str">
        <f aca="false">IF($J408=FALSE(),"",COUNTIF($J$6:$J408,TRUE()))</f>
        <v/>
      </c>
      <c r="L408" s="6" t="str">
        <f aca="false">IF($K408="","","R"&amp;$K408)</f>
        <v/>
      </c>
    </row>
    <row r="409" customFormat="false" ht="15" hidden="false" customHeight="true" outlineLevel="0" collapsed="false">
      <c r="J409" s="24" t="b">
        <f aca="false">IF(이수현황!$A409="",FALSE(),OR(이수현황!$J409="기한초과",이수현황!$J409="임박"))</f>
        <v>0</v>
      </c>
      <c r="K409" s="6" t="str">
        <f aca="false">IF($J409=FALSE(),"",COUNTIF($J$6:$J409,TRUE()))</f>
        <v/>
      </c>
      <c r="L409" s="6" t="str">
        <f aca="false">IF($K409="","","R"&amp;$K409)</f>
        <v/>
      </c>
    </row>
    <row r="410" customFormat="false" ht="15" hidden="false" customHeight="true" outlineLevel="0" collapsed="false">
      <c r="J410" s="24" t="b">
        <f aca="false">IF(이수현황!$A410="",FALSE(),OR(이수현황!$J410="기한초과",이수현황!$J410="임박"))</f>
        <v>0</v>
      </c>
      <c r="K410" s="6" t="str">
        <f aca="false">IF($J410=FALSE(),"",COUNTIF($J$6:$J410,TRUE()))</f>
        <v/>
      </c>
      <c r="L410" s="6" t="str">
        <f aca="false">IF($K410="","","R"&amp;$K410)</f>
        <v/>
      </c>
    </row>
    <row r="411" customFormat="false" ht="15" hidden="false" customHeight="true" outlineLevel="0" collapsed="false">
      <c r="J411" s="24" t="b">
        <f aca="false">IF(이수현황!$A411="",FALSE(),OR(이수현황!$J411="기한초과",이수현황!$J411="임박"))</f>
        <v>0</v>
      </c>
      <c r="K411" s="6" t="str">
        <f aca="false">IF($J411=FALSE(),"",COUNTIF($J$6:$J411,TRUE()))</f>
        <v/>
      </c>
      <c r="L411" s="6" t="str">
        <f aca="false">IF($K411="","","R"&amp;$K411)</f>
        <v/>
      </c>
    </row>
    <row r="412" customFormat="false" ht="15" hidden="false" customHeight="true" outlineLevel="0" collapsed="false">
      <c r="J412" s="24" t="b">
        <f aca="false">IF(이수현황!$A412="",FALSE(),OR(이수현황!$J412="기한초과",이수현황!$J412="임박"))</f>
        <v>0</v>
      </c>
      <c r="K412" s="6" t="str">
        <f aca="false">IF($J412=FALSE(),"",COUNTIF($J$6:$J412,TRUE()))</f>
        <v/>
      </c>
      <c r="L412" s="6" t="str">
        <f aca="false">IF($K412="","","R"&amp;$K412)</f>
        <v/>
      </c>
    </row>
    <row r="413" customFormat="false" ht="15" hidden="false" customHeight="true" outlineLevel="0" collapsed="false">
      <c r="J413" s="24" t="b">
        <f aca="false">IF(이수현황!$A413="",FALSE(),OR(이수현황!$J413="기한초과",이수현황!$J413="임박"))</f>
        <v>0</v>
      </c>
      <c r="K413" s="6" t="str">
        <f aca="false">IF($J413=FALSE(),"",COUNTIF($J$6:$J413,TRUE()))</f>
        <v/>
      </c>
      <c r="L413" s="6" t="str">
        <f aca="false">IF($K413="","","R"&amp;$K413)</f>
        <v/>
      </c>
    </row>
    <row r="414" customFormat="false" ht="15" hidden="false" customHeight="true" outlineLevel="0" collapsed="false">
      <c r="J414" s="24" t="b">
        <f aca="false">IF(이수현황!$A414="",FALSE(),OR(이수현황!$J414="기한초과",이수현황!$J414="임박"))</f>
        <v>0</v>
      </c>
      <c r="K414" s="6" t="str">
        <f aca="false">IF($J414=FALSE(),"",COUNTIF($J$6:$J414,TRUE()))</f>
        <v/>
      </c>
      <c r="L414" s="6" t="str">
        <f aca="false">IF($K414="","","R"&amp;$K414)</f>
        <v/>
      </c>
    </row>
    <row r="415" customFormat="false" ht="15" hidden="false" customHeight="true" outlineLevel="0" collapsed="false">
      <c r="J415" s="24" t="b">
        <f aca="false">IF(이수현황!$A415="",FALSE(),OR(이수현황!$J415="기한초과",이수현황!$J415="임박"))</f>
        <v>0</v>
      </c>
      <c r="K415" s="6" t="str">
        <f aca="false">IF($J415=FALSE(),"",COUNTIF($J$6:$J415,TRUE()))</f>
        <v/>
      </c>
      <c r="L415" s="6" t="str">
        <f aca="false">IF($K415="","","R"&amp;$K415)</f>
        <v/>
      </c>
    </row>
    <row r="416" customFormat="false" ht="15" hidden="false" customHeight="true" outlineLevel="0" collapsed="false">
      <c r="J416" s="24" t="b">
        <f aca="false">IF(이수현황!$A416="",FALSE(),OR(이수현황!$J416="기한초과",이수현황!$J416="임박"))</f>
        <v>0</v>
      </c>
      <c r="K416" s="6" t="str">
        <f aca="false">IF($J416=FALSE(),"",COUNTIF($J$6:$J416,TRUE()))</f>
        <v/>
      </c>
      <c r="L416" s="6" t="str">
        <f aca="false">IF($K416="","","R"&amp;$K416)</f>
        <v/>
      </c>
    </row>
    <row r="417" customFormat="false" ht="15" hidden="false" customHeight="true" outlineLevel="0" collapsed="false">
      <c r="J417" s="24" t="b">
        <f aca="false">IF(이수현황!$A417="",FALSE(),OR(이수현황!$J417="기한초과",이수현황!$J417="임박"))</f>
        <v>0</v>
      </c>
      <c r="K417" s="6" t="str">
        <f aca="false">IF($J417=FALSE(),"",COUNTIF($J$6:$J417,TRUE()))</f>
        <v/>
      </c>
      <c r="L417" s="6" t="str">
        <f aca="false">IF($K417="","","R"&amp;$K417)</f>
        <v/>
      </c>
    </row>
    <row r="418" customFormat="false" ht="15" hidden="false" customHeight="true" outlineLevel="0" collapsed="false">
      <c r="J418" s="24" t="b">
        <f aca="false">IF(이수현황!$A418="",FALSE(),OR(이수현황!$J418="기한초과",이수현황!$J418="임박"))</f>
        <v>0</v>
      </c>
      <c r="K418" s="6" t="str">
        <f aca="false">IF($J418=FALSE(),"",COUNTIF($J$6:$J418,TRUE()))</f>
        <v/>
      </c>
      <c r="L418" s="6" t="str">
        <f aca="false">IF($K418="","","R"&amp;$K418)</f>
        <v/>
      </c>
    </row>
    <row r="419" customFormat="false" ht="15" hidden="false" customHeight="true" outlineLevel="0" collapsed="false">
      <c r="J419" s="24" t="b">
        <f aca="false">IF(이수현황!$A419="",FALSE(),OR(이수현황!$J419="기한초과",이수현황!$J419="임박"))</f>
        <v>0</v>
      </c>
      <c r="K419" s="6" t="str">
        <f aca="false">IF($J419=FALSE(),"",COUNTIF($J$6:$J419,TRUE()))</f>
        <v/>
      </c>
      <c r="L419" s="6" t="str">
        <f aca="false">IF($K419="","","R"&amp;$K419)</f>
        <v/>
      </c>
    </row>
    <row r="420" customFormat="false" ht="15" hidden="false" customHeight="true" outlineLevel="0" collapsed="false">
      <c r="J420" s="24" t="b">
        <f aca="false">IF(이수현황!$A420="",FALSE(),OR(이수현황!$J420="기한초과",이수현황!$J420="임박"))</f>
        <v>0</v>
      </c>
      <c r="K420" s="6" t="str">
        <f aca="false">IF($J420=FALSE(),"",COUNTIF($J$6:$J420,TRUE()))</f>
        <v/>
      </c>
      <c r="L420" s="6" t="str">
        <f aca="false">IF($K420="","","R"&amp;$K420)</f>
        <v/>
      </c>
    </row>
    <row r="421" customFormat="false" ht="15" hidden="false" customHeight="true" outlineLevel="0" collapsed="false">
      <c r="J421" s="24" t="b">
        <f aca="false">IF(이수현황!$A421="",FALSE(),OR(이수현황!$J421="기한초과",이수현황!$J421="임박"))</f>
        <v>0</v>
      </c>
      <c r="K421" s="6" t="str">
        <f aca="false">IF($J421=FALSE(),"",COUNTIF($J$6:$J421,TRUE()))</f>
        <v/>
      </c>
      <c r="L421" s="6" t="str">
        <f aca="false">IF($K421="","","R"&amp;$K421)</f>
        <v/>
      </c>
    </row>
    <row r="422" customFormat="false" ht="15" hidden="false" customHeight="true" outlineLevel="0" collapsed="false">
      <c r="J422" s="24" t="b">
        <f aca="false">IF(이수현황!$A422="",FALSE(),OR(이수현황!$J422="기한초과",이수현황!$J422="임박"))</f>
        <v>0</v>
      </c>
      <c r="K422" s="6" t="str">
        <f aca="false">IF($J422=FALSE(),"",COUNTIF($J$6:$J422,TRUE()))</f>
        <v/>
      </c>
      <c r="L422" s="6" t="str">
        <f aca="false">IF($K422="","","R"&amp;$K422)</f>
        <v/>
      </c>
    </row>
    <row r="423" customFormat="false" ht="15" hidden="false" customHeight="true" outlineLevel="0" collapsed="false">
      <c r="J423" s="24" t="b">
        <f aca="false">IF(이수현황!$A423="",FALSE(),OR(이수현황!$J423="기한초과",이수현황!$J423="임박"))</f>
        <v>0</v>
      </c>
      <c r="K423" s="6" t="str">
        <f aca="false">IF($J423=FALSE(),"",COUNTIF($J$6:$J423,TRUE()))</f>
        <v/>
      </c>
      <c r="L423" s="6" t="str">
        <f aca="false">IF($K423="","","R"&amp;$K423)</f>
        <v/>
      </c>
    </row>
    <row r="424" customFormat="false" ht="15" hidden="false" customHeight="true" outlineLevel="0" collapsed="false">
      <c r="J424" s="24" t="b">
        <f aca="false">IF(이수현황!$A424="",FALSE(),OR(이수현황!$J424="기한초과",이수현황!$J424="임박"))</f>
        <v>0</v>
      </c>
      <c r="K424" s="6" t="str">
        <f aca="false">IF($J424=FALSE(),"",COUNTIF($J$6:$J424,TRUE()))</f>
        <v/>
      </c>
      <c r="L424" s="6" t="str">
        <f aca="false">IF($K424="","","R"&amp;$K424)</f>
        <v/>
      </c>
    </row>
    <row r="425" customFormat="false" ht="15" hidden="false" customHeight="true" outlineLevel="0" collapsed="false">
      <c r="J425" s="24" t="b">
        <f aca="false">IF(이수현황!$A425="",FALSE(),OR(이수현황!$J425="기한초과",이수현황!$J425="임박"))</f>
        <v>0</v>
      </c>
      <c r="K425" s="6" t="str">
        <f aca="false">IF($J425=FALSE(),"",COUNTIF($J$6:$J425,TRUE()))</f>
        <v/>
      </c>
      <c r="L425" s="6" t="str">
        <f aca="false">IF($K425="","","R"&amp;$K425)</f>
        <v/>
      </c>
    </row>
    <row r="426" customFormat="false" ht="15" hidden="false" customHeight="true" outlineLevel="0" collapsed="false">
      <c r="J426" s="24" t="b">
        <f aca="false">IF(이수현황!$A426="",FALSE(),OR(이수현황!$J426="기한초과",이수현황!$J426="임박"))</f>
        <v>0</v>
      </c>
      <c r="K426" s="6" t="str">
        <f aca="false">IF($J426=FALSE(),"",COUNTIF($J$6:$J426,TRUE()))</f>
        <v/>
      </c>
      <c r="L426" s="6" t="str">
        <f aca="false">IF($K426="","","R"&amp;$K426)</f>
        <v/>
      </c>
    </row>
    <row r="427" customFormat="false" ht="15" hidden="false" customHeight="true" outlineLevel="0" collapsed="false">
      <c r="J427" s="24" t="b">
        <f aca="false">IF(이수현황!$A427="",FALSE(),OR(이수현황!$J427="기한초과",이수현황!$J427="임박"))</f>
        <v>0</v>
      </c>
      <c r="K427" s="6" t="str">
        <f aca="false">IF($J427=FALSE(),"",COUNTIF($J$6:$J427,TRUE()))</f>
        <v/>
      </c>
      <c r="L427" s="6" t="str">
        <f aca="false">IF($K427="","","R"&amp;$K427)</f>
        <v/>
      </c>
    </row>
    <row r="428" customFormat="false" ht="15" hidden="false" customHeight="true" outlineLevel="0" collapsed="false">
      <c r="J428" s="24" t="b">
        <f aca="false">IF(이수현황!$A428="",FALSE(),OR(이수현황!$J428="기한초과",이수현황!$J428="임박"))</f>
        <v>0</v>
      </c>
      <c r="K428" s="6" t="str">
        <f aca="false">IF($J428=FALSE(),"",COUNTIF($J$6:$J428,TRUE()))</f>
        <v/>
      </c>
      <c r="L428" s="6" t="str">
        <f aca="false">IF($K428="","","R"&amp;$K428)</f>
        <v/>
      </c>
    </row>
    <row r="429" customFormat="false" ht="15" hidden="false" customHeight="true" outlineLevel="0" collapsed="false">
      <c r="J429" s="24" t="b">
        <f aca="false">IF(이수현황!$A429="",FALSE(),OR(이수현황!$J429="기한초과",이수현황!$J429="임박"))</f>
        <v>0</v>
      </c>
      <c r="K429" s="6" t="str">
        <f aca="false">IF($J429=FALSE(),"",COUNTIF($J$6:$J429,TRUE()))</f>
        <v/>
      </c>
      <c r="L429" s="6" t="str">
        <f aca="false">IF($K429="","","R"&amp;$K429)</f>
        <v/>
      </c>
    </row>
    <row r="430" customFormat="false" ht="15" hidden="false" customHeight="true" outlineLevel="0" collapsed="false">
      <c r="J430" s="24" t="b">
        <f aca="false">IF(이수현황!$A430="",FALSE(),OR(이수현황!$J430="기한초과",이수현황!$J430="임박"))</f>
        <v>0</v>
      </c>
      <c r="K430" s="6" t="str">
        <f aca="false">IF($J430=FALSE(),"",COUNTIF($J$6:$J430,TRUE()))</f>
        <v/>
      </c>
      <c r="L430" s="6" t="str">
        <f aca="false">IF($K430="","","R"&amp;$K430)</f>
        <v/>
      </c>
    </row>
    <row r="431" customFormat="false" ht="15" hidden="false" customHeight="true" outlineLevel="0" collapsed="false">
      <c r="J431" s="24" t="b">
        <f aca="false">IF(이수현황!$A431="",FALSE(),OR(이수현황!$J431="기한초과",이수현황!$J431="임박"))</f>
        <v>0</v>
      </c>
      <c r="K431" s="6" t="str">
        <f aca="false">IF($J431=FALSE(),"",COUNTIF($J$6:$J431,TRUE()))</f>
        <v/>
      </c>
      <c r="L431" s="6" t="str">
        <f aca="false">IF($K431="","","R"&amp;$K431)</f>
        <v/>
      </c>
    </row>
    <row r="432" customFormat="false" ht="15" hidden="false" customHeight="true" outlineLevel="0" collapsed="false">
      <c r="J432" s="24" t="b">
        <f aca="false">IF(이수현황!$A432="",FALSE(),OR(이수현황!$J432="기한초과",이수현황!$J432="임박"))</f>
        <v>0</v>
      </c>
      <c r="K432" s="6" t="str">
        <f aca="false">IF($J432=FALSE(),"",COUNTIF($J$6:$J432,TRUE()))</f>
        <v/>
      </c>
      <c r="L432" s="6" t="str">
        <f aca="false">IF($K432="","","R"&amp;$K432)</f>
        <v/>
      </c>
    </row>
    <row r="433" customFormat="false" ht="15" hidden="false" customHeight="true" outlineLevel="0" collapsed="false">
      <c r="J433" s="24" t="b">
        <f aca="false">IF(이수현황!$A433="",FALSE(),OR(이수현황!$J433="기한초과",이수현황!$J433="임박"))</f>
        <v>0</v>
      </c>
      <c r="K433" s="6" t="str">
        <f aca="false">IF($J433=FALSE(),"",COUNTIF($J$6:$J433,TRUE()))</f>
        <v/>
      </c>
      <c r="L433" s="6" t="str">
        <f aca="false">IF($K433="","","R"&amp;$K433)</f>
        <v/>
      </c>
    </row>
    <row r="434" customFormat="false" ht="15" hidden="false" customHeight="true" outlineLevel="0" collapsed="false">
      <c r="J434" s="24" t="b">
        <f aca="false">IF(이수현황!$A434="",FALSE(),OR(이수현황!$J434="기한초과",이수현황!$J434="임박"))</f>
        <v>0</v>
      </c>
      <c r="K434" s="6" t="str">
        <f aca="false">IF($J434=FALSE(),"",COUNTIF($J$6:$J434,TRUE()))</f>
        <v/>
      </c>
      <c r="L434" s="6" t="str">
        <f aca="false">IF($K434="","","R"&amp;$K434)</f>
        <v/>
      </c>
    </row>
    <row r="435" customFormat="false" ht="15" hidden="false" customHeight="true" outlineLevel="0" collapsed="false">
      <c r="J435" s="24" t="b">
        <f aca="false">IF(이수현황!$A435="",FALSE(),OR(이수현황!$J435="기한초과",이수현황!$J435="임박"))</f>
        <v>0</v>
      </c>
      <c r="K435" s="6" t="str">
        <f aca="false">IF($J435=FALSE(),"",COUNTIF($J$6:$J435,TRUE()))</f>
        <v/>
      </c>
      <c r="L435" s="6" t="str">
        <f aca="false">IF($K435="","","R"&amp;$K435)</f>
        <v/>
      </c>
    </row>
    <row r="436" customFormat="false" ht="15" hidden="false" customHeight="true" outlineLevel="0" collapsed="false">
      <c r="J436" s="24" t="b">
        <f aca="false">IF(이수현황!$A436="",FALSE(),OR(이수현황!$J436="기한초과",이수현황!$J436="임박"))</f>
        <v>0</v>
      </c>
      <c r="K436" s="6" t="str">
        <f aca="false">IF($J436=FALSE(),"",COUNTIF($J$6:$J436,TRUE()))</f>
        <v/>
      </c>
      <c r="L436" s="6" t="str">
        <f aca="false">IF($K436="","","R"&amp;$K436)</f>
        <v/>
      </c>
    </row>
    <row r="437" customFormat="false" ht="15" hidden="false" customHeight="true" outlineLevel="0" collapsed="false">
      <c r="J437" s="24" t="b">
        <f aca="false">IF(이수현황!$A437="",FALSE(),OR(이수현황!$J437="기한초과",이수현황!$J437="임박"))</f>
        <v>0</v>
      </c>
      <c r="K437" s="6" t="str">
        <f aca="false">IF($J437=FALSE(),"",COUNTIF($J$6:$J437,TRUE()))</f>
        <v/>
      </c>
      <c r="L437" s="6" t="str">
        <f aca="false">IF($K437="","","R"&amp;$K437)</f>
        <v/>
      </c>
    </row>
    <row r="438" customFormat="false" ht="15" hidden="false" customHeight="true" outlineLevel="0" collapsed="false">
      <c r="J438" s="24" t="b">
        <f aca="false">IF(이수현황!$A438="",FALSE(),OR(이수현황!$J438="기한초과",이수현황!$J438="임박"))</f>
        <v>0</v>
      </c>
      <c r="K438" s="6" t="str">
        <f aca="false">IF($J438=FALSE(),"",COUNTIF($J$6:$J438,TRUE()))</f>
        <v/>
      </c>
      <c r="L438" s="6" t="str">
        <f aca="false">IF($K438="","","R"&amp;$K438)</f>
        <v/>
      </c>
    </row>
    <row r="439" customFormat="false" ht="15" hidden="false" customHeight="true" outlineLevel="0" collapsed="false">
      <c r="J439" s="24" t="b">
        <f aca="false">IF(이수현황!$A439="",FALSE(),OR(이수현황!$J439="기한초과",이수현황!$J439="임박"))</f>
        <v>0</v>
      </c>
      <c r="K439" s="6" t="str">
        <f aca="false">IF($J439=FALSE(),"",COUNTIF($J$6:$J439,TRUE()))</f>
        <v/>
      </c>
      <c r="L439" s="6" t="str">
        <f aca="false">IF($K439="","","R"&amp;$K439)</f>
        <v/>
      </c>
    </row>
    <row r="440" customFormat="false" ht="15" hidden="false" customHeight="true" outlineLevel="0" collapsed="false">
      <c r="J440" s="24" t="b">
        <f aca="false">IF(이수현황!$A440="",FALSE(),OR(이수현황!$J440="기한초과",이수현황!$J440="임박"))</f>
        <v>0</v>
      </c>
      <c r="K440" s="6" t="str">
        <f aca="false">IF($J440=FALSE(),"",COUNTIF($J$6:$J440,TRUE()))</f>
        <v/>
      </c>
      <c r="L440" s="6" t="str">
        <f aca="false">IF($K440="","","R"&amp;$K440)</f>
        <v/>
      </c>
    </row>
    <row r="441" customFormat="false" ht="15" hidden="false" customHeight="true" outlineLevel="0" collapsed="false">
      <c r="J441" s="24" t="b">
        <f aca="false">IF(이수현황!$A441="",FALSE(),OR(이수현황!$J441="기한초과",이수현황!$J441="임박"))</f>
        <v>0</v>
      </c>
      <c r="K441" s="6" t="str">
        <f aca="false">IF($J441=FALSE(),"",COUNTIF($J$6:$J441,TRUE()))</f>
        <v/>
      </c>
      <c r="L441" s="6" t="str">
        <f aca="false">IF($K441="","","R"&amp;$K441)</f>
        <v/>
      </c>
    </row>
    <row r="442" customFormat="false" ht="15" hidden="false" customHeight="true" outlineLevel="0" collapsed="false">
      <c r="J442" s="24" t="b">
        <f aca="false">IF(이수현황!$A442="",FALSE(),OR(이수현황!$J442="기한초과",이수현황!$J442="임박"))</f>
        <v>0</v>
      </c>
      <c r="K442" s="6" t="str">
        <f aca="false">IF($J442=FALSE(),"",COUNTIF($J$6:$J442,TRUE()))</f>
        <v/>
      </c>
      <c r="L442" s="6" t="str">
        <f aca="false">IF($K442="","","R"&amp;$K442)</f>
        <v/>
      </c>
    </row>
    <row r="443" customFormat="false" ht="15" hidden="false" customHeight="true" outlineLevel="0" collapsed="false">
      <c r="J443" s="24" t="b">
        <f aca="false">IF(이수현황!$A443="",FALSE(),OR(이수현황!$J443="기한초과",이수현황!$J443="임박"))</f>
        <v>0</v>
      </c>
      <c r="K443" s="6" t="str">
        <f aca="false">IF($J443=FALSE(),"",COUNTIF($J$6:$J443,TRUE()))</f>
        <v/>
      </c>
      <c r="L443" s="6" t="str">
        <f aca="false">IF($K443="","","R"&amp;$K443)</f>
        <v/>
      </c>
    </row>
    <row r="444" customFormat="false" ht="15" hidden="false" customHeight="true" outlineLevel="0" collapsed="false">
      <c r="J444" s="24" t="b">
        <f aca="false">IF(이수현황!$A444="",FALSE(),OR(이수현황!$J444="기한초과",이수현황!$J444="임박"))</f>
        <v>0</v>
      </c>
      <c r="K444" s="6" t="str">
        <f aca="false">IF($J444=FALSE(),"",COUNTIF($J$6:$J444,TRUE()))</f>
        <v/>
      </c>
      <c r="L444" s="6" t="str">
        <f aca="false">IF($K444="","","R"&amp;$K444)</f>
        <v/>
      </c>
    </row>
    <row r="445" customFormat="false" ht="15" hidden="false" customHeight="true" outlineLevel="0" collapsed="false">
      <c r="J445" s="24" t="b">
        <f aca="false">IF(이수현황!$A445="",FALSE(),OR(이수현황!$J445="기한초과",이수현황!$J445="임박"))</f>
        <v>0</v>
      </c>
      <c r="K445" s="6" t="str">
        <f aca="false">IF($J445=FALSE(),"",COUNTIF($J$6:$J445,TRUE()))</f>
        <v/>
      </c>
      <c r="L445" s="6" t="str">
        <f aca="false">IF($K445="","","R"&amp;$K445)</f>
        <v/>
      </c>
    </row>
    <row r="446" customFormat="false" ht="15" hidden="false" customHeight="true" outlineLevel="0" collapsed="false">
      <c r="J446" s="24" t="b">
        <f aca="false">IF(이수현황!$A446="",FALSE(),OR(이수현황!$J446="기한초과",이수현황!$J446="임박"))</f>
        <v>0</v>
      </c>
      <c r="K446" s="6" t="str">
        <f aca="false">IF($J446=FALSE(),"",COUNTIF($J$6:$J446,TRUE()))</f>
        <v/>
      </c>
      <c r="L446" s="6" t="str">
        <f aca="false">IF($K446="","","R"&amp;$K446)</f>
        <v/>
      </c>
    </row>
    <row r="447" customFormat="false" ht="15" hidden="false" customHeight="true" outlineLevel="0" collapsed="false">
      <c r="J447" s="24" t="b">
        <f aca="false">IF(이수현황!$A447="",FALSE(),OR(이수현황!$J447="기한초과",이수현황!$J447="임박"))</f>
        <v>0</v>
      </c>
      <c r="K447" s="6" t="str">
        <f aca="false">IF($J447=FALSE(),"",COUNTIF($J$6:$J447,TRUE()))</f>
        <v/>
      </c>
      <c r="L447" s="6" t="str">
        <f aca="false">IF($K447="","","R"&amp;$K447)</f>
        <v/>
      </c>
    </row>
    <row r="448" customFormat="false" ht="15" hidden="false" customHeight="true" outlineLevel="0" collapsed="false">
      <c r="J448" s="24" t="b">
        <f aca="false">IF(이수현황!$A448="",FALSE(),OR(이수현황!$J448="기한초과",이수현황!$J448="임박"))</f>
        <v>0</v>
      </c>
      <c r="K448" s="6" t="str">
        <f aca="false">IF($J448=FALSE(),"",COUNTIF($J$6:$J448,TRUE()))</f>
        <v/>
      </c>
      <c r="L448" s="6" t="str">
        <f aca="false">IF($K448="","","R"&amp;$K448)</f>
        <v/>
      </c>
    </row>
    <row r="449" customFormat="false" ht="15" hidden="false" customHeight="true" outlineLevel="0" collapsed="false">
      <c r="J449" s="24" t="b">
        <f aca="false">IF(이수현황!$A449="",FALSE(),OR(이수현황!$J449="기한초과",이수현황!$J449="임박"))</f>
        <v>0</v>
      </c>
      <c r="K449" s="6" t="str">
        <f aca="false">IF($J449=FALSE(),"",COUNTIF($J$6:$J449,TRUE()))</f>
        <v/>
      </c>
      <c r="L449" s="6" t="str">
        <f aca="false">IF($K449="","","R"&amp;$K449)</f>
        <v/>
      </c>
    </row>
    <row r="450" customFormat="false" ht="15" hidden="false" customHeight="true" outlineLevel="0" collapsed="false">
      <c r="J450" s="24" t="b">
        <f aca="false">IF(이수현황!$A450="",FALSE(),OR(이수현황!$J450="기한초과",이수현황!$J450="임박"))</f>
        <v>0</v>
      </c>
      <c r="K450" s="6" t="str">
        <f aca="false">IF($J450=FALSE(),"",COUNTIF($J$6:$J450,TRUE()))</f>
        <v/>
      </c>
      <c r="L450" s="6" t="str">
        <f aca="false">IF($K450="","","R"&amp;$K450)</f>
        <v/>
      </c>
    </row>
    <row r="451" customFormat="false" ht="15" hidden="false" customHeight="true" outlineLevel="0" collapsed="false">
      <c r="J451" s="24" t="b">
        <f aca="false">IF(이수현황!$A451="",FALSE(),OR(이수현황!$J451="기한초과",이수현황!$J451="임박"))</f>
        <v>0</v>
      </c>
      <c r="K451" s="6" t="str">
        <f aca="false">IF($J451=FALSE(),"",COUNTIF($J$6:$J451,TRUE()))</f>
        <v/>
      </c>
      <c r="L451" s="6" t="str">
        <f aca="false">IF($K451="","","R"&amp;$K451)</f>
        <v/>
      </c>
    </row>
    <row r="452" customFormat="false" ht="15" hidden="false" customHeight="true" outlineLevel="0" collapsed="false">
      <c r="J452" s="24" t="b">
        <f aca="false">IF(이수현황!$A452="",FALSE(),OR(이수현황!$J452="기한초과",이수현황!$J452="임박"))</f>
        <v>0</v>
      </c>
      <c r="K452" s="6" t="str">
        <f aca="false">IF($J452=FALSE(),"",COUNTIF($J$6:$J452,TRUE()))</f>
        <v/>
      </c>
      <c r="L452" s="6" t="str">
        <f aca="false">IF($K452="","","R"&amp;$K452)</f>
        <v/>
      </c>
    </row>
    <row r="453" customFormat="false" ht="15" hidden="false" customHeight="true" outlineLevel="0" collapsed="false">
      <c r="J453" s="24" t="b">
        <f aca="false">IF(이수현황!$A453="",FALSE(),OR(이수현황!$J453="기한초과",이수현황!$J453="임박"))</f>
        <v>0</v>
      </c>
      <c r="K453" s="6" t="str">
        <f aca="false">IF($J453=FALSE(),"",COUNTIF($J$6:$J453,TRUE()))</f>
        <v/>
      </c>
      <c r="L453" s="6" t="str">
        <f aca="false">IF($K453="","","R"&amp;$K453)</f>
        <v/>
      </c>
    </row>
    <row r="454" customFormat="false" ht="15" hidden="false" customHeight="true" outlineLevel="0" collapsed="false">
      <c r="J454" s="24" t="b">
        <f aca="false">IF(이수현황!$A454="",FALSE(),OR(이수현황!$J454="기한초과",이수현황!$J454="임박"))</f>
        <v>0</v>
      </c>
      <c r="K454" s="6" t="str">
        <f aca="false">IF($J454=FALSE(),"",COUNTIF($J$6:$J454,TRUE()))</f>
        <v/>
      </c>
      <c r="L454" s="6" t="str">
        <f aca="false">IF($K454="","","R"&amp;$K454)</f>
        <v/>
      </c>
    </row>
    <row r="455" customFormat="false" ht="15" hidden="false" customHeight="true" outlineLevel="0" collapsed="false">
      <c r="J455" s="24" t="b">
        <f aca="false">IF(이수현황!$A455="",FALSE(),OR(이수현황!$J455="기한초과",이수현황!$J455="임박"))</f>
        <v>0</v>
      </c>
      <c r="K455" s="6" t="str">
        <f aca="false">IF($J455=FALSE(),"",COUNTIF($J$6:$J455,TRUE()))</f>
        <v/>
      </c>
      <c r="L455" s="6" t="str">
        <f aca="false">IF($K455="","","R"&amp;$K455)</f>
        <v/>
      </c>
    </row>
    <row r="456" customFormat="false" ht="15" hidden="false" customHeight="true" outlineLevel="0" collapsed="false">
      <c r="J456" s="24" t="b">
        <f aca="false">IF(이수현황!$A456="",FALSE(),OR(이수현황!$J456="기한초과",이수현황!$J456="임박"))</f>
        <v>0</v>
      </c>
      <c r="K456" s="6" t="str">
        <f aca="false">IF($J456=FALSE(),"",COUNTIF($J$6:$J456,TRUE()))</f>
        <v/>
      </c>
      <c r="L456" s="6" t="str">
        <f aca="false">IF($K456="","","R"&amp;$K456)</f>
        <v/>
      </c>
    </row>
    <row r="457" customFormat="false" ht="15" hidden="false" customHeight="true" outlineLevel="0" collapsed="false">
      <c r="J457" s="24" t="b">
        <f aca="false">IF(이수현황!$A457="",FALSE(),OR(이수현황!$J457="기한초과",이수현황!$J457="임박"))</f>
        <v>0</v>
      </c>
      <c r="K457" s="6" t="str">
        <f aca="false">IF($J457=FALSE(),"",COUNTIF($J$6:$J457,TRUE()))</f>
        <v/>
      </c>
      <c r="L457" s="6" t="str">
        <f aca="false">IF($K457="","","R"&amp;$K457)</f>
        <v/>
      </c>
    </row>
    <row r="458" customFormat="false" ht="15" hidden="false" customHeight="true" outlineLevel="0" collapsed="false">
      <c r="J458" s="24" t="b">
        <f aca="false">IF(이수현황!$A458="",FALSE(),OR(이수현황!$J458="기한초과",이수현황!$J458="임박"))</f>
        <v>0</v>
      </c>
      <c r="K458" s="6" t="str">
        <f aca="false">IF($J458=FALSE(),"",COUNTIF($J$6:$J458,TRUE()))</f>
        <v/>
      </c>
      <c r="L458" s="6" t="str">
        <f aca="false">IF($K458="","","R"&amp;$K458)</f>
        <v/>
      </c>
    </row>
    <row r="459" customFormat="false" ht="15" hidden="false" customHeight="true" outlineLevel="0" collapsed="false">
      <c r="J459" s="24" t="b">
        <f aca="false">IF(이수현황!$A459="",FALSE(),OR(이수현황!$J459="기한초과",이수현황!$J459="임박"))</f>
        <v>0</v>
      </c>
      <c r="K459" s="6" t="str">
        <f aca="false">IF($J459=FALSE(),"",COUNTIF($J$6:$J459,TRUE()))</f>
        <v/>
      </c>
      <c r="L459" s="6" t="str">
        <f aca="false">IF($K459="","","R"&amp;$K459)</f>
        <v/>
      </c>
    </row>
    <row r="460" customFormat="false" ht="15" hidden="false" customHeight="true" outlineLevel="0" collapsed="false">
      <c r="J460" s="24" t="b">
        <f aca="false">IF(이수현황!$A460="",FALSE(),OR(이수현황!$J460="기한초과",이수현황!$J460="임박"))</f>
        <v>0</v>
      </c>
      <c r="K460" s="6" t="str">
        <f aca="false">IF($J460=FALSE(),"",COUNTIF($J$6:$J460,TRUE()))</f>
        <v/>
      </c>
      <c r="L460" s="6" t="str">
        <f aca="false">IF($K460="","","R"&amp;$K460)</f>
        <v/>
      </c>
    </row>
    <row r="461" customFormat="false" ht="15" hidden="false" customHeight="true" outlineLevel="0" collapsed="false">
      <c r="J461" s="24" t="b">
        <f aca="false">IF(이수현황!$A461="",FALSE(),OR(이수현황!$J461="기한초과",이수현황!$J461="임박"))</f>
        <v>0</v>
      </c>
      <c r="K461" s="6" t="str">
        <f aca="false">IF($J461=FALSE(),"",COUNTIF($J$6:$J461,TRUE()))</f>
        <v/>
      </c>
      <c r="L461" s="6" t="str">
        <f aca="false">IF($K461="","","R"&amp;$K461)</f>
        <v/>
      </c>
    </row>
    <row r="462" customFormat="false" ht="15" hidden="false" customHeight="true" outlineLevel="0" collapsed="false">
      <c r="J462" s="24" t="b">
        <f aca="false">IF(이수현황!$A462="",FALSE(),OR(이수현황!$J462="기한초과",이수현황!$J462="임박"))</f>
        <v>0</v>
      </c>
      <c r="K462" s="6" t="str">
        <f aca="false">IF($J462=FALSE(),"",COUNTIF($J$6:$J462,TRUE()))</f>
        <v/>
      </c>
      <c r="L462" s="6" t="str">
        <f aca="false">IF($K462="","","R"&amp;$K462)</f>
        <v/>
      </c>
    </row>
    <row r="463" customFormat="false" ht="15" hidden="false" customHeight="true" outlineLevel="0" collapsed="false">
      <c r="J463" s="24" t="b">
        <f aca="false">IF(이수현황!$A463="",FALSE(),OR(이수현황!$J463="기한초과",이수현황!$J463="임박"))</f>
        <v>0</v>
      </c>
      <c r="K463" s="6" t="str">
        <f aca="false">IF($J463=FALSE(),"",COUNTIF($J$6:$J463,TRUE()))</f>
        <v/>
      </c>
      <c r="L463" s="6" t="str">
        <f aca="false">IF($K463="","","R"&amp;$K463)</f>
        <v/>
      </c>
    </row>
    <row r="464" customFormat="false" ht="15" hidden="false" customHeight="true" outlineLevel="0" collapsed="false">
      <c r="J464" s="24" t="b">
        <f aca="false">IF(이수현황!$A464="",FALSE(),OR(이수현황!$J464="기한초과",이수현황!$J464="임박"))</f>
        <v>0</v>
      </c>
      <c r="K464" s="6" t="str">
        <f aca="false">IF($J464=FALSE(),"",COUNTIF($J$6:$J464,TRUE()))</f>
        <v/>
      </c>
      <c r="L464" s="6" t="str">
        <f aca="false">IF($K464="","","R"&amp;$K464)</f>
        <v/>
      </c>
    </row>
    <row r="465" customFormat="false" ht="15" hidden="false" customHeight="true" outlineLevel="0" collapsed="false">
      <c r="J465" s="24" t="b">
        <f aca="false">IF(이수현황!$A465="",FALSE(),OR(이수현황!$J465="기한초과",이수현황!$J465="임박"))</f>
        <v>0</v>
      </c>
      <c r="K465" s="6" t="str">
        <f aca="false">IF($J465=FALSE(),"",COUNTIF($J$6:$J465,TRUE()))</f>
        <v/>
      </c>
      <c r="L465" s="6" t="str">
        <f aca="false">IF($K465="","","R"&amp;$K465)</f>
        <v/>
      </c>
    </row>
    <row r="466" customFormat="false" ht="15" hidden="false" customHeight="true" outlineLevel="0" collapsed="false">
      <c r="J466" s="24" t="b">
        <f aca="false">IF(이수현황!$A466="",FALSE(),OR(이수현황!$J466="기한초과",이수현황!$J466="임박"))</f>
        <v>0</v>
      </c>
      <c r="K466" s="6" t="str">
        <f aca="false">IF($J466=FALSE(),"",COUNTIF($J$6:$J466,TRUE()))</f>
        <v/>
      </c>
      <c r="L466" s="6" t="str">
        <f aca="false">IF($K466="","","R"&amp;$K466)</f>
        <v/>
      </c>
    </row>
    <row r="467" customFormat="false" ht="15" hidden="false" customHeight="true" outlineLevel="0" collapsed="false">
      <c r="J467" s="24" t="b">
        <f aca="false">IF(이수현황!$A467="",FALSE(),OR(이수현황!$J467="기한초과",이수현황!$J467="임박"))</f>
        <v>0</v>
      </c>
      <c r="K467" s="6" t="str">
        <f aca="false">IF($J467=FALSE(),"",COUNTIF($J$6:$J467,TRUE()))</f>
        <v/>
      </c>
      <c r="L467" s="6" t="str">
        <f aca="false">IF($K467="","","R"&amp;$K467)</f>
        <v/>
      </c>
    </row>
    <row r="468" customFormat="false" ht="15" hidden="false" customHeight="true" outlineLevel="0" collapsed="false">
      <c r="J468" s="24" t="b">
        <f aca="false">IF(이수현황!$A468="",FALSE(),OR(이수현황!$J468="기한초과",이수현황!$J468="임박"))</f>
        <v>0</v>
      </c>
      <c r="K468" s="6" t="str">
        <f aca="false">IF($J468=FALSE(),"",COUNTIF($J$6:$J468,TRUE()))</f>
        <v/>
      </c>
      <c r="L468" s="6" t="str">
        <f aca="false">IF($K468="","","R"&amp;$K468)</f>
        <v/>
      </c>
    </row>
    <row r="469" customFormat="false" ht="15" hidden="false" customHeight="true" outlineLevel="0" collapsed="false">
      <c r="J469" s="24" t="b">
        <f aca="false">IF(이수현황!$A469="",FALSE(),OR(이수현황!$J469="기한초과",이수현황!$J469="임박"))</f>
        <v>0</v>
      </c>
      <c r="K469" s="6" t="str">
        <f aca="false">IF($J469=FALSE(),"",COUNTIF($J$6:$J469,TRUE()))</f>
        <v/>
      </c>
      <c r="L469" s="6" t="str">
        <f aca="false">IF($K469="","","R"&amp;$K469)</f>
        <v/>
      </c>
    </row>
    <row r="470" customFormat="false" ht="15" hidden="false" customHeight="true" outlineLevel="0" collapsed="false">
      <c r="J470" s="24" t="b">
        <f aca="false">IF(이수현황!$A470="",FALSE(),OR(이수현황!$J470="기한초과",이수현황!$J470="임박"))</f>
        <v>0</v>
      </c>
      <c r="K470" s="6" t="str">
        <f aca="false">IF($J470=FALSE(),"",COUNTIF($J$6:$J470,TRUE()))</f>
        <v/>
      </c>
      <c r="L470" s="6" t="str">
        <f aca="false">IF($K470="","","R"&amp;$K470)</f>
        <v/>
      </c>
    </row>
    <row r="471" customFormat="false" ht="15" hidden="false" customHeight="true" outlineLevel="0" collapsed="false">
      <c r="J471" s="24" t="b">
        <f aca="false">IF(이수현황!$A471="",FALSE(),OR(이수현황!$J471="기한초과",이수현황!$J471="임박"))</f>
        <v>0</v>
      </c>
      <c r="K471" s="6" t="str">
        <f aca="false">IF($J471=FALSE(),"",COUNTIF($J$6:$J471,TRUE()))</f>
        <v/>
      </c>
      <c r="L471" s="6" t="str">
        <f aca="false">IF($K471="","","R"&amp;$K471)</f>
        <v/>
      </c>
    </row>
    <row r="472" customFormat="false" ht="15" hidden="false" customHeight="true" outlineLevel="0" collapsed="false">
      <c r="J472" s="24" t="b">
        <f aca="false">IF(이수현황!$A472="",FALSE(),OR(이수현황!$J472="기한초과",이수현황!$J472="임박"))</f>
        <v>0</v>
      </c>
      <c r="K472" s="6" t="str">
        <f aca="false">IF($J472=FALSE(),"",COUNTIF($J$6:$J472,TRUE()))</f>
        <v/>
      </c>
      <c r="L472" s="6" t="str">
        <f aca="false">IF($K472="","","R"&amp;$K472)</f>
        <v/>
      </c>
    </row>
    <row r="473" customFormat="false" ht="15" hidden="false" customHeight="true" outlineLevel="0" collapsed="false">
      <c r="J473" s="24" t="b">
        <f aca="false">IF(이수현황!$A473="",FALSE(),OR(이수현황!$J473="기한초과",이수현황!$J473="임박"))</f>
        <v>0</v>
      </c>
      <c r="K473" s="6" t="str">
        <f aca="false">IF($J473=FALSE(),"",COUNTIF($J$6:$J473,TRUE()))</f>
        <v/>
      </c>
      <c r="L473" s="6" t="str">
        <f aca="false">IF($K473="","","R"&amp;$K473)</f>
        <v/>
      </c>
    </row>
    <row r="474" customFormat="false" ht="15" hidden="false" customHeight="true" outlineLevel="0" collapsed="false">
      <c r="J474" s="24" t="b">
        <f aca="false">IF(이수현황!$A474="",FALSE(),OR(이수현황!$J474="기한초과",이수현황!$J474="임박"))</f>
        <v>0</v>
      </c>
      <c r="K474" s="6" t="str">
        <f aca="false">IF($J474=FALSE(),"",COUNTIF($J$6:$J474,TRUE()))</f>
        <v/>
      </c>
      <c r="L474" s="6" t="str">
        <f aca="false">IF($K474="","","R"&amp;$K474)</f>
        <v/>
      </c>
    </row>
    <row r="475" customFormat="false" ht="15" hidden="false" customHeight="true" outlineLevel="0" collapsed="false">
      <c r="J475" s="24" t="b">
        <f aca="false">IF(이수현황!$A475="",FALSE(),OR(이수현황!$J475="기한초과",이수현황!$J475="임박"))</f>
        <v>0</v>
      </c>
      <c r="K475" s="6" t="str">
        <f aca="false">IF($J475=FALSE(),"",COUNTIF($J$6:$J475,TRUE()))</f>
        <v/>
      </c>
      <c r="L475" s="6" t="str">
        <f aca="false">IF($K475="","","R"&amp;$K475)</f>
        <v/>
      </c>
    </row>
    <row r="476" customFormat="false" ht="15" hidden="false" customHeight="true" outlineLevel="0" collapsed="false">
      <c r="J476" s="24" t="b">
        <f aca="false">IF(이수현황!$A476="",FALSE(),OR(이수현황!$J476="기한초과",이수현황!$J476="임박"))</f>
        <v>0</v>
      </c>
      <c r="K476" s="6" t="str">
        <f aca="false">IF($J476=FALSE(),"",COUNTIF($J$6:$J476,TRUE()))</f>
        <v/>
      </c>
      <c r="L476" s="6" t="str">
        <f aca="false">IF($K476="","","R"&amp;$K476)</f>
        <v/>
      </c>
    </row>
    <row r="477" customFormat="false" ht="15" hidden="false" customHeight="true" outlineLevel="0" collapsed="false">
      <c r="J477" s="24" t="b">
        <f aca="false">IF(이수현황!$A477="",FALSE(),OR(이수현황!$J477="기한초과",이수현황!$J477="임박"))</f>
        <v>0</v>
      </c>
      <c r="K477" s="6" t="str">
        <f aca="false">IF($J477=FALSE(),"",COUNTIF($J$6:$J477,TRUE()))</f>
        <v/>
      </c>
      <c r="L477" s="6" t="str">
        <f aca="false">IF($K477="","","R"&amp;$K477)</f>
        <v/>
      </c>
    </row>
    <row r="478" customFormat="false" ht="15" hidden="false" customHeight="true" outlineLevel="0" collapsed="false">
      <c r="J478" s="24" t="b">
        <f aca="false">IF(이수현황!$A478="",FALSE(),OR(이수현황!$J478="기한초과",이수현황!$J478="임박"))</f>
        <v>0</v>
      </c>
      <c r="K478" s="6" t="str">
        <f aca="false">IF($J478=FALSE(),"",COUNTIF($J$6:$J478,TRUE()))</f>
        <v/>
      </c>
      <c r="L478" s="6" t="str">
        <f aca="false">IF($K478="","","R"&amp;$K478)</f>
        <v/>
      </c>
    </row>
    <row r="479" customFormat="false" ht="15" hidden="false" customHeight="true" outlineLevel="0" collapsed="false">
      <c r="J479" s="24" t="b">
        <f aca="false">IF(이수현황!$A479="",FALSE(),OR(이수현황!$J479="기한초과",이수현황!$J479="임박"))</f>
        <v>0</v>
      </c>
      <c r="K479" s="6" t="str">
        <f aca="false">IF($J479=FALSE(),"",COUNTIF($J$6:$J479,TRUE()))</f>
        <v/>
      </c>
      <c r="L479" s="6" t="str">
        <f aca="false">IF($K479="","","R"&amp;$K479)</f>
        <v/>
      </c>
    </row>
    <row r="480" customFormat="false" ht="15" hidden="false" customHeight="true" outlineLevel="0" collapsed="false">
      <c r="J480" s="24" t="b">
        <f aca="false">IF(이수현황!$A480="",FALSE(),OR(이수현황!$J480="기한초과",이수현황!$J480="임박"))</f>
        <v>0</v>
      </c>
      <c r="K480" s="6" t="str">
        <f aca="false">IF($J480=FALSE(),"",COUNTIF($J$6:$J480,TRUE()))</f>
        <v/>
      </c>
      <c r="L480" s="6" t="str">
        <f aca="false">IF($K480="","","R"&amp;$K480)</f>
        <v/>
      </c>
    </row>
    <row r="481" customFormat="false" ht="15" hidden="false" customHeight="true" outlineLevel="0" collapsed="false">
      <c r="J481" s="24" t="b">
        <f aca="false">IF(이수현황!$A481="",FALSE(),OR(이수현황!$J481="기한초과",이수현황!$J481="임박"))</f>
        <v>0</v>
      </c>
      <c r="K481" s="6" t="str">
        <f aca="false">IF($J481=FALSE(),"",COUNTIF($J$6:$J481,TRUE()))</f>
        <v/>
      </c>
      <c r="L481" s="6" t="str">
        <f aca="false">IF($K481="","","R"&amp;$K481)</f>
        <v/>
      </c>
    </row>
    <row r="482" customFormat="false" ht="15" hidden="false" customHeight="true" outlineLevel="0" collapsed="false">
      <c r="J482" s="24" t="b">
        <f aca="false">IF(이수현황!$A482="",FALSE(),OR(이수현황!$J482="기한초과",이수현황!$J482="임박"))</f>
        <v>0</v>
      </c>
      <c r="K482" s="6" t="str">
        <f aca="false">IF($J482=FALSE(),"",COUNTIF($J$6:$J482,TRUE()))</f>
        <v/>
      </c>
      <c r="L482" s="6" t="str">
        <f aca="false">IF($K482="","","R"&amp;$K482)</f>
        <v/>
      </c>
    </row>
    <row r="483" customFormat="false" ht="15" hidden="false" customHeight="true" outlineLevel="0" collapsed="false">
      <c r="J483" s="24" t="b">
        <f aca="false">IF(이수현황!$A483="",FALSE(),OR(이수현황!$J483="기한초과",이수현황!$J483="임박"))</f>
        <v>0</v>
      </c>
      <c r="K483" s="6" t="str">
        <f aca="false">IF($J483=FALSE(),"",COUNTIF($J$6:$J483,TRUE()))</f>
        <v/>
      </c>
      <c r="L483" s="6" t="str">
        <f aca="false">IF($K483="","","R"&amp;$K483)</f>
        <v/>
      </c>
    </row>
    <row r="484" customFormat="false" ht="15" hidden="false" customHeight="true" outlineLevel="0" collapsed="false">
      <c r="J484" s="24" t="b">
        <f aca="false">IF(이수현황!$A484="",FALSE(),OR(이수현황!$J484="기한초과",이수현황!$J484="임박"))</f>
        <v>0</v>
      </c>
      <c r="K484" s="6" t="str">
        <f aca="false">IF($J484=FALSE(),"",COUNTIF($J$6:$J484,TRUE()))</f>
        <v/>
      </c>
      <c r="L484" s="6" t="str">
        <f aca="false">IF($K484="","","R"&amp;$K484)</f>
        <v/>
      </c>
    </row>
    <row r="485" customFormat="false" ht="15" hidden="false" customHeight="true" outlineLevel="0" collapsed="false">
      <c r="J485" s="24" t="b">
        <f aca="false">IF(이수현황!$A485="",FALSE(),OR(이수현황!$J485="기한초과",이수현황!$J485="임박"))</f>
        <v>0</v>
      </c>
      <c r="K485" s="6" t="str">
        <f aca="false">IF($J485=FALSE(),"",COUNTIF($J$6:$J485,TRUE()))</f>
        <v/>
      </c>
      <c r="L485" s="6" t="str">
        <f aca="false">IF($K485="","","R"&amp;$K485)</f>
        <v/>
      </c>
    </row>
  </sheetData>
  <mergeCells count="1">
    <mergeCell ref="A1:H1"/>
  </mergeCells>
  <conditionalFormatting sqref="A6:H155">
    <cfRule type="expression" priority="2" aboveAverage="0" equalAverage="0" bottom="0" percent="0" rank="0" text="" dxfId="0">
      <formula>AND($H6&lt;&gt;"",$H6&lt;0)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8" min="7" style="1" width="14"/>
  </cols>
  <sheetData>
    <row r="1" customFormat="false" ht="25.5" hidden="false" customHeight="true" outlineLevel="0" collapsed="false">
      <c r="A1" s="2" t="s">
        <v>82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83</v>
      </c>
      <c r="B3" s="26" t="n">
        <v>2026</v>
      </c>
    </row>
    <row r="5" customFormat="false" ht="15" hidden="false" customHeight="true" outlineLevel="0" collapsed="false">
      <c r="A5" s="8" t="s">
        <v>45</v>
      </c>
      <c r="B5" s="8" t="s">
        <v>46</v>
      </c>
      <c r="C5" s="8" t="s">
        <v>49</v>
      </c>
      <c r="D5" s="8" t="s">
        <v>47</v>
      </c>
      <c r="E5" s="8" t="s">
        <v>84</v>
      </c>
      <c r="F5" s="8" t="s">
        <v>85</v>
      </c>
      <c r="G5" s="8" t="s">
        <v>86</v>
      </c>
      <c r="H5" s="8" t="s">
        <v>87</v>
      </c>
    </row>
    <row r="6" customFormat="false" ht="15" hidden="false" customHeight="true" outlineLevel="0" collapsed="false">
      <c r="A6" s="20" t="str">
        <f aca="false">IF(교육과정!$A3="","",교육과정!$A3)</f>
        <v>C01</v>
      </c>
      <c r="B6" s="20" t="str">
        <f aca="false">IF($A6="","",교육과정!$B3)</f>
        <v>산업안전보건교육</v>
      </c>
      <c r="C6" s="20" t="str">
        <f aca="false">IF($A6="","",교육과정!$E3)</f>
        <v>법정</v>
      </c>
      <c r="D6" s="22" t="n">
        <f aca="false">IF($A6="","",교육과정!$C3)</f>
        <v>3</v>
      </c>
      <c r="E6" s="21" t="n">
        <f aca="false">IF($A6="","",COUNTIFS(이수내역!$D$3:$D$2002,$A6,이수내역!$A$3:$A$2002,"&gt;="&amp;DATE($B$3,1,1),이수내역!$A$3:$A$2002,"&lt;="&amp;DATE($B$3,12,31)))</f>
        <v>2</v>
      </c>
      <c r="F6" s="21" t="n">
        <f aca="false">IF($A6="","",SUMPRODUCT((직원목록!$A$3:$A$302&lt;&gt;"")*(COUNTIFS(이수내역!$B$3:$B$2002,직원목록!$A$3:$A$302,이수내역!$D$3:$D$2002,$A6,이수내역!$A$3:$A$2002,"&gt;="&amp;DATE($B$3,1,1),이수내역!$A$3:$A$2002,"&lt;="&amp;DATE($B$3,12,31))&gt;0)))</f>
        <v>2</v>
      </c>
      <c r="G6" s="27" t="n">
        <f aca="false">IF($A6="","",SUMIFS(이수내역!$F$3:$F$2002,이수내역!$D$3:$D$2002,$A6,이수내역!$A$3:$A$2002,"&gt;="&amp;DATE($B$3,1,1),이수내역!$A$3:$A$2002,"&lt;="&amp;DATE($B$3,12,31)))</f>
        <v>12</v>
      </c>
      <c r="H6" s="21" t="n">
        <f aca="false">IF($A6="","",SUMPRODUCT((이수현황!$D$6:$D$485=$A6)*((이수현황!$J$6:$J$485="기한초과")+(이수현황!$J$6:$J$485="임박"))))</f>
        <v>2</v>
      </c>
    </row>
    <row r="7" customFormat="false" ht="15" hidden="false" customHeight="true" outlineLevel="0" collapsed="false">
      <c r="A7" s="20" t="str">
        <f aca="false">IF(교육과정!$A4="","",교육과정!$A4)</f>
        <v>C02</v>
      </c>
      <c r="B7" s="20" t="str">
        <f aca="false">IF($A7="","",교육과정!$B4)</f>
        <v>성희롱 예방교육</v>
      </c>
      <c r="C7" s="20" t="str">
        <f aca="false">IF($A7="","",교육과정!$E4)</f>
        <v>법정</v>
      </c>
      <c r="D7" s="22" t="n">
        <f aca="false">IF($A7="","",교육과정!$C4)</f>
        <v>12</v>
      </c>
      <c r="E7" s="21" t="n">
        <f aca="false">IF($A7="","",COUNTIFS(이수내역!$D$3:$D$2002,$A7,이수내역!$A$3:$A$2002,"&gt;="&amp;DATE($B$3,1,1),이수내역!$A$3:$A$2002,"&lt;="&amp;DATE($B$3,12,31)))</f>
        <v>1</v>
      </c>
      <c r="F7" s="21" t="n">
        <f aca="false">IF($A7="","",SUMPRODUCT((직원목록!$A$3:$A$302&lt;&gt;"")*(COUNTIFS(이수내역!$B$3:$B$2002,직원목록!$A$3:$A$302,이수내역!$D$3:$D$2002,$A7,이수내역!$A$3:$A$2002,"&gt;="&amp;DATE($B$3,1,1),이수내역!$A$3:$A$2002,"&lt;="&amp;DATE($B$3,12,31))&gt;0)))</f>
        <v>1</v>
      </c>
      <c r="G7" s="27" t="n">
        <f aca="false">IF($A7="","",SUMIFS(이수내역!$F$3:$F$2002,이수내역!$D$3:$D$2002,$A7,이수내역!$A$3:$A$2002,"&gt;="&amp;DATE($B$3,1,1),이수내역!$A$3:$A$2002,"&lt;="&amp;DATE($B$3,12,31)))</f>
        <v>1</v>
      </c>
      <c r="H7" s="21" t="n">
        <f aca="false">IF($A7="","",SUMPRODUCT((이수현황!$D$6:$D$485=$A7)*((이수현황!$J$6:$J$485="기한초과")+(이수현황!$J$6:$J$485="임박"))))</f>
        <v>2</v>
      </c>
    </row>
    <row r="8" customFormat="false" ht="15" hidden="false" customHeight="true" outlineLevel="0" collapsed="false">
      <c r="A8" s="20" t="str">
        <f aca="false">IF(교육과정!$A5="","",교육과정!$A5)</f>
        <v>C03</v>
      </c>
      <c r="B8" s="20" t="str">
        <f aca="false">IF($A8="","",교육과정!$B5)</f>
        <v>개인정보보호 교육</v>
      </c>
      <c r="C8" s="20" t="str">
        <f aca="false">IF($A8="","",교육과정!$E5)</f>
        <v>법정</v>
      </c>
      <c r="D8" s="22" t="n">
        <f aca="false">IF($A8="","",교육과정!$C5)</f>
        <v>12</v>
      </c>
      <c r="E8" s="21" t="n">
        <f aca="false">IF($A8="","",COUNTIFS(이수내역!$D$3:$D$2002,$A8,이수내역!$A$3:$A$2002,"&gt;="&amp;DATE($B$3,1,1),이수내역!$A$3:$A$2002,"&lt;="&amp;DATE($B$3,12,31)))</f>
        <v>0</v>
      </c>
      <c r="F8" s="21" t="n">
        <f aca="false">IF($A8="","",SUMPRODUCT((직원목록!$A$3:$A$302&lt;&gt;"")*(COUNTIFS(이수내역!$B$3:$B$2002,직원목록!$A$3:$A$302,이수내역!$D$3:$D$2002,$A8,이수내역!$A$3:$A$2002,"&gt;="&amp;DATE($B$3,1,1),이수내역!$A$3:$A$2002,"&lt;="&amp;DATE($B$3,12,31))&gt;0)))</f>
        <v>0</v>
      </c>
      <c r="G8" s="27" t="n">
        <f aca="false">IF($A8="","",SUMIFS(이수내역!$F$3:$F$2002,이수내역!$D$3:$D$2002,$A8,이수내역!$A$3:$A$2002,"&gt;="&amp;DATE($B$3,1,1),이수내역!$A$3:$A$2002,"&lt;="&amp;DATE($B$3,12,31)))</f>
        <v>0</v>
      </c>
      <c r="H8" s="21" t="n">
        <f aca="false">IF($A8="","",SUMPRODUCT((이수현황!$D$6:$D$485=$A8)*((이수현황!$J$6:$J$485="기한초과")+(이수현황!$J$6:$J$485="임박"))))</f>
        <v>3</v>
      </c>
    </row>
    <row r="9" customFormat="false" ht="15" hidden="false" customHeight="true" outlineLevel="0" collapsed="false">
      <c r="A9" s="20" t="str">
        <f aca="false">IF(교육과정!$A6="","",교육과정!$A6)</f>
        <v>C04</v>
      </c>
      <c r="B9" s="20" t="str">
        <f aca="false">IF($A9="","",교육과정!$B6)</f>
        <v>지게차 운전 자격</v>
      </c>
      <c r="C9" s="20" t="str">
        <f aca="false">IF($A9="","",교육과정!$E6)</f>
        <v>자격</v>
      </c>
      <c r="D9" s="22" t="n">
        <f aca="false">IF($A9="","",교육과정!$C6)</f>
        <v>24</v>
      </c>
      <c r="E9" s="21" t="n">
        <f aca="false">IF($A9="","",COUNTIFS(이수내역!$D$3:$D$2002,$A9,이수내역!$A$3:$A$2002,"&gt;="&amp;DATE($B$3,1,1),이수내역!$A$3:$A$2002,"&lt;="&amp;DATE($B$3,12,31)))</f>
        <v>0</v>
      </c>
      <c r="F9" s="21" t="n">
        <f aca="false">IF($A9="","",SUMPRODUCT((직원목록!$A$3:$A$302&lt;&gt;"")*(COUNTIFS(이수내역!$B$3:$B$2002,직원목록!$A$3:$A$302,이수내역!$D$3:$D$2002,$A9,이수내역!$A$3:$A$2002,"&gt;="&amp;DATE($B$3,1,1),이수내역!$A$3:$A$2002,"&lt;="&amp;DATE($B$3,12,31))&gt;0)))</f>
        <v>0</v>
      </c>
      <c r="G9" s="27" t="n">
        <f aca="false">IF($A9="","",SUMIFS(이수내역!$F$3:$F$2002,이수내역!$D$3:$D$2002,$A9,이수내역!$A$3:$A$2002,"&gt;="&amp;DATE($B$3,1,1),이수내역!$A$3:$A$2002,"&lt;="&amp;DATE($B$3,12,31)))</f>
        <v>0</v>
      </c>
      <c r="H9" s="21" t="n">
        <f aca="false">IF($A9="","",SUMPRODUCT((이수현황!$D$6:$D$485=$A9)*((이수현황!$J$6:$J$485="기한초과")+(이수현황!$J$6:$J$485="임박"))))</f>
        <v>3</v>
      </c>
    </row>
    <row r="10" customFormat="false" ht="15" hidden="false" customHeight="true" outlineLevel="0" collapsed="false">
      <c r="A10" s="20" t="str">
        <f aca="false">IF(교육과정!$A7="","",교육과정!$A7)</f>
        <v/>
      </c>
      <c r="B10" s="20" t="str">
        <f aca="false">IF($A10="","",교육과정!$B7)</f>
        <v/>
      </c>
      <c r="C10" s="20" t="str">
        <f aca="false">IF($A10="","",교육과정!$E7)</f>
        <v/>
      </c>
      <c r="D10" s="21" t="str">
        <f aca="false">IF($A10="","",교육과정!$C7)</f>
        <v/>
      </c>
      <c r="E10" s="21" t="str">
        <f aca="false">IF($A10="","",COUNTIFS(이수내역!$D$3:$D$2002,$A10,이수내역!$A$3:$A$2002,"&gt;="&amp;DATE($B$3,1,1),이수내역!$A$3:$A$2002,"&lt;="&amp;DATE($B$3,12,31)))</f>
        <v/>
      </c>
      <c r="F10" s="21" t="str">
        <f aca="false">IF($A10="","",SUMPRODUCT((직원목록!$A$3:$A$302&lt;&gt;"")*(COUNTIFS(이수내역!$B$3:$B$2002,직원목록!$A$3:$A$302,이수내역!$D$3:$D$2002,$A10,이수내역!$A$3:$A$2002,"&gt;="&amp;DATE($B$3,1,1),이수내역!$A$3:$A$2002,"&lt;="&amp;DATE($B$3,12,31))&gt;0)))</f>
        <v/>
      </c>
      <c r="G10" s="27" t="str">
        <f aca="false">IF($A10="","",SUMIFS(이수내역!$F$3:$F$2002,이수내역!$D$3:$D$2002,$A10,이수내역!$A$3:$A$2002,"&gt;="&amp;DATE($B$3,1,1),이수내역!$A$3:$A$2002,"&lt;="&amp;DATE($B$3,12,31)))</f>
        <v/>
      </c>
      <c r="H10" s="21" t="str">
        <f aca="false">IF($A10="","",SUMPRODUCT((이수현황!$D$6:$D$485=$A10)*((이수현황!$J$6:$J$485="기한초과")+(이수현황!$J$6:$J$485="임박"))))</f>
        <v/>
      </c>
    </row>
    <row r="11" customFormat="false" ht="15" hidden="false" customHeight="true" outlineLevel="0" collapsed="false">
      <c r="A11" s="20" t="str">
        <f aca="false">IF(교육과정!$A8="","",교육과정!$A8)</f>
        <v/>
      </c>
      <c r="B11" s="20" t="str">
        <f aca="false">IF($A11="","",교육과정!$B8)</f>
        <v/>
      </c>
      <c r="C11" s="20" t="str">
        <f aca="false">IF($A11="","",교육과정!$E8)</f>
        <v/>
      </c>
      <c r="D11" s="21" t="str">
        <f aca="false">IF($A11="","",교육과정!$C8)</f>
        <v/>
      </c>
      <c r="E11" s="21" t="str">
        <f aca="false">IF($A11="","",COUNTIFS(이수내역!$D$3:$D$2002,$A11,이수내역!$A$3:$A$2002,"&gt;="&amp;DATE($B$3,1,1),이수내역!$A$3:$A$2002,"&lt;="&amp;DATE($B$3,12,31)))</f>
        <v/>
      </c>
      <c r="F11" s="21" t="str">
        <f aca="false">IF($A11="","",SUMPRODUCT((직원목록!$A$3:$A$302&lt;&gt;"")*(COUNTIFS(이수내역!$B$3:$B$2002,직원목록!$A$3:$A$302,이수내역!$D$3:$D$2002,$A11,이수내역!$A$3:$A$2002,"&gt;="&amp;DATE($B$3,1,1),이수내역!$A$3:$A$2002,"&lt;="&amp;DATE($B$3,12,31))&gt;0)))</f>
        <v/>
      </c>
      <c r="G11" s="27" t="str">
        <f aca="false">IF($A11="","",SUMIFS(이수내역!$F$3:$F$2002,이수내역!$D$3:$D$2002,$A11,이수내역!$A$3:$A$2002,"&gt;="&amp;DATE($B$3,1,1),이수내역!$A$3:$A$2002,"&lt;="&amp;DATE($B$3,12,31)))</f>
        <v/>
      </c>
      <c r="H11" s="21" t="str">
        <f aca="false">IF($A11="","",SUMPRODUCT((이수현황!$D$6:$D$485=$A11)*((이수현황!$J$6:$J$485="기한초과")+(이수현황!$J$6:$J$485="임박"))))</f>
        <v/>
      </c>
    </row>
    <row r="12" customFormat="false" ht="15" hidden="false" customHeight="true" outlineLevel="0" collapsed="false">
      <c r="A12" s="20" t="str">
        <f aca="false">IF(교육과정!$A9="","",교육과정!$A9)</f>
        <v/>
      </c>
      <c r="B12" s="20" t="str">
        <f aca="false">IF($A12="","",교육과정!$B9)</f>
        <v/>
      </c>
      <c r="C12" s="20" t="str">
        <f aca="false">IF($A12="","",교육과정!$E9)</f>
        <v/>
      </c>
      <c r="D12" s="21" t="str">
        <f aca="false">IF($A12="","",교육과정!$C9)</f>
        <v/>
      </c>
      <c r="E12" s="21" t="str">
        <f aca="false">IF($A12="","",COUNTIFS(이수내역!$D$3:$D$2002,$A12,이수내역!$A$3:$A$2002,"&gt;="&amp;DATE($B$3,1,1),이수내역!$A$3:$A$2002,"&lt;="&amp;DATE($B$3,12,31)))</f>
        <v/>
      </c>
      <c r="F12" s="21" t="str">
        <f aca="false">IF($A12="","",SUMPRODUCT((직원목록!$A$3:$A$302&lt;&gt;"")*(COUNTIFS(이수내역!$B$3:$B$2002,직원목록!$A$3:$A$302,이수내역!$D$3:$D$2002,$A12,이수내역!$A$3:$A$2002,"&gt;="&amp;DATE($B$3,1,1),이수내역!$A$3:$A$2002,"&lt;="&amp;DATE($B$3,12,31))&gt;0)))</f>
        <v/>
      </c>
      <c r="G12" s="27" t="str">
        <f aca="false">IF($A12="","",SUMIFS(이수내역!$F$3:$F$2002,이수내역!$D$3:$D$2002,$A12,이수내역!$A$3:$A$2002,"&gt;="&amp;DATE($B$3,1,1),이수내역!$A$3:$A$2002,"&lt;="&amp;DATE($B$3,12,31)))</f>
        <v/>
      </c>
      <c r="H12" s="21" t="str">
        <f aca="false">IF($A12="","",SUMPRODUCT((이수현황!$D$6:$D$485=$A12)*((이수현황!$J$6:$J$485="기한초과")+(이수현황!$J$6:$J$485="임박"))))</f>
        <v/>
      </c>
    </row>
    <row r="13" customFormat="false" ht="15" hidden="false" customHeight="true" outlineLevel="0" collapsed="false">
      <c r="A13" s="20" t="str">
        <f aca="false">IF(교육과정!$A10="","",교육과정!$A10)</f>
        <v/>
      </c>
      <c r="B13" s="20" t="str">
        <f aca="false">IF($A13="","",교육과정!$B10)</f>
        <v/>
      </c>
      <c r="C13" s="20" t="str">
        <f aca="false">IF($A13="","",교육과정!$E10)</f>
        <v/>
      </c>
      <c r="D13" s="21" t="str">
        <f aca="false">IF($A13="","",교육과정!$C10)</f>
        <v/>
      </c>
      <c r="E13" s="21" t="str">
        <f aca="false">IF($A13="","",COUNTIFS(이수내역!$D$3:$D$2002,$A13,이수내역!$A$3:$A$2002,"&gt;="&amp;DATE($B$3,1,1),이수내역!$A$3:$A$2002,"&lt;="&amp;DATE($B$3,12,31)))</f>
        <v/>
      </c>
      <c r="F13" s="21" t="str">
        <f aca="false">IF($A13="","",SUMPRODUCT((직원목록!$A$3:$A$302&lt;&gt;"")*(COUNTIFS(이수내역!$B$3:$B$2002,직원목록!$A$3:$A$302,이수내역!$D$3:$D$2002,$A13,이수내역!$A$3:$A$2002,"&gt;="&amp;DATE($B$3,1,1),이수내역!$A$3:$A$2002,"&lt;="&amp;DATE($B$3,12,31))&gt;0)))</f>
        <v/>
      </c>
      <c r="G13" s="27" t="str">
        <f aca="false">IF($A13="","",SUMIFS(이수내역!$F$3:$F$2002,이수내역!$D$3:$D$2002,$A13,이수내역!$A$3:$A$2002,"&gt;="&amp;DATE($B$3,1,1),이수내역!$A$3:$A$2002,"&lt;="&amp;DATE($B$3,12,31)))</f>
        <v/>
      </c>
      <c r="H13" s="21" t="str">
        <f aca="false">IF($A13="","",SUMPRODUCT((이수현황!$D$6:$D$485=$A13)*((이수현황!$J$6:$J$485="기한초과")+(이수현황!$J$6:$J$485="임박"))))</f>
        <v/>
      </c>
    </row>
    <row r="14" customFormat="false" ht="15" hidden="false" customHeight="true" outlineLevel="0" collapsed="false">
      <c r="A14" s="20" t="str">
        <f aca="false">IF(교육과정!$A11="","",교육과정!$A11)</f>
        <v/>
      </c>
      <c r="B14" s="20" t="str">
        <f aca="false">IF($A14="","",교육과정!$B11)</f>
        <v/>
      </c>
      <c r="C14" s="20" t="str">
        <f aca="false">IF($A14="","",교육과정!$E11)</f>
        <v/>
      </c>
      <c r="D14" s="21" t="str">
        <f aca="false">IF($A14="","",교육과정!$C11)</f>
        <v/>
      </c>
      <c r="E14" s="21" t="str">
        <f aca="false">IF($A14="","",COUNTIFS(이수내역!$D$3:$D$2002,$A14,이수내역!$A$3:$A$2002,"&gt;="&amp;DATE($B$3,1,1),이수내역!$A$3:$A$2002,"&lt;="&amp;DATE($B$3,12,31)))</f>
        <v/>
      </c>
      <c r="F14" s="21" t="str">
        <f aca="false">IF($A14="","",SUMPRODUCT((직원목록!$A$3:$A$302&lt;&gt;"")*(COUNTIFS(이수내역!$B$3:$B$2002,직원목록!$A$3:$A$302,이수내역!$D$3:$D$2002,$A14,이수내역!$A$3:$A$2002,"&gt;="&amp;DATE($B$3,1,1),이수내역!$A$3:$A$2002,"&lt;="&amp;DATE($B$3,12,31))&gt;0)))</f>
        <v/>
      </c>
      <c r="G14" s="27" t="str">
        <f aca="false">IF($A14="","",SUMIFS(이수내역!$F$3:$F$2002,이수내역!$D$3:$D$2002,$A14,이수내역!$A$3:$A$2002,"&gt;="&amp;DATE($B$3,1,1),이수내역!$A$3:$A$2002,"&lt;="&amp;DATE($B$3,12,31)))</f>
        <v/>
      </c>
      <c r="H14" s="21" t="str">
        <f aca="false">IF($A14="","",SUMPRODUCT((이수현황!$D$6:$D$485=$A14)*((이수현황!$J$6:$J$485="기한초과")+(이수현황!$J$6:$J$485="임박"))))</f>
        <v/>
      </c>
    </row>
    <row r="15" customFormat="false" ht="15" hidden="false" customHeight="true" outlineLevel="0" collapsed="false">
      <c r="A15" s="20" t="str">
        <f aca="false">IF(교육과정!$A12="","",교육과정!$A12)</f>
        <v/>
      </c>
      <c r="B15" s="20" t="str">
        <f aca="false">IF($A15="","",교육과정!$B12)</f>
        <v/>
      </c>
      <c r="C15" s="20" t="str">
        <f aca="false">IF($A15="","",교육과정!$E12)</f>
        <v/>
      </c>
      <c r="D15" s="21" t="str">
        <f aca="false">IF($A15="","",교육과정!$C12)</f>
        <v/>
      </c>
      <c r="E15" s="21" t="str">
        <f aca="false">IF($A15="","",COUNTIFS(이수내역!$D$3:$D$2002,$A15,이수내역!$A$3:$A$2002,"&gt;="&amp;DATE($B$3,1,1),이수내역!$A$3:$A$2002,"&lt;="&amp;DATE($B$3,12,31)))</f>
        <v/>
      </c>
      <c r="F15" s="21" t="str">
        <f aca="false">IF($A15="","",SUMPRODUCT((직원목록!$A$3:$A$302&lt;&gt;"")*(COUNTIFS(이수내역!$B$3:$B$2002,직원목록!$A$3:$A$302,이수내역!$D$3:$D$2002,$A15,이수내역!$A$3:$A$2002,"&gt;="&amp;DATE($B$3,1,1),이수내역!$A$3:$A$2002,"&lt;="&amp;DATE($B$3,12,31))&gt;0)))</f>
        <v/>
      </c>
      <c r="G15" s="27" t="str">
        <f aca="false">IF($A15="","",SUMIFS(이수내역!$F$3:$F$2002,이수내역!$D$3:$D$2002,$A15,이수내역!$A$3:$A$2002,"&gt;="&amp;DATE($B$3,1,1),이수내역!$A$3:$A$2002,"&lt;="&amp;DATE($B$3,12,31)))</f>
        <v/>
      </c>
      <c r="H15" s="21" t="str">
        <f aca="false">IF($A15="","",SUMPRODUCT((이수현황!$D$6:$D$485=$A15)*((이수현황!$J$6:$J$485="기한초과")+(이수현황!$J$6:$J$485="임박"))))</f>
        <v/>
      </c>
    </row>
    <row r="16" customFormat="false" ht="15" hidden="false" customHeight="true" outlineLevel="0" collapsed="false">
      <c r="A16" s="20" t="str">
        <f aca="false">IF(교육과정!$A13="","",교육과정!$A13)</f>
        <v/>
      </c>
      <c r="B16" s="20" t="str">
        <f aca="false">IF($A16="","",교육과정!$B13)</f>
        <v/>
      </c>
      <c r="C16" s="20" t="str">
        <f aca="false">IF($A16="","",교육과정!$E13)</f>
        <v/>
      </c>
      <c r="D16" s="21" t="str">
        <f aca="false">IF($A16="","",교육과정!$C13)</f>
        <v/>
      </c>
      <c r="E16" s="21" t="str">
        <f aca="false">IF($A16="","",COUNTIFS(이수내역!$D$3:$D$2002,$A16,이수내역!$A$3:$A$2002,"&gt;="&amp;DATE($B$3,1,1),이수내역!$A$3:$A$2002,"&lt;="&amp;DATE($B$3,12,31)))</f>
        <v/>
      </c>
      <c r="F16" s="21" t="str">
        <f aca="false">IF($A16="","",SUMPRODUCT((직원목록!$A$3:$A$302&lt;&gt;"")*(COUNTIFS(이수내역!$B$3:$B$2002,직원목록!$A$3:$A$302,이수내역!$D$3:$D$2002,$A16,이수내역!$A$3:$A$2002,"&gt;="&amp;DATE($B$3,1,1),이수내역!$A$3:$A$2002,"&lt;="&amp;DATE($B$3,12,31))&gt;0)))</f>
        <v/>
      </c>
      <c r="G16" s="27" t="str">
        <f aca="false">IF($A16="","",SUMIFS(이수내역!$F$3:$F$2002,이수내역!$D$3:$D$2002,$A16,이수내역!$A$3:$A$2002,"&gt;="&amp;DATE($B$3,1,1),이수내역!$A$3:$A$2002,"&lt;="&amp;DATE($B$3,12,31)))</f>
        <v/>
      </c>
      <c r="H16" s="21" t="str">
        <f aca="false">IF($A16="","",SUMPRODUCT((이수현황!$D$6:$D$485=$A16)*((이수현황!$J$6:$J$485="기한초과")+(이수현황!$J$6:$J$485="임박"))))</f>
        <v/>
      </c>
    </row>
    <row r="17" customFormat="false" ht="15" hidden="false" customHeight="true" outlineLevel="0" collapsed="false">
      <c r="A17" s="20" t="str">
        <f aca="false">IF(교육과정!$A14="","",교육과정!$A14)</f>
        <v/>
      </c>
      <c r="B17" s="20" t="str">
        <f aca="false">IF($A17="","",교육과정!$B14)</f>
        <v/>
      </c>
      <c r="C17" s="20" t="str">
        <f aca="false">IF($A17="","",교육과정!$E14)</f>
        <v/>
      </c>
      <c r="D17" s="21" t="str">
        <f aca="false">IF($A17="","",교육과정!$C14)</f>
        <v/>
      </c>
      <c r="E17" s="21" t="str">
        <f aca="false">IF($A17="","",COUNTIFS(이수내역!$D$3:$D$2002,$A17,이수내역!$A$3:$A$2002,"&gt;="&amp;DATE($B$3,1,1),이수내역!$A$3:$A$2002,"&lt;="&amp;DATE($B$3,12,31)))</f>
        <v/>
      </c>
      <c r="F17" s="21" t="str">
        <f aca="false">IF($A17="","",SUMPRODUCT((직원목록!$A$3:$A$302&lt;&gt;"")*(COUNTIFS(이수내역!$B$3:$B$2002,직원목록!$A$3:$A$302,이수내역!$D$3:$D$2002,$A17,이수내역!$A$3:$A$2002,"&gt;="&amp;DATE($B$3,1,1),이수내역!$A$3:$A$2002,"&lt;="&amp;DATE($B$3,12,31))&gt;0)))</f>
        <v/>
      </c>
      <c r="G17" s="27" t="str">
        <f aca="false">IF($A17="","",SUMIFS(이수내역!$F$3:$F$2002,이수내역!$D$3:$D$2002,$A17,이수내역!$A$3:$A$2002,"&gt;="&amp;DATE($B$3,1,1),이수내역!$A$3:$A$2002,"&lt;="&amp;DATE($B$3,12,31)))</f>
        <v/>
      </c>
      <c r="H17" s="21" t="str">
        <f aca="false">IF($A17="","",SUMPRODUCT((이수현황!$D$6:$D$485=$A17)*((이수현황!$J$6:$J$485="기한초과")+(이수현황!$J$6:$J$485="임박"))))</f>
        <v/>
      </c>
    </row>
    <row r="18" customFormat="false" ht="15" hidden="false" customHeight="true" outlineLevel="0" collapsed="false">
      <c r="A18" s="20" t="str">
        <f aca="false">IF(교육과정!$A15="","",교육과정!$A15)</f>
        <v/>
      </c>
      <c r="B18" s="20" t="str">
        <f aca="false">IF($A18="","",교육과정!$B15)</f>
        <v/>
      </c>
      <c r="C18" s="20" t="str">
        <f aca="false">IF($A18="","",교육과정!$E15)</f>
        <v/>
      </c>
      <c r="D18" s="21" t="str">
        <f aca="false">IF($A18="","",교육과정!$C15)</f>
        <v/>
      </c>
      <c r="E18" s="21" t="str">
        <f aca="false">IF($A18="","",COUNTIFS(이수내역!$D$3:$D$2002,$A18,이수내역!$A$3:$A$2002,"&gt;="&amp;DATE($B$3,1,1),이수내역!$A$3:$A$2002,"&lt;="&amp;DATE($B$3,12,31)))</f>
        <v/>
      </c>
      <c r="F18" s="21" t="str">
        <f aca="false">IF($A18="","",SUMPRODUCT((직원목록!$A$3:$A$302&lt;&gt;"")*(COUNTIFS(이수내역!$B$3:$B$2002,직원목록!$A$3:$A$302,이수내역!$D$3:$D$2002,$A18,이수내역!$A$3:$A$2002,"&gt;="&amp;DATE($B$3,1,1),이수내역!$A$3:$A$2002,"&lt;="&amp;DATE($B$3,12,31))&gt;0)))</f>
        <v/>
      </c>
      <c r="G18" s="27" t="str">
        <f aca="false">IF($A18="","",SUMIFS(이수내역!$F$3:$F$2002,이수내역!$D$3:$D$2002,$A18,이수내역!$A$3:$A$2002,"&gt;="&amp;DATE($B$3,1,1),이수내역!$A$3:$A$2002,"&lt;="&amp;DATE($B$3,12,31)))</f>
        <v/>
      </c>
      <c r="H18" s="21" t="str">
        <f aca="false">IF($A18="","",SUMPRODUCT((이수현황!$D$6:$D$485=$A18)*((이수현황!$J$6:$J$485="기한초과")+(이수현황!$J$6:$J$485="임박"))))</f>
        <v/>
      </c>
    </row>
    <row r="19" customFormat="false" ht="15" hidden="false" customHeight="true" outlineLevel="0" collapsed="false">
      <c r="A19" s="20" t="str">
        <f aca="false">IF(교육과정!$A16="","",교육과정!$A16)</f>
        <v/>
      </c>
      <c r="B19" s="20" t="str">
        <f aca="false">IF($A19="","",교육과정!$B16)</f>
        <v/>
      </c>
      <c r="C19" s="20" t="str">
        <f aca="false">IF($A19="","",교육과정!$E16)</f>
        <v/>
      </c>
      <c r="D19" s="21" t="str">
        <f aca="false">IF($A19="","",교육과정!$C16)</f>
        <v/>
      </c>
      <c r="E19" s="21" t="str">
        <f aca="false">IF($A19="","",COUNTIFS(이수내역!$D$3:$D$2002,$A19,이수내역!$A$3:$A$2002,"&gt;="&amp;DATE($B$3,1,1),이수내역!$A$3:$A$2002,"&lt;="&amp;DATE($B$3,12,31)))</f>
        <v/>
      </c>
      <c r="F19" s="21" t="str">
        <f aca="false">IF($A19="","",SUMPRODUCT((직원목록!$A$3:$A$302&lt;&gt;"")*(COUNTIFS(이수내역!$B$3:$B$2002,직원목록!$A$3:$A$302,이수내역!$D$3:$D$2002,$A19,이수내역!$A$3:$A$2002,"&gt;="&amp;DATE($B$3,1,1),이수내역!$A$3:$A$2002,"&lt;="&amp;DATE($B$3,12,31))&gt;0)))</f>
        <v/>
      </c>
      <c r="G19" s="27" t="str">
        <f aca="false">IF($A19="","",SUMIFS(이수내역!$F$3:$F$2002,이수내역!$D$3:$D$2002,$A19,이수내역!$A$3:$A$2002,"&gt;="&amp;DATE($B$3,1,1),이수내역!$A$3:$A$2002,"&lt;="&amp;DATE($B$3,12,31)))</f>
        <v/>
      </c>
      <c r="H19" s="21" t="str">
        <f aca="false">IF($A19="","",SUMPRODUCT((이수현황!$D$6:$D$485=$A19)*((이수현황!$J$6:$J$485="기한초과")+(이수현황!$J$6:$J$485="임박"))))</f>
        <v/>
      </c>
    </row>
    <row r="20" customFormat="false" ht="15" hidden="false" customHeight="true" outlineLevel="0" collapsed="false">
      <c r="A20" s="20" t="str">
        <f aca="false">IF(교육과정!$A17="","",교육과정!$A17)</f>
        <v/>
      </c>
      <c r="B20" s="20" t="str">
        <f aca="false">IF($A20="","",교육과정!$B17)</f>
        <v/>
      </c>
      <c r="C20" s="20" t="str">
        <f aca="false">IF($A20="","",교육과정!$E17)</f>
        <v/>
      </c>
      <c r="D20" s="21" t="str">
        <f aca="false">IF($A20="","",교육과정!$C17)</f>
        <v/>
      </c>
      <c r="E20" s="21" t="str">
        <f aca="false">IF($A20="","",COUNTIFS(이수내역!$D$3:$D$2002,$A20,이수내역!$A$3:$A$2002,"&gt;="&amp;DATE($B$3,1,1),이수내역!$A$3:$A$2002,"&lt;="&amp;DATE($B$3,12,31)))</f>
        <v/>
      </c>
      <c r="F20" s="21" t="str">
        <f aca="false">IF($A20="","",SUMPRODUCT((직원목록!$A$3:$A$302&lt;&gt;"")*(COUNTIFS(이수내역!$B$3:$B$2002,직원목록!$A$3:$A$302,이수내역!$D$3:$D$2002,$A20,이수내역!$A$3:$A$2002,"&gt;="&amp;DATE($B$3,1,1),이수내역!$A$3:$A$2002,"&lt;="&amp;DATE($B$3,12,31))&gt;0)))</f>
        <v/>
      </c>
      <c r="G20" s="27" t="str">
        <f aca="false">IF($A20="","",SUMIFS(이수내역!$F$3:$F$2002,이수내역!$D$3:$D$2002,$A20,이수내역!$A$3:$A$2002,"&gt;="&amp;DATE($B$3,1,1),이수내역!$A$3:$A$2002,"&lt;="&amp;DATE($B$3,12,31)))</f>
        <v/>
      </c>
      <c r="H20" s="21" t="str">
        <f aca="false">IF($A20="","",SUMPRODUCT((이수현황!$D$6:$D$485=$A20)*((이수현황!$J$6:$J$485="기한초과")+(이수현황!$J$6:$J$485="임박"))))</f>
        <v/>
      </c>
    </row>
    <row r="21" customFormat="false" ht="15" hidden="false" customHeight="true" outlineLevel="0" collapsed="false">
      <c r="A21" s="20" t="str">
        <f aca="false">IF(교육과정!$A18="","",교육과정!$A18)</f>
        <v/>
      </c>
      <c r="B21" s="20" t="str">
        <f aca="false">IF($A21="","",교육과정!$B18)</f>
        <v/>
      </c>
      <c r="C21" s="20" t="str">
        <f aca="false">IF($A21="","",교육과정!$E18)</f>
        <v/>
      </c>
      <c r="D21" s="21" t="str">
        <f aca="false">IF($A21="","",교육과정!$C18)</f>
        <v/>
      </c>
      <c r="E21" s="21" t="str">
        <f aca="false">IF($A21="","",COUNTIFS(이수내역!$D$3:$D$2002,$A21,이수내역!$A$3:$A$2002,"&gt;="&amp;DATE($B$3,1,1),이수내역!$A$3:$A$2002,"&lt;="&amp;DATE($B$3,12,31)))</f>
        <v/>
      </c>
      <c r="F21" s="21" t="str">
        <f aca="false">IF($A21="","",SUMPRODUCT((직원목록!$A$3:$A$302&lt;&gt;"")*(COUNTIFS(이수내역!$B$3:$B$2002,직원목록!$A$3:$A$302,이수내역!$D$3:$D$2002,$A21,이수내역!$A$3:$A$2002,"&gt;="&amp;DATE($B$3,1,1),이수내역!$A$3:$A$2002,"&lt;="&amp;DATE($B$3,12,31))&gt;0)))</f>
        <v/>
      </c>
      <c r="G21" s="27" t="str">
        <f aca="false">IF($A21="","",SUMIFS(이수내역!$F$3:$F$2002,이수내역!$D$3:$D$2002,$A21,이수내역!$A$3:$A$2002,"&gt;="&amp;DATE($B$3,1,1),이수내역!$A$3:$A$2002,"&lt;="&amp;DATE($B$3,12,31)))</f>
        <v/>
      </c>
      <c r="H21" s="21" t="str">
        <f aca="false">IF($A21="","",SUMPRODUCT((이수현황!$D$6:$D$485=$A21)*((이수현황!$J$6:$J$485="기한초과")+(이수현황!$J$6:$J$485="임박"))))</f>
        <v/>
      </c>
    </row>
    <row r="22" customFormat="false" ht="15" hidden="false" customHeight="true" outlineLevel="0" collapsed="false">
      <c r="A22" s="20" t="str">
        <f aca="false">IF(교육과정!$A19="","",교육과정!$A19)</f>
        <v/>
      </c>
      <c r="B22" s="20" t="str">
        <f aca="false">IF($A22="","",교육과정!$B19)</f>
        <v/>
      </c>
      <c r="C22" s="20" t="str">
        <f aca="false">IF($A22="","",교육과정!$E19)</f>
        <v/>
      </c>
      <c r="D22" s="21" t="str">
        <f aca="false">IF($A22="","",교육과정!$C19)</f>
        <v/>
      </c>
      <c r="E22" s="21" t="str">
        <f aca="false">IF($A22="","",COUNTIFS(이수내역!$D$3:$D$2002,$A22,이수내역!$A$3:$A$2002,"&gt;="&amp;DATE($B$3,1,1),이수내역!$A$3:$A$2002,"&lt;="&amp;DATE($B$3,12,31)))</f>
        <v/>
      </c>
      <c r="F22" s="21" t="str">
        <f aca="false">IF($A22="","",SUMPRODUCT((직원목록!$A$3:$A$302&lt;&gt;"")*(COUNTIFS(이수내역!$B$3:$B$2002,직원목록!$A$3:$A$302,이수내역!$D$3:$D$2002,$A22,이수내역!$A$3:$A$2002,"&gt;="&amp;DATE($B$3,1,1),이수내역!$A$3:$A$2002,"&lt;="&amp;DATE($B$3,12,31))&gt;0)))</f>
        <v/>
      </c>
      <c r="G22" s="27" t="str">
        <f aca="false">IF($A22="","",SUMIFS(이수내역!$F$3:$F$2002,이수내역!$D$3:$D$2002,$A22,이수내역!$A$3:$A$2002,"&gt;="&amp;DATE($B$3,1,1),이수내역!$A$3:$A$2002,"&lt;="&amp;DATE($B$3,12,31)))</f>
        <v/>
      </c>
      <c r="H22" s="21" t="str">
        <f aca="false">IF($A22="","",SUMPRODUCT((이수현황!$D$6:$D$485=$A22)*((이수현황!$J$6:$J$485="기한초과")+(이수현황!$J$6:$J$485="임박"))))</f>
        <v/>
      </c>
    </row>
    <row r="23" customFormat="false" ht="15" hidden="false" customHeight="true" outlineLevel="0" collapsed="false">
      <c r="A23" s="20" t="str">
        <f aca="false">IF(교육과정!$A20="","",교육과정!$A20)</f>
        <v/>
      </c>
      <c r="B23" s="20" t="str">
        <f aca="false">IF($A23="","",교육과정!$B20)</f>
        <v/>
      </c>
      <c r="C23" s="20" t="str">
        <f aca="false">IF($A23="","",교육과정!$E20)</f>
        <v/>
      </c>
      <c r="D23" s="21" t="str">
        <f aca="false">IF($A23="","",교육과정!$C20)</f>
        <v/>
      </c>
      <c r="E23" s="21" t="str">
        <f aca="false">IF($A23="","",COUNTIFS(이수내역!$D$3:$D$2002,$A23,이수내역!$A$3:$A$2002,"&gt;="&amp;DATE($B$3,1,1),이수내역!$A$3:$A$2002,"&lt;="&amp;DATE($B$3,12,31)))</f>
        <v/>
      </c>
      <c r="F23" s="21" t="str">
        <f aca="false">IF($A23="","",SUMPRODUCT((직원목록!$A$3:$A$302&lt;&gt;"")*(COUNTIFS(이수내역!$B$3:$B$2002,직원목록!$A$3:$A$302,이수내역!$D$3:$D$2002,$A23,이수내역!$A$3:$A$2002,"&gt;="&amp;DATE($B$3,1,1),이수내역!$A$3:$A$2002,"&lt;="&amp;DATE($B$3,12,31))&gt;0)))</f>
        <v/>
      </c>
      <c r="G23" s="27" t="str">
        <f aca="false">IF($A23="","",SUMIFS(이수내역!$F$3:$F$2002,이수내역!$D$3:$D$2002,$A23,이수내역!$A$3:$A$2002,"&gt;="&amp;DATE($B$3,1,1),이수내역!$A$3:$A$2002,"&lt;="&amp;DATE($B$3,12,31)))</f>
        <v/>
      </c>
      <c r="H23" s="21" t="str">
        <f aca="false">IF($A23="","",SUMPRODUCT((이수현황!$D$6:$D$485=$A23)*((이수현황!$J$6:$J$485="기한초과")+(이수현황!$J$6:$J$485="임박"))))</f>
        <v/>
      </c>
    </row>
    <row r="24" customFormat="false" ht="15" hidden="false" customHeight="true" outlineLevel="0" collapsed="false">
      <c r="A24" s="20" t="str">
        <f aca="false">IF(교육과정!$A21="","",교육과정!$A21)</f>
        <v/>
      </c>
      <c r="B24" s="20" t="str">
        <f aca="false">IF($A24="","",교육과정!$B21)</f>
        <v/>
      </c>
      <c r="C24" s="20" t="str">
        <f aca="false">IF($A24="","",교육과정!$E21)</f>
        <v/>
      </c>
      <c r="D24" s="21" t="str">
        <f aca="false">IF($A24="","",교육과정!$C21)</f>
        <v/>
      </c>
      <c r="E24" s="21" t="str">
        <f aca="false">IF($A24="","",COUNTIFS(이수내역!$D$3:$D$2002,$A24,이수내역!$A$3:$A$2002,"&gt;="&amp;DATE($B$3,1,1),이수내역!$A$3:$A$2002,"&lt;="&amp;DATE($B$3,12,31)))</f>
        <v/>
      </c>
      <c r="F24" s="21" t="str">
        <f aca="false">IF($A24="","",SUMPRODUCT((직원목록!$A$3:$A$302&lt;&gt;"")*(COUNTIFS(이수내역!$B$3:$B$2002,직원목록!$A$3:$A$302,이수내역!$D$3:$D$2002,$A24,이수내역!$A$3:$A$2002,"&gt;="&amp;DATE($B$3,1,1),이수내역!$A$3:$A$2002,"&lt;="&amp;DATE($B$3,12,31))&gt;0)))</f>
        <v/>
      </c>
      <c r="G24" s="27" t="str">
        <f aca="false">IF($A24="","",SUMIFS(이수내역!$F$3:$F$2002,이수내역!$D$3:$D$2002,$A24,이수내역!$A$3:$A$2002,"&gt;="&amp;DATE($B$3,1,1),이수내역!$A$3:$A$2002,"&lt;="&amp;DATE($B$3,12,31)))</f>
        <v/>
      </c>
      <c r="H24" s="21" t="str">
        <f aca="false">IF($A24="","",SUMPRODUCT((이수현황!$D$6:$D$485=$A24)*((이수현황!$J$6:$J$485="기한초과")+(이수현황!$J$6:$J$485="임박"))))</f>
        <v/>
      </c>
    </row>
    <row r="25" customFormat="false" ht="15" hidden="false" customHeight="true" outlineLevel="0" collapsed="false">
      <c r="A25" s="20" t="str">
        <f aca="false">IF(교육과정!$A22="","",교육과정!$A22)</f>
        <v/>
      </c>
      <c r="B25" s="20" t="str">
        <f aca="false">IF($A25="","",교육과정!$B22)</f>
        <v/>
      </c>
      <c r="C25" s="20" t="str">
        <f aca="false">IF($A25="","",교육과정!$E22)</f>
        <v/>
      </c>
      <c r="D25" s="21" t="str">
        <f aca="false">IF($A25="","",교육과정!$C22)</f>
        <v/>
      </c>
      <c r="E25" s="21" t="str">
        <f aca="false">IF($A25="","",COUNTIFS(이수내역!$D$3:$D$2002,$A25,이수내역!$A$3:$A$2002,"&gt;="&amp;DATE($B$3,1,1),이수내역!$A$3:$A$2002,"&lt;="&amp;DATE($B$3,12,31)))</f>
        <v/>
      </c>
      <c r="F25" s="21" t="str">
        <f aca="false">IF($A25="","",SUMPRODUCT((직원목록!$A$3:$A$302&lt;&gt;"")*(COUNTIFS(이수내역!$B$3:$B$2002,직원목록!$A$3:$A$302,이수내역!$D$3:$D$2002,$A25,이수내역!$A$3:$A$2002,"&gt;="&amp;DATE($B$3,1,1),이수내역!$A$3:$A$2002,"&lt;="&amp;DATE($B$3,12,31))&gt;0)))</f>
        <v/>
      </c>
      <c r="G25" s="27" t="str">
        <f aca="false">IF($A25="","",SUMIFS(이수내역!$F$3:$F$2002,이수내역!$D$3:$D$2002,$A25,이수내역!$A$3:$A$2002,"&gt;="&amp;DATE($B$3,1,1),이수내역!$A$3:$A$2002,"&lt;="&amp;DATE($B$3,12,31)))</f>
        <v/>
      </c>
      <c r="H25" s="21" t="str">
        <f aca="false">IF($A25="","",SUMPRODUCT((이수현황!$D$6:$D$485=$A25)*((이수현황!$J$6:$J$485="기한초과")+(이수현황!$J$6:$J$485="임박"))))</f>
        <v/>
      </c>
    </row>
    <row r="26" customFormat="false" ht="15" hidden="false" customHeight="true" outlineLevel="0" collapsed="false">
      <c r="A26" s="20" t="str">
        <f aca="false">IF(교육과정!$A23="","",교육과정!$A23)</f>
        <v/>
      </c>
      <c r="B26" s="20" t="str">
        <f aca="false">IF($A26="","",교육과정!$B23)</f>
        <v/>
      </c>
      <c r="C26" s="20" t="str">
        <f aca="false">IF($A26="","",교육과정!$E23)</f>
        <v/>
      </c>
      <c r="D26" s="21" t="str">
        <f aca="false">IF($A26="","",교육과정!$C23)</f>
        <v/>
      </c>
      <c r="E26" s="21" t="str">
        <f aca="false">IF($A26="","",COUNTIFS(이수내역!$D$3:$D$2002,$A26,이수내역!$A$3:$A$2002,"&gt;="&amp;DATE($B$3,1,1),이수내역!$A$3:$A$2002,"&lt;="&amp;DATE($B$3,12,31)))</f>
        <v/>
      </c>
      <c r="F26" s="21" t="str">
        <f aca="false">IF($A26="","",SUMPRODUCT((직원목록!$A$3:$A$302&lt;&gt;"")*(COUNTIFS(이수내역!$B$3:$B$2002,직원목록!$A$3:$A$302,이수내역!$D$3:$D$2002,$A26,이수내역!$A$3:$A$2002,"&gt;="&amp;DATE($B$3,1,1),이수내역!$A$3:$A$2002,"&lt;="&amp;DATE($B$3,12,31))&gt;0)))</f>
        <v/>
      </c>
      <c r="G26" s="27" t="str">
        <f aca="false">IF($A26="","",SUMIFS(이수내역!$F$3:$F$2002,이수내역!$D$3:$D$2002,$A26,이수내역!$A$3:$A$2002,"&gt;="&amp;DATE($B$3,1,1),이수내역!$A$3:$A$2002,"&lt;="&amp;DATE($B$3,12,31)))</f>
        <v/>
      </c>
      <c r="H26" s="21" t="str">
        <f aca="false">IF($A26="","",SUMPRODUCT((이수현황!$D$6:$D$485=$A26)*((이수현황!$J$6:$J$485="기한초과")+(이수현황!$J$6:$J$485="임박"))))</f>
        <v/>
      </c>
    </row>
    <row r="27" customFormat="false" ht="15" hidden="false" customHeight="true" outlineLevel="0" collapsed="false">
      <c r="A27" s="20" t="str">
        <f aca="false">IF(교육과정!$A24="","",교육과정!$A24)</f>
        <v/>
      </c>
      <c r="B27" s="20" t="str">
        <f aca="false">IF($A27="","",교육과정!$B24)</f>
        <v/>
      </c>
      <c r="C27" s="20" t="str">
        <f aca="false">IF($A27="","",교육과정!$E24)</f>
        <v/>
      </c>
      <c r="D27" s="21" t="str">
        <f aca="false">IF($A27="","",교육과정!$C24)</f>
        <v/>
      </c>
      <c r="E27" s="21" t="str">
        <f aca="false">IF($A27="","",COUNTIFS(이수내역!$D$3:$D$2002,$A27,이수내역!$A$3:$A$2002,"&gt;="&amp;DATE($B$3,1,1),이수내역!$A$3:$A$2002,"&lt;="&amp;DATE($B$3,12,31)))</f>
        <v/>
      </c>
      <c r="F27" s="21" t="str">
        <f aca="false">IF($A27="","",SUMPRODUCT((직원목록!$A$3:$A$302&lt;&gt;"")*(COUNTIFS(이수내역!$B$3:$B$2002,직원목록!$A$3:$A$302,이수내역!$D$3:$D$2002,$A27,이수내역!$A$3:$A$2002,"&gt;="&amp;DATE($B$3,1,1),이수내역!$A$3:$A$2002,"&lt;="&amp;DATE($B$3,12,31))&gt;0)))</f>
        <v/>
      </c>
      <c r="G27" s="27" t="str">
        <f aca="false">IF($A27="","",SUMIFS(이수내역!$F$3:$F$2002,이수내역!$D$3:$D$2002,$A27,이수내역!$A$3:$A$2002,"&gt;="&amp;DATE($B$3,1,1),이수내역!$A$3:$A$2002,"&lt;="&amp;DATE($B$3,12,31)))</f>
        <v/>
      </c>
      <c r="H27" s="21" t="str">
        <f aca="false">IF($A27="","",SUMPRODUCT((이수현황!$D$6:$D$485=$A27)*((이수현황!$J$6:$J$485="기한초과")+(이수현황!$J$6:$J$485="임박"))))</f>
        <v/>
      </c>
    </row>
    <row r="28" customFormat="false" ht="15" hidden="false" customHeight="true" outlineLevel="0" collapsed="false">
      <c r="A28" s="20" t="str">
        <f aca="false">IF(교육과정!$A25="","",교육과정!$A25)</f>
        <v/>
      </c>
      <c r="B28" s="20" t="str">
        <f aca="false">IF($A28="","",교육과정!$B25)</f>
        <v/>
      </c>
      <c r="C28" s="20" t="str">
        <f aca="false">IF($A28="","",교육과정!$E25)</f>
        <v/>
      </c>
      <c r="D28" s="21" t="str">
        <f aca="false">IF($A28="","",교육과정!$C25)</f>
        <v/>
      </c>
      <c r="E28" s="21" t="str">
        <f aca="false">IF($A28="","",COUNTIFS(이수내역!$D$3:$D$2002,$A28,이수내역!$A$3:$A$2002,"&gt;="&amp;DATE($B$3,1,1),이수내역!$A$3:$A$2002,"&lt;="&amp;DATE($B$3,12,31)))</f>
        <v/>
      </c>
      <c r="F28" s="21" t="str">
        <f aca="false">IF($A28="","",SUMPRODUCT((직원목록!$A$3:$A$302&lt;&gt;"")*(COUNTIFS(이수내역!$B$3:$B$2002,직원목록!$A$3:$A$302,이수내역!$D$3:$D$2002,$A28,이수내역!$A$3:$A$2002,"&gt;="&amp;DATE($B$3,1,1),이수내역!$A$3:$A$2002,"&lt;="&amp;DATE($B$3,12,31))&gt;0)))</f>
        <v/>
      </c>
      <c r="G28" s="27" t="str">
        <f aca="false">IF($A28="","",SUMIFS(이수내역!$F$3:$F$2002,이수내역!$D$3:$D$2002,$A28,이수내역!$A$3:$A$2002,"&gt;="&amp;DATE($B$3,1,1),이수내역!$A$3:$A$2002,"&lt;="&amp;DATE($B$3,12,31)))</f>
        <v/>
      </c>
      <c r="H28" s="21" t="str">
        <f aca="false">IF($A28="","",SUMPRODUCT((이수현황!$D$6:$D$485=$A28)*((이수현황!$J$6:$J$485="기한초과")+(이수현황!$J$6:$J$485="임박"))))</f>
        <v/>
      </c>
    </row>
    <row r="29" customFormat="false" ht="15" hidden="false" customHeight="true" outlineLevel="0" collapsed="false">
      <c r="A29" s="20" t="str">
        <f aca="false">IF(교육과정!$A26="","",교육과정!$A26)</f>
        <v/>
      </c>
      <c r="B29" s="20" t="str">
        <f aca="false">IF($A29="","",교육과정!$B26)</f>
        <v/>
      </c>
      <c r="C29" s="20" t="str">
        <f aca="false">IF($A29="","",교육과정!$E26)</f>
        <v/>
      </c>
      <c r="D29" s="21" t="str">
        <f aca="false">IF($A29="","",교육과정!$C26)</f>
        <v/>
      </c>
      <c r="E29" s="21" t="str">
        <f aca="false">IF($A29="","",COUNTIFS(이수내역!$D$3:$D$2002,$A29,이수내역!$A$3:$A$2002,"&gt;="&amp;DATE($B$3,1,1),이수내역!$A$3:$A$2002,"&lt;="&amp;DATE($B$3,12,31)))</f>
        <v/>
      </c>
      <c r="F29" s="21" t="str">
        <f aca="false">IF($A29="","",SUMPRODUCT((직원목록!$A$3:$A$302&lt;&gt;"")*(COUNTIFS(이수내역!$B$3:$B$2002,직원목록!$A$3:$A$302,이수내역!$D$3:$D$2002,$A29,이수내역!$A$3:$A$2002,"&gt;="&amp;DATE($B$3,1,1),이수내역!$A$3:$A$2002,"&lt;="&amp;DATE($B$3,12,31))&gt;0)))</f>
        <v/>
      </c>
      <c r="G29" s="27" t="str">
        <f aca="false">IF($A29="","",SUMIFS(이수내역!$F$3:$F$2002,이수내역!$D$3:$D$2002,$A29,이수내역!$A$3:$A$2002,"&gt;="&amp;DATE($B$3,1,1),이수내역!$A$3:$A$2002,"&lt;="&amp;DATE($B$3,12,31)))</f>
        <v/>
      </c>
      <c r="H29" s="21" t="str">
        <f aca="false">IF($A29="","",SUMPRODUCT((이수현황!$D$6:$D$485=$A29)*((이수현황!$J$6:$J$485="기한초과")+(이수현황!$J$6:$J$485="임박"))))</f>
        <v/>
      </c>
    </row>
    <row r="30" customFormat="false" ht="15" hidden="false" customHeight="true" outlineLevel="0" collapsed="false">
      <c r="A30" s="20" t="str">
        <f aca="false">IF(교육과정!$A27="","",교육과정!$A27)</f>
        <v/>
      </c>
      <c r="B30" s="20" t="str">
        <f aca="false">IF($A30="","",교육과정!$B27)</f>
        <v/>
      </c>
      <c r="C30" s="20" t="str">
        <f aca="false">IF($A30="","",교육과정!$E27)</f>
        <v/>
      </c>
      <c r="D30" s="21" t="str">
        <f aca="false">IF($A30="","",교육과정!$C27)</f>
        <v/>
      </c>
      <c r="E30" s="21" t="str">
        <f aca="false">IF($A30="","",COUNTIFS(이수내역!$D$3:$D$2002,$A30,이수내역!$A$3:$A$2002,"&gt;="&amp;DATE($B$3,1,1),이수내역!$A$3:$A$2002,"&lt;="&amp;DATE($B$3,12,31)))</f>
        <v/>
      </c>
      <c r="F30" s="21" t="str">
        <f aca="false">IF($A30="","",SUMPRODUCT((직원목록!$A$3:$A$302&lt;&gt;"")*(COUNTIFS(이수내역!$B$3:$B$2002,직원목록!$A$3:$A$302,이수내역!$D$3:$D$2002,$A30,이수내역!$A$3:$A$2002,"&gt;="&amp;DATE($B$3,1,1),이수내역!$A$3:$A$2002,"&lt;="&amp;DATE($B$3,12,31))&gt;0)))</f>
        <v/>
      </c>
      <c r="G30" s="27" t="str">
        <f aca="false">IF($A30="","",SUMIFS(이수내역!$F$3:$F$2002,이수내역!$D$3:$D$2002,$A30,이수내역!$A$3:$A$2002,"&gt;="&amp;DATE($B$3,1,1),이수내역!$A$3:$A$2002,"&lt;="&amp;DATE($B$3,12,31)))</f>
        <v/>
      </c>
      <c r="H30" s="21" t="str">
        <f aca="false">IF($A30="","",SUMPRODUCT((이수현황!$D$6:$D$485=$A30)*((이수현황!$J$6:$J$485="기한초과")+(이수현황!$J$6:$J$485="임박"))))</f>
        <v/>
      </c>
    </row>
    <row r="31" customFormat="false" ht="15" hidden="false" customHeight="true" outlineLevel="0" collapsed="false">
      <c r="A31" s="20" t="str">
        <f aca="false">IF(교육과정!$A28="","",교육과정!$A28)</f>
        <v/>
      </c>
      <c r="B31" s="20" t="str">
        <f aca="false">IF($A31="","",교육과정!$B28)</f>
        <v/>
      </c>
      <c r="C31" s="20" t="str">
        <f aca="false">IF($A31="","",교육과정!$E28)</f>
        <v/>
      </c>
      <c r="D31" s="21" t="str">
        <f aca="false">IF($A31="","",교육과정!$C28)</f>
        <v/>
      </c>
      <c r="E31" s="21" t="str">
        <f aca="false">IF($A31="","",COUNTIFS(이수내역!$D$3:$D$2002,$A31,이수내역!$A$3:$A$2002,"&gt;="&amp;DATE($B$3,1,1),이수내역!$A$3:$A$2002,"&lt;="&amp;DATE($B$3,12,31)))</f>
        <v/>
      </c>
      <c r="F31" s="21" t="str">
        <f aca="false">IF($A31="","",SUMPRODUCT((직원목록!$A$3:$A$302&lt;&gt;"")*(COUNTIFS(이수내역!$B$3:$B$2002,직원목록!$A$3:$A$302,이수내역!$D$3:$D$2002,$A31,이수내역!$A$3:$A$2002,"&gt;="&amp;DATE($B$3,1,1),이수내역!$A$3:$A$2002,"&lt;="&amp;DATE($B$3,12,31))&gt;0)))</f>
        <v/>
      </c>
      <c r="G31" s="27" t="str">
        <f aca="false">IF($A31="","",SUMIFS(이수내역!$F$3:$F$2002,이수내역!$D$3:$D$2002,$A31,이수내역!$A$3:$A$2002,"&gt;="&amp;DATE($B$3,1,1),이수내역!$A$3:$A$2002,"&lt;="&amp;DATE($B$3,12,31)))</f>
        <v/>
      </c>
      <c r="H31" s="21" t="str">
        <f aca="false">IF($A31="","",SUMPRODUCT((이수현황!$D$6:$D$485=$A31)*((이수현황!$J$6:$J$485="기한초과")+(이수현황!$J$6:$J$485="임박"))))</f>
        <v/>
      </c>
    </row>
    <row r="32" customFormat="false" ht="15" hidden="false" customHeight="true" outlineLevel="0" collapsed="false">
      <c r="A32" s="20" t="str">
        <f aca="false">IF(교육과정!$A29="","",교육과정!$A29)</f>
        <v/>
      </c>
      <c r="B32" s="20" t="str">
        <f aca="false">IF($A32="","",교육과정!$B29)</f>
        <v/>
      </c>
      <c r="C32" s="20" t="str">
        <f aca="false">IF($A32="","",교육과정!$E29)</f>
        <v/>
      </c>
      <c r="D32" s="21" t="str">
        <f aca="false">IF($A32="","",교육과정!$C29)</f>
        <v/>
      </c>
      <c r="E32" s="21" t="str">
        <f aca="false">IF($A32="","",COUNTIFS(이수내역!$D$3:$D$2002,$A32,이수내역!$A$3:$A$2002,"&gt;="&amp;DATE($B$3,1,1),이수내역!$A$3:$A$2002,"&lt;="&amp;DATE($B$3,12,31)))</f>
        <v/>
      </c>
      <c r="F32" s="21" t="str">
        <f aca="false">IF($A32="","",SUMPRODUCT((직원목록!$A$3:$A$302&lt;&gt;"")*(COUNTIFS(이수내역!$B$3:$B$2002,직원목록!$A$3:$A$302,이수내역!$D$3:$D$2002,$A32,이수내역!$A$3:$A$2002,"&gt;="&amp;DATE($B$3,1,1),이수내역!$A$3:$A$2002,"&lt;="&amp;DATE($B$3,12,31))&gt;0)))</f>
        <v/>
      </c>
      <c r="G32" s="27" t="str">
        <f aca="false">IF($A32="","",SUMIFS(이수내역!$F$3:$F$2002,이수내역!$D$3:$D$2002,$A32,이수내역!$A$3:$A$2002,"&gt;="&amp;DATE($B$3,1,1),이수내역!$A$3:$A$2002,"&lt;="&amp;DATE($B$3,12,31)))</f>
        <v/>
      </c>
      <c r="H32" s="21" t="str">
        <f aca="false">IF($A32="","",SUMPRODUCT((이수현황!$D$6:$D$485=$A32)*((이수현황!$J$6:$J$485="기한초과")+(이수현황!$J$6:$J$485="임박"))))</f>
        <v/>
      </c>
    </row>
    <row r="33" customFormat="false" ht="15" hidden="false" customHeight="true" outlineLevel="0" collapsed="false">
      <c r="A33" s="20" t="str">
        <f aca="false">IF(교육과정!$A30="","",교육과정!$A30)</f>
        <v/>
      </c>
      <c r="B33" s="20" t="str">
        <f aca="false">IF($A33="","",교육과정!$B30)</f>
        <v/>
      </c>
      <c r="C33" s="20" t="str">
        <f aca="false">IF($A33="","",교육과정!$E30)</f>
        <v/>
      </c>
      <c r="D33" s="21" t="str">
        <f aca="false">IF($A33="","",교육과정!$C30)</f>
        <v/>
      </c>
      <c r="E33" s="21" t="str">
        <f aca="false">IF($A33="","",COUNTIFS(이수내역!$D$3:$D$2002,$A33,이수내역!$A$3:$A$2002,"&gt;="&amp;DATE($B$3,1,1),이수내역!$A$3:$A$2002,"&lt;="&amp;DATE($B$3,12,31)))</f>
        <v/>
      </c>
      <c r="F33" s="21" t="str">
        <f aca="false">IF($A33="","",SUMPRODUCT((직원목록!$A$3:$A$302&lt;&gt;"")*(COUNTIFS(이수내역!$B$3:$B$2002,직원목록!$A$3:$A$302,이수내역!$D$3:$D$2002,$A33,이수내역!$A$3:$A$2002,"&gt;="&amp;DATE($B$3,1,1),이수내역!$A$3:$A$2002,"&lt;="&amp;DATE($B$3,12,31))&gt;0)))</f>
        <v/>
      </c>
      <c r="G33" s="27" t="str">
        <f aca="false">IF($A33="","",SUMIFS(이수내역!$F$3:$F$2002,이수내역!$D$3:$D$2002,$A33,이수내역!$A$3:$A$2002,"&gt;="&amp;DATE($B$3,1,1),이수내역!$A$3:$A$2002,"&lt;="&amp;DATE($B$3,12,31)))</f>
        <v/>
      </c>
      <c r="H33" s="21" t="str">
        <f aca="false">IF($A33="","",SUMPRODUCT((이수현황!$D$6:$D$485=$A33)*((이수현황!$J$6:$J$485="기한초과")+(이수현황!$J$6:$J$485="임박"))))</f>
        <v/>
      </c>
    </row>
    <row r="34" customFormat="false" ht="15" hidden="false" customHeight="true" outlineLevel="0" collapsed="false">
      <c r="A34" s="20" t="str">
        <f aca="false">IF(교육과정!$A31="","",교육과정!$A31)</f>
        <v/>
      </c>
      <c r="B34" s="20" t="str">
        <f aca="false">IF($A34="","",교육과정!$B31)</f>
        <v/>
      </c>
      <c r="C34" s="20" t="str">
        <f aca="false">IF($A34="","",교육과정!$E31)</f>
        <v/>
      </c>
      <c r="D34" s="21" t="str">
        <f aca="false">IF($A34="","",교육과정!$C31)</f>
        <v/>
      </c>
      <c r="E34" s="21" t="str">
        <f aca="false">IF($A34="","",COUNTIFS(이수내역!$D$3:$D$2002,$A34,이수내역!$A$3:$A$2002,"&gt;="&amp;DATE($B$3,1,1),이수내역!$A$3:$A$2002,"&lt;="&amp;DATE($B$3,12,31)))</f>
        <v/>
      </c>
      <c r="F34" s="21" t="str">
        <f aca="false">IF($A34="","",SUMPRODUCT((직원목록!$A$3:$A$302&lt;&gt;"")*(COUNTIFS(이수내역!$B$3:$B$2002,직원목록!$A$3:$A$302,이수내역!$D$3:$D$2002,$A34,이수내역!$A$3:$A$2002,"&gt;="&amp;DATE($B$3,1,1),이수내역!$A$3:$A$2002,"&lt;="&amp;DATE($B$3,12,31))&gt;0)))</f>
        <v/>
      </c>
      <c r="G34" s="27" t="str">
        <f aca="false">IF($A34="","",SUMIFS(이수내역!$F$3:$F$2002,이수내역!$D$3:$D$2002,$A34,이수내역!$A$3:$A$2002,"&gt;="&amp;DATE($B$3,1,1),이수내역!$A$3:$A$2002,"&lt;="&amp;DATE($B$3,12,31)))</f>
        <v/>
      </c>
      <c r="H34" s="21" t="str">
        <f aca="false">IF($A34="","",SUMPRODUCT((이수현황!$D$6:$D$485=$A34)*((이수현황!$J$6:$J$485="기한초과")+(이수현황!$J$6:$J$485="임박"))))</f>
        <v/>
      </c>
    </row>
    <row r="35" customFormat="false" ht="15" hidden="false" customHeight="true" outlineLevel="0" collapsed="false">
      <c r="A35" s="20" t="str">
        <f aca="false">IF(교육과정!$A32="","",교육과정!$A32)</f>
        <v/>
      </c>
      <c r="B35" s="20" t="str">
        <f aca="false">IF($A35="","",교육과정!$B32)</f>
        <v/>
      </c>
      <c r="C35" s="20" t="str">
        <f aca="false">IF($A35="","",교육과정!$E32)</f>
        <v/>
      </c>
      <c r="D35" s="21" t="str">
        <f aca="false">IF($A35="","",교육과정!$C32)</f>
        <v/>
      </c>
      <c r="E35" s="21" t="str">
        <f aca="false">IF($A35="","",COUNTIFS(이수내역!$D$3:$D$2002,$A35,이수내역!$A$3:$A$2002,"&gt;="&amp;DATE($B$3,1,1),이수내역!$A$3:$A$2002,"&lt;="&amp;DATE($B$3,12,31)))</f>
        <v/>
      </c>
      <c r="F35" s="21" t="str">
        <f aca="false">IF($A35="","",SUMPRODUCT((직원목록!$A$3:$A$302&lt;&gt;"")*(COUNTIFS(이수내역!$B$3:$B$2002,직원목록!$A$3:$A$302,이수내역!$D$3:$D$2002,$A35,이수내역!$A$3:$A$2002,"&gt;="&amp;DATE($B$3,1,1),이수내역!$A$3:$A$2002,"&lt;="&amp;DATE($B$3,12,31))&gt;0)))</f>
        <v/>
      </c>
      <c r="G35" s="27" t="str">
        <f aca="false">IF($A35="","",SUMIFS(이수내역!$F$3:$F$2002,이수내역!$D$3:$D$2002,$A35,이수내역!$A$3:$A$2002,"&gt;="&amp;DATE($B$3,1,1),이수내역!$A$3:$A$2002,"&lt;="&amp;DATE($B$3,12,31)))</f>
        <v/>
      </c>
      <c r="H35" s="21" t="str">
        <f aca="false">IF($A35="","",SUMPRODUCT((이수현황!$D$6:$D$485=$A35)*((이수현황!$J$6:$J$485="기한초과")+(이수현황!$J$6:$J$485="임박"))))</f>
        <v/>
      </c>
    </row>
    <row r="36" customFormat="false" ht="15" hidden="false" customHeight="true" outlineLevel="0" collapsed="false">
      <c r="A36" s="20" t="str">
        <f aca="false">IF(교육과정!$A33="","",교육과정!$A33)</f>
        <v/>
      </c>
      <c r="B36" s="20" t="str">
        <f aca="false">IF($A36="","",교육과정!$B33)</f>
        <v/>
      </c>
      <c r="C36" s="20" t="str">
        <f aca="false">IF($A36="","",교육과정!$E33)</f>
        <v/>
      </c>
      <c r="D36" s="21" t="str">
        <f aca="false">IF($A36="","",교육과정!$C33)</f>
        <v/>
      </c>
      <c r="E36" s="21" t="str">
        <f aca="false">IF($A36="","",COUNTIFS(이수내역!$D$3:$D$2002,$A36,이수내역!$A$3:$A$2002,"&gt;="&amp;DATE($B$3,1,1),이수내역!$A$3:$A$2002,"&lt;="&amp;DATE($B$3,12,31)))</f>
        <v/>
      </c>
      <c r="F36" s="21" t="str">
        <f aca="false">IF($A36="","",SUMPRODUCT((직원목록!$A$3:$A$302&lt;&gt;"")*(COUNTIFS(이수내역!$B$3:$B$2002,직원목록!$A$3:$A$302,이수내역!$D$3:$D$2002,$A36,이수내역!$A$3:$A$2002,"&gt;="&amp;DATE($B$3,1,1),이수내역!$A$3:$A$2002,"&lt;="&amp;DATE($B$3,12,31))&gt;0)))</f>
        <v/>
      </c>
      <c r="G36" s="27" t="str">
        <f aca="false">IF($A36="","",SUMIFS(이수내역!$F$3:$F$2002,이수내역!$D$3:$D$2002,$A36,이수내역!$A$3:$A$2002,"&gt;="&amp;DATE($B$3,1,1),이수내역!$A$3:$A$2002,"&lt;="&amp;DATE($B$3,12,31)))</f>
        <v/>
      </c>
      <c r="H36" s="21" t="str">
        <f aca="false">IF($A36="","",SUMPRODUCT((이수현황!$D$6:$D$485=$A36)*((이수현황!$J$6:$J$485="기한초과")+(이수현황!$J$6:$J$485="임박"))))</f>
        <v/>
      </c>
    </row>
    <row r="37" customFormat="false" ht="15" hidden="false" customHeight="true" outlineLevel="0" collapsed="false">
      <c r="A37" s="20" t="str">
        <f aca="false">IF(교육과정!$A34="","",교육과정!$A34)</f>
        <v/>
      </c>
      <c r="B37" s="20" t="str">
        <f aca="false">IF($A37="","",교육과정!$B34)</f>
        <v/>
      </c>
      <c r="C37" s="20" t="str">
        <f aca="false">IF($A37="","",교육과정!$E34)</f>
        <v/>
      </c>
      <c r="D37" s="21" t="str">
        <f aca="false">IF($A37="","",교육과정!$C34)</f>
        <v/>
      </c>
      <c r="E37" s="21" t="str">
        <f aca="false">IF($A37="","",COUNTIFS(이수내역!$D$3:$D$2002,$A37,이수내역!$A$3:$A$2002,"&gt;="&amp;DATE($B$3,1,1),이수내역!$A$3:$A$2002,"&lt;="&amp;DATE($B$3,12,31)))</f>
        <v/>
      </c>
      <c r="F37" s="21" t="str">
        <f aca="false">IF($A37="","",SUMPRODUCT((직원목록!$A$3:$A$302&lt;&gt;"")*(COUNTIFS(이수내역!$B$3:$B$2002,직원목록!$A$3:$A$302,이수내역!$D$3:$D$2002,$A37,이수내역!$A$3:$A$2002,"&gt;="&amp;DATE($B$3,1,1),이수내역!$A$3:$A$2002,"&lt;="&amp;DATE($B$3,12,31))&gt;0)))</f>
        <v/>
      </c>
      <c r="G37" s="27" t="str">
        <f aca="false">IF($A37="","",SUMIFS(이수내역!$F$3:$F$2002,이수내역!$D$3:$D$2002,$A37,이수내역!$A$3:$A$2002,"&gt;="&amp;DATE($B$3,1,1),이수내역!$A$3:$A$2002,"&lt;="&amp;DATE($B$3,12,31)))</f>
        <v/>
      </c>
      <c r="H37" s="21" t="str">
        <f aca="false">IF($A37="","",SUMPRODUCT((이수현황!$D$6:$D$485=$A37)*((이수현황!$J$6:$J$485="기한초과")+(이수현황!$J$6:$J$485="임박"))))</f>
        <v/>
      </c>
    </row>
    <row r="38" customFormat="false" ht="15" hidden="false" customHeight="true" outlineLevel="0" collapsed="false">
      <c r="A38" s="20" t="str">
        <f aca="false">IF(교육과정!$A35="","",교육과정!$A35)</f>
        <v/>
      </c>
      <c r="B38" s="20" t="str">
        <f aca="false">IF($A38="","",교육과정!$B35)</f>
        <v/>
      </c>
      <c r="C38" s="20" t="str">
        <f aca="false">IF($A38="","",교육과정!$E35)</f>
        <v/>
      </c>
      <c r="D38" s="21" t="str">
        <f aca="false">IF($A38="","",교육과정!$C35)</f>
        <v/>
      </c>
      <c r="E38" s="21" t="str">
        <f aca="false">IF($A38="","",COUNTIFS(이수내역!$D$3:$D$2002,$A38,이수내역!$A$3:$A$2002,"&gt;="&amp;DATE($B$3,1,1),이수내역!$A$3:$A$2002,"&lt;="&amp;DATE($B$3,12,31)))</f>
        <v/>
      </c>
      <c r="F38" s="21" t="str">
        <f aca="false">IF($A38="","",SUMPRODUCT((직원목록!$A$3:$A$302&lt;&gt;"")*(COUNTIFS(이수내역!$B$3:$B$2002,직원목록!$A$3:$A$302,이수내역!$D$3:$D$2002,$A38,이수내역!$A$3:$A$2002,"&gt;="&amp;DATE($B$3,1,1),이수내역!$A$3:$A$2002,"&lt;="&amp;DATE($B$3,12,31))&gt;0)))</f>
        <v/>
      </c>
      <c r="G38" s="27" t="str">
        <f aca="false">IF($A38="","",SUMIFS(이수내역!$F$3:$F$2002,이수내역!$D$3:$D$2002,$A38,이수내역!$A$3:$A$2002,"&gt;="&amp;DATE($B$3,1,1),이수내역!$A$3:$A$2002,"&lt;="&amp;DATE($B$3,12,31)))</f>
        <v/>
      </c>
      <c r="H38" s="21" t="str">
        <f aca="false">IF($A38="","",SUMPRODUCT((이수현황!$D$6:$D$485=$A38)*((이수현황!$J$6:$J$485="기한초과")+(이수현황!$J$6:$J$485="임박"))))</f>
        <v/>
      </c>
    </row>
    <row r="39" customFormat="false" ht="15" hidden="false" customHeight="true" outlineLevel="0" collapsed="false">
      <c r="A39" s="20" t="str">
        <f aca="false">IF(교육과정!$A36="","",교육과정!$A36)</f>
        <v/>
      </c>
      <c r="B39" s="20" t="str">
        <f aca="false">IF($A39="","",교육과정!$B36)</f>
        <v/>
      </c>
      <c r="C39" s="20" t="str">
        <f aca="false">IF($A39="","",교육과정!$E36)</f>
        <v/>
      </c>
      <c r="D39" s="21" t="str">
        <f aca="false">IF($A39="","",교육과정!$C36)</f>
        <v/>
      </c>
      <c r="E39" s="21" t="str">
        <f aca="false">IF($A39="","",COUNTIFS(이수내역!$D$3:$D$2002,$A39,이수내역!$A$3:$A$2002,"&gt;="&amp;DATE($B$3,1,1),이수내역!$A$3:$A$2002,"&lt;="&amp;DATE($B$3,12,31)))</f>
        <v/>
      </c>
      <c r="F39" s="21" t="str">
        <f aca="false">IF($A39="","",SUMPRODUCT((직원목록!$A$3:$A$302&lt;&gt;"")*(COUNTIFS(이수내역!$B$3:$B$2002,직원목록!$A$3:$A$302,이수내역!$D$3:$D$2002,$A39,이수내역!$A$3:$A$2002,"&gt;="&amp;DATE($B$3,1,1),이수내역!$A$3:$A$2002,"&lt;="&amp;DATE($B$3,12,31))&gt;0)))</f>
        <v/>
      </c>
      <c r="G39" s="27" t="str">
        <f aca="false">IF($A39="","",SUMIFS(이수내역!$F$3:$F$2002,이수내역!$D$3:$D$2002,$A39,이수내역!$A$3:$A$2002,"&gt;="&amp;DATE($B$3,1,1),이수내역!$A$3:$A$2002,"&lt;="&amp;DATE($B$3,12,31)))</f>
        <v/>
      </c>
      <c r="H39" s="21" t="str">
        <f aca="false">IF($A39="","",SUMPRODUCT((이수현황!$D$6:$D$485=$A39)*((이수현황!$J$6:$J$485="기한초과")+(이수현황!$J$6:$J$485="임박"))))</f>
        <v/>
      </c>
    </row>
    <row r="40" customFormat="false" ht="15" hidden="false" customHeight="true" outlineLevel="0" collapsed="false">
      <c r="A40" s="20" t="str">
        <f aca="false">IF(교육과정!$A37="","",교육과정!$A37)</f>
        <v/>
      </c>
      <c r="B40" s="20" t="str">
        <f aca="false">IF($A40="","",교육과정!$B37)</f>
        <v/>
      </c>
      <c r="C40" s="20" t="str">
        <f aca="false">IF($A40="","",교육과정!$E37)</f>
        <v/>
      </c>
      <c r="D40" s="21" t="str">
        <f aca="false">IF($A40="","",교육과정!$C37)</f>
        <v/>
      </c>
      <c r="E40" s="21" t="str">
        <f aca="false">IF($A40="","",COUNTIFS(이수내역!$D$3:$D$2002,$A40,이수내역!$A$3:$A$2002,"&gt;="&amp;DATE($B$3,1,1),이수내역!$A$3:$A$2002,"&lt;="&amp;DATE($B$3,12,31)))</f>
        <v/>
      </c>
      <c r="F40" s="21" t="str">
        <f aca="false">IF($A40="","",SUMPRODUCT((직원목록!$A$3:$A$302&lt;&gt;"")*(COUNTIFS(이수내역!$B$3:$B$2002,직원목록!$A$3:$A$302,이수내역!$D$3:$D$2002,$A40,이수내역!$A$3:$A$2002,"&gt;="&amp;DATE($B$3,1,1),이수내역!$A$3:$A$2002,"&lt;="&amp;DATE($B$3,12,31))&gt;0)))</f>
        <v/>
      </c>
      <c r="G40" s="27" t="str">
        <f aca="false">IF($A40="","",SUMIFS(이수내역!$F$3:$F$2002,이수내역!$D$3:$D$2002,$A40,이수내역!$A$3:$A$2002,"&gt;="&amp;DATE($B$3,1,1),이수내역!$A$3:$A$2002,"&lt;="&amp;DATE($B$3,12,31)))</f>
        <v/>
      </c>
      <c r="H40" s="21" t="str">
        <f aca="false">IF($A40="","",SUMPRODUCT((이수현황!$D$6:$D$485=$A40)*((이수현황!$J$6:$J$485="기한초과")+(이수현황!$J$6:$J$485="임박"))))</f>
        <v/>
      </c>
    </row>
    <row r="41" customFormat="false" ht="15" hidden="false" customHeight="true" outlineLevel="0" collapsed="false">
      <c r="A41" s="20" t="str">
        <f aca="false">IF(교육과정!$A38="","",교육과정!$A38)</f>
        <v/>
      </c>
      <c r="B41" s="20" t="str">
        <f aca="false">IF($A41="","",교육과정!$B38)</f>
        <v/>
      </c>
      <c r="C41" s="20" t="str">
        <f aca="false">IF($A41="","",교육과정!$E38)</f>
        <v/>
      </c>
      <c r="D41" s="21" t="str">
        <f aca="false">IF($A41="","",교육과정!$C38)</f>
        <v/>
      </c>
      <c r="E41" s="21" t="str">
        <f aca="false">IF($A41="","",COUNTIFS(이수내역!$D$3:$D$2002,$A41,이수내역!$A$3:$A$2002,"&gt;="&amp;DATE($B$3,1,1),이수내역!$A$3:$A$2002,"&lt;="&amp;DATE($B$3,12,31)))</f>
        <v/>
      </c>
      <c r="F41" s="21" t="str">
        <f aca="false">IF($A41="","",SUMPRODUCT((직원목록!$A$3:$A$302&lt;&gt;"")*(COUNTIFS(이수내역!$B$3:$B$2002,직원목록!$A$3:$A$302,이수내역!$D$3:$D$2002,$A41,이수내역!$A$3:$A$2002,"&gt;="&amp;DATE($B$3,1,1),이수내역!$A$3:$A$2002,"&lt;="&amp;DATE($B$3,12,31))&gt;0)))</f>
        <v/>
      </c>
      <c r="G41" s="27" t="str">
        <f aca="false">IF($A41="","",SUMIFS(이수내역!$F$3:$F$2002,이수내역!$D$3:$D$2002,$A41,이수내역!$A$3:$A$2002,"&gt;="&amp;DATE($B$3,1,1),이수내역!$A$3:$A$2002,"&lt;="&amp;DATE($B$3,12,31)))</f>
        <v/>
      </c>
      <c r="H41" s="21" t="str">
        <f aca="false">IF($A41="","",SUMPRODUCT((이수현황!$D$6:$D$485=$A41)*((이수현황!$J$6:$J$485="기한초과")+(이수현황!$J$6:$J$485="임박"))))</f>
        <v/>
      </c>
    </row>
    <row r="42" customFormat="false" ht="15" hidden="false" customHeight="true" outlineLevel="0" collapsed="false">
      <c r="A42" s="20" t="str">
        <f aca="false">IF(교육과정!$A39="","",교육과정!$A39)</f>
        <v/>
      </c>
      <c r="B42" s="20" t="str">
        <f aca="false">IF($A42="","",교육과정!$B39)</f>
        <v/>
      </c>
      <c r="C42" s="20" t="str">
        <f aca="false">IF($A42="","",교육과정!$E39)</f>
        <v/>
      </c>
      <c r="D42" s="21" t="str">
        <f aca="false">IF($A42="","",교육과정!$C39)</f>
        <v/>
      </c>
      <c r="E42" s="21" t="str">
        <f aca="false">IF($A42="","",COUNTIFS(이수내역!$D$3:$D$2002,$A42,이수내역!$A$3:$A$2002,"&gt;="&amp;DATE($B$3,1,1),이수내역!$A$3:$A$2002,"&lt;="&amp;DATE($B$3,12,31)))</f>
        <v/>
      </c>
      <c r="F42" s="21" t="str">
        <f aca="false">IF($A42="","",SUMPRODUCT((직원목록!$A$3:$A$302&lt;&gt;"")*(COUNTIFS(이수내역!$B$3:$B$2002,직원목록!$A$3:$A$302,이수내역!$D$3:$D$2002,$A42,이수내역!$A$3:$A$2002,"&gt;="&amp;DATE($B$3,1,1),이수내역!$A$3:$A$2002,"&lt;="&amp;DATE($B$3,12,31))&gt;0)))</f>
        <v/>
      </c>
      <c r="G42" s="27" t="str">
        <f aca="false">IF($A42="","",SUMIFS(이수내역!$F$3:$F$2002,이수내역!$D$3:$D$2002,$A42,이수내역!$A$3:$A$2002,"&gt;="&amp;DATE($B$3,1,1),이수내역!$A$3:$A$2002,"&lt;="&amp;DATE($B$3,12,31)))</f>
        <v/>
      </c>
      <c r="H42" s="21" t="str">
        <f aca="false">IF($A42="","",SUMPRODUCT((이수현황!$D$6:$D$485=$A42)*((이수현황!$J$6:$J$485="기한초과")+(이수현황!$J$6:$J$485="임박"))))</f>
        <v/>
      </c>
    </row>
    <row r="43" customFormat="false" ht="15" hidden="false" customHeight="true" outlineLevel="0" collapsed="false">
      <c r="A43" s="20" t="str">
        <f aca="false">IF(교육과정!$A40="","",교육과정!$A40)</f>
        <v/>
      </c>
      <c r="B43" s="20" t="str">
        <f aca="false">IF($A43="","",교육과정!$B40)</f>
        <v/>
      </c>
      <c r="C43" s="20" t="str">
        <f aca="false">IF($A43="","",교육과정!$E40)</f>
        <v/>
      </c>
      <c r="D43" s="21" t="str">
        <f aca="false">IF($A43="","",교육과정!$C40)</f>
        <v/>
      </c>
      <c r="E43" s="21" t="str">
        <f aca="false">IF($A43="","",COUNTIFS(이수내역!$D$3:$D$2002,$A43,이수내역!$A$3:$A$2002,"&gt;="&amp;DATE($B$3,1,1),이수내역!$A$3:$A$2002,"&lt;="&amp;DATE($B$3,12,31)))</f>
        <v/>
      </c>
      <c r="F43" s="21" t="str">
        <f aca="false">IF($A43="","",SUMPRODUCT((직원목록!$A$3:$A$302&lt;&gt;"")*(COUNTIFS(이수내역!$B$3:$B$2002,직원목록!$A$3:$A$302,이수내역!$D$3:$D$2002,$A43,이수내역!$A$3:$A$2002,"&gt;="&amp;DATE($B$3,1,1),이수내역!$A$3:$A$2002,"&lt;="&amp;DATE($B$3,12,31))&gt;0)))</f>
        <v/>
      </c>
      <c r="G43" s="27" t="str">
        <f aca="false">IF($A43="","",SUMIFS(이수내역!$F$3:$F$2002,이수내역!$D$3:$D$2002,$A43,이수내역!$A$3:$A$2002,"&gt;="&amp;DATE($B$3,1,1),이수내역!$A$3:$A$2002,"&lt;="&amp;DATE($B$3,12,31)))</f>
        <v/>
      </c>
      <c r="H43" s="21" t="str">
        <f aca="false">IF($A43="","",SUMPRODUCT((이수현황!$D$6:$D$485=$A43)*((이수현황!$J$6:$J$485="기한초과")+(이수현황!$J$6:$J$485="임박"))))</f>
        <v/>
      </c>
    </row>
    <row r="44" customFormat="false" ht="15" hidden="false" customHeight="true" outlineLevel="0" collapsed="false">
      <c r="A44" s="20" t="str">
        <f aca="false">IF(교육과정!$A41="","",교육과정!$A41)</f>
        <v/>
      </c>
      <c r="B44" s="20" t="str">
        <f aca="false">IF($A44="","",교육과정!$B41)</f>
        <v/>
      </c>
      <c r="C44" s="20" t="str">
        <f aca="false">IF($A44="","",교육과정!$E41)</f>
        <v/>
      </c>
      <c r="D44" s="21" t="str">
        <f aca="false">IF($A44="","",교육과정!$C41)</f>
        <v/>
      </c>
      <c r="E44" s="21" t="str">
        <f aca="false">IF($A44="","",COUNTIFS(이수내역!$D$3:$D$2002,$A44,이수내역!$A$3:$A$2002,"&gt;="&amp;DATE($B$3,1,1),이수내역!$A$3:$A$2002,"&lt;="&amp;DATE($B$3,12,31)))</f>
        <v/>
      </c>
      <c r="F44" s="21" t="str">
        <f aca="false">IF($A44="","",SUMPRODUCT((직원목록!$A$3:$A$302&lt;&gt;"")*(COUNTIFS(이수내역!$B$3:$B$2002,직원목록!$A$3:$A$302,이수내역!$D$3:$D$2002,$A44,이수내역!$A$3:$A$2002,"&gt;="&amp;DATE($B$3,1,1),이수내역!$A$3:$A$2002,"&lt;="&amp;DATE($B$3,12,31))&gt;0)))</f>
        <v/>
      </c>
      <c r="G44" s="27" t="str">
        <f aca="false">IF($A44="","",SUMIFS(이수내역!$F$3:$F$2002,이수내역!$D$3:$D$2002,$A44,이수내역!$A$3:$A$2002,"&gt;="&amp;DATE($B$3,1,1),이수내역!$A$3:$A$2002,"&lt;="&amp;DATE($B$3,12,31)))</f>
        <v/>
      </c>
      <c r="H44" s="21" t="str">
        <f aca="false">IF($A44="","",SUMPRODUCT((이수현황!$D$6:$D$485=$A44)*((이수현황!$J$6:$J$485="기한초과")+(이수현황!$J$6:$J$485="임박"))))</f>
        <v/>
      </c>
    </row>
    <row r="45" customFormat="false" ht="15" hidden="false" customHeight="true" outlineLevel="0" collapsed="false">
      <c r="A45" s="20" t="str">
        <f aca="false">IF(교육과정!$A42="","",교육과정!$A42)</f>
        <v/>
      </c>
      <c r="B45" s="20" t="str">
        <f aca="false">IF($A45="","",교육과정!$B42)</f>
        <v/>
      </c>
      <c r="C45" s="20" t="str">
        <f aca="false">IF($A45="","",교육과정!$E42)</f>
        <v/>
      </c>
      <c r="D45" s="21" t="str">
        <f aca="false">IF($A45="","",교육과정!$C42)</f>
        <v/>
      </c>
      <c r="E45" s="21" t="str">
        <f aca="false">IF($A45="","",COUNTIFS(이수내역!$D$3:$D$2002,$A45,이수내역!$A$3:$A$2002,"&gt;="&amp;DATE($B$3,1,1),이수내역!$A$3:$A$2002,"&lt;="&amp;DATE($B$3,12,31)))</f>
        <v/>
      </c>
      <c r="F45" s="21" t="str">
        <f aca="false">IF($A45="","",SUMPRODUCT((직원목록!$A$3:$A$302&lt;&gt;"")*(COUNTIFS(이수내역!$B$3:$B$2002,직원목록!$A$3:$A$302,이수내역!$D$3:$D$2002,$A45,이수내역!$A$3:$A$2002,"&gt;="&amp;DATE($B$3,1,1),이수내역!$A$3:$A$2002,"&lt;="&amp;DATE($B$3,12,31))&gt;0)))</f>
        <v/>
      </c>
      <c r="G45" s="27" t="str">
        <f aca="false">IF($A45="","",SUMIFS(이수내역!$F$3:$F$2002,이수내역!$D$3:$D$2002,$A45,이수내역!$A$3:$A$2002,"&gt;="&amp;DATE($B$3,1,1),이수내역!$A$3:$A$2002,"&lt;="&amp;DATE($B$3,12,31)))</f>
        <v/>
      </c>
      <c r="H45" s="21" t="str">
        <f aca="false">IF($A45="","",SUMPRODUCT((이수현황!$D$6:$D$485=$A45)*((이수현황!$J$6:$J$485="기한초과")+(이수현황!$J$6:$J$485="임박"))))</f>
        <v/>
      </c>
    </row>
    <row r="46" customFormat="false" ht="15" hidden="false" customHeight="true" outlineLevel="0" collapsed="false">
      <c r="A46" s="20" t="str">
        <f aca="false">IF(교육과정!$A43="","",교육과정!$A43)</f>
        <v/>
      </c>
      <c r="B46" s="20" t="str">
        <f aca="false">IF($A46="","",교육과정!$B43)</f>
        <v/>
      </c>
      <c r="C46" s="20" t="str">
        <f aca="false">IF($A46="","",교육과정!$E43)</f>
        <v/>
      </c>
      <c r="D46" s="21" t="str">
        <f aca="false">IF($A46="","",교육과정!$C43)</f>
        <v/>
      </c>
      <c r="E46" s="21" t="str">
        <f aca="false">IF($A46="","",COUNTIFS(이수내역!$D$3:$D$2002,$A46,이수내역!$A$3:$A$2002,"&gt;="&amp;DATE($B$3,1,1),이수내역!$A$3:$A$2002,"&lt;="&amp;DATE($B$3,12,31)))</f>
        <v/>
      </c>
      <c r="F46" s="21" t="str">
        <f aca="false">IF($A46="","",SUMPRODUCT((직원목록!$A$3:$A$302&lt;&gt;"")*(COUNTIFS(이수내역!$B$3:$B$2002,직원목록!$A$3:$A$302,이수내역!$D$3:$D$2002,$A46,이수내역!$A$3:$A$2002,"&gt;="&amp;DATE($B$3,1,1),이수내역!$A$3:$A$2002,"&lt;="&amp;DATE($B$3,12,31))&gt;0)))</f>
        <v/>
      </c>
      <c r="G46" s="27" t="str">
        <f aca="false">IF($A46="","",SUMIFS(이수내역!$F$3:$F$2002,이수내역!$D$3:$D$2002,$A46,이수내역!$A$3:$A$2002,"&gt;="&amp;DATE($B$3,1,1),이수내역!$A$3:$A$2002,"&lt;="&amp;DATE($B$3,12,31)))</f>
        <v/>
      </c>
      <c r="H46" s="21" t="str">
        <f aca="false">IF($A46="","",SUMPRODUCT((이수현황!$D$6:$D$485=$A46)*((이수현황!$J$6:$J$485="기한초과")+(이수현황!$J$6:$J$485="임박"))))</f>
        <v/>
      </c>
    </row>
    <row r="47" customFormat="false" ht="15" hidden="false" customHeight="true" outlineLevel="0" collapsed="false">
      <c r="A47" s="20" t="str">
        <f aca="false">IF(교육과정!$A44="","",교육과정!$A44)</f>
        <v/>
      </c>
      <c r="B47" s="20" t="str">
        <f aca="false">IF($A47="","",교육과정!$B44)</f>
        <v/>
      </c>
      <c r="C47" s="20" t="str">
        <f aca="false">IF($A47="","",교육과정!$E44)</f>
        <v/>
      </c>
      <c r="D47" s="21" t="str">
        <f aca="false">IF($A47="","",교육과정!$C44)</f>
        <v/>
      </c>
      <c r="E47" s="21" t="str">
        <f aca="false">IF($A47="","",COUNTIFS(이수내역!$D$3:$D$2002,$A47,이수내역!$A$3:$A$2002,"&gt;="&amp;DATE($B$3,1,1),이수내역!$A$3:$A$2002,"&lt;="&amp;DATE($B$3,12,31)))</f>
        <v/>
      </c>
      <c r="F47" s="21" t="str">
        <f aca="false">IF($A47="","",SUMPRODUCT((직원목록!$A$3:$A$302&lt;&gt;"")*(COUNTIFS(이수내역!$B$3:$B$2002,직원목록!$A$3:$A$302,이수내역!$D$3:$D$2002,$A47,이수내역!$A$3:$A$2002,"&gt;="&amp;DATE($B$3,1,1),이수내역!$A$3:$A$2002,"&lt;="&amp;DATE($B$3,12,31))&gt;0)))</f>
        <v/>
      </c>
      <c r="G47" s="27" t="str">
        <f aca="false">IF($A47="","",SUMIFS(이수내역!$F$3:$F$2002,이수내역!$D$3:$D$2002,$A47,이수내역!$A$3:$A$2002,"&gt;="&amp;DATE($B$3,1,1),이수내역!$A$3:$A$2002,"&lt;="&amp;DATE($B$3,12,31)))</f>
        <v/>
      </c>
      <c r="H47" s="21" t="str">
        <f aca="false">IF($A47="","",SUMPRODUCT((이수현황!$D$6:$D$485=$A47)*((이수현황!$J$6:$J$485="기한초과")+(이수현황!$J$6:$J$485="임박"))))</f>
        <v/>
      </c>
    </row>
    <row r="48" customFormat="false" ht="15" hidden="false" customHeight="true" outlineLevel="0" collapsed="false">
      <c r="A48" s="20" t="str">
        <f aca="false">IF(교육과정!$A45="","",교육과정!$A45)</f>
        <v/>
      </c>
      <c r="B48" s="20" t="str">
        <f aca="false">IF($A48="","",교육과정!$B45)</f>
        <v/>
      </c>
      <c r="C48" s="20" t="str">
        <f aca="false">IF($A48="","",교육과정!$E45)</f>
        <v/>
      </c>
      <c r="D48" s="21" t="str">
        <f aca="false">IF($A48="","",교육과정!$C45)</f>
        <v/>
      </c>
      <c r="E48" s="21" t="str">
        <f aca="false">IF($A48="","",COUNTIFS(이수내역!$D$3:$D$2002,$A48,이수내역!$A$3:$A$2002,"&gt;="&amp;DATE($B$3,1,1),이수내역!$A$3:$A$2002,"&lt;="&amp;DATE($B$3,12,31)))</f>
        <v/>
      </c>
      <c r="F48" s="21" t="str">
        <f aca="false">IF($A48="","",SUMPRODUCT((직원목록!$A$3:$A$302&lt;&gt;"")*(COUNTIFS(이수내역!$B$3:$B$2002,직원목록!$A$3:$A$302,이수내역!$D$3:$D$2002,$A48,이수내역!$A$3:$A$2002,"&gt;="&amp;DATE($B$3,1,1),이수내역!$A$3:$A$2002,"&lt;="&amp;DATE($B$3,12,31))&gt;0)))</f>
        <v/>
      </c>
      <c r="G48" s="27" t="str">
        <f aca="false">IF($A48="","",SUMIFS(이수내역!$F$3:$F$2002,이수내역!$D$3:$D$2002,$A48,이수내역!$A$3:$A$2002,"&gt;="&amp;DATE($B$3,1,1),이수내역!$A$3:$A$2002,"&lt;="&amp;DATE($B$3,12,31)))</f>
        <v/>
      </c>
      <c r="H48" s="21" t="str">
        <f aca="false">IF($A48="","",SUMPRODUCT((이수현황!$D$6:$D$485=$A48)*((이수현황!$J$6:$J$485="기한초과")+(이수현황!$J$6:$J$485="임박"))))</f>
        <v/>
      </c>
    </row>
    <row r="49" customFormat="false" ht="15" hidden="false" customHeight="true" outlineLevel="0" collapsed="false">
      <c r="A49" s="20" t="str">
        <f aca="false">IF(교육과정!$A46="","",교육과정!$A46)</f>
        <v/>
      </c>
      <c r="B49" s="20" t="str">
        <f aca="false">IF($A49="","",교육과정!$B46)</f>
        <v/>
      </c>
      <c r="C49" s="20" t="str">
        <f aca="false">IF($A49="","",교육과정!$E46)</f>
        <v/>
      </c>
      <c r="D49" s="21" t="str">
        <f aca="false">IF($A49="","",교육과정!$C46)</f>
        <v/>
      </c>
      <c r="E49" s="21" t="str">
        <f aca="false">IF($A49="","",COUNTIFS(이수내역!$D$3:$D$2002,$A49,이수내역!$A$3:$A$2002,"&gt;="&amp;DATE($B$3,1,1),이수내역!$A$3:$A$2002,"&lt;="&amp;DATE($B$3,12,31)))</f>
        <v/>
      </c>
      <c r="F49" s="21" t="str">
        <f aca="false">IF($A49="","",SUMPRODUCT((직원목록!$A$3:$A$302&lt;&gt;"")*(COUNTIFS(이수내역!$B$3:$B$2002,직원목록!$A$3:$A$302,이수내역!$D$3:$D$2002,$A49,이수내역!$A$3:$A$2002,"&gt;="&amp;DATE($B$3,1,1),이수내역!$A$3:$A$2002,"&lt;="&amp;DATE($B$3,12,31))&gt;0)))</f>
        <v/>
      </c>
      <c r="G49" s="27" t="str">
        <f aca="false">IF($A49="","",SUMIFS(이수내역!$F$3:$F$2002,이수내역!$D$3:$D$2002,$A49,이수내역!$A$3:$A$2002,"&gt;="&amp;DATE($B$3,1,1),이수내역!$A$3:$A$2002,"&lt;="&amp;DATE($B$3,12,31)))</f>
        <v/>
      </c>
      <c r="H49" s="21" t="str">
        <f aca="false">IF($A49="","",SUMPRODUCT((이수현황!$D$6:$D$485=$A49)*((이수현황!$J$6:$J$485="기한초과")+(이수현황!$J$6:$J$485="임박"))))</f>
        <v/>
      </c>
    </row>
    <row r="50" customFormat="false" ht="15" hidden="false" customHeight="true" outlineLevel="0" collapsed="false">
      <c r="A50" s="20" t="str">
        <f aca="false">IF(교육과정!$A47="","",교육과정!$A47)</f>
        <v/>
      </c>
      <c r="B50" s="20" t="str">
        <f aca="false">IF($A50="","",교육과정!$B47)</f>
        <v/>
      </c>
      <c r="C50" s="20" t="str">
        <f aca="false">IF($A50="","",교육과정!$E47)</f>
        <v/>
      </c>
      <c r="D50" s="21" t="str">
        <f aca="false">IF($A50="","",교육과정!$C47)</f>
        <v/>
      </c>
      <c r="E50" s="21" t="str">
        <f aca="false">IF($A50="","",COUNTIFS(이수내역!$D$3:$D$2002,$A50,이수내역!$A$3:$A$2002,"&gt;="&amp;DATE($B$3,1,1),이수내역!$A$3:$A$2002,"&lt;="&amp;DATE($B$3,12,31)))</f>
        <v/>
      </c>
      <c r="F50" s="21" t="str">
        <f aca="false">IF($A50="","",SUMPRODUCT((직원목록!$A$3:$A$302&lt;&gt;"")*(COUNTIFS(이수내역!$B$3:$B$2002,직원목록!$A$3:$A$302,이수내역!$D$3:$D$2002,$A50,이수내역!$A$3:$A$2002,"&gt;="&amp;DATE($B$3,1,1),이수내역!$A$3:$A$2002,"&lt;="&amp;DATE($B$3,12,31))&gt;0)))</f>
        <v/>
      </c>
      <c r="G50" s="27" t="str">
        <f aca="false">IF($A50="","",SUMIFS(이수내역!$F$3:$F$2002,이수내역!$D$3:$D$2002,$A50,이수내역!$A$3:$A$2002,"&gt;="&amp;DATE($B$3,1,1),이수내역!$A$3:$A$2002,"&lt;="&amp;DATE($B$3,12,31)))</f>
        <v/>
      </c>
      <c r="H50" s="21" t="str">
        <f aca="false">IF($A50="","",SUMPRODUCT((이수현황!$D$6:$D$485=$A50)*((이수현황!$J$6:$J$485="기한초과")+(이수현황!$J$6:$J$485="임박"))))</f>
        <v/>
      </c>
    </row>
    <row r="51" customFormat="false" ht="15" hidden="false" customHeight="true" outlineLevel="0" collapsed="false">
      <c r="A51" s="20" t="str">
        <f aca="false">IF(교육과정!$A48="","",교육과정!$A48)</f>
        <v/>
      </c>
      <c r="B51" s="20" t="str">
        <f aca="false">IF($A51="","",교육과정!$B48)</f>
        <v/>
      </c>
      <c r="C51" s="20" t="str">
        <f aca="false">IF($A51="","",교육과정!$E48)</f>
        <v/>
      </c>
      <c r="D51" s="21" t="str">
        <f aca="false">IF($A51="","",교육과정!$C48)</f>
        <v/>
      </c>
      <c r="E51" s="21" t="str">
        <f aca="false">IF($A51="","",COUNTIFS(이수내역!$D$3:$D$2002,$A51,이수내역!$A$3:$A$2002,"&gt;="&amp;DATE($B$3,1,1),이수내역!$A$3:$A$2002,"&lt;="&amp;DATE($B$3,12,31)))</f>
        <v/>
      </c>
      <c r="F51" s="21" t="str">
        <f aca="false">IF($A51="","",SUMPRODUCT((직원목록!$A$3:$A$302&lt;&gt;"")*(COUNTIFS(이수내역!$B$3:$B$2002,직원목록!$A$3:$A$302,이수내역!$D$3:$D$2002,$A51,이수내역!$A$3:$A$2002,"&gt;="&amp;DATE($B$3,1,1),이수내역!$A$3:$A$2002,"&lt;="&amp;DATE($B$3,12,31))&gt;0)))</f>
        <v/>
      </c>
      <c r="G51" s="27" t="str">
        <f aca="false">IF($A51="","",SUMIFS(이수내역!$F$3:$F$2002,이수내역!$D$3:$D$2002,$A51,이수내역!$A$3:$A$2002,"&gt;="&amp;DATE($B$3,1,1),이수내역!$A$3:$A$2002,"&lt;="&amp;DATE($B$3,12,31)))</f>
        <v/>
      </c>
      <c r="H51" s="21" t="str">
        <f aca="false">IF($A51="","",SUMPRODUCT((이수현황!$D$6:$D$485=$A51)*((이수현황!$J$6:$J$485="기한초과")+(이수현황!$J$6:$J$485="임박"))))</f>
        <v/>
      </c>
    </row>
    <row r="52" customFormat="false" ht="15" hidden="false" customHeight="true" outlineLevel="0" collapsed="false">
      <c r="A52" s="20" t="str">
        <f aca="false">IF(교육과정!$A49="","",교육과정!$A49)</f>
        <v/>
      </c>
      <c r="B52" s="20" t="str">
        <f aca="false">IF($A52="","",교육과정!$B49)</f>
        <v/>
      </c>
      <c r="C52" s="20" t="str">
        <f aca="false">IF($A52="","",교육과정!$E49)</f>
        <v/>
      </c>
      <c r="D52" s="21" t="str">
        <f aca="false">IF($A52="","",교육과정!$C49)</f>
        <v/>
      </c>
      <c r="E52" s="21" t="str">
        <f aca="false">IF($A52="","",COUNTIFS(이수내역!$D$3:$D$2002,$A52,이수내역!$A$3:$A$2002,"&gt;="&amp;DATE($B$3,1,1),이수내역!$A$3:$A$2002,"&lt;="&amp;DATE($B$3,12,31)))</f>
        <v/>
      </c>
      <c r="F52" s="21" t="str">
        <f aca="false">IF($A52="","",SUMPRODUCT((직원목록!$A$3:$A$302&lt;&gt;"")*(COUNTIFS(이수내역!$B$3:$B$2002,직원목록!$A$3:$A$302,이수내역!$D$3:$D$2002,$A52,이수내역!$A$3:$A$2002,"&gt;="&amp;DATE($B$3,1,1),이수내역!$A$3:$A$2002,"&lt;="&amp;DATE($B$3,12,31))&gt;0)))</f>
        <v/>
      </c>
      <c r="G52" s="27" t="str">
        <f aca="false">IF($A52="","",SUMIFS(이수내역!$F$3:$F$2002,이수내역!$D$3:$D$2002,$A52,이수내역!$A$3:$A$2002,"&gt;="&amp;DATE($B$3,1,1),이수내역!$A$3:$A$2002,"&lt;="&amp;DATE($B$3,12,31)))</f>
        <v/>
      </c>
      <c r="H52" s="21" t="str">
        <f aca="false">IF($A52="","",SUMPRODUCT((이수현황!$D$6:$D$485=$A52)*((이수현황!$J$6:$J$485="기한초과")+(이수현황!$J$6:$J$485="임박"))))</f>
        <v/>
      </c>
    </row>
    <row r="53" customFormat="false" ht="15" hidden="false" customHeight="true" outlineLevel="0" collapsed="false">
      <c r="A53" s="20" t="str">
        <f aca="false">IF(교육과정!$A50="","",교육과정!$A50)</f>
        <v/>
      </c>
      <c r="B53" s="20" t="str">
        <f aca="false">IF($A53="","",교육과정!$B50)</f>
        <v/>
      </c>
      <c r="C53" s="20" t="str">
        <f aca="false">IF($A53="","",교육과정!$E50)</f>
        <v/>
      </c>
      <c r="D53" s="21" t="str">
        <f aca="false">IF($A53="","",교육과정!$C50)</f>
        <v/>
      </c>
      <c r="E53" s="21" t="str">
        <f aca="false">IF($A53="","",COUNTIFS(이수내역!$D$3:$D$2002,$A53,이수내역!$A$3:$A$2002,"&gt;="&amp;DATE($B$3,1,1),이수내역!$A$3:$A$2002,"&lt;="&amp;DATE($B$3,12,31)))</f>
        <v/>
      </c>
      <c r="F53" s="21" t="str">
        <f aca="false">IF($A53="","",SUMPRODUCT((직원목록!$A$3:$A$302&lt;&gt;"")*(COUNTIFS(이수내역!$B$3:$B$2002,직원목록!$A$3:$A$302,이수내역!$D$3:$D$2002,$A53,이수내역!$A$3:$A$2002,"&gt;="&amp;DATE($B$3,1,1),이수내역!$A$3:$A$2002,"&lt;="&amp;DATE($B$3,12,31))&gt;0)))</f>
        <v/>
      </c>
      <c r="G53" s="27" t="str">
        <f aca="false">IF($A53="","",SUMIFS(이수내역!$F$3:$F$2002,이수내역!$D$3:$D$2002,$A53,이수내역!$A$3:$A$2002,"&gt;="&amp;DATE($B$3,1,1),이수내역!$A$3:$A$2002,"&lt;="&amp;DATE($B$3,12,31)))</f>
        <v/>
      </c>
      <c r="H53" s="21" t="str">
        <f aca="false">IF($A53="","",SUMPRODUCT((이수현황!$D$6:$D$485=$A53)*((이수현황!$J$6:$J$485="기한초과")+(이수현황!$J$6:$J$485="임박"))))</f>
        <v/>
      </c>
    </row>
    <row r="54" customFormat="false" ht="15" hidden="false" customHeight="true" outlineLevel="0" collapsed="false">
      <c r="A54" s="20" t="str">
        <f aca="false">IF(교육과정!$A51="","",교육과정!$A51)</f>
        <v/>
      </c>
      <c r="B54" s="20" t="str">
        <f aca="false">IF($A54="","",교육과정!$B51)</f>
        <v/>
      </c>
      <c r="C54" s="20" t="str">
        <f aca="false">IF($A54="","",교육과정!$E51)</f>
        <v/>
      </c>
      <c r="D54" s="21" t="str">
        <f aca="false">IF($A54="","",교육과정!$C51)</f>
        <v/>
      </c>
      <c r="E54" s="21" t="str">
        <f aca="false">IF($A54="","",COUNTIFS(이수내역!$D$3:$D$2002,$A54,이수내역!$A$3:$A$2002,"&gt;="&amp;DATE($B$3,1,1),이수내역!$A$3:$A$2002,"&lt;="&amp;DATE($B$3,12,31)))</f>
        <v/>
      </c>
      <c r="F54" s="21" t="str">
        <f aca="false">IF($A54="","",SUMPRODUCT((직원목록!$A$3:$A$302&lt;&gt;"")*(COUNTIFS(이수내역!$B$3:$B$2002,직원목록!$A$3:$A$302,이수내역!$D$3:$D$2002,$A54,이수내역!$A$3:$A$2002,"&gt;="&amp;DATE($B$3,1,1),이수내역!$A$3:$A$2002,"&lt;="&amp;DATE($B$3,12,31))&gt;0)))</f>
        <v/>
      </c>
      <c r="G54" s="27" t="str">
        <f aca="false">IF($A54="","",SUMIFS(이수내역!$F$3:$F$2002,이수내역!$D$3:$D$2002,$A54,이수내역!$A$3:$A$2002,"&gt;="&amp;DATE($B$3,1,1),이수내역!$A$3:$A$2002,"&lt;="&amp;DATE($B$3,12,31)))</f>
        <v/>
      </c>
      <c r="H54" s="21" t="str">
        <f aca="false">IF($A54="","",SUMPRODUCT((이수현황!$D$6:$D$485=$A54)*((이수현황!$J$6:$J$485="기한초과")+(이수현황!$J$6:$J$485="임박"))))</f>
        <v/>
      </c>
    </row>
    <row r="55" customFormat="false" ht="15" hidden="false" customHeight="true" outlineLevel="0" collapsed="false">
      <c r="A55" s="20" t="str">
        <f aca="false">IF(교육과정!$A52="","",교육과정!$A52)</f>
        <v/>
      </c>
      <c r="B55" s="20" t="str">
        <f aca="false">IF($A55="","",교육과정!$B52)</f>
        <v/>
      </c>
      <c r="C55" s="20" t="str">
        <f aca="false">IF($A55="","",교육과정!$E52)</f>
        <v/>
      </c>
      <c r="D55" s="21" t="str">
        <f aca="false">IF($A55="","",교육과정!$C52)</f>
        <v/>
      </c>
      <c r="E55" s="21" t="str">
        <f aca="false">IF($A55="","",COUNTIFS(이수내역!$D$3:$D$2002,$A55,이수내역!$A$3:$A$2002,"&gt;="&amp;DATE($B$3,1,1),이수내역!$A$3:$A$2002,"&lt;="&amp;DATE($B$3,12,31)))</f>
        <v/>
      </c>
      <c r="F55" s="21" t="str">
        <f aca="false">IF($A55="","",SUMPRODUCT((직원목록!$A$3:$A$302&lt;&gt;"")*(COUNTIFS(이수내역!$B$3:$B$2002,직원목록!$A$3:$A$302,이수내역!$D$3:$D$2002,$A55,이수내역!$A$3:$A$2002,"&gt;="&amp;DATE($B$3,1,1),이수내역!$A$3:$A$2002,"&lt;="&amp;DATE($B$3,12,31))&gt;0)))</f>
        <v/>
      </c>
      <c r="G55" s="27" t="str">
        <f aca="false">IF($A55="","",SUMIFS(이수내역!$F$3:$F$2002,이수내역!$D$3:$D$2002,$A55,이수내역!$A$3:$A$2002,"&gt;="&amp;DATE($B$3,1,1),이수내역!$A$3:$A$2002,"&lt;="&amp;DATE($B$3,12,31)))</f>
        <v/>
      </c>
      <c r="H55" s="21" t="str">
        <f aca="false">IF($A55="","",SUMPRODUCT((이수현황!$D$6:$D$485=$A55)*((이수현황!$J$6:$J$485="기한초과")+(이수현황!$J$6:$J$485="임박"))))</f>
        <v/>
      </c>
    </row>
    <row r="56" customFormat="false" ht="15" hidden="false" customHeight="true" outlineLevel="0" collapsed="false">
      <c r="A56" s="20" t="str">
        <f aca="false">IF(교육과정!$A53="","",교육과정!$A53)</f>
        <v/>
      </c>
      <c r="B56" s="20" t="str">
        <f aca="false">IF($A56="","",교육과정!$B53)</f>
        <v/>
      </c>
      <c r="C56" s="20" t="str">
        <f aca="false">IF($A56="","",교육과정!$E53)</f>
        <v/>
      </c>
      <c r="D56" s="21" t="str">
        <f aca="false">IF($A56="","",교육과정!$C53)</f>
        <v/>
      </c>
      <c r="E56" s="21" t="str">
        <f aca="false">IF($A56="","",COUNTIFS(이수내역!$D$3:$D$2002,$A56,이수내역!$A$3:$A$2002,"&gt;="&amp;DATE($B$3,1,1),이수내역!$A$3:$A$2002,"&lt;="&amp;DATE($B$3,12,31)))</f>
        <v/>
      </c>
      <c r="F56" s="21" t="str">
        <f aca="false">IF($A56="","",SUMPRODUCT((직원목록!$A$3:$A$302&lt;&gt;"")*(COUNTIFS(이수내역!$B$3:$B$2002,직원목록!$A$3:$A$302,이수내역!$D$3:$D$2002,$A56,이수내역!$A$3:$A$2002,"&gt;="&amp;DATE($B$3,1,1),이수내역!$A$3:$A$2002,"&lt;="&amp;DATE($B$3,12,31))&gt;0)))</f>
        <v/>
      </c>
      <c r="G56" s="27" t="str">
        <f aca="false">IF($A56="","",SUMIFS(이수내역!$F$3:$F$2002,이수내역!$D$3:$D$2002,$A56,이수내역!$A$3:$A$2002,"&gt;="&amp;DATE($B$3,1,1),이수내역!$A$3:$A$2002,"&lt;="&amp;DATE($B$3,12,31)))</f>
        <v/>
      </c>
      <c r="H56" s="21" t="str">
        <f aca="false">IF($A56="","",SUMPRODUCT((이수현황!$D$6:$D$485=$A56)*((이수현황!$J$6:$J$485="기한초과")+(이수현황!$J$6:$J$485="임박"))))</f>
        <v/>
      </c>
    </row>
    <row r="57" customFormat="false" ht="15" hidden="false" customHeight="true" outlineLevel="0" collapsed="false">
      <c r="A57" s="20" t="str">
        <f aca="false">IF(교육과정!$A54="","",교육과정!$A54)</f>
        <v/>
      </c>
      <c r="B57" s="20" t="str">
        <f aca="false">IF($A57="","",교육과정!$B54)</f>
        <v/>
      </c>
      <c r="C57" s="20" t="str">
        <f aca="false">IF($A57="","",교육과정!$E54)</f>
        <v/>
      </c>
      <c r="D57" s="21" t="str">
        <f aca="false">IF($A57="","",교육과정!$C54)</f>
        <v/>
      </c>
      <c r="E57" s="21" t="str">
        <f aca="false">IF($A57="","",COUNTIFS(이수내역!$D$3:$D$2002,$A57,이수내역!$A$3:$A$2002,"&gt;="&amp;DATE($B$3,1,1),이수내역!$A$3:$A$2002,"&lt;="&amp;DATE($B$3,12,31)))</f>
        <v/>
      </c>
      <c r="F57" s="21" t="str">
        <f aca="false">IF($A57="","",SUMPRODUCT((직원목록!$A$3:$A$302&lt;&gt;"")*(COUNTIFS(이수내역!$B$3:$B$2002,직원목록!$A$3:$A$302,이수내역!$D$3:$D$2002,$A57,이수내역!$A$3:$A$2002,"&gt;="&amp;DATE($B$3,1,1),이수내역!$A$3:$A$2002,"&lt;="&amp;DATE($B$3,12,31))&gt;0)))</f>
        <v/>
      </c>
      <c r="G57" s="27" t="str">
        <f aca="false">IF($A57="","",SUMIFS(이수내역!$F$3:$F$2002,이수내역!$D$3:$D$2002,$A57,이수내역!$A$3:$A$2002,"&gt;="&amp;DATE($B$3,1,1),이수내역!$A$3:$A$2002,"&lt;="&amp;DATE($B$3,12,31)))</f>
        <v/>
      </c>
      <c r="H57" s="21" t="str">
        <f aca="false">IF($A57="","",SUMPRODUCT((이수현황!$D$6:$D$485=$A57)*((이수현황!$J$6:$J$485="기한초과")+(이수현황!$J$6:$J$485="임박"))))</f>
        <v/>
      </c>
    </row>
    <row r="58" customFormat="false" ht="15" hidden="false" customHeight="true" outlineLevel="0" collapsed="false">
      <c r="A58" s="20" t="str">
        <f aca="false">IF(교육과정!$A55="","",교육과정!$A55)</f>
        <v/>
      </c>
      <c r="B58" s="20" t="str">
        <f aca="false">IF($A58="","",교육과정!$B55)</f>
        <v/>
      </c>
      <c r="C58" s="20" t="str">
        <f aca="false">IF($A58="","",교육과정!$E55)</f>
        <v/>
      </c>
      <c r="D58" s="21" t="str">
        <f aca="false">IF($A58="","",교육과정!$C55)</f>
        <v/>
      </c>
      <c r="E58" s="21" t="str">
        <f aca="false">IF($A58="","",COUNTIFS(이수내역!$D$3:$D$2002,$A58,이수내역!$A$3:$A$2002,"&gt;="&amp;DATE($B$3,1,1),이수내역!$A$3:$A$2002,"&lt;="&amp;DATE($B$3,12,31)))</f>
        <v/>
      </c>
      <c r="F58" s="21" t="str">
        <f aca="false">IF($A58="","",SUMPRODUCT((직원목록!$A$3:$A$302&lt;&gt;"")*(COUNTIFS(이수내역!$B$3:$B$2002,직원목록!$A$3:$A$302,이수내역!$D$3:$D$2002,$A58,이수내역!$A$3:$A$2002,"&gt;="&amp;DATE($B$3,1,1),이수내역!$A$3:$A$2002,"&lt;="&amp;DATE($B$3,12,31))&gt;0)))</f>
        <v/>
      </c>
      <c r="G58" s="27" t="str">
        <f aca="false">IF($A58="","",SUMIFS(이수내역!$F$3:$F$2002,이수내역!$D$3:$D$2002,$A58,이수내역!$A$3:$A$2002,"&gt;="&amp;DATE($B$3,1,1),이수내역!$A$3:$A$2002,"&lt;="&amp;DATE($B$3,12,31)))</f>
        <v/>
      </c>
      <c r="H58" s="21" t="str">
        <f aca="false">IF($A58="","",SUMPRODUCT((이수현황!$D$6:$D$485=$A58)*((이수현황!$J$6:$J$485="기한초과")+(이수현황!$J$6:$J$485="임박"))))</f>
        <v/>
      </c>
    </row>
    <row r="59" customFormat="false" ht="15" hidden="false" customHeight="true" outlineLevel="0" collapsed="false">
      <c r="A59" s="20" t="str">
        <f aca="false">IF(교육과정!$A56="","",교육과정!$A56)</f>
        <v/>
      </c>
      <c r="B59" s="20" t="str">
        <f aca="false">IF($A59="","",교육과정!$B56)</f>
        <v/>
      </c>
      <c r="C59" s="20" t="str">
        <f aca="false">IF($A59="","",교육과정!$E56)</f>
        <v/>
      </c>
      <c r="D59" s="21" t="str">
        <f aca="false">IF($A59="","",교육과정!$C56)</f>
        <v/>
      </c>
      <c r="E59" s="21" t="str">
        <f aca="false">IF($A59="","",COUNTIFS(이수내역!$D$3:$D$2002,$A59,이수내역!$A$3:$A$2002,"&gt;="&amp;DATE($B$3,1,1),이수내역!$A$3:$A$2002,"&lt;="&amp;DATE($B$3,12,31)))</f>
        <v/>
      </c>
      <c r="F59" s="21" t="str">
        <f aca="false">IF($A59="","",SUMPRODUCT((직원목록!$A$3:$A$302&lt;&gt;"")*(COUNTIFS(이수내역!$B$3:$B$2002,직원목록!$A$3:$A$302,이수내역!$D$3:$D$2002,$A59,이수내역!$A$3:$A$2002,"&gt;="&amp;DATE($B$3,1,1),이수내역!$A$3:$A$2002,"&lt;="&amp;DATE($B$3,12,31))&gt;0)))</f>
        <v/>
      </c>
      <c r="G59" s="27" t="str">
        <f aca="false">IF($A59="","",SUMIFS(이수내역!$F$3:$F$2002,이수내역!$D$3:$D$2002,$A59,이수내역!$A$3:$A$2002,"&gt;="&amp;DATE($B$3,1,1),이수내역!$A$3:$A$2002,"&lt;="&amp;DATE($B$3,12,31)))</f>
        <v/>
      </c>
      <c r="H59" s="21" t="str">
        <f aca="false">IF($A59="","",SUMPRODUCT((이수현황!$D$6:$D$485=$A59)*((이수현황!$J$6:$J$485="기한초과")+(이수현황!$J$6:$J$485="임박"))))</f>
        <v/>
      </c>
    </row>
    <row r="60" customFormat="false" ht="15" hidden="false" customHeight="true" outlineLevel="0" collapsed="false">
      <c r="A60" s="20" t="str">
        <f aca="false">IF(교육과정!$A57="","",교육과정!$A57)</f>
        <v/>
      </c>
      <c r="B60" s="20" t="str">
        <f aca="false">IF($A60="","",교육과정!$B57)</f>
        <v/>
      </c>
      <c r="C60" s="20" t="str">
        <f aca="false">IF($A60="","",교육과정!$E57)</f>
        <v/>
      </c>
      <c r="D60" s="21" t="str">
        <f aca="false">IF($A60="","",교육과정!$C57)</f>
        <v/>
      </c>
      <c r="E60" s="21" t="str">
        <f aca="false">IF($A60="","",COUNTIFS(이수내역!$D$3:$D$2002,$A60,이수내역!$A$3:$A$2002,"&gt;="&amp;DATE($B$3,1,1),이수내역!$A$3:$A$2002,"&lt;="&amp;DATE($B$3,12,31)))</f>
        <v/>
      </c>
      <c r="F60" s="21" t="str">
        <f aca="false">IF($A60="","",SUMPRODUCT((직원목록!$A$3:$A$302&lt;&gt;"")*(COUNTIFS(이수내역!$B$3:$B$2002,직원목록!$A$3:$A$302,이수내역!$D$3:$D$2002,$A60,이수내역!$A$3:$A$2002,"&gt;="&amp;DATE($B$3,1,1),이수내역!$A$3:$A$2002,"&lt;="&amp;DATE($B$3,12,31))&gt;0)))</f>
        <v/>
      </c>
      <c r="G60" s="27" t="str">
        <f aca="false">IF($A60="","",SUMIFS(이수내역!$F$3:$F$2002,이수내역!$D$3:$D$2002,$A60,이수내역!$A$3:$A$2002,"&gt;="&amp;DATE($B$3,1,1),이수내역!$A$3:$A$2002,"&lt;="&amp;DATE($B$3,12,31)))</f>
        <v/>
      </c>
      <c r="H60" s="21" t="str">
        <f aca="false">IF($A60="","",SUMPRODUCT((이수현황!$D$6:$D$485=$A60)*((이수현황!$J$6:$J$485="기한초과")+(이수현황!$J$6:$J$485="임박"))))</f>
        <v/>
      </c>
    </row>
    <row r="61" customFormat="false" ht="15" hidden="false" customHeight="true" outlineLevel="0" collapsed="false">
      <c r="A61" s="20" t="str">
        <f aca="false">IF(교육과정!$A58="","",교육과정!$A58)</f>
        <v/>
      </c>
      <c r="B61" s="20" t="str">
        <f aca="false">IF($A61="","",교육과정!$B58)</f>
        <v/>
      </c>
      <c r="C61" s="20" t="str">
        <f aca="false">IF($A61="","",교육과정!$E58)</f>
        <v/>
      </c>
      <c r="D61" s="21" t="str">
        <f aca="false">IF($A61="","",교육과정!$C58)</f>
        <v/>
      </c>
      <c r="E61" s="21" t="str">
        <f aca="false">IF($A61="","",COUNTIFS(이수내역!$D$3:$D$2002,$A61,이수내역!$A$3:$A$2002,"&gt;="&amp;DATE($B$3,1,1),이수내역!$A$3:$A$2002,"&lt;="&amp;DATE($B$3,12,31)))</f>
        <v/>
      </c>
      <c r="F61" s="21" t="str">
        <f aca="false">IF($A61="","",SUMPRODUCT((직원목록!$A$3:$A$302&lt;&gt;"")*(COUNTIFS(이수내역!$B$3:$B$2002,직원목록!$A$3:$A$302,이수내역!$D$3:$D$2002,$A61,이수내역!$A$3:$A$2002,"&gt;="&amp;DATE($B$3,1,1),이수내역!$A$3:$A$2002,"&lt;="&amp;DATE($B$3,12,31))&gt;0)))</f>
        <v/>
      </c>
      <c r="G61" s="27" t="str">
        <f aca="false">IF($A61="","",SUMIFS(이수내역!$F$3:$F$2002,이수내역!$D$3:$D$2002,$A61,이수내역!$A$3:$A$2002,"&gt;="&amp;DATE($B$3,1,1),이수내역!$A$3:$A$2002,"&lt;="&amp;DATE($B$3,12,31)))</f>
        <v/>
      </c>
      <c r="H61" s="21" t="str">
        <f aca="false">IF($A61="","",SUMPRODUCT((이수현황!$D$6:$D$485=$A61)*((이수현황!$J$6:$J$485="기한초과")+(이수현황!$J$6:$J$485="임박"))))</f>
        <v/>
      </c>
    </row>
    <row r="62" customFormat="false" ht="15" hidden="false" customHeight="true" outlineLevel="0" collapsed="false">
      <c r="A62" s="20" t="str">
        <f aca="false">IF(교육과정!$A59="","",교육과정!$A59)</f>
        <v/>
      </c>
      <c r="B62" s="20" t="str">
        <f aca="false">IF($A62="","",교육과정!$B59)</f>
        <v/>
      </c>
      <c r="C62" s="20" t="str">
        <f aca="false">IF($A62="","",교육과정!$E59)</f>
        <v/>
      </c>
      <c r="D62" s="21" t="str">
        <f aca="false">IF($A62="","",교육과정!$C59)</f>
        <v/>
      </c>
      <c r="E62" s="21" t="str">
        <f aca="false">IF($A62="","",COUNTIFS(이수내역!$D$3:$D$2002,$A62,이수내역!$A$3:$A$2002,"&gt;="&amp;DATE($B$3,1,1),이수내역!$A$3:$A$2002,"&lt;="&amp;DATE($B$3,12,31)))</f>
        <v/>
      </c>
      <c r="F62" s="21" t="str">
        <f aca="false">IF($A62="","",SUMPRODUCT((직원목록!$A$3:$A$302&lt;&gt;"")*(COUNTIFS(이수내역!$B$3:$B$2002,직원목록!$A$3:$A$302,이수내역!$D$3:$D$2002,$A62,이수내역!$A$3:$A$2002,"&gt;="&amp;DATE($B$3,1,1),이수내역!$A$3:$A$2002,"&lt;="&amp;DATE($B$3,12,31))&gt;0)))</f>
        <v/>
      </c>
      <c r="G62" s="27" t="str">
        <f aca="false">IF($A62="","",SUMIFS(이수내역!$F$3:$F$2002,이수내역!$D$3:$D$2002,$A62,이수내역!$A$3:$A$2002,"&gt;="&amp;DATE($B$3,1,1),이수내역!$A$3:$A$2002,"&lt;="&amp;DATE($B$3,12,31)))</f>
        <v/>
      </c>
      <c r="H62" s="21" t="str">
        <f aca="false">IF($A62="","",SUMPRODUCT((이수현황!$D$6:$D$485=$A62)*((이수현황!$J$6:$J$485="기한초과")+(이수현황!$J$6:$J$485="임박"))))</f>
        <v/>
      </c>
    </row>
    <row r="63" customFormat="false" ht="15" hidden="false" customHeight="true" outlineLevel="0" collapsed="false">
      <c r="A63" s="20" t="str">
        <f aca="false">IF(교육과정!$A60="","",교육과정!$A60)</f>
        <v/>
      </c>
      <c r="B63" s="20" t="str">
        <f aca="false">IF($A63="","",교육과정!$B60)</f>
        <v/>
      </c>
      <c r="C63" s="20" t="str">
        <f aca="false">IF($A63="","",교육과정!$E60)</f>
        <v/>
      </c>
      <c r="D63" s="21" t="str">
        <f aca="false">IF($A63="","",교육과정!$C60)</f>
        <v/>
      </c>
      <c r="E63" s="21" t="str">
        <f aca="false">IF($A63="","",COUNTIFS(이수내역!$D$3:$D$2002,$A63,이수내역!$A$3:$A$2002,"&gt;="&amp;DATE($B$3,1,1),이수내역!$A$3:$A$2002,"&lt;="&amp;DATE($B$3,12,31)))</f>
        <v/>
      </c>
      <c r="F63" s="21" t="str">
        <f aca="false">IF($A63="","",SUMPRODUCT((직원목록!$A$3:$A$302&lt;&gt;"")*(COUNTIFS(이수내역!$B$3:$B$2002,직원목록!$A$3:$A$302,이수내역!$D$3:$D$2002,$A63,이수내역!$A$3:$A$2002,"&gt;="&amp;DATE($B$3,1,1),이수내역!$A$3:$A$2002,"&lt;="&amp;DATE($B$3,12,31))&gt;0)))</f>
        <v/>
      </c>
      <c r="G63" s="27" t="str">
        <f aca="false">IF($A63="","",SUMIFS(이수내역!$F$3:$F$2002,이수내역!$D$3:$D$2002,$A63,이수내역!$A$3:$A$2002,"&gt;="&amp;DATE($B$3,1,1),이수내역!$A$3:$A$2002,"&lt;="&amp;DATE($B$3,12,31)))</f>
        <v/>
      </c>
      <c r="H63" s="21" t="str">
        <f aca="false">IF($A63="","",SUMPRODUCT((이수현황!$D$6:$D$485=$A63)*((이수현황!$J$6:$J$485="기한초과")+(이수현황!$J$6:$J$485="임박"))))</f>
        <v/>
      </c>
    </row>
    <row r="64" customFormat="false" ht="15" hidden="false" customHeight="true" outlineLevel="0" collapsed="false">
      <c r="A64" s="20" t="str">
        <f aca="false">IF(교육과정!$A61="","",교육과정!$A61)</f>
        <v/>
      </c>
      <c r="B64" s="20" t="str">
        <f aca="false">IF($A64="","",교육과정!$B61)</f>
        <v/>
      </c>
      <c r="C64" s="20" t="str">
        <f aca="false">IF($A64="","",교육과정!$E61)</f>
        <v/>
      </c>
      <c r="D64" s="21" t="str">
        <f aca="false">IF($A64="","",교육과정!$C61)</f>
        <v/>
      </c>
      <c r="E64" s="21" t="str">
        <f aca="false">IF($A64="","",COUNTIFS(이수내역!$D$3:$D$2002,$A64,이수내역!$A$3:$A$2002,"&gt;="&amp;DATE($B$3,1,1),이수내역!$A$3:$A$2002,"&lt;="&amp;DATE($B$3,12,31)))</f>
        <v/>
      </c>
      <c r="F64" s="21" t="str">
        <f aca="false">IF($A64="","",SUMPRODUCT((직원목록!$A$3:$A$302&lt;&gt;"")*(COUNTIFS(이수내역!$B$3:$B$2002,직원목록!$A$3:$A$302,이수내역!$D$3:$D$2002,$A64,이수내역!$A$3:$A$2002,"&gt;="&amp;DATE($B$3,1,1),이수내역!$A$3:$A$2002,"&lt;="&amp;DATE($B$3,12,31))&gt;0)))</f>
        <v/>
      </c>
      <c r="G64" s="27" t="str">
        <f aca="false">IF($A64="","",SUMIFS(이수내역!$F$3:$F$2002,이수내역!$D$3:$D$2002,$A64,이수내역!$A$3:$A$2002,"&gt;="&amp;DATE($B$3,1,1),이수내역!$A$3:$A$2002,"&lt;="&amp;DATE($B$3,12,31)))</f>
        <v/>
      </c>
      <c r="H64" s="21" t="str">
        <f aca="false">IF($A64="","",SUMPRODUCT((이수현황!$D$6:$D$485=$A64)*((이수현황!$J$6:$J$485="기한초과")+(이수현황!$J$6:$J$485="임박"))))</f>
        <v/>
      </c>
    </row>
    <row r="65" customFormat="false" ht="15" hidden="false" customHeight="true" outlineLevel="0" collapsed="false">
      <c r="A65" s="20" t="str">
        <f aca="false">IF(교육과정!$A62="","",교육과정!$A62)</f>
        <v/>
      </c>
      <c r="B65" s="20" t="str">
        <f aca="false">IF($A65="","",교육과정!$B62)</f>
        <v/>
      </c>
      <c r="C65" s="20" t="str">
        <f aca="false">IF($A65="","",교육과정!$E62)</f>
        <v/>
      </c>
      <c r="D65" s="21" t="str">
        <f aca="false">IF($A65="","",교육과정!$C62)</f>
        <v/>
      </c>
      <c r="E65" s="21" t="str">
        <f aca="false">IF($A65="","",COUNTIFS(이수내역!$D$3:$D$2002,$A65,이수내역!$A$3:$A$2002,"&gt;="&amp;DATE($B$3,1,1),이수내역!$A$3:$A$2002,"&lt;="&amp;DATE($B$3,12,31)))</f>
        <v/>
      </c>
      <c r="F65" s="21" t="str">
        <f aca="false">IF($A65="","",SUMPRODUCT((직원목록!$A$3:$A$302&lt;&gt;"")*(COUNTIFS(이수내역!$B$3:$B$2002,직원목록!$A$3:$A$302,이수내역!$D$3:$D$2002,$A65,이수내역!$A$3:$A$2002,"&gt;="&amp;DATE($B$3,1,1),이수내역!$A$3:$A$2002,"&lt;="&amp;DATE($B$3,12,31))&gt;0)))</f>
        <v/>
      </c>
      <c r="G65" s="27" t="str">
        <f aca="false">IF($A65="","",SUMIFS(이수내역!$F$3:$F$2002,이수내역!$D$3:$D$2002,$A65,이수내역!$A$3:$A$2002,"&gt;="&amp;DATE($B$3,1,1),이수내역!$A$3:$A$2002,"&lt;="&amp;DATE($B$3,12,31)))</f>
        <v/>
      </c>
      <c r="H65" s="21" t="str">
        <f aca="false">IF($A65="","",SUMPRODUCT((이수현황!$D$6:$D$485=$A65)*((이수현황!$J$6:$J$485="기한초과")+(이수현황!$J$6:$J$485="임박"))))</f>
        <v/>
      </c>
    </row>
    <row r="66" customFormat="false" ht="15" hidden="false" customHeight="true" outlineLevel="0" collapsed="false">
      <c r="A66" s="20" t="str">
        <f aca="false">IF(교육과정!$A63="","",교육과정!$A63)</f>
        <v/>
      </c>
      <c r="B66" s="20" t="str">
        <f aca="false">IF($A66="","",교육과정!$B63)</f>
        <v/>
      </c>
      <c r="C66" s="20" t="str">
        <f aca="false">IF($A66="","",교육과정!$E63)</f>
        <v/>
      </c>
      <c r="D66" s="21" t="str">
        <f aca="false">IF($A66="","",교육과정!$C63)</f>
        <v/>
      </c>
      <c r="E66" s="21" t="str">
        <f aca="false">IF($A66="","",COUNTIFS(이수내역!$D$3:$D$2002,$A66,이수내역!$A$3:$A$2002,"&gt;="&amp;DATE($B$3,1,1),이수내역!$A$3:$A$2002,"&lt;="&amp;DATE($B$3,12,31)))</f>
        <v/>
      </c>
      <c r="F66" s="21" t="str">
        <f aca="false">IF($A66="","",SUMPRODUCT((직원목록!$A$3:$A$302&lt;&gt;"")*(COUNTIFS(이수내역!$B$3:$B$2002,직원목록!$A$3:$A$302,이수내역!$D$3:$D$2002,$A66,이수내역!$A$3:$A$2002,"&gt;="&amp;DATE($B$3,1,1),이수내역!$A$3:$A$2002,"&lt;="&amp;DATE($B$3,12,31))&gt;0)))</f>
        <v/>
      </c>
      <c r="G66" s="27" t="str">
        <f aca="false">IF($A66="","",SUMIFS(이수내역!$F$3:$F$2002,이수내역!$D$3:$D$2002,$A66,이수내역!$A$3:$A$2002,"&gt;="&amp;DATE($B$3,1,1),이수내역!$A$3:$A$2002,"&lt;="&amp;DATE($B$3,12,31)))</f>
        <v/>
      </c>
      <c r="H66" s="21" t="str">
        <f aca="false">IF($A66="","",SUMPRODUCT((이수현황!$D$6:$D$485=$A66)*((이수현황!$J$6:$J$485="기한초과")+(이수현황!$J$6:$J$485="임박"))))</f>
        <v/>
      </c>
    </row>
    <row r="67" customFormat="false" ht="15" hidden="false" customHeight="true" outlineLevel="0" collapsed="false">
      <c r="A67" s="20" t="str">
        <f aca="false">IF(교육과정!$A64="","",교육과정!$A64)</f>
        <v/>
      </c>
      <c r="B67" s="20" t="str">
        <f aca="false">IF($A67="","",교육과정!$B64)</f>
        <v/>
      </c>
      <c r="C67" s="20" t="str">
        <f aca="false">IF($A67="","",교육과정!$E64)</f>
        <v/>
      </c>
      <c r="D67" s="21" t="str">
        <f aca="false">IF($A67="","",교육과정!$C64)</f>
        <v/>
      </c>
      <c r="E67" s="21" t="str">
        <f aca="false">IF($A67="","",COUNTIFS(이수내역!$D$3:$D$2002,$A67,이수내역!$A$3:$A$2002,"&gt;="&amp;DATE($B$3,1,1),이수내역!$A$3:$A$2002,"&lt;="&amp;DATE($B$3,12,31)))</f>
        <v/>
      </c>
      <c r="F67" s="21" t="str">
        <f aca="false">IF($A67="","",SUMPRODUCT((직원목록!$A$3:$A$302&lt;&gt;"")*(COUNTIFS(이수내역!$B$3:$B$2002,직원목록!$A$3:$A$302,이수내역!$D$3:$D$2002,$A67,이수내역!$A$3:$A$2002,"&gt;="&amp;DATE($B$3,1,1),이수내역!$A$3:$A$2002,"&lt;="&amp;DATE($B$3,12,31))&gt;0)))</f>
        <v/>
      </c>
      <c r="G67" s="27" t="str">
        <f aca="false">IF($A67="","",SUMIFS(이수내역!$F$3:$F$2002,이수내역!$D$3:$D$2002,$A67,이수내역!$A$3:$A$2002,"&gt;="&amp;DATE($B$3,1,1),이수내역!$A$3:$A$2002,"&lt;="&amp;DATE($B$3,12,31)))</f>
        <v/>
      </c>
      <c r="H67" s="21" t="str">
        <f aca="false">IF($A67="","",SUMPRODUCT((이수현황!$D$6:$D$485=$A67)*((이수현황!$J$6:$J$485="기한초과")+(이수현황!$J$6:$J$485="임박"))))</f>
        <v/>
      </c>
    </row>
    <row r="68" customFormat="false" ht="15" hidden="false" customHeight="true" outlineLevel="0" collapsed="false">
      <c r="A68" s="20" t="str">
        <f aca="false">IF(교육과정!$A65="","",교육과정!$A65)</f>
        <v/>
      </c>
      <c r="B68" s="20" t="str">
        <f aca="false">IF($A68="","",교육과정!$B65)</f>
        <v/>
      </c>
      <c r="C68" s="20" t="str">
        <f aca="false">IF($A68="","",교육과정!$E65)</f>
        <v/>
      </c>
      <c r="D68" s="21" t="str">
        <f aca="false">IF($A68="","",교육과정!$C65)</f>
        <v/>
      </c>
      <c r="E68" s="21" t="str">
        <f aca="false">IF($A68="","",COUNTIFS(이수내역!$D$3:$D$2002,$A68,이수내역!$A$3:$A$2002,"&gt;="&amp;DATE($B$3,1,1),이수내역!$A$3:$A$2002,"&lt;="&amp;DATE($B$3,12,31)))</f>
        <v/>
      </c>
      <c r="F68" s="21" t="str">
        <f aca="false">IF($A68="","",SUMPRODUCT((직원목록!$A$3:$A$302&lt;&gt;"")*(COUNTIFS(이수내역!$B$3:$B$2002,직원목록!$A$3:$A$302,이수내역!$D$3:$D$2002,$A68,이수내역!$A$3:$A$2002,"&gt;="&amp;DATE($B$3,1,1),이수내역!$A$3:$A$2002,"&lt;="&amp;DATE($B$3,12,31))&gt;0)))</f>
        <v/>
      </c>
      <c r="G68" s="27" t="str">
        <f aca="false">IF($A68="","",SUMIFS(이수내역!$F$3:$F$2002,이수내역!$D$3:$D$2002,$A68,이수내역!$A$3:$A$2002,"&gt;="&amp;DATE($B$3,1,1),이수내역!$A$3:$A$2002,"&lt;="&amp;DATE($B$3,12,31)))</f>
        <v/>
      </c>
      <c r="H68" s="21" t="str">
        <f aca="false">IF($A68="","",SUMPRODUCT((이수현황!$D$6:$D$485=$A68)*((이수현황!$J$6:$J$485="기한초과")+(이수현황!$J$6:$J$485="임박"))))</f>
        <v/>
      </c>
    </row>
    <row r="69" customFormat="false" ht="15" hidden="false" customHeight="true" outlineLevel="0" collapsed="false">
      <c r="A69" s="20" t="str">
        <f aca="false">IF(교육과정!$A66="","",교육과정!$A66)</f>
        <v/>
      </c>
      <c r="B69" s="20" t="str">
        <f aca="false">IF($A69="","",교육과정!$B66)</f>
        <v/>
      </c>
      <c r="C69" s="20" t="str">
        <f aca="false">IF($A69="","",교육과정!$E66)</f>
        <v/>
      </c>
      <c r="D69" s="21" t="str">
        <f aca="false">IF($A69="","",교육과정!$C66)</f>
        <v/>
      </c>
      <c r="E69" s="21" t="str">
        <f aca="false">IF($A69="","",COUNTIFS(이수내역!$D$3:$D$2002,$A69,이수내역!$A$3:$A$2002,"&gt;="&amp;DATE($B$3,1,1),이수내역!$A$3:$A$2002,"&lt;="&amp;DATE($B$3,12,31)))</f>
        <v/>
      </c>
      <c r="F69" s="21" t="str">
        <f aca="false">IF($A69="","",SUMPRODUCT((직원목록!$A$3:$A$302&lt;&gt;"")*(COUNTIFS(이수내역!$B$3:$B$2002,직원목록!$A$3:$A$302,이수내역!$D$3:$D$2002,$A69,이수내역!$A$3:$A$2002,"&gt;="&amp;DATE($B$3,1,1),이수내역!$A$3:$A$2002,"&lt;="&amp;DATE($B$3,12,31))&gt;0)))</f>
        <v/>
      </c>
      <c r="G69" s="27" t="str">
        <f aca="false">IF($A69="","",SUMIFS(이수내역!$F$3:$F$2002,이수내역!$D$3:$D$2002,$A69,이수내역!$A$3:$A$2002,"&gt;="&amp;DATE($B$3,1,1),이수내역!$A$3:$A$2002,"&lt;="&amp;DATE($B$3,12,31)))</f>
        <v/>
      </c>
      <c r="H69" s="21" t="str">
        <f aca="false">IF($A69="","",SUMPRODUCT((이수현황!$D$6:$D$485=$A69)*((이수현황!$J$6:$J$485="기한초과")+(이수현황!$J$6:$J$485="임박"))))</f>
        <v/>
      </c>
    </row>
    <row r="70" customFormat="false" ht="15" hidden="false" customHeight="true" outlineLevel="0" collapsed="false">
      <c r="A70" s="20" t="str">
        <f aca="false">IF(교육과정!$A67="","",교육과정!$A67)</f>
        <v/>
      </c>
      <c r="B70" s="20" t="str">
        <f aca="false">IF($A70="","",교육과정!$B67)</f>
        <v/>
      </c>
      <c r="C70" s="20" t="str">
        <f aca="false">IF($A70="","",교육과정!$E67)</f>
        <v/>
      </c>
      <c r="D70" s="21" t="str">
        <f aca="false">IF($A70="","",교육과정!$C67)</f>
        <v/>
      </c>
      <c r="E70" s="21" t="str">
        <f aca="false">IF($A70="","",COUNTIFS(이수내역!$D$3:$D$2002,$A70,이수내역!$A$3:$A$2002,"&gt;="&amp;DATE($B$3,1,1),이수내역!$A$3:$A$2002,"&lt;="&amp;DATE($B$3,12,31)))</f>
        <v/>
      </c>
      <c r="F70" s="21" t="str">
        <f aca="false">IF($A70="","",SUMPRODUCT((직원목록!$A$3:$A$302&lt;&gt;"")*(COUNTIFS(이수내역!$B$3:$B$2002,직원목록!$A$3:$A$302,이수내역!$D$3:$D$2002,$A70,이수내역!$A$3:$A$2002,"&gt;="&amp;DATE($B$3,1,1),이수내역!$A$3:$A$2002,"&lt;="&amp;DATE($B$3,12,31))&gt;0)))</f>
        <v/>
      </c>
      <c r="G70" s="27" t="str">
        <f aca="false">IF($A70="","",SUMIFS(이수내역!$F$3:$F$2002,이수내역!$D$3:$D$2002,$A70,이수내역!$A$3:$A$2002,"&gt;="&amp;DATE($B$3,1,1),이수내역!$A$3:$A$2002,"&lt;="&amp;DATE($B$3,12,31)))</f>
        <v/>
      </c>
      <c r="H70" s="21" t="str">
        <f aca="false">IF($A70="","",SUMPRODUCT((이수현황!$D$6:$D$485=$A70)*((이수현황!$J$6:$J$485="기한초과")+(이수현황!$J$6:$J$485="임박"))))</f>
        <v/>
      </c>
    </row>
    <row r="71" customFormat="false" ht="15" hidden="false" customHeight="true" outlineLevel="0" collapsed="false">
      <c r="A71" s="20" t="str">
        <f aca="false">IF(교육과정!$A68="","",교육과정!$A68)</f>
        <v/>
      </c>
      <c r="B71" s="20" t="str">
        <f aca="false">IF($A71="","",교육과정!$B68)</f>
        <v/>
      </c>
      <c r="C71" s="20" t="str">
        <f aca="false">IF($A71="","",교육과정!$E68)</f>
        <v/>
      </c>
      <c r="D71" s="21" t="str">
        <f aca="false">IF($A71="","",교육과정!$C68)</f>
        <v/>
      </c>
      <c r="E71" s="21" t="str">
        <f aca="false">IF($A71="","",COUNTIFS(이수내역!$D$3:$D$2002,$A71,이수내역!$A$3:$A$2002,"&gt;="&amp;DATE($B$3,1,1),이수내역!$A$3:$A$2002,"&lt;="&amp;DATE($B$3,12,31)))</f>
        <v/>
      </c>
      <c r="F71" s="21" t="str">
        <f aca="false">IF($A71="","",SUMPRODUCT((직원목록!$A$3:$A$302&lt;&gt;"")*(COUNTIFS(이수내역!$B$3:$B$2002,직원목록!$A$3:$A$302,이수내역!$D$3:$D$2002,$A71,이수내역!$A$3:$A$2002,"&gt;="&amp;DATE($B$3,1,1),이수내역!$A$3:$A$2002,"&lt;="&amp;DATE($B$3,12,31))&gt;0)))</f>
        <v/>
      </c>
      <c r="G71" s="27" t="str">
        <f aca="false">IF($A71="","",SUMIFS(이수내역!$F$3:$F$2002,이수내역!$D$3:$D$2002,$A71,이수내역!$A$3:$A$2002,"&gt;="&amp;DATE($B$3,1,1),이수내역!$A$3:$A$2002,"&lt;="&amp;DATE($B$3,12,31)))</f>
        <v/>
      </c>
      <c r="H71" s="21" t="str">
        <f aca="false">IF($A71="","",SUMPRODUCT((이수현황!$D$6:$D$485=$A71)*((이수현황!$J$6:$J$485="기한초과")+(이수현황!$J$6:$J$485="임박"))))</f>
        <v/>
      </c>
    </row>
    <row r="72" customFormat="false" ht="15" hidden="false" customHeight="true" outlineLevel="0" collapsed="false">
      <c r="A72" s="20" t="str">
        <f aca="false">IF(교육과정!$A69="","",교육과정!$A69)</f>
        <v/>
      </c>
      <c r="B72" s="20" t="str">
        <f aca="false">IF($A72="","",교육과정!$B69)</f>
        <v/>
      </c>
      <c r="C72" s="20" t="str">
        <f aca="false">IF($A72="","",교육과정!$E69)</f>
        <v/>
      </c>
      <c r="D72" s="21" t="str">
        <f aca="false">IF($A72="","",교육과정!$C69)</f>
        <v/>
      </c>
      <c r="E72" s="21" t="str">
        <f aca="false">IF($A72="","",COUNTIFS(이수내역!$D$3:$D$2002,$A72,이수내역!$A$3:$A$2002,"&gt;="&amp;DATE($B$3,1,1),이수내역!$A$3:$A$2002,"&lt;="&amp;DATE($B$3,12,31)))</f>
        <v/>
      </c>
      <c r="F72" s="21" t="str">
        <f aca="false">IF($A72="","",SUMPRODUCT((직원목록!$A$3:$A$302&lt;&gt;"")*(COUNTIFS(이수내역!$B$3:$B$2002,직원목록!$A$3:$A$302,이수내역!$D$3:$D$2002,$A72,이수내역!$A$3:$A$2002,"&gt;="&amp;DATE($B$3,1,1),이수내역!$A$3:$A$2002,"&lt;="&amp;DATE($B$3,12,31))&gt;0)))</f>
        <v/>
      </c>
      <c r="G72" s="27" t="str">
        <f aca="false">IF($A72="","",SUMIFS(이수내역!$F$3:$F$2002,이수내역!$D$3:$D$2002,$A72,이수내역!$A$3:$A$2002,"&gt;="&amp;DATE($B$3,1,1),이수내역!$A$3:$A$2002,"&lt;="&amp;DATE($B$3,12,31)))</f>
        <v/>
      </c>
      <c r="H72" s="21" t="str">
        <f aca="false">IF($A72="","",SUMPRODUCT((이수현황!$D$6:$D$485=$A72)*((이수현황!$J$6:$J$485="기한초과")+(이수현황!$J$6:$J$485="임박"))))</f>
        <v/>
      </c>
    </row>
    <row r="73" customFormat="false" ht="15" hidden="false" customHeight="true" outlineLevel="0" collapsed="false">
      <c r="A73" s="20" t="str">
        <f aca="false">IF(교육과정!$A70="","",교육과정!$A70)</f>
        <v/>
      </c>
      <c r="B73" s="20" t="str">
        <f aca="false">IF($A73="","",교육과정!$B70)</f>
        <v/>
      </c>
      <c r="C73" s="20" t="str">
        <f aca="false">IF($A73="","",교육과정!$E70)</f>
        <v/>
      </c>
      <c r="D73" s="21" t="str">
        <f aca="false">IF($A73="","",교육과정!$C70)</f>
        <v/>
      </c>
      <c r="E73" s="21" t="str">
        <f aca="false">IF($A73="","",COUNTIFS(이수내역!$D$3:$D$2002,$A73,이수내역!$A$3:$A$2002,"&gt;="&amp;DATE($B$3,1,1),이수내역!$A$3:$A$2002,"&lt;="&amp;DATE($B$3,12,31)))</f>
        <v/>
      </c>
      <c r="F73" s="21" t="str">
        <f aca="false">IF($A73="","",SUMPRODUCT((직원목록!$A$3:$A$302&lt;&gt;"")*(COUNTIFS(이수내역!$B$3:$B$2002,직원목록!$A$3:$A$302,이수내역!$D$3:$D$2002,$A73,이수내역!$A$3:$A$2002,"&gt;="&amp;DATE($B$3,1,1),이수내역!$A$3:$A$2002,"&lt;="&amp;DATE($B$3,12,31))&gt;0)))</f>
        <v/>
      </c>
      <c r="G73" s="27" t="str">
        <f aca="false">IF($A73="","",SUMIFS(이수내역!$F$3:$F$2002,이수내역!$D$3:$D$2002,$A73,이수내역!$A$3:$A$2002,"&gt;="&amp;DATE($B$3,1,1),이수내역!$A$3:$A$2002,"&lt;="&amp;DATE($B$3,12,31)))</f>
        <v/>
      </c>
      <c r="H73" s="21" t="str">
        <f aca="false">IF($A73="","",SUMPRODUCT((이수현황!$D$6:$D$485=$A73)*((이수현황!$J$6:$J$485="기한초과")+(이수현황!$J$6:$J$485="임박"))))</f>
        <v/>
      </c>
    </row>
    <row r="74" customFormat="false" ht="15" hidden="false" customHeight="true" outlineLevel="0" collapsed="false">
      <c r="A74" s="20" t="str">
        <f aca="false">IF(교육과정!$A71="","",교육과정!$A71)</f>
        <v/>
      </c>
      <c r="B74" s="20" t="str">
        <f aca="false">IF($A74="","",교육과정!$B71)</f>
        <v/>
      </c>
      <c r="C74" s="20" t="str">
        <f aca="false">IF($A74="","",교육과정!$E71)</f>
        <v/>
      </c>
      <c r="D74" s="21" t="str">
        <f aca="false">IF($A74="","",교육과정!$C71)</f>
        <v/>
      </c>
      <c r="E74" s="21" t="str">
        <f aca="false">IF($A74="","",COUNTIFS(이수내역!$D$3:$D$2002,$A74,이수내역!$A$3:$A$2002,"&gt;="&amp;DATE($B$3,1,1),이수내역!$A$3:$A$2002,"&lt;="&amp;DATE($B$3,12,31)))</f>
        <v/>
      </c>
      <c r="F74" s="21" t="str">
        <f aca="false">IF($A74="","",SUMPRODUCT((직원목록!$A$3:$A$302&lt;&gt;"")*(COUNTIFS(이수내역!$B$3:$B$2002,직원목록!$A$3:$A$302,이수내역!$D$3:$D$2002,$A74,이수내역!$A$3:$A$2002,"&gt;="&amp;DATE($B$3,1,1),이수내역!$A$3:$A$2002,"&lt;="&amp;DATE($B$3,12,31))&gt;0)))</f>
        <v/>
      </c>
      <c r="G74" s="27" t="str">
        <f aca="false">IF($A74="","",SUMIFS(이수내역!$F$3:$F$2002,이수내역!$D$3:$D$2002,$A74,이수내역!$A$3:$A$2002,"&gt;="&amp;DATE($B$3,1,1),이수내역!$A$3:$A$2002,"&lt;="&amp;DATE($B$3,12,31)))</f>
        <v/>
      </c>
      <c r="H74" s="21" t="str">
        <f aca="false">IF($A74="","",SUMPRODUCT((이수현황!$D$6:$D$485=$A74)*((이수현황!$J$6:$J$485="기한초과")+(이수현황!$J$6:$J$485="임박"))))</f>
        <v/>
      </c>
    </row>
    <row r="75" customFormat="false" ht="15" hidden="false" customHeight="true" outlineLevel="0" collapsed="false">
      <c r="A75" s="20" t="str">
        <f aca="false">IF(교육과정!$A72="","",교육과정!$A72)</f>
        <v/>
      </c>
      <c r="B75" s="20" t="str">
        <f aca="false">IF($A75="","",교육과정!$B72)</f>
        <v/>
      </c>
      <c r="C75" s="20" t="str">
        <f aca="false">IF($A75="","",교육과정!$E72)</f>
        <v/>
      </c>
      <c r="D75" s="21" t="str">
        <f aca="false">IF($A75="","",교육과정!$C72)</f>
        <v/>
      </c>
      <c r="E75" s="21" t="str">
        <f aca="false">IF($A75="","",COUNTIFS(이수내역!$D$3:$D$2002,$A75,이수내역!$A$3:$A$2002,"&gt;="&amp;DATE($B$3,1,1),이수내역!$A$3:$A$2002,"&lt;="&amp;DATE($B$3,12,31)))</f>
        <v/>
      </c>
      <c r="F75" s="21" t="str">
        <f aca="false">IF($A75="","",SUMPRODUCT((직원목록!$A$3:$A$302&lt;&gt;"")*(COUNTIFS(이수내역!$B$3:$B$2002,직원목록!$A$3:$A$302,이수내역!$D$3:$D$2002,$A75,이수내역!$A$3:$A$2002,"&gt;="&amp;DATE($B$3,1,1),이수내역!$A$3:$A$2002,"&lt;="&amp;DATE($B$3,12,31))&gt;0)))</f>
        <v/>
      </c>
      <c r="G75" s="27" t="str">
        <f aca="false">IF($A75="","",SUMIFS(이수내역!$F$3:$F$2002,이수내역!$D$3:$D$2002,$A75,이수내역!$A$3:$A$2002,"&gt;="&amp;DATE($B$3,1,1),이수내역!$A$3:$A$2002,"&lt;="&amp;DATE($B$3,12,31)))</f>
        <v/>
      </c>
      <c r="H75" s="21" t="str">
        <f aca="false">IF($A75="","",SUMPRODUCT((이수현황!$D$6:$D$485=$A75)*((이수현황!$J$6:$J$485="기한초과")+(이수현황!$J$6:$J$485="임박"))))</f>
        <v/>
      </c>
    </row>
    <row r="76" customFormat="false" ht="15" hidden="false" customHeight="true" outlineLevel="0" collapsed="false">
      <c r="A76" s="20" t="str">
        <f aca="false">IF(교육과정!$A73="","",교육과정!$A73)</f>
        <v/>
      </c>
      <c r="B76" s="20" t="str">
        <f aca="false">IF($A76="","",교육과정!$B73)</f>
        <v/>
      </c>
      <c r="C76" s="20" t="str">
        <f aca="false">IF($A76="","",교육과정!$E73)</f>
        <v/>
      </c>
      <c r="D76" s="21" t="str">
        <f aca="false">IF($A76="","",교육과정!$C73)</f>
        <v/>
      </c>
      <c r="E76" s="21" t="str">
        <f aca="false">IF($A76="","",COUNTIFS(이수내역!$D$3:$D$2002,$A76,이수내역!$A$3:$A$2002,"&gt;="&amp;DATE($B$3,1,1),이수내역!$A$3:$A$2002,"&lt;="&amp;DATE($B$3,12,31)))</f>
        <v/>
      </c>
      <c r="F76" s="21" t="str">
        <f aca="false">IF($A76="","",SUMPRODUCT((직원목록!$A$3:$A$302&lt;&gt;"")*(COUNTIFS(이수내역!$B$3:$B$2002,직원목록!$A$3:$A$302,이수내역!$D$3:$D$2002,$A76,이수내역!$A$3:$A$2002,"&gt;="&amp;DATE($B$3,1,1),이수내역!$A$3:$A$2002,"&lt;="&amp;DATE($B$3,12,31))&gt;0)))</f>
        <v/>
      </c>
      <c r="G76" s="27" t="str">
        <f aca="false">IF($A76="","",SUMIFS(이수내역!$F$3:$F$2002,이수내역!$D$3:$D$2002,$A76,이수내역!$A$3:$A$2002,"&gt;="&amp;DATE($B$3,1,1),이수내역!$A$3:$A$2002,"&lt;="&amp;DATE($B$3,12,31)))</f>
        <v/>
      </c>
      <c r="H76" s="21" t="str">
        <f aca="false">IF($A76="","",SUMPRODUCT((이수현황!$D$6:$D$485=$A76)*((이수현황!$J$6:$J$485="기한초과")+(이수현황!$J$6:$J$485="임박"))))</f>
        <v/>
      </c>
    </row>
    <row r="77" customFormat="false" ht="15" hidden="false" customHeight="true" outlineLevel="0" collapsed="false">
      <c r="A77" s="20" t="str">
        <f aca="false">IF(교육과정!$A74="","",교육과정!$A74)</f>
        <v/>
      </c>
      <c r="B77" s="20" t="str">
        <f aca="false">IF($A77="","",교육과정!$B74)</f>
        <v/>
      </c>
      <c r="C77" s="20" t="str">
        <f aca="false">IF($A77="","",교육과정!$E74)</f>
        <v/>
      </c>
      <c r="D77" s="21" t="str">
        <f aca="false">IF($A77="","",교육과정!$C74)</f>
        <v/>
      </c>
      <c r="E77" s="21" t="str">
        <f aca="false">IF($A77="","",COUNTIFS(이수내역!$D$3:$D$2002,$A77,이수내역!$A$3:$A$2002,"&gt;="&amp;DATE($B$3,1,1),이수내역!$A$3:$A$2002,"&lt;="&amp;DATE($B$3,12,31)))</f>
        <v/>
      </c>
      <c r="F77" s="21" t="str">
        <f aca="false">IF($A77="","",SUMPRODUCT((직원목록!$A$3:$A$302&lt;&gt;"")*(COUNTIFS(이수내역!$B$3:$B$2002,직원목록!$A$3:$A$302,이수내역!$D$3:$D$2002,$A77,이수내역!$A$3:$A$2002,"&gt;="&amp;DATE($B$3,1,1),이수내역!$A$3:$A$2002,"&lt;="&amp;DATE($B$3,12,31))&gt;0)))</f>
        <v/>
      </c>
      <c r="G77" s="27" t="str">
        <f aca="false">IF($A77="","",SUMIFS(이수내역!$F$3:$F$2002,이수내역!$D$3:$D$2002,$A77,이수내역!$A$3:$A$2002,"&gt;="&amp;DATE($B$3,1,1),이수내역!$A$3:$A$2002,"&lt;="&amp;DATE($B$3,12,31)))</f>
        <v/>
      </c>
      <c r="H77" s="21" t="str">
        <f aca="false">IF($A77="","",SUMPRODUCT((이수현황!$D$6:$D$485=$A77)*((이수현황!$J$6:$J$485="기한초과")+(이수현황!$J$6:$J$485="임박"))))</f>
        <v/>
      </c>
    </row>
    <row r="78" customFormat="false" ht="15" hidden="false" customHeight="true" outlineLevel="0" collapsed="false">
      <c r="A78" s="20" t="str">
        <f aca="false">IF(교육과정!$A75="","",교육과정!$A75)</f>
        <v/>
      </c>
      <c r="B78" s="20" t="str">
        <f aca="false">IF($A78="","",교육과정!$B75)</f>
        <v/>
      </c>
      <c r="C78" s="20" t="str">
        <f aca="false">IF($A78="","",교육과정!$E75)</f>
        <v/>
      </c>
      <c r="D78" s="21" t="str">
        <f aca="false">IF($A78="","",교육과정!$C75)</f>
        <v/>
      </c>
      <c r="E78" s="21" t="str">
        <f aca="false">IF($A78="","",COUNTIFS(이수내역!$D$3:$D$2002,$A78,이수내역!$A$3:$A$2002,"&gt;="&amp;DATE($B$3,1,1),이수내역!$A$3:$A$2002,"&lt;="&amp;DATE($B$3,12,31)))</f>
        <v/>
      </c>
      <c r="F78" s="21" t="str">
        <f aca="false">IF($A78="","",SUMPRODUCT((직원목록!$A$3:$A$302&lt;&gt;"")*(COUNTIFS(이수내역!$B$3:$B$2002,직원목록!$A$3:$A$302,이수내역!$D$3:$D$2002,$A78,이수내역!$A$3:$A$2002,"&gt;="&amp;DATE($B$3,1,1),이수내역!$A$3:$A$2002,"&lt;="&amp;DATE($B$3,12,31))&gt;0)))</f>
        <v/>
      </c>
      <c r="G78" s="27" t="str">
        <f aca="false">IF($A78="","",SUMIFS(이수내역!$F$3:$F$2002,이수내역!$D$3:$D$2002,$A78,이수내역!$A$3:$A$2002,"&gt;="&amp;DATE($B$3,1,1),이수내역!$A$3:$A$2002,"&lt;="&amp;DATE($B$3,12,31)))</f>
        <v/>
      </c>
      <c r="H78" s="21" t="str">
        <f aca="false">IF($A78="","",SUMPRODUCT((이수현황!$D$6:$D$485=$A78)*((이수현황!$J$6:$J$485="기한초과")+(이수현황!$J$6:$J$485="임박"))))</f>
        <v/>
      </c>
    </row>
    <row r="79" customFormat="false" ht="15" hidden="false" customHeight="true" outlineLevel="0" collapsed="false">
      <c r="A79" s="20" t="str">
        <f aca="false">IF(교육과정!$A76="","",교육과정!$A76)</f>
        <v/>
      </c>
      <c r="B79" s="20" t="str">
        <f aca="false">IF($A79="","",교육과정!$B76)</f>
        <v/>
      </c>
      <c r="C79" s="20" t="str">
        <f aca="false">IF($A79="","",교육과정!$E76)</f>
        <v/>
      </c>
      <c r="D79" s="21" t="str">
        <f aca="false">IF($A79="","",교육과정!$C76)</f>
        <v/>
      </c>
      <c r="E79" s="21" t="str">
        <f aca="false">IF($A79="","",COUNTIFS(이수내역!$D$3:$D$2002,$A79,이수내역!$A$3:$A$2002,"&gt;="&amp;DATE($B$3,1,1),이수내역!$A$3:$A$2002,"&lt;="&amp;DATE($B$3,12,31)))</f>
        <v/>
      </c>
      <c r="F79" s="21" t="str">
        <f aca="false">IF($A79="","",SUMPRODUCT((직원목록!$A$3:$A$302&lt;&gt;"")*(COUNTIFS(이수내역!$B$3:$B$2002,직원목록!$A$3:$A$302,이수내역!$D$3:$D$2002,$A79,이수내역!$A$3:$A$2002,"&gt;="&amp;DATE($B$3,1,1),이수내역!$A$3:$A$2002,"&lt;="&amp;DATE($B$3,12,31))&gt;0)))</f>
        <v/>
      </c>
      <c r="G79" s="27" t="str">
        <f aca="false">IF($A79="","",SUMIFS(이수내역!$F$3:$F$2002,이수내역!$D$3:$D$2002,$A79,이수내역!$A$3:$A$2002,"&gt;="&amp;DATE($B$3,1,1),이수내역!$A$3:$A$2002,"&lt;="&amp;DATE($B$3,12,31)))</f>
        <v/>
      </c>
      <c r="H79" s="21" t="str">
        <f aca="false">IF($A79="","",SUMPRODUCT((이수현황!$D$6:$D$485=$A79)*((이수현황!$J$6:$J$485="기한초과")+(이수현황!$J$6:$J$485="임박"))))</f>
        <v/>
      </c>
    </row>
    <row r="80" customFormat="false" ht="15" hidden="false" customHeight="true" outlineLevel="0" collapsed="false">
      <c r="A80" s="20" t="str">
        <f aca="false">IF(교육과정!$A77="","",교육과정!$A77)</f>
        <v/>
      </c>
      <c r="B80" s="20" t="str">
        <f aca="false">IF($A80="","",교육과정!$B77)</f>
        <v/>
      </c>
      <c r="C80" s="20" t="str">
        <f aca="false">IF($A80="","",교육과정!$E77)</f>
        <v/>
      </c>
      <c r="D80" s="21" t="str">
        <f aca="false">IF($A80="","",교육과정!$C77)</f>
        <v/>
      </c>
      <c r="E80" s="21" t="str">
        <f aca="false">IF($A80="","",COUNTIFS(이수내역!$D$3:$D$2002,$A80,이수내역!$A$3:$A$2002,"&gt;="&amp;DATE($B$3,1,1),이수내역!$A$3:$A$2002,"&lt;="&amp;DATE($B$3,12,31)))</f>
        <v/>
      </c>
      <c r="F80" s="21" t="str">
        <f aca="false">IF($A80="","",SUMPRODUCT((직원목록!$A$3:$A$302&lt;&gt;"")*(COUNTIFS(이수내역!$B$3:$B$2002,직원목록!$A$3:$A$302,이수내역!$D$3:$D$2002,$A80,이수내역!$A$3:$A$2002,"&gt;="&amp;DATE($B$3,1,1),이수내역!$A$3:$A$2002,"&lt;="&amp;DATE($B$3,12,31))&gt;0)))</f>
        <v/>
      </c>
      <c r="G80" s="27" t="str">
        <f aca="false">IF($A80="","",SUMIFS(이수내역!$F$3:$F$2002,이수내역!$D$3:$D$2002,$A80,이수내역!$A$3:$A$2002,"&gt;="&amp;DATE($B$3,1,1),이수내역!$A$3:$A$2002,"&lt;="&amp;DATE($B$3,12,31)))</f>
        <v/>
      </c>
      <c r="H80" s="21" t="str">
        <f aca="false">IF($A80="","",SUMPRODUCT((이수현황!$D$6:$D$485=$A80)*((이수현황!$J$6:$J$485="기한초과")+(이수현황!$J$6:$J$485="임박"))))</f>
        <v/>
      </c>
    </row>
    <row r="81" customFormat="false" ht="15" hidden="false" customHeight="true" outlineLevel="0" collapsed="false">
      <c r="A81" s="20" t="str">
        <f aca="false">IF(교육과정!$A78="","",교육과정!$A78)</f>
        <v/>
      </c>
      <c r="B81" s="20" t="str">
        <f aca="false">IF($A81="","",교육과정!$B78)</f>
        <v/>
      </c>
      <c r="C81" s="20" t="str">
        <f aca="false">IF($A81="","",교육과정!$E78)</f>
        <v/>
      </c>
      <c r="D81" s="21" t="str">
        <f aca="false">IF($A81="","",교육과정!$C78)</f>
        <v/>
      </c>
      <c r="E81" s="21" t="str">
        <f aca="false">IF($A81="","",COUNTIFS(이수내역!$D$3:$D$2002,$A81,이수내역!$A$3:$A$2002,"&gt;="&amp;DATE($B$3,1,1),이수내역!$A$3:$A$2002,"&lt;="&amp;DATE($B$3,12,31)))</f>
        <v/>
      </c>
      <c r="F81" s="21" t="str">
        <f aca="false">IF($A81="","",SUMPRODUCT((직원목록!$A$3:$A$302&lt;&gt;"")*(COUNTIFS(이수내역!$B$3:$B$2002,직원목록!$A$3:$A$302,이수내역!$D$3:$D$2002,$A81,이수내역!$A$3:$A$2002,"&gt;="&amp;DATE($B$3,1,1),이수내역!$A$3:$A$2002,"&lt;="&amp;DATE($B$3,12,31))&gt;0)))</f>
        <v/>
      </c>
      <c r="G81" s="27" t="str">
        <f aca="false">IF($A81="","",SUMIFS(이수내역!$F$3:$F$2002,이수내역!$D$3:$D$2002,$A81,이수내역!$A$3:$A$2002,"&gt;="&amp;DATE($B$3,1,1),이수내역!$A$3:$A$2002,"&lt;="&amp;DATE($B$3,12,31)))</f>
        <v/>
      </c>
      <c r="H81" s="21" t="str">
        <f aca="false">IF($A81="","",SUMPRODUCT((이수현황!$D$6:$D$485=$A81)*((이수현황!$J$6:$J$485="기한초과")+(이수현황!$J$6:$J$485="임박"))))</f>
        <v/>
      </c>
    </row>
    <row r="82" customFormat="false" ht="15" hidden="false" customHeight="true" outlineLevel="0" collapsed="false">
      <c r="A82" s="20" t="str">
        <f aca="false">IF(교육과정!$A79="","",교육과정!$A79)</f>
        <v/>
      </c>
      <c r="B82" s="20" t="str">
        <f aca="false">IF($A82="","",교육과정!$B79)</f>
        <v/>
      </c>
      <c r="C82" s="20" t="str">
        <f aca="false">IF($A82="","",교육과정!$E79)</f>
        <v/>
      </c>
      <c r="D82" s="21" t="str">
        <f aca="false">IF($A82="","",교육과정!$C79)</f>
        <v/>
      </c>
      <c r="E82" s="21" t="str">
        <f aca="false">IF($A82="","",COUNTIFS(이수내역!$D$3:$D$2002,$A82,이수내역!$A$3:$A$2002,"&gt;="&amp;DATE($B$3,1,1),이수내역!$A$3:$A$2002,"&lt;="&amp;DATE($B$3,12,31)))</f>
        <v/>
      </c>
      <c r="F82" s="21" t="str">
        <f aca="false">IF($A82="","",SUMPRODUCT((직원목록!$A$3:$A$302&lt;&gt;"")*(COUNTIFS(이수내역!$B$3:$B$2002,직원목록!$A$3:$A$302,이수내역!$D$3:$D$2002,$A82,이수내역!$A$3:$A$2002,"&gt;="&amp;DATE($B$3,1,1),이수내역!$A$3:$A$2002,"&lt;="&amp;DATE($B$3,12,31))&gt;0)))</f>
        <v/>
      </c>
      <c r="G82" s="27" t="str">
        <f aca="false">IF($A82="","",SUMIFS(이수내역!$F$3:$F$2002,이수내역!$D$3:$D$2002,$A82,이수내역!$A$3:$A$2002,"&gt;="&amp;DATE($B$3,1,1),이수내역!$A$3:$A$2002,"&lt;="&amp;DATE($B$3,12,31)))</f>
        <v/>
      </c>
      <c r="H82" s="21" t="str">
        <f aca="false">IF($A82="","",SUMPRODUCT((이수현황!$D$6:$D$485=$A82)*((이수현황!$J$6:$J$485="기한초과")+(이수현황!$J$6:$J$485="임박"))))</f>
        <v/>
      </c>
    </row>
    <row r="83" customFormat="false" ht="15" hidden="false" customHeight="true" outlineLevel="0" collapsed="false">
      <c r="A83" s="20" t="str">
        <f aca="false">IF(교육과정!$A80="","",교육과정!$A80)</f>
        <v/>
      </c>
      <c r="B83" s="20" t="str">
        <f aca="false">IF($A83="","",교육과정!$B80)</f>
        <v/>
      </c>
      <c r="C83" s="20" t="str">
        <f aca="false">IF($A83="","",교육과정!$E80)</f>
        <v/>
      </c>
      <c r="D83" s="21" t="str">
        <f aca="false">IF($A83="","",교육과정!$C80)</f>
        <v/>
      </c>
      <c r="E83" s="21" t="str">
        <f aca="false">IF($A83="","",COUNTIFS(이수내역!$D$3:$D$2002,$A83,이수내역!$A$3:$A$2002,"&gt;="&amp;DATE($B$3,1,1),이수내역!$A$3:$A$2002,"&lt;="&amp;DATE($B$3,12,31)))</f>
        <v/>
      </c>
      <c r="F83" s="21" t="str">
        <f aca="false">IF($A83="","",SUMPRODUCT((직원목록!$A$3:$A$302&lt;&gt;"")*(COUNTIFS(이수내역!$B$3:$B$2002,직원목록!$A$3:$A$302,이수내역!$D$3:$D$2002,$A83,이수내역!$A$3:$A$2002,"&gt;="&amp;DATE($B$3,1,1),이수내역!$A$3:$A$2002,"&lt;="&amp;DATE($B$3,12,31))&gt;0)))</f>
        <v/>
      </c>
      <c r="G83" s="27" t="str">
        <f aca="false">IF($A83="","",SUMIFS(이수내역!$F$3:$F$2002,이수내역!$D$3:$D$2002,$A83,이수내역!$A$3:$A$2002,"&gt;="&amp;DATE($B$3,1,1),이수내역!$A$3:$A$2002,"&lt;="&amp;DATE($B$3,12,31)))</f>
        <v/>
      </c>
      <c r="H83" s="21" t="str">
        <f aca="false">IF($A83="","",SUMPRODUCT((이수현황!$D$6:$D$485=$A83)*((이수현황!$J$6:$J$485="기한초과")+(이수현황!$J$6:$J$485="임박"))))</f>
        <v/>
      </c>
    </row>
    <row r="84" customFormat="false" ht="15" hidden="false" customHeight="true" outlineLevel="0" collapsed="false">
      <c r="A84" s="20" t="str">
        <f aca="false">IF(교육과정!$A81="","",교육과정!$A81)</f>
        <v/>
      </c>
      <c r="B84" s="20" t="str">
        <f aca="false">IF($A84="","",교육과정!$B81)</f>
        <v/>
      </c>
      <c r="C84" s="20" t="str">
        <f aca="false">IF($A84="","",교육과정!$E81)</f>
        <v/>
      </c>
      <c r="D84" s="21" t="str">
        <f aca="false">IF($A84="","",교육과정!$C81)</f>
        <v/>
      </c>
      <c r="E84" s="21" t="str">
        <f aca="false">IF($A84="","",COUNTIFS(이수내역!$D$3:$D$2002,$A84,이수내역!$A$3:$A$2002,"&gt;="&amp;DATE($B$3,1,1),이수내역!$A$3:$A$2002,"&lt;="&amp;DATE($B$3,12,31)))</f>
        <v/>
      </c>
      <c r="F84" s="21" t="str">
        <f aca="false">IF($A84="","",SUMPRODUCT((직원목록!$A$3:$A$302&lt;&gt;"")*(COUNTIFS(이수내역!$B$3:$B$2002,직원목록!$A$3:$A$302,이수내역!$D$3:$D$2002,$A84,이수내역!$A$3:$A$2002,"&gt;="&amp;DATE($B$3,1,1),이수내역!$A$3:$A$2002,"&lt;="&amp;DATE($B$3,12,31))&gt;0)))</f>
        <v/>
      </c>
      <c r="G84" s="27" t="str">
        <f aca="false">IF($A84="","",SUMIFS(이수내역!$F$3:$F$2002,이수내역!$D$3:$D$2002,$A84,이수내역!$A$3:$A$2002,"&gt;="&amp;DATE($B$3,1,1),이수내역!$A$3:$A$2002,"&lt;="&amp;DATE($B$3,12,31)))</f>
        <v/>
      </c>
      <c r="H84" s="21" t="str">
        <f aca="false">IF($A84="","",SUMPRODUCT((이수현황!$D$6:$D$485=$A84)*((이수현황!$J$6:$J$485="기한초과")+(이수현황!$J$6:$J$485="임박"))))</f>
        <v/>
      </c>
    </row>
    <row r="85" customFormat="false" ht="15" hidden="false" customHeight="true" outlineLevel="0" collapsed="false">
      <c r="A85" s="20" t="str">
        <f aca="false">IF(교육과정!$A82="","",교육과정!$A82)</f>
        <v/>
      </c>
      <c r="B85" s="20" t="str">
        <f aca="false">IF($A85="","",교육과정!$B82)</f>
        <v/>
      </c>
      <c r="C85" s="20" t="str">
        <f aca="false">IF($A85="","",교육과정!$E82)</f>
        <v/>
      </c>
      <c r="D85" s="21" t="str">
        <f aca="false">IF($A85="","",교육과정!$C82)</f>
        <v/>
      </c>
      <c r="E85" s="21" t="str">
        <f aca="false">IF($A85="","",COUNTIFS(이수내역!$D$3:$D$2002,$A85,이수내역!$A$3:$A$2002,"&gt;="&amp;DATE($B$3,1,1),이수내역!$A$3:$A$2002,"&lt;="&amp;DATE($B$3,12,31)))</f>
        <v/>
      </c>
      <c r="F85" s="21" t="str">
        <f aca="false">IF($A85="","",SUMPRODUCT((직원목록!$A$3:$A$302&lt;&gt;"")*(COUNTIFS(이수내역!$B$3:$B$2002,직원목록!$A$3:$A$302,이수내역!$D$3:$D$2002,$A85,이수내역!$A$3:$A$2002,"&gt;="&amp;DATE($B$3,1,1),이수내역!$A$3:$A$2002,"&lt;="&amp;DATE($B$3,12,31))&gt;0)))</f>
        <v/>
      </c>
      <c r="G85" s="27" t="str">
        <f aca="false">IF($A85="","",SUMIFS(이수내역!$F$3:$F$2002,이수내역!$D$3:$D$2002,$A85,이수내역!$A$3:$A$2002,"&gt;="&amp;DATE($B$3,1,1),이수내역!$A$3:$A$2002,"&lt;="&amp;DATE($B$3,12,31)))</f>
        <v/>
      </c>
      <c r="H85" s="21" t="str">
        <f aca="false">IF($A85="","",SUMPRODUCT((이수현황!$D$6:$D$485=$A85)*((이수현황!$J$6:$J$485="기한초과")+(이수현황!$J$6:$J$485="임박"))))</f>
        <v/>
      </c>
    </row>
    <row r="86" customFormat="false" ht="15" hidden="false" customHeight="true" outlineLevel="0" collapsed="false">
      <c r="A86" s="20" t="str">
        <f aca="false">IF(교육과정!$A83="","",교육과정!$A83)</f>
        <v/>
      </c>
      <c r="B86" s="20" t="str">
        <f aca="false">IF($A86="","",교육과정!$B83)</f>
        <v/>
      </c>
      <c r="C86" s="20" t="str">
        <f aca="false">IF($A86="","",교육과정!$E83)</f>
        <v/>
      </c>
      <c r="D86" s="21" t="str">
        <f aca="false">IF($A86="","",교육과정!$C83)</f>
        <v/>
      </c>
      <c r="E86" s="21" t="str">
        <f aca="false">IF($A86="","",COUNTIFS(이수내역!$D$3:$D$2002,$A86,이수내역!$A$3:$A$2002,"&gt;="&amp;DATE($B$3,1,1),이수내역!$A$3:$A$2002,"&lt;="&amp;DATE($B$3,12,31)))</f>
        <v/>
      </c>
      <c r="F86" s="21" t="str">
        <f aca="false">IF($A86="","",SUMPRODUCT((직원목록!$A$3:$A$302&lt;&gt;"")*(COUNTIFS(이수내역!$B$3:$B$2002,직원목록!$A$3:$A$302,이수내역!$D$3:$D$2002,$A86,이수내역!$A$3:$A$2002,"&gt;="&amp;DATE($B$3,1,1),이수내역!$A$3:$A$2002,"&lt;="&amp;DATE($B$3,12,31))&gt;0)))</f>
        <v/>
      </c>
      <c r="G86" s="27" t="str">
        <f aca="false">IF($A86="","",SUMIFS(이수내역!$F$3:$F$2002,이수내역!$D$3:$D$2002,$A86,이수내역!$A$3:$A$2002,"&gt;="&amp;DATE($B$3,1,1),이수내역!$A$3:$A$2002,"&lt;="&amp;DATE($B$3,12,31)))</f>
        <v/>
      </c>
      <c r="H86" s="21" t="str">
        <f aca="false">IF($A86="","",SUMPRODUCT((이수현황!$D$6:$D$485=$A86)*((이수현황!$J$6:$J$485="기한초과")+(이수현황!$J$6:$J$485="임박"))))</f>
        <v/>
      </c>
    </row>
    <row r="87" customFormat="false" ht="15" hidden="false" customHeight="true" outlineLevel="0" collapsed="false">
      <c r="A87" s="20" t="str">
        <f aca="false">IF(교육과정!$A84="","",교육과정!$A84)</f>
        <v/>
      </c>
      <c r="B87" s="20" t="str">
        <f aca="false">IF($A87="","",교육과정!$B84)</f>
        <v/>
      </c>
      <c r="C87" s="20" t="str">
        <f aca="false">IF($A87="","",교육과정!$E84)</f>
        <v/>
      </c>
      <c r="D87" s="21" t="str">
        <f aca="false">IF($A87="","",교육과정!$C84)</f>
        <v/>
      </c>
      <c r="E87" s="21" t="str">
        <f aca="false">IF($A87="","",COUNTIFS(이수내역!$D$3:$D$2002,$A87,이수내역!$A$3:$A$2002,"&gt;="&amp;DATE($B$3,1,1),이수내역!$A$3:$A$2002,"&lt;="&amp;DATE($B$3,12,31)))</f>
        <v/>
      </c>
      <c r="F87" s="21" t="str">
        <f aca="false">IF($A87="","",SUMPRODUCT((직원목록!$A$3:$A$302&lt;&gt;"")*(COUNTIFS(이수내역!$B$3:$B$2002,직원목록!$A$3:$A$302,이수내역!$D$3:$D$2002,$A87,이수내역!$A$3:$A$2002,"&gt;="&amp;DATE($B$3,1,1),이수내역!$A$3:$A$2002,"&lt;="&amp;DATE($B$3,12,31))&gt;0)))</f>
        <v/>
      </c>
      <c r="G87" s="27" t="str">
        <f aca="false">IF($A87="","",SUMIFS(이수내역!$F$3:$F$2002,이수내역!$D$3:$D$2002,$A87,이수내역!$A$3:$A$2002,"&gt;="&amp;DATE($B$3,1,1),이수내역!$A$3:$A$2002,"&lt;="&amp;DATE($B$3,12,31)))</f>
        <v/>
      </c>
      <c r="H87" s="21" t="str">
        <f aca="false">IF($A87="","",SUMPRODUCT((이수현황!$D$6:$D$485=$A87)*((이수현황!$J$6:$J$485="기한초과")+(이수현황!$J$6:$J$485="임박"))))</f>
        <v/>
      </c>
    </row>
    <row r="88" customFormat="false" ht="15" hidden="false" customHeight="true" outlineLevel="0" collapsed="false">
      <c r="A88" s="20" t="str">
        <f aca="false">IF(교육과정!$A85="","",교육과정!$A85)</f>
        <v/>
      </c>
      <c r="B88" s="20" t="str">
        <f aca="false">IF($A88="","",교육과정!$B85)</f>
        <v/>
      </c>
      <c r="C88" s="20" t="str">
        <f aca="false">IF($A88="","",교육과정!$E85)</f>
        <v/>
      </c>
      <c r="D88" s="21" t="str">
        <f aca="false">IF($A88="","",교육과정!$C85)</f>
        <v/>
      </c>
      <c r="E88" s="21" t="str">
        <f aca="false">IF($A88="","",COUNTIFS(이수내역!$D$3:$D$2002,$A88,이수내역!$A$3:$A$2002,"&gt;="&amp;DATE($B$3,1,1),이수내역!$A$3:$A$2002,"&lt;="&amp;DATE($B$3,12,31)))</f>
        <v/>
      </c>
      <c r="F88" s="21" t="str">
        <f aca="false">IF($A88="","",SUMPRODUCT((직원목록!$A$3:$A$302&lt;&gt;"")*(COUNTIFS(이수내역!$B$3:$B$2002,직원목록!$A$3:$A$302,이수내역!$D$3:$D$2002,$A88,이수내역!$A$3:$A$2002,"&gt;="&amp;DATE($B$3,1,1),이수내역!$A$3:$A$2002,"&lt;="&amp;DATE($B$3,12,31))&gt;0)))</f>
        <v/>
      </c>
      <c r="G88" s="27" t="str">
        <f aca="false">IF($A88="","",SUMIFS(이수내역!$F$3:$F$2002,이수내역!$D$3:$D$2002,$A88,이수내역!$A$3:$A$2002,"&gt;="&amp;DATE($B$3,1,1),이수내역!$A$3:$A$2002,"&lt;="&amp;DATE($B$3,12,31)))</f>
        <v/>
      </c>
      <c r="H88" s="21" t="str">
        <f aca="false">IF($A88="","",SUMPRODUCT((이수현황!$D$6:$D$485=$A88)*((이수현황!$J$6:$J$485="기한초과")+(이수현황!$J$6:$J$485="임박"))))</f>
        <v/>
      </c>
    </row>
    <row r="89" customFormat="false" ht="15" hidden="false" customHeight="true" outlineLevel="0" collapsed="false">
      <c r="A89" s="20" t="str">
        <f aca="false">IF(교육과정!$A86="","",교육과정!$A86)</f>
        <v/>
      </c>
      <c r="B89" s="20" t="str">
        <f aca="false">IF($A89="","",교육과정!$B86)</f>
        <v/>
      </c>
      <c r="C89" s="20" t="str">
        <f aca="false">IF($A89="","",교육과정!$E86)</f>
        <v/>
      </c>
      <c r="D89" s="21" t="str">
        <f aca="false">IF($A89="","",교육과정!$C86)</f>
        <v/>
      </c>
      <c r="E89" s="21" t="str">
        <f aca="false">IF($A89="","",COUNTIFS(이수내역!$D$3:$D$2002,$A89,이수내역!$A$3:$A$2002,"&gt;="&amp;DATE($B$3,1,1),이수내역!$A$3:$A$2002,"&lt;="&amp;DATE($B$3,12,31)))</f>
        <v/>
      </c>
      <c r="F89" s="21" t="str">
        <f aca="false">IF($A89="","",SUMPRODUCT((직원목록!$A$3:$A$302&lt;&gt;"")*(COUNTIFS(이수내역!$B$3:$B$2002,직원목록!$A$3:$A$302,이수내역!$D$3:$D$2002,$A89,이수내역!$A$3:$A$2002,"&gt;="&amp;DATE($B$3,1,1),이수내역!$A$3:$A$2002,"&lt;="&amp;DATE($B$3,12,31))&gt;0)))</f>
        <v/>
      </c>
      <c r="G89" s="27" t="str">
        <f aca="false">IF($A89="","",SUMIFS(이수내역!$F$3:$F$2002,이수내역!$D$3:$D$2002,$A89,이수내역!$A$3:$A$2002,"&gt;="&amp;DATE($B$3,1,1),이수내역!$A$3:$A$2002,"&lt;="&amp;DATE($B$3,12,31)))</f>
        <v/>
      </c>
      <c r="H89" s="21" t="str">
        <f aca="false">IF($A89="","",SUMPRODUCT((이수현황!$D$6:$D$485=$A89)*((이수현황!$J$6:$J$485="기한초과")+(이수현황!$J$6:$J$485="임박"))))</f>
        <v/>
      </c>
    </row>
    <row r="90" customFormat="false" ht="15" hidden="false" customHeight="true" outlineLevel="0" collapsed="false">
      <c r="A90" s="20" t="str">
        <f aca="false">IF(교육과정!$A87="","",교육과정!$A87)</f>
        <v/>
      </c>
      <c r="B90" s="20" t="str">
        <f aca="false">IF($A90="","",교육과정!$B87)</f>
        <v/>
      </c>
      <c r="C90" s="20" t="str">
        <f aca="false">IF($A90="","",교육과정!$E87)</f>
        <v/>
      </c>
      <c r="D90" s="21" t="str">
        <f aca="false">IF($A90="","",교육과정!$C87)</f>
        <v/>
      </c>
      <c r="E90" s="21" t="str">
        <f aca="false">IF($A90="","",COUNTIFS(이수내역!$D$3:$D$2002,$A90,이수내역!$A$3:$A$2002,"&gt;="&amp;DATE($B$3,1,1),이수내역!$A$3:$A$2002,"&lt;="&amp;DATE($B$3,12,31)))</f>
        <v/>
      </c>
      <c r="F90" s="21" t="str">
        <f aca="false">IF($A90="","",SUMPRODUCT((직원목록!$A$3:$A$302&lt;&gt;"")*(COUNTIFS(이수내역!$B$3:$B$2002,직원목록!$A$3:$A$302,이수내역!$D$3:$D$2002,$A90,이수내역!$A$3:$A$2002,"&gt;="&amp;DATE($B$3,1,1),이수내역!$A$3:$A$2002,"&lt;="&amp;DATE($B$3,12,31))&gt;0)))</f>
        <v/>
      </c>
      <c r="G90" s="27" t="str">
        <f aca="false">IF($A90="","",SUMIFS(이수내역!$F$3:$F$2002,이수내역!$D$3:$D$2002,$A90,이수내역!$A$3:$A$2002,"&gt;="&amp;DATE($B$3,1,1),이수내역!$A$3:$A$2002,"&lt;="&amp;DATE($B$3,12,31)))</f>
        <v/>
      </c>
      <c r="H90" s="21" t="str">
        <f aca="false">IF($A90="","",SUMPRODUCT((이수현황!$D$6:$D$485=$A90)*((이수현황!$J$6:$J$485="기한초과")+(이수현황!$J$6:$J$485="임박"))))</f>
        <v/>
      </c>
    </row>
    <row r="91" customFormat="false" ht="15" hidden="false" customHeight="true" outlineLevel="0" collapsed="false">
      <c r="A91" s="20" t="str">
        <f aca="false">IF(교육과정!$A88="","",교육과정!$A88)</f>
        <v/>
      </c>
      <c r="B91" s="20" t="str">
        <f aca="false">IF($A91="","",교육과정!$B88)</f>
        <v/>
      </c>
      <c r="C91" s="20" t="str">
        <f aca="false">IF($A91="","",교육과정!$E88)</f>
        <v/>
      </c>
      <c r="D91" s="21" t="str">
        <f aca="false">IF($A91="","",교육과정!$C88)</f>
        <v/>
      </c>
      <c r="E91" s="21" t="str">
        <f aca="false">IF($A91="","",COUNTIFS(이수내역!$D$3:$D$2002,$A91,이수내역!$A$3:$A$2002,"&gt;="&amp;DATE($B$3,1,1),이수내역!$A$3:$A$2002,"&lt;="&amp;DATE($B$3,12,31)))</f>
        <v/>
      </c>
      <c r="F91" s="21" t="str">
        <f aca="false">IF($A91="","",SUMPRODUCT((직원목록!$A$3:$A$302&lt;&gt;"")*(COUNTIFS(이수내역!$B$3:$B$2002,직원목록!$A$3:$A$302,이수내역!$D$3:$D$2002,$A91,이수내역!$A$3:$A$2002,"&gt;="&amp;DATE($B$3,1,1),이수내역!$A$3:$A$2002,"&lt;="&amp;DATE($B$3,12,31))&gt;0)))</f>
        <v/>
      </c>
      <c r="G91" s="27" t="str">
        <f aca="false">IF($A91="","",SUMIFS(이수내역!$F$3:$F$2002,이수내역!$D$3:$D$2002,$A91,이수내역!$A$3:$A$2002,"&gt;="&amp;DATE($B$3,1,1),이수내역!$A$3:$A$2002,"&lt;="&amp;DATE($B$3,12,31)))</f>
        <v/>
      </c>
      <c r="H91" s="21" t="str">
        <f aca="false">IF($A91="","",SUMPRODUCT((이수현황!$D$6:$D$485=$A91)*((이수현황!$J$6:$J$485="기한초과")+(이수현황!$J$6:$J$485="임박"))))</f>
        <v/>
      </c>
    </row>
    <row r="92" customFormat="false" ht="15" hidden="false" customHeight="true" outlineLevel="0" collapsed="false">
      <c r="A92" s="20" t="str">
        <f aca="false">IF(교육과정!$A89="","",교육과정!$A89)</f>
        <v/>
      </c>
      <c r="B92" s="20" t="str">
        <f aca="false">IF($A92="","",교육과정!$B89)</f>
        <v/>
      </c>
      <c r="C92" s="20" t="str">
        <f aca="false">IF($A92="","",교육과정!$E89)</f>
        <v/>
      </c>
      <c r="D92" s="21" t="str">
        <f aca="false">IF($A92="","",교육과정!$C89)</f>
        <v/>
      </c>
      <c r="E92" s="21" t="str">
        <f aca="false">IF($A92="","",COUNTIFS(이수내역!$D$3:$D$2002,$A92,이수내역!$A$3:$A$2002,"&gt;="&amp;DATE($B$3,1,1),이수내역!$A$3:$A$2002,"&lt;="&amp;DATE($B$3,12,31)))</f>
        <v/>
      </c>
      <c r="F92" s="21" t="str">
        <f aca="false">IF($A92="","",SUMPRODUCT((직원목록!$A$3:$A$302&lt;&gt;"")*(COUNTIFS(이수내역!$B$3:$B$2002,직원목록!$A$3:$A$302,이수내역!$D$3:$D$2002,$A92,이수내역!$A$3:$A$2002,"&gt;="&amp;DATE($B$3,1,1),이수내역!$A$3:$A$2002,"&lt;="&amp;DATE($B$3,12,31))&gt;0)))</f>
        <v/>
      </c>
      <c r="G92" s="27" t="str">
        <f aca="false">IF($A92="","",SUMIFS(이수내역!$F$3:$F$2002,이수내역!$D$3:$D$2002,$A92,이수내역!$A$3:$A$2002,"&gt;="&amp;DATE($B$3,1,1),이수내역!$A$3:$A$2002,"&lt;="&amp;DATE($B$3,12,31)))</f>
        <v/>
      </c>
      <c r="H92" s="21" t="str">
        <f aca="false">IF($A92="","",SUMPRODUCT((이수현황!$D$6:$D$485=$A92)*((이수현황!$J$6:$J$485="기한초과")+(이수현황!$J$6:$J$485="임박"))))</f>
        <v/>
      </c>
    </row>
    <row r="93" customFormat="false" ht="15" hidden="false" customHeight="true" outlineLevel="0" collapsed="false">
      <c r="A93" s="20" t="str">
        <f aca="false">IF(교육과정!$A90="","",교육과정!$A90)</f>
        <v/>
      </c>
      <c r="B93" s="20" t="str">
        <f aca="false">IF($A93="","",교육과정!$B90)</f>
        <v/>
      </c>
      <c r="C93" s="20" t="str">
        <f aca="false">IF($A93="","",교육과정!$E90)</f>
        <v/>
      </c>
      <c r="D93" s="21" t="str">
        <f aca="false">IF($A93="","",교육과정!$C90)</f>
        <v/>
      </c>
      <c r="E93" s="21" t="str">
        <f aca="false">IF($A93="","",COUNTIFS(이수내역!$D$3:$D$2002,$A93,이수내역!$A$3:$A$2002,"&gt;="&amp;DATE($B$3,1,1),이수내역!$A$3:$A$2002,"&lt;="&amp;DATE($B$3,12,31)))</f>
        <v/>
      </c>
      <c r="F93" s="21" t="str">
        <f aca="false">IF($A93="","",SUMPRODUCT((직원목록!$A$3:$A$302&lt;&gt;"")*(COUNTIFS(이수내역!$B$3:$B$2002,직원목록!$A$3:$A$302,이수내역!$D$3:$D$2002,$A93,이수내역!$A$3:$A$2002,"&gt;="&amp;DATE($B$3,1,1),이수내역!$A$3:$A$2002,"&lt;="&amp;DATE($B$3,12,31))&gt;0)))</f>
        <v/>
      </c>
      <c r="G93" s="27" t="str">
        <f aca="false">IF($A93="","",SUMIFS(이수내역!$F$3:$F$2002,이수내역!$D$3:$D$2002,$A93,이수내역!$A$3:$A$2002,"&gt;="&amp;DATE($B$3,1,1),이수내역!$A$3:$A$2002,"&lt;="&amp;DATE($B$3,12,31)))</f>
        <v/>
      </c>
      <c r="H93" s="21" t="str">
        <f aca="false">IF($A93="","",SUMPRODUCT((이수현황!$D$6:$D$485=$A93)*((이수현황!$J$6:$J$485="기한초과")+(이수현황!$J$6:$J$485="임박"))))</f>
        <v/>
      </c>
    </row>
    <row r="94" customFormat="false" ht="15" hidden="false" customHeight="true" outlineLevel="0" collapsed="false">
      <c r="A94" s="20" t="str">
        <f aca="false">IF(교육과정!$A91="","",교육과정!$A91)</f>
        <v/>
      </c>
      <c r="B94" s="20" t="str">
        <f aca="false">IF($A94="","",교육과정!$B91)</f>
        <v/>
      </c>
      <c r="C94" s="20" t="str">
        <f aca="false">IF($A94="","",교육과정!$E91)</f>
        <v/>
      </c>
      <c r="D94" s="21" t="str">
        <f aca="false">IF($A94="","",교육과정!$C91)</f>
        <v/>
      </c>
      <c r="E94" s="21" t="str">
        <f aca="false">IF($A94="","",COUNTIFS(이수내역!$D$3:$D$2002,$A94,이수내역!$A$3:$A$2002,"&gt;="&amp;DATE($B$3,1,1),이수내역!$A$3:$A$2002,"&lt;="&amp;DATE($B$3,12,31)))</f>
        <v/>
      </c>
      <c r="F94" s="21" t="str">
        <f aca="false">IF($A94="","",SUMPRODUCT((직원목록!$A$3:$A$302&lt;&gt;"")*(COUNTIFS(이수내역!$B$3:$B$2002,직원목록!$A$3:$A$302,이수내역!$D$3:$D$2002,$A94,이수내역!$A$3:$A$2002,"&gt;="&amp;DATE($B$3,1,1),이수내역!$A$3:$A$2002,"&lt;="&amp;DATE($B$3,12,31))&gt;0)))</f>
        <v/>
      </c>
      <c r="G94" s="27" t="str">
        <f aca="false">IF($A94="","",SUMIFS(이수내역!$F$3:$F$2002,이수내역!$D$3:$D$2002,$A94,이수내역!$A$3:$A$2002,"&gt;="&amp;DATE($B$3,1,1),이수내역!$A$3:$A$2002,"&lt;="&amp;DATE($B$3,12,31)))</f>
        <v/>
      </c>
      <c r="H94" s="21" t="str">
        <f aca="false">IF($A94="","",SUMPRODUCT((이수현황!$D$6:$D$485=$A94)*((이수현황!$J$6:$J$485="기한초과")+(이수현황!$J$6:$J$485="임박"))))</f>
        <v/>
      </c>
    </row>
    <row r="95" customFormat="false" ht="15" hidden="false" customHeight="true" outlineLevel="0" collapsed="false">
      <c r="A95" s="20" t="str">
        <f aca="false">IF(교육과정!$A92="","",교육과정!$A92)</f>
        <v/>
      </c>
      <c r="B95" s="20" t="str">
        <f aca="false">IF($A95="","",교육과정!$B92)</f>
        <v/>
      </c>
      <c r="C95" s="20" t="str">
        <f aca="false">IF($A95="","",교육과정!$E92)</f>
        <v/>
      </c>
      <c r="D95" s="21" t="str">
        <f aca="false">IF($A95="","",교육과정!$C92)</f>
        <v/>
      </c>
      <c r="E95" s="21" t="str">
        <f aca="false">IF($A95="","",COUNTIFS(이수내역!$D$3:$D$2002,$A95,이수내역!$A$3:$A$2002,"&gt;="&amp;DATE($B$3,1,1),이수내역!$A$3:$A$2002,"&lt;="&amp;DATE($B$3,12,31)))</f>
        <v/>
      </c>
      <c r="F95" s="21" t="str">
        <f aca="false">IF($A95="","",SUMPRODUCT((직원목록!$A$3:$A$302&lt;&gt;"")*(COUNTIFS(이수내역!$B$3:$B$2002,직원목록!$A$3:$A$302,이수내역!$D$3:$D$2002,$A95,이수내역!$A$3:$A$2002,"&gt;="&amp;DATE($B$3,1,1),이수내역!$A$3:$A$2002,"&lt;="&amp;DATE($B$3,12,31))&gt;0)))</f>
        <v/>
      </c>
      <c r="G95" s="27" t="str">
        <f aca="false">IF($A95="","",SUMIFS(이수내역!$F$3:$F$2002,이수내역!$D$3:$D$2002,$A95,이수내역!$A$3:$A$2002,"&gt;="&amp;DATE($B$3,1,1),이수내역!$A$3:$A$2002,"&lt;="&amp;DATE($B$3,12,31)))</f>
        <v/>
      </c>
      <c r="H95" s="21" t="str">
        <f aca="false">IF($A95="","",SUMPRODUCT((이수현황!$D$6:$D$485=$A95)*((이수현황!$J$6:$J$485="기한초과")+(이수현황!$J$6:$J$485="임박"))))</f>
        <v/>
      </c>
    </row>
    <row r="96" customFormat="false" ht="15" hidden="false" customHeight="true" outlineLevel="0" collapsed="false">
      <c r="A96" s="20" t="str">
        <f aca="false">IF(교육과정!$A93="","",교육과정!$A93)</f>
        <v/>
      </c>
      <c r="B96" s="20" t="str">
        <f aca="false">IF($A96="","",교육과정!$B93)</f>
        <v/>
      </c>
      <c r="C96" s="20" t="str">
        <f aca="false">IF($A96="","",교육과정!$E93)</f>
        <v/>
      </c>
      <c r="D96" s="21" t="str">
        <f aca="false">IF($A96="","",교육과정!$C93)</f>
        <v/>
      </c>
      <c r="E96" s="21" t="str">
        <f aca="false">IF($A96="","",COUNTIFS(이수내역!$D$3:$D$2002,$A96,이수내역!$A$3:$A$2002,"&gt;="&amp;DATE($B$3,1,1),이수내역!$A$3:$A$2002,"&lt;="&amp;DATE($B$3,12,31)))</f>
        <v/>
      </c>
      <c r="F96" s="21" t="str">
        <f aca="false">IF($A96="","",SUMPRODUCT((직원목록!$A$3:$A$302&lt;&gt;"")*(COUNTIFS(이수내역!$B$3:$B$2002,직원목록!$A$3:$A$302,이수내역!$D$3:$D$2002,$A96,이수내역!$A$3:$A$2002,"&gt;="&amp;DATE($B$3,1,1),이수내역!$A$3:$A$2002,"&lt;="&amp;DATE($B$3,12,31))&gt;0)))</f>
        <v/>
      </c>
      <c r="G96" s="27" t="str">
        <f aca="false">IF($A96="","",SUMIFS(이수내역!$F$3:$F$2002,이수내역!$D$3:$D$2002,$A96,이수내역!$A$3:$A$2002,"&gt;="&amp;DATE($B$3,1,1),이수내역!$A$3:$A$2002,"&lt;="&amp;DATE($B$3,12,31)))</f>
        <v/>
      </c>
      <c r="H96" s="21" t="str">
        <f aca="false">IF($A96="","",SUMPRODUCT((이수현황!$D$6:$D$485=$A96)*((이수현황!$J$6:$J$485="기한초과")+(이수현황!$J$6:$J$485="임박"))))</f>
        <v/>
      </c>
    </row>
    <row r="97" customFormat="false" ht="15" hidden="false" customHeight="true" outlineLevel="0" collapsed="false">
      <c r="A97" s="20" t="str">
        <f aca="false">IF(교육과정!$A94="","",교육과정!$A94)</f>
        <v/>
      </c>
      <c r="B97" s="20" t="str">
        <f aca="false">IF($A97="","",교육과정!$B94)</f>
        <v/>
      </c>
      <c r="C97" s="20" t="str">
        <f aca="false">IF($A97="","",교육과정!$E94)</f>
        <v/>
      </c>
      <c r="D97" s="21" t="str">
        <f aca="false">IF($A97="","",교육과정!$C94)</f>
        <v/>
      </c>
      <c r="E97" s="21" t="str">
        <f aca="false">IF($A97="","",COUNTIFS(이수내역!$D$3:$D$2002,$A97,이수내역!$A$3:$A$2002,"&gt;="&amp;DATE($B$3,1,1),이수내역!$A$3:$A$2002,"&lt;="&amp;DATE($B$3,12,31)))</f>
        <v/>
      </c>
      <c r="F97" s="21" t="str">
        <f aca="false">IF($A97="","",SUMPRODUCT((직원목록!$A$3:$A$302&lt;&gt;"")*(COUNTIFS(이수내역!$B$3:$B$2002,직원목록!$A$3:$A$302,이수내역!$D$3:$D$2002,$A97,이수내역!$A$3:$A$2002,"&gt;="&amp;DATE($B$3,1,1),이수내역!$A$3:$A$2002,"&lt;="&amp;DATE($B$3,12,31))&gt;0)))</f>
        <v/>
      </c>
      <c r="G97" s="27" t="str">
        <f aca="false">IF($A97="","",SUMIFS(이수내역!$F$3:$F$2002,이수내역!$D$3:$D$2002,$A97,이수내역!$A$3:$A$2002,"&gt;="&amp;DATE($B$3,1,1),이수내역!$A$3:$A$2002,"&lt;="&amp;DATE($B$3,12,31)))</f>
        <v/>
      </c>
      <c r="H97" s="21" t="str">
        <f aca="false">IF($A97="","",SUMPRODUCT((이수현황!$D$6:$D$485=$A97)*((이수현황!$J$6:$J$485="기한초과")+(이수현황!$J$6:$J$485="임박"))))</f>
        <v/>
      </c>
    </row>
    <row r="98" customFormat="false" ht="15" hidden="false" customHeight="true" outlineLevel="0" collapsed="false">
      <c r="A98" s="20" t="str">
        <f aca="false">IF(교육과정!$A95="","",교육과정!$A95)</f>
        <v/>
      </c>
      <c r="B98" s="20" t="str">
        <f aca="false">IF($A98="","",교육과정!$B95)</f>
        <v/>
      </c>
      <c r="C98" s="20" t="str">
        <f aca="false">IF($A98="","",교육과정!$E95)</f>
        <v/>
      </c>
      <c r="D98" s="21" t="str">
        <f aca="false">IF($A98="","",교육과정!$C95)</f>
        <v/>
      </c>
      <c r="E98" s="21" t="str">
        <f aca="false">IF($A98="","",COUNTIFS(이수내역!$D$3:$D$2002,$A98,이수내역!$A$3:$A$2002,"&gt;="&amp;DATE($B$3,1,1),이수내역!$A$3:$A$2002,"&lt;="&amp;DATE($B$3,12,31)))</f>
        <v/>
      </c>
      <c r="F98" s="21" t="str">
        <f aca="false">IF($A98="","",SUMPRODUCT((직원목록!$A$3:$A$302&lt;&gt;"")*(COUNTIFS(이수내역!$B$3:$B$2002,직원목록!$A$3:$A$302,이수내역!$D$3:$D$2002,$A98,이수내역!$A$3:$A$2002,"&gt;="&amp;DATE($B$3,1,1),이수내역!$A$3:$A$2002,"&lt;="&amp;DATE($B$3,12,31))&gt;0)))</f>
        <v/>
      </c>
      <c r="G98" s="27" t="str">
        <f aca="false">IF($A98="","",SUMIFS(이수내역!$F$3:$F$2002,이수내역!$D$3:$D$2002,$A98,이수내역!$A$3:$A$2002,"&gt;="&amp;DATE($B$3,1,1),이수내역!$A$3:$A$2002,"&lt;="&amp;DATE($B$3,12,31)))</f>
        <v/>
      </c>
      <c r="H98" s="21" t="str">
        <f aca="false">IF($A98="","",SUMPRODUCT((이수현황!$D$6:$D$485=$A98)*((이수현황!$J$6:$J$485="기한초과")+(이수현황!$J$6:$J$485="임박"))))</f>
        <v/>
      </c>
    </row>
    <row r="99" customFormat="false" ht="15" hidden="false" customHeight="true" outlineLevel="0" collapsed="false">
      <c r="A99" s="20" t="str">
        <f aca="false">IF(교육과정!$A96="","",교육과정!$A96)</f>
        <v/>
      </c>
      <c r="B99" s="20" t="str">
        <f aca="false">IF($A99="","",교육과정!$B96)</f>
        <v/>
      </c>
      <c r="C99" s="20" t="str">
        <f aca="false">IF($A99="","",교육과정!$E96)</f>
        <v/>
      </c>
      <c r="D99" s="21" t="str">
        <f aca="false">IF($A99="","",교육과정!$C96)</f>
        <v/>
      </c>
      <c r="E99" s="21" t="str">
        <f aca="false">IF($A99="","",COUNTIFS(이수내역!$D$3:$D$2002,$A99,이수내역!$A$3:$A$2002,"&gt;="&amp;DATE($B$3,1,1),이수내역!$A$3:$A$2002,"&lt;="&amp;DATE($B$3,12,31)))</f>
        <v/>
      </c>
      <c r="F99" s="21" t="str">
        <f aca="false">IF($A99="","",SUMPRODUCT((직원목록!$A$3:$A$302&lt;&gt;"")*(COUNTIFS(이수내역!$B$3:$B$2002,직원목록!$A$3:$A$302,이수내역!$D$3:$D$2002,$A99,이수내역!$A$3:$A$2002,"&gt;="&amp;DATE($B$3,1,1),이수내역!$A$3:$A$2002,"&lt;="&amp;DATE($B$3,12,31))&gt;0)))</f>
        <v/>
      </c>
      <c r="G99" s="27" t="str">
        <f aca="false">IF($A99="","",SUMIFS(이수내역!$F$3:$F$2002,이수내역!$D$3:$D$2002,$A99,이수내역!$A$3:$A$2002,"&gt;="&amp;DATE($B$3,1,1),이수내역!$A$3:$A$2002,"&lt;="&amp;DATE($B$3,12,31)))</f>
        <v/>
      </c>
      <c r="H99" s="21" t="str">
        <f aca="false">IF($A99="","",SUMPRODUCT((이수현황!$D$6:$D$485=$A99)*((이수현황!$J$6:$J$485="기한초과")+(이수현황!$J$6:$J$485="임박"))))</f>
        <v/>
      </c>
    </row>
    <row r="100" customFormat="false" ht="15" hidden="false" customHeight="true" outlineLevel="0" collapsed="false">
      <c r="A100" s="20" t="str">
        <f aca="false">IF(교육과정!$A97="","",교육과정!$A97)</f>
        <v/>
      </c>
      <c r="B100" s="20" t="str">
        <f aca="false">IF($A100="","",교육과정!$B97)</f>
        <v/>
      </c>
      <c r="C100" s="20" t="str">
        <f aca="false">IF($A100="","",교육과정!$E97)</f>
        <v/>
      </c>
      <c r="D100" s="21" t="str">
        <f aca="false">IF($A100="","",교육과정!$C97)</f>
        <v/>
      </c>
      <c r="E100" s="21" t="str">
        <f aca="false">IF($A100="","",COUNTIFS(이수내역!$D$3:$D$2002,$A100,이수내역!$A$3:$A$2002,"&gt;="&amp;DATE($B$3,1,1),이수내역!$A$3:$A$2002,"&lt;="&amp;DATE($B$3,12,31)))</f>
        <v/>
      </c>
      <c r="F100" s="21" t="str">
        <f aca="false">IF($A100="","",SUMPRODUCT((직원목록!$A$3:$A$302&lt;&gt;"")*(COUNTIFS(이수내역!$B$3:$B$2002,직원목록!$A$3:$A$302,이수내역!$D$3:$D$2002,$A100,이수내역!$A$3:$A$2002,"&gt;="&amp;DATE($B$3,1,1),이수내역!$A$3:$A$2002,"&lt;="&amp;DATE($B$3,12,31))&gt;0)))</f>
        <v/>
      </c>
      <c r="G100" s="27" t="str">
        <f aca="false">IF($A100="","",SUMIFS(이수내역!$F$3:$F$2002,이수내역!$D$3:$D$2002,$A100,이수내역!$A$3:$A$2002,"&gt;="&amp;DATE($B$3,1,1),이수내역!$A$3:$A$2002,"&lt;="&amp;DATE($B$3,12,31)))</f>
        <v/>
      </c>
      <c r="H100" s="21" t="str">
        <f aca="false">IF($A100="","",SUMPRODUCT((이수현황!$D$6:$D$485=$A100)*((이수현황!$J$6:$J$485="기한초과")+(이수현황!$J$6:$J$485="임박"))))</f>
        <v/>
      </c>
    </row>
    <row r="101" customFormat="false" ht="15" hidden="false" customHeight="true" outlineLevel="0" collapsed="false">
      <c r="A101" s="20" t="str">
        <f aca="false">IF(교육과정!$A98="","",교육과정!$A98)</f>
        <v/>
      </c>
      <c r="B101" s="20" t="str">
        <f aca="false">IF($A101="","",교육과정!$B98)</f>
        <v/>
      </c>
      <c r="C101" s="20" t="str">
        <f aca="false">IF($A101="","",교육과정!$E98)</f>
        <v/>
      </c>
      <c r="D101" s="21" t="str">
        <f aca="false">IF($A101="","",교육과정!$C98)</f>
        <v/>
      </c>
      <c r="E101" s="21" t="str">
        <f aca="false">IF($A101="","",COUNTIFS(이수내역!$D$3:$D$2002,$A101,이수내역!$A$3:$A$2002,"&gt;="&amp;DATE($B$3,1,1),이수내역!$A$3:$A$2002,"&lt;="&amp;DATE($B$3,12,31)))</f>
        <v/>
      </c>
      <c r="F101" s="21" t="str">
        <f aca="false">IF($A101="","",SUMPRODUCT((직원목록!$A$3:$A$302&lt;&gt;"")*(COUNTIFS(이수내역!$B$3:$B$2002,직원목록!$A$3:$A$302,이수내역!$D$3:$D$2002,$A101,이수내역!$A$3:$A$2002,"&gt;="&amp;DATE($B$3,1,1),이수내역!$A$3:$A$2002,"&lt;="&amp;DATE($B$3,12,31))&gt;0)))</f>
        <v/>
      </c>
      <c r="G101" s="27" t="str">
        <f aca="false">IF($A101="","",SUMIFS(이수내역!$F$3:$F$2002,이수내역!$D$3:$D$2002,$A101,이수내역!$A$3:$A$2002,"&gt;="&amp;DATE($B$3,1,1),이수내역!$A$3:$A$2002,"&lt;="&amp;DATE($B$3,12,31)))</f>
        <v/>
      </c>
      <c r="H101" s="21" t="str">
        <f aca="false">IF($A101="","",SUMPRODUCT((이수현황!$D$6:$D$485=$A101)*((이수현황!$J$6:$J$485="기한초과")+(이수현황!$J$6:$J$485="임박"))))</f>
        <v/>
      </c>
    </row>
    <row r="102" customFormat="false" ht="15" hidden="false" customHeight="true" outlineLevel="0" collapsed="false">
      <c r="A102" s="20" t="str">
        <f aca="false">IF(교육과정!$A99="","",교육과정!$A99)</f>
        <v/>
      </c>
      <c r="B102" s="20" t="str">
        <f aca="false">IF($A102="","",교육과정!$B99)</f>
        <v/>
      </c>
      <c r="C102" s="20" t="str">
        <f aca="false">IF($A102="","",교육과정!$E99)</f>
        <v/>
      </c>
      <c r="D102" s="21" t="str">
        <f aca="false">IF($A102="","",교육과정!$C99)</f>
        <v/>
      </c>
      <c r="E102" s="21" t="str">
        <f aca="false">IF($A102="","",COUNTIFS(이수내역!$D$3:$D$2002,$A102,이수내역!$A$3:$A$2002,"&gt;="&amp;DATE($B$3,1,1),이수내역!$A$3:$A$2002,"&lt;="&amp;DATE($B$3,12,31)))</f>
        <v/>
      </c>
      <c r="F102" s="21" t="str">
        <f aca="false">IF($A102="","",SUMPRODUCT((직원목록!$A$3:$A$302&lt;&gt;"")*(COUNTIFS(이수내역!$B$3:$B$2002,직원목록!$A$3:$A$302,이수내역!$D$3:$D$2002,$A102,이수내역!$A$3:$A$2002,"&gt;="&amp;DATE($B$3,1,1),이수내역!$A$3:$A$2002,"&lt;="&amp;DATE($B$3,12,31))&gt;0)))</f>
        <v/>
      </c>
      <c r="G102" s="27" t="str">
        <f aca="false">IF($A102="","",SUMIFS(이수내역!$F$3:$F$2002,이수내역!$D$3:$D$2002,$A102,이수내역!$A$3:$A$2002,"&gt;="&amp;DATE($B$3,1,1),이수내역!$A$3:$A$2002,"&lt;="&amp;DATE($B$3,12,31)))</f>
        <v/>
      </c>
      <c r="H102" s="21" t="str">
        <f aca="false">IF($A102="","",SUMPRODUCT((이수현황!$D$6:$D$485=$A102)*((이수현황!$J$6:$J$485="기한초과")+(이수현황!$J$6:$J$485="임박"))))</f>
        <v/>
      </c>
    </row>
    <row r="103" customFormat="false" ht="15" hidden="false" customHeight="true" outlineLevel="0" collapsed="false">
      <c r="A103" s="20" t="str">
        <f aca="false">IF(교육과정!$A100="","",교육과정!$A100)</f>
        <v/>
      </c>
      <c r="B103" s="20" t="str">
        <f aca="false">IF($A103="","",교육과정!$B100)</f>
        <v/>
      </c>
      <c r="C103" s="20" t="str">
        <f aca="false">IF($A103="","",교육과정!$E100)</f>
        <v/>
      </c>
      <c r="D103" s="21" t="str">
        <f aca="false">IF($A103="","",교육과정!$C100)</f>
        <v/>
      </c>
      <c r="E103" s="21" t="str">
        <f aca="false">IF($A103="","",COUNTIFS(이수내역!$D$3:$D$2002,$A103,이수내역!$A$3:$A$2002,"&gt;="&amp;DATE($B$3,1,1),이수내역!$A$3:$A$2002,"&lt;="&amp;DATE($B$3,12,31)))</f>
        <v/>
      </c>
      <c r="F103" s="21" t="str">
        <f aca="false">IF($A103="","",SUMPRODUCT((직원목록!$A$3:$A$302&lt;&gt;"")*(COUNTIFS(이수내역!$B$3:$B$2002,직원목록!$A$3:$A$302,이수내역!$D$3:$D$2002,$A103,이수내역!$A$3:$A$2002,"&gt;="&amp;DATE($B$3,1,1),이수내역!$A$3:$A$2002,"&lt;="&amp;DATE($B$3,12,31))&gt;0)))</f>
        <v/>
      </c>
      <c r="G103" s="27" t="str">
        <f aca="false">IF($A103="","",SUMIFS(이수내역!$F$3:$F$2002,이수내역!$D$3:$D$2002,$A103,이수내역!$A$3:$A$2002,"&gt;="&amp;DATE($B$3,1,1),이수내역!$A$3:$A$2002,"&lt;="&amp;DATE($B$3,12,31)))</f>
        <v/>
      </c>
      <c r="H103" s="21" t="str">
        <f aca="false">IF($A103="","",SUMPRODUCT((이수현황!$D$6:$D$485=$A103)*((이수현황!$J$6:$J$485="기한초과")+(이수현황!$J$6:$J$485="임박"))))</f>
        <v/>
      </c>
    </row>
    <row r="104" customFormat="false" ht="15" hidden="false" customHeight="true" outlineLevel="0" collapsed="false">
      <c r="A104" s="20" t="str">
        <f aca="false">IF(교육과정!$A101="","",교육과정!$A101)</f>
        <v/>
      </c>
      <c r="B104" s="20" t="str">
        <f aca="false">IF($A104="","",교육과정!$B101)</f>
        <v/>
      </c>
      <c r="C104" s="20" t="str">
        <f aca="false">IF($A104="","",교육과정!$E101)</f>
        <v/>
      </c>
      <c r="D104" s="21" t="str">
        <f aca="false">IF($A104="","",교육과정!$C101)</f>
        <v/>
      </c>
      <c r="E104" s="21" t="str">
        <f aca="false">IF($A104="","",COUNTIFS(이수내역!$D$3:$D$2002,$A104,이수내역!$A$3:$A$2002,"&gt;="&amp;DATE($B$3,1,1),이수내역!$A$3:$A$2002,"&lt;="&amp;DATE($B$3,12,31)))</f>
        <v/>
      </c>
      <c r="F104" s="21" t="str">
        <f aca="false">IF($A104="","",SUMPRODUCT((직원목록!$A$3:$A$302&lt;&gt;"")*(COUNTIFS(이수내역!$B$3:$B$2002,직원목록!$A$3:$A$302,이수내역!$D$3:$D$2002,$A104,이수내역!$A$3:$A$2002,"&gt;="&amp;DATE($B$3,1,1),이수내역!$A$3:$A$2002,"&lt;="&amp;DATE($B$3,12,31))&gt;0)))</f>
        <v/>
      </c>
      <c r="G104" s="27" t="str">
        <f aca="false">IF($A104="","",SUMIFS(이수내역!$F$3:$F$2002,이수내역!$D$3:$D$2002,$A104,이수내역!$A$3:$A$2002,"&gt;="&amp;DATE($B$3,1,1),이수내역!$A$3:$A$2002,"&lt;="&amp;DATE($B$3,12,31)))</f>
        <v/>
      </c>
      <c r="H104" s="21" t="str">
        <f aca="false">IF($A104="","",SUMPRODUCT((이수현황!$D$6:$D$485=$A104)*((이수현황!$J$6:$J$485="기한초과")+(이수현황!$J$6:$J$485="임박"))))</f>
        <v/>
      </c>
    </row>
    <row r="105" customFormat="false" ht="15" hidden="false" customHeight="true" outlineLevel="0" collapsed="false">
      <c r="A105" s="20" t="str">
        <f aca="false">IF(교육과정!$A102="","",교육과정!$A102)</f>
        <v/>
      </c>
      <c r="B105" s="20" t="str">
        <f aca="false">IF($A105="","",교육과정!$B102)</f>
        <v/>
      </c>
      <c r="C105" s="20" t="str">
        <f aca="false">IF($A105="","",교육과정!$E102)</f>
        <v/>
      </c>
      <c r="D105" s="21" t="str">
        <f aca="false">IF($A105="","",교육과정!$C102)</f>
        <v/>
      </c>
      <c r="E105" s="21" t="str">
        <f aca="false">IF($A105="","",COUNTIFS(이수내역!$D$3:$D$2002,$A105,이수내역!$A$3:$A$2002,"&gt;="&amp;DATE($B$3,1,1),이수내역!$A$3:$A$2002,"&lt;="&amp;DATE($B$3,12,31)))</f>
        <v/>
      </c>
      <c r="F105" s="21" t="str">
        <f aca="false">IF($A105="","",SUMPRODUCT((직원목록!$A$3:$A$302&lt;&gt;"")*(COUNTIFS(이수내역!$B$3:$B$2002,직원목록!$A$3:$A$302,이수내역!$D$3:$D$2002,$A105,이수내역!$A$3:$A$2002,"&gt;="&amp;DATE($B$3,1,1),이수내역!$A$3:$A$2002,"&lt;="&amp;DATE($B$3,12,31))&gt;0)))</f>
        <v/>
      </c>
      <c r="G105" s="27" t="str">
        <f aca="false">IF($A105="","",SUMIFS(이수내역!$F$3:$F$2002,이수내역!$D$3:$D$2002,$A105,이수내역!$A$3:$A$2002,"&gt;="&amp;DATE($B$3,1,1),이수내역!$A$3:$A$2002,"&lt;="&amp;DATE($B$3,12,31)))</f>
        <v/>
      </c>
      <c r="H105" s="21" t="str">
        <f aca="false">IF($A105="","",SUMPRODUCT((이수현황!$D$6:$D$485=$A105)*((이수현황!$J$6:$J$485="기한초과")+(이수현황!$J$6:$J$485="임박"))))</f>
        <v/>
      </c>
    </row>
  </sheetData>
  <mergeCells count="1">
    <mergeCell ref="A1:H1"/>
  </mergeCells>
  <conditionalFormatting sqref="A6:H105">
    <cfRule type="expression" priority="2" aboveAverage="0" equalAverage="0" bottom="0" percent="0" rank="0" text="" dxfId="0">
      <formula>AND($A6&lt;&gt;"",$H6&gt;0)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2026-09-14T10:19:06Z</dcterms:created>
  <dc:creator>openpyxl</dc:creator>
  <dc:description/>
  <dc:language>en-US</dc:language>
  <cp:lastModifiedBy/>
  <dcterms:modified xsi:type="dcterms:W3CDTF">2026-09-14T10:21:05Z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