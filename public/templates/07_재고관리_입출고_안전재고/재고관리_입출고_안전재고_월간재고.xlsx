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안내" sheetId="1" state="visible" r:id="rId3"/>
    <sheet name="품목마스터" sheetId="2" state="visible" r:id="rId4"/>
    <sheet name="입출고내역" sheetId="3" state="visible" r:id="rId5"/>
    <sheet name="품목검색" sheetId="4" state="visible" r:id="rId6"/>
    <sheet name="재고현황" sheetId="5" state="visible" r:id="rId7"/>
    <sheet name="월간재고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<sst xmlns="http://schemas.openxmlformats.org/spreadsheetml/2006/main" count="112" uniqueCount="90">
  <si>
    <t xml:space="preserve">재고관리 (입출고 · 안전재고 · 월간재고)</t>
  </si>
  <si>
    <t xml:space="preserve">핵심</t>
  </si>
  <si>
    <t xml:space="preserve">입고·출고를 [입출고내역] 한 곳에만 입력합니다. 재고현황·월간재고가 전부 자동으로 따라옵니다.</t>
  </si>
  <si>
    <t xml:space="preserve">입력 규칙</t>
  </si>
  <si>
    <t xml:space="preserve">파란색 글씨 칸만 입력하세요. 검은색은 자동 계산입니다.</t>
  </si>
  <si>
    <t xml:space="preserve">① 품목마스터</t>
  </si>
  <si>
    <t xml:space="preserve">품번·품목명·초기재고·안전재고를 등록합니다. 여기 적은 순서가 모든 표의 순서가 됩니다.</t>
  </si>
  <si>
    <t xml:space="preserve">② 입출고내역</t>
  </si>
  <si>
    <t xml:space="preserve">입고든 출고든 여기 한 줄씩. 입력 즉시 그 시점의 재고가 옆에 표시됩니다.</t>
  </si>
  <si>
    <t xml:space="preserve">이전 재고에서 자동으로 더하고 빼므로 따로 계산할 필요가 없습니다.</t>
  </si>
  <si>
    <t xml:space="preserve">③ 품목검색</t>
  </si>
  <si>
    <t xml:space="preserve">품목이 많아 찾기 힘들 때 씁니다. 이름 일부만 넣으면 걸리는 품목이 나옵니다.</t>
  </si>
  <si>
    <t xml:space="preserve">④ 재고현황</t>
  </si>
  <si>
    <t xml:space="preserve">품목별 현재고와 안전재고 대비 충족률이 막대로 표시됩니다.</t>
  </si>
  <si>
    <t xml:space="preserve">⑤ 월간재고</t>
  </si>
  <si>
    <t xml:space="preserve">월별 입고·출고·월말재고입니다. 품목마스터에 적은 순서 그대로 나옵니다.</t>
  </si>
  <si>
    <t xml:space="preserve">안전재고란</t>
  </si>
  <si>
    <t xml:space="preserve">이 수량 밑으로 떨어지면 안 되는 최소 재고입니다. 미달하면 빨간색으로 표시됩니다.</t>
  </si>
  <si>
    <t xml:space="preserve">재고 계산 방식</t>
  </si>
  <si>
    <t xml:space="preserve">초기재고 + 누적 입고 − 누적 출고</t>
  </si>
  <si>
    <t xml:space="preserve">※ 실사 재고와 차이가 나면 [입출고내역]에 구분을 '조정'으로 넣고 수량에 차이만큼 기록하세요.</t>
  </si>
  <si>
    <t xml:space="preserve">※ 이 파일은 1,000건까지 처리하도록 만들어졌습니다.</t>
  </si>
  <si>
    <t xml:space="preserve">품목마스터  (여기 적은 순서가 모든 표의 순서가 됩니다)</t>
  </si>
  <si>
    <t xml:space="preserve">품번</t>
  </si>
  <si>
    <t xml:space="preserve">품목명</t>
  </si>
  <si>
    <t xml:space="preserve">규격</t>
  </si>
  <si>
    <t xml:space="preserve">단위</t>
  </si>
  <si>
    <t xml:space="preserve">분류</t>
  </si>
  <si>
    <t xml:space="preserve">초기재고</t>
  </si>
  <si>
    <t xml:space="preserve">안전재고</t>
  </si>
  <si>
    <t xml:space="preserve">비고</t>
  </si>
  <si>
    <t xml:space="preserve">A001</t>
  </si>
  <si>
    <t xml:space="preserve">육각볼트 M10</t>
  </si>
  <si>
    <t xml:space="preserve">SUS304 L30</t>
  </si>
  <si>
    <t xml:space="preserve">EA</t>
  </si>
  <si>
    <t xml:space="preserve">체결부품</t>
  </si>
  <si>
    <t xml:space="preserve">A002</t>
  </si>
  <si>
    <t xml:space="preserve">평와셔 M10</t>
  </si>
  <si>
    <t xml:space="preserve">SUS304</t>
  </si>
  <si>
    <t xml:space="preserve">B001</t>
  </si>
  <si>
    <t xml:space="preserve">베어링 6204</t>
  </si>
  <si>
    <t xml:space="preserve">내경20</t>
  </si>
  <si>
    <t xml:space="preserve">구동부품</t>
  </si>
  <si>
    <t xml:space="preserve">C001</t>
  </si>
  <si>
    <t xml:space="preserve">절삭유</t>
  </si>
  <si>
    <t xml:space="preserve">20L</t>
  </si>
  <si>
    <t xml:space="preserve">통</t>
  </si>
  <si>
    <t xml:space="preserve">소모품</t>
  </si>
  <si>
    <t xml:space="preserve">입출고내역  (입고·출고·조정을 여기 한 곳에만 입력)</t>
  </si>
  <si>
    <t xml:space="preserve">일자</t>
  </si>
  <si>
    <t xml:space="preserve">구분</t>
  </si>
  <si>
    <t xml:space="preserve">품목명(자동)</t>
  </si>
  <si>
    <t xml:space="preserve">규격(자동)</t>
  </si>
  <si>
    <t xml:space="preserve">단위(자동)</t>
  </si>
  <si>
    <t xml:space="preserve">수량</t>
  </si>
  <si>
    <t xml:space="preserve">단가</t>
  </si>
  <si>
    <t xml:space="preserve">금액(자동)</t>
  </si>
  <si>
    <t xml:space="preserve">거래처</t>
  </si>
  <si>
    <t xml:space="preserve">증감(자동)</t>
  </si>
  <si>
    <t xml:space="preserve">이동후재고(자동)</t>
  </si>
  <si>
    <r>
      <rPr>
        <sz val="9"/>
        <color rgb="FF808080"/>
        <rFont val="맑은 고딕"/>
        <family val="0"/>
        <charset val="1"/>
      </rPr>
      <t xml:space="preserve">※ '</t>
    </r>
    <r>
      <rPr>
        <sz val="9"/>
        <color rgb="FF808080"/>
        <rFont val="Noto Sans CJK SC"/>
        <family val="2"/>
      </rPr>
      <t xml:space="preserve">조정</t>
    </r>
    <r>
      <rPr>
        <sz val="9"/>
        <color rgb="FF808080"/>
        <rFont val="맑은 고딕"/>
        <family val="0"/>
        <charset val="1"/>
      </rPr>
      <t xml:space="preserve">'</t>
    </r>
    <r>
      <rPr>
        <sz val="9"/>
        <color rgb="FF808080"/>
        <rFont val="Noto Sans CJK SC"/>
        <family val="2"/>
      </rPr>
      <t xml:space="preserve">은 실사 차이를 맞출 때 씁니다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Noto Sans CJK SC"/>
        <family val="2"/>
      </rPr>
      <t xml:space="preserve">늘리면 양수</t>
    </r>
    <r>
      <rPr>
        <sz val="9"/>
        <color rgb="FF808080"/>
        <rFont val="맑은 고딕"/>
        <family val="0"/>
        <charset val="1"/>
      </rPr>
      <t xml:space="preserve">(+), </t>
    </r>
    <r>
      <rPr>
        <sz val="9"/>
        <color rgb="FF808080"/>
        <rFont val="Noto Sans CJK SC"/>
        <family val="2"/>
      </rPr>
      <t xml:space="preserve">줄이면 음수</t>
    </r>
    <r>
      <rPr>
        <sz val="9"/>
        <color rgb="FF808080"/>
        <rFont val="맑은 고딕"/>
        <family val="0"/>
        <charset val="1"/>
      </rPr>
      <t xml:space="preserve">(-)</t>
    </r>
    <r>
      <rPr>
        <sz val="9"/>
        <color rgb="FF808080"/>
        <rFont val="Noto Sans CJK SC"/>
        <family val="2"/>
      </rPr>
      <t xml:space="preserve">로 수량을 넣으세요</t>
    </r>
    <r>
      <rPr>
        <sz val="9"/>
        <color rgb="FF808080"/>
        <rFont val="맑은 고딕"/>
        <family val="0"/>
        <charset val="1"/>
      </rPr>
      <t xml:space="preserve">.</t>
    </r>
  </si>
  <si>
    <t xml:space="preserve">※ 이동후재고가 음수면 빨간 배경으로 표시됩니다. 입력 누락을 확인하세요.</t>
  </si>
  <si>
    <t xml:space="preserve">품목검색  (이름 일부만 넣으면 걸리는 품목이 나옵니다)</t>
  </si>
  <si>
    <t xml:space="preserve">일치(자동)</t>
  </si>
  <si>
    <t xml:space="preserve">순번(자동)</t>
  </si>
  <si>
    <t xml:space="preserve">검색키(자동)</t>
  </si>
  <si>
    <t xml:space="preserve">검색어</t>
  </si>
  <si>
    <t xml:space="preserve">볼트</t>
  </si>
  <si>
    <t xml:space="preserve">← 품목명 또는 규격의 일부를 넣으세요. 비우면 전체가 나옵니다.</t>
  </si>
  <si>
    <t xml:space="preserve">검색 결과</t>
  </si>
  <si>
    <t xml:space="preserve">순번</t>
  </si>
  <si>
    <t xml:space="preserve">현재고</t>
  </si>
  <si>
    <t xml:space="preserve">※ 결과는 40건까지 표시됩니다. 검색어를 더 구체적으로 넣으세요.</t>
  </si>
  <si>
    <t xml:space="preserve">※ 현재고가 안전재고보다 적으면 빨간 배경으로 표시됩니다.</t>
  </si>
  <si>
    <t xml:space="preserve">재고현황  (안전재고 대비 충족률)</t>
  </si>
  <si>
    <t xml:space="preserve">총입고</t>
  </si>
  <si>
    <t xml:space="preserve">총출고</t>
  </si>
  <si>
    <t xml:space="preserve">충족률</t>
  </si>
  <si>
    <t xml:space="preserve">합계</t>
  </si>
  <si>
    <t xml:space="preserve">미달 품목 수</t>
  </si>
  <si>
    <t xml:space="preserve">※ ■ 열 개가 안전재고 100% 기준입니다. 넘어도 열 개로 표시됩니다.</t>
  </si>
  <si>
    <t xml:space="preserve">월간재고  (품목마스터 순서 그대로)</t>
  </si>
  <si>
    <t xml:space="preserve">대상 연도</t>
  </si>
  <si>
    <t xml:space="preserve">대상 월</t>
  </si>
  <si>
    <t xml:space="preserve">← 두 칸만 바꾸면 아래가 전부 바뀝니다</t>
  </si>
  <si>
    <t xml:space="preserve">전월말재고</t>
  </si>
  <si>
    <t xml:space="preserve">당월입고</t>
  </si>
  <si>
    <t xml:space="preserve">당월출고</t>
  </si>
  <si>
    <t xml:space="preserve">월말재고</t>
  </si>
  <si>
    <t xml:space="preserve">※ 월말재고가 안전재고보다 적으면 빨간 배경으로 표시됩니다.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</si>
</sst>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"/>
    <numFmt numFmtId="167" formatCode="#,##0;[RED]\-#,##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  <charset val="1"/>
    </font>
    <font>
      <sz val="10"/>
      <name val="맑은 고딕"/>
      <family val="0"/>
      <charset val="1"/>
    </font>
    <font>
      <sz val="9"/>
      <color rgb="FF808080"/>
      <name val="맑은 고딕"/>
      <family val="0"/>
      <charset val="1"/>
    </font>
    <font>
      <sz val="9"/>
      <color rgb="FF808080"/>
      <name val="Noto Sans CJK SC"/>
      <family val="2"/>
    </font>
    <font>
      <b val="true"/>
      <sz val="11"/>
      <name val="맑은 고딕"/>
      <family val="0"/>
      <charset val="1"/>
    </font>
    <font>
      <b val="true"/>
      <sz val="10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B9A"/>
        <bgColor rgb="FF0066CC"/>
      </patternFill>
    </fill>
    <fill>
      <patternFill patternType="solid">
        <fgColor rgb="FF6B7A8F"/>
        <bgColor rgb="FF808080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404040"/>
      </left>
      <right/>
      <top style="medium">
        <color rgb="FF404040"/>
      </top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E4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E4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B7A8F"/>
      <rgbColor rgb="FF969696"/>
      <rgbColor rgb="FF1F3864"/>
      <rgbColor rgb="FF339966"/>
      <rgbColor rgb="FF003300"/>
      <rgbColor rgb="FF333300"/>
      <rgbColor rgb="FF993300"/>
      <rgbColor rgb="FF993366"/>
      <rgbColor rgb="FF2E5B9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3" min="3" style="1" width="82"/>
  </cols>
  <sheetData>
    <row r="2" customFormat="false" ht="25.5" hidden="false" customHeight="true" outlineLevel="0" collapsed="false">
      <c r="B2" s="2" t="s">
        <v>0</v>
      </c>
      <c r="C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4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/>
      <c r="C8" s="4" t="s">
        <v>9</v>
      </c>
    </row>
    <row r="9" customFormat="false" ht="15" hidden="false" customHeight="true" outlineLevel="0" collapsed="false">
      <c r="B9" s="3" t="s">
        <v>10</v>
      </c>
      <c r="C9" s="4" t="s">
        <v>11</v>
      </c>
    </row>
    <row r="10" customFormat="false" ht="15" hidden="false" customHeight="true" outlineLevel="0" collapsed="false">
      <c r="B10" s="3" t="s">
        <v>12</v>
      </c>
      <c r="C10" s="4" t="s">
        <v>13</v>
      </c>
    </row>
    <row r="11" customFormat="false" ht="15" hidden="false" customHeight="true" outlineLevel="0" collapsed="false">
      <c r="B11" s="3" t="s">
        <v>14</v>
      </c>
      <c r="C11" s="4" t="s">
        <v>15</v>
      </c>
    </row>
    <row r="12" customFormat="false" ht="15" hidden="false" customHeight="true" outlineLevel="0" collapsed="false">
      <c r="B12" s="3" t="s">
        <v>16</v>
      </c>
      <c r="C12" s="4" t="s">
        <v>17</v>
      </c>
    </row>
    <row r="13" customFormat="false" ht="15" hidden="false" customHeight="true" outlineLevel="0" collapsed="false">
      <c r="B13" s="3" t="s">
        <v>18</v>
      </c>
      <c r="C13" s="4" t="s">
        <v>19</v>
      </c>
    </row>
    <row r="15" customFormat="false" ht="15" hidden="false" customHeight="true" outlineLevel="0" collapsed="false">
      <c r="B15" s="5" t="s">
        <v>20</v>
      </c>
    </row>
    <row r="16" customFormat="false" ht="15" hidden="false" customHeight="true" outlineLevel="0" collapsed="false">
      <c r="B16" s="5" t="s">
        <v>21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0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20"/>
  </cols>
  <sheetData>
    <row r="1" customFormat="false" ht="25.5" hidden="false" customHeight="true" outlineLevel="0" collapsed="false">
      <c r="A1" s="2" t="s">
        <v>22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</row>
    <row r="3" customFormat="false" ht="15" hidden="false" customHeight="true" outlineLevel="0" collapsed="false">
      <c r="A3" s="7" t="s">
        <v>31</v>
      </c>
      <c r="B3" s="8" t="s">
        <v>32</v>
      </c>
      <c r="C3" s="7" t="s">
        <v>33</v>
      </c>
      <c r="D3" s="7" t="s">
        <v>34</v>
      </c>
      <c r="E3" s="8" t="s">
        <v>35</v>
      </c>
      <c r="F3" s="9" t="n">
        <v>500</v>
      </c>
      <c r="G3" s="9" t="n">
        <v>100</v>
      </c>
      <c r="H3" s="7"/>
    </row>
    <row r="4" customFormat="false" ht="15" hidden="false" customHeight="true" outlineLevel="0" collapsed="false">
      <c r="A4" s="7" t="s">
        <v>36</v>
      </c>
      <c r="B4" s="8" t="s">
        <v>37</v>
      </c>
      <c r="C4" s="7" t="s">
        <v>38</v>
      </c>
      <c r="D4" s="7" t="s">
        <v>34</v>
      </c>
      <c r="E4" s="8" t="s">
        <v>35</v>
      </c>
      <c r="F4" s="9" t="n">
        <v>800</v>
      </c>
      <c r="G4" s="9" t="n">
        <v>200</v>
      </c>
      <c r="H4" s="7"/>
    </row>
    <row r="5" customFormat="false" ht="15" hidden="false" customHeight="true" outlineLevel="0" collapsed="false">
      <c r="A5" s="7" t="s">
        <v>39</v>
      </c>
      <c r="B5" s="8" t="s">
        <v>40</v>
      </c>
      <c r="C5" s="8" t="s">
        <v>41</v>
      </c>
      <c r="D5" s="7" t="s">
        <v>34</v>
      </c>
      <c r="E5" s="8" t="s">
        <v>42</v>
      </c>
      <c r="F5" s="9" t="n">
        <v>40</v>
      </c>
      <c r="G5" s="9" t="n">
        <v>10</v>
      </c>
      <c r="H5" s="7"/>
    </row>
    <row r="6" customFormat="false" ht="15" hidden="false" customHeight="true" outlineLevel="0" collapsed="false">
      <c r="A6" s="7" t="s">
        <v>43</v>
      </c>
      <c r="B6" s="8" t="s">
        <v>44</v>
      </c>
      <c r="C6" s="7" t="s">
        <v>45</v>
      </c>
      <c r="D6" s="8" t="s">
        <v>46</v>
      </c>
      <c r="E6" s="8" t="s">
        <v>47</v>
      </c>
      <c r="F6" s="9" t="n">
        <v>12</v>
      </c>
      <c r="G6" s="9" t="n">
        <v>4</v>
      </c>
      <c r="H6" s="7"/>
    </row>
    <row r="7" customFormat="false" ht="15" hidden="false" customHeight="true" outlineLevel="0" collapsed="false">
      <c r="A7" s="7"/>
      <c r="B7" s="7"/>
      <c r="C7" s="7"/>
      <c r="D7" s="7"/>
      <c r="E7" s="7"/>
      <c r="F7" s="9"/>
      <c r="G7" s="9"/>
      <c r="H7" s="7"/>
    </row>
    <row r="8" customFormat="false" ht="15" hidden="false" customHeight="true" outlineLevel="0" collapsed="false">
      <c r="A8" s="7"/>
      <c r="B8" s="7"/>
      <c r="C8" s="7"/>
      <c r="D8" s="7"/>
      <c r="E8" s="7"/>
      <c r="F8" s="9"/>
      <c r="G8" s="9"/>
      <c r="H8" s="7"/>
    </row>
    <row r="9" customFormat="false" ht="15" hidden="false" customHeight="true" outlineLevel="0" collapsed="false">
      <c r="A9" s="7"/>
      <c r="B9" s="7"/>
      <c r="C9" s="7"/>
      <c r="D9" s="7"/>
      <c r="E9" s="7"/>
      <c r="F9" s="9"/>
      <c r="G9" s="9"/>
      <c r="H9" s="7"/>
    </row>
    <row r="10" customFormat="false" ht="15" hidden="false" customHeight="true" outlineLevel="0" collapsed="false">
      <c r="A10" s="7"/>
      <c r="B10" s="7"/>
      <c r="C10" s="7"/>
      <c r="D10" s="7"/>
      <c r="E10" s="7"/>
      <c r="F10" s="9"/>
      <c r="G10" s="9"/>
      <c r="H10" s="7"/>
    </row>
    <row r="11" customFormat="false" ht="15" hidden="false" customHeight="true" outlineLevel="0" collapsed="false">
      <c r="A11" s="7"/>
      <c r="B11" s="7"/>
      <c r="C11" s="7"/>
      <c r="D11" s="7"/>
      <c r="E11" s="7"/>
      <c r="F11" s="9"/>
      <c r="G11" s="9"/>
      <c r="H11" s="7"/>
    </row>
    <row r="12" customFormat="false" ht="15" hidden="false" customHeight="true" outlineLevel="0" collapsed="false">
      <c r="A12" s="7"/>
      <c r="B12" s="7"/>
      <c r="C12" s="7"/>
      <c r="D12" s="7"/>
      <c r="E12" s="7"/>
      <c r="F12" s="9"/>
      <c r="G12" s="9"/>
      <c r="H12" s="7"/>
    </row>
    <row r="13" customFormat="false" ht="15" hidden="false" customHeight="true" outlineLevel="0" collapsed="false">
      <c r="A13" s="7"/>
      <c r="B13" s="7"/>
      <c r="C13" s="7"/>
      <c r="D13" s="7"/>
      <c r="E13" s="7"/>
      <c r="F13" s="9"/>
      <c r="G13" s="9"/>
      <c r="H13" s="7"/>
    </row>
    <row r="14" customFormat="false" ht="15" hidden="false" customHeight="true" outlineLevel="0" collapsed="false">
      <c r="A14" s="7"/>
      <c r="B14" s="7"/>
      <c r="C14" s="7"/>
      <c r="D14" s="7"/>
      <c r="E14" s="7"/>
      <c r="F14" s="9"/>
      <c r="G14" s="9"/>
      <c r="H14" s="7"/>
    </row>
    <row r="15" customFormat="false" ht="15" hidden="false" customHeight="true" outlineLevel="0" collapsed="false">
      <c r="A15" s="7"/>
      <c r="B15" s="7"/>
      <c r="C15" s="7"/>
      <c r="D15" s="7"/>
      <c r="E15" s="7"/>
      <c r="F15" s="9"/>
      <c r="G15" s="9"/>
      <c r="H15" s="7"/>
    </row>
    <row r="16" customFormat="false" ht="15" hidden="false" customHeight="true" outlineLevel="0" collapsed="false">
      <c r="A16" s="7"/>
      <c r="B16" s="7"/>
      <c r="C16" s="7"/>
      <c r="D16" s="7"/>
      <c r="E16" s="7"/>
      <c r="F16" s="9"/>
      <c r="G16" s="9"/>
      <c r="H16" s="7"/>
    </row>
    <row r="17" customFormat="false" ht="15" hidden="false" customHeight="true" outlineLevel="0" collapsed="false">
      <c r="A17" s="7"/>
      <c r="B17" s="7"/>
      <c r="C17" s="7"/>
      <c r="D17" s="7"/>
      <c r="E17" s="7"/>
      <c r="F17" s="9"/>
      <c r="G17" s="9"/>
      <c r="H17" s="7"/>
    </row>
    <row r="18" customFormat="false" ht="15" hidden="false" customHeight="true" outlineLevel="0" collapsed="false">
      <c r="A18" s="7"/>
      <c r="B18" s="7"/>
      <c r="C18" s="7"/>
      <c r="D18" s="7"/>
      <c r="E18" s="7"/>
      <c r="F18" s="9"/>
      <c r="G18" s="9"/>
      <c r="H18" s="7"/>
    </row>
    <row r="19" customFormat="false" ht="15" hidden="false" customHeight="true" outlineLevel="0" collapsed="false">
      <c r="A19" s="7"/>
      <c r="B19" s="7"/>
      <c r="C19" s="7"/>
      <c r="D19" s="7"/>
      <c r="E19" s="7"/>
      <c r="F19" s="9"/>
      <c r="G19" s="9"/>
      <c r="H19" s="7"/>
    </row>
    <row r="20" customFormat="false" ht="15" hidden="false" customHeight="true" outlineLevel="0" collapsed="false">
      <c r="A20" s="7"/>
      <c r="B20" s="7"/>
      <c r="C20" s="7"/>
      <c r="D20" s="7"/>
      <c r="E20" s="7"/>
      <c r="F20" s="9"/>
      <c r="G20" s="9"/>
      <c r="H20" s="7"/>
    </row>
    <row r="21" customFormat="false" ht="15" hidden="false" customHeight="true" outlineLevel="0" collapsed="false">
      <c r="A21" s="7"/>
      <c r="B21" s="7"/>
      <c r="C21" s="7"/>
      <c r="D21" s="7"/>
      <c r="E21" s="7"/>
      <c r="F21" s="9"/>
      <c r="G21" s="9"/>
      <c r="H21" s="7"/>
    </row>
    <row r="22" customFormat="false" ht="15" hidden="false" customHeight="true" outlineLevel="0" collapsed="false">
      <c r="A22" s="7"/>
      <c r="B22" s="7"/>
      <c r="C22" s="7"/>
      <c r="D22" s="7"/>
      <c r="E22" s="7"/>
      <c r="F22" s="9"/>
      <c r="G22" s="9"/>
      <c r="H22" s="7"/>
    </row>
    <row r="23" customFormat="false" ht="15" hidden="false" customHeight="true" outlineLevel="0" collapsed="false">
      <c r="A23" s="7"/>
      <c r="B23" s="7"/>
      <c r="C23" s="7"/>
      <c r="D23" s="7"/>
      <c r="E23" s="7"/>
      <c r="F23" s="9"/>
      <c r="G23" s="9"/>
      <c r="H23" s="7"/>
    </row>
    <row r="24" customFormat="false" ht="15" hidden="false" customHeight="true" outlineLevel="0" collapsed="false">
      <c r="A24" s="7"/>
      <c r="B24" s="7"/>
      <c r="C24" s="7"/>
      <c r="D24" s="7"/>
      <c r="E24" s="7"/>
      <c r="F24" s="9"/>
      <c r="G24" s="9"/>
      <c r="H24" s="7"/>
    </row>
    <row r="25" customFormat="false" ht="15" hidden="false" customHeight="true" outlineLevel="0" collapsed="false">
      <c r="A25" s="7"/>
      <c r="B25" s="7"/>
      <c r="C25" s="7"/>
      <c r="D25" s="7"/>
      <c r="E25" s="7"/>
      <c r="F25" s="9"/>
      <c r="G25" s="9"/>
      <c r="H25" s="7"/>
    </row>
    <row r="26" customFormat="false" ht="15" hidden="false" customHeight="true" outlineLevel="0" collapsed="false">
      <c r="A26" s="7"/>
      <c r="B26" s="7"/>
      <c r="C26" s="7"/>
      <c r="D26" s="7"/>
      <c r="E26" s="7"/>
      <c r="F26" s="9"/>
      <c r="G26" s="9"/>
      <c r="H26" s="7"/>
    </row>
    <row r="27" customFormat="false" ht="15" hidden="false" customHeight="true" outlineLevel="0" collapsed="false">
      <c r="A27" s="7"/>
      <c r="B27" s="7"/>
      <c r="C27" s="7"/>
      <c r="D27" s="7"/>
      <c r="E27" s="7"/>
      <c r="F27" s="9"/>
      <c r="G27" s="9"/>
      <c r="H27" s="7"/>
    </row>
    <row r="28" customFormat="false" ht="15" hidden="false" customHeight="true" outlineLevel="0" collapsed="false">
      <c r="A28" s="7"/>
      <c r="B28" s="7"/>
      <c r="C28" s="7"/>
      <c r="D28" s="7"/>
      <c r="E28" s="7"/>
      <c r="F28" s="9"/>
      <c r="G28" s="9"/>
      <c r="H28" s="7"/>
    </row>
    <row r="29" customFormat="false" ht="15" hidden="false" customHeight="true" outlineLevel="0" collapsed="false">
      <c r="A29" s="7"/>
      <c r="B29" s="7"/>
      <c r="C29" s="7"/>
      <c r="D29" s="7"/>
      <c r="E29" s="7"/>
      <c r="F29" s="9"/>
      <c r="G29" s="9"/>
      <c r="H29" s="7"/>
    </row>
    <row r="30" customFormat="false" ht="15" hidden="false" customHeight="true" outlineLevel="0" collapsed="false">
      <c r="A30" s="7"/>
      <c r="B30" s="7"/>
      <c r="C30" s="7"/>
      <c r="D30" s="7"/>
      <c r="E30" s="7"/>
      <c r="F30" s="9"/>
      <c r="G30" s="9"/>
      <c r="H30" s="7"/>
    </row>
    <row r="31" customFormat="false" ht="15" hidden="false" customHeight="true" outlineLevel="0" collapsed="false">
      <c r="A31" s="7"/>
      <c r="B31" s="7"/>
      <c r="C31" s="7"/>
      <c r="D31" s="7"/>
      <c r="E31" s="7"/>
      <c r="F31" s="9"/>
      <c r="G31" s="9"/>
      <c r="H31" s="7"/>
    </row>
    <row r="32" customFormat="false" ht="15" hidden="false" customHeight="true" outlineLevel="0" collapsed="false">
      <c r="A32" s="7"/>
      <c r="B32" s="7"/>
      <c r="C32" s="7"/>
      <c r="D32" s="7"/>
      <c r="E32" s="7"/>
      <c r="F32" s="9"/>
      <c r="G32" s="9"/>
      <c r="H32" s="7"/>
    </row>
    <row r="33" customFormat="false" ht="15" hidden="false" customHeight="true" outlineLevel="0" collapsed="false">
      <c r="A33" s="7"/>
      <c r="B33" s="7"/>
      <c r="C33" s="7"/>
      <c r="D33" s="7"/>
      <c r="E33" s="7"/>
      <c r="F33" s="9"/>
      <c r="G33" s="9"/>
      <c r="H33" s="7"/>
    </row>
    <row r="34" customFormat="false" ht="15" hidden="false" customHeight="true" outlineLevel="0" collapsed="false">
      <c r="A34" s="7"/>
      <c r="B34" s="7"/>
      <c r="C34" s="7"/>
      <c r="D34" s="7"/>
      <c r="E34" s="7"/>
      <c r="F34" s="9"/>
      <c r="G34" s="9"/>
      <c r="H34" s="7"/>
    </row>
    <row r="35" customFormat="false" ht="15" hidden="false" customHeight="true" outlineLevel="0" collapsed="false">
      <c r="A35" s="7"/>
      <c r="B35" s="7"/>
      <c r="C35" s="7"/>
      <c r="D35" s="7"/>
      <c r="E35" s="7"/>
      <c r="F35" s="9"/>
      <c r="G35" s="9"/>
      <c r="H35" s="7"/>
    </row>
    <row r="36" customFormat="false" ht="15" hidden="false" customHeight="true" outlineLevel="0" collapsed="false">
      <c r="A36" s="7"/>
      <c r="B36" s="7"/>
      <c r="C36" s="7"/>
      <c r="D36" s="7"/>
      <c r="E36" s="7"/>
      <c r="F36" s="9"/>
      <c r="G36" s="9"/>
      <c r="H36" s="7"/>
    </row>
    <row r="37" customFormat="false" ht="15" hidden="false" customHeight="true" outlineLevel="0" collapsed="false">
      <c r="A37" s="7"/>
      <c r="B37" s="7"/>
      <c r="C37" s="7"/>
      <c r="D37" s="7"/>
      <c r="E37" s="7"/>
      <c r="F37" s="9"/>
      <c r="G37" s="9"/>
      <c r="H37" s="7"/>
    </row>
    <row r="38" customFormat="false" ht="15" hidden="false" customHeight="true" outlineLevel="0" collapsed="false">
      <c r="A38" s="7"/>
      <c r="B38" s="7"/>
      <c r="C38" s="7"/>
      <c r="D38" s="7"/>
      <c r="E38" s="7"/>
      <c r="F38" s="9"/>
      <c r="G38" s="9"/>
      <c r="H38" s="7"/>
    </row>
    <row r="39" customFormat="false" ht="15" hidden="false" customHeight="true" outlineLevel="0" collapsed="false">
      <c r="A39" s="7"/>
      <c r="B39" s="7"/>
      <c r="C39" s="7"/>
      <c r="D39" s="7"/>
      <c r="E39" s="7"/>
      <c r="F39" s="9"/>
      <c r="G39" s="9"/>
      <c r="H39" s="7"/>
    </row>
    <row r="40" customFormat="false" ht="15" hidden="false" customHeight="true" outlineLevel="0" collapsed="false">
      <c r="A40" s="7"/>
      <c r="B40" s="7"/>
      <c r="C40" s="7"/>
      <c r="D40" s="7"/>
      <c r="E40" s="7"/>
      <c r="F40" s="9"/>
      <c r="G40" s="9"/>
      <c r="H40" s="7"/>
    </row>
    <row r="41" customFormat="false" ht="15" hidden="false" customHeight="true" outlineLevel="0" collapsed="false">
      <c r="A41" s="7"/>
      <c r="B41" s="7"/>
      <c r="C41" s="7"/>
      <c r="D41" s="7"/>
      <c r="E41" s="7"/>
      <c r="F41" s="9"/>
      <c r="G41" s="9"/>
      <c r="H41" s="7"/>
    </row>
    <row r="42" customFormat="false" ht="15" hidden="false" customHeight="true" outlineLevel="0" collapsed="false">
      <c r="A42" s="7"/>
      <c r="B42" s="7"/>
      <c r="C42" s="7"/>
      <c r="D42" s="7"/>
      <c r="E42" s="7"/>
      <c r="F42" s="9"/>
      <c r="G42" s="9"/>
      <c r="H42" s="7"/>
    </row>
    <row r="43" customFormat="false" ht="15" hidden="false" customHeight="true" outlineLevel="0" collapsed="false">
      <c r="A43" s="7"/>
      <c r="B43" s="7"/>
      <c r="C43" s="7"/>
      <c r="D43" s="7"/>
      <c r="E43" s="7"/>
      <c r="F43" s="9"/>
      <c r="G43" s="9"/>
      <c r="H43" s="7"/>
    </row>
    <row r="44" customFormat="false" ht="15" hidden="false" customHeight="true" outlineLevel="0" collapsed="false">
      <c r="A44" s="7"/>
      <c r="B44" s="7"/>
      <c r="C44" s="7"/>
      <c r="D44" s="7"/>
      <c r="E44" s="7"/>
      <c r="F44" s="9"/>
      <c r="G44" s="9"/>
      <c r="H44" s="7"/>
    </row>
    <row r="45" customFormat="false" ht="15" hidden="false" customHeight="true" outlineLevel="0" collapsed="false">
      <c r="A45" s="7"/>
      <c r="B45" s="7"/>
      <c r="C45" s="7"/>
      <c r="D45" s="7"/>
      <c r="E45" s="7"/>
      <c r="F45" s="9"/>
      <c r="G45" s="9"/>
      <c r="H45" s="7"/>
    </row>
    <row r="46" customFormat="false" ht="15" hidden="false" customHeight="true" outlineLevel="0" collapsed="false">
      <c r="A46" s="7"/>
      <c r="B46" s="7"/>
      <c r="C46" s="7"/>
      <c r="D46" s="7"/>
      <c r="E46" s="7"/>
      <c r="F46" s="9"/>
      <c r="G46" s="9"/>
      <c r="H46" s="7"/>
    </row>
    <row r="47" customFormat="false" ht="15" hidden="false" customHeight="true" outlineLevel="0" collapsed="false">
      <c r="A47" s="7"/>
      <c r="B47" s="7"/>
      <c r="C47" s="7"/>
      <c r="D47" s="7"/>
      <c r="E47" s="7"/>
      <c r="F47" s="9"/>
      <c r="G47" s="9"/>
      <c r="H47" s="7"/>
    </row>
    <row r="48" customFormat="false" ht="15" hidden="false" customHeight="true" outlineLevel="0" collapsed="false">
      <c r="A48" s="7"/>
      <c r="B48" s="7"/>
      <c r="C48" s="7"/>
      <c r="D48" s="7"/>
      <c r="E48" s="7"/>
      <c r="F48" s="9"/>
      <c r="G48" s="9"/>
      <c r="H48" s="7"/>
    </row>
    <row r="49" customFormat="false" ht="15" hidden="false" customHeight="true" outlineLevel="0" collapsed="false">
      <c r="A49" s="7"/>
      <c r="B49" s="7"/>
      <c r="C49" s="7"/>
      <c r="D49" s="7"/>
      <c r="E49" s="7"/>
      <c r="F49" s="9"/>
      <c r="G49" s="9"/>
      <c r="H49" s="7"/>
    </row>
    <row r="50" customFormat="false" ht="15" hidden="false" customHeight="true" outlineLevel="0" collapsed="false">
      <c r="A50" s="7"/>
      <c r="B50" s="7"/>
      <c r="C50" s="7"/>
      <c r="D50" s="7"/>
      <c r="E50" s="7"/>
      <c r="F50" s="9"/>
      <c r="G50" s="9"/>
      <c r="H50" s="7"/>
    </row>
    <row r="51" customFormat="false" ht="15" hidden="false" customHeight="true" outlineLevel="0" collapsed="false">
      <c r="A51" s="7"/>
      <c r="B51" s="7"/>
      <c r="C51" s="7"/>
      <c r="D51" s="7"/>
      <c r="E51" s="7"/>
      <c r="F51" s="9"/>
      <c r="G51" s="9"/>
      <c r="H51" s="7"/>
    </row>
    <row r="52" customFormat="false" ht="15" hidden="false" customHeight="true" outlineLevel="0" collapsed="false">
      <c r="A52" s="7"/>
      <c r="B52" s="7"/>
      <c r="C52" s="7"/>
      <c r="D52" s="7"/>
      <c r="E52" s="7"/>
      <c r="F52" s="9"/>
      <c r="G52" s="9"/>
      <c r="H52" s="7"/>
    </row>
    <row r="53" customFormat="false" ht="15" hidden="false" customHeight="true" outlineLevel="0" collapsed="false">
      <c r="A53" s="7"/>
      <c r="B53" s="7"/>
      <c r="C53" s="7"/>
      <c r="D53" s="7"/>
      <c r="E53" s="7"/>
      <c r="F53" s="9"/>
      <c r="G53" s="9"/>
      <c r="H53" s="7"/>
    </row>
    <row r="54" customFormat="false" ht="15" hidden="false" customHeight="true" outlineLevel="0" collapsed="false">
      <c r="A54" s="7"/>
      <c r="B54" s="7"/>
      <c r="C54" s="7"/>
      <c r="D54" s="7"/>
      <c r="E54" s="7"/>
      <c r="F54" s="9"/>
      <c r="G54" s="9"/>
      <c r="H54" s="7"/>
    </row>
    <row r="55" customFormat="false" ht="15" hidden="false" customHeight="true" outlineLevel="0" collapsed="false">
      <c r="A55" s="7"/>
      <c r="B55" s="7"/>
      <c r="C55" s="7"/>
      <c r="D55" s="7"/>
      <c r="E55" s="7"/>
      <c r="F55" s="9"/>
      <c r="G55" s="9"/>
      <c r="H55" s="7"/>
    </row>
    <row r="56" customFormat="false" ht="15" hidden="false" customHeight="true" outlineLevel="0" collapsed="false">
      <c r="A56" s="7"/>
      <c r="B56" s="7"/>
      <c r="C56" s="7"/>
      <c r="D56" s="7"/>
      <c r="E56" s="7"/>
      <c r="F56" s="9"/>
      <c r="G56" s="9"/>
      <c r="H56" s="7"/>
    </row>
    <row r="57" customFormat="false" ht="15" hidden="false" customHeight="true" outlineLevel="0" collapsed="false">
      <c r="A57" s="7"/>
      <c r="B57" s="7"/>
      <c r="C57" s="7"/>
      <c r="D57" s="7"/>
      <c r="E57" s="7"/>
      <c r="F57" s="9"/>
      <c r="G57" s="9"/>
      <c r="H57" s="7"/>
    </row>
    <row r="58" customFormat="false" ht="15" hidden="false" customHeight="true" outlineLevel="0" collapsed="false">
      <c r="A58" s="7"/>
      <c r="B58" s="7"/>
      <c r="C58" s="7"/>
      <c r="D58" s="7"/>
      <c r="E58" s="7"/>
      <c r="F58" s="9"/>
      <c r="G58" s="9"/>
      <c r="H58" s="7"/>
    </row>
    <row r="59" customFormat="false" ht="15" hidden="false" customHeight="true" outlineLevel="0" collapsed="false">
      <c r="A59" s="7"/>
      <c r="B59" s="7"/>
      <c r="C59" s="7"/>
      <c r="D59" s="7"/>
      <c r="E59" s="7"/>
      <c r="F59" s="9"/>
      <c r="G59" s="9"/>
      <c r="H59" s="7"/>
    </row>
    <row r="60" customFormat="false" ht="15" hidden="false" customHeight="true" outlineLevel="0" collapsed="false">
      <c r="A60" s="7"/>
      <c r="B60" s="7"/>
      <c r="C60" s="7"/>
      <c r="D60" s="7"/>
      <c r="E60" s="7"/>
      <c r="F60" s="9"/>
      <c r="G60" s="9"/>
      <c r="H60" s="7"/>
    </row>
    <row r="61" customFormat="false" ht="15" hidden="false" customHeight="true" outlineLevel="0" collapsed="false">
      <c r="A61" s="7"/>
      <c r="B61" s="7"/>
      <c r="C61" s="7"/>
      <c r="D61" s="7"/>
      <c r="E61" s="7"/>
      <c r="F61" s="9"/>
      <c r="G61" s="9"/>
      <c r="H61" s="7"/>
    </row>
    <row r="62" customFormat="false" ht="15" hidden="false" customHeight="true" outlineLevel="0" collapsed="false">
      <c r="A62" s="7"/>
      <c r="B62" s="7"/>
      <c r="C62" s="7"/>
      <c r="D62" s="7"/>
      <c r="E62" s="7"/>
      <c r="F62" s="9"/>
      <c r="G62" s="9"/>
      <c r="H62" s="7"/>
    </row>
    <row r="63" customFormat="false" ht="15" hidden="false" customHeight="true" outlineLevel="0" collapsed="false">
      <c r="A63" s="7"/>
      <c r="B63" s="7"/>
      <c r="C63" s="7"/>
      <c r="D63" s="7"/>
      <c r="E63" s="7"/>
      <c r="F63" s="9"/>
      <c r="G63" s="9"/>
      <c r="H63" s="7"/>
    </row>
    <row r="64" customFormat="false" ht="15" hidden="false" customHeight="true" outlineLevel="0" collapsed="false">
      <c r="A64" s="7"/>
      <c r="B64" s="7"/>
      <c r="C64" s="7"/>
      <c r="D64" s="7"/>
      <c r="E64" s="7"/>
      <c r="F64" s="9"/>
      <c r="G64" s="9"/>
      <c r="H64" s="7"/>
    </row>
    <row r="65" customFormat="false" ht="15" hidden="false" customHeight="true" outlineLevel="0" collapsed="false">
      <c r="A65" s="7"/>
      <c r="B65" s="7"/>
      <c r="C65" s="7"/>
      <c r="D65" s="7"/>
      <c r="E65" s="7"/>
      <c r="F65" s="9"/>
      <c r="G65" s="9"/>
      <c r="H65" s="7"/>
    </row>
    <row r="66" customFormat="false" ht="15" hidden="false" customHeight="true" outlineLevel="0" collapsed="false">
      <c r="A66" s="7"/>
      <c r="B66" s="7"/>
      <c r="C66" s="7"/>
      <c r="D66" s="7"/>
      <c r="E66" s="7"/>
      <c r="F66" s="9"/>
      <c r="G66" s="9"/>
      <c r="H66" s="7"/>
    </row>
    <row r="67" customFormat="false" ht="15" hidden="false" customHeight="true" outlineLevel="0" collapsed="false">
      <c r="A67" s="7"/>
      <c r="B67" s="7"/>
      <c r="C67" s="7"/>
      <c r="D67" s="7"/>
      <c r="E67" s="7"/>
      <c r="F67" s="9"/>
      <c r="G67" s="9"/>
      <c r="H67" s="7"/>
    </row>
    <row r="68" customFormat="false" ht="15" hidden="false" customHeight="true" outlineLevel="0" collapsed="false">
      <c r="A68" s="7"/>
      <c r="B68" s="7"/>
      <c r="C68" s="7"/>
      <c r="D68" s="7"/>
      <c r="E68" s="7"/>
      <c r="F68" s="9"/>
      <c r="G68" s="9"/>
      <c r="H68" s="7"/>
    </row>
    <row r="69" customFormat="false" ht="15" hidden="false" customHeight="true" outlineLevel="0" collapsed="false">
      <c r="A69" s="7"/>
      <c r="B69" s="7"/>
      <c r="C69" s="7"/>
      <c r="D69" s="7"/>
      <c r="E69" s="7"/>
      <c r="F69" s="9"/>
      <c r="G69" s="9"/>
      <c r="H69" s="7"/>
    </row>
    <row r="70" customFormat="false" ht="15" hidden="false" customHeight="true" outlineLevel="0" collapsed="false">
      <c r="A70" s="7"/>
      <c r="B70" s="7"/>
      <c r="C70" s="7"/>
      <c r="D70" s="7"/>
      <c r="E70" s="7"/>
      <c r="F70" s="9"/>
      <c r="G70" s="9"/>
      <c r="H70" s="7"/>
    </row>
    <row r="71" customFormat="false" ht="15" hidden="false" customHeight="true" outlineLevel="0" collapsed="false">
      <c r="A71" s="7"/>
      <c r="B71" s="7"/>
      <c r="C71" s="7"/>
      <c r="D71" s="7"/>
      <c r="E71" s="7"/>
      <c r="F71" s="9"/>
      <c r="G71" s="9"/>
      <c r="H71" s="7"/>
    </row>
    <row r="72" customFormat="false" ht="15" hidden="false" customHeight="true" outlineLevel="0" collapsed="false">
      <c r="A72" s="7"/>
      <c r="B72" s="7"/>
      <c r="C72" s="7"/>
      <c r="D72" s="7"/>
      <c r="E72" s="7"/>
      <c r="F72" s="9"/>
      <c r="G72" s="9"/>
      <c r="H72" s="7"/>
    </row>
    <row r="73" customFormat="false" ht="15" hidden="false" customHeight="true" outlineLevel="0" collapsed="false">
      <c r="A73" s="7"/>
      <c r="B73" s="7"/>
      <c r="C73" s="7"/>
      <c r="D73" s="7"/>
      <c r="E73" s="7"/>
      <c r="F73" s="9"/>
      <c r="G73" s="9"/>
      <c r="H73" s="7"/>
    </row>
    <row r="74" customFormat="false" ht="15" hidden="false" customHeight="true" outlineLevel="0" collapsed="false">
      <c r="A74" s="7"/>
      <c r="B74" s="7"/>
      <c r="C74" s="7"/>
      <c r="D74" s="7"/>
      <c r="E74" s="7"/>
      <c r="F74" s="9"/>
      <c r="G74" s="9"/>
      <c r="H74" s="7"/>
    </row>
    <row r="75" customFormat="false" ht="15" hidden="false" customHeight="true" outlineLevel="0" collapsed="false">
      <c r="A75" s="7"/>
      <c r="B75" s="7"/>
      <c r="C75" s="7"/>
      <c r="D75" s="7"/>
      <c r="E75" s="7"/>
      <c r="F75" s="9"/>
      <c r="G75" s="9"/>
      <c r="H75" s="7"/>
    </row>
    <row r="76" customFormat="false" ht="15" hidden="false" customHeight="true" outlineLevel="0" collapsed="false">
      <c r="A76" s="7"/>
      <c r="B76" s="7"/>
      <c r="C76" s="7"/>
      <c r="D76" s="7"/>
      <c r="E76" s="7"/>
      <c r="F76" s="9"/>
      <c r="G76" s="9"/>
      <c r="H76" s="7"/>
    </row>
    <row r="77" customFormat="false" ht="15" hidden="false" customHeight="true" outlineLevel="0" collapsed="false">
      <c r="A77" s="7"/>
      <c r="B77" s="7"/>
      <c r="C77" s="7"/>
      <c r="D77" s="7"/>
      <c r="E77" s="7"/>
      <c r="F77" s="9"/>
      <c r="G77" s="9"/>
      <c r="H77" s="7"/>
    </row>
    <row r="78" customFormat="false" ht="15" hidden="false" customHeight="true" outlineLevel="0" collapsed="false">
      <c r="A78" s="7"/>
      <c r="B78" s="7"/>
      <c r="C78" s="7"/>
      <c r="D78" s="7"/>
      <c r="E78" s="7"/>
      <c r="F78" s="9"/>
      <c r="G78" s="9"/>
      <c r="H78" s="7"/>
    </row>
    <row r="79" customFormat="false" ht="15" hidden="false" customHeight="true" outlineLevel="0" collapsed="false">
      <c r="A79" s="7"/>
      <c r="B79" s="7"/>
      <c r="C79" s="7"/>
      <c r="D79" s="7"/>
      <c r="E79" s="7"/>
      <c r="F79" s="9"/>
      <c r="G79" s="9"/>
      <c r="H79" s="7"/>
    </row>
    <row r="80" customFormat="false" ht="15" hidden="false" customHeight="true" outlineLevel="0" collapsed="false">
      <c r="A80" s="7"/>
      <c r="B80" s="7"/>
      <c r="C80" s="7"/>
      <c r="D80" s="7"/>
      <c r="E80" s="7"/>
      <c r="F80" s="9"/>
      <c r="G80" s="9"/>
      <c r="H80" s="7"/>
    </row>
    <row r="81" customFormat="false" ht="15" hidden="false" customHeight="true" outlineLevel="0" collapsed="false">
      <c r="A81" s="7"/>
      <c r="B81" s="7"/>
      <c r="C81" s="7"/>
      <c r="D81" s="7"/>
      <c r="E81" s="7"/>
      <c r="F81" s="9"/>
      <c r="G81" s="9"/>
      <c r="H81" s="7"/>
    </row>
    <row r="82" customFormat="false" ht="15" hidden="false" customHeight="true" outlineLevel="0" collapsed="false">
      <c r="A82" s="7"/>
      <c r="B82" s="7"/>
      <c r="C82" s="7"/>
      <c r="D82" s="7"/>
      <c r="E82" s="7"/>
      <c r="F82" s="9"/>
      <c r="G82" s="9"/>
      <c r="H82" s="7"/>
    </row>
    <row r="83" customFormat="false" ht="15" hidden="false" customHeight="true" outlineLevel="0" collapsed="false">
      <c r="A83" s="7"/>
      <c r="B83" s="7"/>
      <c r="C83" s="7"/>
      <c r="D83" s="7"/>
      <c r="E83" s="7"/>
      <c r="F83" s="9"/>
      <c r="G83" s="9"/>
      <c r="H83" s="7"/>
    </row>
    <row r="84" customFormat="false" ht="15" hidden="false" customHeight="true" outlineLevel="0" collapsed="false">
      <c r="A84" s="7"/>
      <c r="B84" s="7"/>
      <c r="C84" s="7"/>
      <c r="D84" s="7"/>
      <c r="E84" s="7"/>
      <c r="F84" s="9"/>
      <c r="G84" s="9"/>
      <c r="H84" s="7"/>
    </row>
    <row r="85" customFormat="false" ht="15" hidden="false" customHeight="true" outlineLevel="0" collapsed="false">
      <c r="A85" s="7"/>
      <c r="B85" s="7"/>
      <c r="C85" s="7"/>
      <c r="D85" s="7"/>
      <c r="E85" s="7"/>
      <c r="F85" s="9"/>
      <c r="G85" s="9"/>
      <c r="H85" s="7"/>
    </row>
    <row r="86" customFormat="false" ht="15" hidden="false" customHeight="true" outlineLevel="0" collapsed="false">
      <c r="A86" s="7"/>
      <c r="B86" s="7"/>
      <c r="C86" s="7"/>
      <c r="D86" s="7"/>
      <c r="E86" s="7"/>
      <c r="F86" s="9"/>
      <c r="G86" s="9"/>
      <c r="H86" s="7"/>
    </row>
    <row r="87" customFormat="false" ht="15" hidden="false" customHeight="true" outlineLevel="0" collapsed="false">
      <c r="A87" s="7"/>
      <c r="B87" s="7"/>
      <c r="C87" s="7"/>
      <c r="D87" s="7"/>
      <c r="E87" s="7"/>
      <c r="F87" s="9"/>
      <c r="G87" s="9"/>
      <c r="H87" s="7"/>
    </row>
    <row r="88" customFormat="false" ht="15" hidden="false" customHeight="true" outlineLevel="0" collapsed="false">
      <c r="A88" s="7"/>
      <c r="B88" s="7"/>
      <c r="C88" s="7"/>
      <c r="D88" s="7"/>
      <c r="E88" s="7"/>
      <c r="F88" s="9"/>
      <c r="G88" s="9"/>
      <c r="H88" s="7"/>
    </row>
    <row r="89" customFormat="false" ht="15" hidden="false" customHeight="true" outlineLevel="0" collapsed="false">
      <c r="A89" s="7"/>
      <c r="B89" s="7"/>
      <c r="C89" s="7"/>
      <c r="D89" s="7"/>
      <c r="E89" s="7"/>
      <c r="F89" s="9"/>
      <c r="G89" s="9"/>
      <c r="H89" s="7"/>
    </row>
    <row r="90" customFormat="false" ht="15" hidden="false" customHeight="true" outlineLevel="0" collapsed="false">
      <c r="A90" s="7"/>
      <c r="B90" s="7"/>
      <c r="C90" s="7"/>
      <c r="D90" s="7"/>
      <c r="E90" s="7"/>
      <c r="F90" s="9"/>
      <c r="G90" s="9"/>
      <c r="H90" s="7"/>
    </row>
    <row r="91" customFormat="false" ht="15" hidden="false" customHeight="true" outlineLevel="0" collapsed="false">
      <c r="A91" s="7"/>
      <c r="B91" s="7"/>
      <c r="C91" s="7"/>
      <c r="D91" s="7"/>
      <c r="E91" s="7"/>
      <c r="F91" s="9"/>
      <c r="G91" s="9"/>
      <c r="H91" s="7"/>
    </row>
    <row r="92" customFormat="false" ht="15" hidden="false" customHeight="true" outlineLevel="0" collapsed="false">
      <c r="A92" s="7"/>
      <c r="B92" s="7"/>
      <c r="C92" s="7"/>
      <c r="D92" s="7"/>
      <c r="E92" s="7"/>
      <c r="F92" s="9"/>
      <c r="G92" s="9"/>
      <c r="H92" s="7"/>
    </row>
    <row r="93" customFormat="false" ht="15" hidden="false" customHeight="true" outlineLevel="0" collapsed="false">
      <c r="A93" s="7"/>
      <c r="B93" s="7"/>
      <c r="C93" s="7"/>
      <c r="D93" s="7"/>
      <c r="E93" s="7"/>
      <c r="F93" s="9"/>
      <c r="G93" s="9"/>
      <c r="H93" s="7"/>
    </row>
    <row r="94" customFormat="false" ht="15" hidden="false" customHeight="true" outlineLevel="0" collapsed="false">
      <c r="A94" s="7"/>
      <c r="B94" s="7"/>
      <c r="C94" s="7"/>
      <c r="D94" s="7"/>
      <c r="E94" s="7"/>
      <c r="F94" s="9"/>
      <c r="G94" s="9"/>
      <c r="H94" s="7"/>
    </row>
    <row r="95" customFormat="false" ht="15" hidden="false" customHeight="true" outlineLevel="0" collapsed="false">
      <c r="A95" s="7"/>
      <c r="B95" s="7"/>
      <c r="C95" s="7"/>
      <c r="D95" s="7"/>
      <c r="E95" s="7"/>
      <c r="F95" s="9"/>
      <c r="G95" s="9"/>
      <c r="H95" s="7"/>
    </row>
    <row r="96" customFormat="false" ht="15" hidden="false" customHeight="true" outlineLevel="0" collapsed="false">
      <c r="A96" s="7"/>
      <c r="B96" s="7"/>
      <c r="C96" s="7"/>
      <c r="D96" s="7"/>
      <c r="E96" s="7"/>
      <c r="F96" s="9"/>
      <c r="G96" s="9"/>
      <c r="H96" s="7"/>
    </row>
    <row r="97" customFormat="false" ht="15" hidden="false" customHeight="true" outlineLevel="0" collapsed="false">
      <c r="A97" s="7"/>
      <c r="B97" s="7"/>
      <c r="C97" s="7"/>
      <c r="D97" s="7"/>
      <c r="E97" s="7"/>
      <c r="F97" s="9"/>
      <c r="G97" s="9"/>
      <c r="H97" s="7"/>
    </row>
    <row r="98" customFormat="false" ht="15" hidden="false" customHeight="true" outlineLevel="0" collapsed="false">
      <c r="A98" s="7"/>
      <c r="B98" s="7"/>
      <c r="C98" s="7"/>
      <c r="D98" s="7"/>
      <c r="E98" s="7"/>
      <c r="F98" s="9"/>
      <c r="G98" s="9"/>
      <c r="H98" s="7"/>
    </row>
    <row r="99" customFormat="false" ht="15" hidden="false" customHeight="true" outlineLevel="0" collapsed="false">
      <c r="A99" s="7"/>
      <c r="B99" s="7"/>
      <c r="C99" s="7"/>
      <c r="D99" s="7"/>
      <c r="E99" s="7"/>
      <c r="F99" s="9"/>
      <c r="G99" s="9"/>
      <c r="H99" s="7"/>
    </row>
    <row r="100" customFormat="false" ht="15" hidden="false" customHeight="true" outlineLevel="0" collapsed="false">
      <c r="A100" s="7"/>
      <c r="B100" s="7"/>
      <c r="C100" s="7"/>
      <c r="D100" s="7"/>
      <c r="E100" s="7"/>
      <c r="F100" s="9"/>
      <c r="G100" s="9"/>
      <c r="H100" s="7"/>
    </row>
    <row r="101" customFormat="false" ht="15" hidden="false" customHeight="true" outlineLevel="0" collapsed="false">
      <c r="A101" s="7"/>
      <c r="B101" s="7"/>
      <c r="C101" s="7"/>
      <c r="D101" s="7"/>
      <c r="E101" s="7"/>
      <c r="F101" s="9"/>
      <c r="G101" s="9"/>
      <c r="H101" s="7"/>
    </row>
    <row r="102" customFormat="false" ht="15" hidden="false" customHeight="true" outlineLevel="0" collapsed="false">
      <c r="A102" s="7"/>
      <c r="B102" s="7"/>
      <c r="C102" s="7"/>
      <c r="D102" s="7"/>
      <c r="E102" s="7"/>
      <c r="F102" s="9"/>
      <c r="G102" s="9"/>
      <c r="H102" s="7"/>
    </row>
    <row r="103" customFormat="false" ht="15" hidden="false" customHeight="true" outlineLevel="0" collapsed="false">
      <c r="A103" s="7"/>
      <c r="B103" s="7"/>
      <c r="C103" s="7"/>
      <c r="D103" s="7"/>
      <c r="E103" s="7"/>
      <c r="F103" s="9"/>
      <c r="G103" s="9"/>
      <c r="H103" s="7"/>
    </row>
    <row r="104" customFormat="false" ht="15" hidden="false" customHeight="true" outlineLevel="0" collapsed="false">
      <c r="A104" s="7"/>
      <c r="B104" s="7"/>
      <c r="C104" s="7"/>
      <c r="D104" s="7"/>
      <c r="E104" s="7"/>
      <c r="F104" s="9"/>
      <c r="G104" s="9"/>
      <c r="H104" s="7"/>
    </row>
    <row r="105" customFormat="false" ht="15" hidden="false" customHeight="true" outlineLevel="0" collapsed="false">
      <c r="A105" s="7"/>
      <c r="B105" s="7"/>
      <c r="C105" s="7"/>
      <c r="D105" s="7"/>
      <c r="E105" s="7"/>
      <c r="F105" s="9"/>
      <c r="G105" s="9"/>
      <c r="H105" s="7"/>
    </row>
    <row r="106" customFormat="false" ht="15" hidden="false" customHeight="true" outlineLevel="0" collapsed="false">
      <c r="A106" s="7"/>
      <c r="B106" s="7"/>
      <c r="C106" s="7"/>
      <c r="D106" s="7"/>
      <c r="E106" s="7"/>
      <c r="F106" s="9"/>
      <c r="G106" s="9"/>
      <c r="H106" s="7"/>
    </row>
    <row r="107" customFormat="false" ht="15" hidden="false" customHeight="true" outlineLevel="0" collapsed="false">
      <c r="A107" s="7"/>
      <c r="B107" s="7"/>
      <c r="C107" s="7"/>
      <c r="D107" s="7"/>
      <c r="E107" s="7"/>
      <c r="F107" s="9"/>
      <c r="G107" s="9"/>
      <c r="H107" s="7"/>
    </row>
    <row r="108" customFormat="false" ht="15" hidden="false" customHeight="true" outlineLevel="0" collapsed="false">
      <c r="A108" s="7"/>
      <c r="B108" s="7"/>
      <c r="C108" s="7"/>
      <c r="D108" s="7"/>
      <c r="E108" s="7"/>
      <c r="F108" s="9"/>
      <c r="G108" s="9"/>
      <c r="H108" s="7"/>
    </row>
    <row r="109" customFormat="false" ht="15" hidden="false" customHeight="true" outlineLevel="0" collapsed="false">
      <c r="A109" s="7"/>
      <c r="B109" s="7"/>
      <c r="C109" s="7"/>
      <c r="D109" s="7"/>
      <c r="E109" s="7"/>
      <c r="F109" s="9"/>
      <c r="G109" s="9"/>
      <c r="H109" s="7"/>
    </row>
    <row r="110" customFormat="false" ht="15" hidden="false" customHeight="true" outlineLevel="0" collapsed="false">
      <c r="A110" s="7"/>
      <c r="B110" s="7"/>
      <c r="C110" s="7"/>
      <c r="D110" s="7"/>
      <c r="E110" s="7"/>
      <c r="F110" s="9"/>
      <c r="G110" s="9"/>
      <c r="H110" s="7"/>
    </row>
    <row r="111" customFormat="false" ht="15" hidden="false" customHeight="true" outlineLevel="0" collapsed="false">
      <c r="A111" s="7"/>
      <c r="B111" s="7"/>
      <c r="C111" s="7"/>
      <c r="D111" s="7"/>
      <c r="E111" s="7"/>
      <c r="F111" s="9"/>
      <c r="G111" s="9"/>
      <c r="H111" s="7"/>
    </row>
    <row r="112" customFormat="false" ht="15" hidden="false" customHeight="true" outlineLevel="0" collapsed="false">
      <c r="A112" s="7"/>
      <c r="B112" s="7"/>
      <c r="C112" s="7"/>
      <c r="D112" s="7"/>
      <c r="E112" s="7"/>
      <c r="F112" s="9"/>
      <c r="G112" s="9"/>
      <c r="H112" s="7"/>
    </row>
    <row r="113" customFormat="false" ht="15" hidden="false" customHeight="true" outlineLevel="0" collapsed="false">
      <c r="A113" s="7"/>
      <c r="B113" s="7"/>
      <c r="C113" s="7"/>
      <c r="D113" s="7"/>
      <c r="E113" s="7"/>
      <c r="F113" s="9"/>
      <c r="G113" s="9"/>
      <c r="H113" s="7"/>
    </row>
    <row r="114" customFormat="false" ht="15" hidden="false" customHeight="true" outlineLevel="0" collapsed="false">
      <c r="A114" s="7"/>
      <c r="B114" s="7"/>
      <c r="C114" s="7"/>
      <c r="D114" s="7"/>
      <c r="E114" s="7"/>
      <c r="F114" s="9"/>
      <c r="G114" s="9"/>
      <c r="H114" s="7"/>
    </row>
    <row r="115" customFormat="false" ht="15" hidden="false" customHeight="true" outlineLevel="0" collapsed="false">
      <c r="A115" s="7"/>
      <c r="B115" s="7"/>
      <c r="C115" s="7"/>
      <c r="D115" s="7"/>
      <c r="E115" s="7"/>
      <c r="F115" s="9"/>
      <c r="G115" s="9"/>
      <c r="H115" s="7"/>
    </row>
    <row r="116" customFormat="false" ht="15" hidden="false" customHeight="true" outlineLevel="0" collapsed="false">
      <c r="A116" s="7"/>
      <c r="B116" s="7"/>
      <c r="C116" s="7"/>
      <c r="D116" s="7"/>
      <c r="E116" s="7"/>
      <c r="F116" s="9"/>
      <c r="G116" s="9"/>
      <c r="H116" s="7"/>
    </row>
    <row r="117" customFormat="false" ht="15" hidden="false" customHeight="true" outlineLevel="0" collapsed="false">
      <c r="A117" s="7"/>
      <c r="B117" s="7"/>
      <c r="C117" s="7"/>
      <c r="D117" s="7"/>
      <c r="E117" s="7"/>
      <c r="F117" s="9"/>
      <c r="G117" s="9"/>
      <c r="H117" s="7"/>
    </row>
    <row r="118" customFormat="false" ht="15" hidden="false" customHeight="true" outlineLevel="0" collapsed="false">
      <c r="A118" s="7"/>
      <c r="B118" s="7"/>
      <c r="C118" s="7"/>
      <c r="D118" s="7"/>
      <c r="E118" s="7"/>
      <c r="F118" s="9"/>
      <c r="G118" s="9"/>
      <c r="H118" s="7"/>
    </row>
    <row r="119" customFormat="false" ht="15" hidden="false" customHeight="true" outlineLevel="0" collapsed="false">
      <c r="A119" s="7"/>
      <c r="B119" s="7"/>
      <c r="C119" s="7"/>
      <c r="D119" s="7"/>
      <c r="E119" s="7"/>
      <c r="F119" s="9"/>
      <c r="G119" s="9"/>
      <c r="H119" s="7"/>
    </row>
    <row r="120" customFormat="false" ht="15" hidden="false" customHeight="true" outlineLevel="0" collapsed="false">
      <c r="A120" s="7"/>
      <c r="B120" s="7"/>
      <c r="C120" s="7"/>
      <c r="D120" s="7"/>
      <c r="E120" s="7"/>
      <c r="F120" s="9"/>
      <c r="G120" s="9"/>
      <c r="H120" s="7"/>
    </row>
    <row r="121" customFormat="false" ht="15" hidden="false" customHeight="true" outlineLevel="0" collapsed="false">
      <c r="A121" s="7"/>
      <c r="B121" s="7"/>
      <c r="C121" s="7"/>
      <c r="D121" s="7"/>
      <c r="E121" s="7"/>
      <c r="F121" s="9"/>
      <c r="G121" s="9"/>
      <c r="H121" s="7"/>
    </row>
    <row r="122" customFormat="false" ht="15" hidden="false" customHeight="true" outlineLevel="0" collapsed="false">
      <c r="A122" s="7"/>
      <c r="B122" s="7"/>
      <c r="C122" s="7"/>
      <c r="D122" s="7"/>
      <c r="E122" s="7"/>
      <c r="F122" s="9"/>
      <c r="G122" s="9"/>
      <c r="H122" s="7"/>
    </row>
    <row r="123" customFormat="false" ht="15" hidden="false" customHeight="true" outlineLevel="0" collapsed="false">
      <c r="A123" s="7"/>
      <c r="B123" s="7"/>
      <c r="C123" s="7"/>
      <c r="D123" s="7"/>
      <c r="E123" s="7"/>
      <c r="F123" s="9"/>
      <c r="G123" s="9"/>
      <c r="H123" s="7"/>
    </row>
    <row r="124" customFormat="false" ht="15" hidden="false" customHeight="true" outlineLevel="0" collapsed="false">
      <c r="A124" s="7"/>
      <c r="B124" s="7"/>
      <c r="C124" s="7"/>
      <c r="D124" s="7"/>
      <c r="E124" s="7"/>
      <c r="F124" s="9"/>
      <c r="G124" s="9"/>
      <c r="H124" s="7"/>
    </row>
    <row r="125" customFormat="false" ht="15" hidden="false" customHeight="true" outlineLevel="0" collapsed="false">
      <c r="A125" s="7"/>
      <c r="B125" s="7"/>
      <c r="C125" s="7"/>
      <c r="D125" s="7"/>
      <c r="E125" s="7"/>
      <c r="F125" s="9"/>
      <c r="G125" s="9"/>
      <c r="H125" s="7"/>
    </row>
    <row r="126" customFormat="false" ht="15" hidden="false" customHeight="true" outlineLevel="0" collapsed="false">
      <c r="A126" s="7"/>
      <c r="B126" s="7"/>
      <c r="C126" s="7"/>
      <c r="D126" s="7"/>
      <c r="E126" s="7"/>
      <c r="F126" s="9"/>
      <c r="G126" s="9"/>
      <c r="H126" s="7"/>
    </row>
    <row r="127" customFormat="false" ht="15" hidden="false" customHeight="true" outlineLevel="0" collapsed="false">
      <c r="A127" s="7"/>
      <c r="B127" s="7"/>
      <c r="C127" s="7"/>
      <c r="D127" s="7"/>
      <c r="E127" s="7"/>
      <c r="F127" s="9"/>
      <c r="G127" s="9"/>
      <c r="H127" s="7"/>
    </row>
    <row r="128" customFormat="false" ht="15" hidden="false" customHeight="true" outlineLevel="0" collapsed="false">
      <c r="A128" s="7"/>
      <c r="B128" s="7"/>
      <c r="C128" s="7"/>
      <c r="D128" s="7"/>
      <c r="E128" s="7"/>
      <c r="F128" s="9"/>
      <c r="G128" s="9"/>
      <c r="H128" s="7"/>
    </row>
    <row r="129" customFormat="false" ht="15" hidden="false" customHeight="true" outlineLevel="0" collapsed="false">
      <c r="A129" s="7"/>
      <c r="B129" s="7"/>
      <c r="C129" s="7"/>
      <c r="D129" s="7"/>
      <c r="E129" s="7"/>
      <c r="F129" s="9"/>
      <c r="G129" s="9"/>
      <c r="H129" s="7"/>
    </row>
    <row r="130" customFormat="false" ht="15" hidden="false" customHeight="true" outlineLevel="0" collapsed="false">
      <c r="A130" s="7"/>
      <c r="B130" s="7"/>
      <c r="C130" s="7"/>
      <c r="D130" s="7"/>
      <c r="E130" s="7"/>
      <c r="F130" s="9"/>
      <c r="G130" s="9"/>
      <c r="H130" s="7"/>
    </row>
    <row r="131" customFormat="false" ht="15" hidden="false" customHeight="true" outlineLevel="0" collapsed="false">
      <c r="A131" s="7"/>
      <c r="B131" s="7"/>
      <c r="C131" s="7"/>
      <c r="D131" s="7"/>
      <c r="E131" s="7"/>
      <c r="F131" s="9"/>
      <c r="G131" s="9"/>
      <c r="H131" s="7"/>
    </row>
    <row r="132" customFormat="false" ht="15" hidden="false" customHeight="true" outlineLevel="0" collapsed="false">
      <c r="A132" s="7"/>
      <c r="B132" s="7"/>
      <c r="C132" s="7"/>
      <c r="D132" s="7"/>
      <c r="E132" s="7"/>
      <c r="F132" s="9"/>
      <c r="G132" s="9"/>
      <c r="H132" s="7"/>
    </row>
    <row r="133" customFormat="false" ht="15" hidden="false" customHeight="true" outlineLevel="0" collapsed="false">
      <c r="A133" s="7"/>
      <c r="B133" s="7"/>
      <c r="C133" s="7"/>
      <c r="D133" s="7"/>
      <c r="E133" s="7"/>
      <c r="F133" s="9"/>
      <c r="G133" s="9"/>
      <c r="H133" s="7"/>
    </row>
    <row r="134" customFormat="false" ht="15" hidden="false" customHeight="true" outlineLevel="0" collapsed="false">
      <c r="A134" s="7"/>
      <c r="B134" s="7"/>
      <c r="C134" s="7"/>
      <c r="D134" s="7"/>
      <c r="E134" s="7"/>
      <c r="F134" s="9"/>
      <c r="G134" s="9"/>
      <c r="H134" s="7"/>
    </row>
    <row r="135" customFormat="false" ht="15" hidden="false" customHeight="true" outlineLevel="0" collapsed="false">
      <c r="A135" s="7"/>
      <c r="B135" s="7"/>
      <c r="C135" s="7"/>
      <c r="D135" s="7"/>
      <c r="E135" s="7"/>
      <c r="F135" s="9"/>
      <c r="G135" s="9"/>
      <c r="H135" s="7"/>
    </row>
    <row r="136" customFormat="false" ht="15" hidden="false" customHeight="true" outlineLevel="0" collapsed="false">
      <c r="A136" s="7"/>
      <c r="B136" s="7"/>
      <c r="C136" s="7"/>
      <c r="D136" s="7"/>
      <c r="E136" s="7"/>
      <c r="F136" s="9"/>
      <c r="G136" s="9"/>
      <c r="H136" s="7"/>
    </row>
    <row r="137" customFormat="false" ht="15" hidden="false" customHeight="true" outlineLevel="0" collapsed="false">
      <c r="A137" s="7"/>
      <c r="B137" s="7"/>
      <c r="C137" s="7"/>
      <c r="D137" s="7"/>
      <c r="E137" s="7"/>
      <c r="F137" s="9"/>
      <c r="G137" s="9"/>
      <c r="H137" s="7"/>
    </row>
    <row r="138" customFormat="false" ht="15" hidden="false" customHeight="true" outlineLevel="0" collapsed="false">
      <c r="A138" s="7"/>
      <c r="B138" s="7"/>
      <c r="C138" s="7"/>
      <c r="D138" s="7"/>
      <c r="E138" s="7"/>
      <c r="F138" s="9"/>
      <c r="G138" s="9"/>
      <c r="H138" s="7"/>
    </row>
    <row r="139" customFormat="false" ht="15" hidden="false" customHeight="true" outlineLevel="0" collapsed="false">
      <c r="A139" s="7"/>
      <c r="B139" s="7"/>
      <c r="C139" s="7"/>
      <c r="D139" s="7"/>
      <c r="E139" s="7"/>
      <c r="F139" s="9"/>
      <c r="G139" s="9"/>
      <c r="H139" s="7"/>
    </row>
    <row r="140" customFormat="false" ht="15" hidden="false" customHeight="true" outlineLevel="0" collapsed="false">
      <c r="A140" s="7"/>
      <c r="B140" s="7"/>
      <c r="C140" s="7"/>
      <c r="D140" s="7"/>
      <c r="E140" s="7"/>
      <c r="F140" s="9"/>
      <c r="G140" s="9"/>
      <c r="H140" s="7"/>
    </row>
    <row r="141" customFormat="false" ht="15" hidden="false" customHeight="true" outlineLevel="0" collapsed="false">
      <c r="A141" s="7"/>
      <c r="B141" s="7"/>
      <c r="C141" s="7"/>
      <c r="D141" s="7"/>
      <c r="E141" s="7"/>
      <c r="F141" s="9"/>
      <c r="G141" s="9"/>
      <c r="H141" s="7"/>
    </row>
    <row r="142" customFormat="false" ht="15" hidden="false" customHeight="true" outlineLevel="0" collapsed="false">
      <c r="A142" s="7"/>
      <c r="B142" s="7"/>
      <c r="C142" s="7"/>
      <c r="D142" s="7"/>
      <c r="E142" s="7"/>
      <c r="F142" s="9"/>
      <c r="G142" s="9"/>
      <c r="H142" s="7"/>
    </row>
    <row r="143" customFormat="false" ht="15" hidden="false" customHeight="true" outlineLevel="0" collapsed="false">
      <c r="A143" s="7"/>
      <c r="B143" s="7"/>
      <c r="C143" s="7"/>
      <c r="D143" s="7"/>
      <c r="E143" s="7"/>
      <c r="F143" s="9"/>
      <c r="G143" s="9"/>
      <c r="H143" s="7"/>
    </row>
    <row r="144" customFormat="false" ht="15" hidden="false" customHeight="true" outlineLevel="0" collapsed="false">
      <c r="A144" s="7"/>
      <c r="B144" s="7"/>
      <c r="C144" s="7"/>
      <c r="D144" s="7"/>
      <c r="E144" s="7"/>
      <c r="F144" s="9"/>
      <c r="G144" s="9"/>
      <c r="H144" s="7"/>
    </row>
    <row r="145" customFormat="false" ht="15" hidden="false" customHeight="true" outlineLevel="0" collapsed="false">
      <c r="A145" s="7"/>
      <c r="B145" s="7"/>
      <c r="C145" s="7"/>
      <c r="D145" s="7"/>
      <c r="E145" s="7"/>
      <c r="F145" s="9"/>
      <c r="G145" s="9"/>
      <c r="H145" s="7"/>
    </row>
    <row r="146" customFormat="false" ht="15" hidden="false" customHeight="true" outlineLevel="0" collapsed="false">
      <c r="A146" s="7"/>
      <c r="B146" s="7"/>
      <c r="C146" s="7"/>
      <c r="D146" s="7"/>
      <c r="E146" s="7"/>
      <c r="F146" s="9"/>
      <c r="G146" s="9"/>
      <c r="H146" s="7"/>
    </row>
    <row r="147" customFormat="false" ht="15" hidden="false" customHeight="true" outlineLevel="0" collapsed="false">
      <c r="A147" s="7"/>
      <c r="B147" s="7"/>
      <c r="C147" s="7"/>
      <c r="D147" s="7"/>
      <c r="E147" s="7"/>
      <c r="F147" s="9"/>
      <c r="G147" s="9"/>
      <c r="H147" s="7"/>
    </row>
    <row r="148" customFormat="false" ht="15" hidden="false" customHeight="true" outlineLevel="0" collapsed="false">
      <c r="A148" s="7"/>
      <c r="B148" s="7"/>
      <c r="C148" s="7"/>
      <c r="D148" s="7"/>
      <c r="E148" s="7"/>
      <c r="F148" s="9"/>
      <c r="G148" s="9"/>
      <c r="H148" s="7"/>
    </row>
    <row r="149" customFormat="false" ht="15" hidden="false" customHeight="true" outlineLevel="0" collapsed="false">
      <c r="A149" s="7"/>
      <c r="B149" s="7"/>
      <c r="C149" s="7"/>
      <c r="D149" s="7"/>
      <c r="E149" s="7"/>
      <c r="F149" s="9"/>
      <c r="G149" s="9"/>
      <c r="H149" s="7"/>
    </row>
    <row r="150" customFormat="false" ht="15" hidden="false" customHeight="true" outlineLevel="0" collapsed="false">
      <c r="A150" s="7"/>
      <c r="B150" s="7"/>
      <c r="C150" s="7"/>
      <c r="D150" s="7"/>
      <c r="E150" s="7"/>
      <c r="F150" s="9"/>
      <c r="G150" s="9"/>
      <c r="H150" s="7"/>
    </row>
    <row r="151" customFormat="false" ht="15" hidden="false" customHeight="true" outlineLevel="0" collapsed="false">
      <c r="A151" s="7"/>
      <c r="B151" s="7"/>
      <c r="C151" s="7"/>
      <c r="D151" s="7"/>
      <c r="E151" s="7"/>
      <c r="F151" s="9"/>
      <c r="G151" s="9"/>
      <c r="H151" s="7"/>
    </row>
    <row r="152" customFormat="false" ht="15" hidden="false" customHeight="true" outlineLevel="0" collapsed="false">
      <c r="A152" s="7"/>
      <c r="B152" s="7"/>
      <c r="C152" s="7"/>
      <c r="D152" s="7"/>
      <c r="E152" s="7"/>
      <c r="F152" s="9"/>
      <c r="G152" s="9"/>
      <c r="H152" s="7"/>
    </row>
    <row r="153" customFormat="false" ht="15" hidden="false" customHeight="true" outlineLevel="0" collapsed="false">
      <c r="A153" s="7"/>
      <c r="B153" s="7"/>
      <c r="C153" s="7"/>
      <c r="D153" s="7"/>
      <c r="E153" s="7"/>
      <c r="F153" s="9"/>
      <c r="G153" s="9"/>
      <c r="H153" s="7"/>
    </row>
    <row r="154" customFormat="false" ht="15" hidden="false" customHeight="true" outlineLevel="0" collapsed="false">
      <c r="A154" s="7"/>
      <c r="B154" s="7"/>
      <c r="C154" s="7"/>
      <c r="D154" s="7"/>
      <c r="E154" s="7"/>
      <c r="F154" s="9"/>
      <c r="G154" s="9"/>
      <c r="H154" s="7"/>
    </row>
    <row r="155" customFormat="false" ht="15" hidden="false" customHeight="true" outlineLevel="0" collapsed="false">
      <c r="A155" s="7"/>
      <c r="B155" s="7"/>
      <c r="C155" s="7"/>
      <c r="D155" s="7"/>
      <c r="E155" s="7"/>
      <c r="F155" s="9"/>
      <c r="G155" s="9"/>
      <c r="H155" s="7"/>
    </row>
    <row r="156" customFormat="false" ht="15" hidden="false" customHeight="true" outlineLevel="0" collapsed="false">
      <c r="A156" s="7"/>
      <c r="B156" s="7"/>
      <c r="C156" s="7"/>
      <c r="D156" s="7"/>
      <c r="E156" s="7"/>
      <c r="F156" s="9"/>
      <c r="G156" s="9"/>
      <c r="H156" s="7"/>
    </row>
    <row r="157" customFormat="false" ht="15" hidden="false" customHeight="true" outlineLevel="0" collapsed="false">
      <c r="A157" s="7"/>
      <c r="B157" s="7"/>
      <c r="C157" s="7"/>
      <c r="D157" s="7"/>
      <c r="E157" s="7"/>
      <c r="F157" s="9"/>
      <c r="G157" s="9"/>
      <c r="H157" s="7"/>
    </row>
    <row r="158" customFormat="false" ht="15" hidden="false" customHeight="true" outlineLevel="0" collapsed="false">
      <c r="A158" s="7"/>
      <c r="B158" s="7"/>
      <c r="C158" s="7"/>
      <c r="D158" s="7"/>
      <c r="E158" s="7"/>
      <c r="F158" s="9"/>
      <c r="G158" s="9"/>
      <c r="H158" s="7"/>
    </row>
    <row r="159" customFormat="false" ht="15" hidden="false" customHeight="true" outlineLevel="0" collapsed="false">
      <c r="A159" s="7"/>
      <c r="B159" s="7"/>
      <c r="C159" s="7"/>
      <c r="D159" s="7"/>
      <c r="E159" s="7"/>
      <c r="F159" s="9"/>
      <c r="G159" s="9"/>
      <c r="H159" s="7"/>
    </row>
    <row r="160" customFormat="false" ht="15" hidden="false" customHeight="true" outlineLevel="0" collapsed="false">
      <c r="A160" s="7"/>
      <c r="B160" s="7"/>
      <c r="C160" s="7"/>
      <c r="D160" s="7"/>
      <c r="E160" s="7"/>
      <c r="F160" s="9"/>
      <c r="G160" s="9"/>
      <c r="H160" s="7"/>
    </row>
    <row r="161" customFormat="false" ht="15" hidden="false" customHeight="true" outlineLevel="0" collapsed="false">
      <c r="A161" s="7"/>
      <c r="B161" s="7"/>
      <c r="C161" s="7"/>
      <c r="D161" s="7"/>
      <c r="E161" s="7"/>
      <c r="F161" s="9"/>
      <c r="G161" s="9"/>
      <c r="H161" s="7"/>
    </row>
    <row r="162" customFormat="false" ht="15" hidden="false" customHeight="true" outlineLevel="0" collapsed="false">
      <c r="A162" s="7"/>
      <c r="B162" s="7"/>
      <c r="C162" s="7"/>
      <c r="D162" s="7"/>
      <c r="E162" s="7"/>
      <c r="F162" s="9"/>
      <c r="G162" s="9"/>
      <c r="H162" s="7"/>
    </row>
    <row r="163" customFormat="false" ht="15" hidden="false" customHeight="true" outlineLevel="0" collapsed="false">
      <c r="A163" s="7"/>
      <c r="B163" s="7"/>
      <c r="C163" s="7"/>
      <c r="D163" s="7"/>
      <c r="E163" s="7"/>
      <c r="F163" s="9"/>
      <c r="G163" s="9"/>
      <c r="H163" s="7"/>
    </row>
    <row r="164" customFormat="false" ht="15" hidden="false" customHeight="true" outlineLevel="0" collapsed="false">
      <c r="A164" s="7"/>
      <c r="B164" s="7"/>
      <c r="C164" s="7"/>
      <c r="D164" s="7"/>
      <c r="E164" s="7"/>
      <c r="F164" s="9"/>
      <c r="G164" s="9"/>
      <c r="H164" s="7"/>
    </row>
    <row r="165" customFormat="false" ht="15" hidden="false" customHeight="true" outlineLevel="0" collapsed="false">
      <c r="A165" s="7"/>
      <c r="B165" s="7"/>
      <c r="C165" s="7"/>
      <c r="D165" s="7"/>
      <c r="E165" s="7"/>
      <c r="F165" s="9"/>
      <c r="G165" s="9"/>
      <c r="H165" s="7"/>
    </row>
    <row r="166" customFormat="false" ht="15" hidden="false" customHeight="true" outlineLevel="0" collapsed="false">
      <c r="A166" s="7"/>
      <c r="B166" s="7"/>
      <c r="C166" s="7"/>
      <c r="D166" s="7"/>
      <c r="E166" s="7"/>
      <c r="F166" s="9"/>
      <c r="G166" s="9"/>
      <c r="H166" s="7"/>
    </row>
    <row r="167" customFormat="false" ht="15" hidden="false" customHeight="true" outlineLevel="0" collapsed="false">
      <c r="A167" s="7"/>
      <c r="B167" s="7"/>
      <c r="C167" s="7"/>
      <c r="D167" s="7"/>
      <c r="E167" s="7"/>
      <c r="F167" s="9"/>
      <c r="G167" s="9"/>
      <c r="H167" s="7"/>
    </row>
    <row r="168" customFormat="false" ht="15" hidden="false" customHeight="true" outlineLevel="0" collapsed="false">
      <c r="A168" s="7"/>
      <c r="B168" s="7"/>
      <c r="C168" s="7"/>
      <c r="D168" s="7"/>
      <c r="E168" s="7"/>
      <c r="F168" s="9"/>
      <c r="G168" s="9"/>
      <c r="H168" s="7"/>
    </row>
    <row r="169" customFormat="false" ht="15" hidden="false" customHeight="true" outlineLevel="0" collapsed="false">
      <c r="A169" s="7"/>
      <c r="B169" s="7"/>
      <c r="C169" s="7"/>
      <c r="D169" s="7"/>
      <c r="E169" s="7"/>
      <c r="F169" s="9"/>
      <c r="G169" s="9"/>
      <c r="H169" s="7"/>
    </row>
    <row r="170" customFormat="false" ht="15" hidden="false" customHeight="true" outlineLevel="0" collapsed="false">
      <c r="A170" s="7"/>
      <c r="B170" s="7"/>
      <c r="C170" s="7"/>
      <c r="D170" s="7"/>
      <c r="E170" s="7"/>
      <c r="F170" s="9"/>
      <c r="G170" s="9"/>
      <c r="H170" s="7"/>
    </row>
    <row r="171" customFormat="false" ht="15" hidden="false" customHeight="true" outlineLevel="0" collapsed="false">
      <c r="A171" s="7"/>
      <c r="B171" s="7"/>
      <c r="C171" s="7"/>
      <c r="D171" s="7"/>
      <c r="E171" s="7"/>
      <c r="F171" s="9"/>
      <c r="G171" s="9"/>
      <c r="H171" s="7"/>
    </row>
    <row r="172" customFormat="false" ht="15" hidden="false" customHeight="true" outlineLevel="0" collapsed="false">
      <c r="A172" s="7"/>
      <c r="B172" s="7"/>
      <c r="C172" s="7"/>
      <c r="D172" s="7"/>
      <c r="E172" s="7"/>
      <c r="F172" s="9"/>
      <c r="G172" s="9"/>
      <c r="H172" s="7"/>
    </row>
    <row r="173" customFormat="false" ht="15" hidden="false" customHeight="true" outlineLevel="0" collapsed="false">
      <c r="A173" s="7"/>
      <c r="B173" s="7"/>
      <c r="C173" s="7"/>
      <c r="D173" s="7"/>
      <c r="E173" s="7"/>
      <c r="F173" s="9"/>
      <c r="G173" s="9"/>
      <c r="H173" s="7"/>
    </row>
    <row r="174" customFormat="false" ht="15" hidden="false" customHeight="true" outlineLevel="0" collapsed="false">
      <c r="A174" s="7"/>
      <c r="B174" s="7"/>
      <c r="C174" s="7"/>
      <c r="D174" s="7"/>
      <c r="E174" s="7"/>
      <c r="F174" s="9"/>
      <c r="G174" s="9"/>
      <c r="H174" s="7"/>
    </row>
    <row r="175" customFormat="false" ht="15" hidden="false" customHeight="true" outlineLevel="0" collapsed="false">
      <c r="A175" s="7"/>
      <c r="B175" s="7"/>
      <c r="C175" s="7"/>
      <c r="D175" s="7"/>
      <c r="E175" s="7"/>
      <c r="F175" s="9"/>
      <c r="G175" s="9"/>
      <c r="H175" s="7"/>
    </row>
    <row r="176" customFormat="false" ht="15" hidden="false" customHeight="true" outlineLevel="0" collapsed="false">
      <c r="A176" s="7"/>
      <c r="B176" s="7"/>
      <c r="C176" s="7"/>
      <c r="D176" s="7"/>
      <c r="E176" s="7"/>
      <c r="F176" s="9"/>
      <c r="G176" s="9"/>
      <c r="H176" s="7"/>
    </row>
    <row r="177" customFormat="false" ht="15" hidden="false" customHeight="true" outlineLevel="0" collapsed="false">
      <c r="A177" s="7"/>
      <c r="B177" s="7"/>
      <c r="C177" s="7"/>
      <c r="D177" s="7"/>
      <c r="E177" s="7"/>
      <c r="F177" s="9"/>
      <c r="G177" s="9"/>
      <c r="H177" s="7"/>
    </row>
    <row r="178" customFormat="false" ht="15" hidden="false" customHeight="true" outlineLevel="0" collapsed="false">
      <c r="A178" s="7"/>
      <c r="B178" s="7"/>
      <c r="C178" s="7"/>
      <c r="D178" s="7"/>
      <c r="E178" s="7"/>
      <c r="F178" s="9"/>
      <c r="G178" s="9"/>
      <c r="H178" s="7"/>
    </row>
    <row r="179" customFormat="false" ht="15" hidden="false" customHeight="true" outlineLevel="0" collapsed="false">
      <c r="A179" s="7"/>
      <c r="B179" s="7"/>
      <c r="C179" s="7"/>
      <c r="D179" s="7"/>
      <c r="E179" s="7"/>
      <c r="F179" s="9"/>
      <c r="G179" s="9"/>
      <c r="H179" s="7"/>
    </row>
    <row r="180" customFormat="false" ht="15" hidden="false" customHeight="true" outlineLevel="0" collapsed="false">
      <c r="A180" s="7"/>
      <c r="B180" s="7"/>
      <c r="C180" s="7"/>
      <c r="D180" s="7"/>
      <c r="E180" s="7"/>
      <c r="F180" s="9"/>
      <c r="G180" s="9"/>
      <c r="H180" s="7"/>
    </row>
    <row r="181" customFormat="false" ht="15" hidden="false" customHeight="true" outlineLevel="0" collapsed="false">
      <c r="A181" s="7"/>
      <c r="B181" s="7"/>
      <c r="C181" s="7"/>
      <c r="D181" s="7"/>
      <c r="E181" s="7"/>
      <c r="F181" s="9"/>
      <c r="G181" s="9"/>
      <c r="H181" s="7"/>
    </row>
    <row r="182" customFormat="false" ht="15" hidden="false" customHeight="true" outlineLevel="0" collapsed="false">
      <c r="A182" s="7"/>
      <c r="B182" s="7"/>
      <c r="C182" s="7"/>
      <c r="D182" s="7"/>
      <c r="E182" s="7"/>
      <c r="F182" s="9"/>
      <c r="G182" s="9"/>
      <c r="H182" s="7"/>
    </row>
    <row r="183" customFormat="false" ht="15" hidden="false" customHeight="true" outlineLevel="0" collapsed="false">
      <c r="A183" s="7"/>
      <c r="B183" s="7"/>
      <c r="C183" s="7"/>
      <c r="D183" s="7"/>
      <c r="E183" s="7"/>
      <c r="F183" s="9"/>
      <c r="G183" s="9"/>
      <c r="H183" s="7"/>
    </row>
    <row r="184" customFormat="false" ht="15" hidden="false" customHeight="true" outlineLevel="0" collapsed="false">
      <c r="A184" s="7"/>
      <c r="B184" s="7"/>
      <c r="C184" s="7"/>
      <c r="D184" s="7"/>
      <c r="E184" s="7"/>
      <c r="F184" s="9"/>
      <c r="G184" s="9"/>
      <c r="H184" s="7"/>
    </row>
    <row r="185" customFormat="false" ht="15" hidden="false" customHeight="true" outlineLevel="0" collapsed="false">
      <c r="A185" s="7"/>
      <c r="B185" s="7"/>
      <c r="C185" s="7"/>
      <c r="D185" s="7"/>
      <c r="E185" s="7"/>
      <c r="F185" s="9"/>
      <c r="G185" s="9"/>
      <c r="H185" s="7"/>
    </row>
    <row r="186" customFormat="false" ht="15" hidden="false" customHeight="true" outlineLevel="0" collapsed="false">
      <c r="A186" s="7"/>
      <c r="B186" s="7"/>
      <c r="C186" s="7"/>
      <c r="D186" s="7"/>
      <c r="E186" s="7"/>
      <c r="F186" s="9"/>
      <c r="G186" s="9"/>
      <c r="H186" s="7"/>
    </row>
    <row r="187" customFormat="false" ht="15" hidden="false" customHeight="true" outlineLevel="0" collapsed="false">
      <c r="A187" s="7"/>
      <c r="B187" s="7"/>
      <c r="C187" s="7"/>
      <c r="D187" s="7"/>
      <c r="E187" s="7"/>
      <c r="F187" s="9"/>
      <c r="G187" s="9"/>
      <c r="H187" s="7"/>
    </row>
    <row r="188" customFormat="false" ht="15" hidden="false" customHeight="true" outlineLevel="0" collapsed="false">
      <c r="A188" s="7"/>
      <c r="B188" s="7"/>
      <c r="C188" s="7"/>
      <c r="D188" s="7"/>
      <c r="E188" s="7"/>
      <c r="F188" s="9"/>
      <c r="G188" s="9"/>
      <c r="H188" s="7"/>
    </row>
    <row r="189" customFormat="false" ht="15" hidden="false" customHeight="true" outlineLevel="0" collapsed="false">
      <c r="A189" s="7"/>
      <c r="B189" s="7"/>
      <c r="C189" s="7"/>
      <c r="D189" s="7"/>
      <c r="E189" s="7"/>
      <c r="F189" s="9"/>
      <c r="G189" s="9"/>
      <c r="H189" s="7"/>
    </row>
    <row r="190" customFormat="false" ht="15" hidden="false" customHeight="true" outlineLevel="0" collapsed="false">
      <c r="A190" s="7"/>
      <c r="B190" s="7"/>
      <c r="C190" s="7"/>
      <c r="D190" s="7"/>
      <c r="E190" s="7"/>
      <c r="F190" s="9"/>
      <c r="G190" s="9"/>
      <c r="H190" s="7"/>
    </row>
    <row r="191" customFormat="false" ht="15" hidden="false" customHeight="true" outlineLevel="0" collapsed="false">
      <c r="A191" s="7"/>
      <c r="B191" s="7"/>
      <c r="C191" s="7"/>
      <c r="D191" s="7"/>
      <c r="E191" s="7"/>
      <c r="F191" s="9"/>
      <c r="G191" s="9"/>
      <c r="H191" s="7"/>
    </row>
    <row r="192" customFormat="false" ht="15" hidden="false" customHeight="true" outlineLevel="0" collapsed="false">
      <c r="A192" s="7"/>
      <c r="B192" s="7"/>
      <c r="C192" s="7"/>
      <c r="D192" s="7"/>
      <c r="E192" s="7"/>
      <c r="F192" s="9"/>
      <c r="G192" s="9"/>
      <c r="H192" s="7"/>
    </row>
    <row r="193" customFormat="false" ht="15" hidden="false" customHeight="true" outlineLevel="0" collapsed="false">
      <c r="A193" s="7"/>
      <c r="B193" s="7"/>
      <c r="C193" s="7"/>
      <c r="D193" s="7"/>
      <c r="E193" s="7"/>
      <c r="F193" s="9"/>
      <c r="G193" s="9"/>
      <c r="H193" s="7"/>
    </row>
    <row r="194" customFormat="false" ht="15" hidden="false" customHeight="true" outlineLevel="0" collapsed="false">
      <c r="A194" s="7"/>
      <c r="B194" s="7"/>
      <c r="C194" s="7"/>
      <c r="D194" s="7"/>
      <c r="E194" s="7"/>
      <c r="F194" s="9"/>
      <c r="G194" s="9"/>
      <c r="H194" s="7"/>
    </row>
    <row r="195" customFormat="false" ht="15" hidden="false" customHeight="true" outlineLevel="0" collapsed="false">
      <c r="A195" s="7"/>
      <c r="B195" s="7"/>
      <c r="C195" s="7"/>
      <c r="D195" s="7"/>
      <c r="E195" s="7"/>
      <c r="F195" s="9"/>
      <c r="G195" s="9"/>
      <c r="H195" s="7"/>
    </row>
    <row r="196" customFormat="false" ht="15" hidden="false" customHeight="true" outlineLevel="0" collapsed="false">
      <c r="A196" s="7"/>
      <c r="B196" s="7"/>
      <c r="C196" s="7"/>
      <c r="D196" s="7"/>
      <c r="E196" s="7"/>
      <c r="F196" s="9"/>
      <c r="G196" s="9"/>
      <c r="H196" s="7"/>
    </row>
    <row r="197" customFormat="false" ht="15" hidden="false" customHeight="true" outlineLevel="0" collapsed="false">
      <c r="A197" s="7"/>
      <c r="B197" s="7"/>
      <c r="C197" s="7"/>
      <c r="D197" s="7"/>
      <c r="E197" s="7"/>
      <c r="F197" s="9"/>
      <c r="G197" s="9"/>
      <c r="H197" s="7"/>
    </row>
    <row r="198" customFormat="false" ht="15" hidden="false" customHeight="true" outlineLevel="0" collapsed="false">
      <c r="A198" s="7"/>
      <c r="B198" s="7"/>
      <c r="C198" s="7"/>
      <c r="D198" s="7"/>
      <c r="E198" s="7"/>
      <c r="F198" s="9"/>
      <c r="G198" s="9"/>
      <c r="H198" s="7"/>
    </row>
    <row r="199" customFormat="false" ht="15" hidden="false" customHeight="true" outlineLevel="0" collapsed="false">
      <c r="A199" s="7"/>
      <c r="B199" s="7"/>
      <c r="C199" s="7"/>
      <c r="D199" s="7"/>
      <c r="E199" s="7"/>
      <c r="F199" s="9"/>
      <c r="G199" s="9"/>
      <c r="H199" s="7"/>
    </row>
    <row r="200" customFormat="false" ht="15" hidden="false" customHeight="true" outlineLevel="0" collapsed="false">
      <c r="A200" s="7"/>
      <c r="B200" s="7"/>
      <c r="C200" s="7"/>
      <c r="D200" s="7"/>
      <c r="E200" s="7"/>
      <c r="F200" s="9"/>
      <c r="G200" s="9"/>
      <c r="H200" s="7"/>
    </row>
    <row r="201" customFormat="false" ht="15" hidden="false" customHeight="true" outlineLevel="0" collapsed="false">
      <c r="A201" s="7"/>
      <c r="B201" s="7"/>
      <c r="C201" s="7"/>
      <c r="D201" s="7"/>
      <c r="E201" s="7"/>
      <c r="F201" s="9"/>
      <c r="G201" s="9"/>
      <c r="H201" s="7"/>
    </row>
    <row r="202" customFormat="false" ht="15" hidden="false" customHeight="true" outlineLevel="0" collapsed="false">
      <c r="A202" s="7"/>
      <c r="B202" s="7"/>
      <c r="C202" s="7"/>
      <c r="D202" s="7"/>
      <c r="E202" s="7"/>
      <c r="F202" s="9"/>
      <c r="G202" s="9"/>
      <c r="H202" s="7"/>
    </row>
    <row r="203" customFormat="false" ht="15" hidden="false" customHeight="true" outlineLevel="0" collapsed="false">
      <c r="A203" s="7"/>
      <c r="B203" s="7"/>
      <c r="C203" s="7"/>
      <c r="D203" s="7"/>
      <c r="E203" s="7"/>
      <c r="F203" s="9"/>
      <c r="G203" s="9"/>
      <c r="H203" s="7"/>
    </row>
    <row r="204" customFormat="false" ht="15" hidden="false" customHeight="true" outlineLevel="0" collapsed="false">
      <c r="A204" s="7"/>
      <c r="B204" s="7"/>
      <c r="C204" s="7"/>
      <c r="D204" s="7"/>
      <c r="E204" s="7"/>
      <c r="F204" s="9"/>
      <c r="G204" s="9"/>
      <c r="H204" s="7"/>
    </row>
    <row r="205" customFormat="false" ht="15" hidden="false" customHeight="true" outlineLevel="0" collapsed="false">
      <c r="A205" s="7"/>
      <c r="B205" s="7"/>
      <c r="C205" s="7"/>
      <c r="D205" s="7"/>
      <c r="E205" s="7"/>
      <c r="F205" s="9"/>
      <c r="G205" s="9"/>
      <c r="H205" s="7"/>
    </row>
    <row r="206" customFormat="false" ht="15" hidden="false" customHeight="true" outlineLevel="0" collapsed="false">
      <c r="A206" s="7"/>
      <c r="B206" s="7"/>
      <c r="C206" s="7"/>
      <c r="D206" s="7"/>
      <c r="E206" s="7"/>
      <c r="F206" s="9"/>
      <c r="G206" s="9"/>
      <c r="H206" s="7"/>
    </row>
    <row r="207" customFormat="false" ht="15" hidden="false" customHeight="true" outlineLevel="0" collapsed="false">
      <c r="A207" s="7"/>
      <c r="B207" s="7"/>
      <c r="C207" s="7"/>
      <c r="D207" s="7"/>
      <c r="E207" s="7"/>
      <c r="F207" s="9"/>
      <c r="G207" s="9"/>
      <c r="H207" s="7"/>
    </row>
    <row r="208" customFormat="false" ht="15" hidden="false" customHeight="true" outlineLevel="0" collapsed="false">
      <c r="A208" s="7"/>
      <c r="B208" s="7"/>
      <c r="C208" s="7"/>
      <c r="D208" s="7"/>
      <c r="E208" s="7"/>
      <c r="F208" s="9"/>
      <c r="G208" s="9"/>
      <c r="H208" s="7"/>
    </row>
    <row r="209" customFormat="false" ht="15" hidden="false" customHeight="true" outlineLevel="0" collapsed="false">
      <c r="A209" s="7"/>
      <c r="B209" s="7"/>
      <c r="C209" s="7"/>
      <c r="D209" s="7"/>
      <c r="E209" s="7"/>
      <c r="F209" s="9"/>
      <c r="G209" s="9"/>
      <c r="H209" s="7"/>
    </row>
    <row r="210" customFormat="false" ht="15" hidden="false" customHeight="true" outlineLevel="0" collapsed="false">
      <c r="A210" s="7"/>
      <c r="B210" s="7"/>
      <c r="C210" s="7"/>
      <c r="D210" s="7"/>
      <c r="E210" s="7"/>
      <c r="F210" s="9"/>
      <c r="G210" s="9"/>
      <c r="H210" s="7"/>
    </row>
    <row r="211" customFormat="false" ht="15" hidden="false" customHeight="true" outlineLevel="0" collapsed="false">
      <c r="A211" s="7"/>
      <c r="B211" s="7"/>
      <c r="C211" s="7"/>
      <c r="D211" s="7"/>
      <c r="E211" s="7"/>
      <c r="F211" s="9"/>
      <c r="G211" s="9"/>
      <c r="H211" s="7"/>
    </row>
    <row r="212" customFormat="false" ht="15" hidden="false" customHeight="true" outlineLevel="0" collapsed="false">
      <c r="A212" s="7"/>
      <c r="B212" s="7"/>
      <c r="C212" s="7"/>
      <c r="D212" s="7"/>
      <c r="E212" s="7"/>
      <c r="F212" s="9"/>
      <c r="G212" s="9"/>
      <c r="H212" s="7"/>
    </row>
    <row r="213" customFormat="false" ht="15" hidden="false" customHeight="true" outlineLevel="0" collapsed="false">
      <c r="A213" s="7"/>
      <c r="B213" s="7"/>
      <c r="C213" s="7"/>
      <c r="D213" s="7"/>
      <c r="E213" s="7"/>
      <c r="F213" s="9"/>
      <c r="G213" s="9"/>
      <c r="H213" s="7"/>
    </row>
    <row r="214" customFormat="false" ht="15" hidden="false" customHeight="true" outlineLevel="0" collapsed="false">
      <c r="A214" s="7"/>
      <c r="B214" s="7"/>
      <c r="C214" s="7"/>
      <c r="D214" s="7"/>
      <c r="E214" s="7"/>
      <c r="F214" s="9"/>
      <c r="G214" s="9"/>
      <c r="H214" s="7"/>
    </row>
    <row r="215" customFormat="false" ht="15" hidden="false" customHeight="true" outlineLevel="0" collapsed="false">
      <c r="A215" s="7"/>
      <c r="B215" s="7"/>
      <c r="C215" s="7"/>
      <c r="D215" s="7"/>
      <c r="E215" s="7"/>
      <c r="F215" s="9"/>
      <c r="G215" s="9"/>
      <c r="H215" s="7"/>
    </row>
    <row r="216" customFormat="false" ht="15" hidden="false" customHeight="true" outlineLevel="0" collapsed="false">
      <c r="A216" s="7"/>
      <c r="B216" s="7"/>
      <c r="C216" s="7"/>
      <c r="D216" s="7"/>
      <c r="E216" s="7"/>
      <c r="F216" s="9"/>
      <c r="G216" s="9"/>
      <c r="H216" s="7"/>
    </row>
    <row r="217" customFormat="false" ht="15" hidden="false" customHeight="true" outlineLevel="0" collapsed="false">
      <c r="A217" s="7"/>
      <c r="B217" s="7"/>
      <c r="C217" s="7"/>
      <c r="D217" s="7"/>
      <c r="E217" s="7"/>
      <c r="F217" s="9"/>
      <c r="G217" s="9"/>
      <c r="H217" s="7"/>
    </row>
    <row r="218" customFormat="false" ht="15" hidden="false" customHeight="true" outlineLevel="0" collapsed="false">
      <c r="A218" s="7"/>
      <c r="B218" s="7"/>
      <c r="C218" s="7"/>
      <c r="D218" s="7"/>
      <c r="E218" s="7"/>
      <c r="F218" s="9"/>
      <c r="G218" s="9"/>
      <c r="H218" s="7"/>
    </row>
    <row r="219" customFormat="false" ht="15" hidden="false" customHeight="true" outlineLevel="0" collapsed="false">
      <c r="A219" s="7"/>
      <c r="B219" s="7"/>
      <c r="C219" s="7"/>
      <c r="D219" s="7"/>
      <c r="E219" s="7"/>
      <c r="F219" s="9"/>
      <c r="G219" s="9"/>
      <c r="H219" s="7"/>
    </row>
    <row r="220" customFormat="false" ht="15" hidden="false" customHeight="true" outlineLevel="0" collapsed="false">
      <c r="A220" s="7"/>
      <c r="B220" s="7"/>
      <c r="C220" s="7"/>
      <c r="D220" s="7"/>
      <c r="E220" s="7"/>
      <c r="F220" s="9"/>
      <c r="G220" s="9"/>
      <c r="H220" s="7"/>
    </row>
    <row r="221" customFormat="false" ht="15" hidden="false" customHeight="true" outlineLevel="0" collapsed="false">
      <c r="A221" s="7"/>
      <c r="B221" s="7"/>
      <c r="C221" s="7"/>
      <c r="D221" s="7"/>
      <c r="E221" s="7"/>
      <c r="F221" s="9"/>
      <c r="G221" s="9"/>
      <c r="H221" s="7"/>
    </row>
    <row r="222" customFormat="false" ht="15" hidden="false" customHeight="true" outlineLevel="0" collapsed="false">
      <c r="A222" s="7"/>
      <c r="B222" s="7"/>
      <c r="C222" s="7"/>
      <c r="D222" s="7"/>
      <c r="E222" s="7"/>
      <c r="F222" s="9"/>
      <c r="G222" s="9"/>
      <c r="H222" s="7"/>
    </row>
    <row r="223" customFormat="false" ht="15" hidden="false" customHeight="true" outlineLevel="0" collapsed="false">
      <c r="A223" s="7"/>
      <c r="B223" s="7"/>
      <c r="C223" s="7"/>
      <c r="D223" s="7"/>
      <c r="E223" s="7"/>
      <c r="F223" s="9"/>
      <c r="G223" s="9"/>
      <c r="H223" s="7"/>
    </row>
    <row r="224" customFormat="false" ht="15" hidden="false" customHeight="true" outlineLevel="0" collapsed="false">
      <c r="A224" s="7"/>
      <c r="B224" s="7"/>
      <c r="C224" s="7"/>
      <c r="D224" s="7"/>
      <c r="E224" s="7"/>
      <c r="F224" s="9"/>
      <c r="G224" s="9"/>
      <c r="H224" s="7"/>
    </row>
    <row r="225" customFormat="false" ht="15" hidden="false" customHeight="true" outlineLevel="0" collapsed="false">
      <c r="A225" s="7"/>
      <c r="B225" s="7"/>
      <c r="C225" s="7"/>
      <c r="D225" s="7"/>
      <c r="E225" s="7"/>
      <c r="F225" s="9"/>
      <c r="G225" s="9"/>
      <c r="H225" s="7"/>
    </row>
    <row r="226" customFormat="false" ht="15" hidden="false" customHeight="true" outlineLevel="0" collapsed="false">
      <c r="A226" s="7"/>
      <c r="B226" s="7"/>
      <c r="C226" s="7"/>
      <c r="D226" s="7"/>
      <c r="E226" s="7"/>
      <c r="F226" s="9"/>
      <c r="G226" s="9"/>
      <c r="H226" s="7"/>
    </row>
    <row r="227" customFormat="false" ht="15" hidden="false" customHeight="true" outlineLevel="0" collapsed="false">
      <c r="A227" s="7"/>
      <c r="B227" s="7"/>
      <c r="C227" s="7"/>
      <c r="D227" s="7"/>
      <c r="E227" s="7"/>
      <c r="F227" s="9"/>
      <c r="G227" s="9"/>
      <c r="H227" s="7"/>
    </row>
    <row r="228" customFormat="false" ht="15" hidden="false" customHeight="true" outlineLevel="0" collapsed="false">
      <c r="A228" s="7"/>
      <c r="B228" s="7"/>
      <c r="C228" s="7"/>
      <c r="D228" s="7"/>
      <c r="E228" s="7"/>
      <c r="F228" s="9"/>
      <c r="G228" s="9"/>
      <c r="H228" s="7"/>
    </row>
    <row r="229" customFormat="false" ht="15" hidden="false" customHeight="true" outlineLevel="0" collapsed="false">
      <c r="A229" s="7"/>
      <c r="B229" s="7"/>
      <c r="C229" s="7"/>
      <c r="D229" s="7"/>
      <c r="E229" s="7"/>
      <c r="F229" s="9"/>
      <c r="G229" s="9"/>
      <c r="H229" s="7"/>
    </row>
    <row r="230" customFormat="false" ht="15" hidden="false" customHeight="true" outlineLevel="0" collapsed="false">
      <c r="A230" s="7"/>
      <c r="B230" s="7"/>
      <c r="C230" s="7"/>
      <c r="D230" s="7"/>
      <c r="E230" s="7"/>
      <c r="F230" s="9"/>
      <c r="G230" s="9"/>
      <c r="H230" s="7"/>
    </row>
    <row r="231" customFormat="false" ht="15" hidden="false" customHeight="true" outlineLevel="0" collapsed="false">
      <c r="A231" s="7"/>
      <c r="B231" s="7"/>
      <c r="C231" s="7"/>
      <c r="D231" s="7"/>
      <c r="E231" s="7"/>
      <c r="F231" s="9"/>
      <c r="G231" s="9"/>
      <c r="H231" s="7"/>
    </row>
    <row r="232" customFormat="false" ht="15" hidden="false" customHeight="true" outlineLevel="0" collapsed="false">
      <c r="A232" s="7"/>
      <c r="B232" s="7"/>
      <c r="C232" s="7"/>
      <c r="D232" s="7"/>
      <c r="E232" s="7"/>
      <c r="F232" s="9"/>
      <c r="G232" s="9"/>
      <c r="H232" s="7"/>
    </row>
    <row r="233" customFormat="false" ht="15" hidden="false" customHeight="true" outlineLevel="0" collapsed="false">
      <c r="A233" s="7"/>
      <c r="B233" s="7"/>
      <c r="C233" s="7"/>
      <c r="D233" s="7"/>
      <c r="E233" s="7"/>
      <c r="F233" s="9"/>
      <c r="G233" s="9"/>
      <c r="H233" s="7"/>
    </row>
    <row r="234" customFormat="false" ht="15" hidden="false" customHeight="true" outlineLevel="0" collapsed="false">
      <c r="A234" s="7"/>
      <c r="B234" s="7"/>
      <c r="C234" s="7"/>
      <c r="D234" s="7"/>
      <c r="E234" s="7"/>
      <c r="F234" s="9"/>
      <c r="G234" s="9"/>
      <c r="H234" s="7"/>
    </row>
    <row r="235" customFormat="false" ht="15" hidden="false" customHeight="true" outlineLevel="0" collapsed="false">
      <c r="A235" s="7"/>
      <c r="B235" s="7"/>
      <c r="C235" s="7"/>
      <c r="D235" s="7"/>
      <c r="E235" s="7"/>
      <c r="F235" s="9"/>
      <c r="G235" s="9"/>
      <c r="H235" s="7"/>
    </row>
    <row r="236" customFormat="false" ht="15" hidden="false" customHeight="true" outlineLevel="0" collapsed="false">
      <c r="A236" s="7"/>
      <c r="B236" s="7"/>
      <c r="C236" s="7"/>
      <c r="D236" s="7"/>
      <c r="E236" s="7"/>
      <c r="F236" s="9"/>
      <c r="G236" s="9"/>
      <c r="H236" s="7"/>
    </row>
    <row r="237" customFormat="false" ht="15" hidden="false" customHeight="true" outlineLevel="0" collapsed="false">
      <c r="A237" s="7"/>
      <c r="B237" s="7"/>
      <c r="C237" s="7"/>
      <c r="D237" s="7"/>
      <c r="E237" s="7"/>
      <c r="F237" s="9"/>
      <c r="G237" s="9"/>
      <c r="H237" s="7"/>
    </row>
    <row r="238" customFormat="false" ht="15" hidden="false" customHeight="true" outlineLevel="0" collapsed="false">
      <c r="A238" s="7"/>
      <c r="B238" s="7"/>
      <c r="C238" s="7"/>
      <c r="D238" s="7"/>
      <c r="E238" s="7"/>
      <c r="F238" s="9"/>
      <c r="G238" s="9"/>
      <c r="H238" s="7"/>
    </row>
    <row r="239" customFormat="false" ht="15" hidden="false" customHeight="true" outlineLevel="0" collapsed="false">
      <c r="A239" s="7"/>
      <c r="B239" s="7"/>
      <c r="C239" s="7"/>
      <c r="D239" s="7"/>
      <c r="E239" s="7"/>
      <c r="F239" s="9"/>
      <c r="G239" s="9"/>
      <c r="H239" s="7"/>
    </row>
    <row r="240" customFormat="false" ht="15" hidden="false" customHeight="true" outlineLevel="0" collapsed="false">
      <c r="A240" s="7"/>
      <c r="B240" s="7"/>
      <c r="C240" s="7"/>
      <c r="D240" s="7"/>
      <c r="E240" s="7"/>
      <c r="F240" s="9"/>
      <c r="G240" s="9"/>
      <c r="H240" s="7"/>
    </row>
    <row r="241" customFormat="false" ht="15" hidden="false" customHeight="true" outlineLevel="0" collapsed="false">
      <c r="A241" s="7"/>
      <c r="B241" s="7"/>
      <c r="C241" s="7"/>
      <c r="D241" s="7"/>
      <c r="E241" s="7"/>
      <c r="F241" s="9"/>
      <c r="G241" s="9"/>
      <c r="H241" s="7"/>
    </row>
    <row r="242" customFormat="false" ht="15" hidden="false" customHeight="true" outlineLevel="0" collapsed="false">
      <c r="A242" s="7"/>
      <c r="B242" s="7"/>
      <c r="C242" s="7"/>
      <c r="D242" s="7"/>
      <c r="E242" s="7"/>
      <c r="F242" s="9"/>
      <c r="G242" s="9"/>
      <c r="H242" s="7"/>
    </row>
    <row r="243" customFormat="false" ht="15" hidden="false" customHeight="true" outlineLevel="0" collapsed="false">
      <c r="A243" s="7"/>
      <c r="B243" s="7"/>
      <c r="C243" s="7"/>
      <c r="D243" s="7"/>
      <c r="E243" s="7"/>
      <c r="F243" s="9"/>
      <c r="G243" s="9"/>
      <c r="H243" s="7"/>
    </row>
    <row r="244" customFormat="false" ht="15" hidden="false" customHeight="true" outlineLevel="0" collapsed="false">
      <c r="A244" s="7"/>
      <c r="B244" s="7"/>
      <c r="C244" s="7"/>
      <c r="D244" s="7"/>
      <c r="E244" s="7"/>
      <c r="F244" s="9"/>
      <c r="G244" s="9"/>
      <c r="H244" s="7"/>
    </row>
    <row r="245" customFormat="false" ht="15" hidden="false" customHeight="true" outlineLevel="0" collapsed="false">
      <c r="A245" s="7"/>
      <c r="B245" s="7"/>
      <c r="C245" s="7"/>
      <c r="D245" s="7"/>
      <c r="E245" s="7"/>
      <c r="F245" s="9"/>
      <c r="G245" s="9"/>
      <c r="H245" s="7"/>
    </row>
    <row r="246" customFormat="false" ht="15" hidden="false" customHeight="true" outlineLevel="0" collapsed="false">
      <c r="A246" s="7"/>
      <c r="B246" s="7"/>
      <c r="C246" s="7"/>
      <c r="D246" s="7"/>
      <c r="E246" s="7"/>
      <c r="F246" s="9"/>
      <c r="G246" s="9"/>
      <c r="H246" s="7"/>
    </row>
    <row r="247" customFormat="false" ht="15" hidden="false" customHeight="true" outlineLevel="0" collapsed="false">
      <c r="A247" s="7"/>
      <c r="B247" s="7"/>
      <c r="C247" s="7"/>
      <c r="D247" s="7"/>
      <c r="E247" s="7"/>
      <c r="F247" s="9"/>
      <c r="G247" s="9"/>
      <c r="H247" s="7"/>
    </row>
    <row r="248" customFormat="false" ht="15" hidden="false" customHeight="true" outlineLevel="0" collapsed="false">
      <c r="A248" s="7"/>
      <c r="B248" s="7"/>
      <c r="C248" s="7"/>
      <c r="D248" s="7"/>
      <c r="E248" s="7"/>
      <c r="F248" s="9"/>
      <c r="G248" s="9"/>
      <c r="H248" s="7"/>
    </row>
    <row r="249" customFormat="false" ht="15" hidden="false" customHeight="true" outlineLevel="0" collapsed="false">
      <c r="A249" s="7"/>
      <c r="B249" s="7"/>
      <c r="C249" s="7"/>
      <c r="D249" s="7"/>
      <c r="E249" s="7"/>
      <c r="F249" s="9"/>
      <c r="G249" s="9"/>
      <c r="H249" s="7"/>
    </row>
    <row r="250" customFormat="false" ht="15" hidden="false" customHeight="true" outlineLevel="0" collapsed="false">
      <c r="A250" s="7"/>
      <c r="B250" s="7"/>
      <c r="C250" s="7"/>
      <c r="D250" s="7"/>
      <c r="E250" s="7"/>
      <c r="F250" s="9"/>
      <c r="G250" s="9"/>
      <c r="H250" s="7"/>
    </row>
    <row r="251" customFormat="false" ht="15" hidden="false" customHeight="true" outlineLevel="0" collapsed="false">
      <c r="A251" s="7"/>
      <c r="B251" s="7"/>
      <c r="C251" s="7"/>
      <c r="D251" s="7"/>
      <c r="E251" s="7"/>
      <c r="F251" s="9"/>
      <c r="G251" s="9"/>
      <c r="H251" s="7"/>
    </row>
    <row r="252" customFormat="false" ht="15" hidden="false" customHeight="true" outlineLevel="0" collapsed="false">
      <c r="A252" s="7"/>
      <c r="B252" s="7"/>
      <c r="C252" s="7"/>
      <c r="D252" s="7"/>
      <c r="E252" s="7"/>
      <c r="F252" s="9"/>
      <c r="G252" s="9"/>
      <c r="H252" s="7"/>
    </row>
    <row r="253" customFormat="false" ht="15" hidden="false" customHeight="true" outlineLevel="0" collapsed="false">
      <c r="A253" s="7"/>
      <c r="B253" s="7"/>
      <c r="C253" s="7"/>
      <c r="D253" s="7"/>
      <c r="E253" s="7"/>
      <c r="F253" s="9"/>
      <c r="G253" s="9"/>
      <c r="H253" s="7"/>
    </row>
    <row r="254" customFormat="false" ht="15" hidden="false" customHeight="true" outlineLevel="0" collapsed="false">
      <c r="A254" s="7"/>
      <c r="B254" s="7"/>
      <c r="C254" s="7"/>
      <c r="D254" s="7"/>
      <c r="E254" s="7"/>
      <c r="F254" s="9"/>
      <c r="G254" s="9"/>
      <c r="H254" s="7"/>
    </row>
    <row r="255" customFormat="false" ht="15" hidden="false" customHeight="true" outlineLevel="0" collapsed="false">
      <c r="A255" s="7"/>
      <c r="B255" s="7"/>
      <c r="C255" s="7"/>
      <c r="D255" s="7"/>
      <c r="E255" s="7"/>
      <c r="F255" s="9"/>
      <c r="G255" s="9"/>
      <c r="H255" s="7"/>
    </row>
    <row r="256" customFormat="false" ht="15" hidden="false" customHeight="true" outlineLevel="0" collapsed="false">
      <c r="A256" s="7"/>
      <c r="B256" s="7"/>
      <c r="C256" s="7"/>
      <c r="D256" s="7"/>
      <c r="E256" s="7"/>
      <c r="F256" s="9"/>
      <c r="G256" s="9"/>
      <c r="H256" s="7"/>
    </row>
    <row r="257" customFormat="false" ht="15" hidden="false" customHeight="true" outlineLevel="0" collapsed="false">
      <c r="A257" s="7"/>
      <c r="B257" s="7"/>
      <c r="C257" s="7"/>
      <c r="D257" s="7"/>
      <c r="E257" s="7"/>
      <c r="F257" s="9"/>
      <c r="G257" s="9"/>
      <c r="H257" s="7"/>
    </row>
    <row r="258" customFormat="false" ht="15" hidden="false" customHeight="true" outlineLevel="0" collapsed="false">
      <c r="A258" s="7"/>
      <c r="B258" s="7"/>
      <c r="C258" s="7"/>
      <c r="D258" s="7"/>
      <c r="E258" s="7"/>
      <c r="F258" s="9"/>
      <c r="G258" s="9"/>
      <c r="H258" s="7"/>
    </row>
    <row r="259" customFormat="false" ht="15" hidden="false" customHeight="true" outlineLevel="0" collapsed="false">
      <c r="A259" s="7"/>
      <c r="B259" s="7"/>
      <c r="C259" s="7"/>
      <c r="D259" s="7"/>
      <c r="E259" s="7"/>
      <c r="F259" s="9"/>
      <c r="G259" s="9"/>
      <c r="H259" s="7"/>
    </row>
    <row r="260" customFormat="false" ht="15" hidden="false" customHeight="true" outlineLevel="0" collapsed="false">
      <c r="A260" s="7"/>
      <c r="B260" s="7"/>
      <c r="C260" s="7"/>
      <c r="D260" s="7"/>
      <c r="E260" s="7"/>
      <c r="F260" s="9"/>
      <c r="G260" s="9"/>
      <c r="H260" s="7"/>
    </row>
    <row r="261" customFormat="false" ht="15" hidden="false" customHeight="true" outlineLevel="0" collapsed="false">
      <c r="A261" s="7"/>
      <c r="B261" s="7"/>
      <c r="C261" s="7"/>
      <c r="D261" s="7"/>
      <c r="E261" s="7"/>
      <c r="F261" s="9"/>
      <c r="G261" s="9"/>
      <c r="H261" s="7"/>
    </row>
    <row r="262" customFormat="false" ht="15" hidden="false" customHeight="true" outlineLevel="0" collapsed="false">
      <c r="A262" s="7"/>
      <c r="B262" s="7"/>
      <c r="C262" s="7"/>
      <c r="D262" s="7"/>
      <c r="E262" s="7"/>
      <c r="F262" s="9"/>
      <c r="G262" s="9"/>
      <c r="H262" s="7"/>
    </row>
    <row r="263" customFormat="false" ht="15" hidden="false" customHeight="true" outlineLevel="0" collapsed="false">
      <c r="A263" s="7"/>
      <c r="B263" s="7"/>
      <c r="C263" s="7"/>
      <c r="D263" s="7"/>
      <c r="E263" s="7"/>
      <c r="F263" s="9"/>
      <c r="G263" s="9"/>
      <c r="H263" s="7"/>
    </row>
    <row r="264" customFormat="false" ht="15" hidden="false" customHeight="true" outlineLevel="0" collapsed="false">
      <c r="A264" s="7"/>
      <c r="B264" s="7"/>
      <c r="C264" s="7"/>
      <c r="D264" s="7"/>
      <c r="E264" s="7"/>
      <c r="F264" s="9"/>
      <c r="G264" s="9"/>
      <c r="H264" s="7"/>
    </row>
    <row r="265" customFormat="false" ht="15" hidden="false" customHeight="true" outlineLevel="0" collapsed="false">
      <c r="A265" s="7"/>
      <c r="B265" s="7"/>
      <c r="C265" s="7"/>
      <c r="D265" s="7"/>
      <c r="E265" s="7"/>
      <c r="F265" s="9"/>
      <c r="G265" s="9"/>
      <c r="H265" s="7"/>
    </row>
    <row r="266" customFormat="false" ht="15" hidden="false" customHeight="true" outlineLevel="0" collapsed="false">
      <c r="A266" s="7"/>
      <c r="B266" s="7"/>
      <c r="C266" s="7"/>
      <c r="D266" s="7"/>
      <c r="E266" s="7"/>
      <c r="F266" s="9"/>
      <c r="G266" s="9"/>
      <c r="H266" s="7"/>
    </row>
    <row r="267" customFormat="false" ht="15" hidden="false" customHeight="true" outlineLevel="0" collapsed="false">
      <c r="A267" s="7"/>
      <c r="B267" s="7"/>
      <c r="C267" s="7"/>
      <c r="D267" s="7"/>
      <c r="E267" s="7"/>
      <c r="F267" s="9"/>
      <c r="G267" s="9"/>
      <c r="H267" s="7"/>
    </row>
    <row r="268" customFormat="false" ht="15" hidden="false" customHeight="true" outlineLevel="0" collapsed="false">
      <c r="A268" s="7"/>
      <c r="B268" s="7"/>
      <c r="C268" s="7"/>
      <c r="D268" s="7"/>
      <c r="E268" s="7"/>
      <c r="F268" s="9"/>
      <c r="G268" s="9"/>
      <c r="H268" s="7"/>
    </row>
    <row r="269" customFormat="false" ht="15" hidden="false" customHeight="true" outlineLevel="0" collapsed="false">
      <c r="A269" s="7"/>
      <c r="B269" s="7"/>
      <c r="C269" s="7"/>
      <c r="D269" s="7"/>
      <c r="E269" s="7"/>
      <c r="F269" s="9"/>
      <c r="G269" s="9"/>
      <c r="H269" s="7"/>
    </row>
    <row r="270" customFormat="false" ht="15" hidden="false" customHeight="true" outlineLevel="0" collapsed="false">
      <c r="A270" s="7"/>
      <c r="B270" s="7"/>
      <c r="C270" s="7"/>
      <c r="D270" s="7"/>
      <c r="E270" s="7"/>
      <c r="F270" s="9"/>
      <c r="G270" s="9"/>
      <c r="H270" s="7"/>
    </row>
    <row r="271" customFormat="false" ht="15" hidden="false" customHeight="true" outlineLevel="0" collapsed="false">
      <c r="A271" s="7"/>
      <c r="B271" s="7"/>
      <c r="C271" s="7"/>
      <c r="D271" s="7"/>
      <c r="E271" s="7"/>
      <c r="F271" s="9"/>
      <c r="G271" s="9"/>
      <c r="H271" s="7"/>
    </row>
    <row r="272" customFormat="false" ht="15" hidden="false" customHeight="true" outlineLevel="0" collapsed="false">
      <c r="A272" s="7"/>
      <c r="B272" s="7"/>
      <c r="C272" s="7"/>
      <c r="D272" s="7"/>
      <c r="E272" s="7"/>
      <c r="F272" s="9"/>
      <c r="G272" s="9"/>
      <c r="H272" s="7"/>
    </row>
    <row r="273" customFormat="false" ht="15" hidden="false" customHeight="true" outlineLevel="0" collapsed="false">
      <c r="A273" s="7"/>
      <c r="B273" s="7"/>
      <c r="C273" s="7"/>
      <c r="D273" s="7"/>
      <c r="E273" s="7"/>
      <c r="F273" s="9"/>
      <c r="G273" s="9"/>
      <c r="H273" s="7"/>
    </row>
    <row r="274" customFormat="false" ht="15" hidden="false" customHeight="true" outlineLevel="0" collapsed="false">
      <c r="A274" s="7"/>
      <c r="B274" s="7"/>
      <c r="C274" s="7"/>
      <c r="D274" s="7"/>
      <c r="E274" s="7"/>
      <c r="F274" s="9"/>
      <c r="G274" s="9"/>
      <c r="H274" s="7"/>
    </row>
    <row r="275" customFormat="false" ht="15" hidden="false" customHeight="true" outlineLevel="0" collapsed="false">
      <c r="A275" s="7"/>
      <c r="B275" s="7"/>
      <c r="C275" s="7"/>
      <c r="D275" s="7"/>
      <c r="E275" s="7"/>
      <c r="F275" s="9"/>
      <c r="G275" s="9"/>
      <c r="H275" s="7"/>
    </row>
    <row r="276" customFormat="false" ht="15" hidden="false" customHeight="true" outlineLevel="0" collapsed="false">
      <c r="A276" s="7"/>
      <c r="B276" s="7"/>
      <c r="C276" s="7"/>
      <c r="D276" s="7"/>
      <c r="E276" s="7"/>
      <c r="F276" s="9"/>
      <c r="G276" s="9"/>
      <c r="H276" s="7"/>
    </row>
    <row r="277" customFormat="false" ht="15" hidden="false" customHeight="true" outlineLevel="0" collapsed="false">
      <c r="A277" s="7"/>
      <c r="B277" s="7"/>
      <c r="C277" s="7"/>
      <c r="D277" s="7"/>
      <c r="E277" s="7"/>
      <c r="F277" s="9"/>
      <c r="G277" s="9"/>
      <c r="H277" s="7"/>
    </row>
    <row r="278" customFormat="false" ht="15" hidden="false" customHeight="true" outlineLevel="0" collapsed="false">
      <c r="A278" s="7"/>
      <c r="B278" s="7"/>
      <c r="C278" s="7"/>
      <c r="D278" s="7"/>
      <c r="E278" s="7"/>
      <c r="F278" s="9"/>
      <c r="G278" s="9"/>
      <c r="H278" s="7"/>
    </row>
    <row r="279" customFormat="false" ht="15" hidden="false" customHeight="true" outlineLevel="0" collapsed="false">
      <c r="A279" s="7"/>
      <c r="B279" s="7"/>
      <c r="C279" s="7"/>
      <c r="D279" s="7"/>
      <c r="E279" s="7"/>
      <c r="F279" s="9"/>
      <c r="G279" s="9"/>
      <c r="H279" s="7"/>
    </row>
    <row r="280" customFormat="false" ht="15" hidden="false" customHeight="true" outlineLevel="0" collapsed="false">
      <c r="A280" s="7"/>
      <c r="B280" s="7"/>
      <c r="C280" s="7"/>
      <c r="D280" s="7"/>
      <c r="E280" s="7"/>
      <c r="F280" s="9"/>
      <c r="G280" s="9"/>
      <c r="H280" s="7"/>
    </row>
    <row r="281" customFormat="false" ht="15" hidden="false" customHeight="true" outlineLevel="0" collapsed="false">
      <c r="A281" s="7"/>
      <c r="B281" s="7"/>
      <c r="C281" s="7"/>
      <c r="D281" s="7"/>
      <c r="E281" s="7"/>
      <c r="F281" s="9"/>
      <c r="G281" s="9"/>
      <c r="H281" s="7"/>
    </row>
    <row r="282" customFormat="false" ht="15" hidden="false" customHeight="true" outlineLevel="0" collapsed="false">
      <c r="A282" s="7"/>
      <c r="B282" s="7"/>
      <c r="C282" s="7"/>
      <c r="D282" s="7"/>
      <c r="E282" s="7"/>
      <c r="F282" s="9"/>
      <c r="G282" s="9"/>
      <c r="H282" s="7"/>
    </row>
    <row r="283" customFormat="false" ht="15" hidden="false" customHeight="true" outlineLevel="0" collapsed="false">
      <c r="A283" s="7"/>
      <c r="B283" s="7"/>
      <c r="C283" s="7"/>
      <c r="D283" s="7"/>
      <c r="E283" s="7"/>
      <c r="F283" s="9"/>
      <c r="G283" s="9"/>
      <c r="H283" s="7"/>
    </row>
    <row r="284" customFormat="false" ht="15" hidden="false" customHeight="true" outlineLevel="0" collapsed="false">
      <c r="A284" s="7"/>
      <c r="B284" s="7"/>
      <c r="C284" s="7"/>
      <c r="D284" s="7"/>
      <c r="E284" s="7"/>
      <c r="F284" s="9"/>
      <c r="G284" s="9"/>
      <c r="H284" s="7"/>
    </row>
    <row r="285" customFormat="false" ht="15" hidden="false" customHeight="true" outlineLevel="0" collapsed="false">
      <c r="A285" s="7"/>
      <c r="B285" s="7"/>
      <c r="C285" s="7"/>
      <c r="D285" s="7"/>
      <c r="E285" s="7"/>
      <c r="F285" s="9"/>
      <c r="G285" s="9"/>
      <c r="H285" s="7"/>
    </row>
    <row r="286" customFormat="false" ht="15" hidden="false" customHeight="true" outlineLevel="0" collapsed="false">
      <c r="A286" s="7"/>
      <c r="B286" s="7"/>
      <c r="C286" s="7"/>
      <c r="D286" s="7"/>
      <c r="E286" s="7"/>
      <c r="F286" s="9"/>
      <c r="G286" s="9"/>
      <c r="H286" s="7"/>
    </row>
    <row r="287" customFormat="false" ht="15" hidden="false" customHeight="true" outlineLevel="0" collapsed="false">
      <c r="A287" s="7"/>
      <c r="B287" s="7"/>
      <c r="C287" s="7"/>
      <c r="D287" s="7"/>
      <c r="E287" s="7"/>
      <c r="F287" s="9"/>
      <c r="G287" s="9"/>
      <c r="H287" s="7"/>
    </row>
    <row r="288" customFormat="false" ht="15" hidden="false" customHeight="true" outlineLevel="0" collapsed="false">
      <c r="A288" s="7"/>
      <c r="B288" s="7"/>
      <c r="C288" s="7"/>
      <c r="D288" s="7"/>
      <c r="E288" s="7"/>
      <c r="F288" s="9"/>
      <c r="G288" s="9"/>
      <c r="H288" s="7"/>
    </row>
    <row r="289" customFormat="false" ht="15" hidden="false" customHeight="true" outlineLevel="0" collapsed="false">
      <c r="A289" s="7"/>
      <c r="B289" s="7"/>
      <c r="C289" s="7"/>
      <c r="D289" s="7"/>
      <c r="E289" s="7"/>
      <c r="F289" s="9"/>
      <c r="G289" s="9"/>
      <c r="H289" s="7"/>
    </row>
    <row r="290" customFormat="false" ht="15" hidden="false" customHeight="true" outlineLevel="0" collapsed="false">
      <c r="A290" s="7"/>
      <c r="B290" s="7"/>
      <c r="C290" s="7"/>
      <c r="D290" s="7"/>
      <c r="E290" s="7"/>
      <c r="F290" s="9"/>
      <c r="G290" s="9"/>
      <c r="H290" s="7"/>
    </row>
    <row r="291" customFormat="false" ht="15" hidden="false" customHeight="true" outlineLevel="0" collapsed="false">
      <c r="A291" s="7"/>
      <c r="B291" s="7"/>
      <c r="C291" s="7"/>
      <c r="D291" s="7"/>
      <c r="E291" s="7"/>
      <c r="F291" s="9"/>
      <c r="G291" s="9"/>
      <c r="H291" s="7"/>
    </row>
    <row r="292" customFormat="false" ht="15" hidden="false" customHeight="true" outlineLevel="0" collapsed="false">
      <c r="A292" s="7"/>
      <c r="B292" s="7"/>
      <c r="C292" s="7"/>
      <c r="D292" s="7"/>
      <c r="E292" s="7"/>
      <c r="F292" s="9"/>
      <c r="G292" s="9"/>
      <c r="H292" s="7"/>
    </row>
    <row r="293" customFormat="false" ht="15" hidden="false" customHeight="true" outlineLevel="0" collapsed="false">
      <c r="A293" s="7"/>
      <c r="B293" s="7"/>
      <c r="C293" s="7"/>
      <c r="D293" s="7"/>
      <c r="E293" s="7"/>
      <c r="F293" s="9"/>
      <c r="G293" s="9"/>
      <c r="H293" s="7"/>
    </row>
    <row r="294" customFormat="false" ht="15" hidden="false" customHeight="true" outlineLevel="0" collapsed="false">
      <c r="A294" s="7"/>
      <c r="B294" s="7"/>
      <c r="C294" s="7"/>
      <c r="D294" s="7"/>
      <c r="E294" s="7"/>
      <c r="F294" s="9"/>
      <c r="G294" s="9"/>
      <c r="H294" s="7"/>
    </row>
    <row r="295" customFormat="false" ht="15" hidden="false" customHeight="true" outlineLevel="0" collapsed="false">
      <c r="A295" s="7"/>
      <c r="B295" s="7"/>
      <c r="C295" s="7"/>
      <c r="D295" s="7"/>
      <c r="E295" s="7"/>
      <c r="F295" s="9"/>
      <c r="G295" s="9"/>
      <c r="H295" s="7"/>
    </row>
    <row r="296" customFormat="false" ht="15" hidden="false" customHeight="true" outlineLevel="0" collapsed="false">
      <c r="A296" s="7"/>
      <c r="B296" s="7"/>
      <c r="C296" s="7"/>
      <c r="D296" s="7"/>
      <c r="E296" s="7"/>
      <c r="F296" s="9"/>
      <c r="G296" s="9"/>
      <c r="H296" s="7"/>
    </row>
    <row r="297" customFormat="false" ht="15" hidden="false" customHeight="true" outlineLevel="0" collapsed="false">
      <c r="A297" s="7"/>
      <c r="B297" s="7"/>
      <c r="C297" s="7"/>
      <c r="D297" s="7"/>
      <c r="E297" s="7"/>
      <c r="F297" s="9"/>
      <c r="G297" s="9"/>
      <c r="H297" s="7"/>
    </row>
    <row r="298" customFormat="false" ht="15" hidden="false" customHeight="true" outlineLevel="0" collapsed="false">
      <c r="A298" s="7"/>
      <c r="B298" s="7"/>
      <c r="C298" s="7"/>
      <c r="D298" s="7"/>
      <c r="E298" s="7"/>
      <c r="F298" s="9"/>
      <c r="G298" s="9"/>
      <c r="H298" s="7"/>
    </row>
    <row r="299" customFormat="false" ht="15" hidden="false" customHeight="true" outlineLevel="0" collapsed="false">
      <c r="A299" s="7"/>
      <c r="B299" s="7"/>
      <c r="C299" s="7"/>
      <c r="D299" s="7"/>
      <c r="E299" s="7"/>
      <c r="F299" s="9"/>
      <c r="G299" s="9"/>
      <c r="H299" s="7"/>
    </row>
    <row r="300" customFormat="false" ht="15" hidden="false" customHeight="true" outlineLevel="0" collapsed="false">
      <c r="A300" s="7"/>
      <c r="B300" s="7"/>
      <c r="C300" s="7"/>
      <c r="D300" s="7"/>
      <c r="E300" s="7"/>
      <c r="F300" s="9"/>
      <c r="G300" s="9"/>
      <c r="H300" s="7"/>
    </row>
    <row r="301" customFormat="false" ht="15" hidden="false" customHeight="true" outlineLevel="0" collapsed="false">
      <c r="A301" s="7"/>
      <c r="B301" s="7"/>
      <c r="C301" s="7"/>
      <c r="D301" s="7"/>
      <c r="E301" s="7"/>
      <c r="F301" s="9"/>
      <c r="G301" s="9"/>
      <c r="H301" s="7"/>
    </row>
    <row r="302" customFormat="false" ht="15" hidden="false" customHeight="true" outlineLevel="0" collapsed="false">
      <c r="A302" s="7"/>
      <c r="B302" s="7"/>
      <c r="C302" s="7"/>
      <c r="D302" s="7"/>
      <c r="E302" s="7"/>
      <c r="F302" s="9"/>
      <c r="G302" s="9"/>
      <c r="H302" s="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4" min="4" style="1" width="28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1" min="10" style="1" width="20"/>
    <col collapsed="false" customWidth="true" hidden="false" outlineLevel="0" max="12" min="12" style="1" width="12"/>
    <col collapsed="false" customWidth="true" hidden="false" outlineLevel="0" max="13" min="13" style="1" width="18"/>
  </cols>
  <sheetData>
    <row r="1" customFormat="false" ht="25.5" hidden="false" customHeight="true" outlineLevel="0" collapsed="false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6" t="s">
        <v>49</v>
      </c>
      <c r="B2" s="6" t="s">
        <v>50</v>
      </c>
      <c r="C2" s="6" t="s">
        <v>23</v>
      </c>
      <c r="D2" s="10" t="s">
        <v>51</v>
      </c>
      <c r="E2" s="10" t="s">
        <v>52</v>
      </c>
      <c r="F2" s="10" t="s">
        <v>53</v>
      </c>
      <c r="G2" s="6" t="s">
        <v>54</v>
      </c>
      <c r="H2" s="6" t="s">
        <v>55</v>
      </c>
      <c r="I2" s="10" t="s">
        <v>56</v>
      </c>
      <c r="J2" s="6" t="s">
        <v>57</v>
      </c>
      <c r="K2" s="6" t="s">
        <v>30</v>
      </c>
      <c r="L2" s="10" t="s">
        <v>58</v>
      </c>
      <c r="M2" s="10" t="s">
        <v>59</v>
      </c>
    </row>
    <row r="3" customFormat="false" ht="15" hidden="false" customHeight="true" outlineLevel="0" collapsed="false">
      <c r="A3" s="11"/>
      <c r="B3" s="7"/>
      <c r="C3" s="7"/>
      <c r="D3" s="12" t="str">
        <f aca="false">IF($C3="","",IFERROR(INDEX(품목마스터!$B$3:$B$302,MATCH($C3,품목마스터!$A$3:$A$302,0)),"미등록품번"))</f>
        <v/>
      </c>
      <c r="E3" s="12" t="str">
        <f aca="false">IF($C3="","",IFERROR(INDEX(품목마스터!$C$3:$C$302,MATCH($C3,품목마스터!$A$3:$A$302,0)),""))</f>
        <v/>
      </c>
      <c r="F3" s="12" t="str">
        <f aca="false">IF($C3="","",IFERROR(INDEX(품목마스터!$D$3:$D$302,MATCH($C3,품목마스터!$A$3:$A$302,0)),""))</f>
        <v/>
      </c>
      <c r="G3" s="9"/>
      <c r="H3" s="9"/>
      <c r="I3" s="13" t="str">
        <f aca="false">IF(OR($G3="",$H3=""),"",ROUND($G3*$H3,0))</f>
        <v/>
      </c>
      <c r="J3" s="7"/>
      <c r="K3" s="7"/>
      <c r="L3" s="14" t="str">
        <f aca="false">IF(OR($C3="",$G3=""),"",IF($B3="입고",$G3,IF($B3="출고",-$G3,$G3)))</f>
        <v/>
      </c>
      <c r="M3" s="13" t="str">
        <f aca="false">IF($C3="","",IFERROR(INDEX(품목마스터!$F$3:$F$302,MATCH($C3,품목마스터!$A$3:$A$302,0)),0)+SUMIFS($L$3:$L3,$C$3:$C3,$C3))</f>
        <v/>
      </c>
    </row>
    <row r="4" customFormat="false" ht="15" hidden="false" customHeight="true" outlineLevel="0" collapsed="false">
      <c r="A4" s="11"/>
      <c r="B4" s="7"/>
      <c r="C4" s="7"/>
      <c r="D4" s="12" t="str">
        <f aca="false">IF($C4="","",IFERROR(INDEX(품목마스터!$B$3:$B$302,MATCH($C4,품목마스터!$A$3:$A$302,0)),"미등록품번"))</f>
        <v/>
      </c>
      <c r="E4" s="12" t="str">
        <f aca="false">IF($C4="","",IFERROR(INDEX(품목마스터!$C$3:$C$302,MATCH($C4,품목마스터!$A$3:$A$302,0)),""))</f>
        <v/>
      </c>
      <c r="F4" s="12" t="str">
        <f aca="false">IF($C4="","",IFERROR(INDEX(품목마스터!$D$3:$D$302,MATCH($C4,품목마스터!$A$3:$A$302,0)),""))</f>
        <v/>
      </c>
      <c r="G4" s="9"/>
      <c r="H4" s="9"/>
      <c r="I4" s="13" t="str">
        <f aca="false">IF(OR($G4="",$H4=""),"",ROUND($G4*$H4,0))</f>
        <v/>
      </c>
      <c r="J4" s="7"/>
      <c r="K4" s="7"/>
      <c r="L4" s="14" t="str">
        <f aca="false">IF(OR($C4="",$G4=""),"",IF($B4="입고",$G4,IF($B4="출고",-$G4,$G4)))</f>
        <v/>
      </c>
      <c r="M4" s="13" t="str">
        <f aca="false">IF($C4="","",IFERROR(INDEX(품목마스터!$F$3:$F$302,MATCH($C4,품목마스터!$A$3:$A$302,0)),0)+SUMIFS($L$3:$L4,$C$3:$C4,$C4))</f>
        <v/>
      </c>
    </row>
    <row r="5" customFormat="false" ht="15" hidden="false" customHeight="true" outlineLevel="0" collapsed="false">
      <c r="A5" s="11"/>
      <c r="B5" s="7"/>
      <c r="C5" s="7"/>
      <c r="D5" s="12" t="str">
        <f aca="false">IF($C5="","",IFERROR(INDEX(품목마스터!$B$3:$B$302,MATCH($C5,품목마스터!$A$3:$A$302,0)),"미등록품번"))</f>
        <v/>
      </c>
      <c r="E5" s="12" t="str">
        <f aca="false">IF($C5="","",IFERROR(INDEX(품목마스터!$C$3:$C$302,MATCH($C5,품목마스터!$A$3:$A$302,0)),""))</f>
        <v/>
      </c>
      <c r="F5" s="12" t="str">
        <f aca="false">IF($C5="","",IFERROR(INDEX(품목마스터!$D$3:$D$302,MATCH($C5,품목마스터!$A$3:$A$302,0)),""))</f>
        <v/>
      </c>
      <c r="G5" s="9"/>
      <c r="H5" s="9"/>
      <c r="I5" s="13" t="str">
        <f aca="false">IF(OR($G5="",$H5=""),"",ROUND($G5*$H5,0))</f>
        <v/>
      </c>
      <c r="J5" s="7"/>
      <c r="K5" s="7"/>
      <c r="L5" s="14" t="str">
        <f aca="false">IF(OR($C5="",$G5=""),"",IF($B5="입고",$G5,IF($B5="출고",-$G5,$G5)))</f>
        <v/>
      </c>
      <c r="M5" s="13" t="str">
        <f aca="false">IF($C5="","",IFERROR(INDEX(품목마스터!$F$3:$F$302,MATCH($C5,품목마스터!$A$3:$A$302,0)),0)+SUMIFS($L$3:$L5,$C$3:$C5,$C5))</f>
        <v/>
      </c>
    </row>
    <row r="6" customFormat="false" ht="15" hidden="false" customHeight="true" outlineLevel="0" collapsed="false">
      <c r="A6" s="11"/>
      <c r="B6" s="7"/>
      <c r="C6" s="7"/>
      <c r="D6" s="12" t="str">
        <f aca="false">IF($C6="","",IFERROR(INDEX(품목마스터!$B$3:$B$302,MATCH($C6,품목마스터!$A$3:$A$302,0)),"미등록품번"))</f>
        <v/>
      </c>
      <c r="E6" s="12" t="str">
        <f aca="false">IF($C6="","",IFERROR(INDEX(품목마스터!$C$3:$C$302,MATCH($C6,품목마스터!$A$3:$A$302,0)),""))</f>
        <v/>
      </c>
      <c r="F6" s="12" t="str">
        <f aca="false">IF($C6="","",IFERROR(INDEX(품목마스터!$D$3:$D$302,MATCH($C6,품목마스터!$A$3:$A$302,0)),""))</f>
        <v/>
      </c>
      <c r="G6" s="9"/>
      <c r="H6" s="9"/>
      <c r="I6" s="13" t="str">
        <f aca="false">IF(OR($G6="",$H6=""),"",ROUND($G6*$H6,0))</f>
        <v/>
      </c>
      <c r="J6" s="7"/>
      <c r="K6" s="7"/>
      <c r="L6" s="14" t="str">
        <f aca="false">IF(OR($C6="",$G6=""),"",IF($B6="입고",$G6,IF($B6="출고",-$G6,$G6)))</f>
        <v/>
      </c>
      <c r="M6" s="13" t="str">
        <f aca="false">IF($C6="","",IFERROR(INDEX(품목마스터!$F$3:$F$302,MATCH($C6,품목마스터!$A$3:$A$302,0)),0)+SUMIFS($L$3:$L6,$C$3:$C6,$C6))</f>
        <v/>
      </c>
    </row>
    <row r="7" customFormat="false" ht="15" hidden="false" customHeight="true" outlineLevel="0" collapsed="false">
      <c r="A7" s="11"/>
      <c r="B7" s="7"/>
      <c r="C7" s="7"/>
      <c r="D7" s="12" t="str">
        <f aca="false">IF($C7="","",IFERROR(INDEX(품목마스터!$B$3:$B$302,MATCH($C7,품목마스터!$A$3:$A$302,0)),"미등록품번"))</f>
        <v/>
      </c>
      <c r="E7" s="12" t="str">
        <f aca="false">IF($C7="","",IFERROR(INDEX(품목마스터!$C$3:$C$302,MATCH($C7,품목마스터!$A$3:$A$302,0)),""))</f>
        <v/>
      </c>
      <c r="F7" s="12" t="str">
        <f aca="false">IF($C7="","",IFERROR(INDEX(품목마스터!$D$3:$D$302,MATCH($C7,품목마스터!$A$3:$A$302,0)),""))</f>
        <v/>
      </c>
      <c r="G7" s="9"/>
      <c r="H7" s="9"/>
      <c r="I7" s="13" t="str">
        <f aca="false">IF(OR($G7="",$H7=""),"",ROUND($G7*$H7,0))</f>
        <v/>
      </c>
      <c r="J7" s="7"/>
      <c r="K7" s="7"/>
      <c r="L7" s="14" t="str">
        <f aca="false">IF(OR($C7="",$G7=""),"",IF($B7="입고",$G7,IF($B7="출고",-$G7,$G7)))</f>
        <v/>
      </c>
      <c r="M7" s="13" t="str">
        <f aca="false">IF($C7="","",IFERROR(INDEX(품목마스터!$F$3:$F$302,MATCH($C7,품목마스터!$A$3:$A$302,0)),0)+SUMIFS($L$3:$L7,$C$3:$C7,$C7))</f>
        <v/>
      </c>
    </row>
    <row r="8" customFormat="false" ht="15" hidden="false" customHeight="true" outlineLevel="0" collapsed="false">
      <c r="A8" s="11"/>
      <c r="B8" s="7"/>
      <c r="C8" s="7"/>
      <c r="D8" s="12" t="str">
        <f aca="false">IF($C8="","",IFERROR(INDEX(품목마스터!$B$3:$B$302,MATCH($C8,품목마스터!$A$3:$A$302,0)),"미등록품번"))</f>
        <v/>
      </c>
      <c r="E8" s="12" t="str">
        <f aca="false">IF($C8="","",IFERROR(INDEX(품목마스터!$C$3:$C$302,MATCH($C8,품목마스터!$A$3:$A$302,0)),""))</f>
        <v/>
      </c>
      <c r="F8" s="12" t="str">
        <f aca="false">IF($C8="","",IFERROR(INDEX(품목마스터!$D$3:$D$302,MATCH($C8,품목마스터!$A$3:$A$302,0)),""))</f>
        <v/>
      </c>
      <c r="G8" s="9"/>
      <c r="H8" s="9"/>
      <c r="I8" s="13" t="str">
        <f aca="false">IF(OR($G8="",$H8=""),"",ROUND($G8*$H8,0))</f>
        <v/>
      </c>
      <c r="J8" s="7"/>
      <c r="K8" s="7"/>
      <c r="L8" s="14" t="str">
        <f aca="false">IF(OR($C8="",$G8=""),"",IF($B8="입고",$G8,IF($B8="출고",-$G8,$G8)))</f>
        <v/>
      </c>
      <c r="M8" s="13" t="str">
        <f aca="false">IF($C8="","",IFERROR(INDEX(품목마스터!$F$3:$F$302,MATCH($C8,품목마스터!$A$3:$A$302,0)),0)+SUMIFS($L$3:$L8,$C$3:$C8,$C8))</f>
        <v/>
      </c>
    </row>
    <row r="9" customFormat="false" ht="15" hidden="false" customHeight="true" outlineLevel="0" collapsed="false">
      <c r="A9" s="11"/>
      <c r="B9" s="7"/>
      <c r="C9" s="7"/>
      <c r="D9" s="12" t="str">
        <f aca="false">IF($C9="","",IFERROR(INDEX(품목마스터!$B$3:$B$302,MATCH($C9,품목마스터!$A$3:$A$302,0)),"미등록품번"))</f>
        <v/>
      </c>
      <c r="E9" s="12" t="str">
        <f aca="false">IF($C9="","",IFERROR(INDEX(품목마스터!$C$3:$C$302,MATCH($C9,품목마스터!$A$3:$A$302,0)),""))</f>
        <v/>
      </c>
      <c r="F9" s="12" t="str">
        <f aca="false">IF($C9="","",IFERROR(INDEX(품목마스터!$D$3:$D$302,MATCH($C9,품목마스터!$A$3:$A$302,0)),""))</f>
        <v/>
      </c>
      <c r="G9" s="9"/>
      <c r="H9" s="9"/>
      <c r="I9" s="13" t="str">
        <f aca="false">IF(OR($G9="",$H9=""),"",ROUND($G9*$H9,0))</f>
        <v/>
      </c>
      <c r="J9" s="7"/>
      <c r="K9" s="7"/>
      <c r="L9" s="14" t="str">
        <f aca="false">IF(OR($C9="",$G9=""),"",IF($B9="입고",$G9,IF($B9="출고",-$G9,$G9)))</f>
        <v/>
      </c>
      <c r="M9" s="13" t="str">
        <f aca="false">IF($C9="","",IFERROR(INDEX(품목마스터!$F$3:$F$302,MATCH($C9,품목마스터!$A$3:$A$302,0)),0)+SUMIFS($L$3:$L9,$C$3:$C9,$C9))</f>
        <v/>
      </c>
    </row>
    <row r="10" customFormat="false" ht="15" hidden="false" customHeight="true" outlineLevel="0" collapsed="false">
      <c r="A10" s="11"/>
      <c r="B10" s="7"/>
      <c r="C10" s="7"/>
      <c r="D10" s="12" t="str">
        <f aca="false">IF($C10="","",IFERROR(INDEX(품목마스터!$B$3:$B$302,MATCH($C10,품목마스터!$A$3:$A$302,0)),"미등록품번"))</f>
        <v/>
      </c>
      <c r="E10" s="12" t="str">
        <f aca="false">IF($C10="","",IFERROR(INDEX(품목마스터!$C$3:$C$302,MATCH($C10,품목마스터!$A$3:$A$302,0)),""))</f>
        <v/>
      </c>
      <c r="F10" s="12" t="str">
        <f aca="false">IF($C10="","",IFERROR(INDEX(품목마스터!$D$3:$D$302,MATCH($C10,품목마스터!$A$3:$A$302,0)),""))</f>
        <v/>
      </c>
      <c r="G10" s="9"/>
      <c r="H10" s="9"/>
      <c r="I10" s="13" t="str">
        <f aca="false">IF(OR($G10="",$H10=""),"",ROUND($G10*$H10,0))</f>
        <v/>
      </c>
      <c r="J10" s="7"/>
      <c r="K10" s="7"/>
      <c r="L10" s="14" t="str">
        <f aca="false">IF(OR($C10="",$G10=""),"",IF($B10="입고",$G10,IF($B10="출고",-$G10,$G10)))</f>
        <v/>
      </c>
      <c r="M10" s="13" t="str">
        <f aca="false">IF($C10="","",IFERROR(INDEX(품목마스터!$F$3:$F$302,MATCH($C10,품목마스터!$A$3:$A$302,0)),0)+SUMIFS($L$3:$L10,$C$3:$C10,$C10))</f>
        <v/>
      </c>
    </row>
    <row r="11" customFormat="false" ht="15" hidden="false" customHeight="true" outlineLevel="0" collapsed="false">
      <c r="A11" s="11"/>
      <c r="B11" s="7"/>
      <c r="C11" s="7"/>
      <c r="D11" s="12" t="str">
        <f aca="false">IF($C11="","",IFERROR(INDEX(품목마스터!$B$3:$B$302,MATCH($C11,품목마스터!$A$3:$A$302,0)),"미등록품번"))</f>
        <v/>
      </c>
      <c r="E11" s="12" t="str">
        <f aca="false">IF($C11="","",IFERROR(INDEX(품목마스터!$C$3:$C$302,MATCH($C11,품목마스터!$A$3:$A$302,0)),""))</f>
        <v/>
      </c>
      <c r="F11" s="12" t="str">
        <f aca="false">IF($C11="","",IFERROR(INDEX(품목마스터!$D$3:$D$302,MATCH($C11,품목마스터!$A$3:$A$302,0)),""))</f>
        <v/>
      </c>
      <c r="G11" s="9"/>
      <c r="H11" s="9"/>
      <c r="I11" s="13" t="str">
        <f aca="false">IF(OR($G11="",$H11=""),"",ROUND($G11*$H11,0))</f>
        <v/>
      </c>
      <c r="J11" s="7"/>
      <c r="K11" s="7"/>
      <c r="L11" s="14" t="str">
        <f aca="false">IF(OR($C11="",$G11=""),"",IF($B11="입고",$G11,IF($B11="출고",-$G11,$G11)))</f>
        <v/>
      </c>
      <c r="M11" s="13" t="str">
        <f aca="false">IF($C11="","",IFERROR(INDEX(품목마스터!$F$3:$F$302,MATCH($C11,품목마스터!$A$3:$A$302,0)),0)+SUMIFS($L$3:$L11,$C$3:$C11,$C11))</f>
        <v/>
      </c>
    </row>
    <row r="12" customFormat="false" ht="15" hidden="false" customHeight="true" outlineLevel="0" collapsed="false">
      <c r="A12" s="11"/>
      <c r="B12" s="7"/>
      <c r="C12" s="7"/>
      <c r="D12" s="12" t="str">
        <f aca="false">IF($C12="","",IFERROR(INDEX(품목마스터!$B$3:$B$302,MATCH($C12,품목마스터!$A$3:$A$302,0)),"미등록품번"))</f>
        <v/>
      </c>
      <c r="E12" s="12" t="str">
        <f aca="false">IF($C12="","",IFERROR(INDEX(품목마스터!$C$3:$C$302,MATCH($C12,품목마스터!$A$3:$A$302,0)),""))</f>
        <v/>
      </c>
      <c r="F12" s="12" t="str">
        <f aca="false">IF($C12="","",IFERROR(INDEX(품목마스터!$D$3:$D$302,MATCH($C12,품목마스터!$A$3:$A$302,0)),""))</f>
        <v/>
      </c>
      <c r="G12" s="9"/>
      <c r="H12" s="9"/>
      <c r="I12" s="13" t="str">
        <f aca="false">IF(OR($G12="",$H12=""),"",ROUND($G12*$H12,0))</f>
        <v/>
      </c>
      <c r="J12" s="7"/>
      <c r="K12" s="7"/>
      <c r="L12" s="14" t="str">
        <f aca="false">IF(OR($C12="",$G12=""),"",IF($B12="입고",$G12,IF($B12="출고",-$G12,$G12)))</f>
        <v/>
      </c>
      <c r="M12" s="13" t="str">
        <f aca="false">IF($C12="","",IFERROR(INDEX(품목마스터!$F$3:$F$302,MATCH($C12,품목마스터!$A$3:$A$302,0)),0)+SUMIFS($L$3:$L12,$C$3:$C12,$C12))</f>
        <v/>
      </c>
    </row>
    <row r="13" customFormat="false" ht="15" hidden="false" customHeight="true" outlineLevel="0" collapsed="false">
      <c r="A13" s="11"/>
      <c r="B13" s="7"/>
      <c r="C13" s="7"/>
      <c r="D13" s="12" t="str">
        <f aca="false">IF($C13="","",IFERROR(INDEX(품목마스터!$B$3:$B$302,MATCH($C13,품목마스터!$A$3:$A$302,0)),"미등록품번"))</f>
        <v/>
      </c>
      <c r="E13" s="12" t="str">
        <f aca="false">IF($C13="","",IFERROR(INDEX(품목마스터!$C$3:$C$302,MATCH($C13,품목마스터!$A$3:$A$302,0)),""))</f>
        <v/>
      </c>
      <c r="F13" s="12" t="str">
        <f aca="false">IF($C13="","",IFERROR(INDEX(품목마스터!$D$3:$D$302,MATCH($C13,품목마스터!$A$3:$A$302,0)),""))</f>
        <v/>
      </c>
      <c r="G13" s="9"/>
      <c r="H13" s="9"/>
      <c r="I13" s="13" t="str">
        <f aca="false">IF(OR($G13="",$H13=""),"",ROUND($G13*$H13,0))</f>
        <v/>
      </c>
      <c r="J13" s="7"/>
      <c r="K13" s="7"/>
      <c r="L13" s="14" t="str">
        <f aca="false">IF(OR($C13="",$G13=""),"",IF($B13="입고",$G13,IF($B13="출고",-$G13,$G13)))</f>
        <v/>
      </c>
      <c r="M13" s="13" t="str">
        <f aca="false">IF($C13="","",IFERROR(INDEX(품목마스터!$F$3:$F$302,MATCH($C13,품목마스터!$A$3:$A$302,0)),0)+SUMIFS($L$3:$L13,$C$3:$C13,$C13))</f>
        <v/>
      </c>
    </row>
    <row r="14" customFormat="false" ht="15" hidden="false" customHeight="true" outlineLevel="0" collapsed="false">
      <c r="A14" s="11"/>
      <c r="B14" s="7"/>
      <c r="C14" s="7"/>
      <c r="D14" s="12" t="str">
        <f aca="false">IF($C14="","",IFERROR(INDEX(품목마스터!$B$3:$B$302,MATCH($C14,품목마스터!$A$3:$A$302,0)),"미등록품번"))</f>
        <v/>
      </c>
      <c r="E14" s="12" t="str">
        <f aca="false">IF($C14="","",IFERROR(INDEX(품목마스터!$C$3:$C$302,MATCH($C14,품목마스터!$A$3:$A$302,0)),""))</f>
        <v/>
      </c>
      <c r="F14" s="12" t="str">
        <f aca="false">IF($C14="","",IFERROR(INDEX(품목마스터!$D$3:$D$302,MATCH($C14,품목마스터!$A$3:$A$302,0)),""))</f>
        <v/>
      </c>
      <c r="G14" s="9"/>
      <c r="H14" s="9"/>
      <c r="I14" s="13" t="str">
        <f aca="false">IF(OR($G14="",$H14=""),"",ROUND($G14*$H14,0))</f>
        <v/>
      </c>
      <c r="J14" s="7"/>
      <c r="K14" s="7"/>
      <c r="L14" s="14" t="str">
        <f aca="false">IF(OR($C14="",$G14=""),"",IF($B14="입고",$G14,IF($B14="출고",-$G14,$G14)))</f>
        <v/>
      </c>
      <c r="M14" s="13" t="str">
        <f aca="false">IF($C14="","",IFERROR(INDEX(품목마스터!$F$3:$F$302,MATCH($C14,품목마스터!$A$3:$A$302,0)),0)+SUMIFS($L$3:$L14,$C$3:$C14,$C14))</f>
        <v/>
      </c>
    </row>
    <row r="15" customFormat="false" ht="15" hidden="false" customHeight="true" outlineLevel="0" collapsed="false">
      <c r="A15" s="11"/>
      <c r="B15" s="7"/>
      <c r="C15" s="7"/>
      <c r="D15" s="12" t="str">
        <f aca="false">IF($C15="","",IFERROR(INDEX(품목마스터!$B$3:$B$302,MATCH($C15,품목마스터!$A$3:$A$302,0)),"미등록품번"))</f>
        <v/>
      </c>
      <c r="E15" s="12" t="str">
        <f aca="false">IF($C15="","",IFERROR(INDEX(품목마스터!$C$3:$C$302,MATCH($C15,품목마스터!$A$3:$A$302,0)),""))</f>
        <v/>
      </c>
      <c r="F15" s="12" t="str">
        <f aca="false">IF($C15="","",IFERROR(INDEX(품목마스터!$D$3:$D$302,MATCH($C15,품목마스터!$A$3:$A$302,0)),""))</f>
        <v/>
      </c>
      <c r="G15" s="9"/>
      <c r="H15" s="9"/>
      <c r="I15" s="13" t="str">
        <f aca="false">IF(OR($G15="",$H15=""),"",ROUND($G15*$H15,0))</f>
        <v/>
      </c>
      <c r="J15" s="7"/>
      <c r="K15" s="7"/>
      <c r="L15" s="14" t="str">
        <f aca="false">IF(OR($C15="",$G15=""),"",IF($B15="입고",$G15,IF($B15="출고",-$G15,$G15)))</f>
        <v/>
      </c>
      <c r="M15" s="13" t="str">
        <f aca="false">IF($C15="","",IFERROR(INDEX(품목마스터!$F$3:$F$302,MATCH($C15,품목마스터!$A$3:$A$302,0)),0)+SUMIFS($L$3:$L15,$C$3:$C15,$C15))</f>
        <v/>
      </c>
    </row>
    <row r="16" customFormat="false" ht="15" hidden="false" customHeight="true" outlineLevel="0" collapsed="false">
      <c r="A16" s="11"/>
      <c r="B16" s="7"/>
      <c r="C16" s="7"/>
      <c r="D16" s="12" t="str">
        <f aca="false">IF($C16="","",IFERROR(INDEX(품목마스터!$B$3:$B$302,MATCH($C16,품목마스터!$A$3:$A$302,0)),"미등록품번"))</f>
        <v/>
      </c>
      <c r="E16" s="12" t="str">
        <f aca="false">IF($C16="","",IFERROR(INDEX(품목마스터!$C$3:$C$302,MATCH($C16,품목마스터!$A$3:$A$302,0)),""))</f>
        <v/>
      </c>
      <c r="F16" s="12" t="str">
        <f aca="false">IF($C16="","",IFERROR(INDEX(품목마스터!$D$3:$D$302,MATCH($C16,품목마스터!$A$3:$A$302,0)),""))</f>
        <v/>
      </c>
      <c r="G16" s="9"/>
      <c r="H16" s="9"/>
      <c r="I16" s="13" t="str">
        <f aca="false">IF(OR($G16="",$H16=""),"",ROUND($G16*$H16,0))</f>
        <v/>
      </c>
      <c r="J16" s="7"/>
      <c r="K16" s="7"/>
      <c r="L16" s="14" t="str">
        <f aca="false">IF(OR($C16="",$G16=""),"",IF($B16="입고",$G16,IF($B16="출고",-$G16,$G16)))</f>
        <v/>
      </c>
      <c r="M16" s="13" t="str">
        <f aca="false">IF($C16="","",IFERROR(INDEX(품목마스터!$F$3:$F$302,MATCH($C16,품목마스터!$A$3:$A$302,0)),0)+SUMIFS($L$3:$L16,$C$3:$C16,$C16))</f>
        <v/>
      </c>
    </row>
    <row r="17" customFormat="false" ht="15" hidden="false" customHeight="true" outlineLevel="0" collapsed="false">
      <c r="A17" s="11"/>
      <c r="B17" s="7"/>
      <c r="C17" s="7"/>
      <c r="D17" s="12" t="str">
        <f aca="false">IF($C17="","",IFERROR(INDEX(품목마스터!$B$3:$B$302,MATCH($C17,품목마스터!$A$3:$A$302,0)),"미등록품번"))</f>
        <v/>
      </c>
      <c r="E17" s="12" t="str">
        <f aca="false">IF($C17="","",IFERROR(INDEX(품목마스터!$C$3:$C$302,MATCH($C17,품목마스터!$A$3:$A$302,0)),""))</f>
        <v/>
      </c>
      <c r="F17" s="12" t="str">
        <f aca="false">IF($C17="","",IFERROR(INDEX(품목마스터!$D$3:$D$302,MATCH($C17,품목마스터!$A$3:$A$302,0)),""))</f>
        <v/>
      </c>
      <c r="G17" s="9"/>
      <c r="H17" s="9"/>
      <c r="I17" s="13" t="str">
        <f aca="false">IF(OR($G17="",$H17=""),"",ROUND($G17*$H17,0))</f>
        <v/>
      </c>
      <c r="J17" s="7"/>
      <c r="K17" s="7"/>
      <c r="L17" s="14" t="str">
        <f aca="false">IF(OR($C17="",$G17=""),"",IF($B17="입고",$G17,IF($B17="출고",-$G17,$G17)))</f>
        <v/>
      </c>
      <c r="M17" s="13" t="str">
        <f aca="false">IF($C17="","",IFERROR(INDEX(품목마스터!$F$3:$F$302,MATCH($C17,품목마스터!$A$3:$A$302,0)),0)+SUMIFS($L$3:$L17,$C$3:$C17,$C17))</f>
        <v/>
      </c>
    </row>
    <row r="18" customFormat="false" ht="15" hidden="false" customHeight="true" outlineLevel="0" collapsed="false">
      <c r="A18" s="11"/>
      <c r="B18" s="7"/>
      <c r="C18" s="7"/>
      <c r="D18" s="12" t="str">
        <f aca="false">IF($C18="","",IFERROR(INDEX(품목마스터!$B$3:$B$302,MATCH($C18,품목마스터!$A$3:$A$302,0)),"미등록품번"))</f>
        <v/>
      </c>
      <c r="E18" s="12" t="str">
        <f aca="false">IF($C18="","",IFERROR(INDEX(품목마스터!$C$3:$C$302,MATCH($C18,품목마스터!$A$3:$A$302,0)),""))</f>
        <v/>
      </c>
      <c r="F18" s="12" t="str">
        <f aca="false">IF($C18="","",IFERROR(INDEX(품목마스터!$D$3:$D$302,MATCH($C18,품목마스터!$A$3:$A$302,0)),""))</f>
        <v/>
      </c>
      <c r="G18" s="9"/>
      <c r="H18" s="9"/>
      <c r="I18" s="13" t="str">
        <f aca="false">IF(OR($G18="",$H18=""),"",ROUND($G18*$H18,0))</f>
        <v/>
      </c>
      <c r="J18" s="7"/>
      <c r="K18" s="7"/>
      <c r="L18" s="14" t="str">
        <f aca="false">IF(OR($C18="",$G18=""),"",IF($B18="입고",$G18,IF($B18="출고",-$G18,$G18)))</f>
        <v/>
      </c>
      <c r="M18" s="13" t="str">
        <f aca="false">IF($C18="","",IFERROR(INDEX(품목마스터!$F$3:$F$302,MATCH($C18,품목마스터!$A$3:$A$302,0)),0)+SUMIFS($L$3:$L18,$C$3:$C18,$C18))</f>
        <v/>
      </c>
    </row>
    <row r="19" customFormat="false" ht="15" hidden="false" customHeight="true" outlineLevel="0" collapsed="false">
      <c r="A19" s="11"/>
      <c r="B19" s="7"/>
      <c r="C19" s="7"/>
      <c r="D19" s="12" t="str">
        <f aca="false">IF($C19="","",IFERROR(INDEX(품목마스터!$B$3:$B$302,MATCH($C19,품목마스터!$A$3:$A$302,0)),"미등록품번"))</f>
        <v/>
      </c>
      <c r="E19" s="12" t="str">
        <f aca="false">IF($C19="","",IFERROR(INDEX(품목마스터!$C$3:$C$302,MATCH($C19,품목마스터!$A$3:$A$302,0)),""))</f>
        <v/>
      </c>
      <c r="F19" s="12" t="str">
        <f aca="false">IF($C19="","",IFERROR(INDEX(품목마스터!$D$3:$D$302,MATCH($C19,품목마스터!$A$3:$A$302,0)),""))</f>
        <v/>
      </c>
      <c r="G19" s="9"/>
      <c r="H19" s="9"/>
      <c r="I19" s="13" t="str">
        <f aca="false">IF(OR($G19="",$H19=""),"",ROUND($G19*$H19,0))</f>
        <v/>
      </c>
      <c r="J19" s="7"/>
      <c r="K19" s="7"/>
      <c r="L19" s="14" t="str">
        <f aca="false">IF(OR($C19="",$G19=""),"",IF($B19="입고",$G19,IF($B19="출고",-$G19,$G19)))</f>
        <v/>
      </c>
      <c r="M19" s="13" t="str">
        <f aca="false">IF($C19="","",IFERROR(INDEX(품목마스터!$F$3:$F$302,MATCH($C19,품목마스터!$A$3:$A$302,0)),0)+SUMIFS($L$3:$L19,$C$3:$C19,$C19))</f>
        <v/>
      </c>
    </row>
    <row r="20" customFormat="false" ht="15" hidden="false" customHeight="true" outlineLevel="0" collapsed="false">
      <c r="A20" s="11"/>
      <c r="B20" s="7"/>
      <c r="C20" s="7"/>
      <c r="D20" s="12" t="str">
        <f aca="false">IF($C20="","",IFERROR(INDEX(품목마스터!$B$3:$B$302,MATCH($C20,품목마스터!$A$3:$A$302,0)),"미등록품번"))</f>
        <v/>
      </c>
      <c r="E20" s="12" t="str">
        <f aca="false">IF($C20="","",IFERROR(INDEX(품목마스터!$C$3:$C$302,MATCH($C20,품목마스터!$A$3:$A$302,0)),""))</f>
        <v/>
      </c>
      <c r="F20" s="12" t="str">
        <f aca="false">IF($C20="","",IFERROR(INDEX(품목마스터!$D$3:$D$302,MATCH($C20,품목마스터!$A$3:$A$302,0)),""))</f>
        <v/>
      </c>
      <c r="G20" s="9"/>
      <c r="H20" s="9"/>
      <c r="I20" s="13" t="str">
        <f aca="false">IF(OR($G20="",$H20=""),"",ROUND($G20*$H20,0))</f>
        <v/>
      </c>
      <c r="J20" s="7"/>
      <c r="K20" s="7"/>
      <c r="L20" s="14" t="str">
        <f aca="false">IF(OR($C20="",$G20=""),"",IF($B20="입고",$G20,IF($B20="출고",-$G20,$G20)))</f>
        <v/>
      </c>
      <c r="M20" s="13" t="str">
        <f aca="false">IF($C20="","",IFERROR(INDEX(품목마스터!$F$3:$F$302,MATCH($C20,품목마스터!$A$3:$A$302,0)),0)+SUMIFS($L$3:$L20,$C$3:$C20,$C20))</f>
        <v/>
      </c>
    </row>
    <row r="21" customFormat="false" ht="15" hidden="false" customHeight="true" outlineLevel="0" collapsed="false">
      <c r="A21" s="11"/>
      <c r="B21" s="7"/>
      <c r="C21" s="7"/>
      <c r="D21" s="12" t="str">
        <f aca="false">IF($C21="","",IFERROR(INDEX(품목마스터!$B$3:$B$302,MATCH($C21,품목마스터!$A$3:$A$302,0)),"미등록품번"))</f>
        <v/>
      </c>
      <c r="E21" s="12" t="str">
        <f aca="false">IF($C21="","",IFERROR(INDEX(품목마스터!$C$3:$C$302,MATCH($C21,품목마스터!$A$3:$A$302,0)),""))</f>
        <v/>
      </c>
      <c r="F21" s="12" t="str">
        <f aca="false">IF($C21="","",IFERROR(INDEX(품목마스터!$D$3:$D$302,MATCH($C21,품목마스터!$A$3:$A$302,0)),""))</f>
        <v/>
      </c>
      <c r="G21" s="9"/>
      <c r="H21" s="9"/>
      <c r="I21" s="13" t="str">
        <f aca="false">IF(OR($G21="",$H21=""),"",ROUND($G21*$H21,0))</f>
        <v/>
      </c>
      <c r="J21" s="7"/>
      <c r="K21" s="7"/>
      <c r="L21" s="14" t="str">
        <f aca="false">IF(OR($C21="",$G21=""),"",IF($B21="입고",$G21,IF($B21="출고",-$G21,$G21)))</f>
        <v/>
      </c>
      <c r="M21" s="13" t="str">
        <f aca="false">IF($C21="","",IFERROR(INDEX(품목마스터!$F$3:$F$302,MATCH($C21,품목마스터!$A$3:$A$302,0)),0)+SUMIFS($L$3:$L21,$C$3:$C21,$C21))</f>
        <v/>
      </c>
    </row>
    <row r="22" customFormat="false" ht="15" hidden="false" customHeight="true" outlineLevel="0" collapsed="false">
      <c r="A22" s="11"/>
      <c r="B22" s="7"/>
      <c r="C22" s="7"/>
      <c r="D22" s="12" t="str">
        <f aca="false">IF($C22="","",IFERROR(INDEX(품목마스터!$B$3:$B$302,MATCH($C22,품목마스터!$A$3:$A$302,0)),"미등록품번"))</f>
        <v/>
      </c>
      <c r="E22" s="12" t="str">
        <f aca="false">IF($C22="","",IFERROR(INDEX(품목마스터!$C$3:$C$302,MATCH($C22,품목마스터!$A$3:$A$302,0)),""))</f>
        <v/>
      </c>
      <c r="F22" s="12" t="str">
        <f aca="false">IF($C22="","",IFERROR(INDEX(품목마스터!$D$3:$D$302,MATCH($C22,품목마스터!$A$3:$A$302,0)),""))</f>
        <v/>
      </c>
      <c r="G22" s="9"/>
      <c r="H22" s="9"/>
      <c r="I22" s="13" t="str">
        <f aca="false">IF(OR($G22="",$H22=""),"",ROUND($G22*$H22,0))</f>
        <v/>
      </c>
      <c r="J22" s="7"/>
      <c r="K22" s="7"/>
      <c r="L22" s="14" t="str">
        <f aca="false">IF(OR($C22="",$G22=""),"",IF($B22="입고",$G22,IF($B22="출고",-$G22,$G22)))</f>
        <v/>
      </c>
      <c r="M22" s="13" t="str">
        <f aca="false">IF($C22="","",IFERROR(INDEX(품목마스터!$F$3:$F$302,MATCH($C22,품목마스터!$A$3:$A$302,0)),0)+SUMIFS($L$3:$L22,$C$3:$C22,$C22))</f>
        <v/>
      </c>
    </row>
    <row r="23" customFormat="false" ht="15" hidden="false" customHeight="true" outlineLevel="0" collapsed="false">
      <c r="A23" s="11"/>
      <c r="B23" s="7"/>
      <c r="C23" s="7"/>
      <c r="D23" s="12" t="str">
        <f aca="false">IF($C23="","",IFERROR(INDEX(품목마스터!$B$3:$B$302,MATCH($C23,품목마스터!$A$3:$A$302,0)),"미등록품번"))</f>
        <v/>
      </c>
      <c r="E23" s="12" t="str">
        <f aca="false">IF($C23="","",IFERROR(INDEX(품목마스터!$C$3:$C$302,MATCH($C23,품목마스터!$A$3:$A$302,0)),""))</f>
        <v/>
      </c>
      <c r="F23" s="12" t="str">
        <f aca="false">IF($C23="","",IFERROR(INDEX(품목마스터!$D$3:$D$302,MATCH($C23,품목마스터!$A$3:$A$302,0)),""))</f>
        <v/>
      </c>
      <c r="G23" s="9"/>
      <c r="H23" s="9"/>
      <c r="I23" s="13" t="str">
        <f aca="false">IF(OR($G23="",$H23=""),"",ROUND($G23*$H23,0))</f>
        <v/>
      </c>
      <c r="J23" s="7"/>
      <c r="K23" s="7"/>
      <c r="L23" s="14" t="str">
        <f aca="false">IF(OR($C23="",$G23=""),"",IF($B23="입고",$G23,IF($B23="출고",-$G23,$G23)))</f>
        <v/>
      </c>
      <c r="M23" s="13" t="str">
        <f aca="false">IF($C23="","",IFERROR(INDEX(품목마스터!$F$3:$F$302,MATCH($C23,품목마스터!$A$3:$A$302,0)),0)+SUMIFS($L$3:$L23,$C$3:$C23,$C23))</f>
        <v/>
      </c>
    </row>
    <row r="24" customFormat="false" ht="15" hidden="false" customHeight="true" outlineLevel="0" collapsed="false">
      <c r="A24" s="11"/>
      <c r="B24" s="7"/>
      <c r="C24" s="7"/>
      <c r="D24" s="12" t="str">
        <f aca="false">IF($C24="","",IFERROR(INDEX(품목마스터!$B$3:$B$302,MATCH($C24,품목마스터!$A$3:$A$302,0)),"미등록품번"))</f>
        <v/>
      </c>
      <c r="E24" s="12" t="str">
        <f aca="false">IF($C24="","",IFERROR(INDEX(품목마스터!$C$3:$C$302,MATCH($C24,품목마스터!$A$3:$A$302,0)),""))</f>
        <v/>
      </c>
      <c r="F24" s="12" t="str">
        <f aca="false">IF($C24="","",IFERROR(INDEX(품목마스터!$D$3:$D$302,MATCH($C24,품목마스터!$A$3:$A$302,0)),""))</f>
        <v/>
      </c>
      <c r="G24" s="9"/>
      <c r="H24" s="9"/>
      <c r="I24" s="13" t="str">
        <f aca="false">IF(OR($G24="",$H24=""),"",ROUND($G24*$H24,0))</f>
        <v/>
      </c>
      <c r="J24" s="7"/>
      <c r="K24" s="7"/>
      <c r="L24" s="14" t="str">
        <f aca="false">IF(OR($C24="",$G24=""),"",IF($B24="입고",$G24,IF($B24="출고",-$G24,$G24)))</f>
        <v/>
      </c>
      <c r="M24" s="13" t="str">
        <f aca="false">IF($C24="","",IFERROR(INDEX(품목마스터!$F$3:$F$302,MATCH($C24,품목마스터!$A$3:$A$302,0)),0)+SUMIFS($L$3:$L24,$C$3:$C24,$C24))</f>
        <v/>
      </c>
    </row>
    <row r="25" customFormat="false" ht="15" hidden="false" customHeight="true" outlineLevel="0" collapsed="false">
      <c r="A25" s="11"/>
      <c r="B25" s="7"/>
      <c r="C25" s="7"/>
      <c r="D25" s="12" t="str">
        <f aca="false">IF($C25="","",IFERROR(INDEX(품목마스터!$B$3:$B$302,MATCH($C25,품목마스터!$A$3:$A$302,0)),"미등록품번"))</f>
        <v/>
      </c>
      <c r="E25" s="12" t="str">
        <f aca="false">IF($C25="","",IFERROR(INDEX(품목마스터!$C$3:$C$302,MATCH($C25,품목마스터!$A$3:$A$302,0)),""))</f>
        <v/>
      </c>
      <c r="F25" s="12" t="str">
        <f aca="false">IF($C25="","",IFERROR(INDEX(품목마스터!$D$3:$D$302,MATCH($C25,품목마스터!$A$3:$A$302,0)),""))</f>
        <v/>
      </c>
      <c r="G25" s="9"/>
      <c r="H25" s="9"/>
      <c r="I25" s="13" t="str">
        <f aca="false">IF(OR($G25="",$H25=""),"",ROUND($G25*$H25,0))</f>
        <v/>
      </c>
      <c r="J25" s="7"/>
      <c r="K25" s="7"/>
      <c r="L25" s="14" t="str">
        <f aca="false">IF(OR($C25="",$G25=""),"",IF($B25="입고",$G25,IF($B25="출고",-$G25,$G25)))</f>
        <v/>
      </c>
      <c r="M25" s="13" t="str">
        <f aca="false">IF($C25="","",IFERROR(INDEX(품목마스터!$F$3:$F$302,MATCH($C25,품목마스터!$A$3:$A$302,0)),0)+SUMIFS($L$3:$L25,$C$3:$C25,$C25))</f>
        <v/>
      </c>
    </row>
    <row r="26" customFormat="false" ht="15" hidden="false" customHeight="true" outlineLevel="0" collapsed="false">
      <c r="A26" s="11"/>
      <c r="B26" s="7"/>
      <c r="C26" s="7"/>
      <c r="D26" s="12" t="str">
        <f aca="false">IF($C26="","",IFERROR(INDEX(품목마스터!$B$3:$B$302,MATCH($C26,품목마스터!$A$3:$A$302,0)),"미등록품번"))</f>
        <v/>
      </c>
      <c r="E26" s="12" t="str">
        <f aca="false">IF($C26="","",IFERROR(INDEX(품목마스터!$C$3:$C$302,MATCH($C26,품목마스터!$A$3:$A$302,0)),""))</f>
        <v/>
      </c>
      <c r="F26" s="12" t="str">
        <f aca="false">IF($C26="","",IFERROR(INDEX(품목마스터!$D$3:$D$302,MATCH($C26,품목마스터!$A$3:$A$302,0)),""))</f>
        <v/>
      </c>
      <c r="G26" s="9"/>
      <c r="H26" s="9"/>
      <c r="I26" s="13" t="str">
        <f aca="false">IF(OR($G26="",$H26=""),"",ROUND($G26*$H26,0))</f>
        <v/>
      </c>
      <c r="J26" s="7"/>
      <c r="K26" s="7"/>
      <c r="L26" s="14" t="str">
        <f aca="false">IF(OR($C26="",$G26=""),"",IF($B26="입고",$G26,IF($B26="출고",-$G26,$G26)))</f>
        <v/>
      </c>
      <c r="M26" s="13" t="str">
        <f aca="false">IF($C26="","",IFERROR(INDEX(품목마스터!$F$3:$F$302,MATCH($C26,품목마스터!$A$3:$A$302,0)),0)+SUMIFS($L$3:$L26,$C$3:$C26,$C26))</f>
        <v/>
      </c>
    </row>
    <row r="27" customFormat="false" ht="15" hidden="false" customHeight="true" outlineLevel="0" collapsed="false">
      <c r="A27" s="11"/>
      <c r="B27" s="7"/>
      <c r="C27" s="7"/>
      <c r="D27" s="12" t="str">
        <f aca="false">IF($C27="","",IFERROR(INDEX(품목마스터!$B$3:$B$302,MATCH($C27,품목마스터!$A$3:$A$302,0)),"미등록품번"))</f>
        <v/>
      </c>
      <c r="E27" s="12" t="str">
        <f aca="false">IF($C27="","",IFERROR(INDEX(품목마스터!$C$3:$C$302,MATCH($C27,품목마스터!$A$3:$A$302,0)),""))</f>
        <v/>
      </c>
      <c r="F27" s="12" t="str">
        <f aca="false">IF($C27="","",IFERROR(INDEX(품목마스터!$D$3:$D$302,MATCH($C27,품목마스터!$A$3:$A$302,0)),""))</f>
        <v/>
      </c>
      <c r="G27" s="9"/>
      <c r="H27" s="9"/>
      <c r="I27" s="13" t="str">
        <f aca="false">IF(OR($G27="",$H27=""),"",ROUND($G27*$H27,0))</f>
        <v/>
      </c>
      <c r="J27" s="7"/>
      <c r="K27" s="7"/>
      <c r="L27" s="14" t="str">
        <f aca="false">IF(OR($C27="",$G27=""),"",IF($B27="입고",$G27,IF($B27="출고",-$G27,$G27)))</f>
        <v/>
      </c>
      <c r="M27" s="13" t="str">
        <f aca="false">IF($C27="","",IFERROR(INDEX(품목마스터!$F$3:$F$302,MATCH($C27,품목마스터!$A$3:$A$302,0)),0)+SUMIFS($L$3:$L27,$C$3:$C27,$C27))</f>
        <v/>
      </c>
    </row>
    <row r="28" customFormat="false" ht="15" hidden="false" customHeight="true" outlineLevel="0" collapsed="false">
      <c r="A28" s="11"/>
      <c r="B28" s="7"/>
      <c r="C28" s="7"/>
      <c r="D28" s="12" t="str">
        <f aca="false">IF($C28="","",IFERROR(INDEX(품목마스터!$B$3:$B$302,MATCH($C28,품목마스터!$A$3:$A$302,0)),"미등록품번"))</f>
        <v/>
      </c>
      <c r="E28" s="12" t="str">
        <f aca="false">IF($C28="","",IFERROR(INDEX(품목마스터!$C$3:$C$302,MATCH($C28,품목마스터!$A$3:$A$302,0)),""))</f>
        <v/>
      </c>
      <c r="F28" s="12" t="str">
        <f aca="false">IF($C28="","",IFERROR(INDEX(품목마스터!$D$3:$D$302,MATCH($C28,품목마스터!$A$3:$A$302,0)),""))</f>
        <v/>
      </c>
      <c r="G28" s="9"/>
      <c r="H28" s="9"/>
      <c r="I28" s="13" t="str">
        <f aca="false">IF(OR($G28="",$H28=""),"",ROUND($G28*$H28,0))</f>
        <v/>
      </c>
      <c r="J28" s="7"/>
      <c r="K28" s="7"/>
      <c r="L28" s="14" t="str">
        <f aca="false">IF(OR($C28="",$G28=""),"",IF($B28="입고",$G28,IF($B28="출고",-$G28,$G28)))</f>
        <v/>
      </c>
      <c r="M28" s="13" t="str">
        <f aca="false">IF($C28="","",IFERROR(INDEX(품목마스터!$F$3:$F$302,MATCH($C28,품목마스터!$A$3:$A$302,0)),0)+SUMIFS($L$3:$L28,$C$3:$C28,$C28))</f>
        <v/>
      </c>
    </row>
    <row r="29" customFormat="false" ht="15" hidden="false" customHeight="true" outlineLevel="0" collapsed="false">
      <c r="A29" s="11"/>
      <c r="B29" s="7"/>
      <c r="C29" s="7"/>
      <c r="D29" s="12" t="str">
        <f aca="false">IF($C29="","",IFERROR(INDEX(품목마스터!$B$3:$B$302,MATCH($C29,품목마스터!$A$3:$A$302,0)),"미등록품번"))</f>
        <v/>
      </c>
      <c r="E29" s="12" t="str">
        <f aca="false">IF($C29="","",IFERROR(INDEX(품목마스터!$C$3:$C$302,MATCH($C29,품목마스터!$A$3:$A$302,0)),""))</f>
        <v/>
      </c>
      <c r="F29" s="12" t="str">
        <f aca="false">IF($C29="","",IFERROR(INDEX(품목마스터!$D$3:$D$302,MATCH($C29,품목마스터!$A$3:$A$302,0)),""))</f>
        <v/>
      </c>
      <c r="G29" s="9"/>
      <c r="H29" s="9"/>
      <c r="I29" s="13" t="str">
        <f aca="false">IF(OR($G29="",$H29=""),"",ROUND($G29*$H29,0))</f>
        <v/>
      </c>
      <c r="J29" s="7"/>
      <c r="K29" s="7"/>
      <c r="L29" s="14" t="str">
        <f aca="false">IF(OR($C29="",$G29=""),"",IF($B29="입고",$G29,IF($B29="출고",-$G29,$G29)))</f>
        <v/>
      </c>
      <c r="M29" s="13" t="str">
        <f aca="false">IF($C29="","",IFERROR(INDEX(품목마스터!$F$3:$F$302,MATCH($C29,품목마스터!$A$3:$A$302,0)),0)+SUMIFS($L$3:$L29,$C$3:$C29,$C29))</f>
        <v/>
      </c>
    </row>
    <row r="30" customFormat="false" ht="15" hidden="false" customHeight="true" outlineLevel="0" collapsed="false">
      <c r="A30" s="11"/>
      <c r="B30" s="7"/>
      <c r="C30" s="7"/>
      <c r="D30" s="12" t="str">
        <f aca="false">IF($C30="","",IFERROR(INDEX(품목마스터!$B$3:$B$302,MATCH($C30,품목마스터!$A$3:$A$302,0)),"미등록품번"))</f>
        <v/>
      </c>
      <c r="E30" s="12" t="str">
        <f aca="false">IF($C30="","",IFERROR(INDEX(품목마스터!$C$3:$C$302,MATCH($C30,품목마스터!$A$3:$A$302,0)),""))</f>
        <v/>
      </c>
      <c r="F30" s="12" t="str">
        <f aca="false">IF($C30="","",IFERROR(INDEX(품목마스터!$D$3:$D$302,MATCH($C30,품목마스터!$A$3:$A$302,0)),""))</f>
        <v/>
      </c>
      <c r="G30" s="9"/>
      <c r="H30" s="9"/>
      <c r="I30" s="13" t="str">
        <f aca="false">IF(OR($G30="",$H30=""),"",ROUND($G30*$H30,0))</f>
        <v/>
      </c>
      <c r="J30" s="7"/>
      <c r="K30" s="7"/>
      <c r="L30" s="14" t="str">
        <f aca="false">IF(OR($C30="",$G30=""),"",IF($B30="입고",$G30,IF($B30="출고",-$G30,$G30)))</f>
        <v/>
      </c>
      <c r="M30" s="13" t="str">
        <f aca="false">IF($C30="","",IFERROR(INDEX(품목마스터!$F$3:$F$302,MATCH($C30,품목마스터!$A$3:$A$302,0)),0)+SUMIFS($L$3:$L30,$C$3:$C30,$C30))</f>
        <v/>
      </c>
    </row>
    <row r="31" customFormat="false" ht="15" hidden="false" customHeight="true" outlineLevel="0" collapsed="false">
      <c r="A31" s="11"/>
      <c r="B31" s="7"/>
      <c r="C31" s="7"/>
      <c r="D31" s="12" t="str">
        <f aca="false">IF($C31="","",IFERROR(INDEX(품목마스터!$B$3:$B$302,MATCH($C31,품목마스터!$A$3:$A$302,0)),"미등록품번"))</f>
        <v/>
      </c>
      <c r="E31" s="12" t="str">
        <f aca="false">IF($C31="","",IFERROR(INDEX(품목마스터!$C$3:$C$302,MATCH($C31,품목마스터!$A$3:$A$302,0)),""))</f>
        <v/>
      </c>
      <c r="F31" s="12" t="str">
        <f aca="false">IF($C31="","",IFERROR(INDEX(품목마스터!$D$3:$D$302,MATCH($C31,품목마스터!$A$3:$A$302,0)),""))</f>
        <v/>
      </c>
      <c r="G31" s="9"/>
      <c r="H31" s="9"/>
      <c r="I31" s="13" t="str">
        <f aca="false">IF(OR($G31="",$H31=""),"",ROUND($G31*$H31,0))</f>
        <v/>
      </c>
      <c r="J31" s="7"/>
      <c r="K31" s="7"/>
      <c r="L31" s="14" t="str">
        <f aca="false">IF(OR($C31="",$G31=""),"",IF($B31="입고",$G31,IF($B31="출고",-$G31,$G31)))</f>
        <v/>
      </c>
      <c r="M31" s="13" t="str">
        <f aca="false">IF($C31="","",IFERROR(INDEX(품목마스터!$F$3:$F$302,MATCH($C31,품목마스터!$A$3:$A$302,0)),0)+SUMIFS($L$3:$L31,$C$3:$C31,$C31))</f>
        <v/>
      </c>
    </row>
    <row r="32" customFormat="false" ht="15" hidden="false" customHeight="true" outlineLevel="0" collapsed="false">
      <c r="A32" s="11"/>
      <c r="B32" s="7"/>
      <c r="C32" s="7"/>
      <c r="D32" s="12" t="str">
        <f aca="false">IF($C32="","",IFERROR(INDEX(품목마스터!$B$3:$B$302,MATCH($C32,품목마스터!$A$3:$A$302,0)),"미등록품번"))</f>
        <v/>
      </c>
      <c r="E32" s="12" t="str">
        <f aca="false">IF($C32="","",IFERROR(INDEX(품목마스터!$C$3:$C$302,MATCH($C32,품목마스터!$A$3:$A$302,0)),""))</f>
        <v/>
      </c>
      <c r="F32" s="12" t="str">
        <f aca="false">IF($C32="","",IFERROR(INDEX(품목마스터!$D$3:$D$302,MATCH($C32,품목마스터!$A$3:$A$302,0)),""))</f>
        <v/>
      </c>
      <c r="G32" s="9"/>
      <c r="H32" s="9"/>
      <c r="I32" s="13" t="str">
        <f aca="false">IF(OR($G32="",$H32=""),"",ROUND($G32*$H32,0))</f>
        <v/>
      </c>
      <c r="J32" s="7"/>
      <c r="K32" s="7"/>
      <c r="L32" s="14" t="str">
        <f aca="false">IF(OR($C32="",$G32=""),"",IF($B32="입고",$G32,IF($B32="출고",-$G32,$G32)))</f>
        <v/>
      </c>
      <c r="M32" s="13" t="str">
        <f aca="false">IF($C32="","",IFERROR(INDEX(품목마스터!$F$3:$F$302,MATCH($C32,품목마스터!$A$3:$A$302,0)),0)+SUMIFS($L$3:$L32,$C$3:$C32,$C32))</f>
        <v/>
      </c>
    </row>
    <row r="33" customFormat="false" ht="15" hidden="false" customHeight="true" outlineLevel="0" collapsed="false">
      <c r="A33" s="11"/>
      <c r="B33" s="7"/>
      <c r="C33" s="7"/>
      <c r="D33" s="12" t="str">
        <f aca="false">IF($C33="","",IFERROR(INDEX(품목마스터!$B$3:$B$302,MATCH($C33,품목마스터!$A$3:$A$302,0)),"미등록품번"))</f>
        <v/>
      </c>
      <c r="E33" s="12" t="str">
        <f aca="false">IF($C33="","",IFERROR(INDEX(품목마스터!$C$3:$C$302,MATCH($C33,품목마스터!$A$3:$A$302,0)),""))</f>
        <v/>
      </c>
      <c r="F33" s="12" t="str">
        <f aca="false">IF($C33="","",IFERROR(INDEX(품목마스터!$D$3:$D$302,MATCH($C33,품목마스터!$A$3:$A$302,0)),""))</f>
        <v/>
      </c>
      <c r="G33" s="9"/>
      <c r="H33" s="9"/>
      <c r="I33" s="13" t="str">
        <f aca="false">IF(OR($G33="",$H33=""),"",ROUND($G33*$H33,0))</f>
        <v/>
      </c>
      <c r="J33" s="7"/>
      <c r="K33" s="7"/>
      <c r="L33" s="14" t="str">
        <f aca="false">IF(OR($C33="",$G33=""),"",IF($B33="입고",$G33,IF($B33="출고",-$G33,$G33)))</f>
        <v/>
      </c>
      <c r="M33" s="13" t="str">
        <f aca="false">IF($C33="","",IFERROR(INDEX(품목마스터!$F$3:$F$302,MATCH($C33,품목마스터!$A$3:$A$302,0)),0)+SUMIFS($L$3:$L33,$C$3:$C33,$C33))</f>
        <v/>
      </c>
    </row>
    <row r="34" customFormat="false" ht="15" hidden="false" customHeight="true" outlineLevel="0" collapsed="false">
      <c r="A34" s="11"/>
      <c r="B34" s="7"/>
      <c r="C34" s="7"/>
      <c r="D34" s="12" t="str">
        <f aca="false">IF($C34="","",IFERROR(INDEX(품목마스터!$B$3:$B$302,MATCH($C34,품목마스터!$A$3:$A$302,0)),"미등록품번"))</f>
        <v/>
      </c>
      <c r="E34" s="12" t="str">
        <f aca="false">IF($C34="","",IFERROR(INDEX(품목마스터!$C$3:$C$302,MATCH($C34,품목마스터!$A$3:$A$302,0)),""))</f>
        <v/>
      </c>
      <c r="F34" s="12" t="str">
        <f aca="false">IF($C34="","",IFERROR(INDEX(품목마스터!$D$3:$D$302,MATCH($C34,품목마스터!$A$3:$A$302,0)),""))</f>
        <v/>
      </c>
      <c r="G34" s="9"/>
      <c r="H34" s="9"/>
      <c r="I34" s="13" t="str">
        <f aca="false">IF(OR($G34="",$H34=""),"",ROUND($G34*$H34,0))</f>
        <v/>
      </c>
      <c r="J34" s="7"/>
      <c r="K34" s="7"/>
      <c r="L34" s="14" t="str">
        <f aca="false">IF(OR($C34="",$G34=""),"",IF($B34="입고",$G34,IF($B34="출고",-$G34,$G34)))</f>
        <v/>
      </c>
      <c r="M34" s="13" t="str">
        <f aca="false">IF($C34="","",IFERROR(INDEX(품목마스터!$F$3:$F$302,MATCH($C34,품목마스터!$A$3:$A$302,0)),0)+SUMIFS($L$3:$L34,$C$3:$C34,$C34))</f>
        <v/>
      </c>
    </row>
    <row r="35" customFormat="false" ht="15" hidden="false" customHeight="true" outlineLevel="0" collapsed="false">
      <c r="A35" s="11"/>
      <c r="B35" s="7"/>
      <c r="C35" s="7"/>
      <c r="D35" s="12" t="str">
        <f aca="false">IF($C35="","",IFERROR(INDEX(품목마스터!$B$3:$B$302,MATCH($C35,품목마스터!$A$3:$A$302,0)),"미등록품번"))</f>
        <v/>
      </c>
      <c r="E35" s="12" t="str">
        <f aca="false">IF($C35="","",IFERROR(INDEX(품목마스터!$C$3:$C$302,MATCH($C35,품목마스터!$A$3:$A$302,0)),""))</f>
        <v/>
      </c>
      <c r="F35" s="12" t="str">
        <f aca="false">IF($C35="","",IFERROR(INDEX(품목마스터!$D$3:$D$302,MATCH($C35,품목마스터!$A$3:$A$302,0)),""))</f>
        <v/>
      </c>
      <c r="G35" s="9"/>
      <c r="H35" s="9"/>
      <c r="I35" s="13" t="str">
        <f aca="false">IF(OR($G35="",$H35=""),"",ROUND($G35*$H35,0))</f>
        <v/>
      </c>
      <c r="J35" s="7"/>
      <c r="K35" s="7"/>
      <c r="L35" s="14" t="str">
        <f aca="false">IF(OR($C35="",$G35=""),"",IF($B35="입고",$G35,IF($B35="출고",-$G35,$G35)))</f>
        <v/>
      </c>
      <c r="M35" s="13" t="str">
        <f aca="false">IF($C35="","",IFERROR(INDEX(품목마스터!$F$3:$F$302,MATCH($C35,품목마스터!$A$3:$A$302,0)),0)+SUMIFS($L$3:$L35,$C$3:$C35,$C35))</f>
        <v/>
      </c>
    </row>
    <row r="36" customFormat="false" ht="15" hidden="false" customHeight="true" outlineLevel="0" collapsed="false">
      <c r="A36" s="11"/>
      <c r="B36" s="7"/>
      <c r="C36" s="7"/>
      <c r="D36" s="12" t="str">
        <f aca="false">IF($C36="","",IFERROR(INDEX(품목마스터!$B$3:$B$302,MATCH($C36,품목마스터!$A$3:$A$302,0)),"미등록품번"))</f>
        <v/>
      </c>
      <c r="E36" s="12" t="str">
        <f aca="false">IF($C36="","",IFERROR(INDEX(품목마스터!$C$3:$C$302,MATCH($C36,품목마스터!$A$3:$A$302,0)),""))</f>
        <v/>
      </c>
      <c r="F36" s="12" t="str">
        <f aca="false">IF($C36="","",IFERROR(INDEX(품목마스터!$D$3:$D$302,MATCH($C36,품목마스터!$A$3:$A$302,0)),""))</f>
        <v/>
      </c>
      <c r="G36" s="9"/>
      <c r="H36" s="9"/>
      <c r="I36" s="13" t="str">
        <f aca="false">IF(OR($G36="",$H36=""),"",ROUND($G36*$H36,0))</f>
        <v/>
      </c>
      <c r="J36" s="7"/>
      <c r="K36" s="7"/>
      <c r="L36" s="14" t="str">
        <f aca="false">IF(OR($C36="",$G36=""),"",IF($B36="입고",$G36,IF($B36="출고",-$G36,$G36)))</f>
        <v/>
      </c>
      <c r="M36" s="13" t="str">
        <f aca="false">IF($C36="","",IFERROR(INDEX(품목마스터!$F$3:$F$302,MATCH($C36,품목마스터!$A$3:$A$302,0)),0)+SUMIFS($L$3:$L36,$C$3:$C36,$C36))</f>
        <v/>
      </c>
    </row>
    <row r="37" customFormat="false" ht="15" hidden="false" customHeight="true" outlineLevel="0" collapsed="false">
      <c r="A37" s="11"/>
      <c r="B37" s="7"/>
      <c r="C37" s="7"/>
      <c r="D37" s="12" t="str">
        <f aca="false">IF($C37="","",IFERROR(INDEX(품목마스터!$B$3:$B$302,MATCH($C37,품목마스터!$A$3:$A$302,0)),"미등록품번"))</f>
        <v/>
      </c>
      <c r="E37" s="12" t="str">
        <f aca="false">IF($C37="","",IFERROR(INDEX(품목마스터!$C$3:$C$302,MATCH($C37,품목마스터!$A$3:$A$302,0)),""))</f>
        <v/>
      </c>
      <c r="F37" s="12" t="str">
        <f aca="false">IF($C37="","",IFERROR(INDEX(품목마스터!$D$3:$D$302,MATCH($C37,품목마스터!$A$3:$A$302,0)),""))</f>
        <v/>
      </c>
      <c r="G37" s="9"/>
      <c r="H37" s="9"/>
      <c r="I37" s="13" t="str">
        <f aca="false">IF(OR($G37="",$H37=""),"",ROUND($G37*$H37,0))</f>
        <v/>
      </c>
      <c r="J37" s="7"/>
      <c r="K37" s="7"/>
      <c r="L37" s="14" t="str">
        <f aca="false">IF(OR($C37="",$G37=""),"",IF($B37="입고",$G37,IF($B37="출고",-$G37,$G37)))</f>
        <v/>
      </c>
      <c r="M37" s="13" t="str">
        <f aca="false">IF($C37="","",IFERROR(INDEX(품목마스터!$F$3:$F$302,MATCH($C37,품목마스터!$A$3:$A$302,0)),0)+SUMIFS($L$3:$L37,$C$3:$C37,$C37))</f>
        <v/>
      </c>
    </row>
    <row r="38" customFormat="false" ht="15" hidden="false" customHeight="true" outlineLevel="0" collapsed="false">
      <c r="A38" s="11"/>
      <c r="B38" s="7"/>
      <c r="C38" s="7"/>
      <c r="D38" s="12" t="str">
        <f aca="false">IF($C38="","",IFERROR(INDEX(품목마스터!$B$3:$B$302,MATCH($C38,품목마스터!$A$3:$A$302,0)),"미등록품번"))</f>
        <v/>
      </c>
      <c r="E38" s="12" t="str">
        <f aca="false">IF($C38="","",IFERROR(INDEX(품목마스터!$C$3:$C$302,MATCH($C38,품목마스터!$A$3:$A$302,0)),""))</f>
        <v/>
      </c>
      <c r="F38" s="12" t="str">
        <f aca="false">IF($C38="","",IFERROR(INDEX(품목마스터!$D$3:$D$302,MATCH($C38,품목마스터!$A$3:$A$302,0)),""))</f>
        <v/>
      </c>
      <c r="G38" s="9"/>
      <c r="H38" s="9"/>
      <c r="I38" s="13" t="str">
        <f aca="false">IF(OR($G38="",$H38=""),"",ROUND($G38*$H38,0))</f>
        <v/>
      </c>
      <c r="J38" s="7"/>
      <c r="K38" s="7"/>
      <c r="L38" s="14" t="str">
        <f aca="false">IF(OR($C38="",$G38=""),"",IF($B38="입고",$G38,IF($B38="출고",-$G38,$G38)))</f>
        <v/>
      </c>
      <c r="M38" s="13" t="str">
        <f aca="false">IF($C38="","",IFERROR(INDEX(품목마스터!$F$3:$F$302,MATCH($C38,품목마스터!$A$3:$A$302,0)),0)+SUMIFS($L$3:$L38,$C$3:$C38,$C38))</f>
        <v/>
      </c>
    </row>
    <row r="39" customFormat="false" ht="15" hidden="false" customHeight="true" outlineLevel="0" collapsed="false">
      <c r="A39" s="11"/>
      <c r="B39" s="7"/>
      <c r="C39" s="7"/>
      <c r="D39" s="12" t="str">
        <f aca="false">IF($C39="","",IFERROR(INDEX(품목마스터!$B$3:$B$302,MATCH($C39,품목마스터!$A$3:$A$302,0)),"미등록품번"))</f>
        <v/>
      </c>
      <c r="E39" s="12" t="str">
        <f aca="false">IF($C39="","",IFERROR(INDEX(품목마스터!$C$3:$C$302,MATCH($C39,품목마스터!$A$3:$A$302,0)),""))</f>
        <v/>
      </c>
      <c r="F39" s="12" t="str">
        <f aca="false">IF($C39="","",IFERROR(INDEX(품목마스터!$D$3:$D$302,MATCH($C39,품목마스터!$A$3:$A$302,0)),""))</f>
        <v/>
      </c>
      <c r="G39" s="9"/>
      <c r="H39" s="9"/>
      <c r="I39" s="13" t="str">
        <f aca="false">IF(OR($G39="",$H39=""),"",ROUND($G39*$H39,0))</f>
        <v/>
      </c>
      <c r="J39" s="7"/>
      <c r="K39" s="7"/>
      <c r="L39" s="14" t="str">
        <f aca="false">IF(OR($C39="",$G39=""),"",IF($B39="입고",$G39,IF($B39="출고",-$G39,$G39)))</f>
        <v/>
      </c>
      <c r="M39" s="13" t="str">
        <f aca="false">IF($C39="","",IFERROR(INDEX(품목마스터!$F$3:$F$302,MATCH($C39,품목마스터!$A$3:$A$302,0)),0)+SUMIFS($L$3:$L39,$C$3:$C39,$C39))</f>
        <v/>
      </c>
    </row>
    <row r="40" customFormat="false" ht="15" hidden="false" customHeight="true" outlineLevel="0" collapsed="false">
      <c r="A40" s="11"/>
      <c r="B40" s="7"/>
      <c r="C40" s="7"/>
      <c r="D40" s="12" t="str">
        <f aca="false">IF($C40="","",IFERROR(INDEX(품목마스터!$B$3:$B$302,MATCH($C40,품목마스터!$A$3:$A$302,0)),"미등록품번"))</f>
        <v/>
      </c>
      <c r="E40" s="12" t="str">
        <f aca="false">IF($C40="","",IFERROR(INDEX(품목마스터!$C$3:$C$302,MATCH($C40,품목마스터!$A$3:$A$302,0)),""))</f>
        <v/>
      </c>
      <c r="F40" s="12" t="str">
        <f aca="false">IF($C40="","",IFERROR(INDEX(품목마스터!$D$3:$D$302,MATCH($C40,품목마스터!$A$3:$A$302,0)),""))</f>
        <v/>
      </c>
      <c r="G40" s="9"/>
      <c r="H40" s="9"/>
      <c r="I40" s="13" t="str">
        <f aca="false">IF(OR($G40="",$H40=""),"",ROUND($G40*$H40,0))</f>
        <v/>
      </c>
      <c r="J40" s="7"/>
      <c r="K40" s="7"/>
      <c r="L40" s="14" t="str">
        <f aca="false">IF(OR($C40="",$G40=""),"",IF($B40="입고",$G40,IF($B40="출고",-$G40,$G40)))</f>
        <v/>
      </c>
      <c r="M40" s="13" t="str">
        <f aca="false">IF($C40="","",IFERROR(INDEX(품목마스터!$F$3:$F$302,MATCH($C40,품목마스터!$A$3:$A$302,0)),0)+SUMIFS($L$3:$L40,$C$3:$C40,$C40))</f>
        <v/>
      </c>
    </row>
    <row r="41" customFormat="false" ht="15" hidden="false" customHeight="true" outlineLevel="0" collapsed="false">
      <c r="A41" s="11"/>
      <c r="B41" s="7"/>
      <c r="C41" s="7"/>
      <c r="D41" s="12" t="str">
        <f aca="false">IF($C41="","",IFERROR(INDEX(품목마스터!$B$3:$B$302,MATCH($C41,품목마스터!$A$3:$A$302,0)),"미등록품번"))</f>
        <v/>
      </c>
      <c r="E41" s="12" t="str">
        <f aca="false">IF($C41="","",IFERROR(INDEX(품목마스터!$C$3:$C$302,MATCH($C41,품목마스터!$A$3:$A$302,0)),""))</f>
        <v/>
      </c>
      <c r="F41" s="12" t="str">
        <f aca="false">IF($C41="","",IFERROR(INDEX(품목마스터!$D$3:$D$302,MATCH($C41,품목마스터!$A$3:$A$302,0)),""))</f>
        <v/>
      </c>
      <c r="G41" s="9"/>
      <c r="H41" s="9"/>
      <c r="I41" s="13" t="str">
        <f aca="false">IF(OR($G41="",$H41=""),"",ROUND($G41*$H41,0))</f>
        <v/>
      </c>
      <c r="J41" s="7"/>
      <c r="K41" s="7"/>
      <c r="L41" s="14" t="str">
        <f aca="false">IF(OR($C41="",$G41=""),"",IF($B41="입고",$G41,IF($B41="출고",-$G41,$G41)))</f>
        <v/>
      </c>
      <c r="M41" s="13" t="str">
        <f aca="false">IF($C41="","",IFERROR(INDEX(품목마스터!$F$3:$F$302,MATCH($C41,품목마스터!$A$3:$A$302,0)),0)+SUMIFS($L$3:$L41,$C$3:$C41,$C41))</f>
        <v/>
      </c>
    </row>
    <row r="42" customFormat="false" ht="15" hidden="false" customHeight="true" outlineLevel="0" collapsed="false">
      <c r="A42" s="11"/>
      <c r="B42" s="7"/>
      <c r="C42" s="7"/>
      <c r="D42" s="12" t="str">
        <f aca="false">IF($C42="","",IFERROR(INDEX(품목마스터!$B$3:$B$302,MATCH($C42,품목마스터!$A$3:$A$302,0)),"미등록품번"))</f>
        <v/>
      </c>
      <c r="E42" s="12" t="str">
        <f aca="false">IF($C42="","",IFERROR(INDEX(품목마스터!$C$3:$C$302,MATCH($C42,품목마스터!$A$3:$A$302,0)),""))</f>
        <v/>
      </c>
      <c r="F42" s="12" t="str">
        <f aca="false">IF($C42="","",IFERROR(INDEX(품목마스터!$D$3:$D$302,MATCH($C42,품목마스터!$A$3:$A$302,0)),""))</f>
        <v/>
      </c>
      <c r="G42" s="9"/>
      <c r="H42" s="9"/>
      <c r="I42" s="13" t="str">
        <f aca="false">IF(OR($G42="",$H42=""),"",ROUND($G42*$H42,0))</f>
        <v/>
      </c>
      <c r="J42" s="7"/>
      <c r="K42" s="7"/>
      <c r="L42" s="14" t="str">
        <f aca="false">IF(OR($C42="",$G42=""),"",IF($B42="입고",$G42,IF($B42="출고",-$G42,$G42)))</f>
        <v/>
      </c>
      <c r="M42" s="13" t="str">
        <f aca="false">IF($C42="","",IFERROR(INDEX(품목마스터!$F$3:$F$302,MATCH($C42,품목마스터!$A$3:$A$302,0)),0)+SUMIFS($L$3:$L42,$C$3:$C42,$C42))</f>
        <v/>
      </c>
    </row>
    <row r="43" customFormat="false" ht="15" hidden="false" customHeight="true" outlineLevel="0" collapsed="false">
      <c r="A43" s="11"/>
      <c r="B43" s="7"/>
      <c r="C43" s="7"/>
      <c r="D43" s="12" t="str">
        <f aca="false">IF($C43="","",IFERROR(INDEX(품목마스터!$B$3:$B$302,MATCH($C43,품목마스터!$A$3:$A$302,0)),"미등록품번"))</f>
        <v/>
      </c>
      <c r="E43" s="12" t="str">
        <f aca="false">IF($C43="","",IFERROR(INDEX(품목마스터!$C$3:$C$302,MATCH($C43,품목마스터!$A$3:$A$302,0)),""))</f>
        <v/>
      </c>
      <c r="F43" s="12" t="str">
        <f aca="false">IF($C43="","",IFERROR(INDEX(품목마스터!$D$3:$D$302,MATCH($C43,품목마스터!$A$3:$A$302,0)),""))</f>
        <v/>
      </c>
      <c r="G43" s="9"/>
      <c r="H43" s="9"/>
      <c r="I43" s="13" t="str">
        <f aca="false">IF(OR($G43="",$H43=""),"",ROUND($G43*$H43,0))</f>
        <v/>
      </c>
      <c r="J43" s="7"/>
      <c r="K43" s="7"/>
      <c r="L43" s="14" t="str">
        <f aca="false">IF(OR($C43="",$G43=""),"",IF($B43="입고",$G43,IF($B43="출고",-$G43,$G43)))</f>
        <v/>
      </c>
      <c r="M43" s="13" t="str">
        <f aca="false">IF($C43="","",IFERROR(INDEX(품목마스터!$F$3:$F$302,MATCH($C43,품목마스터!$A$3:$A$302,0)),0)+SUMIFS($L$3:$L43,$C$3:$C43,$C43))</f>
        <v/>
      </c>
    </row>
    <row r="44" customFormat="false" ht="15" hidden="false" customHeight="true" outlineLevel="0" collapsed="false">
      <c r="A44" s="11"/>
      <c r="B44" s="7"/>
      <c r="C44" s="7"/>
      <c r="D44" s="12" t="str">
        <f aca="false">IF($C44="","",IFERROR(INDEX(품목마스터!$B$3:$B$302,MATCH($C44,품목마스터!$A$3:$A$302,0)),"미등록품번"))</f>
        <v/>
      </c>
      <c r="E44" s="12" t="str">
        <f aca="false">IF($C44="","",IFERROR(INDEX(품목마스터!$C$3:$C$302,MATCH($C44,품목마스터!$A$3:$A$302,0)),""))</f>
        <v/>
      </c>
      <c r="F44" s="12" t="str">
        <f aca="false">IF($C44="","",IFERROR(INDEX(품목마스터!$D$3:$D$302,MATCH($C44,품목마스터!$A$3:$A$302,0)),""))</f>
        <v/>
      </c>
      <c r="G44" s="9"/>
      <c r="H44" s="9"/>
      <c r="I44" s="13" t="str">
        <f aca="false">IF(OR($G44="",$H44=""),"",ROUND($G44*$H44,0))</f>
        <v/>
      </c>
      <c r="J44" s="7"/>
      <c r="K44" s="7"/>
      <c r="L44" s="14" t="str">
        <f aca="false">IF(OR($C44="",$G44=""),"",IF($B44="입고",$G44,IF($B44="출고",-$G44,$G44)))</f>
        <v/>
      </c>
      <c r="M44" s="13" t="str">
        <f aca="false">IF($C44="","",IFERROR(INDEX(품목마스터!$F$3:$F$302,MATCH($C44,품목마스터!$A$3:$A$302,0)),0)+SUMIFS($L$3:$L44,$C$3:$C44,$C44))</f>
        <v/>
      </c>
    </row>
    <row r="45" customFormat="false" ht="15" hidden="false" customHeight="true" outlineLevel="0" collapsed="false">
      <c r="A45" s="11"/>
      <c r="B45" s="7"/>
      <c r="C45" s="7"/>
      <c r="D45" s="12" t="str">
        <f aca="false">IF($C45="","",IFERROR(INDEX(품목마스터!$B$3:$B$302,MATCH($C45,품목마스터!$A$3:$A$302,0)),"미등록품번"))</f>
        <v/>
      </c>
      <c r="E45" s="12" t="str">
        <f aca="false">IF($C45="","",IFERROR(INDEX(품목마스터!$C$3:$C$302,MATCH($C45,품목마스터!$A$3:$A$302,0)),""))</f>
        <v/>
      </c>
      <c r="F45" s="12" t="str">
        <f aca="false">IF($C45="","",IFERROR(INDEX(품목마스터!$D$3:$D$302,MATCH($C45,품목마스터!$A$3:$A$302,0)),""))</f>
        <v/>
      </c>
      <c r="G45" s="9"/>
      <c r="H45" s="9"/>
      <c r="I45" s="13" t="str">
        <f aca="false">IF(OR($G45="",$H45=""),"",ROUND($G45*$H45,0))</f>
        <v/>
      </c>
      <c r="J45" s="7"/>
      <c r="K45" s="7"/>
      <c r="L45" s="14" t="str">
        <f aca="false">IF(OR($C45="",$G45=""),"",IF($B45="입고",$G45,IF($B45="출고",-$G45,$G45)))</f>
        <v/>
      </c>
      <c r="M45" s="13" t="str">
        <f aca="false">IF($C45="","",IFERROR(INDEX(품목마스터!$F$3:$F$302,MATCH($C45,품목마스터!$A$3:$A$302,0)),0)+SUMIFS($L$3:$L45,$C$3:$C45,$C45))</f>
        <v/>
      </c>
    </row>
    <row r="46" customFormat="false" ht="15" hidden="false" customHeight="true" outlineLevel="0" collapsed="false">
      <c r="A46" s="11"/>
      <c r="B46" s="7"/>
      <c r="C46" s="7"/>
      <c r="D46" s="12" t="str">
        <f aca="false">IF($C46="","",IFERROR(INDEX(품목마스터!$B$3:$B$302,MATCH($C46,품목마스터!$A$3:$A$302,0)),"미등록품번"))</f>
        <v/>
      </c>
      <c r="E46" s="12" t="str">
        <f aca="false">IF($C46="","",IFERROR(INDEX(품목마스터!$C$3:$C$302,MATCH($C46,품목마스터!$A$3:$A$302,0)),""))</f>
        <v/>
      </c>
      <c r="F46" s="12" t="str">
        <f aca="false">IF($C46="","",IFERROR(INDEX(품목마스터!$D$3:$D$302,MATCH($C46,품목마스터!$A$3:$A$302,0)),""))</f>
        <v/>
      </c>
      <c r="G46" s="9"/>
      <c r="H46" s="9"/>
      <c r="I46" s="13" t="str">
        <f aca="false">IF(OR($G46="",$H46=""),"",ROUND($G46*$H46,0))</f>
        <v/>
      </c>
      <c r="J46" s="7"/>
      <c r="K46" s="7"/>
      <c r="L46" s="14" t="str">
        <f aca="false">IF(OR($C46="",$G46=""),"",IF($B46="입고",$G46,IF($B46="출고",-$G46,$G46)))</f>
        <v/>
      </c>
      <c r="M46" s="13" t="str">
        <f aca="false">IF($C46="","",IFERROR(INDEX(품목마스터!$F$3:$F$302,MATCH($C46,품목마스터!$A$3:$A$302,0)),0)+SUMIFS($L$3:$L46,$C$3:$C46,$C46))</f>
        <v/>
      </c>
    </row>
    <row r="47" customFormat="false" ht="15" hidden="false" customHeight="true" outlineLevel="0" collapsed="false">
      <c r="A47" s="11"/>
      <c r="B47" s="7"/>
      <c r="C47" s="7"/>
      <c r="D47" s="12" t="str">
        <f aca="false">IF($C47="","",IFERROR(INDEX(품목마스터!$B$3:$B$302,MATCH($C47,품목마스터!$A$3:$A$302,0)),"미등록품번"))</f>
        <v/>
      </c>
      <c r="E47" s="12" t="str">
        <f aca="false">IF($C47="","",IFERROR(INDEX(품목마스터!$C$3:$C$302,MATCH($C47,품목마스터!$A$3:$A$302,0)),""))</f>
        <v/>
      </c>
      <c r="F47" s="12" t="str">
        <f aca="false">IF($C47="","",IFERROR(INDEX(품목마스터!$D$3:$D$302,MATCH($C47,품목마스터!$A$3:$A$302,0)),""))</f>
        <v/>
      </c>
      <c r="G47" s="9"/>
      <c r="H47" s="9"/>
      <c r="I47" s="13" t="str">
        <f aca="false">IF(OR($G47="",$H47=""),"",ROUND($G47*$H47,0))</f>
        <v/>
      </c>
      <c r="J47" s="7"/>
      <c r="K47" s="7"/>
      <c r="L47" s="14" t="str">
        <f aca="false">IF(OR($C47="",$G47=""),"",IF($B47="입고",$G47,IF($B47="출고",-$G47,$G47)))</f>
        <v/>
      </c>
      <c r="M47" s="13" t="str">
        <f aca="false">IF($C47="","",IFERROR(INDEX(품목마스터!$F$3:$F$302,MATCH($C47,품목마스터!$A$3:$A$302,0)),0)+SUMIFS($L$3:$L47,$C$3:$C47,$C47))</f>
        <v/>
      </c>
    </row>
    <row r="48" customFormat="false" ht="15" hidden="false" customHeight="true" outlineLevel="0" collapsed="false">
      <c r="A48" s="11"/>
      <c r="B48" s="7"/>
      <c r="C48" s="7"/>
      <c r="D48" s="12" t="str">
        <f aca="false">IF($C48="","",IFERROR(INDEX(품목마스터!$B$3:$B$302,MATCH($C48,품목마스터!$A$3:$A$302,0)),"미등록품번"))</f>
        <v/>
      </c>
      <c r="E48" s="12" t="str">
        <f aca="false">IF($C48="","",IFERROR(INDEX(품목마스터!$C$3:$C$302,MATCH($C48,품목마스터!$A$3:$A$302,0)),""))</f>
        <v/>
      </c>
      <c r="F48" s="12" t="str">
        <f aca="false">IF($C48="","",IFERROR(INDEX(품목마스터!$D$3:$D$302,MATCH($C48,품목마스터!$A$3:$A$302,0)),""))</f>
        <v/>
      </c>
      <c r="G48" s="9"/>
      <c r="H48" s="9"/>
      <c r="I48" s="13" t="str">
        <f aca="false">IF(OR($G48="",$H48=""),"",ROUND($G48*$H48,0))</f>
        <v/>
      </c>
      <c r="J48" s="7"/>
      <c r="K48" s="7"/>
      <c r="L48" s="14" t="str">
        <f aca="false">IF(OR($C48="",$G48=""),"",IF($B48="입고",$G48,IF($B48="출고",-$G48,$G48)))</f>
        <v/>
      </c>
      <c r="M48" s="13" t="str">
        <f aca="false">IF($C48="","",IFERROR(INDEX(품목마스터!$F$3:$F$302,MATCH($C48,품목마스터!$A$3:$A$302,0)),0)+SUMIFS($L$3:$L48,$C$3:$C48,$C48))</f>
        <v/>
      </c>
    </row>
    <row r="49" customFormat="false" ht="15" hidden="false" customHeight="true" outlineLevel="0" collapsed="false">
      <c r="A49" s="11"/>
      <c r="B49" s="7"/>
      <c r="C49" s="7"/>
      <c r="D49" s="12" t="str">
        <f aca="false">IF($C49="","",IFERROR(INDEX(품목마스터!$B$3:$B$302,MATCH($C49,품목마스터!$A$3:$A$302,0)),"미등록품번"))</f>
        <v/>
      </c>
      <c r="E49" s="12" t="str">
        <f aca="false">IF($C49="","",IFERROR(INDEX(품목마스터!$C$3:$C$302,MATCH($C49,품목마스터!$A$3:$A$302,0)),""))</f>
        <v/>
      </c>
      <c r="F49" s="12" t="str">
        <f aca="false">IF($C49="","",IFERROR(INDEX(품목마스터!$D$3:$D$302,MATCH($C49,품목마스터!$A$3:$A$302,0)),""))</f>
        <v/>
      </c>
      <c r="G49" s="9"/>
      <c r="H49" s="9"/>
      <c r="I49" s="13" t="str">
        <f aca="false">IF(OR($G49="",$H49=""),"",ROUND($G49*$H49,0))</f>
        <v/>
      </c>
      <c r="J49" s="7"/>
      <c r="K49" s="7"/>
      <c r="L49" s="14" t="str">
        <f aca="false">IF(OR($C49="",$G49=""),"",IF($B49="입고",$G49,IF($B49="출고",-$G49,$G49)))</f>
        <v/>
      </c>
      <c r="M49" s="13" t="str">
        <f aca="false">IF($C49="","",IFERROR(INDEX(품목마스터!$F$3:$F$302,MATCH($C49,품목마스터!$A$3:$A$302,0)),0)+SUMIFS($L$3:$L49,$C$3:$C49,$C49))</f>
        <v/>
      </c>
    </row>
    <row r="50" customFormat="false" ht="15" hidden="false" customHeight="true" outlineLevel="0" collapsed="false">
      <c r="A50" s="11"/>
      <c r="B50" s="7"/>
      <c r="C50" s="7"/>
      <c r="D50" s="12" t="str">
        <f aca="false">IF($C50="","",IFERROR(INDEX(품목마스터!$B$3:$B$302,MATCH($C50,품목마스터!$A$3:$A$302,0)),"미등록품번"))</f>
        <v/>
      </c>
      <c r="E50" s="12" t="str">
        <f aca="false">IF($C50="","",IFERROR(INDEX(품목마스터!$C$3:$C$302,MATCH($C50,품목마스터!$A$3:$A$302,0)),""))</f>
        <v/>
      </c>
      <c r="F50" s="12" t="str">
        <f aca="false">IF($C50="","",IFERROR(INDEX(품목마스터!$D$3:$D$302,MATCH($C50,품목마스터!$A$3:$A$302,0)),""))</f>
        <v/>
      </c>
      <c r="G50" s="9"/>
      <c r="H50" s="9"/>
      <c r="I50" s="13" t="str">
        <f aca="false">IF(OR($G50="",$H50=""),"",ROUND($G50*$H50,0))</f>
        <v/>
      </c>
      <c r="J50" s="7"/>
      <c r="K50" s="7"/>
      <c r="L50" s="14" t="str">
        <f aca="false">IF(OR($C50="",$G50=""),"",IF($B50="입고",$G50,IF($B50="출고",-$G50,$G50)))</f>
        <v/>
      </c>
      <c r="M50" s="13" t="str">
        <f aca="false">IF($C50="","",IFERROR(INDEX(품목마스터!$F$3:$F$302,MATCH($C50,품목마스터!$A$3:$A$302,0)),0)+SUMIFS($L$3:$L50,$C$3:$C50,$C50))</f>
        <v/>
      </c>
    </row>
    <row r="51" customFormat="false" ht="15" hidden="false" customHeight="true" outlineLevel="0" collapsed="false">
      <c r="A51" s="11"/>
      <c r="B51" s="7"/>
      <c r="C51" s="7"/>
      <c r="D51" s="12" t="str">
        <f aca="false">IF($C51="","",IFERROR(INDEX(품목마스터!$B$3:$B$302,MATCH($C51,품목마스터!$A$3:$A$302,0)),"미등록품번"))</f>
        <v/>
      </c>
      <c r="E51" s="12" t="str">
        <f aca="false">IF($C51="","",IFERROR(INDEX(품목마스터!$C$3:$C$302,MATCH($C51,품목마스터!$A$3:$A$302,0)),""))</f>
        <v/>
      </c>
      <c r="F51" s="12" t="str">
        <f aca="false">IF($C51="","",IFERROR(INDEX(품목마스터!$D$3:$D$302,MATCH($C51,품목마스터!$A$3:$A$302,0)),""))</f>
        <v/>
      </c>
      <c r="G51" s="9"/>
      <c r="H51" s="9"/>
      <c r="I51" s="13" t="str">
        <f aca="false">IF(OR($G51="",$H51=""),"",ROUND($G51*$H51,0))</f>
        <v/>
      </c>
      <c r="J51" s="7"/>
      <c r="K51" s="7"/>
      <c r="L51" s="14" t="str">
        <f aca="false">IF(OR($C51="",$G51=""),"",IF($B51="입고",$G51,IF($B51="출고",-$G51,$G51)))</f>
        <v/>
      </c>
      <c r="M51" s="13" t="str">
        <f aca="false">IF($C51="","",IFERROR(INDEX(품목마스터!$F$3:$F$302,MATCH($C51,품목마스터!$A$3:$A$302,0)),0)+SUMIFS($L$3:$L51,$C$3:$C51,$C51))</f>
        <v/>
      </c>
    </row>
    <row r="52" customFormat="false" ht="15" hidden="false" customHeight="true" outlineLevel="0" collapsed="false">
      <c r="A52" s="11"/>
      <c r="B52" s="7"/>
      <c r="C52" s="7"/>
      <c r="D52" s="12" t="str">
        <f aca="false">IF($C52="","",IFERROR(INDEX(품목마스터!$B$3:$B$302,MATCH($C52,품목마스터!$A$3:$A$302,0)),"미등록품번"))</f>
        <v/>
      </c>
      <c r="E52" s="12" t="str">
        <f aca="false">IF($C52="","",IFERROR(INDEX(품목마스터!$C$3:$C$302,MATCH($C52,품목마스터!$A$3:$A$302,0)),""))</f>
        <v/>
      </c>
      <c r="F52" s="12" t="str">
        <f aca="false">IF($C52="","",IFERROR(INDEX(품목마스터!$D$3:$D$302,MATCH($C52,품목마스터!$A$3:$A$302,0)),""))</f>
        <v/>
      </c>
      <c r="G52" s="9"/>
      <c r="H52" s="9"/>
      <c r="I52" s="13" t="str">
        <f aca="false">IF(OR($G52="",$H52=""),"",ROUND($G52*$H52,0))</f>
        <v/>
      </c>
      <c r="J52" s="7"/>
      <c r="K52" s="7"/>
      <c r="L52" s="14" t="str">
        <f aca="false">IF(OR($C52="",$G52=""),"",IF($B52="입고",$G52,IF($B52="출고",-$G52,$G52)))</f>
        <v/>
      </c>
      <c r="M52" s="13" t="str">
        <f aca="false">IF($C52="","",IFERROR(INDEX(품목마스터!$F$3:$F$302,MATCH($C52,품목마스터!$A$3:$A$302,0)),0)+SUMIFS($L$3:$L52,$C$3:$C52,$C52))</f>
        <v/>
      </c>
    </row>
    <row r="53" customFormat="false" ht="15" hidden="false" customHeight="true" outlineLevel="0" collapsed="false">
      <c r="A53" s="11"/>
      <c r="B53" s="7"/>
      <c r="C53" s="7"/>
      <c r="D53" s="12" t="str">
        <f aca="false">IF($C53="","",IFERROR(INDEX(품목마스터!$B$3:$B$302,MATCH($C53,품목마스터!$A$3:$A$302,0)),"미등록품번"))</f>
        <v/>
      </c>
      <c r="E53" s="12" t="str">
        <f aca="false">IF($C53="","",IFERROR(INDEX(품목마스터!$C$3:$C$302,MATCH($C53,품목마스터!$A$3:$A$302,0)),""))</f>
        <v/>
      </c>
      <c r="F53" s="12" t="str">
        <f aca="false">IF($C53="","",IFERROR(INDEX(품목마스터!$D$3:$D$302,MATCH($C53,품목마스터!$A$3:$A$302,0)),""))</f>
        <v/>
      </c>
      <c r="G53" s="9"/>
      <c r="H53" s="9"/>
      <c r="I53" s="13" t="str">
        <f aca="false">IF(OR($G53="",$H53=""),"",ROUND($G53*$H53,0))</f>
        <v/>
      </c>
      <c r="J53" s="7"/>
      <c r="K53" s="7"/>
      <c r="L53" s="14" t="str">
        <f aca="false">IF(OR($C53="",$G53=""),"",IF($B53="입고",$G53,IF($B53="출고",-$G53,$G53)))</f>
        <v/>
      </c>
      <c r="M53" s="13" t="str">
        <f aca="false">IF($C53="","",IFERROR(INDEX(품목마스터!$F$3:$F$302,MATCH($C53,품목마스터!$A$3:$A$302,0)),0)+SUMIFS($L$3:$L53,$C$3:$C53,$C53))</f>
        <v/>
      </c>
    </row>
    <row r="54" customFormat="false" ht="15" hidden="false" customHeight="true" outlineLevel="0" collapsed="false">
      <c r="A54" s="11"/>
      <c r="B54" s="7"/>
      <c r="C54" s="7"/>
      <c r="D54" s="12" t="str">
        <f aca="false">IF($C54="","",IFERROR(INDEX(품목마스터!$B$3:$B$302,MATCH($C54,품목마스터!$A$3:$A$302,0)),"미등록품번"))</f>
        <v/>
      </c>
      <c r="E54" s="12" t="str">
        <f aca="false">IF($C54="","",IFERROR(INDEX(품목마스터!$C$3:$C$302,MATCH($C54,품목마스터!$A$3:$A$302,0)),""))</f>
        <v/>
      </c>
      <c r="F54" s="12" t="str">
        <f aca="false">IF($C54="","",IFERROR(INDEX(품목마스터!$D$3:$D$302,MATCH($C54,품목마스터!$A$3:$A$302,0)),""))</f>
        <v/>
      </c>
      <c r="G54" s="9"/>
      <c r="H54" s="9"/>
      <c r="I54" s="13" t="str">
        <f aca="false">IF(OR($G54="",$H54=""),"",ROUND($G54*$H54,0))</f>
        <v/>
      </c>
      <c r="J54" s="7"/>
      <c r="K54" s="7"/>
      <c r="L54" s="14" t="str">
        <f aca="false">IF(OR($C54="",$G54=""),"",IF($B54="입고",$G54,IF($B54="출고",-$G54,$G54)))</f>
        <v/>
      </c>
      <c r="M54" s="13" t="str">
        <f aca="false">IF($C54="","",IFERROR(INDEX(품목마스터!$F$3:$F$302,MATCH($C54,품목마스터!$A$3:$A$302,0)),0)+SUMIFS($L$3:$L54,$C$3:$C54,$C54))</f>
        <v/>
      </c>
    </row>
    <row r="55" customFormat="false" ht="15" hidden="false" customHeight="true" outlineLevel="0" collapsed="false">
      <c r="A55" s="11"/>
      <c r="B55" s="7"/>
      <c r="C55" s="7"/>
      <c r="D55" s="12" t="str">
        <f aca="false">IF($C55="","",IFERROR(INDEX(품목마스터!$B$3:$B$302,MATCH($C55,품목마스터!$A$3:$A$302,0)),"미등록품번"))</f>
        <v/>
      </c>
      <c r="E55" s="12" t="str">
        <f aca="false">IF($C55="","",IFERROR(INDEX(품목마스터!$C$3:$C$302,MATCH($C55,품목마스터!$A$3:$A$302,0)),""))</f>
        <v/>
      </c>
      <c r="F55" s="12" t="str">
        <f aca="false">IF($C55="","",IFERROR(INDEX(품목마스터!$D$3:$D$302,MATCH($C55,품목마스터!$A$3:$A$302,0)),""))</f>
        <v/>
      </c>
      <c r="G55" s="9"/>
      <c r="H55" s="9"/>
      <c r="I55" s="13" t="str">
        <f aca="false">IF(OR($G55="",$H55=""),"",ROUND($G55*$H55,0))</f>
        <v/>
      </c>
      <c r="J55" s="7"/>
      <c r="K55" s="7"/>
      <c r="L55" s="14" t="str">
        <f aca="false">IF(OR($C55="",$G55=""),"",IF($B55="입고",$G55,IF($B55="출고",-$G55,$G55)))</f>
        <v/>
      </c>
      <c r="M55" s="13" t="str">
        <f aca="false">IF($C55="","",IFERROR(INDEX(품목마스터!$F$3:$F$302,MATCH($C55,품목마스터!$A$3:$A$302,0)),0)+SUMIFS($L$3:$L55,$C$3:$C55,$C55))</f>
        <v/>
      </c>
    </row>
    <row r="56" customFormat="false" ht="15" hidden="false" customHeight="true" outlineLevel="0" collapsed="false">
      <c r="A56" s="11"/>
      <c r="B56" s="7"/>
      <c r="C56" s="7"/>
      <c r="D56" s="12" t="str">
        <f aca="false">IF($C56="","",IFERROR(INDEX(품목마스터!$B$3:$B$302,MATCH($C56,품목마스터!$A$3:$A$302,0)),"미등록품번"))</f>
        <v/>
      </c>
      <c r="E56" s="12" t="str">
        <f aca="false">IF($C56="","",IFERROR(INDEX(품목마스터!$C$3:$C$302,MATCH($C56,품목마스터!$A$3:$A$302,0)),""))</f>
        <v/>
      </c>
      <c r="F56" s="12" t="str">
        <f aca="false">IF($C56="","",IFERROR(INDEX(품목마스터!$D$3:$D$302,MATCH($C56,품목마스터!$A$3:$A$302,0)),""))</f>
        <v/>
      </c>
      <c r="G56" s="9"/>
      <c r="H56" s="9"/>
      <c r="I56" s="13" t="str">
        <f aca="false">IF(OR($G56="",$H56=""),"",ROUND($G56*$H56,0))</f>
        <v/>
      </c>
      <c r="J56" s="7"/>
      <c r="K56" s="7"/>
      <c r="L56" s="14" t="str">
        <f aca="false">IF(OR($C56="",$G56=""),"",IF($B56="입고",$G56,IF($B56="출고",-$G56,$G56)))</f>
        <v/>
      </c>
      <c r="M56" s="13" t="str">
        <f aca="false">IF($C56="","",IFERROR(INDEX(품목마스터!$F$3:$F$302,MATCH($C56,품목마스터!$A$3:$A$302,0)),0)+SUMIFS($L$3:$L56,$C$3:$C56,$C56))</f>
        <v/>
      </c>
    </row>
    <row r="57" customFormat="false" ht="15" hidden="false" customHeight="true" outlineLevel="0" collapsed="false">
      <c r="A57" s="11"/>
      <c r="B57" s="7"/>
      <c r="C57" s="7"/>
      <c r="D57" s="12" t="str">
        <f aca="false">IF($C57="","",IFERROR(INDEX(품목마스터!$B$3:$B$302,MATCH($C57,품목마스터!$A$3:$A$302,0)),"미등록품번"))</f>
        <v/>
      </c>
      <c r="E57" s="12" t="str">
        <f aca="false">IF($C57="","",IFERROR(INDEX(품목마스터!$C$3:$C$302,MATCH($C57,품목마스터!$A$3:$A$302,0)),""))</f>
        <v/>
      </c>
      <c r="F57" s="12" t="str">
        <f aca="false">IF($C57="","",IFERROR(INDEX(품목마스터!$D$3:$D$302,MATCH($C57,품목마스터!$A$3:$A$302,0)),""))</f>
        <v/>
      </c>
      <c r="G57" s="9"/>
      <c r="H57" s="9"/>
      <c r="I57" s="13" t="str">
        <f aca="false">IF(OR($G57="",$H57=""),"",ROUND($G57*$H57,0))</f>
        <v/>
      </c>
      <c r="J57" s="7"/>
      <c r="K57" s="7"/>
      <c r="L57" s="14" t="str">
        <f aca="false">IF(OR($C57="",$G57=""),"",IF($B57="입고",$G57,IF($B57="출고",-$G57,$G57)))</f>
        <v/>
      </c>
      <c r="M57" s="13" t="str">
        <f aca="false">IF($C57="","",IFERROR(INDEX(품목마스터!$F$3:$F$302,MATCH($C57,품목마스터!$A$3:$A$302,0)),0)+SUMIFS($L$3:$L57,$C$3:$C57,$C57))</f>
        <v/>
      </c>
    </row>
    <row r="58" customFormat="false" ht="15" hidden="false" customHeight="true" outlineLevel="0" collapsed="false">
      <c r="A58" s="11"/>
      <c r="B58" s="7"/>
      <c r="C58" s="7"/>
      <c r="D58" s="12" t="str">
        <f aca="false">IF($C58="","",IFERROR(INDEX(품목마스터!$B$3:$B$302,MATCH($C58,품목마스터!$A$3:$A$302,0)),"미등록품번"))</f>
        <v/>
      </c>
      <c r="E58" s="12" t="str">
        <f aca="false">IF($C58="","",IFERROR(INDEX(품목마스터!$C$3:$C$302,MATCH($C58,품목마스터!$A$3:$A$302,0)),""))</f>
        <v/>
      </c>
      <c r="F58" s="12" t="str">
        <f aca="false">IF($C58="","",IFERROR(INDEX(품목마스터!$D$3:$D$302,MATCH($C58,품목마스터!$A$3:$A$302,0)),""))</f>
        <v/>
      </c>
      <c r="G58" s="9"/>
      <c r="H58" s="9"/>
      <c r="I58" s="13" t="str">
        <f aca="false">IF(OR($G58="",$H58=""),"",ROUND($G58*$H58,0))</f>
        <v/>
      </c>
      <c r="J58" s="7"/>
      <c r="K58" s="7"/>
      <c r="L58" s="14" t="str">
        <f aca="false">IF(OR($C58="",$G58=""),"",IF($B58="입고",$G58,IF($B58="출고",-$G58,$G58)))</f>
        <v/>
      </c>
      <c r="M58" s="13" t="str">
        <f aca="false">IF($C58="","",IFERROR(INDEX(품목마스터!$F$3:$F$302,MATCH($C58,품목마스터!$A$3:$A$302,0)),0)+SUMIFS($L$3:$L58,$C$3:$C58,$C58))</f>
        <v/>
      </c>
    </row>
    <row r="59" customFormat="false" ht="15" hidden="false" customHeight="true" outlineLevel="0" collapsed="false">
      <c r="A59" s="11"/>
      <c r="B59" s="7"/>
      <c r="C59" s="7"/>
      <c r="D59" s="12" t="str">
        <f aca="false">IF($C59="","",IFERROR(INDEX(품목마스터!$B$3:$B$302,MATCH($C59,품목마스터!$A$3:$A$302,0)),"미등록품번"))</f>
        <v/>
      </c>
      <c r="E59" s="12" t="str">
        <f aca="false">IF($C59="","",IFERROR(INDEX(품목마스터!$C$3:$C$302,MATCH($C59,품목마스터!$A$3:$A$302,0)),""))</f>
        <v/>
      </c>
      <c r="F59" s="12" t="str">
        <f aca="false">IF($C59="","",IFERROR(INDEX(품목마스터!$D$3:$D$302,MATCH($C59,품목마스터!$A$3:$A$302,0)),""))</f>
        <v/>
      </c>
      <c r="G59" s="9"/>
      <c r="H59" s="9"/>
      <c r="I59" s="13" t="str">
        <f aca="false">IF(OR($G59="",$H59=""),"",ROUND($G59*$H59,0))</f>
        <v/>
      </c>
      <c r="J59" s="7"/>
      <c r="K59" s="7"/>
      <c r="L59" s="14" t="str">
        <f aca="false">IF(OR($C59="",$G59=""),"",IF($B59="입고",$G59,IF($B59="출고",-$G59,$G59)))</f>
        <v/>
      </c>
      <c r="M59" s="13" t="str">
        <f aca="false">IF($C59="","",IFERROR(INDEX(품목마스터!$F$3:$F$302,MATCH($C59,품목마스터!$A$3:$A$302,0)),0)+SUMIFS($L$3:$L59,$C$3:$C59,$C59))</f>
        <v/>
      </c>
    </row>
    <row r="60" customFormat="false" ht="15" hidden="false" customHeight="true" outlineLevel="0" collapsed="false">
      <c r="A60" s="11"/>
      <c r="B60" s="7"/>
      <c r="C60" s="7"/>
      <c r="D60" s="12" t="str">
        <f aca="false">IF($C60="","",IFERROR(INDEX(품목마스터!$B$3:$B$302,MATCH($C60,품목마스터!$A$3:$A$302,0)),"미등록품번"))</f>
        <v/>
      </c>
      <c r="E60" s="12" t="str">
        <f aca="false">IF($C60="","",IFERROR(INDEX(품목마스터!$C$3:$C$302,MATCH($C60,품목마스터!$A$3:$A$302,0)),""))</f>
        <v/>
      </c>
      <c r="F60" s="12" t="str">
        <f aca="false">IF($C60="","",IFERROR(INDEX(품목마스터!$D$3:$D$302,MATCH($C60,품목마스터!$A$3:$A$302,0)),""))</f>
        <v/>
      </c>
      <c r="G60" s="9"/>
      <c r="H60" s="9"/>
      <c r="I60" s="13" t="str">
        <f aca="false">IF(OR($G60="",$H60=""),"",ROUND($G60*$H60,0))</f>
        <v/>
      </c>
      <c r="J60" s="7"/>
      <c r="K60" s="7"/>
      <c r="L60" s="14" t="str">
        <f aca="false">IF(OR($C60="",$G60=""),"",IF($B60="입고",$G60,IF($B60="출고",-$G60,$G60)))</f>
        <v/>
      </c>
      <c r="M60" s="13" t="str">
        <f aca="false">IF($C60="","",IFERROR(INDEX(품목마스터!$F$3:$F$302,MATCH($C60,품목마스터!$A$3:$A$302,0)),0)+SUMIFS($L$3:$L60,$C$3:$C60,$C60))</f>
        <v/>
      </c>
    </row>
    <row r="61" customFormat="false" ht="15" hidden="false" customHeight="true" outlineLevel="0" collapsed="false">
      <c r="A61" s="11"/>
      <c r="B61" s="7"/>
      <c r="C61" s="7"/>
      <c r="D61" s="12" t="str">
        <f aca="false">IF($C61="","",IFERROR(INDEX(품목마스터!$B$3:$B$302,MATCH($C61,품목마스터!$A$3:$A$302,0)),"미등록품번"))</f>
        <v/>
      </c>
      <c r="E61" s="12" t="str">
        <f aca="false">IF($C61="","",IFERROR(INDEX(품목마스터!$C$3:$C$302,MATCH($C61,품목마스터!$A$3:$A$302,0)),""))</f>
        <v/>
      </c>
      <c r="F61" s="12" t="str">
        <f aca="false">IF($C61="","",IFERROR(INDEX(품목마스터!$D$3:$D$302,MATCH($C61,품목마스터!$A$3:$A$302,0)),""))</f>
        <v/>
      </c>
      <c r="G61" s="9"/>
      <c r="H61" s="9"/>
      <c r="I61" s="13" t="str">
        <f aca="false">IF(OR($G61="",$H61=""),"",ROUND($G61*$H61,0))</f>
        <v/>
      </c>
      <c r="J61" s="7"/>
      <c r="K61" s="7"/>
      <c r="L61" s="14" t="str">
        <f aca="false">IF(OR($C61="",$G61=""),"",IF($B61="입고",$G61,IF($B61="출고",-$G61,$G61)))</f>
        <v/>
      </c>
      <c r="M61" s="13" t="str">
        <f aca="false">IF($C61="","",IFERROR(INDEX(품목마스터!$F$3:$F$302,MATCH($C61,품목마스터!$A$3:$A$302,0)),0)+SUMIFS($L$3:$L61,$C$3:$C61,$C61))</f>
        <v/>
      </c>
    </row>
    <row r="62" customFormat="false" ht="15" hidden="false" customHeight="true" outlineLevel="0" collapsed="false">
      <c r="A62" s="11"/>
      <c r="B62" s="7"/>
      <c r="C62" s="7"/>
      <c r="D62" s="12" t="str">
        <f aca="false">IF($C62="","",IFERROR(INDEX(품목마스터!$B$3:$B$302,MATCH($C62,품목마스터!$A$3:$A$302,0)),"미등록품번"))</f>
        <v/>
      </c>
      <c r="E62" s="12" t="str">
        <f aca="false">IF($C62="","",IFERROR(INDEX(품목마스터!$C$3:$C$302,MATCH($C62,품목마스터!$A$3:$A$302,0)),""))</f>
        <v/>
      </c>
      <c r="F62" s="12" t="str">
        <f aca="false">IF($C62="","",IFERROR(INDEX(품목마스터!$D$3:$D$302,MATCH($C62,품목마스터!$A$3:$A$302,0)),""))</f>
        <v/>
      </c>
      <c r="G62" s="9"/>
      <c r="H62" s="9"/>
      <c r="I62" s="13" t="str">
        <f aca="false">IF(OR($G62="",$H62=""),"",ROUND($G62*$H62,0))</f>
        <v/>
      </c>
      <c r="J62" s="7"/>
      <c r="K62" s="7"/>
      <c r="L62" s="14" t="str">
        <f aca="false">IF(OR($C62="",$G62=""),"",IF($B62="입고",$G62,IF($B62="출고",-$G62,$G62)))</f>
        <v/>
      </c>
      <c r="M62" s="13" t="str">
        <f aca="false">IF($C62="","",IFERROR(INDEX(품목마스터!$F$3:$F$302,MATCH($C62,품목마스터!$A$3:$A$302,0)),0)+SUMIFS($L$3:$L62,$C$3:$C62,$C62))</f>
        <v/>
      </c>
    </row>
    <row r="63" customFormat="false" ht="15" hidden="false" customHeight="true" outlineLevel="0" collapsed="false">
      <c r="A63" s="11"/>
      <c r="B63" s="7"/>
      <c r="C63" s="7"/>
      <c r="D63" s="12" t="str">
        <f aca="false">IF($C63="","",IFERROR(INDEX(품목마스터!$B$3:$B$302,MATCH($C63,품목마스터!$A$3:$A$302,0)),"미등록품번"))</f>
        <v/>
      </c>
      <c r="E63" s="12" t="str">
        <f aca="false">IF($C63="","",IFERROR(INDEX(품목마스터!$C$3:$C$302,MATCH($C63,품목마스터!$A$3:$A$302,0)),""))</f>
        <v/>
      </c>
      <c r="F63" s="12" t="str">
        <f aca="false">IF($C63="","",IFERROR(INDEX(품목마스터!$D$3:$D$302,MATCH($C63,품목마스터!$A$3:$A$302,0)),""))</f>
        <v/>
      </c>
      <c r="G63" s="9"/>
      <c r="H63" s="9"/>
      <c r="I63" s="13" t="str">
        <f aca="false">IF(OR($G63="",$H63=""),"",ROUND($G63*$H63,0))</f>
        <v/>
      </c>
      <c r="J63" s="7"/>
      <c r="K63" s="7"/>
      <c r="L63" s="14" t="str">
        <f aca="false">IF(OR($C63="",$G63=""),"",IF($B63="입고",$G63,IF($B63="출고",-$G63,$G63)))</f>
        <v/>
      </c>
      <c r="M63" s="13" t="str">
        <f aca="false">IF($C63="","",IFERROR(INDEX(품목마스터!$F$3:$F$302,MATCH($C63,품목마스터!$A$3:$A$302,0)),0)+SUMIFS($L$3:$L63,$C$3:$C63,$C63))</f>
        <v/>
      </c>
    </row>
    <row r="64" customFormat="false" ht="15" hidden="false" customHeight="true" outlineLevel="0" collapsed="false">
      <c r="A64" s="11"/>
      <c r="B64" s="7"/>
      <c r="C64" s="7"/>
      <c r="D64" s="12" t="str">
        <f aca="false">IF($C64="","",IFERROR(INDEX(품목마스터!$B$3:$B$302,MATCH($C64,품목마스터!$A$3:$A$302,0)),"미등록품번"))</f>
        <v/>
      </c>
      <c r="E64" s="12" t="str">
        <f aca="false">IF($C64="","",IFERROR(INDEX(품목마스터!$C$3:$C$302,MATCH($C64,품목마스터!$A$3:$A$302,0)),""))</f>
        <v/>
      </c>
      <c r="F64" s="12" t="str">
        <f aca="false">IF($C64="","",IFERROR(INDEX(품목마스터!$D$3:$D$302,MATCH($C64,품목마스터!$A$3:$A$302,0)),""))</f>
        <v/>
      </c>
      <c r="G64" s="9"/>
      <c r="H64" s="9"/>
      <c r="I64" s="13" t="str">
        <f aca="false">IF(OR($G64="",$H64=""),"",ROUND($G64*$H64,0))</f>
        <v/>
      </c>
      <c r="J64" s="7"/>
      <c r="K64" s="7"/>
      <c r="L64" s="14" t="str">
        <f aca="false">IF(OR($C64="",$G64=""),"",IF($B64="입고",$G64,IF($B64="출고",-$G64,$G64)))</f>
        <v/>
      </c>
      <c r="M64" s="13" t="str">
        <f aca="false">IF($C64="","",IFERROR(INDEX(품목마스터!$F$3:$F$302,MATCH($C64,품목마스터!$A$3:$A$302,0)),0)+SUMIFS($L$3:$L64,$C$3:$C64,$C64))</f>
        <v/>
      </c>
    </row>
    <row r="65" customFormat="false" ht="15" hidden="false" customHeight="true" outlineLevel="0" collapsed="false">
      <c r="A65" s="11"/>
      <c r="B65" s="7"/>
      <c r="C65" s="7"/>
      <c r="D65" s="12" t="str">
        <f aca="false">IF($C65="","",IFERROR(INDEX(품목마스터!$B$3:$B$302,MATCH($C65,품목마스터!$A$3:$A$302,0)),"미등록품번"))</f>
        <v/>
      </c>
      <c r="E65" s="12" t="str">
        <f aca="false">IF($C65="","",IFERROR(INDEX(품목마스터!$C$3:$C$302,MATCH($C65,품목마스터!$A$3:$A$302,0)),""))</f>
        <v/>
      </c>
      <c r="F65" s="12" t="str">
        <f aca="false">IF($C65="","",IFERROR(INDEX(품목마스터!$D$3:$D$302,MATCH($C65,품목마스터!$A$3:$A$302,0)),""))</f>
        <v/>
      </c>
      <c r="G65" s="9"/>
      <c r="H65" s="9"/>
      <c r="I65" s="13" t="str">
        <f aca="false">IF(OR($G65="",$H65=""),"",ROUND($G65*$H65,0))</f>
        <v/>
      </c>
      <c r="J65" s="7"/>
      <c r="K65" s="7"/>
      <c r="L65" s="14" t="str">
        <f aca="false">IF(OR($C65="",$G65=""),"",IF($B65="입고",$G65,IF($B65="출고",-$G65,$G65)))</f>
        <v/>
      </c>
      <c r="M65" s="13" t="str">
        <f aca="false">IF($C65="","",IFERROR(INDEX(품목마스터!$F$3:$F$302,MATCH($C65,품목마스터!$A$3:$A$302,0)),0)+SUMIFS($L$3:$L65,$C$3:$C65,$C65))</f>
        <v/>
      </c>
    </row>
    <row r="66" customFormat="false" ht="15" hidden="false" customHeight="true" outlineLevel="0" collapsed="false">
      <c r="A66" s="11"/>
      <c r="B66" s="7"/>
      <c r="C66" s="7"/>
      <c r="D66" s="12" t="str">
        <f aca="false">IF($C66="","",IFERROR(INDEX(품목마스터!$B$3:$B$302,MATCH($C66,품목마스터!$A$3:$A$302,0)),"미등록품번"))</f>
        <v/>
      </c>
      <c r="E66" s="12" t="str">
        <f aca="false">IF($C66="","",IFERROR(INDEX(품목마스터!$C$3:$C$302,MATCH($C66,품목마스터!$A$3:$A$302,0)),""))</f>
        <v/>
      </c>
      <c r="F66" s="12" t="str">
        <f aca="false">IF($C66="","",IFERROR(INDEX(품목마스터!$D$3:$D$302,MATCH($C66,품목마스터!$A$3:$A$302,0)),""))</f>
        <v/>
      </c>
      <c r="G66" s="9"/>
      <c r="H66" s="9"/>
      <c r="I66" s="13" t="str">
        <f aca="false">IF(OR($G66="",$H66=""),"",ROUND($G66*$H66,0))</f>
        <v/>
      </c>
      <c r="J66" s="7"/>
      <c r="K66" s="7"/>
      <c r="L66" s="14" t="str">
        <f aca="false">IF(OR($C66="",$G66=""),"",IF($B66="입고",$G66,IF($B66="출고",-$G66,$G66)))</f>
        <v/>
      </c>
      <c r="M66" s="13" t="str">
        <f aca="false">IF($C66="","",IFERROR(INDEX(품목마스터!$F$3:$F$302,MATCH($C66,품목마스터!$A$3:$A$302,0)),0)+SUMIFS($L$3:$L66,$C$3:$C66,$C66))</f>
        <v/>
      </c>
    </row>
    <row r="67" customFormat="false" ht="15" hidden="false" customHeight="true" outlineLevel="0" collapsed="false">
      <c r="A67" s="11"/>
      <c r="B67" s="7"/>
      <c r="C67" s="7"/>
      <c r="D67" s="12" t="str">
        <f aca="false">IF($C67="","",IFERROR(INDEX(품목마스터!$B$3:$B$302,MATCH($C67,품목마스터!$A$3:$A$302,0)),"미등록품번"))</f>
        <v/>
      </c>
      <c r="E67" s="12" t="str">
        <f aca="false">IF($C67="","",IFERROR(INDEX(품목마스터!$C$3:$C$302,MATCH($C67,품목마스터!$A$3:$A$302,0)),""))</f>
        <v/>
      </c>
      <c r="F67" s="12" t="str">
        <f aca="false">IF($C67="","",IFERROR(INDEX(품목마스터!$D$3:$D$302,MATCH($C67,품목마스터!$A$3:$A$302,0)),""))</f>
        <v/>
      </c>
      <c r="G67" s="9"/>
      <c r="H67" s="9"/>
      <c r="I67" s="13" t="str">
        <f aca="false">IF(OR($G67="",$H67=""),"",ROUND($G67*$H67,0))</f>
        <v/>
      </c>
      <c r="J67" s="7"/>
      <c r="K67" s="7"/>
      <c r="L67" s="14" t="str">
        <f aca="false">IF(OR($C67="",$G67=""),"",IF($B67="입고",$G67,IF($B67="출고",-$G67,$G67)))</f>
        <v/>
      </c>
      <c r="M67" s="13" t="str">
        <f aca="false">IF($C67="","",IFERROR(INDEX(품목마스터!$F$3:$F$302,MATCH($C67,품목마스터!$A$3:$A$302,0)),0)+SUMIFS($L$3:$L67,$C$3:$C67,$C67))</f>
        <v/>
      </c>
    </row>
    <row r="68" customFormat="false" ht="15" hidden="false" customHeight="true" outlineLevel="0" collapsed="false">
      <c r="A68" s="11"/>
      <c r="B68" s="7"/>
      <c r="C68" s="7"/>
      <c r="D68" s="12" t="str">
        <f aca="false">IF($C68="","",IFERROR(INDEX(품목마스터!$B$3:$B$302,MATCH($C68,품목마스터!$A$3:$A$302,0)),"미등록품번"))</f>
        <v/>
      </c>
      <c r="E68" s="12" t="str">
        <f aca="false">IF($C68="","",IFERROR(INDEX(품목마스터!$C$3:$C$302,MATCH($C68,품목마스터!$A$3:$A$302,0)),""))</f>
        <v/>
      </c>
      <c r="F68" s="12" t="str">
        <f aca="false">IF($C68="","",IFERROR(INDEX(품목마스터!$D$3:$D$302,MATCH($C68,품목마스터!$A$3:$A$302,0)),""))</f>
        <v/>
      </c>
      <c r="G68" s="9"/>
      <c r="H68" s="9"/>
      <c r="I68" s="13" t="str">
        <f aca="false">IF(OR($G68="",$H68=""),"",ROUND($G68*$H68,0))</f>
        <v/>
      </c>
      <c r="J68" s="7"/>
      <c r="K68" s="7"/>
      <c r="L68" s="14" t="str">
        <f aca="false">IF(OR($C68="",$G68=""),"",IF($B68="입고",$G68,IF($B68="출고",-$G68,$G68)))</f>
        <v/>
      </c>
      <c r="M68" s="13" t="str">
        <f aca="false">IF($C68="","",IFERROR(INDEX(품목마스터!$F$3:$F$302,MATCH($C68,품목마스터!$A$3:$A$302,0)),0)+SUMIFS($L$3:$L68,$C$3:$C68,$C68))</f>
        <v/>
      </c>
    </row>
    <row r="69" customFormat="false" ht="15" hidden="false" customHeight="true" outlineLevel="0" collapsed="false">
      <c r="A69" s="11"/>
      <c r="B69" s="7"/>
      <c r="C69" s="7"/>
      <c r="D69" s="12" t="str">
        <f aca="false">IF($C69="","",IFERROR(INDEX(품목마스터!$B$3:$B$302,MATCH($C69,품목마스터!$A$3:$A$302,0)),"미등록품번"))</f>
        <v/>
      </c>
      <c r="E69" s="12" t="str">
        <f aca="false">IF($C69="","",IFERROR(INDEX(품목마스터!$C$3:$C$302,MATCH($C69,품목마스터!$A$3:$A$302,0)),""))</f>
        <v/>
      </c>
      <c r="F69" s="12" t="str">
        <f aca="false">IF($C69="","",IFERROR(INDEX(품목마스터!$D$3:$D$302,MATCH($C69,품목마스터!$A$3:$A$302,0)),""))</f>
        <v/>
      </c>
      <c r="G69" s="9"/>
      <c r="H69" s="9"/>
      <c r="I69" s="13" t="str">
        <f aca="false">IF(OR($G69="",$H69=""),"",ROUND($G69*$H69,0))</f>
        <v/>
      </c>
      <c r="J69" s="7"/>
      <c r="K69" s="7"/>
      <c r="L69" s="14" t="str">
        <f aca="false">IF(OR($C69="",$G69=""),"",IF($B69="입고",$G69,IF($B69="출고",-$G69,$G69)))</f>
        <v/>
      </c>
      <c r="M69" s="13" t="str">
        <f aca="false">IF($C69="","",IFERROR(INDEX(품목마스터!$F$3:$F$302,MATCH($C69,품목마스터!$A$3:$A$302,0)),0)+SUMIFS($L$3:$L69,$C$3:$C69,$C69))</f>
        <v/>
      </c>
    </row>
    <row r="70" customFormat="false" ht="15" hidden="false" customHeight="true" outlineLevel="0" collapsed="false">
      <c r="A70" s="11"/>
      <c r="B70" s="7"/>
      <c r="C70" s="7"/>
      <c r="D70" s="12" t="str">
        <f aca="false">IF($C70="","",IFERROR(INDEX(품목마스터!$B$3:$B$302,MATCH($C70,품목마스터!$A$3:$A$302,0)),"미등록품번"))</f>
        <v/>
      </c>
      <c r="E70" s="12" t="str">
        <f aca="false">IF($C70="","",IFERROR(INDEX(품목마스터!$C$3:$C$302,MATCH($C70,품목마스터!$A$3:$A$302,0)),""))</f>
        <v/>
      </c>
      <c r="F70" s="12" t="str">
        <f aca="false">IF($C70="","",IFERROR(INDEX(품목마스터!$D$3:$D$302,MATCH($C70,품목마스터!$A$3:$A$302,0)),""))</f>
        <v/>
      </c>
      <c r="G70" s="9"/>
      <c r="H70" s="9"/>
      <c r="I70" s="13" t="str">
        <f aca="false">IF(OR($G70="",$H70=""),"",ROUND($G70*$H70,0))</f>
        <v/>
      </c>
      <c r="J70" s="7"/>
      <c r="K70" s="7"/>
      <c r="L70" s="14" t="str">
        <f aca="false">IF(OR($C70="",$G70=""),"",IF($B70="입고",$G70,IF($B70="출고",-$G70,$G70)))</f>
        <v/>
      </c>
      <c r="M70" s="13" t="str">
        <f aca="false">IF($C70="","",IFERROR(INDEX(품목마스터!$F$3:$F$302,MATCH($C70,품목마스터!$A$3:$A$302,0)),0)+SUMIFS($L$3:$L70,$C$3:$C70,$C70))</f>
        <v/>
      </c>
    </row>
    <row r="71" customFormat="false" ht="15" hidden="false" customHeight="true" outlineLevel="0" collapsed="false">
      <c r="A71" s="11"/>
      <c r="B71" s="7"/>
      <c r="C71" s="7"/>
      <c r="D71" s="12" t="str">
        <f aca="false">IF($C71="","",IFERROR(INDEX(품목마스터!$B$3:$B$302,MATCH($C71,품목마스터!$A$3:$A$302,0)),"미등록품번"))</f>
        <v/>
      </c>
      <c r="E71" s="12" t="str">
        <f aca="false">IF($C71="","",IFERROR(INDEX(품목마스터!$C$3:$C$302,MATCH($C71,품목마스터!$A$3:$A$302,0)),""))</f>
        <v/>
      </c>
      <c r="F71" s="12" t="str">
        <f aca="false">IF($C71="","",IFERROR(INDEX(품목마스터!$D$3:$D$302,MATCH($C71,품목마스터!$A$3:$A$302,0)),""))</f>
        <v/>
      </c>
      <c r="G71" s="9"/>
      <c r="H71" s="9"/>
      <c r="I71" s="13" t="str">
        <f aca="false">IF(OR($G71="",$H71=""),"",ROUND($G71*$H71,0))</f>
        <v/>
      </c>
      <c r="J71" s="7"/>
      <c r="K71" s="7"/>
      <c r="L71" s="14" t="str">
        <f aca="false">IF(OR($C71="",$G71=""),"",IF($B71="입고",$G71,IF($B71="출고",-$G71,$G71)))</f>
        <v/>
      </c>
      <c r="M71" s="13" t="str">
        <f aca="false">IF($C71="","",IFERROR(INDEX(품목마스터!$F$3:$F$302,MATCH($C71,품목마스터!$A$3:$A$302,0)),0)+SUMIFS($L$3:$L71,$C$3:$C71,$C71))</f>
        <v/>
      </c>
    </row>
    <row r="72" customFormat="false" ht="15" hidden="false" customHeight="true" outlineLevel="0" collapsed="false">
      <c r="A72" s="11"/>
      <c r="B72" s="7"/>
      <c r="C72" s="7"/>
      <c r="D72" s="12" t="str">
        <f aca="false">IF($C72="","",IFERROR(INDEX(품목마스터!$B$3:$B$302,MATCH($C72,품목마스터!$A$3:$A$302,0)),"미등록품번"))</f>
        <v/>
      </c>
      <c r="E72" s="12" t="str">
        <f aca="false">IF($C72="","",IFERROR(INDEX(품목마스터!$C$3:$C$302,MATCH($C72,품목마스터!$A$3:$A$302,0)),""))</f>
        <v/>
      </c>
      <c r="F72" s="12" t="str">
        <f aca="false">IF($C72="","",IFERROR(INDEX(품목마스터!$D$3:$D$302,MATCH($C72,품목마스터!$A$3:$A$302,0)),""))</f>
        <v/>
      </c>
      <c r="G72" s="9"/>
      <c r="H72" s="9"/>
      <c r="I72" s="13" t="str">
        <f aca="false">IF(OR($G72="",$H72=""),"",ROUND($G72*$H72,0))</f>
        <v/>
      </c>
      <c r="J72" s="7"/>
      <c r="K72" s="7"/>
      <c r="L72" s="14" t="str">
        <f aca="false">IF(OR($C72="",$G72=""),"",IF($B72="입고",$G72,IF($B72="출고",-$G72,$G72)))</f>
        <v/>
      </c>
      <c r="M72" s="13" t="str">
        <f aca="false">IF($C72="","",IFERROR(INDEX(품목마스터!$F$3:$F$302,MATCH($C72,품목마스터!$A$3:$A$302,0)),0)+SUMIFS($L$3:$L72,$C$3:$C72,$C72))</f>
        <v/>
      </c>
    </row>
    <row r="73" customFormat="false" ht="15" hidden="false" customHeight="true" outlineLevel="0" collapsed="false">
      <c r="A73" s="11"/>
      <c r="B73" s="7"/>
      <c r="C73" s="7"/>
      <c r="D73" s="12" t="str">
        <f aca="false">IF($C73="","",IFERROR(INDEX(품목마스터!$B$3:$B$302,MATCH($C73,품목마스터!$A$3:$A$302,0)),"미등록품번"))</f>
        <v/>
      </c>
      <c r="E73" s="12" t="str">
        <f aca="false">IF($C73="","",IFERROR(INDEX(품목마스터!$C$3:$C$302,MATCH($C73,품목마스터!$A$3:$A$302,0)),""))</f>
        <v/>
      </c>
      <c r="F73" s="12" t="str">
        <f aca="false">IF($C73="","",IFERROR(INDEX(품목마스터!$D$3:$D$302,MATCH($C73,품목마스터!$A$3:$A$302,0)),""))</f>
        <v/>
      </c>
      <c r="G73" s="9"/>
      <c r="H73" s="9"/>
      <c r="I73" s="13" t="str">
        <f aca="false">IF(OR($G73="",$H73=""),"",ROUND($G73*$H73,0))</f>
        <v/>
      </c>
      <c r="J73" s="7"/>
      <c r="K73" s="7"/>
      <c r="L73" s="14" t="str">
        <f aca="false">IF(OR($C73="",$G73=""),"",IF($B73="입고",$G73,IF($B73="출고",-$G73,$G73)))</f>
        <v/>
      </c>
      <c r="M73" s="13" t="str">
        <f aca="false">IF($C73="","",IFERROR(INDEX(품목마스터!$F$3:$F$302,MATCH($C73,품목마스터!$A$3:$A$302,0)),0)+SUMIFS($L$3:$L73,$C$3:$C73,$C73))</f>
        <v/>
      </c>
    </row>
    <row r="74" customFormat="false" ht="15" hidden="false" customHeight="true" outlineLevel="0" collapsed="false">
      <c r="A74" s="11"/>
      <c r="B74" s="7"/>
      <c r="C74" s="7"/>
      <c r="D74" s="12" t="str">
        <f aca="false">IF($C74="","",IFERROR(INDEX(품목마스터!$B$3:$B$302,MATCH($C74,품목마스터!$A$3:$A$302,0)),"미등록품번"))</f>
        <v/>
      </c>
      <c r="E74" s="12" t="str">
        <f aca="false">IF($C74="","",IFERROR(INDEX(품목마스터!$C$3:$C$302,MATCH($C74,품목마스터!$A$3:$A$302,0)),""))</f>
        <v/>
      </c>
      <c r="F74" s="12" t="str">
        <f aca="false">IF($C74="","",IFERROR(INDEX(품목마스터!$D$3:$D$302,MATCH($C74,품목마스터!$A$3:$A$302,0)),""))</f>
        <v/>
      </c>
      <c r="G74" s="9"/>
      <c r="H74" s="9"/>
      <c r="I74" s="13" t="str">
        <f aca="false">IF(OR($G74="",$H74=""),"",ROUND($G74*$H74,0))</f>
        <v/>
      </c>
      <c r="J74" s="7"/>
      <c r="K74" s="7"/>
      <c r="L74" s="14" t="str">
        <f aca="false">IF(OR($C74="",$G74=""),"",IF($B74="입고",$G74,IF($B74="출고",-$G74,$G74)))</f>
        <v/>
      </c>
      <c r="M74" s="13" t="str">
        <f aca="false">IF($C74="","",IFERROR(INDEX(품목마스터!$F$3:$F$302,MATCH($C74,품목마스터!$A$3:$A$302,0)),0)+SUMIFS($L$3:$L74,$C$3:$C74,$C74))</f>
        <v/>
      </c>
    </row>
    <row r="75" customFormat="false" ht="15" hidden="false" customHeight="true" outlineLevel="0" collapsed="false">
      <c r="A75" s="11"/>
      <c r="B75" s="7"/>
      <c r="C75" s="7"/>
      <c r="D75" s="12" t="str">
        <f aca="false">IF($C75="","",IFERROR(INDEX(품목마스터!$B$3:$B$302,MATCH($C75,품목마스터!$A$3:$A$302,0)),"미등록품번"))</f>
        <v/>
      </c>
      <c r="E75" s="12" t="str">
        <f aca="false">IF($C75="","",IFERROR(INDEX(품목마스터!$C$3:$C$302,MATCH($C75,품목마스터!$A$3:$A$302,0)),""))</f>
        <v/>
      </c>
      <c r="F75" s="12" t="str">
        <f aca="false">IF($C75="","",IFERROR(INDEX(품목마스터!$D$3:$D$302,MATCH($C75,품목마스터!$A$3:$A$302,0)),""))</f>
        <v/>
      </c>
      <c r="G75" s="9"/>
      <c r="H75" s="9"/>
      <c r="I75" s="13" t="str">
        <f aca="false">IF(OR($G75="",$H75=""),"",ROUND($G75*$H75,0))</f>
        <v/>
      </c>
      <c r="J75" s="7"/>
      <c r="K75" s="7"/>
      <c r="L75" s="14" t="str">
        <f aca="false">IF(OR($C75="",$G75=""),"",IF($B75="입고",$G75,IF($B75="출고",-$G75,$G75)))</f>
        <v/>
      </c>
      <c r="M75" s="13" t="str">
        <f aca="false">IF($C75="","",IFERROR(INDEX(품목마스터!$F$3:$F$302,MATCH($C75,품목마스터!$A$3:$A$302,0)),0)+SUMIFS($L$3:$L75,$C$3:$C75,$C75))</f>
        <v/>
      </c>
    </row>
    <row r="76" customFormat="false" ht="15" hidden="false" customHeight="true" outlineLevel="0" collapsed="false">
      <c r="A76" s="11"/>
      <c r="B76" s="7"/>
      <c r="C76" s="7"/>
      <c r="D76" s="12" t="str">
        <f aca="false">IF($C76="","",IFERROR(INDEX(품목마스터!$B$3:$B$302,MATCH($C76,품목마스터!$A$3:$A$302,0)),"미등록품번"))</f>
        <v/>
      </c>
      <c r="E76" s="12" t="str">
        <f aca="false">IF($C76="","",IFERROR(INDEX(품목마스터!$C$3:$C$302,MATCH($C76,품목마스터!$A$3:$A$302,0)),""))</f>
        <v/>
      </c>
      <c r="F76" s="12" t="str">
        <f aca="false">IF($C76="","",IFERROR(INDEX(품목마스터!$D$3:$D$302,MATCH($C76,품목마스터!$A$3:$A$302,0)),""))</f>
        <v/>
      </c>
      <c r="G76" s="9"/>
      <c r="H76" s="9"/>
      <c r="I76" s="13" t="str">
        <f aca="false">IF(OR($G76="",$H76=""),"",ROUND($G76*$H76,0))</f>
        <v/>
      </c>
      <c r="J76" s="7"/>
      <c r="K76" s="7"/>
      <c r="L76" s="14" t="str">
        <f aca="false">IF(OR($C76="",$G76=""),"",IF($B76="입고",$G76,IF($B76="출고",-$G76,$G76)))</f>
        <v/>
      </c>
      <c r="M76" s="13" t="str">
        <f aca="false">IF($C76="","",IFERROR(INDEX(품목마스터!$F$3:$F$302,MATCH($C76,품목마스터!$A$3:$A$302,0)),0)+SUMIFS($L$3:$L76,$C$3:$C76,$C76))</f>
        <v/>
      </c>
    </row>
    <row r="77" customFormat="false" ht="15" hidden="false" customHeight="true" outlineLevel="0" collapsed="false">
      <c r="A77" s="11"/>
      <c r="B77" s="7"/>
      <c r="C77" s="7"/>
      <c r="D77" s="12" t="str">
        <f aca="false">IF($C77="","",IFERROR(INDEX(품목마스터!$B$3:$B$302,MATCH($C77,품목마스터!$A$3:$A$302,0)),"미등록품번"))</f>
        <v/>
      </c>
      <c r="E77" s="12" t="str">
        <f aca="false">IF($C77="","",IFERROR(INDEX(품목마스터!$C$3:$C$302,MATCH($C77,품목마스터!$A$3:$A$302,0)),""))</f>
        <v/>
      </c>
      <c r="F77" s="12" t="str">
        <f aca="false">IF($C77="","",IFERROR(INDEX(품목마스터!$D$3:$D$302,MATCH($C77,품목마스터!$A$3:$A$302,0)),""))</f>
        <v/>
      </c>
      <c r="G77" s="9"/>
      <c r="H77" s="9"/>
      <c r="I77" s="13" t="str">
        <f aca="false">IF(OR($G77="",$H77=""),"",ROUND($G77*$H77,0))</f>
        <v/>
      </c>
      <c r="J77" s="7"/>
      <c r="K77" s="7"/>
      <c r="L77" s="14" t="str">
        <f aca="false">IF(OR($C77="",$G77=""),"",IF($B77="입고",$G77,IF($B77="출고",-$G77,$G77)))</f>
        <v/>
      </c>
      <c r="M77" s="13" t="str">
        <f aca="false">IF($C77="","",IFERROR(INDEX(품목마스터!$F$3:$F$302,MATCH($C77,품목마스터!$A$3:$A$302,0)),0)+SUMIFS($L$3:$L77,$C$3:$C77,$C77))</f>
        <v/>
      </c>
    </row>
    <row r="78" customFormat="false" ht="15" hidden="false" customHeight="true" outlineLevel="0" collapsed="false">
      <c r="A78" s="11"/>
      <c r="B78" s="7"/>
      <c r="C78" s="7"/>
      <c r="D78" s="12" t="str">
        <f aca="false">IF($C78="","",IFERROR(INDEX(품목마스터!$B$3:$B$302,MATCH($C78,품목마스터!$A$3:$A$302,0)),"미등록품번"))</f>
        <v/>
      </c>
      <c r="E78" s="12" t="str">
        <f aca="false">IF($C78="","",IFERROR(INDEX(품목마스터!$C$3:$C$302,MATCH($C78,품목마스터!$A$3:$A$302,0)),""))</f>
        <v/>
      </c>
      <c r="F78" s="12" t="str">
        <f aca="false">IF($C78="","",IFERROR(INDEX(품목마스터!$D$3:$D$302,MATCH($C78,품목마스터!$A$3:$A$302,0)),""))</f>
        <v/>
      </c>
      <c r="G78" s="9"/>
      <c r="H78" s="9"/>
      <c r="I78" s="13" t="str">
        <f aca="false">IF(OR($G78="",$H78=""),"",ROUND($G78*$H78,0))</f>
        <v/>
      </c>
      <c r="J78" s="7"/>
      <c r="K78" s="7"/>
      <c r="L78" s="14" t="str">
        <f aca="false">IF(OR($C78="",$G78=""),"",IF($B78="입고",$G78,IF($B78="출고",-$G78,$G78)))</f>
        <v/>
      </c>
      <c r="M78" s="13" t="str">
        <f aca="false">IF($C78="","",IFERROR(INDEX(품목마스터!$F$3:$F$302,MATCH($C78,품목마스터!$A$3:$A$302,0)),0)+SUMIFS($L$3:$L78,$C$3:$C78,$C78))</f>
        <v/>
      </c>
    </row>
    <row r="79" customFormat="false" ht="15" hidden="false" customHeight="true" outlineLevel="0" collapsed="false">
      <c r="A79" s="11"/>
      <c r="B79" s="7"/>
      <c r="C79" s="7"/>
      <c r="D79" s="12" t="str">
        <f aca="false">IF($C79="","",IFERROR(INDEX(품목마스터!$B$3:$B$302,MATCH($C79,품목마스터!$A$3:$A$302,0)),"미등록품번"))</f>
        <v/>
      </c>
      <c r="E79" s="12" t="str">
        <f aca="false">IF($C79="","",IFERROR(INDEX(품목마스터!$C$3:$C$302,MATCH($C79,품목마스터!$A$3:$A$302,0)),""))</f>
        <v/>
      </c>
      <c r="F79" s="12" t="str">
        <f aca="false">IF($C79="","",IFERROR(INDEX(품목마스터!$D$3:$D$302,MATCH($C79,품목마스터!$A$3:$A$302,0)),""))</f>
        <v/>
      </c>
      <c r="G79" s="9"/>
      <c r="H79" s="9"/>
      <c r="I79" s="13" t="str">
        <f aca="false">IF(OR($G79="",$H79=""),"",ROUND($G79*$H79,0))</f>
        <v/>
      </c>
      <c r="J79" s="7"/>
      <c r="K79" s="7"/>
      <c r="L79" s="14" t="str">
        <f aca="false">IF(OR($C79="",$G79=""),"",IF($B79="입고",$G79,IF($B79="출고",-$G79,$G79)))</f>
        <v/>
      </c>
      <c r="M79" s="13" t="str">
        <f aca="false">IF($C79="","",IFERROR(INDEX(품목마스터!$F$3:$F$302,MATCH($C79,품목마스터!$A$3:$A$302,0)),0)+SUMIFS($L$3:$L79,$C$3:$C79,$C79))</f>
        <v/>
      </c>
    </row>
    <row r="80" customFormat="false" ht="15" hidden="false" customHeight="true" outlineLevel="0" collapsed="false">
      <c r="A80" s="11"/>
      <c r="B80" s="7"/>
      <c r="C80" s="7"/>
      <c r="D80" s="12" t="str">
        <f aca="false">IF($C80="","",IFERROR(INDEX(품목마스터!$B$3:$B$302,MATCH($C80,품목마스터!$A$3:$A$302,0)),"미등록품번"))</f>
        <v/>
      </c>
      <c r="E80" s="12" t="str">
        <f aca="false">IF($C80="","",IFERROR(INDEX(품목마스터!$C$3:$C$302,MATCH($C80,품목마스터!$A$3:$A$302,0)),""))</f>
        <v/>
      </c>
      <c r="F80" s="12" t="str">
        <f aca="false">IF($C80="","",IFERROR(INDEX(품목마스터!$D$3:$D$302,MATCH($C80,품목마스터!$A$3:$A$302,0)),""))</f>
        <v/>
      </c>
      <c r="G80" s="9"/>
      <c r="H80" s="9"/>
      <c r="I80" s="13" t="str">
        <f aca="false">IF(OR($G80="",$H80=""),"",ROUND($G80*$H80,0))</f>
        <v/>
      </c>
      <c r="J80" s="7"/>
      <c r="K80" s="7"/>
      <c r="L80" s="14" t="str">
        <f aca="false">IF(OR($C80="",$G80=""),"",IF($B80="입고",$G80,IF($B80="출고",-$G80,$G80)))</f>
        <v/>
      </c>
      <c r="M80" s="13" t="str">
        <f aca="false">IF($C80="","",IFERROR(INDEX(품목마스터!$F$3:$F$302,MATCH($C80,품목마스터!$A$3:$A$302,0)),0)+SUMIFS($L$3:$L80,$C$3:$C80,$C80))</f>
        <v/>
      </c>
    </row>
    <row r="81" customFormat="false" ht="15" hidden="false" customHeight="true" outlineLevel="0" collapsed="false">
      <c r="A81" s="11"/>
      <c r="B81" s="7"/>
      <c r="C81" s="7"/>
      <c r="D81" s="12" t="str">
        <f aca="false">IF($C81="","",IFERROR(INDEX(품목마스터!$B$3:$B$302,MATCH($C81,품목마스터!$A$3:$A$302,0)),"미등록품번"))</f>
        <v/>
      </c>
      <c r="E81" s="12" t="str">
        <f aca="false">IF($C81="","",IFERROR(INDEX(품목마스터!$C$3:$C$302,MATCH($C81,품목마스터!$A$3:$A$302,0)),""))</f>
        <v/>
      </c>
      <c r="F81" s="12" t="str">
        <f aca="false">IF($C81="","",IFERROR(INDEX(품목마스터!$D$3:$D$302,MATCH($C81,품목마스터!$A$3:$A$302,0)),""))</f>
        <v/>
      </c>
      <c r="G81" s="9"/>
      <c r="H81" s="9"/>
      <c r="I81" s="13" t="str">
        <f aca="false">IF(OR($G81="",$H81=""),"",ROUND($G81*$H81,0))</f>
        <v/>
      </c>
      <c r="J81" s="7"/>
      <c r="K81" s="7"/>
      <c r="L81" s="14" t="str">
        <f aca="false">IF(OR($C81="",$G81=""),"",IF($B81="입고",$G81,IF($B81="출고",-$G81,$G81)))</f>
        <v/>
      </c>
      <c r="M81" s="13" t="str">
        <f aca="false">IF($C81="","",IFERROR(INDEX(품목마스터!$F$3:$F$302,MATCH($C81,품목마스터!$A$3:$A$302,0)),0)+SUMIFS($L$3:$L81,$C$3:$C81,$C81))</f>
        <v/>
      </c>
    </row>
    <row r="82" customFormat="false" ht="15" hidden="false" customHeight="true" outlineLevel="0" collapsed="false">
      <c r="A82" s="11"/>
      <c r="B82" s="7"/>
      <c r="C82" s="7"/>
      <c r="D82" s="12" t="str">
        <f aca="false">IF($C82="","",IFERROR(INDEX(품목마스터!$B$3:$B$302,MATCH($C82,품목마스터!$A$3:$A$302,0)),"미등록품번"))</f>
        <v/>
      </c>
      <c r="E82" s="12" t="str">
        <f aca="false">IF($C82="","",IFERROR(INDEX(품목마스터!$C$3:$C$302,MATCH($C82,품목마스터!$A$3:$A$302,0)),""))</f>
        <v/>
      </c>
      <c r="F82" s="12" t="str">
        <f aca="false">IF($C82="","",IFERROR(INDEX(품목마스터!$D$3:$D$302,MATCH($C82,품목마스터!$A$3:$A$302,0)),""))</f>
        <v/>
      </c>
      <c r="G82" s="9"/>
      <c r="H82" s="9"/>
      <c r="I82" s="13" t="str">
        <f aca="false">IF(OR($G82="",$H82=""),"",ROUND($G82*$H82,0))</f>
        <v/>
      </c>
      <c r="J82" s="7"/>
      <c r="K82" s="7"/>
      <c r="L82" s="14" t="str">
        <f aca="false">IF(OR($C82="",$G82=""),"",IF($B82="입고",$G82,IF($B82="출고",-$G82,$G82)))</f>
        <v/>
      </c>
      <c r="M82" s="13" t="str">
        <f aca="false">IF($C82="","",IFERROR(INDEX(품목마스터!$F$3:$F$302,MATCH($C82,품목마스터!$A$3:$A$302,0)),0)+SUMIFS($L$3:$L82,$C$3:$C82,$C82))</f>
        <v/>
      </c>
    </row>
    <row r="83" customFormat="false" ht="15" hidden="false" customHeight="true" outlineLevel="0" collapsed="false">
      <c r="A83" s="11"/>
      <c r="B83" s="7"/>
      <c r="C83" s="7"/>
      <c r="D83" s="12" t="str">
        <f aca="false">IF($C83="","",IFERROR(INDEX(품목마스터!$B$3:$B$302,MATCH($C83,품목마스터!$A$3:$A$302,0)),"미등록품번"))</f>
        <v/>
      </c>
      <c r="E83" s="12" t="str">
        <f aca="false">IF($C83="","",IFERROR(INDEX(품목마스터!$C$3:$C$302,MATCH($C83,품목마스터!$A$3:$A$302,0)),""))</f>
        <v/>
      </c>
      <c r="F83" s="12" t="str">
        <f aca="false">IF($C83="","",IFERROR(INDEX(품목마스터!$D$3:$D$302,MATCH($C83,품목마스터!$A$3:$A$302,0)),""))</f>
        <v/>
      </c>
      <c r="G83" s="9"/>
      <c r="H83" s="9"/>
      <c r="I83" s="13" t="str">
        <f aca="false">IF(OR($G83="",$H83=""),"",ROUND($G83*$H83,0))</f>
        <v/>
      </c>
      <c r="J83" s="7"/>
      <c r="K83" s="7"/>
      <c r="L83" s="14" t="str">
        <f aca="false">IF(OR($C83="",$G83=""),"",IF($B83="입고",$G83,IF($B83="출고",-$G83,$G83)))</f>
        <v/>
      </c>
      <c r="M83" s="13" t="str">
        <f aca="false">IF($C83="","",IFERROR(INDEX(품목마스터!$F$3:$F$302,MATCH($C83,품목마스터!$A$3:$A$302,0)),0)+SUMIFS($L$3:$L83,$C$3:$C83,$C83))</f>
        <v/>
      </c>
    </row>
    <row r="84" customFormat="false" ht="15" hidden="false" customHeight="true" outlineLevel="0" collapsed="false">
      <c r="A84" s="11"/>
      <c r="B84" s="7"/>
      <c r="C84" s="7"/>
      <c r="D84" s="12" t="str">
        <f aca="false">IF($C84="","",IFERROR(INDEX(품목마스터!$B$3:$B$302,MATCH($C84,품목마스터!$A$3:$A$302,0)),"미등록품번"))</f>
        <v/>
      </c>
      <c r="E84" s="12" t="str">
        <f aca="false">IF($C84="","",IFERROR(INDEX(품목마스터!$C$3:$C$302,MATCH($C84,품목마스터!$A$3:$A$302,0)),""))</f>
        <v/>
      </c>
      <c r="F84" s="12" t="str">
        <f aca="false">IF($C84="","",IFERROR(INDEX(품목마스터!$D$3:$D$302,MATCH($C84,품목마스터!$A$3:$A$302,0)),""))</f>
        <v/>
      </c>
      <c r="G84" s="9"/>
      <c r="H84" s="9"/>
      <c r="I84" s="13" t="str">
        <f aca="false">IF(OR($G84="",$H84=""),"",ROUND($G84*$H84,0))</f>
        <v/>
      </c>
      <c r="J84" s="7"/>
      <c r="K84" s="7"/>
      <c r="L84" s="14" t="str">
        <f aca="false">IF(OR($C84="",$G84=""),"",IF($B84="입고",$G84,IF($B84="출고",-$G84,$G84)))</f>
        <v/>
      </c>
      <c r="M84" s="13" t="str">
        <f aca="false">IF($C84="","",IFERROR(INDEX(품목마스터!$F$3:$F$302,MATCH($C84,품목마스터!$A$3:$A$302,0)),0)+SUMIFS($L$3:$L84,$C$3:$C84,$C84))</f>
        <v/>
      </c>
    </row>
    <row r="85" customFormat="false" ht="15" hidden="false" customHeight="true" outlineLevel="0" collapsed="false">
      <c r="A85" s="11"/>
      <c r="B85" s="7"/>
      <c r="C85" s="7"/>
      <c r="D85" s="12" t="str">
        <f aca="false">IF($C85="","",IFERROR(INDEX(품목마스터!$B$3:$B$302,MATCH($C85,품목마스터!$A$3:$A$302,0)),"미등록품번"))</f>
        <v/>
      </c>
      <c r="E85" s="12" t="str">
        <f aca="false">IF($C85="","",IFERROR(INDEX(품목마스터!$C$3:$C$302,MATCH($C85,품목마스터!$A$3:$A$302,0)),""))</f>
        <v/>
      </c>
      <c r="F85" s="12" t="str">
        <f aca="false">IF($C85="","",IFERROR(INDEX(품목마스터!$D$3:$D$302,MATCH($C85,품목마스터!$A$3:$A$302,0)),""))</f>
        <v/>
      </c>
      <c r="G85" s="9"/>
      <c r="H85" s="9"/>
      <c r="I85" s="13" t="str">
        <f aca="false">IF(OR($G85="",$H85=""),"",ROUND($G85*$H85,0))</f>
        <v/>
      </c>
      <c r="J85" s="7"/>
      <c r="K85" s="7"/>
      <c r="L85" s="14" t="str">
        <f aca="false">IF(OR($C85="",$G85=""),"",IF($B85="입고",$G85,IF($B85="출고",-$G85,$G85)))</f>
        <v/>
      </c>
      <c r="M85" s="13" t="str">
        <f aca="false">IF($C85="","",IFERROR(INDEX(품목마스터!$F$3:$F$302,MATCH($C85,품목마스터!$A$3:$A$302,0)),0)+SUMIFS($L$3:$L85,$C$3:$C85,$C85))</f>
        <v/>
      </c>
    </row>
    <row r="86" customFormat="false" ht="15" hidden="false" customHeight="true" outlineLevel="0" collapsed="false">
      <c r="A86" s="11"/>
      <c r="B86" s="7"/>
      <c r="C86" s="7"/>
      <c r="D86" s="12" t="str">
        <f aca="false">IF($C86="","",IFERROR(INDEX(품목마스터!$B$3:$B$302,MATCH($C86,품목마스터!$A$3:$A$302,0)),"미등록품번"))</f>
        <v/>
      </c>
      <c r="E86" s="12" t="str">
        <f aca="false">IF($C86="","",IFERROR(INDEX(품목마스터!$C$3:$C$302,MATCH($C86,품목마스터!$A$3:$A$302,0)),""))</f>
        <v/>
      </c>
      <c r="F86" s="12" t="str">
        <f aca="false">IF($C86="","",IFERROR(INDEX(품목마스터!$D$3:$D$302,MATCH($C86,품목마스터!$A$3:$A$302,0)),""))</f>
        <v/>
      </c>
      <c r="G86" s="9"/>
      <c r="H86" s="9"/>
      <c r="I86" s="13" t="str">
        <f aca="false">IF(OR($G86="",$H86=""),"",ROUND($G86*$H86,0))</f>
        <v/>
      </c>
      <c r="J86" s="7"/>
      <c r="K86" s="7"/>
      <c r="L86" s="14" t="str">
        <f aca="false">IF(OR($C86="",$G86=""),"",IF($B86="입고",$G86,IF($B86="출고",-$G86,$G86)))</f>
        <v/>
      </c>
      <c r="M86" s="13" t="str">
        <f aca="false">IF($C86="","",IFERROR(INDEX(품목마스터!$F$3:$F$302,MATCH($C86,품목마스터!$A$3:$A$302,0)),0)+SUMIFS($L$3:$L86,$C$3:$C86,$C86))</f>
        <v/>
      </c>
    </row>
    <row r="87" customFormat="false" ht="15" hidden="false" customHeight="true" outlineLevel="0" collapsed="false">
      <c r="A87" s="11"/>
      <c r="B87" s="7"/>
      <c r="C87" s="7"/>
      <c r="D87" s="12" t="str">
        <f aca="false">IF($C87="","",IFERROR(INDEX(품목마스터!$B$3:$B$302,MATCH($C87,품목마스터!$A$3:$A$302,0)),"미등록품번"))</f>
        <v/>
      </c>
      <c r="E87" s="12" t="str">
        <f aca="false">IF($C87="","",IFERROR(INDEX(품목마스터!$C$3:$C$302,MATCH($C87,품목마스터!$A$3:$A$302,0)),""))</f>
        <v/>
      </c>
      <c r="F87" s="12" t="str">
        <f aca="false">IF($C87="","",IFERROR(INDEX(품목마스터!$D$3:$D$302,MATCH($C87,품목마스터!$A$3:$A$302,0)),""))</f>
        <v/>
      </c>
      <c r="G87" s="9"/>
      <c r="H87" s="9"/>
      <c r="I87" s="13" t="str">
        <f aca="false">IF(OR($G87="",$H87=""),"",ROUND($G87*$H87,0))</f>
        <v/>
      </c>
      <c r="J87" s="7"/>
      <c r="K87" s="7"/>
      <c r="L87" s="14" t="str">
        <f aca="false">IF(OR($C87="",$G87=""),"",IF($B87="입고",$G87,IF($B87="출고",-$G87,$G87)))</f>
        <v/>
      </c>
      <c r="M87" s="13" t="str">
        <f aca="false">IF($C87="","",IFERROR(INDEX(품목마스터!$F$3:$F$302,MATCH($C87,품목마스터!$A$3:$A$302,0)),0)+SUMIFS($L$3:$L87,$C$3:$C87,$C87))</f>
        <v/>
      </c>
    </row>
    <row r="88" customFormat="false" ht="15" hidden="false" customHeight="true" outlineLevel="0" collapsed="false">
      <c r="A88" s="11"/>
      <c r="B88" s="7"/>
      <c r="C88" s="7"/>
      <c r="D88" s="12" t="str">
        <f aca="false">IF($C88="","",IFERROR(INDEX(품목마스터!$B$3:$B$302,MATCH($C88,품목마스터!$A$3:$A$302,0)),"미등록품번"))</f>
        <v/>
      </c>
      <c r="E88" s="12" t="str">
        <f aca="false">IF($C88="","",IFERROR(INDEX(품목마스터!$C$3:$C$302,MATCH($C88,품목마스터!$A$3:$A$302,0)),""))</f>
        <v/>
      </c>
      <c r="F88" s="12" t="str">
        <f aca="false">IF($C88="","",IFERROR(INDEX(품목마스터!$D$3:$D$302,MATCH($C88,품목마스터!$A$3:$A$302,0)),""))</f>
        <v/>
      </c>
      <c r="G88" s="9"/>
      <c r="H88" s="9"/>
      <c r="I88" s="13" t="str">
        <f aca="false">IF(OR($G88="",$H88=""),"",ROUND($G88*$H88,0))</f>
        <v/>
      </c>
      <c r="J88" s="7"/>
      <c r="K88" s="7"/>
      <c r="L88" s="14" t="str">
        <f aca="false">IF(OR($C88="",$G88=""),"",IF($B88="입고",$G88,IF($B88="출고",-$G88,$G88)))</f>
        <v/>
      </c>
      <c r="M88" s="13" t="str">
        <f aca="false">IF($C88="","",IFERROR(INDEX(품목마스터!$F$3:$F$302,MATCH($C88,품목마스터!$A$3:$A$302,0)),0)+SUMIFS($L$3:$L88,$C$3:$C88,$C88))</f>
        <v/>
      </c>
    </row>
    <row r="89" customFormat="false" ht="15" hidden="false" customHeight="true" outlineLevel="0" collapsed="false">
      <c r="A89" s="11"/>
      <c r="B89" s="7"/>
      <c r="C89" s="7"/>
      <c r="D89" s="12" t="str">
        <f aca="false">IF($C89="","",IFERROR(INDEX(품목마스터!$B$3:$B$302,MATCH($C89,품목마스터!$A$3:$A$302,0)),"미등록품번"))</f>
        <v/>
      </c>
      <c r="E89" s="12" t="str">
        <f aca="false">IF($C89="","",IFERROR(INDEX(품목마스터!$C$3:$C$302,MATCH($C89,품목마스터!$A$3:$A$302,0)),""))</f>
        <v/>
      </c>
      <c r="F89" s="12" t="str">
        <f aca="false">IF($C89="","",IFERROR(INDEX(품목마스터!$D$3:$D$302,MATCH($C89,품목마스터!$A$3:$A$302,0)),""))</f>
        <v/>
      </c>
      <c r="G89" s="9"/>
      <c r="H89" s="9"/>
      <c r="I89" s="13" t="str">
        <f aca="false">IF(OR($G89="",$H89=""),"",ROUND($G89*$H89,0))</f>
        <v/>
      </c>
      <c r="J89" s="7"/>
      <c r="K89" s="7"/>
      <c r="L89" s="14" t="str">
        <f aca="false">IF(OR($C89="",$G89=""),"",IF($B89="입고",$G89,IF($B89="출고",-$G89,$G89)))</f>
        <v/>
      </c>
      <c r="M89" s="13" t="str">
        <f aca="false">IF($C89="","",IFERROR(INDEX(품목마스터!$F$3:$F$302,MATCH($C89,품목마스터!$A$3:$A$302,0)),0)+SUMIFS($L$3:$L89,$C$3:$C89,$C89))</f>
        <v/>
      </c>
    </row>
    <row r="90" customFormat="false" ht="15" hidden="false" customHeight="true" outlineLevel="0" collapsed="false">
      <c r="A90" s="11"/>
      <c r="B90" s="7"/>
      <c r="C90" s="7"/>
      <c r="D90" s="12" t="str">
        <f aca="false">IF($C90="","",IFERROR(INDEX(품목마스터!$B$3:$B$302,MATCH($C90,품목마스터!$A$3:$A$302,0)),"미등록품번"))</f>
        <v/>
      </c>
      <c r="E90" s="12" t="str">
        <f aca="false">IF($C90="","",IFERROR(INDEX(품목마스터!$C$3:$C$302,MATCH($C90,품목마스터!$A$3:$A$302,0)),""))</f>
        <v/>
      </c>
      <c r="F90" s="12" t="str">
        <f aca="false">IF($C90="","",IFERROR(INDEX(품목마스터!$D$3:$D$302,MATCH($C90,품목마스터!$A$3:$A$302,0)),""))</f>
        <v/>
      </c>
      <c r="G90" s="9"/>
      <c r="H90" s="9"/>
      <c r="I90" s="13" t="str">
        <f aca="false">IF(OR($G90="",$H90=""),"",ROUND($G90*$H90,0))</f>
        <v/>
      </c>
      <c r="J90" s="7"/>
      <c r="K90" s="7"/>
      <c r="L90" s="14" t="str">
        <f aca="false">IF(OR($C90="",$G90=""),"",IF($B90="입고",$G90,IF($B90="출고",-$G90,$G90)))</f>
        <v/>
      </c>
      <c r="M90" s="13" t="str">
        <f aca="false">IF($C90="","",IFERROR(INDEX(품목마스터!$F$3:$F$302,MATCH($C90,품목마스터!$A$3:$A$302,0)),0)+SUMIFS($L$3:$L90,$C$3:$C90,$C90))</f>
        <v/>
      </c>
    </row>
    <row r="91" customFormat="false" ht="15" hidden="false" customHeight="true" outlineLevel="0" collapsed="false">
      <c r="A91" s="11"/>
      <c r="B91" s="7"/>
      <c r="C91" s="7"/>
      <c r="D91" s="12" t="str">
        <f aca="false">IF($C91="","",IFERROR(INDEX(품목마스터!$B$3:$B$302,MATCH($C91,품목마스터!$A$3:$A$302,0)),"미등록품번"))</f>
        <v/>
      </c>
      <c r="E91" s="12" t="str">
        <f aca="false">IF($C91="","",IFERROR(INDEX(품목마스터!$C$3:$C$302,MATCH($C91,품목마스터!$A$3:$A$302,0)),""))</f>
        <v/>
      </c>
      <c r="F91" s="12" t="str">
        <f aca="false">IF($C91="","",IFERROR(INDEX(품목마스터!$D$3:$D$302,MATCH($C91,품목마스터!$A$3:$A$302,0)),""))</f>
        <v/>
      </c>
      <c r="G91" s="9"/>
      <c r="H91" s="9"/>
      <c r="I91" s="13" t="str">
        <f aca="false">IF(OR($G91="",$H91=""),"",ROUND($G91*$H91,0))</f>
        <v/>
      </c>
      <c r="J91" s="7"/>
      <c r="K91" s="7"/>
      <c r="L91" s="14" t="str">
        <f aca="false">IF(OR($C91="",$G91=""),"",IF($B91="입고",$G91,IF($B91="출고",-$G91,$G91)))</f>
        <v/>
      </c>
      <c r="M91" s="13" t="str">
        <f aca="false">IF($C91="","",IFERROR(INDEX(품목마스터!$F$3:$F$302,MATCH($C91,품목마스터!$A$3:$A$302,0)),0)+SUMIFS($L$3:$L91,$C$3:$C91,$C91))</f>
        <v/>
      </c>
    </row>
    <row r="92" customFormat="false" ht="15" hidden="false" customHeight="true" outlineLevel="0" collapsed="false">
      <c r="A92" s="11"/>
      <c r="B92" s="7"/>
      <c r="C92" s="7"/>
      <c r="D92" s="12" t="str">
        <f aca="false">IF($C92="","",IFERROR(INDEX(품목마스터!$B$3:$B$302,MATCH($C92,품목마스터!$A$3:$A$302,0)),"미등록품번"))</f>
        <v/>
      </c>
      <c r="E92" s="12" t="str">
        <f aca="false">IF($C92="","",IFERROR(INDEX(품목마스터!$C$3:$C$302,MATCH($C92,품목마스터!$A$3:$A$302,0)),""))</f>
        <v/>
      </c>
      <c r="F92" s="12" t="str">
        <f aca="false">IF($C92="","",IFERROR(INDEX(품목마스터!$D$3:$D$302,MATCH($C92,품목마스터!$A$3:$A$302,0)),""))</f>
        <v/>
      </c>
      <c r="G92" s="9"/>
      <c r="H92" s="9"/>
      <c r="I92" s="13" t="str">
        <f aca="false">IF(OR($G92="",$H92=""),"",ROUND($G92*$H92,0))</f>
        <v/>
      </c>
      <c r="J92" s="7"/>
      <c r="K92" s="7"/>
      <c r="L92" s="14" t="str">
        <f aca="false">IF(OR($C92="",$G92=""),"",IF($B92="입고",$G92,IF($B92="출고",-$G92,$G92)))</f>
        <v/>
      </c>
      <c r="M92" s="13" t="str">
        <f aca="false">IF($C92="","",IFERROR(INDEX(품목마스터!$F$3:$F$302,MATCH($C92,품목마스터!$A$3:$A$302,0)),0)+SUMIFS($L$3:$L92,$C$3:$C92,$C92))</f>
        <v/>
      </c>
    </row>
    <row r="93" customFormat="false" ht="15" hidden="false" customHeight="true" outlineLevel="0" collapsed="false">
      <c r="A93" s="11"/>
      <c r="B93" s="7"/>
      <c r="C93" s="7"/>
      <c r="D93" s="12" t="str">
        <f aca="false">IF($C93="","",IFERROR(INDEX(품목마스터!$B$3:$B$302,MATCH($C93,품목마스터!$A$3:$A$302,0)),"미등록품번"))</f>
        <v/>
      </c>
      <c r="E93" s="12" t="str">
        <f aca="false">IF($C93="","",IFERROR(INDEX(품목마스터!$C$3:$C$302,MATCH($C93,품목마스터!$A$3:$A$302,0)),""))</f>
        <v/>
      </c>
      <c r="F93" s="12" t="str">
        <f aca="false">IF($C93="","",IFERROR(INDEX(품목마스터!$D$3:$D$302,MATCH($C93,품목마스터!$A$3:$A$302,0)),""))</f>
        <v/>
      </c>
      <c r="G93" s="9"/>
      <c r="H93" s="9"/>
      <c r="I93" s="13" t="str">
        <f aca="false">IF(OR($G93="",$H93=""),"",ROUND($G93*$H93,0))</f>
        <v/>
      </c>
      <c r="J93" s="7"/>
      <c r="K93" s="7"/>
      <c r="L93" s="14" t="str">
        <f aca="false">IF(OR($C93="",$G93=""),"",IF($B93="입고",$G93,IF($B93="출고",-$G93,$G93)))</f>
        <v/>
      </c>
      <c r="M93" s="13" t="str">
        <f aca="false">IF($C93="","",IFERROR(INDEX(품목마스터!$F$3:$F$302,MATCH($C93,품목마스터!$A$3:$A$302,0)),0)+SUMIFS($L$3:$L93,$C$3:$C93,$C93))</f>
        <v/>
      </c>
    </row>
    <row r="94" customFormat="false" ht="15" hidden="false" customHeight="true" outlineLevel="0" collapsed="false">
      <c r="A94" s="11"/>
      <c r="B94" s="7"/>
      <c r="C94" s="7"/>
      <c r="D94" s="12" t="str">
        <f aca="false">IF($C94="","",IFERROR(INDEX(품목마스터!$B$3:$B$302,MATCH($C94,품목마스터!$A$3:$A$302,0)),"미등록품번"))</f>
        <v/>
      </c>
      <c r="E94" s="12" t="str">
        <f aca="false">IF($C94="","",IFERROR(INDEX(품목마스터!$C$3:$C$302,MATCH($C94,품목마스터!$A$3:$A$302,0)),""))</f>
        <v/>
      </c>
      <c r="F94" s="12" t="str">
        <f aca="false">IF($C94="","",IFERROR(INDEX(품목마스터!$D$3:$D$302,MATCH($C94,품목마스터!$A$3:$A$302,0)),""))</f>
        <v/>
      </c>
      <c r="G94" s="9"/>
      <c r="H94" s="9"/>
      <c r="I94" s="13" t="str">
        <f aca="false">IF(OR($G94="",$H94=""),"",ROUND($G94*$H94,0))</f>
        <v/>
      </c>
      <c r="J94" s="7"/>
      <c r="K94" s="7"/>
      <c r="L94" s="14" t="str">
        <f aca="false">IF(OR($C94="",$G94=""),"",IF($B94="입고",$G94,IF($B94="출고",-$G94,$G94)))</f>
        <v/>
      </c>
      <c r="M94" s="13" t="str">
        <f aca="false">IF($C94="","",IFERROR(INDEX(품목마스터!$F$3:$F$302,MATCH($C94,품목마스터!$A$3:$A$302,0)),0)+SUMIFS($L$3:$L94,$C$3:$C94,$C94))</f>
        <v/>
      </c>
    </row>
    <row r="95" customFormat="false" ht="15" hidden="false" customHeight="true" outlineLevel="0" collapsed="false">
      <c r="A95" s="11"/>
      <c r="B95" s="7"/>
      <c r="C95" s="7"/>
      <c r="D95" s="12" t="str">
        <f aca="false">IF($C95="","",IFERROR(INDEX(품목마스터!$B$3:$B$302,MATCH($C95,품목마스터!$A$3:$A$302,0)),"미등록품번"))</f>
        <v/>
      </c>
      <c r="E95" s="12" t="str">
        <f aca="false">IF($C95="","",IFERROR(INDEX(품목마스터!$C$3:$C$302,MATCH($C95,품목마스터!$A$3:$A$302,0)),""))</f>
        <v/>
      </c>
      <c r="F95" s="12" t="str">
        <f aca="false">IF($C95="","",IFERROR(INDEX(품목마스터!$D$3:$D$302,MATCH($C95,품목마스터!$A$3:$A$302,0)),""))</f>
        <v/>
      </c>
      <c r="G95" s="9"/>
      <c r="H95" s="9"/>
      <c r="I95" s="13" t="str">
        <f aca="false">IF(OR($G95="",$H95=""),"",ROUND($G95*$H95,0))</f>
        <v/>
      </c>
      <c r="J95" s="7"/>
      <c r="K95" s="7"/>
      <c r="L95" s="14" t="str">
        <f aca="false">IF(OR($C95="",$G95=""),"",IF($B95="입고",$G95,IF($B95="출고",-$G95,$G95)))</f>
        <v/>
      </c>
      <c r="M95" s="13" t="str">
        <f aca="false">IF($C95="","",IFERROR(INDEX(품목마스터!$F$3:$F$302,MATCH($C95,품목마스터!$A$3:$A$302,0)),0)+SUMIFS($L$3:$L95,$C$3:$C95,$C95))</f>
        <v/>
      </c>
    </row>
    <row r="96" customFormat="false" ht="15" hidden="false" customHeight="true" outlineLevel="0" collapsed="false">
      <c r="A96" s="11"/>
      <c r="B96" s="7"/>
      <c r="C96" s="7"/>
      <c r="D96" s="12" t="str">
        <f aca="false">IF($C96="","",IFERROR(INDEX(품목마스터!$B$3:$B$302,MATCH($C96,품목마스터!$A$3:$A$302,0)),"미등록품번"))</f>
        <v/>
      </c>
      <c r="E96" s="12" t="str">
        <f aca="false">IF($C96="","",IFERROR(INDEX(품목마스터!$C$3:$C$302,MATCH($C96,품목마스터!$A$3:$A$302,0)),""))</f>
        <v/>
      </c>
      <c r="F96" s="12" t="str">
        <f aca="false">IF($C96="","",IFERROR(INDEX(품목마스터!$D$3:$D$302,MATCH($C96,품목마스터!$A$3:$A$302,0)),""))</f>
        <v/>
      </c>
      <c r="G96" s="9"/>
      <c r="H96" s="9"/>
      <c r="I96" s="13" t="str">
        <f aca="false">IF(OR($G96="",$H96=""),"",ROUND($G96*$H96,0))</f>
        <v/>
      </c>
      <c r="J96" s="7"/>
      <c r="K96" s="7"/>
      <c r="L96" s="14" t="str">
        <f aca="false">IF(OR($C96="",$G96=""),"",IF($B96="입고",$G96,IF($B96="출고",-$G96,$G96)))</f>
        <v/>
      </c>
      <c r="M96" s="13" t="str">
        <f aca="false">IF($C96="","",IFERROR(INDEX(품목마스터!$F$3:$F$302,MATCH($C96,품목마스터!$A$3:$A$302,0)),0)+SUMIFS($L$3:$L96,$C$3:$C96,$C96))</f>
        <v/>
      </c>
    </row>
    <row r="97" customFormat="false" ht="15" hidden="false" customHeight="true" outlineLevel="0" collapsed="false">
      <c r="A97" s="11"/>
      <c r="B97" s="7"/>
      <c r="C97" s="7"/>
      <c r="D97" s="12" t="str">
        <f aca="false">IF($C97="","",IFERROR(INDEX(품목마스터!$B$3:$B$302,MATCH($C97,품목마스터!$A$3:$A$302,0)),"미등록품번"))</f>
        <v/>
      </c>
      <c r="E97" s="12" t="str">
        <f aca="false">IF($C97="","",IFERROR(INDEX(품목마스터!$C$3:$C$302,MATCH($C97,품목마스터!$A$3:$A$302,0)),""))</f>
        <v/>
      </c>
      <c r="F97" s="12" t="str">
        <f aca="false">IF($C97="","",IFERROR(INDEX(품목마스터!$D$3:$D$302,MATCH($C97,품목마스터!$A$3:$A$302,0)),""))</f>
        <v/>
      </c>
      <c r="G97" s="9"/>
      <c r="H97" s="9"/>
      <c r="I97" s="13" t="str">
        <f aca="false">IF(OR($G97="",$H97=""),"",ROUND($G97*$H97,0))</f>
        <v/>
      </c>
      <c r="J97" s="7"/>
      <c r="K97" s="7"/>
      <c r="L97" s="14" t="str">
        <f aca="false">IF(OR($C97="",$G97=""),"",IF($B97="입고",$G97,IF($B97="출고",-$G97,$G97)))</f>
        <v/>
      </c>
      <c r="M97" s="13" t="str">
        <f aca="false">IF($C97="","",IFERROR(INDEX(품목마스터!$F$3:$F$302,MATCH($C97,품목마스터!$A$3:$A$302,0)),0)+SUMIFS($L$3:$L97,$C$3:$C97,$C97))</f>
        <v/>
      </c>
    </row>
    <row r="98" customFormat="false" ht="15" hidden="false" customHeight="true" outlineLevel="0" collapsed="false">
      <c r="A98" s="11"/>
      <c r="B98" s="7"/>
      <c r="C98" s="7"/>
      <c r="D98" s="12" t="str">
        <f aca="false">IF($C98="","",IFERROR(INDEX(품목마스터!$B$3:$B$302,MATCH($C98,품목마스터!$A$3:$A$302,0)),"미등록품번"))</f>
        <v/>
      </c>
      <c r="E98" s="12" t="str">
        <f aca="false">IF($C98="","",IFERROR(INDEX(품목마스터!$C$3:$C$302,MATCH($C98,품목마스터!$A$3:$A$302,0)),""))</f>
        <v/>
      </c>
      <c r="F98" s="12" t="str">
        <f aca="false">IF($C98="","",IFERROR(INDEX(품목마스터!$D$3:$D$302,MATCH($C98,품목마스터!$A$3:$A$302,0)),""))</f>
        <v/>
      </c>
      <c r="G98" s="9"/>
      <c r="H98" s="9"/>
      <c r="I98" s="13" t="str">
        <f aca="false">IF(OR($G98="",$H98=""),"",ROUND($G98*$H98,0))</f>
        <v/>
      </c>
      <c r="J98" s="7"/>
      <c r="K98" s="7"/>
      <c r="L98" s="14" t="str">
        <f aca="false">IF(OR($C98="",$G98=""),"",IF($B98="입고",$G98,IF($B98="출고",-$G98,$G98)))</f>
        <v/>
      </c>
      <c r="M98" s="13" t="str">
        <f aca="false">IF($C98="","",IFERROR(INDEX(품목마스터!$F$3:$F$302,MATCH($C98,품목마스터!$A$3:$A$302,0)),0)+SUMIFS($L$3:$L98,$C$3:$C98,$C98))</f>
        <v/>
      </c>
    </row>
    <row r="99" customFormat="false" ht="15" hidden="false" customHeight="true" outlineLevel="0" collapsed="false">
      <c r="A99" s="11"/>
      <c r="B99" s="7"/>
      <c r="C99" s="7"/>
      <c r="D99" s="12" t="str">
        <f aca="false">IF($C99="","",IFERROR(INDEX(품목마스터!$B$3:$B$302,MATCH($C99,품목마스터!$A$3:$A$302,0)),"미등록품번"))</f>
        <v/>
      </c>
      <c r="E99" s="12" t="str">
        <f aca="false">IF($C99="","",IFERROR(INDEX(품목마스터!$C$3:$C$302,MATCH($C99,품목마스터!$A$3:$A$302,0)),""))</f>
        <v/>
      </c>
      <c r="F99" s="12" t="str">
        <f aca="false">IF($C99="","",IFERROR(INDEX(품목마스터!$D$3:$D$302,MATCH($C99,품목마스터!$A$3:$A$302,0)),""))</f>
        <v/>
      </c>
      <c r="G99" s="9"/>
      <c r="H99" s="9"/>
      <c r="I99" s="13" t="str">
        <f aca="false">IF(OR($G99="",$H99=""),"",ROUND($G99*$H99,0))</f>
        <v/>
      </c>
      <c r="J99" s="7"/>
      <c r="K99" s="7"/>
      <c r="L99" s="14" t="str">
        <f aca="false">IF(OR($C99="",$G99=""),"",IF($B99="입고",$G99,IF($B99="출고",-$G99,$G99)))</f>
        <v/>
      </c>
      <c r="M99" s="13" t="str">
        <f aca="false">IF($C99="","",IFERROR(INDEX(품목마스터!$F$3:$F$302,MATCH($C99,품목마스터!$A$3:$A$302,0)),0)+SUMIFS($L$3:$L99,$C$3:$C99,$C99))</f>
        <v/>
      </c>
    </row>
    <row r="100" customFormat="false" ht="15" hidden="false" customHeight="true" outlineLevel="0" collapsed="false">
      <c r="A100" s="11"/>
      <c r="B100" s="7"/>
      <c r="C100" s="7"/>
      <c r="D100" s="12" t="str">
        <f aca="false">IF($C100="","",IFERROR(INDEX(품목마스터!$B$3:$B$302,MATCH($C100,품목마스터!$A$3:$A$302,0)),"미등록품번"))</f>
        <v/>
      </c>
      <c r="E100" s="12" t="str">
        <f aca="false">IF($C100="","",IFERROR(INDEX(품목마스터!$C$3:$C$302,MATCH($C100,품목마스터!$A$3:$A$302,0)),""))</f>
        <v/>
      </c>
      <c r="F100" s="12" t="str">
        <f aca="false">IF($C100="","",IFERROR(INDEX(품목마스터!$D$3:$D$302,MATCH($C100,품목마스터!$A$3:$A$302,0)),""))</f>
        <v/>
      </c>
      <c r="G100" s="9"/>
      <c r="H100" s="9"/>
      <c r="I100" s="13" t="str">
        <f aca="false">IF(OR($G100="",$H100=""),"",ROUND($G100*$H100,0))</f>
        <v/>
      </c>
      <c r="J100" s="7"/>
      <c r="K100" s="7"/>
      <c r="L100" s="14" t="str">
        <f aca="false">IF(OR($C100="",$G100=""),"",IF($B100="입고",$G100,IF($B100="출고",-$G100,$G100)))</f>
        <v/>
      </c>
      <c r="M100" s="13" t="str">
        <f aca="false">IF($C100="","",IFERROR(INDEX(품목마스터!$F$3:$F$302,MATCH($C100,품목마스터!$A$3:$A$302,0)),0)+SUMIFS($L$3:$L100,$C$3:$C100,$C100))</f>
        <v/>
      </c>
    </row>
    <row r="101" customFormat="false" ht="15" hidden="false" customHeight="true" outlineLevel="0" collapsed="false">
      <c r="A101" s="11"/>
      <c r="B101" s="7"/>
      <c r="C101" s="7"/>
      <c r="D101" s="12" t="str">
        <f aca="false">IF($C101="","",IFERROR(INDEX(품목마스터!$B$3:$B$302,MATCH($C101,품목마스터!$A$3:$A$302,0)),"미등록품번"))</f>
        <v/>
      </c>
      <c r="E101" s="12" t="str">
        <f aca="false">IF($C101="","",IFERROR(INDEX(품목마스터!$C$3:$C$302,MATCH($C101,품목마스터!$A$3:$A$302,0)),""))</f>
        <v/>
      </c>
      <c r="F101" s="12" t="str">
        <f aca="false">IF($C101="","",IFERROR(INDEX(품목마스터!$D$3:$D$302,MATCH($C101,품목마스터!$A$3:$A$302,0)),""))</f>
        <v/>
      </c>
      <c r="G101" s="9"/>
      <c r="H101" s="9"/>
      <c r="I101" s="13" t="str">
        <f aca="false">IF(OR($G101="",$H101=""),"",ROUND($G101*$H101,0))</f>
        <v/>
      </c>
      <c r="J101" s="7"/>
      <c r="K101" s="7"/>
      <c r="L101" s="14" t="str">
        <f aca="false">IF(OR($C101="",$G101=""),"",IF($B101="입고",$G101,IF($B101="출고",-$G101,$G101)))</f>
        <v/>
      </c>
      <c r="M101" s="13" t="str">
        <f aca="false">IF($C101="","",IFERROR(INDEX(품목마스터!$F$3:$F$302,MATCH($C101,품목마스터!$A$3:$A$302,0)),0)+SUMIFS($L$3:$L101,$C$3:$C101,$C101))</f>
        <v/>
      </c>
    </row>
    <row r="102" customFormat="false" ht="15" hidden="false" customHeight="true" outlineLevel="0" collapsed="false">
      <c r="A102" s="11"/>
      <c r="B102" s="7"/>
      <c r="C102" s="7"/>
      <c r="D102" s="12" t="str">
        <f aca="false">IF($C102="","",IFERROR(INDEX(품목마스터!$B$3:$B$302,MATCH($C102,품목마스터!$A$3:$A$302,0)),"미등록품번"))</f>
        <v/>
      </c>
      <c r="E102" s="12" t="str">
        <f aca="false">IF($C102="","",IFERROR(INDEX(품목마스터!$C$3:$C$302,MATCH($C102,품목마스터!$A$3:$A$302,0)),""))</f>
        <v/>
      </c>
      <c r="F102" s="12" t="str">
        <f aca="false">IF($C102="","",IFERROR(INDEX(품목마스터!$D$3:$D$302,MATCH($C102,품목마스터!$A$3:$A$302,0)),""))</f>
        <v/>
      </c>
      <c r="G102" s="9"/>
      <c r="H102" s="9"/>
      <c r="I102" s="13" t="str">
        <f aca="false">IF(OR($G102="",$H102=""),"",ROUND($G102*$H102,0))</f>
        <v/>
      </c>
      <c r="J102" s="7"/>
      <c r="K102" s="7"/>
      <c r="L102" s="14" t="str">
        <f aca="false">IF(OR($C102="",$G102=""),"",IF($B102="입고",$G102,IF($B102="출고",-$G102,$G102)))</f>
        <v/>
      </c>
      <c r="M102" s="13" t="str">
        <f aca="false">IF($C102="","",IFERROR(INDEX(품목마스터!$F$3:$F$302,MATCH($C102,품목마스터!$A$3:$A$302,0)),0)+SUMIFS($L$3:$L102,$C$3:$C102,$C102))</f>
        <v/>
      </c>
    </row>
    <row r="103" customFormat="false" ht="15" hidden="false" customHeight="true" outlineLevel="0" collapsed="false">
      <c r="A103" s="11"/>
      <c r="B103" s="7"/>
      <c r="C103" s="7"/>
      <c r="D103" s="12" t="str">
        <f aca="false">IF($C103="","",IFERROR(INDEX(품목마스터!$B$3:$B$302,MATCH($C103,품목마스터!$A$3:$A$302,0)),"미등록품번"))</f>
        <v/>
      </c>
      <c r="E103" s="12" t="str">
        <f aca="false">IF($C103="","",IFERROR(INDEX(품목마스터!$C$3:$C$302,MATCH($C103,품목마스터!$A$3:$A$302,0)),""))</f>
        <v/>
      </c>
      <c r="F103" s="12" t="str">
        <f aca="false">IF($C103="","",IFERROR(INDEX(품목마스터!$D$3:$D$302,MATCH($C103,품목마스터!$A$3:$A$302,0)),""))</f>
        <v/>
      </c>
      <c r="G103" s="9"/>
      <c r="H103" s="9"/>
      <c r="I103" s="13" t="str">
        <f aca="false">IF(OR($G103="",$H103=""),"",ROUND($G103*$H103,0))</f>
        <v/>
      </c>
      <c r="J103" s="7"/>
      <c r="K103" s="7"/>
      <c r="L103" s="14" t="str">
        <f aca="false">IF(OR($C103="",$G103=""),"",IF($B103="입고",$G103,IF($B103="출고",-$G103,$G103)))</f>
        <v/>
      </c>
      <c r="M103" s="13" t="str">
        <f aca="false">IF($C103="","",IFERROR(INDEX(품목마스터!$F$3:$F$302,MATCH($C103,품목마스터!$A$3:$A$302,0)),0)+SUMIFS($L$3:$L103,$C$3:$C103,$C103))</f>
        <v/>
      </c>
    </row>
    <row r="104" customFormat="false" ht="15" hidden="false" customHeight="true" outlineLevel="0" collapsed="false">
      <c r="A104" s="11"/>
      <c r="B104" s="7"/>
      <c r="C104" s="7"/>
      <c r="D104" s="12" t="str">
        <f aca="false">IF($C104="","",IFERROR(INDEX(품목마스터!$B$3:$B$302,MATCH($C104,품목마스터!$A$3:$A$302,0)),"미등록품번"))</f>
        <v/>
      </c>
      <c r="E104" s="12" t="str">
        <f aca="false">IF($C104="","",IFERROR(INDEX(품목마스터!$C$3:$C$302,MATCH($C104,품목마스터!$A$3:$A$302,0)),""))</f>
        <v/>
      </c>
      <c r="F104" s="12" t="str">
        <f aca="false">IF($C104="","",IFERROR(INDEX(품목마스터!$D$3:$D$302,MATCH($C104,품목마스터!$A$3:$A$302,0)),""))</f>
        <v/>
      </c>
      <c r="G104" s="9"/>
      <c r="H104" s="9"/>
      <c r="I104" s="13" t="str">
        <f aca="false">IF(OR($G104="",$H104=""),"",ROUND($G104*$H104,0))</f>
        <v/>
      </c>
      <c r="J104" s="7"/>
      <c r="K104" s="7"/>
      <c r="L104" s="14" t="str">
        <f aca="false">IF(OR($C104="",$G104=""),"",IF($B104="입고",$G104,IF($B104="출고",-$G104,$G104)))</f>
        <v/>
      </c>
      <c r="M104" s="13" t="str">
        <f aca="false">IF($C104="","",IFERROR(INDEX(품목마스터!$F$3:$F$302,MATCH($C104,품목마스터!$A$3:$A$302,0)),0)+SUMIFS($L$3:$L104,$C$3:$C104,$C104))</f>
        <v/>
      </c>
    </row>
    <row r="105" customFormat="false" ht="15" hidden="false" customHeight="true" outlineLevel="0" collapsed="false">
      <c r="A105" s="11"/>
      <c r="B105" s="7"/>
      <c r="C105" s="7"/>
      <c r="D105" s="12" t="str">
        <f aca="false">IF($C105="","",IFERROR(INDEX(품목마스터!$B$3:$B$302,MATCH($C105,품목마스터!$A$3:$A$302,0)),"미등록품번"))</f>
        <v/>
      </c>
      <c r="E105" s="12" t="str">
        <f aca="false">IF($C105="","",IFERROR(INDEX(품목마스터!$C$3:$C$302,MATCH($C105,품목마스터!$A$3:$A$302,0)),""))</f>
        <v/>
      </c>
      <c r="F105" s="12" t="str">
        <f aca="false">IF($C105="","",IFERROR(INDEX(품목마스터!$D$3:$D$302,MATCH($C105,품목마스터!$A$3:$A$302,0)),""))</f>
        <v/>
      </c>
      <c r="G105" s="9"/>
      <c r="H105" s="9"/>
      <c r="I105" s="13" t="str">
        <f aca="false">IF(OR($G105="",$H105=""),"",ROUND($G105*$H105,0))</f>
        <v/>
      </c>
      <c r="J105" s="7"/>
      <c r="K105" s="7"/>
      <c r="L105" s="14" t="str">
        <f aca="false">IF(OR($C105="",$G105=""),"",IF($B105="입고",$G105,IF($B105="출고",-$G105,$G105)))</f>
        <v/>
      </c>
      <c r="M105" s="13" t="str">
        <f aca="false">IF($C105="","",IFERROR(INDEX(품목마스터!$F$3:$F$302,MATCH($C105,품목마스터!$A$3:$A$302,0)),0)+SUMIFS($L$3:$L105,$C$3:$C105,$C105))</f>
        <v/>
      </c>
    </row>
    <row r="106" customFormat="false" ht="15" hidden="false" customHeight="true" outlineLevel="0" collapsed="false">
      <c r="A106" s="11"/>
      <c r="B106" s="7"/>
      <c r="C106" s="7"/>
      <c r="D106" s="12" t="str">
        <f aca="false">IF($C106="","",IFERROR(INDEX(품목마스터!$B$3:$B$302,MATCH($C106,품목마스터!$A$3:$A$302,0)),"미등록품번"))</f>
        <v/>
      </c>
      <c r="E106" s="12" t="str">
        <f aca="false">IF($C106="","",IFERROR(INDEX(품목마스터!$C$3:$C$302,MATCH($C106,품목마스터!$A$3:$A$302,0)),""))</f>
        <v/>
      </c>
      <c r="F106" s="12" t="str">
        <f aca="false">IF($C106="","",IFERROR(INDEX(품목마스터!$D$3:$D$302,MATCH($C106,품목마스터!$A$3:$A$302,0)),""))</f>
        <v/>
      </c>
      <c r="G106" s="9"/>
      <c r="H106" s="9"/>
      <c r="I106" s="13" t="str">
        <f aca="false">IF(OR($G106="",$H106=""),"",ROUND($G106*$H106,0))</f>
        <v/>
      </c>
      <c r="J106" s="7"/>
      <c r="K106" s="7"/>
      <c r="L106" s="14" t="str">
        <f aca="false">IF(OR($C106="",$G106=""),"",IF($B106="입고",$G106,IF($B106="출고",-$G106,$G106)))</f>
        <v/>
      </c>
      <c r="M106" s="13" t="str">
        <f aca="false">IF($C106="","",IFERROR(INDEX(품목마스터!$F$3:$F$302,MATCH($C106,품목마스터!$A$3:$A$302,0)),0)+SUMIFS($L$3:$L106,$C$3:$C106,$C106))</f>
        <v/>
      </c>
    </row>
    <row r="107" customFormat="false" ht="15" hidden="false" customHeight="true" outlineLevel="0" collapsed="false">
      <c r="A107" s="11"/>
      <c r="B107" s="7"/>
      <c r="C107" s="7"/>
      <c r="D107" s="12" t="str">
        <f aca="false">IF($C107="","",IFERROR(INDEX(품목마스터!$B$3:$B$302,MATCH($C107,품목마스터!$A$3:$A$302,0)),"미등록품번"))</f>
        <v/>
      </c>
      <c r="E107" s="12" t="str">
        <f aca="false">IF($C107="","",IFERROR(INDEX(품목마스터!$C$3:$C$302,MATCH($C107,품목마스터!$A$3:$A$302,0)),""))</f>
        <v/>
      </c>
      <c r="F107" s="12" t="str">
        <f aca="false">IF($C107="","",IFERROR(INDEX(품목마스터!$D$3:$D$302,MATCH($C107,품목마스터!$A$3:$A$302,0)),""))</f>
        <v/>
      </c>
      <c r="G107" s="9"/>
      <c r="H107" s="9"/>
      <c r="I107" s="13" t="str">
        <f aca="false">IF(OR($G107="",$H107=""),"",ROUND($G107*$H107,0))</f>
        <v/>
      </c>
      <c r="J107" s="7"/>
      <c r="K107" s="7"/>
      <c r="L107" s="14" t="str">
        <f aca="false">IF(OR($C107="",$G107=""),"",IF($B107="입고",$G107,IF($B107="출고",-$G107,$G107)))</f>
        <v/>
      </c>
      <c r="M107" s="13" t="str">
        <f aca="false">IF($C107="","",IFERROR(INDEX(품목마스터!$F$3:$F$302,MATCH($C107,품목마스터!$A$3:$A$302,0)),0)+SUMIFS($L$3:$L107,$C$3:$C107,$C107))</f>
        <v/>
      </c>
    </row>
    <row r="108" customFormat="false" ht="15" hidden="false" customHeight="true" outlineLevel="0" collapsed="false">
      <c r="A108" s="11"/>
      <c r="B108" s="7"/>
      <c r="C108" s="7"/>
      <c r="D108" s="12" t="str">
        <f aca="false">IF($C108="","",IFERROR(INDEX(품목마스터!$B$3:$B$302,MATCH($C108,품목마스터!$A$3:$A$302,0)),"미등록품번"))</f>
        <v/>
      </c>
      <c r="E108" s="12" t="str">
        <f aca="false">IF($C108="","",IFERROR(INDEX(품목마스터!$C$3:$C$302,MATCH($C108,품목마스터!$A$3:$A$302,0)),""))</f>
        <v/>
      </c>
      <c r="F108" s="12" t="str">
        <f aca="false">IF($C108="","",IFERROR(INDEX(품목마스터!$D$3:$D$302,MATCH($C108,품목마스터!$A$3:$A$302,0)),""))</f>
        <v/>
      </c>
      <c r="G108" s="9"/>
      <c r="H108" s="9"/>
      <c r="I108" s="13" t="str">
        <f aca="false">IF(OR($G108="",$H108=""),"",ROUND($G108*$H108,0))</f>
        <v/>
      </c>
      <c r="J108" s="7"/>
      <c r="K108" s="7"/>
      <c r="L108" s="14" t="str">
        <f aca="false">IF(OR($C108="",$G108=""),"",IF($B108="입고",$G108,IF($B108="출고",-$G108,$G108)))</f>
        <v/>
      </c>
      <c r="M108" s="13" t="str">
        <f aca="false">IF($C108="","",IFERROR(INDEX(품목마스터!$F$3:$F$302,MATCH($C108,품목마스터!$A$3:$A$302,0)),0)+SUMIFS($L$3:$L108,$C$3:$C108,$C108))</f>
        <v/>
      </c>
    </row>
    <row r="109" customFormat="false" ht="15" hidden="false" customHeight="true" outlineLevel="0" collapsed="false">
      <c r="A109" s="11"/>
      <c r="B109" s="7"/>
      <c r="C109" s="7"/>
      <c r="D109" s="12" t="str">
        <f aca="false">IF($C109="","",IFERROR(INDEX(품목마스터!$B$3:$B$302,MATCH($C109,품목마스터!$A$3:$A$302,0)),"미등록품번"))</f>
        <v/>
      </c>
      <c r="E109" s="12" t="str">
        <f aca="false">IF($C109="","",IFERROR(INDEX(품목마스터!$C$3:$C$302,MATCH($C109,품목마스터!$A$3:$A$302,0)),""))</f>
        <v/>
      </c>
      <c r="F109" s="12" t="str">
        <f aca="false">IF($C109="","",IFERROR(INDEX(품목마스터!$D$3:$D$302,MATCH($C109,품목마스터!$A$3:$A$302,0)),""))</f>
        <v/>
      </c>
      <c r="G109" s="9"/>
      <c r="H109" s="9"/>
      <c r="I109" s="13" t="str">
        <f aca="false">IF(OR($G109="",$H109=""),"",ROUND($G109*$H109,0))</f>
        <v/>
      </c>
      <c r="J109" s="7"/>
      <c r="K109" s="7"/>
      <c r="L109" s="14" t="str">
        <f aca="false">IF(OR($C109="",$G109=""),"",IF($B109="입고",$G109,IF($B109="출고",-$G109,$G109)))</f>
        <v/>
      </c>
      <c r="M109" s="13" t="str">
        <f aca="false">IF($C109="","",IFERROR(INDEX(품목마스터!$F$3:$F$302,MATCH($C109,품목마스터!$A$3:$A$302,0)),0)+SUMIFS($L$3:$L109,$C$3:$C109,$C109))</f>
        <v/>
      </c>
    </row>
    <row r="110" customFormat="false" ht="15" hidden="false" customHeight="true" outlineLevel="0" collapsed="false">
      <c r="A110" s="11"/>
      <c r="B110" s="7"/>
      <c r="C110" s="7"/>
      <c r="D110" s="12" t="str">
        <f aca="false">IF($C110="","",IFERROR(INDEX(품목마스터!$B$3:$B$302,MATCH($C110,품목마스터!$A$3:$A$302,0)),"미등록품번"))</f>
        <v/>
      </c>
      <c r="E110" s="12" t="str">
        <f aca="false">IF($C110="","",IFERROR(INDEX(품목마스터!$C$3:$C$302,MATCH($C110,품목마스터!$A$3:$A$302,0)),""))</f>
        <v/>
      </c>
      <c r="F110" s="12" t="str">
        <f aca="false">IF($C110="","",IFERROR(INDEX(품목마스터!$D$3:$D$302,MATCH($C110,품목마스터!$A$3:$A$302,0)),""))</f>
        <v/>
      </c>
      <c r="G110" s="9"/>
      <c r="H110" s="9"/>
      <c r="I110" s="13" t="str">
        <f aca="false">IF(OR($G110="",$H110=""),"",ROUND($G110*$H110,0))</f>
        <v/>
      </c>
      <c r="J110" s="7"/>
      <c r="K110" s="7"/>
      <c r="L110" s="14" t="str">
        <f aca="false">IF(OR($C110="",$G110=""),"",IF($B110="입고",$G110,IF($B110="출고",-$G110,$G110)))</f>
        <v/>
      </c>
      <c r="M110" s="13" t="str">
        <f aca="false">IF($C110="","",IFERROR(INDEX(품목마스터!$F$3:$F$302,MATCH($C110,품목마스터!$A$3:$A$302,0)),0)+SUMIFS($L$3:$L110,$C$3:$C110,$C110))</f>
        <v/>
      </c>
    </row>
    <row r="111" customFormat="false" ht="15" hidden="false" customHeight="true" outlineLevel="0" collapsed="false">
      <c r="A111" s="11"/>
      <c r="B111" s="7"/>
      <c r="C111" s="7"/>
      <c r="D111" s="12" t="str">
        <f aca="false">IF($C111="","",IFERROR(INDEX(품목마스터!$B$3:$B$302,MATCH($C111,품목마스터!$A$3:$A$302,0)),"미등록품번"))</f>
        <v/>
      </c>
      <c r="E111" s="12" t="str">
        <f aca="false">IF($C111="","",IFERROR(INDEX(품목마스터!$C$3:$C$302,MATCH($C111,품목마스터!$A$3:$A$302,0)),""))</f>
        <v/>
      </c>
      <c r="F111" s="12" t="str">
        <f aca="false">IF($C111="","",IFERROR(INDEX(품목마스터!$D$3:$D$302,MATCH($C111,품목마스터!$A$3:$A$302,0)),""))</f>
        <v/>
      </c>
      <c r="G111" s="9"/>
      <c r="H111" s="9"/>
      <c r="I111" s="13" t="str">
        <f aca="false">IF(OR($G111="",$H111=""),"",ROUND($G111*$H111,0))</f>
        <v/>
      </c>
      <c r="J111" s="7"/>
      <c r="K111" s="7"/>
      <c r="L111" s="14" t="str">
        <f aca="false">IF(OR($C111="",$G111=""),"",IF($B111="입고",$G111,IF($B111="출고",-$G111,$G111)))</f>
        <v/>
      </c>
      <c r="M111" s="13" t="str">
        <f aca="false">IF($C111="","",IFERROR(INDEX(품목마스터!$F$3:$F$302,MATCH($C111,품목마스터!$A$3:$A$302,0)),0)+SUMIFS($L$3:$L111,$C$3:$C111,$C111))</f>
        <v/>
      </c>
    </row>
    <row r="112" customFormat="false" ht="15" hidden="false" customHeight="true" outlineLevel="0" collapsed="false">
      <c r="A112" s="11"/>
      <c r="B112" s="7"/>
      <c r="C112" s="7"/>
      <c r="D112" s="12" t="str">
        <f aca="false">IF($C112="","",IFERROR(INDEX(품목마스터!$B$3:$B$302,MATCH($C112,품목마스터!$A$3:$A$302,0)),"미등록품번"))</f>
        <v/>
      </c>
      <c r="E112" s="12" t="str">
        <f aca="false">IF($C112="","",IFERROR(INDEX(품목마스터!$C$3:$C$302,MATCH($C112,품목마스터!$A$3:$A$302,0)),""))</f>
        <v/>
      </c>
      <c r="F112" s="12" t="str">
        <f aca="false">IF($C112="","",IFERROR(INDEX(품목마스터!$D$3:$D$302,MATCH($C112,품목마스터!$A$3:$A$302,0)),""))</f>
        <v/>
      </c>
      <c r="G112" s="9"/>
      <c r="H112" s="9"/>
      <c r="I112" s="13" t="str">
        <f aca="false">IF(OR($G112="",$H112=""),"",ROUND($G112*$H112,0))</f>
        <v/>
      </c>
      <c r="J112" s="7"/>
      <c r="K112" s="7"/>
      <c r="L112" s="14" t="str">
        <f aca="false">IF(OR($C112="",$G112=""),"",IF($B112="입고",$G112,IF($B112="출고",-$G112,$G112)))</f>
        <v/>
      </c>
      <c r="M112" s="13" t="str">
        <f aca="false">IF($C112="","",IFERROR(INDEX(품목마스터!$F$3:$F$302,MATCH($C112,품목마스터!$A$3:$A$302,0)),0)+SUMIFS($L$3:$L112,$C$3:$C112,$C112))</f>
        <v/>
      </c>
    </row>
    <row r="113" customFormat="false" ht="15" hidden="false" customHeight="true" outlineLevel="0" collapsed="false">
      <c r="A113" s="11"/>
      <c r="B113" s="7"/>
      <c r="C113" s="7"/>
      <c r="D113" s="12" t="str">
        <f aca="false">IF($C113="","",IFERROR(INDEX(품목마스터!$B$3:$B$302,MATCH($C113,품목마스터!$A$3:$A$302,0)),"미등록품번"))</f>
        <v/>
      </c>
      <c r="E113" s="12" t="str">
        <f aca="false">IF($C113="","",IFERROR(INDEX(품목마스터!$C$3:$C$302,MATCH($C113,품목마스터!$A$3:$A$302,0)),""))</f>
        <v/>
      </c>
      <c r="F113" s="12" t="str">
        <f aca="false">IF($C113="","",IFERROR(INDEX(품목마스터!$D$3:$D$302,MATCH($C113,품목마스터!$A$3:$A$302,0)),""))</f>
        <v/>
      </c>
      <c r="G113" s="9"/>
      <c r="H113" s="9"/>
      <c r="I113" s="13" t="str">
        <f aca="false">IF(OR($G113="",$H113=""),"",ROUND($G113*$H113,0))</f>
        <v/>
      </c>
      <c r="J113" s="7"/>
      <c r="K113" s="7"/>
      <c r="L113" s="14" t="str">
        <f aca="false">IF(OR($C113="",$G113=""),"",IF($B113="입고",$G113,IF($B113="출고",-$G113,$G113)))</f>
        <v/>
      </c>
      <c r="M113" s="13" t="str">
        <f aca="false">IF($C113="","",IFERROR(INDEX(품목마스터!$F$3:$F$302,MATCH($C113,품목마스터!$A$3:$A$302,0)),0)+SUMIFS($L$3:$L113,$C$3:$C113,$C113))</f>
        <v/>
      </c>
    </row>
    <row r="114" customFormat="false" ht="15" hidden="false" customHeight="true" outlineLevel="0" collapsed="false">
      <c r="A114" s="11"/>
      <c r="B114" s="7"/>
      <c r="C114" s="7"/>
      <c r="D114" s="12" t="str">
        <f aca="false">IF($C114="","",IFERROR(INDEX(품목마스터!$B$3:$B$302,MATCH($C114,품목마스터!$A$3:$A$302,0)),"미등록품번"))</f>
        <v/>
      </c>
      <c r="E114" s="12" t="str">
        <f aca="false">IF($C114="","",IFERROR(INDEX(품목마스터!$C$3:$C$302,MATCH($C114,품목마스터!$A$3:$A$302,0)),""))</f>
        <v/>
      </c>
      <c r="F114" s="12" t="str">
        <f aca="false">IF($C114="","",IFERROR(INDEX(품목마스터!$D$3:$D$302,MATCH($C114,품목마스터!$A$3:$A$302,0)),""))</f>
        <v/>
      </c>
      <c r="G114" s="9"/>
      <c r="H114" s="9"/>
      <c r="I114" s="13" t="str">
        <f aca="false">IF(OR($G114="",$H114=""),"",ROUND($G114*$H114,0))</f>
        <v/>
      </c>
      <c r="J114" s="7"/>
      <c r="K114" s="7"/>
      <c r="L114" s="14" t="str">
        <f aca="false">IF(OR($C114="",$G114=""),"",IF($B114="입고",$G114,IF($B114="출고",-$G114,$G114)))</f>
        <v/>
      </c>
      <c r="M114" s="13" t="str">
        <f aca="false">IF($C114="","",IFERROR(INDEX(품목마스터!$F$3:$F$302,MATCH($C114,품목마스터!$A$3:$A$302,0)),0)+SUMIFS($L$3:$L114,$C$3:$C114,$C114))</f>
        <v/>
      </c>
    </row>
    <row r="115" customFormat="false" ht="15" hidden="false" customHeight="true" outlineLevel="0" collapsed="false">
      <c r="A115" s="11"/>
      <c r="B115" s="7"/>
      <c r="C115" s="7"/>
      <c r="D115" s="12" t="str">
        <f aca="false">IF($C115="","",IFERROR(INDEX(품목마스터!$B$3:$B$302,MATCH($C115,품목마스터!$A$3:$A$302,0)),"미등록품번"))</f>
        <v/>
      </c>
      <c r="E115" s="12" t="str">
        <f aca="false">IF($C115="","",IFERROR(INDEX(품목마스터!$C$3:$C$302,MATCH($C115,품목마스터!$A$3:$A$302,0)),""))</f>
        <v/>
      </c>
      <c r="F115" s="12" t="str">
        <f aca="false">IF($C115="","",IFERROR(INDEX(품목마스터!$D$3:$D$302,MATCH($C115,품목마스터!$A$3:$A$302,0)),""))</f>
        <v/>
      </c>
      <c r="G115" s="9"/>
      <c r="H115" s="9"/>
      <c r="I115" s="13" t="str">
        <f aca="false">IF(OR($G115="",$H115=""),"",ROUND($G115*$H115,0))</f>
        <v/>
      </c>
      <c r="J115" s="7"/>
      <c r="K115" s="7"/>
      <c r="L115" s="14" t="str">
        <f aca="false">IF(OR($C115="",$G115=""),"",IF($B115="입고",$G115,IF($B115="출고",-$G115,$G115)))</f>
        <v/>
      </c>
      <c r="M115" s="13" t="str">
        <f aca="false">IF($C115="","",IFERROR(INDEX(품목마스터!$F$3:$F$302,MATCH($C115,품목마스터!$A$3:$A$302,0)),0)+SUMIFS($L$3:$L115,$C$3:$C115,$C115))</f>
        <v/>
      </c>
    </row>
    <row r="116" customFormat="false" ht="15" hidden="false" customHeight="true" outlineLevel="0" collapsed="false">
      <c r="A116" s="11"/>
      <c r="B116" s="7"/>
      <c r="C116" s="7"/>
      <c r="D116" s="12" t="str">
        <f aca="false">IF($C116="","",IFERROR(INDEX(품목마스터!$B$3:$B$302,MATCH($C116,품목마스터!$A$3:$A$302,0)),"미등록품번"))</f>
        <v/>
      </c>
      <c r="E116" s="12" t="str">
        <f aca="false">IF($C116="","",IFERROR(INDEX(품목마스터!$C$3:$C$302,MATCH($C116,품목마스터!$A$3:$A$302,0)),""))</f>
        <v/>
      </c>
      <c r="F116" s="12" t="str">
        <f aca="false">IF($C116="","",IFERROR(INDEX(품목마스터!$D$3:$D$302,MATCH($C116,품목마스터!$A$3:$A$302,0)),""))</f>
        <v/>
      </c>
      <c r="G116" s="9"/>
      <c r="H116" s="9"/>
      <c r="I116" s="13" t="str">
        <f aca="false">IF(OR($G116="",$H116=""),"",ROUND($G116*$H116,0))</f>
        <v/>
      </c>
      <c r="J116" s="7"/>
      <c r="K116" s="7"/>
      <c r="L116" s="14" t="str">
        <f aca="false">IF(OR($C116="",$G116=""),"",IF($B116="입고",$G116,IF($B116="출고",-$G116,$G116)))</f>
        <v/>
      </c>
      <c r="M116" s="13" t="str">
        <f aca="false">IF($C116="","",IFERROR(INDEX(품목마스터!$F$3:$F$302,MATCH($C116,품목마스터!$A$3:$A$302,0)),0)+SUMIFS($L$3:$L116,$C$3:$C116,$C116))</f>
        <v/>
      </c>
    </row>
    <row r="117" customFormat="false" ht="15" hidden="false" customHeight="true" outlineLevel="0" collapsed="false">
      <c r="A117" s="11"/>
      <c r="B117" s="7"/>
      <c r="C117" s="7"/>
      <c r="D117" s="12" t="str">
        <f aca="false">IF($C117="","",IFERROR(INDEX(품목마스터!$B$3:$B$302,MATCH($C117,품목마스터!$A$3:$A$302,0)),"미등록품번"))</f>
        <v/>
      </c>
      <c r="E117" s="12" t="str">
        <f aca="false">IF($C117="","",IFERROR(INDEX(품목마스터!$C$3:$C$302,MATCH($C117,품목마스터!$A$3:$A$302,0)),""))</f>
        <v/>
      </c>
      <c r="F117" s="12" t="str">
        <f aca="false">IF($C117="","",IFERROR(INDEX(품목마스터!$D$3:$D$302,MATCH($C117,품목마스터!$A$3:$A$302,0)),""))</f>
        <v/>
      </c>
      <c r="G117" s="9"/>
      <c r="H117" s="9"/>
      <c r="I117" s="13" t="str">
        <f aca="false">IF(OR($G117="",$H117=""),"",ROUND($G117*$H117,0))</f>
        <v/>
      </c>
      <c r="J117" s="7"/>
      <c r="K117" s="7"/>
      <c r="L117" s="14" t="str">
        <f aca="false">IF(OR($C117="",$G117=""),"",IF($B117="입고",$G117,IF($B117="출고",-$G117,$G117)))</f>
        <v/>
      </c>
      <c r="M117" s="13" t="str">
        <f aca="false">IF($C117="","",IFERROR(INDEX(품목마스터!$F$3:$F$302,MATCH($C117,품목마스터!$A$3:$A$302,0)),0)+SUMIFS($L$3:$L117,$C$3:$C117,$C117))</f>
        <v/>
      </c>
    </row>
    <row r="118" customFormat="false" ht="15" hidden="false" customHeight="true" outlineLevel="0" collapsed="false">
      <c r="A118" s="11"/>
      <c r="B118" s="7"/>
      <c r="C118" s="7"/>
      <c r="D118" s="12" t="str">
        <f aca="false">IF($C118="","",IFERROR(INDEX(품목마스터!$B$3:$B$302,MATCH($C118,품목마스터!$A$3:$A$302,0)),"미등록품번"))</f>
        <v/>
      </c>
      <c r="E118" s="12" t="str">
        <f aca="false">IF($C118="","",IFERROR(INDEX(품목마스터!$C$3:$C$302,MATCH($C118,품목마스터!$A$3:$A$302,0)),""))</f>
        <v/>
      </c>
      <c r="F118" s="12" t="str">
        <f aca="false">IF($C118="","",IFERROR(INDEX(품목마스터!$D$3:$D$302,MATCH($C118,품목마스터!$A$3:$A$302,0)),""))</f>
        <v/>
      </c>
      <c r="G118" s="9"/>
      <c r="H118" s="9"/>
      <c r="I118" s="13" t="str">
        <f aca="false">IF(OR($G118="",$H118=""),"",ROUND($G118*$H118,0))</f>
        <v/>
      </c>
      <c r="J118" s="7"/>
      <c r="K118" s="7"/>
      <c r="L118" s="14" t="str">
        <f aca="false">IF(OR($C118="",$G118=""),"",IF($B118="입고",$G118,IF($B118="출고",-$G118,$G118)))</f>
        <v/>
      </c>
      <c r="M118" s="13" t="str">
        <f aca="false">IF($C118="","",IFERROR(INDEX(품목마스터!$F$3:$F$302,MATCH($C118,품목마스터!$A$3:$A$302,0)),0)+SUMIFS($L$3:$L118,$C$3:$C118,$C118))</f>
        <v/>
      </c>
    </row>
    <row r="119" customFormat="false" ht="15" hidden="false" customHeight="true" outlineLevel="0" collapsed="false">
      <c r="A119" s="11"/>
      <c r="B119" s="7"/>
      <c r="C119" s="7"/>
      <c r="D119" s="12" t="str">
        <f aca="false">IF($C119="","",IFERROR(INDEX(품목마스터!$B$3:$B$302,MATCH($C119,품목마스터!$A$3:$A$302,0)),"미등록품번"))</f>
        <v/>
      </c>
      <c r="E119" s="12" t="str">
        <f aca="false">IF($C119="","",IFERROR(INDEX(품목마스터!$C$3:$C$302,MATCH($C119,품목마스터!$A$3:$A$302,0)),""))</f>
        <v/>
      </c>
      <c r="F119" s="12" t="str">
        <f aca="false">IF($C119="","",IFERROR(INDEX(품목마스터!$D$3:$D$302,MATCH($C119,품목마스터!$A$3:$A$302,0)),""))</f>
        <v/>
      </c>
      <c r="G119" s="9"/>
      <c r="H119" s="9"/>
      <c r="I119" s="13" t="str">
        <f aca="false">IF(OR($G119="",$H119=""),"",ROUND($G119*$H119,0))</f>
        <v/>
      </c>
      <c r="J119" s="7"/>
      <c r="K119" s="7"/>
      <c r="L119" s="14" t="str">
        <f aca="false">IF(OR($C119="",$G119=""),"",IF($B119="입고",$G119,IF($B119="출고",-$G119,$G119)))</f>
        <v/>
      </c>
      <c r="M119" s="13" t="str">
        <f aca="false">IF($C119="","",IFERROR(INDEX(품목마스터!$F$3:$F$302,MATCH($C119,품목마스터!$A$3:$A$302,0)),0)+SUMIFS($L$3:$L119,$C$3:$C119,$C119))</f>
        <v/>
      </c>
    </row>
    <row r="120" customFormat="false" ht="15" hidden="false" customHeight="true" outlineLevel="0" collapsed="false">
      <c r="A120" s="11"/>
      <c r="B120" s="7"/>
      <c r="C120" s="7"/>
      <c r="D120" s="12" t="str">
        <f aca="false">IF($C120="","",IFERROR(INDEX(품목마스터!$B$3:$B$302,MATCH($C120,품목마스터!$A$3:$A$302,0)),"미등록품번"))</f>
        <v/>
      </c>
      <c r="E120" s="12" t="str">
        <f aca="false">IF($C120="","",IFERROR(INDEX(품목마스터!$C$3:$C$302,MATCH($C120,품목마스터!$A$3:$A$302,0)),""))</f>
        <v/>
      </c>
      <c r="F120" s="12" t="str">
        <f aca="false">IF($C120="","",IFERROR(INDEX(품목마스터!$D$3:$D$302,MATCH($C120,품목마스터!$A$3:$A$302,0)),""))</f>
        <v/>
      </c>
      <c r="G120" s="9"/>
      <c r="H120" s="9"/>
      <c r="I120" s="13" t="str">
        <f aca="false">IF(OR($G120="",$H120=""),"",ROUND($G120*$H120,0))</f>
        <v/>
      </c>
      <c r="J120" s="7"/>
      <c r="K120" s="7"/>
      <c r="L120" s="14" t="str">
        <f aca="false">IF(OR($C120="",$G120=""),"",IF($B120="입고",$G120,IF($B120="출고",-$G120,$G120)))</f>
        <v/>
      </c>
      <c r="M120" s="13" t="str">
        <f aca="false">IF($C120="","",IFERROR(INDEX(품목마스터!$F$3:$F$302,MATCH($C120,품목마스터!$A$3:$A$302,0)),0)+SUMIFS($L$3:$L120,$C$3:$C120,$C120))</f>
        <v/>
      </c>
    </row>
    <row r="121" customFormat="false" ht="15" hidden="false" customHeight="true" outlineLevel="0" collapsed="false">
      <c r="A121" s="11"/>
      <c r="B121" s="7"/>
      <c r="C121" s="7"/>
      <c r="D121" s="12" t="str">
        <f aca="false">IF($C121="","",IFERROR(INDEX(품목마스터!$B$3:$B$302,MATCH($C121,품목마스터!$A$3:$A$302,0)),"미등록품번"))</f>
        <v/>
      </c>
      <c r="E121" s="12" t="str">
        <f aca="false">IF($C121="","",IFERROR(INDEX(품목마스터!$C$3:$C$302,MATCH($C121,품목마스터!$A$3:$A$302,0)),""))</f>
        <v/>
      </c>
      <c r="F121" s="12" t="str">
        <f aca="false">IF($C121="","",IFERROR(INDEX(품목마스터!$D$3:$D$302,MATCH($C121,품목마스터!$A$3:$A$302,0)),""))</f>
        <v/>
      </c>
      <c r="G121" s="9"/>
      <c r="H121" s="9"/>
      <c r="I121" s="13" t="str">
        <f aca="false">IF(OR($G121="",$H121=""),"",ROUND($G121*$H121,0))</f>
        <v/>
      </c>
      <c r="J121" s="7"/>
      <c r="K121" s="7"/>
      <c r="L121" s="14" t="str">
        <f aca="false">IF(OR($C121="",$G121=""),"",IF($B121="입고",$G121,IF($B121="출고",-$G121,$G121)))</f>
        <v/>
      </c>
      <c r="M121" s="13" t="str">
        <f aca="false">IF($C121="","",IFERROR(INDEX(품목마스터!$F$3:$F$302,MATCH($C121,품목마스터!$A$3:$A$302,0)),0)+SUMIFS($L$3:$L121,$C$3:$C121,$C121))</f>
        <v/>
      </c>
    </row>
    <row r="122" customFormat="false" ht="15" hidden="false" customHeight="true" outlineLevel="0" collapsed="false">
      <c r="A122" s="11"/>
      <c r="B122" s="7"/>
      <c r="C122" s="7"/>
      <c r="D122" s="12" t="str">
        <f aca="false">IF($C122="","",IFERROR(INDEX(품목마스터!$B$3:$B$302,MATCH($C122,품목마스터!$A$3:$A$302,0)),"미등록품번"))</f>
        <v/>
      </c>
      <c r="E122" s="12" t="str">
        <f aca="false">IF($C122="","",IFERROR(INDEX(품목마스터!$C$3:$C$302,MATCH($C122,품목마스터!$A$3:$A$302,0)),""))</f>
        <v/>
      </c>
      <c r="F122" s="12" t="str">
        <f aca="false">IF($C122="","",IFERROR(INDEX(품목마스터!$D$3:$D$302,MATCH($C122,품목마스터!$A$3:$A$302,0)),""))</f>
        <v/>
      </c>
      <c r="G122" s="9"/>
      <c r="H122" s="9"/>
      <c r="I122" s="13" t="str">
        <f aca="false">IF(OR($G122="",$H122=""),"",ROUND($G122*$H122,0))</f>
        <v/>
      </c>
      <c r="J122" s="7"/>
      <c r="K122" s="7"/>
      <c r="L122" s="14" t="str">
        <f aca="false">IF(OR($C122="",$G122=""),"",IF($B122="입고",$G122,IF($B122="출고",-$G122,$G122)))</f>
        <v/>
      </c>
      <c r="M122" s="13" t="str">
        <f aca="false">IF($C122="","",IFERROR(INDEX(품목마스터!$F$3:$F$302,MATCH($C122,품목마스터!$A$3:$A$302,0)),0)+SUMIFS($L$3:$L122,$C$3:$C122,$C122))</f>
        <v/>
      </c>
    </row>
    <row r="123" customFormat="false" ht="15" hidden="false" customHeight="true" outlineLevel="0" collapsed="false">
      <c r="A123" s="11"/>
      <c r="B123" s="7"/>
      <c r="C123" s="7"/>
      <c r="D123" s="12" t="str">
        <f aca="false">IF($C123="","",IFERROR(INDEX(품목마스터!$B$3:$B$302,MATCH($C123,품목마스터!$A$3:$A$302,0)),"미등록품번"))</f>
        <v/>
      </c>
      <c r="E123" s="12" t="str">
        <f aca="false">IF($C123="","",IFERROR(INDEX(품목마스터!$C$3:$C$302,MATCH($C123,품목마스터!$A$3:$A$302,0)),""))</f>
        <v/>
      </c>
      <c r="F123" s="12" t="str">
        <f aca="false">IF($C123="","",IFERROR(INDEX(품목마스터!$D$3:$D$302,MATCH($C123,품목마스터!$A$3:$A$302,0)),""))</f>
        <v/>
      </c>
      <c r="G123" s="9"/>
      <c r="H123" s="9"/>
      <c r="I123" s="13" t="str">
        <f aca="false">IF(OR($G123="",$H123=""),"",ROUND($G123*$H123,0))</f>
        <v/>
      </c>
      <c r="J123" s="7"/>
      <c r="K123" s="7"/>
      <c r="L123" s="14" t="str">
        <f aca="false">IF(OR($C123="",$G123=""),"",IF($B123="입고",$G123,IF($B123="출고",-$G123,$G123)))</f>
        <v/>
      </c>
      <c r="M123" s="13" t="str">
        <f aca="false">IF($C123="","",IFERROR(INDEX(품목마스터!$F$3:$F$302,MATCH($C123,품목마스터!$A$3:$A$302,0)),0)+SUMIFS($L$3:$L123,$C$3:$C123,$C123))</f>
        <v/>
      </c>
    </row>
    <row r="124" customFormat="false" ht="15" hidden="false" customHeight="true" outlineLevel="0" collapsed="false">
      <c r="A124" s="11"/>
      <c r="B124" s="7"/>
      <c r="C124" s="7"/>
      <c r="D124" s="12" t="str">
        <f aca="false">IF($C124="","",IFERROR(INDEX(품목마스터!$B$3:$B$302,MATCH($C124,품목마스터!$A$3:$A$302,0)),"미등록품번"))</f>
        <v/>
      </c>
      <c r="E124" s="12" t="str">
        <f aca="false">IF($C124="","",IFERROR(INDEX(품목마스터!$C$3:$C$302,MATCH($C124,품목마스터!$A$3:$A$302,0)),""))</f>
        <v/>
      </c>
      <c r="F124" s="12" t="str">
        <f aca="false">IF($C124="","",IFERROR(INDEX(품목마스터!$D$3:$D$302,MATCH($C124,품목마스터!$A$3:$A$302,0)),""))</f>
        <v/>
      </c>
      <c r="G124" s="9"/>
      <c r="H124" s="9"/>
      <c r="I124" s="13" t="str">
        <f aca="false">IF(OR($G124="",$H124=""),"",ROUND($G124*$H124,0))</f>
        <v/>
      </c>
      <c r="J124" s="7"/>
      <c r="K124" s="7"/>
      <c r="L124" s="14" t="str">
        <f aca="false">IF(OR($C124="",$G124=""),"",IF($B124="입고",$G124,IF($B124="출고",-$G124,$G124)))</f>
        <v/>
      </c>
      <c r="M124" s="13" t="str">
        <f aca="false">IF($C124="","",IFERROR(INDEX(품목마스터!$F$3:$F$302,MATCH($C124,품목마스터!$A$3:$A$302,0)),0)+SUMIFS($L$3:$L124,$C$3:$C124,$C124))</f>
        <v/>
      </c>
    </row>
    <row r="125" customFormat="false" ht="15" hidden="false" customHeight="true" outlineLevel="0" collapsed="false">
      <c r="A125" s="11"/>
      <c r="B125" s="7"/>
      <c r="C125" s="7"/>
      <c r="D125" s="12" t="str">
        <f aca="false">IF($C125="","",IFERROR(INDEX(품목마스터!$B$3:$B$302,MATCH($C125,품목마스터!$A$3:$A$302,0)),"미등록품번"))</f>
        <v/>
      </c>
      <c r="E125" s="12" t="str">
        <f aca="false">IF($C125="","",IFERROR(INDEX(품목마스터!$C$3:$C$302,MATCH($C125,품목마스터!$A$3:$A$302,0)),""))</f>
        <v/>
      </c>
      <c r="F125" s="12" t="str">
        <f aca="false">IF($C125="","",IFERROR(INDEX(품목마스터!$D$3:$D$302,MATCH($C125,품목마스터!$A$3:$A$302,0)),""))</f>
        <v/>
      </c>
      <c r="G125" s="9"/>
      <c r="H125" s="9"/>
      <c r="I125" s="13" t="str">
        <f aca="false">IF(OR($G125="",$H125=""),"",ROUND($G125*$H125,0))</f>
        <v/>
      </c>
      <c r="J125" s="7"/>
      <c r="K125" s="7"/>
      <c r="L125" s="14" t="str">
        <f aca="false">IF(OR($C125="",$G125=""),"",IF($B125="입고",$G125,IF($B125="출고",-$G125,$G125)))</f>
        <v/>
      </c>
      <c r="M125" s="13" t="str">
        <f aca="false">IF($C125="","",IFERROR(INDEX(품목마스터!$F$3:$F$302,MATCH($C125,품목마스터!$A$3:$A$302,0)),0)+SUMIFS($L$3:$L125,$C$3:$C125,$C125))</f>
        <v/>
      </c>
    </row>
    <row r="126" customFormat="false" ht="15" hidden="false" customHeight="true" outlineLevel="0" collapsed="false">
      <c r="A126" s="11"/>
      <c r="B126" s="7"/>
      <c r="C126" s="7"/>
      <c r="D126" s="12" t="str">
        <f aca="false">IF($C126="","",IFERROR(INDEX(품목마스터!$B$3:$B$302,MATCH($C126,품목마스터!$A$3:$A$302,0)),"미등록품번"))</f>
        <v/>
      </c>
      <c r="E126" s="12" t="str">
        <f aca="false">IF($C126="","",IFERROR(INDEX(품목마스터!$C$3:$C$302,MATCH($C126,품목마스터!$A$3:$A$302,0)),""))</f>
        <v/>
      </c>
      <c r="F126" s="12" t="str">
        <f aca="false">IF($C126="","",IFERROR(INDEX(품목마스터!$D$3:$D$302,MATCH($C126,품목마스터!$A$3:$A$302,0)),""))</f>
        <v/>
      </c>
      <c r="G126" s="9"/>
      <c r="H126" s="9"/>
      <c r="I126" s="13" t="str">
        <f aca="false">IF(OR($G126="",$H126=""),"",ROUND($G126*$H126,0))</f>
        <v/>
      </c>
      <c r="J126" s="7"/>
      <c r="K126" s="7"/>
      <c r="L126" s="14" t="str">
        <f aca="false">IF(OR($C126="",$G126=""),"",IF($B126="입고",$G126,IF($B126="출고",-$G126,$G126)))</f>
        <v/>
      </c>
      <c r="M126" s="13" t="str">
        <f aca="false">IF($C126="","",IFERROR(INDEX(품목마스터!$F$3:$F$302,MATCH($C126,품목마스터!$A$3:$A$302,0)),0)+SUMIFS($L$3:$L126,$C$3:$C126,$C126))</f>
        <v/>
      </c>
    </row>
    <row r="127" customFormat="false" ht="15" hidden="false" customHeight="true" outlineLevel="0" collapsed="false">
      <c r="A127" s="11"/>
      <c r="B127" s="7"/>
      <c r="C127" s="7"/>
      <c r="D127" s="12" t="str">
        <f aca="false">IF($C127="","",IFERROR(INDEX(품목마스터!$B$3:$B$302,MATCH($C127,품목마스터!$A$3:$A$302,0)),"미등록품번"))</f>
        <v/>
      </c>
      <c r="E127" s="12" t="str">
        <f aca="false">IF($C127="","",IFERROR(INDEX(품목마스터!$C$3:$C$302,MATCH($C127,품목마스터!$A$3:$A$302,0)),""))</f>
        <v/>
      </c>
      <c r="F127" s="12" t="str">
        <f aca="false">IF($C127="","",IFERROR(INDEX(품목마스터!$D$3:$D$302,MATCH($C127,품목마스터!$A$3:$A$302,0)),""))</f>
        <v/>
      </c>
      <c r="G127" s="9"/>
      <c r="H127" s="9"/>
      <c r="I127" s="13" t="str">
        <f aca="false">IF(OR($G127="",$H127=""),"",ROUND($G127*$H127,0))</f>
        <v/>
      </c>
      <c r="J127" s="7"/>
      <c r="K127" s="7"/>
      <c r="L127" s="14" t="str">
        <f aca="false">IF(OR($C127="",$G127=""),"",IF($B127="입고",$G127,IF($B127="출고",-$G127,$G127)))</f>
        <v/>
      </c>
      <c r="M127" s="13" t="str">
        <f aca="false">IF($C127="","",IFERROR(INDEX(품목마스터!$F$3:$F$302,MATCH($C127,품목마스터!$A$3:$A$302,0)),0)+SUMIFS($L$3:$L127,$C$3:$C127,$C127))</f>
        <v/>
      </c>
    </row>
    <row r="128" customFormat="false" ht="15" hidden="false" customHeight="true" outlineLevel="0" collapsed="false">
      <c r="A128" s="11"/>
      <c r="B128" s="7"/>
      <c r="C128" s="7"/>
      <c r="D128" s="12" t="str">
        <f aca="false">IF($C128="","",IFERROR(INDEX(품목마스터!$B$3:$B$302,MATCH($C128,품목마스터!$A$3:$A$302,0)),"미등록품번"))</f>
        <v/>
      </c>
      <c r="E128" s="12" t="str">
        <f aca="false">IF($C128="","",IFERROR(INDEX(품목마스터!$C$3:$C$302,MATCH($C128,품목마스터!$A$3:$A$302,0)),""))</f>
        <v/>
      </c>
      <c r="F128" s="12" t="str">
        <f aca="false">IF($C128="","",IFERROR(INDEX(품목마스터!$D$3:$D$302,MATCH($C128,품목마스터!$A$3:$A$302,0)),""))</f>
        <v/>
      </c>
      <c r="G128" s="9"/>
      <c r="H128" s="9"/>
      <c r="I128" s="13" t="str">
        <f aca="false">IF(OR($G128="",$H128=""),"",ROUND($G128*$H128,0))</f>
        <v/>
      </c>
      <c r="J128" s="7"/>
      <c r="K128" s="7"/>
      <c r="L128" s="14" t="str">
        <f aca="false">IF(OR($C128="",$G128=""),"",IF($B128="입고",$G128,IF($B128="출고",-$G128,$G128)))</f>
        <v/>
      </c>
      <c r="M128" s="13" t="str">
        <f aca="false">IF($C128="","",IFERROR(INDEX(품목마스터!$F$3:$F$302,MATCH($C128,품목마스터!$A$3:$A$302,0)),0)+SUMIFS($L$3:$L128,$C$3:$C128,$C128))</f>
        <v/>
      </c>
    </row>
    <row r="129" customFormat="false" ht="15" hidden="false" customHeight="true" outlineLevel="0" collapsed="false">
      <c r="A129" s="11"/>
      <c r="B129" s="7"/>
      <c r="C129" s="7"/>
      <c r="D129" s="12" t="str">
        <f aca="false">IF($C129="","",IFERROR(INDEX(품목마스터!$B$3:$B$302,MATCH($C129,품목마스터!$A$3:$A$302,0)),"미등록품번"))</f>
        <v/>
      </c>
      <c r="E129" s="12" t="str">
        <f aca="false">IF($C129="","",IFERROR(INDEX(품목마스터!$C$3:$C$302,MATCH($C129,품목마스터!$A$3:$A$302,0)),""))</f>
        <v/>
      </c>
      <c r="F129" s="12" t="str">
        <f aca="false">IF($C129="","",IFERROR(INDEX(품목마스터!$D$3:$D$302,MATCH($C129,품목마스터!$A$3:$A$302,0)),""))</f>
        <v/>
      </c>
      <c r="G129" s="9"/>
      <c r="H129" s="9"/>
      <c r="I129" s="13" t="str">
        <f aca="false">IF(OR($G129="",$H129=""),"",ROUND($G129*$H129,0))</f>
        <v/>
      </c>
      <c r="J129" s="7"/>
      <c r="K129" s="7"/>
      <c r="L129" s="14" t="str">
        <f aca="false">IF(OR($C129="",$G129=""),"",IF($B129="입고",$G129,IF($B129="출고",-$G129,$G129)))</f>
        <v/>
      </c>
      <c r="M129" s="13" t="str">
        <f aca="false">IF($C129="","",IFERROR(INDEX(품목마스터!$F$3:$F$302,MATCH($C129,품목마스터!$A$3:$A$302,0)),0)+SUMIFS($L$3:$L129,$C$3:$C129,$C129))</f>
        <v/>
      </c>
    </row>
    <row r="130" customFormat="false" ht="15" hidden="false" customHeight="true" outlineLevel="0" collapsed="false">
      <c r="A130" s="11"/>
      <c r="B130" s="7"/>
      <c r="C130" s="7"/>
      <c r="D130" s="12" t="str">
        <f aca="false">IF($C130="","",IFERROR(INDEX(품목마스터!$B$3:$B$302,MATCH($C130,품목마스터!$A$3:$A$302,0)),"미등록품번"))</f>
        <v/>
      </c>
      <c r="E130" s="12" t="str">
        <f aca="false">IF($C130="","",IFERROR(INDEX(품목마스터!$C$3:$C$302,MATCH($C130,품목마스터!$A$3:$A$302,0)),""))</f>
        <v/>
      </c>
      <c r="F130" s="12" t="str">
        <f aca="false">IF($C130="","",IFERROR(INDEX(품목마스터!$D$3:$D$302,MATCH($C130,품목마스터!$A$3:$A$302,0)),""))</f>
        <v/>
      </c>
      <c r="G130" s="9"/>
      <c r="H130" s="9"/>
      <c r="I130" s="13" t="str">
        <f aca="false">IF(OR($G130="",$H130=""),"",ROUND($G130*$H130,0))</f>
        <v/>
      </c>
      <c r="J130" s="7"/>
      <c r="K130" s="7"/>
      <c r="L130" s="14" t="str">
        <f aca="false">IF(OR($C130="",$G130=""),"",IF($B130="입고",$G130,IF($B130="출고",-$G130,$G130)))</f>
        <v/>
      </c>
      <c r="M130" s="13" t="str">
        <f aca="false">IF($C130="","",IFERROR(INDEX(품목마스터!$F$3:$F$302,MATCH($C130,품목마스터!$A$3:$A$302,0)),0)+SUMIFS($L$3:$L130,$C$3:$C130,$C130))</f>
        <v/>
      </c>
    </row>
    <row r="131" customFormat="false" ht="15" hidden="false" customHeight="true" outlineLevel="0" collapsed="false">
      <c r="A131" s="11"/>
      <c r="B131" s="7"/>
      <c r="C131" s="7"/>
      <c r="D131" s="12" t="str">
        <f aca="false">IF($C131="","",IFERROR(INDEX(품목마스터!$B$3:$B$302,MATCH($C131,품목마스터!$A$3:$A$302,0)),"미등록품번"))</f>
        <v/>
      </c>
      <c r="E131" s="12" t="str">
        <f aca="false">IF($C131="","",IFERROR(INDEX(품목마스터!$C$3:$C$302,MATCH($C131,품목마스터!$A$3:$A$302,0)),""))</f>
        <v/>
      </c>
      <c r="F131" s="12" t="str">
        <f aca="false">IF($C131="","",IFERROR(INDEX(품목마스터!$D$3:$D$302,MATCH($C131,품목마스터!$A$3:$A$302,0)),""))</f>
        <v/>
      </c>
      <c r="G131" s="9"/>
      <c r="H131" s="9"/>
      <c r="I131" s="13" t="str">
        <f aca="false">IF(OR($G131="",$H131=""),"",ROUND($G131*$H131,0))</f>
        <v/>
      </c>
      <c r="J131" s="7"/>
      <c r="K131" s="7"/>
      <c r="L131" s="14" t="str">
        <f aca="false">IF(OR($C131="",$G131=""),"",IF($B131="입고",$G131,IF($B131="출고",-$G131,$G131)))</f>
        <v/>
      </c>
      <c r="M131" s="13" t="str">
        <f aca="false">IF($C131="","",IFERROR(INDEX(품목마스터!$F$3:$F$302,MATCH($C131,품목마스터!$A$3:$A$302,0)),0)+SUMIFS($L$3:$L131,$C$3:$C131,$C131))</f>
        <v/>
      </c>
    </row>
    <row r="132" customFormat="false" ht="15" hidden="false" customHeight="true" outlineLevel="0" collapsed="false">
      <c r="A132" s="11"/>
      <c r="B132" s="7"/>
      <c r="C132" s="7"/>
      <c r="D132" s="12" t="str">
        <f aca="false">IF($C132="","",IFERROR(INDEX(품목마스터!$B$3:$B$302,MATCH($C132,품목마스터!$A$3:$A$302,0)),"미등록품번"))</f>
        <v/>
      </c>
      <c r="E132" s="12" t="str">
        <f aca="false">IF($C132="","",IFERROR(INDEX(품목마스터!$C$3:$C$302,MATCH($C132,품목마스터!$A$3:$A$302,0)),""))</f>
        <v/>
      </c>
      <c r="F132" s="12" t="str">
        <f aca="false">IF($C132="","",IFERROR(INDEX(품목마스터!$D$3:$D$302,MATCH($C132,품목마스터!$A$3:$A$302,0)),""))</f>
        <v/>
      </c>
      <c r="G132" s="9"/>
      <c r="H132" s="9"/>
      <c r="I132" s="13" t="str">
        <f aca="false">IF(OR($G132="",$H132=""),"",ROUND($G132*$H132,0))</f>
        <v/>
      </c>
      <c r="J132" s="7"/>
      <c r="K132" s="7"/>
      <c r="L132" s="14" t="str">
        <f aca="false">IF(OR($C132="",$G132=""),"",IF($B132="입고",$G132,IF($B132="출고",-$G132,$G132)))</f>
        <v/>
      </c>
      <c r="M132" s="13" t="str">
        <f aca="false">IF($C132="","",IFERROR(INDEX(품목마스터!$F$3:$F$302,MATCH($C132,품목마스터!$A$3:$A$302,0)),0)+SUMIFS($L$3:$L132,$C$3:$C132,$C132))</f>
        <v/>
      </c>
    </row>
    <row r="133" customFormat="false" ht="15" hidden="false" customHeight="true" outlineLevel="0" collapsed="false">
      <c r="A133" s="11"/>
      <c r="B133" s="7"/>
      <c r="C133" s="7"/>
      <c r="D133" s="12" t="str">
        <f aca="false">IF($C133="","",IFERROR(INDEX(품목마스터!$B$3:$B$302,MATCH($C133,품목마스터!$A$3:$A$302,0)),"미등록품번"))</f>
        <v/>
      </c>
      <c r="E133" s="12" t="str">
        <f aca="false">IF($C133="","",IFERROR(INDEX(품목마스터!$C$3:$C$302,MATCH($C133,품목마스터!$A$3:$A$302,0)),""))</f>
        <v/>
      </c>
      <c r="F133" s="12" t="str">
        <f aca="false">IF($C133="","",IFERROR(INDEX(품목마스터!$D$3:$D$302,MATCH($C133,품목마스터!$A$3:$A$302,0)),""))</f>
        <v/>
      </c>
      <c r="G133" s="9"/>
      <c r="H133" s="9"/>
      <c r="I133" s="13" t="str">
        <f aca="false">IF(OR($G133="",$H133=""),"",ROUND($G133*$H133,0))</f>
        <v/>
      </c>
      <c r="J133" s="7"/>
      <c r="K133" s="7"/>
      <c r="L133" s="14" t="str">
        <f aca="false">IF(OR($C133="",$G133=""),"",IF($B133="입고",$G133,IF($B133="출고",-$G133,$G133)))</f>
        <v/>
      </c>
      <c r="M133" s="13" t="str">
        <f aca="false">IF($C133="","",IFERROR(INDEX(품목마스터!$F$3:$F$302,MATCH($C133,품목마스터!$A$3:$A$302,0)),0)+SUMIFS($L$3:$L133,$C$3:$C133,$C133))</f>
        <v/>
      </c>
    </row>
    <row r="134" customFormat="false" ht="15" hidden="false" customHeight="true" outlineLevel="0" collapsed="false">
      <c r="A134" s="11"/>
      <c r="B134" s="7"/>
      <c r="C134" s="7"/>
      <c r="D134" s="12" t="str">
        <f aca="false">IF($C134="","",IFERROR(INDEX(품목마스터!$B$3:$B$302,MATCH($C134,품목마스터!$A$3:$A$302,0)),"미등록품번"))</f>
        <v/>
      </c>
      <c r="E134" s="12" t="str">
        <f aca="false">IF($C134="","",IFERROR(INDEX(품목마스터!$C$3:$C$302,MATCH($C134,품목마스터!$A$3:$A$302,0)),""))</f>
        <v/>
      </c>
      <c r="F134" s="12" t="str">
        <f aca="false">IF($C134="","",IFERROR(INDEX(품목마스터!$D$3:$D$302,MATCH($C134,품목마스터!$A$3:$A$302,0)),""))</f>
        <v/>
      </c>
      <c r="G134" s="9"/>
      <c r="H134" s="9"/>
      <c r="I134" s="13" t="str">
        <f aca="false">IF(OR($G134="",$H134=""),"",ROUND($G134*$H134,0))</f>
        <v/>
      </c>
      <c r="J134" s="7"/>
      <c r="K134" s="7"/>
      <c r="L134" s="14" t="str">
        <f aca="false">IF(OR($C134="",$G134=""),"",IF($B134="입고",$G134,IF($B134="출고",-$G134,$G134)))</f>
        <v/>
      </c>
      <c r="M134" s="13" t="str">
        <f aca="false">IF($C134="","",IFERROR(INDEX(품목마스터!$F$3:$F$302,MATCH($C134,품목마스터!$A$3:$A$302,0)),0)+SUMIFS($L$3:$L134,$C$3:$C134,$C134))</f>
        <v/>
      </c>
    </row>
    <row r="135" customFormat="false" ht="15" hidden="false" customHeight="true" outlineLevel="0" collapsed="false">
      <c r="A135" s="11"/>
      <c r="B135" s="7"/>
      <c r="C135" s="7"/>
      <c r="D135" s="12" t="str">
        <f aca="false">IF($C135="","",IFERROR(INDEX(품목마스터!$B$3:$B$302,MATCH($C135,품목마스터!$A$3:$A$302,0)),"미등록품번"))</f>
        <v/>
      </c>
      <c r="E135" s="12" t="str">
        <f aca="false">IF($C135="","",IFERROR(INDEX(품목마스터!$C$3:$C$302,MATCH($C135,품목마스터!$A$3:$A$302,0)),""))</f>
        <v/>
      </c>
      <c r="F135" s="12" t="str">
        <f aca="false">IF($C135="","",IFERROR(INDEX(품목마스터!$D$3:$D$302,MATCH($C135,품목마스터!$A$3:$A$302,0)),""))</f>
        <v/>
      </c>
      <c r="G135" s="9"/>
      <c r="H135" s="9"/>
      <c r="I135" s="13" t="str">
        <f aca="false">IF(OR($G135="",$H135=""),"",ROUND($G135*$H135,0))</f>
        <v/>
      </c>
      <c r="J135" s="7"/>
      <c r="K135" s="7"/>
      <c r="L135" s="14" t="str">
        <f aca="false">IF(OR($C135="",$G135=""),"",IF($B135="입고",$G135,IF($B135="출고",-$G135,$G135)))</f>
        <v/>
      </c>
      <c r="M135" s="13" t="str">
        <f aca="false">IF($C135="","",IFERROR(INDEX(품목마스터!$F$3:$F$302,MATCH($C135,품목마스터!$A$3:$A$302,0)),0)+SUMIFS($L$3:$L135,$C$3:$C135,$C135))</f>
        <v/>
      </c>
    </row>
    <row r="136" customFormat="false" ht="15" hidden="false" customHeight="true" outlineLevel="0" collapsed="false">
      <c r="A136" s="11"/>
      <c r="B136" s="7"/>
      <c r="C136" s="7"/>
      <c r="D136" s="12" t="str">
        <f aca="false">IF($C136="","",IFERROR(INDEX(품목마스터!$B$3:$B$302,MATCH($C136,품목마스터!$A$3:$A$302,0)),"미등록품번"))</f>
        <v/>
      </c>
      <c r="E136" s="12" t="str">
        <f aca="false">IF($C136="","",IFERROR(INDEX(품목마스터!$C$3:$C$302,MATCH($C136,품목마스터!$A$3:$A$302,0)),""))</f>
        <v/>
      </c>
      <c r="F136" s="12" t="str">
        <f aca="false">IF($C136="","",IFERROR(INDEX(품목마스터!$D$3:$D$302,MATCH($C136,품목마스터!$A$3:$A$302,0)),""))</f>
        <v/>
      </c>
      <c r="G136" s="9"/>
      <c r="H136" s="9"/>
      <c r="I136" s="13" t="str">
        <f aca="false">IF(OR($G136="",$H136=""),"",ROUND($G136*$H136,0))</f>
        <v/>
      </c>
      <c r="J136" s="7"/>
      <c r="K136" s="7"/>
      <c r="L136" s="14" t="str">
        <f aca="false">IF(OR($C136="",$G136=""),"",IF($B136="입고",$G136,IF($B136="출고",-$G136,$G136)))</f>
        <v/>
      </c>
      <c r="M136" s="13" t="str">
        <f aca="false">IF($C136="","",IFERROR(INDEX(품목마스터!$F$3:$F$302,MATCH($C136,품목마스터!$A$3:$A$302,0)),0)+SUMIFS($L$3:$L136,$C$3:$C136,$C136))</f>
        <v/>
      </c>
    </row>
    <row r="137" customFormat="false" ht="15" hidden="false" customHeight="true" outlineLevel="0" collapsed="false">
      <c r="A137" s="11"/>
      <c r="B137" s="7"/>
      <c r="C137" s="7"/>
      <c r="D137" s="12" t="str">
        <f aca="false">IF($C137="","",IFERROR(INDEX(품목마스터!$B$3:$B$302,MATCH($C137,품목마스터!$A$3:$A$302,0)),"미등록품번"))</f>
        <v/>
      </c>
      <c r="E137" s="12" t="str">
        <f aca="false">IF($C137="","",IFERROR(INDEX(품목마스터!$C$3:$C$302,MATCH($C137,품목마스터!$A$3:$A$302,0)),""))</f>
        <v/>
      </c>
      <c r="F137" s="12" t="str">
        <f aca="false">IF($C137="","",IFERROR(INDEX(품목마스터!$D$3:$D$302,MATCH($C137,품목마스터!$A$3:$A$302,0)),""))</f>
        <v/>
      </c>
      <c r="G137" s="9"/>
      <c r="H137" s="9"/>
      <c r="I137" s="13" t="str">
        <f aca="false">IF(OR($G137="",$H137=""),"",ROUND($G137*$H137,0))</f>
        <v/>
      </c>
      <c r="J137" s="7"/>
      <c r="K137" s="7"/>
      <c r="L137" s="14" t="str">
        <f aca="false">IF(OR($C137="",$G137=""),"",IF($B137="입고",$G137,IF($B137="출고",-$G137,$G137)))</f>
        <v/>
      </c>
      <c r="M137" s="13" t="str">
        <f aca="false">IF($C137="","",IFERROR(INDEX(품목마스터!$F$3:$F$302,MATCH($C137,품목마스터!$A$3:$A$302,0)),0)+SUMIFS($L$3:$L137,$C$3:$C137,$C137))</f>
        <v/>
      </c>
    </row>
    <row r="138" customFormat="false" ht="15" hidden="false" customHeight="true" outlineLevel="0" collapsed="false">
      <c r="A138" s="11"/>
      <c r="B138" s="7"/>
      <c r="C138" s="7"/>
      <c r="D138" s="12" t="str">
        <f aca="false">IF($C138="","",IFERROR(INDEX(품목마스터!$B$3:$B$302,MATCH($C138,품목마스터!$A$3:$A$302,0)),"미등록품번"))</f>
        <v/>
      </c>
      <c r="E138" s="12" t="str">
        <f aca="false">IF($C138="","",IFERROR(INDEX(품목마스터!$C$3:$C$302,MATCH($C138,품목마스터!$A$3:$A$302,0)),""))</f>
        <v/>
      </c>
      <c r="F138" s="12" t="str">
        <f aca="false">IF($C138="","",IFERROR(INDEX(품목마스터!$D$3:$D$302,MATCH($C138,품목마스터!$A$3:$A$302,0)),""))</f>
        <v/>
      </c>
      <c r="G138" s="9"/>
      <c r="H138" s="9"/>
      <c r="I138" s="13" t="str">
        <f aca="false">IF(OR($G138="",$H138=""),"",ROUND($G138*$H138,0))</f>
        <v/>
      </c>
      <c r="J138" s="7"/>
      <c r="K138" s="7"/>
      <c r="L138" s="14" t="str">
        <f aca="false">IF(OR($C138="",$G138=""),"",IF($B138="입고",$G138,IF($B138="출고",-$G138,$G138)))</f>
        <v/>
      </c>
      <c r="M138" s="13" t="str">
        <f aca="false">IF($C138="","",IFERROR(INDEX(품목마스터!$F$3:$F$302,MATCH($C138,품목마스터!$A$3:$A$302,0)),0)+SUMIFS($L$3:$L138,$C$3:$C138,$C138))</f>
        <v/>
      </c>
    </row>
    <row r="139" customFormat="false" ht="15" hidden="false" customHeight="true" outlineLevel="0" collapsed="false">
      <c r="A139" s="11"/>
      <c r="B139" s="7"/>
      <c r="C139" s="7"/>
      <c r="D139" s="12" t="str">
        <f aca="false">IF($C139="","",IFERROR(INDEX(품목마스터!$B$3:$B$302,MATCH($C139,품목마스터!$A$3:$A$302,0)),"미등록품번"))</f>
        <v/>
      </c>
      <c r="E139" s="12" t="str">
        <f aca="false">IF($C139="","",IFERROR(INDEX(품목마스터!$C$3:$C$302,MATCH($C139,품목마스터!$A$3:$A$302,0)),""))</f>
        <v/>
      </c>
      <c r="F139" s="12" t="str">
        <f aca="false">IF($C139="","",IFERROR(INDEX(품목마스터!$D$3:$D$302,MATCH($C139,품목마스터!$A$3:$A$302,0)),""))</f>
        <v/>
      </c>
      <c r="G139" s="9"/>
      <c r="H139" s="9"/>
      <c r="I139" s="13" t="str">
        <f aca="false">IF(OR($G139="",$H139=""),"",ROUND($G139*$H139,0))</f>
        <v/>
      </c>
      <c r="J139" s="7"/>
      <c r="K139" s="7"/>
      <c r="L139" s="14" t="str">
        <f aca="false">IF(OR($C139="",$G139=""),"",IF($B139="입고",$G139,IF($B139="출고",-$G139,$G139)))</f>
        <v/>
      </c>
      <c r="M139" s="13" t="str">
        <f aca="false">IF($C139="","",IFERROR(INDEX(품목마스터!$F$3:$F$302,MATCH($C139,품목마스터!$A$3:$A$302,0)),0)+SUMIFS($L$3:$L139,$C$3:$C139,$C139))</f>
        <v/>
      </c>
    </row>
    <row r="140" customFormat="false" ht="15" hidden="false" customHeight="true" outlineLevel="0" collapsed="false">
      <c r="A140" s="11"/>
      <c r="B140" s="7"/>
      <c r="C140" s="7"/>
      <c r="D140" s="12" t="str">
        <f aca="false">IF($C140="","",IFERROR(INDEX(품목마스터!$B$3:$B$302,MATCH($C140,품목마스터!$A$3:$A$302,0)),"미등록품번"))</f>
        <v/>
      </c>
      <c r="E140" s="12" t="str">
        <f aca="false">IF($C140="","",IFERROR(INDEX(품목마스터!$C$3:$C$302,MATCH($C140,품목마스터!$A$3:$A$302,0)),""))</f>
        <v/>
      </c>
      <c r="F140" s="12" t="str">
        <f aca="false">IF($C140="","",IFERROR(INDEX(품목마스터!$D$3:$D$302,MATCH($C140,품목마스터!$A$3:$A$302,0)),""))</f>
        <v/>
      </c>
      <c r="G140" s="9"/>
      <c r="H140" s="9"/>
      <c r="I140" s="13" t="str">
        <f aca="false">IF(OR($G140="",$H140=""),"",ROUND($G140*$H140,0))</f>
        <v/>
      </c>
      <c r="J140" s="7"/>
      <c r="K140" s="7"/>
      <c r="L140" s="14" t="str">
        <f aca="false">IF(OR($C140="",$G140=""),"",IF($B140="입고",$G140,IF($B140="출고",-$G140,$G140)))</f>
        <v/>
      </c>
      <c r="M140" s="13" t="str">
        <f aca="false">IF($C140="","",IFERROR(INDEX(품목마스터!$F$3:$F$302,MATCH($C140,품목마스터!$A$3:$A$302,0)),0)+SUMIFS($L$3:$L140,$C$3:$C140,$C140))</f>
        <v/>
      </c>
    </row>
    <row r="141" customFormat="false" ht="15" hidden="false" customHeight="true" outlineLevel="0" collapsed="false">
      <c r="A141" s="11"/>
      <c r="B141" s="7"/>
      <c r="C141" s="7"/>
      <c r="D141" s="12" t="str">
        <f aca="false">IF($C141="","",IFERROR(INDEX(품목마스터!$B$3:$B$302,MATCH($C141,품목마스터!$A$3:$A$302,0)),"미등록품번"))</f>
        <v/>
      </c>
      <c r="E141" s="12" t="str">
        <f aca="false">IF($C141="","",IFERROR(INDEX(품목마스터!$C$3:$C$302,MATCH($C141,품목마스터!$A$3:$A$302,0)),""))</f>
        <v/>
      </c>
      <c r="F141" s="12" t="str">
        <f aca="false">IF($C141="","",IFERROR(INDEX(품목마스터!$D$3:$D$302,MATCH($C141,품목마스터!$A$3:$A$302,0)),""))</f>
        <v/>
      </c>
      <c r="G141" s="9"/>
      <c r="H141" s="9"/>
      <c r="I141" s="13" t="str">
        <f aca="false">IF(OR($G141="",$H141=""),"",ROUND($G141*$H141,0))</f>
        <v/>
      </c>
      <c r="J141" s="7"/>
      <c r="K141" s="7"/>
      <c r="L141" s="14" t="str">
        <f aca="false">IF(OR($C141="",$G141=""),"",IF($B141="입고",$G141,IF($B141="출고",-$G141,$G141)))</f>
        <v/>
      </c>
      <c r="M141" s="13" t="str">
        <f aca="false">IF($C141="","",IFERROR(INDEX(품목마스터!$F$3:$F$302,MATCH($C141,품목마스터!$A$3:$A$302,0)),0)+SUMIFS($L$3:$L141,$C$3:$C141,$C141))</f>
        <v/>
      </c>
    </row>
    <row r="142" customFormat="false" ht="15" hidden="false" customHeight="true" outlineLevel="0" collapsed="false">
      <c r="A142" s="11"/>
      <c r="B142" s="7"/>
      <c r="C142" s="7"/>
      <c r="D142" s="12" t="str">
        <f aca="false">IF($C142="","",IFERROR(INDEX(품목마스터!$B$3:$B$302,MATCH($C142,품목마스터!$A$3:$A$302,0)),"미등록품번"))</f>
        <v/>
      </c>
      <c r="E142" s="12" t="str">
        <f aca="false">IF($C142="","",IFERROR(INDEX(품목마스터!$C$3:$C$302,MATCH($C142,품목마스터!$A$3:$A$302,0)),""))</f>
        <v/>
      </c>
      <c r="F142" s="12" t="str">
        <f aca="false">IF($C142="","",IFERROR(INDEX(품목마스터!$D$3:$D$302,MATCH($C142,품목마스터!$A$3:$A$302,0)),""))</f>
        <v/>
      </c>
      <c r="G142" s="9"/>
      <c r="H142" s="9"/>
      <c r="I142" s="13" t="str">
        <f aca="false">IF(OR($G142="",$H142=""),"",ROUND($G142*$H142,0))</f>
        <v/>
      </c>
      <c r="J142" s="7"/>
      <c r="K142" s="7"/>
      <c r="L142" s="14" t="str">
        <f aca="false">IF(OR($C142="",$G142=""),"",IF($B142="입고",$G142,IF($B142="출고",-$G142,$G142)))</f>
        <v/>
      </c>
      <c r="M142" s="13" t="str">
        <f aca="false">IF($C142="","",IFERROR(INDEX(품목마스터!$F$3:$F$302,MATCH($C142,품목마스터!$A$3:$A$302,0)),0)+SUMIFS($L$3:$L142,$C$3:$C142,$C142))</f>
        <v/>
      </c>
    </row>
    <row r="143" customFormat="false" ht="15" hidden="false" customHeight="true" outlineLevel="0" collapsed="false">
      <c r="A143" s="11"/>
      <c r="B143" s="7"/>
      <c r="C143" s="7"/>
      <c r="D143" s="12" t="str">
        <f aca="false">IF($C143="","",IFERROR(INDEX(품목마스터!$B$3:$B$302,MATCH($C143,품목마스터!$A$3:$A$302,0)),"미등록품번"))</f>
        <v/>
      </c>
      <c r="E143" s="12" t="str">
        <f aca="false">IF($C143="","",IFERROR(INDEX(품목마스터!$C$3:$C$302,MATCH($C143,품목마스터!$A$3:$A$302,0)),""))</f>
        <v/>
      </c>
      <c r="F143" s="12" t="str">
        <f aca="false">IF($C143="","",IFERROR(INDEX(품목마스터!$D$3:$D$302,MATCH($C143,품목마스터!$A$3:$A$302,0)),""))</f>
        <v/>
      </c>
      <c r="G143" s="9"/>
      <c r="H143" s="9"/>
      <c r="I143" s="13" t="str">
        <f aca="false">IF(OR($G143="",$H143=""),"",ROUND($G143*$H143,0))</f>
        <v/>
      </c>
      <c r="J143" s="7"/>
      <c r="K143" s="7"/>
      <c r="L143" s="14" t="str">
        <f aca="false">IF(OR($C143="",$G143=""),"",IF($B143="입고",$G143,IF($B143="출고",-$G143,$G143)))</f>
        <v/>
      </c>
      <c r="M143" s="13" t="str">
        <f aca="false">IF($C143="","",IFERROR(INDEX(품목마스터!$F$3:$F$302,MATCH($C143,품목마스터!$A$3:$A$302,0)),0)+SUMIFS($L$3:$L143,$C$3:$C143,$C143))</f>
        <v/>
      </c>
    </row>
    <row r="144" customFormat="false" ht="15" hidden="false" customHeight="true" outlineLevel="0" collapsed="false">
      <c r="A144" s="11"/>
      <c r="B144" s="7"/>
      <c r="C144" s="7"/>
      <c r="D144" s="12" t="str">
        <f aca="false">IF($C144="","",IFERROR(INDEX(품목마스터!$B$3:$B$302,MATCH($C144,품목마스터!$A$3:$A$302,0)),"미등록품번"))</f>
        <v/>
      </c>
      <c r="E144" s="12" t="str">
        <f aca="false">IF($C144="","",IFERROR(INDEX(품목마스터!$C$3:$C$302,MATCH($C144,품목마스터!$A$3:$A$302,0)),""))</f>
        <v/>
      </c>
      <c r="F144" s="12" t="str">
        <f aca="false">IF($C144="","",IFERROR(INDEX(품목마스터!$D$3:$D$302,MATCH($C144,품목마스터!$A$3:$A$302,0)),""))</f>
        <v/>
      </c>
      <c r="G144" s="9"/>
      <c r="H144" s="9"/>
      <c r="I144" s="13" t="str">
        <f aca="false">IF(OR($G144="",$H144=""),"",ROUND($G144*$H144,0))</f>
        <v/>
      </c>
      <c r="J144" s="7"/>
      <c r="K144" s="7"/>
      <c r="L144" s="14" t="str">
        <f aca="false">IF(OR($C144="",$G144=""),"",IF($B144="입고",$G144,IF($B144="출고",-$G144,$G144)))</f>
        <v/>
      </c>
      <c r="M144" s="13" t="str">
        <f aca="false">IF($C144="","",IFERROR(INDEX(품목마스터!$F$3:$F$302,MATCH($C144,품목마스터!$A$3:$A$302,0)),0)+SUMIFS($L$3:$L144,$C$3:$C144,$C144))</f>
        <v/>
      </c>
    </row>
    <row r="145" customFormat="false" ht="15" hidden="false" customHeight="true" outlineLevel="0" collapsed="false">
      <c r="A145" s="11"/>
      <c r="B145" s="7"/>
      <c r="C145" s="7"/>
      <c r="D145" s="12" t="str">
        <f aca="false">IF($C145="","",IFERROR(INDEX(품목마스터!$B$3:$B$302,MATCH($C145,품목마스터!$A$3:$A$302,0)),"미등록품번"))</f>
        <v/>
      </c>
      <c r="E145" s="12" t="str">
        <f aca="false">IF($C145="","",IFERROR(INDEX(품목마스터!$C$3:$C$302,MATCH($C145,품목마스터!$A$3:$A$302,0)),""))</f>
        <v/>
      </c>
      <c r="F145" s="12" t="str">
        <f aca="false">IF($C145="","",IFERROR(INDEX(품목마스터!$D$3:$D$302,MATCH($C145,품목마스터!$A$3:$A$302,0)),""))</f>
        <v/>
      </c>
      <c r="G145" s="9"/>
      <c r="H145" s="9"/>
      <c r="I145" s="13" t="str">
        <f aca="false">IF(OR($G145="",$H145=""),"",ROUND($G145*$H145,0))</f>
        <v/>
      </c>
      <c r="J145" s="7"/>
      <c r="K145" s="7"/>
      <c r="L145" s="14" t="str">
        <f aca="false">IF(OR($C145="",$G145=""),"",IF($B145="입고",$G145,IF($B145="출고",-$G145,$G145)))</f>
        <v/>
      </c>
      <c r="M145" s="13" t="str">
        <f aca="false">IF($C145="","",IFERROR(INDEX(품목마스터!$F$3:$F$302,MATCH($C145,품목마스터!$A$3:$A$302,0)),0)+SUMIFS($L$3:$L145,$C$3:$C145,$C145))</f>
        <v/>
      </c>
    </row>
    <row r="146" customFormat="false" ht="15" hidden="false" customHeight="true" outlineLevel="0" collapsed="false">
      <c r="A146" s="11"/>
      <c r="B146" s="7"/>
      <c r="C146" s="7"/>
      <c r="D146" s="12" t="str">
        <f aca="false">IF($C146="","",IFERROR(INDEX(품목마스터!$B$3:$B$302,MATCH($C146,품목마스터!$A$3:$A$302,0)),"미등록품번"))</f>
        <v/>
      </c>
      <c r="E146" s="12" t="str">
        <f aca="false">IF($C146="","",IFERROR(INDEX(품목마스터!$C$3:$C$302,MATCH($C146,품목마스터!$A$3:$A$302,0)),""))</f>
        <v/>
      </c>
      <c r="F146" s="12" t="str">
        <f aca="false">IF($C146="","",IFERROR(INDEX(품목마스터!$D$3:$D$302,MATCH($C146,품목마스터!$A$3:$A$302,0)),""))</f>
        <v/>
      </c>
      <c r="G146" s="9"/>
      <c r="H146" s="9"/>
      <c r="I146" s="13" t="str">
        <f aca="false">IF(OR($G146="",$H146=""),"",ROUND($G146*$H146,0))</f>
        <v/>
      </c>
      <c r="J146" s="7"/>
      <c r="K146" s="7"/>
      <c r="L146" s="14" t="str">
        <f aca="false">IF(OR($C146="",$G146=""),"",IF($B146="입고",$G146,IF($B146="출고",-$G146,$G146)))</f>
        <v/>
      </c>
      <c r="M146" s="13" t="str">
        <f aca="false">IF($C146="","",IFERROR(INDEX(품목마스터!$F$3:$F$302,MATCH($C146,품목마스터!$A$3:$A$302,0)),0)+SUMIFS($L$3:$L146,$C$3:$C146,$C146))</f>
        <v/>
      </c>
    </row>
    <row r="147" customFormat="false" ht="15" hidden="false" customHeight="true" outlineLevel="0" collapsed="false">
      <c r="A147" s="11"/>
      <c r="B147" s="7"/>
      <c r="C147" s="7"/>
      <c r="D147" s="12" t="str">
        <f aca="false">IF($C147="","",IFERROR(INDEX(품목마스터!$B$3:$B$302,MATCH($C147,품목마스터!$A$3:$A$302,0)),"미등록품번"))</f>
        <v/>
      </c>
      <c r="E147" s="12" t="str">
        <f aca="false">IF($C147="","",IFERROR(INDEX(품목마스터!$C$3:$C$302,MATCH($C147,품목마스터!$A$3:$A$302,0)),""))</f>
        <v/>
      </c>
      <c r="F147" s="12" t="str">
        <f aca="false">IF($C147="","",IFERROR(INDEX(품목마스터!$D$3:$D$302,MATCH($C147,품목마스터!$A$3:$A$302,0)),""))</f>
        <v/>
      </c>
      <c r="G147" s="9"/>
      <c r="H147" s="9"/>
      <c r="I147" s="13" t="str">
        <f aca="false">IF(OR($G147="",$H147=""),"",ROUND($G147*$H147,0))</f>
        <v/>
      </c>
      <c r="J147" s="7"/>
      <c r="K147" s="7"/>
      <c r="L147" s="14" t="str">
        <f aca="false">IF(OR($C147="",$G147=""),"",IF($B147="입고",$G147,IF($B147="출고",-$G147,$G147)))</f>
        <v/>
      </c>
      <c r="M147" s="13" t="str">
        <f aca="false">IF($C147="","",IFERROR(INDEX(품목마스터!$F$3:$F$302,MATCH($C147,품목마스터!$A$3:$A$302,0)),0)+SUMIFS($L$3:$L147,$C$3:$C147,$C147))</f>
        <v/>
      </c>
    </row>
    <row r="148" customFormat="false" ht="15" hidden="false" customHeight="true" outlineLevel="0" collapsed="false">
      <c r="A148" s="11"/>
      <c r="B148" s="7"/>
      <c r="C148" s="7"/>
      <c r="D148" s="12" t="str">
        <f aca="false">IF($C148="","",IFERROR(INDEX(품목마스터!$B$3:$B$302,MATCH($C148,품목마스터!$A$3:$A$302,0)),"미등록품번"))</f>
        <v/>
      </c>
      <c r="E148" s="12" t="str">
        <f aca="false">IF($C148="","",IFERROR(INDEX(품목마스터!$C$3:$C$302,MATCH($C148,품목마스터!$A$3:$A$302,0)),""))</f>
        <v/>
      </c>
      <c r="F148" s="12" t="str">
        <f aca="false">IF($C148="","",IFERROR(INDEX(품목마스터!$D$3:$D$302,MATCH($C148,품목마스터!$A$3:$A$302,0)),""))</f>
        <v/>
      </c>
      <c r="G148" s="9"/>
      <c r="H148" s="9"/>
      <c r="I148" s="13" t="str">
        <f aca="false">IF(OR($G148="",$H148=""),"",ROUND($G148*$H148,0))</f>
        <v/>
      </c>
      <c r="J148" s="7"/>
      <c r="K148" s="7"/>
      <c r="L148" s="14" t="str">
        <f aca="false">IF(OR($C148="",$G148=""),"",IF($B148="입고",$G148,IF($B148="출고",-$G148,$G148)))</f>
        <v/>
      </c>
      <c r="M148" s="13" t="str">
        <f aca="false">IF($C148="","",IFERROR(INDEX(품목마스터!$F$3:$F$302,MATCH($C148,품목마스터!$A$3:$A$302,0)),0)+SUMIFS($L$3:$L148,$C$3:$C148,$C148))</f>
        <v/>
      </c>
    </row>
    <row r="149" customFormat="false" ht="15" hidden="false" customHeight="true" outlineLevel="0" collapsed="false">
      <c r="A149" s="11"/>
      <c r="B149" s="7"/>
      <c r="C149" s="7"/>
      <c r="D149" s="12" t="str">
        <f aca="false">IF($C149="","",IFERROR(INDEX(품목마스터!$B$3:$B$302,MATCH($C149,품목마스터!$A$3:$A$302,0)),"미등록품번"))</f>
        <v/>
      </c>
      <c r="E149" s="12" t="str">
        <f aca="false">IF($C149="","",IFERROR(INDEX(품목마스터!$C$3:$C$302,MATCH($C149,품목마스터!$A$3:$A$302,0)),""))</f>
        <v/>
      </c>
      <c r="F149" s="12" t="str">
        <f aca="false">IF($C149="","",IFERROR(INDEX(품목마스터!$D$3:$D$302,MATCH($C149,품목마스터!$A$3:$A$302,0)),""))</f>
        <v/>
      </c>
      <c r="G149" s="9"/>
      <c r="H149" s="9"/>
      <c r="I149" s="13" t="str">
        <f aca="false">IF(OR($G149="",$H149=""),"",ROUND($G149*$H149,0))</f>
        <v/>
      </c>
      <c r="J149" s="7"/>
      <c r="K149" s="7"/>
      <c r="L149" s="14" t="str">
        <f aca="false">IF(OR($C149="",$G149=""),"",IF($B149="입고",$G149,IF($B149="출고",-$G149,$G149)))</f>
        <v/>
      </c>
      <c r="M149" s="13" t="str">
        <f aca="false">IF($C149="","",IFERROR(INDEX(품목마스터!$F$3:$F$302,MATCH($C149,품목마스터!$A$3:$A$302,0)),0)+SUMIFS($L$3:$L149,$C$3:$C149,$C149))</f>
        <v/>
      </c>
    </row>
    <row r="150" customFormat="false" ht="15" hidden="false" customHeight="true" outlineLevel="0" collapsed="false">
      <c r="A150" s="11"/>
      <c r="B150" s="7"/>
      <c r="C150" s="7"/>
      <c r="D150" s="12" t="str">
        <f aca="false">IF($C150="","",IFERROR(INDEX(품목마스터!$B$3:$B$302,MATCH($C150,품목마스터!$A$3:$A$302,0)),"미등록품번"))</f>
        <v/>
      </c>
      <c r="E150" s="12" t="str">
        <f aca="false">IF($C150="","",IFERROR(INDEX(품목마스터!$C$3:$C$302,MATCH($C150,품목마스터!$A$3:$A$302,0)),""))</f>
        <v/>
      </c>
      <c r="F150" s="12" t="str">
        <f aca="false">IF($C150="","",IFERROR(INDEX(품목마스터!$D$3:$D$302,MATCH($C150,품목마스터!$A$3:$A$302,0)),""))</f>
        <v/>
      </c>
      <c r="G150" s="9"/>
      <c r="H150" s="9"/>
      <c r="I150" s="13" t="str">
        <f aca="false">IF(OR($G150="",$H150=""),"",ROUND($G150*$H150,0))</f>
        <v/>
      </c>
      <c r="J150" s="7"/>
      <c r="K150" s="7"/>
      <c r="L150" s="14" t="str">
        <f aca="false">IF(OR($C150="",$G150=""),"",IF($B150="입고",$G150,IF($B150="출고",-$G150,$G150)))</f>
        <v/>
      </c>
      <c r="M150" s="13" t="str">
        <f aca="false">IF($C150="","",IFERROR(INDEX(품목마스터!$F$3:$F$302,MATCH($C150,품목마스터!$A$3:$A$302,0)),0)+SUMIFS($L$3:$L150,$C$3:$C150,$C150))</f>
        <v/>
      </c>
    </row>
    <row r="151" customFormat="false" ht="15" hidden="false" customHeight="true" outlineLevel="0" collapsed="false">
      <c r="A151" s="11"/>
      <c r="B151" s="7"/>
      <c r="C151" s="7"/>
      <c r="D151" s="12" t="str">
        <f aca="false">IF($C151="","",IFERROR(INDEX(품목마스터!$B$3:$B$302,MATCH($C151,품목마스터!$A$3:$A$302,0)),"미등록품번"))</f>
        <v/>
      </c>
      <c r="E151" s="12" t="str">
        <f aca="false">IF($C151="","",IFERROR(INDEX(품목마스터!$C$3:$C$302,MATCH($C151,품목마스터!$A$3:$A$302,0)),""))</f>
        <v/>
      </c>
      <c r="F151" s="12" t="str">
        <f aca="false">IF($C151="","",IFERROR(INDEX(품목마스터!$D$3:$D$302,MATCH($C151,품목마스터!$A$3:$A$302,0)),""))</f>
        <v/>
      </c>
      <c r="G151" s="9"/>
      <c r="H151" s="9"/>
      <c r="I151" s="13" t="str">
        <f aca="false">IF(OR($G151="",$H151=""),"",ROUND($G151*$H151,0))</f>
        <v/>
      </c>
      <c r="J151" s="7"/>
      <c r="K151" s="7"/>
      <c r="L151" s="14" t="str">
        <f aca="false">IF(OR($C151="",$G151=""),"",IF($B151="입고",$G151,IF($B151="출고",-$G151,$G151)))</f>
        <v/>
      </c>
      <c r="M151" s="13" t="str">
        <f aca="false">IF($C151="","",IFERROR(INDEX(품목마스터!$F$3:$F$302,MATCH($C151,품목마스터!$A$3:$A$302,0)),0)+SUMIFS($L$3:$L151,$C$3:$C151,$C151))</f>
        <v/>
      </c>
    </row>
    <row r="152" customFormat="false" ht="15" hidden="false" customHeight="true" outlineLevel="0" collapsed="false">
      <c r="A152" s="11"/>
      <c r="B152" s="7"/>
      <c r="C152" s="7"/>
      <c r="D152" s="12" t="str">
        <f aca="false">IF($C152="","",IFERROR(INDEX(품목마스터!$B$3:$B$302,MATCH($C152,품목마스터!$A$3:$A$302,0)),"미등록품번"))</f>
        <v/>
      </c>
      <c r="E152" s="12" t="str">
        <f aca="false">IF($C152="","",IFERROR(INDEX(품목마스터!$C$3:$C$302,MATCH($C152,품목마스터!$A$3:$A$302,0)),""))</f>
        <v/>
      </c>
      <c r="F152" s="12" t="str">
        <f aca="false">IF($C152="","",IFERROR(INDEX(품목마스터!$D$3:$D$302,MATCH($C152,품목마스터!$A$3:$A$302,0)),""))</f>
        <v/>
      </c>
      <c r="G152" s="9"/>
      <c r="H152" s="9"/>
      <c r="I152" s="13" t="str">
        <f aca="false">IF(OR($G152="",$H152=""),"",ROUND($G152*$H152,0))</f>
        <v/>
      </c>
      <c r="J152" s="7"/>
      <c r="K152" s="7"/>
      <c r="L152" s="14" t="str">
        <f aca="false">IF(OR($C152="",$G152=""),"",IF($B152="입고",$G152,IF($B152="출고",-$G152,$G152)))</f>
        <v/>
      </c>
      <c r="M152" s="13" t="str">
        <f aca="false">IF($C152="","",IFERROR(INDEX(품목마스터!$F$3:$F$302,MATCH($C152,품목마스터!$A$3:$A$302,0)),0)+SUMIFS($L$3:$L152,$C$3:$C152,$C152))</f>
        <v/>
      </c>
    </row>
    <row r="153" customFormat="false" ht="15" hidden="false" customHeight="true" outlineLevel="0" collapsed="false">
      <c r="A153" s="11"/>
      <c r="B153" s="7"/>
      <c r="C153" s="7"/>
      <c r="D153" s="12" t="str">
        <f aca="false">IF($C153="","",IFERROR(INDEX(품목마스터!$B$3:$B$302,MATCH($C153,품목마스터!$A$3:$A$302,0)),"미등록품번"))</f>
        <v/>
      </c>
      <c r="E153" s="12" t="str">
        <f aca="false">IF($C153="","",IFERROR(INDEX(품목마스터!$C$3:$C$302,MATCH($C153,품목마스터!$A$3:$A$302,0)),""))</f>
        <v/>
      </c>
      <c r="F153" s="12" t="str">
        <f aca="false">IF($C153="","",IFERROR(INDEX(품목마스터!$D$3:$D$302,MATCH($C153,품목마스터!$A$3:$A$302,0)),""))</f>
        <v/>
      </c>
      <c r="G153" s="9"/>
      <c r="H153" s="9"/>
      <c r="I153" s="13" t="str">
        <f aca="false">IF(OR($G153="",$H153=""),"",ROUND($G153*$H153,0))</f>
        <v/>
      </c>
      <c r="J153" s="7"/>
      <c r="K153" s="7"/>
      <c r="L153" s="14" t="str">
        <f aca="false">IF(OR($C153="",$G153=""),"",IF($B153="입고",$G153,IF($B153="출고",-$G153,$G153)))</f>
        <v/>
      </c>
      <c r="M153" s="13" t="str">
        <f aca="false">IF($C153="","",IFERROR(INDEX(품목마스터!$F$3:$F$302,MATCH($C153,품목마스터!$A$3:$A$302,0)),0)+SUMIFS($L$3:$L153,$C$3:$C153,$C153))</f>
        <v/>
      </c>
    </row>
    <row r="154" customFormat="false" ht="15" hidden="false" customHeight="true" outlineLevel="0" collapsed="false">
      <c r="A154" s="11"/>
      <c r="B154" s="7"/>
      <c r="C154" s="7"/>
      <c r="D154" s="12" t="str">
        <f aca="false">IF($C154="","",IFERROR(INDEX(품목마스터!$B$3:$B$302,MATCH($C154,품목마스터!$A$3:$A$302,0)),"미등록품번"))</f>
        <v/>
      </c>
      <c r="E154" s="12" t="str">
        <f aca="false">IF($C154="","",IFERROR(INDEX(품목마스터!$C$3:$C$302,MATCH($C154,품목마스터!$A$3:$A$302,0)),""))</f>
        <v/>
      </c>
      <c r="F154" s="12" t="str">
        <f aca="false">IF($C154="","",IFERROR(INDEX(품목마스터!$D$3:$D$302,MATCH($C154,품목마스터!$A$3:$A$302,0)),""))</f>
        <v/>
      </c>
      <c r="G154" s="9"/>
      <c r="H154" s="9"/>
      <c r="I154" s="13" t="str">
        <f aca="false">IF(OR($G154="",$H154=""),"",ROUND($G154*$H154,0))</f>
        <v/>
      </c>
      <c r="J154" s="7"/>
      <c r="K154" s="7"/>
      <c r="L154" s="14" t="str">
        <f aca="false">IF(OR($C154="",$G154=""),"",IF($B154="입고",$G154,IF($B154="출고",-$G154,$G154)))</f>
        <v/>
      </c>
      <c r="M154" s="13" t="str">
        <f aca="false">IF($C154="","",IFERROR(INDEX(품목마스터!$F$3:$F$302,MATCH($C154,품목마스터!$A$3:$A$302,0)),0)+SUMIFS($L$3:$L154,$C$3:$C154,$C154))</f>
        <v/>
      </c>
    </row>
    <row r="155" customFormat="false" ht="15" hidden="false" customHeight="true" outlineLevel="0" collapsed="false">
      <c r="A155" s="11"/>
      <c r="B155" s="7"/>
      <c r="C155" s="7"/>
      <c r="D155" s="12" t="str">
        <f aca="false">IF($C155="","",IFERROR(INDEX(품목마스터!$B$3:$B$302,MATCH($C155,품목마스터!$A$3:$A$302,0)),"미등록품번"))</f>
        <v/>
      </c>
      <c r="E155" s="12" t="str">
        <f aca="false">IF($C155="","",IFERROR(INDEX(품목마스터!$C$3:$C$302,MATCH($C155,품목마스터!$A$3:$A$302,0)),""))</f>
        <v/>
      </c>
      <c r="F155" s="12" t="str">
        <f aca="false">IF($C155="","",IFERROR(INDEX(품목마스터!$D$3:$D$302,MATCH($C155,품목마스터!$A$3:$A$302,0)),""))</f>
        <v/>
      </c>
      <c r="G155" s="9"/>
      <c r="H155" s="9"/>
      <c r="I155" s="13" t="str">
        <f aca="false">IF(OR($G155="",$H155=""),"",ROUND($G155*$H155,0))</f>
        <v/>
      </c>
      <c r="J155" s="7"/>
      <c r="K155" s="7"/>
      <c r="L155" s="14" t="str">
        <f aca="false">IF(OR($C155="",$G155=""),"",IF($B155="입고",$G155,IF($B155="출고",-$G155,$G155)))</f>
        <v/>
      </c>
      <c r="M155" s="13" t="str">
        <f aca="false">IF($C155="","",IFERROR(INDEX(품목마스터!$F$3:$F$302,MATCH($C155,품목마스터!$A$3:$A$302,0)),0)+SUMIFS($L$3:$L155,$C$3:$C155,$C155))</f>
        <v/>
      </c>
    </row>
    <row r="156" customFormat="false" ht="15" hidden="false" customHeight="true" outlineLevel="0" collapsed="false">
      <c r="A156" s="11"/>
      <c r="B156" s="7"/>
      <c r="C156" s="7"/>
      <c r="D156" s="12" t="str">
        <f aca="false">IF($C156="","",IFERROR(INDEX(품목마스터!$B$3:$B$302,MATCH($C156,품목마스터!$A$3:$A$302,0)),"미등록품번"))</f>
        <v/>
      </c>
      <c r="E156" s="12" t="str">
        <f aca="false">IF($C156="","",IFERROR(INDEX(품목마스터!$C$3:$C$302,MATCH($C156,품목마스터!$A$3:$A$302,0)),""))</f>
        <v/>
      </c>
      <c r="F156" s="12" t="str">
        <f aca="false">IF($C156="","",IFERROR(INDEX(품목마스터!$D$3:$D$302,MATCH($C156,품목마스터!$A$3:$A$302,0)),""))</f>
        <v/>
      </c>
      <c r="G156" s="9"/>
      <c r="H156" s="9"/>
      <c r="I156" s="13" t="str">
        <f aca="false">IF(OR($G156="",$H156=""),"",ROUND($G156*$H156,0))</f>
        <v/>
      </c>
      <c r="J156" s="7"/>
      <c r="K156" s="7"/>
      <c r="L156" s="14" t="str">
        <f aca="false">IF(OR($C156="",$G156=""),"",IF($B156="입고",$G156,IF($B156="출고",-$G156,$G156)))</f>
        <v/>
      </c>
      <c r="M156" s="13" t="str">
        <f aca="false">IF($C156="","",IFERROR(INDEX(품목마스터!$F$3:$F$302,MATCH($C156,품목마스터!$A$3:$A$302,0)),0)+SUMIFS($L$3:$L156,$C$3:$C156,$C156))</f>
        <v/>
      </c>
    </row>
    <row r="157" customFormat="false" ht="15" hidden="false" customHeight="true" outlineLevel="0" collapsed="false">
      <c r="A157" s="11"/>
      <c r="B157" s="7"/>
      <c r="C157" s="7"/>
      <c r="D157" s="12" t="str">
        <f aca="false">IF($C157="","",IFERROR(INDEX(품목마스터!$B$3:$B$302,MATCH($C157,품목마스터!$A$3:$A$302,0)),"미등록품번"))</f>
        <v/>
      </c>
      <c r="E157" s="12" t="str">
        <f aca="false">IF($C157="","",IFERROR(INDEX(품목마스터!$C$3:$C$302,MATCH($C157,품목마스터!$A$3:$A$302,0)),""))</f>
        <v/>
      </c>
      <c r="F157" s="12" t="str">
        <f aca="false">IF($C157="","",IFERROR(INDEX(품목마스터!$D$3:$D$302,MATCH($C157,품목마스터!$A$3:$A$302,0)),""))</f>
        <v/>
      </c>
      <c r="G157" s="9"/>
      <c r="H157" s="9"/>
      <c r="I157" s="13" t="str">
        <f aca="false">IF(OR($G157="",$H157=""),"",ROUND($G157*$H157,0))</f>
        <v/>
      </c>
      <c r="J157" s="7"/>
      <c r="K157" s="7"/>
      <c r="L157" s="14" t="str">
        <f aca="false">IF(OR($C157="",$G157=""),"",IF($B157="입고",$G157,IF($B157="출고",-$G157,$G157)))</f>
        <v/>
      </c>
      <c r="M157" s="13" t="str">
        <f aca="false">IF($C157="","",IFERROR(INDEX(품목마스터!$F$3:$F$302,MATCH($C157,품목마스터!$A$3:$A$302,0)),0)+SUMIFS($L$3:$L157,$C$3:$C157,$C157))</f>
        <v/>
      </c>
    </row>
    <row r="158" customFormat="false" ht="15" hidden="false" customHeight="true" outlineLevel="0" collapsed="false">
      <c r="A158" s="11"/>
      <c r="B158" s="7"/>
      <c r="C158" s="7"/>
      <c r="D158" s="12" t="str">
        <f aca="false">IF($C158="","",IFERROR(INDEX(품목마스터!$B$3:$B$302,MATCH($C158,품목마스터!$A$3:$A$302,0)),"미등록품번"))</f>
        <v/>
      </c>
      <c r="E158" s="12" t="str">
        <f aca="false">IF($C158="","",IFERROR(INDEX(품목마스터!$C$3:$C$302,MATCH($C158,품목마스터!$A$3:$A$302,0)),""))</f>
        <v/>
      </c>
      <c r="F158" s="12" t="str">
        <f aca="false">IF($C158="","",IFERROR(INDEX(품목마스터!$D$3:$D$302,MATCH($C158,품목마스터!$A$3:$A$302,0)),""))</f>
        <v/>
      </c>
      <c r="G158" s="9"/>
      <c r="H158" s="9"/>
      <c r="I158" s="13" t="str">
        <f aca="false">IF(OR($G158="",$H158=""),"",ROUND($G158*$H158,0))</f>
        <v/>
      </c>
      <c r="J158" s="7"/>
      <c r="K158" s="7"/>
      <c r="L158" s="14" t="str">
        <f aca="false">IF(OR($C158="",$G158=""),"",IF($B158="입고",$G158,IF($B158="출고",-$G158,$G158)))</f>
        <v/>
      </c>
      <c r="M158" s="13" t="str">
        <f aca="false">IF($C158="","",IFERROR(INDEX(품목마스터!$F$3:$F$302,MATCH($C158,품목마스터!$A$3:$A$302,0)),0)+SUMIFS($L$3:$L158,$C$3:$C158,$C158))</f>
        <v/>
      </c>
    </row>
    <row r="159" customFormat="false" ht="15" hidden="false" customHeight="true" outlineLevel="0" collapsed="false">
      <c r="A159" s="11"/>
      <c r="B159" s="7"/>
      <c r="C159" s="7"/>
      <c r="D159" s="12" t="str">
        <f aca="false">IF($C159="","",IFERROR(INDEX(품목마스터!$B$3:$B$302,MATCH($C159,품목마스터!$A$3:$A$302,0)),"미등록품번"))</f>
        <v/>
      </c>
      <c r="E159" s="12" t="str">
        <f aca="false">IF($C159="","",IFERROR(INDEX(품목마스터!$C$3:$C$302,MATCH($C159,품목마스터!$A$3:$A$302,0)),""))</f>
        <v/>
      </c>
      <c r="F159" s="12" t="str">
        <f aca="false">IF($C159="","",IFERROR(INDEX(품목마스터!$D$3:$D$302,MATCH($C159,품목마스터!$A$3:$A$302,0)),""))</f>
        <v/>
      </c>
      <c r="G159" s="9"/>
      <c r="H159" s="9"/>
      <c r="I159" s="13" t="str">
        <f aca="false">IF(OR($G159="",$H159=""),"",ROUND($G159*$H159,0))</f>
        <v/>
      </c>
      <c r="J159" s="7"/>
      <c r="K159" s="7"/>
      <c r="L159" s="14" t="str">
        <f aca="false">IF(OR($C159="",$G159=""),"",IF($B159="입고",$G159,IF($B159="출고",-$G159,$G159)))</f>
        <v/>
      </c>
      <c r="M159" s="13" t="str">
        <f aca="false">IF($C159="","",IFERROR(INDEX(품목마스터!$F$3:$F$302,MATCH($C159,품목마스터!$A$3:$A$302,0)),0)+SUMIFS($L$3:$L159,$C$3:$C159,$C159))</f>
        <v/>
      </c>
    </row>
    <row r="160" customFormat="false" ht="15" hidden="false" customHeight="true" outlineLevel="0" collapsed="false">
      <c r="A160" s="11"/>
      <c r="B160" s="7"/>
      <c r="C160" s="7"/>
      <c r="D160" s="12" t="str">
        <f aca="false">IF($C160="","",IFERROR(INDEX(품목마스터!$B$3:$B$302,MATCH($C160,품목마스터!$A$3:$A$302,0)),"미등록품번"))</f>
        <v/>
      </c>
      <c r="E160" s="12" t="str">
        <f aca="false">IF($C160="","",IFERROR(INDEX(품목마스터!$C$3:$C$302,MATCH($C160,품목마스터!$A$3:$A$302,0)),""))</f>
        <v/>
      </c>
      <c r="F160" s="12" t="str">
        <f aca="false">IF($C160="","",IFERROR(INDEX(품목마스터!$D$3:$D$302,MATCH($C160,품목마스터!$A$3:$A$302,0)),""))</f>
        <v/>
      </c>
      <c r="G160" s="9"/>
      <c r="H160" s="9"/>
      <c r="I160" s="13" t="str">
        <f aca="false">IF(OR($G160="",$H160=""),"",ROUND($G160*$H160,0))</f>
        <v/>
      </c>
      <c r="J160" s="7"/>
      <c r="K160" s="7"/>
      <c r="L160" s="14" t="str">
        <f aca="false">IF(OR($C160="",$G160=""),"",IF($B160="입고",$G160,IF($B160="출고",-$G160,$G160)))</f>
        <v/>
      </c>
      <c r="M160" s="13" t="str">
        <f aca="false">IF($C160="","",IFERROR(INDEX(품목마스터!$F$3:$F$302,MATCH($C160,품목마스터!$A$3:$A$302,0)),0)+SUMIFS($L$3:$L160,$C$3:$C160,$C160))</f>
        <v/>
      </c>
    </row>
    <row r="161" customFormat="false" ht="15" hidden="false" customHeight="true" outlineLevel="0" collapsed="false">
      <c r="A161" s="11"/>
      <c r="B161" s="7"/>
      <c r="C161" s="7"/>
      <c r="D161" s="12" t="str">
        <f aca="false">IF($C161="","",IFERROR(INDEX(품목마스터!$B$3:$B$302,MATCH($C161,품목마스터!$A$3:$A$302,0)),"미등록품번"))</f>
        <v/>
      </c>
      <c r="E161" s="12" t="str">
        <f aca="false">IF($C161="","",IFERROR(INDEX(품목마스터!$C$3:$C$302,MATCH($C161,품목마스터!$A$3:$A$302,0)),""))</f>
        <v/>
      </c>
      <c r="F161" s="12" t="str">
        <f aca="false">IF($C161="","",IFERROR(INDEX(품목마스터!$D$3:$D$302,MATCH($C161,품목마스터!$A$3:$A$302,0)),""))</f>
        <v/>
      </c>
      <c r="G161" s="9"/>
      <c r="H161" s="9"/>
      <c r="I161" s="13" t="str">
        <f aca="false">IF(OR($G161="",$H161=""),"",ROUND($G161*$H161,0))</f>
        <v/>
      </c>
      <c r="J161" s="7"/>
      <c r="K161" s="7"/>
      <c r="L161" s="14" t="str">
        <f aca="false">IF(OR($C161="",$G161=""),"",IF($B161="입고",$G161,IF($B161="출고",-$G161,$G161)))</f>
        <v/>
      </c>
      <c r="M161" s="13" t="str">
        <f aca="false">IF($C161="","",IFERROR(INDEX(품목마스터!$F$3:$F$302,MATCH($C161,품목마스터!$A$3:$A$302,0)),0)+SUMIFS($L$3:$L161,$C$3:$C161,$C161))</f>
        <v/>
      </c>
    </row>
    <row r="162" customFormat="false" ht="15" hidden="false" customHeight="true" outlineLevel="0" collapsed="false">
      <c r="A162" s="11"/>
      <c r="B162" s="7"/>
      <c r="C162" s="7"/>
      <c r="D162" s="12" t="str">
        <f aca="false">IF($C162="","",IFERROR(INDEX(품목마스터!$B$3:$B$302,MATCH($C162,품목마스터!$A$3:$A$302,0)),"미등록품번"))</f>
        <v/>
      </c>
      <c r="E162" s="12" t="str">
        <f aca="false">IF($C162="","",IFERROR(INDEX(품목마스터!$C$3:$C$302,MATCH($C162,품목마스터!$A$3:$A$302,0)),""))</f>
        <v/>
      </c>
      <c r="F162" s="12" t="str">
        <f aca="false">IF($C162="","",IFERROR(INDEX(품목마스터!$D$3:$D$302,MATCH($C162,품목마스터!$A$3:$A$302,0)),""))</f>
        <v/>
      </c>
      <c r="G162" s="9"/>
      <c r="H162" s="9"/>
      <c r="I162" s="13" t="str">
        <f aca="false">IF(OR($G162="",$H162=""),"",ROUND($G162*$H162,0))</f>
        <v/>
      </c>
      <c r="J162" s="7"/>
      <c r="K162" s="7"/>
      <c r="L162" s="14" t="str">
        <f aca="false">IF(OR($C162="",$G162=""),"",IF($B162="입고",$G162,IF($B162="출고",-$G162,$G162)))</f>
        <v/>
      </c>
      <c r="M162" s="13" t="str">
        <f aca="false">IF($C162="","",IFERROR(INDEX(품목마스터!$F$3:$F$302,MATCH($C162,품목마스터!$A$3:$A$302,0)),0)+SUMIFS($L$3:$L162,$C$3:$C162,$C162))</f>
        <v/>
      </c>
    </row>
    <row r="163" customFormat="false" ht="15" hidden="false" customHeight="true" outlineLevel="0" collapsed="false">
      <c r="A163" s="11"/>
      <c r="B163" s="7"/>
      <c r="C163" s="7"/>
      <c r="D163" s="12" t="str">
        <f aca="false">IF($C163="","",IFERROR(INDEX(품목마스터!$B$3:$B$302,MATCH($C163,품목마스터!$A$3:$A$302,0)),"미등록품번"))</f>
        <v/>
      </c>
      <c r="E163" s="12" t="str">
        <f aca="false">IF($C163="","",IFERROR(INDEX(품목마스터!$C$3:$C$302,MATCH($C163,품목마스터!$A$3:$A$302,0)),""))</f>
        <v/>
      </c>
      <c r="F163" s="12" t="str">
        <f aca="false">IF($C163="","",IFERROR(INDEX(품목마스터!$D$3:$D$302,MATCH($C163,품목마스터!$A$3:$A$302,0)),""))</f>
        <v/>
      </c>
      <c r="G163" s="9"/>
      <c r="H163" s="9"/>
      <c r="I163" s="13" t="str">
        <f aca="false">IF(OR($G163="",$H163=""),"",ROUND($G163*$H163,0))</f>
        <v/>
      </c>
      <c r="J163" s="7"/>
      <c r="K163" s="7"/>
      <c r="L163" s="14" t="str">
        <f aca="false">IF(OR($C163="",$G163=""),"",IF($B163="입고",$G163,IF($B163="출고",-$G163,$G163)))</f>
        <v/>
      </c>
      <c r="M163" s="13" t="str">
        <f aca="false">IF($C163="","",IFERROR(INDEX(품목마스터!$F$3:$F$302,MATCH($C163,품목마스터!$A$3:$A$302,0)),0)+SUMIFS($L$3:$L163,$C$3:$C163,$C163))</f>
        <v/>
      </c>
    </row>
    <row r="164" customFormat="false" ht="15" hidden="false" customHeight="true" outlineLevel="0" collapsed="false">
      <c r="A164" s="11"/>
      <c r="B164" s="7"/>
      <c r="C164" s="7"/>
      <c r="D164" s="12" t="str">
        <f aca="false">IF($C164="","",IFERROR(INDEX(품목마스터!$B$3:$B$302,MATCH($C164,품목마스터!$A$3:$A$302,0)),"미등록품번"))</f>
        <v/>
      </c>
      <c r="E164" s="12" t="str">
        <f aca="false">IF($C164="","",IFERROR(INDEX(품목마스터!$C$3:$C$302,MATCH($C164,품목마스터!$A$3:$A$302,0)),""))</f>
        <v/>
      </c>
      <c r="F164" s="12" t="str">
        <f aca="false">IF($C164="","",IFERROR(INDEX(품목마스터!$D$3:$D$302,MATCH($C164,품목마스터!$A$3:$A$302,0)),""))</f>
        <v/>
      </c>
      <c r="G164" s="9"/>
      <c r="H164" s="9"/>
      <c r="I164" s="13" t="str">
        <f aca="false">IF(OR($G164="",$H164=""),"",ROUND($G164*$H164,0))</f>
        <v/>
      </c>
      <c r="J164" s="7"/>
      <c r="K164" s="7"/>
      <c r="L164" s="14" t="str">
        <f aca="false">IF(OR($C164="",$G164=""),"",IF($B164="입고",$G164,IF($B164="출고",-$G164,$G164)))</f>
        <v/>
      </c>
      <c r="M164" s="13" t="str">
        <f aca="false">IF($C164="","",IFERROR(INDEX(품목마스터!$F$3:$F$302,MATCH($C164,품목마스터!$A$3:$A$302,0)),0)+SUMIFS($L$3:$L164,$C$3:$C164,$C164))</f>
        <v/>
      </c>
    </row>
    <row r="165" customFormat="false" ht="15" hidden="false" customHeight="true" outlineLevel="0" collapsed="false">
      <c r="A165" s="11"/>
      <c r="B165" s="7"/>
      <c r="C165" s="7"/>
      <c r="D165" s="12" t="str">
        <f aca="false">IF($C165="","",IFERROR(INDEX(품목마스터!$B$3:$B$302,MATCH($C165,품목마스터!$A$3:$A$302,0)),"미등록품번"))</f>
        <v/>
      </c>
      <c r="E165" s="12" t="str">
        <f aca="false">IF($C165="","",IFERROR(INDEX(품목마스터!$C$3:$C$302,MATCH($C165,품목마스터!$A$3:$A$302,0)),""))</f>
        <v/>
      </c>
      <c r="F165" s="12" t="str">
        <f aca="false">IF($C165="","",IFERROR(INDEX(품목마스터!$D$3:$D$302,MATCH($C165,품목마스터!$A$3:$A$302,0)),""))</f>
        <v/>
      </c>
      <c r="G165" s="9"/>
      <c r="H165" s="9"/>
      <c r="I165" s="13" t="str">
        <f aca="false">IF(OR($G165="",$H165=""),"",ROUND($G165*$H165,0))</f>
        <v/>
      </c>
      <c r="J165" s="7"/>
      <c r="K165" s="7"/>
      <c r="L165" s="14" t="str">
        <f aca="false">IF(OR($C165="",$G165=""),"",IF($B165="입고",$G165,IF($B165="출고",-$G165,$G165)))</f>
        <v/>
      </c>
      <c r="M165" s="13" t="str">
        <f aca="false">IF($C165="","",IFERROR(INDEX(품목마스터!$F$3:$F$302,MATCH($C165,품목마스터!$A$3:$A$302,0)),0)+SUMIFS($L$3:$L165,$C$3:$C165,$C165))</f>
        <v/>
      </c>
    </row>
    <row r="166" customFormat="false" ht="15" hidden="false" customHeight="true" outlineLevel="0" collapsed="false">
      <c r="A166" s="11"/>
      <c r="B166" s="7"/>
      <c r="C166" s="7"/>
      <c r="D166" s="12" t="str">
        <f aca="false">IF($C166="","",IFERROR(INDEX(품목마스터!$B$3:$B$302,MATCH($C166,품목마스터!$A$3:$A$302,0)),"미등록품번"))</f>
        <v/>
      </c>
      <c r="E166" s="12" t="str">
        <f aca="false">IF($C166="","",IFERROR(INDEX(품목마스터!$C$3:$C$302,MATCH($C166,품목마스터!$A$3:$A$302,0)),""))</f>
        <v/>
      </c>
      <c r="F166" s="12" t="str">
        <f aca="false">IF($C166="","",IFERROR(INDEX(품목마스터!$D$3:$D$302,MATCH($C166,품목마스터!$A$3:$A$302,0)),""))</f>
        <v/>
      </c>
      <c r="G166" s="9"/>
      <c r="H166" s="9"/>
      <c r="I166" s="13" t="str">
        <f aca="false">IF(OR($G166="",$H166=""),"",ROUND($G166*$H166,0))</f>
        <v/>
      </c>
      <c r="J166" s="7"/>
      <c r="K166" s="7"/>
      <c r="L166" s="14" t="str">
        <f aca="false">IF(OR($C166="",$G166=""),"",IF($B166="입고",$G166,IF($B166="출고",-$G166,$G166)))</f>
        <v/>
      </c>
      <c r="M166" s="13" t="str">
        <f aca="false">IF($C166="","",IFERROR(INDEX(품목마스터!$F$3:$F$302,MATCH($C166,품목마스터!$A$3:$A$302,0)),0)+SUMIFS($L$3:$L166,$C$3:$C166,$C166))</f>
        <v/>
      </c>
    </row>
    <row r="167" customFormat="false" ht="15" hidden="false" customHeight="true" outlineLevel="0" collapsed="false">
      <c r="A167" s="11"/>
      <c r="B167" s="7"/>
      <c r="C167" s="7"/>
      <c r="D167" s="12" t="str">
        <f aca="false">IF($C167="","",IFERROR(INDEX(품목마스터!$B$3:$B$302,MATCH($C167,품목마스터!$A$3:$A$302,0)),"미등록품번"))</f>
        <v/>
      </c>
      <c r="E167" s="12" t="str">
        <f aca="false">IF($C167="","",IFERROR(INDEX(품목마스터!$C$3:$C$302,MATCH($C167,품목마스터!$A$3:$A$302,0)),""))</f>
        <v/>
      </c>
      <c r="F167" s="12" t="str">
        <f aca="false">IF($C167="","",IFERROR(INDEX(품목마스터!$D$3:$D$302,MATCH($C167,품목마스터!$A$3:$A$302,0)),""))</f>
        <v/>
      </c>
      <c r="G167" s="9"/>
      <c r="H167" s="9"/>
      <c r="I167" s="13" t="str">
        <f aca="false">IF(OR($G167="",$H167=""),"",ROUND($G167*$H167,0))</f>
        <v/>
      </c>
      <c r="J167" s="7"/>
      <c r="K167" s="7"/>
      <c r="L167" s="14" t="str">
        <f aca="false">IF(OR($C167="",$G167=""),"",IF($B167="입고",$G167,IF($B167="출고",-$G167,$G167)))</f>
        <v/>
      </c>
      <c r="M167" s="13" t="str">
        <f aca="false">IF($C167="","",IFERROR(INDEX(품목마스터!$F$3:$F$302,MATCH($C167,품목마스터!$A$3:$A$302,0)),0)+SUMIFS($L$3:$L167,$C$3:$C167,$C167))</f>
        <v/>
      </c>
    </row>
    <row r="168" customFormat="false" ht="15" hidden="false" customHeight="true" outlineLevel="0" collapsed="false">
      <c r="A168" s="11"/>
      <c r="B168" s="7"/>
      <c r="C168" s="7"/>
      <c r="D168" s="12" t="str">
        <f aca="false">IF($C168="","",IFERROR(INDEX(품목마스터!$B$3:$B$302,MATCH($C168,품목마스터!$A$3:$A$302,0)),"미등록품번"))</f>
        <v/>
      </c>
      <c r="E168" s="12" t="str">
        <f aca="false">IF($C168="","",IFERROR(INDEX(품목마스터!$C$3:$C$302,MATCH($C168,품목마스터!$A$3:$A$302,0)),""))</f>
        <v/>
      </c>
      <c r="F168" s="12" t="str">
        <f aca="false">IF($C168="","",IFERROR(INDEX(품목마스터!$D$3:$D$302,MATCH($C168,품목마스터!$A$3:$A$302,0)),""))</f>
        <v/>
      </c>
      <c r="G168" s="9"/>
      <c r="H168" s="9"/>
      <c r="I168" s="13" t="str">
        <f aca="false">IF(OR($G168="",$H168=""),"",ROUND($G168*$H168,0))</f>
        <v/>
      </c>
      <c r="J168" s="7"/>
      <c r="K168" s="7"/>
      <c r="L168" s="14" t="str">
        <f aca="false">IF(OR($C168="",$G168=""),"",IF($B168="입고",$G168,IF($B168="출고",-$G168,$G168)))</f>
        <v/>
      </c>
      <c r="M168" s="13" t="str">
        <f aca="false">IF($C168="","",IFERROR(INDEX(품목마스터!$F$3:$F$302,MATCH($C168,품목마스터!$A$3:$A$302,0)),0)+SUMIFS($L$3:$L168,$C$3:$C168,$C168))</f>
        <v/>
      </c>
    </row>
    <row r="169" customFormat="false" ht="15" hidden="false" customHeight="true" outlineLevel="0" collapsed="false">
      <c r="A169" s="11"/>
      <c r="B169" s="7"/>
      <c r="C169" s="7"/>
      <c r="D169" s="12" t="str">
        <f aca="false">IF($C169="","",IFERROR(INDEX(품목마스터!$B$3:$B$302,MATCH($C169,품목마스터!$A$3:$A$302,0)),"미등록품번"))</f>
        <v/>
      </c>
      <c r="E169" s="12" t="str">
        <f aca="false">IF($C169="","",IFERROR(INDEX(품목마스터!$C$3:$C$302,MATCH($C169,품목마스터!$A$3:$A$302,0)),""))</f>
        <v/>
      </c>
      <c r="F169" s="12" t="str">
        <f aca="false">IF($C169="","",IFERROR(INDEX(품목마스터!$D$3:$D$302,MATCH($C169,품목마스터!$A$3:$A$302,0)),""))</f>
        <v/>
      </c>
      <c r="G169" s="9"/>
      <c r="H169" s="9"/>
      <c r="I169" s="13" t="str">
        <f aca="false">IF(OR($G169="",$H169=""),"",ROUND($G169*$H169,0))</f>
        <v/>
      </c>
      <c r="J169" s="7"/>
      <c r="K169" s="7"/>
      <c r="L169" s="14" t="str">
        <f aca="false">IF(OR($C169="",$G169=""),"",IF($B169="입고",$G169,IF($B169="출고",-$G169,$G169)))</f>
        <v/>
      </c>
      <c r="M169" s="13" t="str">
        <f aca="false">IF($C169="","",IFERROR(INDEX(품목마스터!$F$3:$F$302,MATCH($C169,품목마스터!$A$3:$A$302,0)),0)+SUMIFS($L$3:$L169,$C$3:$C169,$C169))</f>
        <v/>
      </c>
    </row>
    <row r="170" customFormat="false" ht="15" hidden="false" customHeight="true" outlineLevel="0" collapsed="false">
      <c r="A170" s="11"/>
      <c r="B170" s="7"/>
      <c r="C170" s="7"/>
      <c r="D170" s="12" t="str">
        <f aca="false">IF($C170="","",IFERROR(INDEX(품목마스터!$B$3:$B$302,MATCH($C170,품목마스터!$A$3:$A$302,0)),"미등록품번"))</f>
        <v/>
      </c>
      <c r="E170" s="12" t="str">
        <f aca="false">IF($C170="","",IFERROR(INDEX(품목마스터!$C$3:$C$302,MATCH($C170,품목마스터!$A$3:$A$302,0)),""))</f>
        <v/>
      </c>
      <c r="F170" s="12" t="str">
        <f aca="false">IF($C170="","",IFERROR(INDEX(품목마스터!$D$3:$D$302,MATCH($C170,품목마스터!$A$3:$A$302,0)),""))</f>
        <v/>
      </c>
      <c r="G170" s="9"/>
      <c r="H170" s="9"/>
      <c r="I170" s="13" t="str">
        <f aca="false">IF(OR($G170="",$H170=""),"",ROUND($G170*$H170,0))</f>
        <v/>
      </c>
      <c r="J170" s="7"/>
      <c r="K170" s="7"/>
      <c r="L170" s="14" t="str">
        <f aca="false">IF(OR($C170="",$G170=""),"",IF($B170="입고",$G170,IF($B170="출고",-$G170,$G170)))</f>
        <v/>
      </c>
      <c r="M170" s="13" t="str">
        <f aca="false">IF($C170="","",IFERROR(INDEX(품목마스터!$F$3:$F$302,MATCH($C170,품목마스터!$A$3:$A$302,0)),0)+SUMIFS($L$3:$L170,$C$3:$C170,$C170))</f>
        <v/>
      </c>
    </row>
    <row r="171" customFormat="false" ht="15" hidden="false" customHeight="true" outlineLevel="0" collapsed="false">
      <c r="A171" s="11"/>
      <c r="B171" s="7"/>
      <c r="C171" s="7"/>
      <c r="D171" s="12" t="str">
        <f aca="false">IF($C171="","",IFERROR(INDEX(품목마스터!$B$3:$B$302,MATCH($C171,품목마스터!$A$3:$A$302,0)),"미등록품번"))</f>
        <v/>
      </c>
      <c r="E171" s="12" t="str">
        <f aca="false">IF($C171="","",IFERROR(INDEX(품목마스터!$C$3:$C$302,MATCH($C171,품목마스터!$A$3:$A$302,0)),""))</f>
        <v/>
      </c>
      <c r="F171" s="12" t="str">
        <f aca="false">IF($C171="","",IFERROR(INDEX(품목마스터!$D$3:$D$302,MATCH($C171,품목마스터!$A$3:$A$302,0)),""))</f>
        <v/>
      </c>
      <c r="G171" s="9"/>
      <c r="H171" s="9"/>
      <c r="I171" s="13" t="str">
        <f aca="false">IF(OR($G171="",$H171=""),"",ROUND($G171*$H171,0))</f>
        <v/>
      </c>
      <c r="J171" s="7"/>
      <c r="K171" s="7"/>
      <c r="L171" s="14" t="str">
        <f aca="false">IF(OR($C171="",$G171=""),"",IF($B171="입고",$G171,IF($B171="출고",-$G171,$G171)))</f>
        <v/>
      </c>
      <c r="M171" s="13" t="str">
        <f aca="false">IF($C171="","",IFERROR(INDEX(품목마스터!$F$3:$F$302,MATCH($C171,품목마스터!$A$3:$A$302,0)),0)+SUMIFS($L$3:$L171,$C$3:$C171,$C171))</f>
        <v/>
      </c>
    </row>
    <row r="172" customFormat="false" ht="15" hidden="false" customHeight="true" outlineLevel="0" collapsed="false">
      <c r="A172" s="11"/>
      <c r="B172" s="7"/>
      <c r="C172" s="7"/>
      <c r="D172" s="12" t="str">
        <f aca="false">IF($C172="","",IFERROR(INDEX(품목마스터!$B$3:$B$302,MATCH($C172,품목마스터!$A$3:$A$302,0)),"미등록품번"))</f>
        <v/>
      </c>
      <c r="E172" s="12" t="str">
        <f aca="false">IF($C172="","",IFERROR(INDEX(품목마스터!$C$3:$C$302,MATCH($C172,품목마스터!$A$3:$A$302,0)),""))</f>
        <v/>
      </c>
      <c r="F172" s="12" t="str">
        <f aca="false">IF($C172="","",IFERROR(INDEX(품목마스터!$D$3:$D$302,MATCH($C172,품목마스터!$A$3:$A$302,0)),""))</f>
        <v/>
      </c>
      <c r="G172" s="9"/>
      <c r="H172" s="9"/>
      <c r="I172" s="13" t="str">
        <f aca="false">IF(OR($G172="",$H172=""),"",ROUND($G172*$H172,0))</f>
        <v/>
      </c>
      <c r="J172" s="7"/>
      <c r="K172" s="7"/>
      <c r="L172" s="14" t="str">
        <f aca="false">IF(OR($C172="",$G172=""),"",IF($B172="입고",$G172,IF($B172="출고",-$G172,$G172)))</f>
        <v/>
      </c>
      <c r="M172" s="13" t="str">
        <f aca="false">IF($C172="","",IFERROR(INDEX(품목마스터!$F$3:$F$302,MATCH($C172,품목마스터!$A$3:$A$302,0)),0)+SUMIFS($L$3:$L172,$C$3:$C172,$C172))</f>
        <v/>
      </c>
    </row>
    <row r="173" customFormat="false" ht="15" hidden="false" customHeight="true" outlineLevel="0" collapsed="false">
      <c r="A173" s="11"/>
      <c r="B173" s="7"/>
      <c r="C173" s="7"/>
      <c r="D173" s="12" t="str">
        <f aca="false">IF($C173="","",IFERROR(INDEX(품목마스터!$B$3:$B$302,MATCH($C173,품목마스터!$A$3:$A$302,0)),"미등록품번"))</f>
        <v/>
      </c>
      <c r="E173" s="12" t="str">
        <f aca="false">IF($C173="","",IFERROR(INDEX(품목마스터!$C$3:$C$302,MATCH($C173,품목마스터!$A$3:$A$302,0)),""))</f>
        <v/>
      </c>
      <c r="F173" s="12" t="str">
        <f aca="false">IF($C173="","",IFERROR(INDEX(품목마스터!$D$3:$D$302,MATCH($C173,품목마스터!$A$3:$A$302,0)),""))</f>
        <v/>
      </c>
      <c r="G173" s="9"/>
      <c r="H173" s="9"/>
      <c r="I173" s="13" t="str">
        <f aca="false">IF(OR($G173="",$H173=""),"",ROUND($G173*$H173,0))</f>
        <v/>
      </c>
      <c r="J173" s="7"/>
      <c r="K173" s="7"/>
      <c r="L173" s="14" t="str">
        <f aca="false">IF(OR($C173="",$G173=""),"",IF($B173="입고",$G173,IF($B173="출고",-$G173,$G173)))</f>
        <v/>
      </c>
      <c r="M173" s="13" t="str">
        <f aca="false">IF($C173="","",IFERROR(INDEX(품목마스터!$F$3:$F$302,MATCH($C173,품목마스터!$A$3:$A$302,0)),0)+SUMIFS($L$3:$L173,$C$3:$C173,$C173))</f>
        <v/>
      </c>
    </row>
    <row r="174" customFormat="false" ht="15" hidden="false" customHeight="true" outlineLevel="0" collapsed="false">
      <c r="A174" s="11"/>
      <c r="B174" s="7"/>
      <c r="C174" s="7"/>
      <c r="D174" s="12" t="str">
        <f aca="false">IF($C174="","",IFERROR(INDEX(품목마스터!$B$3:$B$302,MATCH($C174,품목마스터!$A$3:$A$302,0)),"미등록품번"))</f>
        <v/>
      </c>
      <c r="E174" s="12" t="str">
        <f aca="false">IF($C174="","",IFERROR(INDEX(품목마스터!$C$3:$C$302,MATCH($C174,품목마스터!$A$3:$A$302,0)),""))</f>
        <v/>
      </c>
      <c r="F174" s="12" t="str">
        <f aca="false">IF($C174="","",IFERROR(INDEX(품목마스터!$D$3:$D$302,MATCH($C174,품목마스터!$A$3:$A$302,0)),""))</f>
        <v/>
      </c>
      <c r="G174" s="9"/>
      <c r="H174" s="9"/>
      <c r="I174" s="13" t="str">
        <f aca="false">IF(OR($G174="",$H174=""),"",ROUND($G174*$H174,0))</f>
        <v/>
      </c>
      <c r="J174" s="7"/>
      <c r="K174" s="7"/>
      <c r="L174" s="14" t="str">
        <f aca="false">IF(OR($C174="",$G174=""),"",IF($B174="입고",$G174,IF($B174="출고",-$G174,$G174)))</f>
        <v/>
      </c>
      <c r="M174" s="13" t="str">
        <f aca="false">IF($C174="","",IFERROR(INDEX(품목마스터!$F$3:$F$302,MATCH($C174,품목마스터!$A$3:$A$302,0)),0)+SUMIFS($L$3:$L174,$C$3:$C174,$C174))</f>
        <v/>
      </c>
    </row>
    <row r="175" customFormat="false" ht="15" hidden="false" customHeight="true" outlineLevel="0" collapsed="false">
      <c r="A175" s="11"/>
      <c r="B175" s="7"/>
      <c r="C175" s="7"/>
      <c r="D175" s="12" t="str">
        <f aca="false">IF($C175="","",IFERROR(INDEX(품목마스터!$B$3:$B$302,MATCH($C175,품목마스터!$A$3:$A$302,0)),"미등록품번"))</f>
        <v/>
      </c>
      <c r="E175" s="12" t="str">
        <f aca="false">IF($C175="","",IFERROR(INDEX(품목마스터!$C$3:$C$302,MATCH($C175,품목마스터!$A$3:$A$302,0)),""))</f>
        <v/>
      </c>
      <c r="F175" s="12" t="str">
        <f aca="false">IF($C175="","",IFERROR(INDEX(품목마스터!$D$3:$D$302,MATCH($C175,품목마스터!$A$3:$A$302,0)),""))</f>
        <v/>
      </c>
      <c r="G175" s="9"/>
      <c r="H175" s="9"/>
      <c r="I175" s="13" t="str">
        <f aca="false">IF(OR($G175="",$H175=""),"",ROUND($G175*$H175,0))</f>
        <v/>
      </c>
      <c r="J175" s="7"/>
      <c r="K175" s="7"/>
      <c r="L175" s="14" t="str">
        <f aca="false">IF(OR($C175="",$G175=""),"",IF($B175="입고",$G175,IF($B175="출고",-$G175,$G175)))</f>
        <v/>
      </c>
      <c r="M175" s="13" t="str">
        <f aca="false">IF($C175="","",IFERROR(INDEX(품목마스터!$F$3:$F$302,MATCH($C175,품목마스터!$A$3:$A$302,0)),0)+SUMIFS($L$3:$L175,$C$3:$C175,$C175))</f>
        <v/>
      </c>
    </row>
    <row r="176" customFormat="false" ht="15" hidden="false" customHeight="true" outlineLevel="0" collapsed="false">
      <c r="A176" s="11"/>
      <c r="B176" s="7"/>
      <c r="C176" s="7"/>
      <c r="D176" s="12" t="str">
        <f aca="false">IF($C176="","",IFERROR(INDEX(품목마스터!$B$3:$B$302,MATCH($C176,품목마스터!$A$3:$A$302,0)),"미등록품번"))</f>
        <v/>
      </c>
      <c r="E176" s="12" t="str">
        <f aca="false">IF($C176="","",IFERROR(INDEX(품목마스터!$C$3:$C$302,MATCH($C176,품목마스터!$A$3:$A$302,0)),""))</f>
        <v/>
      </c>
      <c r="F176" s="12" t="str">
        <f aca="false">IF($C176="","",IFERROR(INDEX(품목마스터!$D$3:$D$302,MATCH($C176,품목마스터!$A$3:$A$302,0)),""))</f>
        <v/>
      </c>
      <c r="G176" s="9"/>
      <c r="H176" s="9"/>
      <c r="I176" s="13" t="str">
        <f aca="false">IF(OR($G176="",$H176=""),"",ROUND($G176*$H176,0))</f>
        <v/>
      </c>
      <c r="J176" s="7"/>
      <c r="K176" s="7"/>
      <c r="L176" s="14" t="str">
        <f aca="false">IF(OR($C176="",$G176=""),"",IF($B176="입고",$G176,IF($B176="출고",-$G176,$G176)))</f>
        <v/>
      </c>
      <c r="M176" s="13" t="str">
        <f aca="false">IF($C176="","",IFERROR(INDEX(품목마스터!$F$3:$F$302,MATCH($C176,품목마스터!$A$3:$A$302,0)),0)+SUMIFS($L$3:$L176,$C$3:$C176,$C176))</f>
        <v/>
      </c>
    </row>
    <row r="177" customFormat="false" ht="15" hidden="false" customHeight="true" outlineLevel="0" collapsed="false">
      <c r="A177" s="11"/>
      <c r="B177" s="7"/>
      <c r="C177" s="7"/>
      <c r="D177" s="12" t="str">
        <f aca="false">IF($C177="","",IFERROR(INDEX(품목마스터!$B$3:$B$302,MATCH($C177,품목마스터!$A$3:$A$302,0)),"미등록품번"))</f>
        <v/>
      </c>
      <c r="E177" s="12" t="str">
        <f aca="false">IF($C177="","",IFERROR(INDEX(품목마스터!$C$3:$C$302,MATCH($C177,품목마스터!$A$3:$A$302,0)),""))</f>
        <v/>
      </c>
      <c r="F177" s="12" t="str">
        <f aca="false">IF($C177="","",IFERROR(INDEX(품목마스터!$D$3:$D$302,MATCH($C177,품목마스터!$A$3:$A$302,0)),""))</f>
        <v/>
      </c>
      <c r="G177" s="9"/>
      <c r="H177" s="9"/>
      <c r="I177" s="13" t="str">
        <f aca="false">IF(OR($G177="",$H177=""),"",ROUND($G177*$H177,0))</f>
        <v/>
      </c>
      <c r="J177" s="7"/>
      <c r="K177" s="7"/>
      <c r="L177" s="14" t="str">
        <f aca="false">IF(OR($C177="",$G177=""),"",IF($B177="입고",$G177,IF($B177="출고",-$G177,$G177)))</f>
        <v/>
      </c>
      <c r="M177" s="13" t="str">
        <f aca="false">IF($C177="","",IFERROR(INDEX(품목마스터!$F$3:$F$302,MATCH($C177,품목마스터!$A$3:$A$302,0)),0)+SUMIFS($L$3:$L177,$C$3:$C177,$C177))</f>
        <v/>
      </c>
    </row>
    <row r="178" customFormat="false" ht="15" hidden="false" customHeight="true" outlineLevel="0" collapsed="false">
      <c r="A178" s="11"/>
      <c r="B178" s="7"/>
      <c r="C178" s="7"/>
      <c r="D178" s="12" t="str">
        <f aca="false">IF($C178="","",IFERROR(INDEX(품목마스터!$B$3:$B$302,MATCH($C178,품목마스터!$A$3:$A$302,0)),"미등록품번"))</f>
        <v/>
      </c>
      <c r="E178" s="12" t="str">
        <f aca="false">IF($C178="","",IFERROR(INDEX(품목마스터!$C$3:$C$302,MATCH($C178,품목마스터!$A$3:$A$302,0)),""))</f>
        <v/>
      </c>
      <c r="F178" s="12" t="str">
        <f aca="false">IF($C178="","",IFERROR(INDEX(품목마스터!$D$3:$D$302,MATCH($C178,품목마스터!$A$3:$A$302,0)),""))</f>
        <v/>
      </c>
      <c r="G178" s="9"/>
      <c r="H178" s="9"/>
      <c r="I178" s="13" t="str">
        <f aca="false">IF(OR($G178="",$H178=""),"",ROUND($G178*$H178,0))</f>
        <v/>
      </c>
      <c r="J178" s="7"/>
      <c r="K178" s="7"/>
      <c r="L178" s="14" t="str">
        <f aca="false">IF(OR($C178="",$G178=""),"",IF($B178="입고",$G178,IF($B178="출고",-$G178,$G178)))</f>
        <v/>
      </c>
      <c r="M178" s="13" t="str">
        <f aca="false">IF($C178="","",IFERROR(INDEX(품목마스터!$F$3:$F$302,MATCH($C178,품목마스터!$A$3:$A$302,0)),0)+SUMIFS($L$3:$L178,$C$3:$C178,$C178))</f>
        <v/>
      </c>
    </row>
    <row r="179" customFormat="false" ht="15" hidden="false" customHeight="true" outlineLevel="0" collapsed="false">
      <c r="A179" s="11"/>
      <c r="B179" s="7"/>
      <c r="C179" s="7"/>
      <c r="D179" s="12" t="str">
        <f aca="false">IF($C179="","",IFERROR(INDEX(품목마스터!$B$3:$B$302,MATCH($C179,품목마스터!$A$3:$A$302,0)),"미등록품번"))</f>
        <v/>
      </c>
      <c r="E179" s="12" t="str">
        <f aca="false">IF($C179="","",IFERROR(INDEX(품목마스터!$C$3:$C$302,MATCH($C179,품목마스터!$A$3:$A$302,0)),""))</f>
        <v/>
      </c>
      <c r="F179" s="12" t="str">
        <f aca="false">IF($C179="","",IFERROR(INDEX(품목마스터!$D$3:$D$302,MATCH($C179,품목마스터!$A$3:$A$302,0)),""))</f>
        <v/>
      </c>
      <c r="G179" s="9"/>
      <c r="H179" s="9"/>
      <c r="I179" s="13" t="str">
        <f aca="false">IF(OR($G179="",$H179=""),"",ROUND($G179*$H179,0))</f>
        <v/>
      </c>
      <c r="J179" s="7"/>
      <c r="K179" s="7"/>
      <c r="L179" s="14" t="str">
        <f aca="false">IF(OR($C179="",$G179=""),"",IF($B179="입고",$G179,IF($B179="출고",-$G179,$G179)))</f>
        <v/>
      </c>
      <c r="M179" s="13" t="str">
        <f aca="false">IF($C179="","",IFERROR(INDEX(품목마스터!$F$3:$F$302,MATCH($C179,품목마스터!$A$3:$A$302,0)),0)+SUMIFS($L$3:$L179,$C$3:$C179,$C179))</f>
        <v/>
      </c>
    </row>
    <row r="180" customFormat="false" ht="15" hidden="false" customHeight="true" outlineLevel="0" collapsed="false">
      <c r="A180" s="11"/>
      <c r="B180" s="7"/>
      <c r="C180" s="7"/>
      <c r="D180" s="12" t="str">
        <f aca="false">IF($C180="","",IFERROR(INDEX(품목마스터!$B$3:$B$302,MATCH($C180,품목마스터!$A$3:$A$302,0)),"미등록품번"))</f>
        <v/>
      </c>
      <c r="E180" s="12" t="str">
        <f aca="false">IF($C180="","",IFERROR(INDEX(품목마스터!$C$3:$C$302,MATCH($C180,품목마스터!$A$3:$A$302,0)),""))</f>
        <v/>
      </c>
      <c r="F180" s="12" t="str">
        <f aca="false">IF($C180="","",IFERROR(INDEX(품목마스터!$D$3:$D$302,MATCH($C180,품목마스터!$A$3:$A$302,0)),""))</f>
        <v/>
      </c>
      <c r="G180" s="9"/>
      <c r="H180" s="9"/>
      <c r="I180" s="13" t="str">
        <f aca="false">IF(OR($G180="",$H180=""),"",ROUND($G180*$H180,0))</f>
        <v/>
      </c>
      <c r="J180" s="7"/>
      <c r="K180" s="7"/>
      <c r="L180" s="14" t="str">
        <f aca="false">IF(OR($C180="",$G180=""),"",IF($B180="입고",$G180,IF($B180="출고",-$G180,$G180)))</f>
        <v/>
      </c>
      <c r="M180" s="13" t="str">
        <f aca="false">IF($C180="","",IFERROR(INDEX(품목마스터!$F$3:$F$302,MATCH($C180,품목마스터!$A$3:$A$302,0)),0)+SUMIFS($L$3:$L180,$C$3:$C180,$C180))</f>
        <v/>
      </c>
    </row>
    <row r="181" customFormat="false" ht="15" hidden="false" customHeight="true" outlineLevel="0" collapsed="false">
      <c r="A181" s="11"/>
      <c r="B181" s="7"/>
      <c r="C181" s="7"/>
      <c r="D181" s="12" t="str">
        <f aca="false">IF($C181="","",IFERROR(INDEX(품목마스터!$B$3:$B$302,MATCH($C181,품목마스터!$A$3:$A$302,0)),"미등록품번"))</f>
        <v/>
      </c>
      <c r="E181" s="12" t="str">
        <f aca="false">IF($C181="","",IFERROR(INDEX(품목마스터!$C$3:$C$302,MATCH($C181,품목마스터!$A$3:$A$302,0)),""))</f>
        <v/>
      </c>
      <c r="F181" s="12" t="str">
        <f aca="false">IF($C181="","",IFERROR(INDEX(품목마스터!$D$3:$D$302,MATCH($C181,품목마스터!$A$3:$A$302,0)),""))</f>
        <v/>
      </c>
      <c r="G181" s="9"/>
      <c r="H181" s="9"/>
      <c r="I181" s="13" t="str">
        <f aca="false">IF(OR($G181="",$H181=""),"",ROUND($G181*$H181,0))</f>
        <v/>
      </c>
      <c r="J181" s="7"/>
      <c r="K181" s="7"/>
      <c r="L181" s="14" t="str">
        <f aca="false">IF(OR($C181="",$G181=""),"",IF($B181="입고",$G181,IF($B181="출고",-$G181,$G181)))</f>
        <v/>
      </c>
      <c r="M181" s="13" t="str">
        <f aca="false">IF($C181="","",IFERROR(INDEX(품목마스터!$F$3:$F$302,MATCH($C181,품목마스터!$A$3:$A$302,0)),0)+SUMIFS($L$3:$L181,$C$3:$C181,$C181))</f>
        <v/>
      </c>
    </row>
    <row r="182" customFormat="false" ht="15" hidden="false" customHeight="true" outlineLevel="0" collapsed="false">
      <c r="A182" s="11"/>
      <c r="B182" s="7"/>
      <c r="C182" s="7"/>
      <c r="D182" s="12" t="str">
        <f aca="false">IF($C182="","",IFERROR(INDEX(품목마스터!$B$3:$B$302,MATCH($C182,품목마스터!$A$3:$A$302,0)),"미등록품번"))</f>
        <v/>
      </c>
      <c r="E182" s="12" t="str">
        <f aca="false">IF($C182="","",IFERROR(INDEX(품목마스터!$C$3:$C$302,MATCH($C182,품목마스터!$A$3:$A$302,0)),""))</f>
        <v/>
      </c>
      <c r="F182" s="12" t="str">
        <f aca="false">IF($C182="","",IFERROR(INDEX(품목마스터!$D$3:$D$302,MATCH($C182,품목마스터!$A$3:$A$302,0)),""))</f>
        <v/>
      </c>
      <c r="G182" s="9"/>
      <c r="H182" s="9"/>
      <c r="I182" s="13" t="str">
        <f aca="false">IF(OR($G182="",$H182=""),"",ROUND($G182*$H182,0))</f>
        <v/>
      </c>
      <c r="J182" s="7"/>
      <c r="K182" s="7"/>
      <c r="L182" s="14" t="str">
        <f aca="false">IF(OR($C182="",$G182=""),"",IF($B182="입고",$G182,IF($B182="출고",-$G182,$G182)))</f>
        <v/>
      </c>
      <c r="M182" s="13" t="str">
        <f aca="false">IF($C182="","",IFERROR(INDEX(품목마스터!$F$3:$F$302,MATCH($C182,품목마스터!$A$3:$A$302,0)),0)+SUMIFS($L$3:$L182,$C$3:$C182,$C182))</f>
        <v/>
      </c>
    </row>
    <row r="183" customFormat="false" ht="15" hidden="false" customHeight="true" outlineLevel="0" collapsed="false">
      <c r="A183" s="11"/>
      <c r="B183" s="7"/>
      <c r="C183" s="7"/>
      <c r="D183" s="12" t="str">
        <f aca="false">IF($C183="","",IFERROR(INDEX(품목마스터!$B$3:$B$302,MATCH($C183,품목마스터!$A$3:$A$302,0)),"미등록품번"))</f>
        <v/>
      </c>
      <c r="E183" s="12" t="str">
        <f aca="false">IF($C183="","",IFERROR(INDEX(품목마스터!$C$3:$C$302,MATCH($C183,품목마스터!$A$3:$A$302,0)),""))</f>
        <v/>
      </c>
      <c r="F183" s="12" t="str">
        <f aca="false">IF($C183="","",IFERROR(INDEX(품목마스터!$D$3:$D$302,MATCH($C183,품목마스터!$A$3:$A$302,0)),""))</f>
        <v/>
      </c>
      <c r="G183" s="9"/>
      <c r="H183" s="9"/>
      <c r="I183" s="13" t="str">
        <f aca="false">IF(OR($G183="",$H183=""),"",ROUND($G183*$H183,0))</f>
        <v/>
      </c>
      <c r="J183" s="7"/>
      <c r="K183" s="7"/>
      <c r="L183" s="14" t="str">
        <f aca="false">IF(OR($C183="",$G183=""),"",IF($B183="입고",$G183,IF($B183="출고",-$G183,$G183)))</f>
        <v/>
      </c>
      <c r="M183" s="13" t="str">
        <f aca="false">IF($C183="","",IFERROR(INDEX(품목마스터!$F$3:$F$302,MATCH($C183,품목마스터!$A$3:$A$302,0)),0)+SUMIFS($L$3:$L183,$C$3:$C183,$C183))</f>
        <v/>
      </c>
    </row>
    <row r="184" customFormat="false" ht="15" hidden="false" customHeight="true" outlineLevel="0" collapsed="false">
      <c r="A184" s="11"/>
      <c r="B184" s="7"/>
      <c r="C184" s="7"/>
      <c r="D184" s="12" t="str">
        <f aca="false">IF($C184="","",IFERROR(INDEX(품목마스터!$B$3:$B$302,MATCH($C184,품목마스터!$A$3:$A$302,0)),"미등록품번"))</f>
        <v/>
      </c>
      <c r="E184" s="12" t="str">
        <f aca="false">IF($C184="","",IFERROR(INDEX(품목마스터!$C$3:$C$302,MATCH($C184,품목마스터!$A$3:$A$302,0)),""))</f>
        <v/>
      </c>
      <c r="F184" s="12" t="str">
        <f aca="false">IF($C184="","",IFERROR(INDEX(품목마스터!$D$3:$D$302,MATCH($C184,품목마스터!$A$3:$A$302,0)),""))</f>
        <v/>
      </c>
      <c r="G184" s="9"/>
      <c r="H184" s="9"/>
      <c r="I184" s="13" t="str">
        <f aca="false">IF(OR($G184="",$H184=""),"",ROUND($G184*$H184,0))</f>
        <v/>
      </c>
      <c r="J184" s="7"/>
      <c r="K184" s="7"/>
      <c r="L184" s="14" t="str">
        <f aca="false">IF(OR($C184="",$G184=""),"",IF($B184="입고",$G184,IF($B184="출고",-$G184,$G184)))</f>
        <v/>
      </c>
      <c r="M184" s="13" t="str">
        <f aca="false">IF($C184="","",IFERROR(INDEX(품목마스터!$F$3:$F$302,MATCH($C184,품목마스터!$A$3:$A$302,0)),0)+SUMIFS($L$3:$L184,$C$3:$C184,$C184))</f>
        <v/>
      </c>
    </row>
    <row r="185" customFormat="false" ht="15" hidden="false" customHeight="true" outlineLevel="0" collapsed="false">
      <c r="A185" s="11"/>
      <c r="B185" s="7"/>
      <c r="C185" s="7"/>
      <c r="D185" s="12" t="str">
        <f aca="false">IF($C185="","",IFERROR(INDEX(품목마스터!$B$3:$B$302,MATCH($C185,품목마스터!$A$3:$A$302,0)),"미등록품번"))</f>
        <v/>
      </c>
      <c r="E185" s="12" t="str">
        <f aca="false">IF($C185="","",IFERROR(INDEX(품목마스터!$C$3:$C$302,MATCH($C185,품목마스터!$A$3:$A$302,0)),""))</f>
        <v/>
      </c>
      <c r="F185" s="12" t="str">
        <f aca="false">IF($C185="","",IFERROR(INDEX(품목마스터!$D$3:$D$302,MATCH($C185,품목마스터!$A$3:$A$302,0)),""))</f>
        <v/>
      </c>
      <c r="G185" s="9"/>
      <c r="H185" s="9"/>
      <c r="I185" s="13" t="str">
        <f aca="false">IF(OR($G185="",$H185=""),"",ROUND($G185*$H185,0))</f>
        <v/>
      </c>
      <c r="J185" s="7"/>
      <c r="K185" s="7"/>
      <c r="L185" s="14" t="str">
        <f aca="false">IF(OR($C185="",$G185=""),"",IF($B185="입고",$G185,IF($B185="출고",-$G185,$G185)))</f>
        <v/>
      </c>
      <c r="M185" s="13" t="str">
        <f aca="false">IF($C185="","",IFERROR(INDEX(품목마스터!$F$3:$F$302,MATCH($C185,품목마스터!$A$3:$A$302,0)),0)+SUMIFS($L$3:$L185,$C$3:$C185,$C185))</f>
        <v/>
      </c>
    </row>
    <row r="186" customFormat="false" ht="15" hidden="false" customHeight="true" outlineLevel="0" collapsed="false">
      <c r="A186" s="11"/>
      <c r="B186" s="7"/>
      <c r="C186" s="7"/>
      <c r="D186" s="12" t="str">
        <f aca="false">IF($C186="","",IFERROR(INDEX(품목마스터!$B$3:$B$302,MATCH($C186,품목마스터!$A$3:$A$302,0)),"미등록품번"))</f>
        <v/>
      </c>
      <c r="E186" s="12" t="str">
        <f aca="false">IF($C186="","",IFERROR(INDEX(품목마스터!$C$3:$C$302,MATCH($C186,품목마스터!$A$3:$A$302,0)),""))</f>
        <v/>
      </c>
      <c r="F186" s="12" t="str">
        <f aca="false">IF($C186="","",IFERROR(INDEX(품목마스터!$D$3:$D$302,MATCH($C186,품목마스터!$A$3:$A$302,0)),""))</f>
        <v/>
      </c>
      <c r="G186" s="9"/>
      <c r="H186" s="9"/>
      <c r="I186" s="13" t="str">
        <f aca="false">IF(OR($G186="",$H186=""),"",ROUND($G186*$H186,0))</f>
        <v/>
      </c>
      <c r="J186" s="7"/>
      <c r="K186" s="7"/>
      <c r="L186" s="14" t="str">
        <f aca="false">IF(OR($C186="",$G186=""),"",IF($B186="입고",$G186,IF($B186="출고",-$G186,$G186)))</f>
        <v/>
      </c>
      <c r="M186" s="13" t="str">
        <f aca="false">IF($C186="","",IFERROR(INDEX(품목마스터!$F$3:$F$302,MATCH($C186,품목마스터!$A$3:$A$302,0)),0)+SUMIFS($L$3:$L186,$C$3:$C186,$C186))</f>
        <v/>
      </c>
    </row>
    <row r="187" customFormat="false" ht="15" hidden="false" customHeight="true" outlineLevel="0" collapsed="false">
      <c r="A187" s="11"/>
      <c r="B187" s="7"/>
      <c r="C187" s="7"/>
      <c r="D187" s="12" t="str">
        <f aca="false">IF($C187="","",IFERROR(INDEX(품목마스터!$B$3:$B$302,MATCH($C187,품목마스터!$A$3:$A$302,0)),"미등록품번"))</f>
        <v/>
      </c>
      <c r="E187" s="12" t="str">
        <f aca="false">IF($C187="","",IFERROR(INDEX(품목마스터!$C$3:$C$302,MATCH($C187,품목마스터!$A$3:$A$302,0)),""))</f>
        <v/>
      </c>
      <c r="F187" s="12" t="str">
        <f aca="false">IF($C187="","",IFERROR(INDEX(품목마스터!$D$3:$D$302,MATCH($C187,품목마스터!$A$3:$A$302,0)),""))</f>
        <v/>
      </c>
      <c r="G187" s="9"/>
      <c r="H187" s="9"/>
      <c r="I187" s="13" t="str">
        <f aca="false">IF(OR($G187="",$H187=""),"",ROUND($G187*$H187,0))</f>
        <v/>
      </c>
      <c r="J187" s="7"/>
      <c r="K187" s="7"/>
      <c r="L187" s="14" t="str">
        <f aca="false">IF(OR($C187="",$G187=""),"",IF($B187="입고",$G187,IF($B187="출고",-$G187,$G187)))</f>
        <v/>
      </c>
      <c r="M187" s="13" t="str">
        <f aca="false">IF($C187="","",IFERROR(INDEX(품목마스터!$F$3:$F$302,MATCH($C187,품목마스터!$A$3:$A$302,0)),0)+SUMIFS($L$3:$L187,$C$3:$C187,$C187))</f>
        <v/>
      </c>
    </row>
    <row r="188" customFormat="false" ht="15" hidden="false" customHeight="true" outlineLevel="0" collapsed="false">
      <c r="A188" s="11"/>
      <c r="B188" s="7"/>
      <c r="C188" s="7"/>
      <c r="D188" s="12" t="str">
        <f aca="false">IF($C188="","",IFERROR(INDEX(품목마스터!$B$3:$B$302,MATCH($C188,품목마스터!$A$3:$A$302,0)),"미등록품번"))</f>
        <v/>
      </c>
      <c r="E188" s="12" t="str">
        <f aca="false">IF($C188="","",IFERROR(INDEX(품목마스터!$C$3:$C$302,MATCH($C188,품목마스터!$A$3:$A$302,0)),""))</f>
        <v/>
      </c>
      <c r="F188" s="12" t="str">
        <f aca="false">IF($C188="","",IFERROR(INDEX(품목마스터!$D$3:$D$302,MATCH($C188,품목마스터!$A$3:$A$302,0)),""))</f>
        <v/>
      </c>
      <c r="G188" s="9"/>
      <c r="H188" s="9"/>
      <c r="I188" s="13" t="str">
        <f aca="false">IF(OR($G188="",$H188=""),"",ROUND($G188*$H188,0))</f>
        <v/>
      </c>
      <c r="J188" s="7"/>
      <c r="K188" s="7"/>
      <c r="L188" s="14" t="str">
        <f aca="false">IF(OR($C188="",$G188=""),"",IF($B188="입고",$G188,IF($B188="출고",-$G188,$G188)))</f>
        <v/>
      </c>
      <c r="M188" s="13" t="str">
        <f aca="false">IF($C188="","",IFERROR(INDEX(품목마스터!$F$3:$F$302,MATCH($C188,품목마스터!$A$3:$A$302,0)),0)+SUMIFS($L$3:$L188,$C$3:$C188,$C188))</f>
        <v/>
      </c>
    </row>
    <row r="189" customFormat="false" ht="15" hidden="false" customHeight="true" outlineLevel="0" collapsed="false">
      <c r="A189" s="11"/>
      <c r="B189" s="7"/>
      <c r="C189" s="7"/>
      <c r="D189" s="12" t="str">
        <f aca="false">IF($C189="","",IFERROR(INDEX(품목마스터!$B$3:$B$302,MATCH($C189,품목마스터!$A$3:$A$302,0)),"미등록품번"))</f>
        <v/>
      </c>
      <c r="E189" s="12" t="str">
        <f aca="false">IF($C189="","",IFERROR(INDEX(품목마스터!$C$3:$C$302,MATCH($C189,품목마스터!$A$3:$A$302,0)),""))</f>
        <v/>
      </c>
      <c r="F189" s="12" t="str">
        <f aca="false">IF($C189="","",IFERROR(INDEX(품목마스터!$D$3:$D$302,MATCH($C189,품목마스터!$A$3:$A$302,0)),""))</f>
        <v/>
      </c>
      <c r="G189" s="9"/>
      <c r="H189" s="9"/>
      <c r="I189" s="13" t="str">
        <f aca="false">IF(OR($G189="",$H189=""),"",ROUND($G189*$H189,0))</f>
        <v/>
      </c>
      <c r="J189" s="7"/>
      <c r="K189" s="7"/>
      <c r="L189" s="14" t="str">
        <f aca="false">IF(OR($C189="",$G189=""),"",IF($B189="입고",$G189,IF($B189="출고",-$G189,$G189)))</f>
        <v/>
      </c>
      <c r="M189" s="13" t="str">
        <f aca="false">IF($C189="","",IFERROR(INDEX(품목마스터!$F$3:$F$302,MATCH($C189,품목마스터!$A$3:$A$302,0)),0)+SUMIFS($L$3:$L189,$C$3:$C189,$C189))</f>
        <v/>
      </c>
    </row>
    <row r="190" customFormat="false" ht="15" hidden="false" customHeight="true" outlineLevel="0" collapsed="false">
      <c r="A190" s="11"/>
      <c r="B190" s="7"/>
      <c r="C190" s="7"/>
      <c r="D190" s="12" t="str">
        <f aca="false">IF($C190="","",IFERROR(INDEX(품목마스터!$B$3:$B$302,MATCH($C190,품목마스터!$A$3:$A$302,0)),"미등록품번"))</f>
        <v/>
      </c>
      <c r="E190" s="12" t="str">
        <f aca="false">IF($C190="","",IFERROR(INDEX(품목마스터!$C$3:$C$302,MATCH($C190,품목마스터!$A$3:$A$302,0)),""))</f>
        <v/>
      </c>
      <c r="F190" s="12" t="str">
        <f aca="false">IF($C190="","",IFERROR(INDEX(품목마스터!$D$3:$D$302,MATCH($C190,품목마스터!$A$3:$A$302,0)),""))</f>
        <v/>
      </c>
      <c r="G190" s="9"/>
      <c r="H190" s="9"/>
      <c r="I190" s="13" t="str">
        <f aca="false">IF(OR($G190="",$H190=""),"",ROUND($G190*$H190,0))</f>
        <v/>
      </c>
      <c r="J190" s="7"/>
      <c r="K190" s="7"/>
      <c r="L190" s="14" t="str">
        <f aca="false">IF(OR($C190="",$G190=""),"",IF($B190="입고",$G190,IF($B190="출고",-$G190,$G190)))</f>
        <v/>
      </c>
      <c r="M190" s="13" t="str">
        <f aca="false">IF($C190="","",IFERROR(INDEX(품목마스터!$F$3:$F$302,MATCH($C190,품목마스터!$A$3:$A$302,0)),0)+SUMIFS($L$3:$L190,$C$3:$C190,$C190))</f>
        <v/>
      </c>
    </row>
    <row r="191" customFormat="false" ht="15" hidden="false" customHeight="true" outlineLevel="0" collapsed="false">
      <c r="A191" s="11"/>
      <c r="B191" s="7"/>
      <c r="C191" s="7"/>
      <c r="D191" s="12" t="str">
        <f aca="false">IF($C191="","",IFERROR(INDEX(품목마스터!$B$3:$B$302,MATCH($C191,품목마스터!$A$3:$A$302,0)),"미등록품번"))</f>
        <v/>
      </c>
      <c r="E191" s="12" t="str">
        <f aca="false">IF($C191="","",IFERROR(INDEX(품목마스터!$C$3:$C$302,MATCH($C191,품목마스터!$A$3:$A$302,0)),""))</f>
        <v/>
      </c>
      <c r="F191" s="12" t="str">
        <f aca="false">IF($C191="","",IFERROR(INDEX(품목마스터!$D$3:$D$302,MATCH($C191,품목마스터!$A$3:$A$302,0)),""))</f>
        <v/>
      </c>
      <c r="G191" s="9"/>
      <c r="H191" s="9"/>
      <c r="I191" s="13" t="str">
        <f aca="false">IF(OR($G191="",$H191=""),"",ROUND($G191*$H191,0))</f>
        <v/>
      </c>
      <c r="J191" s="7"/>
      <c r="K191" s="7"/>
      <c r="L191" s="14" t="str">
        <f aca="false">IF(OR($C191="",$G191=""),"",IF($B191="입고",$G191,IF($B191="출고",-$G191,$G191)))</f>
        <v/>
      </c>
      <c r="M191" s="13" t="str">
        <f aca="false">IF($C191="","",IFERROR(INDEX(품목마스터!$F$3:$F$302,MATCH($C191,품목마스터!$A$3:$A$302,0)),0)+SUMIFS($L$3:$L191,$C$3:$C191,$C191))</f>
        <v/>
      </c>
    </row>
    <row r="192" customFormat="false" ht="15" hidden="false" customHeight="true" outlineLevel="0" collapsed="false">
      <c r="A192" s="11"/>
      <c r="B192" s="7"/>
      <c r="C192" s="7"/>
      <c r="D192" s="12" t="str">
        <f aca="false">IF($C192="","",IFERROR(INDEX(품목마스터!$B$3:$B$302,MATCH($C192,품목마스터!$A$3:$A$302,0)),"미등록품번"))</f>
        <v/>
      </c>
      <c r="E192" s="12" t="str">
        <f aca="false">IF($C192="","",IFERROR(INDEX(품목마스터!$C$3:$C$302,MATCH($C192,품목마스터!$A$3:$A$302,0)),""))</f>
        <v/>
      </c>
      <c r="F192" s="12" t="str">
        <f aca="false">IF($C192="","",IFERROR(INDEX(품목마스터!$D$3:$D$302,MATCH($C192,품목마스터!$A$3:$A$302,0)),""))</f>
        <v/>
      </c>
      <c r="G192" s="9"/>
      <c r="H192" s="9"/>
      <c r="I192" s="13" t="str">
        <f aca="false">IF(OR($G192="",$H192=""),"",ROUND($G192*$H192,0))</f>
        <v/>
      </c>
      <c r="J192" s="7"/>
      <c r="K192" s="7"/>
      <c r="L192" s="14" t="str">
        <f aca="false">IF(OR($C192="",$G192=""),"",IF($B192="입고",$G192,IF($B192="출고",-$G192,$G192)))</f>
        <v/>
      </c>
      <c r="M192" s="13" t="str">
        <f aca="false">IF($C192="","",IFERROR(INDEX(품목마스터!$F$3:$F$302,MATCH($C192,품목마스터!$A$3:$A$302,0)),0)+SUMIFS($L$3:$L192,$C$3:$C192,$C192))</f>
        <v/>
      </c>
    </row>
    <row r="193" customFormat="false" ht="15" hidden="false" customHeight="true" outlineLevel="0" collapsed="false">
      <c r="A193" s="11"/>
      <c r="B193" s="7"/>
      <c r="C193" s="7"/>
      <c r="D193" s="12" t="str">
        <f aca="false">IF($C193="","",IFERROR(INDEX(품목마스터!$B$3:$B$302,MATCH($C193,품목마스터!$A$3:$A$302,0)),"미등록품번"))</f>
        <v/>
      </c>
      <c r="E193" s="12" t="str">
        <f aca="false">IF($C193="","",IFERROR(INDEX(품목마스터!$C$3:$C$302,MATCH($C193,품목마스터!$A$3:$A$302,0)),""))</f>
        <v/>
      </c>
      <c r="F193" s="12" t="str">
        <f aca="false">IF($C193="","",IFERROR(INDEX(품목마스터!$D$3:$D$302,MATCH($C193,품목마스터!$A$3:$A$302,0)),""))</f>
        <v/>
      </c>
      <c r="G193" s="9"/>
      <c r="H193" s="9"/>
      <c r="I193" s="13" t="str">
        <f aca="false">IF(OR($G193="",$H193=""),"",ROUND($G193*$H193,0))</f>
        <v/>
      </c>
      <c r="J193" s="7"/>
      <c r="K193" s="7"/>
      <c r="L193" s="14" t="str">
        <f aca="false">IF(OR($C193="",$G193=""),"",IF($B193="입고",$G193,IF($B193="출고",-$G193,$G193)))</f>
        <v/>
      </c>
      <c r="M193" s="13" t="str">
        <f aca="false">IF($C193="","",IFERROR(INDEX(품목마스터!$F$3:$F$302,MATCH($C193,품목마스터!$A$3:$A$302,0)),0)+SUMIFS($L$3:$L193,$C$3:$C193,$C193))</f>
        <v/>
      </c>
    </row>
    <row r="194" customFormat="false" ht="15" hidden="false" customHeight="true" outlineLevel="0" collapsed="false">
      <c r="A194" s="11"/>
      <c r="B194" s="7"/>
      <c r="C194" s="7"/>
      <c r="D194" s="12" t="str">
        <f aca="false">IF($C194="","",IFERROR(INDEX(품목마스터!$B$3:$B$302,MATCH($C194,품목마스터!$A$3:$A$302,0)),"미등록품번"))</f>
        <v/>
      </c>
      <c r="E194" s="12" t="str">
        <f aca="false">IF($C194="","",IFERROR(INDEX(품목마스터!$C$3:$C$302,MATCH($C194,품목마스터!$A$3:$A$302,0)),""))</f>
        <v/>
      </c>
      <c r="F194" s="12" t="str">
        <f aca="false">IF($C194="","",IFERROR(INDEX(품목마스터!$D$3:$D$302,MATCH($C194,품목마스터!$A$3:$A$302,0)),""))</f>
        <v/>
      </c>
      <c r="G194" s="9"/>
      <c r="H194" s="9"/>
      <c r="I194" s="13" t="str">
        <f aca="false">IF(OR($G194="",$H194=""),"",ROUND($G194*$H194,0))</f>
        <v/>
      </c>
      <c r="J194" s="7"/>
      <c r="K194" s="7"/>
      <c r="L194" s="14" t="str">
        <f aca="false">IF(OR($C194="",$G194=""),"",IF($B194="입고",$G194,IF($B194="출고",-$G194,$G194)))</f>
        <v/>
      </c>
      <c r="M194" s="13" t="str">
        <f aca="false">IF($C194="","",IFERROR(INDEX(품목마스터!$F$3:$F$302,MATCH($C194,품목마스터!$A$3:$A$302,0)),0)+SUMIFS($L$3:$L194,$C$3:$C194,$C194))</f>
        <v/>
      </c>
    </row>
    <row r="195" customFormat="false" ht="15" hidden="false" customHeight="true" outlineLevel="0" collapsed="false">
      <c r="A195" s="11"/>
      <c r="B195" s="7"/>
      <c r="C195" s="7"/>
      <c r="D195" s="12" t="str">
        <f aca="false">IF($C195="","",IFERROR(INDEX(품목마스터!$B$3:$B$302,MATCH($C195,품목마스터!$A$3:$A$302,0)),"미등록품번"))</f>
        <v/>
      </c>
      <c r="E195" s="12" t="str">
        <f aca="false">IF($C195="","",IFERROR(INDEX(품목마스터!$C$3:$C$302,MATCH($C195,품목마스터!$A$3:$A$302,0)),""))</f>
        <v/>
      </c>
      <c r="F195" s="12" t="str">
        <f aca="false">IF($C195="","",IFERROR(INDEX(품목마스터!$D$3:$D$302,MATCH($C195,품목마스터!$A$3:$A$302,0)),""))</f>
        <v/>
      </c>
      <c r="G195" s="9"/>
      <c r="H195" s="9"/>
      <c r="I195" s="13" t="str">
        <f aca="false">IF(OR($G195="",$H195=""),"",ROUND($G195*$H195,0))</f>
        <v/>
      </c>
      <c r="J195" s="7"/>
      <c r="K195" s="7"/>
      <c r="L195" s="14" t="str">
        <f aca="false">IF(OR($C195="",$G195=""),"",IF($B195="입고",$G195,IF($B195="출고",-$G195,$G195)))</f>
        <v/>
      </c>
      <c r="M195" s="13" t="str">
        <f aca="false">IF($C195="","",IFERROR(INDEX(품목마스터!$F$3:$F$302,MATCH($C195,품목마스터!$A$3:$A$302,0)),0)+SUMIFS($L$3:$L195,$C$3:$C195,$C195))</f>
        <v/>
      </c>
    </row>
    <row r="196" customFormat="false" ht="15" hidden="false" customHeight="true" outlineLevel="0" collapsed="false">
      <c r="A196" s="11"/>
      <c r="B196" s="7"/>
      <c r="C196" s="7"/>
      <c r="D196" s="12" t="str">
        <f aca="false">IF($C196="","",IFERROR(INDEX(품목마스터!$B$3:$B$302,MATCH($C196,품목마스터!$A$3:$A$302,0)),"미등록품번"))</f>
        <v/>
      </c>
      <c r="E196" s="12" t="str">
        <f aca="false">IF($C196="","",IFERROR(INDEX(품목마스터!$C$3:$C$302,MATCH($C196,품목마스터!$A$3:$A$302,0)),""))</f>
        <v/>
      </c>
      <c r="F196" s="12" t="str">
        <f aca="false">IF($C196="","",IFERROR(INDEX(품목마스터!$D$3:$D$302,MATCH($C196,품목마스터!$A$3:$A$302,0)),""))</f>
        <v/>
      </c>
      <c r="G196" s="9"/>
      <c r="H196" s="9"/>
      <c r="I196" s="13" t="str">
        <f aca="false">IF(OR($G196="",$H196=""),"",ROUND($G196*$H196,0))</f>
        <v/>
      </c>
      <c r="J196" s="7"/>
      <c r="K196" s="7"/>
      <c r="L196" s="14" t="str">
        <f aca="false">IF(OR($C196="",$G196=""),"",IF($B196="입고",$G196,IF($B196="출고",-$G196,$G196)))</f>
        <v/>
      </c>
      <c r="M196" s="13" t="str">
        <f aca="false">IF($C196="","",IFERROR(INDEX(품목마스터!$F$3:$F$302,MATCH($C196,품목마스터!$A$3:$A$302,0)),0)+SUMIFS($L$3:$L196,$C$3:$C196,$C196))</f>
        <v/>
      </c>
    </row>
    <row r="197" customFormat="false" ht="15" hidden="false" customHeight="true" outlineLevel="0" collapsed="false">
      <c r="A197" s="11"/>
      <c r="B197" s="7"/>
      <c r="C197" s="7"/>
      <c r="D197" s="12" t="str">
        <f aca="false">IF($C197="","",IFERROR(INDEX(품목마스터!$B$3:$B$302,MATCH($C197,품목마스터!$A$3:$A$302,0)),"미등록품번"))</f>
        <v/>
      </c>
      <c r="E197" s="12" t="str">
        <f aca="false">IF($C197="","",IFERROR(INDEX(품목마스터!$C$3:$C$302,MATCH($C197,품목마스터!$A$3:$A$302,0)),""))</f>
        <v/>
      </c>
      <c r="F197" s="12" t="str">
        <f aca="false">IF($C197="","",IFERROR(INDEX(품목마스터!$D$3:$D$302,MATCH($C197,품목마스터!$A$3:$A$302,0)),""))</f>
        <v/>
      </c>
      <c r="G197" s="9"/>
      <c r="H197" s="9"/>
      <c r="I197" s="13" t="str">
        <f aca="false">IF(OR($G197="",$H197=""),"",ROUND($G197*$H197,0))</f>
        <v/>
      </c>
      <c r="J197" s="7"/>
      <c r="K197" s="7"/>
      <c r="L197" s="14" t="str">
        <f aca="false">IF(OR($C197="",$G197=""),"",IF($B197="입고",$G197,IF($B197="출고",-$G197,$G197)))</f>
        <v/>
      </c>
      <c r="M197" s="13" t="str">
        <f aca="false">IF($C197="","",IFERROR(INDEX(품목마스터!$F$3:$F$302,MATCH($C197,품목마스터!$A$3:$A$302,0)),0)+SUMIFS($L$3:$L197,$C$3:$C197,$C197))</f>
        <v/>
      </c>
    </row>
    <row r="198" customFormat="false" ht="15" hidden="false" customHeight="true" outlineLevel="0" collapsed="false">
      <c r="A198" s="11"/>
      <c r="B198" s="7"/>
      <c r="C198" s="7"/>
      <c r="D198" s="12" t="str">
        <f aca="false">IF($C198="","",IFERROR(INDEX(품목마스터!$B$3:$B$302,MATCH($C198,품목마스터!$A$3:$A$302,0)),"미등록품번"))</f>
        <v/>
      </c>
      <c r="E198" s="12" t="str">
        <f aca="false">IF($C198="","",IFERROR(INDEX(품목마스터!$C$3:$C$302,MATCH($C198,품목마스터!$A$3:$A$302,0)),""))</f>
        <v/>
      </c>
      <c r="F198" s="12" t="str">
        <f aca="false">IF($C198="","",IFERROR(INDEX(품목마스터!$D$3:$D$302,MATCH($C198,품목마스터!$A$3:$A$302,0)),""))</f>
        <v/>
      </c>
      <c r="G198" s="9"/>
      <c r="H198" s="9"/>
      <c r="I198" s="13" t="str">
        <f aca="false">IF(OR($G198="",$H198=""),"",ROUND($G198*$H198,0))</f>
        <v/>
      </c>
      <c r="J198" s="7"/>
      <c r="K198" s="7"/>
      <c r="L198" s="14" t="str">
        <f aca="false">IF(OR($C198="",$G198=""),"",IF($B198="입고",$G198,IF($B198="출고",-$G198,$G198)))</f>
        <v/>
      </c>
      <c r="M198" s="13" t="str">
        <f aca="false">IF($C198="","",IFERROR(INDEX(품목마스터!$F$3:$F$302,MATCH($C198,품목마스터!$A$3:$A$302,0)),0)+SUMIFS($L$3:$L198,$C$3:$C198,$C198))</f>
        <v/>
      </c>
    </row>
    <row r="199" customFormat="false" ht="15" hidden="false" customHeight="true" outlineLevel="0" collapsed="false">
      <c r="A199" s="11"/>
      <c r="B199" s="7"/>
      <c r="C199" s="7"/>
      <c r="D199" s="12" t="str">
        <f aca="false">IF($C199="","",IFERROR(INDEX(품목마스터!$B$3:$B$302,MATCH($C199,품목마스터!$A$3:$A$302,0)),"미등록품번"))</f>
        <v/>
      </c>
      <c r="E199" s="12" t="str">
        <f aca="false">IF($C199="","",IFERROR(INDEX(품목마스터!$C$3:$C$302,MATCH($C199,품목마스터!$A$3:$A$302,0)),""))</f>
        <v/>
      </c>
      <c r="F199" s="12" t="str">
        <f aca="false">IF($C199="","",IFERROR(INDEX(품목마스터!$D$3:$D$302,MATCH($C199,품목마스터!$A$3:$A$302,0)),""))</f>
        <v/>
      </c>
      <c r="G199" s="9"/>
      <c r="H199" s="9"/>
      <c r="I199" s="13" t="str">
        <f aca="false">IF(OR($G199="",$H199=""),"",ROUND($G199*$H199,0))</f>
        <v/>
      </c>
      <c r="J199" s="7"/>
      <c r="K199" s="7"/>
      <c r="L199" s="14" t="str">
        <f aca="false">IF(OR($C199="",$G199=""),"",IF($B199="입고",$G199,IF($B199="출고",-$G199,$G199)))</f>
        <v/>
      </c>
      <c r="M199" s="13" t="str">
        <f aca="false">IF($C199="","",IFERROR(INDEX(품목마스터!$F$3:$F$302,MATCH($C199,품목마스터!$A$3:$A$302,0)),0)+SUMIFS($L$3:$L199,$C$3:$C199,$C199))</f>
        <v/>
      </c>
    </row>
    <row r="200" customFormat="false" ht="15" hidden="false" customHeight="true" outlineLevel="0" collapsed="false">
      <c r="A200" s="11"/>
      <c r="B200" s="7"/>
      <c r="C200" s="7"/>
      <c r="D200" s="12" t="str">
        <f aca="false">IF($C200="","",IFERROR(INDEX(품목마스터!$B$3:$B$302,MATCH($C200,품목마스터!$A$3:$A$302,0)),"미등록품번"))</f>
        <v/>
      </c>
      <c r="E200" s="12" t="str">
        <f aca="false">IF($C200="","",IFERROR(INDEX(품목마스터!$C$3:$C$302,MATCH($C200,품목마스터!$A$3:$A$302,0)),""))</f>
        <v/>
      </c>
      <c r="F200" s="12" t="str">
        <f aca="false">IF($C200="","",IFERROR(INDEX(품목마스터!$D$3:$D$302,MATCH($C200,품목마스터!$A$3:$A$302,0)),""))</f>
        <v/>
      </c>
      <c r="G200" s="9"/>
      <c r="H200" s="9"/>
      <c r="I200" s="13" t="str">
        <f aca="false">IF(OR($G200="",$H200=""),"",ROUND($G200*$H200,0))</f>
        <v/>
      </c>
      <c r="J200" s="7"/>
      <c r="K200" s="7"/>
      <c r="L200" s="14" t="str">
        <f aca="false">IF(OR($C200="",$G200=""),"",IF($B200="입고",$G200,IF($B200="출고",-$G200,$G200)))</f>
        <v/>
      </c>
      <c r="M200" s="13" t="str">
        <f aca="false">IF($C200="","",IFERROR(INDEX(품목마스터!$F$3:$F$302,MATCH($C200,품목마스터!$A$3:$A$302,0)),0)+SUMIFS($L$3:$L200,$C$3:$C200,$C200))</f>
        <v/>
      </c>
    </row>
    <row r="201" customFormat="false" ht="15" hidden="false" customHeight="true" outlineLevel="0" collapsed="false">
      <c r="A201" s="11"/>
      <c r="B201" s="7"/>
      <c r="C201" s="7"/>
      <c r="D201" s="12" t="str">
        <f aca="false">IF($C201="","",IFERROR(INDEX(품목마스터!$B$3:$B$302,MATCH($C201,품목마스터!$A$3:$A$302,0)),"미등록품번"))</f>
        <v/>
      </c>
      <c r="E201" s="12" t="str">
        <f aca="false">IF($C201="","",IFERROR(INDEX(품목마스터!$C$3:$C$302,MATCH($C201,품목마스터!$A$3:$A$302,0)),""))</f>
        <v/>
      </c>
      <c r="F201" s="12" t="str">
        <f aca="false">IF($C201="","",IFERROR(INDEX(품목마스터!$D$3:$D$302,MATCH($C201,품목마스터!$A$3:$A$302,0)),""))</f>
        <v/>
      </c>
      <c r="G201" s="9"/>
      <c r="H201" s="9"/>
      <c r="I201" s="13" t="str">
        <f aca="false">IF(OR($G201="",$H201=""),"",ROUND($G201*$H201,0))</f>
        <v/>
      </c>
      <c r="J201" s="7"/>
      <c r="K201" s="7"/>
      <c r="L201" s="14" t="str">
        <f aca="false">IF(OR($C201="",$G201=""),"",IF($B201="입고",$G201,IF($B201="출고",-$G201,$G201)))</f>
        <v/>
      </c>
      <c r="M201" s="13" t="str">
        <f aca="false">IF($C201="","",IFERROR(INDEX(품목마스터!$F$3:$F$302,MATCH($C201,품목마스터!$A$3:$A$302,0)),0)+SUMIFS($L$3:$L201,$C$3:$C201,$C201))</f>
        <v/>
      </c>
    </row>
    <row r="202" customFormat="false" ht="15" hidden="false" customHeight="true" outlineLevel="0" collapsed="false">
      <c r="A202" s="11"/>
      <c r="B202" s="7"/>
      <c r="C202" s="7"/>
      <c r="D202" s="12" t="str">
        <f aca="false">IF($C202="","",IFERROR(INDEX(품목마스터!$B$3:$B$302,MATCH($C202,품목마스터!$A$3:$A$302,0)),"미등록품번"))</f>
        <v/>
      </c>
      <c r="E202" s="12" t="str">
        <f aca="false">IF($C202="","",IFERROR(INDEX(품목마스터!$C$3:$C$302,MATCH($C202,품목마스터!$A$3:$A$302,0)),""))</f>
        <v/>
      </c>
      <c r="F202" s="12" t="str">
        <f aca="false">IF($C202="","",IFERROR(INDEX(품목마스터!$D$3:$D$302,MATCH($C202,품목마스터!$A$3:$A$302,0)),""))</f>
        <v/>
      </c>
      <c r="G202" s="9"/>
      <c r="H202" s="9"/>
      <c r="I202" s="13" t="str">
        <f aca="false">IF(OR($G202="",$H202=""),"",ROUND($G202*$H202,0))</f>
        <v/>
      </c>
      <c r="J202" s="7"/>
      <c r="K202" s="7"/>
      <c r="L202" s="14" t="str">
        <f aca="false">IF(OR($C202="",$G202=""),"",IF($B202="입고",$G202,IF($B202="출고",-$G202,$G202)))</f>
        <v/>
      </c>
      <c r="M202" s="13" t="str">
        <f aca="false">IF($C202="","",IFERROR(INDEX(품목마스터!$F$3:$F$302,MATCH($C202,품목마스터!$A$3:$A$302,0)),0)+SUMIFS($L$3:$L202,$C$3:$C202,$C202))</f>
        <v/>
      </c>
    </row>
    <row r="203" customFormat="false" ht="15" hidden="false" customHeight="true" outlineLevel="0" collapsed="false">
      <c r="A203" s="11"/>
      <c r="B203" s="7"/>
      <c r="C203" s="7"/>
      <c r="D203" s="12" t="str">
        <f aca="false">IF($C203="","",IFERROR(INDEX(품목마스터!$B$3:$B$302,MATCH($C203,품목마스터!$A$3:$A$302,0)),"미등록품번"))</f>
        <v/>
      </c>
      <c r="E203" s="12" t="str">
        <f aca="false">IF($C203="","",IFERROR(INDEX(품목마스터!$C$3:$C$302,MATCH($C203,품목마스터!$A$3:$A$302,0)),""))</f>
        <v/>
      </c>
      <c r="F203" s="12" t="str">
        <f aca="false">IF($C203="","",IFERROR(INDEX(품목마스터!$D$3:$D$302,MATCH($C203,품목마스터!$A$3:$A$302,0)),""))</f>
        <v/>
      </c>
      <c r="G203" s="9"/>
      <c r="H203" s="9"/>
      <c r="I203" s="13" t="str">
        <f aca="false">IF(OR($G203="",$H203=""),"",ROUND($G203*$H203,0))</f>
        <v/>
      </c>
      <c r="J203" s="7"/>
      <c r="K203" s="7"/>
      <c r="L203" s="14" t="str">
        <f aca="false">IF(OR($C203="",$G203=""),"",IF($B203="입고",$G203,IF($B203="출고",-$G203,$G203)))</f>
        <v/>
      </c>
      <c r="M203" s="13" t="str">
        <f aca="false">IF($C203="","",IFERROR(INDEX(품목마스터!$F$3:$F$302,MATCH($C203,품목마스터!$A$3:$A$302,0)),0)+SUMIFS($L$3:$L203,$C$3:$C203,$C203))</f>
        <v/>
      </c>
    </row>
    <row r="204" customFormat="false" ht="15" hidden="false" customHeight="true" outlineLevel="0" collapsed="false">
      <c r="A204" s="11"/>
      <c r="B204" s="7"/>
      <c r="C204" s="7"/>
      <c r="D204" s="12" t="str">
        <f aca="false">IF($C204="","",IFERROR(INDEX(품목마스터!$B$3:$B$302,MATCH($C204,품목마스터!$A$3:$A$302,0)),"미등록품번"))</f>
        <v/>
      </c>
      <c r="E204" s="12" t="str">
        <f aca="false">IF($C204="","",IFERROR(INDEX(품목마스터!$C$3:$C$302,MATCH($C204,품목마스터!$A$3:$A$302,0)),""))</f>
        <v/>
      </c>
      <c r="F204" s="12" t="str">
        <f aca="false">IF($C204="","",IFERROR(INDEX(품목마스터!$D$3:$D$302,MATCH($C204,품목마스터!$A$3:$A$302,0)),""))</f>
        <v/>
      </c>
      <c r="G204" s="9"/>
      <c r="H204" s="9"/>
      <c r="I204" s="13" t="str">
        <f aca="false">IF(OR($G204="",$H204=""),"",ROUND($G204*$H204,0))</f>
        <v/>
      </c>
      <c r="J204" s="7"/>
      <c r="K204" s="7"/>
      <c r="L204" s="14" t="str">
        <f aca="false">IF(OR($C204="",$G204=""),"",IF($B204="입고",$G204,IF($B204="출고",-$G204,$G204)))</f>
        <v/>
      </c>
      <c r="M204" s="13" t="str">
        <f aca="false">IF($C204="","",IFERROR(INDEX(품목마스터!$F$3:$F$302,MATCH($C204,품목마스터!$A$3:$A$302,0)),0)+SUMIFS($L$3:$L204,$C$3:$C204,$C204))</f>
        <v/>
      </c>
    </row>
    <row r="205" customFormat="false" ht="15" hidden="false" customHeight="true" outlineLevel="0" collapsed="false">
      <c r="A205" s="11"/>
      <c r="B205" s="7"/>
      <c r="C205" s="7"/>
      <c r="D205" s="12" t="str">
        <f aca="false">IF($C205="","",IFERROR(INDEX(품목마스터!$B$3:$B$302,MATCH($C205,품목마스터!$A$3:$A$302,0)),"미등록품번"))</f>
        <v/>
      </c>
      <c r="E205" s="12" t="str">
        <f aca="false">IF($C205="","",IFERROR(INDEX(품목마스터!$C$3:$C$302,MATCH($C205,품목마스터!$A$3:$A$302,0)),""))</f>
        <v/>
      </c>
      <c r="F205" s="12" t="str">
        <f aca="false">IF($C205="","",IFERROR(INDEX(품목마스터!$D$3:$D$302,MATCH($C205,품목마스터!$A$3:$A$302,0)),""))</f>
        <v/>
      </c>
      <c r="G205" s="9"/>
      <c r="H205" s="9"/>
      <c r="I205" s="13" t="str">
        <f aca="false">IF(OR($G205="",$H205=""),"",ROUND($G205*$H205,0))</f>
        <v/>
      </c>
      <c r="J205" s="7"/>
      <c r="K205" s="7"/>
      <c r="L205" s="14" t="str">
        <f aca="false">IF(OR($C205="",$G205=""),"",IF($B205="입고",$G205,IF($B205="출고",-$G205,$G205)))</f>
        <v/>
      </c>
      <c r="M205" s="13" t="str">
        <f aca="false">IF($C205="","",IFERROR(INDEX(품목마스터!$F$3:$F$302,MATCH($C205,품목마스터!$A$3:$A$302,0)),0)+SUMIFS($L$3:$L205,$C$3:$C205,$C205))</f>
        <v/>
      </c>
    </row>
    <row r="206" customFormat="false" ht="15" hidden="false" customHeight="true" outlineLevel="0" collapsed="false">
      <c r="A206" s="11"/>
      <c r="B206" s="7"/>
      <c r="C206" s="7"/>
      <c r="D206" s="12" t="str">
        <f aca="false">IF($C206="","",IFERROR(INDEX(품목마스터!$B$3:$B$302,MATCH($C206,품목마스터!$A$3:$A$302,0)),"미등록품번"))</f>
        <v/>
      </c>
      <c r="E206" s="12" t="str">
        <f aca="false">IF($C206="","",IFERROR(INDEX(품목마스터!$C$3:$C$302,MATCH($C206,품목마스터!$A$3:$A$302,0)),""))</f>
        <v/>
      </c>
      <c r="F206" s="12" t="str">
        <f aca="false">IF($C206="","",IFERROR(INDEX(품목마스터!$D$3:$D$302,MATCH($C206,품목마스터!$A$3:$A$302,0)),""))</f>
        <v/>
      </c>
      <c r="G206" s="9"/>
      <c r="H206" s="9"/>
      <c r="I206" s="13" t="str">
        <f aca="false">IF(OR($G206="",$H206=""),"",ROUND($G206*$H206,0))</f>
        <v/>
      </c>
      <c r="J206" s="7"/>
      <c r="K206" s="7"/>
      <c r="L206" s="14" t="str">
        <f aca="false">IF(OR($C206="",$G206=""),"",IF($B206="입고",$G206,IF($B206="출고",-$G206,$G206)))</f>
        <v/>
      </c>
      <c r="M206" s="13" t="str">
        <f aca="false">IF($C206="","",IFERROR(INDEX(품목마스터!$F$3:$F$302,MATCH($C206,품목마스터!$A$3:$A$302,0)),0)+SUMIFS($L$3:$L206,$C$3:$C206,$C206))</f>
        <v/>
      </c>
    </row>
    <row r="207" customFormat="false" ht="15" hidden="false" customHeight="true" outlineLevel="0" collapsed="false">
      <c r="A207" s="11"/>
      <c r="B207" s="7"/>
      <c r="C207" s="7"/>
      <c r="D207" s="12" t="str">
        <f aca="false">IF($C207="","",IFERROR(INDEX(품목마스터!$B$3:$B$302,MATCH($C207,품목마스터!$A$3:$A$302,0)),"미등록품번"))</f>
        <v/>
      </c>
      <c r="E207" s="12" t="str">
        <f aca="false">IF($C207="","",IFERROR(INDEX(품목마스터!$C$3:$C$302,MATCH($C207,품목마스터!$A$3:$A$302,0)),""))</f>
        <v/>
      </c>
      <c r="F207" s="12" t="str">
        <f aca="false">IF($C207="","",IFERROR(INDEX(품목마스터!$D$3:$D$302,MATCH($C207,품목마스터!$A$3:$A$302,0)),""))</f>
        <v/>
      </c>
      <c r="G207" s="9"/>
      <c r="H207" s="9"/>
      <c r="I207" s="13" t="str">
        <f aca="false">IF(OR($G207="",$H207=""),"",ROUND($G207*$H207,0))</f>
        <v/>
      </c>
      <c r="J207" s="7"/>
      <c r="K207" s="7"/>
      <c r="L207" s="14" t="str">
        <f aca="false">IF(OR($C207="",$G207=""),"",IF($B207="입고",$G207,IF($B207="출고",-$G207,$G207)))</f>
        <v/>
      </c>
      <c r="M207" s="13" t="str">
        <f aca="false">IF($C207="","",IFERROR(INDEX(품목마스터!$F$3:$F$302,MATCH($C207,품목마스터!$A$3:$A$302,0)),0)+SUMIFS($L$3:$L207,$C$3:$C207,$C207))</f>
        <v/>
      </c>
    </row>
    <row r="208" customFormat="false" ht="15" hidden="false" customHeight="true" outlineLevel="0" collapsed="false">
      <c r="A208" s="11"/>
      <c r="B208" s="7"/>
      <c r="C208" s="7"/>
      <c r="D208" s="12" t="str">
        <f aca="false">IF($C208="","",IFERROR(INDEX(품목마스터!$B$3:$B$302,MATCH($C208,품목마스터!$A$3:$A$302,0)),"미등록품번"))</f>
        <v/>
      </c>
      <c r="E208" s="12" t="str">
        <f aca="false">IF($C208="","",IFERROR(INDEX(품목마스터!$C$3:$C$302,MATCH($C208,품목마스터!$A$3:$A$302,0)),""))</f>
        <v/>
      </c>
      <c r="F208" s="12" t="str">
        <f aca="false">IF($C208="","",IFERROR(INDEX(품목마스터!$D$3:$D$302,MATCH($C208,품목마스터!$A$3:$A$302,0)),""))</f>
        <v/>
      </c>
      <c r="G208" s="9"/>
      <c r="H208" s="9"/>
      <c r="I208" s="13" t="str">
        <f aca="false">IF(OR($G208="",$H208=""),"",ROUND($G208*$H208,0))</f>
        <v/>
      </c>
      <c r="J208" s="7"/>
      <c r="K208" s="7"/>
      <c r="L208" s="14" t="str">
        <f aca="false">IF(OR($C208="",$G208=""),"",IF($B208="입고",$G208,IF($B208="출고",-$G208,$G208)))</f>
        <v/>
      </c>
      <c r="M208" s="13" t="str">
        <f aca="false">IF($C208="","",IFERROR(INDEX(품목마스터!$F$3:$F$302,MATCH($C208,품목마스터!$A$3:$A$302,0)),0)+SUMIFS($L$3:$L208,$C$3:$C208,$C208))</f>
        <v/>
      </c>
    </row>
    <row r="209" customFormat="false" ht="15" hidden="false" customHeight="true" outlineLevel="0" collapsed="false">
      <c r="A209" s="11"/>
      <c r="B209" s="7"/>
      <c r="C209" s="7"/>
      <c r="D209" s="12" t="str">
        <f aca="false">IF($C209="","",IFERROR(INDEX(품목마스터!$B$3:$B$302,MATCH($C209,품목마스터!$A$3:$A$302,0)),"미등록품번"))</f>
        <v/>
      </c>
      <c r="E209" s="12" t="str">
        <f aca="false">IF($C209="","",IFERROR(INDEX(품목마스터!$C$3:$C$302,MATCH($C209,품목마스터!$A$3:$A$302,0)),""))</f>
        <v/>
      </c>
      <c r="F209" s="12" t="str">
        <f aca="false">IF($C209="","",IFERROR(INDEX(품목마스터!$D$3:$D$302,MATCH($C209,품목마스터!$A$3:$A$302,0)),""))</f>
        <v/>
      </c>
      <c r="G209" s="9"/>
      <c r="H209" s="9"/>
      <c r="I209" s="13" t="str">
        <f aca="false">IF(OR($G209="",$H209=""),"",ROUND($G209*$H209,0))</f>
        <v/>
      </c>
      <c r="J209" s="7"/>
      <c r="K209" s="7"/>
      <c r="L209" s="14" t="str">
        <f aca="false">IF(OR($C209="",$G209=""),"",IF($B209="입고",$G209,IF($B209="출고",-$G209,$G209)))</f>
        <v/>
      </c>
      <c r="M209" s="13" t="str">
        <f aca="false">IF($C209="","",IFERROR(INDEX(품목마스터!$F$3:$F$302,MATCH($C209,품목마스터!$A$3:$A$302,0)),0)+SUMIFS($L$3:$L209,$C$3:$C209,$C209))</f>
        <v/>
      </c>
    </row>
    <row r="210" customFormat="false" ht="15" hidden="false" customHeight="true" outlineLevel="0" collapsed="false">
      <c r="A210" s="11"/>
      <c r="B210" s="7"/>
      <c r="C210" s="7"/>
      <c r="D210" s="12" t="str">
        <f aca="false">IF($C210="","",IFERROR(INDEX(품목마스터!$B$3:$B$302,MATCH($C210,품목마스터!$A$3:$A$302,0)),"미등록품번"))</f>
        <v/>
      </c>
      <c r="E210" s="12" t="str">
        <f aca="false">IF($C210="","",IFERROR(INDEX(품목마스터!$C$3:$C$302,MATCH($C210,품목마스터!$A$3:$A$302,0)),""))</f>
        <v/>
      </c>
      <c r="F210" s="12" t="str">
        <f aca="false">IF($C210="","",IFERROR(INDEX(품목마스터!$D$3:$D$302,MATCH($C210,품목마스터!$A$3:$A$302,0)),""))</f>
        <v/>
      </c>
      <c r="G210" s="9"/>
      <c r="H210" s="9"/>
      <c r="I210" s="13" t="str">
        <f aca="false">IF(OR($G210="",$H210=""),"",ROUND($G210*$H210,0))</f>
        <v/>
      </c>
      <c r="J210" s="7"/>
      <c r="K210" s="7"/>
      <c r="L210" s="14" t="str">
        <f aca="false">IF(OR($C210="",$G210=""),"",IF($B210="입고",$G210,IF($B210="출고",-$G210,$G210)))</f>
        <v/>
      </c>
      <c r="M210" s="13" t="str">
        <f aca="false">IF($C210="","",IFERROR(INDEX(품목마스터!$F$3:$F$302,MATCH($C210,품목마스터!$A$3:$A$302,0)),0)+SUMIFS($L$3:$L210,$C$3:$C210,$C210))</f>
        <v/>
      </c>
    </row>
    <row r="211" customFormat="false" ht="15" hidden="false" customHeight="true" outlineLevel="0" collapsed="false">
      <c r="A211" s="11"/>
      <c r="B211" s="7"/>
      <c r="C211" s="7"/>
      <c r="D211" s="12" t="str">
        <f aca="false">IF($C211="","",IFERROR(INDEX(품목마스터!$B$3:$B$302,MATCH($C211,품목마스터!$A$3:$A$302,0)),"미등록품번"))</f>
        <v/>
      </c>
      <c r="E211" s="12" t="str">
        <f aca="false">IF($C211="","",IFERROR(INDEX(품목마스터!$C$3:$C$302,MATCH($C211,품목마스터!$A$3:$A$302,0)),""))</f>
        <v/>
      </c>
      <c r="F211" s="12" t="str">
        <f aca="false">IF($C211="","",IFERROR(INDEX(품목마스터!$D$3:$D$302,MATCH($C211,품목마스터!$A$3:$A$302,0)),""))</f>
        <v/>
      </c>
      <c r="G211" s="9"/>
      <c r="H211" s="9"/>
      <c r="I211" s="13" t="str">
        <f aca="false">IF(OR($G211="",$H211=""),"",ROUND($G211*$H211,0))</f>
        <v/>
      </c>
      <c r="J211" s="7"/>
      <c r="K211" s="7"/>
      <c r="L211" s="14" t="str">
        <f aca="false">IF(OR($C211="",$G211=""),"",IF($B211="입고",$G211,IF($B211="출고",-$G211,$G211)))</f>
        <v/>
      </c>
      <c r="M211" s="13" t="str">
        <f aca="false">IF($C211="","",IFERROR(INDEX(품목마스터!$F$3:$F$302,MATCH($C211,품목마스터!$A$3:$A$302,0)),0)+SUMIFS($L$3:$L211,$C$3:$C211,$C211))</f>
        <v/>
      </c>
    </row>
    <row r="212" customFormat="false" ht="15" hidden="false" customHeight="true" outlineLevel="0" collapsed="false">
      <c r="A212" s="11"/>
      <c r="B212" s="7"/>
      <c r="C212" s="7"/>
      <c r="D212" s="12" t="str">
        <f aca="false">IF($C212="","",IFERROR(INDEX(품목마스터!$B$3:$B$302,MATCH($C212,품목마스터!$A$3:$A$302,0)),"미등록품번"))</f>
        <v/>
      </c>
      <c r="E212" s="12" t="str">
        <f aca="false">IF($C212="","",IFERROR(INDEX(품목마스터!$C$3:$C$302,MATCH($C212,품목마스터!$A$3:$A$302,0)),""))</f>
        <v/>
      </c>
      <c r="F212" s="12" t="str">
        <f aca="false">IF($C212="","",IFERROR(INDEX(품목마스터!$D$3:$D$302,MATCH($C212,품목마스터!$A$3:$A$302,0)),""))</f>
        <v/>
      </c>
      <c r="G212" s="9"/>
      <c r="H212" s="9"/>
      <c r="I212" s="13" t="str">
        <f aca="false">IF(OR($G212="",$H212=""),"",ROUND($G212*$H212,0))</f>
        <v/>
      </c>
      <c r="J212" s="7"/>
      <c r="K212" s="7"/>
      <c r="L212" s="14" t="str">
        <f aca="false">IF(OR($C212="",$G212=""),"",IF($B212="입고",$G212,IF($B212="출고",-$G212,$G212)))</f>
        <v/>
      </c>
      <c r="M212" s="13" t="str">
        <f aca="false">IF($C212="","",IFERROR(INDEX(품목마스터!$F$3:$F$302,MATCH($C212,품목마스터!$A$3:$A$302,0)),0)+SUMIFS($L$3:$L212,$C$3:$C212,$C212))</f>
        <v/>
      </c>
    </row>
    <row r="213" customFormat="false" ht="15" hidden="false" customHeight="true" outlineLevel="0" collapsed="false">
      <c r="A213" s="11"/>
      <c r="B213" s="7"/>
      <c r="C213" s="7"/>
      <c r="D213" s="12" t="str">
        <f aca="false">IF($C213="","",IFERROR(INDEX(품목마스터!$B$3:$B$302,MATCH($C213,품목마스터!$A$3:$A$302,0)),"미등록품번"))</f>
        <v/>
      </c>
      <c r="E213" s="12" t="str">
        <f aca="false">IF($C213="","",IFERROR(INDEX(품목마스터!$C$3:$C$302,MATCH($C213,품목마스터!$A$3:$A$302,0)),""))</f>
        <v/>
      </c>
      <c r="F213" s="12" t="str">
        <f aca="false">IF($C213="","",IFERROR(INDEX(품목마스터!$D$3:$D$302,MATCH($C213,품목마스터!$A$3:$A$302,0)),""))</f>
        <v/>
      </c>
      <c r="G213" s="9"/>
      <c r="H213" s="9"/>
      <c r="I213" s="13" t="str">
        <f aca="false">IF(OR($G213="",$H213=""),"",ROUND($G213*$H213,0))</f>
        <v/>
      </c>
      <c r="J213" s="7"/>
      <c r="K213" s="7"/>
      <c r="L213" s="14" t="str">
        <f aca="false">IF(OR($C213="",$G213=""),"",IF($B213="입고",$G213,IF($B213="출고",-$G213,$G213)))</f>
        <v/>
      </c>
      <c r="M213" s="13" t="str">
        <f aca="false">IF($C213="","",IFERROR(INDEX(품목마스터!$F$3:$F$302,MATCH($C213,품목마스터!$A$3:$A$302,0)),0)+SUMIFS($L$3:$L213,$C$3:$C213,$C213))</f>
        <v/>
      </c>
    </row>
    <row r="214" customFormat="false" ht="15" hidden="false" customHeight="true" outlineLevel="0" collapsed="false">
      <c r="A214" s="11"/>
      <c r="B214" s="7"/>
      <c r="C214" s="7"/>
      <c r="D214" s="12" t="str">
        <f aca="false">IF($C214="","",IFERROR(INDEX(품목마스터!$B$3:$B$302,MATCH($C214,품목마스터!$A$3:$A$302,0)),"미등록품번"))</f>
        <v/>
      </c>
      <c r="E214" s="12" t="str">
        <f aca="false">IF($C214="","",IFERROR(INDEX(품목마스터!$C$3:$C$302,MATCH($C214,품목마스터!$A$3:$A$302,0)),""))</f>
        <v/>
      </c>
      <c r="F214" s="12" t="str">
        <f aca="false">IF($C214="","",IFERROR(INDEX(품목마스터!$D$3:$D$302,MATCH($C214,품목마스터!$A$3:$A$302,0)),""))</f>
        <v/>
      </c>
      <c r="G214" s="9"/>
      <c r="H214" s="9"/>
      <c r="I214" s="13" t="str">
        <f aca="false">IF(OR($G214="",$H214=""),"",ROUND($G214*$H214,0))</f>
        <v/>
      </c>
      <c r="J214" s="7"/>
      <c r="K214" s="7"/>
      <c r="L214" s="14" t="str">
        <f aca="false">IF(OR($C214="",$G214=""),"",IF($B214="입고",$G214,IF($B214="출고",-$G214,$G214)))</f>
        <v/>
      </c>
      <c r="M214" s="13" t="str">
        <f aca="false">IF($C214="","",IFERROR(INDEX(품목마스터!$F$3:$F$302,MATCH($C214,품목마스터!$A$3:$A$302,0)),0)+SUMIFS($L$3:$L214,$C$3:$C214,$C214))</f>
        <v/>
      </c>
    </row>
    <row r="215" customFormat="false" ht="15" hidden="false" customHeight="true" outlineLevel="0" collapsed="false">
      <c r="A215" s="11"/>
      <c r="B215" s="7"/>
      <c r="C215" s="7"/>
      <c r="D215" s="12" t="str">
        <f aca="false">IF($C215="","",IFERROR(INDEX(품목마스터!$B$3:$B$302,MATCH($C215,품목마스터!$A$3:$A$302,0)),"미등록품번"))</f>
        <v/>
      </c>
      <c r="E215" s="12" t="str">
        <f aca="false">IF($C215="","",IFERROR(INDEX(품목마스터!$C$3:$C$302,MATCH($C215,품목마스터!$A$3:$A$302,0)),""))</f>
        <v/>
      </c>
      <c r="F215" s="12" t="str">
        <f aca="false">IF($C215="","",IFERROR(INDEX(품목마스터!$D$3:$D$302,MATCH($C215,품목마스터!$A$3:$A$302,0)),""))</f>
        <v/>
      </c>
      <c r="G215" s="9"/>
      <c r="H215" s="9"/>
      <c r="I215" s="13" t="str">
        <f aca="false">IF(OR($G215="",$H215=""),"",ROUND($G215*$H215,0))</f>
        <v/>
      </c>
      <c r="J215" s="7"/>
      <c r="K215" s="7"/>
      <c r="L215" s="14" t="str">
        <f aca="false">IF(OR($C215="",$G215=""),"",IF($B215="입고",$G215,IF($B215="출고",-$G215,$G215)))</f>
        <v/>
      </c>
      <c r="M215" s="13" t="str">
        <f aca="false">IF($C215="","",IFERROR(INDEX(품목마스터!$F$3:$F$302,MATCH($C215,품목마스터!$A$3:$A$302,0)),0)+SUMIFS($L$3:$L215,$C$3:$C215,$C215))</f>
        <v/>
      </c>
    </row>
    <row r="216" customFormat="false" ht="15" hidden="false" customHeight="true" outlineLevel="0" collapsed="false">
      <c r="A216" s="11"/>
      <c r="B216" s="7"/>
      <c r="C216" s="7"/>
      <c r="D216" s="12" t="str">
        <f aca="false">IF($C216="","",IFERROR(INDEX(품목마스터!$B$3:$B$302,MATCH($C216,품목마스터!$A$3:$A$302,0)),"미등록품번"))</f>
        <v/>
      </c>
      <c r="E216" s="12" t="str">
        <f aca="false">IF($C216="","",IFERROR(INDEX(품목마스터!$C$3:$C$302,MATCH($C216,품목마스터!$A$3:$A$302,0)),""))</f>
        <v/>
      </c>
      <c r="F216" s="12" t="str">
        <f aca="false">IF($C216="","",IFERROR(INDEX(품목마스터!$D$3:$D$302,MATCH($C216,품목마스터!$A$3:$A$302,0)),""))</f>
        <v/>
      </c>
      <c r="G216" s="9"/>
      <c r="H216" s="9"/>
      <c r="I216" s="13" t="str">
        <f aca="false">IF(OR($G216="",$H216=""),"",ROUND($G216*$H216,0))</f>
        <v/>
      </c>
      <c r="J216" s="7"/>
      <c r="K216" s="7"/>
      <c r="L216" s="14" t="str">
        <f aca="false">IF(OR($C216="",$G216=""),"",IF($B216="입고",$G216,IF($B216="출고",-$G216,$G216)))</f>
        <v/>
      </c>
      <c r="M216" s="13" t="str">
        <f aca="false">IF($C216="","",IFERROR(INDEX(품목마스터!$F$3:$F$302,MATCH($C216,품목마스터!$A$3:$A$302,0)),0)+SUMIFS($L$3:$L216,$C$3:$C216,$C216))</f>
        <v/>
      </c>
    </row>
    <row r="217" customFormat="false" ht="15" hidden="false" customHeight="true" outlineLevel="0" collapsed="false">
      <c r="A217" s="11"/>
      <c r="B217" s="7"/>
      <c r="C217" s="7"/>
      <c r="D217" s="12" t="str">
        <f aca="false">IF($C217="","",IFERROR(INDEX(품목마스터!$B$3:$B$302,MATCH($C217,품목마스터!$A$3:$A$302,0)),"미등록품번"))</f>
        <v/>
      </c>
      <c r="E217" s="12" t="str">
        <f aca="false">IF($C217="","",IFERROR(INDEX(품목마스터!$C$3:$C$302,MATCH($C217,품목마스터!$A$3:$A$302,0)),""))</f>
        <v/>
      </c>
      <c r="F217" s="12" t="str">
        <f aca="false">IF($C217="","",IFERROR(INDEX(품목마스터!$D$3:$D$302,MATCH($C217,품목마스터!$A$3:$A$302,0)),""))</f>
        <v/>
      </c>
      <c r="G217" s="9"/>
      <c r="H217" s="9"/>
      <c r="I217" s="13" t="str">
        <f aca="false">IF(OR($G217="",$H217=""),"",ROUND($G217*$H217,0))</f>
        <v/>
      </c>
      <c r="J217" s="7"/>
      <c r="K217" s="7"/>
      <c r="L217" s="14" t="str">
        <f aca="false">IF(OR($C217="",$G217=""),"",IF($B217="입고",$G217,IF($B217="출고",-$G217,$G217)))</f>
        <v/>
      </c>
      <c r="M217" s="13" t="str">
        <f aca="false">IF($C217="","",IFERROR(INDEX(품목마스터!$F$3:$F$302,MATCH($C217,품목마스터!$A$3:$A$302,0)),0)+SUMIFS($L$3:$L217,$C$3:$C217,$C217))</f>
        <v/>
      </c>
    </row>
    <row r="218" customFormat="false" ht="15" hidden="false" customHeight="true" outlineLevel="0" collapsed="false">
      <c r="A218" s="11"/>
      <c r="B218" s="7"/>
      <c r="C218" s="7"/>
      <c r="D218" s="12" t="str">
        <f aca="false">IF($C218="","",IFERROR(INDEX(품목마스터!$B$3:$B$302,MATCH($C218,품목마스터!$A$3:$A$302,0)),"미등록품번"))</f>
        <v/>
      </c>
      <c r="E218" s="12" t="str">
        <f aca="false">IF($C218="","",IFERROR(INDEX(품목마스터!$C$3:$C$302,MATCH($C218,품목마스터!$A$3:$A$302,0)),""))</f>
        <v/>
      </c>
      <c r="F218" s="12" t="str">
        <f aca="false">IF($C218="","",IFERROR(INDEX(품목마스터!$D$3:$D$302,MATCH($C218,품목마스터!$A$3:$A$302,0)),""))</f>
        <v/>
      </c>
      <c r="G218" s="9"/>
      <c r="H218" s="9"/>
      <c r="I218" s="13" t="str">
        <f aca="false">IF(OR($G218="",$H218=""),"",ROUND($G218*$H218,0))</f>
        <v/>
      </c>
      <c r="J218" s="7"/>
      <c r="K218" s="7"/>
      <c r="L218" s="14" t="str">
        <f aca="false">IF(OR($C218="",$G218=""),"",IF($B218="입고",$G218,IF($B218="출고",-$G218,$G218)))</f>
        <v/>
      </c>
      <c r="M218" s="13" t="str">
        <f aca="false">IF($C218="","",IFERROR(INDEX(품목마스터!$F$3:$F$302,MATCH($C218,품목마스터!$A$3:$A$302,0)),0)+SUMIFS($L$3:$L218,$C$3:$C218,$C218))</f>
        <v/>
      </c>
    </row>
    <row r="219" customFormat="false" ht="15" hidden="false" customHeight="true" outlineLevel="0" collapsed="false">
      <c r="A219" s="11"/>
      <c r="B219" s="7"/>
      <c r="C219" s="7"/>
      <c r="D219" s="12" t="str">
        <f aca="false">IF($C219="","",IFERROR(INDEX(품목마스터!$B$3:$B$302,MATCH($C219,품목마스터!$A$3:$A$302,0)),"미등록품번"))</f>
        <v/>
      </c>
      <c r="E219" s="12" t="str">
        <f aca="false">IF($C219="","",IFERROR(INDEX(품목마스터!$C$3:$C$302,MATCH($C219,품목마스터!$A$3:$A$302,0)),""))</f>
        <v/>
      </c>
      <c r="F219" s="12" t="str">
        <f aca="false">IF($C219="","",IFERROR(INDEX(품목마스터!$D$3:$D$302,MATCH($C219,품목마스터!$A$3:$A$302,0)),""))</f>
        <v/>
      </c>
      <c r="G219" s="9"/>
      <c r="H219" s="9"/>
      <c r="I219" s="13" t="str">
        <f aca="false">IF(OR($G219="",$H219=""),"",ROUND($G219*$H219,0))</f>
        <v/>
      </c>
      <c r="J219" s="7"/>
      <c r="K219" s="7"/>
      <c r="L219" s="14" t="str">
        <f aca="false">IF(OR($C219="",$G219=""),"",IF($B219="입고",$G219,IF($B219="출고",-$G219,$G219)))</f>
        <v/>
      </c>
      <c r="M219" s="13" t="str">
        <f aca="false">IF($C219="","",IFERROR(INDEX(품목마스터!$F$3:$F$302,MATCH($C219,품목마스터!$A$3:$A$302,0)),0)+SUMIFS($L$3:$L219,$C$3:$C219,$C219))</f>
        <v/>
      </c>
    </row>
    <row r="220" customFormat="false" ht="15" hidden="false" customHeight="true" outlineLevel="0" collapsed="false">
      <c r="A220" s="11"/>
      <c r="B220" s="7"/>
      <c r="C220" s="7"/>
      <c r="D220" s="12" t="str">
        <f aca="false">IF($C220="","",IFERROR(INDEX(품목마스터!$B$3:$B$302,MATCH($C220,품목마스터!$A$3:$A$302,0)),"미등록품번"))</f>
        <v/>
      </c>
      <c r="E220" s="12" t="str">
        <f aca="false">IF($C220="","",IFERROR(INDEX(품목마스터!$C$3:$C$302,MATCH($C220,품목마스터!$A$3:$A$302,0)),""))</f>
        <v/>
      </c>
      <c r="F220" s="12" t="str">
        <f aca="false">IF($C220="","",IFERROR(INDEX(품목마스터!$D$3:$D$302,MATCH($C220,품목마스터!$A$3:$A$302,0)),""))</f>
        <v/>
      </c>
      <c r="G220" s="9"/>
      <c r="H220" s="9"/>
      <c r="I220" s="13" t="str">
        <f aca="false">IF(OR($G220="",$H220=""),"",ROUND($G220*$H220,0))</f>
        <v/>
      </c>
      <c r="J220" s="7"/>
      <c r="K220" s="7"/>
      <c r="L220" s="14" t="str">
        <f aca="false">IF(OR($C220="",$G220=""),"",IF($B220="입고",$G220,IF($B220="출고",-$G220,$G220)))</f>
        <v/>
      </c>
      <c r="M220" s="13" t="str">
        <f aca="false">IF($C220="","",IFERROR(INDEX(품목마스터!$F$3:$F$302,MATCH($C220,품목마스터!$A$3:$A$302,0)),0)+SUMIFS($L$3:$L220,$C$3:$C220,$C220))</f>
        <v/>
      </c>
    </row>
    <row r="221" customFormat="false" ht="15" hidden="false" customHeight="true" outlineLevel="0" collapsed="false">
      <c r="A221" s="11"/>
      <c r="B221" s="7"/>
      <c r="C221" s="7"/>
      <c r="D221" s="12" t="str">
        <f aca="false">IF($C221="","",IFERROR(INDEX(품목마스터!$B$3:$B$302,MATCH($C221,품목마스터!$A$3:$A$302,0)),"미등록품번"))</f>
        <v/>
      </c>
      <c r="E221" s="12" t="str">
        <f aca="false">IF($C221="","",IFERROR(INDEX(품목마스터!$C$3:$C$302,MATCH($C221,품목마스터!$A$3:$A$302,0)),""))</f>
        <v/>
      </c>
      <c r="F221" s="12" t="str">
        <f aca="false">IF($C221="","",IFERROR(INDEX(품목마스터!$D$3:$D$302,MATCH($C221,품목마스터!$A$3:$A$302,0)),""))</f>
        <v/>
      </c>
      <c r="G221" s="9"/>
      <c r="H221" s="9"/>
      <c r="I221" s="13" t="str">
        <f aca="false">IF(OR($G221="",$H221=""),"",ROUND($G221*$H221,0))</f>
        <v/>
      </c>
      <c r="J221" s="7"/>
      <c r="K221" s="7"/>
      <c r="L221" s="14" t="str">
        <f aca="false">IF(OR($C221="",$G221=""),"",IF($B221="입고",$G221,IF($B221="출고",-$G221,$G221)))</f>
        <v/>
      </c>
      <c r="M221" s="13" t="str">
        <f aca="false">IF($C221="","",IFERROR(INDEX(품목마스터!$F$3:$F$302,MATCH($C221,품목마스터!$A$3:$A$302,0)),0)+SUMIFS($L$3:$L221,$C$3:$C221,$C221))</f>
        <v/>
      </c>
    </row>
    <row r="222" customFormat="false" ht="15" hidden="false" customHeight="true" outlineLevel="0" collapsed="false">
      <c r="A222" s="11"/>
      <c r="B222" s="7"/>
      <c r="C222" s="7"/>
      <c r="D222" s="12" t="str">
        <f aca="false">IF($C222="","",IFERROR(INDEX(품목마스터!$B$3:$B$302,MATCH($C222,품목마스터!$A$3:$A$302,0)),"미등록품번"))</f>
        <v/>
      </c>
      <c r="E222" s="12" t="str">
        <f aca="false">IF($C222="","",IFERROR(INDEX(품목마스터!$C$3:$C$302,MATCH($C222,품목마스터!$A$3:$A$302,0)),""))</f>
        <v/>
      </c>
      <c r="F222" s="12" t="str">
        <f aca="false">IF($C222="","",IFERROR(INDEX(품목마스터!$D$3:$D$302,MATCH($C222,품목마스터!$A$3:$A$302,0)),""))</f>
        <v/>
      </c>
      <c r="G222" s="9"/>
      <c r="H222" s="9"/>
      <c r="I222" s="13" t="str">
        <f aca="false">IF(OR($G222="",$H222=""),"",ROUND($G222*$H222,0))</f>
        <v/>
      </c>
      <c r="J222" s="7"/>
      <c r="K222" s="7"/>
      <c r="L222" s="14" t="str">
        <f aca="false">IF(OR($C222="",$G222=""),"",IF($B222="입고",$G222,IF($B222="출고",-$G222,$G222)))</f>
        <v/>
      </c>
      <c r="M222" s="13" t="str">
        <f aca="false">IF($C222="","",IFERROR(INDEX(품목마스터!$F$3:$F$302,MATCH($C222,품목마스터!$A$3:$A$302,0)),0)+SUMIFS($L$3:$L222,$C$3:$C222,$C222))</f>
        <v/>
      </c>
    </row>
    <row r="223" customFormat="false" ht="15" hidden="false" customHeight="true" outlineLevel="0" collapsed="false">
      <c r="A223" s="11"/>
      <c r="B223" s="7"/>
      <c r="C223" s="7"/>
      <c r="D223" s="12" t="str">
        <f aca="false">IF($C223="","",IFERROR(INDEX(품목마스터!$B$3:$B$302,MATCH($C223,품목마스터!$A$3:$A$302,0)),"미등록품번"))</f>
        <v/>
      </c>
      <c r="E223" s="12" t="str">
        <f aca="false">IF($C223="","",IFERROR(INDEX(품목마스터!$C$3:$C$302,MATCH($C223,품목마스터!$A$3:$A$302,0)),""))</f>
        <v/>
      </c>
      <c r="F223" s="12" t="str">
        <f aca="false">IF($C223="","",IFERROR(INDEX(품목마스터!$D$3:$D$302,MATCH($C223,품목마스터!$A$3:$A$302,0)),""))</f>
        <v/>
      </c>
      <c r="G223" s="9"/>
      <c r="H223" s="9"/>
      <c r="I223" s="13" t="str">
        <f aca="false">IF(OR($G223="",$H223=""),"",ROUND($G223*$H223,0))</f>
        <v/>
      </c>
      <c r="J223" s="7"/>
      <c r="K223" s="7"/>
      <c r="L223" s="14" t="str">
        <f aca="false">IF(OR($C223="",$G223=""),"",IF($B223="입고",$G223,IF($B223="출고",-$G223,$G223)))</f>
        <v/>
      </c>
      <c r="M223" s="13" t="str">
        <f aca="false">IF($C223="","",IFERROR(INDEX(품목마스터!$F$3:$F$302,MATCH($C223,품목마스터!$A$3:$A$302,0)),0)+SUMIFS($L$3:$L223,$C$3:$C223,$C223))</f>
        <v/>
      </c>
    </row>
    <row r="224" customFormat="false" ht="15" hidden="false" customHeight="true" outlineLevel="0" collapsed="false">
      <c r="A224" s="11"/>
      <c r="B224" s="7"/>
      <c r="C224" s="7"/>
      <c r="D224" s="12" t="str">
        <f aca="false">IF($C224="","",IFERROR(INDEX(품목마스터!$B$3:$B$302,MATCH($C224,품목마스터!$A$3:$A$302,0)),"미등록품번"))</f>
        <v/>
      </c>
      <c r="E224" s="12" t="str">
        <f aca="false">IF($C224="","",IFERROR(INDEX(품목마스터!$C$3:$C$302,MATCH($C224,품목마스터!$A$3:$A$302,0)),""))</f>
        <v/>
      </c>
      <c r="F224" s="12" t="str">
        <f aca="false">IF($C224="","",IFERROR(INDEX(품목마스터!$D$3:$D$302,MATCH($C224,품목마스터!$A$3:$A$302,0)),""))</f>
        <v/>
      </c>
      <c r="G224" s="9"/>
      <c r="H224" s="9"/>
      <c r="I224" s="13" t="str">
        <f aca="false">IF(OR($G224="",$H224=""),"",ROUND($G224*$H224,0))</f>
        <v/>
      </c>
      <c r="J224" s="7"/>
      <c r="K224" s="7"/>
      <c r="L224" s="14" t="str">
        <f aca="false">IF(OR($C224="",$G224=""),"",IF($B224="입고",$G224,IF($B224="출고",-$G224,$G224)))</f>
        <v/>
      </c>
      <c r="M224" s="13" t="str">
        <f aca="false">IF($C224="","",IFERROR(INDEX(품목마스터!$F$3:$F$302,MATCH($C224,품목마스터!$A$3:$A$302,0)),0)+SUMIFS($L$3:$L224,$C$3:$C224,$C224))</f>
        <v/>
      </c>
    </row>
    <row r="225" customFormat="false" ht="15" hidden="false" customHeight="true" outlineLevel="0" collapsed="false">
      <c r="A225" s="11"/>
      <c r="B225" s="7"/>
      <c r="C225" s="7"/>
      <c r="D225" s="12" t="str">
        <f aca="false">IF($C225="","",IFERROR(INDEX(품목마스터!$B$3:$B$302,MATCH($C225,품목마스터!$A$3:$A$302,0)),"미등록품번"))</f>
        <v/>
      </c>
      <c r="E225" s="12" t="str">
        <f aca="false">IF($C225="","",IFERROR(INDEX(품목마스터!$C$3:$C$302,MATCH($C225,품목마스터!$A$3:$A$302,0)),""))</f>
        <v/>
      </c>
      <c r="F225" s="12" t="str">
        <f aca="false">IF($C225="","",IFERROR(INDEX(품목마스터!$D$3:$D$302,MATCH($C225,품목마스터!$A$3:$A$302,0)),""))</f>
        <v/>
      </c>
      <c r="G225" s="9"/>
      <c r="H225" s="9"/>
      <c r="I225" s="13" t="str">
        <f aca="false">IF(OR($G225="",$H225=""),"",ROUND($G225*$H225,0))</f>
        <v/>
      </c>
      <c r="J225" s="7"/>
      <c r="K225" s="7"/>
      <c r="L225" s="14" t="str">
        <f aca="false">IF(OR($C225="",$G225=""),"",IF($B225="입고",$G225,IF($B225="출고",-$G225,$G225)))</f>
        <v/>
      </c>
      <c r="M225" s="13" t="str">
        <f aca="false">IF($C225="","",IFERROR(INDEX(품목마스터!$F$3:$F$302,MATCH($C225,품목마스터!$A$3:$A$302,0)),0)+SUMIFS($L$3:$L225,$C$3:$C225,$C225))</f>
        <v/>
      </c>
    </row>
    <row r="226" customFormat="false" ht="15" hidden="false" customHeight="true" outlineLevel="0" collapsed="false">
      <c r="A226" s="11"/>
      <c r="B226" s="7"/>
      <c r="C226" s="7"/>
      <c r="D226" s="12" t="str">
        <f aca="false">IF($C226="","",IFERROR(INDEX(품목마스터!$B$3:$B$302,MATCH($C226,품목마스터!$A$3:$A$302,0)),"미등록품번"))</f>
        <v/>
      </c>
      <c r="E226" s="12" t="str">
        <f aca="false">IF($C226="","",IFERROR(INDEX(품목마스터!$C$3:$C$302,MATCH($C226,품목마스터!$A$3:$A$302,0)),""))</f>
        <v/>
      </c>
      <c r="F226" s="12" t="str">
        <f aca="false">IF($C226="","",IFERROR(INDEX(품목마스터!$D$3:$D$302,MATCH($C226,품목마스터!$A$3:$A$302,0)),""))</f>
        <v/>
      </c>
      <c r="G226" s="9"/>
      <c r="H226" s="9"/>
      <c r="I226" s="13" t="str">
        <f aca="false">IF(OR($G226="",$H226=""),"",ROUND($G226*$H226,0))</f>
        <v/>
      </c>
      <c r="J226" s="7"/>
      <c r="K226" s="7"/>
      <c r="L226" s="14" t="str">
        <f aca="false">IF(OR($C226="",$G226=""),"",IF($B226="입고",$G226,IF($B226="출고",-$G226,$G226)))</f>
        <v/>
      </c>
      <c r="M226" s="13" t="str">
        <f aca="false">IF($C226="","",IFERROR(INDEX(품목마스터!$F$3:$F$302,MATCH($C226,품목마스터!$A$3:$A$302,0)),0)+SUMIFS($L$3:$L226,$C$3:$C226,$C226))</f>
        <v/>
      </c>
    </row>
    <row r="227" customFormat="false" ht="15" hidden="false" customHeight="true" outlineLevel="0" collapsed="false">
      <c r="A227" s="11"/>
      <c r="B227" s="7"/>
      <c r="C227" s="7"/>
      <c r="D227" s="12" t="str">
        <f aca="false">IF($C227="","",IFERROR(INDEX(품목마스터!$B$3:$B$302,MATCH($C227,품목마스터!$A$3:$A$302,0)),"미등록품번"))</f>
        <v/>
      </c>
      <c r="E227" s="12" t="str">
        <f aca="false">IF($C227="","",IFERROR(INDEX(품목마스터!$C$3:$C$302,MATCH($C227,품목마스터!$A$3:$A$302,0)),""))</f>
        <v/>
      </c>
      <c r="F227" s="12" t="str">
        <f aca="false">IF($C227="","",IFERROR(INDEX(품목마스터!$D$3:$D$302,MATCH($C227,품목마스터!$A$3:$A$302,0)),""))</f>
        <v/>
      </c>
      <c r="G227" s="9"/>
      <c r="H227" s="9"/>
      <c r="I227" s="13" t="str">
        <f aca="false">IF(OR($G227="",$H227=""),"",ROUND($G227*$H227,0))</f>
        <v/>
      </c>
      <c r="J227" s="7"/>
      <c r="K227" s="7"/>
      <c r="L227" s="14" t="str">
        <f aca="false">IF(OR($C227="",$G227=""),"",IF($B227="입고",$G227,IF($B227="출고",-$G227,$G227)))</f>
        <v/>
      </c>
      <c r="M227" s="13" t="str">
        <f aca="false">IF($C227="","",IFERROR(INDEX(품목마스터!$F$3:$F$302,MATCH($C227,품목마스터!$A$3:$A$302,0)),0)+SUMIFS($L$3:$L227,$C$3:$C227,$C227))</f>
        <v/>
      </c>
    </row>
    <row r="228" customFormat="false" ht="15" hidden="false" customHeight="true" outlineLevel="0" collapsed="false">
      <c r="A228" s="11"/>
      <c r="B228" s="7"/>
      <c r="C228" s="7"/>
      <c r="D228" s="12" t="str">
        <f aca="false">IF($C228="","",IFERROR(INDEX(품목마스터!$B$3:$B$302,MATCH($C228,품목마스터!$A$3:$A$302,0)),"미등록품번"))</f>
        <v/>
      </c>
      <c r="E228" s="12" t="str">
        <f aca="false">IF($C228="","",IFERROR(INDEX(품목마스터!$C$3:$C$302,MATCH($C228,품목마스터!$A$3:$A$302,0)),""))</f>
        <v/>
      </c>
      <c r="F228" s="12" t="str">
        <f aca="false">IF($C228="","",IFERROR(INDEX(품목마스터!$D$3:$D$302,MATCH($C228,품목마스터!$A$3:$A$302,0)),""))</f>
        <v/>
      </c>
      <c r="G228" s="9"/>
      <c r="H228" s="9"/>
      <c r="I228" s="13" t="str">
        <f aca="false">IF(OR($G228="",$H228=""),"",ROUND($G228*$H228,0))</f>
        <v/>
      </c>
      <c r="J228" s="7"/>
      <c r="K228" s="7"/>
      <c r="L228" s="14" t="str">
        <f aca="false">IF(OR($C228="",$G228=""),"",IF($B228="입고",$G228,IF($B228="출고",-$G228,$G228)))</f>
        <v/>
      </c>
      <c r="M228" s="13" t="str">
        <f aca="false">IF($C228="","",IFERROR(INDEX(품목마스터!$F$3:$F$302,MATCH($C228,품목마스터!$A$3:$A$302,0)),0)+SUMIFS($L$3:$L228,$C$3:$C228,$C228))</f>
        <v/>
      </c>
    </row>
    <row r="229" customFormat="false" ht="15" hidden="false" customHeight="true" outlineLevel="0" collapsed="false">
      <c r="A229" s="11"/>
      <c r="B229" s="7"/>
      <c r="C229" s="7"/>
      <c r="D229" s="12" t="str">
        <f aca="false">IF($C229="","",IFERROR(INDEX(품목마스터!$B$3:$B$302,MATCH($C229,품목마스터!$A$3:$A$302,0)),"미등록품번"))</f>
        <v/>
      </c>
      <c r="E229" s="12" t="str">
        <f aca="false">IF($C229="","",IFERROR(INDEX(품목마스터!$C$3:$C$302,MATCH($C229,품목마스터!$A$3:$A$302,0)),""))</f>
        <v/>
      </c>
      <c r="F229" s="12" t="str">
        <f aca="false">IF($C229="","",IFERROR(INDEX(품목마스터!$D$3:$D$302,MATCH($C229,품목마스터!$A$3:$A$302,0)),""))</f>
        <v/>
      </c>
      <c r="G229" s="9"/>
      <c r="H229" s="9"/>
      <c r="I229" s="13" t="str">
        <f aca="false">IF(OR($G229="",$H229=""),"",ROUND($G229*$H229,0))</f>
        <v/>
      </c>
      <c r="J229" s="7"/>
      <c r="K229" s="7"/>
      <c r="L229" s="14" t="str">
        <f aca="false">IF(OR($C229="",$G229=""),"",IF($B229="입고",$G229,IF($B229="출고",-$G229,$G229)))</f>
        <v/>
      </c>
      <c r="M229" s="13" t="str">
        <f aca="false">IF($C229="","",IFERROR(INDEX(품목마스터!$F$3:$F$302,MATCH($C229,품목마스터!$A$3:$A$302,0)),0)+SUMIFS($L$3:$L229,$C$3:$C229,$C229))</f>
        <v/>
      </c>
    </row>
    <row r="230" customFormat="false" ht="15" hidden="false" customHeight="true" outlineLevel="0" collapsed="false">
      <c r="A230" s="11"/>
      <c r="B230" s="7"/>
      <c r="C230" s="7"/>
      <c r="D230" s="12" t="str">
        <f aca="false">IF($C230="","",IFERROR(INDEX(품목마스터!$B$3:$B$302,MATCH($C230,품목마스터!$A$3:$A$302,0)),"미등록품번"))</f>
        <v/>
      </c>
      <c r="E230" s="12" t="str">
        <f aca="false">IF($C230="","",IFERROR(INDEX(품목마스터!$C$3:$C$302,MATCH($C230,품목마스터!$A$3:$A$302,0)),""))</f>
        <v/>
      </c>
      <c r="F230" s="12" t="str">
        <f aca="false">IF($C230="","",IFERROR(INDEX(품목마스터!$D$3:$D$302,MATCH($C230,품목마스터!$A$3:$A$302,0)),""))</f>
        <v/>
      </c>
      <c r="G230" s="9"/>
      <c r="H230" s="9"/>
      <c r="I230" s="13" t="str">
        <f aca="false">IF(OR($G230="",$H230=""),"",ROUND($G230*$H230,0))</f>
        <v/>
      </c>
      <c r="J230" s="7"/>
      <c r="K230" s="7"/>
      <c r="L230" s="14" t="str">
        <f aca="false">IF(OR($C230="",$G230=""),"",IF($B230="입고",$G230,IF($B230="출고",-$G230,$G230)))</f>
        <v/>
      </c>
      <c r="M230" s="13" t="str">
        <f aca="false">IF($C230="","",IFERROR(INDEX(품목마스터!$F$3:$F$302,MATCH($C230,품목마스터!$A$3:$A$302,0)),0)+SUMIFS($L$3:$L230,$C$3:$C230,$C230))</f>
        <v/>
      </c>
    </row>
    <row r="231" customFormat="false" ht="15" hidden="false" customHeight="true" outlineLevel="0" collapsed="false">
      <c r="A231" s="11"/>
      <c r="B231" s="7"/>
      <c r="C231" s="7"/>
      <c r="D231" s="12" t="str">
        <f aca="false">IF($C231="","",IFERROR(INDEX(품목마스터!$B$3:$B$302,MATCH($C231,품목마스터!$A$3:$A$302,0)),"미등록품번"))</f>
        <v/>
      </c>
      <c r="E231" s="12" t="str">
        <f aca="false">IF($C231="","",IFERROR(INDEX(품목마스터!$C$3:$C$302,MATCH($C231,품목마스터!$A$3:$A$302,0)),""))</f>
        <v/>
      </c>
      <c r="F231" s="12" t="str">
        <f aca="false">IF($C231="","",IFERROR(INDEX(품목마스터!$D$3:$D$302,MATCH($C231,품목마스터!$A$3:$A$302,0)),""))</f>
        <v/>
      </c>
      <c r="G231" s="9"/>
      <c r="H231" s="9"/>
      <c r="I231" s="13" t="str">
        <f aca="false">IF(OR($G231="",$H231=""),"",ROUND($G231*$H231,0))</f>
        <v/>
      </c>
      <c r="J231" s="7"/>
      <c r="K231" s="7"/>
      <c r="L231" s="14" t="str">
        <f aca="false">IF(OR($C231="",$G231=""),"",IF($B231="입고",$G231,IF($B231="출고",-$G231,$G231)))</f>
        <v/>
      </c>
      <c r="M231" s="13" t="str">
        <f aca="false">IF($C231="","",IFERROR(INDEX(품목마스터!$F$3:$F$302,MATCH($C231,품목마스터!$A$3:$A$302,0)),0)+SUMIFS($L$3:$L231,$C$3:$C231,$C231))</f>
        <v/>
      </c>
    </row>
    <row r="232" customFormat="false" ht="15" hidden="false" customHeight="true" outlineLevel="0" collapsed="false">
      <c r="A232" s="11"/>
      <c r="B232" s="7"/>
      <c r="C232" s="7"/>
      <c r="D232" s="12" t="str">
        <f aca="false">IF($C232="","",IFERROR(INDEX(품목마스터!$B$3:$B$302,MATCH($C232,품목마스터!$A$3:$A$302,0)),"미등록품번"))</f>
        <v/>
      </c>
      <c r="E232" s="12" t="str">
        <f aca="false">IF($C232="","",IFERROR(INDEX(품목마스터!$C$3:$C$302,MATCH($C232,품목마스터!$A$3:$A$302,0)),""))</f>
        <v/>
      </c>
      <c r="F232" s="12" t="str">
        <f aca="false">IF($C232="","",IFERROR(INDEX(품목마스터!$D$3:$D$302,MATCH($C232,품목마스터!$A$3:$A$302,0)),""))</f>
        <v/>
      </c>
      <c r="G232" s="9"/>
      <c r="H232" s="9"/>
      <c r="I232" s="13" t="str">
        <f aca="false">IF(OR($G232="",$H232=""),"",ROUND($G232*$H232,0))</f>
        <v/>
      </c>
      <c r="J232" s="7"/>
      <c r="K232" s="7"/>
      <c r="L232" s="14" t="str">
        <f aca="false">IF(OR($C232="",$G232=""),"",IF($B232="입고",$G232,IF($B232="출고",-$G232,$G232)))</f>
        <v/>
      </c>
      <c r="M232" s="13" t="str">
        <f aca="false">IF($C232="","",IFERROR(INDEX(품목마스터!$F$3:$F$302,MATCH($C232,품목마스터!$A$3:$A$302,0)),0)+SUMIFS($L$3:$L232,$C$3:$C232,$C232))</f>
        <v/>
      </c>
    </row>
    <row r="233" customFormat="false" ht="15" hidden="false" customHeight="true" outlineLevel="0" collapsed="false">
      <c r="A233" s="11"/>
      <c r="B233" s="7"/>
      <c r="C233" s="7"/>
      <c r="D233" s="12" t="str">
        <f aca="false">IF($C233="","",IFERROR(INDEX(품목마스터!$B$3:$B$302,MATCH($C233,품목마스터!$A$3:$A$302,0)),"미등록품번"))</f>
        <v/>
      </c>
      <c r="E233" s="12" t="str">
        <f aca="false">IF($C233="","",IFERROR(INDEX(품목마스터!$C$3:$C$302,MATCH($C233,품목마스터!$A$3:$A$302,0)),""))</f>
        <v/>
      </c>
      <c r="F233" s="12" t="str">
        <f aca="false">IF($C233="","",IFERROR(INDEX(품목마스터!$D$3:$D$302,MATCH($C233,품목마스터!$A$3:$A$302,0)),""))</f>
        <v/>
      </c>
      <c r="G233" s="9"/>
      <c r="H233" s="9"/>
      <c r="I233" s="13" t="str">
        <f aca="false">IF(OR($G233="",$H233=""),"",ROUND($G233*$H233,0))</f>
        <v/>
      </c>
      <c r="J233" s="7"/>
      <c r="K233" s="7"/>
      <c r="L233" s="14" t="str">
        <f aca="false">IF(OR($C233="",$G233=""),"",IF($B233="입고",$G233,IF($B233="출고",-$G233,$G233)))</f>
        <v/>
      </c>
      <c r="M233" s="13" t="str">
        <f aca="false">IF($C233="","",IFERROR(INDEX(품목마스터!$F$3:$F$302,MATCH($C233,품목마스터!$A$3:$A$302,0)),0)+SUMIFS($L$3:$L233,$C$3:$C233,$C233))</f>
        <v/>
      </c>
    </row>
    <row r="234" customFormat="false" ht="15" hidden="false" customHeight="true" outlineLevel="0" collapsed="false">
      <c r="A234" s="11"/>
      <c r="B234" s="7"/>
      <c r="C234" s="7"/>
      <c r="D234" s="12" t="str">
        <f aca="false">IF($C234="","",IFERROR(INDEX(품목마스터!$B$3:$B$302,MATCH($C234,품목마스터!$A$3:$A$302,0)),"미등록품번"))</f>
        <v/>
      </c>
      <c r="E234" s="12" t="str">
        <f aca="false">IF($C234="","",IFERROR(INDEX(품목마스터!$C$3:$C$302,MATCH($C234,품목마스터!$A$3:$A$302,0)),""))</f>
        <v/>
      </c>
      <c r="F234" s="12" t="str">
        <f aca="false">IF($C234="","",IFERROR(INDEX(품목마스터!$D$3:$D$302,MATCH($C234,품목마스터!$A$3:$A$302,0)),""))</f>
        <v/>
      </c>
      <c r="G234" s="9"/>
      <c r="H234" s="9"/>
      <c r="I234" s="13" t="str">
        <f aca="false">IF(OR($G234="",$H234=""),"",ROUND($G234*$H234,0))</f>
        <v/>
      </c>
      <c r="J234" s="7"/>
      <c r="K234" s="7"/>
      <c r="L234" s="14" t="str">
        <f aca="false">IF(OR($C234="",$G234=""),"",IF($B234="입고",$G234,IF($B234="출고",-$G234,$G234)))</f>
        <v/>
      </c>
      <c r="M234" s="13" t="str">
        <f aca="false">IF($C234="","",IFERROR(INDEX(품목마스터!$F$3:$F$302,MATCH($C234,품목마스터!$A$3:$A$302,0)),0)+SUMIFS($L$3:$L234,$C$3:$C234,$C234))</f>
        <v/>
      </c>
    </row>
    <row r="235" customFormat="false" ht="15" hidden="false" customHeight="true" outlineLevel="0" collapsed="false">
      <c r="A235" s="11"/>
      <c r="B235" s="7"/>
      <c r="C235" s="7"/>
      <c r="D235" s="12" t="str">
        <f aca="false">IF($C235="","",IFERROR(INDEX(품목마스터!$B$3:$B$302,MATCH($C235,품목마스터!$A$3:$A$302,0)),"미등록품번"))</f>
        <v/>
      </c>
      <c r="E235" s="12" t="str">
        <f aca="false">IF($C235="","",IFERROR(INDEX(품목마스터!$C$3:$C$302,MATCH($C235,품목마스터!$A$3:$A$302,0)),""))</f>
        <v/>
      </c>
      <c r="F235" s="12" t="str">
        <f aca="false">IF($C235="","",IFERROR(INDEX(품목마스터!$D$3:$D$302,MATCH($C235,품목마스터!$A$3:$A$302,0)),""))</f>
        <v/>
      </c>
      <c r="G235" s="9"/>
      <c r="H235" s="9"/>
      <c r="I235" s="13" t="str">
        <f aca="false">IF(OR($G235="",$H235=""),"",ROUND($G235*$H235,0))</f>
        <v/>
      </c>
      <c r="J235" s="7"/>
      <c r="K235" s="7"/>
      <c r="L235" s="14" t="str">
        <f aca="false">IF(OR($C235="",$G235=""),"",IF($B235="입고",$G235,IF($B235="출고",-$G235,$G235)))</f>
        <v/>
      </c>
      <c r="M235" s="13" t="str">
        <f aca="false">IF($C235="","",IFERROR(INDEX(품목마스터!$F$3:$F$302,MATCH($C235,품목마스터!$A$3:$A$302,0)),0)+SUMIFS($L$3:$L235,$C$3:$C235,$C235))</f>
        <v/>
      </c>
    </row>
    <row r="236" customFormat="false" ht="15" hidden="false" customHeight="true" outlineLevel="0" collapsed="false">
      <c r="A236" s="11"/>
      <c r="B236" s="7"/>
      <c r="C236" s="7"/>
      <c r="D236" s="12" t="str">
        <f aca="false">IF($C236="","",IFERROR(INDEX(품목마스터!$B$3:$B$302,MATCH($C236,품목마스터!$A$3:$A$302,0)),"미등록품번"))</f>
        <v/>
      </c>
      <c r="E236" s="12" t="str">
        <f aca="false">IF($C236="","",IFERROR(INDEX(품목마스터!$C$3:$C$302,MATCH($C236,품목마스터!$A$3:$A$302,0)),""))</f>
        <v/>
      </c>
      <c r="F236" s="12" t="str">
        <f aca="false">IF($C236="","",IFERROR(INDEX(품목마스터!$D$3:$D$302,MATCH($C236,품목마스터!$A$3:$A$302,0)),""))</f>
        <v/>
      </c>
      <c r="G236" s="9"/>
      <c r="H236" s="9"/>
      <c r="I236" s="13" t="str">
        <f aca="false">IF(OR($G236="",$H236=""),"",ROUND($G236*$H236,0))</f>
        <v/>
      </c>
      <c r="J236" s="7"/>
      <c r="K236" s="7"/>
      <c r="L236" s="14" t="str">
        <f aca="false">IF(OR($C236="",$G236=""),"",IF($B236="입고",$G236,IF($B236="출고",-$G236,$G236)))</f>
        <v/>
      </c>
      <c r="M236" s="13" t="str">
        <f aca="false">IF($C236="","",IFERROR(INDEX(품목마스터!$F$3:$F$302,MATCH($C236,품목마스터!$A$3:$A$302,0)),0)+SUMIFS($L$3:$L236,$C$3:$C236,$C236))</f>
        <v/>
      </c>
    </row>
    <row r="237" customFormat="false" ht="15" hidden="false" customHeight="true" outlineLevel="0" collapsed="false">
      <c r="A237" s="11"/>
      <c r="B237" s="7"/>
      <c r="C237" s="7"/>
      <c r="D237" s="12" t="str">
        <f aca="false">IF($C237="","",IFERROR(INDEX(품목마스터!$B$3:$B$302,MATCH($C237,품목마스터!$A$3:$A$302,0)),"미등록품번"))</f>
        <v/>
      </c>
      <c r="E237" s="12" t="str">
        <f aca="false">IF($C237="","",IFERROR(INDEX(품목마스터!$C$3:$C$302,MATCH($C237,품목마스터!$A$3:$A$302,0)),""))</f>
        <v/>
      </c>
      <c r="F237" s="12" t="str">
        <f aca="false">IF($C237="","",IFERROR(INDEX(품목마스터!$D$3:$D$302,MATCH($C237,품목마스터!$A$3:$A$302,0)),""))</f>
        <v/>
      </c>
      <c r="G237" s="9"/>
      <c r="H237" s="9"/>
      <c r="I237" s="13" t="str">
        <f aca="false">IF(OR($G237="",$H237=""),"",ROUND($G237*$H237,0))</f>
        <v/>
      </c>
      <c r="J237" s="7"/>
      <c r="K237" s="7"/>
      <c r="L237" s="14" t="str">
        <f aca="false">IF(OR($C237="",$G237=""),"",IF($B237="입고",$G237,IF($B237="출고",-$G237,$G237)))</f>
        <v/>
      </c>
      <c r="M237" s="13" t="str">
        <f aca="false">IF($C237="","",IFERROR(INDEX(품목마스터!$F$3:$F$302,MATCH($C237,품목마스터!$A$3:$A$302,0)),0)+SUMIFS($L$3:$L237,$C$3:$C237,$C237))</f>
        <v/>
      </c>
    </row>
    <row r="238" customFormat="false" ht="15" hidden="false" customHeight="true" outlineLevel="0" collapsed="false">
      <c r="A238" s="11"/>
      <c r="B238" s="7"/>
      <c r="C238" s="7"/>
      <c r="D238" s="12" t="str">
        <f aca="false">IF($C238="","",IFERROR(INDEX(품목마스터!$B$3:$B$302,MATCH($C238,품목마스터!$A$3:$A$302,0)),"미등록품번"))</f>
        <v/>
      </c>
      <c r="E238" s="12" t="str">
        <f aca="false">IF($C238="","",IFERROR(INDEX(품목마스터!$C$3:$C$302,MATCH($C238,품목마스터!$A$3:$A$302,0)),""))</f>
        <v/>
      </c>
      <c r="F238" s="12" t="str">
        <f aca="false">IF($C238="","",IFERROR(INDEX(품목마스터!$D$3:$D$302,MATCH($C238,품목마스터!$A$3:$A$302,0)),""))</f>
        <v/>
      </c>
      <c r="G238" s="9"/>
      <c r="H238" s="9"/>
      <c r="I238" s="13" t="str">
        <f aca="false">IF(OR($G238="",$H238=""),"",ROUND($G238*$H238,0))</f>
        <v/>
      </c>
      <c r="J238" s="7"/>
      <c r="K238" s="7"/>
      <c r="L238" s="14" t="str">
        <f aca="false">IF(OR($C238="",$G238=""),"",IF($B238="입고",$G238,IF($B238="출고",-$G238,$G238)))</f>
        <v/>
      </c>
      <c r="M238" s="13" t="str">
        <f aca="false">IF($C238="","",IFERROR(INDEX(품목마스터!$F$3:$F$302,MATCH($C238,품목마스터!$A$3:$A$302,0)),0)+SUMIFS($L$3:$L238,$C$3:$C238,$C238))</f>
        <v/>
      </c>
    </row>
    <row r="239" customFormat="false" ht="15" hidden="false" customHeight="true" outlineLevel="0" collapsed="false">
      <c r="A239" s="11"/>
      <c r="B239" s="7"/>
      <c r="C239" s="7"/>
      <c r="D239" s="12" t="str">
        <f aca="false">IF($C239="","",IFERROR(INDEX(품목마스터!$B$3:$B$302,MATCH($C239,품목마스터!$A$3:$A$302,0)),"미등록품번"))</f>
        <v/>
      </c>
      <c r="E239" s="12" t="str">
        <f aca="false">IF($C239="","",IFERROR(INDEX(품목마스터!$C$3:$C$302,MATCH($C239,품목마스터!$A$3:$A$302,0)),""))</f>
        <v/>
      </c>
      <c r="F239" s="12" t="str">
        <f aca="false">IF($C239="","",IFERROR(INDEX(품목마스터!$D$3:$D$302,MATCH($C239,품목마스터!$A$3:$A$302,0)),""))</f>
        <v/>
      </c>
      <c r="G239" s="9"/>
      <c r="H239" s="9"/>
      <c r="I239" s="13" t="str">
        <f aca="false">IF(OR($G239="",$H239=""),"",ROUND($G239*$H239,0))</f>
        <v/>
      </c>
      <c r="J239" s="7"/>
      <c r="K239" s="7"/>
      <c r="L239" s="14" t="str">
        <f aca="false">IF(OR($C239="",$G239=""),"",IF($B239="입고",$G239,IF($B239="출고",-$G239,$G239)))</f>
        <v/>
      </c>
      <c r="M239" s="13" t="str">
        <f aca="false">IF($C239="","",IFERROR(INDEX(품목마스터!$F$3:$F$302,MATCH($C239,품목마스터!$A$3:$A$302,0)),0)+SUMIFS($L$3:$L239,$C$3:$C239,$C239))</f>
        <v/>
      </c>
    </row>
    <row r="240" customFormat="false" ht="15" hidden="false" customHeight="true" outlineLevel="0" collapsed="false">
      <c r="A240" s="11"/>
      <c r="B240" s="7"/>
      <c r="C240" s="7"/>
      <c r="D240" s="12" t="str">
        <f aca="false">IF($C240="","",IFERROR(INDEX(품목마스터!$B$3:$B$302,MATCH($C240,품목마스터!$A$3:$A$302,0)),"미등록품번"))</f>
        <v/>
      </c>
      <c r="E240" s="12" t="str">
        <f aca="false">IF($C240="","",IFERROR(INDEX(품목마스터!$C$3:$C$302,MATCH($C240,품목마스터!$A$3:$A$302,0)),""))</f>
        <v/>
      </c>
      <c r="F240" s="12" t="str">
        <f aca="false">IF($C240="","",IFERROR(INDEX(품목마스터!$D$3:$D$302,MATCH($C240,품목마스터!$A$3:$A$302,0)),""))</f>
        <v/>
      </c>
      <c r="G240" s="9"/>
      <c r="H240" s="9"/>
      <c r="I240" s="13" t="str">
        <f aca="false">IF(OR($G240="",$H240=""),"",ROUND($G240*$H240,0))</f>
        <v/>
      </c>
      <c r="J240" s="7"/>
      <c r="K240" s="7"/>
      <c r="L240" s="14" t="str">
        <f aca="false">IF(OR($C240="",$G240=""),"",IF($B240="입고",$G240,IF($B240="출고",-$G240,$G240)))</f>
        <v/>
      </c>
      <c r="M240" s="13" t="str">
        <f aca="false">IF($C240="","",IFERROR(INDEX(품목마스터!$F$3:$F$302,MATCH($C240,품목마스터!$A$3:$A$302,0)),0)+SUMIFS($L$3:$L240,$C$3:$C240,$C240))</f>
        <v/>
      </c>
    </row>
    <row r="241" customFormat="false" ht="15" hidden="false" customHeight="true" outlineLevel="0" collapsed="false">
      <c r="A241" s="11"/>
      <c r="B241" s="7"/>
      <c r="C241" s="7"/>
      <c r="D241" s="12" t="str">
        <f aca="false">IF($C241="","",IFERROR(INDEX(품목마스터!$B$3:$B$302,MATCH($C241,품목마스터!$A$3:$A$302,0)),"미등록품번"))</f>
        <v/>
      </c>
      <c r="E241" s="12" t="str">
        <f aca="false">IF($C241="","",IFERROR(INDEX(품목마스터!$C$3:$C$302,MATCH($C241,품목마스터!$A$3:$A$302,0)),""))</f>
        <v/>
      </c>
      <c r="F241" s="12" t="str">
        <f aca="false">IF($C241="","",IFERROR(INDEX(품목마스터!$D$3:$D$302,MATCH($C241,품목마스터!$A$3:$A$302,0)),""))</f>
        <v/>
      </c>
      <c r="G241" s="9"/>
      <c r="H241" s="9"/>
      <c r="I241" s="13" t="str">
        <f aca="false">IF(OR($G241="",$H241=""),"",ROUND($G241*$H241,0))</f>
        <v/>
      </c>
      <c r="J241" s="7"/>
      <c r="K241" s="7"/>
      <c r="L241" s="14" t="str">
        <f aca="false">IF(OR($C241="",$G241=""),"",IF($B241="입고",$G241,IF($B241="출고",-$G241,$G241)))</f>
        <v/>
      </c>
      <c r="M241" s="13" t="str">
        <f aca="false">IF($C241="","",IFERROR(INDEX(품목마스터!$F$3:$F$302,MATCH($C241,품목마스터!$A$3:$A$302,0)),0)+SUMIFS($L$3:$L241,$C$3:$C241,$C241))</f>
        <v/>
      </c>
    </row>
    <row r="242" customFormat="false" ht="15" hidden="false" customHeight="true" outlineLevel="0" collapsed="false">
      <c r="A242" s="11"/>
      <c r="B242" s="7"/>
      <c r="C242" s="7"/>
      <c r="D242" s="12" t="str">
        <f aca="false">IF($C242="","",IFERROR(INDEX(품목마스터!$B$3:$B$302,MATCH($C242,품목마스터!$A$3:$A$302,0)),"미등록품번"))</f>
        <v/>
      </c>
      <c r="E242" s="12" t="str">
        <f aca="false">IF($C242="","",IFERROR(INDEX(품목마스터!$C$3:$C$302,MATCH($C242,품목마스터!$A$3:$A$302,0)),""))</f>
        <v/>
      </c>
      <c r="F242" s="12" t="str">
        <f aca="false">IF($C242="","",IFERROR(INDEX(품목마스터!$D$3:$D$302,MATCH($C242,품목마스터!$A$3:$A$302,0)),""))</f>
        <v/>
      </c>
      <c r="G242" s="9"/>
      <c r="H242" s="9"/>
      <c r="I242" s="13" t="str">
        <f aca="false">IF(OR($G242="",$H242=""),"",ROUND($G242*$H242,0))</f>
        <v/>
      </c>
      <c r="J242" s="7"/>
      <c r="K242" s="7"/>
      <c r="L242" s="14" t="str">
        <f aca="false">IF(OR($C242="",$G242=""),"",IF($B242="입고",$G242,IF($B242="출고",-$G242,$G242)))</f>
        <v/>
      </c>
      <c r="M242" s="13" t="str">
        <f aca="false">IF($C242="","",IFERROR(INDEX(품목마스터!$F$3:$F$302,MATCH($C242,품목마스터!$A$3:$A$302,0)),0)+SUMIFS($L$3:$L242,$C$3:$C242,$C242))</f>
        <v/>
      </c>
    </row>
    <row r="243" customFormat="false" ht="15" hidden="false" customHeight="true" outlineLevel="0" collapsed="false">
      <c r="A243" s="11"/>
      <c r="B243" s="7"/>
      <c r="C243" s="7"/>
      <c r="D243" s="12" t="str">
        <f aca="false">IF($C243="","",IFERROR(INDEX(품목마스터!$B$3:$B$302,MATCH($C243,품목마스터!$A$3:$A$302,0)),"미등록품번"))</f>
        <v/>
      </c>
      <c r="E243" s="12" t="str">
        <f aca="false">IF($C243="","",IFERROR(INDEX(품목마스터!$C$3:$C$302,MATCH($C243,품목마스터!$A$3:$A$302,0)),""))</f>
        <v/>
      </c>
      <c r="F243" s="12" t="str">
        <f aca="false">IF($C243="","",IFERROR(INDEX(품목마스터!$D$3:$D$302,MATCH($C243,품목마스터!$A$3:$A$302,0)),""))</f>
        <v/>
      </c>
      <c r="G243" s="9"/>
      <c r="H243" s="9"/>
      <c r="I243" s="13" t="str">
        <f aca="false">IF(OR($G243="",$H243=""),"",ROUND($G243*$H243,0))</f>
        <v/>
      </c>
      <c r="J243" s="7"/>
      <c r="K243" s="7"/>
      <c r="L243" s="14" t="str">
        <f aca="false">IF(OR($C243="",$G243=""),"",IF($B243="입고",$G243,IF($B243="출고",-$G243,$G243)))</f>
        <v/>
      </c>
      <c r="M243" s="13" t="str">
        <f aca="false">IF($C243="","",IFERROR(INDEX(품목마스터!$F$3:$F$302,MATCH($C243,품목마스터!$A$3:$A$302,0)),0)+SUMIFS($L$3:$L243,$C$3:$C243,$C243))</f>
        <v/>
      </c>
    </row>
    <row r="244" customFormat="false" ht="15" hidden="false" customHeight="true" outlineLevel="0" collapsed="false">
      <c r="A244" s="11"/>
      <c r="B244" s="7"/>
      <c r="C244" s="7"/>
      <c r="D244" s="12" t="str">
        <f aca="false">IF($C244="","",IFERROR(INDEX(품목마스터!$B$3:$B$302,MATCH($C244,품목마스터!$A$3:$A$302,0)),"미등록품번"))</f>
        <v/>
      </c>
      <c r="E244" s="12" t="str">
        <f aca="false">IF($C244="","",IFERROR(INDEX(품목마스터!$C$3:$C$302,MATCH($C244,품목마스터!$A$3:$A$302,0)),""))</f>
        <v/>
      </c>
      <c r="F244" s="12" t="str">
        <f aca="false">IF($C244="","",IFERROR(INDEX(품목마스터!$D$3:$D$302,MATCH($C244,품목마스터!$A$3:$A$302,0)),""))</f>
        <v/>
      </c>
      <c r="G244" s="9"/>
      <c r="H244" s="9"/>
      <c r="I244" s="13" t="str">
        <f aca="false">IF(OR($G244="",$H244=""),"",ROUND($G244*$H244,0))</f>
        <v/>
      </c>
      <c r="J244" s="7"/>
      <c r="K244" s="7"/>
      <c r="L244" s="14" t="str">
        <f aca="false">IF(OR($C244="",$G244=""),"",IF($B244="입고",$G244,IF($B244="출고",-$G244,$G244)))</f>
        <v/>
      </c>
      <c r="M244" s="13" t="str">
        <f aca="false">IF($C244="","",IFERROR(INDEX(품목마스터!$F$3:$F$302,MATCH($C244,품목마스터!$A$3:$A$302,0)),0)+SUMIFS($L$3:$L244,$C$3:$C244,$C244))</f>
        <v/>
      </c>
    </row>
    <row r="245" customFormat="false" ht="15" hidden="false" customHeight="true" outlineLevel="0" collapsed="false">
      <c r="A245" s="11"/>
      <c r="B245" s="7"/>
      <c r="C245" s="7"/>
      <c r="D245" s="12" t="str">
        <f aca="false">IF($C245="","",IFERROR(INDEX(품목마스터!$B$3:$B$302,MATCH($C245,품목마스터!$A$3:$A$302,0)),"미등록품번"))</f>
        <v/>
      </c>
      <c r="E245" s="12" t="str">
        <f aca="false">IF($C245="","",IFERROR(INDEX(품목마스터!$C$3:$C$302,MATCH($C245,품목마스터!$A$3:$A$302,0)),""))</f>
        <v/>
      </c>
      <c r="F245" s="12" t="str">
        <f aca="false">IF($C245="","",IFERROR(INDEX(품목마스터!$D$3:$D$302,MATCH($C245,품목마스터!$A$3:$A$302,0)),""))</f>
        <v/>
      </c>
      <c r="G245" s="9"/>
      <c r="H245" s="9"/>
      <c r="I245" s="13" t="str">
        <f aca="false">IF(OR($G245="",$H245=""),"",ROUND($G245*$H245,0))</f>
        <v/>
      </c>
      <c r="J245" s="7"/>
      <c r="K245" s="7"/>
      <c r="L245" s="14" t="str">
        <f aca="false">IF(OR($C245="",$G245=""),"",IF($B245="입고",$G245,IF($B245="출고",-$G245,$G245)))</f>
        <v/>
      </c>
      <c r="M245" s="13" t="str">
        <f aca="false">IF($C245="","",IFERROR(INDEX(품목마스터!$F$3:$F$302,MATCH($C245,품목마스터!$A$3:$A$302,0)),0)+SUMIFS($L$3:$L245,$C$3:$C245,$C245))</f>
        <v/>
      </c>
    </row>
    <row r="246" customFormat="false" ht="15" hidden="false" customHeight="true" outlineLevel="0" collapsed="false">
      <c r="A246" s="11"/>
      <c r="B246" s="7"/>
      <c r="C246" s="7"/>
      <c r="D246" s="12" t="str">
        <f aca="false">IF($C246="","",IFERROR(INDEX(품목마스터!$B$3:$B$302,MATCH($C246,품목마스터!$A$3:$A$302,0)),"미등록품번"))</f>
        <v/>
      </c>
      <c r="E246" s="12" t="str">
        <f aca="false">IF($C246="","",IFERROR(INDEX(품목마스터!$C$3:$C$302,MATCH($C246,품목마스터!$A$3:$A$302,0)),""))</f>
        <v/>
      </c>
      <c r="F246" s="12" t="str">
        <f aca="false">IF($C246="","",IFERROR(INDEX(품목마스터!$D$3:$D$302,MATCH($C246,품목마스터!$A$3:$A$302,0)),""))</f>
        <v/>
      </c>
      <c r="G246" s="9"/>
      <c r="H246" s="9"/>
      <c r="I246" s="13" t="str">
        <f aca="false">IF(OR($G246="",$H246=""),"",ROUND($G246*$H246,0))</f>
        <v/>
      </c>
      <c r="J246" s="7"/>
      <c r="K246" s="7"/>
      <c r="L246" s="14" t="str">
        <f aca="false">IF(OR($C246="",$G246=""),"",IF($B246="입고",$G246,IF($B246="출고",-$G246,$G246)))</f>
        <v/>
      </c>
      <c r="M246" s="13" t="str">
        <f aca="false">IF($C246="","",IFERROR(INDEX(품목마스터!$F$3:$F$302,MATCH($C246,품목마스터!$A$3:$A$302,0)),0)+SUMIFS($L$3:$L246,$C$3:$C246,$C246))</f>
        <v/>
      </c>
    </row>
    <row r="247" customFormat="false" ht="15" hidden="false" customHeight="true" outlineLevel="0" collapsed="false">
      <c r="A247" s="11"/>
      <c r="B247" s="7"/>
      <c r="C247" s="7"/>
      <c r="D247" s="12" t="str">
        <f aca="false">IF($C247="","",IFERROR(INDEX(품목마스터!$B$3:$B$302,MATCH($C247,품목마스터!$A$3:$A$302,0)),"미등록품번"))</f>
        <v/>
      </c>
      <c r="E247" s="12" t="str">
        <f aca="false">IF($C247="","",IFERROR(INDEX(품목마스터!$C$3:$C$302,MATCH($C247,품목마스터!$A$3:$A$302,0)),""))</f>
        <v/>
      </c>
      <c r="F247" s="12" t="str">
        <f aca="false">IF($C247="","",IFERROR(INDEX(품목마스터!$D$3:$D$302,MATCH($C247,품목마스터!$A$3:$A$302,0)),""))</f>
        <v/>
      </c>
      <c r="G247" s="9"/>
      <c r="H247" s="9"/>
      <c r="I247" s="13" t="str">
        <f aca="false">IF(OR($G247="",$H247=""),"",ROUND($G247*$H247,0))</f>
        <v/>
      </c>
      <c r="J247" s="7"/>
      <c r="K247" s="7"/>
      <c r="L247" s="14" t="str">
        <f aca="false">IF(OR($C247="",$G247=""),"",IF($B247="입고",$G247,IF($B247="출고",-$G247,$G247)))</f>
        <v/>
      </c>
      <c r="M247" s="13" t="str">
        <f aca="false">IF($C247="","",IFERROR(INDEX(품목마스터!$F$3:$F$302,MATCH($C247,품목마스터!$A$3:$A$302,0)),0)+SUMIFS($L$3:$L247,$C$3:$C247,$C247))</f>
        <v/>
      </c>
    </row>
    <row r="248" customFormat="false" ht="15" hidden="false" customHeight="true" outlineLevel="0" collapsed="false">
      <c r="A248" s="11"/>
      <c r="B248" s="7"/>
      <c r="C248" s="7"/>
      <c r="D248" s="12" t="str">
        <f aca="false">IF($C248="","",IFERROR(INDEX(품목마스터!$B$3:$B$302,MATCH($C248,품목마스터!$A$3:$A$302,0)),"미등록품번"))</f>
        <v/>
      </c>
      <c r="E248" s="12" t="str">
        <f aca="false">IF($C248="","",IFERROR(INDEX(품목마스터!$C$3:$C$302,MATCH($C248,품목마스터!$A$3:$A$302,0)),""))</f>
        <v/>
      </c>
      <c r="F248" s="12" t="str">
        <f aca="false">IF($C248="","",IFERROR(INDEX(품목마스터!$D$3:$D$302,MATCH($C248,품목마스터!$A$3:$A$302,0)),""))</f>
        <v/>
      </c>
      <c r="G248" s="9"/>
      <c r="H248" s="9"/>
      <c r="I248" s="13" t="str">
        <f aca="false">IF(OR($G248="",$H248=""),"",ROUND($G248*$H248,0))</f>
        <v/>
      </c>
      <c r="J248" s="7"/>
      <c r="K248" s="7"/>
      <c r="L248" s="14" t="str">
        <f aca="false">IF(OR($C248="",$G248=""),"",IF($B248="입고",$G248,IF($B248="출고",-$G248,$G248)))</f>
        <v/>
      </c>
      <c r="M248" s="13" t="str">
        <f aca="false">IF($C248="","",IFERROR(INDEX(품목마스터!$F$3:$F$302,MATCH($C248,품목마스터!$A$3:$A$302,0)),0)+SUMIFS($L$3:$L248,$C$3:$C248,$C248))</f>
        <v/>
      </c>
    </row>
    <row r="249" customFormat="false" ht="15" hidden="false" customHeight="true" outlineLevel="0" collapsed="false">
      <c r="A249" s="11"/>
      <c r="B249" s="7"/>
      <c r="C249" s="7"/>
      <c r="D249" s="12" t="str">
        <f aca="false">IF($C249="","",IFERROR(INDEX(품목마스터!$B$3:$B$302,MATCH($C249,품목마스터!$A$3:$A$302,0)),"미등록품번"))</f>
        <v/>
      </c>
      <c r="E249" s="12" t="str">
        <f aca="false">IF($C249="","",IFERROR(INDEX(품목마스터!$C$3:$C$302,MATCH($C249,품목마스터!$A$3:$A$302,0)),""))</f>
        <v/>
      </c>
      <c r="F249" s="12" t="str">
        <f aca="false">IF($C249="","",IFERROR(INDEX(품목마스터!$D$3:$D$302,MATCH($C249,품목마스터!$A$3:$A$302,0)),""))</f>
        <v/>
      </c>
      <c r="G249" s="9"/>
      <c r="H249" s="9"/>
      <c r="I249" s="13" t="str">
        <f aca="false">IF(OR($G249="",$H249=""),"",ROUND($G249*$H249,0))</f>
        <v/>
      </c>
      <c r="J249" s="7"/>
      <c r="K249" s="7"/>
      <c r="L249" s="14" t="str">
        <f aca="false">IF(OR($C249="",$G249=""),"",IF($B249="입고",$G249,IF($B249="출고",-$G249,$G249)))</f>
        <v/>
      </c>
      <c r="M249" s="13" t="str">
        <f aca="false">IF($C249="","",IFERROR(INDEX(품목마스터!$F$3:$F$302,MATCH($C249,품목마스터!$A$3:$A$302,0)),0)+SUMIFS($L$3:$L249,$C$3:$C249,$C249))</f>
        <v/>
      </c>
    </row>
    <row r="250" customFormat="false" ht="15" hidden="false" customHeight="true" outlineLevel="0" collapsed="false">
      <c r="A250" s="11"/>
      <c r="B250" s="7"/>
      <c r="C250" s="7"/>
      <c r="D250" s="12" t="str">
        <f aca="false">IF($C250="","",IFERROR(INDEX(품목마스터!$B$3:$B$302,MATCH($C250,품목마스터!$A$3:$A$302,0)),"미등록품번"))</f>
        <v/>
      </c>
      <c r="E250" s="12" t="str">
        <f aca="false">IF($C250="","",IFERROR(INDEX(품목마스터!$C$3:$C$302,MATCH($C250,품목마스터!$A$3:$A$302,0)),""))</f>
        <v/>
      </c>
      <c r="F250" s="12" t="str">
        <f aca="false">IF($C250="","",IFERROR(INDEX(품목마스터!$D$3:$D$302,MATCH($C250,품목마스터!$A$3:$A$302,0)),""))</f>
        <v/>
      </c>
      <c r="G250" s="9"/>
      <c r="H250" s="9"/>
      <c r="I250" s="13" t="str">
        <f aca="false">IF(OR($G250="",$H250=""),"",ROUND($G250*$H250,0))</f>
        <v/>
      </c>
      <c r="J250" s="7"/>
      <c r="K250" s="7"/>
      <c r="L250" s="14" t="str">
        <f aca="false">IF(OR($C250="",$G250=""),"",IF($B250="입고",$G250,IF($B250="출고",-$G250,$G250)))</f>
        <v/>
      </c>
      <c r="M250" s="13" t="str">
        <f aca="false">IF($C250="","",IFERROR(INDEX(품목마스터!$F$3:$F$302,MATCH($C250,품목마스터!$A$3:$A$302,0)),0)+SUMIFS($L$3:$L250,$C$3:$C250,$C250))</f>
        <v/>
      </c>
    </row>
    <row r="251" customFormat="false" ht="15" hidden="false" customHeight="true" outlineLevel="0" collapsed="false">
      <c r="A251" s="11"/>
      <c r="B251" s="7"/>
      <c r="C251" s="7"/>
      <c r="D251" s="12" t="str">
        <f aca="false">IF($C251="","",IFERROR(INDEX(품목마스터!$B$3:$B$302,MATCH($C251,품목마스터!$A$3:$A$302,0)),"미등록품번"))</f>
        <v/>
      </c>
      <c r="E251" s="12" t="str">
        <f aca="false">IF($C251="","",IFERROR(INDEX(품목마스터!$C$3:$C$302,MATCH($C251,품목마스터!$A$3:$A$302,0)),""))</f>
        <v/>
      </c>
      <c r="F251" s="12" t="str">
        <f aca="false">IF($C251="","",IFERROR(INDEX(품목마스터!$D$3:$D$302,MATCH($C251,품목마스터!$A$3:$A$302,0)),""))</f>
        <v/>
      </c>
      <c r="G251" s="9"/>
      <c r="H251" s="9"/>
      <c r="I251" s="13" t="str">
        <f aca="false">IF(OR($G251="",$H251=""),"",ROUND($G251*$H251,0))</f>
        <v/>
      </c>
      <c r="J251" s="7"/>
      <c r="K251" s="7"/>
      <c r="L251" s="14" t="str">
        <f aca="false">IF(OR($C251="",$G251=""),"",IF($B251="입고",$G251,IF($B251="출고",-$G251,$G251)))</f>
        <v/>
      </c>
      <c r="M251" s="13" t="str">
        <f aca="false">IF($C251="","",IFERROR(INDEX(품목마스터!$F$3:$F$302,MATCH($C251,품목마스터!$A$3:$A$302,0)),0)+SUMIFS($L$3:$L251,$C$3:$C251,$C251))</f>
        <v/>
      </c>
    </row>
    <row r="252" customFormat="false" ht="15" hidden="false" customHeight="true" outlineLevel="0" collapsed="false">
      <c r="A252" s="11"/>
      <c r="B252" s="7"/>
      <c r="C252" s="7"/>
      <c r="D252" s="12" t="str">
        <f aca="false">IF($C252="","",IFERROR(INDEX(품목마스터!$B$3:$B$302,MATCH($C252,품목마스터!$A$3:$A$302,0)),"미등록품번"))</f>
        <v/>
      </c>
      <c r="E252" s="12" t="str">
        <f aca="false">IF($C252="","",IFERROR(INDEX(품목마스터!$C$3:$C$302,MATCH($C252,품목마스터!$A$3:$A$302,0)),""))</f>
        <v/>
      </c>
      <c r="F252" s="12" t="str">
        <f aca="false">IF($C252="","",IFERROR(INDEX(품목마스터!$D$3:$D$302,MATCH($C252,품목마스터!$A$3:$A$302,0)),""))</f>
        <v/>
      </c>
      <c r="G252" s="9"/>
      <c r="H252" s="9"/>
      <c r="I252" s="13" t="str">
        <f aca="false">IF(OR($G252="",$H252=""),"",ROUND($G252*$H252,0))</f>
        <v/>
      </c>
      <c r="J252" s="7"/>
      <c r="K252" s="7"/>
      <c r="L252" s="14" t="str">
        <f aca="false">IF(OR($C252="",$G252=""),"",IF($B252="입고",$G252,IF($B252="출고",-$G252,$G252)))</f>
        <v/>
      </c>
      <c r="M252" s="13" t="str">
        <f aca="false">IF($C252="","",IFERROR(INDEX(품목마스터!$F$3:$F$302,MATCH($C252,품목마스터!$A$3:$A$302,0)),0)+SUMIFS($L$3:$L252,$C$3:$C252,$C252))</f>
        <v/>
      </c>
    </row>
    <row r="253" customFormat="false" ht="15" hidden="false" customHeight="true" outlineLevel="0" collapsed="false">
      <c r="A253" s="11"/>
      <c r="B253" s="7"/>
      <c r="C253" s="7"/>
      <c r="D253" s="12" t="str">
        <f aca="false">IF($C253="","",IFERROR(INDEX(품목마스터!$B$3:$B$302,MATCH($C253,품목마스터!$A$3:$A$302,0)),"미등록품번"))</f>
        <v/>
      </c>
      <c r="E253" s="12" t="str">
        <f aca="false">IF($C253="","",IFERROR(INDEX(품목마스터!$C$3:$C$302,MATCH($C253,품목마스터!$A$3:$A$302,0)),""))</f>
        <v/>
      </c>
      <c r="F253" s="12" t="str">
        <f aca="false">IF($C253="","",IFERROR(INDEX(품목마스터!$D$3:$D$302,MATCH($C253,품목마스터!$A$3:$A$302,0)),""))</f>
        <v/>
      </c>
      <c r="G253" s="9"/>
      <c r="H253" s="9"/>
      <c r="I253" s="13" t="str">
        <f aca="false">IF(OR($G253="",$H253=""),"",ROUND($G253*$H253,0))</f>
        <v/>
      </c>
      <c r="J253" s="7"/>
      <c r="K253" s="7"/>
      <c r="L253" s="14" t="str">
        <f aca="false">IF(OR($C253="",$G253=""),"",IF($B253="입고",$G253,IF($B253="출고",-$G253,$G253)))</f>
        <v/>
      </c>
      <c r="M253" s="13" t="str">
        <f aca="false">IF($C253="","",IFERROR(INDEX(품목마스터!$F$3:$F$302,MATCH($C253,품목마스터!$A$3:$A$302,0)),0)+SUMIFS($L$3:$L253,$C$3:$C253,$C253))</f>
        <v/>
      </c>
    </row>
    <row r="254" customFormat="false" ht="15" hidden="false" customHeight="true" outlineLevel="0" collapsed="false">
      <c r="A254" s="11"/>
      <c r="B254" s="7"/>
      <c r="C254" s="7"/>
      <c r="D254" s="12" t="str">
        <f aca="false">IF($C254="","",IFERROR(INDEX(품목마스터!$B$3:$B$302,MATCH($C254,품목마스터!$A$3:$A$302,0)),"미등록품번"))</f>
        <v/>
      </c>
      <c r="E254" s="12" t="str">
        <f aca="false">IF($C254="","",IFERROR(INDEX(품목마스터!$C$3:$C$302,MATCH($C254,품목마스터!$A$3:$A$302,0)),""))</f>
        <v/>
      </c>
      <c r="F254" s="12" t="str">
        <f aca="false">IF($C254="","",IFERROR(INDEX(품목마스터!$D$3:$D$302,MATCH($C254,품목마스터!$A$3:$A$302,0)),""))</f>
        <v/>
      </c>
      <c r="G254" s="9"/>
      <c r="H254" s="9"/>
      <c r="I254" s="13" t="str">
        <f aca="false">IF(OR($G254="",$H254=""),"",ROUND($G254*$H254,0))</f>
        <v/>
      </c>
      <c r="J254" s="7"/>
      <c r="K254" s="7"/>
      <c r="L254" s="14" t="str">
        <f aca="false">IF(OR($C254="",$G254=""),"",IF($B254="입고",$G254,IF($B254="출고",-$G254,$G254)))</f>
        <v/>
      </c>
      <c r="M254" s="13" t="str">
        <f aca="false">IF($C254="","",IFERROR(INDEX(품목마스터!$F$3:$F$302,MATCH($C254,품목마스터!$A$3:$A$302,0)),0)+SUMIFS($L$3:$L254,$C$3:$C254,$C254))</f>
        <v/>
      </c>
    </row>
    <row r="255" customFormat="false" ht="15" hidden="false" customHeight="true" outlineLevel="0" collapsed="false">
      <c r="A255" s="11"/>
      <c r="B255" s="7"/>
      <c r="C255" s="7"/>
      <c r="D255" s="12" t="str">
        <f aca="false">IF($C255="","",IFERROR(INDEX(품목마스터!$B$3:$B$302,MATCH($C255,품목마스터!$A$3:$A$302,0)),"미등록품번"))</f>
        <v/>
      </c>
      <c r="E255" s="12" t="str">
        <f aca="false">IF($C255="","",IFERROR(INDEX(품목마스터!$C$3:$C$302,MATCH($C255,품목마스터!$A$3:$A$302,0)),""))</f>
        <v/>
      </c>
      <c r="F255" s="12" t="str">
        <f aca="false">IF($C255="","",IFERROR(INDEX(품목마스터!$D$3:$D$302,MATCH($C255,품목마스터!$A$3:$A$302,0)),""))</f>
        <v/>
      </c>
      <c r="G255" s="9"/>
      <c r="H255" s="9"/>
      <c r="I255" s="13" t="str">
        <f aca="false">IF(OR($G255="",$H255=""),"",ROUND($G255*$H255,0))</f>
        <v/>
      </c>
      <c r="J255" s="7"/>
      <c r="K255" s="7"/>
      <c r="L255" s="14" t="str">
        <f aca="false">IF(OR($C255="",$G255=""),"",IF($B255="입고",$G255,IF($B255="출고",-$G255,$G255)))</f>
        <v/>
      </c>
      <c r="M255" s="13" t="str">
        <f aca="false">IF($C255="","",IFERROR(INDEX(품목마스터!$F$3:$F$302,MATCH($C255,품목마스터!$A$3:$A$302,0)),0)+SUMIFS($L$3:$L255,$C$3:$C255,$C255))</f>
        <v/>
      </c>
    </row>
    <row r="256" customFormat="false" ht="15" hidden="false" customHeight="true" outlineLevel="0" collapsed="false">
      <c r="A256" s="11"/>
      <c r="B256" s="7"/>
      <c r="C256" s="7"/>
      <c r="D256" s="12" t="str">
        <f aca="false">IF($C256="","",IFERROR(INDEX(품목마스터!$B$3:$B$302,MATCH($C256,품목마스터!$A$3:$A$302,0)),"미등록품번"))</f>
        <v/>
      </c>
      <c r="E256" s="12" t="str">
        <f aca="false">IF($C256="","",IFERROR(INDEX(품목마스터!$C$3:$C$302,MATCH($C256,품목마스터!$A$3:$A$302,0)),""))</f>
        <v/>
      </c>
      <c r="F256" s="12" t="str">
        <f aca="false">IF($C256="","",IFERROR(INDEX(품목마스터!$D$3:$D$302,MATCH($C256,품목마스터!$A$3:$A$302,0)),""))</f>
        <v/>
      </c>
      <c r="G256" s="9"/>
      <c r="H256" s="9"/>
      <c r="I256" s="13" t="str">
        <f aca="false">IF(OR($G256="",$H256=""),"",ROUND($G256*$H256,0))</f>
        <v/>
      </c>
      <c r="J256" s="7"/>
      <c r="K256" s="7"/>
      <c r="L256" s="14" t="str">
        <f aca="false">IF(OR($C256="",$G256=""),"",IF($B256="입고",$G256,IF($B256="출고",-$G256,$G256)))</f>
        <v/>
      </c>
      <c r="M256" s="13" t="str">
        <f aca="false">IF($C256="","",IFERROR(INDEX(품목마스터!$F$3:$F$302,MATCH($C256,품목마스터!$A$3:$A$302,0)),0)+SUMIFS($L$3:$L256,$C$3:$C256,$C256))</f>
        <v/>
      </c>
    </row>
    <row r="257" customFormat="false" ht="15" hidden="false" customHeight="true" outlineLevel="0" collapsed="false">
      <c r="A257" s="11"/>
      <c r="B257" s="7"/>
      <c r="C257" s="7"/>
      <c r="D257" s="12" t="str">
        <f aca="false">IF($C257="","",IFERROR(INDEX(품목마스터!$B$3:$B$302,MATCH($C257,품목마스터!$A$3:$A$302,0)),"미등록품번"))</f>
        <v/>
      </c>
      <c r="E257" s="12" t="str">
        <f aca="false">IF($C257="","",IFERROR(INDEX(품목마스터!$C$3:$C$302,MATCH($C257,품목마스터!$A$3:$A$302,0)),""))</f>
        <v/>
      </c>
      <c r="F257" s="12" t="str">
        <f aca="false">IF($C257="","",IFERROR(INDEX(품목마스터!$D$3:$D$302,MATCH($C257,품목마스터!$A$3:$A$302,0)),""))</f>
        <v/>
      </c>
      <c r="G257" s="9"/>
      <c r="H257" s="9"/>
      <c r="I257" s="13" t="str">
        <f aca="false">IF(OR($G257="",$H257=""),"",ROUND($G257*$H257,0))</f>
        <v/>
      </c>
      <c r="J257" s="7"/>
      <c r="K257" s="7"/>
      <c r="L257" s="14" t="str">
        <f aca="false">IF(OR($C257="",$G257=""),"",IF($B257="입고",$G257,IF($B257="출고",-$G257,$G257)))</f>
        <v/>
      </c>
      <c r="M257" s="13" t="str">
        <f aca="false">IF($C257="","",IFERROR(INDEX(품목마스터!$F$3:$F$302,MATCH($C257,품목마스터!$A$3:$A$302,0)),0)+SUMIFS($L$3:$L257,$C$3:$C257,$C257))</f>
        <v/>
      </c>
    </row>
    <row r="258" customFormat="false" ht="15" hidden="false" customHeight="true" outlineLevel="0" collapsed="false">
      <c r="A258" s="11"/>
      <c r="B258" s="7"/>
      <c r="C258" s="7"/>
      <c r="D258" s="12" t="str">
        <f aca="false">IF($C258="","",IFERROR(INDEX(품목마스터!$B$3:$B$302,MATCH($C258,품목마스터!$A$3:$A$302,0)),"미등록품번"))</f>
        <v/>
      </c>
      <c r="E258" s="12" t="str">
        <f aca="false">IF($C258="","",IFERROR(INDEX(품목마스터!$C$3:$C$302,MATCH($C258,품목마스터!$A$3:$A$302,0)),""))</f>
        <v/>
      </c>
      <c r="F258" s="12" t="str">
        <f aca="false">IF($C258="","",IFERROR(INDEX(품목마스터!$D$3:$D$302,MATCH($C258,품목마스터!$A$3:$A$302,0)),""))</f>
        <v/>
      </c>
      <c r="G258" s="9"/>
      <c r="H258" s="9"/>
      <c r="I258" s="13" t="str">
        <f aca="false">IF(OR($G258="",$H258=""),"",ROUND($G258*$H258,0))</f>
        <v/>
      </c>
      <c r="J258" s="7"/>
      <c r="K258" s="7"/>
      <c r="L258" s="14" t="str">
        <f aca="false">IF(OR($C258="",$G258=""),"",IF($B258="입고",$G258,IF($B258="출고",-$G258,$G258)))</f>
        <v/>
      </c>
      <c r="M258" s="13" t="str">
        <f aca="false">IF($C258="","",IFERROR(INDEX(품목마스터!$F$3:$F$302,MATCH($C258,품목마스터!$A$3:$A$302,0)),0)+SUMIFS($L$3:$L258,$C$3:$C258,$C258))</f>
        <v/>
      </c>
    </row>
    <row r="259" customFormat="false" ht="15" hidden="false" customHeight="true" outlineLevel="0" collapsed="false">
      <c r="A259" s="11"/>
      <c r="B259" s="7"/>
      <c r="C259" s="7"/>
      <c r="D259" s="12" t="str">
        <f aca="false">IF($C259="","",IFERROR(INDEX(품목마스터!$B$3:$B$302,MATCH($C259,품목마스터!$A$3:$A$302,0)),"미등록품번"))</f>
        <v/>
      </c>
      <c r="E259" s="12" t="str">
        <f aca="false">IF($C259="","",IFERROR(INDEX(품목마스터!$C$3:$C$302,MATCH($C259,품목마스터!$A$3:$A$302,0)),""))</f>
        <v/>
      </c>
      <c r="F259" s="12" t="str">
        <f aca="false">IF($C259="","",IFERROR(INDEX(품목마스터!$D$3:$D$302,MATCH($C259,품목마스터!$A$3:$A$302,0)),""))</f>
        <v/>
      </c>
      <c r="G259" s="9"/>
      <c r="H259" s="9"/>
      <c r="I259" s="13" t="str">
        <f aca="false">IF(OR($G259="",$H259=""),"",ROUND($G259*$H259,0))</f>
        <v/>
      </c>
      <c r="J259" s="7"/>
      <c r="K259" s="7"/>
      <c r="L259" s="14" t="str">
        <f aca="false">IF(OR($C259="",$G259=""),"",IF($B259="입고",$G259,IF($B259="출고",-$G259,$G259)))</f>
        <v/>
      </c>
      <c r="M259" s="13" t="str">
        <f aca="false">IF($C259="","",IFERROR(INDEX(품목마스터!$F$3:$F$302,MATCH($C259,품목마스터!$A$3:$A$302,0)),0)+SUMIFS($L$3:$L259,$C$3:$C259,$C259))</f>
        <v/>
      </c>
    </row>
    <row r="260" customFormat="false" ht="15" hidden="false" customHeight="true" outlineLevel="0" collapsed="false">
      <c r="A260" s="11"/>
      <c r="B260" s="7"/>
      <c r="C260" s="7"/>
      <c r="D260" s="12" t="str">
        <f aca="false">IF($C260="","",IFERROR(INDEX(품목마스터!$B$3:$B$302,MATCH($C260,품목마스터!$A$3:$A$302,0)),"미등록품번"))</f>
        <v/>
      </c>
      <c r="E260" s="12" t="str">
        <f aca="false">IF($C260="","",IFERROR(INDEX(품목마스터!$C$3:$C$302,MATCH($C260,품목마스터!$A$3:$A$302,0)),""))</f>
        <v/>
      </c>
      <c r="F260" s="12" t="str">
        <f aca="false">IF($C260="","",IFERROR(INDEX(품목마스터!$D$3:$D$302,MATCH($C260,품목마스터!$A$3:$A$302,0)),""))</f>
        <v/>
      </c>
      <c r="G260" s="9"/>
      <c r="H260" s="9"/>
      <c r="I260" s="13" t="str">
        <f aca="false">IF(OR($G260="",$H260=""),"",ROUND($G260*$H260,0))</f>
        <v/>
      </c>
      <c r="J260" s="7"/>
      <c r="K260" s="7"/>
      <c r="L260" s="14" t="str">
        <f aca="false">IF(OR($C260="",$G260=""),"",IF($B260="입고",$G260,IF($B260="출고",-$G260,$G260)))</f>
        <v/>
      </c>
      <c r="M260" s="13" t="str">
        <f aca="false">IF($C260="","",IFERROR(INDEX(품목마스터!$F$3:$F$302,MATCH($C260,품목마스터!$A$3:$A$302,0)),0)+SUMIFS($L$3:$L260,$C$3:$C260,$C260))</f>
        <v/>
      </c>
    </row>
    <row r="261" customFormat="false" ht="15" hidden="false" customHeight="true" outlineLevel="0" collapsed="false">
      <c r="A261" s="11"/>
      <c r="B261" s="7"/>
      <c r="C261" s="7"/>
      <c r="D261" s="12" t="str">
        <f aca="false">IF($C261="","",IFERROR(INDEX(품목마스터!$B$3:$B$302,MATCH($C261,품목마스터!$A$3:$A$302,0)),"미등록품번"))</f>
        <v/>
      </c>
      <c r="E261" s="12" t="str">
        <f aca="false">IF($C261="","",IFERROR(INDEX(품목마스터!$C$3:$C$302,MATCH($C261,품목마스터!$A$3:$A$302,0)),""))</f>
        <v/>
      </c>
      <c r="F261" s="12" t="str">
        <f aca="false">IF($C261="","",IFERROR(INDEX(품목마스터!$D$3:$D$302,MATCH($C261,품목마스터!$A$3:$A$302,0)),""))</f>
        <v/>
      </c>
      <c r="G261" s="9"/>
      <c r="H261" s="9"/>
      <c r="I261" s="13" t="str">
        <f aca="false">IF(OR($G261="",$H261=""),"",ROUND($G261*$H261,0))</f>
        <v/>
      </c>
      <c r="J261" s="7"/>
      <c r="K261" s="7"/>
      <c r="L261" s="14" t="str">
        <f aca="false">IF(OR($C261="",$G261=""),"",IF($B261="입고",$G261,IF($B261="출고",-$G261,$G261)))</f>
        <v/>
      </c>
      <c r="M261" s="13" t="str">
        <f aca="false">IF($C261="","",IFERROR(INDEX(품목마스터!$F$3:$F$302,MATCH($C261,품목마스터!$A$3:$A$302,0)),0)+SUMIFS($L$3:$L261,$C$3:$C261,$C261))</f>
        <v/>
      </c>
    </row>
    <row r="262" customFormat="false" ht="15" hidden="false" customHeight="true" outlineLevel="0" collapsed="false">
      <c r="A262" s="11"/>
      <c r="B262" s="7"/>
      <c r="C262" s="7"/>
      <c r="D262" s="12" t="str">
        <f aca="false">IF($C262="","",IFERROR(INDEX(품목마스터!$B$3:$B$302,MATCH($C262,품목마스터!$A$3:$A$302,0)),"미등록품번"))</f>
        <v/>
      </c>
      <c r="E262" s="12" t="str">
        <f aca="false">IF($C262="","",IFERROR(INDEX(품목마스터!$C$3:$C$302,MATCH($C262,품목마스터!$A$3:$A$302,0)),""))</f>
        <v/>
      </c>
      <c r="F262" s="12" t="str">
        <f aca="false">IF($C262="","",IFERROR(INDEX(품목마스터!$D$3:$D$302,MATCH($C262,품목마스터!$A$3:$A$302,0)),""))</f>
        <v/>
      </c>
      <c r="G262" s="9"/>
      <c r="H262" s="9"/>
      <c r="I262" s="13" t="str">
        <f aca="false">IF(OR($G262="",$H262=""),"",ROUND($G262*$H262,0))</f>
        <v/>
      </c>
      <c r="J262" s="7"/>
      <c r="K262" s="7"/>
      <c r="L262" s="14" t="str">
        <f aca="false">IF(OR($C262="",$G262=""),"",IF($B262="입고",$G262,IF($B262="출고",-$G262,$G262)))</f>
        <v/>
      </c>
      <c r="M262" s="13" t="str">
        <f aca="false">IF($C262="","",IFERROR(INDEX(품목마스터!$F$3:$F$302,MATCH($C262,품목마스터!$A$3:$A$302,0)),0)+SUMIFS($L$3:$L262,$C$3:$C262,$C262))</f>
        <v/>
      </c>
    </row>
    <row r="263" customFormat="false" ht="15" hidden="false" customHeight="true" outlineLevel="0" collapsed="false">
      <c r="A263" s="11"/>
      <c r="B263" s="7"/>
      <c r="C263" s="7"/>
      <c r="D263" s="12" t="str">
        <f aca="false">IF($C263="","",IFERROR(INDEX(품목마스터!$B$3:$B$302,MATCH($C263,품목마스터!$A$3:$A$302,0)),"미등록품번"))</f>
        <v/>
      </c>
      <c r="E263" s="12" t="str">
        <f aca="false">IF($C263="","",IFERROR(INDEX(품목마스터!$C$3:$C$302,MATCH($C263,품목마스터!$A$3:$A$302,0)),""))</f>
        <v/>
      </c>
      <c r="F263" s="12" t="str">
        <f aca="false">IF($C263="","",IFERROR(INDEX(품목마스터!$D$3:$D$302,MATCH($C263,품목마스터!$A$3:$A$302,0)),""))</f>
        <v/>
      </c>
      <c r="G263" s="9"/>
      <c r="H263" s="9"/>
      <c r="I263" s="13" t="str">
        <f aca="false">IF(OR($G263="",$H263=""),"",ROUND($G263*$H263,0))</f>
        <v/>
      </c>
      <c r="J263" s="7"/>
      <c r="K263" s="7"/>
      <c r="L263" s="14" t="str">
        <f aca="false">IF(OR($C263="",$G263=""),"",IF($B263="입고",$G263,IF($B263="출고",-$G263,$G263)))</f>
        <v/>
      </c>
      <c r="M263" s="13" t="str">
        <f aca="false">IF($C263="","",IFERROR(INDEX(품목마스터!$F$3:$F$302,MATCH($C263,품목마스터!$A$3:$A$302,0)),0)+SUMIFS($L$3:$L263,$C$3:$C263,$C263))</f>
        <v/>
      </c>
    </row>
    <row r="264" customFormat="false" ht="15" hidden="false" customHeight="true" outlineLevel="0" collapsed="false">
      <c r="A264" s="11"/>
      <c r="B264" s="7"/>
      <c r="C264" s="7"/>
      <c r="D264" s="12" t="str">
        <f aca="false">IF($C264="","",IFERROR(INDEX(품목마스터!$B$3:$B$302,MATCH($C264,품목마스터!$A$3:$A$302,0)),"미등록품번"))</f>
        <v/>
      </c>
      <c r="E264" s="12" t="str">
        <f aca="false">IF($C264="","",IFERROR(INDEX(품목마스터!$C$3:$C$302,MATCH($C264,품목마스터!$A$3:$A$302,0)),""))</f>
        <v/>
      </c>
      <c r="F264" s="12" t="str">
        <f aca="false">IF($C264="","",IFERROR(INDEX(품목마스터!$D$3:$D$302,MATCH($C264,품목마스터!$A$3:$A$302,0)),""))</f>
        <v/>
      </c>
      <c r="G264" s="9"/>
      <c r="H264" s="9"/>
      <c r="I264" s="13" t="str">
        <f aca="false">IF(OR($G264="",$H264=""),"",ROUND($G264*$H264,0))</f>
        <v/>
      </c>
      <c r="J264" s="7"/>
      <c r="K264" s="7"/>
      <c r="L264" s="14" t="str">
        <f aca="false">IF(OR($C264="",$G264=""),"",IF($B264="입고",$G264,IF($B264="출고",-$G264,$G264)))</f>
        <v/>
      </c>
      <c r="M264" s="13" t="str">
        <f aca="false">IF($C264="","",IFERROR(INDEX(품목마스터!$F$3:$F$302,MATCH($C264,품목마스터!$A$3:$A$302,0)),0)+SUMIFS($L$3:$L264,$C$3:$C264,$C264))</f>
        <v/>
      </c>
    </row>
    <row r="265" customFormat="false" ht="15" hidden="false" customHeight="true" outlineLevel="0" collapsed="false">
      <c r="A265" s="11"/>
      <c r="B265" s="7"/>
      <c r="C265" s="7"/>
      <c r="D265" s="12" t="str">
        <f aca="false">IF($C265="","",IFERROR(INDEX(품목마스터!$B$3:$B$302,MATCH($C265,품목마스터!$A$3:$A$302,0)),"미등록품번"))</f>
        <v/>
      </c>
      <c r="E265" s="12" t="str">
        <f aca="false">IF($C265="","",IFERROR(INDEX(품목마스터!$C$3:$C$302,MATCH($C265,품목마스터!$A$3:$A$302,0)),""))</f>
        <v/>
      </c>
      <c r="F265" s="12" t="str">
        <f aca="false">IF($C265="","",IFERROR(INDEX(품목마스터!$D$3:$D$302,MATCH($C265,품목마스터!$A$3:$A$302,0)),""))</f>
        <v/>
      </c>
      <c r="G265" s="9"/>
      <c r="H265" s="9"/>
      <c r="I265" s="13" t="str">
        <f aca="false">IF(OR($G265="",$H265=""),"",ROUND($G265*$H265,0))</f>
        <v/>
      </c>
      <c r="J265" s="7"/>
      <c r="K265" s="7"/>
      <c r="L265" s="14" t="str">
        <f aca="false">IF(OR($C265="",$G265=""),"",IF($B265="입고",$G265,IF($B265="출고",-$G265,$G265)))</f>
        <v/>
      </c>
      <c r="M265" s="13" t="str">
        <f aca="false">IF($C265="","",IFERROR(INDEX(품목마스터!$F$3:$F$302,MATCH($C265,품목마스터!$A$3:$A$302,0)),0)+SUMIFS($L$3:$L265,$C$3:$C265,$C265))</f>
        <v/>
      </c>
    </row>
    <row r="266" customFormat="false" ht="15" hidden="false" customHeight="true" outlineLevel="0" collapsed="false">
      <c r="A266" s="11"/>
      <c r="B266" s="7"/>
      <c r="C266" s="7"/>
      <c r="D266" s="12" t="str">
        <f aca="false">IF($C266="","",IFERROR(INDEX(품목마스터!$B$3:$B$302,MATCH($C266,품목마스터!$A$3:$A$302,0)),"미등록품번"))</f>
        <v/>
      </c>
      <c r="E266" s="12" t="str">
        <f aca="false">IF($C266="","",IFERROR(INDEX(품목마스터!$C$3:$C$302,MATCH($C266,품목마스터!$A$3:$A$302,0)),""))</f>
        <v/>
      </c>
      <c r="F266" s="12" t="str">
        <f aca="false">IF($C266="","",IFERROR(INDEX(품목마스터!$D$3:$D$302,MATCH($C266,품목마스터!$A$3:$A$302,0)),""))</f>
        <v/>
      </c>
      <c r="G266" s="9"/>
      <c r="H266" s="9"/>
      <c r="I266" s="13" t="str">
        <f aca="false">IF(OR($G266="",$H266=""),"",ROUND($G266*$H266,0))</f>
        <v/>
      </c>
      <c r="J266" s="7"/>
      <c r="K266" s="7"/>
      <c r="L266" s="14" t="str">
        <f aca="false">IF(OR($C266="",$G266=""),"",IF($B266="입고",$G266,IF($B266="출고",-$G266,$G266)))</f>
        <v/>
      </c>
      <c r="M266" s="13" t="str">
        <f aca="false">IF($C266="","",IFERROR(INDEX(품목마스터!$F$3:$F$302,MATCH($C266,품목마스터!$A$3:$A$302,0)),0)+SUMIFS($L$3:$L266,$C$3:$C266,$C266))</f>
        <v/>
      </c>
    </row>
    <row r="267" customFormat="false" ht="15" hidden="false" customHeight="true" outlineLevel="0" collapsed="false">
      <c r="A267" s="11"/>
      <c r="B267" s="7"/>
      <c r="C267" s="7"/>
      <c r="D267" s="12" t="str">
        <f aca="false">IF($C267="","",IFERROR(INDEX(품목마스터!$B$3:$B$302,MATCH($C267,품목마스터!$A$3:$A$302,0)),"미등록품번"))</f>
        <v/>
      </c>
      <c r="E267" s="12" t="str">
        <f aca="false">IF($C267="","",IFERROR(INDEX(품목마스터!$C$3:$C$302,MATCH($C267,품목마스터!$A$3:$A$302,0)),""))</f>
        <v/>
      </c>
      <c r="F267" s="12" t="str">
        <f aca="false">IF($C267="","",IFERROR(INDEX(품목마스터!$D$3:$D$302,MATCH($C267,품목마스터!$A$3:$A$302,0)),""))</f>
        <v/>
      </c>
      <c r="G267" s="9"/>
      <c r="H267" s="9"/>
      <c r="I267" s="13" t="str">
        <f aca="false">IF(OR($G267="",$H267=""),"",ROUND($G267*$H267,0))</f>
        <v/>
      </c>
      <c r="J267" s="7"/>
      <c r="K267" s="7"/>
      <c r="L267" s="14" t="str">
        <f aca="false">IF(OR($C267="",$G267=""),"",IF($B267="입고",$G267,IF($B267="출고",-$G267,$G267)))</f>
        <v/>
      </c>
      <c r="M267" s="13" t="str">
        <f aca="false">IF($C267="","",IFERROR(INDEX(품목마스터!$F$3:$F$302,MATCH($C267,품목마스터!$A$3:$A$302,0)),0)+SUMIFS($L$3:$L267,$C$3:$C267,$C267))</f>
        <v/>
      </c>
    </row>
    <row r="268" customFormat="false" ht="15" hidden="false" customHeight="true" outlineLevel="0" collapsed="false">
      <c r="A268" s="11"/>
      <c r="B268" s="7"/>
      <c r="C268" s="7"/>
      <c r="D268" s="12" t="str">
        <f aca="false">IF($C268="","",IFERROR(INDEX(품목마스터!$B$3:$B$302,MATCH($C268,품목마스터!$A$3:$A$302,0)),"미등록품번"))</f>
        <v/>
      </c>
      <c r="E268" s="12" t="str">
        <f aca="false">IF($C268="","",IFERROR(INDEX(품목마스터!$C$3:$C$302,MATCH($C268,품목마스터!$A$3:$A$302,0)),""))</f>
        <v/>
      </c>
      <c r="F268" s="12" t="str">
        <f aca="false">IF($C268="","",IFERROR(INDEX(품목마스터!$D$3:$D$302,MATCH($C268,품목마스터!$A$3:$A$302,0)),""))</f>
        <v/>
      </c>
      <c r="G268" s="9"/>
      <c r="H268" s="9"/>
      <c r="I268" s="13" t="str">
        <f aca="false">IF(OR($G268="",$H268=""),"",ROUND($G268*$H268,0))</f>
        <v/>
      </c>
      <c r="J268" s="7"/>
      <c r="K268" s="7"/>
      <c r="L268" s="14" t="str">
        <f aca="false">IF(OR($C268="",$G268=""),"",IF($B268="입고",$G268,IF($B268="출고",-$G268,$G268)))</f>
        <v/>
      </c>
      <c r="M268" s="13" t="str">
        <f aca="false">IF($C268="","",IFERROR(INDEX(품목마스터!$F$3:$F$302,MATCH($C268,품목마스터!$A$3:$A$302,0)),0)+SUMIFS($L$3:$L268,$C$3:$C268,$C268))</f>
        <v/>
      </c>
    </row>
    <row r="269" customFormat="false" ht="15" hidden="false" customHeight="true" outlineLevel="0" collapsed="false">
      <c r="A269" s="11"/>
      <c r="B269" s="7"/>
      <c r="C269" s="7"/>
      <c r="D269" s="12" t="str">
        <f aca="false">IF($C269="","",IFERROR(INDEX(품목마스터!$B$3:$B$302,MATCH($C269,품목마스터!$A$3:$A$302,0)),"미등록품번"))</f>
        <v/>
      </c>
      <c r="E269" s="12" t="str">
        <f aca="false">IF($C269="","",IFERROR(INDEX(품목마스터!$C$3:$C$302,MATCH($C269,품목마스터!$A$3:$A$302,0)),""))</f>
        <v/>
      </c>
      <c r="F269" s="12" t="str">
        <f aca="false">IF($C269="","",IFERROR(INDEX(품목마스터!$D$3:$D$302,MATCH($C269,품목마스터!$A$3:$A$302,0)),""))</f>
        <v/>
      </c>
      <c r="G269" s="9"/>
      <c r="H269" s="9"/>
      <c r="I269" s="13" t="str">
        <f aca="false">IF(OR($G269="",$H269=""),"",ROUND($G269*$H269,0))</f>
        <v/>
      </c>
      <c r="J269" s="7"/>
      <c r="K269" s="7"/>
      <c r="L269" s="14" t="str">
        <f aca="false">IF(OR($C269="",$G269=""),"",IF($B269="입고",$G269,IF($B269="출고",-$G269,$G269)))</f>
        <v/>
      </c>
      <c r="M269" s="13" t="str">
        <f aca="false">IF($C269="","",IFERROR(INDEX(품목마스터!$F$3:$F$302,MATCH($C269,품목마스터!$A$3:$A$302,0)),0)+SUMIFS($L$3:$L269,$C$3:$C269,$C269))</f>
        <v/>
      </c>
    </row>
    <row r="270" customFormat="false" ht="15" hidden="false" customHeight="true" outlineLevel="0" collapsed="false">
      <c r="A270" s="11"/>
      <c r="B270" s="7"/>
      <c r="C270" s="7"/>
      <c r="D270" s="12" t="str">
        <f aca="false">IF($C270="","",IFERROR(INDEX(품목마스터!$B$3:$B$302,MATCH($C270,품목마스터!$A$3:$A$302,0)),"미등록품번"))</f>
        <v/>
      </c>
      <c r="E270" s="12" t="str">
        <f aca="false">IF($C270="","",IFERROR(INDEX(품목마스터!$C$3:$C$302,MATCH($C270,품목마스터!$A$3:$A$302,0)),""))</f>
        <v/>
      </c>
      <c r="F270" s="12" t="str">
        <f aca="false">IF($C270="","",IFERROR(INDEX(품목마스터!$D$3:$D$302,MATCH($C270,품목마스터!$A$3:$A$302,0)),""))</f>
        <v/>
      </c>
      <c r="G270" s="9"/>
      <c r="H270" s="9"/>
      <c r="I270" s="13" t="str">
        <f aca="false">IF(OR($G270="",$H270=""),"",ROUND($G270*$H270,0))</f>
        <v/>
      </c>
      <c r="J270" s="7"/>
      <c r="K270" s="7"/>
      <c r="L270" s="14" t="str">
        <f aca="false">IF(OR($C270="",$G270=""),"",IF($B270="입고",$G270,IF($B270="출고",-$G270,$G270)))</f>
        <v/>
      </c>
      <c r="M270" s="13" t="str">
        <f aca="false">IF($C270="","",IFERROR(INDEX(품목마스터!$F$3:$F$302,MATCH($C270,품목마스터!$A$3:$A$302,0)),0)+SUMIFS($L$3:$L270,$C$3:$C270,$C270))</f>
        <v/>
      </c>
    </row>
    <row r="271" customFormat="false" ht="15" hidden="false" customHeight="true" outlineLevel="0" collapsed="false">
      <c r="A271" s="11"/>
      <c r="B271" s="7"/>
      <c r="C271" s="7"/>
      <c r="D271" s="12" t="str">
        <f aca="false">IF($C271="","",IFERROR(INDEX(품목마스터!$B$3:$B$302,MATCH($C271,품목마스터!$A$3:$A$302,0)),"미등록품번"))</f>
        <v/>
      </c>
      <c r="E271" s="12" t="str">
        <f aca="false">IF($C271="","",IFERROR(INDEX(품목마스터!$C$3:$C$302,MATCH($C271,품목마스터!$A$3:$A$302,0)),""))</f>
        <v/>
      </c>
      <c r="F271" s="12" t="str">
        <f aca="false">IF($C271="","",IFERROR(INDEX(품목마스터!$D$3:$D$302,MATCH($C271,품목마스터!$A$3:$A$302,0)),""))</f>
        <v/>
      </c>
      <c r="G271" s="9"/>
      <c r="H271" s="9"/>
      <c r="I271" s="13" t="str">
        <f aca="false">IF(OR($G271="",$H271=""),"",ROUND($G271*$H271,0))</f>
        <v/>
      </c>
      <c r="J271" s="7"/>
      <c r="K271" s="7"/>
      <c r="L271" s="14" t="str">
        <f aca="false">IF(OR($C271="",$G271=""),"",IF($B271="입고",$G271,IF($B271="출고",-$G271,$G271)))</f>
        <v/>
      </c>
      <c r="M271" s="13" t="str">
        <f aca="false">IF($C271="","",IFERROR(INDEX(품목마스터!$F$3:$F$302,MATCH($C271,품목마스터!$A$3:$A$302,0)),0)+SUMIFS($L$3:$L271,$C$3:$C271,$C271))</f>
        <v/>
      </c>
    </row>
    <row r="272" customFormat="false" ht="15" hidden="false" customHeight="true" outlineLevel="0" collapsed="false">
      <c r="A272" s="11"/>
      <c r="B272" s="7"/>
      <c r="C272" s="7"/>
      <c r="D272" s="12" t="str">
        <f aca="false">IF($C272="","",IFERROR(INDEX(품목마스터!$B$3:$B$302,MATCH($C272,품목마스터!$A$3:$A$302,0)),"미등록품번"))</f>
        <v/>
      </c>
      <c r="E272" s="12" t="str">
        <f aca="false">IF($C272="","",IFERROR(INDEX(품목마스터!$C$3:$C$302,MATCH($C272,품목마스터!$A$3:$A$302,0)),""))</f>
        <v/>
      </c>
      <c r="F272" s="12" t="str">
        <f aca="false">IF($C272="","",IFERROR(INDEX(품목마스터!$D$3:$D$302,MATCH($C272,품목마스터!$A$3:$A$302,0)),""))</f>
        <v/>
      </c>
      <c r="G272" s="9"/>
      <c r="H272" s="9"/>
      <c r="I272" s="13" t="str">
        <f aca="false">IF(OR($G272="",$H272=""),"",ROUND($G272*$H272,0))</f>
        <v/>
      </c>
      <c r="J272" s="7"/>
      <c r="K272" s="7"/>
      <c r="L272" s="14" t="str">
        <f aca="false">IF(OR($C272="",$G272=""),"",IF($B272="입고",$G272,IF($B272="출고",-$G272,$G272)))</f>
        <v/>
      </c>
      <c r="M272" s="13" t="str">
        <f aca="false">IF($C272="","",IFERROR(INDEX(품목마스터!$F$3:$F$302,MATCH($C272,품목마스터!$A$3:$A$302,0)),0)+SUMIFS($L$3:$L272,$C$3:$C272,$C272))</f>
        <v/>
      </c>
    </row>
    <row r="273" customFormat="false" ht="15" hidden="false" customHeight="true" outlineLevel="0" collapsed="false">
      <c r="A273" s="11"/>
      <c r="B273" s="7"/>
      <c r="C273" s="7"/>
      <c r="D273" s="12" t="str">
        <f aca="false">IF($C273="","",IFERROR(INDEX(품목마스터!$B$3:$B$302,MATCH($C273,품목마스터!$A$3:$A$302,0)),"미등록품번"))</f>
        <v/>
      </c>
      <c r="E273" s="12" t="str">
        <f aca="false">IF($C273="","",IFERROR(INDEX(품목마스터!$C$3:$C$302,MATCH($C273,품목마스터!$A$3:$A$302,0)),""))</f>
        <v/>
      </c>
      <c r="F273" s="12" t="str">
        <f aca="false">IF($C273="","",IFERROR(INDEX(품목마스터!$D$3:$D$302,MATCH($C273,품목마스터!$A$3:$A$302,0)),""))</f>
        <v/>
      </c>
      <c r="G273" s="9"/>
      <c r="H273" s="9"/>
      <c r="I273" s="13" t="str">
        <f aca="false">IF(OR($G273="",$H273=""),"",ROUND($G273*$H273,0))</f>
        <v/>
      </c>
      <c r="J273" s="7"/>
      <c r="K273" s="7"/>
      <c r="L273" s="14" t="str">
        <f aca="false">IF(OR($C273="",$G273=""),"",IF($B273="입고",$G273,IF($B273="출고",-$G273,$G273)))</f>
        <v/>
      </c>
      <c r="M273" s="13" t="str">
        <f aca="false">IF($C273="","",IFERROR(INDEX(품목마스터!$F$3:$F$302,MATCH($C273,품목마스터!$A$3:$A$302,0)),0)+SUMIFS($L$3:$L273,$C$3:$C273,$C273))</f>
        <v/>
      </c>
    </row>
    <row r="274" customFormat="false" ht="15" hidden="false" customHeight="true" outlineLevel="0" collapsed="false">
      <c r="A274" s="11"/>
      <c r="B274" s="7"/>
      <c r="C274" s="7"/>
      <c r="D274" s="12" t="str">
        <f aca="false">IF($C274="","",IFERROR(INDEX(품목마스터!$B$3:$B$302,MATCH($C274,품목마스터!$A$3:$A$302,0)),"미등록품번"))</f>
        <v/>
      </c>
      <c r="E274" s="12" t="str">
        <f aca="false">IF($C274="","",IFERROR(INDEX(품목마스터!$C$3:$C$302,MATCH($C274,품목마스터!$A$3:$A$302,0)),""))</f>
        <v/>
      </c>
      <c r="F274" s="12" t="str">
        <f aca="false">IF($C274="","",IFERROR(INDEX(품목마스터!$D$3:$D$302,MATCH($C274,품목마스터!$A$3:$A$302,0)),""))</f>
        <v/>
      </c>
      <c r="G274" s="9"/>
      <c r="H274" s="9"/>
      <c r="I274" s="13" t="str">
        <f aca="false">IF(OR($G274="",$H274=""),"",ROUND($G274*$H274,0))</f>
        <v/>
      </c>
      <c r="J274" s="7"/>
      <c r="K274" s="7"/>
      <c r="L274" s="14" t="str">
        <f aca="false">IF(OR($C274="",$G274=""),"",IF($B274="입고",$G274,IF($B274="출고",-$G274,$G274)))</f>
        <v/>
      </c>
      <c r="M274" s="13" t="str">
        <f aca="false">IF($C274="","",IFERROR(INDEX(품목마스터!$F$3:$F$302,MATCH($C274,품목마스터!$A$3:$A$302,0)),0)+SUMIFS($L$3:$L274,$C$3:$C274,$C274))</f>
        <v/>
      </c>
    </row>
    <row r="275" customFormat="false" ht="15" hidden="false" customHeight="true" outlineLevel="0" collapsed="false">
      <c r="A275" s="11"/>
      <c r="B275" s="7"/>
      <c r="C275" s="7"/>
      <c r="D275" s="12" t="str">
        <f aca="false">IF($C275="","",IFERROR(INDEX(품목마스터!$B$3:$B$302,MATCH($C275,품목마스터!$A$3:$A$302,0)),"미등록품번"))</f>
        <v/>
      </c>
      <c r="E275" s="12" t="str">
        <f aca="false">IF($C275="","",IFERROR(INDEX(품목마스터!$C$3:$C$302,MATCH($C275,품목마스터!$A$3:$A$302,0)),""))</f>
        <v/>
      </c>
      <c r="F275" s="12" t="str">
        <f aca="false">IF($C275="","",IFERROR(INDEX(품목마스터!$D$3:$D$302,MATCH($C275,품목마스터!$A$3:$A$302,0)),""))</f>
        <v/>
      </c>
      <c r="G275" s="9"/>
      <c r="H275" s="9"/>
      <c r="I275" s="13" t="str">
        <f aca="false">IF(OR($G275="",$H275=""),"",ROUND($G275*$H275,0))</f>
        <v/>
      </c>
      <c r="J275" s="7"/>
      <c r="K275" s="7"/>
      <c r="L275" s="14" t="str">
        <f aca="false">IF(OR($C275="",$G275=""),"",IF($B275="입고",$G275,IF($B275="출고",-$G275,$G275)))</f>
        <v/>
      </c>
      <c r="M275" s="13" t="str">
        <f aca="false">IF($C275="","",IFERROR(INDEX(품목마스터!$F$3:$F$302,MATCH($C275,품목마스터!$A$3:$A$302,0)),0)+SUMIFS($L$3:$L275,$C$3:$C275,$C275))</f>
        <v/>
      </c>
    </row>
    <row r="276" customFormat="false" ht="15" hidden="false" customHeight="true" outlineLevel="0" collapsed="false">
      <c r="A276" s="11"/>
      <c r="B276" s="7"/>
      <c r="C276" s="7"/>
      <c r="D276" s="12" t="str">
        <f aca="false">IF($C276="","",IFERROR(INDEX(품목마스터!$B$3:$B$302,MATCH($C276,품목마스터!$A$3:$A$302,0)),"미등록품번"))</f>
        <v/>
      </c>
      <c r="E276" s="12" t="str">
        <f aca="false">IF($C276="","",IFERROR(INDEX(품목마스터!$C$3:$C$302,MATCH($C276,품목마스터!$A$3:$A$302,0)),""))</f>
        <v/>
      </c>
      <c r="F276" s="12" t="str">
        <f aca="false">IF($C276="","",IFERROR(INDEX(품목마스터!$D$3:$D$302,MATCH($C276,품목마스터!$A$3:$A$302,0)),""))</f>
        <v/>
      </c>
      <c r="G276" s="9"/>
      <c r="H276" s="9"/>
      <c r="I276" s="13" t="str">
        <f aca="false">IF(OR($G276="",$H276=""),"",ROUND($G276*$H276,0))</f>
        <v/>
      </c>
      <c r="J276" s="7"/>
      <c r="K276" s="7"/>
      <c r="L276" s="14" t="str">
        <f aca="false">IF(OR($C276="",$G276=""),"",IF($B276="입고",$G276,IF($B276="출고",-$G276,$G276)))</f>
        <v/>
      </c>
      <c r="M276" s="13" t="str">
        <f aca="false">IF($C276="","",IFERROR(INDEX(품목마스터!$F$3:$F$302,MATCH($C276,품목마스터!$A$3:$A$302,0)),0)+SUMIFS($L$3:$L276,$C$3:$C276,$C276))</f>
        <v/>
      </c>
    </row>
    <row r="277" customFormat="false" ht="15" hidden="false" customHeight="true" outlineLevel="0" collapsed="false">
      <c r="A277" s="11"/>
      <c r="B277" s="7"/>
      <c r="C277" s="7"/>
      <c r="D277" s="12" t="str">
        <f aca="false">IF($C277="","",IFERROR(INDEX(품목마스터!$B$3:$B$302,MATCH($C277,품목마스터!$A$3:$A$302,0)),"미등록품번"))</f>
        <v/>
      </c>
      <c r="E277" s="12" t="str">
        <f aca="false">IF($C277="","",IFERROR(INDEX(품목마스터!$C$3:$C$302,MATCH($C277,품목마스터!$A$3:$A$302,0)),""))</f>
        <v/>
      </c>
      <c r="F277" s="12" t="str">
        <f aca="false">IF($C277="","",IFERROR(INDEX(품목마스터!$D$3:$D$302,MATCH($C277,품목마스터!$A$3:$A$302,0)),""))</f>
        <v/>
      </c>
      <c r="G277" s="9"/>
      <c r="H277" s="9"/>
      <c r="I277" s="13" t="str">
        <f aca="false">IF(OR($G277="",$H277=""),"",ROUND($G277*$H277,0))</f>
        <v/>
      </c>
      <c r="J277" s="7"/>
      <c r="K277" s="7"/>
      <c r="L277" s="14" t="str">
        <f aca="false">IF(OR($C277="",$G277=""),"",IF($B277="입고",$G277,IF($B277="출고",-$G277,$G277)))</f>
        <v/>
      </c>
      <c r="M277" s="13" t="str">
        <f aca="false">IF($C277="","",IFERROR(INDEX(품목마스터!$F$3:$F$302,MATCH($C277,품목마스터!$A$3:$A$302,0)),0)+SUMIFS($L$3:$L277,$C$3:$C277,$C277))</f>
        <v/>
      </c>
    </row>
    <row r="278" customFormat="false" ht="15" hidden="false" customHeight="true" outlineLevel="0" collapsed="false">
      <c r="A278" s="11"/>
      <c r="B278" s="7"/>
      <c r="C278" s="7"/>
      <c r="D278" s="12" t="str">
        <f aca="false">IF($C278="","",IFERROR(INDEX(품목마스터!$B$3:$B$302,MATCH($C278,품목마스터!$A$3:$A$302,0)),"미등록품번"))</f>
        <v/>
      </c>
      <c r="E278" s="12" t="str">
        <f aca="false">IF($C278="","",IFERROR(INDEX(품목마스터!$C$3:$C$302,MATCH($C278,품목마스터!$A$3:$A$302,0)),""))</f>
        <v/>
      </c>
      <c r="F278" s="12" t="str">
        <f aca="false">IF($C278="","",IFERROR(INDEX(품목마스터!$D$3:$D$302,MATCH($C278,품목마스터!$A$3:$A$302,0)),""))</f>
        <v/>
      </c>
      <c r="G278" s="9"/>
      <c r="H278" s="9"/>
      <c r="I278" s="13" t="str">
        <f aca="false">IF(OR($G278="",$H278=""),"",ROUND($G278*$H278,0))</f>
        <v/>
      </c>
      <c r="J278" s="7"/>
      <c r="K278" s="7"/>
      <c r="L278" s="14" t="str">
        <f aca="false">IF(OR($C278="",$G278=""),"",IF($B278="입고",$G278,IF($B278="출고",-$G278,$G278)))</f>
        <v/>
      </c>
      <c r="M278" s="13" t="str">
        <f aca="false">IF($C278="","",IFERROR(INDEX(품목마스터!$F$3:$F$302,MATCH($C278,품목마스터!$A$3:$A$302,0)),0)+SUMIFS($L$3:$L278,$C$3:$C278,$C278))</f>
        <v/>
      </c>
    </row>
    <row r="279" customFormat="false" ht="15" hidden="false" customHeight="true" outlineLevel="0" collapsed="false">
      <c r="A279" s="11"/>
      <c r="B279" s="7"/>
      <c r="C279" s="7"/>
      <c r="D279" s="12" t="str">
        <f aca="false">IF($C279="","",IFERROR(INDEX(품목마스터!$B$3:$B$302,MATCH($C279,품목마스터!$A$3:$A$302,0)),"미등록품번"))</f>
        <v/>
      </c>
      <c r="E279" s="12" t="str">
        <f aca="false">IF($C279="","",IFERROR(INDEX(품목마스터!$C$3:$C$302,MATCH($C279,품목마스터!$A$3:$A$302,0)),""))</f>
        <v/>
      </c>
      <c r="F279" s="12" t="str">
        <f aca="false">IF($C279="","",IFERROR(INDEX(품목마스터!$D$3:$D$302,MATCH($C279,품목마스터!$A$3:$A$302,0)),""))</f>
        <v/>
      </c>
      <c r="G279" s="9"/>
      <c r="H279" s="9"/>
      <c r="I279" s="13" t="str">
        <f aca="false">IF(OR($G279="",$H279=""),"",ROUND($G279*$H279,0))</f>
        <v/>
      </c>
      <c r="J279" s="7"/>
      <c r="K279" s="7"/>
      <c r="L279" s="14" t="str">
        <f aca="false">IF(OR($C279="",$G279=""),"",IF($B279="입고",$G279,IF($B279="출고",-$G279,$G279)))</f>
        <v/>
      </c>
      <c r="M279" s="13" t="str">
        <f aca="false">IF($C279="","",IFERROR(INDEX(품목마스터!$F$3:$F$302,MATCH($C279,품목마스터!$A$3:$A$302,0)),0)+SUMIFS($L$3:$L279,$C$3:$C279,$C279))</f>
        <v/>
      </c>
    </row>
    <row r="280" customFormat="false" ht="15" hidden="false" customHeight="true" outlineLevel="0" collapsed="false">
      <c r="A280" s="11"/>
      <c r="B280" s="7"/>
      <c r="C280" s="7"/>
      <c r="D280" s="12" t="str">
        <f aca="false">IF($C280="","",IFERROR(INDEX(품목마스터!$B$3:$B$302,MATCH($C280,품목마스터!$A$3:$A$302,0)),"미등록품번"))</f>
        <v/>
      </c>
      <c r="E280" s="12" t="str">
        <f aca="false">IF($C280="","",IFERROR(INDEX(품목마스터!$C$3:$C$302,MATCH($C280,품목마스터!$A$3:$A$302,0)),""))</f>
        <v/>
      </c>
      <c r="F280" s="12" t="str">
        <f aca="false">IF($C280="","",IFERROR(INDEX(품목마스터!$D$3:$D$302,MATCH($C280,품목마스터!$A$3:$A$302,0)),""))</f>
        <v/>
      </c>
      <c r="G280" s="9"/>
      <c r="H280" s="9"/>
      <c r="I280" s="13" t="str">
        <f aca="false">IF(OR($G280="",$H280=""),"",ROUND($G280*$H280,0))</f>
        <v/>
      </c>
      <c r="J280" s="7"/>
      <c r="K280" s="7"/>
      <c r="L280" s="14" t="str">
        <f aca="false">IF(OR($C280="",$G280=""),"",IF($B280="입고",$G280,IF($B280="출고",-$G280,$G280)))</f>
        <v/>
      </c>
      <c r="M280" s="13" t="str">
        <f aca="false">IF($C280="","",IFERROR(INDEX(품목마스터!$F$3:$F$302,MATCH($C280,품목마스터!$A$3:$A$302,0)),0)+SUMIFS($L$3:$L280,$C$3:$C280,$C280))</f>
        <v/>
      </c>
    </row>
    <row r="281" customFormat="false" ht="15" hidden="false" customHeight="true" outlineLevel="0" collapsed="false">
      <c r="A281" s="11"/>
      <c r="B281" s="7"/>
      <c r="C281" s="7"/>
      <c r="D281" s="12" t="str">
        <f aca="false">IF($C281="","",IFERROR(INDEX(품목마스터!$B$3:$B$302,MATCH($C281,품목마스터!$A$3:$A$302,0)),"미등록품번"))</f>
        <v/>
      </c>
      <c r="E281" s="12" t="str">
        <f aca="false">IF($C281="","",IFERROR(INDEX(품목마스터!$C$3:$C$302,MATCH($C281,품목마스터!$A$3:$A$302,0)),""))</f>
        <v/>
      </c>
      <c r="F281" s="12" t="str">
        <f aca="false">IF($C281="","",IFERROR(INDEX(품목마스터!$D$3:$D$302,MATCH($C281,품목마스터!$A$3:$A$302,0)),""))</f>
        <v/>
      </c>
      <c r="G281" s="9"/>
      <c r="H281" s="9"/>
      <c r="I281" s="13" t="str">
        <f aca="false">IF(OR($G281="",$H281=""),"",ROUND($G281*$H281,0))</f>
        <v/>
      </c>
      <c r="J281" s="7"/>
      <c r="K281" s="7"/>
      <c r="L281" s="14" t="str">
        <f aca="false">IF(OR($C281="",$G281=""),"",IF($B281="입고",$G281,IF($B281="출고",-$G281,$G281)))</f>
        <v/>
      </c>
      <c r="M281" s="13" t="str">
        <f aca="false">IF($C281="","",IFERROR(INDEX(품목마스터!$F$3:$F$302,MATCH($C281,품목마스터!$A$3:$A$302,0)),0)+SUMIFS($L$3:$L281,$C$3:$C281,$C281))</f>
        <v/>
      </c>
    </row>
    <row r="282" customFormat="false" ht="15" hidden="false" customHeight="true" outlineLevel="0" collapsed="false">
      <c r="A282" s="11"/>
      <c r="B282" s="7"/>
      <c r="C282" s="7"/>
      <c r="D282" s="12" t="str">
        <f aca="false">IF($C282="","",IFERROR(INDEX(품목마스터!$B$3:$B$302,MATCH($C282,품목마스터!$A$3:$A$302,0)),"미등록품번"))</f>
        <v/>
      </c>
      <c r="E282" s="12" t="str">
        <f aca="false">IF($C282="","",IFERROR(INDEX(품목마스터!$C$3:$C$302,MATCH($C282,품목마스터!$A$3:$A$302,0)),""))</f>
        <v/>
      </c>
      <c r="F282" s="12" t="str">
        <f aca="false">IF($C282="","",IFERROR(INDEX(품목마스터!$D$3:$D$302,MATCH($C282,품목마스터!$A$3:$A$302,0)),""))</f>
        <v/>
      </c>
      <c r="G282" s="9"/>
      <c r="H282" s="9"/>
      <c r="I282" s="13" t="str">
        <f aca="false">IF(OR($G282="",$H282=""),"",ROUND($G282*$H282,0))</f>
        <v/>
      </c>
      <c r="J282" s="7"/>
      <c r="K282" s="7"/>
      <c r="L282" s="14" t="str">
        <f aca="false">IF(OR($C282="",$G282=""),"",IF($B282="입고",$G282,IF($B282="출고",-$G282,$G282)))</f>
        <v/>
      </c>
      <c r="M282" s="13" t="str">
        <f aca="false">IF($C282="","",IFERROR(INDEX(품목마스터!$F$3:$F$302,MATCH($C282,품목마스터!$A$3:$A$302,0)),0)+SUMIFS($L$3:$L282,$C$3:$C282,$C282))</f>
        <v/>
      </c>
    </row>
    <row r="283" customFormat="false" ht="15" hidden="false" customHeight="true" outlineLevel="0" collapsed="false">
      <c r="A283" s="11"/>
      <c r="B283" s="7"/>
      <c r="C283" s="7"/>
      <c r="D283" s="12" t="str">
        <f aca="false">IF($C283="","",IFERROR(INDEX(품목마스터!$B$3:$B$302,MATCH($C283,품목마스터!$A$3:$A$302,0)),"미등록품번"))</f>
        <v/>
      </c>
      <c r="E283" s="12" t="str">
        <f aca="false">IF($C283="","",IFERROR(INDEX(품목마스터!$C$3:$C$302,MATCH($C283,품목마스터!$A$3:$A$302,0)),""))</f>
        <v/>
      </c>
      <c r="F283" s="12" t="str">
        <f aca="false">IF($C283="","",IFERROR(INDEX(품목마스터!$D$3:$D$302,MATCH($C283,품목마스터!$A$3:$A$302,0)),""))</f>
        <v/>
      </c>
      <c r="G283" s="9"/>
      <c r="H283" s="9"/>
      <c r="I283" s="13" t="str">
        <f aca="false">IF(OR($G283="",$H283=""),"",ROUND($G283*$H283,0))</f>
        <v/>
      </c>
      <c r="J283" s="7"/>
      <c r="K283" s="7"/>
      <c r="L283" s="14" t="str">
        <f aca="false">IF(OR($C283="",$G283=""),"",IF($B283="입고",$G283,IF($B283="출고",-$G283,$G283)))</f>
        <v/>
      </c>
      <c r="M283" s="13" t="str">
        <f aca="false">IF($C283="","",IFERROR(INDEX(품목마스터!$F$3:$F$302,MATCH($C283,품목마스터!$A$3:$A$302,0)),0)+SUMIFS($L$3:$L283,$C$3:$C283,$C283))</f>
        <v/>
      </c>
    </row>
    <row r="284" customFormat="false" ht="15" hidden="false" customHeight="true" outlineLevel="0" collapsed="false">
      <c r="A284" s="11"/>
      <c r="B284" s="7"/>
      <c r="C284" s="7"/>
      <c r="D284" s="12" t="str">
        <f aca="false">IF($C284="","",IFERROR(INDEX(품목마스터!$B$3:$B$302,MATCH($C284,품목마스터!$A$3:$A$302,0)),"미등록품번"))</f>
        <v/>
      </c>
      <c r="E284" s="12" t="str">
        <f aca="false">IF($C284="","",IFERROR(INDEX(품목마스터!$C$3:$C$302,MATCH($C284,품목마스터!$A$3:$A$302,0)),""))</f>
        <v/>
      </c>
      <c r="F284" s="12" t="str">
        <f aca="false">IF($C284="","",IFERROR(INDEX(품목마스터!$D$3:$D$302,MATCH($C284,품목마스터!$A$3:$A$302,0)),""))</f>
        <v/>
      </c>
      <c r="G284" s="9"/>
      <c r="H284" s="9"/>
      <c r="I284" s="13" t="str">
        <f aca="false">IF(OR($G284="",$H284=""),"",ROUND($G284*$H284,0))</f>
        <v/>
      </c>
      <c r="J284" s="7"/>
      <c r="K284" s="7"/>
      <c r="L284" s="14" t="str">
        <f aca="false">IF(OR($C284="",$G284=""),"",IF($B284="입고",$G284,IF($B284="출고",-$G284,$G284)))</f>
        <v/>
      </c>
      <c r="M284" s="13" t="str">
        <f aca="false">IF($C284="","",IFERROR(INDEX(품목마스터!$F$3:$F$302,MATCH($C284,품목마스터!$A$3:$A$302,0)),0)+SUMIFS($L$3:$L284,$C$3:$C284,$C284))</f>
        <v/>
      </c>
    </row>
    <row r="285" customFormat="false" ht="15" hidden="false" customHeight="true" outlineLevel="0" collapsed="false">
      <c r="A285" s="11"/>
      <c r="B285" s="7"/>
      <c r="C285" s="7"/>
      <c r="D285" s="12" t="str">
        <f aca="false">IF($C285="","",IFERROR(INDEX(품목마스터!$B$3:$B$302,MATCH($C285,품목마스터!$A$3:$A$302,0)),"미등록품번"))</f>
        <v/>
      </c>
      <c r="E285" s="12" t="str">
        <f aca="false">IF($C285="","",IFERROR(INDEX(품목마스터!$C$3:$C$302,MATCH($C285,품목마스터!$A$3:$A$302,0)),""))</f>
        <v/>
      </c>
      <c r="F285" s="12" t="str">
        <f aca="false">IF($C285="","",IFERROR(INDEX(품목마스터!$D$3:$D$302,MATCH($C285,품목마스터!$A$3:$A$302,0)),""))</f>
        <v/>
      </c>
      <c r="G285" s="9"/>
      <c r="H285" s="9"/>
      <c r="I285" s="13" t="str">
        <f aca="false">IF(OR($G285="",$H285=""),"",ROUND($G285*$H285,0))</f>
        <v/>
      </c>
      <c r="J285" s="7"/>
      <c r="K285" s="7"/>
      <c r="L285" s="14" t="str">
        <f aca="false">IF(OR($C285="",$G285=""),"",IF($B285="입고",$G285,IF($B285="출고",-$G285,$G285)))</f>
        <v/>
      </c>
      <c r="M285" s="13" t="str">
        <f aca="false">IF($C285="","",IFERROR(INDEX(품목마스터!$F$3:$F$302,MATCH($C285,품목마스터!$A$3:$A$302,0)),0)+SUMIFS($L$3:$L285,$C$3:$C285,$C285))</f>
        <v/>
      </c>
    </row>
    <row r="286" customFormat="false" ht="15" hidden="false" customHeight="true" outlineLevel="0" collapsed="false">
      <c r="A286" s="11"/>
      <c r="B286" s="7"/>
      <c r="C286" s="7"/>
      <c r="D286" s="12" t="str">
        <f aca="false">IF($C286="","",IFERROR(INDEX(품목마스터!$B$3:$B$302,MATCH($C286,품목마스터!$A$3:$A$302,0)),"미등록품번"))</f>
        <v/>
      </c>
      <c r="E286" s="12" t="str">
        <f aca="false">IF($C286="","",IFERROR(INDEX(품목마스터!$C$3:$C$302,MATCH($C286,품목마스터!$A$3:$A$302,0)),""))</f>
        <v/>
      </c>
      <c r="F286" s="12" t="str">
        <f aca="false">IF($C286="","",IFERROR(INDEX(품목마스터!$D$3:$D$302,MATCH($C286,품목마스터!$A$3:$A$302,0)),""))</f>
        <v/>
      </c>
      <c r="G286" s="9"/>
      <c r="H286" s="9"/>
      <c r="I286" s="13" t="str">
        <f aca="false">IF(OR($G286="",$H286=""),"",ROUND($G286*$H286,0))</f>
        <v/>
      </c>
      <c r="J286" s="7"/>
      <c r="K286" s="7"/>
      <c r="L286" s="14" t="str">
        <f aca="false">IF(OR($C286="",$G286=""),"",IF($B286="입고",$G286,IF($B286="출고",-$G286,$G286)))</f>
        <v/>
      </c>
      <c r="M286" s="13" t="str">
        <f aca="false">IF($C286="","",IFERROR(INDEX(품목마스터!$F$3:$F$302,MATCH($C286,품목마스터!$A$3:$A$302,0)),0)+SUMIFS($L$3:$L286,$C$3:$C286,$C286))</f>
        <v/>
      </c>
    </row>
    <row r="287" customFormat="false" ht="15" hidden="false" customHeight="true" outlineLevel="0" collapsed="false">
      <c r="A287" s="11"/>
      <c r="B287" s="7"/>
      <c r="C287" s="7"/>
      <c r="D287" s="12" t="str">
        <f aca="false">IF($C287="","",IFERROR(INDEX(품목마스터!$B$3:$B$302,MATCH($C287,품목마스터!$A$3:$A$302,0)),"미등록품번"))</f>
        <v/>
      </c>
      <c r="E287" s="12" t="str">
        <f aca="false">IF($C287="","",IFERROR(INDEX(품목마스터!$C$3:$C$302,MATCH($C287,품목마스터!$A$3:$A$302,0)),""))</f>
        <v/>
      </c>
      <c r="F287" s="12" t="str">
        <f aca="false">IF($C287="","",IFERROR(INDEX(품목마스터!$D$3:$D$302,MATCH($C287,품목마스터!$A$3:$A$302,0)),""))</f>
        <v/>
      </c>
      <c r="G287" s="9"/>
      <c r="H287" s="9"/>
      <c r="I287" s="13" t="str">
        <f aca="false">IF(OR($G287="",$H287=""),"",ROUND($G287*$H287,0))</f>
        <v/>
      </c>
      <c r="J287" s="7"/>
      <c r="K287" s="7"/>
      <c r="L287" s="14" t="str">
        <f aca="false">IF(OR($C287="",$G287=""),"",IF($B287="입고",$G287,IF($B287="출고",-$G287,$G287)))</f>
        <v/>
      </c>
      <c r="M287" s="13" t="str">
        <f aca="false">IF($C287="","",IFERROR(INDEX(품목마스터!$F$3:$F$302,MATCH($C287,품목마스터!$A$3:$A$302,0)),0)+SUMIFS($L$3:$L287,$C$3:$C287,$C287))</f>
        <v/>
      </c>
    </row>
    <row r="288" customFormat="false" ht="15" hidden="false" customHeight="true" outlineLevel="0" collapsed="false">
      <c r="A288" s="11"/>
      <c r="B288" s="7"/>
      <c r="C288" s="7"/>
      <c r="D288" s="12" t="str">
        <f aca="false">IF($C288="","",IFERROR(INDEX(품목마스터!$B$3:$B$302,MATCH($C288,품목마스터!$A$3:$A$302,0)),"미등록품번"))</f>
        <v/>
      </c>
      <c r="E288" s="12" t="str">
        <f aca="false">IF($C288="","",IFERROR(INDEX(품목마스터!$C$3:$C$302,MATCH($C288,품목마스터!$A$3:$A$302,0)),""))</f>
        <v/>
      </c>
      <c r="F288" s="12" t="str">
        <f aca="false">IF($C288="","",IFERROR(INDEX(품목마스터!$D$3:$D$302,MATCH($C288,품목마스터!$A$3:$A$302,0)),""))</f>
        <v/>
      </c>
      <c r="G288" s="9"/>
      <c r="H288" s="9"/>
      <c r="I288" s="13" t="str">
        <f aca="false">IF(OR($G288="",$H288=""),"",ROUND($G288*$H288,0))</f>
        <v/>
      </c>
      <c r="J288" s="7"/>
      <c r="K288" s="7"/>
      <c r="L288" s="14" t="str">
        <f aca="false">IF(OR($C288="",$G288=""),"",IF($B288="입고",$G288,IF($B288="출고",-$G288,$G288)))</f>
        <v/>
      </c>
      <c r="M288" s="13" t="str">
        <f aca="false">IF($C288="","",IFERROR(INDEX(품목마스터!$F$3:$F$302,MATCH($C288,품목마스터!$A$3:$A$302,0)),0)+SUMIFS($L$3:$L288,$C$3:$C288,$C288))</f>
        <v/>
      </c>
    </row>
    <row r="289" customFormat="false" ht="15" hidden="false" customHeight="true" outlineLevel="0" collapsed="false">
      <c r="A289" s="11"/>
      <c r="B289" s="7"/>
      <c r="C289" s="7"/>
      <c r="D289" s="12" t="str">
        <f aca="false">IF($C289="","",IFERROR(INDEX(품목마스터!$B$3:$B$302,MATCH($C289,품목마스터!$A$3:$A$302,0)),"미등록품번"))</f>
        <v/>
      </c>
      <c r="E289" s="12" t="str">
        <f aca="false">IF($C289="","",IFERROR(INDEX(품목마스터!$C$3:$C$302,MATCH($C289,품목마스터!$A$3:$A$302,0)),""))</f>
        <v/>
      </c>
      <c r="F289" s="12" t="str">
        <f aca="false">IF($C289="","",IFERROR(INDEX(품목마스터!$D$3:$D$302,MATCH($C289,품목마스터!$A$3:$A$302,0)),""))</f>
        <v/>
      </c>
      <c r="G289" s="9"/>
      <c r="H289" s="9"/>
      <c r="I289" s="13" t="str">
        <f aca="false">IF(OR($G289="",$H289=""),"",ROUND($G289*$H289,0))</f>
        <v/>
      </c>
      <c r="J289" s="7"/>
      <c r="K289" s="7"/>
      <c r="L289" s="14" t="str">
        <f aca="false">IF(OR($C289="",$G289=""),"",IF($B289="입고",$G289,IF($B289="출고",-$G289,$G289)))</f>
        <v/>
      </c>
      <c r="M289" s="13" t="str">
        <f aca="false">IF($C289="","",IFERROR(INDEX(품목마스터!$F$3:$F$302,MATCH($C289,품목마스터!$A$3:$A$302,0)),0)+SUMIFS($L$3:$L289,$C$3:$C289,$C289))</f>
        <v/>
      </c>
    </row>
    <row r="290" customFormat="false" ht="15" hidden="false" customHeight="true" outlineLevel="0" collapsed="false">
      <c r="A290" s="11"/>
      <c r="B290" s="7"/>
      <c r="C290" s="7"/>
      <c r="D290" s="12" t="str">
        <f aca="false">IF($C290="","",IFERROR(INDEX(품목마스터!$B$3:$B$302,MATCH($C290,품목마스터!$A$3:$A$302,0)),"미등록품번"))</f>
        <v/>
      </c>
      <c r="E290" s="12" t="str">
        <f aca="false">IF($C290="","",IFERROR(INDEX(품목마스터!$C$3:$C$302,MATCH($C290,품목마스터!$A$3:$A$302,0)),""))</f>
        <v/>
      </c>
      <c r="F290" s="12" t="str">
        <f aca="false">IF($C290="","",IFERROR(INDEX(품목마스터!$D$3:$D$302,MATCH($C290,품목마스터!$A$3:$A$302,0)),""))</f>
        <v/>
      </c>
      <c r="G290" s="9"/>
      <c r="H290" s="9"/>
      <c r="I290" s="13" t="str">
        <f aca="false">IF(OR($G290="",$H290=""),"",ROUND($G290*$H290,0))</f>
        <v/>
      </c>
      <c r="J290" s="7"/>
      <c r="K290" s="7"/>
      <c r="L290" s="14" t="str">
        <f aca="false">IF(OR($C290="",$G290=""),"",IF($B290="입고",$G290,IF($B290="출고",-$G290,$G290)))</f>
        <v/>
      </c>
      <c r="M290" s="13" t="str">
        <f aca="false">IF($C290="","",IFERROR(INDEX(품목마스터!$F$3:$F$302,MATCH($C290,품목마스터!$A$3:$A$302,0)),0)+SUMIFS($L$3:$L290,$C$3:$C290,$C290))</f>
        <v/>
      </c>
    </row>
    <row r="291" customFormat="false" ht="15" hidden="false" customHeight="true" outlineLevel="0" collapsed="false">
      <c r="A291" s="11"/>
      <c r="B291" s="7"/>
      <c r="C291" s="7"/>
      <c r="D291" s="12" t="str">
        <f aca="false">IF($C291="","",IFERROR(INDEX(품목마스터!$B$3:$B$302,MATCH($C291,품목마스터!$A$3:$A$302,0)),"미등록품번"))</f>
        <v/>
      </c>
      <c r="E291" s="12" t="str">
        <f aca="false">IF($C291="","",IFERROR(INDEX(품목마스터!$C$3:$C$302,MATCH($C291,품목마스터!$A$3:$A$302,0)),""))</f>
        <v/>
      </c>
      <c r="F291" s="12" t="str">
        <f aca="false">IF($C291="","",IFERROR(INDEX(품목마스터!$D$3:$D$302,MATCH($C291,품목마스터!$A$3:$A$302,0)),""))</f>
        <v/>
      </c>
      <c r="G291" s="9"/>
      <c r="H291" s="9"/>
      <c r="I291" s="13" t="str">
        <f aca="false">IF(OR($G291="",$H291=""),"",ROUND($G291*$H291,0))</f>
        <v/>
      </c>
      <c r="J291" s="7"/>
      <c r="K291" s="7"/>
      <c r="L291" s="14" t="str">
        <f aca="false">IF(OR($C291="",$G291=""),"",IF($B291="입고",$G291,IF($B291="출고",-$G291,$G291)))</f>
        <v/>
      </c>
      <c r="M291" s="13" t="str">
        <f aca="false">IF($C291="","",IFERROR(INDEX(품목마스터!$F$3:$F$302,MATCH($C291,품목마스터!$A$3:$A$302,0)),0)+SUMIFS($L$3:$L291,$C$3:$C291,$C291))</f>
        <v/>
      </c>
    </row>
    <row r="292" customFormat="false" ht="15" hidden="false" customHeight="true" outlineLevel="0" collapsed="false">
      <c r="A292" s="11"/>
      <c r="B292" s="7"/>
      <c r="C292" s="7"/>
      <c r="D292" s="12" t="str">
        <f aca="false">IF($C292="","",IFERROR(INDEX(품목마스터!$B$3:$B$302,MATCH($C292,품목마스터!$A$3:$A$302,0)),"미등록품번"))</f>
        <v/>
      </c>
      <c r="E292" s="12" t="str">
        <f aca="false">IF($C292="","",IFERROR(INDEX(품목마스터!$C$3:$C$302,MATCH($C292,품목마스터!$A$3:$A$302,0)),""))</f>
        <v/>
      </c>
      <c r="F292" s="12" t="str">
        <f aca="false">IF($C292="","",IFERROR(INDEX(품목마스터!$D$3:$D$302,MATCH($C292,품목마스터!$A$3:$A$302,0)),""))</f>
        <v/>
      </c>
      <c r="G292" s="9"/>
      <c r="H292" s="9"/>
      <c r="I292" s="13" t="str">
        <f aca="false">IF(OR($G292="",$H292=""),"",ROUND($G292*$H292,0))</f>
        <v/>
      </c>
      <c r="J292" s="7"/>
      <c r="K292" s="7"/>
      <c r="L292" s="14" t="str">
        <f aca="false">IF(OR($C292="",$G292=""),"",IF($B292="입고",$G292,IF($B292="출고",-$G292,$G292)))</f>
        <v/>
      </c>
      <c r="M292" s="13" t="str">
        <f aca="false">IF($C292="","",IFERROR(INDEX(품목마스터!$F$3:$F$302,MATCH($C292,품목마스터!$A$3:$A$302,0)),0)+SUMIFS($L$3:$L292,$C$3:$C292,$C292))</f>
        <v/>
      </c>
    </row>
    <row r="293" customFormat="false" ht="15" hidden="false" customHeight="true" outlineLevel="0" collapsed="false">
      <c r="A293" s="11"/>
      <c r="B293" s="7"/>
      <c r="C293" s="7"/>
      <c r="D293" s="12" t="str">
        <f aca="false">IF($C293="","",IFERROR(INDEX(품목마스터!$B$3:$B$302,MATCH($C293,품목마스터!$A$3:$A$302,0)),"미등록품번"))</f>
        <v/>
      </c>
      <c r="E293" s="12" t="str">
        <f aca="false">IF($C293="","",IFERROR(INDEX(품목마스터!$C$3:$C$302,MATCH($C293,품목마스터!$A$3:$A$302,0)),""))</f>
        <v/>
      </c>
      <c r="F293" s="12" t="str">
        <f aca="false">IF($C293="","",IFERROR(INDEX(품목마스터!$D$3:$D$302,MATCH($C293,품목마스터!$A$3:$A$302,0)),""))</f>
        <v/>
      </c>
      <c r="G293" s="9"/>
      <c r="H293" s="9"/>
      <c r="I293" s="13" t="str">
        <f aca="false">IF(OR($G293="",$H293=""),"",ROUND($G293*$H293,0))</f>
        <v/>
      </c>
      <c r="J293" s="7"/>
      <c r="K293" s="7"/>
      <c r="L293" s="14" t="str">
        <f aca="false">IF(OR($C293="",$G293=""),"",IF($B293="입고",$G293,IF($B293="출고",-$G293,$G293)))</f>
        <v/>
      </c>
      <c r="M293" s="13" t="str">
        <f aca="false">IF($C293="","",IFERROR(INDEX(품목마스터!$F$3:$F$302,MATCH($C293,품목마스터!$A$3:$A$302,0)),0)+SUMIFS($L$3:$L293,$C$3:$C293,$C293))</f>
        <v/>
      </c>
    </row>
    <row r="294" customFormat="false" ht="15" hidden="false" customHeight="true" outlineLevel="0" collapsed="false">
      <c r="A294" s="11"/>
      <c r="B294" s="7"/>
      <c r="C294" s="7"/>
      <c r="D294" s="12" t="str">
        <f aca="false">IF($C294="","",IFERROR(INDEX(품목마스터!$B$3:$B$302,MATCH($C294,품목마스터!$A$3:$A$302,0)),"미등록품번"))</f>
        <v/>
      </c>
      <c r="E294" s="12" t="str">
        <f aca="false">IF($C294="","",IFERROR(INDEX(품목마스터!$C$3:$C$302,MATCH($C294,품목마스터!$A$3:$A$302,0)),""))</f>
        <v/>
      </c>
      <c r="F294" s="12" t="str">
        <f aca="false">IF($C294="","",IFERROR(INDEX(품목마스터!$D$3:$D$302,MATCH($C294,품목마스터!$A$3:$A$302,0)),""))</f>
        <v/>
      </c>
      <c r="G294" s="9"/>
      <c r="H294" s="9"/>
      <c r="I294" s="13" t="str">
        <f aca="false">IF(OR($G294="",$H294=""),"",ROUND($G294*$H294,0))</f>
        <v/>
      </c>
      <c r="J294" s="7"/>
      <c r="K294" s="7"/>
      <c r="L294" s="14" t="str">
        <f aca="false">IF(OR($C294="",$G294=""),"",IF($B294="입고",$G294,IF($B294="출고",-$G294,$G294)))</f>
        <v/>
      </c>
      <c r="M294" s="13" t="str">
        <f aca="false">IF($C294="","",IFERROR(INDEX(품목마스터!$F$3:$F$302,MATCH($C294,품목마스터!$A$3:$A$302,0)),0)+SUMIFS($L$3:$L294,$C$3:$C294,$C294))</f>
        <v/>
      </c>
    </row>
    <row r="295" customFormat="false" ht="15" hidden="false" customHeight="true" outlineLevel="0" collapsed="false">
      <c r="A295" s="11"/>
      <c r="B295" s="7"/>
      <c r="C295" s="7"/>
      <c r="D295" s="12" t="str">
        <f aca="false">IF($C295="","",IFERROR(INDEX(품목마스터!$B$3:$B$302,MATCH($C295,품목마스터!$A$3:$A$302,0)),"미등록품번"))</f>
        <v/>
      </c>
      <c r="E295" s="12" t="str">
        <f aca="false">IF($C295="","",IFERROR(INDEX(품목마스터!$C$3:$C$302,MATCH($C295,품목마스터!$A$3:$A$302,0)),""))</f>
        <v/>
      </c>
      <c r="F295" s="12" t="str">
        <f aca="false">IF($C295="","",IFERROR(INDEX(품목마스터!$D$3:$D$302,MATCH($C295,품목마스터!$A$3:$A$302,0)),""))</f>
        <v/>
      </c>
      <c r="G295" s="9"/>
      <c r="H295" s="9"/>
      <c r="I295" s="13" t="str">
        <f aca="false">IF(OR($G295="",$H295=""),"",ROUND($G295*$H295,0))</f>
        <v/>
      </c>
      <c r="J295" s="7"/>
      <c r="K295" s="7"/>
      <c r="L295" s="14" t="str">
        <f aca="false">IF(OR($C295="",$G295=""),"",IF($B295="입고",$G295,IF($B295="출고",-$G295,$G295)))</f>
        <v/>
      </c>
      <c r="M295" s="13" t="str">
        <f aca="false">IF($C295="","",IFERROR(INDEX(품목마스터!$F$3:$F$302,MATCH($C295,품목마스터!$A$3:$A$302,0)),0)+SUMIFS($L$3:$L295,$C$3:$C295,$C295))</f>
        <v/>
      </c>
    </row>
    <row r="296" customFormat="false" ht="15" hidden="false" customHeight="true" outlineLevel="0" collapsed="false">
      <c r="A296" s="11"/>
      <c r="B296" s="7"/>
      <c r="C296" s="7"/>
      <c r="D296" s="12" t="str">
        <f aca="false">IF($C296="","",IFERROR(INDEX(품목마스터!$B$3:$B$302,MATCH($C296,품목마스터!$A$3:$A$302,0)),"미등록품번"))</f>
        <v/>
      </c>
      <c r="E296" s="12" t="str">
        <f aca="false">IF($C296="","",IFERROR(INDEX(품목마스터!$C$3:$C$302,MATCH($C296,품목마스터!$A$3:$A$302,0)),""))</f>
        <v/>
      </c>
      <c r="F296" s="12" t="str">
        <f aca="false">IF($C296="","",IFERROR(INDEX(품목마스터!$D$3:$D$302,MATCH($C296,품목마스터!$A$3:$A$302,0)),""))</f>
        <v/>
      </c>
      <c r="G296" s="9"/>
      <c r="H296" s="9"/>
      <c r="I296" s="13" t="str">
        <f aca="false">IF(OR($G296="",$H296=""),"",ROUND($G296*$H296,0))</f>
        <v/>
      </c>
      <c r="J296" s="7"/>
      <c r="K296" s="7"/>
      <c r="L296" s="14" t="str">
        <f aca="false">IF(OR($C296="",$G296=""),"",IF($B296="입고",$G296,IF($B296="출고",-$G296,$G296)))</f>
        <v/>
      </c>
      <c r="M296" s="13" t="str">
        <f aca="false">IF($C296="","",IFERROR(INDEX(품목마스터!$F$3:$F$302,MATCH($C296,품목마스터!$A$3:$A$302,0)),0)+SUMIFS($L$3:$L296,$C$3:$C296,$C296))</f>
        <v/>
      </c>
    </row>
    <row r="297" customFormat="false" ht="15" hidden="false" customHeight="true" outlineLevel="0" collapsed="false">
      <c r="A297" s="11"/>
      <c r="B297" s="7"/>
      <c r="C297" s="7"/>
      <c r="D297" s="12" t="str">
        <f aca="false">IF($C297="","",IFERROR(INDEX(품목마스터!$B$3:$B$302,MATCH($C297,품목마스터!$A$3:$A$302,0)),"미등록품번"))</f>
        <v/>
      </c>
      <c r="E297" s="12" t="str">
        <f aca="false">IF($C297="","",IFERROR(INDEX(품목마스터!$C$3:$C$302,MATCH($C297,품목마스터!$A$3:$A$302,0)),""))</f>
        <v/>
      </c>
      <c r="F297" s="12" t="str">
        <f aca="false">IF($C297="","",IFERROR(INDEX(품목마스터!$D$3:$D$302,MATCH($C297,품목마스터!$A$3:$A$302,0)),""))</f>
        <v/>
      </c>
      <c r="G297" s="9"/>
      <c r="H297" s="9"/>
      <c r="I297" s="13" t="str">
        <f aca="false">IF(OR($G297="",$H297=""),"",ROUND($G297*$H297,0))</f>
        <v/>
      </c>
      <c r="J297" s="7"/>
      <c r="K297" s="7"/>
      <c r="L297" s="14" t="str">
        <f aca="false">IF(OR($C297="",$G297=""),"",IF($B297="입고",$G297,IF($B297="출고",-$G297,$G297)))</f>
        <v/>
      </c>
      <c r="M297" s="13" t="str">
        <f aca="false">IF($C297="","",IFERROR(INDEX(품목마스터!$F$3:$F$302,MATCH($C297,품목마스터!$A$3:$A$302,0)),0)+SUMIFS($L$3:$L297,$C$3:$C297,$C297))</f>
        <v/>
      </c>
    </row>
    <row r="298" customFormat="false" ht="15" hidden="false" customHeight="true" outlineLevel="0" collapsed="false">
      <c r="A298" s="11"/>
      <c r="B298" s="7"/>
      <c r="C298" s="7"/>
      <c r="D298" s="12" t="str">
        <f aca="false">IF($C298="","",IFERROR(INDEX(품목마스터!$B$3:$B$302,MATCH($C298,품목마스터!$A$3:$A$302,0)),"미등록품번"))</f>
        <v/>
      </c>
      <c r="E298" s="12" t="str">
        <f aca="false">IF($C298="","",IFERROR(INDEX(품목마스터!$C$3:$C$302,MATCH($C298,품목마스터!$A$3:$A$302,0)),""))</f>
        <v/>
      </c>
      <c r="F298" s="12" t="str">
        <f aca="false">IF($C298="","",IFERROR(INDEX(품목마스터!$D$3:$D$302,MATCH($C298,품목마스터!$A$3:$A$302,0)),""))</f>
        <v/>
      </c>
      <c r="G298" s="9"/>
      <c r="H298" s="9"/>
      <c r="I298" s="13" t="str">
        <f aca="false">IF(OR($G298="",$H298=""),"",ROUND($G298*$H298,0))</f>
        <v/>
      </c>
      <c r="J298" s="7"/>
      <c r="K298" s="7"/>
      <c r="L298" s="14" t="str">
        <f aca="false">IF(OR($C298="",$G298=""),"",IF($B298="입고",$G298,IF($B298="출고",-$G298,$G298)))</f>
        <v/>
      </c>
      <c r="M298" s="13" t="str">
        <f aca="false">IF($C298="","",IFERROR(INDEX(품목마스터!$F$3:$F$302,MATCH($C298,품목마스터!$A$3:$A$302,0)),0)+SUMIFS($L$3:$L298,$C$3:$C298,$C298))</f>
        <v/>
      </c>
    </row>
    <row r="299" customFormat="false" ht="15" hidden="false" customHeight="true" outlineLevel="0" collapsed="false">
      <c r="A299" s="11"/>
      <c r="B299" s="7"/>
      <c r="C299" s="7"/>
      <c r="D299" s="12" t="str">
        <f aca="false">IF($C299="","",IFERROR(INDEX(품목마스터!$B$3:$B$302,MATCH($C299,품목마스터!$A$3:$A$302,0)),"미등록품번"))</f>
        <v/>
      </c>
      <c r="E299" s="12" t="str">
        <f aca="false">IF($C299="","",IFERROR(INDEX(품목마스터!$C$3:$C$302,MATCH($C299,품목마스터!$A$3:$A$302,0)),""))</f>
        <v/>
      </c>
      <c r="F299" s="12" t="str">
        <f aca="false">IF($C299="","",IFERROR(INDEX(품목마스터!$D$3:$D$302,MATCH($C299,품목마스터!$A$3:$A$302,0)),""))</f>
        <v/>
      </c>
      <c r="G299" s="9"/>
      <c r="H299" s="9"/>
      <c r="I299" s="13" t="str">
        <f aca="false">IF(OR($G299="",$H299=""),"",ROUND($G299*$H299,0))</f>
        <v/>
      </c>
      <c r="J299" s="7"/>
      <c r="K299" s="7"/>
      <c r="L299" s="14" t="str">
        <f aca="false">IF(OR($C299="",$G299=""),"",IF($B299="입고",$G299,IF($B299="출고",-$G299,$G299)))</f>
        <v/>
      </c>
      <c r="M299" s="13" t="str">
        <f aca="false">IF($C299="","",IFERROR(INDEX(품목마스터!$F$3:$F$302,MATCH($C299,품목마스터!$A$3:$A$302,0)),0)+SUMIFS($L$3:$L299,$C$3:$C299,$C299))</f>
        <v/>
      </c>
    </row>
    <row r="300" customFormat="false" ht="15" hidden="false" customHeight="true" outlineLevel="0" collapsed="false">
      <c r="A300" s="11"/>
      <c r="B300" s="7"/>
      <c r="C300" s="7"/>
      <c r="D300" s="12" t="str">
        <f aca="false">IF($C300="","",IFERROR(INDEX(품목마스터!$B$3:$B$302,MATCH($C300,품목마스터!$A$3:$A$302,0)),"미등록품번"))</f>
        <v/>
      </c>
      <c r="E300" s="12" t="str">
        <f aca="false">IF($C300="","",IFERROR(INDEX(품목마스터!$C$3:$C$302,MATCH($C300,품목마스터!$A$3:$A$302,0)),""))</f>
        <v/>
      </c>
      <c r="F300" s="12" t="str">
        <f aca="false">IF($C300="","",IFERROR(INDEX(품목마스터!$D$3:$D$302,MATCH($C300,품목마스터!$A$3:$A$302,0)),""))</f>
        <v/>
      </c>
      <c r="G300" s="9"/>
      <c r="H300" s="9"/>
      <c r="I300" s="13" t="str">
        <f aca="false">IF(OR($G300="",$H300=""),"",ROUND($G300*$H300,0))</f>
        <v/>
      </c>
      <c r="J300" s="7"/>
      <c r="K300" s="7"/>
      <c r="L300" s="14" t="str">
        <f aca="false">IF(OR($C300="",$G300=""),"",IF($B300="입고",$G300,IF($B300="출고",-$G300,$G300)))</f>
        <v/>
      </c>
      <c r="M300" s="13" t="str">
        <f aca="false">IF($C300="","",IFERROR(INDEX(품목마스터!$F$3:$F$302,MATCH($C300,품목마스터!$A$3:$A$302,0)),0)+SUMIFS($L$3:$L300,$C$3:$C300,$C300))</f>
        <v/>
      </c>
    </row>
    <row r="301" customFormat="false" ht="15" hidden="false" customHeight="true" outlineLevel="0" collapsed="false">
      <c r="A301" s="11"/>
      <c r="B301" s="7"/>
      <c r="C301" s="7"/>
      <c r="D301" s="12" t="str">
        <f aca="false">IF($C301="","",IFERROR(INDEX(품목마스터!$B$3:$B$302,MATCH($C301,품목마스터!$A$3:$A$302,0)),"미등록품번"))</f>
        <v/>
      </c>
      <c r="E301" s="12" t="str">
        <f aca="false">IF($C301="","",IFERROR(INDEX(품목마스터!$C$3:$C$302,MATCH($C301,품목마스터!$A$3:$A$302,0)),""))</f>
        <v/>
      </c>
      <c r="F301" s="12" t="str">
        <f aca="false">IF($C301="","",IFERROR(INDEX(품목마스터!$D$3:$D$302,MATCH($C301,품목마스터!$A$3:$A$302,0)),""))</f>
        <v/>
      </c>
      <c r="G301" s="9"/>
      <c r="H301" s="9"/>
      <c r="I301" s="13" t="str">
        <f aca="false">IF(OR($G301="",$H301=""),"",ROUND($G301*$H301,0))</f>
        <v/>
      </c>
      <c r="J301" s="7"/>
      <c r="K301" s="7"/>
      <c r="L301" s="14" t="str">
        <f aca="false">IF(OR($C301="",$G301=""),"",IF($B301="입고",$G301,IF($B301="출고",-$G301,$G301)))</f>
        <v/>
      </c>
      <c r="M301" s="13" t="str">
        <f aca="false">IF($C301="","",IFERROR(INDEX(품목마스터!$F$3:$F$302,MATCH($C301,품목마스터!$A$3:$A$302,0)),0)+SUMIFS($L$3:$L301,$C$3:$C301,$C301))</f>
        <v/>
      </c>
    </row>
    <row r="302" customFormat="false" ht="15" hidden="false" customHeight="true" outlineLevel="0" collapsed="false">
      <c r="A302" s="11"/>
      <c r="B302" s="7"/>
      <c r="C302" s="7"/>
      <c r="D302" s="12" t="str">
        <f aca="false">IF($C302="","",IFERROR(INDEX(품목마스터!$B$3:$B$302,MATCH($C302,품목마스터!$A$3:$A$302,0)),"미등록품번"))</f>
        <v/>
      </c>
      <c r="E302" s="12" t="str">
        <f aca="false">IF($C302="","",IFERROR(INDEX(품목마스터!$C$3:$C$302,MATCH($C302,품목마스터!$A$3:$A$302,0)),""))</f>
        <v/>
      </c>
      <c r="F302" s="12" t="str">
        <f aca="false">IF($C302="","",IFERROR(INDEX(품목마스터!$D$3:$D$302,MATCH($C302,품목마스터!$A$3:$A$302,0)),""))</f>
        <v/>
      </c>
      <c r="G302" s="9"/>
      <c r="H302" s="9"/>
      <c r="I302" s="13" t="str">
        <f aca="false">IF(OR($G302="",$H302=""),"",ROUND($G302*$H302,0))</f>
        <v/>
      </c>
      <c r="J302" s="7"/>
      <c r="K302" s="7"/>
      <c r="L302" s="14" t="str">
        <f aca="false">IF(OR($C302="",$G302=""),"",IF($B302="입고",$G302,IF($B302="출고",-$G302,$G302)))</f>
        <v/>
      </c>
      <c r="M302" s="13" t="str">
        <f aca="false">IF($C302="","",IFERROR(INDEX(품목마스터!$F$3:$F$302,MATCH($C302,품목마스터!$A$3:$A$302,0)),0)+SUMIFS($L$3:$L302,$C$3:$C302,$C302))</f>
        <v/>
      </c>
    </row>
    <row r="303" customFormat="false" ht="15" hidden="false" customHeight="true" outlineLevel="0" collapsed="false">
      <c r="A303" s="11"/>
      <c r="B303" s="7"/>
      <c r="C303" s="7"/>
      <c r="D303" s="12" t="str">
        <f aca="false">IF($C303="","",IFERROR(INDEX(품목마스터!$B$3:$B$302,MATCH($C303,품목마스터!$A$3:$A$302,0)),"미등록품번"))</f>
        <v/>
      </c>
      <c r="E303" s="12" t="str">
        <f aca="false">IF($C303="","",IFERROR(INDEX(품목마스터!$C$3:$C$302,MATCH($C303,품목마스터!$A$3:$A$302,0)),""))</f>
        <v/>
      </c>
      <c r="F303" s="12" t="str">
        <f aca="false">IF($C303="","",IFERROR(INDEX(품목마스터!$D$3:$D$302,MATCH($C303,품목마스터!$A$3:$A$302,0)),""))</f>
        <v/>
      </c>
      <c r="G303" s="9"/>
      <c r="H303" s="9"/>
      <c r="I303" s="13" t="str">
        <f aca="false">IF(OR($G303="",$H303=""),"",ROUND($G303*$H303,0))</f>
        <v/>
      </c>
      <c r="J303" s="7"/>
      <c r="K303" s="7"/>
      <c r="L303" s="14" t="str">
        <f aca="false">IF(OR($C303="",$G303=""),"",IF($B303="입고",$G303,IF($B303="출고",-$G303,$G303)))</f>
        <v/>
      </c>
      <c r="M303" s="13" t="str">
        <f aca="false">IF($C303="","",IFERROR(INDEX(품목마스터!$F$3:$F$302,MATCH($C303,품목마스터!$A$3:$A$302,0)),0)+SUMIFS($L$3:$L303,$C$3:$C303,$C303))</f>
        <v/>
      </c>
    </row>
    <row r="304" customFormat="false" ht="15" hidden="false" customHeight="true" outlineLevel="0" collapsed="false">
      <c r="A304" s="11"/>
      <c r="B304" s="7"/>
      <c r="C304" s="7"/>
      <c r="D304" s="12" t="str">
        <f aca="false">IF($C304="","",IFERROR(INDEX(품목마스터!$B$3:$B$302,MATCH($C304,품목마스터!$A$3:$A$302,0)),"미등록품번"))</f>
        <v/>
      </c>
      <c r="E304" s="12" t="str">
        <f aca="false">IF($C304="","",IFERROR(INDEX(품목마스터!$C$3:$C$302,MATCH($C304,품목마스터!$A$3:$A$302,0)),""))</f>
        <v/>
      </c>
      <c r="F304" s="12" t="str">
        <f aca="false">IF($C304="","",IFERROR(INDEX(품목마스터!$D$3:$D$302,MATCH($C304,품목마스터!$A$3:$A$302,0)),""))</f>
        <v/>
      </c>
      <c r="G304" s="9"/>
      <c r="H304" s="9"/>
      <c r="I304" s="13" t="str">
        <f aca="false">IF(OR($G304="",$H304=""),"",ROUND($G304*$H304,0))</f>
        <v/>
      </c>
      <c r="J304" s="7"/>
      <c r="K304" s="7"/>
      <c r="L304" s="14" t="str">
        <f aca="false">IF(OR($C304="",$G304=""),"",IF($B304="입고",$G304,IF($B304="출고",-$G304,$G304)))</f>
        <v/>
      </c>
      <c r="M304" s="13" t="str">
        <f aca="false">IF($C304="","",IFERROR(INDEX(품목마스터!$F$3:$F$302,MATCH($C304,품목마스터!$A$3:$A$302,0)),0)+SUMIFS($L$3:$L304,$C$3:$C304,$C304))</f>
        <v/>
      </c>
    </row>
    <row r="305" customFormat="false" ht="15" hidden="false" customHeight="true" outlineLevel="0" collapsed="false">
      <c r="A305" s="11"/>
      <c r="B305" s="7"/>
      <c r="C305" s="7"/>
      <c r="D305" s="12" t="str">
        <f aca="false">IF($C305="","",IFERROR(INDEX(품목마스터!$B$3:$B$302,MATCH($C305,품목마스터!$A$3:$A$302,0)),"미등록품번"))</f>
        <v/>
      </c>
      <c r="E305" s="12" t="str">
        <f aca="false">IF($C305="","",IFERROR(INDEX(품목마스터!$C$3:$C$302,MATCH($C305,품목마스터!$A$3:$A$302,0)),""))</f>
        <v/>
      </c>
      <c r="F305" s="12" t="str">
        <f aca="false">IF($C305="","",IFERROR(INDEX(품목마스터!$D$3:$D$302,MATCH($C305,품목마스터!$A$3:$A$302,0)),""))</f>
        <v/>
      </c>
      <c r="G305" s="9"/>
      <c r="H305" s="9"/>
      <c r="I305" s="13" t="str">
        <f aca="false">IF(OR($G305="",$H305=""),"",ROUND($G305*$H305,0))</f>
        <v/>
      </c>
      <c r="J305" s="7"/>
      <c r="K305" s="7"/>
      <c r="L305" s="14" t="str">
        <f aca="false">IF(OR($C305="",$G305=""),"",IF($B305="입고",$G305,IF($B305="출고",-$G305,$G305)))</f>
        <v/>
      </c>
      <c r="M305" s="13" t="str">
        <f aca="false">IF($C305="","",IFERROR(INDEX(품목마스터!$F$3:$F$302,MATCH($C305,품목마스터!$A$3:$A$302,0)),0)+SUMIFS($L$3:$L305,$C$3:$C305,$C305))</f>
        <v/>
      </c>
    </row>
    <row r="306" customFormat="false" ht="15" hidden="false" customHeight="true" outlineLevel="0" collapsed="false">
      <c r="A306" s="11"/>
      <c r="B306" s="7"/>
      <c r="C306" s="7"/>
      <c r="D306" s="12" t="str">
        <f aca="false">IF($C306="","",IFERROR(INDEX(품목마스터!$B$3:$B$302,MATCH($C306,품목마스터!$A$3:$A$302,0)),"미등록품번"))</f>
        <v/>
      </c>
      <c r="E306" s="12" t="str">
        <f aca="false">IF($C306="","",IFERROR(INDEX(품목마스터!$C$3:$C$302,MATCH($C306,품목마스터!$A$3:$A$302,0)),""))</f>
        <v/>
      </c>
      <c r="F306" s="12" t="str">
        <f aca="false">IF($C306="","",IFERROR(INDEX(품목마스터!$D$3:$D$302,MATCH($C306,품목마스터!$A$3:$A$302,0)),""))</f>
        <v/>
      </c>
      <c r="G306" s="9"/>
      <c r="H306" s="9"/>
      <c r="I306" s="13" t="str">
        <f aca="false">IF(OR($G306="",$H306=""),"",ROUND($G306*$H306,0))</f>
        <v/>
      </c>
      <c r="J306" s="7"/>
      <c r="K306" s="7"/>
      <c r="L306" s="14" t="str">
        <f aca="false">IF(OR($C306="",$G306=""),"",IF($B306="입고",$G306,IF($B306="출고",-$G306,$G306)))</f>
        <v/>
      </c>
      <c r="M306" s="13" t="str">
        <f aca="false">IF($C306="","",IFERROR(INDEX(품목마스터!$F$3:$F$302,MATCH($C306,품목마스터!$A$3:$A$302,0)),0)+SUMIFS($L$3:$L306,$C$3:$C306,$C306))</f>
        <v/>
      </c>
    </row>
    <row r="307" customFormat="false" ht="15" hidden="false" customHeight="true" outlineLevel="0" collapsed="false">
      <c r="A307" s="11"/>
      <c r="B307" s="7"/>
      <c r="C307" s="7"/>
      <c r="D307" s="12" t="str">
        <f aca="false">IF($C307="","",IFERROR(INDEX(품목마스터!$B$3:$B$302,MATCH($C307,품목마스터!$A$3:$A$302,0)),"미등록품번"))</f>
        <v/>
      </c>
      <c r="E307" s="12" t="str">
        <f aca="false">IF($C307="","",IFERROR(INDEX(품목마스터!$C$3:$C$302,MATCH($C307,품목마스터!$A$3:$A$302,0)),""))</f>
        <v/>
      </c>
      <c r="F307" s="12" t="str">
        <f aca="false">IF($C307="","",IFERROR(INDEX(품목마스터!$D$3:$D$302,MATCH($C307,품목마스터!$A$3:$A$302,0)),""))</f>
        <v/>
      </c>
      <c r="G307" s="9"/>
      <c r="H307" s="9"/>
      <c r="I307" s="13" t="str">
        <f aca="false">IF(OR($G307="",$H307=""),"",ROUND($G307*$H307,0))</f>
        <v/>
      </c>
      <c r="J307" s="7"/>
      <c r="K307" s="7"/>
      <c r="L307" s="14" t="str">
        <f aca="false">IF(OR($C307="",$G307=""),"",IF($B307="입고",$G307,IF($B307="출고",-$G307,$G307)))</f>
        <v/>
      </c>
      <c r="M307" s="13" t="str">
        <f aca="false">IF($C307="","",IFERROR(INDEX(품목마스터!$F$3:$F$302,MATCH($C307,품목마스터!$A$3:$A$302,0)),0)+SUMIFS($L$3:$L307,$C$3:$C307,$C307))</f>
        <v/>
      </c>
    </row>
    <row r="308" customFormat="false" ht="15" hidden="false" customHeight="true" outlineLevel="0" collapsed="false">
      <c r="A308" s="11"/>
      <c r="B308" s="7"/>
      <c r="C308" s="7"/>
      <c r="D308" s="12" t="str">
        <f aca="false">IF($C308="","",IFERROR(INDEX(품목마스터!$B$3:$B$302,MATCH($C308,품목마스터!$A$3:$A$302,0)),"미등록품번"))</f>
        <v/>
      </c>
      <c r="E308" s="12" t="str">
        <f aca="false">IF($C308="","",IFERROR(INDEX(품목마스터!$C$3:$C$302,MATCH($C308,품목마스터!$A$3:$A$302,0)),""))</f>
        <v/>
      </c>
      <c r="F308" s="12" t="str">
        <f aca="false">IF($C308="","",IFERROR(INDEX(품목마스터!$D$3:$D$302,MATCH($C308,품목마스터!$A$3:$A$302,0)),""))</f>
        <v/>
      </c>
      <c r="G308" s="9"/>
      <c r="H308" s="9"/>
      <c r="I308" s="13" t="str">
        <f aca="false">IF(OR($G308="",$H308=""),"",ROUND($G308*$H308,0))</f>
        <v/>
      </c>
      <c r="J308" s="7"/>
      <c r="K308" s="7"/>
      <c r="L308" s="14" t="str">
        <f aca="false">IF(OR($C308="",$G308=""),"",IF($B308="입고",$G308,IF($B308="출고",-$G308,$G308)))</f>
        <v/>
      </c>
      <c r="M308" s="13" t="str">
        <f aca="false">IF($C308="","",IFERROR(INDEX(품목마스터!$F$3:$F$302,MATCH($C308,품목마스터!$A$3:$A$302,0)),0)+SUMIFS($L$3:$L308,$C$3:$C308,$C308))</f>
        <v/>
      </c>
    </row>
    <row r="309" customFormat="false" ht="15" hidden="false" customHeight="true" outlineLevel="0" collapsed="false">
      <c r="A309" s="11"/>
      <c r="B309" s="7"/>
      <c r="C309" s="7"/>
      <c r="D309" s="12" t="str">
        <f aca="false">IF($C309="","",IFERROR(INDEX(품목마스터!$B$3:$B$302,MATCH($C309,품목마스터!$A$3:$A$302,0)),"미등록품번"))</f>
        <v/>
      </c>
      <c r="E309" s="12" t="str">
        <f aca="false">IF($C309="","",IFERROR(INDEX(품목마스터!$C$3:$C$302,MATCH($C309,품목마스터!$A$3:$A$302,0)),""))</f>
        <v/>
      </c>
      <c r="F309" s="12" t="str">
        <f aca="false">IF($C309="","",IFERROR(INDEX(품목마스터!$D$3:$D$302,MATCH($C309,품목마스터!$A$3:$A$302,0)),""))</f>
        <v/>
      </c>
      <c r="G309" s="9"/>
      <c r="H309" s="9"/>
      <c r="I309" s="13" t="str">
        <f aca="false">IF(OR($G309="",$H309=""),"",ROUND($G309*$H309,0))</f>
        <v/>
      </c>
      <c r="J309" s="7"/>
      <c r="K309" s="7"/>
      <c r="L309" s="14" t="str">
        <f aca="false">IF(OR($C309="",$G309=""),"",IF($B309="입고",$G309,IF($B309="출고",-$G309,$G309)))</f>
        <v/>
      </c>
      <c r="M309" s="13" t="str">
        <f aca="false">IF($C309="","",IFERROR(INDEX(품목마스터!$F$3:$F$302,MATCH($C309,품목마스터!$A$3:$A$302,0)),0)+SUMIFS($L$3:$L309,$C$3:$C309,$C309))</f>
        <v/>
      </c>
    </row>
    <row r="310" customFormat="false" ht="15" hidden="false" customHeight="true" outlineLevel="0" collapsed="false">
      <c r="A310" s="11"/>
      <c r="B310" s="7"/>
      <c r="C310" s="7"/>
      <c r="D310" s="12" t="str">
        <f aca="false">IF($C310="","",IFERROR(INDEX(품목마스터!$B$3:$B$302,MATCH($C310,품목마스터!$A$3:$A$302,0)),"미등록품번"))</f>
        <v/>
      </c>
      <c r="E310" s="12" t="str">
        <f aca="false">IF($C310="","",IFERROR(INDEX(품목마스터!$C$3:$C$302,MATCH($C310,품목마스터!$A$3:$A$302,0)),""))</f>
        <v/>
      </c>
      <c r="F310" s="12" t="str">
        <f aca="false">IF($C310="","",IFERROR(INDEX(품목마스터!$D$3:$D$302,MATCH($C310,품목마스터!$A$3:$A$302,0)),""))</f>
        <v/>
      </c>
      <c r="G310" s="9"/>
      <c r="H310" s="9"/>
      <c r="I310" s="13" t="str">
        <f aca="false">IF(OR($G310="",$H310=""),"",ROUND($G310*$H310,0))</f>
        <v/>
      </c>
      <c r="J310" s="7"/>
      <c r="K310" s="7"/>
      <c r="L310" s="14" t="str">
        <f aca="false">IF(OR($C310="",$G310=""),"",IF($B310="입고",$G310,IF($B310="출고",-$G310,$G310)))</f>
        <v/>
      </c>
      <c r="M310" s="13" t="str">
        <f aca="false">IF($C310="","",IFERROR(INDEX(품목마스터!$F$3:$F$302,MATCH($C310,품목마스터!$A$3:$A$302,0)),0)+SUMIFS($L$3:$L310,$C$3:$C310,$C310))</f>
        <v/>
      </c>
    </row>
    <row r="311" customFormat="false" ht="15" hidden="false" customHeight="true" outlineLevel="0" collapsed="false">
      <c r="A311" s="11"/>
      <c r="B311" s="7"/>
      <c r="C311" s="7"/>
      <c r="D311" s="12" t="str">
        <f aca="false">IF($C311="","",IFERROR(INDEX(품목마스터!$B$3:$B$302,MATCH($C311,품목마스터!$A$3:$A$302,0)),"미등록품번"))</f>
        <v/>
      </c>
      <c r="E311" s="12" t="str">
        <f aca="false">IF($C311="","",IFERROR(INDEX(품목마스터!$C$3:$C$302,MATCH($C311,품목마스터!$A$3:$A$302,0)),""))</f>
        <v/>
      </c>
      <c r="F311" s="12" t="str">
        <f aca="false">IF($C311="","",IFERROR(INDEX(품목마스터!$D$3:$D$302,MATCH($C311,품목마스터!$A$3:$A$302,0)),""))</f>
        <v/>
      </c>
      <c r="G311" s="9"/>
      <c r="H311" s="9"/>
      <c r="I311" s="13" t="str">
        <f aca="false">IF(OR($G311="",$H311=""),"",ROUND($G311*$H311,0))</f>
        <v/>
      </c>
      <c r="J311" s="7"/>
      <c r="K311" s="7"/>
      <c r="L311" s="14" t="str">
        <f aca="false">IF(OR($C311="",$G311=""),"",IF($B311="입고",$G311,IF($B311="출고",-$G311,$G311)))</f>
        <v/>
      </c>
      <c r="M311" s="13" t="str">
        <f aca="false">IF($C311="","",IFERROR(INDEX(품목마스터!$F$3:$F$302,MATCH($C311,품목마스터!$A$3:$A$302,0)),0)+SUMIFS($L$3:$L311,$C$3:$C311,$C311))</f>
        <v/>
      </c>
    </row>
    <row r="312" customFormat="false" ht="15" hidden="false" customHeight="true" outlineLevel="0" collapsed="false">
      <c r="A312" s="11"/>
      <c r="B312" s="7"/>
      <c r="C312" s="7"/>
      <c r="D312" s="12" t="str">
        <f aca="false">IF($C312="","",IFERROR(INDEX(품목마스터!$B$3:$B$302,MATCH($C312,품목마스터!$A$3:$A$302,0)),"미등록품번"))</f>
        <v/>
      </c>
      <c r="E312" s="12" t="str">
        <f aca="false">IF($C312="","",IFERROR(INDEX(품목마스터!$C$3:$C$302,MATCH($C312,품목마스터!$A$3:$A$302,0)),""))</f>
        <v/>
      </c>
      <c r="F312" s="12" t="str">
        <f aca="false">IF($C312="","",IFERROR(INDEX(품목마스터!$D$3:$D$302,MATCH($C312,품목마스터!$A$3:$A$302,0)),""))</f>
        <v/>
      </c>
      <c r="G312" s="9"/>
      <c r="H312" s="9"/>
      <c r="I312" s="13" t="str">
        <f aca="false">IF(OR($G312="",$H312=""),"",ROUND($G312*$H312,0))</f>
        <v/>
      </c>
      <c r="J312" s="7"/>
      <c r="K312" s="7"/>
      <c r="L312" s="14" t="str">
        <f aca="false">IF(OR($C312="",$G312=""),"",IF($B312="입고",$G312,IF($B312="출고",-$G312,$G312)))</f>
        <v/>
      </c>
      <c r="M312" s="13" t="str">
        <f aca="false">IF($C312="","",IFERROR(INDEX(품목마스터!$F$3:$F$302,MATCH($C312,품목마스터!$A$3:$A$302,0)),0)+SUMIFS($L$3:$L312,$C$3:$C312,$C312))</f>
        <v/>
      </c>
    </row>
    <row r="313" customFormat="false" ht="15" hidden="false" customHeight="true" outlineLevel="0" collapsed="false">
      <c r="A313" s="11"/>
      <c r="B313" s="7"/>
      <c r="C313" s="7"/>
      <c r="D313" s="12" t="str">
        <f aca="false">IF($C313="","",IFERROR(INDEX(품목마스터!$B$3:$B$302,MATCH($C313,품목마스터!$A$3:$A$302,0)),"미등록품번"))</f>
        <v/>
      </c>
      <c r="E313" s="12" t="str">
        <f aca="false">IF($C313="","",IFERROR(INDEX(품목마스터!$C$3:$C$302,MATCH($C313,품목마스터!$A$3:$A$302,0)),""))</f>
        <v/>
      </c>
      <c r="F313" s="12" t="str">
        <f aca="false">IF($C313="","",IFERROR(INDEX(품목마스터!$D$3:$D$302,MATCH($C313,품목마스터!$A$3:$A$302,0)),""))</f>
        <v/>
      </c>
      <c r="G313" s="9"/>
      <c r="H313" s="9"/>
      <c r="I313" s="13" t="str">
        <f aca="false">IF(OR($G313="",$H313=""),"",ROUND($G313*$H313,0))</f>
        <v/>
      </c>
      <c r="J313" s="7"/>
      <c r="K313" s="7"/>
      <c r="L313" s="14" t="str">
        <f aca="false">IF(OR($C313="",$G313=""),"",IF($B313="입고",$G313,IF($B313="출고",-$G313,$G313)))</f>
        <v/>
      </c>
      <c r="M313" s="13" t="str">
        <f aca="false">IF($C313="","",IFERROR(INDEX(품목마스터!$F$3:$F$302,MATCH($C313,품목마스터!$A$3:$A$302,0)),0)+SUMIFS($L$3:$L313,$C$3:$C313,$C313))</f>
        <v/>
      </c>
    </row>
    <row r="314" customFormat="false" ht="15" hidden="false" customHeight="true" outlineLevel="0" collapsed="false">
      <c r="A314" s="11"/>
      <c r="B314" s="7"/>
      <c r="C314" s="7"/>
      <c r="D314" s="12" t="str">
        <f aca="false">IF($C314="","",IFERROR(INDEX(품목마스터!$B$3:$B$302,MATCH($C314,품목마스터!$A$3:$A$302,0)),"미등록품번"))</f>
        <v/>
      </c>
      <c r="E314" s="12" t="str">
        <f aca="false">IF($C314="","",IFERROR(INDEX(품목마스터!$C$3:$C$302,MATCH($C314,품목마스터!$A$3:$A$302,0)),""))</f>
        <v/>
      </c>
      <c r="F314" s="12" t="str">
        <f aca="false">IF($C314="","",IFERROR(INDEX(품목마스터!$D$3:$D$302,MATCH($C314,품목마스터!$A$3:$A$302,0)),""))</f>
        <v/>
      </c>
      <c r="G314" s="9"/>
      <c r="H314" s="9"/>
      <c r="I314" s="13" t="str">
        <f aca="false">IF(OR($G314="",$H314=""),"",ROUND($G314*$H314,0))</f>
        <v/>
      </c>
      <c r="J314" s="7"/>
      <c r="K314" s="7"/>
      <c r="L314" s="14" t="str">
        <f aca="false">IF(OR($C314="",$G314=""),"",IF($B314="입고",$G314,IF($B314="출고",-$G314,$G314)))</f>
        <v/>
      </c>
      <c r="M314" s="13" t="str">
        <f aca="false">IF($C314="","",IFERROR(INDEX(품목마스터!$F$3:$F$302,MATCH($C314,품목마스터!$A$3:$A$302,0)),0)+SUMIFS($L$3:$L314,$C$3:$C314,$C314))</f>
        <v/>
      </c>
    </row>
    <row r="315" customFormat="false" ht="15" hidden="false" customHeight="true" outlineLevel="0" collapsed="false">
      <c r="A315" s="11"/>
      <c r="B315" s="7"/>
      <c r="C315" s="7"/>
      <c r="D315" s="12" t="str">
        <f aca="false">IF($C315="","",IFERROR(INDEX(품목마스터!$B$3:$B$302,MATCH($C315,품목마스터!$A$3:$A$302,0)),"미등록품번"))</f>
        <v/>
      </c>
      <c r="E315" s="12" t="str">
        <f aca="false">IF($C315="","",IFERROR(INDEX(품목마스터!$C$3:$C$302,MATCH($C315,품목마스터!$A$3:$A$302,0)),""))</f>
        <v/>
      </c>
      <c r="F315" s="12" t="str">
        <f aca="false">IF($C315="","",IFERROR(INDEX(품목마스터!$D$3:$D$302,MATCH($C315,품목마스터!$A$3:$A$302,0)),""))</f>
        <v/>
      </c>
      <c r="G315" s="9"/>
      <c r="H315" s="9"/>
      <c r="I315" s="13" t="str">
        <f aca="false">IF(OR($G315="",$H315=""),"",ROUND($G315*$H315,0))</f>
        <v/>
      </c>
      <c r="J315" s="7"/>
      <c r="K315" s="7"/>
      <c r="L315" s="14" t="str">
        <f aca="false">IF(OR($C315="",$G315=""),"",IF($B315="입고",$G315,IF($B315="출고",-$G315,$G315)))</f>
        <v/>
      </c>
      <c r="M315" s="13" t="str">
        <f aca="false">IF($C315="","",IFERROR(INDEX(품목마스터!$F$3:$F$302,MATCH($C315,품목마스터!$A$3:$A$302,0)),0)+SUMIFS($L$3:$L315,$C$3:$C315,$C315))</f>
        <v/>
      </c>
    </row>
    <row r="316" customFormat="false" ht="15" hidden="false" customHeight="true" outlineLevel="0" collapsed="false">
      <c r="A316" s="11"/>
      <c r="B316" s="7"/>
      <c r="C316" s="7"/>
      <c r="D316" s="12" t="str">
        <f aca="false">IF($C316="","",IFERROR(INDEX(품목마스터!$B$3:$B$302,MATCH($C316,품목마스터!$A$3:$A$302,0)),"미등록품번"))</f>
        <v/>
      </c>
      <c r="E316" s="12" t="str">
        <f aca="false">IF($C316="","",IFERROR(INDEX(품목마스터!$C$3:$C$302,MATCH($C316,품목마스터!$A$3:$A$302,0)),""))</f>
        <v/>
      </c>
      <c r="F316" s="12" t="str">
        <f aca="false">IF($C316="","",IFERROR(INDEX(품목마스터!$D$3:$D$302,MATCH($C316,품목마스터!$A$3:$A$302,0)),""))</f>
        <v/>
      </c>
      <c r="G316" s="9"/>
      <c r="H316" s="9"/>
      <c r="I316" s="13" t="str">
        <f aca="false">IF(OR($G316="",$H316=""),"",ROUND($G316*$H316,0))</f>
        <v/>
      </c>
      <c r="J316" s="7"/>
      <c r="K316" s="7"/>
      <c r="L316" s="14" t="str">
        <f aca="false">IF(OR($C316="",$G316=""),"",IF($B316="입고",$G316,IF($B316="출고",-$G316,$G316)))</f>
        <v/>
      </c>
      <c r="M316" s="13" t="str">
        <f aca="false">IF($C316="","",IFERROR(INDEX(품목마스터!$F$3:$F$302,MATCH($C316,품목마스터!$A$3:$A$302,0)),0)+SUMIFS($L$3:$L316,$C$3:$C316,$C316))</f>
        <v/>
      </c>
    </row>
    <row r="317" customFormat="false" ht="15" hidden="false" customHeight="true" outlineLevel="0" collapsed="false">
      <c r="A317" s="11"/>
      <c r="B317" s="7"/>
      <c r="C317" s="7"/>
      <c r="D317" s="12" t="str">
        <f aca="false">IF($C317="","",IFERROR(INDEX(품목마스터!$B$3:$B$302,MATCH($C317,품목마스터!$A$3:$A$302,0)),"미등록품번"))</f>
        <v/>
      </c>
      <c r="E317" s="12" t="str">
        <f aca="false">IF($C317="","",IFERROR(INDEX(품목마스터!$C$3:$C$302,MATCH($C317,품목마스터!$A$3:$A$302,0)),""))</f>
        <v/>
      </c>
      <c r="F317" s="12" t="str">
        <f aca="false">IF($C317="","",IFERROR(INDEX(품목마스터!$D$3:$D$302,MATCH($C317,품목마스터!$A$3:$A$302,0)),""))</f>
        <v/>
      </c>
      <c r="G317" s="9"/>
      <c r="H317" s="9"/>
      <c r="I317" s="13" t="str">
        <f aca="false">IF(OR($G317="",$H317=""),"",ROUND($G317*$H317,0))</f>
        <v/>
      </c>
      <c r="J317" s="7"/>
      <c r="K317" s="7"/>
      <c r="L317" s="14" t="str">
        <f aca="false">IF(OR($C317="",$G317=""),"",IF($B317="입고",$G317,IF($B317="출고",-$G317,$G317)))</f>
        <v/>
      </c>
      <c r="M317" s="13" t="str">
        <f aca="false">IF($C317="","",IFERROR(INDEX(품목마스터!$F$3:$F$302,MATCH($C317,품목마스터!$A$3:$A$302,0)),0)+SUMIFS($L$3:$L317,$C$3:$C317,$C317))</f>
        <v/>
      </c>
    </row>
    <row r="318" customFormat="false" ht="15" hidden="false" customHeight="true" outlineLevel="0" collapsed="false">
      <c r="A318" s="11"/>
      <c r="B318" s="7"/>
      <c r="C318" s="7"/>
      <c r="D318" s="12" t="str">
        <f aca="false">IF($C318="","",IFERROR(INDEX(품목마스터!$B$3:$B$302,MATCH($C318,품목마스터!$A$3:$A$302,0)),"미등록품번"))</f>
        <v/>
      </c>
      <c r="E318" s="12" t="str">
        <f aca="false">IF($C318="","",IFERROR(INDEX(품목마스터!$C$3:$C$302,MATCH($C318,품목마스터!$A$3:$A$302,0)),""))</f>
        <v/>
      </c>
      <c r="F318" s="12" t="str">
        <f aca="false">IF($C318="","",IFERROR(INDEX(품목마스터!$D$3:$D$302,MATCH($C318,품목마스터!$A$3:$A$302,0)),""))</f>
        <v/>
      </c>
      <c r="G318" s="9"/>
      <c r="H318" s="9"/>
      <c r="I318" s="13" t="str">
        <f aca="false">IF(OR($G318="",$H318=""),"",ROUND($G318*$H318,0))</f>
        <v/>
      </c>
      <c r="J318" s="7"/>
      <c r="K318" s="7"/>
      <c r="L318" s="14" t="str">
        <f aca="false">IF(OR($C318="",$G318=""),"",IF($B318="입고",$G318,IF($B318="출고",-$G318,$G318)))</f>
        <v/>
      </c>
      <c r="M318" s="13" t="str">
        <f aca="false">IF($C318="","",IFERROR(INDEX(품목마스터!$F$3:$F$302,MATCH($C318,품목마스터!$A$3:$A$302,0)),0)+SUMIFS($L$3:$L318,$C$3:$C318,$C318))</f>
        <v/>
      </c>
    </row>
    <row r="319" customFormat="false" ht="15" hidden="false" customHeight="true" outlineLevel="0" collapsed="false">
      <c r="A319" s="11"/>
      <c r="B319" s="7"/>
      <c r="C319" s="7"/>
      <c r="D319" s="12" t="str">
        <f aca="false">IF($C319="","",IFERROR(INDEX(품목마스터!$B$3:$B$302,MATCH($C319,품목마스터!$A$3:$A$302,0)),"미등록품번"))</f>
        <v/>
      </c>
      <c r="E319" s="12" t="str">
        <f aca="false">IF($C319="","",IFERROR(INDEX(품목마스터!$C$3:$C$302,MATCH($C319,품목마스터!$A$3:$A$302,0)),""))</f>
        <v/>
      </c>
      <c r="F319" s="12" t="str">
        <f aca="false">IF($C319="","",IFERROR(INDEX(품목마스터!$D$3:$D$302,MATCH($C319,품목마스터!$A$3:$A$302,0)),""))</f>
        <v/>
      </c>
      <c r="G319" s="9"/>
      <c r="H319" s="9"/>
      <c r="I319" s="13" t="str">
        <f aca="false">IF(OR($G319="",$H319=""),"",ROUND($G319*$H319,0))</f>
        <v/>
      </c>
      <c r="J319" s="7"/>
      <c r="K319" s="7"/>
      <c r="L319" s="14" t="str">
        <f aca="false">IF(OR($C319="",$G319=""),"",IF($B319="입고",$G319,IF($B319="출고",-$G319,$G319)))</f>
        <v/>
      </c>
      <c r="M319" s="13" t="str">
        <f aca="false">IF($C319="","",IFERROR(INDEX(품목마스터!$F$3:$F$302,MATCH($C319,품목마스터!$A$3:$A$302,0)),0)+SUMIFS($L$3:$L319,$C$3:$C319,$C319))</f>
        <v/>
      </c>
    </row>
    <row r="320" customFormat="false" ht="15" hidden="false" customHeight="true" outlineLevel="0" collapsed="false">
      <c r="A320" s="11"/>
      <c r="B320" s="7"/>
      <c r="C320" s="7"/>
      <c r="D320" s="12" t="str">
        <f aca="false">IF($C320="","",IFERROR(INDEX(품목마스터!$B$3:$B$302,MATCH($C320,품목마스터!$A$3:$A$302,0)),"미등록품번"))</f>
        <v/>
      </c>
      <c r="E320" s="12" t="str">
        <f aca="false">IF($C320="","",IFERROR(INDEX(품목마스터!$C$3:$C$302,MATCH($C320,품목마스터!$A$3:$A$302,0)),""))</f>
        <v/>
      </c>
      <c r="F320" s="12" t="str">
        <f aca="false">IF($C320="","",IFERROR(INDEX(품목마스터!$D$3:$D$302,MATCH($C320,품목마스터!$A$3:$A$302,0)),""))</f>
        <v/>
      </c>
      <c r="G320" s="9"/>
      <c r="H320" s="9"/>
      <c r="I320" s="13" t="str">
        <f aca="false">IF(OR($G320="",$H320=""),"",ROUND($G320*$H320,0))</f>
        <v/>
      </c>
      <c r="J320" s="7"/>
      <c r="K320" s="7"/>
      <c r="L320" s="14" t="str">
        <f aca="false">IF(OR($C320="",$G320=""),"",IF($B320="입고",$G320,IF($B320="출고",-$G320,$G320)))</f>
        <v/>
      </c>
      <c r="M320" s="13" t="str">
        <f aca="false">IF($C320="","",IFERROR(INDEX(품목마스터!$F$3:$F$302,MATCH($C320,품목마스터!$A$3:$A$302,0)),0)+SUMIFS($L$3:$L320,$C$3:$C320,$C320))</f>
        <v/>
      </c>
    </row>
    <row r="321" customFormat="false" ht="15" hidden="false" customHeight="true" outlineLevel="0" collapsed="false">
      <c r="A321" s="11"/>
      <c r="B321" s="7"/>
      <c r="C321" s="7"/>
      <c r="D321" s="12" t="str">
        <f aca="false">IF($C321="","",IFERROR(INDEX(품목마스터!$B$3:$B$302,MATCH($C321,품목마스터!$A$3:$A$302,0)),"미등록품번"))</f>
        <v/>
      </c>
      <c r="E321" s="12" t="str">
        <f aca="false">IF($C321="","",IFERROR(INDEX(품목마스터!$C$3:$C$302,MATCH($C321,품목마스터!$A$3:$A$302,0)),""))</f>
        <v/>
      </c>
      <c r="F321" s="12" t="str">
        <f aca="false">IF($C321="","",IFERROR(INDEX(품목마스터!$D$3:$D$302,MATCH($C321,품목마스터!$A$3:$A$302,0)),""))</f>
        <v/>
      </c>
      <c r="G321" s="9"/>
      <c r="H321" s="9"/>
      <c r="I321" s="13" t="str">
        <f aca="false">IF(OR($G321="",$H321=""),"",ROUND($G321*$H321,0))</f>
        <v/>
      </c>
      <c r="J321" s="7"/>
      <c r="K321" s="7"/>
      <c r="L321" s="14" t="str">
        <f aca="false">IF(OR($C321="",$G321=""),"",IF($B321="입고",$G321,IF($B321="출고",-$G321,$G321)))</f>
        <v/>
      </c>
      <c r="M321" s="13" t="str">
        <f aca="false">IF($C321="","",IFERROR(INDEX(품목마스터!$F$3:$F$302,MATCH($C321,품목마스터!$A$3:$A$302,0)),0)+SUMIFS($L$3:$L321,$C$3:$C321,$C321))</f>
        <v/>
      </c>
    </row>
    <row r="322" customFormat="false" ht="15" hidden="false" customHeight="true" outlineLevel="0" collapsed="false">
      <c r="A322" s="11"/>
      <c r="B322" s="7"/>
      <c r="C322" s="7"/>
      <c r="D322" s="12" t="str">
        <f aca="false">IF($C322="","",IFERROR(INDEX(품목마스터!$B$3:$B$302,MATCH($C322,품목마스터!$A$3:$A$302,0)),"미등록품번"))</f>
        <v/>
      </c>
      <c r="E322" s="12" t="str">
        <f aca="false">IF($C322="","",IFERROR(INDEX(품목마스터!$C$3:$C$302,MATCH($C322,품목마스터!$A$3:$A$302,0)),""))</f>
        <v/>
      </c>
      <c r="F322" s="12" t="str">
        <f aca="false">IF($C322="","",IFERROR(INDEX(품목마스터!$D$3:$D$302,MATCH($C322,품목마스터!$A$3:$A$302,0)),""))</f>
        <v/>
      </c>
      <c r="G322" s="9"/>
      <c r="H322" s="9"/>
      <c r="I322" s="13" t="str">
        <f aca="false">IF(OR($G322="",$H322=""),"",ROUND($G322*$H322,0))</f>
        <v/>
      </c>
      <c r="J322" s="7"/>
      <c r="K322" s="7"/>
      <c r="L322" s="14" t="str">
        <f aca="false">IF(OR($C322="",$G322=""),"",IF($B322="입고",$G322,IF($B322="출고",-$G322,$G322)))</f>
        <v/>
      </c>
      <c r="M322" s="13" t="str">
        <f aca="false">IF($C322="","",IFERROR(INDEX(품목마스터!$F$3:$F$302,MATCH($C322,품목마스터!$A$3:$A$302,0)),0)+SUMIFS($L$3:$L322,$C$3:$C322,$C322))</f>
        <v/>
      </c>
    </row>
    <row r="323" customFormat="false" ht="15" hidden="false" customHeight="true" outlineLevel="0" collapsed="false">
      <c r="A323" s="11"/>
      <c r="B323" s="7"/>
      <c r="C323" s="7"/>
      <c r="D323" s="12" t="str">
        <f aca="false">IF($C323="","",IFERROR(INDEX(품목마스터!$B$3:$B$302,MATCH($C323,품목마스터!$A$3:$A$302,0)),"미등록품번"))</f>
        <v/>
      </c>
      <c r="E323" s="12" t="str">
        <f aca="false">IF($C323="","",IFERROR(INDEX(품목마스터!$C$3:$C$302,MATCH($C323,품목마스터!$A$3:$A$302,0)),""))</f>
        <v/>
      </c>
      <c r="F323" s="12" t="str">
        <f aca="false">IF($C323="","",IFERROR(INDEX(품목마스터!$D$3:$D$302,MATCH($C323,품목마스터!$A$3:$A$302,0)),""))</f>
        <v/>
      </c>
      <c r="G323" s="9"/>
      <c r="H323" s="9"/>
      <c r="I323" s="13" t="str">
        <f aca="false">IF(OR($G323="",$H323=""),"",ROUND($G323*$H323,0))</f>
        <v/>
      </c>
      <c r="J323" s="7"/>
      <c r="K323" s="7"/>
      <c r="L323" s="14" t="str">
        <f aca="false">IF(OR($C323="",$G323=""),"",IF($B323="입고",$G323,IF($B323="출고",-$G323,$G323)))</f>
        <v/>
      </c>
      <c r="M323" s="13" t="str">
        <f aca="false">IF($C323="","",IFERROR(INDEX(품목마스터!$F$3:$F$302,MATCH($C323,품목마스터!$A$3:$A$302,0)),0)+SUMIFS($L$3:$L323,$C$3:$C323,$C323))</f>
        <v/>
      </c>
    </row>
    <row r="324" customFormat="false" ht="15" hidden="false" customHeight="true" outlineLevel="0" collapsed="false">
      <c r="A324" s="11"/>
      <c r="B324" s="7"/>
      <c r="C324" s="7"/>
      <c r="D324" s="12" t="str">
        <f aca="false">IF($C324="","",IFERROR(INDEX(품목마스터!$B$3:$B$302,MATCH($C324,품목마스터!$A$3:$A$302,0)),"미등록품번"))</f>
        <v/>
      </c>
      <c r="E324" s="12" t="str">
        <f aca="false">IF($C324="","",IFERROR(INDEX(품목마스터!$C$3:$C$302,MATCH($C324,품목마스터!$A$3:$A$302,0)),""))</f>
        <v/>
      </c>
      <c r="F324" s="12" t="str">
        <f aca="false">IF($C324="","",IFERROR(INDEX(품목마스터!$D$3:$D$302,MATCH($C324,품목마스터!$A$3:$A$302,0)),""))</f>
        <v/>
      </c>
      <c r="G324" s="9"/>
      <c r="H324" s="9"/>
      <c r="I324" s="13" t="str">
        <f aca="false">IF(OR($G324="",$H324=""),"",ROUND($G324*$H324,0))</f>
        <v/>
      </c>
      <c r="J324" s="7"/>
      <c r="K324" s="7"/>
      <c r="L324" s="14" t="str">
        <f aca="false">IF(OR($C324="",$G324=""),"",IF($B324="입고",$G324,IF($B324="출고",-$G324,$G324)))</f>
        <v/>
      </c>
      <c r="M324" s="13" t="str">
        <f aca="false">IF($C324="","",IFERROR(INDEX(품목마스터!$F$3:$F$302,MATCH($C324,품목마스터!$A$3:$A$302,0)),0)+SUMIFS($L$3:$L324,$C$3:$C324,$C324))</f>
        <v/>
      </c>
    </row>
    <row r="325" customFormat="false" ht="15" hidden="false" customHeight="true" outlineLevel="0" collapsed="false">
      <c r="A325" s="11"/>
      <c r="B325" s="7"/>
      <c r="C325" s="7"/>
      <c r="D325" s="12" t="str">
        <f aca="false">IF($C325="","",IFERROR(INDEX(품목마스터!$B$3:$B$302,MATCH($C325,품목마스터!$A$3:$A$302,0)),"미등록품번"))</f>
        <v/>
      </c>
      <c r="E325" s="12" t="str">
        <f aca="false">IF($C325="","",IFERROR(INDEX(품목마스터!$C$3:$C$302,MATCH($C325,품목마스터!$A$3:$A$302,0)),""))</f>
        <v/>
      </c>
      <c r="F325" s="12" t="str">
        <f aca="false">IF($C325="","",IFERROR(INDEX(품목마스터!$D$3:$D$302,MATCH($C325,품목마스터!$A$3:$A$302,0)),""))</f>
        <v/>
      </c>
      <c r="G325" s="9"/>
      <c r="H325" s="9"/>
      <c r="I325" s="13" t="str">
        <f aca="false">IF(OR($G325="",$H325=""),"",ROUND($G325*$H325,0))</f>
        <v/>
      </c>
      <c r="J325" s="7"/>
      <c r="K325" s="7"/>
      <c r="L325" s="14" t="str">
        <f aca="false">IF(OR($C325="",$G325=""),"",IF($B325="입고",$G325,IF($B325="출고",-$G325,$G325)))</f>
        <v/>
      </c>
      <c r="M325" s="13" t="str">
        <f aca="false">IF($C325="","",IFERROR(INDEX(품목마스터!$F$3:$F$302,MATCH($C325,품목마스터!$A$3:$A$302,0)),0)+SUMIFS($L$3:$L325,$C$3:$C325,$C325))</f>
        <v/>
      </c>
    </row>
    <row r="326" customFormat="false" ht="15" hidden="false" customHeight="true" outlineLevel="0" collapsed="false">
      <c r="A326" s="11"/>
      <c r="B326" s="7"/>
      <c r="C326" s="7"/>
      <c r="D326" s="12" t="str">
        <f aca="false">IF($C326="","",IFERROR(INDEX(품목마스터!$B$3:$B$302,MATCH($C326,품목마스터!$A$3:$A$302,0)),"미등록품번"))</f>
        <v/>
      </c>
      <c r="E326" s="12" t="str">
        <f aca="false">IF($C326="","",IFERROR(INDEX(품목마스터!$C$3:$C$302,MATCH($C326,품목마스터!$A$3:$A$302,0)),""))</f>
        <v/>
      </c>
      <c r="F326" s="12" t="str">
        <f aca="false">IF($C326="","",IFERROR(INDEX(품목마스터!$D$3:$D$302,MATCH($C326,품목마스터!$A$3:$A$302,0)),""))</f>
        <v/>
      </c>
      <c r="G326" s="9"/>
      <c r="H326" s="9"/>
      <c r="I326" s="13" t="str">
        <f aca="false">IF(OR($G326="",$H326=""),"",ROUND($G326*$H326,0))</f>
        <v/>
      </c>
      <c r="J326" s="7"/>
      <c r="K326" s="7"/>
      <c r="L326" s="14" t="str">
        <f aca="false">IF(OR($C326="",$G326=""),"",IF($B326="입고",$G326,IF($B326="출고",-$G326,$G326)))</f>
        <v/>
      </c>
      <c r="M326" s="13" t="str">
        <f aca="false">IF($C326="","",IFERROR(INDEX(품목마스터!$F$3:$F$302,MATCH($C326,품목마스터!$A$3:$A$302,0)),0)+SUMIFS($L$3:$L326,$C$3:$C326,$C326))</f>
        <v/>
      </c>
    </row>
    <row r="327" customFormat="false" ht="15" hidden="false" customHeight="true" outlineLevel="0" collapsed="false">
      <c r="A327" s="11"/>
      <c r="B327" s="7"/>
      <c r="C327" s="7"/>
      <c r="D327" s="12" t="str">
        <f aca="false">IF($C327="","",IFERROR(INDEX(품목마스터!$B$3:$B$302,MATCH($C327,품목마스터!$A$3:$A$302,0)),"미등록품번"))</f>
        <v/>
      </c>
      <c r="E327" s="12" t="str">
        <f aca="false">IF($C327="","",IFERROR(INDEX(품목마스터!$C$3:$C$302,MATCH($C327,품목마스터!$A$3:$A$302,0)),""))</f>
        <v/>
      </c>
      <c r="F327" s="12" t="str">
        <f aca="false">IF($C327="","",IFERROR(INDEX(품목마스터!$D$3:$D$302,MATCH($C327,품목마스터!$A$3:$A$302,0)),""))</f>
        <v/>
      </c>
      <c r="G327" s="9"/>
      <c r="H327" s="9"/>
      <c r="I327" s="13" t="str">
        <f aca="false">IF(OR($G327="",$H327=""),"",ROUND($G327*$H327,0))</f>
        <v/>
      </c>
      <c r="J327" s="7"/>
      <c r="K327" s="7"/>
      <c r="L327" s="14" t="str">
        <f aca="false">IF(OR($C327="",$G327=""),"",IF($B327="입고",$G327,IF($B327="출고",-$G327,$G327)))</f>
        <v/>
      </c>
      <c r="M327" s="13" t="str">
        <f aca="false">IF($C327="","",IFERROR(INDEX(품목마스터!$F$3:$F$302,MATCH($C327,품목마스터!$A$3:$A$302,0)),0)+SUMIFS($L$3:$L327,$C$3:$C327,$C327))</f>
        <v/>
      </c>
    </row>
    <row r="328" customFormat="false" ht="15" hidden="false" customHeight="true" outlineLevel="0" collapsed="false">
      <c r="A328" s="11"/>
      <c r="B328" s="7"/>
      <c r="C328" s="7"/>
      <c r="D328" s="12" t="str">
        <f aca="false">IF($C328="","",IFERROR(INDEX(품목마스터!$B$3:$B$302,MATCH($C328,품목마스터!$A$3:$A$302,0)),"미등록품번"))</f>
        <v/>
      </c>
      <c r="E328" s="12" t="str">
        <f aca="false">IF($C328="","",IFERROR(INDEX(품목마스터!$C$3:$C$302,MATCH($C328,품목마스터!$A$3:$A$302,0)),""))</f>
        <v/>
      </c>
      <c r="F328" s="12" t="str">
        <f aca="false">IF($C328="","",IFERROR(INDEX(품목마스터!$D$3:$D$302,MATCH($C328,품목마스터!$A$3:$A$302,0)),""))</f>
        <v/>
      </c>
      <c r="G328" s="9"/>
      <c r="H328" s="9"/>
      <c r="I328" s="13" t="str">
        <f aca="false">IF(OR($G328="",$H328=""),"",ROUND($G328*$H328,0))</f>
        <v/>
      </c>
      <c r="J328" s="7"/>
      <c r="K328" s="7"/>
      <c r="L328" s="14" t="str">
        <f aca="false">IF(OR($C328="",$G328=""),"",IF($B328="입고",$G328,IF($B328="출고",-$G328,$G328)))</f>
        <v/>
      </c>
      <c r="M328" s="13" t="str">
        <f aca="false">IF($C328="","",IFERROR(INDEX(품목마스터!$F$3:$F$302,MATCH($C328,품목마스터!$A$3:$A$302,0)),0)+SUMIFS($L$3:$L328,$C$3:$C328,$C328))</f>
        <v/>
      </c>
    </row>
    <row r="329" customFormat="false" ht="15" hidden="false" customHeight="true" outlineLevel="0" collapsed="false">
      <c r="A329" s="11"/>
      <c r="B329" s="7"/>
      <c r="C329" s="7"/>
      <c r="D329" s="12" t="str">
        <f aca="false">IF($C329="","",IFERROR(INDEX(품목마스터!$B$3:$B$302,MATCH($C329,품목마스터!$A$3:$A$302,0)),"미등록품번"))</f>
        <v/>
      </c>
      <c r="E329" s="12" t="str">
        <f aca="false">IF($C329="","",IFERROR(INDEX(품목마스터!$C$3:$C$302,MATCH($C329,품목마스터!$A$3:$A$302,0)),""))</f>
        <v/>
      </c>
      <c r="F329" s="12" t="str">
        <f aca="false">IF($C329="","",IFERROR(INDEX(품목마스터!$D$3:$D$302,MATCH($C329,품목마스터!$A$3:$A$302,0)),""))</f>
        <v/>
      </c>
      <c r="G329" s="9"/>
      <c r="H329" s="9"/>
      <c r="I329" s="13" t="str">
        <f aca="false">IF(OR($G329="",$H329=""),"",ROUND($G329*$H329,0))</f>
        <v/>
      </c>
      <c r="J329" s="7"/>
      <c r="K329" s="7"/>
      <c r="L329" s="14" t="str">
        <f aca="false">IF(OR($C329="",$G329=""),"",IF($B329="입고",$G329,IF($B329="출고",-$G329,$G329)))</f>
        <v/>
      </c>
      <c r="M329" s="13" t="str">
        <f aca="false">IF($C329="","",IFERROR(INDEX(품목마스터!$F$3:$F$302,MATCH($C329,품목마스터!$A$3:$A$302,0)),0)+SUMIFS($L$3:$L329,$C$3:$C329,$C329))</f>
        <v/>
      </c>
    </row>
    <row r="330" customFormat="false" ht="15" hidden="false" customHeight="true" outlineLevel="0" collapsed="false">
      <c r="A330" s="11"/>
      <c r="B330" s="7"/>
      <c r="C330" s="7"/>
      <c r="D330" s="12" t="str">
        <f aca="false">IF($C330="","",IFERROR(INDEX(품목마스터!$B$3:$B$302,MATCH($C330,품목마스터!$A$3:$A$302,0)),"미등록품번"))</f>
        <v/>
      </c>
      <c r="E330" s="12" t="str">
        <f aca="false">IF($C330="","",IFERROR(INDEX(품목마스터!$C$3:$C$302,MATCH($C330,품목마스터!$A$3:$A$302,0)),""))</f>
        <v/>
      </c>
      <c r="F330" s="12" t="str">
        <f aca="false">IF($C330="","",IFERROR(INDEX(품목마스터!$D$3:$D$302,MATCH($C330,품목마스터!$A$3:$A$302,0)),""))</f>
        <v/>
      </c>
      <c r="G330" s="9"/>
      <c r="H330" s="9"/>
      <c r="I330" s="13" t="str">
        <f aca="false">IF(OR($G330="",$H330=""),"",ROUND($G330*$H330,0))</f>
        <v/>
      </c>
      <c r="J330" s="7"/>
      <c r="K330" s="7"/>
      <c r="L330" s="14" t="str">
        <f aca="false">IF(OR($C330="",$G330=""),"",IF($B330="입고",$G330,IF($B330="출고",-$G330,$G330)))</f>
        <v/>
      </c>
      <c r="M330" s="13" t="str">
        <f aca="false">IF($C330="","",IFERROR(INDEX(품목마스터!$F$3:$F$302,MATCH($C330,품목마스터!$A$3:$A$302,0)),0)+SUMIFS($L$3:$L330,$C$3:$C330,$C330))</f>
        <v/>
      </c>
    </row>
    <row r="331" customFormat="false" ht="15" hidden="false" customHeight="true" outlineLevel="0" collapsed="false">
      <c r="A331" s="11"/>
      <c r="B331" s="7"/>
      <c r="C331" s="7"/>
      <c r="D331" s="12" t="str">
        <f aca="false">IF($C331="","",IFERROR(INDEX(품목마스터!$B$3:$B$302,MATCH($C331,품목마스터!$A$3:$A$302,0)),"미등록품번"))</f>
        <v/>
      </c>
      <c r="E331" s="12" t="str">
        <f aca="false">IF($C331="","",IFERROR(INDEX(품목마스터!$C$3:$C$302,MATCH($C331,품목마스터!$A$3:$A$302,0)),""))</f>
        <v/>
      </c>
      <c r="F331" s="12" t="str">
        <f aca="false">IF($C331="","",IFERROR(INDEX(품목마스터!$D$3:$D$302,MATCH($C331,품목마스터!$A$3:$A$302,0)),""))</f>
        <v/>
      </c>
      <c r="G331" s="9"/>
      <c r="H331" s="9"/>
      <c r="I331" s="13" t="str">
        <f aca="false">IF(OR($G331="",$H331=""),"",ROUND($G331*$H331,0))</f>
        <v/>
      </c>
      <c r="J331" s="7"/>
      <c r="K331" s="7"/>
      <c r="L331" s="14" t="str">
        <f aca="false">IF(OR($C331="",$G331=""),"",IF($B331="입고",$G331,IF($B331="출고",-$G331,$G331)))</f>
        <v/>
      </c>
      <c r="M331" s="13" t="str">
        <f aca="false">IF($C331="","",IFERROR(INDEX(품목마스터!$F$3:$F$302,MATCH($C331,품목마스터!$A$3:$A$302,0)),0)+SUMIFS($L$3:$L331,$C$3:$C331,$C331))</f>
        <v/>
      </c>
    </row>
    <row r="332" customFormat="false" ht="15" hidden="false" customHeight="true" outlineLevel="0" collapsed="false">
      <c r="A332" s="11"/>
      <c r="B332" s="7"/>
      <c r="C332" s="7"/>
      <c r="D332" s="12" t="str">
        <f aca="false">IF($C332="","",IFERROR(INDEX(품목마스터!$B$3:$B$302,MATCH($C332,품목마스터!$A$3:$A$302,0)),"미등록품번"))</f>
        <v/>
      </c>
      <c r="E332" s="12" t="str">
        <f aca="false">IF($C332="","",IFERROR(INDEX(품목마스터!$C$3:$C$302,MATCH($C332,품목마스터!$A$3:$A$302,0)),""))</f>
        <v/>
      </c>
      <c r="F332" s="12" t="str">
        <f aca="false">IF($C332="","",IFERROR(INDEX(품목마스터!$D$3:$D$302,MATCH($C332,품목마스터!$A$3:$A$302,0)),""))</f>
        <v/>
      </c>
      <c r="G332" s="9"/>
      <c r="H332" s="9"/>
      <c r="I332" s="13" t="str">
        <f aca="false">IF(OR($G332="",$H332=""),"",ROUND($G332*$H332,0))</f>
        <v/>
      </c>
      <c r="J332" s="7"/>
      <c r="K332" s="7"/>
      <c r="L332" s="14" t="str">
        <f aca="false">IF(OR($C332="",$G332=""),"",IF($B332="입고",$G332,IF($B332="출고",-$G332,$G332)))</f>
        <v/>
      </c>
      <c r="M332" s="13" t="str">
        <f aca="false">IF($C332="","",IFERROR(INDEX(품목마스터!$F$3:$F$302,MATCH($C332,품목마스터!$A$3:$A$302,0)),0)+SUMIFS($L$3:$L332,$C$3:$C332,$C332))</f>
        <v/>
      </c>
    </row>
    <row r="333" customFormat="false" ht="15" hidden="false" customHeight="true" outlineLevel="0" collapsed="false">
      <c r="A333" s="11"/>
      <c r="B333" s="7"/>
      <c r="C333" s="7"/>
      <c r="D333" s="12" t="str">
        <f aca="false">IF($C333="","",IFERROR(INDEX(품목마스터!$B$3:$B$302,MATCH($C333,품목마스터!$A$3:$A$302,0)),"미등록품번"))</f>
        <v/>
      </c>
      <c r="E333" s="12" t="str">
        <f aca="false">IF($C333="","",IFERROR(INDEX(품목마스터!$C$3:$C$302,MATCH($C333,품목마스터!$A$3:$A$302,0)),""))</f>
        <v/>
      </c>
      <c r="F333" s="12" t="str">
        <f aca="false">IF($C333="","",IFERROR(INDEX(품목마스터!$D$3:$D$302,MATCH($C333,품목마스터!$A$3:$A$302,0)),""))</f>
        <v/>
      </c>
      <c r="G333" s="9"/>
      <c r="H333" s="9"/>
      <c r="I333" s="13" t="str">
        <f aca="false">IF(OR($G333="",$H333=""),"",ROUND($G333*$H333,0))</f>
        <v/>
      </c>
      <c r="J333" s="7"/>
      <c r="K333" s="7"/>
      <c r="L333" s="14" t="str">
        <f aca="false">IF(OR($C333="",$G333=""),"",IF($B333="입고",$G333,IF($B333="출고",-$G333,$G333)))</f>
        <v/>
      </c>
      <c r="M333" s="13" t="str">
        <f aca="false">IF($C333="","",IFERROR(INDEX(품목마스터!$F$3:$F$302,MATCH($C333,품목마스터!$A$3:$A$302,0)),0)+SUMIFS($L$3:$L333,$C$3:$C333,$C333))</f>
        <v/>
      </c>
    </row>
    <row r="334" customFormat="false" ht="15" hidden="false" customHeight="true" outlineLevel="0" collapsed="false">
      <c r="A334" s="11"/>
      <c r="B334" s="7"/>
      <c r="C334" s="7"/>
      <c r="D334" s="12" t="str">
        <f aca="false">IF($C334="","",IFERROR(INDEX(품목마스터!$B$3:$B$302,MATCH($C334,품목마스터!$A$3:$A$302,0)),"미등록품번"))</f>
        <v/>
      </c>
      <c r="E334" s="12" t="str">
        <f aca="false">IF($C334="","",IFERROR(INDEX(품목마스터!$C$3:$C$302,MATCH($C334,품목마스터!$A$3:$A$302,0)),""))</f>
        <v/>
      </c>
      <c r="F334" s="12" t="str">
        <f aca="false">IF($C334="","",IFERROR(INDEX(품목마스터!$D$3:$D$302,MATCH($C334,품목마스터!$A$3:$A$302,0)),""))</f>
        <v/>
      </c>
      <c r="G334" s="9"/>
      <c r="H334" s="9"/>
      <c r="I334" s="13" t="str">
        <f aca="false">IF(OR($G334="",$H334=""),"",ROUND($G334*$H334,0))</f>
        <v/>
      </c>
      <c r="J334" s="7"/>
      <c r="K334" s="7"/>
      <c r="L334" s="14" t="str">
        <f aca="false">IF(OR($C334="",$G334=""),"",IF($B334="입고",$G334,IF($B334="출고",-$G334,$G334)))</f>
        <v/>
      </c>
      <c r="M334" s="13" t="str">
        <f aca="false">IF($C334="","",IFERROR(INDEX(품목마스터!$F$3:$F$302,MATCH($C334,품목마스터!$A$3:$A$302,0)),0)+SUMIFS($L$3:$L334,$C$3:$C334,$C334))</f>
        <v/>
      </c>
    </row>
    <row r="335" customFormat="false" ht="15" hidden="false" customHeight="true" outlineLevel="0" collapsed="false">
      <c r="A335" s="11"/>
      <c r="B335" s="7"/>
      <c r="C335" s="7"/>
      <c r="D335" s="12" t="str">
        <f aca="false">IF($C335="","",IFERROR(INDEX(품목마스터!$B$3:$B$302,MATCH($C335,품목마스터!$A$3:$A$302,0)),"미등록품번"))</f>
        <v/>
      </c>
      <c r="E335" s="12" t="str">
        <f aca="false">IF($C335="","",IFERROR(INDEX(품목마스터!$C$3:$C$302,MATCH($C335,품목마스터!$A$3:$A$302,0)),""))</f>
        <v/>
      </c>
      <c r="F335" s="12" t="str">
        <f aca="false">IF($C335="","",IFERROR(INDEX(품목마스터!$D$3:$D$302,MATCH($C335,품목마스터!$A$3:$A$302,0)),""))</f>
        <v/>
      </c>
      <c r="G335" s="9"/>
      <c r="H335" s="9"/>
      <c r="I335" s="13" t="str">
        <f aca="false">IF(OR($G335="",$H335=""),"",ROUND($G335*$H335,0))</f>
        <v/>
      </c>
      <c r="J335" s="7"/>
      <c r="K335" s="7"/>
      <c r="L335" s="14" t="str">
        <f aca="false">IF(OR($C335="",$G335=""),"",IF($B335="입고",$G335,IF($B335="출고",-$G335,$G335)))</f>
        <v/>
      </c>
      <c r="M335" s="13" t="str">
        <f aca="false">IF($C335="","",IFERROR(INDEX(품목마스터!$F$3:$F$302,MATCH($C335,품목마스터!$A$3:$A$302,0)),0)+SUMIFS($L$3:$L335,$C$3:$C335,$C335))</f>
        <v/>
      </c>
    </row>
    <row r="336" customFormat="false" ht="15" hidden="false" customHeight="true" outlineLevel="0" collapsed="false">
      <c r="A336" s="11"/>
      <c r="B336" s="7"/>
      <c r="C336" s="7"/>
      <c r="D336" s="12" t="str">
        <f aca="false">IF($C336="","",IFERROR(INDEX(품목마스터!$B$3:$B$302,MATCH($C336,품목마스터!$A$3:$A$302,0)),"미등록품번"))</f>
        <v/>
      </c>
      <c r="E336" s="12" t="str">
        <f aca="false">IF($C336="","",IFERROR(INDEX(품목마스터!$C$3:$C$302,MATCH($C336,품목마스터!$A$3:$A$302,0)),""))</f>
        <v/>
      </c>
      <c r="F336" s="12" t="str">
        <f aca="false">IF($C336="","",IFERROR(INDEX(품목마스터!$D$3:$D$302,MATCH($C336,품목마스터!$A$3:$A$302,0)),""))</f>
        <v/>
      </c>
      <c r="G336" s="9"/>
      <c r="H336" s="9"/>
      <c r="I336" s="13" t="str">
        <f aca="false">IF(OR($G336="",$H336=""),"",ROUND($G336*$H336,0))</f>
        <v/>
      </c>
      <c r="J336" s="7"/>
      <c r="K336" s="7"/>
      <c r="L336" s="14" t="str">
        <f aca="false">IF(OR($C336="",$G336=""),"",IF($B336="입고",$G336,IF($B336="출고",-$G336,$G336)))</f>
        <v/>
      </c>
      <c r="M336" s="13" t="str">
        <f aca="false">IF($C336="","",IFERROR(INDEX(품목마스터!$F$3:$F$302,MATCH($C336,품목마스터!$A$3:$A$302,0)),0)+SUMIFS($L$3:$L336,$C$3:$C336,$C336))</f>
        <v/>
      </c>
    </row>
    <row r="337" customFormat="false" ht="15" hidden="false" customHeight="true" outlineLevel="0" collapsed="false">
      <c r="A337" s="11"/>
      <c r="B337" s="7"/>
      <c r="C337" s="7"/>
      <c r="D337" s="12" t="str">
        <f aca="false">IF($C337="","",IFERROR(INDEX(품목마스터!$B$3:$B$302,MATCH($C337,품목마스터!$A$3:$A$302,0)),"미등록품번"))</f>
        <v/>
      </c>
      <c r="E337" s="12" t="str">
        <f aca="false">IF($C337="","",IFERROR(INDEX(품목마스터!$C$3:$C$302,MATCH($C337,품목마스터!$A$3:$A$302,0)),""))</f>
        <v/>
      </c>
      <c r="F337" s="12" t="str">
        <f aca="false">IF($C337="","",IFERROR(INDEX(품목마스터!$D$3:$D$302,MATCH($C337,품목마스터!$A$3:$A$302,0)),""))</f>
        <v/>
      </c>
      <c r="G337" s="9"/>
      <c r="H337" s="9"/>
      <c r="I337" s="13" t="str">
        <f aca="false">IF(OR($G337="",$H337=""),"",ROUND($G337*$H337,0))</f>
        <v/>
      </c>
      <c r="J337" s="7"/>
      <c r="K337" s="7"/>
      <c r="L337" s="14" t="str">
        <f aca="false">IF(OR($C337="",$G337=""),"",IF($B337="입고",$G337,IF($B337="출고",-$G337,$G337)))</f>
        <v/>
      </c>
      <c r="M337" s="13" t="str">
        <f aca="false">IF($C337="","",IFERROR(INDEX(품목마스터!$F$3:$F$302,MATCH($C337,품목마스터!$A$3:$A$302,0)),0)+SUMIFS($L$3:$L337,$C$3:$C337,$C337))</f>
        <v/>
      </c>
    </row>
    <row r="338" customFormat="false" ht="15" hidden="false" customHeight="true" outlineLevel="0" collapsed="false">
      <c r="A338" s="11"/>
      <c r="B338" s="7"/>
      <c r="C338" s="7"/>
      <c r="D338" s="12" t="str">
        <f aca="false">IF($C338="","",IFERROR(INDEX(품목마스터!$B$3:$B$302,MATCH($C338,품목마스터!$A$3:$A$302,0)),"미등록품번"))</f>
        <v/>
      </c>
      <c r="E338" s="12" t="str">
        <f aca="false">IF($C338="","",IFERROR(INDEX(품목마스터!$C$3:$C$302,MATCH($C338,품목마스터!$A$3:$A$302,0)),""))</f>
        <v/>
      </c>
      <c r="F338" s="12" t="str">
        <f aca="false">IF($C338="","",IFERROR(INDEX(품목마스터!$D$3:$D$302,MATCH($C338,품목마스터!$A$3:$A$302,0)),""))</f>
        <v/>
      </c>
      <c r="G338" s="9"/>
      <c r="H338" s="9"/>
      <c r="I338" s="13" t="str">
        <f aca="false">IF(OR($G338="",$H338=""),"",ROUND($G338*$H338,0))</f>
        <v/>
      </c>
      <c r="J338" s="7"/>
      <c r="K338" s="7"/>
      <c r="L338" s="14" t="str">
        <f aca="false">IF(OR($C338="",$G338=""),"",IF($B338="입고",$G338,IF($B338="출고",-$G338,$G338)))</f>
        <v/>
      </c>
      <c r="M338" s="13" t="str">
        <f aca="false">IF($C338="","",IFERROR(INDEX(품목마스터!$F$3:$F$302,MATCH($C338,품목마스터!$A$3:$A$302,0)),0)+SUMIFS($L$3:$L338,$C$3:$C338,$C338))</f>
        <v/>
      </c>
    </row>
    <row r="339" customFormat="false" ht="15" hidden="false" customHeight="true" outlineLevel="0" collapsed="false">
      <c r="A339" s="11"/>
      <c r="B339" s="7"/>
      <c r="C339" s="7"/>
      <c r="D339" s="12" t="str">
        <f aca="false">IF($C339="","",IFERROR(INDEX(품목마스터!$B$3:$B$302,MATCH($C339,품목마스터!$A$3:$A$302,0)),"미등록품번"))</f>
        <v/>
      </c>
      <c r="E339" s="12" t="str">
        <f aca="false">IF($C339="","",IFERROR(INDEX(품목마스터!$C$3:$C$302,MATCH($C339,품목마스터!$A$3:$A$302,0)),""))</f>
        <v/>
      </c>
      <c r="F339" s="12" t="str">
        <f aca="false">IF($C339="","",IFERROR(INDEX(품목마스터!$D$3:$D$302,MATCH($C339,품목마스터!$A$3:$A$302,0)),""))</f>
        <v/>
      </c>
      <c r="G339" s="9"/>
      <c r="H339" s="9"/>
      <c r="I339" s="13" t="str">
        <f aca="false">IF(OR($G339="",$H339=""),"",ROUND($G339*$H339,0))</f>
        <v/>
      </c>
      <c r="J339" s="7"/>
      <c r="K339" s="7"/>
      <c r="L339" s="14" t="str">
        <f aca="false">IF(OR($C339="",$G339=""),"",IF($B339="입고",$G339,IF($B339="출고",-$G339,$G339)))</f>
        <v/>
      </c>
      <c r="M339" s="13" t="str">
        <f aca="false">IF($C339="","",IFERROR(INDEX(품목마스터!$F$3:$F$302,MATCH($C339,품목마스터!$A$3:$A$302,0)),0)+SUMIFS($L$3:$L339,$C$3:$C339,$C339))</f>
        <v/>
      </c>
    </row>
    <row r="340" customFormat="false" ht="15" hidden="false" customHeight="true" outlineLevel="0" collapsed="false">
      <c r="A340" s="11"/>
      <c r="B340" s="7"/>
      <c r="C340" s="7"/>
      <c r="D340" s="12" t="str">
        <f aca="false">IF($C340="","",IFERROR(INDEX(품목마스터!$B$3:$B$302,MATCH($C340,품목마스터!$A$3:$A$302,0)),"미등록품번"))</f>
        <v/>
      </c>
      <c r="E340" s="12" t="str">
        <f aca="false">IF($C340="","",IFERROR(INDEX(품목마스터!$C$3:$C$302,MATCH($C340,품목마스터!$A$3:$A$302,0)),""))</f>
        <v/>
      </c>
      <c r="F340" s="12" t="str">
        <f aca="false">IF($C340="","",IFERROR(INDEX(품목마스터!$D$3:$D$302,MATCH($C340,품목마스터!$A$3:$A$302,0)),""))</f>
        <v/>
      </c>
      <c r="G340" s="9"/>
      <c r="H340" s="9"/>
      <c r="I340" s="13" t="str">
        <f aca="false">IF(OR($G340="",$H340=""),"",ROUND($G340*$H340,0))</f>
        <v/>
      </c>
      <c r="J340" s="7"/>
      <c r="K340" s="7"/>
      <c r="L340" s="14" t="str">
        <f aca="false">IF(OR($C340="",$G340=""),"",IF($B340="입고",$G340,IF($B340="출고",-$G340,$G340)))</f>
        <v/>
      </c>
      <c r="M340" s="13" t="str">
        <f aca="false">IF($C340="","",IFERROR(INDEX(품목마스터!$F$3:$F$302,MATCH($C340,품목마스터!$A$3:$A$302,0)),0)+SUMIFS($L$3:$L340,$C$3:$C340,$C340))</f>
        <v/>
      </c>
    </row>
    <row r="341" customFormat="false" ht="15" hidden="false" customHeight="true" outlineLevel="0" collapsed="false">
      <c r="A341" s="11"/>
      <c r="B341" s="7"/>
      <c r="C341" s="7"/>
      <c r="D341" s="12" t="str">
        <f aca="false">IF($C341="","",IFERROR(INDEX(품목마스터!$B$3:$B$302,MATCH($C341,품목마스터!$A$3:$A$302,0)),"미등록품번"))</f>
        <v/>
      </c>
      <c r="E341" s="12" t="str">
        <f aca="false">IF($C341="","",IFERROR(INDEX(품목마스터!$C$3:$C$302,MATCH($C341,품목마스터!$A$3:$A$302,0)),""))</f>
        <v/>
      </c>
      <c r="F341" s="12" t="str">
        <f aca="false">IF($C341="","",IFERROR(INDEX(품목마스터!$D$3:$D$302,MATCH($C341,품목마스터!$A$3:$A$302,0)),""))</f>
        <v/>
      </c>
      <c r="G341" s="9"/>
      <c r="H341" s="9"/>
      <c r="I341" s="13" t="str">
        <f aca="false">IF(OR($G341="",$H341=""),"",ROUND($G341*$H341,0))</f>
        <v/>
      </c>
      <c r="J341" s="7"/>
      <c r="K341" s="7"/>
      <c r="L341" s="14" t="str">
        <f aca="false">IF(OR($C341="",$G341=""),"",IF($B341="입고",$G341,IF($B341="출고",-$G341,$G341)))</f>
        <v/>
      </c>
      <c r="M341" s="13" t="str">
        <f aca="false">IF($C341="","",IFERROR(INDEX(품목마스터!$F$3:$F$302,MATCH($C341,품목마스터!$A$3:$A$302,0)),0)+SUMIFS($L$3:$L341,$C$3:$C341,$C341))</f>
        <v/>
      </c>
    </row>
    <row r="342" customFormat="false" ht="15" hidden="false" customHeight="true" outlineLevel="0" collapsed="false">
      <c r="A342" s="11"/>
      <c r="B342" s="7"/>
      <c r="C342" s="7"/>
      <c r="D342" s="12" t="str">
        <f aca="false">IF($C342="","",IFERROR(INDEX(품목마스터!$B$3:$B$302,MATCH($C342,품목마스터!$A$3:$A$302,0)),"미등록품번"))</f>
        <v/>
      </c>
      <c r="E342" s="12" t="str">
        <f aca="false">IF($C342="","",IFERROR(INDEX(품목마스터!$C$3:$C$302,MATCH($C342,품목마스터!$A$3:$A$302,0)),""))</f>
        <v/>
      </c>
      <c r="F342" s="12" t="str">
        <f aca="false">IF($C342="","",IFERROR(INDEX(품목마스터!$D$3:$D$302,MATCH($C342,품목마스터!$A$3:$A$302,0)),""))</f>
        <v/>
      </c>
      <c r="G342" s="9"/>
      <c r="H342" s="9"/>
      <c r="I342" s="13" t="str">
        <f aca="false">IF(OR($G342="",$H342=""),"",ROUND($G342*$H342,0))</f>
        <v/>
      </c>
      <c r="J342" s="7"/>
      <c r="K342" s="7"/>
      <c r="L342" s="14" t="str">
        <f aca="false">IF(OR($C342="",$G342=""),"",IF($B342="입고",$G342,IF($B342="출고",-$G342,$G342)))</f>
        <v/>
      </c>
      <c r="M342" s="13" t="str">
        <f aca="false">IF($C342="","",IFERROR(INDEX(품목마스터!$F$3:$F$302,MATCH($C342,품목마스터!$A$3:$A$302,0)),0)+SUMIFS($L$3:$L342,$C$3:$C342,$C342))</f>
        <v/>
      </c>
    </row>
    <row r="343" customFormat="false" ht="15" hidden="false" customHeight="true" outlineLevel="0" collapsed="false">
      <c r="A343" s="11"/>
      <c r="B343" s="7"/>
      <c r="C343" s="7"/>
      <c r="D343" s="12" t="str">
        <f aca="false">IF($C343="","",IFERROR(INDEX(품목마스터!$B$3:$B$302,MATCH($C343,품목마스터!$A$3:$A$302,0)),"미등록품번"))</f>
        <v/>
      </c>
      <c r="E343" s="12" t="str">
        <f aca="false">IF($C343="","",IFERROR(INDEX(품목마스터!$C$3:$C$302,MATCH($C343,품목마스터!$A$3:$A$302,0)),""))</f>
        <v/>
      </c>
      <c r="F343" s="12" t="str">
        <f aca="false">IF($C343="","",IFERROR(INDEX(품목마스터!$D$3:$D$302,MATCH($C343,품목마스터!$A$3:$A$302,0)),""))</f>
        <v/>
      </c>
      <c r="G343" s="9"/>
      <c r="H343" s="9"/>
      <c r="I343" s="13" t="str">
        <f aca="false">IF(OR($G343="",$H343=""),"",ROUND($G343*$H343,0))</f>
        <v/>
      </c>
      <c r="J343" s="7"/>
      <c r="K343" s="7"/>
      <c r="L343" s="14" t="str">
        <f aca="false">IF(OR($C343="",$G343=""),"",IF($B343="입고",$G343,IF($B343="출고",-$G343,$G343)))</f>
        <v/>
      </c>
      <c r="M343" s="13" t="str">
        <f aca="false">IF($C343="","",IFERROR(INDEX(품목마스터!$F$3:$F$302,MATCH($C343,품목마스터!$A$3:$A$302,0)),0)+SUMIFS($L$3:$L343,$C$3:$C343,$C343))</f>
        <v/>
      </c>
    </row>
    <row r="344" customFormat="false" ht="15" hidden="false" customHeight="true" outlineLevel="0" collapsed="false">
      <c r="A344" s="11"/>
      <c r="B344" s="7"/>
      <c r="C344" s="7"/>
      <c r="D344" s="12" t="str">
        <f aca="false">IF($C344="","",IFERROR(INDEX(품목마스터!$B$3:$B$302,MATCH($C344,품목마스터!$A$3:$A$302,0)),"미등록품번"))</f>
        <v/>
      </c>
      <c r="E344" s="12" t="str">
        <f aca="false">IF($C344="","",IFERROR(INDEX(품목마스터!$C$3:$C$302,MATCH($C344,품목마스터!$A$3:$A$302,0)),""))</f>
        <v/>
      </c>
      <c r="F344" s="12" t="str">
        <f aca="false">IF($C344="","",IFERROR(INDEX(품목마스터!$D$3:$D$302,MATCH($C344,품목마스터!$A$3:$A$302,0)),""))</f>
        <v/>
      </c>
      <c r="G344" s="9"/>
      <c r="H344" s="9"/>
      <c r="I344" s="13" t="str">
        <f aca="false">IF(OR($G344="",$H344=""),"",ROUND($G344*$H344,0))</f>
        <v/>
      </c>
      <c r="J344" s="7"/>
      <c r="K344" s="7"/>
      <c r="L344" s="14" t="str">
        <f aca="false">IF(OR($C344="",$G344=""),"",IF($B344="입고",$G344,IF($B344="출고",-$G344,$G344)))</f>
        <v/>
      </c>
      <c r="M344" s="13" t="str">
        <f aca="false">IF($C344="","",IFERROR(INDEX(품목마스터!$F$3:$F$302,MATCH($C344,품목마스터!$A$3:$A$302,0)),0)+SUMIFS($L$3:$L344,$C$3:$C344,$C344))</f>
        <v/>
      </c>
    </row>
    <row r="345" customFormat="false" ht="15" hidden="false" customHeight="true" outlineLevel="0" collapsed="false">
      <c r="A345" s="11"/>
      <c r="B345" s="7"/>
      <c r="C345" s="7"/>
      <c r="D345" s="12" t="str">
        <f aca="false">IF($C345="","",IFERROR(INDEX(품목마스터!$B$3:$B$302,MATCH($C345,품목마스터!$A$3:$A$302,0)),"미등록품번"))</f>
        <v/>
      </c>
      <c r="E345" s="12" t="str">
        <f aca="false">IF($C345="","",IFERROR(INDEX(품목마스터!$C$3:$C$302,MATCH($C345,품목마스터!$A$3:$A$302,0)),""))</f>
        <v/>
      </c>
      <c r="F345" s="12" t="str">
        <f aca="false">IF($C345="","",IFERROR(INDEX(품목마스터!$D$3:$D$302,MATCH($C345,품목마스터!$A$3:$A$302,0)),""))</f>
        <v/>
      </c>
      <c r="G345" s="9"/>
      <c r="H345" s="9"/>
      <c r="I345" s="13" t="str">
        <f aca="false">IF(OR($G345="",$H345=""),"",ROUND($G345*$H345,0))</f>
        <v/>
      </c>
      <c r="J345" s="7"/>
      <c r="K345" s="7"/>
      <c r="L345" s="14" t="str">
        <f aca="false">IF(OR($C345="",$G345=""),"",IF($B345="입고",$G345,IF($B345="출고",-$G345,$G345)))</f>
        <v/>
      </c>
      <c r="M345" s="13" t="str">
        <f aca="false">IF($C345="","",IFERROR(INDEX(품목마스터!$F$3:$F$302,MATCH($C345,품목마스터!$A$3:$A$302,0)),0)+SUMIFS($L$3:$L345,$C$3:$C345,$C345))</f>
        <v/>
      </c>
    </row>
    <row r="346" customFormat="false" ht="15" hidden="false" customHeight="true" outlineLevel="0" collapsed="false">
      <c r="A346" s="11"/>
      <c r="B346" s="7"/>
      <c r="C346" s="7"/>
      <c r="D346" s="12" t="str">
        <f aca="false">IF($C346="","",IFERROR(INDEX(품목마스터!$B$3:$B$302,MATCH($C346,품목마스터!$A$3:$A$302,0)),"미등록품번"))</f>
        <v/>
      </c>
      <c r="E346" s="12" t="str">
        <f aca="false">IF($C346="","",IFERROR(INDEX(품목마스터!$C$3:$C$302,MATCH($C346,품목마스터!$A$3:$A$302,0)),""))</f>
        <v/>
      </c>
      <c r="F346" s="12" t="str">
        <f aca="false">IF($C346="","",IFERROR(INDEX(품목마스터!$D$3:$D$302,MATCH($C346,품목마스터!$A$3:$A$302,0)),""))</f>
        <v/>
      </c>
      <c r="G346" s="9"/>
      <c r="H346" s="9"/>
      <c r="I346" s="13" t="str">
        <f aca="false">IF(OR($G346="",$H346=""),"",ROUND($G346*$H346,0))</f>
        <v/>
      </c>
      <c r="J346" s="7"/>
      <c r="K346" s="7"/>
      <c r="L346" s="14" t="str">
        <f aca="false">IF(OR($C346="",$G346=""),"",IF($B346="입고",$G346,IF($B346="출고",-$G346,$G346)))</f>
        <v/>
      </c>
      <c r="M346" s="13" t="str">
        <f aca="false">IF($C346="","",IFERROR(INDEX(품목마스터!$F$3:$F$302,MATCH($C346,품목마스터!$A$3:$A$302,0)),0)+SUMIFS($L$3:$L346,$C$3:$C346,$C346))</f>
        <v/>
      </c>
    </row>
    <row r="347" customFormat="false" ht="15" hidden="false" customHeight="true" outlineLevel="0" collapsed="false">
      <c r="A347" s="11"/>
      <c r="B347" s="7"/>
      <c r="C347" s="7"/>
      <c r="D347" s="12" t="str">
        <f aca="false">IF($C347="","",IFERROR(INDEX(품목마스터!$B$3:$B$302,MATCH($C347,품목마스터!$A$3:$A$302,0)),"미등록품번"))</f>
        <v/>
      </c>
      <c r="E347" s="12" t="str">
        <f aca="false">IF($C347="","",IFERROR(INDEX(품목마스터!$C$3:$C$302,MATCH($C347,품목마스터!$A$3:$A$302,0)),""))</f>
        <v/>
      </c>
      <c r="F347" s="12" t="str">
        <f aca="false">IF($C347="","",IFERROR(INDEX(품목마스터!$D$3:$D$302,MATCH($C347,품목마스터!$A$3:$A$302,0)),""))</f>
        <v/>
      </c>
      <c r="G347" s="9"/>
      <c r="H347" s="9"/>
      <c r="I347" s="13" t="str">
        <f aca="false">IF(OR($G347="",$H347=""),"",ROUND($G347*$H347,0))</f>
        <v/>
      </c>
      <c r="J347" s="7"/>
      <c r="K347" s="7"/>
      <c r="L347" s="14" t="str">
        <f aca="false">IF(OR($C347="",$G347=""),"",IF($B347="입고",$G347,IF($B347="출고",-$G347,$G347)))</f>
        <v/>
      </c>
      <c r="M347" s="13" t="str">
        <f aca="false">IF($C347="","",IFERROR(INDEX(품목마스터!$F$3:$F$302,MATCH($C347,품목마스터!$A$3:$A$302,0)),0)+SUMIFS($L$3:$L347,$C$3:$C347,$C347))</f>
        <v/>
      </c>
    </row>
    <row r="348" customFormat="false" ht="15" hidden="false" customHeight="true" outlineLevel="0" collapsed="false">
      <c r="A348" s="11"/>
      <c r="B348" s="7"/>
      <c r="C348" s="7"/>
      <c r="D348" s="12" t="str">
        <f aca="false">IF($C348="","",IFERROR(INDEX(품목마스터!$B$3:$B$302,MATCH($C348,품목마스터!$A$3:$A$302,0)),"미등록품번"))</f>
        <v/>
      </c>
      <c r="E348" s="12" t="str">
        <f aca="false">IF($C348="","",IFERROR(INDEX(품목마스터!$C$3:$C$302,MATCH($C348,품목마스터!$A$3:$A$302,0)),""))</f>
        <v/>
      </c>
      <c r="F348" s="12" t="str">
        <f aca="false">IF($C348="","",IFERROR(INDEX(품목마스터!$D$3:$D$302,MATCH($C348,품목마스터!$A$3:$A$302,0)),""))</f>
        <v/>
      </c>
      <c r="G348" s="9"/>
      <c r="H348" s="9"/>
      <c r="I348" s="13" t="str">
        <f aca="false">IF(OR($G348="",$H348=""),"",ROUND($G348*$H348,0))</f>
        <v/>
      </c>
      <c r="J348" s="7"/>
      <c r="K348" s="7"/>
      <c r="L348" s="14" t="str">
        <f aca="false">IF(OR($C348="",$G348=""),"",IF($B348="입고",$G348,IF($B348="출고",-$G348,$G348)))</f>
        <v/>
      </c>
      <c r="M348" s="13" t="str">
        <f aca="false">IF($C348="","",IFERROR(INDEX(품목마스터!$F$3:$F$302,MATCH($C348,품목마스터!$A$3:$A$302,0)),0)+SUMIFS($L$3:$L348,$C$3:$C348,$C348))</f>
        <v/>
      </c>
    </row>
    <row r="349" customFormat="false" ht="15" hidden="false" customHeight="true" outlineLevel="0" collapsed="false">
      <c r="A349" s="11"/>
      <c r="B349" s="7"/>
      <c r="C349" s="7"/>
      <c r="D349" s="12" t="str">
        <f aca="false">IF($C349="","",IFERROR(INDEX(품목마스터!$B$3:$B$302,MATCH($C349,품목마스터!$A$3:$A$302,0)),"미등록품번"))</f>
        <v/>
      </c>
      <c r="E349" s="12" t="str">
        <f aca="false">IF($C349="","",IFERROR(INDEX(품목마스터!$C$3:$C$302,MATCH($C349,품목마스터!$A$3:$A$302,0)),""))</f>
        <v/>
      </c>
      <c r="F349" s="12" t="str">
        <f aca="false">IF($C349="","",IFERROR(INDEX(품목마스터!$D$3:$D$302,MATCH($C349,품목마스터!$A$3:$A$302,0)),""))</f>
        <v/>
      </c>
      <c r="G349" s="9"/>
      <c r="H349" s="9"/>
      <c r="I349" s="13" t="str">
        <f aca="false">IF(OR($G349="",$H349=""),"",ROUND($G349*$H349,0))</f>
        <v/>
      </c>
      <c r="J349" s="7"/>
      <c r="K349" s="7"/>
      <c r="L349" s="14" t="str">
        <f aca="false">IF(OR($C349="",$G349=""),"",IF($B349="입고",$G349,IF($B349="출고",-$G349,$G349)))</f>
        <v/>
      </c>
      <c r="M349" s="13" t="str">
        <f aca="false">IF($C349="","",IFERROR(INDEX(품목마스터!$F$3:$F$302,MATCH($C349,품목마스터!$A$3:$A$302,0)),0)+SUMIFS($L$3:$L349,$C$3:$C349,$C349))</f>
        <v/>
      </c>
    </row>
    <row r="350" customFormat="false" ht="15" hidden="false" customHeight="true" outlineLevel="0" collapsed="false">
      <c r="A350" s="11"/>
      <c r="B350" s="7"/>
      <c r="C350" s="7"/>
      <c r="D350" s="12" t="str">
        <f aca="false">IF($C350="","",IFERROR(INDEX(품목마스터!$B$3:$B$302,MATCH($C350,품목마스터!$A$3:$A$302,0)),"미등록품번"))</f>
        <v/>
      </c>
      <c r="E350" s="12" t="str">
        <f aca="false">IF($C350="","",IFERROR(INDEX(품목마스터!$C$3:$C$302,MATCH($C350,품목마스터!$A$3:$A$302,0)),""))</f>
        <v/>
      </c>
      <c r="F350" s="12" t="str">
        <f aca="false">IF($C350="","",IFERROR(INDEX(품목마스터!$D$3:$D$302,MATCH($C350,품목마스터!$A$3:$A$302,0)),""))</f>
        <v/>
      </c>
      <c r="G350" s="9"/>
      <c r="H350" s="9"/>
      <c r="I350" s="13" t="str">
        <f aca="false">IF(OR($G350="",$H350=""),"",ROUND($G350*$H350,0))</f>
        <v/>
      </c>
      <c r="J350" s="7"/>
      <c r="K350" s="7"/>
      <c r="L350" s="14" t="str">
        <f aca="false">IF(OR($C350="",$G350=""),"",IF($B350="입고",$G350,IF($B350="출고",-$G350,$G350)))</f>
        <v/>
      </c>
      <c r="M350" s="13" t="str">
        <f aca="false">IF($C350="","",IFERROR(INDEX(품목마스터!$F$3:$F$302,MATCH($C350,품목마스터!$A$3:$A$302,0)),0)+SUMIFS($L$3:$L350,$C$3:$C350,$C350))</f>
        <v/>
      </c>
    </row>
    <row r="351" customFormat="false" ht="15" hidden="false" customHeight="true" outlineLevel="0" collapsed="false">
      <c r="A351" s="11"/>
      <c r="B351" s="7"/>
      <c r="C351" s="7"/>
      <c r="D351" s="12" t="str">
        <f aca="false">IF($C351="","",IFERROR(INDEX(품목마스터!$B$3:$B$302,MATCH($C351,품목마스터!$A$3:$A$302,0)),"미등록품번"))</f>
        <v/>
      </c>
      <c r="E351" s="12" t="str">
        <f aca="false">IF($C351="","",IFERROR(INDEX(품목마스터!$C$3:$C$302,MATCH($C351,품목마스터!$A$3:$A$302,0)),""))</f>
        <v/>
      </c>
      <c r="F351" s="12" t="str">
        <f aca="false">IF($C351="","",IFERROR(INDEX(품목마스터!$D$3:$D$302,MATCH($C351,품목마스터!$A$3:$A$302,0)),""))</f>
        <v/>
      </c>
      <c r="G351" s="9"/>
      <c r="H351" s="9"/>
      <c r="I351" s="13" t="str">
        <f aca="false">IF(OR($G351="",$H351=""),"",ROUND($G351*$H351,0))</f>
        <v/>
      </c>
      <c r="J351" s="7"/>
      <c r="K351" s="7"/>
      <c r="L351" s="14" t="str">
        <f aca="false">IF(OR($C351="",$G351=""),"",IF($B351="입고",$G351,IF($B351="출고",-$G351,$G351)))</f>
        <v/>
      </c>
      <c r="M351" s="13" t="str">
        <f aca="false">IF($C351="","",IFERROR(INDEX(품목마스터!$F$3:$F$302,MATCH($C351,품목마스터!$A$3:$A$302,0)),0)+SUMIFS($L$3:$L351,$C$3:$C351,$C351))</f>
        <v/>
      </c>
    </row>
    <row r="352" customFormat="false" ht="15" hidden="false" customHeight="true" outlineLevel="0" collapsed="false">
      <c r="A352" s="11"/>
      <c r="B352" s="7"/>
      <c r="C352" s="7"/>
      <c r="D352" s="12" t="str">
        <f aca="false">IF($C352="","",IFERROR(INDEX(품목마스터!$B$3:$B$302,MATCH($C352,품목마스터!$A$3:$A$302,0)),"미등록품번"))</f>
        <v/>
      </c>
      <c r="E352" s="12" t="str">
        <f aca="false">IF($C352="","",IFERROR(INDEX(품목마스터!$C$3:$C$302,MATCH($C352,품목마스터!$A$3:$A$302,0)),""))</f>
        <v/>
      </c>
      <c r="F352" s="12" t="str">
        <f aca="false">IF($C352="","",IFERROR(INDEX(품목마스터!$D$3:$D$302,MATCH($C352,품목마스터!$A$3:$A$302,0)),""))</f>
        <v/>
      </c>
      <c r="G352" s="9"/>
      <c r="H352" s="9"/>
      <c r="I352" s="13" t="str">
        <f aca="false">IF(OR($G352="",$H352=""),"",ROUND($G352*$H352,0))</f>
        <v/>
      </c>
      <c r="J352" s="7"/>
      <c r="K352" s="7"/>
      <c r="L352" s="14" t="str">
        <f aca="false">IF(OR($C352="",$G352=""),"",IF($B352="입고",$G352,IF($B352="출고",-$G352,$G352)))</f>
        <v/>
      </c>
      <c r="M352" s="13" t="str">
        <f aca="false">IF($C352="","",IFERROR(INDEX(품목마스터!$F$3:$F$302,MATCH($C352,품목마스터!$A$3:$A$302,0)),0)+SUMIFS($L$3:$L352,$C$3:$C352,$C352))</f>
        <v/>
      </c>
    </row>
    <row r="353" customFormat="false" ht="15" hidden="false" customHeight="true" outlineLevel="0" collapsed="false">
      <c r="A353" s="11"/>
      <c r="B353" s="7"/>
      <c r="C353" s="7"/>
      <c r="D353" s="12" t="str">
        <f aca="false">IF($C353="","",IFERROR(INDEX(품목마스터!$B$3:$B$302,MATCH($C353,품목마스터!$A$3:$A$302,0)),"미등록품번"))</f>
        <v/>
      </c>
      <c r="E353" s="12" t="str">
        <f aca="false">IF($C353="","",IFERROR(INDEX(품목마스터!$C$3:$C$302,MATCH($C353,품목마스터!$A$3:$A$302,0)),""))</f>
        <v/>
      </c>
      <c r="F353" s="12" t="str">
        <f aca="false">IF($C353="","",IFERROR(INDEX(품목마스터!$D$3:$D$302,MATCH($C353,품목마스터!$A$3:$A$302,0)),""))</f>
        <v/>
      </c>
      <c r="G353" s="9"/>
      <c r="H353" s="9"/>
      <c r="I353" s="13" t="str">
        <f aca="false">IF(OR($G353="",$H353=""),"",ROUND($G353*$H353,0))</f>
        <v/>
      </c>
      <c r="J353" s="7"/>
      <c r="K353" s="7"/>
      <c r="L353" s="14" t="str">
        <f aca="false">IF(OR($C353="",$G353=""),"",IF($B353="입고",$G353,IF($B353="출고",-$G353,$G353)))</f>
        <v/>
      </c>
      <c r="M353" s="13" t="str">
        <f aca="false">IF($C353="","",IFERROR(INDEX(품목마스터!$F$3:$F$302,MATCH($C353,품목마스터!$A$3:$A$302,0)),0)+SUMIFS($L$3:$L353,$C$3:$C353,$C353))</f>
        <v/>
      </c>
    </row>
    <row r="354" customFormat="false" ht="15" hidden="false" customHeight="true" outlineLevel="0" collapsed="false">
      <c r="A354" s="11"/>
      <c r="B354" s="7"/>
      <c r="C354" s="7"/>
      <c r="D354" s="12" t="str">
        <f aca="false">IF($C354="","",IFERROR(INDEX(품목마스터!$B$3:$B$302,MATCH($C354,품목마스터!$A$3:$A$302,0)),"미등록품번"))</f>
        <v/>
      </c>
      <c r="E354" s="12" t="str">
        <f aca="false">IF($C354="","",IFERROR(INDEX(품목마스터!$C$3:$C$302,MATCH($C354,품목마스터!$A$3:$A$302,0)),""))</f>
        <v/>
      </c>
      <c r="F354" s="12" t="str">
        <f aca="false">IF($C354="","",IFERROR(INDEX(품목마스터!$D$3:$D$302,MATCH($C354,품목마스터!$A$3:$A$302,0)),""))</f>
        <v/>
      </c>
      <c r="G354" s="9"/>
      <c r="H354" s="9"/>
      <c r="I354" s="13" t="str">
        <f aca="false">IF(OR($G354="",$H354=""),"",ROUND($G354*$H354,0))</f>
        <v/>
      </c>
      <c r="J354" s="7"/>
      <c r="K354" s="7"/>
      <c r="L354" s="14" t="str">
        <f aca="false">IF(OR($C354="",$G354=""),"",IF($B354="입고",$G354,IF($B354="출고",-$G354,$G354)))</f>
        <v/>
      </c>
      <c r="M354" s="13" t="str">
        <f aca="false">IF($C354="","",IFERROR(INDEX(품목마스터!$F$3:$F$302,MATCH($C354,품목마스터!$A$3:$A$302,0)),0)+SUMIFS($L$3:$L354,$C$3:$C354,$C354))</f>
        <v/>
      </c>
    </row>
    <row r="355" customFormat="false" ht="15" hidden="false" customHeight="true" outlineLevel="0" collapsed="false">
      <c r="A355" s="11"/>
      <c r="B355" s="7"/>
      <c r="C355" s="7"/>
      <c r="D355" s="12" t="str">
        <f aca="false">IF($C355="","",IFERROR(INDEX(품목마스터!$B$3:$B$302,MATCH($C355,품목마스터!$A$3:$A$302,0)),"미등록품번"))</f>
        <v/>
      </c>
      <c r="E355" s="12" t="str">
        <f aca="false">IF($C355="","",IFERROR(INDEX(품목마스터!$C$3:$C$302,MATCH($C355,품목마스터!$A$3:$A$302,0)),""))</f>
        <v/>
      </c>
      <c r="F355" s="12" t="str">
        <f aca="false">IF($C355="","",IFERROR(INDEX(품목마스터!$D$3:$D$302,MATCH($C355,품목마스터!$A$3:$A$302,0)),""))</f>
        <v/>
      </c>
      <c r="G355" s="9"/>
      <c r="H355" s="9"/>
      <c r="I355" s="13" t="str">
        <f aca="false">IF(OR($G355="",$H355=""),"",ROUND($G355*$H355,0))</f>
        <v/>
      </c>
      <c r="J355" s="7"/>
      <c r="K355" s="7"/>
      <c r="L355" s="14" t="str">
        <f aca="false">IF(OR($C355="",$G355=""),"",IF($B355="입고",$G355,IF($B355="출고",-$G355,$G355)))</f>
        <v/>
      </c>
      <c r="M355" s="13" t="str">
        <f aca="false">IF($C355="","",IFERROR(INDEX(품목마스터!$F$3:$F$302,MATCH($C355,품목마스터!$A$3:$A$302,0)),0)+SUMIFS($L$3:$L355,$C$3:$C355,$C355))</f>
        <v/>
      </c>
    </row>
    <row r="356" customFormat="false" ht="15" hidden="false" customHeight="true" outlineLevel="0" collapsed="false">
      <c r="A356" s="11"/>
      <c r="B356" s="7"/>
      <c r="C356" s="7"/>
      <c r="D356" s="12" t="str">
        <f aca="false">IF($C356="","",IFERROR(INDEX(품목마스터!$B$3:$B$302,MATCH($C356,품목마스터!$A$3:$A$302,0)),"미등록품번"))</f>
        <v/>
      </c>
      <c r="E356" s="12" t="str">
        <f aca="false">IF($C356="","",IFERROR(INDEX(품목마스터!$C$3:$C$302,MATCH($C356,품목마스터!$A$3:$A$302,0)),""))</f>
        <v/>
      </c>
      <c r="F356" s="12" t="str">
        <f aca="false">IF($C356="","",IFERROR(INDEX(품목마스터!$D$3:$D$302,MATCH($C356,품목마스터!$A$3:$A$302,0)),""))</f>
        <v/>
      </c>
      <c r="G356" s="9"/>
      <c r="H356" s="9"/>
      <c r="I356" s="13" t="str">
        <f aca="false">IF(OR($G356="",$H356=""),"",ROUND($G356*$H356,0))</f>
        <v/>
      </c>
      <c r="J356" s="7"/>
      <c r="K356" s="7"/>
      <c r="L356" s="14" t="str">
        <f aca="false">IF(OR($C356="",$G356=""),"",IF($B356="입고",$G356,IF($B356="출고",-$G356,$G356)))</f>
        <v/>
      </c>
      <c r="M356" s="13" t="str">
        <f aca="false">IF($C356="","",IFERROR(INDEX(품목마스터!$F$3:$F$302,MATCH($C356,품목마스터!$A$3:$A$302,0)),0)+SUMIFS($L$3:$L356,$C$3:$C356,$C356))</f>
        <v/>
      </c>
    </row>
    <row r="357" customFormat="false" ht="15" hidden="false" customHeight="true" outlineLevel="0" collapsed="false">
      <c r="A357" s="11"/>
      <c r="B357" s="7"/>
      <c r="C357" s="7"/>
      <c r="D357" s="12" t="str">
        <f aca="false">IF($C357="","",IFERROR(INDEX(품목마스터!$B$3:$B$302,MATCH($C357,품목마스터!$A$3:$A$302,0)),"미등록품번"))</f>
        <v/>
      </c>
      <c r="E357" s="12" t="str">
        <f aca="false">IF($C357="","",IFERROR(INDEX(품목마스터!$C$3:$C$302,MATCH($C357,품목마스터!$A$3:$A$302,0)),""))</f>
        <v/>
      </c>
      <c r="F357" s="12" t="str">
        <f aca="false">IF($C357="","",IFERROR(INDEX(품목마스터!$D$3:$D$302,MATCH($C357,품목마스터!$A$3:$A$302,0)),""))</f>
        <v/>
      </c>
      <c r="G357" s="9"/>
      <c r="H357" s="9"/>
      <c r="I357" s="13" t="str">
        <f aca="false">IF(OR($G357="",$H357=""),"",ROUND($G357*$H357,0))</f>
        <v/>
      </c>
      <c r="J357" s="7"/>
      <c r="K357" s="7"/>
      <c r="L357" s="14" t="str">
        <f aca="false">IF(OR($C357="",$G357=""),"",IF($B357="입고",$G357,IF($B357="출고",-$G357,$G357)))</f>
        <v/>
      </c>
      <c r="M357" s="13" t="str">
        <f aca="false">IF($C357="","",IFERROR(INDEX(품목마스터!$F$3:$F$302,MATCH($C357,품목마스터!$A$3:$A$302,0)),0)+SUMIFS($L$3:$L357,$C$3:$C357,$C357))</f>
        <v/>
      </c>
    </row>
    <row r="358" customFormat="false" ht="15" hidden="false" customHeight="true" outlineLevel="0" collapsed="false">
      <c r="A358" s="11"/>
      <c r="B358" s="7"/>
      <c r="C358" s="7"/>
      <c r="D358" s="12" t="str">
        <f aca="false">IF($C358="","",IFERROR(INDEX(품목마스터!$B$3:$B$302,MATCH($C358,품목마스터!$A$3:$A$302,0)),"미등록품번"))</f>
        <v/>
      </c>
      <c r="E358" s="12" t="str">
        <f aca="false">IF($C358="","",IFERROR(INDEX(품목마스터!$C$3:$C$302,MATCH($C358,품목마스터!$A$3:$A$302,0)),""))</f>
        <v/>
      </c>
      <c r="F358" s="12" t="str">
        <f aca="false">IF($C358="","",IFERROR(INDEX(품목마스터!$D$3:$D$302,MATCH($C358,품목마스터!$A$3:$A$302,0)),""))</f>
        <v/>
      </c>
      <c r="G358" s="9"/>
      <c r="H358" s="9"/>
      <c r="I358" s="13" t="str">
        <f aca="false">IF(OR($G358="",$H358=""),"",ROUND($G358*$H358,0))</f>
        <v/>
      </c>
      <c r="J358" s="7"/>
      <c r="K358" s="7"/>
      <c r="L358" s="14" t="str">
        <f aca="false">IF(OR($C358="",$G358=""),"",IF($B358="입고",$G358,IF($B358="출고",-$G358,$G358)))</f>
        <v/>
      </c>
      <c r="M358" s="13" t="str">
        <f aca="false">IF($C358="","",IFERROR(INDEX(품목마스터!$F$3:$F$302,MATCH($C358,품목마스터!$A$3:$A$302,0)),0)+SUMIFS($L$3:$L358,$C$3:$C358,$C358))</f>
        <v/>
      </c>
    </row>
    <row r="359" customFormat="false" ht="15" hidden="false" customHeight="true" outlineLevel="0" collapsed="false">
      <c r="A359" s="11"/>
      <c r="B359" s="7"/>
      <c r="C359" s="7"/>
      <c r="D359" s="12" t="str">
        <f aca="false">IF($C359="","",IFERROR(INDEX(품목마스터!$B$3:$B$302,MATCH($C359,품목마스터!$A$3:$A$302,0)),"미등록품번"))</f>
        <v/>
      </c>
      <c r="E359" s="12" t="str">
        <f aca="false">IF($C359="","",IFERROR(INDEX(품목마스터!$C$3:$C$302,MATCH($C359,품목마스터!$A$3:$A$302,0)),""))</f>
        <v/>
      </c>
      <c r="F359" s="12" t="str">
        <f aca="false">IF($C359="","",IFERROR(INDEX(품목마스터!$D$3:$D$302,MATCH($C359,품목마스터!$A$3:$A$302,0)),""))</f>
        <v/>
      </c>
      <c r="G359" s="9"/>
      <c r="H359" s="9"/>
      <c r="I359" s="13" t="str">
        <f aca="false">IF(OR($G359="",$H359=""),"",ROUND($G359*$H359,0))</f>
        <v/>
      </c>
      <c r="J359" s="7"/>
      <c r="K359" s="7"/>
      <c r="L359" s="14" t="str">
        <f aca="false">IF(OR($C359="",$G359=""),"",IF($B359="입고",$G359,IF($B359="출고",-$G359,$G359)))</f>
        <v/>
      </c>
      <c r="M359" s="13" t="str">
        <f aca="false">IF($C359="","",IFERROR(INDEX(품목마스터!$F$3:$F$302,MATCH($C359,품목마스터!$A$3:$A$302,0)),0)+SUMIFS($L$3:$L359,$C$3:$C359,$C359))</f>
        <v/>
      </c>
    </row>
    <row r="360" customFormat="false" ht="15" hidden="false" customHeight="true" outlineLevel="0" collapsed="false">
      <c r="A360" s="11"/>
      <c r="B360" s="7"/>
      <c r="C360" s="7"/>
      <c r="D360" s="12" t="str">
        <f aca="false">IF($C360="","",IFERROR(INDEX(품목마스터!$B$3:$B$302,MATCH($C360,품목마스터!$A$3:$A$302,0)),"미등록품번"))</f>
        <v/>
      </c>
      <c r="E360" s="12" t="str">
        <f aca="false">IF($C360="","",IFERROR(INDEX(품목마스터!$C$3:$C$302,MATCH($C360,품목마스터!$A$3:$A$302,0)),""))</f>
        <v/>
      </c>
      <c r="F360" s="12" t="str">
        <f aca="false">IF($C360="","",IFERROR(INDEX(품목마스터!$D$3:$D$302,MATCH($C360,품목마스터!$A$3:$A$302,0)),""))</f>
        <v/>
      </c>
      <c r="G360" s="9"/>
      <c r="H360" s="9"/>
      <c r="I360" s="13" t="str">
        <f aca="false">IF(OR($G360="",$H360=""),"",ROUND($G360*$H360,0))</f>
        <v/>
      </c>
      <c r="J360" s="7"/>
      <c r="K360" s="7"/>
      <c r="L360" s="14" t="str">
        <f aca="false">IF(OR($C360="",$G360=""),"",IF($B360="입고",$G360,IF($B360="출고",-$G360,$G360)))</f>
        <v/>
      </c>
      <c r="M360" s="13" t="str">
        <f aca="false">IF($C360="","",IFERROR(INDEX(품목마스터!$F$3:$F$302,MATCH($C360,품목마스터!$A$3:$A$302,0)),0)+SUMIFS($L$3:$L360,$C$3:$C360,$C360))</f>
        <v/>
      </c>
    </row>
    <row r="361" customFormat="false" ht="15" hidden="false" customHeight="true" outlineLevel="0" collapsed="false">
      <c r="A361" s="11"/>
      <c r="B361" s="7"/>
      <c r="C361" s="7"/>
      <c r="D361" s="12" t="str">
        <f aca="false">IF($C361="","",IFERROR(INDEX(품목마스터!$B$3:$B$302,MATCH($C361,품목마스터!$A$3:$A$302,0)),"미등록품번"))</f>
        <v/>
      </c>
      <c r="E361" s="12" t="str">
        <f aca="false">IF($C361="","",IFERROR(INDEX(품목마스터!$C$3:$C$302,MATCH($C361,품목마스터!$A$3:$A$302,0)),""))</f>
        <v/>
      </c>
      <c r="F361" s="12" t="str">
        <f aca="false">IF($C361="","",IFERROR(INDEX(품목마스터!$D$3:$D$302,MATCH($C361,품목마스터!$A$3:$A$302,0)),""))</f>
        <v/>
      </c>
      <c r="G361" s="9"/>
      <c r="H361" s="9"/>
      <c r="I361" s="13" t="str">
        <f aca="false">IF(OR($G361="",$H361=""),"",ROUND($G361*$H361,0))</f>
        <v/>
      </c>
      <c r="J361" s="7"/>
      <c r="K361" s="7"/>
      <c r="L361" s="14" t="str">
        <f aca="false">IF(OR($C361="",$G361=""),"",IF($B361="입고",$G361,IF($B361="출고",-$G361,$G361)))</f>
        <v/>
      </c>
      <c r="M361" s="13" t="str">
        <f aca="false">IF($C361="","",IFERROR(INDEX(품목마스터!$F$3:$F$302,MATCH($C361,품목마스터!$A$3:$A$302,0)),0)+SUMIFS($L$3:$L361,$C$3:$C361,$C361))</f>
        <v/>
      </c>
    </row>
    <row r="362" customFormat="false" ht="15" hidden="false" customHeight="true" outlineLevel="0" collapsed="false">
      <c r="A362" s="11"/>
      <c r="B362" s="7"/>
      <c r="C362" s="7"/>
      <c r="D362" s="12" t="str">
        <f aca="false">IF($C362="","",IFERROR(INDEX(품목마스터!$B$3:$B$302,MATCH($C362,품목마스터!$A$3:$A$302,0)),"미등록품번"))</f>
        <v/>
      </c>
      <c r="E362" s="12" t="str">
        <f aca="false">IF($C362="","",IFERROR(INDEX(품목마스터!$C$3:$C$302,MATCH($C362,품목마스터!$A$3:$A$302,0)),""))</f>
        <v/>
      </c>
      <c r="F362" s="12" t="str">
        <f aca="false">IF($C362="","",IFERROR(INDEX(품목마스터!$D$3:$D$302,MATCH($C362,품목마스터!$A$3:$A$302,0)),""))</f>
        <v/>
      </c>
      <c r="G362" s="9"/>
      <c r="H362" s="9"/>
      <c r="I362" s="13" t="str">
        <f aca="false">IF(OR($G362="",$H362=""),"",ROUND($G362*$H362,0))</f>
        <v/>
      </c>
      <c r="J362" s="7"/>
      <c r="K362" s="7"/>
      <c r="L362" s="14" t="str">
        <f aca="false">IF(OR($C362="",$G362=""),"",IF($B362="입고",$G362,IF($B362="출고",-$G362,$G362)))</f>
        <v/>
      </c>
      <c r="M362" s="13" t="str">
        <f aca="false">IF($C362="","",IFERROR(INDEX(품목마스터!$F$3:$F$302,MATCH($C362,품목마스터!$A$3:$A$302,0)),0)+SUMIFS($L$3:$L362,$C$3:$C362,$C362))</f>
        <v/>
      </c>
    </row>
    <row r="363" customFormat="false" ht="15" hidden="false" customHeight="true" outlineLevel="0" collapsed="false">
      <c r="A363" s="11"/>
      <c r="B363" s="7"/>
      <c r="C363" s="7"/>
      <c r="D363" s="12" t="str">
        <f aca="false">IF($C363="","",IFERROR(INDEX(품목마스터!$B$3:$B$302,MATCH($C363,품목마스터!$A$3:$A$302,0)),"미등록품번"))</f>
        <v/>
      </c>
      <c r="E363" s="12" t="str">
        <f aca="false">IF($C363="","",IFERROR(INDEX(품목마스터!$C$3:$C$302,MATCH($C363,품목마스터!$A$3:$A$302,0)),""))</f>
        <v/>
      </c>
      <c r="F363" s="12" t="str">
        <f aca="false">IF($C363="","",IFERROR(INDEX(품목마스터!$D$3:$D$302,MATCH($C363,품목마스터!$A$3:$A$302,0)),""))</f>
        <v/>
      </c>
      <c r="G363" s="9"/>
      <c r="H363" s="9"/>
      <c r="I363" s="13" t="str">
        <f aca="false">IF(OR($G363="",$H363=""),"",ROUND($G363*$H363,0))</f>
        <v/>
      </c>
      <c r="J363" s="7"/>
      <c r="K363" s="7"/>
      <c r="L363" s="14" t="str">
        <f aca="false">IF(OR($C363="",$G363=""),"",IF($B363="입고",$G363,IF($B363="출고",-$G363,$G363)))</f>
        <v/>
      </c>
      <c r="M363" s="13" t="str">
        <f aca="false">IF($C363="","",IFERROR(INDEX(품목마스터!$F$3:$F$302,MATCH($C363,품목마스터!$A$3:$A$302,0)),0)+SUMIFS($L$3:$L363,$C$3:$C363,$C363))</f>
        <v/>
      </c>
    </row>
    <row r="364" customFormat="false" ht="15" hidden="false" customHeight="true" outlineLevel="0" collapsed="false">
      <c r="A364" s="11"/>
      <c r="B364" s="7"/>
      <c r="C364" s="7"/>
      <c r="D364" s="12" t="str">
        <f aca="false">IF($C364="","",IFERROR(INDEX(품목마스터!$B$3:$B$302,MATCH($C364,품목마스터!$A$3:$A$302,0)),"미등록품번"))</f>
        <v/>
      </c>
      <c r="E364" s="12" t="str">
        <f aca="false">IF($C364="","",IFERROR(INDEX(품목마스터!$C$3:$C$302,MATCH($C364,품목마스터!$A$3:$A$302,0)),""))</f>
        <v/>
      </c>
      <c r="F364" s="12" t="str">
        <f aca="false">IF($C364="","",IFERROR(INDEX(품목마스터!$D$3:$D$302,MATCH($C364,품목마스터!$A$3:$A$302,0)),""))</f>
        <v/>
      </c>
      <c r="G364" s="9"/>
      <c r="H364" s="9"/>
      <c r="I364" s="13" t="str">
        <f aca="false">IF(OR($G364="",$H364=""),"",ROUND($G364*$H364,0))</f>
        <v/>
      </c>
      <c r="J364" s="7"/>
      <c r="K364" s="7"/>
      <c r="L364" s="14" t="str">
        <f aca="false">IF(OR($C364="",$G364=""),"",IF($B364="입고",$G364,IF($B364="출고",-$G364,$G364)))</f>
        <v/>
      </c>
      <c r="M364" s="13" t="str">
        <f aca="false">IF($C364="","",IFERROR(INDEX(품목마스터!$F$3:$F$302,MATCH($C364,품목마스터!$A$3:$A$302,0)),0)+SUMIFS($L$3:$L364,$C$3:$C364,$C364))</f>
        <v/>
      </c>
    </row>
    <row r="365" customFormat="false" ht="15" hidden="false" customHeight="true" outlineLevel="0" collapsed="false">
      <c r="A365" s="11"/>
      <c r="B365" s="7"/>
      <c r="C365" s="7"/>
      <c r="D365" s="12" t="str">
        <f aca="false">IF($C365="","",IFERROR(INDEX(품목마스터!$B$3:$B$302,MATCH($C365,품목마스터!$A$3:$A$302,0)),"미등록품번"))</f>
        <v/>
      </c>
      <c r="E365" s="12" t="str">
        <f aca="false">IF($C365="","",IFERROR(INDEX(품목마스터!$C$3:$C$302,MATCH($C365,품목마스터!$A$3:$A$302,0)),""))</f>
        <v/>
      </c>
      <c r="F365" s="12" t="str">
        <f aca="false">IF($C365="","",IFERROR(INDEX(품목마스터!$D$3:$D$302,MATCH($C365,품목마스터!$A$3:$A$302,0)),""))</f>
        <v/>
      </c>
      <c r="G365" s="9"/>
      <c r="H365" s="9"/>
      <c r="I365" s="13" t="str">
        <f aca="false">IF(OR($G365="",$H365=""),"",ROUND($G365*$H365,0))</f>
        <v/>
      </c>
      <c r="J365" s="7"/>
      <c r="K365" s="7"/>
      <c r="L365" s="14" t="str">
        <f aca="false">IF(OR($C365="",$G365=""),"",IF($B365="입고",$G365,IF($B365="출고",-$G365,$G365)))</f>
        <v/>
      </c>
      <c r="M365" s="13" t="str">
        <f aca="false">IF($C365="","",IFERROR(INDEX(품목마스터!$F$3:$F$302,MATCH($C365,품목마스터!$A$3:$A$302,0)),0)+SUMIFS($L$3:$L365,$C$3:$C365,$C365))</f>
        <v/>
      </c>
    </row>
    <row r="366" customFormat="false" ht="15" hidden="false" customHeight="true" outlineLevel="0" collapsed="false">
      <c r="A366" s="11"/>
      <c r="B366" s="7"/>
      <c r="C366" s="7"/>
      <c r="D366" s="12" t="str">
        <f aca="false">IF($C366="","",IFERROR(INDEX(품목마스터!$B$3:$B$302,MATCH($C366,품목마스터!$A$3:$A$302,0)),"미등록품번"))</f>
        <v/>
      </c>
      <c r="E366" s="12" t="str">
        <f aca="false">IF($C366="","",IFERROR(INDEX(품목마스터!$C$3:$C$302,MATCH($C366,품목마스터!$A$3:$A$302,0)),""))</f>
        <v/>
      </c>
      <c r="F366" s="12" t="str">
        <f aca="false">IF($C366="","",IFERROR(INDEX(품목마스터!$D$3:$D$302,MATCH($C366,품목마스터!$A$3:$A$302,0)),""))</f>
        <v/>
      </c>
      <c r="G366" s="9"/>
      <c r="H366" s="9"/>
      <c r="I366" s="13" t="str">
        <f aca="false">IF(OR($G366="",$H366=""),"",ROUND($G366*$H366,0))</f>
        <v/>
      </c>
      <c r="J366" s="7"/>
      <c r="K366" s="7"/>
      <c r="L366" s="14" t="str">
        <f aca="false">IF(OR($C366="",$G366=""),"",IF($B366="입고",$G366,IF($B366="출고",-$G366,$G366)))</f>
        <v/>
      </c>
      <c r="M366" s="13" t="str">
        <f aca="false">IF($C366="","",IFERROR(INDEX(품목마스터!$F$3:$F$302,MATCH($C366,품목마스터!$A$3:$A$302,0)),0)+SUMIFS($L$3:$L366,$C$3:$C366,$C366))</f>
        <v/>
      </c>
    </row>
    <row r="367" customFormat="false" ht="15" hidden="false" customHeight="true" outlineLevel="0" collapsed="false">
      <c r="A367" s="11"/>
      <c r="B367" s="7"/>
      <c r="C367" s="7"/>
      <c r="D367" s="12" t="str">
        <f aca="false">IF($C367="","",IFERROR(INDEX(품목마스터!$B$3:$B$302,MATCH($C367,품목마스터!$A$3:$A$302,0)),"미등록품번"))</f>
        <v/>
      </c>
      <c r="E367" s="12" t="str">
        <f aca="false">IF($C367="","",IFERROR(INDEX(품목마스터!$C$3:$C$302,MATCH($C367,품목마스터!$A$3:$A$302,0)),""))</f>
        <v/>
      </c>
      <c r="F367" s="12" t="str">
        <f aca="false">IF($C367="","",IFERROR(INDEX(품목마스터!$D$3:$D$302,MATCH($C367,품목마스터!$A$3:$A$302,0)),""))</f>
        <v/>
      </c>
      <c r="G367" s="9"/>
      <c r="H367" s="9"/>
      <c r="I367" s="13" t="str">
        <f aca="false">IF(OR($G367="",$H367=""),"",ROUND($G367*$H367,0))</f>
        <v/>
      </c>
      <c r="J367" s="7"/>
      <c r="K367" s="7"/>
      <c r="L367" s="14" t="str">
        <f aca="false">IF(OR($C367="",$G367=""),"",IF($B367="입고",$G367,IF($B367="출고",-$G367,$G367)))</f>
        <v/>
      </c>
      <c r="M367" s="13" t="str">
        <f aca="false">IF($C367="","",IFERROR(INDEX(품목마스터!$F$3:$F$302,MATCH($C367,품목마스터!$A$3:$A$302,0)),0)+SUMIFS($L$3:$L367,$C$3:$C367,$C367))</f>
        <v/>
      </c>
    </row>
    <row r="368" customFormat="false" ht="15" hidden="false" customHeight="true" outlineLevel="0" collapsed="false">
      <c r="A368" s="11"/>
      <c r="B368" s="7"/>
      <c r="C368" s="7"/>
      <c r="D368" s="12" t="str">
        <f aca="false">IF($C368="","",IFERROR(INDEX(품목마스터!$B$3:$B$302,MATCH($C368,품목마스터!$A$3:$A$302,0)),"미등록품번"))</f>
        <v/>
      </c>
      <c r="E368" s="12" t="str">
        <f aca="false">IF($C368="","",IFERROR(INDEX(품목마스터!$C$3:$C$302,MATCH($C368,품목마스터!$A$3:$A$302,0)),""))</f>
        <v/>
      </c>
      <c r="F368" s="12" t="str">
        <f aca="false">IF($C368="","",IFERROR(INDEX(품목마스터!$D$3:$D$302,MATCH($C368,품목마스터!$A$3:$A$302,0)),""))</f>
        <v/>
      </c>
      <c r="G368" s="9"/>
      <c r="H368" s="9"/>
      <c r="I368" s="13" t="str">
        <f aca="false">IF(OR($G368="",$H368=""),"",ROUND($G368*$H368,0))</f>
        <v/>
      </c>
      <c r="J368" s="7"/>
      <c r="K368" s="7"/>
      <c r="L368" s="14" t="str">
        <f aca="false">IF(OR($C368="",$G368=""),"",IF($B368="입고",$G368,IF($B368="출고",-$G368,$G368)))</f>
        <v/>
      </c>
      <c r="M368" s="13" t="str">
        <f aca="false">IF($C368="","",IFERROR(INDEX(품목마스터!$F$3:$F$302,MATCH($C368,품목마스터!$A$3:$A$302,0)),0)+SUMIFS($L$3:$L368,$C$3:$C368,$C368))</f>
        <v/>
      </c>
    </row>
    <row r="369" customFormat="false" ht="15" hidden="false" customHeight="true" outlineLevel="0" collapsed="false">
      <c r="A369" s="11"/>
      <c r="B369" s="7"/>
      <c r="C369" s="7"/>
      <c r="D369" s="12" t="str">
        <f aca="false">IF($C369="","",IFERROR(INDEX(품목마스터!$B$3:$B$302,MATCH($C369,품목마스터!$A$3:$A$302,0)),"미등록품번"))</f>
        <v/>
      </c>
      <c r="E369" s="12" t="str">
        <f aca="false">IF($C369="","",IFERROR(INDEX(품목마스터!$C$3:$C$302,MATCH($C369,품목마스터!$A$3:$A$302,0)),""))</f>
        <v/>
      </c>
      <c r="F369" s="12" t="str">
        <f aca="false">IF($C369="","",IFERROR(INDEX(품목마스터!$D$3:$D$302,MATCH($C369,품목마스터!$A$3:$A$302,0)),""))</f>
        <v/>
      </c>
      <c r="G369" s="9"/>
      <c r="H369" s="9"/>
      <c r="I369" s="13" t="str">
        <f aca="false">IF(OR($G369="",$H369=""),"",ROUND($G369*$H369,0))</f>
        <v/>
      </c>
      <c r="J369" s="7"/>
      <c r="K369" s="7"/>
      <c r="L369" s="14" t="str">
        <f aca="false">IF(OR($C369="",$G369=""),"",IF($B369="입고",$G369,IF($B369="출고",-$G369,$G369)))</f>
        <v/>
      </c>
      <c r="M369" s="13" t="str">
        <f aca="false">IF($C369="","",IFERROR(INDEX(품목마스터!$F$3:$F$302,MATCH($C369,품목마스터!$A$3:$A$302,0)),0)+SUMIFS($L$3:$L369,$C$3:$C369,$C369))</f>
        <v/>
      </c>
    </row>
    <row r="370" customFormat="false" ht="15" hidden="false" customHeight="true" outlineLevel="0" collapsed="false">
      <c r="A370" s="11"/>
      <c r="B370" s="7"/>
      <c r="C370" s="7"/>
      <c r="D370" s="12" t="str">
        <f aca="false">IF($C370="","",IFERROR(INDEX(품목마스터!$B$3:$B$302,MATCH($C370,품목마스터!$A$3:$A$302,0)),"미등록품번"))</f>
        <v/>
      </c>
      <c r="E370" s="12" t="str">
        <f aca="false">IF($C370="","",IFERROR(INDEX(품목마스터!$C$3:$C$302,MATCH($C370,품목마스터!$A$3:$A$302,0)),""))</f>
        <v/>
      </c>
      <c r="F370" s="12" t="str">
        <f aca="false">IF($C370="","",IFERROR(INDEX(품목마스터!$D$3:$D$302,MATCH($C370,품목마스터!$A$3:$A$302,0)),""))</f>
        <v/>
      </c>
      <c r="G370" s="9"/>
      <c r="H370" s="9"/>
      <c r="I370" s="13" t="str">
        <f aca="false">IF(OR($G370="",$H370=""),"",ROUND($G370*$H370,0))</f>
        <v/>
      </c>
      <c r="J370" s="7"/>
      <c r="K370" s="7"/>
      <c r="L370" s="14" t="str">
        <f aca="false">IF(OR($C370="",$G370=""),"",IF($B370="입고",$G370,IF($B370="출고",-$G370,$G370)))</f>
        <v/>
      </c>
      <c r="M370" s="13" t="str">
        <f aca="false">IF($C370="","",IFERROR(INDEX(품목마스터!$F$3:$F$302,MATCH($C370,품목마스터!$A$3:$A$302,0)),0)+SUMIFS($L$3:$L370,$C$3:$C370,$C370))</f>
        <v/>
      </c>
    </row>
    <row r="371" customFormat="false" ht="15" hidden="false" customHeight="true" outlineLevel="0" collapsed="false">
      <c r="A371" s="11"/>
      <c r="B371" s="7"/>
      <c r="C371" s="7"/>
      <c r="D371" s="12" t="str">
        <f aca="false">IF($C371="","",IFERROR(INDEX(품목마스터!$B$3:$B$302,MATCH($C371,품목마스터!$A$3:$A$302,0)),"미등록품번"))</f>
        <v/>
      </c>
      <c r="E371" s="12" t="str">
        <f aca="false">IF($C371="","",IFERROR(INDEX(품목마스터!$C$3:$C$302,MATCH($C371,품목마스터!$A$3:$A$302,0)),""))</f>
        <v/>
      </c>
      <c r="F371" s="12" t="str">
        <f aca="false">IF($C371="","",IFERROR(INDEX(품목마스터!$D$3:$D$302,MATCH($C371,품목마스터!$A$3:$A$302,0)),""))</f>
        <v/>
      </c>
      <c r="G371" s="9"/>
      <c r="H371" s="9"/>
      <c r="I371" s="13" t="str">
        <f aca="false">IF(OR($G371="",$H371=""),"",ROUND($G371*$H371,0))</f>
        <v/>
      </c>
      <c r="J371" s="7"/>
      <c r="K371" s="7"/>
      <c r="L371" s="14" t="str">
        <f aca="false">IF(OR($C371="",$G371=""),"",IF($B371="입고",$G371,IF($B371="출고",-$G371,$G371)))</f>
        <v/>
      </c>
      <c r="M371" s="13" t="str">
        <f aca="false">IF($C371="","",IFERROR(INDEX(품목마스터!$F$3:$F$302,MATCH($C371,품목마스터!$A$3:$A$302,0)),0)+SUMIFS($L$3:$L371,$C$3:$C371,$C371))</f>
        <v/>
      </c>
    </row>
    <row r="372" customFormat="false" ht="15" hidden="false" customHeight="true" outlineLevel="0" collapsed="false">
      <c r="A372" s="11"/>
      <c r="B372" s="7"/>
      <c r="C372" s="7"/>
      <c r="D372" s="12" t="str">
        <f aca="false">IF($C372="","",IFERROR(INDEX(품목마스터!$B$3:$B$302,MATCH($C372,품목마스터!$A$3:$A$302,0)),"미등록품번"))</f>
        <v/>
      </c>
      <c r="E372" s="12" t="str">
        <f aca="false">IF($C372="","",IFERROR(INDEX(품목마스터!$C$3:$C$302,MATCH($C372,품목마스터!$A$3:$A$302,0)),""))</f>
        <v/>
      </c>
      <c r="F372" s="12" t="str">
        <f aca="false">IF($C372="","",IFERROR(INDEX(품목마스터!$D$3:$D$302,MATCH($C372,품목마스터!$A$3:$A$302,0)),""))</f>
        <v/>
      </c>
      <c r="G372" s="9"/>
      <c r="H372" s="9"/>
      <c r="I372" s="13" t="str">
        <f aca="false">IF(OR($G372="",$H372=""),"",ROUND($G372*$H372,0))</f>
        <v/>
      </c>
      <c r="J372" s="7"/>
      <c r="K372" s="7"/>
      <c r="L372" s="14" t="str">
        <f aca="false">IF(OR($C372="",$G372=""),"",IF($B372="입고",$G372,IF($B372="출고",-$G372,$G372)))</f>
        <v/>
      </c>
      <c r="M372" s="13" t="str">
        <f aca="false">IF($C372="","",IFERROR(INDEX(품목마스터!$F$3:$F$302,MATCH($C372,품목마스터!$A$3:$A$302,0)),0)+SUMIFS($L$3:$L372,$C$3:$C372,$C372))</f>
        <v/>
      </c>
    </row>
    <row r="373" customFormat="false" ht="15" hidden="false" customHeight="true" outlineLevel="0" collapsed="false">
      <c r="A373" s="11"/>
      <c r="B373" s="7"/>
      <c r="C373" s="7"/>
      <c r="D373" s="12" t="str">
        <f aca="false">IF($C373="","",IFERROR(INDEX(품목마스터!$B$3:$B$302,MATCH($C373,품목마스터!$A$3:$A$302,0)),"미등록품번"))</f>
        <v/>
      </c>
      <c r="E373" s="12" t="str">
        <f aca="false">IF($C373="","",IFERROR(INDEX(품목마스터!$C$3:$C$302,MATCH($C373,품목마스터!$A$3:$A$302,0)),""))</f>
        <v/>
      </c>
      <c r="F373" s="12" t="str">
        <f aca="false">IF($C373="","",IFERROR(INDEX(품목마스터!$D$3:$D$302,MATCH($C373,품목마스터!$A$3:$A$302,0)),""))</f>
        <v/>
      </c>
      <c r="G373" s="9"/>
      <c r="H373" s="9"/>
      <c r="I373" s="13" t="str">
        <f aca="false">IF(OR($G373="",$H373=""),"",ROUND($G373*$H373,0))</f>
        <v/>
      </c>
      <c r="J373" s="7"/>
      <c r="K373" s="7"/>
      <c r="L373" s="14" t="str">
        <f aca="false">IF(OR($C373="",$G373=""),"",IF($B373="입고",$G373,IF($B373="출고",-$G373,$G373)))</f>
        <v/>
      </c>
      <c r="M373" s="13" t="str">
        <f aca="false">IF($C373="","",IFERROR(INDEX(품목마스터!$F$3:$F$302,MATCH($C373,품목마스터!$A$3:$A$302,0)),0)+SUMIFS($L$3:$L373,$C$3:$C373,$C373))</f>
        <v/>
      </c>
    </row>
    <row r="374" customFormat="false" ht="15" hidden="false" customHeight="true" outlineLevel="0" collapsed="false">
      <c r="A374" s="11"/>
      <c r="B374" s="7"/>
      <c r="C374" s="7"/>
      <c r="D374" s="12" t="str">
        <f aca="false">IF($C374="","",IFERROR(INDEX(품목마스터!$B$3:$B$302,MATCH($C374,품목마스터!$A$3:$A$302,0)),"미등록품번"))</f>
        <v/>
      </c>
      <c r="E374" s="12" t="str">
        <f aca="false">IF($C374="","",IFERROR(INDEX(품목마스터!$C$3:$C$302,MATCH($C374,품목마스터!$A$3:$A$302,0)),""))</f>
        <v/>
      </c>
      <c r="F374" s="12" t="str">
        <f aca="false">IF($C374="","",IFERROR(INDEX(품목마스터!$D$3:$D$302,MATCH($C374,품목마스터!$A$3:$A$302,0)),""))</f>
        <v/>
      </c>
      <c r="G374" s="9"/>
      <c r="H374" s="9"/>
      <c r="I374" s="13" t="str">
        <f aca="false">IF(OR($G374="",$H374=""),"",ROUND($G374*$H374,0))</f>
        <v/>
      </c>
      <c r="J374" s="7"/>
      <c r="K374" s="7"/>
      <c r="L374" s="14" t="str">
        <f aca="false">IF(OR($C374="",$G374=""),"",IF($B374="입고",$G374,IF($B374="출고",-$G374,$G374)))</f>
        <v/>
      </c>
      <c r="M374" s="13" t="str">
        <f aca="false">IF($C374="","",IFERROR(INDEX(품목마스터!$F$3:$F$302,MATCH($C374,품목마스터!$A$3:$A$302,0)),0)+SUMIFS($L$3:$L374,$C$3:$C374,$C374))</f>
        <v/>
      </c>
    </row>
    <row r="375" customFormat="false" ht="15" hidden="false" customHeight="true" outlineLevel="0" collapsed="false">
      <c r="A375" s="11"/>
      <c r="B375" s="7"/>
      <c r="C375" s="7"/>
      <c r="D375" s="12" t="str">
        <f aca="false">IF($C375="","",IFERROR(INDEX(품목마스터!$B$3:$B$302,MATCH($C375,품목마스터!$A$3:$A$302,0)),"미등록품번"))</f>
        <v/>
      </c>
      <c r="E375" s="12" t="str">
        <f aca="false">IF($C375="","",IFERROR(INDEX(품목마스터!$C$3:$C$302,MATCH($C375,품목마스터!$A$3:$A$302,0)),""))</f>
        <v/>
      </c>
      <c r="F375" s="12" t="str">
        <f aca="false">IF($C375="","",IFERROR(INDEX(품목마스터!$D$3:$D$302,MATCH($C375,품목마스터!$A$3:$A$302,0)),""))</f>
        <v/>
      </c>
      <c r="G375" s="9"/>
      <c r="H375" s="9"/>
      <c r="I375" s="13" t="str">
        <f aca="false">IF(OR($G375="",$H375=""),"",ROUND($G375*$H375,0))</f>
        <v/>
      </c>
      <c r="J375" s="7"/>
      <c r="K375" s="7"/>
      <c r="L375" s="14" t="str">
        <f aca="false">IF(OR($C375="",$G375=""),"",IF($B375="입고",$G375,IF($B375="출고",-$G375,$G375)))</f>
        <v/>
      </c>
      <c r="M375" s="13" t="str">
        <f aca="false">IF($C375="","",IFERROR(INDEX(품목마스터!$F$3:$F$302,MATCH($C375,품목마스터!$A$3:$A$302,0)),0)+SUMIFS($L$3:$L375,$C$3:$C375,$C375))</f>
        <v/>
      </c>
    </row>
    <row r="376" customFormat="false" ht="15" hidden="false" customHeight="true" outlineLevel="0" collapsed="false">
      <c r="A376" s="11"/>
      <c r="B376" s="7"/>
      <c r="C376" s="7"/>
      <c r="D376" s="12" t="str">
        <f aca="false">IF($C376="","",IFERROR(INDEX(품목마스터!$B$3:$B$302,MATCH($C376,품목마스터!$A$3:$A$302,0)),"미등록품번"))</f>
        <v/>
      </c>
      <c r="E376" s="12" t="str">
        <f aca="false">IF($C376="","",IFERROR(INDEX(품목마스터!$C$3:$C$302,MATCH($C376,품목마스터!$A$3:$A$302,0)),""))</f>
        <v/>
      </c>
      <c r="F376" s="12" t="str">
        <f aca="false">IF($C376="","",IFERROR(INDEX(품목마스터!$D$3:$D$302,MATCH($C376,품목마스터!$A$3:$A$302,0)),""))</f>
        <v/>
      </c>
      <c r="G376" s="9"/>
      <c r="H376" s="9"/>
      <c r="I376" s="13" t="str">
        <f aca="false">IF(OR($G376="",$H376=""),"",ROUND($G376*$H376,0))</f>
        <v/>
      </c>
      <c r="J376" s="7"/>
      <c r="K376" s="7"/>
      <c r="L376" s="14" t="str">
        <f aca="false">IF(OR($C376="",$G376=""),"",IF($B376="입고",$G376,IF($B376="출고",-$G376,$G376)))</f>
        <v/>
      </c>
      <c r="M376" s="13" t="str">
        <f aca="false">IF($C376="","",IFERROR(INDEX(품목마스터!$F$3:$F$302,MATCH($C376,품목마스터!$A$3:$A$302,0)),0)+SUMIFS($L$3:$L376,$C$3:$C376,$C376))</f>
        <v/>
      </c>
    </row>
    <row r="377" customFormat="false" ht="15" hidden="false" customHeight="true" outlineLevel="0" collapsed="false">
      <c r="A377" s="11"/>
      <c r="B377" s="7"/>
      <c r="C377" s="7"/>
      <c r="D377" s="12" t="str">
        <f aca="false">IF($C377="","",IFERROR(INDEX(품목마스터!$B$3:$B$302,MATCH($C377,품목마스터!$A$3:$A$302,0)),"미등록품번"))</f>
        <v/>
      </c>
      <c r="E377" s="12" t="str">
        <f aca="false">IF($C377="","",IFERROR(INDEX(품목마스터!$C$3:$C$302,MATCH($C377,품목마스터!$A$3:$A$302,0)),""))</f>
        <v/>
      </c>
      <c r="F377" s="12" t="str">
        <f aca="false">IF($C377="","",IFERROR(INDEX(품목마스터!$D$3:$D$302,MATCH($C377,품목마스터!$A$3:$A$302,0)),""))</f>
        <v/>
      </c>
      <c r="G377" s="9"/>
      <c r="H377" s="9"/>
      <c r="I377" s="13" t="str">
        <f aca="false">IF(OR($G377="",$H377=""),"",ROUND($G377*$H377,0))</f>
        <v/>
      </c>
      <c r="J377" s="7"/>
      <c r="K377" s="7"/>
      <c r="L377" s="14" t="str">
        <f aca="false">IF(OR($C377="",$G377=""),"",IF($B377="입고",$G377,IF($B377="출고",-$G377,$G377)))</f>
        <v/>
      </c>
      <c r="M377" s="13" t="str">
        <f aca="false">IF($C377="","",IFERROR(INDEX(품목마스터!$F$3:$F$302,MATCH($C377,품목마스터!$A$3:$A$302,0)),0)+SUMIFS($L$3:$L377,$C$3:$C377,$C377))</f>
        <v/>
      </c>
    </row>
    <row r="378" customFormat="false" ht="15" hidden="false" customHeight="true" outlineLevel="0" collapsed="false">
      <c r="A378" s="11"/>
      <c r="B378" s="7"/>
      <c r="C378" s="7"/>
      <c r="D378" s="12" t="str">
        <f aca="false">IF($C378="","",IFERROR(INDEX(품목마스터!$B$3:$B$302,MATCH($C378,품목마스터!$A$3:$A$302,0)),"미등록품번"))</f>
        <v/>
      </c>
      <c r="E378" s="12" t="str">
        <f aca="false">IF($C378="","",IFERROR(INDEX(품목마스터!$C$3:$C$302,MATCH($C378,품목마스터!$A$3:$A$302,0)),""))</f>
        <v/>
      </c>
      <c r="F378" s="12" t="str">
        <f aca="false">IF($C378="","",IFERROR(INDEX(품목마스터!$D$3:$D$302,MATCH($C378,품목마스터!$A$3:$A$302,0)),""))</f>
        <v/>
      </c>
      <c r="G378" s="9"/>
      <c r="H378" s="9"/>
      <c r="I378" s="13" t="str">
        <f aca="false">IF(OR($G378="",$H378=""),"",ROUND($G378*$H378,0))</f>
        <v/>
      </c>
      <c r="J378" s="7"/>
      <c r="K378" s="7"/>
      <c r="L378" s="14" t="str">
        <f aca="false">IF(OR($C378="",$G378=""),"",IF($B378="입고",$G378,IF($B378="출고",-$G378,$G378)))</f>
        <v/>
      </c>
      <c r="M378" s="13" t="str">
        <f aca="false">IF($C378="","",IFERROR(INDEX(품목마스터!$F$3:$F$302,MATCH($C378,품목마스터!$A$3:$A$302,0)),0)+SUMIFS($L$3:$L378,$C$3:$C378,$C378))</f>
        <v/>
      </c>
    </row>
    <row r="379" customFormat="false" ht="15" hidden="false" customHeight="true" outlineLevel="0" collapsed="false">
      <c r="A379" s="11"/>
      <c r="B379" s="7"/>
      <c r="C379" s="7"/>
      <c r="D379" s="12" t="str">
        <f aca="false">IF($C379="","",IFERROR(INDEX(품목마스터!$B$3:$B$302,MATCH($C379,품목마스터!$A$3:$A$302,0)),"미등록품번"))</f>
        <v/>
      </c>
      <c r="E379" s="12" t="str">
        <f aca="false">IF($C379="","",IFERROR(INDEX(품목마스터!$C$3:$C$302,MATCH($C379,품목마스터!$A$3:$A$302,0)),""))</f>
        <v/>
      </c>
      <c r="F379" s="12" t="str">
        <f aca="false">IF($C379="","",IFERROR(INDEX(품목마스터!$D$3:$D$302,MATCH($C379,품목마스터!$A$3:$A$302,0)),""))</f>
        <v/>
      </c>
      <c r="G379" s="9"/>
      <c r="H379" s="9"/>
      <c r="I379" s="13" t="str">
        <f aca="false">IF(OR($G379="",$H379=""),"",ROUND($G379*$H379,0))</f>
        <v/>
      </c>
      <c r="J379" s="7"/>
      <c r="K379" s="7"/>
      <c r="L379" s="14" t="str">
        <f aca="false">IF(OR($C379="",$G379=""),"",IF($B379="입고",$G379,IF($B379="출고",-$G379,$G379)))</f>
        <v/>
      </c>
      <c r="M379" s="13" t="str">
        <f aca="false">IF($C379="","",IFERROR(INDEX(품목마스터!$F$3:$F$302,MATCH($C379,품목마스터!$A$3:$A$302,0)),0)+SUMIFS($L$3:$L379,$C$3:$C379,$C379))</f>
        <v/>
      </c>
    </row>
    <row r="380" customFormat="false" ht="15" hidden="false" customHeight="true" outlineLevel="0" collapsed="false">
      <c r="A380" s="11"/>
      <c r="B380" s="7"/>
      <c r="C380" s="7"/>
      <c r="D380" s="12" t="str">
        <f aca="false">IF($C380="","",IFERROR(INDEX(품목마스터!$B$3:$B$302,MATCH($C380,품목마스터!$A$3:$A$302,0)),"미등록품번"))</f>
        <v/>
      </c>
      <c r="E380" s="12" t="str">
        <f aca="false">IF($C380="","",IFERROR(INDEX(품목마스터!$C$3:$C$302,MATCH($C380,품목마스터!$A$3:$A$302,0)),""))</f>
        <v/>
      </c>
      <c r="F380" s="12" t="str">
        <f aca="false">IF($C380="","",IFERROR(INDEX(품목마스터!$D$3:$D$302,MATCH($C380,품목마스터!$A$3:$A$302,0)),""))</f>
        <v/>
      </c>
      <c r="G380" s="9"/>
      <c r="H380" s="9"/>
      <c r="I380" s="13" t="str">
        <f aca="false">IF(OR($G380="",$H380=""),"",ROUND($G380*$H380,0))</f>
        <v/>
      </c>
      <c r="J380" s="7"/>
      <c r="K380" s="7"/>
      <c r="L380" s="14" t="str">
        <f aca="false">IF(OR($C380="",$G380=""),"",IF($B380="입고",$G380,IF($B380="출고",-$G380,$G380)))</f>
        <v/>
      </c>
      <c r="M380" s="13" t="str">
        <f aca="false">IF($C380="","",IFERROR(INDEX(품목마스터!$F$3:$F$302,MATCH($C380,품목마스터!$A$3:$A$302,0)),0)+SUMIFS($L$3:$L380,$C$3:$C380,$C380))</f>
        <v/>
      </c>
    </row>
    <row r="381" customFormat="false" ht="15" hidden="false" customHeight="true" outlineLevel="0" collapsed="false">
      <c r="A381" s="11"/>
      <c r="B381" s="7"/>
      <c r="C381" s="7"/>
      <c r="D381" s="12" t="str">
        <f aca="false">IF($C381="","",IFERROR(INDEX(품목마스터!$B$3:$B$302,MATCH($C381,품목마스터!$A$3:$A$302,0)),"미등록품번"))</f>
        <v/>
      </c>
      <c r="E381" s="12" t="str">
        <f aca="false">IF($C381="","",IFERROR(INDEX(품목마스터!$C$3:$C$302,MATCH($C381,품목마스터!$A$3:$A$302,0)),""))</f>
        <v/>
      </c>
      <c r="F381" s="12" t="str">
        <f aca="false">IF($C381="","",IFERROR(INDEX(품목마스터!$D$3:$D$302,MATCH($C381,품목마스터!$A$3:$A$302,0)),""))</f>
        <v/>
      </c>
      <c r="G381" s="9"/>
      <c r="H381" s="9"/>
      <c r="I381" s="13" t="str">
        <f aca="false">IF(OR($G381="",$H381=""),"",ROUND($G381*$H381,0))</f>
        <v/>
      </c>
      <c r="J381" s="7"/>
      <c r="K381" s="7"/>
      <c r="L381" s="14" t="str">
        <f aca="false">IF(OR($C381="",$G381=""),"",IF($B381="입고",$G381,IF($B381="출고",-$G381,$G381)))</f>
        <v/>
      </c>
      <c r="M381" s="13" t="str">
        <f aca="false">IF($C381="","",IFERROR(INDEX(품목마스터!$F$3:$F$302,MATCH($C381,품목마스터!$A$3:$A$302,0)),0)+SUMIFS($L$3:$L381,$C$3:$C381,$C381))</f>
        <v/>
      </c>
    </row>
    <row r="382" customFormat="false" ht="15" hidden="false" customHeight="true" outlineLevel="0" collapsed="false">
      <c r="A382" s="11"/>
      <c r="B382" s="7"/>
      <c r="C382" s="7"/>
      <c r="D382" s="12" t="str">
        <f aca="false">IF($C382="","",IFERROR(INDEX(품목마스터!$B$3:$B$302,MATCH($C382,품목마스터!$A$3:$A$302,0)),"미등록품번"))</f>
        <v/>
      </c>
      <c r="E382" s="12" t="str">
        <f aca="false">IF($C382="","",IFERROR(INDEX(품목마스터!$C$3:$C$302,MATCH($C382,품목마스터!$A$3:$A$302,0)),""))</f>
        <v/>
      </c>
      <c r="F382" s="12" t="str">
        <f aca="false">IF($C382="","",IFERROR(INDEX(품목마스터!$D$3:$D$302,MATCH($C382,품목마스터!$A$3:$A$302,0)),""))</f>
        <v/>
      </c>
      <c r="G382" s="9"/>
      <c r="H382" s="9"/>
      <c r="I382" s="13" t="str">
        <f aca="false">IF(OR($G382="",$H382=""),"",ROUND($G382*$H382,0))</f>
        <v/>
      </c>
      <c r="J382" s="7"/>
      <c r="K382" s="7"/>
      <c r="L382" s="14" t="str">
        <f aca="false">IF(OR($C382="",$G382=""),"",IF($B382="입고",$G382,IF($B382="출고",-$G382,$G382)))</f>
        <v/>
      </c>
      <c r="M382" s="13" t="str">
        <f aca="false">IF($C382="","",IFERROR(INDEX(품목마스터!$F$3:$F$302,MATCH($C382,품목마스터!$A$3:$A$302,0)),0)+SUMIFS($L$3:$L382,$C$3:$C382,$C382))</f>
        <v/>
      </c>
    </row>
    <row r="383" customFormat="false" ht="15" hidden="false" customHeight="true" outlineLevel="0" collapsed="false">
      <c r="A383" s="11"/>
      <c r="B383" s="7"/>
      <c r="C383" s="7"/>
      <c r="D383" s="12" t="str">
        <f aca="false">IF($C383="","",IFERROR(INDEX(품목마스터!$B$3:$B$302,MATCH($C383,품목마스터!$A$3:$A$302,0)),"미등록품번"))</f>
        <v/>
      </c>
      <c r="E383" s="12" t="str">
        <f aca="false">IF($C383="","",IFERROR(INDEX(품목마스터!$C$3:$C$302,MATCH($C383,품목마스터!$A$3:$A$302,0)),""))</f>
        <v/>
      </c>
      <c r="F383" s="12" t="str">
        <f aca="false">IF($C383="","",IFERROR(INDEX(품목마스터!$D$3:$D$302,MATCH($C383,품목마스터!$A$3:$A$302,0)),""))</f>
        <v/>
      </c>
      <c r="G383" s="9"/>
      <c r="H383" s="9"/>
      <c r="I383" s="13" t="str">
        <f aca="false">IF(OR($G383="",$H383=""),"",ROUND($G383*$H383,0))</f>
        <v/>
      </c>
      <c r="J383" s="7"/>
      <c r="K383" s="7"/>
      <c r="L383" s="14" t="str">
        <f aca="false">IF(OR($C383="",$G383=""),"",IF($B383="입고",$G383,IF($B383="출고",-$G383,$G383)))</f>
        <v/>
      </c>
      <c r="M383" s="13" t="str">
        <f aca="false">IF($C383="","",IFERROR(INDEX(품목마스터!$F$3:$F$302,MATCH($C383,품목마스터!$A$3:$A$302,0)),0)+SUMIFS($L$3:$L383,$C$3:$C383,$C383))</f>
        <v/>
      </c>
    </row>
    <row r="384" customFormat="false" ht="15" hidden="false" customHeight="true" outlineLevel="0" collapsed="false">
      <c r="A384" s="11"/>
      <c r="B384" s="7"/>
      <c r="C384" s="7"/>
      <c r="D384" s="12" t="str">
        <f aca="false">IF($C384="","",IFERROR(INDEX(품목마스터!$B$3:$B$302,MATCH($C384,품목마스터!$A$3:$A$302,0)),"미등록품번"))</f>
        <v/>
      </c>
      <c r="E384" s="12" t="str">
        <f aca="false">IF($C384="","",IFERROR(INDEX(품목마스터!$C$3:$C$302,MATCH($C384,품목마스터!$A$3:$A$302,0)),""))</f>
        <v/>
      </c>
      <c r="F384" s="12" t="str">
        <f aca="false">IF($C384="","",IFERROR(INDEX(품목마스터!$D$3:$D$302,MATCH($C384,품목마스터!$A$3:$A$302,0)),""))</f>
        <v/>
      </c>
      <c r="G384" s="9"/>
      <c r="H384" s="9"/>
      <c r="I384" s="13" t="str">
        <f aca="false">IF(OR($G384="",$H384=""),"",ROUND($G384*$H384,0))</f>
        <v/>
      </c>
      <c r="J384" s="7"/>
      <c r="K384" s="7"/>
      <c r="L384" s="14" t="str">
        <f aca="false">IF(OR($C384="",$G384=""),"",IF($B384="입고",$G384,IF($B384="출고",-$G384,$G384)))</f>
        <v/>
      </c>
      <c r="M384" s="13" t="str">
        <f aca="false">IF($C384="","",IFERROR(INDEX(품목마스터!$F$3:$F$302,MATCH($C384,품목마스터!$A$3:$A$302,0)),0)+SUMIFS($L$3:$L384,$C$3:$C384,$C384))</f>
        <v/>
      </c>
    </row>
    <row r="385" customFormat="false" ht="15" hidden="false" customHeight="true" outlineLevel="0" collapsed="false">
      <c r="A385" s="11"/>
      <c r="B385" s="7"/>
      <c r="C385" s="7"/>
      <c r="D385" s="12" t="str">
        <f aca="false">IF($C385="","",IFERROR(INDEX(품목마스터!$B$3:$B$302,MATCH($C385,품목마스터!$A$3:$A$302,0)),"미등록품번"))</f>
        <v/>
      </c>
      <c r="E385" s="12" t="str">
        <f aca="false">IF($C385="","",IFERROR(INDEX(품목마스터!$C$3:$C$302,MATCH($C385,품목마스터!$A$3:$A$302,0)),""))</f>
        <v/>
      </c>
      <c r="F385" s="12" t="str">
        <f aca="false">IF($C385="","",IFERROR(INDEX(품목마스터!$D$3:$D$302,MATCH($C385,품목마스터!$A$3:$A$302,0)),""))</f>
        <v/>
      </c>
      <c r="G385" s="9"/>
      <c r="H385" s="9"/>
      <c r="I385" s="13" t="str">
        <f aca="false">IF(OR($G385="",$H385=""),"",ROUND($G385*$H385,0))</f>
        <v/>
      </c>
      <c r="J385" s="7"/>
      <c r="K385" s="7"/>
      <c r="L385" s="14" t="str">
        <f aca="false">IF(OR($C385="",$G385=""),"",IF($B385="입고",$G385,IF($B385="출고",-$G385,$G385)))</f>
        <v/>
      </c>
      <c r="M385" s="13" t="str">
        <f aca="false">IF($C385="","",IFERROR(INDEX(품목마스터!$F$3:$F$302,MATCH($C385,품목마스터!$A$3:$A$302,0)),0)+SUMIFS($L$3:$L385,$C$3:$C385,$C385))</f>
        <v/>
      </c>
    </row>
    <row r="386" customFormat="false" ht="15" hidden="false" customHeight="true" outlineLevel="0" collapsed="false">
      <c r="A386" s="11"/>
      <c r="B386" s="7"/>
      <c r="C386" s="7"/>
      <c r="D386" s="12" t="str">
        <f aca="false">IF($C386="","",IFERROR(INDEX(품목마스터!$B$3:$B$302,MATCH($C386,품목마스터!$A$3:$A$302,0)),"미등록품번"))</f>
        <v/>
      </c>
      <c r="E386" s="12" t="str">
        <f aca="false">IF($C386="","",IFERROR(INDEX(품목마스터!$C$3:$C$302,MATCH($C386,품목마스터!$A$3:$A$302,0)),""))</f>
        <v/>
      </c>
      <c r="F386" s="12" t="str">
        <f aca="false">IF($C386="","",IFERROR(INDEX(품목마스터!$D$3:$D$302,MATCH($C386,품목마스터!$A$3:$A$302,0)),""))</f>
        <v/>
      </c>
      <c r="G386" s="9"/>
      <c r="H386" s="9"/>
      <c r="I386" s="13" t="str">
        <f aca="false">IF(OR($G386="",$H386=""),"",ROUND($G386*$H386,0))</f>
        <v/>
      </c>
      <c r="J386" s="7"/>
      <c r="K386" s="7"/>
      <c r="L386" s="14" t="str">
        <f aca="false">IF(OR($C386="",$G386=""),"",IF($B386="입고",$G386,IF($B386="출고",-$G386,$G386)))</f>
        <v/>
      </c>
      <c r="M386" s="13" t="str">
        <f aca="false">IF($C386="","",IFERROR(INDEX(품목마스터!$F$3:$F$302,MATCH($C386,품목마스터!$A$3:$A$302,0)),0)+SUMIFS($L$3:$L386,$C$3:$C386,$C386))</f>
        <v/>
      </c>
    </row>
    <row r="387" customFormat="false" ht="15" hidden="false" customHeight="true" outlineLevel="0" collapsed="false">
      <c r="A387" s="11"/>
      <c r="B387" s="7"/>
      <c r="C387" s="7"/>
      <c r="D387" s="12" t="str">
        <f aca="false">IF($C387="","",IFERROR(INDEX(품목마스터!$B$3:$B$302,MATCH($C387,품목마스터!$A$3:$A$302,0)),"미등록품번"))</f>
        <v/>
      </c>
      <c r="E387" s="12" t="str">
        <f aca="false">IF($C387="","",IFERROR(INDEX(품목마스터!$C$3:$C$302,MATCH($C387,품목마스터!$A$3:$A$302,0)),""))</f>
        <v/>
      </c>
      <c r="F387" s="12" t="str">
        <f aca="false">IF($C387="","",IFERROR(INDEX(품목마스터!$D$3:$D$302,MATCH($C387,품목마스터!$A$3:$A$302,0)),""))</f>
        <v/>
      </c>
      <c r="G387" s="9"/>
      <c r="H387" s="9"/>
      <c r="I387" s="13" t="str">
        <f aca="false">IF(OR($G387="",$H387=""),"",ROUND($G387*$H387,0))</f>
        <v/>
      </c>
      <c r="J387" s="7"/>
      <c r="K387" s="7"/>
      <c r="L387" s="14" t="str">
        <f aca="false">IF(OR($C387="",$G387=""),"",IF($B387="입고",$G387,IF($B387="출고",-$G387,$G387)))</f>
        <v/>
      </c>
      <c r="M387" s="13" t="str">
        <f aca="false">IF($C387="","",IFERROR(INDEX(품목마스터!$F$3:$F$302,MATCH($C387,품목마스터!$A$3:$A$302,0)),0)+SUMIFS($L$3:$L387,$C$3:$C387,$C387))</f>
        <v/>
      </c>
    </row>
    <row r="388" customFormat="false" ht="15" hidden="false" customHeight="true" outlineLevel="0" collapsed="false">
      <c r="A388" s="11"/>
      <c r="B388" s="7"/>
      <c r="C388" s="7"/>
      <c r="D388" s="12" t="str">
        <f aca="false">IF($C388="","",IFERROR(INDEX(품목마스터!$B$3:$B$302,MATCH($C388,품목마스터!$A$3:$A$302,0)),"미등록품번"))</f>
        <v/>
      </c>
      <c r="E388" s="12" t="str">
        <f aca="false">IF($C388="","",IFERROR(INDEX(품목마스터!$C$3:$C$302,MATCH($C388,품목마스터!$A$3:$A$302,0)),""))</f>
        <v/>
      </c>
      <c r="F388" s="12" t="str">
        <f aca="false">IF($C388="","",IFERROR(INDEX(품목마스터!$D$3:$D$302,MATCH($C388,품목마스터!$A$3:$A$302,0)),""))</f>
        <v/>
      </c>
      <c r="G388" s="9"/>
      <c r="H388" s="9"/>
      <c r="I388" s="13" t="str">
        <f aca="false">IF(OR($G388="",$H388=""),"",ROUND($G388*$H388,0))</f>
        <v/>
      </c>
      <c r="J388" s="7"/>
      <c r="K388" s="7"/>
      <c r="L388" s="14" t="str">
        <f aca="false">IF(OR($C388="",$G388=""),"",IF($B388="입고",$G388,IF($B388="출고",-$G388,$G388)))</f>
        <v/>
      </c>
      <c r="M388" s="13" t="str">
        <f aca="false">IF($C388="","",IFERROR(INDEX(품목마스터!$F$3:$F$302,MATCH($C388,품목마스터!$A$3:$A$302,0)),0)+SUMIFS($L$3:$L388,$C$3:$C388,$C388))</f>
        <v/>
      </c>
    </row>
    <row r="389" customFormat="false" ht="15" hidden="false" customHeight="true" outlineLevel="0" collapsed="false">
      <c r="A389" s="11"/>
      <c r="B389" s="7"/>
      <c r="C389" s="7"/>
      <c r="D389" s="12" t="str">
        <f aca="false">IF($C389="","",IFERROR(INDEX(품목마스터!$B$3:$B$302,MATCH($C389,품목마스터!$A$3:$A$302,0)),"미등록품번"))</f>
        <v/>
      </c>
      <c r="E389" s="12" t="str">
        <f aca="false">IF($C389="","",IFERROR(INDEX(품목마스터!$C$3:$C$302,MATCH($C389,품목마스터!$A$3:$A$302,0)),""))</f>
        <v/>
      </c>
      <c r="F389" s="12" t="str">
        <f aca="false">IF($C389="","",IFERROR(INDEX(품목마스터!$D$3:$D$302,MATCH($C389,품목마스터!$A$3:$A$302,0)),""))</f>
        <v/>
      </c>
      <c r="G389" s="9"/>
      <c r="H389" s="9"/>
      <c r="I389" s="13" t="str">
        <f aca="false">IF(OR($G389="",$H389=""),"",ROUND($G389*$H389,0))</f>
        <v/>
      </c>
      <c r="J389" s="7"/>
      <c r="K389" s="7"/>
      <c r="L389" s="14" t="str">
        <f aca="false">IF(OR($C389="",$G389=""),"",IF($B389="입고",$G389,IF($B389="출고",-$G389,$G389)))</f>
        <v/>
      </c>
      <c r="M389" s="13" t="str">
        <f aca="false">IF($C389="","",IFERROR(INDEX(품목마스터!$F$3:$F$302,MATCH($C389,품목마스터!$A$3:$A$302,0)),0)+SUMIFS($L$3:$L389,$C$3:$C389,$C389))</f>
        <v/>
      </c>
    </row>
    <row r="390" customFormat="false" ht="15" hidden="false" customHeight="true" outlineLevel="0" collapsed="false">
      <c r="A390" s="11"/>
      <c r="B390" s="7"/>
      <c r="C390" s="7"/>
      <c r="D390" s="12" t="str">
        <f aca="false">IF($C390="","",IFERROR(INDEX(품목마스터!$B$3:$B$302,MATCH($C390,품목마스터!$A$3:$A$302,0)),"미등록품번"))</f>
        <v/>
      </c>
      <c r="E390" s="12" t="str">
        <f aca="false">IF($C390="","",IFERROR(INDEX(품목마스터!$C$3:$C$302,MATCH($C390,품목마스터!$A$3:$A$302,0)),""))</f>
        <v/>
      </c>
      <c r="F390" s="12" t="str">
        <f aca="false">IF($C390="","",IFERROR(INDEX(품목마스터!$D$3:$D$302,MATCH($C390,품목마스터!$A$3:$A$302,0)),""))</f>
        <v/>
      </c>
      <c r="G390" s="9"/>
      <c r="H390" s="9"/>
      <c r="I390" s="13" t="str">
        <f aca="false">IF(OR($G390="",$H390=""),"",ROUND($G390*$H390,0))</f>
        <v/>
      </c>
      <c r="J390" s="7"/>
      <c r="K390" s="7"/>
      <c r="L390" s="14" t="str">
        <f aca="false">IF(OR($C390="",$G390=""),"",IF($B390="입고",$G390,IF($B390="출고",-$G390,$G390)))</f>
        <v/>
      </c>
      <c r="M390" s="13" t="str">
        <f aca="false">IF($C390="","",IFERROR(INDEX(품목마스터!$F$3:$F$302,MATCH($C390,품목마스터!$A$3:$A$302,0)),0)+SUMIFS($L$3:$L390,$C$3:$C390,$C390))</f>
        <v/>
      </c>
    </row>
    <row r="391" customFormat="false" ht="15" hidden="false" customHeight="true" outlineLevel="0" collapsed="false">
      <c r="A391" s="11"/>
      <c r="B391" s="7"/>
      <c r="C391" s="7"/>
      <c r="D391" s="12" t="str">
        <f aca="false">IF($C391="","",IFERROR(INDEX(품목마스터!$B$3:$B$302,MATCH($C391,품목마스터!$A$3:$A$302,0)),"미등록품번"))</f>
        <v/>
      </c>
      <c r="E391" s="12" t="str">
        <f aca="false">IF($C391="","",IFERROR(INDEX(품목마스터!$C$3:$C$302,MATCH($C391,품목마스터!$A$3:$A$302,0)),""))</f>
        <v/>
      </c>
      <c r="F391" s="12" t="str">
        <f aca="false">IF($C391="","",IFERROR(INDEX(품목마스터!$D$3:$D$302,MATCH($C391,품목마스터!$A$3:$A$302,0)),""))</f>
        <v/>
      </c>
      <c r="G391" s="9"/>
      <c r="H391" s="9"/>
      <c r="I391" s="13" t="str">
        <f aca="false">IF(OR($G391="",$H391=""),"",ROUND($G391*$H391,0))</f>
        <v/>
      </c>
      <c r="J391" s="7"/>
      <c r="K391" s="7"/>
      <c r="L391" s="14" t="str">
        <f aca="false">IF(OR($C391="",$G391=""),"",IF($B391="입고",$G391,IF($B391="출고",-$G391,$G391)))</f>
        <v/>
      </c>
      <c r="M391" s="13" t="str">
        <f aca="false">IF($C391="","",IFERROR(INDEX(품목마스터!$F$3:$F$302,MATCH($C391,품목마스터!$A$3:$A$302,0)),0)+SUMIFS($L$3:$L391,$C$3:$C391,$C391))</f>
        <v/>
      </c>
    </row>
    <row r="392" customFormat="false" ht="15" hidden="false" customHeight="true" outlineLevel="0" collapsed="false">
      <c r="A392" s="11"/>
      <c r="B392" s="7"/>
      <c r="C392" s="7"/>
      <c r="D392" s="12" t="str">
        <f aca="false">IF($C392="","",IFERROR(INDEX(품목마스터!$B$3:$B$302,MATCH($C392,품목마스터!$A$3:$A$302,0)),"미등록품번"))</f>
        <v/>
      </c>
      <c r="E392" s="12" t="str">
        <f aca="false">IF($C392="","",IFERROR(INDEX(품목마스터!$C$3:$C$302,MATCH($C392,품목마스터!$A$3:$A$302,0)),""))</f>
        <v/>
      </c>
      <c r="F392" s="12" t="str">
        <f aca="false">IF($C392="","",IFERROR(INDEX(품목마스터!$D$3:$D$302,MATCH($C392,품목마스터!$A$3:$A$302,0)),""))</f>
        <v/>
      </c>
      <c r="G392" s="9"/>
      <c r="H392" s="9"/>
      <c r="I392" s="13" t="str">
        <f aca="false">IF(OR($G392="",$H392=""),"",ROUND($G392*$H392,0))</f>
        <v/>
      </c>
      <c r="J392" s="7"/>
      <c r="K392" s="7"/>
      <c r="L392" s="14" t="str">
        <f aca="false">IF(OR($C392="",$G392=""),"",IF($B392="입고",$G392,IF($B392="출고",-$G392,$G392)))</f>
        <v/>
      </c>
      <c r="M392" s="13" t="str">
        <f aca="false">IF($C392="","",IFERROR(INDEX(품목마스터!$F$3:$F$302,MATCH($C392,품목마스터!$A$3:$A$302,0)),0)+SUMIFS($L$3:$L392,$C$3:$C392,$C392))</f>
        <v/>
      </c>
    </row>
    <row r="393" customFormat="false" ht="15" hidden="false" customHeight="true" outlineLevel="0" collapsed="false">
      <c r="A393" s="11"/>
      <c r="B393" s="7"/>
      <c r="C393" s="7"/>
      <c r="D393" s="12" t="str">
        <f aca="false">IF($C393="","",IFERROR(INDEX(품목마스터!$B$3:$B$302,MATCH($C393,품목마스터!$A$3:$A$302,0)),"미등록품번"))</f>
        <v/>
      </c>
      <c r="E393" s="12" t="str">
        <f aca="false">IF($C393="","",IFERROR(INDEX(품목마스터!$C$3:$C$302,MATCH($C393,품목마스터!$A$3:$A$302,0)),""))</f>
        <v/>
      </c>
      <c r="F393" s="12" t="str">
        <f aca="false">IF($C393="","",IFERROR(INDEX(품목마스터!$D$3:$D$302,MATCH($C393,품목마스터!$A$3:$A$302,0)),""))</f>
        <v/>
      </c>
      <c r="G393" s="9"/>
      <c r="H393" s="9"/>
      <c r="I393" s="13" t="str">
        <f aca="false">IF(OR($G393="",$H393=""),"",ROUND($G393*$H393,0))</f>
        <v/>
      </c>
      <c r="J393" s="7"/>
      <c r="K393" s="7"/>
      <c r="L393" s="14" t="str">
        <f aca="false">IF(OR($C393="",$G393=""),"",IF($B393="입고",$G393,IF($B393="출고",-$G393,$G393)))</f>
        <v/>
      </c>
      <c r="M393" s="13" t="str">
        <f aca="false">IF($C393="","",IFERROR(INDEX(품목마스터!$F$3:$F$302,MATCH($C393,품목마스터!$A$3:$A$302,0)),0)+SUMIFS($L$3:$L393,$C$3:$C393,$C393))</f>
        <v/>
      </c>
    </row>
    <row r="394" customFormat="false" ht="15" hidden="false" customHeight="true" outlineLevel="0" collapsed="false">
      <c r="A394" s="11"/>
      <c r="B394" s="7"/>
      <c r="C394" s="7"/>
      <c r="D394" s="12" t="str">
        <f aca="false">IF($C394="","",IFERROR(INDEX(품목마스터!$B$3:$B$302,MATCH($C394,품목마스터!$A$3:$A$302,0)),"미등록품번"))</f>
        <v/>
      </c>
      <c r="E394" s="12" t="str">
        <f aca="false">IF($C394="","",IFERROR(INDEX(품목마스터!$C$3:$C$302,MATCH($C394,품목마스터!$A$3:$A$302,0)),""))</f>
        <v/>
      </c>
      <c r="F394" s="12" t="str">
        <f aca="false">IF($C394="","",IFERROR(INDEX(품목마스터!$D$3:$D$302,MATCH($C394,품목마스터!$A$3:$A$302,0)),""))</f>
        <v/>
      </c>
      <c r="G394" s="9"/>
      <c r="H394" s="9"/>
      <c r="I394" s="13" t="str">
        <f aca="false">IF(OR($G394="",$H394=""),"",ROUND($G394*$H394,0))</f>
        <v/>
      </c>
      <c r="J394" s="7"/>
      <c r="K394" s="7"/>
      <c r="L394" s="14" t="str">
        <f aca="false">IF(OR($C394="",$G394=""),"",IF($B394="입고",$G394,IF($B394="출고",-$G394,$G394)))</f>
        <v/>
      </c>
      <c r="M394" s="13" t="str">
        <f aca="false">IF($C394="","",IFERROR(INDEX(품목마스터!$F$3:$F$302,MATCH($C394,품목마스터!$A$3:$A$302,0)),0)+SUMIFS($L$3:$L394,$C$3:$C394,$C394))</f>
        <v/>
      </c>
    </row>
    <row r="395" customFormat="false" ht="15" hidden="false" customHeight="true" outlineLevel="0" collapsed="false">
      <c r="A395" s="11"/>
      <c r="B395" s="7"/>
      <c r="C395" s="7"/>
      <c r="D395" s="12" t="str">
        <f aca="false">IF($C395="","",IFERROR(INDEX(품목마스터!$B$3:$B$302,MATCH($C395,품목마스터!$A$3:$A$302,0)),"미등록품번"))</f>
        <v/>
      </c>
      <c r="E395" s="12" t="str">
        <f aca="false">IF($C395="","",IFERROR(INDEX(품목마스터!$C$3:$C$302,MATCH($C395,품목마스터!$A$3:$A$302,0)),""))</f>
        <v/>
      </c>
      <c r="F395" s="12" t="str">
        <f aca="false">IF($C395="","",IFERROR(INDEX(품목마스터!$D$3:$D$302,MATCH($C395,품목마스터!$A$3:$A$302,0)),""))</f>
        <v/>
      </c>
      <c r="G395" s="9"/>
      <c r="H395" s="9"/>
      <c r="I395" s="13" t="str">
        <f aca="false">IF(OR($G395="",$H395=""),"",ROUND($G395*$H395,0))</f>
        <v/>
      </c>
      <c r="J395" s="7"/>
      <c r="K395" s="7"/>
      <c r="L395" s="14" t="str">
        <f aca="false">IF(OR($C395="",$G395=""),"",IF($B395="입고",$G395,IF($B395="출고",-$G395,$G395)))</f>
        <v/>
      </c>
      <c r="M395" s="13" t="str">
        <f aca="false">IF($C395="","",IFERROR(INDEX(품목마스터!$F$3:$F$302,MATCH($C395,품목마스터!$A$3:$A$302,0)),0)+SUMIFS($L$3:$L395,$C$3:$C395,$C395))</f>
        <v/>
      </c>
    </row>
    <row r="396" customFormat="false" ht="15" hidden="false" customHeight="true" outlineLevel="0" collapsed="false">
      <c r="A396" s="11"/>
      <c r="B396" s="7"/>
      <c r="C396" s="7"/>
      <c r="D396" s="12" t="str">
        <f aca="false">IF($C396="","",IFERROR(INDEX(품목마스터!$B$3:$B$302,MATCH($C396,품목마스터!$A$3:$A$302,0)),"미등록품번"))</f>
        <v/>
      </c>
      <c r="E396" s="12" t="str">
        <f aca="false">IF($C396="","",IFERROR(INDEX(품목마스터!$C$3:$C$302,MATCH($C396,품목마스터!$A$3:$A$302,0)),""))</f>
        <v/>
      </c>
      <c r="F396" s="12" t="str">
        <f aca="false">IF($C396="","",IFERROR(INDEX(품목마스터!$D$3:$D$302,MATCH($C396,품목마스터!$A$3:$A$302,0)),""))</f>
        <v/>
      </c>
      <c r="G396" s="9"/>
      <c r="H396" s="9"/>
      <c r="I396" s="13" t="str">
        <f aca="false">IF(OR($G396="",$H396=""),"",ROUND($G396*$H396,0))</f>
        <v/>
      </c>
      <c r="J396" s="7"/>
      <c r="K396" s="7"/>
      <c r="L396" s="14" t="str">
        <f aca="false">IF(OR($C396="",$G396=""),"",IF($B396="입고",$G396,IF($B396="출고",-$G396,$G396)))</f>
        <v/>
      </c>
      <c r="M396" s="13" t="str">
        <f aca="false">IF($C396="","",IFERROR(INDEX(품목마스터!$F$3:$F$302,MATCH($C396,품목마스터!$A$3:$A$302,0)),0)+SUMIFS($L$3:$L396,$C$3:$C396,$C396))</f>
        <v/>
      </c>
    </row>
    <row r="397" customFormat="false" ht="15" hidden="false" customHeight="true" outlineLevel="0" collapsed="false">
      <c r="A397" s="11"/>
      <c r="B397" s="7"/>
      <c r="C397" s="7"/>
      <c r="D397" s="12" t="str">
        <f aca="false">IF($C397="","",IFERROR(INDEX(품목마스터!$B$3:$B$302,MATCH($C397,품목마스터!$A$3:$A$302,0)),"미등록품번"))</f>
        <v/>
      </c>
      <c r="E397" s="12" t="str">
        <f aca="false">IF($C397="","",IFERROR(INDEX(품목마스터!$C$3:$C$302,MATCH($C397,품목마스터!$A$3:$A$302,0)),""))</f>
        <v/>
      </c>
      <c r="F397" s="12" t="str">
        <f aca="false">IF($C397="","",IFERROR(INDEX(품목마스터!$D$3:$D$302,MATCH($C397,품목마스터!$A$3:$A$302,0)),""))</f>
        <v/>
      </c>
      <c r="G397" s="9"/>
      <c r="H397" s="9"/>
      <c r="I397" s="13" t="str">
        <f aca="false">IF(OR($G397="",$H397=""),"",ROUND($G397*$H397,0))</f>
        <v/>
      </c>
      <c r="J397" s="7"/>
      <c r="K397" s="7"/>
      <c r="L397" s="14" t="str">
        <f aca="false">IF(OR($C397="",$G397=""),"",IF($B397="입고",$G397,IF($B397="출고",-$G397,$G397)))</f>
        <v/>
      </c>
      <c r="M397" s="13" t="str">
        <f aca="false">IF($C397="","",IFERROR(INDEX(품목마스터!$F$3:$F$302,MATCH($C397,품목마스터!$A$3:$A$302,0)),0)+SUMIFS($L$3:$L397,$C$3:$C397,$C397))</f>
        <v/>
      </c>
    </row>
    <row r="398" customFormat="false" ht="15" hidden="false" customHeight="true" outlineLevel="0" collapsed="false">
      <c r="A398" s="11"/>
      <c r="B398" s="7"/>
      <c r="C398" s="7"/>
      <c r="D398" s="12" t="str">
        <f aca="false">IF($C398="","",IFERROR(INDEX(품목마스터!$B$3:$B$302,MATCH($C398,품목마스터!$A$3:$A$302,0)),"미등록품번"))</f>
        <v/>
      </c>
      <c r="E398" s="12" t="str">
        <f aca="false">IF($C398="","",IFERROR(INDEX(품목마스터!$C$3:$C$302,MATCH($C398,품목마스터!$A$3:$A$302,0)),""))</f>
        <v/>
      </c>
      <c r="F398" s="12" t="str">
        <f aca="false">IF($C398="","",IFERROR(INDEX(품목마스터!$D$3:$D$302,MATCH($C398,품목마스터!$A$3:$A$302,0)),""))</f>
        <v/>
      </c>
      <c r="G398" s="9"/>
      <c r="H398" s="9"/>
      <c r="I398" s="13" t="str">
        <f aca="false">IF(OR($G398="",$H398=""),"",ROUND($G398*$H398,0))</f>
        <v/>
      </c>
      <c r="J398" s="7"/>
      <c r="K398" s="7"/>
      <c r="L398" s="14" t="str">
        <f aca="false">IF(OR($C398="",$G398=""),"",IF($B398="입고",$G398,IF($B398="출고",-$G398,$G398)))</f>
        <v/>
      </c>
      <c r="M398" s="13" t="str">
        <f aca="false">IF($C398="","",IFERROR(INDEX(품목마스터!$F$3:$F$302,MATCH($C398,품목마스터!$A$3:$A$302,0)),0)+SUMIFS($L$3:$L398,$C$3:$C398,$C398))</f>
        <v/>
      </c>
    </row>
    <row r="399" customFormat="false" ht="15" hidden="false" customHeight="true" outlineLevel="0" collapsed="false">
      <c r="A399" s="11"/>
      <c r="B399" s="7"/>
      <c r="C399" s="7"/>
      <c r="D399" s="12" t="str">
        <f aca="false">IF($C399="","",IFERROR(INDEX(품목마스터!$B$3:$B$302,MATCH($C399,품목마스터!$A$3:$A$302,0)),"미등록품번"))</f>
        <v/>
      </c>
      <c r="E399" s="12" t="str">
        <f aca="false">IF($C399="","",IFERROR(INDEX(품목마스터!$C$3:$C$302,MATCH($C399,품목마스터!$A$3:$A$302,0)),""))</f>
        <v/>
      </c>
      <c r="F399" s="12" t="str">
        <f aca="false">IF($C399="","",IFERROR(INDEX(품목마스터!$D$3:$D$302,MATCH($C399,품목마스터!$A$3:$A$302,0)),""))</f>
        <v/>
      </c>
      <c r="G399" s="9"/>
      <c r="H399" s="9"/>
      <c r="I399" s="13" t="str">
        <f aca="false">IF(OR($G399="",$H399=""),"",ROUND($G399*$H399,0))</f>
        <v/>
      </c>
      <c r="J399" s="7"/>
      <c r="K399" s="7"/>
      <c r="L399" s="14" t="str">
        <f aca="false">IF(OR($C399="",$G399=""),"",IF($B399="입고",$G399,IF($B399="출고",-$G399,$G399)))</f>
        <v/>
      </c>
      <c r="M399" s="13" t="str">
        <f aca="false">IF($C399="","",IFERROR(INDEX(품목마스터!$F$3:$F$302,MATCH($C399,품목마스터!$A$3:$A$302,0)),0)+SUMIFS($L$3:$L399,$C$3:$C399,$C399))</f>
        <v/>
      </c>
    </row>
    <row r="400" customFormat="false" ht="15" hidden="false" customHeight="true" outlineLevel="0" collapsed="false">
      <c r="A400" s="11"/>
      <c r="B400" s="7"/>
      <c r="C400" s="7"/>
      <c r="D400" s="12" t="str">
        <f aca="false">IF($C400="","",IFERROR(INDEX(품목마스터!$B$3:$B$302,MATCH($C400,품목마스터!$A$3:$A$302,0)),"미등록품번"))</f>
        <v/>
      </c>
      <c r="E400" s="12" t="str">
        <f aca="false">IF($C400="","",IFERROR(INDEX(품목마스터!$C$3:$C$302,MATCH($C400,품목마스터!$A$3:$A$302,0)),""))</f>
        <v/>
      </c>
      <c r="F400" s="12" t="str">
        <f aca="false">IF($C400="","",IFERROR(INDEX(품목마스터!$D$3:$D$302,MATCH($C400,품목마스터!$A$3:$A$302,0)),""))</f>
        <v/>
      </c>
      <c r="G400" s="9"/>
      <c r="H400" s="9"/>
      <c r="I400" s="13" t="str">
        <f aca="false">IF(OR($G400="",$H400=""),"",ROUND($G400*$H400,0))</f>
        <v/>
      </c>
      <c r="J400" s="7"/>
      <c r="K400" s="7"/>
      <c r="L400" s="14" t="str">
        <f aca="false">IF(OR($C400="",$G400=""),"",IF($B400="입고",$G400,IF($B400="출고",-$G400,$G400)))</f>
        <v/>
      </c>
      <c r="M400" s="13" t="str">
        <f aca="false">IF($C400="","",IFERROR(INDEX(품목마스터!$F$3:$F$302,MATCH($C400,품목마스터!$A$3:$A$302,0)),0)+SUMIFS($L$3:$L400,$C$3:$C400,$C400))</f>
        <v/>
      </c>
    </row>
    <row r="401" customFormat="false" ht="15" hidden="false" customHeight="true" outlineLevel="0" collapsed="false">
      <c r="A401" s="11"/>
      <c r="B401" s="7"/>
      <c r="C401" s="7"/>
      <c r="D401" s="12" t="str">
        <f aca="false">IF($C401="","",IFERROR(INDEX(품목마스터!$B$3:$B$302,MATCH($C401,품목마스터!$A$3:$A$302,0)),"미등록품번"))</f>
        <v/>
      </c>
      <c r="E401" s="12" t="str">
        <f aca="false">IF($C401="","",IFERROR(INDEX(품목마스터!$C$3:$C$302,MATCH($C401,품목마스터!$A$3:$A$302,0)),""))</f>
        <v/>
      </c>
      <c r="F401" s="12" t="str">
        <f aca="false">IF($C401="","",IFERROR(INDEX(품목마스터!$D$3:$D$302,MATCH($C401,품목마스터!$A$3:$A$302,0)),""))</f>
        <v/>
      </c>
      <c r="G401" s="9"/>
      <c r="H401" s="9"/>
      <c r="I401" s="13" t="str">
        <f aca="false">IF(OR($G401="",$H401=""),"",ROUND($G401*$H401,0))</f>
        <v/>
      </c>
      <c r="J401" s="7"/>
      <c r="K401" s="7"/>
      <c r="L401" s="14" t="str">
        <f aca="false">IF(OR($C401="",$G401=""),"",IF($B401="입고",$G401,IF($B401="출고",-$G401,$G401)))</f>
        <v/>
      </c>
      <c r="M401" s="13" t="str">
        <f aca="false">IF($C401="","",IFERROR(INDEX(품목마스터!$F$3:$F$302,MATCH($C401,품목마스터!$A$3:$A$302,0)),0)+SUMIFS($L$3:$L401,$C$3:$C401,$C401))</f>
        <v/>
      </c>
    </row>
    <row r="402" customFormat="false" ht="15" hidden="false" customHeight="true" outlineLevel="0" collapsed="false">
      <c r="A402" s="11"/>
      <c r="B402" s="7"/>
      <c r="C402" s="7"/>
      <c r="D402" s="12" t="str">
        <f aca="false">IF($C402="","",IFERROR(INDEX(품목마스터!$B$3:$B$302,MATCH($C402,품목마스터!$A$3:$A$302,0)),"미등록품번"))</f>
        <v/>
      </c>
      <c r="E402" s="12" t="str">
        <f aca="false">IF($C402="","",IFERROR(INDEX(품목마스터!$C$3:$C$302,MATCH($C402,품목마스터!$A$3:$A$302,0)),""))</f>
        <v/>
      </c>
      <c r="F402" s="12" t="str">
        <f aca="false">IF($C402="","",IFERROR(INDEX(품목마스터!$D$3:$D$302,MATCH($C402,품목마스터!$A$3:$A$302,0)),""))</f>
        <v/>
      </c>
      <c r="G402" s="9"/>
      <c r="H402" s="9"/>
      <c r="I402" s="13" t="str">
        <f aca="false">IF(OR($G402="",$H402=""),"",ROUND($G402*$H402,0))</f>
        <v/>
      </c>
      <c r="J402" s="7"/>
      <c r="K402" s="7"/>
      <c r="L402" s="14" t="str">
        <f aca="false">IF(OR($C402="",$G402=""),"",IF($B402="입고",$G402,IF($B402="출고",-$G402,$G402)))</f>
        <v/>
      </c>
      <c r="M402" s="13" t="str">
        <f aca="false">IF($C402="","",IFERROR(INDEX(품목마스터!$F$3:$F$302,MATCH($C402,품목마스터!$A$3:$A$302,0)),0)+SUMIFS($L$3:$L402,$C$3:$C402,$C402))</f>
        <v/>
      </c>
    </row>
    <row r="403" customFormat="false" ht="15" hidden="false" customHeight="true" outlineLevel="0" collapsed="false">
      <c r="A403" s="11"/>
      <c r="B403" s="7"/>
      <c r="C403" s="7"/>
      <c r="D403" s="12" t="str">
        <f aca="false">IF($C403="","",IFERROR(INDEX(품목마스터!$B$3:$B$302,MATCH($C403,품목마스터!$A$3:$A$302,0)),"미등록품번"))</f>
        <v/>
      </c>
      <c r="E403" s="12" t="str">
        <f aca="false">IF($C403="","",IFERROR(INDEX(품목마스터!$C$3:$C$302,MATCH($C403,품목마스터!$A$3:$A$302,0)),""))</f>
        <v/>
      </c>
      <c r="F403" s="12" t="str">
        <f aca="false">IF($C403="","",IFERROR(INDEX(품목마스터!$D$3:$D$302,MATCH($C403,품목마스터!$A$3:$A$302,0)),""))</f>
        <v/>
      </c>
      <c r="G403" s="9"/>
      <c r="H403" s="9"/>
      <c r="I403" s="13" t="str">
        <f aca="false">IF(OR($G403="",$H403=""),"",ROUND($G403*$H403,0))</f>
        <v/>
      </c>
      <c r="J403" s="7"/>
      <c r="K403" s="7"/>
      <c r="L403" s="14" t="str">
        <f aca="false">IF(OR($C403="",$G403=""),"",IF($B403="입고",$G403,IF($B403="출고",-$G403,$G403)))</f>
        <v/>
      </c>
      <c r="M403" s="13" t="str">
        <f aca="false">IF($C403="","",IFERROR(INDEX(품목마스터!$F$3:$F$302,MATCH($C403,품목마스터!$A$3:$A$302,0)),0)+SUMIFS($L$3:$L403,$C$3:$C403,$C403))</f>
        <v/>
      </c>
    </row>
    <row r="404" customFormat="false" ht="15" hidden="false" customHeight="true" outlineLevel="0" collapsed="false">
      <c r="A404" s="11"/>
      <c r="B404" s="7"/>
      <c r="C404" s="7"/>
      <c r="D404" s="12" t="str">
        <f aca="false">IF($C404="","",IFERROR(INDEX(품목마스터!$B$3:$B$302,MATCH($C404,품목마스터!$A$3:$A$302,0)),"미등록품번"))</f>
        <v/>
      </c>
      <c r="E404" s="12" t="str">
        <f aca="false">IF($C404="","",IFERROR(INDEX(품목마스터!$C$3:$C$302,MATCH($C404,품목마스터!$A$3:$A$302,0)),""))</f>
        <v/>
      </c>
      <c r="F404" s="12" t="str">
        <f aca="false">IF($C404="","",IFERROR(INDEX(품목마스터!$D$3:$D$302,MATCH($C404,품목마스터!$A$3:$A$302,0)),""))</f>
        <v/>
      </c>
      <c r="G404" s="9"/>
      <c r="H404" s="9"/>
      <c r="I404" s="13" t="str">
        <f aca="false">IF(OR($G404="",$H404=""),"",ROUND($G404*$H404,0))</f>
        <v/>
      </c>
      <c r="J404" s="7"/>
      <c r="K404" s="7"/>
      <c r="L404" s="14" t="str">
        <f aca="false">IF(OR($C404="",$G404=""),"",IF($B404="입고",$G404,IF($B404="출고",-$G404,$G404)))</f>
        <v/>
      </c>
      <c r="M404" s="13" t="str">
        <f aca="false">IF($C404="","",IFERROR(INDEX(품목마스터!$F$3:$F$302,MATCH($C404,품목마스터!$A$3:$A$302,0)),0)+SUMIFS($L$3:$L404,$C$3:$C404,$C404))</f>
        <v/>
      </c>
    </row>
    <row r="405" customFormat="false" ht="15" hidden="false" customHeight="true" outlineLevel="0" collapsed="false">
      <c r="A405" s="11"/>
      <c r="B405" s="7"/>
      <c r="C405" s="7"/>
      <c r="D405" s="12" t="str">
        <f aca="false">IF($C405="","",IFERROR(INDEX(품목마스터!$B$3:$B$302,MATCH($C405,품목마스터!$A$3:$A$302,0)),"미등록품번"))</f>
        <v/>
      </c>
      <c r="E405" s="12" t="str">
        <f aca="false">IF($C405="","",IFERROR(INDEX(품목마스터!$C$3:$C$302,MATCH($C405,품목마스터!$A$3:$A$302,0)),""))</f>
        <v/>
      </c>
      <c r="F405" s="12" t="str">
        <f aca="false">IF($C405="","",IFERROR(INDEX(품목마스터!$D$3:$D$302,MATCH($C405,품목마스터!$A$3:$A$302,0)),""))</f>
        <v/>
      </c>
      <c r="G405" s="9"/>
      <c r="H405" s="9"/>
      <c r="I405" s="13" t="str">
        <f aca="false">IF(OR($G405="",$H405=""),"",ROUND($G405*$H405,0))</f>
        <v/>
      </c>
      <c r="J405" s="7"/>
      <c r="K405" s="7"/>
      <c r="L405" s="14" t="str">
        <f aca="false">IF(OR($C405="",$G405=""),"",IF($B405="입고",$G405,IF($B405="출고",-$G405,$G405)))</f>
        <v/>
      </c>
      <c r="M405" s="13" t="str">
        <f aca="false">IF($C405="","",IFERROR(INDEX(품목마스터!$F$3:$F$302,MATCH($C405,품목마스터!$A$3:$A$302,0)),0)+SUMIFS($L$3:$L405,$C$3:$C405,$C405))</f>
        <v/>
      </c>
    </row>
    <row r="406" customFormat="false" ht="15" hidden="false" customHeight="true" outlineLevel="0" collapsed="false">
      <c r="A406" s="11"/>
      <c r="B406" s="7"/>
      <c r="C406" s="7"/>
      <c r="D406" s="12" t="str">
        <f aca="false">IF($C406="","",IFERROR(INDEX(품목마스터!$B$3:$B$302,MATCH($C406,품목마스터!$A$3:$A$302,0)),"미등록품번"))</f>
        <v/>
      </c>
      <c r="E406" s="12" t="str">
        <f aca="false">IF($C406="","",IFERROR(INDEX(품목마스터!$C$3:$C$302,MATCH($C406,품목마스터!$A$3:$A$302,0)),""))</f>
        <v/>
      </c>
      <c r="F406" s="12" t="str">
        <f aca="false">IF($C406="","",IFERROR(INDEX(품목마스터!$D$3:$D$302,MATCH($C406,품목마스터!$A$3:$A$302,0)),""))</f>
        <v/>
      </c>
      <c r="G406" s="9"/>
      <c r="H406" s="9"/>
      <c r="I406" s="13" t="str">
        <f aca="false">IF(OR($G406="",$H406=""),"",ROUND($G406*$H406,0))</f>
        <v/>
      </c>
      <c r="J406" s="7"/>
      <c r="K406" s="7"/>
      <c r="L406" s="14" t="str">
        <f aca="false">IF(OR($C406="",$G406=""),"",IF($B406="입고",$G406,IF($B406="출고",-$G406,$G406)))</f>
        <v/>
      </c>
      <c r="M406" s="13" t="str">
        <f aca="false">IF($C406="","",IFERROR(INDEX(품목마스터!$F$3:$F$302,MATCH($C406,품목마스터!$A$3:$A$302,0)),0)+SUMIFS($L$3:$L406,$C$3:$C406,$C406))</f>
        <v/>
      </c>
    </row>
    <row r="407" customFormat="false" ht="15" hidden="false" customHeight="true" outlineLevel="0" collapsed="false">
      <c r="A407" s="11"/>
      <c r="B407" s="7"/>
      <c r="C407" s="7"/>
      <c r="D407" s="12" t="str">
        <f aca="false">IF($C407="","",IFERROR(INDEX(품목마스터!$B$3:$B$302,MATCH($C407,품목마스터!$A$3:$A$302,0)),"미등록품번"))</f>
        <v/>
      </c>
      <c r="E407" s="12" t="str">
        <f aca="false">IF($C407="","",IFERROR(INDEX(품목마스터!$C$3:$C$302,MATCH($C407,품목마스터!$A$3:$A$302,0)),""))</f>
        <v/>
      </c>
      <c r="F407" s="12" t="str">
        <f aca="false">IF($C407="","",IFERROR(INDEX(품목마스터!$D$3:$D$302,MATCH($C407,품목마스터!$A$3:$A$302,0)),""))</f>
        <v/>
      </c>
      <c r="G407" s="9"/>
      <c r="H407" s="9"/>
      <c r="I407" s="13" t="str">
        <f aca="false">IF(OR($G407="",$H407=""),"",ROUND($G407*$H407,0))</f>
        <v/>
      </c>
      <c r="J407" s="7"/>
      <c r="K407" s="7"/>
      <c r="L407" s="14" t="str">
        <f aca="false">IF(OR($C407="",$G407=""),"",IF($B407="입고",$G407,IF($B407="출고",-$G407,$G407)))</f>
        <v/>
      </c>
      <c r="M407" s="13" t="str">
        <f aca="false">IF($C407="","",IFERROR(INDEX(품목마스터!$F$3:$F$302,MATCH($C407,품목마스터!$A$3:$A$302,0)),0)+SUMIFS($L$3:$L407,$C$3:$C407,$C407))</f>
        <v/>
      </c>
    </row>
    <row r="408" customFormat="false" ht="15" hidden="false" customHeight="true" outlineLevel="0" collapsed="false">
      <c r="A408" s="11"/>
      <c r="B408" s="7"/>
      <c r="C408" s="7"/>
      <c r="D408" s="12" t="str">
        <f aca="false">IF($C408="","",IFERROR(INDEX(품목마스터!$B$3:$B$302,MATCH($C408,품목마스터!$A$3:$A$302,0)),"미등록품번"))</f>
        <v/>
      </c>
      <c r="E408" s="12" t="str">
        <f aca="false">IF($C408="","",IFERROR(INDEX(품목마스터!$C$3:$C$302,MATCH($C408,품목마스터!$A$3:$A$302,0)),""))</f>
        <v/>
      </c>
      <c r="F408" s="12" t="str">
        <f aca="false">IF($C408="","",IFERROR(INDEX(품목마스터!$D$3:$D$302,MATCH($C408,품목마스터!$A$3:$A$302,0)),""))</f>
        <v/>
      </c>
      <c r="G408" s="9"/>
      <c r="H408" s="9"/>
      <c r="I408" s="13" t="str">
        <f aca="false">IF(OR($G408="",$H408=""),"",ROUND($G408*$H408,0))</f>
        <v/>
      </c>
      <c r="J408" s="7"/>
      <c r="K408" s="7"/>
      <c r="L408" s="14" t="str">
        <f aca="false">IF(OR($C408="",$G408=""),"",IF($B408="입고",$G408,IF($B408="출고",-$G408,$G408)))</f>
        <v/>
      </c>
      <c r="M408" s="13" t="str">
        <f aca="false">IF($C408="","",IFERROR(INDEX(품목마스터!$F$3:$F$302,MATCH($C408,품목마스터!$A$3:$A$302,0)),0)+SUMIFS($L$3:$L408,$C$3:$C408,$C408))</f>
        <v/>
      </c>
    </row>
    <row r="409" customFormat="false" ht="15" hidden="false" customHeight="true" outlineLevel="0" collapsed="false">
      <c r="A409" s="11"/>
      <c r="B409" s="7"/>
      <c r="C409" s="7"/>
      <c r="D409" s="12" t="str">
        <f aca="false">IF($C409="","",IFERROR(INDEX(품목마스터!$B$3:$B$302,MATCH($C409,품목마스터!$A$3:$A$302,0)),"미등록품번"))</f>
        <v/>
      </c>
      <c r="E409" s="12" t="str">
        <f aca="false">IF($C409="","",IFERROR(INDEX(품목마스터!$C$3:$C$302,MATCH($C409,품목마스터!$A$3:$A$302,0)),""))</f>
        <v/>
      </c>
      <c r="F409" s="12" t="str">
        <f aca="false">IF($C409="","",IFERROR(INDEX(품목마스터!$D$3:$D$302,MATCH($C409,품목마스터!$A$3:$A$302,0)),""))</f>
        <v/>
      </c>
      <c r="G409" s="9"/>
      <c r="H409" s="9"/>
      <c r="I409" s="13" t="str">
        <f aca="false">IF(OR($G409="",$H409=""),"",ROUND($G409*$H409,0))</f>
        <v/>
      </c>
      <c r="J409" s="7"/>
      <c r="K409" s="7"/>
      <c r="L409" s="14" t="str">
        <f aca="false">IF(OR($C409="",$G409=""),"",IF($B409="입고",$G409,IF($B409="출고",-$G409,$G409)))</f>
        <v/>
      </c>
      <c r="M409" s="13" t="str">
        <f aca="false">IF($C409="","",IFERROR(INDEX(품목마스터!$F$3:$F$302,MATCH($C409,품목마스터!$A$3:$A$302,0)),0)+SUMIFS($L$3:$L409,$C$3:$C409,$C409))</f>
        <v/>
      </c>
    </row>
    <row r="410" customFormat="false" ht="15" hidden="false" customHeight="true" outlineLevel="0" collapsed="false">
      <c r="A410" s="11"/>
      <c r="B410" s="7"/>
      <c r="C410" s="7"/>
      <c r="D410" s="12" t="str">
        <f aca="false">IF($C410="","",IFERROR(INDEX(품목마스터!$B$3:$B$302,MATCH($C410,품목마스터!$A$3:$A$302,0)),"미등록품번"))</f>
        <v/>
      </c>
      <c r="E410" s="12" t="str">
        <f aca="false">IF($C410="","",IFERROR(INDEX(품목마스터!$C$3:$C$302,MATCH($C410,품목마스터!$A$3:$A$302,0)),""))</f>
        <v/>
      </c>
      <c r="F410" s="12" t="str">
        <f aca="false">IF($C410="","",IFERROR(INDEX(품목마스터!$D$3:$D$302,MATCH($C410,품목마스터!$A$3:$A$302,0)),""))</f>
        <v/>
      </c>
      <c r="G410" s="9"/>
      <c r="H410" s="9"/>
      <c r="I410" s="13" t="str">
        <f aca="false">IF(OR($G410="",$H410=""),"",ROUND($G410*$H410,0))</f>
        <v/>
      </c>
      <c r="J410" s="7"/>
      <c r="K410" s="7"/>
      <c r="L410" s="14" t="str">
        <f aca="false">IF(OR($C410="",$G410=""),"",IF($B410="입고",$G410,IF($B410="출고",-$G410,$G410)))</f>
        <v/>
      </c>
      <c r="M410" s="13" t="str">
        <f aca="false">IF($C410="","",IFERROR(INDEX(품목마스터!$F$3:$F$302,MATCH($C410,품목마스터!$A$3:$A$302,0)),0)+SUMIFS($L$3:$L410,$C$3:$C410,$C410))</f>
        <v/>
      </c>
    </row>
    <row r="411" customFormat="false" ht="15" hidden="false" customHeight="true" outlineLevel="0" collapsed="false">
      <c r="A411" s="11"/>
      <c r="B411" s="7"/>
      <c r="C411" s="7"/>
      <c r="D411" s="12" t="str">
        <f aca="false">IF($C411="","",IFERROR(INDEX(품목마스터!$B$3:$B$302,MATCH($C411,품목마스터!$A$3:$A$302,0)),"미등록품번"))</f>
        <v/>
      </c>
      <c r="E411" s="12" t="str">
        <f aca="false">IF($C411="","",IFERROR(INDEX(품목마스터!$C$3:$C$302,MATCH($C411,품목마스터!$A$3:$A$302,0)),""))</f>
        <v/>
      </c>
      <c r="F411" s="12" t="str">
        <f aca="false">IF($C411="","",IFERROR(INDEX(품목마스터!$D$3:$D$302,MATCH($C411,품목마스터!$A$3:$A$302,0)),""))</f>
        <v/>
      </c>
      <c r="G411" s="9"/>
      <c r="H411" s="9"/>
      <c r="I411" s="13" t="str">
        <f aca="false">IF(OR($G411="",$H411=""),"",ROUND($G411*$H411,0))</f>
        <v/>
      </c>
      <c r="J411" s="7"/>
      <c r="K411" s="7"/>
      <c r="L411" s="14" t="str">
        <f aca="false">IF(OR($C411="",$G411=""),"",IF($B411="입고",$G411,IF($B411="출고",-$G411,$G411)))</f>
        <v/>
      </c>
      <c r="M411" s="13" t="str">
        <f aca="false">IF($C411="","",IFERROR(INDEX(품목마스터!$F$3:$F$302,MATCH($C411,품목마스터!$A$3:$A$302,0)),0)+SUMIFS($L$3:$L411,$C$3:$C411,$C411))</f>
        <v/>
      </c>
    </row>
    <row r="412" customFormat="false" ht="15" hidden="false" customHeight="true" outlineLevel="0" collapsed="false">
      <c r="A412" s="11"/>
      <c r="B412" s="7"/>
      <c r="C412" s="7"/>
      <c r="D412" s="12" t="str">
        <f aca="false">IF($C412="","",IFERROR(INDEX(품목마스터!$B$3:$B$302,MATCH($C412,품목마스터!$A$3:$A$302,0)),"미등록품번"))</f>
        <v/>
      </c>
      <c r="E412" s="12" t="str">
        <f aca="false">IF($C412="","",IFERROR(INDEX(품목마스터!$C$3:$C$302,MATCH($C412,품목마스터!$A$3:$A$302,0)),""))</f>
        <v/>
      </c>
      <c r="F412" s="12" t="str">
        <f aca="false">IF($C412="","",IFERROR(INDEX(품목마스터!$D$3:$D$302,MATCH($C412,품목마스터!$A$3:$A$302,0)),""))</f>
        <v/>
      </c>
      <c r="G412" s="9"/>
      <c r="H412" s="9"/>
      <c r="I412" s="13" t="str">
        <f aca="false">IF(OR($G412="",$H412=""),"",ROUND($G412*$H412,0))</f>
        <v/>
      </c>
      <c r="J412" s="7"/>
      <c r="K412" s="7"/>
      <c r="L412" s="14" t="str">
        <f aca="false">IF(OR($C412="",$G412=""),"",IF($B412="입고",$G412,IF($B412="출고",-$G412,$G412)))</f>
        <v/>
      </c>
      <c r="M412" s="13" t="str">
        <f aca="false">IF($C412="","",IFERROR(INDEX(품목마스터!$F$3:$F$302,MATCH($C412,품목마스터!$A$3:$A$302,0)),0)+SUMIFS($L$3:$L412,$C$3:$C412,$C412))</f>
        <v/>
      </c>
    </row>
    <row r="413" customFormat="false" ht="15" hidden="false" customHeight="true" outlineLevel="0" collapsed="false">
      <c r="A413" s="11"/>
      <c r="B413" s="7"/>
      <c r="C413" s="7"/>
      <c r="D413" s="12" t="str">
        <f aca="false">IF($C413="","",IFERROR(INDEX(품목마스터!$B$3:$B$302,MATCH($C413,품목마스터!$A$3:$A$302,0)),"미등록품번"))</f>
        <v/>
      </c>
      <c r="E413" s="12" t="str">
        <f aca="false">IF($C413="","",IFERROR(INDEX(품목마스터!$C$3:$C$302,MATCH($C413,품목마스터!$A$3:$A$302,0)),""))</f>
        <v/>
      </c>
      <c r="F413" s="12" t="str">
        <f aca="false">IF($C413="","",IFERROR(INDEX(품목마스터!$D$3:$D$302,MATCH($C413,품목마스터!$A$3:$A$302,0)),""))</f>
        <v/>
      </c>
      <c r="G413" s="9"/>
      <c r="H413" s="9"/>
      <c r="I413" s="13" t="str">
        <f aca="false">IF(OR($G413="",$H413=""),"",ROUND($G413*$H413,0))</f>
        <v/>
      </c>
      <c r="J413" s="7"/>
      <c r="K413" s="7"/>
      <c r="L413" s="14" t="str">
        <f aca="false">IF(OR($C413="",$G413=""),"",IF($B413="입고",$G413,IF($B413="출고",-$G413,$G413)))</f>
        <v/>
      </c>
      <c r="M413" s="13" t="str">
        <f aca="false">IF($C413="","",IFERROR(INDEX(품목마스터!$F$3:$F$302,MATCH($C413,품목마스터!$A$3:$A$302,0)),0)+SUMIFS($L$3:$L413,$C$3:$C413,$C413))</f>
        <v/>
      </c>
    </row>
    <row r="414" customFormat="false" ht="15" hidden="false" customHeight="true" outlineLevel="0" collapsed="false">
      <c r="A414" s="11"/>
      <c r="B414" s="7"/>
      <c r="C414" s="7"/>
      <c r="D414" s="12" t="str">
        <f aca="false">IF($C414="","",IFERROR(INDEX(품목마스터!$B$3:$B$302,MATCH($C414,품목마스터!$A$3:$A$302,0)),"미등록품번"))</f>
        <v/>
      </c>
      <c r="E414" s="12" t="str">
        <f aca="false">IF($C414="","",IFERROR(INDEX(품목마스터!$C$3:$C$302,MATCH($C414,품목마스터!$A$3:$A$302,0)),""))</f>
        <v/>
      </c>
      <c r="F414" s="12" t="str">
        <f aca="false">IF($C414="","",IFERROR(INDEX(품목마스터!$D$3:$D$302,MATCH($C414,품목마스터!$A$3:$A$302,0)),""))</f>
        <v/>
      </c>
      <c r="G414" s="9"/>
      <c r="H414" s="9"/>
      <c r="I414" s="13" t="str">
        <f aca="false">IF(OR($G414="",$H414=""),"",ROUND($G414*$H414,0))</f>
        <v/>
      </c>
      <c r="J414" s="7"/>
      <c r="K414" s="7"/>
      <c r="L414" s="14" t="str">
        <f aca="false">IF(OR($C414="",$G414=""),"",IF($B414="입고",$G414,IF($B414="출고",-$G414,$G414)))</f>
        <v/>
      </c>
      <c r="M414" s="13" t="str">
        <f aca="false">IF($C414="","",IFERROR(INDEX(품목마스터!$F$3:$F$302,MATCH($C414,품목마스터!$A$3:$A$302,0)),0)+SUMIFS($L$3:$L414,$C$3:$C414,$C414))</f>
        <v/>
      </c>
    </row>
    <row r="415" customFormat="false" ht="15" hidden="false" customHeight="true" outlineLevel="0" collapsed="false">
      <c r="A415" s="11"/>
      <c r="B415" s="7"/>
      <c r="C415" s="7"/>
      <c r="D415" s="12" t="str">
        <f aca="false">IF($C415="","",IFERROR(INDEX(품목마스터!$B$3:$B$302,MATCH($C415,품목마스터!$A$3:$A$302,0)),"미등록품번"))</f>
        <v/>
      </c>
      <c r="E415" s="12" t="str">
        <f aca="false">IF($C415="","",IFERROR(INDEX(품목마스터!$C$3:$C$302,MATCH($C415,품목마스터!$A$3:$A$302,0)),""))</f>
        <v/>
      </c>
      <c r="F415" s="12" t="str">
        <f aca="false">IF($C415="","",IFERROR(INDEX(품목마스터!$D$3:$D$302,MATCH($C415,품목마스터!$A$3:$A$302,0)),""))</f>
        <v/>
      </c>
      <c r="G415" s="9"/>
      <c r="H415" s="9"/>
      <c r="I415" s="13" t="str">
        <f aca="false">IF(OR($G415="",$H415=""),"",ROUND($G415*$H415,0))</f>
        <v/>
      </c>
      <c r="J415" s="7"/>
      <c r="K415" s="7"/>
      <c r="L415" s="14" t="str">
        <f aca="false">IF(OR($C415="",$G415=""),"",IF($B415="입고",$G415,IF($B415="출고",-$G415,$G415)))</f>
        <v/>
      </c>
      <c r="M415" s="13" t="str">
        <f aca="false">IF($C415="","",IFERROR(INDEX(품목마스터!$F$3:$F$302,MATCH($C415,품목마스터!$A$3:$A$302,0)),0)+SUMIFS($L$3:$L415,$C$3:$C415,$C415))</f>
        <v/>
      </c>
    </row>
    <row r="416" customFormat="false" ht="15" hidden="false" customHeight="true" outlineLevel="0" collapsed="false">
      <c r="A416" s="11"/>
      <c r="B416" s="7"/>
      <c r="C416" s="7"/>
      <c r="D416" s="12" t="str">
        <f aca="false">IF($C416="","",IFERROR(INDEX(품목마스터!$B$3:$B$302,MATCH($C416,품목마스터!$A$3:$A$302,0)),"미등록품번"))</f>
        <v/>
      </c>
      <c r="E416" s="12" t="str">
        <f aca="false">IF($C416="","",IFERROR(INDEX(품목마스터!$C$3:$C$302,MATCH($C416,품목마스터!$A$3:$A$302,0)),""))</f>
        <v/>
      </c>
      <c r="F416" s="12" t="str">
        <f aca="false">IF($C416="","",IFERROR(INDEX(품목마스터!$D$3:$D$302,MATCH($C416,품목마스터!$A$3:$A$302,0)),""))</f>
        <v/>
      </c>
      <c r="G416" s="9"/>
      <c r="H416" s="9"/>
      <c r="I416" s="13" t="str">
        <f aca="false">IF(OR($G416="",$H416=""),"",ROUND($G416*$H416,0))</f>
        <v/>
      </c>
      <c r="J416" s="7"/>
      <c r="K416" s="7"/>
      <c r="L416" s="14" t="str">
        <f aca="false">IF(OR($C416="",$G416=""),"",IF($B416="입고",$G416,IF($B416="출고",-$G416,$G416)))</f>
        <v/>
      </c>
      <c r="M416" s="13" t="str">
        <f aca="false">IF($C416="","",IFERROR(INDEX(품목마스터!$F$3:$F$302,MATCH($C416,품목마스터!$A$3:$A$302,0)),0)+SUMIFS($L$3:$L416,$C$3:$C416,$C416))</f>
        <v/>
      </c>
    </row>
    <row r="417" customFormat="false" ht="15" hidden="false" customHeight="true" outlineLevel="0" collapsed="false">
      <c r="A417" s="11"/>
      <c r="B417" s="7"/>
      <c r="C417" s="7"/>
      <c r="D417" s="12" t="str">
        <f aca="false">IF($C417="","",IFERROR(INDEX(품목마스터!$B$3:$B$302,MATCH($C417,품목마스터!$A$3:$A$302,0)),"미등록품번"))</f>
        <v/>
      </c>
      <c r="E417" s="12" t="str">
        <f aca="false">IF($C417="","",IFERROR(INDEX(품목마스터!$C$3:$C$302,MATCH($C417,품목마스터!$A$3:$A$302,0)),""))</f>
        <v/>
      </c>
      <c r="F417" s="12" t="str">
        <f aca="false">IF($C417="","",IFERROR(INDEX(품목마스터!$D$3:$D$302,MATCH($C417,품목마스터!$A$3:$A$302,0)),""))</f>
        <v/>
      </c>
      <c r="G417" s="9"/>
      <c r="H417" s="9"/>
      <c r="I417" s="13" t="str">
        <f aca="false">IF(OR($G417="",$H417=""),"",ROUND($G417*$H417,0))</f>
        <v/>
      </c>
      <c r="J417" s="7"/>
      <c r="K417" s="7"/>
      <c r="L417" s="14" t="str">
        <f aca="false">IF(OR($C417="",$G417=""),"",IF($B417="입고",$G417,IF($B417="출고",-$G417,$G417)))</f>
        <v/>
      </c>
      <c r="M417" s="13" t="str">
        <f aca="false">IF($C417="","",IFERROR(INDEX(품목마스터!$F$3:$F$302,MATCH($C417,품목마스터!$A$3:$A$302,0)),0)+SUMIFS($L$3:$L417,$C$3:$C417,$C417))</f>
        <v/>
      </c>
    </row>
    <row r="418" customFormat="false" ht="15" hidden="false" customHeight="true" outlineLevel="0" collapsed="false">
      <c r="A418" s="11"/>
      <c r="B418" s="7"/>
      <c r="C418" s="7"/>
      <c r="D418" s="12" t="str">
        <f aca="false">IF($C418="","",IFERROR(INDEX(품목마스터!$B$3:$B$302,MATCH($C418,품목마스터!$A$3:$A$302,0)),"미등록품번"))</f>
        <v/>
      </c>
      <c r="E418" s="12" t="str">
        <f aca="false">IF($C418="","",IFERROR(INDEX(품목마스터!$C$3:$C$302,MATCH($C418,품목마스터!$A$3:$A$302,0)),""))</f>
        <v/>
      </c>
      <c r="F418" s="12" t="str">
        <f aca="false">IF($C418="","",IFERROR(INDEX(품목마스터!$D$3:$D$302,MATCH($C418,품목마스터!$A$3:$A$302,0)),""))</f>
        <v/>
      </c>
      <c r="G418" s="9"/>
      <c r="H418" s="9"/>
      <c r="I418" s="13" t="str">
        <f aca="false">IF(OR($G418="",$H418=""),"",ROUND($G418*$H418,0))</f>
        <v/>
      </c>
      <c r="J418" s="7"/>
      <c r="K418" s="7"/>
      <c r="L418" s="14" t="str">
        <f aca="false">IF(OR($C418="",$G418=""),"",IF($B418="입고",$G418,IF($B418="출고",-$G418,$G418)))</f>
        <v/>
      </c>
      <c r="M418" s="13" t="str">
        <f aca="false">IF($C418="","",IFERROR(INDEX(품목마스터!$F$3:$F$302,MATCH($C418,품목마스터!$A$3:$A$302,0)),0)+SUMIFS($L$3:$L418,$C$3:$C418,$C418))</f>
        <v/>
      </c>
    </row>
    <row r="419" customFormat="false" ht="15" hidden="false" customHeight="true" outlineLevel="0" collapsed="false">
      <c r="A419" s="11"/>
      <c r="B419" s="7"/>
      <c r="C419" s="7"/>
      <c r="D419" s="12" t="str">
        <f aca="false">IF($C419="","",IFERROR(INDEX(품목마스터!$B$3:$B$302,MATCH($C419,품목마스터!$A$3:$A$302,0)),"미등록품번"))</f>
        <v/>
      </c>
      <c r="E419" s="12" t="str">
        <f aca="false">IF($C419="","",IFERROR(INDEX(품목마스터!$C$3:$C$302,MATCH($C419,품목마스터!$A$3:$A$302,0)),""))</f>
        <v/>
      </c>
      <c r="F419" s="12" t="str">
        <f aca="false">IF($C419="","",IFERROR(INDEX(품목마스터!$D$3:$D$302,MATCH($C419,품목마스터!$A$3:$A$302,0)),""))</f>
        <v/>
      </c>
      <c r="G419" s="9"/>
      <c r="H419" s="9"/>
      <c r="I419" s="13" t="str">
        <f aca="false">IF(OR($G419="",$H419=""),"",ROUND($G419*$H419,0))</f>
        <v/>
      </c>
      <c r="J419" s="7"/>
      <c r="K419" s="7"/>
      <c r="L419" s="14" t="str">
        <f aca="false">IF(OR($C419="",$G419=""),"",IF($B419="입고",$G419,IF($B419="출고",-$G419,$G419)))</f>
        <v/>
      </c>
      <c r="M419" s="13" t="str">
        <f aca="false">IF($C419="","",IFERROR(INDEX(품목마스터!$F$3:$F$302,MATCH($C419,품목마스터!$A$3:$A$302,0)),0)+SUMIFS($L$3:$L419,$C$3:$C419,$C419))</f>
        <v/>
      </c>
    </row>
    <row r="420" customFormat="false" ht="15" hidden="false" customHeight="true" outlineLevel="0" collapsed="false">
      <c r="A420" s="11"/>
      <c r="B420" s="7"/>
      <c r="C420" s="7"/>
      <c r="D420" s="12" t="str">
        <f aca="false">IF($C420="","",IFERROR(INDEX(품목마스터!$B$3:$B$302,MATCH($C420,품목마스터!$A$3:$A$302,0)),"미등록품번"))</f>
        <v/>
      </c>
      <c r="E420" s="12" t="str">
        <f aca="false">IF($C420="","",IFERROR(INDEX(품목마스터!$C$3:$C$302,MATCH($C420,품목마스터!$A$3:$A$302,0)),""))</f>
        <v/>
      </c>
      <c r="F420" s="12" t="str">
        <f aca="false">IF($C420="","",IFERROR(INDEX(품목마스터!$D$3:$D$302,MATCH($C420,품목마스터!$A$3:$A$302,0)),""))</f>
        <v/>
      </c>
      <c r="G420" s="9"/>
      <c r="H420" s="9"/>
      <c r="I420" s="13" t="str">
        <f aca="false">IF(OR($G420="",$H420=""),"",ROUND($G420*$H420,0))</f>
        <v/>
      </c>
      <c r="J420" s="7"/>
      <c r="K420" s="7"/>
      <c r="L420" s="14" t="str">
        <f aca="false">IF(OR($C420="",$G420=""),"",IF($B420="입고",$G420,IF($B420="출고",-$G420,$G420)))</f>
        <v/>
      </c>
      <c r="M420" s="13" t="str">
        <f aca="false">IF($C420="","",IFERROR(INDEX(품목마스터!$F$3:$F$302,MATCH($C420,품목마스터!$A$3:$A$302,0)),0)+SUMIFS($L$3:$L420,$C$3:$C420,$C420))</f>
        <v/>
      </c>
    </row>
    <row r="421" customFormat="false" ht="15" hidden="false" customHeight="true" outlineLevel="0" collapsed="false">
      <c r="A421" s="11"/>
      <c r="B421" s="7"/>
      <c r="C421" s="7"/>
      <c r="D421" s="12" t="str">
        <f aca="false">IF($C421="","",IFERROR(INDEX(품목마스터!$B$3:$B$302,MATCH($C421,품목마스터!$A$3:$A$302,0)),"미등록품번"))</f>
        <v/>
      </c>
      <c r="E421" s="12" t="str">
        <f aca="false">IF($C421="","",IFERROR(INDEX(품목마스터!$C$3:$C$302,MATCH($C421,품목마스터!$A$3:$A$302,0)),""))</f>
        <v/>
      </c>
      <c r="F421" s="12" t="str">
        <f aca="false">IF($C421="","",IFERROR(INDEX(품목마스터!$D$3:$D$302,MATCH($C421,품목마스터!$A$3:$A$302,0)),""))</f>
        <v/>
      </c>
      <c r="G421" s="9"/>
      <c r="H421" s="9"/>
      <c r="I421" s="13" t="str">
        <f aca="false">IF(OR($G421="",$H421=""),"",ROUND($G421*$H421,0))</f>
        <v/>
      </c>
      <c r="J421" s="7"/>
      <c r="K421" s="7"/>
      <c r="L421" s="14" t="str">
        <f aca="false">IF(OR($C421="",$G421=""),"",IF($B421="입고",$G421,IF($B421="출고",-$G421,$G421)))</f>
        <v/>
      </c>
      <c r="M421" s="13" t="str">
        <f aca="false">IF($C421="","",IFERROR(INDEX(품목마스터!$F$3:$F$302,MATCH($C421,품목마스터!$A$3:$A$302,0)),0)+SUMIFS($L$3:$L421,$C$3:$C421,$C421))</f>
        <v/>
      </c>
    </row>
    <row r="422" customFormat="false" ht="15" hidden="false" customHeight="true" outlineLevel="0" collapsed="false">
      <c r="A422" s="11"/>
      <c r="B422" s="7"/>
      <c r="C422" s="7"/>
      <c r="D422" s="12" t="str">
        <f aca="false">IF($C422="","",IFERROR(INDEX(품목마스터!$B$3:$B$302,MATCH($C422,품목마스터!$A$3:$A$302,0)),"미등록품번"))</f>
        <v/>
      </c>
      <c r="E422" s="12" t="str">
        <f aca="false">IF($C422="","",IFERROR(INDEX(품목마스터!$C$3:$C$302,MATCH($C422,품목마스터!$A$3:$A$302,0)),""))</f>
        <v/>
      </c>
      <c r="F422" s="12" t="str">
        <f aca="false">IF($C422="","",IFERROR(INDEX(품목마스터!$D$3:$D$302,MATCH($C422,품목마스터!$A$3:$A$302,0)),""))</f>
        <v/>
      </c>
      <c r="G422" s="9"/>
      <c r="H422" s="9"/>
      <c r="I422" s="13" t="str">
        <f aca="false">IF(OR($G422="",$H422=""),"",ROUND($G422*$H422,0))</f>
        <v/>
      </c>
      <c r="J422" s="7"/>
      <c r="K422" s="7"/>
      <c r="L422" s="14" t="str">
        <f aca="false">IF(OR($C422="",$G422=""),"",IF($B422="입고",$G422,IF($B422="출고",-$G422,$G422)))</f>
        <v/>
      </c>
      <c r="M422" s="13" t="str">
        <f aca="false">IF($C422="","",IFERROR(INDEX(품목마스터!$F$3:$F$302,MATCH($C422,품목마스터!$A$3:$A$302,0)),0)+SUMIFS($L$3:$L422,$C$3:$C422,$C422))</f>
        <v/>
      </c>
    </row>
    <row r="423" customFormat="false" ht="15" hidden="false" customHeight="true" outlineLevel="0" collapsed="false">
      <c r="A423" s="11"/>
      <c r="B423" s="7"/>
      <c r="C423" s="7"/>
      <c r="D423" s="12" t="str">
        <f aca="false">IF($C423="","",IFERROR(INDEX(품목마스터!$B$3:$B$302,MATCH($C423,품목마스터!$A$3:$A$302,0)),"미등록품번"))</f>
        <v/>
      </c>
      <c r="E423" s="12" t="str">
        <f aca="false">IF($C423="","",IFERROR(INDEX(품목마스터!$C$3:$C$302,MATCH($C423,품목마스터!$A$3:$A$302,0)),""))</f>
        <v/>
      </c>
      <c r="F423" s="12" t="str">
        <f aca="false">IF($C423="","",IFERROR(INDEX(품목마스터!$D$3:$D$302,MATCH($C423,품목마스터!$A$3:$A$302,0)),""))</f>
        <v/>
      </c>
      <c r="G423" s="9"/>
      <c r="H423" s="9"/>
      <c r="I423" s="13" t="str">
        <f aca="false">IF(OR($G423="",$H423=""),"",ROUND($G423*$H423,0))</f>
        <v/>
      </c>
      <c r="J423" s="7"/>
      <c r="K423" s="7"/>
      <c r="L423" s="14" t="str">
        <f aca="false">IF(OR($C423="",$G423=""),"",IF($B423="입고",$G423,IF($B423="출고",-$G423,$G423)))</f>
        <v/>
      </c>
      <c r="M423" s="13" t="str">
        <f aca="false">IF($C423="","",IFERROR(INDEX(품목마스터!$F$3:$F$302,MATCH($C423,품목마스터!$A$3:$A$302,0)),0)+SUMIFS($L$3:$L423,$C$3:$C423,$C423))</f>
        <v/>
      </c>
    </row>
    <row r="424" customFormat="false" ht="15" hidden="false" customHeight="true" outlineLevel="0" collapsed="false">
      <c r="A424" s="11"/>
      <c r="B424" s="7"/>
      <c r="C424" s="7"/>
      <c r="D424" s="12" t="str">
        <f aca="false">IF($C424="","",IFERROR(INDEX(품목마스터!$B$3:$B$302,MATCH($C424,품목마스터!$A$3:$A$302,0)),"미등록품번"))</f>
        <v/>
      </c>
      <c r="E424" s="12" t="str">
        <f aca="false">IF($C424="","",IFERROR(INDEX(품목마스터!$C$3:$C$302,MATCH($C424,품목마스터!$A$3:$A$302,0)),""))</f>
        <v/>
      </c>
      <c r="F424" s="12" t="str">
        <f aca="false">IF($C424="","",IFERROR(INDEX(품목마스터!$D$3:$D$302,MATCH($C424,품목마스터!$A$3:$A$302,0)),""))</f>
        <v/>
      </c>
      <c r="G424" s="9"/>
      <c r="H424" s="9"/>
      <c r="I424" s="13" t="str">
        <f aca="false">IF(OR($G424="",$H424=""),"",ROUND($G424*$H424,0))</f>
        <v/>
      </c>
      <c r="J424" s="7"/>
      <c r="K424" s="7"/>
      <c r="L424" s="14" t="str">
        <f aca="false">IF(OR($C424="",$G424=""),"",IF($B424="입고",$G424,IF($B424="출고",-$G424,$G424)))</f>
        <v/>
      </c>
      <c r="M424" s="13" t="str">
        <f aca="false">IF($C424="","",IFERROR(INDEX(품목마스터!$F$3:$F$302,MATCH($C424,품목마스터!$A$3:$A$302,0)),0)+SUMIFS($L$3:$L424,$C$3:$C424,$C424))</f>
        <v/>
      </c>
    </row>
    <row r="425" customFormat="false" ht="15" hidden="false" customHeight="true" outlineLevel="0" collapsed="false">
      <c r="A425" s="11"/>
      <c r="B425" s="7"/>
      <c r="C425" s="7"/>
      <c r="D425" s="12" t="str">
        <f aca="false">IF($C425="","",IFERROR(INDEX(품목마스터!$B$3:$B$302,MATCH($C425,품목마스터!$A$3:$A$302,0)),"미등록품번"))</f>
        <v/>
      </c>
      <c r="E425" s="12" t="str">
        <f aca="false">IF($C425="","",IFERROR(INDEX(품목마스터!$C$3:$C$302,MATCH($C425,품목마스터!$A$3:$A$302,0)),""))</f>
        <v/>
      </c>
      <c r="F425" s="12" t="str">
        <f aca="false">IF($C425="","",IFERROR(INDEX(품목마스터!$D$3:$D$302,MATCH($C425,품목마스터!$A$3:$A$302,0)),""))</f>
        <v/>
      </c>
      <c r="G425" s="9"/>
      <c r="H425" s="9"/>
      <c r="I425" s="13" t="str">
        <f aca="false">IF(OR($G425="",$H425=""),"",ROUND($G425*$H425,0))</f>
        <v/>
      </c>
      <c r="J425" s="7"/>
      <c r="K425" s="7"/>
      <c r="L425" s="14" t="str">
        <f aca="false">IF(OR($C425="",$G425=""),"",IF($B425="입고",$G425,IF($B425="출고",-$G425,$G425)))</f>
        <v/>
      </c>
      <c r="M425" s="13" t="str">
        <f aca="false">IF($C425="","",IFERROR(INDEX(품목마스터!$F$3:$F$302,MATCH($C425,품목마스터!$A$3:$A$302,0)),0)+SUMIFS($L$3:$L425,$C$3:$C425,$C425))</f>
        <v/>
      </c>
    </row>
    <row r="426" customFormat="false" ht="15" hidden="false" customHeight="true" outlineLevel="0" collapsed="false">
      <c r="A426" s="11"/>
      <c r="B426" s="7"/>
      <c r="C426" s="7"/>
      <c r="D426" s="12" t="str">
        <f aca="false">IF($C426="","",IFERROR(INDEX(품목마스터!$B$3:$B$302,MATCH($C426,품목마스터!$A$3:$A$302,0)),"미등록품번"))</f>
        <v/>
      </c>
      <c r="E426" s="12" t="str">
        <f aca="false">IF($C426="","",IFERROR(INDEX(품목마스터!$C$3:$C$302,MATCH($C426,품목마스터!$A$3:$A$302,0)),""))</f>
        <v/>
      </c>
      <c r="F426" s="12" t="str">
        <f aca="false">IF($C426="","",IFERROR(INDEX(품목마스터!$D$3:$D$302,MATCH($C426,품목마스터!$A$3:$A$302,0)),""))</f>
        <v/>
      </c>
      <c r="G426" s="9"/>
      <c r="H426" s="9"/>
      <c r="I426" s="13" t="str">
        <f aca="false">IF(OR($G426="",$H426=""),"",ROUND($G426*$H426,0))</f>
        <v/>
      </c>
      <c r="J426" s="7"/>
      <c r="K426" s="7"/>
      <c r="L426" s="14" t="str">
        <f aca="false">IF(OR($C426="",$G426=""),"",IF($B426="입고",$G426,IF($B426="출고",-$G426,$G426)))</f>
        <v/>
      </c>
      <c r="M426" s="13" t="str">
        <f aca="false">IF($C426="","",IFERROR(INDEX(품목마스터!$F$3:$F$302,MATCH($C426,품목마스터!$A$3:$A$302,0)),0)+SUMIFS($L$3:$L426,$C$3:$C426,$C426))</f>
        <v/>
      </c>
    </row>
    <row r="427" customFormat="false" ht="15" hidden="false" customHeight="true" outlineLevel="0" collapsed="false">
      <c r="A427" s="11"/>
      <c r="B427" s="7"/>
      <c r="C427" s="7"/>
      <c r="D427" s="12" t="str">
        <f aca="false">IF($C427="","",IFERROR(INDEX(품목마스터!$B$3:$B$302,MATCH($C427,품목마스터!$A$3:$A$302,0)),"미등록품번"))</f>
        <v/>
      </c>
      <c r="E427" s="12" t="str">
        <f aca="false">IF($C427="","",IFERROR(INDEX(품목마스터!$C$3:$C$302,MATCH($C427,품목마스터!$A$3:$A$302,0)),""))</f>
        <v/>
      </c>
      <c r="F427" s="12" t="str">
        <f aca="false">IF($C427="","",IFERROR(INDEX(품목마스터!$D$3:$D$302,MATCH($C427,품목마스터!$A$3:$A$302,0)),""))</f>
        <v/>
      </c>
      <c r="G427" s="9"/>
      <c r="H427" s="9"/>
      <c r="I427" s="13" t="str">
        <f aca="false">IF(OR($G427="",$H427=""),"",ROUND($G427*$H427,0))</f>
        <v/>
      </c>
      <c r="J427" s="7"/>
      <c r="K427" s="7"/>
      <c r="L427" s="14" t="str">
        <f aca="false">IF(OR($C427="",$G427=""),"",IF($B427="입고",$G427,IF($B427="출고",-$G427,$G427)))</f>
        <v/>
      </c>
      <c r="M427" s="13" t="str">
        <f aca="false">IF($C427="","",IFERROR(INDEX(품목마스터!$F$3:$F$302,MATCH($C427,품목마스터!$A$3:$A$302,0)),0)+SUMIFS($L$3:$L427,$C$3:$C427,$C427))</f>
        <v/>
      </c>
    </row>
    <row r="428" customFormat="false" ht="15" hidden="false" customHeight="true" outlineLevel="0" collapsed="false">
      <c r="A428" s="11"/>
      <c r="B428" s="7"/>
      <c r="C428" s="7"/>
      <c r="D428" s="12" t="str">
        <f aca="false">IF($C428="","",IFERROR(INDEX(품목마스터!$B$3:$B$302,MATCH($C428,품목마스터!$A$3:$A$302,0)),"미등록품번"))</f>
        <v/>
      </c>
      <c r="E428" s="12" t="str">
        <f aca="false">IF($C428="","",IFERROR(INDEX(품목마스터!$C$3:$C$302,MATCH($C428,품목마스터!$A$3:$A$302,0)),""))</f>
        <v/>
      </c>
      <c r="F428" s="12" t="str">
        <f aca="false">IF($C428="","",IFERROR(INDEX(품목마스터!$D$3:$D$302,MATCH($C428,품목마스터!$A$3:$A$302,0)),""))</f>
        <v/>
      </c>
      <c r="G428" s="9"/>
      <c r="H428" s="9"/>
      <c r="I428" s="13" t="str">
        <f aca="false">IF(OR($G428="",$H428=""),"",ROUND($G428*$H428,0))</f>
        <v/>
      </c>
      <c r="J428" s="7"/>
      <c r="K428" s="7"/>
      <c r="L428" s="14" t="str">
        <f aca="false">IF(OR($C428="",$G428=""),"",IF($B428="입고",$G428,IF($B428="출고",-$G428,$G428)))</f>
        <v/>
      </c>
      <c r="M428" s="13" t="str">
        <f aca="false">IF($C428="","",IFERROR(INDEX(품목마스터!$F$3:$F$302,MATCH($C428,품목마스터!$A$3:$A$302,0)),0)+SUMIFS($L$3:$L428,$C$3:$C428,$C428))</f>
        <v/>
      </c>
    </row>
    <row r="429" customFormat="false" ht="15" hidden="false" customHeight="true" outlineLevel="0" collapsed="false">
      <c r="A429" s="11"/>
      <c r="B429" s="7"/>
      <c r="C429" s="7"/>
      <c r="D429" s="12" t="str">
        <f aca="false">IF($C429="","",IFERROR(INDEX(품목마스터!$B$3:$B$302,MATCH($C429,품목마스터!$A$3:$A$302,0)),"미등록품번"))</f>
        <v/>
      </c>
      <c r="E429" s="12" t="str">
        <f aca="false">IF($C429="","",IFERROR(INDEX(품목마스터!$C$3:$C$302,MATCH($C429,품목마스터!$A$3:$A$302,0)),""))</f>
        <v/>
      </c>
      <c r="F429" s="12" t="str">
        <f aca="false">IF($C429="","",IFERROR(INDEX(품목마스터!$D$3:$D$302,MATCH($C429,품목마스터!$A$3:$A$302,0)),""))</f>
        <v/>
      </c>
      <c r="G429" s="9"/>
      <c r="H429" s="9"/>
      <c r="I429" s="13" t="str">
        <f aca="false">IF(OR($G429="",$H429=""),"",ROUND($G429*$H429,0))</f>
        <v/>
      </c>
      <c r="J429" s="7"/>
      <c r="K429" s="7"/>
      <c r="L429" s="14" t="str">
        <f aca="false">IF(OR($C429="",$G429=""),"",IF($B429="입고",$G429,IF($B429="출고",-$G429,$G429)))</f>
        <v/>
      </c>
      <c r="M429" s="13" t="str">
        <f aca="false">IF($C429="","",IFERROR(INDEX(품목마스터!$F$3:$F$302,MATCH($C429,품목마스터!$A$3:$A$302,0)),0)+SUMIFS($L$3:$L429,$C$3:$C429,$C429))</f>
        <v/>
      </c>
    </row>
    <row r="430" customFormat="false" ht="15" hidden="false" customHeight="true" outlineLevel="0" collapsed="false">
      <c r="A430" s="11"/>
      <c r="B430" s="7"/>
      <c r="C430" s="7"/>
      <c r="D430" s="12" t="str">
        <f aca="false">IF($C430="","",IFERROR(INDEX(품목마스터!$B$3:$B$302,MATCH($C430,품목마스터!$A$3:$A$302,0)),"미등록품번"))</f>
        <v/>
      </c>
      <c r="E430" s="12" t="str">
        <f aca="false">IF($C430="","",IFERROR(INDEX(품목마스터!$C$3:$C$302,MATCH($C430,품목마스터!$A$3:$A$302,0)),""))</f>
        <v/>
      </c>
      <c r="F430" s="12" t="str">
        <f aca="false">IF($C430="","",IFERROR(INDEX(품목마스터!$D$3:$D$302,MATCH($C430,품목마스터!$A$3:$A$302,0)),""))</f>
        <v/>
      </c>
      <c r="G430" s="9"/>
      <c r="H430" s="9"/>
      <c r="I430" s="13" t="str">
        <f aca="false">IF(OR($G430="",$H430=""),"",ROUND($G430*$H430,0))</f>
        <v/>
      </c>
      <c r="J430" s="7"/>
      <c r="K430" s="7"/>
      <c r="L430" s="14" t="str">
        <f aca="false">IF(OR($C430="",$G430=""),"",IF($B430="입고",$G430,IF($B430="출고",-$G430,$G430)))</f>
        <v/>
      </c>
      <c r="M430" s="13" t="str">
        <f aca="false">IF($C430="","",IFERROR(INDEX(품목마스터!$F$3:$F$302,MATCH($C430,품목마스터!$A$3:$A$302,0)),0)+SUMIFS($L$3:$L430,$C$3:$C430,$C430))</f>
        <v/>
      </c>
    </row>
    <row r="431" customFormat="false" ht="15" hidden="false" customHeight="true" outlineLevel="0" collapsed="false">
      <c r="A431" s="11"/>
      <c r="B431" s="7"/>
      <c r="C431" s="7"/>
      <c r="D431" s="12" t="str">
        <f aca="false">IF($C431="","",IFERROR(INDEX(품목마스터!$B$3:$B$302,MATCH($C431,품목마스터!$A$3:$A$302,0)),"미등록품번"))</f>
        <v/>
      </c>
      <c r="E431" s="12" t="str">
        <f aca="false">IF($C431="","",IFERROR(INDEX(품목마스터!$C$3:$C$302,MATCH($C431,품목마스터!$A$3:$A$302,0)),""))</f>
        <v/>
      </c>
      <c r="F431" s="12" t="str">
        <f aca="false">IF($C431="","",IFERROR(INDEX(품목마스터!$D$3:$D$302,MATCH($C431,품목마스터!$A$3:$A$302,0)),""))</f>
        <v/>
      </c>
      <c r="G431" s="9"/>
      <c r="H431" s="9"/>
      <c r="I431" s="13" t="str">
        <f aca="false">IF(OR($G431="",$H431=""),"",ROUND($G431*$H431,0))</f>
        <v/>
      </c>
      <c r="J431" s="7"/>
      <c r="K431" s="7"/>
      <c r="L431" s="14" t="str">
        <f aca="false">IF(OR($C431="",$G431=""),"",IF($B431="입고",$G431,IF($B431="출고",-$G431,$G431)))</f>
        <v/>
      </c>
      <c r="M431" s="13" t="str">
        <f aca="false">IF($C431="","",IFERROR(INDEX(품목마스터!$F$3:$F$302,MATCH($C431,품목마스터!$A$3:$A$302,0)),0)+SUMIFS($L$3:$L431,$C$3:$C431,$C431))</f>
        <v/>
      </c>
    </row>
    <row r="432" customFormat="false" ht="15" hidden="false" customHeight="true" outlineLevel="0" collapsed="false">
      <c r="A432" s="11"/>
      <c r="B432" s="7"/>
      <c r="C432" s="7"/>
      <c r="D432" s="12" t="str">
        <f aca="false">IF($C432="","",IFERROR(INDEX(품목마스터!$B$3:$B$302,MATCH($C432,품목마스터!$A$3:$A$302,0)),"미등록품번"))</f>
        <v/>
      </c>
      <c r="E432" s="12" t="str">
        <f aca="false">IF($C432="","",IFERROR(INDEX(품목마스터!$C$3:$C$302,MATCH($C432,품목마스터!$A$3:$A$302,0)),""))</f>
        <v/>
      </c>
      <c r="F432" s="12" t="str">
        <f aca="false">IF($C432="","",IFERROR(INDEX(품목마스터!$D$3:$D$302,MATCH($C432,품목마스터!$A$3:$A$302,0)),""))</f>
        <v/>
      </c>
      <c r="G432" s="9"/>
      <c r="H432" s="9"/>
      <c r="I432" s="13" t="str">
        <f aca="false">IF(OR($G432="",$H432=""),"",ROUND($G432*$H432,0))</f>
        <v/>
      </c>
      <c r="J432" s="7"/>
      <c r="K432" s="7"/>
      <c r="L432" s="14" t="str">
        <f aca="false">IF(OR($C432="",$G432=""),"",IF($B432="입고",$G432,IF($B432="출고",-$G432,$G432)))</f>
        <v/>
      </c>
      <c r="M432" s="13" t="str">
        <f aca="false">IF($C432="","",IFERROR(INDEX(품목마스터!$F$3:$F$302,MATCH($C432,품목마스터!$A$3:$A$302,0)),0)+SUMIFS($L$3:$L432,$C$3:$C432,$C432))</f>
        <v/>
      </c>
    </row>
    <row r="433" customFormat="false" ht="15" hidden="false" customHeight="true" outlineLevel="0" collapsed="false">
      <c r="A433" s="11"/>
      <c r="B433" s="7"/>
      <c r="C433" s="7"/>
      <c r="D433" s="12" t="str">
        <f aca="false">IF($C433="","",IFERROR(INDEX(품목마스터!$B$3:$B$302,MATCH($C433,품목마스터!$A$3:$A$302,0)),"미등록품번"))</f>
        <v/>
      </c>
      <c r="E433" s="12" t="str">
        <f aca="false">IF($C433="","",IFERROR(INDEX(품목마스터!$C$3:$C$302,MATCH($C433,품목마스터!$A$3:$A$302,0)),""))</f>
        <v/>
      </c>
      <c r="F433" s="12" t="str">
        <f aca="false">IF($C433="","",IFERROR(INDEX(품목마스터!$D$3:$D$302,MATCH($C433,품목마스터!$A$3:$A$302,0)),""))</f>
        <v/>
      </c>
      <c r="G433" s="9"/>
      <c r="H433" s="9"/>
      <c r="I433" s="13" t="str">
        <f aca="false">IF(OR($G433="",$H433=""),"",ROUND($G433*$H433,0))</f>
        <v/>
      </c>
      <c r="J433" s="7"/>
      <c r="K433" s="7"/>
      <c r="L433" s="14" t="str">
        <f aca="false">IF(OR($C433="",$G433=""),"",IF($B433="입고",$G433,IF($B433="출고",-$G433,$G433)))</f>
        <v/>
      </c>
      <c r="M433" s="13" t="str">
        <f aca="false">IF($C433="","",IFERROR(INDEX(품목마스터!$F$3:$F$302,MATCH($C433,품목마스터!$A$3:$A$302,0)),0)+SUMIFS($L$3:$L433,$C$3:$C433,$C433))</f>
        <v/>
      </c>
    </row>
    <row r="434" customFormat="false" ht="15" hidden="false" customHeight="true" outlineLevel="0" collapsed="false">
      <c r="A434" s="11"/>
      <c r="B434" s="7"/>
      <c r="C434" s="7"/>
      <c r="D434" s="12" t="str">
        <f aca="false">IF($C434="","",IFERROR(INDEX(품목마스터!$B$3:$B$302,MATCH($C434,품목마스터!$A$3:$A$302,0)),"미등록품번"))</f>
        <v/>
      </c>
      <c r="E434" s="12" t="str">
        <f aca="false">IF($C434="","",IFERROR(INDEX(품목마스터!$C$3:$C$302,MATCH($C434,품목마스터!$A$3:$A$302,0)),""))</f>
        <v/>
      </c>
      <c r="F434" s="12" t="str">
        <f aca="false">IF($C434="","",IFERROR(INDEX(품목마스터!$D$3:$D$302,MATCH($C434,품목마스터!$A$3:$A$302,0)),""))</f>
        <v/>
      </c>
      <c r="G434" s="9"/>
      <c r="H434" s="9"/>
      <c r="I434" s="13" t="str">
        <f aca="false">IF(OR($G434="",$H434=""),"",ROUND($G434*$H434,0))</f>
        <v/>
      </c>
      <c r="J434" s="7"/>
      <c r="K434" s="7"/>
      <c r="L434" s="14" t="str">
        <f aca="false">IF(OR($C434="",$G434=""),"",IF($B434="입고",$G434,IF($B434="출고",-$G434,$G434)))</f>
        <v/>
      </c>
      <c r="M434" s="13" t="str">
        <f aca="false">IF($C434="","",IFERROR(INDEX(품목마스터!$F$3:$F$302,MATCH($C434,품목마스터!$A$3:$A$302,0)),0)+SUMIFS($L$3:$L434,$C$3:$C434,$C434))</f>
        <v/>
      </c>
    </row>
    <row r="435" customFormat="false" ht="15" hidden="false" customHeight="true" outlineLevel="0" collapsed="false">
      <c r="A435" s="11"/>
      <c r="B435" s="7"/>
      <c r="C435" s="7"/>
      <c r="D435" s="12" t="str">
        <f aca="false">IF($C435="","",IFERROR(INDEX(품목마스터!$B$3:$B$302,MATCH($C435,품목마스터!$A$3:$A$302,0)),"미등록품번"))</f>
        <v/>
      </c>
      <c r="E435" s="12" t="str">
        <f aca="false">IF($C435="","",IFERROR(INDEX(품목마스터!$C$3:$C$302,MATCH($C435,품목마스터!$A$3:$A$302,0)),""))</f>
        <v/>
      </c>
      <c r="F435" s="12" t="str">
        <f aca="false">IF($C435="","",IFERROR(INDEX(품목마스터!$D$3:$D$302,MATCH($C435,품목마스터!$A$3:$A$302,0)),""))</f>
        <v/>
      </c>
      <c r="G435" s="9"/>
      <c r="H435" s="9"/>
      <c r="I435" s="13" t="str">
        <f aca="false">IF(OR($G435="",$H435=""),"",ROUND($G435*$H435,0))</f>
        <v/>
      </c>
      <c r="J435" s="7"/>
      <c r="K435" s="7"/>
      <c r="L435" s="14" t="str">
        <f aca="false">IF(OR($C435="",$G435=""),"",IF($B435="입고",$G435,IF($B435="출고",-$G435,$G435)))</f>
        <v/>
      </c>
      <c r="M435" s="13" t="str">
        <f aca="false">IF($C435="","",IFERROR(INDEX(품목마스터!$F$3:$F$302,MATCH($C435,품목마스터!$A$3:$A$302,0)),0)+SUMIFS($L$3:$L435,$C$3:$C435,$C435))</f>
        <v/>
      </c>
    </row>
    <row r="436" customFormat="false" ht="15" hidden="false" customHeight="true" outlineLevel="0" collapsed="false">
      <c r="A436" s="11"/>
      <c r="B436" s="7"/>
      <c r="C436" s="7"/>
      <c r="D436" s="12" t="str">
        <f aca="false">IF($C436="","",IFERROR(INDEX(품목마스터!$B$3:$B$302,MATCH($C436,품목마스터!$A$3:$A$302,0)),"미등록품번"))</f>
        <v/>
      </c>
      <c r="E436" s="12" t="str">
        <f aca="false">IF($C436="","",IFERROR(INDEX(품목마스터!$C$3:$C$302,MATCH($C436,품목마스터!$A$3:$A$302,0)),""))</f>
        <v/>
      </c>
      <c r="F436" s="12" t="str">
        <f aca="false">IF($C436="","",IFERROR(INDEX(품목마스터!$D$3:$D$302,MATCH($C436,품목마스터!$A$3:$A$302,0)),""))</f>
        <v/>
      </c>
      <c r="G436" s="9"/>
      <c r="H436" s="9"/>
      <c r="I436" s="13" t="str">
        <f aca="false">IF(OR($G436="",$H436=""),"",ROUND($G436*$H436,0))</f>
        <v/>
      </c>
      <c r="J436" s="7"/>
      <c r="K436" s="7"/>
      <c r="L436" s="14" t="str">
        <f aca="false">IF(OR($C436="",$G436=""),"",IF($B436="입고",$G436,IF($B436="출고",-$G436,$G436)))</f>
        <v/>
      </c>
      <c r="M436" s="13" t="str">
        <f aca="false">IF($C436="","",IFERROR(INDEX(품목마스터!$F$3:$F$302,MATCH($C436,품목마스터!$A$3:$A$302,0)),0)+SUMIFS($L$3:$L436,$C$3:$C436,$C436))</f>
        <v/>
      </c>
    </row>
    <row r="437" customFormat="false" ht="15" hidden="false" customHeight="true" outlineLevel="0" collapsed="false">
      <c r="A437" s="11"/>
      <c r="B437" s="7"/>
      <c r="C437" s="7"/>
      <c r="D437" s="12" t="str">
        <f aca="false">IF($C437="","",IFERROR(INDEX(품목마스터!$B$3:$B$302,MATCH($C437,품목마스터!$A$3:$A$302,0)),"미등록품번"))</f>
        <v/>
      </c>
      <c r="E437" s="12" t="str">
        <f aca="false">IF($C437="","",IFERROR(INDEX(품목마스터!$C$3:$C$302,MATCH($C437,품목마스터!$A$3:$A$302,0)),""))</f>
        <v/>
      </c>
      <c r="F437" s="12" t="str">
        <f aca="false">IF($C437="","",IFERROR(INDEX(품목마스터!$D$3:$D$302,MATCH($C437,품목마스터!$A$3:$A$302,0)),""))</f>
        <v/>
      </c>
      <c r="G437" s="9"/>
      <c r="H437" s="9"/>
      <c r="I437" s="13" t="str">
        <f aca="false">IF(OR($G437="",$H437=""),"",ROUND($G437*$H437,0))</f>
        <v/>
      </c>
      <c r="J437" s="7"/>
      <c r="K437" s="7"/>
      <c r="L437" s="14" t="str">
        <f aca="false">IF(OR($C437="",$G437=""),"",IF($B437="입고",$G437,IF($B437="출고",-$G437,$G437)))</f>
        <v/>
      </c>
      <c r="M437" s="13" t="str">
        <f aca="false">IF($C437="","",IFERROR(INDEX(품목마스터!$F$3:$F$302,MATCH($C437,품목마스터!$A$3:$A$302,0)),0)+SUMIFS($L$3:$L437,$C$3:$C437,$C437))</f>
        <v/>
      </c>
    </row>
    <row r="438" customFormat="false" ht="15" hidden="false" customHeight="true" outlineLevel="0" collapsed="false">
      <c r="A438" s="11"/>
      <c r="B438" s="7"/>
      <c r="C438" s="7"/>
      <c r="D438" s="12" t="str">
        <f aca="false">IF($C438="","",IFERROR(INDEX(품목마스터!$B$3:$B$302,MATCH($C438,품목마스터!$A$3:$A$302,0)),"미등록품번"))</f>
        <v/>
      </c>
      <c r="E438" s="12" t="str">
        <f aca="false">IF($C438="","",IFERROR(INDEX(품목마스터!$C$3:$C$302,MATCH($C438,품목마스터!$A$3:$A$302,0)),""))</f>
        <v/>
      </c>
      <c r="F438" s="12" t="str">
        <f aca="false">IF($C438="","",IFERROR(INDEX(품목마스터!$D$3:$D$302,MATCH($C438,품목마스터!$A$3:$A$302,0)),""))</f>
        <v/>
      </c>
      <c r="G438" s="9"/>
      <c r="H438" s="9"/>
      <c r="I438" s="13" t="str">
        <f aca="false">IF(OR($G438="",$H438=""),"",ROUND($G438*$H438,0))</f>
        <v/>
      </c>
      <c r="J438" s="7"/>
      <c r="K438" s="7"/>
      <c r="L438" s="14" t="str">
        <f aca="false">IF(OR($C438="",$G438=""),"",IF($B438="입고",$G438,IF($B438="출고",-$G438,$G438)))</f>
        <v/>
      </c>
      <c r="M438" s="13" t="str">
        <f aca="false">IF($C438="","",IFERROR(INDEX(품목마스터!$F$3:$F$302,MATCH($C438,품목마스터!$A$3:$A$302,0)),0)+SUMIFS($L$3:$L438,$C$3:$C438,$C438))</f>
        <v/>
      </c>
    </row>
    <row r="439" customFormat="false" ht="15" hidden="false" customHeight="true" outlineLevel="0" collapsed="false">
      <c r="A439" s="11"/>
      <c r="B439" s="7"/>
      <c r="C439" s="7"/>
      <c r="D439" s="12" t="str">
        <f aca="false">IF($C439="","",IFERROR(INDEX(품목마스터!$B$3:$B$302,MATCH($C439,품목마스터!$A$3:$A$302,0)),"미등록품번"))</f>
        <v/>
      </c>
      <c r="E439" s="12" t="str">
        <f aca="false">IF($C439="","",IFERROR(INDEX(품목마스터!$C$3:$C$302,MATCH($C439,품목마스터!$A$3:$A$302,0)),""))</f>
        <v/>
      </c>
      <c r="F439" s="12" t="str">
        <f aca="false">IF($C439="","",IFERROR(INDEX(품목마스터!$D$3:$D$302,MATCH($C439,품목마스터!$A$3:$A$302,0)),""))</f>
        <v/>
      </c>
      <c r="G439" s="9"/>
      <c r="H439" s="9"/>
      <c r="I439" s="13" t="str">
        <f aca="false">IF(OR($G439="",$H439=""),"",ROUND($G439*$H439,0))</f>
        <v/>
      </c>
      <c r="J439" s="7"/>
      <c r="K439" s="7"/>
      <c r="L439" s="14" t="str">
        <f aca="false">IF(OR($C439="",$G439=""),"",IF($B439="입고",$G439,IF($B439="출고",-$G439,$G439)))</f>
        <v/>
      </c>
      <c r="M439" s="13" t="str">
        <f aca="false">IF($C439="","",IFERROR(INDEX(품목마스터!$F$3:$F$302,MATCH($C439,품목마스터!$A$3:$A$302,0)),0)+SUMIFS($L$3:$L439,$C$3:$C439,$C439))</f>
        <v/>
      </c>
    </row>
    <row r="440" customFormat="false" ht="15" hidden="false" customHeight="true" outlineLevel="0" collapsed="false">
      <c r="A440" s="11"/>
      <c r="B440" s="7"/>
      <c r="C440" s="7"/>
      <c r="D440" s="12" t="str">
        <f aca="false">IF($C440="","",IFERROR(INDEX(품목마스터!$B$3:$B$302,MATCH($C440,품목마스터!$A$3:$A$302,0)),"미등록품번"))</f>
        <v/>
      </c>
      <c r="E440" s="12" t="str">
        <f aca="false">IF($C440="","",IFERROR(INDEX(품목마스터!$C$3:$C$302,MATCH($C440,품목마스터!$A$3:$A$302,0)),""))</f>
        <v/>
      </c>
      <c r="F440" s="12" t="str">
        <f aca="false">IF($C440="","",IFERROR(INDEX(품목마스터!$D$3:$D$302,MATCH($C440,품목마스터!$A$3:$A$302,0)),""))</f>
        <v/>
      </c>
      <c r="G440" s="9"/>
      <c r="H440" s="9"/>
      <c r="I440" s="13" t="str">
        <f aca="false">IF(OR($G440="",$H440=""),"",ROUND($G440*$H440,0))</f>
        <v/>
      </c>
      <c r="J440" s="7"/>
      <c r="K440" s="7"/>
      <c r="L440" s="14" t="str">
        <f aca="false">IF(OR($C440="",$G440=""),"",IF($B440="입고",$G440,IF($B440="출고",-$G440,$G440)))</f>
        <v/>
      </c>
      <c r="M440" s="13" t="str">
        <f aca="false">IF($C440="","",IFERROR(INDEX(품목마스터!$F$3:$F$302,MATCH($C440,품목마스터!$A$3:$A$302,0)),0)+SUMIFS($L$3:$L440,$C$3:$C440,$C440))</f>
        <v/>
      </c>
    </row>
    <row r="441" customFormat="false" ht="15" hidden="false" customHeight="true" outlineLevel="0" collapsed="false">
      <c r="A441" s="11"/>
      <c r="B441" s="7"/>
      <c r="C441" s="7"/>
      <c r="D441" s="12" t="str">
        <f aca="false">IF($C441="","",IFERROR(INDEX(품목마스터!$B$3:$B$302,MATCH($C441,품목마스터!$A$3:$A$302,0)),"미등록품번"))</f>
        <v/>
      </c>
      <c r="E441" s="12" t="str">
        <f aca="false">IF($C441="","",IFERROR(INDEX(품목마스터!$C$3:$C$302,MATCH($C441,품목마스터!$A$3:$A$302,0)),""))</f>
        <v/>
      </c>
      <c r="F441" s="12" t="str">
        <f aca="false">IF($C441="","",IFERROR(INDEX(품목마스터!$D$3:$D$302,MATCH($C441,품목마스터!$A$3:$A$302,0)),""))</f>
        <v/>
      </c>
      <c r="G441" s="9"/>
      <c r="H441" s="9"/>
      <c r="I441" s="13" t="str">
        <f aca="false">IF(OR($G441="",$H441=""),"",ROUND($G441*$H441,0))</f>
        <v/>
      </c>
      <c r="J441" s="7"/>
      <c r="K441" s="7"/>
      <c r="L441" s="14" t="str">
        <f aca="false">IF(OR($C441="",$G441=""),"",IF($B441="입고",$G441,IF($B441="출고",-$G441,$G441)))</f>
        <v/>
      </c>
      <c r="M441" s="13" t="str">
        <f aca="false">IF($C441="","",IFERROR(INDEX(품목마스터!$F$3:$F$302,MATCH($C441,품목마스터!$A$3:$A$302,0)),0)+SUMIFS($L$3:$L441,$C$3:$C441,$C441))</f>
        <v/>
      </c>
    </row>
    <row r="442" customFormat="false" ht="15" hidden="false" customHeight="true" outlineLevel="0" collapsed="false">
      <c r="A442" s="11"/>
      <c r="B442" s="7"/>
      <c r="C442" s="7"/>
      <c r="D442" s="12" t="str">
        <f aca="false">IF($C442="","",IFERROR(INDEX(품목마스터!$B$3:$B$302,MATCH($C442,품목마스터!$A$3:$A$302,0)),"미등록품번"))</f>
        <v/>
      </c>
      <c r="E442" s="12" t="str">
        <f aca="false">IF($C442="","",IFERROR(INDEX(품목마스터!$C$3:$C$302,MATCH($C442,품목마스터!$A$3:$A$302,0)),""))</f>
        <v/>
      </c>
      <c r="F442" s="12" t="str">
        <f aca="false">IF($C442="","",IFERROR(INDEX(품목마스터!$D$3:$D$302,MATCH($C442,품목마스터!$A$3:$A$302,0)),""))</f>
        <v/>
      </c>
      <c r="G442" s="9"/>
      <c r="H442" s="9"/>
      <c r="I442" s="13" t="str">
        <f aca="false">IF(OR($G442="",$H442=""),"",ROUND($G442*$H442,0))</f>
        <v/>
      </c>
      <c r="J442" s="7"/>
      <c r="K442" s="7"/>
      <c r="L442" s="14" t="str">
        <f aca="false">IF(OR($C442="",$G442=""),"",IF($B442="입고",$G442,IF($B442="출고",-$G442,$G442)))</f>
        <v/>
      </c>
      <c r="M442" s="13" t="str">
        <f aca="false">IF($C442="","",IFERROR(INDEX(품목마스터!$F$3:$F$302,MATCH($C442,품목마스터!$A$3:$A$302,0)),0)+SUMIFS($L$3:$L442,$C$3:$C442,$C442))</f>
        <v/>
      </c>
    </row>
    <row r="443" customFormat="false" ht="15" hidden="false" customHeight="true" outlineLevel="0" collapsed="false">
      <c r="A443" s="11"/>
      <c r="B443" s="7"/>
      <c r="C443" s="7"/>
      <c r="D443" s="12" t="str">
        <f aca="false">IF($C443="","",IFERROR(INDEX(품목마스터!$B$3:$B$302,MATCH($C443,품목마스터!$A$3:$A$302,0)),"미등록품번"))</f>
        <v/>
      </c>
      <c r="E443" s="12" t="str">
        <f aca="false">IF($C443="","",IFERROR(INDEX(품목마스터!$C$3:$C$302,MATCH($C443,품목마스터!$A$3:$A$302,0)),""))</f>
        <v/>
      </c>
      <c r="F443" s="12" t="str">
        <f aca="false">IF($C443="","",IFERROR(INDEX(품목마스터!$D$3:$D$302,MATCH($C443,품목마스터!$A$3:$A$302,0)),""))</f>
        <v/>
      </c>
      <c r="G443" s="9"/>
      <c r="H443" s="9"/>
      <c r="I443" s="13" t="str">
        <f aca="false">IF(OR($G443="",$H443=""),"",ROUND($G443*$H443,0))</f>
        <v/>
      </c>
      <c r="J443" s="7"/>
      <c r="K443" s="7"/>
      <c r="L443" s="14" t="str">
        <f aca="false">IF(OR($C443="",$G443=""),"",IF($B443="입고",$G443,IF($B443="출고",-$G443,$G443)))</f>
        <v/>
      </c>
      <c r="M443" s="13" t="str">
        <f aca="false">IF($C443="","",IFERROR(INDEX(품목마스터!$F$3:$F$302,MATCH($C443,품목마스터!$A$3:$A$302,0)),0)+SUMIFS($L$3:$L443,$C$3:$C443,$C443))</f>
        <v/>
      </c>
    </row>
    <row r="444" customFormat="false" ht="15" hidden="false" customHeight="true" outlineLevel="0" collapsed="false">
      <c r="A444" s="11"/>
      <c r="B444" s="7"/>
      <c r="C444" s="7"/>
      <c r="D444" s="12" t="str">
        <f aca="false">IF($C444="","",IFERROR(INDEX(품목마스터!$B$3:$B$302,MATCH($C444,품목마스터!$A$3:$A$302,0)),"미등록품번"))</f>
        <v/>
      </c>
      <c r="E444" s="12" t="str">
        <f aca="false">IF($C444="","",IFERROR(INDEX(품목마스터!$C$3:$C$302,MATCH($C444,품목마스터!$A$3:$A$302,0)),""))</f>
        <v/>
      </c>
      <c r="F444" s="12" t="str">
        <f aca="false">IF($C444="","",IFERROR(INDEX(품목마스터!$D$3:$D$302,MATCH($C444,품목마스터!$A$3:$A$302,0)),""))</f>
        <v/>
      </c>
      <c r="G444" s="9"/>
      <c r="H444" s="9"/>
      <c r="I444" s="13" t="str">
        <f aca="false">IF(OR($G444="",$H444=""),"",ROUND($G444*$H444,0))</f>
        <v/>
      </c>
      <c r="J444" s="7"/>
      <c r="K444" s="7"/>
      <c r="L444" s="14" t="str">
        <f aca="false">IF(OR($C444="",$G444=""),"",IF($B444="입고",$G444,IF($B444="출고",-$G444,$G444)))</f>
        <v/>
      </c>
      <c r="M444" s="13" t="str">
        <f aca="false">IF($C444="","",IFERROR(INDEX(품목마스터!$F$3:$F$302,MATCH($C444,품목마스터!$A$3:$A$302,0)),0)+SUMIFS($L$3:$L444,$C$3:$C444,$C444))</f>
        <v/>
      </c>
    </row>
    <row r="445" customFormat="false" ht="15" hidden="false" customHeight="true" outlineLevel="0" collapsed="false">
      <c r="A445" s="11"/>
      <c r="B445" s="7"/>
      <c r="C445" s="7"/>
      <c r="D445" s="12" t="str">
        <f aca="false">IF($C445="","",IFERROR(INDEX(품목마스터!$B$3:$B$302,MATCH($C445,품목마스터!$A$3:$A$302,0)),"미등록품번"))</f>
        <v/>
      </c>
      <c r="E445" s="12" t="str">
        <f aca="false">IF($C445="","",IFERROR(INDEX(품목마스터!$C$3:$C$302,MATCH($C445,품목마스터!$A$3:$A$302,0)),""))</f>
        <v/>
      </c>
      <c r="F445" s="12" t="str">
        <f aca="false">IF($C445="","",IFERROR(INDEX(품목마스터!$D$3:$D$302,MATCH($C445,품목마스터!$A$3:$A$302,0)),""))</f>
        <v/>
      </c>
      <c r="G445" s="9"/>
      <c r="H445" s="9"/>
      <c r="I445" s="13" t="str">
        <f aca="false">IF(OR($G445="",$H445=""),"",ROUND($G445*$H445,0))</f>
        <v/>
      </c>
      <c r="J445" s="7"/>
      <c r="K445" s="7"/>
      <c r="L445" s="14" t="str">
        <f aca="false">IF(OR($C445="",$G445=""),"",IF($B445="입고",$G445,IF($B445="출고",-$G445,$G445)))</f>
        <v/>
      </c>
      <c r="M445" s="13" t="str">
        <f aca="false">IF($C445="","",IFERROR(INDEX(품목마스터!$F$3:$F$302,MATCH($C445,품목마스터!$A$3:$A$302,0)),0)+SUMIFS($L$3:$L445,$C$3:$C445,$C445))</f>
        <v/>
      </c>
    </row>
    <row r="446" customFormat="false" ht="15" hidden="false" customHeight="true" outlineLevel="0" collapsed="false">
      <c r="A446" s="11"/>
      <c r="B446" s="7"/>
      <c r="C446" s="7"/>
      <c r="D446" s="12" t="str">
        <f aca="false">IF($C446="","",IFERROR(INDEX(품목마스터!$B$3:$B$302,MATCH($C446,품목마스터!$A$3:$A$302,0)),"미등록품번"))</f>
        <v/>
      </c>
      <c r="E446" s="12" t="str">
        <f aca="false">IF($C446="","",IFERROR(INDEX(품목마스터!$C$3:$C$302,MATCH($C446,품목마스터!$A$3:$A$302,0)),""))</f>
        <v/>
      </c>
      <c r="F446" s="12" t="str">
        <f aca="false">IF($C446="","",IFERROR(INDEX(품목마스터!$D$3:$D$302,MATCH($C446,품목마스터!$A$3:$A$302,0)),""))</f>
        <v/>
      </c>
      <c r="G446" s="9"/>
      <c r="H446" s="9"/>
      <c r="I446" s="13" t="str">
        <f aca="false">IF(OR($G446="",$H446=""),"",ROUND($G446*$H446,0))</f>
        <v/>
      </c>
      <c r="J446" s="7"/>
      <c r="K446" s="7"/>
      <c r="L446" s="14" t="str">
        <f aca="false">IF(OR($C446="",$G446=""),"",IF($B446="입고",$G446,IF($B446="출고",-$G446,$G446)))</f>
        <v/>
      </c>
      <c r="M446" s="13" t="str">
        <f aca="false">IF($C446="","",IFERROR(INDEX(품목마스터!$F$3:$F$302,MATCH($C446,품목마스터!$A$3:$A$302,0)),0)+SUMIFS($L$3:$L446,$C$3:$C446,$C446))</f>
        <v/>
      </c>
    </row>
    <row r="447" customFormat="false" ht="15" hidden="false" customHeight="true" outlineLevel="0" collapsed="false">
      <c r="A447" s="11"/>
      <c r="B447" s="7"/>
      <c r="C447" s="7"/>
      <c r="D447" s="12" t="str">
        <f aca="false">IF($C447="","",IFERROR(INDEX(품목마스터!$B$3:$B$302,MATCH($C447,품목마스터!$A$3:$A$302,0)),"미등록품번"))</f>
        <v/>
      </c>
      <c r="E447" s="12" t="str">
        <f aca="false">IF($C447="","",IFERROR(INDEX(품목마스터!$C$3:$C$302,MATCH($C447,품목마스터!$A$3:$A$302,0)),""))</f>
        <v/>
      </c>
      <c r="F447" s="12" t="str">
        <f aca="false">IF($C447="","",IFERROR(INDEX(품목마스터!$D$3:$D$302,MATCH($C447,품목마스터!$A$3:$A$302,0)),""))</f>
        <v/>
      </c>
      <c r="G447" s="9"/>
      <c r="H447" s="9"/>
      <c r="I447" s="13" t="str">
        <f aca="false">IF(OR($G447="",$H447=""),"",ROUND($G447*$H447,0))</f>
        <v/>
      </c>
      <c r="J447" s="7"/>
      <c r="K447" s="7"/>
      <c r="L447" s="14" t="str">
        <f aca="false">IF(OR($C447="",$G447=""),"",IF($B447="입고",$G447,IF($B447="출고",-$G447,$G447)))</f>
        <v/>
      </c>
      <c r="M447" s="13" t="str">
        <f aca="false">IF($C447="","",IFERROR(INDEX(품목마스터!$F$3:$F$302,MATCH($C447,품목마스터!$A$3:$A$302,0)),0)+SUMIFS($L$3:$L447,$C$3:$C447,$C447))</f>
        <v/>
      </c>
    </row>
    <row r="448" customFormat="false" ht="15" hidden="false" customHeight="true" outlineLevel="0" collapsed="false">
      <c r="A448" s="11"/>
      <c r="B448" s="7"/>
      <c r="C448" s="7"/>
      <c r="D448" s="12" t="str">
        <f aca="false">IF($C448="","",IFERROR(INDEX(품목마스터!$B$3:$B$302,MATCH($C448,품목마스터!$A$3:$A$302,0)),"미등록품번"))</f>
        <v/>
      </c>
      <c r="E448" s="12" t="str">
        <f aca="false">IF($C448="","",IFERROR(INDEX(품목마스터!$C$3:$C$302,MATCH($C448,품목마스터!$A$3:$A$302,0)),""))</f>
        <v/>
      </c>
      <c r="F448" s="12" t="str">
        <f aca="false">IF($C448="","",IFERROR(INDEX(품목마스터!$D$3:$D$302,MATCH($C448,품목마스터!$A$3:$A$302,0)),""))</f>
        <v/>
      </c>
      <c r="G448" s="9"/>
      <c r="H448" s="9"/>
      <c r="I448" s="13" t="str">
        <f aca="false">IF(OR($G448="",$H448=""),"",ROUND($G448*$H448,0))</f>
        <v/>
      </c>
      <c r="J448" s="7"/>
      <c r="K448" s="7"/>
      <c r="L448" s="14" t="str">
        <f aca="false">IF(OR($C448="",$G448=""),"",IF($B448="입고",$G448,IF($B448="출고",-$G448,$G448)))</f>
        <v/>
      </c>
      <c r="M448" s="13" t="str">
        <f aca="false">IF($C448="","",IFERROR(INDEX(품목마스터!$F$3:$F$302,MATCH($C448,품목마스터!$A$3:$A$302,0)),0)+SUMIFS($L$3:$L448,$C$3:$C448,$C448))</f>
        <v/>
      </c>
    </row>
    <row r="449" customFormat="false" ht="15" hidden="false" customHeight="true" outlineLevel="0" collapsed="false">
      <c r="A449" s="11"/>
      <c r="B449" s="7"/>
      <c r="C449" s="7"/>
      <c r="D449" s="12" t="str">
        <f aca="false">IF($C449="","",IFERROR(INDEX(품목마스터!$B$3:$B$302,MATCH($C449,품목마스터!$A$3:$A$302,0)),"미등록품번"))</f>
        <v/>
      </c>
      <c r="E449" s="12" t="str">
        <f aca="false">IF($C449="","",IFERROR(INDEX(품목마스터!$C$3:$C$302,MATCH($C449,품목마스터!$A$3:$A$302,0)),""))</f>
        <v/>
      </c>
      <c r="F449" s="12" t="str">
        <f aca="false">IF($C449="","",IFERROR(INDEX(품목마스터!$D$3:$D$302,MATCH($C449,품목마스터!$A$3:$A$302,0)),""))</f>
        <v/>
      </c>
      <c r="G449" s="9"/>
      <c r="H449" s="9"/>
      <c r="I449" s="13" t="str">
        <f aca="false">IF(OR($G449="",$H449=""),"",ROUND($G449*$H449,0))</f>
        <v/>
      </c>
      <c r="J449" s="7"/>
      <c r="K449" s="7"/>
      <c r="L449" s="14" t="str">
        <f aca="false">IF(OR($C449="",$G449=""),"",IF($B449="입고",$G449,IF($B449="출고",-$G449,$G449)))</f>
        <v/>
      </c>
      <c r="M449" s="13" t="str">
        <f aca="false">IF($C449="","",IFERROR(INDEX(품목마스터!$F$3:$F$302,MATCH($C449,품목마스터!$A$3:$A$302,0)),0)+SUMIFS($L$3:$L449,$C$3:$C449,$C449))</f>
        <v/>
      </c>
    </row>
    <row r="450" customFormat="false" ht="15" hidden="false" customHeight="true" outlineLevel="0" collapsed="false">
      <c r="A450" s="11"/>
      <c r="B450" s="7"/>
      <c r="C450" s="7"/>
      <c r="D450" s="12" t="str">
        <f aca="false">IF($C450="","",IFERROR(INDEX(품목마스터!$B$3:$B$302,MATCH($C450,품목마스터!$A$3:$A$302,0)),"미등록품번"))</f>
        <v/>
      </c>
      <c r="E450" s="12" t="str">
        <f aca="false">IF($C450="","",IFERROR(INDEX(품목마스터!$C$3:$C$302,MATCH($C450,품목마스터!$A$3:$A$302,0)),""))</f>
        <v/>
      </c>
      <c r="F450" s="12" t="str">
        <f aca="false">IF($C450="","",IFERROR(INDEX(품목마스터!$D$3:$D$302,MATCH($C450,품목마스터!$A$3:$A$302,0)),""))</f>
        <v/>
      </c>
      <c r="G450" s="9"/>
      <c r="H450" s="9"/>
      <c r="I450" s="13" t="str">
        <f aca="false">IF(OR($G450="",$H450=""),"",ROUND($G450*$H450,0))</f>
        <v/>
      </c>
      <c r="J450" s="7"/>
      <c r="K450" s="7"/>
      <c r="L450" s="14" t="str">
        <f aca="false">IF(OR($C450="",$G450=""),"",IF($B450="입고",$G450,IF($B450="출고",-$G450,$G450)))</f>
        <v/>
      </c>
      <c r="M450" s="13" t="str">
        <f aca="false">IF($C450="","",IFERROR(INDEX(품목마스터!$F$3:$F$302,MATCH($C450,품목마스터!$A$3:$A$302,0)),0)+SUMIFS($L$3:$L450,$C$3:$C450,$C450))</f>
        <v/>
      </c>
    </row>
    <row r="451" customFormat="false" ht="15" hidden="false" customHeight="true" outlineLevel="0" collapsed="false">
      <c r="A451" s="11"/>
      <c r="B451" s="7"/>
      <c r="C451" s="7"/>
      <c r="D451" s="12" t="str">
        <f aca="false">IF($C451="","",IFERROR(INDEX(품목마스터!$B$3:$B$302,MATCH($C451,품목마스터!$A$3:$A$302,0)),"미등록품번"))</f>
        <v/>
      </c>
      <c r="E451" s="12" t="str">
        <f aca="false">IF($C451="","",IFERROR(INDEX(품목마스터!$C$3:$C$302,MATCH($C451,품목마스터!$A$3:$A$302,0)),""))</f>
        <v/>
      </c>
      <c r="F451" s="12" t="str">
        <f aca="false">IF($C451="","",IFERROR(INDEX(품목마스터!$D$3:$D$302,MATCH($C451,품목마스터!$A$3:$A$302,0)),""))</f>
        <v/>
      </c>
      <c r="G451" s="9"/>
      <c r="H451" s="9"/>
      <c r="I451" s="13" t="str">
        <f aca="false">IF(OR($G451="",$H451=""),"",ROUND($G451*$H451,0))</f>
        <v/>
      </c>
      <c r="J451" s="7"/>
      <c r="K451" s="7"/>
      <c r="L451" s="14" t="str">
        <f aca="false">IF(OR($C451="",$G451=""),"",IF($B451="입고",$G451,IF($B451="출고",-$G451,$G451)))</f>
        <v/>
      </c>
      <c r="M451" s="13" t="str">
        <f aca="false">IF($C451="","",IFERROR(INDEX(품목마스터!$F$3:$F$302,MATCH($C451,품목마스터!$A$3:$A$302,0)),0)+SUMIFS($L$3:$L451,$C$3:$C451,$C451))</f>
        <v/>
      </c>
    </row>
    <row r="452" customFormat="false" ht="15" hidden="false" customHeight="true" outlineLevel="0" collapsed="false">
      <c r="A452" s="11"/>
      <c r="B452" s="7"/>
      <c r="C452" s="7"/>
      <c r="D452" s="12" t="str">
        <f aca="false">IF($C452="","",IFERROR(INDEX(품목마스터!$B$3:$B$302,MATCH($C452,품목마스터!$A$3:$A$302,0)),"미등록품번"))</f>
        <v/>
      </c>
      <c r="E452" s="12" t="str">
        <f aca="false">IF($C452="","",IFERROR(INDEX(품목마스터!$C$3:$C$302,MATCH($C452,품목마스터!$A$3:$A$302,0)),""))</f>
        <v/>
      </c>
      <c r="F452" s="12" t="str">
        <f aca="false">IF($C452="","",IFERROR(INDEX(품목마스터!$D$3:$D$302,MATCH($C452,품목마스터!$A$3:$A$302,0)),""))</f>
        <v/>
      </c>
      <c r="G452" s="9"/>
      <c r="H452" s="9"/>
      <c r="I452" s="13" t="str">
        <f aca="false">IF(OR($G452="",$H452=""),"",ROUND($G452*$H452,0))</f>
        <v/>
      </c>
      <c r="J452" s="7"/>
      <c r="K452" s="7"/>
      <c r="L452" s="14" t="str">
        <f aca="false">IF(OR($C452="",$G452=""),"",IF($B452="입고",$G452,IF($B452="출고",-$G452,$G452)))</f>
        <v/>
      </c>
      <c r="M452" s="13" t="str">
        <f aca="false">IF($C452="","",IFERROR(INDEX(품목마스터!$F$3:$F$302,MATCH($C452,품목마스터!$A$3:$A$302,0)),0)+SUMIFS($L$3:$L452,$C$3:$C452,$C452))</f>
        <v/>
      </c>
    </row>
    <row r="453" customFormat="false" ht="15" hidden="false" customHeight="true" outlineLevel="0" collapsed="false">
      <c r="A453" s="11"/>
      <c r="B453" s="7"/>
      <c r="C453" s="7"/>
      <c r="D453" s="12" t="str">
        <f aca="false">IF($C453="","",IFERROR(INDEX(품목마스터!$B$3:$B$302,MATCH($C453,품목마스터!$A$3:$A$302,0)),"미등록품번"))</f>
        <v/>
      </c>
      <c r="E453" s="12" t="str">
        <f aca="false">IF($C453="","",IFERROR(INDEX(품목마스터!$C$3:$C$302,MATCH($C453,품목마스터!$A$3:$A$302,0)),""))</f>
        <v/>
      </c>
      <c r="F453" s="12" t="str">
        <f aca="false">IF($C453="","",IFERROR(INDEX(품목마스터!$D$3:$D$302,MATCH($C453,품목마스터!$A$3:$A$302,0)),""))</f>
        <v/>
      </c>
      <c r="G453" s="9"/>
      <c r="H453" s="9"/>
      <c r="I453" s="13" t="str">
        <f aca="false">IF(OR($G453="",$H453=""),"",ROUND($G453*$H453,0))</f>
        <v/>
      </c>
      <c r="J453" s="7"/>
      <c r="K453" s="7"/>
      <c r="L453" s="14" t="str">
        <f aca="false">IF(OR($C453="",$G453=""),"",IF($B453="입고",$G453,IF($B453="출고",-$G453,$G453)))</f>
        <v/>
      </c>
      <c r="M453" s="13" t="str">
        <f aca="false">IF($C453="","",IFERROR(INDEX(품목마스터!$F$3:$F$302,MATCH($C453,품목마스터!$A$3:$A$302,0)),0)+SUMIFS($L$3:$L453,$C$3:$C453,$C453))</f>
        <v/>
      </c>
    </row>
    <row r="454" customFormat="false" ht="15" hidden="false" customHeight="true" outlineLevel="0" collapsed="false">
      <c r="A454" s="11"/>
      <c r="B454" s="7"/>
      <c r="C454" s="7"/>
      <c r="D454" s="12" t="str">
        <f aca="false">IF($C454="","",IFERROR(INDEX(품목마스터!$B$3:$B$302,MATCH($C454,품목마스터!$A$3:$A$302,0)),"미등록품번"))</f>
        <v/>
      </c>
      <c r="E454" s="12" t="str">
        <f aca="false">IF($C454="","",IFERROR(INDEX(품목마스터!$C$3:$C$302,MATCH($C454,품목마스터!$A$3:$A$302,0)),""))</f>
        <v/>
      </c>
      <c r="F454" s="12" t="str">
        <f aca="false">IF($C454="","",IFERROR(INDEX(품목마스터!$D$3:$D$302,MATCH($C454,품목마스터!$A$3:$A$302,0)),""))</f>
        <v/>
      </c>
      <c r="G454" s="9"/>
      <c r="H454" s="9"/>
      <c r="I454" s="13" t="str">
        <f aca="false">IF(OR($G454="",$H454=""),"",ROUND($G454*$H454,0))</f>
        <v/>
      </c>
      <c r="J454" s="7"/>
      <c r="K454" s="7"/>
      <c r="L454" s="14" t="str">
        <f aca="false">IF(OR($C454="",$G454=""),"",IF($B454="입고",$G454,IF($B454="출고",-$G454,$G454)))</f>
        <v/>
      </c>
      <c r="M454" s="13" t="str">
        <f aca="false">IF($C454="","",IFERROR(INDEX(품목마스터!$F$3:$F$302,MATCH($C454,품목마스터!$A$3:$A$302,0)),0)+SUMIFS($L$3:$L454,$C$3:$C454,$C454))</f>
        <v/>
      </c>
    </row>
    <row r="455" customFormat="false" ht="15" hidden="false" customHeight="true" outlineLevel="0" collapsed="false">
      <c r="A455" s="11"/>
      <c r="B455" s="7"/>
      <c r="C455" s="7"/>
      <c r="D455" s="12" t="str">
        <f aca="false">IF($C455="","",IFERROR(INDEX(품목마스터!$B$3:$B$302,MATCH($C455,품목마스터!$A$3:$A$302,0)),"미등록품번"))</f>
        <v/>
      </c>
      <c r="E455" s="12" t="str">
        <f aca="false">IF($C455="","",IFERROR(INDEX(품목마스터!$C$3:$C$302,MATCH($C455,품목마스터!$A$3:$A$302,0)),""))</f>
        <v/>
      </c>
      <c r="F455" s="12" t="str">
        <f aca="false">IF($C455="","",IFERROR(INDEX(품목마스터!$D$3:$D$302,MATCH($C455,품목마스터!$A$3:$A$302,0)),""))</f>
        <v/>
      </c>
      <c r="G455" s="9"/>
      <c r="H455" s="9"/>
      <c r="I455" s="13" t="str">
        <f aca="false">IF(OR($G455="",$H455=""),"",ROUND($G455*$H455,0))</f>
        <v/>
      </c>
      <c r="J455" s="7"/>
      <c r="K455" s="7"/>
      <c r="L455" s="14" t="str">
        <f aca="false">IF(OR($C455="",$G455=""),"",IF($B455="입고",$G455,IF($B455="출고",-$G455,$G455)))</f>
        <v/>
      </c>
      <c r="M455" s="13" t="str">
        <f aca="false">IF($C455="","",IFERROR(INDEX(품목마스터!$F$3:$F$302,MATCH($C455,품목마스터!$A$3:$A$302,0)),0)+SUMIFS($L$3:$L455,$C$3:$C455,$C455))</f>
        <v/>
      </c>
    </row>
    <row r="456" customFormat="false" ht="15" hidden="false" customHeight="true" outlineLevel="0" collapsed="false">
      <c r="A456" s="11"/>
      <c r="B456" s="7"/>
      <c r="C456" s="7"/>
      <c r="D456" s="12" t="str">
        <f aca="false">IF($C456="","",IFERROR(INDEX(품목마스터!$B$3:$B$302,MATCH($C456,품목마스터!$A$3:$A$302,0)),"미등록품번"))</f>
        <v/>
      </c>
      <c r="E456" s="12" t="str">
        <f aca="false">IF($C456="","",IFERROR(INDEX(품목마스터!$C$3:$C$302,MATCH($C456,품목마스터!$A$3:$A$302,0)),""))</f>
        <v/>
      </c>
      <c r="F456" s="12" t="str">
        <f aca="false">IF($C456="","",IFERROR(INDEX(품목마스터!$D$3:$D$302,MATCH($C456,품목마스터!$A$3:$A$302,0)),""))</f>
        <v/>
      </c>
      <c r="G456" s="9"/>
      <c r="H456" s="9"/>
      <c r="I456" s="13" t="str">
        <f aca="false">IF(OR($G456="",$H456=""),"",ROUND($G456*$H456,0))</f>
        <v/>
      </c>
      <c r="J456" s="7"/>
      <c r="K456" s="7"/>
      <c r="L456" s="14" t="str">
        <f aca="false">IF(OR($C456="",$G456=""),"",IF($B456="입고",$G456,IF($B456="출고",-$G456,$G456)))</f>
        <v/>
      </c>
      <c r="M456" s="13" t="str">
        <f aca="false">IF($C456="","",IFERROR(INDEX(품목마스터!$F$3:$F$302,MATCH($C456,품목마스터!$A$3:$A$302,0)),0)+SUMIFS($L$3:$L456,$C$3:$C456,$C456))</f>
        <v/>
      </c>
    </row>
    <row r="457" customFormat="false" ht="15" hidden="false" customHeight="true" outlineLevel="0" collapsed="false">
      <c r="A457" s="11"/>
      <c r="B457" s="7"/>
      <c r="C457" s="7"/>
      <c r="D457" s="12" t="str">
        <f aca="false">IF($C457="","",IFERROR(INDEX(품목마스터!$B$3:$B$302,MATCH($C457,품목마스터!$A$3:$A$302,0)),"미등록품번"))</f>
        <v/>
      </c>
      <c r="E457" s="12" t="str">
        <f aca="false">IF($C457="","",IFERROR(INDEX(품목마스터!$C$3:$C$302,MATCH($C457,품목마스터!$A$3:$A$302,0)),""))</f>
        <v/>
      </c>
      <c r="F457" s="12" t="str">
        <f aca="false">IF($C457="","",IFERROR(INDEX(품목마스터!$D$3:$D$302,MATCH($C457,품목마스터!$A$3:$A$302,0)),""))</f>
        <v/>
      </c>
      <c r="G457" s="9"/>
      <c r="H457" s="9"/>
      <c r="I457" s="13" t="str">
        <f aca="false">IF(OR($G457="",$H457=""),"",ROUND($G457*$H457,0))</f>
        <v/>
      </c>
      <c r="J457" s="7"/>
      <c r="K457" s="7"/>
      <c r="L457" s="14" t="str">
        <f aca="false">IF(OR($C457="",$G457=""),"",IF($B457="입고",$G457,IF($B457="출고",-$G457,$G457)))</f>
        <v/>
      </c>
      <c r="M457" s="13" t="str">
        <f aca="false">IF($C457="","",IFERROR(INDEX(품목마스터!$F$3:$F$302,MATCH($C457,품목마스터!$A$3:$A$302,0)),0)+SUMIFS($L$3:$L457,$C$3:$C457,$C457))</f>
        <v/>
      </c>
    </row>
    <row r="458" customFormat="false" ht="15" hidden="false" customHeight="true" outlineLevel="0" collapsed="false">
      <c r="A458" s="11"/>
      <c r="B458" s="7"/>
      <c r="C458" s="7"/>
      <c r="D458" s="12" t="str">
        <f aca="false">IF($C458="","",IFERROR(INDEX(품목마스터!$B$3:$B$302,MATCH($C458,품목마스터!$A$3:$A$302,0)),"미등록품번"))</f>
        <v/>
      </c>
      <c r="E458" s="12" t="str">
        <f aca="false">IF($C458="","",IFERROR(INDEX(품목마스터!$C$3:$C$302,MATCH($C458,품목마스터!$A$3:$A$302,0)),""))</f>
        <v/>
      </c>
      <c r="F458" s="12" t="str">
        <f aca="false">IF($C458="","",IFERROR(INDEX(품목마스터!$D$3:$D$302,MATCH($C458,품목마스터!$A$3:$A$302,0)),""))</f>
        <v/>
      </c>
      <c r="G458" s="9"/>
      <c r="H458" s="9"/>
      <c r="I458" s="13" t="str">
        <f aca="false">IF(OR($G458="",$H458=""),"",ROUND($G458*$H458,0))</f>
        <v/>
      </c>
      <c r="J458" s="7"/>
      <c r="K458" s="7"/>
      <c r="L458" s="14" t="str">
        <f aca="false">IF(OR($C458="",$G458=""),"",IF($B458="입고",$G458,IF($B458="출고",-$G458,$G458)))</f>
        <v/>
      </c>
      <c r="M458" s="13" t="str">
        <f aca="false">IF($C458="","",IFERROR(INDEX(품목마스터!$F$3:$F$302,MATCH($C458,품목마스터!$A$3:$A$302,0)),0)+SUMIFS($L$3:$L458,$C$3:$C458,$C458))</f>
        <v/>
      </c>
    </row>
    <row r="459" customFormat="false" ht="15" hidden="false" customHeight="true" outlineLevel="0" collapsed="false">
      <c r="A459" s="11"/>
      <c r="B459" s="7"/>
      <c r="C459" s="7"/>
      <c r="D459" s="12" t="str">
        <f aca="false">IF($C459="","",IFERROR(INDEX(품목마스터!$B$3:$B$302,MATCH($C459,품목마스터!$A$3:$A$302,0)),"미등록품번"))</f>
        <v/>
      </c>
      <c r="E459" s="12" t="str">
        <f aca="false">IF($C459="","",IFERROR(INDEX(품목마스터!$C$3:$C$302,MATCH($C459,품목마스터!$A$3:$A$302,0)),""))</f>
        <v/>
      </c>
      <c r="F459" s="12" t="str">
        <f aca="false">IF($C459="","",IFERROR(INDEX(품목마스터!$D$3:$D$302,MATCH($C459,품목마스터!$A$3:$A$302,0)),""))</f>
        <v/>
      </c>
      <c r="G459" s="9"/>
      <c r="H459" s="9"/>
      <c r="I459" s="13" t="str">
        <f aca="false">IF(OR($G459="",$H459=""),"",ROUND($G459*$H459,0))</f>
        <v/>
      </c>
      <c r="J459" s="7"/>
      <c r="K459" s="7"/>
      <c r="L459" s="14" t="str">
        <f aca="false">IF(OR($C459="",$G459=""),"",IF($B459="입고",$G459,IF($B459="출고",-$G459,$G459)))</f>
        <v/>
      </c>
      <c r="M459" s="13" t="str">
        <f aca="false">IF($C459="","",IFERROR(INDEX(품목마스터!$F$3:$F$302,MATCH($C459,품목마스터!$A$3:$A$302,0)),0)+SUMIFS($L$3:$L459,$C$3:$C459,$C459))</f>
        <v/>
      </c>
    </row>
    <row r="460" customFormat="false" ht="15" hidden="false" customHeight="true" outlineLevel="0" collapsed="false">
      <c r="A460" s="11"/>
      <c r="B460" s="7"/>
      <c r="C460" s="7"/>
      <c r="D460" s="12" t="str">
        <f aca="false">IF($C460="","",IFERROR(INDEX(품목마스터!$B$3:$B$302,MATCH($C460,품목마스터!$A$3:$A$302,0)),"미등록품번"))</f>
        <v/>
      </c>
      <c r="E460" s="12" t="str">
        <f aca="false">IF($C460="","",IFERROR(INDEX(품목마스터!$C$3:$C$302,MATCH($C460,품목마스터!$A$3:$A$302,0)),""))</f>
        <v/>
      </c>
      <c r="F460" s="12" t="str">
        <f aca="false">IF($C460="","",IFERROR(INDEX(품목마스터!$D$3:$D$302,MATCH($C460,품목마스터!$A$3:$A$302,0)),""))</f>
        <v/>
      </c>
      <c r="G460" s="9"/>
      <c r="H460" s="9"/>
      <c r="I460" s="13" t="str">
        <f aca="false">IF(OR($G460="",$H460=""),"",ROUND($G460*$H460,0))</f>
        <v/>
      </c>
      <c r="J460" s="7"/>
      <c r="K460" s="7"/>
      <c r="L460" s="14" t="str">
        <f aca="false">IF(OR($C460="",$G460=""),"",IF($B460="입고",$G460,IF($B460="출고",-$G460,$G460)))</f>
        <v/>
      </c>
      <c r="M460" s="13" t="str">
        <f aca="false">IF($C460="","",IFERROR(INDEX(품목마스터!$F$3:$F$302,MATCH($C460,품목마스터!$A$3:$A$302,0)),0)+SUMIFS($L$3:$L460,$C$3:$C460,$C460))</f>
        <v/>
      </c>
    </row>
    <row r="461" customFormat="false" ht="15" hidden="false" customHeight="true" outlineLevel="0" collapsed="false">
      <c r="A461" s="11"/>
      <c r="B461" s="7"/>
      <c r="C461" s="7"/>
      <c r="D461" s="12" t="str">
        <f aca="false">IF($C461="","",IFERROR(INDEX(품목마스터!$B$3:$B$302,MATCH($C461,품목마스터!$A$3:$A$302,0)),"미등록품번"))</f>
        <v/>
      </c>
      <c r="E461" s="12" t="str">
        <f aca="false">IF($C461="","",IFERROR(INDEX(품목마스터!$C$3:$C$302,MATCH($C461,품목마스터!$A$3:$A$302,0)),""))</f>
        <v/>
      </c>
      <c r="F461" s="12" t="str">
        <f aca="false">IF($C461="","",IFERROR(INDEX(품목마스터!$D$3:$D$302,MATCH($C461,품목마스터!$A$3:$A$302,0)),""))</f>
        <v/>
      </c>
      <c r="G461" s="9"/>
      <c r="H461" s="9"/>
      <c r="I461" s="13" t="str">
        <f aca="false">IF(OR($G461="",$H461=""),"",ROUND($G461*$H461,0))</f>
        <v/>
      </c>
      <c r="J461" s="7"/>
      <c r="K461" s="7"/>
      <c r="L461" s="14" t="str">
        <f aca="false">IF(OR($C461="",$G461=""),"",IF($B461="입고",$G461,IF($B461="출고",-$G461,$G461)))</f>
        <v/>
      </c>
      <c r="M461" s="13" t="str">
        <f aca="false">IF($C461="","",IFERROR(INDEX(품목마스터!$F$3:$F$302,MATCH($C461,품목마스터!$A$3:$A$302,0)),0)+SUMIFS($L$3:$L461,$C$3:$C461,$C461))</f>
        <v/>
      </c>
    </row>
    <row r="462" customFormat="false" ht="15" hidden="false" customHeight="true" outlineLevel="0" collapsed="false">
      <c r="A462" s="11"/>
      <c r="B462" s="7"/>
      <c r="C462" s="7"/>
      <c r="D462" s="12" t="str">
        <f aca="false">IF($C462="","",IFERROR(INDEX(품목마스터!$B$3:$B$302,MATCH($C462,품목마스터!$A$3:$A$302,0)),"미등록품번"))</f>
        <v/>
      </c>
      <c r="E462" s="12" t="str">
        <f aca="false">IF($C462="","",IFERROR(INDEX(품목마스터!$C$3:$C$302,MATCH($C462,품목마스터!$A$3:$A$302,0)),""))</f>
        <v/>
      </c>
      <c r="F462" s="12" t="str">
        <f aca="false">IF($C462="","",IFERROR(INDEX(품목마스터!$D$3:$D$302,MATCH($C462,품목마스터!$A$3:$A$302,0)),""))</f>
        <v/>
      </c>
      <c r="G462" s="9"/>
      <c r="H462" s="9"/>
      <c r="I462" s="13" t="str">
        <f aca="false">IF(OR($G462="",$H462=""),"",ROUND($G462*$H462,0))</f>
        <v/>
      </c>
      <c r="J462" s="7"/>
      <c r="K462" s="7"/>
      <c r="L462" s="14" t="str">
        <f aca="false">IF(OR($C462="",$G462=""),"",IF($B462="입고",$G462,IF($B462="출고",-$G462,$G462)))</f>
        <v/>
      </c>
      <c r="M462" s="13" t="str">
        <f aca="false">IF($C462="","",IFERROR(INDEX(품목마스터!$F$3:$F$302,MATCH($C462,품목마스터!$A$3:$A$302,0)),0)+SUMIFS($L$3:$L462,$C$3:$C462,$C462))</f>
        <v/>
      </c>
    </row>
    <row r="463" customFormat="false" ht="15" hidden="false" customHeight="true" outlineLevel="0" collapsed="false">
      <c r="A463" s="11"/>
      <c r="B463" s="7"/>
      <c r="C463" s="7"/>
      <c r="D463" s="12" t="str">
        <f aca="false">IF($C463="","",IFERROR(INDEX(품목마스터!$B$3:$B$302,MATCH($C463,품목마스터!$A$3:$A$302,0)),"미등록품번"))</f>
        <v/>
      </c>
      <c r="E463" s="12" t="str">
        <f aca="false">IF($C463="","",IFERROR(INDEX(품목마스터!$C$3:$C$302,MATCH($C463,품목마스터!$A$3:$A$302,0)),""))</f>
        <v/>
      </c>
      <c r="F463" s="12" t="str">
        <f aca="false">IF($C463="","",IFERROR(INDEX(품목마스터!$D$3:$D$302,MATCH($C463,품목마스터!$A$3:$A$302,0)),""))</f>
        <v/>
      </c>
      <c r="G463" s="9"/>
      <c r="H463" s="9"/>
      <c r="I463" s="13" t="str">
        <f aca="false">IF(OR($G463="",$H463=""),"",ROUND($G463*$H463,0))</f>
        <v/>
      </c>
      <c r="J463" s="7"/>
      <c r="K463" s="7"/>
      <c r="L463" s="14" t="str">
        <f aca="false">IF(OR($C463="",$G463=""),"",IF($B463="입고",$G463,IF($B463="출고",-$G463,$G463)))</f>
        <v/>
      </c>
      <c r="M463" s="13" t="str">
        <f aca="false">IF($C463="","",IFERROR(INDEX(품목마스터!$F$3:$F$302,MATCH($C463,품목마스터!$A$3:$A$302,0)),0)+SUMIFS($L$3:$L463,$C$3:$C463,$C463))</f>
        <v/>
      </c>
    </row>
    <row r="464" customFormat="false" ht="15" hidden="false" customHeight="true" outlineLevel="0" collapsed="false">
      <c r="A464" s="11"/>
      <c r="B464" s="7"/>
      <c r="C464" s="7"/>
      <c r="D464" s="12" t="str">
        <f aca="false">IF($C464="","",IFERROR(INDEX(품목마스터!$B$3:$B$302,MATCH($C464,품목마스터!$A$3:$A$302,0)),"미등록품번"))</f>
        <v/>
      </c>
      <c r="E464" s="12" t="str">
        <f aca="false">IF($C464="","",IFERROR(INDEX(품목마스터!$C$3:$C$302,MATCH($C464,품목마스터!$A$3:$A$302,0)),""))</f>
        <v/>
      </c>
      <c r="F464" s="12" t="str">
        <f aca="false">IF($C464="","",IFERROR(INDEX(품목마스터!$D$3:$D$302,MATCH($C464,품목마스터!$A$3:$A$302,0)),""))</f>
        <v/>
      </c>
      <c r="G464" s="9"/>
      <c r="H464" s="9"/>
      <c r="I464" s="13" t="str">
        <f aca="false">IF(OR($G464="",$H464=""),"",ROUND($G464*$H464,0))</f>
        <v/>
      </c>
      <c r="J464" s="7"/>
      <c r="K464" s="7"/>
      <c r="L464" s="14" t="str">
        <f aca="false">IF(OR($C464="",$G464=""),"",IF($B464="입고",$G464,IF($B464="출고",-$G464,$G464)))</f>
        <v/>
      </c>
      <c r="M464" s="13" t="str">
        <f aca="false">IF($C464="","",IFERROR(INDEX(품목마스터!$F$3:$F$302,MATCH($C464,품목마스터!$A$3:$A$302,0)),0)+SUMIFS($L$3:$L464,$C$3:$C464,$C464))</f>
        <v/>
      </c>
    </row>
    <row r="465" customFormat="false" ht="15" hidden="false" customHeight="true" outlineLevel="0" collapsed="false">
      <c r="A465" s="11"/>
      <c r="B465" s="7"/>
      <c r="C465" s="7"/>
      <c r="D465" s="12" t="str">
        <f aca="false">IF($C465="","",IFERROR(INDEX(품목마스터!$B$3:$B$302,MATCH($C465,품목마스터!$A$3:$A$302,0)),"미등록품번"))</f>
        <v/>
      </c>
      <c r="E465" s="12" t="str">
        <f aca="false">IF($C465="","",IFERROR(INDEX(품목마스터!$C$3:$C$302,MATCH($C465,품목마스터!$A$3:$A$302,0)),""))</f>
        <v/>
      </c>
      <c r="F465" s="12" t="str">
        <f aca="false">IF($C465="","",IFERROR(INDEX(품목마스터!$D$3:$D$302,MATCH($C465,품목마스터!$A$3:$A$302,0)),""))</f>
        <v/>
      </c>
      <c r="G465" s="9"/>
      <c r="H465" s="9"/>
      <c r="I465" s="13" t="str">
        <f aca="false">IF(OR($G465="",$H465=""),"",ROUND($G465*$H465,0))</f>
        <v/>
      </c>
      <c r="J465" s="7"/>
      <c r="K465" s="7"/>
      <c r="L465" s="14" t="str">
        <f aca="false">IF(OR($C465="",$G465=""),"",IF($B465="입고",$G465,IF($B465="출고",-$G465,$G465)))</f>
        <v/>
      </c>
      <c r="M465" s="13" t="str">
        <f aca="false">IF($C465="","",IFERROR(INDEX(품목마스터!$F$3:$F$302,MATCH($C465,품목마스터!$A$3:$A$302,0)),0)+SUMIFS($L$3:$L465,$C$3:$C465,$C465))</f>
        <v/>
      </c>
    </row>
    <row r="466" customFormat="false" ht="15" hidden="false" customHeight="true" outlineLevel="0" collapsed="false">
      <c r="A466" s="11"/>
      <c r="B466" s="7"/>
      <c r="C466" s="7"/>
      <c r="D466" s="12" t="str">
        <f aca="false">IF($C466="","",IFERROR(INDEX(품목마스터!$B$3:$B$302,MATCH($C466,품목마스터!$A$3:$A$302,0)),"미등록품번"))</f>
        <v/>
      </c>
      <c r="E466" s="12" t="str">
        <f aca="false">IF($C466="","",IFERROR(INDEX(품목마스터!$C$3:$C$302,MATCH($C466,품목마스터!$A$3:$A$302,0)),""))</f>
        <v/>
      </c>
      <c r="F466" s="12" t="str">
        <f aca="false">IF($C466="","",IFERROR(INDEX(품목마스터!$D$3:$D$302,MATCH($C466,품목마스터!$A$3:$A$302,0)),""))</f>
        <v/>
      </c>
      <c r="G466" s="9"/>
      <c r="H466" s="9"/>
      <c r="I466" s="13" t="str">
        <f aca="false">IF(OR($G466="",$H466=""),"",ROUND($G466*$H466,0))</f>
        <v/>
      </c>
      <c r="J466" s="7"/>
      <c r="K466" s="7"/>
      <c r="L466" s="14" t="str">
        <f aca="false">IF(OR($C466="",$G466=""),"",IF($B466="입고",$G466,IF($B466="출고",-$G466,$G466)))</f>
        <v/>
      </c>
      <c r="M466" s="13" t="str">
        <f aca="false">IF($C466="","",IFERROR(INDEX(품목마스터!$F$3:$F$302,MATCH($C466,품목마스터!$A$3:$A$302,0)),0)+SUMIFS($L$3:$L466,$C$3:$C466,$C466))</f>
        <v/>
      </c>
    </row>
    <row r="467" customFormat="false" ht="15" hidden="false" customHeight="true" outlineLevel="0" collapsed="false">
      <c r="A467" s="11"/>
      <c r="B467" s="7"/>
      <c r="C467" s="7"/>
      <c r="D467" s="12" t="str">
        <f aca="false">IF($C467="","",IFERROR(INDEX(품목마스터!$B$3:$B$302,MATCH($C467,품목마스터!$A$3:$A$302,0)),"미등록품번"))</f>
        <v/>
      </c>
      <c r="E467" s="12" t="str">
        <f aca="false">IF($C467="","",IFERROR(INDEX(품목마스터!$C$3:$C$302,MATCH($C467,품목마스터!$A$3:$A$302,0)),""))</f>
        <v/>
      </c>
      <c r="F467" s="12" t="str">
        <f aca="false">IF($C467="","",IFERROR(INDEX(품목마스터!$D$3:$D$302,MATCH($C467,품목마스터!$A$3:$A$302,0)),""))</f>
        <v/>
      </c>
      <c r="G467" s="9"/>
      <c r="H467" s="9"/>
      <c r="I467" s="13" t="str">
        <f aca="false">IF(OR($G467="",$H467=""),"",ROUND($G467*$H467,0))</f>
        <v/>
      </c>
      <c r="J467" s="7"/>
      <c r="K467" s="7"/>
      <c r="L467" s="14" t="str">
        <f aca="false">IF(OR($C467="",$G467=""),"",IF($B467="입고",$G467,IF($B467="출고",-$G467,$G467)))</f>
        <v/>
      </c>
      <c r="M467" s="13" t="str">
        <f aca="false">IF($C467="","",IFERROR(INDEX(품목마스터!$F$3:$F$302,MATCH($C467,품목마스터!$A$3:$A$302,0)),0)+SUMIFS($L$3:$L467,$C$3:$C467,$C467))</f>
        <v/>
      </c>
    </row>
    <row r="468" customFormat="false" ht="15" hidden="false" customHeight="true" outlineLevel="0" collapsed="false">
      <c r="A468" s="11"/>
      <c r="B468" s="7"/>
      <c r="C468" s="7"/>
      <c r="D468" s="12" t="str">
        <f aca="false">IF($C468="","",IFERROR(INDEX(품목마스터!$B$3:$B$302,MATCH($C468,품목마스터!$A$3:$A$302,0)),"미등록품번"))</f>
        <v/>
      </c>
      <c r="E468" s="12" t="str">
        <f aca="false">IF($C468="","",IFERROR(INDEX(품목마스터!$C$3:$C$302,MATCH($C468,품목마스터!$A$3:$A$302,0)),""))</f>
        <v/>
      </c>
      <c r="F468" s="12" t="str">
        <f aca="false">IF($C468="","",IFERROR(INDEX(품목마스터!$D$3:$D$302,MATCH($C468,품목마스터!$A$3:$A$302,0)),""))</f>
        <v/>
      </c>
      <c r="G468" s="9"/>
      <c r="H468" s="9"/>
      <c r="I468" s="13" t="str">
        <f aca="false">IF(OR($G468="",$H468=""),"",ROUND($G468*$H468,0))</f>
        <v/>
      </c>
      <c r="J468" s="7"/>
      <c r="K468" s="7"/>
      <c r="L468" s="14" t="str">
        <f aca="false">IF(OR($C468="",$G468=""),"",IF($B468="입고",$G468,IF($B468="출고",-$G468,$G468)))</f>
        <v/>
      </c>
      <c r="M468" s="13" t="str">
        <f aca="false">IF($C468="","",IFERROR(INDEX(품목마스터!$F$3:$F$302,MATCH($C468,품목마스터!$A$3:$A$302,0)),0)+SUMIFS($L$3:$L468,$C$3:$C468,$C468))</f>
        <v/>
      </c>
    </row>
    <row r="469" customFormat="false" ht="15" hidden="false" customHeight="true" outlineLevel="0" collapsed="false">
      <c r="A469" s="11"/>
      <c r="B469" s="7"/>
      <c r="C469" s="7"/>
      <c r="D469" s="12" t="str">
        <f aca="false">IF($C469="","",IFERROR(INDEX(품목마스터!$B$3:$B$302,MATCH($C469,품목마스터!$A$3:$A$302,0)),"미등록품번"))</f>
        <v/>
      </c>
      <c r="E469" s="12" t="str">
        <f aca="false">IF($C469="","",IFERROR(INDEX(품목마스터!$C$3:$C$302,MATCH($C469,품목마스터!$A$3:$A$302,0)),""))</f>
        <v/>
      </c>
      <c r="F469" s="12" t="str">
        <f aca="false">IF($C469="","",IFERROR(INDEX(품목마스터!$D$3:$D$302,MATCH($C469,품목마스터!$A$3:$A$302,0)),""))</f>
        <v/>
      </c>
      <c r="G469" s="9"/>
      <c r="H469" s="9"/>
      <c r="I469" s="13" t="str">
        <f aca="false">IF(OR($G469="",$H469=""),"",ROUND($G469*$H469,0))</f>
        <v/>
      </c>
      <c r="J469" s="7"/>
      <c r="K469" s="7"/>
      <c r="L469" s="14" t="str">
        <f aca="false">IF(OR($C469="",$G469=""),"",IF($B469="입고",$G469,IF($B469="출고",-$G469,$G469)))</f>
        <v/>
      </c>
      <c r="M469" s="13" t="str">
        <f aca="false">IF($C469="","",IFERROR(INDEX(품목마스터!$F$3:$F$302,MATCH($C469,품목마스터!$A$3:$A$302,0)),0)+SUMIFS($L$3:$L469,$C$3:$C469,$C469))</f>
        <v/>
      </c>
    </row>
    <row r="470" customFormat="false" ht="15" hidden="false" customHeight="true" outlineLevel="0" collapsed="false">
      <c r="A470" s="11"/>
      <c r="B470" s="7"/>
      <c r="C470" s="7"/>
      <c r="D470" s="12" t="str">
        <f aca="false">IF($C470="","",IFERROR(INDEX(품목마스터!$B$3:$B$302,MATCH($C470,품목마스터!$A$3:$A$302,0)),"미등록품번"))</f>
        <v/>
      </c>
      <c r="E470" s="12" t="str">
        <f aca="false">IF($C470="","",IFERROR(INDEX(품목마스터!$C$3:$C$302,MATCH($C470,품목마스터!$A$3:$A$302,0)),""))</f>
        <v/>
      </c>
      <c r="F470" s="12" t="str">
        <f aca="false">IF($C470="","",IFERROR(INDEX(품목마스터!$D$3:$D$302,MATCH($C470,품목마스터!$A$3:$A$302,0)),""))</f>
        <v/>
      </c>
      <c r="G470" s="9"/>
      <c r="H470" s="9"/>
      <c r="I470" s="13" t="str">
        <f aca="false">IF(OR($G470="",$H470=""),"",ROUND($G470*$H470,0))</f>
        <v/>
      </c>
      <c r="J470" s="7"/>
      <c r="K470" s="7"/>
      <c r="L470" s="14" t="str">
        <f aca="false">IF(OR($C470="",$G470=""),"",IF($B470="입고",$G470,IF($B470="출고",-$G470,$G470)))</f>
        <v/>
      </c>
      <c r="M470" s="13" t="str">
        <f aca="false">IF($C470="","",IFERROR(INDEX(품목마스터!$F$3:$F$302,MATCH($C470,품목마스터!$A$3:$A$302,0)),0)+SUMIFS($L$3:$L470,$C$3:$C470,$C470))</f>
        <v/>
      </c>
    </row>
    <row r="471" customFormat="false" ht="15" hidden="false" customHeight="true" outlineLevel="0" collapsed="false">
      <c r="A471" s="11"/>
      <c r="B471" s="7"/>
      <c r="C471" s="7"/>
      <c r="D471" s="12" t="str">
        <f aca="false">IF($C471="","",IFERROR(INDEX(품목마스터!$B$3:$B$302,MATCH($C471,품목마스터!$A$3:$A$302,0)),"미등록품번"))</f>
        <v/>
      </c>
      <c r="E471" s="12" t="str">
        <f aca="false">IF($C471="","",IFERROR(INDEX(품목마스터!$C$3:$C$302,MATCH($C471,품목마스터!$A$3:$A$302,0)),""))</f>
        <v/>
      </c>
      <c r="F471" s="12" t="str">
        <f aca="false">IF($C471="","",IFERROR(INDEX(품목마스터!$D$3:$D$302,MATCH($C471,품목마스터!$A$3:$A$302,0)),""))</f>
        <v/>
      </c>
      <c r="G471" s="9"/>
      <c r="H471" s="9"/>
      <c r="I471" s="13" t="str">
        <f aca="false">IF(OR($G471="",$H471=""),"",ROUND($G471*$H471,0))</f>
        <v/>
      </c>
      <c r="J471" s="7"/>
      <c r="K471" s="7"/>
      <c r="L471" s="14" t="str">
        <f aca="false">IF(OR($C471="",$G471=""),"",IF($B471="입고",$G471,IF($B471="출고",-$G471,$G471)))</f>
        <v/>
      </c>
      <c r="M471" s="13" t="str">
        <f aca="false">IF($C471="","",IFERROR(INDEX(품목마스터!$F$3:$F$302,MATCH($C471,품목마스터!$A$3:$A$302,0)),0)+SUMIFS($L$3:$L471,$C$3:$C471,$C471))</f>
        <v/>
      </c>
    </row>
    <row r="472" customFormat="false" ht="15" hidden="false" customHeight="true" outlineLevel="0" collapsed="false">
      <c r="A472" s="11"/>
      <c r="B472" s="7"/>
      <c r="C472" s="7"/>
      <c r="D472" s="12" t="str">
        <f aca="false">IF($C472="","",IFERROR(INDEX(품목마스터!$B$3:$B$302,MATCH($C472,품목마스터!$A$3:$A$302,0)),"미등록품번"))</f>
        <v/>
      </c>
      <c r="E472" s="12" t="str">
        <f aca="false">IF($C472="","",IFERROR(INDEX(품목마스터!$C$3:$C$302,MATCH($C472,품목마스터!$A$3:$A$302,0)),""))</f>
        <v/>
      </c>
      <c r="F472" s="12" t="str">
        <f aca="false">IF($C472="","",IFERROR(INDEX(품목마스터!$D$3:$D$302,MATCH($C472,품목마스터!$A$3:$A$302,0)),""))</f>
        <v/>
      </c>
      <c r="G472" s="9"/>
      <c r="H472" s="9"/>
      <c r="I472" s="13" t="str">
        <f aca="false">IF(OR($G472="",$H472=""),"",ROUND($G472*$H472,0))</f>
        <v/>
      </c>
      <c r="J472" s="7"/>
      <c r="K472" s="7"/>
      <c r="L472" s="14" t="str">
        <f aca="false">IF(OR($C472="",$G472=""),"",IF($B472="입고",$G472,IF($B472="출고",-$G472,$G472)))</f>
        <v/>
      </c>
      <c r="M472" s="13" t="str">
        <f aca="false">IF($C472="","",IFERROR(INDEX(품목마스터!$F$3:$F$302,MATCH($C472,품목마스터!$A$3:$A$302,0)),0)+SUMIFS($L$3:$L472,$C$3:$C472,$C472))</f>
        <v/>
      </c>
    </row>
    <row r="473" customFormat="false" ht="15" hidden="false" customHeight="true" outlineLevel="0" collapsed="false">
      <c r="A473" s="11"/>
      <c r="B473" s="7"/>
      <c r="C473" s="7"/>
      <c r="D473" s="12" t="str">
        <f aca="false">IF($C473="","",IFERROR(INDEX(품목마스터!$B$3:$B$302,MATCH($C473,품목마스터!$A$3:$A$302,0)),"미등록품번"))</f>
        <v/>
      </c>
      <c r="E473" s="12" t="str">
        <f aca="false">IF($C473="","",IFERROR(INDEX(품목마스터!$C$3:$C$302,MATCH($C473,품목마스터!$A$3:$A$302,0)),""))</f>
        <v/>
      </c>
      <c r="F473" s="12" t="str">
        <f aca="false">IF($C473="","",IFERROR(INDEX(품목마스터!$D$3:$D$302,MATCH($C473,품목마스터!$A$3:$A$302,0)),""))</f>
        <v/>
      </c>
      <c r="G473" s="9"/>
      <c r="H473" s="9"/>
      <c r="I473" s="13" t="str">
        <f aca="false">IF(OR($G473="",$H473=""),"",ROUND($G473*$H473,0))</f>
        <v/>
      </c>
      <c r="J473" s="7"/>
      <c r="K473" s="7"/>
      <c r="L473" s="14" t="str">
        <f aca="false">IF(OR($C473="",$G473=""),"",IF($B473="입고",$G473,IF($B473="출고",-$G473,$G473)))</f>
        <v/>
      </c>
      <c r="M473" s="13" t="str">
        <f aca="false">IF($C473="","",IFERROR(INDEX(품목마스터!$F$3:$F$302,MATCH($C473,품목마스터!$A$3:$A$302,0)),0)+SUMIFS($L$3:$L473,$C$3:$C473,$C473))</f>
        <v/>
      </c>
    </row>
    <row r="474" customFormat="false" ht="15" hidden="false" customHeight="true" outlineLevel="0" collapsed="false">
      <c r="A474" s="11"/>
      <c r="B474" s="7"/>
      <c r="C474" s="7"/>
      <c r="D474" s="12" t="str">
        <f aca="false">IF($C474="","",IFERROR(INDEX(품목마스터!$B$3:$B$302,MATCH($C474,품목마스터!$A$3:$A$302,0)),"미등록품번"))</f>
        <v/>
      </c>
      <c r="E474" s="12" t="str">
        <f aca="false">IF($C474="","",IFERROR(INDEX(품목마스터!$C$3:$C$302,MATCH($C474,품목마스터!$A$3:$A$302,0)),""))</f>
        <v/>
      </c>
      <c r="F474" s="12" t="str">
        <f aca="false">IF($C474="","",IFERROR(INDEX(품목마스터!$D$3:$D$302,MATCH($C474,품목마스터!$A$3:$A$302,0)),""))</f>
        <v/>
      </c>
      <c r="G474" s="9"/>
      <c r="H474" s="9"/>
      <c r="I474" s="13" t="str">
        <f aca="false">IF(OR($G474="",$H474=""),"",ROUND($G474*$H474,0))</f>
        <v/>
      </c>
      <c r="J474" s="7"/>
      <c r="K474" s="7"/>
      <c r="L474" s="14" t="str">
        <f aca="false">IF(OR($C474="",$G474=""),"",IF($B474="입고",$G474,IF($B474="출고",-$G474,$G474)))</f>
        <v/>
      </c>
      <c r="M474" s="13" t="str">
        <f aca="false">IF($C474="","",IFERROR(INDEX(품목마스터!$F$3:$F$302,MATCH($C474,품목마스터!$A$3:$A$302,0)),0)+SUMIFS($L$3:$L474,$C$3:$C474,$C474))</f>
        <v/>
      </c>
    </row>
    <row r="475" customFormat="false" ht="15" hidden="false" customHeight="true" outlineLevel="0" collapsed="false">
      <c r="A475" s="11"/>
      <c r="B475" s="7"/>
      <c r="C475" s="7"/>
      <c r="D475" s="12" t="str">
        <f aca="false">IF($C475="","",IFERROR(INDEX(품목마스터!$B$3:$B$302,MATCH($C475,품목마스터!$A$3:$A$302,0)),"미등록품번"))</f>
        <v/>
      </c>
      <c r="E475" s="12" t="str">
        <f aca="false">IF($C475="","",IFERROR(INDEX(품목마스터!$C$3:$C$302,MATCH($C475,품목마스터!$A$3:$A$302,0)),""))</f>
        <v/>
      </c>
      <c r="F475" s="12" t="str">
        <f aca="false">IF($C475="","",IFERROR(INDEX(품목마스터!$D$3:$D$302,MATCH($C475,품목마스터!$A$3:$A$302,0)),""))</f>
        <v/>
      </c>
      <c r="G475" s="9"/>
      <c r="H475" s="9"/>
      <c r="I475" s="13" t="str">
        <f aca="false">IF(OR($G475="",$H475=""),"",ROUND($G475*$H475,0))</f>
        <v/>
      </c>
      <c r="J475" s="7"/>
      <c r="K475" s="7"/>
      <c r="L475" s="14" t="str">
        <f aca="false">IF(OR($C475="",$G475=""),"",IF($B475="입고",$G475,IF($B475="출고",-$G475,$G475)))</f>
        <v/>
      </c>
      <c r="M475" s="13" t="str">
        <f aca="false">IF($C475="","",IFERROR(INDEX(품목마스터!$F$3:$F$302,MATCH($C475,품목마스터!$A$3:$A$302,0)),0)+SUMIFS($L$3:$L475,$C$3:$C475,$C475))</f>
        <v/>
      </c>
    </row>
    <row r="476" customFormat="false" ht="15" hidden="false" customHeight="true" outlineLevel="0" collapsed="false">
      <c r="A476" s="11"/>
      <c r="B476" s="7"/>
      <c r="C476" s="7"/>
      <c r="D476" s="12" t="str">
        <f aca="false">IF($C476="","",IFERROR(INDEX(품목마스터!$B$3:$B$302,MATCH($C476,품목마스터!$A$3:$A$302,0)),"미등록품번"))</f>
        <v/>
      </c>
      <c r="E476" s="12" t="str">
        <f aca="false">IF($C476="","",IFERROR(INDEX(품목마스터!$C$3:$C$302,MATCH($C476,품목마스터!$A$3:$A$302,0)),""))</f>
        <v/>
      </c>
      <c r="F476" s="12" t="str">
        <f aca="false">IF($C476="","",IFERROR(INDEX(품목마스터!$D$3:$D$302,MATCH($C476,품목마스터!$A$3:$A$302,0)),""))</f>
        <v/>
      </c>
      <c r="G476" s="9"/>
      <c r="H476" s="9"/>
      <c r="I476" s="13" t="str">
        <f aca="false">IF(OR($G476="",$H476=""),"",ROUND($G476*$H476,0))</f>
        <v/>
      </c>
      <c r="J476" s="7"/>
      <c r="K476" s="7"/>
      <c r="L476" s="14" t="str">
        <f aca="false">IF(OR($C476="",$G476=""),"",IF($B476="입고",$G476,IF($B476="출고",-$G476,$G476)))</f>
        <v/>
      </c>
      <c r="M476" s="13" t="str">
        <f aca="false">IF($C476="","",IFERROR(INDEX(품목마스터!$F$3:$F$302,MATCH($C476,품목마스터!$A$3:$A$302,0)),0)+SUMIFS($L$3:$L476,$C$3:$C476,$C476))</f>
        <v/>
      </c>
    </row>
    <row r="477" customFormat="false" ht="15" hidden="false" customHeight="true" outlineLevel="0" collapsed="false">
      <c r="A477" s="11"/>
      <c r="B477" s="7"/>
      <c r="C477" s="7"/>
      <c r="D477" s="12" t="str">
        <f aca="false">IF($C477="","",IFERROR(INDEX(품목마스터!$B$3:$B$302,MATCH($C477,품목마스터!$A$3:$A$302,0)),"미등록품번"))</f>
        <v/>
      </c>
      <c r="E477" s="12" t="str">
        <f aca="false">IF($C477="","",IFERROR(INDEX(품목마스터!$C$3:$C$302,MATCH($C477,품목마스터!$A$3:$A$302,0)),""))</f>
        <v/>
      </c>
      <c r="F477" s="12" t="str">
        <f aca="false">IF($C477="","",IFERROR(INDEX(품목마스터!$D$3:$D$302,MATCH($C477,품목마스터!$A$3:$A$302,0)),""))</f>
        <v/>
      </c>
      <c r="G477" s="9"/>
      <c r="H477" s="9"/>
      <c r="I477" s="13" t="str">
        <f aca="false">IF(OR($G477="",$H477=""),"",ROUND($G477*$H477,0))</f>
        <v/>
      </c>
      <c r="J477" s="7"/>
      <c r="K477" s="7"/>
      <c r="L477" s="14" t="str">
        <f aca="false">IF(OR($C477="",$G477=""),"",IF($B477="입고",$G477,IF($B477="출고",-$G477,$G477)))</f>
        <v/>
      </c>
      <c r="M477" s="13" t="str">
        <f aca="false">IF($C477="","",IFERROR(INDEX(품목마스터!$F$3:$F$302,MATCH($C477,품목마스터!$A$3:$A$302,0)),0)+SUMIFS($L$3:$L477,$C$3:$C477,$C477))</f>
        <v/>
      </c>
    </row>
    <row r="478" customFormat="false" ht="15" hidden="false" customHeight="true" outlineLevel="0" collapsed="false">
      <c r="A478" s="11"/>
      <c r="B478" s="7"/>
      <c r="C478" s="7"/>
      <c r="D478" s="12" t="str">
        <f aca="false">IF($C478="","",IFERROR(INDEX(품목마스터!$B$3:$B$302,MATCH($C478,품목마스터!$A$3:$A$302,0)),"미등록품번"))</f>
        <v/>
      </c>
      <c r="E478" s="12" t="str">
        <f aca="false">IF($C478="","",IFERROR(INDEX(품목마스터!$C$3:$C$302,MATCH($C478,품목마스터!$A$3:$A$302,0)),""))</f>
        <v/>
      </c>
      <c r="F478" s="12" t="str">
        <f aca="false">IF($C478="","",IFERROR(INDEX(품목마스터!$D$3:$D$302,MATCH($C478,품목마스터!$A$3:$A$302,0)),""))</f>
        <v/>
      </c>
      <c r="G478" s="9"/>
      <c r="H478" s="9"/>
      <c r="I478" s="13" t="str">
        <f aca="false">IF(OR($G478="",$H478=""),"",ROUND($G478*$H478,0))</f>
        <v/>
      </c>
      <c r="J478" s="7"/>
      <c r="K478" s="7"/>
      <c r="L478" s="14" t="str">
        <f aca="false">IF(OR($C478="",$G478=""),"",IF($B478="입고",$G478,IF($B478="출고",-$G478,$G478)))</f>
        <v/>
      </c>
      <c r="M478" s="13" t="str">
        <f aca="false">IF($C478="","",IFERROR(INDEX(품목마스터!$F$3:$F$302,MATCH($C478,품목마스터!$A$3:$A$302,0)),0)+SUMIFS($L$3:$L478,$C$3:$C478,$C478))</f>
        <v/>
      </c>
    </row>
    <row r="479" customFormat="false" ht="15" hidden="false" customHeight="true" outlineLevel="0" collapsed="false">
      <c r="A479" s="11"/>
      <c r="B479" s="7"/>
      <c r="C479" s="7"/>
      <c r="D479" s="12" t="str">
        <f aca="false">IF($C479="","",IFERROR(INDEX(품목마스터!$B$3:$B$302,MATCH($C479,품목마스터!$A$3:$A$302,0)),"미등록품번"))</f>
        <v/>
      </c>
      <c r="E479" s="12" t="str">
        <f aca="false">IF($C479="","",IFERROR(INDEX(품목마스터!$C$3:$C$302,MATCH($C479,품목마스터!$A$3:$A$302,0)),""))</f>
        <v/>
      </c>
      <c r="F479" s="12" t="str">
        <f aca="false">IF($C479="","",IFERROR(INDEX(품목마스터!$D$3:$D$302,MATCH($C479,품목마스터!$A$3:$A$302,0)),""))</f>
        <v/>
      </c>
      <c r="G479" s="9"/>
      <c r="H479" s="9"/>
      <c r="I479" s="13" t="str">
        <f aca="false">IF(OR($G479="",$H479=""),"",ROUND($G479*$H479,0))</f>
        <v/>
      </c>
      <c r="J479" s="7"/>
      <c r="K479" s="7"/>
      <c r="L479" s="14" t="str">
        <f aca="false">IF(OR($C479="",$G479=""),"",IF($B479="입고",$G479,IF($B479="출고",-$G479,$G479)))</f>
        <v/>
      </c>
      <c r="M479" s="13" t="str">
        <f aca="false">IF($C479="","",IFERROR(INDEX(품목마스터!$F$3:$F$302,MATCH($C479,품목마스터!$A$3:$A$302,0)),0)+SUMIFS($L$3:$L479,$C$3:$C479,$C479))</f>
        <v/>
      </c>
    </row>
    <row r="480" customFormat="false" ht="15" hidden="false" customHeight="true" outlineLevel="0" collapsed="false">
      <c r="A480" s="11"/>
      <c r="B480" s="7"/>
      <c r="C480" s="7"/>
      <c r="D480" s="12" t="str">
        <f aca="false">IF($C480="","",IFERROR(INDEX(품목마스터!$B$3:$B$302,MATCH($C480,품목마스터!$A$3:$A$302,0)),"미등록품번"))</f>
        <v/>
      </c>
      <c r="E480" s="12" t="str">
        <f aca="false">IF($C480="","",IFERROR(INDEX(품목마스터!$C$3:$C$302,MATCH($C480,품목마스터!$A$3:$A$302,0)),""))</f>
        <v/>
      </c>
      <c r="F480" s="12" t="str">
        <f aca="false">IF($C480="","",IFERROR(INDEX(품목마스터!$D$3:$D$302,MATCH($C480,품목마스터!$A$3:$A$302,0)),""))</f>
        <v/>
      </c>
      <c r="G480" s="9"/>
      <c r="H480" s="9"/>
      <c r="I480" s="13" t="str">
        <f aca="false">IF(OR($G480="",$H480=""),"",ROUND($G480*$H480,0))</f>
        <v/>
      </c>
      <c r="J480" s="7"/>
      <c r="K480" s="7"/>
      <c r="L480" s="14" t="str">
        <f aca="false">IF(OR($C480="",$G480=""),"",IF($B480="입고",$G480,IF($B480="출고",-$G480,$G480)))</f>
        <v/>
      </c>
      <c r="M480" s="13" t="str">
        <f aca="false">IF($C480="","",IFERROR(INDEX(품목마스터!$F$3:$F$302,MATCH($C480,품목마스터!$A$3:$A$302,0)),0)+SUMIFS($L$3:$L480,$C$3:$C480,$C480))</f>
        <v/>
      </c>
    </row>
    <row r="481" customFormat="false" ht="15" hidden="false" customHeight="true" outlineLevel="0" collapsed="false">
      <c r="A481" s="11"/>
      <c r="B481" s="7"/>
      <c r="C481" s="7"/>
      <c r="D481" s="12" t="str">
        <f aca="false">IF($C481="","",IFERROR(INDEX(품목마스터!$B$3:$B$302,MATCH($C481,품목마스터!$A$3:$A$302,0)),"미등록품번"))</f>
        <v/>
      </c>
      <c r="E481" s="12" t="str">
        <f aca="false">IF($C481="","",IFERROR(INDEX(품목마스터!$C$3:$C$302,MATCH($C481,품목마스터!$A$3:$A$302,0)),""))</f>
        <v/>
      </c>
      <c r="F481" s="12" t="str">
        <f aca="false">IF($C481="","",IFERROR(INDEX(품목마스터!$D$3:$D$302,MATCH($C481,품목마스터!$A$3:$A$302,0)),""))</f>
        <v/>
      </c>
      <c r="G481" s="9"/>
      <c r="H481" s="9"/>
      <c r="I481" s="13" t="str">
        <f aca="false">IF(OR($G481="",$H481=""),"",ROUND($G481*$H481,0))</f>
        <v/>
      </c>
      <c r="J481" s="7"/>
      <c r="K481" s="7"/>
      <c r="L481" s="14" t="str">
        <f aca="false">IF(OR($C481="",$G481=""),"",IF($B481="입고",$G481,IF($B481="출고",-$G481,$G481)))</f>
        <v/>
      </c>
      <c r="M481" s="13" t="str">
        <f aca="false">IF($C481="","",IFERROR(INDEX(품목마스터!$F$3:$F$302,MATCH($C481,품목마스터!$A$3:$A$302,0)),0)+SUMIFS($L$3:$L481,$C$3:$C481,$C481))</f>
        <v/>
      </c>
    </row>
    <row r="482" customFormat="false" ht="15" hidden="false" customHeight="true" outlineLevel="0" collapsed="false">
      <c r="A482" s="11"/>
      <c r="B482" s="7"/>
      <c r="C482" s="7"/>
      <c r="D482" s="12" t="str">
        <f aca="false">IF($C482="","",IFERROR(INDEX(품목마스터!$B$3:$B$302,MATCH($C482,품목마스터!$A$3:$A$302,0)),"미등록품번"))</f>
        <v/>
      </c>
      <c r="E482" s="12" t="str">
        <f aca="false">IF($C482="","",IFERROR(INDEX(품목마스터!$C$3:$C$302,MATCH($C482,품목마스터!$A$3:$A$302,0)),""))</f>
        <v/>
      </c>
      <c r="F482" s="12" t="str">
        <f aca="false">IF($C482="","",IFERROR(INDEX(품목마스터!$D$3:$D$302,MATCH($C482,품목마스터!$A$3:$A$302,0)),""))</f>
        <v/>
      </c>
      <c r="G482" s="9"/>
      <c r="H482" s="9"/>
      <c r="I482" s="13" t="str">
        <f aca="false">IF(OR($G482="",$H482=""),"",ROUND($G482*$H482,0))</f>
        <v/>
      </c>
      <c r="J482" s="7"/>
      <c r="K482" s="7"/>
      <c r="L482" s="14" t="str">
        <f aca="false">IF(OR($C482="",$G482=""),"",IF($B482="입고",$G482,IF($B482="출고",-$G482,$G482)))</f>
        <v/>
      </c>
      <c r="M482" s="13" t="str">
        <f aca="false">IF($C482="","",IFERROR(INDEX(품목마스터!$F$3:$F$302,MATCH($C482,품목마스터!$A$3:$A$302,0)),0)+SUMIFS($L$3:$L482,$C$3:$C482,$C482))</f>
        <v/>
      </c>
    </row>
    <row r="483" customFormat="false" ht="15" hidden="false" customHeight="true" outlineLevel="0" collapsed="false">
      <c r="A483" s="11"/>
      <c r="B483" s="7"/>
      <c r="C483" s="7"/>
      <c r="D483" s="12" t="str">
        <f aca="false">IF($C483="","",IFERROR(INDEX(품목마스터!$B$3:$B$302,MATCH($C483,품목마스터!$A$3:$A$302,0)),"미등록품번"))</f>
        <v/>
      </c>
      <c r="E483" s="12" t="str">
        <f aca="false">IF($C483="","",IFERROR(INDEX(품목마스터!$C$3:$C$302,MATCH($C483,품목마스터!$A$3:$A$302,0)),""))</f>
        <v/>
      </c>
      <c r="F483" s="12" t="str">
        <f aca="false">IF($C483="","",IFERROR(INDEX(품목마스터!$D$3:$D$302,MATCH($C483,품목마스터!$A$3:$A$302,0)),""))</f>
        <v/>
      </c>
      <c r="G483" s="9"/>
      <c r="H483" s="9"/>
      <c r="I483" s="13" t="str">
        <f aca="false">IF(OR($G483="",$H483=""),"",ROUND($G483*$H483,0))</f>
        <v/>
      </c>
      <c r="J483" s="7"/>
      <c r="K483" s="7"/>
      <c r="L483" s="14" t="str">
        <f aca="false">IF(OR($C483="",$G483=""),"",IF($B483="입고",$G483,IF($B483="출고",-$G483,$G483)))</f>
        <v/>
      </c>
      <c r="M483" s="13" t="str">
        <f aca="false">IF($C483="","",IFERROR(INDEX(품목마스터!$F$3:$F$302,MATCH($C483,품목마스터!$A$3:$A$302,0)),0)+SUMIFS($L$3:$L483,$C$3:$C483,$C483))</f>
        <v/>
      </c>
    </row>
    <row r="484" customFormat="false" ht="15" hidden="false" customHeight="true" outlineLevel="0" collapsed="false">
      <c r="A484" s="11"/>
      <c r="B484" s="7"/>
      <c r="C484" s="7"/>
      <c r="D484" s="12" t="str">
        <f aca="false">IF($C484="","",IFERROR(INDEX(품목마스터!$B$3:$B$302,MATCH($C484,품목마스터!$A$3:$A$302,0)),"미등록품번"))</f>
        <v/>
      </c>
      <c r="E484" s="12" t="str">
        <f aca="false">IF($C484="","",IFERROR(INDEX(품목마스터!$C$3:$C$302,MATCH($C484,품목마스터!$A$3:$A$302,0)),""))</f>
        <v/>
      </c>
      <c r="F484" s="12" t="str">
        <f aca="false">IF($C484="","",IFERROR(INDEX(품목마스터!$D$3:$D$302,MATCH($C484,품목마스터!$A$3:$A$302,0)),""))</f>
        <v/>
      </c>
      <c r="G484" s="9"/>
      <c r="H484" s="9"/>
      <c r="I484" s="13" t="str">
        <f aca="false">IF(OR($G484="",$H484=""),"",ROUND($G484*$H484,0))</f>
        <v/>
      </c>
      <c r="J484" s="7"/>
      <c r="K484" s="7"/>
      <c r="L484" s="14" t="str">
        <f aca="false">IF(OR($C484="",$G484=""),"",IF($B484="입고",$G484,IF($B484="출고",-$G484,$G484)))</f>
        <v/>
      </c>
      <c r="M484" s="13" t="str">
        <f aca="false">IF($C484="","",IFERROR(INDEX(품목마스터!$F$3:$F$302,MATCH($C484,품목마스터!$A$3:$A$302,0)),0)+SUMIFS($L$3:$L484,$C$3:$C484,$C484))</f>
        <v/>
      </c>
    </row>
    <row r="485" customFormat="false" ht="15" hidden="false" customHeight="true" outlineLevel="0" collapsed="false">
      <c r="A485" s="11"/>
      <c r="B485" s="7"/>
      <c r="C485" s="7"/>
      <c r="D485" s="12" t="str">
        <f aca="false">IF($C485="","",IFERROR(INDEX(품목마스터!$B$3:$B$302,MATCH($C485,품목마스터!$A$3:$A$302,0)),"미등록품번"))</f>
        <v/>
      </c>
      <c r="E485" s="12" t="str">
        <f aca="false">IF($C485="","",IFERROR(INDEX(품목마스터!$C$3:$C$302,MATCH($C485,품목마스터!$A$3:$A$302,0)),""))</f>
        <v/>
      </c>
      <c r="F485" s="12" t="str">
        <f aca="false">IF($C485="","",IFERROR(INDEX(품목마스터!$D$3:$D$302,MATCH($C485,품목마스터!$A$3:$A$302,0)),""))</f>
        <v/>
      </c>
      <c r="G485" s="9"/>
      <c r="H485" s="9"/>
      <c r="I485" s="13" t="str">
        <f aca="false">IF(OR($G485="",$H485=""),"",ROUND($G485*$H485,0))</f>
        <v/>
      </c>
      <c r="J485" s="7"/>
      <c r="K485" s="7"/>
      <c r="L485" s="14" t="str">
        <f aca="false">IF(OR($C485="",$G485=""),"",IF($B485="입고",$G485,IF($B485="출고",-$G485,$G485)))</f>
        <v/>
      </c>
      <c r="M485" s="13" t="str">
        <f aca="false">IF($C485="","",IFERROR(INDEX(품목마스터!$F$3:$F$302,MATCH($C485,품목마스터!$A$3:$A$302,0)),0)+SUMIFS($L$3:$L485,$C$3:$C485,$C485))</f>
        <v/>
      </c>
    </row>
    <row r="486" customFormat="false" ht="15" hidden="false" customHeight="true" outlineLevel="0" collapsed="false">
      <c r="A486" s="11"/>
      <c r="B486" s="7"/>
      <c r="C486" s="7"/>
      <c r="D486" s="12" t="str">
        <f aca="false">IF($C486="","",IFERROR(INDEX(품목마스터!$B$3:$B$302,MATCH($C486,품목마스터!$A$3:$A$302,0)),"미등록품번"))</f>
        <v/>
      </c>
      <c r="E486" s="12" t="str">
        <f aca="false">IF($C486="","",IFERROR(INDEX(품목마스터!$C$3:$C$302,MATCH($C486,품목마스터!$A$3:$A$302,0)),""))</f>
        <v/>
      </c>
      <c r="F486" s="12" t="str">
        <f aca="false">IF($C486="","",IFERROR(INDEX(품목마스터!$D$3:$D$302,MATCH($C486,품목마스터!$A$3:$A$302,0)),""))</f>
        <v/>
      </c>
      <c r="G486" s="9"/>
      <c r="H486" s="9"/>
      <c r="I486" s="13" t="str">
        <f aca="false">IF(OR($G486="",$H486=""),"",ROUND($G486*$H486,0))</f>
        <v/>
      </c>
      <c r="J486" s="7"/>
      <c r="K486" s="7"/>
      <c r="L486" s="14" t="str">
        <f aca="false">IF(OR($C486="",$G486=""),"",IF($B486="입고",$G486,IF($B486="출고",-$G486,$G486)))</f>
        <v/>
      </c>
      <c r="M486" s="13" t="str">
        <f aca="false">IF($C486="","",IFERROR(INDEX(품목마스터!$F$3:$F$302,MATCH($C486,품목마스터!$A$3:$A$302,0)),0)+SUMIFS($L$3:$L486,$C$3:$C486,$C486))</f>
        <v/>
      </c>
    </row>
    <row r="487" customFormat="false" ht="15" hidden="false" customHeight="true" outlineLevel="0" collapsed="false">
      <c r="A487" s="11"/>
      <c r="B487" s="7"/>
      <c r="C487" s="7"/>
      <c r="D487" s="12" t="str">
        <f aca="false">IF($C487="","",IFERROR(INDEX(품목마스터!$B$3:$B$302,MATCH($C487,품목마스터!$A$3:$A$302,0)),"미등록품번"))</f>
        <v/>
      </c>
      <c r="E487" s="12" t="str">
        <f aca="false">IF($C487="","",IFERROR(INDEX(품목마스터!$C$3:$C$302,MATCH($C487,품목마스터!$A$3:$A$302,0)),""))</f>
        <v/>
      </c>
      <c r="F487" s="12" t="str">
        <f aca="false">IF($C487="","",IFERROR(INDEX(품목마스터!$D$3:$D$302,MATCH($C487,품목마스터!$A$3:$A$302,0)),""))</f>
        <v/>
      </c>
      <c r="G487" s="9"/>
      <c r="H487" s="9"/>
      <c r="I487" s="13" t="str">
        <f aca="false">IF(OR($G487="",$H487=""),"",ROUND($G487*$H487,0))</f>
        <v/>
      </c>
      <c r="J487" s="7"/>
      <c r="K487" s="7"/>
      <c r="L487" s="14" t="str">
        <f aca="false">IF(OR($C487="",$G487=""),"",IF($B487="입고",$G487,IF($B487="출고",-$G487,$G487)))</f>
        <v/>
      </c>
      <c r="M487" s="13" t="str">
        <f aca="false">IF($C487="","",IFERROR(INDEX(품목마스터!$F$3:$F$302,MATCH($C487,품목마스터!$A$3:$A$302,0)),0)+SUMIFS($L$3:$L487,$C$3:$C487,$C487))</f>
        <v/>
      </c>
    </row>
    <row r="488" customFormat="false" ht="15" hidden="false" customHeight="true" outlineLevel="0" collapsed="false">
      <c r="A488" s="11"/>
      <c r="B488" s="7"/>
      <c r="C488" s="7"/>
      <c r="D488" s="12" t="str">
        <f aca="false">IF($C488="","",IFERROR(INDEX(품목마스터!$B$3:$B$302,MATCH($C488,품목마스터!$A$3:$A$302,0)),"미등록품번"))</f>
        <v/>
      </c>
      <c r="E488" s="12" t="str">
        <f aca="false">IF($C488="","",IFERROR(INDEX(품목마스터!$C$3:$C$302,MATCH($C488,품목마스터!$A$3:$A$302,0)),""))</f>
        <v/>
      </c>
      <c r="F488" s="12" t="str">
        <f aca="false">IF($C488="","",IFERROR(INDEX(품목마스터!$D$3:$D$302,MATCH($C488,품목마스터!$A$3:$A$302,0)),""))</f>
        <v/>
      </c>
      <c r="G488" s="9"/>
      <c r="H488" s="9"/>
      <c r="I488" s="13" t="str">
        <f aca="false">IF(OR($G488="",$H488=""),"",ROUND($G488*$H488,0))</f>
        <v/>
      </c>
      <c r="J488" s="7"/>
      <c r="K488" s="7"/>
      <c r="L488" s="14" t="str">
        <f aca="false">IF(OR($C488="",$G488=""),"",IF($B488="입고",$G488,IF($B488="출고",-$G488,$G488)))</f>
        <v/>
      </c>
      <c r="M488" s="13" t="str">
        <f aca="false">IF($C488="","",IFERROR(INDEX(품목마스터!$F$3:$F$302,MATCH($C488,품목마스터!$A$3:$A$302,0)),0)+SUMIFS($L$3:$L488,$C$3:$C488,$C488))</f>
        <v/>
      </c>
    </row>
    <row r="489" customFormat="false" ht="15" hidden="false" customHeight="true" outlineLevel="0" collapsed="false">
      <c r="A489" s="11"/>
      <c r="B489" s="7"/>
      <c r="C489" s="7"/>
      <c r="D489" s="12" t="str">
        <f aca="false">IF($C489="","",IFERROR(INDEX(품목마스터!$B$3:$B$302,MATCH($C489,품목마스터!$A$3:$A$302,0)),"미등록품번"))</f>
        <v/>
      </c>
      <c r="E489" s="12" t="str">
        <f aca="false">IF($C489="","",IFERROR(INDEX(품목마스터!$C$3:$C$302,MATCH($C489,품목마스터!$A$3:$A$302,0)),""))</f>
        <v/>
      </c>
      <c r="F489" s="12" t="str">
        <f aca="false">IF($C489="","",IFERROR(INDEX(품목마스터!$D$3:$D$302,MATCH($C489,품목마스터!$A$3:$A$302,0)),""))</f>
        <v/>
      </c>
      <c r="G489" s="9"/>
      <c r="H489" s="9"/>
      <c r="I489" s="13" t="str">
        <f aca="false">IF(OR($G489="",$H489=""),"",ROUND($G489*$H489,0))</f>
        <v/>
      </c>
      <c r="J489" s="7"/>
      <c r="K489" s="7"/>
      <c r="L489" s="14" t="str">
        <f aca="false">IF(OR($C489="",$G489=""),"",IF($B489="입고",$G489,IF($B489="출고",-$G489,$G489)))</f>
        <v/>
      </c>
      <c r="M489" s="13" t="str">
        <f aca="false">IF($C489="","",IFERROR(INDEX(품목마스터!$F$3:$F$302,MATCH($C489,품목마스터!$A$3:$A$302,0)),0)+SUMIFS($L$3:$L489,$C$3:$C489,$C489))</f>
        <v/>
      </c>
    </row>
    <row r="490" customFormat="false" ht="15" hidden="false" customHeight="true" outlineLevel="0" collapsed="false">
      <c r="A490" s="11"/>
      <c r="B490" s="7"/>
      <c r="C490" s="7"/>
      <c r="D490" s="12" t="str">
        <f aca="false">IF($C490="","",IFERROR(INDEX(품목마스터!$B$3:$B$302,MATCH($C490,품목마스터!$A$3:$A$302,0)),"미등록품번"))</f>
        <v/>
      </c>
      <c r="E490" s="12" t="str">
        <f aca="false">IF($C490="","",IFERROR(INDEX(품목마스터!$C$3:$C$302,MATCH($C490,품목마스터!$A$3:$A$302,0)),""))</f>
        <v/>
      </c>
      <c r="F490" s="12" t="str">
        <f aca="false">IF($C490="","",IFERROR(INDEX(품목마스터!$D$3:$D$302,MATCH($C490,품목마스터!$A$3:$A$302,0)),""))</f>
        <v/>
      </c>
      <c r="G490" s="9"/>
      <c r="H490" s="9"/>
      <c r="I490" s="13" t="str">
        <f aca="false">IF(OR($G490="",$H490=""),"",ROUND($G490*$H490,0))</f>
        <v/>
      </c>
      <c r="J490" s="7"/>
      <c r="K490" s="7"/>
      <c r="L490" s="14" t="str">
        <f aca="false">IF(OR($C490="",$G490=""),"",IF($B490="입고",$G490,IF($B490="출고",-$G490,$G490)))</f>
        <v/>
      </c>
      <c r="M490" s="13" t="str">
        <f aca="false">IF($C490="","",IFERROR(INDEX(품목마스터!$F$3:$F$302,MATCH($C490,품목마스터!$A$3:$A$302,0)),0)+SUMIFS($L$3:$L490,$C$3:$C490,$C490))</f>
        <v/>
      </c>
    </row>
    <row r="491" customFormat="false" ht="15" hidden="false" customHeight="true" outlineLevel="0" collapsed="false">
      <c r="A491" s="11"/>
      <c r="B491" s="7"/>
      <c r="C491" s="7"/>
      <c r="D491" s="12" t="str">
        <f aca="false">IF($C491="","",IFERROR(INDEX(품목마스터!$B$3:$B$302,MATCH($C491,품목마스터!$A$3:$A$302,0)),"미등록품번"))</f>
        <v/>
      </c>
      <c r="E491" s="12" t="str">
        <f aca="false">IF($C491="","",IFERROR(INDEX(품목마스터!$C$3:$C$302,MATCH($C491,품목마스터!$A$3:$A$302,0)),""))</f>
        <v/>
      </c>
      <c r="F491" s="12" t="str">
        <f aca="false">IF($C491="","",IFERROR(INDEX(품목마스터!$D$3:$D$302,MATCH($C491,품목마스터!$A$3:$A$302,0)),""))</f>
        <v/>
      </c>
      <c r="G491" s="9"/>
      <c r="H491" s="9"/>
      <c r="I491" s="13" t="str">
        <f aca="false">IF(OR($G491="",$H491=""),"",ROUND($G491*$H491,0))</f>
        <v/>
      </c>
      <c r="J491" s="7"/>
      <c r="K491" s="7"/>
      <c r="L491" s="14" t="str">
        <f aca="false">IF(OR($C491="",$G491=""),"",IF($B491="입고",$G491,IF($B491="출고",-$G491,$G491)))</f>
        <v/>
      </c>
      <c r="M491" s="13" t="str">
        <f aca="false">IF($C491="","",IFERROR(INDEX(품목마스터!$F$3:$F$302,MATCH($C491,품목마스터!$A$3:$A$302,0)),0)+SUMIFS($L$3:$L491,$C$3:$C491,$C491))</f>
        <v/>
      </c>
    </row>
    <row r="492" customFormat="false" ht="15" hidden="false" customHeight="true" outlineLevel="0" collapsed="false">
      <c r="A492" s="11"/>
      <c r="B492" s="7"/>
      <c r="C492" s="7"/>
      <c r="D492" s="12" t="str">
        <f aca="false">IF($C492="","",IFERROR(INDEX(품목마스터!$B$3:$B$302,MATCH($C492,품목마스터!$A$3:$A$302,0)),"미등록품번"))</f>
        <v/>
      </c>
      <c r="E492" s="12" t="str">
        <f aca="false">IF($C492="","",IFERROR(INDEX(품목마스터!$C$3:$C$302,MATCH($C492,품목마스터!$A$3:$A$302,0)),""))</f>
        <v/>
      </c>
      <c r="F492" s="12" t="str">
        <f aca="false">IF($C492="","",IFERROR(INDEX(품목마스터!$D$3:$D$302,MATCH($C492,품목마스터!$A$3:$A$302,0)),""))</f>
        <v/>
      </c>
      <c r="G492" s="9"/>
      <c r="H492" s="9"/>
      <c r="I492" s="13" t="str">
        <f aca="false">IF(OR($G492="",$H492=""),"",ROUND($G492*$H492,0))</f>
        <v/>
      </c>
      <c r="J492" s="7"/>
      <c r="K492" s="7"/>
      <c r="L492" s="14" t="str">
        <f aca="false">IF(OR($C492="",$G492=""),"",IF($B492="입고",$G492,IF($B492="출고",-$G492,$G492)))</f>
        <v/>
      </c>
      <c r="M492" s="13" t="str">
        <f aca="false">IF($C492="","",IFERROR(INDEX(품목마스터!$F$3:$F$302,MATCH($C492,품목마스터!$A$3:$A$302,0)),0)+SUMIFS($L$3:$L492,$C$3:$C492,$C492))</f>
        <v/>
      </c>
    </row>
    <row r="493" customFormat="false" ht="15" hidden="false" customHeight="true" outlineLevel="0" collapsed="false">
      <c r="A493" s="11"/>
      <c r="B493" s="7"/>
      <c r="C493" s="7"/>
      <c r="D493" s="12" t="str">
        <f aca="false">IF($C493="","",IFERROR(INDEX(품목마스터!$B$3:$B$302,MATCH($C493,품목마스터!$A$3:$A$302,0)),"미등록품번"))</f>
        <v/>
      </c>
      <c r="E493" s="12" t="str">
        <f aca="false">IF($C493="","",IFERROR(INDEX(품목마스터!$C$3:$C$302,MATCH($C493,품목마스터!$A$3:$A$302,0)),""))</f>
        <v/>
      </c>
      <c r="F493" s="12" t="str">
        <f aca="false">IF($C493="","",IFERROR(INDEX(품목마스터!$D$3:$D$302,MATCH($C493,품목마스터!$A$3:$A$302,0)),""))</f>
        <v/>
      </c>
      <c r="G493" s="9"/>
      <c r="H493" s="9"/>
      <c r="I493" s="13" t="str">
        <f aca="false">IF(OR($G493="",$H493=""),"",ROUND($G493*$H493,0))</f>
        <v/>
      </c>
      <c r="J493" s="7"/>
      <c r="K493" s="7"/>
      <c r="L493" s="14" t="str">
        <f aca="false">IF(OR($C493="",$G493=""),"",IF($B493="입고",$G493,IF($B493="출고",-$G493,$G493)))</f>
        <v/>
      </c>
      <c r="M493" s="13" t="str">
        <f aca="false">IF($C493="","",IFERROR(INDEX(품목마스터!$F$3:$F$302,MATCH($C493,품목마스터!$A$3:$A$302,0)),0)+SUMIFS($L$3:$L493,$C$3:$C493,$C493))</f>
        <v/>
      </c>
    </row>
    <row r="494" customFormat="false" ht="15" hidden="false" customHeight="true" outlineLevel="0" collapsed="false">
      <c r="A494" s="11"/>
      <c r="B494" s="7"/>
      <c r="C494" s="7"/>
      <c r="D494" s="12" t="str">
        <f aca="false">IF($C494="","",IFERROR(INDEX(품목마스터!$B$3:$B$302,MATCH($C494,품목마스터!$A$3:$A$302,0)),"미등록품번"))</f>
        <v/>
      </c>
      <c r="E494" s="12" t="str">
        <f aca="false">IF($C494="","",IFERROR(INDEX(품목마스터!$C$3:$C$302,MATCH($C494,품목마스터!$A$3:$A$302,0)),""))</f>
        <v/>
      </c>
      <c r="F494" s="12" t="str">
        <f aca="false">IF($C494="","",IFERROR(INDEX(품목마스터!$D$3:$D$302,MATCH($C494,품목마스터!$A$3:$A$302,0)),""))</f>
        <v/>
      </c>
      <c r="G494" s="9"/>
      <c r="H494" s="9"/>
      <c r="I494" s="13" t="str">
        <f aca="false">IF(OR($G494="",$H494=""),"",ROUND($G494*$H494,0))</f>
        <v/>
      </c>
      <c r="J494" s="7"/>
      <c r="K494" s="7"/>
      <c r="L494" s="14" t="str">
        <f aca="false">IF(OR($C494="",$G494=""),"",IF($B494="입고",$G494,IF($B494="출고",-$G494,$G494)))</f>
        <v/>
      </c>
      <c r="M494" s="13" t="str">
        <f aca="false">IF($C494="","",IFERROR(INDEX(품목마스터!$F$3:$F$302,MATCH($C494,품목마스터!$A$3:$A$302,0)),0)+SUMIFS($L$3:$L494,$C$3:$C494,$C494))</f>
        <v/>
      </c>
    </row>
    <row r="495" customFormat="false" ht="15" hidden="false" customHeight="true" outlineLevel="0" collapsed="false">
      <c r="A495" s="11"/>
      <c r="B495" s="7"/>
      <c r="C495" s="7"/>
      <c r="D495" s="12" t="str">
        <f aca="false">IF($C495="","",IFERROR(INDEX(품목마스터!$B$3:$B$302,MATCH($C495,품목마스터!$A$3:$A$302,0)),"미등록품번"))</f>
        <v/>
      </c>
      <c r="E495" s="12" t="str">
        <f aca="false">IF($C495="","",IFERROR(INDEX(품목마스터!$C$3:$C$302,MATCH($C495,품목마스터!$A$3:$A$302,0)),""))</f>
        <v/>
      </c>
      <c r="F495" s="12" t="str">
        <f aca="false">IF($C495="","",IFERROR(INDEX(품목마스터!$D$3:$D$302,MATCH($C495,품목마스터!$A$3:$A$302,0)),""))</f>
        <v/>
      </c>
      <c r="G495" s="9"/>
      <c r="H495" s="9"/>
      <c r="I495" s="13" t="str">
        <f aca="false">IF(OR($G495="",$H495=""),"",ROUND($G495*$H495,0))</f>
        <v/>
      </c>
      <c r="J495" s="7"/>
      <c r="K495" s="7"/>
      <c r="L495" s="14" t="str">
        <f aca="false">IF(OR($C495="",$G495=""),"",IF($B495="입고",$G495,IF($B495="출고",-$G495,$G495)))</f>
        <v/>
      </c>
      <c r="M495" s="13" t="str">
        <f aca="false">IF($C495="","",IFERROR(INDEX(품목마스터!$F$3:$F$302,MATCH($C495,품목마스터!$A$3:$A$302,0)),0)+SUMIFS($L$3:$L495,$C$3:$C495,$C495))</f>
        <v/>
      </c>
    </row>
    <row r="496" customFormat="false" ht="15" hidden="false" customHeight="true" outlineLevel="0" collapsed="false">
      <c r="A496" s="11"/>
      <c r="B496" s="7"/>
      <c r="C496" s="7"/>
      <c r="D496" s="12" t="str">
        <f aca="false">IF($C496="","",IFERROR(INDEX(품목마스터!$B$3:$B$302,MATCH($C496,품목마스터!$A$3:$A$302,0)),"미등록품번"))</f>
        <v/>
      </c>
      <c r="E496" s="12" t="str">
        <f aca="false">IF($C496="","",IFERROR(INDEX(품목마스터!$C$3:$C$302,MATCH($C496,품목마스터!$A$3:$A$302,0)),""))</f>
        <v/>
      </c>
      <c r="F496" s="12" t="str">
        <f aca="false">IF($C496="","",IFERROR(INDEX(품목마스터!$D$3:$D$302,MATCH($C496,품목마스터!$A$3:$A$302,0)),""))</f>
        <v/>
      </c>
      <c r="G496" s="9"/>
      <c r="H496" s="9"/>
      <c r="I496" s="13" t="str">
        <f aca="false">IF(OR($G496="",$H496=""),"",ROUND($G496*$H496,0))</f>
        <v/>
      </c>
      <c r="J496" s="7"/>
      <c r="K496" s="7"/>
      <c r="L496" s="14" t="str">
        <f aca="false">IF(OR($C496="",$G496=""),"",IF($B496="입고",$G496,IF($B496="출고",-$G496,$G496)))</f>
        <v/>
      </c>
      <c r="M496" s="13" t="str">
        <f aca="false">IF($C496="","",IFERROR(INDEX(품목마스터!$F$3:$F$302,MATCH($C496,품목마스터!$A$3:$A$302,0)),0)+SUMIFS($L$3:$L496,$C$3:$C496,$C496))</f>
        <v/>
      </c>
    </row>
    <row r="497" customFormat="false" ht="15" hidden="false" customHeight="true" outlineLevel="0" collapsed="false">
      <c r="A497" s="11"/>
      <c r="B497" s="7"/>
      <c r="C497" s="7"/>
      <c r="D497" s="12" t="str">
        <f aca="false">IF($C497="","",IFERROR(INDEX(품목마스터!$B$3:$B$302,MATCH($C497,품목마스터!$A$3:$A$302,0)),"미등록품번"))</f>
        <v/>
      </c>
      <c r="E497" s="12" t="str">
        <f aca="false">IF($C497="","",IFERROR(INDEX(품목마스터!$C$3:$C$302,MATCH($C497,품목마스터!$A$3:$A$302,0)),""))</f>
        <v/>
      </c>
      <c r="F497" s="12" t="str">
        <f aca="false">IF($C497="","",IFERROR(INDEX(품목마스터!$D$3:$D$302,MATCH($C497,품목마스터!$A$3:$A$302,0)),""))</f>
        <v/>
      </c>
      <c r="G497" s="9"/>
      <c r="H497" s="9"/>
      <c r="I497" s="13" t="str">
        <f aca="false">IF(OR($G497="",$H497=""),"",ROUND($G497*$H497,0))</f>
        <v/>
      </c>
      <c r="J497" s="7"/>
      <c r="K497" s="7"/>
      <c r="L497" s="14" t="str">
        <f aca="false">IF(OR($C497="",$G497=""),"",IF($B497="입고",$G497,IF($B497="출고",-$G497,$G497)))</f>
        <v/>
      </c>
      <c r="M497" s="13" t="str">
        <f aca="false">IF($C497="","",IFERROR(INDEX(품목마스터!$F$3:$F$302,MATCH($C497,품목마스터!$A$3:$A$302,0)),0)+SUMIFS($L$3:$L497,$C$3:$C497,$C497))</f>
        <v/>
      </c>
    </row>
    <row r="498" customFormat="false" ht="15" hidden="false" customHeight="true" outlineLevel="0" collapsed="false">
      <c r="A498" s="11"/>
      <c r="B498" s="7"/>
      <c r="C498" s="7"/>
      <c r="D498" s="12" t="str">
        <f aca="false">IF($C498="","",IFERROR(INDEX(품목마스터!$B$3:$B$302,MATCH($C498,품목마스터!$A$3:$A$302,0)),"미등록품번"))</f>
        <v/>
      </c>
      <c r="E498" s="12" t="str">
        <f aca="false">IF($C498="","",IFERROR(INDEX(품목마스터!$C$3:$C$302,MATCH($C498,품목마스터!$A$3:$A$302,0)),""))</f>
        <v/>
      </c>
      <c r="F498" s="12" t="str">
        <f aca="false">IF($C498="","",IFERROR(INDEX(품목마스터!$D$3:$D$302,MATCH($C498,품목마스터!$A$3:$A$302,0)),""))</f>
        <v/>
      </c>
      <c r="G498" s="9"/>
      <c r="H498" s="9"/>
      <c r="I498" s="13" t="str">
        <f aca="false">IF(OR($G498="",$H498=""),"",ROUND($G498*$H498,0))</f>
        <v/>
      </c>
      <c r="J498" s="7"/>
      <c r="K498" s="7"/>
      <c r="L498" s="14" t="str">
        <f aca="false">IF(OR($C498="",$G498=""),"",IF($B498="입고",$G498,IF($B498="출고",-$G498,$G498)))</f>
        <v/>
      </c>
      <c r="M498" s="13" t="str">
        <f aca="false">IF($C498="","",IFERROR(INDEX(품목마스터!$F$3:$F$302,MATCH($C498,품목마스터!$A$3:$A$302,0)),0)+SUMIFS($L$3:$L498,$C$3:$C498,$C498))</f>
        <v/>
      </c>
    </row>
    <row r="499" customFormat="false" ht="15" hidden="false" customHeight="true" outlineLevel="0" collapsed="false">
      <c r="A499" s="11"/>
      <c r="B499" s="7"/>
      <c r="C499" s="7"/>
      <c r="D499" s="12" t="str">
        <f aca="false">IF($C499="","",IFERROR(INDEX(품목마스터!$B$3:$B$302,MATCH($C499,품목마스터!$A$3:$A$302,0)),"미등록품번"))</f>
        <v/>
      </c>
      <c r="E499" s="12" t="str">
        <f aca="false">IF($C499="","",IFERROR(INDEX(품목마스터!$C$3:$C$302,MATCH($C499,품목마스터!$A$3:$A$302,0)),""))</f>
        <v/>
      </c>
      <c r="F499" s="12" t="str">
        <f aca="false">IF($C499="","",IFERROR(INDEX(품목마스터!$D$3:$D$302,MATCH($C499,품목마스터!$A$3:$A$302,0)),""))</f>
        <v/>
      </c>
      <c r="G499" s="9"/>
      <c r="H499" s="9"/>
      <c r="I499" s="13" t="str">
        <f aca="false">IF(OR($G499="",$H499=""),"",ROUND($G499*$H499,0))</f>
        <v/>
      </c>
      <c r="J499" s="7"/>
      <c r="K499" s="7"/>
      <c r="L499" s="14" t="str">
        <f aca="false">IF(OR($C499="",$G499=""),"",IF($B499="입고",$G499,IF($B499="출고",-$G499,$G499)))</f>
        <v/>
      </c>
      <c r="M499" s="13" t="str">
        <f aca="false">IF($C499="","",IFERROR(INDEX(품목마스터!$F$3:$F$302,MATCH($C499,품목마스터!$A$3:$A$302,0)),0)+SUMIFS($L$3:$L499,$C$3:$C499,$C499))</f>
        <v/>
      </c>
    </row>
    <row r="500" customFormat="false" ht="15" hidden="false" customHeight="true" outlineLevel="0" collapsed="false">
      <c r="A500" s="11"/>
      <c r="B500" s="7"/>
      <c r="C500" s="7"/>
      <c r="D500" s="12" t="str">
        <f aca="false">IF($C500="","",IFERROR(INDEX(품목마스터!$B$3:$B$302,MATCH($C500,품목마스터!$A$3:$A$302,0)),"미등록품번"))</f>
        <v/>
      </c>
      <c r="E500" s="12" t="str">
        <f aca="false">IF($C500="","",IFERROR(INDEX(품목마스터!$C$3:$C$302,MATCH($C500,품목마스터!$A$3:$A$302,0)),""))</f>
        <v/>
      </c>
      <c r="F500" s="12" t="str">
        <f aca="false">IF($C500="","",IFERROR(INDEX(품목마스터!$D$3:$D$302,MATCH($C500,품목마스터!$A$3:$A$302,0)),""))</f>
        <v/>
      </c>
      <c r="G500" s="9"/>
      <c r="H500" s="9"/>
      <c r="I500" s="13" t="str">
        <f aca="false">IF(OR($G500="",$H500=""),"",ROUND($G500*$H500,0))</f>
        <v/>
      </c>
      <c r="J500" s="7"/>
      <c r="K500" s="7"/>
      <c r="L500" s="14" t="str">
        <f aca="false">IF(OR($C500="",$G500=""),"",IF($B500="입고",$G500,IF($B500="출고",-$G500,$G500)))</f>
        <v/>
      </c>
      <c r="M500" s="13" t="str">
        <f aca="false">IF($C500="","",IFERROR(INDEX(품목마스터!$F$3:$F$302,MATCH($C500,품목마스터!$A$3:$A$302,0)),0)+SUMIFS($L$3:$L500,$C$3:$C500,$C500))</f>
        <v/>
      </c>
    </row>
    <row r="501" customFormat="false" ht="15" hidden="false" customHeight="true" outlineLevel="0" collapsed="false">
      <c r="A501" s="11"/>
      <c r="B501" s="7"/>
      <c r="C501" s="7"/>
      <c r="D501" s="12" t="str">
        <f aca="false">IF($C501="","",IFERROR(INDEX(품목마스터!$B$3:$B$302,MATCH($C501,품목마스터!$A$3:$A$302,0)),"미등록품번"))</f>
        <v/>
      </c>
      <c r="E501" s="12" t="str">
        <f aca="false">IF($C501="","",IFERROR(INDEX(품목마스터!$C$3:$C$302,MATCH($C501,품목마스터!$A$3:$A$302,0)),""))</f>
        <v/>
      </c>
      <c r="F501" s="12" t="str">
        <f aca="false">IF($C501="","",IFERROR(INDEX(품목마스터!$D$3:$D$302,MATCH($C501,품목마스터!$A$3:$A$302,0)),""))</f>
        <v/>
      </c>
      <c r="G501" s="9"/>
      <c r="H501" s="9"/>
      <c r="I501" s="13" t="str">
        <f aca="false">IF(OR($G501="",$H501=""),"",ROUND($G501*$H501,0))</f>
        <v/>
      </c>
      <c r="J501" s="7"/>
      <c r="K501" s="7"/>
      <c r="L501" s="14" t="str">
        <f aca="false">IF(OR($C501="",$G501=""),"",IF($B501="입고",$G501,IF($B501="출고",-$G501,$G501)))</f>
        <v/>
      </c>
      <c r="M501" s="13" t="str">
        <f aca="false">IF($C501="","",IFERROR(INDEX(품목마스터!$F$3:$F$302,MATCH($C501,품목마스터!$A$3:$A$302,0)),0)+SUMIFS($L$3:$L501,$C$3:$C501,$C501))</f>
        <v/>
      </c>
    </row>
    <row r="502" customFormat="false" ht="15" hidden="false" customHeight="true" outlineLevel="0" collapsed="false">
      <c r="A502" s="11"/>
      <c r="B502" s="7"/>
      <c r="C502" s="7"/>
      <c r="D502" s="12" t="str">
        <f aca="false">IF($C502="","",IFERROR(INDEX(품목마스터!$B$3:$B$302,MATCH($C502,품목마스터!$A$3:$A$302,0)),"미등록품번"))</f>
        <v/>
      </c>
      <c r="E502" s="12" t="str">
        <f aca="false">IF($C502="","",IFERROR(INDEX(품목마스터!$C$3:$C$302,MATCH($C502,품목마스터!$A$3:$A$302,0)),""))</f>
        <v/>
      </c>
      <c r="F502" s="12" t="str">
        <f aca="false">IF($C502="","",IFERROR(INDEX(품목마스터!$D$3:$D$302,MATCH($C502,품목마스터!$A$3:$A$302,0)),""))</f>
        <v/>
      </c>
      <c r="G502" s="9"/>
      <c r="H502" s="9"/>
      <c r="I502" s="13" t="str">
        <f aca="false">IF(OR($G502="",$H502=""),"",ROUND($G502*$H502,0))</f>
        <v/>
      </c>
      <c r="J502" s="7"/>
      <c r="K502" s="7"/>
      <c r="L502" s="14" t="str">
        <f aca="false">IF(OR($C502="",$G502=""),"",IF($B502="입고",$G502,IF($B502="출고",-$G502,$G502)))</f>
        <v/>
      </c>
      <c r="M502" s="13" t="str">
        <f aca="false">IF($C502="","",IFERROR(INDEX(품목마스터!$F$3:$F$302,MATCH($C502,품목마스터!$A$3:$A$302,0)),0)+SUMIFS($L$3:$L502,$C$3:$C502,$C502))</f>
        <v/>
      </c>
    </row>
    <row r="503" customFormat="false" ht="15" hidden="false" customHeight="true" outlineLevel="0" collapsed="false">
      <c r="A503" s="11"/>
      <c r="B503" s="7"/>
      <c r="C503" s="7"/>
      <c r="D503" s="12" t="str">
        <f aca="false">IF($C503="","",IFERROR(INDEX(품목마스터!$B$3:$B$302,MATCH($C503,품목마스터!$A$3:$A$302,0)),"미등록품번"))</f>
        <v/>
      </c>
      <c r="E503" s="12" t="str">
        <f aca="false">IF($C503="","",IFERROR(INDEX(품목마스터!$C$3:$C$302,MATCH($C503,품목마스터!$A$3:$A$302,0)),""))</f>
        <v/>
      </c>
      <c r="F503" s="12" t="str">
        <f aca="false">IF($C503="","",IFERROR(INDEX(품목마스터!$D$3:$D$302,MATCH($C503,품목마스터!$A$3:$A$302,0)),""))</f>
        <v/>
      </c>
      <c r="G503" s="9"/>
      <c r="H503" s="9"/>
      <c r="I503" s="13" t="str">
        <f aca="false">IF(OR($G503="",$H503=""),"",ROUND($G503*$H503,0))</f>
        <v/>
      </c>
      <c r="J503" s="7"/>
      <c r="K503" s="7"/>
      <c r="L503" s="14" t="str">
        <f aca="false">IF(OR($C503="",$G503=""),"",IF($B503="입고",$G503,IF($B503="출고",-$G503,$G503)))</f>
        <v/>
      </c>
      <c r="M503" s="13" t="str">
        <f aca="false">IF($C503="","",IFERROR(INDEX(품목마스터!$F$3:$F$302,MATCH($C503,품목마스터!$A$3:$A$302,0)),0)+SUMIFS($L$3:$L503,$C$3:$C503,$C503))</f>
        <v/>
      </c>
    </row>
    <row r="504" customFormat="false" ht="15" hidden="false" customHeight="true" outlineLevel="0" collapsed="false">
      <c r="A504" s="11"/>
      <c r="B504" s="7"/>
      <c r="C504" s="7"/>
      <c r="D504" s="12" t="str">
        <f aca="false">IF($C504="","",IFERROR(INDEX(품목마스터!$B$3:$B$302,MATCH($C504,품목마스터!$A$3:$A$302,0)),"미등록품번"))</f>
        <v/>
      </c>
      <c r="E504" s="12" t="str">
        <f aca="false">IF($C504="","",IFERROR(INDEX(품목마스터!$C$3:$C$302,MATCH($C504,품목마스터!$A$3:$A$302,0)),""))</f>
        <v/>
      </c>
      <c r="F504" s="12" t="str">
        <f aca="false">IF($C504="","",IFERROR(INDEX(품목마스터!$D$3:$D$302,MATCH($C504,품목마스터!$A$3:$A$302,0)),""))</f>
        <v/>
      </c>
      <c r="G504" s="9"/>
      <c r="H504" s="9"/>
      <c r="I504" s="13" t="str">
        <f aca="false">IF(OR($G504="",$H504=""),"",ROUND($G504*$H504,0))</f>
        <v/>
      </c>
      <c r="J504" s="7"/>
      <c r="K504" s="7"/>
      <c r="L504" s="14" t="str">
        <f aca="false">IF(OR($C504="",$G504=""),"",IF($B504="입고",$G504,IF($B504="출고",-$G504,$G504)))</f>
        <v/>
      </c>
      <c r="M504" s="13" t="str">
        <f aca="false">IF($C504="","",IFERROR(INDEX(품목마스터!$F$3:$F$302,MATCH($C504,품목마스터!$A$3:$A$302,0)),0)+SUMIFS($L$3:$L504,$C$3:$C504,$C504))</f>
        <v/>
      </c>
    </row>
    <row r="505" customFormat="false" ht="15" hidden="false" customHeight="true" outlineLevel="0" collapsed="false">
      <c r="A505" s="11"/>
      <c r="B505" s="7"/>
      <c r="C505" s="7"/>
      <c r="D505" s="12" t="str">
        <f aca="false">IF($C505="","",IFERROR(INDEX(품목마스터!$B$3:$B$302,MATCH($C505,품목마스터!$A$3:$A$302,0)),"미등록품번"))</f>
        <v/>
      </c>
      <c r="E505" s="12" t="str">
        <f aca="false">IF($C505="","",IFERROR(INDEX(품목마스터!$C$3:$C$302,MATCH($C505,품목마스터!$A$3:$A$302,0)),""))</f>
        <v/>
      </c>
      <c r="F505" s="12" t="str">
        <f aca="false">IF($C505="","",IFERROR(INDEX(품목마스터!$D$3:$D$302,MATCH($C505,품목마스터!$A$3:$A$302,0)),""))</f>
        <v/>
      </c>
      <c r="G505" s="9"/>
      <c r="H505" s="9"/>
      <c r="I505" s="13" t="str">
        <f aca="false">IF(OR($G505="",$H505=""),"",ROUND($G505*$H505,0))</f>
        <v/>
      </c>
      <c r="J505" s="7"/>
      <c r="K505" s="7"/>
      <c r="L505" s="14" t="str">
        <f aca="false">IF(OR($C505="",$G505=""),"",IF($B505="입고",$G505,IF($B505="출고",-$G505,$G505)))</f>
        <v/>
      </c>
      <c r="M505" s="13" t="str">
        <f aca="false">IF($C505="","",IFERROR(INDEX(품목마스터!$F$3:$F$302,MATCH($C505,품목마스터!$A$3:$A$302,0)),0)+SUMIFS($L$3:$L505,$C$3:$C505,$C505))</f>
        <v/>
      </c>
    </row>
    <row r="506" customFormat="false" ht="15" hidden="false" customHeight="true" outlineLevel="0" collapsed="false">
      <c r="A506" s="11"/>
      <c r="B506" s="7"/>
      <c r="C506" s="7"/>
      <c r="D506" s="12" t="str">
        <f aca="false">IF($C506="","",IFERROR(INDEX(품목마스터!$B$3:$B$302,MATCH($C506,품목마스터!$A$3:$A$302,0)),"미등록품번"))</f>
        <v/>
      </c>
      <c r="E506" s="12" t="str">
        <f aca="false">IF($C506="","",IFERROR(INDEX(품목마스터!$C$3:$C$302,MATCH($C506,품목마스터!$A$3:$A$302,0)),""))</f>
        <v/>
      </c>
      <c r="F506" s="12" t="str">
        <f aca="false">IF($C506="","",IFERROR(INDEX(품목마스터!$D$3:$D$302,MATCH($C506,품목마스터!$A$3:$A$302,0)),""))</f>
        <v/>
      </c>
      <c r="G506" s="9"/>
      <c r="H506" s="9"/>
      <c r="I506" s="13" t="str">
        <f aca="false">IF(OR($G506="",$H506=""),"",ROUND($G506*$H506,0))</f>
        <v/>
      </c>
      <c r="J506" s="7"/>
      <c r="K506" s="7"/>
      <c r="L506" s="14" t="str">
        <f aca="false">IF(OR($C506="",$G506=""),"",IF($B506="입고",$G506,IF($B506="출고",-$G506,$G506)))</f>
        <v/>
      </c>
      <c r="M506" s="13" t="str">
        <f aca="false">IF($C506="","",IFERROR(INDEX(품목마스터!$F$3:$F$302,MATCH($C506,품목마스터!$A$3:$A$302,0)),0)+SUMIFS($L$3:$L506,$C$3:$C506,$C506))</f>
        <v/>
      </c>
    </row>
    <row r="507" customFormat="false" ht="15" hidden="false" customHeight="true" outlineLevel="0" collapsed="false">
      <c r="A507" s="11"/>
      <c r="B507" s="7"/>
      <c r="C507" s="7"/>
      <c r="D507" s="12" t="str">
        <f aca="false">IF($C507="","",IFERROR(INDEX(품목마스터!$B$3:$B$302,MATCH($C507,품목마스터!$A$3:$A$302,0)),"미등록품번"))</f>
        <v/>
      </c>
      <c r="E507" s="12" t="str">
        <f aca="false">IF($C507="","",IFERROR(INDEX(품목마스터!$C$3:$C$302,MATCH($C507,품목마스터!$A$3:$A$302,0)),""))</f>
        <v/>
      </c>
      <c r="F507" s="12" t="str">
        <f aca="false">IF($C507="","",IFERROR(INDEX(품목마스터!$D$3:$D$302,MATCH($C507,품목마스터!$A$3:$A$302,0)),""))</f>
        <v/>
      </c>
      <c r="G507" s="9"/>
      <c r="H507" s="9"/>
      <c r="I507" s="13" t="str">
        <f aca="false">IF(OR($G507="",$H507=""),"",ROUND($G507*$H507,0))</f>
        <v/>
      </c>
      <c r="J507" s="7"/>
      <c r="K507" s="7"/>
      <c r="L507" s="14" t="str">
        <f aca="false">IF(OR($C507="",$G507=""),"",IF($B507="입고",$G507,IF($B507="출고",-$G507,$G507)))</f>
        <v/>
      </c>
      <c r="M507" s="13" t="str">
        <f aca="false">IF($C507="","",IFERROR(INDEX(품목마스터!$F$3:$F$302,MATCH($C507,품목마스터!$A$3:$A$302,0)),0)+SUMIFS($L$3:$L507,$C$3:$C507,$C507))</f>
        <v/>
      </c>
    </row>
    <row r="508" customFormat="false" ht="15" hidden="false" customHeight="true" outlineLevel="0" collapsed="false">
      <c r="A508" s="11"/>
      <c r="B508" s="7"/>
      <c r="C508" s="7"/>
      <c r="D508" s="12" t="str">
        <f aca="false">IF($C508="","",IFERROR(INDEX(품목마스터!$B$3:$B$302,MATCH($C508,품목마스터!$A$3:$A$302,0)),"미등록품번"))</f>
        <v/>
      </c>
      <c r="E508" s="12" t="str">
        <f aca="false">IF($C508="","",IFERROR(INDEX(품목마스터!$C$3:$C$302,MATCH($C508,품목마스터!$A$3:$A$302,0)),""))</f>
        <v/>
      </c>
      <c r="F508" s="12" t="str">
        <f aca="false">IF($C508="","",IFERROR(INDEX(품목마스터!$D$3:$D$302,MATCH($C508,품목마스터!$A$3:$A$302,0)),""))</f>
        <v/>
      </c>
      <c r="G508" s="9"/>
      <c r="H508" s="9"/>
      <c r="I508" s="13" t="str">
        <f aca="false">IF(OR($G508="",$H508=""),"",ROUND($G508*$H508,0))</f>
        <v/>
      </c>
      <c r="J508" s="7"/>
      <c r="K508" s="7"/>
      <c r="L508" s="14" t="str">
        <f aca="false">IF(OR($C508="",$G508=""),"",IF($B508="입고",$G508,IF($B508="출고",-$G508,$G508)))</f>
        <v/>
      </c>
      <c r="M508" s="13" t="str">
        <f aca="false">IF($C508="","",IFERROR(INDEX(품목마스터!$F$3:$F$302,MATCH($C508,품목마스터!$A$3:$A$302,0)),0)+SUMIFS($L$3:$L508,$C$3:$C508,$C508))</f>
        <v/>
      </c>
    </row>
    <row r="509" customFormat="false" ht="15" hidden="false" customHeight="true" outlineLevel="0" collapsed="false">
      <c r="A509" s="11"/>
      <c r="B509" s="7"/>
      <c r="C509" s="7"/>
      <c r="D509" s="12" t="str">
        <f aca="false">IF($C509="","",IFERROR(INDEX(품목마스터!$B$3:$B$302,MATCH($C509,품목마스터!$A$3:$A$302,0)),"미등록품번"))</f>
        <v/>
      </c>
      <c r="E509" s="12" t="str">
        <f aca="false">IF($C509="","",IFERROR(INDEX(품목마스터!$C$3:$C$302,MATCH($C509,품목마스터!$A$3:$A$302,0)),""))</f>
        <v/>
      </c>
      <c r="F509" s="12" t="str">
        <f aca="false">IF($C509="","",IFERROR(INDEX(품목마스터!$D$3:$D$302,MATCH($C509,품목마스터!$A$3:$A$302,0)),""))</f>
        <v/>
      </c>
      <c r="G509" s="9"/>
      <c r="H509" s="9"/>
      <c r="I509" s="13" t="str">
        <f aca="false">IF(OR($G509="",$H509=""),"",ROUND($G509*$H509,0))</f>
        <v/>
      </c>
      <c r="J509" s="7"/>
      <c r="K509" s="7"/>
      <c r="L509" s="14" t="str">
        <f aca="false">IF(OR($C509="",$G509=""),"",IF($B509="입고",$G509,IF($B509="출고",-$G509,$G509)))</f>
        <v/>
      </c>
      <c r="M509" s="13" t="str">
        <f aca="false">IF($C509="","",IFERROR(INDEX(품목마스터!$F$3:$F$302,MATCH($C509,품목마스터!$A$3:$A$302,0)),0)+SUMIFS($L$3:$L509,$C$3:$C509,$C509))</f>
        <v/>
      </c>
    </row>
    <row r="510" customFormat="false" ht="15" hidden="false" customHeight="true" outlineLevel="0" collapsed="false">
      <c r="A510" s="11"/>
      <c r="B510" s="7"/>
      <c r="C510" s="7"/>
      <c r="D510" s="12" t="str">
        <f aca="false">IF($C510="","",IFERROR(INDEX(품목마스터!$B$3:$B$302,MATCH($C510,품목마스터!$A$3:$A$302,0)),"미등록품번"))</f>
        <v/>
      </c>
      <c r="E510" s="12" t="str">
        <f aca="false">IF($C510="","",IFERROR(INDEX(품목마스터!$C$3:$C$302,MATCH($C510,품목마스터!$A$3:$A$302,0)),""))</f>
        <v/>
      </c>
      <c r="F510" s="12" t="str">
        <f aca="false">IF($C510="","",IFERROR(INDEX(품목마스터!$D$3:$D$302,MATCH($C510,품목마스터!$A$3:$A$302,0)),""))</f>
        <v/>
      </c>
      <c r="G510" s="9"/>
      <c r="H510" s="9"/>
      <c r="I510" s="13" t="str">
        <f aca="false">IF(OR($G510="",$H510=""),"",ROUND($G510*$H510,0))</f>
        <v/>
      </c>
      <c r="J510" s="7"/>
      <c r="K510" s="7"/>
      <c r="L510" s="14" t="str">
        <f aca="false">IF(OR($C510="",$G510=""),"",IF($B510="입고",$G510,IF($B510="출고",-$G510,$G510)))</f>
        <v/>
      </c>
      <c r="M510" s="13" t="str">
        <f aca="false">IF($C510="","",IFERROR(INDEX(품목마스터!$F$3:$F$302,MATCH($C510,품목마스터!$A$3:$A$302,0)),0)+SUMIFS($L$3:$L510,$C$3:$C510,$C510))</f>
        <v/>
      </c>
    </row>
    <row r="511" customFormat="false" ht="15" hidden="false" customHeight="true" outlineLevel="0" collapsed="false">
      <c r="A511" s="11"/>
      <c r="B511" s="7"/>
      <c r="C511" s="7"/>
      <c r="D511" s="12" t="str">
        <f aca="false">IF($C511="","",IFERROR(INDEX(품목마스터!$B$3:$B$302,MATCH($C511,품목마스터!$A$3:$A$302,0)),"미등록품번"))</f>
        <v/>
      </c>
      <c r="E511" s="12" t="str">
        <f aca="false">IF($C511="","",IFERROR(INDEX(품목마스터!$C$3:$C$302,MATCH($C511,품목마스터!$A$3:$A$302,0)),""))</f>
        <v/>
      </c>
      <c r="F511" s="12" t="str">
        <f aca="false">IF($C511="","",IFERROR(INDEX(품목마스터!$D$3:$D$302,MATCH($C511,품목마스터!$A$3:$A$302,0)),""))</f>
        <v/>
      </c>
      <c r="G511" s="9"/>
      <c r="H511" s="9"/>
      <c r="I511" s="13" t="str">
        <f aca="false">IF(OR($G511="",$H511=""),"",ROUND($G511*$H511,0))</f>
        <v/>
      </c>
      <c r="J511" s="7"/>
      <c r="K511" s="7"/>
      <c r="L511" s="14" t="str">
        <f aca="false">IF(OR($C511="",$G511=""),"",IF($B511="입고",$G511,IF($B511="출고",-$G511,$G511)))</f>
        <v/>
      </c>
      <c r="M511" s="13" t="str">
        <f aca="false">IF($C511="","",IFERROR(INDEX(품목마스터!$F$3:$F$302,MATCH($C511,품목마스터!$A$3:$A$302,0)),0)+SUMIFS($L$3:$L511,$C$3:$C511,$C511))</f>
        <v/>
      </c>
    </row>
    <row r="512" customFormat="false" ht="15" hidden="false" customHeight="true" outlineLevel="0" collapsed="false">
      <c r="A512" s="11"/>
      <c r="B512" s="7"/>
      <c r="C512" s="7"/>
      <c r="D512" s="12" t="str">
        <f aca="false">IF($C512="","",IFERROR(INDEX(품목마스터!$B$3:$B$302,MATCH($C512,품목마스터!$A$3:$A$302,0)),"미등록품번"))</f>
        <v/>
      </c>
      <c r="E512" s="12" t="str">
        <f aca="false">IF($C512="","",IFERROR(INDEX(품목마스터!$C$3:$C$302,MATCH($C512,품목마스터!$A$3:$A$302,0)),""))</f>
        <v/>
      </c>
      <c r="F512" s="12" t="str">
        <f aca="false">IF($C512="","",IFERROR(INDEX(품목마스터!$D$3:$D$302,MATCH($C512,품목마스터!$A$3:$A$302,0)),""))</f>
        <v/>
      </c>
      <c r="G512" s="9"/>
      <c r="H512" s="9"/>
      <c r="I512" s="13" t="str">
        <f aca="false">IF(OR($G512="",$H512=""),"",ROUND($G512*$H512,0))</f>
        <v/>
      </c>
      <c r="J512" s="7"/>
      <c r="K512" s="7"/>
      <c r="L512" s="14" t="str">
        <f aca="false">IF(OR($C512="",$G512=""),"",IF($B512="입고",$G512,IF($B512="출고",-$G512,$G512)))</f>
        <v/>
      </c>
      <c r="M512" s="13" t="str">
        <f aca="false">IF($C512="","",IFERROR(INDEX(품목마스터!$F$3:$F$302,MATCH($C512,품목마스터!$A$3:$A$302,0)),0)+SUMIFS($L$3:$L512,$C$3:$C512,$C512))</f>
        <v/>
      </c>
    </row>
    <row r="513" customFormat="false" ht="15" hidden="false" customHeight="true" outlineLevel="0" collapsed="false">
      <c r="A513" s="11"/>
      <c r="B513" s="7"/>
      <c r="C513" s="7"/>
      <c r="D513" s="12" t="str">
        <f aca="false">IF($C513="","",IFERROR(INDEX(품목마스터!$B$3:$B$302,MATCH($C513,품목마스터!$A$3:$A$302,0)),"미등록품번"))</f>
        <v/>
      </c>
      <c r="E513" s="12" t="str">
        <f aca="false">IF($C513="","",IFERROR(INDEX(품목마스터!$C$3:$C$302,MATCH($C513,품목마스터!$A$3:$A$302,0)),""))</f>
        <v/>
      </c>
      <c r="F513" s="12" t="str">
        <f aca="false">IF($C513="","",IFERROR(INDEX(품목마스터!$D$3:$D$302,MATCH($C513,품목마스터!$A$3:$A$302,0)),""))</f>
        <v/>
      </c>
      <c r="G513" s="9"/>
      <c r="H513" s="9"/>
      <c r="I513" s="13" t="str">
        <f aca="false">IF(OR($G513="",$H513=""),"",ROUND($G513*$H513,0))</f>
        <v/>
      </c>
      <c r="J513" s="7"/>
      <c r="K513" s="7"/>
      <c r="L513" s="14" t="str">
        <f aca="false">IF(OR($C513="",$G513=""),"",IF($B513="입고",$G513,IF($B513="출고",-$G513,$G513)))</f>
        <v/>
      </c>
      <c r="M513" s="13" t="str">
        <f aca="false">IF($C513="","",IFERROR(INDEX(품목마스터!$F$3:$F$302,MATCH($C513,품목마스터!$A$3:$A$302,0)),0)+SUMIFS($L$3:$L513,$C$3:$C513,$C513))</f>
        <v/>
      </c>
    </row>
    <row r="514" customFormat="false" ht="15" hidden="false" customHeight="true" outlineLevel="0" collapsed="false">
      <c r="A514" s="11"/>
      <c r="B514" s="7"/>
      <c r="C514" s="7"/>
      <c r="D514" s="12" t="str">
        <f aca="false">IF($C514="","",IFERROR(INDEX(품목마스터!$B$3:$B$302,MATCH($C514,품목마스터!$A$3:$A$302,0)),"미등록품번"))</f>
        <v/>
      </c>
      <c r="E514" s="12" t="str">
        <f aca="false">IF($C514="","",IFERROR(INDEX(품목마스터!$C$3:$C$302,MATCH($C514,품목마스터!$A$3:$A$302,0)),""))</f>
        <v/>
      </c>
      <c r="F514" s="12" t="str">
        <f aca="false">IF($C514="","",IFERROR(INDEX(품목마스터!$D$3:$D$302,MATCH($C514,품목마스터!$A$3:$A$302,0)),""))</f>
        <v/>
      </c>
      <c r="G514" s="9"/>
      <c r="H514" s="9"/>
      <c r="I514" s="13" t="str">
        <f aca="false">IF(OR($G514="",$H514=""),"",ROUND($G514*$H514,0))</f>
        <v/>
      </c>
      <c r="J514" s="7"/>
      <c r="K514" s="7"/>
      <c r="L514" s="14" t="str">
        <f aca="false">IF(OR($C514="",$G514=""),"",IF($B514="입고",$G514,IF($B514="출고",-$G514,$G514)))</f>
        <v/>
      </c>
      <c r="M514" s="13" t="str">
        <f aca="false">IF($C514="","",IFERROR(INDEX(품목마스터!$F$3:$F$302,MATCH($C514,품목마스터!$A$3:$A$302,0)),0)+SUMIFS($L$3:$L514,$C$3:$C514,$C514))</f>
        <v/>
      </c>
    </row>
    <row r="515" customFormat="false" ht="15" hidden="false" customHeight="true" outlineLevel="0" collapsed="false">
      <c r="A515" s="11"/>
      <c r="B515" s="7"/>
      <c r="C515" s="7"/>
      <c r="D515" s="12" t="str">
        <f aca="false">IF($C515="","",IFERROR(INDEX(품목마스터!$B$3:$B$302,MATCH($C515,품목마스터!$A$3:$A$302,0)),"미등록품번"))</f>
        <v/>
      </c>
      <c r="E515" s="12" t="str">
        <f aca="false">IF($C515="","",IFERROR(INDEX(품목마스터!$C$3:$C$302,MATCH($C515,품목마스터!$A$3:$A$302,0)),""))</f>
        <v/>
      </c>
      <c r="F515" s="12" t="str">
        <f aca="false">IF($C515="","",IFERROR(INDEX(품목마스터!$D$3:$D$302,MATCH($C515,품목마스터!$A$3:$A$302,0)),""))</f>
        <v/>
      </c>
      <c r="G515" s="9"/>
      <c r="H515" s="9"/>
      <c r="I515" s="13" t="str">
        <f aca="false">IF(OR($G515="",$H515=""),"",ROUND($G515*$H515,0))</f>
        <v/>
      </c>
      <c r="J515" s="7"/>
      <c r="K515" s="7"/>
      <c r="L515" s="14" t="str">
        <f aca="false">IF(OR($C515="",$G515=""),"",IF($B515="입고",$G515,IF($B515="출고",-$G515,$G515)))</f>
        <v/>
      </c>
      <c r="M515" s="13" t="str">
        <f aca="false">IF($C515="","",IFERROR(INDEX(품목마스터!$F$3:$F$302,MATCH($C515,품목마스터!$A$3:$A$302,0)),0)+SUMIFS($L$3:$L515,$C$3:$C515,$C515))</f>
        <v/>
      </c>
    </row>
    <row r="516" customFormat="false" ht="15" hidden="false" customHeight="true" outlineLevel="0" collapsed="false">
      <c r="A516" s="11"/>
      <c r="B516" s="7"/>
      <c r="C516" s="7"/>
      <c r="D516" s="12" t="str">
        <f aca="false">IF($C516="","",IFERROR(INDEX(품목마스터!$B$3:$B$302,MATCH($C516,품목마스터!$A$3:$A$302,0)),"미등록품번"))</f>
        <v/>
      </c>
      <c r="E516" s="12" t="str">
        <f aca="false">IF($C516="","",IFERROR(INDEX(품목마스터!$C$3:$C$302,MATCH($C516,품목마스터!$A$3:$A$302,0)),""))</f>
        <v/>
      </c>
      <c r="F516" s="12" t="str">
        <f aca="false">IF($C516="","",IFERROR(INDEX(품목마스터!$D$3:$D$302,MATCH($C516,품목마스터!$A$3:$A$302,0)),""))</f>
        <v/>
      </c>
      <c r="G516" s="9"/>
      <c r="H516" s="9"/>
      <c r="I516" s="13" t="str">
        <f aca="false">IF(OR($G516="",$H516=""),"",ROUND($G516*$H516,0))</f>
        <v/>
      </c>
      <c r="J516" s="7"/>
      <c r="K516" s="7"/>
      <c r="L516" s="14" t="str">
        <f aca="false">IF(OR($C516="",$G516=""),"",IF($B516="입고",$G516,IF($B516="출고",-$G516,$G516)))</f>
        <v/>
      </c>
      <c r="M516" s="13" t="str">
        <f aca="false">IF($C516="","",IFERROR(INDEX(품목마스터!$F$3:$F$302,MATCH($C516,품목마스터!$A$3:$A$302,0)),0)+SUMIFS($L$3:$L516,$C$3:$C516,$C516))</f>
        <v/>
      </c>
    </row>
    <row r="517" customFormat="false" ht="15" hidden="false" customHeight="true" outlineLevel="0" collapsed="false">
      <c r="A517" s="11"/>
      <c r="B517" s="7"/>
      <c r="C517" s="7"/>
      <c r="D517" s="12" t="str">
        <f aca="false">IF($C517="","",IFERROR(INDEX(품목마스터!$B$3:$B$302,MATCH($C517,품목마스터!$A$3:$A$302,0)),"미등록품번"))</f>
        <v/>
      </c>
      <c r="E517" s="12" t="str">
        <f aca="false">IF($C517="","",IFERROR(INDEX(품목마스터!$C$3:$C$302,MATCH($C517,품목마스터!$A$3:$A$302,0)),""))</f>
        <v/>
      </c>
      <c r="F517" s="12" t="str">
        <f aca="false">IF($C517="","",IFERROR(INDEX(품목마스터!$D$3:$D$302,MATCH($C517,품목마스터!$A$3:$A$302,0)),""))</f>
        <v/>
      </c>
      <c r="G517" s="9"/>
      <c r="H517" s="9"/>
      <c r="I517" s="13" t="str">
        <f aca="false">IF(OR($G517="",$H517=""),"",ROUND($G517*$H517,0))</f>
        <v/>
      </c>
      <c r="J517" s="7"/>
      <c r="K517" s="7"/>
      <c r="L517" s="14" t="str">
        <f aca="false">IF(OR($C517="",$G517=""),"",IF($B517="입고",$G517,IF($B517="출고",-$G517,$G517)))</f>
        <v/>
      </c>
      <c r="M517" s="13" t="str">
        <f aca="false">IF($C517="","",IFERROR(INDEX(품목마스터!$F$3:$F$302,MATCH($C517,품목마스터!$A$3:$A$302,0)),0)+SUMIFS($L$3:$L517,$C$3:$C517,$C517))</f>
        <v/>
      </c>
    </row>
    <row r="518" customFormat="false" ht="15" hidden="false" customHeight="true" outlineLevel="0" collapsed="false">
      <c r="A518" s="11"/>
      <c r="B518" s="7"/>
      <c r="C518" s="7"/>
      <c r="D518" s="12" t="str">
        <f aca="false">IF($C518="","",IFERROR(INDEX(품목마스터!$B$3:$B$302,MATCH($C518,품목마스터!$A$3:$A$302,0)),"미등록품번"))</f>
        <v/>
      </c>
      <c r="E518" s="12" t="str">
        <f aca="false">IF($C518="","",IFERROR(INDEX(품목마스터!$C$3:$C$302,MATCH($C518,품목마스터!$A$3:$A$302,0)),""))</f>
        <v/>
      </c>
      <c r="F518" s="12" t="str">
        <f aca="false">IF($C518="","",IFERROR(INDEX(품목마스터!$D$3:$D$302,MATCH($C518,품목마스터!$A$3:$A$302,0)),""))</f>
        <v/>
      </c>
      <c r="G518" s="9"/>
      <c r="H518" s="9"/>
      <c r="I518" s="13" t="str">
        <f aca="false">IF(OR($G518="",$H518=""),"",ROUND($G518*$H518,0))</f>
        <v/>
      </c>
      <c r="J518" s="7"/>
      <c r="K518" s="7"/>
      <c r="L518" s="14" t="str">
        <f aca="false">IF(OR($C518="",$G518=""),"",IF($B518="입고",$G518,IF($B518="출고",-$G518,$G518)))</f>
        <v/>
      </c>
      <c r="M518" s="13" t="str">
        <f aca="false">IF($C518="","",IFERROR(INDEX(품목마스터!$F$3:$F$302,MATCH($C518,품목마스터!$A$3:$A$302,0)),0)+SUMIFS($L$3:$L518,$C$3:$C518,$C518))</f>
        <v/>
      </c>
    </row>
    <row r="519" customFormat="false" ht="15" hidden="false" customHeight="true" outlineLevel="0" collapsed="false">
      <c r="A519" s="11"/>
      <c r="B519" s="7"/>
      <c r="C519" s="7"/>
      <c r="D519" s="12" t="str">
        <f aca="false">IF($C519="","",IFERROR(INDEX(품목마스터!$B$3:$B$302,MATCH($C519,품목마스터!$A$3:$A$302,0)),"미등록품번"))</f>
        <v/>
      </c>
      <c r="E519" s="12" t="str">
        <f aca="false">IF($C519="","",IFERROR(INDEX(품목마스터!$C$3:$C$302,MATCH($C519,품목마스터!$A$3:$A$302,0)),""))</f>
        <v/>
      </c>
      <c r="F519" s="12" t="str">
        <f aca="false">IF($C519="","",IFERROR(INDEX(품목마스터!$D$3:$D$302,MATCH($C519,품목마스터!$A$3:$A$302,0)),""))</f>
        <v/>
      </c>
      <c r="G519" s="9"/>
      <c r="H519" s="9"/>
      <c r="I519" s="13" t="str">
        <f aca="false">IF(OR($G519="",$H519=""),"",ROUND($G519*$H519,0))</f>
        <v/>
      </c>
      <c r="J519" s="7"/>
      <c r="K519" s="7"/>
      <c r="L519" s="14" t="str">
        <f aca="false">IF(OR($C519="",$G519=""),"",IF($B519="입고",$G519,IF($B519="출고",-$G519,$G519)))</f>
        <v/>
      </c>
      <c r="M519" s="13" t="str">
        <f aca="false">IF($C519="","",IFERROR(INDEX(품목마스터!$F$3:$F$302,MATCH($C519,품목마스터!$A$3:$A$302,0)),0)+SUMIFS($L$3:$L519,$C$3:$C519,$C519))</f>
        <v/>
      </c>
    </row>
    <row r="520" customFormat="false" ht="15" hidden="false" customHeight="true" outlineLevel="0" collapsed="false">
      <c r="A520" s="11"/>
      <c r="B520" s="7"/>
      <c r="C520" s="7"/>
      <c r="D520" s="12" t="str">
        <f aca="false">IF($C520="","",IFERROR(INDEX(품목마스터!$B$3:$B$302,MATCH($C520,품목마스터!$A$3:$A$302,0)),"미등록품번"))</f>
        <v/>
      </c>
      <c r="E520" s="12" t="str">
        <f aca="false">IF($C520="","",IFERROR(INDEX(품목마스터!$C$3:$C$302,MATCH($C520,품목마스터!$A$3:$A$302,0)),""))</f>
        <v/>
      </c>
      <c r="F520" s="12" t="str">
        <f aca="false">IF($C520="","",IFERROR(INDEX(품목마스터!$D$3:$D$302,MATCH($C520,품목마스터!$A$3:$A$302,0)),""))</f>
        <v/>
      </c>
      <c r="G520" s="9"/>
      <c r="H520" s="9"/>
      <c r="I520" s="13" t="str">
        <f aca="false">IF(OR($G520="",$H520=""),"",ROUND($G520*$H520,0))</f>
        <v/>
      </c>
      <c r="J520" s="7"/>
      <c r="K520" s="7"/>
      <c r="L520" s="14" t="str">
        <f aca="false">IF(OR($C520="",$G520=""),"",IF($B520="입고",$G520,IF($B520="출고",-$G520,$G520)))</f>
        <v/>
      </c>
      <c r="M520" s="13" t="str">
        <f aca="false">IF($C520="","",IFERROR(INDEX(품목마스터!$F$3:$F$302,MATCH($C520,품목마스터!$A$3:$A$302,0)),0)+SUMIFS($L$3:$L520,$C$3:$C520,$C520))</f>
        <v/>
      </c>
    </row>
    <row r="521" customFormat="false" ht="15" hidden="false" customHeight="true" outlineLevel="0" collapsed="false">
      <c r="A521" s="11"/>
      <c r="B521" s="7"/>
      <c r="C521" s="7"/>
      <c r="D521" s="12" t="str">
        <f aca="false">IF($C521="","",IFERROR(INDEX(품목마스터!$B$3:$B$302,MATCH($C521,품목마스터!$A$3:$A$302,0)),"미등록품번"))</f>
        <v/>
      </c>
      <c r="E521" s="12" t="str">
        <f aca="false">IF($C521="","",IFERROR(INDEX(품목마스터!$C$3:$C$302,MATCH($C521,품목마스터!$A$3:$A$302,0)),""))</f>
        <v/>
      </c>
      <c r="F521" s="12" t="str">
        <f aca="false">IF($C521="","",IFERROR(INDEX(품목마스터!$D$3:$D$302,MATCH($C521,품목마스터!$A$3:$A$302,0)),""))</f>
        <v/>
      </c>
      <c r="G521" s="9"/>
      <c r="H521" s="9"/>
      <c r="I521" s="13" t="str">
        <f aca="false">IF(OR($G521="",$H521=""),"",ROUND($G521*$H521,0))</f>
        <v/>
      </c>
      <c r="J521" s="7"/>
      <c r="K521" s="7"/>
      <c r="L521" s="14" t="str">
        <f aca="false">IF(OR($C521="",$G521=""),"",IF($B521="입고",$G521,IF($B521="출고",-$G521,$G521)))</f>
        <v/>
      </c>
      <c r="M521" s="13" t="str">
        <f aca="false">IF($C521="","",IFERROR(INDEX(품목마스터!$F$3:$F$302,MATCH($C521,품목마스터!$A$3:$A$302,0)),0)+SUMIFS($L$3:$L521,$C$3:$C521,$C521))</f>
        <v/>
      </c>
    </row>
    <row r="522" customFormat="false" ht="15" hidden="false" customHeight="true" outlineLevel="0" collapsed="false">
      <c r="A522" s="11"/>
      <c r="B522" s="7"/>
      <c r="C522" s="7"/>
      <c r="D522" s="12" t="str">
        <f aca="false">IF($C522="","",IFERROR(INDEX(품목마스터!$B$3:$B$302,MATCH($C522,품목마스터!$A$3:$A$302,0)),"미등록품번"))</f>
        <v/>
      </c>
      <c r="E522" s="12" t="str">
        <f aca="false">IF($C522="","",IFERROR(INDEX(품목마스터!$C$3:$C$302,MATCH($C522,품목마스터!$A$3:$A$302,0)),""))</f>
        <v/>
      </c>
      <c r="F522" s="12" t="str">
        <f aca="false">IF($C522="","",IFERROR(INDEX(품목마스터!$D$3:$D$302,MATCH($C522,품목마스터!$A$3:$A$302,0)),""))</f>
        <v/>
      </c>
      <c r="G522" s="9"/>
      <c r="H522" s="9"/>
      <c r="I522" s="13" t="str">
        <f aca="false">IF(OR($G522="",$H522=""),"",ROUND($G522*$H522,0))</f>
        <v/>
      </c>
      <c r="J522" s="7"/>
      <c r="K522" s="7"/>
      <c r="L522" s="14" t="str">
        <f aca="false">IF(OR($C522="",$G522=""),"",IF($B522="입고",$G522,IF($B522="출고",-$G522,$G522)))</f>
        <v/>
      </c>
      <c r="M522" s="13" t="str">
        <f aca="false">IF($C522="","",IFERROR(INDEX(품목마스터!$F$3:$F$302,MATCH($C522,품목마스터!$A$3:$A$302,0)),0)+SUMIFS($L$3:$L522,$C$3:$C522,$C522))</f>
        <v/>
      </c>
    </row>
    <row r="523" customFormat="false" ht="15" hidden="false" customHeight="true" outlineLevel="0" collapsed="false">
      <c r="A523" s="11"/>
      <c r="B523" s="7"/>
      <c r="C523" s="7"/>
      <c r="D523" s="12" t="str">
        <f aca="false">IF($C523="","",IFERROR(INDEX(품목마스터!$B$3:$B$302,MATCH($C523,품목마스터!$A$3:$A$302,0)),"미등록품번"))</f>
        <v/>
      </c>
      <c r="E523" s="12" t="str">
        <f aca="false">IF($C523="","",IFERROR(INDEX(품목마스터!$C$3:$C$302,MATCH($C523,품목마스터!$A$3:$A$302,0)),""))</f>
        <v/>
      </c>
      <c r="F523" s="12" t="str">
        <f aca="false">IF($C523="","",IFERROR(INDEX(품목마스터!$D$3:$D$302,MATCH($C523,품목마스터!$A$3:$A$302,0)),""))</f>
        <v/>
      </c>
      <c r="G523" s="9"/>
      <c r="H523" s="9"/>
      <c r="I523" s="13" t="str">
        <f aca="false">IF(OR($G523="",$H523=""),"",ROUND($G523*$H523,0))</f>
        <v/>
      </c>
      <c r="J523" s="7"/>
      <c r="K523" s="7"/>
      <c r="L523" s="14" t="str">
        <f aca="false">IF(OR($C523="",$G523=""),"",IF($B523="입고",$G523,IF($B523="출고",-$G523,$G523)))</f>
        <v/>
      </c>
      <c r="M523" s="13" t="str">
        <f aca="false">IF($C523="","",IFERROR(INDEX(품목마스터!$F$3:$F$302,MATCH($C523,품목마스터!$A$3:$A$302,0)),0)+SUMIFS($L$3:$L523,$C$3:$C523,$C523))</f>
        <v/>
      </c>
    </row>
    <row r="524" customFormat="false" ht="15" hidden="false" customHeight="true" outlineLevel="0" collapsed="false">
      <c r="A524" s="11"/>
      <c r="B524" s="7"/>
      <c r="C524" s="7"/>
      <c r="D524" s="12" t="str">
        <f aca="false">IF($C524="","",IFERROR(INDEX(품목마스터!$B$3:$B$302,MATCH($C524,품목마스터!$A$3:$A$302,0)),"미등록품번"))</f>
        <v/>
      </c>
      <c r="E524" s="12" t="str">
        <f aca="false">IF($C524="","",IFERROR(INDEX(품목마스터!$C$3:$C$302,MATCH($C524,품목마스터!$A$3:$A$302,0)),""))</f>
        <v/>
      </c>
      <c r="F524" s="12" t="str">
        <f aca="false">IF($C524="","",IFERROR(INDEX(품목마스터!$D$3:$D$302,MATCH($C524,품목마스터!$A$3:$A$302,0)),""))</f>
        <v/>
      </c>
      <c r="G524" s="9"/>
      <c r="H524" s="9"/>
      <c r="I524" s="13" t="str">
        <f aca="false">IF(OR($G524="",$H524=""),"",ROUND($G524*$H524,0))</f>
        <v/>
      </c>
      <c r="J524" s="7"/>
      <c r="K524" s="7"/>
      <c r="L524" s="14" t="str">
        <f aca="false">IF(OR($C524="",$G524=""),"",IF($B524="입고",$G524,IF($B524="출고",-$G524,$G524)))</f>
        <v/>
      </c>
      <c r="M524" s="13" t="str">
        <f aca="false">IF($C524="","",IFERROR(INDEX(품목마스터!$F$3:$F$302,MATCH($C524,품목마스터!$A$3:$A$302,0)),0)+SUMIFS($L$3:$L524,$C$3:$C524,$C524))</f>
        <v/>
      </c>
    </row>
    <row r="525" customFormat="false" ht="15" hidden="false" customHeight="true" outlineLevel="0" collapsed="false">
      <c r="A525" s="11"/>
      <c r="B525" s="7"/>
      <c r="C525" s="7"/>
      <c r="D525" s="12" t="str">
        <f aca="false">IF($C525="","",IFERROR(INDEX(품목마스터!$B$3:$B$302,MATCH($C525,품목마스터!$A$3:$A$302,0)),"미등록품번"))</f>
        <v/>
      </c>
      <c r="E525" s="12" t="str">
        <f aca="false">IF($C525="","",IFERROR(INDEX(품목마스터!$C$3:$C$302,MATCH($C525,품목마스터!$A$3:$A$302,0)),""))</f>
        <v/>
      </c>
      <c r="F525" s="12" t="str">
        <f aca="false">IF($C525="","",IFERROR(INDEX(품목마스터!$D$3:$D$302,MATCH($C525,품목마스터!$A$3:$A$302,0)),""))</f>
        <v/>
      </c>
      <c r="G525" s="9"/>
      <c r="H525" s="9"/>
      <c r="I525" s="13" t="str">
        <f aca="false">IF(OR($G525="",$H525=""),"",ROUND($G525*$H525,0))</f>
        <v/>
      </c>
      <c r="J525" s="7"/>
      <c r="K525" s="7"/>
      <c r="L525" s="14" t="str">
        <f aca="false">IF(OR($C525="",$G525=""),"",IF($B525="입고",$G525,IF($B525="출고",-$G525,$G525)))</f>
        <v/>
      </c>
      <c r="M525" s="13" t="str">
        <f aca="false">IF($C525="","",IFERROR(INDEX(품목마스터!$F$3:$F$302,MATCH($C525,품목마스터!$A$3:$A$302,0)),0)+SUMIFS($L$3:$L525,$C$3:$C525,$C525))</f>
        <v/>
      </c>
    </row>
    <row r="526" customFormat="false" ht="15" hidden="false" customHeight="true" outlineLevel="0" collapsed="false">
      <c r="A526" s="11"/>
      <c r="B526" s="7"/>
      <c r="C526" s="7"/>
      <c r="D526" s="12" t="str">
        <f aca="false">IF($C526="","",IFERROR(INDEX(품목마스터!$B$3:$B$302,MATCH($C526,품목마스터!$A$3:$A$302,0)),"미등록품번"))</f>
        <v/>
      </c>
      <c r="E526" s="12" t="str">
        <f aca="false">IF($C526="","",IFERROR(INDEX(품목마스터!$C$3:$C$302,MATCH($C526,품목마스터!$A$3:$A$302,0)),""))</f>
        <v/>
      </c>
      <c r="F526" s="12" t="str">
        <f aca="false">IF($C526="","",IFERROR(INDEX(품목마스터!$D$3:$D$302,MATCH($C526,품목마스터!$A$3:$A$302,0)),""))</f>
        <v/>
      </c>
      <c r="G526" s="9"/>
      <c r="H526" s="9"/>
      <c r="I526" s="13" t="str">
        <f aca="false">IF(OR($G526="",$H526=""),"",ROUND($G526*$H526,0))</f>
        <v/>
      </c>
      <c r="J526" s="7"/>
      <c r="K526" s="7"/>
      <c r="L526" s="14" t="str">
        <f aca="false">IF(OR($C526="",$G526=""),"",IF($B526="입고",$G526,IF($B526="출고",-$G526,$G526)))</f>
        <v/>
      </c>
      <c r="M526" s="13" t="str">
        <f aca="false">IF($C526="","",IFERROR(INDEX(품목마스터!$F$3:$F$302,MATCH($C526,품목마스터!$A$3:$A$302,0)),0)+SUMIFS($L$3:$L526,$C$3:$C526,$C526))</f>
        <v/>
      </c>
    </row>
    <row r="527" customFormat="false" ht="15" hidden="false" customHeight="true" outlineLevel="0" collapsed="false">
      <c r="A527" s="11"/>
      <c r="B527" s="7"/>
      <c r="C527" s="7"/>
      <c r="D527" s="12" t="str">
        <f aca="false">IF($C527="","",IFERROR(INDEX(품목마스터!$B$3:$B$302,MATCH($C527,품목마스터!$A$3:$A$302,0)),"미등록품번"))</f>
        <v/>
      </c>
      <c r="E527" s="12" t="str">
        <f aca="false">IF($C527="","",IFERROR(INDEX(품목마스터!$C$3:$C$302,MATCH($C527,품목마스터!$A$3:$A$302,0)),""))</f>
        <v/>
      </c>
      <c r="F527" s="12" t="str">
        <f aca="false">IF($C527="","",IFERROR(INDEX(품목마스터!$D$3:$D$302,MATCH($C527,품목마스터!$A$3:$A$302,0)),""))</f>
        <v/>
      </c>
      <c r="G527" s="9"/>
      <c r="H527" s="9"/>
      <c r="I527" s="13" t="str">
        <f aca="false">IF(OR($G527="",$H527=""),"",ROUND($G527*$H527,0))</f>
        <v/>
      </c>
      <c r="J527" s="7"/>
      <c r="K527" s="7"/>
      <c r="L527" s="14" t="str">
        <f aca="false">IF(OR($C527="",$G527=""),"",IF($B527="입고",$G527,IF($B527="출고",-$G527,$G527)))</f>
        <v/>
      </c>
      <c r="M527" s="13" t="str">
        <f aca="false">IF($C527="","",IFERROR(INDEX(품목마스터!$F$3:$F$302,MATCH($C527,품목마스터!$A$3:$A$302,0)),0)+SUMIFS($L$3:$L527,$C$3:$C527,$C527))</f>
        <v/>
      </c>
    </row>
    <row r="528" customFormat="false" ht="15" hidden="false" customHeight="true" outlineLevel="0" collapsed="false">
      <c r="A528" s="11"/>
      <c r="B528" s="7"/>
      <c r="C528" s="7"/>
      <c r="D528" s="12" t="str">
        <f aca="false">IF($C528="","",IFERROR(INDEX(품목마스터!$B$3:$B$302,MATCH($C528,품목마스터!$A$3:$A$302,0)),"미등록품번"))</f>
        <v/>
      </c>
      <c r="E528" s="12" t="str">
        <f aca="false">IF($C528="","",IFERROR(INDEX(품목마스터!$C$3:$C$302,MATCH($C528,품목마스터!$A$3:$A$302,0)),""))</f>
        <v/>
      </c>
      <c r="F528" s="12" t="str">
        <f aca="false">IF($C528="","",IFERROR(INDEX(품목마스터!$D$3:$D$302,MATCH($C528,품목마스터!$A$3:$A$302,0)),""))</f>
        <v/>
      </c>
      <c r="G528" s="9"/>
      <c r="H528" s="9"/>
      <c r="I528" s="13" t="str">
        <f aca="false">IF(OR($G528="",$H528=""),"",ROUND($G528*$H528,0))</f>
        <v/>
      </c>
      <c r="J528" s="7"/>
      <c r="K528" s="7"/>
      <c r="L528" s="14" t="str">
        <f aca="false">IF(OR($C528="",$G528=""),"",IF($B528="입고",$G528,IF($B528="출고",-$G528,$G528)))</f>
        <v/>
      </c>
      <c r="M528" s="13" t="str">
        <f aca="false">IF($C528="","",IFERROR(INDEX(품목마스터!$F$3:$F$302,MATCH($C528,품목마스터!$A$3:$A$302,0)),0)+SUMIFS($L$3:$L528,$C$3:$C528,$C528))</f>
        <v/>
      </c>
    </row>
    <row r="529" customFormat="false" ht="15" hidden="false" customHeight="true" outlineLevel="0" collapsed="false">
      <c r="A529" s="11"/>
      <c r="B529" s="7"/>
      <c r="C529" s="7"/>
      <c r="D529" s="12" t="str">
        <f aca="false">IF($C529="","",IFERROR(INDEX(품목마스터!$B$3:$B$302,MATCH($C529,품목마스터!$A$3:$A$302,0)),"미등록품번"))</f>
        <v/>
      </c>
      <c r="E529" s="12" t="str">
        <f aca="false">IF($C529="","",IFERROR(INDEX(품목마스터!$C$3:$C$302,MATCH($C529,품목마스터!$A$3:$A$302,0)),""))</f>
        <v/>
      </c>
      <c r="F529" s="12" t="str">
        <f aca="false">IF($C529="","",IFERROR(INDEX(품목마스터!$D$3:$D$302,MATCH($C529,품목마스터!$A$3:$A$302,0)),""))</f>
        <v/>
      </c>
      <c r="G529" s="9"/>
      <c r="H529" s="9"/>
      <c r="I529" s="13" t="str">
        <f aca="false">IF(OR($G529="",$H529=""),"",ROUND($G529*$H529,0))</f>
        <v/>
      </c>
      <c r="J529" s="7"/>
      <c r="K529" s="7"/>
      <c r="L529" s="14" t="str">
        <f aca="false">IF(OR($C529="",$G529=""),"",IF($B529="입고",$G529,IF($B529="출고",-$G529,$G529)))</f>
        <v/>
      </c>
      <c r="M529" s="13" t="str">
        <f aca="false">IF($C529="","",IFERROR(INDEX(품목마스터!$F$3:$F$302,MATCH($C529,품목마스터!$A$3:$A$302,0)),0)+SUMIFS($L$3:$L529,$C$3:$C529,$C529))</f>
        <v/>
      </c>
    </row>
    <row r="530" customFormat="false" ht="15" hidden="false" customHeight="true" outlineLevel="0" collapsed="false">
      <c r="A530" s="11"/>
      <c r="B530" s="7"/>
      <c r="C530" s="7"/>
      <c r="D530" s="12" t="str">
        <f aca="false">IF($C530="","",IFERROR(INDEX(품목마스터!$B$3:$B$302,MATCH($C530,품목마스터!$A$3:$A$302,0)),"미등록품번"))</f>
        <v/>
      </c>
      <c r="E530" s="12" t="str">
        <f aca="false">IF($C530="","",IFERROR(INDEX(품목마스터!$C$3:$C$302,MATCH($C530,품목마스터!$A$3:$A$302,0)),""))</f>
        <v/>
      </c>
      <c r="F530" s="12" t="str">
        <f aca="false">IF($C530="","",IFERROR(INDEX(품목마스터!$D$3:$D$302,MATCH($C530,품목마스터!$A$3:$A$302,0)),""))</f>
        <v/>
      </c>
      <c r="G530" s="9"/>
      <c r="H530" s="9"/>
      <c r="I530" s="13" t="str">
        <f aca="false">IF(OR($G530="",$H530=""),"",ROUND($G530*$H530,0))</f>
        <v/>
      </c>
      <c r="J530" s="7"/>
      <c r="K530" s="7"/>
      <c r="L530" s="14" t="str">
        <f aca="false">IF(OR($C530="",$G530=""),"",IF($B530="입고",$G530,IF($B530="출고",-$G530,$G530)))</f>
        <v/>
      </c>
      <c r="M530" s="13" t="str">
        <f aca="false">IF($C530="","",IFERROR(INDEX(품목마스터!$F$3:$F$302,MATCH($C530,품목마스터!$A$3:$A$302,0)),0)+SUMIFS($L$3:$L530,$C$3:$C530,$C530))</f>
        <v/>
      </c>
    </row>
    <row r="531" customFormat="false" ht="15" hidden="false" customHeight="true" outlineLevel="0" collapsed="false">
      <c r="A531" s="11"/>
      <c r="B531" s="7"/>
      <c r="C531" s="7"/>
      <c r="D531" s="12" t="str">
        <f aca="false">IF($C531="","",IFERROR(INDEX(품목마스터!$B$3:$B$302,MATCH($C531,품목마스터!$A$3:$A$302,0)),"미등록품번"))</f>
        <v/>
      </c>
      <c r="E531" s="12" t="str">
        <f aca="false">IF($C531="","",IFERROR(INDEX(품목마스터!$C$3:$C$302,MATCH($C531,품목마스터!$A$3:$A$302,0)),""))</f>
        <v/>
      </c>
      <c r="F531" s="12" t="str">
        <f aca="false">IF($C531="","",IFERROR(INDEX(품목마스터!$D$3:$D$302,MATCH($C531,품목마스터!$A$3:$A$302,0)),""))</f>
        <v/>
      </c>
      <c r="G531" s="9"/>
      <c r="H531" s="9"/>
      <c r="I531" s="13" t="str">
        <f aca="false">IF(OR($G531="",$H531=""),"",ROUND($G531*$H531,0))</f>
        <v/>
      </c>
      <c r="J531" s="7"/>
      <c r="K531" s="7"/>
      <c r="L531" s="14" t="str">
        <f aca="false">IF(OR($C531="",$G531=""),"",IF($B531="입고",$G531,IF($B531="출고",-$G531,$G531)))</f>
        <v/>
      </c>
      <c r="M531" s="13" t="str">
        <f aca="false">IF($C531="","",IFERROR(INDEX(품목마스터!$F$3:$F$302,MATCH($C531,품목마스터!$A$3:$A$302,0)),0)+SUMIFS($L$3:$L531,$C$3:$C531,$C531))</f>
        <v/>
      </c>
    </row>
    <row r="532" customFormat="false" ht="15" hidden="false" customHeight="true" outlineLevel="0" collapsed="false">
      <c r="A532" s="11"/>
      <c r="B532" s="7"/>
      <c r="C532" s="7"/>
      <c r="D532" s="12" t="str">
        <f aca="false">IF($C532="","",IFERROR(INDEX(품목마스터!$B$3:$B$302,MATCH($C532,품목마스터!$A$3:$A$302,0)),"미등록품번"))</f>
        <v/>
      </c>
      <c r="E532" s="12" t="str">
        <f aca="false">IF($C532="","",IFERROR(INDEX(품목마스터!$C$3:$C$302,MATCH($C532,품목마스터!$A$3:$A$302,0)),""))</f>
        <v/>
      </c>
      <c r="F532" s="12" t="str">
        <f aca="false">IF($C532="","",IFERROR(INDEX(품목마스터!$D$3:$D$302,MATCH($C532,품목마스터!$A$3:$A$302,0)),""))</f>
        <v/>
      </c>
      <c r="G532" s="9"/>
      <c r="H532" s="9"/>
      <c r="I532" s="13" t="str">
        <f aca="false">IF(OR($G532="",$H532=""),"",ROUND($G532*$H532,0))</f>
        <v/>
      </c>
      <c r="J532" s="7"/>
      <c r="K532" s="7"/>
      <c r="L532" s="14" t="str">
        <f aca="false">IF(OR($C532="",$G532=""),"",IF($B532="입고",$G532,IF($B532="출고",-$G532,$G532)))</f>
        <v/>
      </c>
      <c r="M532" s="13" t="str">
        <f aca="false">IF($C532="","",IFERROR(INDEX(품목마스터!$F$3:$F$302,MATCH($C532,품목마스터!$A$3:$A$302,0)),0)+SUMIFS($L$3:$L532,$C$3:$C532,$C532))</f>
        <v/>
      </c>
    </row>
    <row r="533" customFormat="false" ht="15" hidden="false" customHeight="true" outlineLevel="0" collapsed="false">
      <c r="A533" s="11"/>
      <c r="B533" s="7"/>
      <c r="C533" s="7"/>
      <c r="D533" s="12" t="str">
        <f aca="false">IF($C533="","",IFERROR(INDEX(품목마스터!$B$3:$B$302,MATCH($C533,품목마스터!$A$3:$A$302,0)),"미등록품번"))</f>
        <v/>
      </c>
      <c r="E533" s="12" t="str">
        <f aca="false">IF($C533="","",IFERROR(INDEX(품목마스터!$C$3:$C$302,MATCH($C533,품목마스터!$A$3:$A$302,0)),""))</f>
        <v/>
      </c>
      <c r="F533" s="12" t="str">
        <f aca="false">IF($C533="","",IFERROR(INDEX(품목마스터!$D$3:$D$302,MATCH($C533,품목마스터!$A$3:$A$302,0)),""))</f>
        <v/>
      </c>
      <c r="G533" s="9"/>
      <c r="H533" s="9"/>
      <c r="I533" s="13" t="str">
        <f aca="false">IF(OR($G533="",$H533=""),"",ROUND($G533*$H533,0))</f>
        <v/>
      </c>
      <c r="J533" s="7"/>
      <c r="K533" s="7"/>
      <c r="L533" s="14" t="str">
        <f aca="false">IF(OR($C533="",$G533=""),"",IF($B533="입고",$G533,IF($B533="출고",-$G533,$G533)))</f>
        <v/>
      </c>
      <c r="M533" s="13" t="str">
        <f aca="false">IF($C533="","",IFERROR(INDEX(품목마스터!$F$3:$F$302,MATCH($C533,품목마스터!$A$3:$A$302,0)),0)+SUMIFS($L$3:$L533,$C$3:$C533,$C533))</f>
        <v/>
      </c>
    </row>
    <row r="534" customFormat="false" ht="15" hidden="false" customHeight="true" outlineLevel="0" collapsed="false">
      <c r="A534" s="11"/>
      <c r="B534" s="7"/>
      <c r="C534" s="7"/>
      <c r="D534" s="12" t="str">
        <f aca="false">IF($C534="","",IFERROR(INDEX(품목마스터!$B$3:$B$302,MATCH($C534,품목마스터!$A$3:$A$302,0)),"미등록품번"))</f>
        <v/>
      </c>
      <c r="E534" s="12" t="str">
        <f aca="false">IF($C534="","",IFERROR(INDEX(품목마스터!$C$3:$C$302,MATCH($C534,품목마스터!$A$3:$A$302,0)),""))</f>
        <v/>
      </c>
      <c r="F534" s="12" t="str">
        <f aca="false">IF($C534="","",IFERROR(INDEX(품목마스터!$D$3:$D$302,MATCH($C534,품목마스터!$A$3:$A$302,0)),""))</f>
        <v/>
      </c>
      <c r="G534" s="9"/>
      <c r="H534" s="9"/>
      <c r="I534" s="13" t="str">
        <f aca="false">IF(OR($G534="",$H534=""),"",ROUND($G534*$H534,0))</f>
        <v/>
      </c>
      <c r="J534" s="7"/>
      <c r="K534" s="7"/>
      <c r="L534" s="14" t="str">
        <f aca="false">IF(OR($C534="",$G534=""),"",IF($B534="입고",$G534,IF($B534="출고",-$G534,$G534)))</f>
        <v/>
      </c>
      <c r="M534" s="13" t="str">
        <f aca="false">IF($C534="","",IFERROR(INDEX(품목마스터!$F$3:$F$302,MATCH($C534,품목마스터!$A$3:$A$302,0)),0)+SUMIFS($L$3:$L534,$C$3:$C534,$C534))</f>
        <v/>
      </c>
    </row>
    <row r="535" customFormat="false" ht="15" hidden="false" customHeight="true" outlineLevel="0" collapsed="false">
      <c r="A535" s="11"/>
      <c r="B535" s="7"/>
      <c r="C535" s="7"/>
      <c r="D535" s="12" t="str">
        <f aca="false">IF($C535="","",IFERROR(INDEX(품목마스터!$B$3:$B$302,MATCH($C535,품목마스터!$A$3:$A$302,0)),"미등록품번"))</f>
        <v/>
      </c>
      <c r="E535" s="12" t="str">
        <f aca="false">IF($C535="","",IFERROR(INDEX(품목마스터!$C$3:$C$302,MATCH($C535,품목마스터!$A$3:$A$302,0)),""))</f>
        <v/>
      </c>
      <c r="F535" s="12" t="str">
        <f aca="false">IF($C535="","",IFERROR(INDEX(품목마스터!$D$3:$D$302,MATCH($C535,품목마스터!$A$3:$A$302,0)),""))</f>
        <v/>
      </c>
      <c r="G535" s="9"/>
      <c r="H535" s="9"/>
      <c r="I535" s="13" t="str">
        <f aca="false">IF(OR($G535="",$H535=""),"",ROUND($G535*$H535,0))</f>
        <v/>
      </c>
      <c r="J535" s="7"/>
      <c r="K535" s="7"/>
      <c r="L535" s="14" t="str">
        <f aca="false">IF(OR($C535="",$G535=""),"",IF($B535="입고",$G535,IF($B535="출고",-$G535,$G535)))</f>
        <v/>
      </c>
      <c r="M535" s="13" t="str">
        <f aca="false">IF($C535="","",IFERROR(INDEX(품목마스터!$F$3:$F$302,MATCH($C535,품목마스터!$A$3:$A$302,0)),0)+SUMIFS($L$3:$L535,$C$3:$C535,$C535))</f>
        <v/>
      </c>
    </row>
    <row r="536" customFormat="false" ht="15" hidden="false" customHeight="true" outlineLevel="0" collapsed="false">
      <c r="A536" s="11"/>
      <c r="B536" s="7"/>
      <c r="C536" s="7"/>
      <c r="D536" s="12" t="str">
        <f aca="false">IF($C536="","",IFERROR(INDEX(품목마스터!$B$3:$B$302,MATCH($C536,품목마스터!$A$3:$A$302,0)),"미등록품번"))</f>
        <v/>
      </c>
      <c r="E536" s="12" t="str">
        <f aca="false">IF($C536="","",IFERROR(INDEX(품목마스터!$C$3:$C$302,MATCH($C536,품목마스터!$A$3:$A$302,0)),""))</f>
        <v/>
      </c>
      <c r="F536" s="12" t="str">
        <f aca="false">IF($C536="","",IFERROR(INDEX(품목마스터!$D$3:$D$302,MATCH($C536,품목마스터!$A$3:$A$302,0)),""))</f>
        <v/>
      </c>
      <c r="G536" s="9"/>
      <c r="H536" s="9"/>
      <c r="I536" s="13" t="str">
        <f aca="false">IF(OR($G536="",$H536=""),"",ROUND($G536*$H536,0))</f>
        <v/>
      </c>
      <c r="J536" s="7"/>
      <c r="K536" s="7"/>
      <c r="L536" s="14" t="str">
        <f aca="false">IF(OR($C536="",$G536=""),"",IF($B536="입고",$G536,IF($B536="출고",-$G536,$G536)))</f>
        <v/>
      </c>
      <c r="M536" s="13" t="str">
        <f aca="false">IF($C536="","",IFERROR(INDEX(품목마스터!$F$3:$F$302,MATCH($C536,품목마스터!$A$3:$A$302,0)),0)+SUMIFS($L$3:$L536,$C$3:$C536,$C536))</f>
        <v/>
      </c>
    </row>
    <row r="537" customFormat="false" ht="15" hidden="false" customHeight="true" outlineLevel="0" collapsed="false">
      <c r="A537" s="11"/>
      <c r="B537" s="7"/>
      <c r="C537" s="7"/>
      <c r="D537" s="12" t="str">
        <f aca="false">IF($C537="","",IFERROR(INDEX(품목마스터!$B$3:$B$302,MATCH($C537,품목마스터!$A$3:$A$302,0)),"미등록품번"))</f>
        <v/>
      </c>
      <c r="E537" s="12" t="str">
        <f aca="false">IF($C537="","",IFERROR(INDEX(품목마스터!$C$3:$C$302,MATCH($C537,품목마스터!$A$3:$A$302,0)),""))</f>
        <v/>
      </c>
      <c r="F537" s="12" t="str">
        <f aca="false">IF($C537="","",IFERROR(INDEX(품목마스터!$D$3:$D$302,MATCH($C537,품목마스터!$A$3:$A$302,0)),""))</f>
        <v/>
      </c>
      <c r="G537" s="9"/>
      <c r="H537" s="9"/>
      <c r="I537" s="13" t="str">
        <f aca="false">IF(OR($G537="",$H537=""),"",ROUND($G537*$H537,0))</f>
        <v/>
      </c>
      <c r="J537" s="7"/>
      <c r="K537" s="7"/>
      <c r="L537" s="14" t="str">
        <f aca="false">IF(OR($C537="",$G537=""),"",IF($B537="입고",$G537,IF($B537="출고",-$G537,$G537)))</f>
        <v/>
      </c>
      <c r="M537" s="13" t="str">
        <f aca="false">IF($C537="","",IFERROR(INDEX(품목마스터!$F$3:$F$302,MATCH($C537,품목마스터!$A$3:$A$302,0)),0)+SUMIFS($L$3:$L537,$C$3:$C537,$C537))</f>
        <v/>
      </c>
    </row>
    <row r="538" customFormat="false" ht="15" hidden="false" customHeight="true" outlineLevel="0" collapsed="false">
      <c r="A538" s="11"/>
      <c r="B538" s="7"/>
      <c r="C538" s="7"/>
      <c r="D538" s="12" t="str">
        <f aca="false">IF($C538="","",IFERROR(INDEX(품목마스터!$B$3:$B$302,MATCH($C538,품목마스터!$A$3:$A$302,0)),"미등록품번"))</f>
        <v/>
      </c>
      <c r="E538" s="12" t="str">
        <f aca="false">IF($C538="","",IFERROR(INDEX(품목마스터!$C$3:$C$302,MATCH($C538,품목마스터!$A$3:$A$302,0)),""))</f>
        <v/>
      </c>
      <c r="F538" s="12" t="str">
        <f aca="false">IF($C538="","",IFERROR(INDEX(품목마스터!$D$3:$D$302,MATCH($C538,품목마스터!$A$3:$A$302,0)),""))</f>
        <v/>
      </c>
      <c r="G538" s="9"/>
      <c r="H538" s="9"/>
      <c r="I538" s="13" t="str">
        <f aca="false">IF(OR($G538="",$H538=""),"",ROUND($G538*$H538,0))</f>
        <v/>
      </c>
      <c r="J538" s="7"/>
      <c r="K538" s="7"/>
      <c r="L538" s="14" t="str">
        <f aca="false">IF(OR($C538="",$G538=""),"",IF($B538="입고",$G538,IF($B538="출고",-$G538,$G538)))</f>
        <v/>
      </c>
      <c r="M538" s="13" t="str">
        <f aca="false">IF($C538="","",IFERROR(INDEX(품목마스터!$F$3:$F$302,MATCH($C538,품목마스터!$A$3:$A$302,0)),0)+SUMIFS($L$3:$L538,$C$3:$C538,$C538))</f>
        <v/>
      </c>
    </row>
    <row r="539" customFormat="false" ht="15" hidden="false" customHeight="true" outlineLevel="0" collapsed="false">
      <c r="A539" s="11"/>
      <c r="B539" s="7"/>
      <c r="C539" s="7"/>
      <c r="D539" s="12" t="str">
        <f aca="false">IF($C539="","",IFERROR(INDEX(품목마스터!$B$3:$B$302,MATCH($C539,품목마스터!$A$3:$A$302,0)),"미등록품번"))</f>
        <v/>
      </c>
      <c r="E539" s="12" t="str">
        <f aca="false">IF($C539="","",IFERROR(INDEX(품목마스터!$C$3:$C$302,MATCH($C539,품목마스터!$A$3:$A$302,0)),""))</f>
        <v/>
      </c>
      <c r="F539" s="12" t="str">
        <f aca="false">IF($C539="","",IFERROR(INDEX(품목마스터!$D$3:$D$302,MATCH($C539,품목마스터!$A$3:$A$302,0)),""))</f>
        <v/>
      </c>
      <c r="G539" s="9"/>
      <c r="H539" s="9"/>
      <c r="I539" s="13" t="str">
        <f aca="false">IF(OR($G539="",$H539=""),"",ROUND($G539*$H539,0))</f>
        <v/>
      </c>
      <c r="J539" s="7"/>
      <c r="K539" s="7"/>
      <c r="L539" s="14" t="str">
        <f aca="false">IF(OR($C539="",$G539=""),"",IF($B539="입고",$G539,IF($B539="출고",-$G539,$G539)))</f>
        <v/>
      </c>
      <c r="M539" s="13" t="str">
        <f aca="false">IF($C539="","",IFERROR(INDEX(품목마스터!$F$3:$F$302,MATCH($C539,품목마스터!$A$3:$A$302,0)),0)+SUMIFS($L$3:$L539,$C$3:$C539,$C539))</f>
        <v/>
      </c>
    </row>
    <row r="540" customFormat="false" ht="15" hidden="false" customHeight="true" outlineLevel="0" collapsed="false">
      <c r="A540" s="11"/>
      <c r="B540" s="7"/>
      <c r="C540" s="7"/>
      <c r="D540" s="12" t="str">
        <f aca="false">IF($C540="","",IFERROR(INDEX(품목마스터!$B$3:$B$302,MATCH($C540,품목마스터!$A$3:$A$302,0)),"미등록품번"))</f>
        <v/>
      </c>
      <c r="E540" s="12" t="str">
        <f aca="false">IF($C540="","",IFERROR(INDEX(품목마스터!$C$3:$C$302,MATCH($C540,품목마스터!$A$3:$A$302,0)),""))</f>
        <v/>
      </c>
      <c r="F540" s="12" t="str">
        <f aca="false">IF($C540="","",IFERROR(INDEX(품목마스터!$D$3:$D$302,MATCH($C540,품목마스터!$A$3:$A$302,0)),""))</f>
        <v/>
      </c>
      <c r="G540" s="9"/>
      <c r="H540" s="9"/>
      <c r="I540" s="13" t="str">
        <f aca="false">IF(OR($G540="",$H540=""),"",ROUND($G540*$H540,0))</f>
        <v/>
      </c>
      <c r="J540" s="7"/>
      <c r="K540" s="7"/>
      <c r="L540" s="14" t="str">
        <f aca="false">IF(OR($C540="",$G540=""),"",IF($B540="입고",$G540,IF($B540="출고",-$G540,$G540)))</f>
        <v/>
      </c>
      <c r="M540" s="13" t="str">
        <f aca="false">IF($C540="","",IFERROR(INDEX(품목마스터!$F$3:$F$302,MATCH($C540,품목마스터!$A$3:$A$302,0)),0)+SUMIFS($L$3:$L540,$C$3:$C540,$C540))</f>
        <v/>
      </c>
    </row>
    <row r="541" customFormat="false" ht="15" hidden="false" customHeight="true" outlineLevel="0" collapsed="false">
      <c r="A541" s="11"/>
      <c r="B541" s="7"/>
      <c r="C541" s="7"/>
      <c r="D541" s="12" t="str">
        <f aca="false">IF($C541="","",IFERROR(INDEX(품목마스터!$B$3:$B$302,MATCH($C541,품목마스터!$A$3:$A$302,0)),"미등록품번"))</f>
        <v/>
      </c>
      <c r="E541" s="12" t="str">
        <f aca="false">IF($C541="","",IFERROR(INDEX(품목마스터!$C$3:$C$302,MATCH($C541,품목마스터!$A$3:$A$302,0)),""))</f>
        <v/>
      </c>
      <c r="F541" s="12" t="str">
        <f aca="false">IF($C541="","",IFERROR(INDEX(품목마스터!$D$3:$D$302,MATCH($C541,품목마스터!$A$3:$A$302,0)),""))</f>
        <v/>
      </c>
      <c r="G541" s="9"/>
      <c r="H541" s="9"/>
      <c r="I541" s="13" t="str">
        <f aca="false">IF(OR($G541="",$H541=""),"",ROUND($G541*$H541,0))</f>
        <v/>
      </c>
      <c r="J541" s="7"/>
      <c r="K541" s="7"/>
      <c r="L541" s="14" t="str">
        <f aca="false">IF(OR($C541="",$G541=""),"",IF($B541="입고",$G541,IF($B541="출고",-$G541,$G541)))</f>
        <v/>
      </c>
      <c r="M541" s="13" t="str">
        <f aca="false">IF($C541="","",IFERROR(INDEX(품목마스터!$F$3:$F$302,MATCH($C541,품목마스터!$A$3:$A$302,0)),0)+SUMIFS($L$3:$L541,$C$3:$C541,$C541))</f>
        <v/>
      </c>
    </row>
    <row r="542" customFormat="false" ht="15" hidden="false" customHeight="true" outlineLevel="0" collapsed="false">
      <c r="A542" s="11"/>
      <c r="B542" s="7"/>
      <c r="C542" s="7"/>
      <c r="D542" s="12" t="str">
        <f aca="false">IF($C542="","",IFERROR(INDEX(품목마스터!$B$3:$B$302,MATCH($C542,품목마스터!$A$3:$A$302,0)),"미등록품번"))</f>
        <v/>
      </c>
      <c r="E542" s="12" t="str">
        <f aca="false">IF($C542="","",IFERROR(INDEX(품목마스터!$C$3:$C$302,MATCH($C542,품목마스터!$A$3:$A$302,0)),""))</f>
        <v/>
      </c>
      <c r="F542" s="12" t="str">
        <f aca="false">IF($C542="","",IFERROR(INDEX(품목마스터!$D$3:$D$302,MATCH($C542,품목마스터!$A$3:$A$302,0)),""))</f>
        <v/>
      </c>
      <c r="G542" s="9"/>
      <c r="H542" s="9"/>
      <c r="I542" s="13" t="str">
        <f aca="false">IF(OR($G542="",$H542=""),"",ROUND($G542*$H542,0))</f>
        <v/>
      </c>
      <c r="J542" s="7"/>
      <c r="K542" s="7"/>
      <c r="L542" s="14" t="str">
        <f aca="false">IF(OR($C542="",$G542=""),"",IF($B542="입고",$G542,IF($B542="출고",-$G542,$G542)))</f>
        <v/>
      </c>
      <c r="M542" s="13" t="str">
        <f aca="false">IF($C542="","",IFERROR(INDEX(품목마스터!$F$3:$F$302,MATCH($C542,품목마스터!$A$3:$A$302,0)),0)+SUMIFS($L$3:$L542,$C$3:$C542,$C542))</f>
        <v/>
      </c>
    </row>
    <row r="543" customFormat="false" ht="15" hidden="false" customHeight="true" outlineLevel="0" collapsed="false">
      <c r="A543" s="11"/>
      <c r="B543" s="7"/>
      <c r="C543" s="7"/>
      <c r="D543" s="12" t="str">
        <f aca="false">IF($C543="","",IFERROR(INDEX(품목마스터!$B$3:$B$302,MATCH($C543,품목마스터!$A$3:$A$302,0)),"미등록품번"))</f>
        <v/>
      </c>
      <c r="E543" s="12" t="str">
        <f aca="false">IF($C543="","",IFERROR(INDEX(품목마스터!$C$3:$C$302,MATCH($C543,품목마스터!$A$3:$A$302,0)),""))</f>
        <v/>
      </c>
      <c r="F543" s="12" t="str">
        <f aca="false">IF($C543="","",IFERROR(INDEX(품목마스터!$D$3:$D$302,MATCH($C543,품목마스터!$A$3:$A$302,0)),""))</f>
        <v/>
      </c>
      <c r="G543" s="9"/>
      <c r="H543" s="9"/>
      <c r="I543" s="13" t="str">
        <f aca="false">IF(OR($G543="",$H543=""),"",ROUND($G543*$H543,0))</f>
        <v/>
      </c>
      <c r="J543" s="7"/>
      <c r="K543" s="7"/>
      <c r="L543" s="14" t="str">
        <f aca="false">IF(OR($C543="",$G543=""),"",IF($B543="입고",$G543,IF($B543="출고",-$G543,$G543)))</f>
        <v/>
      </c>
      <c r="M543" s="13" t="str">
        <f aca="false">IF($C543="","",IFERROR(INDEX(품목마스터!$F$3:$F$302,MATCH($C543,품목마스터!$A$3:$A$302,0)),0)+SUMIFS($L$3:$L543,$C$3:$C543,$C543))</f>
        <v/>
      </c>
    </row>
    <row r="544" customFormat="false" ht="15" hidden="false" customHeight="true" outlineLevel="0" collapsed="false">
      <c r="A544" s="11"/>
      <c r="B544" s="7"/>
      <c r="C544" s="7"/>
      <c r="D544" s="12" t="str">
        <f aca="false">IF($C544="","",IFERROR(INDEX(품목마스터!$B$3:$B$302,MATCH($C544,품목마스터!$A$3:$A$302,0)),"미등록품번"))</f>
        <v/>
      </c>
      <c r="E544" s="12" t="str">
        <f aca="false">IF($C544="","",IFERROR(INDEX(품목마스터!$C$3:$C$302,MATCH($C544,품목마스터!$A$3:$A$302,0)),""))</f>
        <v/>
      </c>
      <c r="F544" s="12" t="str">
        <f aca="false">IF($C544="","",IFERROR(INDEX(품목마스터!$D$3:$D$302,MATCH($C544,품목마스터!$A$3:$A$302,0)),""))</f>
        <v/>
      </c>
      <c r="G544" s="9"/>
      <c r="H544" s="9"/>
      <c r="I544" s="13" t="str">
        <f aca="false">IF(OR($G544="",$H544=""),"",ROUND($G544*$H544,0))</f>
        <v/>
      </c>
      <c r="J544" s="7"/>
      <c r="K544" s="7"/>
      <c r="L544" s="14" t="str">
        <f aca="false">IF(OR($C544="",$G544=""),"",IF($B544="입고",$G544,IF($B544="출고",-$G544,$G544)))</f>
        <v/>
      </c>
      <c r="M544" s="13" t="str">
        <f aca="false">IF($C544="","",IFERROR(INDEX(품목마스터!$F$3:$F$302,MATCH($C544,품목마스터!$A$3:$A$302,0)),0)+SUMIFS($L$3:$L544,$C$3:$C544,$C544))</f>
        <v/>
      </c>
    </row>
    <row r="545" customFormat="false" ht="15" hidden="false" customHeight="true" outlineLevel="0" collapsed="false">
      <c r="A545" s="11"/>
      <c r="B545" s="7"/>
      <c r="C545" s="7"/>
      <c r="D545" s="12" t="str">
        <f aca="false">IF($C545="","",IFERROR(INDEX(품목마스터!$B$3:$B$302,MATCH($C545,품목마스터!$A$3:$A$302,0)),"미등록품번"))</f>
        <v/>
      </c>
      <c r="E545" s="12" t="str">
        <f aca="false">IF($C545="","",IFERROR(INDEX(품목마스터!$C$3:$C$302,MATCH($C545,품목마스터!$A$3:$A$302,0)),""))</f>
        <v/>
      </c>
      <c r="F545" s="12" t="str">
        <f aca="false">IF($C545="","",IFERROR(INDEX(품목마스터!$D$3:$D$302,MATCH($C545,품목마스터!$A$3:$A$302,0)),""))</f>
        <v/>
      </c>
      <c r="G545" s="9"/>
      <c r="H545" s="9"/>
      <c r="I545" s="13" t="str">
        <f aca="false">IF(OR($G545="",$H545=""),"",ROUND($G545*$H545,0))</f>
        <v/>
      </c>
      <c r="J545" s="7"/>
      <c r="K545" s="7"/>
      <c r="L545" s="14" t="str">
        <f aca="false">IF(OR($C545="",$G545=""),"",IF($B545="입고",$G545,IF($B545="출고",-$G545,$G545)))</f>
        <v/>
      </c>
      <c r="M545" s="13" t="str">
        <f aca="false">IF($C545="","",IFERROR(INDEX(품목마스터!$F$3:$F$302,MATCH($C545,품목마스터!$A$3:$A$302,0)),0)+SUMIFS($L$3:$L545,$C$3:$C545,$C545))</f>
        <v/>
      </c>
    </row>
    <row r="546" customFormat="false" ht="15" hidden="false" customHeight="true" outlineLevel="0" collapsed="false">
      <c r="A546" s="11"/>
      <c r="B546" s="7"/>
      <c r="C546" s="7"/>
      <c r="D546" s="12" t="str">
        <f aca="false">IF($C546="","",IFERROR(INDEX(품목마스터!$B$3:$B$302,MATCH($C546,품목마스터!$A$3:$A$302,0)),"미등록품번"))</f>
        <v/>
      </c>
      <c r="E546" s="12" t="str">
        <f aca="false">IF($C546="","",IFERROR(INDEX(품목마스터!$C$3:$C$302,MATCH($C546,품목마스터!$A$3:$A$302,0)),""))</f>
        <v/>
      </c>
      <c r="F546" s="12" t="str">
        <f aca="false">IF($C546="","",IFERROR(INDEX(품목마스터!$D$3:$D$302,MATCH($C546,품목마스터!$A$3:$A$302,0)),""))</f>
        <v/>
      </c>
      <c r="G546" s="9"/>
      <c r="H546" s="9"/>
      <c r="I546" s="13" t="str">
        <f aca="false">IF(OR($G546="",$H546=""),"",ROUND($G546*$H546,0))</f>
        <v/>
      </c>
      <c r="J546" s="7"/>
      <c r="K546" s="7"/>
      <c r="L546" s="14" t="str">
        <f aca="false">IF(OR($C546="",$G546=""),"",IF($B546="입고",$G546,IF($B546="출고",-$G546,$G546)))</f>
        <v/>
      </c>
      <c r="M546" s="13" t="str">
        <f aca="false">IF($C546="","",IFERROR(INDEX(품목마스터!$F$3:$F$302,MATCH($C546,품목마스터!$A$3:$A$302,0)),0)+SUMIFS($L$3:$L546,$C$3:$C546,$C546))</f>
        <v/>
      </c>
    </row>
    <row r="547" customFormat="false" ht="15" hidden="false" customHeight="true" outlineLevel="0" collapsed="false">
      <c r="A547" s="11"/>
      <c r="B547" s="7"/>
      <c r="C547" s="7"/>
      <c r="D547" s="12" t="str">
        <f aca="false">IF($C547="","",IFERROR(INDEX(품목마스터!$B$3:$B$302,MATCH($C547,품목마스터!$A$3:$A$302,0)),"미등록품번"))</f>
        <v/>
      </c>
      <c r="E547" s="12" t="str">
        <f aca="false">IF($C547="","",IFERROR(INDEX(품목마스터!$C$3:$C$302,MATCH($C547,품목마스터!$A$3:$A$302,0)),""))</f>
        <v/>
      </c>
      <c r="F547" s="12" t="str">
        <f aca="false">IF($C547="","",IFERROR(INDEX(품목마스터!$D$3:$D$302,MATCH($C547,품목마스터!$A$3:$A$302,0)),""))</f>
        <v/>
      </c>
      <c r="G547" s="9"/>
      <c r="H547" s="9"/>
      <c r="I547" s="13" t="str">
        <f aca="false">IF(OR($G547="",$H547=""),"",ROUND($G547*$H547,0))</f>
        <v/>
      </c>
      <c r="J547" s="7"/>
      <c r="K547" s="7"/>
      <c r="L547" s="14" t="str">
        <f aca="false">IF(OR($C547="",$G547=""),"",IF($B547="입고",$G547,IF($B547="출고",-$G547,$G547)))</f>
        <v/>
      </c>
      <c r="M547" s="13" t="str">
        <f aca="false">IF($C547="","",IFERROR(INDEX(품목마스터!$F$3:$F$302,MATCH($C547,품목마스터!$A$3:$A$302,0)),0)+SUMIFS($L$3:$L547,$C$3:$C547,$C547))</f>
        <v/>
      </c>
    </row>
    <row r="548" customFormat="false" ht="15" hidden="false" customHeight="true" outlineLevel="0" collapsed="false">
      <c r="A548" s="11"/>
      <c r="B548" s="7"/>
      <c r="C548" s="7"/>
      <c r="D548" s="12" t="str">
        <f aca="false">IF($C548="","",IFERROR(INDEX(품목마스터!$B$3:$B$302,MATCH($C548,품목마스터!$A$3:$A$302,0)),"미등록품번"))</f>
        <v/>
      </c>
      <c r="E548" s="12" t="str">
        <f aca="false">IF($C548="","",IFERROR(INDEX(품목마스터!$C$3:$C$302,MATCH($C548,품목마스터!$A$3:$A$302,0)),""))</f>
        <v/>
      </c>
      <c r="F548" s="12" t="str">
        <f aca="false">IF($C548="","",IFERROR(INDEX(품목마스터!$D$3:$D$302,MATCH($C548,품목마스터!$A$3:$A$302,0)),""))</f>
        <v/>
      </c>
      <c r="G548" s="9"/>
      <c r="H548" s="9"/>
      <c r="I548" s="13" t="str">
        <f aca="false">IF(OR($G548="",$H548=""),"",ROUND($G548*$H548,0))</f>
        <v/>
      </c>
      <c r="J548" s="7"/>
      <c r="K548" s="7"/>
      <c r="L548" s="14" t="str">
        <f aca="false">IF(OR($C548="",$G548=""),"",IF($B548="입고",$G548,IF($B548="출고",-$G548,$G548)))</f>
        <v/>
      </c>
      <c r="M548" s="13" t="str">
        <f aca="false">IF($C548="","",IFERROR(INDEX(품목마스터!$F$3:$F$302,MATCH($C548,품목마스터!$A$3:$A$302,0)),0)+SUMIFS($L$3:$L548,$C$3:$C548,$C548))</f>
        <v/>
      </c>
    </row>
    <row r="549" customFormat="false" ht="15" hidden="false" customHeight="true" outlineLevel="0" collapsed="false">
      <c r="A549" s="11"/>
      <c r="B549" s="7"/>
      <c r="C549" s="7"/>
      <c r="D549" s="12" t="str">
        <f aca="false">IF($C549="","",IFERROR(INDEX(품목마스터!$B$3:$B$302,MATCH($C549,품목마스터!$A$3:$A$302,0)),"미등록품번"))</f>
        <v/>
      </c>
      <c r="E549" s="12" t="str">
        <f aca="false">IF($C549="","",IFERROR(INDEX(품목마스터!$C$3:$C$302,MATCH($C549,품목마스터!$A$3:$A$302,0)),""))</f>
        <v/>
      </c>
      <c r="F549" s="12" t="str">
        <f aca="false">IF($C549="","",IFERROR(INDEX(품목마스터!$D$3:$D$302,MATCH($C549,품목마스터!$A$3:$A$302,0)),""))</f>
        <v/>
      </c>
      <c r="G549" s="9"/>
      <c r="H549" s="9"/>
      <c r="I549" s="13" t="str">
        <f aca="false">IF(OR($G549="",$H549=""),"",ROUND($G549*$H549,0))</f>
        <v/>
      </c>
      <c r="J549" s="7"/>
      <c r="K549" s="7"/>
      <c r="L549" s="14" t="str">
        <f aca="false">IF(OR($C549="",$G549=""),"",IF($B549="입고",$G549,IF($B549="출고",-$G549,$G549)))</f>
        <v/>
      </c>
      <c r="M549" s="13" t="str">
        <f aca="false">IF($C549="","",IFERROR(INDEX(품목마스터!$F$3:$F$302,MATCH($C549,품목마스터!$A$3:$A$302,0)),0)+SUMIFS($L$3:$L549,$C$3:$C549,$C549))</f>
        <v/>
      </c>
    </row>
    <row r="550" customFormat="false" ht="15" hidden="false" customHeight="true" outlineLevel="0" collapsed="false">
      <c r="A550" s="11"/>
      <c r="B550" s="7"/>
      <c r="C550" s="7"/>
      <c r="D550" s="12" t="str">
        <f aca="false">IF($C550="","",IFERROR(INDEX(품목마스터!$B$3:$B$302,MATCH($C550,품목마스터!$A$3:$A$302,0)),"미등록품번"))</f>
        <v/>
      </c>
      <c r="E550" s="12" t="str">
        <f aca="false">IF($C550="","",IFERROR(INDEX(품목마스터!$C$3:$C$302,MATCH($C550,품목마스터!$A$3:$A$302,0)),""))</f>
        <v/>
      </c>
      <c r="F550" s="12" t="str">
        <f aca="false">IF($C550="","",IFERROR(INDEX(품목마스터!$D$3:$D$302,MATCH($C550,품목마스터!$A$3:$A$302,0)),""))</f>
        <v/>
      </c>
      <c r="G550" s="9"/>
      <c r="H550" s="9"/>
      <c r="I550" s="13" t="str">
        <f aca="false">IF(OR($G550="",$H550=""),"",ROUND($G550*$H550,0))</f>
        <v/>
      </c>
      <c r="J550" s="7"/>
      <c r="K550" s="7"/>
      <c r="L550" s="14" t="str">
        <f aca="false">IF(OR($C550="",$G550=""),"",IF($B550="입고",$G550,IF($B550="출고",-$G550,$G550)))</f>
        <v/>
      </c>
      <c r="M550" s="13" t="str">
        <f aca="false">IF($C550="","",IFERROR(INDEX(품목마스터!$F$3:$F$302,MATCH($C550,품목마스터!$A$3:$A$302,0)),0)+SUMIFS($L$3:$L550,$C$3:$C550,$C550))</f>
        <v/>
      </c>
    </row>
    <row r="551" customFormat="false" ht="15" hidden="false" customHeight="true" outlineLevel="0" collapsed="false">
      <c r="A551" s="11"/>
      <c r="B551" s="7"/>
      <c r="C551" s="7"/>
      <c r="D551" s="12" t="str">
        <f aca="false">IF($C551="","",IFERROR(INDEX(품목마스터!$B$3:$B$302,MATCH($C551,품목마스터!$A$3:$A$302,0)),"미등록품번"))</f>
        <v/>
      </c>
      <c r="E551" s="12" t="str">
        <f aca="false">IF($C551="","",IFERROR(INDEX(품목마스터!$C$3:$C$302,MATCH($C551,품목마스터!$A$3:$A$302,0)),""))</f>
        <v/>
      </c>
      <c r="F551" s="12" t="str">
        <f aca="false">IF($C551="","",IFERROR(INDEX(품목마스터!$D$3:$D$302,MATCH($C551,품목마스터!$A$3:$A$302,0)),""))</f>
        <v/>
      </c>
      <c r="G551" s="9"/>
      <c r="H551" s="9"/>
      <c r="I551" s="13" t="str">
        <f aca="false">IF(OR($G551="",$H551=""),"",ROUND($G551*$H551,0))</f>
        <v/>
      </c>
      <c r="J551" s="7"/>
      <c r="K551" s="7"/>
      <c r="L551" s="14" t="str">
        <f aca="false">IF(OR($C551="",$G551=""),"",IF($B551="입고",$G551,IF($B551="출고",-$G551,$G551)))</f>
        <v/>
      </c>
      <c r="M551" s="13" t="str">
        <f aca="false">IF($C551="","",IFERROR(INDEX(품목마스터!$F$3:$F$302,MATCH($C551,품목마스터!$A$3:$A$302,0)),0)+SUMIFS($L$3:$L551,$C$3:$C551,$C551))</f>
        <v/>
      </c>
    </row>
    <row r="552" customFormat="false" ht="15" hidden="false" customHeight="true" outlineLevel="0" collapsed="false">
      <c r="A552" s="11"/>
      <c r="B552" s="7"/>
      <c r="C552" s="7"/>
      <c r="D552" s="12" t="str">
        <f aca="false">IF($C552="","",IFERROR(INDEX(품목마스터!$B$3:$B$302,MATCH($C552,품목마스터!$A$3:$A$302,0)),"미등록품번"))</f>
        <v/>
      </c>
      <c r="E552" s="12" t="str">
        <f aca="false">IF($C552="","",IFERROR(INDEX(품목마스터!$C$3:$C$302,MATCH($C552,품목마스터!$A$3:$A$302,0)),""))</f>
        <v/>
      </c>
      <c r="F552" s="12" t="str">
        <f aca="false">IF($C552="","",IFERROR(INDEX(품목마스터!$D$3:$D$302,MATCH($C552,품목마스터!$A$3:$A$302,0)),""))</f>
        <v/>
      </c>
      <c r="G552" s="9"/>
      <c r="H552" s="9"/>
      <c r="I552" s="13" t="str">
        <f aca="false">IF(OR($G552="",$H552=""),"",ROUND($G552*$H552,0))</f>
        <v/>
      </c>
      <c r="J552" s="7"/>
      <c r="K552" s="7"/>
      <c r="L552" s="14" t="str">
        <f aca="false">IF(OR($C552="",$G552=""),"",IF($B552="입고",$G552,IF($B552="출고",-$G552,$G552)))</f>
        <v/>
      </c>
      <c r="M552" s="13" t="str">
        <f aca="false">IF($C552="","",IFERROR(INDEX(품목마스터!$F$3:$F$302,MATCH($C552,품목마스터!$A$3:$A$302,0)),0)+SUMIFS($L$3:$L552,$C$3:$C552,$C552))</f>
        <v/>
      </c>
    </row>
    <row r="553" customFormat="false" ht="15" hidden="false" customHeight="true" outlineLevel="0" collapsed="false">
      <c r="A553" s="11"/>
      <c r="B553" s="7"/>
      <c r="C553" s="7"/>
      <c r="D553" s="12" t="str">
        <f aca="false">IF($C553="","",IFERROR(INDEX(품목마스터!$B$3:$B$302,MATCH($C553,품목마스터!$A$3:$A$302,0)),"미등록품번"))</f>
        <v/>
      </c>
      <c r="E553" s="12" t="str">
        <f aca="false">IF($C553="","",IFERROR(INDEX(품목마스터!$C$3:$C$302,MATCH($C553,품목마스터!$A$3:$A$302,0)),""))</f>
        <v/>
      </c>
      <c r="F553" s="12" t="str">
        <f aca="false">IF($C553="","",IFERROR(INDEX(품목마스터!$D$3:$D$302,MATCH($C553,품목마스터!$A$3:$A$302,0)),""))</f>
        <v/>
      </c>
      <c r="G553" s="9"/>
      <c r="H553" s="9"/>
      <c r="I553" s="13" t="str">
        <f aca="false">IF(OR($G553="",$H553=""),"",ROUND($G553*$H553,0))</f>
        <v/>
      </c>
      <c r="J553" s="7"/>
      <c r="K553" s="7"/>
      <c r="L553" s="14" t="str">
        <f aca="false">IF(OR($C553="",$G553=""),"",IF($B553="입고",$G553,IF($B553="출고",-$G553,$G553)))</f>
        <v/>
      </c>
      <c r="M553" s="13" t="str">
        <f aca="false">IF($C553="","",IFERROR(INDEX(품목마스터!$F$3:$F$302,MATCH($C553,품목마스터!$A$3:$A$302,0)),0)+SUMIFS($L$3:$L553,$C$3:$C553,$C553))</f>
        <v/>
      </c>
    </row>
    <row r="554" customFormat="false" ht="15" hidden="false" customHeight="true" outlineLevel="0" collapsed="false">
      <c r="A554" s="11"/>
      <c r="B554" s="7"/>
      <c r="C554" s="7"/>
      <c r="D554" s="12" t="str">
        <f aca="false">IF($C554="","",IFERROR(INDEX(품목마스터!$B$3:$B$302,MATCH($C554,품목마스터!$A$3:$A$302,0)),"미등록품번"))</f>
        <v/>
      </c>
      <c r="E554" s="12" t="str">
        <f aca="false">IF($C554="","",IFERROR(INDEX(품목마스터!$C$3:$C$302,MATCH($C554,품목마스터!$A$3:$A$302,0)),""))</f>
        <v/>
      </c>
      <c r="F554" s="12" t="str">
        <f aca="false">IF($C554="","",IFERROR(INDEX(품목마스터!$D$3:$D$302,MATCH($C554,품목마스터!$A$3:$A$302,0)),""))</f>
        <v/>
      </c>
      <c r="G554" s="9"/>
      <c r="H554" s="9"/>
      <c r="I554" s="13" t="str">
        <f aca="false">IF(OR($G554="",$H554=""),"",ROUND($G554*$H554,0))</f>
        <v/>
      </c>
      <c r="J554" s="7"/>
      <c r="K554" s="7"/>
      <c r="L554" s="14" t="str">
        <f aca="false">IF(OR($C554="",$G554=""),"",IF($B554="입고",$G554,IF($B554="출고",-$G554,$G554)))</f>
        <v/>
      </c>
      <c r="M554" s="13" t="str">
        <f aca="false">IF($C554="","",IFERROR(INDEX(품목마스터!$F$3:$F$302,MATCH($C554,품목마스터!$A$3:$A$302,0)),0)+SUMIFS($L$3:$L554,$C$3:$C554,$C554))</f>
        <v/>
      </c>
    </row>
    <row r="555" customFormat="false" ht="15" hidden="false" customHeight="true" outlineLevel="0" collapsed="false">
      <c r="A555" s="11"/>
      <c r="B555" s="7"/>
      <c r="C555" s="7"/>
      <c r="D555" s="12" t="str">
        <f aca="false">IF($C555="","",IFERROR(INDEX(품목마스터!$B$3:$B$302,MATCH($C555,품목마스터!$A$3:$A$302,0)),"미등록품번"))</f>
        <v/>
      </c>
      <c r="E555" s="12" t="str">
        <f aca="false">IF($C555="","",IFERROR(INDEX(품목마스터!$C$3:$C$302,MATCH($C555,품목마스터!$A$3:$A$302,0)),""))</f>
        <v/>
      </c>
      <c r="F555" s="12" t="str">
        <f aca="false">IF($C555="","",IFERROR(INDEX(품목마스터!$D$3:$D$302,MATCH($C555,품목마스터!$A$3:$A$302,0)),""))</f>
        <v/>
      </c>
      <c r="G555" s="9"/>
      <c r="H555" s="9"/>
      <c r="I555" s="13" t="str">
        <f aca="false">IF(OR($G555="",$H555=""),"",ROUND($G555*$H555,0))</f>
        <v/>
      </c>
      <c r="J555" s="7"/>
      <c r="K555" s="7"/>
      <c r="L555" s="14" t="str">
        <f aca="false">IF(OR($C555="",$G555=""),"",IF($B555="입고",$G555,IF($B555="출고",-$G555,$G555)))</f>
        <v/>
      </c>
      <c r="M555" s="13" t="str">
        <f aca="false">IF($C555="","",IFERROR(INDEX(품목마스터!$F$3:$F$302,MATCH($C555,품목마스터!$A$3:$A$302,0)),0)+SUMIFS($L$3:$L555,$C$3:$C555,$C555))</f>
        <v/>
      </c>
    </row>
    <row r="556" customFormat="false" ht="15" hidden="false" customHeight="true" outlineLevel="0" collapsed="false">
      <c r="A556" s="11"/>
      <c r="B556" s="7"/>
      <c r="C556" s="7"/>
      <c r="D556" s="12" t="str">
        <f aca="false">IF($C556="","",IFERROR(INDEX(품목마스터!$B$3:$B$302,MATCH($C556,품목마스터!$A$3:$A$302,0)),"미등록품번"))</f>
        <v/>
      </c>
      <c r="E556" s="12" t="str">
        <f aca="false">IF($C556="","",IFERROR(INDEX(품목마스터!$C$3:$C$302,MATCH($C556,품목마스터!$A$3:$A$302,0)),""))</f>
        <v/>
      </c>
      <c r="F556" s="12" t="str">
        <f aca="false">IF($C556="","",IFERROR(INDEX(품목마스터!$D$3:$D$302,MATCH($C556,품목마스터!$A$3:$A$302,0)),""))</f>
        <v/>
      </c>
      <c r="G556" s="9"/>
      <c r="H556" s="9"/>
      <c r="I556" s="13" t="str">
        <f aca="false">IF(OR($G556="",$H556=""),"",ROUND($G556*$H556,0))</f>
        <v/>
      </c>
      <c r="J556" s="7"/>
      <c r="K556" s="7"/>
      <c r="L556" s="14" t="str">
        <f aca="false">IF(OR($C556="",$G556=""),"",IF($B556="입고",$G556,IF($B556="출고",-$G556,$G556)))</f>
        <v/>
      </c>
      <c r="M556" s="13" t="str">
        <f aca="false">IF($C556="","",IFERROR(INDEX(품목마스터!$F$3:$F$302,MATCH($C556,품목마스터!$A$3:$A$302,0)),0)+SUMIFS($L$3:$L556,$C$3:$C556,$C556))</f>
        <v/>
      </c>
    </row>
    <row r="557" customFormat="false" ht="15" hidden="false" customHeight="true" outlineLevel="0" collapsed="false">
      <c r="A557" s="11"/>
      <c r="B557" s="7"/>
      <c r="C557" s="7"/>
      <c r="D557" s="12" t="str">
        <f aca="false">IF($C557="","",IFERROR(INDEX(품목마스터!$B$3:$B$302,MATCH($C557,품목마스터!$A$3:$A$302,0)),"미등록품번"))</f>
        <v/>
      </c>
      <c r="E557" s="12" t="str">
        <f aca="false">IF($C557="","",IFERROR(INDEX(품목마스터!$C$3:$C$302,MATCH($C557,품목마스터!$A$3:$A$302,0)),""))</f>
        <v/>
      </c>
      <c r="F557" s="12" t="str">
        <f aca="false">IF($C557="","",IFERROR(INDEX(품목마스터!$D$3:$D$302,MATCH($C557,품목마스터!$A$3:$A$302,0)),""))</f>
        <v/>
      </c>
      <c r="G557" s="9"/>
      <c r="H557" s="9"/>
      <c r="I557" s="13" t="str">
        <f aca="false">IF(OR($G557="",$H557=""),"",ROUND($G557*$H557,0))</f>
        <v/>
      </c>
      <c r="J557" s="7"/>
      <c r="K557" s="7"/>
      <c r="L557" s="14" t="str">
        <f aca="false">IF(OR($C557="",$G557=""),"",IF($B557="입고",$G557,IF($B557="출고",-$G557,$G557)))</f>
        <v/>
      </c>
      <c r="M557" s="13" t="str">
        <f aca="false">IF($C557="","",IFERROR(INDEX(품목마스터!$F$3:$F$302,MATCH($C557,품목마스터!$A$3:$A$302,0)),0)+SUMIFS($L$3:$L557,$C$3:$C557,$C557))</f>
        <v/>
      </c>
    </row>
    <row r="558" customFormat="false" ht="15" hidden="false" customHeight="true" outlineLevel="0" collapsed="false">
      <c r="A558" s="11"/>
      <c r="B558" s="7"/>
      <c r="C558" s="7"/>
      <c r="D558" s="12" t="str">
        <f aca="false">IF($C558="","",IFERROR(INDEX(품목마스터!$B$3:$B$302,MATCH($C558,품목마스터!$A$3:$A$302,0)),"미등록품번"))</f>
        <v/>
      </c>
      <c r="E558" s="12" t="str">
        <f aca="false">IF($C558="","",IFERROR(INDEX(품목마스터!$C$3:$C$302,MATCH($C558,품목마스터!$A$3:$A$302,0)),""))</f>
        <v/>
      </c>
      <c r="F558" s="12" t="str">
        <f aca="false">IF($C558="","",IFERROR(INDEX(품목마스터!$D$3:$D$302,MATCH($C558,품목마스터!$A$3:$A$302,0)),""))</f>
        <v/>
      </c>
      <c r="G558" s="9"/>
      <c r="H558" s="9"/>
      <c r="I558" s="13" t="str">
        <f aca="false">IF(OR($G558="",$H558=""),"",ROUND($G558*$H558,0))</f>
        <v/>
      </c>
      <c r="J558" s="7"/>
      <c r="K558" s="7"/>
      <c r="L558" s="14" t="str">
        <f aca="false">IF(OR($C558="",$G558=""),"",IF($B558="입고",$G558,IF($B558="출고",-$G558,$G558)))</f>
        <v/>
      </c>
      <c r="M558" s="13" t="str">
        <f aca="false">IF($C558="","",IFERROR(INDEX(품목마스터!$F$3:$F$302,MATCH($C558,품목마스터!$A$3:$A$302,0)),0)+SUMIFS($L$3:$L558,$C$3:$C558,$C558))</f>
        <v/>
      </c>
    </row>
    <row r="559" customFormat="false" ht="15" hidden="false" customHeight="true" outlineLevel="0" collapsed="false">
      <c r="A559" s="11"/>
      <c r="B559" s="7"/>
      <c r="C559" s="7"/>
      <c r="D559" s="12" t="str">
        <f aca="false">IF($C559="","",IFERROR(INDEX(품목마스터!$B$3:$B$302,MATCH($C559,품목마스터!$A$3:$A$302,0)),"미등록품번"))</f>
        <v/>
      </c>
      <c r="E559" s="12" t="str">
        <f aca="false">IF($C559="","",IFERROR(INDEX(품목마스터!$C$3:$C$302,MATCH($C559,품목마스터!$A$3:$A$302,0)),""))</f>
        <v/>
      </c>
      <c r="F559" s="12" t="str">
        <f aca="false">IF($C559="","",IFERROR(INDEX(품목마스터!$D$3:$D$302,MATCH($C559,품목마스터!$A$3:$A$302,0)),""))</f>
        <v/>
      </c>
      <c r="G559" s="9"/>
      <c r="H559" s="9"/>
      <c r="I559" s="13" t="str">
        <f aca="false">IF(OR($G559="",$H559=""),"",ROUND($G559*$H559,0))</f>
        <v/>
      </c>
      <c r="J559" s="7"/>
      <c r="K559" s="7"/>
      <c r="L559" s="14" t="str">
        <f aca="false">IF(OR($C559="",$G559=""),"",IF($B559="입고",$G559,IF($B559="출고",-$G559,$G559)))</f>
        <v/>
      </c>
      <c r="M559" s="13" t="str">
        <f aca="false">IF($C559="","",IFERROR(INDEX(품목마스터!$F$3:$F$302,MATCH($C559,품목마스터!$A$3:$A$302,0)),0)+SUMIFS($L$3:$L559,$C$3:$C559,$C559))</f>
        <v/>
      </c>
    </row>
    <row r="560" customFormat="false" ht="15" hidden="false" customHeight="true" outlineLevel="0" collapsed="false">
      <c r="A560" s="11"/>
      <c r="B560" s="7"/>
      <c r="C560" s="7"/>
      <c r="D560" s="12" t="str">
        <f aca="false">IF($C560="","",IFERROR(INDEX(품목마스터!$B$3:$B$302,MATCH($C560,품목마스터!$A$3:$A$302,0)),"미등록품번"))</f>
        <v/>
      </c>
      <c r="E560" s="12" t="str">
        <f aca="false">IF($C560="","",IFERROR(INDEX(품목마스터!$C$3:$C$302,MATCH($C560,품목마스터!$A$3:$A$302,0)),""))</f>
        <v/>
      </c>
      <c r="F560" s="12" t="str">
        <f aca="false">IF($C560="","",IFERROR(INDEX(품목마스터!$D$3:$D$302,MATCH($C560,품목마스터!$A$3:$A$302,0)),""))</f>
        <v/>
      </c>
      <c r="G560" s="9"/>
      <c r="H560" s="9"/>
      <c r="I560" s="13" t="str">
        <f aca="false">IF(OR($G560="",$H560=""),"",ROUND($G560*$H560,0))</f>
        <v/>
      </c>
      <c r="J560" s="7"/>
      <c r="K560" s="7"/>
      <c r="L560" s="14" t="str">
        <f aca="false">IF(OR($C560="",$G560=""),"",IF($B560="입고",$G560,IF($B560="출고",-$G560,$G560)))</f>
        <v/>
      </c>
      <c r="M560" s="13" t="str">
        <f aca="false">IF($C560="","",IFERROR(INDEX(품목마스터!$F$3:$F$302,MATCH($C560,품목마스터!$A$3:$A$302,0)),0)+SUMIFS($L$3:$L560,$C$3:$C560,$C560))</f>
        <v/>
      </c>
    </row>
    <row r="561" customFormat="false" ht="15" hidden="false" customHeight="true" outlineLevel="0" collapsed="false">
      <c r="A561" s="11"/>
      <c r="B561" s="7"/>
      <c r="C561" s="7"/>
      <c r="D561" s="12" t="str">
        <f aca="false">IF($C561="","",IFERROR(INDEX(품목마스터!$B$3:$B$302,MATCH($C561,품목마스터!$A$3:$A$302,0)),"미등록품번"))</f>
        <v/>
      </c>
      <c r="E561" s="12" t="str">
        <f aca="false">IF($C561="","",IFERROR(INDEX(품목마스터!$C$3:$C$302,MATCH($C561,품목마스터!$A$3:$A$302,0)),""))</f>
        <v/>
      </c>
      <c r="F561" s="12" t="str">
        <f aca="false">IF($C561="","",IFERROR(INDEX(품목마스터!$D$3:$D$302,MATCH($C561,품목마스터!$A$3:$A$302,0)),""))</f>
        <v/>
      </c>
      <c r="G561" s="9"/>
      <c r="H561" s="9"/>
      <c r="I561" s="13" t="str">
        <f aca="false">IF(OR($G561="",$H561=""),"",ROUND($G561*$H561,0))</f>
        <v/>
      </c>
      <c r="J561" s="7"/>
      <c r="K561" s="7"/>
      <c r="L561" s="14" t="str">
        <f aca="false">IF(OR($C561="",$G561=""),"",IF($B561="입고",$G561,IF($B561="출고",-$G561,$G561)))</f>
        <v/>
      </c>
      <c r="M561" s="13" t="str">
        <f aca="false">IF($C561="","",IFERROR(INDEX(품목마스터!$F$3:$F$302,MATCH($C561,품목마스터!$A$3:$A$302,0)),0)+SUMIFS($L$3:$L561,$C$3:$C561,$C561))</f>
        <v/>
      </c>
    </row>
    <row r="562" customFormat="false" ht="15" hidden="false" customHeight="true" outlineLevel="0" collapsed="false">
      <c r="A562" s="11"/>
      <c r="B562" s="7"/>
      <c r="C562" s="7"/>
      <c r="D562" s="12" t="str">
        <f aca="false">IF($C562="","",IFERROR(INDEX(품목마스터!$B$3:$B$302,MATCH($C562,품목마스터!$A$3:$A$302,0)),"미등록품번"))</f>
        <v/>
      </c>
      <c r="E562" s="12" t="str">
        <f aca="false">IF($C562="","",IFERROR(INDEX(품목마스터!$C$3:$C$302,MATCH($C562,품목마스터!$A$3:$A$302,0)),""))</f>
        <v/>
      </c>
      <c r="F562" s="12" t="str">
        <f aca="false">IF($C562="","",IFERROR(INDEX(품목마스터!$D$3:$D$302,MATCH($C562,품목마스터!$A$3:$A$302,0)),""))</f>
        <v/>
      </c>
      <c r="G562" s="9"/>
      <c r="H562" s="9"/>
      <c r="I562" s="13" t="str">
        <f aca="false">IF(OR($G562="",$H562=""),"",ROUND($G562*$H562,0))</f>
        <v/>
      </c>
      <c r="J562" s="7"/>
      <c r="K562" s="7"/>
      <c r="L562" s="14" t="str">
        <f aca="false">IF(OR($C562="",$G562=""),"",IF($B562="입고",$G562,IF($B562="출고",-$G562,$G562)))</f>
        <v/>
      </c>
      <c r="M562" s="13" t="str">
        <f aca="false">IF($C562="","",IFERROR(INDEX(품목마스터!$F$3:$F$302,MATCH($C562,품목마스터!$A$3:$A$302,0)),0)+SUMIFS($L$3:$L562,$C$3:$C562,$C562))</f>
        <v/>
      </c>
    </row>
    <row r="563" customFormat="false" ht="15" hidden="false" customHeight="true" outlineLevel="0" collapsed="false">
      <c r="A563" s="11"/>
      <c r="B563" s="7"/>
      <c r="C563" s="7"/>
      <c r="D563" s="12" t="str">
        <f aca="false">IF($C563="","",IFERROR(INDEX(품목마스터!$B$3:$B$302,MATCH($C563,품목마스터!$A$3:$A$302,0)),"미등록품번"))</f>
        <v/>
      </c>
      <c r="E563" s="12" t="str">
        <f aca="false">IF($C563="","",IFERROR(INDEX(품목마스터!$C$3:$C$302,MATCH($C563,품목마스터!$A$3:$A$302,0)),""))</f>
        <v/>
      </c>
      <c r="F563" s="12" t="str">
        <f aca="false">IF($C563="","",IFERROR(INDEX(품목마스터!$D$3:$D$302,MATCH($C563,품목마스터!$A$3:$A$302,0)),""))</f>
        <v/>
      </c>
      <c r="G563" s="9"/>
      <c r="H563" s="9"/>
      <c r="I563" s="13" t="str">
        <f aca="false">IF(OR($G563="",$H563=""),"",ROUND($G563*$H563,0))</f>
        <v/>
      </c>
      <c r="J563" s="7"/>
      <c r="K563" s="7"/>
      <c r="L563" s="14" t="str">
        <f aca="false">IF(OR($C563="",$G563=""),"",IF($B563="입고",$G563,IF($B563="출고",-$G563,$G563)))</f>
        <v/>
      </c>
      <c r="M563" s="13" t="str">
        <f aca="false">IF($C563="","",IFERROR(INDEX(품목마스터!$F$3:$F$302,MATCH($C563,품목마스터!$A$3:$A$302,0)),0)+SUMIFS($L$3:$L563,$C$3:$C563,$C563))</f>
        <v/>
      </c>
    </row>
    <row r="564" customFormat="false" ht="15" hidden="false" customHeight="true" outlineLevel="0" collapsed="false">
      <c r="A564" s="11"/>
      <c r="B564" s="7"/>
      <c r="C564" s="7"/>
      <c r="D564" s="12" t="str">
        <f aca="false">IF($C564="","",IFERROR(INDEX(품목마스터!$B$3:$B$302,MATCH($C564,품목마스터!$A$3:$A$302,0)),"미등록품번"))</f>
        <v/>
      </c>
      <c r="E564" s="12" t="str">
        <f aca="false">IF($C564="","",IFERROR(INDEX(품목마스터!$C$3:$C$302,MATCH($C564,품목마스터!$A$3:$A$302,0)),""))</f>
        <v/>
      </c>
      <c r="F564" s="12" t="str">
        <f aca="false">IF($C564="","",IFERROR(INDEX(품목마스터!$D$3:$D$302,MATCH($C564,품목마스터!$A$3:$A$302,0)),""))</f>
        <v/>
      </c>
      <c r="G564" s="9"/>
      <c r="H564" s="9"/>
      <c r="I564" s="13" t="str">
        <f aca="false">IF(OR($G564="",$H564=""),"",ROUND($G564*$H564,0))</f>
        <v/>
      </c>
      <c r="J564" s="7"/>
      <c r="K564" s="7"/>
      <c r="L564" s="14" t="str">
        <f aca="false">IF(OR($C564="",$G564=""),"",IF($B564="입고",$G564,IF($B564="출고",-$G564,$G564)))</f>
        <v/>
      </c>
      <c r="M564" s="13" t="str">
        <f aca="false">IF($C564="","",IFERROR(INDEX(품목마스터!$F$3:$F$302,MATCH($C564,품목마스터!$A$3:$A$302,0)),0)+SUMIFS($L$3:$L564,$C$3:$C564,$C564))</f>
        <v/>
      </c>
    </row>
    <row r="565" customFormat="false" ht="15" hidden="false" customHeight="true" outlineLevel="0" collapsed="false">
      <c r="A565" s="11"/>
      <c r="B565" s="7"/>
      <c r="C565" s="7"/>
      <c r="D565" s="12" t="str">
        <f aca="false">IF($C565="","",IFERROR(INDEX(품목마스터!$B$3:$B$302,MATCH($C565,품목마스터!$A$3:$A$302,0)),"미등록품번"))</f>
        <v/>
      </c>
      <c r="E565" s="12" t="str">
        <f aca="false">IF($C565="","",IFERROR(INDEX(품목마스터!$C$3:$C$302,MATCH($C565,품목마스터!$A$3:$A$302,0)),""))</f>
        <v/>
      </c>
      <c r="F565" s="12" t="str">
        <f aca="false">IF($C565="","",IFERROR(INDEX(품목마스터!$D$3:$D$302,MATCH($C565,품목마스터!$A$3:$A$302,0)),""))</f>
        <v/>
      </c>
      <c r="G565" s="9"/>
      <c r="H565" s="9"/>
      <c r="I565" s="13" t="str">
        <f aca="false">IF(OR($G565="",$H565=""),"",ROUND($G565*$H565,0))</f>
        <v/>
      </c>
      <c r="J565" s="7"/>
      <c r="K565" s="7"/>
      <c r="L565" s="14" t="str">
        <f aca="false">IF(OR($C565="",$G565=""),"",IF($B565="입고",$G565,IF($B565="출고",-$G565,$G565)))</f>
        <v/>
      </c>
      <c r="M565" s="13" t="str">
        <f aca="false">IF($C565="","",IFERROR(INDEX(품목마스터!$F$3:$F$302,MATCH($C565,품목마스터!$A$3:$A$302,0)),0)+SUMIFS($L$3:$L565,$C$3:$C565,$C565))</f>
        <v/>
      </c>
    </row>
    <row r="566" customFormat="false" ht="15" hidden="false" customHeight="true" outlineLevel="0" collapsed="false">
      <c r="A566" s="11"/>
      <c r="B566" s="7"/>
      <c r="C566" s="7"/>
      <c r="D566" s="12" t="str">
        <f aca="false">IF($C566="","",IFERROR(INDEX(품목마스터!$B$3:$B$302,MATCH($C566,품목마스터!$A$3:$A$302,0)),"미등록품번"))</f>
        <v/>
      </c>
      <c r="E566" s="12" t="str">
        <f aca="false">IF($C566="","",IFERROR(INDEX(품목마스터!$C$3:$C$302,MATCH($C566,품목마스터!$A$3:$A$302,0)),""))</f>
        <v/>
      </c>
      <c r="F566" s="12" t="str">
        <f aca="false">IF($C566="","",IFERROR(INDEX(품목마스터!$D$3:$D$302,MATCH($C566,품목마스터!$A$3:$A$302,0)),""))</f>
        <v/>
      </c>
      <c r="G566" s="9"/>
      <c r="H566" s="9"/>
      <c r="I566" s="13" t="str">
        <f aca="false">IF(OR($G566="",$H566=""),"",ROUND($G566*$H566,0))</f>
        <v/>
      </c>
      <c r="J566" s="7"/>
      <c r="K566" s="7"/>
      <c r="L566" s="14" t="str">
        <f aca="false">IF(OR($C566="",$G566=""),"",IF($B566="입고",$G566,IF($B566="출고",-$G566,$G566)))</f>
        <v/>
      </c>
      <c r="M566" s="13" t="str">
        <f aca="false">IF($C566="","",IFERROR(INDEX(품목마스터!$F$3:$F$302,MATCH($C566,품목마스터!$A$3:$A$302,0)),0)+SUMIFS($L$3:$L566,$C$3:$C566,$C566))</f>
        <v/>
      </c>
    </row>
    <row r="567" customFormat="false" ht="15" hidden="false" customHeight="true" outlineLevel="0" collapsed="false">
      <c r="A567" s="11"/>
      <c r="B567" s="7"/>
      <c r="C567" s="7"/>
      <c r="D567" s="12" t="str">
        <f aca="false">IF($C567="","",IFERROR(INDEX(품목마스터!$B$3:$B$302,MATCH($C567,품목마스터!$A$3:$A$302,0)),"미등록품번"))</f>
        <v/>
      </c>
      <c r="E567" s="12" t="str">
        <f aca="false">IF($C567="","",IFERROR(INDEX(품목마스터!$C$3:$C$302,MATCH($C567,품목마스터!$A$3:$A$302,0)),""))</f>
        <v/>
      </c>
      <c r="F567" s="12" t="str">
        <f aca="false">IF($C567="","",IFERROR(INDEX(품목마스터!$D$3:$D$302,MATCH($C567,품목마스터!$A$3:$A$302,0)),""))</f>
        <v/>
      </c>
      <c r="G567" s="9"/>
      <c r="H567" s="9"/>
      <c r="I567" s="13" t="str">
        <f aca="false">IF(OR($G567="",$H567=""),"",ROUND($G567*$H567,0))</f>
        <v/>
      </c>
      <c r="J567" s="7"/>
      <c r="K567" s="7"/>
      <c r="L567" s="14" t="str">
        <f aca="false">IF(OR($C567="",$G567=""),"",IF($B567="입고",$G567,IF($B567="출고",-$G567,$G567)))</f>
        <v/>
      </c>
      <c r="M567" s="13" t="str">
        <f aca="false">IF($C567="","",IFERROR(INDEX(품목마스터!$F$3:$F$302,MATCH($C567,품목마스터!$A$3:$A$302,0)),0)+SUMIFS($L$3:$L567,$C$3:$C567,$C567))</f>
        <v/>
      </c>
    </row>
    <row r="568" customFormat="false" ht="15" hidden="false" customHeight="true" outlineLevel="0" collapsed="false">
      <c r="A568" s="11"/>
      <c r="B568" s="7"/>
      <c r="C568" s="7"/>
      <c r="D568" s="12" t="str">
        <f aca="false">IF($C568="","",IFERROR(INDEX(품목마스터!$B$3:$B$302,MATCH($C568,품목마스터!$A$3:$A$302,0)),"미등록품번"))</f>
        <v/>
      </c>
      <c r="E568" s="12" t="str">
        <f aca="false">IF($C568="","",IFERROR(INDEX(품목마스터!$C$3:$C$302,MATCH($C568,품목마스터!$A$3:$A$302,0)),""))</f>
        <v/>
      </c>
      <c r="F568" s="12" t="str">
        <f aca="false">IF($C568="","",IFERROR(INDEX(품목마스터!$D$3:$D$302,MATCH($C568,품목마스터!$A$3:$A$302,0)),""))</f>
        <v/>
      </c>
      <c r="G568" s="9"/>
      <c r="H568" s="9"/>
      <c r="I568" s="13" t="str">
        <f aca="false">IF(OR($G568="",$H568=""),"",ROUND($G568*$H568,0))</f>
        <v/>
      </c>
      <c r="J568" s="7"/>
      <c r="K568" s="7"/>
      <c r="L568" s="14" t="str">
        <f aca="false">IF(OR($C568="",$G568=""),"",IF($B568="입고",$G568,IF($B568="출고",-$G568,$G568)))</f>
        <v/>
      </c>
      <c r="M568" s="13" t="str">
        <f aca="false">IF($C568="","",IFERROR(INDEX(품목마스터!$F$3:$F$302,MATCH($C568,품목마스터!$A$3:$A$302,0)),0)+SUMIFS($L$3:$L568,$C$3:$C568,$C568))</f>
        <v/>
      </c>
    </row>
    <row r="569" customFormat="false" ht="15" hidden="false" customHeight="true" outlineLevel="0" collapsed="false">
      <c r="A569" s="11"/>
      <c r="B569" s="7"/>
      <c r="C569" s="7"/>
      <c r="D569" s="12" t="str">
        <f aca="false">IF($C569="","",IFERROR(INDEX(품목마스터!$B$3:$B$302,MATCH($C569,품목마스터!$A$3:$A$302,0)),"미등록품번"))</f>
        <v/>
      </c>
      <c r="E569" s="12" t="str">
        <f aca="false">IF($C569="","",IFERROR(INDEX(품목마스터!$C$3:$C$302,MATCH($C569,품목마스터!$A$3:$A$302,0)),""))</f>
        <v/>
      </c>
      <c r="F569" s="12" t="str">
        <f aca="false">IF($C569="","",IFERROR(INDEX(품목마스터!$D$3:$D$302,MATCH($C569,품목마스터!$A$3:$A$302,0)),""))</f>
        <v/>
      </c>
      <c r="G569" s="9"/>
      <c r="H569" s="9"/>
      <c r="I569" s="13" t="str">
        <f aca="false">IF(OR($G569="",$H569=""),"",ROUND($G569*$H569,0))</f>
        <v/>
      </c>
      <c r="J569" s="7"/>
      <c r="K569" s="7"/>
      <c r="L569" s="14" t="str">
        <f aca="false">IF(OR($C569="",$G569=""),"",IF($B569="입고",$G569,IF($B569="출고",-$G569,$G569)))</f>
        <v/>
      </c>
      <c r="M569" s="13" t="str">
        <f aca="false">IF($C569="","",IFERROR(INDEX(품목마스터!$F$3:$F$302,MATCH($C569,품목마스터!$A$3:$A$302,0)),0)+SUMIFS($L$3:$L569,$C$3:$C569,$C569))</f>
        <v/>
      </c>
    </row>
    <row r="570" customFormat="false" ht="15" hidden="false" customHeight="true" outlineLevel="0" collapsed="false">
      <c r="A570" s="11"/>
      <c r="B570" s="7"/>
      <c r="C570" s="7"/>
      <c r="D570" s="12" t="str">
        <f aca="false">IF($C570="","",IFERROR(INDEX(품목마스터!$B$3:$B$302,MATCH($C570,품목마스터!$A$3:$A$302,0)),"미등록품번"))</f>
        <v/>
      </c>
      <c r="E570" s="12" t="str">
        <f aca="false">IF($C570="","",IFERROR(INDEX(품목마스터!$C$3:$C$302,MATCH($C570,품목마스터!$A$3:$A$302,0)),""))</f>
        <v/>
      </c>
      <c r="F570" s="12" t="str">
        <f aca="false">IF($C570="","",IFERROR(INDEX(품목마스터!$D$3:$D$302,MATCH($C570,품목마스터!$A$3:$A$302,0)),""))</f>
        <v/>
      </c>
      <c r="G570" s="9"/>
      <c r="H570" s="9"/>
      <c r="I570" s="13" t="str">
        <f aca="false">IF(OR($G570="",$H570=""),"",ROUND($G570*$H570,0))</f>
        <v/>
      </c>
      <c r="J570" s="7"/>
      <c r="K570" s="7"/>
      <c r="L570" s="14" t="str">
        <f aca="false">IF(OR($C570="",$G570=""),"",IF($B570="입고",$G570,IF($B570="출고",-$G570,$G570)))</f>
        <v/>
      </c>
      <c r="M570" s="13" t="str">
        <f aca="false">IF($C570="","",IFERROR(INDEX(품목마스터!$F$3:$F$302,MATCH($C570,품목마스터!$A$3:$A$302,0)),0)+SUMIFS($L$3:$L570,$C$3:$C570,$C570))</f>
        <v/>
      </c>
    </row>
    <row r="571" customFormat="false" ht="15" hidden="false" customHeight="true" outlineLevel="0" collapsed="false">
      <c r="A571" s="11"/>
      <c r="B571" s="7"/>
      <c r="C571" s="7"/>
      <c r="D571" s="12" t="str">
        <f aca="false">IF($C571="","",IFERROR(INDEX(품목마스터!$B$3:$B$302,MATCH($C571,품목마스터!$A$3:$A$302,0)),"미등록품번"))</f>
        <v/>
      </c>
      <c r="E571" s="12" t="str">
        <f aca="false">IF($C571="","",IFERROR(INDEX(품목마스터!$C$3:$C$302,MATCH($C571,품목마스터!$A$3:$A$302,0)),""))</f>
        <v/>
      </c>
      <c r="F571" s="12" t="str">
        <f aca="false">IF($C571="","",IFERROR(INDEX(품목마스터!$D$3:$D$302,MATCH($C571,품목마스터!$A$3:$A$302,0)),""))</f>
        <v/>
      </c>
      <c r="G571" s="9"/>
      <c r="H571" s="9"/>
      <c r="I571" s="13" t="str">
        <f aca="false">IF(OR($G571="",$H571=""),"",ROUND($G571*$H571,0))</f>
        <v/>
      </c>
      <c r="J571" s="7"/>
      <c r="K571" s="7"/>
      <c r="L571" s="14" t="str">
        <f aca="false">IF(OR($C571="",$G571=""),"",IF($B571="입고",$G571,IF($B571="출고",-$G571,$G571)))</f>
        <v/>
      </c>
      <c r="M571" s="13" t="str">
        <f aca="false">IF($C571="","",IFERROR(INDEX(품목마스터!$F$3:$F$302,MATCH($C571,품목마스터!$A$3:$A$302,0)),0)+SUMIFS($L$3:$L571,$C$3:$C571,$C571))</f>
        <v/>
      </c>
    </row>
    <row r="572" customFormat="false" ht="15" hidden="false" customHeight="true" outlineLevel="0" collapsed="false">
      <c r="A572" s="11"/>
      <c r="B572" s="7"/>
      <c r="C572" s="7"/>
      <c r="D572" s="12" t="str">
        <f aca="false">IF($C572="","",IFERROR(INDEX(품목마스터!$B$3:$B$302,MATCH($C572,품목마스터!$A$3:$A$302,0)),"미등록품번"))</f>
        <v/>
      </c>
      <c r="E572" s="12" t="str">
        <f aca="false">IF($C572="","",IFERROR(INDEX(품목마스터!$C$3:$C$302,MATCH($C572,품목마스터!$A$3:$A$302,0)),""))</f>
        <v/>
      </c>
      <c r="F572" s="12" t="str">
        <f aca="false">IF($C572="","",IFERROR(INDEX(품목마스터!$D$3:$D$302,MATCH($C572,품목마스터!$A$3:$A$302,0)),""))</f>
        <v/>
      </c>
      <c r="G572" s="9"/>
      <c r="H572" s="9"/>
      <c r="I572" s="13" t="str">
        <f aca="false">IF(OR($G572="",$H572=""),"",ROUND($G572*$H572,0))</f>
        <v/>
      </c>
      <c r="J572" s="7"/>
      <c r="K572" s="7"/>
      <c r="L572" s="14" t="str">
        <f aca="false">IF(OR($C572="",$G572=""),"",IF($B572="입고",$G572,IF($B572="출고",-$G572,$G572)))</f>
        <v/>
      </c>
      <c r="M572" s="13" t="str">
        <f aca="false">IF($C572="","",IFERROR(INDEX(품목마스터!$F$3:$F$302,MATCH($C572,품목마스터!$A$3:$A$302,0)),0)+SUMIFS($L$3:$L572,$C$3:$C572,$C572))</f>
        <v/>
      </c>
    </row>
    <row r="573" customFormat="false" ht="15" hidden="false" customHeight="true" outlineLevel="0" collapsed="false">
      <c r="A573" s="11"/>
      <c r="B573" s="7"/>
      <c r="C573" s="7"/>
      <c r="D573" s="12" t="str">
        <f aca="false">IF($C573="","",IFERROR(INDEX(품목마스터!$B$3:$B$302,MATCH($C573,품목마스터!$A$3:$A$302,0)),"미등록품번"))</f>
        <v/>
      </c>
      <c r="E573" s="12" t="str">
        <f aca="false">IF($C573="","",IFERROR(INDEX(품목마스터!$C$3:$C$302,MATCH($C573,품목마스터!$A$3:$A$302,0)),""))</f>
        <v/>
      </c>
      <c r="F573" s="12" t="str">
        <f aca="false">IF($C573="","",IFERROR(INDEX(품목마스터!$D$3:$D$302,MATCH($C573,품목마스터!$A$3:$A$302,0)),""))</f>
        <v/>
      </c>
      <c r="G573" s="9"/>
      <c r="H573" s="9"/>
      <c r="I573" s="13" t="str">
        <f aca="false">IF(OR($G573="",$H573=""),"",ROUND($G573*$H573,0))</f>
        <v/>
      </c>
      <c r="J573" s="7"/>
      <c r="K573" s="7"/>
      <c r="L573" s="14" t="str">
        <f aca="false">IF(OR($C573="",$G573=""),"",IF($B573="입고",$G573,IF($B573="출고",-$G573,$G573)))</f>
        <v/>
      </c>
      <c r="M573" s="13" t="str">
        <f aca="false">IF($C573="","",IFERROR(INDEX(품목마스터!$F$3:$F$302,MATCH($C573,품목마스터!$A$3:$A$302,0)),0)+SUMIFS($L$3:$L573,$C$3:$C573,$C573))</f>
        <v/>
      </c>
    </row>
    <row r="574" customFormat="false" ht="15" hidden="false" customHeight="true" outlineLevel="0" collapsed="false">
      <c r="A574" s="11"/>
      <c r="B574" s="7"/>
      <c r="C574" s="7"/>
      <c r="D574" s="12" t="str">
        <f aca="false">IF($C574="","",IFERROR(INDEX(품목마스터!$B$3:$B$302,MATCH($C574,품목마스터!$A$3:$A$302,0)),"미등록품번"))</f>
        <v/>
      </c>
      <c r="E574" s="12" t="str">
        <f aca="false">IF($C574="","",IFERROR(INDEX(품목마스터!$C$3:$C$302,MATCH($C574,품목마스터!$A$3:$A$302,0)),""))</f>
        <v/>
      </c>
      <c r="F574" s="12" t="str">
        <f aca="false">IF($C574="","",IFERROR(INDEX(품목마스터!$D$3:$D$302,MATCH($C574,품목마스터!$A$3:$A$302,0)),""))</f>
        <v/>
      </c>
      <c r="G574" s="9"/>
      <c r="H574" s="9"/>
      <c r="I574" s="13" t="str">
        <f aca="false">IF(OR($G574="",$H574=""),"",ROUND($G574*$H574,0))</f>
        <v/>
      </c>
      <c r="J574" s="7"/>
      <c r="K574" s="7"/>
      <c r="L574" s="14" t="str">
        <f aca="false">IF(OR($C574="",$G574=""),"",IF($B574="입고",$G574,IF($B574="출고",-$G574,$G574)))</f>
        <v/>
      </c>
      <c r="M574" s="13" t="str">
        <f aca="false">IF($C574="","",IFERROR(INDEX(품목마스터!$F$3:$F$302,MATCH($C574,품목마스터!$A$3:$A$302,0)),0)+SUMIFS($L$3:$L574,$C$3:$C574,$C574))</f>
        <v/>
      </c>
    </row>
    <row r="575" customFormat="false" ht="15" hidden="false" customHeight="true" outlineLevel="0" collapsed="false">
      <c r="A575" s="11"/>
      <c r="B575" s="7"/>
      <c r="C575" s="7"/>
      <c r="D575" s="12" t="str">
        <f aca="false">IF($C575="","",IFERROR(INDEX(품목마스터!$B$3:$B$302,MATCH($C575,품목마스터!$A$3:$A$302,0)),"미등록품번"))</f>
        <v/>
      </c>
      <c r="E575" s="12" t="str">
        <f aca="false">IF($C575="","",IFERROR(INDEX(품목마스터!$C$3:$C$302,MATCH($C575,품목마스터!$A$3:$A$302,0)),""))</f>
        <v/>
      </c>
      <c r="F575" s="12" t="str">
        <f aca="false">IF($C575="","",IFERROR(INDEX(품목마스터!$D$3:$D$302,MATCH($C575,품목마스터!$A$3:$A$302,0)),""))</f>
        <v/>
      </c>
      <c r="G575" s="9"/>
      <c r="H575" s="9"/>
      <c r="I575" s="13" t="str">
        <f aca="false">IF(OR($G575="",$H575=""),"",ROUND($G575*$H575,0))</f>
        <v/>
      </c>
      <c r="J575" s="7"/>
      <c r="K575" s="7"/>
      <c r="L575" s="14" t="str">
        <f aca="false">IF(OR($C575="",$G575=""),"",IF($B575="입고",$G575,IF($B575="출고",-$G575,$G575)))</f>
        <v/>
      </c>
      <c r="M575" s="13" t="str">
        <f aca="false">IF($C575="","",IFERROR(INDEX(품목마스터!$F$3:$F$302,MATCH($C575,품목마스터!$A$3:$A$302,0)),0)+SUMIFS($L$3:$L575,$C$3:$C575,$C575))</f>
        <v/>
      </c>
    </row>
    <row r="576" customFormat="false" ht="15" hidden="false" customHeight="true" outlineLevel="0" collapsed="false">
      <c r="A576" s="11"/>
      <c r="B576" s="7"/>
      <c r="C576" s="7"/>
      <c r="D576" s="12" t="str">
        <f aca="false">IF($C576="","",IFERROR(INDEX(품목마스터!$B$3:$B$302,MATCH($C576,품목마스터!$A$3:$A$302,0)),"미등록품번"))</f>
        <v/>
      </c>
      <c r="E576" s="12" t="str">
        <f aca="false">IF($C576="","",IFERROR(INDEX(품목마스터!$C$3:$C$302,MATCH($C576,품목마스터!$A$3:$A$302,0)),""))</f>
        <v/>
      </c>
      <c r="F576" s="12" t="str">
        <f aca="false">IF($C576="","",IFERROR(INDEX(품목마스터!$D$3:$D$302,MATCH($C576,품목마스터!$A$3:$A$302,0)),""))</f>
        <v/>
      </c>
      <c r="G576" s="9"/>
      <c r="H576" s="9"/>
      <c r="I576" s="13" t="str">
        <f aca="false">IF(OR($G576="",$H576=""),"",ROUND($G576*$H576,0))</f>
        <v/>
      </c>
      <c r="J576" s="7"/>
      <c r="K576" s="7"/>
      <c r="L576" s="14" t="str">
        <f aca="false">IF(OR($C576="",$G576=""),"",IF($B576="입고",$G576,IF($B576="출고",-$G576,$G576)))</f>
        <v/>
      </c>
      <c r="M576" s="13" t="str">
        <f aca="false">IF($C576="","",IFERROR(INDEX(품목마스터!$F$3:$F$302,MATCH($C576,품목마스터!$A$3:$A$302,0)),0)+SUMIFS($L$3:$L576,$C$3:$C576,$C576))</f>
        <v/>
      </c>
    </row>
    <row r="577" customFormat="false" ht="15" hidden="false" customHeight="true" outlineLevel="0" collapsed="false">
      <c r="A577" s="11"/>
      <c r="B577" s="7"/>
      <c r="C577" s="7"/>
      <c r="D577" s="12" t="str">
        <f aca="false">IF($C577="","",IFERROR(INDEX(품목마스터!$B$3:$B$302,MATCH($C577,품목마스터!$A$3:$A$302,0)),"미등록품번"))</f>
        <v/>
      </c>
      <c r="E577" s="12" t="str">
        <f aca="false">IF($C577="","",IFERROR(INDEX(품목마스터!$C$3:$C$302,MATCH($C577,품목마스터!$A$3:$A$302,0)),""))</f>
        <v/>
      </c>
      <c r="F577" s="12" t="str">
        <f aca="false">IF($C577="","",IFERROR(INDEX(품목마스터!$D$3:$D$302,MATCH($C577,품목마스터!$A$3:$A$302,0)),""))</f>
        <v/>
      </c>
      <c r="G577" s="9"/>
      <c r="H577" s="9"/>
      <c r="I577" s="13" t="str">
        <f aca="false">IF(OR($G577="",$H577=""),"",ROUND($G577*$H577,0))</f>
        <v/>
      </c>
      <c r="J577" s="7"/>
      <c r="K577" s="7"/>
      <c r="L577" s="14" t="str">
        <f aca="false">IF(OR($C577="",$G577=""),"",IF($B577="입고",$G577,IF($B577="출고",-$G577,$G577)))</f>
        <v/>
      </c>
      <c r="M577" s="13" t="str">
        <f aca="false">IF($C577="","",IFERROR(INDEX(품목마스터!$F$3:$F$302,MATCH($C577,품목마스터!$A$3:$A$302,0)),0)+SUMIFS($L$3:$L577,$C$3:$C577,$C577))</f>
        <v/>
      </c>
    </row>
    <row r="578" customFormat="false" ht="15" hidden="false" customHeight="true" outlineLevel="0" collapsed="false">
      <c r="A578" s="11"/>
      <c r="B578" s="7"/>
      <c r="C578" s="7"/>
      <c r="D578" s="12" t="str">
        <f aca="false">IF($C578="","",IFERROR(INDEX(품목마스터!$B$3:$B$302,MATCH($C578,품목마스터!$A$3:$A$302,0)),"미등록품번"))</f>
        <v/>
      </c>
      <c r="E578" s="12" t="str">
        <f aca="false">IF($C578="","",IFERROR(INDEX(품목마스터!$C$3:$C$302,MATCH($C578,품목마스터!$A$3:$A$302,0)),""))</f>
        <v/>
      </c>
      <c r="F578" s="12" t="str">
        <f aca="false">IF($C578="","",IFERROR(INDEX(품목마스터!$D$3:$D$302,MATCH($C578,품목마스터!$A$3:$A$302,0)),""))</f>
        <v/>
      </c>
      <c r="G578" s="9"/>
      <c r="H578" s="9"/>
      <c r="I578" s="13" t="str">
        <f aca="false">IF(OR($G578="",$H578=""),"",ROUND($G578*$H578,0))</f>
        <v/>
      </c>
      <c r="J578" s="7"/>
      <c r="K578" s="7"/>
      <c r="L578" s="14" t="str">
        <f aca="false">IF(OR($C578="",$G578=""),"",IF($B578="입고",$G578,IF($B578="출고",-$G578,$G578)))</f>
        <v/>
      </c>
      <c r="M578" s="13" t="str">
        <f aca="false">IF($C578="","",IFERROR(INDEX(품목마스터!$F$3:$F$302,MATCH($C578,품목마스터!$A$3:$A$302,0)),0)+SUMIFS($L$3:$L578,$C$3:$C578,$C578))</f>
        <v/>
      </c>
    </row>
    <row r="579" customFormat="false" ht="15" hidden="false" customHeight="true" outlineLevel="0" collapsed="false">
      <c r="A579" s="11"/>
      <c r="B579" s="7"/>
      <c r="C579" s="7"/>
      <c r="D579" s="12" t="str">
        <f aca="false">IF($C579="","",IFERROR(INDEX(품목마스터!$B$3:$B$302,MATCH($C579,품목마스터!$A$3:$A$302,0)),"미등록품번"))</f>
        <v/>
      </c>
      <c r="E579" s="12" t="str">
        <f aca="false">IF($C579="","",IFERROR(INDEX(품목마스터!$C$3:$C$302,MATCH($C579,품목마스터!$A$3:$A$302,0)),""))</f>
        <v/>
      </c>
      <c r="F579" s="12" t="str">
        <f aca="false">IF($C579="","",IFERROR(INDEX(품목마스터!$D$3:$D$302,MATCH($C579,품목마스터!$A$3:$A$302,0)),""))</f>
        <v/>
      </c>
      <c r="G579" s="9"/>
      <c r="H579" s="9"/>
      <c r="I579" s="13" t="str">
        <f aca="false">IF(OR($G579="",$H579=""),"",ROUND($G579*$H579,0))</f>
        <v/>
      </c>
      <c r="J579" s="7"/>
      <c r="K579" s="7"/>
      <c r="L579" s="14" t="str">
        <f aca="false">IF(OR($C579="",$G579=""),"",IF($B579="입고",$G579,IF($B579="출고",-$G579,$G579)))</f>
        <v/>
      </c>
      <c r="M579" s="13" t="str">
        <f aca="false">IF($C579="","",IFERROR(INDEX(품목마스터!$F$3:$F$302,MATCH($C579,품목마스터!$A$3:$A$302,0)),0)+SUMIFS($L$3:$L579,$C$3:$C579,$C579))</f>
        <v/>
      </c>
    </row>
    <row r="580" customFormat="false" ht="15" hidden="false" customHeight="true" outlineLevel="0" collapsed="false">
      <c r="A580" s="11"/>
      <c r="B580" s="7"/>
      <c r="C580" s="7"/>
      <c r="D580" s="12" t="str">
        <f aca="false">IF($C580="","",IFERROR(INDEX(품목마스터!$B$3:$B$302,MATCH($C580,품목마스터!$A$3:$A$302,0)),"미등록품번"))</f>
        <v/>
      </c>
      <c r="E580" s="12" t="str">
        <f aca="false">IF($C580="","",IFERROR(INDEX(품목마스터!$C$3:$C$302,MATCH($C580,품목마스터!$A$3:$A$302,0)),""))</f>
        <v/>
      </c>
      <c r="F580" s="12" t="str">
        <f aca="false">IF($C580="","",IFERROR(INDEX(품목마스터!$D$3:$D$302,MATCH($C580,품목마스터!$A$3:$A$302,0)),""))</f>
        <v/>
      </c>
      <c r="G580" s="9"/>
      <c r="H580" s="9"/>
      <c r="I580" s="13" t="str">
        <f aca="false">IF(OR($G580="",$H580=""),"",ROUND($G580*$H580,0))</f>
        <v/>
      </c>
      <c r="J580" s="7"/>
      <c r="K580" s="7"/>
      <c r="L580" s="14" t="str">
        <f aca="false">IF(OR($C580="",$G580=""),"",IF($B580="입고",$G580,IF($B580="출고",-$G580,$G580)))</f>
        <v/>
      </c>
      <c r="M580" s="13" t="str">
        <f aca="false">IF($C580="","",IFERROR(INDEX(품목마스터!$F$3:$F$302,MATCH($C580,품목마스터!$A$3:$A$302,0)),0)+SUMIFS($L$3:$L580,$C$3:$C580,$C580))</f>
        <v/>
      </c>
    </row>
    <row r="581" customFormat="false" ht="15" hidden="false" customHeight="true" outlineLevel="0" collapsed="false">
      <c r="A581" s="11"/>
      <c r="B581" s="7"/>
      <c r="C581" s="7"/>
      <c r="D581" s="12" t="str">
        <f aca="false">IF($C581="","",IFERROR(INDEX(품목마스터!$B$3:$B$302,MATCH($C581,품목마스터!$A$3:$A$302,0)),"미등록품번"))</f>
        <v/>
      </c>
      <c r="E581" s="12" t="str">
        <f aca="false">IF($C581="","",IFERROR(INDEX(품목마스터!$C$3:$C$302,MATCH($C581,품목마스터!$A$3:$A$302,0)),""))</f>
        <v/>
      </c>
      <c r="F581" s="12" t="str">
        <f aca="false">IF($C581="","",IFERROR(INDEX(품목마스터!$D$3:$D$302,MATCH($C581,품목마스터!$A$3:$A$302,0)),""))</f>
        <v/>
      </c>
      <c r="G581" s="9"/>
      <c r="H581" s="9"/>
      <c r="I581" s="13" t="str">
        <f aca="false">IF(OR($G581="",$H581=""),"",ROUND($G581*$H581,0))</f>
        <v/>
      </c>
      <c r="J581" s="7"/>
      <c r="K581" s="7"/>
      <c r="L581" s="14" t="str">
        <f aca="false">IF(OR($C581="",$G581=""),"",IF($B581="입고",$G581,IF($B581="출고",-$G581,$G581)))</f>
        <v/>
      </c>
      <c r="M581" s="13" t="str">
        <f aca="false">IF($C581="","",IFERROR(INDEX(품목마스터!$F$3:$F$302,MATCH($C581,품목마스터!$A$3:$A$302,0)),0)+SUMIFS($L$3:$L581,$C$3:$C581,$C581))</f>
        <v/>
      </c>
    </row>
    <row r="582" customFormat="false" ht="15" hidden="false" customHeight="true" outlineLevel="0" collapsed="false">
      <c r="A582" s="11"/>
      <c r="B582" s="7"/>
      <c r="C582" s="7"/>
      <c r="D582" s="12" t="str">
        <f aca="false">IF($C582="","",IFERROR(INDEX(품목마스터!$B$3:$B$302,MATCH($C582,품목마스터!$A$3:$A$302,0)),"미등록품번"))</f>
        <v/>
      </c>
      <c r="E582" s="12" t="str">
        <f aca="false">IF($C582="","",IFERROR(INDEX(품목마스터!$C$3:$C$302,MATCH($C582,품목마스터!$A$3:$A$302,0)),""))</f>
        <v/>
      </c>
      <c r="F582" s="12" t="str">
        <f aca="false">IF($C582="","",IFERROR(INDEX(품목마스터!$D$3:$D$302,MATCH($C582,품목마스터!$A$3:$A$302,0)),""))</f>
        <v/>
      </c>
      <c r="G582" s="9"/>
      <c r="H582" s="9"/>
      <c r="I582" s="13" t="str">
        <f aca="false">IF(OR($G582="",$H582=""),"",ROUND($G582*$H582,0))</f>
        <v/>
      </c>
      <c r="J582" s="7"/>
      <c r="K582" s="7"/>
      <c r="L582" s="14" t="str">
        <f aca="false">IF(OR($C582="",$G582=""),"",IF($B582="입고",$G582,IF($B582="출고",-$G582,$G582)))</f>
        <v/>
      </c>
      <c r="M582" s="13" t="str">
        <f aca="false">IF($C582="","",IFERROR(INDEX(품목마스터!$F$3:$F$302,MATCH($C582,품목마스터!$A$3:$A$302,0)),0)+SUMIFS($L$3:$L582,$C$3:$C582,$C582))</f>
        <v/>
      </c>
    </row>
    <row r="583" customFormat="false" ht="15" hidden="false" customHeight="true" outlineLevel="0" collapsed="false">
      <c r="A583" s="11"/>
      <c r="B583" s="7"/>
      <c r="C583" s="7"/>
      <c r="D583" s="12" t="str">
        <f aca="false">IF($C583="","",IFERROR(INDEX(품목마스터!$B$3:$B$302,MATCH($C583,품목마스터!$A$3:$A$302,0)),"미등록품번"))</f>
        <v/>
      </c>
      <c r="E583" s="12" t="str">
        <f aca="false">IF($C583="","",IFERROR(INDEX(품목마스터!$C$3:$C$302,MATCH($C583,품목마스터!$A$3:$A$302,0)),""))</f>
        <v/>
      </c>
      <c r="F583" s="12" t="str">
        <f aca="false">IF($C583="","",IFERROR(INDEX(품목마스터!$D$3:$D$302,MATCH($C583,품목마스터!$A$3:$A$302,0)),""))</f>
        <v/>
      </c>
      <c r="G583" s="9"/>
      <c r="H583" s="9"/>
      <c r="I583" s="13" t="str">
        <f aca="false">IF(OR($G583="",$H583=""),"",ROUND($G583*$H583,0))</f>
        <v/>
      </c>
      <c r="J583" s="7"/>
      <c r="K583" s="7"/>
      <c r="L583" s="14" t="str">
        <f aca="false">IF(OR($C583="",$G583=""),"",IF($B583="입고",$G583,IF($B583="출고",-$G583,$G583)))</f>
        <v/>
      </c>
      <c r="M583" s="13" t="str">
        <f aca="false">IF($C583="","",IFERROR(INDEX(품목마스터!$F$3:$F$302,MATCH($C583,품목마스터!$A$3:$A$302,0)),0)+SUMIFS($L$3:$L583,$C$3:$C583,$C583))</f>
        <v/>
      </c>
    </row>
    <row r="584" customFormat="false" ht="15" hidden="false" customHeight="true" outlineLevel="0" collapsed="false">
      <c r="A584" s="11"/>
      <c r="B584" s="7"/>
      <c r="C584" s="7"/>
      <c r="D584" s="12" t="str">
        <f aca="false">IF($C584="","",IFERROR(INDEX(품목마스터!$B$3:$B$302,MATCH($C584,품목마스터!$A$3:$A$302,0)),"미등록품번"))</f>
        <v/>
      </c>
      <c r="E584" s="12" t="str">
        <f aca="false">IF($C584="","",IFERROR(INDEX(품목마스터!$C$3:$C$302,MATCH($C584,품목마스터!$A$3:$A$302,0)),""))</f>
        <v/>
      </c>
      <c r="F584" s="12" t="str">
        <f aca="false">IF($C584="","",IFERROR(INDEX(품목마스터!$D$3:$D$302,MATCH($C584,품목마스터!$A$3:$A$302,0)),""))</f>
        <v/>
      </c>
      <c r="G584" s="9"/>
      <c r="H584" s="9"/>
      <c r="I584" s="13" t="str">
        <f aca="false">IF(OR($G584="",$H584=""),"",ROUND($G584*$H584,0))</f>
        <v/>
      </c>
      <c r="J584" s="7"/>
      <c r="K584" s="7"/>
      <c r="L584" s="14" t="str">
        <f aca="false">IF(OR($C584="",$G584=""),"",IF($B584="입고",$G584,IF($B584="출고",-$G584,$G584)))</f>
        <v/>
      </c>
      <c r="M584" s="13" t="str">
        <f aca="false">IF($C584="","",IFERROR(INDEX(품목마스터!$F$3:$F$302,MATCH($C584,품목마스터!$A$3:$A$302,0)),0)+SUMIFS($L$3:$L584,$C$3:$C584,$C584))</f>
        <v/>
      </c>
    </row>
    <row r="585" customFormat="false" ht="15" hidden="false" customHeight="true" outlineLevel="0" collapsed="false">
      <c r="A585" s="11"/>
      <c r="B585" s="7"/>
      <c r="C585" s="7"/>
      <c r="D585" s="12" t="str">
        <f aca="false">IF($C585="","",IFERROR(INDEX(품목마스터!$B$3:$B$302,MATCH($C585,품목마스터!$A$3:$A$302,0)),"미등록품번"))</f>
        <v/>
      </c>
      <c r="E585" s="12" t="str">
        <f aca="false">IF($C585="","",IFERROR(INDEX(품목마스터!$C$3:$C$302,MATCH($C585,품목마스터!$A$3:$A$302,0)),""))</f>
        <v/>
      </c>
      <c r="F585" s="12" t="str">
        <f aca="false">IF($C585="","",IFERROR(INDEX(품목마스터!$D$3:$D$302,MATCH($C585,품목마스터!$A$3:$A$302,0)),""))</f>
        <v/>
      </c>
      <c r="G585" s="9"/>
      <c r="H585" s="9"/>
      <c r="I585" s="13" t="str">
        <f aca="false">IF(OR($G585="",$H585=""),"",ROUND($G585*$H585,0))</f>
        <v/>
      </c>
      <c r="J585" s="7"/>
      <c r="K585" s="7"/>
      <c r="L585" s="14" t="str">
        <f aca="false">IF(OR($C585="",$G585=""),"",IF($B585="입고",$G585,IF($B585="출고",-$G585,$G585)))</f>
        <v/>
      </c>
      <c r="M585" s="13" t="str">
        <f aca="false">IF($C585="","",IFERROR(INDEX(품목마스터!$F$3:$F$302,MATCH($C585,품목마스터!$A$3:$A$302,0)),0)+SUMIFS($L$3:$L585,$C$3:$C585,$C585))</f>
        <v/>
      </c>
    </row>
    <row r="586" customFormat="false" ht="15" hidden="false" customHeight="true" outlineLevel="0" collapsed="false">
      <c r="A586" s="11"/>
      <c r="B586" s="7"/>
      <c r="C586" s="7"/>
      <c r="D586" s="12" t="str">
        <f aca="false">IF($C586="","",IFERROR(INDEX(품목마스터!$B$3:$B$302,MATCH($C586,품목마스터!$A$3:$A$302,0)),"미등록품번"))</f>
        <v/>
      </c>
      <c r="E586" s="12" t="str">
        <f aca="false">IF($C586="","",IFERROR(INDEX(품목마스터!$C$3:$C$302,MATCH($C586,품목마스터!$A$3:$A$302,0)),""))</f>
        <v/>
      </c>
      <c r="F586" s="12" t="str">
        <f aca="false">IF($C586="","",IFERROR(INDEX(품목마스터!$D$3:$D$302,MATCH($C586,품목마스터!$A$3:$A$302,0)),""))</f>
        <v/>
      </c>
      <c r="G586" s="9"/>
      <c r="H586" s="9"/>
      <c r="I586" s="13" t="str">
        <f aca="false">IF(OR($G586="",$H586=""),"",ROUND($G586*$H586,0))</f>
        <v/>
      </c>
      <c r="J586" s="7"/>
      <c r="K586" s="7"/>
      <c r="L586" s="14" t="str">
        <f aca="false">IF(OR($C586="",$G586=""),"",IF($B586="입고",$G586,IF($B586="출고",-$G586,$G586)))</f>
        <v/>
      </c>
      <c r="M586" s="13" t="str">
        <f aca="false">IF($C586="","",IFERROR(INDEX(품목마스터!$F$3:$F$302,MATCH($C586,품목마스터!$A$3:$A$302,0)),0)+SUMIFS($L$3:$L586,$C$3:$C586,$C586))</f>
        <v/>
      </c>
    </row>
    <row r="587" customFormat="false" ht="15" hidden="false" customHeight="true" outlineLevel="0" collapsed="false">
      <c r="A587" s="11"/>
      <c r="B587" s="7"/>
      <c r="C587" s="7"/>
      <c r="D587" s="12" t="str">
        <f aca="false">IF($C587="","",IFERROR(INDEX(품목마스터!$B$3:$B$302,MATCH($C587,품목마스터!$A$3:$A$302,0)),"미등록품번"))</f>
        <v/>
      </c>
      <c r="E587" s="12" t="str">
        <f aca="false">IF($C587="","",IFERROR(INDEX(품목마스터!$C$3:$C$302,MATCH($C587,품목마스터!$A$3:$A$302,0)),""))</f>
        <v/>
      </c>
      <c r="F587" s="12" t="str">
        <f aca="false">IF($C587="","",IFERROR(INDEX(품목마스터!$D$3:$D$302,MATCH($C587,품목마스터!$A$3:$A$302,0)),""))</f>
        <v/>
      </c>
      <c r="G587" s="9"/>
      <c r="H587" s="9"/>
      <c r="I587" s="13" t="str">
        <f aca="false">IF(OR($G587="",$H587=""),"",ROUND($G587*$H587,0))</f>
        <v/>
      </c>
      <c r="J587" s="7"/>
      <c r="K587" s="7"/>
      <c r="L587" s="14" t="str">
        <f aca="false">IF(OR($C587="",$G587=""),"",IF($B587="입고",$G587,IF($B587="출고",-$G587,$G587)))</f>
        <v/>
      </c>
      <c r="M587" s="13" t="str">
        <f aca="false">IF($C587="","",IFERROR(INDEX(품목마스터!$F$3:$F$302,MATCH($C587,품목마스터!$A$3:$A$302,0)),0)+SUMIFS($L$3:$L587,$C$3:$C587,$C587))</f>
        <v/>
      </c>
    </row>
    <row r="588" customFormat="false" ht="15" hidden="false" customHeight="true" outlineLevel="0" collapsed="false">
      <c r="A588" s="11"/>
      <c r="B588" s="7"/>
      <c r="C588" s="7"/>
      <c r="D588" s="12" t="str">
        <f aca="false">IF($C588="","",IFERROR(INDEX(품목마스터!$B$3:$B$302,MATCH($C588,품목마스터!$A$3:$A$302,0)),"미등록품번"))</f>
        <v/>
      </c>
      <c r="E588" s="12" t="str">
        <f aca="false">IF($C588="","",IFERROR(INDEX(품목마스터!$C$3:$C$302,MATCH($C588,품목마스터!$A$3:$A$302,0)),""))</f>
        <v/>
      </c>
      <c r="F588" s="12" t="str">
        <f aca="false">IF($C588="","",IFERROR(INDEX(품목마스터!$D$3:$D$302,MATCH($C588,품목마스터!$A$3:$A$302,0)),""))</f>
        <v/>
      </c>
      <c r="G588" s="9"/>
      <c r="H588" s="9"/>
      <c r="I588" s="13" t="str">
        <f aca="false">IF(OR($G588="",$H588=""),"",ROUND($G588*$H588,0))</f>
        <v/>
      </c>
      <c r="J588" s="7"/>
      <c r="K588" s="7"/>
      <c r="L588" s="14" t="str">
        <f aca="false">IF(OR($C588="",$G588=""),"",IF($B588="입고",$G588,IF($B588="출고",-$G588,$G588)))</f>
        <v/>
      </c>
      <c r="M588" s="13" t="str">
        <f aca="false">IF($C588="","",IFERROR(INDEX(품목마스터!$F$3:$F$302,MATCH($C588,품목마스터!$A$3:$A$302,0)),0)+SUMIFS($L$3:$L588,$C$3:$C588,$C588))</f>
        <v/>
      </c>
    </row>
    <row r="589" customFormat="false" ht="15" hidden="false" customHeight="true" outlineLevel="0" collapsed="false">
      <c r="A589" s="11"/>
      <c r="B589" s="7"/>
      <c r="C589" s="7"/>
      <c r="D589" s="12" t="str">
        <f aca="false">IF($C589="","",IFERROR(INDEX(품목마스터!$B$3:$B$302,MATCH($C589,품목마스터!$A$3:$A$302,0)),"미등록품번"))</f>
        <v/>
      </c>
      <c r="E589" s="12" t="str">
        <f aca="false">IF($C589="","",IFERROR(INDEX(품목마스터!$C$3:$C$302,MATCH($C589,품목마스터!$A$3:$A$302,0)),""))</f>
        <v/>
      </c>
      <c r="F589" s="12" t="str">
        <f aca="false">IF($C589="","",IFERROR(INDEX(품목마스터!$D$3:$D$302,MATCH($C589,품목마스터!$A$3:$A$302,0)),""))</f>
        <v/>
      </c>
      <c r="G589" s="9"/>
      <c r="H589" s="9"/>
      <c r="I589" s="13" t="str">
        <f aca="false">IF(OR($G589="",$H589=""),"",ROUND($G589*$H589,0))</f>
        <v/>
      </c>
      <c r="J589" s="7"/>
      <c r="K589" s="7"/>
      <c r="L589" s="14" t="str">
        <f aca="false">IF(OR($C589="",$G589=""),"",IF($B589="입고",$G589,IF($B589="출고",-$G589,$G589)))</f>
        <v/>
      </c>
      <c r="M589" s="13" t="str">
        <f aca="false">IF($C589="","",IFERROR(INDEX(품목마스터!$F$3:$F$302,MATCH($C589,품목마스터!$A$3:$A$302,0)),0)+SUMIFS($L$3:$L589,$C$3:$C589,$C589))</f>
        <v/>
      </c>
    </row>
    <row r="590" customFormat="false" ht="15" hidden="false" customHeight="true" outlineLevel="0" collapsed="false">
      <c r="A590" s="11"/>
      <c r="B590" s="7"/>
      <c r="C590" s="7"/>
      <c r="D590" s="12" t="str">
        <f aca="false">IF($C590="","",IFERROR(INDEX(품목마스터!$B$3:$B$302,MATCH($C590,품목마스터!$A$3:$A$302,0)),"미등록품번"))</f>
        <v/>
      </c>
      <c r="E590" s="12" t="str">
        <f aca="false">IF($C590="","",IFERROR(INDEX(품목마스터!$C$3:$C$302,MATCH($C590,품목마스터!$A$3:$A$302,0)),""))</f>
        <v/>
      </c>
      <c r="F590" s="12" t="str">
        <f aca="false">IF($C590="","",IFERROR(INDEX(품목마스터!$D$3:$D$302,MATCH($C590,품목마스터!$A$3:$A$302,0)),""))</f>
        <v/>
      </c>
      <c r="G590" s="9"/>
      <c r="H590" s="9"/>
      <c r="I590" s="13" t="str">
        <f aca="false">IF(OR($G590="",$H590=""),"",ROUND($G590*$H590,0))</f>
        <v/>
      </c>
      <c r="J590" s="7"/>
      <c r="K590" s="7"/>
      <c r="L590" s="14" t="str">
        <f aca="false">IF(OR($C590="",$G590=""),"",IF($B590="입고",$G590,IF($B590="출고",-$G590,$G590)))</f>
        <v/>
      </c>
      <c r="M590" s="13" t="str">
        <f aca="false">IF($C590="","",IFERROR(INDEX(품목마스터!$F$3:$F$302,MATCH($C590,품목마스터!$A$3:$A$302,0)),0)+SUMIFS($L$3:$L590,$C$3:$C590,$C590))</f>
        <v/>
      </c>
    </row>
    <row r="591" customFormat="false" ht="15" hidden="false" customHeight="true" outlineLevel="0" collapsed="false">
      <c r="A591" s="11"/>
      <c r="B591" s="7"/>
      <c r="C591" s="7"/>
      <c r="D591" s="12" t="str">
        <f aca="false">IF($C591="","",IFERROR(INDEX(품목마스터!$B$3:$B$302,MATCH($C591,품목마스터!$A$3:$A$302,0)),"미등록품번"))</f>
        <v/>
      </c>
      <c r="E591" s="12" t="str">
        <f aca="false">IF($C591="","",IFERROR(INDEX(품목마스터!$C$3:$C$302,MATCH($C591,품목마스터!$A$3:$A$302,0)),""))</f>
        <v/>
      </c>
      <c r="F591" s="12" t="str">
        <f aca="false">IF($C591="","",IFERROR(INDEX(품목마스터!$D$3:$D$302,MATCH($C591,품목마스터!$A$3:$A$302,0)),""))</f>
        <v/>
      </c>
      <c r="G591" s="9"/>
      <c r="H591" s="9"/>
      <c r="I591" s="13" t="str">
        <f aca="false">IF(OR($G591="",$H591=""),"",ROUND($G591*$H591,0))</f>
        <v/>
      </c>
      <c r="J591" s="7"/>
      <c r="K591" s="7"/>
      <c r="L591" s="14" t="str">
        <f aca="false">IF(OR($C591="",$G591=""),"",IF($B591="입고",$G591,IF($B591="출고",-$G591,$G591)))</f>
        <v/>
      </c>
      <c r="M591" s="13" t="str">
        <f aca="false">IF($C591="","",IFERROR(INDEX(품목마스터!$F$3:$F$302,MATCH($C591,품목마스터!$A$3:$A$302,0)),0)+SUMIFS($L$3:$L591,$C$3:$C591,$C591))</f>
        <v/>
      </c>
    </row>
    <row r="592" customFormat="false" ht="15" hidden="false" customHeight="true" outlineLevel="0" collapsed="false">
      <c r="A592" s="11"/>
      <c r="B592" s="7"/>
      <c r="C592" s="7"/>
      <c r="D592" s="12" t="str">
        <f aca="false">IF($C592="","",IFERROR(INDEX(품목마스터!$B$3:$B$302,MATCH($C592,품목마스터!$A$3:$A$302,0)),"미등록품번"))</f>
        <v/>
      </c>
      <c r="E592" s="12" t="str">
        <f aca="false">IF($C592="","",IFERROR(INDEX(품목마스터!$C$3:$C$302,MATCH($C592,품목마스터!$A$3:$A$302,0)),""))</f>
        <v/>
      </c>
      <c r="F592" s="12" t="str">
        <f aca="false">IF($C592="","",IFERROR(INDEX(품목마스터!$D$3:$D$302,MATCH($C592,품목마스터!$A$3:$A$302,0)),""))</f>
        <v/>
      </c>
      <c r="G592" s="9"/>
      <c r="H592" s="9"/>
      <c r="I592" s="13" t="str">
        <f aca="false">IF(OR($G592="",$H592=""),"",ROUND($G592*$H592,0))</f>
        <v/>
      </c>
      <c r="J592" s="7"/>
      <c r="K592" s="7"/>
      <c r="L592" s="14" t="str">
        <f aca="false">IF(OR($C592="",$G592=""),"",IF($B592="입고",$G592,IF($B592="출고",-$G592,$G592)))</f>
        <v/>
      </c>
      <c r="M592" s="13" t="str">
        <f aca="false">IF($C592="","",IFERROR(INDEX(품목마스터!$F$3:$F$302,MATCH($C592,품목마스터!$A$3:$A$302,0)),0)+SUMIFS($L$3:$L592,$C$3:$C592,$C592))</f>
        <v/>
      </c>
    </row>
    <row r="593" customFormat="false" ht="15" hidden="false" customHeight="true" outlineLevel="0" collapsed="false">
      <c r="A593" s="11"/>
      <c r="B593" s="7"/>
      <c r="C593" s="7"/>
      <c r="D593" s="12" t="str">
        <f aca="false">IF($C593="","",IFERROR(INDEX(품목마스터!$B$3:$B$302,MATCH($C593,품목마스터!$A$3:$A$302,0)),"미등록품번"))</f>
        <v/>
      </c>
      <c r="E593" s="12" t="str">
        <f aca="false">IF($C593="","",IFERROR(INDEX(품목마스터!$C$3:$C$302,MATCH($C593,품목마스터!$A$3:$A$302,0)),""))</f>
        <v/>
      </c>
      <c r="F593" s="12" t="str">
        <f aca="false">IF($C593="","",IFERROR(INDEX(품목마스터!$D$3:$D$302,MATCH($C593,품목마스터!$A$3:$A$302,0)),""))</f>
        <v/>
      </c>
      <c r="G593" s="9"/>
      <c r="H593" s="9"/>
      <c r="I593" s="13" t="str">
        <f aca="false">IF(OR($G593="",$H593=""),"",ROUND($G593*$H593,0))</f>
        <v/>
      </c>
      <c r="J593" s="7"/>
      <c r="K593" s="7"/>
      <c r="L593" s="14" t="str">
        <f aca="false">IF(OR($C593="",$G593=""),"",IF($B593="입고",$G593,IF($B593="출고",-$G593,$G593)))</f>
        <v/>
      </c>
      <c r="M593" s="13" t="str">
        <f aca="false">IF($C593="","",IFERROR(INDEX(품목마스터!$F$3:$F$302,MATCH($C593,품목마스터!$A$3:$A$302,0)),0)+SUMIFS($L$3:$L593,$C$3:$C593,$C593))</f>
        <v/>
      </c>
    </row>
    <row r="594" customFormat="false" ht="15" hidden="false" customHeight="true" outlineLevel="0" collapsed="false">
      <c r="A594" s="11"/>
      <c r="B594" s="7"/>
      <c r="C594" s="7"/>
      <c r="D594" s="12" t="str">
        <f aca="false">IF($C594="","",IFERROR(INDEX(품목마스터!$B$3:$B$302,MATCH($C594,품목마스터!$A$3:$A$302,0)),"미등록품번"))</f>
        <v/>
      </c>
      <c r="E594" s="12" t="str">
        <f aca="false">IF($C594="","",IFERROR(INDEX(품목마스터!$C$3:$C$302,MATCH($C594,품목마스터!$A$3:$A$302,0)),""))</f>
        <v/>
      </c>
      <c r="F594" s="12" t="str">
        <f aca="false">IF($C594="","",IFERROR(INDEX(품목마스터!$D$3:$D$302,MATCH($C594,품목마스터!$A$3:$A$302,0)),""))</f>
        <v/>
      </c>
      <c r="G594" s="9"/>
      <c r="H594" s="9"/>
      <c r="I594" s="13" t="str">
        <f aca="false">IF(OR($G594="",$H594=""),"",ROUND($G594*$H594,0))</f>
        <v/>
      </c>
      <c r="J594" s="7"/>
      <c r="K594" s="7"/>
      <c r="L594" s="14" t="str">
        <f aca="false">IF(OR($C594="",$G594=""),"",IF($B594="입고",$G594,IF($B594="출고",-$G594,$G594)))</f>
        <v/>
      </c>
      <c r="M594" s="13" t="str">
        <f aca="false">IF($C594="","",IFERROR(INDEX(품목마스터!$F$3:$F$302,MATCH($C594,품목마스터!$A$3:$A$302,0)),0)+SUMIFS($L$3:$L594,$C$3:$C594,$C594))</f>
        <v/>
      </c>
    </row>
    <row r="595" customFormat="false" ht="15" hidden="false" customHeight="true" outlineLevel="0" collapsed="false">
      <c r="A595" s="11"/>
      <c r="B595" s="7"/>
      <c r="C595" s="7"/>
      <c r="D595" s="12" t="str">
        <f aca="false">IF($C595="","",IFERROR(INDEX(품목마스터!$B$3:$B$302,MATCH($C595,품목마스터!$A$3:$A$302,0)),"미등록품번"))</f>
        <v/>
      </c>
      <c r="E595" s="12" t="str">
        <f aca="false">IF($C595="","",IFERROR(INDEX(품목마스터!$C$3:$C$302,MATCH($C595,품목마스터!$A$3:$A$302,0)),""))</f>
        <v/>
      </c>
      <c r="F595" s="12" t="str">
        <f aca="false">IF($C595="","",IFERROR(INDEX(품목마스터!$D$3:$D$302,MATCH($C595,품목마스터!$A$3:$A$302,0)),""))</f>
        <v/>
      </c>
      <c r="G595" s="9"/>
      <c r="H595" s="9"/>
      <c r="I595" s="13" t="str">
        <f aca="false">IF(OR($G595="",$H595=""),"",ROUND($G595*$H595,0))</f>
        <v/>
      </c>
      <c r="J595" s="7"/>
      <c r="K595" s="7"/>
      <c r="L595" s="14" t="str">
        <f aca="false">IF(OR($C595="",$G595=""),"",IF($B595="입고",$G595,IF($B595="출고",-$G595,$G595)))</f>
        <v/>
      </c>
      <c r="M595" s="13" t="str">
        <f aca="false">IF($C595="","",IFERROR(INDEX(품목마스터!$F$3:$F$302,MATCH($C595,품목마스터!$A$3:$A$302,0)),0)+SUMIFS($L$3:$L595,$C$3:$C595,$C595))</f>
        <v/>
      </c>
    </row>
    <row r="596" customFormat="false" ht="15" hidden="false" customHeight="true" outlineLevel="0" collapsed="false">
      <c r="A596" s="11"/>
      <c r="B596" s="7"/>
      <c r="C596" s="7"/>
      <c r="D596" s="12" t="str">
        <f aca="false">IF($C596="","",IFERROR(INDEX(품목마스터!$B$3:$B$302,MATCH($C596,품목마스터!$A$3:$A$302,0)),"미등록품번"))</f>
        <v/>
      </c>
      <c r="E596" s="12" t="str">
        <f aca="false">IF($C596="","",IFERROR(INDEX(품목마스터!$C$3:$C$302,MATCH($C596,품목마스터!$A$3:$A$302,0)),""))</f>
        <v/>
      </c>
      <c r="F596" s="12" t="str">
        <f aca="false">IF($C596="","",IFERROR(INDEX(품목마스터!$D$3:$D$302,MATCH($C596,품목마스터!$A$3:$A$302,0)),""))</f>
        <v/>
      </c>
      <c r="G596" s="9"/>
      <c r="H596" s="9"/>
      <c r="I596" s="13" t="str">
        <f aca="false">IF(OR($G596="",$H596=""),"",ROUND($G596*$H596,0))</f>
        <v/>
      </c>
      <c r="J596" s="7"/>
      <c r="K596" s="7"/>
      <c r="L596" s="14" t="str">
        <f aca="false">IF(OR($C596="",$G596=""),"",IF($B596="입고",$G596,IF($B596="출고",-$G596,$G596)))</f>
        <v/>
      </c>
      <c r="M596" s="13" t="str">
        <f aca="false">IF($C596="","",IFERROR(INDEX(품목마스터!$F$3:$F$302,MATCH($C596,품목마스터!$A$3:$A$302,0)),0)+SUMIFS($L$3:$L596,$C$3:$C596,$C596))</f>
        <v/>
      </c>
    </row>
    <row r="597" customFormat="false" ht="15" hidden="false" customHeight="true" outlineLevel="0" collapsed="false">
      <c r="A597" s="11"/>
      <c r="B597" s="7"/>
      <c r="C597" s="7"/>
      <c r="D597" s="12" t="str">
        <f aca="false">IF($C597="","",IFERROR(INDEX(품목마스터!$B$3:$B$302,MATCH($C597,품목마스터!$A$3:$A$302,0)),"미등록품번"))</f>
        <v/>
      </c>
      <c r="E597" s="12" t="str">
        <f aca="false">IF($C597="","",IFERROR(INDEX(품목마스터!$C$3:$C$302,MATCH($C597,품목마스터!$A$3:$A$302,0)),""))</f>
        <v/>
      </c>
      <c r="F597" s="12" t="str">
        <f aca="false">IF($C597="","",IFERROR(INDEX(품목마스터!$D$3:$D$302,MATCH($C597,품목마스터!$A$3:$A$302,0)),""))</f>
        <v/>
      </c>
      <c r="G597" s="9"/>
      <c r="H597" s="9"/>
      <c r="I597" s="13" t="str">
        <f aca="false">IF(OR($G597="",$H597=""),"",ROUND($G597*$H597,0))</f>
        <v/>
      </c>
      <c r="J597" s="7"/>
      <c r="K597" s="7"/>
      <c r="L597" s="14" t="str">
        <f aca="false">IF(OR($C597="",$G597=""),"",IF($B597="입고",$G597,IF($B597="출고",-$G597,$G597)))</f>
        <v/>
      </c>
      <c r="M597" s="13" t="str">
        <f aca="false">IF($C597="","",IFERROR(INDEX(품목마스터!$F$3:$F$302,MATCH($C597,품목마스터!$A$3:$A$302,0)),0)+SUMIFS($L$3:$L597,$C$3:$C597,$C597))</f>
        <v/>
      </c>
    </row>
    <row r="598" customFormat="false" ht="15" hidden="false" customHeight="true" outlineLevel="0" collapsed="false">
      <c r="A598" s="11"/>
      <c r="B598" s="7"/>
      <c r="C598" s="7"/>
      <c r="D598" s="12" t="str">
        <f aca="false">IF($C598="","",IFERROR(INDEX(품목마스터!$B$3:$B$302,MATCH($C598,품목마스터!$A$3:$A$302,0)),"미등록품번"))</f>
        <v/>
      </c>
      <c r="E598" s="12" t="str">
        <f aca="false">IF($C598="","",IFERROR(INDEX(품목마스터!$C$3:$C$302,MATCH($C598,품목마스터!$A$3:$A$302,0)),""))</f>
        <v/>
      </c>
      <c r="F598" s="12" t="str">
        <f aca="false">IF($C598="","",IFERROR(INDEX(품목마스터!$D$3:$D$302,MATCH($C598,품목마스터!$A$3:$A$302,0)),""))</f>
        <v/>
      </c>
      <c r="G598" s="9"/>
      <c r="H598" s="9"/>
      <c r="I598" s="13" t="str">
        <f aca="false">IF(OR($G598="",$H598=""),"",ROUND($G598*$H598,0))</f>
        <v/>
      </c>
      <c r="J598" s="7"/>
      <c r="K598" s="7"/>
      <c r="L598" s="14" t="str">
        <f aca="false">IF(OR($C598="",$G598=""),"",IF($B598="입고",$G598,IF($B598="출고",-$G598,$G598)))</f>
        <v/>
      </c>
      <c r="M598" s="13" t="str">
        <f aca="false">IF($C598="","",IFERROR(INDEX(품목마스터!$F$3:$F$302,MATCH($C598,품목마스터!$A$3:$A$302,0)),0)+SUMIFS($L$3:$L598,$C$3:$C598,$C598))</f>
        <v/>
      </c>
    </row>
    <row r="599" customFormat="false" ht="15" hidden="false" customHeight="true" outlineLevel="0" collapsed="false">
      <c r="A599" s="11"/>
      <c r="B599" s="7"/>
      <c r="C599" s="7"/>
      <c r="D599" s="12" t="str">
        <f aca="false">IF($C599="","",IFERROR(INDEX(품목마스터!$B$3:$B$302,MATCH($C599,품목마스터!$A$3:$A$302,0)),"미등록품번"))</f>
        <v/>
      </c>
      <c r="E599" s="12" t="str">
        <f aca="false">IF($C599="","",IFERROR(INDEX(품목마스터!$C$3:$C$302,MATCH($C599,품목마스터!$A$3:$A$302,0)),""))</f>
        <v/>
      </c>
      <c r="F599" s="12" t="str">
        <f aca="false">IF($C599="","",IFERROR(INDEX(품목마스터!$D$3:$D$302,MATCH($C599,품목마스터!$A$3:$A$302,0)),""))</f>
        <v/>
      </c>
      <c r="G599" s="9"/>
      <c r="H599" s="9"/>
      <c r="I599" s="13" t="str">
        <f aca="false">IF(OR($G599="",$H599=""),"",ROUND($G599*$H599,0))</f>
        <v/>
      </c>
      <c r="J599" s="7"/>
      <c r="K599" s="7"/>
      <c r="L599" s="14" t="str">
        <f aca="false">IF(OR($C599="",$G599=""),"",IF($B599="입고",$G599,IF($B599="출고",-$G599,$G599)))</f>
        <v/>
      </c>
      <c r="M599" s="13" t="str">
        <f aca="false">IF($C599="","",IFERROR(INDEX(품목마스터!$F$3:$F$302,MATCH($C599,품목마스터!$A$3:$A$302,0)),0)+SUMIFS($L$3:$L599,$C$3:$C599,$C599))</f>
        <v/>
      </c>
    </row>
    <row r="600" customFormat="false" ht="15" hidden="false" customHeight="true" outlineLevel="0" collapsed="false">
      <c r="A600" s="11"/>
      <c r="B600" s="7"/>
      <c r="C600" s="7"/>
      <c r="D600" s="12" t="str">
        <f aca="false">IF($C600="","",IFERROR(INDEX(품목마스터!$B$3:$B$302,MATCH($C600,품목마스터!$A$3:$A$302,0)),"미등록품번"))</f>
        <v/>
      </c>
      <c r="E600" s="12" t="str">
        <f aca="false">IF($C600="","",IFERROR(INDEX(품목마스터!$C$3:$C$302,MATCH($C600,품목마스터!$A$3:$A$302,0)),""))</f>
        <v/>
      </c>
      <c r="F600" s="12" t="str">
        <f aca="false">IF($C600="","",IFERROR(INDEX(품목마스터!$D$3:$D$302,MATCH($C600,품목마스터!$A$3:$A$302,0)),""))</f>
        <v/>
      </c>
      <c r="G600" s="9"/>
      <c r="H600" s="9"/>
      <c r="I600" s="13" t="str">
        <f aca="false">IF(OR($G600="",$H600=""),"",ROUND($G600*$H600,0))</f>
        <v/>
      </c>
      <c r="J600" s="7"/>
      <c r="K600" s="7"/>
      <c r="L600" s="14" t="str">
        <f aca="false">IF(OR($C600="",$G600=""),"",IF($B600="입고",$G600,IF($B600="출고",-$G600,$G600)))</f>
        <v/>
      </c>
      <c r="M600" s="13" t="str">
        <f aca="false">IF($C600="","",IFERROR(INDEX(품목마스터!$F$3:$F$302,MATCH($C600,품목마스터!$A$3:$A$302,0)),0)+SUMIFS($L$3:$L600,$C$3:$C600,$C600))</f>
        <v/>
      </c>
    </row>
    <row r="601" customFormat="false" ht="15" hidden="false" customHeight="true" outlineLevel="0" collapsed="false">
      <c r="A601" s="11"/>
      <c r="B601" s="7"/>
      <c r="C601" s="7"/>
      <c r="D601" s="12" t="str">
        <f aca="false">IF($C601="","",IFERROR(INDEX(품목마스터!$B$3:$B$302,MATCH($C601,품목마스터!$A$3:$A$302,0)),"미등록품번"))</f>
        <v/>
      </c>
      <c r="E601" s="12" t="str">
        <f aca="false">IF($C601="","",IFERROR(INDEX(품목마스터!$C$3:$C$302,MATCH($C601,품목마스터!$A$3:$A$302,0)),""))</f>
        <v/>
      </c>
      <c r="F601" s="12" t="str">
        <f aca="false">IF($C601="","",IFERROR(INDEX(품목마스터!$D$3:$D$302,MATCH($C601,품목마스터!$A$3:$A$302,0)),""))</f>
        <v/>
      </c>
      <c r="G601" s="9"/>
      <c r="H601" s="9"/>
      <c r="I601" s="13" t="str">
        <f aca="false">IF(OR($G601="",$H601=""),"",ROUND($G601*$H601,0))</f>
        <v/>
      </c>
      <c r="J601" s="7"/>
      <c r="K601" s="7"/>
      <c r="L601" s="14" t="str">
        <f aca="false">IF(OR($C601="",$G601=""),"",IF($B601="입고",$G601,IF($B601="출고",-$G601,$G601)))</f>
        <v/>
      </c>
      <c r="M601" s="13" t="str">
        <f aca="false">IF($C601="","",IFERROR(INDEX(품목마스터!$F$3:$F$302,MATCH($C601,품목마스터!$A$3:$A$302,0)),0)+SUMIFS($L$3:$L601,$C$3:$C601,$C601))</f>
        <v/>
      </c>
    </row>
    <row r="602" customFormat="false" ht="15" hidden="false" customHeight="true" outlineLevel="0" collapsed="false">
      <c r="A602" s="11"/>
      <c r="B602" s="7"/>
      <c r="C602" s="7"/>
      <c r="D602" s="12" t="str">
        <f aca="false">IF($C602="","",IFERROR(INDEX(품목마스터!$B$3:$B$302,MATCH($C602,품목마스터!$A$3:$A$302,0)),"미등록품번"))</f>
        <v/>
      </c>
      <c r="E602" s="12" t="str">
        <f aca="false">IF($C602="","",IFERROR(INDEX(품목마스터!$C$3:$C$302,MATCH($C602,품목마스터!$A$3:$A$302,0)),""))</f>
        <v/>
      </c>
      <c r="F602" s="12" t="str">
        <f aca="false">IF($C602="","",IFERROR(INDEX(품목마스터!$D$3:$D$302,MATCH($C602,품목마스터!$A$3:$A$302,0)),""))</f>
        <v/>
      </c>
      <c r="G602" s="9"/>
      <c r="H602" s="9"/>
      <c r="I602" s="13" t="str">
        <f aca="false">IF(OR($G602="",$H602=""),"",ROUND($G602*$H602,0))</f>
        <v/>
      </c>
      <c r="J602" s="7"/>
      <c r="K602" s="7"/>
      <c r="L602" s="14" t="str">
        <f aca="false">IF(OR($C602="",$G602=""),"",IF($B602="입고",$G602,IF($B602="출고",-$G602,$G602)))</f>
        <v/>
      </c>
      <c r="M602" s="13" t="str">
        <f aca="false">IF($C602="","",IFERROR(INDEX(품목마스터!$F$3:$F$302,MATCH($C602,품목마스터!$A$3:$A$302,0)),0)+SUMIFS($L$3:$L602,$C$3:$C602,$C602))</f>
        <v/>
      </c>
    </row>
    <row r="603" customFormat="false" ht="15" hidden="false" customHeight="true" outlineLevel="0" collapsed="false">
      <c r="A603" s="11"/>
      <c r="B603" s="7"/>
      <c r="C603" s="7"/>
      <c r="D603" s="12" t="str">
        <f aca="false">IF($C603="","",IFERROR(INDEX(품목마스터!$B$3:$B$302,MATCH($C603,품목마스터!$A$3:$A$302,0)),"미등록품번"))</f>
        <v/>
      </c>
      <c r="E603" s="12" t="str">
        <f aca="false">IF($C603="","",IFERROR(INDEX(품목마스터!$C$3:$C$302,MATCH($C603,품목마스터!$A$3:$A$302,0)),""))</f>
        <v/>
      </c>
      <c r="F603" s="12" t="str">
        <f aca="false">IF($C603="","",IFERROR(INDEX(품목마스터!$D$3:$D$302,MATCH($C603,품목마스터!$A$3:$A$302,0)),""))</f>
        <v/>
      </c>
      <c r="G603" s="9"/>
      <c r="H603" s="9"/>
      <c r="I603" s="13" t="str">
        <f aca="false">IF(OR($G603="",$H603=""),"",ROUND($G603*$H603,0))</f>
        <v/>
      </c>
      <c r="J603" s="7"/>
      <c r="K603" s="7"/>
      <c r="L603" s="14" t="str">
        <f aca="false">IF(OR($C603="",$G603=""),"",IF($B603="입고",$G603,IF($B603="출고",-$G603,$G603)))</f>
        <v/>
      </c>
      <c r="M603" s="13" t="str">
        <f aca="false">IF($C603="","",IFERROR(INDEX(품목마스터!$F$3:$F$302,MATCH($C603,품목마스터!$A$3:$A$302,0)),0)+SUMIFS($L$3:$L603,$C$3:$C603,$C603))</f>
        <v/>
      </c>
    </row>
    <row r="604" customFormat="false" ht="15" hidden="false" customHeight="true" outlineLevel="0" collapsed="false">
      <c r="A604" s="11"/>
      <c r="B604" s="7"/>
      <c r="C604" s="7"/>
      <c r="D604" s="12" t="str">
        <f aca="false">IF($C604="","",IFERROR(INDEX(품목마스터!$B$3:$B$302,MATCH($C604,품목마스터!$A$3:$A$302,0)),"미등록품번"))</f>
        <v/>
      </c>
      <c r="E604" s="12" t="str">
        <f aca="false">IF($C604="","",IFERROR(INDEX(품목마스터!$C$3:$C$302,MATCH($C604,품목마스터!$A$3:$A$302,0)),""))</f>
        <v/>
      </c>
      <c r="F604" s="12" t="str">
        <f aca="false">IF($C604="","",IFERROR(INDEX(품목마스터!$D$3:$D$302,MATCH($C604,품목마스터!$A$3:$A$302,0)),""))</f>
        <v/>
      </c>
      <c r="G604" s="9"/>
      <c r="H604" s="9"/>
      <c r="I604" s="13" t="str">
        <f aca="false">IF(OR($G604="",$H604=""),"",ROUND($G604*$H604,0))</f>
        <v/>
      </c>
      <c r="J604" s="7"/>
      <c r="K604" s="7"/>
      <c r="L604" s="14" t="str">
        <f aca="false">IF(OR($C604="",$G604=""),"",IF($B604="입고",$G604,IF($B604="출고",-$G604,$G604)))</f>
        <v/>
      </c>
      <c r="M604" s="13" t="str">
        <f aca="false">IF($C604="","",IFERROR(INDEX(품목마스터!$F$3:$F$302,MATCH($C604,품목마스터!$A$3:$A$302,0)),0)+SUMIFS($L$3:$L604,$C$3:$C604,$C604))</f>
        <v/>
      </c>
    </row>
    <row r="605" customFormat="false" ht="15" hidden="false" customHeight="true" outlineLevel="0" collapsed="false">
      <c r="A605" s="11"/>
      <c r="B605" s="7"/>
      <c r="C605" s="7"/>
      <c r="D605" s="12" t="str">
        <f aca="false">IF($C605="","",IFERROR(INDEX(품목마스터!$B$3:$B$302,MATCH($C605,품목마스터!$A$3:$A$302,0)),"미등록품번"))</f>
        <v/>
      </c>
      <c r="E605" s="12" t="str">
        <f aca="false">IF($C605="","",IFERROR(INDEX(품목마스터!$C$3:$C$302,MATCH($C605,품목마스터!$A$3:$A$302,0)),""))</f>
        <v/>
      </c>
      <c r="F605" s="12" t="str">
        <f aca="false">IF($C605="","",IFERROR(INDEX(품목마스터!$D$3:$D$302,MATCH($C605,품목마스터!$A$3:$A$302,0)),""))</f>
        <v/>
      </c>
      <c r="G605" s="9"/>
      <c r="H605" s="9"/>
      <c r="I605" s="13" t="str">
        <f aca="false">IF(OR($G605="",$H605=""),"",ROUND($G605*$H605,0))</f>
        <v/>
      </c>
      <c r="J605" s="7"/>
      <c r="K605" s="7"/>
      <c r="L605" s="14" t="str">
        <f aca="false">IF(OR($C605="",$G605=""),"",IF($B605="입고",$G605,IF($B605="출고",-$G605,$G605)))</f>
        <v/>
      </c>
      <c r="M605" s="13" t="str">
        <f aca="false">IF($C605="","",IFERROR(INDEX(품목마스터!$F$3:$F$302,MATCH($C605,품목마스터!$A$3:$A$302,0)),0)+SUMIFS($L$3:$L605,$C$3:$C605,$C605))</f>
        <v/>
      </c>
    </row>
    <row r="606" customFormat="false" ht="15" hidden="false" customHeight="true" outlineLevel="0" collapsed="false">
      <c r="A606" s="11"/>
      <c r="B606" s="7"/>
      <c r="C606" s="7"/>
      <c r="D606" s="12" t="str">
        <f aca="false">IF($C606="","",IFERROR(INDEX(품목마스터!$B$3:$B$302,MATCH($C606,품목마스터!$A$3:$A$302,0)),"미등록품번"))</f>
        <v/>
      </c>
      <c r="E606" s="12" t="str">
        <f aca="false">IF($C606="","",IFERROR(INDEX(품목마스터!$C$3:$C$302,MATCH($C606,품목마스터!$A$3:$A$302,0)),""))</f>
        <v/>
      </c>
      <c r="F606" s="12" t="str">
        <f aca="false">IF($C606="","",IFERROR(INDEX(품목마스터!$D$3:$D$302,MATCH($C606,품목마스터!$A$3:$A$302,0)),""))</f>
        <v/>
      </c>
      <c r="G606" s="9"/>
      <c r="H606" s="9"/>
      <c r="I606" s="13" t="str">
        <f aca="false">IF(OR($G606="",$H606=""),"",ROUND($G606*$H606,0))</f>
        <v/>
      </c>
      <c r="J606" s="7"/>
      <c r="K606" s="7"/>
      <c r="L606" s="14" t="str">
        <f aca="false">IF(OR($C606="",$G606=""),"",IF($B606="입고",$G606,IF($B606="출고",-$G606,$G606)))</f>
        <v/>
      </c>
      <c r="M606" s="13" t="str">
        <f aca="false">IF($C606="","",IFERROR(INDEX(품목마스터!$F$3:$F$302,MATCH($C606,품목마스터!$A$3:$A$302,0)),0)+SUMIFS($L$3:$L606,$C$3:$C606,$C606))</f>
        <v/>
      </c>
    </row>
    <row r="607" customFormat="false" ht="15" hidden="false" customHeight="true" outlineLevel="0" collapsed="false">
      <c r="A607" s="11"/>
      <c r="B607" s="7"/>
      <c r="C607" s="7"/>
      <c r="D607" s="12" t="str">
        <f aca="false">IF($C607="","",IFERROR(INDEX(품목마스터!$B$3:$B$302,MATCH($C607,품목마스터!$A$3:$A$302,0)),"미등록품번"))</f>
        <v/>
      </c>
      <c r="E607" s="12" t="str">
        <f aca="false">IF($C607="","",IFERROR(INDEX(품목마스터!$C$3:$C$302,MATCH($C607,품목마스터!$A$3:$A$302,0)),""))</f>
        <v/>
      </c>
      <c r="F607" s="12" t="str">
        <f aca="false">IF($C607="","",IFERROR(INDEX(품목마스터!$D$3:$D$302,MATCH($C607,품목마스터!$A$3:$A$302,0)),""))</f>
        <v/>
      </c>
      <c r="G607" s="9"/>
      <c r="H607" s="9"/>
      <c r="I607" s="13" t="str">
        <f aca="false">IF(OR($G607="",$H607=""),"",ROUND($G607*$H607,0))</f>
        <v/>
      </c>
      <c r="J607" s="7"/>
      <c r="K607" s="7"/>
      <c r="L607" s="14" t="str">
        <f aca="false">IF(OR($C607="",$G607=""),"",IF($B607="입고",$G607,IF($B607="출고",-$G607,$G607)))</f>
        <v/>
      </c>
      <c r="M607" s="13" t="str">
        <f aca="false">IF($C607="","",IFERROR(INDEX(품목마스터!$F$3:$F$302,MATCH($C607,품목마스터!$A$3:$A$302,0)),0)+SUMIFS($L$3:$L607,$C$3:$C607,$C607))</f>
        <v/>
      </c>
    </row>
    <row r="608" customFormat="false" ht="15" hidden="false" customHeight="true" outlineLevel="0" collapsed="false">
      <c r="A608" s="11"/>
      <c r="B608" s="7"/>
      <c r="C608" s="7"/>
      <c r="D608" s="12" t="str">
        <f aca="false">IF($C608="","",IFERROR(INDEX(품목마스터!$B$3:$B$302,MATCH($C608,품목마스터!$A$3:$A$302,0)),"미등록품번"))</f>
        <v/>
      </c>
      <c r="E608" s="12" t="str">
        <f aca="false">IF($C608="","",IFERROR(INDEX(품목마스터!$C$3:$C$302,MATCH($C608,품목마스터!$A$3:$A$302,0)),""))</f>
        <v/>
      </c>
      <c r="F608" s="12" t="str">
        <f aca="false">IF($C608="","",IFERROR(INDEX(품목마스터!$D$3:$D$302,MATCH($C608,품목마스터!$A$3:$A$302,0)),""))</f>
        <v/>
      </c>
      <c r="G608" s="9"/>
      <c r="H608" s="9"/>
      <c r="I608" s="13" t="str">
        <f aca="false">IF(OR($G608="",$H608=""),"",ROUND($G608*$H608,0))</f>
        <v/>
      </c>
      <c r="J608" s="7"/>
      <c r="K608" s="7"/>
      <c r="L608" s="14" t="str">
        <f aca="false">IF(OR($C608="",$G608=""),"",IF($B608="입고",$G608,IF($B608="출고",-$G608,$G608)))</f>
        <v/>
      </c>
      <c r="M608" s="13" t="str">
        <f aca="false">IF($C608="","",IFERROR(INDEX(품목마스터!$F$3:$F$302,MATCH($C608,품목마스터!$A$3:$A$302,0)),0)+SUMIFS($L$3:$L608,$C$3:$C608,$C608))</f>
        <v/>
      </c>
    </row>
    <row r="609" customFormat="false" ht="15" hidden="false" customHeight="true" outlineLevel="0" collapsed="false">
      <c r="A609" s="11"/>
      <c r="B609" s="7"/>
      <c r="C609" s="7"/>
      <c r="D609" s="12" t="str">
        <f aca="false">IF($C609="","",IFERROR(INDEX(품목마스터!$B$3:$B$302,MATCH($C609,품목마스터!$A$3:$A$302,0)),"미등록품번"))</f>
        <v/>
      </c>
      <c r="E609" s="12" t="str">
        <f aca="false">IF($C609="","",IFERROR(INDEX(품목마스터!$C$3:$C$302,MATCH($C609,품목마스터!$A$3:$A$302,0)),""))</f>
        <v/>
      </c>
      <c r="F609" s="12" t="str">
        <f aca="false">IF($C609="","",IFERROR(INDEX(품목마스터!$D$3:$D$302,MATCH($C609,품목마스터!$A$3:$A$302,0)),""))</f>
        <v/>
      </c>
      <c r="G609" s="9"/>
      <c r="H609" s="9"/>
      <c r="I609" s="13" t="str">
        <f aca="false">IF(OR($G609="",$H609=""),"",ROUND($G609*$H609,0))</f>
        <v/>
      </c>
      <c r="J609" s="7"/>
      <c r="K609" s="7"/>
      <c r="L609" s="14" t="str">
        <f aca="false">IF(OR($C609="",$G609=""),"",IF($B609="입고",$G609,IF($B609="출고",-$G609,$G609)))</f>
        <v/>
      </c>
      <c r="M609" s="13" t="str">
        <f aca="false">IF($C609="","",IFERROR(INDEX(품목마스터!$F$3:$F$302,MATCH($C609,품목마스터!$A$3:$A$302,0)),0)+SUMIFS($L$3:$L609,$C$3:$C609,$C609))</f>
        <v/>
      </c>
    </row>
    <row r="610" customFormat="false" ht="15" hidden="false" customHeight="true" outlineLevel="0" collapsed="false">
      <c r="A610" s="11"/>
      <c r="B610" s="7"/>
      <c r="C610" s="7"/>
      <c r="D610" s="12" t="str">
        <f aca="false">IF($C610="","",IFERROR(INDEX(품목마스터!$B$3:$B$302,MATCH($C610,품목마스터!$A$3:$A$302,0)),"미등록품번"))</f>
        <v/>
      </c>
      <c r="E610" s="12" t="str">
        <f aca="false">IF($C610="","",IFERROR(INDEX(품목마스터!$C$3:$C$302,MATCH($C610,품목마스터!$A$3:$A$302,0)),""))</f>
        <v/>
      </c>
      <c r="F610" s="12" t="str">
        <f aca="false">IF($C610="","",IFERROR(INDEX(품목마스터!$D$3:$D$302,MATCH($C610,품목마스터!$A$3:$A$302,0)),""))</f>
        <v/>
      </c>
      <c r="G610" s="9"/>
      <c r="H610" s="9"/>
      <c r="I610" s="13" t="str">
        <f aca="false">IF(OR($G610="",$H610=""),"",ROUND($G610*$H610,0))</f>
        <v/>
      </c>
      <c r="J610" s="7"/>
      <c r="K610" s="7"/>
      <c r="L610" s="14" t="str">
        <f aca="false">IF(OR($C610="",$G610=""),"",IF($B610="입고",$G610,IF($B610="출고",-$G610,$G610)))</f>
        <v/>
      </c>
      <c r="M610" s="13" t="str">
        <f aca="false">IF($C610="","",IFERROR(INDEX(품목마스터!$F$3:$F$302,MATCH($C610,품목마스터!$A$3:$A$302,0)),0)+SUMIFS($L$3:$L610,$C$3:$C610,$C610))</f>
        <v/>
      </c>
    </row>
    <row r="611" customFormat="false" ht="15" hidden="false" customHeight="true" outlineLevel="0" collapsed="false">
      <c r="A611" s="11"/>
      <c r="B611" s="7"/>
      <c r="C611" s="7"/>
      <c r="D611" s="12" t="str">
        <f aca="false">IF($C611="","",IFERROR(INDEX(품목마스터!$B$3:$B$302,MATCH($C611,품목마스터!$A$3:$A$302,0)),"미등록품번"))</f>
        <v/>
      </c>
      <c r="E611" s="12" t="str">
        <f aca="false">IF($C611="","",IFERROR(INDEX(품목마스터!$C$3:$C$302,MATCH($C611,품목마스터!$A$3:$A$302,0)),""))</f>
        <v/>
      </c>
      <c r="F611" s="12" t="str">
        <f aca="false">IF($C611="","",IFERROR(INDEX(품목마스터!$D$3:$D$302,MATCH($C611,품목마스터!$A$3:$A$302,0)),""))</f>
        <v/>
      </c>
      <c r="G611" s="9"/>
      <c r="H611" s="9"/>
      <c r="I611" s="13" t="str">
        <f aca="false">IF(OR($G611="",$H611=""),"",ROUND($G611*$H611,0))</f>
        <v/>
      </c>
      <c r="J611" s="7"/>
      <c r="K611" s="7"/>
      <c r="L611" s="14" t="str">
        <f aca="false">IF(OR($C611="",$G611=""),"",IF($B611="입고",$G611,IF($B611="출고",-$G611,$G611)))</f>
        <v/>
      </c>
      <c r="M611" s="13" t="str">
        <f aca="false">IF($C611="","",IFERROR(INDEX(품목마스터!$F$3:$F$302,MATCH($C611,품목마스터!$A$3:$A$302,0)),0)+SUMIFS($L$3:$L611,$C$3:$C611,$C611))</f>
        <v/>
      </c>
    </row>
    <row r="612" customFormat="false" ht="15" hidden="false" customHeight="true" outlineLevel="0" collapsed="false">
      <c r="A612" s="11"/>
      <c r="B612" s="7"/>
      <c r="C612" s="7"/>
      <c r="D612" s="12" t="str">
        <f aca="false">IF($C612="","",IFERROR(INDEX(품목마스터!$B$3:$B$302,MATCH($C612,품목마스터!$A$3:$A$302,0)),"미등록품번"))</f>
        <v/>
      </c>
      <c r="E612" s="12" t="str">
        <f aca="false">IF($C612="","",IFERROR(INDEX(품목마스터!$C$3:$C$302,MATCH($C612,품목마스터!$A$3:$A$302,0)),""))</f>
        <v/>
      </c>
      <c r="F612" s="12" t="str">
        <f aca="false">IF($C612="","",IFERROR(INDEX(품목마스터!$D$3:$D$302,MATCH($C612,품목마스터!$A$3:$A$302,0)),""))</f>
        <v/>
      </c>
      <c r="G612" s="9"/>
      <c r="H612" s="9"/>
      <c r="I612" s="13" t="str">
        <f aca="false">IF(OR($G612="",$H612=""),"",ROUND($G612*$H612,0))</f>
        <v/>
      </c>
      <c r="J612" s="7"/>
      <c r="K612" s="7"/>
      <c r="L612" s="14" t="str">
        <f aca="false">IF(OR($C612="",$G612=""),"",IF($B612="입고",$G612,IF($B612="출고",-$G612,$G612)))</f>
        <v/>
      </c>
      <c r="M612" s="13" t="str">
        <f aca="false">IF($C612="","",IFERROR(INDEX(품목마스터!$F$3:$F$302,MATCH($C612,품목마스터!$A$3:$A$302,0)),0)+SUMIFS($L$3:$L612,$C$3:$C612,$C612))</f>
        <v/>
      </c>
    </row>
    <row r="613" customFormat="false" ht="15" hidden="false" customHeight="true" outlineLevel="0" collapsed="false">
      <c r="A613" s="11"/>
      <c r="B613" s="7"/>
      <c r="C613" s="7"/>
      <c r="D613" s="12" t="str">
        <f aca="false">IF($C613="","",IFERROR(INDEX(품목마스터!$B$3:$B$302,MATCH($C613,품목마스터!$A$3:$A$302,0)),"미등록품번"))</f>
        <v/>
      </c>
      <c r="E613" s="12" t="str">
        <f aca="false">IF($C613="","",IFERROR(INDEX(품목마스터!$C$3:$C$302,MATCH($C613,품목마스터!$A$3:$A$302,0)),""))</f>
        <v/>
      </c>
      <c r="F613" s="12" t="str">
        <f aca="false">IF($C613="","",IFERROR(INDEX(품목마스터!$D$3:$D$302,MATCH($C613,품목마스터!$A$3:$A$302,0)),""))</f>
        <v/>
      </c>
      <c r="G613" s="9"/>
      <c r="H613" s="9"/>
      <c r="I613" s="13" t="str">
        <f aca="false">IF(OR($G613="",$H613=""),"",ROUND($G613*$H613,0))</f>
        <v/>
      </c>
      <c r="J613" s="7"/>
      <c r="K613" s="7"/>
      <c r="L613" s="14" t="str">
        <f aca="false">IF(OR($C613="",$G613=""),"",IF($B613="입고",$G613,IF($B613="출고",-$G613,$G613)))</f>
        <v/>
      </c>
      <c r="M613" s="13" t="str">
        <f aca="false">IF($C613="","",IFERROR(INDEX(품목마스터!$F$3:$F$302,MATCH($C613,품목마스터!$A$3:$A$302,0)),0)+SUMIFS($L$3:$L613,$C$3:$C613,$C613))</f>
        <v/>
      </c>
    </row>
    <row r="614" customFormat="false" ht="15" hidden="false" customHeight="true" outlineLevel="0" collapsed="false">
      <c r="A614" s="11"/>
      <c r="B614" s="7"/>
      <c r="C614" s="7"/>
      <c r="D614" s="12" t="str">
        <f aca="false">IF($C614="","",IFERROR(INDEX(품목마스터!$B$3:$B$302,MATCH($C614,품목마스터!$A$3:$A$302,0)),"미등록품번"))</f>
        <v/>
      </c>
      <c r="E614" s="12" t="str">
        <f aca="false">IF($C614="","",IFERROR(INDEX(품목마스터!$C$3:$C$302,MATCH($C614,품목마스터!$A$3:$A$302,0)),""))</f>
        <v/>
      </c>
      <c r="F614" s="12" t="str">
        <f aca="false">IF($C614="","",IFERROR(INDEX(품목마스터!$D$3:$D$302,MATCH($C614,품목마스터!$A$3:$A$302,0)),""))</f>
        <v/>
      </c>
      <c r="G614" s="9"/>
      <c r="H614" s="9"/>
      <c r="I614" s="13" t="str">
        <f aca="false">IF(OR($G614="",$H614=""),"",ROUND($G614*$H614,0))</f>
        <v/>
      </c>
      <c r="J614" s="7"/>
      <c r="K614" s="7"/>
      <c r="L614" s="14" t="str">
        <f aca="false">IF(OR($C614="",$G614=""),"",IF($B614="입고",$G614,IF($B614="출고",-$G614,$G614)))</f>
        <v/>
      </c>
      <c r="M614" s="13" t="str">
        <f aca="false">IF($C614="","",IFERROR(INDEX(품목마스터!$F$3:$F$302,MATCH($C614,품목마스터!$A$3:$A$302,0)),0)+SUMIFS($L$3:$L614,$C$3:$C614,$C614))</f>
        <v/>
      </c>
    </row>
    <row r="615" customFormat="false" ht="15" hidden="false" customHeight="true" outlineLevel="0" collapsed="false">
      <c r="A615" s="11"/>
      <c r="B615" s="7"/>
      <c r="C615" s="7"/>
      <c r="D615" s="12" t="str">
        <f aca="false">IF($C615="","",IFERROR(INDEX(품목마스터!$B$3:$B$302,MATCH($C615,품목마스터!$A$3:$A$302,0)),"미등록품번"))</f>
        <v/>
      </c>
      <c r="E615" s="12" t="str">
        <f aca="false">IF($C615="","",IFERROR(INDEX(품목마스터!$C$3:$C$302,MATCH($C615,품목마스터!$A$3:$A$302,0)),""))</f>
        <v/>
      </c>
      <c r="F615" s="12" t="str">
        <f aca="false">IF($C615="","",IFERROR(INDEX(품목마스터!$D$3:$D$302,MATCH($C615,품목마스터!$A$3:$A$302,0)),""))</f>
        <v/>
      </c>
      <c r="G615" s="9"/>
      <c r="H615" s="9"/>
      <c r="I615" s="13" t="str">
        <f aca="false">IF(OR($G615="",$H615=""),"",ROUND($G615*$H615,0))</f>
        <v/>
      </c>
      <c r="J615" s="7"/>
      <c r="K615" s="7"/>
      <c r="L615" s="14" t="str">
        <f aca="false">IF(OR($C615="",$G615=""),"",IF($B615="입고",$G615,IF($B615="출고",-$G615,$G615)))</f>
        <v/>
      </c>
      <c r="M615" s="13" t="str">
        <f aca="false">IF($C615="","",IFERROR(INDEX(품목마스터!$F$3:$F$302,MATCH($C615,품목마스터!$A$3:$A$302,0)),0)+SUMIFS($L$3:$L615,$C$3:$C615,$C615))</f>
        <v/>
      </c>
    </row>
    <row r="616" customFormat="false" ht="15" hidden="false" customHeight="true" outlineLevel="0" collapsed="false">
      <c r="A616" s="11"/>
      <c r="B616" s="7"/>
      <c r="C616" s="7"/>
      <c r="D616" s="12" t="str">
        <f aca="false">IF($C616="","",IFERROR(INDEX(품목마스터!$B$3:$B$302,MATCH($C616,품목마스터!$A$3:$A$302,0)),"미등록품번"))</f>
        <v/>
      </c>
      <c r="E616" s="12" t="str">
        <f aca="false">IF($C616="","",IFERROR(INDEX(품목마스터!$C$3:$C$302,MATCH($C616,품목마스터!$A$3:$A$302,0)),""))</f>
        <v/>
      </c>
      <c r="F616" s="12" t="str">
        <f aca="false">IF($C616="","",IFERROR(INDEX(품목마스터!$D$3:$D$302,MATCH($C616,품목마스터!$A$3:$A$302,0)),""))</f>
        <v/>
      </c>
      <c r="G616" s="9"/>
      <c r="H616" s="9"/>
      <c r="I616" s="13" t="str">
        <f aca="false">IF(OR($G616="",$H616=""),"",ROUND($G616*$H616,0))</f>
        <v/>
      </c>
      <c r="J616" s="7"/>
      <c r="K616" s="7"/>
      <c r="L616" s="14" t="str">
        <f aca="false">IF(OR($C616="",$G616=""),"",IF($B616="입고",$G616,IF($B616="출고",-$G616,$G616)))</f>
        <v/>
      </c>
      <c r="M616" s="13" t="str">
        <f aca="false">IF($C616="","",IFERROR(INDEX(품목마스터!$F$3:$F$302,MATCH($C616,품목마스터!$A$3:$A$302,0)),0)+SUMIFS($L$3:$L616,$C$3:$C616,$C616))</f>
        <v/>
      </c>
    </row>
    <row r="617" customFormat="false" ht="15" hidden="false" customHeight="true" outlineLevel="0" collapsed="false">
      <c r="A617" s="11"/>
      <c r="B617" s="7"/>
      <c r="C617" s="7"/>
      <c r="D617" s="12" t="str">
        <f aca="false">IF($C617="","",IFERROR(INDEX(품목마스터!$B$3:$B$302,MATCH($C617,품목마스터!$A$3:$A$302,0)),"미등록품번"))</f>
        <v/>
      </c>
      <c r="E617" s="12" t="str">
        <f aca="false">IF($C617="","",IFERROR(INDEX(품목마스터!$C$3:$C$302,MATCH($C617,품목마스터!$A$3:$A$302,0)),""))</f>
        <v/>
      </c>
      <c r="F617" s="12" t="str">
        <f aca="false">IF($C617="","",IFERROR(INDEX(품목마스터!$D$3:$D$302,MATCH($C617,품목마스터!$A$3:$A$302,0)),""))</f>
        <v/>
      </c>
      <c r="G617" s="9"/>
      <c r="H617" s="9"/>
      <c r="I617" s="13" t="str">
        <f aca="false">IF(OR($G617="",$H617=""),"",ROUND($G617*$H617,0))</f>
        <v/>
      </c>
      <c r="J617" s="7"/>
      <c r="K617" s="7"/>
      <c r="L617" s="14" t="str">
        <f aca="false">IF(OR($C617="",$G617=""),"",IF($B617="입고",$G617,IF($B617="출고",-$G617,$G617)))</f>
        <v/>
      </c>
      <c r="M617" s="13" t="str">
        <f aca="false">IF($C617="","",IFERROR(INDEX(품목마스터!$F$3:$F$302,MATCH($C617,품목마스터!$A$3:$A$302,0)),0)+SUMIFS($L$3:$L617,$C$3:$C617,$C617))</f>
        <v/>
      </c>
    </row>
    <row r="618" customFormat="false" ht="15" hidden="false" customHeight="true" outlineLevel="0" collapsed="false">
      <c r="A618" s="11"/>
      <c r="B618" s="7"/>
      <c r="C618" s="7"/>
      <c r="D618" s="12" t="str">
        <f aca="false">IF($C618="","",IFERROR(INDEX(품목마스터!$B$3:$B$302,MATCH($C618,품목마스터!$A$3:$A$302,0)),"미등록품번"))</f>
        <v/>
      </c>
      <c r="E618" s="12" t="str">
        <f aca="false">IF($C618="","",IFERROR(INDEX(품목마스터!$C$3:$C$302,MATCH($C618,품목마스터!$A$3:$A$302,0)),""))</f>
        <v/>
      </c>
      <c r="F618" s="12" t="str">
        <f aca="false">IF($C618="","",IFERROR(INDEX(품목마스터!$D$3:$D$302,MATCH($C618,품목마스터!$A$3:$A$302,0)),""))</f>
        <v/>
      </c>
      <c r="G618" s="9"/>
      <c r="H618" s="9"/>
      <c r="I618" s="13" t="str">
        <f aca="false">IF(OR($G618="",$H618=""),"",ROUND($G618*$H618,0))</f>
        <v/>
      </c>
      <c r="J618" s="7"/>
      <c r="K618" s="7"/>
      <c r="L618" s="14" t="str">
        <f aca="false">IF(OR($C618="",$G618=""),"",IF($B618="입고",$G618,IF($B618="출고",-$G618,$G618)))</f>
        <v/>
      </c>
      <c r="M618" s="13" t="str">
        <f aca="false">IF($C618="","",IFERROR(INDEX(품목마스터!$F$3:$F$302,MATCH($C618,품목마스터!$A$3:$A$302,0)),0)+SUMIFS($L$3:$L618,$C$3:$C618,$C618))</f>
        <v/>
      </c>
    </row>
    <row r="619" customFormat="false" ht="15" hidden="false" customHeight="true" outlineLevel="0" collapsed="false">
      <c r="A619" s="11"/>
      <c r="B619" s="7"/>
      <c r="C619" s="7"/>
      <c r="D619" s="12" t="str">
        <f aca="false">IF($C619="","",IFERROR(INDEX(품목마스터!$B$3:$B$302,MATCH($C619,품목마스터!$A$3:$A$302,0)),"미등록품번"))</f>
        <v/>
      </c>
      <c r="E619" s="12" t="str">
        <f aca="false">IF($C619="","",IFERROR(INDEX(품목마스터!$C$3:$C$302,MATCH($C619,품목마스터!$A$3:$A$302,0)),""))</f>
        <v/>
      </c>
      <c r="F619" s="12" t="str">
        <f aca="false">IF($C619="","",IFERROR(INDEX(품목마스터!$D$3:$D$302,MATCH($C619,품목마스터!$A$3:$A$302,0)),""))</f>
        <v/>
      </c>
      <c r="G619" s="9"/>
      <c r="H619" s="9"/>
      <c r="I619" s="13" t="str">
        <f aca="false">IF(OR($G619="",$H619=""),"",ROUND($G619*$H619,0))</f>
        <v/>
      </c>
      <c r="J619" s="7"/>
      <c r="K619" s="7"/>
      <c r="L619" s="14" t="str">
        <f aca="false">IF(OR($C619="",$G619=""),"",IF($B619="입고",$G619,IF($B619="출고",-$G619,$G619)))</f>
        <v/>
      </c>
      <c r="M619" s="13" t="str">
        <f aca="false">IF($C619="","",IFERROR(INDEX(품목마스터!$F$3:$F$302,MATCH($C619,품목마스터!$A$3:$A$302,0)),0)+SUMIFS($L$3:$L619,$C$3:$C619,$C619))</f>
        <v/>
      </c>
    </row>
    <row r="620" customFormat="false" ht="15" hidden="false" customHeight="true" outlineLevel="0" collapsed="false">
      <c r="A620" s="11"/>
      <c r="B620" s="7"/>
      <c r="C620" s="7"/>
      <c r="D620" s="12" t="str">
        <f aca="false">IF($C620="","",IFERROR(INDEX(품목마스터!$B$3:$B$302,MATCH($C620,품목마스터!$A$3:$A$302,0)),"미등록품번"))</f>
        <v/>
      </c>
      <c r="E620" s="12" t="str">
        <f aca="false">IF($C620="","",IFERROR(INDEX(품목마스터!$C$3:$C$302,MATCH($C620,품목마스터!$A$3:$A$302,0)),""))</f>
        <v/>
      </c>
      <c r="F620" s="12" t="str">
        <f aca="false">IF($C620="","",IFERROR(INDEX(품목마스터!$D$3:$D$302,MATCH($C620,품목마스터!$A$3:$A$302,0)),""))</f>
        <v/>
      </c>
      <c r="G620" s="9"/>
      <c r="H620" s="9"/>
      <c r="I620" s="13" t="str">
        <f aca="false">IF(OR($G620="",$H620=""),"",ROUND($G620*$H620,0))</f>
        <v/>
      </c>
      <c r="J620" s="7"/>
      <c r="K620" s="7"/>
      <c r="L620" s="14" t="str">
        <f aca="false">IF(OR($C620="",$G620=""),"",IF($B620="입고",$G620,IF($B620="출고",-$G620,$G620)))</f>
        <v/>
      </c>
      <c r="M620" s="13" t="str">
        <f aca="false">IF($C620="","",IFERROR(INDEX(품목마스터!$F$3:$F$302,MATCH($C620,품목마스터!$A$3:$A$302,0)),0)+SUMIFS($L$3:$L620,$C$3:$C620,$C620))</f>
        <v/>
      </c>
    </row>
    <row r="621" customFormat="false" ht="15" hidden="false" customHeight="true" outlineLevel="0" collapsed="false">
      <c r="A621" s="11"/>
      <c r="B621" s="7"/>
      <c r="C621" s="7"/>
      <c r="D621" s="12" t="str">
        <f aca="false">IF($C621="","",IFERROR(INDEX(품목마스터!$B$3:$B$302,MATCH($C621,품목마스터!$A$3:$A$302,0)),"미등록품번"))</f>
        <v/>
      </c>
      <c r="E621" s="12" t="str">
        <f aca="false">IF($C621="","",IFERROR(INDEX(품목마스터!$C$3:$C$302,MATCH($C621,품목마스터!$A$3:$A$302,0)),""))</f>
        <v/>
      </c>
      <c r="F621" s="12" t="str">
        <f aca="false">IF($C621="","",IFERROR(INDEX(품목마스터!$D$3:$D$302,MATCH($C621,품목마스터!$A$3:$A$302,0)),""))</f>
        <v/>
      </c>
      <c r="G621" s="9"/>
      <c r="H621" s="9"/>
      <c r="I621" s="13" t="str">
        <f aca="false">IF(OR($G621="",$H621=""),"",ROUND($G621*$H621,0))</f>
        <v/>
      </c>
      <c r="J621" s="7"/>
      <c r="K621" s="7"/>
      <c r="L621" s="14" t="str">
        <f aca="false">IF(OR($C621="",$G621=""),"",IF($B621="입고",$G621,IF($B621="출고",-$G621,$G621)))</f>
        <v/>
      </c>
      <c r="M621" s="13" t="str">
        <f aca="false">IF($C621="","",IFERROR(INDEX(품목마스터!$F$3:$F$302,MATCH($C621,품목마스터!$A$3:$A$302,0)),0)+SUMIFS($L$3:$L621,$C$3:$C621,$C621))</f>
        <v/>
      </c>
    </row>
    <row r="622" customFormat="false" ht="15" hidden="false" customHeight="true" outlineLevel="0" collapsed="false">
      <c r="A622" s="11"/>
      <c r="B622" s="7"/>
      <c r="C622" s="7"/>
      <c r="D622" s="12" t="str">
        <f aca="false">IF($C622="","",IFERROR(INDEX(품목마스터!$B$3:$B$302,MATCH($C622,품목마스터!$A$3:$A$302,0)),"미등록품번"))</f>
        <v/>
      </c>
      <c r="E622" s="12" t="str">
        <f aca="false">IF($C622="","",IFERROR(INDEX(품목마스터!$C$3:$C$302,MATCH($C622,품목마스터!$A$3:$A$302,0)),""))</f>
        <v/>
      </c>
      <c r="F622" s="12" t="str">
        <f aca="false">IF($C622="","",IFERROR(INDEX(품목마스터!$D$3:$D$302,MATCH($C622,품목마스터!$A$3:$A$302,0)),""))</f>
        <v/>
      </c>
      <c r="G622" s="9"/>
      <c r="H622" s="9"/>
      <c r="I622" s="13" t="str">
        <f aca="false">IF(OR($G622="",$H622=""),"",ROUND($G622*$H622,0))</f>
        <v/>
      </c>
      <c r="J622" s="7"/>
      <c r="K622" s="7"/>
      <c r="L622" s="14" t="str">
        <f aca="false">IF(OR($C622="",$G622=""),"",IF($B622="입고",$G622,IF($B622="출고",-$G622,$G622)))</f>
        <v/>
      </c>
      <c r="M622" s="13" t="str">
        <f aca="false">IF($C622="","",IFERROR(INDEX(품목마스터!$F$3:$F$302,MATCH($C622,품목마스터!$A$3:$A$302,0)),0)+SUMIFS($L$3:$L622,$C$3:$C622,$C622))</f>
        <v/>
      </c>
    </row>
    <row r="623" customFormat="false" ht="15" hidden="false" customHeight="true" outlineLevel="0" collapsed="false">
      <c r="A623" s="11"/>
      <c r="B623" s="7"/>
      <c r="C623" s="7"/>
      <c r="D623" s="12" t="str">
        <f aca="false">IF($C623="","",IFERROR(INDEX(품목마스터!$B$3:$B$302,MATCH($C623,품목마스터!$A$3:$A$302,0)),"미등록품번"))</f>
        <v/>
      </c>
      <c r="E623" s="12" t="str">
        <f aca="false">IF($C623="","",IFERROR(INDEX(품목마스터!$C$3:$C$302,MATCH($C623,품목마스터!$A$3:$A$302,0)),""))</f>
        <v/>
      </c>
      <c r="F623" s="12" t="str">
        <f aca="false">IF($C623="","",IFERROR(INDEX(품목마스터!$D$3:$D$302,MATCH($C623,품목마스터!$A$3:$A$302,0)),""))</f>
        <v/>
      </c>
      <c r="G623" s="9"/>
      <c r="H623" s="9"/>
      <c r="I623" s="13" t="str">
        <f aca="false">IF(OR($G623="",$H623=""),"",ROUND($G623*$H623,0))</f>
        <v/>
      </c>
      <c r="J623" s="7"/>
      <c r="K623" s="7"/>
      <c r="L623" s="14" t="str">
        <f aca="false">IF(OR($C623="",$G623=""),"",IF($B623="입고",$G623,IF($B623="출고",-$G623,$G623)))</f>
        <v/>
      </c>
      <c r="M623" s="13" t="str">
        <f aca="false">IF($C623="","",IFERROR(INDEX(품목마스터!$F$3:$F$302,MATCH($C623,품목마스터!$A$3:$A$302,0)),0)+SUMIFS($L$3:$L623,$C$3:$C623,$C623))</f>
        <v/>
      </c>
    </row>
    <row r="624" customFormat="false" ht="15" hidden="false" customHeight="true" outlineLevel="0" collapsed="false">
      <c r="A624" s="11"/>
      <c r="B624" s="7"/>
      <c r="C624" s="7"/>
      <c r="D624" s="12" t="str">
        <f aca="false">IF($C624="","",IFERROR(INDEX(품목마스터!$B$3:$B$302,MATCH($C624,품목마스터!$A$3:$A$302,0)),"미등록품번"))</f>
        <v/>
      </c>
      <c r="E624" s="12" t="str">
        <f aca="false">IF($C624="","",IFERROR(INDEX(품목마스터!$C$3:$C$302,MATCH($C624,품목마스터!$A$3:$A$302,0)),""))</f>
        <v/>
      </c>
      <c r="F624" s="12" t="str">
        <f aca="false">IF($C624="","",IFERROR(INDEX(품목마스터!$D$3:$D$302,MATCH($C624,품목마스터!$A$3:$A$302,0)),""))</f>
        <v/>
      </c>
      <c r="G624" s="9"/>
      <c r="H624" s="9"/>
      <c r="I624" s="13" t="str">
        <f aca="false">IF(OR($G624="",$H624=""),"",ROUND($G624*$H624,0))</f>
        <v/>
      </c>
      <c r="J624" s="7"/>
      <c r="K624" s="7"/>
      <c r="L624" s="14" t="str">
        <f aca="false">IF(OR($C624="",$G624=""),"",IF($B624="입고",$G624,IF($B624="출고",-$G624,$G624)))</f>
        <v/>
      </c>
      <c r="M624" s="13" t="str">
        <f aca="false">IF($C624="","",IFERROR(INDEX(품목마스터!$F$3:$F$302,MATCH($C624,품목마스터!$A$3:$A$302,0)),0)+SUMIFS($L$3:$L624,$C$3:$C624,$C624))</f>
        <v/>
      </c>
    </row>
    <row r="625" customFormat="false" ht="15" hidden="false" customHeight="true" outlineLevel="0" collapsed="false">
      <c r="A625" s="11"/>
      <c r="B625" s="7"/>
      <c r="C625" s="7"/>
      <c r="D625" s="12" t="str">
        <f aca="false">IF($C625="","",IFERROR(INDEX(품목마스터!$B$3:$B$302,MATCH($C625,품목마스터!$A$3:$A$302,0)),"미등록품번"))</f>
        <v/>
      </c>
      <c r="E625" s="12" t="str">
        <f aca="false">IF($C625="","",IFERROR(INDEX(품목마스터!$C$3:$C$302,MATCH($C625,품목마스터!$A$3:$A$302,0)),""))</f>
        <v/>
      </c>
      <c r="F625" s="12" t="str">
        <f aca="false">IF($C625="","",IFERROR(INDEX(품목마스터!$D$3:$D$302,MATCH($C625,품목마스터!$A$3:$A$302,0)),""))</f>
        <v/>
      </c>
      <c r="G625" s="9"/>
      <c r="H625" s="9"/>
      <c r="I625" s="13" t="str">
        <f aca="false">IF(OR($G625="",$H625=""),"",ROUND($G625*$H625,0))</f>
        <v/>
      </c>
      <c r="J625" s="7"/>
      <c r="K625" s="7"/>
      <c r="L625" s="14" t="str">
        <f aca="false">IF(OR($C625="",$G625=""),"",IF($B625="입고",$G625,IF($B625="출고",-$G625,$G625)))</f>
        <v/>
      </c>
      <c r="M625" s="13" t="str">
        <f aca="false">IF($C625="","",IFERROR(INDEX(품목마스터!$F$3:$F$302,MATCH($C625,품목마스터!$A$3:$A$302,0)),0)+SUMIFS($L$3:$L625,$C$3:$C625,$C625))</f>
        <v/>
      </c>
    </row>
    <row r="626" customFormat="false" ht="15" hidden="false" customHeight="true" outlineLevel="0" collapsed="false">
      <c r="A626" s="11"/>
      <c r="B626" s="7"/>
      <c r="C626" s="7"/>
      <c r="D626" s="12" t="str">
        <f aca="false">IF($C626="","",IFERROR(INDEX(품목마스터!$B$3:$B$302,MATCH($C626,품목마스터!$A$3:$A$302,0)),"미등록품번"))</f>
        <v/>
      </c>
      <c r="E626" s="12" t="str">
        <f aca="false">IF($C626="","",IFERROR(INDEX(품목마스터!$C$3:$C$302,MATCH($C626,품목마스터!$A$3:$A$302,0)),""))</f>
        <v/>
      </c>
      <c r="F626" s="12" t="str">
        <f aca="false">IF($C626="","",IFERROR(INDEX(품목마스터!$D$3:$D$302,MATCH($C626,품목마스터!$A$3:$A$302,0)),""))</f>
        <v/>
      </c>
      <c r="G626" s="9"/>
      <c r="H626" s="9"/>
      <c r="I626" s="13" t="str">
        <f aca="false">IF(OR($G626="",$H626=""),"",ROUND($G626*$H626,0))</f>
        <v/>
      </c>
      <c r="J626" s="7"/>
      <c r="K626" s="7"/>
      <c r="L626" s="14" t="str">
        <f aca="false">IF(OR($C626="",$G626=""),"",IF($B626="입고",$G626,IF($B626="출고",-$G626,$G626)))</f>
        <v/>
      </c>
      <c r="M626" s="13" t="str">
        <f aca="false">IF($C626="","",IFERROR(INDEX(품목마스터!$F$3:$F$302,MATCH($C626,품목마스터!$A$3:$A$302,0)),0)+SUMIFS($L$3:$L626,$C$3:$C626,$C626))</f>
        <v/>
      </c>
    </row>
    <row r="627" customFormat="false" ht="15" hidden="false" customHeight="true" outlineLevel="0" collapsed="false">
      <c r="A627" s="11"/>
      <c r="B627" s="7"/>
      <c r="C627" s="7"/>
      <c r="D627" s="12" t="str">
        <f aca="false">IF($C627="","",IFERROR(INDEX(품목마스터!$B$3:$B$302,MATCH($C627,품목마스터!$A$3:$A$302,0)),"미등록품번"))</f>
        <v/>
      </c>
      <c r="E627" s="12" t="str">
        <f aca="false">IF($C627="","",IFERROR(INDEX(품목마스터!$C$3:$C$302,MATCH($C627,품목마스터!$A$3:$A$302,0)),""))</f>
        <v/>
      </c>
      <c r="F627" s="12" t="str">
        <f aca="false">IF($C627="","",IFERROR(INDEX(품목마스터!$D$3:$D$302,MATCH($C627,품목마스터!$A$3:$A$302,0)),""))</f>
        <v/>
      </c>
      <c r="G627" s="9"/>
      <c r="H627" s="9"/>
      <c r="I627" s="13" t="str">
        <f aca="false">IF(OR($G627="",$H627=""),"",ROUND($G627*$H627,0))</f>
        <v/>
      </c>
      <c r="J627" s="7"/>
      <c r="K627" s="7"/>
      <c r="L627" s="14" t="str">
        <f aca="false">IF(OR($C627="",$G627=""),"",IF($B627="입고",$G627,IF($B627="출고",-$G627,$G627)))</f>
        <v/>
      </c>
      <c r="M627" s="13" t="str">
        <f aca="false">IF($C627="","",IFERROR(INDEX(품목마스터!$F$3:$F$302,MATCH($C627,품목마스터!$A$3:$A$302,0)),0)+SUMIFS($L$3:$L627,$C$3:$C627,$C627))</f>
        <v/>
      </c>
    </row>
    <row r="628" customFormat="false" ht="15" hidden="false" customHeight="true" outlineLevel="0" collapsed="false">
      <c r="A628" s="11"/>
      <c r="B628" s="7"/>
      <c r="C628" s="7"/>
      <c r="D628" s="12" t="str">
        <f aca="false">IF($C628="","",IFERROR(INDEX(품목마스터!$B$3:$B$302,MATCH($C628,품목마스터!$A$3:$A$302,0)),"미등록품번"))</f>
        <v/>
      </c>
      <c r="E628" s="12" t="str">
        <f aca="false">IF($C628="","",IFERROR(INDEX(품목마스터!$C$3:$C$302,MATCH($C628,품목마스터!$A$3:$A$302,0)),""))</f>
        <v/>
      </c>
      <c r="F628" s="12" t="str">
        <f aca="false">IF($C628="","",IFERROR(INDEX(품목마스터!$D$3:$D$302,MATCH($C628,품목마스터!$A$3:$A$302,0)),""))</f>
        <v/>
      </c>
      <c r="G628" s="9"/>
      <c r="H628" s="9"/>
      <c r="I628" s="13" t="str">
        <f aca="false">IF(OR($G628="",$H628=""),"",ROUND($G628*$H628,0))</f>
        <v/>
      </c>
      <c r="J628" s="7"/>
      <c r="K628" s="7"/>
      <c r="L628" s="14" t="str">
        <f aca="false">IF(OR($C628="",$G628=""),"",IF($B628="입고",$G628,IF($B628="출고",-$G628,$G628)))</f>
        <v/>
      </c>
      <c r="M628" s="13" t="str">
        <f aca="false">IF($C628="","",IFERROR(INDEX(품목마스터!$F$3:$F$302,MATCH($C628,품목마스터!$A$3:$A$302,0)),0)+SUMIFS($L$3:$L628,$C$3:$C628,$C628))</f>
        <v/>
      </c>
    </row>
    <row r="629" customFormat="false" ht="15" hidden="false" customHeight="true" outlineLevel="0" collapsed="false">
      <c r="A629" s="11"/>
      <c r="B629" s="7"/>
      <c r="C629" s="7"/>
      <c r="D629" s="12" t="str">
        <f aca="false">IF($C629="","",IFERROR(INDEX(품목마스터!$B$3:$B$302,MATCH($C629,품목마스터!$A$3:$A$302,0)),"미등록품번"))</f>
        <v/>
      </c>
      <c r="E629" s="12" t="str">
        <f aca="false">IF($C629="","",IFERROR(INDEX(품목마스터!$C$3:$C$302,MATCH($C629,품목마스터!$A$3:$A$302,0)),""))</f>
        <v/>
      </c>
      <c r="F629" s="12" t="str">
        <f aca="false">IF($C629="","",IFERROR(INDEX(품목마스터!$D$3:$D$302,MATCH($C629,품목마스터!$A$3:$A$302,0)),""))</f>
        <v/>
      </c>
      <c r="G629" s="9"/>
      <c r="H629" s="9"/>
      <c r="I629" s="13" t="str">
        <f aca="false">IF(OR($G629="",$H629=""),"",ROUND($G629*$H629,0))</f>
        <v/>
      </c>
      <c r="J629" s="7"/>
      <c r="K629" s="7"/>
      <c r="L629" s="14" t="str">
        <f aca="false">IF(OR($C629="",$G629=""),"",IF($B629="입고",$G629,IF($B629="출고",-$G629,$G629)))</f>
        <v/>
      </c>
      <c r="M629" s="13" t="str">
        <f aca="false">IF($C629="","",IFERROR(INDEX(품목마스터!$F$3:$F$302,MATCH($C629,품목마스터!$A$3:$A$302,0)),0)+SUMIFS($L$3:$L629,$C$3:$C629,$C629))</f>
        <v/>
      </c>
    </row>
    <row r="630" customFormat="false" ht="15" hidden="false" customHeight="true" outlineLevel="0" collapsed="false">
      <c r="A630" s="11"/>
      <c r="B630" s="7"/>
      <c r="C630" s="7"/>
      <c r="D630" s="12" t="str">
        <f aca="false">IF($C630="","",IFERROR(INDEX(품목마스터!$B$3:$B$302,MATCH($C630,품목마스터!$A$3:$A$302,0)),"미등록품번"))</f>
        <v/>
      </c>
      <c r="E630" s="12" t="str">
        <f aca="false">IF($C630="","",IFERROR(INDEX(품목마스터!$C$3:$C$302,MATCH($C630,품목마스터!$A$3:$A$302,0)),""))</f>
        <v/>
      </c>
      <c r="F630" s="12" t="str">
        <f aca="false">IF($C630="","",IFERROR(INDEX(품목마스터!$D$3:$D$302,MATCH($C630,품목마스터!$A$3:$A$302,0)),""))</f>
        <v/>
      </c>
      <c r="G630" s="9"/>
      <c r="H630" s="9"/>
      <c r="I630" s="13" t="str">
        <f aca="false">IF(OR($G630="",$H630=""),"",ROUND($G630*$H630,0))</f>
        <v/>
      </c>
      <c r="J630" s="7"/>
      <c r="K630" s="7"/>
      <c r="L630" s="14" t="str">
        <f aca="false">IF(OR($C630="",$G630=""),"",IF($B630="입고",$G630,IF($B630="출고",-$G630,$G630)))</f>
        <v/>
      </c>
      <c r="M630" s="13" t="str">
        <f aca="false">IF($C630="","",IFERROR(INDEX(품목마스터!$F$3:$F$302,MATCH($C630,품목마스터!$A$3:$A$302,0)),0)+SUMIFS($L$3:$L630,$C$3:$C630,$C630))</f>
        <v/>
      </c>
    </row>
    <row r="631" customFormat="false" ht="15" hidden="false" customHeight="true" outlineLevel="0" collapsed="false">
      <c r="A631" s="11"/>
      <c r="B631" s="7"/>
      <c r="C631" s="7"/>
      <c r="D631" s="12" t="str">
        <f aca="false">IF($C631="","",IFERROR(INDEX(품목마스터!$B$3:$B$302,MATCH($C631,품목마스터!$A$3:$A$302,0)),"미등록품번"))</f>
        <v/>
      </c>
      <c r="E631" s="12" t="str">
        <f aca="false">IF($C631="","",IFERROR(INDEX(품목마스터!$C$3:$C$302,MATCH($C631,품목마스터!$A$3:$A$302,0)),""))</f>
        <v/>
      </c>
      <c r="F631" s="12" t="str">
        <f aca="false">IF($C631="","",IFERROR(INDEX(품목마스터!$D$3:$D$302,MATCH($C631,품목마스터!$A$3:$A$302,0)),""))</f>
        <v/>
      </c>
      <c r="G631" s="9"/>
      <c r="H631" s="9"/>
      <c r="I631" s="13" t="str">
        <f aca="false">IF(OR($G631="",$H631=""),"",ROUND($G631*$H631,0))</f>
        <v/>
      </c>
      <c r="J631" s="7"/>
      <c r="K631" s="7"/>
      <c r="L631" s="14" t="str">
        <f aca="false">IF(OR($C631="",$G631=""),"",IF($B631="입고",$G631,IF($B631="출고",-$G631,$G631)))</f>
        <v/>
      </c>
      <c r="M631" s="13" t="str">
        <f aca="false">IF($C631="","",IFERROR(INDEX(품목마스터!$F$3:$F$302,MATCH($C631,품목마스터!$A$3:$A$302,0)),0)+SUMIFS($L$3:$L631,$C$3:$C631,$C631))</f>
        <v/>
      </c>
    </row>
    <row r="632" customFormat="false" ht="15" hidden="false" customHeight="true" outlineLevel="0" collapsed="false">
      <c r="A632" s="11"/>
      <c r="B632" s="7"/>
      <c r="C632" s="7"/>
      <c r="D632" s="12" t="str">
        <f aca="false">IF($C632="","",IFERROR(INDEX(품목마스터!$B$3:$B$302,MATCH($C632,품목마스터!$A$3:$A$302,0)),"미등록품번"))</f>
        <v/>
      </c>
      <c r="E632" s="12" t="str">
        <f aca="false">IF($C632="","",IFERROR(INDEX(품목마스터!$C$3:$C$302,MATCH($C632,품목마스터!$A$3:$A$302,0)),""))</f>
        <v/>
      </c>
      <c r="F632" s="12" t="str">
        <f aca="false">IF($C632="","",IFERROR(INDEX(품목마스터!$D$3:$D$302,MATCH($C632,품목마스터!$A$3:$A$302,0)),""))</f>
        <v/>
      </c>
      <c r="G632" s="9"/>
      <c r="H632" s="9"/>
      <c r="I632" s="13" t="str">
        <f aca="false">IF(OR($G632="",$H632=""),"",ROUND($G632*$H632,0))</f>
        <v/>
      </c>
      <c r="J632" s="7"/>
      <c r="K632" s="7"/>
      <c r="L632" s="14" t="str">
        <f aca="false">IF(OR($C632="",$G632=""),"",IF($B632="입고",$G632,IF($B632="출고",-$G632,$G632)))</f>
        <v/>
      </c>
      <c r="M632" s="13" t="str">
        <f aca="false">IF($C632="","",IFERROR(INDEX(품목마스터!$F$3:$F$302,MATCH($C632,품목마스터!$A$3:$A$302,0)),0)+SUMIFS($L$3:$L632,$C$3:$C632,$C632))</f>
        <v/>
      </c>
    </row>
    <row r="633" customFormat="false" ht="15" hidden="false" customHeight="true" outlineLevel="0" collapsed="false">
      <c r="A633" s="11"/>
      <c r="B633" s="7"/>
      <c r="C633" s="7"/>
      <c r="D633" s="12" t="str">
        <f aca="false">IF($C633="","",IFERROR(INDEX(품목마스터!$B$3:$B$302,MATCH($C633,품목마스터!$A$3:$A$302,0)),"미등록품번"))</f>
        <v/>
      </c>
      <c r="E633" s="12" t="str">
        <f aca="false">IF($C633="","",IFERROR(INDEX(품목마스터!$C$3:$C$302,MATCH($C633,품목마스터!$A$3:$A$302,0)),""))</f>
        <v/>
      </c>
      <c r="F633" s="12" t="str">
        <f aca="false">IF($C633="","",IFERROR(INDEX(품목마스터!$D$3:$D$302,MATCH($C633,품목마스터!$A$3:$A$302,0)),""))</f>
        <v/>
      </c>
      <c r="G633" s="9"/>
      <c r="H633" s="9"/>
      <c r="I633" s="13" t="str">
        <f aca="false">IF(OR($G633="",$H633=""),"",ROUND($G633*$H633,0))</f>
        <v/>
      </c>
      <c r="J633" s="7"/>
      <c r="K633" s="7"/>
      <c r="L633" s="14" t="str">
        <f aca="false">IF(OR($C633="",$G633=""),"",IF($B633="입고",$G633,IF($B633="출고",-$G633,$G633)))</f>
        <v/>
      </c>
      <c r="M633" s="13" t="str">
        <f aca="false">IF($C633="","",IFERROR(INDEX(품목마스터!$F$3:$F$302,MATCH($C633,품목마스터!$A$3:$A$302,0)),0)+SUMIFS($L$3:$L633,$C$3:$C633,$C633))</f>
        <v/>
      </c>
    </row>
    <row r="634" customFormat="false" ht="15" hidden="false" customHeight="true" outlineLevel="0" collapsed="false">
      <c r="A634" s="11"/>
      <c r="B634" s="7"/>
      <c r="C634" s="7"/>
      <c r="D634" s="12" t="str">
        <f aca="false">IF($C634="","",IFERROR(INDEX(품목마스터!$B$3:$B$302,MATCH($C634,품목마스터!$A$3:$A$302,0)),"미등록품번"))</f>
        <v/>
      </c>
      <c r="E634" s="12" t="str">
        <f aca="false">IF($C634="","",IFERROR(INDEX(품목마스터!$C$3:$C$302,MATCH($C634,품목마스터!$A$3:$A$302,0)),""))</f>
        <v/>
      </c>
      <c r="F634" s="12" t="str">
        <f aca="false">IF($C634="","",IFERROR(INDEX(품목마스터!$D$3:$D$302,MATCH($C634,품목마스터!$A$3:$A$302,0)),""))</f>
        <v/>
      </c>
      <c r="G634" s="9"/>
      <c r="H634" s="9"/>
      <c r="I634" s="13" t="str">
        <f aca="false">IF(OR($G634="",$H634=""),"",ROUND($G634*$H634,0))</f>
        <v/>
      </c>
      <c r="J634" s="7"/>
      <c r="K634" s="7"/>
      <c r="L634" s="14" t="str">
        <f aca="false">IF(OR($C634="",$G634=""),"",IF($B634="입고",$G634,IF($B634="출고",-$G634,$G634)))</f>
        <v/>
      </c>
      <c r="M634" s="13" t="str">
        <f aca="false">IF($C634="","",IFERROR(INDEX(품목마스터!$F$3:$F$302,MATCH($C634,품목마스터!$A$3:$A$302,0)),0)+SUMIFS($L$3:$L634,$C$3:$C634,$C634))</f>
        <v/>
      </c>
    </row>
    <row r="635" customFormat="false" ht="15" hidden="false" customHeight="true" outlineLevel="0" collapsed="false">
      <c r="A635" s="11"/>
      <c r="B635" s="7"/>
      <c r="C635" s="7"/>
      <c r="D635" s="12" t="str">
        <f aca="false">IF($C635="","",IFERROR(INDEX(품목마스터!$B$3:$B$302,MATCH($C635,품목마스터!$A$3:$A$302,0)),"미등록품번"))</f>
        <v/>
      </c>
      <c r="E635" s="12" t="str">
        <f aca="false">IF($C635="","",IFERROR(INDEX(품목마스터!$C$3:$C$302,MATCH($C635,품목마스터!$A$3:$A$302,0)),""))</f>
        <v/>
      </c>
      <c r="F635" s="12" t="str">
        <f aca="false">IF($C635="","",IFERROR(INDEX(품목마스터!$D$3:$D$302,MATCH($C635,품목마스터!$A$3:$A$302,0)),""))</f>
        <v/>
      </c>
      <c r="G635" s="9"/>
      <c r="H635" s="9"/>
      <c r="I635" s="13" t="str">
        <f aca="false">IF(OR($G635="",$H635=""),"",ROUND($G635*$H635,0))</f>
        <v/>
      </c>
      <c r="J635" s="7"/>
      <c r="K635" s="7"/>
      <c r="L635" s="14" t="str">
        <f aca="false">IF(OR($C635="",$G635=""),"",IF($B635="입고",$G635,IF($B635="출고",-$G635,$G635)))</f>
        <v/>
      </c>
      <c r="M635" s="13" t="str">
        <f aca="false">IF($C635="","",IFERROR(INDEX(품목마스터!$F$3:$F$302,MATCH($C635,품목마스터!$A$3:$A$302,0)),0)+SUMIFS($L$3:$L635,$C$3:$C635,$C635))</f>
        <v/>
      </c>
    </row>
    <row r="636" customFormat="false" ht="15" hidden="false" customHeight="true" outlineLevel="0" collapsed="false">
      <c r="A636" s="11"/>
      <c r="B636" s="7"/>
      <c r="C636" s="7"/>
      <c r="D636" s="12" t="str">
        <f aca="false">IF($C636="","",IFERROR(INDEX(품목마스터!$B$3:$B$302,MATCH($C636,품목마스터!$A$3:$A$302,0)),"미등록품번"))</f>
        <v/>
      </c>
      <c r="E636" s="12" t="str">
        <f aca="false">IF($C636="","",IFERROR(INDEX(품목마스터!$C$3:$C$302,MATCH($C636,품목마스터!$A$3:$A$302,0)),""))</f>
        <v/>
      </c>
      <c r="F636" s="12" t="str">
        <f aca="false">IF($C636="","",IFERROR(INDEX(품목마스터!$D$3:$D$302,MATCH($C636,품목마스터!$A$3:$A$302,0)),""))</f>
        <v/>
      </c>
      <c r="G636" s="9"/>
      <c r="H636" s="9"/>
      <c r="I636" s="13" t="str">
        <f aca="false">IF(OR($G636="",$H636=""),"",ROUND($G636*$H636,0))</f>
        <v/>
      </c>
      <c r="J636" s="7"/>
      <c r="K636" s="7"/>
      <c r="L636" s="14" t="str">
        <f aca="false">IF(OR($C636="",$G636=""),"",IF($B636="입고",$G636,IF($B636="출고",-$G636,$G636)))</f>
        <v/>
      </c>
      <c r="M636" s="13" t="str">
        <f aca="false">IF($C636="","",IFERROR(INDEX(품목마스터!$F$3:$F$302,MATCH($C636,품목마스터!$A$3:$A$302,0)),0)+SUMIFS($L$3:$L636,$C$3:$C636,$C636))</f>
        <v/>
      </c>
    </row>
    <row r="637" customFormat="false" ht="15" hidden="false" customHeight="true" outlineLevel="0" collapsed="false">
      <c r="A637" s="11"/>
      <c r="B637" s="7"/>
      <c r="C637" s="7"/>
      <c r="D637" s="12" t="str">
        <f aca="false">IF($C637="","",IFERROR(INDEX(품목마스터!$B$3:$B$302,MATCH($C637,품목마스터!$A$3:$A$302,0)),"미등록품번"))</f>
        <v/>
      </c>
      <c r="E637" s="12" t="str">
        <f aca="false">IF($C637="","",IFERROR(INDEX(품목마스터!$C$3:$C$302,MATCH($C637,품목마스터!$A$3:$A$302,0)),""))</f>
        <v/>
      </c>
      <c r="F637" s="12" t="str">
        <f aca="false">IF($C637="","",IFERROR(INDEX(품목마스터!$D$3:$D$302,MATCH($C637,품목마스터!$A$3:$A$302,0)),""))</f>
        <v/>
      </c>
      <c r="G637" s="9"/>
      <c r="H637" s="9"/>
      <c r="I637" s="13" t="str">
        <f aca="false">IF(OR($G637="",$H637=""),"",ROUND($G637*$H637,0))</f>
        <v/>
      </c>
      <c r="J637" s="7"/>
      <c r="K637" s="7"/>
      <c r="L637" s="14" t="str">
        <f aca="false">IF(OR($C637="",$G637=""),"",IF($B637="입고",$G637,IF($B637="출고",-$G637,$G637)))</f>
        <v/>
      </c>
      <c r="M637" s="13" t="str">
        <f aca="false">IF($C637="","",IFERROR(INDEX(품목마스터!$F$3:$F$302,MATCH($C637,품목마스터!$A$3:$A$302,0)),0)+SUMIFS($L$3:$L637,$C$3:$C637,$C637))</f>
        <v/>
      </c>
    </row>
    <row r="638" customFormat="false" ht="15" hidden="false" customHeight="true" outlineLevel="0" collapsed="false">
      <c r="A638" s="11"/>
      <c r="B638" s="7"/>
      <c r="C638" s="7"/>
      <c r="D638" s="12" t="str">
        <f aca="false">IF($C638="","",IFERROR(INDEX(품목마스터!$B$3:$B$302,MATCH($C638,품목마스터!$A$3:$A$302,0)),"미등록품번"))</f>
        <v/>
      </c>
      <c r="E638" s="12" t="str">
        <f aca="false">IF($C638="","",IFERROR(INDEX(품목마스터!$C$3:$C$302,MATCH($C638,품목마스터!$A$3:$A$302,0)),""))</f>
        <v/>
      </c>
      <c r="F638" s="12" t="str">
        <f aca="false">IF($C638="","",IFERROR(INDEX(품목마스터!$D$3:$D$302,MATCH($C638,품목마스터!$A$3:$A$302,0)),""))</f>
        <v/>
      </c>
      <c r="G638" s="9"/>
      <c r="H638" s="9"/>
      <c r="I638" s="13" t="str">
        <f aca="false">IF(OR($G638="",$H638=""),"",ROUND($G638*$H638,0))</f>
        <v/>
      </c>
      <c r="J638" s="7"/>
      <c r="K638" s="7"/>
      <c r="L638" s="14" t="str">
        <f aca="false">IF(OR($C638="",$G638=""),"",IF($B638="입고",$G638,IF($B638="출고",-$G638,$G638)))</f>
        <v/>
      </c>
      <c r="M638" s="13" t="str">
        <f aca="false">IF($C638="","",IFERROR(INDEX(품목마스터!$F$3:$F$302,MATCH($C638,품목마스터!$A$3:$A$302,0)),0)+SUMIFS($L$3:$L638,$C$3:$C638,$C638))</f>
        <v/>
      </c>
    </row>
    <row r="639" customFormat="false" ht="15" hidden="false" customHeight="true" outlineLevel="0" collapsed="false">
      <c r="A639" s="11"/>
      <c r="B639" s="7"/>
      <c r="C639" s="7"/>
      <c r="D639" s="12" t="str">
        <f aca="false">IF($C639="","",IFERROR(INDEX(품목마스터!$B$3:$B$302,MATCH($C639,품목마스터!$A$3:$A$302,0)),"미등록품번"))</f>
        <v/>
      </c>
      <c r="E639" s="12" t="str">
        <f aca="false">IF($C639="","",IFERROR(INDEX(품목마스터!$C$3:$C$302,MATCH($C639,품목마스터!$A$3:$A$302,0)),""))</f>
        <v/>
      </c>
      <c r="F639" s="12" t="str">
        <f aca="false">IF($C639="","",IFERROR(INDEX(품목마스터!$D$3:$D$302,MATCH($C639,품목마스터!$A$3:$A$302,0)),""))</f>
        <v/>
      </c>
      <c r="G639" s="9"/>
      <c r="H639" s="9"/>
      <c r="I639" s="13" t="str">
        <f aca="false">IF(OR($G639="",$H639=""),"",ROUND($G639*$H639,0))</f>
        <v/>
      </c>
      <c r="J639" s="7"/>
      <c r="K639" s="7"/>
      <c r="L639" s="14" t="str">
        <f aca="false">IF(OR($C639="",$G639=""),"",IF($B639="입고",$G639,IF($B639="출고",-$G639,$G639)))</f>
        <v/>
      </c>
      <c r="M639" s="13" t="str">
        <f aca="false">IF($C639="","",IFERROR(INDEX(품목마스터!$F$3:$F$302,MATCH($C639,품목마스터!$A$3:$A$302,0)),0)+SUMIFS($L$3:$L639,$C$3:$C639,$C639))</f>
        <v/>
      </c>
    </row>
    <row r="640" customFormat="false" ht="15" hidden="false" customHeight="true" outlineLevel="0" collapsed="false">
      <c r="A640" s="11"/>
      <c r="B640" s="7"/>
      <c r="C640" s="7"/>
      <c r="D640" s="12" t="str">
        <f aca="false">IF($C640="","",IFERROR(INDEX(품목마스터!$B$3:$B$302,MATCH($C640,품목마스터!$A$3:$A$302,0)),"미등록품번"))</f>
        <v/>
      </c>
      <c r="E640" s="12" t="str">
        <f aca="false">IF($C640="","",IFERROR(INDEX(품목마스터!$C$3:$C$302,MATCH($C640,품목마스터!$A$3:$A$302,0)),""))</f>
        <v/>
      </c>
      <c r="F640" s="12" t="str">
        <f aca="false">IF($C640="","",IFERROR(INDEX(품목마스터!$D$3:$D$302,MATCH($C640,품목마스터!$A$3:$A$302,0)),""))</f>
        <v/>
      </c>
      <c r="G640" s="9"/>
      <c r="H640" s="9"/>
      <c r="I640" s="13" t="str">
        <f aca="false">IF(OR($G640="",$H640=""),"",ROUND($G640*$H640,0))</f>
        <v/>
      </c>
      <c r="J640" s="7"/>
      <c r="K640" s="7"/>
      <c r="L640" s="14" t="str">
        <f aca="false">IF(OR($C640="",$G640=""),"",IF($B640="입고",$G640,IF($B640="출고",-$G640,$G640)))</f>
        <v/>
      </c>
      <c r="M640" s="13" t="str">
        <f aca="false">IF($C640="","",IFERROR(INDEX(품목마스터!$F$3:$F$302,MATCH($C640,품목마스터!$A$3:$A$302,0)),0)+SUMIFS($L$3:$L640,$C$3:$C640,$C640))</f>
        <v/>
      </c>
    </row>
    <row r="641" customFormat="false" ht="15" hidden="false" customHeight="true" outlineLevel="0" collapsed="false">
      <c r="A641" s="11"/>
      <c r="B641" s="7"/>
      <c r="C641" s="7"/>
      <c r="D641" s="12" t="str">
        <f aca="false">IF($C641="","",IFERROR(INDEX(품목마스터!$B$3:$B$302,MATCH($C641,품목마스터!$A$3:$A$302,0)),"미등록품번"))</f>
        <v/>
      </c>
      <c r="E641" s="12" t="str">
        <f aca="false">IF($C641="","",IFERROR(INDEX(품목마스터!$C$3:$C$302,MATCH($C641,품목마스터!$A$3:$A$302,0)),""))</f>
        <v/>
      </c>
      <c r="F641" s="12" t="str">
        <f aca="false">IF($C641="","",IFERROR(INDEX(품목마스터!$D$3:$D$302,MATCH($C641,품목마스터!$A$3:$A$302,0)),""))</f>
        <v/>
      </c>
      <c r="G641" s="9"/>
      <c r="H641" s="9"/>
      <c r="I641" s="13" t="str">
        <f aca="false">IF(OR($G641="",$H641=""),"",ROUND($G641*$H641,0))</f>
        <v/>
      </c>
      <c r="J641" s="7"/>
      <c r="K641" s="7"/>
      <c r="L641" s="14" t="str">
        <f aca="false">IF(OR($C641="",$G641=""),"",IF($B641="입고",$G641,IF($B641="출고",-$G641,$G641)))</f>
        <v/>
      </c>
      <c r="M641" s="13" t="str">
        <f aca="false">IF($C641="","",IFERROR(INDEX(품목마스터!$F$3:$F$302,MATCH($C641,품목마스터!$A$3:$A$302,0)),0)+SUMIFS($L$3:$L641,$C$3:$C641,$C641))</f>
        <v/>
      </c>
    </row>
    <row r="642" customFormat="false" ht="15" hidden="false" customHeight="true" outlineLevel="0" collapsed="false">
      <c r="A642" s="11"/>
      <c r="B642" s="7"/>
      <c r="C642" s="7"/>
      <c r="D642" s="12" t="str">
        <f aca="false">IF($C642="","",IFERROR(INDEX(품목마스터!$B$3:$B$302,MATCH($C642,품목마스터!$A$3:$A$302,0)),"미등록품번"))</f>
        <v/>
      </c>
      <c r="E642" s="12" t="str">
        <f aca="false">IF($C642="","",IFERROR(INDEX(품목마스터!$C$3:$C$302,MATCH($C642,품목마스터!$A$3:$A$302,0)),""))</f>
        <v/>
      </c>
      <c r="F642" s="12" t="str">
        <f aca="false">IF($C642="","",IFERROR(INDEX(품목마스터!$D$3:$D$302,MATCH($C642,품목마스터!$A$3:$A$302,0)),""))</f>
        <v/>
      </c>
      <c r="G642" s="9"/>
      <c r="H642" s="9"/>
      <c r="I642" s="13" t="str">
        <f aca="false">IF(OR($G642="",$H642=""),"",ROUND($G642*$H642,0))</f>
        <v/>
      </c>
      <c r="J642" s="7"/>
      <c r="K642" s="7"/>
      <c r="L642" s="14" t="str">
        <f aca="false">IF(OR($C642="",$G642=""),"",IF($B642="입고",$G642,IF($B642="출고",-$G642,$G642)))</f>
        <v/>
      </c>
      <c r="M642" s="13" t="str">
        <f aca="false">IF($C642="","",IFERROR(INDEX(품목마스터!$F$3:$F$302,MATCH($C642,품목마스터!$A$3:$A$302,0)),0)+SUMIFS($L$3:$L642,$C$3:$C642,$C642))</f>
        <v/>
      </c>
    </row>
    <row r="643" customFormat="false" ht="15" hidden="false" customHeight="true" outlineLevel="0" collapsed="false">
      <c r="A643" s="11"/>
      <c r="B643" s="7"/>
      <c r="C643" s="7"/>
      <c r="D643" s="12" t="str">
        <f aca="false">IF($C643="","",IFERROR(INDEX(품목마스터!$B$3:$B$302,MATCH($C643,품목마스터!$A$3:$A$302,0)),"미등록품번"))</f>
        <v/>
      </c>
      <c r="E643" s="12" t="str">
        <f aca="false">IF($C643="","",IFERROR(INDEX(품목마스터!$C$3:$C$302,MATCH($C643,품목마스터!$A$3:$A$302,0)),""))</f>
        <v/>
      </c>
      <c r="F643" s="12" t="str">
        <f aca="false">IF($C643="","",IFERROR(INDEX(품목마스터!$D$3:$D$302,MATCH($C643,품목마스터!$A$3:$A$302,0)),""))</f>
        <v/>
      </c>
      <c r="G643" s="9"/>
      <c r="H643" s="9"/>
      <c r="I643" s="13" t="str">
        <f aca="false">IF(OR($G643="",$H643=""),"",ROUND($G643*$H643,0))</f>
        <v/>
      </c>
      <c r="J643" s="7"/>
      <c r="K643" s="7"/>
      <c r="L643" s="14" t="str">
        <f aca="false">IF(OR($C643="",$G643=""),"",IF($B643="입고",$G643,IF($B643="출고",-$G643,$G643)))</f>
        <v/>
      </c>
      <c r="M643" s="13" t="str">
        <f aca="false">IF($C643="","",IFERROR(INDEX(품목마스터!$F$3:$F$302,MATCH($C643,품목마스터!$A$3:$A$302,0)),0)+SUMIFS($L$3:$L643,$C$3:$C643,$C643))</f>
        <v/>
      </c>
    </row>
    <row r="644" customFormat="false" ht="15" hidden="false" customHeight="true" outlineLevel="0" collapsed="false">
      <c r="A644" s="11"/>
      <c r="B644" s="7"/>
      <c r="C644" s="7"/>
      <c r="D644" s="12" t="str">
        <f aca="false">IF($C644="","",IFERROR(INDEX(품목마스터!$B$3:$B$302,MATCH($C644,품목마스터!$A$3:$A$302,0)),"미등록품번"))</f>
        <v/>
      </c>
      <c r="E644" s="12" t="str">
        <f aca="false">IF($C644="","",IFERROR(INDEX(품목마스터!$C$3:$C$302,MATCH($C644,품목마스터!$A$3:$A$302,0)),""))</f>
        <v/>
      </c>
      <c r="F644" s="12" t="str">
        <f aca="false">IF($C644="","",IFERROR(INDEX(품목마스터!$D$3:$D$302,MATCH($C644,품목마스터!$A$3:$A$302,0)),""))</f>
        <v/>
      </c>
      <c r="G644" s="9"/>
      <c r="H644" s="9"/>
      <c r="I644" s="13" t="str">
        <f aca="false">IF(OR($G644="",$H644=""),"",ROUND($G644*$H644,0))</f>
        <v/>
      </c>
      <c r="J644" s="7"/>
      <c r="K644" s="7"/>
      <c r="L644" s="14" t="str">
        <f aca="false">IF(OR($C644="",$G644=""),"",IF($B644="입고",$G644,IF($B644="출고",-$G644,$G644)))</f>
        <v/>
      </c>
      <c r="M644" s="13" t="str">
        <f aca="false">IF($C644="","",IFERROR(INDEX(품목마스터!$F$3:$F$302,MATCH($C644,품목마스터!$A$3:$A$302,0)),0)+SUMIFS($L$3:$L644,$C$3:$C644,$C644))</f>
        <v/>
      </c>
    </row>
    <row r="645" customFormat="false" ht="15" hidden="false" customHeight="true" outlineLevel="0" collapsed="false">
      <c r="A645" s="11"/>
      <c r="B645" s="7"/>
      <c r="C645" s="7"/>
      <c r="D645" s="12" t="str">
        <f aca="false">IF($C645="","",IFERROR(INDEX(품목마스터!$B$3:$B$302,MATCH($C645,품목마스터!$A$3:$A$302,0)),"미등록품번"))</f>
        <v/>
      </c>
      <c r="E645" s="12" t="str">
        <f aca="false">IF($C645="","",IFERROR(INDEX(품목마스터!$C$3:$C$302,MATCH($C645,품목마스터!$A$3:$A$302,0)),""))</f>
        <v/>
      </c>
      <c r="F645" s="12" t="str">
        <f aca="false">IF($C645="","",IFERROR(INDEX(품목마스터!$D$3:$D$302,MATCH($C645,품목마스터!$A$3:$A$302,0)),""))</f>
        <v/>
      </c>
      <c r="G645" s="9"/>
      <c r="H645" s="9"/>
      <c r="I645" s="13" t="str">
        <f aca="false">IF(OR($G645="",$H645=""),"",ROUND($G645*$H645,0))</f>
        <v/>
      </c>
      <c r="J645" s="7"/>
      <c r="K645" s="7"/>
      <c r="L645" s="14" t="str">
        <f aca="false">IF(OR($C645="",$G645=""),"",IF($B645="입고",$G645,IF($B645="출고",-$G645,$G645)))</f>
        <v/>
      </c>
      <c r="M645" s="13" t="str">
        <f aca="false">IF($C645="","",IFERROR(INDEX(품목마스터!$F$3:$F$302,MATCH($C645,품목마스터!$A$3:$A$302,0)),0)+SUMIFS($L$3:$L645,$C$3:$C645,$C645))</f>
        <v/>
      </c>
    </row>
    <row r="646" customFormat="false" ht="15" hidden="false" customHeight="true" outlineLevel="0" collapsed="false">
      <c r="A646" s="11"/>
      <c r="B646" s="7"/>
      <c r="C646" s="7"/>
      <c r="D646" s="12" t="str">
        <f aca="false">IF($C646="","",IFERROR(INDEX(품목마스터!$B$3:$B$302,MATCH($C646,품목마스터!$A$3:$A$302,0)),"미등록품번"))</f>
        <v/>
      </c>
      <c r="E646" s="12" t="str">
        <f aca="false">IF($C646="","",IFERROR(INDEX(품목마스터!$C$3:$C$302,MATCH($C646,품목마스터!$A$3:$A$302,0)),""))</f>
        <v/>
      </c>
      <c r="F646" s="12" t="str">
        <f aca="false">IF($C646="","",IFERROR(INDEX(품목마스터!$D$3:$D$302,MATCH($C646,품목마스터!$A$3:$A$302,0)),""))</f>
        <v/>
      </c>
      <c r="G646" s="9"/>
      <c r="H646" s="9"/>
      <c r="I646" s="13" t="str">
        <f aca="false">IF(OR($G646="",$H646=""),"",ROUND($G646*$H646,0))</f>
        <v/>
      </c>
      <c r="J646" s="7"/>
      <c r="K646" s="7"/>
      <c r="L646" s="14" t="str">
        <f aca="false">IF(OR($C646="",$G646=""),"",IF($B646="입고",$G646,IF($B646="출고",-$G646,$G646)))</f>
        <v/>
      </c>
      <c r="M646" s="13" t="str">
        <f aca="false">IF($C646="","",IFERROR(INDEX(품목마스터!$F$3:$F$302,MATCH($C646,품목마스터!$A$3:$A$302,0)),0)+SUMIFS($L$3:$L646,$C$3:$C646,$C646))</f>
        <v/>
      </c>
    </row>
    <row r="647" customFormat="false" ht="15" hidden="false" customHeight="true" outlineLevel="0" collapsed="false">
      <c r="A647" s="11"/>
      <c r="B647" s="7"/>
      <c r="C647" s="7"/>
      <c r="D647" s="12" t="str">
        <f aca="false">IF($C647="","",IFERROR(INDEX(품목마스터!$B$3:$B$302,MATCH($C647,품목마스터!$A$3:$A$302,0)),"미등록품번"))</f>
        <v/>
      </c>
      <c r="E647" s="12" t="str">
        <f aca="false">IF($C647="","",IFERROR(INDEX(품목마스터!$C$3:$C$302,MATCH($C647,품목마스터!$A$3:$A$302,0)),""))</f>
        <v/>
      </c>
      <c r="F647" s="12" t="str">
        <f aca="false">IF($C647="","",IFERROR(INDEX(품목마스터!$D$3:$D$302,MATCH($C647,품목마스터!$A$3:$A$302,0)),""))</f>
        <v/>
      </c>
      <c r="G647" s="9"/>
      <c r="H647" s="9"/>
      <c r="I647" s="13" t="str">
        <f aca="false">IF(OR($G647="",$H647=""),"",ROUND($G647*$H647,0))</f>
        <v/>
      </c>
      <c r="J647" s="7"/>
      <c r="K647" s="7"/>
      <c r="L647" s="14" t="str">
        <f aca="false">IF(OR($C647="",$G647=""),"",IF($B647="입고",$G647,IF($B647="출고",-$G647,$G647)))</f>
        <v/>
      </c>
      <c r="M647" s="13" t="str">
        <f aca="false">IF($C647="","",IFERROR(INDEX(품목마스터!$F$3:$F$302,MATCH($C647,품목마스터!$A$3:$A$302,0)),0)+SUMIFS($L$3:$L647,$C$3:$C647,$C647))</f>
        <v/>
      </c>
    </row>
    <row r="648" customFormat="false" ht="15" hidden="false" customHeight="true" outlineLevel="0" collapsed="false">
      <c r="A648" s="11"/>
      <c r="B648" s="7"/>
      <c r="C648" s="7"/>
      <c r="D648" s="12" t="str">
        <f aca="false">IF($C648="","",IFERROR(INDEX(품목마스터!$B$3:$B$302,MATCH($C648,품목마스터!$A$3:$A$302,0)),"미등록품번"))</f>
        <v/>
      </c>
      <c r="E648" s="12" t="str">
        <f aca="false">IF($C648="","",IFERROR(INDEX(품목마스터!$C$3:$C$302,MATCH($C648,품목마스터!$A$3:$A$302,0)),""))</f>
        <v/>
      </c>
      <c r="F648" s="12" t="str">
        <f aca="false">IF($C648="","",IFERROR(INDEX(품목마스터!$D$3:$D$302,MATCH($C648,품목마스터!$A$3:$A$302,0)),""))</f>
        <v/>
      </c>
      <c r="G648" s="9"/>
      <c r="H648" s="9"/>
      <c r="I648" s="13" t="str">
        <f aca="false">IF(OR($G648="",$H648=""),"",ROUND($G648*$H648,0))</f>
        <v/>
      </c>
      <c r="J648" s="7"/>
      <c r="K648" s="7"/>
      <c r="L648" s="14" t="str">
        <f aca="false">IF(OR($C648="",$G648=""),"",IF($B648="입고",$G648,IF($B648="출고",-$G648,$G648)))</f>
        <v/>
      </c>
      <c r="M648" s="13" t="str">
        <f aca="false">IF($C648="","",IFERROR(INDEX(품목마스터!$F$3:$F$302,MATCH($C648,품목마스터!$A$3:$A$302,0)),0)+SUMIFS($L$3:$L648,$C$3:$C648,$C648))</f>
        <v/>
      </c>
    </row>
    <row r="649" customFormat="false" ht="15" hidden="false" customHeight="true" outlineLevel="0" collapsed="false">
      <c r="A649" s="11"/>
      <c r="B649" s="7"/>
      <c r="C649" s="7"/>
      <c r="D649" s="12" t="str">
        <f aca="false">IF($C649="","",IFERROR(INDEX(품목마스터!$B$3:$B$302,MATCH($C649,품목마스터!$A$3:$A$302,0)),"미등록품번"))</f>
        <v/>
      </c>
      <c r="E649" s="12" t="str">
        <f aca="false">IF($C649="","",IFERROR(INDEX(품목마스터!$C$3:$C$302,MATCH($C649,품목마스터!$A$3:$A$302,0)),""))</f>
        <v/>
      </c>
      <c r="F649" s="12" t="str">
        <f aca="false">IF($C649="","",IFERROR(INDEX(품목마스터!$D$3:$D$302,MATCH($C649,품목마스터!$A$3:$A$302,0)),""))</f>
        <v/>
      </c>
      <c r="G649" s="9"/>
      <c r="H649" s="9"/>
      <c r="I649" s="13" t="str">
        <f aca="false">IF(OR($G649="",$H649=""),"",ROUND($G649*$H649,0))</f>
        <v/>
      </c>
      <c r="J649" s="7"/>
      <c r="K649" s="7"/>
      <c r="L649" s="14" t="str">
        <f aca="false">IF(OR($C649="",$G649=""),"",IF($B649="입고",$G649,IF($B649="출고",-$G649,$G649)))</f>
        <v/>
      </c>
      <c r="M649" s="13" t="str">
        <f aca="false">IF($C649="","",IFERROR(INDEX(품목마스터!$F$3:$F$302,MATCH($C649,품목마스터!$A$3:$A$302,0)),0)+SUMIFS($L$3:$L649,$C$3:$C649,$C649))</f>
        <v/>
      </c>
    </row>
    <row r="650" customFormat="false" ht="15" hidden="false" customHeight="true" outlineLevel="0" collapsed="false">
      <c r="A650" s="11"/>
      <c r="B650" s="7"/>
      <c r="C650" s="7"/>
      <c r="D650" s="12" t="str">
        <f aca="false">IF($C650="","",IFERROR(INDEX(품목마스터!$B$3:$B$302,MATCH($C650,품목마스터!$A$3:$A$302,0)),"미등록품번"))</f>
        <v/>
      </c>
      <c r="E650" s="12" t="str">
        <f aca="false">IF($C650="","",IFERROR(INDEX(품목마스터!$C$3:$C$302,MATCH($C650,품목마스터!$A$3:$A$302,0)),""))</f>
        <v/>
      </c>
      <c r="F650" s="12" t="str">
        <f aca="false">IF($C650="","",IFERROR(INDEX(품목마스터!$D$3:$D$302,MATCH($C650,품목마스터!$A$3:$A$302,0)),""))</f>
        <v/>
      </c>
      <c r="G650" s="9"/>
      <c r="H650" s="9"/>
      <c r="I650" s="13" t="str">
        <f aca="false">IF(OR($G650="",$H650=""),"",ROUND($G650*$H650,0))</f>
        <v/>
      </c>
      <c r="J650" s="7"/>
      <c r="K650" s="7"/>
      <c r="L650" s="14" t="str">
        <f aca="false">IF(OR($C650="",$G650=""),"",IF($B650="입고",$G650,IF($B650="출고",-$G650,$G650)))</f>
        <v/>
      </c>
      <c r="M650" s="13" t="str">
        <f aca="false">IF($C650="","",IFERROR(INDEX(품목마스터!$F$3:$F$302,MATCH($C650,품목마스터!$A$3:$A$302,0)),0)+SUMIFS($L$3:$L650,$C$3:$C650,$C650))</f>
        <v/>
      </c>
    </row>
    <row r="651" customFormat="false" ht="15" hidden="false" customHeight="true" outlineLevel="0" collapsed="false">
      <c r="A651" s="11"/>
      <c r="B651" s="7"/>
      <c r="C651" s="7"/>
      <c r="D651" s="12" t="str">
        <f aca="false">IF($C651="","",IFERROR(INDEX(품목마스터!$B$3:$B$302,MATCH($C651,품목마스터!$A$3:$A$302,0)),"미등록품번"))</f>
        <v/>
      </c>
      <c r="E651" s="12" t="str">
        <f aca="false">IF($C651="","",IFERROR(INDEX(품목마스터!$C$3:$C$302,MATCH($C651,품목마스터!$A$3:$A$302,0)),""))</f>
        <v/>
      </c>
      <c r="F651" s="12" t="str">
        <f aca="false">IF($C651="","",IFERROR(INDEX(품목마스터!$D$3:$D$302,MATCH($C651,품목마스터!$A$3:$A$302,0)),""))</f>
        <v/>
      </c>
      <c r="G651" s="9"/>
      <c r="H651" s="9"/>
      <c r="I651" s="13" t="str">
        <f aca="false">IF(OR($G651="",$H651=""),"",ROUND($G651*$H651,0))</f>
        <v/>
      </c>
      <c r="J651" s="7"/>
      <c r="K651" s="7"/>
      <c r="L651" s="14" t="str">
        <f aca="false">IF(OR($C651="",$G651=""),"",IF($B651="입고",$G651,IF($B651="출고",-$G651,$G651)))</f>
        <v/>
      </c>
      <c r="M651" s="13" t="str">
        <f aca="false">IF($C651="","",IFERROR(INDEX(품목마스터!$F$3:$F$302,MATCH($C651,품목마스터!$A$3:$A$302,0)),0)+SUMIFS($L$3:$L651,$C$3:$C651,$C651))</f>
        <v/>
      </c>
    </row>
    <row r="652" customFormat="false" ht="15" hidden="false" customHeight="true" outlineLevel="0" collapsed="false">
      <c r="A652" s="11"/>
      <c r="B652" s="7"/>
      <c r="C652" s="7"/>
      <c r="D652" s="12" t="str">
        <f aca="false">IF($C652="","",IFERROR(INDEX(품목마스터!$B$3:$B$302,MATCH($C652,품목마스터!$A$3:$A$302,0)),"미등록품번"))</f>
        <v/>
      </c>
      <c r="E652" s="12" t="str">
        <f aca="false">IF($C652="","",IFERROR(INDEX(품목마스터!$C$3:$C$302,MATCH($C652,품목마스터!$A$3:$A$302,0)),""))</f>
        <v/>
      </c>
      <c r="F652" s="12" t="str">
        <f aca="false">IF($C652="","",IFERROR(INDEX(품목마스터!$D$3:$D$302,MATCH($C652,품목마스터!$A$3:$A$302,0)),""))</f>
        <v/>
      </c>
      <c r="G652" s="9"/>
      <c r="H652" s="9"/>
      <c r="I652" s="13" t="str">
        <f aca="false">IF(OR($G652="",$H652=""),"",ROUND($G652*$H652,0))</f>
        <v/>
      </c>
      <c r="J652" s="7"/>
      <c r="K652" s="7"/>
      <c r="L652" s="14" t="str">
        <f aca="false">IF(OR($C652="",$G652=""),"",IF($B652="입고",$G652,IF($B652="출고",-$G652,$G652)))</f>
        <v/>
      </c>
      <c r="M652" s="13" t="str">
        <f aca="false">IF($C652="","",IFERROR(INDEX(품목마스터!$F$3:$F$302,MATCH($C652,품목마스터!$A$3:$A$302,0)),0)+SUMIFS($L$3:$L652,$C$3:$C652,$C652))</f>
        <v/>
      </c>
    </row>
    <row r="653" customFormat="false" ht="15" hidden="false" customHeight="true" outlineLevel="0" collapsed="false">
      <c r="A653" s="11"/>
      <c r="B653" s="7"/>
      <c r="C653" s="7"/>
      <c r="D653" s="12" t="str">
        <f aca="false">IF($C653="","",IFERROR(INDEX(품목마스터!$B$3:$B$302,MATCH($C653,품목마스터!$A$3:$A$302,0)),"미등록품번"))</f>
        <v/>
      </c>
      <c r="E653" s="12" t="str">
        <f aca="false">IF($C653="","",IFERROR(INDEX(품목마스터!$C$3:$C$302,MATCH($C653,품목마스터!$A$3:$A$302,0)),""))</f>
        <v/>
      </c>
      <c r="F653" s="12" t="str">
        <f aca="false">IF($C653="","",IFERROR(INDEX(품목마스터!$D$3:$D$302,MATCH($C653,품목마스터!$A$3:$A$302,0)),""))</f>
        <v/>
      </c>
      <c r="G653" s="9"/>
      <c r="H653" s="9"/>
      <c r="I653" s="13" t="str">
        <f aca="false">IF(OR($G653="",$H653=""),"",ROUND($G653*$H653,0))</f>
        <v/>
      </c>
      <c r="J653" s="7"/>
      <c r="K653" s="7"/>
      <c r="L653" s="14" t="str">
        <f aca="false">IF(OR($C653="",$G653=""),"",IF($B653="입고",$G653,IF($B653="출고",-$G653,$G653)))</f>
        <v/>
      </c>
      <c r="M653" s="13" t="str">
        <f aca="false">IF($C653="","",IFERROR(INDEX(품목마스터!$F$3:$F$302,MATCH($C653,품목마스터!$A$3:$A$302,0)),0)+SUMIFS($L$3:$L653,$C$3:$C653,$C653))</f>
        <v/>
      </c>
    </row>
    <row r="654" customFormat="false" ht="15" hidden="false" customHeight="true" outlineLevel="0" collapsed="false">
      <c r="A654" s="11"/>
      <c r="B654" s="7"/>
      <c r="C654" s="7"/>
      <c r="D654" s="12" t="str">
        <f aca="false">IF($C654="","",IFERROR(INDEX(품목마스터!$B$3:$B$302,MATCH($C654,품목마스터!$A$3:$A$302,0)),"미등록품번"))</f>
        <v/>
      </c>
      <c r="E654" s="12" t="str">
        <f aca="false">IF($C654="","",IFERROR(INDEX(품목마스터!$C$3:$C$302,MATCH($C654,품목마스터!$A$3:$A$302,0)),""))</f>
        <v/>
      </c>
      <c r="F654" s="12" t="str">
        <f aca="false">IF($C654="","",IFERROR(INDEX(품목마스터!$D$3:$D$302,MATCH($C654,품목마스터!$A$3:$A$302,0)),""))</f>
        <v/>
      </c>
      <c r="G654" s="9"/>
      <c r="H654" s="9"/>
      <c r="I654" s="13" t="str">
        <f aca="false">IF(OR($G654="",$H654=""),"",ROUND($G654*$H654,0))</f>
        <v/>
      </c>
      <c r="J654" s="7"/>
      <c r="K654" s="7"/>
      <c r="L654" s="14" t="str">
        <f aca="false">IF(OR($C654="",$G654=""),"",IF($B654="입고",$G654,IF($B654="출고",-$G654,$G654)))</f>
        <v/>
      </c>
      <c r="M654" s="13" t="str">
        <f aca="false">IF($C654="","",IFERROR(INDEX(품목마스터!$F$3:$F$302,MATCH($C654,품목마스터!$A$3:$A$302,0)),0)+SUMIFS($L$3:$L654,$C$3:$C654,$C654))</f>
        <v/>
      </c>
    </row>
    <row r="655" customFormat="false" ht="15" hidden="false" customHeight="true" outlineLevel="0" collapsed="false">
      <c r="A655" s="11"/>
      <c r="B655" s="7"/>
      <c r="C655" s="7"/>
      <c r="D655" s="12" t="str">
        <f aca="false">IF($C655="","",IFERROR(INDEX(품목마스터!$B$3:$B$302,MATCH($C655,품목마스터!$A$3:$A$302,0)),"미등록품번"))</f>
        <v/>
      </c>
      <c r="E655" s="12" t="str">
        <f aca="false">IF($C655="","",IFERROR(INDEX(품목마스터!$C$3:$C$302,MATCH($C655,품목마스터!$A$3:$A$302,0)),""))</f>
        <v/>
      </c>
      <c r="F655" s="12" t="str">
        <f aca="false">IF($C655="","",IFERROR(INDEX(품목마스터!$D$3:$D$302,MATCH($C655,품목마스터!$A$3:$A$302,0)),""))</f>
        <v/>
      </c>
      <c r="G655" s="9"/>
      <c r="H655" s="9"/>
      <c r="I655" s="13" t="str">
        <f aca="false">IF(OR($G655="",$H655=""),"",ROUND($G655*$H655,0))</f>
        <v/>
      </c>
      <c r="J655" s="7"/>
      <c r="K655" s="7"/>
      <c r="L655" s="14" t="str">
        <f aca="false">IF(OR($C655="",$G655=""),"",IF($B655="입고",$G655,IF($B655="출고",-$G655,$G655)))</f>
        <v/>
      </c>
      <c r="M655" s="13" t="str">
        <f aca="false">IF($C655="","",IFERROR(INDEX(품목마스터!$F$3:$F$302,MATCH($C655,품목마스터!$A$3:$A$302,0)),0)+SUMIFS($L$3:$L655,$C$3:$C655,$C655))</f>
        <v/>
      </c>
    </row>
    <row r="656" customFormat="false" ht="15" hidden="false" customHeight="true" outlineLevel="0" collapsed="false">
      <c r="A656" s="11"/>
      <c r="B656" s="7"/>
      <c r="C656" s="7"/>
      <c r="D656" s="12" t="str">
        <f aca="false">IF($C656="","",IFERROR(INDEX(품목마스터!$B$3:$B$302,MATCH($C656,품목마스터!$A$3:$A$302,0)),"미등록품번"))</f>
        <v/>
      </c>
      <c r="E656" s="12" t="str">
        <f aca="false">IF($C656="","",IFERROR(INDEX(품목마스터!$C$3:$C$302,MATCH($C656,품목마스터!$A$3:$A$302,0)),""))</f>
        <v/>
      </c>
      <c r="F656" s="12" t="str">
        <f aca="false">IF($C656="","",IFERROR(INDEX(품목마스터!$D$3:$D$302,MATCH($C656,품목마스터!$A$3:$A$302,0)),""))</f>
        <v/>
      </c>
      <c r="G656" s="9"/>
      <c r="H656" s="9"/>
      <c r="I656" s="13" t="str">
        <f aca="false">IF(OR($G656="",$H656=""),"",ROUND($G656*$H656,0))</f>
        <v/>
      </c>
      <c r="J656" s="7"/>
      <c r="K656" s="7"/>
      <c r="L656" s="14" t="str">
        <f aca="false">IF(OR($C656="",$G656=""),"",IF($B656="입고",$G656,IF($B656="출고",-$G656,$G656)))</f>
        <v/>
      </c>
      <c r="M656" s="13" t="str">
        <f aca="false">IF($C656="","",IFERROR(INDEX(품목마스터!$F$3:$F$302,MATCH($C656,품목마스터!$A$3:$A$302,0)),0)+SUMIFS($L$3:$L656,$C$3:$C656,$C656))</f>
        <v/>
      </c>
    </row>
    <row r="657" customFormat="false" ht="15" hidden="false" customHeight="true" outlineLevel="0" collapsed="false">
      <c r="A657" s="11"/>
      <c r="B657" s="7"/>
      <c r="C657" s="7"/>
      <c r="D657" s="12" t="str">
        <f aca="false">IF($C657="","",IFERROR(INDEX(품목마스터!$B$3:$B$302,MATCH($C657,품목마스터!$A$3:$A$302,0)),"미등록품번"))</f>
        <v/>
      </c>
      <c r="E657" s="12" t="str">
        <f aca="false">IF($C657="","",IFERROR(INDEX(품목마스터!$C$3:$C$302,MATCH($C657,품목마스터!$A$3:$A$302,0)),""))</f>
        <v/>
      </c>
      <c r="F657" s="12" t="str">
        <f aca="false">IF($C657="","",IFERROR(INDEX(품목마스터!$D$3:$D$302,MATCH($C657,품목마스터!$A$3:$A$302,0)),""))</f>
        <v/>
      </c>
      <c r="G657" s="9"/>
      <c r="H657" s="9"/>
      <c r="I657" s="13" t="str">
        <f aca="false">IF(OR($G657="",$H657=""),"",ROUND($G657*$H657,0))</f>
        <v/>
      </c>
      <c r="J657" s="7"/>
      <c r="K657" s="7"/>
      <c r="L657" s="14" t="str">
        <f aca="false">IF(OR($C657="",$G657=""),"",IF($B657="입고",$G657,IF($B657="출고",-$G657,$G657)))</f>
        <v/>
      </c>
      <c r="M657" s="13" t="str">
        <f aca="false">IF($C657="","",IFERROR(INDEX(품목마스터!$F$3:$F$302,MATCH($C657,품목마스터!$A$3:$A$302,0)),0)+SUMIFS($L$3:$L657,$C$3:$C657,$C657))</f>
        <v/>
      </c>
    </row>
    <row r="658" customFormat="false" ht="15" hidden="false" customHeight="true" outlineLevel="0" collapsed="false">
      <c r="A658" s="11"/>
      <c r="B658" s="7"/>
      <c r="C658" s="7"/>
      <c r="D658" s="12" t="str">
        <f aca="false">IF($C658="","",IFERROR(INDEX(품목마스터!$B$3:$B$302,MATCH($C658,품목마스터!$A$3:$A$302,0)),"미등록품번"))</f>
        <v/>
      </c>
      <c r="E658" s="12" t="str">
        <f aca="false">IF($C658="","",IFERROR(INDEX(품목마스터!$C$3:$C$302,MATCH($C658,품목마스터!$A$3:$A$302,0)),""))</f>
        <v/>
      </c>
      <c r="F658" s="12" t="str">
        <f aca="false">IF($C658="","",IFERROR(INDEX(품목마스터!$D$3:$D$302,MATCH($C658,품목마스터!$A$3:$A$302,0)),""))</f>
        <v/>
      </c>
      <c r="G658" s="9"/>
      <c r="H658" s="9"/>
      <c r="I658" s="13" t="str">
        <f aca="false">IF(OR($G658="",$H658=""),"",ROUND($G658*$H658,0))</f>
        <v/>
      </c>
      <c r="J658" s="7"/>
      <c r="K658" s="7"/>
      <c r="L658" s="14" t="str">
        <f aca="false">IF(OR($C658="",$G658=""),"",IF($B658="입고",$G658,IF($B658="출고",-$G658,$G658)))</f>
        <v/>
      </c>
      <c r="M658" s="13" t="str">
        <f aca="false">IF($C658="","",IFERROR(INDEX(품목마스터!$F$3:$F$302,MATCH($C658,품목마스터!$A$3:$A$302,0)),0)+SUMIFS($L$3:$L658,$C$3:$C658,$C658))</f>
        <v/>
      </c>
    </row>
    <row r="659" customFormat="false" ht="15" hidden="false" customHeight="true" outlineLevel="0" collapsed="false">
      <c r="A659" s="11"/>
      <c r="B659" s="7"/>
      <c r="C659" s="7"/>
      <c r="D659" s="12" t="str">
        <f aca="false">IF($C659="","",IFERROR(INDEX(품목마스터!$B$3:$B$302,MATCH($C659,품목마스터!$A$3:$A$302,0)),"미등록품번"))</f>
        <v/>
      </c>
      <c r="E659" s="12" t="str">
        <f aca="false">IF($C659="","",IFERROR(INDEX(품목마스터!$C$3:$C$302,MATCH($C659,품목마스터!$A$3:$A$302,0)),""))</f>
        <v/>
      </c>
      <c r="F659" s="12" t="str">
        <f aca="false">IF($C659="","",IFERROR(INDEX(품목마스터!$D$3:$D$302,MATCH($C659,품목마스터!$A$3:$A$302,0)),""))</f>
        <v/>
      </c>
      <c r="G659" s="9"/>
      <c r="H659" s="9"/>
      <c r="I659" s="13" t="str">
        <f aca="false">IF(OR($G659="",$H659=""),"",ROUND($G659*$H659,0))</f>
        <v/>
      </c>
      <c r="J659" s="7"/>
      <c r="K659" s="7"/>
      <c r="L659" s="14" t="str">
        <f aca="false">IF(OR($C659="",$G659=""),"",IF($B659="입고",$G659,IF($B659="출고",-$G659,$G659)))</f>
        <v/>
      </c>
      <c r="M659" s="13" t="str">
        <f aca="false">IF($C659="","",IFERROR(INDEX(품목마스터!$F$3:$F$302,MATCH($C659,품목마스터!$A$3:$A$302,0)),0)+SUMIFS($L$3:$L659,$C$3:$C659,$C659))</f>
        <v/>
      </c>
    </row>
    <row r="660" customFormat="false" ht="15" hidden="false" customHeight="true" outlineLevel="0" collapsed="false">
      <c r="A660" s="11"/>
      <c r="B660" s="7"/>
      <c r="C660" s="7"/>
      <c r="D660" s="12" t="str">
        <f aca="false">IF($C660="","",IFERROR(INDEX(품목마스터!$B$3:$B$302,MATCH($C660,품목마스터!$A$3:$A$302,0)),"미등록품번"))</f>
        <v/>
      </c>
      <c r="E660" s="12" t="str">
        <f aca="false">IF($C660="","",IFERROR(INDEX(품목마스터!$C$3:$C$302,MATCH($C660,품목마스터!$A$3:$A$302,0)),""))</f>
        <v/>
      </c>
      <c r="F660" s="12" t="str">
        <f aca="false">IF($C660="","",IFERROR(INDEX(품목마스터!$D$3:$D$302,MATCH($C660,품목마스터!$A$3:$A$302,0)),""))</f>
        <v/>
      </c>
      <c r="G660" s="9"/>
      <c r="H660" s="9"/>
      <c r="I660" s="13" t="str">
        <f aca="false">IF(OR($G660="",$H660=""),"",ROUND($G660*$H660,0))</f>
        <v/>
      </c>
      <c r="J660" s="7"/>
      <c r="K660" s="7"/>
      <c r="L660" s="14" t="str">
        <f aca="false">IF(OR($C660="",$G660=""),"",IF($B660="입고",$G660,IF($B660="출고",-$G660,$G660)))</f>
        <v/>
      </c>
      <c r="M660" s="13" t="str">
        <f aca="false">IF($C660="","",IFERROR(INDEX(품목마스터!$F$3:$F$302,MATCH($C660,품목마스터!$A$3:$A$302,0)),0)+SUMIFS($L$3:$L660,$C$3:$C660,$C660))</f>
        <v/>
      </c>
    </row>
    <row r="661" customFormat="false" ht="15" hidden="false" customHeight="true" outlineLevel="0" collapsed="false">
      <c r="A661" s="11"/>
      <c r="B661" s="7"/>
      <c r="C661" s="7"/>
      <c r="D661" s="12" t="str">
        <f aca="false">IF($C661="","",IFERROR(INDEX(품목마스터!$B$3:$B$302,MATCH($C661,품목마스터!$A$3:$A$302,0)),"미등록품번"))</f>
        <v/>
      </c>
      <c r="E661" s="12" t="str">
        <f aca="false">IF($C661="","",IFERROR(INDEX(품목마스터!$C$3:$C$302,MATCH($C661,품목마스터!$A$3:$A$302,0)),""))</f>
        <v/>
      </c>
      <c r="F661" s="12" t="str">
        <f aca="false">IF($C661="","",IFERROR(INDEX(품목마스터!$D$3:$D$302,MATCH($C661,품목마스터!$A$3:$A$302,0)),""))</f>
        <v/>
      </c>
      <c r="G661" s="9"/>
      <c r="H661" s="9"/>
      <c r="I661" s="13" t="str">
        <f aca="false">IF(OR($G661="",$H661=""),"",ROUND($G661*$H661,0))</f>
        <v/>
      </c>
      <c r="J661" s="7"/>
      <c r="K661" s="7"/>
      <c r="L661" s="14" t="str">
        <f aca="false">IF(OR($C661="",$G661=""),"",IF($B661="입고",$G661,IF($B661="출고",-$G661,$G661)))</f>
        <v/>
      </c>
      <c r="M661" s="13" t="str">
        <f aca="false">IF($C661="","",IFERROR(INDEX(품목마스터!$F$3:$F$302,MATCH($C661,품목마스터!$A$3:$A$302,0)),0)+SUMIFS($L$3:$L661,$C$3:$C661,$C661))</f>
        <v/>
      </c>
    </row>
    <row r="662" customFormat="false" ht="15" hidden="false" customHeight="true" outlineLevel="0" collapsed="false">
      <c r="A662" s="11"/>
      <c r="B662" s="7"/>
      <c r="C662" s="7"/>
      <c r="D662" s="12" t="str">
        <f aca="false">IF($C662="","",IFERROR(INDEX(품목마스터!$B$3:$B$302,MATCH($C662,품목마스터!$A$3:$A$302,0)),"미등록품번"))</f>
        <v/>
      </c>
      <c r="E662" s="12" t="str">
        <f aca="false">IF($C662="","",IFERROR(INDEX(품목마스터!$C$3:$C$302,MATCH($C662,품목마스터!$A$3:$A$302,0)),""))</f>
        <v/>
      </c>
      <c r="F662" s="12" t="str">
        <f aca="false">IF($C662="","",IFERROR(INDEX(품목마스터!$D$3:$D$302,MATCH($C662,품목마스터!$A$3:$A$302,0)),""))</f>
        <v/>
      </c>
      <c r="G662" s="9"/>
      <c r="H662" s="9"/>
      <c r="I662" s="13" t="str">
        <f aca="false">IF(OR($G662="",$H662=""),"",ROUND($G662*$H662,0))</f>
        <v/>
      </c>
      <c r="J662" s="7"/>
      <c r="K662" s="7"/>
      <c r="L662" s="14" t="str">
        <f aca="false">IF(OR($C662="",$G662=""),"",IF($B662="입고",$G662,IF($B662="출고",-$G662,$G662)))</f>
        <v/>
      </c>
      <c r="M662" s="13" t="str">
        <f aca="false">IF($C662="","",IFERROR(INDEX(품목마스터!$F$3:$F$302,MATCH($C662,품목마스터!$A$3:$A$302,0)),0)+SUMIFS($L$3:$L662,$C$3:$C662,$C662))</f>
        <v/>
      </c>
    </row>
    <row r="663" customFormat="false" ht="15" hidden="false" customHeight="true" outlineLevel="0" collapsed="false">
      <c r="A663" s="11"/>
      <c r="B663" s="7"/>
      <c r="C663" s="7"/>
      <c r="D663" s="12" t="str">
        <f aca="false">IF($C663="","",IFERROR(INDEX(품목마스터!$B$3:$B$302,MATCH($C663,품목마스터!$A$3:$A$302,0)),"미등록품번"))</f>
        <v/>
      </c>
      <c r="E663" s="12" t="str">
        <f aca="false">IF($C663="","",IFERROR(INDEX(품목마스터!$C$3:$C$302,MATCH($C663,품목마스터!$A$3:$A$302,0)),""))</f>
        <v/>
      </c>
      <c r="F663" s="12" t="str">
        <f aca="false">IF($C663="","",IFERROR(INDEX(품목마스터!$D$3:$D$302,MATCH($C663,품목마스터!$A$3:$A$302,0)),""))</f>
        <v/>
      </c>
      <c r="G663" s="9"/>
      <c r="H663" s="9"/>
      <c r="I663" s="13" t="str">
        <f aca="false">IF(OR($G663="",$H663=""),"",ROUND($G663*$H663,0))</f>
        <v/>
      </c>
      <c r="J663" s="7"/>
      <c r="K663" s="7"/>
      <c r="L663" s="14" t="str">
        <f aca="false">IF(OR($C663="",$G663=""),"",IF($B663="입고",$G663,IF($B663="출고",-$G663,$G663)))</f>
        <v/>
      </c>
      <c r="M663" s="13" t="str">
        <f aca="false">IF($C663="","",IFERROR(INDEX(품목마스터!$F$3:$F$302,MATCH($C663,품목마스터!$A$3:$A$302,0)),0)+SUMIFS($L$3:$L663,$C$3:$C663,$C663))</f>
        <v/>
      </c>
    </row>
    <row r="664" customFormat="false" ht="15" hidden="false" customHeight="true" outlineLevel="0" collapsed="false">
      <c r="A664" s="11"/>
      <c r="B664" s="7"/>
      <c r="C664" s="7"/>
      <c r="D664" s="12" t="str">
        <f aca="false">IF($C664="","",IFERROR(INDEX(품목마스터!$B$3:$B$302,MATCH($C664,품목마스터!$A$3:$A$302,0)),"미등록품번"))</f>
        <v/>
      </c>
      <c r="E664" s="12" t="str">
        <f aca="false">IF($C664="","",IFERROR(INDEX(품목마스터!$C$3:$C$302,MATCH($C664,품목마스터!$A$3:$A$302,0)),""))</f>
        <v/>
      </c>
      <c r="F664" s="12" t="str">
        <f aca="false">IF($C664="","",IFERROR(INDEX(품목마스터!$D$3:$D$302,MATCH($C664,품목마스터!$A$3:$A$302,0)),""))</f>
        <v/>
      </c>
      <c r="G664" s="9"/>
      <c r="H664" s="9"/>
      <c r="I664" s="13" t="str">
        <f aca="false">IF(OR($G664="",$H664=""),"",ROUND($G664*$H664,0))</f>
        <v/>
      </c>
      <c r="J664" s="7"/>
      <c r="K664" s="7"/>
      <c r="L664" s="14" t="str">
        <f aca="false">IF(OR($C664="",$G664=""),"",IF($B664="입고",$G664,IF($B664="출고",-$G664,$G664)))</f>
        <v/>
      </c>
      <c r="M664" s="13" t="str">
        <f aca="false">IF($C664="","",IFERROR(INDEX(품목마스터!$F$3:$F$302,MATCH($C664,품목마스터!$A$3:$A$302,0)),0)+SUMIFS($L$3:$L664,$C$3:$C664,$C664))</f>
        <v/>
      </c>
    </row>
    <row r="665" customFormat="false" ht="15" hidden="false" customHeight="true" outlineLevel="0" collapsed="false">
      <c r="A665" s="11"/>
      <c r="B665" s="7"/>
      <c r="C665" s="7"/>
      <c r="D665" s="12" t="str">
        <f aca="false">IF($C665="","",IFERROR(INDEX(품목마스터!$B$3:$B$302,MATCH($C665,품목마스터!$A$3:$A$302,0)),"미등록품번"))</f>
        <v/>
      </c>
      <c r="E665" s="12" t="str">
        <f aca="false">IF($C665="","",IFERROR(INDEX(품목마스터!$C$3:$C$302,MATCH($C665,품목마스터!$A$3:$A$302,0)),""))</f>
        <v/>
      </c>
      <c r="F665" s="12" t="str">
        <f aca="false">IF($C665="","",IFERROR(INDEX(품목마스터!$D$3:$D$302,MATCH($C665,품목마스터!$A$3:$A$302,0)),""))</f>
        <v/>
      </c>
      <c r="G665" s="9"/>
      <c r="H665" s="9"/>
      <c r="I665" s="13" t="str">
        <f aca="false">IF(OR($G665="",$H665=""),"",ROUND($G665*$H665,0))</f>
        <v/>
      </c>
      <c r="J665" s="7"/>
      <c r="K665" s="7"/>
      <c r="L665" s="14" t="str">
        <f aca="false">IF(OR($C665="",$G665=""),"",IF($B665="입고",$G665,IF($B665="출고",-$G665,$G665)))</f>
        <v/>
      </c>
      <c r="M665" s="13" t="str">
        <f aca="false">IF($C665="","",IFERROR(INDEX(품목마스터!$F$3:$F$302,MATCH($C665,품목마스터!$A$3:$A$302,0)),0)+SUMIFS($L$3:$L665,$C$3:$C665,$C665))</f>
        <v/>
      </c>
    </row>
    <row r="666" customFormat="false" ht="15" hidden="false" customHeight="true" outlineLevel="0" collapsed="false">
      <c r="A666" s="11"/>
      <c r="B666" s="7"/>
      <c r="C666" s="7"/>
      <c r="D666" s="12" t="str">
        <f aca="false">IF($C666="","",IFERROR(INDEX(품목마스터!$B$3:$B$302,MATCH($C666,품목마스터!$A$3:$A$302,0)),"미등록품번"))</f>
        <v/>
      </c>
      <c r="E666" s="12" t="str">
        <f aca="false">IF($C666="","",IFERROR(INDEX(품목마스터!$C$3:$C$302,MATCH($C666,품목마스터!$A$3:$A$302,0)),""))</f>
        <v/>
      </c>
      <c r="F666" s="12" t="str">
        <f aca="false">IF($C666="","",IFERROR(INDEX(품목마스터!$D$3:$D$302,MATCH($C666,품목마스터!$A$3:$A$302,0)),""))</f>
        <v/>
      </c>
      <c r="G666" s="9"/>
      <c r="H666" s="9"/>
      <c r="I666" s="13" t="str">
        <f aca="false">IF(OR($G666="",$H666=""),"",ROUND($G666*$H666,0))</f>
        <v/>
      </c>
      <c r="J666" s="7"/>
      <c r="K666" s="7"/>
      <c r="L666" s="14" t="str">
        <f aca="false">IF(OR($C666="",$G666=""),"",IF($B666="입고",$G666,IF($B666="출고",-$G666,$G666)))</f>
        <v/>
      </c>
      <c r="M666" s="13" t="str">
        <f aca="false">IF($C666="","",IFERROR(INDEX(품목마스터!$F$3:$F$302,MATCH($C666,품목마스터!$A$3:$A$302,0)),0)+SUMIFS($L$3:$L666,$C$3:$C666,$C666))</f>
        <v/>
      </c>
    </row>
    <row r="667" customFormat="false" ht="15" hidden="false" customHeight="true" outlineLevel="0" collapsed="false">
      <c r="A667" s="11"/>
      <c r="B667" s="7"/>
      <c r="C667" s="7"/>
      <c r="D667" s="12" t="str">
        <f aca="false">IF($C667="","",IFERROR(INDEX(품목마스터!$B$3:$B$302,MATCH($C667,품목마스터!$A$3:$A$302,0)),"미등록품번"))</f>
        <v/>
      </c>
      <c r="E667" s="12" t="str">
        <f aca="false">IF($C667="","",IFERROR(INDEX(품목마스터!$C$3:$C$302,MATCH($C667,품목마스터!$A$3:$A$302,0)),""))</f>
        <v/>
      </c>
      <c r="F667" s="12" t="str">
        <f aca="false">IF($C667="","",IFERROR(INDEX(품목마스터!$D$3:$D$302,MATCH($C667,품목마스터!$A$3:$A$302,0)),""))</f>
        <v/>
      </c>
      <c r="G667" s="9"/>
      <c r="H667" s="9"/>
      <c r="I667" s="13" t="str">
        <f aca="false">IF(OR($G667="",$H667=""),"",ROUND($G667*$H667,0))</f>
        <v/>
      </c>
      <c r="J667" s="7"/>
      <c r="K667" s="7"/>
      <c r="L667" s="14" t="str">
        <f aca="false">IF(OR($C667="",$G667=""),"",IF($B667="입고",$G667,IF($B667="출고",-$G667,$G667)))</f>
        <v/>
      </c>
      <c r="M667" s="13" t="str">
        <f aca="false">IF($C667="","",IFERROR(INDEX(품목마스터!$F$3:$F$302,MATCH($C667,품목마스터!$A$3:$A$302,0)),0)+SUMIFS($L$3:$L667,$C$3:$C667,$C667))</f>
        <v/>
      </c>
    </row>
    <row r="668" customFormat="false" ht="15" hidden="false" customHeight="true" outlineLevel="0" collapsed="false">
      <c r="A668" s="11"/>
      <c r="B668" s="7"/>
      <c r="C668" s="7"/>
      <c r="D668" s="12" t="str">
        <f aca="false">IF($C668="","",IFERROR(INDEX(품목마스터!$B$3:$B$302,MATCH($C668,품목마스터!$A$3:$A$302,0)),"미등록품번"))</f>
        <v/>
      </c>
      <c r="E668" s="12" t="str">
        <f aca="false">IF($C668="","",IFERROR(INDEX(품목마스터!$C$3:$C$302,MATCH($C668,품목마스터!$A$3:$A$302,0)),""))</f>
        <v/>
      </c>
      <c r="F668" s="12" t="str">
        <f aca="false">IF($C668="","",IFERROR(INDEX(품목마스터!$D$3:$D$302,MATCH($C668,품목마스터!$A$3:$A$302,0)),""))</f>
        <v/>
      </c>
      <c r="G668" s="9"/>
      <c r="H668" s="9"/>
      <c r="I668" s="13" t="str">
        <f aca="false">IF(OR($G668="",$H668=""),"",ROUND($G668*$H668,0))</f>
        <v/>
      </c>
      <c r="J668" s="7"/>
      <c r="K668" s="7"/>
      <c r="L668" s="14" t="str">
        <f aca="false">IF(OR($C668="",$G668=""),"",IF($B668="입고",$G668,IF($B668="출고",-$G668,$G668)))</f>
        <v/>
      </c>
      <c r="M668" s="13" t="str">
        <f aca="false">IF($C668="","",IFERROR(INDEX(품목마스터!$F$3:$F$302,MATCH($C668,품목마스터!$A$3:$A$302,0)),0)+SUMIFS($L$3:$L668,$C$3:$C668,$C668))</f>
        <v/>
      </c>
    </row>
    <row r="669" customFormat="false" ht="15" hidden="false" customHeight="true" outlineLevel="0" collapsed="false">
      <c r="A669" s="11"/>
      <c r="B669" s="7"/>
      <c r="C669" s="7"/>
      <c r="D669" s="12" t="str">
        <f aca="false">IF($C669="","",IFERROR(INDEX(품목마스터!$B$3:$B$302,MATCH($C669,품목마스터!$A$3:$A$302,0)),"미등록품번"))</f>
        <v/>
      </c>
      <c r="E669" s="12" t="str">
        <f aca="false">IF($C669="","",IFERROR(INDEX(품목마스터!$C$3:$C$302,MATCH($C669,품목마스터!$A$3:$A$302,0)),""))</f>
        <v/>
      </c>
      <c r="F669" s="12" t="str">
        <f aca="false">IF($C669="","",IFERROR(INDEX(품목마스터!$D$3:$D$302,MATCH($C669,품목마스터!$A$3:$A$302,0)),""))</f>
        <v/>
      </c>
      <c r="G669" s="9"/>
      <c r="H669" s="9"/>
      <c r="I669" s="13" t="str">
        <f aca="false">IF(OR($G669="",$H669=""),"",ROUND($G669*$H669,0))</f>
        <v/>
      </c>
      <c r="J669" s="7"/>
      <c r="K669" s="7"/>
      <c r="L669" s="14" t="str">
        <f aca="false">IF(OR($C669="",$G669=""),"",IF($B669="입고",$G669,IF($B669="출고",-$G669,$G669)))</f>
        <v/>
      </c>
      <c r="M669" s="13" t="str">
        <f aca="false">IF($C669="","",IFERROR(INDEX(품목마스터!$F$3:$F$302,MATCH($C669,품목마스터!$A$3:$A$302,0)),0)+SUMIFS($L$3:$L669,$C$3:$C669,$C669))</f>
        <v/>
      </c>
    </row>
    <row r="670" customFormat="false" ht="15" hidden="false" customHeight="true" outlineLevel="0" collapsed="false">
      <c r="A670" s="11"/>
      <c r="B670" s="7"/>
      <c r="C670" s="7"/>
      <c r="D670" s="12" t="str">
        <f aca="false">IF($C670="","",IFERROR(INDEX(품목마스터!$B$3:$B$302,MATCH($C670,품목마스터!$A$3:$A$302,0)),"미등록품번"))</f>
        <v/>
      </c>
      <c r="E670" s="12" t="str">
        <f aca="false">IF($C670="","",IFERROR(INDEX(품목마스터!$C$3:$C$302,MATCH($C670,품목마스터!$A$3:$A$302,0)),""))</f>
        <v/>
      </c>
      <c r="F670" s="12" t="str">
        <f aca="false">IF($C670="","",IFERROR(INDEX(품목마스터!$D$3:$D$302,MATCH($C670,품목마스터!$A$3:$A$302,0)),""))</f>
        <v/>
      </c>
      <c r="G670" s="9"/>
      <c r="H670" s="9"/>
      <c r="I670" s="13" t="str">
        <f aca="false">IF(OR($G670="",$H670=""),"",ROUND($G670*$H670,0))</f>
        <v/>
      </c>
      <c r="J670" s="7"/>
      <c r="K670" s="7"/>
      <c r="L670" s="14" t="str">
        <f aca="false">IF(OR($C670="",$G670=""),"",IF($B670="입고",$G670,IF($B670="출고",-$G670,$G670)))</f>
        <v/>
      </c>
      <c r="M670" s="13" t="str">
        <f aca="false">IF($C670="","",IFERROR(INDEX(품목마스터!$F$3:$F$302,MATCH($C670,품목마스터!$A$3:$A$302,0)),0)+SUMIFS($L$3:$L670,$C$3:$C670,$C670))</f>
        <v/>
      </c>
    </row>
    <row r="671" customFormat="false" ht="15" hidden="false" customHeight="true" outlineLevel="0" collapsed="false">
      <c r="A671" s="11"/>
      <c r="B671" s="7"/>
      <c r="C671" s="7"/>
      <c r="D671" s="12" t="str">
        <f aca="false">IF($C671="","",IFERROR(INDEX(품목마스터!$B$3:$B$302,MATCH($C671,품목마스터!$A$3:$A$302,0)),"미등록품번"))</f>
        <v/>
      </c>
      <c r="E671" s="12" t="str">
        <f aca="false">IF($C671="","",IFERROR(INDEX(품목마스터!$C$3:$C$302,MATCH($C671,품목마스터!$A$3:$A$302,0)),""))</f>
        <v/>
      </c>
      <c r="F671" s="12" t="str">
        <f aca="false">IF($C671="","",IFERROR(INDEX(품목마스터!$D$3:$D$302,MATCH($C671,품목마스터!$A$3:$A$302,0)),""))</f>
        <v/>
      </c>
      <c r="G671" s="9"/>
      <c r="H671" s="9"/>
      <c r="I671" s="13" t="str">
        <f aca="false">IF(OR($G671="",$H671=""),"",ROUND($G671*$H671,0))</f>
        <v/>
      </c>
      <c r="J671" s="7"/>
      <c r="K671" s="7"/>
      <c r="L671" s="14" t="str">
        <f aca="false">IF(OR($C671="",$G671=""),"",IF($B671="입고",$G671,IF($B671="출고",-$G671,$G671)))</f>
        <v/>
      </c>
      <c r="M671" s="13" t="str">
        <f aca="false">IF($C671="","",IFERROR(INDEX(품목마스터!$F$3:$F$302,MATCH($C671,품목마스터!$A$3:$A$302,0)),0)+SUMIFS($L$3:$L671,$C$3:$C671,$C671))</f>
        <v/>
      </c>
    </row>
    <row r="672" customFormat="false" ht="15" hidden="false" customHeight="true" outlineLevel="0" collapsed="false">
      <c r="A672" s="11"/>
      <c r="B672" s="7"/>
      <c r="C672" s="7"/>
      <c r="D672" s="12" t="str">
        <f aca="false">IF($C672="","",IFERROR(INDEX(품목마스터!$B$3:$B$302,MATCH($C672,품목마스터!$A$3:$A$302,0)),"미등록품번"))</f>
        <v/>
      </c>
      <c r="E672" s="12" t="str">
        <f aca="false">IF($C672="","",IFERROR(INDEX(품목마스터!$C$3:$C$302,MATCH($C672,품목마스터!$A$3:$A$302,0)),""))</f>
        <v/>
      </c>
      <c r="F672" s="12" t="str">
        <f aca="false">IF($C672="","",IFERROR(INDEX(품목마스터!$D$3:$D$302,MATCH($C672,품목마스터!$A$3:$A$302,0)),""))</f>
        <v/>
      </c>
      <c r="G672" s="9"/>
      <c r="H672" s="9"/>
      <c r="I672" s="13" t="str">
        <f aca="false">IF(OR($G672="",$H672=""),"",ROUND($G672*$H672,0))</f>
        <v/>
      </c>
      <c r="J672" s="7"/>
      <c r="K672" s="7"/>
      <c r="L672" s="14" t="str">
        <f aca="false">IF(OR($C672="",$G672=""),"",IF($B672="입고",$G672,IF($B672="출고",-$G672,$G672)))</f>
        <v/>
      </c>
      <c r="M672" s="13" t="str">
        <f aca="false">IF($C672="","",IFERROR(INDEX(품목마스터!$F$3:$F$302,MATCH($C672,품목마스터!$A$3:$A$302,0)),0)+SUMIFS($L$3:$L672,$C$3:$C672,$C672))</f>
        <v/>
      </c>
    </row>
    <row r="673" customFormat="false" ht="15" hidden="false" customHeight="true" outlineLevel="0" collapsed="false">
      <c r="A673" s="11"/>
      <c r="B673" s="7"/>
      <c r="C673" s="7"/>
      <c r="D673" s="12" t="str">
        <f aca="false">IF($C673="","",IFERROR(INDEX(품목마스터!$B$3:$B$302,MATCH($C673,품목마스터!$A$3:$A$302,0)),"미등록품번"))</f>
        <v/>
      </c>
      <c r="E673" s="12" t="str">
        <f aca="false">IF($C673="","",IFERROR(INDEX(품목마스터!$C$3:$C$302,MATCH($C673,품목마스터!$A$3:$A$302,0)),""))</f>
        <v/>
      </c>
      <c r="F673" s="12" t="str">
        <f aca="false">IF($C673="","",IFERROR(INDEX(품목마스터!$D$3:$D$302,MATCH($C673,품목마스터!$A$3:$A$302,0)),""))</f>
        <v/>
      </c>
      <c r="G673" s="9"/>
      <c r="H673" s="9"/>
      <c r="I673" s="13" t="str">
        <f aca="false">IF(OR($G673="",$H673=""),"",ROUND($G673*$H673,0))</f>
        <v/>
      </c>
      <c r="J673" s="7"/>
      <c r="K673" s="7"/>
      <c r="L673" s="14" t="str">
        <f aca="false">IF(OR($C673="",$G673=""),"",IF($B673="입고",$G673,IF($B673="출고",-$G673,$G673)))</f>
        <v/>
      </c>
      <c r="M673" s="13" t="str">
        <f aca="false">IF($C673="","",IFERROR(INDEX(품목마스터!$F$3:$F$302,MATCH($C673,품목마스터!$A$3:$A$302,0)),0)+SUMIFS($L$3:$L673,$C$3:$C673,$C673))</f>
        <v/>
      </c>
    </row>
    <row r="674" customFormat="false" ht="15" hidden="false" customHeight="true" outlineLevel="0" collapsed="false">
      <c r="A674" s="11"/>
      <c r="B674" s="7"/>
      <c r="C674" s="7"/>
      <c r="D674" s="12" t="str">
        <f aca="false">IF($C674="","",IFERROR(INDEX(품목마스터!$B$3:$B$302,MATCH($C674,품목마스터!$A$3:$A$302,0)),"미등록품번"))</f>
        <v/>
      </c>
      <c r="E674" s="12" t="str">
        <f aca="false">IF($C674="","",IFERROR(INDEX(품목마스터!$C$3:$C$302,MATCH($C674,품목마스터!$A$3:$A$302,0)),""))</f>
        <v/>
      </c>
      <c r="F674" s="12" t="str">
        <f aca="false">IF($C674="","",IFERROR(INDEX(품목마스터!$D$3:$D$302,MATCH($C674,품목마스터!$A$3:$A$302,0)),""))</f>
        <v/>
      </c>
      <c r="G674" s="9"/>
      <c r="H674" s="9"/>
      <c r="I674" s="13" t="str">
        <f aca="false">IF(OR($G674="",$H674=""),"",ROUND($G674*$H674,0))</f>
        <v/>
      </c>
      <c r="J674" s="7"/>
      <c r="K674" s="7"/>
      <c r="L674" s="14" t="str">
        <f aca="false">IF(OR($C674="",$G674=""),"",IF($B674="입고",$G674,IF($B674="출고",-$G674,$G674)))</f>
        <v/>
      </c>
      <c r="M674" s="13" t="str">
        <f aca="false">IF($C674="","",IFERROR(INDEX(품목마스터!$F$3:$F$302,MATCH($C674,품목마스터!$A$3:$A$302,0)),0)+SUMIFS($L$3:$L674,$C$3:$C674,$C674))</f>
        <v/>
      </c>
    </row>
    <row r="675" customFormat="false" ht="15" hidden="false" customHeight="true" outlineLevel="0" collapsed="false">
      <c r="A675" s="11"/>
      <c r="B675" s="7"/>
      <c r="C675" s="7"/>
      <c r="D675" s="12" t="str">
        <f aca="false">IF($C675="","",IFERROR(INDEX(품목마스터!$B$3:$B$302,MATCH($C675,품목마스터!$A$3:$A$302,0)),"미등록품번"))</f>
        <v/>
      </c>
      <c r="E675" s="12" t="str">
        <f aca="false">IF($C675="","",IFERROR(INDEX(품목마스터!$C$3:$C$302,MATCH($C675,품목마스터!$A$3:$A$302,0)),""))</f>
        <v/>
      </c>
      <c r="F675" s="12" t="str">
        <f aca="false">IF($C675="","",IFERROR(INDEX(품목마스터!$D$3:$D$302,MATCH($C675,품목마스터!$A$3:$A$302,0)),""))</f>
        <v/>
      </c>
      <c r="G675" s="9"/>
      <c r="H675" s="9"/>
      <c r="I675" s="13" t="str">
        <f aca="false">IF(OR($G675="",$H675=""),"",ROUND($G675*$H675,0))</f>
        <v/>
      </c>
      <c r="J675" s="7"/>
      <c r="K675" s="7"/>
      <c r="L675" s="14" t="str">
        <f aca="false">IF(OR($C675="",$G675=""),"",IF($B675="입고",$G675,IF($B675="출고",-$G675,$G675)))</f>
        <v/>
      </c>
      <c r="M675" s="13" t="str">
        <f aca="false">IF($C675="","",IFERROR(INDEX(품목마스터!$F$3:$F$302,MATCH($C675,품목마스터!$A$3:$A$302,0)),0)+SUMIFS($L$3:$L675,$C$3:$C675,$C675))</f>
        <v/>
      </c>
    </row>
    <row r="676" customFormat="false" ht="15" hidden="false" customHeight="true" outlineLevel="0" collapsed="false">
      <c r="A676" s="11"/>
      <c r="B676" s="7"/>
      <c r="C676" s="7"/>
      <c r="D676" s="12" t="str">
        <f aca="false">IF($C676="","",IFERROR(INDEX(품목마스터!$B$3:$B$302,MATCH($C676,품목마스터!$A$3:$A$302,0)),"미등록품번"))</f>
        <v/>
      </c>
      <c r="E676" s="12" t="str">
        <f aca="false">IF($C676="","",IFERROR(INDEX(품목마스터!$C$3:$C$302,MATCH($C676,품목마스터!$A$3:$A$302,0)),""))</f>
        <v/>
      </c>
      <c r="F676" s="12" t="str">
        <f aca="false">IF($C676="","",IFERROR(INDEX(품목마스터!$D$3:$D$302,MATCH($C676,품목마스터!$A$3:$A$302,0)),""))</f>
        <v/>
      </c>
      <c r="G676" s="9"/>
      <c r="H676" s="9"/>
      <c r="I676" s="13" t="str">
        <f aca="false">IF(OR($G676="",$H676=""),"",ROUND($G676*$H676,0))</f>
        <v/>
      </c>
      <c r="J676" s="7"/>
      <c r="K676" s="7"/>
      <c r="L676" s="14" t="str">
        <f aca="false">IF(OR($C676="",$G676=""),"",IF($B676="입고",$G676,IF($B676="출고",-$G676,$G676)))</f>
        <v/>
      </c>
      <c r="M676" s="13" t="str">
        <f aca="false">IF($C676="","",IFERROR(INDEX(품목마스터!$F$3:$F$302,MATCH($C676,품목마스터!$A$3:$A$302,0)),0)+SUMIFS($L$3:$L676,$C$3:$C676,$C676))</f>
        <v/>
      </c>
    </row>
    <row r="677" customFormat="false" ht="15" hidden="false" customHeight="true" outlineLevel="0" collapsed="false">
      <c r="A677" s="11"/>
      <c r="B677" s="7"/>
      <c r="C677" s="7"/>
      <c r="D677" s="12" t="str">
        <f aca="false">IF($C677="","",IFERROR(INDEX(품목마스터!$B$3:$B$302,MATCH($C677,품목마스터!$A$3:$A$302,0)),"미등록품번"))</f>
        <v/>
      </c>
      <c r="E677" s="12" t="str">
        <f aca="false">IF($C677="","",IFERROR(INDEX(품목마스터!$C$3:$C$302,MATCH($C677,품목마스터!$A$3:$A$302,0)),""))</f>
        <v/>
      </c>
      <c r="F677" s="12" t="str">
        <f aca="false">IF($C677="","",IFERROR(INDEX(품목마스터!$D$3:$D$302,MATCH($C677,품목마스터!$A$3:$A$302,0)),""))</f>
        <v/>
      </c>
      <c r="G677" s="9"/>
      <c r="H677" s="9"/>
      <c r="I677" s="13" t="str">
        <f aca="false">IF(OR($G677="",$H677=""),"",ROUND($G677*$H677,0))</f>
        <v/>
      </c>
      <c r="J677" s="7"/>
      <c r="K677" s="7"/>
      <c r="L677" s="14" t="str">
        <f aca="false">IF(OR($C677="",$G677=""),"",IF($B677="입고",$G677,IF($B677="출고",-$G677,$G677)))</f>
        <v/>
      </c>
      <c r="M677" s="13" t="str">
        <f aca="false">IF($C677="","",IFERROR(INDEX(품목마스터!$F$3:$F$302,MATCH($C677,품목마스터!$A$3:$A$302,0)),0)+SUMIFS($L$3:$L677,$C$3:$C677,$C677))</f>
        <v/>
      </c>
    </row>
    <row r="678" customFormat="false" ht="15" hidden="false" customHeight="true" outlineLevel="0" collapsed="false">
      <c r="A678" s="11"/>
      <c r="B678" s="7"/>
      <c r="C678" s="7"/>
      <c r="D678" s="12" t="str">
        <f aca="false">IF($C678="","",IFERROR(INDEX(품목마스터!$B$3:$B$302,MATCH($C678,품목마스터!$A$3:$A$302,0)),"미등록품번"))</f>
        <v/>
      </c>
      <c r="E678" s="12" t="str">
        <f aca="false">IF($C678="","",IFERROR(INDEX(품목마스터!$C$3:$C$302,MATCH($C678,품목마스터!$A$3:$A$302,0)),""))</f>
        <v/>
      </c>
      <c r="F678" s="12" t="str">
        <f aca="false">IF($C678="","",IFERROR(INDEX(품목마스터!$D$3:$D$302,MATCH($C678,품목마스터!$A$3:$A$302,0)),""))</f>
        <v/>
      </c>
      <c r="G678" s="9"/>
      <c r="H678" s="9"/>
      <c r="I678" s="13" t="str">
        <f aca="false">IF(OR($G678="",$H678=""),"",ROUND($G678*$H678,0))</f>
        <v/>
      </c>
      <c r="J678" s="7"/>
      <c r="K678" s="7"/>
      <c r="L678" s="14" t="str">
        <f aca="false">IF(OR($C678="",$G678=""),"",IF($B678="입고",$G678,IF($B678="출고",-$G678,$G678)))</f>
        <v/>
      </c>
      <c r="M678" s="13" t="str">
        <f aca="false">IF($C678="","",IFERROR(INDEX(품목마스터!$F$3:$F$302,MATCH($C678,품목마스터!$A$3:$A$302,0)),0)+SUMIFS($L$3:$L678,$C$3:$C678,$C678))</f>
        <v/>
      </c>
    </row>
    <row r="679" customFormat="false" ht="15" hidden="false" customHeight="true" outlineLevel="0" collapsed="false">
      <c r="A679" s="11"/>
      <c r="B679" s="7"/>
      <c r="C679" s="7"/>
      <c r="D679" s="12" t="str">
        <f aca="false">IF($C679="","",IFERROR(INDEX(품목마스터!$B$3:$B$302,MATCH($C679,품목마스터!$A$3:$A$302,0)),"미등록품번"))</f>
        <v/>
      </c>
      <c r="E679" s="12" t="str">
        <f aca="false">IF($C679="","",IFERROR(INDEX(품목마스터!$C$3:$C$302,MATCH($C679,품목마스터!$A$3:$A$302,0)),""))</f>
        <v/>
      </c>
      <c r="F679" s="12" t="str">
        <f aca="false">IF($C679="","",IFERROR(INDEX(품목마스터!$D$3:$D$302,MATCH($C679,품목마스터!$A$3:$A$302,0)),""))</f>
        <v/>
      </c>
      <c r="G679" s="9"/>
      <c r="H679" s="9"/>
      <c r="I679" s="13" t="str">
        <f aca="false">IF(OR($G679="",$H679=""),"",ROUND($G679*$H679,0))</f>
        <v/>
      </c>
      <c r="J679" s="7"/>
      <c r="K679" s="7"/>
      <c r="L679" s="14" t="str">
        <f aca="false">IF(OR($C679="",$G679=""),"",IF($B679="입고",$G679,IF($B679="출고",-$G679,$G679)))</f>
        <v/>
      </c>
      <c r="M679" s="13" t="str">
        <f aca="false">IF($C679="","",IFERROR(INDEX(품목마스터!$F$3:$F$302,MATCH($C679,품목마스터!$A$3:$A$302,0)),0)+SUMIFS($L$3:$L679,$C$3:$C679,$C679))</f>
        <v/>
      </c>
    </row>
    <row r="680" customFormat="false" ht="15" hidden="false" customHeight="true" outlineLevel="0" collapsed="false">
      <c r="A680" s="11"/>
      <c r="B680" s="7"/>
      <c r="C680" s="7"/>
      <c r="D680" s="12" t="str">
        <f aca="false">IF($C680="","",IFERROR(INDEX(품목마스터!$B$3:$B$302,MATCH($C680,품목마스터!$A$3:$A$302,0)),"미등록품번"))</f>
        <v/>
      </c>
      <c r="E680" s="12" t="str">
        <f aca="false">IF($C680="","",IFERROR(INDEX(품목마스터!$C$3:$C$302,MATCH($C680,품목마스터!$A$3:$A$302,0)),""))</f>
        <v/>
      </c>
      <c r="F680" s="12" t="str">
        <f aca="false">IF($C680="","",IFERROR(INDEX(품목마스터!$D$3:$D$302,MATCH($C680,품목마스터!$A$3:$A$302,0)),""))</f>
        <v/>
      </c>
      <c r="G680" s="9"/>
      <c r="H680" s="9"/>
      <c r="I680" s="13" t="str">
        <f aca="false">IF(OR($G680="",$H680=""),"",ROUND($G680*$H680,0))</f>
        <v/>
      </c>
      <c r="J680" s="7"/>
      <c r="K680" s="7"/>
      <c r="L680" s="14" t="str">
        <f aca="false">IF(OR($C680="",$G680=""),"",IF($B680="입고",$G680,IF($B680="출고",-$G680,$G680)))</f>
        <v/>
      </c>
      <c r="M680" s="13" t="str">
        <f aca="false">IF($C680="","",IFERROR(INDEX(품목마스터!$F$3:$F$302,MATCH($C680,품목마스터!$A$3:$A$302,0)),0)+SUMIFS($L$3:$L680,$C$3:$C680,$C680))</f>
        <v/>
      </c>
    </row>
    <row r="681" customFormat="false" ht="15" hidden="false" customHeight="true" outlineLevel="0" collapsed="false">
      <c r="A681" s="11"/>
      <c r="B681" s="7"/>
      <c r="C681" s="7"/>
      <c r="D681" s="12" t="str">
        <f aca="false">IF($C681="","",IFERROR(INDEX(품목마스터!$B$3:$B$302,MATCH($C681,품목마스터!$A$3:$A$302,0)),"미등록품번"))</f>
        <v/>
      </c>
      <c r="E681" s="12" t="str">
        <f aca="false">IF($C681="","",IFERROR(INDEX(품목마스터!$C$3:$C$302,MATCH($C681,품목마스터!$A$3:$A$302,0)),""))</f>
        <v/>
      </c>
      <c r="F681" s="12" t="str">
        <f aca="false">IF($C681="","",IFERROR(INDEX(품목마스터!$D$3:$D$302,MATCH($C681,품목마스터!$A$3:$A$302,0)),""))</f>
        <v/>
      </c>
      <c r="G681" s="9"/>
      <c r="H681" s="9"/>
      <c r="I681" s="13" t="str">
        <f aca="false">IF(OR($G681="",$H681=""),"",ROUND($G681*$H681,0))</f>
        <v/>
      </c>
      <c r="J681" s="7"/>
      <c r="K681" s="7"/>
      <c r="L681" s="14" t="str">
        <f aca="false">IF(OR($C681="",$G681=""),"",IF($B681="입고",$G681,IF($B681="출고",-$G681,$G681)))</f>
        <v/>
      </c>
      <c r="M681" s="13" t="str">
        <f aca="false">IF($C681="","",IFERROR(INDEX(품목마스터!$F$3:$F$302,MATCH($C681,품목마스터!$A$3:$A$302,0)),0)+SUMIFS($L$3:$L681,$C$3:$C681,$C681))</f>
        <v/>
      </c>
    </row>
    <row r="682" customFormat="false" ht="15" hidden="false" customHeight="true" outlineLevel="0" collapsed="false">
      <c r="A682" s="11"/>
      <c r="B682" s="7"/>
      <c r="C682" s="7"/>
      <c r="D682" s="12" t="str">
        <f aca="false">IF($C682="","",IFERROR(INDEX(품목마스터!$B$3:$B$302,MATCH($C682,품목마스터!$A$3:$A$302,0)),"미등록품번"))</f>
        <v/>
      </c>
      <c r="E682" s="12" t="str">
        <f aca="false">IF($C682="","",IFERROR(INDEX(품목마스터!$C$3:$C$302,MATCH($C682,품목마스터!$A$3:$A$302,0)),""))</f>
        <v/>
      </c>
      <c r="F682" s="12" t="str">
        <f aca="false">IF($C682="","",IFERROR(INDEX(품목마스터!$D$3:$D$302,MATCH($C682,품목마스터!$A$3:$A$302,0)),""))</f>
        <v/>
      </c>
      <c r="G682" s="9"/>
      <c r="H682" s="9"/>
      <c r="I682" s="13" t="str">
        <f aca="false">IF(OR($G682="",$H682=""),"",ROUND($G682*$H682,0))</f>
        <v/>
      </c>
      <c r="J682" s="7"/>
      <c r="K682" s="7"/>
      <c r="L682" s="14" t="str">
        <f aca="false">IF(OR($C682="",$G682=""),"",IF($B682="입고",$G682,IF($B682="출고",-$G682,$G682)))</f>
        <v/>
      </c>
      <c r="M682" s="13" t="str">
        <f aca="false">IF($C682="","",IFERROR(INDEX(품목마스터!$F$3:$F$302,MATCH($C682,품목마스터!$A$3:$A$302,0)),0)+SUMIFS($L$3:$L682,$C$3:$C682,$C682))</f>
        <v/>
      </c>
    </row>
    <row r="683" customFormat="false" ht="15" hidden="false" customHeight="true" outlineLevel="0" collapsed="false">
      <c r="A683" s="11"/>
      <c r="B683" s="7"/>
      <c r="C683" s="7"/>
      <c r="D683" s="12" t="str">
        <f aca="false">IF($C683="","",IFERROR(INDEX(품목마스터!$B$3:$B$302,MATCH($C683,품목마스터!$A$3:$A$302,0)),"미등록품번"))</f>
        <v/>
      </c>
      <c r="E683" s="12" t="str">
        <f aca="false">IF($C683="","",IFERROR(INDEX(품목마스터!$C$3:$C$302,MATCH($C683,품목마스터!$A$3:$A$302,0)),""))</f>
        <v/>
      </c>
      <c r="F683" s="12" t="str">
        <f aca="false">IF($C683="","",IFERROR(INDEX(품목마스터!$D$3:$D$302,MATCH($C683,품목마스터!$A$3:$A$302,0)),""))</f>
        <v/>
      </c>
      <c r="G683" s="9"/>
      <c r="H683" s="9"/>
      <c r="I683" s="13" t="str">
        <f aca="false">IF(OR($G683="",$H683=""),"",ROUND($G683*$H683,0))</f>
        <v/>
      </c>
      <c r="J683" s="7"/>
      <c r="K683" s="7"/>
      <c r="L683" s="14" t="str">
        <f aca="false">IF(OR($C683="",$G683=""),"",IF($B683="입고",$G683,IF($B683="출고",-$G683,$G683)))</f>
        <v/>
      </c>
      <c r="M683" s="13" t="str">
        <f aca="false">IF($C683="","",IFERROR(INDEX(품목마스터!$F$3:$F$302,MATCH($C683,품목마스터!$A$3:$A$302,0)),0)+SUMIFS($L$3:$L683,$C$3:$C683,$C683))</f>
        <v/>
      </c>
    </row>
    <row r="684" customFormat="false" ht="15" hidden="false" customHeight="true" outlineLevel="0" collapsed="false">
      <c r="A684" s="11"/>
      <c r="B684" s="7"/>
      <c r="C684" s="7"/>
      <c r="D684" s="12" t="str">
        <f aca="false">IF($C684="","",IFERROR(INDEX(품목마스터!$B$3:$B$302,MATCH($C684,품목마스터!$A$3:$A$302,0)),"미등록품번"))</f>
        <v/>
      </c>
      <c r="E684" s="12" t="str">
        <f aca="false">IF($C684="","",IFERROR(INDEX(품목마스터!$C$3:$C$302,MATCH($C684,품목마스터!$A$3:$A$302,0)),""))</f>
        <v/>
      </c>
      <c r="F684" s="12" t="str">
        <f aca="false">IF($C684="","",IFERROR(INDEX(품목마스터!$D$3:$D$302,MATCH($C684,품목마스터!$A$3:$A$302,0)),""))</f>
        <v/>
      </c>
      <c r="G684" s="9"/>
      <c r="H684" s="9"/>
      <c r="I684" s="13" t="str">
        <f aca="false">IF(OR($G684="",$H684=""),"",ROUND($G684*$H684,0))</f>
        <v/>
      </c>
      <c r="J684" s="7"/>
      <c r="K684" s="7"/>
      <c r="L684" s="14" t="str">
        <f aca="false">IF(OR($C684="",$G684=""),"",IF($B684="입고",$G684,IF($B684="출고",-$G684,$G684)))</f>
        <v/>
      </c>
      <c r="M684" s="13" t="str">
        <f aca="false">IF($C684="","",IFERROR(INDEX(품목마스터!$F$3:$F$302,MATCH($C684,품목마스터!$A$3:$A$302,0)),0)+SUMIFS($L$3:$L684,$C$3:$C684,$C684))</f>
        <v/>
      </c>
    </row>
    <row r="685" customFormat="false" ht="15" hidden="false" customHeight="true" outlineLevel="0" collapsed="false">
      <c r="A685" s="11"/>
      <c r="B685" s="7"/>
      <c r="C685" s="7"/>
      <c r="D685" s="12" t="str">
        <f aca="false">IF($C685="","",IFERROR(INDEX(품목마스터!$B$3:$B$302,MATCH($C685,품목마스터!$A$3:$A$302,0)),"미등록품번"))</f>
        <v/>
      </c>
      <c r="E685" s="12" t="str">
        <f aca="false">IF($C685="","",IFERROR(INDEX(품목마스터!$C$3:$C$302,MATCH($C685,품목마스터!$A$3:$A$302,0)),""))</f>
        <v/>
      </c>
      <c r="F685" s="12" t="str">
        <f aca="false">IF($C685="","",IFERROR(INDEX(품목마스터!$D$3:$D$302,MATCH($C685,품목마스터!$A$3:$A$302,0)),""))</f>
        <v/>
      </c>
      <c r="G685" s="9"/>
      <c r="H685" s="9"/>
      <c r="I685" s="13" t="str">
        <f aca="false">IF(OR($G685="",$H685=""),"",ROUND($G685*$H685,0))</f>
        <v/>
      </c>
      <c r="J685" s="7"/>
      <c r="K685" s="7"/>
      <c r="L685" s="14" t="str">
        <f aca="false">IF(OR($C685="",$G685=""),"",IF($B685="입고",$G685,IF($B685="출고",-$G685,$G685)))</f>
        <v/>
      </c>
      <c r="M685" s="13" t="str">
        <f aca="false">IF($C685="","",IFERROR(INDEX(품목마스터!$F$3:$F$302,MATCH($C685,품목마스터!$A$3:$A$302,0)),0)+SUMIFS($L$3:$L685,$C$3:$C685,$C685))</f>
        <v/>
      </c>
    </row>
    <row r="686" customFormat="false" ht="15" hidden="false" customHeight="true" outlineLevel="0" collapsed="false">
      <c r="A686" s="11"/>
      <c r="B686" s="7"/>
      <c r="C686" s="7"/>
      <c r="D686" s="12" t="str">
        <f aca="false">IF($C686="","",IFERROR(INDEX(품목마스터!$B$3:$B$302,MATCH($C686,품목마스터!$A$3:$A$302,0)),"미등록품번"))</f>
        <v/>
      </c>
      <c r="E686" s="12" t="str">
        <f aca="false">IF($C686="","",IFERROR(INDEX(품목마스터!$C$3:$C$302,MATCH($C686,품목마스터!$A$3:$A$302,0)),""))</f>
        <v/>
      </c>
      <c r="F686" s="12" t="str">
        <f aca="false">IF($C686="","",IFERROR(INDEX(품목마스터!$D$3:$D$302,MATCH($C686,품목마스터!$A$3:$A$302,0)),""))</f>
        <v/>
      </c>
      <c r="G686" s="9"/>
      <c r="H686" s="9"/>
      <c r="I686" s="13" t="str">
        <f aca="false">IF(OR($G686="",$H686=""),"",ROUND($G686*$H686,0))</f>
        <v/>
      </c>
      <c r="J686" s="7"/>
      <c r="K686" s="7"/>
      <c r="L686" s="14" t="str">
        <f aca="false">IF(OR($C686="",$G686=""),"",IF($B686="입고",$G686,IF($B686="출고",-$G686,$G686)))</f>
        <v/>
      </c>
      <c r="M686" s="13" t="str">
        <f aca="false">IF($C686="","",IFERROR(INDEX(품목마스터!$F$3:$F$302,MATCH($C686,품목마스터!$A$3:$A$302,0)),0)+SUMIFS($L$3:$L686,$C$3:$C686,$C686))</f>
        <v/>
      </c>
    </row>
    <row r="687" customFormat="false" ht="15" hidden="false" customHeight="true" outlineLevel="0" collapsed="false">
      <c r="A687" s="11"/>
      <c r="B687" s="7"/>
      <c r="C687" s="7"/>
      <c r="D687" s="12" t="str">
        <f aca="false">IF($C687="","",IFERROR(INDEX(품목마스터!$B$3:$B$302,MATCH($C687,품목마스터!$A$3:$A$302,0)),"미등록품번"))</f>
        <v/>
      </c>
      <c r="E687" s="12" t="str">
        <f aca="false">IF($C687="","",IFERROR(INDEX(품목마스터!$C$3:$C$302,MATCH($C687,품목마스터!$A$3:$A$302,0)),""))</f>
        <v/>
      </c>
      <c r="F687" s="12" t="str">
        <f aca="false">IF($C687="","",IFERROR(INDEX(품목마스터!$D$3:$D$302,MATCH($C687,품목마스터!$A$3:$A$302,0)),""))</f>
        <v/>
      </c>
      <c r="G687" s="9"/>
      <c r="H687" s="9"/>
      <c r="I687" s="13" t="str">
        <f aca="false">IF(OR($G687="",$H687=""),"",ROUND($G687*$H687,0))</f>
        <v/>
      </c>
      <c r="J687" s="7"/>
      <c r="K687" s="7"/>
      <c r="L687" s="14" t="str">
        <f aca="false">IF(OR($C687="",$G687=""),"",IF($B687="입고",$G687,IF($B687="출고",-$G687,$G687)))</f>
        <v/>
      </c>
      <c r="M687" s="13" t="str">
        <f aca="false">IF($C687="","",IFERROR(INDEX(품목마스터!$F$3:$F$302,MATCH($C687,품목마스터!$A$3:$A$302,0)),0)+SUMIFS($L$3:$L687,$C$3:$C687,$C687))</f>
        <v/>
      </c>
    </row>
    <row r="688" customFormat="false" ht="15" hidden="false" customHeight="true" outlineLevel="0" collapsed="false">
      <c r="A688" s="11"/>
      <c r="B688" s="7"/>
      <c r="C688" s="7"/>
      <c r="D688" s="12" t="str">
        <f aca="false">IF($C688="","",IFERROR(INDEX(품목마스터!$B$3:$B$302,MATCH($C688,품목마스터!$A$3:$A$302,0)),"미등록품번"))</f>
        <v/>
      </c>
      <c r="E688" s="12" t="str">
        <f aca="false">IF($C688="","",IFERROR(INDEX(품목마스터!$C$3:$C$302,MATCH($C688,품목마스터!$A$3:$A$302,0)),""))</f>
        <v/>
      </c>
      <c r="F688" s="12" t="str">
        <f aca="false">IF($C688="","",IFERROR(INDEX(품목마스터!$D$3:$D$302,MATCH($C688,품목마스터!$A$3:$A$302,0)),""))</f>
        <v/>
      </c>
      <c r="G688" s="9"/>
      <c r="H688" s="9"/>
      <c r="I688" s="13" t="str">
        <f aca="false">IF(OR($G688="",$H688=""),"",ROUND($G688*$H688,0))</f>
        <v/>
      </c>
      <c r="J688" s="7"/>
      <c r="K688" s="7"/>
      <c r="L688" s="14" t="str">
        <f aca="false">IF(OR($C688="",$G688=""),"",IF($B688="입고",$G688,IF($B688="출고",-$G688,$G688)))</f>
        <v/>
      </c>
      <c r="M688" s="13" t="str">
        <f aca="false">IF($C688="","",IFERROR(INDEX(품목마스터!$F$3:$F$302,MATCH($C688,품목마스터!$A$3:$A$302,0)),0)+SUMIFS($L$3:$L688,$C$3:$C688,$C688))</f>
        <v/>
      </c>
    </row>
    <row r="689" customFormat="false" ht="15" hidden="false" customHeight="true" outlineLevel="0" collapsed="false">
      <c r="A689" s="11"/>
      <c r="B689" s="7"/>
      <c r="C689" s="7"/>
      <c r="D689" s="12" t="str">
        <f aca="false">IF($C689="","",IFERROR(INDEX(품목마스터!$B$3:$B$302,MATCH($C689,품목마스터!$A$3:$A$302,0)),"미등록품번"))</f>
        <v/>
      </c>
      <c r="E689" s="12" t="str">
        <f aca="false">IF($C689="","",IFERROR(INDEX(품목마스터!$C$3:$C$302,MATCH($C689,품목마스터!$A$3:$A$302,0)),""))</f>
        <v/>
      </c>
      <c r="F689" s="12" t="str">
        <f aca="false">IF($C689="","",IFERROR(INDEX(품목마스터!$D$3:$D$302,MATCH($C689,품목마스터!$A$3:$A$302,0)),""))</f>
        <v/>
      </c>
      <c r="G689" s="9"/>
      <c r="H689" s="9"/>
      <c r="I689" s="13" t="str">
        <f aca="false">IF(OR($G689="",$H689=""),"",ROUND($G689*$H689,0))</f>
        <v/>
      </c>
      <c r="J689" s="7"/>
      <c r="K689" s="7"/>
      <c r="L689" s="14" t="str">
        <f aca="false">IF(OR($C689="",$G689=""),"",IF($B689="입고",$G689,IF($B689="출고",-$G689,$G689)))</f>
        <v/>
      </c>
      <c r="M689" s="13" t="str">
        <f aca="false">IF($C689="","",IFERROR(INDEX(품목마스터!$F$3:$F$302,MATCH($C689,품목마스터!$A$3:$A$302,0)),0)+SUMIFS($L$3:$L689,$C$3:$C689,$C689))</f>
        <v/>
      </c>
    </row>
    <row r="690" customFormat="false" ht="15" hidden="false" customHeight="true" outlineLevel="0" collapsed="false">
      <c r="A690" s="11"/>
      <c r="B690" s="7"/>
      <c r="C690" s="7"/>
      <c r="D690" s="12" t="str">
        <f aca="false">IF($C690="","",IFERROR(INDEX(품목마스터!$B$3:$B$302,MATCH($C690,품목마스터!$A$3:$A$302,0)),"미등록품번"))</f>
        <v/>
      </c>
      <c r="E690" s="12" t="str">
        <f aca="false">IF($C690="","",IFERROR(INDEX(품목마스터!$C$3:$C$302,MATCH($C690,품목마스터!$A$3:$A$302,0)),""))</f>
        <v/>
      </c>
      <c r="F690" s="12" t="str">
        <f aca="false">IF($C690="","",IFERROR(INDEX(품목마스터!$D$3:$D$302,MATCH($C690,품목마스터!$A$3:$A$302,0)),""))</f>
        <v/>
      </c>
      <c r="G690" s="9"/>
      <c r="H690" s="9"/>
      <c r="I690" s="13" t="str">
        <f aca="false">IF(OR($G690="",$H690=""),"",ROUND($G690*$H690,0))</f>
        <v/>
      </c>
      <c r="J690" s="7"/>
      <c r="K690" s="7"/>
      <c r="L690" s="14" t="str">
        <f aca="false">IF(OR($C690="",$G690=""),"",IF($B690="입고",$G690,IF($B690="출고",-$G690,$G690)))</f>
        <v/>
      </c>
      <c r="M690" s="13" t="str">
        <f aca="false">IF($C690="","",IFERROR(INDEX(품목마스터!$F$3:$F$302,MATCH($C690,품목마스터!$A$3:$A$302,0)),0)+SUMIFS($L$3:$L690,$C$3:$C690,$C690))</f>
        <v/>
      </c>
    </row>
    <row r="691" customFormat="false" ht="15" hidden="false" customHeight="true" outlineLevel="0" collapsed="false">
      <c r="A691" s="11"/>
      <c r="B691" s="7"/>
      <c r="C691" s="7"/>
      <c r="D691" s="12" t="str">
        <f aca="false">IF($C691="","",IFERROR(INDEX(품목마스터!$B$3:$B$302,MATCH($C691,품목마스터!$A$3:$A$302,0)),"미등록품번"))</f>
        <v/>
      </c>
      <c r="E691" s="12" t="str">
        <f aca="false">IF($C691="","",IFERROR(INDEX(품목마스터!$C$3:$C$302,MATCH($C691,품목마스터!$A$3:$A$302,0)),""))</f>
        <v/>
      </c>
      <c r="F691" s="12" t="str">
        <f aca="false">IF($C691="","",IFERROR(INDEX(품목마스터!$D$3:$D$302,MATCH($C691,품목마스터!$A$3:$A$302,0)),""))</f>
        <v/>
      </c>
      <c r="G691" s="9"/>
      <c r="H691" s="9"/>
      <c r="I691" s="13" t="str">
        <f aca="false">IF(OR($G691="",$H691=""),"",ROUND($G691*$H691,0))</f>
        <v/>
      </c>
      <c r="J691" s="7"/>
      <c r="K691" s="7"/>
      <c r="L691" s="14" t="str">
        <f aca="false">IF(OR($C691="",$G691=""),"",IF($B691="입고",$G691,IF($B691="출고",-$G691,$G691)))</f>
        <v/>
      </c>
      <c r="M691" s="13" t="str">
        <f aca="false">IF($C691="","",IFERROR(INDEX(품목마스터!$F$3:$F$302,MATCH($C691,품목마스터!$A$3:$A$302,0)),0)+SUMIFS($L$3:$L691,$C$3:$C691,$C691))</f>
        <v/>
      </c>
    </row>
    <row r="692" customFormat="false" ht="15" hidden="false" customHeight="true" outlineLevel="0" collapsed="false">
      <c r="A692" s="11"/>
      <c r="B692" s="7"/>
      <c r="C692" s="7"/>
      <c r="D692" s="12" t="str">
        <f aca="false">IF($C692="","",IFERROR(INDEX(품목마스터!$B$3:$B$302,MATCH($C692,품목마스터!$A$3:$A$302,0)),"미등록품번"))</f>
        <v/>
      </c>
      <c r="E692" s="12" t="str">
        <f aca="false">IF($C692="","",IFERROR(INDEX(품목마스터!$C$3:$C$302,MATCH($C692,품목마스터!$A$3:$A$302,0)),""))</f>
        <v/>
      </c>
      <c r="F692" s="12" t="str">
        <f aca="false">IF($C692="","",IFERROR(INDEX(품목마스터!$D$3:$D$302,MATCH($C692,품목마스터!$A$3:$A$302,0)),""))</f>
        <v/>
      </c>
      <c r="G692" s="9"/>
      <c r="H692" s="9"/>
      <c r="I692" s="13" t="str">
        <f aca="false">IF(OR($G692="",$H692=""),"",ROUND($G692*$H692,0))</f>
        <v/>
      </c>
      <c r="J692" s="7"/>
      <c r="K692" s="7"/>
      <c r="L692" s="14" t="str">
        <f aca="false">IF(OR($C692="",$G692=""),"",IF($B692="입고",$G692,IF($B692="출고",-$G692,$G692)))</f>
        <v/>
      </c>
      <c r="M692" s="13" t="str">
        <f aca="false">IF($C692="","",IFERROR(INDEX(품목마스터!$F$3:$F$302,MATCH($C692,품목마스터!$A$3:$A$302,0)),0)+SUMIFS($L$3:$L692,$C$3:$C692,$C692))</f>
        <v/>
      </c>
    </row>
    <row r="693" customFormat="false" ht="15" hidden="false" customHeight="true" outlineLevel="0" collapsed="false">
      <c r="A693" s="11"/>
      <c r="B693" s="7"/>
      <c r="C693" s="7"/>
      <c r="D693" s="12" t="str">
        <f aca="false">IF($C693="","",IFERROR(INDEX(품목마스터!$B$3:$B$302,MATCH($C693,품목마스터!$A$3:$A$302,0)),"미등록품번"))</f>
        <v/>
      </c>
      <c r="E693" s="12" t="str">
        <f aca="false">IF($C693="","",IFERROR(INDEX(품목마스터!$C$3:$C$302,MATCH($C693,품목마스터!$A$3:$A$302,0)),""))</f>
        <v/>
      </c>
      <c r="F693" s="12" t="str">
        <f aca="false">IF($C693="","",IFERROR(INDEX(품목마스터!$D$3:$D$302,MATCH($C693,품목마스터!$A$3:$A$302,0)),""))</f>
        <v/>
      </c>
      <c r="G693" s="9"/>
      <c r="H693" s="9"/>
      <c r="I693" s="13" t="str">
        <f aca="false">IF(OR($G693="",$H693=""),"",ROUND($G693*$H693,0))</f>
        <v/>
      </c>
      <c r="J693" s="7"/>
      <c r="K693" s="7"/>
      <c r="L693" s="14" t="str">
        <f aca="false">IF(OR($C693="",$G693=""),"",IF($B693="입고",$G693,IF($B693="출고",-$G693,$G693)))</f>
        <v/>
      </c>
      <c r="M693" s="13" t="str">
        <f aca="false">IF($C693="","",IFERROR(INDEX(품목마스터!$F$3:$F$302,MATCH($C693,품목마스터!$A$3:$A$302,0)),0)+SUMIFS($L$3:$L693,$C$3:$C693,$C693))</f>
        <v/>
      </c>
    </row>
    <row r="694" customFormat="false" ht="15" hidden="false" customHeight="true" outlineLevel="0" collapsed="false">
      <c r="A694" s="11"/>
      <c r="B694" s="7"/>
      <c r="C694" s="7"/>
      <c r="D694" s="12" t="str">
        <f aca="false">IF($C694="","",IFERROR(INDEX(품목마스터!$B$3:$B$302,MATCH($C694,품목마스터!$A$3:$A$302,0)),"미등록품번"))</f>
        <v/>
      </c>
      <c r="E694" s="12" t="str">
        <f aca="false">IF($C694="","",IFERROR(INDEX(품목마스터!$C$3:$C$302,MATCH($C694,품목마스터!$A$3:$A$302,0)),""))</f>
        <v/>
      </c>
      <c r="F694" s="12" t="str">
        <f aca="false">IF($C694="","",IFERROR(INDEX(품목마스터!$D$3:$D$302,MATCH($C694,품목마스터!$A$3:$A$302,0)),""))</f>
        <v/>
      </c>
      <c r="G694" s="9"/>
      <c r="H694" s="9"/>
      <c r="I694" s="13" t="str">
        <f aca="false">IF(OR($G694="",$H694=""),"",ROUND($G694*$H694,0))</f>
        <v/>
      </c>
      <c r="J694" s="7"/>
      <c r="K694" s="7"/>
      <c r="L694" s="14" t="str">
        <f aca="false">IF(OR($C694="",$G694=""),"",IF($B694="입고",$G694,IF($B694="출고",-$G694,$G694)))</f>
        <v/>
      </c>
      <c r="M694" s="13" t="str">
        <f aca="false">IF($C694="","",IFERROR(INDEX(품목마스터!$F$3:$F$302,MATCH($C694,품목마스터!$A$3:$A$302,0)),0)+SUMIFS($L$3:$L694,$C$3:$C694,$C694))</f>
        <v/>
      </c>
    </row>
    <row r="695" customFormat="false" ht="15" hidden="false" customHeight="true" outlineLevel="0" collapsed="false">
      <c r="A695" s="11"/>
      <c r="B695" s="7"/>
      <c r="C695" s="7"/>
      <c r="D695" s="12" t="str">
        <f aca="false">IF($C695="","",IFERROR(INDEX(품목마스터!$B$3:$B$302,MATCH($C695,품목마스터!$A$3:$A$302,0)),"미등록품번"))</f>
        <v/>
      </c>
      <c r="E695" s="12" t="str">
        <f aca="false">IF($C695="","",IFERROR(INDEX(품목마스터!$C$3:$C$302,MATCH($C695,품목마스터!$A$3:$A$302,0)),""))</f>
        <v/>
      </c>
      <c r="F695" s="12" t="str">
        <f aca="false">IF($C695="","",IFERROR(INDEX(품목마스터!$D$3:$D$302,MATCH($C695,품목마스터!$A$3:$A$302,0)),""))</f>
        <v/>
      </c>
      <c r="G695" s="9"/>
      <c r="H695" s="9"/>
      <c r="I695" s="13" t="str">
        <f aca="false">IF(OR($G695="",$H695=""),"",ROUND($G695*$H695,0))</f>
        <v/>
      </c>
      <c r="J695" s="7"/>
      <c r="K695" s="7"/>
      <c r="L695" s="14" t="str">
        <f aca="false">IF(OR($C695="",$G695=""),"",IF($B695="입고",$G695,IF($B695="출고",-$G695,$G695)))</f>
        <v/>
      </c>
      <c r="M695" s="13" t="str">
        <f aca="false">IF($C695="","",IFERROR(INDEX(품목마스터!$F$3:$F$302,MATCH($C695,품목마스터!$A$3:$A$302,0)),0)+SUMIFS($L$3:$L695,$C$3:$C695,$C695))</f>
        <v/>
      </c>
    </row>
    <row r="696" customFormat="false" ht="15" hidden="false" customHeight="true" outlineLevel="0" collapsed="false">
      <c r="A696" s="11"/>
      <c r="B696" s="7"/>
      <c r="C696" s="7"/>
      <c r="D696" s="12" t="str">
        <f aca="false">IF($C696="","",IFERROR(INDEX(품목마스터!$B$3:$B$302,MATCH($C696,품목마스터!$A$3:$A$302,0)),"미등록품번"))</f>
        <v/>
      </c>
      <c r="E696" s="12" t="str">
        <f aca="false">IF($C696="","",IFERROR(INDEX(품목마스터!$C$3:$C$302,MATCH($C696,품목마스터!$A$3:$A$302,0)),""))</f>
        <v/>
      </c>
      <c r="F696" s="12" t="str">
        <f aca="false">IF($C696="","",IFERROR(INDEX(품목마스터!$D$3:$D$302,MATCH($C696,품목마스터!$A$3:$A$302,0)),""))</f>
        <v/>
      </c>
      <c r="G696" s="9"/>
      <c r="H696" s="9"/>
      <c r="I696" s="13" t="str">
        <f aca="false">IF(OR($G696="",$H696=""),"",ROUND($G696*$H696,0))</f>
        <v/>
      </c>
      <c r="J696" s="7"/>
      <c r="K696" s="7"/>
      <c r="L696" s="14" t="str">
        <f aca="false">IF(OR($C696="",$G696=""),"",IF($B696="입고",$G696,IF($B696="출고",-$G696,$G696)))</f>
        <v/>
      </c>
      <c r="M696" s="13" t="str">
        <f aca="false">IF($C696="","",IFERROR(INDEX(품목마스터!$F$3:$F$302,MATCH($C696,품목마스터!$A$3:$A$302,0)),0)+SUMIFS($L$3:$L696,$C$3:$C696,$C696))</f>
        <v/>
      </c>
    </row>
    <row r="697" customFormat="false" ht="15" hidden="false" customHeight="true" outlineLevel="0" collapsed="false">
      <c r="A697" s="11"/>
      <c r="B697" s="7"/>
      <c r="C697" s="7"/>
      <c r="D697" s="12" t="str">
        <f aca="false">IF($C697="","",IFERROR(INDEX(품목마스터!$B$3:$B$302,MATCH($C697,품목마스터!$A$3:$A$302,0)),"미등록품번"))</f>
        <v/>
      </c>
      <c r="E697" s="12" t="str">
        <f aca="false">IF($C697="","",IFERROR(INDEX(품목마스터!$C$3:$C$302,MATCH($C697,품목마스터!$A$3:$A$302,0)),""))</f>
        <v/>
      </c>
      <c r="F697" s="12" t="str">
        <f aca="false">IF($C697="","",IFERROR(INDEX(품목마스터!$D$3:$D$302,MATCH($C697,품목마스터!$A$3:$A$302,0)),""))</f>
        <v/>
      </c>
      <c r="G697" s="9"/>
      <c r="H697" s="9"/>
      <c r="I697" s="13" t="str">
        <f aca="false">IF(OR($G697="",$H697=""),"",ROUND($G697*$H697,0))</f>
        <v/>
      </c>
      <c r="J697" s="7"/>
      <c r="K697" s="7"/>
      <c r="L697" s="14" t="str">
        <f aca="false">IF(OR($C697="",$G697=""),"",IF($B697="입고",$G697,IF($B697="출고",-$G697,$G697)))</f>
        <v/>
      </c>
      <c r="M697" s="13" t="str">
        <f aca="false">IF($C697="","",IFERROR(INDEX(품목마스터!$F$3:$F$302,MATCH($C697,품목마스터!$A$3:$A$302,0)),0)+SUMIFS($L$3:$L697,$C$3:$C697,$C697))</f>
        <v/>
      </c>
    </row>
    <row r="698" customFormat="false" ht="15" hidden="false" customHeight="true" outlineLevel="0" collapsed="false">
      <c r="A698" s="11"/>
      <c r="B698" s="7"/>
      <c r="C698" s="7"/>
      <c r="D698" s="12" t="str">
        <f aca="false">IF($C698="","",IFERROR(INDEX(품목마스터!$B$3:$B$302,MATCH($C698,품목마스터!$A$3:$A$302,0)),"미등록품번"))</f>
        <v/>
      </c>
      <c r="E698" s="12" t="str">
        <f aca="false">IF($C698="","",IFERROR(INDEX(품목마스터!$C$3:$C$302,MATCH($C698,품목마스터!$A$3:$A$302,0)),""))</f>
        <v/>
      </c>
      <c r="F698" s="12" t="str">
        <f aca="false">IF($C698="","",IFERROR(INDEX(품목마스터!$D$3:$D$302,MATCH($C698,품목마스터!$A$3:$A$302,0)),""))</f>
        <v/>
      </c>
      <c r="G698" s="9"/>
      <c r="H698" s="9"/>
      <c r="I698" s="13" t="str">
        <f aca="false">IF(OR($G698="",$H698=""),"",ROUND($G698*$H698,0))</f>
        <v/>
      </c>
      <c r="J698" s="7"/>
      <c r="K698" s="7"/>
      <c r="L698" s="14" t="str">
        <f aca="false">IF(OR($C698="",$G698=""),"",IF($B698="입고",$G698,IF($B698="출고",-$G698,$G698)))</f>
        <v/>
      </c>
      <c r="M698" s="13" t="str">
        <f aca="false">IF($C698="","",IFERROR(INDEX(품목마스터!$F$3:$F$302,MATCH($C698,품목마스터!$A$3:$A$302,0)),0)+SUMIFS($L$3:$L698,$C$3:$C698,$C698))</f>
        <v/>
      </c>
    </row>
    <row r="699" customFormat="false" ht="15" hidden="false" customHeight="true" outlineLevel="0" collapsed="false">
      <c r="A699" s="11"/>
      <c r="B699" s="7"/>
      <c r="C699" s="7"/>
      <c r="D699" s="12" t="str">
        <f aca="false">IF($C699="","",IFERROR(INDEX(품목마스터!$B$3:$B$302,MATCH($C699,품목마스터!$A$3:$A$302,0)),"미등록품번"))</f>
        <v/>
      </c>
      <c r="E699" s="12" t="str">
        <f aca="false">IF($C699="","",IFERROR(INDEX(품목마스터!$C$3:$C$302,MATCH($C699,품목마스터!$A$3:$A$302,0)),""))</f>
        <v/>
      </c>
      <c r="F699" s="12" t="str">
        <f aca="false">IF($C699="","",IFERROR(INDEX(품목마스터!$D$3:$D$302,MATCH($C699,품목마스터!$A$3:$A$302,0)),""))</f>
        <v/>
      </c>
      <c r="G699" s="9"/>
      <c r="H699" s="9"/>
      <c r="I699" s="13" t="str">
        <f aca="false">IF(OR($G699="",$H699=""),"",ROUND($G699*$H699,0))</f>
        <v/>
      </c>
      <c r="J699" s="7"/>
      <c r="K699" s="7"/>
      <c r="L699" s="14" t="str">
        <f aca="false">IF(OR($C699="",$G699=""),"",IF($B699="입고",$G699,IF($B699="출고",-$G699,$G699)))</f>
        <v/>
      </c>
      <c r="M699" s="13" t="str">
        <f aca="false">IF($C699="","",IFERROR(INDEX(품목마스터!$F$3:$F$302,MATCH($C699,품목마스터!$A$3:$A$302,0)),0)+SUMIFS($L$3:$L699,$C$3:$C699,$C699))</f>
        <v/>
      </c>
    </row>
    <row r="700" customFormat="false" ht="15" hidden="false" customHeight="true" outlineLevel="0" collapsed="false">
      <c r="A700" s="11"/>
      <c r="B700" s="7"/>
      <c r="C700" s="7"/>
      <c r="D700" s="12" t="str">
        <f aca="false">IF($C700="","",IFERROR(INDEX(품목마스터!$B$3:$B$302,MATCH($C700,품목마스터!$A$3:$A$302,0)),"미등록품번"))</f>
        <v/>
      </c>
      <c r="E700" s="12" t="str">
        <f aca="false">IF($C700="","",IFERROR(INDEX(품목마스터!$C$3:$C$302,MATCH($C700,품목마스터!$A$3:$A$302,0)),""))</f>
        <v/>
      </c>
      <c r="F700" s="12" t="str">
        <f aca="false">IF($C700="","",IFERROR(INDEX(품목마스터!$D$3:$D$302,MATCH($C700,품목마스터!$A$3:$A$302,0)),""))</f>
        <v/>
      </c>
      <c r="G700" s="9"/>
      <c r="H700" s="9"/>
      <c r="I700" s="13" t="str">
        <f aca="false">IF(OR($G700="",$H700=""),"",ROUND($G700*$H700,0))</f>
        <v/>
      </c>
      <c r="J700" s="7"/>
      <c r="K700" s="7"/>
      <c r="L700" s="14" t="str">
        <f aca="false">IF(OR($C700="",$G700=""),"",IF($B700="입고",$G700,IF($B700="출고",-$G700,$G700)))</f>
        <v/>
      </c>
      <c r="M700" s="13" t="str">
        <f aca="false">IF($C700="","",IFERROR(INDEX(품목마스터!$F$3:$F$302,MATCH($C700,품목마스터!$A$3:$A$302,0)),0)+SUMIFS($L$3:$L700,$C$3:$C700,$C700))</f>
        <v/>
      </c>
    </row>
    <row r="701" customFormat="false" ht="15" hidden="false" customHeight="true" outlineLevel="0" collapsed="false">
      <c r="A701" s="11"/>
      <c r="B701" s="7"/>
      <c r="C701" s="7"/>
      <c r="D701" s="12" t="str">
        <f aca="false">IF($C701="","",IFERROR(INDEX(품목마스터!$B$3:$B$302,MATCH($C701,품목마스터!$A$3:$A$302,0)),"미등록품번"))</f>
        <v/>
      </c>
      <c r="E701" s="12" t="str">
        <f aca="false">IF($C701="","",IFERROR(INDEX(품목마스터!$C$3:$C$302,MATCH($C701,품목마스터!$A$3:$A$302,0)),""))</f>
        <v/>
      </c>
      <c r="F701" s="12" t="str">
        <f aca="false">IF($C701="","",IFERROR(INDEX(품목마스터!$D$3:$D$302,MATCH($C701,품목마스터!$A$3:$A$302,0)),""))</f>
        <v/>
      </c>
      <c r="G701" s="9"/>
      <c r="H701" s="9"/>
      <c r="I701" s="13" t="str">
        <f aca="false">IF(OR($G701="",$H701=""),"",ROUND($G701*$H701,0))</f>
        <v/>
      </c>
      <c r="J701" s="7"/>
      <c r="K701" s="7"/>
      <c r="L701" s="14" t="str">
        <f aca="false">IF(OR($C701="",$G701=""),"",IF($B701="입고",$G701,IF($B701="출고",-$G701,$G701)))</f>
        <v/>
      </c>
      <c r="M701" s="13" t="str">
        <f aca="false">IF($C701="","",IFERROR(INDEX(품목마스터!$F$3:$F$302,MATCH($C701,품목마스터!$A$3:$A$302,0)),0)+SUMIFS($L$3:$L701,$C$3:$C701,$C701))</f>
        <v/>
      </c>
    </row>
    <row r="702" customFormat="false" ht="15" hidden="false" customHeight="true" outlineLevel="0" collapsed="false">
      <c r="A702" s="11"/>
      <c r="B702" s="7"/>
      <c r="C702" s="7"/>
      <c r="D702" s="12" t="str">
        <f aca="false">IF($C702="","",IFERROR(INDEX(품목마스터!$B$3:$B$302,MATCH($C702,품목마스터!$A$3:$A$302,0)),"미등록품번"))</f>
        <v/>
      </c>
      <c r="E702" s="12" t="str">
        <f aca="false">IF($C702="","",IFERROR(INDEX(품목마스터!$C$3:$C$302,MATCH($C702,품목마스터!$A$3:$A$302,0)),""))</f>
        <v/>
      </c>
      <c r="F702" s="12" t="str">
        <f aca="false">IF($C702="","",IFERROR(INDEX(품목마스터!$D$3:$D$302,MATCH($C702,품목마스터!$A$3:$A$302,0)),""))</f>
        <v/>
      </c>
      <c r="G702" s="9"/>
      <c r="H702" s="9"/>
      <c r="I702" s="13" t="str">
        <f aca="false">IF(OR($G702="",$H702=""),"",ROUND($G702*$H702,0))</f>
        <v/>
      </c>
      <c r="J702" s="7"/>
      <c r="K702" s="7"/>
      <c r="L702" s="14" t="str">
        <f aca="false">IF(OR($C702="",$G702=""),"",IF($B702="입고",$G702,IF($B702="출고",-$G702,$G702)))</f>
        <v/>
      </c>
      <c r="M702" s="13" t="str">
        <f aca="false">IF($C702="","",IFERROR(INDEX(품목마스터!$F$3:$F$302,MATCH($C702,품목마스터!$A$3:$A$302,0)),0)+SUMIFS($L$3:$L702,$C$3:$C702,$C702))</f>
        <v/>
      </c>
    </row>
    <row r="703" customFormat="false" ht="15" hidden="false" customHeight="true" outlineLevel="0" collapsed="false">
      <c r="A703" s="11"/>
      <c r="B703" s="7"/>
      <c r="C703" s="7"/>
      <c r="D703" s="12" t="str">
        <f aca="false">IF($C703="","",IFERROR(INDEX(품목마스터!$B$3:$B$302,MATCH($C703,품목마스터!$A$3:$A$302,0)),"미등록품번"))</f>
        <v/>
      </c>
      <c r="E703" s="12" t="str">
        <f aca="false">IF($C703="","",IFERROR(INDEX(품목마스터!$C$3:$C$302,MATCH($C703,품목마스터!$A$3:$A$302,0)),""))</f>
        <v/>
      </c>
      <c r="F703" s="12" t="str">
        <f aca="false">IF($C703="","",IFERROR(INDEX(품목마스터!$D$3:$D$302,MATCH($C703,품목마스터!$A$3:$A$302,0)),""))</f>
        <v/>
      </c>
      <c r="G703" s="9"/>
      <c r="H703" s="9"/>
      <c r="I703" s="13" t="str">
        <f aca="false">IF(OR($G703="",$H703=""),"",ROUND($G703*$H703,0))</f>
        <v/>
      </c>
      <c r="J703" s="7"/>
      <c r="K703" s="7"/>
      <c r="L703" s="14" t="str">
        <f aca="false">IF(OR($C703="",$G703=""),"",IF($B703="입고",$G703,IF($B703="출고",-$G703,$G703)))</f>
        <v/>
      </c>
      <c r="M703" s="13" t="str">
        <f aca="false">IF($C703="","",IFERROR(INDEX(품목마스터!$F$3:$F$302,MATCH($C703,품목마스터!$A$3:$A$302,0)),0)+SUMIFS($L$3:$L703,$C$3:$C703,$C703))</f>
        <v/>
      </c>
    </row>
    <row r="704" customFormat="false" ht="15" hidden="false" customHeight="true" outlineLevel="0" collapsed="false">
      <c r="A704" s="11"/>
      <c r="B704" s="7"/>
      <c r="C704" s="7"/>
      <c r="D704" s="12" t="str">
        <f aca="false">IF($C704="","",IFERROR(INDEX(품목마스터!$B$3:$B$302,MATCH($C704,품목마스터!$A$3:$A$302,0)),"미등록품번"))</f>
        <v/>
      </c>
      <c r="E704" s="12" t="str">
        <f aca="false">IF($C704="","",IFERROR(INDEX(품목마스터!$C$3:$C$302,MATCH($C704,품목마스터!$A$3:$A$302,0)),""))</f>
        <v/>
      </c>
      <c r="F704" s="12" t="str">
        <f aca="false">IF($C704="","",IFERROR(INDEX(품목마스터!$D$3:$D$302,MATCH($C704,품목마스터!$A$3:$A$302,0)),""))</f>
        <v/>
      </c>
      <c r="G704" s="9"/>
      <c r="H704" s="9"/>
      <c r="I704" s="13" t="str">
        <f aca="false">IF(OR($G704="",$H704=""),"",ROUND($G704*$H704,0))</f>
        <v/>
      </c>
      <c r="J704" s="7"/>
      <c r="K704" s="7"/>
      <c r="L704" s="14" t="str">
        <f aca="false">IF(OR($C704="",$G704=""),"",IF($B704="입고",$G704,IF($B704="출고",-$G704,$G704)))</f>
        <v/>
      </c>
      <c r="M704" s="13" t="str">
        <f aca="false">IF($C704="","",IFERROR(INDEX(품목마스터!$F$3:$F$302,MATCH($C704,품목마스터!$A$3:$A$302,0)),0)+SUMIFS($L$3:$L704,$C$3:$C704,$C704))</f>
        <v/>
      </c>
    </row>
    <row r="705" customFormat="false" ht="15" hidden="false" customHeight="true" outlineLevel="0" collapsed="false">
      <c r="A705" s="11"/>
      <c r="B705" s="7"/>
      <c r="C705" s="7"/>
      <c r="D705" s="12" t="str">
        <f aca="false">IF($C705="","",IFERROR(INDEX(품목마스터!$B$3:$B$302,MATCH($C705,품목마스터!$A$3:$A$302,0)),"미등록품번"))</f>
        <v/>
      </c>
      <c r="E705" s="12" t="str">
        <f aca="false">IF($C705="","",IFERROR(INDEX(품목마스터!$C$3:$C$302,MATCH($C705,품목마스터!$A$3:$A$302,0)),""))</f>
        <v/>
      </c>
      <c r="F705" s="12" t="str">
        <f aca="false">IF($C705="","",IFERROR(INDEX(품목마스터!$D$3:$D$302,MATCH($C705,품목마스터!$A$3:$A$302,0)),""))</f>
        <v/>
      </c>
      <c r="G705" s="9"/>
      <c r="H705" s="9"/>
      <c r="I705" s="13" t="str">
        <f aca="false">IF(OR($G705="",$H705=""),"",ROUND($G705*$H705,0))</f>
        <v/>
      </c>
      <c r="J705" s="7"/>
      <c r="K705" s="7"/>
      <c r="L705" s="14" t="str">
        <f aca="false">IF(OR($C705="",$G705=""),"",IF($B705="입고",$G705,IF($B705="출고",-$G705,$G705)))</f>
        <v/>
      </c>
      <c r="M705" s="13" t="str">
        <f aca="false">IF($C705="","",IFERROR(INDEX(품목마스터!$F$3:$F$302,MATCH($C705,품목마스터!$A$3:$A$302,0)),0)+SUMIFS($L$3:$L705,$C$3:$C705,$C705))</f>
        <v/>
      </c>
    </row>
    <row r="706" customFormat="false" ht="15" hidden="false" customHeight="true" outlineLevel="0" collapsed="false">
      <c r="A706" s="11"/>
      <c r="B706" s="7"/>
      <c r="C706" s="7"/>
      <c r="D706" s="12" t="str">
        <f aca="false">IF($C706="","",IFERROR(INDEX(품목마스터!$B$3:$B$302,MATCH($C706,품목마스터!$A$3:$A$302,0)),"미등록품번"))</f>
        <v/>
      </c>
      <c r="E706" s="12" t="str">
        <f aca="false">IF($C706="","",IFERROR(INDEX(품목마스터!$C$3:$C$302,MATCH($C706,품목마스터!$A$3:$A$302,0)),""))</f>
        <v/>
      </c>
      <c r="F706" s="12" t="str">
        <f aca="false">IF($C706="","",IFERROR(INDEX(품목마스터!$D$3:$D$302,MATCH($C706,품목마스터!$A$3:$A$302,0)),""))</f>
        <v/>
      </c>
      <c r="G706" s="9"/>
      <c r="H706" s="9"/>
      <c r="I706" s="13" t="str">
        <f aca="false">IF(OR($G706="",$H706=""),"",ROUND($G706*$H706,0))</f>
        <v/>
      </c>
      <c r="J706" s="7"/>
      <c r="K706" s="7"/>
      <c r="L706" s="14" t="str">
        <f aca="false">IF(OR($C706="",$G706=""),"",IF($B706="입고",$G706,IF($B706="출고",-$G706,$G706)))</f>
        <v/>
      </c>
      <c r="M706" s="13" t="str">
        <f aca="false">IF($C706="","",IFERROR(INDEX(품목마스터!$F$3:$F$302,MATCH($C706,품목마스터!$A$3:$A$302,0)),0)+SUMIFS($L$3:$L706,$C$3:$C706,$C706))</f>
        <v/>
      </c>
    </row>
    <row r="707" customFormat="false" ht="15" hidden="false" customHeight="true" outlineLevel="0" collapsed="false">
      <c r="A707" s="11"/>
      <c r="B707" s="7"/>
      <c r="C707" s="7"/>
      <c r="D707" s="12" t="str">
        <f aca="false">IF($C707="","",IFERROR(INDEX(품목마스터!$B$3:$B$302,MATCH($C707,품목마스터!$A$3:$A$302,0)),"미등록품번"))</f>
        <v/>
      </c>
      <c r="E707" s="12" t="str">
        <f aca="false">IF($C707="","",IFERROR(INDEX(품목마스터!$C$3:$C$302,MATCH($C707,품목마스터!$A$3:$A$302,0)),""))</f>
        <v/>
      </c>
      <c r="F707" s="12" t="str">
        <f aca="false">IF($C707="","",IFERROR(INDEX(품목마스터!$D$3:$D$302,MATCH($C707,품목마스터!$A$3:$A$302,0)),""))</f>
        <v/>
      </c>
      <c r="G707" s="9"/>
      <c r="H707" s="9"/>
      <c r="I707" s="13" t="str">
        <f aca="false">IF(OR($G707="",$H707=""),"",ROUND($G707*$H707,0))</f>
        <v/>
      </c>
      <c r="J707" s="7"/>
      <c r="K707" s="7"/>
      <c r="L707" s="14" t="str">
        <f aca="false">IF(OR($C707="",$G707=""),"",IF($B707="입고",$G707,IF($B707="출고",-$G707,$G707)))</f>
        <v/>
      </c>
      <c r="M707" s="13" t="str">
        <f aca="false">IF($C707="","",IFERROR(INDEX(품목마스터!$F$3:$F$302,MATCH($C707,품목마스터!$A$3:$A$302,0)),0)+SUMIFS($L$3:$L707,$C$3:$C707,$C707))</f>
        <v/>
      </c>
    </row>
    <row r="708" customFormat="false" ht="15" hidden="false" customHeight="true" outlineLevel="0" collapsed="false">
      <c r="A708" s="11"/>
      <c r="B708" s="7"/>
      <c r="C708" s="7"/>
      <c r="D708" s="12" t="str">
        <f aca="false">IF($C708="","",IFERROR(INDEX(품목마스터!$B$3:$B$302,MATCH($C708,품목마스터!$A$3:$A$302,0)),"미등록품번"))</f>
        <v/>
      </c>
      <c r="E708" s="12" t="str">
        <f aca="false">IF($C708="","",IFERROR(INDEX(품목마스터!$C$3:$C$302,MATCH($C708,품목마스터!$A$3:$A$302,0)),""))</f>
        <v/>
      </c>
      <c r="F708" s="12" t="str">
        <f aca="false">IF($C708="","",IFERROR(INDEX(품목마스터!$D$3:$D$302,MATCH($C708,품목마스터!$A$3:$A$302,0)),""))</f>
        <v/>
      </c>
      <c r="G708" s="9"/>
      <c r="H708" s="9"/>
      <c r="I708" s="13" t="str">
        <f aca="false">IF(OR($G708="",$H708=""),"",ROUND($G708*$H708,0))</f>
        <v/>
      </c>
      <c r="J708" s="7"/>
      <c r="K708" s="7"/>
      <c r="L708" s="14" t="str">
        <f aca="false">IF(OR($C708="",$G708=""),"",IF($B708="입고",$G708,IF($B708="출고",-$G708,$G708)))</f>
        <v/>
      </c>
      <c r="M708" s="13" t="str">
        <f aca="false">IF($C708="","",IFERROR(INDEX(품목마스터!$F$3:$F$302,MATCH($C708,품목마스터!$A$3:$A$302,0)),0)+SUMIFS($L$3:$L708,$C$3:$C708,$C708))</f>
        <v/>
      </c>
    </row>
    <row r="709" customFormat="false" ht="15" hidden="false" customHeight="true" outlineLevel="0" collapsed="false">
      <c r="A709" s="11"/>
      <c r="B709" s="7"/>
      <c r="C709" s="7"/>
      <c r="D709" s="12" t="str">
        <f aca="false">IF($C709="","",IFERROR(INDEX(품목마스터!$B$3:$B$302,MATCH($C709,품목마스터!$A$3:$A$302,0)),"미등록품번"))</f>
        <v/>
      </c>
      <c r="E709" s="12" t="str">
        <f aca="false">IF($C709="","",IFERROR(INDEX(품목마스터!$C$3:$C$302,MATCH($C709,품목마스터!$A$3:$A$302,0)),""))</f>
        <v/>
      </c>
      <c r="F709" s="12" t="str">
        <f aca="false">IF($C709="","",IFERROR(INDEX(품목마스터!$D$3:$D$302,MATCH($C709,품목마스터!$A$3:$A$302,0)),""))</f>
        <v/>
      </c>
      <c r="G709" s="9"/>
      <c r="H709" s="9"/>
      <c r="I709" s="13" t="str">
        <f aca="false">IF(OR($G709="",$H709=""),"",ROUND($G709*$H709,0))</f>
        <v/>
      </c>
      <c r="J709" s="7"/>
      <c r="K709" s="7"/>
      <c r="L709" s="14" t="str">
        <f aca="false">IF(OR($C709="",$G709=""),"",IF($B709="입고",$G709,IF($B709="출고",-$G709,$G709)))</f>
        <v/>
      </c>
      <c r="M709" s="13" t="str">
        <f aca="false">IF($C709="","",IFERROR(INDEX(품목마스터!$F$3:$F$302,MATCH($C709,품목마스터!$A$3:$A$302,0)),0)+SUMIFS($L$3:$L709,$C$3:$C709,$C709))</f>
        <v/>
      </c>
    </row>
    <row r="710" customFormat="false" ht="15" hidden="false" customHeight="true" outlineLevel="0" collapsed="false">
      <c r="A710" s="11"/>
      <c r="B710" s="7"/>
      <c r="C710" s="7"/>
      <c r="D710" s="12" t="str">
        <f aca="false">IF($C710="","",IFERROR(INDEX(품목마스터!$B$3:$B$302,MATCH($C710,품목마스터!$A$3:$A$302,0)),"미등록품번"))</f>
        <v/>
      </c>
      <c r="E710" s="12" t="str">
        <f aca="false">IF($C710="","",IFERROR(INDEX(품목마스터!$C$3:$C$302,MATCH($C710,품목마스터!$A$3:$A$302,0)),""))</f>
        <v/>
      </c>
      <c r="F710" s="12" t="str">
        <f aca="false">IF($C710="","",IFERROR(INDEX(품목마스터!$D$3:$D$302,MATCH($C710,품목마스터!$A$3:$A$302,0)),""))</f>
        <v/>
      </c>
      <c r="G710" s="9"/>
      <c r="H710" s="9"/>
      <c r="I710" s="13" t="str">
        <f aca="false">IF(OR($G710="",$H710=""),"",ROUND($G710*$H710,0))</f>
        <v/>
      </c>
      <c r="J710" s="7"/>
      <c r="K710" s="7"/>
      <c r="L710" s="14" t="str">
        <f aca="false">IF(OR($C710="",$G710=""),"",IF($B710="입고",$G710,IF($B710="출고",-$G710,$G710)))</f>
        <v/>
      </c>
      <c r="M710" s="13" t="str">
        <f aca="false">IF($C710="","",IFERROR(INDEX(품목마스터!$F$3:$F$302,MATCH($C710,품목마스터!$A$3:$A$302,0)),0)+SUMIFS($L$3:$L710,$C$3:$C710,$C710))</f>
        <v/>
      </c>
    </row>
    <row r="711" customFormat="false" ht="15" hidden="false" customHeight="true" outlineLevel="0" collapsed="false">
      <c r="A711" s="11"/>
      <c r="B711" s="7"/>
      <c r="C711" s="7"/>
      <c r="D711" s="12" t="str">
        <f aca="false">IF($C711="","",IFERROR(INDEX(품목마스터!$B$3:$B$302,MATCH($C711,품목마스터!$A$3:$A$302,0)),"미등록품번"))</f>
        <v/>
      </c>
      <c r="E711" s="12" t="str">
        <f aca="false">IF($C711="","",IFERROR(INDEX(품목마스터!$C$3:$C$302,MATCH($C711,품목마스터!$A$3:$A$302,0)),""))</f>
        <v/>
      </c>
      <c r="F711" s="12" t="str">
        <f aca="false">IF($C711="","",IFERROR(INDEX(품목마스터!$D$3:$D$302,MATCH($C711,품목마스터!$A$3:$A$302,0)),""))</f>
        <v/>
      </c>
      <c r="G711" s="9"/>
      <c r="H711" s="9"/>
      <c r="I711" s="13" t="str">
        <f aca="false">IF(OR($G711="",$H711=""),"",ROUND($G711*$H711,0))</f>
        <v/>
      </c>
      <c r="J711" s="7"/>
      <c r="K711" s="7"/>
      <c r="L711" s="14" t="str">
        <f aca="false">IF(OR($C711="",$G711=""),"",IF($B711="입고",$G711,IF($B711="출고",-$G711,$G711)))</f>
        <v/>
      </c>
      <c r="M711" s="13" t="str">
        <f aca="false">IF($C711="","",IFERROR(INDEX(품목마스터!$F$3:$F$302,MATCH($C711,품목마스터!$A$3:$A$302,0)),0)+SUMIFS($L$3:$L711,$C$3:$C711,$C711))</f>
        <v/>
      </c>
    </row>
    <row r="712" customFormat="false" ht="15" hidden="false" customHeight="true" outlineLevel="0" collapsed="false">
      <c r="A712" s="11"/>
      <c r="B712" s="7"/>
      <c r="C712" s="7"/>
      <c r="D712" s="12" t="str">
        <f aca="false">IF($C712="","",IFERROR(INDEX(품목마스터!$B$3:$B$302,MATCH($C712,품목마스터!$A$3:$A$302,0)),"미등록품번"))</f>
        <v/>
      </c>
      <c r="E712" s="12" t="str">
        <f aca="false">IF($C712="","",IFERROR(INDEX(품목마스터!$C$3:$C$302,MATCH($C712,품목마스터!$A$3:$A$302,0)),""))</f>
        <v/>
      </c>
      <c r="F712" s="12" t="str">
        <f aca="false">IF($C712="","",IFERROR(INDEX(품목마스터!$D$3:$D$302,MATCH($C712,품목마스터!$A$3:$A$302,0)),""))</f>
        <v/>
      </c>
      <c r="G712" s="9"/>
      <c r="H712" s="9"/>
      <c r="I712" s="13" t="str">
        <f aca="false">IF(OR($G712="",$H712=""),"",ROUND($G712*$H712,0))</f>
        <v/>
      </c>
      <c r="J712" s="7"/>
      <c r="K712" s="7"/>
      <c r="L712" s="14" t="str">
        <f aca="false">IF(OR($C712="",$G712=""),"",IF($B712="입고",$G712,IF($B712="출고",-$G712,$G712)))</f>
        <v/>
      </c>
      <c r="M712" s="13" t="str">
        <f aca="false">IF($C712="","",IFERROR(INDEX(품목마스터!$F$3:$F$302,MATCH($C712,품목마스터!$A$3:$A$302,0)),0)+SUMIFS($L$3:$L712,$C$3:$C712,$C712))</f>
        <v/>
      </c>
    </row>
    <row r="713" customFormat="false" ht="15" hidden="false" customHeight="true" outlineLevel="0" collapsed="false">
      <c r="A713" s="11"/>
      <c r="B713" s="7"/>
      <c r="C713" s="7"/>
      <c r="D713" s="12" t="str">
        <f aca="false">IF($C713="","",IFERROR(INDEX(품목마스터!$B$3:$B$302,MATCH($C713,품목마스터!$A$3:$A$302,0)),"미등록품번"))</f>
        <v/>
      </c>
      <c r="E713" s="12" t="str">
        <f aca="false">IF($C713="","",IFERROR(INDEX(품목마스터!$C$3:$C$302,MATCH($C713,품목마스터!$A$3:$A$302,0)),""))</f>
        <v/>
      </c>
      <c r="F713" s="12" t="str">
        <f aca="false">IF($C713="","",IFERROR(INDEX(품목마스터!$D$3:$D$302,MATCH($C713,품목마스터!$A$3:$A$302,0)),""))</f>
        <v/>
      </c>
      <c r="G713" s="9"/>
      <c r="H713" s="9"/>
      <c r="I713" s="13" t="str">
        <f aca="false">IF(OR($G713="",$H713=""),"",ROUND($G713*$H713,0))</f>
        <v/>
      </c>
      <c r="J713" s="7"/>
      <c r="K713" s="7"/>
      <c r="L713" s="14" t="str">
        <f aca="false">IF(OR($C713="",$G713=""),"",IF($B713="입고",$G713,IF($B713="출고",-$G713,$G713)))</f>
        <v/>
      </c>
      <c r="M713" s="13" t="str">
        <f aca="false">IF($C713="","",IFERROR(INDEX(품목마스터!$F$3:$F$302,MATCH($C713,품목마스터!$A$3:$A$302,0)),0)+SUMIFS($L$3:$L713,$C$3:$C713,$C713))</f>
        <v/>
      </c>
    </row>
    <row r="714" customFormat="false" ht="15" hidden="false" customHeight="true" outlineLevel="0" collapsed="false">
      <c r="A714" s="11"/>
      <c r="B714" s="7"/>
      <c r="C714" s="7"/>
      <c r="D714" s="12" t="str">
        <f aca="false">IF($C714="","",IFERROR(INDEX(품목마스터!$B$3:$B$302,MATCH($C714,품목마스터!$A$3:$A$302,0)),"미등록품번"))</f>
        <v/>
      </c>
      <c r="E714" s="12" t="str">
        <f aca="false">IF($C714="","",IFERROR(INDEX(품목마스터!$C$3:$C$302,MATCH($C714,품목마스터!$A$3:$A$302,0)),""))</f>
        <v/>
      </c>
      <c r="F714" s="12" t="str">
        <f aca="false">IF($C714="","",IFERROR(INDEX(품목마스터!$D$3:$D$302,MATCH($C714,품목마스터!$A$3:$A$302,0)),""))</f>
        <v/>
      </c>
      <c r="G714" s="9"/>
      <c r="H714" s="9"/>
      <c r="I714" s="13" t="str">
        <f aca="false">IF(OR($G714="",$H714=""),"",ROUND($G714*$H714,0))</f>
        <v/>
      </c>
      <c r="J714" s="7"/>
      <c r="K714" s="7"/>
      <c r="L714" s="14" t="str">
        <f aca="false">IF(OR($C714="",$G714=""),"",IF($B714="입고",$G714,IF($B714="출고",-$G714,$G714)))</f>
        <v/>
      </c>
      <c r="M714" s="13" t="str">
        <f aca="false">IF($C714="","",IFERROR(INDEX(품목마스터!$F$3:$F$302,MATCH($C714,품목마스터!$A$3:$A$302,0)),0)+SUMIFS($L$3:$L714,$C$3:$C714,$C714))</f>
        <v/>
      </c>
    </row>
    <row r="715" customFormat="false" ht="15" hidden="false" customHeight="true" outlineLevel="0" collapsed="false">
      <c r="A715" s="11"/>
      <c r="B715" s="7"/>
      <c r="C715" s="7"/>
      <c r="D715" s="12" t="str">
        <f aca="false">IF($C715="","",IFERROR(INDEX(품목마스터!$B$3:$B$302,MATCH($C715,품목마스터!$A$3:$A$302,0)),"미등록품번"))</f>
        <v/>
      </c>
      <c r="E715" s="12" t="str">
        <f aca="false">IF($C715="","",IFERROR(INDEX(품목마스터!$C$3:$C$302,MATCH($C715,품목마스터!$A$3:$A$302,0)),""))</f>
        <v/>
      </c>
      <c r="F715" s="12" t="str">
        <f aca="false">IF($C715="","",IFERROR(INDEX(품목마스터!$D$3:$D$302,MATCH($C715,품목마스터!$A$3:$A$302,0)),""))</f>
        <v/>
      </c>
      <c r="G715" s="9"/>
      <c r="H715" s="9"/>
      <c r="I715" s="13" t="str">
        <f aca="false">IF(OR($G715="",$H715=""),"",ROUND($G715*$H715,0))</f>
        <v/>
      </c>
      <c r="J715" s="7"/>
      <c r="K715" s="7"/>
      <c r="L715" s="14" t="str">
        <f aca="false">IF(OR($C715="",$G715=""),"",IF($B715="입고",$G715,IF($B715="출고",-$G715,$G715)))</f>
        <v/>
      </c>
      <c r="M715" s="13" t="str">
        <f aca="false">IF($C715="","",IFERROR(INDEX(품목마스터!$F$3:$F$302,MATCH($C715,품목마스터!$A$3:$A$302,0)),0)+SUMIFS($L$3:$L715,$C$3:$C715,$C715))</f>
        <v/>
      </c>
    </row>
    <row r="716" customFormat="false" ht="15" hidden="false" customHeight="true" outlineLevel="0" collapsed="false">
      <c r="A716" s="11"/>
      <c r="B716" s="7"/>
      <c r="C716" s="7"/>
      <c r="D716" s="12" t="str">
        <f aca="false">IF($C716="","",IFERROR(INDEX(품목마스터!$B$3:$B$302,MATCH($C716,품목마스터!$A$3:$A$302,0)),"미등록품번"))</f>
        <v/>
      </c>
      <c r="E716" s="12" t="str">
        <f aca="false">IF($C716="","",IFERROR(INDEX(품목마스터!$C$3:$C$302,MATCH($C716,품목마스터!$A$3:$A$302,0)),""))</f>
        <v/>
      </c>
      <c r="F716" s="12" t="str">
        <f aca="false">IF($C716="","",IFERROR(INDEX(품목마스터!$D$3:$D$302,MATCH($C716,품목마스터!$A$3:$A$302,0)),""))</f>
        <v/>
      </c>
      <c r="G716" s="9"/>
      <c r="H716" s="9"/>
      <c r="I716" s="13" t="str">
        <f aca="false">IF(OR($G716="",$H716=""),"",ROUND($G716*$H716,0))</f>
        <v/>
      </c>
      <c r="J716" s="7"/>
      <c r="K716" s="7"/>
      <c r="L716" s="14" t="str">
        <f aca="false">IF(OR($C716="",$G716=""),"",IF($B716="입고",$G716,IF($B716="출고",-$G716,$G716)))</f>
        <v/>
      </c>
      <c r="M716" s="13" t="str">
        <f aca="false">IF($C716="","",IFERROR(INDEX(품목마스터!$F$3:$F$302,MATCH($C716,품목마스터!$A$3:$A$302,0)),0)+SUMIFS($L$3:$L716,$C$3:$C716,$C716))</f>
        <v/>
      </c>
    </row>
    <row r="717" customFormat="false" ht="15" hidden="false" customHeight="true" outlineLevel="0" collapsed="false">
      <c r="A717" s="11"/>
      <c r="B717" s="7"/>
      <c r="C717" s="7"/>
      <c r="D717" s="12" t="str">
        <f aca="false">IF($C717="","",IFERROR(INDEX(품목마스터!$B$3:$B$302,MATCH($C717,품목마스터!$A$3:$A$302,0)),"미등록품번"))</f>
        <v/>
      </c>
      <c r="E717" s="12" t="str">
        <f aca="false">IF($C717="","",IFERROR(INDEX(품목마스터!$C$3:$C$302,MATCH($C717,품목마스터!$A$3:$A$302,0)),""))</f>
        <v/>
      </c>
      <c r="F717" s="12" t="str">
        <f aca="false">IF($C717="","",IFERROR(INDEX(품목마스터!$D$3:$D$302,MATCH($C717,품목마스터!$A$3:$A$302,0)),""))</f>
        <v/>
      </c>
      <c r="G717" s="9"/>
      <c r="H717" s="9"/>
      <c r="I717" s="13" t="str">
        <f aca="false">IF(OR($G717="",$H717=""),"",ROUND($G717*$H717,0))</f>
        <v/>
      </c>
      <c r="J717" s="7"/>
      <c r="K717" s="7"/>
      <c r="L717" s="14" t="str">
        <f aca="false">IF(OR($C717="",$G717=""),"",IF($B717="입고",$G717,IF($B717="출고",-$G717,$G717)))</f>
        <v/>
      </c>
      <c r="M717" s="13" t="str">
        <f aca="false">IF($C717="","",IFERROR(INDEX(품목마스터!$F$3:$F$302,MATCH($C717,품목마스터!$A$3:$A$302,0)),0)+SUMIFS($L$3:$L717,$C$3:$C717,$C717))</f>
        <v/>
      </c>
    </row>
    <row r="718" customFormat="false" ht="15" hidden="false" customHeight="true" outlineLevel="0" collapsed="false">
      <c r="A718" s="11"/>
      <c r="B718" s="7"/>
      <c r="C718" s="7"/>
      <c r="D718" s="12" t="str">
        <f aca="false">IF($C718="","",IFERROR(INDEX(품목마스터!$B$3:$B$302,MATCH($C718,품목마스터!$A$3:$A$302,0)),"미등록품번"))</f>
        <v/>
      </c>
      <c r="E718" s="12" t="str">
        <f aca="false">IF($C718="","",IFERROR(INDEX(품목마스터!$C$3:$C$302,MATCH($C718,품목마스터!$A$3:$A$302,0)),""))</f>
        <v/>
      </c>
      <c r="F718" s="12" t="str">
        <f aca="false">IF($C718="","",IFERROR(INDEX(품목마스터!$D$3:$D$302,MATCH($C718,품목마스터!$A$3:$A$302,0)),""))</f>
        <v/>
      </c>
      <c r="G718" s="9"/>
      <c r="H718" s="9"/>
      <c r="I718" s="13" t="str">
        <f aca="false">IF(OR($G718="",$H718=""),"",ROUND($G718*$H718,0))</f>
        <v/>
      </c>
      <c r="J718" s="7"/>
      <c r="K718" s="7"/>
      <c r="L718" s="14" t="str">
        <f aca="false">IF(OR($C718="",$G718=""),"",IF($B718="입고",$G718,IF($B718="출고",-$G718,$G718)))</f>
        <v/>
      </c>
      <c r="M718" s="13" t="str">
        <f aca="false">IF($C718="","",IFERROR(INDEX(품목마스터!$F$3:$F$302,MATCH($C718,품목마스터!$A$3:$A$302,0)),0)+SUMIFS($L$3:$L718,$C$3:$C718,$C718))</f>
        <v/>
      </c>
    </row>
    <row r="719" customFormat="false" ht="15" hidden="false" customHeight="true" outlineLevel="0" collapsed="false">
      <c r="A719" s="11"/>
      <c r="B719" s="7"/>
      <c r="C719" s="7"/>
      <c r="D719" s="12" t="str">
        <f aca="false">IF($C719="","",IFERROR(INDEX(품목마스터!$B$3:$B$302,MATCH($C719,품목마스터!$A$3:$A$302,0)),"미등록품번"))</f>
        <v/>
      </c>
      <c r="E719" s="12" t="str">
        <f aca="false">IF($C719="","",IFERROR(INDEX(품목마스터!$C$3:$C$302,MATCH($C719,품목마스터!$A$3:$A$302,0)),""))</f>
        <v/>
      </c>
      <c r="F719" s="12" t="str">
        <f aca="false">IF($C719="","",IFERROR(INDEX(품목마스터!$D$3:$D$302,MATCH($C719,품목마스터!$A$3:$A$302,0)),""))</f>
        <v/>
      </c>
      <c r="G719" s="9"/>
      <c r="H719" s="9"/>
      <c r="I719" s="13" t="str">
        <f aca="false">IF(OR($G719="",$H719=""),"",ROUND($G719*$H719,0))</f>
        <v/>
      </c>
      <c r="J719" s="7"/>
      <c r="K719" s="7"/>
      <c r="L719" s="14" t="str">
        <f aca="false">IF(OR($C719="",$G719=""),"",IF($B719="입고",$G719,IF($B719="출고",-$G719,$G719)))</f>
        <v/>
      </c>
      <c r="M719" s="13" t="str">
        <f aca="false">IF($C719="","",IFERROR(INDEX(품목마스터!$F$3:$F$302,MATCH($C719,품목마스터!$A$3:$A$302,0)),0)+SUMIFS($L$3:$L719,$C$3:$C719,$C719))</f>
        <v/>
      </c>
    </row>
    <row r="720" customFormat="false" ht="15" hidden="false" customHeight="true" outlineLevel="0" collapsed="false">
      <c r="A720" s="11"/>
      <c r="B720" s="7"/>
      <c r="C720" s="7"/>
      <c r="D720" s="12" t="str">
        <f aca="false">IF($C720="","",IFERROR(INDEX(품목마스터!$B$3:$B$302,MATCH($C720,품목마스터!$A$3:$A$302,0)),"미등록품번"))</f>
        <v/>
      </c>
      <c r="E720" s="12" t="str">
        <f aca="false">IF($C720="","",IFERROR(INDEX(품목마스터!$C$3:$C$302,MATCH($C720,품목마스터!$A$3:$A$302,0)),""))</f>
        <v/>
      </c>
      <c r="F720" s="12" t="str">
        <f aca="false">IF($C720="","",IFERROR(INDEX(품목마스터!$D$3:$D$302,MATCH($C720,품목마스터!$A$3:$A$302,0)),""))</f>
        <v/>
      </c>
      <c r="G720" s="9"/>
      <c r="H720" s="9"/>
      <c r="I720" s="13" t="str">
        <f aca="false">IF(OR($G720="",$H720=""),"",ROUND($G720*$H720,0))</f>
        <v/>
      </c>
      <c r="J720" s="7"/>
      <c r="K720" s="7"/>
      <c r="L720" s="14" t="str">
        <f aca="false">IF(OR($C720="",$G720=""),"",IF($B720="입고",$G720,IF($B720="출고",-$G720,$G720)))</f>
        <v/>
      </c>
      <c r="M720" s="13" t="str">
        <f aca="false">IF($C720="","",IFERROR(INDEX(품목마스터!$F$3:$F$302,MATCH($C720,품목마스터!$A$3:$A$302,0)),0)+SUMIFS($L$3:$L720,$C$3:$C720,$C720))</f>
        <v/>
      </c>
    </row>
    <row r="721" customFormat="false" ht="15" hidden="false" customHeight="true" outlineLevel="0" collapsed="false">
      <c r="A721" s="11"/>
      <c r="B721" s="7"/>
      <c r="C721" s="7"/>
      <c r="D721" s="12" t="str">
        <f aca="false">IF($C721="","",IFERROR(INDEX(품목마스터!$B$3:$B$302,MATCH($C721,품목마스터!$A$3:$A$302,0)),"미등록품번"))</f>
        <v/>
      </c>
      <c r="E721" s="12" t="str">
        <f aca="false">IF($C721="","",IFERROR(INDEX(품목마스터!$C$3:$C$302,MATCH($C721,품목마스터!$A$3:$A$302,0)),""))</f>
        <v/>
      </c>
      <c r="F721" s="12" t="str">
        <f aca="false">IF($C721="","",IFERROR(INDEX(품목마스터!$D$3:$D$302,MATCH($C721,품목마스터!$A$3:$A$302,0)),""))</f>
        <v/>
      </c>
      <c r="G721" s="9"/>
      <c r="H721" s="9"/>
      <c r="I721" s="13" t="str">
        <f aca="false">IF(OR($G721="",$H721=""),"",ROUND($G721*$H721,0))</f>
        <v/>
      </c>
      <c r="J721" s="7"/>
      <c r="K721" s="7"/>
      <c r="L721" s="14" t="str">
        <f aca="false">IF(OR($C721="",$G721=""),"",IF($B721="입고",$G721,IF($B721="출고",-$G721,$G721)))</f>
        <v/>
      </c>
      <c r="M721" s="13" t="str">
        <f aca="false">IF($C721="","",IFERROR(INDEX(품목마스터!$F$3:$F$302,MATCH($C721,품목마스터!$A$3:$A$302,0)),0)+SUMIFS($L$3:$L721,$C$3:$C721,$C721))</f>
        <v/>
      </c>
    </row>
    <row r="722" customFormat="false" ht="15" hidden="false" customHeight="true" outlineLevel="0" collapsed="false">
      <c r="A722" s="11"/>
      <c r="B722" s="7"/>
      <c r="C722" s="7"/>
      <c r="D722" s="12" t="str">
        <f aca="false">IF($C722="","",IFERROR(INDEX(품목마스터!$B$3:$B$302,MATCH($C722,품목마스터!$A$3:$A$302,0)),"미등록품번"))</f>
        <v/>
      </c>
      <c r="E722" s="12" t="str">
        <f aca="false">IF($C722="","",IFERROR(INDEX(품목마스터!$C$3:$C$302,MATCH($C722,품목마스터!$A$3:$A$302,0)),""))</f>
        <v/>
      </c>
      <c r="F722" s="12" t="str">
        <f aca="false">IF($C722="","",IFERROR(INDEX(품목마스터!$D$3:$D$302,MATCH($C722,품목마스터!$A$3:$A$302,0)),""))</f>
        <v/>
      </c>
      <c r="G722" s="9"/>
      <c r="H722" s="9"/>
      <c r="I722" s="13" t="str">
        <f aca="false">IF(OR($G722="",$H722=""),"",ROUND($G722*$H722,0))</f>
        <v/>
      </c>
      <c r="J722" s="7"/>
      <c r="K722" s="7"/>
      <c r="L722" s="14" t="str">
        <f aca="false">IF(OR($C722="",$G722=""),"",IF($B722="입고",$G722,IF($B722="출고",-$G722,$G722)))</f>
        <v/>
      </c>
      <c r="M722" s="13" t="str">
        <f aca="false">IF($C722="","",IFERROR(INDEX(품목마스터!$F$3:$F$302,MATCH($C722,품목마스터!$A$3:$A$302,0)),0)+SUMIFS($L$3:$L722,$C$3:$C722,$C722))</f>
        <v/>
      </c>
    </row>
    <row r="723" customFormat="false" ht="15" hidden="false" customHeight="true" outlineLevel="0" collapsed="false">
      <c r="A723" s="11"/>
      <c r="B723" s="7"/>
      <c r="C723" s="7"/>
      <c r="D723" s="12" t="str">
        <f aca="false">IF($C723="","",IFERROR(INDEX(품목마스터!$B$3:$B$302,MATCH($C723,품목마스터!$A$3:$A$302,0)),"미등록품번"))</f>
        <v/>
      </c>
      <c r="E723" s="12" t="str">
        <f aca="false">IF($C723="","",IFERROR(INDEX(품목마스터!$C$3:$C$302,MATCH($C723,품목마스터!$A$3:$A$302,0)),""))</f>
        <v/>
      </c>
      <c r="F723" s="12" t="str">
        <f aca="false">IF($C723="","",IFERROR(INDEX(품목마스터!$D$3:$D$302,MATCH($C723,품목마스터!$A$3:$A$302,0)),""))</f>
        <v/>
      </c>
      <c r="G723" s="9"/>
      <c r="H723" s="9"/>
      <c r="I723" s="13" t="str">
        <f aca="false">IF(OR($G723="",$H723=""),"",ROUND($G723*$H723,0))</f>
        <v/>
      </c>
      <c r="J723" s="7"/>
      <c r="K723" s="7"/>
      <c r="L723" s="14" t="str">
        <f aca="false">IF(OR($C723="",$G723=""),"",IF($B723="입고",$G723,IF($B723="출고",-$G723,$G723)))</f>
        <v/>
      </c>
      <c r="M723" s="13" t="str">
        <f aca="false">IF($C723="","",IFERROR(INDEX(품목마스터!$F$3:$F$302,MATCH($C723,품목마스터!$A$3:$A$302,0)),0)+SUMIFS($L$3:$L723,$C$3:$C723,$C723))</f>
        <v/>
      </c>
    </row>
    <row r="724" customFormat="false" ht="15" hidden="false" customHeight="true" outlineLevel="0" collapsed="false">
      <c r="A724" s="11"/>
      <c r="B724" s="7"/>
      <c r="C724" s="7"/>
      <c r="D724" s="12" t="str">
        <f aca="false">IF($C724="","",IFERROR(INDEX(품목마스터!$B$3:$B$302,MATCH($C724,품목마스터!$A$3:$A$302,0)),"미등록품번"))</f>
        <v/>
      </c>
      <c r="E724" s="12" t="str">
        <f aca="false">IF($C724="","",IFERROR(INDEX(품목마스터!$C$3:$C$302,MATCH($C724,품목마스터!$A$3:$A$302,0)),""))</f>
        <v/>
      </c>
      <c r="F724" s="12" t="str">
        <f aca="false">IF($C724="","",IFERROR(INDEX(품목마스터!$D$3:$D$302,MATCH($C724,품목마스터!$A$3:$A$302,0)),""))</f>
        <v/>
      </c>
      <c r="G724" s="9"/>
      <c r="H724" s="9"/>
      <c r="I724" s="13" t="str">
        <f aca="false">IF(OR($G724="",$H724=""),"",ROUND($G724*$H724,0))</f>
        <v/>
      </c>
      <c r="J724" s="7"/>
      <c r="K724" s="7"/>
      <c r="L724" s="14" t="str">
        <f aca="false">IF(OR($C724="",$G724=""),"",IF($B724="입고",$G724,IF($B724="출고",-$G724,$G724)))</f>
        <v/>
      </c>
      <c r="M724" s="13" t="str">
        <f aca="false">IF($C724="","",IFERROR(INDEX(품목마스터!$F$3:$F$302,MATCH($C724,품목마스터!$A$3:$A$302,0)),0)+SUMIFS($L$3:$L724,$C$3:$C724,$C724))</f>
        <v/>
      </c>
    </row>
    <row r="725" customFormat="false" ht="15" hidden="false" customHeight="true" outlineLevel="0" collapsed="false">
      <c r="A725" s="11"/>
      <c r="B725" s="7"/>
      <c r="C725" s="7"/>
      <c r="D725" s="12" t="str">
        <f aca="false">IF($C725="","",IFERROR(INDEX(품목마스터!$B$3:$B$302,MATCH($C725,품목마스터!$A$3:$A$302,0)),"미등록품번"))</f>
        <v/>
      </c>
      <c r="E725" s="12" t="str">
        <f aca="false">IF($C725="","",IFERROR(INDEX(품목마스터!$C$3:$C$302,MATCH($C725,품목마스터!$A$3:$A$302,0)),""))</f>
        <v/>
      </c>
      <c r="F725" s="12" t="str">
        <f aca="false">IF($C725="","",IFERROR(INDEX(품목마스터!$D$3:$D$302,MATCH($C725,품목마스터!$A$3:$A$302,0)),""))</f>
        <v/>
      </c>
      <c r="G725" s="9"/>
      <c r="H725" s="9"/>
      <c r="I725" s="13" t="str">
        <f aca="false">IF(OR($G725="",$H725=""),"",ROUND($G725*$H725,0))</f>
        <v/>
      </c>
      <c r="J725" s="7"/>
      <c r="K725" s="7"/>
      <c r="L725" s="14" t="str">
        <f aca="false">IF(OR($C725="",$G725=""),"",IF($B725="입고",$G725,IF($B725="출고",-$G725,$G725)))</f>
        <v/>
      </c>
      <c r="M725" s="13" t="str">
        <f aca="false">IF($C725="","",IFERROR(INDEX(품목마스터!$F$3:$F$302,MATCH($C725,품목마스터!$A$3:$A$302,0)),0)+SUMIFS($L$3:$L725,$C$3:$C725,$C725))</f>
        <v/>
      </c>
    </row>
    <row r="726" customFormat="false" ht="15" hidden="false" customHeight="true" outlineLevel="0" collapsed="false">
      <c r="A726" s="11"/>
      <c r="B726" s="7"/>
      <c r="C726" s="7"/>
      <c r="D726" s="12" t="str">
        <f aca="false">IF($C726="","",IFERROR(INDEX(품목마스터!$B$3:$B$302,MATCH($C726,품목마스터!$A$3:$A$302,0)),"미등록품번"))</f>
        <v/>
      </c>
      <c r="E726" s="12" t="str">
        <f aca="false">IF($C726="","",IFERROR(INDEX(품목마스터!$C$3:$C$302,MATCH($C726,품목마스터!$A$3:$A$302,0)),""))</f>
        <v/>
      </c>
      <c r="F726" s="12" t="str">
        <f aca="false">IF($C726="","",IFERROR(INDEX(품목마스터!$D$3:$D$302,MATCH($C726,품목마스터!$A$3:$A$302,0)),""))</f>
        <v/>
      </c>
      <c r="G726" s="9"/>
      <c r="H726" s="9"/>
      <c r="I726" s="13" t="str">
        <f aca="false">IF(OR($G726="",$H726=""),"",ROUND($G726*$H726,0))</f>
        <v/>
      </c>
      <c r="J726" s="7"/>
      <c r="K726" s="7"/>
      <c r="L726" s="14" t="str">
        <f aca="false">IF(OR($C726="",$G726=""),"",IF($B726="입고",$G726,IF($B726="출고",-$G726,$G726)))</f>
        <v/>
      </c>
      <c r="M726" s="13" t="str">
        <f aca="false">IF($C726="","",IFERROR(INDEX(품목마스터!$F$3:$F$302,MATCH($C726,품목마스터!$A$3:$A$302,0)),0)+SUMIFS($L$3:$L726,$C$3:$C726,$C726))</f>
        <v/>
      </c>
    </row>
    <row r="727" customFormat="false" ht="15" hidden="false" customHeight="true" outlineLevel="0" collapsed="false">
      <c r="A727" s="11"/>
      <c r="B727" s="7"/>
      <c r="C727" s="7"/>
      <c r="D727" s="12" t="str">
        <f aca="false">IF($C727="","",IFERROR(INDEX(품목마스터!$B$3:$B$302,MATCH($C727,품목마스터!$A$3:$A$302,0)),"미등록품번"))</f>
        <v/>
      </c>
      <c r="E727" s="12" t="str">
        <f aca="false">IF($C727="","",IFERROR(INDEX(품목마스터!$C$3:$C$302,MATCH($C727,품목마스터!$A$3:$A$302,0)),""))</f>
        <v/>
      </c>
      <c r="F727" s="12" t="str">
        <f aca="false">IF($C727="","",IFERROR(INDEX(품목마스터!$D$3:$D$302,MATCH($C727,품목마스터!$A$3:$A$302,0)),""))</f>
        <v/>
      </c>
      <c r="G727" s="9"/>
      <c r="H727" s="9"/>
      <c r="I727" s="13" t="str">
        <f aca="false">IF(OR($G727="",$H727=""),"",ROUND($G727*$H727,0))</f>
        <v/>
      </c>
      <c r="J727" s="7"/>
      <c r="K727" s="7"/>
      <c r="L727" s="14" t="str">
        <f aca="false">IF(OR($C727="",$G727=""),"",IF($B727="입고",$G727,IF($B727="출고",-$G727,$G727)))</f>
        <v/>
      </c>
      <c r="M727" s="13" t="str">
        <f aca="false">IF($C727="","",IFERROR(INDEX(품목마스터!$F$3:$F$302,MATCH($C727,품목마스터!$A$3:$A$302,0)),0)+SUMIFS($L$3:$L727,$C$3:$C727,$C727))</f>
        <v/>
      </c>
    </row>
    <row r="728" customFormat="false" ht="15" hidden="false" customHeight="true" outlineLevel="0" collapsed="false">
      <c r="A728" s="11"/>
      <c r="B728" s="7"/>
      <c r="C728" s="7"/>
      <c r="D728" s="12" t="str">
        <f aca="false">IF($C728="","",IFERROR(INDEX(품목마스터!$B$3:$B$302,MATCH($C728,품목마스터!$A$3:$A$302,0)),"미등록품번"))</f>
        <v/>
      </c>
      <c r="E728" s="12" t="str">
        <f aca="false">IF($C728="","",IFERROR(INDEX(품목마스터!$C$3:$C$302,MATCH($C728,품목마스터!$A$3:$A$302,0)),""))</f>
        <v/>
      </c>
      <c r="F728" s="12" t="str">
        <f aca="false">IF($C728="","",IFERROR(INDEX(품목마스터!$D$3:$D$302,MATCH($C728,품목마스터!$A$3:$A$302,0)),""))</f>
        <v/>
      </c>
      <c r="G728" s="9"/>
      <c r="H728" s="9"/>
      <c r="I728" s="13" t="str">
        <f aca="false">IF(OR($G728="",$H728=""),"",ROUND($G728*$H728,0))</f>
        <v/>
      </c>
      <c r="J728" s="7"/>
      <c r="K728" s="7"/>
      <c r="L728" s="14" t="str">
        <f aca="false">IF(OR($C728="",$G728=""),"",IF($B728="입고",$G728,IF($B728="출고",-$G728,$G728)))</f>
        <v/>
      </c>
      <c r="M728" s="13" t="str">
        <f aca="false">IF($C728="","",IFERROR(INDEX(품목마스터!$F$3:$F$302,MATCH($C728,품목마스터!$A$3:$A$302,0)),0)+SUMIFS($L$3:$L728,$C$3:$C728,$C728))</f>
        <v/>
      </c>
    </row>
    <row r="729" customFormat="false" ht="15" hidden="false" customHeight="true" outlineLevel="0" collapsed="false">
      <c r="A729" s="11"/>
      <c r="B729" s="7"/>
      <c r="C729" s="7"/>
      <c r="D729" s="12" t="str">
        <f aca="false">IF($C729="","",IFERROR(INDEX(품목마스터!$B$3:$B$302,MATCH($C729,품목마스터!$A$3:$A$302,0)),"미등록품번"))</f>
        <v/>
      </c>
      <c r="E729" s="12" t="str">
        <f aca="false">IF($C729="","",IFERROR(INDEX(품목마스터!$C$3:$C$302,MATCH($C729,품목마스터!$A$3:$A$302,0)),""))</f>
        <v/>
      </c>
      <c r="F729" s="12" t="str">
        <f aca="false">IF($C729="","",IFERROR(INDEX(품목마스터!$D$3:$D$302,MATCH($C729,품목마스터!$A$3:$A$302,0)),""))</f>
        <v/>
      </c>
      <c r="G729" s="9"/>
      <c r="H729" s="9"/>
      <c r="I729" s="13" t="str">
        <f aca="false">IF(OR($G729="",$H729=""),"",ROUND($G729*$H729,0))</f>
        <v/>
      </c>
      <c r="J729" s="7"/>
      <c r="K729" s="7"/>
      <c r="L729" s="14" t="str">
        <f aca="false">IF(OR($C729="",$G729=""),"",IF($B729="입고",$G729,IF($B729="출고",-$G729,$G729)))</f>
        <v/>
      </c>
      <c r="M729" s="13" t="str">
        <f aca="false">IF($C729="","",IFERROR(INDEX(품목마스터!$F$3:$F$302,MATCH($C729,품목마스터!$A$3:$A$302,0)),0)+SUMIFS($L$3:$L729,$C$3:$C729,$C729))</f>
        <v/>
      </c>
    </row>
    <row r="730" customFormat="false" ht="15" hidden="false" customHeight="true" outlineLevel="0" collapsed="false">
      <c r="A730" s="11"/>
      <c r="B730" s="7"/>
      <c r="C730" s="7"/>
      <c r="D730" s="12" t="str">
        <f aca="false">IF($C730="","",IFERROR(INDEX(품목마스터!$B$3:$B$302,MATCH($C730,품목마스터!$A$3:$A$302,0)),"미등록품번"))</f>
        <v/>
      </c>
      <c r="E730" s="12" t="str">
        <f aca="false">IF($C730="","",IFERROR(INDEX(품목마스터!$C$3:$C$302,MATCH($C730,품목마스터!$A$3:$A$302,0)),""))</f>
        <v/>
      </c>
      <c r="F730" s="12" t="str">
        <f aca="false">IF($C730="","",IFERROR(INDEX(품목마스터!$D$3:$D$302,MATCH($C730,품목마스터!$A$3:$A$302,0)),""))</f>
        <v/>
      </c>
      <c r="G730" s="9"/>
      <c r="H730" s="9"/>
      <c r="I730" s="13" t="str">
        <f aca="false">IF(OR($G730="",$H730=""),"",ROUND($G730*$H730,0))</f>
        <v/>
      </c>
      <c r="J730" s="7"/>
      <c r="K730" s="7"/>
      <c r="L730" s="14" t="str">
        <f aca="false">IF(OR($C730="",$G730=""),"",IF($B730="입고",$G730,IF($B730="출고",-$G730,$G730)))</f>
        <v/>
      </c>
      <c r="M730" s="13" t="str">
        <f aca="false">IF($C730="","",IFERROR(INDEX(품목마스터!$F$3:$F$302,MATCH($C730,품목마스터!$A$3:$A$302,0)),0)+SUMIFS($L$3:$L730,$C$3:$C730,$C730))</f>
        <v/>
      </c>
    </row>
    <row r="731" customFormat="false" ht="15" hidden="false" customHeight="true" outlineLevel="0" collapsed="false">
      <c r="A731" s="11"/>
      <c r="B731" s="7"/>
      <c r="C731" s="7"/>
      <c r="D731" s="12" t="str">
        <f aca="false">IF($C731="","",IFERROR(INDEX(품목마스터!$B$3:$B$302,MATCH($C731,품목마스터!$A$3:$A$302,0)),"미등록품번"))</f>
        <v/>
      </c>
      <c r="E731" s="12" t="str">
        <f aca="false">IF($C731="","",IFERROR(INDEX(품목마스터!$C$3:$C$302,MATCH($C731,품목마스터!$A$3:$A$302,0)),""))</f>
        <v/>
      </c>
      <c r="F731" s="12" t="str">
        <f aca="false">IF($C731="","",IFERROR(INDEX(품목마스터!$D$3:$D$302,MATCH($C731,품목마스터!$A$3:$A$302,0)),""))</f>
        <v/>
      </c>
      <c r="G731" s="9"/>
      <c r="H731" s="9"/>
      <c r="I731" s="13" t="str">
        <f aca="false">IF(OR($G731="",$H731=""),"",ROUND($G731*$H731,0))</f>
        <v/>
      </c>
      <c r="J731" s="7"/>
      <c r="K731" s="7"/>
      <c r="L731" s="14" t="str">
        <f aca="false">IF(OR($C731="",$G731=""),"",IF($B731="입고",$G731,IF($B731="출고",-$G731,$G731)))</f>
        <v/>
      </c>
      <c r="M731" s="13" t="str">
        <f aca="false">IF($C731="","",IFERROR(INDEX(품목마스터!$F$3:$F$302,MATCH($C731,품목마스터!$A$3:$A$302,0)),0)+SUMIFS($L$3:$L731,$C$3:$C731,$C731))</f>
        <v/>
      </c>
    </row>
    <row r="732" customFormat="false" ht="15" hidden="false" customHeight="true" outlineLevel="0" collapsed="false">
      <c r="A732" s="11"/>
      <c r="B732" s="7"/>
      <c r="C732" s="7"/>
      <c r="D732" s="12" t="str">
        <f aca="false">IF($C732="","",IFERROR(INDEX(품목마스터!$B$3:$B$302,MATCH($C732,품목마스터!$A$3:$A$302,0)),"미등록품번"))</f>
        <v/>
      </c>
      <c r="E732" s="12" t="str">
        <f aca="false">IF($C732="","",IFERROR(INDEX(품목마스터!$C$3:$C$302,MATCH($C732,품목마스터!$A$3:$A$302,0)),""))</f>
        <v/>
      </c>
      <c r="F732" s="12" t="str">
        <f aca="false">IF($C732="","",IFERROR(INDEX(품목마스터!$D$3:$D$302,MATCH($C732,품목마스터!$A$3:$A$302,0)),""))</f>
        <v/>
      </c>
      <c r="G732" s="9"/>
      <c r="H732" s="9"/>
      <c r="I732" s="13" t="str">
        <f aca="false">IF(OR($G732="",$H732=""),"",ROUND($G732*$H732,0))</f>
        <v/>
      </c>
      <c r="J732" s="7"/>
      <c r="K732" s="7"/>
      <c r="L732" s="14" t="str">
        <f aca="false">IF(OR($C732="",$G732=""),"",IF($B732="입고",$G732,IF($B732="출고",-$G732,$G732)))</f>
        <v/>
      </c>
      <c r="M732" s="13" t="str">
        <f aca="false">IF($C732="","",IFERROR(INDEX(품목마스터!$F$3:$F$302,MATCH($C732,품목마스터!$A$3:$A$302,0)),0)+SUMIFS($L$3:$L732,$C$3:$C732,$C732))</f>
        <v/>
      </c>
    </row>
    <row r="733" customFormat="false" ht="15" hidden="false" customHeight="true" outlineLevel="0" collapsed="false">
      <c r="A733" s="11"/>
      <c r="B733" s="7"/>
      <c r="C733" s="7"/>
      <c r="D733" s="12" t="str">
        <f aca="false">IF($C733="","",IFERROR(INDEX(품목마스터!$B$3:$B$302,MATCH($C733,품목마스터!$A$3:$A$302,0)),"미등록품번"))</f>
        <v/>
      </c>
      <c r="E733" s="12" t="str">
        <f aca="false">IF($C733="","",IFERROR(INDEX(품목마스터!$C$3:$C$302,MATCH($C733,품목마스터!$A$3:$A$302,0)),""))</f>
        <v/>
      </c>
      <c r="F733" s="12" t="str">
        <f aca="false">IF($C733="","",IFERROR(INDEX(품목마스터!$D$3:$D$302,MATCH($C733,품목마스터!$A$3:$A$302,0)),""))</f>
        <v/>
      </c>
      <c r="G733" s="9"/>
      <c r="H733" s="9"/>
      <c r="I733" s="13" t="str">
        <f aca="false">IF(OR($G733="",$H733=""),"",ROUND($G733*$H733,0))</f>
        <v/>
      </c>
      <c r="J733" s="7"/>
      <c r="K733" s="7"/>
      <c r="L733" s="14" t="str">
        <f aca="false">IF(OR($C733="",$G733=""),"",IF($B733="입고",$G733,IF($B733="출고",-$G733,$G733)))</f>
        <v/>
      </c>
      <c r="M733" s="13" t="str">
        <f aca="false">IF($C733="","",IFERROR(INDEX(품목마스터!$F$3:$F$302,MATCH($C733,품목마스터!$A$3:$A$302,0)),0)+SUMIFS($L$3:$L733,$C$3:$C733,$C733))</f>
        <v/>
      </c>
    </row>
    <row r="734" customFormat="false" ht="15" hidden="false" customHeight="true" outlineLevel="0" collapsed="false">
      <c r="A734" s="11"/>
      <c r="B734" s="7"/>
      <c r="C734" s="7"/>
      <c r="D734" s="12" t="str">
        <f aca="false">IF($C734="","",IFERROR(INDEX(품목마스터!$B$3:$B$302,MATCH($C734,품목마스터!$A$3:$A$302,0)),"미등록품번"))</f>
        <v/>
      </c>
      <c r="E734" s="12" t="str">
        <f aca="false">IF($C734="","",IFERROR(INDEX(품목마스터!$C$3:$C$302,MATCH($C734,품목마스터!$A$3:$A$302,0)),""))</f>
        <v/>
      </c>
      <c r="F734" s="12" t="str">
        <f aca="false">IF($C734="","",IFERROR(INDEX(품목마스터!$D$3:$D$302,MATCH($C734,품목마스터!$A$3:$A$302,0)),""))</f>
        <v/>
      </c>
      <c r="G734" s="9"/>
      <c r="H734" s="9"/>
      <c r="I734" s="13" t="str">
        <f aca="false">IF(OR($G734="",$H734=""),"",ROUND($G734*$H734,0))</f>
        <v/>
      </c>
      <c r="J734" s="7"/>
      <c r="K734" s="7"/>
      <c r="L734" s="14" t="str">
        <f aca="false">IF(OR($C734="",$G734=""),"",IF($B734="입고",$G734,IF($B734="출고",-$G734,$G734)))</f>
        <v/>
      </c>
      <c r="M734" s="13" t="str">
        <f aca="false">IF($C734="","",IFERROR(INDEX(품목마스터!$F$3:$F$302,MATCH($C734,품목마스터!$A$3:$A$302,0)),0)+SUMIFS($L$3:$L734,$C$3:$C734,$C734))</f>
        <v/>
      </c>
    </row>
    <row r="735" customFormat="false" ht="15" hidden="false" customHeight="true" outlineLevel="0" collapsed="false">
      <c r="A735" s="11"/>
      <c r="B735" s="7"/>
      <c r="C735" s="7"/>
      <c r="D735" s="12" t="str">
        <f aca="false">IF($C735="","",IFERROR(INDEX(품목마스터!$B$3:$B$302,MATCH($C735,품목마스터!$A$3:$A$302,0)),"미등록품번"))</f>
        <v/>
      </c>
      <c r="E735" s="12" t="str">
        <f aca="false">IF($C735="","",IFERROR(INDEX(품목마스터!$C$3:$C$302,MATCH($C735,품목마스터!$A$3:$A$302,0)),""))</f>
        <v/>
      </c>
      <c r="F735" s="12" t="str">
        <f aca="false">IF($C735="","",IFERROR(INDEX(품목마스터!$D$3:$D$302,MATCH($C735,품목마스터!$A$3:$A$302,0)),""))</f>
        <v/>
      </c>
      <c r="G735" s="9"/>
      <c r="H735" s="9"/>
      <c r="I735" s="13" t="str">
        <f aca="false">IF(OR($G735="",$H735=""),"",ROUND($G735*$H735,0))</f>
        <v/>
      </c>
      <c r="J735" s="7"/>
      <c r="K735" s="7"/>
      <c r="L735" s="14" t="str">
        <f aca="false">IF(OR($C735="",$G735=""),"",IF($B735="입고",$G735,IF($B735="출고",-$G735,$G735)))</f>
        <v/>
      </c>
      <c r="M735" s="13" t="str">
        <f aca="false">IF($C735="","",IFERROR(INDEX(품목마스터!$F$3:$F$302,MATCH($C735,품목마스터!$A$3:$A$302,0)),0)+SUMIFS($L$3:$L735,$C$3:$C735,$C735))</f>
        <v/>
      </c>
    </row>
    <row r="736" customFormat="false" ht="15" hidden="false" customHeight="true" outlineLevel="0" collapsed="false">
      <c r="A736" s="11"/>
      <c r="B736" s="7"/>
      <c r="C736" s="7"/>
      <c r="D736" s="12" t="str">
        <f aca="false">IF($C736="","",IFERROR(INDEX(품목마스터!$B$3:$B$302,MATCH($C736,품목마스터!$A$3:$A$302,0)),"미등록품번"))</f>
        <v/>
      </c>
      <c r="E736" s="12" t="str">
        <f aca="false">IF($C736="","",IFERROR(INDEX(품목마스터!$C$3:$C$302,MATCH($C736,품목마스터!$A$3:$A$302,0)),""))</f>
        <v/>
      </c>
      <c r="F736" s="12" t="str">
        <f aca="false">IF($C736="","",IFERROR(INDEX(품목마스터!$D$3:$D$302,MATCH($C736,품목마스터!$A$3:$A$302,0)),""))</f>
        <v/>
      </c>
      <c r="G736" s="9"/>
      <c r="H736" s="9"/>
      <c r="I736" s="13" t="str">
        <f aca="false">IF(OR($G736="",$H736=""),"",ROUND($G736*$H736,0))</f>
        <v/>
      </c>
      <c r="J736" s="7"/>
      <c r="K736" s="7"/>
      <c r="L736" s="14" t="str">
        <f aca="false">IF(OR($C736="",$G736=""),"",IF($B736="입고",$G736,IF($B736="출고",-$G736,$G736)))</f>
        <v/>
      </c>
      <c r="M736" s="13" t="str">
        <f aca="false">IF($C736="","",IFERROR(INDEX(품목마스터!$F$3:$F$302,MATCH($C736,품목마스터!$A$3:$A$302,0)),0)+SUMIFS($L$3:$L736,$C$3:$C736,$C736))</f>
        <v/>
      </c>
    </row>
    <row r="737" customFormat="false" ht="15" hidden="false" customHeight="true" outlineLevel="0" collapsed="false">
      <c r="A737" s="11"/>
      <c r="B737" s="7"/>
      <c r="C737" s="7"/>
      <c r="D737" s="12" t="str">
        <f aca="false">IF($C737="","",IFERROR(INDEX(품목마스터!$B$3:$B$302,MATCH($C737,품목마스터!$A$3:$A$302,0)),"미등록품번"))</f>
        <v/>
      </c>
      <c r="E737" s="12" t="str">
        <f aca="false">IF($C737="","",IFERROR(INDEX(품목마스터!$C$3:$C$302,MATCH($C737,품목마스터!$A$3:$A$302,0)),""))</f>
        <v/>
      </c>
      <c r="F737" s="12" t="str">
        <f aca="false">IF($C737="","",IFERROR(INDEX(품목마스터!$D$3:$D$302,MATCH($C737,품목마스터!$A$3:$A$302,0)),""))</f>
        <v/>
      </c>
      <c r="G737" s="9"/>
      <c r="H737" s="9"/>
      <c r="I737" s="13" t="str">
        <f aca="false">IF(OR($G737="",$H737=""),"",ROUND($G737*$H737,0))</f>
        <v/>
      </c>
      <c r="J737" s="7"/>
      <c r="K737" s="7"/>
      <c r="L737" s="14" t="str">
        <f aca="false">IF(OR($C737="",$G737=""),"",IF($B737="입고",$G737,IF($B737="출고",-$G737,$G737)))</f>
        <v/>
      </c>
      <c r="M737" s="13" t="str">
        <f aca="false">IF($C737="","",IFERROR(INDEX(품목마스터!$F$3:$F$302,MATCH($C737,품목마스터!$A$3:$A$302,0)),0)+SUMIFS($L$3:$L737,$C$3:$C737,$C737))</f>
        <v/>
      </c>
    </row>
    <row r="738" customFormat="false" ht="15" hidden="false" customHeight="true" outlineLevel="0" collapsed="false">
      <c r="A738" s="11"/>
      <c r="B738" s="7"/>
      <c r="C738" s="7"/>
      <c r="D738" s="12" t="str">
        <f aca="false">IF($C738="","",IFERROR(INDEX(품목마스터!$B$3:$B$302,MATCH($C738,품목마스터!$A$3:$A$302,0)),"미등록품번"))</f>
        <v/>
      </c>
      <c r="E738" s="12" t="str">
        <f aca="false">IF($C738="","",IFERROR(INDEX(품목마스터!$C$3:$C$302,MATCH($C738,품목마스터!$A$3:$A$302,0)),""))</f>
        <v/>
      </c>
      <c r="F738" s="12" t="str">
        <f aca="false">IF($C738="","",IFERROR(INDEX(품목마스터!$D$3:$D$302,MATCH($C738,품목마스터!$A$3:$A$302,0)),""))</f>
        <v/>
      </c>
      <c r="G738" s="9"/>
      <c r="H738" s="9"/>
      <c r="I738" s="13" t="str">
        <f aca="false">IF(OR($G738="",$H738=""),"",ROUND($G738*$H738,0))</f>
        <v/>
      </c>
      <c r="J738" s="7"/>
      <c r="K738" s="7"/>
      <c r="L738" s="14" t="str">
        <f aca="false">IF(OR($C738="",$G738=""),"",IF($B738="입고",$G738,IF($B738="출고",-$G738,$G738)))</f>
        <v/>
      </c>
      <c r="M738" s="13" t="str">
        <f aca="false">IF($C738="","",IFERROR(INDEX(품목마스터!$F$3:$F$302,MATCH($C738,품목마스터!$A$3:$A$302,0)),0)+SUMIFS($L$3:$L738,$C$3:$C738,$C738))</f>
        <v/>
      </c>
    </row>
    <row r="739" customFormat="false" ht="15" hidden="false" customHeight="true" outlineLevel="0" collapsed="false">
      <c r="A739" s="11"/>
      <c r="B739" s="7"/>
      <c r="C739" s="7"/>
      <c r="D739" s="12" t="str">
        <f aca="false">IF($C739="","",IFERROR(INDEX(품목마스터!$B$3:$B$302,MATCH($C739,품목마스터!$A$3:$A$302,0)),"미등록품번"))</f>
        <v/>
      </c>
      <c r="E739" s="12" t="str">
        <f aca="false">IF($C739="","",IFERROR(INDEX(품목마스터!$C$3:$C$302,MATCH($C739,품목마스터!$A$3:$A$302,0)),""))</f>
        <v/>
      </c>
      <c r="F739" s="12" t="str">
        <f aca="false">IF($C739="","",IFERROR(INDEX(품목마스터!$D$3:$D$302,MATCH($C739,품목마스터!$A$3:$A$302,0)),""))</f>
        <v/>
      </c>
      <c r="G739" s="9"/>
      <c r="H739" s="9"/>
      <c r="I739" s="13" t="str">
        <f aca="false">IF(OR($G739="",$H739=""),"",ROUND($G739*$H739,0))</f>
        <v/>
      </c>
      <c r="J739" s="7"/>
      <c r="K739" s="7"/>
      <c r="L739" s="14" t="str">
        <f aca="false">IF(OR($C739="",$G739=""),"",IF($B739="입고",$G739,IF($B739="출고",-$G739,$G739)))</f>
        <v/>
      </c>
      <c r="M739" s="13" t="str">
        <f aca="false">IF($C739="","",IFERROR(INDEX(품목마스터!$F$3:$F$302,MATCH($C739,품목마스터!$A$3:$A$302,0)),0)+SUMIFS($L$3:$L739,$C$3:$C739,$C739))</f>
        <v/>
      </c>
    </row>
    <row r="740" customFormat="false" ht="15" hidden="false" customHeight="true" outlineLevel="0" collapsed="false">
      <c r="A740" s="11"/>
      <c r="B740" s="7"/>
      <c r="C740" s="7"/>
      <c r="D740" s="12" t="str">
        <f aca="false">IF($C740="","",IFERROR(INDEX(품목마스터!$B$3:$B$302,MATCH($C740,품목마스터!$A$3:$A$302,0)),"미등록품번"))</f>
        <v/>
      </c>
      <c r="E740" s="12" t="str">
        <f aca="false">IF($C740="","",IFERROR(INDEX(품목마스터!$C$3:$C$302,MATCH($C740,품목마스터!$A$3:$A$302,0)),""))</f>
        <v/>
      </c>
      <c r="F740" s="12" t="str">
        <f aca="false">IF($C740="","",IFERROR(INDEX(품목마스터!$D$3:$D$302,MATCH($C740,품목마스터!$A$3:$A$302,0)),""))</f>
        <v/>
      </c>
      <c r="G740" s="9"/>
      <c r="H740" s="9"/>
      <c r="I740" s="13" t="str">
        <f aca="false">IF(OR($G740="",$H740=""),"",ROUND($G740*$H740,0))</f>
        <v/>
      </c>
      <c r="J740" s="7"/>
      <c r="K740" s="7"/>
      <c r="L740" s="14" t="str">
        <f aca="false">IF(OR($C740="",$G740=""),"",IF($B740="입고",$G740,IF($B740="출고",-$G740,$G740)))</f>
        <v/>
      </c>
      <c r="M740" s="13" t="str">
        <f aca="false">IF($C740="","",IFERROR(INDEX(품목마스터!$F$3:$F$302,MATCH($C740,품목마스터!$A$3:$A$302,0)),0)+SUMIFS($L$3:$L740,$C$3:$C740,$C740))</f>
        <v/>
      </c>
    </row>
    <row r="741" customFormat="false" ht="15" hidden="false" customHeight="true" outlineLevel="0" collapsed="false">
      <c r="A741" s="11"/>
      <c r="B741" s="7"/>
      <c r="C741" s="7"/>
      <c r="D741" s="12" t="str">
        <f aca="false">IF($C741="","",IFERROR(INDEX(품목마스터!$B$3:$B$302,MATCH($C741,품목마스터!$A$3:$A$302,0)),"미등록품번"))</f>
        <v/>
      </c>
      <c r="E741" s="12" t="str">
        <f aca="false">IF($C741="","",IFERROR(INDEX(품목마스터!$C$3:$C$302,MATCH($C741,품목마스터!$A$3:$A$302,0)),""))</f>
        <v/>
      </c>
      <c r="F741" s="12" t="str">
        <f aca="false">IF($C741="","",IFERROR(INDEX(품목마스터!$D$3:$D$302,MATCH($C741,품목마스터!$A$3:$A$302,0)),""))</f>
        <v/>
      </c>
      <c r="G741" s="9"/>
      <c r="H741" s="9"/>
      <c r="I741" s="13" t="str">
        <f aca="false">IF(OR($G741="",$H741=""),"",ROUND($G741*$H741,0))</f>
        <v/>
      </c>
      <c r="J741" s="7"/>
      <c r="K741" s="7"/>
      <c r="L741" s="14" t="str">
        <f aca="false">IF(OR($C741="",$G741=""),"",IF($B741="입고",$G741,IF($B741="출고",-$G741,$G741)))</f>
        <v/>
      </c>
      <c r="M741" s="13" t="str">
        <f aca="false">IF($C741="","",IFERROR(INDEX(품목마스터!$F$3:$F$302,MATCH($C741,품목마스터!$A$3:$A$302,0)),0)+SUMIFS($L$3:$L741,$C$3:$C741,$C741))</f>
        <v/>
      </c>
    </row>
    <row r="742" customFormat="false" ht="15" hidden="false" customHeight="true" outlineLevel="0" collapsed="false">
      <c r="A742" s="11"/>
      <c r="B742" s="7"/>
      <c r="C742" s="7"/>
      <c r="D742" s="12" t="str">
        <f aca="false">IF($C742="","",IFERROR(INDEX(품목마스터!$B$3:$B$302,MATCH($C742,품목마스터!$A$3:$A$302,0)),"미등록품번"))</f>
        <v/>
      </c>
      <c r="E742" s="12" t="str">
        <f aca="false">IF($C742="","",IFERROR(INDEX(품목마스터!$C$3:$C$302,MATCH($C742,품목마스터!$A$3:$A$302,0)),""))</f>
        <v/>
      </c>
      <c r="F742" s="12" t="str">
        <f aca="false">IF($C742="","",IFERROR(INDEX(품목마스터!$D$3:$D$302,MATCH($C742,품목마스터!$A$3:$A$302,0)),""))</f>
        <v/>
      </c>
      <c r="G742" s="9"/>
      <c r="H742" s="9"/>
      <c r="I742" s="13" t="str">
        <f aca="false">IF(OR($G742="",$H742=""),"",ROUND($G742*$H742,0))</f>
        <v/>
      </c>
      <c r="J742" s="7"/>
      <c r="K742" s="7"/>
      <c r="L742" s="14" t="str">
        <f aca="false">IF(OR($C742="",$G742=""),"",IF($B742="입고",$G742,IF($B742="출고",-$G742,$G742)))</f>
        <v/>
      </c>
      <c r="M742" s="13" t="str">
        <f aca="false">IF($C742="","",IFERROR(INDEX(품목마스터!$F$3:$F$302,MATCH($C742,품목마스터!$A$3:$A$302,0)),0)+SUMIFS($L$3:$L742,$C$3:$C742,$C742))</f>
        <v/>
      </c>
    </row>
    <row r="743" customFormat="false" ht="15" hidden="false" customHeight="true" outlineLevel="0" collapsed="false">
      <c r="A743" s="11"/>
      <c r="B743" s="7"/>
      <c r="C743" s="7"/>
      <c r="D743" s="12" t="str">
        <f aca="false">IF($C743="","",IFERROR(INDEX(품목마스터!$B$3:$B$302,MATCH($C743,품목마스터!$A$3:$A$302,0)),"미등록품번"))</f>
        <v/>
      </c>
      <c r="E743" s="12" t="str">
        <f aca="false">IF($C743="","",IFERROR(INDEX(품목마스터!$C$3:$C$302,MATCH($C743,품목마스터!$A$3:$A$302,0)),""))</f>
        <v/>
      </c>
      <c r="F743" s="12" t="str">
        <f aca="false">IF($C743="","",IFERROR(INDEX(품목마스터!$D$3:$D$302,MATCH($C743,품목마스터!$A$3:$A$302,0)),""))</f>
        <v/>
      </c>
      <c r="G743" s="9"/>
      <c r="H743" s="9"/>
      <c r="I743" s="13" t="str">
        <f aca="false">IF(OR($G743="",$H743=""),"",ROUND($G743*$H743,0))</f>
        <v/>
      </c>
      <c r="J743" s="7"/>
      <c r="K743" s="7"/>
      <c r="L743" s="14" t="str">
        <f aca="false">IF(OR($C743="",$G743=""),"",IF($B743="입고",$G743,IF($B743="출고",-$G743,$G743)))</f>
        <v/>
      </c>
      <c r="M743" s="13" t="str">
        <f aca="false">IF($C743="","",IFERROR(INDEX(품목마스터!$F$3:$F$302,MATCH($C743,품목마스터!$A$3:$A$302,0)),0)+SUMIFS($L$3:$L743,$C$3:$C743,$C743))</f>
        <v/>
      </c>
    </row>
    <row r="744" customFormat="false" ht="15" hidden="false" customHeight="true" outlineLevel="0" collapsed="false">
      <c r="A744" s="11"/>
      <c r="B744" s="7"/>
      <c r="C744" s="7"/>
      <c r="D744" s="12" t="str">
        <f aca="false">IF($C744="","",IFERROR(INDEX(품목마스터!$B$3:$B$302,MATCH($C744,품목마스터!$A$3:$A$302,0)),"미등록품번"))</f>
        <v/>
      </c>
      <c r="E744" s="12" t="str">
        <f aca="false">IF($C744="","",IFERROR(INDEX(품목마스터!$C$3:$C$302,MATCH($C744,품목마스터!$A$3:$A$302,0)),""))</f>
        <v/>
      </c>
      <c r="F744" s="12" t="str">
        <f aca="false">IF($C744="","",IFERROR(INDEX(품목마스터!$D$3:$D$302,MATCH($C744,품목마스터!$A$3:$A$302,0)),""))</f>
        <v/>
      </c>
      <c r="G744" s="9"/>
      <c r="H744" s="9"/>
      <c r="I744" s="13" t="str">
        <f aca="false">IF(OR($G744="",$H744=""),"",ROUND($G744*$H744,0))</f>
        <v/>
      </c>
      <c r="J744" s="7"/>
      <c r="K744" s="7"/>
      <c r="L744" s="14" t="str">
        <f aca="false">IF(OR($C744="",$G744=""),"",IF($B744="입고",$G744,IF($B744="출고",-$G744,$G744)))</f>
        <v/>
      </c>
      <c r="M744" s="13" t="str">
        <f aca="false">IF($C744="","",IFERROR(INDEX(품목마스터!$F$3:$F$302,MATCH($C744,품목마스터!$A$3:$A$302,0)),0)+SUMIFS($L$3:$L744,$C$3:$C744,$C744))</f>
        <v/>
      </c>
    </row>
    <row r="745" customFormat="false" ht="15" hidden="false" customHeight="true" outlineLevel="0" collapsed="false">
      <c r="A745" s="11"/>
      <c r="B745" s="7"/>
      <c r="C745" s="7"/>
      <c r="D745" s="12" t="str">
        <f aca="false">IF($C745="","",IFERROR(INDEX(품목마스터!$B$3:$B$302,MATCH($C745,품목마스터!$A$3:$A$302,0)),"미등록품번"))</f>
        <v/>
      </c>
      <c r="E745" s="12" t="str">
        <f aca="false">IF($C745="","",IFERROR(INDEX(품목마스터!$C$3:$C$302,MATCH($C745,품목마스터!$A$3:$A$302,0)),""))</f>
        <v/>
      </c>
      <c r="F745" s="12" t="str">
        <f aca="false">IF($C745="","",IFERROR(INDEX(품목마스터!$D$3:$D$302,MATCH($C745,품목마스터!$A$3:$A$302,0)),""))</f>
        <v/>
      </c>
      <c r="G745" s="9"/>
      <c r="H745" s="9"/>
      <c r="I745" s="13" t="str">
        <f aca="false">IF(OR($G745="",$H745=""),"",ROUND($G745*$H745,0))</f>
        <v/>
      </c>
      <c r="J745" s="7"/>
      <c r="K745" s="7"/>
      <c r="L745" s="14" t="str">
        <f aca="false">IF(OR($C745="",$G745=""),"",IF($B745="입고",$G745,IF($B745="출고",-$G745,$G745)))</f>
        <v/>
      </c>
      <c r="M745" s="13" t="str">
        <f aca="false">IF($C745="","",IFERROR(INDEX(품목마스터!$F$3:$F$302,MATCH($C745,품목마스터!$A$3:$A$302,0)),0)+SUMIFS($L$3:$L745,$C$3:$C745,$C745))</f>
        <v/>
      </c>
    </row>
    <row r="746" customFormat="false" ht="15" hidden="false" customHeight="true" outlineLevel="0" collapsed="false">
      <c r="A746" s="11"/>
      <c r="B746" s="7"/>
      <c r="C746" s="7"/>
      <c r="D746" s="12" t="str">
        <f aca="false">IF($C746="","",IFERROR(INDEX(품목마스터!$B$3:$B$302,MATCH($C746,품목마스터!$A$3:$A$302,0)),"미등록품번"))</f>
        <v/>
      </c>
      <c r="E746" s="12" t="str">
        <f aca="false">IF($C746="","",IFERROR(INDEX(품목마스터!$C$3:$C$302,MATCH($C746,품목마스터!$A$3:$A$302,0)),""))</f>
        <v/>
      </c>
      <c r="F746" s="12" t="str">
        <f aca="false">IF($C746="","",IFERROR(INDEX(품목마스터!$D$3:$D$302,MATCH($C746,품목마스터!$A$3:$A$302,0)),""))</f>
        <v/>
      </c>
      <c r="G746" s="9"/>
      <c r="H746" s="9"/>
      <c r="I746" s="13" t="str">
        <f aca="false">IF(OR($G746="",$H746=""),"",ROUND($G746*$H746,0))</f>
        <v/>
      </c>
      <c r="J746" s="7"/>
      <c r="K746" s="7"/>
      <c r="L746" s="14" t="str">
        <f aca="false">IF(OR($C746="",$G746=""),"",IF($B746="입고",$G746,IF($B746="출고",-$G746,$G746)))</f>
        <v/>
      </c>
      <c r="M746" s="13" t="str">
        <f aca="false">IF($C746="","",IFERROR(INDEX(품목마스터!$F$3:$F$302,MATCH($C746,품목마스터!$A$3:$A$302,0)),0)+SUMIFS($L$3:$L746,$C$3:$C746,$C746))</f>
        <v/>
      </c>
    </row>
    <row r="747" customFormat="false" ht="15" hidden="false" customHeight="true" outlineLevel="0" collapsed="false">
      <c r="A747" s="11"/>
      <c r="B747" s="7"/>
      <c r="C747" s="7"/>
      <c r="D747" s="12" t="str">
        <f aca="false">IF($C747="","",IFERROR(INDEX(품목마스터!$B$3:$B$302,MATCH($C747,품목마스터!$A$3:$A$302,0)),"미등록품번"))</f>
        <v/>
      </c>
      <c r="E747" s="12" t="str">
        <f aca="false">IF($C747="","",IFERROR(INDEX(품목마스터!$C$3:$C$302,MATCH($C747,품목마스터!$A$3:$A$302,0)),""))</f>
        <v/>
      </c>
      <c r="F747" s="12" t="str">
        <f aca="false">IF($C747="","",IFERROR(INDEX(품목마스터!$D$3:$D$302,MATCH($C747,품목마스터!$A$3:$A$302,0)),""))</f>
        <v/>
      </c>
      <c r="G747" s="9"/>
      <c r="H747" s="9"/>
      <c r="I747" s="13" t="str">
        <f aca="false">IF(OR($G747="",$H747=""),"",ROUND($G747*$H747,0))</f>
        <v/>
      </c>
      <c r="J747" s="7"/>
      <c r="K747" s="7"/>
      <c r="L747" s="14" t="str">
        <f aca="false">IF(OR($C747="",$G747=""),"",IF($B747="입고",$G747,IF($B747="출고",-$G747,$G747)))</f>
        <v/>
      </c>
      <c r="M747" s="13" t="str">
        <f aca="false">IF($C747="","",IFERROR(INDEX(품목마스터!$F$3:$F$302,MATCH($C747,품목마스터!$A$3:$A$302,0)),0)+SUMIFS($L$3:$L747,$C$3:$C747,$C747))</f>
        <v/>
      </c>
    </row>
    <row r="748" customFormat="false" ht="15" hidden="false" customHeight="true" outlineLevel="0" collapsed="false">
      <c r="A748" s="11"/>
      <c r="B748" s="7"/>
      <c r="C748" s="7"/>
      <c r="D748" s="12" t="str">
        <f aca="false">IF($C748="","",IFERROR(INDEX(품목마스터!$B$3:$B$302,MATCH($C748,품목마스터!$A$3:$A$302,0)),"미등록품번"))</f>
        <v/>
      </c>
      <c r="E748" s="12" t="str">
        <f aca="false">IF($C748="","",IFERROR(INDEX(품목마스터!$C$3:$C$302,MATCH($C748,품목마스터!$A$3:$A$302,0)),""))</f>
        <v/>
      </c>
      <c r="F748" s="12" t="str">
        <f aca="false">IF($C748="","",IFERROR(INDEX(품목마스터!$D$3:$D$302,MATCH($C748,품목마스터!$A$3:$A$302,0)),""))</f>
        <v/>
      </c>
      <c r="G748" s="9"/>
      <c r="H748" s="9"/>
      <c r="I748" s="13" t="str">
        <f aca="false">IF(OR($G748="",$H748=""),"",ROUND($G748*$H748,0))</f>
        <v/>
      </c>
      <c r="J748" s="7"/>
      <c r="K748" s="7"/>
      <c r="L748" s="14" t="str">
        <f aca="false">IF(OR($C748="",$G748=""),"",IF($B748="입고",$G748,IF($B748="출고",-$G748,$G748)))</f>
        <v/>
      </c>
      <c r="M748" s="13" t="str">
        <f aca="false">IF($C748="","",IFERROR(INDEX(품목마스터!$F$3:$F$302,MATCH($C748,품목마스터!$A$3:$A$302,0)),0)+SUMIFS($L$3:$L748,$C$3:$C748,$C748))</f>
        <v/>
      </c>
    </row>
    <row r="749" customFormat="false" ht="15" hidden="false" customHeight="true" outlineLevel="0" collapsed="false">
      <c r="A749" s="11"/>
      <c r="B749" s="7"/>
      <c r="C749" s="7"/>
      <c r="D749" s="12" t="str">
        <f aca="false">IF($C749="","",IFERROR(INDEX(품목마스터!$B$3:$B$302,MATCH($C749,품목마스터!$A$3:$A$302,0)),"미등록품번"))</f>
        <v/>
      </c>
      <c r="E749" s="12" t="str">
        <f aca="false">IF($C749="","",IFERROR(INDEX(품목마스터!$C$3:$C$302,MATCH($C749,품목마스터!$A$3:$A$302,0)),""))</f>
        <v/>
      </c>
      <c r="F749" s="12" t="str">
        <f aca="false">IF($C749="","",IFERROR(INDEX(품목마스터!$D$3:$D$302,MATCH($C749,품목마스터!$A$3:$A$302,0)),""))</f>
        <v/>
      </c>
      <c r="G749" s="9"/>
      <c r="H749" s="9"/>
      <c r="I749" s="13" t="str">
        <f aca="false">IF(OR($G749="",$H749=""),"",ROUND($G749*$H749,0))</f>
        <v/>
      </c>
      <c r="J749" s="7"/>
      <c r="K749" s="7"/>
      <c r="L749" s="14" t="str">
        <f aca="false">IF(OR($C749="",$G749=""),"",IF($B749="입고",$G749,IF($B749="출고",-$G749,$G749)))</f>
        <v/>
      </c>
      <c r="M749" s="13" t="str">
        <f aca="false">IF($C749="","",IFERROR(INDEX(품목마스터!$F$3:$F$302,MATCH($C749,품목마스터!$A$3:$A$302,0)),0)+SUMIFS($L$3:$L749,$C$3:$C749,$C749))</f>
        <v/>
      </c>
    </row>
    <row r="750" customFormat="false" ht="15" hidden="false" customHeight="true" outlineLevel="0" collapsed="false">
      <c r="A750" s="11"/>
      <c r="B750" s="7"/>
      <c r="C750" s="7"/>
      <c r="D750" s="12" t="str">
        <f aca="false">IF($C750="","",IFERROR(INDEX(품목마스터!$B$3:$B$302,MATCH($C750,품목마스터!$A$3:$A$302,0)),"미등록품번"))</f>
        <v/>
      </c>
      <c r="E750" s="12" t="str">
        <f aca="false">IF($C750="","",IFERROR(INDEX(품목마스터!$C$3:$C$302,MATCH($C750,품목마스터!$A$3:$A$302,0)),""))</f>
        <v/>
      </c>
      <c r="F750" s="12" t="str">
        <f aca="false">IF($C750="","",IFERROR(INDEX(품목마스터!$D$3:$D$302,MATCH($C750,품목마스터!$A$3:$A$302,0)),""))</f>
        <v/>
      </c>
      <c r="G750" s="9"/>
      <c r="H750" s="9"/>
      <c r="I750" s="13" t="str">
        <f aca="false">IF(OR($G750="",$H750=""),"",ROUND($G750*$H750,0))</f>
        <v/>
      </c>
      <c r="J750" s="7"/>
      <c r="K750" s="7"/>
      <c r="L750" s="14" t="str">
        <f aca="false">IF(OR($C750="",$G750=""),"",IF($B750="입고",$G750,IF($B750="출고",-$G750,$G750)))</f>
        <v/>
      </c>
      <c r="M750" s="13" t="str">
        <f aca="false">IF($C750="","",IFERROR(INDEX(품목마스터!$F$3:$F$302,MATCH($C750,품목마스터!$A$3:$A$302,0)),0)+SUMIFS($L$3:$L750,$C$3:$C750,$C750))</f>
        <v/>
      </c>
    </row>
    <row r="751" customFormat="false" ht="15" hidden="false" customHeight="true" outlineLevel="0" collapsed="false">
      <c r="A751" s="11"/>
      <c r="B751" s="7"/>
      <c r="C751" s="7"/>
      <c r="D751" s="12" t="str">
        <f aca="false">IF($C751="","",IFERROR(INDEX(품목마스터!$B$3:$B$302,MATCH($C751,품목마스터!$A$3:$A$302,0)),"미등록품번"))</f>
        <v/>
      </c>
      <c r="E751" s="12" t="str">
        <f aca="false">IF($C751="","",IFERROR(INDEX(품목마스터!$C$3:$C$302,MATCH($C751,품목마스터!$A$3:$A$302,0)),""))</f>
        <v/>
      </c>
      <c r="F751" s="12" t="str">
        <f aca="false">IF($C751="","",IFERROR(INDEX(품목마스터!$D$3:$D$302,MATCH($C751,품목마스터!$A$3:$A$302,0)),""))</f>
        <v/>
      </c>
      <c r="G751" s="9"/>
      <c r="H751" s="9"/>
      <c r="I751" s="13" t="str">
        <f aca="false">IF(OR($G751="",$H751=""),"",ROUND($G751*$H751,0))</f>
        <v/>
      </c>
      <c r="J751" s="7"/>
      <c r="K751" s="7"/>
      <c r="L751" s="14" t="str">
        <f aca="false">IF(OR($C751="",$G751=""),"",IF($B751="입고",$G751,IF($B751="출고",-$G751,$G751)))</f>
        <v/>
      </c>
      <c r="M751" s="13" t="str">
        <f aca="false">IF($C751="","",IFERROR(INDEX(품목마스터!$F$3:$F$302,MATCH($C751,품목마스터!$A$3:$A$302,0)),0)+SUMIFS($L$3:$L751,$C$3:$C751,$C751))</f>
        <v/>
      </c>
    </row>
    <row r="752" customFormat="false" ht="15" hidden="false" customHeight="true" outlineLevel="0" collapsed="false">
      <c r="A752" s="11"/>
      <c r="B752" s="7"/>
      <c r="C752" s="7"/>
      <c r="D752" s="12" t="str">
        <f aca="false">IF($C752="","",IFERROR(INDEX(품목마스터!$B$3:$B$302,MATCH($C752,품목마스터!$A$3:$A$302,0)),"미등록품번"))</f>
        <v/>
      </c>
      <c r="E752" s="12" t="str">
        <f aca="false">IF($C752="","",IFERROR(INDEX(품목마스터!$C$3:$C$302,MATCH($C752,품목마스터!$A$3:$A$302,0)),""))</f>
        <v/>
      </c>
      <c r="F752" s="12" t="str">
        <f aca="false">IF($C752="","",IFERROR(INDEX(품목마스터!$D$3:$D$302,MATCH($C752,품목마스터!$A$3:$A$302,0)),""))</f>
        <v/>
      </c>
      <c r="G752" s="9"/>
      <c r="H752" s="9"/>
      <c r="I752" s="13" t="str">
        <f aca="false">IF(OR($G752="",$H752=""),"",ROUND($G752*$H752,0))</f>
        <v/>
      </c>
      <c r="J752" s="7"/>
      <c r="K752" s="7"/>
      <c r="L752" s="14" t="str">
        <f aca="false">IF(OR($C752="",$G752=""),"",IF($B752="입고",$G752,IF($B752="출고",-$G752,$G752)))</f>
        <v/>
      </c>
      <c r="M752" s="13" t="str">
        <f aca="false">IF($C752="","",IFERROR(INDEX(품목마스터!$F$3:$F$302,MATCH($C752,품목마스터!$A$3:$A$302,0)),0)+SUMIFS($L$3:$L752,$C$3:$C752,$C752))</f>
        <v/>
      </c>
    </row>
    <row r="753" customFormat="false" ht="15" hidden="false" customHeight="true" outlineLevel="0" collapsed="false">
      <c r="A753" s="11"/>
      <c r="B753" s="7"/>
      <c r="C753" s="7"/>
      <c r="D753" s="12" t="str">
        <f aca="false">IF($C753="","",IFERROR(INDEX(품목마스터!$B$3:$B$302,MATCH($C753,품목마스터!$A$3:$A$302,0)),"미등록품번"))</f>
        <v/>
      </c>
      <c r="E753" s="12" t="str">
        <f aca="false">IF($C753="","",IFERROR(INDEX(품목마스터!$C$3:$C$302,MATCH($C753,품목마스터!$A$3:$A$302,0)),""))</f>
        <v/>
      </c>
      <c r="F753" s="12" t="str">
        <f aca="false">IF($C753="","",IFERROR(INDEX(품목마스터!$D$3:$D$302,MATCH($C753,품목마스터!$A$3:$A$302,0)),""))</f>
        <v/>
      </c>
      <c r="G753" s="9"/>
      <c r="H753" s="9"/>
      <c r="I753" s="13" t="str">
        <f aca="false">IF(OR($G753="",$H753=""),"",ROUND($G753*$H753,0))</f>
        <v/>
      </c>
      <c r="J753" s="7"/>
      <c r="K753" s="7"/>
      <c r="L753" s="14" t="str">
        <f aca="false">IF(OR($C753="",$G753=""),"",IF($B753="입고",$G753,IF($B753="출고",-$G753,$G753)))</f>
        <v/>
      </c>
      <c r="M753" s="13" t="str">
        <f aca="false">IF($C753="","",IFERROR(INDEX(품목마스터!$F$3:$F$302,MATCH($C753,품목마스터!$A$3:$A$302,0)),0)+SUMIFS($L$3:$L753,$C$3:$C753,$C753))</f>
        <v/>
      </c>
    </row>
    <row r="754" customFormat="false" ht="15" hidden="false" customHeight="true" outlineLevel="0" collapsed="false">
      <c r="A754" s="11"/>
      <c r="B754" s="7"/>
      <c r="C754" s="7"/>
      <c r="D754" s="12" t="str">
        <f aca="false">IF($C754="","",IFERROR(INDEX(품목마스터!$B$3:$B$302,MATCH($C754,품목마스터!$A$3:$A$302,0)),"미등록품번"))</f>
        <v/>
      </c>
      <c r="E754" s="12" t="str">
        <f aca="false">IF($C754="","",IFERROR(INDEX(품목마스터!$C$3:$C$302,MATCH($C754,품목마스터!$A$3:$A$302,0)),""))</f>
        <v/>
      </c>
      <c r="F754" s="12" t="str">
        <f aca="false">IF($C754="","",IFERROR(INDEX(품목마스터!$D$3:$D$302,MATCH($C754,품목마스터!$A$3:$A$302,0)),""))</f>
        <v/>
      </c>
      <c r="G754" s="9"/>
      <c r="H754" s="9"/>
      <c r="I754" s="13" t="str">
        <f aca="false">IF(OR($G754="",$H754=""),"",ROUND($G754*$H754,0))</f>
        <v/>
      </c>
      <c r="J754" s="7"/>
      <c r="K754" s="7"/>
      <c r="L754" s="14" t="str">
        <f aca="false">IF(OR($C754="",$G754=""),"",IF($B754="입고",$G754,IF($B754="출고",-$G754,$G754)))</f>
        <v/>
      </c>
      <c r="M754" s="13" t="str">
        <f aca="false">IF($C754="","",IFERROR(INDEX(품목마스터!$F$3:$F$302,MATCH($C754,품목마스터!$A$3:$A$302,0)),0)+SUMIFS($L$3:$L754,$C$3:$C754,$C754))</f>
        <v/>
      </c>
    </row>
    <row r="755" customFormat="false" ht="15" hidden="false" customHeight="true" outlineLevel="0" collapsed="false">
      <c r="A755" s="11"/>
      <c r="B755" s="7"/>
      <c r="C755" s="7"/>
      <c r="D755" s="12" t="str">
        <f aca="false">IF($C755="","",IFERROR(INDEX(품목마스터!$B$3:$B$302,MATCH($C755,품목마스터!$A$3:$A$302,0)),"미등록품번"))</f>
        <v/>
      </c>
      <c r="E755" s="12" t="str">
        <f aca="false">IF($C755="","",IFERROR(INDEX(품목마스터!$C$3:$C$302,MATCH($C755,품목마스터!$A$3:$A$302,0)),""))</f>
        <v/>
      </c>
      <c r="F755" s="12" t="str">
        <f aca="false">IF($C755="","",IFERROR(INDEX(품목마스터!$D$3:$D$302,MATCH($C755,품목마스터!$A$3:$A$302,0)),""))</f>
        <v/>
      </c>
      <c r="G755" s="9"/>
      <c r="H755" s="9"/>
      <c r="I755" s="13" t="str">
        <f aca="false">IF(OR($G755="",$H755=""),"",ROUND($G755*$H755,0))</f>
        <v/>
      </c>
      <c r="J755" s="7"/>
      <c r="K755" s="7"/>
      <c r="L755" s="14" t="str">
        <f aca="false">IF(OR($C755="",$G755=""),"",IF($B755="입고",$G755,IF($B755="출고",-$G755,$G755)))</f>
        <v/>
      </c>
      <c r="M755" s="13" t="str">
        <f aca="false">IF($C755="","",IFERROR(INDEX(품목마스터!$F$3:$F$302,MATCH($C755,품목마스터!$A$3:$A$302,0)),0)+SUMIFS($L$3:$L755,$C$3:$C755,$C755))</f>
        <v/>
      </c>
    </row>
    <row r="756" customFormat="false" ht="15" hidden="false" customHeight="true" outlineLevel="0" collapsed="false">
      <c r="A756" s="11"/>
      <c r="B756" s="7"/>
      <c r="C756" s="7"/>
      <c r="D756" s="12" t="str">
        <f aca="false">IF($C756="","",IFERROR(INDEX(품목마스터!$B$3:$B$302,MATCH($C756,품목마스터!$A$3:$A$302,0)),"미등록품번"))</f>
        <v/>
      </c>
      <c r="E756" s="12" t="str">
        <f aca="false">IF($C756="","",IFERROR(INDEX(품목마스터!$C$3:$C$302,MATCH($C756,품목마스터!$A$3:$A$302,0)),""))</f>
        <v/>
      </c>
      <c r="F756" s="12" t="str">
        <f aca="false">IF($C756="","",IFERROR(INDEX(품목마스터!$D$3:$D$302,MATCH($C756,품목마스터!$A$3:$A$302,0)),""))</f>
        <v/>
      </c>
      <c r="G756" s="9"/>
      <c r="H756" s="9"/>
      <c r="I756" s="13" t="str">
        <f aca="false">IF(OR($G756="",$H756=""),"",ROUND($G756*$H756,0))</f>
        <v/>
      </c>
      <c r="J756" s="7"/>
      <c r="K756" s="7"/>
      <c r="L756" s="14" t="str">
        <f aca="false">IF(OR($C756="",$G756=""),"",IF($B756="입고",$G756,IF($B756="출고",-$G756,$G756)))</f>
        <v/>
      </c>
      <c r="M756" s="13" t="str">
        <f aca="false">IF($C756="","",IFERROR(INDEX(품목마스터!$F$3:$F$302,MATCH($C756,품목마스터!$A$3:$A$302,0)),0)+SUMIFS($L$3:$L756,$C$3:$C756,$C756))</f>
        <v/>
      </c>
    </row>
    <row r="757" customFormat="false" ht="15" hidden="false" customHeight="true" outlineLevel="0" collapsed="false">
      <c r="A757" s="11"/>
      <c r="B757" s="7"/>
      <c r="C757" s="7"/>
      <c r="D757" s="12" t="str">
        <f aca="false">IF($C757="","",IFERROR(INDEX(품목마스터!$B$3:$B$302,MATCH($C757,품목마스터!$A$3:$A$302,0)),"미등록품번"))</f>
        <v/>
      </c>
      <c r="E757" s="12" t="str">
        <f aca="false">IF($C757="","",IFERROR(INDEX(품목마스터!$C$3:$C$302,MATCH($C757,품목마스터!$A$3:$A$302,0)),""))</f>
        <v/>
      </c>
      <c r="F757" s="12" t="str">
        <f aca="false">IF($C757="","",IFERROR(INDEX(품목마스터!$D$3:$D$302,MATCH($C757,품목마스터!$A$3:$A$302,0)),""))</f>
        <v/>
      </c>
      <c r="G757" s="9"/>
      <c r="H757" s="9"/>
      <c r="I757" s="13" t="str">
        <f aca="false">IF(OR($G757="",$H757=""),"",ROUND($G757*$H757,0))</f>
        <v/>
      </c>
      <c r="J757" s="7"/>
      <c r="K757" s="7"/>
      <c r="L757" s="14" t="str">
        <f aca="false">IF(OR($C757="",$G757=""),"",IF($B757="입고",$G757,IF($B757="출고",-$G757,$G757)))</f>
        <v/>
      </c>
      <c r="M757" s="13" t="str">
        <f aca="false">IF($C757="","",IFERROR(INDEX(품목마스터!$F$3:$F$302,MATCH($C757,품목마스터!$A$3:$A$302,0)),0)+SUMIFS($L$3:$L757,$C$3:$C757,$C757))</f>
        <v/>
      </c>
    </row>
    <row r="758" customFormat="false" ht="15" hidden="false" customHeight="true" outlineLevel="0" collapsed="false">
      <c r="A758" s="11"/>
      <c r="B758" s="7"/>
      <c r="C758" s="7"/>
      <c r="D758" s="12" t="str">
        <f aca="false">IF($C758="","",IFERROR(INDEX(품목마스터!$B$3:$B$302,MATCH($C758,품목마스터!$A$3:$A$302,0)),"미등록품번"))</f>
        <v/>
      </c>
      <c r="E758" s="12" t="str">
        <f aca="false">IF($C758="","",IFERROR(INDEX(품목마스터!$C$3:$C$302,MATCH($C758,품목마스터!$A$3:$A$302,0)),""))</f>
        <v/>
      </c>
      <c r="F758" s="12" t="str">
        <f aca="false">IF($C758="","",IFERROR(INDEX(품목마스터!$D$3:$D$302,MATCH($C758,품목마스터!$A$3:$A$302,0)),""))</f>
        <v/>
      </c>
      <c r="G758" s="9"/>
      <c r="H758" s="9"/>
      <c r="I758" s="13" t="str">
        <f aca="false">IF(OR($G758="",$H758=""),"",ROUND($G758*$H758,0))</f>
        <v/>
      </c>
      <c r="J758" s="7"/>
      <c r="K758" s="7"/>
      <c r="L758" s="14" t="str">
        <f aca="false">IF(OR($C758="",$G758=""),"",IF($B758="입고",$G758,IF($B758="출고",-$G758,$G758)))</f>
        <v/>
      </c>
      <c r="M758" s="13" t="str">
        <f aca="false">IF($C758="","",IFERROR(INDEX(품목마스터!$F$3:$F$302,MATCH($C758,품목마스터!$A$3:$A$302,0)),0)+SUMIFS($L$3:$L758,$C$3:$C758,$C758))</f>
        <v/>
      </c>
    </row>
    <row r="759" customFormat="false" ht="15" hidden="false" customHeight="true" outlineLevel="0" collapsed="false">
      <c r="A759" s="11"/>
      <c r="B759" s="7"/>
      <c r="C759" s="7"/>
      <c r="D759" s="12" t="str">
        <f aca="false">IF($C759="","",IFERROR(INDEX(품목마스터!$B$3:$B$302,MATCH($C759,품목마스터!$A$3:$A$302,0)),"미등록품번"))</f>
        <v/>
      </c>
      <c r="E759" s="12" t="str">
        <f aca="false">IF($C759="","",IFERROR(INDEX(품목마스터!$C$3:$C$302,MATCH($C759,품목마스터!$A$3:$A$302,0)),""))</f>
        <v/>
      </c>
      <c r="F759" s="12" t="str">
        <f aca="false">IF($C759="","",IFERROR(INDEX(품목마스터!$D$3:$D$302,MATCH($C759,품목마스터!$A$3:$A$302,0)),""))</f>
        <v/>
      </c>
      <c r="G759" s="9"/>
      <c r="H759" s="9"/>
      <c r="I759" s="13" t="str">
        <f aca="false">IF(OR($G759="",$H759=""),"",ROUND($G759*$H759,0))</f>
        <v/>
      </c>
      <c r="J759" s="7"/>
      <c r="K759" s="7"/>
      <c r="L759" s="14" t="str">
        <f aca="false">IF(OR($C759="",$G759=""),"",IF($B759="입고",$G759,IF($B759="출고",-$G759,$G759)))</f>
        <v/>
      </c>
      <c r="M759" s="13" t="str">
        <f aca="false">IF($C759="","",IFERROR(INDEX(품목마스터!$F$3:$F$302,MATCH($C759,품목마스터!$A$3:$A$302,0)),0)+SUMIFS($L$3:$L759,$C$3:$C759,$C759))</f>
        <v/>
      </c>
    </row>
    <row r="760" customFormat="false" ht="15" hidden="false" customHeight="true" outlineLevel="0" collapsed="false">
      <c r="A760" s="11"/>
      <c r="B760" s="7"/>
      <c r="C760" s="7"/>
      <c r="D760" s="12" t="str">
        <f aca="false">IF($C760="","",IFERROR(INDEX(품목마스터!$B$3:$B$302,MATCH($C760,품목마스터!$A$3:$A$302,0)),"미등록품번"))</f>
        <v/>
      </c>
      <c r="E760" s="12" t="str">
        <f aca="false">IF($C760="","",IFERROR(INDEX(품목마스터!$C$3:$C$302,MATCH($C760,품목마스터!$A$3:$A$302,0)),""))</f>
        <v/>
      </c>
      <c r="F760" s="12" t="str">
        <f aca="false">IF($C760="","",IFERROR(INDEX(품목마스터!$D$3:$D$302,MATCH($C760,품목마스터!$A$3:$A$302,0)),""))</f>
        <v/>
      </c>
      <c r="G760" s="9"/>
      <c r="H760" s="9"/>
      <c r="I760" s="13" t="str">
        <f aca="false">IF(OR($G760="",$H760=""),"",ROUND($G760*$H760,0))</f>
        <v/>
      </c>
      <c r="J760" s="7"/>
      <c r="K760" s="7"/>
      <c r="L760" s="14" t="str">
        <f aca="false">IF(OR($C760="",$G760=""),"",IF($B760="입고",$G760,IF($B760="출고",-$G760,$G760)))</f>
        <v/>
      </c>
      <c r="M760" s="13" t="str">
        <f aca="false">IF($C760="","",IFERROR(INDEX(품목마스터!$F$3:$F$302,MATCH($C760,품목마스터!$A$3:$A$302,0)),0)+SUMIFS($L$3:$L760,$C$3:$C760,$C760))</f>
        <v/>
      </c>
    </row>
    <row r="761" customFormat="false" ht="15" hidden="false" customHeight="true" outlineLevel="0" collapsed="false">
      <c r="A761" s="11"/>
      <c r="B761" s="7"/>
      <c r="C761" s="7"/>
      <c r="D761" s="12" t="str">
        <f aca="false">IF($C761="","",IFERROR(INDEX(품목마스터!$B$3:$B$302,MATCH($C761,품목마스터!$A$3:$A$302,0)),"미등록품번"))</f>
        <v/>
      </c>
      <c r="E761" s="12" t="str">
        <f aca="false">IF($C761="","",IFERROR(INDEX(품목마스터!$C$3:$C$302,MATCH($C761,품목마스터!$A$3:$A$302,0)),""))</f>
        <v/>
      </c>
      <c r="F761" s="12" t="str">
        <f aca="false">IF($C761="","",IFERROR(INDEX(품목마스터!$D$3:$D$302,MATCH($C761,품목마스터!$A$3:$A$302,0)),""))</f>
        <v/>
      </c>
      <c r="G761" s="9"/>
      <c r="H761" s="9"/>
      <c r="I761" s="13" t="str">
        <f aca="false">IF(OR($G761="",$H761=""),"",ROUND($G761*$H761,0))</f>
        <v/>
      </c>
      <c r="J761" s="7"/>
      <c r="K761" s="7"/>
      <c r="L761" s="14" t="str">
        <f aca="false">IF(OR($C761="",$G761=""),"",IF($B761="입고",$G761,IF($B761="출고",-$G761,$G761)))</f>
        <v/>
      </c>
      <c r="M761" s="13" t="str">
        <f aca="false">IF($C761="","",IFERROR(INDEX(품목마스터!$F$3:$F$302,MATCH($C761,품목마스터!$A$3:$A$302,0)),0)+SUMIFS($L$3:$L761,$C$3:$C761,$C761))</f>
        <v/>
      </c>
    </row>
    <row r="762" customFormat="false" ht="15" hidden="false" customHeight="true" outlineLevel="0" collapsed="false">
      <c r="A762" s="11"/>
      <c r="B762" s="7"/>
      <c r="C762" s="7"/>
      <c r="D762" s="12" t="str">
        <f aca="false">IF($C762="","",IFERROR(INDEX(품목마스터!$B$3:$B$302,MATCH($C762,품목마스터!$A$3:$A$302,0)),"미등록품번"))</f>
        <v/>
      </c>
      <c r="E762" s="12" t="str">
        <f aca="false">IF($C762="","",IFERROR(INDEX(품목마스터!$C$3:$C$302,MATCH($C762,품목마스터!$A$3:$A$302,0)),""))</f>
        <v/>
      </c>
      <c r="F762" s="12" t="str">
        <f aca="false">IF($C762="","",IFERROR(INDEX(품목마스터!$D$3:$D$302,MATCH($C762,품목마스터!$A$3:$A$302,0)),""))</f>
        <v/>
      </c>
      <c r="G762" s="9"/>
      <c r="H762" s="9"/>
      <c r="I762" s="13" t="str">
        <f aca="false">IF(OR($G762="",$H762=""),"",ROUND($G762*$H762,0))</f>
        <v/>
      </c>
      <c r="J762" s="7"/>
      <c r="K762" s="7"/>
      <c r="L762" s="14" t="str">
        <f aca="false">IF(OR($C762="",$G762=""),"",IF($B762="입고",$G762,IF($B762="출고",-$G762,$G762)))</f>
        <v/>
      </c>
      <c r="M762" s="13" t="str">
        <f aca="false">IF($C762="","",IFERROR(INDEX(품목마스터!$F$3:$F$302,MATCH($C762,품목마스터!$A$3:$A$302,0)),0)+SUMIFS($L$3:$L762,$C$3:$C762,$C762))</f>
        <v/>
      </c>
    </row>
    <row r="763" customFormat="false" ht="15" hidden="false" customHeight="true" outlineLevel="0" collapsed="false">
      <c r="A763" s="11"/>
      <c r="B763" s="7"/>
      <c r="C763" s="7"/>
      <c r="D763" s="12" t="str">
        <f aca="false">IF($C763="","",IFERROR(INDEX(품목마스터!$B$3:$B$302,MATCH($C763,품목마스터!$A$3:$A$302,0)),"미등록품번"))</f>
        <v/>
      </c>
      <c r="E763" s="12" t="str">
        <f aca="false">IF($C763="","",IFERROR(INDEX(품목마스터!$C$3:$C$302,MATCH($C763,품목마스터!$A$3:$A$302,0)),""))</f>
        <v/>
      </c>
      <c r="F763" s="12" t="str">
        <f aca="false">IF($C763="","",IFERROR(INDEX(품목마스터!$D$3:$D$302,MATCH($C763,품목마스터!$A$3:$A$302,0)),""))</f>
        <v/>
      </c>
      <c r="G763" s="9"/>
      <c r="H763" s="9"/>
      <c r="I763" s="13" t="str">
        <f aca="false">IF(OR($G763="",$H763=""),"",ROUND($G763*$H763,0))</f>
        <v/>
      </c>
      <c r="J763" s="7"/>
      <c r="K763" s="7"/>
      <c r="L763" s="14" t="str">
        <f aca="false">IF(OR($C763="",$G763=""),"",IF($B763="입고",$G763,IF($B763="출고",-$G763,$G763)))</f>
        <v/>
      </c>
      <c r="M763" s="13" t="str">
        <f aca="false">IF($C763="","",IFERROR(INDEX(품목마스터!$F$3:$F$302,MATCH($C763,품목마스터!$A$3:$A$302,0)),0)+SUMIFS($L$3:$L763,$C$3:$C763,$C763))</f>
        <v/>
      </c>
    </row>
    <row r="764" customFormat="false" ht="15" hidden="false" customHeight="true" outlineLevel="0" collapsed="false">
      <c r="A764" s="11"/>
      <c r="B764" s="7"/>
      <c r="C764" s="7"/>
      <c r="D764" s="12" t="str">
        <f aca="false">IF($C764="","",IFERROR(INDEX(품목마스터!$B$3:$B$302,MATCH($C764,품목마스터!$A$3:$A$302,0)),"미등록품번"))</f>
        <v/>
      </c>
      <c r="E764" s="12" t="str">
        <f aca="false">IF($C764="","",IFERROR(INDEX(품목마스터!$C$3:$C$302,MATCH($C764,품목마스터!$A$3:$A$302,0)),""))</f>
        <v/>
      </c>
      <c r="F764" s="12" t="str">
        <f aca="false">IF($C764="","",IFERROR(INDEX(품목마스터!$D$3:$D$302,MATCH($C764,품목마스터!$A$3:$A$302,0)),""))</f>
        <v/>
      </c>
      <c r="G764" s="9"/>
      <c r="H764" s="9"/>
      <c r="I764" s="13" t="str">
        <f aca="false">IF(OR($G764="",$H764=""),"",ROUND($G764*$H764,0))</f>
        <v/>
      </c>
      <c r="J764" s="7"/>
      <c r="K764" s="7"/>
      <c r="L764" s="14" t="str">
        <f aca="false">IF(OR($C764="",$G764=""),"",IF($B764="입고",$G764,IF($B764="출고",-$G764,$G764)))</f>
        <v/>
      </c>
      <c r="M764" s="13" t="str">
        <f aca="false">IF($C764="","",IFERROR(INDEX(품목마스터!$F$3:$F$302,MATCH($C764,품목마스터!$A$3:$A$302,0)),0)+SUMIFS($L$3:$L764,$C$3:$C764,$C764))</f>
        <v/>
      </c>
    </row>
    <row r="765" customFormat="false" ht="15" hidden="false" customHeight="true" outlineLevel="0" collapsed="false">
      <c r="A765" s="11"/>
      <c r="B765" s="7"/>
      <c r="C765" s="7"/>
      <c r="D765" s="12" t="str">
        <f aca="false">IF($C765="","",IFERROR(INDEX(품목마스터!$B$3:$B$302,MATCH($C765,품목마스터!$A$3:$A$302,0)),"미등록품번"))</f>
        <v/>
      </c>
      <c r="E765" s="12" t="str">
        <f aca="false">IF($C765="","",IFERROR(INDEX(품목마스터!$C$3:$C$302,MATCH($C765,품목마스터!$A$3:$A$302,0)),""))</f>
        <v/>
      </c>
      <c r="F765" s="12" t="str">
        <f aca="false">IF($C765="","",IFERROR(INDEX(품목마스터!$D$3:$D$302,MATCH($C765,품목마스터!$A$3:$A$302,0)),""))</f>
        <v/>
      </c>
      <c r="G765" s="9"/>
      <c r="H765" s="9"/>
      <c r="I765" s="13" t="str">
        <f aca="false">IF(OR($G765="",$H765=""),"",ROUND($G765*$H765,0))</f>
        <v/>
      </c>
      <c r="J765" s="7"/>
      <c r="K765" s="7"/>
      <c r="L765" s="14" t="str">
        <f aca="false">IF(OR($C765="",$G765=""),"",IF($B765="입고",$G765,IF($B765="출고",-$G765,$G765)))</f>
        <v/>
      </c>
      <c r="M765" s="13" t="str">
        <f aca="false">IF($C765="","",IFERROR(INDEX(품목마스터!$F$3:$F$302,MATCH($C765,품목마스터!$A$3:$A$302,0)),0)+SUMIFS($L$3:$L765,$C$3:$C765,$C765))</f>
        <v/>
      </c>
    </row>
    <row r="766" customFormat="false" ht="15" hidden="false" customHeight="true" outlineLevel="0" collapsed="false">
      <c r="A766" s="11"/>
      <c r="B766" s="7"/>
      <c r="C766" s="7"/>
      <c r="D766" s="12" t="str">
        <f aca="false">IF($C766="","",IFERROR(INDEX(품목마스터!$B$3:$B$302,MATCH($C766,품목마스터!$A$3:$A$302,0)),"미등록품번"))</f>
        <v/>
      </c>
      <c r="E766" s="12" t="str">
        <f aca="false">IF($C766="","",IFERROR(INDEX(품목마스터!$C$3:$C$302,MATCH($C766,품목마스터!$A$3:$A$302,0)),""))</f>
        <v/>
      </c>
      <c r="F766" s="12" t="str">
        <f aca="false">IF($C766="","",IFERROR(INDEX(품목마스터!$D$3:$D$302,MATCH($C766,품목마스터!$A$3:$A$302,0)),""))</f>
        <v/>
      </c>
      <c r="G766" s="9"/>
      <c r="H766" s="9"/>
      <c r="I766" s="13" t="str">
        <f aca="false">IF(OR($G766="",$H766=""),"",ROUND($G766*$H766,0))</f>
        <v/>
      </c>
      <c r="J766" s="7"/>
      <c r="K766" s="7"/>
      <c r="L766" s="14" t="str">
        <f aca="false">IF(OR($C766="",$G766=""),"",IF($B766="입고",$G766,IF($B766="출고",-$G766,$G766)))</f>
        <v/>
      </c>
      <c r="M766" s="13" t="str">
        <f aca="false">IF($C766="","",IFERROR(INDEX(품목마스터!$F$3:$F$302,MATCH($C766,품목마스터!$A$3:$A$302,0)),0)+SUMIFS($L$3:$L766,$C$3:$C766,$C766))</f>
        <v/>
      </c>
    </row>
    <row r="767" customFormat="false" ht="15" hidden="false" customHeight="true" outlineLevel="0" collapsed="false">
      <c r="A767" s="11"/>
      <c r="B767" s="7"/>
      <c r="C767" s="7"/>
      <c r="D767" s="12" t="str">
        <f aca="false">IF($C767="","",IFERROR(INDEX(품목마스터!$B$3:$B$302,MATCH($C767,품목마스터!$A$3:$A$302,0)),"미등록품번"))</f>
        <v/>
      </c>
      <c r="E767" s="12" t="str">
        <f aca="false">IF($C767="","",IFERROR(INDEX(품목마스터!$C$3:$C$302,MATCH($C767,품목마스터!$A$3:$A$302,0)),""))</f>
        <v/>
      </c>
      <c r="F767" s="12" t="str">
        <f aca="false">IF($C767="","",IFERROR(INDEX(품목마스터!$D$3:$D$302,MATCH($C767,품목마스터!$A$3:$A$302,0)),""))</f>
        <v/>
      </c>
      <c r="G767" s="9"/>
      <c r="H767" s="9"/>
      <c r="I767" s="13" t="str">
        <f aca="false">IF(OR($G767="",$H767=""),"",ROUND($G767*$H767,0))</f>
        <v/>
      </c>
      <c r="J767" s="7"/>
      <c r="K767" s="7"/>
      <c r="L767" s="14" t="str">
        <f aca="false">IF(OR($C767="",$G767=""),"",IF($B767="입고",$G767,IF($B767="출고",-$G767,$G767)))</f>
        <v/>
      </c>
      <c r="M767" s="13" t="str">
        <f aca="false">IF($C767="","",IFERROR(INDEX(품목마스터!$F$3:$F$302,MATCH($C767,품목마스터!$A$3:$A$302,0)),0)+SUMIFS($L$3:$L767,$C$3:$C767,$C767))</f>
        <v/>
      </c>
    </row>
    <row r="768" customFormat="false" ht="15" hidden="false" customHeight="true" outlineLevel="0" collapsed="false">
      <c r="A768" s="11"/>
      <c r="B768" s="7"/>
      <c r="C768" s="7"/>
      <c r="D768" s="12" t="str">
        <f aca="false">IF($C768="","",IFERROR(INDEX(품목마스터!$B$3:$B$302,MATCH($C768,품목마스터!$A$3:$A$302,0)),"미등록품번"))</f>
        <v/>
      </c>
      <c r="E768" s="12" t="str">
        <f aca="false">IF($C768="","",IFERROR(INDEX(품목마스터!$C$3:$C$302,MATCH($C768,품목마스터!$A$3:$A$302,0)),""))</f>
        <v/>
      </c>
      <c r="F768" s="12" t="str">
        <f aca="false">IF($C768="","",IFERROR(INDEX(품목마스터!$D$3:$D$302,MATCH($C768,품목마스터!$A$3:$A$302,0)),""))</f>
        <v/>
      </c>
      <c r="G768" s="9"/>
      <c r="H768" s="9"/>
      <c r="I768" s="13" t="str">
        <f aca="false">IF(OR($G768="",$H768=""),"",ROUND($G768*$H768,0))</f>
        <v/>
      </c>
      <c r="J768" s="7"/>
      <c r="K768" s="7"/>
      <c r="L768" s="14" t="str">
        <f aca="false">IF(OR($C768="",$G768=""),"",IF($B768="입고",$G768,IF($B768="출고",-$G768,$G768)))</f>
        <v/>
      </c>
      <c r="M768" s="13" t="str">
        <f aca="false">IF($C768="","",IFERROR(INDEX(품목마스터!$F$3:$F$302,MATCH($C768,품목마스터!$A$3:$A$302,0)),0)+SUMIFS($L$3:$L768,$C$3:$C768,$C768))</f>
        <v/>
      </c>
    </row>
    <row r="769" customFormat="false" ht="15" hidden="false" customHeight="true" outlineLevel="0" collapsed="false">
      <c r="A769" s="11"/>
      <c r="B769" s="7"/>
      <c r="C769" s="7"/>
      <c r="D769" s="12" t="str">
        <f aca="false">IF($C769="","",IFERROR(INDEX(품목마스터!$B$3:$B$302,MATCH($C769,품목마스터!$A$3:$A$302,0)),"미등록품번"))</f>
        <v/>
      </c>
      <c r="E769" s="12" t="str">
        <f aca="false">IF($C769="","",IFERROR(INDEX(품목마스터!$C$3:$C$302,MATCH($C769,품목마스터!$A$3:$A$302,0)),""))</f>
        <v/>
      </c>
      <c r="F769" s="12" t="str">
        <f aca="false">IF($C769="","",IFERROR(INDEX(품목마스터!$D$3:$D$302,MATCH($C769,품목마스터!$A$3:$A$302,0)),""))</f>
        <v/>
      </c>
      <c r="G769" s="9"/>
      <c r="H769" s="9"/>
      <c r="I769" s="13" t="str">
        <f aca="false">IF(OR($G769="",$H769=""),"",ROUND($G769*$H769,0))</f>
        <v/>
      </c>
      <c r="J769" s="7"/>
      <c r="K769" s="7"/>
      <c r="L769" s="14" t="str">
        <f aca="false">IF(OR($C769="",$G769=""),"",IF($B769="입고",$G769,IF($B769="출고",-$G769,$G769)))</f>
        <v/>
      </c>
      <c r="M769" s="13" t="str">
        <f aca="false">IF($C769="","",IFERROR(INDEX(품목마스터!$F$3:$F$302,MATCH($C769,품목마스터!$A$3:$A$302,0)),0)+SUMIFS($L$3:$L769,$C$3:$C769,$C769))</f>
        <v/>
      </c>
    </row>
    <row r="770" customFormat="false" ht="15" hidden="false" customHeight="true" outlineLevel="0" collapsed="false">
      <c r="A770" s="11"/>
      <c r="B770" s="7"/>
      <c r="C770" s="7"/>
      <c r="D770" s="12" t="str">
        <f aca="false">IF($C770="","",IFERROR(INDEX(품목마스터!$B$3:$B$302,MATCH($C770,품목마스터!$A$3:$A$302,0)),"미등록품번"))</f>
        <v/>
      </c>
      <c r="E770" s="12" t="str">
        <f aca="false">IF($C770="","",IFERROR(INDEX(품목마스터!$C$3:$C$302,MATCH($C770,품목마스터!$A$3:$A$302,0)),""))</f>
        <v/>
      </c>
      <c r="F770" s="12" t="str">
        <f aca="false">IF($C770="","",IFERROR(INDEX(품목마스터!$D$3:$D$302,MATCH($C770,품목마스터!$A$3:$A$302,0)),""))</f>
        <v/>
      </c>
      <c r="G770" s="9"/>
      <c r="H770" s="9"/>
      <c r="I770" s="13" t="str">
        <f aca="false">IF(OR($G770="",$H770=""),"",ROUND($G770*$H770,0))</f>
        <v/>
      </c>
      <c r="J770" s="7"/>
      <c r="K770" s="7"/>
      <c r="L770" s="14" t="str">
        <f aca="false">IF(OR($C770="",$G770=""),"",IF($B770="입고",$G770,IF($B770="출고",-$G770,$G770)))</f>
        <v/>
      </c>
      <c r="M770" s="13" t="str">
        <f aca="false">IF($C770="","",IFERROR(INDEX(품목마스터!$F$3:$F$302,MATCH($C770,품목마스터!$A$3:$A$302,0)),0)+SUMIFS($L$3:$L770,$C$3:$C770,$C770))</f>
        <v/>
      </c>
    </row>
    <row r="771" customFormat="false" ht="15" hidden="false" customHeight="true" outlineLevel="0" collapsed="false">
      <c r="A771" s="11"/>
      <c r="B771" s="7"/>
      <c r="C771" s="7"/>
      <c r="D771" s="12" t="str">
        <f aca="false">IF($C771="","",IFERROR(INDEX(품목마스터!$B$3:$B$302,MATCH($C771,품목마스터!$A$3:$A$302,0)),"미등록품번"))</f>
        <v/>
      </c>
      <c r="E771" s="12" t="str">
        <f aca="false">IF($C771="","",IFERROR(INDEX(품목마스터!$C$3:$C$302,MATCH($C771,품목마스터!$A$3:$A$302,0)),""))</f>
        <v/>
      </c>
      <c r="F771" s="12" t="str">
        <f aca="false">IF($C771="","",IFERROR(INDEX(품목마스터!$D$3:$D$302,MATCH($C771,품목마스터!$A$3:$A$302,0)),""))</f>
        <v/>
      </c>
      <c r="G771" s="9"/>
      <c r="H771" s="9"/>
      <c r="I771" s="13" t="str">
        <f aca="false">IF(OR($G771="",$H771=""),"",ROUND($G771*$H771,0))</f>
        <v/>
      </c>
      <c r="J771" s="7"/>
      <c r="K771" s="7"/>
      <c r="L771" s="14" t="str">
        <f aca="false">IF(OR($C771="",$G771=""),"",IF($B771="입고",$G771,IF($B771="출고",-$G771,$G771)))</f>
        <v/>
      </c>
      <c r="M771" s="13" t="str">
        <f aca="false">IF($C771="","",IFERROR(INDEX(품목마스터!$F$3:$F$302,MATCH($C771,품목마스터!$A$3:$A$302,0)),0)+SUMIFS($L$3:$L771,$C$3:$C771,$C771))</f>
        <v/>
      </c>
    </row>
    <row r="772" customFormat="false" ht="15" hidden="false" customHeight="true" outlineLevel="0" collapsed="false">
      <c r="A772" s="11"/>
      <c r="B772" s="7"/>
      <c r="C772" s="7"/>
      <c r="D772" s="12" t="str">
        <f aca="false">IF($C772="","",IFERROR(INDEX(품목마스터!$B$3:$B$302,MATCH($C772,품목마스터!$A$3:$A$302,0)),"미등록품번"))</f>
        <v/>
      </c>
      <c r="E772" s="12" t="str">
        <f aca="false">IF($C772="","",IFERROR(INDEX(품목마스터!$C$3:$C$302,MATCH($C772,품목마스터!$A$3:$A$302,0)),""))</f>
        <v/>
      </c>
      <c r="F772" s="12" t="str">
        <f aca="false">IF($C772="","",IFERROR(INDEX(품목마스터!$D$3:$D$302,MATCH($C772,품목마스터!$A$3:$A$302,0)),""))</f>
        <v/>
      </c>
      <c r="G772" s="9"/>
      <c r="H772" s="9"/>
      <c r="I772" s="13" t="str">
        <f aca="false">IF(OR($G772="",$H772=""),"",ROUND($G772*$H772,0))</f>
        <v/>
      </c>
      <c r="J772" s="7"/>
      <c r="K772" s="7"/>
      <c r="L772" s="14" t="str">
        <f aca="false">IF(OR($C772="",$G772=""),"",IF($B772="입고",$G772,IF($B772="출고",-$G772,$G772)))</f>
        <v/>
      </c>
      <c r="M772" s="13" t="str">
        <f aca="false">IF($C772="","",IFERROR(INDEX(품목마스터!$F$3:$F$302,MATCH($C772,품목마스터!$A$3:$A$302,0)),0)+SUMIFS($L$3:$L772,$C$3:$C772,$C772))</f>
        <v/>
      </c>
    </row>
    <row r="773" customFormat="false" ht="15" hidden="false" customHeight="true" outlineLevel="0" collapsed="false">
      <c r="A773" s="11"/>
      <c r="B773" s="7"/>
      <c r="C773" s="7"/>
      <c r="D773" s="12" t="str">
        <f aca="false">IF($C773="","",IFERROR(INDEX(품목마스터!$B$3:$B$302,MATCH($C773,품목마스터!$A$3:$A$302,0)),"미등록품번"))</f>
        <v/>
      </c>
      <c r="E773" s="12" t="str">
        <f aca="false">IF($C773="","",IFERROR(INDEX(품목마스터!$C$3:$C$302,MATCH($C773,품목마스터!$A$3:$A$302,0)),""))</f>
        <v/>
      </c>
      <c r="F773" s="12" t="str">
        <f aca="false">IF($C773="","",IFERROR(INDEX(품목마스터!$D$3:$D$302,MATCH($C773,품목마스터!$A$3:$A$302,0)),""))</f>
        <v/>
      </c>
      <c r="G773" s="9"/>
      <c r="H773" s="9"/>
      <c r="I773" s="13" t="str">
        <f aca="false">IF(OR($G773="",$H773=""),"",ROUND($G773*$H773,0))</f>
        <v/>
      </c>
      <c r="J773" s="7"/>
      <c r="K773" s="7"/>
      <c r="L773" s="14" t="str">
        <f aca="false">IF(OR($C773="",$G773=""),"",IF($B773="입고",$G773,IF($B773="출고",-$G773,$G773)))</f>
        <v/>
      </c>
      <c r="M773" s="13" t="str">
        <f aca="false">IF($C773="","",IFERROR(INDEX(품목마스터!$F$3:$F$302,MATCH($C773,품목마스터!$A$3:$A$302,0)),0)+SUMIFS($L$3:$L773,$C$3:$C773,$C773))</f>
        <v/>
      </c>
    </row>
    <row r="774" customFormat="false" ht="15" hidden="false" customHeight="true" outlineLevel="0" collapsed="false">
      <c r="A774" s="11"/>
      <c r="B774" s="7"/>
      <c r="C774" s="7"/>
      <c r="D774" s="12" t="str">
        <f aca="false">IF($C774="","",IFERROR(INDEX(품목마스터!$B$3:$B$302,MATCH($C774,품목마스터!$A$3:$A$302,0)),"미등록품번"))</f>
        <v/>
      </c>
      <c r="E774" s="12" t="str">
        <f aca="false">IF($C774="","",IFERROR(INDEX(품목마스터!$C$3:$C$302,MATCH($C774,품목마스터!$A$3:$A$302,0)),""))</f>
        <v/>
      </c>
      <c r="F774" s="12" t="str">
        <f aca="false">IF($C774="","",IFERROR(INDEX(품목마스터!$D$3:$D$302,MATCH($C774,품목마스터!$A$3:$A$302,0)),""))</f>
        <v/>
      </c>
      <c r="G774" s="9"/>
      <c r="H774" s="9"/>
      <c r="I774" s="13" t="str">
        <f aca="false">IF(OR($G774="",$H774=""),"",ROUND($G774*$H774,0))</f>
        <v/>
      </c>
      <c r="J774" s="7"/>
      <c r="K774" s="7"/>
      <c r="L774" s="14" t="str">
        <f aca="false">IF(OR($C774="",$G774=""),"",IF($B774="입고",$G774,IF($B774="출고",-$G774,$G774)))</f>
        <v/>
      </c>
      <c r="M774" s="13" t="str">
        <f aca="false">IF($C774="","",IFERROR(INDEX(품목마스터!$F$3:$F$302,MATCH($C774,품목마스터!$A$3:$A$302,0)),0)+SUMIFS($L$3:$L774,$C$3:$C774,$C774))</f>
        <v/>
      </c>
    </row>
    <row r="775" customFormat="false" ht="15" hidden="false" customHeight="true" outlineLevel="0" collapsed="false">
      <c r="A775" s="11"/>
      <c r="B775" s="7"/>
      <c r="C775" s="7"/>
      <c r="D775" s="12" t="str">
        <f aca="false">IF($C775="","",IFERROR(INDEX(품목마스터!$B$3:$B$302,MATCH($C775,품목마스터!$A$3:$A$302,0)),"미등록품번"))</f>
        <v/>
      </c>
      <c r="E775" s="12" t="str">
        <f aca="false">IF($C775="","",IFERROR(INDEX(품목마스터!$C$3:$C$302,MATCH($C775,품목마스터!$A$3:$A$302,0)),""))</f>
        <v/>
      </c>
      <c r="F775" s="12" t="str">
        <f aca="false">IF($C775="","",IFERROR(INDEX(품목마스터!$D$3:$D$302,MATCH($C775,품목마스터!$A$3:$A$302,0)),""))</f>
        <v/>
      </c>
      <c r="G775" s="9"/>
      <c r="H775" s="9"/>
      <c r="I775" s="13" t="str">
        <f aca="false">IF(OR($G775="",$H775=""),"",ROUND($G775*$H775,0))</f>
        <v/>
      </c>
      <c r="J775" s="7"/>
      <c r="K775" s="7"/>
      <c r="L775" s="14" t="str">
        <f aca="false">IF(OR($C775="",$G775=""),"",IF($B775="입고",$G775,IF($B775="출고",-$G775,$G775)))</f>
        <v/>
      </c>
      <c r="M775" s="13" t="str">
        <f aca="false">IF($C775="","",IFERROR(INDEX(품목마스터!$F$3:$F$302,MATCH($C775,품목마스터!$A$3:$A$302,0)),0)+SUMIFS($L$3:$L775,$C$3:$C775,$C775))</f>
        <v/>
      </c>
    </row>
    <row r="776" customFormat="false" ht="15" hidden="false" customHeight="true" outlineLevel="0" collapsed="false">
      <c r="A776" s="11"/>
      <c r="B776" s="7"/>
      <c r="C776" s="7"/>
      <c r="D776" s="12" t="str">
        <f aca="false">IF($C776="","",IFERROR(INDEX(품목마스터!$B$3:$B$302,MATCH($C776,품목마스터!$A$3:$A$302,0)),"미등록품번"))</f>
        <v/>
      </c>
      <c r="E776" s="12" t="str">
        <f aca="false">IF($C776="","",IFERROR(INDEX(품목마스터!$C$3:$C$302,MATCH($C776,품목마스터!$A$3:$A$302,0)),""))</f>
        <v/>
      </c>
      <c r="F776" s="12" t="str">
        <f aca="false">IF($C776="","",IFERROR(INDEX(품목마스터!$D$3:$D$302,MATCH($C776,품목마스터!$A$3:$A$302,0)),""))</f>
        <v/>
      </c>
      <c r="G776" s="9"/>
      <c r="H776" s="9"/>
      <c r="I776" s="13" t="str">
        <f aca="false">IF(OR($G776="",$H776=""),"",ROUND($G776*$H776,0))</f>
        <v/>
      </c>
      <c r="J776" s="7"/>
      <c r="K776" s="7"/>
      <c r="L776" s="14" t="str">
        <f aca="false">IF(OR($C776="",$G776=""),"",IF($B776="입고",$G776,IF($B776="출고",-$G776,$G776)))</f>
        <v/>
      </c>
      <c r="M776" s="13" t="str">
        <f aca="false">IF($C776="","",IFERROR(INDEX(품목마스터!$F$3:$F$302,MATCH($C776,품목마스터!$A$3:$A$302,0)),0)+SUMIFS($L$3:$L776,$C$3:$C776,$C776))</f>
        <v/>
      </c>
    </row>
    <row r="777" customFormat="false" ht="15" hidden="false" customHeight="true" outlineLevel="0" collapsed="false">
      <c r="A777" s="11"/>
      <c r="B777" s="7"/>
      <c r="C777" s="7"/>
      <c r="D777" s="12" t="str">
        <f aca="false">IF($C777="","",IFERROR(INDEX(품목마스터!$B$3:$B$302,MATCH($C777,품목마스터!$A$3:$A$302,0)),"미등록품번"))</f>
        <v/>
      </c>
      <c r="E777" s="12" t="str">
        <f aca="false">IF($C777="","",IFERROR(INDEX(품목마스터!$C$3:$C$302,MATCH($C777,품목마스터!$A$3:$A$302,0)),""))</f>
        <v/>
      </c>
      <c r="F777" s="12" t="str">
        <f aca="false">IF($C777="","",IFERROR(INDEX(품목마스터!$D$3:$D$302,MATCH($C777,품목마스터!$A$3:$A$302,0)),""))</f>
        <v/>
      </c>
      <c r="G777" s="9"/>
      <c r="H777" s="9"/>
      <c r="I777" s="13" t="str">
        <f aca="false">IF(OR($G777="",$H777=""),"",ROUND($G777*$H777,0))</f>
        <v/>
      </c>
      <c r="J777" s="7"/>
      <c r="K777" s="7"/>
      <c r="L777" s="14" t="str">
        <f aca="false">IF(OR($C777="",$G777=""),"",IF($B777="입고",$G777,IF($B777="출고",-$G777,$G777)))</f>
        <v/>
      </c>
      <c r="M777" s="13" t="str">
        <f aca="false">IF($C777="","",IFERROR(INDEX(품목마스터!$F$3:$F$302,MATCH($C777,품목마스터!$A$3:$A$302,0)),0)+SUMIFS($L$3:$L777,$C$3:$C777,$C777))</f>
        <v/>
      </c>
    </row>
    <row r="778" customFormat="false" ht="15" hidden="false" customHeight="true" outlineLevel="0" collapsed="false">
      <c r="A778" s="11"/>
      <c r="B778" s="7"/>
      <c r="C778" s="7"/>
      <c r="D778" s="12" t="str">
        <f aca="false">IF($C778="","",IFERROR(INDEX(품목마스터!$B$3:$B$302,MATCH($C778,품목마스터!$A$3:$A$302,0)),"미등록품번"))</f>
        <v/>
      </c>
      <c r="E778" s="12" t="str">
        <f aca="false">IF($C778="","",IFERROR(INDEX(품목마스터!$C$3:$C$302,MATCH($C778,품목마스터!$A$3:$A$302,0)),""))</f>
        <v/>
      </c>
      <c r="F778" s="12" t="str">
        <f aca="false">IF($C778="","",IFERROR(INDEX(품목마스터!$D$3:$D$302,MATCH($C778,품목마스터!$A$3:$A$302,0)),""))</f>
        <v/>
      </c>
      <c r="G778" s="9"/>
      <c r="H778" s="9"/>
      <c r="I778" s="13" t="str">
        <f aca="false">IF(OR($G778="",$H778=""),"",ROUND($G778*$H778,0))</f>
        <v/>
      </c>
      <c r="J778" s="7"/>
      <c r="K778" s="7"/>
      <c r="L778" s="14" t="str">
        <f aca="false">IF(OR($C778="",$G778=""),"",IF($B778="입고",$G778,IF($B778="출고",-$G778,$G778)))</f>
        <v/>
      </c>
      <c r="M778" s="13" t="str">
        <f aca="false">IF($C778="","",IFERROR(INDEX(품목마스터!$F$3:$F$302,MATCH($C778,품목마스터!$A$3:$A$302,0)),0)+SUMIFS($L$3:$L778,$C$3:$C778,$C778))</f>
        <v/>
      </c>
    </row>
    <row r="779" customFormat="false" ht="15" hidden="false" customHeight="true" outlineLevel="0" collapsed="false">
      <c r="A779" s="11"/>
      <c r="B779" s="7"/>
      <c r="C779" s="7"/>
      <c r="D779" s="12" t="str">
        <f aca="false">IF($C779="","",IFERROR(INDEX(품목마스터!$B$3:$B$302,MATCH($C779,품목마스터!$A$3:$A$302,0)),"미등록품번"))</f>
        <v/>
      </c>
      <c r="E779" s="12" t="str">
        <f aca="false">IF($C779="","",IFERROR(INDEX(품목마스터!$C$3:$C$302,MATCH($C779,품목마스터!$A$3:$A$302,0)),""))</f>
        <v/>
      </c>
      <c r="F779" s="12" t="str">
        <f aca="false">IF($C779="","",IFERROR(INDEX(품목마스터!$D$3:$D$302,MATCH($C779,품목마스터!$A$3:$A$302,0)),""))</f>
        <v/>
      </c>
      <c r="G779" s="9"/>
      <c r="H779" s="9"/>
      <c r="I779" s="13" t="str">
        <f aca="false">IF(OR($G779="",$H779=""),"",ROUND($G779*$H779,0))</f>
        <v/>
      </c>
      <c r="J779" s="7"/>
      <c r="K779" s="7"/>
      <c r="L779" s="14" t="str">
        <f aca="false">IF(OR($C779="",$G779=""),"",IF($B779="입고",$G779,IF($B779="출고",-$G779,$G779)))</f>
        <v/>
      </c>
      <c r="M779" s="13" t="str">
        <f aca="false">IF($C779="","",IFERROR(INDEX(품목마스터!$F$3:$F$302,MATCH($C779,품목마스터!$A$3:$A$302,0)),0)+SUMIFS($L$3:$L779,$C$3:$C779,$C779))</f>
        <v/>
      </c>
    </row>
    <row r="780" customFormat="false" ht="15" hidden="false" customHeight="true" outlineLevel="0" collapsed="false">
      <c r="A780" s="11"/>
      <c r="B780" s="7"/>
      <c r="C780" s="7"/>
      <c r="D780" s="12" t="str">
        <f aca="false">IF($C780="","",IFERROR(INDEX(품목마스터!$B$3:$B$302,MATCH($C780,품목마스터!$A$3:$A$302,0)),"미등록품번"))</f>
        <v/>
      </c>
      <c r="E780" s="12" t="str">
        <f aca="false">IF($C780="","",IFERROR(INDEX(품목마스터!$C$3:$C$302,MATCH($C780,품목마스터!$A$3:$A$302,0)),""))</f>
        <v/>
      </c>
      <c r="F780" s="12" t="str">
        <f aca="false">IF($C780="","",IFERROR(INDEX(품목마스터!$D$3:$D$302,MATCH($C780,품목마스터!$A$3:$A$302,0)),""))</f>
        <v/>
      </c>
      <c r="G780" s="9"/>
      <c r="H780" s="9"/>
      <c r="I780" s="13" t="str">
        <f aca="false">IF(OR($G780="",$H780=""),"",ROUND($G780*$H780,0))</f>
        <v/>
      </c>
      <c r="J780" s="7"/>
      <c r="K780" s="7"/>
      <c r="L780" s="14" t="str">
        <f aca="false">IF(OR($C780="",$G780=""),"",IF($B780="입고",$G780,IF($B780="출고",-$G780,$G780)))</f>
        <v/>
      </c>
      <c r="M780" s="13" t="str">
        <f aca="false">IF($C780="","",IFERROR(INDEX(품목마스터!$F$3:$F$302,MATCH($C780,품목마스터!$A$3:$A$302,0)),0)+SUMIFS($L$3:$L780,$C$3:$C780,$C780))</f>
        <v/>
      </c>
    </row>
    <row r="781" customFormat="false" ht="15" hidden="false" customHeight="true" outlineLevel="0" collapsed="false">
      <c r="A781" s="11"/>
      <c r="B781" s="7"/>
      <c r="C781" s="7"/>
      <c r="D781" s="12" t="str">
        <f aca="false">IF($C781="","",IFERROR(INDEX(품목마스터!$B$3:$B$302,MATCH($C781,품목마스터!$A$3:$A$302,0)),"미등록품번"))</f>
        <v/>
      </c>
      <c r="E781" s="12" t="str">
        <f aca="false">IF($C781="","",IFERROR(INDEX(품목마스터!$C$3:$C$302,MATCH($C781,품목마스터!$A$3:$A$302,0)),""))</f>
        <v/>
      </c>
      <c r="F781" s="12" t="str">
        <f aca="false">IF($C781="","",IFERROR(INDEX(품목마스터!$D$3:$D$302,MATCH($C781,품목마스터!$A$3:$A$302,0)),""))</f>
        <v/>
      </c>
      <c r="G781" s="9"/>
      <c r="H781" s="9"/>
      <c r="I781" s="13" t="str">
        <f aca="false">IF(OR($G781="",$H781=""),"",ROUND($G781*$H781,0))</f>
        <v/>
      </c>
      <c r="J781" s="7"/>
      <c r="K781" s="7"/>
      <c r="L781" s="14" t="str">
        <f aca="false">IF(OR($C781="",$G781=""),"",IF($B781="입고",$G781,IF($B781="출고",-$G781,$G781)))</f>
        <v/>
      </c>
      <c r="M781" s="13" t="str">
        <f aca="false">IF($C781="","",IFERROR(INDEX(품목마스터!$F$3:$F$302,MATCH($C781,품목마스터!$A$3:$A$302,0)),0)+SUMIFS($L$3:$L781,$C$3:$C781,$C781))</f>
        <v/>
      </c>
    </row>
    <row r="782" customFormat="false" ht="15" hidden="false" customHeight="true" outlineLevel="0" collapsed="false">
      <c r="A782" s="11"/>
      <c r="B782" s="7"/>
      <c r="C782" s="7"/>
      <c r="D782" s="12" t="str">
        <f aca="false">IF($C782="","",IFERROR(INDEX(품목마스터!$B$3:$B$302,MATCH($C782,품목마스터!$A$3:$A$302,0)),"미등록품번"))</f>
        <v/>
      </c>
      <c r="E782" s="12" t="str">
        <f aca="false">IF($C782="","",IFERROR(INDEX(품목마스터!$C$3:$C$302,MATCH($C782,품목마스터!$A$3:$A$302,0)),""))</f>
        <v/>
      </c>
      <c r="F782" s="12" t="str">
        <f aca="false">IF($C782="","",IFERROR(INDEX(품목마스터!$D$3:$D$302,MATCH($C782,품목마스터!$A$3:$A$302,0)),""))</f>
        <v/>
      </c>
      <c r="G782" s="9"/>
      <c r="H782" s="9"/>
      <c r="I782" s="13" t="str">
        <f aca="false">IF(OR($G782="",$H782=""),"",ROUND($G782*$H782,0))</f>
        <v/>
      </c>
      <c r="J782" s="7"/>
      <c r="K782" s="7"/>
      <c r="L782" s="14" t="str">
        <f aca="false">IF(OR($C782="",$G782=""),"",IF($B782="입고",$G782,IF($B782="출고",-$G782,$G782)))</f>
        <v/>
      </c>
      <c r="M782" s="13" t="str">
        <f aca="false">IF($C782="","",IFERROR(INDEX(품목마스터!$F$3:$F$302,MATCH($C782,품목마스터!$A$3:$A$302,0)),0)+SUMIFS($L$3:$L782,$C$3:$C782,$C782))</f>
        <v/>
      </c>
    </row>
    <row r="783" customFormat="false" ht="15" hidden="false" customHeight="true" outlineLevel="0" collapsed="false">
      <c r="A783" s="11"/>
      <c r="B783" s="7"/>
      <c r="C783" s="7"/>
      <c r="D783" s="12" t="str">
        <f aca="false">IF($C783="","",IFERROR(INDEX(품목마스터!$B$3:$B$302,MATCH($C783,품목마스터!$A$3:$A$302,0)),"미등록품번"))</f>
        <v/>
      </c>
      <c r="E783" s="12" t="str">
        <f aca="false">IF($C783="","",IFERROR(INDEX(품목마스터!$C$3:$C$302,MATCH($C783,품목마스터!$A$3:$A$302,0)),""))</f>
        <v/>
      </c>
      <c r="F783" s="12" t="str">
        <f aca="false">IF($C783="","",IFERROR(INDEX(품목마스터!$D$3:$D$302,MATCH($C783,품목마스터!$A$3:$A$302,0)),""))</f>
        <v/>
      </c>
      <c r="G783" s="9"/>
      <c r="H783" s="9"/>
      <c r="I783" s="13" t="str">
        <f aca="false">IF(OR($G783="",$H783=""),"",ROUND($G783*$H783,0))</f>
        <v/>
      </c>
      <c r="J783" s="7"/>
      <c r="K783" s="7"/>
      <c r="L783" s="14" t="str">
        <f aca="false">IF(OR($C783="",$G783=""),"",IF($B783="입고",$G783,IF($B783="출고",-$G783,$G783)))</f>
        <v/>
      </c>
      <c r="M783" s="13" t="str">
        <f aca="false">IF($C783="","",IFERROR(INDEX(품목마스터!$F$3:$F$302,MATCH($C783,품목마스터!$A$3:$A$302,0)),0)+SUMIFS($L$3:$L783,$C$3:$C783,$C783))</f>
        <v/>
      </c>
    </row>
    <row r="784" customFormat="false" ht="15" hidden="false" customHeight="true" outlineLevel="0" collapsed="false">
      <c r="A784" s="11"/>
      <c r="B784" s="7"/>
      <c r="C784" s="7"/>
      <c r="D784" s="12" t="str">
        <f aca="false">IF($C784="","",IFERROR(INDEX(품목마스터!$B$3:$B$302,MATCH($C784,품목마스터!$A$3:$A$302,0)),"미등록품번"))</f>
        <v/>
      </c>
      <c r="E784" s="12" t="str">
        <f aca="false">IF($C784="","",IFERROR(INDEX(품목마스터!$C$3:$C$302,MATCH($C784,품목마스터!$A$3:$A$302,0)),""))</f>
        <v/>
      </c>
      <c r="F784" s="12" t="str">
        <f aca="false">IF($C784="","",IFERROR(INDEX(품목마스터!$D$3:$D$302,MATCH($C784,품목마스터!$A$3:$A$302,0)),""))</f>
        <v/>
      </c>
      <c r="G784" s="9"/>
      <c r="H784" s="9"/>
      <c r="I784" s="13" t="str">
        <f aca="false">IF(OR($G784="",$H784=""),"",ROUND($G784*$H784,0))</f>
        <v/>
      </c>
      <c r="J784" s="7"/>
      <c r="K784" s="7"/>
      <c r="L784" s="14" t="str">
        <f aca="false">IF(OR($C784="",$G784=""),"",IF($B784="입고",$G784,IF($B784="출고",-$G784,$G784)))</f>
        <v/>
      </c>
      <c r="M784" s="13" t="str">
        <f aca="false">IF($C784="","",IFERROR(INDEX(품목마스터!$F$3:$F$302,MATCH($C784,품목마스터!$A$3:$A$302,0)),0)+SUMIFS($L$3:$L784,$C$3:$C784,$C784))</f>
        <v/>
      </c>
    </row>
    <row r="785" customFormat="false" ht="15" hidden="false" customHeight="true" outlineLevel="0" collapsed="false">
      <c r="A785" s="11"/>
      <c r="B785" s="7"/>
      <c r="C785" s="7"/>
      <c r="D785" s="12" t="str">
        <f aca="false">IF($C785="","",IFERROR(INDEX(품목마스터!$B$3:$B$302,MATCH($C785,품목마스터!$A$3:$A$302,0)),"미등록품번"))</f>
        <v/>
      </c>
      <c r="E785" s="12" t="str">
        <f aca="false">IF($C785="","",IFERROR(INDEX(품목마스터!$C$3:$C$302,MATCH($C785,품목마스터!$A$3:$A$302,0)),""))</f>
        <v/>
      </c>
      <c r="F785" s="12" t="str">
        <f aca="false">IF($C785="","",IFERROR(INDEX(품목마스터!$D$3:$D$302,MATCH($C785,품목마스터!$A$3:$A$302,0)),""))</f>
        <v/>
      </c>
      <c r="G785" s="9"/>
      <c r="H785" s="9"/>
      <c r="I785" s="13" t="str">
        <f aca="false">IF(OR($G785="",$H785=""),"",ROUND($G785*$H785,0))</f>
        <v/>
      </c>
      <c r="J785" s="7"/>
      <c r="K785" s="7"/>
      <c r="L785" s="14" t="str">
        <f aca="false">IF(OR($C785="",$G785=""),"",IF($B785="입고",$G785,IF($B785="출고",-$G785,$G785)))</f>
        <v/>
      </c>
      <c r="M785" s="13" t="str">
        <f aca="false">IF($C785="","",IFERROR(INDEX(품목마스터!$F$3:$F$302,MATCH($C785,품목마스터!$A$3:$A$302,0)),0)+SUMIFS($L$3:$L785,$C$3:$C785,$C785))</f>
        <v/>
      </c>
    </row>
    <row r="786" customFormat="false" ht="15" hidden="false" customHeight="true" outlineLevel="0" collapsed="false">
      <c r="A786" s="11"/>
      <c r="B786" s="7"/>
      <c r="C786" s="7"/>
      <c r="D786" s="12" t="str">
        <f aca="false">IF($C786="","",IFERROR(INDEX(품목마스터!$B$3:$B$302,MATCH($C786,품목마스터!$A$3:$A$302,0)),"미등록품번"))</f>
        <v/>
      </c>
      <c r="E786" s="12" t="str">
        <f aca="false">IF($C786="","",IFERROR(INDEX(품목마스터!$C$3:$C$302,MATCH($C786,품목마스터!$A$3:$A$302,0)),""))</f>
        <v/>
      </c>
      <c r="F786" s="12" t="str">
        <f aca="false">IF($C786="","",IFERROR(INDEX(품목마스터!$D$3:$D$302,MATCH($C786,품목마스터!$A$3:$A$302,0)),""))</f>
        <v/>
      </c>
      <c r="G786" s="9"/>
      <c r="H786" s="9"/>
      <c r="I786" s="13" t="str">
        <f aca="false">IF(OR($G786="",$H786=""),"",ROUND($G786*$H786,0))</f>
        <v/>
      </c>
      <c r="J786" s="7"/>
      <c r="K786" s="7"/>
      <c r="L786" s="14" t="str">
        <f aca="false">IF(OR($C786="",$G786=""),"",IF($B786="입고",$G786,IF($B786="출고",-$G786,$G786)))</f>
        <v/>
      </c>
      <c r="M786" s="13" t="str">
        <f aca="false">IF($C786="","",IFERROR(INDEX(품목마스터!$F$3:$F$302,MATCH($C786,품목마스터!$A$3:$A$302,0)),0)+SUMIFS($L$3:$L786,$C$3:$C786,$C786))</f>
        <v/>
      </c>
    </row>
    <row r="787" customFormat="false" ht="15" hidden="false" customHeight="true" outlineLevel="0" collapsed="false">
      <c r="A787" s="11"/>
      <c r="B787" s="7"/>
      <c r="C787" s="7"/>
      <c r="D787" s="12" t="str">
        <f aca="false">IF($C787="","",IFERROR(INDEX(품목마스터!$B$3:$B$302,MATCH($C787,품목마스터!$A$3:$A$302,0)),"미등록품번"))</f>
        <v/>
      </c>
      <c r="E787" s="12" t="str">
        <f aca="false">IF($C787="","",IFERROR(INDEX(품목마스터!$C$3:$C$302,MATCH($C787,품목마스터!$A$3:$A$302,0)),""))</f>
        <v/>
      </c>
      <c r="F787" s="12" t="str">
        <f aca="false">IF($C787="","",IFERROR(INDEX(품목마스터!$D$3:$D$302,MATCH($C787,품목마스터!$A$3:$A$302,0)),""))</f>
        <v/>
      </c>
      <c r="G787" s="9"/>
      <c r="H787" s="9"/>
      <c r="I787" s="13" t="str">
        <f aca="false">IF(OR($G787="",$H787=""),"",ROUND($G787*$H787,0))</f>
        <v/>
      </c>
      <c r="J787" s="7"/>
      <c r="K787" s="7"/>
      <c r="L787" s="14" t="str">
        <f aca="false">IF(OR($C787="",$G787=""),"",IF($B787="입고",$G787,IF($B787="출고",-$G787,$G787)))</f>
        <v/>
      </c>
      <c r="M787" s="13" t="str">
        <f aca="false">IF($C787="","",IFERROR(INDEX(품목마스터!$F$3:$F$302,MATCH($C787,품목마스터!$A$3:$A$302,0)),0)+SUMIFS($L$3:$L787,$C$3:$C787,$C787))</f>
        <v/>
      </c>
    </row>
    <row r="788" customFormat="false" ht="15" hidden="false" customHeight="true" outlineLevel="0" collapsed="false">
      <c r="A788" s="11"/>
      <c r="B788" s="7"/>
      <c r="C788" s="7"/>
      <c r="D788" s="12" t="str">
        <f aca="false">IF($C788="","",IFERROR(INDEX(품목마스터!$B$3:$B$302,MATCH($C788,품목마스터!$A$3:$A$302,0)),"미등록품번"))</f>
        <v/>
      </c>
      <c r="E788" s="12" t="str">
        <f aca="false">IF($C788="","",IFERROR(INDEX(품목마스터!$C$3:$C$302,MATCH($C788,품목마스터!$A$3:$A$302,0)),""))</f>
        <v/>
      </c>
      <c r="F788" s="12" t="str">
        <f aca="false">IF($C788="","",IFERROR(INDEX(품목마스터!$D$3:$D$302,MATCH($C788,품목마스터!$A$3:$A$302,0)),""))</f>
        <v/>
      </c>
      <c r="G788" s="9"/>
      <c r="H788" s="9"/>
      <c r="I788" s="13" t="str">
        <f aca="false">IF(OR($G788="",$H788=""),"",ROUND($G788*$H788,0))</f>
        <v/>
      </c>
      <c r="J788" s="7"/>
      <c r="K788" s="7"/>
      <c r="L788" s="14" t="str">
        <f aca="false">IF(OR($C788="",$G788=""),"",IF($B788="입고",$G788,IF($B788="출고",-$G788,$G788)))</f>
        <v/>
      </c>
      <c r="M788" s="13" t="str">
        <f aca="false">IF($C788="","",IFERROR(INDEX(품목마스터!$F$3:$F$302,MATCH($C788,품목마스터!$A$3:$A$302,0)),0)+SUMIFS($L$3:$L788,$C$3:$C788,$C788))</f>
        <v/>
      </c>
    </row>
    <row r="789" customFormat="false" ht="15" hidden="false" customHeight="true" outlineLevel="0" collapsed="false">
      <c r="A789" s="11"/>
      <c r="B789" s="7"/>
      <c r="C789" s="7"/>
      <c r="D789" s="12" t="str">
        <f aca="false">IF($C789="","",IFERROR(INDEX(품목마스터!$B$3:$B$302,MATCH($C789,품목마스터!$A$3:$A$302,0)),"미등록품번"))</f>
        <v/>
      </c>
      <c r="E789" s="12" t="str">
        <f aca="false">IF($C789="","",IFERROR(INDEX(품목마스터!$C$3:$C$302,MATCH($C789,품목마스터!$A$3:$A$302,0)),""))</f>
        <v/>
      </c>
      <c r="F789" s="12" t="str">
        <f aca="false">IF($C789="","",IFERROR(INDEX(품목마스터!$D$3:$D$302,MATCH($C789,품목마스터!$A$3:$A$302,0)),""))</f>
        <v/>
      </c>
      <c r="G789" s="9"/>
      <c r="H789" s="9"/>
      <c r="I789" s="13" t="str">
        <f aca="false">IF(OR($G789="",$H789=""),"",ROUND($G789*$H789,0))</f>
        <v/>
      </c>
      <c r="J789" s="7"/>
      <c r="K789" s="7"/>
      <c r="L789" s="14" t="str">
        <f aca="false">IF(OR($C789="",$G789=""),"",IF($B789="입고",$G789,IF($B789="출고",-$G789,$G789)))</f>
        <v/>
      </c>
      <c r="M789" s="13" t="str">
        <f aca="false">IF($C789="","",IFERROR(INDEX(품목마스터!$F$3:$F$302,MATCH($C789,품목마스터!$A$3:$A$302,0)),0)+SUMIFS($L$3:$L789,$C$3:$C789,$C789))</f>
        <v/>
      </c>
    </row>
    <row r="790" customFormat="false" ht="15" hidden="false" customHeight="true" outlineLevel="0" collapsed="false">
      <c r="A790" s="11"/>
      <c r="B790" s="7"/>
      <c r="C790" s="7"/>
      <c r="D790" s="12" t="str">
        <f aca="false">IF($C790="","",IFERROR(INDEX(품목마스터!$B$3:$B$302,MATCH($C790,품목마스터!$A$3:$A$302,0)),"미등록품번"))</f>
        <v/>
      </c>
      <c r="E790" s="12" t="str">
        <f aca="false">IF($C790="","",IFERROR(INDEX(품목마스터!$C$3:$C$302,MATCH($C790,품목마스터!$A$3:$A$302,0)),""))</f>
        <v/>
      </c>
      <c r="F790" s="12" t="str">
        <f aca="false">IF($C790="","",IFERROR(INDEX(품목마스터!$D$3:$D$302,MATCH($C790,품목마스터!$A$3:$A$302,0)),""))</f>
        <v/>
      </c>
      <c r="G790" s="9"/>
      <c r="H790" s="9"/>
      <c r="I790" s="13" t="str">
        <f aca="false">IF(OR($G790="",$H790=""),"",ROUND($G790*$H790,0))</f>
        <v/>
      </c>
      <c r="J790" s="7"/>
      <c r="K790" s="7"/>
      <c r="L790" s="14" t="str">
        <f aca="false">IF(OR($C790="",$G790=""),"",IF($B790="입고",$G790,IF($B790="출고",-$G790,$G790)))</f>
        <v/>
      </c>
      <c r="M790" s="13" t="str">
        <f aca="false">IF($C790="","",IFERROR(INDEX(품목마스터!$F$3:$F$302,MATCH($C790,품목마스터!$A$3:$A$302,0)),0)+SUMIFS($L$3:$L790,$C$3:$C790,$C790))</f>
        <v/>
      </c>
    </row>
    <row r="791" customFormat="false" ht="15" hidden="false" customHeight="true" outlineLevel="0" collapsed="false">
      <c r="A791" s="11"/>
      <c r="B791" s="7"/>
      <c r="C791" s="7"/>
      <c r="D791" s="12" t="str">
        <f aca="false">IF($C791="","",IFERROR(INDEX(품목마스터!$B$3:$B$302,MATCH($C791,품목마스터!$A$3:$A$302,0)),"미등록품번"))</f>
        <v/>
      </c>
      <c r="E791" s="12" t="str">
        <f aca="false">IF($C791="","",IFERROR(INDEX(품목마스터!$C$3:$C$302,MATCH($C791,품목마스터!$A$3:$A$302,0)),""))</f>
        <v/>
      </c>
      <c r="F791" s="12" t="str">
        <f aca="false">IF($C791="","",IFERROR(INDEX(품목마스터!$D$3:$D$302,MATCH($C791,품목마스터!$A$3:$A$302,0)),""))</f>
        <v/>
      </c>
      <c r="G791" s="9"/>
      <c r="H791" s="9"/>
      <c r="I791" s="13" t="str">
        <f aca="false">IF(OR($G791="",$H791=""),"",ROUND($G791*$H791,0))</f>
        <v/>
      </c>
      <c r="J791" s="7"/>
      <c r="K791" s="7"/>
      <c r="L791" s="14" t="str">
        <f aca="false">IF(OR($C791="",$G791=""),"",IF($B791="입고",$G791,IF($B791="출고",-$G791,$G791)))</f>
        <v/>
      </c>
      <c r="M791" s="13" t="str">
        <f aca="false">IF($C791="","",IFERROR(INDEX(품목마스터!$F$3:$F$302,MATCH($C791,품목마스터!$A$3:$A$302,0)),0)+SUMIFS($L$3:$L791,$C$3:$C791,$C791))</f>
        <v/>
      </c>
    </row>
    <row r="792" customFormat="false" ht="15" hidden="false" customHeight="true" outlineLevel="0" collapsed="false">
      <c r="A792" s="11"/>
      <c r="B792" s="7"/>
      <c r="C792" s="7"/>
      <c r="D792" s="12" t="str">
        <f aca="false">IF($C792="","",IFERROR(INDEX(품목마스터!$B$3:$B$302,MATCH($C792,품목마스터!$A$3:$A$302,0)),"미등록품번"))</f>
        <v/>
      </c>
      <c r="E792" s="12" t="str">
        <f aca="false">IF($C792="","",IFERROR(INDEX(품목마스터!$C$3:$C$302,MATCH($C792,품목마스터!$A$3:$A$302,0)),""))</f>
        <v/>
      </c>
      <c r="F792" s="12" t="str">
        <f aca="false">IF($C792="","",IFERROR(INDEX(품목마스터!$D$3:$D$302,MATCH($C792,품목마스터!$A$3:$A$302,0)),""))</f>
        <v/>
      </c>
      <c r="G792" s="9"/>
      <c r="H792" s="9"/>
      <c r="I792" s="13" t="str">
        <f aca="false">IF(OR($G792="",$H792=""),"",ROUND($G792*$H792,0))</f>
        <v/>
      </c>
      <c r="J792" s="7"/>
      <c r="K792" s="7"/>
      <c r="L792" s="14" t="str">
        <f aca="false">IF(OR($C792="",$G792=""),"",IF($B792="입고",$G792,IF($B792="출고",-$G792,$G792)))</f>
        <v/>
      </c>
      <c r="M792" s="13" t="str">
        <f aca="false">IF($C792="","",IFERROR(INDEX(품목마스터!$F$3:$F$302,MATCH($C792,품목마스터!$A$3:$A$302,0)),0)+SUMIFS($L$3:$L792,$C$3:$C792,$C792))</f>
        <v/>
      </c>
    </row>
    <row r="793" customFormat="false" ht="15" hidden="false" customHeight="true" outlineLevel="0" collapsed="false">
      <c r="A793" s="11"/>
      <c r="B793" s="7"/>
      <c r="C793" s="7"/>
      <c r="D793" s="12" t="str">
        <f aca="false">IF($C793="","",IFERROR(INDEX(품목마스터!$B$3:$B$302,MATCH($C793,품목마스터!$A$3:$A$302,0)),"미등록품번"))</f>
        <v/>
      </c>
      <c r="E793" s="12" t="str">
        <f aca="false">IF($C793="","",IFERROR(INDEX(품목마스터!$C$3:$C$302,MATCH($C793,품목마스터!$A$3:$A$302,0)),""))</f>
        <v/>
      </c>
      <c r="F793" s="12" t="str">
        <f aca="false">IF($C793="","",IFERROR(INDEX(품목마스터!$D$3:$D$302,MATCH($C793,품목마스터!$A$3:$A$302,0)),""))</f>
        <v/>
      </c>
      <c r="G793" s="9"/>
      <c r="H793" s="9"/>
      <c r="I793" s="13" t="str">
        <f aca="false">IF(OR($G793="",$H793=""),"",ROUND($G793*$H793,0))</f>
        <v/>
      </c>
      <c r="J793" s="7"/>
      <c r="K793" s="7"/>
      <c r="L793" s="14" t="str">
        <f aca="false">IF(OR($C793="",$G793=""),"",IF($B793="입고",$G793,IF($B793="출고",-$G793,$G793)))</f>
        <v/>
      </c>
      <c r="M793" s="13" t="str">
        <f aca="false">IF($C793="","",IFERROR(INDEX(품목마스터!$F$3:$F$302,MATCH($C793,품목마스터!$A$3:$A$302,0)),0)+SUMIFS($L$3:$L793,$C$3:$C793,$C793))</f>
        <v/>
      </c>
    </row>
    <row r="794" customFormat="false" ht="15" hidden="false" customHeight="true" outlineLevel="0" collapsed="false">
      <c r="A794" s="11"/>
      <c r="B794" s="7"/>
      <c r="C794" s="7"/>
      <c r="D794" s="12" t="str">
        <f aca="false">IF($C794="","",IFERROR(INDEX(품목마스터!$B$3:$B$302,MATCH($C794,품목마스터!$A$3:$A$302,0)),"미등록품번"))</f>
        <v/>
      </c>
      <c r="E794" s="12" t="str">
        <f aca="false">IF($C794="","",IFERROR(INDEX(품목마스터!$C$3:$C$302,MATCH($C794,품목마스터!$A$3:$A$302,0)),""))</f>
        <v/>
      </c>
      <c r="F794" s="12" t="str">
        <f aca="false">IF($C794="","",IFERROR(INDEX(품목마스터!$D$3:$D$302,MATCH($C794,품목마스터!$A$3:$A$302,0)),""))</f>
        <v/>
      </c>
      <c r="G794" s="9"/>
      <c r="H794" s="9"/>
      <c r="I794" s="13" t="str">
        <f aca="false">IF(OR($G794="",$H794=""),"",ROUND($G794*$H794,0))</f>
        <v/>
      </c>
      <c r="J794" s="7"/>
      <c r="K794" s="7"/>
      <c r="L794" s="14" t="str">
        <f aca="false">IF(OR($C794="",$G794=""),"",IF($B794="입고",$G794,IF($B794="출고",-$G794,$G794)))</f>
        <v/>
      </c>
      <c r="M794" s="13" t="str">
        <f aca="false">IF($C794="","",IFERROR(INDEX(품목마스터!$F$3:$F$302,MATCH($C794,품목마스터!$A$3:$A$302,0)),0)+SUMIFS($L$3:$L794,$C$3:$C794,$C794))</f>
        <v/>
      </c>
    </row>
    <row r="795" customFormat="false" ht="15" hidden="false" customHeight="true" outlineLevel="0" collapsed="false">
      <c r="A795" s="11"/>
      <c r="B795" s="7"/>
      <c r="C795" s="7"/>
      <c r="D795" s="12" t="str">
        <f aca="false">IF($C795="","",IFERROR(INDEX(품목마스터!$B$3:$B$302,MATCH($C795,품목마스터!$A$3:$A$302,0)),"미등록품번"))</f>
        <v/>
      </c>
      <c r="E795" s="12" t="str">
        <f aca="false">IF($C795="","",IFERROR(INDEX(품목마스터!$C$3:$C$302,MATCH($C795,품목마스터!$A$3:$A$302,0)),""))</f>
        <v/>
      </c>
      <c r="F795" s="12" t="str">
        <f aca="false">IF($C795="","",IFERROR(INDEX(품목마스터!$D$3:$D$302,MATCH($C795,품목마스터!$A$3:$A$302,0)),""))</f>
        <v/>
      </c>
      <c r="G795" s="9"/>
      <c r="H795" s="9"/>
      <c r="I795" s="13" t="str">
        <f aca="false">IF(OR($G795="",$H795=""),"",ROUND($G795*$H795,0))</f>
        <v/>
      </c>
      <c r="J795" s="7"/>
      <c r="K795" s="7"/>
      <c r="L795" s="14" t="str">
        <f aca="false">IF(OR($C795="",$G795=""),"",IF($B795="입고",$G795,IF($B795="출고",-$G795,$G795)))</f>
        <v/>
      </c>
      <c r="M795" s="13" t="str">
        <f aca="false">IF($C795="","",IFERROR(INDEX(품목마스터!$F$3:$F$302,MATCH($C795,품목마스터!$A$3:$A$302,0)),0)+SUMIFS($L$3:$L795,$C$3:$C795,$C795))</f>
        <v/>
      </c>
    </row>
    <row r="796" customFormat="false" ht="15" hidden="false" customHeight="true" outlineLevel="0" collapsed="false">
      <c r="A796" s="11"/>
      <c r="B796" s="7"/>
      <c r="C796" s="7"/>
      <c r="D796" s="12" t="str">
        <f aca="false">IF($C796="","",IFERROR(INDEX(품목마스터!$B$3:$B$302,MATCH($C796,품목마스터!$A$3:$A$302,0)),"미등록품번"))</f>
        <v/>
      </c>
      <c r="E796" s="12" t="str">
        <f aca="false">IF($C796="","",IFERROR(INDEX(품목마스터!$C$3:$C$302,MATCH($C796,품목마스터!$A$3:$A$302,0)),""))</f>
        <v/>
      </c>
      <c r="F796" s="12" t="str">
        <f aca="false">IF($C796="","",IFERROR(INDEX(품목마스터!$D$3:$D$302,MATCH($C796,품목마스터!$A$3:$A$302,0)),""))</f>
        <v/>
      </c>
      <c r="G796" s="9"/>
      <c r="H796" s="9"/>
      <c r="I796" s="13" t="str">
        <f aca="false">IF(OR($G796="",$H796=""),"",ROUND($G796*$H796,0))</f>
        <v/>
      </c>
      <c r="J796" s="7"/>
      <c r="K796" s="7"/>
      <c r="L796" s="14" t="str">
        <f aca="false">IF(OR($C796="",$G796=""),"",IF($B796="입고",$G796,IF($B796="출고",-$G796,$G796)))</f>
        <v/>
      </c>
      <c r="M796" s="13" t="str">
        <f aca="false">IF($C796="","",IFERROR(INDEX(품목마스터!$F$3:$F$302,MATCH($C796,품목마스터!$A$3:$A$302,0)),0)+SUMIFS($L$3:$L796,$C$3:$C796,$C796))</f>
        <v/>
      </c>
    </row>
    <row r="797" customFormat="false" ht="15" hidden="false" customHeight="true" outlineLevel="0" collapsed="false">
      <c r="A797" s="11"/>
      <c r="B797" s="7"/>
      <c r="C797" s="7"/>
      <c r="D797" s="12" t="str">
        <f aca="false">IF($C797="","",IFERROR(INDEX(품목마스터!$B$3:$B$302,MATCH($C797,품목마스터!$A$3:$A$302,0)),"미등록품번"))</f>
        <v/>
      </c>
      <c r="E797" s="12" t="str">
        <f aca="false">IF($C797="","",IFERROR(INDEX(품목마스터!$C$3:$C$302,MATCH($C797,품목마스터!$A$3:$A$302,0)),""))</f>
        <v/>
      </c>
      <c r="F797" s="12" t="str">
        <f aca="false">IF($C797="","",IFERROR(INDEX(품목마스터!$D$3:$D$302,MATCH($C797,품목마스터!$A$3:$A$302,0)),""))</f>
        <v/>
      </c>
      <c r="G797" s="9"/>
      <c r="H797" s="9"/>
      <c r="I797" s="13" t="str">
        <f aca="false">IF(OR($G797="",$H797=""),"",ROUND($G797*$H797,0))</f>
        <v/>
      </c>
      <c r="J797" s="7"/>
      <c r="K797" s="7"/>
      <c r="L797" s="14" t="str">
        <f aca="false">IF(OR($C797="",$G797=""),"",IF($B797="입고",$G797,IF($B797="출고",-$G797,$G797)))</f>
        <v/>
      </c>
      <c r="M797" s="13" t="str">
        <f aca="false">IF($C797="","",IFERROR(INDEX(품목마스터!$F$3:$F$302,MATCH($C797,품목마스터!$A$3:$A$302,0)),0)+SUMIFS($L$3:$L797,$C$3:$C797,$C797))</f>
        <v/>
      </c>
    </row>
    <row r="798" customFormat="false" ht="15" hidden="false" customHeight="true" outlineLevel="0" collapsed="false">
      <c r="A798" s="11"/>
      <c r="B798" s="7"/>
      <c r="C798" s="7"/>
      <c r="D798" s="12" t="str">
        <f aca="false">IF($C798="","",IFERROR(INDEX(품목마스터!$B$3:$B$302,MATCH($C798,품목마스터!$A$3:$A$302,0)),"미등록품번"))</f>
        <v/>
      </c>
      <c r="E798" s="12" t="str">
        <f aca="false">IF($C798="","",IFERROR(INDEX(품목마스터!$C$3:$C$302,MATCH($C798,품목마스터!$A$3:$A$302,0)),""))</f>
        <v/>
      </c>
      <c r="F798" s="12" t="str">
        <f aca="false">IF($C798="","",IFERROR(INDEX(품목마스터!$D$3:$D$302,MATCH($C798,품목마스터!$A$3:$A$302,0)),""))</f>
        <v/>
      </c>
      <c r="G798" s="9"/>
      <c r="H798" s="9"/>
      <c r="I798" s="13" t="str">
        <f aca="false">IF(OR($G798="",$H798=""),"",ROUND($G798*$H798,0))</f>
        <v/>
      </c>
      <c r="J798" s="7"/>
      <c r="K798" s="7"/>
      <c r="L798" s="14" t="str">
        <f aca="false">IF(OR($C798="",$G798=""),"",IF($B798="입고",$G798,IF($B798="출고",-$G798,$G798)))</f>
        <v/>
      </c>
      <c r="M798" s="13" t="str">
        <f aca="false">IF($C798="","",IFERROR(INDEX(품목마스터!$F$3:$F$302,MATCH($C798,품목마스터!$A$3:$A$302,0)),0)+SUMIFS($L$3:$L798,$C$3:$C798,$C798))</f>
        <v/>
      </c>
    </row>
    <row r="799" customFormat="false" ht="15" hidden="false" customHeight="true" outlineLevel="0" collapsed="false">
      <c r="A799" s="11"/>
      <c r="B799" s="7"/>
      <c r="C799" s="7"/>
      <c r="D799" s="12" t="str">
        <f aca="false">IF($C799="","",IFERROR(INDEX(품목마스터!$B$3:$B$302,MATCH($C799,품목마스터!$A$3:$A$302,0)),"미등록품번"))</f>
        <v/>
      </c>
      <c r="E799" s="12" t="str">
        <f aca="false">IF($C799="","",IFERROR(INDEX(품목마스터!$C$3:$C$302,MATCH($C799,품목마스터!$A$3:$A$302,0)),""))</f>
        <v/>
      </c>
      <c r="F799" s="12" t="str">
        <f aca="false">IF($C799="","",IFERROR(INDEX(품목마스터!$D$3:$D$302,MATCH($C799,품목마스터!$A$3:$A$302,0)),""))</f>
        <v/>
      </c>
      <c r="G799" s="9"/>
      <c r="H799" s="9"/>
      <c r="I799" s="13" t="str">
        <f aca="false">IF(OR($G799="",$H799=""),"",ROUND($G799*$H799,0))</f>
        <v/>
      </c>
      <c r="J799" s="7"/>
      <c r="K799" s="7"/>
      <c r="L799" s="14" t="str">
        <f aca="false">IF(OR($C799="",$G799=""),"",IF($B799="입고",$G799,IF($B799="출고",-$G799,$G799)))</f>
        <v/>
      </c>
      <c r="M799" s="13" t="str">
        <f aca="false">IF($C799="","",IFERROR(INDEX(품목마스터!$F$3:$F$302,MATCH($C799,품목마스터!$A$3:$A$302,0)),0)+SUMIFS($L$3:$L799,$C$3:$C799,$C799))</f>
        <v/>
      </c>
    </row>
    <row r="800" customFormat="false" ht="15" hidden="false" customHeight="true" outlineLevel="0" collapsed="false">
      <c r="A800" s="11"/>
      <c r="B800" s="7"/>
      <c r="C800" s="7"/>
      <c r="D800" s="12" t="str">
        <f aca="false">IF($C800="","",IFERROR(INDEX(품목마스터!$B$3:$B$302,MATCH($C800,품목마스터!$A$3:$A$302,0)),"미등록품번"))</f>
        <v/>
      </c>
      <c r="E800" s="12" t="str">
        <f aca="false">IF($C800="","",IFERROR(INDEX(품목마스터!$C$3:$C$302,MATCH($C800,품목마스터!$A$3:$A$302,0)),""))</f>
        <v/>
      </c>
      <c r="F800" s="12" t="str">
        <f aca="false">IF($C800="","",IFERROR(INDEX(품목마스터!$D$3:$D$302,MATCH($C800,품목마스터!$A$3:$A$302,0)),""))</f>
        <v/>
      </c>
      <c r="G800" s="9"/>
      <c r="H800" s="9"/>
      <c r="I800" s="13" t="str">
        <f aca="false">IF(OR($G800="",$H800=""),"",ROUND($G800*$H800,0))</f>
        <v/>
      </c>
      <c r="J800" s="7"/>
      <c r="K800" s="7"/>
      <c r="L800" s="14" t="str">
        <f aca="false">IF(OR($C800="",$G800=""),"",IF($B800="입고",$G800,IF($B800="출고",-$G800,$G800)))</f>
        <v/>
      </c>
      <c r="M800" s="13" t="str">
        <f aca="false">IF($C800="","",IFERROR(INDEX(품목마스터!$F$3:$F$302,MATCH($C800,품목마스터!$A$3:$A$302,0)),0)+SUMIFS($L$3:$L800,$C$3:$C800,$C800))</f>
        <v/>
      </c>
    </row>
    <row r="801" customFormat="false" ht="15" hidden="false" customHeight="true" outlineLevel="0" collapsed="false">
      <c r="A801" s="11"/>
      <c r="B801" s="7"/>
      <c r="C801" s="7"/>
      <c r="D801" s="12" t="str">
        <f aca="false">IF($C801="","",IFERROR(INDEX(품목마스터!$B$3:$B$302,MATCH($C801,품목마스터!$A$3:$A$302,0)),"미등록품번"))</f>
        <v/>
      </c>
      <c r="E801" s="12" t="str">
        <f aca="false">IF($C801="","",IFERROR(INDEX(품목마스터!$C$3:$C$302,MATCH($C801,품목마스터!$A$3:$A$302,0)),""))</f>
        <v/>
      </c>
      <c r="F801" s="12" t="str">
        <f aca="false">IF($C801="","",IFERROR(INDEX(품목마스터!$D$3:$D$302,MATCH($C801,품목마스터!$A$3:$A$302,0)),""))</f>
        <v/>
      </c>
      <c r="G801" s="9"/>
      <c r="H801" s="9"/>
      <c r="I801" s="13" t="str">
        <f aca="false">IF(OR($G801="",$H801=""),"",ROUND($G801*$H801,0))</f>
        <v/>
      </c>
      <c r="J801" s="7"/>
      <c r="K801" s="7"/>
      <c r="L801" s="14" t="str">
        <f aca="false">IF(OR($C801="",$G801=""),"",IF($B801="입고",$G801,IF($B801="출고",-$G801,$G801)))</f>
        <v/>
      </c>
      <c r="M801" s="13" t="str">
        <f aca="false">IF($C801="","",IFERROR(INDEX(품목마스터!$F$3:$F$302,MATCH($C801,품목마스터!$A$3:$A$302,0)),0)+SUMIFS($L$3:$L801,$C$3:$C801,$C801))</f>
        <v/>
      </c>
    </row>
    <row r="802" customFormat="false" ht="15" hidden="false" customHeight="true" outlineLevel="0" collapsed="false">
      <c r="A802" s="11"/>
      <c r="B802" s="7"/>
      <c r="C802" s="7"/>
      <c r="D802" s="12" t="str">
        <f aca="false">IF($C802="","",IFERROR(INDEX(품목마스터!$B$3:$B$302,MATCH($C802,품목마스터!$A$3:$A$302,0)),"미등록품번"))</f>
        <v/>
      </c>
      <c r="E802" s="12" t="str">
        <f aca="false">IF($C802="","",IFERROR(INDEX(품목마스터!$C$3:$C$302,MATCH($C802,품목마스터!$A$3:$A$302,0)),""))</f>
        <v/>
      </c>
      <c r="F802" s="12" t="str">
        <f aca="false">IF($C802="","",IFERROR(INDEX(품목마스터!$D$3:$D$302,MATCH($C802,품목마스터!$A$3:$A$302,0)),""))</f>
        <v/>
      </c>
      <c r="G802" s="9"/>
      <c r="H802" s="9"/>
      <c r="I802" s="13" t="str">
        <f aca="false">IF(OR($G802="",$H802=""),"",ROUND($G802*$H802,0))</f>
        <v/>
      </c>
      <c r="J802" s="7"/>
      <c r="K802" s="7"/>
      <c r="L802" s="14" t="str">
        <f aca="false">IF(OR($C802="",$G802=""),"",IF($B802="입고",$G802,IF($B802="출고",-$G802,$G802)))</f>
        <v/>
      </c>
      <c r="M802" s="13" t="str">
        <f aca="false">IF($C802="","",IFERROR(INDEX(품목마스터!$F$3:$F$302,MATCH($C802,품목마스터!$A$3:$A$302,0)),0)+SUMIFS($L$3:$L802,$C$3:$C802,$C802))</f>
        <v/>
      </c>
    </row>
    <row r="803" customFormat="false" ht="15" hidden="false" customHeight="true" outlineLevel="0" collapsed="false">
      <c r="A803" s="11"/>
      <c r="B803" s="7"/>
      <c r="C803" s="7"/>
      <c r="D803" s="12" t="str">
        <f aca="false">IF($C803="","",IFERROR(INDEX(품목마스터!$B$3:$B$302,MATCH($C803,품목마스터!$A$3:$A$302,0)),"미등록품번"))</f>
        <v/>
      </c>
      <c r="E803" s="12" t="str">
        <f aca="false">IF($C803="","",IFERROR(INDEX(품목마스터!$C$3:$C$302,MATCH($C803,품목마스터!$A$3:$A$302,0)),""))</f>
        <v/>
      </c>
      <c r="F803" s="12" t="str">
        <f aca="false">IF($C803="","",IFERROR(INDEX(품목마스터!$D$3:$D$302,MATCH($C803,품목마스터!$A$3:$A$302,0)),""))</f>
        <v/>
      </c>
      <c r="G803" s="9"/>
      <c r="H803" s="9"/>
      <c r="I803" s="13" t="str">
        <f aca="false">IF(OR($G803="",$H803=""),"",ROUND($G803*$H803,0))</f>
        <v/>
      </c>
      <c r="J803" s="7"/>
      <c r="K803" s="7"/>
      <c r="L803" s="14" t="str">
        <f aca="false">IF(OR($C803="",$G803=""),"",IF($B803="입고",$G803,IF($B803="출고",-$G803,$G803)))</f>
        <v/>
      </c>
      <c r="M803" s="13" t="str">
        <f aca="false">IF($C803="","",IFERROR(INDEX(품목마스터!$F$3:$F$302,MATCH($C803,품목마스터!$A$3:$A$302,0)),0)+SUMIFS($L$3:$L803,$C$3:$C803,$C803))</f>
        <v/>
      </c>
    </row>
    <row r="804" customFormat="false" ht="15" hidden="false" customHeight="true" outlineLevel="0" collapsed="false">
      <c r="A804" s="11"/>
      <c r="B804" s="7"/>
      <c r="C804" s="7"/>
      <c r="D804" s="12" t="str">
        <f aca="false">IF($C804="","",IFERROR(INDEX(품목마스터!$B$3:$B$302,MATCH($C804,품목마스터!$A$3:$A$302,0)),"미등록품번"))</f>
        <v/>
      </c>
      <c r="E804" s="12" t="str">
        <f aca="false">IF($C804="","",IFERROR(INDEX(품목마스터!$C$3:$C$302,MATCH($C804,품목마스터!$A$3:$A$302,0)),""))</f>
        <v/>
      </c>
      <c r="F804" s="12" t="str">
        <f aca="false">IF($C804="","",IFERROR(INDEX(품목마스터!$D$3:$D$302,MATCH($C804,품목마스터!$A$3:$A$302,0)),""))</f>
        <v/>
      </c>
      <c r="G804" s="9"/>
      <c r="H804" s="9"/>
      <c r="I804" s="13" t="str">
        <f aca="false">IF(OR($G804="",$H804=""),"",ROUND($G804*$H804,0))</f>
        <v/>
      </c>
      <c r="J804" s="7"/>
      <c r="K804" s="7"/>
      <c r="L804" s="14" t="str">
        <f aca="false">IF(OR($C804="",$G804=""),"",IF($B804="입고",$G804,IF($B804="출고",-$G804,$G804)))</f>
        <v/>
      </c>
      <c r="M804" s="13" t="str">
        <f aca="false">IF($C804="","",IFERROR(INDEX(품목마스터!$F$3:$F$302,MATCH($C804,품목마스터!$A$3:$A$302,0)),0)+SUMIFS($L$3:$L804,$C$3:$C804,$C804))</f>
        <v/>
      </c>
    </row>
    <row r="805" customFormat="false" ht="15" hidden="false" customHeight="true" outlineLevel="0" collapsed="false">
      <c r="A805" s="11"/>
      <c r="B805" s="7"/>
      <c r="C805" s="7"/>
      <c r="D805" s="12" t="str">
        <f aca="false">IF($C805="","",IFERROR(INDEX(품목마스터!$B$3:$B$302,MATCH($C805,품목마스터!$A$3:$A$302,0)),"미등록품번"))</f>
        <v/>
      </c>
      <c r="E805" s="12" t="str">
        <f aca="false">IF($C805="","",IFERROR(INDEX(품목마스터!$C$3:$C$302,MATCH($C805,품목마스터!$A$3:$A$302,0)),""))</f>
        <v/>
      </c>
      <c r="F805" s="12" t="str">
        <f aca="false">IF($C805="","",IFERROR(INDEX(품목마스터!$D$3:$D$302,MATCH($C805,품목마스터!$A$3:$A$302,0)),""))</f>
        <v/>
      </c>
      <c r="G805" s="9"/>
      <c r="H805" s="9"/>
      <c r="I805" s="13" t="str">
        <f aca="false">IF(OR($G805="",$H805=""),"",ROUND($G805*$H805,0))</f>
        <v/>
      </c>
      <c r="J805" s="7"/>
      <c r="K805" s="7"/>
      <c r="L805" s="14" t="str">
        <f aca="false">IF(OR($C805="",$G805=""),"",IF($B805="입고",$G805,IF($B805="출고",-$G805,$G805)))</f>
        <v/>
      </c>
      <c r="M805" s="13" t="str">
        <f aca="false">IF($C805="","",IFERROR(INDEX(품목마스터!$F$3:$F$302,MATCH($C805,품목마스터!$A$3:$A$302,0)),0)+SUMIFS($L$3:$L805,$C$3:$C805,$C805))</f>
        <v/>
      </c>
    </row>
    <row r="806" customFormat="false" ht="15" hidden="false" customHeight="true" outlineLevel="0" collapsed="false">
      <c r="A806" s="11"/>
      <c r="B806" s="7"/>
      <c r="C806" s="7"/>
      <c r="D806" s="12" t="str">
        <f aca="false">IF($C806="","",IFERROR(INDEX(품목마스터!$B$3:$B$302,MATCH($C806,품목마스터!$A$3:$A$302,0)),"미등록품번"))</f>
        <v/>
      </c>
      <c r="E806" s="12" t="str">
        <f aca="false">IF($C806="","",IFERROR(INDEX(품목마스터!$C$3:$C$302,MATCH($C806,품목마스터!$A$3:$A$302,0)),""))</f>
        <v/>
      </c>
      <c r="F806" s="12" t="str">
        <f aca="false">IF($C806="","",IFERROR(INDEX(품목마스터!$D$3:$D$302,MATCH($C806,품목마스터!$A$3:$A$302,0)),""))</f>
        <v/>
      </c>
      <c r="G806" s="9"/>
      <c r="H806" s="9"/>
      <c r="I806" s="13" t="str">
        <f aca="false">IF(OR($G806="",$H806=""),"",ROUND($G806*$H806,0))</f>
        <v/>
      </c>
      <c r="J806" s="7"/>
      <c r="K806" s="7"/>
      <c r="L806" s="14" t="str">
        <f aca="false">IF(OR($C806="",$G806=""),"",IF($B806="입고",$G806,IF($B806="출고",-$G806,$G806)))</f>
        <v/>
      </c>
      <c r="M806" s="13" t="str">
        <f aca="false">IF($C806="","",IFERROR(INDEX(품목마스터!$F$3:$F$302,MATCH($C806,품목마스터!$A$3:$A$302,0)),0)+SUMIFS($L$3:$L806,$C$3:$C806,$C806))</f>
        <v/>
      </c>
    </row>
    <row r="807" customFormat="false" ht="15" hidden="false" customHeight="true" outlineLevel="0" collapsed="false">
      <c r="A807" s="11"/>
      <c r="B807" s="7"/>
      <c r="C807" s="7"/>
      <c r="D807" s="12" t="str">
        <f aca="false">IF($C807="","",IFERROR(INDEX(품목마스터!$B$3:$B$302,MATCH($C807,품목마스터!$A$3:$A$302,0)),"미등록품번"))</f>
        <v/>
      </c>
      <c r="E807" s="12" t="str">
        <f aca="false">IF($C807="","",IFERROR(INDEX(품목마스터!$C$3:$C$302,MATCH($C807,품목마스터!$A$3:$A$302,0)),""))</f>
        <v/>
      </c>
      <c r="F807" s="12" t="str">
        <f aca="false">IF($C807="","",IFERROR(INDEX(품목마스터!$D$3:$D$302,MATCH($C807,품목마스터!$A$3:$A$302,0)),""))</f>
        <v/>
      </c>
      <c r="G807" s="9"/>
      <c r="H807" s="9"/>
      <c r="I807" s="13" t="str">
        <f aca="false">IF(OR($G807="",$H807=""),"",ROUND($G807*$H807,0))</f>
        <v/>
      </c>
      <c r="J807" s="7"/>
      <c r="K807" s="7"/>
      <c r="L807" s="14" t="str">
        <f aca="false">IF(OR($C807="",$G807=""),"",IF($B807="입고",$G807,IF($B807="출고",-$G807,$G807)))</f>
        <v/>
      </c>
      <c r="M807" s="13" t="str">
        <f aca="false">IF($C807="","",IFERROR(INDEX(품목마스터!$F$3:$F$302,MATCH($C807,품목마스터!$A$3:$A$302,0)),0)+SUMIFS($L$3:$L807,$C$3:$C807,$C807))</f>
        <v/>
      </c>
    </row>
    <row r="808" customFormat="false" ht="15" hidden="false" customHeight="true" outlineLevel="0" collapsed="false">
      <c r="A808" s="11"/>
      <c r="B808" s="7"/>
      <c r="C808" s="7"/>
      <c r="D808" s="12" t="str">
        <f aca="false">IF($C808="","",IFERROR(INDEX(품목마스터!$B$3:$B$302,MATCH($C808,품목마스터!$A$3:$A$302,0)),"미등록품번"))</f>
        <v/>
      </c>
      <c r="E808" s="12" t="str">
        <f aca="false">IF($C808="","",IFERROR(INDEX(품목마스터!$C$3:$C$302,MATCH($C808,품목마스터!$A$3:$A$302,0)),""))</f>
        <v/>
      </c>
      <c r="F808" s="12" t="str">
        <f aca="false">IF($C808="","",IFERROR(INDEX(품목마스터!$D$3:$D$302,MATCH($C808,품목마스터!$A$3:$A$302,0)),""))</f>
        <v/>
      </c>
      <c r="G808" s="9"/>
      <c r="H808" s="9"/>
      <c r="I808" s="13" t="str">
        <f aca="false">IF(OR($G808="",$H808=""),"",ROUND($G808*$H808,0))</f>
        <v/>
      </c>
      <c r="J808" s="7"/>
      <c r="K808" s="7"/>
      <c r="L808" s="14" t="str">
        <f aca="false">IF(OR($C808="",$G808=""),"",IF($B808="입고",$G808,IF($B808="출고",-$G808,$G808)))</f>
        <v/>
      </c>
      <c r="M808" s="13" t="str">
        <f aca="false">IF($C808="","",IFERROR(INDEX(품목마스터!$F$3:$F$302,MATCH($C808,품목마스터!$A$3:$A$302,0)),0)+SUMIFS($L$3:$L808,$C$3:$C808,$C808))</f>
        <v/>
      </c>
    </row>
    <row r="809" customFormat="false" ht="15" hidden="false" customHeight="true" outlineLevel="0" collapsed="false">
      <c r="A809" s="11"/>
      <c r="B809" s="7"/>
      <c r="C809" s="7"/>
      <c r="D809" s="12" t="str">
        <f aca="false">IF($C809="","",IFERROR(INDEX(품목마스터!$B$3:$B$302,MATCH($C809,품목마스터!$A$3:$A$302,0)),"미등록품번"))</f>
        <v/>
      </c>
      <c r="E809" s="12" t="str">
        <f aca="false">IF($C809="","",IFERROR(INDEX(품목마스터!$C$3:$C$302,MATCH($C809,품목마스터!$A$3:$A$302,0)),""))</f>
        <v/>
      </c>
      <c r="F809" s="12" t="str">
        <f aca="false">IF($C809="","",IFERROR(INDEX(품목마스터!$D$3:$D$302,MATCH($C809,품목마스터!$A$3:$A$302,0)),""))</f>
        <v/>
      </c>
      <c r="G809" s="9"/>
      <c r="H809" s="9"/>
      <c r="I809" s="13" t="str">
        <f aca="false">IF(OR($G809="",$H809=""),"",ROUND($G809*$H809,0))</f>
        <v/>
      </c>
      <c r="J809" s="7"/>
      <c r="K809" s="7"/>
      <c r="L809" s="14" t="str">
        <f aca="false">IF(OR($C809="",$G809=""),"",IF($B809="입고",$G809,IF($B809="출고",-$G809,$G809)))</f>
        <v/>
      </c>
      <c r="M809" s="13" t="str">
        <f aca="false">IF($C809="","",IFERROR(INDEX(품목마스터!$F$3:$F$302,MATCH($C809,품목마스터!$A$3:$A$302,0)),0)+SUMIFS($L$3:$L809,$C$3:$C809,$C809))</f>
        <v/>
      </c>
    </row>
    <row r="810" customFormat="false" ht="15" hidden="false" customHeight="true" outlineLevel="0" collapsed="false">
      <c r="A810" s="11"/>
      <c r="B810" s="7"/>
      <c r="C810" s="7"/>
      <c r="D810" s="12" t="str">
        <f aca="false">IF($C810="","",IFERROR(INDEX(품목마스터!$B$3:$B$302,MATCH($C810,품목마스터!$A$3:$A$302,0)),"미등록품번"))</f>
        <v/>
      </c>
      <c r="E810" s="12" t="str">
        <f aca="false">IF($C810="","",IFERROR(INDEX(품목마스터!$C$3:$C$302,MATCH($C810,품목마스터!$A$3:$A$302,0)),""))</f>
        <v/>
      </c>
      <c r="F810" s="12" t="str">
        <f aca="false">IF($C810="","",IFERROR(INDEX(품목마스터!$D$3:$D$302,MATCH($C810,품목마스터!$A$3:$A$302,0)),""))</f>
        <v/>
      </c>
      <c r="G810" s="9"/>
      <c r="H810" s="9"/>
      <c r="I810" s="13" t="str">
        <f aca="false">IF(OR($G810="",$H810=""),"",ROUND($G810*$H810,0))</f>
        <v/>
      </c>
      <c r="J810" s="7"/>
      <c r="K810" s="7"/>
      <c r="L810" s="14" t="str">
        <f aca="false">IF(OR($C810="",$G810=""),"",IF($B810="입고",$G810,IF($B810="출고",-$G810,$G810)))</f>
        <v/>
      </c>
      <c r="M810" s="13" t="str">
        <f aca="false">IF($C810="","",IFERROR(INDEX(품목마스터!$F$3:$F$302,MATCH($C810,품목마스터!$A$3:$A$302,0)),0)+SUMIFS($L$3:$L810,$C$3:$C810,$C810))</f>
        <v/>
      </c>
    </row>
    <row r="811" customFormat="false" ht="15" hidden="false" customHeight="true" outlineLevel="0" collapsed="false">
      <c r="A811" s="11"/>
      <c r="B811" s="7"/>
      <c r="C811" s="7"/>
      <c r="D811" s="12" t="str">
        <f aca="false">IF($C811="","",IFERROR(INDEX(품목마스터!$B$3:$B$302,MATCH($C811,품목마스터!$A$3:$A$302,0)),"미등록품번"))</f>
        <v/>
      </c>
      <c r="E811" s="12" t="str">
        <f aca="false">IF($C811="","",IFERROR(INDEX(품목마스터!$C$3:$C$302,MATCH($C811,품목마스터!$A$3:$A$302,0)),""))</f>
        <v/>
      </c>
      <c r="F811" s="12" t="str">
        <f aca="false">IF($C811="","",IFERROR(INDEX(품목마스터!$D$3:$D$302,MATCH($C811,품목마스터!$A$3:$A$302,0)),""))</f>
        <v/>
      </c>
      <c r="G811" s="9"/>
      <c r="H811" s="9"/>
      <c r="I811" s="13" t="str">
        <f aca="false">IF(OR($G811="",$H811=""),"",ROUND($G811*$H811,0))</f>
        <v/>
      </c>
      <c r="J811" s="7"/>
      <c r="K811" s="7"/>
      <c r="L811" s="14" t="str">
        <f aca="false">IF(OR($C811="",$G811=""),"",IF($B811="입고",$G811,IF($B811="출고",-$G811,$G811)))</f>
        <v/>
      </c>
      <c r="M811" s="13" t="str">
        <f aca="false">IF($C811="","",IFERROR(INDEX(품목마스터!$F$3:$F$302,MATCH($C811,품목마스터!$A$3:$A$302,0)),0)+SUMIFS($L$3:$L811,$C$3:$C811,$C811))</f>
        <v/>
      </c>
    </row>
    <row r="812" customFormat="false" ht="15" hidden="false" customHeight="true" outlineLevel="0" collapsed="false">
      <c r="A812" s="11"/>
      <c r="B812" s="7"/>
      <c r="C812" s="7"/>
      <c r="D812" s="12" t="str">
        <f aca="false">IF($C812="","",IFERROR(INDEX(품목마스터!$B$3:$B$302,MATCH($C812,품목마스터!$A$3:$A$302,0)),"미등록품번"))</f>
        <v/>
      </c>
      <c r="E812" s="12" t="str">
        <f aca="false">IF($C812="","",IFERROR(INDEX(품목마스터!$C$3:$C$302,MATCH($C812,품목마스터!$A$3:$A$302,0)),""))</f>
        <v/>
      </c>
      <c r="F812" s="12" t="str">
        <f aca="false">IF($C812="","",IFERROR(INDEX(품목마스터!$D$3:$D$302,MATCH($C812,품목마스터!$A$3:$A$302,0)),""))</f>
        <v/>
      </c>
      <c r="G812" s="9"/>
      <c r="H812" s="9"/>
      <c r="I812" s="13" t="str">
        <f aca="false">IF(OR($G812="",$H812=""),"",ROUND($G812*$H812,0))</f>
        <v/>
      </c>
      <c r="J812" s="7"/>
      <c r="K812" s="7"/>
      <c r="L812" s="14" t="str">
        <f aca="false">IF(OR($C812="",$G812=""),"",IF($B812="입고",$G812,IF($B812="출고",-$G812,$G812)))</f>
        <v/>
      </c>
      <c r="M812" s="13" t="str">
        <f aca="false">IF($C812="","",IFERROR(INDEX(품목마스터!$F$3:$F$302,MATCH($C812,품목마스터!$A$3:$A$302,0)),0)+SUMIFS($L$3:$L812,$C$3:$C812,$C812))</f>
        <v/>
      </c>
    </row>
    <row r="813" customFormat="false" ht="15" hidden="false" customHeight="true" outlineLevel="0" collapsed="false">
      <c r="A813" s="11"/>
      <c r="B813" s="7"/>
      <c r="C813" s="7"/>
      <c r="D813" s="12" t="str">
        <f aca="false">IF($C813="","",IFERROR(INDEX(품목마스터!$B$3:$B$302,MATCH($C813,품목마스터!$A$3:$A$302,0)),"미등록품번"))</f>
        <v/>
      </c>
      <c r="E813" s="12" t="str">
        <f aca="false">IF($C813="","",IFERROR(INDEX(품목마스터!$C$3:$C$302,MATCH($C813,품목마스터!$A$3:$A$302,0)),""))</f>
        <v/>
      </c>
      <c r="F813" s="12" t="str">
        <f aca="false">IF($C813="","",IFERROR(INDEX(품목마스터!$D$3:$D$302,MATCH($C813,품목마스터!$A$3:$A$302,0)),""))</f>
        <v/>
      </c>
      <c r="G813" s="9"/>
      <c r="H813" s="9"/>
      <c r="I813" s="13" t="str">
        <f aca="false">IF(OR($G813="",$H813=""),"",ROUND($G813*$H813,0))</f>
        <v/>
      </c>
      <c r="J813" s="7"/>
      <c r="K813" s="7"/>
      <c r="L813" s="14" t="str">
        <f aca="false">IF(OR($C813="",$G813=""),"",IF($B813="입고",$G813,IF($B813="출고",-$G813,$G813)))</f>
        <v/>
      </c>
      <c r="M813" s="13" t="str">
        <f aca="false">IF($C813="","",IFERROR(INDEX(품목마스터!$F$3:$F$302,MATCH($C813,품목마스터!$A$3:$A$302,0)),0)+SUMIFS($L$3:$L813,$C$3:$C813,$C813))</f>
        <v/>
      </c>
    </row>
    <row r="814" customFormat="false" ht="15" hidden="false" customHeight="true" outlineLevel="0" collapsed="false">
      <c r="A814" s="11"/>
      <c r="B814" s="7"/>
      <c r="C814" s="7"/>
      <c r="D814" s="12" t="str">
        <f aca="false">IF($C814="","",IFERROR(INDEX(품목마스터!$B$3:$B$302,MATCH($C814,품목마스터!$A$3:$A$302,0)),"미등록품번"))</f>
        <v/>
      </c>
      <c r="E814" s="12" t="str">
        <f aca="false">IF($C814="","",IFERROR(INDEX(품목마스터!$C$3:$C$302,MATCH($C814,품목마스터!$A$3:$A$302,0)),""))</f>
        <v/>
      </c>
      <c r="F814" s="12" t="str">
        <f aca="false">IF($C814="","",IFERROR(INDEX(품목마스터!$D$3:$D$302,MATCH($C814,품목마스터!$A$3:$A$302,0)),""))</f>
        <v/>
      </c>
      <c r="G814" s="9"/>
      <c r="H814" s="9"/>
      <c r="I814" s="13" t="str">
        <f aca="false">IF(OR($G814="",$H814=""),"",ROUND($G814*$H814,0))</f>
        <v/>
      </c>
      <c r="J814" s="7"/>
      <c r="K814" s="7"/>
      <c r="L814" s="14" t="str">
        <f aca="false">IF(OR($C814="",$G814=""),"",IF($B814="입고",$G814,IF($B814="출고",-$G814,$G814)))</f>
        <v/>
      </c>
      <c r="M814" s="13" t="str">
        <f aca="false">IF($C814="","",IFERROR(INDEX(품목마스터!$F$3:$F$302,MATCH($C814,품목마스터!$A$3:$A$302,0)),0)+SUMIFS($L$3:$L814,$C$3:$C814,$C814))</f>
        <v/>
      </c>
    </row>
    <row r="815" customFormat="false" ht="15" hidden="false" customHeight="true" outlineLevel="0" collapsed="false">
      <c r="A815" s="11"/>
      <c r="B815" s="7"/>
      <c r="C815" s="7"/>
      <c r="D815" s="12" t="str">
        <f aca="false">IF($C815="","",IFERROR(INDEX(품목마스터!$B$3:$B$302,MATCH($C815,품목마스터!$A$3:$A$302,0)),"미등록품번"))</f>
        <v/>
      </c>
      <c r="E815" s="12" t="str">
        <f aca="false">IF($C815="","",IFERROR(INDEX(품목마스터!$C$3:$C$302,MATCH($C815,품목마스터!$A$3:$A$302,0)),""))</f>
        <v/>
      </c>
      <c r="F815" s="12" t="str">
        <f aca="false">IF($C815="","",IFERROR(INDEX(품목마스터!$D$3:$D$302,MATCH($C815,품목마스터!$A$3:$A$302,0)),""))</f>
        <v/>
      </c>
      <c r="G815" s="9"/>
      <c r="H815" s="9"/>
      <c r="I815" s="13" t="str">
        <f aca="false">IF(OR($G815="",$H815=""),"",ROUND($G815*$H815,0))</f>
        <v/>
      </c>
      <c r="J815" s="7"/>
      <c r="K815" s="7"/>
      <c r="L815" s="14" t="str">
        <f aca="false">IF(OR($C815="",$G815=""),"",IF($B815="입고",$G815,IF($B815="출고",-$G815,$G815)))</f>
        <v/>
      </c>
      <c r="M815" s="13" t="str">
        <f aca="false">IF($C815="","",IFERROR(INDEX(품목마스터!$F$3:$F$302,MATCH($C815,품목마스터!$A$3:$A$302,0)),0)+SUMIFS($L$3:$L815,$C$3:$C815,$C815))</f>
        <v/>
      </c>
    </row>
    <row r="816" customFormat="false" ht="15" hidden="false" customHeight="true" outlineLevel="0" collapsed="false">
      <c r="A816" s="11"/>
      <c r="B816" s="7"/>
      <c r="C816" s="7"/>
      <c r="D816" s="12" t="str">
        <f aca="false">IF($C816="","",IFERROR(INDEX(품목마스터!$B$3:$B$302,MATCH($C816,품목마스터!$A$3:$A$302,0)),"미등록품번"))</f>
        <v/>
      </c>
      <c r="E816" s="12" t="str">
        <f aca="false">IF($C816="","",IFERROR(INDEX(품목마스터!$C$3:$C$302,MATCH($C816,품목마스터!$A$3:$A$302,0)),""))</f>
        <v/>
      </c>
      <c r="F816" s="12" t="str">
        <f aca="false">IF($C816="","",IFERROR(INDEX(품목마스터!$D$3:$D$302,MATCH($C816,품목마스터!$A$3:$A$302,0)),""))</f>
        <v/>
      </c>
      <c r="G816" s="9"/>
      <c r="H816" s="9"/>
      <c r="I816" s="13" t="str">
        <f aca="false">IF(OR($G816="",$H816=""),"",ROUND($G816*$H816,0))</f>
        <v/>
      </c>
      <c r="J816" s="7"/>
      <c r="K816" s="7"/>
      <c r="L816" s="14" t="str">
        <f aca="false">IF(OR($C816="",$G816=""),"",IF($B816="입고",$G816,IF($B816="출고",-$G816,$G816)))</f>
        <v/>
      </c>
      <c r="M816" s="13" t="str">
        <f aca="false">IF($C816="","",IFERROR(INDEX(품목마스터!$F$3:$F$302,MATCH($C816,품목마스터!$A$3:$A$302,0)),0)+SUMIFS($L$3:$L816,$C$3:$C816,$C816))</f>
        <v/>
      </c>
    </row>
    <row r="817" customFormat="false" ht="15" hidden="false" customHeight="true" outlineLevel="0" collapsed="false">
      <c r="A817" s="11"/>
      <c r="B817" s="7"/>
      <c r="C817" s="7"/>
      <c r="D817" s="12" t="str">
        <f aca="false">IF($C817="","",IFERROR(INDEX(품목마스터!$B$3:$B$302,MATCH($C817,품목마스터!$A$3:$A$302,0)),"미등록품번"))</f>
        <v/>
      </c>
      <c r="E817" s="12" t="str">
        <f aca="false">IF($C817="","",IFERROR(INDEX(품목마스터!$C$3:$C$302,MATCH($C817,품목마스터!$A$3:$A$302,0)),""))</f>
        <v/>
      </c>
      <c r="F817" s="12" t="str">
        <f aca="false">IF($C817="","",IFERROR(INDEX(품목마스터!$D$3:$D$302,MATCH($C817,품목마스터!$A$3:$A$302,0)),""))</f>
        <v/>
      </c>
      <c r="G817" s="9"/>
      <c r="H817" s="9"/>
      <c r="I817" s="13" t="str">
        <f aca="false">IF(OR($G817="",$H817=""),"",ROUND($G817*$H817,0))</f>
        <v/>
      </c>
      <c r="J817" s="7"/>
      <c r="K817" s="7"/>
      <c r="L817" s="14" t="str">
        <f aca="false">IF(OR($C817="",$G817=""),"",IF($B817="입고",$G817,IF($B817="출고",-$G817,$G817)))</f>
        <v/>
      </c>
      <c r="M817" s="13" t="str">
        <f aca="false">IF($C817="","",IFERROR(INDEX(품목마스터!$F$3:$F$302,MATCH($C817,품목마스터!$A$3:$A$302,0)),0)+SUMIFS($L$3:$L817,$C$3:$C817,$C817))</f>
        <v/>
      </c>
    </row>
    <row r="818" customFormat="false" ht="15" hidden="false" customHeight="true" outlineLevel="0" collapsed="false">
      <c r="A818" s="11"/>
      <c r="B818" s="7"/>
      <c r="C818" s="7"/>
      <c r="D818" s="12" t="str">
        <f aca="false">IF($C818="","",IFERROR(INDEX(품목마스터!$B$3:$B$302,MATCH($C818,품목마스터!$A$3:$A$302,0)),"미등록품번"))</f>
        <v/>
      </c>
      <c r="E818" s="12" t="str">
        <f aca="false">IF($C818="","",IFERROR(INDEX(품목마스터!$C$3:$C$302,MATCH($C818,품목마스터!$A$3:$A$302,0)),""))</f>
        <v/>
      </c>
      <c r="F818" s="12" t="str">
        <f aca="false">IF($C818="","",IFERROR(INDEX(품목마스터!$D$3:$D$302,MATCH($C818,품목마스터!$A$3:$A$302,0)),""))</f>
        <v/>
      </c>
      <c r="G818" s="9"/>
      <c r="H818" s="9"/>
      <c r="I818" s="13" t="str">
        <f aca="false">IF(OR($G818="",$H818=""),"",ROUND($G818*$H818,0))</f>
        <v/>
      </c>
      <c r="J818" s="7"/>
      <c r="K818" s="7"/>
      <c r="L818" s="14" t="str">
        <f aca="false">IF(OR($C818="",$G818=""),"",IF($B818="입고",$G818,IF($B818="출고",-$G818,$G818)))</f>
        <v/>
      </c>
      <c r="M818" s="13" t="str">
        <f aca="false">IF($C818="","",IFERROR(INDEX(품목마스터!$F$3:$F$302,MATCH($C818,품목마스터!$A$3:$A$302,0)),0)+SUMIFS($L$3:$L818,$C$3:$C818,$C818))</f>
        <v/>
      </c>
    </row>
    <row r="819" customFormat="false" ht="15" hidden="false" customHeight="true" outlineLevel="0" collapsed="false">
      <c r="A819" s="11"/>
      <c r="B819" s="7"/>
      <c r="C819" s="7"/>
      <c r="D819" s="12" t="str">
        <f aca="false">IF($C819="","",IFERROR(INDEX(품목마스터!$B$3:$B$302,MATCH($C819,품목마스터!$A$3:$A$302,0)),"미등록품번"))</f>
        <v/>
      </c>
      <c r="E819" s="12" t="str">
        <f aca="false">IF($C819="","",IFERROR(INDEX(품목마스터!$C$3:$C$302,MATCH($C819,품목마스터!$A$3:$A$302,0)),""))</f>
        <v/>
      </c>
      <c r="F819" s="12" t="str">
        <f aca="false">IF($C819="","",IFERROR(INDEX(품목마스터!$D$3:$D$302,MATCH($C819,품목마스터!$A$3:$A$302,0)),""))</f>
        <v/>
      </c>
      <c r="G819" s="9"/>
      <c r="H819" s="9"/>
      <c r="I819" s="13" t="str">
        <f aca="false">IF(OR($G819="",$H819=""),"",ROUND($G819*$H819,0))</f>
        <v/>
      </c>
      <c r="J819" s="7"/>
      <c r="K819" s="7"/>
      <c r="L819" s="14" t="str">
        <f aca="false">IF(OR($C819="",$G819=""),"",IF($B819="입고",$G819,IF($B819="출고",-$G819,$G819)))</f>
        <v/>
      </c>
      <c r="M819" s="13" t="str">
        <f aca="false">IF($C819="","",IFERROR(INDEX(품목마스터!$F$3:$F$302,MATCH($C819,품목마스터!$A$3:$A$302,0)),0)+SUMIFS($L$3:$L819,$C$3:$C819,$C819))</f>
        <v/>
      </c>
    </row>
    <row r="820" customFormat="false" ht="15" hidden="false" customHeight="true" outlineLevel="0" collapsed="false">
      <c r="A820" s="11"/>
      <c r="B820" s="7"/>
      <c r="C820" s="7"/>
      <c r="D820" s="12" t="str">
        <f aca="false">IF($C820="","",IFERROR(INDEX(품목마스터!$B$3:$B$302,MATCH($C820,품목마스터!$A$3:$A$302,0)),"미등록품번"))</f>
        <v/>
      </c>
      <c r="E820" s="12" t="str">
        <f aca="false">IF($C820="","",IFERROR(INDEX(품목마스터!$C$3:$C$302,MATCH($C820,품목마스터!$A$3:$A$302,0)),""))</f>
        <v/>
      </c>
      <c r="F820" s="12" t="str">
        <f aca="false">IF($C820="","",IFERROR(INDEX(품목마스터!$D$3:$D$302,MATCH($C820,품목마스터!$A$3:$A$302,0)),""))</f>
        <v/>
      </c>
      <c r="G820" s="9"/>
      <c r="H820" s="9"/>
      <c r="I820" s="13" t="str">
        <f aca="false">IF(OR($G820="",$H820=""),"",ROUND($G820*$H820,0))</f>
        <v/>
      </c>
      <c r="J820" s="7"/>
      <c r="K820" s="7"/>
      <c r="L820" s="14" t="str">
        <f aca="false">IF(OR($C820="",$G820=""),"",IF($B820="입고",$G820,IF($B820="출고",-$G820,$G820)))</f>
        <v/>
      </c>
      <c r="M820" s="13" t="str">
        <f aca="false">IF($C820="","",IFERROR(INDEX(품목마스터!$F$3:$F$302,MATCH($C820,품목마스터!$A$3:$A$302,0)),0)+SUMIFS($L$3:$L820,$C$3:$C820,$C820))</f>
        <v/>
      </c>
    </row>
    <row r="821" customFormat="false" ht="15" hidden="false" customHeight="true" outlineLevel="0" collapsed="false">
      <c r="A821" s="11"/>
      <c r="B821" s="7"/>
      <c r="C821" s="7"/>
      <c r="D821" s="12" t="str">
        <f aca="false">IF($C821="","",IFERROR(INDEX(품목마스터!$B$3:$B$302,MATCH($C821,품목마스터!$A$3:$A$302,0)),"미등록품번"))</f>
        <v/>
      </c>
      <c r="E821" s="12" t="str">
        <f aca="false">IF($C821="","",IFERROR(INDEX(품목마스터!$C$3:$C$302,MATCH($C821,품목마스터!$A$3:$A$302,0)),""))</f>
        <v/>
      </c>
      <c r="F821" s="12" t="str">
        <f aca="false">IF($C821="","",IFERROR(INDEX(품목마스터!$D$3:$D$302,MATCH($C821,품목마스터!$A$3:$A$302,0)),""))</f>
        <v/>
      </c>
      <c r="G821" s="9"/>
      <c r="H821" s="9"/>
      <c r="I821" s="13" t="str">
        <f aca="false">IF(OR($G821="",$H821=""),"",ROUND($G821*$H821,0))</f>
        <v/>
      </c>
      <c r="J821" s="7"/>
      <c r="K821" s="7"/>
      <c r="L821" s="14" t="str">
        <f aca="false">IF(OR($C821="",$G821=""),"",IF($B821="입고",$G821,IF($B821="출고",-$G821,$G821)))</f>
        <v/>
      </c>
      <c r="M821" s="13" t="str">
        <f aca="false">IF($C821="","",IFERROR(INDEX(품목마스터!$F$3:$F$302,MATCH($C821,품목마스터!$A$3:$A$302,0)),0)+SUMIFS($L$3:$L821,$C$3:$C821,$C821))</f>
        <v/>
      </c>
    </row>
    <row r="822" customFormat="false" ht="15" hidden="false" customHeight="true" outlineLevel="0" collapsed="false">
      <c r="A822" s="11"/>
      <c r="B822" s="7"/>
      <c r="C822" s="7"/>
      <c r="D822" s="12" t="str">
        <f aca="false">IF($C822="","",IFERROR(INDEX(품목마스터!$B$3:$B$302,MATCH($C822,품목마스터!$A$3:$A$302,0)),"미등록품번"))</f>
        <v/>
      </c>
      <c r="E822" s="12" t="str">
        <f aca="false">IF($C822="","",IFERROR(INDEX(품목마스터!$C$3:$C$302,MATCH($C822,품목마스터!$A$3:$A$302,0)),""))</f>
        <v/>
      </c>
      <c r="F822" s="12" t="str">
        <f aca="false">IF($C822="","",IFERROR(INDEX(품목마스터!$D$3:$D$302,MATCH($C822,품목마스터!$A$3:$A$302,0)),""))</f>
        <v/>
      </c>
      <c r="G822" s="9"/>
      <c r="H822" s="9"/>
      <c r="I822" s="13" t="str">
        <f aca="false">IF(OR($G822="",$H822=""),"",ROUND($G822*$H822,0))</f>
        <v/>
      </c>
      <c r="J822" s="7"/>
      <c r="K822" s="7"/>
      <c r="L822" s="14" t="str">
        <f aca="false">IF(OR($C822="",$G822=""),"",IF($B822="입고",$G822,IF($B822="출고",-$G822,$G822)))</f>
        <v/>
      </c>
      <c r="M822" s="13" t="str">
        <f aca="false">IF($C822="","",IFERROR(INDEX(품목마스터!$F$3:$F$302,MATCH($C822,품목마스터!$A$3:$A$302,0)),0)+SUMIFS($L$3:$L822,$C$3:$C822,$C822))</f>
        <v/>
      </c>
    </row>
    <row r="823" customFormat="false" ht="15" hidden="false" customHeight="true" outlineLevel="0" collapsed="false">
      <c r="A823" s="11"/>
      <c r="B823" s="7"/>
      <c r="C823" s="7"/>
      <c r="D823" s="12" t="str">
        <f aca="false">IF($C823="","",IFERROR(INDEX(품목마스터!$B$3:$B$302,MATCH($C823,품목마스터!$A$3:$A$302,0)),"미등록품번"))</f>
        <v/>
      </c>
      <c r="E823" s="12" t="str">
        <f aca="false">IF($C823="","",IFERROR(INDEX(품목마스터!$C$3:$C$302,MATCH($C823,품목마스터!$A$3:$A$302,0)),""))</f>
        <v/>
      </c>
      <c r="F823" s="12" t="str">
        <f aca="false">IF($C823="","",IFERROR(INDEX(품목마스터!$D$3:$D$302,MATCH($C823,품목마스터!$A$3:$A$302,0)),""))</f>
        <v/>
      </c>
      <c r="G823" s="9"/>
      <c r="H823" s="9"/>
      <c r="I823" s="13" t="str">
        <f aca="false">IF(OR($G823="",$H823=""),"",ROUND($G823*$H823,0))</f>
        <v/>
      </c>
      <c r="J823" s="7"/>
      <c r="K823" s="7"/>
      <c r="L823" s="14" t="str">
        <f aca="false">IF(OR($C823="",$G823=""),"",IF($B823="입고",$G823,IF($B823="출고",-$G823,$G823)))</f>
        <v/>
      </c>
      <c r="M823" s="13" t="str">
        <f aca="false">IF($C823="","",IFERROR(INDEX(품목마스터!$F$3:$F$302,MATCH($C823,품목마스터!$A$3:$A$302,0)),0)+SUMIFS($L$3:$L823,$C$3:$C823,$C823))</f>
        <v/>
      </c>
    </row>
    <row r="824" customFormat="false" ht="15" hidden="false" customHeight="true" outlineLevel="0" collapsed="false">
      <c r="A824" s="11"/>
      <c r="B824" s="7"/>
      <c r="C824" s="7"/>
      <c r="D824" s="12" t="str">
        <f aca="false">IF($C824="","",IFERROR(INDEX(품목마스터!$B$3:$B$302,MATCH($C824,품목마스터!$A$3:$A$302,0)),"미등록품번"))</f>
        <v/>
      </c>
      <c r="E824" s="12" t="str">
        <f aca="false">IF($C824="","",IFERROR(INDEX(품목마스터!$C$3:$C$302,MATCH($C824,품목마스터!$A$3:$A$302,0)),""))</f>
        <v/>
      </c>
      <c r="F824" s="12" t="str">
        <f aca="false">IF($C824="","",IFERROR(INDEX(품목마스터!$D$3:$D$302,MATCH($C824,품목마스터!$A$3:$A$302,0)),""))</f>
        <v/>
      </c>
      <c r="G824" s="9"/>
      <c r="H824" s="9"/>
      <c r="I824" s="13" t="str">
        <f aca="false">IF(OR($G824="",$H824=""),"",ROUND($G824*$H824,0))</f>
        <v/>
      </c>
      <c r="J824" s="7"/>
      <c r="K824" s="7"/>
      <c r="L824" s="14" t="str">
        <f aca="false">IF(OR($C824="",$G824=""),"",IF($B824="입고",$G824,IF($B824="출고",-$G824,$G824)))</f>
        <v/>
      </c>
      <c r="M824" s="13" t="str">
        <f aca="false">IF($C824="","",IFERROR(INDEX(품목마스터!$F$3:$F$302,MATCH($C824,품목마스터!$A$3:$A$302,0)),0)+SUMIFS($L$3:$L824,$C$3:$C824,$C824))</f>
        <v/>
      </c>
    </row>
    <row r="825" customFormat="false" ht="15" hidden="false" customHeight="true" outlineLevel="0" collapsed="false">
      <c r="A825" s="11"/>
      <c r="B825" s="7"/>
      <c r="C825" s="7"/>
      <c r="D825" s="12" t="str">
        <f aca="false">IF($C825="","",IFERROR(INDEX(품목마스터!$B$3:$B$302,MATCH($C825,품목마스터!$A$3:$A$302,0)),"미등록품번"))</f>
        <v/>
      </c>
      <c r="E825" s="12" t="str">
        <f aca="false">IF($C825="","",IFERROR(INDEX(품목마스터!$C$3:$C$302,MATCH($C825,품목마스터!$A$3:$A$302,0)),""))</f>
        <v/>
      </c>
      <c r="F825" s="12" t="str">
        <f aca="false">IF($C825="","",IFERROR(INDEX(품목마스터!$D$3:$D$302,MATCH($C825,품목마스터!$A$3:$A$302,0)),""))</f>
        <v/>
      </c>
      <c r="G825" s="9"/>
      <c r="H825" s="9"/>
      <c r="I825" s="13" t="str">
        <f aca="false">IF(OR($G825="",$H825=""),"",ROUND($G825*$H825,0))</f>
        <v/>
      </c>
      <c r="J825" s="7"/>
      <c r="K825" s="7"/>
      <c r="L825" s="14" t="str">
        <f aca="false">IF(OR($C825="",$G825=""),"",IF($B825="입고",$G825,IF($B825="출고",-$G825,$G825)))</f>
        <v/>
      </c>
      <c r="M825" s="13" t="str">
        <f aca="false">IF($C825="","",IFERROR(INDEX(품목마스터!$F$3:$F$302,MATCH($C825,품목마스터!$A$3:$A$302,0)),0)+SUMIFS($L$3:$L825,$C$3:$C825,$C825))</f>
        <v/>
      </c>
    </row>
    <row r="826" customFormat="false" ht="15" hidden="false" customHeight="true" outlineLevel="0" collapsed="false">
      <c r="A826" s="11"/>
      <c r="B826" s="7"/>
      <c r="C826" s="7"/>
      <c r="D826" s="12" t="str">
        <f aca="false">IF($C826="","",IFERROR(INDEX(품목마스터!$B$3:$B$302,MATCH($C826,품목마스터!$A$3:$A$302,0)),"미등록품번"))</f>
        <v/>
      </c>
      <c r="E826" s="12" t="str">
        <f aca="false">IF($C826="","",IFERROR(INDEX(품목마스터!$C$3:$C$302,MATCH($C826,품목마스터!$A$3:$A$302,0)),""))</f>
        <v/>
      </c>
      <c r="F826" s="12" t="str">
        <f aca="false">IF($C826="","",IFERROR(INDEX(품목마스터!$D$3:$D$302,MATCH($C826,품목마스터!$A$3:$A$302,0)),""))</f>
        <v/>
      </c>
      <c r="G826" s="9"/>
      <c r="H826" s="9"/>
      <c r="I826" s="13" t="str">
        <f aca="false">IF(OR($G826="",$H826=""),"",ROUND($G826*$H826,0))</f>
        <v/>
      </c>
      <c r="J826" s="7"/>
      <c r="K826" s="7"/>
      <c r="L826" s="14" t="str">
        <f aca="false">IF(OR($C826="",$G826=""),"",IF($B826="입고",$G826,IF($B826="출고",-$G826,$G826)))</f>
        <v/>
      </c>
      <c r="M826" s="13" t="str">
        <f aca="false">IF($C826="","",IFERROR(INDEX(품목마스터!$F$3:$F$302,MATCH($C826,품목마스터!$A$3:$A$302,0)),0)+SUMIFS($L$3:$L826,$C$3:$C826,$C826))</f>
        <v/>
      </c>
    </row>
    <row r="827" customFormat="false" ht="15" hidden="false" customHeight="true" outlineLevel="0" collapsed="false">
      <c r="A827" s="11"/>
      <c r="B827" s="7"/>
      <c r="C827" s="7"/>
      <c r="D827" s="12" t="str">
        <f aca="false">IF($C827="","",IFERROR(INDEX(품목마스터!$B$3:$B$302,MATCH($C827,품목마스터!$A$3:$A$302,0)),"미등록품번"))</f>
        <v/>
      </c>
      <c r="E827" s="12" t="str">
        <f aca="false">IF($C827="","",IFERROR(INDEX(품목마스터!$C$3:$C$302,MATCH($C827,품목마스터!$A$3:$A$302,0)),""))</f>
        <v/>
      </c>
      <c r="F827" s="12" t="str">
        <f aca="false">IF($C827="","",IFERROR(INDEX(품목마스터!$D$3:$D$302,MATCH($C827,품목마스터!$A$3:$A$302,0)),""))</f>
        <v/>
      </c>
      <c r="G827" s="9"/>
      <c r="H827" s="9"/>
      <c r="I827" s="13" t="str">
        <f aca="false">IF(OR($G827="",$H827=""),"",ROUND($G827*$H827,0))</f>
        <v/>
      </c>
      <c r="J827" s="7"/>
      <c r="K827" s="7"/>
      <c r="L827" s="14" t="str">
        <f aca="false">IF(OR($C827="",$G827=""),"",IF($B827="입고",$G827,IF($B827="출고",-$G827,$G827)))</f>
        <v/>
      </c>
      <c r="M827" s="13" t="str">
        <f aca="false">IF($C827="","",IFERROR(INDEX(품목마스터!$F$3:$F$302,MATCH($C827,품목마스터!$A$3:$A$302,0)),0)+SUMIFS($L$3:$L827,$C$3:$C827,$C827))</f>
        <v/>
      </c>
    </row>
    <row r="828" customFormat="false" ht="15" hidden="false" customHeight="true" outlineLevel="0" collapsed="false">
      <c r="A828" s="11"/>
      <c r="B828" s="7"/>
      <c r="C828" s="7"/>
      <c r="D828" s="12" t="str">
        <f aca="false">IF($C828="","",IFERROR(INDEX(품목마스터!$B$3:$B$302,MATCH($C828,품목마스터!$A$3:$A$302,0)),"미등록품번"))</f>
        <v/>
      </c>
      <c r="E828" s="12" t="str">
        <f aca="false">IF($C828="","",IFERROR(INDEX(품목마스터!$C$3:$C$302,MATCH($C828,품목마스터!$A$3:$A$302,0)),""))</f>
        <v/>
      </c>
      <c r="F828" s="12" t="str">
        <f aca="false">IF($C828="","",IFERROR(INDEX(품목마스터!$D$3:$D$302,MATCH($C828,품목마스터!$A$3:$A$302,0)),""))</f>
        <v/>
      </c>
      <c r="G828" s="9"/>
      <c r="H828" s="9"/>
      <c r="I828" s="13" t="str">
        <f aca="false">IF(OR($G828="",$H828=""),"",ROUND($G828*$H828,0))</f>
        <v/>
      </c>
      <c r="J828" s="7"/>
      <c r="K828" s="7"/>
      <c r="L828" s="14" t="str">
        <f aca="false">IF(OR($C828="",$G828=""),"",IF($B828="입고",$G828,IF($B828="출고",-$G828,$G828)))</f>
        <v/>
      </c>
      <c r="M828" s="13" t="str">
        <f aca="false">IF($C828="","",IFERROR(INDEX(품목마스터!$F$3:$F$302,MATCH($C828,품목마스터!$A$3:$A$302,0)),0)+SUMIFS($L$3:$L828,$C$3:$C828,$C828))</f>
        <v/>
      </c>
    </row>
    <row r="829" customFormat="false" ht="15" hidden="false" customHeight="true" outlineLevel="0" collapsed="false">
      <c r="A829" s="11"/>
      <c r="B829" s="7"/>
      <c r="C829" s="7"/>
      <c r="D829" s="12" t="str">
        <f aca="false">IF($C829="","",IFERROR(INDEX(품목마스터!$B$3:$B$302,MATCH($C829,품목마스터!$A$3:$A$302,0)),"미등록품번"))</f>
        <v/>
      </c>
      <c r="E829" s="12" t="str">
        <f aca="false">IF($C829="","",IFERROR(INDEX(품목마스터!$C$3:$C$302,MATCH($C829,품목마스터!$A$3:$A$302,0)),""))</f>
        <v/>
      </c>
      <c r="F829" s="12" t="str">
        <f aca="false">IF($C829="","",IFERROR(INDEX(품목마스터!$D$3:$D$302,MATCH($C829,품목마스터!$A$3:$A$302,0)),""))</f>
        <v/>
      </c>
      <c r="G829" s="9"/>
      <c r="H829" s="9"/>
      <c r="I829" s="13" t="str">
        <f aca="false">IF(OR($G829="",$H829=""),"",ROUND($G829*$H829,0))</f>
        <v/>
      </c>
      <c r="J829" s="7"/>
      <c r="K829" s="7"/>
      <c r="L829" s="14" t="str">
        <f aca="false">IF(OR($C829="",$G829=""),"",IF($B829="입고",$G829,IF($B829="출고",-$G829,$G829)))</f>
        <v/>
      </c>
      <c r="M829" s="13" t="str">
        <f aca="false">IF($C829="","",IFERROR(INDEX(품목마스터!$F$3:$F$302,MATCH($C829,품목마스터!$A$3:$A$302,0)),0)+SUMIFS($L$3:$L829,$C$3:$C829,$C829))</f>
        <v/>
      </c>
    </row>
    <row r="830" customFormat="false" ht="15" hidden="false" customHeight="true" outlineLevel="0" collapsed="false">
      <c r="A830" s="11"/>
      <c r="B830" s="7"/>
      <c r="C830" s="7"/>
      <c r="D830" s="12" t="str">
        <f aca="false">IF($C830="","",IFERROR(INDEX(품목마스터!$B$3:$B$302,MATCH($C830,품목마스터!$A$3:$A$302,0)),"미등록품번"))</f>
        <v/>
      </c>
      <c r="E830" s="12" t="str">
        <f aca="false">IF($C830="","",IFERROR(INDEX(품목마스터!$C$3:$C$302,MATCH($C830,품목마스터!$A$3:$A$302,0)),""))</f>
        <v/>
      </c>
      <c r="F830" s="12" t="str">
        <f aca="false">IF($C830="","",IFERROR(INDEX(품목마스터!$D$3:$D$302,MATCH($C830,품목마스터!$A$3:$A$302,0)),""))</f>
        <v/>
      </c>
      <c r="G830" s="9"/>
      <c r="H830" s="9"/>
      <c r="I830" s="13" t="str">
        <f aca="false">IF(OR($G830="",$H830=""),"",ROUND($G830*$H830,0))</f>
        <v/>
      </c>
      <c r="J830" s="7"/>
      <c r="K830" s="7"/>
      <c r="L830" s="14" t="str">
        <f aca="false">IF(OR($C830="",$G830=""),"",IF($B830="입고",$G830,IF($B830="출고",-$G830,$G830)))</f>
        <v/>
      </c>
      <c r="M830" s="13" t="str">
        <f aca="false">IF($C830="","",IFERROR(INDEX(품목마스터!$F$3:$F$302,MATCH($C830,품목마스터!$A$3:$A$302,0)),0)+SUMIFS($L$3:$L830,$C$3:$C830,$C830))</f>
        <v/>
      </c>
    </row>
    <row r="831" customFormat="false" ht="15" hidden="false" customHeight="true" outlineLevel="0" collapsed="false">
      <c r="A831" s="11"/>
      <c r="B831" s="7"/>
      <c r="C831" s="7"/>
      <c r="D831" s="12" t="str">
        <f aca="false">IF($C831="","",IFERROR(INDEX(품목마스터!$B$3:$B$302,MATCH($C831,품목마스터!$A$3:$A$302,0)),"미등록품번"))</f>
        <v/>
      </c>
      <c r="E831" s="12" t="str">
        <f aca="false">IF($C831="","",IFERROR(INDEX(품목마스터!$C$3:$C$302,MATCH($C831,품목마스터!$A$3:$A$302,0)),""))</f>
        <v/>
      </c>
      <c r="F831" s="12" t="str">
        <f aca="false">IF($C831="","",IFERROR(INDEX(품목마스터!$D$3:$D$302,MATCH($C831,품목마스터!$A$3:$A$302,0)),""))</f>
        <v/>
      </c>
      <c r="G831" s="9"/>
      <c r="H831" s="9"/>
      <c r="I831" s="13" t="str">
        <f aca="false">IF(OR($G831="",$H831=""),"",ROUND($G831*$H831,0))</f>
        <v/>
      </c>
      <c r="J831" s="7"/>
      <c r="K831" s="7"/>
      <c r="L831" s="14" t="str">
        <f aca="false">IF(OR($C831="",$G831=""),"",IF($B831="입고",$G831,IF($B831="출고",-$G831,$G831)))</f>
        <v/>
      </c>
      <c r="M831" s="13" t="str">
        <f aca="false">IF($C831="","",IFERROR(INDEX(품목마스터!$F$3:$F$302,MATCH($C831,품목마스터!$A$3:$A$302,0)),0)+SUMIFS($L$3:$L831,$C$3:$C831,$C831))</f>
        <v/>
      </c>
    </row>
    <row r="832" customFormat="false" ht="15" hidden="false" customHeight="true" outlineLevel="0" collapsed="false">
      <c r="A832" s="11"/>
      <c r="B832" s="7"/>
      <c r="C832" s="7"/>
      <c r="D832" s="12" t="str">
        <f aca="false">IF($C832="","",IFERROR(INDEX(품목마스터!$B$3:$B$302,MATCH($C832,품목마스터!$A$3:$A$302,0)),"미등록품번"))</f>
        <v/>
      </c>
      <c r="E832" s="12" t="str">
        <f aca="false">IF($C832="","",IFERROR(INDEX(품목마스터!$C$3:$C$302,MATCH($C832,품목마스터!$A$3:$A$302,0)),""))</f>
        <v/>
      </c>
      <c r="F832" s="12" t="str">
        <f aca="false">IF($C832="","",IFERROR(INDEX(품목마스터!$D$3:$D$302,MATCH($C832,품목마스터!$A$3:$A$302,0)),""))</f>
        <v/>
      </c>
      <c r="G832" s="9"/>
      <c r="H832" s="9"/>
      <c r="I832" s="13" t="str">
        <f aca="false">IF(OR($G832="",$H832=""),"",ROUND($G832*$H832,0))</f>
        <v/>
      </c>
      <c r="J832" s="7"/>
      <c r="K832" s="7"/>
      <c r="L832" s="14" t="str">
        <f aca="false">IF(OR($C832="",$G832=""),"",IF($B832="입고",$G832,IF($B832="출고",-$G832,$G832)))</f>
        <v/>
      </c>
      <c r="M832" s="13" t="str">
        <f aca="false">IF($C832="","",IFERROR(INDEX(품목마스터!$F$3:$F$302,MATCH($C832,품목마스터!$A$3:$A$302,0)),0)+SUMIFS($L$3:$L832,$C$3:$C832,$C832))</f>
        <v/>
      </c>
    </row>
    <row r="833" customFormat="false" ht="15" hidden="false" customHeight="true" outlineLevel="0" collapsed="false">
      <c r="A833" s="11"/>
      <c r="B833" s="7"/>
      <c r="C833" s="7"/>
      <c r="D833" s="12" t="str">
        <f aca="false">IF($C833="","",IFERROR(INDEX(품목마스터!$B$3:$B$302,MATCH($C833,품목마스터!$A$3:$A$302,0)),"미등록품번"))</f>
        <v/>
      </c>
      <c r="E833" s="12" t="str">
        <f aca="false">IF($C833="","",IFERROR(INDEX(품목마스터!$C$3:$C$302,MATCH($C833,품목마스터!$A$3:$A$302,0)),""))</f>
        <v/>
      </c>
      <c r="F833" s="12" t="str">
        <f aca="false">IF($C833="","",IFERROR(INDEX(품목마스터!$D$3:$D$302,MATCH($C833,품목마스터!$A$3:$A$302,0)),""))</f>
        <v/>
      </c>
      <c r="G833" s="9"/>
      <c r="H833" s="9"/>
      <c r="I833" s="13" t="str">
        <f aca="false">IF(OR($G833="",$H833=""),"",ROUND($G833*$H833,0))</f>
        <v/>
      </c>
      <c r="J833" s="7"/>
      <c r="K833" s="7"/>
      <c r="L833" s="14" t="str">
        <f aca="false">IF(OR($C833="",$G833=""),"",IF($B833="입고",$G833,IF($B833="출고",-$G833,$G833)))</f>
        <v/>
      </c>
      <c r="M833" s="13" t="str">
        <f aca="false">IF($C833="","",IFERROR(INDEX(품목마스터!$F$3:$F$302,MATCH($C833,품목마스터!$A$3:$A$302,0)),0)+SUMIFS($L$3:$L833,$C$3:$C833,$C833))</f>
        <v/>
      </c>
    </row>
    <row r="834" customFormat="false" ht="15" hidden="false" customHeight="true" outlineLevel="0" collapsed="false">
      <c r="A834" s="11"/>
      <c r="B834" s="7"/>
      <c r="C834" s="7"/>
      <c r="D834" s="12" t="str">
        <f aca="false">IF($C834="","",IFERROR(INDEX(품목마스터!$B$3:$B$302,MATCH($C834,품목마스터!$A$3:$A$302,0)),"미등록품번"))</f>
        <v/>
      </c>
      <c r="E834" s="12" t="str">
        <f aca="false">IF($C834="","",IFERROR(INDEX(품목마스터!$C$3:$C$302,MATCH($C834,품목마스터!$A$3:$A$302,0)),""))</f>
        <v/>
      </c>
      <c r="F834" s="12" t="str">
        <f aca="false">IF($C834="","",IFERROR(INDEX(품목마스터!$D$3:$D$302,MATCH($C834,품목마스터!$A$3:$A$302,0)),""))</f>
        <v/>
      </c>
      <c r="G834" s="9"/>
      <c r="H834" s="9"/>
      <c r="I834" s="13" t="str">
        <f aca="false">IF(OR($G834="",$H834=""),"",ROUND($G834*$H834,0))</f>
        <v/>
      </c>
      <c r="J834" s="7"/>
      <c r="K834" s="7"/>
      <c r="L834" s="14" t="str">
        <f aca="false">IF(OR($C834="",$G834=""),"",IF($B834="입고",$G834,IF($B834="출고",-$G834,$G834)))</f>
        <v/>
      </c>
      <c r="M834" s="13" t="str">
        <f aca="false">IF($C834="","",IFERROR(INDEX(품목마스터!$F$3:$F$302,MATCH($C834,품목마스터!$A$3:$A$302,0)),0)+SUMIFS($L$3:$L834,$C$3:$C834,$C834))</f>
        <v/>
      </c>
    </row>
    <row r="835" customFormat="false" ht="15" hidden="false" customHeight="true" outlineLevel="0" collapsed="false">
      <c r="A835" s="11"/>
      <c r="B835" s="7"/>
      <c r="C835" s="7"/>
      <c r="D835" s="12" t="str">
        <f aca="false">IF($C835="","",IFERROR(INDEX(품목마스터!$B$3:$B$302,MATCH($C835,품목마스터!$A$3:$A$302,0)),"미등록품번"))</f>
        <v/>
      </c>
      <c r="E835" s="12" t="str">
        <f aca="false">IF($C835="","",IFERROR(INDEX(품목마스터!$C$3:$C$302,MATCH($C835,품목마스터!$A$3:$A$302,0)),""))</f>
        <v/>
      </c>
      <c r="F835" s="12" t="str">
        <f aca="false">IF($C835="","",IFERROR(INDEX(품목마스터!$D$3:$D$302,MATCH($C835,품목마스터!$A$3:$A$302,0)),""))</f>
        <v/>
      </c>
      <c r="G835" s="9"/>
      <c r="H835" s="9"/>
      <c r="I835" s="13" t="str">
        <f aca="false">IF(OR($G835="",$H835=""),"",ROUND($G835*$H835,0))</f>
        <v/>
      </c>
      <c r="J835" s="7"/>
      <c r="K835" s="7"/>
      <c r="L835" s="14" t="str">
        <f aca="false">IF(OR($C835="",$G835=""),"",IF($B835="입고",$G835,IF($B835="출고",-$G835,$G835)))</f>
        <v/>
      </c>
      <c r="M835" s="13" t="str">
        <f aca="false">IF($C835="","",IFERROR(INDEX(품목마스터!$F$3:$F$302,MATCH($C835,품목마스터!$A$3:$A$302,0)),0)+SUMIFS($L$3:$L835,$C$3:$C835,$C835))</f>
        <v/>
      </c>
    </row>
    <row r="836" customFormat="false" ht="15" hidden="false" customHeight="true" outlineLevel="0" collapsed="false">
      <c r="A836" s="11"/>
      <c r="B836" s="7"/>
      <c r="C836" s="7"/>
      <c r="D836" s="12" t="str">
        <f aca="false">IF($C836="","",IFERROR(INDEX(품목마스터!$B$3:$B$302,MATCH($C836,품목마스터!$A$3:$A$302,0)),"미등록품번"))</f>
        <v/>
      </c>
      <c r="E836" s="12" t="str">
        <f aca="false">IF($C836="","",IFERROR(INDEX(품목마스터!$C$3:$C$302,MATCH($C836,품목마스터!$A$3:$A$302,0)),""))</f>
        <v/>
      </c>
      <c r="F836" s="12" t="str">
        <f aca="false">IF($C836="","",IFERROR(INDEX(품목마스터!$D$3:$D$302,MATCH($C836,품목마스터!$A$3:$A$302,0)),""))</f>
        <v/>
      </c>
      <c r="G836" s="9"/>
      <c r="H836" s="9"/>
      <c r="I836" s="13" t="str">
        <f aca="false">IF(OR($G836="",$H836=""),"",ROUND($G836*$H836,0))</f>
        <v/>
      </c>
      <c r="J836" s="7"/>
      <c r="K836" s="7"/>
      <c r="L836" s="14" t="str">
        <f aca="false">IF(OR($C836="",$G836=""),"",IF($B836="입고",$G836,IF($B836="출고",-$G836,$G836)))</f>
        <v/>
      </c>
      <c r="M836" s="13" t="str">
        <f aca="false">IF($C836="","",IFERROR(INDEX(품목마스터!$F$3:$F$302,MATCH($C836,품목마스터!$A$3:$A$302,0)),0)+SUMIFS($L$3:$L836,$C$3:$C836,$C836))</f>
        <v/>
      </c>
    </row>
    <row r="837" customFormat="false" ht="15" hidden="false" customHeight="true" outlineLevel="0" collapsed="false">
      <c r="A837" s="11"/>
      <c r="B837" s="7"/>
      <c r="C837" s="7"/>
      <c r="D837" s="12" t="str">
        <f aca="false">IF($C837="","",IFERROR(INDEX(품목마스터!$B$3:$B$302,MATCH($C837,품목마스터!$A$3:$A$302,0)),"미등록품번"))</f>
        <v/>
      </c>
      <c r="E837" s="12" t="str">
        <f aca="false">IF($C837="","",IFERROR(INDEX(품목마스터!$C$3:$C$302,MATCH($C837,품목마스터!$A$3:$A$302,0)),""))</f>
        <v/>
      </c>
      <c r="F837" s="12" t="str">
        <f aca="false">IF($C837="","",IFERROR(INDEX(품목마스터!$D$3:$D$302,MATCH($C837,품목마스터!$A$3:$A$302,0)),""))</f>
        <v/>
      </c>
      <c r="G837" s="9"/>
      <c r="H837" s="9"/>
      <c r="I837" s="13" t="str">
        <f aca="false">IF(OR($G837="",$H837=""),"",ROUND($G837*$H837,0))</f>
        <v/>
      </c>
      <c r="J837" s="7"/>
      <c r="K837" s="7"/>
      <c r="L837" s="14" t="str">
        <f aca="false">IF(OR($C837="",$G837=""),"",IF($B837="입고",$G837,IF($B837="출고",-$G837,$G837)))</f>
        <v/>
      </c>
      <c r="M837" s="13" t="str">
        <f aca="false">IF($C837="","",IFERROR(INDEX(품목마스터!$F$3:$F$302,MATCH($C837,품목마스터!$A$3:$A$302,0)),0)+SUMIFS($L$3:$L837,$C$3:$C837,$C837))</f>
        <v/>
      </c>
    </row>
    <row r="838" customFormat="false" ht="15" hidden="false" customHeight="true" outlineLevel="0" collapsed="false">
      <c r="A838" s="11"/>
      <c r="B838" s="7"/>
      <c r="C838" s="7"/>
      <c r="D838" s="12" t="str">
        <f aca="false">IF($C838="","",IFERROR(INDEX(품목마스터!$B$3:$B$302,MATCH($C838,품목마스터!$A$3:$A$302,0)),"미등록품번"))</f>
        <v/>
      </c>
      <c r="E838" s="12" t="str">
        <f aca="false">IF($C838="","",IFERROR(INDEX(품목마스터!$C$3:$C$302,MATCH($C838,품목마스터!$A$3:$A$302,0)),""))</f>
        <v/>
      </c>
      <c r="F838" s="12" t="str">
        <f aca="false">IF($C838="","",IFERROR(INDEX(품목마스터!$D$3:$D$302,MATCH($C838,품목마스터!$A$3:$A$302,0)),""))</f>
        <v/>
      </c>
      <c r="G838" s="9"/>
      <c r="H838" s="9"/>
      <c r="I838" s="13" t="str">
        <f aca="false">IF(OR($G838="",$H838=""),"",ROUND($G838*$H838,0))</f>
        <v/>
      </c>
      <c r="J838" s="7"/>
      <c r="K838" s="7"/>
      <c r="L838" s="14" t="str">
        <f aca="false">IF(OR($C838="",$G838=""),"",IF($B838="입고",$G838,IF($B838="출고",-$G838,$G838)))</f>
        <v/>
      </c>
      <c r="M838" s="13" t="str">
        <f aca="false">IF($C838="","",IFERROR(INDEX(품목마스터!$F$3:$F$302,MATCH($C838,품목마스터!$A$3:$A$302,0)),0)+SUMIFS($L$3:$L838,$C$3:$C838,$C838))</f>
        <v/>
      </c>
    </row>
    <row r="839" customFormat="false" ht="15" hidden="false" customHeight="true" outlineLevel="0" collapsed="false">
      <c r="A839" s="11"/>
      <c r="B839" s="7"/>
      <c r="C839" s="7"/>
      <c r="D839" s="12" t="str">
        <f aca="false">IF($C839="","",IFERROR(INDEX(품목마스터!$B$3:$B$302,MATCH($C839,품목마스터!$A$3:$A$302,0)),"미등록품번"))</f>
        <v/>
      </c>
      <c r="E839" s="12" t="str">
        <f aca="false">IF($C839="","",IFERROR(INDEX(품목마스터!$C$3:$C$302,MATCH($C839,품목마스터!$A$3:$A$302,0)),""))</f>
        <v/>
      </c>
      <c r="F839" s="12" t="str">
        <f aca="false">IF($C839="","",IFERROR(INDEX(품목마스터!$D$3:$D$302,MATCH($C839,품목마스터!$A$3:$A$302,0)),""))</f>
        <v/>
      </c>
      <c r="G839" s="9"/>
      <c r="H839" s="9"/>
      <c r="I839" s="13" t="str">
        <f aca="false">IF(OR($G839="",$H839=""),"",ROUND($G839*$H839,0))</f>
        <v/>
      </c>
      <c r="J839" s="7"/>
      <c r="K839" s="7"/>
      <c r="L839" s="14" t="str">
        <f aca="false">IF(OR($C839="",$G839=""),"",IF($B839="입고",$G839,IF($B839="출고",-$G839,$G839)))</f>
        <v/>
      </c>
      <c r="M839" s="13" t="str">
        <f aca="false">IF($C839="","",IFERROR(INDEX(품목마스터!$F$3:$F$302,MATCH($C839,품목마스터!$A$3:$A$302,0)),0)+SUMIFS($L$3:$L839,$C$3:$C839,$C839))</f>
        <v/>
      </c>
    </row>
    <row r="840" customFormat="false" ht="15" hidden="false" customHeight="true" outlineLevel="0" collapsed="false">
      <c r="A840" s="11"/>
      <c r="B840" s="7"/>
      <c r="C840" s="7"/>
      <c r="D840" s="12" t="str">
        <f aca="false">IF($C840="","",IFERROR(INDEX(품목마스터!$B$3:$B$302,MATCH($C840,품목마스터!$A$3:$A$302,0)),"미등록품번"))</f>
        <v/>
      </c>
      <c r="E840" s="12" t="str">
        <f aca="false">IF($C840="","",IFERROR(INDEX(품목마스터!$C$3:$C$302,MATCH($C840,품목마스터!$A$3:$A$302,0)),""))</f>
        <v/>
      </c>
      <c r="F840" s="12" t="str">
        <f aca="false">IF($C840="","",IFERROR(INDEX(품목마스터!$D$3:$D$302,MATCH($C840,품목마스터!$A$3:$A$302,0)),""))</f>
        <v/>
      </c>
      <c r="G840" s="9"/>
      <c r="H840" s="9"/>
      <c r="I840" s="13" t="str">
        <f aca="false">IF(OR($G840="",$H840=""),"",ROUND($G840*$H840,0))</f>
        <v/>
      </c>
      <c r="J840" s="7"/>
      <c r="K840" s="7"/>
      <c r="L840" s="14" t="str">
        <f aca="false">IF(OR($C840="",$G840=""),"",IF($B840="입고",$G840,IF($B840="출고",-$G840,$G840)))</f>
        <v/>
      </c>
      <c r="M840" s="13" t="str">
        <f aca="false">IF($C840="","",IFERROR(INDEX(품목마스터!$F$3:$F$302,MATCH($C840,품목마스터!$A$3:$A$302,0)),0)+SUMIFS($L$3:$L840,$C$3:$C840,$C840))</f>
        <v/>
      </c>
    </row>
    <row r="841" customFormat="false" ht="15" hidden="false" customHeight="true" outlineLevel="0" collapsed="false">
      <c r="A841" s="11"/>
      <c r="B841" s="7"/>
      <c r="C841" s="7"/>
      <c r="D841" s="12" t="str">
        <f aca="false">IF($C841="","",IFERROR(INDEX(품목마스터!$B$3:$B$302,MATCH($C841,품목마스터!$A$3:$A$302,0)),"미등록품번"))</f>
        <v/>
      </c>
      <c r="E841" s="12" t="str">
        <f aca="false">IF($C841="","",IFERROR(INDEX(품목마스터!$C$3:$C$302,MATCH($C841,품목마스터!$A$3:$A$302,0)),""))</f>
        <v/>
      </c>
      <c r="F841" s="12" t="str">
        <f aca="false">IF($C841="","",IFERROR(INDEX(품목마스터!$D$3:$D$302,MATCH($C841,품목마스터!$A$3:$A$302,0)),""))</f>
        <v/>
      </c>
      <c r="G841" s="9"/>
      <c r="H841" s="9"/>
      <c r="I841" s="13" t="str">
        <f aca="false">IF(OR($G841="",$H841=""),"",ROUND($G841*$H841,0))</f>
        <v/>
      </c>
      <c r="J841" s="7"/>
      <c r="K841" s="7"/>
      <c r="L841" s="14" t="str">
        <f aca="false">IF(OR($C841="",$G841=""),"",IF($B841="입고",$G841,IF($B841="출고",-$G841,$G841)))</f>
        <v/>
      </c>
      <c r="M841" s="13" t="str">
        <f aca="false">IF($C841="","",IFERROR(INDEX(품목마스터!$F$3:$F$302,MATCH($C841,품목마스터!$A$3:$A$302,0)),0)+SUMIFS($L$3:$L841,$C$3:$C841,$C841))</f>
        <v/>
      </c>
    </row>
    <row r="842" customFormat="false" ht="15" hidden="false" customHeight="true" outlineLevel="0" collapsed="false">
      <c r="A842" s="11"/>
      <c r="B842" s="7"/>
      <c r="C842" s="7"/>
      <c r="D842" s="12" t="str">
        <f aca="false">IF($C842="","",IFERROR(INDEX(품목마스터!$B$3:$B$302,MATCH($C842,품목마스터!$A$3:$A$302,0)),"미등록품번"))</f>
        <v/>
      </c>
      <c r="E842" s="12" t="str">
        <f aca="false">IF($C842="","",IFERROR(INDEX(품목마스터!$C$3:$C$302,MATCH($C842,품목마스터!$A$3:$A$302,0)),""))</f>
        <v/>
      </c>
      <c r="F842" s="12" t="str">
        <f aca="false">IF($C842="","",IFERROR(INDEX(품목마스터!$D$3:$D$302,MATCH($C842,품목마스터!$A$3:$A$302,0)),""))</f>
        <v/>
      </c>
      <c r="G842" s="9"/>
      <c r="H842" s="9"/>
      <c r="I842" s="13" t="str">
        <f aca="false">IF(OR($G842="",$H842=""),"",ROUND($G842*$H842,0))</f>
        <v/>
      </c>
      <c r="J842" s="7"/>
      <c r="K842" s="7"/>
      <c r="L842" s="14" t="str">
        <f aca="false">IF(OR($C842="",$G842=""),"",IF($B842="입고",$G842,IF($B842="출고",-$G842,$G842)))</f>
        <v/>
      </c>
      <c r="M842" s="13" t="str">
        <f aca="false">IF($C842="","",IFERROR(INDEX(품목마스터!$F$3:$F$302,MATCH($C842,품목마스터!$A$3:$A$302,0)),0)+SUMIFS($L$3:$L842,$C$3:$C842,$C842))</f>
        <v/>
      </c>
    </row>
    <row r="843" customFormat="false" ht="15" hidden="false" customHeight="true" outlineLevel="0" collapsed="false">
      <c r="A843" s="11"/>
      <c r="B843" s="7"/>
      <c r="C843" s="7"/>
      <c r="D843" s="12" t="str">
        <f aca="false">IF($C843="","",IFERROR(INDEX(품목마스터!$B$3:$B$302,MATCH($C843,품목마스터!$A$3:$A$302,0)),"미등록품번"))</f>
        <v/>
      </c>
      <c r="E843" s="12" t="str">
        <f aca="false">IF($C843="","",IFERROR(INDEX(품목마스터!$C$3:$C$302,MATCH($C843,품목마스터!$A$3:$A$302,0)),""))</f>
        <v/>
      </c>
      <c r="F843" s="12" t="str">
        <f aca="false">IF($C843="","",IFERROR(INDEX(품목마스터!$D$3:$D$302,MATCH($C843,품목마스터!$A$3:$A$302,0)),""))</f>
        <v/>
      </c>
      <c r="G843" s="9"/>
      <c r="H843" s="9"/>
      <c r="I843" s="13" t="str">
        <f aca="false">IF(OR($G843="",$H843=""),"",ROUND($G843*$H843,0))</f>
        <v/>
      </c>
      <c r="J843" s="7"/>
      <c r="K843" s="7"/>
      <c r="L843" s="14" t="str">
        <f aca="false">IF(OR($C843="",$G843=""),"",IF($B843="입고",$G843,IF($B843="출고",-$G843,$G843)))</f>
        <v/>
      </c>
      <c r="M843" s="13" t="str">
        <f aca="false">IF($C843="","",IFERROR(INDEX(품목마스터!$F$3:$F$302,MATCH($C843,품목마스터!$A$3:$A$302,0)),0)+SUMIFS($L$3:$L843,$C$3:$C843,$C843))</f>
        <v/>
      </c>
    </row>
    <row r="844" customFormat="false" ht="15" hidden="false" customHeight="true" outlineLevel="0" collapsed="false">
      <c r="A844" s="11"/>
      <c r="B844" s="7"/>
      <c r="C844" s="7"/>
      <c r="D844" s="12" t="str">
        <f aca="false">IF($C844="","",IFERROR(INDEX(품목마스터!$B$3:$B$302,MATCH($C844,품목마스터!$A$3:$A$302,0)),"미등록품번"))</f>
        <v/>
      </c>
      <c r="E844" s="12" t="str">
        <f aca="false">IF($C844="","",IFERROR(INDEX(품목마스터!$C$3:$C$302,MATCH($C844,품목마스터!$A$3:$A$302,0)),""))</f>
        <v/>
      </c>
      <c r="F844" s="12" t="str">
        <f aca="false">IF($C844="","",IFERROR(INDEX(품목마스터!$D$3:$D$302,MATCH($C844,품목마스터!$A$3:$A$302,0)),""))</f>
        <v/>
      </c>
      <c r="G844" s="9"/>
      <c r="H844" s="9"/>
      <c r="I844" s="13" t="str">
        <f aca="false">IF(OR($G844="",$H844=""),"",ROUND($G844*$H844,0))</f>
        <v/>
      </c>
      <c r="J844" s="7"/>
      <c r="K844" s="7"/>
      <c r="L844" s="14" t="str">
        <f aca="false">IF(OR($C844="",$G844=""),"",IF($B844="입고",$G844,IF($B844="출고",-$G844,$G844)))</f>
        <v/>
      </c>
      <c r="M844" s="13" t="str">
        <f aca="false">IF($C844="","",IFERROR(INDEX(품목마스터!$F$3:$F$302,MATCH($C844,품목마스터!$A$3:$A$302,0)),0)+SUMIFS($L$3:$L844,$C$3:$C844,$C844))</f>
        <v/>
      </c>
    </row>
    <row r="845" customFormat="false" ht="15" hidden="false" customHeight="true" outlineLevel="0" collapsed="false">
      <c r="A845" s="11"/>
      <c r="B845" s="7"/>
      <c r="C845" s="7"/>
      <c r="D845" s="12" t="str">
        <f aca="false">IF($C845="","",IFERROR(INDEX(품목마스터!$B$3:$B$302,MATCH($C845,품목마스터!$A$3:$A$302,0)),"미등록품번"))</f>
        <v/>
      </c>
      <c r="E845" s="12" t="str">
        <f aca="false">IF($C845="","",IFERROR(INDEX(품목마스터!$C$3:$C$302,MATCH($C845,품목마스터!$A$3:$A$302,0)),""))</f>
        <v/>
      </c>
      <c r="F845" s="12" t="str">
        <f aca="false">IF($C845="","",IFERROR(INDEX(품목마스터!$D$3:$D$302,MATCH($C845,품목마스터!$A$3:$A$302,0)),""))</f>
        <v/>
      </c>
      <c r="G845" s="9"/>
      <c r="H845" s="9"/>
      <c r="I845" s="13" t="str">
        <f aca="false">IF(OR($G845="",$H845=""),"",ROUND($G845*$H845,0))</f>
        <v/>
      </c>
      <c r="J845" s="7"/>
      <c r="K845" s="7"/>
      <c r="L845" s="14" t="str">
        <f aca="false">IF(OR($C845="",$G845=""),"",IF($B845="입고",$G845,IF($B845="출고",-$G845,$G845)))</f>
        <v/>
      </c>
      <c r="M845" s="13" t="str">
        <f aca="false">IF($C845="","",IFERROR(INDEX(품목마스터!$F$3:$F$302,MATCH($C845,품목마스터!$A$3:$A$302,0)),0)+SUMIFS($L$3:$L845,$C$3:$C845,$C845))</f>
        <v/>
      </c>
    </row>
    <row r="846" customFormat="false" ht="15" hidden="false" customHeight="true" outlineLevel="0" collapsed="false">
      <c r="A846" s="11"/>
      <c r="B846" s="7"/>
      <c r="C846" s="7"/>
      <c r="D846" s="12" t="str">
        <f aca="false">IF($C846="","",IFERROR(INDEX(품목마스터!$B$3:$B$302,MATCH($C846,품목마스터!$A$3:$A$302,0)),"미등록품번"))</f>
        <v/>
      </c>
      <c r="E846" s="12" t="str">
        <f aca="false">IF($C846="","",IFERROR(INDEX(품목마스터!$C$3:$C$302,MATCH($C846,품목마스터!$A$3:$A$302,0)),""))</f>
        <v/>
      </c>
      <c r="F846" s="12" t="str">
        <f aca="false">IF($C846="","",IFERROR(INDEX(품목마스터!$D$3:$D$302,MATCH($C846,품목마스터!$A$3:$A$302,0)),""))</f>
        <v/>
      </c>
      <c r="G846" s="9"/>
      <c r="H846" s="9"/>
      <c r="I846" s="13" t="str">
        <f aca="false">IF(OR($G846="",$H846=""),"",ROUND($G846*$H846,0))</f>
        <v/>
      </c>
      <c r="J846" s="7"/>
      <c r="K846" s="7"/>
      <c r="L846" s="14" t="str">
        <f aca="false">IF(OR($C846="",$G846=""),"",IF($B846="입고",$G846,IF($B846="출고",-$G846,$G846)))</f>
        <v/>
      </c>
      <c r="M846" s="13" t="str">
        <f aca="false">IF($C846="","",IFERROR(INDEX(품목마스터!$F$3:$F$302,MATCH($C846,품목마스터!$A$3:$A$302,0)),0)+SUMIFS($L$3:$L846,$C$3:$C846,$C846))</f>
        <v/>
      </c>
    </row>
    <row r="847" customFormat="false" ht="15" hidden="false" customHeight="true" outlineLevel="0" collapsed="false">
      <c r="A847" s="11"/>
      <c r="B847" s="7"/>
      <c r="C847" s="7"/>
      <c r="D847" s="12" t="str">
        <f aca="false">IF($C847="","",IFERROR(INDEX(품목마스터!$B$3:$B$302,MATCH($C847,품목마스터!$A$3:$A$302,0)),"미등록품번"))</f>
        <v/>
      </c>
      <c r="E847" s="12" t="str">
        <f aca="false">IF($C847="","",IFERROR(INDEX(품목마스터!$C$3:$C$302,MATCH($C847,품목마스터!$A$3:$A$302,0)),""))</f>
        <v/>
      </c>
      <c r="F847" s="12" t="str">
        <f aca="false">IF($C847="","",IFERROR(INDEX(품목마스터!$D$3:$D$302,MATCH($C847,품목마스터!$A$3:$A$302,0)),""))</f>
        <v/>
      </c>
      <c r="G847" s="9"/>
      <c r="H847" s="9"/>
      <c r="I847" s="13" t="str">
        <f aca="false">IF(OR($G847="",$H847=""),"",ROUND($G847*$H847,0))</f>
        <v/>
      </c>
      <c r="J847" s="7"/>
      <c r="K847" s="7"/>
      <c r="L847" s="14" t="str">
        <f aca="false">IF(OR($C847="",$G847=""),"",IF($B847="입고",$G847,IF($B847="출고",-$G847,$G847)))</f>
        <v/>
      </c>
      <c r="M847" s="13" t="str">
        <f aca="false">IF($C847="","",IFERROR(INDEX(품목마스터!$F$3:$F$302,MATCH($C847,품목마스터!$A$3:$A$302,0)),0)+SUMIFS($L$3:$L847,$C$3:$C847,$C847))</f>
        <v/>
      </c>
    </row>
    <row r="848" customFormat="false" ht="15" hidden="false" customHeight="true" outlineLevel="0" collapsed="false">
      <c r="A848" s="11"/>
      <c r="B848" s="7"/>
      <c r="C848" s="7"/>
      <c r="D848" s="12" t="str">
        <f aca="false">IF($C848="","",IFERROR(INDEX(품목마스터!$B$3:$B$302,MATCH($C848,품목마스터!$A$3:$A$302,0)),"미등록품번"))</f>
        <v/>
      </c>
      <c r="E848" s="12" t="str">
        <f aca="false">IF($C848="","",IFERROR(INDEX(품목마스터!$C$3:$C$302,MATCH($C848,품목마스터!$A$3:$A$302,0)),""))</f>
        <v/>
      </c>
      <c r="F848" s="12" t="str">
        <f aca="false">IF($C848="","",IFERROR(INDEX(품목마스터!$D$3:$D$302,MATCH($C848,품목마스터!$A$3:$A$302,0)),""))</f>
        <v/>
      </c>
      <c r="G848" s="9"/>
      <c r="H848" s="9"/>
      <c r="I848" s="13" t="str">
        <f aca="false">IF(OR($G848="",$H848=""),"",ROUND($G848*$H848,0))</f>
        <v/>
      </c>
      <c r="J848" s="7"/>
      <c r="K848" s="7"/>
      <c r="L848" s="14" t="str">
        <f aca="false">IF(OR($C848="",$G848=""),"",IF($B848="입고",$G848,IF($B848="출고",-$G848,$G848)))</f>
        <v/>
      </c>
      <c r="M848" s="13" t="str">
        <f aca="false">IF($C848="","",IFERROR(INDEX(품목마스터!$F$3:$F$302,MATCH($C848,품목마스터!$A$3:$A$302,0)),0)+SUMIFS($L$3:$L848,$C$3:$C848,$C848))</f>
        <v/>
      </c>
    </row>
    <row r="849" customFormat="false" ht="15" hidden="false" customHeight="true" outlineLevel="0" collapsed="false">
      <c r="A849" s="11"/>
      <c r="B849" s="7"/>
      <c r="C849" s="7"/>
      <c r="D849" s="12" t="str">
        <f aca="false">IF($C849="","",IFERROR(INDEX(품목마스터!$B$3:$B$302,MATCH($C849,품목마스터!$A$3:$A$302,0)),"미등록품번"))</f>
        <v/>
      </c>
      <c r="E849" s="12" t="str">
        <f aca="false">IF($C849="","",IFERROR(INDEX(품목마스터!$C$3:$C$302,MATCH($C849,품목마스터!$A$3:$A$302,0)),""))</f>
        <v/>
      </c>
      <c r="F849" s="12" t="str">
        <f aca="false">IF($C849="","",IFERROR(INDEX(품목마스터!$D$3:$D$302,MATCH($C849,품목마스터!$A$3:$A$302,0)),""))</f>
        <v/>
      </c>
      <c r="G849" s="9"/>
      <c r="H849" s="9"/>
      <c r="I849" s="13" t="str">
        <f aca="false">IF(OR($G849="",$H849=""),"",ROUND($G849*$H849,0))</f>
        <v/>
      </c>
      <c r="J849" s="7"/>
      <c r="K849" s="7"/>
      <c r="L849" s="14" t="str">
        <f aca="false">IF(OR($C849="",$G849=""),"",IF($B849="입고",$G849,IF($B849="출고",-$G849,$G849)))</f>
        <v/>
      </c>
      <c r="M849" s="13" t="str">
        <f aca="false">IF($C849="","",IFERROR(INDEX(품목마스터!$F$3:$F$302,MATCH($C849,품목마스터!$A$3:$A$302,0)),0)+SUMIFS($L$3:$L849,$C$3:$C849,$C849))</f>
        <v/>
      </c>
    </row>
    <row r="850" customFormat="false" ht="15" hidden="false" customHeight="true" outlineLevel="0" collapsed="false">
      <c r="A850" s="11"/>
      <c r="B850" s="7"/>
      <c r="C850" s="7"/>
      <c r="D850" s="12" t="str">
        <f aca="false">IF($C850="","",IFERROR(INDEX(품목마스터!$B$3:$B$302,MATCH($C850,품목마스터!$A$3:$A$302,0)),"미등록품번"))</f>
        <v/>
      </c>
      <c r="E850" s="12" t="str">
        <f aca="false">IF($C850="","",IFERROR(INDEX(품목마스터!$C$3:$C$302,MATCH($C850,품목마스터!$A$3:$A$302,0)),""))</f>
        <v/>
      </c>
      <c r="F850" s="12" t="str">
        <f aca="false">IF($C850="","",IFERROR(INDEX(품목마스터!$D$3:$D$302,MATCH($C850,품목마스터!$A$3:$A$302,0)),""))</f>
        <v/>
      </c>
      <c r="G850" s="9"/>
      <c r="H850" s="9"/>
      <c r="I850" s="13" t="str">
        <f aca="false">IF(OR($G850="",$H850=""),"",ROUND($G850*$H850,0))</f>
        <v/>
      </c>
      <c r="J850" s="7"/>
      <c r="K850" s="7"/>
      <c r="L850" s="14" t="str">
        <f aca="false">IF(OR($C850="",$G850=""),"",IF($B850="입고",$G850,IF($B850="출고",-$G850,$G850)))</f>
        <v/>
      </c>
      <c r="M850" s="13" t="str">
        <f aca="false">IF($C850="","",IFERROR(INDEX(품목마스터!$F$3:$F$302,MATCH($C850,품목마스터!$A$3:$A$302,0)),0)+SUMIFS($L$3:$L850,$C$3:$C850,$C850))</f>
        <v/>
      </c>
    </row>
    <row r="851" customFormat="false" ht="15" hidden="false" customHeight="true" outlineLevel="0" collapsed="false">
      <c r="A851" s="11"/>
      <c r="B851" s="7"/>
      <c r="C851" s="7"/>
      <c r="D851" s="12" t="str">
        <f aca="false">IF($C851="","",IFERROR(INDEX(품목마스터!$B$3:$B$302,MATCH($C851,품목마스터!$A$3:$A$302,0)),"미등록품번"))</f>
        <v/>
      </c>
      <c r="E851" s="12" t="str">
        <f aca="false">IF($C851="","",IFERROR(INDEX(품목마스터!$C$3:$C$302,MATCH($C851,품목마스터!$A$3:$A$302,0)),""))</f>
        <v/>
      </c>
      <c r="F851" s="12" t="str">
        <f aca="false">IF($C851="","",IFERROR(INDEX(품목마스터!$D$3:$D$302,MATCH($C851,품목마스터!$A$3:$A$302,0)),""))</f>
        <v/>
      </c>
      <c r="G851" s="9"/>
      <c r="H851" s="9"/>
      <c r="I851" s="13" t="str">
        <f aca="false">IF(OR($G851="",$H851=""),"",ROUND($G851*$H851,0))</f>
        <v/>
      </c>
      <c r="J851" s="7"/>
      <c r="K851" s="7"/>
      <c r="L851" s="14" t="str">
        <f aca="false">IF(OR($C851="",$G851=""),"",IF($B851="입고",$G851,IF($B851="출고",-$G851,$G851)))</f>
        <v/>
      </c>
      <c r="M851" s="13" t="str">
        <f aca="false">IF($C851="","",IFERROR(INDEX(품목마스터!$F$3:$F$302,MATCH($C851,품목마스터!$A$3:$A$302,0)),0)+SUMIFS($L$3:$L851,$C$3:$C851,$C851))</f>
        <v/>
      </c>
    </row>
    <row r="852" customFormat="false" ht="15" hidden="false" customHeight="true" outlineLevel="0" collapsed="false">
      <c r="A852" s="11"/>
      <c r="B852" s="7"/>
      <c r="C852" s="7"/>
      <c r="D852" s="12" t="str">
        <f aca="false">IF($C852="","",IFERROR(INDEX(품목마스터!$B$3:$B$302,MATCH($C852,품목마스터!$A$3:$A$302,0)),"미등록품번"))</f>
        <v/>
      </c>
      <c r="E852" s="12" t="str">
        <f aca="false">IF($C852="","",IFERROR(INDEX(품목마스터!$C$3:$C$302,MATCH($C852,품목마스터!$A$3:$A$302,0)),""))</f>
        <v/>
      </c>
      <c r="F852" s="12" t="str">
        <f aca="false">IF($C852="","",IFERROR(INDEX(품목마스터!$D$3:$D$302,MATCH($C852,품목마스터!$A$3:$A$302,0)),""))</f>
        <v/>
      </c>
      <c r="G852" s="9"/>
      <c r="H852" s="9"/>
      <c r="I852" s="13" t="str">
        <f aca="false">IF(OR($G852="",$H852=""),"",ROUND($G852*$H852,0))</f>
        <v/>
      </c>
      <c r="J852" s="7"/>
      <c r="K852" s="7"/>
      <c r="L852" s="14" t="str">
        <f aca="false">IF(OR($C852="",$G852=""),"",IF($B852="입고",$G852,IF($B852="출고",-$G852,$G852)))</f>
        <v/>
      </c>
      <c r="M852" s="13" t="str">
        <f aca="false">IF($C852="","",IFERROR(INDEX(품목마스터!$F$3:$F$302,MATCH($C852,품목마스터!$A$3:$A$302,0)),0)+SUMIFS($L$3:$L852,$C$3:$C852,$C852))</f>
        <v/>
      </c>
    </row>
    <row r="853" customFormat="false" ht="15" hidden="false" customHeight="true" outlineLevel="0" collapsed="false">
      <c r="A853" s="11"/>
      <c r="B853" s="7"/>
      <c r="C853" s="7"/>
      <c r="D853" s="12" t="str">
        <f aca="false">IF($C853="","",IFERROR(INDEX(품목마스터!$B$3:$B$302,MATCH($C853,품목마스터!$A$3:$A$302,0)),"미등록품번"))</f>
        <v/>
      </c>
      <c r="E853" s="12" t="str">
        <f aca="false">IF($C853="","",IFERROR(INDEX(품목마스터!$C$3:$C$302,MATCH($C853,품목마스터!$A$3:$A$302,0)),""))</f>
        <v/>
      </c>
      <c r="F853" s="12" t="str">
        <f aca="false">IF($C853="","",IFERROR(INDEX(품목마스터!$D$3:$D$302,MATCH($C853,품목마스터!$A$3:$A$302,0)),""))</f>
        <v/>
      </c>
      <c r="G853" s="9"/>
      <c r="H853" s="9"/>
      <c r="I853" s="13" t="str">
        <f aca="false">IF(OR($G853="",$H853=""),"",ROUND($G853*$H853,0))</f>
        <v/>
      </c>
      <c r="J853" s="7"/>
      <c r="K853" s="7"/>
      <c r="L853" s="14" t="str">
        <f aca="false">IF(OR($C853="",$G853=""),"",IF($B853="입고",$G853,IF($B853="출고",-$G853,$G853)))</f>
        <v/>
      </c>
      <c r="M853" s="13" t="str">
        <f aca="false">IF($C853="","",IFERROR(INDEX(품목마스터!$F$3:$F$302,MATCH($C853,품목마스터!$A$3:$A$302,0)),0)+SUMIFS($L$3:$L853,$C$3:$C853,$C853))</f>
        <v/>
      </c>
    </row>
    <row r="854" customFormat="false" ht="15" hidden="false" customHeight="true" outlineLevel="0" collapsed="false">
      <c r="A854" s="11"/>
      <c r="B854" s="7"/>
      <c r="C854" s="7"/>
      <c r="D854" s="12" t="str">
        <f aca="false">IF($C854="","",IFERROR(INDEX(품목마스터!$B$3:$B$302,MATCH($C854,품목마스터!$A$3:$A$302,0)),"미등록품번"))</f>
        <v/>
      </c>
      <c r="E854" s="12" t="str">
        <f aca="false">IF($C854="","",IFERROR(INDEX(품목마스터!$C$3:$C$302,MATCH($C854,품목마스터!$A$3:$A$302,0)),""))</f>
        <v/>
      </c>
      <c r="F854" s="12" t="str">
        <f aca="false">IF($C854="","",IFERROR(INDEX(품목마스터!$D$3:$D$302,MATCH($C854,품목마스터!$A$3:$A$302,0)),""))</f>
        <v/>
      </c>
      <c r="G854" s="9"/>
      <c r="H854" s="9"/>
      <c r="I854" s="13" t="str">
        <f aca="false">IF(OR($G854="",$H854=""),"",ROUND($G854*$H854,0))</f>
        <v/>
      </c>
      <c r="J854" s="7"/>
      <c r="K854" s="7"/>
      <c r="L854" s="14" t="str">
        <f aca="false">IF(OR($C854="",$G854=""),"",IF($B854="입고",$G854,IF($B854="출고",-$G854,$G854)))</f>
        <v/>
      </c>
      <c r="M854" s="13" t="str">
        <f aca="false">IF($C854="","",IFERROR(INDEX(품목마스터!$F$3:$F$302,MATCH($C854,품목마스터!$A$3:$A$302,0)),0)+SUMIFS($L$3:$L854,$C$3:$C854,$C854))</f>
        <v/>
      </c>
    </row>
    <row r="855" customFormat="false" ht="15" hidden="false" customHeight="true" outlineLevel="0" collapsed="false">
      <c r="A855" s="11"/>
      <c r="B855" s="7"/>
      <c r="C855" s="7"/>
      <c r="D855" s="12" t="str">
        <f aca="false">IF($C855="","",IFERROR(INDEX(품목마스터!$B$3:$B$302,MATCH($C855,품목마스터!$A$3:$A$302,0)),"미등록품번"))</f>
        <v/>
      </c>
      <c r="E855" s="12" t="str">
        <f aca="false">IF($C855="","",IFERROR(INDEX(품목마스터!$C$3:$C$302,MATCH($C855,품목마스터!$A$3:$A$302,0)),""))</f>
        <v/>
      </c>
      <c r="F855" s="12" t="str">
        <f aca="false">IF($C855="","",IFERROR(INDEX(품목마스터!$D$3:$D$302,MATCH($C855,품목마스터!$A$3:$A$302,0)),""))</f>
        <v/>
      </c>
      <c r="G855" s="9"/>
      <c r="H855" s="9"/>
      <c r="I855" s="13" t="str">
        <f aca="false">IF(OR($G855="",$H855=""),"",ROUND($G855*$H855,0))</f>
        <v/>
      </c>
      <c r="J855" s="7"/>
      <c r="K855" s="7"/>
      <c r="L855" s="14" t="str">
        <f aca="false">IF(OR($C855="",$G855=""),"",IF($B855="입고",$G855,IF($B855="출고",-$G855,$G855)))</f>
        <v/>
      </c>
      <c r="M855" s="13" t="str">
        <f aca="false">IF($C855="","",IFERROR(INDEX(품목마스터!$F$3:$F$302,MATCH($C855,품목마스터!$A$3:$A$302,0)),0)+SUMIFS($L$3:$L855,$C$3:$C855,$C855))</f>
        <v/>
      </c>
    </row>
    <row r="856" customFormat="false" ht="15" hidden="false" customHeight="true" outlineLevel="0" collapsed="false">
      <c r="A856" s="11"/>
      <c r="B856" s="7"/>
      <c r="C856" s="7"/>
      <c r="D856" s="12" t="str">
        <f aca="false">IF($C856="","",IFERROR(INDEX(품목마스터!$B$3:$B$302,MATCH($C856,품목마스터!$A$3:$A$302,0)),"미등록품번"))</f>
        <v/>
      </c>
      <c r="E856" s="12" t="str">
        <f aca="false">IF($C856="","",IFERROR(INDEX(품목마스터!$C$3:$C$302,MATCH($C856,품목마스터!$A$3:$A$302,0)),""))</f>
        <v/>
      </c>
      <c r="F856" s="12" t="str">
        <f aca="false">IF($C856="","",IFERROR(INDEX(품목마스터!$D$3:$D$302,MATCH($C856,품목마스터!$A$3:$A$302,0)),""))</f>
        <v/>
      </c>
      <c r="G856" s="9"/>
      <c r="H856" s="9"/>
      <c r="I856" s="13" t="str">
        <f aca="false">IF(OR($G856="",$H856=""),"",ROUND($G856*$H856,0))</f>
        <v/>
      </c>
      <c r="J856" s="7"/>
      <c r="K856" s="7"/>
      <c r="L856" s="14" t="str">
        <f aca="false">IF(OR($C856="",$G856=""),"",IF($B856="입고",$G856,IF($B856="출고",-$G856,$G856)))</f>
        <v/>
      </c>
      <c r="M856" s="13" t="str">
        <f aca="false">IF($C856="","",IFERROR(INDEX(품목마스터!$F$3:$F$302,MATCH($C856,품목마스터!$A$3:$A$302,0)),0)+SUMIFS($L$3:$L856,$C$3:$C856,$C856))</f>
        <v/>
      </c>
    </row>
    <row r="857" customFormat="false" ht="15" hidden="false" customHeight="true" outlineLevel="0" collapsed="false">
      <c r="A857" s="11"/>
      <c r="B857" s="7"/>
      <c r="C857" s="7"/>
      <c r="D857" s="12" t="str">
        <f aca="false">IF($C857="","",IFERROR(INDEX(품목마스터!$B$3:$B$302,MATCH($C857,품목마스터!$A$3:$A$302,0)),"미등록품번"))</f>
        <v/>
      </c>
      <c r="E857" s="12" t="str">
        <f aca="false">IF($C857="","",IFERROR(INDEX(품목마스터!$C$3:$C$302,MATCH($C857,품목마스터!$A$3:$A$302,0)),""))</f>
        <v/>
      </c>
      <c r="F857" s="12" t="str">
        <f aca="false">IF($C857="","",IFERROR(INDEX(품목마스터!$D$3:$D$302,MATCH($C857,품목마스터!$A$3:$A$302,0)),""))</f>
        <v/>
      </c>
      <c r="G857" s="9"/>
      <c r="H857" s="9"/>
      <c r="I857" s="13" t="str">
        <f aca="false">IF(OR($G857="",$H857=""),"",ROUND($G857*$H857,0))</f>
        <v/>
      </c>
      <c r="J857" s="7"/>
      <c r="K857" s="7"/>
      <c r="L857" s="14" t="str">
        <f aca="false">IF(OR($C857="",$G857=""),"",IF($B857="입고",$G857,IF($B857="출고",-$G857,$G857)))</f>
        <v/>
      </c>
      <c r="M857" s="13" t="str">
        <f aca="false">IF($C857="","",IFERROR(INDEX(품목마스터!$F$3:$F$302,MATCH($C857,품목마스터!$A$3:$A$302,0)),0)+SUMIFS($L$3:$L857,$C$3:$C857,$C857))</f>
        <v/>
      </c>
    </row>
    <row r="858" customFormat="false" ht="15" hidden="false" customHeight="true" outlineLevel="0" collapsed="false">
      <c r="A858" s="11"/>
      <c r="B858" s="7"/>
      <c r="C858" s="7"/>
      <c r="D858" s="12" t="str">
        <f aca="false">IF($C858="","",IFERROR(INDEX(품목마스터!$B$3:$B$302,MATCH($C858,품목마스터!$A$3:$A$302,0)),"미등록품번"))</f>
        <v/>
      </c>
      <c r="E858" s="12" t="str">
        <f aca="false">IF($C858="","",IFERROR(INDEX(품목마스터!$C$3:$C$302,MATCH($C858,품목마스터!$A$3:$A$302,0)),""))</f>
        <v/>
      </c>
      <c r="F858" s="12" t="str">
        <f aca="false">IF($C858="","",IFERROR(INDEX(품목마스터!$D$3:$D$302,MATCH($C858,품목마스터!$A$3:$A$302,0)),""))</f>
        <v/>
      </c>
      <c r="G858" s="9"/>
      <c r="H858" s="9"/>
      <c r="I858" s="13" t="str">
        <f aca="false">IF(OR($G858="",$H858=""),"",ROUND($G858*$H858,0))</f>
        <v/>
      </c>
      <c r="J858" s="7"/>
      <c r="K858" s="7"/>
      <c r="L858" s="14" t="str">
        <f aca="false">IF(OR($C858="",$G858=""),"",IF($B858="입고",$G858,IF($B858="출고",-$G858,$G858)))</f>
        <v/>
      </c>
      <c r="M858" s="13" t="str">
        <f aca="false">IF($C858="","",IFERROR(INDEX(품목마스터!$F$3:$F$302,MATCH($C858,품목마스터!$A$3:$A$302,0)),0)+SUMIFS($L$3:$L858,$C$3:$C858,$C858))</f>
        <v/>
      </c>
    </row>
    <row r="859" customFormat="false" ht="15" hidden="false" customHeight="true" outlineLevel="0" collapsed="false">
      <c r="A859" s="11"/>
      <c r="B859" s="7"/>
      <c r="C859" s="7"/>
      <c r="D859" s="12" t="str">
        <f aca="false">IF($C859="","",IFERROR(INDEX(품목마스터!$B$3:$B$302,MATCH($C859,품목마스터!$A$3:$A$302,0)),"미등록품번"))</f>
        <v/>
      </c>
      <c r="E859" s="12" t="str">
        <f aca="false">IF($C859="","",IFERROR(INDEX(품목마스터!$C$3:$C$302,MATCH($C859,품목마스터!$A$3:$A$302,0)),""))</f>
        <v/>
      </c>
      <c r="F859" s="12" t="str">
        <f aca="false">IF($C859="","",IFERROR(INDEX(품목마스터!$D$3:$D$302,MATCH($C859,품목마스터!$A$3:$A$302,0)),""))</f>
        <v/>
      </c>
      <c r="G859" s="9"/>
      <c r="H859" s="9"/>
      <c r="I859" s="13" t="str">
        <f aca="false">IF(OR($G859="",$H859=""),"",ROUND($G859*$H859,0))</f>
        <v/>
      </c>
      <c r="J859" s="7"/>
      <c r="K859" s="7"/>
      <c r="L859" s="14" t="str">
        <f aca="false">IF(OR($C859="",$G859=""),"",IF($B859="입고",$G859,IF($B859="출고",-$G859,$G859)))</f>
        <v/>
      </c>
      <c r="M859" s="13" t="str">
        <f aca="false">IF($C859="","",IFERROR(INDEX(품목마스터!$F$3:$F$302,MATCH($C859,품목마스터!$A$3:$A$302,0)),0)+SUMIFS($L$3:$L859,$C$3:$C859,$C859))</f>
        <v/>
      </c>
    </row>
    <row r="860" customFormat="false" ht="15" hidden="false" customHeight="true" outlineLevel="0" collapsed="false">
      <c r="A860" s="11"/>
      <c r="B860" s="7"/>
      <c r="C860" s="7"/>
      <c r="D860" s="12" t="str">
        <f aca="false">IF($C860="","",IFERROR(INDEX(품목마스터!$B$3:$B$302,MATCH($C860,품목마스터!$A$3:$A$302,0)),"미등록품번"))</f>
        <v/>
      </c>
      <c r="E860" s="12" t="str">
        <f aca="false">IF($C860="","",IFERROR(INDEX(품목마스터!$C$3:$C$302,MATCH($C860,품목마스터!$A$3:$A$302,0)),""))</f>
        <v/>
      </c>
      <c r="F860" s="12" t="str">
        <f aca="false">IF($C860="","",IFERROR(INDEX(품목마스터!$D$3:$D$302,MATCH($C860,품목마스터!$A$3:$A$302,0)),""))</f>
        <v/>
      </c>
      <c r="G860" s="9"/>
      <c r="H860" s="9"/>
      <c r="I860" s="13" t="str">
        <f aca="false">IF(OR($G860="",$H860=""),"",ROUND($G860*$H860,0))</f>
        <v/>
      </c>
      <c r="J860" s="7"/>
      <c r="K860" s="7"/>
      <c r="L860" s="14" t="str">
        <f aca="false">IF(OR($C860="",$G860=""),"",IF($B860="입고",$G860,IF($B860="출고",-$G860,$G860)))</f>
        <v/>
      </c>
      <c r="M860" s="13" t="str">
        <f aca="false">IF($C860="","",IFERROR(INDEX(품목마스터!$F$3:$F$302,MATCH($C860,품목마스터!$A$3:$A$302,0)),0)+SUMIFS($L$3:$L860,$C$3:$C860,$C860))</f>
        <v/>
      </c>
    </row>
    <row r="861" customFormat="false" ht="15" hidden="false" customHeight="true" outlineLevel="0" collapsed="false">
      <c r="A861" s="11"/>
      <c r="B861" s="7"/>
      <c r="C861" s="7"/>
      <c r="D861" s="12" t="str">
        <f aca="false">IF($C861="","",IFERROR(INDEX(품목마스터!$B$3:$B$302,MATCH($C861,품목마스터!$A$3:$A$302,0)),"미등록품번"))</f>
        <v/>
      </c>
      <c r="E861" s="12" t="str">
        <f aca="false">IF($C861="","",IFERROR(INDEX(품목마스터!$C$3:$C$302,MATCH($C861,품목마스터!$A$3:$A$302,0)),""))</f>
        <v/>
      </c>
      <c r="F861" s="12" t="str">
        <f aca="false">IF($C861="","",IFERROR(INDEX(품목마스터!$D$3:$D$302,MATCH($C861,품목마스터!$A$3:$A$302,0)),""))</f>
        <v/>
      </c>
      <c r="G861" s="9"/>
      <c r="H861" s="9"/>
      <c r="I861" s="13" t="str">
        <f aca="false">IF(OR($G861="",$H861=""),"",ROUND($G861*$H861,0))</f>
        <v/>
      </c>
      <c r="J861" s="7"/>
      <c r="K861" s="7"/>
      <c r="L861" s="14" t="str">
        <f aca="false">IF(OR($C861="",$G861=""),"",IF($B861="입고",$G861,IF($B861="출고",-$G861,$G861)))</f>
        <v/>
      </c>
      <c r="M861" s="13" t="str">
        <f aca="false">IF($C861="","",IFERROR(INDEX(품목마스터!$F$3:$F$302,MATCH($C861,품목마스터!$A$3:$A$302,0)),0)+SUMIFS($L$3:$L861,$C$3:$C861,$C861))</f>
        <v/>
      </c>
    </row>
    <row r="862" customFormat="false" ht="15" hidden="false" customHeight="true" outlineLevel="0" collapsed="false">
      <c r="A862" s="11"/>
      <c r="B862" s="7"/>
      <c r="C862" s="7"/>
      <c r="D862" s="12" t="str">
        <f aca="false">IF($C862="","",IFERROR(INDEX(품목마스터!$B$3:$B$302,MATCH($C862,품목마스터!$A$3:$A$302,0)),"미등록품번"))</f>
        <v/>
      </c>
      <c r="E862" s="12" t="str">
        <f aca="false">IF($C862="","",IFERROR(INDEX(품목마스터!$C$3:$C$302,MATCH($C862,품목마스터!$A$3:$A$302,0)),""))</f>
        <v/>
      </c>
      <c r="F862" s="12" t="str">
        <f aca="false">IF($C862="","",IFERROR(INDEX(품목마스터!$D$3:$D$302,MATCH($C862,품목마스터!$A$3:$A$302,0)),""))</f>
        <v/>
      </c>
      <c r="G862" s="9"/>
      <c r="H862" s="9"/>
      <c r="I862" s="13" t="str">
        <f aca="false">IF(OR($G862="",$H862=""),"",ROUND($G862*$H862,0))</f>
        <v/>
      </c>
      <c r="J862" s="7"/>
      <c r="K862" s="7"/>
      <c r="L862" s="14" t="str">
        <f aca="false">IF(OR($C862="",$G862=""),"",IF($B862="입고",$G862,IF($B862="출고",-$G862,$G862)))</f>
        <v/>
      </c>
      <c r="M862" s="13" t="str">
        <f aca="false">IF($C862="","",IFERROR(INDEX(품목마스터!$F$3:$F$302,MATCH($C862,품목마스터!$A$3:$A$302,0)),0)+SUMIFS($L$3:$L862,$C$3:$C862,$C862))</f>
        <v/>
      </c>
    </row>
    <row r="863" customFormat="false" ht="15" hidden="false" customHeight="true" outlineLevel="0" collapsed="false">
      <c r="A863" s="11"/>
      <c r="B863" s="7"/>
      <c r="C863" s="7"/>
      <c r="D863" s="12" t="str">
        <f aca="false">IF($C863="","",IFERROR(INDEX(품목마스터!$B$3:$B$302,MATCH($C863,품목마스터!$A$3:$A$302,0)),"미등록품번"))</f>
        <v/>
      </c>
      <c r="E863" s="12" t="str">
        <f aca="false">IF($C863="","",IFERROR(INDEX(품목마스터!$C$3:$C$302,MATCH($C863,품목마스터!$A$3:$A$302,0)),""))</f>
        <v/>
      </c>
      <c r="F863" s="12" t="str">
        <f aca="false">IF($C863="","",IFERROR(INDEX(품목마스터!$D$3:$D$302,MATCH($C863,품목마스터!$A$3:$A$302,0)),""))</f>
        <v/>
      </c>
      <c r="G863" s="9"/>
      <c r="H863" s="9"/>
      <c r="I863" s="13" t="str">
        <f aca="false">IF(OR($G863="",$H863=""),"",ROUND($G863*$H863,0))</f>
        <v/>
      </c>
      <c r="J863" s="7"/>
      <c r="K863" s="7"/>
      <c r="L863" s="14" t="str">
        <f aca="false">IF(OR($C863="",$G863=""),"",IF($B863="입고",$G863,IF($B863="출고",-$G863,$G863)))</f>
        <v/>
      </c>
      <c r="M863" s="13" t="str">
        <f aca="false">IF($C863="","",IFERROR(INDEX(품목마스터!$F$3:$F$302,MATCH($C863,품목마스터!$A$3:$A$302,0)),0)+SUMIFS($L$3:$L863,$C$3:$C863,$C863))</f>
        <v/>
      </c>
    </row>
    <row r="864" customFormat="false" ht="15" hidden="false" customHeight="true" outlineLevel="0" collapsed="false">
      <c r="A864" s="11"/>
      <c r="B864" s="7"/>
      <c r="C864" s="7"/>
      <c r="D864" s="12" t="str">
        <f aca="false">IF($C864="","",IFERROR(INDEX(품목마스터!$B$3:$B$302,MATCH($C864,품목마스터!$A$3:$A$302,0)),"미등록품번"))</f>
        <v/>
      </c>
      <c r="E864" s="12" t="str">
        <f aca="false">IF($C864="","",IFERROR(INDEX(품목마스터!$C$3:$C$302,MATCH($C864,품목마스터!$A$3:$A$302,0)),""))</f>
        <v/>
      </c>
      <c r="F864" s="12" t="str">
        <f aca="false">IF($C864="","",IFERROR(INDEX(품목마스터!$D$3:$D$302,MATCH($C864,품목마스터!$A$3:$A$302,0)),""))</f>
        <v/>
      </c>
      <c r="G864" s="9"/>
      <c r="H864" s="9"/>
      <c r="I864" s="13" t="str">
        <f aca="false">IF(OR($G864="",$H864=""),"",ROUND($G864*$H864,0))</f>
        <v/>
      </c>
      <c r="J864" s="7"/>
      <c r="K864" s="7"/>
      <c r="L864" s="14" t="str">
        <f aca="false">IF(OR($C864="",$G864=""),"",IF($B864="입고",$G864,IF($B864="출고",-$G864,$G864)))</f>
        <v/>
      </c>
      <c r="M864" s="13" t="str">
        <f aca="false">IF($C864="","",IFERROR(INDEX(품목마스터!$F$3:$F$302,MATCH($C864,품목마스터!$A$3:$A$302,0)),0)+SUMIFS($L$3:$L864,$C$3:$C864,$C864))</f>
        <v/>
      </c>
    </row>
    <row r="865" customFormat="false" ht="15" hidden="false" customHeight="true" outlineLevel="0" collapsed="false">
      <c r="A865" s="11"/>
      <c r="B865" s="7"/>
      <c r="C865" s="7"/>
      <c r="D865" s="12" t="str">
        <f aca="false">IF($C865="","",IFERROR(INDEX(품목마스터!$B$3:$B$302,MATCH($C865,품목마스터!$A$3:$A$302,0)),"미등록품번"))</f>
        <v/>
      </c>
      <c r="E865" s="12" t="str">
        <f aca="false">IF($C865="","",IFERROR(INDEX(품목마스터!$C$3:$C$302,MATCH($C865,품목마스터!$A$3:$A$302,0)),""))</f>
        <v/>
      </c>
      <c r="F865" s="12" t="str">
        <f aca="false">IF($C865="","",IFERROR(INDEX(품목마스터!$D$3:$D$302,MATCH($C865,품목마스터!$A$3:$A$302,0)),""))</f>
        <v/>
      </c>
      <c r="G865" s="9"/>
      <c r="H865" s="9"/>
      <c r="I865" s="13" t="str">
        <f aca="false">IF(OR($G865="",$H865=""),"",ROUND($G865*$H865,0))</f>
        <v/>
      </c>
      <c r="J865" s="7"/>
      <c r="K865" s="7"/>
      <c r="L865" s="14" t="str">
        <f aca="false">IF(OR($C865="",$G865=""),"",IF($B865="입고",$G865,IF($B865="출고",-$G865,$G865)))</f>
        <v/>
      </c>
      <c r="M865" s="13" t="str">
        <f aca="false">IF($C865="","",IFERROR(INDEX(품목마스터!$F$3:$F$302,MATCH($C865,품목마스터!$A$3:$A$302,0)),0)+SUMIFS($L$3:$L865,$C$3:$C865,$C865))</f>
        <v/>
      </c>
    </row>
    <row r="866" customFormat="false" ht="15" hidden="false" customHeight="true" outlineLevel="0" collapsed="false">
      <c r="A866" s="11"/>
      <c r="B866" s="7"/>
      <c r="C866" s="7"/>
      <c r="D866" s="12" t="str">
        <f aca="false">IF($C866="","",IFERROR(INDEX(품목마스터!$B$3:$B$302,MATCH($C866,품목마스터!$A$3:$A$302,0)),"미등록품번"))</f>
        <v/>
      </c>
      <c r="E866" s="12" t="str">
        <f aca="false">IF($C866="","",IFERROR(INDEX(품목마스터!$C$3:$C$302,MATCH($C866,품목마스터!$A$3:$A$302,0)),""))</f>
        <v/>
      </c>
      <c r="F866" s="12" t="str">
        <f aca="false">IF($C866="","",IFERROR(INDEX(품목마스터!$D$3:$D$302,MATCH($C866,품목마스터!$A$3:$A$302,0)),""))</f>
        <v/>
      </c>
      <c r="G866" s="9"/>
      <c r="H866" s="9"/>
      <c r="I866" s="13" t="str">
        <f aca="false">IF(OR($G866="",$H866=""),"",ROUND($G866*$H866,0))</f>
        <v/>
      </c>
      <c r="J866" s="7"/>
      <c r="K866" s="7"/>
      <c r="L866" s="14" t="str">
        <f aca="false">IF(OR($C866="",$G866=""),"",IF($B866="입고",$G866,IF($B866="출고",-$G866,$G866)))</f>
        <v/>
      </c>
      <c r="M866" s="13" t="str">
        <f aca="false">IF($C866="","",IFERROR(INDEX(품목마스터!$F$3:$F$302,MATCH($C866,품목마스터!$A$3:$A$302,0)),0)+SUMIFS($L$3:$L866,$C$3:$C866,$C866))</f>
        <v/>
      </c>
    </row>
    <row r="867" customFormat="false" ht="15" hidden="false" customHeight="true" outlineLevel="0" collapsed="false">
      <c r="A867" s="11"/>
      <c r="B867" s="7"/>
      <c r="C867" s="7"/>
      <c r="D867" s="12" t="str">
        <f aca="false">IF($C867="","",IFERROR(INDEX(품목마스터!$B$3:$B$302,MATCH($C867,품목마스터!$A$3:$A$302,0)),"미등록품번"))</f>
        <v/>
      </c>
      <c r="E867" s="12" t="str">
        <f aca="false">IF($C867="","",IFERROR(INDEX(품목마스터!$C$3:$C$302,MATCH($C867,품목마스터!$A$3:$A$302,0)),""))</f>
        <v/>
      </c>
      <c r="F867" s="12" t="str">
        <f aca="false">IF($C867="","",IFERROR(INDEX(품목마스터!$D$3:$D$302,MATCH($C867,품목마스터!$A$3:$A$302,0)),""))</f>
        <v/>
      </c>
      <c r="G867" s="9"/>
      <c r="H867" s="9"/>
      <c r="I867" s="13" t="str">
        <f aca="false">IF(OR($G867="",$H867=""),"",ROUND($G867*$H867,0))</f>
        <v/>
      </c>
      <c r="J867" s="7"/>
      <c r="K867" s="7"/>
      <c r="L867" s="14" t="str">
        <f aca="false">IF(OR($C867="",$G867=""),"",IF($B867="입고",$G867,IF($B867="출고",-$G867,$G867)))</f>
        <v/>
      </c>
      <c r="M867" s="13" t="str">
        <f aca="false">IF($C867="","",IFERROR(INDEX(품목마스터!$F$3:$F$302,MATCH($C867,품목마스터!$A$3:$A$302,0)),0)+SUMIFS($L$3:$L867,$C$3:$C867,$C867))</f>
        <v/>
      </c>
    </row>
    <row r="868" customFormat="false" ht="15" hidden="false" customHeight="true" outlineLevel="0" collapsed="false">
      <c r="A868" s="11"/>
      <c r="B868" s="7"/>
      <c r="C868" s="7"/>
      <c r="D868" s="12" t="str">
        <f aca="false">IF($C868="","",IFERROR(INDEX(품목마스터!$B$3:$B$302,MATCH($C868,품목마스터!$A$3:$A$302,0)),"미등록품번"))</f>
        <v/>
      </c>
      <c r="E868" s="12" t="str">
        <f aca="false">IF($C868="","",IFERROR(INDEX(품목마스터!$C$3:$C$302,MATCH($C868,품목마스터!$A$3:$A$302,0)),""))</f>
        <v/>
      </c>
      <c r="F868" s="12" t="str">
        <f aca="false">IF($C868="","",IFERROR(INDEX(품목마스터!$D$3:$D$302,MATCH($C868,품목마스터!$A$3:$A$302,0)),""))</f>
        <v/>
      </c>
      <c r="G868" s="9"/>
      <c r="H868" s="9"/>
      <c r="I868" s="13" t="str">
        <f aca="false">IF(OR($G868="",$H868=""),"",ROUND($G868*$H868,0))</f>
        <v/>
      </c>
      <c r="J868" s="7"/>
      <c r="K868" s="7"/>
      <c r="L868" s="14" t="str">
        <f aca="false">IF(OR($C868="",$G868=""),"",IF($B868="입고",$G868,IF($B868="출고",-$G868,$G868)))</f>
        <v/>
      </c>
      <c r="M868" s="13" t="str">
        <f aca="false">IF($C868="","",IFERROR(INDEX(품목마스터!$F$3:$F$302,MATCH($C868,품목마스터!$A$3:$A$302,0)),0)+SUMIFS($L$3:$L868,$C$3:$C868,$C868))</f>
        <v/>
      </c>
    </row>
    <row r="869" customFormat="false" ht="15" hidden="false" customHeight="true" outlineLevel="0" collapsed="false">
      <c r="A869" s="11"/>
      <c r="B869" s="7"/>
      <c r="C869" s="7"/>
      <c r="D869" s="12" t="str">
        <f aca="false">IF($C869="","",IFERROR(INDEX(품목마스터!$B$3:$B$302,MATCH($C869,품목마스터!$A$3:$A$302,0)),"미등록품번"))</f>
        <v/>
      </c>
      <c r="E869" s="12" t="str">
        <f aca="false">IF($C869="","",IFERROR(INDEX(품목마스터!$C$3:$C$302,MATCH($C869,품목마스터!$A$3:$A$302,0)),""))</f>
        <v/>
      </c>
      <c r="F869" s="12" t="str">
        <f aca="false">IF($C869="","",IFERROR(INDEX(품목마스터!$D$3:$D$302,MATCH($C869,품목마스터!$A$3:$A$302,0)),""))</f>
        <v/>
      </c>
      <c r="G869" s="9"/>
      <c r="H869" s="9"/>
      <c r="I869" s="13" t="str">
        <f aca="false">IF(OR($G869="",$H869=""),"",ROUND($G869*$H869,0))</f>
        <v/>
      </c>
      <c r="J869" s="7"/>
      <c r="K869" s="7"/>
      <c r="L869" s="14" t="str">
        <f aca="false">IF(OR($C869="",$G869=""),"",IF($B869="입고",$G869,IF($B869="출고",-$G869,$G869)))</f>
        <v/>
      </c>
      <c r="M869" s="13" t="str">
        <f aca="false">IF($C869="","",IFERROR(INDEX(품목마스터!$F$3:$F$302,MATCH($C869,품목마스터!$A$3:$A$302,0)),0)+SUMIFS($L$3:$L869,$C$3:$C869,$C869))</f>
        <v/>
      </c>
    </row>
    <row r="870" customFormat="false" ht="15" hidden="false" customHeight="true" outlineLevel="0" collapsed="false">
      <c r="A870" s="11"/>
      <c r="B870" s="7"/>
      <c r="C870" s="7"/>
      <c r="D870" s="12" t="str">
        <f aca="false">IF($C870="","",IFERROR(INDEX(품목마스터!$B$3:$B$302,MATCH($C870,품목마스터!$A$3:$A$302,0)),"미등록품번"))</f>
        <v/>
      </c>
      <c r="E870" s="12" t="str">
        <f aca="false">IF($C870="","",IFERROR(INDEX(품목마스터!$C$3:$C$302,MATCH($C870,품목마스터!$A$3:$A$302,0)),""))</f>
        <v/>
      </c>
      <c r="F870" s="12" t="str">
        <f aca="false">IF($C870="","",IFERROR(INDEX(품목마스터!$D$3:$D$302,MATCH($C870,품목마스터!$A$3:$A$302,0)),""))</f>
        <v/>
      </c>
      <c r="G870" s="9"/>
      <c r="H870" s="9"/>
      <c r="I870" s="13" t="str">
        <f aca="false">IF(OR($G870="",$H870=""),"",ROUND($G870*$H870,0))</f>
        <v/>
      </c>
      <c r="J870" s="7"/>
      <c r="K870" s="7"/>
      <c r="L870" s="14" t="str">
        <f aca="false">IF(OR($C870="",$G870=""),"",IF($B870="입고",$G870,IF($B870="출고",-$G870,$G870)))</f>
        <v/>
      </c>
      <c r="M870" s="13" t="str">
        <f aca="false">IF($C870="","",IFERROR(INDEX(품목마스터!$F$3:$F$302,MATCH($C870,품목마스터!$A$3:$A$302,0)),0)+SUMIFS($L$3:$L870,$C$3:$C870,$C870))</f>
        <v/>
      </c>
    </row>
    <row r="871" customFormat="false" ht="15" hidden="false" customHeight="true" outlineLevel="0" collapsed="false">
      <c r="A871" s="11"/>
      <c r="B871" s="7"/>
      <c r="C871" s="7"/>
      <c r="D871" s="12" t="str">
        <f aca="false">IF($C871="","",IFERROR(INDEX(품목마스터!$B$3:$B$302,MATCH($C871,품목마스터!$A$3:$A$302,0)),"미등록품번"))</f>
        <v/>
      </c>
      <c r="E871" s="12" t="str">
        <f aca="false">IF($C871="","",IFERROR(INDEX(품목마스터!$C$3:$C$302,MATCH($C871,품목마스터!$A$3:$A$302,0)),""))</f>
        <v/>
      </c>
      <c r="F871" s="12" t="str">
        <f aca="false">IF($C871="","",IFERROR(INDEX(품목마스터!$D$3:$D$302,MATCH($C871,품목마스터!$A$3:$A$302,0)),""))</f>
        <v/>
      </c>
      <c r="G871" s="9"/>
      <c r="H871" s="9"/>
      <c r="I871" s="13" t="str">
        <f aca="false">IF(OR($G871="",$H871=""),"",ROUND($G871*$H871,0))</f>
        <v/>
      </c>
      <c r="J871" s="7"/>
      <c r="K871" s="7"/>
      <c r="L871" s="14" t="str">
        <f aca="false">IF(OR($C871="",$G871=""),"",IF($B871="입고",$G871,IF($B871="출고",-$G871,$G871)))</f>
        <v/>
      </c>
      <c r="M871" s="13" t="str">
        <f aca="false">IF($C871="","",IFERROR(INDEX(품목마스터!$F$3:$F$302,MATCH($C871,품목마스터!$A$3:$A$302,0)),0)+SUMIFS($L$3:$L871,$C$3:$C871,$C871))</f>
        <v/>
      </c>
    </row>
    <row r="872" customFormat="false" ht="15" hidden="false" customHeight="true" outlineLevel="0" collapsed="false">
      <c r="A872" s="11"/>
      <c r="B872" s="7"/>
      <c r="C872" s="7"/>
      <c r="D872" s="12" t="str">
        <f aca="false">IF($C872="","",IFERROR(INDEX(품목마스터!$B$3:$B$302,MATCH($C872,품목마스터!$A$3:$A$302,0)),"미등록품번"))</f>
        <v/>
      </c>
      <c r="E872" s="12" t="str">
        <f aca="false">IF($C872="","",IFERROR(INDEX(품목마스터!$C$3:$C$302,MATCH($C872,품목마스터!$A$3:$A$302,0)),""))</f>
        <v/>
      </c>
      <c r="F872" s="12" t="str">
        <f aca="false">IF($C872="","",IFERROR(INDEX(품목마스터!$D$3:$D$302,MATCH($C872,품목마스터!$A$3:$A$302,0)),""))</f>
        <v/>
      </c>
      <c r="G872" s="9"/>
      <c r="H872" s="9"/>
      <c r="I872" s="13" t="str">
        <f aca="false">IF(OR($G872="",$H872=""),"",ROUND($G872*$H872,0))</f>
        <v/>
      </c>
      <c r="J872" s="7"/>
      <c r="K872" s="7"/>
      <c r="L872" s="14" t="str">
        <f aca="false">IF(OR($C872="",$G872=""),"",IF($B872="입고",$G872,IF($B872="출고",-$G872,$G872)))</f>
        <v/>
      </c>
      <c r="M872" s="13" t="str">
        <f aca="false">IF($C872="","",IFERROR(INDEX(품목마스터!$F$3:$F$302,MATCH($C872,품목마스터!$A$3:$A$302,0)),0)+SUMIFS($L$3:$L872,$C$3:$C872,$C872))</f>
        <v/>
      </c>
    </row>
    <row r="873" customFormat="false" ht="15" hidden="false" customHeight="true" outlineLevel="0" collapsed="false">
      <c r="A873" s="11"/>
      <c r="B873" s="7"/>
      <c r="C873" s="7"/>
      <c r="D873" s="12" t="str">
        <f aca="false">IF($C873="","",IFERROR(INDEX(품목마스터!$B$3:$B$302,MATCH($C873,품목마스터!$A$3:$A$302,0)),"미등록품번"))</f>
        <v/>
      </c>
      <c r="E873" s="12" t="str">
        <f aca="false">IF($C873="","",IFERROR(INDEX(품목마스터!$C$3:$C$302,MATCH($C873,품목마스터!$A$3:$A$302,0)),""))</f>
        <v/>
      </c>
      <c r="F873" s="12" t="str">
        <f aca="false">IF($C873="","",IFERROR(INDEX(품목마스터!$D$3:$D$302,MATCH($C873,품목마스터!$A$3:$A$302,0)),""))</f>
        <v/>
      </c>
      <c r="G873" s="9"/>
      <c r="H873" s="9"/>
      <c r="I873" s="13" t="str">
        <f aca="false">IF(OR($G873="",$H873=""),"",ROUND($G873*$H873,0))</f>
        <v/>
      </c>
      <c r="J873" s="7"/>
      <c r="K873" s="7"/>
      <c r="L873" s="14" t="str">
        <f aca="false">IF(OR($C873="",$G873=""),"",IF($B873="입고",$G873,IF($B873="출고",-$G873,$G873)))</f>
        <v/>
      </c>
      <c r="M873" s="13" t="str">
        <f aca="false">IF($C873="","",IFERROR(INDEX(품목마스터!$F$3:$F$302,MATCH($C873,품목마스터!$A$3:$A$302,0)),0)+SUMIFS($L$3:$L873,$C$3:$C873,$C873))</f>
        <v/>
      </c>
    </row>
    <row r="874" customFormat="false" ht="15" hidden="false" customHeight="true" outlineLevel="0" collapsed="false">
      <c r="A874" s="11"/>
      <c r="B874" s="7"/>
      <c r="C874" s="7"/>
      <c r="D874" s="12" t="str">
        <f aca="false">IF($C874="","",IFERROR(INDEX(품목마스터!$B$3:$B$302,MATCH($C874,품목마스터!$A$3:$A$302,0)),"미등록품번"))</f>
        <v/>
      </c>
      <c r="E874" s="12" t="str">
        <f aca="false">IF($C874="","",IFERROR(INDEX(품목마스터!$C$3:$C$302,MATCH($C874,품목마스터!$A$3:$A$302,0)),""))</f>
        <v/>
      </c>
      <c r="F874" s="12" t="str">
        <f aca="false">IF($C874="","",IFERROR(INDEX(품목마스터!$D$3:$D$302,MATCH($C874,품목마스터!$A$3:$A$302,0)),""))</f>
        <v/>
      </c>
      <c r="G874" s="9"/>
      <c r="H874" s="9"/>
      <c r="I874" s="13" t="str">
        <f aca="false">IF(OR($G874="",$H874=""),"",ROUND($G874*$H874,0))</f>
        <v/>
      </c>
      <c r="J874" s="7"/>
      <c r="K874" s="7"/>
      <c r="L874" s="14" t="str">
        <f aca="false">IF(OR($C874="",$G874=""),"",IF($B874="입고",$G874,IF($B874="출고",-$G874,$G874)))</f>
        <v/>
      </c>
      <c r="M874" s="13" t="str">
        <f aca="false">IF($C874="","",IFERROR(INDEX(품목마스터!$F$3:$F$302,MATCH($C874,품목마스터!$A$3:$A$302,0)),0)+SUMIFS($L$3:$L874,$C$3:$C874,$C874))</f>
        <v/>
      </c>
    </row>
    <row r="875" customFormat="false" ht="15" hidden="false" customHeight="true" outlineLevel="0" collapsed="false">
      <c r="A875" s="11"/>
      <c r="B875" s="7"/>
      <c r="C875" s="7"/>
      <c r="D875" s="12" t="str">
        <f aca="false">IF($C875="","",IFERROR(INDEX(품목마스터!$B$3:$B$302,MATCH($C875,품목마스터!$A$3:$A$302,0)),"미등록품번"))</f>
        <v/>
      </c>
      <c r="E875" s="12" t="str">
        <f aca="false">IF($C875="","",IFERROR(INDEX(품목마스터!$C$3:$C$302,MATCH($C875,품목마스터!$A$3:$A$302,0)),""))</f>
        <v/>
      </c>
      <c r="F875" s="12" t="str">
        <f aca="false">IF($C875="","",IFERROR(INDEX(품목마스터!$D$3:$D$302,MATCH($C875,품목마스터!$A$3:$A$302,0)),""))</f>
        <v/>
      </c>
      <c r="G875" s="9"/>
      <c r="H875" s="9"/>
      <c r="I875" s="13" t="str">
        <f aca="false">IF(OR($G875="",$H875=""),"",ROUND($G875*$H875,0))</f>
        <v/>
      </c>
      <c r="J875" s="7"/>
      <c r="K875" s="7"/>
      <c r="L875" s="14" t="str">
        <f aca="false">IF(OR($C875="",$G875=""),"",IF($B875="입고",$G875,IF($B875="출고",-$G875,$G875)))</f>
        <v/>
      </c>
      <c r="M875" s="13" t="str">
        <f aca="false">IF($C875="","",IFERROR(INDEX(품목마스터!$F$3:$F$302,MATCH($C875,품목마스터!$A$3:$A$302,0)),0)+SUMIFS($L$3:$L875,$C$3:$C875,$C875))</f>
        <v/>
      </c>
    </row>
    <row r="876" customFormat="false" ht="15" hidden="false" customHeight="true" outlineLevel="0" collapsed="false">
      <c r="A876" s="11"/>
      <c r="B876" s="7"/>
      <c r="C876" s="7"/>
      <c r="D876" s="12" t="str">
        <f aca="false">IF($C876="","",IFERROR(INDEX(품목마스터!$B$3:$B$302,MATCH($C876,품목마스터!$A$3:$A$302,0)),"미등록품번"))</f>
        <v/>
      </c>
      <c r="E876" s="12" t="str">
        <f aca="false">IF($C876="","",IFERROR(INDEX(품목마스터!$C$3:$C$302,MATCH($C876,품목마스터!$A$3:$A$302,0)),""))</f>
        <v/>
      </c>
      <c r="F876" s="12" t="str">
        <f aca="false">IF($C876="","",IFERROR(INDEX(품목마스터!$D$3:$D$302,MATCH($C876,품목마스터!$A$3:$A$302,0)),""))</f>
        <v/>
      </c>
      <c r="G876" s="9"/>
      <c r="H876" s="9"/>
      <c r="I876" s="13" t="str">
        <f aca="false">IF(OR($G876="",$H876=""),"",ROUND($G876*$H876,0))</f>
        <v/>
      </c>
      <c r="J876" s="7"/>
      <c r="K876" s="7"/>
      <c r="L876" s="14" t="str">
        <f aca="false">IF(OR($C876="",$G876=""),"",IF($B876="입고",$G876,IF($B876="출고",-$G876,$G876)))</f>
        <v/>
      </c>
      <c r="M876" s="13" t="str">
        <f aca="false">IF($C876="","",IFERROR(INDEX(품목마스터!$F$3:$F$302,MATCH($C876,품목마스터!$A$3:$A$302,0)),0)+SUMIFS($L$3:$L876,$C$3:$C876,$C876))</f>
        <v/>
      </c>
    </row>
    <row r="877" customFormat="false" ht="15" hidden="false" customHeight="true" outlineLevel="0" collapsed="false">
      <c r="A877" s="11"/>
      <c r="B877" s="7"/>
      <c r="C877" s="7"/>
      <c r="D877" s="12" t="str">
        <f aca="false">IF($C877="","",IFERROR(INDEX(품목마스터!$B$3:$B$302,MATCH($C877,품목마스터!$A$3:$A$302,0)),"미등록품번"))</f>
        <v/>
      </c>
      <c r="E877" s="12" t="str">
        <f aca="false">IF($C877="","",IFERROR(INDEX(품목마스터!$C$3:$C$302,MATCH($C877,품목마스터!$A$3:$A$302,0)),""))</f>
        <v/>
      </c>
      <c r="F877" s="12" t="str">
        <f aca="false">IF($C877="","",IFERROR(INDEX(품목마스터!$D$3:$D$302,MATCH($C877,품목마스터!$A$3:$A$302,0)),""))</f>
        <v/>
      </c>
      <c r="G877" s="9"/>
      <c r="H877" s="9"/>
      <c r="I877" s="13" t="str">
        <f aca="false">IF(OR($G877="",$H877=""),"",ROUND($G877*$H877,0))</f>
        <v/>
      </c>
      <c r="J877" s="7"/>
      <c r="K877" s="7"/>
      <c r="L877" s="14" t="str">
        <f aca="false">IF(OR($C877="",$G877=""),"",IF($B877="입고",$G877,IF($B877="출고",-$G877,$G877)))</f>
        <v/>
      </c>
      <c r="M877" s="13" t="str">
        <f aca="false">IF($C877="","",IFERROR(INDEX(품목마스터!$F$3:$F$302,MATCH($C877,품목마스터!$A$3:$A$302,0)),0)+SUMIFS($L$3:$L877,$C$3:$C877,$C877))</f>
        <v/>
      </c>
    </row>
    <row r="878" customFormat="false" ht="15" hidden="false" customHeight="true" outlineLevel="0" collapsed="false">
      <c r="A878" s="11"/>
      <c r="B878" s="7"/>
      <c r="C878" s="7"/>
      <c r="D878" s="12" t="str">
        <f aca="false">IF($C878="","",IFERROR(INDEX(품목마스터!$B$3:$B$302,MATCH($C878,품목마스터!$A$3:$A$302,0)),"미등록품번"))</f>
        <v/>
      </c>
      <c r="E878" s="12" t="str">
        <f aca="false">IF($C878="","",IFERROR(INDEX(품목마스터!$C$3:$C$302,MATCH($C878,품목마스터!$A$3:$A$302,0)),""))</f>
        <v/>
      </c>
      <c r="F878" s="12" t="str">
        <f aca="false">IF($C878="","",IFERROR(INDEX(품목마스터!$D$3:$D$302,MATCH($C878,품목마스터!$A$3:$A$302,0)),""))</f>
        <v/>
      </c>
      <c r="G878" s="9"/>
      <c r="H878" s="9"/>
      <c r="I878" s="13" t="str">
        <f aca="false">IF(OR($G878="",$H878=""),"",ROUND($G878*$H878,0))</f>
        <v/>
      </c>
      <c r="J878" s="7"/>
      <c r="K878" s="7"/>
      <c r="L878" s="14" t="str">
        <f aca="false">IF(OR($C878="",$G878=""),"",IF($B878="입고",$G878,IF($B878="출고",-$G878,$G878)))</f>
        <v/>
      </c>
      <c r="M878" s="13" t="str">
        <f aca="false">IF($C878="","",IFERROR(INDEX(품목마스터!$F$3:$F$302,MATCH($C878,품목마스터!$A$3:$A$302,0)),0)+SUMIFS($L$3:$L878,$C$3:$C878,$C878))</f>
        <v/>
      </c>
    </row>
    <row r="879" customFormat="false" ht="15" hidden="false" customHeight="true" outlineLevel="0" collapsed="false">
      <c r="A879" s="11"/>
      <c r="B879" s="7"/>
      <c r="C879" s="7"/>
      <c r="D879" s="12" t="str">
        <f aca="false">IF($C879="","",IFERROR(INDEX(품목마스터!$B$3:$B$302,MATCH($C879,품목마스터!$A$3:$A$302,0)),"미등록품번"))</f>
        <v/>
      </c>
      <c r="E879" s="12" t="str">
        <f aca="false">IF($C879="","",IFERROR(INDEX(품목마스터!$C$3:$C$302,MATCH($C879,품목마스터!$A$3:$A$302,0)),""))</f>
        <v/>
      </c>
      <c r="F879" s="12" t="str">
        <f aca="false">IF($C879="","",IFERROR(INDEX(품목마스터!$D$3:$D$302,MATCH($C879,품목마스터!$A$3:$A$302,0)),""))</f>
        <v/>
      </c>
      <c r="G879" s="9"/>
      <c r="H879" s="9"/>
      <c r="I879" s="13" t="str">
        <f aca="false">IF(OR($G879="",$H879=""),"",ROUND($G879*$H879,0))</f>
        <v/>
      </c>
      <c r="J879" s="7"/>
      <c r="K879" s="7"/>
      <c r="L879" s="14" t="str">
        <f aca="false">IF(OR($C879="",$G879=""),"",IF($B879="입고",$G879,IF($B879="출고",-$G879,$G879)))</f>
        <v/>
      </c>
      <c r="M879" s="13" t="str">
        <f aca="false">IF($C879="","",IFERROR(INDEX(품목마스터!$F$3:$F$302,MATCH($C879,품목마스터!$A$3:$A$302,0)),0)+SUMIFS($L$3:$L879,$C$3:$C879,$C879))</f>
        <v/>
      </c>
    </row>
    <row r="880" customFormat="false" ht="15" hidden="false" customHeight="true" outlineLevel="0" collapsed="false">
      <c r="A880" s="11"/>
      <c r="B880" s="7"/>
      <c r="C880" s="7"/>
      <c r="D880" s="12" t="str">
        <f aca="false">IF($C880="","",IFERROR(INDEX(품목마스터!$B$3:$B$302,MATCH($C880,품목마스터!$A$3:$A$302,0)),"미등록품번"))</f>
        <v/>
      </c>
      <c r="E880" s="12" t="str">
        <f aca="false">IF($C880="","",IFERROR(INDEX(품목마스터!$C$3:$C$302,MATCH($C880,품목마스터!$A$3:$A$302,0)),""))</f>
        <v/>
      </c>
      <c r="F880" s="12" t="str">
        <f aca="false">IF($C880="","",IFERROR(INDEX(품목마스터!$D$3:$D$302,MATCH($C880,품목마스터!$A$3:$A$302,0)),""))</f>
        <v/>
      </c>
      <c r="G880" s="9"/>
      <c r="H880" s="9"/>
      <c r="I880" s="13" t="str">
        <f aca="false">IF(OR($G880="",$H880=""),"",ROUND($G880*$H880,0))</f>
        <v/>
      </c>
      <c r="J880" s="7"/>
      <c r="K880" s="7"/>
      <c r="L880" s="14" t="str">
        <f aca="false">IF(OR($C880="",$G880=""),"",IF($B880="입고",$G880,IF($B880="출고",-$G880,$G880)))</f>
        <v/>
      </c>
      <c r="M880" s="13" t="str">
        <f aca="false">IF($C880="","",IFERROR(INDEX(품목마스터!$F$3:$F$302,MATCH($C880,품목마스터!$A$3:$A$302,0)),0)+SUMIFS($L$3:$L880,$C$3:$C880,$C880))</f>
        <v/>
      </c>
    </row>
    <row r="881" customFormat="false" ht="15" hidden="false" customHeight="true" outlineLevel="0" collapsed="false">
      <c r="A881" s="11"/>
      <c r="B881" s="7"/>
      <c r="C881" s="7"/>
      <c r="D881" s="12" t="str">
        <f aca="false">IF($C881="","",IFERROR(INDEX(품목마스터!$B$3:$B$302,MATCH($C881,품목마스터!$A$3:$A$302,0)),"미등록품번"))</f>
        <v/>
      </c>
      <c r="E881" s="12" t="str">
        <f aca="false">IF($C881="","",IFERROR(INDEX(품목마스터!$C$3:$C$302,MATCH($C881,품목마스터!$A$3:$A$302,0)),""))</f>
        <v/>
      </c>
      <c r="F881" s="12" t="str">
        <f aca="false">IF($C881="","",IFERROR(INDEX(품목마스터!$D$3:$D$302,MATCH($C881,품목마스터!$A$3:$A$302,0)),""))</f>
        <v/>
      </c>
      <c r="G881" s="9"/>
      <c r="H881" s="9"/>
      <c r="I881" s="13" t="str">
        <f aca="false">IF(OR($G881="",$H881=""),"",ROUND($G881*$H881,0))</f>
        <v/>
      </c>
      <c r="J881" s="7"/>
      <c r="K881" s="7"/>
      <c r="L881" s="14" t="str">
        <f aca="false">IF(OR($C881="",$G881=""),"",IF($B881="입고",$G881,IF($B881="출고",-$G881,$G881)))</f>
        <v/>
      </c>
      <c r="M881" s="13" t="str">
        <f aca="false">IF($C881="","",IFERROR(INDEX(품목마스터!$F$3:$F$302,MATCH($C881,품목마스터!$A$3:$A$302,0)),0)+SUMIFS($L$3:$L881,$C$3:$C881,$C881))</f>
        <v/>
      </c>
    </row>
    <row r="882" customFormat="false" ht="15" hidden="false" customHeight="true" outlineLevel="0" collapsed="false">
      <c r="A882" s="11"/>
      <c r="B882" s="7"/>
      <c r="C882" s="7"/>
      <c r="D882" s="12" t="str">
        <f aca="false">IF($C882="","",IFERROR(INDEX(품목마스터!$B$3:$B$302,MATCH($C882,품목마스터!$A$3:$A$302,0)),"미등록품번"))</f>
        <v/>
      </c>
      <c r="E882" s="12" t="str">
        <f aca="false">IF($C882="","",IFERROR(INDEX(품목마스터!$C$3:$C$302,MATCH($C882,품목마스터!$A$3:$A$302,0)),""))</f>
        <v/>
      </c>
      <c r="F882" s="12" t="str">
        <f aca="false">IF($C882="","",IFERROR(INDEX(품목마스터!$D$3:$D$302,MATCH($C882,품목마스터!$A$3:$A$302,0)),""))</f>
        <v/>
      </c>
      <c r="G882" s="9"/>
      <c r="H882" s="9"/>
      <c r="I882" s="13" t="str">
        <f aca="false">IF(OR($G882="",$H882=""),"",ROUND($G882*$H882,0))</f>
        <v/>
      </c>
      <c r="J882" s="7"/>
      <c r="K882" s="7"/>
      <c r="L882" s="14" t="str">
        <f aca="false">IF(OR($C882="",$G882=""),"",IF($B882="입고",$G882,IF($B882="출고",-$G882,$G882)))</f>
        <v/>
      </c>
      <c r="M882" s="13" t="str">
        <f aca="false">IF($C882="","",IFERROR(INDEX(품목마스터!$F$3:$F$302,MATCH($C882,품목마스터!$A$3:$A$302,0)),0)+SUMIFS($L$3:$L882,$C$3:$C882,$C882))</f>
        <v/>
      </c>
    </row>
    <row r="883" customFormat="false" ht="15" hidden="false" customHeight="true" outlineLevel="0" collapsed="false">
      <c r="A883" s="11"/>
      <c r="B883" s="7"/>
      <c r="C883" s="7"/>
      <c r="D883" s="12" t="str">
        <f aca="false">IF($C883="","",IFERROR(INDEX(품목마스터!$B$3:$B$302,MATCH($C883,품목마스터!$A$3:$A$302,0)),"미등록품번"))</f>
        <v/>
      </c>
      <c r="E883" s="12" t="str">
        <f aca="false">IF($C883="","",IFERROR(INDEX(품목마스터!$C$3:$C$302,MATCH($C883,품목마스터!$A$3:$A$302,0)),""))</f>
        <v/>
      </c>
      <c r="F883" s="12" t="str">
        <f aca="false">IF($C883="","",IFERROR(INDEX(품목마스터!$D$3:$D$302,MATCH($C883,품목마스터!$A$3:$A$302,0)),""))</f>
        <v/>
      </c>
      <c r="G883" s="9"/>
      <c r="H883" s="9"/>
      <c r="I883" s="13" t="str">
        <f aca="false">IF(OR($G883="",$H883=""),"",ROUND($G883*$H883,0))</f>
        <v/>
      </c>
      <c r="J883" s="7"/>
      <c r="K883" s="7"/>
      <c r="L883" s="14" t="str">
        <f aca="false">IF(OR($C883="",$G883=""),"",IF($B883="입고",$G883,IF($B883="출고",-$G883,$G883)))</f>
        <v/>
      </c>
      <c r="M883" s="13" t="str">
        <f aca="false">IF($C883="","",IFERROR(INDEX(품목마스터!$F$3:$F$302,MATCH($C883,품목마스터!$A$3:$A$302,0)),0)+SUMIFS($L$3:$L883,$C$3:$C883,$C883))</f>
        <v/>
      </c>
    </row>
    <row r="884" customFormat="false" ht="15" hidden="false" customHeight="true" outlineLevel="0" collapsed="false">
      <c r="A884" s="11"/>
      <c r="B884" s="7"/>
      <c r="C884" s="7"/>
      <c r="D884" s="12" t="str">
        <f aca="false">IF($C884="","",IFERROR(INDEX(품목마스터!$B$3:$B$302,MATCH($C884,품목마스터!$A$3:$A$302,0)),"미등록품번"))</f>
        <v/>
      </c>
      <c r="E884" s="12" t="str">
        <f aca="false">IF($C884="","",IFERROR(INDEX(품목마스터!$C$3:$C$302,MATCH($C884,품목마스터!$A$3:$A$302,0)),""))</f>
        <v/>
      </c>
      <c r="F884" s="12" t="str">
        <f aca="false">IF($C884="","",IFERROR(INDEX(품목마스터!$D$3:$D$302,MATCH($C884,품목마스터!$A$3:$A$302,0)),""))</f>
        <v/>
      </c>
      <c r="G884" s="9"/>
      <c r="H884" s="9"/>
      <c r="I884" s="13" t="str">
        <f aca="false">IF(OR($G884="",$H884=""),"",ROUND($G884*$H884,0))</f>
        <v/>
      </c>
      <c r="J884" s="7"/>
      <c r="K884" s="7"/>
      <c r="L884" s="14" t="str">
        <f aca="false">IF(OR($C884="",$G884=""),"",IF($B884="입고",$G884,IF($B884="출고",-$G884,$G884)))</f>
        <v/>
      </c>
      <c r="M884" s="13" t="str">
        <f aca="false">IF($C884="","",IFERROR(INDEX(품목마스터!$F$3:$F$302,MATCH($C884,품목마스터!$A$3:$A$302,0)),0)+SUMIFS($L$3:$L884,$C$3:$C884,$C884))</f>
        <v/>
      </c>
    </row>
    <row r="885" customFormat="false" ht="15" hidden="false" customHeight="true" outlineLevel="0" collapsed="false">
      <c r="A885" s="11"/>
      <c r="B885" s="7"/>
      <c r="C885" s="7"/>
      <c r="D885" s="12" t="str">
        <f aca="false">IF($C885="","",IFERROR(INDEX(품목마스터!$B$3:$B$302,MATCH($C885,품목마스터!$A$3:$A$302,0)),"미등록품번"))</f>
        <v/>
      </c>
      <c r="E885" s="12" t="str">
        <f aca="false">IF($C885="","",IFERROR(INDEX(품목마스터!$C$3:$C$302,MATCH($C885,품목마스터!$A$3:$A$302,0)),""))</f>
        <v/>
      </c>
      <c r="F885" s="12" t="str">
        <f aca="false">IF($C885="","",IFERROR(INDEX(품목마스터!$D$3:$D$302,MATCH($C885,품목마스터!$A$3:$A$302,0)),""))</f>
        <v/>
      </c>
      <c r="G885" s="9"/>
      <c r="H885" s="9"/>
      <c r="I885" s="13" t="str">
        <f aca="false">IF(OR($G885="",$H885=""),"",ROUND($G885*$H885,0))</f>
        <v/>
      </c>
      <c r="J885" s="7"/>
      <c r="K885" s="7"/>
      <c r="L885" s="14" t="str">
        <f aca="false">IF(OR($C885="",$G885=""),"",IF($B885="입고",$G885,IF($B885="출고",-$G885,$G885)))</f>
        <v/>
      </c>
      <c r="M885" s="13" t="str">
        <f aca="false">IF($C885="","",IFERROR(INDEX(품목마스터!$F$3:$F$302,MATCH($C885,품목마스터!$A$3:$A$302,0)),0)+SUMIFS($L$3:$L885,$C$3:$C885,$C885))</f>
        <v/>
      </c>
    </row>
    <row r="886" customFormat="false" ht="15" hidden="false" customHeight="true" outlineLevel="0" collapsed="false">
      <c r="A886" s="11"/>
      <c r="B886" s="7"/>
      <c r="C886" s="7"/>
      <c r="D886" s="12" t="str">
        <f aca="false">IF($C886="","",IFERROR(INDEX(품목마스터!$B$3:$B$302,MATCH($C886,품목마스터!$A$3:$A$302,0)),"미등록품번"))</f>
        <v/>
      </c>
      <c r="E886" s="12" t="str">
        <f aca="false">IF($C886="","",IFERROR(INDEX(품목마스터!$C$3:$C$302,MATCH($C886,품목마스터!$A$3:$A$302,0)),""))</f>
        <v/>
      </c>
      <c r="F886" s="12" t="str">
        <f aca="false">IF($C886="","",IFERROR(INDEX(품목마스터!$D$3:$D$302,MATCH($C886,품목마스터!$A$3:$A$302,0)),""))</f>
        <v/>
      </c>
      <c r="G886" s="9"/>
      <c r="H886" s="9"/>
      <c r="I886" s="13" t="str">
        <f aca="false">IF(OR($G886="",$H886=""),"",ROUND($G886*$H886,0))</f>
        <v/>
      </c>
      <c r="J886" s="7"/>
      <c r="K886" s="7"/>
      <c r="L886" s="14" t="str">
        <f aca="false">IF(OR($C886="",$G886=""),"",IF($B886="입고",$G886,IF($B886="출고",-$G886,$G886)))</f>
        <v/>
      </c>
      <c r="M886" s="13" t="str">
        <f aca="false">IF($C886="","",IFERROR(INDEX(품목마스터!$F$3:$F$302,MATCH($C886,품목마스터!$A$3:$A$302,0)),0)+SUMIFS($L$3:$L886,$C$3:$C886,$C886))</f>
        <v/>
      </c>
    </row>
    <row r="887" customFormat="false" ht="15" hidden="false" customHeight="true" outlineLevel="0" collapsed="false">
      <c r="A887" s="11"/>
      <c r="B887" s="7"/>
      <c r="C887" s="7"/>
      <c r="D887" s="12" t="str">
        <f aca="false">IF($C887="","",IFERROR(INDEX(품목마스터!$B$3:$B$302,MATCH($C887,품목마스터!$A$3:$A$302,0)),"미등록품번"))</f>
        <v/>
      </c>
      <c r="E887" s="12" t="str">
        <f aca="false">IF($C887="","",IFERROR(INDEX(품목마스터!$C$3:$C$302,MATCH($C887,품목마스터!$A$3:$A$302,0)),""))</f>
        <v/>
      </c>
      <c r="F887" s="12" t="str">
        <f aca="false">IF($C887="","",IFERROR(INDEX(품목마스터!$D$3:$D$302,MATCH($C887,품목마스터!$A$3:$A$302,0)),""))</f>
        <v/>
      </c>
      <c r="G887" s="9"/>
      <c r="H887" s="9"/>
      <c r="I887" s="13" t="str">
        <f aca="false">IF(OR($G887="",$H887=""),"",ROUND($G887*$H887,0))</f>
        <v/>
      </c>
      <c r="J887" s="7"/>
      <c r="K887" s="7"/>
      <c r="L887" s="14" t="str">
        <f aca="false">IF(OR($C887="",$G887=""),"",IF($B887="입고",$G887,IF($B887="출고",-$G887,$G887)))</f>
        <v/>
      </c>
      <c r="M887" s="13" t="str">
        <f aca="false">IF($C887="","",IFERROR(INDEX(품목마스터!$F$3:$F$302,MATCH($C887,품목마스터!$A$3:$A$302,0)),0)+SUMIFS($L$3:$L887,$C$3:$C887,$C887))</f>
        <v/>
      </c>
    </row>
    <row r="888" customFormat="false" ht="15" hidden="false" customHeight="true" outlineLevel="0" collapsed="false">
      <c r="A888" s="11"/>
      <c r="B888" s="7"/>
      <c r="C888" s="7"/>
      <c r="D888" s="12" t="str">
        <f aca="false">IF($C888="","",IFERROR(INDEX(품목마스터!$B$3:$B$302,MATCH($C888,품목마스터!$A$3:$A$302,0)),"미등록품번"))</f>
        <v/>
      </c>
      <c r="E888" s="12" t="str">
        <f aca="false">IF($C888="","",IFERROR(INDEX(품목마스터!$C$3:$C$302,MATCH($C888,품목마스터!$A$3:$A$302,0)),""))</f>
        <v/>
      </c>
      <c r="F888" s="12" t="str">
        <f aca="false">IF($C888="","",IFERROR(INDEX(품목마스터!$D$3:$D$302,MATCH($C888,품목마스터!$A$3:$A$302,0)),""))</f>
        <v/>
      </c>
      <c r="G888" s="9"/>
      <c r="H888" s="9"/>
      <c r="I888" s="13" t="str">
        <f aca="false">IF(OR($G888="",$H888=""),"",ROUND($G888*$H888,0))</f>
        <v/>
      </c>
      <c r="J888" s="7"/>
      <c r="K888" s="7"/>
      <c r="L888" s="14" t="str">
        <f aca="false">IF(OR($C888="",$G888=""),"",IF($B888="입고",$G888,IF($B888="출고",-$G888,$G888)))</f>
        <v/>
      </c>
      <c r="M888" s="13" t="str">
        <f aca="false">IF($C888="","",IFERROR(INDEX(품목마스터!$F$3:$F$302,MATCH($C888,품목마스터!$A$3:$A$302,0)),0)+SUMIFS($L$3:$L888,$C$3:$C888,$C888))</f>
        <v/>
      </c>
    </row>
    <row r="889" customFormat="false" ht="15" hidden="false" customHeight="true" outlineLevel="0" collapsed="false">
      <c r="A889" s="11"/>
      <c r="B889" s="7"/>
      <c r="C889" s="7"/>
      <c r="D889" s="12" t="str">
        <f aca="false">IF($C889="","",IFERROR(INDEX(품목마스터!$B$3:$B$302,MATCH($C889,품목마스터!$A$3:$A$302,0)),"미등록품번"))</f>
        <v/>
      </c>
      <c r="E889" s="12" t="str">
        <f aca="false">IF($C889="","",IFERROR(INDEX(품목마스터!$C$3:$C$302,MATCH($C889,품목마스터!$A$3:$A$302,0)),""))</f>
        <v/>
      </c>
      <c r="F889" s="12" t="str">
        <f aca="false">IF($C889="","",IFERROR(INDEX(품목마스터!$D$3:$D$302,MATCH($C889,품목마스터!$A$3:$A$302,0)),""))</f>
        <v/>
      </c>
      <c r="G889" s="9"/>
      <c r="H889" s="9"/>
      <c r="I889" s="13" t="str">
        <f aca="false">IF(OR($G889="",$H889=""),"",ROUND($G889*$H889,0))</f>
        <v/>
      </c>
      <c r="J889" s="7"/>
      <c r="K889" s="7"/>
      <c r="L889" s="14" t="str">
        <f aca="false">IF(OR($C889="",$G889=""),"",IF($B889="입고",$G889,IF($B889="출고",-$G889,$G889)))</f>
        <v/>
      </c>
      <c r="M889" s="13" t="str">
        <f aca="false">IF($C889="","",IFERROR(INDEX(품목마스터!$F$3:$F$302,MATCH($C889,품목마스터!$A$3:$A$302,0)),0)+SUMIFS($L$3:$L889,$C$3:$C889,$C889))</f>
        <v/>
      </c>
    </row>
    <row r="890" customFormat="false" ht="15" hidden="false" customHeight="true" outlineLevel="0" collapsed="false">
      <c r="A890" s="11"/>
      <c r="B890" s="7"/>
      <c r="C890" s="7"/>
      <c r="D890" s="12" t="str">
        <f aca="false">IF($C890="","",IFERROR(INDEX(품목마스터!$B$3:$B$302,MATCH($C890,품목마스터!$A$3:$A$302,0)),"미등록품번"))</f>
        <v/>
      </c>
      <c r="E890" s="12" t="str">
        <f aca="false">IF($C890="","",IFERROR(INDEX(품목마스터!$C$3:$C$302,MATCH($C890,품목마스터!$A$3:$A$302,0)),""))</f>
        <v/>
      </c>
      <c r="F890" s="12" t="str">
        <f aca="false">IF($C890="","",IFERROR(INDEX(품목마스터!$D$3:$D$302,MATCH($C890,품목마스터!$A$3:$A$302,0)),""))</f>
        <v/>
      </c>
      <c r="G890" s="9"/>
      <c r="H890" s="9"/>
      <c r="I890" s="13" t="str">
        <f aca="false">IF(OR($G890="",$H890=""),"",ROUND($G890*$H890,0))</f>
        <v/>
      </c>
      <c r="J890" s="7"/>
      <c r="K890" s="7"/>
      <c r="L890" s="14" t="str">
        <f aca="false">IF(OR($C890="",$G890=""),"",IF($B890="입고",$G890,IF($B890="출고",-$G890,$G890)))</f>
        <v/>
      </c>
      <c r="M890" s="13" t="str">
        <f aca="false">IF($C890="","",IFERROR(INDEX(품목마스터!$F$3:$F$302,MATCH($C890,품목마스터!$A$3:$A$302,0)),0)+SUMIFS($L$3:$L890,$C$3:$C890,$C890))</f>
        <v/>
      </c>
    </row>
    <row r="891" customFormat="false" ht="15" hidden="false" customHeight="true" outlineLevel="0" collapsed="false">
      <c r="A891" s="11"/>
      <c r="B891" s="7"/>
      <c r="C891" s="7"/>
      <c r="D891" s="12" t="str">
        <f aca="false">IF($C891="","",IFERROR(INDEX(품목마스터!$B$3:$B$302,MATCH($C891,품목마스터!$A$3:$A$302,0)),"미등록품번"))</f>
        <v/>
      </c>
      <c r="E891" s="12" t="str">
        <f aca="false">IF($C891="","",IFERROR(INDEX(품목마스터!$C$3:$C$302,MATCH($C891,품목마스터!$A$3:$A$302,0)),""))</f>
        <v/>
      </c>
      <c r="F891" s="12" t="str">
        <f aca="false">IF($C891="","",IFERROR(INDEX(품목마스터!$D$3:$D$302,MATCH($C891,품목마스터!$A$3:$A$302,0)),""))</f>
        <v/>
      </c>
      <c r="G891" s="9"/>
      <c r="H891" s="9"/>
      <c r="I891" s="13" t="str">
        <f aca="false">IF(OR($G891="",$H891=""),"",ROUND($G891*$H891,0))</f>
        <v/>
      </c>
      <c r="J891" s="7"/>
      <c r="K891" s="7"/>
      <c r="L891" s="14" t="str">
        <f aca="false">IF(OR($C891="",$G891=""),"",IF($B891="입고",$G891,IF($B891="출고",-$G891,$G891)))</f>
        <v/>
      </c>
      <c r="M891" s="13" t="str">
        <f aca="false">IF($C891="","",IFERROR(INDEX(품목마스터!$F$3:$F$302,MATCH($C891,품목마스터!$A$3:$A$302,0)),0)+SUMIFS($L$3:$L891,$C$3:$C891,$C891))</f>
        <v/>
      </c>
    </row>
    <row r="892" customFormat="false" ht="15" hidden="false" customHeight="true" outlineLevel="0" collapsed="false">
      <c r="A892" s="11"/>
      <c r="B892" s="7"/>
      <c r="C892" s="7"/>
      <c r="D892" s="12" t="str">
        <f aca="false">IF($C892="","",IFERROR(INDEX(품목마스터!$B$3:$B$302,MATCH($C892,품목마스터!$A$3:$A$302,0)),"미등록품번"))</f>
        <v/>
      </c>
      <c r="E892" s="12" t="str">
        <f aca="false">IF($C892="","",IFERROR(INDEX(품목마스터!$C$3:$C$302,MATCH($C892,품목마스터!$A$3:$A$302,0)),""))</f>
        <v/>
      </c>
      <c r="F892" s="12" t="str">
        <f aca="false">IF($C892="","",IFERROR(INDEX(품목마스터!$D$3:$D$302,MATCH($C892,품목마스터!$A$3:$A$302,0)),""))</f>
        <v/>
      </c>
      <c r="G892" s="9"/>
      <c r="H892" s="9"/>
      <c r="I892" s="13" t="str">
        <f aca="false">IF(OR($G892="",$H892=""),"",ROUND($G892*$H892,0))</f>
        <v/>
      </c>
      <c r="J892" s="7"/>
      <c r="K892" s="7"/>
      <c r="L892" s="14" t="str">
        <f aca="false">IF(OR($C892="",$G892=""),"",IF($B892="입고",$G892,IF($B892="출고",-$G892,$G892)))</f>
        <v/>
      </c>
      <c r="M892" s="13" t="str">
        <f aca="false">IF($C892="","",IFERROR(INDEX(품목마스터!$F$3:$F$302,MATCH($C892,품목마스터!$A$3:$A$302,0)),0)+SUMIFS($L$3:$L892,$C$3:$C892,$C892))</f>
        <v/>
      </c>
    </row>
    <row r="893" customFormat="false" ht="15" hidden="false" customHeight="true" outlineLevel="0" collapsed="false">
      <c r="A893" s="11"/>
      <c r="B893" s="7"/>
      <c r="C893" s="7"/>
      <c r="D893" s="12" t="str">
        <f aca="false">IF($C893="","",IFERROR(INDEX(품목마스터!$B$3:$B$302,MATCH($C893,품목마스터!$A$3:$A$302,0)),"미등록품번"))</f>
        <v/>
      </c>
      <c r="E893" s="12" t="str">
        <f aca="false">IF($C893="","",IFERROR(INDEX(품목마스터!$C$3:$C$302,MATCH($C893,품목마스터!$A$3:$A$302,0)),""))</f>
        <v/>
      </c>
      <c r="F893" s="12" t="str">
        <f aca="false">IF($C893="","",IFERROR(INDEX(품목마스터!$D$3:$D$302,MATCH($C893,품목마스터!$A$3:$A$302,0)),""))</f>
        <v/>
      </c>
      <c r="G893" s="9"/>
      <c r="H893" s="9"/>
      <c r="I893" s="13" t="str">
        <f aca="false">IF(OR($G893="",$H893=""),"",ROUND($G893*$H893,0))</f>
        <v/>
      </c>
      <c r="J893" s="7"/>
      <c r="K893" s="7"/>
      <c r="L893" s="14" t="str">
        <f aca="false">IF(OR($C893="",$G893=""),"",IF($B893="입고",$G893,IF($B893="출고",-$G893,$G893)))</f>
        <v/>
      </c>
      <c r="M893" s="13" t="str">
        <f aca="false">IF($C893="","",IFERROR(INDEX(품목마스터!$F$3:$F$302,MATCH($C893,품목마스터!$A$3:$A$302,0)),0)+SUMIFS($L$3:$L893,$C$3:$C893,$C893))</f>
        <v/>
      </c>
    </row>
    <row r="894" customFormat="false" ht="15" hidden="false" customHeight="true" outlineLevel="0" collapsed="false">
      <c r="A894" s="11"/>
      <c r="B894" s="7"/>
      <c r="C894" s="7"/>
      <c r="D894" s="12" t="str">
        <f aca="false">IF($C894="","",IFERROR(INDEX(품목마스터!$B$3:$B$302,MATCH($C894,품목마스터!$A$3:$A$302,0)),"미등록품번"))</f>
        <v/>
      </c>
      <c r="E894" s="12" t="str">
        <f aca="false">IF($C894="","",IFERROR(INDEX(품목마스터!$C$3:$C$302,MATCH($C894,품목마스터!$A$3:$A$302,0)),""))</f>
        <v/>
      </c>
      <c r="F894" s="12" t="str">
        <f aca="false">IF($C894="","",IFERROR(INDEX(품목마스터!$D$3:$D$302,MATCH($C894,품목마스터!$A$3:$A$302,0)),""))</f>
        <v/>
      </c>
      <c r="G894" s="9"/>
      <c r="H894" s="9"/>
      <c r="I894" s="13" t="str">
        <f aca="false">IF(OR($G894="",$H894=""),"",ROUND($G894*$H894,0))</f>
        <v/>
      </c>
      <c r="J894" s="7"/>
      <c r="K894" s="7"/>
      <c r="L894" s="14" t="str">
        <f aca="false">IF(OR($C894="",$G894=""),"",IF($B894="입고",$G894,IF($B894="출고",-$G894,$G894)))</f>
        <v/>
      </c>
      <c r="M894" s="13" t="str">
        <f aca="false">IF($C894="","",IFERROR(INDEX(품목마스터!$F$3:$F$302,MATCH($C894,품목마스터!$A$3:$A$302,0)),0)+SUMIFS($L$3:$L894,$C$3:$C894,$C894))</f>
        <v/>
      </c>
    </row>
    <row r="895" customFormat="false" ht="15" hidden="false" customHeight="true" outlineLevel="0" collapsed="false">
      <c r="A895" s="11"/>
      <c r="B895" s="7"/>
      <c r="C895" s="7"/>
      <c r="D895" s="12" t="str">
        <f aca="false">IF($C895="","",IFERROR(INDEX(품목마스터!$B$3:$B$302,MATCH($C895,품목마스터!$A$3:$A$302,0)),"미등록품번"))</f>
        <v/>
      </c>
      <c r="E895" s="12" t="str">
        <f aca="false">IF($C895="","",IFERROR(INDEX(품목마스터!$C$3:$C$302,MATCH($C895,품목마스터!$A$3:$A$302,0)),""))</f>
        <v/>
      </c>
      <c r="F895" s="12" t="str">
        <f aca="false">IF($C895="","",IFERROR(INDEX(품목마스터!$D$3:$D$302,MATCH($C895,품목마스터!$A$3:$A$302,0)),""))</f>
        <v/>
      </c>
      <c r="G895" s="9"/>
      <c r="H895" s="9"/>
      <c r="I895" s="13" t="str">
        <f aca="false">IF(OR($G895="",$H895=""),"",ROUND($G895*$H895,0))</f>
        <v/>
      </c>
      <c r="J895" s="7"/>
      <c r="K895" s="7"/>
      <c r="L895" s="14" t="str">
        <f aca="false">IF(OR($C895="",$G895=""),"",IF($B895="입고",$G895,IF($B895="출고",-$G895,$G895)))</f>
        <v/>
      </c>
      <c r="M895" s="13" t="str">
        <f aca="false">IF($C895="","",IFERROR(INDEX(품목마스터!$F$3:$F$302,MATCH($C895,품목마스터!$A$3:$A$302,0)),0)+SUMIFS($L$3:$L895,$C$3:$C895,$C895))</f>
        <v/>
      </c>
    </row>
    <row r="896" customFormat="false" ht="15" hidden="false" customHeight="true" outlineLevel="0" collapsed="false">
      <c r="A896" s="11"/>
      <c r="B896" s="7"/>
      <c r="C896" s="7"/>
      <c r="D896" s="12" t="str">
        <f aca="false">IF($C896="","",IFERROR(INDEX(품목마스터!$B$3:$B$302,MATCH($C896,품목마스터!$A$3:$A$302,0)),"미등록품번"))</f>
        <v/>
      </c>
      <c r="E896" s="12" t="str">
        <f aca="false">IF($C896="","",IFERROR(INDEX(품목마스터!$C$3:$C$302,MATCH($C896,품목마스터!$A$3:$A$302,0)),""))</f>
        <v/>
      </c>
      <c r="F896" s="12" t="str">
        <f aca="false">IF($C896="","",IFERROR(INDEX(품목마스터!$D$3:$D$302,MATCH($C896,품목마스터!$A$3:$A$302,0)),""))</f>
        <v/>
      </c>
      <c r="G896" s="9"/>
      <c r="H896" s="9"/>
      <c r="I896" s="13" t="str">
        <f aca="false">IF(OR($G896="",$H896=""),"",ROUND($G896*$H896,0))</f>
        <v/>
      </c>
      <c r="J896" s="7"/>
      <c r="K896" s="7"/>
      <c r="L896" s="14" t="str">
        <f aca="false">IF(OR($C896="",$G896=""),"",IF($B896="입고",$G896,IF($B896="출고",-$G896,$G896)))</f>
        <v/>
      </c>
      <c r="M896" s="13" t="str">
        <f aca="false">IF($C896="","",IFERROR(INDEX(품목마스터!$F$3:$F$302,MATCH($C896,품목마스터!$A$3:$A$302,0)),0)+SUMIFS($L$3:$L896,$C$3:$C896,$C896))</f>
        <v/>
      </c>
    </row>
    <row r="897" customFormat="false" ht="15" hidden="false" customHeight="true" outlineLevel="0" collapsed="false">
      <c r="A897" s="11"/>
      <c r="B897" s="7"/>
      <c r="C897" s="7"/>
      <c r="D897" s="12" t="str">
        <f aca="false">IF($C897="","",IFERROR(INDEX(품목마스터!$B$3:$B$302,MATCH($C897,품목마스터!$A$3:$A$302,0)),"미등록품번"))</f>
        <v/>
      </c>
      <c r="E897" s="12" t="str">
        <f aca="false">IF($C897="","",IFERROR(INDEX(품목마스터!$C$3:$C$302,MATCH($C897,품목마스터!$A$3:$A$302,0)),""))</f>
        <v/>
      </c>
      <c r="F897" s="12" t="str">
        <f aca="false">IF($C897="","",IFERROR(INDEX(품목마스터!$D$3:$D$302,MATCH($C897,품목마스터!$A$3:$A$302,0)),""))</f>
        <v/>
      </c>
      <c r="G897" s="9"/>
      <c r="H897" s="9"/>
      <c r="I897" s="13" t="str">
        <f aca="false">IF(OR($G897="",$H897=""),"",ROUND($G897*$H897,0))</f>
        <v/>
      </c>
      <c r="J897" s="7"/>
      <c r="K897" s="7"/>
      <c r="L897" s="14" t="str">
        <f aca="false">IF(OR($C897="",$G897=""),"",IF($B897="입고",$G897,IF($B897="출고",-$G897,$G897)))</f>
        <v/>
      </c>
      <c r="M897" s="13" t="str">
        <f aca="false">IF($C897="","",IFERROR(INDEX(품목마스터!$F$3:$F$302,MATCH($C897,품목마스터!$A$3:$A$302,0)),0)+SUMIFS($L$3:$L897,$C$3:$C897,$C897))</f>
        <v/>
      </c>
    </row>
    <row r="898" customFormat="false" ht="15" hidden="false" customHeight="true" outlineLevel="0" collapsed="false">
      <c r="A898" s="11"/>
      <c r="B898" s="7"/>
      <c r="C898" s="7"/>
      <c r="D898" s="12" t="str">
        <f aca="false">IF($C898="","",IFERROR(INDEX(품목마스터!$B$3:$B$302,MATCH($C898,품목마스터!$A$3:$A$302,0)),"미등록품번"))</f>
        <v/>
      </c>
      <c r="E898" s="12" t="str">
        <f aca="false">IF($C898="","",IFERROR(INDEX(품목마스터!$C$3:$C$302,MATCH($C898,품목마스터!$A$3:$A$302,0)),""))</f>
        <v/>
      </c>
      <c r="F898" s="12" t="str">
        <f aca="false">IF($C898="","",IFERROR(INDEX(품목마스터!$D$3:$D$302,MATCH($C898,품목마스터!$A$3:$A$302,0)),""))</f>
        <v/>
      </c>
      <c r="G898" s="9"/>
      <c r="H898" s="9"/>
      <c r="I898" s="13" t="str">
        <f aca="false">IF(OR($G898="",$H898=""),"",ROUND($G898*$H898,0))</f>
        <v/>
      </c>
      <c r="J898" s="7"/>
      <c r="K898" s="7"/>
      <c r="L898" s="14" t="str">
        <f aca="false">IF(OR($C898="",$G898=""),"",IF($B898="입고",$G898,IF($B898="출고",-$G898,$G898)))</f>
        <v/>
      </c>
      <c r="M898" s="13" t="str">
        <f aca="false">IF($C898="","",IFERROR(INDEX(품목마스터!$F$3:$F$302,MATCH($C898,품목마스터!$A$3:$A$302,0)),0)+SUMIFS($L$3:$L898,$C$3:$C898,$C898))</f>
        <v/>
      </c>
    </row>
    <row r="899" customFormat="false" ht="15" hidden="false" customHeight="true" outlineLevel="0" collapsed="false">
      <c r="A899" s="11"/>
      <c r="B899" s="7"/>
      <c r="C899" s="7"/>
      <c r="D899" s="12" t="str">
        <f aca="false">IF($C899="","",IFERROR(INDEX(품목마스터!$B$3:$B$302,MATCH($C899,품목마스터!$A$3:$A$302,0)),"미등록품번"))</f>
        <v/>
      </c>
      <c r="E899" s="12" t="str">
        <f aca="false">IF($C899="","",IFERROR(INDEX(품목마스터!$C$3:$C$302,MATCH($C899,품목마스터!$A$3:$A$302,0)),""))</f>
        <v/>
      </c>
      <c r="F899" s="12" t="str">
        <f aca="false">IF($C899="","",IFERROR(INDEX(품목마스터!$D$3:$D$302,MATCH($C899,품목마스터!$A$3:$A$302,0)),""))</f>
        <v/>
      </c>
      <c r="G899" s="9"/>
      <c r="H899" s="9"/>
      <c r="I899" s="13" t="str">
        <f aca="false">IF(OR($G899="",$H899=""),"",ROUND($G899*$H899,0))</f>
        <v/>
      </c>
      <c r="J899" s="7"/>
      <c r="K899" s="7"/>
      <c r="L899" s="14" t="str">
        <f aca="false">IF(OR($C899="",$G899=""),"",IF($B899="입고",$G899,IF($B899="출고",-$G899,$G899)))</f>
        <v/>
      </c>
      <c r="M899" s="13" t="str">
        <f aca="false">IF($C899="","",IFERROR(INDEX(품목마스터!$F$3:$F$302,MATCH($C899,품목마스터!$A$3:$A$302,0)),0)+SUMIFS($L$3:$L899,$C$3:$C899,$C899))</f>
        <v/>
      </c>
    </row>
    <row r="900" customFormat="false" ht="15" hidden="false" customHeight="true" outlineLevel="0" collapsed="false">
      <c r="A900" s="11"/>
      <c r="B900" s="7"/>
      <c r="C900" s="7"/>
      <c r="D900" s="12" t="str">
        <f aca="false">IF($C900="","",IFERROR(INDEX(품목마스터!$B$3:$B$302,MATCH($C900,품목마스터!$A$3:$A$302,0)),"미등록품번"))</f>
        <v/>
      </c>
      <c r="E900" s="12" t="str">
        <f aca="false">IF($C900="","",IFERROR(INDEX(품목마스터!$C$3:$C$302,MATCH($C900,품목마스터!$A$3:$A$302,0)),""))</f>
        <v/>
      </c>
      <c r="F900" s="12" t="str">
        <f aca="false">IF($C900="","",IFERROR(INDEX(품목마스터!$D$3:$D$302,MATCH($C900,품목마스터!$A$3:$A$302,0)),""))</f>
        <v/>
      </c>
      <c r="G900" s="9"/>
      <c r="H900" s="9"/>
      <c r="I900" s="13" t="str">
        <f aca="false">IF(OR($G900="",$H900=""),"",ROUND($G900*$H900,0))</f>
        <v/>
      </c>
      <c r="J900" s="7"/>
      <c r="K900" s="7"/>
      <c r="L900" s="14" t="str">
        <f aca="false">IF(OR($C900="",$G900=""),"",IF($B900="입고",$G900,IF($B900="출고",-$G900,$G900)))</f>
        <v/>
      </c>
      <c r="M900" s="13" t="str">
        <f aca="false">IF($C900="","",IFERROR(INDEX(품목마스터!$F$3:$F$302,MATCH($C900,품목마스터!$A$3:$A$302,0)),0)+SUMIFS($L$3:$L900,$C$3:$C900,$C900))</f>
        <v/>
      </c>
    </row>
    <row r="901" customFormat="false" ht="15" hidden="false" customHeight="true" outlineLevel="0" collapsed="false">
      <c r="A901" s="11"/>
      <c r="B901" s="7"/>
      <c r="C901" s="7"/>
      <c r="D901" s="12" t="str">
        <f aca="false">IF($C901="","",IFERROR(INDEX(품목마스터!$B$3:$B$302,MATCH($C901,품목마스터!$A$3:$A$302,0)),"미등록품번"))</f>
        <v/>
      </c>
      <c r="E901" s="12" t="str">
        <f aca="false">IF($C901="","",IFERROR(INDEX(품목마스터!$C$3:$C$302,MATCH($C901,품목마스터!$A$3:$A$302,0)),""))</f>
        <v/>
      </c>
      <c r="F901" s="12" t="str">
        <f aca="false">IF($C901="","",IFERROR(INDEX(품목마스터!$D$3:$D$302,MATCH($C901,품목마스터!$A$3:$A$302,0)),""))</f>
        <v/>
      </c>
      <c r="G901" s="9"/>
      <c r="H901" s="9"/>
      <c r="I901" s="13" t="str">
        <f aca="false">IF(OR($G901="",$H901=""),"",ROUND($G901*$H901,0))</f>
        <v/>
      </c>
      <c r="J901" s="7"/>
      <c r="K901" s="7"/>
      <c r="L901" s="14" t="str">
        <f aca="false">IF(OR($C901="",$G901=""),"",IF($B901="입고",$G901,IF($B901="출고",-$G901,$G901)))</f>
        <v/>
      </c>
      <c r="M901" s="13" t="str">
        <f aca="false">IF($C901="","",IFERROR(INDEX(품목마스터!$F$3:$F$302,MATCH($C901,품목마스터!$A$3:$A$302,0)),0)+SUMIFS($L$3:$L901,$C$3:$C901,$C901))</f>
        <v/>
      </c>
    </row>
    <row r="902" customFormat="false" ht="15" hidden="false" customHeight="true" outlineLevel="0" collapsed="false">
      <c r="A902" s="11"/>
      <c r="B902" s="7"/>
      <c r="C902" s="7"/>
      <c r="D902" s="12" t="str">
        <f aca="false">IF($C902="","",IFERROR(INDEX(품목마스터!$B$3:$B$302,MATCH($C902,품목마스터!$A$3:$A$302,0)),"미등록품번"))</f>
        <v/>
      </c>
      <c r="E902" s="12" t="str">
        <f aca="false">IF($C902="","",IFERROR(INDEX(품목마스터!$C$3:$C$302,MATCH($C902,품목마스터!$A$3:$A$302,0)),""))</f>
        <v/>
      </c>
      <c r="F902" s="12" t="str">
        <f aca="false">IF($C902="","",IFERROR(INDEX(품목마스터!$D$3:$D$302,MATCH($C902,품목마스터!$A$3:$A$302,0)),""))</f>
        <v/>
      </c>
      <c r="G902" s="9"/>
      <c r="H902" s="9"/>
      <c r="I902" s="13" t="str">
        <f aca="false">IF(OR($G902="",$H902=""),"",ROUND($G902*$H902,0))</f>
        <v/>
      </c>
      <c r="J902" s="7"/>
      <c r="K902" s="7"/>
      <c r="L902" s="14" t="str">
        <f aca="false">IF(OR($C902="",$G902=""),"",IF($B902="입고",$G902,IF($B902="출고",-$G902,$G902)))</f>
        <v/>
      </c>
      <c r="M902" s="13" t="str">
        <f aca="false">IF($C902="","",IFERROR(INDEX(품목마스터!$F$3:$F$302,MATCH($C902,품목마스터!$A$3:$A$302,0)),0)+SUMIFS($L$3:$L902,$C$3:$C902,$C902))</f>
        <v/>
      </c>
    </row>
    <row r="903" customFormat="false" ht="15" hidden="false" customHeight="true" outlineLevel="0" collapsed="false">
      <c r="A903" s="11"/>
      <c r="B903" s="7"/>
      <c r="C903" s="7"/>
      <c r="D903" s="12" t="str">
        <f aca="false">IF($C903="","",IFERROR(INDEX(품목마스터!$B$3:$B$302,MATCH($C903,품목마스터!$A$3:$A$302,0)),"미등록품번"))</f>
        <v/>
      </c>
      <c r="E903" s="12" t="str">
        <f aca="false">IF($C903="","",IFERROR(INDEX(품목마스터!$C$3:$C$302,MATCH($C903,품목마스터!$A$3:$A$302,0)),""))</f>
        <v/>
      </c>
      <c r="F903" s="12" t="str">
        <f aca="false">IF($C903="","",IFERROR(INDEX(품목마스터!$D$3:$D$302,MATCH($C903,품목마스터!$A$3:$A$302,0)),""))</f>
        <v/>
      </c>
      <c r="G903" s="9"/>
      <c r="H903" s="9"/>
      <c r="I903" s="13" t="str">
        <f aca="false">IF(OR($G903="",$H903=""),"",ROUND($G903*$H903,0))</f>
        <v/>
      </c>
      <c r="J903" s="7"/>
      <c r="K903" s="7"/>
      <c r="L903" s="14" t="str">
        <f aca="false">IF(OR($C903="",$G903=""),"",IF($B903="입고",$G903,IF($B903="출고",-$G903,$G903)))</f>
        <v/>
      </c>
      <c r="M903" s="13" t="str">
        <f aca="false">IF($C903="","",IFERROR(INDEX(품목마스터!$F$3:$F$302,MATCH($C903,품목마스터!$A$3:$A$302,0)),0)+SUMIFS($L$3:$L903,$C$3:$C903,$C903))</f>
        <v/>
      </c>
    </row>
    <row r="904" customFormat="false" ht="15" hidden="false" customHeight="true" outlineLevel="0" collapsed="false">
      <c r="A904" s="11"/>
      <c r="B904" s="7"/>
      <c r="C904" s="7"/>
      <c r="D904" s="12" t="str">
        <f aca="false">IF($C904="","",IFERROR(INDEX(품목마스터!$B$3:$B$302,MATCH($C904,품목마스터!$A$3:$A$302,0)),"미등록품번"))</f>
        <v/>
      </c>
      <c r="E904" s="12" t="str">
        <f aca="false">IF($C904="","",IFERROR(INDEX(품목마스터!$C$3:$C$302,MATCH($C904,품목마스터!$A$3:$A$302,0)),""))</f>
        <v/>
      </c>
      <c r="F904" s="12" t="str">
        <f aca="false">IF($C904="","",IFERROR(INDEX(품목마스터!$D$3:$D$302,MATCH($C904,품목마스터!$A$3:$A$302,0)),""))</f>
        <v/>
      </c>
      <c r="G904" s="9"/>
      <c r="H904" s="9"/>
      <c r="I904" s="13" t="str">
        <f aca="false">IF(OR($G904="",$H904=""),"",ROUND($G904*$H904,0))</f>
        <v/>
      </c>
      <c r="J904" s="7"/>
      <c r="K904" s="7"/>
      <c r="L904" s="14" t="str">
        <f aca="false">IF(OR($C904="",$G904=""),"",IF($B904="입고",$G904,IF($B904="출고",-$G904,$G904)))</f>
        <v/>
      </c>
      <c r="M904" s="13" t="str">
        <f aca="false">IF($C904="","",IFERROR(INDEX(품목마스터!$F$3:$F$302,MATCH($C904,품목마스터!$A$3:$A$302,0)),0)+SUMIFS($L$3:$L904,$C$3:$C904,$C904))</f>
        <v/>
      </c>
    </row>
    <row r="905" customFormat="false" ht="15" hidden="false" customHeight="true" outlineLevel="0" collapsed="false">
      <c r="A905" s="11"/>
      <c r="B905" s="7"/>
      <c r="C905" s="7"/>
      <c r="D905" s="12" t="str">
        <f aca="false">IF($C905="","",IFERROR(INDEX(품목마스터!$B$3:$B$302,MATCH($C905,품목마스터!$A$3:$A$302,0)),"미등록품번"))</f>
        <v/>
      </c>
      <c r="E905" s="12" t="str">
        <f aca="false">IF($C905="","",IFERROR(INDEX(품목마스터!$C$3:$C$302,MATCH($C905,품목마스터!$A$3:$A$302,0)),""))</f>
        <v/>
      </c>
      <c r="F905" s="12" t="str">
        <f aca="false">IF($C905="","",IFERROR(INDEX(품목마스터!$D$3:$D$302,MATCH($C905,품목마스터!$A$3:$A$302,0)),""))</f>
        <v/>
      </c>
      <c r="G905" s="9"/>
      <c r="H905" s="9"/>
      <c r="I905" s="13" t="str">
        <f aca="false">IF(OR($G905="",$H905=""),"",ROUND($G905*$H905,0))</f>
        <v/>
      </c>
      <c r="J905" s="7"/>
      <c r="K905" s="7"/>
      <c r="L905" s="14" t="str">
        <f aca="false">IF(OR($C905="",$G905=""),"",IF($B905="입고",$G905,IF($B905="출고",-$G905,$G905)))</f>
        <v/>
      </c>
      <c r="M905" s="13" t="str">
        <f aca="false">IF($C905="","",IFERROR(INDEX(품목마스터!$F$3:$F$302,MATCH($C905,품목마스터!$A$3:$A$302,0)),0)+SUMIFS($L$3:$L905,$C$3:$C905,$C905))</f>
        <v/>
      </c>
    </row>
    <row r="906" customFormat="false" ht="15" hidden="false" customHeight="true" outlineLevel="0" collapsed="false">
      <c r="A906" s="11"/>
      <c r="B906" s="7"/>
      <c r="C906" s="7"/>
      <c r="D906" s="12" t="str">
        <f aca="false">IF($C906="","",IFERROR(INDEX(품목마스터!$B$3:$B$302,MATCH($C906,품목마스터!$A$3:$A$302,0)),"미등록품번"))</f>
        <v/>
      </c>
      <c r="E906" s="12" t="str">
        <f aca="false">IF($C906="","",IFERROR(INDEX(품목마스터!$C$3:$C$302,MATCH($C906,품목마스터!$A$3:$A$302,0)),""))</f>
        <v/>
      </c>
      <c r="F906" s="12" t="str">
        <f aca="false">IF($C906="","",IFERROR(INDEX(품목마스터!$D$3:$D$302,MATCH($C906,품목마스터!$A$3:$A$302,0)),""))</f>
        <v/>
      </c>
      <c r="G906" s="9"/>
      <c r="H906" s="9"/>
      <c r="I906" s="13" t="str">
        <f aca="false">IF(OR($G906="",$H906=""),"",ROUND($G906*$H906,0))</f>
        <v/>
      </c>
      <c r="J906" s="7"/>
      <c r="K906" s="7"/>
      <c r="L906" s="14" t="str">
        <f aca="false">IF(OR($C906="",$G906=""),"",IF($B906="입고",$G906,IF($B906="출고",-$G906,$G906)))</f>
        <v/>
      </c>
      <c r="M906" s="13" t="str">
        <f aca="false">IF($C906="","",IFERROR(INDEX(품목마스터!$F$3:$F$302,MATCH($C906,품목마스터!$A$3:$A$302,0)),0)+SUMIFS($L$3:$L906,$C$3:$C906,$C906))</f>
        <v/>
      </c>
    </row>
    <row r="907" customFormat="false" ht="15" hidden="false" customHeight="true" outlineLevel="0" collapsed="false">
      <c r="A907" s="11"/>
      <c r="B907" s="7"/>
      <c r="C907" s="7"/>
      <c r="D907" s="12" t="str">
        <f aca="false">IF($C907="","",IFERROR(INDEX(품목마스터!$B$3:$B$302,MATCH($C907,품목마스터!$A$3:$A$302,0)),"미등록품번"))</f>
        <v/>
      </c>
      <c r="E907" s="12" t="str">
        <f aca="false">IF($C907="","",IFERROR(INDEX(품목마스터!$C$3:$C$302,MATCH($C907,품목마스터!$A$3:$A$302,0)),""))</f>
        <v/>
      </c>
      <c r="F907" s="12" t="str">
        <f aca="false">IF($C907="","",IFERROR(INDEX(품목마스터!$D$3:$D$302,MATCH($C907,품목마스터!$A$3:$A$302,0)),""))</f>
        <v/>
      </c>
      <c r="G907" s="9"/>
      <c r="H907" s="9"/>
      <c r="I907" s="13" t="str">
        <f aca="false">IF(OR($G907="",$H907=""),"",ROUND($G907*$H907,0))</f>
        <v/>
      </c>
      <c r="J907" s="7"/>
      <c r="K907" s="7"/>
      <c r="L907" s="14" t="str">
        <f aca="false">IF(OR($C907="",$G907=""),"",IF($B907="입고",$G907,IF($B907="출고",-$G907,$G907)))</f>
        <v/>
      </c>
      <c r="M907" s="13" t="str">
        <f aca="false">IF($C907="","",IFERROR(INDEX(품목마스터!$F$3:$F$302,MATCH($C907,품목마스터!$A$3:$A$302,0)),0)+SUMIFS($L$3:$L907,$C$3:$C907,$C907))</f>
        <v/>
      </c>
    </row>
    <row r="908" customFormat="false" ht="15" hidden="false" customHeight="true" outlineLevel="0" collapsed="false">
      <c r="A908" s="11"/>
      <c r="B908" s="7"/>
      <c r="C908" s="7"/>
      <c r="D908" s="12" t="str">
        <f aca="false">IF($C908="","",IFERROR(INDEX(품목마스터!$B$3:$B$302,MATCH($C908,품목마스터!$A$3:$A$302,0)),"미등록품번"))</f>
        <v/>
      </c>
      <c r="E908" s="12" t="str">
        <f aca="false">IF($C908="","",IFERROR(INDEX(품목마스터!$C$3:$C$302,MATCH($C908,품목마스터!$A$3:$A$302,0)),""))</f>
        <v/>
      </c>
      <c r="F908" s="12" t="str">
        <f aca="false">IF($C908="","",IFERROR(INDEX(품목마스터!$D$3:$D$302,MATCH($C908,품목마스터!$A$3:$A$302,0)),""))</f>
        <v/>
      </c>
      <c r="G908" s="9"/>
      <c r="H908" s="9"/>
      <c r="I908" s="13" t="str">
        <f aca="false">IF(OR($G908="",$H908=""),"",ROUND($G908*$H908,0))</f>
        <v/>
      </c>
      <c r="J908" s="7"/>
      <c r="K908" s="7"/>
      <c r="L908" s="14" t="str">
        <f aca="false">IF(OR($C908="",$G908=""),"",IF($B908="입고",$G908,IF($B908="출고",-$G908,$G908)))</f>
        <v/>
      </c>
      <c r="M908" s="13" t="str">
        <f aca="false">IF($C908="","",IFERROR(INDEX(품목마스터!$F$3:$F$302,MATCH($C908,품목마스터!$A$3:$A$302,0)),0)+SUMIFS($L$3:$L908,$C$3:$C908,$C908))</f>
        <v/>
      </c>
    </row>
    <row r="909" customFormat="false" ht="15" hidden="false" customHeight="true" outlineLevel="0" collapsed="false">
      <c r="A909" s="11"/>
      <c r="B909" s="7"/>
      <c r="C909" s="7"/>
      <c r="D909" s="12" t="str">
        <f aca="false">IF($C909="","",IFERROR(INDEX(품목마스터!$B$3:$B$302,MATCH($C909,품목마스터!$A$3:$A$302,0)),"미등록품번"))</f>
        <v/>
      </c>
      <c r="E909" s="12" t="str">
        <f aca="false">IF($C909="","",IFERROR(INDEX(품목마스터!$C$3:$C$302,MATCH($C909,품목마스터!$A$3:$A$302,0)),""))</f>
        <v/>
      </c>
      <c r="F909" s="12" t="str">
        <f aca="false">IF($C909="","",IFERROR(INDEX(품목마스터!$D$3:$D$302,MATCH($C909,품목마스터!$A$3:$A$302,0)),""))</f>
        <v/>
      </c>
      <c r="G909" s="9"/>
      <c r="H909" s="9"/>
      <c r="I909" s="13" t="str">
        <f aca="false">IF(OR($G909="",$H909=""),"",ROUND($G909*$H909,0))</f>
        <v/>
      </c>
      <c r="J909" s="7"/>
      <c r="K909" s="7"/>
      <c r="L909" s="14" t="str">
        <f aca="false">IF(OR($C909="",$G909=""),"",IF($B909="입고",$G909,IF($B909="출고",-$G909,$G909)))</f>
        <v/>
      </c>
      <c r="M909" s="13" t="str">
        <f aca="false">IF($C909="","",IFERROR(INDEX(품목마스터!$F$3:$F$302,MATCH($C909,품목마스터!$A$3:$A$302,0)),0)+SUMIFS($L$3:$L909,$C$3:$C909,$C909))</f>
        <v/>
      </c>
    </row>
    <row r="910" customFormat="false" ht="15" hidden="false" customHeight="true" outlineLevel="0" collapsed="false">
      <c r="A910" s="11"/>
      <c r="B910" s="7"/>
      <c r="C910" s="7"/>
      <c r="D910" s="12" t="str">
        <f aca="false">IF($C910="","",IFERROR(INDEX(품목마스터!$B$3:$B$302,MATCH($C910,품목마스터!$A$3:$A$302,0)),"미등록품번"))</f>
        <v/>
      </c>
      <c r="E910" s="12" t="str">
        <f aca="false">IF($C910="","",IFERROR(INDEX(품목마스터!$C$3:$C$302,MATCH($C910,품목마스터!$A$3:$A$302,0)),""))</f>
        <v/>
      </c>
      <c r="F910" s="12" t="str">
        <f aca="false">IF($C910="","",IFERROR(INDEX(품목마스터!$D$3:$D$302,MATCH($C910,품목마스터!$A$3:$A$302,0)),""))</f>
        <v/>
      </c>
      <c r="G910" s="9"/>
      <c r="H910" s="9"/>
      <c r="I910" s="13" t="str">
        <f aca="false">IF(OR($G910="",$H910=""),"",ROUND($G910*$H910,0))</f>
        <v/>
      </c>
      <c r="J910" s="7"/>
      <c r="K910" s="7"/>
      <c r="L910" s="14" t="str">
        <f aca="false">IF(OR($C910="",$G910=""),"",IF($B910="입고",$G910,IF($B910="출고",-$G910,$G910)))</f>
        <v/>
      </c>
      <c r="M910" s="13" t="str">
        <f aca="false">IF($C910="","",IFERROR(INDEX(품목마스터!$F$3:$F$302,MATCH($C910,품목마스터!$A$3:$A$302,0)),0)+SUMIFS($L$3:$L910,$C$3:$C910,$C910))</f>
        <v/>
      </c>
    </row>
    <row r="911" customFormat="false" ht="15" hidden="false" customHeight="true" outlineLevel="0" collapsed="false">
      <c r="A911" s="11"/>
      <c r="B911" s="7"/>
      <c r="C911" s="7"/>
      <c r="D911" s="12" t="str">
        <f aca="false">IF($C911="","",IFERROR(INDEX(품목마스터!$B$3:$B$302,MATCH($C911,품목마스터!$A$3:$A$302,0)),"미등록품번"))</f>
        <v/>
      </c>
      <c r="E911" s="12" t="str">
        <f aca="false">IF($C911="","",IFERROR(INDEX(품목마스터!$C$3:$C$302,MATCH($C911,품목마스터!$A$3:$A$302,0)),""))</f>
        <v/>
      </c>
      <c r="F911" s="12" t="str">
        <f aca="false">IF($C911="","",IFERROR(INDEX(품목마스터!$D$3:$D$302,MATCH($C911,품목마스터!$A$3:$A$302,0)),""))</f>
        <v/>
      </c>
      <c r="G911" s="9"/>
      <c r="H911" s="9"/>
      <c r="I911" s="13" t="str">
        <f aca="false">IF(OR($G911="",$H911=""),"",ROUND($G911*$H911,0))</f>
        <v/>
      </c>
      <c r="J911" s="7"/>
      <c r="K911" s="7"/>
      <c r="L911" s="14" t="str">
        <f aca="false">IF(OR($C911="",$G911=""),"",IF($B911="입고",$G911,IF($B911="출고",-$G911,$G911)))</f>
        <v/>
      </c>
      <c r="M911" s="13" t="str">
        <f aca="false">IF($C911="","",IFERROR(INDEX(품목마스터!$F$3:$F$302,MATCH($C911,품목마스터!$A$3:$A$302,0)),0)+SUMIFS($L$3:$L911,$C$3:$C911,$C911))</f>
        <v/>
      </c>
    </row>
    <row r="912" customFormat="false" ht="15" hidden="false" customHeight="true" outlineLevel="0" collapsed="false">
      <c r="A912" s="11"/>
      <c r="B912" s="7"/>
      <c r="C912" s="7"/>
      <c r="D912" s="12" t="str">
        <f aca="false">IF($C912="","",IFERROR(INDEX(품목마스터!$B$3:$B$302,MATCH($C912,품목마스터!$A$3:$A$302,0)),"미등록품번"))</f>
        <v/>
      </c>
      <c r="E912" s="12" t="str">
        <f aca="false">IF($C912="","",IFERROR(INDEX(품목마스터!$C$3:$C$302,MATCH($C912,품목마스터!$A$3:$A$302,0)),""))</f>
        <v/>
      </c>
      <c r="F912" s="12" t="str">
        <f aca="false">IF($C912="","",IFERROR(INDEX(품목마스터!$D$3:$D$302,MATCH($C912,품목마스터!$A$3:$A$302,0)),""))</f>
        <v/>
      </c>
      <c r="G912" s="9"/>
      <c r="H912" s="9"/>
      <c r="I912" s="13" t="str">
        <f aca="false">IF(OR($G912="",$H912=""),"",ROUND($G912*$H912,0))</f>
        <v/>
      </c>
      <c r="J912" s="7"/>
      <c r="K912" s="7"/>
      <c r="L912" s="14" t="str">
        <f aca="false">IF(OR($C912="",$G912=""),"",IF($B912="입고",$G912,IF($B912="출고",-$G912,$G912)))</f>
        <v/>
      </c>
      <c r="M912" s="13" t="str">
        <f aca="false">IF($C912="","",IFERROR(INDEX(품목마스터!$F$3:$F$302,MATCH($C912,품목마스터!$A$3:$A$302,0)),0)+SUMIFS($L$3:$L912,$C$3:$C912,$C912))</f>
        <v/>
      </c>
    </row>
    <row r="913" customFormat="false" ht="15" hidden="false" customHeight="true" outlineLevel="0" collapsed="false">
      <c r="A913" s="11"/>
      <c r="B913" s="7"/>
      <c r="C913" s="7"/>
      <c r="D913" s="12" t="str">
        <f aca="false">IF($C913="","",IFERROR(INDEX(품목마스터!$B$3:$B$302,MATCH($C913,품목마스터!$A$3:$A$302,0)),"미등록품번"))</f>
        <v/>
      </c>
      <c r="E913" s="12" t="str">
        <f aca="false">IF($C913="","",IFERROR(INDEX(품목마스터!$C$3:$C$302,MATCH($C913,품목마스터!$A$3:$A$302,0)),""))</f>
        <v/>
      </c>
      <c r="F913" s="12" t="str">
        <f aca="false">IF($C913="","",IFERROR(INDEX(품목마스터!$D$3:$D$302,MATCH($C913,품목마스터!$A$3:$A$302,0)),""))</f>
        <v/>
      </c>
      <c r="G913" s="9"/>
      <c r="H913" s="9"/>
      <c r="I913" s="13" t="str">
        <f aca="false">IF(OR($G913="",$H913=""),"",ROUND($G913*$H913,0))</f>
        <v/>
      </c>
      <c r="J913" s="7"/>
      <c r="K913" s="7"/>
      <c r="L913" s="14" t="str">
        <f aca="false">IF(OR($C913="",$G913=""),"",IF($B913="입고",$G913,IF($B913="출고",-$G913,$G913)))</f>
        <v/>
      </c>
      <c r="M913" s="13" t="str">
        <f aca="false">IF($C913="","",IFERROR(INDEX(품목마스터!$F$3:$F$302,MATCH($C913,품목마스터!$A$3:$A$302,0)),0)+SUMIFS($L$3:$L913,$C$3:$C913,$C913))</f>
        <v/>
      </c>
    </row>
    <row r="914" customFormat="false" ht="15" hidden="false" customHeight="true" outlineLevel="0" collapsed="false">
      <c r="A914" s="11"/>
      <c r="B914" s="7"/>
      <c r="C914" s="7"/>
      <c r="D914" s="12" t="str">
        <f aca="false">IF($C914="","",IFERROR(INDEX(품목마스터!$B$3:$B$302,MATCH($C914,품목마스터!$A$3:$A$302,0)),"미등록품번"))</f>
        <v/>
      </c>
      <c r="E914" s="12" t="str">
        <f aca="false">IF($C914="","",IFERROR(INDEX(품목마스터!$C$3:$C$302,MATCH($C914,품목마스터!$A$3:$A$302,0)),""))</f>
        <v/>
      </c>
      <c r="F914" s="12" t="str">
        <f aca="false">IF($C914="","",IFERROR(INDEX(품목마스터!$D$3:$D$302,MATCH($C914,품목마스터!$A$3:$A$302,0)),""))</f>
        <v/>
      </c>
      <c r="G914" s="9"/>
      <c r="H914" s="9"/>
      <c r="I914" s="13" t="str">
        <f aca="false">IF(OR($G914="",$H914=""),"",ROUND($G914*$H914,0))</f>
        <v/>
      </c>
      <c r="J914" s="7"/>
      <c r="K914" s="7"/>
      <c r="L914" s="14" t="str">
        <f aca="false">IF(OR($C914="",$G914=""),"",IF($B914="입고",$G914,IF($B914="출고",-$G914,$G914)))</f>
        <v/>
      </c>
      <c r="M914" s="13" t="str">
        <f aca="false">IF($C914="","",IFERROR(INDEX(품목마스터!$F$3:$F$302,MATCH($C914,품목마스터!$A$3:$A$302,0)),0)+SUMIFS($L$3:$L914,$C$3:$C914,$C914))</f>
        <v/>
      </c>
    </row>
    <row r="915" customFormat="false" ht="15" hidden="false" customHeight="true" outlineLevel="0" collapsed="false">
      <c r="A915" s="11"/>
      <c r="B915" s="7"/>
      <c r="C915" s="7"/>
      <c r="D915" s="12" t="str">
        <f aca="false">IF($C915="","",IFERROR(INDEX(품목마스터!$B$3:$B$302,MATCH($C915,품목마스터!$A$3:$A$302,0)),"미등록품번"))</f>
        <v/>
      </c>
      <c r="E915" s="12" t="str">
        <f aca="false">IF($C915="","",IFERROR(INDEX(품목마스터!$C$3:$C$302,MATCH($C915,품목마스터!$A$3:$A$302,0)),""))</f>
        <v/>
      </c>
      <c r="F915" s="12" t="str">
        <f aca="false">IF($C915="","",IFERROR(INDEX(품목마스터!$D$3:$D$302,MATCH($C915,품목마스터!$A$3:$A$302,0)),""))</f>
        <v/>
      </c>
      <c r="G915" s="9"/>
      <c r="H915" s="9"/>
      <c r="I915" s="13" t="str">
        <f aca="false">IF(OR($G915="",$H915=""),"",ROUND($G915*$H915,0))</f>
        <v/>
      </c>
      <c r="J915" s="7"/>
      <c r="K915" s="7"/>
      <c r="L915" s="14" t="str">
        <f aca="false">IF(OR($C915="",$G915=""),"",IF($B915="입고",$G915,IF($B915="출고",-$G915,$G915)))</f>
        <v/>
      </c>
      <c r="M915" s="13" t="str">
        <f aca="false">IF($C915="","",IFERROR(INDEX(품목마스터!$F$3:$F$302,MATCH($C915,품목마스터!$A$3:$A$302,0)),0)+SUMIFS($L$3:$L915,$C$3:$C915,$C915))</f>
        <v/>
      </c>
    </row>
    <row r="916" customFormat="false" ht="15" hidden="false" customHeight="true" outlineLevel="0" collapsed="false">
      <c r="A916" s="11"/>
      <c r="B916" s="7"/>
      <c r="C916" s="7"/>
      <c r="D916" s="12" t="str">
        <f aca="false">IF($C916="","",IFERROR(INDEX(품목마스터!$B$3:$B$302,MATCH($C916,품목마스터!$A$3:$A$302,0)),"미등록품번"))</f>
        <v/>
      </c>
      <c r="E916" s="12" t="str">
        <f aca="false">IF($C916="","",IFERROR(INDEX(품목마스터!$C$3:$C$302,MATCH($C916,품목마스터!$A$3:$A$302,0)),""))</f>
        <v/>
      </c>
      <c r="F916" s="12" t="str">
        <f aca="false">IF($C916="","",IFERROR(INDEX(품목마스터!$D$3:$D$302,MATCH($C916,품목마스터!$A$3:$A$302,0)),""))</f>
        <v/>
      </c>
      <c r="G916" s="9"/>
      <c r="H916" s="9"/>
      <c r="I916" s="13" t="str">
        <f aca="false">IF(OR($G916="",$H916=""),"",ROUND($G916*$H916,0))</f>
        <v/>
      </c>
      <c r="J916" s="7"/>
      <c r="K916" s="7"/>
      <c r="L916" s="14" t="str">
        <f aca="false">IF(OR($C916="",$G916=""),"",IF($B916="입고",$G916,IF($B916="출고",-$G916,$G916)))</f>
        <v/>
      </c>
      <c r="M916" s="13" t="str">
        <f aca="false">IF($C916="","",IFERROR(INDEX(품목마스터!$F$3:$F$302,MATCH($C916,품목마스터!$A$3:$A$302,0)),0)+SUMIFS($L$3:$L916,$C$3:$C916,$C916))</f>
        <v/>
      </c>
    </row>
    <row r="917" customFormat="false" ht="15" hidden="false" customHeight="true" outlineLevel="0" collapsed="false">
      <c r="A917" s="11"/>
      <c r="B917" s="7"/>
      <c r="C917" s="7"/>
      <c r="D917" s="12" t="str">
        <f aca="false">IF($C917="","",IFERROR(INDEX(품목마스터!$B$3:$B$302,MATCH($C917,품목마스터!$A$3:$A$302,0)),"미등록품번"))</f>
        <v/>
      </c>
      <c r="E917" s="12" t="str">
        <f aca="false">IF($C917="","",IFERROR(INDEX(품목마스터!$C$3:$C$302,MATCH($C917,품목마스터!$A$3:$A$302,0)),""))</f>
        <v/>
      </c>
      <c r="F917" s="12" t="str">
        <f aca="false">IF($C917="","",IFERROR(INDEX(품목마스터!$D$3:$D$302,MATCH($C917,품목마스터!$A$3:$A$302,0)),""))</f>
        <v/>
      </c>
      <c r="G917" s="9"/>
      <c r="H917" s="9"/>
      <c r="I917" s="13" t="str">
        <f aca="false">IF(OR($G917="",$H917=""),"",ROUND($G917*$H917,0))</f>
        <v/>
      </c>
      <c r="J917" s="7"/>
      <c r="K917" s="7"/>
      <c r="L917" s="14" t="str">
        <f aca="false">IF(OR($C917="",$G917=""),"",IF($B917="입고",$G917,IF($B917="출고",-$G917,$G917)))</f>
        <v/>
      </c>
      <c r="M917" s="13" t="str">
        <f aca="false">IF($C917="","",IFERROR(INDEX(품목마스터!$F$3:$F$302,MATCH($C917,품목마스터!$A$3:$A$302,0)),0)+SUMIFS($L$3:$L917,$C$3:$C917,$C917))</f>
        <v/>
      </c>
    </row>
    <row r="918" customFormat="false" ht="15" hidden="false" customHeight="true" outlineLevel="0" collapsed="false">
      <c r="A918" s="11"/>
      <c r="B918" s="7"/>
      <c r="C918" s="7"/>
      <c r="D918" s="12" t="str">
        <f aca="false">IF($C918="","",IFERROR(INDEX(품목마스터!$B$3:$B$302,MATCH($C918,품목마스터!$A$3:$A$302,0)),"미등록품번"))</f>
        <v/>
      </c>
      <c r="E918" s="12" t="str">
        <f aca="false">IF($C918="","",IFERROR(INDEX(품목마스터!$C$3:$C$302,MATCH($C918,품목마스터!$A$3:$A$302,0)),""))</f>
        <v/>
      </c>
      <c r="F918" s="12" t="str">
        <f aca="false">IF($C918="","",IFERROR(INDEX(품목마스터!$D$3:$D$302,MATCH($C918,품목마스터!$A$3:$A$302,0)),""))</f>
        <v/>
      </c>
      <c r="G918" s="9"/>
      <c r="H918" s="9"/>
      <c r="I918" s="13" t="str">
        <f aca="false">IF(OR($G918="",$H918=""),"",ROUND($G918*$H918,0))</f>
        <v/>
      </c>
      <c r="J918" s="7"/>
      <c r="K918" s="7"/>
      <c r="L918" s="14" t="str">
        <f aca="false">IF(OR($C918="",$G918=""),"",IF($B918="입고",$G918,IF($B918="출고",-$G918,$G918)))</f>
        <v/>
      </c>
      <c r="M918" s="13" t="str">
        <f aca="false">IF($C918="","",IFERROR(INDEX(품목마스터!$F$3:$F$302,MATCH($C918,품목마스터!$A$3:$A$302,0)),0)+SUMIFS($L$3:$L918,$C$3:$C918,$C918))</f>
        <v/>
      </c>
    </row>
    <row r="919" customFormat="false" ht="15" hidden="false" customHeight="true" outlineLevel="0" collapsed="false">
      <c r="A919" s="11"/>
      <c r="B919" s="7"/>
      <c r="C919" s="7"/>
      <c r="D919" s="12" t="str">
        <f aca="false">IF($C919="","",IFERROR(INDEX(품목마스터!$B$3:$B$302,MATCH($C919,품목마스터!$A$3:$A$302,0)),"미등록품번"))</f>
        <v/>
      </c>
      <c r="E919" s="12" t="str">
        <f aca="false">IF($C919="","",IFERROR(INDEX(품목마스터!$C$3:$C$302,MATCH($C919,품목마스터!$A$3:$A$302,0)),""))</f>
        <v/>
      </c>
      <c r="F919" s="12" t="str">
        <f aca="false">IF($C919="","",IFERROR(INDEX(품목마스터!$D$3:$D$302,MATCH($C919,품목마스터!$A$3:$A$302,0)),""))</f>
        <v/>
      </c>
      <c r="G919" s="9"/>
      <c r="H919" s="9"/>
      <c r="I919" s="13" t="str">
        <f aca="false">IF(OR($G919="",$H919=""),"",ROUND($G919*$H919,0))</f>
        <v/>
      </c>
      <c r="J919" s="7"/>
      <c r="K919" s="7"/>
      <c r="L919" s="14" t="str">
        <f aca="false">IF(OR($C919="",$G919=""),"",IF($B919="입고",$G919,IF($B919="출고",-$G919,$G919)))</f>
        <v/>
      </c>
      <c r="M919" s="13" t="str">
        <f aca="false">IF($C919="","",IFERROR(INDEX(품목마스터!$F$3:$F$302,MATCH($C919,품목마스터!$A$3:$A$302,0)),0)+SUMIFS($L$3:$L919,$C$3:$C919,$C919))</f>
        <v/>
      </c>
    </row>
    <row r="920" customFormat="false" ht="15" hidden="false" customHeight="true" outlineLevel="0" collapsed="false">
      <c r="A920" s="11"/>
      <c r="B920" s="7"/>
      <c r="C920" s="7"/>
      <c r="D920" s="12" t="str">
        <f aca="false">IF($C920="","",IFERROR(INDEX(품목마스터!$B$3:$B$302,MATCH($C920,품목마스터!$A$3:$A$302,0)),"미등록품번"))</f>
        <v/>
      </c>
      <c r="E920" s="12" t="str">
        <f aca="false">IF($C920="","",IFERROR(INDEX(품목마스터!$C$3:$C$302,MATCH($C920,품목마스터!$A$3:$A$302,0)),""))</f>
        <v/>
      </c>
      <c r="F920" s="12" t="str">
        <f aca="false">IF($C920="","",IFERROR(INDEX(품목마스터!$D$3:$D$302,MATCH($C920,품목마스터!$A$3:$A$302,0)),""))</f>
        <v/>
      </c>
      <c r="G920" s="9"/>
      <c r="H920" s="9"/>
      <c r="I920" s="13" t="str">
        <f aca="false">IF(OR($G920="",$H920=""),"",ROUND($G920*$H920,0))</f>
        <v/>
      </c>
      <c r="J920" s="7"/>
      <c r="K920" s="7"/>
      <c r="L920" s="14" t="str">
        <f aca="false">IF(OR($C920="",$G920=""),"",IF($B920="입고",$G920,IF($B920="출고",-$G920,$G920)))</f>
        <v/>
      </c>
      <c r="M920" s="13" t="str">
        <f aca="false">IF($C920="","",IFERROR(INDEX(품목마스터!$F$3:$F$302,MATCH($C920,품목마스터!$A$3:$A$302,0)),0)+SUMIFS($L$3:$L920,$C$3:$C920,$C920))</f>
        <v/>
      </c>
    </row>
    <row r="921" customFormat="false" ht="15" hidden="false" customHeight="true" outlineLevel="0" collapsed="false">
      <c r="A921" s="11"/>
      <c r="B921" s="7"/>
      <c r="C921" s="7"/>
      <c r="D921" s="12" t="str">
        <f aca="false">IF($C921="","",IFERROR(INDEX(품목마스터!$B$3:$B$302,MATCH($C921,품목마스터!$A$3:$A$302,0)),"미등록품번"))</f>
        <v/>
      </c>
      <c r="E921" s="12" t="str">
        <f aca="false">IF($C921="","",IFERROR(INDEX(품목마스터!$C$3:$C$302,MATCH($C921,품목마스터!$A$3:$A$302,0)),""))</f>
        <v/>
      </c>
      <c r="F921" s="12" t="str">
        <f aca="false">IF($C921="","",IFERROR(INDEX(품목마스터!$D$3:$D$302,MATCH($C921,품목마스터!$A$3:$A$302,0)),""))</f>
        <v/>
      </c>
      <c r="G921" s="9"/>
      <c r="H921" s="9"/>
      <c r="I921" s="13" t="str">
        <f aca="false">IF(OR($G921="",$H921=""),"",ROUND($G921*$H921,0))</f>
        <v/>
      </c>
      <c r="J921" s="7"/>
      <c r="K921" s="7"/>
      <c r="L921" s="14" t="str">
        <f aca="false">IF(OR($C921="",$G921=""),"",IF($B921="입고",$G921,IF($B921="출고",-$G921,$G921)))</f>
        <v/>
      </c>
      <c r="M921" s="13" t="str">
        <f aca="false">IF($C921="","",IFERROR(INDEX(품목마스터!$F$3:$F$302,MATCH($C921,품목마스터!$A$3:$A$302,0)),0)+SUMIFS($L$3:$L921,$C$3:$C921,$C921))</f>
        <v/>
      </c>
    </row>
    <row r="922" customFormat="false" ht="15" hidden="false" customHeight="true" outlineLevel="0" collapsed="false">
      <c r="A922" s="11"/>
      <c r="B922" s="7"/>
      <c r="C922" s="7"/>
      <c r="D922" s="12" t="str">
        <f aca="false">IF($C922="","",IFERROR(INDEX(품목마스터!$B$3:$B$302,MATCH($C922,품목마스터!$A$3:$A$302,0)),"미등록품번"))</f>
        <v/>
      </c>
      <c r="E922" s="12" t="str">
        <f aca="false">IF($C922="","",IFERROR(INDEX(품목마스터!$C$3:$C$302,MATCH($C922,품목마스터!$A$3:$A$302,0)),""))</f>
        <v/>
      </c>
      <c r="F922" s="12" t="str">
        <f aca="false">IF($C922="","",IFERROR(INDEX(품목마스터!$D$3:$D$302,MATCH($C922,품목마스터!$A$3:$A$302,0)),""))</f>
        <v/>
      </c>
      <c r="G922" s="9"/>
      <c r="H922" s="9"/>
      <c r="I922" s="13" t="str">
        <f aca="false">IF(OR($G922="",$H922=""),"",ROUND($G922*$H922,0))</f>
        <v/>
      </c>
      <c r="J922" s="7"/>
      <c r="K922" s="7"/>
      <c r="L922" s="14" t="str">
        <f aca="false">IF(OR($C922="",$G922=""),"",IF($B922="입고",$G922,IF($B922="출고",-$G922,$G922)))</f>
        <v/>
      </c>
      <c r="M922" s="13" t="str">
        <f aca="false">IF($C922="","",IFERROR(INDEX(품목마스터!$F$3:$F$302,MATCH($C922,품목마스터!$A$3:$A$302,0)),0)+SUMIFS($L$3:$L922,$C$3:$C922,$C922))</f>
        <v/>
      </c>
    </row>
    <row r="923" customFormat="false" ht="15" hidden="false" customHeight="true" outlineLevel="0" collapsed="false">
      <c r="A923" s="11"/>
      <c r="B923" s="7"/>
      <c r="C923" s="7"/>
      <c r="D923" s="12" t="str">
        <f aca="false">IF($C923="","",IFERROR(INDEX(품목마스터!$B$3:$B$302,MATCH($C923,품목마스터!$A$3:$A$302,0)),"미등록품번"))</f>
        <v/>
      </c>
      <c r="E923" s="12" t="str">
        <f aca="false">IF($C923="","",IFERROR(INDEX(품목마스터!$C$3:$C$302,MATCH($C923,품목마스터!$A$3:$A$302,0)),""))</f>
        <v/>
      </c>
      <c r="F923" s="12" t="str">
        <f aca="false">IF($C923="","",IFERROR(INDEX(품목마스터!$D$3:$D$302,MATCH($C923,품목마스터!$A$3:$A$302,0)),""))</f>
        <v/>
      </c>
      <c r="G923" s="9"/>
      <c r="H923" s="9"/>
      <c r="I923" s="13" t="str">
        <f aca="false">IF(OR($G923="",$H923=""),"",ROUND($G923*$H923,0))</f>
        <v/>
      </c>
      <c r="J923" s="7"/>
      <c r="K923" s="7"/>
      <c r="L923" s="14" t="str">
        <f aca="false">IF(OR($C923="",$G923=""),"",IF($B923="입고",$G923,IF($B923="출고",-$G923,$G923)))</f>
        <v/>
      </c>
      <c r="M923" s="13" t="str">
        <f aca="false">IF($C923="","",IFERROR(INDEX(품목마스터!$F$3:$F$302,MATCH($C923,품목마스터!$A$3:$A$302,0)),0)+SUMIFS($L$3:$L923,$C$3:$C923,$C923))</f>
        <v/>
      </c>
    </row>
    <row r="924" customFormat="false" ht="15" hidden="false" customHeight="true" outlineLevel="0" collapsed="false">
      <c r="A924" s="11"/>
      <c r="B924" s="7"/>
      <c r="C924" s="7"/>
      <c r="D924" s="12" t="str">
        <f aca="false">IF($C924="","",IFERROR(INDEX(품목마스터!$B$3:$B$302,MATCH($C924,품목마스터!$A$3:$A$302,0)),"미등록품번"))</f>
        <v/>
      </c>
      <c r="E924" s="12" t="str">
        <f aca="false">IF($C924="","",IFERROR(INDEX(품목마스터!$C$3:$C$302,MATCH($C924,품목마스터!$A$3:$A$302,0)),""))</f>
        <v/>
      </c>
      <c r="F924" s="12" t="str">
        <f aca="false">IF($C924="","",IFERROR(INDEX(품목마스터!$D$3:$D$302,MATCH($C924,품목마스터!$A$3:$A$302,0)),""))</f>
        <v/>
      </c>
      <c r="G924" s="9"/>
      <c r="H924" s="9"/>
      <c r="I924" s="13" t="str">
        <f aca="false">IF(OR($G924="",$H924=""),"",ROUND($G924*$H924,0))</f>
        <v/>
      </c>
      <c r="J924" s="7"/>
      <c r="K924" s="7"/>
      <c r="L924" s="14" t="str">
        <f aca="false">IF(OR($C924="",$G924=""),"",IF($B924="입고",$G924,IF($B924="출고",-$G924,$G924)))</f>
        <v/>
      </c>
      <c r="M924" s="13" t="str">
        <f aca="false">IF($C924="","",IFERROR(INDEX(품목마스터!$F$3:$F$302,MATCH($C924,품목마스터!$A$3:$A$302,0)),0)+SUMIFS($L$3:$L924,$C$3:$C924,$C924))</f>
        <v/>
      </c>
    </row>
    <row r="925" customFormat="false" ht="15" hidden="false" customHeight="true" outlineLevel="0" collapsed="false">
      <c r="A925" s="11"/>
      <c r="B925" s="7"/>
      <c r="C925" s="7"/>
      <c r="D925" s="12" t="str">
        <f aca="false">IF($C925="","",IFERROR(INDEX(품목마스터!$B$3:$B$302,MATCH($C925,품목마스터!$A$3:$A$302,0)),"미등록품번"))</f>
        <v/>
      </c>
      <c r="E925" s="12" t="str">
        <f aca="false">IF($C925="","",IFERROR(INDEX(품목마스터!$C$3:$C$302,MATCH($C925,품목마스터!$A$3:$A$302,0)),""))</f>
        <v/>
      </c>
      <c r="F925" s="12" t="str">
        <f aca="false">IF($C925="","",IFERROR(INDEX(품목마스터!$D$3:$D$302,MATCH($C925,품목마스터!$A$3:$A$302,0)),""))</f>
        <v/>
      </c>
      <c r="G925" s="9"/>
      <c r="H925" s="9"/>
      <c r="I925" s="13" t="str">
        <f aca="false">IF(OR($G925="",$H925=""),"",ROUND($G925*$H925,0))</f>
        <v/>
      </c>
      <c r="J925" s="7"/>
      <c r="K925" s="7"/>
      <c r="L925" s="14" t="str">
        <f aca="false">IF(OR($C925="",$G925=""),"",IF($B925="입고",$G925,IF($B925="출고",-$G925,$G925)))</f>
        <v/>
      </c>
      <c r="M925" s="13" t="str">
        <f aca="false">IF($C925="","",IFERROR(INDEX(품목마스터!$F$3:$F$302,MATCH($C925,품목마스터!$A$3:$A$302,0)),0)+SUMIFS($L$3:$L925,$C$3:$C925,$C925))</f>
        <v/>
      </c>
    </row>
    <row r="926" customFormat="false" ht="15" hidden="false" customHeight="true" outlineLevel="0" collapsed="false">
      <c r="A926" s="11"/>
      <c r="B926" s="7"/>
      <c r="C926" s="7"/>
      <c r="D926" s="12" t="str">
        <f aca="false">IF($C926="","",IFERROR(INDEX(품목마스터!$B$3:$B$302,MATCH($C926,품목마스터!$A$3:$A$302,0)),"미등록품번"))</f>
        <v/>
      </c>
      <c r="E926" s="12" t="str">
        <f aca="false">IF($C926="","",IFERROR(INDEX(품목마스터!$C$3:$C$302,MATCH($C926,품목마스터!$A$3:$A$302,0)),""))</f>
        <v/>
      </c>
      <c r="F926" s="12" t="str">
        <f aca="false">IF($C926="","",IFERROR(INDEX(품목마스터!$D$3:$D$302,MATCH($C926,품목마스터!$A$3:$A$302,0)),""))</f>
        <v/>
      </c>
      <c r="G926" s="9"/>
      <c r="H926" s="9"/>
      <c r="I926" s="13" t="str">
        <f aca="false">IF(OR($G926="",$H926=""),"",ROUND($G926*$H926,0))</f>
        <v/>
      </c>
      <c r="J926" s="7"/>
      <c r="K926" s="7"/>
      <c r="L926" s="14" t="str">
        <f aca="false">IF(OR($C926="",$G926=""),"",IF($B926="입고",$G926,IF($B926="출고",-$G926,$G926)))</f>
        <v/>
      </c>
      <c r="M926" s="13" t="str">
        <f aca="false">IF($C926="","",IFERROR(INDEX(품목마스터!$F$3:$F$302,MATCH($C926,품목마스터!$A$3:$A$302,0)),0)+SUMIFS($L$3:$L926,$C$3:$C926,$C926))</f>
        <v/>
      </c>
    </row>
    <row r="927" customFormat="false" ht="15" hidden="false" customHeight="true" outlineLevel="0" collapsed="false">
      <c r="A927" s="11"/>
      <c r="B927" s="7"/>
      <c r="C927" s="7"/>
      <c r="D927" s="12" t="str">
        <f aca="false">IF($C927="","",IFERROR(INDEX(품목마스터!$B$3:$B$302,MATCH($C927,품목마스터!$A$3:$A$302,0)),"미등록품번"))</f>
        <v/>
      </c>
      <c r="E927" s="12" t="str">
        <f aca="false">IF($C927="","",IFERROR(INDEX(품목마스터!$C$3:$C$302,MATCH($C927,품목마스터!$A$3:$A$302,0)),""))</f>
        <v/>
      </c>
      <c r="F927" s="12" t="str">
        <f aca="false">IF($C927="","",IFERROR(INDEX(품목마스터!$D$3:$D$302,MATCH($C927,품목마스터!$A$3:$A$302,0)),""))</f>
        <v/>
      </c>
      <c r="G927" s="9"/>
      <c r="H927" s="9"/>
      <c r="I927" s="13" t="str">
        <f aca="false">IF(OR($G927="",$H927=""),"",ROUND($G927*$H927,0))</f>
        <v/>
      </c>
      <c r="J927" s="7"/>
      <c r="K927" s="7"/>
      <c r="L927" s="14" t="str">
        <f aca="false">IF(OR($C927="",$G927=""),"",IF($B927="입고",$G927,IF($B927="출고",-$G927,$G927)))</f>
        <v/>
      </c>
      <c r="M927" s="13" t="str">
        <f aca="false">IF($C927="","",IFERROR(INDEX(품목마스터!$F$3:$F$302,MATCH($C927,품목마스터!$A$3:$A$302,0)),0)+SUMIFS($L$3:$L927,$C$3:$C927,$C927))</f>
        <v/>
      </c>
    </row>
    <row r="928" customFormat="false" ht="15" hidden="false" customHeight="true" outlineLevel="0" collapsed="false">
      <c r="A928" s="11"/>
      <c r="B928" s="7"/>
      <c r="C928" s="7"/>
      <c r="D928" s="12" t="str">
        <f aca="false">IF($C928="","",IFERROR(INDEX(품목마스터!$B$3:$B$302,MATCH($C928,품목마스터!$A$3:$A$302,0)),"미등록품번"))</f>
        <v/>
      </c>
      <c r="E928" s="12" t="str">
        <f aca="false">IF($C928="","",IFERROR(INDEX(품목마스터!$C$3:$C$302,MATCH($C928,품목마스터!$A$3:$A$302,0)),""))</f>
        <v/>
      </c>
      <c r="F928" s="12" t="str">
        <f aca="false">IF($C928="","",IFERROR(INDEX(품목마스터!$D$3:$D$302,MATCH($C928,품목마스터!$A$3:$A$302,0)),""))</f>
        <v/>
      </c>
      <c r="G928" s="9"/>
      <c r="H928" s="9"/>
      <c r="I928" s="13" t="str">
        <f aca="false">IF(OR($G928="",$H928=""),"",ROUND($G928*$H928,0))</f>
        <v/>
      </c>
      <c r="J928" s="7"/>
      <c r="K928" s="7"/>
      <c r="L928" s="14" t="str">
        <f aca="false">IF(OR($C928="",$G928=""),"",IF($B928="입고",$G928,IF($B928="출고",-$G928,$G928)))</f>
        <v/>
      </c>
      <c r="M928" s="13" t="str">
        <f aca="false">IF($C928="","",IFERROR(INDEX(품목마스터!$F$3:$F$302,MATCH($C928,품목마스터!$A$3:$A$302,0)),0)+SUMIFS($L$3:$L928,$C$3:$C928,$C928))</f>
        <v/>
      </c>
    </row>
    <row r="929" customFormat="false" ht="15" hidden="false" customHeight="true" outlineLevel="0" collapsed="false">
      <c r="A929" s="11"/>
      <c r="B929" s="7"/>
      <c r="C929" s="7"/>
      <c r="D929" s="12" t="str">
        <f aca="false">IF($C929="","",IFERROR(INDEX(품목마스터!$B$3:$B$302,MATCH($C929,품목마스터!$A$3:$A$302,0)),"미등록품번"))</f>
        <v/>
      </c>
      <c r="E929" s="12" t="str">
        <f aca="false">IF($C929="","",IFERROR(INDEX(품목마스터!$C$3:$C$302,MATCH($C929,품목마스터!$A$3:$A$302,0)),""))</f>
        <v/>
      </c>
      <c r="F929" s="12" t="str">
        <f aca="false">IF($C929="","",IFERROR(INDEX(품목마스터!$D$3:$D$302,MATCH($C929,품목마스터!$A$3:$A$302,0)),""))</f>
        <v/>
      </c>
      <c r="G929" s="9"/>
      <c r="H929" s="9"/>
      <c r="I929" s="13" t="str">
        <f aca="false">IF(OR($G929="",$H929=""),"",ROUND($G929*$H929,0))</f>
        <v/>
      </c>
      <c r="J929" s="7"/>
      <c r="K929" s="7"/>
      <c r="L929" s="14" t="str">
        <f aca="false">IF(OR($C929="",$G929=""),"",IF($B929="입고",$G929,IF($B929="출고",-$G929,$G929)))</f>
        <v/>
      </c>
      <c r="M929" s="13" t="str">
        <f aca="false">IF($C929="","",IFERROR(INDEX(품목마스터!$F$3:$F$302,MATCH($C929,품목마스터!$A$3:$A$302,0)),0)+SUMIFS($L$3:$L929,$C$3:$C929,$C929))</f>
        <v/>
      </c>
    </row>
    <row r="930" customFormat="false" ht="15" hidden="false" customHeight="true" outlineLevel="0" collapsed="false">
      <c r="A930" s="11"/>
      <c r="B930" s="7"/>
      <c r="C930" s="7"/>
      <c r="D930" s="12" t="str">
        <f aca="false">IF($C930="","",IFERROR(INDEX(품목마스터!$B$3:$B$302,MATCH($C930,품목마스터!$A$3:$A$302,0)),"미등록품번"))</f>
        <v/>
      </c>
      <c r="E930" s="12" t="str">
        <f aca="false">IF($C930="","",IFERROR(INDEX(품목마스터!$C$3:$C$302,MATCH($C930,품목마스터!$A$3:$A$302,0)),""))</f>
        <v/>
      </c>
      <c r="F930" s="12" t="str">
        <f aca="false">IF($C930="","",IFERROR(INDEX(품목마스터!$D$3:$D$302,MATCH($C930,품목마스터!$A$3:$A$302,0)),""))</f>
        <v/>
      </c>
      <c r="G930" s="9"/>
      <c r="H930" s="9"/>
      <c r="I930" s="13" t="str">
        <f aca="false">IF(OR($G930="",$H930=""),"",ROUND($G930*$H930,0))</f>
        <v/>
      </c>
      <c r="J930" s="7"/>
      <c r="K930" s="7"/>
      <c r="L930" s="14" t="str">
        <f aca="false">IF(OR($C930="",$G930=""),"",IF($B930="입고",$G930,IF($B930="출고",-$G930,$G930)))</f>
        <v/>
      </c>
      <c r="M930" s="13" t="str">
        <f aca="false">IF($C930="","",IFERROR(INDEX(품목마스터!$F$3:$F$302,MATCH($C930,품목마스터!$A$3:$A$302,0)),0)+SUMIFS($L$3:$L930,$C$3:$C930,$C930))</f>
        <v/>
      </c>
    </row>
    <row r="931" customFormat="false" ht="15" hidden="false" customHeight="true" outlineLevel="0" collapsed="false">
      <c r="A931" s="11"/>
      <c r="B931" s="7"/>
      <c r="C931" s="7"/>
      <c r="D931" s="12" t="str">
        <f aca="false">IF($C931="","",IFERROR(INDEX(품목마스터!$B$3:$B$302,MATCH($C931,품목마스터!$A$3:$A$302,0)),"미등록품번"))</f>
        <v/>
      </c>
      <c r="E931" s="12" t="str">
        <f aca="false">IF($C931="","",IFERROR(INDEX(품목마스터!$C$3:$C$302,MATCH($C931,품목마스터!$A$3:$A$302,0)),""))</f>
        <v/>
      </c>
      <c r="F931" s="12" t="str">
        <f aca="false">IF($C931="","",IFERROR(INDEX(품목마스터!$D$3:$D$302,MATCH($C931,품목마스터!$A$3:$A$302,0)),""))</f>
        <v/>
      </c>
      <c r="G931" s="9"/>
      <c r="H931" s="9"/>
      <c r="I931" s="13" t="str">
        <f aca="false">IF(OR($G931="",$H931=""),"",ROUND($G931*$H931,0))</f>
        <v/>
      </c>
      <c r="J931" s="7"/>
      <c r="K931" s="7"/>
      <c r="L931" s="14" t="str">
        <f aca="false">IF(OR($C931="",$G931=""),"",IF($B931="입고",$G931,IF($B931="출고",-$G931,$G931)))</f>
        <v/>
      </c>
      <c r="M931" s="13" t="str">
        <f aca="false">IF($C931="","",IFERROR(INDEX(품목마스터!$F$3:$F$302,MATCH($C931,품목마스터!$A$3:$A$302,0)),0)+SUMIFS($L$3:$L931,$C$3:$C931,$C931))</f>
        <v/>
      </c>
    </row>
    <row r="932" customFormat="false" ht="15" hidden="false" customHeight="true" outlineLevel="0" collapsed="false">
      <c r="A932" s="11"/>
      <c r="B932" s="7"/>
      <c r="C932" s="7"/>
      <c r="D932" s="12" t="str">
        <f aca="false">IF($C932="","",IFERROR(INDEX(품목마스터!$B$3:$B$302,MATCH($C932,품목마스터!$A$3:$A$302,0)),"미등록품번"))</f>
        <v/>
      </c>
      <c r="E932" s="12" t="str">
        <f aca="false">IF($C932="","",IFERROR(INDEX(품목마스터!$C$3:$C$302,MATCH($C932,품목마스터!$A$3:$A$302,0)),""))</f>
        <v/>
      </c>
      <c r="F932" s="12" t="str">
        <f aca="false">IF($C932="","",IFERROR(INDEX(품목마스터!$D$3:$D$302,MATCH($C932,품목마스터!$A$3:$A$302,0)),""))</f>
        <v/>
      </c>
      <c r="G932" s="9"/>
      <c r="H932" s="9"/>
      <c r="I932" s="13" t="str">
        <f aca="false">IF(OR($G932="",$H932=""),"",ROUND($G932*$H932,0))</f>
        <v/>
      </c>
      <c r="J932" s="7"/>
      <c r="K932" s="7"/>
      <c r="L932" s="14" t="str">
        <f aca="false">IF(OR($C932="",$G932=""),"",IF($B932="입고",$G932,IF($B932="출고",-$G932,$G932)))</f>
        <v/>
      </c>
      <c r="M932" s="13" t="str">
        <f aca="false">IF($C932="","",IFERROR(INDEX(품목마스터!$F$3:$F$302,MATCH($C932,품목마스터!$A$3:$A$302,0)),0)+SUMIFS($L$3:$L932,$C$3:$C932,$C932))</f>
        <v/>
      </c>
    </row>
    <row r="933" customFormat="false" ht="15" hidden="false" customHeight="true" outlineLevel="0" collapsed="false">
      <c r="A933" s="11"/>
      <c r="B933" s="7"/>
      <c r="C933" s="7"/>
      <c r="D933" s="12" t="str">
        <f aca="false">IF($C933="","",IFERROR(INDEX(품목마스터!$B$3:$B$302,MATCH($C933,품목마스터!$A$3:$A$302,0)),"미등록품번"))</f>
        <v/>
      </c>
      <c r="E933" s="12" t="str">
        <f aca="false">IF($C933="","",IFERROR(INDEX(품목마스터!$C$3:$C$302,MATCH($C933,품목마스터!$A$3:$A$302,0)),""))</f>
        <v/>
      </c>
      <c r="F933" s="12" t="str">
        <f aca="false">IF($C933="","",IFERROR(INDEX(품목마스터!$D$3:$D$302,MATCH($C933,품목마스터!$A$3:$A$302,0)),""))</f>
        <v/>
      </c>
      <c r="G933" s="9"/>
      <c r="H933" s="9"/>
      <c r="I933" s="13" t="str">
        <f aca="false">IF(OR($G933="",$H933=""),"",ROUND($G933*$H933,0))</f>
        <v/>
      </c>
      <c r="J933" s="7"/>
      <c r="K933" s="7"/>
      <c r="L933" s="14" t="str">
        <f aca="false">IF(OR($C933="",$G933=""),"",IF($B933="입고",$G933,IF($B933="출고",-$G933,$G933)))</f>
        <v/>
      </c>
      <c r="M933" s="13" t="str">
        <f aca="false">IF($C933="","",IFERROR(INDEX(품목마스터!$F$3:$F$302,MATCH($C933,품목마스터!$A$3:$A$302,0)),0)+SUMIFS($L$3:$L933,$C$3:$C933,$C933))</f>
        <v/>
      </c>
    </row>
    <row r="934" customFormat="false" ht="15" hidden="false" customHeight="true" outlineLevel="0" collapsed="false">
      <c r="A934" s="11"/>
      <c r="B934" s="7"/>
      <c r="C934" s="7"/>
      <c r="D934" s="12" t="str">
        <f aca="false">IF($C934="","",IFERROR(INDEX(품목마스터!$B$3:$B$302,MATCH($C934,품목마스터!$A$3:$A$302,0)),"미등록품번"))</f>
        <v/>
      </c>
      <c r="E934" s="12" t="str">
        <f aca="false">IF($C934="","",IFERROR(INDEX(품목마스터!$C$3:$C$302,MATCH($C934,품목마스터!$A$3:$A$302,0)),""))</f>
        <v/>
      </c>
      <c r="F934" s="12" t="str">
        <f aca="false">IF($C934="","",IFERROR(INDEX(품목마스터!$D$3:$D$302,MATCH($C934,품목마스터!$A$3:$A$302,0)),""))</f>
        <v/>
      </c>
      <c r="G934" s="9"/>
      <c r="H934" s="9"/>
      <c r="I934" s="13" t="str">
        <f aca="false">IF(OR($G934="",$H934=""),"",ROUND($G934*$H934,0))</f>
        <v/>
      </c>
      <c r="J934" s="7"/>
      <c r="K934" s="7"/>
      <c r="L934" s="14" t="str">
        <f aca="false">IF(OR($C934="",$G934=""),"",IF($B934="입고",$G934,IF($B934="출고",-$G934,$G934)))</f>
        <v/>
      </c>
      <c r="M934" s="13" t="str">
        <f aca="false">IF($C934="","",IFERROR(INDEX(품목마스터!$F$3:$F$302,MATCH($C934,품목마스터!$A$3:$A$302,0)),0)+SUMIFS($L$3:$L934,$C$3:$C934,$C934))</f>
        <v/>
      </c>
    </row>
    <row r="935" customFormat="false" ht="15" hidden="false" customHeight="true" outlineLevel="0" collapsed="false">
      <c r="A935" s="11"/>
      <c r="B935" s="7"/>
      <c r="C935" s="7"/>
      <c r="D935" s="12" t="str">
        <f aca="false">IF($C935="","",IFERROR(INDEX(품목마스터!$B$3:$B$302,MATCH($C935,품목마스터!$A$3:$A$302,0)),"미등록품번"))</f>
        <v/>
      </c>
      <c r="E935" s="12" t="str">
        <f aca="false">IF($C935="","",IFERROR(INDEX(품목마스터!$C$3:$C$302,MATCH($C935,품목마스터!$A$3:$A$302,0)),""))</f>
        <v/>
      </c>
      <c r="F935" s="12" t="str">
        <f aca="false">IF($C935="","",IFERROR(INDEX(품목마스터!$D$3:$D$302,MATCH($C935,품목마스터!$A$3:$A$302,0)),""))</f>
        <v/>
      </c>
      <c r="G935" s="9"/>
      <c r="H935" s="9"/>
      <c r="I935" s="13" t="str">
        <f aca="false">IF(OR($G935="",$H935=""),"",ROUND($G935*$H935,0))</f>
        <v/>
      </c>
      <c r="J935" s="7"/>
      <c r="K935" s="7"/>
      <c r="L935" s="14" t="str">
        <f aca="false">IF(OR($C935="",$G935=""),"",IF($B935="입고",$G935,IF($B935="출고",-$G935,$G935)))</f>
        <v/>
      </c>
      <c r="M935" s="13" t="str">
        <f aca="false">IF($C935="","",IFERROR(INDEX(품목마스터!$F$3:$F$302,MATCH($C935,품목마스터!$A$3:$A$302,0)),0)+SUMIFS($L$3:$L935,$C$3:$C935,$C935))</f>
        <v/>
      </c>
    </row>
    <row r="936" customFormat="false" ht="15" hidden="false" customHeight="true" outlineLevel="0" collapsed="false">
      <c r="A936" s="11"/>
      <c r="B936" s="7"/>
      <c r="C936" s="7"/>
      <c r="D936" s="12" t="str">
        <f aca="false">IF($C936="","",IFERROR(INDEX(품목마스터!$B$3:$B$302,MATCH($C936,품목마스터!$A$3:$A$302,0)),"미등록품번"))</f>
        <v/>
      </c>
      <c r="E936" s="12" t="str">
        <f aca="false">IF($C936="","",IFERROR(INDEX(품목마스터!$C$3:$C$302,MATCH($C936,품목마스터!$A$3:$A$302,0)),""))</f>
        <v/>
      </c>
      <c r="F936" s="12" t="str">
        <f aca="false">IF($C936="","",IFERROR(INDEX(품목마스터!$D$3:$D$302,MATCH($C936,품목마스터!$A$3:$A$302,0)),""))</f>
        <v/>
      </c>
      <c r="G936" s="9"/>
      <c r="H936" s="9"/>
      <c r="I936" s="13" t="str">
        <f aca="false">IF(OR($G936="",$H936=""),"",ROUND($G936*$H936,0))</f>
        <v/>
      </c>
      <c r="J936" s="7"/>
      <c r="K936" s="7"/>
      <c r="L936" s="14" t="str">
        <f aca="false">IF(OR($C936="",$G936=""),"",IF($B936="입고",$G936,IF($B936="출고",-$G936,$G936)))</f>
        <v/>
      </c>
      <c r="M936" s="13" t="str">
        <f aca="false">IF($C936="","",IFERROR(INDEX(품목마스터!$F$3:$F$302,MATCH($C936,품목마스터!$A$3:$A$302,0)),0)+SUMIFS($L$3:$L936,$C$3:$C936,$C936))</f>
        <v/>
      </c>
    </row>
    <row r="937" customFormat="false" ht="15" hidden="false" customHeight="true" outlineLevel="0" collapsed="false">
      <c r="A937" s="11"/>
      <c r="B937" s="7"/>
      <c r="C937" s="7"/>
      <c r="D937" s="12" t="str">
        <f aca="false">IF($C937="","",IFERROR(INDEX(품목마스터!$B$3:$B$302,MATCH($C937,품목마스터!$A$3:$A$302,0)),"미등록품번"))</f>
        <v/>
      </c>
      <c r="E937" s="12" t="str">
        <f aca="false">IF($C937="","",IFERROR(INDEX(품목마스터!$C$3:$C$302,MATCH($C937,품목마스터!$A$3:$A$302,0)),""))</f>
        <v/>
      </c>
      <c r="F937" s="12" t="str">
        <f aca="false">IF($C937="","",IFERROR(INDEX(품목마스터!$D$3:$D$302,MATCH($C937,품목마스터!$A$3:$A$302,0)),""))</f>
        <v/>
      </c>
      <c r="G937" s="9"/>
      <c r="H937" s="9"/>
      <c r="I937" s="13" t="str">
        <f aca="false">IF(OR($G937="",$H937=""),"",ROUND($G937*$H937,0))</f>
        <v/>
      </c>
      <c r="J937" s="7"/>
      <c r="K937" s="7"/>
      <c r="L937" s="14" t="str">
        <f aca="false">IF(OR($C937="",$G937=""),"",IF($B937="입고",$G937,IF($B937="출고",-$G937,$G937)))</f>
        <v/>
      </c>
      <c r="M937" s="13" t="str">
        <f aca="false">IF($C937="","",IFERROR(INDEX(품목마스터!$F$3:$F$302,MATCH($C937,품목마스터!$A$3:$A$302,0)),0)+SUMIFS($L$3:$L937,$C$3:$C937,$C937))</f>
        <v/>
      </c>
    </row>
    <row r="938" customFormat="false" ht="15" hidden="false" customHeight="true" outlineLevel="0" collapsed="false">
      <c r="A938" s="11"/>
      <c r="B938" s="7"/>
      <c r="C938" s="7"/>
      <c r="D938" s="12" t="str">
        <f aca="false">IF($C938="","",IFERROR(INDEX(품목마스터!$B$3:$B$302,MATCH($C938,품목마스터!$A$3:$A$302,0)),"미등록품번"))</f>
        <v/>
      </c>
      <c r="E938" s="12" t="str">
        <f aca="false">IF($C938="","",IFERROR(INDEX(품목마스터!$C$3:$C$302,MATCH($C938,품목마스터!$A$3:$A$302,0)),""))</f>
        <v/>
      </c>
      <c r="F938" s="12" t="str">
        <f aca="false">IF($C938="","",IFERROR(INDEX(품목마스터!$D$3:$D$302,MATCH($C938,품목마스터!$A$3:$A$302,0)),""))</f>
        <v/>
      </c>
      <c r="G938" s="9"/>
      <c r="H938" s="9"/>
      <c r="I938" s="13" t="str">
        <f aca="false">IF(OR($G938="",$H938=""),"",ROUND($G938*$H938,0))</f>
        <v/>
      </c>
      <c r="J938" s="7"/>
      <c r="K938" s="7"/>
      <c r="L938" s="14" t="str">
        <f aca="false">IF(OR($C938="",$G938=""),"",IF($B938="입고",$G938,IF($B938="출고",-$G938,$G938)))</f>
        <v/>
      </c>
      <c r="M938" s="13" t="str">
        <f aca="false">IF($C938="","",IFERROR(INDEX(품목마스터!$F$3:$F$302,MATCH($C938,품목마스터!$A$3:$A$302,0)),0)+SUMIFS($L$3:$L938,$C$3:$C938,$C938))</f>
        <v/>
      </c>
    </row>
    <row r="939" customFormat="false" ht="15" hidden="false" customHeight="true" outlineLevel="0" collapsed="false">
      <c r="A939" s="11"/>
      <c r="B939" s="7"/>
      <c r="C939" s="7"/>
      <c r="D939" s="12" t="str">
        <f aca="false">IF($C939="","",IFERROR(INDEX(품목마스터!$B$3:$B$302,MATCH($C939,품목마스터!$A$3:$A$302,0)),"미등록품번"))</f>
        <v/>
      </c>
      <c r="E939" s="12" t="str">
        <f aca="false">IF($C939="","",IFERROR(INDEX(품목마스터!$C$3:$C$302,MATCH($C939,품목마스터!$A$3:$A$302,0)),""))</f>
        <v/>
      </c>
      <c r="F939" s="12" t="str">
        <f aca="false">IF($C939="","",IFERROR(INDEX(품목마스터!$D$3:$D$302,MATCH($C939,품목마스터!$A$3:$A$302,0)),""))</f>
        <v/>
      </c>
      <c r="G939" s="9"/>
      <c r="H939" s="9"/>
      <c r="I939" s="13" t="str">
        <f aca="false">IF(OR($G939="",$H939=""),"",ROUND($G939*$H939,0))</f>
        <v/>
      </c>
      <c r="J939" s="7"/>
      <c r="K939" s="7"/>
      <c r="L939" s="14" t="str">
        <f aca="false">IF(OR($C939="",$G939=""),"",IF($B939="입고",$G939,IF($B939="출고",-$G939,$G939)))</f>
        <v/>
      </c>
      <c r="M939" s="13" t="str">
        <f aca="false">IF($C939="","",IFERROR(INDEX(품목마스터!$F$3:$F$302,MATCH($C939,품목마스터!$A$3:$A$302,0)),0)+SUMIFS($L$3:$L939,$C$3:$C939,$C939))</f>
        <v/>
      </c>
    </row>
    <row r="940" customFormat="false" ht="15" hidden="false" customHeight="true" outlineLevel="0" collapsed="false">
      <c r="A940" s="11"/>
      <c r="B940" s="7"/>
      <c r="C940" s="7"/>
      <c r="D940" s="12" t="str">
        <f aca="false">IF($C940="","",IFERROR(INDEX(품목마스터!$B$3:$B$302,MATCH($C940,품목마스터!$A$3:$A$302,0)),"미등록품번"))</f>
        <v/>
      </c>
      <c r="E940" s="12" t="str">
        <f aca="false">IF($C940="","",IFERROR(INDEX(품목마스터!$C$3:$C$302,MATCH($C940,품목마스터!$A$3:$A$302,0)),""))</f>
        <v/>
      </c>
      <c r="F940" s="12" t="str">
        <f aca="false">IF($C940="","",IFERROR(INDEX(품목마스터!$D$3:$D$302,MATCH($C940,품목마스터!$A$3:$A$302,0)),""))</f>
        <v/>
      </c>
      <c r="G940" s="9"/>
      <c r="H940" s="9"/>
      <c r="I940" s="13" t="str">
        <f aca="false">IF(OR($G940="",$H940=""),"",ROUND($G940*$H940,0))</f>
        <v/>
      </c>
      <c r="J940" s="7"/>
      <c r="K940" s="7"/>
      <c r="L940" s="14" t="str">
        <f aca="false">IF(OR($C940="",$G940=""),"",IF($B940="입고",$G940,IF($B940="출고",-$G940,$G940)))</f>
        <v/>
      </c>
      <c r="M940" s="13" t="str">
        <f aca="false">IF($C940="","",IFERROR(INDEX(품목마스터!$F$3:$F$302,MATCH($C940,품목마스터!$A$3:$A$302,0)),0)+SUMIFS($L$3:$L940,$C$3:$C940,$C940))</f>
        <v/>
      </c>
    </row>
    <row r="941" customFormat="false" ht="15" hidden="false" customHeight="true" outlineLevel="0" collapsed="false">
      <c r="A941" s="11"/>
      <c r="B941" s="7"/>
      <c r="C941" s="7"/>
      <c r="D941" s="12" t="str">
        <f aca="false">IF($C941="","",IFERROR(INDEX(품목마스터!$B$3:$B$302,MATCH($C941,품목마스터!$A$3:$A$302,0)),"미등록품번"))</f>
        <v/>
      </c>
      <c r="E941" s="12" t="str">
        <f aca="false">IF($C941="","",IFERROR(INDEX(품목마스터!$C$3:$C$302,MATCH($C941,품목마스터!$A$3:$A$302,0)),""))</f>
        <v/>
      </c>
      <c r="F941" s="12" t="str">
        <f aca="false">IF($C941="","",IFERROR(INDEX(품목마스터!$D$3:$D$302,MATCH($C941,품목마스터!$A$3:$A$302,0)),""))</f>
        <v/>
      </c>
      <c r="G941" s="9"/>
      <c r="H941" s="9"/>
      <c r="I941" s="13" t="str">
        <f aca="false">IF(OR($G941="",$H941=""),"",ROUND($G941*$H941,0))</f>
        <v/>
      </c>
      <c r="J941" s="7"/>
      <c r="K941" s="7"/>
      <c r="L941" s="14" t="str">
        <f aca="false">IF(OR($C941="",$G941=""),"",IF($B941="입고",$G941,IF($B941="출고",-$G941,$G941)))</f>
        <v/>
      </c>
      <c r="M941" s="13" t="str">
        <f aca="false">IF($C941="","",IFERROR(INDEX(품목마스터!$F$3:$F$302,MATCH($C941,품목마스터!$A$3:$A$302,0)),0)+SUMIFS($L$3:$L941,$C$3:$C941,$C941))</f>
        <v/>
      </c>
    </row>
    <row r="942" customFormat="false" ht="15" hidden="false" customHeight="true" outlineLevel="0" collapsed="false">
      <c r="A942" s="11"/>
      <c r="B942" s="7"/>
      <c r="C942" s="7"/>
      <c r="D942" s="12" t="str">
        <f aca="false">IF($C942="","",IFERROR(INDEX(품목마스터!$B$3:$B$302,MATCH($C942,품목마스터!$A$3:$A$302,0)),"미등록품번"))</f>
        <v/>
      </c>
      <c r="E942" s="12" t="str">
        <f aca="false">IF($C942="","",IFERROR(INDEX(품목마스터!$C$3:$C$302,MATCH($C942,품목마스터!$A$3:$A$302,0)),""))</f>
        <v/>
      </c>
      <c r="F942" s="12" t="str">
        <f aca="false">IF($C942="","",IFERROR(INDEX(품목마스터!$D$3:$D$302,MATCH($C942,품목마스터!$A$3:$A$302,0)),""))</f>
        <v/>
      </c>
      <c r="G942" s="9"/>
      <c r="H942" s="9"/>
      <c r="I942" s="13" t="str">
        <f aca="false">IF(OR($G942="",$H942=""),"",ROUND($G942*$H942,0))</f>
        <v/>
      </c>
      <c r="J942" s="7"/>
      <c r="K942" s="7"/>
      <c r="L942" s="14" t="str">
        <f aca="false">IF(OR($C942="",$G942=""),"",IF($B942="입고",$G942,IF($B942="출고",-$G942,$G942)))</f>
        <v/>
      </c>
      <c r="M942" s="13" t="str">
        <f aca="false">IF($C942="","",IFERROR(INDEX(품목마스터!$F$3:$F$302,MATCH($C942,품목마스터!$A$3:$A$302,0)),0)+SUMIFS($L$3:$L942,$C$3:$C942,$C942))</f>
        <v/>
      </c>
    </row>
    <row r="943" customFormat="false" ht="15" hidden="false" customHeight="true" outlineLevel="0" collapsed="false">
      <c r="A943" s="11"/>
      <c r="B943" s="7"/>
      <c r="C943" s="7"/>
      <c r="D943" s="12" t="str">
        <f aca="false">IF($C943="","",IFERROR(INDEX(품목마스터!$B$3:$B$302,MATCH($C943,품목마스터!$A$3:$A$302,0)),"미등록품번"))</f>
        <v/>
      </c>
      <c r="E943" s="12" t="str">
        <f aca="false">IF($C943="","",IFERROR(INDEX(품목마스터!$C$3:$C$302,MATCH($C943,품목마스터!$A$3:$A$302,0)),""))</f>
        <v/>
      </c>
      <c r="F943" s="12" t="str">
        <f aca="false">IF($C943="","",IFERROR(INDEX(품목마스터!$D$3:$D$302,MATCH($C943,품목마스터!$A$3:$A$302,0)),""))</f>
        <v/>
      </c>
      <c r="G943" s="9"/>
      <c r="H943" s="9"/>
      <c r="I943" s="13" t="str">
        <f aca="false">IF(OR($G943="",$H943=""),"",ROUND($G943*$H943,0))</f>
        <v/>
      </c>
      <c r="J943" s="7"/>
      <c r="K943" s="7"/>
      <c r="L943" s="14" t="str">
        <f aca="false">IF(OR($C943="",$G943=""),"",IF($B943="입고",$G943,IF($B943="출고",-$G943,$G943)))</f>
        <v/>
      </c>
      <c r="M943" s="13" t="str">
        <f aca="false">IF($C943="","",IFERROR(INDEX(품목마스터!$F$3:$F$302,MATCH($C943,품목마스터!$A$3:$A$302,0)),0)+SUMIFS($L$3:$L943,$C$3:$C943,$C943))</f>
        <v/>
      </c>
    </row>
    <row r="944" customFormat="false" ht="15" hidden="false" customHeight="true" outlineLevel="0" collapsed="false">
      <c r="A944" s="11"/>
      <c r="B944" s="7"/>
      <c r="C944" s="7"/>
      <c r="D944" s="12" t="str">
        <f aca="false">IF($C944="","",IFERROR(INDEX(품목마스터!$B$3:$B$302,MATCH($C944,품목마스터!$A$3:$A$302,0)),"미등록품번"))</f>
        <v/>
      </c>
      <c r="E944" s="12" t="str">
        <f aca="false">IF($C944="","",IFERROR(INDEX(품목마스터!$C$3:$C$302,MATCH($C944,품목마스터!$A$3:$A$302,0)),""))</f>
        <v/>
      </c>
      <c r="F944" s="12" t="str">
        <f aca="false">IF($C944="","",IFERROR(INDEX(품목마스터!$D$3:$D$302,MATCH($C944,품목마스터!$A$3:$A$302,0)),""))</f>
        <v/>
      </c>
      <c r="G944" s="9"/>
      <c r="H944" s="9"/>
      <c r="I944" s="13" t="str">
        <f aca="false">IF(OR($G944="",$H944=""),"",ROUND($G944*$H944,0))</f>
        <v/>
      </c>
      <c r="J944" s="7"/>
      <c r="K944" s="7"/>
      <c r="L944" s="14" t="str">
        <f aca="false">IF(OR($C944="",$G944=""),"",IF($B944="입고",$G944,IF($B944="출고",-$G944,$G944)))</f>
        <v/>
      </c>
      <c r="M944" s="13" t="str">
        <f aca="false">IF($C944="","",IFERROR(INDEX(품목마스터!$F$3:$F$302,MATCH($C944,품목마스터!$A$3:$A$302,0)),0)+SUMIFS($L$3:$L944,$C$3:$C944,$C944))</f>
        <v/>
      </c>
    </row>
    <row r="945" customFormat="false" ht="15" hidden="false" customHeight="true" outlineLevel="0" collapsed="false">
      <c r="A945" s="11"/>
      <c r="B945" s="7"/>
      <c r="C945" s="7"/>
      <c r="D945" s="12" t="str">
        <f aca="false">IF($C945="","",IFERROR(INDEX(품목마스터!$B$3:$B$302,MATCH($C945,품목마스터!$A$3:$A$302,0)),"미등록품번"))</f>
        <v/>
      </c>
      <c r="E945" s="12" t="str">
        <f aca="false">IF($C945="","",IFERROR(INDEX(품목마스터!$C$3:$C$302,MATCH($C945,품목마스터!$A$3:$A$302,0)),""))</f>
        <v/>
      </c>
      <c r="F945" s="12" t="str">
        <f aca="false">IF($C945="","",IFERROR(INDEX(품목마스터!$D$3:$D$302,MATCH($C945,품목마스터!$A$3:$A$302,0)),""))</f>
        <v/>
      </c>
      <c r="G945" s="9"/>
      <c r="H945" s="9"/>
      <c r="I945" s="13" t="str">
        <f aca="false">IF(OR($G945="",$H945=""),"",ROUND($G945*$H945,0))</f>
        <v/>
      </c>
      <c r="J945" s="7"/>
      <c r="K945" s="7"/>
      <c r="L945" s="14" t="str">
        <f aca="false">IF(OR($C945="",$G945=""),"",IF($B945="입고",$G945,IF($B945="출고",-$G945,$G945)))</f>
        <v/>
      </c>
      <c r="M945" s="13" t="str">
        <f aca="false">IF($C945="","",IFERROR(INDEX(품목마스터!$F$3:$F$302,MATCH($C945,품목마스터!$A$3:$A$302,0)),0)+SUMIFS($L$3:$L945,$C$3:$C945,$C945))</f>
        <v/>
      </c>
    </row>
    <row r="946" customFormat="false" ht="15" hidden="false" customHeight="true" outlineLevel="0" collapsed="false">
      <c r="A946" s="11"/>
      <c r="B946" s="7"/>
      <c r="C946" s="7"/>
      <c r="D946" s="12" t="str">
        <f aca="false">IF($C946="","",IFERROR(INDEX(품목마스터!$B$3:$B$302,MATCH($C946,품목마스터!$A$3:$A$302,0)),"미등록품번"))</f>
        <v/>
      </c>
      <c r="E946" s="12" t="str">
        <f aca="false">IF($C946="","",IFERROR(INDEX(품목마스터!$C$3:$C$302,MATCH($C946,품목마스터!$A$3:$A$302,0)),""))</f>
        <v/>
      </c>
      <c r="F946" s="12" t="str">
        <f aca="false">IF($C946="","",IFERROR(INDEX(품목마스터!$D$3:$D$302,MATCH($C946,품목마스터!$A$3:$A$302,0)),""))</f>
        <v/>
      </c>
      <c r="G946" s="9"/>
      <c r="H946" s="9"/>
      <c r="I946" s="13" t="str">
        <f aca="false">IF(OR($G946="",$H946=""),"",ROUND($G946*$H946,0))</f>
        <v/>
      </c>
      <c r="J946" s="7"/>
      <c r="K946" s="7"/>
      <c r="L946" s="14" t="str">
        <f aca="false">IF(OR($C946="",$G946=""),"",IF($B946="입고",$G946,IF($B946="출고",-$G946,$G946)))</f>
        <v/>
      </c>
      <c r="M946" s="13" t="str">
        <f aca="false">IF($C946="","",IFERROR(INDEX(품목마스터!$F$3:$F$302,MATCH($C946,품목마스터!$A$3:$A$302,0)),0)+SUMIFS($L$3:$L946,$C$3:$C946,$C946))</f>
        <v/>
      </c>
    </row>
    <row r="947" customFormat="false" ht="15" hidden="false" customHeight="true" outlineLevel="0" collapsed="false">
      <c r="A947" s="11"/>
      <c r="B947" s="7"/>
      <c r="C947" s="7"/>
      <c r="D947" s="12" t="str">
        <f aca="false">IF($C947="","",IFERROR(INDEX(품목마스터!$B$3:$B$302,MATCH($C947,품목마스터!$A$3:$A$302,0)),"미등록품번"))</f>
        <v/>
      </c>
      <c r="E947" s="12" t="str">
        <f aca="false">IF($C947="","",IFERROR(INDEX(품목마스터!$C$3:$C$302,MATCH($C947,품목마스터!$A$3:$A$302,0)),""))</f>
        <v/>
      </c>
      <c r="F947" s="12" t="str">
        <f aca="false">IF($C947="","",IFERROR(INDEX(품목마스터!$D$3:$D$302,MATCH($C947,품목마스터!$A$3:$A$302,0)),""))</f>
        <v/>
      </c>
      <c r="G947" s="9"/>
      <c r="H947" s="9"/>
      <c r="I947" s="13" t="str">
        <f aca="false">IF(OR($G947="",$H947=""),"",ROUND($G947*$H947,0))</f>
        <v/>
      </c>
      <c r="J947" s="7"/>
      <c r="K947" s="7"/>
      <c r="L947" s="14" t="str">
        <f aca="false">IF(OR($C947="",$G947=""),"",IF($B947="입고",$G947,IF($B947="출고",-$G947,$G947)))</f>
        <v/>
      </c>
      <c r="M947" s="13" t="str">
        <f aca="false">IF($C947="","",IFERROR(INDEX(품목마스터!$F$3:$F$302,MATCH($C947,품목마스터!$A$3:$A$302,0)),0)+SUMIFS($L$3:$L947,$C$3:$C947,$C947))</f>
        <v/>
      </c>
    </row>
    <row r="948" customFormat="false" ht="15" hidden="false" customHeight="true" outlineLevel="0" collapsed="false">
      <c r="A948" s="11"/>
      <c r="B948" s="7"/>
      <c r="C948" s="7"/>
      <c r="D948" s="12" t="str">
        <f aca="false">IF($C948="","",IFERROR(INDEX(품목마스터!$B$3:$B$302,MATCH($C948,품목마스터!$A$3:$A$302,0)),"미등록품번"))</f>
        <v/>
      </c>
      <c r="E948" s="12" t="str">
        <f aca="false">IF($C948="","",IFERROR(INDEX(품목마스터!$C$3:$C$302,MATCH($C948,품목마스터!$A$3:$A$302,0)),""))</f>
        <v/>
      </c>
      <c r="F948" s="12" t="str">
        <f aca="false">IF($C948="","",IFERROR(INDEX(품목마스터!$D$3:$D$302,MATCH($C948,품목마스터!$A$3:$A$302,0)),""))</f>
        <v/>
      </c>
      <c r="G948" s="9"/>
      <c r="H948" s="9"/>
      <c r="I948" s="13" t="str">
        <f aca="false">IF(OR($G948="",$H948=""),"",ROUND($G948*$H948,0))</f>
        <v/>
      </c>
      <c r="J948" s="7"/>
      <c r="K948" s="7"/>
      <c r="L948" s="14" t="str">
        <f aca="false">IF(OR($C948="",$G948=""),"",IF($B948="입고",$G948,IF($B948="출고",-$G948,$G948)))</f>
        <v/>
      </c>
      <c r="M948" s="13" t="str">
        <f aca="false">IF($C948="","",IFERROR(INDEX(품목마스터!$F$3:$F$302,MATCH($C948,품목마스터!$A$3:$A$302,0)),0)+SUMIFS($L$3:$L948,$C$3:$C948,$C948))</f>
        <v/>
      </c>
    </row>
    <row r="949" customFormat="false" ht="15" hidden="false" customHeight="true" outlineLevel="0" collapsed="false">
      <c r="A949" s="11"/>
      <c r="B949" s="7"/>
      <c r="C949" s="7"/>
      <c r="D949" s="12" t="str">
        <f aca="false">IF($C949="","",IFERROR(INDEX(품목마스터!$B$3:$B$302,MATCH($C949,품목마스터!$A$3:$A$302,0)),"미등록품번"))</f>
        <v/>
      </c>
      <c r="E949" s="12" t="str">
        <f aca="false">IF($C949="","",IFERROR(INDEX(품목마스터!$C$3:$C$302,MATCH($C949,품목마스터!$A$3:$A$302,0)),""))</f>
        <v/>
      </c>
      <c r="F949" s="12" t="str">
        <f aca="false">IF($C949="","",IFERROR(INDEX(품목마스터!$D$3:$D$302,MATCH($C949,품목마스터!$A$3:$A$302,0)),""))</f>
        <v/>
      </c>
      <c r="G949" s="9"/>
      <c r="H949" s="9"/>
      <c r="I949" s="13" t="str">
        <f aca="false">IF(OR($G949="",$H949=""),"",ROUND($G949*$H949,0))</f>
        <v/>
      </c>
      <c r="J949" s="7"/>
      <c r="K949" s="7"/>
      <c r="L949" s="14" t="str">
        <f aca="false">IF(OR($C949="",$G949=""),"",IF($B949="입고",$G949,IF($B949="출고",-$G949,$G949)))</f>
        <v/>
      </c>
      <c r="M949" s="13" t="str">
        <f aca="false">IF($C949="","",IFERROR(INDEX(품목마스터!$F$3:$F$302,MATCH($C949,품목마스터!$A$3:$A$302,0)),0)+SUMIFS($L$3:$L949,$C$3:$C949,$C949))</f>
        <v/>
      </c>
    </row>
    <row r="950" customFormat="false" ht="15" hidden="false" customHeight="true" outlineLevel="0" collapsed="false">
      <c r="A950" s="11"/>
      <c r="B950" s="7"/>
      <c r="C950" s="7"/>
      <c r="D950" s="12" t="str">
        <f aca="false">IF($C950="","",IFERROR(INDEX(품목마스터!$B$3:$B$302,MATCH($C950,품목마스터!$A$3:$A$302,0)),"미등록품번"))</f>
        <v/>
      </c>
      <c r="E950" s="12" t="str">
        <f aca="false">IF($C950="","",IFERROR(INDEX(품목마스터!$C$3:$C$302,MATCH($C950,품목마스터!$A$3:$A$302,0)),""))</f>
        <v/>
      </c>
      <c r="F950" s="12" t="str">
        <f aca="false">IF($C950="","",IFERROR(INDEX(품목마스터!$D$3:$D$302,MATCH($C950,품목마스터!$A$3:$A$302,0)),""))</f>
        <v/>
      </c>
      <c r="G950" s="9"/>
      <c r="H950" s="9"/>
      <c r="I950" s="13" t="str">
        <f aca="false">IF(OR($G950="",$H950=""),"",ROUND($G950*$H950,0))</f>
        <v/>
      </c>
      <c r="J950" s="7"/>
      <c r="K950" s="7"/>
      <c r="L950" s="14" t="str">
        <f aca="false">IF(OR($C950="",$G950=""),"",IF($B950="입고",$G950,IF($B950="출고",-$G950,$G950)))</f>
        <v/>
      </c>
      <c r="M950" s="13" t="str">
        <f aca="false">IF($C950="","",IFERROR(INDEX(품목마스터!$F$3:$F$302,MATCH($C950,품목마스터!$A$3:$A$302,0)),0)+SUMIFS($L$3:$L950,$C$3:$C950,$C950))</f>
        <v/>
      </c>
    </row>
    <row r="951" customFormat="false" ht="15" hidden="false" customHeight="true" outlineLevel="0" collapsed="false">
      <c r="A951" s="11"/>
      <c r="B951" s="7"/>
      <c r="C951" s="7"/>
      <c r="D951" s="12" t="str">
        <f aca="false">IF($C951="","",IFERROR(INDEX(품목마스터!$B$3:$B$302,MATCH($C951,품목마스터!$A$3:$A$302,0)),"미등록품번"))</f>
        <v/>
      </c>
      <c r="E951" s="12" t="str">
        <f aca="false">IF($C951="","",IFERROR(INDEX(품목마스터!$C$3:$C$302,MATCH($C951,품목마스터!$A$3:$A$302,0)),""))</f>
        <v/>
      </c>
      <c r="F951" s="12" t="str">
        <f aca="false">IF($C951="","",IFERROR(INDEX(품목마스터!$D$3:$D$302,MATCH($C951,품목마스터!$A$3:$A$302,0)),""))</f>
        <v/>
      </c>
      <c r="G951" s="9"/>
      <c r="H951" s="9"/>
      <c r="I951" s="13" t="str">
        <f aca="false">IF(OR($G951="",$H951=""),"",ROUND($G951*$H951,0))</f>
        <v/>
      </c>
      <c r="J951" s="7"/>
      <c r="K951" s="7"/>
      <c r="L951" s="14" t="str">
        <f aca="false">IF(OR($C951="",$G951=""),"",IF($B951="입고",$G951,IF($B951="출고",-$G951,$G951)))</f>
        <v/>
      </c>
      <c r="M951" s="13" t="str">
        <f aca="false">IF($C951="","",IFERROR(INDEX(품목마스터!$F$3:$F$302,MATCH($C951,품목마스터!$A$3:$A$302,0)),0)+SUMIFS($L$3:$L951,$C$3:$C951,$C951))</f>
        <v/>
      </c>
    </row>
    <row r="952" customFormat="false" ht="15" hidden="false" customHeight="true" outlineLevel="0" collapsed="false">
      <c r="A952" s="11"/>
      <c r="B952" s="7"/>
      <c r="C952" s="7"/>
      <c r="D952" s="12" t="str">
        <f aca="false">IF($C952="","",IFERROR(INDEX(품목마스터!$B$3:$B$302,MATCH($C952,품목마스터!$A$3:$A$302,0)),"미등록품번"))</f>
        <v/>
      </c>
      <c r="E952" s="12" t="str">
        <f aca="false">IF($C952="","",IFERROR(INDEX(품목마스터!$C$3:$C$302,MATCH($C952,품목마스터!$A$3:$A$302,0)),""))</f>
        <v/>
      </c>
      <c r="F952" s="12" t="str">
        <f aca="false">IF($C952="","",IFERROR(INDEX(품목마스터!$D$3:$D$302,MATCH($C952,품목마스터!$A$3:$A$302,0)),""))</f>
        <v/>
      </c>
      <c r="G952" s="9"/>
      <c r="H952" s="9"/>
      <c r="I952" s="13" t="str">
        <f aca="false">IF(OR($G952="",$H952=""),"",ROUND($G952*$H952,0))</f>
        <v/>
      </c>
      <c r="J952" s="7"/>
      <c r="K952" s="7"/>
      <c r="L952" s="14" t="str">
        <f aca="false">IF(OR($C952="",$G952=""),"",IF($B952="입고",$G952,IF($B952="출고",-$G952,$G952)))</f>
        <v/>
      </c>
      <c r="M952" s="13" t="str">
        <f aca="false">IF($C952="","",IFERROR(INDEX(품목마스터!$F$3:$F$302,MATCH($C952,품목마스터!$A$3:$A$302,0)),0)+SUMIFS($L$3:$L952,$C$3:$C952,$C952))</f>
        <v/>
      </c>
    </row>
    <row r="953" customFormat="false" ht="15" hidden="false" customHeight="true" outlineLevel="0" collapsed="false">
      <c r="A953" s="11"/>
      <c r="B953" s="7"/>
      <c r="C953" s="7"/>
      <c r="D953" s="12" t="str">
        <f aca="false">IF($C953="","",IFERROR(INDEX(품목마스터!$B$3:$B$302,MATCH($C953,품목마스터!$A$3:$A$302,0)),"미등록품번"))</f>
        <v/>
      </c>
      <c r="E953" s="12" t="str">
        <f aca="false">IF($C953="","",IFERROR(INDEX(품목마스터!$C$3:$C$302,MATCH($C953,품목마스터!$A$3:$A$302,0)),""))</f>
        <v/>
      </c>
      <c r="F953" s="12" t="str">
        <f aca="false">IF($C953="","",IFERROR(INDEX(품목마스터!$D$3:$D$302,MATCH($C953,품목마스터!$A$3:$A$302,0)),""))</f>
        <v/>
      </c>
      <c r="G953" s="9"/>
      <c r="H953" s="9"/>
      <c r="I953" s="13" t="str">
        <f aca="false">IF(OR($G953="",$H953=""),"",ROUND($G953*$H953,0))</f>
        <v/>
      </c>
      <c r="J953" s="7"/>
      <c r="K953" s="7"/>
      <c r="L953" s="14" t="str">
        <f aca="false">IF(OR($C953="",$G953=""),"",IF($B953="입고",$G953,IF($B953="출고",-$G953,$G953)))</f>
        <v/>
      </c>
      <c r="M953" s="13" t="str">
        <f aca="false">IF($C953="","",IFERROR(INDEX(품목마스터!$F$3:$F$302,MATCH($C953,품목마스터!$A$3:$A$302,0)),0)+SUMIFS($L$3:$L953,$C$3:$C953,$C953))</f>
        <v/>
      </c>
    </row>
    <row r="954" customFormat="false" ht="15" hidden="false" customHeight="true" outlineLevel="0" collapsed="false">
      <c r="A954" s="11"/>
      <c r="B954" s="7"/>
      <c r="C954" s="7"/>
      <c r="D954" s="12" t="str">
        <f aca="false">IF($C954="","",IFERROR(INDEX(품목마스터!$B$3:$B$302,MATCH($C954,품목마스터!$A$3:$A$302,0)),"미등록품번"))</f>
        <v/>
      </c>
      <c r="E954" s="12" t="str">
        <f aca="false">IF($C954="","",IFERROR(INDEX(품목마스터!$C$3:$C$302,MATCH($C954,품목마스터!$A$3:$A$302,0)),""))</f>
        <v/>
      </c>
      <c r="F954" s="12" t="str">
        <f aca="false">IF($C954="","",IFERROR(INDEX(품목마스터!$D$3:$D$302,MATCH($C954,품목마스터!$A$3:$A$302,0)),""))</f>
        <v/>
      </c>
      <c r="G954" s="9"/>
      <c r="H954" s="9"/>
      <c r="I954" s="13" t="str">
        <f aca="false">IF(OR($G954="",$H954=""),"",ROUND($G954*$H954,0))</f>
        <v/>
      </c>
      <c r="J954" s="7"/>
      <c r="K954" s="7"/>
      <c r="L954" s="14" t="str">
        <f aca="false">IF(OR($C954="",$G954=""),"",IF($B954="입고",$G954,IF($B954="출고",-$G954,$G954)))</f>
        <v/>
      </c>
      <c r="M954" s="13" t="str">
        <f aca="false">IF($C954="","",IFERROR(INDEX(품목마스터!$F$3:$F$302,MATCH($C954,품목마스터!$A$3:$A$302,0)),0)+SUMIFS($L$3:$L954,$C$3:$C954,$C954))</f>
        <v/>
      </c>
    </row>
    <row r="955" customFormat="false" ht="15" hidden="false" customHeight="true" outlineLevel="0" collapsed="false">
      <c r="A955" s="11"/>
      <c r="B955" s="7"/>
      <c r="C955" s="7"/>
      <c r="D955" s="12" t="str">
        <f aca="false">IF($C955="","",IFERROR(INDEX(품목마스터!$B$3:$B$302,MATCH($C955,품목마스터!$A$3:$A$302,0)),"미등록품번"))</f>
        <v/>
      </c>
      <c r="E955" s="12" t="str">
        <f aca="false">IF($C955="","",IFERROR(INDEX(품목마스터!$C$3:$C$302,MATCH($C955,품목마스터!$A$3:$A$302,0)),""))</f>
        <v/>
      </c>
      <c r="F955" s="12" t="str">
        <f aca="false">IF($C955="","",IFERROR(INDEX(품목마스터!$D$3:$D$302,MATCH($C955,품목마스터!$A$3:$A$302,0)),""))</f>
        <v/>
      </c>
      <c r="G955" s="9"/>
      <c r="H955" s="9"/>
      <c r="I955" s="13" t="str">
        <f aca="false">IF(OR($G955="",$H955=""),"",ROUND($G955*$H955,0))</f>
        <v/>
      </c>
      <c r="J955" s="7"/>
      <c r="K955" s="7"/>
      <c r="L955" s="14" t="str">
        <f aca="false">IF(OR($C955="",$G955=""),"",IF($B955="입고",$G955,IF($B955="출고",-$G955,$G955)))</f>
        <v/>
      </c>
      <c r="M955" s="13" t="str">
        <f aca="false">IF($C955="","",IFERROR(INDEX(품목마스터!$F$3:$F$302,MATCH($C955,품목마스터!$A$3:$A$302,0)),0)+SUMIFS($L$3:$L955,$C$3:$C955,$C955))</f>
        <v/>
      </c>
    </row>
    <row r="956" customFormat="false" ht="15" hidden="false" customHeight="true" outlineLevel="0" collapsed="false">
      <c r="A956" s="11"/>
      <c r="B956" s="7"/>
      <c r="C956" s="7"/>
      <c r="D956" s="12" t="str">
        <f aca="false">IF($C956="","",IFERROR(INDEX(품목마스터!$B$3:$B$302,MATCH($C956,품목마스터!$A$3:$A$302,0)),"미등록품번"))</f>
        <v/>
      </c>
      <c r="E956" s="12" t="str">
        <f aca="false">IF($C956="","",IFERROR(INDEX(품목마스터!$C$3:$C$302,MATCH($C956,품목마스터!$A$3:$A$302,0)),""))</f>
        <v/>
      </c>
      <c r="F956" s="12" t="str">
        <f aca="false">IF($C956="","",IFERROR(INDEX(품목마스터!$D$3:$D$302,MATCH($C956,품목마스터!$A$3:$A$302,0)),""))</f>
        <v/>
      </c>
      <c r="G956" s="9"/>
      <c r="H956" s="9"/>
      <c r="I956" s="13" t="str">
        <f aca="false">IF(OR($G956="",$H956=""),"",ROUND($G956*$H956,0))</f>
        <v/>
      </c>
      <c r="J956" s="7"/>
      <c r="K956" s="7"/>
      <c r="L956" s="14" t="str">
        <f aca="false">IF(OR($C956="",$G956=""),"",IF($B956="입고",$G956,IF($B956="출고",-$G956,$G956)))</f>
        <v/>
      </c>
      <c r="M956" s="13" t="str">
        <f aca="false">IF($C956="","",IFERROR(INDEX(품목마스터!$F$3:$F$302,MATCH($C956,품목마스터!$A$3:$A$302,0)),0)+SUMIFS($L$3:$L956,$C$3:$C956,$C956))</f>
        <v/>
      </c>
    </row>
    <row r="957" customFormat="false" ht="15" hidden="false" customHeight="true" outlineLevel="0" collapsed="false">
      <c r="A957" s="11"/>
      <c r="B957" s="7"/>
      <c r="C957" s="7"/>
      <c r="D957" s="12" t="str">
        <f aca="false">IF($C957="","",IFERROR(INDEX(품목마스터!$B$3:$B$302,MATCH($C957,품목마스터!$A$3:$A$302,0)),"미등록품번"))</f>
        <v/>
      </c>
      <c r="E957" s="12" t="str">
        <f aca="false">IF($C957="","",IFERROR(INDEX(품목마스터!$C$3:$C$302,MATCH($C957,품목마스터!$A$3:$A$302,0)),""))</f>
        <v/>
      </c>
      <c r="F957" s="12" t="str">
        <f aca="false">IF($C957="","",IFERROR(INDEX(품목마스터!$D$3:$D$302,MATCH($C957,품목마스터!$A$3:$A$302,0)),""))</f>
        <v/>
      </c>
      <c r="G957" s="9"/>
      <c r="H957" s="9"/>
      <c r="I957" s="13" t="str">
        <f aca="false">IF(OR($G957="",$H957=""),"",ROUND($G957*$H957,0))</f>
        <v/>
      </c>
      <c r="J957" s="7"/>
      <c r="K957" s="7"/>
      <c r="L957" s="14" t="str">
        <f aca="false">IF(OR($C957="",$G957=""),"",IF($B957="입고",$G957,IF($B957="출고",-$G957,$G957)))</f>
        <v/>
      </c>
      <c r="M957" s="13" t="str">
        <f aca="false">IF($C957="","",IFERROR(INDEX(품목마스터!$F$3:$F$302,MATCH($C957,품목마스터!$A$3:$A$302,0)),0)+SUMIFS($L$3:$L957,$C$3:$C957,$C957))</f>
        <v/>
      </c>
    </row>
    <row r="958" customFormat="false" ht="15" hidden="false" customHeight="true" outlineLevel="0" collapsed="false">
      <c r="A958" s="11"/>
      <c r="B958" s="7"/>
      <c r="C958" s="7"/>
      <c r="D958" s="12" t="str">
        <f aca="false">IF($C958="","",IFERROR(INDEX(품목마스터!$B$3:$B$302,MATCH($C958,품목마스터!$A$3:$A$302,0)),"미등록품번"))</f>
        <v/>
      </c>
      <c r="E958" s="12" t="str">
        <f aca="false">IF($C958="","",IFERROR(INDEX(품목마스터!$C$3:$C$302,MATCH($C958,품목마스터!$A$3:$A$302,0)),""))</f>
        <v/>
      </c>
      <c r="F958" s="12" t="str">
        <f aca="false">IF($C958="","",IFERROR(INDEX(품목마스터!$D$3:$D$302,MATCH($C958,품목마스터!$A$3:$A$302,0)),""))</f>
        <v/>
      </c>
      <c r="G958" s="9"/>
      <c r="H958" s="9"/>
      <c r="I958" s="13" t="str">
        <f aca="false">IF(OR($G958="",$H958=""),"",ROUND($G958*$H958,0))</f>
        <v/>
      </c>
      <c r="J958" s="7"/>
      <c r="K958" s="7"/>
      <c r="L958" s="14" t="str">
        <f aca="false">IF(OR($C958="",$G958=""),"",IF($B958="입고",$G958,IF($B958="출고",-$G958,$G958)))</f>
        <v/>
      </c>
      <c r="M958" s="13" t="str">
        <f aca="false">IF($C958="","",IFERROR(INDEX(품목마스터!$F$3:$F$302,MATCH($C958,품목마스터!$A$3:$A$302,0)),0)+SUMIFS($L$3:$L958,$C$3:$C958,$C958))</f>
        <v/>
      </c>
    </row>
    <row r="959" customFormat="false" ht="15" hidden="false" customHeight="true" outlineLevel="0" collapsed="false">
      <c r="A959" s="11"/>
      <c r="B959" s="7"/>
      <c r="C959" s="7"/>
      <c r="D959" s="12" t="str">
        <f aca="false">IF($C959="","",IFERROR(INDEX(품목마스터!$B$3:$B$302,MATCH($C959,품목마스터!$A$3:$A$302,0)),"미등록품번"))</f>
        <v/>
      </c>
      <c r="E959" s="12" t="str">
        <f aca="false">IF($C959="","",IFERROR(INDEX(품목마스터!$C$3:$C$302,MATCH($C959,품목마스터!$A$3:$A$302,0)),""))</f>
        <v/>
      </c>
      <c r="F959" s="12" t="str">
        <f aca="false">IF($C959="","",IFERROR(INDEX(품목마스터!$D$3:$D$302,MATCH($C959,품목마스터!$A$3:$A$302,0)),""))</f>
        <v/>
      </c>
      <c r="G959" s="9"/>
      <c r="H959" s="9"/>
      <c r="I959" s="13" t="str">
        <f aca="false">IF(OR($G959="",$H959=""),"",ROUND($G959*$H959,0))</f>
        <v/>
      </c>
      <c r="J959" s="7"/>
      <c r="K959" s="7"/>
      <c r="L959" s="14" t="str">
        <f aca="false">IF(OR($C959="",$G959=""),"",IF($B959="입고",$G959,IF($B959="출고",-$G959,$G959)))</f>
        <v/>
      </c>
      <c r="M959" s="13" t="str">
        <f aca="false">IF($C959="","",IFERROR(INDEX(품목마스터!$F$3:$F$302,MATCH($C959,품목마스터!$A$3:$A$302,0)),0)+SUMIFS($L$3:$L959,$C$3:$C959,$C959))</f>
        <v/>
      </c>
    </row>
    <row r="960" customFormat="false" ht="15" hidden="false" customHeight="true" outlineLevel="0" collapsed="false">
      <c r="A960" s="11"/>
      <c r="B960" s="7"/>
      <c r="C960" s="7"/>
      <c r="D960" s="12" t="str">
        <f aca="false">IF($C960="","",IFERROR(INDEX(품목마스터!$B$3:$B$302,MATCH($C960,품목마스터!$A$3:$A$302,0)),"미등록품번"))</f>
        <v/>
      </c>
      <c r="E960" s="12" t="str">
        <f aca="false">IF($C960="","",IFERROR(INDEX(품목마스터!$C$3:$C$302,MATCH($C960,품목마스터!$A$3:$A$302,0)),""))</f>
        <v/>
      </c>
      <c r="F960" s="12" t="str">
        <f aca="false">IF($C960="","",IFERROR(INDEX(품목마스터!$D$3:$D$302,MATCH($C960,품목마스터!$A$3:$A$302,0)),""))</f>
        <v/>
      </c>
      <c r="G960" s="9"/>
      <c r="H960" s="9"/>
      <c r="I960" s="13" t="str">
        <f aca="false">IF(OR($G960="",$H960=""),"",ROUND($G960*$H960,0))</f>
        <v/>
      </c>
      <c r="J960" s="7"/>
      <c r="K960" s="7"/>
      <c r="L960" s="14" t="str">
        <f aca="false">IF(OR($C960="",$G960=""),"",IF($B960="입고",$G960,IF($B960="출고",-$G960,$G960)))</f>
        <v/>
      </c>
      <c r="M960" s="13" t="str">
        <f aca="false">IF($C960="","",IFERROR(INDEX(품목마스터!$F$3:$F$302,MATCH($C960,품목마스터!$A$3:$A$302,0)),0)+SUMIFS($L$3:$L960,$C$3:$C960,$C960))</f>
        <v/>
      </c>
    </row>
    <row r="961" customFormat="false" ht="15" hidden="false" customHeight="true" outlineLevel="0" collapsed="false">
      <c r="A961" s="11"/>
      <c r="B961" s="7"/>
      <c r="C961" s="7"/>
      <c r="D961" s="12" t="str">
        <f aca="false">IF($C961="","",IFERROR(INDEX(품목마스터!$B$3:$B$302,MATCH($C961,품목마스터!$A$3:$A$302,0)),"미등록품번"))</f>
        <v/>
      </c>
      <c r="E961" s="12" t="str">
        <f aca="false">IF($C961="","",IFERROR(INDEX(품목마스터!$C$3:$C$302,MATCH($C961,품목마스터!$A$3:$A$302,0)),""))</f>
        <v/>
      </c>
      <c r="F961" s="12" t="str">
        <f aca="false">IF($C961="","",IFERROR(INDEX(품목마스터!$D$3:$D$302,MATCH($C961,품목마스터!$A$3:$A$302,0)),""))</f>
        <v/>
      </c>
      <c r="G961" s="9"/>
      <c r="H961" s="9"/>
      <c r="I961" s="13" t="str">
        <f aca="false">IF(OR($G961="",$H961=""),"",ROUND($G961*$H961,0))</f>
        <v/>
      </c>
      <c r="J961" s="7"/>
      <c r="K961" s="7"/>
      <c r="L961" s="14" t="str">
        <f aca="false">IF(OR($C961="",$G961=""),"",IF($B961="입고",$G961,IF($B961="출고",-$G961,$G961)))</f>
        <v/>
      </c>
      <c r="M961" s="13" t="str">
        <f aca="false">IF($C961="","",IFERROR(INDEX(품목마스터!$F$3:$F$302,MATCH($C961,품목마스터!$A$3:$A$302,0)),0)+SUMIFS($L$3:$L961,$C$3:$C961,$C961))</f>
        <v/>
      </c>
    </row>
    <row r="962" customFormat="false" ht="15" hidden="false" customHeight="true" outlineLevel="0" collapsed="false">
      <c r="A962" s="11"/>
      <c r="B962" s="7"/>
      <c r="C962" s="7"/>
      <c r="D962" s="12" t="str">
        <f aca="false">IF($C962="","",IFERROR(INDEX(품목마스터!$B$3:$B$302,MATCH($C962,품목마스터!$A$3:$A$302,0)),"미등록품번"))</f>
        <v/>
      </c>
      <c r="E962" s="12" t="str">
        <f aca="false">IF($C962="","",IFERROR(INDEX(품목마스터!$C$3:$C$302,MATCH($C962,품목마스터!$A$3:$A$302,0)),""))</f>
        <v/>
      </c>
      <c r="F962" s="12" t="str">
        <f aca="false">IF($C962="","",IFERROR(INDEX(품목마스터!$D$3:$D$302,MATCH($C962,품목마스터!$A$3:$A$302,0)),""))</f>
        <v/>
      </c>
      <c r="G962" s="9"/>
      <c r="H962" s="9"/>
      <c r="I962" s="13" t="str">
        <f aca="false">IF(OR($G962="",$H962=""),"",ROUND($G962*$H962,0))</f>
        <v/>
      </c>
      <c r="J962" s="7"/>
      <c r="K962" s="7"/>
      <c r="L962" s="14" t="str">
        <f aca="false">IF(OR($C962="",$G962=""),"",IF($B962="입고",$G962,IF($B962="출고",-$G962,$G962)))</f>
        <v/>
      </c>
      <c r="M962" s="13" t="str">
        <f aca="false">IF($C962="","",IFERROR(INDEX(품목마스터!$F$3:$F$302,MATCH($C962,품목마스터!$A$3:$A$302,0)),0)+SUMIFS($L$3:$L962,$C$3:$C962,$C962))</f>
        <v/>
      </c>
    </row>
    <row r="963" customFormat="false" ht="15" hidden="false" customHeight="true" outlineLevel="0" collapsed="false">
      <c r="A963" s="11"/>
      <c r="B963" s="7"/>
      <c r="C963" s="7"/>
      <c r="D963" s="12" t="str">
        <f aca="false">IF($C963="","",IFERROR(INDEX(품목마스터!$B$3:$B$302,MATCH($C963,품목마스터!$A$3:$A$302,0)),"미등록품번"))</f>
        <v/>
      </c>
      <c r="E963" s="12" t="str">
        <f aca="false">IF($C963="","",IFERROR(INDEX(품목마스터!$C$3:$C$302,MATCH($C963,품목마스터!$A$3:$A$302,0)),""))</f>
        <v/>
      </c>
      <c r="F963" s="12" t="str">
        <f aca="false">IF($C963="","",IFERROR(INDEX(품목마스터!$D$3:$D$302,MATCH($C963,품목마스터!$A$3:$A$302,0)),""))</f>
        <v/>
      </c>
      <c r="G963" s="9"/>
      <c r="H963" s="9"/>
      <c r="I963" s="13" t="str">
        <f aca="false">IF(OR($G963="",$H963=""),"",ROUND($G963*$H963,0))</f>
        <v/>
      </c>
      <c r="J963" s="7"/>
      <c r="K963" s="7"/>
      <c r="L963" s="14" t="str">
        <f aca="false">IF(OR($C963="",$G963=""),"",IF($B963="입고",$G963,IF($B963="출고",-$G963,$G963)))</f>
        <v/>
      </c>
      <c r="M963" s="13" t="str">
        <f aca="false">IF($C963="","",IFERROR(INDEX(품목마스터!$F$3:$F$302,MATCH($C963,품목마스터!$A$3:$A$302,0)),0)+SUMIFS($L$3:$L963,$C$3:$C963,$C963))</f>
        <v/>
      </c>
    </row>
    <row r="964" customFormat="false" ht="15" hidden="false" customHeight="true" outlineLevel="0" collapsed="false">
      <c r="A964" s="11"/>
      <c r="B964" s="7"/>
      <c r="C964" s="7"/>
      <c r="D964" s="12" t="str">
        <f aca="false">IF($C964="","",IFERROR(INDEX(품목마스터!$B$3:$B$302,MATCH($C964,품목마스터!$A$3:$A$302,0)),"미등록품번"))</f>
        <v/>
      </c>
      <c r="E964" s="12" t="str">
        <f aca="false">IF($C964="","",IFERROR(INDEX(품목마스터!$C$3:$C$302,MATCH($C964,품목마스터!$A$3:$A$302,0)),""))</f>
        <v/>
      </c>
      <c r="F964" s="12" t="str">
        <f aca="false">IF($C964="","",IFERROR(INDEX(품목마스터!$D$3:$D$302,MATCH($C964,품목마스터!$A$3:$A$302,0)),""))</f>
        <v/>
      </c>
      <c r="G964" s="9"/>
      <c r="H964" s="9"/>
      <c r="I964" s="13" t="str">
        <f aca="false">IF(OR($G964="",$H964=""),"",ROUND($G964*$H964,0))</f>
        <v/>
      </c>
      <c r="J964" s="7"/>
      <c r="K964" s="7"/>
      <c r="L964" s="14" t="str">
        <f aca="false">IF(OR($C964="",$G964=""),"",IF($B964="입고",$G964,IF($B964="출고",-$G964,$G964)))</f>
        <v/>
      </c>
      <c r="M964" s="13" t="str">
        <f aca="false">IF($C964="","",IFERROR(INDEX(품목마스터!$F$3:$F$302,MATCH($C964,품목마스터!$A$3:$A$302,0)),0)+SUMIFS($L$3:$L964,$C$3:$C964,$C964))</f>
        <v/>
      </c>
    </row>
    <row r="965" customFormat="false" ht="15" hidden="false" customHeight="true" outlineLevel="0" collapsed="false">
      <c r="A965" s="11"/>
      <c r="B965" s="7"/>
      <c r="C965" s="7"/>
      <c r="D965" s="12" t="str">
        <f aca="false">IF($C965="","",IFERROR(INDEX(품목마스터!$B$3:$B$302,MATCH($C965,품목마스터!$A$3:$A$302,0)),"미등록품번"))</f>
        <v/>
      </c>
      <c r="E965" s="12" t="str">
        <f aca="false">IF($C965="","",IFERROR(INDEX(품목마스터!$C$3:$C$302,MATCH($C965,품목마스터!$A$3:$A$302,0)),""))</f>
        <v/>
      </c>
      <c r="F965" s="12" t="str">
        <f aca="false">IF($C965="","",IFERROR(INDEX(품목마스터!$D$3:$D$302,MATCH($C965,품목마스터!$A$3:$A$302,0)),""))</f>
        <v/>
      </c>
      <c r="G965" s="9"/>
      <c r="H965" s="9"/>
      <c r="I965" s="13" t="str">
        <f aca="false">IF(OR($G965="",$H965=""),"",ROUND($G965*$H965,0))</f>
        <v/>
      </c>
      <c r="J965" s="7"/>
      <c r="K965" s="7"/>
      <c r="L965" s="14" t="str">
        <f aca="false">IF(OR($C965="",$G965=""),"",IF($B965="입고",$G965,IF($B965="출고",-$G965,$G965)))</f>
        <v/>
      </c>
      <c r="M965" s="13" t="str">
        <f aca="false">IF($C965="","",IFERROR(INDEX(품목마스터!$F$3:$F$302,MATCH($C965,품목마스터!$A$3:$A$302,0)),0)+SUMIFS($L$3:$L965,$C$3:$C965,$C965))</f>
        <v/>
      </c>
    </row>
    <row r="966" customFormat="false" ht="15" hidden="false" customHeight="true" outlineLevel="0" collapsed="false">
      <c r="A966" s="11"/>
      <c r="B966" s="7"/>
      <c r="C966" s="7"/>
      <c r="D966" s="12" t="str">
        <f aca="false">IF($C966="","",IFERROR(INDEX(품목마스터!$B$3:$B$302,MATCH($C966,품목마스터!$A$3:$A$302,0)),"미등록품번"))</f>
        <v/>
      </c>
      <c r="E966" s="12" t="str">
        <f aca="false">IF($C966="","",IFERROR(INDEX(품목마스터!$C$3:$C$302,MATCH($C966,품목마스터!$A$3:$A$302,0)),""))</f>
        <v/>
      </c>
      <c r="F966" s="12" t="str">
        <f aca="false">IF($C966="","",IFERROR(INDEX(품목마스터!$D$3:$D$302,MATCH($C966,품목마스터!$A$3:$A$302,0)),""))</f>
        <v/>
      </c>
      <c r="G966" s="9"/>
      <c r="H966" s="9"/>
      <c r="I966" s="13" t="str">
        <f aca="false">IF(OR($G966="",$H966=""),"",ROUND($G966*$H966,0))</f>
        <v/>
      </c>
      <c r="J966" s="7"/>
      <c r="K966" s="7"/>
      <c r="L966" s="14" t="str">
        <f aca="false">IF(OR($C966="",$G966=""),"",IF($B966="입고",$G966,IF($B966="출고",-$G966,$G966)))</f>
        <v/>
      </c>
      <c r="M966" s="13" t="str">
        <f aca="false">IF($C966="","",IFERROR(INDEX(품목마스터!$F$3:$F$302,MATCH($C966,품목마스터!$A$3:$A$302,0)),0)+SUMIFS($L$3:$L966,$C$3:$C966,$C966))</f>
        <v/>
      </c>
    </row>
    <row r="967" customFormat="false" ht="15" hidden="false" customHeight="true" outlineLevel="0" collapsed="false">
      <c r="A967" s="11"/>
      <c r="B967" s="7"/>
      <c r="C967" s="7"/>
      <c r="D967" s="12" t="str">
        <f aca="false">IF($C967="","",IFERROR(INDEX(품목마스터!$B$3:$B$302,MATCH($C967,품목마스터!$A$3:$A$302,0)),"미등록품번"))</f>
        <v/>
      </c>
      <c r="E967" s="12" t="str">
        <f aca="false">IF($C967="","",IFERROR(INDEX(품목마스터!$C$3:$C$302,MATCH($C967,품목마스터!$A$3:$A$302,0)),""))</f>
        <v/>
      </c>
      <c r="F967" s="12" t="str">
        <f aca="false">IF($C967="","",IFERROR(INDEX(품목마스터!$D$3:$D$302,MATCH($C967,품목마스터!$A$3:$A$302,0)),""))</f>
        <v/>
      </c>
      <c r="G967" s="9"/>
      <c r="H967" s="9"/>
      <c r="I967" s="13" t="str">
        <f aca="false">IF(OR($G967="",$H967=""),"",ROUND($G967*$H967,0))</f>
        <v/>
      </c>
      <c r="J967" s="7"/>
      <c r="K967" s="7"/>
      <c r="L967" s="14" t="str">
        <f aca="false">IF(OR($C967="",$G967=""),"",IF($B967="입고",$G967,IF($B967="출고",-$G967,$G967)))</f>
        <v/>
      </c>
      <c r="M967" s="13" t="str">
        <f aca="false">IF($C967="","",IFERROR(INDEX(품목마스터!$F$3:$F$302,MATCH($C967,품목마스터!$A$3:$A$302,0)),0)+SUMIFS($L$3:$L967,$C$3:$C967,$C967))</f>
        <v/>
      </c>
    </row>
    <row r="968" customFormat="false" ht="15" hidden="false" customHeight="true" outlineLevel="0" collapsed="false">
      <c r="A968" s="11"/>
      <c r="B968" s="7"/>
      <c r="C968" s="7"/>
      <c r="D968" s="12" t="str">
        <f aca="false">IF($C968="","",IFERROR(INDEX(품목마스터!$B$3:$B$302,MATCH($C968,품목마스터!$A$3:$A$302,0)),"미등록품번"))</f>
        <v/>
      </c>
      <c r="E968" s="12" t="str">
        <f aca="false">IF($C968="","",IFERROR(INDEX(품목마스터!$C$3:$C$302,MATCH($C968,품목마스터!$A$3:$A$302,0)),""))</f>
        <v/>
      </c>
      <c r="F968" s="12" t="str">
        <f aca="false">IF($C968="","",IFERROR(INDEX(품목마스터!$D$3:$D$302,MATCH($C968,품목마스터!$A$3:$A$302,0)),""))</f>
        <v/>
      </c>
      <c r="G968" s="9"/>
      <c r="H968" s="9"/>
      <c r="I968" s="13" t="str">
        <f aca="false">IF(OR($G968="",$H968=""),"",ROUND($G968*$H968,0))</f>
        <v/>
      </c>
      <c r="J968" s="7"/>
      <c r="K968" s="7"/>
      <c r="L968" s="14" t="str">
        <f aca="false">IF(OR($C968="",$G968=""),"",IF($B968="입고",$G968,IF($B968="출고",-$G968,$G968)))</f>
        <v/>
      </c>
      <c r="M968" s="13" t="str">
        <f aca="false">IF($C968="","",IFERROR(INDEX(품목마스터!$F$3:$F$302,MATCH($C968,품목마스터!$A$3:$A$302,0)),0)+SUMIFS($L$3:$L968,$C$3:$C968,$C968))</f>
        <v/>
      </c>
    </row>
    <row r="969" customFormat="false" ht="15" hidden="false" customHeight="true" outlineLevel="0" collapsed="false">
      <c r="A969" s="11"/>
      <c r="B969" s="7"/>
      <c r="C969" s="7"/>
      <c r="D969" s="12" t="str">
        <f aca="false">IF($C969="","",IFERROR(INDEX(품목마스터!$B$3:$B$302,MATCH($C969,품목마스터!$A$3:$A$302,0)),"미등록품번"))</f>
        <v/>
      </c>
      <c r="E969" s="12" t="str">
        <f aca="false">IF($C969="","",IFERROR(INDEX(품목마스터!$C$3:$C$302,MATCH($C969,품목마스터!$A$3:$A$302,0)),""))</f>
        <v/>
      </c>
      <c r="F969" s="12" t="str">
        <f aca="false">IF($C969="","",IFERROR(INDEX(품목마스터!$D$3:$D$302,MATCH($C969,품목마스터!$A$3:$A$302,0)),""))</f>
        <v/>
      </c>
      <c r="G969" s="9"/>
      <c r="H969" s="9"/>
      <c r="I969" s="13" t="str">
        <f aca="false">IF(OR($G969="",$H969=""),"",ROUND($G969*$H969,0))</f>
        <v/>
      </c>
      <c r="J969" s="7"/>
      <c r="K969" s="7"/>
      <c r="L969" s="14" t="str">
        <f aca="false">IF(OR($C969="",$G969=""),"",IF($B969="입고",$G969,IF($B969="출고",-$G969,$G969)))</f>
        <v/>
      </c>
      <c r="M969" s="13" t="str">
        <f aca="false">IF($C969="","",IFERROR(INDEX(품목마스터!$F$3:$F$302,MATCH($C969,품목마스터!$A$3:$A$302,0)),0)+SUMIFS($L$3:$L969,$C$3:$C969,$C969))</f>
        <v/>
      </c>
    </row>
    <row r="970" customFormat="false" ht="15" hidden="false" customHeight="true" outlineLevel="0" collapsed="false">
      <c r="A970" s="11"/>
      <c r="B970" s="7"/>
      <c r="C970" s="7"/>
      <c r="D970" s="12" t="str">
        <f aca="false">IF($C970="","",IFERROR(INDEX(품목마스터!$B$3:$B$302,MATCH($C970,품목마스터!$A$3:$A$302,0)),"미등록품번"))</f>
        <v/>
      </c>
      <c r="E970" s="12" t="str">
        <f aca="false">IF($C970="","",IFERROR(INDEX(품목마스터!$C$3:$C$302,MATCH($C970,품목마스터!$A$3:$A$302,0)),""))</f>
        <v/>
      </c>
      <c r="F970" s="12" t="str">
        <f aca="false">IF($C970="","",IFERROR(INDEX(품목마스터!$D$3:$D$302,MATCH($C970,품목마스터!$A$3:$A$302,0)),""))</f>
        <v/>
      </c>
      <c r="G970" s="9"/>
      <c r="H970" s="9"/>
      <c r="I970" s="13" t="str">
        <f aca="false">IF(OR($G970="",$H970=""),"",ROUND($G970*$H970,0))</f>
        <v/>
      </c>
      <c r="J970" s="7"/>
      <c r="K970" s="7"/>
      <c r="L970" s="14" t="str">
        <f aca="false">IF(OR($C970="",$G970=""),"",IF($B970="입고",$G970,IF($B970="출고",-$G970,$G970)))</f>
        <v/>
      </c>
      <c r="M970" s="13" t="str">
        <f aca="false">IF($C970="","",IFERROR(INDEX(품목마스터!$F$3:$F$302,MATCH($C970,품목마스터!$A$3:$A$302,0)),0)+SUMIFS($L$3:$L970,$C$3:$C970,$C970))</f>
        <v/>
      </c>
    </row>
    <row r="971" customFormat="false" ht="15" hidden="false" customHeight="true" outlineLevel="0" collapsed="false">
      <c r="A971" s="11"/>
      <c r="B971" s="7"/>
      <c r="C971" s="7"/>
      <c r="D971" s="12" t="str">
        <f aca="false">IF($C971="","",IFERROR(INDEX(품목마스터!$B$3:$B$302,MATCH($C971,품목마스터!$A$3:$A$302,0)),"미등록품번"))</f>
        <v/>
      </c>
      <c r="E971" s="12" t="str">
        <f aca="false">IF($C971="","",IFERROR(INDEX(품목마스터!$C$3:$C$302,MATCH($C971,품목마스터!$A$3:$A$302,0)),""))</f>
        <v/>
      </c>
      <c r="F971" s="12" t="str">
        <f aca="false">IF($C971="","",IFERROR(INDEX(품목마스터!$D$3:$D$302,MATCH($C971,품목마스터!$A$3:$A$302,0)),""))</f>
        <v/>
      </c>
      <c r="G971" s="9"/>
      <c r="H971" s="9"/>
      <c r="I971" s="13" t="str">
        <f aca="false">IF(OR($G971="",$H971=""),"",ROUND($G971*$H971,0))</f>
        <v/>
      </c>
      <c r="J971" s="7"/>
      <c r="K971" s="7"/>
      <c r="L971" s="14" t="str">
        <f aca="false">IF(OR($C971="",$G971=""),"",IF($B971="입고",$G971,IF($B971="출고",-$G971,$G971)))</f>
        <v/>
      </c>
      <c r="M971" s="13" t="str">
        <f aca="false">IF($C971="","",IFERROR(INDEX(품목마스터!$F$3:$F$302,MATCH($C971,품목마스터!$A$3:$A$302,0)),0)+SUMIFS($L$3:$L971,$C$3:$C971,$C971))</f>
        <v/>
      </c>
    </row>
    <row r="972" customFormat="false" ht="15" hidden="false" customHeight="true" outlineLevel="0" collapsed="false">
      <c r="A972" s="11"/>
      <c r="B972" s="7"/>
      <c r="C972" s="7"/>
      <c r="D972" s="12" t="str">
        <f aca="false">IF($C972="","",IFERROR(INDEX(품목마스터!$B$3:$B$302,MATCH($C972,품목마스터!$A$3:$A$302,0)),"미등록품번"))</f>
        <v/>
      </c>
      <c r="E972" s="12" t="str">
        <f aca="false">IF($C972="","",IFERROR(INDEX(품목마스터!$C$3:$C$302,MATCH($C972,품목마스터!$A$3:$A$302,0)),""))</f>
        <v/>
      </c>
      <c r="F972" s="12" t="str">
        <f aca="false">IF($C972="","",IFERROR(INDEX(품목마스터!$D$3:$D$302,MATCH($C972,품목마스터!$A$3:$A$302,0)),""))</f>
        <v/>
      </c>
      <c r="G972" s="9"/>
      <c r="H972" s="9"/>
      <c r="I972" s="13" t="str">
        <f aca="false">IF(OR($G972="",$H972=""),"",ROUND($G972*$H972,0))</f>
        <v/>
      </c>
      <c r="J972" s="7"/>
      <c r="K972" s="7"/>
      <c r="L972" s="14" t="str">
        <f aca="false">IF(OR($C972="",$G972=""),"",IF($B972="입고",$G972,IF($B972="출고",-$G972,$G972)))</f>
        <v/>
      </c>
      <c r="M972" s="13" t="str">
        <f aca="false">IF($C972="","",IFERROR(INDEX(품목마스터!$F$3:$F$302,MATCH($C972,품목마스터!$A$3:$A$302,0)),0)+SUMIFS($L$3:$L972,$C$3:$C972,$C972))</f>
        <v/>
      </c>
    </row>
    <row r="973" customFormat="false" ht="15" hidden="false" customHeight="true" outlineLevel="0" collapsed="false">
      <c r="A973" s="11"/>
      <c r="B973" s="7"/>
      <c r="C973" s="7"/>
      <c r="D973" s="12" t="str">
        <f aca="false">IF($C973="","",IFERROR(INDEX(품목마스터!$B$3:$B$302,MATCH($C973,품목마스터!$A$3:$A$302,0)),"미등록품번"))</f>
        <v/>
      </c>
      <c r="E973" s="12" t="str">
        <f aca="false">IF($C973="","",IFERROR(INDEX(품목마스터!$C$3:$C$302,MATCH($C973,품목마스터!$A$3:$A$302,0)),""))</f>
        <v/>
      </c>
      <c r="F973" s="12" t="str">
        <f aca="false">IF($C973="","",IFERROR(INDEX(품목마스터!$D$3:$D$302,MATCH($C973,품목마스터!$A$3:$A$302,0)),""))</f>
        <v/>
      </c>
      <c r="G973" s="9"/>
      <c r="H973" s="9"/>
      <c r="I973" s="13" t="str">
        <f aca="false">IF(OR($G973="",$H973=""),"",ROUND($G973*$H973,0))</f>
        <v/>
      </c>
      <c r="J973" s="7"/>
      <c r="K973" s="7"/>
      <c r="L973" s="14" t="str">
        <f aca="false">IF(OR($C973="",$G973=""),"",IF($B973="입고",$G973,IF($B973="출고",-$G973,$G973)))</f>
        <v/>
      </c>
      <c r="M973" s="13" t="str">
        <f aca="false">IF($C973="","",IFERROR(INDEX(품목마스터!$F$3:$F$302,MATCH($C973,품목마스터!$A$3:$A$302,0)),0)+SUMIFS($L$3:$L973,$C$3:$C973,$C973))</f>
        <v/>
      </c>
    </row>
    <row r="974" customFormat="false" ht="15" hidden="false" customHeight="true" outlineLevel="0" collapsed="false">
      <c r="A974" s="11"/>
      <c r="B974" s="7"/>
      <c r="C974" s="7"/>
      <c r="D974" s="12" t="str">
        <f aca="false">IF($C974="","",IFERROR(INDEX(품목마스터!$B$3:$B$302,MATCH($C974,품목마스터!$A$3:$A$302,0)),"미등록품번"))</f>
        <v/>
      </c>
      <c r="E974" s="12" t="str">
        <f aca="false">IF($C974="","",IFERROR(INDEX(품목마스터!$C$3:$C$302,MATCH($C974,품목마스터!$A$3:$A$302,0)),""))</f>
        <v/>
      </c>
      <c r="F974" s="12" t="str">
        <f aca="false">IF($C974="","",IFERROR(INDEX(품목마스터!$D$3:$D$302,MATCH($C974,품목마스터!$A$3:$A$302,0)),""))</f>
        <v/>
      </c>
      <c r="G974" s="9"/>
      <c r="H974" s="9"/>
      <c r="I974" s="13" t="str">
        <f aca="false">IF(OR($G974="",$H974=""),"",ROUND($G974*$H974,0))</f>
        <v/>
      </c>
      <c r="J974" s="7"/>
      <c r="K974" s="7"/>
      <c r="L974" s="14" t="str">
        <f aca="false">IF(OR($C974="",$G974=""),"",IF($B974="입고",$G974,IF($B974="출고",-$G974,$G974)))</f>
        <v/>
      </c>
      <c r="M974" s="13" t="str">
        <f aca="false">IF($C974="","",IFERROR(INDEX(품목마스터!$F$3:$F$302,MATCH($C974,품목마스터!$A$3:$A$302,0)),0)+SUMIFS($L$3:$L974,$C$3:$C974,$C974))</f>
        <v/>
      </c>
    </row>
    <row r="975" customFormat="false" ht="15" hidden="false" customHeight="true" outlineLevel="0" collapsed="false">
      <c r="A975" s="11"/>
      <c r="B975" s="7"/>
      <c r="C975" s="7"/>
      <c r="D975" s="12" t="str">
        <f aca="false">IF($C975="","",IFERROR(INDEX(품목마스터!$B$3:$B$302,MATCH($C975,품목마스터!$A$3:$A$302,0)),"미등록품번"))</f>
        <v/>
      </c>
      <c r="E975" s="12" t="str">
        <f aca="false">IF($C975="","",IFERROR(INDEX(품목마스터!$C$3:$C$302,MATCH($C975,품목마스터!$A$3:$A$302,0)),""))</f>
        <v/>
      </c>
      <c r="F975" s="12" t="str">
        <f aca="false">IF($C975="","",IFERROR(INDEX(품목마스터!$D$3:$D$302,MATCH($C975,품목마스터!$A$3:$A$302,0)),""))</f>
        <v/>
      </c>
      <c r="G975" s="9"/>
      <c r="H975" s="9"/>
      <c r="I975" s="13" t="str">
        <f aca="false">IF(OR($G975="",$H975=""),"",ROUND($G975*$H975,0))</f>
        <v/>
      </c>
      <c r="J975" s="7"/>
      <c r="K975" s="7"/>
      <c r="L975" s="14" t="str">
        <f aca="false">IF(OR($C975="",$G975=""),"",IF($B975="입고",$G975,IF($B975="출고",-$G975,$G975)))</f>
        <v/>
      </c>
      <c r="M975" s="13" t="str">
        <f aca="false">IF($C975="","",IFERROR(INDEX(품목마스터!$F$3:$F$302,MATCH($C975,품목마스터!$A$3:$A$302,0)),0)+SUMIFS($L$3:$L975,$C$3:$C975,$C975))</f>
        <v/>
      </c>
    </row>
    <row r="976" customFormat="false" ht="15" hidden="false" customHeight="true" outlineLevel="0" collapsed="false">
      <c r="A976" s="11"/>
      <c r="B976" s="7"/>
      <c r="C976" s="7"/>
      <c r="D976" s="12" t="str">
        <f aca="false">IF($C976="","",IFERROR(INDEX(품목마스터!$B$3:$B$302,MATCH($C976,품목마스터!$A$3:$A$302,0)),"미등록품번"))</f>
        <v/>
      </c>
      <c r="E976" s="12" t="str">
        <f aca="false">IF($C976="","",IFERROR(INDEX(품목마스터!$C$3:$C$302,MATCH($C976,품목마스터!$A$3:$A$302,0)),""))</f>
        <v/>
      </c>
      <c r="F976" s="12" t="str">
        <f aca="false">IF($C976="","",IFERROR(INDEX(품목마스터!$D$3:$D$302,MATCH($C976,품목마스터!$A$3:$A$302,0)),""))</f>
        <v/>
      </c>
      <c r="G976" s="9"/>
      <c r="H976" s="9"/>
      <c r="I976" s="13" t="str">
        <f aca="false">IF(OR($G976="",$H976=""),"",ROUND($G976*$H976,0))</f>
        <v/>
      </c>
      <c r="J976" s="7"/>
      <c r="K976" s="7"/>
      <c r="L976" s="14" t="str">
        <f aca="false">IF(OR($C976="",$G976=""),"",IF($B976="입고",$G976,IF($B976="출고",-$G976,$G976)))</f>
        <v/>
      </c>
      <c r="M976" s="13" t="str">
        <f aca="false">IF($C976="","",IFERROR(INDEX(품목마스터!$F$3:$F$302,MATCH($C976,품목마스터!$A$3:$A$302,0)),0)+SUMIFS($L$3:$L976,$C$3:$C976,$C976))</f>
        <v/>
      </c>
    </row>
    <row r="977" customFormat="false" ht="15" hidden="false" customHeight="true" outlineLevel="0" collapsed="false">
      <c r="A977" s="11"/>
      <c r="B977" s="7"/>
      <c r="C977" s="7"/>
      <c r="D977" s="12" t="str">
        <f aca="false">IF($C977="","",IFERROR(INDEX(품목마스터!$B$3:$B$302,MATCH($C977,품목마스터!$A$3:$A$302,0)),"미등록품번"))</f>
        <v/>
      </c>
      <c r="E977" s="12" t="str">
        <f aca="false">IF($C977="","",IFERROR(INDEX(품목마스터!$C$3:$C$302,MATCH($C977,품목마스터!$A$3:$A$302,0)),""))</f>
        <v/>
      </c>
      <c r="F977" s="12" t="str">
        <f aca="false">IF($C977="","",IFERROR(INDEX(품목마스터!$D$3:$D$302,MATCH($C977,품목마스터!$A$3:$A$302,0)),""))</f>
        <v/>
      </c>
      <c r="G977" s="9"/>
      <c r="H977" s="9"/>
      <c r="I977" s="13" t="str">
        <f aca="false">IF(OR($G977="",$H977=""),"",ROUND($G977*$H977,0))</f>
        <v/>
      </c>
      <c r="J977" s="7"/>
      <c r="K977" s="7"/>
      <c r="L977" s="14" t="str">
        <f aca="false">IF(OR($C977="",$G977=""),"",IF($B977="입고",$G977,IF($B977="출고",-$G977,$G977)))</f>
        <v/>
      </c>
      <c r="M977" s="13" t="str">
        <f aca="false">IF($C977="","",IFERROR(INDEX(품목마스터!$F$3:$F$302,MATCH($C977,품목마스터!$A$3:$A$302,0)),0)+SUMIFS($L$3:$L977,$C$3:$C977,$C977))</f>
        <v/>
      </c>
    </row>
    <row r="978" customFormat="false" ht="15" hidden="false" customHeight="true" outlineLevel="0" collapsed="false">
      <c r="A978" s="11"/>
      <c r="B978" s="7"/>
      <c r="C978" s="7"/>
      <c r="D978" s="12" t="str">
        <f aca="false">IF($C978="","",IFERROR(INDEX(품목마스터!$B$3:$B$302,MATCH($C978,품목마스터!$A$3:$A$302,0)),"미등록품번"))</f>
        <v/>
      </c>
      <c r="E978" s="12" t="str">
        <f aca="false">IF($C978="","",IFERROR(INDEX(품목마스터!$C$3:$C$302,MATCH($C978,품목마스터!$A$3:$A$302,0)),""))</f>
        <v/>
      </c>
      <c r="F978" s="12" t="str">
        <f aca="false">IF($C978="","",IFERROR(INDEX(품목마스터!$D$3:$D$302,MATCH($C978,품목마스터!$A$3:$A$302,0)),""))</f>
        <v/>
      </c>
      <c r="G978" s="9"/>
      <c r="H978" s="9"/>
      <c r="I978" s="13" t="str">
        <f aca="false">IF(OR($G978="",$H978=""),"",ROUND($G978*$H978,0))</f>
        <v/>
      </c>
      <c r="J978" s="7"/>
      <c r="K978" s="7"/>
      <c r="L978" s="14" t="str">
        <f aca="false">IF(OR($C978="",$G978=""),"",IF($B978="입고",$G978,IF($B978="출고",-$G978,$G978)))</f>
        <v/>
      </c>
      <c r="M978" s="13" t="str">
        <f aca="false">IF($C978="","",IFERROR(INDEX(품목마스터!$F$3:$F$302,MATCH($C978,품목마스터!$A$3:$A$302,0)),0)+SUMIFS($L$3:$L978,$C$3:$C978,$C978))</f>
        <v/>
      </c>
    </row>
    <row r="979" customFormat="false" ht="15" hidden="false" customHeight="true" outlineLevel="0" collapsed="false">
      <c r="A979" s="11"/>
      <c r="B979" s="7"/>
      <c r="C979" s="7"/>
      <c r="D979" s="12" t="str">
        <f aca="false">IF($C979="","",IFERROR(INDEX(품목마스터!$B$3:$B$302,MATCH($C979,품목마스터!$A$3:$A$302,0)),"미등록품번"))</f>
        <v/>
      </c>
      <c r="E979" s="12" t="str">
        <f aca="false">IF($C979="","",IFERROR(INDEX(품목마스터!$C$3:$C$302,MATCH($C979,품목마스터!$A$3:$A$302,0)),""))</f>
        <v/>
      </c>
      <c r="F979" s="12" t="str">
        <f aca="false">IF($C979="","",IFERROR(INDEX(품목마스터!$D$3:$D$302,MATCH($C979,품목마스터!$A$3:$A$302,0)),""))</f>
        <v/>
      </c>
      <c r="G979" s="9"/>
      <c r="H979" s="9"/>
      <c r="I979" s="13" t="str">
        <f aca="false">IF(OR($G979="",$H979=""),"",ROUND($G979*$H979,0))</f>
        <v/>
      </c>
      <c r="J979" s="7"/>
      <c r="K979" s="7"/>
      <c r="L979" s="14" t="str">
        <f aca="false">IF(OR($C979="",$G979=""),"",IF($B979="입고",$G979,IF($B979="출고",-$G979,$G979)))</f>
        <v/>
      </c>
      <c r="M979" s="13" t="str">
        <f aca="false">IF($C979="","",IFERROR(INDEX(품목마스터!$F$3:$F$302,MATCH($C979,품목마스터!$A$3:$A$302,0)),0)+SUMIFS($L$3:$L979,$C$3:$C979,$C979))</f>
        <v/>
      </c>
    </row>
    <row r="980" customFormat="false" ht="15" hidden="false" customHeight="true" outlineLevel="0" collapsed="false">
      <c r="A980" s="11"/>
      <c r="B980" s="7"/>
      <c r="C980" s="7"/>
      <c r="D980" s="12" t="str">
        <f aca="false">IF($C980="","",IFERROR(INDEX(품목마스터!$B$3:$B$302,MATCH($C980,품목마스터!$A$3:$A$302,0)),"미등록품번"))</f>
        <v/>
      </c>
      <c r="E980" s="12" t="str">
        <f aca="false">IF($C980="","",IFERROR(INDEX(품목마스터!$C$3:$C$302,MATCH($C980,품목마스터!$A$3:$A$302,0)),""))</f>
        <v/>
      </c>
      <c r="F980" s="12" t="str">
        <f aca="false">IF($C980="","",IFERROR(INDEX(품목마스터!$D$3:$D$302,MATCH($C980,품목마스터!$A$3:$A$302,0)),""))</f>
        <v/>
      </c>
      <c r="G980" s="9"/>
      <c r="H980" s="9"/>
      <c r="I980" s="13" t="str">
        <f aca="false">IF(OR($G980="",$H980=""),"",ROUND($G980*$H980,0))</f>
        <v/>
      </c>
      <c r="J980" s="7"/>
      <c r="K980" s="7"/>
      <c r="L980" s="14" t="str">
        <f aca="false">IF(OR($C980="",$G980=""),"",IF($B980="입고",$G980,IF($B980="출고",-$G980,$G980)))</f>
        <v/>
      </c>
      <c r="M980" s="13" t="str">
        <f aca="false">IF($C980="","",IFERROR(INDEX(품목마스터!$F$3:$F$302,MATCH($C980,품목마스터!$A$3:$A$302,0)),0)+SUMIFS($L$3:$L980,$C$3:$C980,$C980))</f>
        <v/>
      </c>
    </row>
    <row r="981" customFormat="false" ht="15" hidden="false" customHeight="true" outlineLevel="0" collapsed="false">
      <c r="A981" s="11"/>
      <c r="B981" s="7"/>
      <c r="C981" s="7"/>
      <c r="D981" s="12" t="str">
        <f aca="false">IF($C981="","",IFERROR(INDEX(품목마스터!$B$3:$B$302,MATCH($C981,품목마스터!$A$3:$A$302,0)),"미등록품번"))</f>
        <v/>
      </c>
      <c r="E981" s="12" t="str">
        <f aca="false">IF($C981="","",IFERROR(INDEX(품목마스터!$C$3:$C$302,MATCH($C981,품목마스터!$A$3:$A$302,0)),""))</f>
        <v/>
      </c>
      <c r="F981" s="12" t="str">
        <f aca="false">IF($C981="","",IFERROR(INDEX(품목마스터!$D$3:$D$302,MATCH($C981,품목마스터!$A$3:$A$302,0)),""))</f>
        <v/>
      </c>
      <c r="G981" s="9"/>
      <c r="H981" s="9"/>
      <c r="I981" s="13" t="str">
        <f aca="false">IF(OR($G981="",$H981=""),"",ROUND($G981*$H981,0))</f>
        <v/>
      </c>
      <c r="J981" s="7"/>
      <c r="K981" s="7"/>
      <c r="L981" s="14" t="str">
        <f aca="false">IF(OR($C981="",$G981=""),"",IF($B981="입고",$G981,IF($B981="출고",-$G981,$G981)))</f>
        <v/>
      </c>
      <c r="M981" s="13" t="str">
        <f aca="false">IF($C981="","",IFERROR(INDEX(품목마스터!$F$3:$F$302,MATCH($C981,품목마스터!$A$3:$A$302,0)),0)+SUMIFS($L$3:$L981,$C$3:$C981,$C981))</f>
        <v/>
      </c>
    </row>
    <row r="982" customFormat="false" ht="15" hidden="false" customHeight="true" outlineLevel="0" collapsed="false">
      <c r="A982" s="11"/>
      <c r="B982" s="7"/>
      <c r="C982" s="7"/>
      <c r="D982" s="12" t="str">
        <f aca="false">IF($C982="","",IFERROR(INDEX(품목마스터!$B$3:$B$302,MATCH($C982,품목마스터!$A$3:$A$302,0)),"미등록품번"))</f>
        <v/>
      </c>
      <c r="E982" s="12" t="str">
        <f aca="false">IF($C982="","",IFERROR(INDEX(품목마스터!$C$3:$C$302,MATCH($C982,품목마스터!$A$3:$A$302,0)),""))</f>
        <v/>
      </c>
      <c r="F982" s="12" t="str">
        <f aca="false">IF($C982="","",IFERROR(INDEX(품목마스터!$D$3:$D$302,MATCH($C982,품목마스터!$A$3:$A$302,0)),""))</f>
        <v/>
      </c>
      <c r="G982" s="9"/>
      <c r="H982" s="9"/>
      <c r="I982" s="13" t="str">
        <f aca="false">IF(OR($G982="",$H982=""),"",ROUND($G982*$H982,0))</f>
        <v/>
      </c>
      <c r="J982" s="7"/>
      <c r="K982" s="7"/>
      <c r="L982" s="14" t="str">
        <f aca="false">IF(OR($C982="",$G982=""),"",IF($B982="입고",$G982,IF($B982="출고",-$G982,$G982)))</f>
        <v/>
      </c>
      <c r="M982" s="13" t="str">
        <f aca="false">IF($C982="","",IFERROR(INDEX(품목마스터!$F$3:$F$302,MATCH($C982,품목마스터!$A$3:$A$302,0)),0)+SUMIFS($L$3:$L982,$C$3:$C982,$C982))</f>
        <v/>
      </c>
    </row>
    <row r="983" customFormat="false" ht="15" hidden="false" customHeight="true" outlineLevel="0" collapsed="false">
      <c r="A983" s="11"/>
      <c r="B983" s="7"/>
      <c r="C983" s="7"/>
      <c r="D983" s="12" t="str">
        <f aca="false">IF($C983="","",IFERROR(INDEX(품목마스터!$B$3:$B$302,MATCH($C983,품목마스터!$A$3:$A$302,0)),"미등록품번"))</f>
        <v/>
      </c>
      <c r="E983" s="12" t="str">
        <f aca="false">IF($C983="","",IFERROR(INDEX(품목마스터!$C$3:$C$302,MATCH($C983,품목마스터!$A$3:$A$302,0)),""))</f>
        <v/>
      </c>
      <c r="F983" s="12" t="str">
        <f aca="false">IF($C983="","",IFERROR(INDEX(품목마스터!$D$3:$D$302,MATCH($C983,품목마스터!$A$3:$A$302,0)),""))</f>
        <v/>
      </c>
      <c r="G983" s="9"/>
      <c r="H983" s="9"/>
      <c r="I983" s="13" t="str">
        <f aca="false">IF(OR($G983="",$H983=""),"",ROUND($G983*$H983,0))</f>
        <v/>
      </c>
      <c r="J983" s="7"/>
      <c r="K983" s="7"/>
      <c r="L983" s="14" t="str">
        <f aca="false">IF(OR($C983="",$G983=""),"",IF($B983="입고",$G983,IF($B983="출고",-$G983,$G983)))</f>
        <v/>
      </c>
      <c r="M983" s="13" t="str">
        <f aca="false">IF($C983="","",IFERROR(INDEX(품목마스터!$F$3:$F$302,MATCH($C983,품목마스터!$A$3:$A$302,0)),0)+SUMIFS($L$3:$L983,$C$3:$C983,$C983))</f>
        <v/>
      </c>
    </row>
    <row r="984" customFormat="false" ht="15" hidden="false" customHeight="true" outlineLevel="0" collapsed="false">
      <c r="A984" s="11"/>
      <c r="B984" s="7"/>
      <c r="C984" s="7"/>
      <c r="D984" s="12" t="str">
        <f aca="false">IF($C984="","",IFERROR(INDEX(품목마스터!$B$3:$B$302,MATCH($C984,품목마스터!$A$3:$A$302,0)),"미등록품번"))</f>
        <v/>
      </c>
      <c r="E984" s="12" t="str">
        <f aca="false">IF($C984="","",IFERROR(INDEX(품목마스터!$C$3:$C$302,MATCH($C984,품목마스터!$A$3:$A$302,0)),""))</f>
        <v/>
      </c>
      <c r="F984" s="12" t="str">
        <f aca="false">IF($C984="","",IFERROR(INDEX(품목마스터!$D$3:$D$302,MATCH($C984,품목마스터!$A$3:$A$302,0)),""))</f>
        <v/>
      </c>
      <c r="G984" s="9"/>
      <c r="H984" s="9"/>
      <c r="I984" s="13" t="str">
        <f aca="false">IF(OR($G984="",$H984=""),"",ROUND($G984*$H984,0))</f>
        <v/>
      </c>
      <c r="J984" s="7"/>
      <c r="K984" s="7"/>
      <c r="L984" s="14" t="str">
        <f aca="false">IF(OR($C984="",$G984=""),"",IF($B984="입고",$G984,IF($B984="출고",-$G984,$G984)))</f>
        <v/>
      </c>
      <c r="M984" s="13" t="str">
        <f aca="false">IF($C984="","",IFERROR(INDEX(품목마스터!$F$3:$F$302,MATCH($C984,품목마스터!$A$3:$A$302,0)),0)+SUMIFS($L$3:$L984,$C$3:$C984,$C984))</f>
        <v/>
      </c>
    </row>
    <row r="985" customFormat="false" ht="15" hidden="false" customHeight="true" outlineLevel="0" collapsed="false">
      <c r="A985" s="11"/>
      <c r="B985" s="7"/>
      <c r="C985" s="7"/>
      <c r="D985" s="12" t="str">
        <f aca="false">IF($C985="","",IFERROR(INDEX(품목마스터!$B$3:$B$302,MATCH($C985,품목마스터!$A$3:$A$302,0)),"미등록품번"))</f>
        <v/>
      </c>
      <c r="E985" s="12" t="str">
        <f aca="false">IF($C985="","",IFERROR(INDEX(품목마스터!$C$3:$C$302,MATCH($C985,품목마스터!$A$3:$A$302,0)),""))</f>
        <v/>
      </c>
      <c r="F985" s="12" t="str">
        <f aca="false">IF($C985="","",IFERROR(INDEX(품목마스터!$D$3:$D$302,MATCH($C985,품목마스터!$A$3:$A$302,0)),""))</f>
        <v/>
      </c>
      <c r="G985" s="9"/>
      <c r="H985" s="9"/>
      <c r="I985" s="13" t="str">
        <f aca="false">IF(OR($G985="",$H985=""),"",ROUND($G985*$H985,0))</f>
        <v/>
      </c>
      <c r="J985" s="7"/>
      <c r="K985" s="7"/>
      <c r="L985" s="14" t="str">
        <f aca="false">IF(OR($C985="",$G985=""),"",IF($B985="입고",$G985,IF($B985="출고",-$G985,$G985)))</f>
        <v/>
      </c>
      <c r="M985" s="13" t="str">
        <f aca="false">IF($C985="","",IFERROR(INDEX(품목마스터!$F$3:$F$302,MATCH($C985,품목마스터!$A$3:$A$302,0)),0)+SUMIFS($L$3:$L985,$C$3:$C985,$C985))</f>
        <v/>
      </c>
    </row>
    <row r="986" customFormat="false" ht="15" hidden="false" customHeight="true" outlineLevel="0" collapsed="false">
      <c r="A986" s="11"/>
      <c r="B986" s="7"/>
      <c r="C986" s="7"/>
      <c r="D986" s="12" t="str">
        <f aca="false">IF($C986="","",IFERROR(INDEX(품목마스터!$B$3:$B$302,MATCH($C986,품목마스터!$A$3:$A$302,0)),"미등록품번"))</f>
        <v/>
      </c>
      <c r="E986" s="12" t="str">
        <f aca="false">IF($C986="","",IFERROR(INDEX(품목마스터!$C$3:$C$302,MATCH($C986,품목마스터!$A$3:$A$302,0)),""))</f>
        <v/>
      </c>
      <c r="F986" s="12" t="str">
        <f aca="false">IF($C986="","",IFERROR(INDEX(품목마스터!$D$3:$D$302,MATCH($C986,품목마스터!$A$3:$A$302,0)),""))</f>
        <v/>
      </c>
      <c r="G986" s="9"/>
      <c r="H986" s="9"/>
      <c r="I986" s="13" t="str">
        <f aca="false">IF(OR($G986="",$H986=""),"",ROUND($G986*$H986,0))</f>
        <v/>
      </c>
      <c r="J986" s="7"/>
      <c r="K986" s="7"/>
      <c r="L986" s="14" t="str">
        <f aca="false">IF(OR($C986="",$G986=""),"",IF($B986="입고",$G986,IF($B986="출고",-$G986,$G986)))</f>
        <v/>
      </c>
      <c r="M986" s="13" t="str">
        <f aca="false">IF($C986="","",IFERROR(INDEX(품목마스터!$F$3:$F$302,MATCH($C986,품목마스터!$A$3:$A$302,0)),0)+SUMIFS($L$3:$L986,$C$3:$C986,$C986))</f>
        <v/>
      </c>
    </row>
    <row r="987" customFormat="false" ht="15" hidden="false" customHeight="true" outlineLevel="0" collapsed="false">
      <c r="A987" s="11"/>
      <c r="B987" s="7"/>
      <c r="C987" s="7"/>
      <c r="D987" s="12" t="str">
        <f aca="false">IF($C987="","",IFERROR(INDEX(품목마스터!$B$3:$B$302,MATCH($C987,품목마스터!$A$3:$A$302,0)),"미등록품번"))</f>
        <v/>
      </c>
      <c r="E987" s="12" t="str">
        <f aca="false">IF($C987="","",IFERROR(INDEX(품목마스터!$C$3:$C$302,MATCH($C987,품목마스터!$A$3:$A$302,0)),""))</f>
        <v/>
      </c>
      <c r="F987" s="12" t="str">
        <f aca="false">IF($C987="","",IFERROR(INDEX(품목마스터!$D$3:$D$302,MATCH($C987,품목마스터!$A$3:$A$302,0)),""))</f>
        <v/>
      </c>
      <c r="G987" s="9"/>
      <c r="H987" s="9"/>
      <c r="I987" s="13" t="str">
        <f aca="false">IF(OR($G987="",$H987=""),"",ROUND($G987*$H987,0))</f>
        <v/>
      </c>
      <c r="J987" s="7"/>
      <c r="K987" s="7"/>
      <c r="L987" s="14" t="str">
        <f aca="false">IF(OR($C987="",$G987=""),"",IF($B987="입고",$G987,IF($B987="출고",-$G987,$G987)))</f>
        <v/>
      </c>
      <c r="M987" s="13" t="str">
        <f aca="false">IF($C987="","",IFERROR(INDEX(품목마스터!$F$3:$F$302,MATCH($C987,품목마스터!$A$3:$A$302,0)),0)+SUMIFS($L$3:$L987,$C$3:$C987,$C987))</f>
        <v/>
      </c>
    </row>
    <row r="988" customFormat="false" ht="15" hidden="false" customHeight="true" outlineLevel="0" collapsed="false">
      <c r="A988" s="11"/>
      <c r="B988" s="7"/>
      <c r="C988" s="7"/>
      <c r="D988" s="12" t="str">
        <f aca="false">IF($C988="","",IFERROR(INDEX(품목마스터!$B$3:$B$302,MATCH($C988,품목마스터!$A$3:$A$302,0)),"미등록품번"))</f>
        <v/>
      </c>
      <c r="E988" s="12" t="str">
        <f aca="false">IF($C988="","",IFERROR(INDEX(품목마스터!$C$3:$C$302,MATCH($C988,품목마스터!$A$3:$A$302,0)),""))</f>
        <v/>
      </c>
      <c r="F988" s="12" t="str">
        <f aca="false">IF($C988="","",IFERROR(INDEX(품목마스터!$D$3:$D$302,MATCH($C988,품목마스터!$A$3:$A$302,0)),""))</f>
        <v/>
      </c>
      <c r="G988" s="9"/>
      <c r="H988" s="9"/>
      <c r="I988" s="13" t="str">
        <f aca="false">IF(OR($G988="",$H988=""),"",ROUND($G988*$H988,0))</f>
        <v/>
      </c>
      <c r="J988" s="7"/>
      <c r="K988" s="7"/>
      <c r="L988" s="14" t="str">
        <f aca="false">IF(OR($C988="",$G988=""),"",IF($B988="입고",$G988,IF($B988="출고",-$G988,$G988)))</f>
        <v/>
      </c>
      <c r="M988" s="13" t="str">
        <f aca="false">IF($C988="","",IFERROR(INDEX(품목마스터!$F$3:$F$302,MATCH($C988,품목마스터!$A$3:$A$302,0)),0)+SUMIFS($L$3:$L988,$C$3:$C988,$C988))</f>
        <v/>
      </c>
    </row>
    <row r="989" customFormat="false" ht="15" hidden="false" customHeight="true" outlineLevel="0" collapsed="false">
      <c r="A989" s="11"/>
      <c r="B989" s="7"/>
      <c r="C989" s="7"/>
      <c r="D989" s="12" t="str">
        <f aca="false">IF($C989="","",IFERROR(INDEX(품목마스터!$B$3:$B$302,MATCH($C989,품목마스터!$A$3:$A$302,0)),"미등록품번"))</f>
        <v/>
      </c>
      <c r="E989" s="12" t="str">
        <f aca="false">IF($C989="","",IFERROR(INDEX(품목마스터!$C$3:$C$302,MATCH($C989,품목마스터!$A$3:$A$302,0)),""))</f>
        <v/>
      </c>
      <c r="F989" s="12" t="str">
        <f aca="false">IF($C989="","",IFERROR(INDEX(품목마스터!$D$3:$D$302,MATCH($C989,품목마스터!$A$3:$A$302,0)),""))</f>
        <v/>
      </c>
      <c r="G989" s="9"/>
      <c r="H989" s="9"/>
      <c r="I989" s="13" t="str">
        <f aca="false">IF(OR($G989="",$H989=""),"",ROUND($G989*$H989,0))</f>
        <v/>
      </c>
      <c r="J989" s="7"/>
      <c r="K989" s="7"/>
      <c r="L989" s="14" t="str">
        <f aca="false">IF(OR($C989="",$G989=""),"",IF($B989="입고",$G989,IF($B989="출고",-$G989,$G989)))</f>
        <v/>
      </c>
      <c r="M989" s="13" t="str">
        <f aca="false">IF($C989="","",IFERROR(INDEX(품목마스터!$F$3:$F$302,MATCH($C989,품목마스터!$A$3:$A$302,0)),0)+SUMIFS($L$3:$L989,$C$3:$C989,$C989))</f>
        <v/>
      </c>
    </row>
    <row r="990" customFormat="false" ht="15" hidden="false" customHeight="true" outlineLevel="0" collapsed="false">
      <c r="A990" s="11"/>
      <c r="B990" s="7"/>
      <c r="C990" s="7"/>
      <c r="D990" s="12" t="str">
        <f aca="false">IF($C990="","",IFERROR(INDEX(품목마스터!$B$3:$B$302,MATCH($C990,품목마스터!$A$3:$A$302,0)),"미등록품번"))</f>
        <v/>
      </c>
      <c r="E990" s="12" t="str">
        <f aca="false">IF($C990="","",IFERROR(INDEX(품목마스터!$C$3:$C$302,MATCH($C990,품목마스터!$A$3:$A$302,0)),""))</f>
        <v/>
      </c>
      <c r="F990" s="12" t="str">
        <f aca="false">IF($C990="","",IFERROR(INDEX(품목마스터!$D$3:$D$302,MATCH($C990,품목마스터!$A$3:$A$302,0)),""))</f>
        <v/>
      </c>
      <c r="G990" s="9"/>
      <c r="H990" s="9"/>
      <c r="I990" s="13" t="str">
        <f aca="false">IF(OR($G990="",$H990=""),"",ROUND($G990*$H990,0))</f>
        <v/>
      </c>
      <c r="J990" s="7"/>
      <c r="K990" s="7"/>
      <c r="L990" s="14" t="str">
        <f aca="false">IF(OR($C990="",$G990=""),"",IF($B990="입고",$G990,IF($B990="출고",-$G990,$G990)))</f>
        <v/>
      </c>
      <c r="M990" s="13" t="str">
        <f aca="false">IF($C990="","",IFERROR(INDEX(품목마스터!$F$3:$F$302,MATCH($C990,품목마스터!$A$3:$A$302,0)),0)+SUMIFS($L$3:$L990,$C$3:$C990,$C990))</f>
        <v/>
      </c>
    </row>
    <row r="991" customFormat="false" ht="15" hidden="false" customHeight="true" outlineLevel="0" collapsed="false">
      <c r="A991" s="11"/>
      <c r="B991" s="7"/>
      <c r="C991" s="7"/>
      <c r="D991" s="12" t="str">
        <f aca="false">IF($C991="","",IFERROR(INDEX(품목마스터!$B$3:$B$302,MATCH($C991,품목마스터!$A$3:$A$302,0)),"미등록품번"))</f>
        <v/>
      </c>
      <c r="E991" s="12" t="str">
        <f aca="false">IF($C991="","",IFERROR(INDEX(품목마스터!$C$3:$C$302,MATCH($C991,품목마스터!$A$3:$A$302,0)),""))</f>
        <v/>
      </c>
      <c r="F991" s="12" t="str">
        <f aca="false">IF($C991="","",IFERROR(INDEX(품목마스터!$D$3:$D$302,MATCH($C991,품목마스터!$A$3:$A$302,0)),""))</f>
        <v/>
      </c>
      <c r="G991" s="9"/>
      <c r="H991" s="9"/>
      <c r="I991" s="13" t="str">
        <f aca="false">IF(OR($G991="",$H991=""),"",ROUND($G991*$H991,0))</f>
        <v/>
      </c>
      <c r="J991" s="7"/>
      <c r="K991" s="7"/>
      <c r="L991" s="14" t="str">
        <f aca="false">IF(OR($C991="",$G991=""),"",IF($B991="입고",$G991,IF($B991="출고",-$G991,$G991)))</f>
        <v/>
      </c>
      <c r="M991" s="13" t="str">
        <f aca="false">IF($C991="","",IFERROR(INDEX(품목마스터!$F$3:$F$302,MATCH($C991,품목마스터!$A$3:$A$302,0)),0)+SUMIFS($L$3:$L991,$C$3:$C991,$C991))</f>
        <v/>
      </c>
    </row>
    <row r="992" customFormat="false" ht="15" hidden="false" customHeight="true" outlineLevel="0" collapsed="false">
      <c r="A992" s="11"/>
      <c r="B992" s="7"/>
      <c r="C992" s="7"/>
      <c r="D992" s="12" t="str">
        <f aca="false">IF($C992="","",IFERROR(INDEX(품목마스터!$B$3:$B$302,MATCH($C992,품목마스터!$A$3:$A$302,0)),"미등록품번"))</f>
        <v/>
      </c>
      <c r="E992" s="12" t="str">
        <f aca="false">IF($C992="","",IFERROR(INDEX(품목마스터!$C$3:$C$302,MATCH($C992,품목마스터!$A$3:$A$302,0)),""))</f>
        <v/>
      </c>
      <c r="F992" s="12" t="str">
        <f aca="false">IF($C992="","",IFERROR(INDEX(품목마스터!$D$3:$D$302,MATCH($C992,품목마스터!$A$3:$A$302,0)),""))</f>
        <v/>
      </c>
      <c r="G992" s="9"/>
      <c r="H992" s="9"/>
      <c r="I992" s="13" t="str">
        <f aca="false">IF(OR($G992="",$H992=""),"",ROUND($G992*$H992,0))</f>
        <v/>
      </c>
      <c r="J992" s="7"/>
      <c r="K992" s="7"/>
      <c r="L992" s="14" t="str">
        <f aca="false">IF(OR($C992="",$G992=""),"",IF($B992="입고",$G992,IF($B992="출고",-$G992,$G992)))</f>
        <v/>
      </c>
      <c r="M992" s="13" t="str">
        <f aca="false">IF($C992="","",IFERROR(INDEX(품목마스터!$F$3:$F$302,MATCH($C992,품목마스터!$A$3:$A$302,0)),0)+SUMIFS($L$3:$L992,$C$3:$C992,$C992))</f>
        <v/>
      </c>
    </row>
    <row r="993" customFormat="false" ht="15" hidden="false" customHeight="true" outlineLevel="0" collapsed="false">
      <c r="A993" s="11"/>
      <c r="B993" s="7"/>
      <c r="C993" s="7"/>
      <c r="D993" s="12" t="str">
        <f aca="false">IF($C993="","",IFERROR(INDEX(품목마스터!$B$3:$B$302,MATCH($C993,품목마스터!$A$3:$A$302,0)),"미등록품번"))</f>
        <v/>
      </c>
      <c r="E993" s="12" t="str">
        <f aca="false">IF($C993="","",IFERROR(INDEX(품목마스터!$C$3:$C$302,MATCH($C993,품목마스터!$A$3:$A$302,0)),""))</f>
        <v/>
      </c>
      <c r="F993" s="12" t="str">
        <f aca="false">IF($C993="","",IFERROR(INDEX(품목마스터!$D$3:$D$302,MATCH($C993,품목마스터!$A$3:$A$302,0)),""))</f>
        <v/>
      </c>
      <c r="G993" s="9"/>
      <c r="H993" s="9"/>
      <c r="I993" s="13" t="str">
        <f aca="false">IF(OR($G993="",$H993=""),"",ROUND($G993*$H993,0))</f>
        <v/>
      </c>
      <c r="J993" s="7"/>
      <c r="K993" s="7"/>
      <c r="L993" s="14" t="str">
        <f aca="false">IF(OR($C993="",$G993=""),"",IF($B993="입고",$G993,IF($B993="출고",-$G993,$G993)))</f>
        <v/>
      </c>
      <c r="M993" s="13" t="str">
        <f aca="false">IF($C993="","",IFERROR(INDEX(품목마스터!$F$3:$F$302,MATCH($C993,품목마스터!$A$3:$A$302,0)),0)+SUMIFS($L$3:$L993,$C$3:$C993,$C993))</f>
        <v/>
      </c>
    </row>
    <row r="994" customFormat="false" ht="15" hidden="false" customHeight="true" outlineLevel="0" collapsed="false">
      <c r="A994" s="11"/>
      <c r="B994" s="7"/>
      <c r="C994" s="7"/>
      <c r="D994" s="12" t="str">
        <f aca="false">IF($C994="","",IFERROR(INDEX(품목마스터!$B$3:$B$302,MATCH($C994,품목마스터!$A$3:$A$302,0)),"미등록품번"))</f>
        <v/>
      </c>
      <c r="E994" s="12" t="str">
        <f aca="false">IF($C994="","",IFERROR(INDEX(품목마스터!$C$3:$C$302,MATCH($C994,품목마스터!$A$3:$A$302,0)),""))</f>
        <v/>
      </c>
      <c r="F994" s="12" t="str">
        <f aca="false">IF($C994="","",IFERROR(INDEX(품목마스터!$D$3:$D$302,MATCH($C994,품목마스터!$A$3:$A$302,0)),""))</f>
        <v/>
      </c>
      <c r="G994" s="9"/>
      <c r="H994" s="9"/>
      <c r="I994" s="13" t="str">
        <f aca="false">IF(OR($G994="",$H994=""),"",ROUND($G994*$H994,0))</f>
        <v/>
      </c>
      <c r="J994" s="7"/>
      <c r="K994" s="7"/>
      <c r="L994" s="14" t="str">
        <f aca="false">IF(OR($C994="",$G994=""),"",IF($B994="입고",$G994,IF($B994="출고",-$G994,$G994)))</f>
        <v/>
      </c>
      <c r="M994" s="13" t="str">
        <f aca="false">IF($C994="","",IFERROR(INDEX(품목마스터!$F$3:$F$302,MATCH($C994,품목마스터!$A$3:$A$302,0)),0)+SUMIFS($L$3:$L994,$C$3:$C994,$C994))</f>
        <v/>
      </c>
    </row>
    <row r="995" customFormat="false" ht="15" hidden="false" customHeight="true" outlineLevel="0" collapsed="false">
      <c r="A995" s="11"/>
      <c r="B995" s="7"/>
      <c r="C995" s="7"/>
      <c r="D995" s="12" t="str">
        <f aca="false">IF($C995="","",IFERROR(INDEX(품목마스터!$B$3:$B$302,MATCH($C995,품목마스터!$A$3:$A$302,0)),"미등록품번"))</f>
        <v/>
      </c>
      <c r="E995" s="12" t="str">
        <f aca="false">IF($C995="","",IFERROR(INDEX(품목마스터!$C$3:$C$302,MATCH($C995,품목마스터!$A$3:$A$302,0)),""))</f>
        <v/>
      </c>
      <c r="F995" s="12" t="str">
        <f aca="false">IF($C995="","",IFERROR(INDEX(품목마스터!$D$3:$D$302,MATCH($C995,품목마스터!$A$3:$A$302,0)),""))</f>
        <v/>
      </c>
      <c r="G995" s="9"/>
      <c r="H995" s="9"/>
      <c r="I995" s="13" t="str">
        <f aca="false">IF(OR($G995="",$H995=""),"",ROUND($G995*$H995,0))</f>
        <v/>
      </c>
      <c r="J995" s="7"/>
      <c r="K995" s="7"/>
      <c r="L995" s="14" t="str">
        <f aca="false">IF(OR($C995="",$G995=""),"",IF($B995="입고",$G995,IF($B995="출고",-$G995,$G995)))</f>
        <v/>
      </c>
      <c r="M995" s="13" t="str">
        <f aca="false">IF($C995="","",IFERROR(INDEX(품목마스터!$F$3:$F$302,MATCH($C995,품목마스터!$A$3:$A$302,0)),0)+SUMIFS($L$3:$L995,$C$3:$C995,$C995))</f>
        <v/>
      </c>
    </row>
    <row r="996" customFormat="false" ht="15" hidden="false" customHeight="true" outlineLevel="0" collapsed="false">
      <c r="A996" s="11"/>
      <c r="B996" s="7"/>
      <c r="C996" s="7"/>
      <c r="D996" s="12" t="str">
        <f aca="false">IF($C996="","",IFERROR(INDEX(품목마스터!$B$3:$B$302,MATCH($C996,품목마스터!$A$3:$A$302,0)),"미등록품번"))</f>
        <v/>
      </c>
      <c r="E996" s="12" t="str">
        <f aca="false">IF($C996="","",IFERROR(INDEX(품목마스터!$C$3:$C$302,MATCH($C996,품목마스터!$A$3:$A$302,0)),""))</f>
        <v/>
      </c>
      <c r="F996" s="12" t="str">
        <f aca="false">IF($C996="","",IFERROR(INDEX(품목마스터!$D$3:$D$302,MATCH($C996,품목마스터!$A$3:$A$302,0)),""))</f>
        <v/>
      </c>
      <c r="G996" s="9"/>
      <c r="H996" s="9"/>
      <c r="I996" s="13" t="str">
        <f aca="false">IF(OR($G996="",$H996=""),"",ROUND($G996*$H996,0))</f>
        <v/>
      </c>
      <c r="J996" s="7"/>
      <c r="K996" s="7"/>
      <c r="L996" s="14" t="str">
        <f aca="false">IF(OR($C996="",$G996=""),"",IF($B996="입고",$G996,IF($B996="출고",-$G996,$G996)))</f>
        <v/>
      </c>
      <c r="M996" s="13" t="str">
        <f aca="false">IF($C996="","",IFERROR(INDEX(품목마스터!$F$3:$F$302,MATCH($C996,품목마스터!$A$3:$A$302,0)),0)+SUMIFS($L$3:$L996,$C$3:$C996,$C996))</f>
        <v/>
      </c>
    </row>
    <row r="997" customFormat="false" ht="15" hidden="false" customHeight="true" outlineLevel="0" collapsed="false">
      <c r="A997" s="11"/>
      <c r="B997" s="7"/>
      <c r="C997" s="7"/>
      <c r="D997" s="12" t="str">
        <f aca="false">IF($C997="","",IFERROR(INDEX(품목마스터!$B$3:$B$302,MATCH($C997,품목마스터!$A$3:$A$302,0)),"미등록품번"))</f>
        <v/>
      </c>
      <c r="E997" s="12" t="str">
        <f aca="false">IF($C997="","",IFERROR(INDEX(품목마스터!$C$3:$C$302,MATCH($C997,품목마스터!$A$3:$A$302,0)),""))</f>
        <v/>
      </c>
      <c r="F997" s="12" t="str">
        <f aca="false">IF($C997="","",IFERROR(INDEX(품목마스터!$D$3:$D$302,MATCH($C997,품목마스터!$A$3:$A$302,0)),""))</f>
        <v/>
      </c>
      <c r="G997" s="9"/>
      <c r="H997" s="9"/>
      <c r="I997" s="13" t="str">
        <f aca="false">IF(OR($G997="",$H997=""),"",ROUND($G997*$H997,0))</f>
        <v/>
      </c>
      <c r="J997" s="7"/>
      <c r="K997" s="7"/>
      <c r="L997" s="14" t="str">
        <f aca="false">IF(OR($C997="",$G997=""),"",IF($B997="입고",$G997,IF($B997="출고",-$G997,$G997)))</f>
        <v/>
      </c>
      <c r="M997" s="13" t="str">
        <f aca="false">IF($C997="","",IFERROR(INDEX(품목마스터!$F$3:$F$302,MATCH($C997,품목마스터!$A$3:$A$302,0)),0)+SUMIFS($L$3:$L997,$C$3:$C997,$C997))</f>
        <v/>
      </c>
    </row>
    <row r="998" customFormat="false" ht="15" hidden="false" customHeight="true" outlineLevel="0" collapsed="false">
      <c r="A998" s="11"/>
      <c r="B998" s="7"/>
      <c r="C998" s="7"/>
      <c r="D998" s="12" t="str">
        <f aca="false">IF($C998="","",IFERROR(INDEX(품목마스터!$B$3:$B$302,MATCH($C998,품목마스터!$A$3:$A$302,0)),"미등록품번"))</f>
        <v/>
      </c>
      <c r="E998" s="12" t="str">
        <f aca="false">IF($C998="","",IFERROR(INDEX(품목마스터!$C$3:$C$302,MATCH($C998,품목마스터!$A$3:$A$302,0)),""))</f>
        <v/>
      </c>
      <c r="F998" s="12" t="str">
        <f aca="false">IF($C998="","",IFERROR(INDEX(품목마스터!$D$3:$D$302,MATCH($C998,품목마스터!$A$3:$A$302,0)),""))</f>
        <v/>
      </c>
      <c r="G998" s="9"/>
      <c r="H998" s="9"/>
      <c r="I998" s="13" t="str">
        <f aca="false">IF(OR($G998="",$H998=""),"",ROUND($G998*$H998,0))</f>
        <v/>
      </c>
      <c r="J998" s="7"/>
      <c r="K998" s="7"/>
      <c r="L998" s="14" t="str">
        <f aca="false">IF(OR($C998="",$G998=""),"",IF($B998="입고",$G998,IF($B998="출고",-$G998,$G998)))</f>
        <v/>
      </c>
      <c r="M998" s="13" t="str">
        <f aca="false">IF($C998="","",IFERROR(INDEX(품목마스터!$F$3:$F$302,MATCH($C998,품목마스터!$A$3:$A$302,0)),0)+SUMIFS($L$3:$L998,$C$3:$C998,$C998))</f>
        <v/>
      </c>
    </row>
    <row r="999" customFormat="false" ht="15" hidden="false" customHeight="true" outlineLevel="0" collapsed="false">
      <c r="A999" s="11"/>
      <c r="B999" s="7"/>
      <c r="C999" s="7"/>
      <c r="D999" s="12" t="str">
        <f aca="false">IF($C999="","",IFERROR(INDEX(품목마스터!$B$3:$B$302,MATCH($C999,품목마스터!$A$3:$A$302,0)),"미등록품번"))</f>
        <v/>
      </c>
      <c r="E999" s="12" t="str">
        <f aca="false">IF($C999="","",IFERROR(INDEX(품목마스터!$C$3:$C$302,MATCH($C999,품목마스터!$A$3:$A$302,0)),""))</f>
        <v/>
      </c>
      <c r="F999" s="12" t="str">
        <f aca="false">IF($C999="","",IFERROR(INDEX(품목마스터!$D$3:$D$302,MATCH($C999,품목마스터!$A$3:$A$302,0)),""))</f>
        <v/>
      </c>
      <c r="G999" s="9"/>
      <c r="H999" s="9"/>
      <c r="I999" s="13" t="str">
        <f aca="false">IF(OR($G999="",$H999=""),"",ROUND($G999*$H999,0))</f>
        <v/>
      </c>
      <c r="J999" s="7"/>
      <c r="K999" s="7"/>
      <c r="L999" s="14" t="str">
        <f aca="false">IF(OR($C999="",$G999=""),"",IF($B999="입고",$G999,IF($B999="출고",-$G999,$G999)))</f>
        <v/>
      </c>
      <c r="M999" s="13" t="str">
        <f aca="false">IF($C999="","",IFERROR(INDEX(품목마스터!$F$3:$F$302,MATCH($C999,품목마스터!$A$3:$A$302,0)),0)+SUMIFS($L$3:$L999,$C$3:$C999,$C999))</f>
        <v/>
      </c>
    </row>
    <row r="1000" customFormat="false" ht="15" hidden="false" customHeight="true" outlineLevel="0" collapsed="false">
      <c r="A1000" s="11"/>
      <c r="B1000" s="7"/>
      <c r="C1000" s="7"/>
      <c r="D1000" s="12" t="str">
        <f aca="false">IF($C1000="","",IFERROR(INDEX(품목마스터!$B$3:$B$302,MATCH($C1000,품목마스터!$A$3:$A$302,0)),"미등록품번"))</f>
        <v/>
      </c>
      <c r="E1000" s="12" t="str">
        <f aca="false">IF($C1000="","",IFERROR(INDEX(품목마스터!$C$3:$C$302,MATCH($C1000,품목마스터!$A$3:$A$302,0)),""))</f>
        <v/>
      </c>
      <c r="F1000" s="12" t="str">
        <f aca="false">IF($C1000="","",IFERROR(INDEX(품목마스터!$D$3:$D$302,MATCH($C1000,품목마스터!$A$3:$A$302,0)),""))</f>
        <v/>
      </c>
      <c r="G1000" s="9"/>
      <c r="H1000" s="9"/>
      <c r="I1000" s="13" t="str">
        <f aca="false">IF(OR($G1000="",$H1000=""),"",ROUND($G1000*$H1000,0))</f>
        <v/>
      </c>
      <c r="J1000" s="7"/>
      <c r="K1000" s="7"/>
      <c r="L1000" s="14" t="str">
        <f aca="false">IF(OR($C1000="",$G1000=""),"",IF($B1000="입고",$G1000,IF($B1000="출고",-$G1000,$G1000)))</f>
        <v/>
      </c>
      <c r="M1000" s="13" t="str">
        <f aca="false">IF($C1000="","",IFERROR(INDEX(품목마스터!$F$3:$F$302,MATCH($C1000,품목마스터!$A$3:$A$302,0)),0)+SUMIFS($L$3:$L1000,$C$3:$C1000,$C1000))</f>
        <v/>
      </c>
    </row>
    <row r="1001" customFormat="false" ht="15" hidden="false" customHeight="true" outlineLevel="0" collapsed="false">
      <c r="A1001" s="11"/>
      <c r="B1001" s="7"/>
      <c r="C1001" s="7"/>
      <c r="D1001" s="12" t="str">
        <f aca="false">IF($C1001="","",IFERROR(INDEX(품목마스터!$B$3:$B$302,MATCH($C1001,품목마스터!$A$3:$A$302,0)),"미등록품번"))</f>
        <v/>
      </c>
      <c r="E1001" s="12" t="str">
        <f aca="false">IF($C1001="","",IFERROR(INDEX(품목마스터!$C$3:$C$302,MATCH($C1001,품목마스터!$A$3:$A$302,0)),""))</f>
        <v/>
      </c>
      <c r="F1001" s="12" t="str">
        <f aca="false">IF($C1001="","",IFERROR(INDEX(품목마스터!$D$3:$D$302,MATCH($C1001,품목마스터!$A$3:$A$302,0)),""))</f>
        <v/>
      </c>
      <c r="G1001" s="9"/>
      <c r="H1001" s="9"/>
      <c r="I1001" s="13" t="str">
        <f aca="false">IF(OR($G1001="",$H1001=""),"",ROUND($G1001*$H1001,0))</f>
        <v/>
      </c>
      <c r="J1001" s="7"/>
      <c r="K1001" s="7"/>
      <c r="L1001" s="14" t="str">
        <f aca="false">IF(OR($C1001="",$G1001=""),"",IF($B1001="입고",$G1001,IF($B1001="출고",-$G1001,$G1001)))</f>
        <v/>
      </c>
      <c r="M1001" s="13" t="str">
        <f aca="false">IF($C1001="","",IFERROR(INDEX(품목마스터!$F$3:$F$302,MATCH($C1001,품목마스터!$A$3:$A$302,0)),0)+SUMIFS($L$3:$L1001,$C$3:$C1001,$C1001))</f>
        <v/>
      </c>
    </row>
    <row r="1002" customFormat="false" ht="15" hidden="false" customHeight="true" outlineLevel="0" collapsed="false">
      <c r="A1002" s="11"/>
      <c r="B1002" s="7"/>
      <c r="C1002" s="7"/>
      <c r="D1002" s="12" t="str">
        <f aca="false">IF($C1002="","",IFERROR(INDEX(품목마스터!$B$3:$B$302,MATCH($C1002,품목마스터!$A$3:$A$302,0)),"미등록품번"))</f>
        <v/>
      </c>
      <c r="E1002" s="12" t="str">
        <f aca="false">IF($C1002="","",IFERROR(INDEX(품목마스터!$C$3:$C$302,MATCH($C1002,품목마스터!$A$3:$A$302,0)),""))</f>
        <v/>
      </c>
      <c r="F1002" s="12" t="str">
        <f aca="false">IF($C1002="","",IFERROR(INDEX(품목마스터!$D$3:$D$302,MATCH($C1002,품목마스터!$A$3:$A$302,0)),""))</f>
        <v/>
      </c>
      <c r="G1002" s="9"/>
      <c r="H1002" s="9"/>
      <c r="I1002" s="13" t="str">
        <f aca="false">IF(OR($G1002="",$H1002=""),"",ROUND($G1002*$H1002,0))</f>
        <v/>
      </c>
      <c r="J1002" s="7"/>
      <c r="K1002" s="7"/>
      <c r="L1002" s="14" t="str">
        <f aca="false">IF(OR($C1002="",$G1002=""),"",IF($B1002="입고",$G1002,IF($B1002="출고",-$G1002,$G1002)))</f>
        <v/>
      </c>
      <c r="M1002" s="13" t="str">
        <f aca="false">IF($C1002="","",IFERROR(INDEX(품목마스터!$F$3:$F$302,MATCH($C1002,품목마스터!$A$3:$A$302,0)),0)+SUMIFS($L$3:$L1002,$C$3:$C1002,$C1002))</f>
        <v/>
      </c>
    </row>
    <row r="1004" customFormat="false" ht="15" hidden="false" customHeight="true" outlineLevel="0" collapsed="false">
      <c r="A1004" s="15" t="s">
        <v>60</v>
      </c>
    </row>
    <row r="1005" customFormat="false" ht="15" hidden="false" customHeight="true" outlineLevel="0" collapsed="false">
      <c r="A1005" s="5" t="s">
        <v>61</v>
      </c>
    </row>
  </sheetData>
  <mergeCells count="1">
    <mergeCell ref="A1:M1"/>
  </mergeCells>
  <conditionalFormatting sqref="A3:M1002">
    <cfRule type="expression" priority="2" aboveAverage="0" equalAverage="0" bottom="0" percent="0" rank="0" text="" dxfId="0">
      <formula>AND($M3&lt;&gt;"",$M3&lt;0)</formula>
    </cfRule>
  </conditionalFormatting>
  <dataValidations count="2">
    <dataValidation allowBlank="true" errorStyle="stop" operator="between" showDropDown="false" showErrorMessage="false" showInputMessage="false" sqref="B3:B1002" type="list">
      <formula1>"입고,출고,조정"</formula1>
      <formula2>0</formula2>
    </dataValidation>
    <dataValidation allowBlank="true" errorStyle="stop" operator="between" showDropDown="false" showErrorMessage="false" showInputMessage="false" sqref="C3:C1002" type="list">
      <formula1>품목마스터!$A$3:$A$302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3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9"/>
    <col collapsed="false" customWidth="true" hidden="false" outlineLevel="0" max="9" min="6" style="1" width="12"/>
    <col collapsed="false" customWidth="true" hidden="false" outlineLevel="0" max="10" min="10" style="1" width="22"/>
  </cols>
  <sheetData>
    <row r="1" customFormat="false" ht="25.5" hidden="false" customHeight="true" outlineLevel="0" collapsed="false">
      <c r="A1" s="2" t="s">
        <v>62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H2" s="5" t="s">
        <v>63</v>
      </c>
      <c r="I2" s="5" t="s">
        <v>64</v>
      </c>
      <c r="J2" s="5" t="s">
        <v>65</v>
      </c>
    </row>
    <row r="3" customFormat="false" ht="15" hidden="false" customHeight="true" outlineLevel="0" collapsed="false">
      <c r="A3" s="3" t="s">
        <v>66</v>
      </c>
      <c r="B3" s="16" t="s">
        <v>67</v>
      </c>
      <c r="C3" s="16"/>
      <c r="D3" s="5" t="s">
        <v>68</v>
      </c>
      <c r="H3" s="17" t="b">
        <f aca="false">IF(품목마스터!$A3="",FALSE(),IF($B$3="",TRUE(),ISNUMBER(SEARCH($B$3,품목마스터!$B3&amp;" "&amp;품목마스터!$C3&amp;" "&amp;품목마스터!$A3))))</f>
        <v>1</v>
      </c>
      <c r="I3" s="5" t="n">
        <f aca="false">IF($H3=FALSE(),"",COUNTIF($H$3:$H3,TRUE()))</f>
        <v>1</v>
      </c>
      <c r="J3" s="5" t="str">
        <f aca="false">IF($I3="","","R"&amp;$I3)</f>
        <v>R1</v>
      </c>
    </row>
    <row r="4" customFormat="false" ht="16.5" hidden="false" customHeight="true" outlineLevel="0" collapsed="false">
      <c r="A4" s="3" t="s">
        <v>69</v>
      </c>
      <c r="B4" s="18" t="str">
        <f aca="false">COUNTIF($H$3:$H$302,TRUE())&amp;" 건"</f>
        <v>1 건</v>
      </c>
      <c r="H4" s="17" t="b">
        <f aca="false">IF(품목마스터!$A4="",FALSE(),IF($B$3="",TRUE(),ISNUMBER(SEARCH($B$3,품목마스터!$B4&amp;" "&amp;품목마스터!$C4&amp;" "&amp;품목마스터!$A4))))</f>
        <v>0</v>
      </c>
      <c r="I4" s="5" t="str">
        <f aca="false">IF($H4=FALSE(),"",COUNTIF($H$3:$H4,TRUE()))</f>
        <v/>
      </c>
      <c r="J4" s="5" t="str">
        <f aca="false">IF($I4="","","R"&amp;$I4)</f>
        <v/>
      </c>
    </row>
    <row r="5" customFormat="false" ht="15" hidden="false" customHeight="true" outlineLevel="0" collapsed="false">
      <c r="H5" s="17" t="b">
        <f aca="false">IF(품목마스터!$A5="",FALSE(),IF($B$3="",TRUE(),ISNUMBER(SEARCH($B$3,품목마스터!$B5&amp;" "&amp;품목마스터!$C5&amp;" "&amp;품목마스터!$A5))))</f>
        <v>0</v>
      </c>
      <c r="I5" s="5" t="str">
        <f aca="false">IF($H5=FALSE(),"",COUNTIF($H$3:$H5,TRUE()))</f>
        <v/>
      </c>
      <c r="J5" s="5" t="str">
        <f aca="false">IF($I5="","","R"&amp;$I5)</f>
        <v/>
      </c>
    </row>
    <row r="6" customFormat="false" ht="15" hidden="false" customHeight="true" outlineLevel="0" collapsed="false">
      <c r="A6" s="6" t="s">
        <v>70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71</v>
      </c>
      <c r="G6" s="6" t="s">
        <v>29</v>
      </c>
      <c r="H6" s="17" t="b">
        <f aca="false">IF(품목마스터!$A6="",FALSE(),IF($B$3="",TRUE(),ISNUMBER(SEARCH($B$3,품목마스터!$B6&amp;" "&amp;품목마스터!$C6&amp;" "&amp;품목마스터!$A6))))</f>
        <v>0</v>
      </c>
      <c r="I6" s="5" t="str">
        <f aca="false">IF($H6=FALSE(),"",COUNTIF($H$3:$H6,TRUE()))</f>
        <v/>
      </c>
      <c r="J6" s="5" t="str">
        <f aca="false">IF($I6="","","R"&amp;$I6)</f>
        <v/>
      </c>
    </row>
    <row r="7" customFormat="false" ht="15" hidden="false" customHeight="true" outlineLevel="0" collapsed="false">
      <c r="A7" s="19" t="n">
        <v>1</v>
      </c>
      <c r="B7" s="12" t="str">
        <f aca="false">IFERROR(INDEX(품목마스터!$A$3:$A$302,MATCH("R"&amp;1,품목검색!$J$3:$J$302,0)),"")</f>
        <v>A001</v>
      </c>
      <c r="C7" s="12" t="str">
        <f aca="false">IF($B7="","",IFERROR(INDEX(품목마스터!$B$3:$B$302,MATCH("R"&amp;1,품목검색!$J$3:$J$302,0)),""))</f>
        <v>육각볼트 M10</v>
      </c>
      <c r="D7" s="12" t="str">
        <f aca="false">IF($B7="","",IFERROR(INDEX(품목마스터!$C$3:$C$302,MATCH("R"&amp;1,품목검색!$J$3:$J$302,0)),""))</f>
        <v>SUS304 L30</v>
      </c>
      <c r="E7" s="12" t="str">
        <f aca="false">IF($B7="","",IFERROR(INDEX(품목마스터!$D$3:$D$302,MATCH("R"&amp;1,품목검색!$J$3:$J$302,0)),""))</f>
        <v>EA</v>
      </c>
      <c r="F7" s="13" t="n">
        <f aca="false">IF($B7="","",IFERROR(INDEX(품목마스터!$F$3:$F$302,MATCH("R"&amp;1,품목검색!$J$3:$J$302,0)),0)+SUMIFS(입출고내역!$L$3:$L$1002,입출고내역!$C$3:$C$1002,$B7))</f>
        <v>500</v>
      </c>
      <c r="G7" s="13" t="n">
        <f aca="false">IF($B7="","",IFERROR(INDEX(품목마스터!$G$3:$G$302,MATCH("R"&amp;1,품목검색!$J$3:$J$302,0)),0))</f>
        <v>100</v>
      </c>
      <c r="H7" s="17" t="b">
        <f aca="false">IF(품목마스터!$A7="",FALSE(),IF($B$3="",TRUE(),ISNUMBER(SEARCH($B$3,품목마스터!$B7&amp;" "&amp;품목마스터!$C7&amp;" "&amp;품목마스터!$A7))))</f>
        <v>0</v>
      </c>
      <c r="I7" s="5" t="str">
        <f aca="false">IF($H7=FALSE(),"",COUNTIF($H$3:$H7,TRUE()))</f>
        <v/>
      </c>
      <c r="J7" s="5" t="str">
        <f aca="false">IF($I7="","","R"&amp;$I7)</f>
        <v/>
      </c>
    </row>
    <row r="8" customFormat="false" ht="15" hidden="false" customHeight="true" outlineLevel="0" collapsed="false">
      <c r="A8" s="19" t="n">
        <v>2</v>
      </c>
      <c r="B8" s="12" t="str">
        <f aca="false">IFERROR(INDEX(품목마스터!$A$3:$A$302,MATCH("R"&amp;2,품목검색!$J$3:$J$302,0)),"")</f>
        <v/>
      </c>
      <c r="C8" s="12" t="str">
        <f aca="false">IF($B8="","",IFERROR(INDEX(품목마스터!$B$3:$B$302,MATCH("R"&amp;2,품목검색!$J$3:$J$302,0)),""))</f>
        <v/>
      </c>
      <c r="D8" s="12" t="str">
        <f aca="false">IF($B8="","",IFERROR(INDEX(품목마스터!$C$3:$C$302,MATCH("R"&amp;2,품목검색!$J$3:$J$302,0)),""))</f>
        <v/>
      </c>
      <c r="E8" s="12" t="str">
        <f aca="false">IF($B8="","",IFERROR(INDEX(품목마스터!$D$3:$D$302,MATCH("R"&amp;2,품목검색!$J$3:$J$302,0)),""))</f>
        <v/>
      </c>
      <c r="F8" s="13" t="str">
        <f aca="false">IF($B8="","",IFERROR(INDEX(품목마스터!$F$3:$F$302,MATCH("R"&amp;2,품목검색!$J$3:$J$302,0)),0)+SUMIFS(입출고내역!$L$3:$L$1002,입출고내역!$C$3:$C$1002,$B8))</f>
        <v/>
      </c>
      <c r="G8" s="13" t="str">
        <f aca="false">IF($B8="","",IFERROR(INDEX(품목마스터!$G$3:$G$302,MATCH("R"&amp;2,품목검색!$J$3:$J$302,0)),0))</f>
        <v/>
      </c>
      <c r="H8" s="17" t="b">
        <f aca="false">IF(품목마스터!$A8="",FALSE(),IF($B$3="",TRUE(),ISNUMBER(SEARCH($B$3,품목마스터!$B8&amp;" "&amp;품목마스터!$C8&amp;" "&amp;품목마스터!$A8))))</f>
        <v>0</v>
      </c>
      <c r="I8" s="5" t="str">
        <f aca="false">IF($H8=FALSE(),"",COUNTIF($H$3:$H8,TRUE()))</f>
        <v/>
      </c>
      <c r="J8" s="5" t="str">
        <f aca="false">IF($I8="","","R"&amp;$I8)</f>
        <v/>
      </c>
    </row>
    <row r="9" customFormat="false" ht="15" hidden="false" customHeight="true" outlineLevel="0" collapsed="false">
      <c r="A9" s="19" t="n">
        <v>3</v>
      </c>
      <c r="B9" s="12" t="str">
        <f aca="false">IFERROR(INDEX(품목마스터!$A$3:$A$302,MATCH("R"&amp;3,품목검색!$J$3:$J$302,0)),"")</f>
        <v/>
      </c>
      <c r="C9" s="12" t="str">
        <f aca="false">IF($B9="","",IFERROR(INDEX(품목마스터!$B$3:$B$302,MATCH("R"&amp;3,품목검색!$J$3:$J$302,0)),""))</f>
        <v/>
      </c>
      <c r="D9" s="12" t="str">
        <f aca="false">IF($B9="","",IFERROR(INDEX(품목마스터!$C$3:$C$302,MATCH("R"&amp;3,품목검색!$J$3:$J$302,0)),""))</f>
        <v/>
      </c>
      <c r="E9" s="12" t="str">
        <f aca="false">IF($B9="","",IFERROR(INDEX(품목마스터!$D$3:$D$302,MATCH("R"&amp;3,품목검색!$J$3:$J$302,0)),""))</f>
        <v/>
      </c>
      <c r="F9" s="13" t="str">
        <f aca="false">IF($B9="","",IFERROR(INDEX(품목마스터!$F$3:$F$302,MATCH("R"&amp;3,품목검색!$J$3:$J$302,0)),0)+SUMIFS(입출고내역!$L$3:$L$1002,입출고내역!$C$3:$C$1002,$B9))</f>
        <v/>
      </c>
      <c r="G9" s="13" t="str">
        <f aca="false">IF($B9="","",IFERROR(INDEX(품목마스터!$G$3:$G$302,MATCH("R"&amp;3,품목검색!$J$3:$J$302,0)),0))</f>
        <v/>
      </c>
      <c r="H9" s="17" t="b">
        <f aca="false">IF(품목마스터!$A9="",FALSE(),IF($B$3="",TRUE(),ISNUMBER(SEARCH($B$3,품목마스터!$B9&amp;" "&amp;품목마스터!$C9&amp;" "&amp;품목마스터!$A9))))</f>
        <v>0</v>
      </c>
      <c r="I9" s="5" t="str">
        <f aca="false">IF($H9=FALSE(),"",COUNTIF($H$3:$H9,TRUE()))</f>
        <v/>
      </c>
      <c r="J9" s="5" t="str">
        <f aca="false">IF($I9="","","R"&amp;$I9)</f>
        <v/>
      </c>
    </row>
    <row r="10" customFormat="false" ht="15" hidden="false" customHeight="true" outlineLevel="0" collapsed="false">
      <c r="A10" s="19" t="n">
        <v>4</v>
      </c>
      <c r="B10" s="12" t="str">
        <f aca="false">IFERROR(INDEX(품목마스터!$A$3:$A$302,MATCH("R"&amp;4,품목검색!$J$3:$J$302,0)),"")</f>
        <v/>
      </c>
      <c r="C10" s="12" t="str">
        <f aca="false">IF($B10="","",IFERROR(INDEX(품목마스터!$B$3:$B$302,MATCH("R"&amp;4,품목검색!$J$3:$J$302,0)),""))</f>
        <v/>
      </c>
      <c r="D10" s="12" t="str">
        <f aca="false">IF($B10="","",IFERROR(INDEX(품목마스터!$C$3:$C$302,MATCH("R"&amp;4,품목검색!$J$3:$J$302,0)),""))</f>
        <v/>
      </c>
      <c r="E10" s="12" t="str">
        <f aca="false">IF($B10="","",IFERROR(INDEX(품목마스터!$D$3:$D$302,MATCH("R"&amp;4,품목검색!$J$3:$J$302,0)),""))</f>
        <v/>
      </c>
      <c r="F10" s="13" t="str">
        <f aca="false">IF($B10="","",IFERROR(INDEX(품목마스터!$F$3:$F$302,MATCH("R"&amp;4,품목검색!$J$3:$J$302,0)),0)+SUMIFS(입출고내역!$L$3:$L$1002,입출고내역!$C$3:$C$1002,$B10))</f>
        <v/>
      </c>
      <c r="G10" s="13" t="str">
        <f aca="false">IF($B10="","",IFERROR(INDEX(품목마스터!$G$3:$G$302,MATCH("R"&amp;4,품목검색!$J$3:$J$302,0)),0))</f>
        <v/>
      </c>
      <c r="H10" s="17" t="b">
        <f aca="false">IF(품목마스터!$A10="",FALSE(),IF($B$3="",TRUE(),ISNUMBER(SEARCH($B$3,품목마스터!$B10&amp;" "&amp;품목마스터!$C10&amp;" "&amp;품목마스터!$A10))))</f>
        <v>0</v>
      </c>
      <c r="I10" s="5" t="str">
        <f aca="false">IF($H10=FALSE(),"",COUNTIF($H$3:$H10,TRUE()))</f>
        <v/>
      </c>
      <c r="J10" s="5" t="str">
        <f aca="false">IF($I10="","","R"&amp;$I10)</f>
        <v/>
      </c>
    </row>
    <row r="11" customFormat="false" ht="15" hidden="false" customHeight="true" outlineLevel="0" collapsed="false">
      <c r="A11" s="19" t="n">
        <v>5</v>
      </c>
      <c r="B11" s="12" t="str">
        <f aca="false">IFERROR(INDEX(품목마스터!$A$3:$A$302,MATCH("R"&amp;5,품목검색!$J$3:$J$302,0)),"")</f>
        <v/>
      </c>
      <c r="C11" s="12" t="str">
        <f aca="false">IF($B11="","",IFERROR(INDEX(품목마스터!$B$3:$B$302,MATCH("R"&amp;5,품목검색!$J$3:$J$302,0)),""))</f>
        <v/>
      </c>
      <c r="D11" s="12" t="str">
        <f aca="false">IF($B11="","",IFERROR(INDEX(품목마스터!$C$3:$C$302,MATCH("R"&amp;5,품목검색!$J$3:$J$302,0)),""))</f>
        <v/>
      </c>
      <c r="E11" s="12" t="str">
        <f aca="false">IF($B11="","",IFERROR(INDEX(품목마스터!$D$3:$D$302,MATCH("R"&amp;5,품목검색!$J$3:$J$302,0)),""))</f>
        <v/>
      </c>
      <c r="F11" s="13" t="str">
        <f aca="false">IF($B11="","",IFERROR(INDEX(품목마스터!$F$3:$F$302,MATCH("R"&amp;5,품목검색!$J$3:$J$302,0)),0)+SUMIFS(입출고내역!$L$3:$L$1002,입출고내역!$C$3:$C$1002,$B11))</f>
        <v/>
      </c>
      <c r="G11" s="13" t="str">
        <f aca="false">IF($B11="","",IFERROR(INDEX(품목마스터!$G$3:$G$302,MATCH("R"&amp;5,품목검색!$J$3:$J$302,0)),0))</f>
        <v/>
      </c>
      <c r="H11" s="17" t="b">
        <f aca="false">IF(품목마스터!$A11="",FALSE(),IF($B$3="",TRUE(),ISNUMBER(SEARCH($B$3,품목마스터!$B11&amp;" "&amp;품목마스터!$C11&amp;" "&amp;품목마스터!$A11))))</f>
        <v>0</v>
      </c>
      <c r="I11" s="5" t="str">
        <f aca="false">IF($H11=FALSE(),"",COUNTIF($H$3:$H11,TRUE()))</f>
        <v/>
      </c>
      <c r="J11" s="5" t="str">
        <f aca="false">IF($I11="","","R"&amp;$I11)</f>
        <v/>
      </c>
    </row>
    <row r="12" customFormat="false" ht="15" hidden="false" customHeight="true" outlineLevel="0" collapsed="false">
      <c r="A12" s="19" t="n">
        <v>6</v>
      </c>
      <c r="B12" s="12" t="str">
        <f aca="false">IFERROR(INDEX(품목마스터!$A$3:$A$302,MATCH("R"&amp;6,품목검색!$J$3:$J$302,0)),"")</f>
        <v/>
      </c>
      <c r="C12" s="12" t="str">
        <f aca="false">IF($B12="","",IFERROR(INDEX(품목마스터!$B$3:$B$302,MATCH("R"&amp;6,품목검색!$J$3:$J$302,0)),""))</f>
        <v/>
      </c>
      <c r="D12" s="12" t="str">
        <f aca="false">IF($B12="","",IFERROR(INDEX(품목마스터!$C$3:$C$302,MATCH("R"&amp;6,품목검색!$J$3:$J$302,0)),""))</f>
        <v/>
      </c>
      <c r="E12" s="12" t="str">
        <f aca="false">IF($B12="","",IFERROR(INDEX(품목마스터!$D$3:$D$302,MATCH("R"&amp;6,품목검색!$J$3:$J$302,0)),""))</f>
        <v/>
      </c>
      <c r="F12" s="13" t="str">
        <f aca="false">IF($B12="","",IFERROR(INDEX(품목마스터!$F$3:$F$302,MATCH("R"&amp;6,품목검색!$J$3:$J$302,0)),0)+SUMIFS(입출고내역!$L$3:$L$1002,입출고내역!$C$3:$C$1002,$B12))</f>
        <v/>
      </c>
      <c r="G12" s="13" t="str">
        <f aca="false">IF($B12="","",IFERROR(INDEX(품목마스터!$G$3:$G$302,MATCH("R"&amp;6,품목검색!$J$3:$J$302,0)),0))</f>
        <v/>
      </c>
      <c r="H12" s="17" t="b">
        <f aca="false">IF(품목마스터!$A12="",FALSE(),IF($B$3="",TRUE(),ISNUMBER(SEARCH($B$3,품목마스터!$B12&amp;" "&amp;품목마스터!$C12&amp;" "&amp;품목마스터!$A12))))</f>
        <v>0</v>
      </c>
      <c r="I12" s="5" t="str">
        <f aca="false">IF($H12=FALSE(),"",COUNTIF($H$3:$H12,TRUE()))</f>
        <v/>
      </c>
      <c r="J12" s="5" t="str">
        <f aca="false">IF($I12="","","R"&amp;$I12)</f>
        <v/>
      </c>
    </row>
    <row r="13" customFormat="false" ht="15" hidden="false" customHeight="true" outlineLevel="0" collapsed="false">
      <c r="A13" s="19" t="n">
        <v>7</v>
      </c>
      <c r="B13" s="12" t="str">
        <f aca="false">IFERROR(INDEX(품목마스터!$A$3:$A$302,MATCH("R"&amp;7,품목검색!$J$3:$J$302,0)),"")</f>
        <v/>
      </c>
      <c r="C13" s="12" t="str">
        <f aca="false">IF($B13="","",IFERROR(INDEX(품목마스터!$B$3:$B$302,MATCH("R"&amp;7,품목검색!$J$3:$J$302,0)),""))</f>
        <v/>
      </c>
      <c r="D13" s="12" t="str">
        <f aca="false">IF($B13="","",IFERROR(INDEX(품목마스터!$C$3:$C$302,MATCH("R"&amp;7,품목검색!$J$3:$J$302,0)),""))</f>
        <v/>
      </c>
      <c r="E13" s="12" t="str">
        <f aca="false">IF($B13="","",IFERROR(INDEX(품목마스터!$D$3:$D$302,MATCH("R"&amp;7,품목검색!$J$3:$J$302,0)),""))</f>
        <v/>
      </c>
      <c r="F13" s="13" t="str">
        <f aca="false">IF($B13="","",IFERROR(INDEX(품목마스터!$F$3:$F$302,MATCH("R"&amp;7,품목검색!$J$3:$J$302,0)),0)+SUMIFS(입출고내역!$L$3:$L$1002,입출고내역!$C$3:$C$1002,$B13))</f>
        <v/>
      </c>
      <c r="G13" s="13" t="str">
        <f aca="false">IF($B13="","",IFERROR(INDEX(품목마스터!$G$3:$G$302,MATCH("R"&amp;7,품목검색!$J$3:$J$302,0)),0))</f>
        <v/>
      </c>
      <c r="H13" s="17" t="b">
        <f aca="false">IF(품목마스터!$A13="",FALSE(),IF($B$3="",TRUE(),ISNUMBER(SEARCH($B$3,품목마스터!$B13&amp;" "&amp;품목마스터!$C13&amp;" "&amp;품목마스터!$A13))))</f>
        <v>0</v>
      </c>
      <c r="I13" s="5" t="str">
        <f aca="false">IF($H13=FALSE(),"",COUNTIF($H$3:$H13,TRUE()))</f>
        <v/>
      </c>
      <c r="J13" s="5" t="str">
        <f aca="false">IF($I13="","","R"&amp;$I13)</f>
        <v/>
      </c>
    </row>
    <row r="14" customFormat="false" ht="15" hidden="false" customHeight="true" outlineLevel="0" collapsed="false">
      <c r="A14" s="19" t="n">
        <v>8</v>
      </c>
      <c r="B14" s="12" t="str">
        <f aca="false">IFERROR(INDEX(품목마스터!$A$3:$A$302,MATCH("R"&amp;8,품목검색!$J$3:$J$302,0)),"")</f>
        <v/>
      </c>
      <c r="C14" s="12" t="str">
        <f aca="false">IF($B14="","",IFERROR(INDEX(품목마스터!$B$3:$B$302,MATCH("R"&amp;8,품목검색!$J$3:$J$302,0)),""))</f>
        <v/>
      </c>
      <c r="D14" s="12" t="str">
        <f aca="false">IF($B14="","",IFERROR(INDEX(품목마스터!$C$3:$C$302,MATCH("R"&amp;8,품목검색!$J$3:$J$302,0)),""))</f>
        <v/>
      </c>
      <c r="E14" s="12" t="str">
        <f aca="false">IF($B14="","",IFERROR(INDEX(품목마스터!$D$3:$D$302,MATCH("R"&amp;8,품목검색!$J$3:$J$302,0)),""))</f>
        <v/>
      </c>
      <c r="F14" s="13" t="str">
        <f aca="false">IF($B14="","",IFERROR(INDEX(품목마스터!$F$3:$F$302,MATCH("R"&amp;8,품목검색!$J$3:$J$302,0)),0)+SUMIFS(입출고내역!$L$3:$L$1002,입출고내역!$C$3:$C$1002,$B14))</f>
        <v/>
      </c>
      <c r="G14" s="13" t="str">
        <f aca="false">IF($B14="","",IFERROR(INDEX(품목마스터!$G$3:$G$302,MATCH("R"&amp;8,품목검색!$J$3:$J$302,0)),0))</f>
        <v/>
      </c>
      <c r="H14" s="17" t="b">
        <f aca="false">IF(품목마스터!$A14="",FALSE(),IF($B$3="",TRUE(),ISNUMBER(SEARCH($B$3,품목마스터!$B14&amp;" "&amp;품목마스터!$C14&amp;" "&amp;품목마스터!$A14))))</f>
        <v>0</v>
      </c>
      <c r="I14" s="5" t="str">
        <f aca="false">IF($H14=FALSE(),"",COUNTIF($H$3:$H14,TRUE()))</f>
        <v/>
      </c>
      <c r="J14" s="5" t="str">
        <f aca="false">IF($I14="","","R"&amp;$I14)</f>
        <v/>
      </c>
    </row>
    <row r="15" customFormat="false" ht="15" hidden="false" customHeight="true" outlineLevel="0" collapsed="false">
      <c r="A15" s="19" t="n">
        <v>9</v>
      </c>
      <c r="B15" s="12" t="str">
        <f aca="false">IFERROR(INDEX(품목마스터!$A$3:$A$302,MATCH("R"&amp;9,품목검색!$J$3:$J$302,0)),"")</f>
        <v/>
      </c>
      <c r="C15" s="12" t="str">
        <f aca="false">IF($B15="","",IFERROR(INDEX(품목마스터!$B$3:$B$302,MATCH("R"&amp;9,품목검색!$J$3:$J$302,0)),""))</f>
        <v/>
      </c>
      <c r="D15" s="12" t="str">
        <f aca="false">IF($B15="","",IFERROR(INDEX(품목마스터!$C$3:$C$302,MATCH("R"&amp;9,품목검색!$J$3:$J$302,0)),""))</f>
        <v/>
      </c>
      <c r="E15" s="12" t="str">
        <f aca="false">IF($B15="","",IFERROR(INDEX(품목마스터!$D$3:$D$302,MATCH("R"&amp;9,품목검색!$J$3:$J$302,0)),""))</f>
        <v/>
      </c>
      <c r="F15" s="13" t="str">
        <f aca="false">IF($B15="","",IFERROR(INDEX(품목마스터!$F$3:$F$302,MATCH("R"&amp;9,품목검색!$J$3:$J$302,0)),0)+SUMIFS(입출고내역!$L$3:$L$1002,입출고내역!$C$3:$C$1002,$B15))</f>
        <v/>
      </c>
      <c r="G15" s="13" t="str">
        <f aca="false">IF($B15="","",IFERROR(INDEX(품목마스터!$G$3:$G$302,MATCH("R"&amp;9,품목검색!$J$3:$J$302,0)),0))</f>
        <v/>
      </c>
      <c r="H15" s="17" t="b">
        <f aca="false">IF(품목마스터!$A15="",FALSE(),IF($B$3="",TRUE(),ISNUMBER(SEARCH($B$3,품목마스터!$B15&amp;" "&amp;품목마스터!$C15&amp;" "&amp;품목마스터!$A15))))</f>
        <v>0</v>
      </c>
      <c r="I15" s="5" t="str">
        <f aca="false">IF($H15=FALSE(),"",COUNTIF($H$3:$H15,TRUE()))</f>
        <v/>
      </c>
      <c r="J15" s="5" t="str">
        <f aca="false">IF($I15="","","R"&amp;$I15)</f>
        <v/>
      </c>
    </row>
    <row r="16" customFormat="false" ht="15" hidden="false" customHeight="true" outlineLevel="0" collapsed="false">
      <c r="A16" s="19" t="n">
        <v>10</v>
      </c>
      <c r="B16" s="12" t="str">
        <f aca="false">IFERROR(INDEX(품목마스터!$A$3:$A$302,MATCH("R"&amp;10,품목검색!$J$3:$J$302,0)),"")</f>
        <v/>
      </c>
      <c r="C16" s="12" t="str">
        <f aca="false">IF($B16="","",IFERROR(INDEX(품목마스터!$B$3:$B$302,MATCH("R"&amp;10,품목검색!$J$3:$J$302,0)),""))</f>
        <v/>
      </c>
      <c r="D16" s="12" t="str">
        <f aca="false">IF($B16="","",IFERROR(INDEX(품목마스터!$C$3:$C$302,MATCH("R"&amp;10,품목검색!$J$3:$J$302,0)),""))</f>
        <v/>
      </c>
      <c r="E16" s="12" t="str">
        <f aca="false">IF($B16="","",IFERROR(INDEX(품목마스터!$D$3:$D$302,MATCH("R"&amp;10,품목검색!$J$3:$J$302,0)),""))</f>
        <v/>
      </c>
      <c r="F16" s="13" t="str">
        <f aca="false">IF($B16="","",IFERROR(INDEX(품목마스터!$F$3:$F$302,MATCH("R"&amp;10,품목검색!$J$3:$J$302,0)),0)+SUMIFS(입출고내역!$L$3:$L$1002,입출고내역!$C$3:$C$1002,$B16))</f>
        <v/>
      </c>
      <c r="G16" s="13" t="str">
        <f aca="false">IF($B16="","",IFERROR(INDEX(품목마스터!$G$3:$G$302,MATCH("R"&amp;10,품목검색!$J$3:$J$302,0)),0))</f>
        <v/>
      </c>
      <c r="H16" s="17" t="b">
        <f aca="false">IF(품목마스터!$A16="",FALSE(),IF($B$3="",TRUE(),ISNUMBER(SEARCH($B$3,품목마스터!$B16&amp;" "&amp;품목마스터!$C16&amp;" "&amp;품목마스터!$A16))))</f>
        <v>0</v>
      </c>
      <c r="I16" s="5" t="str">
        <f aca="false">IF($H16=FALSE(),"",COUNTIF($H$3:$H16,TRUE()))</f>
        <v/>
      </c>
      <c r="J16" s="5" t="str">
        <f aca="false">IF($I16="","","R"&amp;$I16)</f>
        <v/>
      </c>
    </row>
    <row r="17" customFormat="false" ht="15" hidden="false" customHeight="true" outlineLevel="0" collapsed="false">
      <c r="A17" s="19" t="n">
        <v>11</v>
      </c>
      <c r="B17" s="12" t="str">
        <f aca="false">IFERROR(INDEX(품목마스터!$A$3:$A$302,MATCH("R"&amp;11,품목검색!$J$3:$J$302,0)),"")</f>
        <v/>
      </c>
      <c r="C17" s="12" t="str">
        <f aca="false">IF($B17="","",IFERROR(INDEX(품목마스터!$B$3:$B$302,MATCH("R"&amp;11,품목검색!$J$3:$J$302,0)),""))</f>
        <v/>
      </c>
      <c r="D17" s="12" t="str">
        <f aca="false">IF($B17="","",IFERROR(INDEX(품목마스터!$C$3:$C$302,MATCH("R"&amp;11,품목검색!$J$3:$J$302,0)),""))</f>
        <v/>
      </c>
      <c r="E17" s="12" t="str">
        <f aca="false">IF($B17="","",IFERROR(INDEX(품목마스터!$D$3:$D$302,MATCH("R"&amp;11,품목검색!$J$3:$J$302,0)),""))</f>
        <v/>
      </c>
      <c r="F17" s="13" t="str">
        <f aca="false">IF($B17="","",IFERROR(INDEX(품목마스터!$F$3:$F$302,MATCH("R"&amp;11,품목검색!$J$3:$J$302,0)),0)+SUMIFS(입출고내역!$L$3:$L$1002,입출고내역!$C$3:$C$1002,$B17))</f>
        <v/>
      </c>
      <c r="G17" s="13" t="str">
        <f aca="false">IF($B17="","",IFERROR(INDEX(품목마스터!$G$3:$G$302,MATCH("R"&amp;11,품목검색!$J$3:$J$302,0)),0))</f>
        <v/>
      </c>
      <c r="H17" s="17" t="b">
        <f aca="false">IF(품목마스터!$A17="",FALSE(),IF($B$3="",TRUE(),ISNUMBER(SEARCH($B$3,품목마스터!$B17&amp;" "&amp;품목마스터!$C17&amp;" "&amp;품목마스터!$A17))))</f>
        <v>0</v>
      </c>
      <c r="I17" s="5" t="str">
        <f aca="false">IF($H17=FALSE(),"",COUNTIF($H$3:$H17,TRUE()))</f>
        <v/>
      </c>
      <c r="J17" s="5" t="str">
        <f aca="false">IF($I17="","","R"&amp;$I17)</f>
        <v/>
      </c>
    </row>
    <row r="18" customFormat="false" ht="15" hidden="false" customHeight="true" outlineLevel="0" collapsed="false">
      <c r="A18" s="19" t="n">
        <v>12</v>
      </c>
      <c r="B18" s="12" t="str">
        <f aca="false">IFERROR(INDEX(품목마스터!$A$3:$A$302,MATCH("R"&amp;12,품목검색!$J$3:$J$302,0)),"")</f>
        <v/>
      </c>
      <c r="C18" s="12" t="str">
        <f aca="false">IF($B18="","",IFERROR(INDEX(품목마스터!$B$3:$B$302,MATCH("R"&amp;12,품목검색!$J$3:$J$302,0)),""))</f>
        <v/>
      </c>
      <c r="D18" s="12" t="str">
        <f aca="false">IF($B18="","",IFERROR(INDEX(품목마스터!$C$3:$C$302,MATCH("R"&amp;12,품목검색!$J$3:$J$302,0)),""))</f>
        <v/>
      </c>
      <c r="E18" s="12" t="str">
        <f aca="false">IF($B18="","",IFERROR(INDEX(품목마스터!$D$3:$D$302,MATCH("R"&amp;12,품목검색!$J$3:$J$302,0)),""))</f>
        <v/>
      </c>
      <c r="F18" s="13" t="str">
        <f aca="false">IF($B18="","",IFERROR(INDEX(품목마스터!$F$3:$F$302,MATCH("R"&amp;12,품목검색!$J$3:$J$302,0)),0)+SUMIFS(입출고내역!$L$3:$L$1002,입출고내역!$C$3:$C$1002,$B18))</f>
        <v/>
      </c>
      <c r="G18" s="13" t="str">
        <f aca="false">IF($B18="","",IFERROR(INDEX(품목마스터!$G$3:$G$302,MATCH("R"&amp;12,품목검색!$J$3:$J$302,0)),0))</f>
        <v/>
      </c>
      <c r="H18" s="17" t="b">
        <f aca="false">IF(품목마스터!$A18="",FALSE(),IF($B$3="",TRUE(),ISNUMBER(SEARCH($B$3,품목마스터!$B18&amp;" "&amp;품목마스터!$C18&amp;" "&amp;품목마스터!$A18))))</f>
        <v>0</v>
      </c>
      <c r="I18" s="5" t="str">
        <f aca="false">IF($H18=FALSE(),"",COUNTIF($H$3:$H18,TRUE()))</f>
        <v/>
      </c>
      <c r="J18" s="5" t="str">
        <f aca="false">IF($I18="","","R"&amp;$I18)</f>
        <v/>
      </c>
    </row>
    <row r="19" customFormat="false" ht="15" hidden="false" customHeight="true" outlineLevel="0" collapsed="false">
      <c r="A19" s="19" t="n">
        <v>13</v>
      </c>
      <c r="B19" s="12" t="str">
        <f aca="false">IFERROR(INDEX(품목마스터!$A$3:$A$302,MATCH("R"&amp;13,품목검색!$J$3:$J$302,0)),"")</f>
        <v/>
      </c>
      <c r="C19" s="12" t="str">
        <f aca="false">IF($B19="","",IFERROR(INDEX(품목마스터!$B$3:$B$302,MATCH("R"&amp;13,품목검색!$J$3:$J$302,0)),""))</f>
        <v/>
      </c>
      <c r="D19" s="12" t="str">
        <f aca="false">IF($B19="","",IFERROR(INDEX(품목마스터!$C$3:$C$302,MATCH("R"&amp;13,품목검색!$J$3:$J$302,0)),""))</f>
        <v/>
      </c>
      <c r="E19" s="12" t="str">
        <f aca="false">IF($B19="","",IFERROR(INDEX(품목마스터!$D$3:$D$302,MATCH("R"&amp;13,품목검색!$J$3:$J$302,0)),""))</f>
        <v/>
      </c>
      <c r="F19" s="13" t="str">
        <f aca="false">IF($B19="","",IFERROR(INDEX(품목마스터!$F$3:$F$302,MATCH("R"&amp;13,품목검색!$J$3:$J$302,0)),0)+SUMIFS(입출고내역!$L$3:$L$1002,입출고내역!$C$3:$C$1002,$B19))</f>
        <v/>
      </c>
      <c r="G19" s="13" t="str">
        <f aca="false">IF($B19="","",IFERROR(INDEX(품목마스터!$G$3:$G$302,MATCH("R"&amp;13,품목검색!$J$3:$J$302,0)),0))</f>
        <v/>
      </c>
      <c r="H19" s="17" t="b">
        <f aca="false">IF(품목마스터!$A19="",FALSE(),IF($B$3="",TRUE(),ISNUMBER(SEARCH($B$3,품목마스터!$B19&amp;" "&amp;품목마스터!$C19&amp;" "&amp;품목마스터!$A19))))</f>
        <v>0</v>
      </c>
      <c r="I19" s="5" t="str">
        <f aca="false">IF($H19=FALSE(),"",COUNTIF($H$3:$H19,TRUE()))</f>
        <v/>
      </c>
      <c r="J19" s="5" t="str">
        <f aca="false">IF($I19="","","R"&amp;$I19)</f>
        <v/>
      </c>
    </row>
    <row r="20" customFormat="false" ht="15" hidden="false" customHeight="true" outlineLevel="0" collapsed="false">
      <c r="A20" s="19" t="n">
        <v>14</v>
      </c>
      <c r="B20" s="12" t="str">
        <f aca="false">IFERROR(INDEX(품목마스터!$A$3:$A$302,MATCH("R"&amp;14,품목검색!$J$3:$J$302,0)),"")</f>
        <v/>
      </c>
      <c r="C20" s="12" t="str">
        <f aca="false">IF($B20="","",IFERROR(INDEX(품목마스터!$B$3:$B$302,MATCH("R"&amp;14,품목검색!$J$3:$J$302,0)),""))</f>
        <v/>
      </c>
      <c r="D20" s="12" t="str">
        <f aca="false">IF($B20="","",IFERROR(INDEX(품목마스터!$C$3:$C$302,MATCH("R"&amp;14,품목검색!$J$3:$J$302,0)),""))</f>
        <v/>
      </c>
      <c r="E20" s="12" t="str">
        <f aca="false">IF($B20="","",IFERROR(INDEX(품목마스터!$D$3:$D$302,MATCH("R"&amp;14,품목검색!$J$3:$J$302,0)),""))</f>
        <v/>
      </c>
      <c r="F20" s="13" t="str">
        <f aca="false">IF($B20="","",IFERROR(INDEX(품목마스터!$F$3:$F$302,MATCH("R"&amp;14,품목검색!$J$3:$J$302,0)),0)+SUMIFS(입출고내역!$L$3:$L$1002,입출고내역!$C$3:$C$1002,$B20))</f>
        <v/>
      </c>
      <c r="G20" s="13" t="str">
        <f aca="false">IF($B20="","",IFERROR(INDEX(품목마스터!$G$3:$G$302,MATCH("R"&amp;14,품목검색!$J$3:$J$302,0)),0))</f>
        <v/>
      </c>
      <c r="H20" s="17" t="b">
        <f aca="false">IF(품목마스터!$A20="",FALSE(),IF($B$3="",TRUE(),ISNUMBER(SEARCH($B$3,품목마스터!$B20&amp;" "&amp;품목마스터!$C20&amp;" "&amp;품목마스터!$A20))))</f>
        <v>0</v>
      </c>
      <c r="I20" s="5" t="str">
        <f aca="false">IF($H20=FALSE(),"",COUNTIF($H$3:$H20,TRUE()))</f>
        <v/>
      </c>
      <c r="J20" s="5" t="str">
        <f aca="false">IF($I20="","","R"&amp;$I20)</f>
        <v/>
      </c>
    </row>
    <row r="21" customFormat="false" ht="15" hidden="false" customHeight="true" outlineLevel="0" collapsed="false">
      <c r="A21" s="19" t="n">
        <v>15</v>
      </c>
      <c r="B21" s="12" t="str">
        <f aca="false">IFERROR(INDEX(품목마스터!$A$3:$A$302,MATCH("R"&amp;15,품목검색!$J$3:$J$302,0)),"")</f>
        <v/>
      </c>
      <c r="C21" s="12" t="str">
        <f aca="false">IF($B21="","",IFERROR(INDEX(품목마스터!$B$3:$B$302,MATCH("R"&amp;15,품목검색!$J$3:$J$302,0)),""))</f>
        <v/>
      </c>
      <c r="D21" s="12" t="str">
        <f aca="false">IF($B21="","",IFERROR(INDEX(품목마스터!$C$3:$C$302,MATCH("R"&amp;15,품목검색!$J$3:$J$302,0)),""))</f>
        <v/>
      </c>
      <c r="E21" s="12" t="str">
        <f aca="false">IF($B21="","",IFERROR(INDEX(품목마스터!$D$3:$D$302,MATCH("R"&amp;15,품목검색!$J$3:$J$302,0)),""))</f>
        <v/>
      </c>
      <c r="F21" s="13" t="str">
        <f aca="false">IF($B21="","",IFERROR(INDEX(품목마스터!$F$3:$F$302,MATCH("R"&amp;15,품목검색!$J$3:$J$302,0)),0)+SUMIFS(입출고내역!$L$3:$L$1002,입출고내역!$C$3:$C$1002,$B21))</f>
        <v/>
      </c>
      <c r="G21" s="13" t="str">
        <f aca="false">IF($B21="","",IFERROR(INDEX(품목마스터!$G$3:$G$302,MATCH("R"&amp;15,품목검색!$J$3:$J$302,0)),0))</f>
        <v/>
      </c>
      <c r="H21" s="17" t="b">
        <f aca="false">IF(품목마스터!$A21="",FALSE(),IF($B$3="",TRUE(),ISNUMBER(SEARCH($B$3,품목마스터!$B21&amp;" "&amp;품목마스터!$C21&amp;" "&amp;품목마스터!$A21))))</f>
        <v>0</v>
      </c>
      <c r="I21" s="5" t="str">
        <f aca="false">IF($H21=FALSE(),"",COUNTIF($H$3:$H21,TRUE()))</f>
        <v/>
      </c>
      <c r="J21" s="5" t="str">
        <f aca="false">IF($I21="","","R"&amp;$I21)</f>
        <v/>
      </c>
    </row>
    <row r="22" customFormat="false" ht="15" hidden="false" customHeight="true" outlineLevel="0" collapsed="false">
      <c r="A22" s="19" t="n">
        <v>16</v>
      </c>
      <c r="B22" s="12" t="str">
        <f aca="false">IFERROR(INDEX(품목마스터!$A$3:$A$302,MATCH("R"&amp;16,품목검색!$J$3:$J$302,0)),"")</f>
        <v/>
      </c>
      <c r="C22" s="12" t="str">
        <f aca="false">IF($B22="","",IFERROR(INDEX(품목마스터!$B$3:$B$302,MATCH("R"&amp;16,품목검색!$J$3:$J$302,0)),""))</f>
        <v/>
      </c>
      <c r="D22" s="12" t="str">
        <f aca="false">IF($B22="","",IFERROR(INDEX(품목마스터!$C$3:$C$302,MATCH("R"&amp;16,품목검색!$J$3:$J$302,0)),""))</f>
        <v/>
      </c>
      <c r="E22" s="12" t="str">
        <f aca="false">IF($B22="","",IFERROR(INDEX(품목마스터!$D$3:$D$302,MATCH("R"&amp;16,품목검색!$J$3:$J$302,0)),""))</f>
        <v/>
      </c>
      <c r="F22" s="13" t="str">
        <f aca="false">IF($B22="","",IFERROR(INDEX(품목마스터!$F$3:$F$302,MATCH("R"&amp;16,품목검색!$J$3:$J$302,0)),0)+SUMIFS(입출고내역!$L$3:$L$1002,입출고내역!$C$3:$C$1002,$B22))</f>
        <v/>
      </c>
      <c r="G22" s="13" t="str">
        <f aca="false">IF($B22="","",IFERROR(INDEX(품목마스터!$G$3:$G$302,MATCH("R"&amp;16,품목검색!$J$3:$J$302,0)),0))</f>
        <v/>
      </c>
      <c r="H22" s="17" t="b">
        <f aca="false">IF(품목마스터!$A22="",FALSE(),IF($B$3="",TRUE(),ISNUMBER(SEARCH($B$3,품목마스터!$B22&amp;" "&amp;품목마스터!$C22&amp;" "&amp;품목마스터!$A22))))</f>
        <v>0</v>
      </c>
      <c r="I22" s="5" t="str">
        <f aca="false">IF($H22=FALSE(),"",COUNTIF($H$3:$H22,TRUE()))</f>
        <v/>
      </c>
      <c r="J22" s="5" t="str">
        <f aca="false">IF($I22="","","R"&amp;$I22)</f>
        <v/>
      </c>
    </row>
    <row r="23" customFormat="false" ht="15" hidden="false" customHeight="true" outlineLevel="0" collapsed="false">
      <c r="A23" s="19" t="n">
        <v>17</v>
      </c>
      <c r="B23" s="12" t="str">
        <f aca="false">IFERROR(INDEX(품목마스터!$A$3:$A$302,MATCH("R"&amp;17,품목검색!$J$3:$J$302,0)),"")</f>
        <v/>
      </c>
      <c r="C23" s="12" t="str">
        <f aca="false">IF($B23="","",IFERROR(INDEX(품목마스터!$B$3:$B$302,MATCH("R"&amp;17,품목검색!$J$3:$J$302,0)),""))</f>
        <v/>
      </c>
      <c r="D23" s="12" t="str">
        <f aca="false">IF($B23="","",IFERROR(INDEX(품목마스터!$C$3:$C$302,MATCH("R"&amp;17,품목검색!$J$3:$J$302,0)),""))</f>
        <v/>
      </c>
      <c r="E23" s="12" t="str">
        <f aca="false">IF($B23="","",IFERROR(INDEX(품목마스터!$D$3:$D$302,MATCH("R"&amp;17,품목검색!$J$3:$J$302,0)),""))</f>
        <v/>
      </c>
      <c r="F23" s="13" t="str">
        <f aca="false">IF($B23="","",IFERROR(INDEX(품목마스터!$F$3:$F$302,MATCH("R"&amp;17,품목검색!$J$3:$J$302,0)),0)+SUMIFS(입출고내역!$L$3:$L$1002,입출고내역!$C$3:$C$1002,$B23))</f>
        <v/>
      </c>
      <c r="G23" s="13" t="str">
        <f aca="false">IF($B23="","",IFERROR(INDEX(품목마스터!$G$3:$G$302,MATCH("R"&amp;17,품목검색!$J$3:$J$302,0)),0))</f>
        <v/>
      </c>
      <c r="H23" s="17" t="b">
        <f aca="false">IF(품목마스터!$A23="",FALSE(),IF($B$3="",TRUE(),ISNUMBER(SEARCH($B$3,품목마스터!$B23&amp;" "&amp;품목마스터!$C23&amp;" "&amp;품목마스터!$A23))))</f>
        <v>0</v>
      </c>
      <c r="I23" s="5" t="str">
        <f aca="false">IF($H23=FALSE(),"",COUNTIF($H$3:$H23,TRUE()))</f>
        <v/>
      </c>
      <c r="J23" s="5" t="str">
        <f aca="false">IF($I23="","","R"&amp;$I23)</f>
        <v/>
      </c>
    </row>
    <row r="24" customFormat="false" ht="15" hidden="false" customHeight="true" outlineLevel="0" collapsed="false">
      <c r="A24" s="19" t="n">
        <v>18</v>
      </c>
      <c r="B24" s="12" t="str">
        <f aca="false">IFERROR(INDEX(품목마스터!$A$3:$A$302,MATCH("R"&amp;18,품목검색!$J$3:$J$302,0)),"")</f>
        <v/>
      </c>
      <c r="C24" s="12" t="str">
        <f aca="false">IF($B24="","",IFERROR(INDEX(품목마스터!$B$3:$B$302,MATCH("R"&amp;18,품목검색!$J$3:$J$302,0)),""))</f>
        <v/>
      </c>
      <c r="D24" s="12" t="str">
        <f aca="false">IF($B24="","",IFERROR(INDEX(품목마스터!$C$3:$C$302,MATCH("R"&amp;18,품목검색!$J$3:$J$302,0)),""))</f>
        <v/>
      </c>
      <c r="E24" s="12" t="str">
        <f aca="false">IF($B24="","",IFERROR(INDEX(품목마스터!$D$3:$D$302,MATCH("R"&amp;18,품목검색!$J$3:$J$302,0)),""))</f>
        <v/>
      </c>
      <c r="F24" s="13" t="str">
        <f aca="false">IF($B24="","",IFERROR(INDEX(품목마스터!$F$3:$F$302,MATCH("R"&amp;18,품목검색!$J$3:$J$302,0)),0)+SUMIFS(입출고내역!$L$3:$L$1002,입출고내역!$C$3:$C$1002,$B24))</f>
        <v/>
      </c>
      <c r="G24" s="13" t="str">
        <f aca="false">IF($B24="","",IFERROR(INDEX(품목마스터!$G$3:$G$302,MATCH("R"&amp;18,품목검색!$J$3:$J$302,0)),0))</f>
        <v/>
      </c>
      <c r="H24" s="17" t="b">
        <f aca="false">IF(품목마스터!$A24="",FALSE(),IF($B$3="",TRUE(),ISNUMBER(SEARCH($B$3,품목마스터!$B24&amp;" "&amp;품목마스터!$C24&amp;" "&amp;품목마스터!$A24))))</f>
        <v>0</v>
      </c>
      <c r="I24" s="5" t="str">
        <f aca="false">IF($H24=FALSE(),"",COUNTIF($H$3:$H24,TRUE()))</f>
        <v/>
      </c>
      <c r="J24" s="5" t="str">
        <f aca="false">IF($I24="","","R"&amp;$I24)</f>
        <v/>
      </c>
    </row>
    <row r="25" customFormat="false" ht="15" hidden="false" customHeight="true" outlineLevel="0" collapsed="false">
      <c r="A25" s="19" t="n">
        <v>19</v>
      </c>
      <c r="B25" s="12" t="str">
        <f aca="false">IFERROR(INDEX(품목마스터!$A$3:$A$302,MATCH("R"&amp;19,품목검색!$J$3:$J$302,0)),"")</f>
        <v/>
      </c>
      <c r="C25" s="12" t="str">
        <f aca="false">IF($B25="","",IFERROR(INDEX(품목마스터!$B$3:$B$302,MATCH("R"&amp;19,품목검색!$J$3:$J$302,0)),""))</f>
        <v/>
      </c>
      <c r="D25" s="12" t="str">
        <f aca="false">IF($B25="","",IFERROR(INDEX(품목마스터!$C$3:$C$302,MATCH("R"&amp;19,품목검색!$J$3:$J$302,0)),""))</f>
        <v/>
      </c>
      <c r="E25" s="12" t="str">
        <f aca="false">IF($B25="","",IFERROR(INDEX(품목마스터!$D$3:$D$302,MATCH("R"&amp;19,품목검색!$J$3:$J$302,0)),""))</f>
        <v/>
      </c>
      <c r="F25" s="13" t="str">
        <f aca="false">IF($B25="","",IFERROR(INDEX(품목마스터!$F$3:$F$302,MATCH("R"&amp;19,품목검색!$J$3:$J$302,0)),0)+SUMIFS(입출고내역!$L$3:$L$1002,입출고내역!$C$3:$C$1002,$B25))</f>
        <v/>
      </c>
      <c r="G25" s="13" t="str">
        <f aca="false">IF($B25="","",IFERROR(INDEX(품목마스터!$G$3:$G$302,MATCH("R"&amp;19,품목검색!$J$3:$J$302,0)),0))</f>
        <v/>
      </c>
      <c r="H25" s="17" t="b">
        <f aca="false">IF(품목마스터!$A25="",FALSE(),IF($B$3="",TRUE(),ISNUMBER(SEARCH($B$3,품목마스터!$B25&amp;" "&amp;품목마스터!$C25&amp;" "&amp;품목마스터!$A25))))</f>
        <v>0</v>
      </c>
      <c r="I25" s="5" t="str">
        <f aca="false">IF($H25=FALSE(),"",COUNTIF($H$3:$H25,TRUE()))</f>
        <v/>
      </c>
      <c r="J25" s="5" t="str">
        <f aca="false">IF($I25="","","R"&amp;$I25)</f>
        <v/>
      </c>
    </row>
    <row r="26" customFormat="false" ht="15" hidden="false" customHeight="true" outlineLevel="0" collapsed="false">
      <c r="A26" s="19" t="n">
        <v>20</v>
      </c>
      <c r="B26" s="12" t="str">
        <f aca="false">IFERROR(INDEX(품목마스터!$A$3:$A$302,MATCH("R"&amp;20,품목검색!$J$3:$J$302,0)),"")</f>
        <v/>
      </c>
      <c r="C26" s="12" t="str">
        <f aca="false">IF($B26="","",IFERROR(INDEX(품목마스터!$B$3:$B$302,MATCH("R"&amp;20,품목검색!$J$3:$J$302,0)),""))</f>
        <v/>
      </c>
      <c r="D26" s="12" t="str">
        <f aca="false">IF($B26="","",IFERROR(INDEX(품목마스터!$C$3:$C$302,MATCH("R"&amp;20,품목검색!$J$3:$J$302,0)),""))</f>
        <v/>
      </c>
      <c r="E26" s="12" t="str">
        <f aca="false">IF($B26="","",IFERROR(INDEX(품목마스터!$D$3:$D$302,MATCH("R"&amp;20,품목검색!$J$3:$J$302,0)),""))</f>
        <v/>
      </c>
      <c r="F26" s="13" t="str">
        <f aca="false">IF($B26="","",IFERROR(INDEX(품목마스터!$F$3:$F$302,MATCH("R"&amp;20,품목검색!$J$3:$J$302,0)),0)+SUMIFS(입출고내역!$L$3:$L$1002,입출고내역!$C$3:$C$1002,$B26))</f>
        <v/>
      </c>
      <c r="G26" s="13" t="str">
        <f aca="false">IF($B26="","",IFERROR(INDEX(품목마스터!$G$3:$G$302,MATCH("R"&amp;20,품목검색!$J$3:$J$302,0)),0))</f>
        <v/>
      </c>
      <c r="H26" s="17" t="b">
        <f aca="false">IF(품목마스터!$A26="",FALSE(),IF($B$3="",TRUE(),ISNUMBER(SEARCH($B$3,품목마스터!$B26&amp;" "&amp;품목마스터!$C26&amp;" "&amp;품목마스터!$A26))))</f>
        <v>0</v>
      </c>
      <c r="I26" s="5" t="str">
        <f aca="false">IF($H26=FALSE(),"",COUNTIF($H$3:$H26,TRUE()))</f>
        <v/>
      </c>
      <c r="J26" s="5" t="str">
        <f aca="false">IF($I26="","","R"&amp;$I26)</f>
        <v/>
      </c>
    </row>
    <row r="27" customFormat="false" ht="15" hidden="false" customHeight="true" outlineLevel="0" collapsed="false">
      <c r="A27" s="19" t="n">
        <v>21</v>
      </c>
      <c r="B27" s="12" t="str">
        <f aca="false">IFERROR(INDEX(품목마스터!$A$3:$A$302,MATCH("R"&amp;21,품목검색!$J$3:$J$302,0)),"")</f>
        <v/>
      </c>
      <c r="C27" s="12" t="str">
        <f aca="false">IF($B27="","",IFERROR(INDEX(품목마스터!$B$3:$B$302,MATCH("R"&amp;21,품목검색!$J$3:$J$302,0)),""))</f>
        <v/>
      </c>
      <c r="D27" s="12" t="str">
        <f aca="false">IF($B27="","",IFERROR(INDEX(품목마스터!$C$3:$C$302,MATCH("R"&amp;21,품목검색!$J$3:$J$302,0)),""))</f>
        <v/>
      </c>
      <c r="E27" s="12" t="str">
        <f aca="false">IF($B27="","",IFERROR(INDEX(품목마스터!$D$3:$D$302,MATCH("R"&amp;21,품목검색!$J$3:$J$302,0)),""))</f>
        <v/>
      </c>
      <c r="F27" s="13" t="str">
        <f aca="false">IF($B27="","",IFERROR(INDEX(품목마스터!$F$3:$F$302,MATCH("R"&amp;21,품목검색!$J$3:$J$302,0)),0)+SUMIFS(입출고내역!$L$3:$L$1002,입출고내역!$C$3:$C$1002,$B27))</f>
        <v/>
      </c>
      <c r="G27" s="13" t="str">
        <f aca="false">IF($B27="","",IFERROR(INDEX(품목마스터!$G$3:$G$302,MATCH("R"&amp;21,품목검색!$J$3:$J$302,0)),0))</f>
        <v/>
      </c>
      <c r="H27" s="17" t="b">
        <f aca="false">IF(품목마스터!$A27="",FALSE(),IF($B$3="",TRUE(),ISNUMBER(SEARCH($B$3,품목마스터!$B27&amp;" "&amp;품목마스터!$C27&amp;" "&amp;품목마스터!$A27))))</f>
        <v>0</v>
      </c>
      <c r="I27" s="5" t="str">
        <f aca="false">IF($H27=FALSE(),"",COUNTIF($H$3:$H27,TRUE()))</f>
        <v/>
      </c>
      <c r="J27" s="5" t="str">
        <f aca="false">IF($I27="","","R"&amp;$I27)</f>
        <v/>
      </c>
    </row>
    <row r="28" customFormat="false" ht="15" hidden="false" customHeight="true" outlineLevel="0" collapsed="false">
      <c r="A28" s="19" t="n">
        <v>22</v>
      </c>
      <c r="B28" s="12" t="str">
        <f aca="false">IFERROR(INDEX(품목마스터!$A$3:$A$302,MATCH("R"&amp;22,품목검색!$J$3:$J$302,0)),"")</f>
        <v/>
      </c>
      <c r="C28" s="12" t="str">
        <f aca="false">IF($B28="","",IFERROR(INDEX(품목마스터!$B$3:$B$302,MATCH("R"&amp;22,품목검색!$J$3:$J$302,0)),""))</f>
        <v/>
      </c>
      <c r="D28" s="12" t="str">
        <f aca="false">IF($B28="","",IFERROR(INDEX(품목마스터!$C$3:$C$302,MATCH("R"&amp;22,품목검색!$J$3:$J$302,0)),""))</f>
        <v/>
      </c>
      <c r="E28" s="12" t="str">
        <f aca="false">IF($B28="","",IFERROR(INDEX(품목마스터!$D$3:$D$302,MATCH("R"&amp;22,품목검색!$J$3:$J$302,0)),""))</f>
        <v/>
      </c>
      <c r="F28" s="13" t="str">
        <f aca="false">IF($B28="","",IFERROR(INDEX(품목마스터!$F$3:$F$302,MATCH("R"&amp;22,품목검색!$J$3:$J$302,0)),0)+SUMIFS(입출고내역!$L$3:$L$1002,입출고내역!$C$3:$C$1002,$B28))</f>
        <v/>
      </c>
      <c r="G28" s="13" t="str">
        <f aca="false">IF($B28="","",IFERROR(INDEX(품목마스터!$G$3:$G$302,MATCH("R"&amp;22,품목검색!$J$3:$J$302,0)),0))</f>
        <v/>
      </c>
      <c r="H28" s="17" t="b">
        <f aca="false">IF(품목마스터!$A28="",FALSE(),IF($B$3="",TRUE(),ISNUMBER(SEARCH($B$3,품목마스터!$B28&amp;" "&amp;품목마스터!$C28&amp;" "&amp;품목마스터!$A28))))</f>
        <v>0</v>
      </c>
      <c r="I28" s="5" t="str">
        <f aca="false">IF($H28=FALSE(),"",COUNTIF($H$3:$H28,TRUE()))</f>
        <v/>
      </c>
      <c r="J28" s="5" t="str">
        <f aca="false">IF($I28="","","R"&amp;$I28)</f>
        <v/>
      </c>
    </row>
    <row r="29" customFormat="false" ht="15" hidden="false" customHeight="true" outlineLevel="0" collapsed="false">
      <c r="A29" s="19" t="n">
        <v>23</v>
      </c>
      <c r="B29" s="12" t="str">
        <f aca="false">IFERROR(INDEX(품목마스터!$A$3:$A$302,MATCH("R"&amp;23,품목검색!$J$3:$J$302,0)),"")</f>
        <v/>
      </c>
      <c r="C29" s="12" t="str">
        <f aca="false">IF($B29="","",IFERROR(INDEX(품목마스터!$B$3:$B$302,MATCH("R"&amp;23,품목검색!$J$3:$J$302,0)),""))</f>
        <v/>
      </c>
      <c r="D29" s="12" t="str">
        <f aca="false">IF($B29="","",IFERROR(INDEX(품목마스터!$C$3:$C$302,MATCH("R"&amp;23,품목검색!$J$3:$J$302,0)),""))</f>
        <v/>
      </c>
      <c r="E29" s="12" t="str">
        <f aca="false">IF($B29="","",IFERROR(INDEX(품목마스터!$D$3:$D$302,MATCH("R"&amp;23,품목검색!$J$3:$J$302,0)),""))</f>
        <v/>
      </c>
      <c r="F29" s="13" t="str">
        <f aca="false">IF($B29="","",IFERROR(INDEX(품목마스터!$F$3:$F$302,MATCH("R"&amp;23,품목검색!$J$3:$J$302,0)),0)+SUMIFS(입출고내역!$L$3:$L$1002,입출고내역!$C$3:$C$1002,$B29))</f>
        <v/>
      </c>
      <c r="G29" s="13" t="str">
        <f aca="false">IF($B29="","",IFERROR(INDEX(품목마스터!$G$3:$G$302,MATCH("R"&amp;23,품목검색!$J$3:$J$302,0)),0))</f>
        <v/>
      </c>
      <c r="H29" s="17" t="b">
        <f aca="false">IF(품목마스터!$A29="",FALSE(),IF($B$3="",TRUE(),ISNUMBER(SEARCH($B$3,품목마스터!$B29&amp;" "&amp;품목마스터!$C29&amp;" "&amp;품목마스터!$A29))))</f>
        <v>0</v>
      </c>
      <c r="I29" s="5" t="str">
        <f aca="false">IF($H29=FALSE(),"",COUNTIF($H$3:$H29,TRUE()))</f>
        <v/>
      </c>
      <c r="J29" s="5" t="str">
        <f aca="false">IF($I29="","","R"&amp;$I29)</f>
        <v/>
      </c>
    </row>
    <row r="30" customFormat="false" ht="15" hidden="false" customHeight="true" outlineLevel="0" collapsed="false">
      <c r="A30" s="19" t="n">
        <v>24</v>
      </c>
      <c r="B30" s="12" t="str">
        <f aca="false">IFERROR(INDEX(품목마스터!$A$3:$A$302,MATCH("R"&amp;24,품목검색!$J$3:$J$302,0)),"")</f>
        <v/>
      </c>
      <c r="C30" s="12" t="str">
        <f aca="false">IF($B30="","",IFERROR(INDEX(품목마스터!$B$3:$B$302,MATCH("R"&amp;24,품목검색!$J$3:$J$302,0)),""))</f>
        <v/>
      </c>
      <c r="D30" s="12" t="str">
        <f aca="false">IF($B30="","",IFERROR(INDEX(품목마스터!$C$3:$C$302,MATCH("R"&amp;24,품목검색!$J$3:$J$302,0)),""))</f>
        <v/>
      </c>
      <c r="E30" s="12" t="str">
        <f aca="false">IF($B30="","",IFERROR(INDEX(품목마스터!$D$3:$D$302,MATCH("R"&amp;24,품목검색!$J$3:$J$302,0)),""))</f>
        <v/>
      </c>
      <c r="F30" s="13" t="str">
        <f aca="false">IF($B30="","",IFERROR(INDEX(품목마스터!$F$3:$F$302,MATCH("R"&amp;24,품목검색!$J$3:$J$302,0)),0)+SUMIFS(입출고내역!$L$3:$L$1002,입출고내역!$C$3:$C$1002,$B30))</f>
        <v/>
      </c>
      <c r="G30" s="13" t="str">
        <f aca="false">IF($B30="","",IFERROR(INDEX(품목마스터!$G$3:$G$302,MATCH("R"&amp;24,품목검색!$J$3:$J$302,0)),0))</f>
        <v/>
      </c>
      <c r="H30" s="17" t="b">
        <f aca="false">IF(품목마스터!$A30="",FALSE(),IF($B$3="",TRUE(),ISNUMBER(SEARCH($B$3,품목마스터!$B30&amp;" "&amp;품목마스터!$C30&amp;" "&amp;품목마스터!$A30))))</f>
        <v>0</v>
      </c>
      <c r="I30" s="5" t="str">
        <f aca="false">IF($H30=FALSE(),"",COUNTIF($H$3:$H30,TRUE()))</f>
        <v/>
      </c>
      <c r="J30" s="5" t="str">
        <f aca="false">IF($I30="","","R"&amp;$I30)</f>
        <v/>
      </c>
    </row>
    <row r="31" customFormat="false" ht="15" hidden="false" customHeight="true" outlineLevel="0" collapsed="false">
      <c r="A31" s="19" t="n">
        <v>25</v>
      </c>
      <c r="B31" s="12" t="str">
        <f aca="false">IFERROR(INDEX(품목마스터!$A$3:$A$302,MATCH("R"&amp;25,품목검색!$J$3:$J$302,0)),"")</f>
        <v/>
      </c>
      <c r="C31" s="12" t="str">
        <f aca="false">IF($B31="","",IFERROR(INDEX(품목마스터!$B$3:$B$302,MATCH("R"&amp;25,품목검색!$J$3:$J$302,0)),""))</f>
        <v/>
      </c>
      <c r="D31" s="12" t="str">
        <f aca="false">IF($B31="","",IFERROR(INDEX(품목마스터!$C$3:$C$302,MATCH("R"&amp;25,품목검색!$J$3:$J$302,0)),""))</f>
        <v/>
      </c>
      <c r="E31" s="12" t="str">
        <f aca="false">IF($B31="","",IFERROR(INDEX(품목마스터!$D$3:$D$302,MATCH("R"&amp;25,품목검색!$J$3:$J$302,0)),""))</f>
        <v/>
      </c>
      <c r="F31" s="13" t="str">
        <f aca="false">IF($B31="","",IFERROR(INDEX(품목마스터!$F$3:$F$302,MATCH("R"&amp;25,품목검색!$J$3:$J$302,0)),0)+SUMIFS(입출고내역!$L$3:$L$1002,입출고내역!$C$3:$C$1002,$B31))</f>
        <v/>
      </c>
      <c r="G31" s="13" t="str">
        <f aca="false">IF($B31="","",IFERROR(INDEX(품목마스터!$G$3:$G$302,MATCH("R"&amp;25,품목검색!$J$3:$J$302,0)),0))</f>
        <v/>
      </c>
      <c r="H31" s="17" t="b">
        <f aca="false">IF(품목마스터!$A31="",FALSE(),IF($B$3="",TRUE(),ISNUMBER(SEARCH($B$3,품목마스터!$B31&amp;" "&amp;품목마스터!$C31&amp;" "&amp;품목마스터!$A31))))</f>
        <v>0</v>
      </c>
      <c r="I31" s="5" t="str">
        <f aca="false">IF($H31=FALSE(),"",COUNTIF($H$3:$H31,TRUE()))</f>
        <v/>
      </c>
      <c r="J31" s="5" t="str">
        <f aca="false">IF($I31="","","R"&amp;$I31)</f>
        <v/>
      </c>
    </row>
    <row r="32" customFormat="false" ht="15" hidden="false" customHeight="true" outlineLevel="0" collapsed="false">
      <c r="A32" s="19" t="n">
        <v>26</v>
      </c>
      <c r="B32" s="12" t="str">
        <f aca="false">IFERROR(INDEX(품목마스터!$A$3:$A$302,MATCH("R"&amp;26,품목검색!$J$3:$J$302,0)),"")</f>
        <v/>
      </c>
      <c r="C32" s="12" t="str">
        <f aca="false">IF($B32="","",IFERROR(INDEX(품목마스터!$B$3:$B$302,MATCH("R"&amp;26,품목검색!$J$3:$J$302,0)),""))</f>
        <v/>
      </c>
      <c r="D32" s="12" t="str">
        <f aca="false">IF($B32="","",IFERROR(INDEX(품목마스터!$C$3:$C$302,MATCH("R"&amp;26,품목검색!$J$3:$J$302,0)),""))</f>
        <v/>
      </c>
      <c r="E32" s="12" t="str">
        <f aca="false">IF($B32="","",IFERROR(INDEX(품목마스터!$D$3:$D$302,MATCH("R"&amp;26,품목검색!$J$3:$J$302,0)),""))</f>
        <v/>
      </c>
      <c r="F32" s="13" t="str">
        <f aca="false">IF($B32="","",IFERROR(INDEX(품목마스터!$F$3:$F$302,MATCH("R"&amp;26,품목검색!$J$3:$J$302,0)),0)+SUMIFS(입출고내역!$L$3:$L$1002,입출고내역!$C$3:$C$1002,$B32))</f>
        <v/>
      </c>
      <c r="G32" s="13" t="str">
        <f aca="false">IF($B32="","",IFERROR(INDEX(품목마스터!$G$3:$G$302,MATCH("R"&amp;26,품목검색!$J$3:$J$302,0)),0))</f>
        <v/>
      </c>
      <c r="H32" s="17" t="b">
        <f aca="false">IF(품목마스터!$A32="",FALSE(),IF($B$3="",TRUE(),ISNUMBER(SEARCH($B$3,품목마스터!$B32&amp;" "&amp;품목마스터!$C32&amp;" "&amp;품목마스터!$A32))))</f>
        <v>0</v>
      </c>
      <c r="I32" s="5" t="str">
        <f aca="false">IF($H32=FALSE(),"",COUNTIF($H$3:$H32,TRUE()))</f>
        <v/>
      </c>
      <c r="J32" s="5" t="str">
        <f aca="false">IF($I32="","","R"&amp;$I32)</f>
        <v/>
      </c>
    </row>
    <row r="33" customFormat="false" ht="15" hidden="false" customHeight="true" outlineLevel="0" collapsed="false">
      <c r="A33" s="19" t="n">
        <v>27</v>
      </c>
      <c r="B33" s="12" t="str">
        <f aca="false">IFERROR(INDEX(품목마스터!$A$3:$A$302,MATCH("R"&amp;27,품목검색!$J$3:$J$302,0)),"")</f>
        <v/>
      </c>
      <c r="C33" s="12" t="str">
        <f aca="false">IF($B33="","",IFERROR(INDEX(품목마스터!$B$3:$B$302,MATCH("R"&amp;27,품목검색!$J$3:$J$302,0)),""))</f>
        <v/>
      </c>
      <c r="D33" s="12" t="str">
        <f aca="false">IF($B33="","",IFERROR(INDEX(품목마스터!$C$3:$C$302,MATCH("R"&amp;27,품목검색!$J$3:$J$302,0)),""))</f>
        <v/>
      </c>
      <c r="E33" s="12" t="str">
        <f aca="false">IF($B33="","",IFERROR(INDEX(품목마스터!$D$3:$D$302,MATCH("R"&amp;27,품목검색!$J$3:$J$302,0)),""))</f>
        <v/>
      </c>
      <c r="F33" s="13" t="str">
        <f aca="false">IF($B33="","",IFERROR(INDEX(품목마스터!$F$3:$F$302,MATCH("R"&amp;27,품목검색!$J$3:$J$302,0)),0)+SUMIFS(입출고내역!$L$3:$L$1002,입출고내역!$C$3:$C$1002,$B33))</f>
        <v/>
      </c>
      <c r="G33" s="13" t="str">
        <f aca="false">IF($B33="","",IFERROR(INDEX(품목마스터!$G$3:$G$302,MATCH("R"&amp;27,품목검색!$J$3:$J$302,0)),0))</f>
        <v/>
      </c>
      <c r="H33" s="17" t="b">
        <f aca="false">IF(품목마스터!$A33="",FALSE(),IF($B$3="",TRUE(),ISNUMBER(SEARCH($B$3,품목마스터!$B33&amp;" "&amp;품목마스터!$C33&amp;" "&amp;품목마스터!$A33))))</f>
        <v>0</v>
      </c>
      <c r="I33" s="5" t="str">
        <f aca="false">IF($H33=FALSE(),"",COUNTIF($H$3:$H33,TRUE()))</f>
        <v/>
      </c>
      <c r="J33" s="5" t="str">
        <f aca="false">IF($I33="","","R"&amp;$I33)</f>
        <v/>
      </c>
    </row>
    <row r="34" customFormat="false" ht="15" hidden="false" customHeight="true" outlineLevel="0" collapsed="false">
      <c r="A34" s="19" t="n">
        <v>28</v>
      </c>
      <c r="B34" s="12" t="str">
        <f aca="false">IFERROR(INDEX(품목마스터!$A$3:$A$302,MATCH("R"&amp;28,품목검색!$J$3:$J$302,0)),"")</f>
        <v/>
      </c>
      <c r="C34" s="12" t="str">
        <f aca="false">IF($B34="","",IFERROR(INDEX(품목마스터!$B$3:$B$302,MATCH("R"&amp;28,품목검색!$J$3:$J$302,0)),""))</f>
        <v/>
      </c>
      <c r="D34" s="12" t="str">
        <f aca="false">IF($B34="","",IFERROR(INDEX(품목마스터!$C$3:$C$302,MATCH("R"&amp;28,품목검색!$J$3:$J$302,0)),""))</f>
        <v/>
      </c>
      <c r="E34" s="12" t="str">
        <f aca="false">IF($B34="","",IFERROR(INDEX(품목마스터!$D$3:$D$302,MATCH("R"&amp;28,품목검색!$J$3:$J$302,0)),""))</f>
        <v/>
      </c>
      <c r="F34" s="13" t="str">
        <f aca="false">IF($B34="","",IFERROR(INDEX(품목마스터!$F$3:$F$302,MATCH("R"&amp;28,품목검색!$J$3:$J$302,0)),0)+SUMIFS(입출고내역!$L$3:$L$1002,입출고내역!$C$3:$C$1002,$B34))</f>
        <v/>
      </c>
      <c r="G34" s="13" t="str">
        <f aca="false">IF($B34="","",IFERROR(INDEX(품목마스터!$G$3:$G$302,MATCH("R"&amp;28,품목검색!$J$3:$J$302,0)),0))</f>
        <v/>
      </c>
      <c r="H34" s="17" t="b">
        <f aca="false">IF(품목마스터!$A34="",FALSE(),IF($B$3="",TRUE(),ISNUMBER(SEARCH($B$3,품목마스터!$B34&amp;" "&amp;품목마스터!$C34&amp;" "&amp;품목마스터!$A34))))</f>
        <v>0</v>
      </c>
      <c r="I34" s="5" t="str">
        <f aca="false">IF($H34=FALSE(),"",COUNTIF($H$3:$H34,TRUE()))</f>
        <v/>
      </c>
      <c r="J34" s="5" t="str">
        <f aca="false">IF($I34="","","R"&amp;$I34)</f>
        <v/>
      </c>
    </row>
    <row r="35" customFormat="false" ht="15" hidden="false" customHeight="true" outlineLevel="0" collapsed="false">
      <c r="A35" s="19" t="n">
        <v>29</v>
      </c>
      <c r="B35" s="12" t="str">
        <f aca="false">IFERROR(INDEX(품목마스터!$A$3:$A$302,MATCH("R"&amp;29,품목검색!$J$3:$J$302,0)),"")</f>
        <v/>
      </c>
      <c r="C35" s="12" t="str">
        <f aca="false">IF($B35="","",IFERROR(INDEX(품목마스터!$B$3:$B$302,MATCH("R"&amp;29,품목검색!$J$3:$J$302,0)),""))</f>
        <v/>
      </c>
      <c r="D35" s="12" t="str">
        <f aca="false">IF($B35="","",IFERROR(INDEX(품목마스터!$C$3:$C$302,MATCH("R"&amp;29,품목검색!$J$3:$J$302,0)),""))</f>
        <v/>
      </c>
      <c r="E35" s="12" t="str">
        <f aca="false">IF($B35="","",IFERROR(INDEX(품목마스터!$D$3:$D$302,MATCH("R"&amp;29,품목검색!$J$3:$J$302,0)),""))</f>
        <v/>
      </c>
      <c r="F35" s="13" t="str">
        <f aca="false">IF($B35="","",IFERROR(INDEX(품목마스터!$F$3:$F$302,MATCH("R"&amp;29,품목검색!$J$3:$J$302,0)),0)+SUMIFS(입출고내역!$L$3:$L$1002,입출고내역!$C$3:$C$1002,$B35))</f>
        <v/>
      </c>
      <c r="G35" s="13" t="str">
        <f aca="false">IF($B35="","",IFERROR(INDEX(품목마스터!$G$3:$G$302,MATCH("R"&amp;29,품목검색!$J$3:$J$302,0)),0))</f>
        <v/>
      </c>
      <c r="H35" s="17" t="b">
        <f aca="false">IF(품목마스터!$A35="",FALSE(),IF($B$3="",TRUE(),ISNUMBER(SEARCH($B$3,품목마스터!$B35&amp;" "&amp;품목마스터!$C35&amp;" "&amp;품목마스터!$A35))))</f>
        <v>0</v>
      </c>
      <c r="I35" s="5" t="str">
        <f aca="false">IF($H35=FALSE(),"",COUNTIF($H$3:$H35,TRUE()))</f>
        <v/>
      </c>
      <c r="J35" s="5" t="str">
        <f aca="false">IF($I35="","","R"&amp;$I35)</f>
        <v/>
      </c>
    </row>
    <row r="36" customFormat="false" ht="15" hidden="false" customHeight="true" outlineLevel="0" collapsed="false">
      <c r="A36" s="19" t="n">
        <v>30</v>
      </c>
      <c r="B36" s="12" t="str">
        <f aca="false">IFERROR(INDEX(품목마스터!$A$3:$A$302,MATCH("R"&amp;30,품목검색!$J$3:$J$302,0)),"")</f>
        <v/>
      </c>
      <c r="C36" s="12" t="str">
        <f aca="false">IF($B36="","",IFERROR(INDEX(품목마스터!$B$3:$B$302,MATCH("R"&amp;30,품목검색!$J$3:$J$302,0)),""))</f>
        <v/>
      </c>
      <c r="D36" s="12" t="str">
        <f aca="false">IF($B36="","",IFERROR(INDEX(품목마스터!$C$3:$C$302,MATCH("R"&amp;30,품목검색!$J$3:$J$302,0)),""))</f>
        <v/>
      </c>
      <c r="E36" s="12" t="str">
        <f aca="false">IF($B36="","",IFERROR(INDEX(품목마스터!$D$3:$D$302,MATCH("R"&amp;30,품목검색!$J$3:$J$302,0)),""))</f>
        <v/>
      </c>
      <c r="F36" s="13" t="str">
        <f aca="false">IF($B36="","",IFERROR(INDEX(품목마스터!$F$3:$F$302,MATCH("R"&amp;30,품목검색!$J$3:$J$302,0)),0)+SUMIFS(입출고내역!$L$3:$L$1002,입출고내역!$C$3:$C$1002,$B36))</f>
        <v/>
      </c>
      <c r="G36" s="13" t="str">
        <f aca="false">IF($B36="","",IFERROR(INDEX(품목마스터!$G$3:$G$302,MATCH("R"&amp;30,품목검색!$J$3:$J$302,0)),0))</f>
        <v/>
      </c>
      <c r="H36" s="17" t="b">
        <f aca="false">IF(품목마스터!$A36="",FALSE(),IF($B$3="",TRUE(),ISNUMBER(SEARCH($B$3,품목마스터!$B36&amp;" "&amp;품목마스터!$C36&amp;" "&amp;품목마스터!$A36))))</f>
        <v>0</v>
      </c>
      <c r="I36" s="5" t="str">
        <f aca="false">IF($H36=FALSE(),"",COUNTIF($H$3:$H36,TRUE()))</f>
        <v/>
      </c>
      <c r="J36" s="5" t="str">
        <f aca="false">IF($I36="","","R"&amp;$I36)</f>
        <v/>
      </c>
    </row>
    <row r="37" customFormat="false" ht="15" hidden="false" customHeight="true" outlineLevel="0" collapsed="false">
      <c r="A37" s="19" t="n">
        <v>31</v>
      </c>
      <c r="B37" s="12" t="str">
        <f aca="false">IFERROR(INDEX(품목마스터!$A$3:$A$302,MATCH("R"&amp;31,품목검색!$J$3:$J$302,0)),"")</f>
        <v/>
      </c>
      <c r="C37" s="12" t="str">
        <f aca="false">IF($B37="","",IFERROR(INDEX(품목마스터!$B$3:$B$302,MATCH("R"&amp;31,품목검색!$J$3:$J$302,0)),""))</f>
        <v/>
      </c>
      <c r="D37" s="12" t="str">
        <f aca="false">IF($B37="","",IFERROR(INDEX(품목마스터!$C$3:$C$302,MATCH("R"&amp;31,품목검색!$J$3:$J$302,0)),""))</f>
        <v/>
      </c>
      <c r="E37" s="12" t="str">
        <f aca="false">IF($B37="","",IFERROR(INDEX(품목마스터!$D$3:$D$302,MATCH("R"&amp;31,품목검색!$J$3:$J$302,0)),""))</f>
        <v/>
      </c>
      <c r="F37" s="13" t="str">
        <f aca="false">IF($B37="","",IFERROR(INDEX(품목마스터!$F$3:$F$302,MATCH("R"&amp;31,품목검색!$J$3:$J$302,0)),0)+SUMIFS(입출고내역!$L$3:$L$1002,입출고내역!$C$3:$C$1002,$B37))</f>
        <v/>
      </c>
      <c r="G37" s="13" t="str">
        <f aca="false">IF($B37="","",IFERROR(INDEX(품목마스터!$G$3:$G$302,MATCH("R"&amp;31,품목검색!$J$3:$J$302,0)),0))</f>
        <v/>
      </c>
      <c r="H37" s="17" t="b">
        <f aca="false">IF(품목마스터!$A37="",FALSE(),IF($B$3="",TRUE(),ISNUMBER(SEARCH($B$3,품목마스터!$B37&amp;" "&amp;품목마스터!$C37&amp;" "&amp;품목마스터!$A37))))</f>
        <v>0</v>
      </c>
      <c r="I37" s="5" t="str">
        <f aca="false">IF($H37=FALSE(),"",COUNTIF($H$3:$H37,TRUE()))</f>
        <v/>
      </c>
      <c r="J37" s="5" t="str">
        <f aca="false">IF($I37="","","R"&amp;$I37)</f>
        <v/>
      </c>
    </row>
    <row r="38" customFormat="false" ht="15" hidden="false" customHeight="true" outlineLevel="0" collapsed="false">
      <c r="A38" s="19" t="n">
        <v>32</v>
      </c>
      <c r="B38" s="12" t="str">
        <f aca="false">IFERROR(INDEX(품목마스터!$A$3:$A$302,MATCH("R"&amp;32,품목검색!$J$3:$J$302,0)),"")</f>
        <v/>
      </c>
      <c r="C38" s="12" t="str">
        <f aca="false">IF($B38="","",IFERROR(INDEX(품목마스터!$B$3:$B$302,MATCH("R"&amp;32,품목검색!$J$3:$J$302,0)),""))</f>
        <v/>
      </c>
      <c r="D38" s="12" t="str">
        <f aca="false">IF($B38="","",IFERROR(INDEX(품목마스터!$C$3:$C$302,MATCH("R"&amp;32,품목검색!$J$3:$J$302,0)),""))</f>
        <v/>
      </c>
      <c r="E38" s="12" t="str">
        <f aca="false">IF($B38="","",IFERROR(INDEX(품목마스터!$D$3:$D$302,MATCH("R"&amp;32,품목검색!$J$3:$J$302,0)),""))</f>
        <v/>
      </c>
      <c r="F38" s="13" t="str">
        <f aca="false">IF($B38="","",IFERROR(INDEX(품목마스터!$F$3:$F$302,MATCH("R"&amp;32,품목검색!$J$3:$J$302,0)),0)+SUMIFS(입출고내역!$L$3:$L$1002,입출고내역!$C$3:$C$1002,$B38))</f>
        <v/>
      </c>
      <c r="G38" s="13" t="str">
        <f aca="false">IF($B38="","",IFERROR(INDEX(품목마스터!$G$3:$G$302,MATCH("R"&amp;32,품목검색!$J$3:$J$302,0)),0))</f>
        <v/>
      </c>
      <c r="H38" s="17" t="b">
        <f aca="false">IF(품목마스터!$A38="",FALSE(),IF($B$3="",TRUE(),ISNUMBER(SEARCH($B$3,품목마스터!$B38&amp;" "&amp;품목마스터!$C38&amp;" "&amp;품목마스터!$A38))))</f>
        <v>0</v>
      </c>
      <c r="I38" s="5" t="str">
        <f aca="false">IF($H38=FALSE(),"",COUNTIF($H$3:$H38,TRUE()))</f>
        <v/>
      </c>
      <c r="J38" s="5" t="str">
        <f aca="false">IF($I38="","","R"&amp;$I38)</f>
        <v/>
      </c>
    </row>
    <row r="39" customFormat="false" ht="15" hidden="false" customHeight="true" outlineLevel="0" collapsed="false">
      <c r="A39" s="19" t="n">
        <v>33</v>
      </c>
      <c r="B39" s="12" t="str">
        <f aca="false">IFERROR(INDEX(품목마스터!$A$3:$A$302,MATCH("R"&amp;33,품목검색!$J$3:$J$302,0)),"")</f>
        <v/>
      </c>
      <c r="C39" s="12" t="str">
        <f aca="false">IF($B39="","",IFERROR(INDEX(품목마스터!$B$3:$B$302,MATCH("R"&amp;33,품목검색!$J$3:$J$302,0)),""))</f>
        <v/>
      </c>
      <c r="D39" s="12" t="str">
        <f aca="false">IF($B39="","",IFERROR(INDEX(품목마스터!$C$3:$C$302,MATCH("R"&amp;33,품목검색!$J$3:$J$302,0)),""))</f>
        <v/>
      </c>
      <c r="E39" s="12" t="str">
        <f aca="false">IF($B39="","",IFERROR(INDEX(품목마스터!$D$3:$D$302,MATCH("R"&amp;33,품목검색!$J$3:$J$302,0)),""))</f>
        <v/>
      </c>
      <c r="F39" s="13" t="str">
        <f aca="false">IF($B39="","",IFERROR(INDEX(품목마스터!$F$3:$F$302,MATCH("R"&amp;33,품목검색!$J$3:$J$302,0)),0)+SUMIFS(입출고내역!$L$3:$L$1002,입출고내역!$C$3:$C$1002,$B39))</f>
        <v/>
      </c>
      <c r="G39" s="13" t="str">
        <f aca="false">IF($B39="","",IFERROR(INDEX(품목마스터!$G$3:$G$302,MATCH("R"&amp;33,품목검색!$J$3:$J$302,0)),0))</f>
        <v/>
      </c>
      <c r="H39" s="17" t="b">
        <f aca="false">IF(품목마스터!$A39="",FALSE(),IF($B$3="",TRUE(),ISNUMBER(SEARCH($B$3,품목마스터!$B39&amp;" "&amp;품목마스터!$C39&amp;" "&amp;품목마스터!$A39))))</f>
        <v>0</v>
      </c>
      <c r="I39" s="5" t="str">
        <f aca="false">IF($H39=FALSE(),"",COUNTIF($H$3:$H39,TRUE()))</f>
        <v/>
      </c>
      <c r="J39" s="5" t="str">
        <f aca="false">IF($I39="","","R"&amp;$I39)</f>
        <v/>
      </c>
    </row>
    <row r="40" customFormat="false" ht="15" hidden="false" customHeight="true" outlineLevel="0" collapsed="false">
      <c r="A40" s="19" t="n">
        <v>34</v>
      </c>
      <c r="B40" s="12" t="str">
        <f aca="false">IFERROR(INDEX(품목마스터!$A$3:$A$302,MATCH("R"&amp;34,품목검색!$J$3:$J$302,0)),"")</f>
        <v/>
      </c>
      <c r="C40" s="12" t="str">
        <f aca="false">IF($B40="","",IFERROR(INDEX(품목마스터!$B$3:$B$302,MATCH("R"&amp;34,품목검색!$J$3:$J$302,0)),""))</f>
        <v/>
      </c>
      <c r="D40" s="12" t="str">
        <f aca="false">IF($B40="","",IFERROR(INDEX(품목마스터!$C$3:$C$302,MATCH("R"&amp;34,품목검색!$J$3:$J$302,0)),""))</f>
        <v/>
      </c>
      <c r="E40" s="12" t="str">
        <f aca="false">IF($B40="","",IFERROR(INDEX(품목마스터!$D$3:$D$302,MATCH("R"&amp;34,품목검색!$J$3:$J$302,0)),""))</f>
        <v/>
      </c>
      <c r="F40" s="13" t="str">
        <f aca="false">IF($B40="","",IFERROR(INDEX(품목마스터!$F$3:$F$302,MATCH("R"&amp;34,품목검색!$J$3:$J$302,0)),0)+SUMIFS(입출고내역!$L$3:$L$1002,입출고내역!$C$3:$C$1002,$B40))</f>
        <v/>
      </c>
      <c r="G40" s="13" t="str">
        <f aca="false">IF($B40="","",IFERROR(INDEX(품목마스터!$G$3:$G$302,MATCH("R"&amp;34,품목검색!$J$3:$J$302,0)),0))</f>
        <v/>
      </c>
      <c r="H40" s="17" t="b">
        <f aca="false">IF(품목마스터!$A40="",FALSE(),IF($B$3="",TRUE(),ISNUMBER(SEARCH($B$3,품목마스터!$B40&amp;" "&amp;품목마스터!$C40&amp;" "&amp;품목마스터!$A40))))</f>
        <v>0</v>
      </c>
      <c r="I40" s="5" t="str">
        <f aca="false">IF($H40=FALSE(),"",COUNTIF($H$3:$H40,TRUE()))</f>
        <v/>
      </c>
      <c r="J40" s="5" t="str">
        <f aca="false">IF($I40="","","R"&amp;$I40)</f>
        <v/>
      </c>
    </row>
    <row r="41" customFormat="false" ht="15" hidden="false" customHeight="true" outlineLevel="0" collapsed="false">
      <c r="A41" s="19" t="n">
        <v>35</v>
      </c>
      <c r="B41" s="12" t="str">
        <f aca="false">IFERROR(INDEX(품목마스터!$A$3:$A$302,MATCH("R"&amp;35,품목검색!$J$3:$J$302,0)),"")</f>
        <v/>
      </c>
      <c r="C41" s="12" t="str">
        <f aca="false">IF($B41="","",IFERROR(INDEX(품목마스터!$B$3:$B$302,MATCH("R"&amp;35,품목검색!$J$3:$J$302,0)),""))</f>
        <v/>
      </c>
      <c r="D41" s="12" t="str">
        <f aca="false">IF($B41="","",IFERROR(INDEX(품목마스터!$C$3:$C$302,MATCH("R"&amp;35,품목검색!$J$3:$J$302,0)),""))</f>
        <v/>
      </c>
      <c r="E41" s="12" t="str">
        <f aca="false">IF($B41="","",IFERROR(INDEX(품목마스터!$D$3:$D$302,MATCH("R"&amp;35,품목검색!$J$3:$J$302,0)),""))</f>
        <v/>
      </c>
      <c r="F41" s="13" t="str">
        <f aca="false">IF($B41="","",IFERROR(INDEX(품목마스터!$F$3:$F$302,MATCH("R"&amp;35,품목검색!$J$3:$J$302,0)),0)+SUMIFS(입출고내역!$L$3:$L$1002,입출고내역!$C$3:$C$1002,$B41))</f>
        <v/>
      </c>
      <c r="G41" s="13" t="str">
        <f aca="false">IF($B41="","",IFERROR(INDEX(품목마스터!$G$3:$G$302,MATCH("R"&amp;35,품목검색!$J$3:$J$302,0)),0))</f>
        <v/>
      </c>
      <c r="H41" s="17" t="b">
        <f aca="false">IF(품목마스터!$A41="",FALSE(),IF($B$3="",TRUE(),ISNUMBER(SEARCH($B$3,품목마스터!$B41&amp;" "&amp;품목마스터!$C41&amp;" "&amp;품목마스터!$A41))))</f>
        <v>0</v>
      </c>
      <c r="I41" s="5" t="str">
        <f aca="false">IF($H41=FALSE(),"",COUNTIF($H$3:$H41,TRUE()))</f>
        <v/>
      </c>
      <c r="J41" s="5" t="str">
        <f aca="false">IF($I41="","","R"&amp;$I41)</f>
        <v/>
      </c>
    </row>
    <row r="42" customFormat="false" ht="15" hidden="false" customHeight="true" outlineLevel="0" collapsed="false">
      <c r="A42" s="19" t="n">
        <v>36</v>
      </c>
      <c r="B42" s="12" t="str">
        <f aca="false">IFERROR(INDEX(품목마스터!$A$3:$A$302,MATCH("R"&amp;36,품목검색!$J$3:$J$302,0)),"")</f>
        <v/>
      </c>
      <c r="C42" s="12" t="str">
        <f aca="false">IF($B42="","",IFERROR(INDEX(품목마스터!$B$3:$B$302,MATCH("R"&amp;36,품목검색!$J$3:$J$302,0)),""))</f>
        <v/>
      </c>
      <c r="D42" s="12" t="str">
        <f aca="false">IF($B42="","",IFERROR(INDEX(품목마스터!$C$3:$C$302,MATCH("R"&amp;36,품목검색!$J$3:$J$302,0)),""))</f>
        <v/>
      </c>
      <c r="E42" s="12" t="str">
        <f aca="false">IF($B42="","",IFERROR(INDEX(품목마스터!$D$3:$D$302,MATCH("R"&amp;36,품목검색!$J$3:$J$302,0)),""))</f>
        <v/>
      </c>
      <c r="F42" s="13" t="str">
        <f aca="false">IF($B42="","",IFERROR(INDEX(품목마스터!$F$3:$F$302,MATCH("R"&amp;36,품목검색!$J$3:$J$302,0)),0)+SUMIFS(입출고내역!$L$3:$L$1002,입출고내역!$C$3:$C$1002,$B42))</f>
        <v/>
      </c>
      <c r="G42" s="13" t="str">
        <f aca="false">IF($B42="","",IFERROR(INDEX(품목마스터!$G$3:$G$302,MATCH("R"&amp;36,품목검색!$J$3:$J$302,0)),0))</f>
        <v/>
      </c>
      <c r="H42" s="17" t="b">
        <f aca="false">IF(품목마스터!$A42="",FALSE(),IF($B$3="",TRUE(),ISNUMBER(SEARCH($B$3,품목마스터!$B42&amp;" "&amp;품목마스터!$C42&amp;" "&amp;품목마스터!$A42))))</f>
        <v>0</v>
      </c>
      <c r="I42" s="5" t="str">
        <f aca="false">IF($H42=FALSE(),"",COUNTIF($H$3:$H42,TRUE()))</f>
        <v/>
      </c>
      <c r="J42" s="5" t="str">
        <f aca="false">IF($I42="","","R"&amp;$I42)</f>
        <v/>
      </c>
    </row>
    <row r="43" customFormat="false" ht="15" hidden="false" customHeight="true" outlineLevel="0" collapsed="false">
      <c r="A43" s="19" t="n">
        <v>37</v>
      </c>
      <c r="B43" s="12" t="str">
        <f aca="false">IFERROR(INDEX(품목마스터!$A$3:$A$302,MATCH("R"&amp;37,품목검색!$J$3:$J$302,0)),"")</f>
        <v/>
      </c>
      <c r="C43" s="12" t="str">
        <f aca="false">IF($B43="","",IFERROR(INDEX(품목마스터!$B$3:$B$302,MATCH("R"&amp;37,품목검색!$J$3:$J$302,0)),""))</f>
        <v/>
      </c>
      <c r="D43" s="12" t="str">
        <f aca="false">IF($B43="","",IFERROR(INDEX(품목마스터!$C$3:$C$302,MATCH("R"&amp;37,품목검색!$J$3:$J$302,0)),""))</f>
        <v/>
      </c>
      <c r="E43" s="12" t="str">
        <f aca="false">IF($B43="","",IFERROR(INDEX(품목마스터!$D$3:$D$302,MATCH("R"&amp;37,품목검색!$J$3:$J$302,0)),""))</f>
        <v/>
      </c>
      <c r="F43" s="13" t="str">
        <f aca="false">IF($B43="","",IFERROR(INDEX(품목마스터!$F$3:$F$302,MATCH("R"&amp;37,품목검색!$J$3:$J$302,0)),0)+SUMIFS(입출고내역!$L$3:$L$1002,입출고내역!$C$3:$C$1002,$B43))</f>
        <v/>
      </c>
      <c r="G43" s="13" t="str">
        <f aca="false">IF($B43="","",IFERROR(INDEX(품목마스터!$G$3:$G$302,MATCH("R"&amp;37,품목검색!$J$3:$J$302,0)),0))</f>
        <v/>
      </c>
      <c r="H43" s="17" t="b">
        <f aca="false">IF(품목마스터!$A43="",FALSE(),IF($B$3="",TRUE(),ISNUMBER(SEARCH($B$3,품목마스터!$B43&amp;" "&amp;품목마스터!$C43&amp;" "&amp;품목마스터!$A43))))</f>
        <v>0</v>
      </c>
      <c r="I43" s="5" t="str">
        <f aca="false">IF($H43=FALSE(),"",COUNTIF($H$3:$H43,TRUE()))</f>
        <v/>
      </c>
      <c r="J43" s="5" t="str">
        <f aca="false">IF($I43="","","R"&amp;$I43)</f>
        <v/>
      </c>
    </row>
    <row r="44" customFormat="false" ht="15" hidden="false" customHeight="true" outlineLevel="0" collapsed="false">
      <c r="A44" s="19" t="n">
        <v>38</v>
      </c>
      <c r="B44" s="12" t="str">
        <f aca="false">IFERROR(INDEX(품목마스터!$A$3:$A$302,MATCH("R"&amp;38,품목검색!$J$3:$J$302,0)),"")</f>
        <v/>
      </c>
      <c r="C44" s="12" t="str">
        <f aca="false">IF($B44="","",IFERROR(INDEX(품목마스터!$B$3:$B$302,MATCH("R"&amp;38,품목검색!$J$3:$J$302,0)),""))</f>
        <v/>
      </c>
      <c r="D44" s="12" t="str">
        <f aca="false">IF($B44="","",IFERROR(INDEX(품목마스터!$C$3:$C$302,MATCH("R"&amp;38,품목검색!$J$3:$J$302,0)),""))</f>
        <v/>
      </c>
      <c r="E44" s="12" t="str">
        <f aca="false">IF($B44="","",IFERROR(INDEX(품목마스터!$D$3:$D$302,MATCH("R"&amp;38,품목검색!$J$3:$J$302,0)),""))</f>
        <v/>
      </c>
      <c r="F44" s="13" t="str">
        <f aca="false">IF($B44="","",IFERROR(INDEX(품목마스터!$F$3:$F$302,MATCH("R"&amp;38,품목검색!$J$3:$J$302,0)),0)+SUMIFS(입출고내역!$L$3:$L$1002,입출고내역!$C$3:$C$1002,$B44))</f>
        <v/>
      </c>
      <c r="G44" s="13" t="str">
        <f aca="false">IF($B44="","",IFERROR(INDEX(품목마스터!$G$3:$G$302,MATCH("R"&amp;38,품목검색!$J$3:$J$302,0)),0))</f>
        <v/>
      </c>
      <c r="H44" s="17" t="b">
        <f aca="false">IF(품목마스터!$A44="",FALSE(),IF($B$3="",TRUE(),ISNUMBER(SEARCH($B$3,품목마스터!$B44&amp;" "&amp;품목마스터!$C44&amp;" "&amp;품목마스터!$A44))))</f>
        <v>0</v>
      </c>
      <c r="I44" s="5" t="str">
        <f aca="false">IF($H44=FALSE(),"",COUNTIF($H$3:$H44,TRUE()))</f>
        <v/>
      </c>
      <c r="J44" s="5" t="str">
        <f aca="false">IF($I44="","","R"&amp;$I44)</f>
        <v/>
      </c>
    </row>
    <row r="45" customFormat="false" ht="15" hidden="false" customHeight="true" outlineLevel="0" collapsed="false">
      <c r="A45" s="19" t="n">
        <v>39</v>
      </c>
      <c r="B45" s="12" t="str">
        <f aca="false">IFERROR(INDEX(품목마스터!$A$3:$A$302,MATCH("R"&amp;39,품목검색!$J$3:$J$302,0)),"")</f>
        <v/>
      </c>
      <c r="C45" s="12" t="str">
        <f aca="false">IF($B45="","",IFERROR(INDEX(품목마스터!$B$3:$B$302,MATCH("R"&amp;39,품목검색!$J$3:$J$302,0)),""))</f>
        <v/>
      </c>
      <c r="D45" s="12" t="str">
        <f aca="false">IF($B45="","",IFERROR(INDEX(품목마스터!$C$3:$C$302,MATCH("R"&amp;39,품목검색!$J$3:$J$302,0)),""))</f>
        <v/>
      </c>
      <c r="E45" s="12" t="str">
        <f aca="false">IF($B45="","",IFERROR(INDEX(품목마스터!$D$3:$D$302,MATCH("R"&amp;39,품목검색!$J$3:$J$302,0)),""))</f>
        <v/>
      </c>
      <c r="F45" s="13" t="str">
        <f aca="false">IF($B45="","",IFERROR(INDEX(품목마스터!$F$3:$F$302,MATCH("R"&amp;39,품목검색!$J$3:$J$302,0)),0)+SUMIFS(입출고내역!$L$3:$L$1002,입출고내역!$C$3:$C$1002,$B45))</f>
        <v/>
      </c>
      <c r="G45" s="13" t="str">
        <f aca="false">IF($B45="","",IFERROR(INDEX(품목마스터!$G$3:$G$302,MATCH("R"&amp;39,품목검색!$J$3:$J$302,0)),0))</f>
        <v/>
      </c>
      <c r="H45" s="17" t="b">
        <f aca="false">IF(품목마스터!$A45="",FALSE(),IF($B$3="",TRUE(),ISNUMBER(SEARCH($B$3,품목마스터!$B45&amp;" "&amp;품목마스터!$C45&amp;" "&amp;품목마스터!$A45))))</f>
        <v>0</v>
      </c>
      <c r="I45" s="5" t="str">
        <f aca="false">IF($H45=FALSE(),"",COUNTIF($H$3:$H45,TRUE()))</f>
        <v/>
      </c>
      <c r="J45" s="5" t="str">
        <f aca="false">IF($I45="","","R"&amp;$I45)</f>
        <v/>
      </c>
    </row>
    <row r="46" customFormat="false" ht="15" hidden="false" customHeight="true" outlineLevel="0" collapsed="false">
      <c r="A46" s="19" t="n">
        <v>40</v>
      </c>
      <c r="B46" s="12" t="str">
        <f aca="false">IFERROR(INDEX(품목마스터!$A$3:$A$302,MATCH("R"&amp;40,품목검색!$J$3:$J$302,0)),"")</f>
        <v/>
      </c>
      <c r="C46" s="12" t="str">
        <f aca="false">IF($B46="","",IFERROR(INDEX(품목마스터!$B$3:$B$302,MATCH("R"&amp;40,품목검색!$J$3:$J$302,0)),""))</f>
        <v/>
      </c>
      <c r="D46" s="12" t="str">
        <f aca="false">IF($B46="","",IFERROR(INDEX(품목마스터!$C$3:$C$302,MATCH("R"&amp;40,품목검색!$J$3:$J$302,0)),""))</f>
        <v/>
      </c>
      <c r="E46" s="12" t="str">
        <f aca="false">IF($B46="","",IFERROR(INDEX(품목마스터!$D$3:$D$302,MATCH("R"&amp;40,품목검색!$J$3:$J$302,0)),""))</f>
        <v/>
      </c>
      <c r="F46" s="13" t="str">
        <f aca="false">IF($B46="","",IFERROR(INDEX(품목마스터!$F$3:$F$302,MATCH("R"&amp;40,품목검색!$J$3:$J$302,0)),0)+SUMIFS(입출고내역!$L$3:$L$1002,입출고내역!$C$3:$C$1002,$B46))</f>
        <v/>
      </c>
      <c r="G46" s="13" t="str">
        <f aca="false">IF($B46="","",IFERROR(INDEX(품목마스터!$G$3:$G$302,MATCH("R"&amp;40,품목검색!$J$3:$J$302,0)),0))</f>
        <v/>
      </c>
      <c r="H46" s="17" t="b">
        <f aca="false">IF(품목마스터!$A46="",FALSE(),IF($B$3="",TRUE(),ISNUMBER(SEARCH($B$3,품목마스터!$B46&amp;" "&amp;품목마스터!$C46&amp;" "&amp;품목마스터!$A46))))</f>
        <v>0</v>
      </c>
      <c r="I46" s="5" t="str">
        <f aca="false">IF($H46=FALSE(),"",COUNTIF($H$3:$H46,TRUE()))</f>
        <v/>
      </c>
      <c r="J46" s="5" t="str">
        <f aca="false">IF($I46="","","R"&amp;$I46)</f>
        <v/>
      </c>
    </row>
    <row r="47" customFormat="false" ht="15" hidden="false" customHeight="true" outlineLevel="0" collapsed="false">
      <c r="H47" s="17" t="b">
        <f aca="false">IF(품목마스터!$A47="",FALSE(),IF($B$3="",TRUE(),ISNUMBER(SEARCH($B$3,품목마스터!$B47&amp;" "&amp;품목마스터!$C47&amp;" "&amp;품목마스터!$A47))))</f>
        <v>0</v>
      </c>
      <c r="I47" s="5" t="str">
        <f aca="false">IF($H47=FALSE(),"",COUNTIF($H$3:$H47,TRUE()))</f>
        <v/>
      </c>
      <c r="J47" s="5" t="str">
        <f aca="false">IF($I47="","","R"&amp;$I47)</f>
        <v/>
      </c>
    </row>
    <row r="48" customFormat="false" ht="15" hidden="false" customHeight="true" outlineLevel="0" collapsed="false">
      <c r="A48" s="5" t="s">
        <v>72</v>
      </c>
      <c r="H48" s="17" t="b">
        <f aca="false">IF(품목마스터!$A48="",FALSE(),IF($B$3="",TRUE(),ISNUMBER(SEARCH($B$3,품목마스터!$B48&amp;" "&amp;품목마스터!$C48&amp;" "&amp;품목마스터!$A48))))</f>
        <v>0</v>
      </c>
      <c r="I48" s="5" t="str">
        <f aca="false">IF($H48=FALSE(),"",COUNTIF($H$3:$H48,TRUE()))</f>
        <v/>
      </c>
      <c r="J48" s="5" t="str">
        <f aca="false">IF($I48="","","R"&amp;$I48)</f>
        <v/>
      </c>
    </row>
    <row r="49" customFormat="false" ht="15" hidden="false" customHeight="true" outlineLevel="0" collapsed="false">
      <c r="A49" s="5" t="s">
        <v>73</v>
      </c>
      <c r="H49" s="17" t="b">
        <f aca="false">IF(품목마스터!$A49="",FALSE(),IF($B$3="",TRUE(),ISNUMBER(SEARCH($B$3,품목마스터!$B49&amp;" "&amp;품목마스터!$C49&amp;" "&amp;품목마스터!$A49))))</f>
        <v>0</v>
      </c>
      <c r="I49" s="5" t="str">
        <f aca="false">IF($H49=FALSE(),"",COUNTIF($H$3:$H49,TRUE()))</f>
        <v/>
      </c>
      <c r="J49" s="5" t="str">
        <f aca="false">IF($I49="","","R"&amp;$I49)</f>
        <v/>
      </c>
    </row>
    <row r="50" customFormat="false" ht="15" hidden="false" customHeight="true" outlineLevel="0" collapsed="false">
      <c r="H50" s="17" t="b">
        <f aca="false">IF(품목마스터!$A50="",FALSE(),IF($B$3="",TRUE(),ISNUMBER(SEARCH($B$3,품목마스터!$B50&amp;" "&amp;품목마스터!$C50&amp;" "&amp;품목마스터!$A50))))</f>
        <v>0</v>
      </c>
      <c r="I50" s="5" t="str">
        <f aca="false">IF($H50=FALSE(),"",COUNTIF($H$3:$H50,TRUE()))</f>
        <v/>
      </c>
      <c r="J50" s="5" t="str">
        <f aca="false">IF($I50="","","R"&amp;$I50)</f>
        <v/>
      </c>
    </row>
    <row r="51" customFormat="false" ht="15" hidden="false" customHeight="true" outlineLevel="0" collapsed="false">
      <c r="H51" s="17" t="b">
        <f aca="false">IF(품목마스터!$A51="",FALSE(),IF($B$3="",TRUE(),ISNUMBER(SEARCH($B$3,품목마스터!$B51&amp;" "&amp;품목마스터!$C51&amp;" "&amp;품목마스터!$A51))))</f>
        <v>0</v>
      </c>
      <c r="I51" s="5" t="str">
        <f aca="false">IF($H51=FALSE(),"",COUNTIF($H$3:$H51,TRUE()))</f>
        <v/>
      </c>
      <c r="J51" s="5" t="str">
        <f aca="false">IF($I51="","","R"&amp;$I51)</f>
        <v/>
      </c>
    </row>
    <row r="52" customFormat="false" ht="15" hidden="false" customHeight="true" outlineLevel="0" collapsed="false">
      <c r="H52" s="17" t="b">
        <f aca="false">IF(품목마스터!$A52="",FALSE(),IF($B$3="",TRUE(),ISNUMBER(SEARCH($B$3,품목마스터!$B52&amp;" "&amp;품목마스터!$C52&amp;" "&amp;품목마스터!$A52))))</f>
        <v>0</v>
      </c>
      <c r="I52" s="5" t="str">
        <f aca="false">IF($H52=FALSE(),"",COUNTIF($H$3:$H52,TRUE()))</f>
        <v/>
      </c>
      <c r="J52" s="5" t="str">
        <f aca="false">IF($I52="","","R"&amp;$I52)</f>
        <v/>
      </c>
    </row>
    <row r="53" customFormat="false" ht="15" hidden="false" customHeight="true" outlineLevel="0" collapsed="false">
      <c r="H53" s="17" t="b">
        <f aca="false">IF(품목마스터!$A53="",FALSE(),IF($B$3="",TRUE(),ISNUMBER(SEARCH($B$3,품목마스터!$B53&amp;" "&amp;품목마스터!$C53&amp;" "&amp;품목마스터!$A53))))</f>
        <v>0</v>
      </c>
      <c r="I53" s="5" t="str">
        <f aca="false">IF($H53=FALSE(),"",COUNTIF($H$3:$H53,TRUE()))</f>
        <v/>
      </c>
      <c r="J53" s="5" t="str">
        <f aca="false">IF($I53="","","R"&amp;$I53)</f>
        <v/>
      </c>
    </row>
    <row r="54" customFormat="false" ht="15" hidden="false" customHeight="true" outlineLevel="0" collapsed="false">
      <c r="H54" s="17" t="b">
        <f aca="false">IF(품목마스터!$A54="",FALSE(),IF($B$3="",TRUE(),ISNUMBER(SEARCH($B$3,품목마스터!$B54&amp;" "&amp;품목마스터!$C54&amp;" "&amp;품목마스터!$A54))))</f>
        <v>0</v>
      </c>
      <c r="I54" s="5" t="str">
        <f aca="false">IF($H54=FALSE(),"",COUNTIF($H$3:$H54,TRUE()))</f>
        <v/>
      </c>
      <c r="J54" s="5" t="str">
        <f aca="false">IF($I54="","","R"&amp;$I54)</f>
        <v/>
      </c>
    </row>
    <row r="55" customFormat="false" ht="15" hidden="false" customHeight="true" outlineLevel="0" collapsed="false">
      <c r="H55" s="17" t="b">
        <f aca="false">IF(품목마스터!$A55="",FALSE(),IF($B$3="",TRUE(),ISNUMBER(SEARCH($B$3,품목마스터!$B55&amp;" "&amp;품목마스터!$C55&amp;" "&amp;품목마스터!$A55))))</f>
        <v>0</v>
      </c>
      <c r="I55" s="5" t="str">
        <f aca="false">IF($H55=FALSE(),"",COUNTIF($H$3:$H55,TRUE()))</f>
        <v/>
      </c>
      <c r="J55" s="5" t="str">
        <f aca="false">IF($I55="","","R"&amp;$I55)</f>
        <v/>
      </c>
    </row>
    <row r="56" customFormat="false" ht="15" hidden="false" customHeight="true" outlineLevel="0" collapsed="false">
      <c r="H56" s="17" t="b">
        <f aca="false">IF(품목마스터!$A56="",FALSE(),IF($B$3="",TRUE(),ISNUMBER(SEARCH($B$3,품목마스터!$B56&amp;" "&amp;품목마스터!$C56&amp;" "&amp;품목마스터!$A56))))</f>
        <v>0</v>
      </c>
      <c r="I56" s="5" t="str">
        <f aca="false">IF($H56=FALSE(),"",COUNTIF($H$3:$H56,TRUE()))</f>
        <v/>
      </c>
      <c r="J56" s="5" t="str">
        <f aca="false">IF($I56="","","R"&amp;$I56)</f>
        <v/>
      </c>
    </row>
    <row r="57" customFormat="false" ht="15" hidden="false" customHeight="true" outlineLevel="0" collapsed="false">
      <c r="H57" s="17" t="b">
        <f aca="false">IF(품목마스터!$A57="",FALSE(),IF($B$3="",TRUE(),ISNUMBER(SEARCH($B$3,품목마스터!$B57&amp;" "&amp;품목마스터!$C57&amp;" "&amp;품목마스터!$A57))))</f>
        <v>0</v>
      </c>
      <c r="I57" s="5" t="str">
        <f aca="false">IF($H57=FALSE(),"",COUNTIF($H$3:$H57,TRUE()))</f>
        <v/>
      </c>
      <c r="J57" s="5" t="str">
        <f aca="false">IF($I57="","","R"&amp;$I57)</f>
        <v/>
      </c>
    </row>
    <row r="58" customFormat="false" ht="15" hidden="false" customHeight="true" outlineLevel="0" collapsed="false">
      <c r="H58" s="17" t="b">
        <f aca="false">IF(품목마스터!$A58="",FALSE(),IF($B$3="",TRUE(),ISNUMBER(SEARCH($B$3,품목마스터!$B58&amp;" "&amp;품목마스터!$C58&amp;" "&amp;품목마스터!$A58))))</f>
        <v>0</v>
      </c>
      <c r="I58" s="5" t="str">
        <f aca="false">IF($H58=FALSE(),"",COUNTIF($H$3:$H58,TRUE()))</f>
        <v/>
      </c>
      <c r="J58" s="5" t="str">
        <f aca="false">IF($I58="","","R"&amp;$I58)</f>
        <v/>
      </c>
    </row>
    <row r="59" customFormat="false" ht="15" hidden="false" customHeight="true" outlineLevel="0" collapsed="false">
      <c r="H59" s="17" t="b">
        <f aca="false">IF(품목마스터!$A59="",FALSE(),IF($B$3="",TRUE(),ISNUMBER(SEARCH($B$3,품목마스터!$B59&amp;" "&amp;품목마스터!$C59&amp;" "&amp;품목마스터!$A59))))</f>
        <v>0</v>
      </c>
      <c r="I59" s="5" t="str">
        <f aca="false">IF($H59=FALSE(),"",COUNTIF($H$3:$H59,TRUE()))</f>
        <v/>
      </c>
      <c r="J59" s="5" t="str">
        <f aca="false">IF($I59="","","R"&amp;$I59)</f>
        <v/>
      </c>
    </row>
    <row r="60" customFormat="false" ht="15" hidden="false" customHeight="true" outlineLevel="0" collapsed="false">
      <c r="H60" s="17" t="b">
        <f aca="false">IF(품목마스터!$A60="",FALSE(),IF($B$3="",TRUE(),ISNUMBER(SEARCH($B$3,품목마스터!$B60&amp;" "&amp;품목마스터!$C60&amp;" "&amp;품목마스터!$A60))))</f>
        <v>0</v>
      </c>
      <c r="I60" s="5" t="str">
        <f aca="false">IF($H60=FALSE(),"",COUNTIF($H$3:$H60,TRUE()))</f>
        <v/>
      </c>
      <c r="J60" s="5" t="str">
        <f aca="false">IF($I60="","","R"&amp;$I60)</f>
        <v/>
      </c>
    </row>
    <row r="61" customFormat="false" ht="15" hidden="false" customHeight="true" outlineLevel="0" collapsed="false">
      <c r="H61" s="17" t="b">
        <f aca="false">IF(품목마스터!$A61="",FALSE(),IF($B$3="",TRUE(),ISNUMBER(SEARCH($B$3,품목마스터!$B61&amp;" "&amp;품목마스터!$C61&amp;" "&amp;품목마스터!$A61))))</f>
        <v>0</v>
      </c>
      <c r="I61" s="5" t="str">
        <f aca="false">IF($H61=FALSE(),"",COUNTIF($H$3:$H61,TRUE()))</f>
        <v/>
      </c>
      <c r="J61" s="5" t="str">
        <f aca="false">IF($I61="","","R"&amp;$I61)</f>
        <v/>
      </c>
    </row>
    <row r="62" customFormat="false" ht="15" hidden="false" customHeight="true" outlineLevel="0" collapsed="false">
      <c r="H62" s="17" t="b">
        <f aca="false">IF(품목마스터!$A62="",FALSE(),IF($B$3="",TRUE(),ISNUMBER(SEARCH($B$3,품목마스터!$B62&amp;" "&amp;품목마스터!$C62&amp;" "&amp;품목마스터!$A62))))</f>
        <v>0</v>
      </c>
      <c r="I62" s="5" t="str">
        <f aca="false">IF($H62=FALSE(),"",COUNTIF($H$3:$H62,TRUE()))</f>
        <v/>
      </c>
      <c r="J62" s="5" t="str">
        <f aca="false">IF($I62="","","R"&amp;$I62)</f>
        <v/>
      </c>
    </row>
    <row r="63" customFormat="false" ht="15" hidden="false" customHeight="true" outlineLevel="0" collapsed="false">
      <c r="H63" s="17" t="b">
        <f aca="false">IF(품목마스터!$A63="",FALSE(),IF($B$3="",TRUE(),ISNUMBER(SEARCH($B$3,품목마스터!$B63&amp;" "&amp;품목마스터!$C63&amp;" "&amp;품목마스터!$A63))))</f>
        <v>0</v>
      </c>
      <c r="I63" s="5" t="str">
        <f aca="false">IF($H63=FALSE(),"",COUNTIF($H$3:$H63,TRUE()))</f>
        <v/>
      </c>
      <c r="J63" s="5" t="str">
        <f aca="false">IF($I63="","","R"&amp;$I63)</f>
        <v/>
      </c>
    </row>
    <row r="64" customFormat="false" ht="15" hidden="false" customHeight="true" outlineLevel="0" collapsed="false">
      <c r="H64" s="17" t="b">
        <f aca="false">IF(품목마스터!$A64="",FALSE(),IF($B$3="",TRUE(),ISNUMBER(SEARCH($B$3,품목마스터!$B64&amp;" "&amp;품목마스터!$C64&amp;" "&amp;품목마스터!$A64))))</f>
        <v>0</v>
      </c>
      <c r="I64" s="5" t="str">
        <f aca="false">IF($H64=FALSE(),"",COUNTIF($H$3:$H64,TRUE()))</f>
        <v/>
      </c>
      <c r="J64" s="5" t="str">
        <f aca="false">IF($I64="","","R"&amp;$I64)</f>
        <v/>
      </c>
    </row>
    <row r="65" customFormat="false" ht="15" hidden="false" customHeight="true" outlineLevel="0" collapsed="false">
      <c r="H65" s="17" t="b">
        <f aca="false">IF(품목마스터!$A65="",FALSE(),IF($B$3="",TRUE(),ISNUMBER(SEARCH($B$3,품목마스터!$B65&amp;" "&amp;품목마스터!$C65&amp;" "&amp;품목마스터!$A65))))</f>
        <v>0</v>
      </c>
      <c r="I65" s="5" t="str">
        <f aca="false">IF($H65=FALSE(),"",COUNTIF($H$3:$H65,TRUE()))</f>
        <v/>
      </c>
      <c r="J65" s="5" t="str">
        <f aca="false">IF($I65="","","R"&amp;$I65)</f>
        <v/>
      </c>
    </row>
    <row r="66" customFormat="false" ht="15" hidden="false" customHeight="true" outlineLevel="0" collapsed="false">
      <c r="H66" s="17" t="b">
        <f aca="false">IF(품목마스터!$A66="",FALSE(),IF($B$3="",TRUE(),ISNUMBER(SEARCH($B$3,품목마스터!$B66&amp;" "&amp;품목마스터!$C66&amp;" "&amp;품목마스터!$A66))))</f>
        <v>0</v>
      </c>
      <c r="I66" s="5" t="str">
        <f aca="false">IF($H66=FALSE(),"",COUNTIF($H$3:$H66,TRUE()))</f>
        <v/>
      </c>
      <c r="J66" s="5" t="str">
        <f aca="false">IF($I66="","","R"&amp;$I66)</f>
        <v/>
      </c>
    </row>
    <row r="67" customFormat="false" ht="15" hidden="false" customHeight="true" outlineLevel="0" collapsed="false">
      <c r="H67" s="17" t="b">
        <f aca="false">IF(품목마스터!$A67="",FALSE(),IF($B$3="",TRUE(),ISNUMBER(SEARCH($B$3,품목마스터!$B67&amp;" "&amp;품목마스터!$C67&amp;" "&amp;품목마스터!$A67))))</f>
        <v>0</v>
      </c>
      <c r="I67" s="5" t="str">
        <f aca="false">IF($H67=FALSE(),"",COUNTIF($H$3:$H67,TRUE()))</f>
        <v/>
      </c>
      <c r="J67" s="5" t="str">
        <f aca="false">IF($I67="","","R"&amp;$I67)</f>
        <v/>
      </c>
    </row>
    <row r="68" customFormat="false" ht="15" hidden="false" customHeight="true" outlineLevel="0" collapsed="false">
      <c r="H68" s="17" t="b">
        <f aca="false">IF(품목마스터!$A68="",FALSE(),IF($B$3="",TRUE(),ISNUMBER(SEARCH($B$3,품목마스터!$B68&amp;" "&amp;품목마스터!$C68&amp;" "&amp;품목마스터!$A68))))</f>
        <v>0</v>
      </c>
      <c r="I68" s="5" t="str">
        <f aca="false">IF($H68=FALSE(),"",COUNTIF($H$3:$H68,TRUE()))</f>
        <v/>
      </c>
      <c r="J68" s="5" t="str">
        <f aca="false">IF($I68="","","R"&amp;$I68)</f>
        <v/>
      </c>
    </row>
    <row r="69" customFormat="false" ht="15" hidden="false" customHeight="true" outlineLevel="0" collapsed="false">
      <c r="H69" s="17" t="b">
        <f aca="false">IF(품목마스터!$A69="",FALSE(),IF($B$3="",TRUE(),ISNUMBER(SEARCH($B$3,품목마스터!$B69&amp;" "&amp;품목마스터!$C69&amp;" "&amp;품목마스터!$A69))))</f>
        <v>0</v>
      </c>
      <c r="I69" s="5" t="str">
        <f aca="false">IF($H69=FALSE(),"",COUNTIF($H$3:$H69,TRUE()))</f>
        <v/>
      </c>
      <c r="J69" s="5" t="str">
        <f aca="false">IF($I69="","","R"&amp;$I69)</f>
        <v/>
      </c>
    </row>
    <row r="70" customFormat="false" ht="15" hidden="false" customHeight="true" outlineLevel="0" collapsed="false">
      <c r="H70" s="17" t="b">
        <f aca="false">IF(품목마스터!$A70="",FALSE(),IF($B$3="",TRUE(),ISNUMBER(SEARCH($B$3,품목마스터!$B70&amp;" "&amp;품목마스터!$C70&amp;" "&amp;품목마스터!$A70))))</f>
        <v>0</v>
      </c>
      <c r="I70" s="5" t="str">
        <f aca="false">IF($H70=FALSE(),"",COUNTIF($H$3:$H70,TRUE()))</f>
        <v/>
      </c>
      <c r="J70" s="5" t="str">
        <f aca="false">IF($I70="","","R"&amp;$I70)</f>
        <v/>
      </c>
    </row>
    <row r="71" customFormat="false" ht="15" hidden="false" customHeight="true" outlineLevel="0" collapsed="false">
      <c r="H71" s="17" t="b">
        <f aca="false">IF(품목마스터!$A71="",FALSE(),IF($B$3="",TRUE(),ISNUMBER(SEARCH($B$3,품목마스터!$B71&amp;" "&amp;품목마스터!$C71&amp;" "&amp;품목마스터!$A71))))</f>
        <v>0</v>
      </c>
      <c r="I71" s="5" t="str">
        <f aca="false">IF($H71=FALSE(),"",COUNTIF($H$3:$H71,TRUE()))</f>
        <v/>
      </c>
      <c r="J71" s="5" t="str">
        <f aca="false">IF($I71="","","R"&amp;$I71)</f>
        <v/>
      </c>
    </row>
    <row r="72" customFormat="false" ht="15" hidden="false" customHeight="true" outlineLevel="0" collapsed="false">
      <c r="H72" s="17" t="b">
        <f aca="false">IF(품목마스터!$A72="",FALSE(),IF($B$3="",TRUE(),ISNUMBER(SEARCH($B$3,품목마스터!$B72&amp;" "&amp;품목마스터!$C72&amp;" "&amp;품목마스터!$A72))))</f>
        <v>0</v>
      </c>
      <c r="I72" s="5" t="str">
        <f aca="false">IF($H72=FALSE(),"",COUNTIF($H$3:$H72,TRUE()))</f>
        <v/>
      </c>
      <c r="J72" s="5" t="str">
        <f aca="false">IF($I72="","","R"&amp;$I72)</f>
        <v/>
      </c>
    </row>
    <row r="73" customFormat="false" ht="15" hidden="false" customHeight="true" outlineLevel="0" collapsed="false">
      <c r="H73" s="17" t="b">
        <f aca="false">IF(품목마스터!$A73="",FALSE(),IF($B$3="",TRUE(),ISNUMBER(SEARCH($B$3,품목마스터!$B73&amp;" "&amp;품목마스터!$C73&amp;" "&amp;품목마스터!$A73))))</f>
        <v>0</v>
      </c>
      <c r="I73" s="5" t="str">
        <f aca="false">IF($H73=FALSE(),"",COUNTIF($H$3:$H73,TRUE()))</f>
        <v/>
      </c>
      <c r="J73" s="5" t="str">
        <f aca="false">IF($I73="","","R"&amp;$I73)</f>
        <v/>
      </c>
    </row>
    <row r="74" customFormat="false" ht="15" hidden="false" customHeight="true" outlineLevel="0" collapsed="false">
      <c r="H74" s="17" t="b">
        <f aca="false">IF(품목마스터!$A74="",FALSE(),IF($B$3="",TRUE(),ISNUMBER(SEARCH($B$3,품목마스터!$B74&amp;" "&amp;품목마스터!$C74&amp;" "&amp;품목마스터!$A74))))</f>
        <v>0</v>
      </c>
      <c r="I74" s="5" t="str">
        <f aca="false">IF($H74=FALSE(),"",COUNTIF($H$3:$H74,TRUE()))</f>
        <v/>
      </c>
      <c r="J74" s="5" t="str">
        <f aca="false">IF($I74="","","R"&amp;$I74)</f>
        <v/>
      </c>
    </row>
    <row r="75" customFormat="false" ht="15" hidden="false" customHeight="true" outlineLevel="0" collapsed="false">
      <c r="H75" s="17" t="b">
        <f aca="false">IF(품목마스터!$A75="",FALSE(),IF($B$3="",TRUE(),ISNUMBER(SEARCH($B$3,품목마스터!$B75&amp;" "&amp;품목마스터!$C75&amp;" "&amp;품목마스터!$A75))))</f>
        <v>0</v>
      </c>
      <c r="I75" s="5" t="str">
        <f aca="false">IF($H75=FALSE(),"",COUNTIF($H$3:$H75,TRUE()))</f>
        <v/>
      </c>
      <c r="J75" s="5" t="str">
        <f aca="false">IF($I75="","","R"&amp;$I75)</f>
        <v/>
      </c>
    </row>
    <row r="76" customFormat="false" ht="15" hidden="false" customHeight="true" outlineLevel="0" collapsed="false">
      <c r="H76" s="17" t="b">
        <f aca="false">IF(품목마스터!$A76="",FALSE(),IF($B$3="",TRUE(),ISNUMBER(SEARCH($B$3,품목마스터!$B76&amp;" "&amp;품목마스터!$C76&amp;" "&amp;품목마스터!$A76))))</f>
        <v>0</v>
      </c>
      <c r="I76" s="5" t="str">
        <f aca="false">IF($H76=FALSE(),"",COUNTIF($H$3:$H76,TRUE()))</f>
        <v/>
      </c>
      <c r="J76" s="5" t="str">
        <f aca="false">IF($I76="","","R"&amp;$I76)</f>
        <v/>
      </c>
    </row>
    <row r="77" customFormat="false" ht="15" hidden="false" customHeight="true" outlineLevel="0" collapsed="false">
      <c r="H77" s="17" t="b">
        <f aca="false">IF(품목마스터!$A77="",FALSE(),IF($B$3="",TRUE(),ISNUMBER(SEARCH($B$3,품목마스터!$B77&amp;" "&amp;품목마스터!$C77&amp;" "&amp;품목마스터!$A77))))</f>
        <v>0</v>
      </c>
      <c r="I77" s="5" t="str">
        <f aca="false">IF($H77=FALSE(),"",COUNTIF($H$3:$H77,TRUE()))</f>
        <v/>
      </c>
      <c r="J77" s="5" t="str">
        <f aca="false">IF($I77="","","R"&amp;$I77)</f>
        <v/>
      </c>
    </row>
    <row r="78" customFormat="false" ht="15" hidden="false" customHeight="true" outlineLevel="0" collapsed="false">
      <c r="H78" s="17" t="b">
        <f aca="false">IF(품목마스터!$A78="",FALSE(),IF($B$3="",TRUE(),ISNUMBER(SEARCH($B$3,품목마스터!$B78&amp;" "&amp;품목마스터!$C78&amp;" "&amp;품목마스터!$A78))))</f>
        <v>0</v>
      </c>
      <c r="I78" s="5" t="str">
        <f aca="false">IF($H78=FALSE(),"",COUNTIF($H$3:$H78,TRUE()))</f>
        <v/>
      </c>
      <c r="J78" s="5" t="str">
        <f aca="false">IF($I78="","","R"&amp;$I78)</f>
        <v/>
      </c>
    </row>
    <row r="79" customFormat="false" ht="15" hidden="false" customHeight="true" outlineLevel="0" collapsed="false">
      <c r="H79" s="17" t="b">
        <f aca="false">IF(품목마스터!$A79="",FALSE(),IF($B$3="",TRUE(),ISNUMBER(SEARCH($B$3,품목마스터!$B79&amp;" "&amp;품목마스터!$C79&amp;" "&amp;품목마스터!$A79))))</f>
        <v>0</v>
      </c>
      <c r="I79" s="5" t="str">
        <f aca="false">IF($H79=FALSE(),"",COUNTIF($H$3:$H79,TRUE()))</f>
        <v/>
      </c>
      <c r="J79" s="5" t="str">
        <f aca="false">IF($I79="","","R"&amp;$I79)</f>
        <v/>
      </c>
    </row>
    <row r="80" customFormat="false" ht="15" hidden="false" customHeight="true" outlineLevel="0" collapsed="false">
      <c r="H80" s="17" t="b">
        <f aca="false">IF(품목마스터!$A80="",FALSE(),IF($B$3="",TRUE(),ISNUMBER(SEARCH($B$3,품목마스터!$B80&amp;" "&amp;품목마스터!$C80&amp;" "&amp;품목마스터!$A80))))</f>
        <v>0</v>
      </c>
      <c r="I80" s="5" t="str">
        <f aca="false">IF($H80=FALSE(),"",COUNTIF($H$3:$H80,TRUE()))</f>
        <v/>
      </c>
      <c r="J80" s="5" t="str">
        <f aca="false">IF($I80="","","R"&amp;$I80)</f>
        <v/>
      </c>
    </row>
    <row r="81" customFormat="false" ht="15" hidden="false" customHeight="true" outlineLevel="0" collapsed="false">
      <c r="H81" s="17" t="b">
        <f aca="false">IF(품목마스터!$A81="",FALSE(),IF($B$3="",TRUE(),ISNUMBER(SEARCH($B$3,품목마스터!$B81&amp;" "&amp;품목마스터!$C81&amp;" "&amp;품목마스터!$A81))))</f>
        <v>0</v>
      </c>
      <c r="I81" s="5" t="str">
        <f aca="false">IF($H81=FALSE(),"",COUNTIF($H$3:$H81,TRUE()))</f>
        <v/>
      </c>
      <c r="J81" s="5" t="str">
        <f aca="false">IF($I81="","","R"&amp;$I81)</f>
        <v/>
      </c>
    </row>
    <row r="82" customFormat="false" ht="15" hidden="false" customHeight="true" outlineLevel="0" collapsed="false">
      <c r="H82" s="17" t="b">
        <f aca="false">IF(품목마스터!$A82="",FALSE(),IF($B$3="",TRUE(),ISNUMBER(SEARCH($B$3,품목마스터!$B82&amp;" "&amp;품목마스터!$C82&amp;" "&amp;품목마스터!$A82))))</f>
        <v>0</v>
      </c>
      <c r="I82" s="5" t="str">
        <f aca="false">IF($H82=FALSE(),"",COUNTIF($H$3:$H82,TRUE()))</f>
        <v/>
      </c>
      <c r="J82" s="5" t="str">
        <f aca="false">IF($I82="","","R"&amp;$I82)</f>
        <v/>
      </c>
    </row>
    <row r="83" customFormat="false" ht="15" hidden="false" customHeight="true" outlineLevel="0" collapsed="false">
      <c r="H83" s="17" t="b">
        <f aca="false">IF(품목마스터!$A83="",FALSE(),IF($B$3="",TRUE(),ISNUMBER(SEARCH($B$3,품목마스터!$B83&amp;" "&amp;품목마스터!$C83&amp;" "&amp;품목마스터!$A83))))</f>
        <v>0</v>
      </c>
      <c r="I83" s="5" t="str">
        <f aca="false">IF($H83=FALSE(),"",COUNTIF($H$3:$H83,TRUE()))</f>
        <v/>
      </c>
      <c r="J83" s="5" t="str">
        <f aca="false">IF($I83="","","R"&amp;$I83)</f>
        <v/>
      </c>
    </row>
    <row r="84" customFormat="false" ht="15" hidden="false" customHeight="true" outlineLevel="0" collapsed="false">
      <c r="H84" s="17" t="b">
        <f aca="false">IF(품목마스터!$A84="",FALSE(),IF($B$3="",TRUE(),ISNUMBER(SEARCH($B$3,품목마스터!$B84&amp;" "&amp;품목마스터!$C84&amp;" "&amp;품목마스터!$A84))))</f>
        <v>0</v>
      </c>
      <c r="I84" s="5" t="str">
        <f aca="false">IF($H84=FALSE(),"",COUNTIF($H$3:$H84,TRUE()))</f>
        <v/>
      </c>
      <c r="J84" s="5" t="str">
        <f aca="false">IF($I84="","","R"&amp;$I84)</f>
        <v/>
      </c>
    </row>
    <row r="85" customFormat="false" ht="15" hidden="false" customHeight="true" outlineLevel="0" collapsed="false">
      <c r="H85" s="17" t="b">
        <f aca="false">IF(품목마스터!$A85="",FALSE(),IF($B$3="",TRUE(),ISNUMBER(SEARCH($B$3,품목마스터!$B85&amp;" "&amp;품목마스터!$C85&amp;" "&amp;품목마스터!$A85))))</f>
        <v>0</v>
      </c>
      <c r="I85" s="5" t="str">
        <f aca="false">IF($H85=FALSE(),"",COUNTIF($H$3:$H85,TRUE()))</f>
        <v/>
      </c>
      <c r="J85" s="5" t="str">
        <f aca="false">IF($I85="","","R"&amp;$I85)</f>
        <v/>
      </c>
    </row>
    <row r="86" customFormat="false" ht="15" hidden="false" customHeight="true" outlineLevel="0" collapsed="false">
      <c r="H86" s="17" t="b">
        <f aca="false">IF(품목마스터!$A86="",FALSE(),IF($B$3="",TRUE(),ISNUMBER(SEARCH($B$3,품목마스터!$B86&amp;" "&amp;품목마스터!$C86&amp;" "&amp;품목마스터!$A86))))</f>
        <v>0</v>
      </c>
      <c r="I86" s="5" t="str">
        <f aca="false">IF($H86=FALSE(),"",COUNTIF($H$3:$H86,TRUE()))</f>
        <v/>
      </c>
      <c r="J86" s="5" t="str">
        <f aca="false">IF($I86="","","R"&amp;$I86)</f>
        <v/>
      </c>
    </row>
    <row r="87" customFormat="false" ht="15" hidden="false" customHeight="true" outlineLevel="0" collapsed="false">
      <c r="H87" s="17" t="b">
        <f aca="false">IF(품목마스터!$A87="",FALSE(),IF($B$3="",TRUE(),ISNUMBER(SEARCH($B$3,품목마스터!$B87&amp;" "&amp;품목마스터!$C87&amp;" "&amp;품목마스터!$A87))))</f>
        <v>0</v>
      </c>
      <c r="I87" s="5" t="str">
        <f aca="false">IF($H87=FALSE(),"",COUNTIF($H$3:$H87,TRUE()))</f>
        <v/>
      </c>
      <c r="J87" s="5" t="str">
        <f aca="false">IF($I87="","","R"&amp;$I87)</f>
        <v/>
      </c>
    </row>
    <row r="88" customFormat="false" ht="15" hidden="false" customHeight="true" outlineLevel="0" collapsed="false">
      <c r="H88" s="17" t="b">
        <f aca="false">IF(품목마스터!$A88="",FALSE(),IF($B$3="",TRUE(),ISNUMBER(SEARCH($B$3,품목마스터!$B88&amp;" "&amp;품목마스터!$C88&amp;" "&amp;품목마스터!$A88))))</f>
        <v>0</v>
      </c>
      <c r="I88" s="5" t="str">
        <f aca="false">IF($H88=FALSE(),"",COUNTIF($H$3:$H88,TRUE()))</f>
        <v/>
      </c>
      <c r="J88" s="5" t="str">
        <f aca="false">IF($I88="","","R"&amp;$I88)</f>
        <v/>
      </c>
    </row>
    <row r="89" customFormat="false" ht="15" hidden="false" customHeight="true" outlineLevel="0" collapsed="false">
      <c r="H89" s="17" t="b">
        <f aca="false">IF(품목마스터!$A89="",FALSE(),IF($B$3="",TRUE(),ISNUMBER(SEARCH($B$3,품목마스터!$B89&amp;" "&amp;품목마스터!$C89&amp;" "&amp;품목마스터!$A89))))</f>
        <v>0</v>
      </c>
      <c r="I89" s="5" t="str">
        <f aca="false">IF($H89=FALSE(),"",COUNTIF($H$3:$H89,TRUE()))</f>
        <v/>
      </c>
      <c r="J89" s="5" t="str">
        <f aca="false">IF($I89="","","R"&amp;$I89)</f>
        <v/>
      </c>
    </row>
    <row r="90" customFormat="false" ht="15" hidden="false" customHeight="true" outlineLevel="0" collapsed="false">
      <c r="H90" s="17" t="b">
        <f aca="false">IF(품목마스터!$A90="",FALSE(),IF($B$3="",TRUE(),ISNUMBER(SEARCH($B$3,품목마스터!$B90&amp;" "&amp;품목마스터!$C90&amp;" "&amp;품목마스터!$A90))))</f>
        <v>0</v>
      </c>
      <c r="I90" s="5" t="str">
        <f aca="false">IF($H90=FALSE(),"",COUNTIF($H$3:$H90,TRUE()))</f>
        <v/>
      </c>
      <c r="J90" s="5" t="str">
        <f aca="false">IF($I90="","","R"&amp;$I90)</f>
        <v/>
      </c>
    </row>
    <row r="91" customFormat="false" ht="15" hidden="false" customHeight="true" outlineLevel="0" collapsed="false">
      <c r="H91" s="17" t="b">
        <f aca="false">IF(품목마스터!$A91="",FALSE(),IF($B$3="",TRUE(),ISNUMBER(SEARCH($B$3,품목마스터!$B91&amp;" "&amp;품목마스터!$C91&amp;" "&amp;품목마스터!$A91))))</f>
        <v>0</v>
      </c>
      <c r="I91" s="5" t="str">
        <f aca="false">IF($H91=FALSE(),"",COUNTIF($H$3:$H91,TRUE()))</f>
        <v/>
      </c>
      <c r="J91" s="5" t="str">
        <f aca="false">IF($I91="","","R"&amp;$I91)</f>
        <v/>
      </c>
    </row>
    <row r="92" customFormat="false" ht="15" hidden="false" customHeight="true" outlineLevel="0" collapsed="false">
      <c r="H92" s="17" t="b">
        <f aca="false">IF(품목마스터!$A92="",FALSE(),IF($B$3="",TRUE(),ISNUMBER(SEARCH($B$3,품목마스터!$B92&amp;" "&amp;품목마스터!$C92&amp;" "&amp;품목마스터!$A92))))</f>
        <v>0</v>
      </c>
      <c r="I92" s="5" t="str">
        <f aca="false">IF($H92=FALSE(),"",COUNTIF($H$3:$H92,TRUE()))</f>
        <v/>
      </c>
      <c r="J92" s="5" t="str">
        <f aca="false">IF($I92="","","R"&amp;$I92)</f>
        <v/>
      </c>
    </row>
    <row r="93" customFormat="false" ht="15" hidden="false" customHeight="true" outlineLevel="0" collapsed="false">
      <c r="H93" s="17" t="b">
        <f aca="false">IF(품목마스터!$A93="",FALSE(),IF($B$3="",TRUE(),ISNUMBER(SEARCH($B$3,품목마스터!$B93&amp;" "&amp;품목마스터!$C93&amp;" "&amp;품목마스터!$A93))))</f>
        <v>0</v>
      </c>
      <c r="I93" s="5" t="str">
        <f aca="false">IF($H93=FALSE(),"",COUNTIF($H$3:$H93,TRUE()))</f>
        <v/>
      </c>
      <c r="J93" s="5" t="str">
        <f aca="false">IF($I93="","","R"&amp;$I93)</f>
        <v/>
      </c>
    </row>
    <row r="94" customFormat="false" ht="15" hidden="false" customHeight="true" outlineLevel="0" collapsed="false">
      <c r="H94" s="17" t="b">
        <f aca="false">IF(품목마스터!$A94="",FALSE(),IF($B$3="",TRUE(),ISNUMBER(SEARCH($B$3,품목마스터!$B94&amp;" "&amp;품목마스터!$C94&amp;" "&amp;품목마스터!$A94))))</f>
        <v>0</v>
      </c>
      <c r="I94" s="5" t="str">
        <f aca="false">IF($H94=FALSE(),"",COUNTIF($H$3:$H94,TRUE()))</f>
        <v/>
      </c>
      <c r="J94" s="5" t="str">
        <f aca="false">IF($I94="","","R"&amp;$I94)</f>
        <v/>
      </c>
    </row>
    <row r="95" customFormat="false" ht="15" hidden="false" customHeight="true" outlineLevel="0" collapsed="false">
      <c r="H95" s="17" t="b">
        <f aca="false">IF(품목마스터!$A95="",FALSE(),IF($B$3="",TRUE(),ISNUMBER(SEARCH($B$3,품목마스터!$B95&amp;" "&amp;품목마스터!$C95&amp;" "&amp;품목마스터!$A95))))</f>
        <v>0</v>
      </c>
      <c r="I95" s="5" t="str">
        <f aca="false">IF($H95=FALSE(),"",COUNTIF($H$3:$H95,TRUE()))</f>
        <v/>
      </c>
      <c r="J95" s="5" t="str">
        <f aca="false">IF($I95="","","R"&amp;$I95)</f>
        <v/>
      </c>
    </row>
    <row r="96" customFormat="false" ht="15" hidden="false" customHeight="true" outlineLevel="0" collapsed="false">
      <c r="H96" s="17" t="b">
        <f aca="false">IF(품목마스터!$A96="",FALSE(),IF($B$3="",TRUE(),ISNUMBER(SEARCH($B$3,품목마스터!$B96&amp;" "&amp;품목마스터!$C96&amp;" "&amp;품목마스터!$A96))))</f>
        <v>0</v>
      </c>
      <c r="I96" s="5" t="str">
        <f aca="false">IF($H96=FALSE(),"",COUNTIF($H$3:$H96,TRUE()))</f>
        <v/>
      </c>
      <c r="J96" s="5" t="str">
        <f aca="false">IF($I96="","","R"&amp;$I96)</f>
        <v/>
      </c>
    </row>
    <row r="97" customFormat="false" ht="15" hidden="false" customHeight="true" outlineLevel="0" collapsed="false">
      <c r="H97" s="17" t="b">
        <f aca="false">IF(품목마스터!$A97="",FALSE(),IF($B$3="",TRUE(),ISNUMBER(SEARCH($B$3,품목마스터!$B97&amp;" "&amp;품목마스터!$C97&amp;" "&amp;품목마스터!$A97))))</f>
        <v>0</v>
      </c>
      <c r="I97" s="5" t="str">
        <f aca="false">IF($H97=FALSE(),"",COUNTIF($H$3:$H97,TRUE()))</f>
        <v/>
      </c>
      <c r="J97" s="5" t="str">
        <f aca="false">IF($I97="","","R"&amp;$I97)</f>
        <v/>
      </c>
    </row>
    <row r="98" customFormat="false" ht="15" hidden="false" customHeight="true" outlineLevel="0" collapsed="false">
      <c r="H98" s="17" t="b">
        <f aca="false">IF(품목마스터!$A98="",FALSE(),IF($B$3="",TRUE(),ISNUMBER(SEARCH($B$3,품목마스터!$B98&amp;" "&amp;품목마스터!$C98&amp;" "&amp;품목마스터!$A98))))</f>
        <v>0</v>
      </c>
      <c r="I98" s="5" t="str">
        <f aca="false">IF($H98=FALSE(),"",COUNTIF($H$3:$H98,TRUE()))</f>
        <v/>
      </c>
      <c r="J98" s="5" t="str">
        <f aca="false">IF($I98="","","R"&amp;$I98)</f>
        <v/>
      </c>
    </row>
    <row r="99" customFormat="false" ht="15" hidden="false" customHeight="true" outlineLevel="0" collapsed="false">
      <c r="H99" s="17" t="b">
        <f aca="false">IF(품목마스터!$A99="",FALSE(),IF($B$3="",TRUE(),ISNUMBER(SEARCH($B$3,품목마스터!$B99&amp;" "&amp;품목마스터!$C99&amp;" "&amp;품목마스터!$A99))))</f>
        <v>0</v>
      </c>
      <c r="I99" s="5" t="str">
        <f aca="false">IF($H99=FALSE(),"",COUNTIF($H$3:$H99,TRUE()))</f>
        <v/>
      </c>
      <c r="J99" s="5" t="str">
        <f aca="false">IF($I99="","","R"&amp;$I99)</f>
        <v/>
      </c>
    </row>
    <row r="100" customFormat="false" ht="15" hidden="false" customHeight="true" outlineLevel="0" collapsed="false">
      <c r="H100" s="17" t="b">
        <f aca="false">IF(품목마스터!$A100="",FALSE(),IF($B$3="",TRUE(),ISNUMBER(SEARCH($B$3,품목마스터!$B100&amp;" "&amp;품목마스터!$C100&amp;" "&amp;품목마스터!$A100))))</f>
        <v>0</v>
      </c>
      <c r="I100" s="5" t="str">
        <f aca="false">IF($H100=FALSE(),"",COUNTIF($H$3:$H100,TRUE()))</f>
        <v/>
      </c>
      <c r="J100" s="5" t="str">
        <f aca="false">IF($I100="","","R"&amp;$I100)</f>
        <v/>
      </c>
    </row>
    <row r="101" customFormat="false" ht="15" hidden="false" customHeight="true" outlineLevel="0" collapsed="false">
      <c r="H101" s="17" t="b">
        <f aca="false">IF(품목마스터!$A101="",FALSE(),IF($B$3="",TRUE(),ISNUMBER(SEARCH($B$3,품목마스터!$B101&amp;" "&amp;품목마스터!$C101&amp;" "&amp;품목마스터!$A101))))</f>
        <v>0</v>
      </c>
      <c r="I101" s="5" t="str">
        <f aca="false">IF($H101=FALSE(),"",COUNTIF($H$3:$H101,TRUE()))</f>
        <v/>
      </c>
      <c r="J101" s="5" t="str">
        <f aca="false">IF($I101="","","R"&amp;$I101)</f>
        <v/>
      </c>
    </row>
    <row r="102" customFormat="false" ht="15" hidden="false" customHeight="true" outlineLevel="0" collapsed="false">
      <c r="H102" s="17" t="b">
        <f aca="false">IF(품목마스터!$A102="",FALSE(),IF($B$3="",TRUE(),ISNUMBER(SEARCH($B$3,품목마스터!$B102&amp;" "&amp;품목마스터!$C102&amp;" "&amp;품목마스터!$A102))))</f>
        <v>0</v>
      </c>
      <c r="I102" s="5" t="str">
        <f aca="false">IF($H102=FALSE(),"",COUNTIF($H$3:$H102,TRUE()))</f>
        <v/>
      </c>
      <c r="J102" s="5" t="str">
        <f aca="false">IF($I102="","","R"&amp;$I102)</f>
        <v/>
      </c>
    </row>
    <row r="103" customFormat="false" ht="15" hidden="false" customHeight="true" outlineLevel="0" collapsed="false">
      <c r="H103" s="17" t="b">
        <f aca="false">IF(품목마스터!$A103="",FALSE(),IF($B$3="",TRUE(),ISNUMBER(SEARCH($B$3,품목마스터!$B103&amp;" "&amp;품목마스터!$C103&amp;" "&amp;품목마스터!$A103))))</f>
        <v>0</v>
      </c>
      <c r="I103" s="5" t="str">
        <f aca="false">IF($H103=FALSE(),"",COUNTIF($H$3:$H103,TRUE()))</f>
        <v/>
      </c>
      <c r="J103" s="5" t="str">
        <f aca="false">IF($I103="","","R"&amp;$I103)</f>
        <v/>
      </c>
    </row>
    <row r="104" customFormat="false" ht="15" hidden="false" customHeight="true" outlineLevel="0" collapsed="false">
      <c r="H104" s="17" t="b">
        <f aca="false">IF(품목마스터!$A104="",FALSE(),IF($B$3="",TRUE(),ISNUMBER(SEARCH($B$3,품목마스터!$B104&amp;" "&amp;품목마스터!$C104&amp;" "&amp;품목마스터!$A104))))</f>
        <v>0</v>
      </c>
      <c r="I104" s="5" t="str">
        <f aca="false">IF($H104=FALSE(),"",COUNTIF($H$3:$H104,TRUE()))</f>
        <v/>
      </c>
      <c r="J104" s="5" t="str">
        <f aca="false">IF($I104="","","R"&amp;$I104)</f>
        <v/>
      </c>
    </row>
    <row r="105" customFormat="false" ht="15" hidden="false" customHeight="true" outlineLevel="0" collapsed="false">
      <c r="H105" s="17" t="b">
        <f aca="false">IF(품목마스터!$A105="",FALSE(),IF($B$3="",TRUE(),ISNUMBER(SEARCH($B$3,품목마스터!$B105&amp;" "&amp;품목마스터!$C105&amp;" "&amp;품목마스터!$A105))))</f>
        <v>0</v>
      </c>
      <c r="I105" s="5" t="str">
        <f aca="false">IF($H105=FALSE(),"",COUNTIF($H$3:$H105,TRUE()))</f>
        <v/>
      </c>
      <c r="J105" s="5" t="str">
        <f aca="false">IF($I105="","","R"&amp;$I105)</f>
        <v/>
      </c>
    </row>
    <row r="106" customFormat="false" ht="15" hidden="false" customHeight="true" outlineLevel="0" collapsed="false">
      <c r="H106" s="17" t="b">
        <f aca="false">IF(품목마스터!$A106="",FALSE(),IF($B$3="",TRUE(),ISNUMBER(SEARCH($B$3,품목마스터!$B106&amp;" "&amp;품목마스터!$C106&amp;" "&amp;품목마스터!$A106))))</f>
        <v>0</v>
      </c>
      <c r="I106" s="5" t="str">
        <f aca="false">IF($H106=FALSE(),"",COUNTIF($H$3:$H106,TRUE()))</f>
        <v/>
      </c>
      <c r="J106" s="5" t="str">
        <f aca="false">IF($I106="","","R"&amp;$I106)</f>
        <v/>
      </c>
    </row>
    <row r="107" customFormat="false" ht="15" hidden="false" customHeight="true" outlineLevel="0" collapsed="false">
      <c r="H107" s="17" t="b">
        <f aca="false">IF(품목마스터!$A107="",FALSE(),IF($B$3="",TRUE(),ISNUMBER(SEARCH($B$3,품목마스터!$B107&amp;" "&amp;품목마스터!$C107&amp;" "&amp;품목마스터!$A107))))</f>
        <v>0</v>
      </c>
      <c r="I107" s="5" t="str">
        <f aca="false">IF($H107=FALSE(),"",COUNTIF($H$3:$H107,TRUE()))</f>
        <v/>
      </c>
      <c r="J107" s="5" t="str">
        <f aca="false">IF($I107="","","R"&amp;$I107)</f>
        <v/>
      </c>
    </row>
    <row r="108" customFormat="false" ht="15" hidden="false" customHeight="true" outlineLevel="0" collapsed="false">
      <c r="H108" s="17" t="b">
        <f aca="false">IF(품목마스터!$A108="",FALSE(),IF($B$3="",TRUE(),ISNUMBER(SEARCH($B$3,품목마스터!$B108&amp;" "&amp;품목마스터!$C108&amp;" "&amp;품목마스터!$A108))))</f>
        <v>0</v>
      </c>
      <c r="I108" s="5" t="str">
        <f aca="false">IF($H108=FALSE(),"",COUNTIF($H$3:$H108,TRUE()))</f>
        <v/>
      </c>
      <c r="J108" s="5" t="str">
        <f aca="false">IF($I108="","","R"&amp;$I108)</f>
        <v/>
      </c>
    </row>
    <row r="109" customFormat="false" ht="15" hidden="false" customHeight="true" outlineLevel="0" collapsed="false">
      <c r="H109" s="17" t="b">
        <f aca="false">IF(품목마스터!$A109="",FALSE(),IF($B$3="",TRUE(),ISNUMBER(SEARCH($B$3,품목마스터!$B109&amp;" "&amp;품목마스터!$C109&amp;" "&amp;품목마스터!$A109))))</f>
        <v>0</v>
      </c>
      <c r="I109" s="5" t="str">
        <f aca="false">IF($H109=FALSE(),"",COUNTIF($H$3:$H109,TRUE()))</f>
        <v/>
      </c>
      <c r="J109" s="5" t="str">
        <f aca="false">IF($I109="","","R"&amp;$I109)</f>
        <v/>
      </c>
    </row>
    <row r="110" customFormat="false" ht="15" hidden="false" customHeight="true" outlineLevel="0" collapsed="false">
      <c r="H110" s="17" t="b">
        <f aca="false">IF(품목마스터!$A110="",FALSE(),IF($B$3="",TRUE(),ISNUMBER(SEARCH($B$3,품목마스터!$B110&amp;" "&amp;품목마스터!$C110&amp;" "&amp;품목마스터!$A110))))</f>
        <v>0</v>
      </c>
      <c r="I110" s="5" t="str">
        <f aca="false">IF($H110=FALSE(),"",COUNTIF($H$3:$H110,TRUE()))</f>
        <v/>
      </c>
      <c r="J110" s="5" t="str">
        <f aca="false">IF($I110="","","R"&amp;$I110)</f>
        <v/>
      </c>
    </row>
    <row r="111" customFormat="false" ht="15" hidden="false" customHeight="true" outlineLevel="0" collapsed="false">
      <c r="H111" s="17" t="b">
        <f aca="false">IF(품목마스터!$A111="",FALSE(),IF($B$3="",TRUE(),ISNUMBER(SEARCH($B$3,품목마스터!$B111&amp;" "&amp;품목마스터!$C111&amp;" "&amp;품목마스터!$A111))))</f>
        <v>0</v>
      </c>
      <c r="I111" s="5" t="str">
        <f aca="false">IF($H111=FALSE(),"",COUNTIF($H$3:$H111,TRUE()))</f>
        <v/>
      </c>
      <c r="J111" s="5" t="str">
        <f aca="false">IF($I111="","","R"&amp;$I111)</f>
        <v/>
      </c>
    </row>
    <row r="112" customFormat="false" ht="15" hidden="false" customHeight="true" outlineLevel="0" collapsed="false">
      <c r="H112" s="17" t="b">
        <f aca="false">IF(품목마스터!$A112="",FALSE(),IF($B$3="",TRUE(),ISNUMBER(SEARCH($B$3,품목마스터!$B112&amp;" "&amp;품목마스터!$C112&amp;" "&amp;품목마스터!$A112))))</f>
        <v>0</v>
      </c>
      <c r="I112" s="5" t="str">
        <f aca="false">IF($H112=FALSE(),"",COUNTIF($H$3:$H112,TRUE()))</f>
        <v/>
      </c>
      <c r="J112" s="5" t="str">
        <f aca="false">IF($I112="","","R"&amp;$I112)</f>
        <v/>
      </c>
    </row>
    <row r="113" customFormat="false" ht="15" hidden="false" customHeight="true" outlineLevel="0" collapsed="false">
      <c r="H113" s="17" t="b">
        <f aca="false">IF(품목마스터!$A113="",FALSE(),IF($B$3="",TRUE(),ISNUMBER(SEARCH($B$3,품목마스터!$B113&amp;" "&amp;품목마스터!$C113&amp;" "&amp;품목마스터!$A113))))</f>
        <v>0</v>
      </c>
      <c r="I113" s="5" t="str">
        <f aca="false">IF($H113=FALSE(),"",COUNTIF($H$3:$H113,TRUE()))</f>
        <v/>
      </c>
      <c r="J113" s="5" t="str">
        <f aca="false">IF($I113="","","R"&amp;$I113)</f>
        <v/>
      </c>
    </row>
    <row r="114" customFormat="false" ht="15" hidden="false" customHeight="true" outlineLevel="0" collapsed="false">
      <c r="H114" s="17" t="b">
        <f aca="false">IF(품목마스터!$A114="",FALSE(),IF($B$3="",TRUE(),ISNUMBER(SEARCH($B$3,품목마스터!$B114&amp;" "&amp;품목마스터!$C114&amp;" "&amp;품목마스터!$A114))))</f>
        <v>0</v>
      </c>
      <c r="I114" s="5" t="str">
        <f aca="false">IF($H114=FALSE(),"",COUNTIF($H$3:$H114,TRUE()))</f>
        <v/>
      </c>
      <c r="J114" s="5" t="str">
        <f aca="false">IF($I114="","","R"&amp;$I114)</f>
        <v/>
      </c>
    </row>
    <row r="115" customFormat="false" ht="15" hidden="false" customHeight="true" outlineLevel="0" collapsed="false">
      <c r="H115" s="17" t="b">
        <f aca="false">IF(품목마스터!$A115="",FALSE(),IF($B$3="",TRUE(),ISNUMBER(SEARCH($B$3,품목마스터!$B115&amp;" "&amp;품목마스터!$C115&amp;" "&amp;품목마스터!$A115))))</f>
        <v>0</v>
      </c>
      <c r="I115" s="5" t="str">
        <f aca="false">IF($H115=FALSE(),"",COUNTIF($H$3:$H115,TRUE()))</f>
        <v/>
      </c>
      <c r="J115" s="5" t="str">
        <f aca="false">IF($I115="","","R"&amp;$I115)</f>
        <v/>
      </c>
    </row>
    <row r="116" customFormat="false" ht="15" hidden="false" customHeight="true" outlineLevel="0" collapsed="false">
      <c r="H116" s="17" t="b">
        <f aca="false">IF(품목마스터!$A116="",FALSE(),IF($B$3="",TRUE(),ISNUMBER(SEARCH($B$3,품목마스터!$B116&amp;" "&amp;품목마스터!$C116&amp;" "&amp;품목마스터!$A116))))</f>
        <v>0</v>
      </c>
      <c r="I116" s="5" t="str">
        <f aca="false">IF($H116=FALSE(),"",COUNTIF($H$3:$H116,TRUE()))</f>
        <v/>
      </c>
      <c r="J116" s="5" t="str">
        <f aca="false">IF($I116="","","R"&amp;$I116)</f>
        <v/>
      </c>
    </row>
    <row r="117" customFormat="false" ht="15" hidden="false" customHeight="true" outlineLevel="0" collapsed="false">
      <c r="H117" s="17" t="b">
        <f aca="false">IF(품목마스터!$A117="",FALSE(),IF($B$3="",TRUE(),ISNUMBER(SEARCH($B$3,품목마스터!$B117&amp;" "&amp;품목마스터!$C117&amp;" "&amp;품목마스터!$A117))))</f>
        <v>0</v>
      </c>
      <c r="I117" s="5" t="str">
        <f aca="false">IF($H117=FALSE(),"",COUNTIF($H$3:$H117,TRUE()))</f>
        <v/>
      </c>
      <c r="J117" s="5" t="str">
        <f aca="false">IF($I117="","","R"&amp;$I117)</f>
        <v/>
      </c>
    </row>
    <row r="118" customFormat="false" ht="15" hidden="false" customHeight="true" outlineLevel="0" collapsed="false">
      <c r="H118" s="17" t="b">
        <f aca="false">IF(품목마스터!$A118="",FALSE(),IF($B$3="",TRUE(),ISNUMBER(SEARCH($B$3,품목마스터!$B118&amp;" "&amp;품목마스터!$C118&amp;" "&amp;품목마스터!$A118))))</f>
        <v>0</v>
      </c>
      <c r="I118" s="5" t="str">
        <f aca="false">IF($H118=FALSE(),"",COUNTIF($H$3:$H118,TRUE()))</f>
        <v/>
      </c>
      <c r="J118" s="5" t="str">
        <f aca="false">IF($I118="","","R"&amp;$I118)</f>
        <v/>
      </c>
    </row>
    <row r="119" customFormat="false" ht="15" hidden="false" customHeight="true" outlineLevel="0" collapsed="false">
      <c r="H119" s="17" t="b">
        <f aca="false">IF(품목마스터!$A119="",FALSE(),IF($B$3="",TRUE(),ISNUMBER(SEARCH($B$3,품목마스터!$B119&amp;" "&amp;품목마스터!$C119&amp;" "&amp;품목마스터!$A119))))</f>
        <v>0</v>
      </c>
      <c r="I119" s="5" t="str">
        <f aca="false">IF($H119=FALSE(),"",COUNTIF($H$3:$H119,TRUE()))</f>
        <v/>
      </c>
      <c r="J119" s="5" t="str">
        <f aca="false">IF($I119="","","R"&amp;$I119)</f>
        <v/>
      </c>
    </row>
    <row r="120" customFormat="false" ht="15" hidden="false" customHeight="true" outlineLevel="0" collapsed="false">
      <c r="H120" s="17" t="b">
        <f aca="false">IF(품목마스터!$A120="",FALSE(),IF($B$3="",TRUE(),ISNUMBER(SEARCH($B$3,품목마스터!$B120&amp;" "&amp;품목마스터!$C120&amp;" "&amp;품목마스터!$A120))))</f>
        <v>0</v>
      </c>
      <c r="I120" s="5" t="str">
        <f aca="false">IF($H120=FALSE(),"",COUNTIF($H$3:$H120,TRUE()))</f>
        <v/>
      </c>
      <c r="J120" s="5" t="str">
        <f aca="false">IF($I120="","","R"&amp;$I120)</f>
        <v/>
      </c>
    </row>
    <row r="121" customFormat="false" ht="15" hidden="false" customHeight="true" outlineLevel="0" collapsed="false">
      <c r="H121" s="17" t="b">
        <f aca="false">IF(품목마스터!$A121="",FALSE(),IF($B$3="",TRUE(),ISNUMBER(SEARCH($B$3,품목마스터!$B121&amp;" "&amp;품목마스터!$C121&amp;" "&amp;품목마스터!$A121))))</f>
        <v>0</v>
      </c>
      <c r="I121" s="5" t="str">
        <f aca="false">IF($H121=FALSE(),"",COUNTIF($H$3:$H121,TRUE()))</f>
        <v/>
      </c>
      <c r="J121" s="5" t="str">
        <f aca="false">IF($I121="","","R"&amp;$I121)</f>
        <v/>
      </c>
    </row>
    <row r="122" customFormat="false" ht="15" hidden="false" customHeight="true" outlineLevel="0" collapsed="false">
      <c r="H122" s="17" t="b">
        <f aca="false">IF(품목마스터!$A122="",FALSE(),IF($B$3="",TRUE(),ISNUMBER(SEARCH($B$3,품목마스터!$B122&amp;" "&amp;품목마스터!$C122&amp;" "&amp;품목마스터!$A122))))</f>
        <v>0</v>
      </c>
      <c r="I122" s="5" t="str">
        <f aca="false">IF($H122=FALSE(),"",COUNTIF($H$3:$H122,TRUE()))</f>
        <v/>
      </c>
      <c r="J122" s="5" t="str">
        <f aca="false">IF($I122="","","R"&amp;$I122)</f>
        <v/>
      </c>
    </row>
    <row r="123" customFormat="false" ht="15" hidden="false" customHeight="true" outlineLevel="0" collapsed="false">
      <c r="H123" s="17" t="b">
        <f aca="false">IF(품목마스터!$A123="",FALSE(),IF($B$3="",TRUE(),ISNUMBER(SEARCH($B$3,품목마스터!$B123&amp;" "&amp;품목마스터!$C123&amp;" "&amp;품목마스터!$A123))))</f>
        <v>0</v>
      </c>
      <c r="I123" s="5" t="str">
        <f aca="false">IF($H123=FALSE(),"",COUNTIF($H$3:$H123,TRUE()))</f>
        <v/>
      </c>
      <c r="J123" s="5" t="str">
        <f aca="false">IF($I123="","","R"&amp;$I123)</f>
        <v/>
      </c>
    </row>
    <row r="124" customFormat="false" ht="15" hidden="false" customHeight="true" outlineLevel="0" collapsed="false">
      <c r="H124" s="17" t="b">
        <f aca="false">IF(품목마스터!$A124="",FALSE(),IF($B$3="",TRUE(),ISNUMBER(SEARCH($B$3,품목마스터!$B124&amp;" "&amp;품목마스터!$C124&amp;" "&amp;품목마스터!$A124))))</f>
        <v>0</v>
      </c>
      <c r="I124" s="5" t="str">
        <f aca="false">IF($H124=FALSE(),"",COUNTIF($H$3:$H124,TRUE()))</f>
        <v/>
      </c>
      <c r="J124" s="5" t="str">
        <f aca="false">IF($I124="","","R"&amp;$I124)</f>
        <v/>
      </c>
    </row>
    <row r="125" customFormat="false" ht="15" hidden="false" customHeight="true" outlineLevel="0" collapsed="false">
      <c r="H125" s="17" t="b">
        <f aca="false">IF(품목마스터!$A125="",FALSE(),IF($B$3="",TRUE(),ISNUMBER(SEARCH($B$3,품목마스터!$B125&amp;" "&amp;품목마스터!$C125&amp;" "&amp;품목마스터!$A125))))</f>
        <v>0</v>
      </c>
      <c r="I125" s="5" t="str">
        <f aca="false">IF($H125=FALSE(),"",COUNTIF($H$3:$H125,TRUE()))</f>
        <v/>
      </c>
      <c r="J125" s="5" t="str">
        <f aca="false">IF($I125="","","R"&amp;$I125)</f>
        <v/>
      </c>
    </row>
    <row r="126" customFormat="false" ht="15" hidden="false" customHeight="true" outlineLevel="0" collapsed="false">
      <c r="H126" s="17" t="b">
        <f aca="false">IF(품목마스터!$A126="",FALSE(),IF($B$3="",TRUE(),ISNUMBER(SEARCH($B$3,품목마스터!$B126&amp;" "&amp;품목마스터!$C126&amp;" "&amp;품목마스터!$A126))))</f>
        <v>0</v>
      </c>
      <c r="I126" s="5" t="str">
        <f aca="false">IF($H126=FALSE(),"",COUNTIF($H$3:$H126,TRUE()))</f>
        <v/>
      </c>
      <c r="J126" s="5" t="str">
        <f aca="false">IF($I126="","","R"&amp;$I126)</f>
        <v/>
      </c>
    </row>
    <row r="127" customFormat="false" ht="15" hidden="false" customHeight="true" outlineLevel="0" collapsed="false">
      <c r="H127" s="17" t="b">
        <f aca="false">IF(품목마스터!$A127="",FALSE(),IF($B$3="",TRUE(),ISNUMBER(SEARCH($B$3,품목마스터!$B127&amp;" "&amp;품목마스터!$C127&amp;" "&amp;품목마스터!$A127))))</f>
        <v>0</v>
      </c>
      <c r="I127" s="5" t="str">
        <f aca="false">IF($H127=FALSE(),"",COUNTIF($H$3:$H127,TRUE()))</f>
        <v/>
      </c>
      <c r="J127" s="5" t="str">
        <f aca="false">IF($I127="","","R"&amp;$I127)</f>
        <v/>
      </c>
    </row>
    <row r="128" customFormat="false" ht="15" hidden="false" customHeight="true" outlineLevel="0" collapsed="false">
      <c r="H128" s="17" t="b">
        <f aca="false">IF(품목마스터!$A128="",FALSE(),IF($B$3="",TRUE(),ISNUMBER(SEARCH($B$3,품목마스터!$B128&amp;" "&amp;품목마스터!$C128&amp;" "&amp;품목마스터!$A128))))</f>
        <v>0</v>
      </c>
      <c r="I128" s="5" t="str">
        <f aca="false">IF($H128=FALSE(),"",COUNTIF($H$3:$H128,TRUE()))</f>
        <v/>
      </c>
      <c r="J128" s="5" t="str">
        <f aca="false">IF($I128="","","R"&amp;$I128)</f>
        <v/>
      </c>
    </row>
    <row r="129" customFormat="false" ht="15" hidden="false" customHeight="true" outlineLevel="0" collapsed="false">
      <c r="H129" s="17" t="b">
        <f aca="false">IF(품목마스터!$A129="",FALSE(),IF($B$3="",TRUE(),ISNUMBER(SEARCH($B$3,품목마스터!$B129&amp;" "&amp;품목마스터!$C129&amp;" "&amp;품목마스터!$A129))))</f>
        <v>0</v>
      </c>
      <c r="I129" s="5" t="str">
        <f aca="false">IF($H129=FALSE(),"",COUNTIF($H$3:$H129,TRUE()))</f>
        <v/>
      </c>
      <c r="J129" s="5" t="str">
        <f aca="false">IF($I129="","","R"&amp;$I129)</f>
        <v/>
      </c>
    </row>
    <row r="130" customFormat="false" ht="15" hidden="false" customHeight="true" outlineLevel="0" collapsed="false">
      <c r="H130" s="17" t="b">
        <f aca="false">IF(품목마스터!$A130="",FALSE(),IF($B$3="",TRUE(),ISNUMBER(SEARCH($B$3,품목마스터!$B130&amp;" "&amp;품목마스터!$C130&amp;" "&amp;품목마스터!$A130))))</f>
        <v>0</v>
      </c>
      <c r="I130" s="5" t="str">
        <f aca="false">IF($H130=FALSE(),"",COUNTIF($H$3:$H130,TRUE()))</f>
        <v/>
      </c>
      <c r="J130" s="5" t="str">
        <f aca="false">IF($I130="","","R"&amp;$I130)</f>
        <v/>
      </c>
    </row>
    <row r="131" customFormat="false" ht="15" hidden="false" customHeight="true" outlineLevel="0" collapsed="false">
      <c r="H131" s="17" t="b">
        <f aca="false">IF(품목마스터!$A131="",FALSE(),IF($B$3="",TRUE(),ISNUMBER(SEARCH($B$3,품목마스터!$B131&amp;" "&amp;품목마스터!$C131&amp;" "&amp;품목마스터!$A131))))</f>
        <v>0</v>
      </c>
      <c r="I131" s="5" t="str">
        <f aca="false">IF($H131=FALSE(),"",COUNTIF($H$3:$H131,TRUE()))</f>
        <v/>
      </c>
      <c r="J131" s="5" t="str">
        <f aca="false">IF($I131="","","R"&amp;$I131)</f>
        <v/>
      </c>
    </row>
    <row r="132" customFormat="false" ht="15" hidden="false" customHeight="true" outlineLevel="0" collapsed="false">
      <c r="H132" s="17" t="b">
        <f aca="false">IF(품목마스터!$A132="",FALSE(),IF($B$3="",TRUE(),ISNUMBER(SEARCH($B$3,품목마스터!$B132&amp;" "&amp;품목마스터!$C132&amp;" "&amp;품목마스터!$A132))))</f>
        <v>0</v>
      </c>
      <c r="I132" s="5" t="str">
        <f aca="false">IF($H132=FALSE(),"",COUNTIF($H$3:$H132,TRUE()))</f>
        <v/>
      </c>
      <c r="J132" s="5" t="str">
        <f aca="false">IF($I132="","","R"&amp;$I132)</f>
        <v/>
      </c>
    </row>
    <row r="133" customFormat="false" ht="15" hidden="false" customHeight="true" outlineLevel="0" collapsed="false">
      <c r="H133" s="17" t="b">
        <f aca="false">IF(품목마스터!$A133="",FALSE(),IF($B$3="",TRUE(),ISNUMBER(SEARCH($B$3,품목마스터!$B133&amp;" "&amp;품목마스터!$C133&amp;" "&amp;품목마스터!$A133))))</f>
        <v>0</v>
      </c>
      <c r="I133" s="5" t="str">
        <f aca="false">IF($H133=FALSE(),"",COUNTIF($H$3:$H133,TRUE()))</f>
        <v/>
      </c>
      <c r="J133" s="5" t="str">
        <f aca="false">IF($I133="","","R"&amp;$I133)</f>
        <v/>
      </c>
    </row>
    <row r="134" customFormat="false" ht="15" hidden="false" customHeight="true" outlineLevel="0" collapsed="false">
      <c r="H134" s="17" t="b">
        <f aca="false">IF(품목마스터!$A134="",FALSE(),IF($B$3="",TRUE(),ISNUMBER(SEARCH($B$3,품목마스터!$B134&amp;" "&amp;품목마스터!$C134&amp;" "&amp;품목마스터!$A134))))</f>
        <v>0</v>
      </c>
      <c r="I134" s="5" t="str">
        <f aca="false">IF($H134=FALSE(),"",COUNTIF($H$3:$H134,TRUE()))</f>
        <v/>
      </c>
      <c r="J134" s="5" t="str">
        <f aca="false">IF($I134="","","R"&amp;$I134)</f>
        <v/>
      </c>
    </row>
    <row r="135" customFormat="false" ht="15" hidden="false" customHeight="true" outlineLevel="0" collapsed="false">
      <c r="H135" s="17" t="b">
        <f aca="false">IF(품목마스터!$A135="",FALSE(),IF($B$3="",TRUE(),ISNUMBER(SEARCH($B$3,품목마스터!$B135&amp;" "&amp;품목마스터!$C135&amp;" "&amp;품목마스터!$A135))))</f>
        <v>0</v>
      </c>
      <c r="I135" s="5" t="str">
        <f aca="false">IF($H135=FALSE(),"",COUNTIF($H$3:$H135,TRUE()))</f>
        <v/>
      </c>
      <c r="J135" s="5" t="str">
        <f aca="false">IF($I135="","","R"&amp;$I135)</f>
        <v/>
      </c>
    </row>
    <row r="136" customFormat="false" ht="15" hidden="false" customHeight="true" outlineLevel="0" collapsed="false">
      <c r="H136" s="17" t="b">
        <f aca="false">IF(품목마스터!$A136="",FALSE(),IF($B$3="",TRUE(),ISNUMBER(SEARCH($B$3,품목마스터!$B136&amp;" "&amp;품목마스터!$C136&amp;" "&amp;품목마스터!$A136))))</f>
        <v>0</v>
      </c>
      <c r="I136" s="5" t="str">
        <f aca="false">IF($H136=FALSE(),"",COUNTIF($H$3:$H136,TRUE()))</f>
        <v/>
      </c>
      <c r="J136" s="5" t="str">
        <f aca="false">IF($I136="","","R"&amp;$I136)</f>
        <v/>
      </c>
    </row>
    <row r="137" customFormat="false" ht="15" hidden="false" customHeight="true" outlineLevel="0" collapsed="false">
      <c r="H137" s="17" t="b">
        <f aca="false">IF(품목마스터!$A137="",FALSE(),IF($B$3="",TRUE(),ISNUMBER(SEARCH($B$3,품목마스터!$B137&amp;" "&amp;품목마스터!$C137&amp;" "&amp;품목마스터!$A137))))</f>
        <v>0</v>
      </c>
      <c r="I137" s="5" t="str">
        <f aca="false">IF($H137=FALSE(),"",COUNTIF($H$3:$H137,TRUE()))</f>
        <v/>
      </c>
      <c r="J137" s="5" t="str">
        <f aca="false">IF($I137="","","R"&amp;$I137)</f>
        <v/>
      </c>
    </row>
    <row r="138" customFormat="false" ht="15" hidden="false" customHeight="true" outlineLevel="0" collapsed="false">
      <c r="H138" s="17" t="b">
        <f aca="false">IF(품목마스터!$A138="",FALSE(),IF($B$3="",TRUE(),ISNUMBER(SEARCH($B$3,품목마스터!$B138&amp;" "&amp;품목마스터!$C138&amp;" "&amp;품목마스터!$A138))))</f>
        <v>0</v>
      </c>
      <c r="I138" s="5" t="str">
        <f aca="false">IF($H138=FALSE(),"",COUNTIF($H$3:$H138,TRUE()))</f>
        <v/>
      </c>
      <c r="J138" s="5" t="str">
        <f aca="false">IF($I138="","","R"&amp;$I138)</f>
        <v/>
      </c>
    </row>
    <row r="139" customFormat="false" ht="15" hidden="false" customHeight="true" outlineLevel="0" collapsed="false">
      <c r="H139" s="17" t="b">
        <f aca="false">IF(품목마스터!$A139="",FALSE(),IF($B$3="",TRUE(),ISNUMBER(SEARCH($B$3,품목마스터!$B139&amp;" "&amp;품목마스터!$C139&amp;" "&amp;품목마스터!$A139))))</f>
        <v>0</v>
      </c>
      <c r="I139" s="5" t="str">
        <f aca="false">IF($H139=FALSE(),"",COUNTIF($H$3:$H139,TRUE()))</f>
        <v/>
      </c>
      <c r="J139" s="5" t="str">
        <f aca="false">IF($I139="","","R"&amp;$I139)</f>
        <v/>
      </c>
    </row>
    <row r="140" customFormat="false" ht="15" hidden="false" customHeight="true" outlineLevel="0" collapsed="false">
      <c r="H140" s="17" t="b">
        <f aca="false">IF(품목마스터!$A140="",FALSE(),IF($B$3="",TRUE(),ISNUMBER(SEARCH($B$3,품목마스터!$B140&amp;" "&amp;품목마스터!$C140&amp;" "&amp;품목마스터!$A140))))</f>
        <v>0</v>
      </c>
      <c r="I140" s="5" t="str">
        <f aca="false">IF($H140=FALSE(),"",COUNTIF($H$3:$H140,TRUE()))</f>
        <v/>
      </c>
      <c r="J140" s="5" t="str">
        <f aca="false">IF($I140="","","R"&amp;$I140)</f>
        <v/>
      </c>
    </row>
    <row r="141" customFormat="false" ht="15" hidden="false" customHeight="true" outlineLevel="0" collapsed="false">
      <c r="H141" s="17" t="b">
        <f aca="false">IF(품목마스터!$A141="",FALSE(),IF($B$3="",TRUE(),ISNUMBER(SEARCH($B$3,품목마스터!$B141&amp;" "&amp;품목마스터!$C141&amp;" "&amp;품목마스터!$A141))))</f>
        <v>0</v>
      </c>
      <c r="I141" s="5" t="str">
        <f aca="false">IF($H141=FALSE(),"",COUNTIF($H$3:$H141,TRUE()))</f>
        <v/>
      </c>
      <c r="J141" s="5" t="str">
        <f aca="false">IF($I141="","","R"&amp;$I141)</f>
        <v/>
      </c>
    </row>
    <row r="142" customFormat="false" ht="15" hidden="false" customHeight="true" outlineLevel="0" collapsed="false">
      <c r="H142" s="17" t="b">
        <f aca="false">IF(품목마스터!$A142="",FALSE(),IF($B$3="",TRUE(),ISNUMBER(SEARCH($B$3,품목마스터!$B142&amp;" "&amp;품목마스터!$C142&amp;" "&amp;품목마스터!$A142))))</f>
        <v>0</v>
      </c>
      <c r="I142" s="5" t="str">
        <f aca="false">IF($H142=FALSE(),"",COUNTIF($H$3:$H142,TRUE()))</f>
        <v/>
      </c>
      <c r="J142" s="5" t="str">
        <f aca="false">IF($I142="","","R"&amp;$I142)</f>
        <v/>
      </c>
    </row>
    <row r="143" customFormat="false" ht="15" hidden="false" customHeight="true" outlineLevel="0" collapsed="false">
      <c r="H143" s="17" t="b">
        <f aca="false">IF(품목마스터!$A143="",FALSE(),IF($B$3="",TRUE(),ISNUMBER(SEARCH($B$3,품목마스터!$B143&amp;" "&amp;품목마스터!$C143&amp;" "&amp;품목마스터!$A143))))</f>
        <v>0</v>
      </c>
      <c r="I143" s="5" t="str">
        <f aca="false">IF($H143=FALSE(),"",COUNTIF($H$3:$H143,TRUE()))</f>
        <v/>
      </c>
      <c r="J143" s="5" t="str">
        <f aca="false">IF($I143="","","R"&amp;$I143)</f>
        <v/>
      </c>
    </row>
    <row r="144" customFormat="false" ht="15" hidden="false" customHeight="true" outlineLevel="0" collapsed="false">
      <c r="H144" s="17" t="b">
        <f aca="false">IF(품목마스터!$A144="",FALSE(),IF($B$3="",TRUE(),ISNUMBER(SEARCH($B$3,품목마스터!$B144&amp;" "&amp;품목마스터!$C144&amp;" "&amp;품목마스터!$A144))))</f>
        <v>0</v>
      </c>
      <c r="I144" s="5" t="str">
        <f aca="false">IF($H144=FALSE(),"",COUNTIF($H$3:$H144,TRUE()))</f>
        <v/>
      </c>
      <c r="J144" s="5" t="str">
        <f aca="false">IF($I144="","","R"&amp;$I144)</f>
        <v/>
      </c>
    </row>
    <row r="145" customFormat="false" ht="15" hidden="false" customHeight="true" outlineLevel="0" collapsed="false">
      <c r="H145" s="17" t="b">
        <f aca="false">IF(품목마스터!$A145="",FALSE(),IF($B$3="",TRUE(),ISNUMBER(SEARCH($B$3,품목마스터!$B145&amp;" "&amp;품목마스터!$C145&amp;" "&amp;품목마스터!$A145))))</f>
        <v>0</v>
      </c>
      <c r="I145" s="5" t="str">
        <f aca="false">IF($H145=FALSE(),"",COUNTIF($H$3:$H145,TRUE()))</f>
        <v/>
      </c>
      <c r="J145" s="5" t="str">
        <f aca="false">IF($I145="","","R"&amp;$I145)</f>
        <v/>
      </c>
    </row>
    <row r="146" customFormat="false" ht="15" hidden="false" customHeight="true" outlineLevel="0" collapsed="false">
      <c r="H146" s="17" t="b">
        <f aca="false">IF(품목마스터!$A146="",FALSE(),IF($B$3="",TRUE(),ISNUMBER(SEARCH($B$3,품목마스터!$B146&amp;" "&amp;품목마스터!$C146&amp;" "&amp;품목마스터!$A146))))</f>
        <v>0</v>
      </c>
      <c r="I146" s="5" t="str">
        <f aca="false">IF($H146=FALSE(),"",COUNTIF($H$3:$H146,TRUE()))</f>
        <v/>
      </c>
      <c r="J146" s="5" t="str">
        <f aca="false">IF($I146="","","R"&amp;$I146)</f>
        <v/>
      </c>
    </row>
    <row r="147" customFormat="false" ht="15" hidden="false" customHeight="true" outlineLevel="0" collapsed="false">
      <c r="H147" s="17" t="b">
        <f aca="false">IF(품목마스터!$A147="",FALSE(),IF($B$3="",TRUE(),ISNUMBER(SEARCH($B$3,품목마스터!$B147&amp;" "&amp;품목마스터!$C147&amp;" "&amp;품목마스터!$A147))))</f>
        <v>0</v>
      </c>
      <c r="I147" s="5" t="str">
        <f aca="false">IF($H147=FALSE(),"",COUNTIF($H$3:$H147,TRUE()))</f>
        <v/>
      </c>
      <c r="J147" s="5" t="str">
        <f aca="false">IF($I147="","","R"&amp;$I147)</f>
        <v/>
      </c>
    </row>
    <row r="148" customFormat="false" ht="15" hidden="false" customHeight="true" outlineLevel="0" collapsed="false">
      <c r="H148" s="17" t="b">
        <f aca="false">IF(품목마스터!$A148="",FALSE(),IF($B$3="",TRUE(),ISNUMBER(SEARCH($B$3,품목마스터!$B148&amp;" "&amp;품목마스터!$C148&amp;" "&amp;품목마스터!$A148))))</f>
        <v>0</v>
      </c>
      <c r="I148" s="5" t="str">
        <f aca="false">IF($H148=FALSE(),"",COUNTIF($H$3:$H148,TRUE()))</f>
        <v/>
      </c>
      <c r="J148" s="5" t="str">
        <f aca="false">IF($I148="","","R"&amp;$I148)</f>
        <v/>
      </c>
    </row>
    <row r="149" customFormat="false" ht="15" hidden="false" customHeight="true" outlineLevel="0" collapsed="false">
      <c r="H149" s="17" t="b">
        <f aca="false">IF(품목마스터!$A149="",FALSE(),IF($B$3="",TRUE(),ISNUMBER(SEARCH($B$3,품목마스터!$B149&amp;" "&amp;품목마스터!$C149&amp;" "&amp;품목마스터!$A149))))</f>
        <v>0</v>
      </c>
      <c r="I149" s="5" t="str">
        <f aca="false">IF($H149=FALSE(),"",COUNTIF($H$3:$H149,TRUE()))</f>
        <v/>
      </c>
      <c r="J149" s="5" t="str">
        <f aca="false">IF($I149="","","R"&amp;$I149)</f>
        <v/>
      </c>
    </row>
    <row r="150" customFormat="false" ht="15" hidden="false" customHeight="true" outlineLevel="0" collapsed="false">
      <c r="H150" s="17" t="b">
        <f aca="false">IF(품목마스터!$A150="",FALSE(),IF($B$3="",TRUE(),ISNUMBER(SEARCH($B$3,품목마스터!$B150&amp;" "&amp;품목마스터!$C150&amp;" "&amp;품목마스터!$A150))))</f>
        <v>0</v>
      </c>
      <c r="I150" s="5" t="str">
        <f aca="false">IF($H150=FALSE(),"",COUNTIF($H$3:$H150,TRUE()))</f>
        <v/>
      </c>
      <c r="J150" s="5" t="str">
        <f aca="false">IF($I150="","","R"&amp;$I150)</f>
        <v/>
      </c>
    </row>
    <row r="151" customFormat="false" ht="15" hidden="false" customHeight="true" outlineLevel="0" collapsed="false">
      <c r="H151" s="17" t="b">
        <f aca="false">IF(품목마스터!$A151="",FALSE(),IF($B$3="",TRUE(),ISNUMBER(SEARCH($B$3,품목마스터!$B151&amp;" "&amp;품목마스터!$C151&amp;" "&amp;품목마스터!$A151))))</f>
        <v>0</v>
      </c>
      <c r="I151" s="5" t="str">
        <f aca="false">IF($H151=FALSE(),"",COUNTIF($H$3:$H151,TRUE()))</f>
        <v/>
      </c>
      <c r="J151" s="5" t="str">
        <f aca="false">IF($I151="","","R"&amp;$I151)</f>
        <v/>
      </c>
    </row>
    <row r="152" customFormat="false" ht="15" hidden="false" customHeight="true" outlineLevel="0" collapsed="false">
      <c r="H152" s="17" t="b">
        <f aca="false">IF(품목마스터!$A152="",FALSE(),IF($B$3="",TRUE(),ISNUMBER(SEARCH($B$3,품목마스터!$B152&amp;" "&amp;품목마스터!$C152&amp;" "&amp;품목마스터!$A152))))</f>
        <v>0</v>
      </c>
      <c r="I152" s="5" t="str">
        <f aca="false">IF($H152=FALSE(),"",COUNTIF($H$3:$H152,TRUE()))</f>
        <v/>
      </c>
      <c r="J152" s="5" t="str">
        <f aca="false">IF($I152="","","R"&amp;$I152)</f>
        <v/>
      </c>
    </row>
    <row r="153" customFormat="false" ht="15" hidden="false" customHeight="true" outlineLevel="0" collapsed="false">
      <c r="H153" s="17" t="b">
        <f aca="false">IF(품목마스터!$A153="",FALSE(),IF($B$3="",TRUE(),ISNUMBER(SEARCH($B$3,품목마스터!$B153&amp;" "&amp;품목마스터!$C153&amp;" "&amp;품목마스터!$A153))))</f>
        <v>0</v>
      </c>
      <c r="I153" s="5" t="str">
        <f aca="false">IF($H153=FALSE(),"",COUNTIF($H$3:$H153,TRUE()))</f>
        <v/>
      </c>
      <c r="J153" s="5" t="str">
        <f aca="false">IF($I153="","","R"&amp;$I153)</f>
        <v/>
      </c>
    </row>
    <row r="154" customFormat="false" ht="15" hidden="false" customHeight="true" outlineLevel="0" collapsed="false">
      <c r="H154" s="17" t="b">
        <f aca="false">IF(품목마스터!$A154="",FALSE(),IF($B$3="",TRUE(),ISNUMBER(SEARCH($B$3,품목마스터!$B154&amp;" "&amp;품목마스터!$C154&amp;" "&amp;품목마스터!$A154))))</f>
        <v>0</v>
      </c>
      <c r="I154" s="5" t="str">
        <f aca="false">IF($H154=FALSE(),"",COUNTIF($H$3:$H154,TRUE()))</f>
        <v/>
      </c>
      <c r="J154" s="5" t="str">
        <f aca="false">IF($I154="","","R"&amp;$I154)</f>
        <v/>
      </c>
    </row>
    <row r="155" customFormat="false" ht="15" hidden="false" customHeight="true" outlineLevel="0" collapsed="false">
      <c r="H155" s="17" t="b">
        <f aca="false">IF(품목마스터!$A155="",FALSE(),IF($B$3="",TRUE(),ISNUMBER(SEARCH($B$3,품목마스터!$B155&amp;" "&amp;품목마스터!$C155&amp;" "&amp;품목마스터!$A155))))</f>
        <v>0</v>
      </c>
      <c r="I155" s="5" t="str">
        <f aca="false">IF($H155=FALSE(),"",COUNTIF($H$3:$H155,TRUE()))</f>
        <v/>
      </c>
      <c r="J155" s="5" t="str">
        <f aca="false">IF($I155="","","R"&amp;$I155)</f>
        <v/>
      </c>
    </row>
    <row r="156" customFormat="false" ht="15" hidden="false" customHeight="true" outlineLevel="0" collapsed="false">
      <c r="H156" s="17" t="b">
        <f aca="false">IF(품목마스터!$A156="",FALSE(),IF($B$3="",TRUE(),ISNUMBER(SEARCH($B$3,품목마스터!$B156&amp;" "&amp;품목마스터!$C156&amp;" "&amp;품목마스터!$A156))))</f>
        <v>0</v>
      </c>
      <c r="I156" s="5" t="str">
        <f aca="false">IF($H156=FALSE(),"",COUNTIF($H$3:$H156,TRUE()))</f>
        <v/>
      </c>
      <c r="J156" s="5" t="str">
        <f aca="false">IF($I156="","","R"&amp;$I156)</f>
        <v/>
      </c>
    </row>
    <row r="157" customFormat="false" ht="15" hidden="false" customHeight="true" outlineLevel="0" collapsed="false">
      <c r="H157" s="17" t="b">
        <f aca="false">IF(품목마스터!$A157="",FALSE(),IF($B$3="",TRUE(),ISNUMBER(SEARCH($B$3,품목마스터!$B157&amp;" "&amp;품목마스터!$C157&amp;" "&amp;품목마스터!$A157))))</f>
        <v>0</v>
      </c>
      <c r="I157" s="5" t="str">
        <f aca="false">IF($H157=FALSE(),"",COUNTIF($H$3:$H157,TRUE()))</f>
        <v/>
      </c>
      <c r="J157" s="5" t="str">
        <f aca="false">IF($I157="","","R"&amp;$I157)</f>
        <v/>
      </c>
    </row>
    <row r="158" customFormat="false" ht="15" hidden="false" customHeight="true" outlineLevel="0" collapsed="false">
      <c r="H158" s="17" t="b">
        <f aca="false">IF(품목마스터!$A158="",FALSE(),IF($B$3="",TRUE(),ISNUMBER(SEARCH($B$3,품목마스터!$B158&amp;" "&amp;품목마스터!$C158&amp;" "&amp;품목마스터!$A158))))</f>
        <v>0</v>
      </c>
      <c r="I158" s="5" t="str">
        <f aca="false">IF($H158=FALSE(),"",COUNTIF($H$3:$H158,TRUE()))</f>
        <v/>
      </c>
      <c r="J158" s="5" t="str">
        <f aca="false">IF($I158="","","R"&amp;$I158)</f>
        <v/>
      </c>
    </row>
    <row r="159" customFormat="false" ht="15" hidden="false" customHeight="true" outlineLevel="0" collapsed="false">
      <c r="H159" s="17" t="b">
        <f aca="false">IF(품목마스터!$A159="",FALSE(),IF($B$3="",TRUE(),ISNUMBER(SEARCH($B$3,품목마스터!$B159&amp;" "&amp;품목마스터!$C159&amp;" "&amp;품목마스터!$A159))))</f>
        <v>0</v>
      </c>
      <c r="I159" s="5" t="str">
        <f aca="false">IF($H159=FALSE(),"",COUNTIF($H$3:$H159,TRUE()))</f>
        <v/>
      </c>
      <c r="J159" s="5" t="str">
        <f aca="false">IF($I159="","","R"&amp;$I159)</f>
        <v/>
      </c>
    </row>
    <row r="160" customFormat="false" ht="15" hidden="false" customHeight="true" outlineLevel="0" collapsed="false">
      <c r="H160" s="17" t="b">
        <f aca="false">IF(품목마스터!$A160="",FALSE(),IF($B$3="",TRUE(),ISNUMBER(SEARCH($B$3,품목마스터!$B160&amp;" "&amp;품목마스터!$C160&amp;" "&amp;품목마스터!$A160))))</f>
        <v>0</v>
      </c>
      <c r="I160" s="5" t="str">
        <f aca="false">IF($H160=FALSE(),"",COUNTIF($H$3:$H160,TRUE()))</f>
        <v/>
      </c>
      <c r="J160" s="5" t="str">
        <f aca="false">IF($I160="","","R"&amp;$I160)</f>
        <v/>
      </c>
    </row>
    <row r="161" customFormat="false" ht="15" hidden="false" customHeight="true" outlineLevel="0" collapsed="false">
      <c r="H161" s="17" t="b">
        <f aca="false">IF(품목마스터!$A161="",FALSE(),IF($B$3="",TRUE(),ISNUMBER(SEARCH($B$3,품목마스터!$B161&amp;" "&amp;품목마스터!$C161&amp;" "&amp;품목마스터!$A161))))</f>
        <v>0</v>
      </c>
      <c r="I161" s="5" t="str">
        <f aca="false">IF($H161=FALSE(),"",COUNTIF($H$3:$H161,TRUE()))</f>
        <v/>
      </c>
      <c r="J161" s="5" t="str">
        <f aca="false">IF($I161="","","R"&amp;$I161)</f>
        <v/>
      </c>
    </row>
    <row r="162" customFormat="false" ht="15" hidden="false" customHeight="true" outlineLevel="0" collapsed="false">
      <c r="H162" s="17" t="b">
        <f aca="false">IF(품목마스터!$A162="",FALSE(),IF($B$3="",TRUE(),ISNUMBER(SEARCH($B$3,품목마스터!$B162&amp;" "&amp;품목마스터!$C162&amp;" "&amp;품목마스터!$A162))))</f>
        <v>0</v>
      </c>
      <c r="I162" s="5" t="str">
        <f aca="false">IF($H162=FALSE(),"",COUNTIF($H$3:$H162,TRUE()))</f>
        <v/>
      </c>
      <c r="J162" s="5" t="str">
        <f aca="false">IF($I162="","","R"&amp;$I162)</f>
        <v/>
      </c>
    </row>
    <row r="163" customFormat="false" ht="15" hidden="false" customHeight="true" outlineLevel="0" collapsed="false">
      <c r="H163" s="17" t="b">
        <f aca="false">IF(품목마스터!$A163="",FALSE(),IF($B$3="",TRUE(),ISNUMBER(SEARCH($B$3,품목마스터!$B163&amp;" "&amp;품목마스터!$C163&amp;" "&amp;품목마스터!$A163))))</f>
        <v>0</v>
      </c>
      <c r="I163" s="5" t="str">
        <f aca="false">IF($H163=FALSE(),"",COUNTIF($H$3:$H163,TRUE()))</f>
        <v/>
      </c>
      <c r="J163" s="5" t="str">
        <f aca="false">IF($I163="","","R"&amp;$I163)</f>
        <v/>
      </c>
    </row>
    <row r="164" customFormat="false" ht="15" hidden="false" customHeight="true" outlineLevel="0" collapsed="false">
      <c r="H164" s="17" t="b">
        <f aca="false">IF(품목마스터!$A164="",FALSE(),IF($B$3="",TRUE(),ISNUMBER(SEARCH($B$3,품목마스터!$B164&amp;" "&amp;품목마스터!$C164&amp;" "&amp;품목마스터!$A164))))</f>
        <v>0</v>
      </c>
      <c r="I164" s="5" t="str">
        <f aca="false">IF($H164=FALSE(),"",COUNTIF($H$3:$H164,TRUE()))</f>
        <v/>
      </c>
      <c r="J164" s="5" t="str">
        <f aca="false">IF($I164="","","R"&amp;$I164)</f>
        <v/>
      </c>
    </row>
    <row r="165" customFormat="false" ht="15" hidden="false" customHeight="true" outlineLevel="0" collapsed="false">
      <c r="H165" s="17" t="b">
        <f aca="false">IF(품목마스터!$A165="",FALSE(),IF($B$3="",TRUE(),ISNUMBER(SEARCH($B$3,품목마스터!$B165&amp;" "&amp;품목마스터!$C165&amp;" "&amp;품목마스터!$A165))))</f>
        <v>0</v>
      </c>
      <c r="I165" s="5" t="str">
        <f aca="false">IF($H165=FALSE(),"",COUNTIF($H$3:$H165,TRUE()))</f>
        <v/>
      </c>
      <c r="J165" s="5" t="str">
        <f aca="false">IF($I165="","","R"&amp;$I165)</f>
        <v/>
      </c>
    </row>
    <row r="166" customFormat="false" ht="15" hidden="false" customHeight="true" outlineLevel="0" collapsed="false">
      <c r="H166" s="17" t="b">
        <f aca="false">IF(품목마스터!$A166="",FALSE(),IF($B$3="",TRUE(),ISNUMBER(SEARCH($B$3,품목마스터!$B166&amp;" "&amp;품목마스터!$C166&amp;" "&amp;품목마스터!$A166))))</f>
        <v>0</v>
      </c>
      <c r="I166" s="5" t="str">
        <f aca="false">IF($H166=FALSE(),"",COUNTIF($H$3:$H166,TRUE()))</f>
        <v/>
      </c>
      <c r="J166" s="5" t="str">
        <f aca="false">IF($I166="","","R"&amp;$I166)</f>
        <v/>
      </c>
    </row>
    <row r="167" customFormat="false" ht="15" hidden="false" customHeight="true" outlineLevel="0" collapsed="false">
      <c r="H167" s="17" t="b">
        <f aca="false">IF(품목마스터!$A167="",FALSE(),IF($B$3="",TRUE(),ISNUMBER(SEARCH($B$3,품목마스터!$B167&amp;" "&amp;품목마스터!$C167&amp;" "&amp;품목마스터!$A167))))</f>
        <v>0</v>
      </c>
      <c r="I167" s="5" t="str">
        <f aca="false">IF($H167=FALSE(),"",COUNTIF($H$3:$H167,TRUE()))</f>
        <v/>
      </c>
      <c r="J167" s="5" t="str">
        <f aca="false">IF($I167="","","R"&amp;$I167)</f>
        <v/>
      </c>
    </row>
    <row r="168" customFormat="false" ht="15" hidden="false" customHeight="true" outlineLevel="0" collapsed="false">
      <c r="H168" s="17" t="b">
        <f aca="false">IF(품목마스터!$A168="",FALSE(),IF($B$3="",TRUE(),ISNUMBER(SEARCH($B$3,품목마스터!$B168&amp;" "&amp;품목마스터!$C168&amp;" "&amp;품목마스터!$A168))))</f>
        <v>0</v>
      </c>
      <c r="I168" s="5" t="str">
        <f aca="false">IF($H168=FALSE(),"",COUNTIF($H$3:$H168,TRUE()))</f>
        <v/>
      </c>
      <c r="J168" s="5" t="str">
        <f aca="false">IF($I168="","","R"&amp;$I168)</f>
        <v/>
      </c>
    </row>
    <row r="169" customFormat="false" ht="15" hidden="false" customHeight="true" outlineLevel="0" collapsed="false">
      <c r="H169" s="17" t="b">
        <f aca="false">IF(품목마스터!$A169="",FALSE(),IF($B$3="",TRUE(),ISNUMBER(SEARCH($B$3,품목마스터!$B169&amp;" "&amp;품목마스터!$C169&amp;" "&amp;품목마스터!$A169))))</f>
        <v>0</v>
      </c>
      <c r="I169" s="5" t="str">
        <f aca="false">IF($H169=FALSE(),"",COUNTIF($H$3:$H169,TRUE()))</f>
        <v/>
      </c>
      <c r="J169" s="5" t="str">
        <f aca="false">IF($I169="","","R"&amp;$I169)</f>
        <v/>
      </c>
    </row>
    <row r="170" customFormat="false" ht="15" hidden="false" customHeight="true" outlineLevel="0" collapsed="false">
      <c r="H170" s="17" t="b">
        <f aca="false">IF(품목마스터!$A170="",FALSE(),IF($B$3="",TRUE(),ISNUMBER(SEARCH($B$3,품목마스터!$B170&amp;" "&amp;품목마스터!$C170&amp;" "&amp;품목마스터!$A170))))</f>
        <v>0</v>
      </c>
      <c r="I170" s="5" t="str">
        <f aca="false">IF($H170=FALSE(),"",COUNTIF($H$3:$H170,TRUE()))</f>
        <v/>
      </c>
      <c r="J170" s="5" t="str">
        <f aca="false">IF($I170="","","R"&amp;$I170)</f>
        <v/>
      </c>
    </row>
    <row r="171" customFormat="false" ht="15" hidden="false" customHeight="true" outlineLevel="0" collapsed="false">
      <c r="H171" s="17" t="b">
        <f aca="false">IF(품목마스터!$A171="",FALSE(),IF($B$3="",TRUE(),ISNUMBER(SEARCH($B$3,품목마스터!$B171&amp;" "&amp;품목마스터!$C171&amp;" "&amp;품목마스터!$A171))))</f>
        <v>0</v>
      </c>
      <c r="I171" s="5" t="str">
        <f aca="false">IF($H171=FALSE(),"",COUNTIF($H$3:$H171,TRUE()))</f>
        <v/>
      </c>
      <c r="J171" s="5" t="str">
        <f aca="false">IF($I171="","","R"&amp;$I171)</f>
        <v/>
      </c>
    </row>
    <row r="172" customFormat="false" ht="15" hidden="false" customHeight="true" outlineLevel="0" collapsed="false">
      <c r="H172" s="17" t="b">
        <f aca="false">IF(품목마스터!$A172="",FALSE(),IF($B$3="",TRUE(),ISNUMBER(SEARCH($B$3,품목마스터!$B172&amp;" "&amp;품목마스터!$C172&amp;" "&amp;품목마스터!$A172))))</f>
        <v>0</v>
      </c>
      <c r="I172" s="5" t="str">
        <f aca="false">IF($H172=FALSE(),"",COUNTIF($H$3:$H172,TRUE()))</f>
        <v/>
      </c>
      <c r="J172" s="5" t="str">
        <f aca="false">IF($I172="","","R"&amp;$I172)</f>
        <v/>
      </c>
    </row>
    <row r="173" customFormat="false" ht="15" hidden="false" customHeight="true" outlineLevel="0" collapsed="false">
      <c r="H173" s="17" t="b">
        <f aca="false">IF(품목마스터!$A173="",FALSE(),IF($B$3="",TRUE(),ISNUMBER(SEARCH($B$3,품목마스터!$B173&amp;" "&amp;품목마스터!$C173&amp;" "&amp;품목마스터!$A173))))</f>
        <v>0</v>
      </c>
      <c r="I173" s="5" t="str">
        <f aca="false">IF($H173=FALSE(),"",COUNTIF($H$3:$H173,TRUE()))</f>
        <v/>
      </c>
      <c r="J173" s="5" t="str">
        <f aca="false">IF($I173="","","R"&amp;$I173)</f>
        <v/>
      </c>
    </row>
    <row r="174" customFormat="false" ht="15" hidden="false" customHeight="true" outlineLevel="0" collapsed="false">
      <c r="H174" s="17" t="b">
        <f aca="false">IF(품목마스터!$A174="",FALSE(),IF($B$3="",TRUE(),ISNUMBER(SEARCH($B$3,품목마스터!$B174&amp;" "&amp;품목마스터!$C174&amp;" "&amp;품목마스터!$A174))))</f>
        <v>0</v>
      </c>
      <c r="I174" s="5" t="str">
        <f aca="false">IF($H174=FALSE(),"",COUNTIF($H$3:$H174,TRUE()))</f>
        <v/>
      </c>
      <c r="J174" s="5" t="str">
        <f aca="false">IF($I174="","","R"&amp;$I174)</f>
        <v/>
      </c>
    </row>
    <row r="175" customFormat="false" ht="15" hidden="false" customHeight="true" outlineLevel="0" collapsed="false">
      <c r="H175" s="17" t="b">
        <f aca="false">IF(품목마스터!$A175="",FALSE(),IF($B$3="",TRUE(),ISNUMBER(SEARCH($B$3,품목마스터!$B175&amp;" "&amp;품목마스터!$C175&amp;" "&amp;품목마스터!$A175))))</f>
        <v>0</v>
      </c>
      <c r="I175" s="5" t="str">
        <f aca="false">IF($H175=FALSE(),"",COUNTIF($H$3:$H175,TRUE()))</f>
        <v/>
      </c>
      <c r="J175" s="5" t="str">
        <f aca="false">IF($I175="","","R"&amp;$I175)</f>
        <v/>
      </c>
    </row>
    <row r="176" customFormat="false" ht="15" hidden="false" customHeight="true" outlineLevel="0" collapsed="false">
      <c r="H176" s="17" t="b">
        <f aca="false">IF(품목마스터!$A176="",FALSE(),IF($B$3="",TRUE(),ISNUMBER(SEARCH($B$3,품목마스터!$B176&amp;" "&amp;품목마스터!$C176&amp;" "&amp;품목마스터!$A176))))</f>
        <v>0</v>
      </c>
      <c r="I176" s="5" t="str">
        <f aca="false">IF($H176=FALSE(),"",COUNTIF($H$3:$H176,TRUE()))</f>
        <v/>
      </c>
      <c r="J176" s="5" t="str">
        <f aca="false">IF($I176="","","R"&amp;$I176)</f>
        <v/>
      </c>
    </row>
    <row r="177" customFormat="false" ht="15" hidden="false" customHeight="true" outlineLevel="0" collapsed="false">
      <c r="H177" s="17" t="b">
        <f aca="false">IF(품목마스터!$A177="",FALSE(),IF($B$3="",TRUE(),ISNUMBER(SEARCH($B$3,품목마스터!$B177&amp;" "&amp;품목마스터!$C177&amp;" "&amp;품목마스터!$A177))))</f>
        <v>0</v>
      </c>
      <c r="I177" s="5" t="str">
        <f aca="false">IF($H177=FALSE(),"",COUNTIF($H$3:$H177,TRUE()))</f>
        <v/>
      </c>
      <c r="J177" s="5" t="str">
        <f aca="false">IF($I177="","","R"&amp;$I177)</f>
        <v/>
      </c>
    </row>
    <row r="178" customFormat="false" ht="15" hidden="false" customHeight="true" outlineLevel="0" collapsed="false">
      <c r="H178" s="17" t="b">
        <f aca="false">IF(품목마스터!$A178="",FALSE(),IF($B$3="",TRUE(),ISNUMBER(SEARCH($B$3,품목마스터!$B178&amp;" "&amp;품목마스터!$C178&amp;" "&amp;품목마스터!$A178))))</f>
        <v>0</v>
      </c>
      <c r="I178" s="5" t="str">
        <f aca="false">IF($H178=FALSE(),"",COUNTIF($H$3:$H178,TRUE()))</f>
        <v/>
      </c>
      <c r="J178" s="5" t="str">
        <f aca="false">IF($I178="","","R"&amp;$I178)</f>
        <v/>
      </c>
    </row>
    <row r="179" customFormat="false" ht="15" hidden="false" customHeight="true" outlineLevel="0" collapsed="false">
      <c r="H179" s="17" t="b">
        <f aca="false">IF(품목마스터!$A179="",FALSE(),IF($B$3="",TRUE(),ISNUMBER(SEARCH($B$3,품목마스터!$B179&amp;" "&amp;품목마스터!$C179&amp;" "&amp;품목마스터!$A179))))</f>
        <v>0</v>
      </c>
      <c r="I179" s="5" t="str">
        <f aca="false">IF($H179=FALSE(),"",COUNTIF($H$3:$H179,TRUE()))</f>
        <v/>
      </c>
      <c r="J179" s="5" t="str">
        <f aca="false">IF($I179="","","R"&amp;$I179)</f>
        <v/>
      </c>
    </row>
    <row r="180" customFormat="false" ht="15" hidden="false" customHeight="true" outlineLevel="0" collapsed="false">
      <c r="H180" s="17" t="b">
        <f aca="false">IF(품목마스터!$A180="",FALSE(),IF($B$3="",TRUE(),ISNUMBER(SEARCH($B$3,품목마스터!$B180&amp;" "&amp;품목마스터!$C180&amp;" "&amp;품목마스터!$A180))))</f>
        <v>0</v>
      </c>
      <c r="I180" s="5" t="str">
        <f aca="false">IF($H180=FALSE(),"",COUNTIF($H$3:$H180,TRUE()))</f>
        <v/>
      </c>
      <c r="J180" s="5" t="str">
        <f aca="false">IF($I180="","","R"&amp;$I180)</f>
        <v/>
      </c>
    </row>
    <row r="181" customFormat="false" ht="15" hidden="false" customHeight="true" outlineLevel="0" collapsed="false">
      <c r="H181" s="17" t="b">
        <f aca="false">IF(품목마스터!$A181="",FALSE(),IF($B$3="",TRUE(),ISNUMBER(SEARCH($B$3,품목마스터!$B181&amp;" "&amp;품목마스터!$C181&amp;" "&amp;품목마스터!$A181))))</f>
        <v>0</v>
      </c>
      <c r="I181" s="5" t="str">
        <f aca="false">IF($H181=FALSE(),"",COUNTIF($H$3:$H181,TRUE()))</f>
        <v/>
      </c>
      <c r="J181" s="5" t="str">
        <f aca="false">IF($I181="","","R"&amp;$I181)</f>
        <v/>
      </c>
    </row>
    <row r="182" customFormat="false" ht="15" hidden="false" customHeight="true" outlineLevel="0" collapsed="false">
      <c r="H182" s="17" t="b">
        <f aca="false">IF(품목마스터!$A182="",FALSE(),IF($B$3="",TRUE(),ISNUMBER(SEARCH($B$3,품목마스터!$B182&amp;" "&amp;품목마스터!$C182&amp;" "&amp;품목마스터!$A182))))</f>
        <v>0</v>
      </c>
      <c r="I182" s="5" t="str">
        <f aca="false">IF($H182=FALSE(),"",COUNTIF($H$3:$H182,TRUE()))</f>
        <v/>
      </c>
      <c r="J182" s="5" t="str">
        <f aca="false">IF($I182="","","R"&amp;$I182)</f>
        <v/>
      </c>
    </row>
    <row r="183" customFormat="false" ht="15" hidden="false" customHeight="true" outlineLevel="0" collapsed="false">
      <c r="H183" s="17" t="b">
        <f aca="false">IF(품목마스터!$A183="",FALSE(),IF($B$3="",TRUE(),ISNUMBER(SEARCH($B$3,품목마스터!$B183&amp;" "&amp;품목마스터!$C183&amp;" "&amp;품목마스터!$A183))))</f>
        <v>0</v>
      </c>
      <c r="I183" s="5" t="str">
        <f aca="false">IF($H183=FALSE(),"",COUNTIF($H$3:$H183,TRUE()))</f>
        <v/>
      </c>
      <c r="J183" s="5" t="str">
        <f aca="false">IF($I183="","","R"&amp;$I183)</f>
        <v/>
      </c>
    </row>
    <row r="184" customFormat="false" ht="15" hidden="false" customHeight="true" outlineLevel="0" collapsed="false">
      <c r="H184" s="17" t="b">
        <f aca="false">IF(품목마스터!$A184="",FALSE(),IF($B$3="",TRUE(),ISNUMBER(SEARCH($B$3,품목마스터!$B184&amp;" "&amp;품목마스터!$C184&amp;" "&amp;품목마스터!$A184))))</f>
        <v>0</v>
      </c>
      <c r="I184" s="5" t="str">
        <f aca="false">IF($H184=FALSE(),"",COUNTIF($H$3:$H184,TRUE()))</f>
        <v/>
      </c>
      <c r="J184" s="5" t="str">
        <f aca="false">IF($I184="","","R"&amp;$I184)</f>
        <v/>
      </c>
    </row>
    <row r="185" customFormat="false" ht="15" hidden="false" customHeight="true" outlineLevel="0" collapsed="false">
      <c r="H185" s="17" t="b">
        <f aca="false">IF(품목마스터!$A185="",FALSE(),IF($B$3="",TRUE(),ISNUMBER(SEARCH($B$3,품목마스터!$B185&amp;" "&amp;품목마스터!$C185&amp;" "&amp;품목마스터!$A185))))</f>
        <v>0</v>
      </c>
      <c r="I185" s="5" t="str">
        <f aca="false">IF($H185=FALSE(),"",COUNTIF($H$3:$H185,TRUE()))</f>
        <v/>
      </c>
      <c r="J185" s="5" t="str">
        <f aca="false">IF($I185="","","R"&amp;$I185)</f>
        <v/>
      </c>
    </row>
    <row r="186" customFormat="false" ht="15" hidden="false" customHeight="true" outlineLevel="0" collapsed="false">
      <c r="H186" s="17" t="b">
        <f aca="false">IF(품목마스터!$A186="",FALSE(),IF($B$3="",TRUE(),ISNUMBER(SEARCH($B$3,품목마스터!$B186&amp;" "&amp;품목마스터!$C186&amp;" "&amp;품목마스터!$A186))))</f>
        <v>0</v>
      </c>
      <c r="I186" s="5" t="str">
        <f aca="false">IF($H186=FALSE(),"",COUNTIF($H$3:$H186,TRUE()))</f>
        <v/>
      </c>
      <c r="J186" s="5" t="str">
        <f aca="false">IF($I186="","","R"&amp;$I186)</f>
        <v/>
      </c>
    </row>
    <row r="187" customFormat="false" ht="15" hidden="false" customHeight="true" outlineLevel="0" collapsed="false">
      <c r="H187" s="17" t="b">
        <f aca="false">IF(품목마스터!$A187="",FALSE(),IF($B$3="",TRUE(),ISNUMBER(SEARCH($B$3,품목마스터!$B187&amp;" "&amp;품목마스터!$C187&amp;" "&amp;품목마스터!$A187))))</f>
        <v>0</v>
      </c>
      <c r="I187" s="5" t="str">
        <f aca="false">IF($H187=FALSE(),"",COUNTIF($H$3:$H187,TRUE()))</f>
        <v/>
      </c>
      <c r="J187" s="5" t="str">
        <f aca="false">IF($I187="","","R"&amp;$I187)</f>
        <v/>
      </c>
    </row>
    <row r="188" customFormat="false" ht="15" hidden="false" customHeight="true" outlineLevel="0" collapsed="false">
      <c r="H188" s="17" t="b">
        <f aca="false">IF(품목마스터!$A188="",FALSE(),IF($B$3="",TRUE(),ISNUMBER(SEARCH($B$3,품목마스터!$B188&amp;" "&amp;품목마스터!$C188&amp;" "&amp;품목마스터!$A188))))</f>
        <v>0</v>
      </c>
      <c r="I188" s="5" t="str">
        <f aca="false">IF($H188=FALSE(),"",COUNTIF($H$3:$H188,TRUE()))</f>
        <v/>
      </c>
      <c r="J188" s="5" t="str">
        <f aca="false">IF($I188="","","R"&amp;$I188)</f>
        <v/>
      </c>
    </row>
    <row r="189" customFormat="false" ht="15" hidden="false" customHeight="true" outlineLevel="0" collapsed="false">
      <c r="H189" s="17" t="b">
        <f aca="false">IF(품목마스터!$A189="",FALSE(),IF($B$3="",TRUE(),ISNUMBER(SEARCH($B$3,품목마스터!$B189&amp;" "&amp;품목마스터!$C189&amp;" "&amp;품목마스터!$A189))))</f>
        <v>0</v>
      </c>
      <c r="I189" s="5" t="str">
        <f aca="false">IF($H189=FALSE(),"",COUNTIF($H$3:$H189,TRUE()))</f>
        <v/>
      </c>
      <c r="J189" s="5" t="str">
        <f aca="false">IF($I189="","","R"&amp;$I189)</f>
        <v/>
      </c>
    </row>
    <row r="190" customFormat="false" ht="15" hidden="false" customHeight="true" outlineLevel="0" collapsed="false">
      <c r="H190" s="17" t="b">
        <f aca="false">IF(품목마스터!$A190="",FALSE(),IF($B$3="",TRUE(),ISNUMBER(SEARCH($B$3,품목마스터!$B190&amp;" "&amp;품목마스터!$C190&amp;" "&amp;품목마스터!$A190))))</f>
        <v>0</v>
      </c>
      <c r="I190" s="5" t="str">
        <f aca="false">IF($H190=FALSE(),"",COUNTIF($H$3:$H190,TRUE()))</f>
        <v/>
      </c>
      <c r="J190" s="5" t="str">
        <f aca="false">IF($I190="","","R"&amp;$I190)</f>
        <v/>
      </c>
    </row>
    <row r="191" customFormat="false" ht="15" hidden="false" customHeight="true" outlineLevel="0" collapsed="false">
      <c r="H191" s="17" t="b">
        <f aca="false">IF(품목마스터!$A191="",FALSE(),IF($B$3="",TRUE(),ISNUMBER(SEARCH($B$3,품목마스터!$B191&amp;" "&amp;품목마스터!$C191&amp;" "&amp;품목마스터!$A191))))</f>
        <v>0</v>
      </c>
      <c r="I191" s="5" t="str">
        <f aca="false">IF($H191=FALSE(),"",COUNTIF($H$3:$H191,TRUE()))</f>
        <v/>
      </c>
      <c r="J191" s="5" t="str">
        <f aca="false">IF($I191="","","R"&amp;$I191)</f>
        <v/>
      </c>
    </row>
    <row r="192" customFormat="false" ht="15" hidden="false" customHeight="true" outlineLevel="0" collapsed="false">
      <c r="H192" s="17" t="b">
        <f aca="false">IF(품목마스터!$A192="",FALSE(),IF($B$3="",TRUE(),ISNUMBER(SEARCH($B$3,품목마스터!$B192&amp;" "&amp;품목마스터!$C192&amp;" "&amp;품목마스터!$A192))))</f>
        <v>0</v>
      </c>
      <c r="I192" s="5" t="str">
        <f aca="false">IF($H192=FALSE(),"",COUNTIF($H$3:$H192,TRUE()))</f>
        <v/>
      </c>
      <c r="J192" s="5" t="str">
        <f aca="false">IF($I192="","","R"&amp;$I192)</f>
        <v/>
      </c>
    </row>
    <row r="193" customFormat="false" ht="15" hidden="false" customHeight="true" outlineLevel="0" collapsed="false">
      <c r="H193" s="17" t="b">
        <f aca="false">IF(품목마스터!$A193="",FALSE(),IF($B$3="",TRUE(),ISNUMBER(SEARCH($B$3,품목마스터!$B193&amp;" "&amp;품목마스터!$C193&amp;" "&amp;품목마스터!$A193))))</f>
        <v>0</v>
      </c>
      <c r="I193" s="5" t="str">
        <f aca="false">IF($H193=FALSE(),"",COUNTIF($H$3:$H193,TRUE()))</f>
        <v/>
      </c>
      <c r="J193" s="5" t="str">
        <f aca="false">IF($I193="","","R"&amp;$I193)</f>
        <v/>
      </c>
    </row>
    <row r="194" customFormat="false" ht="15" hidden="false" customHeight="true" outlineLevel="0" collapsed="false">
      <c r="H194" s="17" t="b">
        <f aca="false">IF(품목마스터!$A194="",FALSE(),IF($B$3="",TRUE(),ISNUMBER(SEARCH($B$3,품목마스터!$B194&amp;" "&amp;품목마스터!$C194&amp;" "&amp;품목마스터!$A194))))</f>
        <v>0</v>
      </c>
      <c r="I194" s="5" t="str">
        <f aca="false">IF($H194=FALSE(),"",COUNTIF($H$3:$H194,TRUE()))</f>
        <v/>
      </c>
      <c r="J194" s="5" t="str">
        <f aca="false">IF($I194="","","R"&amp;$I194)</f>
        <v/>
      </c>
    </row>
    <row r="195" customFormat="false" ht="15" hidden="false" customHeight="true" outlineLevel="0" collapsed="false">
      <c r="H195" s="17" t="b">
        <f aca="false">IF(품목마스터!$A195="",FALSE(),IF($B$3="",TRUE(),ISNUMBER(SEARCH($B$3,품목마스터!$B195&amp;" "&amp;품목마스터!$C195&amp;" "&amp;품목마스터!$A195))))</f>
        <v>0</v>
      </c>
      <c r="I195" s="5" t="str">
        <f aca="false">IF($H195=FALSE(),"",COUNTIF($H$3:$H195,TRUE()))</f>
        <v/>
      </c>
      <c r="J195" s="5" t="str">
        <f aca="false">IF($I195="","","R"&amp;$I195)</f>
        <v/>
      </c>
    </row>
    <row r="196" customFormat="false" ht="15" hidden="false" customHeight="true" outlineLevel="0" collapsed="false">
      <c r="H196" s="17" t="b">
        <f aca="false">IF(품목마스터!$A196="",FALSE(),IF($B$3="",TRUE(),ISNUMBER(SEARCH($B$3,품목마스터!$B196&amp;" "&amp;품목마스터!$C196&amp;" "&amp;품목마스터!$A196))))</f>
        <v>0</v>
      </c>
      <c r="I196" s="5" t="str">
        <f aca="false">IF($H196=FALSE(),"",COUNTIF($H$3:$H196,TRUE()))</f>
        <v/>
      </c>
      <c r="J196" s="5" t="str">
        <f aca="false">IF($I196="","","R"&amp;$I196)</f>
        <v/>
      </c>
    </row>
    <row r="197" customFormat="false" ht="15" hidden="false" customHeight="true" outlineLevel="0" collapsed="false">
      <c r="H197" s="17" t="b">
        <f aca="false">IF(품목마스터!$A197="",FALSE(),IF($B$3="",TRUE(),ISNUMBER(SEARCH($B$3,품목마스터!$B197&amp;" "&amp;품목마스터!$C197&amp;" "&amp;품목마스터!$A197))))</f>
        <v>0</v>
      </c>
      <c r="I197" s="5" t="str">
        <f aca="false">IF($H197=FALSE(),"",COUNTIF($H$3:$H197,TRUE()))</f>
        <v/>
      </c>
      <c r="J197" s="5" t="str">
        <f aca="false">IF($I197="","","R"&amp;$I197)</f>
        <v/>
      </c>
    </row>
    <row r="198" customFormat="false" ht="15" hidden="false" customHeight="true" outlineLevel="0" collapsed="false">
      <c r="H198" s="17" t="b">
        <f aca="false">IF(품목마스터!$A198="",FALSE(),IF($B$3="",TRUE(),ISNUMBER(SEARCH($B$3,품목마스터!$B198&amp;" "&amp;품목마스터!$C198&amp;" "&amp;품목마스터!$A198))))</f>
        <v>0</v>
      </c>
      <c r="I198" s="5" t="str">
        <f aca="false">IF($H198=FALSE(),"",COUNTIF($H$3:$H198,TRUE()))</f>
        <v/>
      </c>
      <c r="J198" s="5" t="str">
        <f aca="false">IF($I198="","","R"&amp;$I198)</f>
        <v/>
      </c>
    </row>
    <row r="199" customFormat="false" ht="15" hidden="false" customHeight="true" outlineLevel="0" collapsed="false">
      <c r="H199" s="17" t="b">
        <f aca="false">IF(품목마스터!$A199="",FALSE(),IF($B$3="",TRUE(),ISNUMBER(SEARCH($B$3,품목마스터!$B199&amp;" "&amp;품목마스터!$C199&amp;" "&amp;품목마스터!$A199))))</f>
        <v>0</v>
      </c>
      <c r="I199" s="5" t="str">
        <f aca="false">IF($H199=FALSE(),"",COUNTIF($H$3:$H199,TRUE()))</f>
        <v/>
      </c>
      <c r="J199" s="5" t="str">
        <f aca="false">IF($I199="","","R"&amp;$I199)</f>
        <v/>
      </c>
    </row>
    <row r="200" customFormat="false" ht="15" hidden="false" customHeight="true" outlineLevel="0" collapsed="false">
      <c r="H200" s="17" t="b">
        <f aca="false">IF(품목마스터!$A200="",FALSE(),IF($B$3="",TRUE(),ISNUMBER(SEARCH($B$3,품목마스터!$B200&amp;" "&amp;품목마스터!$C200&amp;" "&amp;품목마스터!$A200))))</f>
        <v>0</v>
      </c>
      <c r="I200" s="5" t="str">
        <f aca="false">IF($H200=FALSE(),"",COUNTIF($H$3:$H200,TRUE()))</f>
        <v/>
      </c>
      <c r="J200" s="5" t="str">
        <f aca="false">IF($I200="","","R"&amp;$I200)</f>
        <v/>
      </c>
    </row>
    <row r="201" customFormat="false" ht="15" hidden="false" customHeight="true" outlineLevel="0" collapsed="false">
      <c r="H201" s="17" t="b">
        <f aca="false">IF(품목마스터!$A201="",FALSE(),IF($B$3="",TRUE(),ISNUMBER(SEARCH($B$3,품목마스터!$B201&amp;" "&amp;품목마스터!$C201&amp;" "&amp;품목마스터!$A201))))</f>
        <v>0</v>
      </c>
      <c r="I201" s="5" t="str">
        <f aca="false">IF($H201=FALSE(),"",COUNTIF($H$3:$H201,TRUE()))</f>
        <v/>
      </c>
      <c r="J201" s="5" t="str">
        <f aca="false">IF($I201="","","R"&amp;$I201)</f>
        <v/>
      </c>
    </row>
    <row r="202" customFormat="false" ht="15" hidden="false" customHeight="true" outlineLevel="0" collapsed="false">
      <c r="H202" s="17" t="b">
        <f aca="false">IF(품목마스터!$A202="",FALSE(),IF($B$3="",TRUE(),ISNUMBER(SEARCH($B$3,품목마스터!$B202&amp;" "&amp;품목마스터!$C202&amp;" "&amp;품목마스터!$A202))))</f>
        <v>0</v>
      </c>
      <c r="I202" s="5" t="str">
        <f aca="false">IF($H202=FALSE(),"",COUNTIF($H$3:$H202,TRUE()))</f>
        <v/>
      </c>
      <c r="J202" s="5" t="str">
        <f aca="false">IF($I202="","","R"&amp;$I202)</f>
        <v/>
      </c>
    </row>
    <row r="203" customFormat="false" ht="15" hidden="false" customHeight="true" outlineLevel="0" collapsed="false">
      <c r="H203" s="17" t="b">
        <f aca="false">IF(품목마스터!$A203="",FALSE(),IF($B$3="",TRUE(),ISNUMBER(SEARCH($B$3,품목마스터!$B203&amp;" "&amp;품목마스터!$C203&amp;" "&amp;품목마스터!$A203))))</f>
        <v>0</v>
      </c>
      <c r="I203" s="5" t="str">
        <f aca="false">IF($H203=FALSE(),"",COUNTIF($H$3:$H203,TRUE()))</f>
        <v/>
      </c>
      <c r="J203" s="5" t="str">
        <f aca="false">IF($I203="","","R"&amp;$I203)</f>
        <v/>
      </c>
    </row>
    <row r="204" customFormat="false" ht="15" hidden="false" customHeight="true" outlineLevel="0" collapsed="false">
      <c r="H204" s="17" t="b">
        <f aca="false">IF(품목마스터!$A204="",FALSE(),IF($B$3="",TRUE(),ISNUMBER(SEARCH($B$3,품목마스터!$B204&amp;" "&amp;품목마스터!$C204&amp;" "&amp;품목마스터!$A204))))</f>
        <v>0</v>
      </c>
      <c r="I204" s="5" t="str">
        <f aca="false">IF($H204=FALSE(),"",COUNTIF($H$3:$H204,TRUE()))</f>
        <v/>
      </c>
      <c r="J204" s="5" t="str">
        <f aca="false">IF($I204="","","R"&amp;$I204)</f>
        <v/>
      </c>
    </row>
    <row r="205" customFormat="false" ht="15" hidden="false" customHeight="true" outlineLevel="0" collapsed="false">
      <c r="H205" s="17" t="b">
        <f aca="false">IF(품목마스터!$A205="",FALSE(),IF($B$3="",TRUE(),ISNUMBER(SEARCH($B$3,품목마스터!$B205&amp;" "&amp;품목마스터!$C205&amp;" "&amp;품목마스터!$A205))))</f>
        <v>0</v>
      </c>
      <c r="I205" s="5" t="str">
        <f aca="false">IF($H205=FALSE(),"",COUNTIF($H$3:$H205,TRUE()))</f>
        <v/>
      </c>
      <c r="J205" s="5" t="str">
        <f aca="false">IF($I205="","","R"&amp;$I205)</f>
        <v/>
      </c>
    </row>
    <row r="206" customFormat="false" ht="15" hidden="false" customHeight="true" outlineLevel="0" collapsed="false">
      <c r="H206" s="17" t="b">
        <f aca="false">IF(품목마스터!$A206="",FALSE(),IF($B$3="",TRUE(),ISNUMBER(SEARCH($B$3,품목마스터!$B206&amp;" "&amp;품목마스터!$C206&amp;" "&amp;품목마스터!$A206))))</f>
        <v>0</v>
      </c>
      <c r="I206" s="5" t="str">
        <f aca="false">IF($H206=FALSE(),"",COUNTIF($H$3:$H206,TRUE()))</f>
        <v/>
      </c>
      <c r="J206" s="5" t="str">
        <f aca="false">IF($I206="","","R"&amp;$I206)</f>
        <v/>
      </c>
    </row>
    <row r="207" customFormat="false" ht="15" hidden="false" customHeight="true" outlineLevel="0" collapsed="false">
      <c r="H207" s="17" t="b">
        <f aca="false">IF(품목마스터!$A207="",FALSE(),IF($B$3="",TRUE(),ISNUMBER(SEARCH($B$3,품목마스터!$B207&amp;" "&amp;품목마스터!$C207&amp;" "&amp;품목마스터!$A207))))</f>
        <v>0</v>
      </c>
      <c r="I207" s="5" t="str">
        <f aca="false">IF($H207=FALSE(),"",COUNTIF($H$3:$H207,TRUE()))</f>
        <v/>
      </c>
      <c r="J207" s="5" t="str">
        <f aca="false">IF($I207="","","R"&amp;$I207)</f>
        <v/>
      </c>
    </row>
    <row r="208" customFormat="false" ht="15" hidden="false" customHeight="true" outlineLevel="0" collapsed="false">
      <c r="H208" s="17" t="b">
        <f aca="false">IF(품목마스터!$A208="",FALSE(),IF($B$3="",TRUE(),ISNUMBER(SEARCH($B$3,품목마스터!$B208&amp;" "&amp;품목마스터!$C208&amp;" "&amp;품목마스터!$A208))))</f>
        <v>0</v>
      </c>
      <c r="I208" s="5" t="str">
        <f aca="false">IF($H208=FALSE(),"",COUNTIF($H$3:$H208,TRUE()))</f>
        <v/>
      </c>
      <c r="J208" s="5" t="str">
        <f aca="false">IF($I208="","","R"&amp;$I208)</f>
        <v/>
      </c>
    </row>
    <row r="209" customFormat="false" ht="15" hidden="false" customHeight="true" outlineLevel="0" collapsed="false">
      <c r="H209" s="17" t="b">
        <f aca="false">IF(품목마스터!$A209="",FALSE(),IF($B$3="",TRUE(),ISNUMBER(SEARCH($B$3,품목마스터!$B209&amp;" "&amp;품목마스터!$C209&amp;" "&amp;품목마스터!$A209))))</f>
        <v>0</v>
      </c>
      <c r="I209" s="5" t="str">
        <f aca="false">IF($H209=FALSE(),"",COUNTIF($H$3:$H209,TRUE()))</f>
        <v/>
      </c>
      <c r="J209" s="5" t="str">
        <f aca="false">IF($I209="","","R"&amp;$I209)</f>
        <v/>
      </c>
    </row>
    <row r="210" customFormat="false" ht="15" hidden="false" customHeight="true" outlineLevel="0" collapsed="false">
      <c r="H210" s="17" t="b">
        <f aca="false">IF(품목마스터!$A210="",FALSE(),IF($B$3="",TRUE(),ISNUMBER(SEARCH($B$3,품목마스터!$B210&amp;" "&amp;품목마스터!$C210&amp;" "&amp;품목마스터!$A210))))</f>
        <v>0</v>
      </c>
      <c r="I210" s="5" t="str">
        <f aca="false">IF($H210=FALSE(),"",COUNTIF($H$3:$H210,TRUE()))</f>
        <v/>
      </c>
      <c r="J210" s="5" t="str">
        <f aca="false">IF($I210="","","R"&amp;$I210)</f>
        <v/>
      </c>
    </row>
    <row r="211" customFormat="false" ht="15" hidden="false" customHeight="true" outlineLevel="0" collapsed="false">
      <c r="H211" s="17" t="b">
        <f aca="false">IF(품목마스터!$A211="",FALSE(),IF($B$3="",TRUE(),ISNUMBER(SEARCH($B$3,품목마스터!$B211&amp;" "&amp;품목마스터!$C211&amp;" "&amp;품목마스터!$A211))))</f>
        <v>0</v>
      </c>
      <c r="I211" s="5" t="str">
        <f aca="false">IF($H211=FALSE(),"",COUNTIF($H$3:$H211,TRUE()))</f>
        <v/>
      </c>
      <c r="J211" s="5" t="str">
        <f aca="false">IF($I211="","","R"&amp;$I211)</f>
        <v/>
      </c>
    </row>
    <row r="212" customFormat="false" ht="15" hidden="false" customHeight="true" outlineLevel="0" collapsed="false">
      <c r="H212" s="17" t="b">
        <f aca="false">IF(품목마스터!$A212="",FALSE(),IF($B$3="",TRUE(),ISNUMBER(SEARCH($B$3,품목마스터!$B212&amp;" "&amp;품목마스터!$C212&amp;" "&amp;품목마스터!$A212))))</f>
        <v>0</v>
      </c>
      <c r="I212" s="5" t="str">
        <f aca="false">IF($H212=FALSE(),"",COUNTIF($H$3:$H212,TRUE()))</f>
        <v/>
      </c>
      <c r="J212" s="5" t="str">
        <f aca="false">IF($I212="","","R"&amp;$I212)</f>
        <v/>
      </c>
    </row>
    <row r="213" customFormat="false" ht="15" hidden="false" customHeight="true" outlineLevel="0" collapsed="false">
      <c r="H213" s="17" t="b">
        <f aca="false">IF(품목마스터!$A213="",FALSE(),IF($B$3="",TRUE(),ISNUMBER(SEARCH($B$3,품목마스터!$B213&amp;" "&amp;품목마스터!$C213&amp;" "&amp;품목마스터!$A213))))</f>
        <v>0</v>
      </c>
      <c r="I213" s="5" t="str">
        <f aca="false">IF($H213=FALSE(),"",COUNTIF($H$3:$H213,TRUE()))</f>
        <v/>
      </c>
      <c r="J213" s="5" t="str">
        <f aca="false">IF($I213="","","R"&amp;$I213)</f>
        <v/>
      </c>
    </row>
    <row r="214" customFormat="false" ht="15" hidden="false" customHeight="true" outlineLevel="0" collapsed="false">
      <c r="H214" s="17" t="b">
        <f aca="false">IF(품목마스터!$A214="",FALSE(),IF($B$3="",TRUE(),ISNUMBER(SEARCH($B$3,품목마스터!$B214&amp;" "&amp;품목마스터!$C214&amp;" "&amp;품목마스터!$A214))))</f>
        <v>0</v>
      </c>
      <c r="I214" s="5" t="str">
        <f aca="false">IF($H214=FALSE(),"",COUNTIF($H$3:$H214,TRUE()))</f>
        <v/>
      </c>
      <c r="J214" s="5" t="str">
        <f aca="false">IF($I214="","","R"&amp;$I214)</f>
        <v/>
      </c>
    </row>
    <row r="215" customFormat="false" ht="15" hidden="false" customHeight="true" outlineLevel="0" collapsed="false">
      <c r="H215" s="17" t="b">
        <f aca="false">IF(품목마스터!$A215="",FALSE(),IF($B$3="",TRUE(),ISNUMBER(SEARCH($B$3,품목마스터!$B215&amp;" "&amp;품목마스터!$C215&amp;" "&amp;품목마스터!$A215))))</f>
        <v>0</v>
      </c>
      <c r="I215" s="5" t="str">
        <f aca="false">IF($H215=FALSE(),"",COUNTIF($H$3:$H215,TRUE()))</f>
        <v/>
      </c>
      <c r="J215" s="5" t="str">
        <f aca="false">IF($I215="","","R"&amp;$I215)</f>
        <v/>
      </c>
    </row>
    <row r="216" customFormat="false" ht="15" hidden="false" customHeight="true" outlineLevel="0" collapsed="false">
      <c r="H216" s="17" t="b">
        <f aca="false">IF(품목마스터!$A216="",FALSE(),IF($B$3="",TRUE(),ISNUMBER(SEARCH($B$3,품목마스터!$B216&amp;" "&amp;품목마스터!$C216&amp;" "&amp;품목마스터!$A216))))</f>
        <v>0</v>
      </c>
      <c r="I216" s="5" t="str">
        <f aca="false">IF($H216=FALSE(),"",COUNTIF($H$3:$H216,TRUE()))</f>
        <v/>
      </c>
      <c r="J216" s="5" t="str">
        <f aca="false">IF($I216="","","R"&amp;$I216)</f>
        <v/>
      </c>
    </row>
    <row r="217" customFormat="false" ht="15" hidden="false" customHeight="true" outlineLevel="0" collapsed="false">
      <c r="H217" s="17" t="b">
        <f aca="false">IF(품목마스터!$A217="",FALSE(),IF($B$3="",TRUE(),ISNUMBER(SEARCH($B$3,품목마스터!$B217&amp;" "&amp;품목마스터!$C217&amp;" "&amp;품목마스터!$A217))))</f>
        <v>0</v>
      </c>
      <c r="I217" s="5" t="str">
        <f aca="false">IF($H217=FALSE(),"",COUNTIF($H$3:$H217,TRUE()))</f>
        <v/>
      </c>
      <c r="J217" s="5" t="str">
        <f aca="false">IF($I217="","","R"&amp;$I217)</f>
        <v/>
      </c>
    </row>
    <row r="218" customFormat="false" ht="15" hidden="false" customHeight="true" outlineLevel="0" collapsed="false">
      <c r="H218" s="17" t="b">
        <f aca="false">IF(품목마스터!$A218="",FALSE(),IF($B$3="",TRUE(),ISNUMBER(SEARCH($B$3,품목마스터!$B218&amp;" "&amp;품목마스터!$C218&amp;" "&amp;품목마스터!$A218))))</f>
        <v>0</v>
      </c>
      <c r="I218" s="5" t="str">
        <f aca="false">IF($H218=FALSE(),"",COUNTIF($H$3:$H218,TRUE()))</f>
        <v/>
      </c>
      <c r="J218" s="5" t="str">
        <f aca="false">IF($I218="","","R"&amp;$I218)</f>
        <v/>
      </c>
    </row>
    <row r="219" customFormat="false" ht="15" hidden="false" customHeight="true" outlineLevel="0" collapsed="false">
      <c r="H219" s="17" t="b">
        <f aca="false">IF(품목마스터!$A219="",FALSE(),IF($B$3="",TRUE(),ISNUMBER(SEARCH($B$3,품목마스터!$B219&amp;" "&amp;품목마스터!$C219&amp;" "&amp;품목마스터!$A219))))</f>
        <v>0</v>
      </c>
      <c r="I219" s="5" t="str">
        <f aca="false">IF($H219=FALSE(),"",COUNTIF($H$3:$H219,TRUE()))</f>
        <v/>
      </c>
      <c r="J219" s="5" t="str">
        <f aca="false">IF($I219="","","R"&amp;$I219)</f>
        <v/>
      </c>
    </row>
    <row r="220" customFormat="false" ht="15" hidden="false" customHeight="true" outlineLevel="0" collapsed="false">
      <c r="H220" s="17" t="b">
        <f aca="false">IF(품목마스터!$A220="",FALSE(),IF($B$3="",TRUE(),ISNUMBER(SEARCH($B$3,품목마스터!$B220&amp;" "&amp;품목마스터!$C220&amp;" "&amp;품목마스터!$A220))))</f>
        <v>0</v>
      </c>
      <c r="I220" s="5" t="str">
        <f aca="false">IF($H220=FALSE(),"",COUNTIF($H$3:$H220,TRUE()))</f>
        <v/>
      </c>
      <c r="J220" s="5" t="str">
        <f aca="false">IF($I220="","","R"&amp;$I220)</f>
        <v/>
      </c>
    </row>
    <row r="221" customFormat="false" ht="15" hidden="false" customHeight="true" outlineLevel="0" collapsed="false">
      <c r="H221" s="17" t="b">
        <f aca="false">IF(품목마스터!$A221="",FALSE(),IF($B$3="",TRUE(),ISNUMBER(SEARCH($B$3,품목마스터!$B221&amp;" "&amp;품목마스터!$C221&amp;" "&amp;품목마스터!$A221))))</f>
        <v>0</v>
      </c>
      <c r="I221" s="5" t="str">
        <f aca="false">IF($H221=FALSE(),"",COUNTIF($H$3:$H221,TRUE()))</f>
        <v/>
      </c>
      <c r="J221" s="5" t="str">
        <f aca="false">IF($I221="","","R"&amp;$I221)</f>
        <v/>
      </c>
    </row>
    <row r="222" customFormat="false" ht="15" hidden="false" customHeight="true" outlineLevel="0" collapsed="false">
      <c r="H222" s="17" t="b">
        <f aca="false">IF(품목마스터!$A222="",FALSE(),IF($B$3="",TRUE(),ISNUMBER(SEARCH($B$3,품목마스터!$B222&amp;" "&amp;품목마스터!$C222&amp;" "&amp;품목마스터!$A222))))</f>
        <v>0</v>
      </c>
      <c r="I222" s="5" t="str">
        <f aca="false">IF($H222=FALSE(),"",COUNTIF($H$3:$H222,TRUE()))</f>
        <v/>
      </c>
      <c r="J222" s="5" t="str">
        <f aca="false">IF($I222="","","R"&amp;$I222)</f>
        <v/>
      </c>
    </row>
    <row r="223" customFormat="false" ht="15" hidden="false" customHeight="true" outlineLevel="0" collapsed="false">
      <c r="H223" s="17" t="b">
        <f aca="false">IF(품목마스터!$A223="",FALSE(),IF($B$3="",TRUE(),ISNUMBER(SEARCH($B$3,품목마스터!$B223&amp;" "&amp;품목마스터!$C223&amp;" "&amp;품목마스터!$A223))))</f>
        <v>0</v>
      </c>
      <c r="I223" s="5" t="str">
        <f aca="false">IF($H223=FALSE(),"",COUNTIF($H$3:$H223,TRUE()))</f>
        <v/>
      </c>
      <c r="J223" s="5" t="str">
        <f aca="false">IF($I223="","","R"&amp;$I223)</f>
        <v/>
      </c>
    </row>
    <row r="224" customFormat="false" ht="15" hidden="false" customHeight="true" outlineLevel="0" collapsed="false">
      <c r="H224" s="17" t="b">
        <f aca="false">IF(품목마스터!$A224="",FALSE(),IF($B$3="",TRUE(),ISNUMBER(SEARCH($B$3,품목마스터!$B224&amp;" "&amp;품목마스터!$C224&amp;" "&amp;품목마스터!$A224))))</f>
        <v>0</v>
      </c>
      <c r="I224" s="5" t="str">
        <f aca="false">IF($H224=FALSE(),"",COUNTIF($H$3:$H224,TRUE()))</f>
        <v/>
      </c>
      <c r="J224" s="5" t="str">
        <f aca="false">IF($I224="","","R"&amp;$I224)</f>
        <v/>
      </c>
    </row>
    <row r="225" customFormat="false" ht="15" hidden="false" customHeight="true" outlineLevel="0" collapsed="false">
      <c r="H225" s="17" t="b">
        <f aca="false">IF(품목마스터!$A225="",FALSE(),IF($B$3="",TRUE(),ISNUMBER(SEARCH($B$3,품목마스터!$B225&amp;" "&amp;품목마스터!$C225&amp;" "&amp;품목마스터!$A225))))</f>
        <v>0</v>
      </c>
      <c r="I225" s="5" t="str">
        <f aca="false">IF($H225=FALSE(),"",COUNTIF($H$3:$H225,TRUE()))</f>
        <v/>
      </c>
      <c r="J225" s="5" t="str">
        <f aca="false">IF($I225="","","R"&amp;$I225)</f>
        <v/>
      </c>
    </row>
    <row r="226" customFormat="false" ht="15" hidden="false" customHeight="true" outlineLevel="0" collapsed="false">
      <c r="H226" s="17" t="b">
        <f aca="false">IF(품목마스터!$A226="",FALSE(),IF($B$3="",TRUE(),ISNUMBER(SEARCH($B$3,품목마스터!$B226&amp;" "&amp;품목마스터!$C226&amp;" "&amp;품목마스터!$A226))))</f>
        <v>0</v>
      </c>
      <c r="I226" s="5" t="str">
        <f aca="false">IF($H226=FALSE(),"",COUNTIF($H$3:$H226,TRUE()))</f>
        <v/>
      </c>
      <c r="J226" s="5" t="str">
        <f aca="false">IF($I226="","","R"&amp;$I226)</f>
        <v/>
      </c>
    </row>
    <row r="227" customFormat="false" ht="15" hidden="false" customHeight="true" outlineLevel="0" collapsed="false">
      <c r="H227" s="17" t="b">
        <f aca="false">IF(품목마스터!$A227="",FALSE(),IF($B$3="",TRUE(),ISNUMBER(SEARCH($B$3,품목마스터!$B227&amp;" "&amp;품목마스터!$C227&amp;" "&amp;품목마스터!$A227))))</f>
        <v>0</v>
      </c>
      <c r="I227" s="5" t="str">
        <f aca="false">IF($H227=FALSE(),"",COUNTIF($H$3:$H227,TRUE()))</f>
        <v/>
      </c>
      <c r="J227" s="5" t="str">
        <f aca="false">IF($I227="","","R"&amp;$I227)</f>
        <v/>
      </c>
    </row>
    <row r="228" customFormat="false" ht="15" hidden="false" customHeight="true" outlineLevel="0" collapsed="false">
      <c r="H228" s="17" t="b">
        <f aca="false">IF(품목마스터!$A228="",FALSE(),IF($B$3="",TRUE(),ISNUMBER(SEARCH($B$3,품목마스터!$B228&amp;" "&amp;품목마스터!$C228&amp;" "&amp;품목마스터!$A228))))</f>
        <v>0</v>
      </c>
      <c r="I228" s="5" t="str">
        <f aca="false">IF($H228=FALSE(),"",COUNTIF($H$3:$H228,TRUE()))</f>
        <v/>
      </c>
      <c r="J228" s="5" t="str">
        <f aca="false">IF($I228="","","R"&amp;$I228)</f>
        <v/>
      </c>
    </row>
    <row r="229" customFormat="false" ht="15" hidden="false" customHeight="true" outlineLevel="0" collapsed="false">
      <c r="H229" s="17" t="b">
        <f aca="false">IF(품목마스터!$A229="",FALSE(),IF($B$3="",TRUE(),ISNUMBER(SEARCH($B$3,품목마스터!$B229&amp;" "&amp;품목마스터!$C229&amp;" "&amp;품목마스터!$A229))))</f>
        <v>0</v>
      </c>
      <c r="I229" s="5" t="str">
        <f aca="false">IF($H229=FALSE(),"",COUNTIF($H$3:$H229,TRUE()))</f>
        <v/>
      </c>
      <c r="J229" s="5" t="str">
        <f aca="false">IF($I229="","","R"&amp;$I229)</f>
        <v/>
      </c>
    </row>
    <row r="230" customFormat="false" ht="15" hidden="false" customHeight="true" outlineLevel="0" collapsed="false">
      <c r="H230" s="17" t="b">
        <f aca="false">IF(품목마스터!$A230="",FALSE(),IF($B$3="",TRUE(),ISNUMBER(SEARCH($B$3,품목마스터!$B230&amp;" "&amp;품목마스터!$C230&amp;" "&amp;품목마스터!$A230))))</f>
        <v>0</v>
      </c>
      <c r="I230" s="5" t="str">
        <f aca="false">IF($H230=FALSE(),"",COUNTIF($H$3:$H230,TRUE()))</f>
        <v/>
      </c>
      <c r="J230" s="5" t="str">
        <f aca="false">IF($I230="","","R"&amp;$I230)</f>
        <v/>
      </c>
    </row>
    <row r="231" customFormat="false" ht="15" hidden="false" customHeight="true" outlineLevel="0" collapsed="false">
      <c r="H231" s="17" t="b">
        <f aca="false">IF(품목마스터!$A231="",FALSE(),IF($B$3="",TRUE(),ISNUMBER(SEARCH($B$3,품목마스터!$B231&amp;" "&amp;품목마스터!$C231&amp;" "&amp;품목마스터!$A231))))</f>
        <v>0</v>
      </c>
      <c r="I231" s="5" t="str">
        <f aca="false">IF($H231=FALSE(),"",COUNTIF($H$3:$H231,TRUE()))</f>
        <v/>
      </c>
      <c r="J231" s="5" t="str">
        <f aca="false">IF($I231="","","R"&amp;$I231)</f>
        <v/>
      </c>
    </row>
    <row r="232" customFormat="false" ht="15" hidden="false" customHeight="true" outlineLevel="0" collapsed="false">
      <c r="H232" s="17" t="b">
        <f aca="false">IF(품목마스터!$A232="",FALSE(),IF($B$3="",TRUE(),ISNUMBER(SEARCH($B$3,품목마스터!$B232&amp;" "&amp;품목마스터!$C232&amp;" "&amp;품목마스터!$A232))))</f>
        <v>0</v>
      </c>
      <c r="I232" s="5" t="str">
        <f aca="false">IF($H232=FALSE(),"",COUNTIF($H$3:$H232,TRUE()))</f>
        <v/>
      </c>
      <c r="J232" s="5" t="str">
        <f aca="false">IF($I232="","","R"&amp;$I232)</f>
        <v/>
      </c>
    </row>
    <row r="233" customFormat="false" ht="15" hidden="false" customHeight="true" outlineLevel="0" collapsed="false">
      <c r="H233" s="17" t="b">
        <f aca="false">IF(품목마스터!$A233="",FALSE(),IF($B$3="",TRUE(),ISNUMBER(SEARCH($B$3,품목마스터!$B233&amp;" "&amp;품목마스터!$C233&amp;" "&amp;품목마스터!$A233))))</f>
        <v>0</v>
      </c>
      <c r="I233" s="5" t="str">
        <f aca="false">IF($H233=FALSE(),"",COUNTIF($H$3:$H233,TRUE()))</f>
        <v/>
      </c>
      <c r="J233" s="5" t="str">
        <f aca="false">IF($I233="","","R"&amp;$I233)</f>
        <v/>
      </c>
    </row>
    <row r="234" customFormat="false" ht="15" hidden="false" customHeight="true" outlineLevel="0" collapsed="false">
      <c r="H234" s="17" t="b">
        <f aca="false">IF(품목마스터!$A234="",FALSE(),IF($B$3="",TRUE(),ISNUMBER(SEARCH($B$3,품목마스터!$B234&amp;" "&amp;품목마스터!$C234&amp;" "&amp;품목마스터!$A234))))</f>
        <v>0</v>
      </c>
      <c r="I234" s="5" t="str">
        <f aca="false">IF($H234=FALSE(),"",COUNTIF($H$3:$H234,TRUE()))</f>
        <v/>
      </c>
      <c r="J234" s="5" t="str">
        <f aca="false">IF($I234="","","R"&amp;$I234)</f>
        <v/>
      </c>
    </row>
    <row r="235" customFormat="false" ht="15" hidden="false" customHeight="true" outlineLevel="0" collapsed="false">
      <c r="H235" s="17" t="b">
        <f aca="false">IF(품목마스터!$A235="",FALSE(),IF($B$3="",TRUE(),ISNUMBER(SEARCH($B$3,품목마스터!$B235&amp;" "&amp;품목마스터!$C235&amp;" "&amp;품목마스터!$A235))))</f>
        <v>0</v>
      </c>
      <c r="I235" s="5" t="str">
        <f aca="false">IF($H235=FALSE(),"",COUNTIF($H$3:$H235,TRUE()))</f>
        <v/>
      </c>
      <c r="J235" s="5" t="str">
        <f aca="false">IF($I235="","","R"&amp;$I235)</f>
        <v/>
      </c>
    </row>
    <row r="236" customFormat="false" ht="15" hidden="false" customHeight="true" outlineLevel="0" collapsed="false">
      <c r="H236" s="17" t="b">
        <f aca="false">IF(품목마스터!$A236="",FALSE(),IF($B$3="",TRUE(),ISNUMBER(SEARCH($B$3,품목마스터!$B236&amp;" "&amp;품목마스터!$C236&amp;" "&amp;품목마스터!$A236))))</f>
        <v>0</v>
      </c>
      <c r="I236" s="5" t="str">
        <f aca="false">IF($H236=FALSE(),"",COUNTIF($H$3:$H236,TRUE()))</f>
        <v/>
      </c>
      <c r="J236" s="5" t="str">
        <f aca="false">IF($I236="","","R"&amp;$I236)</f>
        <v/>
      </c>
    </row>
    <row r="237" customFormat="false" ht="15" hidden="false" customHeight="true" outlineLevel="0" collapsed="false">
      <c r="H237" s="17" t="b">
        <f aca="false">IF(품목마스터!$A237="",FALSE(),IF($B$3="",TRUE(),ISNUMBER(SEARCH($B$3,품목마스터!$B237&amp;" "&amp;품목마스터!$C237&amp;" "&amp;품목마스터!$A237))))</f>
        <v>0</v>
      </c>
      <c r="I237" s="5" t="str">
        <f aca="false">IF($H237=FALSE(),"",COUNTIF($H$3:$H237,TRUE()))</f>
        <v/>
      </c>
      <c r="J237" s="5" t="str">
        <f aca="false">IF($I237="","","R"&amp;$I237)</f>
        <v/>
      </c>
    </row>
    <row r="238" customFormat="false" ht="15" hidden="false" customHeight="true" outlineLevel="0" collapsed="false">
      <c r="H238" s="17" t="b">
        <f aca="false">IF(품목마스터!$A238="",FALSE(),IF($B$3="",TRUE(),ISNUMBER(SEARCH($B$3,품목마스터!$B238&amp;" "&amp;품목마스터!$C238&amp;" "&amp;품목마스터!$A238))))</f>
        <v>0</v>
      </c>
      <c r="I238" s="5" t="str">
        <f aca="false">IF($H238=FALSE(),"",COUNTIF($H$3:$H238,TRUE()))</f>
        <v/>
      </c>
      <c r="J238" s="5" t="str">
        <f aca="false">IF($I238="","","R"&amp;$I238)</f>
        <v/>
      </c>
    </row>
    <row r="239" customFormat="false" ht="15" hidden="false" customHeight="true" outlineLevel="0" collapsed="false">
      <c r="H239" s="17" t="b">
        <f aca="false">IF(품목마스터!$A239="",FALSE(),IF($B$3="",TRUE(),ISNUMBER(SEARCH($B$3,품목마스터!$B239&amp;" "&amp;품목마스터!$C239&amp;" "&amp;품목마스터!$A239))))</f>
        <v>0</v>
      </c>
      <c r="I239" s="5" t="str">
        <f aca="false">IF($H239=FALSE(),"",COUNTIF($H$3:$H239,TRUE()))</f>
        <v/>
      </c>
      <c r="J239" s="5" t="str">
        <f aca="false">IF($I239="","","R"&amp;$I239)</f>
        <v/>
      </c>
    </row>
    <row r="240" customFormat="false" ht="15" hidden="false" customHeight="true" outlineLevel="0" collapsed="false">
      <c r="H240" s="17" t="b">
        <f aca="false">IF(품목마스터!$A240="",FALSE(),IF($B$3="",TRUE(),ISNUMBER(SEARCH($B$3,품목마스터!$B240&amp;" "&amp;품목마스터!$C240&amp;" "&amp;품목마스터!$A240))))</f>
        <v>0</v>
      </c>
      <c r="I240" s="5" t="str">
        <f aca="false">IF($H240=FALSE(),"",COUNTIF($H$3:$H240,TRUE()))</f>
        <v/>
      </c>
      <c r="J240" s="5" t="str">
        <f aca="false">IF($I240="","","R"&amp;$I240)</f>
        <v/>
      </c>
    </row>
    <row r="241" customFormat="false" ht="15" hidden="false" customHeight="true" outlineLevel="0" collapsed="false">
      <c r="H241" s="17" t="b">
        <f aca="false">IF(품목마스터!$A241="",FALSE(),IF($B$3="",TRUE(),ISNUMBER(SEARCH($B$3,품목마스터!$B241&amp;" "&amp;품목마스터!$C241&amp;" "&amp;품목마스터!$A241))))</f>
        <v>0</v>
      </c>
      <c r="I241" s="5" t="str">
        <f aca="false">IF($H241=FALSE(),"",COUNTIF($H$3:$H241,TRUE()))</f>
        <v/>
      </c>
      <c r="J241" s="5" t="str">
        <f aca="false">IF($I241="","","R"&amp;$I241)</f>
        <v/>
      </c>
    </row>
    <row r="242" customFormat="false" ht="15" hidden="false" customHeight="true" outlineLevel="0" collapsed="false">
      <c r="H242" s="17" t="b">
        <f aca="false">IF(품목마스터!$A242="",FALSE(),IF($B$3="",TRUE(),ISNUMBER(SEARCH($B$3,품목마스터!$B242&amp;" "&amp;품목마스터!$C242&amp;" "&amp;품목마스터!$A242))))</f>
        <v>0</v>
      </c>
      <c r="I242" s="5" t="str">
        <f aca="false">IF($H242=FALSE(),"",COUNTIF($H$3:$H242,TRUE()))</f>
        <v/>
      </c>
      <c r="J242" s="5" t="str">
        <f aca="false">IF($I242="","","R"&amp;$I242)</f>
        <v/>
      </c>
    </row>
    <row r="243" customFormat="false" ht="15" hidden="false" customHeight="true" outlineLevel="0" collapsed="false">
      <c r="H243" s="17" t="b">
        <f aca="false">IF(품목마스터!$A243="",FALSE(),IF($B$3="",TRUE(),ISNUMBER(SEARCH($B$3,품목마스터!$B243&amp;" "&amp;품목마스터!$C243&amp;" "&amp;품목마스터!$A243))))</f>
        <v>0</v>
      </c>
      <c r="I243" s="5" t="str">
        <f aca="false">IF($H243=FALSE(),"",COUNTIF($H$3:$H243,TRUE()))</f>
        <v/>
      </c>
      <c r="J243" s="5" t="str">
        <f aca="false">IF($I243="","","R"&amp;$I243)</f>
        <v/>
      </c>
    </row>
    <row r="244" customFormat="false" ht="15" hidden="false" customHeight="true" outlineLevel="0" collapsed="false">
      <c r="H244" s="17" t="b">
        <f aca="false">IF(품목마스터!$A244="",FALSE(),IF($B$3="",TRUE(),ISNUMBER(SEARCH($B$3,품목마스터!$B244&amp;" "&amp;품목마스터!$C244&amp;" "&amp;품목마스터!$A244))))</f>
        <v>0</v>
      </c>
      <c r="I244" s="5" t="str">
        <f aca="false">IF($H244=FALSE(),"",COUNTIF($H$3:$H244,TRUE()))</f>
        <v/>
      </c>
      <c r="J244" s="5" t="str">
        <f aca="false">IF($I244="","","R"&amp;$I244)</f>
        <v/>
      </c>
    </row>
    <row r="245" customFormat="false" ht="15" hidden="false" customHeight="true" outlineLevel="0" collapsed="false">
      <c r="H245" s="17" t="b">
        <f aca="false">IF(품목마스터!$A245="",FALSE(),IF($B$3="",TRUE(),ISNUMBER(SEARCH($B$3,품목마스터!$B245&amp;" "&amp;품목마스터!$C245&amp;" "&amp;품목마스터!$A245))))</f>
        <v>0</v>
      </c>
      <c r="I245" s="5" t="str">
        <f aca="false">IF($H245=FALSE(),"",COUNTIF($H$3:$H245,TRUE()))</f>
        <v/>
      </c>
      <c r="J245" s="5" t="str">
        <f aca="false">IF($I245="","","R"&amp;$I245)</f>
        <v/>
      </c>
    </row>
    <row r="246" customFormat="false" ht="15" hidden="false" customHeight="true" outlineLevel="0" collapsed="false">
      <c r="H246" s="17" t="b">
        <f aca="false">IF(품목마스터!$A246="",FALSE(),IF($B$3="",TRUE(),ISNUMBER(SEARCH($B$3,품목마스터!$B246&amp;" "&amp;품목마스터!$C246&amp;" "&amp;품목마스터!$A246))))</f>
        <v>0</v>
      </c>
      <c r="I246" s="5" t="str">
        <f aca="false">IF($H246=FALSE(),"",COUNTIF($H$3:$H246,TRUE()))</f>
        <v/>
      </c>
      <c r="J246" s="5" t="str">
        <f aca="false">IF($I246="","","R"&amp;$I246)</f>
        <v/>
      </c>
    </row>
    <row r="247" customFormat="false" ht="15" hidden="false" customHeight="true" outlineLevel="0" collapsed="false">
      <c r="H247" s="17" t="b">
        <f aca="false">IF(품목마스터!$A247="",FALSE(),IF($B$3="",TRUE(),ISNUMBER(SEARCH($B$3,품목마스터!$B247&amp;" "&amp;품목마스터!$C247&amp;" "&amp;품목마스터!$A247))))</f>
        <v>0</v>
      </c>
      <c r="I247" s="5" t="str">
        <f aca="false">IF($H247=FALSE(),"",COUNTIF($H$3:$H247,TRUE()))</f>
        <v/>
      </c>
      <c r="J247" s="5" t="str">
        <f aca="false">IF($I247="","","R"&amp;$I247)</f>
        <v/>
      </c>
    </row>
    <row r="248" customFormat="false" ht="15" hidden="false" customHeight="true" outlineLevel="0" collapsed="false">
      <c r="H248" s="17" t="b">
        <f aca="false">IF(품목마스터!$A248="",FALSE(),IF($B$3="",TRUE(),ISNUMBER(SEARCH($B$3,품목마스터!$B248&amp;" "&amp;품목마스터!$C248&amp;" "&amp;품목마스터!$A248))))</f>
        <v>0</v>
      </c>
      <c r="I248" s="5" t="str">
        <f aca="false">IF($H248=FALSE(),"",COUNTIF($H$3:$H248,TRUE()))</f>
        <v/>
      </c>
      <c r="J248" s="5" t="str">
        <f aca="false">IF($I248="","","R"&amp;$I248)</f>
        <v/>
      </c>
    </row>
    <row r="249" customFormat="false" ht="15" hidden="false" customHeight="true" outlineLevel="0" collapsed="false">
      <c r="H249" s="17" t="b">
        <f aca="false">IF(품목마스터!$A249="",FALSE(),IF($B$3="",TRUE(),ISNUMBER(SEARCH($B$3,품목마스터!$B249&amp;" "&amp;품목마스터!$C249&amp;" "&amp;품목마스터!$A249))))</f>
        <v>0</v>
      </c>
      <c r="I249" s="5" t="str">
        <f aca="false">IF($H249=FALSE(),"",COUNTIF($H$3:$H249,TRUE()))</f>
        <v/>
      </c>
      <c r="J249" s="5" t="str">
        <f aca="false">IF($I249="","","R"&amp;$I249)</f>
        <v/>
      </c>
    </row>
    <row r="250" customFormat="false" ht="15" hidden="false" customHeight="true" outlineLevel="0" collapsed="false">
      <c r="H250" s="17" t="b">
        <f aca="false">IF(품목마스터!$A250="",FALSE(),IF($B$3="",TRUE(),ISNUMBER(SEARCH($B$3,품목마스터!$B250&amp;" "&amp;품목마스터!$C250&amp;" "&amp;품목마스터!$A250))))</f>
        <v>0</v>
      </c>
      <c r="I250" s="5" t="str">
        <f aca="false">IF($H250=FALSE(),"",COUNTIF($H$3:$H250,TRUE()))</f>
        <v/>
      </c>
      <c r="J250" s="5" t="str">
        <f aca="false">IF($I250="","","R"&amp;$I250)</f>
        <v/>
      </c>
    </row>
    <row r="251" customFormat="false" ht="15" hidden="false" customHeight="true" outlineLevel="0" collapsed="false">
      <c r="H251" s="17" t="b">
        <f aca="false">IF(품목마스터!$A251="",FALSE(),IF($B$3="",TRUE(),ISNUMBER(SEARCH($B$3,품목마스터!$B251&amp;" "&amp;품목마스터!$C251&amp;" "&amp;품목마스터!$A251))))</f>
        <v>0</v>
      </c>
      <c r="I251" s="5" t="str">
        <f aca="false">IF($H251=FALSE(),"",COUNTIF($H$3:$H251,TRUE()))</f>
        <v/>
      </c>
      <c r="J251" s="5" t="str">
        <f aca="false">IF($I251="","","R"&amp;$I251)</f>
        <v/>
      </c>
    </row>
    <row r="252" customFormat="false" ht="15" hidden="false" customHeight="true" outlineLevel="0" collapsed="false">
      <c r="H252" s="17" t="b">
        <f aca="false">IF(품목마스터!$A252="",FALSE(),IF($B$3="",TRUE(),ISNUMBER(SEARCH($B$3,품목마스터!$B252&amp;" "&amp;품목마스터!$C252&amp;" "&amp;품목마스터!$A252))))</f>
        <v>0</v>
      </c>
      <c r="I252" s="5" t="str">
        <f aca="false">IF($H252=FALSE(),"",COUNTIF($H$3:$H252,TRUE()))</f>
        <v/>
      </c>
      <c r="J252" s="5" t="str">
        <f aca="false">IF($I252="","","R"&amp;$I252)</f>
        <v/>
      </c>
    </row>
    <row r="253" customFormat="false" ht="15" hidden="false" customHeight="true" outlineLevel="0" collapsed="false">
      <c r="H253" s="17" t="b">
        <f aca="false">IF(품목마스터!$A253="",FALSE(),IF($B$3="",TRUE(),ISNUMBER(SEARCH($B$3,품목마스터!$B253&amp;" "&amp;품목마스터!$C253&amp;" "&amp;품목마스터!$A253))))</f>
        <v>0</v>
      </c>
      <c r="I253" s="5" t="str">
        <f aca="false">IF($H253=FALSE(),"",COUNTIF($H$3:$H253,TRUE()))</f>
        <v/>
      </c>
      <c r="J253" s="5" t="str">
        <f aca="false">IF($I253="","","R"&amp;$I253)</f>
        <v/>
      </c>
    </row>
    <row r="254" customFormat="false" ht="15" hidden="false" customHeight="true" outlineLevel="0" collapsed="false">
      <c r="H254" s="17" t="b">
        <f aca="false">IF(품목마스터!$A254="",FALSE(),IF($B$3="",TRUE(),ISNUMBER(SEARCH($B$3,품목마스터!$B254&amp;" "&amp;품목마스터!$C254&amp;" "&amp;품목마스터!$A254))))</f>
        <v>0</v>
      </c>
      <c r="I254" s="5" t="str">
        <f aca="false">IF($H254=FALSE(),"",COUNTIF($H$3:$H254,TRUE()))</f>
        <v/>
      </c>
      <c r="J254" s="5" t="str">
        <f aca="false">IF($I254="","","R"&amp;$I254)</f>
        <v/>
      </c>
    </row>
    <row r="255" customFormat="false" ht="15" hidden="false" customHeight="true" outlineLevel="0" collapsed="false">
      <c r="H255" s="17" t="b">
        <f aca="false">IF(품목마스터!$A255="",FALSE(),IF($B$3="",TRUE(),ISNUMBER(SEARCH($B$3,품목마스터!$B255&amp;" "&amp;품목마스터!$C255&amp;" "&amp;품목마스터!$A255))))</f>
        <v>0</v>
      </c>
      <c r="I255" s="5" t="str">
        <f aca="false">IF($H255=FALSE(),"",COUNTIF($H$3:$H255,TRUE()))</f>
        <v/>
      </c>
      <c r="J255" s="5" t="str">
        <f aca="false">IF($I255="","","R"&amp;$I255)</f>
        <v/>
      </c>
    </row>
    <row r="256" customFormat="false" ht="15" hidden="false" customHeight="true" outlineLevel="0" collapsed="false">
      <c r="H256" s="17" t="b">
        <f aca="false">IF(품목마스터!$A256="",FALSE(),IF($B$3="",TRUE(),ISNUMBER(SEARCH($B$3,품목마스터!$B256&amp;" "&amp;품목마스터!$C256&amp;" "&amp;품목마스터!$A256))))</f>
        <v>0</v>
      </c>
      <c r="I256" s="5" t="str">
        <f aca="false">IF($H256=FALSE(),"",COUNTIF($H$3:$H256,TRUE()))</f>
        <v/>
      </c>
      <c r="J256" s="5" t="str">
        <f aca="false">IF($I256="","","R"&amp;$I256)</f>
        <v/>
      </c>
    </row>
    <row r="257" customFormat="false" ht="15" hidden="false" customHeight="true" outlineLevel="0" collapsed="false">
      <c r="H257" s="17" t="b">
        <f aca="false">IF(품목마스터!$A257="",FALSE(),IF($B$3="",TRUE(),ISNUMBER(SEARCH($B$3,품목마스터!$B257&amp;" "&amp;품목마스터!$C257&amp;" "&amp;품목마스터!$A257))))</f>
        <v>0</v>
      </c>
      <c r="I257" s="5" t="str">
        <f aca="false">IF($H257=FALSE(),"",COUNTIF($H$3:$H257,TRUE()))</f>
        <v/>
      </c>
      <c r="J257" s="5" t="str">
        <f aca="false">IF($I257="","","R"&amp;$I257)</f>
        <v/>
      </c>
    </row>
    <row r="258" customFormat="false" ht="15" hidden="false" customHeight="true" outlineLevel="0" collapsed="false">
      <c r="H258" s="17" t="b">
        <f aca="false">IF(품목마스터!$A258="",FALSE(),IF($B$3="",TRUE(),ISNUMBER(SEARCH($B$3,품목마스터!$B258&amp;" "&amp;품목마스터!$C258&amp;" "&amp;품목마스터!$A258))))</f>
        <v>0</v>
      </c>
      <c r="I258" s="5" t="str">
        <f aca="false">IF($H258=FALSE(),"",COUNTIF($H$3:$H258,TRUE()))</f>
        <v/>
      </c>
      <c r="J258" s="5" t="str">
        <f aca="false">IF($I258="","","R"&amp;$I258)</f>
        <v/>
      </c>
    </row>
    <row r="259" customFormat="false" ht="15" hidden="false" customHeight="true" outlineLevel="0" collapsed="false">
      <c r="H259" s="17" t="b">
        <f aca="false">IF(품목마스터!$A259="",FALSE(),IF($B$3="",TRUE(),ISNUMBER(SEARCH($B$3,품목마스터!$B259&amp;" "&amp;품목마스터!$C259&amp;" "&amp;품목마스터!$A259))))</f>
        <v>0</v>
      </c>
      <c r="I259" s="5" t="str">
        <f aca="false">IF($H259=FALSE(),"",COUNTIF($H$3:$H259,TRUE()))</f>
        <v/>
      </c>
      <c r="J259" s="5" t="str">
        <f aca="false">IF($I259="","","R"&amp;$I259)</f>
        <v/>
      </c>
    </row>
    <row r="260" customFormat="false" ht="15" hidden="false" customHeight="true" outlineLevel="0" collapsed="false">
      <c r="H260" s="17" t="b">
        <f aca="false">IF(품목마스터!$A260="",FALSE(),IF($B$3="",TRUE(),ISNUMBER(SEARCH($B$3,품목마스터!$B260&amp;" "&amp;품목마스터!$C260&amp;" "&amp;품목마스터!$A260))))</f>
        <v>0</v>
      </c>
      <c r="I260" s="5" t="str">
        <f aca="false">IF($H260=FALSE(),"",COUNTIF($H$3:$H260,TRUE()))</f>
        <v/>
      </c>
      <c r="J260" s="5" t="str">
        <f aca="false">IF($I260="","","R"&amp;$I260)</f>
        <v/>
      </c>
    </row>
    <row r="261" customFormat="false" ht="15" hidden="false" customHeight="true" outlineLevel="0" collapsed="false">
      <c r="H261" s="17" t="b">
        <f aca="false">IF(품목마스터!$A261="",FALSE(),IF($B$3="",TRUE(),ISNUMBER(SEARCH($B$3,품목마스터!$B261&amp;" "&amp;품목마스터!$C261&amp;" "&amp;품목마스터!$A261))))</f>
        <v>0</v>
      </c>
      <c r="I261" s="5" t="str">
        <f aca="false">IF($H261=FALSE(),"",COUNTIF($H$3:$H261,TRUE()))</f>
        <v/>
      </c>
      <c r="J261" s="5" t="str">
        <f aca="false">IF($I261="","","R"&amp;$I261)</f>
        <v/>
      </c>
    </row>
    <row r="262" customFormat="false" ht="15" hidden="false" customHeight="true" outlineLevel="0" collapsed="false">
      <c r="H262" s="17" t="b">
        <f aca="false">IF(품목마스터!$A262="",FALSE(),IF($B$3="",TRUE(),ISNUMBER(SEARCH($B$3,품목마스터!$B262&amp;" "&amp;품목마스터!$C262&amp;" "&amp;품목마스터!$A262))))</f>
        <v>0</v>
      </c>
      <c r="I262" s="5" t="str">
        <f aca="false">IF($H262=FALSE(),"",COUNTIF($H$3:$H262,TRUE()))</f>
        <v/>
      </c>
      <c r="J262" s="5" t="str">
        <f aca="false">IF($I262="","","R"&amp;$I262)</f>
        <v/>
      </c>
    </row>
    <row r="263" customFormat="false" ht="15" hidden="false" customHeight="true" outlineLevel="0" collapsed="false">
      <c r="H263" s="17" t="b">
        <f aca="false">IF(품목마스터!$A263="",FALSE(),IF($B$3="",TRUE(),ISNUMBER(SEARCH($B$3,품목마스터!$B263&amp;" "&amp;품목마스터!$C263&amp;" "&amp;품목마스터!$A263))))</f>
        <v>0</v>
      </c>
      <c r="I263" s="5" t="str">
        <f aca="false">IF($H263=FALSE(),"",COUNTIF($H$3:$H263,TRUE()))</f>
        <v/>
      </c>
      <c r="J263" s="5" t="str">
        <f aca="false">IF($I263="","","R"&amp;$I263)</f>
        <v/>
      </c>
    </row>
    <row r="264" customFormat="false" ht="15" hidden="false" customHeight="true" outlineLevel="0" collapsed="false">
      <c r="H264" s="17" t="b">
        <f aca="false">IF(품목마스터!$A264="",FALSE(),IF($B$3="",TRUE(),ISNUMBER(SEARCH($B$3,품목마스터!$B264&amp;" "&amp;품목마스터!$C264&amp;" "&amp;품목마스터!$A264))))</f>
        <v>0</v>
      </c>
      <c r="I264" s="5" t="str">
        <f aca="false">IF($H264=FALSE(),"",COUNTIF($H$3:$H264,TRUE()))</f>
        <v/>
      </c>
      <c r="J264" s="5" t="str">
        <f aca="false">IF($I264="","","R"&amp;$I264)</f>
        <v/>
      </c>
    </row>
    <row r="265" customFormat="false" ht="15" hidden="false" customHeight="true" outlineLevel="0" collapsed="false">
      <c r="H265" s="17" t="b">
        <f aca="false">IF(품목마스터!$A265="",FALSE(),IF($B$3="",TRUE(),ISNUMBER(SEARCH($B$3,품목마스터!$B265&amp;" "&amp;품목마스터!$C265&amp;" "&amp;품목마스터!$A265))))</f>
        <v>0</v>
      </c>
      <c r="I265" s="5" t="str">
        <f aca="false">IF($H265=FALSE(),"",COUNTIF($H$3:$H265,TRUE()))</f>
        <v/>
      </c>
      <c r="J265" s="5" t="str">
        <f aca="false">IF($I265="","","R"&amp;$I265)</f>
        <v/>
      </c>
    </row>
    <row r="266" customFormat="false" ht="15" hidden="false" customHeight="true" outlineLevel="0" collapsed="false">
      <c r="H266" s="17" t="b">
        <f aca="false">IF(품목마스터!$A266="",FALSE(),IF($B$3="",TRUE(),ISNUMBER(SEARCH($B$3,품목마스터!$B266&amp;" "&amp;품목마스터!$C266&amp;" "&amp;품목마스터!$A266))))</f>
        <v>0</v>
      </c>
      <c r="I266" s="5" t="str">
        <f aca="false">IF($H266=FALSE(),"",COUNTIF($H$3:$H266,TRUE()))</f>
        <v/>
      </c>
      <c r="J266" s="5" t="str">
        <f aca="false">IF($I266="","","R"&amp;$I266)</f>
        <v/>
      </c>
    </row>
    <row r="267" customFormat="false" ht="15" hidden="false" customHeight="true" outlineLevel="0" collapsed="false">
      <c r="H267" s="17" t="b">
        <f aca="false">IF(품목마스터!$A267="",FALSE(),IF($B$3="",TRUE(),ISNUMBER(SEARCH($B$3,품목마스터!$B267&amp;" "&amp;품목마스터!$C267&amp;" "&amp;품목마스터!$A267))))</f>
        <v>0</v>
      </c>
      <c r="I267" s="5" t="str">
        <f aca="false">IF($H267=FALSE(),"",COUNTIF($H$3:$H267,TRUE()))</f>
        <v/>
      </c>
      <c r="J267" s="5" t="str">
        <f aca="false">IF($I267="","","R"&amp;$I267)</f>
        <v/>
      </c>
    </row>
    <row r="268" customFormat="false" ht="15" hidden="false" customHeight="true" outlineLevel="0" collapsed="false">
      <c r="H268" s="17" t="b">
        <f aca="false">IF(품목마스터!$A268="",FALSE(),IF($B$3="",TRUE(),ISNUMBER(SEARCH($B$3,품목마스터!$B268&amp;" "&amp;품목마스터!$C268&amp;" "&amp;품목마스터!$A268))))</f>
        <v>0</v>
      </c>
      <c r="I268" s="5" t="str">
        <f aca="false">IF($H268=FALSE(),"",COUNTIF($H$3:$H268,TRUE()))</f>
        <v/>
      </c>
      <c r="J268" s="5" t="str">
        <f aca="false">IF($I268="","","R"&amp;$I268)</f>
        <v/>
      </c>
    </row>
    <row r="269" customFormat="false" ht="15" hidden="false" customHeight="true" outlineLevel="0" collapsed="false">
      <c r="H269" s="17" t="b">
        <f aca="false">IF(품목마스터!$A269="",FALSE(),IF($B$3="",TRUE(),ISNUMBER(SEARCH($B$3,품목마스터!$B269&amp;" "&amp;품목마스터!$C269&amp;" "&amp;품목마스터!$A269))))</f>
        <v>0</v>
      </c>
      <c r="I269" s="5" t="str">
        <f aca="false">IF($H269=FALSE(),"",COUNTIF($H$3:$H269,TRUE()))</f>
        <v/>
      </c>
      <c r="J269" s="5" t="str">
        <f aca="false">IF($I269="","","R"&amp;$I269)</f>
        <v/>
      </c>
    </row>
    <row r="270" customFormat="false" ht="15" hidden="false" customHeight="true" outlineLevel="0" collapsed="false">
      <c r="H270" s="17" t="b">
        <f aca="false">IF(품목마스터!$A270="",FALSE(),IF($B$3="",TRUE(),ISNUMBER(SEARCH($B$3,품목마스터!$B270&amp;" "&amp;품목마스터!$C270&amp;" "&amp;품목마스터!$A270))))</f>
        <v>0</v>
      </c>
      <c r="I270" s="5" t="str">
        <f aca="false">IF($H270=FALSE(),"",COUNTIF($H$3:$H270,TRUE()))</f>
        <v/>
      </c>
      <c r="J270" s="5" t="str">
        <f aca="false">IF($I270="","","R"&amp;$I270)</f>
        <v/>
      </c>
    </row>
    <row r="271" customFormat="false" ht="15" hidden="false" customHeight="true" outlineLevel="0" collapsed="false">
      <c r="H271" s="17" t="b">
        <f aca="false">IF(품목마스터!$A271="",FALSE(),IF($B$3="",TRUE(),ISNUMBER(SEARCH($B$3,품목마스터!$B271&amp;" "&amp;품목마스터!$C271&amp;" "&amp;품목마스터!$A271))))</f>
        <v>0</v>
      </c>
      <c r="I271" s="5" t="str">
        <f aca="false">IF($H271=FALSE(),"",COUNTIF($H$3:$H271,TRUE()))</f>
        <v/>
      </c>
      <c r="J271" s="5" t="str">
        <f aca="false">IF($I271="","","R"&amp;$I271)</f>
        <v/>
      </c>
    </row>
    <row r="272" customFormat="false" ht="15" hidden="false" customHeight="true" outlineLevel="0" collapsed="false">
      <c r="H272" s="17" t="b">
        <f aca="false">IF(품목마스터!$A272="",FALSE(),IF($B$3="",TRUE(),ISNUMBER(SEARCH($B$3,품목마스터!$B272&amp;" "&amp;품목마스터!$C272&amp;" "&amp;품목마스터!$A272))))</f>
        <v>0</v>
      </c>
      <c r="I272" s="5" t="str">
        <f aca="false">IF($H272=FALSE(),"",COUNTIF($H$3:$H272,TRUE()))</f>
        <v/>
      </c>
      <c r="J272" s="5" t="str">
        <f aca="false">IF($I272="","","R"&amp;$I272)</f>
        <v/>
      </c>
    </row>
    <row r="273" customFormat="false" ht="15" hidden="false" customHeight="true" outlineLevel="0" collapsed="false">
      <c r="H273" s="17" t="b">
        <f aca="false">IF(품목마스터!$A273="",FALSE(),IF($B$3="",TRUE(),ISNUMBER(SEARCH($B$3,품목마스터!$B273&amp;" "&amp;품목마스터!$C273&amp;" "&amp;품목마스터!$A273))))</f>
        <v>0</v>
      </c>
      <c r="I273" s="5" t="str">
        <f aca="false">IF($H273=FALSE(),"",COUNTIF($H$3:$H273,TRUE()))</f>
        <v/>
      </c>
      <c r="J273" s="5" t="str">
        <f aca="false">IF($I273="","","R"&amp;$I273)</f>
        <v/>
      </c>
    </row>
    <row r="274" customFormat="false" ht="15" hidden="false" customHeight="true" outlineLevel="0" collapsed="false">
      <c r="H274" s="17" t="b">
        <f aca="false">IF(품목마스터!$A274="",FALSE(),IF($B$3="",TRUE(),ISNUMBER(SEARCH($B$3,품목마스터!$B274&amp;" "&amp;품목마스터!$C274&amp;" "&amp;품목마스터!$A274))))</f>
        <v>0</v>
      </c>
      <c r="I274" s="5" t="str">
        <f aca="false">IF($H274=FALSE(),"",COUNTIF($H$3:$H274,TRUE()))</f>
        <v/>
      </c>
      <c r="J274" s="5" t="str">
        <f aca="false">IF($I274="","","R"&amp;$I274)</f>
        <v/>
      </c>
    </row>
    <row r="275" customFormat="false" ht="15" hidden="false" customHeight="true" outlineLevel="0" collapsed="false">
      <c r="H275" s="17" t="b">
        <f aca="false">IF(품목마스터!$A275="",FALSE(),IF($B$3="",TRUE(),ISNUMBER(SEARCH($B$3,품목마스터!$B275&amp;" "&amp;품목마스터!$C275&amp;" "&amp;품목마스터!$A275))))</f>
        <v>0</v>
      </c>
      <c r="I275" s="5" t="str">
        <f aca="false">IF($H275=FALSE(),"",COUNTIF($H$3:$H275,TRUE()))</f>
        <v/>
      </c>
      <c r="J275" s="5" t="str">
        <f aca="false">IF($I275="","","R"&amp;$I275)</f>
        <v/>
      </c>
    </row>
    <row r="276" customFormat="false" ht="15" hidden="false" customHeight="true" outlineLevel="0" collapsed="false">
      <c r="H276" s="17" t="b">
        <f aca="false">IF(품목마스터!$A276="",FALSE(),IF($B$3="",TRUE(),ISNUMBER(SEARCH($B$3,품목마스터!$B276&amp;" "&amp;품목마스터!$C276&amp;" "&amp;품목마스터!$A276))))</f>
        <v>0</v>
      </c>
      <c r="I276" s="5" t="str">
        <f aca="false">IF($H276=FALSE(),"",COUNTIF($H$3:$H276,TRUE()))</f>
        <v/>
      </c>
      <c r="J276" s="5" t="str">
        <f aca="false">IF($I276="","","R"&amp;$I276)</f>
        <v/>
      </c>
    </row>
    <row r="277" customFormat="false" ht="15" hidden="false" customHeight="true" outlineLevel="0" collapsed="false">
      <c r="H277" s="17" t="b">
        <f aca="false">IF(품목마스터!$A277="",FALSE(),IF($B$3="",TRUE(),ISNUMBER(SEARCH($B$3,품목마스터!$B277&amp;" "&amp;품목마스터!$C277&amp;" "&amp;품목마스터!$A277))))</f>
        <v>0</v>
      </c>
      <c r="I277" s="5" t="str">
        <f aca="false">IF($H277=FALSE(),"",COUNTIF($H$3:$H277,TRUE()))</f>
        <v/>
      </c>
      <c r="J277" s="5" t="str">
        <f aca="false">IF($I277="","","R"&amp;$I277)</f>
        <v/>
      </c>
    </row>
    <row r="278" customFormat="false" ht="15" hidden="false" customHeight="true" outlineLevel="0" collapsed="false">
      <c r="H278" s="17" t="b">
        <f aca="false">IF(품목마스터!$A278="",FALSE(),IF($B$3="",TRUE(),ISNUMBER(SEARCH($B$3,품목마스터!$B278&amp;" "&amp;품목마스터!$C278&amp;" "&amp;품목마스터!$A278))))</f>
        <v>0</v>
      </c>
      <c r="I278" s="5" t="str">
        <f aca="false">IF($H278=FALSE(),"",COUNTIF($H$3:$H278,TRUE()))</f>
        <v/>
      </c>
      <c r="J278" s="5" t="str">
        <f aca="false">IF($I278="","","R"&amp;$I278)</f>
        <v/>
      </c>
    </row>
    <row r="279" customFormat="false" ht="15" hidden="false" customHeight="true" outlineLevel="0" collapsed="false">
      <c r="H279" s="17" t="b">
        <f aca="false">IF(품목마스터!$A279="",FALSE(),IF($B$3="",TRUE(),ISNUMBER(SEARCH($B$3,품목마스터!$B279&amp;" "&amp;품목마스터!$C279&amp;" "&amp;품목마스터!$A279))))</f>
        <v>0</v>
      </c>
      <c r="I279" s="5" t="str">
        <f aca="false">IF($H279=FALSE(),"",COUNTIF($H$3:$H279,TRUE()))</f>
        <v/>
      </c>
      <c r="J279" s="5" t="str">
        <f aca="false">IF($I279="","","R"&amp;$I279)</f>
        <v/>
      </c>
    </row>
    <row r="280" customFormat="false" ht="15" hidden="false" customHeight="true" outlineLevel="0" collapsed="false">
      <c r="H280" s="17" t="b">
        <f aca="false">IF(품목마스터!$A280="",FALSE(),IF($B$3="",TRUE(),ISNUMBER(SEARCH($B$3,품목마스터!$B280&amp;" "&amp;품목마스터!$C280&amp;" "&amp;품목마스터!$A280))))</f>
        <v>0</v>
      </c>
      <c r="I280" s="5" t="str">
        <f aca="false">IF($H280=FALSE(),"",COUNTIF($H$3:$H280,TRUE()))</f>
        <v/>
      </c>
      <c r="J280" s="5" t="str">
        <f aca="false">IF($I280="","","R"&amp;$I280)</f>
        <v/>
      </c>
    </row>
    <row r="281" customFormat="false" ht="15" hidden="false" customHeight="true" outlineLevel="0" collapsed="false">
      <c r="H281" s="17" t="b">
        <f aca="false">IF(품목마스터!$A281="",FALSE(),IF($B$3="",TRUE(),ISNUMBER(SEARCH($B$3,품목마스터!$B281&amp;" "&amp;품목마스터!$C281&amp;" "&amp;품목마스터!$A281))))</f>
        <v>0</v>
      </c>
      <c r="I281" s="5" t="str">
        <f aca="false">IF($H281=FALSE(),"",COUNTIF($H$3:$H281,TRUE()))</f>
        <v/>
      </c>
      <c r="J281" s="5" t="str">
        <f aca="false">IF($I281="","","R"&amp;$I281)</f>
        <v/>
      </c>
    </row>
    <row r="282" customFormat="false" ht="15" hidden="false" customHeight="true" outlineLevel="0" collapsed="false">
      <c r="H282" s="17" t="b">
        <f aca="false">IF(품목마스터!$A282="",FALSE(),IF($B$3="",TRUE(),ISNUMBER(SEARCH($B$3,품목마스터!$B282&amp;" "&amp;품목마스터!$C282&amp;" "&amp;품목마스터!$A282))))</f>
        <v>0</v>
      </c>
      <c r="I282" s="5" t="str">
        <f aca="false">IF($H282=FALSE(),"",COUNTIF($H$3:$H282,TRUE()))</f>
        <v/>
      </c>
      <c r="J282" s="5" t="str">
        <f aca="false">IF($I282="","","R"&amp;$I282)</f>
        <v/>
      </c>
    </row>
    <row r="283" customFormat="false" ht="15" hidden="false" customHeight="true" outlineLevel="0" collapsed="false">
      <c r="H283" s="17" t="b">
        <f aca="false">IF(품목마스터!$A283="",FALSE(),IF($B$3="",TRUE(),ISNUMBER(SEARCH($B$3,품목마스터!$B283&amp;" "&amp;품목마스터!$C283&amp;" "&amp;품목마스터!$A283))))</f>
        <v>0</v>
      </c>
      <c r="I283" s="5" t="str">
        <f aca="false">IF($H283=FALSE(),"",COUNTIF($H$3:$H283,TRUE()))</f>
        <v/>
      </c>
      <c r="J283" s="5" t="str">
        <f aca="false">IF($I283="","","R"&amp;$I283)</f>
        <v/>
      </c>
    </row>
    <row r="284" customFormat="false" ht="15" hidden="false" customHeight="true" outlineLevel="0" collapsed="false">
      <c r="H284" s="17" t="b">
        <f aca="false">IF(품목마스터!$A284="",FALSE(),IF($B$3="",TRUE(),ISNUMBER(SEARCH($B$3,품목마스터!$B284&amp;" "&amp;품목마스터!$C284&amp;" "&amp;품목마스터!$A284))))</f>
        <v>0</v>
      </c>
      <c r="I284" s="5" t="str">
        <f aca="false">IF($H284=FALSE(),"",COUNTIF($H$3:$H284,TRUE()))</f>
        <v/>
      </c>
      <c r="J284" s="5" t="str">
        <f aca="false">IF($I284="","","R"&amp;$I284)</f>
        <v/>
      </c>
    </row>
    <row r="285" customFormat="false" ht="15" hidden="false" customHeight="true" outlineLevel="0" collapsed="false">
      <c r="H285" s="17" t="b">
        <f aca="false">IF(품목마스터!$A285="",FALSE(),IF($B$3="",TRUE(),ISNUMBER(SEARCH($B$3,품목마스터!$B285&amp;" "&amp;품목마스터!$C285&amp;" "&amp;품목마스터!$A285))))</f>
        <v>0</v>
      </c>
      <c r="I285" s="5" t="str">
        <f aca="false">IF($H285=FALSE(),"",COUNTIF($H$3:$H285,TRUE()))</f>
        <v/>
      </c>
      <c r="J285" s="5" t="str">
        <f aca="false">IF($I285="","","R"&amp;$I285)</f>
        <v/>
      </c>
    </row>
    <row r="286" customFormat="false" ht="15" hidden="false" customHeight="true" outlineLevel="0" collapsed="false">
      <c r="H286" s="17" t="b">
        <f aca="false">IF(품목마스터!$A286="",FALSE(),IF($B$3="",TRUE(),ISNUMBER(SEARCH($B$3,품목마스터!$B286&amp;" "&amp;품목마스터!$C286&amp;" "&amp;품목마스터!$A286))))</f>
        <v>0</v>
      </c>
      <c r="I286" s="5" t="str">
        <f aca="false">IF($H286=FALSE(),"",COUNTIF($H$3:$H286,TRUE()))</f>
        <v/>
      </c>
      <c r="J286" s="5" t="str">
        <f aca="false">IF($I286="","","R"&amp;$I286)</f>
        <v/>
      </c>
    </row>
    <row r="287" customFormat="false" ht="15" hidden="false" customHeight="true" outlineLevel="0" collapsed="false">
      <c r="H287" s="17" t="b">
        <f aca="false">IF(품목마스터!$A287="",FALSE(),IF($B$3="",TRUE(),ISNUMBER(SEARCH($B$3,품목마스터!$B287&amp;" "&amp;품목마스터!$C287&amp;" "&amp;품목마스터!$A287))))</f>
        <v>0</v>
      </c>
      <c r="I287" s="5" t="str">
        <f aca="false">IF($H287=FALSE(),"",COUNTIF($H$3:$H287,TRUE()))</f>
        <v/>
      </c>
      <c r="J287" s="5" t="str">
        <f aca="false">IF($I287="","","R"&amp;$I287)</f>
        <v/>
      </c>
    </row>
    <row r="288" customFormat="false" ht="15" hidden="false" customHeight="true" outlineLevel="0" collapsed="false">
      <c r="H288" s="17" t="b">
        <f aca="false">IF(품목마스터!$A288="",FALSE(),IF($B$3="",TRUE(),ISNUMBER(SEARCH($B$3,품목마스터!$B288&amp;" "&amp;품목마스터!$C288&amp;" "&amp;품목마스터!$A288))))</f>
        <v>0</v>
      </c>
      <c r="I288" s="5" t="str">
        <f aca="false">IF($H288=FALSE(),"",COUNTIF($H$3:$H288,TRUE()))</f>
        <v/>
      </c>
      <c r="J288" s="5" t="str">
        <f aca="false">IF($I288="","","R"&amp;$I288)</f>
        <v/>
      </c>
    </row>
    <row r="289" customFormat="false" ht="15" hidden="false" customHeight="true" outlineLevel="0" collapsed="false">
      <c r="H289" s="17" t="b">
        <f aca="false">IF(품목마스터!$A289="",FALSE(),IF($B$3="",TRUE(),ISNUMBER(SEARCH($B$3,품목마스터!$B289&amp;" "&amp;품목마스터!$C289&amp;" "&amp;품목마스터!$A289))))</f>
        <v>0</v>
      </c>
      <c r="I289" s="5" t="str">
        <f aca="false">IF($H289=FALSE(),"",COUNTIF($H$3:$H289,TRUE()))</f>
        <v/>
      </c>
      <c r="J289" s="5" t="str">
        <f aca="false">IF($I289="","","R"&amp;$I289)</f>
        <v/>
      </c>
    </row>
    <row r="290" customFormat="false" ht="15" hidden="false" customHeight="true" outlineLevel="0" collapsed="false">
      <c r="H290" s="17" t="b">
        <f aca="false">IF(품목마스터!$A290="",FALSE(),IF($B$3="",TRUE(),ISNUMBER(SEARCH($B$3,품목마스터!$B290&amp;" "&amp;품목마스터!$C290&amp;" "&amp;품목마스터!$A290))))</f>
        <v>0</v>
      </c>
      <c r="I290" s="5" t="str">
        <f aca="false">IF($H290=FALSE(),"",COUNTIF($H$3:$H290,TRUE()))</f>
        <v/>
      </c>
      <c r="J290" s="5" t="str">
        <f aca="false">IF($I290="","","R"&amp;$I290)</f>
        <v/>
      </c>
    </row>
    <row r="291" customFormat="false" ht="15" hidden="false" customHeight="true" outlineLevel="0" collapsed="false">
      <c r="H291" s="17" t="b">
        <f aca="false">IF(품목마스터!$A291="",FALSE(),IF($B$3="",TRUE(),ISNUMBER(SEARCH($B$3,품목마스터!$B291&amp;" "&amp;품목마스터!$C291&amp;" "&amp;품목마스터!$A291))))</f>
        <v>0</v>
      </c>
      <c r="I291" s="5" t="str">
        <f aca="false">IF($H291=FALSE(),"",COUNTIF($H$3:$H291,TRUE()))</f>
        <v/>
      </c>
      <c r="J291" s="5" t="str">
        <f aca="false">IF($I291="","","R"&amp;$I291)</f>
        <v/>
      </c>
    </row>
    <row r="292" customFormat="false" ht="15" hidden="false" customHeight="true" outlineLevel="0" collapsed="false">
      <c r="H292" s="17" t="b">
        <f aca="false">IF(품목마스터!$A292="",FALSE(),IF($B$3="",TRUE(),ISNUMBER(SEARCH($B$3,품목마스터!$B292&amp;" "&amp;품목마스터!$C292&amp;" "&amp;품목마스터!$A292))))</f>
        <v>0</v>
      </c>
      <c r="I292" s="5" t="str">
        <f aca="false">IF($H292=FALSE(),"",COUNTIF($H$3:$H292,TRUE()))</f>
        <v/>
      </c>
      <c r="J292" s="5" t="str">
        <f aca="false">IF($I292="","","R"&amp;$I292)</f>
        <v/>
      </c>
    </row>
    <row r="293" customFormat="false" ht="15" hidden="false" customHeight="true" outlineLevel="0" collapsed="false">
      <c r="H293" s="17" t="b">
        <f aca="false">IF(품목마스터!$A293="",FALSE(),IF($B$3="",TRUE(),ISNUMBER(SEARCH($B$3,품목마스터!$B293&amp;" "&amp;품목마스터!$C293&amp;" "&amp;품목마스터!$A293))))</f>
        <v>0</v>
      </c>
      <c r="I293" s="5" t="str">
        <f aca="false">IF($H293=FALSE(),"",COUNTIF($H$3:$H293,TRUE()))</f>
        <v/>
      </c>
      <c r="J293" s="5" t="str">
        <f aca="false">IF($I293="","","R"&amp;$I293)</f>
        <v/>
      </c>
    </row>
    <row r="294" customFormat="false" ht="15" hidden="false" customHeight="true" outlineLevel="0" collapsed="false">
      <c r="H294" s="17" t="b">
        <f aca="false">IF(품목마스터!$A294="",FALSE(),IF($B$3="",TRUE(),ISNUMBER(SEARCH($B$3,품목마스터!$B294&amp;" "&amp;품목마스터!$C294&amp;" "&amp;품목마스터!$A294))))</f>
        <v>0</v>
      </c>
      <c r="I294" s="5" t="str">
        <f aca="false">IF($H294=FALSE(),"",COUNTIF($H$3:$H294,TRUE()))</f>
        <v/>
      </c>
      <c r="J294" s="5" t="str">
        <f aca="false">IF($I294="","","R"&amp;$I294)</f>
        <v/>
      </c>
    </row>
    <row r="295" customFormat="false" ht="15" hidden="false" customHeight="true" outlineLevel="0" collapsed="false">
      <c r="H295" s="17" t="b">
        <f aca="false">IF(품목마스터!$A295="",FALSE(),IF($B$3="",TRUE(),ISNUMBER(SEARCH($B$3,품목마스터!$B295&amp;" "&amp;품목마스터!$C295&amp;" "&amp;품목마스터!$A295))))</f>
        <v>0</v>
      </c>
      <c r="I295" s="5" t="str">
        <f aca="false">IF($H295=FALSE(),"",COUNTIF($H$3:$H295,TRUE()))</f>
        <v/>
      </c>
      <c r="J295" s="5" t="str">
        <f aca="false">IF($I295="","","R"&amp;$I295)</f>
        <v/>
      </c>
    </row>
    <row r="296" customFormat="false" ht="15" hidden="false" customHeight="true" outlineLevel="0" collapsed="false">
      <c r="H296" s="17" t="b">
        <f aca="false">IF(품목마스터!$A296="",FALSE(),IF($B$3="",TRUE(),ISNUMBER(SEARCH($B$3,품목마스터!$B296&amp;" "&amp;품목마스터!$C296&amp;" "&amp;품목마스터!$A296))))</f>
        <v>0</v>
      </c>
      <c r="I296" s="5" t="str">
        <f aca="false">IF($H296=FALSE(),"",COUNTIF($H$3:$H296,TRUE()))</f>
        <v/>
      </c>
      <c r="J296" s="5" t="str">
        <f aca="false">IF($I296="","","R"&amp;$I296)</f>
        <v/>
      </c>
    </row>
    <row r="297" customFormat="false" ht="15" hidden="false" customHeight="true" outlineLevel="0" collapsed="false">
      <c r="H297" s="17" t="b">
        <f aca="false">IF(품목마스터!$A297="",FALSE(),IF($B$3="",TRUE(),ISNUMBER(SEARCH($B$3,품목마스터!$B297&amp;" "&amp;품목마스터!$C297&amp;" "&amp;품목마스터!$A297))))</f>
        <v>0</v>
      </c>
      <c r="I297" s="5" t="str">
        <f aca="false">IF($H297=FALSE(),"",COUNTIF($H$3:$H297,TRUE()))</f>
        <v/>
      </c>
      <c r="J297" s="5" t="str">
        <f aca="false">IF($I297="","","R"&amp;$I297)</f>
        <v/>
      </c>
    </row>
    <row r="298" customFormat="false" ht="15" hidden="false" customHeight="true" outlineLevel="0" collapsed="false">
      <c r="H298" s="17" t="b">
        <f aca="false">IF(품목마스터!$A298="",FALSE(),IF($B$3="",TRUE(),ISNUMBER(SEARCH($B$3,품목마스터!$B298&amp;" "&amp;품목마스터!$C298&amp;" "&amp;품목마스터!$A298))))</f>
        <v>0</v>
      </c>
      <c r="I298" s="5" t="str">
        <f aca="false">IF($H298=FALSE(),"",COUNTIF($H$3:$H298,TRUE()))</f>
        <v/>
      </c>
      <c r="J298" s="5" t="str">
        <f aca="false">IF($I298="","","R"&amp;$I298)</f>
        <v/>
      </c>
    </row>
    <row r="299" customFormat="false" ht="15" hidden="false" customHeight="true" outlineLevel="0" collapsed="false">
      <c r="H299" s="17" t="b">
        <f aca="false">IF(품목마스터!$A299="",FALSE(),IF($B$3="",TRUE(),ISNUMBER(SEARCH($B$3,품목마스터!$B299&amp;" "&amp;품목마스터!$C299&amp;" "&amp;품목마스터!$A299))))</f>
        <v>0</v>
      </c>
      <c r="I299" s="5" t="str">
        <f aca="false">IF($H299=FALSE(),"",COUNTIF($H$3:$H299,TRUE()))</f>
        <v/>
      </c>
      <c r="J299" s="5" t="str">
        <f aca="false">IF($I299="","","R"&amp;$I299)</f>
        <v/>
      </c>
    </row>
    <row r="300" customFormat="false" ht="15" hidden="false" customHeight="true" outlineLevel="0" collapsed="false">
      <c r="H300" s="17" t="b">
        <f aca="false">IF(품목마스터!$A300="",FALSE(),IF($B$3="",TRUE(),ISNUMBER(SEARCH($B$3,품목마스터!$B300&amp;" "&amp;품목마스터!$C300&amp;" "&amp;품목마스터!$A300))))</f>
        <v>0</v>
      </c>
      <c r="I300" s="5" t="str">
        <f aca="false">IF($H300=FALSE(),"",COUNTIF($H$3:$H300,TRUE()))</f>
        <v/>
      </c>
      <c r="J300" s="5" t="str">
        <f aca="false">IF($I300="","","R"&amp;$I300)</f>
        <v/>
      </c>
    </row>
    <row r="301" customFormat="false" ht="15" hidden="false" customHeight="true" outlineLevel="0" collapsed="false">
      <c r="H301" s="17" t="b">
        <f aca="false">IF(품목마스터!$A301="",FALSE(),IF($B$3="",TRUE(),ISNUMBER(SEARCH($B$3,품목마스터!$B301&amp;" "&amp;품목마스터!$C301&amp;" "&amp;품목마스터!$A301))))</f>
        <v>0</v>
      </c>
      <c r="I301" s="5" t="str">
        <f aca="false">IF($H301=FALSE(),"",COUNTIF($H$3:$H301,TRUE()))</f>
        <v/>
      </c>
      <c r="J301" s="5" t="str">
        <f aca="false">IF($I301="","","R"&amp;$I301)</f>
        <v/>
      </c>
    </row>
    <row r="302" customFormat="false" ht="15" hidden="false" customHeight="true" outlineLevel="0" collapsed="false">
      <c r="H302" s="17" t="b">
        <f aca="false">IF(품목마스터!$A302="",FALSE(),IF($B$3="",TRUE(),ISNUMBER(SEARCH($B$3,품목마스터!$B302&amp;" "&amp;품목마스터!$C302&amp;" "&amp;품목마스터!$A302))))</f>
        <v>0</v>
      </c>
      <c r="I302" s="5" t="str">
        <f aca="false">IF($H302=FALSE(),"",COUNTIF($H$3:$H302,TRUE()))</f>
        <v/>
      </c>
      <c r="J302" s="5" t="str">
        <f aca="false">IF($I302="","","R"&amp;$I302)</f>
        <v/>
      </c>
    </row>
  </sheetData>
  <mergeCells count="2">
    <mergeCell ref="A1:G1"/>
    <mergeCell ref="B3:C3"/>
  </mergeCells>
  <conditionalFormatting sqref="A7:G46">
    <cfRule type="expression" priority="2" aboveAverage="0" equalAverage="0" bottom="0" percent="0" rank="0" text="" dxfId="0">
      <formula>AND($B7&lt;&gt;"",$F7&lt;$G7)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13"/>
    <col collapsed="false" customWidth="true" hidden="false" outlineLevel="0" max="4" min="4" style="1" width="9"/>
    <col collapsed="false" customWidth="true" hidden="false" outlineLevel="0" max="9" min="5" style="1" width="12"/>
    <col collapsed="false" customWidth="true" hidden="false" outlineLevel="0" max="10" min="10" style="1" width="22"/>
  </cols>
  <sheetData>
    <row r="1" customFormat="false" ht="25.5" hidden="false" customHeight="true" outlineLevel="0" collapsed="false">
      <c r="A1" s="2" t="s">
        <v>74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6" t="s">
        <v>23</v>
      </c>
      <c r="B3" s="6" t="s">
        <v>24</v>
      </c>
      <c r="C3" s="6" t="s">
        <v>27</v>
      </c>
      <c r="D3" s="6" t="s">
        <v>26</v>
      </c>
      <c r="E3" s="6" t="s">
        <v>28</v>
      </c>
      <c r="F3" s="6" t="s">
        <v>75</v>
      </c>
      <c r="G3" s="6" t="s">
        <v>76</v>
      </c>
      <c r="H3" s="6" t="s">
        <v>71</v>
      </c>
      <c r="I3" s="6" t="s">
        <v>29</v>
      </c>
      <c r="J3" s="6" t="s">
        <v>77</v>
      </c>
    </row>
    <row r="4" customFormat="false" ht="15" hidden="false" customHeight="true" outlineLevel="0" collapsed="false">
      <c r="A4" s="12" t="str">
        <f aca="false">IF(품목마스터!$A3="","",품목마스터!$A3)</f>
        <v>A001</v>
      </c>
      <c r="B4" s="12" t="str">
        <f aca="false">IF($A4="","",품목마스터!$B3)</f>
        <v>육각볼트 M10</v>
      </c>
      <c r="C4" s="12" t="str">
        <f aca="false">IF($A4="","",품목마스터!$E3)</f>
        <v>체결부품</v>
      </c>
      <c r="D4" s="12" t="str">
        <f aca="false">IF($A4="","",품목마스터!$D3)</f>
        <v>EA</v>
      </c>
      <c r="E4" s="13" t="n">
        <f aca="false">IF($A4="","",IF(품목마스터!$F3="",0,품목마스터!$F3))</f>
        <v>500</v>
      </c>
      <c r="F4" s="13" t="n">
        <f aca="false">IF($A4="","",SUMIFS(입출고내역!$G$3:$G$1002,입출고내역!$C$3:$C$1002,$A4,입출고내역!$B$3:$B$1002,"입고"))</f>
        <v>0</v>
      </c>
      <c r="G4" s="13" t="n">
        <f aca="false">IF($A4="","",SUMIFS(입출고내역!$G$3:$G$1002,입출고내역!$C$3:$C$1002,$A4,입출고내역!$B$3:$B$1002,"출고"))</f>
        <v>0</v>
      </c>
      <c r="H4" s="13" t="n">
        <f aca="false">IF($A4="","",$E4+SUMIFS(입출고내역!$L$3:$L$1002,입출고내역!$C$3:$C$1002,$A4))</f>
        <v>500</v>
      </c>
      <c r="I4" s="13" t="n">
        <f aca="false">IF($A4="","",IF(품목마스터!$G3="",0,품목마스터!$G3))</f>
        <v>100</v>
      </c>
      <c r="J4" s="20" t="str">
        <f aca="false">IF($A4="","",IF($I4=0,"기준없음",TEXT($H4/$I4,"0%")&amp;"  "&amp;REPT("■",MIN(10,ROUND($H4/$I4*10,0)))))</f>
        <v>500%  ■■■■■■■■■■</v>
      </c>
    </row>
    <row r="5" customFormat="false" ht="15" hidden="false" customHeight="true" outlineLevel="0" collapsed="false">
      <c r="A5" s="12" t="str">
        <f aca="false">IF(품목마스터!$A4="","",품목마스터!$A4)</f>
        <v>A002</v>
      </c>
      <c r="B5" s="12" t="str">
        <f aca="false">IF($A5="","",품목마스터!$B4)</f>
        <v>평와셔 M10</v>
      </c>
      <c r="C5" s="12" t="str">
        <f aca="false">IF($A5="","",품목마스터!$E4)</f>
        <v>체결부품</v>
      </c>
      <c r="D5" s="12" t="str">
        <f aca="false">IF($A5="","",품목마스터!$D4)</f>
        <v>EA</v>
      </c>
      <c r="E5" s="13" t="n">
        <f aca="false">IF($A5="","",IF(품목마스터!$F4="",0,품목마스터!$F4))</f>
        <v>800</v>
      </c>
      <c r="F5" s="13" t="n">
        <f aca="false">IF($A5="","",SUMIFS(입출고내역!$G$3:$G$1002,입출고내역!$C$3:$C$1002,$A5,입출고내역!$B$3:$B$1002,"입고"))</f>
        <v>0</v>
      </c>
      <c r="G5" s="13" t="n">
        <f aca="false">IF($A5="","",SUMIFS(입출고내역!$G$3:$G$1002,입출고내역!$C$3:$C$1002,$A5,입출고내역!$B$3:$B$1002,"출고"))</f>
        <v>0</v>
      </c>
      <c r="H5" s="13" t="n">
        <f aca="false">IF($A5="","",$E5+SUMIFS(입출고내역!$L$3:$L$1002,입출고내역!$C$3:$C$1002,$A5))</f>
        <v>800</v>
      </c>
      <c r="I5" s="13" t="n">
        <f aca="false">IF($A5="","",IF(품목마스터!$G4="",0,품목마스터!$G4))</f>
        <v>200</v>
      </c>
      <c r="J5" s="20" t="str">
        <f aca="false">IF($A5="","",IF($I5=0,"기준없음",TEXT($H5/$I5,"0%")&amp;"  "&amp;REPT("■",MIN(10,ROUND($H5/$I5*10,0)))))</f>
        <v>400%  ■■■■■■■■■■</v>
      </c>
    </row>
    <row r="6" customFormat="false" ht="15" hidden="false" customHeight="true" outlineLevel="0" collapsed="false">
      <c r="A6" s="12" t="str">
        <f aca="false">IF(품목마스터!$A5="","",품목마스터!$A5)</f>
        <v>B001</v>
      </c>
      <c r="B6" s="12" t="str">
        <f aca="false">IF($A6="","",품목마스터!$B5)</f>
        <v>베어링 6204</v>
      </c>
      <c r="C6" s="12" t="str">
        <f aca="false">IF($A6="","",품목마스터!$E5)</f>
        <v>구동부품</v>
      </c>
      <c r="D6" s="12" t="str">
        <f aca="false">IF($A6="","",품목마스터!$D5)</f>
        <v>EA</v>
      </c>
      <c r="E6" s="13" t="n">
        <f aca="false">IF($A6="","",IF(품목마스터!$F5="",0,품목마스터!$F5))</f>
        <v>40</v>
      </c>
      <c r="F6" s="13" t="n">
        <f aca="false">IF($A6="","",SUMIFS(입출고내역!$G$3:$G$1002,입출고내역!$C$3:$C$1002,$A6,입출고내역!$B$3:$B$1002,"입고"))</f>
        <v>0</v>
      </c>
      <c r="G6" s="13" t="n">
        <f aca="false">IF($A6="","",SUMIFS(입출고내역!$G$3:$G$1002,입출고내역!$C$3:$C$1002,$A6,입출고내역!$B$3:$B$1002,"출고"))</f>
        <v>0</v>
      </c>
      <c r="H6" s="13" t="n">
        <f aca="false">IF($A6="","",$E6+SUMIFS(입출고내역!$L$3:$L$1002,입출고내역!$C$3:$C$1002,$A6))</f>
        <v>40</v>
      </c>
      <c r="I6" s="13" t="n">
        <f aca="false">IF($A6="","",IF(품목마스터!$G5="",0,품목마스터!$G5))</f>
        <v>10</v>
      </c>
      <c r="J6" s="20" t="str">
        <f aca="false">IF($A6="","",IF($I6=0,"기준없음",TEXT($H6/$I6,"0%")&amp;"  "&amp;REPT("■",MIN(10,ROUND($H6/$I6*10,0)))))</f>
        <v>400%  ■■■■■■■■■■</v>
      </c>
    </row>
    <row r="7" customFormat="false" ht="15" hidden="false" customHeight="true" outlineLevel="0" collapsed="false">
      <c r="A7" s="12" t="str">
        <f aca="false">IF(품목마스터!$A6="","",품목마스터!$A6)</f>
        <v>C001</v>
      </c>
      <c r="B7" s="12" t="str">
        <f aca="false">IF($A7="","",품목마스터!$B6)</f>
        <v>절삭유</v>
      </c>
      <c r="C7" s="12" t="str">
        <f aca="false">IF($A7="","",품목마스터!$E6)</f>
        <v>소모품</v>
      </c>
      <c r="D7" s="12" t="str">
        <f aca="false">IF($A7="","",품목마스터!$D6)</f>
        <v>통</v>
      </c>
      <c r="E7" s="13" t="n">
        <f aca="false">IF($A7="","",IF(품목마스터!$F6="",0,품목마스터!$F6))</f>
        <v>12</v>
      </c>
      <c r="F7" s="13" t="n">
        <f aca="false">IF($A7="","",SUMIFS(입출고내역!$G$3:$G$1002,입출고내역!$C$3:$C$1002,$A7,입출고내역!$B$3:$B$1002,"입고"))</f>
        <v>0</v>
      </c>
      <c r="G7" s="13" t="n">
        <f aca="false">IF($A7="","",SUMIFS(입출고내역!$G$3:$G$1002,입출고내역!$C$3:$C$1002,$A7,입출고내역!$B$3:$B$1002,"출고"))</f>
        <v>0</v>
      </c>
      <c r="H7" s="13" t="n">
        <f aca="false">IF($A7="","",$E7+SUMIFS(입출고내역!$L$3:$L$1002,입출고내역!$C$3:$C$1002,$A7))</f>
        <v>12</v>
      </c>
      <c r="I7" s="13" t="n">
        <f aca="false">IF($A7="","",IF(품목마스터!$G6="",0,품목마스터!$G6))</f>
        <v>4</v>
      </c>
      <c r="J7" s="20" t="str">
        <f aca="false">IF($A7="","",IF($I7=0,"기준없음",TEXT($H7/$I7,"0%")&amp;"  "&amp;REPT("■",MIN(10,ROUND($H7/$I7*10,0)))))</f>
        <v>300%  ■■■■■■■■■■</v>
      </c>
    </row>
    <row r="8" customFormat="false" ht="15" hidden="false" customHeight="true" outlineLevel="0" collapsed="false">
      <c r="A8" s="12" t="str">
        <f aca="false">IF(품목마스터!$A7="","",품목마스터!$A7)</f>
        <v/>
      </c>
      <c r="B8" s="12" t="str">
        <f aca="false">IF($A8="","",품목마스터!$B7)</f>
        <v/>
      </c>
      <c r="C8" s="12" t="str">
        <f aca="false">IF($A8="","",품목마스터!$E7)</f>
        <v/>
      </c>
      <c r="D8" s="12" t="str">
        <f aca="false">IF($A8="","",품목마스터!$D7)</f>
        <v/>
      </c>
      <c r="E8" s="13" t="str">
        <f aca="false">IF($A8="","",IF(품목마스터!$F7="",0,품목마스터!$F7))</f>
        <v/>
      </c>
      <c r="F8" s="13" t="str">
        <f aca="false">IF($A8="","",SUMIFS(입출고내역!$G$3:$G$1002,입출고내역!$C$3:$C$1002,$A8,입출고내역!$B$3:$B$1002,"입고"))</f>
        <v/>
      </c>
      <c r="G8" s="13" t="str">
        <f aca="false">IF($A8="","",SUMIFS(입출고내역!$G$3:$G$1002,입출고내역!$C$3:$C$1002,$A8,입출고내역!$B$3:$B$1002,"출고"))</f>
        <v/>
      </c>
      <c r="H8" s="13" t="str">
        <f aca="false">IF($A8="","",$E8+SUMIFS(입출고내역!$L$3:$L$1002,입출고내역!$C$3:$C$1002,$A8))</f>
        <v/>
      </c>
      <c r="I8" s="13" t="str">
        <f aca="false">IF($A8="","",IF(품목마스터!$G7="",0,품목마스터!$G7))</f>
        <v/>
      </c>
      <c r="J8" s="20" t="str">
        <f aca="false">IF($A8="","",IF($I8=0,"기준없음",TEXT($H8/$I8,"0%")&amp;"  "&amp;REPT("■",MIN(10,ROUND($H8/$I8*10,0)))))</f>
        <v/>
      </c>
    </row>
    <row r="9" customFormat="false" ht="15" hidden="false" customHeight="true" outlineLevel="0" collapsed="false">
      <c r="A9" s="12" t="str">
        <f aca="false">IF(품목마스터!$A8="","",품목마스터!$A8)</f>
        <v/>
      </c>
      <c r="B9" s="12" t="str">
        <f aca="false">IF($A9="","",품목마스터!$B8)</f>
        <v/>
      </c>
      <c r="C9" s="12" t="str">
        <f aca="false">IF($A9="","",품목마스터!$E8)</f>
        <v/>
      </c>
      <c r="D9" s="12" t="str">
        <f aca="false">IF($A9="","",품목마스터!$D8)</f>
        <v/>
      </c>
      <c r="E9" s="13" t="str">
        <f aca="false">IF($A9="","",IF(품목마스터!$F8="",0,품목마스터!$F8))</f>
        <v/>
      </c>
      <c r="F9" s="13" t="str">
        <f aca="false">IF($A9="","",SUMIFS(입출고내역!$G$3:$G$1002,입출고내역!$C$3:$C$1002,$A9,입출고내역!$B$3:$B$1002,"입고"))</f>
        <v/>
      </c>
      <c r="G9" s="13" t="str">
        <f aca="false">IF($A9="","",SUMIFS(입출고내역!$G$3:$G$1002,입출고내역!$C$3:$C$1002,$A9,입출고내역!$B$3:$B$1002,"출고"))</f>
        <v/>
      </c>
      <c r="H9" s="13" t="str">
        <f aca="false">IF($A9="","",$E9+SUMIFS(입출고내역!$L$3:$L$1002,입출고내역!$C$3:$C$1002,$A9))</f>
        <v/>
      </c>
      <c r="I9" s="13" t="str">
        <f aca="false">IF($A9="","",IF(품목마스터!$G8="",0,품목마스터!$G8))</f>
        <v/>
      </c>
      <c r="J9" s="20" t="str">
        <f aca="false">IF($A9="","",IF($I9=0,"기준없음",TEXT($H9/$I9,"0%")&amp;"  "&amp;REPT("■",MIN(10,ROUND($H9/$I9*10,0)))))</f>
        <v/>
      </c>
    </row>
    <row r="10" customFormat="false" ht="15" hidden="false" customHeight="true" outlineLevel="0" collapsed="false">
      <c r="A10" s="12" t="str">
        <f aca="false">IF(품목마스터!$A9="","",품목마스터!$A9)</f>
        <v/>
      </c>
      <c r="B10" s="12" t="str">
        <f aca="false">IF($A10="","",품목마스터!$B9)</f>
        <v/>
      </c>
      <c r="C10" s="12" t="str">
        <f aca="false">IF($A10="","",품목마스터!$E9)</f>
        <v/>
      </c>
      <c r="D10" s="12" t="str">
        <f aca="false">IF($A10="","",품목마스터!$D9)</f>
        <v/>
      </c>
      <c r="E10" s="13" t="str">
        <f aca="false">IF($A10="","",IF(품목마스터!$F9="",0,품목마스터!$F9))</f>
        <v/>
      </c>
      <c r="F10" s="13" t="str">
        <f aca="false">IF($A10="","",SUMIFS(입출고내역!$G$3:$G$1002,입출고내역!$C$3:$C$1002,$A10,입출고내역!$B$3:$B$1002,"입고"))</f>
        <v/>
      </c>
      <c r="G10" s="13" t="str">
        <f aca="false">IF($A10="","",SUMIFS(입출고내역!$G$3:$G$1002,입출고내역!$C$3:$C$1002,$A10,입출고내역!$B$3:$B$1002,"출고"))</f>
        <v/>
      </c>
      <c r="H10" s="13" t="str">
        <f aca="false">IF($A10="","",$E10+SUMIFS(입출고내역!$L$3:$L$1002,입출고내역!$C$3:$C$1002,$A10))</f>
        <v/>
      </c>
      <c r="I10" s="13" t="str">
        <f aca="false">IF($A10="","",IF(품목마스터!$G9="",0,품목마스터!$G9))</f>
        <v/>
      </c>
      <c r="J10" s="20" t="str">
        <f aca="false">IF($A10="","",IF($I10=0,"기준없음",TEXT($H10/$I10,"0%")&amp;"  "&amp;REPT("■",MIN(10,ROUND($H10/$I10*10,0)))))</f>
        <v/>
      </c>
    </row>
    <row r="11" customFormat="false" ht="15" hidden="false" customHeight="true" outlineLevel="0" collapsed="false">
      <c r="A11" s="12" t="str">
        <f aca="false">IF(품목마스터!$A10="","",품목마스터!$A10)</f>
        <v/>
      </c>
      <c r="B11" s="12" t="str">
        <f aca="false">IF($A11="","",품목마스터!$B10)</f>
        <v/>
      </c>
      <c r="C11" s="12" t="str">
        <f aca="false">IF($A11="","",품목마스터!$E10)</f>
        <v/>
      </c>
      <c r="D11" s="12" t="str">
        <f aca="false">IF($A11="","",품목마스터!$D10)</f>
        <v/>
      </c>
      <c r="E11" s="13" t="str">
        <f aca="false">IF($A11="","",IF(품목마스터!$F10="",0,품목마스터!$F10))</f>
        <v/>
      </c>
      <c r="F11" s="13" t="str">
        <f aca="false">IF($A11="","",SUMIFS(입출고내역!$G$3:$G$1002,입출고내역!$C$3:$C$1002,$A11,입출고내역!$B$3:$B$1002,"입고"))</f>
        <v/>
      </c>
      <c r="G11" s="13" t="str">
        <f aca="false">IF($A11="","",SUMIFS(입출고내역!$G$3:$G$1002,입출고내역!$C$3:$C$1002,$A11,입출고내역!$B$3:$B$1002,"출고"))</f>
        <v/>
      </c>
      <c r="H11" s="13" t="str">
        <f aca="false">IF($A11="","",$E11+SUMIFS(입출고내역!$L$3:$L$1002,입출고내역!$C$3:$C$1002,$A11))</f>
        <v/>
      </c>
      <c r="I11" s="13" t="str">
        <f aca="false">IF($A11="","",IF(품목마스터!$G10="",0,품목마스터!$G10))</f>
        <v/>
      </c>
      <c r="J11" s="20" t="str">
        <f aca="false">IF($A11="","",IF($I11=0,"기준없음",TEXT($H11/$I11,"0%")&amp;"  "&amp;REPT("■",MIN(10,ROUND($H11/$I11*10,0)))))</f>
        <v/>
      </c>
    </row>
    <row r="12" customFormat="false" ht="15" hidden="false" customHeight="true" outlineLevel="0" collapsed="false">
      <c r="A12" s="12" t="str">
        <f aca="false">IF(품목마스터!$A11="","",품목마스터!$A11)</f>
        <v/>
      </c>
      <c r="B12" s="12" t="str">
        <f aca="false">IF($A12="","",품목마스터!$B11)</f>
        <v/>
      </c>
      <c r="C12" s="12" t="str">
        <f aca="false">IF($A12="","",품목마스터!$E11)</f>
        <v/>
      </c>
      <c r="D12" s="12" t="str">
        <f aca="false">IF($A12="","",품목마스터!$D11)</f>
        <v/>
      </c>
      <c r="E12" s="13" t="str">
        <f aca="false">IF($A12="","",IF(품목마스터!$F11="",0,품목마스터!$F11))</f>
        <v/>
      </c>
      <c r="F12" s="13" t="str">
        <f aca="false">IF($A12="","",SUMIFS(입출고내역!$G$3:$G$1002,입출고내역!$C$3:$C$1002,$A12,입출고내역!$B$3:$B$1002,"입고"))</f>
        <v/>
      </c>
      <c r="G12" s="13" t="str">
        <f aca="false">IF($A12="","",SUMIFS(입출고내역!$G$3:$G$1002,입출고내역!$C$3:$C$1002,$A12,입출고내역!$B$3:$B$1002,"출고"))</f>
        <v/>
      </c>
      <c r="H12" s="13" t="str">
        <f aca="false">IF($A12="","",$E12+SUMIFS(입출고내역!$L$3:$L$1002,입출고내역!$C$3:$C$1002,$A12))</f>
        <v/>
      </c>
      <c r="I12" s="13" t="str">
        <f aca="false">IF($A12="","",IF(품목마스터!$G11="",0,품목마스터!$G11))</f>
        <v/>
      </c>
      <c r="J12" s="20" t="str">
        <f aca="false">IF($A12="","",IF($I12=0,"기준없음",TEXT($H12/$I12,"0%")&amp;"  "&amp;REPT("■",MIN(10,ROUND($H12/$I12*10,0)))))</f>
        <v/>
      </c>
    </row>
    <row r="13" customFormat="false" ht="15" hidden="false" customHeight="true" outlineLevel="0" collapsed="false">
      <c r="A13" s="12" t="str">
        <f aca="false">IF(품목마스터!$A12="","",품목마스터!$A12)</f>
        <v/>
      </c>
      <c r="B13" s="12" t="str">
        <f aca="false">IF($A13="","",품목마스터!$B12)</f>
        <v/>
      </c>
      <c r="C13" s="12" t="str">
        <f aca="false">IF($A13="","",품목마스터!$E12)</f>
        <v/>
      </c>
      <c r="D13" s="12" t="str">
        <f aca="false">IF($A13="","",품목마스터!$D12)</f>
        <v/>
      </c>
      <c r="E13" s="13" t="str">
        <f aca="false">IF($A13="","",IF(품목마스터!$F12="",0,품목마스터!$F12))</f>
        <v/>
      </c>
      <c r="F13" s="13" t="str">
        <f aca="false">IF($A13="","",SUMIFS(입출고내역!$G$3:$G$1002,입출고내역!$C$3:$C$1002,$A13,입출고내역!$B$3:$B$1002,"입고"))</f>
        <v/>
      </c>
      <c r="G13" s="13" t="str">
        <f aca="false">IF($A13="","",SUMIFS(입출고내역!$G$3:$G$1002,입출고내역!$C$3:$C$1002,$A13,입출고내역!$B$3:$B$1002,"출고"))</f>
        <v/>
      </c>
      <c r="H13" s="13" t="str">
        <f aca="false">IF($A13="","",$E13+SUMIFS(입출고내역!$L$3:$L$1002,입출고내역!$C$3:$C$1002,$A13))</f>
        <v/>
      </c>
      <c r="I13" s="13" t="str">
        <f aca="false">IF($A13="","",IF(품목마스터!$G12="",0,품목마스터!$G12))</f>
        <v/>
      </c>
      <c r="J13" s="20" t="str">
        <f aca="false">IF($A13="","",IF($I13=0,"기준없음",TEXT($H13/$I13,"0%")&amp;"  "&amp;REPT("■",MIN(10,ROUND($H13/$I13*10,0)))))</f>
        <v/>
      </c>
    </row>
    <row r="14" customFormat="false" ht="15" hidden="false" customHeight="true" outlineLevel="0" collapsed="false">
      <c r="A14" s="12" t="str">
        <f aca="false">IF(품목마스터!$A13="","",품목마스터!$A13)</f>
        <v/>
      </c>
      <c r="B14" s="12" t="str">
        <f aca="false">IF($A14="","",품목마스터!$B13)</f>
        <v/>
      </c>
      <c r="C14" s="12" t="str">
        <f aca="false">IF($A14="","",품목마스터!$E13)</f>
        <v/>
      </c>
      <c r="D14" s="12" t="str">
        <f aca="false">IF($A14="","",품목마스터!$D13)</f>
        <v/>
      </c>
      <c r="E14" s="13" t="str">
        <f aca="false">IF($A14="","",IF(품목마스터!$F13="",0,품목마스터!$F13))</f>
        <v/>
      </c>
      <c r="F14" s="13" t="str">
        <f aca="false">IF($A14="","",SUMIFS(입출고내역!$G$3:$G$1002,입출고내역!$C$3:$C$1002,$A14,입출고내역!$B$3:$B$1002,"입고"))</f>
        <v/>
      </c>
      <c r="G14" s="13" t="str">
        <f aca="false">IF($A14="","",SUMIFS(입출고내역!$G$3:$G$1002,입출고내역!$C$3:$C$1002,$A14,입출고내역!$B$3:$B$1002,"출고"))</f>
        <v/>
      </c>
      <c r="H14" s="13" t="str">
        <f aca="false">IF($A14="","",$E14+SUMIFS(입출고내역!$L$3:$L$1002,입출고내역!$C$3:$C$1002,$A14))</f>
        <v/>
      </c>
      <c r="I14" s="13" t="str">
        <f aca="false">IF($A14="","",IF(품목마스터!$G13="",0,품목마스터!$G13))</f>
        <v/>
      </c>
      <c r="J14" s="20" t="str">
        <f aca="false">IF($A14="","",IF($I14=0,"기준없음",TEXT($H14/$I14,"0%")&amp;"  "&amp;REPT("■",MIN(10,ROUND($H14/$I14*10,0)))))</f>
        <v/>
      </c>
    </row>
    <row r="15" customFormat="false" ht="15" hidden="false" customHeight="true" outlineLevel="0" collapsed="false">
      <c r="A15" s="12" t="str">
        <f aca="false">IF(품목마스터!$A14="","",품목마스터!$A14)</f>
        <v/>
      </c>
      <c r="B15" s="12" t="str">
        <f aca="false">IF($A15="","",품목마스터!$B14)</f>
        <v/>
      </c>
      <c r="C15" s="12" t="str">
        <f aca="false">IF($A15="","",품목마스터!$E14)</f>
        <v/>
      </c>
      <c r="D15" s="12" t="str">
        <f aca="false">IF($A15="","",품목마스터!$D14)</f>
        <v/>
      </c>
      <c r="E15" s="13" t="str">
        <f aca="false">IF($A15="","",IF(품목마스터!$F14="",0,품목마스터!$F14))</f>
        <v/>
      </c>
      <c r="F15" s="13" t="str">
        <f aca="false">IF($A15="","",SUMIFS(입출고내역!$G$3:$G$1002,입출고내역!$C$3:$C$1002,$A15,입출고내역!$B$3:$B$1002,"입고"))</f>
        <v/>
      </c>
      <c r="G15" s="13" t="str">
        <f aca="false">IF($A15="","",SUMIFS(입출고내역!$G$3:$G$1002,입출고내역!$C$3:$C$1002,$A15,입출고내역!$B$3:$B$1002,"출고"))</f>
        <v/>
      </c>
      <c r="H15" s="13" t="str">
        <f aca="false">IF($A15="","",$E15+SUMIFS(입출고내역!$L$3:$L$1002,입출고내역!$C$3:$C$1002,$A15))</f>
        <v/>
      </c>
      <c r="I15" s="13" t="str">
        <f aca="false">IF($A15="","",IF(품목마스터!$G14="",0,품목마스터!$G14))</f>
        <v/>
      </c>
      <c r="J15" s="20" t="str">
        <f aca="false">IF($A15="","",IF($I15=0,"기준없음",TEXT($H15/$I15,"0%")&amp;"  "&amp;REPT("■",MIN(10,ROUND($H15/$I15*10,0)))))</f>
        <v/>
      </c>
    </row>
    <row r="16" customFormat="false" ht="15" hidden="false" customHeight="true" outlineLevel="0" collapsed="false">
      <c r="A16" s="12" t="str">
        <f aca="false">IF(품목마스터!$A15="","",품목마스터!$A15)</f>
        <v/>
      </c>
      <c r="B16" s="12" t="str">
        <f aca="false">IF($A16="","",품목마스터!$B15)</f>
        <v/>
      </c>
      <c r="C16" s="12" t="str">
        <f aca="false">IF($A16="","",품목마스터!$E15)</f>
        <v/>
      </c>
      <c r="D16" s="12" t="str">
        <f aca="false">IF($A16="","",품목마스터!$D15)</f>
        <v/>
      </c>
      <c r="E16" s="13" t="str">
        <f aca="false">IF($A16="","",IF(품목마스터!$F15="",0,품목마스터!$F15))</f>
        <v/>
      </c>
      <c r="F16" s="13" t="str">
        <f aca="false">IF($A16="","",SUMIFS(입출고내역!$G$3:$G$1002,입출고내역!$C$3:$C$1002,$A16,입출고내역!$B$3:$B$1002,"입고"))</f>
        <v/>
      </c>
      <c r="G16" s="13" t="str">
        <f aca="false">IF($A16="","",SUMIFS(입출고내역!$G$3:$G$1002,입출고내역!$C$3:$C$1002,$A16,입출고내역!$B$3:$B$1002,"출고"))</f>
        <v/>
      </c>
      <c r="H16" s="13" t="str">
        <f aca="false">IF($A16="","",$E16+SUMIFS(입출고내역!$L$3:$L$1002,입출고내역!$C$3:$C$1002,$A16))</f>
        <v/>
      </c>
      <c r="I16" s="13" t="str">
        <f aca="false">IF($A16="","",IF(품목마스터!$G15="",0,품목마스터!$G15))</f>
        <v/>
      </c>
      <c r="J16" s="20" t="str">
        <f aca="false">IF($A16="","",IF($I16=0,"기준없음",TEXT($H16/$I16,"0%")&amp;"  "&amp;REPT("■",MIN(10,ROUND($H16/$I16*10,0)))))</f>
        <v/>
      </c>
    </row>
    <row r="17" customFormat="false" ht="15" hidden="false" customHeight="true" outlineLevel="0" collapsed="false">
      <c r="A17" s="12" t="str">
        <f aca="false">IF(품목마스터!$A16="","",품목마스터!$A16)</f>
        <v/>
      </c>
      <c r="B17" s="12" t="str">
        <f aca="false">IF($A17="","",품목마스터!$B16)</f>
        <v/>
      </c>
      <c r="C17" s="12" t="str">
        <f aca="false">IF($A17="","",품목마스터!$E16)</f>
        <v/>
      </c>
      <c r="D17" s="12" t="str">
        <f aca="false">IF($A17="","",품목마스터!$D16)</f>
        <v/>
      </c>
      <c r="E17" s="13" t="str">
        <f aca="false">IF($A17="","",IF(품목마스터!$F16="",0,품목마스터!$F16))</f>
        <v/>
      </c>
      <c r="F17" s="13" t="str">
        <f aca="false">IF($A17="","",SUMIFS(입출고내역!$G$3:$G$1002,입출고내역!$C$3:$C$1002,$A17,입출고내역!$B$3:$B$1002,"입고"))</f>
        <v/>
      </c>
      <c r="G17" s="13" t="str">
        <f aca="false">IF($A17="","",SUMIFS(입출고내역!$G$3:$G$1002,입출고내역!$C$3:$C$1002,$A17,입출고내역!$B$3:$B$1002,"출고"))</f>
        <v/>
      </c>
      <c r="H17" s="13" t="str">
        <f aca="false">IF($A17="","",$E17+SUMIFS(입출고내역!$L$3:$L$1002,입출고내역!$C$3:$C$1002,$A17))</f>
        <v/>
      </c>
      <c r="I17" s="13" t="str">
        <f aca="false">IF($A17="","",IF(품목마스터!$G16="",0,품목마스터!$G16))</f>
        <v/>
      </c>
      <c r="J17" s="20" t="str">
        <f aca="false">IF($A17="","",IF($I17=0,"기준없음",TEXT($H17/$I17,"0%")&amp;"  "&amp;REPT("■",MIN(10,ROUND($H17/$I17*10,0)))))</f>
        <v/>
      </c>
    </row>
    <row r="18" customFormat="false" ht="15" hidden="false" customHeight="true" outlineLevel="0" collapsed="false">
      <c r="A18" s="12" t="str">
        <f aca="false">IF(품목마스터!$A17="","",품목마스터!$A17)</f>
        <v/>
      </c>
      <c r="B18" s="12" t="str">
        <f aca="false">IF($A18="","",품목마스터!$B17)</f>
        <v/>
      </c>
      <c r="C18" s="12" t="str">
        <f aca="false">IF($A18="","",품목마스터!$E17)</f>
        <v/>
      </c>
      <c r="D18" s="12" t="str">
        <f aca="false">IF($A18="","",품목마스터!$D17)</f>
        <v/>
      </c>
      <c r="E18" s="13" t="str">
        <f aca="false">IF($A18="","",IF(품목마스터!$F17="",0,품목마스터!$F17))</f>
        <v/>
      </c>
      <c r="F18" s="13" t="str">
        <f aca="false">IF($A18="","",SUMIFS(입출고내역!$G$3:$G$1002,입출고내역!$C$3:$C$1002,$A18,입출고내역!$B$3:$B$1002,"입고"))</f>
        <v/>
      </c>
      <c r="G18" s="13" t="str">
        <f aca="false">IF($A18="","",SUMIFS(입출고내역!$G$3:$G$1002,입출고내역!$C$3:$C$1002,$A18,입출고내역!$B$3:$B$1002,"출고"))</f>
        <v/>
      </c>
      <c r="H18" s="13" t="str">
        <f aca="false">IF($A18="","",$E18+SUMIFS(입출고내역!$L$3:$L$1002,입출고내역!$C$3:$C$1002,$A18))</f>
        <v/>
      </c>
      <c r="I18" s="13" t="str">
        <f aca="false">IF($A18="","",IF(품목마스터!$G17="",0,품목마스터!$G17))</f>
        <v/>
      </c>
      <c r="J18" s="20" t="str">
        <f aca="false">IF($A18="","",IF($I18=0,"기준없음",TEXT($H18/$I18,"0%")&amp;"  "&amp;REPT("■",MIN(10,ROUND($H18/$I18*10,0)))))</f>
        <v/>
      </c>
    </row>
    <row r="19" customFormat="false" ht="15" hidden="false" customHeight="true" outlineLevel="0" collapsed="false">
      <c r="A19" s="12" t="str">
        <f aca="false">IF(품목마스터!$A18="","",품목마스터!$A18)</f>
        <v/>
      </c>
      <c r="B19" s="12" t="str">
        <f aca="false">IF($A19="","",품목마스터!$B18)</f>
        <v/>
      </c>
      <c r="C19" s="12" t="str">
        <f aca="false">IF($A19="","",품목마스터!$E18)</f>
        <v/>
      </c>
      <c r="D19" s="12" t="str">
        <f aca="false">IF($A19="","",품목마스터!$D18)</f>
        <v/>
      </c>
      <c r="E19" s="13" t="str">
        <f aca="false">IF($A19="","",IF(품목마스터!$F18="",0,품목마스터!$F18))</f>
        <v/>
      </c>
      <c r="F19" s="13" t="str">
        <f aca="false">IF($A19="","",SUMIFS(입출고내역!$G$3:$G$1002,입출고내역!$C$3:$C$1002,$A19,입출고내역!$B$3:$B$1002,"입고"))</f>
        <v/>
      </c>
      <c r="G19" s="13" t="str">
        <f aca="false">IF($A19="","",SUMIFS(입출고내역!$G$3:$G$1002,입출고내역!$C$3:$C$1002,$A19,입출고내역!$B$3:$B$1002,"출고"))</f>
        <v/>
      </c>
      <c r="H19" s="13" t="str">
        <f aca="false">IF($A19="","",$E19+SUMIFS(입출고내역!$L$3:$L$1002,입출고내역!$C$3:$C$1002,$A19))</f>
        <v/>
      </c>
      <c r="I19" s="13" t="str">
        <f aca="false">IF($A19="","",IF(품목마스터!$G18="",0,품목마스터!$G18))</f>
        <v/>
      </c>
      <c r="J19" s="20" t="str">
        <f aca="false">IF($A19="","",IF($I19=0,"기준없음",TEXT($H19/$I19,"0%")&amp;"  "&amp;REPT("■",MIN(10,ROUND($H19/$I19*10,0)))))</f>
        <v/>
      </c>
    </row>
    <row r="20" customFormat="false" ht="15" hidden="false" customHeight="true" outlineLevel="0" collapsed="false">
      <c r="A20" s="12" t="str">
        <f aca="false">IF(품목마스터!$A19="","",품목마스터!$A19)</f>
        <v/>
      </c>
      <c r="B20" s="12" t="str">
        <f aca="false">IF($A20="","",품목마스터!$B19)</f>
        <v/>
      </c>
      <c r="C20" s="12" t="str">
        <f aca="false">IF($A20="","",품목마스터!$E19)</f>
        <v/>
      </c>
      <c r="D20" s="12" t="str">
        <f aca="false">IF($A20="","",품목마스터!$D19)</f>
        <v/>
      </c>
      <c r="E20" s="13" t="str">
        <f aca="false">IF($A20="","",IF(품목마스터!$F19="",0,품목마스터!$F19))</f>
        <v/>
      </c>
      <c r="F20" s="13" t="str">
        <f aca="false">IF($A20="","",SUMIFS(입출고내역!$G$3:$G$1002,입출고내역!$C$3:$C$1002,$A20,입출고내역!$B$3:$B$1002,"입고"))</f>
        <v/>
      </c>
      <c r="G20" s="13" t="str">
        <f aca="false">IF($A20="","",SUMIFS(입출고내역!$G$3:$G$1002,입출고내역!$C$3:$C$1002,$A20,입출고내역!$B$3:$B$1002,"출고"))</f>
        <v/>
      </c>
      <c r="H20" s="13" t="str">
        <f aca="false">IF($A20="","",$E20+SUMIFS(입출고내역!$L$3:$L$1002,입출고내역!$C$3:$C$1002,$A20))</f>
        <v/>
      </c>
      <c r="I20" s="13" t="str">
        <f aca="false">IF($A20="","",IF(품목마스터!$G19="",0,품목마스터!$G19))</f>
        <v/>
      </c>
      <c r="J20" s="20" t="str">
        <f aca="false">IF($A20="","",IF($I20=0,"기준없음",TEXT($H20/$I20,"0%")&amp;"  "&amp;REPT("■",MIN(10,ROUND($H20/$I20*10,0)))))</f>
        <v/>
      </c>
    </row>
    <row r="21" customFormat="false" ht="15" hidden="false" customHeight="true" outlineLevel="0" collapsed="false">
      <c r="A21" s="12" t="str">
        <f aca="false">IF(품목마스터!$A20="","",품목마스터!$A20)</f>
        <v/>
      </c>
      <c r="B21" s="12" t="str">
        <f aca="false">IF($A21="","",품목마스터!$B20)</f>
        <v/>
      </c>
      <c r="C21" s="12" t="str">
        <f aca="false">IF($A21="","",품목마스터!$E20)</f>
        <v/>
      </c>
      <c r="D21" s="12" t="str">
        <f aca="false">IF($A21="","",품목마스터!$D20)</f>
        <v/>
      </c>
      <c r="E21" s="13" t="str">
        <f aca="false">IF($A21="","",IF(품목마스터!$F20="",0,품목마스터!$F20))</f>
        <v/>
      </c>
      <c r="F21" s="13" t="str">
        <f aca="false">IF($A21="","",SUMIFS(입출고내역!$G$3:$G$1002,입출고내역!$C$3:$C$1002,$A21,입출고내역!$B$3:$B$1002,"입고"))</f>
        <v/>
      </c>
      <c r="G21" s="13" t="str">
        <f aca="false">IF($A21="","",SUMIFS(입출고내역!$G$3:$G$1002,입출고내역!$C$3:$C$1002,$A21,입출고내역!$B$3:$B$1002,"출고"))</f>
        <v/>
      </c>
      <c r="H21" s="13" t="str">
        <f aca="false">IF($A21="","",$E21+SUMIFS(입출고내역!$L$3:$L$1002,입출고내역!$C$3:$C$1002,$A21))</f>
        <v/>
      </c>
      <c r="I21" s="13" t="str">
        <f aca="false">IF($A21="","",IF(품목마스터!$G20="",0,품목마스터!$G20))</f>
        <v/>
      </c>
      <c r="J21" s="20" t="str">
        <f aca="false">IF($A21="","",IF($I21=0,"기준없음",TEXT($H21/$I21,"0%")&amp;"  "&amp;REPT("■",MIN(10,ROUND($H21/$I21*10,0)))))</f>
        <v/>
      </c>
    </row>
    <row r="22" customFormat="false" ht="15" hidden="false" customHeight="true" outlineLevel="0" collapsed="false">
      <c r="A22" s="12" t="str">
        <f aca="false">IF(품목마스터!$A21="","",품목마스터!$A21)</f>
        <v/>
      </c>
      <c r="B22" s="12" t="str">
        <f aca="false">IF($A22="","",품목마스터!$B21)</f>
        <v/>
      </c>
      <c r="C22" s="12" t="str">
        <f aca="false">IF($A22="","",품목마스터!$E21)</f>
        <v/>
      </c>
      <c r="D22" s="12" t="str">
        <f aca="false">IF($A22="","",품목마스터!$D21)</f>
        <v/>
      </c>
      <c r="E22" s="13" t="str">
        <f aca="false">IF($A22="","",IF(품목마스터!$F21="",0,품목마스터!$F21))</f>
        <v/>
      </c>
      <c r="F22" s="13" t="str">
        <f aca="false">IF($A22="","",SUMIFS(입출고내역!$G$3:$G$1002,입출고내역!$C$3:$C$1002,$A22,입출고내역!$B$3:$B$1002,"입고"))</f>
        <v/>
      </c>
      <c r="G22" s="13" t="str">
        <f aca="false">IF($A22="","",SUMIFS(입출고내역!$G$3:$G$1002,입출고내역!$C$3:$C$1002,$A22,입출고내역!$B$3:$B$1002,"출고"))</f>
        <v/>
      </c>
      <c r="H22" s="13" t="str">
        <f aca="false">IF($A22="","",$E22+SUMIFS(입출고내역!$L$3:$L$1002,입출고내역!$C$3:$C$1002,$A22))</f>
        <v/>
      </c>
      <c r="I22" s="13" t="str">
        <f aca="false">IF($A22="","",IF(품목마스터!$G21="",0,품목마스터!$G21))</f>
        <v/>
      </c>
      <c r="J22" s="20" t="str">
        <f aca="false">IF($A22="","",IF($I22=0,"기준없음",TEXT($H22/$I22,"0%")&amp;"  "&amp;REPT("■",MIN(10,ROUND($H22/$I22*10,0)))))</f>
        <v/>
      </c>
    </row>
    <row r="23" customFormat="false" ht="15" hidden="false" customHeight="true" outlineLevel="0" collapsed="false">
      <c r="A23" s="12" t="str">
        <f aca="false">IF(품목마스터!$A22="","",품목마스터!$A22)</f>
        <v/>
      </c>
      <c r="B23" s="12" t="str">
        <f aca="false">IF($A23="","",품목마스터!$B22)</f>
        <v/>
      </c>
      <c r="C23" s="12" t="str">
        <f aca="false">IF($A23="","",품목마스터!$E22)</f>
        <v/>
      </c>
      <c r="D23" s="12" t="str">
        <f aca="false">IF($A23="","",품목마스터!$D22)</f>
        <v/>
      </c>
      <c r="E23" s="13" t="str">
        <f aca="false">IF($A23="","",IF(품목마스터!$F22="",0,품목마스터!$F22))</f>
        <v/>
      </c>
      <c r="F23" s="13" t="str">
        <f aca="false">IF($A23="","",SUMIFS(입출고내역!$G$3:$G$1002,입출고내역!$C$3:$C$1002,$A23,입출고내역!$B$3:$B$1002,"입고"))</f>
        <v/>
      </c>
      <c r="G23" s="13" t="str">
        <f aca="false">IF($A23="","",SUMIFS(입출고내역!$G$3:$G$1002,입출고내역!$C$3:$C$1002,$A23,입출고내역!$B$3:$B$1002,"출고"))</f>
        <v/>
      </c>
      <c r="H23" s="13" t="str">
        <f aca="false">IF($A23="","",$E23+SUMIFS(입출고내역!$L$3:$L$1002,입출고내역!$C$3:$C$1002,$A23))</f>
        <v/>
      </c>
      <c r="I23" s="13" t="str">
        <f aca="false">IF($A23="","",IF(품목마스터!$G22="",0,품목마스터!$G22))</f>
        <v/>
      </c>
      <c r="J23" s="20" t="str">
        <f aca="false">IF($A23="","",IF($I23=0,"기준없음",TEXT($H23/$I23,"0%")&amp;"  "&amp;REPT("■",MIN(10,ROUND($H23/$I23*10,0)))))</f>
        <v/>
      </c>
    </row>
    <row r="24" customFormat="false" ht="15" hidden="false" customHeight="true" outlineLevel="0" collapsed="false">
      <c r="A24" s="12" t="str">
        <f aca="false">IF(품목마스터!$A23="","",품목마스터!$A23)</f>
        <v/>
      </c>
      <c r="B24" s="12" t="str">
        <f aca="false">IF($A24="","",품목마스터!$B23)</f>
        <v/>
      </c>
      <c r="C24" s="12" t="str">
        <f aca="false">IF($A24="","",품목마스터!$E23)</f>
        <v/>
      </c>
      <c r="D24" s="12" t="str">
        <f aca="false">IF($A24="","",품목마스터!$D23)</f>
        <v/>
      </c>
      <c r="E24" s="13" t="str">
        <f aca="false">IF($A24="","",IF(품목마스터!$F23="",0,품목마스터!$F23))</f>
        <v/>
      </c>
      <c r="F24" s="13" t="str">
        <f aca="false">IF($A24="","",SUMIFS(입출고내역!$G$3:$G$1002,입출고내역!$C$3:$C$1002,$A24,입출고내역!$B$3:$B$1002,"입고"))</f>
        <v/>
      </c>
      <c r="G24" s="13" t="str">
        <f aca="false">IF($A24="","",SUMIFS(입출고내역!$G$3:$G$1002,입출고내역!$C$3:$C$1002,$A24,입출고내역!$B$3:$B$1002,"출고"))</f>
        <v/>
      </c>
      <c r="H24" s="13" t="str">
        <f aca="false">IF($A24="","",$E24+SUMIFS(입출고내역!$L$3:$L$1002,입출고내역!$C$3:$C$1002,$A24))</f>
        <v/>
      </c>
      <c r="I24" s="13" t="str">
        <f aca="false">IF($A24="","",IF(품목마스터!$G23="",0,품목마스터!$G23))</f>
        <v/>
      </c>
      <c r="J24" s="20" t="str">
        <f aca="false">IF($A24="","",IF($I24=0,"기준없음",TEXT($H24/$I24,"0%")&amp;"  "&amp;REPT("■",MIN(10,ROUND($H24/$I24*10,0)))))</f>
        <v/>
      </c>
    </row>
    <row r="25" customFormat="false" ht="15" hidden="false" customHeight="true" outlineLevel="0" collapsed="false">
      <c r="A25" s="12" t="str">
        <f aca="false">IF(품목마스터!$A24="","",품목마스터!$A24)</f>
        <v/>
      </c>
      <c r="B25" s="12" t="str">
        <f aca="false">IF($A25="","",품목마스터!$B24)</f>
        <v/>
      </c>
      <c r="C25" s="12" t="str">
        <f aca="false">IF($A25="","",품목마스터!$E24)</f>
        <v/>
      </c>
      <c r="D25" s="12" t="str">
        <f aca="false">IF($A25="","",품목마스터!$D24)</f>
        <v/>
      </c>
      <c r="E25" s="13" t="str">
        <f aca="false">IF($A25="","",IF(품목마스터!$F24="",0,품목마스터!$F24))</f>
        <v/>
      </c>
      <c r="F25" s="13" t="str">
        <f aca="false">IF($A25="","",SUMIFS(입출고내역!$G$3:$G$1002,입출고내역!$C$3:$C$1002,$A25,입출고내역!$B$3:$B$1002,"입고"))</f>
        <v/>
      </c>
      <c r="G25" s="13" t="str">
        <f aca="false">IF($A25="","",SUMIFS(입출고내역!$G$3:$G$1002,입출고내역!$C$3:$C$1002,$A25,입출고내역!$B$3:$B$1002,"출고"))</f>
        <v/>
      </c>
      <c r="H25" s="13" t="str">
        <f aca="false">IF($A25="","",$E25+SUMIFS(입출고내역!$L$3:$L$1002,입출고내역!$C$3:$C$1002,$A25))</f>
        <v/>
      </c>
      <c r="I25" s="13" t="str">
        <f aca="false">IF($A25="","",IF(품목마스터!$G24="",0,품목마스터!$G24))</f>
        <v/>
      </c>
      <c r="J25" s="20" t="str">
        <f aca="false">IF($A25="","",IF($I25=0,"기준없음",TEXT($H25/$I25,"0%")&amp;"  "&amp;REPT("■",MIN(10,ROUND($H25/$I25*10,0)))))</f>
        <v/>
      </c>
    </row>
    <row r="26" customFormat="false" ht="15" hidden="false" customHeight="true" outlineLevel="0" collapsed="false">
      <c r="A26" s="12" t="str">
        <f aca="false">IF(품목마스터!$A25="","",품목마스터!$A25)</f>
        <v/>
      </c>
      <c r="B26" s="12" t="str">
        <f aca="false">IF($A26="","",품목마스터!$B25)</f>
        <v/>
      </c>
      <c r="C26" s="12" t="str">
        <f aca="false">IF($A26="","",품목마스터!$E25)</f>
        <v/>
      </c>
      <c r="D26" s="12" t="str">
        <f aca="false">IF($A26="","",품목마스터!$D25)</f>
        <v/>
      </c>
      <c r="E26" s="13" t="str">
        <f aca="false">IF($A26="","",IF(품목마스터!$F25="",0,품목마스터!$F25))</f>
        <v/>
      </c>
      <c r="F26" s="13" t="str">
        <f aca="false">IF($A26="","",SUMIFS(입출고내역!$G$3:$G$1002,입출고내역!$C$3:$C$1002,$A26,입출고내역!$B$3:$B$1002,"입고"))</f>
        <v/>
      </c>
      <c r="G26" s="13" t="str">
        <f aca="false">IF($A26="","",SUMIFS(입출고내역!$G$3:$G$1002,입출고내역!$C$3:$C$1002,$A26,입출고내역!$B$3:$B$1002,"출고"))</f>
        <v/>
      </c>
      <c r="H26" s="13" t="str">
        <f aca="false">IF($A26="","",$E26+SUMIFS(입출고내역!$L$3:$L$1002,입출고내역!$C$3:$C$1002,$A26))</f>
        <v/>
      </c>
      <c r="I26" s="13" t="str">
        <f aca="false">IF($A26="","",IF(품목마스터!$G25="",0,품목마스터!$G25))</f>
        <v/>
      </c>
      <c r="J26" s="20" t="str">
        <f aca="false">IF($A26="","",IF($I26=0,"기준없음",TEXT($H26/$I26,"0%")&amp;"  "&amp;REPT("■",MIN(10,ROUND($H26/$I26*10,0)))))</f>
        <v/>
      </c>
    </row>
    <row r="27" customFormat="false" ht="15" hidden="false" customHeight="true" outlineLevel="0" collapsed="false">
      <c r="A27" s="12" t="str">
        <f aca="false">IF(품목마스터!$A26="","",품목마스터!$A26)</f>
        <v/>
      </c>
      <c r="B27" s="12" t="str">
        <f aca="false">IF($A27="","",품목마스터!$B26)</f>
        <v/>
      </c>
      <c r="C27" s="12" t="str">
        <f aca="false">IF($A27="","",품목마스터!$E26)</f>
        <v/>
      </c>
      <c r="D27" s="12" t="str">
        <f aca="false">IF($A27="","",품목마스터!$D26)</f>
        <v/>
      </c>
      <c r="E27" s="13" t="str">
        <f aca="false">IF($A27="","",IF(품목마스터!$F26="",0,품목마스터!$F26))</f>
        <v/>
      </c>
      <c r="F27" s="13" t="str">
        <f aca="false">IF($A27="","",SUMIFS(입출고내역!$G$3:$G$1002,입출고내역!$C$3:$C$1002,$A27,입출고내역!$B$3:$B$1002,"입고"))</f>
        <v/>
      </c>
      <c r="G27" s="13" t="str">
        <f aca="false">IF($A27="","",SUMIFS(입출고내역!$G$3:$G$1002,입출고내역!$C$3:$C$1002,$A27,입출고내역!$B$3:$B$1002,"출고"))</f>
        <v/>
      </c>
      <c r="H27" s="13" t="str">
        <f aca="false">IF($A27="","",$E27+SUMIFS(입출고내역!$L$3:$L$1002,입출고내역!$C$3:$C$1002,$A27))</f>
        <v/>
      </c>
      <c r="I27" s="13" t="str">
        <f aca="false">IF($A27="","",IF(품목마스터!$G26="",0,품목마스터!$G26))</f>
        <v/>
      </c>
      <c r="J27" s="20" t="str">
        <f aca="false">IF($A27="","",IF($I27=0,"기준없음",TEXT($H27/$I27,"0%")&amp;"  "&amp;REPT("■",MIN(10,ROUND($H27/$I27*10,0)))))</f>
        <v/>
      </c>
    </row>
    <row r="28" customFormat="false" ht="15" hidden="false" customHeight="true" outlineLevel="0" collapsed="false">
      <c r="A28" s="12" t="str">
        <f aca="false">IF(품목마스터!$A27="","",품목마스터!$A27)</f>
        <v/>
      </c>
      <c r="B28" s="12" t="str">
        <f aca="false">IF($A28="","",품목마스터!$B27)</f>
        <v/>
      </c>
      <c r="C28" s="12" t="str">
        <f aca="false">IF($A28="","",품목마스터!$E27)</f>
        <v/>
      </c>
      <c r="D28" s="12" t="str">
        <f aca="false">IF($A28="","",품목마스터!$D27)</f>
        <v/>
      </c>
      <c r="E28" s="13" t="str">
        <f aca="false">IF($A28="","",IF(품목마스터!$F27="",0,품목마스터!$F27))</f>
        <v/>
      </c>
      <c r="F28" s="13" t="str">
        <f aca="false">IF($A28="","",SUMIFS(입출고내역!$G$3:$G$1002,입출고내역!$C$3:$C$1002,$A28,입출고내역!$B$3:$B$1002,"입고"))</f>
        <v/>
      </c>
      <c r="G28" s="13" t="str">
        <f aca="false">IF($A28="","",SUMIFS(입출고내역!$G$3:$G$1002,입출고내역!$C$3:$C$1002,$A28,입출고내역!$B$3:$B$1002,"출고"))</f>
        <v/>
      </c>
      <c r="H28" s="13" t="str">
        <f aca="false">IF($A28="","",$E28+SUMIFS(입출고내역!$L$3:$L$1002,입출고내역!$C$3:$C$1002,$A28))</f>
        <v/>
      </c>
      <c r="I28" s="13" t="str">
        <f aca="false">IF($A28="","",IF(품목마스터!$G27="",0,품목마스터!$G27))</f>
        <v/>
      </c>
      <c r="J28" s="20" t="str">
        <f aca="false">IF($A28="","",IF($I28=0,"기준없음",TEXT($H28/$I28,"0%")&amp;"  "&amp;REPT("■",MIN(10,ROUND($H28/$I28*10,0)))))</f>
        <v/>
      </c>
    </row>
    <row r="29" customFormat="false" ht="15" hidden="false" customHeight="true" outlineLevel="0" collapsed="false">
      <c r="A29" s="12" t="str">
        <f aca="false">IF(품목마스터!$A28="","",품목마스터!$A28)</f>
        <v/>
      </c>
      <c r="B29" s="12" t="str">
        <f aca="false">IF($A29="","",품목마스터!$B28)</f>
        <v/>
      </c>
      <c r="C29" s="12" t="str">
        <f aca="false">IF($A29="","",품목마스터!$E28)</f>
        <v/>
      </c>
      <c r="D29" s="12" t="str">
        <f aca="false">IF($A29="","",품목마스터!$D28)</f>
        <v/>
      </c>
      <c r="E29" s="13" t="str">
        <f aca="false">IF($A29="","",IF(품목마스터!$F28="",0,품목마스터!$F28))</f>
        <v/>
      </c>
      <c r="F29" s="13" t="str">
        <f aca="false">IF($A29="","",SUMIFS(입출고내역!$G$3:$G$1002,입출고내역!$C$3:$C$1002,$A29,입출고내역!$B$3:$B$1002,"입고"))</f>
        <v/>
      </c>
      <c r="G29" s="13" t="str">
        <f aca="false">IF($A29="","",SUMIFS(입출고내역!$G$3:$G$1002,입출고내역!$C$3:$C$1002,$A29,입출고내역!$B$3:$B$1002,"출고"))</f>
        <v/>
      </c>
      <c r="H29" s="13" t="str">
        <f aca="false">IF($A29="","",$E29+SUMIFS(입출고내역!$L$3:$L$1002,입출고내역!$C$3:$C$1002,$A29))</f>
        <v/>
      </c>
      <c r="I29" s="13" t="str">
        <f aca="false">IF($A29="","",IF(품목마스터!$G28="",0,품목마스터!$G28))</f>
        <v/>
      </c>
      <c r="J29" s="20" t="str">
        <f aca="false">IF($A29="","",IF($I29=0,"기준없음",TEXT($H29/$I29,"0%")&amp;"  "&amp;REPT("■",MIN(10,ROUND($H29/$I29*10,0)))))</f>
        <v/>
      </c>
    </row>
    <row r="30" customFormat="false" ht="15" hidden="false" customHeight="true" outlineLevel="0" collapsed="false">
      <c r="A30" s="12" t="str">
        <f aca="false">IF(품목마스터!$A29="","",품목마스터!$A29)</f>
        <v/>
      </c>
      <c r="B30" s="12" t="str">
        <f aca="false">IF($A30="","",품목마스터!$B29)</f>
        <v/>
      </c>
      <c r="C30" s="12" t="str">
        <f aca="false">IF($A30="","",품목마스터!$E29)</f>
        <v/>
      </c>
      <c r="D30" s="12" t="str">
        <f aca="false">IF($A30="","",품목마스터!$D29)</f>
        <v/>
      </c>
      <c r="E30" s="13" t="str">
        <f aca="false">IF($A30="","",IF(품목마스터!$F29="",0,품목마스터!$F29))</f>
        <v/>
      </c>
      <c r="F30" s="13" t="str">
        <f aca="false">IF($A30="","",SUMIFS(입출고내역!$G$3:$G$1002,입출고내역!$C$3:$C$1002,$A30,입출고내역!$B$3:$B$1002,"입고"))</f>
        <v/>
      </c>
      <c r="G30" s="13" t="str">
        <f aca="false">IF($A30="","",SUMIFS(입출고내역!$G$3:$G$1002,입출고내역!$C$3:$C$1002,$A30,입출고내역!$B$3:$B$1002,"출고"))</f>
        <v/>
      </c>
      <c r="H30" s="13" t="str">
        <f aca="false">IF($A30="","",$E30+SUMIFS(입출고내역!$L$3:$L$1002,입출고내역!$C$3:$C$1002,$A30))</f>
        <v/>
      </c>
      <c r="I30" s="13" t="str">
        <f aca="false">IF($A30="","",IF(품목마스터!$G29="",0,품목마스터!$G29))</f>
        <v/>
      </c>
      <c r="J30" s="20" t="str">
        <f aca="false">IF($A30="","",IF($I30=0,"기준없음",TEXT($H30/$I30,"0%")&amp;"  "&amp;REPT("■",MIN(10,ROUND($H30/$I30*10,0)))))</f>
        <v/>
      </c>
    </row>
    <row r="31" customFormat="false" ht="15" hidden="false" customHeight="true" outlineLevel="0" collapsed="false">
      <c r="A31" s="12" t="str">
        <f aca="false">IF(품목마스터!$A30="","",품목마스터!$A30)</f>
        <v/>
      </c>
      <c r="B31" s="12" t="str">
        <f aca="false">IF($A31="","",품목마스터!$B30)</f>
        <v/>
      </c>
      <c r="C31" s="12" t="str">
        <f aca="false">IF($A31="","",품목마스터!$E30)</f>
        <v/>
      </c>
      <c r="D31" s="12" t="str">
        <f aca="false">IF($A31="","",품목마스터!$D30)</f>
        <v/>
      </c>
      <c r="E31" s="13" t="str">
        <f aca="false">IF($A31="","",IF(품목마스터!$F30="",0,품목마스터!$F30))</f>
        <v/>
      </c>
      <c r="F31" s="13" t="str">
        <f aca="false">IF($A31="","",SUMIFS(입출고내역!$G$3:$G$1002,입출고내역!$C$3:$C$1002,$A31,입출고내역!$B$3:$B$1002,"입고"))</f>
        <v/>
      </c>
      <c r="G31" s="13" t="str">
        <f aca="false">IF($A31="","",SUMIFS(입출고내역!$G$3:$G$1002,입출고내역!$C$3:$C$1002,$A31,입출고내역!$B$3:$B$1002,"출고"))</f>
        <v/>
      </c>
      <c r="H31" s="13" t="str">
        <f aca="false">IF($A31="","",$E31+SUMIFS(입출고내역!$L$3:$L$1002,입출고내역!$C$3:$C$1002,$A31))</f>
        <v/>
      </c>
      <c r="I31" s="13" t="str">
        <f aca="false">IF($A31="","",IF(품목마스터!$G30="",0,품목마스터!$G30))</f>
        <v/>
      </c>
      <c r="J31" s="20" t="str">
        <f aca="false">IF($A31="","",IF($I31=0,"기준없음",TEXT($H31/$I31,"0%")&amp;"  "&amp;REPT("■",MIN(10,ROUND($H31/$I31*10,0)))))</f>
        <v/>
      </c>
    </row>
    <row r="32" customFormat="false" ht="15" hidden="false" customHeight="true" outlineLevel="0" collapsed="false">
      <c r="A32" s="12" t="str">
        <f aca="false">IF(품목마스터!$A31="","",품목마스터!$A31)</f>
        <v/>
      </c>
      <c r="B32" s="12" t="str">
        <f aca="false">IF($A32="","",품목마스터!$B31)</f>
        <v/>
      </c>
      <c r="C32" s="12" t="str">
        <f aca="false">IF($A32="","",품목마스터!$E31)</f>
        <v/>
      </c>
      <c r="D32" s="12" t="str">
        <f aca="false">IF($A32="","",품목마스터!$D31)</f>
        <v/>
      </c>
      <c r="E32" s="13" t="str">
        <f aca="false">IF($A32="","",IF(품목마스터!$F31="",0,품목마스터!$F31))</f>
        <v/>
      </c>
      <c r="F32" s="13" t="str">
        <f aca="false">IF($A32="","",SUMIFS(입출고내역!$G$3:$G$1002,입출고내역!$C$3:$C$1002,$A32,입출고내역!$B$3:$B$1002,"입고"))</f>
        <v/>
      </c>
      <c r="G32" s="13" t="str">
        <f aca="false">IF($A32="","",SUMIFS(입출고내역!$G$3:$G$1002,입출고내역!$C$3:$C$1002,$A32,입출고내역!$B$3:$B$1002,"출고"))</f>
        <v/>
      </c>
      <c r="H32" s="13" t="str">
        <f aca="false">IF($A32="","",$E32+SUMIFS(입출고내역!$L$3:$L$1002,입출고내역!$C$3:$C$1002,$A32))</f>
        <v/>
      </c>
      <c r="I32" s="13" t="str">
        <f aca="false">IF($A32="","",IF(품목마스터!$G31="",0,품목마스터!$G31))</f>
        <v/>
      </c>
      <c r="J32" s="20" t="str">
        <f aca="false">IF($A32="","",IF($I32=0,"기준없음",TEXT($H32/$I32,"0%")&amp;"  "&amp;REPT("■",MIN(10,ROUND($H32/$I32*10,0)))))</f>
        <v/>
      </c>
    </row>
    <row r="33" customFormat="false" ht="15" hidden="false" customHeight="true" outlineLevel="0" collapsed="false">
      <c r="A33" s="12" t="str">
        <f aca="false">IF(품목마스터!$A32="","",품목마스터!$A32)</f>
        <v/>
      </c>
      <c r="B33" s="12" t="str">
        <f aca="false">IF($A33="","",품목마스터!$B32)</f>
        <v/>
      </c>
      <c r="C33" s="12" t="str">
        <f aca="false">IF($A33="","",품목마스터!$E32)</f>
        <v/>
      </c>
      <c r="D33" s="12" t="str">
        <f aca="false">IF($A33="","",품목마스터!$D32)</f>
        <v/>
      </c>
      <c r="E33" s="13" t="str">
        <f aca="false">IF($A33="","",IF(품목마스터!$F32="",0,품목마스터!$F32))</f>
        <v/>
      </c>
      <c r="F33" s="13" t="str">
        <f aca="false">IF($A33="","",SUMIFS(입출고내역!$G$3:$G$1002,입출고내역!$C$3:$C$1002,$A33,입출고내역!$B$3:$B$1002,"입고"))</f>
        <v/>
      </c>
      <c r="G33" s="13" t="str">
        <f aca="false">IF($A33="","",SUMIFS(입출고내역!$G$3:$G$1002,입출고내역!$C$3:$C$1002,$A33,입출고내역!$B$3:$B$1002,"출고"))</f>
        <v/>
      </c>
      <c r="H33" s="13" t="str">
        <f aca="false">IF($A33="","",$E33+SUMIFS(입출고내역!$L$3:$L$1002,입출고내역!$C$3:$C$1002,$A33))</f>
        <v/>
      </c>
      <c r="I33" s="13" t="str">
        <f aca="false">IF($A33="","",IF(품목마스터!$G32="",0,품목마스터!$G32))</f>
        <v/>
      </c>
      <c r="J33" s="20" t="str">
        <f aca="false">IF($A33="","",IF($I33=0,"기준없음",TEXT($H33/$I33,"0%")&amp;"  "&amp;REPT("■",MIN(10,ROUND($H33/$I33*10,0)))))</f>
        <v/>
      </c>
    </row>
    <row r="34" customFormat="false" ht="15" hidden="false" customHeight="true" outlineLevel="0" collapsed="false">
      <c r="A34" s="12" t="str">
        <f aca="false">IF(품목마스터!$A33="","",품목마스터!$A33)</f>
        <v/>
      </c>
      <c r="B34" s="12" t="str">
        <f aca="false">IF($A34="","",품목마스터!$B33)</f>
        <v/>
      </c>
      <c r="C34" s="12" t="str">
        <f aca="false">IF($A34="","",품목마스터!$E33)</f>
        <v/>
      </c>
      <c r="D34" s="12" t="str">
        <f aca="false">IF($A34="","",품목마스터!$D33)</f>
        <v/>
      </c>
      <c r="E34" s="13" t="str">
        <f aca="false">IF($A34="","",IF(품목마스터!$F33="",0,품목마스터!$F33))</f>
        <v/>
      </c>
      <c r="F34" s="13" t="str">
        <f aca="false">IF($A34="","",SUMIFS(입출고내역!$G$3:$G$1002,입출고내역!$C$3:$C$1002,$A34,입출고내역!$B$3:$B$1002,"입고"))</f>
        <v/>
      </c>
      <c r="G34" s="13" t="str">
        <f aca="false">IF($A34="","",SUMIFS(입출고내역!$G$3:$G$1002,입출고내역!$C$3:$C$1002,$A34,입출고내역!$B$3:$B$1002,"출고"))</f>
        <v/>
      </c>
      <c r="H34" s="13" t="str">
        <f aca="false">IF($A34="","",$E34+SUMIFS(입출고내역!$L$3:$L$1002,입출고내역!$C$3:$C$1002,$A34))</f>
        <v/>
      </c>
      <c r="I34" s="13" t="str">
        <f aca="false">IF($A34="","",IF(품목마스터!$G33="",0,품목마스터!$G33))</f>
        <v/>
      </c>
      <c r="J34" s="20" t="str">
        <f aca="false">IF($A34="","",IF($I34=0,"기준없음",TEXT($H34/$I34,"0%")&amp;"  "&amp;REPT("■",MIN(10,ROUND($H34/$I34*10,0)))))</f>
        <v/>
      </c>
    </row>
    <row r="35" customFormat="false" ht="15" hidden="false" customHeight="true" outlineLevel="0" collapsed="false">
      <c r="A35" s="12" t="str">
        <f aca="false">IF(품목마스터!$A34="","",품목마스터!$A34)</f>
        <v/>
      </c>
      <c r="B35" s="12" t="str">
        <f aca="false">IF($A35="","",품목마스터!$B34)</f>
        <v/>
      </c>
      <c r="C35" s="12" t="str">
        <f aca="false">IF($A35="","",품목마스터!$E34)</f>
        <v/>
      </c>
      <c r="D35" s="12" t="str">
        <f aca="false">IF($A35="","",품목마스터!$D34)</f>
        <v/>
      </c>
      <c r="E35" s="13" t="str">
        <f aca="false">IF($A35="","",IF(품목마스터!$F34="",0,품목마스터!$F34))</f>
        <v/>
      </c>
      <c r="F35" s="13" t="str">
        <f aca="false">IF($A35="","",SUMIFS(입출고내역!$G$3:$G$1002,입출고내역!$C$3:$C$1002,$A35,입출고내역!$B$3:$B$1002,"입고"))</f>
        <v/>
      </c>
      <c r="G35" s="13" t="str">
        <f aca="false">IF($A35="","",SUMIFS(입출고내역!$G$3:$G$1002,입출고내역!$C$3:$C$1002,$A35,입출고내역!$B$3:$B$1002,"출고"))</f>
        <v/>
      </c>
      <c r="H35" s="13" t="str">
        <f aca="false">IF($A35="","",$E35+SUMIFS(입출고내역!$L$3:$L$1002,입출고내역!$C$3:$C$1002,$A35))</f>
        <v/>
      </c>
      <c r="I35" s="13" t="str">
        <f aca="false">IF($A35="","",IF(품목마스터!$G34="",0,품목마스터!$G34))</f>
        <v/>
      </c>
      <c r="J35" s="20" t="str">
        <f aca="false">IF($A35="","",IF($I35=0,"기준없음",TEXT($H35/$I35,"0%")&amp;"  "&amp;REPT("■",MIN(10,ROUND($H35/$I35*10,0)))))</f>
        <v/>
      </c>
    </row>
    <row r="36" customFormat="false" ht="15" hidden="false" customHeight="true" outlineLevel="0" collapsed="false">
      <c r="A36" s="12" t="str">
        <f aca="false">IF(품목마스터!$A35="","",품목마스터!$A35)</f>
        <v/>
      </c>
      <c r="B36" s="12" t="str">
        <f aca="false">IF($A36="","",품목마스터!$B35)</f>
        <v/>
      </c>
      <c r="C36" s="12" t="str">
        <f aca="false">IF($A36="","",품목마스터!$E35)</f>
        <v/>
      </c>
      <c r="D36" s="12" t="str">
        <f aca="false">IF($A36="","",품목마스터!$D35)</f>
        <v/>
      </c>
      <c r="E36" s="13" t="str">
        <f aca="false">IF($A36="","",IF(품목마스터!$F35="",0,품목마스터!$F35))</f>
        <v/>
      </c>
      <c r="F36" s="13" t="str">
        <f aca="false">IF($A36="","",SUMIFS(입출고내역!$G$3:$G$1002,입출고내역!$C$3:$C$1002,$A36,입출고내역!$B$3:$B$1002,"입고"))</f>
        <v/>
      </c>
      <c r="G36" s="13" t="str">
        <f aca="false">IF($A36="","",SUMIFS(입출고내역!$G$3:$G$1002,입출고내역!$C$3:$C$1002,$A36,입출고내역!$B$3:$B$1002,"출고"))</f>
        <v/>
      </c>
      <c r="H36" s="13" t="str">
        <f aca="false">IF($A36="","",$E36+SUMIFS(입출고내역!$L$3:$L$1002,입출고내역!$C$3:$C$1002,$A36))</f>
        <v/>
      </c>
      <c r="I36" s="13" t="str">
        <f aca="false">IF($A36="","",IF(품목마스터!$G35="",0,품목마스터!$G35))</f>
        <v/>
      </c>
      <c r="J36" s="20" t="str">
        <f aca="false">IF($A36="","",IF($I36=0,"기준없음",TEXT($H36/$I36,"0%")&amp;"  "&amp;REPT("■",MIN(10,ROUND($H36/$I36*10,0)))))</f>
        <v/>
      </c>
    </row>
    <row r="37" customFormat="false" ht="15" hidden="false" customHeight="true" outlineLevel="0" collapsed="false">
      <c r="A37" s="12" t="str">
        <f aca="false">IF(품목마스터!$A36="","",품목마스터!$A36)</f>
        <v/>
      </c>
      <c r="B37" s="12" t="str">
        <f aca="false">IF($A37="","",품목마스터!$B36)</f>
        <v/>
      </c>
      <c r="C37" s="12" t="str">
        <f aca="false">IF($A37="","",품목마스터!$E36)</f>
        <v/>
      </c>
      <c r="D37" s="12" t="str">
        <f aca="false">IF($A37="","",품목마스터!$D36)</f>
        <v/>
      </c>
      <c r="E37" s="13" t="str">
        <f aca="false">IF($A37="","",IF(품목마스터!$F36="",0,품목마스터!$F36))</f>
        <v/>
      </c>
      <c r="F37" s="13" t="str">
        <f aca="false">IF($A37="","",SUMIFS(입출고내역!$G$3:$G$1002,입출고내역!$C$3:$C$1002,$A37,입출고내역!$B$3:$B$1002,"입고"))</f>
        <v/>
      </c>
      <c r="G37" s="13" t="str">
        <f aca="false">IF($A37="","",SUMIFS(입출고내역!$G$3:$G$1002,입출고내역!$C$3:$C$1002,$A37,입출고내역!$B$3:$B$1002,"출고"))</f>
        <v/>
      </c>
      <c r="H37" s="13" t="str">
        <f aca="false">IF($A37="","",$E37+SUMIFS(입출고내역!$L$3:$L$1002,입출고내역!$C$3:$C$1002,$A37))</f>
        <v/>
      </c>
      <c r="I37" s="13" t="str">
        <f aca="false">IF($A37="","",IF(품목마스터!$G36="",0,품목마스터!$G36))</f>
        <v/>
      </c>
      <c r="J37" s="20" t="str">
        <f aca="false">IF($A37="","",IF($I37=0,"기준없음",TEXT($H37/$I37,"0%")&amp;"  "&amp;REPT("■",MIN(10,ROUND($H37/$I37*10,0)))))</f>
        <v/>
      </c>
    </row>
    <row r="38" customFormat="false" ht="15" hidden="false" customHeight="true" outlineLevel="0" collapsed="false">
      <c r="A38" s="12" t="str">
        <f aca="false">IF(품목마스터!$A37="","",품목마스터!$A37)</f>
        <v/>
      </c>
      <c r="B38" s="12" t="str">
        <f aca="false">IF($A38="","",품목마스터!$B37)</f>
        <v/>
      </c>
      <c r="C38" s="12" t="str">
        <f aca="false">IF($A38="","",품목마스터!$E37)</f>
        <v/>
      </c>
      <c r="D38" s="12" t="str">
        <f aca="false">IF($A38="","",품목마스터!$D37)</f>
        <v/>
      </c>
      <c r="E38" s="13" t="str">
        <f aca="false">IF($A38="","",IF(품목마스터!$F37="",0,품목마스터!$F37))</f>
        <v/>
      </c>
      <c r="F38" s="13" t="str">
        <f aca="false">IF($A38="","",SUMIFS(입출고내역!$G$3:$G$1002,입출고내역!$C$3:$C$1002,$A38,입출고내역!$B$3:$B$1002,"입고"))</f>
        <v/>
      </c>
      <c r="G38" s="13" t="str">
        <f aca="false">IF($A38="","",SUMIFS(입출고내역!$G$3:$G$1002,입출고내역!$C$3:$C$1002,$A38,입출고내역!$B$3:$B$1002,"출고"))</f>
        <v/>
      </c>
      <c r="H38" s="13" t="str">
        <f aca="false">IF($A38="","",$E38+SUMIFS(입출고내역!$L$3:$L$1002,입출고내역!$C$3:$C$1002,$A38))</f>
        <v/>
      </c>
      <c r="I38" s="13" t="str">
        <f aca="false">IF($A38="","",IF(품목마스터!$G37="",0,품목마스터!$G37))</f>
        <v/>
      </c>
      <c r="J38" s="20" t="str">
        <f aca="false">IF($A38="","",IF($I38=0,"기준없음",TEXT($H38/$I38,"0%")&amp;"  "&amp;REPT("■",MIN(10,ROUND($H38/$I38*10,0)))))</f>
        <v/>
      </c>
    </row>
    <row r="39" customFormat="false" ht="15" hidden="false" customHeight="true" outlineLevel="0" collapsed="false">
      <c r="A39" s="12" t="str">
        <f aca="false">IF(품목마스터!$A38="","",품목마스터!$A38)</f>
        <v/>
      </c>
      <c r="B39" s="12" t="str">
        <f aca="false">IF($A39="","",품목마스터!$B38)</f>
        <v/>
      </c>
      <c r="C39" s="12" t="str">
        <f aca="false">IF($A39="","",품목마스터!$E38)</f>
        <v/>
      </c>
      <c r="D39" s="12" t="str">
        <f aca="false">IF($A39="","",품목마스터!$D38)</f>
        <v/>
      </c>
      <c r="E39" s="13" t="str">
        <f aca="false">IF($A39="","",IF(품목마스터!$F38="",0,품목마스터!$F38))</f>
        <v/>
      </c>
      <c r="F39" s="13" t="str">
        <f aca="false">IF($A39="","",SUMIFS(입출고내역!$G$3:$G$1002,입출고내역!$C$3:$C$1002,$A39,입출고내역!$B$3:$B$1002,"입고"))</f>
        <v/>
      </c>
      <c r="G39" s="13" t="str">
        <f aca="false">IF($A39="","",SUMIFS(입출고내역!$G$3:$G$1002,입출고내역!$C$3:$C$1002,$A39,입출고내역!$B$3:$B$1002,"출고"))</f>
        <v/>
      </c>
      <c r="H39" s="13" t="str">
        <f aca="false">IF($A39="","",$E39+SUMIFS(입출고내역!$L$3:$L$1002,입출고내역!$C$3:$C$1002,$A39))</f>
        <v/>
      </c>
      <c r="I39" s="13" t="str">
        <f aca="false">IF($A39="","",IF(품목마스터!$G38="",0,품목마스터!$G38))</f>
        <v/>
      </c>
      <c r="J39" s="20" t="str">
        <f aca="false">IF($A39="","",IF($I39=0,"기준없음",TEXT($H39/$I39,"0%")&amp;"  "&amp;REPT("■",MIN(10,ROUND($H39/$I39*10,0)))))</f>
        <v/>
      </c>
    </row>
    <row r="40" customFormat="false" ht="15" hidden="false" customHeight="true" outlineLevel="0" collapsed="false">
      <c r="A40" s="12" t="str">
        <f aca="false">IF(품목마스터!$A39="","",품목마스터!$A39)</f>
        <v/>
      </c>
      <c r="B40" s="12" t="str">
        <f aca="false">IF($A40="","",품목마스터!$B39)</f>
        <v/>
      </c>
      <c r="C40" s="12" t="str">
        <f aca="false">IF($A40="","",품목마스터!$E39)</f>
        <v/>
      </c>
      <c r="D40" s="12" t="str">
        <f aca="false">IF($A40="","",품목마스터!$D39)</f>
        <v/>
      </c>
      <c r="E40" s="13" t="str">
        <f aca="false">IF($A40="","",IF(품목마스터!$F39="",0,품목마스터!$F39))</f>
        <v/>
      </c>
      <c r="F40" s="13" t="str">
        <f aca="false">IF($A40="","",SUMIFS(입출고내역!$G$3:$G$1002,입출고내역!$C$3:$C$1002,$A40,입출고내역!$B$3:$B$1002,"입고"))</f>
        <v/>
      </c>
      <c r="G40" s="13" t="str">
        <f aca="false">IF($A40="","",SUMIFS(입출고내역!$G$3:$G$1002,입출고내역!$C$3:$C$1002,$A40,입출고내역!$B$3:$B$1002,"출고"))</f>
        <v/>
      </c>
      <c r="H40" s="13" t="str">
        <f aca="false">IF($A40="","",$E40+SUMIFS(입출고내역!$L$3:$L$1002,입출고내역!$C$3:$C$1002,$A40))</f>
        <v/>
      </c>
      <c r="I40" s="13" t="str">
        <f aca="false">IF($A40="","",IF(품목마스터!$G39="",0,품목마스터!$G39))</f>
        <v/>
      </c>
      <c r="J40" s="20" t="str">
        <f aca="false">IF($A40="","",IF($I40=0,"기준없음",TEXT($H40/$I40,"0%")&amp;"  "&amp;REPT("■",MIN(10,ROUND($H40/$I40*10,0)))))</f>
        <v/>
      </c>
    </row>
    <row r="41" customFormat="false" ht="15" hidden="false" customHeight="true" outlineLevel="0" collapsed="false">
      <c r="A41" s="12" t="str">
        <f aca="false">IF(품목마스터!$A40="","",품목마스터!$A40)</f>
        <v/>
      </c>
      <c r="B41" s="12" t="str">
        <f aca="false">IF($A41="","",품목마스터!$B40)</f>
        <v/>
      </c>
      <c r="C41" s="12" t="str">
        <f aca="false">IF($A41="","",품목마스터!$E40)</f>
        <v/>
      </c>
      <c r="D41" s="12" t="str">
        <f aca="false">IF($A41="","",품목마스터!$D40)</f>
        <v/>
      </c>
      <c r="E41" s="13" t="str">
        <f aca="false">IF($A41="","",IF(품목마스터!$F40="",0,품목마스터!$F40))</f>
        <v/>
      </c>
      <c r="F41" s="13" t="str">
        <f aca="false">IF($A41="","",SUMIFS(입출고내역!$G$3:$G$1002,입출고내역!$C$3:$C$1002,$A41,입출고내역!$B$3:$B$1002,"입고"))</f>
        <v/>
      </c>
      <c r="G41" s="13" t="str">
        <f aca="false">IF($A41="","",SUMIFS(입출고내역!$G$3:$G$1002,입출고내역!$C$3:$C$1002,$A41,입출고내역!$B$3:$B$1002,"출고"))</f>
        <v/>
      </c>
      <c r="H41" s="13" t="str">
        <f aca="false">IF($A41="","",$E41+SUMIFS(입출고내역!$L$3:$L$1002,입출고내역!$C$3:$C$1002,$A41))</f>
        <v/>
      </c>
      <c r="I41" s="13" t="str">
        <f aca="false">IF($A41="","",IF(품목마스터!$G40="",0,품목마스터!$G40))</f>
        <v/>
      </c>
      <c r="J41" s="20" t="str">
        <f aca="false">IF($A41="","",IF($I41=0,"기준없음",TEXT($H41/$I41,"0%")&amp;"  "&amp;REPT("■",MIN(10,ROUND($H41/$I41*10,0)))))</f>
        <v/>
      </c>
    </row>
    <row r="42" customFormat="false" ht="15" hidden="false" customHeight="true" outlineLevel="0" collapsed="false">
      <c r="A42" s="12" t="str">
        <f aca="false">IF(품목마스터!$A41="","",품목마스터!$A41)</f>
        <v/>
      </c>
      <c r="B42" s="12" t="str">
        <f aca="false">IF($A42="","",품목마스터!$B41)</f>
        <v/>
      </c>
      <c r="C42" s="12" t="str">
        <f aca="false">IF($A42="","",품목마스터!$E41)</f>
        <v/>
      </c>
      <c r="D42" s="12" t="str">
        <f aca="false">IF($A42="","",품목마스터!$D41)</f>
        <v/>
      </c>
      <c r="E42" s="13" t="str">
        <f aca="false">IF($A42="","",IF(품목마스터!$F41="",0,품목마스터!$F41))</f>
        <v/>
      </c>
      <c r="F42" s="13" t="str">
        <f aca="false">IF($A42="","",SUMIFS(입출고내역!$G$3:$G$1002,입출고내역!$C$3:$C$1002,$A42,입출고내역!$B$3:$B$1002,"입고"))</f>
        <v/>
      </c>
      <c r="G42" s="13" t="str">
        <f aca="false">IF($A42="","",SUMIFS(입출고내역!$G$3:$G$1002,입출고내역!$C$3:$C$1002,$A42,입출고내역!$B$3:$B$1002,"출고"))</f>
        <v/>
      </c>
      <c r="H42" s="13" t="str">
        <f aca="false">IF($A42="","",$E42+SUMIFS(입출고내역!$L$3:$L$1002,입출고내역!$C$3:$C$1002,$A42))</f>
        <v/>
      </c>
      <c r="I42" s="13" t="str">
        <f aca="false">IF($A42="","",IF(품목마스터!$G41="",0,품목마스터!$G41))</f>
        <v/>
      </c>
      <c r="J42" s="20" t="str">
        <f aca="false">IF($A42="","",IF($I42=0,"기준없음",TEXT($H42/$I42,"0%")&amp;"  "&amp;REPT("■",MIN(10,ROUND($H42/$I42*10,0)))))</f>
        <v/>
      </c>
    </row>
    <row r="43" customFormat="false" ht="15" hidden="false" customHeight="true" outlineLevel="0" collapsed="false">
      <c r="A43" s="12" t="str">
        <f aca="false">IF(품목마스터!$A42="","",품목마스터!$A42)</f>
        <v/>
      </c>
      <c r="B43" s="12" t="str">
        <f aca="false">IF($A43="","",품목마스터!$B42)</f>
        <v/>
      </c>
      <c r="C43" s="12" t="str">
        <f aca="false">IF($A43="","",품목마스터!$E42)</f>
        <v/>
      </c>
      <c r="D43" s="12" t="str">
        <f aca="false">IF($A43="","",품목마스터!$D42)</f>
        <v/>
      </c>
      <c r="E43" s="13" t="str">
        <f aca="false">IF($A43="","",IF(품목마스터!$F42="",0,품목마스터!$F42))</f>
        <v/>
      </c>
      <c r="F43" s="13" t="str">
        <f aca="false">IF($A43="","",SUMIFS(입출고내역!$G$3:$G$1002,입출고내역!$C$3:$C$1002,$A43,입출고내역!$B$3:$B$1002,"입고"))</f>
        <v/>
      </c>
      <c r="G43" s="13" t="str">
        <f aca="false">IF($A43="","",SUMIFS(입출고내역!$G$3:$G$1002,입출고내역!$C$3:$C$1002,$A43,입출고내역!$B$3:$B$1002,"출고"))</f>
        <v/>
      </c>
      <c r="H43" s="13" t="str">
        <f aca="false">IF($A43="","",$E43+SUMIFS(입출고내역!$L$3:$L$1002,입출고내역!$C$3:$C$1002,$A43))</f>
        <v/>
      </c>
      <c r="I43" s="13" t="str">
        <f aca="false">IF($A43="","",IF(품목마스터!$G42="",0,품목마스터!$G42))</f>
        <v/>
      </c>
      <c r="J43" s="20" t="str">
        <f aca="false">IF($A43="","",IF($I43=0,"기준없음",TEXT($H43/$I43,"0%")&amp;"  "&amp;REPT("■",MIN(10,ROUND($H43/$I43*10,0)))))</f>
        <v/>
      </c>
    </row>
    <row r="44" customFormat="false" ht="15" hidden="false" customHeight="true" outlineLevel="0" collapsed="false">
      <c r="A44" s="12" t="str">
        <f aca="false">IF(품목마스터!$A43="","",품목마스터!$A43)</f>
        <v/>
      </c>
      <c r="B44" s="12" t="str">
        <f aca="false">IF($A44="","",품목마스터!$B43)</f>
        <v/>
      </c>
      <c r="C44" s="12" t="str">
        <f aca="false">IF($A44="","",품목마스터!$E43)</f>
        <v/>
      </c>
      <c r="D44" s="12" t="str">
        <f aca="false">IF($A44="","",품목마스터!$D43)</f>
        <v/>
      </c>
      <c r="E44" s="13" t="str">
        <f aca="false">IF($A44="","",IF(품목마스터!$F43="",0,품목마스터!$F43))</f>
        <v/>
      </c>
      <c r="F44" s="13" t="str">
        <f aca="false">IF($A44="","",SUMIFS(입출고내역!$G$3:$G$1002,입출고내역!$C$3:$C$1002,$A44,입출고내역!$B$3:$B$1002,"입고"))</f>
        <v/>
      </c>
      <c r="G44" s="13" t="str">
        <f aca="false">IF($A44="","",SUMIFS(입출고내역!$G$3:$G$1002,입출고내역!$C$3:$C$1002,$A44,입출고내역!$B$3:$B$1002,"출고"))</f>
        <v/>
      </c>
      <c r="H44" s="13" t="str">
        <f aca="false">IF($A44="","",$E44+SUMIFS(입출고내역!$L$3:$L$1002,입출고내역!$C$3:$C$1002,$A44))</f>
        <v/>
      </c>
      <c r="I44" s="13" t="str">
        <f aca="false">IF($A44="","",IF(품목마스터!$G43="",0,품목마스터!$G43))</f>
        <v/>
      </c>
      <c r="J44" s="20" t="str">
        <f aca="false">IF($A44="","",IF($I44=0,"기준없음",TEXT($H44/$I44,"0%")&amp;"  "&amp;REPT("■",MIN(10,ROUND($H44/$I44*10,0)))))</f>
        <v/>
      </c>
    </row>
    <row r="45" customFormat="false" ht="15" hidden="false" customHeight="true" outlineLevel="0" collapsed="false">
      <c r="A45" s="12" t="str">
        <f aca="false">IF(품목마스터!$A44="","",품목마스터!$A44)</f>
        <v/>
      </c>
      <c r="B45" s="12" t="str">
        <f aca="false">IF($A45="","",품목마스터!$B44)</f>
        <v/>
      </c>
      <c r="C45" s="12" t="str">
        <f aca="false">IF($A45="","",품목마스터!$E44)</f>
        <v/>
      </c>
      <c r="D45" s="12" t="str">
        <f aca="false">IF($A45="","",품목마스터!$D44)</f>
        <v/>
      </c>
      <c r="E45" s="13" t="str">
        <f aca="false">IF($A45="","",IF(품목마스터!$F44="",0,품목마스터!$F44))</f>
        <v/>
      </c>
      <c r="F45" s="13" t="str">
        <f aca="false">IF($A45="","",SUMIFS(입출고내역!$G$3:$G$1002,입출고내역!$C$3:$C$1002,$A45,입출고내역!$B$3:$B$1002,"입고"))</f>
        <v/>
      </c>
      <c r="G45" s="13" t="str">
        <f aca="false">IF($A45="","",SUMIFS(입출고내역!$G$3:$G$1002,입출고내역!$C$3:$C$1002,$A45,입출고내역!$B$3:$B$1002,"출고"))</f>
        <v/>
      </c>
      <c r="H45" s="13" t="str">
        <f aca="false">IF($A45="","",$E45+SUMIFS(입출고내역!$L$3:$L$1002,입출고내역!$C$3:$C$1002,$A45))</f>
        <v/>
      </c>
      <c r="I45" s="13" t="str">
        <f aca="false">IF($A45="","",IF(품목마스터!$G44="",0,품목마스터!$G44))</f>
        <v/>
      </c>
      <c r="J45" s="20" t="str">
        <f aca="false">IF($A45="","",IF($I45=0,"기준없음",TEXT($H45/$I45,"0%")&amp;"  "&amp;REPT("■",MIN(10,ROUND($H45/$I45*10,0)))))</f>
        <v/>
      </c>
    </row>
    <row r="46" customFormat="false" ht="15" hidden="false" customHeight="true" outlineLevel="0" collapsed="false">
      <c r="A46" s="12" t="str">
        <f aca="false">IF(품목마스터!$A45="","",품목마스터!$A45)</f>
        <v/>
      </c>
      <c r="B46" s="12" t="str">
        <f aca="false">IF($A46="","",품목마스터!$B45)</f>
        <v/>
      </c>
      <c r="C46" s="12" t="str">
        <f aca="false">IF($A46="","",품목마스터!$E45)</f>
        <v/>
      </c>
      <c r="D46" s="12" t="str">
        <f aca="false">IF($A46="","",품목마스터!$D45)</f>
        <v/>
      </c>
      <c r="E46" s="13" t="str">
        <f aca="false">IF($A46="","",IF(품목마스터!$F45="",0,품목마스터!$F45))</f>
        <v/>
      </c>
      <c r="F46" s="13" t="str">
        <f aca="false">IF($A46="","",SUMIFS(입출고내역!$G$3:$G$1002,입출고내역!$C$3:$C$1002,$A46,입출고내역!$B$3:$B$1002,"입고"))</f>
        <v/>
      </c>
      <c r="G46" s="13" t="str">
        <f aca="false">IF($A46="","",SUMIFS(입출고내역!$G$3:$G$1002,입출고내역!$C$3:$C$1002,$A46,입출고내역!$B$3:$B$1002,"출고"))</f>
        <v/>
      </c>
      <c r="H46" s="13" t="str">
        <f aca="false">IF($A46="","",$E46+SUMIFS(입출고내역!$L$3:$L$1002,입출고내역!$C$3:$C$1002,$A46))</f>
        <v/>
      </c>
      <c r="I46" s="13" t="str">
        <f aca="false">IF($A46="","",IF(품목마스터!$G45="",0,품목마스터!$G45))</f>
        <v/>
      </c>
      <c r="J46" s="20" t="str">
        <f aca="false">IF($A46="","",IF($I46=0,"기준없음",TEXT($H46/$I46,"0%")&amp;"  "&amp;REPT("■",MIN(10,ROUND($H46/$I46*10,0)))))</f>
        <v/>
      </c>
    </row>
    <row r="47" customFormat="false" ht="15" hidden="false" customHeight="true" outlineLevel="0" collapsed="false">
      <c r="A47" s="12" t="str">
        <f aca="false">IF(품목마스터!$A46="","",품목마스터!$A46)</f>
        <v/>
      </c>
      <c r="B47" s="12" t="str">
        <f aca="false">IF($A47="","",품목마스터!$B46)</f>
        <v/>
      </c>
      <c r="C47" s="12" t="str">
        <f aca="false">IF($A47="","",품목마스터!$E46)</f>
        <v/>
      </c>
      <c r="D47" s="12" t="str">
        <f aca="false">IF($A47="","",품목마스터!$D46)</f>
        <v/>
      </c>
      <c r="E47" s="13" t="str">
        <f aca="false">IF($A47="","",IF(품목마스터!$F46="",0,품목마스터!$F46))</f>
        <v/>
      </c>
      <c r="F47" s="13" t="str">
        <f aca="false">IF($A47="","",SUMIFS(입출고내역!$G$3:$G$1002,입출고내역!$C$3:$C$1002,$A47,입출고내역!$B$3:$B$1002,"입고"))</f>
        <v/>
      </c>
      <c r="G47" s="13" t="str">
        <f aca="false">IF($A47="","",SUMIFS(입출고내역!$G$3:$G$1002,입출고내역!$C$3:$C$1002,$A47,입출고내역!$B$3:$B$1002,"출고"))</f>
        <v/>
      </c>
      <c r="H47" s="13" t="str">
        <f aca="false">IF($A47="","",$E47+SUMIFS(입출고내역!$L$3:$L$1002,입출고내역!$C$3:$C$1002,$A47))</f>
        <v/>
      </c>
      <c r="I47" s="13" t="str">
        <f aca="false">IF($A47="","",IF(품목마스터!$G46="",0,품목마스터!$G46))</f>
        <v/>
      </c>
      <c r="J47" s="20" t="str">
        <f aca="false">IF($A47="","",IF($I47=0,"기준없음",TEXT($H47/$I47,"0%")&amp;"  "&amp;REPT("■",MIN(10,ROUND($H47/$I47*10,0)))))</f>
        <v/>
      </c>
    </row>
    <row r="48" customFormat="false" ht="15" hidden="false" customHeight="true" outlineLevel="0" collapsed="false">
      <c r="A48" s="12" t="str">
        <f aca="false">IF(품목마스터!$A47="","",품목마스터!$A47)</f>
        <v/>
      </c>
      <c r="B48" s="12" t="str">
        <f aca="false">IF($A48="","",품목마스터!$B47)</f>
        <v/>
      </c>
      <c r="C48" s="12" t="str">
        <f aca="false">IF($A48="","",품목마스터!$E47)</f>
        <v/>
      </c>
      <c r="D48" s="12" t="str">
        <f aca="false">IF($A48="","",품목마스터!$D47)</f>
        <v/>
      </c>
      <c r="E48" s="13" t="str">
        <f aca="false">IF($A48="","",IF(품목마스터!$F47="",0,품목마스터!$F47))</f>
        <v/>
      </c>
      <c r="F48" s="13" t="str">
        <f aca="false">IF($A48="","",SUMIFS(입출고내역!$G$3:$G$1002,입출고내역!$C$3:$C$1002,$A48,입출고내역!$B$3:$B$1002,"입고"))</f>
        <v/>
      </c>
      <c r="G48" s="13" t="str">
        <f aca="false">IF($A48="","",SUMIFS(입출고내역!$G$3:$G$1002,입출고내역!$C$3:$C$1002,$A48,입출고내역!$B$3:$B$1002,"출고"))</f>
        <v/>
      </c>
      <c r="H48" s="13" t="str">
        <f aca="false">IF($A48="","",$E48+SUMIFS(입출고내역!$L$3:$L$1002,입출고내역!$C$3:$C$1002,$A48))</f>
        <v/>
      </c>
      <c r="I48" s="13" t="str">
        <f aca="false">IF($A48="","",IF(품목마스터!$G47="",0,품목마스터!$G47))</f>
        <v/>
      </c>
      <c r="J48" s="20" t="str">
        <f aca="false">IF($A48="","",IF($I48=0,"기준없음",TEXT($H48/$I48,"0%")&amp;"  "&amp;REPT("■",MIN(10,ROUND($H48/$I48*10,0)))))</f>
        <v/>
      </c>
    </row>
    <row r="49" customFormat="false" ht="15" hidden="false" customHeight="true" outlineLevel="0" collapsed="false">
      <c r="A49" s="12" t="str">
        <f aca="false">IF(품목마스터!$A48="","",품목마스터!$A48)</f>
        <v/>
      </c>
      <c r="B49" s="12" t="str">
        <f aca="false">IF($A49="","",품목마스터!$B48)</f>
        <v/>
      </c>
      <c r="C49" s="12" t="str">
        <f aca="false">IF($A49="","",품목마스터!$E48)</f>
        <v/>
      </c>
      <c r="D49" s="12" t="str">
        <f aca="false">IF($A49="","",품목마스터!$D48)</f>
        <v/>
      </c>
      <c r="E49" s="13" t="str">
        <f aca="false">IF($A49="","",IF(품목마스터!$F48="",0,품목마스터!$F48))</f>
        <v/>
      </c>
      <c r="F49" s="13" t="str">
        <f aca="false">IF($A49="","",SUMIFS(입출고내역!$G$3:$G$1002,입출고내역!$C$3:$C$1002,$A49,입출고내역!$B$3:$B$1002,"입고"))</f>
        <v/>
      </c>
      <c r="G49" s="13" t="str">
        <f aca="false">IF($A49="","",SUMIFS(입출고내역!$G$3:$G$1002,입출고내역!$C$3:$C$1002,$A49,입출고내역!$B$3:$B$1002,"출고"))</f>
        <v/>
      </c>
      <c r="H49" s="13" t="str">
        <f aca="false">IF($A49="","",$E49+SUMIFS(입출고내역!$L$3:$L$1002,입출고내역!$C$3:$C$1002,$A49))</f>
        <v/>
      </c>
      <c r="I49" s="13" t="str">
        <f aca="false">IF($A49="","",IF(품목마스터!$G48="",0,품목마스터!$G48))</f>
        <v/>
      </c>
      <c r="J49" s="20" t="str">
        <f aca="false">IF($A49="","",IF($I49=0,"기준없음",TEXT($H49/$I49,"0%")&amp;"  "&amp;REPT("■",MIN(10,ROUND($H49/$I49*10,0)))))</f>
        <v/>
      </c>
    </row>
    <row r="50" customFormat="false" ht="15" hidden="false" customHeight="true" outlineLevel="0" collapsed="false">
      <c r="A50" s="12" t="str">
        <f aca="false">IF(품목마스터!$A49="","",품목마스터!$A49)</f>
        <v/>
      </c>
      <c r="B50" s="12" t="str">
        <f aca="false">IF($A50="","",품목마스터!$B49)</f>
        <v/>
      </c>
      <c r="C50" s="12" t="str">
        <f aca="false">IF($A50="","",품목마스터!$E49)</f>
        <v/>
      </c>
      <c r="D50" s="12" t="str">
        <f aca="false">IF($A50="","",품목마스터!$D49)</f>
        <v/>
      </c>
      <c r="E50" s="13" t="str">
        <f aca="false">IF($A50="","",IF(품목마스터!$F49="",0,품목마스터!$F49))</f>
        <v/>
      </c>
      <c r="F50" s="13" t="str">
        <f aca="false">IF($A50="","",SUMIFS(입출고내역!$G$3:$G$1002,입출고내역!$C$3:$C$1002,$A50,입출고내역!$B$3:$B$1002,"입고"))</f>
        <v/>
      </c>
      <c r="G50" s="13" t="str">
        <f aca="false">IF($A50="","",SUMIFS(입출고내역!$G$3:$G$1002,입출고내역!$C$3:$C$1002,$A50,입출고내역!$B$3:$B$1002,"출고"))</f>
        <v/>
      </c>
      <c r="H50" s="13" t="str">
        <f aca="false">IF($A50="","",$E50+SUMIFS(입출고내역!$L$3:$L$1002,입출고내역!$C$3:$C$1002,$A50))</f>
        <v/>
      </c>
      <c r="I50" s="13" t="str">
        <f aca="false">IF($A50="","",IF(품목마스터!$G49="",0,품목마스터!$G49))</f>
        <v/>
      </c>
      <c r="J50" s="20" t="str">
        <f aca="false">IF($A50="","",IF($I50=0,"기준없음",TEXT($H50/$I50,"0%")&amp;"  "&amp;REPT("■",MIN(10,ROUND($H50/$I50*10,0)))))</f>
        <v/>
      </c>
    </row>
    <row r="51" customFormat="false" ht="15" hidden="false" customHeight="true" outlineLevel="0" collapsed="false">
      <c r="A51" s="12" t="str">
        <f aca="false">IF(품목마스터!$A50="","",품목마스터!$A50)</f>
        <v/>
      </c>
      <c r="B51" s="12" t="str">
        <f aca="false">IF($A51="","",품목마스터!$B50)</f>
        <v/>
      </c>
      <c r="C51" s="12" t="str">
        <f aca="false">IF($A51="","",품목마스터!$E50)</f>
        <v/>
      </c>
      <c r="D51" s="12" t="str">
        <f aca="false">IF($A51="","",품목마스터!$D50)</f>
        <v/>
      </c>
      <c r="E51" s="13" t="str">
        <f aca="false">IF($A51="","",IF(품목마스터!$F50="",0,품목마스터!$F50))</f>
        <v/>
      </c>
      <c r="F51" s="13" t="str">
        <f aca="false">IF($A51="","",SUMIFS(입출고내역!$G$3:$G$1002,입출고내역!$C$3:$C$1002,$A51,입출고내역!$B$3:$B$1002,"입고"))</f>
        <v/>
      </c>
      <c r="G51" s="13" t="str">
        <f aca="false">IF($A51="","",SUMIFS(입출고내역!$G$3:$G$1002,입출고내역!$C$3:$C$1002,$A51,입출고내역!$B$3:$B$1002,"출고"))</f>
        <v/>
      </c>
      <c r="H51" s="13" t="str">
        <f aca="false">IF($A51="","",$E51+SUMIFS(입출고내역!$L$3:$L$1002,입출고내역!$C$3:$C$1002,$A51))</f>
        <v/>
      </c>
      <c r="I51" s="13" t="str">
        <f aca="false">IF($A51="","",IF(품목마스터!$G50="",0,품목마스터!$G50))</f>
        <v/>
      </c>
      <c r="J51" s="20" t="str">
        <f aca="false">IF($A51="","",IF($I51=0,"기준없음",TEXT($H51/$I51,"0%")&amp;"  "&amp;REPT("■",MIN(10,ROUND($H51/$I51*10,0)))))</f>
        <v/>
      </c>
    </row>
    <row r="52" customFormat="false" ht="15" hidden="false" customHeight="true" outlineLevel="0" collapsed="false">
      <c r="A52" s="12" t="str">
        <f aca="false">IF(품목마스터!$A51="","",품목마스터!$A51)</f>
        <v/>
      </c>
      <c r="B52" s="12" t="str">
        <f aca="false">IF($A52="","",품목마스터!$B51)</f>
        <v/>
      </c>
      <c r="C52" s="12" t="str">
        <f aca="false">IF($A52="","",품목마스터!$E51)</f>
        <v/>
      </c>
      <c r="D52" s="12" t="str">
        <f aca="false">IF($A52="","",품목마스터!$D51)</f>
        <v/>
      </c>
      <c r="E52" s="13" t="str">
        <f aca="false">IF($A52="","",IF(품목마스터!$F51="",0,품목마스터!$F51))</f>
        <v/>
      </c>
      <c r="F52" s="13" t="str">
        <f aca="false">IF($A52="","",SUMIFS(입출고내역!$G$3:$G$1002,입출고내역!$C$3:$C$1002,$A52,입출고내역!$B$3:$B$1002,"입고"))</f>
        <v/>
      </c>
      <c r="G52" s="13" t="str">
        <f aca="false">IF($A52="","",SUMIFS(입출고내역!$G$3:$G$1002,입출고내역!$C$3:$C$1002,$A52,입출고내역!$B$3:$B$1002,"출고"))</f>
        <v/>
      </c>
      <c r="H52" s="13" t="str">
        <f aca="false">IF($A52="","",$E52+SUMIFS(입출고내역!$L$3:$L$1002,입출고내역!$C$3:$C$1002,$A52))</f>
        <v/>
      </c>
      <c r="I52" s="13" t="str">
        <f aca="false">IF($A52="","",IF(품목마스터!$G51="",0,품목마스터!$G51))</f>
        <v/>
      </c>
      <c r="J52" s="20" t="str">
        <f aca="false">IF($A52="","",IF($I52=0,"기준없음",TEXT($H52/$I52,"0%")&amp;"  "&amp;REPT("■",MIN(10,ROUND($H52/$I52*10,0)))))</f>
        <v/>
      </c>
    </row>
    <row r="53" customFormat="false" ht="15" hidden="false" customHeight="true" outlineLevel="0" collapsed="false">
      <c r="A53" s="12" t="str">
        <f aca="false">IF(품목마스터!$A52="","",품목마스터!$A52)</f>
        <v/>
      </c>
      <c r="B53" s="12" t="str">
        <f aca="false">IF($A53="","",품목마스터!$B52)</f>
        <v/>
      </c>
      <c r="C53" s="12" t="str">
        <f aca="false">IF($A53="","",품목마스터!$E52)</f>
        <v/>
      </c>
      <c r="D53" s="12" t="str">
        <f aca="false">IF($A53="","",품목마스터!$D52)</f>
        <v/>
      </c>
      <c r="E53" s="13" t="str">
        <f aca="false">IF($A53="","",IF(품목마스터!$F52="",0,품목마스터!$F52))</f>
        <v/>
      </c>
      <c r="F53" s="13" t="str">
        <f aca="false">IF($A53="","",SUMIFS(입출고내역!$G$3:$G$1002,입출고내역!$C$3:$C$1002,$A53,입출고내역!$B$3:$B$1002,"입고"))</f>
        <v/>
      </c>
      <c r="G53" s="13" t="str">
        <f aca="false">IF($A53="","",SUMIFS(입출고내역!$G$3:$G$1002,입출고내역!$C$3:$C$1002,$A53,입출고내역!$B$3:$B$1002,"출고"))</f>
        <v/>
      </c>
      <c r="H53" s="13" t="str">
        <f aca="false">IF($A53="","",$E53+SUMIFS(입출고내역!$L$3:$L$1002,입출고내역!$C$3:$C$1002,$A53))</f>
        <v/>
      </c>
      <c r="I53" s="13" t="str">
        <f aca="false">IF($A53="","",IF(품목마스터!$G52="",0,품목마스터!$G52))</f>
        <v/>
      </c>
      <c r="J53" s="20" t="str">
        <f aca="false">IF($A53="","",IF($I53=0,"기준없음",TEXT($H53/$I53,"0%")&amp;"  "&amp;REPT("■",MIN(10,ROUND($H53/$I53*10,0)))))</f>
        <v/>
      </c>
    </row>
    <row r="54" customFormat="false" ht="15" hidden="false" customHeight="true" outlineLevel="0" collapsed="false">
      <c r="A54" s="12" t="str">
        <f aca="false">IF(품목마스터!$A53="","",품목마스터!$A53)</f>
        <v/>
      </c>
      <c r="B54" s="12" t="str">
        <f aca="false">IF($A54="","",품목마스터!$B53)</f>
        <v/>
      </c>
      <c r="C54" s="12" t="str">
        <f aca="false">IF($A54="","",품목마스터!$E53)</f>
        <v/>
      </c>
      <c r="D54" s="12" t="str">
        <f aca="false">IF($A54="","",품목마스터!$D53)</f>
        <v/>
      </c>
      <c r="E54" s="13" t="str">
        <f aca="false">IF($A54="","",IF(품목마스터!$F53="",0,품목마스터!$F53))</f>
        <v/>
      </c>
      <c r="F54" s="13" t="str">
        <f aca="false">IF($A54="","",SUMIFS(입출고내역!$G$3:$G$1002,입출고내역!$C$3:$C$1002,$A54,입출고내역!$B$3:$B$1002,"입고"))</f>
        <v/>
      </c>
      <c r="G54" s="13" t="str">
        <f aca="false">IF($A54="","",SUMIFS(입출고내역!$G$3:$G$1002,입출고내역!$C$3:$C$1002,$A54,입출고내역!$B$3:$B$1002,"출고"))</f>
        <v/>
      </c>
      <c r="H54" s="13" t="str">
        <f aca="false">IF($A54="","",$E54+SUMIFS(입출고내역!$L$3:$L$1002,입출고내역!$C$3:$C$1002,$A54))</f>
        <v/>
      </c>
      <c r="I54" s="13" t="str">
        <f aca="false">IF($A54="","",IF(품목마스터!$G53="",0,품목마스터!$G53))</f>
        <v/>
      </c>
      <c r="J54" s="20" t="str">
        <f aca="false">IF($A54="","",IF($I54=0,"기준없음",TEXT($H54/$I54,"0%")&amp;"  "&amp;REPT("■",MIN(10,ROUND($H54/$I54*10,0)))))</f>
        <v/>
      </c>
    </row>
    <row r="55" customFormat="false" ht="15" hidden="false" customHeight="true" outlineLevel="0" collapsed="false">
      <c r="A55" s="12" t="str">
        <f aca="false">IF(품목마스터!$A54="","",품목마스터!$A54)</f>
        <v/>
      </c>
      <c r="B55" s="12" t="str">
        <f aca="false">IF($A55="","",품목마스터!$B54)</f>
        <v/>
      </c>
      <c r="C55" s="12" t="str">
        <f aca="false">IF($A55="","",품목마스터!$E54)</f>
        <v/>
      </c>
      <c r="D55" s="12" t="str">
        <f aca="false">IF($A55="","",품목마스터!$D54)</f>
        <v/>
      </c>
      <c r="E55" s="13" t="str">
        <f aca="false">IF($A55="","",IF(품목마스터!$F54="",0,품목마스터!$F54))</f>
        <v/>
      </c>
      <c r="F55" s="13" t="str">
        <f aca="false">IF($A55="","",SUMIFS(입출고내역!$G$3:$G$1002,입출고내역!$C$3:$C$1002,$A55,입출고내역!$B$3:$B$1002,"입고"))</f>
        <v/>
      </c>
      <c r="G55" s="13" t="str">
        <f aca="false">IF($A55="","",SUMIFS(입출고내역!$G$3:$G$1002,입출고내역!$C$3:$C$1002,$A55,입출고내역!$B$3:$B$1002,"출고"))</f>
        <v/>
      </c>
      <c r="H55" s="13" t="str">
        <f aca="false">IF($A55="","",$E55+SUMIFS(입출고내역!$L$3:$L$1002,입출고내역!$C$3:$C$1002,$A55))</f>
        <v/>
      </c>
      <c r="I55" s="13" t="str">
        <f aca="false">IF($A55="","",IF(품목마스터!$G54="",0,품목마스터!$G54))</f>
        <v/>
      </c>
      <c r="J55" s="20" t="str">
        <f aca="false">IF($A55="","",IF($I55=0,"기준없음",TEXT($H55/$I55,"0%")&amp;"  "&amp;REPT("■",MIN(10,ROUND($H55/$I55*10,0)))))</f>
        <v/>
      </c>
    </row>
    <row r="56" customFormat="false" ht="15" hidden="false" customHeight="true" outlineLevel="0" collapsed="false">
      <c r="A56" s="12" t="str">
        <f aca="false">IF(품목마스터!$A55="","",품목마스터!$A55)</f>
        <v/>
      </c>
      <c r="B56" s="12" t="str">
        <f aca="false">IF($A56="","",품목마스터!$B55)</f>
        <v/>
      </c>
      <c r="C56" s="12" t="str">
        <f aca="false">IF($A56="","",품목마스터!$E55)</f>
        <v/>
      </c>
      <c r="D56" s="12" t="str">
        <f aca="false">IF($A56="","",품목마스터!$D55)</f>
        <v/>
      </c>
      <c r="E56" s="13" t="str">
        <f aca="false">IF($A56="","",IF(품목마스터!$F55="",0,품목마스터!$F55))</f>
        <v/>
      </c>
      <c r="F56" s="13" t="str">
        <f aca="false">IF($A56="","",SUMIFS(입출고내역!$G$3:$G$1002,입출고내역!$C$3:$C$1002,$A56,입출고내역!$B$3:$B$1002,"입고"))</f>
        <v/>
      </c>
      <c r="G56" s="13" t="str">
        <f aca="false">IF($A56="","",SUMIFS(입출고내역!$G$3:$G$1002,입출고내역!$C$3:$C$1002,$A56,입출고내역!$B$3:$B$1002,"출고"))</f>
        <v/>
      </c>
      <c r="H56" s="13" t="str">
        <f aca="false">IF($A56="","",$E56+SUMIFS(입출고내역!$L$3:$L$1002,입출고내역!$C$3:$C$1002,$A56))</f>
        <v/>
      </c>
      <c r="I56" s="13" t="str">
        <f aca="false">IF($A56="","",IF(품목마스터!$G55="",0,품목마스터!$G55))</f>
        <v/>
      </c>
      <c r="J56" s="20" t="str">
        <f aca="false">IF($A56="","",IF($I56=0,"기준없음",TEXT($H56/$I56,"0%")&amp;"  "&amp;REPT("■",MIN(10,ROUND($H56/$I56*10,0)))))</f>
        <v/>
      </c>
    </row>
    <row r="57" customFormat="false" ht="15" hidden="false" customHeight="true" outlineLevel="0" collapsed="false">
      <c r="A57" s="12" t="str">
        <f aca="false">IF(품목마스터!$A56="","",품목마스터!$A56)</f>
        <v/>
      </c>
      <c r="B57" s="12" t="str">
        <f aca="false">IF($A57="","",품목마스터!$B56)</f>
        <v/>
      </c>
      <c r="C57" s="12" t="str">
        <f aca="false">IF($A57="","",품목마스터!$E56)</f>
        <v/>
      </c>
      <c r="D57" s="12" t="str">
        <f aca="false">IF($A57="","",품목마스터!$D56)</f>
        <v/>
      </c>
      <c r="E57" s="13" t="str">
        <f aca="false">IF($A57="","",IF(품목마스터!$F56="",0,품목마스터!$F56))</f>
        <v/>
      </c>
      <c r="F57" s="13" t="str">
        <f aca="false">IF($A57="","",SUMIFS(입출고내역!$G$3:$G$1002,입출고내역!$C$3:$C$1002,$A57,입출고내역!$B$3:$B$1002,"입고"))</f>
        <v/>
      </c>
      <c r="G57" s="13" t="str">
        <f aca="false">IF($A57="","",SUMIFS(입출고내역!$G$3:$G$1002,입출고내역!$C$3:$C$1002,$A57,입출고내역!$B$3:$B$1002,"출고"))</f>
        <v/>
      </c>
      <c r="H57" s="13" t="str">
        <f aca="false">IF($A57="","",$E57+SUMIFS(입출고내역!$L$3:$L$1002,입출고내역!$C$3:$C$1002,$A57))</f>
        <v/>
      </c>
      <c r="I57" s="13" t="str">
        <f aca="false">IF($A57="","",IF(품목마스터!$G56="",0,품목마스터!$G56))</f>
        <v/>
      </c>
      <c r="J57" s="20" t="str">
        <f aca="false">IF($A57="","",IF($I57=0,"기준없음",TEXT($H57/$I57,"0%")&amp;"  "&amp;REPT("■",MIN(10,ROUND($H57/$I57*10,0)))))</f>
        <v/>
      </c>
    </row>
    <row r="58" customFormat="false" ht="15" hidden="false" customHeight="true" outlineLevel="0" collapsed="false">
      <c r="A58" s="12" t="str">
        <f aca="false">IF(품목마스터!$A57="","",품목마스터!$A57)</f>
        <v/>
      </c>
      <c r="B58" s="12" t="str">
        <f aca="false">IF($A58="","",품목마스터!$B57)</f>
        <v/>
      </c>
      <c r="C58" s="12" t="str">
        <f aca="false">IF($A58="","",품목마스터!$E57)</f>
        <v/>
      </c>
      <c r="D58" s="12" t="str">
        <f aca="false">IF($A58="","",품목마스터!$D57)</f>
        <v/>
      </c>
      <c r="E58" s="13" t="str">
        <f aca="false">IF($A58="","",IF(품목마스터!$F57="",0,품목마스터!$F57))</f>
        <v/>
      </c>
      <c r="F58" s="13" t="str">
        <f aca="false">IF($A58="","",SUMIFS(입출고내역!$G$3:$G$1002,입출고내역!$C$3:$C$1002,$A58,입출고내역!$B$3:$B$1002,"입고"))</f>
        <v/>
      </c>
      <c r="G58" s="13" t="str">
        <f aca="false">IF($A58="","",SUMIFS(입출고내역!$G$3:$G$1002,입출고내역!$C$3:$C$1002,$A58,입출고내역!$B$3:$B$1002,"출고"))</f>
        <v/>
      </c>
      <c r="H58" s="13" t="str">
        <f aca="false">IF($A58="","",$E58+SUMIFS(입출고내역!$L$3:$L$1002,입출고내역!$C$3:$C$1002,$A58))</f>
        <v/>
      </c>
      <c r="I58" s="13" t="str">
        <f aca="false">IF($A58="","",IF(품목마스터!$G57="",0,품목마스터!$G57))</f>
        <v/>
      </c>
      <c r="J58" s="20" t="str">
        <f aca="false">IF($A58="","",IF($I58=0,"기준없음",TEXT($H58/$I58,"0%")&amp;"  "&amp;REPT("■",MIN(10,ROUND($H58/$I58*10,0)))))</f>
        <v/>
      </c>
    </row>
    <row r="59" customFormat="false" ht="15" hidden="false" customHeight="true" outlineLevel="0" collapsed="false">
      <c r="A59" s="12" t="str">
        <f aca="false">IF(품목마스터!$A58="","",품목마스터!$A58)</f>
        <v/>
      </c>
      <c r="B59" s="12" t="str">
        <f aca="false">IF($A59="","",품목마스터!$B58)</f>
        <v/>
      </c>
      <c r="C59" s="12" t="str">
        <f aca="false">IF($A59="","",품목마스터!$E58)</f>
        <v/>
      </c>
      <c r="D59" s="12" t="str">
        <f aca="false">IF($A59="","",품목마스터!$D58)</f>
        <v/>
      </c>
      <c r="E59" s="13" t="str">
        <f aca="false">IF($A59="","",IF(품목마스터!$F58="",0,품목마스터!$F58))</f>
        <v/>
      </c>
      <c r="F59" s="13" t="str">
        <f aca="false">IF($A59="","",SUMIFS(입출고내역!$G$3:$G$1002,입출고내역!$C$3:$C$1002,$A59,입출고내역!$B$3:$B$1002,"입고"))</f>
        <v/>
      </c>
      <c r="G59" s="13" t="str">
        <f aca="false">IF($A59="","",SUMIFS(입출고내역!$G$3:$G$1002,입출고내역!$C$3:$C$1002,$A59,입출고내역!$B$3:$B$1002,"출고"))</f>
        <v/>
      </c>
      <c r="H59" s="13" t="str">
        <f aca="false">IF($A59="","",$E59+SUMIFS(입출고내역!$L$3:$L$1002,입출고내역!$C$3:$C$1002,$A59))</f>
        <v/>
      </c>
      <c r="I59" s="13" t="str">
        <f aca="false">IF($A59="","",IF(품목마스터!$G58="",0,품목마스터!$G58))</f>
        <v/>
      </c>
      <c r="J59" s="20" t="str">
        <f aca="false">IF($A59="","",IF($I59=0,"기준없음",TEXT($H59/$I59,"0%")&amp;"  "&amp;REPT("■",MIN(10,ROUND($H59/$I59*10,0)))))</f>
        <v/>
      </c>
    </row>
    <row r="60" customFormat="false" ht="15" hidden="false" customHeight="true" outlineLevel="0" collapsed="false">
      <c r="A60" s="12" t="str">
        <f aca="false">IF(품목마스터!$A59="","",품목마스터!$A59)</f>
        <v/>
      </c>
      <c r="B60" s="12" t="str">
        <f aca="false">IF($A60="","",품목마스터!$B59)</f>
        <v/>
      </c>
      <c r="C60" s="12" t="str">
        <f aca="false">IF($A60="","",품목마스터!$E59)</f>
        <v/>
      </c>
      <c r="D60" s="12" t="str">
        <f aca="false">IF($A60="","",품목마스터!$D59)</f>
        <v/>
      </c>
      <c r="E60" s="13" t="str">
        <f aca="false">IF($A60="","",IF(품목마스터!$F59="",0,품목마스터!$F59))</f>
        <v/>
      </c>
      <c r="F60" s="13" t="str">
        <f aca="false">IF($A60="","",SUMIFS(입출고내역!$G$3:$G$1002,입출고내역!$C$3:$C$1002,$A60,입출고내역!$B$3:$B$1002,"입고"))</f>
        <v/>
      </c>
      <c r="G60" s="13" t="str">
        <f aca="false">IF($A60="","",SUMIFS(입출고내역!$G$3:$G$1002,입출고내역!$C$3:$C$1002,$A60,입출고내역!$B$3:$B$1002,"출고"))</f>
        <v/>
      </c>
      <c r="H60" s="13" t="str">
        <f aca="false">IF($A60="","",$E60+SUMIFS(입출고내역!$L$3:$L$1002,입출고내역!$C$3:$C$1002,$A60))</f>
        <v/>
      </c>
      <c r="I60" s="13" t="str">
        <f aca="false">IF($A60="","",IF(품목마스터!$G59="",0,품목마스터!$G59))</f>
        <v/>
      </c>
      <c r="J60" s="20" t="str">
        <f aca="false">IF($A60="","",IF($I60=0,"기준없음",TEXT($H60/$I60,"0%")&amp;"  "&amp;REPT("■",MIN(10,ROUND($H60/$I60*10,0)))))</f>
        <v/>
      </c>
    </row>
    <row r="61" customFormat="false" ht="15" hidden="false" customHeight="true" outlineLevel="0" collapsed="false">
      <c r="A61" s="12" t="str">
        <f aca="false">IF(품목마스터!$A60="","",품목마스터!$A60)</f>
        <v/>
      </c>
      <c r="B61" s="12" t="str">
        <f aca="false">IF($A61="","",품목마스터!$B60)</f>
        <v/>
      </c>
      <c r="C61" s="12" t="str">
        <f aca="false">IF($A61="","",품목마스터!$E60)</f>
        <v/>
      </c>
      <c r="D61" s="12" t="str">
        <f aca="false">IF($A61="","",품목마스터!$D60)</f>
        <v/>
      </c>
      <c r="E61" s="13" t="str">
        <f aca="false">IF($A61="","",IF(품목마스터!$F60="",0,품목마스터!$F60))</f>
        <v/>
      </c>
      <c r="F61" s="13" t="str">
        <f aca="false">IF($A61="","",SUMIFS(입출고내역!$G$3:$G$1002,입출고내역!$C$3:$C$1002,$A61,입출고내역!$B$3:$B$1002,"입고"))</f>
        <v/>
      </c>
      <c r="G61" s="13" t="str">
        <f aca="false">IF($A61="","",SUMIFS(입출고내역!$G$3:$G$1002,입출고내역!$C$3:$C$1002,$A61,입출고내역!$B$3:$B$1002,"출고"))</f>
        <v/>
      </c>
      <c r="H61" s="13" t="str">
        <f aca="false">IF($A61="","",$E61+SUMIFS(입출고내역!$L$3:$L$1002,입출고내역!$C$3:$C$1002,$A61))</f>
        <v/>
      </c>
      <c r="I61" s="13" t="str">
        <f aca="false">IF($A61="","",IF(품목마스터!$G60="",0,품목마스터!$G60))</f>
        <v/>
      </c>
      <c r="J61" s="20" t="str">
        <f aca="false">IF($A61="","",IF($I61=0,"기준없음",TEXT($H61/$I61,"0%")&amp;"  "&amp;REPT("■",MIN(10,ROUND($H61/$I61*10,0)))))</f>
        <v/>
      </c>
    </row>
    <row r="62" customFormat="false" ht="15" hidden="false" customHeight="true" outlineLevel="0" collapsed="false">
      <c r="A62" s="12" t="str">
        <f aca="false">IF(품목마스터!$A61="","",품목마스터!$A61)</f>
        <v/>
      </c>
      <c r="B62" s="12" t="str">
        <f aca="false">IF($A62="","",품목마스터!$B61)</f>
        <v/>
      </c>
      <c r="C62" s="12" t="str">
        <f aca="false">IF($A62="","",품목마스터!$E61)</f>
        <v/>
      </c>
      <c r="D62" s="12" t="str">
        <f aca="false">IF($A62="","",품목마스터!$D61)</f>
        <v/>
      </c>
      <c r="E62" s="13" t="str">
        <f aca="false">IF($A62="","",IF(품목마스터!$F61="",0,품목마스터!$F61))</f>
        <v/>
      </c>
      <c r="F62" s="13" t="str">
        <f aca="false">IF($A62="","",SUMIFS(입출고내역!$G$3:$G$1002,입출고내역!$C$3:$C$1002,$A62,입출고내역!$B$3:$B$1002,"입고"))</f>
        <v/>
      </c>
      <c r="G62" s="13" t="str">
        <f aca="false">IF($A62="","",SUMIFS(입출고내역!$G$3:$G$1002,입출고내역!$C$3:$C$1002,$A62,입출고내역!$B$3:$B$1002,"출고"))</f>
        <v/>
      </c>
      <c r="H62" s="13" t="str">
        <f aca="false">IF($A62="","",$E62+SUMIFS(입출고내역!$L$3:$L$1002,입출고내역!$C$3:$C$1002,$A62))</f>
        <v/>
      </c>
      <c r="I62" s="13" t="str">
        <f aca="false">IF($A62="","",IF(품목마스터!$G61="",0,품목마스터!$G61))</f>
        <v/>
      </c>
      <c r="J62" s="20" t="str">
        <f aca="false">IF($A62="","",IF($I62=0,"기준없음",TEXT($H62/$I62,"0%")&amp;"  "&amp;REPT("■",MIN(10,ROUND($H62/$I62*10,0)))))</f>
        <v/>
      </c>
    </row>
    <row r="63" customFormat="false" ht="15" hidden="false" customHeight="true" outlineLevel="0" collapsed="false">
      <c r="A63" s="12" t="str">
        <f aca="false">IF(품목마스터!$A62="","",품목마스터!$A62)</f>
        <v/>
      </c>
      <c r="B63" s="12" t="str">
        <f aca="false">IF($A63="","",품목마스터!$B62)</f>
        <v/>
      </c>
      <c r="C63" s="12" t="str">
        <f aca="false">IF($A63="","",품목마스터!$E62)</f>
        <v/>
      </c>
      <c r="D63" s="12" t="str">
        <f aca="false">IF($A63="","",품목마스터!$D62)</f>
        <v/>
      </c>
      <c r="E63" s="13" t="str">
        <f aca="false">IF($A63="","",IF(품목마스터!$F62="",0,품목마스터!$F62))</f>
        <v/>
      </c>
      <c r="F63" s="13" t="str">
        <f aca="false">IF($A63="","",SUMIFS(입출고내역!$G$3:$G$1002,입출고내역!$C$3:$C$1002,$A63,입출고내역!$B$3:$B$1002,"입고"))</f>
        <v/>
      </c>
      <c r="G63" s="13" t="str">
        <f aca="false">IF($A63="","",SUMIFS(입출고내역!$G$3:$G$1002,입출고내역!$C$3:$C$1002,$A63,입출고내역!$B$3:$B$1002,"출고"))</f>
        <v/>
      </c>
      <c r="H63" s="13" t="str">
        <f aca="false">IF($A63="","",$E63+SUMIFS(입출고내역!$L$3:$L$1002,입출고내역!$C$3:$C$1002,$A63))</f>
        <v/>
      </c>
      <c r="I63" s="13" t="str">
        <f aca="false">IF($A63="","",IF(품목마스터!$G62="",0,품목마스터!$G62))</f>
        <v/>
      </c>
      <c r="J63" s="20" t="str">
        <f aca="false">IF($A63="","",IF($I63=0,"기준없음",TEXT($H63/$I63,"0%")&amp;"  "&amp;REPT("■",MIN(10,ROUND($H63/$I63*10,0)))))</f>
        <v/>
      </c>
    </row>
    <row r="64" customFormat="false" ht="15" hidden="false" customHeight="true" outlineLevel="0" collapsed="false">
      <c r="A64" s="12" t="str">
        <f aca="false">IF(품목마스터!$A63="","",품목마스터!$A63)</f>
        <v/>
      </c>
      <c r="B64" s="12" t="str">
        <f aca="false">IF($A64="","",품목마스터!$B63)</f>
        <v/>
      </c>
      <c r="C64" s="12" t="str">
        <f aca="false">IF($A64="","",품목마스터!$E63)</f>
        <v/>
      </c>
      <c r="D64" s="12" t="str">
        <f aca="false">IF($A64="","",품목마스터!$D63)</f>
        <v/>
      </c>
      <c r="E64" s="13" t="str">
        <f aca="false">IF($A64="","",IF(품목마스터!$F63="",0,품목마스터!$F63))</f>
        <v/>
      </c>
      <c r="F64" s="13" t="str">
        <f aca="false">IF($A64="","",SUMIFS(입출고내역!$G$3:$G$1002,입출고내역!$C$3:$C$1002,$A64,입출고내역!$B$3:$B$1002,"입고"))</f>
        <v/>
      </c>
      <c r="G64" s="13" t="str">
        <f aca="false">IF($A64="","",SUMIFS(입출고내역!$G$3:$G$1002,입출고내역!$C$3:$C$1002,$A64,입출고내역!$B$3:$B$1002,"출고"))</f>
        <v/>
      </c>
      <c r="H64" s="13" t="str">
        <f aca="false">IF($A64="","",$E64+SUMIFS(입출고내역!$L$3:$L$1002,입출고내역!$C$3:$C$1002,$A64))</f>
        <v/>
      </c>
      <c r="I64" s="13" t="str">
        <f aca="false">IF($A64="","",IF(품목마스터!$G63="",0,품목마스터!$G63))</f>
        <v/>
      </c>
      <c r="J64" s="20" t="str">
        <f aca="false">IF($A64="","",IF($I64=0,"기준없음",TEXT($H64/$I64,"0%")&amp;"  "&amp;REPT("■",MIN(10,ROUND($H64/$I64*10,0)))))</f>
        <v/>
      </c>
    </row>
    <row r="65" customFormat="false" ht="15" hidden="false" customHeight="true" outlineLevel="0" collapsed="false">
      <c r="A65" s="12" t="str">
        <f aca="false">IF(품목마스터!$A64="","",품목마스터!$A64)</f>
        <v/>
      </c>
      <c r="B65" s="12" t="str">
        <f aca="false">IF($A65="","",품목마스터!$B64)</f>
        <v/>
      </c>
      <c r="C65" s="12" t="str">
        <f aca="false">IF($A65="","",품목마스터!$E64)</f>
        <v/>
      </c>
      <c r="D65" s="12" t="str">
        <f aca="false">IF($A65="","",품목마스터!$D64)</f>
        <v/>
      </c>
      <c r="E65" s="13" t="str">
        <f aca="false">IF($A65="","",IF(품목마스터!$F64="",0,품목마스터!$F64))</f>
        <v/>
      </c>
      <c r="F65" s="13" t="str">
        <f aca="false">IF($A65="","",SUMIFS(입출고내역!$G$3:$G$1002,입출고내역!$C$3:$C$1002,$A65,입출고내역!$B$3:$B$1002,"입고"))</f>
        <v/>
      </c>
      <c r="G65" s="13" t="str">
        <f aca="false">IF($A65="","",SUMIFS(입출고내역!$G$3:$G$1002,입출고내역!$C$3:$C$1002,$A65,입출고내역!$B$3:$B$1002,"출고"))</f>
        <v/>
      </c>
      <c r="H65" s="13" t="str">
        <f aca="false">IF($A65="","",$E65+SUMIFS(입출고내역!$L$3:$L$1002,입출고내역!$C$3:$C$1002,$A65))</f>
        <v/>
      </c>
      <c r="I65" s="13" t="str">
        <f aca="false">IF($A65="","",IF(품목마스터!$G64="",0,품목마스터!$G64))</f>
        <v/>
      </c>
      <c r="J65" s="20" t="str">
        <f aca="false">IF($A65="","",IF($I65=0,"기준없음",TEXT($H65/$I65,"0%")&amp;"  "&amp;REPT("■",MIN(10,ROUND($H65/$I65*10,0)))))</f>
        <v/>
      </c>
    </row>
    <row r="66" customFormat="false" ht="15" hidden="false" customHeight="true" outlineLevel="0" collapsed="false">
      <c r="A66" s="12" t="str">
        <f aca="false">IF(품목마스터!$A65="","",품목마스터!$A65)</f>
        <v/>
      </c>
      <c r="B66" s="12" t="str">
        <f aca="false">IF($A66="","",품목마스터!$B65)</f>
        <v/>
      </c>
      <c r="C66" s="12" t="str">
        <f aca="false">IF($A66="","",품목마스터!$E65)</f>
        <v/>
      </c>
      <c r="D66" s="12" t="str">
        <f aca="false">IF($A66="","",품목마스터!$D65)</f>
        <v/>
      </c>
      <c r="E66" s="13" t="str">
        <f aca="false">IF($A66="","",IF(품목마스터!$F65="",0,품목마스터!$F65))</f>
        <v/>
      </c>
      <c r="F66" s="13" t="str">
        <f aca="false">IF($A66="","",SUMIFS(입출고내역!$G$3:$G$1002,입출고내역!$C$3:$C$1002,$A66,입출고내역!$B$3:$B$1002,"입고"))</f>
        <v/>
      </c>
      <c r="G66" s="13" t="str">
        <f aca="false">IF($A66="","",SUMIFS(입출고내역!$G$3:$G$1002,입출고내역!$C$3:$C$1002,$A66,입출고내역!$B$3:$B$1002,"출고"))</f>
        <v/>
      </c>
      <c r="H66" s="13" t="str">
        <f aca="false">IF($A66="","",$E66+SUMIFS(입출고내역!$L$3:$L$1002,입출고내역!$C$3:$C$1002,$A66))</f>
        <v/>
      </c>
      <c r="I66" s="13" t="str">
        <f aca="false">IF($A66="","",IF(품목마스터!$G65="",0,품목마스터!$G65))</f>
        <v/>
      </c>
      <c r="J66" s="20" t="str">
        <f aca="false">IF($A66="","",IF($I66=0,"기준없음",TEXT($H66/$I66,"0%")&amp;"  "&amp;REPT("■",MIN(10,ROUND($H66/$I66*10,0)))))</f>
        <v/>
      </c>
    </row>
    <row r="67" customFormat="false" ht="15" hidden="false" customHeight="true" outlineLevel="0" collapsed="false">
      <c r="A67" s="12" t="str">
        <f aca="false">IF(품목마스터!$A66="","",품목마스터!$A66)</f>
        <v/>
      </c>
      <c r="B67" s="12" t="str">
        <f aca="false">IF($A67="","",품목마스터!$B66)</f>
        <v/>
      </c>
      <c r="C67" s="12" t="str">
        <f aca="false">IF($A67="","",품목마스터!$E66)</f>
        <v/>
      </c>
      <c r="D67" s="12" t="str">
        <f aca="false">IF($A67="","",품목마스터!$D66)</f>
        <v/>
      </c>
      <c r="E67" s="13" t="str">
        <f aca="false">IF($A67="","",IF(품목마스터!$F66="",0,품목마스터!$F66))</f>
        <v/>
      </c>
      <c r="F67" s="13" t="str">
        <f aca="false">IF($A67="","",SUMIFS(입출고내역!$G$3:$G$1002,입출고내역!$C$3:$C$1002,$A67,입출고내역!$B$3:$B$1002,"입고"))</f>
        <v/>
      </c>
      <c r="G67" s="13" t="str">
        <f aca="false">IF($A67="","",SUMIFS(입출고내역!$G$3:$G$1002,입출고내역!$C$3:$C$1002,$A67,입출고내역!$B$3:$B$1002,"출고"))</f>
        <v/>
      </c>
      <c r="H67" s="13" t="str">
        <f aca="false">IF($A67="","",$E67+SUMIFS(입출고내역!$L$3:$L$1002,입출고내역!$C$3:$C$1002,$A67))</f>
        <v/>
      </c>
      <c r="I67" s="13" t="str">
        <f aca="false">IF($A67="","",IF(품목마스터!$G66="",0,품목마스터!$G66))</f>
        <v/>
      </c>
      <c r="J67" s="20" t="str">
        <f aca="false">IF($A67="","",IF($I67=0,"기준없음",TEXT($H67/$I67,"0%")&amp;"  "&amp;REPT("■",MIN(10,ROUND($H67/$I67*10,0)))))</f>
        <v/>
      </c>
    </row>
    <row r="68" customFormat="false" ht="15" hidden="false" customHeight="true" outlineLevel="0" collapsed="false">
      <c r="A68" s="12" t="str">
        <f aca="false">IF(품목마스터!$A67="","",품목마스터!$A67)</f>
        <v/>
      </c>
      <c r="B68" s="12" t="str">
        <f aca="false">IF($A68="","",품목마스터!$B67)</f>
        <v/>
      </c>
      <c r="C68" s="12" t="str">
        <f aca="false">IF($A68="","",품목마스터!$E67)</f>
        <v/>
      </c>
      <c r="D68" s="12" t="str">
        <f aca="false">IF($A68="","",품목마스터!$D67)</f>
        <v/>
      </c>
      <c r="E68" s="13" t="str">
        <f aca="false">IF($A68="","",IF(품목마스터!$F67="",0,품목마스터!$F67))</f>
        <v/>
      </c>
      <c r="F68" s="13" t="str">
        <f aca="false">IF($A68="","",SUMIFS(입출고내역!$G$3:$G$1002,입출고내역!$C$3:$C$1002,$A68,입출고내역!$B$3:$B$1002,"입고"))</f>
        <v/>
      </c>
      <c r="G68" s="13" t="str">
        <f aca="false">IF($A68="","",SUMIFS(입출고내역!$G$3:$G$1002,입출고내역!$C$3:$C$1002,$A68,입출고내역!$B$3:$B$1002,"출고"))</f>
        <v/>
      </c>
      <c r="H68" s="13" t="str">
        <f aca="false">IF($A68="","",$E68+SUMIFS(입출고내역!$L$3:$L$1002,입출고내역!$C$3:$C$1002,$A68))</f>
        <v/>
      </c>
      <c r="I68" s="13" t="str">
        <f aca="false">IF($A68="","",IF(품목마스터!$G67="",0,품목마스터!$G67))</f>
        <v/>
      </c>
      <c r="J68" s="20" t="str">
        <f aca="false">IF($A68="","",IF($I68=0,"기준없음",TEXT($H68/$I68,"0%")&amp;"  "&amp;REPT("■",MIN(10,ROUND($H68/$I68*10,0)))))</f>
        <v/>
      </c>
    </row>
    <row r="69" customFormat="false" ht="15" hidden="false" customHeight="true" outlineLevel="0" collapsed="false">
      <c r="A69" s="12" t="str">
        <f aca="false">IF(품목마스터!$A68="","",품목마스터!$A68)</f>
        <v/>
      </c>
      <c r="B69" s="12" t="str">
        <f aca="false">IF($A69="","",품목마스터!$B68)</f>
        <v/>
      </c>
      <c r="C69" s="12" t="str">
        <f aca="false">IF($A69="","",품목마스터!$E68)</f>
        <v/>
      </c>
      <c r="D69" s="12" t="str">
        <f aca="false">IF($A69="","",품목마스터!$D68)</f>
        <v/>
      </c>
      <c r="E69" s="13" t="str">
        <f aca="false">IF($A69="","",IF(품목마스터!$F68="",0,품목마스터!$F68))</f>
        <v/>
      </c>
      <c r="F69" s="13" t="str">
        <f aca="false">IF($A69="","",SUMIFS(입출고내역!$G$3:$G$1002,입출고내역!$C$3:$C$1002,$A69,입출고내역!$B$3:$B$1002,"입고"))</f>
        <v/>
      </c>
      <c r="G69" s="13" t="str">
        <f aca="false">IF($A69="","",SUMIFS(입출고내역!$G$3:$G$1002,입출고내역!$C$3:$C$1002,$A69,입출고내역!$B$3:$B$1002,"출고"))</f>
        <v/>
      </c>
      <c r="H69" s="13" t="str">
        <f aca="false">IF($A69="","",$E69+SUMIFS(입출고내역!$L$3:$L$1002,입출고내역!$C$3:$C$1002,$A69))</f>
        <v/>
      </c>
      <c r="I69" s="13" t="str">
        <f aca="false">IF($A69="","",IF(품목마스터!$G68="",0,품목마스터!$G68))</f>
        <v/>
      </c>
      <c r="J69" s="20" t="str">
        <f aca="false">IF($A69="","",IF($I69=0,"기준없음",TEXT($H69/$I69,"0%")&amp;"  "&amp;REPT("■",MIN(10,ROUND($H69/$I69*10,0)))))</f>
        <v/>
      </c>
    </row>
    <row r="70" customFormat="false" ht="15" hidden="false" customHeight="true" outlineLevel="0" collapsed="false">
      <c r="A70" s="12" t="str">
        <f aca="false">IF(품목마스터!$A69="","",품목마스터!$A69)</f>
        <v/>
      </c>
      <c r="B70" s="12" t="str">
        <f aca="false">IF($A70="","",품목마스터!$B69)</f>
        <v/>
      </c>
      <c r="C70" s="12" t="str">
        <f aca="false">IF($A70="","",품목마스터!$E69)</f>
        <v/>
      </c>
      <c r="D70" s="12" t="str">
        <f aca="false">IF($A70="","",품목마스터!$D69)</f>
        <v/>
      </c>
      <c r="E70" s="13" t="str">
        <f aca="false">IF($A70="","",IF(품목마스터!$F69="",0,품목마스터!$F69))</f>
        <v/>
      </c>
      <c r="F70" s="13" t="str">
        <f aca="false">IF($A70="","",SUMIFS(입출고내역!$G$3:$G$1002,입출고내역!$C$3:$C$1002,$A70,입출고내역!$B$3:$B$1002,"입고"))</f>
        <v/>
      </c>
      <c r="G70" s="13" t="str">
        <f aca="false">IF($A70="","",SUMIFS(입출고내역!$G$3:$G$1002,입출고내역!$C$3:$C$1002,$A70,입출고내역!$B$3:$B$1002,"출고"))</f>
        <v/>
      </c>
      <c r="H70" s="13" t="str">
        <f aca="false">IF($A70="","",$E70+SUMIFS(입출고내역!$L$3:$L$1002,입출고내역!$C$3:$C$1002,$A70))</f>
        <v/>
      </c>
      <c r="I70" s="13" t="str">
        <f aca="false">IF($A70="","",IF(품목마스터!$G69="",0,품목마스터!$G69))</f>
        <v/>
      </c>
      <c r="J70" s="20" t="str">
        <f aca="false">IF($A70="","",IF($I70=0,"기준없음",TEXT($H70/$I70,"0%")&amp;"  "&amp;REPT("■",MIN(10,ROUND($H70/$I70*10,0)))))</f>
        <v/>
      </c>
    </row>
    <row r="71" customFormat="false" ht="15" hidden="false" customHeight="true" outlineLevel="0" collapsed="false">
      <c r="A71" s="12" t="str">
        <f aca="false">IF(품목마스터!$A70="","",품목마스터!$A70)</f>
        <v/>
      </c>
      <c r="B71" s="12" t="str">
        <f aca="false">IF($A71="","",품목마스터!$B70)</f>
        <v/>
      </c>
      <c r="C71" s="12" t="str">
        <f aca="false">IF($A71="","",품목마스터!$E70)</f>
        <v/>
      </c>
      <c r="D71" s="12" t="str">
        <f aca="false">IF($A71="","",품목마스터!$D70)</f>
        <v/>
      </c>
      <c r="E71" s="13" t="str">
        <f aca="false">IF($A71="","",IF(품목마스터!$F70="",0,품목마스터!$F70))</f>
        <v/>
      </c>
      <c r="F71" s="13" t="str">
        <f aca="false">IF($A71="","",SUMIFS(입출고내역!$G$3:$G$1002,입출고내역!$C$3:$C$1002,$A71,입출고내역!$B$3:$B$1002,"입고"))</f>
        <v/>
      </c>
      <c r="G71" s="13" t="str">
        <f aca="false">IF($A71="","",SUMIFS(입출고내역!$G$3:$G$1002,입출고내역!$C$3:$C$1002,$A71,입출고내역!$B$3:$B$1002,"출고"))</f>
        <v/>
      </c>
      <c r="H71" s="13" t="str">
        <f aca="false">IF($A71="","",$E71+SUMIFS(입출고내역!$L$3:$L$1002,입출고내역!$C$3:$C$1002,$A71))</f>
        <v/>
      </c>
      <c r="I71" s="13" t="str">
        <f aca="false">IF($A71="","",IF(품목마스터!$G70="",0,품목마스터!$G70))</f>
        <v/>
      </c>
      <c r="J71" s="20" t="str">
        <f aca="false">IF($A71="","",IF($I71=0,"기준없음",TEXT($H71/$I71,"0%")&amp;"  "&amp;REPT("■",MIN(10,ROUND($H71/$I71*10,0)))))</f>
        <v/>
      </c>
    </row>
    <row r="72" customFormat="false" ht="15" hidden="false" customHeight="true" outlineLevel="0" collapsed="false">
      <c r="A72" s="12" t="str">
        <f aca="false">IF(품목마스터!$A71="","",품목마스터!$A71)</f>
        <v/>
      </c>
      <c r="B72" s="12" t="str">
        <f aca="false">IF($A72="","",품목마스터!$B71)</f>
        <v/>
      </c>
      <c r="C72" s="12" t="str">
        <f aca="false">IF($A72="","",품목마스터!$E71)</f>
        <v/>
      </c>
      <c r="D72" s="12" t="str">
        <f aca="false">IF($A72="","",품목마스터!$D71)</f>
        <v/>
      </c>
      <c r="E72" s="13" t="str">
        <f aca="false">IF($A72="","",IF(품목마스터!$F71="",0,품목마스터!$F71))</f>
        <v/>
      </c>
      <c r="F72" s="13" t="str">
        <f aca="false">IF($A72="","",SUMIFS(입출고내역!$G$3:$G$1002,입출고내역!$C$3:$C$1002,$A72,입출고내역!$B$3:$B$1002,"입고"))</f>
        <v/>
      </c>
      <c r="G72" s="13" t="str">
        <f aca="false">IF($A72="","",SUMIFS(입출고내역!$G$3:$G$1002,입출고내역!$C$3:$C$1002,$A72,입출고내역!$B$3:$B$1002,"출고"))</f>
        <v/>
      </c>
      <c r="H72" s="13" t="str">
        <f aca="false">IF($A72="","",$E72+SUMIFS(입출고내역!$L$3:$L$1002,입출고내역!$C$3:$C$1002,$A72))</f>
        <v/>
      </c>
      <c r="I72" s="13" t="str">
        <f aca="false">IF($A72="","",IF(품목마스터!$G71="",0,품목마스터!$G71))</f>
        <v/>
      </c>
      <c r="J72" s="20" t="str">
        <f aca="false">IF($A72="","",IF($I72=0,"기준없음",TEXT($H72/$I72,"0%")&amp;"  "&amp;REPT("■",MIN(10,ROUND($H72/$I72*10,0)))))</f>
        <v/>
      </c>
    </row>
    <row r="73" customFormat="false" ht="15" hidden="false" customHeight="true" outlineLevel="0" collapsed="false">
      <c r="A73" s="12" t="str">
        <f aca="false">IF(품목마스터!$A72="","",품목마스터!$A72)</f>
        <v/>
      </c>
      <c r="B73" s="12" t="str">
        <f aca="false">IF($A73="","",품목마스터!$B72)</f>
        <v/>
      </c>
      <c r="C73" s="12" t="str">
        <f aca="false">IF($A73="","",품목마스터!$E72)</f>
        <v/>
      </c>
      <c r="D73" s="12" t="str">
        <f aca="false">IF($A73="","",품목마스터!$D72)</f>
        <v/>
      </c>
      <c r="E73" s="13" t="str">
        <f aca="false">IF($A73="","",IF(품목마스터!$F72="",0,품목마스터!$F72))</f>
        <v/>
      </c>
      <c r="F73" s="13" t="str">
        <f aca="false">IF($A73="","",SUMIFS(입출고내역!$G$3:$G$1002,입출고내역!$C$3:$C$1002,$A73,입출고내역!$B$3:$B$1002,"입고"))</f>
        <v/>
      </c>
      <c r="G73" s="13" t="str">
        <f aca="false">IF($A73="","",SUMIFS(입출고내역!$G$3:$G$1002,입출고내역!$C$3:$C$1002,$A73,입출고내역!$B$3:$B$1002,"출고"))</f>
        <v/>
      </c>
      <c r="H73" s="13" t="str">
        <f aca="false">IF($A73="","",$E73+SUMIFS(입출고내역!$L$3:$L$1002,입출고내역!$C$3:$C$1002,$A73))</f>
        <v/>
      </c>
      <c r="I73" s="13" t="str">
        <f aca="false">IF($A73="","",IF(품목마스터!$G72="",0,품목마스터!$G72))</f>
        <v/>
      </c>
      <c r="J73" s="20" t="str">
        <f aca="false">IF($A73="","",IF($I73=0,"기준없음",TEXT($H73/$I73,"0%")&amp;"  "&amp;REPT("■",MIN(10,ROUND($H73/$I73*10,0)))))</f>
        <v/>
      </c>
    </row>
    <row r="74" customFormat="false" ht="15" hidden="false" customHeight="true" outlineLevel="0" collapsed="false">
      <c r="A74" s="12" t="str">
        <f aca="false">IF(품목마스터!$A73="","",품목마스터!$A73)</f>
        <v/>
      </c>
      <c r="B74" s="12" t="str">
        <f aca="false">IF($A74="","",품목마스터!$B73)</f>
        <v/>
      </c>
      <c r="C74" s="12" t="str">
        <f aca="false">IF($A74="","",품목마스터!$E73)</f>
        <v/>
      </c>
      <c r="D74" s="12" t="str">
        <f aca="false">IF($A74="","",품목마스터!$D73)</f>
        <v/>
      </c>
      <c r="E74" s="13" t="str">
        <f aca="false">IF($A74="","",IF(품목마스터!$F73="",0,품목마스터!$F73))</f>
        <v/>
      </c>
      <c r="F74" s="13" t="str">
        <f aca="false">IF($A74="","",SUMIFS(입출고내역!$G$3:$G$1002,입출고내역!$C$3:$C$1002,$A74,입출고내역!$B$3:$B$1002,"입고"))</f>
        <v/>
      </c>
      <c r="G74" s="13" t="str">
        <f aca="false">IF($A74="","",SUMIFS(입출고내역!$G$3:$G$1002,입출고내역!$C$3:$C$1002,$A74,입출고내역!$B$3:$B$1002,"출고"))</f>
        <v/>
      </c>
      <c r="H74" s="13" t="str">
        <f aca="false">IF($A74="","",$E74+SUMIFS(입출고내역!$L$3:$L$1002,입출고내역!$C$3:$C$1002,$A74))</f>
        <v/>
      </c>
      <c r="I74" s="13" t="str">
        <f aca="false">IF($A74="","",IF(품목마스터!$G73="",0,품목마스터!$G73))</f>
        <v/>
      </c>
      <c r="J74" s="20" t="str">
        <f aca="false">IF($A74="","",IF($I74=0,"기준없음",TEXT($H74/$I74,"0%")&amp;"  "&amp;REPT("■",MIN(10,ROUND($H74/$I74*10,0)))))</f>
        <v/>
      </c>
    </row>
    <row r="75" customFormat="false" ht="15" hidden="false" customHeight="true" outlineLevel="0" collapsed="false">
      <c r="A75" s="12" t="str">
        <f aca="false">IF(품목마스터!$A74="","",품목마스터!$A74)</f>
        <v/>
      </c>
      <c r="B75" s="12" t="str">
        <f aca="false">IF($A75="","",품목마스터!$B74)</f>
        <v/>
      </c>
      <c r="C75" s="12" t="str">
        <f aca="false">IF($A75="","",품목마스터!$E74)</f>
        <v/>
      </c>
      <c r="D75" s="12" t="str">
        <f aca="false">IF($A75="","",품목마스터!$D74)</f>
        <v/>
      </c>
      <c r="E75" s="13" t="str">
        <f aca="false">IF($A75="","",IF(품목마스터!$F74="",0,품목마스터!$F74))</f>
        <v/>
      </c>
      <c r="F75" s="13" t="str">
        <f aca="false">IF($A75="","",SUMIFS(입출고내역!$G$3:$G$1002,입출고내역!$C$3:$C$1002,$A75,입출고내역!$B$3:$B$1002,"입고"))</f>
        <v/>
      </c>
      <c r="G75" s="13" t="str">
        <f aca="false">IF($A75="","",SUMIFS(입출고내역!$G$3:$G$1002,입출고내역!$C$3:$C$1002,$A75,입출고내역!$B$3:$B$1002,"출고"))</f>
        <v/>
      </c>
      <c r="H75" s="13" t="str">
        <f aca="false">IF($A75="","",$E75+SUMIFS(입출고내역!$L$3:$L$1002,입출고내역!$C$3:$C$1002,$A75))</f>
        <v/>
      </c>
      <c r="I75" s="13" t="str">
        <f aca="false">IF($A75="","",IF(품목마스터!$G74="",0,품목마스터!$G74))</f>
        <v/>
      </c>
      <c r="J75" s="20" t="str">
        <f aca="false">IF($A75="","",IF($I75=0,"기준없음",TEXT($H75/$I75,"0%")&amp;"  "&amp;REPT("■",MIN(10,ROUND($H75/$I75*10,0)))))</f>
        <v/>
      </c>
    </row>
    <row r="76" customFormat="false" ht="15" hidden="false" customHeight="true" outlineLevel="0" collapsed="false">
      <c r="A76" s="12" t="str">
        <f aca="false">IF(품목마스터!$A75="","",품목마스터!$A75)</f>
        <v/>
      </c>
      <c r="B76" s="12" t="str">
        <f aca="false">IF($A76="","",품목마스터!$B75)</f>
        <v/>
      </c>
      <c r="C76" s="12" t="str">
        <f aca="false">IF($A76="","",품목마스터!$E75)</f>
        <v/>
      </c>
      <c r="D76" s="12" t="str">
        <f aca="false">IF($A76="","",품목마스터!$D75)</f>
        <v/>
      </c>
      <c r="E76" s="13" t="str">
        <f aca="false">IF($A76="","",IF(품목마스터!$F75="",0,품목마스터!$F75))</f>
        <v/>
      </c>
      <c r="F76" s="13" t="str">
        <f aca="false">IF($A76="","",SUMIFS(입출고내역!$G$3:$G$1002,입출고내역!$C$3:$C$1002,$A76,입출고내역!$B$3:$B$1002,"입고"))</f>
        <v/>
      </c>
      <c r="G76" s="13" t="str">
        <f aca="false">IF($A76="","",SUMIFS(입출고내역!$G$3:$G$1002,입출고내역!$C$3:$C$1002,$A76,입출고내역!$B$3:$B$1002,"출고"))</f>
        <v/>
      </c>
      <c r="H76" s="13" t="str">
        <f aca="false">IF($A76="","",$E76+SUMIFS(입출고내역!$L$3:$L$1002,입출고내역!$C$3:$C$1002,$A76))</f>
        <v/>
      </c>
      <c r="I76" s="13" t="str">
        <f aca="false">IF($A76="","",IF(품목마스터!$G75="",0,품목마스터!$G75))</f>
        <v/>
      </c>
      <c r="J76" s="20" t="str">
        <f aca="false">IF($A76="","",IF($I76=0,"기준없음",TEXT($H76/$I76,"0%")&amp;"  "&amp;REPT("■",MIN(10,ROUND($H76/$I76*10,0)))))</f>
        <v/>
      </c>
    </row>
    <row r="77" customFormat="false" ht="15" hidden="false" customHeight="true" outlineLevel="0" collapsed="false">
      <c r="A77" s="12" t="str">
        <f aca="false">IF(품목마스터!$A76="","",품목마스터!$A76)</f>
        <v/>
      </c>
      <c r="B77" s="12" t="str">
        <f aca="false">IF($A77="","",품목마스터!$B76)</f>
        <v/>
      </c>
      <c r="C77" s="12" t="str">
        <f aca="false">IF($A77="","",품목마스터!$E76)</f>
        <v/>
      </c>
      <c r="D77" s="12" t="str">
        <f aca="false">IF($A77="","",품목마스터!$D76)</f>
        <v/>
      </c>
      <c r="E77" s="13" t="str">
        <f aca="false">IF($A77="","",IF(품목마스터!$F76="",0,품목마스터!$F76))</f>
        <v/>
      </c>
      <c r="F77" s="13" t="str">
        <f aca="false">IF($A77="","",SUMIFS(입출고내역!$G$3:$G$1002,입출고내역!$C$3:$C$1002,$A77,입출고내역!$B$3:$B$1002,"입고"))</f>
        <v/>
      </c>
      <c r="G77" s="13" t="str">
        <f aca="false">IF($A77="","",SUMIFS(입출고내역!$G$3:$G$1002,입출고내역!$C$3:$C$1002,$A77,입출고내역!$B$3:$B$1002,"출고"))</f>
        <v/>
      </c>
      <c r="H77" s="13" t="str">
        <f aca="false">IF($A77="","",$E77+SUMIFS(입출고내역!$L$3:$L$1002,입출고내역!$C$3:$C$1002,$A77))</f>
        <v/>
      </c>
      <c r="I77" s="13" t="str">
        <f aca="false">IF($A77="","",IF(품목마스터!$G76="",0,품목마스터!$G76))</f>
        <v/>
      </c>
      <c r="J77" s="20" t="str">
        <f aca="false">IF($A77="","",IF($I77=0,"기준없음",TEXT($H77/$I77,"0%")&amp;"  "&amp;REPT("■",MIN(10,ROUND($H77/$I77*10,0)))))</f>
        <v/>
      </c>
    </row>
    <row r="78" customFormat="false" ht="15" hidden="false" customHeight="true" outlineLevel="0" collapsed="false">
      <c r="A78" s="12" t="str">
        <f aca="false">IF(품목마스터!$A77="","",품목마스터!$A77)</f>
        <v/>
      </c>
      <c r="B78" s="12" t="str">
        <f aca="false">IF($A78="","",품목마스터!$B77)</f>
        <v/>
      </c>
      <c r="C78" s="12" t="str">
        <f aca="false">IF($A78="","",품목마스터!$E77)</f>
        <v/>
      </c>
      <c r="D78" s="12" t="str">
        <f aca="false">IF($A78="","",품목마스터!$D77)</f>
        <v/>
      </c>
      <c r="E78" s="13" t="str">
        <f aca="false">IF($A78="","",IF(품목마스터!$F77="",0,품목마스터!$F77))</f>
        <v/>
      </c>
      <c r="F78" s="13" t="str">
        <f aca="false">IF($A78="","",SUMIFS(입출고내역!$G$3:$G$1002,입출고내역!$C$3:$C$1002,$A78,입출고내역!$B$3:$B$1002,"입고"))</f>
        <v/>
      </c>
      <c r="G78" s="13" t="str">
        <f aca="false">IF($A78="","",SUMIFS(입출고내역!$G$3:$G$1002,입출고내역!$C$3:$C$1002,$A78,입출고내역!$B$3:$B$1002,"출고"))</f>
        <v/>
      </c>
      <c r="H78" s="13" t="str">
        <f aca="false">IF($A78="","",$E78+SUMIFS(입출고내역!$L$3:$L$1002,입출고내역!$C$3:$C$1002,$A78))</f>
        <v/>
      </c>
      <c r="I78" s="13" t="str">
        <f aca="false">IF($A78="","",IF(품목마스터!$G77="",0,품목마스터!$G77))</f>
        <v/>
      </c>
      <c r="J78" s="20" t="str">
        <f aca="false">IF($A78="","",IF($I78=0,"기준없음",TEXT($H78/$I78,"0%")&amp;"  "&amp;REPT("■",MIN(10,ROUND($H78/$I78*10,0)))))</f>
        <v/>
      </c>
    </row>
    <row r="79" customFormat="false" ht="15" hidden="false" customHeight="true" outlineLevel="0" collapsed="false">
      <c r="A79" s="12" t="str">
        <f aca="false">IF(품목마스터!$A78="","",품목마스터!$A78)</f>
        <v/>
      </c>
      <c r="B79" s="12" t="str">
        <f aca="false">IF($A79="","",품목마스터!$B78)</f>
        <v/>
      </c>
      <c r="C79" s="12" t="str">
        <f aca="false">IF($A79="","",품목마스터!$E78)</f>
        <v/>
      </c>
      <c r="D79" s="12" t="str">
        <f aca="false">IF($A79="","",품목마스터!$D78)</f>
        <v/>
      </c>
      <c r="E79" s="13" t="str">
        <f aca="false">IF($A79="","",IF(품목마스터!$F78="",0,품목마스터!$F78))</f>
        <v/>
      </c>
      <c r="F79" s="13" t="str">
        <f aca="false">IF($A79="","",SUMIFS(입출고내역!$G$3:$G$1002,입출고내역!$C$3:$C$1002,$A79,입출고내역!$B$3:$B$1002,"입고"))</f>
        <v/>
      </c>
      <c r="G79" s="13" t="str">
        <f aca="false">IF($A79="","",SUMIFS(입출고내역!$G$3:$G$1002,입출고내역!$C$3:$C$1002,$A79,입출고내역!$B$3:$B$1002,"출고"))</f>
        <v/>
      </c>
      <c r="H79" s="13" t="str">
        <f aca="false">IF($A79="","",$E79+SUMIFS(입출고내역!$L$3:$L$1002,입출고내역!$C$3:$C$1002,$A79))</f>
        <v/>
      </c>
      <c r="I79" s="13" t="str">
        <f aca="false">IF($A79="","",IF(품목마스터!$G78="",0,품목마스터!$G78))</f>
        <v/>
      </c>
      <c r="J79" s="20" t="str">
        <f aca="false">IF($A79="","",IF($I79=0,"기준없음",TEXT($H79/$I79,"0%")&amp;"  "&amp;REPT("■",MIN(10,ROUND($H79/$I79*10,0)))))</f>
        <v/>
      </c>
    </row>
    <row r="80" customFormat="false" ht="15" hidden="false" customHeight="true" outlineLevel="0" collapsed="false">
      <c r="A80" s="12" t="str">
        <f aca="false">IF(품목마스터!$A79="","",품목마스터!$A79)</f>
        <v/>
      </c>
      <c r="B80" s="12" t="str">
        <f aca="false">IF($A80="","",품목마스터!$B79)</f>
        <v/>
      </c>
      <c r="C80" s="12" t="str">
        <f aca="false">IF($A80="","",품목마스터!$E79)</f>
        <v/>
      </c>
      <c r="D80" s="12" t="str">
        <f aca="false">IF($A80="","",품목마스터!$D79)</f>
        <v/>
      </c>
      <c r="E80" s="13" t="str">
        <f aca="false">IF($A80="","",IF(품목마스터!$F79="",0,품목마스터!$F79))</f>
        <v/>
      </c>
      <c r="F80" s="13" t="str">
        <f aca="false">IF($A80="","",SUMIFS(입출고내역!$G$3:$G$1002,입출고내역!$C$3:$C$1002,$A80,입출고내역!$B$3:$B$1002,"입고"))</f>
        <v/>
      </c>
      <c r="G80" s="13" t="str">
        <f aca="false">IF($A80="","",SUMIFS(입출고내역!$G$3:$G$1002,입출고내역!$C$3:$C$1002,$A80,입출고내역!$B$3:$B$1002,"출고"))</f>
        <v/>
      </c>
      <c r="H80" s="13" t="str">
        <f aca="false">IF($A80="","",$E80+SUMIFS(입출고내역!$L$3:$L$1002,입출고내역!$C$3:$C$1002,$A80))</f>
        <v/>
      </c>
      <c r="I80" s="13" t="str">
        <f aca="false">IF($A80="","",IF(품목마스터!$G79="",0,품목마스터!$G79))</f>
        <v/>
      </c>
      <c r="J80" s="20" t="str">
        <f aca="false">IF($A80="","",IF($I80=0,"기준없음",TEXT($H80/$I80,"0%")&amp;"  "&amp;REPT("■",MIN(10,ROUND($H80/$I80*10,0)))))</f>
        <v/>
      </c>
    </row>
    <row r="81" customFormat="false" ht="15" hidden="false" customHeight="true" outlineLevel="0" collapsed="false">
      <c r="A81" s="12" t="str">
        <f aca="false">IF(품목마스터!$A80="","",품목마스터!$A80)</f>
        <v/>
      </c>
      <c r="B81" s="12" t="str">
        <f aca="false">IF($A81="","",품목마스터!$B80)</f>
        <v/>
      </c>
      <c r="C81" s="12" t="str">
        <f aca="false">IF($A81="","",품목마스터!$E80)</f>
        <v/>
      </c>
      <c r="D81" s="12" t="str">
        <f aca="false">IF($A81="","",품목마스터!$D80)</f>
        <v/>
      </c>
      <c r="E81" s="13" t="str">
        <f aca="false">IF($A81="","",IF(품목마스터!$F80="",0,품목마스터!$F80))</f>
        <v/>
      </c>
      <c r="F81" s="13" t="str">
        <f aca="false">IF($A81="","",SUMIFS(입출고내역!$G$3:$G$1002,입출고내역!$C$3:$C$1002,$A81,입출고내역!$B$3:$B$1002,"입고"))</f>
        <v/>
      </c>
      <c r="G81" s="13" t="str">
        <f aca="false">IF($A81="","",SUMIFS(입출고내역!$G$3:$G$1002,입출고내역!$C$3:$C$1002,$A81,입출고내역!$B$3:$B$1002,"출고"))</f>
        <v/>
      </c>
      <c r="H81" s="13" t="str">
        <f aca="false">IF($A81="","",$E81+SUMIFS(입출고내역!$L$3:$L$1002,입출고내역!$C$3:$C$1002,$A81))</f>
        <v/>
      </c>
      <c r="I81" s="13" t="str">
        <f aca="false">IF($A81="","",IF(품목마스터!$G80="",0,품목마스터!$G80))</f>
        <v/>
      </c>
      <c r="J81" s="20" t="str">
        <f aca="false">IF($A81="","",IF($I81=0,"기준없음",TEXT($H81/$I81,"0%")&amp;"  "&amp;REPT("■",MIN(10,ROUND($H81/$I81*10,0)))))</f>
        <v/>
      </c>
    </row>
    <row r="82" customFormat="false" ht="15" hidden="false" customHeight="true" outlineLevel="0" collapsed="false">
      <c r="A82" s="12" t="str">
        <f aca="false">IF(품목마스터!$A81="","",품목마스터!$A81)</f>
        <v/>
      </c>
      <c r="B82" s="12" t="str">
        <f aca="false">IF($A82="","",품목마스터!$B81)</f>
        <v/>
      </c>
      <c r="C82" s="12" t="str">
        <f aca="false">IF($A82="","",품목마스터!$E81)</f>
        <v/>
      </c>
      <c r="D82" s="12" t="str">
        <f aca="false">IF($A82="","",품목마스터!$D81)</f>
        <v/>
      </c>
      <c r="E82" s="13" t="str">
        <f aca="false">IF($A82="","",IF(품목마스터!$F81="",0,품목마스터!$F81))</f>
        <v/>
      </c>
      <c r="F82" s="13" t="str">
        <f aca="false">IF($A82="","",SUMIFS(입출고내역!$G$3:$G$1002,입출고내역!$C$3:$C$1002,$A82,입출고내역!$B$3:$B$1002,"입고"))</f>
        <v/>
      </c>
      <c r="G82" s="13" t="str">
        <f aca="false">IF($A82="","",SUMIFS(입출고내역!$G$3:$G$1002,입출고내역!$C$3:$C$1002,$A82,입출고내역!$B$3:$B$1002,"출고"))</f>
        <v/>
      </c>
      <c r="H82" s="13" t="str">
        <f aca="false">IF($A82="","",$E82+SUMIFS(입출고내역!$L$3:$L$1002,입출고내역!$C$3:$C$1002,$A82))</f>
        <v/>
      </c>
      <c r="I82" s="13" t="str">
        <f aca="false">IF($A82="","",IF(품목마스터!$G81="",0,품목마스터!$G81))</f>
        <v/>
      </c>
      <c r="J82" s="20" t="str">
        <f aca="false">IF($A82="","",IF($I82=0,"기준없음",TEXT($H82/$I82,"0%")&amp;"  "&amp;REPT("■",MIN(10,ROUND($H82/$I82*10,0)))))</f>
        <v/>
      </c>
    </row>
    <row r="83" customFormat="false" ht="15" hidden="false" customHeight="true" outlineLevel="0" collapsed="false">
      <c r="A83" s="12" t="str">
        <f aca="false">IF(품목마스터!$A82="","",품목마스터!$A82)</f>
        <v/>
      </c>
      <c r="B83" s="12" t="str">
        <f aca="false">IF($A83="","",품목마스터!$B82)</f>
        <v/>
      </c>
      <c r="C83" s="12" t="str">
        <f aca="false">IF($A83="","",품목마스터!$E82)</f>
        <v/>
      </c>
      <c r="D83" s="12" t="str">
        <f aca="false">IF($A83="","",품목마스터!$D82)</f>
        <v/>
      </c>
      <c r="E83" s="13" t="str">
        <f aca="false">IF($A83="","",IF(품목마스터!$F82="",0,품목마스터!$F82))</f>
        <v/>
      </c>
      <c r="F83" s="13" t="str">
        <f aca="false">IF($A83="","",SUMIFS(입출고내역!$G$3:$G$1002,입출고내역!$C$3:$C$1002,$A83,입출고내역!$B$3:$B$1002,"입고"))</f>
        <v/>
      </c>
      <c r="G83" s="13" t="str">
        <f aca="false">IF($A83="","",SUMIFS(입출고내역!$G$3:$G$1002,입출고내역!$C$3:$C$1002,$A83,입출고내역!$B$3:$B$1002,"출고"))</f>
        <v/>
      </c>
      <c r="H83" s="13" t="str">
        <f aca="false">IF($A83="","",$E83+SUMIFS(입출고내역!$L$3:$L$1002,입출고내역!$C$3:$C$1002,$A83))</f>
        <v/>
      </c>
      <c r="I83" s="13" t="str">
        <f aca="false">IF($A83="","",IF(품목마스터!$G82="",0,품목마스터!$G82))</f>
        <v/>
      </c>
      <c r="J83" s="20" t="str">
        <f aca="false">IF($A83="","",IF($I83=0,"기준없음",TEXT($H83/$I83,"0%")&amp;"  "&amp;REPT("■",MIN(10,ROUND($H83/$I83*10,0)))))</f>
        <v/>
      </c>
    </row>
    <row r="84" customFormat="false" ht="15" hidden="false" customHeight="true" outlineLevel="0" collapsed="false">
      <c r="A84" s="12" t="str">
        <f aca="false">IF(품목마스터!$A83="","",품목마스터!$A83)</f>
        <v/>
      </c>
      <c r="B84" s="12" t="str">
        <f aca="false">IF($A84="","",품목마스터!$B83)</f>
        <v/>
      </c>
      <c r="C84" s="12" t="str">
        <f aca="false">IF($A84="","",품목마스터!$E83)</f>
        <v/>
      </c>
      <c r="D84" s="12" t="str">
        <f aca="false">IF($A84="","",품목마스터!$D83)</f>
        <v/>
      </c>
      <c r="E84" s="13" t="str">
        <f aca="false">IF($A84="","",IF(품목마스터!$F83="",0,품목마스터!$F83))</f>
        <v/>
      </c>
      <c r="F84" s="13" t="str">
        <f aca="false">IF($A84="","",SUMIFS(입출고내역!$G$3:$G$1002,입출고내역!$C$3:$C$1002,$A84,입출고내역!$B$3:$B$1002,"입고"))</f>
        <v/>
      </c>
      <c r="G84" s="13" t="str">
        <f aca="false">IF($A84="","",SUMIFS(입출고내역!$G$3:$G$1002,입출고내역!$C$3:$C$1002,$A84,입출고내역!$B$3:$B$1002,"출고"))</f>
        <v/>
      </c>
      <c r="H84" s="13" t="str">
        <f aca="false">IF($A84="","",$E84+SUMIFS(입출고내역!$L$3:$L$1002,입출고내역!$C$3:$C$1002,$A84))</f>
        <v/>
      </c>
      <c r="I84" s="13" t="str">
        <f aca="false">IF($A84="","",IF(품목마스터!$G83="",0,품목마스터!$G83))</f>
        <v/>
      </c>
      <c r="J84" s="20" t="str">
        <f aca="false">IF($A84="","",IF($I84=0,"기준없음",TEXT($H84/$I84,"0%")&amp;"  "&amp;REPT("■",MIN(10,ROUND($H84/$I84*10,0)))))</f>
        <v/>
      </c>
    </row>
    <row r="85" customFormat="false" ht="15" hidden="false" customHeight="true" outlineLevel="0" collapsed="false">
      <c r="A85" s="12" t="str">
        <f aca="false">IF(품목마스터!$A84="","",품목마스터!$A84)</f>
        <v/>
      </c>
      <c r="B85" s="12" t="str">
        <f aca="false">IF($A85="","",품목마스터!$B84)</f>
        <v/>
      </c>
      <c r="C85" s="12" t="str">
        <f aca="false">IF($A85="","",품목마스터!$E84)</f>
        <v/>
      </c>
      <c r="D85" s="12" t="str">
        <f aca="false">IF($A85="","",품목마스터!$D84)</f>
        <v/>
      </c>
      <c r="E85" s="13" t="str">
        <f aca="false">IF($A85="","",IF(품목마스터!$F84="",0,품목마스터!$F84))</f>
        <v/>
      </c>
      <c r="F85" s="13" t="str">
        <f aca="false">IF($A85="","",SUMIFS(입출고내역!$G$3:$G$1002,입출고내역!$C$3:$C$1002,$A85,입출고내역!$B$3:$B$1002,"입고"))</f>
        <v/>
      </c>
      <c r="G85" s="13" t="str">
        <f aca="false">IF($A85="","",SUMIFS(입출고내역!$G$3:$G$1002,입출고내역!$C$3:$C$1002,$A85,입출고내역!$B$3:$B$1002,"출고"))</f>
        <v/>
      </c>
      <c r="H85" s="13" t="str">
        <f aca="false">IF($A85="","",$E85+SUMIFS(입출고내역!$L$3:$L$1002,입출고내역!$C$3:$C$1002,$A85))</f>
        <v/>
      </c>
      <c r="I85" s="13" t="str">
        <f aca="false">IF($A85="","",IF(품목마스터!$G84="",0,품목마스터!$G84))</f>
        <v/>
      </c>
      <c r="J85" s="20" t="str">
        <f aca="false">IF($A85="","",IF($I85=0,"기준없음",TEXT($H85/$I85,"0%")&amp;"  "&amp;REPT("■",MIN(10,ROUND($H85/$I85*10,0)))))</f>
        <v/>
      </c>
    </row>
    <row r="86" customFormat="false" ht="15" hidden="false" customHeight="true" outlineLevel="0" collapsed="false">
      <c r="A86" s="12" t="str">
        <f aca="false">IF(품목마스터!$A85="","",품목마스터!$A85)</f>
        <v/>
      </c>
      <c r="B86" s="12" t="str">
        <f aca="false">IF($A86="","",품목마스터!$B85)</f>
        <v/>
      </c>
      <c r="C86" s="12" t="str">
        <f aca="false">IF($A86="","",품목마스터!$E85)</f>
        <v/>
      </c>
      <c r="D86" s="12" t="str">
        <f aca="false">IF($A86="","",품목마스터!$D85)</f>
        <v/>
      </c>
      <c r="E86" s="13" t="str">
        <f aca="false">IF($A86="","",IF(품목마스터!$F85="",0,품목마스터!$F85))</f>
        <v/>
      </c>
      <c r="F86" s="13" t="str">
        <f aca="false">IF($A86="","",SUMIFS(입출고내역!$G$3:$G$1002,입출고내역!$C$3:$C$1002,$A86,입출고내역!$B$3:$B$1002,"입고"))</f>
        <v/>
      </c>
      <c r="G86" s="13" t="str">
        <f aca="false">IF($A86="","",SUMIFS(입출고내역!$G$3:$G$1002,입출고내역!$C$3:$C$1002,$A86,입출고내역!$B$3:$B$1002,"출고"))</f>
        <v/>
      </c>
      <c r="H86" s="13" t="str">
        <f aca="false">IF($A86="","",$E86+SUMIFS(입출고내역!$L$3:$L$1002,입출고내역!$C$3:$C$1002,$A86))</f>
        <v/>
      </c>
      <c r="I86" s="13" t="str">
        <f aca="false">IF($A86="","",IF(품목마스터!$G85="",0,품목마스터!$G85))</f>
        <v/>
      </c>
      <c r="J86" s="20" t="str">
        <f aca="false">IF($A86="","",IF($I86=0,"기준없음",TEXT($H86/$I86,"0%")&amp;"  "&amp;REPT("■",MIN(10,ROUND($H86/$I86*10,0)))))</f>
        <v/>
      </c>
    </row>
    <row r="87" customFormat="false" ht="15" hidden="false" customHeight="true" outlineLevel="0" collapsed="false">
      <c r="A87" s="12" t="str">
        <f aca="false">IF(품목마스터!$A86="","",품목마스터!$A86)</f>
        <v/>
      </c>
      <c r="B87" s="12" t="str">
        <f aca="false">IF($A87="","",품목마스터!$B86)</f>
        <v/>
      </c>
      <c r="C87" s="12" t="str">
        <f aca="false">IF($A87="","",품목마스터!$E86)</f>
        <v/>
      </c>
      <c r="D87" s="12" t="str">
        <f aca="false">IF($A87="","",품목마스터!$D86)</f>
        <v/>
      </c>
      <c r="E87" s="13" t="str">
        <f aca="false">IF($A87="","",IF(품목마스터!$F86="",0,품목마스터!$F86))</f>
        <v/>
      </c>
      <c r="F87" s="13" t="str">
        <f aca="false">IF($A87="","",SUMIFS(입출고내역!$G$3:$G$1002,입출고내역!$C$3:$C$1002,$A87,입출고내역!$B$3:$B$1002,"입고"))</f>
        <v/>
      </c>
      <c r="G87" s="13" t="str">
        <f aca="false">IF($A87="","",SUMIFS(입출고내역!$G$3:$G$1002,입출고내역!$C$3:$C$1002,$A87,입출고내역!$B$3:$B$1002,"출고"))</f>
        <v/>
      </c>
      <c r="H87" s="13" t="str">
        <f aca="false">IF($A87="","",$E87+SUMIFS(입출고내역!$L$3:$L$1002,입출고내역!$C$3:$C$1002,$A87))</f>
        <v/>
      </c>
      <c r="I87" s="13" t="str">
        <f aca="false">IF($A87="","",IF(품목마스터!$G86="",0,품목마스터!$G86))</f>
        <v/>
      </c>
      <c r="J87" s="20" t="str">
        <f aca="false">IF($A87="","",IF($I87=0,"기준없음",TEXT($H87/$I87,"0%")&amp;"  "&amp;REPT("■",MIN(10,ROUND($H87/$I87*10,0)))))</f>
        <v/>
      </c>
    </row>
    <row r="88" customFormat="false" ht="15" hidden="false" customHeight="true" outlineLevel="0" collapsed="false">
      <c r="A88" s="12" t="str">
        <f aca="false">IF(품목마스터!$A87="","",품목마스터!$A87)</f>
        <v/>
      </c>
      <c r="B88" s="12" t="str">
        <f aca="false">IF($A88="","",품목마스터!$B87)</f>
        <v/>
      </c>
      <c r="C88" s="12" t="str">
        <f aca="false">IF($A88="","",품목마스터!$E87)</f>
        <v/>
      </c>
      <c r="D88" s="12" t="str">
        <f aca="false">IF($A88="","",품목마스터!$D87)</f>
        <v/>
      </c>
      <c r="E88" s="13" t="str">
        <f aca="false">IF($A88="","",IF(품목마스터!$F87="",0,품목마스터!$F87))</f>
        <v/>
      </c>
      <c r="F88" s="13" t="str">
        <f aca="false">IF($A88="","",SUMIFS(입출고내역!$G$3:$G$1002,입출고내역!$C$3:$C$1002,$A88,입출고내역!$B$3:$B$1002,"입고"))</f>
        <v/>
      </c>
      <c r="G88" s="13" t="str">
        <f aca="false">IF($A88="","",SUMIFS(입출고내역!$G$3:$G$1002,입출고내역!$C$3:$C$1002,$A88,입출고내역!$B$3:$B$1002,"출고"))</f>
        <v/>
      </c>
      <c r="H88" s="13" t="str">
        <f aca="false">IF($A88="","",$E88+SUMIFS(입출고내역!$L$3:$L$1002,입출고내역!$C$3:$C$1002,$A88))</f>
        <v/>
      </c>
      <c r="I88" s="13" t="str">
        <f aca="false">IF($A88="","",IF(품목마스터!$G87="",0,품목마스터!$G87))</f>
        <v/>
      </c>
      <c r="J88" s="20" t="str">
        <f aca="false">IF($A88="","",IF($I88=0,"기준없음",TEXT($H88/$I88,"0%")&amp;"  "&amp;REPT("■",MIN(10,ROUND($H88/$I88*10,0)))))</f>
        <v/>
      </c>
    </row>
    <row r="89" customFormat="false" ht="15" hidden="false" customHeight="true" outlineLevel="0" collapsed="false">
      <c r="A89" s="12" t="str">
        <f aca="false">IF(품목마스터!$A88="","",품목마스터!$A88)</f>
        <v/>
      </c>
      <c r="B89" s="12" t="str">
        <f aca="false">IF($A89="","",품목마스터!$B88)</f>
        <v/>
      </c>
      <c r="C89" s="12" t="str">
        <f aca="false">IF($A89="","",품목마스터!$E88)</f>
        <v/>
      </c>
      <c r="D89" s="12" t="str">
        <f aca="false">IF($A89="","",품목마스터!$D88)</f>
        <v/>
      </c>
      <c r="E89" s="13" t="str">
        <f aca="false">IF($A89="","",IF(품목마스터!$F88="",0,품목마스터!$F88))</f>
        <v/>
      </c>
      <c r="F89" s="13" t="str">
        <f aca="false">IF($A89="","",SUMIFS(입출고내역!$G$3:$G$1002,입출고내역!$C$3:$C$1002,$A89,입출고내역!$B$3:$B$1002,"입고"))</f>
        <v/>
      </c>
      <c r="G89" s="13" t="str">
        <f aca="false">IF($A89="","",SUMIFS(입출고내역!$G$3:$G$1002,입출고내역!$C$3:$C$1002,$A89,입출고내역!$B$3:$B$1002,"출고"))</f>
        <v/>
      </c>
      <c r="H89" s="13" t="str">
        <f aca="false">IF($A89="","",$E89+SUMIFS(입출고내역!$L$3:$L$1002,입출고내역!$C$3:$C$1002,$A89))</f>
        <v/>
      </c>
      <c r="I89" s="13" t="str">
        <f aca="false">IF($A89="","",IF(품목마스터!$G88="",0,품목마스터!$G88))</f>
        <v/>
      </c>
      <c r="J89" s="20" t="str">
        <f aca="false">IF($A89="","",IF($I89=0,"기준없음",TEXT($H89/$I89,"0%")&amp;"  "&amp;REPT("■",MIN(10,ROUND($H89/$I89*10,0)))))</f>
        <v/>
      </c>
    </row>
    <row r="90" customFormat="false" ht="15" hidden="false" customHeight="true" outlineLevel="0" collapsed="false">
      <c r="A90" s="12" t="str">
        <f aca="false">IF(품목마스터!$A89="","",품목마스터!$A89)</f>
        <v/>
      </c>
      <c r="B90" s="12" t="str">
        <f aca="false">IF($A90="","",품목마스터!$B89)</f>
        <v/>
      </c>
      <c r="C90" s="12" t="str">
        <f aca="false">IF($A90="","",품목마스터!$E89)</f>
        <v/>
      </c>
      <c r="D90" s="12" t="str">
        <f aca="false">IF($A90="","",품목마스터!$D89)</f>
        <v/>
      </c>
      <c r="E90" s="13" t="str">
        <f aca="false">IF($A90="","",IF(품목마스터!$F89="",0,품목마스터!$F89))</f>
        <v/>
      </c>
      <c r="F90" s="13" t="str">
        <f aca="false">IF($A90="","",SUMIFS(입출고내역!$G$3:$G$1002,입출고내역!$C$3:$C$1002,$A90,입출고내역!$B$3:$B$1002,"입고"))</f>
        <v/>
      </c>
      <c r="G90" s="13" t="str">
        <f aca="false">IF($A90="","",SUMIFS(입출고내역!$G$3:$G$1002,입출고내역!$C$3:$C$1002,$A90,입출고내역!$B$3:$B$1002,"출고"))</f>
        <v/>
      </c>
      <c r="H90" s="13" t="str">
        <f aca="false">IF($A90="","",$E90+SUMIFS(입출고내역!$L$3:$L$1002,입출고내역!$C$3:$C$1002,$A90))</f>
        <v/>
      </c>
      <c r="I90" s="13" t="str">
        <f aca="false">IF($A90="","",IF(품목마스터!$G89="",0,품목마스터!$G89))</f>
        <v/>
      </c>
      <c r="J90" s="20" t="str">
        <f aca="false">IF($A90="","",IF($I90=0,"기준없음",TEXT($H90/$I90,"0%")&amp;"  "&amp;REPT("■",MIN(10,ROUND($H90/$I90*10,0)))))</f>
        <v/>
      </c>
    </row>
    <row r="91" customFormat="false" ht="15" hidden="false" customHeight="true" outlineLevel="0" collapsed="false">
      <c r="A91" s="12" t="str">
        <f aca="false">IF(품목마스터!$A90="","",품목마스터!$A90)</f>
        <v/>
      </c>
      <c r="B91" s="12" t="str">
        <f aca="false">IF($A91="","",품목마스터!$B90)</f>
        <v/>
      </c>
      <c r="C91" s="12" t="str">
        <f aca="false">IF($A91="","",품목마스터!$E90)</f>
        <v/>
      </c>
      <c r="D91" s="12" t="str">
        <f aca="false">IF($A91="","",품목마스터!$D90)</f>
        <v/>
      </c>
      <c r="E91" s="13" t="str">
        <f aca="false">IF($A91="","",IF(품목마스터!$F90="",0,품목마스터!$F90))</f>
        <v/>
      </c>
      <c r="F91" s="13" t="str">
        <f aca="false">IF($A91="","",SUMIFS(입출고내역!$G$3:$G$1002,입출고내역!$C$3:$C$1002,$A91,입출고내역!$B$3:$B$1002,"입고"))</f>
        <v/>
      </c>
      <c r="G91" s="13" t="str">
        <f aca="false">IF($A91="","",SUMIFS(입출고내역!$G$3:$G$1002,입출고내역!$C$3:$C$1002,$A91,입출고내역!$B$3:$B$1002,"출고"))</f>
        <v/>
      </c>
      <c r="H91" s="13" t="str">
        <f aca="false">IF($A91="","",$E91+SUMIFS(입출고내역!$L$3:$L$1002,입출고내역!$C$3:$C$1002,$A91))</f>
        <v/>
      </c>
      <c r="I91" s="13" t="str">
        <f aca="false">IF($A91="","",IF(품목마스터!$G90="",0,품목마스터!$G90))</f>
        <v/>
      </c>
      <c r="J91" s="20" t="str">
        <f aca="false">IF($A91="","",IF($I91=0,"기준없음",TEXT($H91/$I91,"0%")&amp;"  "&amp;REPT("■",MIN(10,ROUND($H91/$I91*10,0)))))</f>
        <v/>
      </c>
    </row>
    <row r="92" customFormat="false" ht="15" hidden="false" customHeight="true" outlineLevel="0" collapsed="false">
      <c r="A92" s="12" t="str">
        <f aca="false">IF(품목마스터!$A91="","",품목마스터!$A91)</f>
        <v/>
      </c>
      <c r="B92" s="12" t="str">
        <f aca="false">IF($A92="","",품목마스터!$B91)</f>
        <v/>
      </c>
      <c r="C92" s="12" t="str">
        <f aca="false">IF($A92="","",품목마스터!$E91)</f>
        <v/>
      </c>
      <c r="D92" s="12" t="str">
        <f aca="false">IF($A92="","",품목마스터!$D91)</f>
        <v/>
      </c>
      <c r="E92" s="13" t="str">
        <f aca="false">IF($A92="","",IF(품목마스터!$F91="",0,품목마스터!$F91))</f>
        <v/>
      </c>
      <c r="F92" s="13" t="str">
        <f aca="false">IF($A92="","",SUMIFS(입출고내역!$G$3:$G$1002,입출고내역!$C$3:$C$1002,$A92,입출고내역!$B$3:$B$1002,"입고"))</f>
        <v/>
      </c>
      <c r="G92" s="13" t="str">
        <f aca="false">IF($A92="","",SUMIFS(입출고내역!$G$3:$G$1002,입출고내역!$C$3:$C$1002,$A92,입출고내역!$B$3:$B$1002,"출고"))</f>
        <v/>
      </c>
      <c r="H92" s="13" t="str">
        <f aca="false">IF($A92="","",$E92+SUMIFS(입출고내역!$L$3:$L$1002,입출고내역!$C$3:$C$1002,$A92))</f>
        <v/>
      </c>
      <c r="I92" s="13" t="str">
        <f aca="false">IF($A92="","",IF(품목마스터!$G91="",0,품목마스터!$G91))</f>
        <v/>
      </c>
      <c r="J92" s="20" t="str">
        <f aca="false">IF($A92="","",IF($I92=0,"기준없음",TEXT($H92/$I92,"0%")&amp;"  "&amp;REPT("■",MIN(10,ROUND($H92/$I92*10,0)))))</f>
        <v/>
      </c>
    </row>
    <row r="93" customFormat="false" ht="15" hidden="false" customHeight="true" outlineLevel="0" collapsed="false">
      <c r="A93" s="12" t="str">
        <f aca="false">IF(품목마스터!$A92="","",품목마스터!$A92)</f>
        <v/>
      </c>
      <c r="B93" s="12" t="str">
        <f aca="false">IF($A93="","",품목마스터!$B92)</f>
        <v/>
      </c>
      <c r="C93" s="12" t="str">
        <f aca="false">IF($A93="","",품목마스터!$E92)</f>
        <v/>
      </c>
      <c r="D93" s="12" t="str">
        <f aca="false">IF($A93="","",품목마스터!$D92)</f>
        <v/>
      </c>
      <c r="E93" s="13" t="str">
        <f aca="false">IF($A93="","",IF(품목마스터!$F92="",0,품목마스터!$F92))</f>
        <v/>
      </c>
      <c r="F93" s="13" t="str">
        <f aca="false">IF($A93="","",SUMIFS(입출고내역!$G$3:$G$1002,입출고내역!$C$3:$C$1002,$A93,입출고내역!$B$3:$B$1002,"입고"))</f>
        <v/>
      </c>
      <c r="G93" s="13" t="str">
        <f aca="false">IF($A93="","",SUMIFS(입출고내역!$G$3:$G$1002,입출고내역!$C$3:$C$1002,$A93,입출고내역!$B$3:$B$1002,"출고"))</f>
        <v/>
      </c>
      <c r="H93" s="13" t="str">
        <f aca="false">IF($A93="","",$E93+SUMIFS(입출고내역!$L$3:$L$1002,입출고내역!$C$3:$C$1002,$A93))</f>
        <v/>
      </c>
      <c r="I93" s="13" t="str">
        <f aca="false">IF($A93="","",IF(품목마스터!$G92="",0,품목마스터!$G92))</f>
        <v/>
      </c>
      <c r="J93" s="20" t="str">
        <f aca="false">IF($A93="","",IF($I93=0,"기준없음",TEXT($H93/$I93,"0%")&amp;"  "&amp;REPT("■",MIN(10,ROUND($H93/$I93*10,0)))))</f>
        <v/>
      </c>
    </row>
    <row r="94" customFormat="false" ht="15" hidden="false" customHeight="true" outlineLevel="0" collapsed="false">
      <c r="A94" s="12" t="str">
        <f aca="false">IF(품목마스터!$A93="","",품목마스터!$A93)</f>
        <v/>
      </c>
      <c r="B94" s="12" t="str">
        <f aca="false">IF($A94="","",품목마스터!$B93)</f>
        <v/>
      </c>
      <c r="C94" s="12" t="str">
        <f aca="false">IF($A94="","",품목마스터!$E93)</f>
        <v/>
      </c>
      <c r="D94" s="12" t="str">
        <f aca="false">IF($A94="","",품목마스터!$D93)</f>
        <v/>
      </c>
      <c r="E94" s="13" t="str">
        <f aca="false">IF($A94="","",IF(품목마스터!$F93="",0,품목마스터!$F93))</f>
        <v/>
      </c>
      <c r="F94" s="13" t="str">
        <f aca="false">IF($A94="","",SUMIFS(입출고내역!$G$3:$G$1002,입출고내역!$C$3:$C$1002,$A94,입출고내역!$B$3:$B$1002,"입고"))</f>
        <v/>
      </c>
      <c r="G94" s="13" t="str">
        <f aca="false">IF($A94="","",SUMIFS(입출고내역!$G$3:$G$1002,입출고내역!$C$3:$C$1002,$A94,입출고내역!$B$3:$B$1002,"출고"))</f>
        <v/>
      </c>
      <c r="H94" s="13" t="str">
        <f aca="false">IF($A94="","",$E94+SUMIFS(입출고내역!$L$3:$L$1002,입출고내역!$C$3:$C$1002,$A94))</f>
        <v/>
      </c>
      <c r="I94" s="13" t="str">
        <f aca="false">IF($A94="","",IF(품목마스터!$G93="",0,품목마스터!$G93))</f>
        <v/>
      </c>
      <c r="J94" s="20" t="str">
        <f aca="false">IF($A94="","",IF($I94=0,"기준없음",TEXT($H94/$I94,"0%")&amp;"  "&amp;REPT("■",MIN(10,ROUND($H94/$I94*10,0)))))</f>
        <v/>
      </c>
    </row>
    <row r="95" customFormat="false" ht="15" hidden="false" customHeight="true" outlineLevel="0" collapsed="false">
      <c r="A95" s="12" t="str">
        <f aca="false">IF(품목마스터!$A94="","",품목마스터!$A94)</f>
        <v/>
      </c>
      <c r="B95" s="12" t="str">
        <f aca="false">IF($A95="","",품목마스터!$B94)</f>
        <v/>
      </c>
      <c r="C95" s="12" t="str">
        <f aca="false">IF($A95="","",품목마스터!$E94)</f>
        <v/>
      </c>
      <c r="D95" s="12" t="str">
        <f aca="false">IF($A95="","",품목마스터!$D94)</f>
        <v/>
      </c>
      <c r="E95" s="13" t="str">
        <f aca="false">IF($A95="","",IF(품목마스터!$F94="",0,품목마스터!$F94))</f>
        <v/>
      </c>
      <c r="F95" s="13" t="str">
        <f aca="false">IF($A95="","",SUMIFS(입출고내역!$G$3:$G$1002,입출고내역!$C$3:$C$1002,$A95,입출고내역!$B$3:$B$1002,"입고"))</f>
        <v/>
      </c>
      <c r="G95" s="13" t="str">
        <f aca="false">IF($A95="","",SUMIFS(입출고내역!$G$3:$G$1002,입출고내역!$C$3:$C$1002,$A95,입출고내역!$B$3:$B$1002,"출고"))</f>
        <v/>
      </c>
      <c r="H95" s="13" t="str">
        <f aca="false">IF($A95="","",$E95+SUMIFS(입출고내역!$L$3:$L$1002,입출고내역!$C$3:$C$1002,$A95))</f>
        <v/>
      </c>
      <c r="I95" s="13" t="str">
        <f aca="false">IF($A95="","",IF(품목마스터!$G94="",0,품목마스터!$G94))</f>
        <v/>
      </c>
      <c r="J95" s="20" t="str">
        <f aca="false">IF($A95="","",IF($I95=0,"기준없음",TEXT($H95/$I95,"0%")&amp;"  "&amp;REPT("■",MIN(10,ROUND($H95/$I95*10,0)))))</f>
        <v/>
      </c>
    </row>
    <row r="96" customFormat="false" ht="15" hidden="false" customHeight="true" outlineLevel="0" collapsed="false">
      <c r="A96" s="12" t="str">
        <f aca="false">IF(품목마스터!$A95="","",품목마스터!$A95)</f>
        <v/>
      </c>
      <c r="B96" s="12" t="str">
        <f aca="false">IF($A96="","",품목마스터!$B95)</f>
        <v/>
      </c>
      <c r="C96" s="12" t="str">
        <f aca="false">IF($A96="","",품목마스터!$E95)</f>
        <v/>
      </c>
      <c r="D96" s="12" t="str">
        <f aca="false">IF($A96="","",품목마스터!$D95)</f>
        <v/>
      </c>
      <c r="E96" s="13" t="str">
        <f aca="false">IF($A96="","",IF(품목마스터!$F95="",0,품목마스터!$F95))</f>
        <v/>
      </c>
      <c r="F96" s="13" t="str">
        <f aca="false">IF($A96="","",SUMIFS(입출고내역!$G$3:$G$1002,입출고내역!$C$3:$C$1002,$A96,입출고내역!$B$3:$B$1002,"입고"))</f>
        <v/>
      </c>
      <c r="G96" s="13" t="str">
        <f aca="false">IF($A96="","",SUMIFS(입출고내역!$G$3:$G$1002,입출고내역!$C$3:$C$1002,$A96,입출고내역!$B$3:$B$1002,"출고"))</f>
        <v/>
      </c>
      <c r="H96" s="13" t="str">
        <f aca="false">IF($A96="","",$E96+SUMIFS(입출고내역!$L$3:$L$1002,입출고내역!$C$3:$C$1002,$A96))</f>
        <v/>
      </c>
      <c r="I96" s="13" t="str">
        <f aca="false">IF($A96="","",IF(품목마스터!$G95="",0,품목마스터!$G95))</f>
        <v/>
      </c>
      <c r="J96" s="20" t="str">
        <f aca="false">IF($A96="","",IF($I96=0,"기준없음",TEXT($H96/$I96,"0%")&amp;"  "&amp;REPT("■",MIN(10,ROUND($H96/$I96*10,0)))))</f>
        <v/>
      </c>
    </row>
    <row r="97" customFormat="false" ht="15" hidden="false" customHeight="true" outlineLevel="0" collapsed="false">
      <c r="A97" s="12" t="str">
        <f aca="false">IF(품목마스터!$A96="","",품목마스터!$A96)</f>
        <v/>
      </c>
      <c r="B97" s="12" t="str">
        <f aca="false">IF($A97="","",품목마스터!$B96)</f>
        <v/>
      </c>
      <c r="C97" s="12" t="str">
        <f aca="false">IF($A97="","",품목마스터!$E96)</f>
        <v/>
      </c>
      <c r="D97" s="12" t="str">
        <f aca="false">IF($A97="","",품목마스터!$D96)</f>
        <v/>
      </c>
      <c r="E97" s="13" t="str">
        <f aca="false">IF($A97="","",IF(품목마스터!$F96="",0,품목마스터!$F96))</f>
        <v/>
      </c>
      <c r="F97" s="13" t="str">
        <f aca="false">IF($A97="","",SUMIFS(입출고내역!$G$3:$G$1002,입출고내역!$C$3:$C$1002,$A97,입출고내역!$B$3:$B$1002,"입고"))</f>
        <v/>
      </c>
      <c r="G97" s="13" t="str">
        <f aca="false">IF($A97="","",SUMIFS(입출고내역!$G$3:$G$1002,입출고내역!$C$3:$C$1002,$A97,입출고내역!$B$3:$B$1002,"출고"))</f>
        <v/>
      </c>
      <c r="H97" s="13" t="str">
        <f aca="false">IF($A97="","",$E97+SUMIFS(입출고내역!$L$3:$L$1002,입출고내역!$C$3:$C$1002,$A97))</f>
        <v/>
      </c>
      <c r="I97" s="13" t="str">
        <f aca="false">IF($A97="","",IF(품목마스터!$G96="",0,품목마스터!$G96))</f>
        <v/>
      </c>
      <c r="J97" s="20" t="str">
        <f aca="false">IF($A97="","",IF($I97=0,"기준없음",TEXT($H97/$I97,"0%")&amp;"  "&amp;REPT("■",MIN(10,ROUND($H97/$I97*10,0)))))</f>
        <v/>
      </c>
    </row>
    <row r="98" customFormat="false" ht="15" hidden="false" customHeight="true" outlineLevel="0" collapsed="false">
      <c r="A98" s="12" t="str">
        <f aca="false">IF(품목마스터!$A97="","",품목마스터!$A97)</f>
        <v/>
      </c>
      <c r="B98" s="12" t="str">
        <f aca="false">IF($A98="","",품목마스터!$B97)</f>
        <v/>
      </c>
      <c r="C98" s="12" t="str">
        <f aca="false">IF($A98="","",품목마스터!$E97)</f>
        <v/>
      </c>
      <c r="D98" s="12" t="str">
        <f aca="false">IF($A98="","",품목마스터!$D97)</f>
        <v/>
      </c>
      <c r="E98" s="13" t="str">
        <f aca="false">IF($A98="","",IF(품목마스터!$F97="",0,품목마스터!$F97))</f>
        <v/>
      </c>
      <c r="F98" s="13" t="str">
        <f aca="false">IF($A98="","",SUMIFS(입출고내역!$G$3:$G$1002,입출고내역!$C$3:$C$1002,$A98,입출고내역!$B$3:$B$1002,"입고"))</f>
        <v/>
      </c>
      <c r="G98" s="13" t="str">
        <f aca="false">IF($A98="","",SUMIFS(입출고내역!$G$3:$G$1002,입출고내역!$C$3:$C$1002,$A98,입출고내역!$B$3:$B$1002,"출고"))</f>
        <v/>
      </c>
      <c r="H98" s="13" t="str">
        <f aca="false">IF($A98="","",$E98+SUMIFS(입출고내역!$L$3:$L$1002,입출고내역!$C$3:$C$1002,$A98))</f>
        <v/>
      </c>
      <c r="I98" s="13" t="str">
        <f aca="false">IF($A98="","",IF(품목마스터!$G97="",0,품목마스터!$G97))</f>
        <v/>
      </c>
      <c r="J98" s="20" t="str">
        <f aca="false">IF($A98="","",IF($I98=0,"기준없음",TEXT($H98/$I98,"0%")&amp;"  "&amp;REPT("■",MIN(10,ROUND($H98/$I98*10,0)))))</f>
        <v/>
      </c>
    </row>
    <row r="99" customFormat="false" ht="15" hidden="false" customHeight="true" outlineLevel="0" collapsed="false">
      <c r="A99" s="12" t="str">
        <f aca="false">IF(품목마스터!$A98="","",품목마스터!$A98)</f>
        <v/>
      </c>
      <c r="B99" s="12" t="str">
        <f aca="false">IF($A99="","",품목마스터!$B98)</f>
        <v/>
      </c>
      <c r="C99" s="12" t="str">
        <f aca="false">IF($A99="","",품목마스터!$E98)</f>
        <v/>
      </c>
      <c r="D99" s="12" t="str">
        <f aca="false">IF($A99="","",품목마스터!$D98)</f>
        <v/>
      </c>
      <c r="E99" s="13" t="str">
        <f aca="false">IF($A99="","",IF(품목마스터!$F98="",0,품목마스터!$F98))</f>
        <v/>
      </c>
      <c r="F99" s="13" t="str">
        <f aca="false">IF($A99="","",SUMIFS(입출고내역!$G$3:$G$1002,입출고내역!$C$3:$C$1002,$A99,입출고내역!$B$3:$B$1002,"입고"))</f>
        <v/>
      </c>
      <c r="G99" s="13" t="str">
        <f aca="false">IF($A99="","",SUMIFS(입출고내역!$G$3:$G$1002,입출고내역!$C$3:$C$1002,$A99,입출고내역!$B$3:$B$1002,"출고"))</f>
        <v/>
      </c>
      <c r="H99" s="13" t="str">
        <f aca="false">IF($A99="","",$E99+SUMIFS(입출고내역!$L$3:$L$1002,입출고내역!$C$3:$C$1002,$A99))</f>
        <v/>
      </c>
      <c r="I99" s="13" t="str">
        <f aca="false">IF($A99="","",IF(품목마스터!$G98="",0,품목마스터!$G98))</f>
        <v/>
      </c>
      <c r="J99" s="20" t="str">
        <f aca="false">IF($A99="","",IF($I99=0,"기준없음",TEXT($H99/$I99,"0%")&amp;"  "&amp;REPT("■",MIN(10,ROUND($H99/$I99*10,0)))))</f>
        <v/>
      </c>
    </row>
    <row r="100" customFormat="false" ht="15" hidden="false" customHeight="true" outlineLevel="0" collapsed="false">
      <c r="A100" s="12" t="str">
        <f aca="false">IF(품목마스터!$A99="","",품목마스터!$A99)</f>
        <v/>
      </c>
      <c r="B100" s="12" t="str">
        <f aca="false">IF($A100="","",품목마스터!$B99)</f>
        <v/>
      </c>
      <c r="C100" s="12" t="str">
        <f aca="false">IF($A100="","",품목마스터!$E99)</f>
        <v/>
      </c>
      <c r="D100" s="12" t="str">
        <f aca="false">IF($A100="","",품목마스터!$D99)</f>
        <v/>
      </c>
      <c r="E100" s="13" t="str">
        <f aca="false">IF($A100="","",IF(품목마스터!$F99="",0,품목마스터!$F99))</f>
        <v/>
      </c>
      <c r="F100" s="13" t="str">
        <f aca="false">IF($A100="","",SUMIFS(입출고내역!$G$3:$G$1002,입출고내역!$C$3:$C$1002,$A100,입출고내역!$B$3:$B$1002,"입고"))</f>
        <v/>
      </c>
      <c r="G100" s="13" t="str">
        <f aca="false">IF($A100="","",SUMIFS(입출고내역!$G$3:$G$1002,입출고내역!$C$3:$C$1002,$A100,입출고내역!$B$3:$B$1002,"출고"))</f>
        <v/>
      </c>
      <c r="H100" s="13" t="str">
        <f aca="false">IF($A100="","",$E100+SUMIFS(입출고내역!$L$3:$L$1002,입출고내역!$C$3:$C$1002,$A100))</f>
        <v/>
      </c>
      <c r="I100" s="13" t="str">
        <f aca="false">IF($A100="","",IF(품목마스터!$G99="",0,품목마스터!$G99))</f>
        <v/>
      </c>
      <c r="J100" s="20" t="str">
        <f aca="false">IF($A100="","",IF($I100=0,"기준없음",TEXT($H100/$I100,"0%")&amp;"  "&amp;REPT("■",MIN(10,ROUND($H100/$I100*10,0)))))</f>
        <v/>
      </c>
    </row>
    <row r="101" customFormat="false" ht="15" hidden="false" customHeight="true" outlineLevel="0" collapsed="false">
      <c r="A101" s="12" t="str">
        <f aca="false">IF(품목마스터!$A100="","",품목마스터!$A100)</f>
        <v/>
      </c>
      <c r="B101" s="12" t="str">
        <f aca="false">IF($A101="","",품목마스터!$B100)</f>
        <v/>
      </c>
      <c r="C101" s="12" t="str">
        <f aca="false">IF($A101="","",품목마스터!$E100)</f>
        <v/>
      </c>
      <c r="D101" s="12" t="str">
        <f aca="false">IF($A101="","",품목마스터!$D100)</f>
        <v/>
      </c>
      <c r="E101" s="13" t="str">
        <f aca="false">IF($A101="","",IF(품목마스터!$F100="",0,품목마스터!$F100))</f>
        <v/>
      </c>
      <c r="F101" s="13" t="str">
        <f aca="false">IF($A101="","",SUMIFS(입출고내역!$G$3:$G$1002,입출고내역!$C$3:$C$1002,$A101,입출고내역!$B$3:$B$1002,"입고"))</f>
        <v/>
      </c>
      <c r="G101" s="13" t="str">
        <f aca="false">IF($A101="","",SUMIFS(입출고내역!$G$3:$G$1002,입출고내역!$C$3:$C$1002,$A101,입출고내역!$B$3:$B$1002,"출고"))</f>
        <v/>
      </c>
      <c r="H101" s="13" t="str">
        <f aca="false">IF($A101="","",$E101+SUMIFS(입출고내역!$L$3:$L$1002,입출고내역!$C$3:$C$1002,$A101))</f>
        <v/>
      </c>
      <c r="I101" s="13" t="str">
        <f aca="false">IF($A101="","",IF(품목마스터!$G100="",0,품목마스터!$G100))</f>
        <v/>
      </c>
      <c r="J101" s="20" t="str">
        <f aca="false">IF($A101="","",IF($I101=0,"기준없음",TEXT($H101/$I101,"0%")&amp;"  "&amp;REPT("■",MIN(10,ROUND($H101/$I101*10,0)))))</f>
        <v/>
      </c>
    </row>
    <row r="102" customFormat="false" ht="15" hidden="false" customHeight="true" outlineLevel="0" collapsed="false">
      <c r="A102" s="12" t="str">
        <f aca="false">IF(품목마스터!$A101="","",품목마스터!$A101)</f>
        <v/>
      </c>
      <c r="B102" s="12" t="str">
        <f aca="false">IF($A102="","",품목마스터!$B101)</f>
        <v/>
      </c>
      <c r="C102" s="12" t="str">
        <f aca="false">IF($A102="","",품목마스터!$E101)</f>
        <v/>
      </c>
      <c r="D102" s="12" t="str">
        <f aca="false">IF($A102="","",품목마스터!$D101)</f>
        <v/>
      </c>
      <c r="E102" s="13" t="str">
        <f aca="false">IF($A102="","",IF(품목마스터!$F101="",0,품목마스터!$F101))</f>
        <v/>
      </c>
      <c r="F102" s="13" t="str">
        <f aca="false">IF($A102="","",SUMIFS(입출고내역!$G$3:$G$1002,입출고내역!$C$3:$C$1002,$A102,입출고내역!$B$3:$B$1002,"입고"))</f>
        <v/>
      </c>
      <c r="G102" s="13" t="str">
        <f aca="false">IF($A102="","",SUMIFS(입출고내역!$G$3:$G$1002,입출고내역!$C$3:$C$1002,$A102,입출고내역!$B$3:$B$1002,"출고"))</f>
        <v/>
      </c>
      <c r="H102" s="13" t="str">
        <f aca="false">IF($A102="","",$E102+SUMIFS(입출고내역!$L$3:$L$1002,입출고내역!$C$3:$C$1002,$A102))</f>
        <v/>
      </c>
      <c r="I102" s="13" t="str">
        <f aca="false">IF($A102="","",IF(품목마스터!$G101="",0,품목마스터!$G101))</f>
        <v/>
      </c>
      <c r="J102" s="20" t="str">
        <f aca="false">IF($A102="","",IF($I102=0,"기준없음",TEXT($H102/$I102,"0%")&amp;"  "&amp;REPT("■",MIN(10,ROUND($H102/$I102*10,0)))))</f>
        <v/>
      </c>
    </row>
    <row r="103" customFormat="false" ht="15" hidden="false" customHeight="true" outlineLevel="0" collapsed="false">
      <c r="A103" s="12" t="str">
        <f aca="false">IF(품목마스터!$A102="","",품목마스터!$A102)</f>
        <v/>
      </c>
      <c r="B103" s="12" t="str">
        <f aca="false">IF($A103="","",품목마스터!$B102)</f>
        <v/>
      </c>
      <c r="C103" s="12" t="str">
        <f aca="false">IF($A103="","",품목마스터!$E102)</f>
        <v/>
      </c>
      <c r="D103" s="12" t="str">
        <f aca="false">IF($A103="","",품목마스터!$D102)</f>
        <v/>
      </c>
      <c r="E103" s="13" t="str">
        <f aca="false">IF($A103="","",IF(품목마스터!$F102="",0,품목마스터!$F102))</f>
        <v/>
      </c>
      <c r="F103" s="13" t="str">
        <f aca="false">IF($A103="","",SUMIFS(입출고내역!$G$3:$G$1002,입출고내역!$C$3:$C$1002,$A103,입출고내역!$B$3:$B$1002,"입고"))</f>
        <v/>
      </c>
      <c r="G103" s="13" t="str">
        <f aca="false">IF($A103="","",SUMIFS(입출고내역!$G$3:$G$1002,입출고내역!$C$3:$C$1002,$A103,입출고내역!$B$3:$B$1002,"출고"))</f>
        <v/>
      </c>
      <c r="H103" s="13" t="str">
        <f aca="false">IF($A103="","",$E103+SUMIFS(입출고내역!$L$3:$L$1002,입출고내역!$C$3:$C$1002,$A103))</f>
        <v/>
      </c>
      <c r="I103" s="13" t="str">
        <f aca="false">IF($A103="","",IF(품목마스터!$G102="",0,품목마스터!$G102))</f>
        <v/>
      </c>
      <c r="J103" s="20" t="str">
        <f aca="false">IF($A103="","",IF($I103=0,"기준없음",TEXT($H103/$I103,"0%")&amp;"  "&amp;REPT("■",MIN(10,ROUND($H103/$I103*10,0)))))</f>
        <v/>
      </c>
    </row>
    <row r="104" customFormat="false" ht="15" hidden="false" customHeight="true" outlineLevel="0" collapsed="false">
      <c r="A104" s="12" t="str">
        <f aca="false">IF(품목마스터!$A103="","",품목마스터!$A103)</f>
        <v/>
      </c>
      <c r="B104" s="12" t="str">
        <f aca="false">IF($A104="","",품목마스터!$B103)</f>
        <v/>
      </c>
      <c r="C104" s="12" t="str">
        <f aca="false">IF($A104="","",품목마스터!$E103)</f>
        <v/>
      </c>
      <c r="D104" s="12" t="str">
        <f aca="false">IF($A104="","",품목마스터!$D103)</f>
        <v/>
      </c>
      <c r="E104" s="13" t="str">
        <f aca="false">IF($A104="","",IF(품목마스터!$F103="",0,품목마스터!$F103))</f>
        <v/>
      </c>
      <c r="F104" s="13" t="str">
        <f aca="false">IF($A104="","",SUMIFS(입출고내역!$G$3:$G$1002,입출고내역!$C$3:$C$1002,$A104,입출고내역!$B$3:$B$1002,"입고"))</f>
        <v/>
      </c>
      <c r="G104" s="13" t="str">
        <f aca="false">IF($A104="","",SUMIFS(입출고내역!$G$3:$G$1002,입출고내역!$C$3:$C$1002,$A104,입출고내역!$B$3:$B$1002,"출고"))</f>
        <v/>
      </c>
      <c r="H104" s="13" t="str">
        <f aca="false">IF($A104="","",$E104+SUMIFS(입출고내역!$L$3:$L$1002,입출고내역!$C$3:$C$1002,$A104))</f>
        <v/>
      </c>
      <c r="I104" s="13" t="str">
        <f aca="false">IF($A104="","",IF(품목마스터!$G103="",0,품목마스터!$G103))</f>
        <v/>
      </c>
      <c r="J104" s="20" t="str">
        <f aca="false">IF($A104="","",IF($I104=0,"기준없음",TEXT($H104/$I104,"0%")&amp;"  "&amp;REPT("■",MIN(10,ROUND($H104/$I104*10,0)))))</f>
        <v/>
      </c>
    </row>
    <row r="105" customFormat="false" ht="15" hidden="false" customHeight="true" outlineLevel="0" collapsed="false">
      <c r="A105" s="12" t="str">
        <f aca="false">IF(품목마스터!$A104="","",품목마스터!$A104)</f>
        <v/>
      </c>
      <c r="B105" s="12" t="str">
        <f aca="false">IF($A105="","",품목마스터!$B104)</f>
        <v/>
      </c>
      <c r="C105" s="12" t="str">
        <f aca="false">IF($A105="","",품목마스터!$E104)</f>
        <v/>
      </c>
      <c r="D105" s="12" t="str">
        <f aca="false">IF($A105="","",품목마스터!$D104)</f>
        <v/>
      </c>
      <c r="E105" s="13" t="str">
        <f aca="false">IF($A105="","",IF(품목마스터!$F104="",0,품목마스터!$F104))</f>
        <v/>
      </c>
      <c r="F105" s="13" t="str">
        <f aca="false">IF($A105="","",SUMIFS(입출고내역!$G$3:$G$1002,입출고내역!$C$3:$C$1002,$A105,입출고내역!$B$3:$B$1002,"입고"))</f>
        <v/>
      </c>
      <c r="G105" s="13" t="str">
        <f aca="false">IF($A105="","",SUMIFS(입출고내역!$G$3:$G$1002,입출고내역!$C$3:$C$1002,$A105,입출고내역!$B$3:$B$1002,"출고"))</f>
        <v/>
      </c>
      <c r="H105" s="13" t="str">
        <f aca="false">IF($A105="","",$E105+SUMIFS(입출고내역!$L$3:$L$1002,입출고내역!$C$3:$C$1002,$A105))</f>
        <v/>
      </c>
      <c r="I105" s="13" t="str">
        <f aca="false">IF($A105="","",IF(품목마스터!$G104="",0,품목마스터!$G104))</f>
        <v/>
      </c>
      <c r="J105" s="20" t="str">
        <f aca="false">IF($A105="","",IF($I105=0,"기준없음",TEXT($H105/$I105,"0%")&amp;"  "&amp;REPT("■",MIN(10,ROUND($H105/$I105*10,0)))))</f>
        <v/>
      </c>
    </row>
    <row r="106" customFormat="false" ht="15" hidden="false" customHeight="true" outlineLevel="0" collapsed="false">
      <c r="A106" s="12" t="str">
        <f aca="false">IF(품목마스터!$A105="","",품목마스터!$A105)</f>
        <v/>
      </c>
      <c r="B106" s="12" t="str">
        <f aca="false">IF($A106="","",품목마스터!$B105)</f>
        <v/>
      </c>
      <c r="C106" s="12" t="str">
        <f aca="false">IF($A106="","",품목마스터!$E105)</f>
        <v/>
      </c>
      <c r="D106" s="12" t="str">
        <f aca="false">IF($A106="","",품목마스터!$D105)</f>
        <v/>
      </c>
      <c r="E106" s="13" t="str">
        <f aca="false">IF($A106="","",IF(품목마스터!$F105="",0,품목마스터!$F105))</f>
        <v/>
      </c>
      <c r="F106" s="13" t="str">
        <f aca="false">IF($A106="","",SUMIFS(입출고내역!$G$3:$G$1002,입출고내역!$C$3:$C$1002,$A106,입출고내역!$B$3:$B$1002,"입고"))</f>
        <v/>
      </c>
      <c r="G106" s="13" t="str">
        <f aca="false">IF($A106="","",SUMIFS(입출고내역!$G$3:$G$1002,입출고내역!$C$3:$C$1002,$A106,입출고내역!$B$3:$B$1002,"출고"))</f>
        <v/>
      </c>
      <c r="H106" s="13" t="str">
        <f aca="false">IF($A106="","",$E106+SUMIFS(입출고내역!$L$3:$L$1002,입출고내역!$C$3:$C$1002,$A106))</f>
        <v/>
      </c>
      <c r="I106" s="13" t="str">
        <f aca="false">IF($A106="","",IF(품목마스터!$G105="",0,품목마스터!$G105))</f>
        <v/>
      </c>
      <c r="J106" s="20" t="str">
        <f aca="false">IF($A106="","",IF($I106=0,"기준없음",TEXT($H106/$I106,"0%")&amp;"  "&amp;REPT("■",MIN(10,ROUND($H106/$I106*10,0)))))</f>
        <v/>
      </c>
    </row>
    <row r="107" customFormat="false" ht="15" hidden="false" customHeight="true" outlineLevel="0" collapsed="false">
      <c r="A107" s="12" t="str">
        <f aca="false">IF(품목마스터!$A106="","",품목마스터!$A106)</f>
        <v/>
      </c>
      <c r="B107" s="12" t="str">
        <f aca="false">IF($A107="","",품목마스터!$B106)</f>
        <v/>
      </c>
      <c r="C107" s="12" t="str">
        <f aca="false">IF($A107="","",품목마스터!$E106)</f>
        <v/>
      </c>
      <c r="D107" s="12" t="str">
        <f aca="false">IF($A107="","",품목마스터!$D106)</f>
        <v/>
      </c>
      <c r="E107" s="13" t="str">
        <f aca="false">IF($A107="","",IF(품목마스터!$F106="",0,품목마스터!$F106))</f>
        <v/>
      </c>
      <c r="F107" s="13" t="str">
        <f aca="false">IF($A107="","",SUMIFS(입출고내역!$G$3:$G$1002,입출고내역!$C$3:$C$1002,$A107,입출고내역!$B$3:$B$1002,"입고"))</f>
        <v/>
      </c>
      <c r="G107" s="13" t="str">
        <f aca="false">IF($A107="","",SUMIFS(입출고내역!$G$3:$G$1002,입출고내역!$C$3:$C$1002,$A107,입출고내역!$B$3:$B$1002,"출고"))</f>
        <v/>
      </c>
      <c r="H107" s="13" t="str">
        <f aca="false">IF($A107="","",$E107+SUMIFS(입출고내역!$L$3:$L$1002,입출고내역!$C$3:$C$1002,$A107))</f>
        <v/>
      </c>
      <c r="I107" s="13" t="str">
        <f aca="false">IF($A107="","",IF(품목마스터!$G106="",0,품목마스터!$G106))</f>
        <v/>
      </c>
      <c r="J107" s="20" t="str">
        <f aca="false">IF($A107="","",IF($I107=0,"기준없음",TEXT($H107/$I107,"0%")&amp;"  "&amp;REPT("■",MIN(10,ROUND($H107/$I107*10,0)))))</f>
        <v/>
      </c>
    </row>
    <row r="108" customFormat="false" ht="15" hidden="false" customHeight="true" outlineLevel="0" collapsed="false">
      <c r="A108" s="12" t="str">
        <f aca="false">IF(품목마스터!$A107="","",품목마스터!$A107)</f>
        <v/>
      </c>
      <c r="B108" s="12" t="str">
        <f aca="false">IF($A108="","",품목마스터!$B107)</f>
        <v/>
      </c>
      <c r="C108" s="12" t="str">
        <f aca="false">IF($A108="","",품목마스터!$E107)</f>
        <v/>
      </c>
      <c r="D108" s="12" t="str">
        <f aca="false">IF($A108="","",품목마스터!$D107)</f>
        <v/>
      </c>
      <c r="E108" s="13" t="str">
        <f aca="false">IF($A108="","",IF(품목마스터!$F107="",0,품목마스터!$F107))</f>
        <v/>
      </c>
      <c r="F108" s="13" t="str">
        <f aca="false">IF($A108="","",SUMIFS(입출고내역!$G$3:$G$1002,입출고내역!$C$3:$C$1002,$A108,입출고내역!$B$3:$B$1002,"입고"))</f>
        <v/>
      </c>
      <c r="G108" s="13" t="str">
        <f aca="false">IF($A108="","",SUMIFS(입출고내역!$G$3:$G$1002,입출고내역!$C$3:$C$1002,$A108,입출고내역!$B$3:$B$1002,"출고"))</f>
        <v/>
      </c>
      <c r="H108" s="13" t="str">
        <f aca="false">IF($A108="","",$E108+SUMIFS(입출고내역!$L$3:$L$1002,입출고내역!$C$3:$C$1002,$A108))</f>
        <v/>
      </c>
      <c r="I108" s="13" t="str">
        <f aca="false">IF($A108="","",IF(품목마스터!$G107="",0,품목마스터!$G107))</f>
        <v/>
      </c>
      <c r="J108" s="20" t="str">
        <f aca="false">IF($A108="","",IF($I108=0,"기준없음",TEXT($H108/$I108,"0%")&amp;"  "&amp;REPT("■",MIN(10,ROUND($H108/$I108*10,0)))))</f>
        <v/>
      </c>
    </row>
    <row r="109" customFormat="false" ht="15" hidden="false" customHeight="true" outlineLevel="0" collapsed="false">
      <c r="A109" s="12" t="str">
        <f aca="false">IF(품목마스터!$A108="","",품목마스터!$A108)</f>
        <v/>
      </c>
      <c r="B109" s="12" t="str">
        <f aca="false">IF($A109="","",품목마스터!$B108)</f>
        <v/>
      </c>
      <c r="C109" s="12" t="str">
        <f aca="false">IF($A109="","",품목마스터!$E108)</f>
        <v/>
      </c>
      <c r="D109" s="12" t="str">
        <f aca="false">IF($A109="","",품목마스터!$D108)</f>
        <v/>
      </c>
      <c r="E109" s="13" t="str">
        <f aca="false">IF($A109="","",IF(품목마스터!$F108="",0,품목마스터!$F108))</f>
        <v/>
      </c>
      <c r="F109" s="13" t="str">
        <f aca="false">IF($A109="","",SUMIFS(입출고내역!$G$3:$G$1002,입출고내역!$C$3:$C$1002,$A109,입출고내역!$B$3:$B$1002,"입고"))</f>
        <v/>
      </c>
      <c r="G109" s="13" t="str">
        <f aca="false">IF($A109="","",SUMIFS(입출고내역!$G$3:$G$1002,입출고내역!$C$3:$C$1002,$A109,입출고내역!$B$3:$B$1002,"출고"))</f>
        <v/>
      </c>
      <c r="H109" s="13" t="str">
        <f aca="false">IF($A109="","",$E109+SUMIFS(입출고내역!$L$3:$L$1002,입출고내역!$C$3:$C$1002,$A109))</f>
        <v/>
      </c>
      <c r="I109" s="13" t="str">
        <f aca="false">IF($A109="","",IF(품목마스터!$G108="",0,품목마스터!$G108))</f>
        <v/>
      </c>
      <c r="J109" s="20" t="str">
        <f aca="false">IF($A109="","",IF($I109=0,"기준없음",TEXT($H109/$I109,"0%")&amp;"  "&amp;REPT("■",MIN(10,ROUND($H109/$I109*10,0)))))</f>
        <v/>
      </c>
    </row>
    <row r="110" customFormat="false" ht="15" hidden="false" customHeight="true" outlineLevel="0" collapsed="false">
      <c r="A110" s="12" t="str">
        <f aca="false">IF(품목마스터!$A109="","",품목마스터!$A109)</f>
        <v/>
      </c>
      <c r="B110" s="12" t="str">
        <f aca="false">IF($A110="","",품목마스터!$B109)</f>
        <v/>
      </c>
      <c r="C110" s="12" t="str">
        <f aca="false">IF($A110="","",품목마스터!$E109)</f>
        <v/>
      </c>
      <c r="D110" s="12" t="str">
        <f aca="false">IF($A110="","",품목마스터!$D109)</f>
        <v/>
      </c>
      <c r="E110" s="13" t="str">
        <f aca="false">IF($A110="","",IF(품목마스터!$F109="",0,품목마스터!$F109))</f>
        <v/>
      </c>
      <c r="F110" s="13" t="str">
        <f aca="false">IF($A110="","",SUMIFS(입출고내역!$G$3:$G$1002,입출고내역!$C$3:$C$1002,$A110,입출고내역!$B$3:$B$1002,"입고"))</f>
        <v/>
      </c>
      <c r="G110" s="13" t="str">
        <f aca="false">IF($A110="","",SUMIFS(입출고내역!$G$3:$G$1002,입출고내역!$C$3:$C$1002,$A110,입출고내역!$B$3:$B$1002,"출고"))</f>
        <v/>
      </c>
      <c r="H110" s="13" t="str">
        <f aca="false">IF($A110="","",$E110+SUMIFS(입출고내역!$L$3:$L$1002,입출고내역!$C$3:$C$1002,$A110))</f>
        <v/>
      </c>
      <c r="I110" s="13" t="str">
        <f aca="false">IF($A110="","",IF(품목마스터!$G109="",0,품목마스터!$G109))</f>
        <v/>
      </c>
      <c r="J110" s="20" t="str">
        <f aca="false">IF($A110="","",IF($I110=0,"기준없음",TEXT($H110/$I110,"0%")&amp;"  "&amp;REPT("■",MIN(10,ROUND($H110/$I110*10,0)))))</f>
        <v/>
      </c>
    </row>
    <row r="111" customFormat="false" ht="15" hidden="false" customHeight="true" outlineLevel="0" collapsed="false">
      <c r="A111" s="12" t="str">
        <f aca="false">IF(품목마스터!$A110="","",품목마스터!$A110)</f>
        <v/>
      </c>
      <c r="B111" s="12" t="str">
        <f aca="false">IF($A111="","",품목마스터!$B110)</f>
        <v/>
      </c>
      <c r="C111" s="12" t="str">
        <f aca="false">IF($A111="","",품목마스터!$E110)</f>
        <v/>
      </c>
      <c r="D111" s="12" t="str">
        <f aca="false">IF($A111="","",품목마스터!$D110)</f>
        <v/>
      </c>
      <c r="E111" s="13" t="str">
        <f aca="false">IF($A111="","",IF(품목마스터!$F110="",0,품목마스터!$F110))</f>
        <v/>
      </c>
      <c r="F111" s="13" t="str">
        <f aca="false">IF($A111="","",SUMIFS(입출고내역!$G$3:$G$1002,입출고내역!$C$3:$C$1002,$A111,입출고내역!$B$3:$B$1002,"입고"))</f>
        <v/>
      </c>
      <c r="G111" s="13" t="str">
        <f aca="false">IF($A111="","",SUMIFS(입출고내역!$G$3:$G$1002,입출고내역!$C$3:$C$1002,$A111,입출고내역!$B$3:$B$1002,"출고"))</f>
        <v/>
      </c>
      <c r="H111" s="13" t="str">
        <f aca="false">IF($A111="","",$E111+SUMIFS(입출고내역!$L$3:$L$1002,입출고내역!$C$3:$C$1002,$A111))</f>
        <v/>
      </c>
      <c r="I111" s="13" t="str">
        <f aca="false">IF($A111="","",IF(품목마스터!$G110="",0,품목마스터!$G110))</f>
        <v/>
      </c>
      <c r="J111" s="20" t="str">
        <f aca="false">IF($A111="","",IF($I111=0,"기준없음",TEXT($H111/$I111,"0%")&amp;"  "&amp;REPT("■",MIN(10,ROUND($H111/$I111*10,0)))))</f>
        <v/>
      </c>
    </row>
    <row r="112" customFormat="false" ht="15" hidden="false" customHeight="true" outlineLevel="0" collapsed="false">
      <c r="A112" s="12" t="str">
        <f aca="false">IF(품목마스터!$A111="","",품목마스터!$A111)</f>
        <v/>
      </c>
      <c r="B112" s="12" t="str">
        <f aca="false">IF($A112="","",품목마스터!$B111)</f>
        <v/>
      </c>
      <c r="C112" s="12" t="str">
        <f aca="false">IF($A112="","",품목마스터!$E111)</f>
        <v/>
      </c>
      <c r="D112" s="12" t="str">
        <f aca="false">IF($A112="","",품목마스터!$D111)</f>
        <v/>
      </c>
      <c r="E112" s="13" t="str">
        <f aca="false">IF($A112="","",IF(품목마스터!$F111="",0,품목마스터!$F111))</f>
        <v/>
      </c>
      <c r="F112" s="13" t="str">
        <f aca="false">IF($A112="","",SUMIFS(입출고내역!$G$3:$G$1002,입출고내역!$C$3:$C$1002,$A112,입출고내역!$B$3:$B$1002,"입고"))</f>
        <v/>
      </c>
      <c r="G112" s="13" t="str">
        <f aca="false">IF($A112="","",SUMIFS(입출고내역!$G$3:$G$1002,입출고내역!$C$3:$C$1002,$A112,입출고내역!$B$3:$B$1002,"출고"))</f>
        <v/>
      </c>
      <c r="H112" s="13" t="str">
        <f aca="false">IF($A112="","",$E112+SUMIFS(입출고내역!$L$3:$L$1002,입출고내역!$C$3:$C$1002,$A112))</f>
        <v/>
      </c>
      <c r="I112" s="13" t="str">
        <f aca="false">IF($A112="","",IF(품목마스터!$G111="",0,품목마스터!$G111))</f>
        <v/>
      </c>
      <c r="J112" s="20" t="str">
        <f aca="false">IF($A112="","",IF($I112=0,"기준없음",TEXT($H112/$I112,"0%")&amp;"  "&amp;REPT("■",MIN(10,ROUND($H112/$I112*10,0)))))</f>
        <v/>
      </c>
    </row>
    <row r="113" customFormat="false" ht="15" hidden="false" customHeight="true" outlineLevel="0" collapsed="false">
      <c r="A113" s="12" t="str">
        <f aca="false">IF(품목마스터!$A112="","",품목마스터!$A112)</f>
        <v/>
      </c>
      <c r="B113" s="12" t="str">
        <f aca="false">IF($A113="","",품목마스터!$B112)</f>
        <v/>
      </c>
      <c r="C113" s="12" t="str">
        <f aca="false">IF($A113="","",품목마스터!$E112)</f>
        <v/>
      </c>
      <c r="D113" s="12" t="str">
        <f aca="false">IF($A113="","",품목마스터!$D112)</f>
        <v/>
      </c>
      <c r="E113" s="13" t="str">
        <f aca="false">IF($A113="","",IF(품목마스터!$F112="",0,품목마스터!$F112))</f>
        <v/>
      </c>
      <c r="F113" s="13" t="str">
        <f aca="false">IF($A113="","",SUMIFS(입출고내역!$G$3:$G$1002,입출고내역!$C$3:$C$1002,$A113,입출고내역!$B$3:$B$1002,"입고"))</f>
        <v/>
      </c>
      <c r="G113" s="13" t="str">
        <f aca="false">IF($A113="","",SUMIFS(입출고내역!$G$3:$G$1002,입출고내역!$C$3:$C$1002,$A113,입출고내역!$B$3:$B$1002,"출고"))</f>
        <v/>
      </c>
      <c r="H113" s="13" t="str">
        <f aca="false">IF($A113="","",$E113+SUMIFS(입출고내역!$L$3:$L$1002,입출고내역!$C$3:$C$1002,$A113))</f>
        <v/>
      </c>
      <c r="I113" s="13" t="str">
        <f aca="false">IF($A113="","",IF(품목마스터!$G112="",0,품목마스터!$G112))</f>
        <v/>
      </c>
      <c r="J113" s="20" t="str">
        <f aca="false">IF($A113="","",IF($I113=0,"기준없음",TEXT($H113/$I113,"0%")&amp;"  "&amp;REPT("■",MIN(10,ROUND($H113/$I113*10,0)))))</f>
        <v/>
      </c>
    </row>
    <row r="114" customFormat="false" ht="15" hidden="false" customHeight="true" outlineLevel="0" collapsed="false">
      <c r="A114" s="12" t="str">
        <f aca="false">IF(품목마스터!$A113="","",품목마스터!$A113)</f>
        <v/>
      </c>
      <c r="B114" s="12" t="str">
        <f aca="false">IF($A114="","",품목마스터!$B113)</f>
        <v/>
      </c>
      <c r="C114" s="12" t="str">
        <f aca="false">IF($A114="","",품목마스터!$E113)</f>
        <v/>
      </c>
      <c r="D114" s="12" t="str">
        <f aca="false">IF($A114="","",품목마스터!$D113)</f>
        <v/>
      </c>
      <c r="E114" s="13" t="str">
        <f aca="false">IF($A114="","",IF(품목마스터!$F113="",0,품목마스터!$F113))</f>
        <v/>
      </c>
      <c r="F114" s="13" t="str">
        <f aca="false">IF($A114="","",SUMIFS(입출고내역!$G$3:$G$1002,입출고내역!$C$3:$C$1002,$A114,입출고내역!$B$3:$B$1002,"입고"))</f>
        <v/>
      </c>
      <c r="G114" s="13" t="str">
        <f aca="false">IF($A114="","",SUMIFS(입출고내역!$G$3:$G$1002,입출고내역!$C$3:$C$1002,$A114,입출고내역!$B$3:$B$1002,"출고"))</f>
        <v/>
      </c>
      <c r="H114" s="13" t="str">
        <f aca="false">IF($A114="","",$E114+SUMIFS(입출고내역!$L$3:$L$1002,입출고내역!$C$3:$C$1002,$A114))</f>
        <v/>
      </c>
      <c r="I114" s="13" t="str">
        <f aca="false">IF($A114="","",IF(품목마스터!$G113="",0,품목마스터!$G113))</f>
        <v/>
      </c>
      <c r="J114" s="20" t="str">
        <f aca="false">IF($A114="","",IF($I114=0,"기준없음",TEXT($H114/$I114,"0%")&amp;"  "&amp;REPT("■",MIN(10,ROUND($H114/$I114*10,0)))))</f>
        <v/>
      </c>
    </row>
    <row r="115" customFormat="false" ht="15" hidden="false" customHeight="true" outlineLevel="0" collapsed="false">
      <c r="A115" s="12" t="str">
        <f aca="false">IF(품목마스터!$A114="","",품목마스터!$A114)</f>
        <v/>
      </c>
      <c r="B115" s="12" t="str">
        <f aca="false">IF($A115="","",품목마스터!$B114)</f>
        <v/>
      </c>
      <c r="C115" s="12" t="str">
        <f aca="false">IF($A115="","",품목마스터!$E114)</f>
        <v/>
      </c>
      <c r="D115" s="12" t="str">
        <f aca="false">IF($A115="","",품목마스터!$D114)</f>
        <v/>
      </c>
      <c r="E115" s="13" t="str">
        <f aca="false">IF($A115="","",IF(품목마스터!$F114="",0,품목마스터!$F114))</f>
        <v/>
      </c>
      <c r="F115" s="13" t="str">
        <f aca="false">IF($A115="","",SUMIFS(입출고내역!$G$3:$G$1002,입출고내역!$C$3:$C$1002,$A115,입출고내역!$B$3:$B$1002,"입고"))</f>
        <v/>
      </c>
      <c r="G115" s="13" t="str">
        <f aca="false">IF($A115="","",SUMIFS(입출고내역!$G$3:$G$1002,입출고내역!$C$3:$C$1002,$A115,입출고내역!$B$3:$B$1002,"출고"))</f>
        <v/>
      </c>
      <c r="H115" s="13" t="str">
        <f aca="false">IF($A115="","",$E115+SUMIFS(입출고내역!$L$3:$L$1002,입출고내역!$C$3:$C$1002,$A115))</f>
        <v/>
      </c>
      <c r="I115" s="13" t="str">
        <f aca="false">IF($A115="","",IF(품목마스터!$G114="",0,품목마스터!$G114))</f>
        <v/>
      </c>
      <c r="J115" s="20" t="str">
        <f aca="false">IF($A115="","",IF($I115=0,"기준없음",TEXT($H115/$I115,"0%")&amp;"  "&amp;REPT("■",MIN(10,ROUND($H115/$I115*10,0)))))</f>
        <v/>
      </c>
    </row>
    <row r="116" customFormat="false" ht="15" hidden="false" customHeight="true" outlineLevel="0" collapsed="false">
      <c r="A116" s="12" t="str">
        <f aca="false">IF(품목마스터!$A115="","",품목마스터!$A115)</f>
        <v/>
      </c>
      <c r="B116" s="12" t="str">
        <f aca="false">IF($A116="","",품목마스터!$B115)</f>
        <v/>
      </c>
      <c r="C116" s="12" t="str">
        <f aca="false">IF($A116="","",품목마스터!$E115)</f>
        <v/>
      </c>
      <c r="D116" s="12" t="str">
        <f aca="false">IF($A116="","",품목마스터!$D115)</f>
        <v/>
      </c>
      <c r="E116" s="13" t="str">
        <f aca="false">IF($A116="","",IF(품목마스터!$F115="",0,품목마스터!$F115))</f>
        <v/>
      </c>
      <c r="F116" s="13" t="str">
        <f aca="false">IF($A116="","",SUMIFS(입출고내역!$G$3:$G$1002,입출고내역!$C$3:$C$1002,$A116,입출고내역!$B$3:$B$1002,"입고"))</f>
        <v/>
      </c>
      <c r="G116" s="13" t="str">
        <f aca="false">IF($A116="","",SUMIFS(입출고내역!$G$3:$G$1002,입출고내역!$C$3:$C$1002,$A116,입출고내역!$B$3:$B$1002,"출고"))</f>
        <v/>
      </c>
      <c r="H116" s="13" t="str">
        <f aca="false">IF($A116="","",$E116+SUMIFS(입출고내역!$L$3:$L$1002,입출고내역!$C$3:$C$1002,$A116))</f>
        <v/>
      </c>
      <c r="I116" s="13" t="str">
        <f aca="false">IF($A116="","",IF(품목마스터!$G115="",0,품목마스터!$G115))</f>
        <v/>
      </c>
      <c r="J116" s="20" t="str">
        <f aca="false">IF($A116="","",IF($I116=0,"기준없음",TEXT($H116/$I116,"0%")&amp;"  "&amp;REPT("■",MIN(10,ROUND($H116/$I116*10,0)))))</f>
        <v/>
      </c>
    </row>
    <row r="117" customFormat="false" ht="15" hidden="false" customHeight="true" outlineLevel="0" collapsed="false">
      <c r="A117" s="12" t="str">
        <f aca="false">IF(품목마스터!$A116="","",품목마스터!$A116)</f>
        <v/>
      </c>
      <c r="B117" s="12" t="str">
        <f aca="false">IF($A117="","",품목마스터!$B116)</f>
        <v/>
      </c>
      <c r="C117" s="12" t="str">
        <f aca="false">IF($A117="","",품목마스터!$E116)</f>
        <v/>
      </c>
      <c r="D117" s="12" t="str">
        <f aca="false">IF($A117="","",품목마스터!$D116)</f>
        <v/>
      </c>
      <c r="E117" s="13" t="str">
        <f aca="false">IF($A117="","",IF(품목마스터!$F116="",0,품목마스터!$F116))</f>
        <v/>
      </c>
      <c r="F117" s="13" t="str">
        <f aca="false">IF($A117="","",SUMIFS(입출고내역!$G$3:$G$1002,입출고내역!$C$3:$C$1002,$A117,입출고내역!$B$3:$B$1002,"입고"))</f>
        <v/>
      </c>
      <c r="G117" s="13" t="str">
        <f aca="false">IF($A117="","",SUMIFS(입출고내역!$G$3:$G$1002,입출고내역!$C$3:$C$1002,$A117,입출고내역!$B$3:$B$1002,"출고"))</f>
        <v/>
      </c>
      <c r="H117" s="13" t="str">
        <f aca="false">IF($A117="","",$E117+SUMIFS(입출고내역!$L$3:$L$1002,입출고내역!$C$3:$C$1002,$A117))</f>
        <v/>
      </c>
      <c r="I117" s="13" t="str">
        <f aca="false">IF($A117="","",IF(품목마스터!$G116="",0,품목마스터!$G116))</f>
        <v/>
      </c>
      <c r="J117" s="20" t="str">
        <f aca="false">IF($A117="","",IF($I117=0,"기준없음",TEXT($H117/$I117,"0%")&amp;"  "&amp;REPT("■",MIN(10,ROUND($H117/$I117*10,0)))))</f>
        <v/>
      </c>
    </row>
    <row r="118" customFormat="false" ht="15" hidden="false" customHeight="true" outlineLevel="0" collapsed="false">
      <c r="A118" s="12" t="str">
        <f aca="false">IF(품목마스터!$A117="","",품목마스터!$A117)</f>
        <v/>
      </c>
      <c r="B118" s="12" t="str">
        <f aca="false">IF($A118="","",품목마스터!$B117)</f>
        <v/>
      </c>
      <c r="C118" s="12" t="str">
        <f aca="false">IF($A118="","",품목마스터!$E117)</f>
        <v/>
      </c>
      <c r="D118" s="12" t="str">
        <f aca="false">IF($A118="","",품목마스터!$D117)</f>
        <v/>
      </c>
      <c r="E118" s="13" t="str">
        <f aca="false">IF($A118="","",IF(품목마스터!$F117="",0,품목마스터!$F117))</f>
        <v/>
      </c>
      <c r="F118" s="13" t="str">
        <f aca="false">IF($A118="","",SUMIFS(입출고내역!$G$3:$G$1002,입출고내역!$C$3:$C$1002,$A118,입출고내역!$B$3:$B$1002,"입고"))</f>
        <v/>
      </c>
      <c r="G118" s="13" t="str">
        <f aca="false">IF($A118="","",SUMIFS(입출고내역!$G$3:$G$1002,입출고내역!$C$3:$C$1002,$A118,입출고내역!$B$3:$B$1002,"출고"))</f>
        <v/>
      </c>
      <c r="H118" s="13" t="str">
        <f aca="false">IF($A118="","",$E118+SUMIFS(입출고내역!$L$3:$L$1002,입출고내역!$C$3:$C$1002,$A118))</f>
        <v/>
      </c>
      <c r="I118" s="13" t="str">
        <f aca="false">IF($A118="","",IF(품목마스터!$G117="",0,품목마스터!$G117))</f>
        <v/>
      </c>
      <c r="J118" s="20" t="str">
        <f aca="false">IF($A118="","",IF($I118=0,"기준없음",TEXT($H118/$I118,"0%")&amp;"  "&amp;REPT("■",MIN(10,ROUND($H118/$I118*10,0)))))</f>
        <v/>
      </c>
    </row>
    <row r="119" customFormat="false" ht="15" hidden="false" customHeight="true" outlineLevel="0" collapsed="false">
      <c r="A119" s="12" t="str">
        <f aca="false">IF(품목마스터!$A118="","",품목마스터!$A118)</f>
        <v/>
      </c>
      <c r="B119" s="12" t="str">
        <f aca="false">IF($A119="","",품목마스터!$B118)</f>
        <v/>
      </c>
      <c r="C119" s="12" t="str">
        <f aca="false">IF($A119="","",품목마스터!$E118)</f>
        <v/>
      </c>
      <c r="D119" s="12" t="str">
        <f aca="false">IF($A119="","",품목마스터!$D118)</f>
        <v/>
      </c>
      <c r="E119" s="13" t="str">
        <f aca="false">IF($A119="","",IF(품목마스터!$F118="",0,품목마스터!$F118))</f>
        <v/>
      </c>
      <c r="F119" s="13" t="str">
        <f aca="false">IF($A119="","",SUMIFS(입출고내역!$G$3:$G$1002,입출고내역!$C$3:$C$1002,$A119,입출고내역!$B$3:$B$1002,"입고"))</f>
        <v/>
      </c>
      <c r="G119" s="13" t="str">
        <f aca="false">IF($A119="","",SUMIFS(입출고내역!$G$3:$G$1002,입출고내역!$C$3:$C$1002,$A119,입출고내역!$B$3:$B$1002,"출고"))</f>
        <v/>
      </c>
      <c r="H119" s="13" t="str">
        <f aca="false">IF($A119="","",$E119+SUMIFS(입출고내역!$L$3:$L$1002,입출고내역!$C$3:$C$1002,$A119))</f>
        <v/>
      </c>
      <c r="I119" s="13" t="str">
        <f aca="false">IF($A119="","",IF(품목마스터!$G118="",0,품목마스터!$G118))</f>
        <v/>
      </c>
      <c r="J119" s="20" t="str">
        <f aca="false">IF($A119="","",IF($I119=0,"기준없음",TEXT($H119/$I119,"0%")&amp;"  "&amp;REPT("■",MIN(10,ROUND($H119/$I119*10,0)))))</f>
        <v/>
      </c>
    </row>
    <row r="120" customFormat="false" ht="15" hidden="false" customHeight="true" outlineLevel="0" collapsed="false">
      <c r="A120" s="12" t="str">
        <f aca="false">IF(품목마스터!$A119="","",품목마스터!$A119)</f>
        <v/>
      </c>
      <c r="B120" s="12" t="str">
        <f aca="false">IF($A120="","",품목마스터!$B119)</f>
        <v/>
      </c>
      <c r="C120" s="12" t="str">
        <f aca="false">IF($A120="","",품목마스터!$E119)</f>
        <v/>
      </c>
      <c r="D120" s="12" t="str">
        <f aca="false">IF($A120="","",품목마스터!$D119)</f>
        <v/>
      </c>
      <c r="E120" s="13" t="str">
        <f aca="false">IF($A120="","",IF(품목마스터!$F119="",0,품목마스터!$F119))</f>
        <v/>
      </c>
      <c r="F120" s="13" t="str">
        <f aca="false">IF($A120="","",SUMIFS(입출고내역!$G$3:$G$1002,입출고내역!$C$3:$C$1002,$A120,입출고내역!$B$3:$B$1002,"입고"))</f>
        <v/>
      </c>
      <c r="G120" s="13" t="str">
        <f aca="false">IF($A120="","",SUMIFS(입출고내역!$G$3:$G$1002,입출고내역!$C$3:$C$1002,$A120,입출고내역!$B$3:$B$1002,"출고"))</f>
        <v/>
      </c>
      <c r="H120" s="13" t="str">
        <f aca="false">IF($A120="","",$E120+SUMIFS(입출고내역!$L$3:$L$1002,입출고내역!$C$3:$C$1002,$A120))</f>
        <v/>
      </c>
      <c r="I120" s="13" t="str">
        <f aca="false">IF($A120="","",IF(품목마스터!$G119="",0,품목마스터!$G119))</f>
        <v/>
      </c>
      <c r="J120" s="20" t="str">
        <f aca="false">IF($A120="","",IF($I120=0,"기준없음",TEXT($H120/$I120,"0%")&amp;"  "&amp;REPT("■",MIN(10,ROUND($H120/$I120*10,0)))))</f>
        <v/>
      </c>
    </row>
    <row r="121" customFormat="false" ht="15" hidden="false" customHeight="true" outlineLevel="0" collapsed="false">
      <c r="A121" s="12" t="str">
        <f aca="false">IF(품목마스터!$A120="","",품목마스터!$A120)</f>
        <v/>
      </c>
      <c r="B121" s="12" t="str">
        <f aca="false">IF($A121="","",품목마스터!$B120)</f>
        <v/>
      </c>
      <c r="C121" s="12" t="str">
        <f aca="false">IF($A121="","",품목마스터!$E120)</f>
        <v/>
      </c>
      <c r="D121" s="12" t="str">
        <f aca="false">IF($A121="","",품목마스터!$D120)</f>
        <v/>
      </c>
      <c r="E121" s="13" t="str">
        <f aca="false">IF($A121="","",IF(품목마스터!$F120="",0,품목마스터!$F120))</f>
        <v/>
      </c>
      <c r="F121" s="13" t="str">
        <f aca="false">IF($A121="","",SUMIFS(입출고내역!$G$3:$G$1002,입출고내역!$C$3:$C$1002,$A121,입출고내역!$B$3:$B$1002,"입고"))</f>
        <v/>
      </c>
      <c r="G121" s="13" t="str">
        <f aca="false">IF($A121="","",SUMIFS(입출고내역!$G$3:$G$1002,입출고내역!$C$3:$C$1002,$A121,입출고내역!$B$3:$B$1002,"출고"))</f>
        <v/>
      </c>
      <c r="H121" s="13" t="str">
        <f aca="false">IF($A121="","",$E121+SUMIFS(입출고내역!$L$3:$L$1002,입출고내역!$C$3:$C$1002,$A121))</f>
        <v/>
      </c>
      <c r="I121" s="13" t="str">
        <f aca="false">IF($A121="","",IF(품목마스터!$G120="",0,품목마스터!$G120))</f>
        <v/>
      </c>
      <c r="J121" s="20" t="str">
        <f aca="false">IF($A121="","",IF($I121=0,"기준없음",TEXT($H121/$I121,"0%")&amp;"  "&amp;REPT("■",MIN(10,ROUND($H121/$I121*10,0)))))</f>
        <v/>
      </c>
    </row>
    <row r="122" customFormat="false" ht="15" hidden="false" customHeight="true" outlineLevel="0" collapsed="false">
      <c r="A122" s="12" t="str">
        <f aca="false">IF(품목마스터!$A121="","",품목마스터!$A121)</f>
        <v/>
      </c>
      <c r="B122" s="12" t="str">
        <f aca="false">IF($A122="","",품목마스터!$B121)</f>
        <v/>
      </c>
      <c r="C122" s="12" t="str">
        <f aca="false">IF($A122="","",품목마스터!$E121)</f>
        <v/>
      </c>
      <c r="D122" s="12" t="str">
        <f aca="false">IF($A122="","",품목마스터!$D121)</f>
        <v/>
      </c>
      <c r="E122" s="13" t="str">
        <f aca="false">IF($A122="","",IF(품목마스터!$F121="",0,품목마스터!$F121))</f>
        <v/>
      </c>
      <c r="F122" s="13" t="str">
        <f aca="false">IF($A122="","",SUMIFS(입출고내역!$G$3:$G$1002,입출고내역!$C$3:$C$1002,$A122,입출고내역!$B$3:$B$1002,"입고"))</f>
        <v/>
      </c>
      <c r="G122" s="13" t="str">
        <f aca="false">IF($A122="","",SUMIFS(입출고내역!$G$3:$G$1002,입출고내역!$C$3:$C$1002,$A122,입출고내역!$B$3:$B$1002,"출고"))</f>
        <v/>
      </c>
      <c r="H122" s="13" t="str">
        <f aca="false">IF($A122="","",$E122+SUMIFS(입출고내역!$L$3:$L$1002,입출고내역!$C$3:$C$1002,$A122))</f>
        <v/>
      </c>
      <c r="I122" s="13" t="str">
        <f aca="false">IF($A122="","",IF(품목마스터!$G121="",0,품목마스터!$G121))</f>
        <v/>
      </c>
      <c r="J122" s="20" t="str">
        <f aca="false">IF($A122="","",IF($I122=0,"기준없음",TEXT($H122/$I122,"0%")&amp;"  "&amp;REPT("■",MIN(10,ROUND($H122/$I122*10,0)))))</f>
        <v/>
      </c>
    </row>
    <row r="123" customFormat="false" ht="15" hidden="false" customHeight="true" outlineLevel="0" collapsed="false">
      <c r="A123" s="12" t="str">
        <f aca="false">IF(품목마스터!$A122="","",품목마스터!$A122)</f>
        <v/>
      </c>
      <c r="B123" s="12" t="str">
        <f aca="false">IF($A123="","",품목마스터!$B122)</f>
        <v/>
      </c>
      <c r="C123" s="12" t="str">
        <f aca="false">IF($A123="","",품목마스터!$E122)</f>
        <v/>
      </c>
      <c r="D123" s="12" t="str">
        <f aca="false">IF($A123="","",품목마스터!$D122)</f>
        <v/>
      </c>
      <c r="E123" s="13" t="str">
        <f aca="false">IF($A123="","",IF(품목마스터!$F122="",0,품목마스터!$F122))</f>
        <v/>
      </c>
      <c r="F123" s="13" t="str">
        <f aca="false">IF($A123="","",SUMIFS(입출고내역!$G$3:$G$1002,입출고내역!$C$3:$C$1002,$A123,입출고내역!$B$3:$B$1002,"입고"))</f>
        <v/>
      </c>
      <c r="G123" s="13" t="str">
        <f aca="false">IF($A123="","",SUMIFS(입출고내역!$G$3:$G$1002,입출고내역!$C$3:$C$1002,$A123,입출고내역!$B$3:$B$1002,"출고"))</f>
        <v/>
      </c>
      <c r="H123" s="13" t="str">
        <f aca="false">IF($A123="","",$E123+SUMIFS(입출고내역!$L$3:$L$1002,입출고내역!$C$3:$C$1002,$A123))</f>
        <v/>
      </c>
      <c r="I123" s="13" t="str">
        <f aca="false">IF($A123="","",IF(품목마스터!$G122="",0,품목마스터!$G122))</f>
        <v/>
      </c>
      <c r="J123" s="20" t="str">
        <f aca="false">IF($A123="","",IF($I123=0,"기준없음",TEXT($H123/$I123,"0%")&amp;"  "&amp;REPT("■",MIN(10,ROUND($H123/$I123*10,0)))))</f>
        <v/>
      </c>
    </row>
    <row r="124" customFormat="false" ht="15" hidden="false" customHeight="true" outlineLevel="0" collapsed="false">
      <c r="A124" s="12" t="str">
        <f aca="false">IF(품목마스터!$A123="","",품목마스터!$A123)</f>
        <v/>
      </c>
      <c r="B124" s="12" t="str">
        <f aca="false">IF($A124="","",품목마스터!$B123)</f>
        <v/>
      </c>
      <c r="C124" s="12" t="str">
        <f aca="false">IF($A124="","",품목마스터!$E123)</f>
        <v/>
      </c>
      <c r="D124" s="12" t="str">
        <f aca="false">IF($A124="","",품목마스터!$D123)</f>
        <v/>
      </c>
      <c r="E124" s="13" t="str">
        <f aca="false">IF($A124="","",IF(품목마스터!$F123="",0,품목마스터!$F123))</f>
        <v/>
      </c>
      <c r="F124" s="13" t="str">
        <f aca="false">IF($A124="","",SUMIFS(입출고내역!$G$3:$G$1002,입출고내역!$C$3:$C$1002,$A124,입출고내역!$B$3:$B$1002,"입고"))</f>
        <v/>
      </c>
      <c r="G124" s="13" t="str">
        <f aca="false">IF($A124="","",SUMIFS(입출고내역!$G$3:$G$1002,입출고내역!$C$3:$C$1002,$A124,입출고내역!$B$3:$B$1002,"출고"))</f>
        <v/>
      </c>
      <c r="H124" s="13" t="str">
        <f aca="false">IF($A124="","",$E124+SUMIFS(입출고내역!$L$3:$L$1002,입출고내역!$C$3:$C$1002,$A124))</f>
        <v/>
      </c>
      <c r="I124" s="13" t="str">
        <f aca="false">IF($A124="","",IF(품목마스터!$G123="",0,품목마스터!$G123))</f>
        <v/>
      </c>
      <c r="J124" s="20" t="str">
        <f aca="false">IF($A124="","",IF($I124=0,"기준없음",TEXT($H124/$I124,"0%")&amp;"  "&amp;REPT("■",MIN(10,ROUND($H124/$I124*10,0)))))</f>
        <v/>
      </c>
    </row>
    <row r="125" customFormat="false" ht="15" hidden="false" customHeight="true" outlineLevel="0" collapsed="false">
      <c r="A125" s="12" t="str">
        <f aca="false">IF(품목마스터!$A124="","",품목마스터!$A124)</f>
        <v/>
      </c>
      <c r="B125" s="12" t="str">
        <f aca="false">IF($A125="","",품목마스터!$B124)</f>
        <v/>
      </c>
      <c r="C125" s="12" t="str">
        <f aca="false">IF($A125="","",품목마스터!$E124)</f>
        <v/>
      </c>
      <c r="D125" s="12" t="str">
        <f aca="false">IF($A125="","",품목마스터!$D124)</f>
        <v/>
      </c>
      <c r="E125" s="13" t="str">
        <f aca="false">IF($A125="","",IF(품목마스터!$F124="",0,품목마스터!$F124))</f>
        <v/>
      </c>
      <c r="F125" s="13" t="str">
        <f aca="false">IF($A125="","",SUMIFS(입출고내역!$G$3:$G$1002,입출고내역!$C$3:$C$1002,$A125,입출고내역!$B$3:$B$1002,"입고"))</f>
        <v/>
      </c>
      <c r="G125" s="13" t="str">
        <f aca="false">IF($A125="","",SUMIFS(입출고내역!$G$3:$G$1002,입출고내역!$C$3:$C$1002,$A125,입출고내역!$B$3:$B$1002,"출고"))</f>
        <v/>
      </c>
      <c r="H125" s="13" t="str">
        <f aca="false">IF($A125="","",$E125+SUMIFS(입출고내역!$L$3:$L$1002,입출고내역!$C$3:$C$1002,$A125))</f>
        <v/>
      </c>
      <c r="I125" s="13" t="str">
        <f aca="false">IF($A125="","",IF(품목마스터!$G124="",0,품목마스터!$G124))</f>
        <v/>
      </c>
      <c r="J125" s="20" t="str">
        <f aca="false">IF($A125="","",IF($I125=0,"기준없음",TEXT($H125/$I125,"0%")&amp;"  "&amp;REPT("■",MIN(10,ROUND($H125/$I125*10,0)))))</f>
        <v/>
      </c>
    </row>
    <row r="126" customFormat="false" ht="15" hidden="false" customHeight="true" outlineLevel="0" collapsed="false">
      <c r="A126" s="12" t="str">
        <f aca="false">IF(품목마스터!$A125="","",품목마스터!$A125)</f>
        <v/>
      </c>
      <c r="B126" s="12" t="str">
        <f aca="false">IF($A126="","",품목마스터!$B125)</f>
        <v/>
      </c>
      <c r="C126" s="12" t="str">
        <f aca="false">IF($A126="","",품목마스터!$E125)</f>
        <v/>
      </c>
      <c r="D126" s="12" t="str">
        <f aca="false">IF($A126="","",품목마스터!$D125)</f>
        <v/>
      </c>
      <c r="E126" s="13" t="str">
        <f aca="false">IF($A126="","",IF(품목마스터!$F125="",0,품목마스터!$F125))</f>
        <v/>
      </c>
      <c r="F126" s="13" t="str">
        <f aca="false">IF($A126="","",SUMIFS(입출고내역!$G$3:$G$1002,입출고내역!$C$3:$C$1002,$A126,입출고내역!$B$3:$B$1002,"입고"))</f>
        <v/>
      </c>
      <c r="G126" s="13" t="str">
        <f aca="false">IF($A126="","",SUMIFS(입출고내역!$G$3:$G$1002,입출고내역!$C$3:$C$1002,$A126,입출고내역!$B$3:$B$1002,"출고"))</f>
        <v/>
      </c>
      <c r="H126" s="13" t="str">
        <f aca="false">IF($A126="","",$E126+SUMIFS(입출고내역!$L$3:$L$1002,입출고내역!$C$3:$C$1002,$A126))</f>
        <v/>
      </c>
      <c r="I126" s="13" t="str">
        <f aca="false">IF($A126="","",IF(품목마스터!$G125="",0,품목마스터!$G125))</f>
        <v/>
      </c>
      <c r="J126" s="20" t="str">
        <f aca="false">IF($A126="","",IF($I126=0,"기준없음",TEXT($H126/$I126,"0%")&amp;"  "&amp;REPT("■",MIN(10,ROUND($H126/$I126*10,0)))))</f>
        <v/>
      </c>
    </row>
    <row r="127" customFormat="false" ht="15" hidden="false" customHeight="true" outlineLevel="0" collapsed="false">
      <c r="A127" s="12" t="str">
        <f aca="false">IF(품목마스터!$A126="","",품목마스터!$A126)</f>
        <v/>
      </c>
      <c r="B127" s="12" t="str">
        <f aca="false">IF($A127="","",품목마스터!$B126)</f>
        <v/>
      </c>
      <c r="C127" s="12" t="str">
        <f aca="false">IF($A127="","",품목마스터!$E126)</f>
        <v/>
      </c>
      <c r="D127" s="12" t="str">
        <f aca="false">IF($A127="","",품목마스터!$D126)</f>
        <v/>
      </c>
      <c r="E127" s="13" t="str">
        <f aca="false">IF($A127="","",IF(품목마스터!$F126="",0,품목마스터!$F126))</f>
        <v/>
      </c>
      <c r="F127" s="13" t="str">
        <f aca="false">IF($A127="","",SUMIFS(입출고내역!$G$3:$G$1002,입출고내역!$C$3:$C$1002,$A127,입출고내역!$B$3:$B$1002,"입고"))</f>
        <v/>
      </c>
      <c r="G127" s="13" t="str">
        <f aca="false">IF($A127="","",SUMIFS(입출고내역!$G$3:$G$1002,입출고내역!$C$3:$C$1002,$A127,입출고내역!$B$3:$B$1002,"출고"))</f>
        <v/>
      </c>
      <c r="H127" s="13" t="str">
        <f aca="false">IF($A127="","",$E127+SUMIFS(입출고내역!$L$3:$L$1002,입출고내역!$C$3:$C$1002,$A127))</f>
        <v/>
      </c>
      <c r="I127" s="13" t="str">
        <f aca="false">IF($A127="","",IF(품목마스터!$G126="",0,품목마스터!$G126))</f>
        <v/>
      </c>
      <c r="J127" s="20" t="str">
        <f aca="false">IF($A127="","",IF($I127=0,"기준없음",TEXT($H127/$I127,"0%")&amp;"  "&amp;REPT("■",MIN(10,ROUND($H127/$I127*10,0)))))</f>
        <v/>
      </c>
    </row>
    <row r="128" customFormat="false" ht="15" hidden="false" customHeight="true" outlineLevel="0" collapsed="false">
      <c r="A128" s="12" t="str">
        <f aca="false">IF(품목마스터!$A127="","",품목마스터!$A127)</f>
        <v/>
      </c>
      <c r="B128" s="12" t="str">
        <f aca="false">IF($A128="","",품목마스터!$B127)</f>
        <v/>
      </c>
      <c r="C128" s="12" t="str">
        <f aca="false">IF($A128="","",품목마스터!$E127)</f>
        <v/>
      </c>
      <c r="D128" s="12" t="str">
        <f aca="false">IF($A128="","",품목마스터!$D127)</f>
        <v/>
      </c>
      <c r="E128" s="13" t="str">
        <f aca="false">IF($A128="","",IF(품목마스터!$F127="",0,품목마스터!$F127))</f>
        <v/>
      </c>
      <c r="F128" s="13" t="str">
        <f aca="false">IF($A128="","",SUMIFS(입출고내역!$G$3:$G$1002,입출고내역!$C$3:$C$1002,$A128,입출고내역!$B$3:$B$1002,"입고"))</f>
        <v/>
      </c>
      <c r="G128" s="13" t="str">
        <f aca="false">IF($A128="","",SUMIFS(입출고내역!$G$3:$G$1002,입출고내역!$C$3:$C$1002,$A128,입출고내역!$B$3:$B$1002,"출고"))</f>
        <v/>
      </c>
      <c r="H128" s="13" t="str">
        <f aca="false">IF($A128="","",$E128+SUMIFS(입출고내역!$L$3:$L$1002,입출고내역!$C$3:$C$1002,$A128))</f>
        <v/>
      </c>
      <c r="I128" s="13" t="str">
        <f aca="false">IF($A128="","",IF(품목마스터!$G127="",0,품목마스터!$G127))</f>
        <v/>
      </c>
      <c r="J128" s="20" t="str">
        <f aca="false">IF($A128="","",IF($I128=0,"기준없음",TEXT($H128/$I128,"0%")&amp;"  "&amp;REPT("■",MIN(10,ROUND($H128/$I128*10,0)))))</f>
        <v/>
      </c>
    </row>
    <row r="129" customFormat="false" ht="15" hidden="false" customHeight="true" outlineLevel="0" collapsed="false">
      <c r="A129" s="12" t="str">
        <f aca="false">IF(품목마스터!$A128="","",품목마스터!$A128)</f>
        <v/>
      </c>
      <c r="B129" s="12" t="str">
        <f aca="false">IF($A129="","",품목마스터!$B128)</f>
        <v/>
      </c>
      <c r="C129" s="12" t="str">
        <f aca="false">IF($A129="","",품목마스터!$E128)</f>
        <v/>
      </c>
      <c r="D129" s="12" t="str">
        <f aca="false">IF($A129="","",품목마스터!$D128)</f>
        <v/>
      </c>
      <c r="E129" s="13" t="str">
        <f aca="false">IF($A129="","",IF(품목마스터!$F128="",0,품목마스터!$F128))</f>
        <v/>
      </c>
      <c r="F129" s="13" t="str">
        <f aca="false">IF($A129="","",SUMIFS(입출고내역!$G$3:$G$1002,입출고내역!$C$3:$C$1002,$A129,입출고내역!$B$3:$B$1002,"입고"))</f>
        <v/>
      </c>
      <c r="G129" s="13" t="str">
        <f aca="false">IF($A129="","",SUMIFS(입출고내역!$G$3:$G$1002,입출고내역!$C$3:$C$1002,$A129,입출고내역!$B$3:$B$1002,"출고"))</f>
        <v/>
      </c>
      <c r="H129" s="13" t="str">
        <f aca="false">IF($A129="","",$E129+SUMIFS(입출고내역!$L$3:$L$1002,입출고내역!$C$3:$C$1002,$A129))</f>
        <v/>
      </c>
      <c r="I129" s="13" t="str">
        <f aca="false">IF($A129="","",IF(품목마스터!$G128="",0,품목마스터!$G128))</f>
        <v/>
      </c>
      <c r="J129" s="20" t="str">
        <f aca="false">IF($A129="","",IF($I129=0,"기준없음",TEXT($H129/$I129,"0%")&amp;"  "&amp;REPT("■",MIN(10,ROUND($H129/$I129*10,0)))))</f>
        <v/>
      </c>
    </row>
    <row r="130" customFormat="false" ht="15" hidden="false" customHeight="true" outlineLevel="0" collapsed="false">
      <c r="A130" s="12" t="str">
        <f aca="false">IF(품목마스터!$A129="","",품목마스터!$A129)</f>
        <v/>
      </c>
      <c r="B130" s="12" t="str">
        <f aca="false">IF($A130="","",품목마스터!$B129)</f>
        <v/>
      </c>
      <c r="C130" s="12" t="str">
        <f aca="false">IF($A130="","",품목마스터!$E129)</f>
        <v/>
      </c>
      <c r="D130" s="12" t="str">
        <f aca="false">IF($A130="","",품목마스터!$D129)</f>
        <v/>
      </c>
      <c r="E130" s="13" t="str">
        <f aca="false">IF($A130="","",IF(품목마스터!$F129="",0,품목마스터!$F129))</f>
        <v/>
      </c>
      <c r="F130" s="13" t="str">
        <f aca="false">IF($A130="","",SUMIFS(입출고내역!$G$3:$G$1002,입출고내역!$C$3:$C$1002,$A130,입출고내역!$B$3:$B$1002,"입고"))</f>
        <v/>
      </c>
      <c r="G130" s="13" t="str">
        <f aca="false">IF($A130="","",SUMIFS(입출고내역!$G$3:$G$1002,입출고내역!$C$3:$C$1002,$A130,입출고내역!$B$3:$B$1002,"출고"))</f>
        <v/>
      </c>
      <c r="H130" s="13" t="str">
        <f aca="false">IF($A130="","",$E130+SUMIFS(입출고내역!$L$3:$L$1002,입출고내역!$C$3:$C$1002,$A130))</f>
        <v/>
      </c>
      <c r="I130" s="13" t="str">
        <f aca="false">IF($A130="","",IF(품목마스터!$G129="",0,품목마스터!$G129))</f>
        <v/>
      </c>
      <c r="J130" s="20" t="str">
        <f aca="false">IF($A130="","",IF($I130=0,"기준없음",TEXT($H130/$I130,"0%")&amp;"  "&amp;REPT("■",MIN(10,ROUND($H130/$I130*10,0)))))</f>
        <v/>
      </c>
    </row>
    <row r="131" customFormat="false" ht="15" hidden="false" customHeight="true" outlineLevel="0" collapsed="false">
      <c r="A131" s="12" t="str">
        <f aca="false">IF(품목마스터!$A130="","",품목마스터!$A130)</f>
        <v/>
      </c>
      <c r="B131" s="12" t="str">
        <f aca="false">IF($A131="","",품목마스터!$B130)</f>
        <v/>
      </c>
      <c r="C131" s="12" t="str">
        <f aca="false">IF($A131="","",품목마스터!$E130)</f>
        <v/>
      </c>
      <c r="D131" s="12" t="str">
        <f aca="false">IF($A131="","",품목마스터!$D130)</f>
        <v/>
      </c>
      <c r="E131" s="13" t="str">
        <f aca="false">IF($A131="","",IF(품목마스터!$F130="",0,품목마스터!$F130))</f>
        <v/>
      </c>
      <c r="F131" s="13" t="str">
        <f aca="false">IF($A131="","",SUMIFS(입출고내역!$G$3:$G$1002,입출고내역!$C$3:$C$1002,$A131,입출고내역!$B$3:$B$1002,"입고"))</f>
        <v/>
      </c>
      <c r="G131" s="13" t="str">
        <f aca="false">IF($A131="","",SUMIFS(입출고내역!$G$3:$G$1002,입출고내역!$C$3:$C$1002,$A131,입출고내역!$B$3:$B$1002,"출고"))</f>
        <v/>
      </c>
      <c r="H131" s="13" t="str">
        <f aca="false">IF($A131="","",$E131+SUMIFS(입출고내역!$L$3:$L$1002,입출고내역!$C$3:$C$1002,$A131))</f>
        <v/>
      </c>
      <c r="I131" s="13" t="str">
        <f aca="false">IF($A131="","",IF(품목마스터!$G130="",0,품목마스터!$G130))</f>
        <v/>
      </c>
      <c r="J131" s="20" t="str">
        <f aca="false">IF($A131="","",IF($I131=0,"기준없음",TEXT($H131/$I131,"0%")&amp;"  "&amp;REPT("■",MIN(10,ROUND($H131/$I131*10,0)))))</f>
        <v/>
      </c>
    </row>
    <row r="132" customFormat="false" ht="15" hidden="false" customHeight="true" outlineLevel="0" collapsed="false">
      <c r="A132" s="12" t="str">
        <f aca="false">IF(품목마스터!$A131="","",품목마스터!$A131)</f>
        <v/>
      </c>
      <c r="B132" s="12" t="str">
        <f aca="false">IF($A132="","",품목마스터!$B131)</f>
        <v/>
      </c>
      <c r="C132" s="12" t="str">
        <f aca="false">IF($A132="","",품목마스터!$E131)</f>
        <v/>
      </c>
      <c r="D132" s="12" t="str">
        <f aca="false">IF($A132="","",품목마스터!$D131)</f>
        <v/>
      </c>
      <c r="E132" s="13" t="str">
        <f aca="false">IF($A132="","",IF(품목마스터!$F131="",0,품목마스터!$F131))</f>
        <v/>
      </c>
      <c r="F132" s="13" t="str">
        <f aca="false">IF($A132="","",SUMIFS(입출고내역!$G$3:$G$1002,입출고내역!$C$3:$C$1002,$A132,입출고내역!$B$3:$B$1002,"입고"))</f>
        <v/>
      </c>
      <c r="G132" s="13" t="str">
        <f aca="false">IF($A132="","",SUMIFS(입출고내역!$G$3:$G$1002,입출고내역!$C$3:$C$1002,$A132,입출고내역!$B$3:$B$1002,"출고"))</f>
        <v/>
      </c>
      <c r="H132" s="13" t="str">
        <f aca="false">IF($A132="","",$E132+SUMIFS(입출고내역!$L$3:$L$1002,입출고내역!$C$3:$C$1002,$A132))</f>
        <v/>
      </c>
      <c r="I132" s="13" t="str">
        <f aca="false">IF($A132="","",IF(품목마스터!$G131="",0,품목마스터!$G131))</f>
        <v/>
      </c>
      <c r="J132" s="20" t="str">
        <f aca="false">IF($A132="","",IF($I132=0,"기준없음",TEXT($H132/$I132,"0%")&amp;"  "&amp;REPT("■",MIN(10,ROUND($H132/$I132*10,0)))))</f>
        <v/>
      </c>
    </row>
    <row r="133" customFormat="false" ht="15" hidden="false" customHeight="true" outlineLevel="0" collapsed="false">
      <c r="A133" s="12" t="str">
        <f aca="false">IF(품목마스터!$A132="","",품목마스터!$A132)</f>
        <v/>
      </c>
      <c r="B133" s="12" t="str">
        <f aca="false">IF($A133="","",품목마스터!$B132)</f>
        <v/>
      </c>
      <c r="C133" s="12" t="str">
        <f aca="false">IF($A133="","",품목마스터!$E132)</f>
        <v/>
      </c>
      <c r="D133" s="12" t="str">
        <f aca="false">IF($A133="","",품목마스터!$D132)</f>
        <v/>
      </c>
      <c r="E133" s="13" t="str">
        <f aca="false">IF($A133="","",IF(품목마스터!$F132="",0,품목마스터!$F132))</f>
        <v/>
      </c>
      <c r="F133" s="13" t="str">
        <f aca="false">IF($A133="","",SUMIFS(입출고내역!$G$3:$G$1002,입출고내역!$C$3:$C$1002,$A133,입출고내역!$B$3:$B$1002,"입고"))</f>
        <v/>
      </c>
      <c r="G133" s="13" t="str">
        <f aca="false">IF($A133="","",SUMIFS(입출고내역!$G$3:$G$1002,입출고내역!$C$3:$C$1002,$A133,입출고내역!$B$3:$B$1002,"출고"))</f>
        <v/>
      </c>
      <c r="H133" s="13" t="str">
        <f aca="false">IF($A133="","",$E133+SUMIFS(입출고내역!$L$3:$L$1002,입출고내역!$C$3:$C$1002,$A133))</f>
        <v/>
      </c>
      <c r="I133" s="13" t="str">
        <f aca="false">IF($A133="","",IF(품목마스터!$G132="",0,품목마스터!$G132))</f>
        <v/>
      </c>
      <c r="J133" s="20" t="str">
        <f aca="false">IF($A133="","",IF($I133=0,"기준없음",TEXT($H133/$I133,"0%")&amp;"  "&amp;REPT("■",MIN(10,ROUND($H133/$I133*10,0)))))</f>
        <v/>
      </c>
    </row>
    <row r="134" customFormat="false" ht="15" hidden="false" customHeight="true" outlineLevel="0" collapsed="false">
      <c r="A134" s="12" t="str">
        <f aca="false">IF(품목마스터!$A133="","",품목마스터!$A133)</f>
        <v/>
      </c>
      <c r="B134" s="12" t="str">
        <f aca="false">IF($A134="","",품목마스터!$B133)</f>
        <v/>
      </c>
      <c r="C134" s="12" t="str">
        <f aca="false">IF($A134="","",품목마스터!$E133)</f>
        <v/>
      </c>
      <c r="D134" s="12" t="str">
        <f aca="false">IF($A134="","",품목마스터!$D133)</f>
        <v/>
      </c>
      <c r="E134" s="13" t="str">
        <f aca="false">IF($A134="","",IF(품목마스터!$F133="",0,품목마스터!$F133))</f>
        <v/>
      </c>
      <c r="F134" s="13" t="str">
        <f aca="false">IF($A134="","",SUMIFS(입출고내역!$G$3:$G$1002,입출고내역!$C$3:$C$1002,$A134,입출고내역!$B$3:$B$1002,"입고"))</f>
        <v/>
      </c>
      <c r="G134" s="13" t="str">
        <f aca="false">IF($A134="","",SUMIFS(입출고내역!$G$3:$G$1002,입출고내역!$C$3:$C$1002,$A134,입출고내역!$B$3:$B$1002,"출고"))</f>
        <v/>
      </c>
      <c r="H134" s="13" t="str">
        <f aca="false">IF($A134="","",$E134+SUMIFS(입출고내역!$L$3:$L$1002,입출고내역!$C$3:$C$1002,$A134))</f>
        <v/>
      </c>
      <c r="I134" s="13" t="str">
        <f aca="false">IF($A134="","",IF(품목마스터!$G133="",0,품목마스터!$G133))</f>
        <v/>
      </c>
      <c r="J134" s="20" t="str">
        <f aca="false">IF($A134="","",IF($I134=0,"기준없음",TEXT($H134/$I134,"0%")&amp;"  "&amp;REPT("■",MIN(10,ROUND($H134/$I134*10,0)))))</f>
        <v/>
      </c>
    </row>
    <row r="135" customFormat="false" ht="15" hidden="false" customHeight="true" outlineLevel="0" collapsed="false">
      <c r="A135" s="12" t="str">
        <f aca="false">IF(품목마스터!$A134="","",품목마스터!$A134)</f>
        <v/>
      </c>
      <c r="B135" s="12" t="str">
        <f aca="false">IF($A135="","",품목마스터!$B134)</f>
        <v/>
      </c>
      <c r="C135" s="12" t="str">
        <f aca="false">IF($A135="","",품목마스터!$E134)</f>
        <v/>
      </c>
      <c r="D135" s="12" t="str">
        <f aca="false">IF($A135="","",품목마스터!$D134)</f>
        <v/>
      </c>
      <c r="E135" s="13" t="str">
        <f aca="false">IF($A135="","",IF(품목마스터!$F134="",0,품목마스터!$F134))</f>
        <v/>
      </c>
      <c r="F135" s="13" t="str">
        <f aca="false">IF($A135="","",SUMIFS(입출고내역!$G$3:$G$1002,입출고내역!$C$3:$C$1002,$A135,입출고내역!$B$3:$B$1002,"입고"))</f>
        <v/>
      </c>
      <c r="G135" s="13" t="str">
        <f aca="false">IF($A135="","",SUMIFS(입출고내역!$G$3:$G$1002,입출고내역!$C$3:$C$1002,$A135,입출고내역!$B$3:$B$1002,"출고"))</f>
        <v/>
      </c>
      <c r="H135" s="13" t="str">
        <f aca="false">IF($A135="","",$E135+SUMIFS(입출고내역!$L$3:$L$1002,입출고내역!$C$3:$C$1002,$A135))</f>
        <v/>
      </c>
      <c r="I135" s="13" t="str">
        <f aca="false">IF($A135="","",IF(품목마스터!$G134="",0,품목마스터!$G134))</f>
        <v/>
      </c>
      <c r="J135" s="20" t="str">
        <f aca="false">IF($A135="","",IF($I135=0,"기준없음",TEXT($H135/$I135,"0%")&amp;"  "&amp;REPT("■",MIN(10,ROUND($H135/$I135*10,0)))))</f>
        <v/>
      </c>
    </row>
    <row r="136" customFormat="false" ht="15" hidden="false" customHeight="true" outlineLevel="0" collapsed="false">
      <c r="A136" s="12" t="str">
        <f aca="false">IF(품목마스터!$A135="","",품목마스터!$A135)</f>
        <v/>
      </c>
      <c r="B136" s="12" t="str">
        <f aca="false">IF($A136="","",품목마스터!$B135)</f>
        <v/>
      </c>
      <c r="C136" s="12" t="str">
        <f aca="false">IF($A136="","",품목마스터!$E135)</f>
        <v/>
      </c>
      <c r="D136" s="12" t="str">
        <f aca="false">IF($A136="","",품목마스터!$D135)</f>
        <v/>
      </c>
      <c r="E136" s="13" t="str">
        <f aca="false">IF($A136="","",IF(품목마스터!$F135="",0,품목마스터!$F135))</f>
        <v/>
      </c>
      <c r="F136" s="13" t="str">
        <f aca="false">IF($A136="","",SUMIFS(입출고내역!$G$3:$G$1002,입출고내역!$C$3:$C$1002,$A136,입출고내역!$B$3:$B$1002,"입고"))</f>
        <v/>
      </c>
      <c r="G136" s="13" t="str">
        <f aca="false">IF($A136="","",SUMIFS(입출고내역!$G$3:$G$1002,입출고내역!$C$3:$C$1002,$A136,입출고내역!$B$3:$B$1002,"출고"))</f>
        <v/>
      </c>
      <c r="H136" s="13" t="str">
        <f aca="false">IF($A136="","",$E136+SUMIFS(입출고내역!$L$3:$L$1002,입출고내역!$C$3:$C$1002,$A136))</f>
        <v/>
      </c>
      <c r="I136" s="13" t="str">
        <f aca="false">IF($A136="","",IF(품목마스터!$G135="",0,품목마스터!$G135))</f>
        <v/>
      </c>
      <c r="J136" s="20" t="str">
        <f aca="false">IF($A136="","",IF($I136=0,"기준없음",TEXT($H136/$I136,"0%")&amp;"  "&amp;REPT("■",MIN(10,ROUND($H136/$I136*10,0)))))</f>
        <v/>
      </c>
    </row>
    <row r="137" customFormat="false" ht="15" hidden="false" customHeight="true" outlineLevel="0" collapsed="false">
      <c r="A137" s="12" t="str">
        <f aca="false">IF(품목마스터!$A136="","",품목마스터!$A136)</f>
        <v/>
      </c>
      <c r="B137" s="12" t="str">
        <f aca="false">IF($A137="","",품목마스터!$B136)</f>
        <v/>
      </c>
      <c r="C137" s="12" t="str">
        <f aca="false">IF($A137="","",품목마스터!$E136)</f>
        <v/>
      </c>
      <c r="D137" s="12" t="str">
        <f aca="false">IF($A137="","",품목마스터!$D136)</f>
        <v/>
      </c>
      <c r="E137" s="13" t="str">
        <f aca="false">IF($A137="","",IF(품목마스터!$F136="",0,품목마스터!$F136))</f>
        <v/>
      </c>
      <c r="F137" s="13" t="str">
        <f aca="false">IF($A137="","",SUMIFS(입출고내역!$G$3:$G$1002,입출고내역!$C$3:$C$1002,$A137,입출고내역!$B$3:$B$1002,"입고"))</f>
        <v/>
      </c>
      <c r="G137" s="13" t="str">
        <f aca="false">IF($A137="","",SUMIFS(입출고내역!$G$3:$G$1002,입출고내역!$C$3:$C$1002,$A137,입출고내역!$B$3:$B$1002,"출고"))</f>
        <v/>
      </c>
      <c r="H137" s="13" t="str">
        <f aca="false">IF($A137="","",$E137+SUMIFS(입출고내역!$L$3:$L$1002,입출고내역!$C$3:$C$1002,$A137))</f>
        <v/>
      </c>
      <c r="I137" s="13" t="str">
        <f aca="false">IF($A137="","",IF(품목마스터!$G136="",0,품목마스터!$G136))</f>
        <v/>
      </c>
      <c r="J137" s="20" t="str">
        <f aca="false">IF($A137="","",IF($I137=0,"기준없음",TEXT($H137/$I137,"0%")&amp;"  "&amp;REPT("■",MIN(10,ROUND($H137/$I137*10,0)))))</f>
        <v/>
      </c>
    </row>
    <row r="138" customFormat="false" ht="15" hidden="false" customHeight="true" outlineLevel="0" collapsed="false">
      <c r="A138" s="12" t="str">
        <f aca="false">IF(품목마스터!$A137="","",품목마스터!$A137)</f>
        <v/>
      </c>
      <c r="B138" s="12" t="str">
        <f aca="false">IF($A138="","",품목마스터!$B137)</f>
        <v/>
      </c>
      <c r="C138" s="12" t="str">
        <f aca="false">IF($A138="","",품목마스터!$E137)</f>
        <v/>
      </c>
      <c r="D138" s="12" t="str">
        <f aca="false">IF($A138="","",품목마스터!$D137)</f>
        <v/>
      </c>
      <c r="E138" s="13" t="str">
        <f aca="false">IF($A138="","",IF(품목마스터!$F137="",0,품목마스터!$F137))</f>
        <v/>
      </c>
      <c r="F138" s="13" t="str">
        <f aca="false">IF($A138="","",SUMIFS(입출고내역!$G$3:$G$1002,입출고내역!$C$3:$C$1002,$A138,입출고내역!$B$3:$B$1002,"입고"))</f>
        <v/>
      </c>
      <c r="G138" s="13" t="str">
        <f aca="false">IF($A138="","",SUMIFS(입출고내역!$G$3:$G$1002,입출고내역!$C$3:$C$1002,$A138,입출고내역!$B$3:$B$1002,"출고"))</f>
        <v/>
      </c>
      <c r="H138" s="13" t="str">
        <f aca="false">IF($A138="","",$E138+SUMIFS(입출고내역!$L$3:$L$1002,입출고내역!$C$3:$C$1002,$A138))</f>
        <v/>
      </c>
      <c r="I138" s="13" t="str">
        <f aca="false">IF($A138="","",IF(품목마스터!$G137="",0,품목마스터!$G137))</f>
        <v/>
      </c>
      <c r="J138" s="20" t="str">
        <f aca="false">IF($A138="","",IF($I138=0,"기준없음",TEXT($H138/$I138,"0%")&amp;"  "&amp;REPT("■",MIN(10,ROUND($H138/$I138*10,0)))))</f>
        <v/>
      </c>
    </row>
    <row r="139" customFormat="false" ht="15" hidden="false" customHeight="true" outlineLevel="0" collapsed="false">
      <c r="A139" s="12" t="str">
        <f aca="false">IF(품목마스터!$A138="","",품목마스터!$A138)</f>
        <v/>
      </c>
      <c r="B139" s="12" t="str">
        <f aca="false">IF($A139="","",품목마스터!$B138)</f>
        <v/>
      </c>
      <c r="C139" s="12" t="str">
        <f aca="false">IF($A139="","",품목마스터!$E138)</f>
        <v/>
      </c>
      <c r="D139" s="12" t="str">
        <f aca="false">IF($A139="","",품목마스터!$D138)</f>
        <v/>
      </c>
      <c r="E139" s="13" t="str">
        <f aca="false">IF($A139="","",IF(품목마스터!$F138="",0,품목마스터!$F138))</f>
        <v/>
      </c>
      <c r="F139" s="13" t="str">
        <f aca="false">IF($A139="","",SUMIFS(입출고내역!$G$3:$G$1002,입출고내역!$C$3:$C$1002,$A139,입출고내역!$B$3:$B$1002,"입고"))</f>
        <v/>
      </c>
      <c r="G139" s="13" t="str">
        <f aca="false">IF($A139="","",SUMIFS(입출고내역!$G$3:$G$1002,입출고내역!$C$3:$C$1002,$A139,입출고내역!$B$3:$B$1002,"출고"))</f>
        <v/>
      </c>
      <c r="H139" s="13" t="str">
        <f aca="false">IF($A139="","",$E139+SUMIFS(입출고내역!$L$3:$L$1002,입출고내역!$C$3:$C$1002,$A139))</f>
        <v/>
      </c>
      <c r="I139" s="13" t="str">
        <f aca="false">IF($A139="","",IF(품목마스터!$G138="",0,품목마스터!$G138))</f>
        <v/>
      </c>
      <c r="J139" s="20" t="str">
        <f aca="false">IF($A139="","",IF($I139=0,"기준없음",TEXT($H139/$I139,"0%")&amp;"  "&amp;REPT("■",MIN(10,ROUND($H139/$I139*10,0)))))</f>
        <v/>
      </c>
    </row>
    <row r="140" customFormat="false" ht="15" hidden="false" customHeight="true" outlineLevel="0" collapsed="false">
      <c r="A140" s="12" t="str">
        <f aca="false">IF(품목마스터!$A139="","",품목마스터!$A139)</f>
        <v/>
      </c>
      <c r="B140" s="12" t="str">
        <f aca="false">IF($A140="","",품목마스터!$B139)</f>
        <v/>
      </c>
      <c r="C140" s="12" t="str">
        <f aca="false">IF($A140="","",품목마스터!$E139)</f>
        <v/>
      </c>
      <c r="D140" s="12" t="str">
        <f aca="false">IF($A140="","",품목마스터!$D139)</f>
        <v/>
      </c>
      <c r="E140" s="13" t="str">
        <f aca="false">IF($A140="","",IF(품목마스터!$F139="",0,품목마스터!$F139))</f>
        <v/>
      </c>
      <c r="F140" s="13" t="str">
        <f aca="false">IF($A140="","",SUMIFS(입출고내역!$G$3:$G$1002,입출고내역!$C$3:$C$1002,$A140,입출고내역!$B$3:$B$1002,"입고"))</f>
        <v/>
      </c>
      <c r="G140" s="13" t="str">
        <f aca="false">IF($A140="","",SUMIFS(입출고내역!$G$3:$G$1002,입출고내역!$C$3:$C$1002,$A140,입출고내역!$B$3:$B$1002,"출고"))</f>
        <v/>
      </c>
      <c r="H140" s="13" t="str">
        <f aca="false">IF($A140="","",$E140+SUMIFS(입출고내역!$L$3:$L$1002,입출고내역!$C$3:$C$1002,$A140))</f>
        <v/>
      </c>
      <c r="I140" s="13" t="str">
        <f aca="false">IF($A140="","",IF(품목마스터!$G139="",0,품목마스터!$G139))</f>
        <v/>
      </c>
      <c r="J140" s="20" t="str">
        <f aca="false">IF($A140="","",IF($I140=0,"기준없음",TEXT($H140/$I140,"0%")&amp;"  "&amp;REPT("■",MIN(10,ROUND($H140/$I140*10,0)))))</f>
        <v/>
      </c>
    </row>
    <row r="141" customFormat="false" ht="15" hidden="false" customHeight="true" outlineLevel="0" collapsed="false">
      <c r="A141" s="12" t="str">
        <f aca="false">IF(품목마스터!$A140="","",품목마스터!$A140)</f>
        <v/>
      </c>
      <c r="B141" s="12" t="str">
        <f aca="false">IF($A141="","",품목마스터!$B140)</f>
        <v/>
      </c>
      <c r="C141" s="12" t="str">
        <f aca="false">IF($A141="","",품목마스터!$E140)</f>
        <v/>
      </c>
      <c r="D141" s="12" t="str">
        <f aca="false">IF($A141="","",품목마스터!$D140)</f>
        <v/>
      </c>
      <c r="E141" s="13" t="str">
        <f aca="false">IF($A141="","",IF(품목마스터!$F140="",0,품목마스터!$F140))</f>
        <v/>
      </c>
      <c r="F141" s="13" t="str">
        <f aca="false">IF($A141="","",SUMIFS(입출고내역!$G$3:$G$1002,입출고내역!$C$3:$C$1002,$A141,입출고내역!$B$3:$B$1002,"입고"))</f>
        <v/>
      </c>
      <c r="G141" s="13" t="str">
        <f aca="false">IF($A141="","",SUMIFS(입출고내역!$G$3:$G$1002,입출고내역!$C$3:$C$1002,$A141,입출고내역!$B$3:$B$1002,"출고"))</f>
        <v/>
      </c>
      <c r="H141" s="13" t="str">
        <f aca="false">IF($A141="","",$E141+SUMIFS(입출고내역!$L$3:$L$1002,입출고내역!$C$3:$C$1002,$A141))</f>
        <v/>
      </c>
      <c r="I141" s="13" t="str">
        <f aca="false">IF($A141="","",IF(품목마스터!$G140="",0,품목마스터!$G140))</f>
        <v/>
      </c>
      <c r="J141" s="20" t="str">
        <f aca="false">IF($A141="","",IF($I141=0,"기준없음",TEXT($H141/$I141,"0%")&amp;"  "&amp;REPT("■",MIN(10,ROUND($H141/$I141*10,0)))))</f>
        <v/>
      </c>
    </row>
    <row r="142" customFormat="false" ht="15" hidden="false" customHeight="true" outlineLevel="0" collapsed="false">
      <c r="A142" s="12" t="str">
        <f aca="false">IF(품목마스터!$A141="","",품목마스터!$A141)</f>
        <v/>
      </c>
      <c r="B142" s="12" t="str">
        <f aca="false">IF($A142="","",품목마스터!$B141)</f>
        <v/>
      </c>
      <c r="C142" s="12" t="str">
        <f aca="false">IF($A142="","",품목마스터!$E141)</f>
        <v/>
      </c>
      <c r="D142" s="12" t="str">
        <f aca="false">IF($A142="","",품목마스터!$D141)</f>
        <v/>
      </c>
      <c r="E142" s="13" t="str">
        <f aca="false">IF($A142="","",IF(품목마스터!$F141="",0,품목마스터!$F141))</f>
        <v/>
      </c>
      <c r="F142" s="13" t="str">
        <f aca="false">IF($A142="","",SUMIFS(입출고내역!$G$3:$G$1002,입출고내역!$C$3:$C$1002,$A142,입출고내역!$B$3:$B$1002,"입고"))</f>
        <v/>
      </c>
      <c r="G142" s="13" t="str">
        <f aca="false">IF($A142="","",SUMIFS(입출고내역!$G$3:$G$1002,입출고내역!$C$3:$C$1002,$A142,입출고내역!$B$3:$B$1002,"출고"))</f>
        <v/>
      </c>
      <c r="H142" s="13" t="str">
        <f aca="false">IF($A142="","",$E142+SUMIFS(입출고내역!$L$3:$L$1002,입출고내역!$C$3:$C$1002,$A142))</f>
        <v/>
      </c>
      <c r="I142" s="13" t="str">
        <f aca="false">IF($A142="","",IF(품목마스터!$G141="",0,품목마스터!$G141))</f>
        <v/>
      </c>
      <c r="J142" s="20" t="str">
        <f aca="false">IF($A142="","",IF($I142=0,"기준없음",TEXT($H142/$I142,"0%")&amp;"  "&amp;REPT("■",MIN(10,ROUND($H142/$I142*10,0)))))</f>
        <v/>
      </c>
    </row>
    <row r="143" customFormat="false" ht="15" hidden="false" customHeight="true" outlineLevel="0" collapsed="false">
      <c r="A143" s="12" t="str">
        <f aca="false">IF(품목마스터!$A142="","",품목마스터!$A142)</f>
        <v/>
      </c>
      <c r="B143" s="12" t="str">
        <f aca="false">IF($A143="","",품목마스터!$B142)</f>
        <v/>
      </c>
      <c r="C143" s="12" t="str">
        <f aca="false">IF($A143="","",품목마스터!$E142)</f>
        <v/>
      </c>
      <c r="D143" s="12" t="str">
        <f aca="false">IF($A143="","",품목마스터!$D142)</f>
        <v/>
      </c>
      <c r="E143" s="13" t="str">
        <f aca="false">IF($A143="","",IF(품목마스터!$F142="",0,품목마스터!$F142))</f>
        <v/>
      </c>
      <c r="F143" s="13" t="str">
        <f aca="false">IF($A143="","",SUMIFS(입출고내역!$G$3:$G$1002,입출고내역!$C$3:$C$1002,$A143,입출고내역!$B$3:$B$1002,"입고"))</f>
        <v/>
      </c>
      <c r="G143" s="13" t="str">
        <f aca="false">IF($A143="","",SUMIFS(입출고내역!$G$3:$G$1002,입출고내역!$C$3:$C$1002,$A143,입출고내역!$B$3:$B$1002,"출고"))</f>
        <v/>
      </c>
      <c r="H143" s="13" t="str">
        <f aca="false">IF($A143="","",$E143+SUMIFS(입출고내역!$L$3:$L$1002,입출고내역!$C$3:$C$1002,$A143))</f>
        <v/>
      </c>
      <c r="I143" s="13" t="str">
        <f aca="false">IF($A143="","",IF(품목마스터!$G142="",0,품목마스터!$G142))</f>
        <v/>
      </c>
      <c r="J143" s="20" t="str">
        <f aca="false">IF($A143="","",IF($I143=0,"기준없음",TEXT($H143/$I143,"0%")&amp;"  "&amp;REPT("■",MIN(10,ROUND($H143/$I143*10,0)))))</f>
        <v/>
      </c>
    </row>
    <row r="144" customFormat="false" ht="15" hidden="false" customHeight="true" outlineLevel="0" collapsed="false">
      <c r="A144" s="12" t="str">
        <f aca="false">IF(품목마스터!$A143="","",품목마스터!$A143)</f>
        <v/>
      </c>
      <c r="B144" s="12" t="str">
        <f aca="false">IF($A144="","",품목마스터!$B143)</f>
        <v/>
      </c>
      <c r="C144" s="12" t="str">
        <f aca="false">IF($A144="","",품목마스터!$E143)</f>
        <v/>
      </c>
      <c r="D144" s="12" t="str">
        <f aca="false">IF($A144="","",품목마스터!$D143)</f>
        <v/>
      </c>
      <c r="E144" s="13" t="str">
        <f aca="false">IF($A144="","",IF(품목마스터!$F143="",0,품목마스터!$F143))</f>
        <v/>
      </c>
      <c r="F144" s="13" t="str">
        <f aca="false">IF($A144="","",SUMIFS(입출고내역!$G$3:$G$1002,입출고내역!$C$3:$C$1002,$A144,입출고내역!$B$3:$B$1002,"입고"))</f>
        <v/>
      </c>
      <c r="G144" s="13" t="str">
        <f aca="false">IF($A144="","",SUMIFS(입출고내역!$G$3:$G$1002,입출고내역!$C$3:$C$1002,$A144,입출고내역!$B$3:$B$1002,"출고"))</f>
        <v/>
      </c>
      <c r="H144" s="13" t="str">
        <f aca="false">IF($A144="","",$E144+SUMIFS(입출고내역!$L$3:$L$1002,입출고내역!$C$3:$C$1002,$A144))</f>
        <v/>
      </c>
      <c r="I144" s="13" t="str">
        <f aca="false">IF($A144="","",IF(품목마스터!$G143="",0,품목마스터!$G143))</f>
        <v/>
      </c>
      <c r="J144" s="20" t="str">
        <f aca="false">IF($A144="","",IF($I144=0,"기준없음",TEXT($H144/$I144,"0%")&amp;"  "&amp;REPT("■",MIN(10,ROUND($H144/$I144*10,0)))))</f>
        <v/>
      </c>
    </row>
    <row r="145" customFormat="false" ht="15" hidden="false" customHeight="true" outlineLevel="0" collapsed="false">
      <c r="A145" s="12" t="str">
        <f aca="false">IF(품목마스터!$A144="","",품목마스터!$A144)</f>
        <v/>
      </c>
      <c r="B145" s="12" t="str">
        <f aca="false">IF($A145="","",품목마스터!$B144)</f>
        <v/>
      </c>
      <c r="C145" s="12" t="str">
        <f aca="false">IF($A145="","",품목마스터!$E144)</f>
        <v/>
      </c>
      <c r="D145" s="12" t="str">
        <f aca="false">IF($A145="","",품목마스터!$D144)</f>
        <v/>
      </c>
      <c r="E145" s="13" t="str">
        <f aca="false">IF($A145="","",IF(품목마스터!$F144="",0,품목마스터!$F144))</f>
        <v/>
      </c>
      <c r="F145" s="13" t="str">
        <f aca="false">IF($A145="","",SUMIFS(입출고내역!$G$3:$G$1002,입출고내역!$C$3:$C$1002,$A145,입출고내역!$B$3:$B$1002,"입고"))</f>
        <v/>
      </c>
      <c r="G145" s="13" t="str">
        <f aca="false">IF($A145="","",SUMIFS(입출고내역!$G$3:$G$1002,입출고내역!$C$3:$C$1002,$A145,입출고내역!$B$3:$B$1002,"출고"))</f>
        <v/>
      </c>
      <c r="H145" s="13" t="str">
        <f aca="false">IF($A145="","",$E145+SUMIFS(입출고내역!$L$3:$L$1002,입출고내역!$C$3:$C$1002,$A145))</f>
        <v/>
      </c>
      <c r="I145" s="13" t="str">
        <f aca="false">IF($A145="","",IF(품목마스터!$G144="",0,품목마스터!$G144))</f>
        <v/>
      </c>
      <c r="J145" s="20" t="str">
        <f aca="false">IF($A145="","",IF($I145=0,"기준없음",TEXT($H145/$I145,"0%")&amp;"  "&amp;REPT("■",MIN(10,ROUND($H145/$I145*10,0)))))</f>
        <v/>
      </c>
    </row>
    <row r="146" customFormat="false" ht="15" hidden="false" customHeight="true" outlineLevel="0" collapsed="false">
      <c r="A146" s="12" t="str">
        <f aca="false">IF(품목마스터!$A145="","",품목마스터!$A145)</f>
        <v/>
      </c>
      <c r="B146" s="12" t="str">
        <f aca="false">IF($A146="","",품목마스터!$B145)</f>
        <v/>
      </c>
      <c r="C146" s="12" t="str">
        <f aca="false">IF($A146="","",품목마스터!$E145)</f>
        <v/>
      </c>
      <c r="D146" s="12" t="str">
        <f aca="false">IF($A146="","",품목마스터!$D145)</f>
        <v/>
      </c>
      <c r="E146" s="13" t="str">
        <f aca="false">IF($A146="","",IF(품목마스터!$F145="",0,품목마스터!$F145))</f>
        <v/>
      </c>
      <c r="F146" s="13" t="str">
        <f aca="false">IF($A146="","",SUMIFS(입출고내역!$G$3:$G$1002,입출고내역!$C$3:$C$1002,$A146,입출고내역!$B$3:$B$1002,"입고"))</f>
        <v/>
      </c>
      <c r="G146" s="13" t="str">
        <f aca="false">IF($A146="","",SUMIFS(입출고내역!$G$3:$G$1002,입출고내역!$C$3:$C$1002,$A146,입출고내역!$B$3:$B$1002,"출고"))</f>
        <v/>
      </c>
      <c r="H146" s="13" t="str">
        <f aca="false">IF($A146="","",$E146+SUMIFS(입출고내역!$L$3:$L$1002,입출고내역!$C$3:$C$1002,$A146))</f>
        <v/>
      </c>
      <c r="I146" s="13" t="str">
        <f aca="false">IF($A146="","",IF(품목마스터!$G145="",0,품목마스터!$G145))</f>
        <v/>
      </c>
      <c r="J146" s="20" t="str">
        <f aca="false">IF($A146="","",IF($I146=0,"기준없음",TEXT($H146/$I146,"0%")&amp;"  "&amp;REPT("■",MIN(10,ROUND($H146/$I146*10,0)))))</f>
        <v/>
      </c>
    </row>
    <row r="147" customFormat="false" ht="15" hidden="false" customHeight="true" outlineLevel="0" collapsed="false">
      <c r="A147" s="12" t="str">
        <f aca="false">IF(품목마스터!$A146="","",품목마스터!$A146)</f>
        <v/>
      </c>
      <c r="B147" s="12" t="str">
        <f aca="false">IF($A147="","",품목마스터!$B146)</f>
        <v/>
      </c>
      <c r="C147" s="12" t="str">
        <f aca="false">IF($A147="","",품목마스터!$E146)</f>
        <v/>
      </c>
      <c r="D147" s="12" t="str">
        <f aca="false">IF($A147="","",품목마스터!$D146)</f>
        <v/>
      </c>
      <c r="E147" s="13" t="str">
        <f aca="false">IF($A147="","",IF(품목마스터!$F146="",0,품목마스터!$F146))</f>
        <v/>
      </c>
      <c r="F147" s="13" t="str">
        <f aca="false">IF($A147="","",SUMIFS(입출고내역!$G$3:$G$1002,입출고내역!$C$3:$C$1002,$A147,입출고내역!$B$3:$B$1002,"입고"))</f>
        <v/>
      </c>
      <c r="G147" s="13" t="str">
        <f aca="false">IF($A147="","",SUMIFS(입출고내역!$G$3:$G$1002,입출고내역!$C$3:$C$1002,$A147,입출고내역!$B$3:$B$1002,"출고"))</f>
        <v/>
      </c>
      <c r="H147" s="13" t="str">
        <f aca="false">IF($A147="","",$E147+SUMIFS(입출고내역!$L$3:$L$1002,입출고내역!$C$3:$C$1002,$A147))</f>
        <v/>
      </c>
      <c r="I147" s="13" t="str">
        <f aca="false">IF($A147="","",IF(품목마스터!$G146="",0,품목마스터!$G146))</f>
        <v/>
      </c>
      <c r="J147" s="20" t="str">
        <f aca="false">IF($A147="","",IF($I147=0,"기준없음",TEXT($H147/$I147,"0%")&amp;"  "&amp;REPT("■",MIN(10,ROUND($H147/$I147*10,0)))))</f>
        <v/>
      </c>
    </row>
    <row r="148" customFormat="false" ht="15" hidden="false" customHeight="true" outlineLevel="0" collapsed="false">
      <c r="A148" s="12" t="str">
        <f aca="false">IF(품목마스터!$A147="","",품목마스터!$A147)</f>
        <v/>
      </c>
      <c r="B148" s="12" t="str">
        <f aca="false">IF($A148="","",품목마스터!$B147)</f>
        <v/>
      </c>
      <c r="C148" s="12" t="str">
        <f aca="false">IF($A148="","",품목마스터!$E147)</f>
        <v/>
      </c>
      <c r="D148" s="12" t="str">
        <f aca="false">IF($A148="","",품목마스터!$D147)</f>
        <v/>
      </c>
      <c r="E148" s="13" t="str">
        <f aca="false">IF($A148="","",IF(품목마스터!$F147="",0,품목마스터!$F147))</f>
        <v/>
      </c>
      <c r="F148" s="13" t="str">
        <f aca="false">IF($A148="","",SUMIFS(입출고내역!$G$3:$G$1002,입출고내역!$C$3:$C$1002,$A148,입출고내역!$B$3:$B$1002,"입고"))</f>
        <v/>
      </c>
      <c r="G148" s="13" t="str">
        <f aca="false">IF($A148="","",SUMIFS(입출고내역!$G$3:$G$1002,입출고내역!$C$3:$C$1002,$A148,입출고내역!$B$3:$B$1002,"출고"))</f>
        <v/>
      </c>
      <c r="H148" s="13" t="str">
        <f aca="false">IF($A148="","",$E148+SUMIFS(입출고내역!$L$3:$L$1002,입출고내역!$C$3:$C$1002,$A148))</f>
        <v/>
      </c>
      <c r="I148" s="13" t="str">
        <f aca="false">IF($A148="","",IF(품목마스터!$G147="",0,품목마스터!$G147))</f>
        <v/>
      </c>
      <c r="J148" s="20" t="str">
        <f aca="false">IF($A148="","",IF($I148=0,"기준없음",TEXT($H148/$I148,"0%")&amp;"  "&amp;REPT("■",MIN(10,ROUND($H148/$I148*10,0)))))</f>
        <v/>
      </c>
    </row>
    <row r="149" customFormat="false" ht="15" hidden="false" customHeight="true" outlineLevel="0" collapsed="false">
      <c r="A149" s="12" t="str">
        <f aca="false">IF(품목마스터!$A148="","",품목마스터!$A148)</f>
        <v/>
      </c>
      <c r="B149" s="12" t="str">
        <f aca="false">IF($A149="","",품목마스터!$B148)</f>
        <v/>
      </c>
      <c r="C149" s="12" t="str">
        <f aca="false">IF($A149="","",품목마스터!$E148)</f>
        <v/>
      </c>
      <c r="D149" s="12" t="str">
        <f aca="false">IF($A149="","",품목마스터!$D148)</f>
        <v/>
      </c>
      <c r="E149" s="13" t="str">
        <f aca="false">IF($A149="","",IF(품목마스터!$F148="",0,품목마스터!$F148))</f>
        <v/>
      </c>
      <c r="F149" s="13" t="str">
        <f aca="false">IF($A149="","",SUMIFS(입출고내역!$G$3:$G$1002,입출고내역!$C$3:$C$1002,$A149,입출고내역!$B$3:$B$1002,"입고"))</f>
        <v/>
      </c>
      <c r="G149" s="13" t="str">
        <f aca="false">IF($A149="","",SUMIFS(입출고내역!$G$3:$G$1002,입출고내역!$C$3:$C$1002,$A149,입출고내역!$B$3:$B$1002,"출고"))</f>
        <v/>
      </c>
      <c r="H149" s="13" t="str">
        <f aca="false">IF($A149="","",$E149+SUMIFS(입출고내역!$L$3:$L$1002,입출고내역!$C$3:$C$1002,$A149))</f>
        <v/>
      </c>
      <c r="I149" s="13" t="str">
        <f aca="false">IF($A149="","",IF(품목마스터!$G148="",0,품목마스터!$G148))</f>
        <v/>
      </c>
      <c r="J149" s="20" t="str">
        <f aca="false">IF($A149="","",IF($I149=0,"기준없음",TEXT($H149/$I149,"0%")&amp;"  "&amp;REPT("■",MIN(10,ROUND($H149/$I149*10,0)))))</f>
        <v/>
      </c>
    </row>
    <row r="150" customFormat="false" ht="15" hidden="false" customHeight="true" outlineLevel="0" collapsed="false">
      <c r="A150" s="12" t="str">
        <f aca="false">IF(품목마스터!$A149="","",품목마스터!$A149)</f>
        <v/>
      </c>
      <c r="B150" s="12" t="str">
        <f aca="false">IF($A150="","",품목마스터!$B149)</f>
        <v/>
      </c>
      <c r="C150" s="12" t="str">
        <f aca="false">IF($A150="","",품목마스터!$E149)</f>
        <v/>
      </c>
      <c r="D150" s="12" t="str">
        <f aca="false">IF($A150="","",품목마스터!$D149)</f>
        <v/>
      </c>
      <c r="E150" s="13" t="str">
        <f aca="false">IF($A150="","",IF(품목마스터!$F149="",0,품목마스터!$F149))</f>
        <v/>
      </c>
      <c r="F150" s="13" t="str">
        <f aca="false">IF($A150="","",SUMIFS(입출고내역!$G$3:$G$1002,입출고내역!$C$3:$C$1002,$A150,입출고내역!$B$3:$B$1002,"입고"))</f>
        <v/>
      </c>
      <c r="G150" s="13" t="str">
        <f aca="false">IF($A150="","",SUMIFS(입출고내역!$G$3:$G$1002,입출고내역!$C$3:$C$1002,$A150,입출고내역!$B$3:$B$1002,"출고"))</f>
        <v/>
      </c>
      <c r="H150" s="13" t="str">
        <f aca="false">IF($A150="","",$E150+SUMIFS(입출고내역!$L$3:$L$1002,입출고내역!$C$3:$C$1002,$A150))</f>
        <v/>
      </c>
      <c r="I150" s="13" t="str">
        <f aca="false">IF($A150="","",IF(품목마스터!$G149="",0,품목마스터!$G149))</f>
        <v/>
      </c>
      <c r="J150" s="20" t="str">
        <f aca="false">IF($A150="","",IF($I150=0,"기준없음",TEXT($H150/$I150,"0%")&amp;"  "&amp;REPT("■",MIN(10,ROUND($H150/$I150*10,0)))))</f>
        <v/>
      </c>
    </row>
    <row r="151" customFormat="false" ht="15" hidden="false" customHeight="true" outlineLevel="0" collapsed="false">
      <c r="A151" s="12" t="str">
        <f aca="false">IF(품목마스터!$A150="","",품목마스터!$A150)</f>
        <v/>
      </c>
      <c r="B151" s="12" t="str">
        <f aca="false">IF($A151="","",품목마스터!$B150)</f>
        <v/>
      </c>
      <c r="C151" s="12" t="str">
        <f aca="false">IF($A151="","",품목마스터!$E150)</f>
        <v/>
      </c>
      <c r="D151" s="12" t="str">
        <f aca="false">IF($A151="","",품목마스터!$D150)</f>
        <v/>
      </c>
      <c r="E151" s="13" t="str">
        <f aca="false">IF($A151="","",IF(품목마스터!$F150="",0,품목마스터!$F150))</f>
        <v/>
      </c>
      <c r="F151" s="13" t="str">
        <f aca="false">IF($A151="","",SUMIFS(입출고내역!$G$3:$G$1002,입출고내역!$C$3:$C$1002,$A151,입출고내역!$B$3:$B$1002,"입고"))</f>
        <v/>
      </c>
      <c r="G151" s="13" t="str">
        <f aca="false">IF($A151="","",SUMIFS(입출고내역!$G$3:$G$1002,입출고내역!$C$3:$C$1002,$A151,입출고내역!$B$3:$B$1002,"출고"))</f>
        <v/>
      </c>
      <c r="H151" s="13" t="str">
        <f aca="false">IF($A151="","",$E151+SUMIFS(입출고내역!$L$3:$L$1002,입출고내역!$C$3:$C$1002,$A151))</f>
        <v/>
      </c>
      <c r="I151" s="13" t="str">
        <f aca="false">IF($A151="","",IF(품목마스터!$G150="",0,품목마스터!$G150))</f>
        <v/>
      </c>
      <c r="J151" s="20" t="str">
        <f aca="false">IF($A151="","",IF($I151=0,"기준없음",TEXT($H151/$I151,"0%")&amp;"  "&amp;REPT("■",MIN(10,ROUND($H151/$I151*10,0)))))</f>
        <v/>
      </c>
    </row>
    <row r="152" customFormat="false" ht="15" hidden="false" customHeight="true" outlineLevel="0" collapsed="false">
      <c r="A152" s="12" t="str">
        <f aca="false">IF(품목마스터!$A151="","",품목마스터!$A151)</f>
        <v/>
      </c>
      <c r="B152" s="12" t="str">
        <f aca="false">IF($A152="","",품목마스터!$B151)</f>
        <v/>
      </c>
      <c r="C152" s="12" t="str">
        <f aca="false">IF($A152="","",품목마스터!$E151)</f>
        <v/>
      </c>
      <c r="D152" s="12" t="str">
        <f aca="false">IF($A152="","",품목마스터!$D151)</f>
        <v/>
      </c>
      <c r="E152" s="13" t="str">
        <f aca="false">IF($A152="","",IF(품목마스터!$F151="",0,품목마스터!$F151))</f>
        <v/>
      </c>
      <c r="F152" s="13" t="str">
        <f aca="false">IF($A152="","",SUMIFS(입출고내역!$G$3:$G$1002,입출고내역!$C$3:$C$1002,$A152,입출고내역!$B$3:$B$1002,"입고"))</f>
        <v/>
      </c>
      <c r="G152" s="13" t="str">
        <f aca="false">IF($A152="","",SUMIFS(입출고내역!$G$3:$G$1002,입출고내역!$C$3:$C$1002,$A152,입출고내역!$B$3:$B$1002,"출고"))</f>
        <v/>
      </c>
      <c r="H152" s="13" t="str">
        <f aca="false">IF($A152="","",$E152+SUMIFS(입출고내역!$L$3:$L$1002,입출고내역!$C$3:$C$1002,$A152))</f>
        <v/>
      </c>
      <c r="I152" s="13" t="str">
        <f aca="false">IF($A152="","",IF(품목마스터!$G151="",0,품목마스터!$G151))</f>
        <v/>
      </c>
      <c r="J152" s="20" t="str">
        <f aca="false">IF($A152="","",IF($I152=0,"기준없음",TEXT($H152/$I152,"0%")&amp;"  "&amp;REPT("■",MIN(10,ROUND($H152/$I152*10,0)))))</f>
        <v/>
      </c>
    </row>
    <row r="153" customFormat="false" ht="15" hidden="false" customHeight="true" outlineLevel="0" collapsed="false">
      <c r="A153" s="12" t="str">
        <f aca="false">IF(품목마스터!$A152="","",품목마스터!$A152)</f>
        <v/>
      </c>
      <c r="B153" s="12" t="str">
        <f aca="false">IF($A153="","",품목마스터!$B152)</f>
        <v/>
      </c>
      <c r="C153" s="12" t="str">
        <f aca="false">IF($A153="","",품목마스터!$E152)</f>
        <v/>
      </c>
      <c r="D153" s="12" t="str">
        <f aca="false">IF($A153="","",품목마스터!$D152)</f>
        <v/>
      </c>
      <c r="E153" s="13" t="str">
        <f aca="false">IF($A153="","",IF(품목마스터!$F152="",0,품목마스터!$F152))</f>
        <v/>
      </c>
      <c r="F153" s="13" t="str">
        <f aca="false">IF($A153="","",SUMIFS(입출고내역!$G$3:$G$1002,입출고내역!$C$3:$C$1002,$A153,입출고내역!$B$3:$B$1002,"입고"))</f>
        <v/>
      </c>
      <c r="G153" s="13" t="str">
        <f aca="false">IF($A153="","",SUMIFS(입출고내역!$G$3:$G$1002,입출고내역!$C$3:$C$1002,$A153,입출고내역!$B$3:$B$1002,"출고"))</f>
        <v/>
      </c>
      <c r="H153" s="13" t="str">
        <f aca="false">IF($A153="","",$E153+SUMIFS(입출고내역!$L$3:$L$1002,입출고내역!$C$3:$C$1002,$A153))</f>
        <v/>
      </c>
      <c r="I153" s="13" t="str">
        <f aca="false">IF($A153="","",IF(품목마스터!$G152="",0,품목마스터!$G152))</f>
        <v/>
      </c>
      <c r="J153" s="20" t="str">
        <f aca="false">IF($A153="","",IF($I153=0,"기준없음",TEXT($H153/$I153,"0%")&amp;"  "&amp;REPT("■",MIN(10,ROUND($H153/$I153*10,0)))))</f>
        <v/>
      </c>
    </row>
    <row r="154" customFormat="false" ht="15" hidden="false" customHeight="true" outlineLevel="0" collapsed="false">
      <c r="A154" s="12" t="str">
        <f aca="false">IF(품목마스터!$A153="","",품목마스터!$A153)</f>
        <v/>
      </c>
      <c r="B154" s="12" t="str">
        <f aca="false">IF($A154="","",품목마스터!$B153)</f>
        <v/>
      </c>
      <c r="C154" s="12" t="str">
        <f aca="false">IF($A154="","",품목마스터!$E153)</f>
        <v/>
      </c>
      <c r="D154" s="12" t="str">
        <f aca="false">IF($A154="","",품목마스터!$D153)</f>
        <v/>
      </c>
      <c r="E154" s="13" t="str">
        <f aca="false">IF($A154="","",IF(품목마스터!$F153="",0,품목마스터!$F153))</f>
        <v/>
      </c>
      <c r="F154" s="13" t="str">
        <f aca="false">IF($A154="","",SUMIFS(입출고내역!$G$3:$G$1002,입출고내역!$C$3:$C$1002,$A154,입출고내역!$B$3:$B$1002,"입고"))</f>
        <v/>
      </c>
      <c r="G154" s="13" t="str">
        <f aca="false">IF($A154="","",SUMIFS(입출고내역!$G$3:$G$1002,입출고내역!$C$3:$C$1002,$A154,입출고내역!$B$3:$B$1002,"출고"))</f>
        <v/>
      </c>
      <c r="H154" s="13" t="str">
        <f aca="false">IF($A154="","",$E154+SUMIFS(입출고내역!$L$3:$L$1002,입출고내역!$C$3:$C$1002,$A154))</f>
        <v/>
      </c>
      <c r="I154" s="13" t="str">
        <f aca="false">IF($A154="","",IF(품목마스터!$G153="",0,품목마스터!$G153))</f>
        <v/>
      </c>
      <c r="J154" s="20" t="str">
        <f aca="false">IF($A154="","",IF($I154=0,"기준없음",TEXT($H154/$I154,"0%")&amp;"  "&amp;REPT("■",MIN(10,ROUND($H154/$I154*10,0)))))</f>
        <v/>
      </c>
    </row>
    <row r="155" customFormat="false" ht="15" hidden="false" customHeight="true" outlineLevel="0" collapsed="false">
      <c r="A155" s="12" t="str">
        <f aca="false">IF(품목마스터!$A154="","",품목마스터!$A154)</f>
        <v/>
      </c>
      <c r="B155" s="12" t="str">
        <f aca="false">IF($A155="","",품목마스터!$B154)</f>
        <v/>
      </c>
      <c r="C155" s="12" t="str">
        <f aca="false">IF($A155="","",품목마스터!$E154)</f>
        <v/>
      </c>
      <c r="D155" s="12" t="str">
        <f aca="false">IF($A155="","",품목마스터!$D154)</f>
        <v/>
      </c>
      <c r="E155" s="13" t="str">
        <f aca="false">IF($A155="","",IF(품목마스터!$F154="",0,품목마스터!$F154))</f>
        <v/>
      </c>
      <c r="F155" s="13" t="str">
        <f aca="false">IF($A155="","",SUMIFS(입출고내역!$G$3:$G$1002,입출고내역!$C$3:$C$1002,$A155,입출고내역!$B$3:$B$1002,"입고"))</f>
        <v/>
      </c>
      <c r="G155" s="13" t="str">
        <f aca="false">IF($A155="","",SUMIFS(입출고내역!$G$3:$G$1002,입출고내역!$C$3:$C$1002,$A155,입출고내역!$B$3:$B$1002,"출고"))</f>
        <v/>
      </c>
      <c r="H155" s="13" t="str">
        <f aca="false">IF($A155="","",$E155+SUMIFS(입출고내역!$L$3:$L$1002,입출고내역!$C$3:$C$1002,$A155))</f>
        <v/>
      </c>
      <c r="I155" s="13" t="str">
        <f aca="false">IF($A155="","",IF(품목마스터!$G154="",0,품목마스터!$G154))</f>
        <v/>
      </c>
      <c r="J155" s="20" t="str">
        <f aca="false">IF($A155="","",IF($I155=0,"기준없음",TEXT($H155/$I155,"0%")&amp;"  "&amp;REPT("■",MIN(10,ROUND($H155/$I155*10,0)))))</f>
        <v/>
      </c>
    </row>
    <row r="156" customFormat="false" ht="15" hidden="false" customHeight="true" outlineLevel="0" collapsed="false">
      <c r="A156" s="12" t="str">
        <f aca="false">IF(품목마스터!$A155="","",품목마스터!$A155)</f>
        <v/>
      </c>
      <c r="B156" s="12" t="str">
        <f aca="false">IF($A156="","",품목마스터!$B155)</f>
        <v/>
      </c>
      <c r="C156" s="12" t="str">
        <f aca="false">IF($A156="","",품목마스터!$E155)</f>
        <v/>
      </c>
      <c r="D156" s="12" t="str">
        <f aca="false">IF($A156="","",품목마스터!$D155)</f>
        <v/>
      </c>
      <c r="E156" s="13" t="str">
        <f aca="false">IF($A156="","",IF(품목마스터!$F155="",0,품목마스터!$F155))</f>
        <v/>
      </c>
      <c r="F156" s="13" t="str">
        <f aca="false">IF($A156="","",SUMIFS(입출고내역!$G$3:$G$1002,입출고내역!$C$3:$C$1002,$A156,입출고내역!$B$3:$B$1002,"입고"))</f>
        <v/>
      </c>
      <c r="G156" s="13" t="str">
        <f aca="false">IF($A156="","",SUMIFS(입출고내역!$G$3:$G$1002,입출고내역!$C$3:$C$1002,$A156,입출고내역!$B$3:$B$1002,"출고"))</f>
        <v/>
      </c>
      <c r="H156" s="13" t="str">
        <f aca="false">IF($A156="","",$E156+SUMIFS(입출고내역!$L$3:$L$1002,입출고내역!$C$3:$C$1002,$A156))</f>
        <v/>
      </c>
      <c r="I156" s="13" t="str">
        <f aca="false">IF($A156="","",IF(품목마스터!$G155="",0,품목마스터!$G155))</f>
        <v/>
      </c>
      <c r="J156" s="20" t="str">
        <f aca="false">IF($A156="","",IF($I156=0,"기준없음",TEXT($H156/$I156,"0%")&amp;"  "&amp;REPT("■",MIN(10,ROUND($H156/$I156*10,0)))))</f>
        <v/>
      </c>
    </row>
    <row r="157" customFormat="false" ht="15" hidden="false" customHeight="true" outlineLevel="0" collapsed="false">
      <c r="A157" s="12" t="str">
        <f aca="false">IF(품목마스터!$A156="","",품목마스터!$A156)</f>
        <v/>
      </c>
      <c r="B157" s="12" t="str">
        <f aca="false">IF($A157="","",품목마스터!$B156)</f>
        <v/>
      </c>
      <c r="C157" s="12" t="str">
        <f aca="false">IF($A157="","",품목마스터!$E156)</f>
        <v/>
      </c>
      <c r="D157" s="12" t="str">
        <f aca="false">IF($A157="","",품목마스터!$D156)</f>
        <v/>
      </c>
      <c r="E157" s="13" t="str">
        <f aca="false">IF($A157="","",IF(품목마스터!$F156="",0,품목마스터!$F156))</f>
        <v/>
      </c>
      <c r="F157" s="13" t="str">
        <f aca="false">IF($A157="","",SUMIFS(입출고내역!$G$3:$G$1002,입출고내역!$C$3:$C$1002,$A157,입출고내역!$B$3:$B$1002,"입고"))</f>
        <v/>
      </c>
      <c r="G157" s="13" t="str">
        <f aca="false">IF($A157="","",SUMIFS(입출고내역!$G$3:$G$1002,입출고내역!$C$3:$C$1002,$A157,입출고내역!$B$3:$B$1002,"출고"))</f>
        <v/>
      </c>
      <c r="H157" s="13" t="str">
        <f aca="false">IF($A157="","",$E157+SUMIFS(입출고내역!$L$3:$L$1002,입출고내역!$C$3:$C$1002,$A157))</f>
        <v/>
      </c>
      <c r="I157" s="13" t="str">
        <f aca="false">IF($A157="","",IF(품목마스터!$G156="",0,품목마스터!$G156))</f>
        <v/>
      </c>
      <c r="J157" s="20" t="str">
        <f aca="false">IF($A157="","",IF($I157=0,"기준없음",TEXT($H157/$I157,"0%")&amp;"  "&amp;REPT("■",MIN(10,ROUND($H157/$I157*10,0)))))</f>
        <v/>
      </c>
    </row>
    <row r="158" customFormat="false" ht="15" hidden="false" customHeight="true" outlineLevel="0" collapsed="false">
      <c r="A158" s="12" t="str">
        <f aca="false">IF(품목마스터!$A157="","",품목마스터!$A157)</f>
        <v/>
      </c>
      <c r="B158" s="12" t="str">
        <f aca="false">IF($A158="","",품목마스터!$B157)</f>
        <v/>
      </c>
      <c r="C158" s="12" t="str">
        <f aca="false">IF($A158="","",품목마스터!$E157)</f>
        <v/>
      </c>
      <c r="D158" s="12" t="str">
        <f aca="false">IF($A158="","",품목마스터!$D157)</f>
        <v/>
      </c>
      <c r="E158" s="13" t="str">
        <f aca="false">IF($A158="","",IF(품목마스터!$F157="",0,품목마스터!$F157))</f>
        <v/>
      </c>
      <c r="F158" s="13" t="str">
        <f aca="false">IF($A158="","",SUMIFS(입출고내역!$G$3:$G$1002,입출고내역!$C$3:$C$1002,$A158,입출고내역!$B$3:$B$1002,"입고"))</f>
        <v/>
      </c>
      <c r="G158" s="13" t="str">
        <f aca="false">IF($A158="","",SUMIFS(입출고내역!$G$3:$G$1002,입출고내역!$C$3:$C$1002,$A158,입출고내역!$B$3:$B$1002,"출고"))</f>
        <v/>
      </c>
      <c r="H158" s="13" t="str">
        <f aca="false">IF($A158="","",$E158+SUMIFS(입출고내역!$L$3:$L$1002,입출고내역!$C$3:$C$1002,$A158))</f>
        <v/>
      </c>
      <c r="I158" s="13" t="str">
        <f aca="false">IF($A158="","",IF(품목마스터!$G157="",0,품목마스터!$G157))</f>
        <v/>
      </c>
      <c r="J158" s="20" t="str">
        <f aca="false">IF($A158="","",IF($I158=0,"기준없음",TEXT($H158/$I158,"0%")&amp;"  "&amp;REPT("■",MIN(10,ROUND($H158/$I158*10,0)))))</f>
        <v/>
      </c>
    </row>
    <row r="159" customFormat="false" ht="15" hidden="false" customHeight="true" outlineLevel="0" collapsed="false">
      <c r="A159" s="12" t="str">
        <f aca="false">IF(품목마스터!$A158="","",품목마스터!$A158)</f>
        <v/>
      </c>
      <c r="B159" s="12" t="str">
        <f aca="false">IF($A159="","",품목마스터!$B158)</f>
        <v/>
      </c>
      <c r="C159" s="12" t="str">
        <f aca="false">IF($A159="","",품목마스터!$E158)</f>
        <v/>
      </c>
      <c r="D159" s="12" t="str">
        <f aca="false">IF($A159="","",품목마스터!$D158)</f>
        <v/>
      </c>
      <c r="E159" s="13" t="str">
        <f aca="false">IF($A159="","",IF(품목마스터!$F158="",0,품목마스터!$F158))</f>
        <v/>
      </c>
      <c r="F159" s="13" t="str">
        <f aca="false">IF($A159="","",SUMIFS(입출고내역!$G$3:$G$1002,입출고내역!$C$3:$C$1002,$A159,입출고내역!$B$3:$B$1002,"입고"))</f>
        <v/>
      </c>
      <c r="G159" s="13" t="str">
        <f aca="false">IF($A159="","",SUMIFS(입출고내역!$G$3:$G$1002,입출고내역!$C$3:$C$1002,$A159,입출고내역!$B$3:$B$1002,"출고"))</f>
        <v/>
      </c>
      <c r="H159" s="13" t="str">
        <f aca="false">IF($A159="","",$E159+SUMIFS(입출고내역!$L$3:$L$1002,입출고내역!$C$3:$C$1002,$A159))</f>
        <v/>
      </c>
      <c r="I159" s="13" t="str">
        <f aca="false">IF($A159="","",IF(품목마스터!$G158="",0,품목마스터!$G158))</f>
        <v/>
      </c>
      <c r="J159" s="20" t="str">
        <f aca="false">IF($A159="","",IF($I159=0,"기준없음",TEXT($H159/$I159,"0%")&amp;"  "&amp;REPT("■",MIN(10,ROUND($H159/$I159*10,0)))))</f>
        <v/>
      </c>
    </row>
    <row r="160" customFormat="false" ht="15" hidden="false" customHeight="true" outlineLevel="0" collapsed="false">
      <c r="A160" s="12" t="str">
        <f aca="false">IF(품목마스터!$A159="","",품목마스터!$A159)</f>
        <v/>
      </c>
      <c r="B160" s="12" t="str">
        <f aca="false">IF($A160="","",품목마스터!$B159)</f>
        <v/>
      </c>
      <c r="C160" s="12" t="str">
        <f aca="false">IF($A160="","",품목마스터!$E159)</f>
        <v/>
      </c>
      <c r="D160" s="12" t="str">
        <f aca="false">IF($A160="","",품목마스터!$D159)</f>
        <v/>
      </c>
      <c r="E160" s="13" t="str">
        <f aca="false">IF($A160="","",IF(품목마스터!$F159="",0,품목마스터!$F159))</f>
        <v/>
      </c>
      <c r="F160" s="13" t="str">
        <f aca="false">IF($A160="","",SUMIFS(입출고내역!$G$3:$G$1002,입출고내역!$C$3:$C$1002,$A160,입출고내역!$B$3:$B$1002,"입고"))</f>
        <v/>
      </c>
      <c r="G160" s="13" t="str">
        <f aca="false">IF($A160="","",SUMIFS(입출고내역!$G$3:$G$1002,입출고내역!$C$3:$C$1002,$A160,입출고내역!$B$3:$B$1002,"출고"))</f>
        <v/>
      </c>
      <c r="H160" s="13" t="str">
        <f aca="false">IF($A160="","",$E160+SUMIFS(입출고내역!$L$3:$L$1002,입출고내역!$C$3:$C$1002,$A160))</f>
        <v/>
      </c>
      <c r="I160" s="13" t="str">
        <f aca="false">IF($A160="","",IF(품목마스터!$G159="",0,품목마스터!$G159))</f>
        <v/>
      </c>
      <c r="J160" s="20" t="str">
        <f aca="false">IF($A160="","",IF($I160=0,"기준없음",TEXT($H160/$I160,"0%")&amp;"  "&amp;REPT("■",MIN(10,ROUND($H160/$I160*10,0)))))</f>
        <v/>
      </c>
    </row>
    <row r="161" customFormat="false" ht="15" hidden="false" customHeight="true" outlineLevel="0" collapsed="false">
      <c r="A161" s="12" t="str">
        <f aca="false">IF(품목마스터!$A160="","",품목마스터!$A160)</f>
        <v/>
      </c>
      <c r="B161" s="12" t="str">
        <f aca="false">IF($A161="","",품목마스터!$B160)</f>
        <v/>
      </c>
      <c r="C161" s="12" t="str">
        <f aca="false">IF($A161="","",품목마스터!$E160)</f>
        <v/>
      </c>
      <c r="D161" s="12" t="str">
        <f aca="false">IF($A161="","",품목마스터!$D160)</f>
        <v/>
      </c>
      <c r="E161" s="13" t="str">
        <f aca="false">IF($A161="","",IF(품목마스터!$F160="",0,품목마스터!$F160))</f>
        <v/>
      </c>
      <c r="F161" s="13" t="str">
        <f aca="false">IF($A161="","",SUMIFS(입출고내역!$G$3:$G$1002,입출고내역!$C$3:$C$1002,$A161,입출고내역!$B$3:$B$1002,"입고"))</f>
        <v/>
      </c>
      <c r="G161" s="13" t="str">
        <f aca="false">IF($A161="","",SUMIFS(입출고내역!$G$3:$G$1002,입출고내역!$C$3:$C$1002,$A161,입출고내역!$B$3:$B$1002,"출고"))</f>
        <v/>
      </c>
      <c r="H161" s="13" t="str">
        <f aca="false">IF($A161="","",$E161+SUMIFS(입출고내역!$L$3:$L$1002,입출고내역!$C$3:$C$1002,$A161))</f>
        <v/>
      </c>
      <c r="I161" s="13" t="str">
        <f aca="false">IF($A161="","",IF(품목마스터!$G160="",0,품목마스터!$G160))</f>
        <v/>
      </c>
      <c r="J161" s="20" t="str">
        <f aca="false">IF($A161="","",IF($I161=0,"기준없음",TEXT($H161/$I161,"0%")&amp;"  "&amp;REPT("■",MIN(10,ROUND($H161/$I161*10,0)))))</f>
        <v/>
      </c>
    </row>
    <row r="162" customFormat="false" ht="15" hidden="false" customHeight="true" outlineLevel="0" collapsed="false">
      <c r="A162" s="12" t="str">
        <f aca="false">IF(품목마스터!$A161="","",품목마스터!$A161)</f>
        <v/>
      </c>
      <c r="B162" s="12" t="str">
        <f aca="false">IF($A162="","",품목마스터!$B161)</f>
        <v/>
      </c>
      <c r="C162" s="12" t="str">
        <f aca="false">IF($A162="","",품목마스터!$E161)</f>
        <v/>
      </c>
      <c r="D162" s="12" t="str">
        <f aca="false">IF($A162="","",품목마스터!$D161)</f>
        <v/>
      </c>
      <c r="E162" s="13" t="str">
        <f aca="false">IF($A162="","",IF(품목마스터!$F161="",0,품목마스터!$F161))</f>
        <v/>
      </c>
      <c r="F162" s="13" t="str">
        <f aca="false">IF($A162="","",SUMIFS(입출고내역!$G$3:$G$1002,입출고내역!$C$3:$C$1002,$A162,입출고내역!$B$3:$B$1002,"입고"))</f>
        <v/>
      </c>
      <c r="G162" s="13" t="str">
        <f aca="false">IF($A162="","",SUMIFS(입출고내역!$G$3:$G$1002,입출고내역!$C$3:$C$1002,$A162,입출고내역!$B$3:$B$1002,"출고"))</f>
        <v/>
      </c>
      <c r="H162" s="13" t="str">
        <f aca="false">IF($A162="","",$E162+SUMIFS(입출고내역!$L$3:$L$1002,입출고내역!$C$3:$C$1002,$A162))</f>
        <v/>
      </c>
      <c r="I162" s="13" t="str">
        <f aca="false">IF($A162="","",IF(품목마스터!$G161="",0,품목마스터!$G161))</f>
        <v/>
      </c>
      <c r="J162" s="20" t="str">
        <f aca="false">IF($A162="","",IF($I162=0,"기준없음",TEXT($H162/$I162,"0%")&amp;"  "&amp;REPT("■",MIN(10,ROUND($H162/$I162*10,0)))))</f>
        <v/>
      </c>
    </row>
    <row r="163" customFormat="false" ht="15" hidden="false" customHeight="true" outlineLevel="0" collapsed="false">
      <c r="A163" s="12" t="str">
        <f aca="false">IF(품목마스터!$A162="","",품목마스터!$A162)</f>
        <v/>
      </c>
      <c r="B163" s="12" t="str">
        <f aca="false">IF($A163="","",품목마스터!$B162)</f>
        <v/>
      </c>
      <c r="C163" s="12" t="str">
        <f aca="false">IF($A163="","",품목마스터!$E162)</f>
        <v/>
      </c>
      <c r="D163" s="12" t="str">
        <f aca="false">IF($A163="","",품목마스터!$D162)</f>
        <v/>
      </c>
      <c r="E163" s="13" t="str">
        <f aca="false">IF($A163="","",IF(품목마스터!$F162="",0,품목마스터!$F162))</f>
        <v/>
      </c>
      <c r="F163" s="13" t="str">
        <f aca="false">IF($A163="","",SUMIFS(입출고내역!$G$3:$G$1002,입출고내역!$C$3:$C$1002,$A163,입출고내역!$B$3:$B$1002,"입고"))</f>
        <v/>
      </c>
      <c r="G163" s="13" t="str">
        <f aca="false">IF($A163="","",SUMIFS(입출고내역!$G$3:$G$1002,입출고내역!$C$3:$C$1002,$A163,입출고내역!$B$3:$B$1002,"출고"))</f>
        <v/>
      </c>
      <c r="H163" s="13" t="str">
        <f aca="false">IF($A163="","",$E163+SUMIFS(입출고내역!$L$3:$L$1002,입출고내역!$C$3:$C$1002,$A163))</f>
        <v/>
      </c>
      <c r="I163" s="13" t="str">
        <f aca="false">IF($A163="","",IF(품목마스터!$G162="",0,품목마스터!$G162))</f>
        <v/>
      </c>
      <c r="J163" s="20" t="str">
        <f aca="false">IF($A163="","",IF($I163=0,"기준없음",TEXT($H163/$I163,"0%")&amp;"  "&amp;REPT("■",MIN(10,ROUND($H163/$I163*10,0)))))</f>
        <v/>
      </c>
    </row>
    <row r="164" customFormat="false" ht="15" hidden="false" customHeight="true" outlineLevel="0" collapsed="false">
      <c r="A164" s="12" t="str">
        <f aca="false">IF(품목마스터!$A163="","",품목마스터!$A163)</f>
        <v/>
      </c>
      <c r="B164" s="12" t="str">
        <f aca="false">IF($A164="","",품목마스터!$B163)</f>
        <v/>
      </c>
      <c r="C164" s="12" t="str">
        <f aca="false">IF($A164="","",품목마스터!$E163)</f>
        <v/>
      </c>
      <c r="D164" s="12" t="str">
        <f aca="false">IF($A164="","",품목마스터!$D163)</f>
        <v/>
      </c>
      <c r="E164" s="13" t="str">
        <f aca="false">IF($A164="","",IF(품목마스터!$F163="",0,품목마스터!$F163))</f>
        <v/>
      </c>
      <c r="F164" s="13" t="str">
        <f aca="false">IF($A164="","",SUMIFS(입출고내역!$G$3:$G$1002,입출고내역!$C$3:$C$1002,$A164,입출고내역!$B$3:$B$1002,"입고"))</f>
        <v/>
      </c>
      <c r="G164" s="13" t="str">
        <f aca="false">IF($A164="","",SUMIFS(입출고내역!$G$3:$G$1002,입출고내역!$C$3:$C$1002,$A164,입출고내역!$B$3:$B$1002,"출고"))</f>
        <v/>
      </c>
      <c r="H164" s="13" t="str">
        <f aca="false">IF($A164="","",$E164+SUMIFS(입출고내역!$L$3:$L$1002,입출고내역!$C$3:$C$1002,$A164))</f>
        <v/>
      </c>
      <c r="I164" s="13" t="str">
        <f aca="false">IF($A164="","",IF(품목마스터!$G163="",0,품목마스터!$G163))</f>
        <v/>
      </c>
      <c r="J164" s="20" t="str">
        <f aca="false">IF($A164="","",IF($I164=0,"기준없음",TEXT($H164/$I164,"0%")&amp;"  "&amp;REPT("■",MIN(10,ROUND($H164/$I164*10,0)))))</f>
        <v/>
      </c>
    </row>
    <row r="165" customFormat="false" ht="15" hidden="false" customHeight="true" outlineLevel="0" collapsed="false">
      <c r="A165" s="12" t="str">
        <f aca="false">IF(품목마스터!$A164="","",품목마스터!$A164)</f>
        <v/>
      </c>
      <c r="B165" s="12" t="str">
        <f aca="false">IF($A165="","",품목마스터!$B164)</f>
        <v/>
      </c>
      <c r="C165" s="12" t="str">
        <f aca="false">IF($A165="","",품목마스터!$E164)</f>
        <v/>
      </c>
      <c r="D165" s="12" t="str">
        <f aca="false">IF($A165="","",품목마스터!$D164)</f>
        <v/>
      </c>
      <c r="E165" s="13" t="str">
        <f aca="false">IF($A165="","",IF(품목마스터!$F164="",0,품목마스터!$F164))</f>
        <v/>
      </c>
      <c r="F165" s="13" t="str">
        <f aca="false">IF($A165="","",SUMIFS(입출고내역!$G$3:$G$1002,입출고내역!$C$3:$C$1002,$A165,입출고내역!$B$3:$B$1002,"입고"))</f>
        <v/>
      </c>
      <c r="G165" s="13" t="str">
        <f aca="false">IF($A165="","",SUMIFS(입출고내역!$G$3:$G$1002,입출고내역!$C$3:$C$1002,$A165,입출고내역!$B$3:$B$1002,"출고"))</f>
        <v/>
      </c>
      <c r="H165" s="13" t="str">
        <f aca="false">IF($A165="","",$E165+SUMIFS(입출고내역!$L$3:$L$1002,입출고내역!$C$3:$C$1002,$A165))</f>
        <v/>
      </c>
      <c r="I165" s="13" t="str">
        <f aca="false">IF($A165="","",IF(품목마스터!$G164="",0,품목마스터!$G164))</f>
        <v/>
      </c>
      <c r="J165" s="20" t="str">
        <f aca="false">IF($A165="","",IF($I165=0,"기준없음",TEXT($H165/$I165,"0%")&amp;"  "&amp;REPT("■",MIN(10,ROUND($H165/$I165*10,0)))))</f>
        <v/>
      </c>
    </row>
    <row r="166" customFormat="false" ht="15" hidden="false" customHeight="true" outlineLevel="0" collapsed="false">
      <c r="A166" s="12" t="str">
        <f aca="false">IF(품목마스터!$A165="","",품목마스터!$A165)</f>
        <v/>
      </c>
      <c r="B166" s="12" t="str">
        <f aca="false">IF($A166="","",품목마스터!$B165)</f>
        <v/>
      </c>
      <c r="C166" s="12" t="str">
        <f aca="false">IF($A166="","",품목마스터!$E165)</f>
        <v/>
      </c>
      <c r="D166" s="12" t="str">
        <f aca="false">IF($A166="","",품목마스터!$D165)</f>
        <v/>
      </c>
      <c r="E166" s="13" t="str">
        <f aca="false">IF($A166="","",IF(품목마스터!$F165="",0,품목마스터!$F165))</f>
        <v/>
      </c>
      <c r="F166" s="13" t="str">
        <f aca="false">IF($A166="","",SUMIFS(입출고내역!$G$3:$G$1002,입출고내역!$C$3:$C$1002,$A166,입출고내역!$B$3:$B$1002,"입고"))</f>
        <v/>
      </c>
      <c r="G166" s="13" t="str">
        <f aca="false">IF($A166="","",SUMIFS(입출고내역!$G$3:$G$1002,입출고내역!$C$3:$C$1002,$A166,입출고내역!$B$3:$B$1002,"출고"))</f>
        <v/>
      </c>
      <c r="H166" s="13" t="str">
        <f aca="false">IF($A166="","",$E166+SUMIFS(입출고내역!$L$3:$L$1002,입출고내역!$C$3:$C$1002,$A166))</f>
        <v/>
      </c>
      <c r="I166" s="13" t="str">
        <f aca="false">IF($A166="","",IF(품목마스터!$G165="",0,품목마스터!$G165))</f>
        <v/>
      </c>
      <c r="J166" s="20" t="str">
        <f aca="false">IF($A166="","",IF($I166=0,"기준없음",TEXT($H166/$I166,"0%")&amp;"  "&amp;REPT("■",MIN(10,ROUND($H166/$I166*10,0)))))</f>
        <v/>
      </c>
    </row>
    <row r="167" customFormat="false" ht="15" hidden="false" customHeight="true" outlineLevel="0" collapsed="false">
      <c r="A167" s="12" t="str">
        <f aca="false">IF(품목마스터!$A166="","",품목마스터!$A166)</f>
        <v/>
      </c>
      <c r="B167" s="12" t="str">
        <f aca="false">IF($A167="","",품목마스터!$B166)</f>
        <v/>
      </c>
      <c r="C167" s="12" t="str">
        <f aca="false">IF($A167="","",품목마스터!$E166)</f>
        <v/>
      </c>
      <c r="D167" s="12" t="str">
        <f aca="false">IF($A167="","",품목마스터!$D166)</f>
        <v/>
      </c>
      <c r="E167" s="13" t="str">
        <f aca="false">IF($A167="","",IF(품목마스터!$F166="",0,품목마스터!$F166))</f>
        <v/>
      </c>
      <c r="F167" s="13" t="str">
        <f aca="false">IF($A167="","",SUMIFS(입출고내역!$G$3:$G$1002,입출고내역!$C$3:$C$1002,$A167,입출고내역!$B$3:$B$1002,"입고"))</f>
        <v/>
      </c>
      <c r="G167" s="13" t="str">
        <f aca="false">IF($A167="","",SUMIFS(입출고내역!$G$3:$G$1002,입출고내역!$C$3:$C$1002,$A167,입출고내역!$B$3:$B$1002,"출고"))</f>
        <v/>
      </c>
      <c r="H167" s="13" t="str">
        <f aca="false">IF($A167="","",$E167+SUMIFS(입출고내역!$L$3:$L$1002,입출고내역!$C$3:$C$1002,$A167))</f>
        <v/>
      </c>
      <c r="I167" s="13" t="str">
        <f aca="false">IF($A167="","",IF(품목마스터!$G166="",0,품목마스터!$G166))</f>
        <v/>
      </c>
      <c r="J167" s="20" t="str">
        <f aca="false">IF($A167="","",IF($I167=0,"기준없음",TEXT($H167/$I167,"0%")&amp;"  "&amp;REPT("■",MIN(10,ROUND($H167/$I167*10,0)))))</f>
        <v/>
      </c>
    </row>
    <row r="168" customFormat="false" ht="15" hidden="false" customHeight="true" outlineLevel="0" collapsed="false">
      <c r="A168" s="12" t="str">
        <f aca="false">IF(품목마스터!$A167="","",품목마스터!$A167)</f>
        <v/>
      </c>
      <c r="B168" s="12" t="str">
        <f aca="false">IF($A168="","",품목마스터!$B167)</f>
        <v/>
      </c>
      <c r="C168" s="12" t="str">
        <f aca="false">IF($A168="","",품목마스터!$E167)</f>
        <v/>
      </c>
      <c r="D168" s="12" t="str">
        <f aca="false">IF($A168="","",품목마스터!$D167)</f>
        <v/>
      </c>
      <c r="E168" s="13" t="str">
        <f aca="false">IF($A168="","",IF(품목마스터!$F167="",0,품목마스터!$F167))</f>
        <v/>
      </c>
      <c r="F168" s="13" t="str">
        <f aca="false">IF($A168="","",SUMIFS(입출고내역!$G$3:$G$1002,입출고내역!$C$3:$C$1002,$A168,입출고내역!$B$3:$B$1002,"입고"))</f>
        <v/>
      </c>
      <c r="G168" s="13" t="str">
        <f aca="false">IF($A168="","",SUMIFS(입출고내역!$G$3:$G$1002,입출고내역!$C$3:$C$1002,$A168,입출고내역!$B$3:$B$1002,"출고"))</f>
        <v/>
      </c>
      <c r="H168" s="13" t="str">
        <f aca="false">IF($A168="","",$E168+SUMIFS(입출고내역!$L$3:$L$1002,입출고내역!$C$3:$C$1002,$A168))</f>
        <v/>
      </c>
      <c r="I168" s="13" t="str">
        <f aca="false">IF($A168="","",IF(품목마스터!$G167="",0,품목마스터!$G167))</f>
        <v/>
      </c>
      <c r="J168" s="20" t="str">
        <f aca="false">IF($A168="","",IF($I168=0,"기준없음",TEXT($H168/$I168,"0%")&amp;"  "&amp;REPT("■",MIN(10,ROUND($H168/$I168*10,0)))))</f>
        <v/>
      </c>
    </row>
    <row r="169" customFormat="false" ht="15" hidden="false" customHeight="true" outlineLevel="0" collapsed="false">
      <c r="A169" s="12" t="str">
        <f aca="false">IF(품목마스터!$A168="","",품목마스터!$A168)</f>
        <v/>
      </c>
      <c r="B169" s="12" t="str">
        <f aca="false">IF($A169="","",품목마스터!$B168)</f>
        <v/>
      </c>
      <c r="C169" s="12" t="str">
        <f aca="false">IF($A169="","",품목마스터!$E168)</f>
        <v/>
      </c>
      <c r="D169" s="12" t="str">
        <f aca="false">IF($A169="","",품목마스터!$D168)</f>
        <v/>
      </c>
      <c r="E169" s="13" t="str">
        <f aca="false">IF($A169="","",IF(품목마스터!$F168="",0,품목마스터!$F168))</f>
        <v/>
      </c>
      <c r="F169" s="13" t="str">
        <f aca="false">IF($A169="","",SUMIFS(입출고내역!$G$3:$G$1002,입출고내역!$C$3:$C$1002,$A169,입출고내역!$B$3:$B$1002,"입고"))</f>
        <v/>
      </c>
      <c r="G169" s="13" t="str">
        <f aca="false">IF($A169="","",SUMIFS(입출고내역!$G$3:$G$1002,입출고내역!$C$3:$C$1002,$A169,입출고내역!$B$3:$B$1002,"출고"))</f>
        <v/>
      </c>
      <c r="H169" s="13" t="str">
        <f aca="false">IF($A169="","",$E169+SUMIFS(입출고내역!$L$3:$L$1002,입출고내역!$C$3:$C$1002,$A169))</f>
        <v/>
      </c>
      <c r="I169" s="13" t="str">
        <f aca="false">IF($A169="","",IF(품목마스터!$G168="",0,품목마스터!$G168))</f>
        <v/>
      </c>
      <c r="J169" s="20" t="str">
        <f aca="false">IF($A169="","",IF($I169=0,"기준없음",TEXT($H169/$I169,"0%")&amp;"  "&amp;REPT("■",MIN(10,ROUND($H169/$I169*10,0)))))</f>
        <v/>
      </c>
    </row>
    <row r="170" customFormat="false" ht="15" hidden="false" customHeight="true" outlineLevel="0" collapsed="false">
      <c r="A170" s="12" t="str">
        <f aca="false">IF(품목마스터!$A169="","",품목마스터!$A169)</f>
        <v/>
      </c>
      <c r="B170" s="12" t="str">
        <f aca="false">IF($A170="","",품목마스터!$B169)</f>
        <v/>
      </c>
      <c r="C170" s="12" t="str">
        <f aca="false">IF($A170="","",품목마스터!$E169)</f>
        <v/>
      </c>
      <c r="D170" s="12" t="str">
        <f aca="false">IF($A170="","",품목마스터!$D169)</f>
        <v/>
      </c>
      <c r="E170" s="13" t="str">
        <f aca="false">IF($A170="","",IF(품목마스터!$F169="",0,품목마스터!$F169))</f>
        <v/>
      </c>
      <c r="F170" s="13" t="str">
        <f aca="false">IF($A170="","",SUMIFS(입출고내역!$G$3:$G$1002,입출고내역!$C$3:$C$1002,$A170,입출고내역!$B$3:$B$1002,"입고"))</f>
        <v/>
      </c>
      <c r="G170" s="13" t="str">
        <f aca="false">IF($A170="","",SUMIFS(입출고내역!$G$3:$G$1002,입출고내역!$C$3:$C$1002,$A170,입출고내역!$B$3:$B$1002,"출고"))</f>
        <v/>
      </c>
      <c r="H170" s="13" t="str">
        <f aca="false">IF($A170="","",$E170+SUMIFS(입출고내역!$L$3:$L$1002,입출고내역!$C$3:$C$1002,$A170))</f>
        <v/>
      </c>
      <c r="I170" s="13" t="str">
        <f aca="false">IF($A170="","",IF(품목마스터!$G169="",0,품목마스터!$G169))</f>
        <v/>
      </c>
      <c r="J170" s="20" t="str">
        <f aca="false">IF($A170="","",IF($I170=0,"기준없음",TEXT($H170/$I170,"0%")&amp;"  "&amp;REPT("■",MIN(10,ROUND($H170/$I170*10,0)))))</f>
        <v/>
      </c>
    </row>
    <row r="171" customFormat="false" ht="15" hidden="false" customHeight="true" outlineLevel="0" collapsed="false">
      <c r="A171" s="12" t="str">
        <f aca="false">IF(품목마스터!$A170="","",품목마스터!$A170)</f>
        <v/>
      </c>
      <c r="B171" s="12" t="str">
        <f aca="false">IF($A171="","",품목마스터!$B170)</f>
        <v/>
      </c>
      <c r="C171" s="12" t="str">
        <f aca="false">IF($A171="","",품목마스터!$E170)</f>
        <v/>
      </c>
      <c r="D171" s="12" t="str">
        <f aca="false">IF($A171="","",품목마스터!$D170)</f>
        <v/>
      </c>
      <c r="E171" s="13" t="str">
        <f aca="false">IF($A171="","",IF(품목마스터!$F170="",0,품목마스터!$F170))</f>
        <v/>
      </c>
      <c r="F171" s="13" t="str">
        <f aca="false">IF($A171="","",SUMIFS(입출고내역!$G$3:$G$1002,입출고내역!$C$3:$C$1002,$A171,입출고내역!$B$3:$B$1002,"입고"))</f>
        <v/>
      </c>
      <c r="G171" s="13" t="str">
        <f aca="false">IF($A171="","",SUMIFS(입출고내역!$G$3:$G$1002,입출고내역!$C$3:$C$1002,$A171,입출고내역!$B$3:$B$1002,"출고"))</f>
        <v/>
      </c>
      <c r="H171" s="13" t="str">
        <f aca="false">IF($A171="","",$E171+SUMIFS(입출고내역!$L$3:$L$1002,입출고내역!$C$3:$C$1002,$A171))</f>
        <v/>
      </c>
      <c r="I171" s="13" t="str">
        <f aca="false">IF($A171="","",IF(품목마스터!$G170="",0,품목마스터!$G170))</f>
        <v/>
      </c>
      <c r="J171" s="20" t="str">
        <f aca="false">IF($A171="","",IF($I171=0,"기준없음",TEXT($H171/$I171,"0%")&amp;"  "&amp;REPT("■",MIN(10,ROUND($H171/$I171*10,0)))))</f>
        <v/>
      </c>
    </row>
    <row r="172" customFormat="false" ht="15" hidden="false" customHeight="true" outlineLevel="0" collapsed="false">
      <c r="A172" s="12" t="str">
        <f aca="false">IF(품목마스터!$A171="","",품목마스터!$A171)</f>
        <v/>
      </c>
      <c r="B172" s="12" t="str">
        <f aca="false">IF($A172="","",품목마스터!$B171)</f>
        <v/>
      </c>
      <c r="C172" s="12" t="str">
        <f aca="false">IF($A172="","",품목마스터!$E171)</f>
        <v/>
      </c>
      <c r="D172" s="12" t="str">
        <f aca="false">IF($A172="","",품목마스터!$D171)</f>
        <v/>
      </c>
      <c r="E172" s="13" t="str">
        <f aca="false">IF($A172="","",IF(품목마스터!$F171="",0,품목마스터!$F171))</f>
        <v/>
      </c>
      <c r="F172" s="13" t="str">
        <f aca="false">IF($A172="","",SUMIFS(입출고내역!$G$3:$G$1002,입출고내역!$C$3:$C$1002,$A172,입출고내역!$B$3:$B$1002,"입고"))</f>
        <v/>
      </c>
      <c r="G172" s="13" t="str">
        <f aca="false">IF($A172="","",SUMIFS(입출고내역!$G$3:$G$1002,입출고내역!$C$3:$C$1002,$A172,입출고내역!$B$3:$B$1002,"출고"))</f>
        <v/>
      </c>
      <c r="H172" s="13" t="str">
        <f aca="false">IF($A172="","",$E172+SUMIFS(입출고내역!$L$3:$L$1002,입출고내역!$C$3:$C$1002,$A172))</f>
        <v/>
      </c>
      <c r="I172" s="13" t="str">
        <f aca="false">IF($A172="","",IF(품목마스터!$G171="",0,품목마스터!$G171))</f>
        <v/>
      </c>
      <c r="J172" s="20" t="str">
        <f aca="false">IF($A172="","",IF($I172=0,"기준없음",TEXT($H172/$I172,"0%")&amp;"  "&amp;REPT("■",MIN(10,ROUND($H172/$I172*10,0)))))</f>
        <v/>
      </c>
    </row>
    <row r="173" customFormat="false" ht="15" hidden="false" customHeight="true" outlineLevel="0" collapsed="false">
      <c r="A173" s="12" t="str">
        <f aca="false">IF(품목마스터!$A172="","",품목마스터!$A172)</f>
        <v/>
      </c>
      <c r="B173" s="12" t="str">
        <f aca="false">IF($A173="","",품목마스터!$B172)</f>
        <v/>
      </c>
      <c r="C173" s="12" t="str">
        <f aca="false">IF($A173="","",품목마스터!$E172)</f>
        <v/>
      </c>
      <c r="D173" s="12" t="str">
        <f aca="false">IF($A173="","",품목마스터!$D172)</f>
        <v/>
      </c>
      <c r="E173" s="13" t="str">
        <f aca="false">IF($A173="","",IF(품목마스터!$F172="",0,품목마스터!$F172))</f>
        <v/>
      </c>
      <c r="F173" s="13" t="str">
        <f aca="false">IF($A173="","",SUMIFS(입출고내역!$G$3:$G$1002,입출고내역!$C$3:$C$1002,$A173,입출고내역!$B$3:$B$1002,"입고"))</f>
        <v/>
      </c>
      <c r="G173" s="13" t="str">
        <f aca="false">IF($A173="","",SUMIFS(입출고내역!$G$3:$G$1002,입출고내역!$C$3:$C$1002,$A173,입출고내역!$B$3:$B$1002,"출고"))</f>
        <v/>
      </c>
      <c r="H173" s="13" t="str">
        <f aca="false">IF($A173="","",$E173+SUMIFS(입출고내역!$L$3:$L$1002,입출고내역!$C$3:$C$1002,$A173))</f>
        <v/>
      </c>
      <c r="I173" s="13" t="str">
        <f aca="false">IF($A173="","",IF(품목마스터!$G172="",0,품목마스터!$G172))</f>
        <v/>
      </c>
      <c r="J173" s="20" t="str">
        <f aca="false">IF($A173="","",IF($I173=0,"기준없음",TEXT($H173/$I173,"0%")&amp;"  "&amp;REPT("■",MIN(10,ROUND($H173/$I173*10,0)))))</f>
        <v/>
      </c>
    </row>
    <row r="174" customFormat="false" ht="15" hidden="false" customHeight="true" outlineLevel="0" collapsed="false">
      <c r="A174" s="12" t="str">
        <f aca="false">IF(품목마스터!$A173="","",품목마스터!$A173)</f>
        <v/>
      </c>
      <c r="B174" s="12" t="str">
        <f aca="false">IF($A174="","",품목마스터!$B173)</f>
        <v/>
      </c>
      <c r="C174" s="12" t="str">
        <f aca="false">IF($A174="","",품목마스터!$E173)</f>
        <v/>
      </c>
      <c r="D174" s="12" t="str">
        <f aca="false">IF($A174="","",품목마스터!$D173)</f>
        <v/>
      </c>
      <c r="E174" s="13" t="str">
        <f aca="false">IF($A174="","",IF(품목마스터!$F173="",0,품목마스터!$F173))</f>
        <v/>
      </c>
      <c r="F174" s="13" t="str">
        <f aca="false">IF($A174="","",SUMIFS(입출고내역!$G$3:$G$1002,입출고내역!$C$3:$C$1002,$A174,입출고내역!$B$3:$B$1002,"입고"))</f>
        <v/>
      </c>
      <c r="G174" s="13" t="str">
        <f aca="false">IF($A174="","",SUMIFS(입출고내역!$G$3:$G$1002,입출고내역!$C$3:$C$1002,$A174,입출고내역!$B$3:$B$1002,"출고"))</f>
        <v/>
      </c>
      <c r="H174" s="13" t="str">
        <f aca="false">IF($A174="","",$E174+SUMIFS(입출고내역!$L$3:$L$1002,입출고내역!$C$3:$C$1002,$A174))</f>
        <v/>
      </c>
      <c r="I174" s="13" t="str">
        <f aca="false">IF($A174="","",IF(품목마스터!$G173="",0,품목마스터!$G173))</f>
        <v/>
      </c>
      <c r="J174" s="20" t="str">
        <f aca="false">IF($A174="","",IF($I174=0,"기준없음",TEXT($H174/$I174,"0%")&amp;"  "&amp;REPT("■",MIN(10,ROUND($H174/$I174*10,0)))))</f>
        <v/>
      </c>
    </row>
    <row r="175" customFormat="false" ht="15" hidden="false" customHeight="true" outlineLevel="0" collapsed="false">
      <c r="A175" s="12" t="str">
        <f aca="false">IF(품목마스터!$A174="","",품목마스터!$A174)</f>
        <v/>
      </c>
      <c r="B175" s="12" t="str">
        <f aca="false">IF($A175="","",품목마스터!$B174)</f>
        <v/>
      </c>
      <c r="C175" s="12" t="str">
        <f aca="false">IF($A175="","",품목마스터!$E174)</f>
        <v/>
      </c>
      <c r="D175" s="12" t="str">
        <f aca="false">IF($A175="","",품목마스터!$D174)</f>
        <v/>
      </c>
      <c r="E175" s="13" t="str">
        <f aca="false">IF($A175="","",IF(품목마스터!$F174="",0,품목마스터!$F174))</f>
        <v/>
      </c>
      <c r="F175" s="13" t="str">
        <f aca="false">IF($A175="","",SUMIFS(입출고내역!$G$3:$G$1002,입출고내역!$C$3:$C$1002,$A175,입출고내역!$B$3:$B$1002,"입고"))</f>
        <v/>
      </c>
      <c r="G175" s="13" t="str">
        <f aca="false">IF($A175="","",SUMIFS(입출고내역!$G$3:$G$1002,입출고내역!$C$3:$C$1002,$A175,입출고내역!$B$3:$B$1002,"출고"))</f>
        <v/>
      </c>
      <c r="H175" s="13" t="str">
        <f aca="false">IF($A175="","",$E175+SUMIFS(입출고내역!$L$3:$L$1002,입출고내역!$C$3:$C$1002,$A175))</f>
        <v/>
      </c>
      <c r="I175" s="13" t="str">
        <f aca="false">IF($A175="","",IF(품목마스터!$G174="",0,품목마스터!$G174))</f>
        <v/>
      </c>
      <c r="J175" s="20" t="str">
        <f aca="false">IF($A175="","",IF($I175=0,"기준없음",TEXT($H175/$I175,"0%")&amp;"  "&amp;REPT("■",MIN(10,ROUND($H175/$I175*10,0)))))</f>
        <v/>
      </c>
    </row>
    <row r="176" customFormat="false" ht="15" hidden="false" customHeight="true" outlineLevel="0" collapsed="false">
      <c r="A176" s="12" t="str">
        <f aca="false">IF(품목마스터!$A175="","",품목마스터!$A175)</f>
        <v/>
      </c>
      <c r="B176" s="12" t="str">
        <f aca="false">IF($A176="","",품목마스터!$B175)</f>
        <v/>
      </c>
      <c r="C176" s="12" t="str">
        <f aca="false">IF($A176="","",품목마스터!$E175)</f>
        <v/>
      </c>
      <c r="D176" s="12" t="str">
        <f aca="false">IF($A176="","",품목마스터!$D175)</f>
        <v/>
      </c>
      <c r="E176" s="13" t="str">
        <f aca="false">IF($A176="","",IF(품목마스터!$F175="",0,품목마스터!$F175))</f>
        <v/>
      </c>
      <c r="F176" s="13" t="str">
        <f aca="false">IF($A176="","",SUMIFS(입출고내역!$G$3:$G$1002,입출고내역!$C$3:$C$1002,$A176,입출고내역!$B$3:$B$1002,"입고"))</f>
        <v/>
      </c>
      <c r="G176" s="13" t="str">
        <f aca="false">IF($A176="","",SUMIFS(입출고내역!$G$3:$G$1002,입출고내역!$C$3:$C$1002,$A176,입출고내역!$B$3:$B$1002,"출고"))</f>
        <v/>
      </c>
      <c r="H176" s="13" t="str">
        <f aca="false">IF($A176="","",$E176+SUMIFS(입출고내역!$L$3:$L$1002,입출고내역!$C$3:$C$1002,$A176))</f>
        <v/>
      </c>
      <c r="I176" s="13" t="str">
        <f aca="false">IF($A176="","",IF(품목마스터!$G175="",0,품목마스터!$G175))</f>
        <v/>
      </c>
      <c r="J176" s="20" t="str">
        <f aca="false">IF($A176="","",IF($I176=0,"기준없음",TEXT($H176/$I176,"0%")&amp;"  "&amp;REPT("■",MIN(10,ROUND($H176/$I176*10,0)))))</f>
        <v/>
      </c>
    </row>
    <row r="177" customFormat="false" ht="15" hidden="false" customHeight="true" outlineLevel="0" collapsed="false">
      <c r="A177" s="12" t="str">
        <f aca="false">IF(품목마스터!$A176="","",품목마스터!$A176)</f>
        <v/>
      </c>
      <c r="B177" s="12" t="str">
        <f aca="false">IF($A177="","",품목마스터!$B176)</f>
        <v/>
      </c>
      <c r="C177" s="12" t="str">
        <f aca="false">IF($A177="","",품목마스터!$E176)</f>
        <v/>
      </c>
      <c r="D177" s="12" t="str">
        <f aca="false">IF($A177="","",품목마스터!$D176)</f>
        <v/>
      </c>
      <c r="E177" s="13" t="str">
        <f aca="false">IF($A177="","",IF(품목마스터!$F176="",0,품목마스터!$F176))</f>
        <v/>
      </c>
      <c r="F177" s="13" t="str">
        <f aca="false">IF($A177="","",SUMIFS(입출고내역!$G$3:$G$1002,입출고내역!$C$3:$C$1002,$A177,입출고내역!$B$3:$B$1002,"입고"))</f>
        <v/>
      </c>
      <c r="G177" s="13" t="str">
        <f aca="false">IF($A177="","",SUMIFS(입출고내역!$G$3:$G$1002,입출고내역!$C$3:$C$1002,$A177,입출고내역!$B$3:$B$1002,"출고"))</f>
        <v/>
      </c>
      <c r="H177" s="13" t="str">
        <f aca="false">IF($A177="","",$E177+SUMIFS(입출고내역!$L$3:$L$1002,입출고내역!$C$3:$C$1002,$A177))</f>
        <v/>
      </c>
      <c r="I177" s="13" t="str">
        <f aca="false">IF($A177="","",IF(품목마스터!$G176="",0,품목마스터!$G176))</f>
        <v/>
      </c>
      <c r="J177" s="20" t="str">
        <f aca="false">IF($A177="","",IF($I177=0,"기준없음",TEXT($H177/$I177,"0%")&amp;"  "&amp;REPT("■",MIN(10,ROUND($H177/$I177*10,0)))))</f>
        <v/>
      </c>
    </row>
    <row r="178" customFormat="false" ht="15" hidden="false" customHeight="true" outlineLevel="0" collapsed="false">
      <c r="A178" s="12" t="str">
        <f aca="false">IF(품목마스터!$A177="","",품목마스터!$A177)</f>
        <v/>
      </c>
      <c r="B178" s="12" t="str">
        <f aca="false">IF($A178="","",품목마스터!$B177)</f>
        <v/>
      </c>
      <c r="C178" s="12" t="str">
        <f aca="false">IF($A178="","",품목마스터!$E177)</f>
        <v/>
      </c>
      <c r="D178" s="12" t="str">
        <f aca="false">IF($A178="","",품목마스터!$D177)</f>
        <v/>
      </c>
      <c r="E178" s="13" t="str">
        <f aca="false">IF($A178="","",IF(품목마스터!$F177="",0,품목마스터!$F177))</f>
        <v/>
      </c>
      <c r="F178" s="13" t="str">
        <f aca="false">IF($A178="","",SUMIFS(입출고내역!$G$3:$G$1002,입출고내역!$C$3:$C$1002,$A178,입출고내역!$B$3:$B$1002,"입고"))</f>
        <v/>
      </c>
      <c r="G178" s="13" t="str">
        <f aca="false">IF($A178="","",SUMIFS(입출고내역!$G$3:$G$1002,입출고내역!$C$3:$C$1002,$A178,입출고내역!$B$3:$B$1002,"출고"))</f>
        <v/>
      </c>
      <c r="H178" s="13" t="str">
        <f aca="false">IF($A178="","",$E178+SUMIFS(입출고내역!$L$3:$L$1002,입출고내역!$C$3:$C$1002,$A178))</f>
        <v/>
      </c>
      <c r="I178" s="13" t="str">
        <f aca="false">IF($A178="","",IF(품목마스터!$G177="",0,품목마스터!$G177))</f>
        <v/>
      </c>
      <c r="J178" s="20" t="str">
        <f aca="false">IF($A178="","",IF($I178=0,"기준없음",TEXT($H178/$I178,"0%")&amp;"  "&amp;REPT("■",MIN(10,ROUND($H178/$I178*10,0)))))</f>
        <v/>
      </c>
    </row>
    <row r="179" customFormat="false" ht="15" hidden="false" customHeight="true" outlineLevel="0" collapsed="false">
      <c r="A179" s="12" t="str">
        <f aca="false">IF(품목마스터!$A178="","",품목마스터!$A178)</f>
        <v/>
      </c>
      <c r="B179" s="12" t="str">
        <f aca="false">IF($A179="","",품목마스터!$B178)</f>
        <v/>
      </c>
      <c r="C179" s="12" t="str">
        <f aca="false">IF($A179="","",품목마스터!$E178)</f>
        <v/>
      </c>
      <c r="D179" s="12" t="str">
        <f aca="false">IF($A179="","",품목마스터!$D178)</f>
        <v/>
      </c>
      <c r="E179" s="13" t="str">
        <f aca="false">IF($A179="","",IF(품목마스터!$F178="",0,품목마스터!$F178))</f>
        <v/>
      </c>
      <c r="F179" s="13" t="str">
        <f aca="false">IF($A179="","",SUMIFS(입출고내역!$G$3:$G$1002,입출고내역!$C$3:$C$1002,$A179,입출고내역!$B$3:$B$1002,"입고"))</f>
        <v/>
      </c>
      <c r="G179" s="13" t="str">
        <f aca="false">IF($A179="","",SUMIFS(입출고내역!$G$3:$G$1002,입출고내역!$C$3:$C$1002,$A179,입출고내역!$B$3:$B$1002,"출고"))</f>
        <v/>
      </c>
      <c r="H179" s="13" t="str">
        <f aca="false">IF($A179="","",$E179+SUMIFS(입출고내역!$L$3:$L$1002,입출고내역!$C$3:$C$1002,$A179))</f>
        <v/>
      </c>
      <c r="I179" s="13" t="str">
        <f aca="false">IF($A179="","",IF(품목마스터!$G178="",0,품목마스터!$G178))</f>
        <v/>
      </c>
      <c r="J179" s="20" t="str">
        <f aca="false">IF($A179="","",IF($I179=0,"기준없음",TEXT($H179/$I179,"0%")&amp;"  "&amp;REPT("■",MIN(10,ROUND($H179/$I179*10,0)))))</f>
        <v/>
      </c>
    </row>
    <row r="180" customFormat="false" ht="15" hidden="false" customHeight="true" outlineLevel="0" collapsed="false">
      <c r="A180" s="12" t="str">
        <f aca="false">IF(품목마스터!$A179="","",품목마스터!$A179)</f>
        <v/>
      </c>
      <c r="B180" s="12" t="str">
        <f aca="false">IF($A180="","",품목마스터!$B179)</f>
        <v/>
      </c>
      <c r="C180" s="12" t="str">
        <f aca="false">IF($A180="","",품목마스터!$E179)</f>
        <v/>
      </c>
      <c r="D180" s="12" t="str">
        <f aca="false">IF($A180="","",품목마스터!$D179)</f>
        <v/>
      </c>
      <c r="E180" s="13" t="str">
        <f aca="false">IF($A180="","",IF(품목마스터!$F179="",0,품목마스터!$F179))</f>
        <v/>
      </c>
      <c r="F180" s="13" t="str">
        <f aca="false">IF($A180="","",SUMIFS(입출고내역!$G$3:$G$1002,입출고내역!$C$3:$C$1002,$A180,입출고내역!$B$3:$B$1002,"입고"))</f>
        <v/>
      </c>
      <c r="G180" s="13" t="str">
        <f aca="false">IF($A180="","",SUMIFS(입출고내역!$G$3:$G$1002,입출고내역!$C$3:$C$1002,$A180,입출고내역!$B$3:$B$1002,"출고"))</f>
        <v/>
      </c>
      <c r="H180" s="13" t="str">
        <f aca="false">IF($A180="","",$E180+SUMIFS(입출고내역!$L$3:$L$1002,입출고내역!$C$3:$C$1002,$A180))</f>
        <v/>
      </c>
      <c r="I180" s="13" t="str">
        <f aca="false">IF($A180="","",IF(품목마스터!$G179="",0,품목마스터!$G179))</f>
        <v/>
      </c>
      <c r="J180" s="20" t="str">
        <f aca="false">IF($A180="","",IF($I180=0,"기준없음",TEXT($H180/$I180,"0%")&amp;"  "&amp;REPT("■",MIN(10,ROUND($H180/$I180*10,0)))))</f>
        <v/>
      </c>
    </row>
    <row r="181" customFormat="false" ht="15" hidden="false" customHeight="true" outlineLevel="0" collapsed="false">
      <c r="A181" s="12" t="str">
        <f aca="false">IF(품목마스터!$A180="","",품목마스터!$A180)</f>
        <v/>
      </c>
      <c r="B181" s="12" t="str">
        <f aca="false">IF($A181="","",품목마스터!$B180)</f>
        <v/>
      </c>
      <c r="C181" s="12" t="str">
        <f aca="false">IF($A181="","",품목마스터!$E180)</f>
        <v/>
      </c>
      <c r="D181" s="12" t="str">
        <f aca="false">IF($A181="","",품목마스터!$D180)</f>
        <v/>
      </c>
      <c r="E181" s="13" t="str">
        <f aca="false">IF($A181="","",IF(품목마스터!$F180="",0,품목마스터!$F180))</f>
        <v/>
      </c>
      <c r="F181" s="13" t="str">
        <f aca="false">IF($A181="","",SUMIFS(입출고내역!$G$3:$G$1002,입출고내역!$C$3:$C$1002,$A181,입출고내역!$B$3:$B$1002,"입고"))</f>
        <v/>
      </c>
      <c r="G181" s="13" t="str">
        <f aca="false">IF($A181="","",SUMIFS(입출고내역!$G$3:$G$1002,입출고내역!$C$3:$C$1002,$A181,입출고내역!$B$3:$B$1002,"출고"))</f>
        <v/>
      </c>
      <c r="H181" s="13" t="str">
        <f aca="false">IF($A181="","",$E181+SUMIFS(입출고내역!$L$3:$L$1002,입출고내역!$C$3:$C$1002,$A181))</f>
        <v/>
      </c>
      <c r="I181" s="13" t="str">
        <f aca="false">IF($A181="","",IF(품목마스터!$G180="",0,품목마스터!$G180))</f>
        <v/>
      </c>
      <c r="J181" s="20" t="str">
        <f aca="false">IF($A181="","",IF($I181=0,"기준없음",TEXT($H181/$I181,"0%")&amp;"  "&amp;REPT("■",MIN(10,ROUND($H181/$I181*10,0)))))</f>
        <v/>
      </c>
    </row>
    <row r="182" customFormat="false" ht="15" hidden="false" customHeight="true" outlineLevel="0" collapsed="false">
      <c r="A182" s="12" t="str">
        <f aca="false">IF(품목마스터!$A181="","",품목마스터!$A181)</f>
        <v/>
      </c>
      <c r="B182" s="12" t="str">
        <f aca="false">IF($A182="","",품목마스터!$B181)</f>
        <v/>
      </c>
      <c r="C182" s="12" t="str">
        <f aca="false">IF($A182="","",품목마스터!$E181)</f>
        <v/>
      </c>
      <c r="D182" s="12" t="str">
        <f aca="false">IF($A182="","",품목마스터!$D181)</f>
        <v/>
      </c>
      <c r="E182" s="13" t="str">
        <f aca="false">IF($A182="","",IF(품목마스터!$F181="",0,품목마스터!$F181))</f>
        <v/>
      </c>
      <c r="F182" s="13" t="str">
        <f aca="false">IF($A182="","",SUMIFS(입출고내역!$G$3:$G$1002,입출고내역!$C$3:$C$1002,$A182,입출고내역!$B$3:$B$1002,"입고"))</f>
        <v/>
      </c>
      <c r="G182" s="13" t="str">
        <f aca="false">IF($A182="","",SUMIFS(입출고내역!$G$3:$G$1002,입출고내역!$C$3:$C$1002,$A182,입출고내역!$B$3:$B$1002,"출고"))</f>
        <v/>
      </c>
      <c r="H182" s="13" t="str">
        <f aca="false">IF($A182="","",$E182+SUMIFS(입출고내역!$L$3:$L$1002,입출고내역!$C$3:$C$1002,$A182))</f>
        <v/>
      </c>
      <c r="I182" s="13" t="str">
        <f aca="false">IF($A182="","",IF(품목마스터!$G181="",0,품목마스터!$G181))</f>
        <v/>
      </c>
      <c r="J182" s="20" t="str">
        <f aca="false">IF($A182="","",IF($I182=0,"기준없음",TEXT($H182/$I182,"0%")&amp;"  "&amp;REPT("■",MIN(10,ROUND($H182/$I182*10,0)))))</f>
        <v/>
      </c>
    </row>
    <row r="183" customFormat="false" ht="15" hidden="false" customHeight="true" outlineLevel="0" collapsed="false">
      <c r="A183" s="12" t="str">
        <f aca="false">IF(품목마스터!$A182="","",품목마스터!$A182)</f>
        <v/>
      </c>
      <c r="B183" s="12" t="str">
        <f aca="false">IF($A183="","",품목마스터!$B182)</f>
        <v/>
      </c>
      <c r="C183" s="12" t="str">
        <f aca="false">IF($A183="","",품목마스터!$E182)</f>
        <v/>
      </c>
      <c r="D183" s="12" t="str">
        <f aca="false">IF($A183="","",품목마스터!$D182)</f>
        <v/>
      </c>
      <c r="E183" s="13" t="str">
        <f aca="false">IF($A183="","",IF(품목마스터!$F182="",0,품목마스터!$F182))</f>
        <v/>
      </c>
      <c r="F183" s="13" t="str">
        <f aca="false">IF($A183="","",SUMIFS(입출고내역!$G$3:$G$1002,입출고내역!$C$3:$C$1002,$A183,입출고내역!$B$3:$B$1002,"입고"))</f>
        <v/>
      </c>
      <c r="G183" s="13" t="str">
        <f aca="false">IF($A183="","",SUMIFS(입출고내역!$G$3:$G$1002,입출고내역!$C$3:$C$1002,$A183,입출고내역!$B$3:$B$1002,"출고"))</f>
        <v/>
      </c>
      <c r="H183" s="13" t="str">
        <f aca="false">IF($A183="","",$E183+SUMIFS(입출고내역!$L$3:$L$1002,입출고내역!$C$3:$C$1002,$A183))</f>
        <v/>
      </c>
      <c r="I183" s="13" t="str">
        <f aca="false">IF($A183="","",IF(품목마스터!$G182="",0,품목마스터!$G182))</f>
        <v/>
      </c>
      <c r="J183" s="20" t="str">
        <f aca="false">IF($A183="","",IF($I183=0,"기준없음",TEXT($H183/$I183,"0%")&amp;"  "&amp;REPT("■",MIN(10,ROUND($H183/$I183*10,0)))))</f>
        <v/>
      </c>
    </row>
    <row r="184" customFormat="false" ht="15" hidden="false" customHeight="true" outlineLevel="0" collapsed="false">
      <c r="A184" s="12" t="str">
        <f aca="false">IF(품목마스터!$A183="","",품목마스터!$A183)</f>
        <v/>
      </c>
      <c r="B184" s="12" t="str">
        <f aca="false">IF($A184="","",품목마스터!$B183)</f>
        <v/>
      </c>
      <c r="C184" s="12" t="str">
        <f aca="false">IF($A184="","",품목마스터!$E183)</f>
        <v/>
      </c>
      <c r="D184" s="12" t="str">
        <f aca="false">IF($A184="","",품목마스터!$D183)</f>
        <v/>
      </c>
      <c r="E184" s="13" t="str">
        <f aca="false">IF($A184="","",IF(품목마스터!$F183="",0,품목마스터!$F183))</f>
        <v/>
      </c>
      <c r="F184" s="13" t="str">
        <f aca="false">IF($A184="","",SUMIFS(입출고내역!$G$3:$G$1002,입출고내역!$C$3:$C$1002,$A184,입출고내역!$B$3:$B$1002,"입고"))</f>
        <v/>
      </c>
      <c r="G184" s="13" t="str">
        <f aca="false">IF($A184="","",SUMIFS(입출고내역!$G$3:$G$1002,입출고내역!$C$3:$C$1002,$A184,입출고내역!$B$3:$B$1002,"출고"))</f>
        <v/>
      </c>
      <c r="H184" s="13" t="str">
        <f aca="false">IF($A184="","",$E184+SUMIFS(입출고내역!$L$3:$L$1002,입출고내역!$C$3:$C$1002,$A184))</f>
        <v/>
      </c>
      <c r="I184" s="13" t="str">
        <f aca="false">IF($A184="","",IF(품목마스터!$G183="",0,품목마스터!$G183))</f>
        <v/>
      </c>
      <c r="J184" s="20" t="str">
        <f aca="false">IF($A184="","",IF($I184=0,"기준없음",TEXT($H184/$I184,"0%")&amp;"  "&amp;REPT("■",MIN(10,ROUND($H184/$I184*10,0)))))</f>
        <v/>
      </c>
    </row>
    <row r="185" customFormat="false" ht="15" hidden="false" customHeight="true" outlineLevel="0" collapsed="false">
      <c r="A185" s="12" t="str">
        <f aca="false">IF(품목마스터!$A184="","",품목마스터!$A184)</f>
        <v/>
      </c>
      <c r="B185" s="12" t="str">
        <f aca="false">IF($A185="","",품목마스터!$B184)</f>
        <v/>
      </c>
      <c r="C185" s="12" t="str">
        <f aca="false">IF($A185="","",품목마스터!$E184)</f>
        <v/>
      </c>
      <c r="D185" s="12" t="str">
        <f aca="false">IF($A185="","",품목마스터!$D184)</f>
        <v/>
      </c>
      <c r="E185" s="13" t="str">
        <f aca="false">IF($A185="","",IF(품목마스터!$F184="",0,품목마스터!$F184))</f>
        <v/>
      </c>
      <c r="F185" s="13" t="str">
        <f aca="false">IF($A185="","",SUMIFS(입출고내역!$G$3:$G$1002,입출고내역!$C$3:$C$1002,$A185,입출고내역!$B$3:$B$1002,"입고"))</f>
        <v/>
      </c>
      <c r="G185" s="13" t="str">
        <f aca="false">IF($A185="","",SUMIFS(입출고내역!$G$3:$G$1002,입출고내역!$C$3:$C$1002,$A185,입출고내역!$B$3:$B$1002,"출고"))</f>
        <v/>
      </c>
      <c r="H185" s="13" t="str">
        <f aca="false">IF($A185="","",$E185+SUMIFS(입출고내역!$L$3:$L$1002,입출고내역!$C$3:$C$1002,$A185))</f>
        <v/>
      </c>
      <c r="I185" s="13" t="str">
        <f aca="false">IF($A185="","",IF(품목마스터!$G184="",0,품목마스터!$G184))</f>
        <v/>
      </c>
      <c r="J185" s="20" t="str">
        <f aca="false">IF($A185="","",IF($I185=0,"기준없음",TEXT($H185/$I185,"0%")&amp;"  "&amp;REPT("■",MIN(10,ROUND($H185/$I185*10,0)))))</f>
        <v/>
      </c>
    </row>
    <row r="186" customFormat="false" ht="15" hidden="false" customHeight="true" outlineLevel="0" collapsed="false">
      <c r="A186" s="12" t="str">
        <f aca="false">IF(품목마스터!$A185="","",품목마스터!$A185)</f>
        <v/>
      </c>
      <c r="B186" s="12" t="str">
        <f aca="false">IF($A186="","",품목마스터!$B185)</f>
        <v/>
      </c>
      <c r="C186" s="12" t="str">
        <f aca="false">IF($A186="","",품목마스터!$E185)</f>
        <v/>
      </c>
      <c r="D186" s="12" t="str">
        <f aca="false">IF($A186="","",품목마스터!$D185)</f>
        <v/>
      </c>
      <c r="E186" s="13" t="str">
        <f aca="false">IF($A186="","",IF(품목마스터!$F185="",0,품목마스터!$F185))</f>
        <v/>
      </c>
      <c r="F186" s="13" t="str">
        <f aca="false">IF($A186="","",SUMIFS(입출고내역!$G$3:$G$1002,입출고내역!$C$3:$C$1002,$A186,입출고내역!$B$3:$B$1002,"입고"))</f>
        <v/>
      </c>
      <c r="G186" s="13" t="str">
        <f aca="false">IF($A186="","",SUMIFS(입출고내역!$G$3:$G$1002,입출고내역!$C$3:$C$1002,$A186,입출고내역!$B$3:$B$1002,"출고"))</f>
        <v/>
      </c>
      <c r="H186" s="13" t="str">
        <f aca="false">IF($A186="","",$E186+SUMIFS(입출고내역!$L$3:$L$1002,입출고내역!$C$3:$C$1002,$A186))</f>
        <v/>
      </c>
      <c r="I186" s="13" t="str">
        <f aca="false">IF($A186="","",IF(품목마스터!$G185="",0,품목마스터!$G185))</f>
        <v/>
      </c>
      <c r="J186" s="20" t="str">
        <f aca="false">IF($A186="","",IF($I186=0,"기준없음",TEXT($H186/$I186,"0%")&amp;"  "&amp;REPT("■",MIN(10,ROUND($H186/$I186*10,0)))))</f>
        <v/>
      </c>
    </row>
    <row r="187" customFormat="false" ht="15" hidden="false" customHeight="true" outlineLevel="0" collapsed="false">
      <c r="A187" s="12" t="str">
        <f aca="false">IF(품목마스터!$A186="","",품목마스터!$A186)</f>
        <v/>
      </c>
      <c r="B187" s="12" t="str">
        <f aca="false">IF($A187="","",품목마스터!$B186)</f>
        <v/>
      </c>
      <c r="C187" s="12" t="str">
        <f aca="false">IF($A187="","",품목마스터!$E186)</f>
        <v/>
      </c>
      <c r="D187" s="12" t="str">
        <f aca="false">IF($A187="","",품목마스터!$D186)</f>
        <v/>
      </c>
      <c r="E187" s="13" t="str">
        <f aca="false">IF($A187="","",IF(품목마스터!$F186="",0,품목마스터!$F186))</f>
        <v/>
      </c>
      <c r="F187" s="13" t="str">
        <f aca="false">IF($A187="","",SUMIFS(입출고내역!$G$3:$G$1002,입출고내역!$C$3:$C$1002,$A187,입출고내역!$B$3:$B$1002,"입고"))</f>
        <v/>
      </c>
      <c r="G187" s="13" t="str">
        <f aca="false">IF($A187="","",SUMIFS(입출고내역!$G$3:$G$1002,입출고내역!$C$3:$C$1002,$A187,입출고내역!$B$3:$B$1002,"출고"))</f>
        <v/>
      </c>
      <c r="H187" s="13" t="str">
        <f aca="false">IF($A187="","",$E187+SUMIFS(입출고내역!$L$3:$L$1002,입출고내역!$C$3:$C$1002,$A187))</f>
        <v/>
      </c>
      <c r="I187" s="13" t="str">
        <f aca="false">IF($A187="","",IF(품목마스터!$G186="",0,품목마스터!$G186))</f>
        <v/>
      </c>
      <c r="J187" s="20" t="str">
        <f aca="false">IF($A187="","",IF($I187=0,"기준없음",TEXT($H187/$I187,"0%")&amp;"  "&amp;REPT("■",MIN(10,ROUND($H187/$I187*10,0)))))</f>
        <v/>
      </c>
    </row>
    <row r="188" customFormat="false" ht="15" hidden="false" customHeight="true" outlineLevel="0" collapsed="false">
      <c r="A188" s="12" t="str">
        <f aca="false">IF(품목마스터!$A187="","",품목마스터!$A187)</f>
        <v/>
      </c>
      <c r="B188" s="12" t="str">
        <f aca="false">IF($A188="","",품목마스터!$B187)</f>
        <v/>
      </c>
      <c r="C188" s="12" t="str">
        <f aca="false">IF($A188="","",품목마스터!$E187)</f>
        <v/>
      </c>
      <c r="D188" s="12" t="str">
        <f aca="false">IF($A188="","",품목마스터!$D187)</f>
        <v/>
      </c>
      <c r="E188" s="13" t="str">
        <f aca="false">IF($A188="","",IF(품목마스터!$F187="",0,품목마스터!$F187))</f>
        <v/>
      </c>
      <c r="F188" s="13" t="str">
        <f aca="false">IF($A188="","",SUMIFS(입출고내역!$G$3:$G$1002,입출고내역!$C$3:$C$1002,$A188,입출고내역!$B$3:$B$1002,"입고"))</f>
        <v/>
      </c>
      <c r="G188" s="13" t="str">
        <f aca="false">IF($A188="","",SUMIFS(입출고내역!$G$3:$G$1002,입출고내역!$C$3:$C$1002,$A188,입출고내역!$B$3:$B$1002,"출고"))</f>
        <v/>
      </c>
      <c r="H188" s="13" t="str">
        <f aca="false">IF($A188="","",$E188+SUMIFS(입출고내역!$L$3:$L$1002,입출고내역!$C$3:$C$1002,$A188))</f>
        <v/>
      </c>
      <c r="I188" s="13" t="str">
        <f aca="false">IF($A188="","",IF(품목마스터!$G187="",0,품목마스터!$G187))</f>
        <v/>
      </c>
      <c r="J188" s="20" t="str">
        <f aca="false">IF($A188="","",IF($I188=0,"기준없음",TEXT($H188/$I188,"0%")&amp;"  "&amp;REPT("■",MIN(10,ROUND($H188/$I188*10,0)))))</f>
        <v/>
      </c>
    </row>
    <row r="189" customFormat="false" ht="15" hidden="false" customHeight="true" outlineLevel="0" collapsed="false">
      <c r="A189" s="12" t="str">
        <f aca="false">IF(품목마스터!$A188="","",품목마스터!$A188)</f>
        <v/>
      </c>
      <c r="B189" s="12" t="str">
        <f aca="false">IF($A189="","",품목마스터!$B188)</f>
        <v/>
      </c>
      <c r="C189" s="12" t="str">
        <f aca="false">IF($A189="","",품목마스터!$E188)</f>
        <v/>
      </c>
      <c r="D189" s="12" t="str">
        <f aca="false">IF($A189="","",품목마스터!$D188)</f>
        <v/>
      </c>
      <c r="E189" s="13" t="str">
        <f aca="false">IF($A189="","",IF(품목마스터!$F188="",0,품목마스터!$F188))</f>
        <v/>
      </c>
      <c r="F189" s="13" t="str">
        <f aca="false">IF($A189="","",SUMIFS(입출고내역!$G$3:$G$1002,입출고내역!$C$3:$C$1002,$A189,입출고내역!$B$3:$B$1002,"입고"))</f>
        <v/>
      </c>
      <c r="G189" s="13" t="str">
        <f aca="false">IF($A189="","",SUMIFS(입출고내역!$G$3:$G$1002,입출고내역!$C$3:$C$1002,$A189,입출고내역!$B$3:$B$1002,"출고"))</f>
        <v/>
      </c>
      <c r="H189" s="13" t="str">
        <f aca="false">IF($A189="","",$E189+SUMIFS(입출고내역!$L$3:$L$1002,입출고내역!$C$3:$C$1002,$A189))</f>
        <v/>
      </c>
      <c r="I189" s="13" t="str">
        <f aca="false">IF($A189="","",IF(품목마스터!$G188="",0,품목마스터!$G188))</f>
        <v/>
      </c>
      <c r="J189" s="20" t="str">
        <f aca="false">IF($A189="","",IF($I189=0,"기준없음",TEXT($H189/$I189,"0%")&amp;"  "&amp;REPT("■",MIN(10,ROUND($H189/$I189*10,0)))))</f>
        <v/>
      </c>
    </row>
    <row r="190" customFormat="false" ht="15" hidden="false" customHeight="true" outlineLevel="0" collapsed="false">
      <c r="A190" s="12" t="str">
        <f aca="false">IF(품목마스터!$A189="","",품목마스터!$A189)</f>
        <v/>
      </c>
      <c r="B190" s="12" t="str">
        <f aca="false">IF($A190="","",품목마스터!$B189)</f>
        <v/>
      </c>
      <c r="C190" s="12" t="str">
        <f aca="false">IF($A190="","",품목마스터!$E189)</f>
        <v/>
      </c>
      <c r="D190" s="12" t="str">
        <f aca="false">IF($A190="","",품목마스터!$D189)</f>
        <v/>
      </c>
      <c r="E190" s="13" t="str">
        <f aca="false">IF($A190="","",IF(품목마스터!$F189="",0,품목마스터!$F189))</f>
        <v/>
      </c>
      <c r="F190" s="13" t="str">
        <f aca="false">IF($A190="","",SUMIFS(입출고내역!$G$3:$G$1002,입출고내역!$C$3:$C$1002,$A190,입출고내역!$B$3:$B$1002,"입고"))</f>
        <v/>
      </c>
      <c r="G190" s="13" t="str">
        <f aca="false">IF($A190="","",SUMIFS(입출고내역!$G$3:$G$1002,입출고내역!$C$3:$C$1002,$A190,입출고내역!$B$3:$B$1002,"출고"))</f>
        <v/>
      </c>
      <c r="H190" s="13" t="str">
        <f aca="false">IF($A190="","",$E190+SUMIFS(입출고내역!$L$3:$L$1002,입출고내역!$C$3:$C$1002,$A190))</f>
        <v/>
      </c>
      <c r="I190" s="13" t="str">
        <f aca="false">IF($A190="","",IF(품목마스터!$G189="",0,품목마스터!$G189))</f>
        <v/>
      </c>
      <c r="J190" s="20" t="str">
        <f aca="false">IF($A190="","",IF($I190=0,"기준없음",TEXT($H190/$I190,"0%")&amp;"  "&amp;REPT("■",MIN(10,ROUND($H190/$I190*10,0)))))</f>
        <v/>
      </c>
    </row>
    <row r="191" customFormat="false" ht="15" hidden="false" customHeight="true" outlineLevel="0" collapsed="false">
      <c r="A191" s="12" t="str">
        <f aca="false">IF(품목마스터!$A190="","",품목마스터!$A190)</f>
        <v/>
      </c>
      <c r="B191" s="12" t="str">
        <f aca="false">IF($A191="","",품목마스터!$B190)</f>
        <v/>
      </c>
      <c r="C191" s="12" t="str">
        <f aca="false">IF($A191="","",품목마스터!$E190)</f>
        <v/>
      </c>
      <c r="D191" s="12" t="str">
        <f aca="false">IF($A191="","",품목마스터!$D190)</f>
        <v/>
      </c>
      <c r="E191" s="13" t="str">
        <f aca="false">IF($A191="","",IF(품목마스터!$F190="",0,품목마스터!$F190))</f>
        <v/>
      </c>
      <c r="F191" s="13" t="str">
        <f aca="false">IF($A191="","",SUMIFS(입출고내역!$G$3:$G$1002,입출고내역!$C$3:$C$1002,$A191,입출고내역!$B$3:$B$1002,"입고"))</f>
        <v/>
      </c>
      <c r="G191" s="13" t="str">
        <f aca="false">IF($A191="","",SUMIFS(입출고내역!$G$3:$G$1002,입출고내역!$C$3:$C$1002,$A191,입출고내역!$B$3:$B$1002,"출고"))</f>
        <v/>
      </c>
      <c r="H191" s="13" t="str">
        <f aca="false">IF($A191="","",$E191+SUMIFS(입출고내역!$L$3:$L$1002,입출고내역!$C$3:$C$1002,$A191))</f>
        <v/>
      </c>
      <c r="I191" s="13" t="str">
        <f aca="false">IF($A191="","",IF(품목마스터!$G190="",0,품목마스터!$G190))</f>
        <v/>
      </c>
      <c r="J191" s="20" t="str">
        <f aca="false">IF($A191="","",IF($I191=0,"기준없음",TEXT($H191/$I191,"0%")&amp;"  "&amp;REPT("■",MIN(10,ROUND($H191/$I191*10,0)))))</f>
        <v/>
      </c>
    </row>
    <row r="192" customFormat="false" ht="15" hidden="false" customHeight="true" outlineLevel="0" collapsed="false">
      <c r="A192" s="12" t="str">
        <f aca="false">IF(품목마스터!$A191="","",품목마스터!$A191)</f>
        <v/>
      </c>
      <c r="B192" s="12" t="str">
        <f aca="false">IF($A192="","",품목마스터!$B191)</f>
        <v/>
      </c>
      <c r="C192" s="12" t="str">
        <f aca="false">IF($A192="","",품목마스터!$E191)</f>
        <v/>
      </c>
      <c r="D192" s="12" t="str">
        <f aca="false">IF($A192="","",품목마스터!$D191)</f>
        <v/>
      </c>
      <c r="E192" s="13" t="str">
        <f aca="false">IF($A192="","",IF(품목마스터!$F191="",0,품목마스터!$F191))</f>
        <v/>
      </c>
      <c r="F192" s="13" t="str">
        <f aca="false">IF($A192="","",SUMIFS(입출고내역!$G$3:$G$1002,입출고내역!$C$3:$C$1002,$A192,입출고내역!$B$3:$B$1002,"입고"))</f>
        <v/>
      </c>
      <c r="G192" s="13" t="str">
        <f aca="false">IF($A192="","",SUMIFS(입출고내역!$G$3:$G$1002,입출고내역!$C$3:$C$1002,$A192,입출고내역!$B$3:$B$1002,"출고"))</f>
        <v/>
      </c>
      <c r="H192" s="13" t="str">
        <f aca="false">IF($A192="","",$E192+SUMIFS(입출고내역!$L$3:$L$1002,입출고내역!$C$3:$C$1002,$A192))</f>
        <v/>
      </c>
      <c r="I192" s="13" t="str">
        <f aca="false">IF($A192="","",IF(품목마스터!$G191="",0,품목마스터!$G191))</f>
        <v/>
      </c>
      <c r="J192" s="20" t="str">
        <f aca="false">IF($A192="","",IF($I192=0,"기준없음",TEXT($H192/$I192,"0%")&amp;"  "&amp;REPT("■",MIN(10,ROUND($H192/$I192*10,0)))))</f>
        <v/>
      </c>
    </row>
    <row r="193" customFormat="false" ht="15" hidden="false" customHeight="true" outlineLevel="0" collapsed="false">
      <c r="A193" s="12" t="str">
        <f aca="false">IF(품목마스터!$A192="","",품목마스터!$A192)</f>
        <v/>
      </c>
      <c r="B193" s="12" t="str">
        <f aca="false">IF($A193="","",품목마스터!$B192)</f>
        <v/>
      </c>
      <c r="C193" s="12" t="str">
        <f aca="false">IF($A193="","",품목마스터!$E192)</f>
        <v/>
      </c>
      <c r="D193" s="12" t="str">
        <f aca="false">IF($A193="","",품목마스터!$D192)</f>
        <v/>
      </c>
      <c r="E193" s="13" t="str">
        <f aca="false">IF($A193="","",IF(품목마스터!$F192="",0,품목마스터!$F192))</f>
        <v/>
      </c>
      <c r="F193" s="13" t="str">
        <f aca="false">IF($A193="","",SUMIFS(입출고내역!$G$3:$G$1002,입출고내역!$C$3:$C$1002,$A193,입출고내역!$B$3:$B$1002,"입고"))</f>
        <v/>
      </c>
      <c r="G193" s="13" t="str">
        <f aca="false">IF($A193="","",SUMIFS(입출고내역!$G$3:$G$1002,입출고내역!$C$3:$C$1002,$A193,입출고내역!$B$3:$B$1002,"출고"))</f>
        <v/>
      </c>
      <c r="H193" s="13" t="str">
        <f aca="false">IF($A193="","",$E193+SUMIFS(입출고내역!$L$3:$L$1002,입출고내역!$C$3:$C$1002,$A193))</f>
        <v/>
      </c>
      <c r="I193" s="13" t="str">
        <f aca="false">IF($A193="","",IF(품목마스터!$G192="",0,품목마스터!$G192))</f>
        <v/>
      </c>
      <c r="J193" s="20" t="str">
        <f aca="false">IF($A193="","",IF($I193=0,"기준없음",TEXT($H193/$I193,"0%")&amp;"  "&amp;REPT("■",MIN(10,ROUND($H193/$I193*10,0)))))</f>
        <v/>
      </c>
    </row>
    <row r="194" customFormat="false" ht="15" hidden="false" customHeight="true" outlineLevel="0" collapsed="false">
      <c r="A194" s="12" t="str">
        <f aca="false">IF(품목마스터!$A193="","",품목마스터!$A193)</f>
        <v/>
      </c>
      <c r="B194" s="12" t="str">
        <f aca="false">IF($A194="","",품목마스터!$B193)</f>
        <v/>
      </c>
      <c r="C194" s="12" t="str">
        <f aca="false">IF($A194="","",품목마스터!$E193)</f>
        <v/>
      </c>
      <c r="D194" s="12" t="str">
        <f aca="false">IF($A194="","",품목마스터!$D193)</f>
        <v/>
      </c>
      <c r="E194" s="13" t="str">
        <f aca="false">IF($A194="","",IF(품목마스터!$F193="",0,품목마스터!$F193))</f>
        <v/>
      </c>
      <c r="F194" s="13" t="str">
        <f aca="false">IF($A194="","",SUMIFS(입출고내역!$G$3:$G$1002,입출고내역!$C$3:$C$1002,$A194,입출고내역!$B$3:$B$1002,"입고"))</f>
        <v/>
      </c>
      <c r="G194" s="13" t="str">
        <f aca="false">IF($A194="","",SUMIFS(입출고내역!$G$3:$G$1002,입출고내역!$C$3:$C$1002,$A194,입출고내역!$B$3:$B$1002,"출고"))</f>
        <v/>
      </c>
      <c r="H194" s="13" t="str">
        <f aca="false">IF($A194="","",$E194+SUMIFS(입출고내역!$L$3:$L$1002,입출고내역!$C$3:$C$1002,$A194))</f>
        <v/>
      </c>
      <c r="I194" s="13" t="str">
        <f aca="false">IF($A194="","",IF(품목마스터!$G193="",0,품목마스터!$G193))</f>
        <v/>
      </c>
      <c r="J194" s="20" t="str">
        <f aca="false">IF($A194="","",IF($I194=0,"기준없음",TEXT($H194/$I194,"0%")&amp;"  "&amp;REPT("■",MIN(10,ROUND($H194/$I194*10,0)))))</f>
        <v/>
      </c>
    </row>
    <row r="195" customFormat="false" ht="15" hidden="false" customHeight="true" outlineLevel="0" collapsed="false">
      <c r="A195" s="12" t="str">
        <f aca="false">IF(품목마스터!$A194="","",품목마스터!$A194)</f>
        <v/>
      </c>
      <c r="B195" s="12" t="str">
        <f aca="false">IF($A195="","",품목마스터!$B194)</f>
        <v/>
      </c>
      <c r="C195" s="12" t="str">
        <f aca="false">IF($A195="","",품목마스터!$E194)</f>
        <v/>
      </c>
      <c r="D195" s="12" t="str">
        <f aca="false">IF($A195="","",품목마스터!$D194)</f>
        <v/>
      </c>
      <c r="E195" s="13" t="str">
        <f aca="false">IF($A195="","",IF(품목마스터!$F194="",0,품목마스터!$F194))</f>
        <v/>
      </c>
      <c r="F195" s="13" t="str">
        <f aca="false">IF($A195="","",SUMIFS(입출고내역!$G$3:$G$1002,입출고내역!$C$3:$C$1002,$A195,입출고내역!$B$3:$B$1002,"입고"))</f>
        <v/>
      </c>
      <c r="G195" s="13" t="str">
        <f aca="false">IF($A195="","",SUMIFS(입출고내역!$G$3:$G$1002,입출고내역!$C$3:$C$1002,$A195,입출고내역!$B$3:$B$1002,"출고"))</f>
        <v/>
      </c>
      <c r="H195" s="13" t="str">
        <f aca="false">IF($A195="","",$E195+SUMIFS(입출고내역!$L$3:$L$1002,입출고내역!$C$3:$C$1002,$A195))</f>
        <v/>
      </c>
      <c r="I195" s="13" t="str">
        <f aca="false">IF($A195="","",IF(품목마스터!$G194="",0,품목마스터!$G194))</f>
        <v/>
      </c>
      <c r="J195" s="20" t="str">
        <f aca="false">IF($A195="","",IF($I195=0,"기준없음",TEXT($H195/$I195,"0%")&amp;"  "&amp;REPT("■",MIN(10,ROUND($H195/$I195*10,0)))))</f>
        <v/>
      </c>
    </row>
    <row r="196" customFormat="false" ht="15" hidden="false" customHeight="true" outlineLevel="0" collapsed="false">
      <c r="A196" s="12" t="str">
        <f aca="false">IF(품목마스터!$A195="","",품목마스터!$A195)</f>
        <v/>
      </c>
      <c r="B196" s="12" t="str">
        <f aca="false">IF($A196="","",품목마스터!$B195)</f>
        <v/>
      </c>
      <c r="C196" s="12" t="str">
        <f aca="false">IF($A196="","",품목마스터!$E195)</f>
        <v/>
      </c>
      <c r="D196" s="12" t="str">
        <f aca="false">IF($A196="","",품목마스터!$D195)</f>
        <v/>
      </c>
      <c r="E196" s="13" t="str">
        <f aca="false">IF($A196="","",IF(품목마스터!$F195="",0,품목마스터!$F195))</f>
        <v/>
      </c>
      <c r="F196" s="13" t="str">
        <f aca="false">IF($A196="","",SUMIFS(입출고내역!$G$3:$G$1002,입출고내역!$C$3:$C$1002,$A196,입출고내역!$B$3:$B$1002,"입고"))</f>
        <v/>
      </c>
      <c r="G196" s="13" t="str">
        <f aca="false">IF($A196="","",SUMIFS(입출고내역!$G$3:$G$1002,입출고내역!$C$3:$C$1002,$A196,입출고내역!$B$3:$B$1002,"출고"))</f>
        <v/>
      </c>
      <c r="H196" s="13" t="str">
        <f aca="false">IF($A196="","",$E196+SUMIFS(입출고내역!$L$3:$L$1002,입출고내역!$C$3:$C$1002,$A196))</f>
        <v/>
      </c>
      <c r="I196" s="13" t="str">
        <f aca="false">IF($A196="","",IF(품목마스터!$G195="",0,품목마스터!$G195))</f>
        <v/>
      </c>
      <c r="J196" s="20" t="str">
        <f aca="false">IF($A196="","",IF($I196=0,"기준없음",TEXT($H196/$I196,"0%")&amp;"  "&amp;REPT("■",MIN(10,ROUND($H196/$I196*10,0)))))</f>
        <v/>
      </c>
    </row>
    <row r="197" customFormat="false" ht="15" hidden="false" customHeight="true" outlineLevel="0" collapsed="false">
      <c r="A197" s="12" t="str">
        <f aca="false">IF(품목마스터!$A196="","",품목마스터!$A196)</f>
        <v/>
      </c>
      <c r="B197" s="12" t="str">
        <f aca="false">IF($A197="","",품목마스터!$B196)</f>
        <v/>
      </c>
      <c r="C197" s="12" t="str">
        <f aca="false">IF($A197="","",품목마스터!$E196)</f>
        <v/>
      </c>
      <c r="D197" s="12" t="str">
        <f aca="false">IF($A197="","",품목마스터!$D196)</f>
        <v/>
      </c>
      <c r="E197" s="13" t="str">
        <f aca="false">IF($A197="","",IF(품목마스터!$F196="",0,품목마스터!$F196))</f>
        <v/>
      </c>
      <c r="F197" s="13" t="str">
        <f aca="false">IF($A197="","",SUMIFS(입출고내역!$G$3:$G$1002,입출고내역!$C$3:$C$1002,$A197,입출고내역!$B$3:$B$1002,"입고"))</f>
        <v/>
      </c>
      <c r="G197" s="13" t="str">
        <f aca="false">IF($A197="","",SUMIFS(입출고내역!$G$3:$G$1002,입출고내역!$C$3:$C$1002,$A197,입출고내역!$B$3:$B$1002,"출고"))</f>
        <v/>
      </c>
      <c r="H197" s="13" t="str">
        <f aca="false">IF($A197="","",$E197+SUMIFS(입출고내역!$L$3:$L$1002,입출고내역!$C$3:$C$1002,$A197))</f>
        <v/>
      </c>
      <c r="I197" s="13" t="str">
        <f aca="false">IF($A197="","",IF(품목마스터!$G196="",0,품목마스터!$G196))</f>
        <v/>
      </c>
      <c r="J197" s="20" t="str">
        <f aca="false">IF($A197="","",IF($I197=0,"기준없음",TEXT($H197/$I197,"0%")&amp;"  "&amp;REPT("■",MIN(10,ROUND($H197/$I197*10,0)))))</f>
        <v/>
      </c>
    </row>
    <row r="198" customFormat="false" ht="15" hidden="false" customHeight="true" outlineLevel="0" collapsed="false">
      <c r="A198" s="12" t="str">
        <f aca="false">IF(품목마스터!$A197="","",품목마스터!$A197)</f>
        <v/>
      </c>
      <c r="B198" s="12" t="str">
        <f aca="false">IF($A198="","",품목마스터!$B197)</f>
        <v/>
      </c>
      <c r="C198" s="12" t="str">
        <f aca="false">IF($A198="","",품목마스터!$E197)</f>
        <v/>
      </c>
      <c r="D198" s="12" t="str">
        <f aca="false">IF($A198="","",품목마스터!$D197)</f>
        <v/>
      </c>
      <c r="E198" s="13" t="str">
        <f aca="false">IF($A198="","",IF(품목마스터!$F197="",0,품목마스터!$F197))</f>
        <v/>
      </c>
      <c r="F198" s="13" t="str">
        <f aca="false">IF($A198="","",SUMIFS(입출고내역!$G$3:$G$1002,입출고내역!$C$3:$C$1002,$A198,입출고내역!$B$3:$B$1002,"입고"))</f>
        <v/>
      </c>
      <c r="G198" s="13" t="str">
        <f aca="false">IF($A198="","",SUMIFS(입출고내역!$G$3:$G$1002,입출고내역!$C$3:$C$1002,$A198,입출고내역!$B$3:$B$1002,"출고"))</f>
        <v/>
      </c>
      <c r="H198" s="13" t="str">
        <f aca="false">IF($A198="","",$E198+SUMIFS(입출고내역!$L$3:$L$1002,입출고내역!$C$3:$C$1002,$A198))</f>
        <v/>
      </c>
      <c r="I198" s="13" t="str">
        <f aca="false">IF($A198="","",IF(품목마스터!$G197="",0,품목마스터!$G197))</f>
        <v/>
      </c>
      <c r="J198" s="20" t="str">
        <f aca="false">IF($A198="","",IF($I198=0,"기준없음",TEXT($H198/$I198,"0%")&amp;"  "&amp;REPT("■",MIN(10,ROUND($H198/$I198*10,0)))))</f>
        <v/>
      </c>
    </row>
    <row r="199" customFormat="false" ht="15" hidden="false" customHeight="true" outlineLevel="0" collapsed="false">
      <c r="A199" s="12" t="str">
        <f aca="false">IF(품목마스터!$A198="","",품목마스터!$A198)</f>
        <v/>
      </c>
      <c r="B199" s="12" t="str">
        <f aca="false">IF($A199="","",품목마스터!$B198)</f>
        <v/>
      </c>
      <c r="C199" s="12" t="str">
        <f aca="false">IF($A199="","",품목마스터!$E198)</f>
        <v/>
      </c>
      <c r="D199" s="12" t="str">
        <f aca="false">IF($A199="","",품목마스터!$D198)</f>
        <v/>
      </c>
      <c r="E199" s="13" t="str">
        <f aca="false">IF($A199="","",IF(품목마스터!$F198="",0,품목마스터!$F198))</f>
        <v/>
      </c>
      <c r="F199" s="13" t="str">
        <f aca="false">IF($A199="","",SUMIFS(입출고내역!$G$3:$G$1002,입출고내역!$C$3:$C$1002,$A199,입출고내역!$B$3:$B$1002,"입고"))</f>
        <v/>
      </c>
      <c r="G199" s="13" t="str">
        <f aca="false">IF($A199="","",SUMIFS(입출고내역!$G$3:$G$1002,입출고내역!$C$3:$C$1002,$A199,입출고내역!$B$3:$B$1002,"출고"))</f>
        <v/>
      </c>
      <c r="H199" s="13" t="str">
        <f aca="false">IF($A199="","",$E199+SUMIFS(입출고내역!$L$3:$L$1002,입출고내역!$C$3:$C$1002,$A199))</f>
        <v/>
      </c>
      <c r="I199" s="13" t="str">
        <f aca="false">IF($A199="","",IF(품목마스터!$G198="",0,품목마스터!$G198))</f>
        <v/>
      </c>
      <c r="J199" s="20" t="str">
        <f aca="false">IF($A199="","",IF($I199=0,"기준없음",TEXT($H199/$I199,"0%")&amp;"  "&amp;REPT("■",MIN(10,ROUND($H199/$I199*10,0)))))</f>
        <v/>
      </c>
    </row>
    <row r="200" customFormat="false" ht="15" hidden="false" customHeight="true" outlineLevel="0" collapsed="false">
      <c r="A200" s="12" t="str">
        <f aca="false">IF(품목마스터!$A199="","",품목마스터!$A199)</f>
        <v/>
      </c>
      <c r="B200" s="12" t="str">
        <f aca="false">IF($A200="","",품목마스터!$B199)</f>
        <v/>
      </c>
      <c r="C200" s="12" t="str">
        <f aca="false">IF($A200="","",품목마스터!$E199)</f>
        <v/>
      </c>
      <c r="D200" s="12" t="str">
        <f aca="false">IF($A200="","",품목마스터!$D199)</f>
        <v/>
      </c>
      <c r="E200" s="13" t="str">
        <f aca="false">IF($A200="","",IF(품목마스터!$F199="",0,품목마스터!$F199))</f>
        <v/>
      </c>
      <c r="F200" s="13" t="str">
        <f aca="false">IF($A200="","",SUMIFS(입출고내역!$G$3:$G$1002,입출고내역!$C$3:$C$1002,$A200,입출고내역!$B$3:$B$1002,"입고"))</f>
        <v/>
      </c>
      <c r="G200" s="13" t="str">
        <f aca="false">IF($A200="","",SUMIFS(입출고내역!$G$3:$G$1002,입출고내역!$C$3:$C$1002,$A200,입출고내역!$B$3:$B$1002,"출고"))</f>
        <v/>
      </c>
      <c r="H200" s="13" t="str">
        <f aca="false">IF($A200="","",$E200+SUMIFS(입출고내역!$L$3:$L$1002,입출고내역!$C$3:$C$1002,$A200))</f>
        <v/>
      </c>
      <c r="I200" s="13" t="str">
        <f aca="false">IF($A200="","",IF(품목마스터!$G199="",0,품목마스터!$G199))</f>
        <v/>
      </c>
      <c r="J200" s="20" t="str">
        <f aca="false">IF($A200="","",IF($I200=0,"기준없음",TEXT($H200/$I200,"0%")&amp;"  "&amp;REPT("■",MIN(10,ROUND($H200/$I200*10,0)))))</f>
        <v/>
      </c>
    </row>
    <row r="201" customFormat="false" ht="15" hidden="false" customHeight="true" outlineLevel="0" collapsed="false">
      <c r="A201" s="12" t="str">
        <f aca="false">IF(품목마스터!$A200="","",품목마스터!$A200)</f>
        <v/>
      </c>
      <c r="B201" s="12" t="str">
        <f aca="false">IF($A201="","",품목마스터!$B200)</f>
        <v/>
      </c>
      <c r="C201" s="12" t="str">
        <f aca="false">IF($A201="","",품목마스터!$E200)</f>
        <v/>
      </c>
      <c r="D201" s="12" t="str">
        <f aca="false">IF($A201="","",품목마스터!$D200)</f>
        <v/>
      </c>
      <c r="E201" s="13" t="str">
        <f aca="false">IF($A201="","",IF(품목마스터!$F200="",0,품목마스터!$F200))</f>
        <v/>
      </c>
      <c r="F201" s="13" t="str">
        <f aca="false">IF($A201="","",SUMIFS(입출고내역!$G$3:$G$1002,입출고내역!$C$3:$C$1002,$A201,입출고내역!$B$3:$B$1002,"입고"))</f>
        <v/>
      </c>
      <c r="G201" s="13" t="str">
        <f aca="false">IF($A201="","",SUMIFS(입출고내역!$G$3:$G$1002,입출고내역!$C$3:$C$1002,$A201,입출고내역!$B$3:$B$1002,"출고"))</f>
        <v/>
      </c>
      <c r="H201" s="13" t="str">
        <f aca="false">IF($A201="","",$E201+SUMIFS(입출고내역!$L$3:$L$1002,입출고내역!$C$3:$C$1002,$A201))</f>
        <v/>
      </c>
      <c r="I201" s="13" t="str">
        <f aca="false">IF($A201="","",IF(품목마스터!$G200="",0,품목마스터!$G200))</f>
        <v/>
      </c>
      <c r="J201" s="20" t="str">
        <f aca="false">IF($A201="","",IF($I201=0,"기준없음",TEXT($H201/$I201,"0%")&amp;"  "&amp;REPT("■",MIN(10,ROUND($H201/$I201*10,0)))))</f>
        <v/>
      </c>
    </row>
    <row r="202" customFormat="false" ht="15" hidden="false" customHeight="true" outlineLevel="0" collapsed="false">
      <c r="A202" s="12" t="str">
        <f aca="false">IF(품목마스터!$A201="","",품목마스터!$A201)</f>
        <v/>
      </c>
      <c r="B202" s="12" t="str">
        <f aca="false">IF($A202="","",품목마스터!$B201)</f>
        <v/>
      </c>
      <c r="C202" s="12" t="str">
        <f aca="false">IF($A202="","",품목마스터!$E201)</f>
        <v/>
      </c>
      <c r="D202" s="12" t="str">
        <f aca="false">IF($A202="","",품목마스터!$D201)</f>
        <v/>
      </c>
      <c r="E202" s="13" t="str">
        <f aca="false">IF($A202="","",IF(품목마스터!$F201="",0,품목마스터!$F201))</f>
        <v/>
      </c>
      <c r="F202" s="13" t="str">
        <f aca="false">IF($A202="","",SUMIFS(입출고내역!$G$3:$G$1002,입출고내역!$C$3:$C$1002,$A202,입출고내역!$B$3:$B$1002,"입고"))</f>
        <v/>
      </c>
      <c r="G202" s="13" t="str">
        <f aca="false">IF($A202="","",SUMIFS(입출고내역!$G$3:$G$1002,입출고내역!$C$3:$C$1002,$A202,입출고내역!$B$3:$B$1002,"출고"))</f>
        <v/>
      </c>
      <c r="H202" s="13" t="str">
        <f aca="false">IF($A202="","",$E202+SUMIFS(입출고내역!$L$3:$L$1002,입출고내역!$C$3:$C$1002,$A202))</f>
        <v/>
      </c>
      <c r="I202" s="13" t="str">
        <f aca="false">IF($A202="","",IF(품목마스터!$G201="",0,품목마스터!$G201))</f>
        <v/>
      </c>
      <c r="J202" s="20" t="str">
        <f aca="false">IF($A202="","",IF($I202=0,"기준없음",TEXT($H202/$I202,"0%")&amp;"  "&amp;REPT("■",MIN(10,ROUND($H202/$I202*10,0)))))</f>
        <v/>
      </c>
    </row>
    <row r="203" customFormat="false" ht="15" hidden="false" customHeight="true" outlineLevel="0" collapsed="false">
      <c r="A203" s="12" t="str">
        <f aca="false">IF(품목마스터!$A202="","",품목마스터!$A202)</f>
        <v/>
      </c>
      <c r="B203" s="12" t="str">
        <f aca="false">IF($A203="","",품목마스터!$B202)</f>
        <v/>
      </c>
      <c r="C203" s="12" t="str">
        <f aca="false">IF($A203="","",품목마스터!$E202)</f>
        <v/>
      </c>
      <c r="D203" s="12" t="str">
        <f aca="false">IF($A203="","",품목마스터!$D202)</f>
        <v/>
      </c>
      <c r="E203" s="13" t="str">
        <f aca="false">IF($A203="","",IF(품목마스터!$F202="",0,품목마스터!$F202))</f>
        <v/>
      </c>
      <c r="F203" s="13" t="str">
        <f aca="false">IF($A203="","",SUMIFS(입출고내역!$G$3:$G$1002,입출고내역!$C$3:$C$1002,$A203,입출고내역!$B$3:$B$1002,"입고"))</f>
        <v/>
      </c>
      <c r="G203" s="13" t="str">
        <f aca="false">IF($A203="","",SUMIFS(입출고내역!$G$3:$G$1002,입출고내역!$C$3:$C$1002,$A203,입출고내역!$B$3:$B$1002,"출고"))</f>
        <v/>
      </c>
      <c r="H203" s="13" t="str">
        <f aca="false">IF($A203="","",$E203+SUMIFS(입출고내역!$L$3:$L$1002,입출고내역!$C$3:$C$1002,$A203))</f>
        <v/>
      </c>
      <c r="I203" s="13" t="str">
        <f aca="false">IF($A203="","",IF(품목마스터!$G202="",0,품목마스터!$G202))</f>
        <v/>
      </c>
      <c r="J203" s="20" t="str">
        <f aca="false">IF($A203="","",IF($I203=0,"기준없음",TEXT($H203/$I203,"0%")&amp;"  "&amp;REPT("■",MIN(10,ROUND($H203/$I203*10,0)))))</f>
        <v/>
      </c>
    </row>
    <row r="204" customFormat="false" ht="15" hidden="false" customHeight="true" outlineLevel="0" collapsed="false">
      <c r="A204" s="12" t="str">
        <f aca="false">IF(품목마스터!$A203="","",품목마스터!$A203)</f>
        <v/>
      </c>
      <c r="B204" s="12" t="str">
        <f aca="false">IF($A204="","",품목마스터!$B203)</f>
        <v/>
      </c>
      <c r="C204" s="12" t="str">
        <f aca="false">IF($A204="","",품목마스터!$E203)</f>
        <v/>
      </c>
      <c r="D204" s="12" t="str">
        <f aca="false">IF($A204="","",품목마스터!$D203)</f>
        <v/>
      </c>
      <c r="E204" s="13" t="str">
        <f aca="false">IF($A204="","",IF(품목마스터!$F203="",0,품목마스터!$F203))</f>
        <v/>
      </c>
      <c r="F204" s="13" t="str">
        <f aca="false">IF($A204="","",SUMIFS(입출고내역!$G$3:$G$1002,입출고내역!$C$3:$C$1002,$A204,입출고내역!$B$3:$B$1002,"입고"))</f>
        <v/>
      </c>
      <c r="G204" s="13" t="str">
        <f aca="false">IF($A204="","",SUMIFS(입출고내역!$G$3:$G$1002,입출고내역!$C$3:$C$1002,$A204,입출고내역!$B$3:$B$1002,"출고"))</f>
        <v/>
      </c>
      <c r="H204" s="13" t="str">
        <f aca="false">IF($A204="","",$E204+SUMIFS(입출고내역!$L$3:$L$1002,입출고내역!$C$3:$C$1002,$A204))</f>
        <v/>
      </c>
      <c r="I204" s="13" t="str">
        <f aca="false">IF($A204="","",IF(품목마스터!$G203="",0,품목마스터!$G203))</f>
        <v/>
      </c>
      <c r="J204" s="20" t="str">
        <f aca="false">IF($A204="","",IF($I204=0,"기준없음",TEXT($H204/$I204,"0%")&amp;"  "&amp;REPT("■",MIN(10,ROUND($H204/$I204*10,0)))))</f>
        <v/>
      </c>
    </row>
    <row r="205" customFormat="false" ht="15" hidden="false" customHeight="true" outlineLevel="0" collapsed="false">
      <c r="A205" s="12" t="str">
        <f aca="false">IF(품목마스터!$A204="","",품목마스터!$A204)</f>
        <v/>
      </c>
      <c r="B205" s="12" t="str">
        <f aca="false">IF($A205="","",품목마스터!$B204)</f>
        <v/>
      </c>
      <c r="C205" s="12" t="str">
        <f aca="false">IF($A205="","",품목마스터!$E204)</f>
        <v/>
      </c>
      <c r="D205" s="12" t="str">
        <f aca="false">IF($A205="","",품목마스터!$D204)</f>
        <v/>
      </c>
      <c r="E205" s="13" t="str">
        <f aca="false">IF($A205="","",IF(품목마스터!$F204="",0,품목마스터!$F204))</f>
        <v/>
      </c>
      <c r="F205" s="13" t="str">
        <f aca="false">IF($A205="","",SUMIFS(입출고내역!$G$3:$G$1002,입출고내역!$C$3:$C$1002,$A205,입출고내역!$B$3:$B$1002,"입고"))</f>
        <v/>
      </c>
      <c r="G205" s="13" t="str">
        <f aca="false">IF($A205="","",SUMIFS(입출고내역!$G$3:$G$1002,입출고내역!$C$3:$C$1002,$A205,입출고내역!$B$3:$B$1002,"출고"))</f>
        <v/>
      </c>
      <c r="H205" s="13" t="str">
        <f aca="false">IF($A205="","",$E205+SUMIFS(입출고내역!$L$3:$L$1002,입출고내역!$C$3:$C$1002,$A205))</f>
        <v/>
      </c>
      <c r="I205" s="13" t="str">
        <f aca="false">IF($A205="","",IF(품목마스터!$G204="",0,품목마스터!$G204))</f>
        <v/>
      </c>
      <c r="J205" s="20" t="str">
        <f aca="false">IF($A205="","",IF($I205=0,"기준없음",TEXT($H205/$I205,"0%")&amp;"  "&amp;REPT("■",MIN(10,ROUND($H205/$I205*10,0)))))</f>
        <v/>
      </c>
    </row>
    <row r="206" customFormat="false" ht="15" hidden="false" customHeight="true" outlineLevel="0" collapsed="false">
      <c r="A206" s="12" t="str">
        <f aca="false">IF(품목마스터!$A205="","",품목마스터!$A205)</f>
        <v/>
      </c>
      <c r="B206" s="12" t="str">
        <f aca="false">IF($A206="","",품목마스터!$B205)</f>
        <v/>
      </c>
      <c r="C206" s="12" t="str">
        <f aca="false">IF($A206="","",품목마스터!$E205)</f>
        <v/>
      </c>
      <c r="D206" s="12" t="str">
        <f aca="false">IF($A206="","",품목마스터!$D205)</f>
        <v/>
      </c>
      <c r="E206" s="13" t="str">
        <f aca="false">IF($A206="","",IF(품목마스터!$F205="",0,품목마스터!$F205))</f>
        <v/>
      </c>
      <c r="F206" s="13" t="str">
        <f aca="false">IF($A206="","",SUMIFS(입출고내역!$G$3:$G$1002,입출고내역!$C$3:$C$1002,$A206,입출고내역!$B$3:$B$1002,"입고"))</f>
        <v/>
      </c>
      <c r="G206" s="13" t="str">
        <f aca="false">IF($A206="","",SUMIFS(입출고내역!$G$3:$G$1002,입출고내역!$C$3:$C$1002,$A206,입출고내역!$B$3:$B$1002,"출고"))</f>
        <v/>
      </c>
      <c r="H206" s="13" t="str">
        <f aca="false">IF($A206="","",$E206+SUMIFS(입출고내역!$L$3:$L$1002,입출고내역!$C$3:$C$1002,$A206))</f>
        <v/>
      </c>
      <c r="I206" s="13" t="str">
        <f aca="false">IF($A206="","",IF(품목마스터!$G205="",0,품목마스터!$G205))</f>
        <v/>
      </c>
      <c r="J206" s="20" t="str">
        <f aca="false">IF($A206="","",IF($I206=0,"기준없음",TEXT($H206/$I206,"0%")&amp;"  "&amp;REPT("■",MIN(10,ROUND($H206/$I206*10,0)))))</f>
        <v/>
      </c>
    </row>
    <row r="207" customFormat="false" ht="15" hidden="false" customHeight="true" outlineLevel="0" collapsed="false">
      <c r="A207" s="12" t="str">
        <f aca="false">IF(품목마스터!$A206="","",품목마스터!$A206)</f>
        <v/>
      </c>
      <c r="B207" s="12" t="str">
        <f aca="false">IF($A207="","",품목마스터!$B206)</f>
        <v/>
      </c>
      <c r="C207" s="12" t="str">
        <f aca="false">IF($A207="","",품목마스터!$E206)</f>
        <v/>
      </c>
      <c r="D207" s="12" t="str">
        <f aca="false">IF($A207="","",품목마스터!$D206)</f>
        <v/>
      </c>
      <c r="E207" s="13" t="str">
        <f aca="false">IF($A207="","",IF(품목마스터!$F206="",0,품목마스터!$F206))</f>
        <v/>
      </c>
      <c r="F207" s="13" t="str">
        <f aca="false">IF($A207="","",SUMIFS(입출고내역!$G$3:$G$1002,입출고내역!$C$3:$C$1002,$A207,입출고내역!$B$3:$B$1002,"입고"))</f>
        <v/>
      </c>
      <c r="G207" s="13" t="str">
        <f aca="false">IF($A207="","",SUMIFS(입출고내역!$G$3:$G$1002,입출고내역!$C$3:$C$1002,$A207,입출고내역!$B$3:$B$1002,"출고"))</f>
        <v/>
      </c>
      <c r="H207" s="13" t="str">
        <f aca="false">IF($A207="","",$E207+SUMIFS(입출고내역!$L$3:$L$1002,입출고내역!$C$3:$C$1002,$A207))</f>
        <v/>
      </c>
      <c r="I207" s="13" t="str">
        <f aca="false">IF($A207="","",IF(품목마스터!$G206="",0,품목마스터!$G206))</f>
        <v/>
      </c>
      <c r="J207" s="20" t="str">
        <f aca="false">IF($A207="","",IF($I207=0,"기준없음",TEXT($H207/$I207,"0%")&amp;"  "&amp;REPT("■",MIN(10,ROUND($H207/$I207*10,0)))))</f>
        <v/>
      </c>
    </row>
    <row r="208" customFormat="false" ht="15" hidden="false" customHeight="true" outlineLevel="0" collapsed="false">
      <c r="A208" s="12" t="str">
        <f aca="false">IF(품목마스터!$A207="","",품목마스터!$A207)</f>
        <v/>
      </c>
      <c r="B208" s="12" t="str">
        <f aca="false">IF($A208="","",품목마스터!$B207)</f>
        <v/>
      </c>
      <c r="C208" s="12" t="str">
        <f aca="false">IF($A208="","",품목마스터!$E207)</f>
        <v/>
      </c>
      <c r="D208" s="12" t="str">
        <f aca="false">IF($A208="","",품목마스터!$D207)</f>
        <v/>
      </c>
      <c r="E208" s="13" t="str">
        <f aca="false">IF($A208="","",IF(품목마스터!$F207="",0,품목마스터!$F207))</f>
        <v/>
      </c>
      <c r="F208" s="13" t="str">
        <f aca="false">IF($A208="","",SUMIFS(입출고내역!$G$3:$G$1002,입출고내역!$C$3:$C$1002,$A208,입출고내역!$B$3:$B$1002,"입고"))</f>
        <v/>
      </c>
      <c r="G208" s="13" t="str">
        <f aca="false">IF($A208="","",SUMIFS(입출고내역!$G$3:$G$1002,입출고내역!$C$3:$C$1002,$A208,입출고내역!$B$3:$B$1002,"출고"))</f>
        <v/>
      </c>
      <c r="H208" s="13" t="str">
        <f aca="false">IF($A208="","",$E208+SUMIFS(입출고내역!$L$3:$L$1002,입출고내역!$C$3:$C$1002,$A208))</f>
        <v/>
      </c>
      <c r="I208" s="13" t="str">
        <f aca="false">IF($A208="","",IF(품목마스터!$G207="",0,품목마스터!$G207))</f>
        <v/>
      </c>
      <c r="J208" s="20" t="str">
        <f aca="false">IF($A208="","",IF($I208=0,"기준없음",TEXT($H208/$I208,"0%")&amp;"  "&amp;REPT("■",MIN(10,ROUND($H208/$I208*10,0)))))</f>
        <v/>
      </c>
    </row>
    <row r="209" customFormat="false" ht="15" hidden="false" customHeight="true" outlineLevel="0" collapsed="false">
      <c r="A209" s="12" t="str">
        <f aca="false">IF(품목마스터!$A208="","",품목마스터!$A208)</f>
        <v/>
      </c>
      <c r="B209" s="12" t="str">
        <f aca="false">IF($A209="","",품목마스터!$B208)</f>
        <v/>
      </c>
      <c r="C209" s="12" t="str">
        <f aca="false">IF($A209="","",품목마스터!$E208)</f>
        <v/>
      </c>
      <c r="D209" s="12" t="str">
        <f aca="false">IF($A209="","",품목마스터!$D208)</f>
        <v/>
      </c>
      <c r="E209" s="13" t="str">
        <f aca="false">IF($A209="","",IF(품목마스터!$F208="",0,품목마스터!$F208))</f>
        <v/>
      </c>
      <c r="F209" s="13" t="str">
        <f aca="false">IF($A209="","",SUMIFS(입출고내역!$G$3:$G$1002,입출고내역!$C$3:$C$1002,$A209,입출고내역!$B$3:$B$1002,"입고"))</f>
        <v/>
      </c>
      <c r="G209" s="13" t="str">
        <f aca="false">IF($A209="","",SUMIFS(입출고내역!$G$3:$G$1002,입출고내역!$C$3:$C$1002,$A209,입출고내역!$B$3:$B$1002,"출고"))</f>
        <v/>
      </c>
      <c r="H209" s="13" t="str">
        <f aca="false">IF($A209="","",$E209+SUMIFS(입출고내역!$L$3:$L$1002,입출고내역!$C$3:$C$1002,$A209))</f>
        <v/>
      </c>
      <c r="I209" s="13" t="str">
        <f aca="false">IF($A209="","",IF(품목마스터!$G208="",0,품목마스터!$G208))</f>
        <v/>
      </c>
      <c r="J209" s="20" t="str">
        <f aca="false">IF($A209="","",IF($I209=0,"기준없음",TEXT($H209/$I209,"0%")&amp;"  "&amp;REPT("■",MIN(10,ROUND($H209/$I209*10,0)))))</f>
        <v/>
      </c>
    </row>
    <row r="210" customFormat="false" ht="15" hidden="false" customHeight="true" outlineLevel="0" collapsed="false">
      <c r="A210" s="12" t="str">
        <f aca="false">IF(품목마스터!$A209="","",품목마스터!$A209)</f>
        <v/>
      </c>
      <c r="B210" s="12" t="str">
        <f aca="false">IF($A210="","",품목마스터!$B209)</f>
        <v/>
      </c>
      <c r="C210" s="12" t="str">
        <f aca="false">IF($A210="","",품목마스터!$E209)</f>
        <v/>
      </c>
      <c r="D210" s="12" t="str">
        <f aca="false">IF($A210="","",품목마스터!$D209)</f>
        <v/>
      </c>
      <c r="E210" s="13" t="str">
        <f aca="false">IF($A210="","",IF(품목마스터!$F209="",0,품목마스터!$F209))</f>
        <v/>
      </c>
      <c r="F210" s="13" t="str">
        <f aca="false">IF($A210="","",SUMIFS(입출고내역!$G$3:$G$1002,입출고내역!$C$3:$C$1002,$A210,입출고내역!$B$3:$B$1002,"입고"))</f>
        <v/>
      </c>
      <c r="G210" s="13" t="str">
        <f aca="false">IF($A210="","",SUMIFS(입출고내역!$G$3:$G$1002,입출고내역!$C$3:$C$1002,$A210,입출고내역!$B$3:$B$1002,"출고"))</f>
        <v/>
      </c>
      <c r="H210" s="13" t="str">
        <f aca="false">IF($A210="","",$E210+SUMIFS(입출고내역!$L$3:$L$1002,입출고내역!$C$3:$C$1002,$A210))</f>
        <v/>
      </c>
      <c r="I210" s="13" t="str">
        <f aca="false">IF($A210="","",IF(품목마스터!$G209="",0,품목마스터!$G209))</f>
        <v/>
      </c>
      <c r="J210" s="20" t="str">
        <f aca="false">IF($A210="","",IF($I210=0,"기준없음",TEXT($H210/$I210,"0%")&amp;"  "&amp;REPT("■",MIN(10,ROUND($H210/$I210*10,0)))))</f>
        <v/>
      </c>
    </row>
    <row r="211" customFormat="false" ht="15" hidden="false" customHeight="true" outlineLevel="0" collapsed="false">
      <c r="A211" s="12" t="str">
        <f aca="false">IF(품목마스터!$A210="","",품목마스터!$A210)</f>
        <v/>
      </c>
      <c r="B211" s="12" t="str">
        <f aca="false">IF($A211="","",품목마스터!$B210)</f>
        <v/>
      </c>
      <c r="C211" s="12" t="str">
        <f aca="false">IF($A211="","",품목마스터!$E210)</f>
        <v/>
      </c>
      <c r="D211" s="12" t="str">
        <f aca="false">IF($A211="","",품목마스터!$D210)</f>
        <v/>
      </c>
      <c r="E211" s="13" t="str">
        <f aca="false">IF($A211="","",IF(품목마스터!$F210="",0,품목마스터!$F210))</f>
        <v/>
      </c>
      <c r="F211" s="13" t="str">
        <f aca="false">IF($A211="","",SUMIFS(입출고내역!$G$3:$G$1002,입출고내역!$C$3:$C$1002,$A211,입출고내역!$B$3:$B$1002,"입고"))</f>
        <v/>
      </c>
      <c r="G211" s="13" t="str">
        <f aca="false">IF($A211="","",SUMIFS(입출고내역!$G$3:$G$1002,입출고내역!$C$3:$C$1002,$A211,입출고내역!$B$3:$B$1002,"출고"))</f>
        <v/>
      </c>
      <c r="H211" s="13" t="str">
        <f aca="false">IF($A211="","",$E211+SUMIFS(입출고내역!$L$3:$L$1002,입출고내역!$C$3:$C$1002,$A211))</f>
        <v/>
      </c>
      <c r="I211" s="13" t="str">
        <f aca="false">IF($A211="","",IF(품목마스터!$G210="",0,품목마스터!$G210))</f>
        <v/>
      </c>
      <c r="J211" s="20" t="str">
        <f aca="false">IF($A211="","",IF($I211=0,"기준없음",TEXT($H211/$I211,"0%")&amp;"  "&amp;REPT("■",MIN(10,ROUND($H211/$I211*10,0)))))</f>
        <v/>
      </c>
    </row>
    <row r="212" customFormat="false" ht="15" hidden="false" customHeight="true" outlineLevel="0" collapsed="false">
      <c r="A212" s="12" t="str">
        <f aca="false">IF(품목마스터!$A211="","",품목마스터!$A211)</f>
        <v/>
      </c>
      <c r="B212" s="12" t="str">
        <f aca="false">IF($A212="","",품목마스터!$B211)</f>
        <v/>
      </c>
      <c r="C212" s="12" t="str">
        <f aca="false">IF($A212="","",품목마스터!$E211)</f>
        <v/>
      </c>
      <c r="D212" s="12" t="str">
        <f aca="false">IF($A212="","",품목마스터!$D211)</f>
        <v/>
      </c>
      <c r="E212" s="13" t="str">
        <f aca="false">IF($A212="","",IF(품목마스터!$F211="",0,품목마스터!$F211))</f>
        <v/>
      </c>
      <c r="F212" s="13" t="str">
        <f aca="false">IF($A212="","",SUMIFS(입출고내역!$G$3:$G$1002,입출고내역!$C$3:$C$1002,$A212,입출고내역!$B$3:$B$1002,"입고"))</f>
        <v/>
      </c>
      <c r="G212" s="13" t="str">
        <f aca="false">IF($A212="","",SUMIFS(입출고내역!$G$3:$G$1002,입출고내역!$C$3:$C$1002,$A212,입출고내역!$B$3:$B$1002,"출고"))</f>
        <v/>
      </c>
      <c r="H212" s="13" t="str">
        <f aca="false">IF($A212="","",$E212+SUMIFS(입출고내역!$L$3:$L$1002,입출고내역!$C$3:$C$1002,$A212))</f>
        <v/>
      </c>
      <c r="I212" s="13" t="str">
        <f aca="false">IF($A212="","",IF(품목마스터!$G211="",0,품목마스터!$G211))</f>
        <v/>
      </c>
      <c r="J212" s="20" t="str">
        <f aca="false">IF($A212="","",IF($I212=0,"기준없음",TEXT($H212/$I212,"0%")&amp;"  "&amp;REPT("■",MIN(10,ROUND($H212/$I212*10,0)))))</f>
        <v/>
      </c>
    </row>
    <row r="213" customFormat="false" ht="15" hidden="false" customHeight="true" outlineLevel="0" collapsed="false">
      <c r="A213" s="12" t="str">
        <f aca="false">IF(품목마스터!$A212="","",품목마스터!$A212)</f>
        <v/>
      </c>
      <c r="B213" s="12" t="str">
        <f aca="false">IF($A213="","",품목마스터!$B212)</f>
        <v/>
      </c>
      <c r="C213" s="12" t="str">
        <f aca="false">IF($A213="","",품목마스터!$E212)</f>
        <v/>
      </c>
      <c r="D213" s="12" t="str">
        <f aca="false">IF($A213="","",품목마스터!$D212)</f>
        <v/>
      </c>
      <c r="E213" s="13" t="str">
        <f aca="false">IF($A213="","",IF(품목마스터!$F212="",0,품목마스터!$F212))</f>
        <v/>
      </c>
      <c r="F213" s="13" t="str">
        <f aca="false">IF($A213="","",SUMIFS(입출고내역!$G$3:$G$1002,입출고내역!$C$3:$C$1002,$A213,입출고내역!$B$3:$B$1002,"입고"))</f>
        <v/>
      </c>
      <c r="G213" s="13" t="str">
        <f aca="false">IF($A213="","",SUMIFS(입출고내역!$G$3:$G$1002,입출고내역!$C$3:$C$1002,$A213,입출고내역!$B$3:$B$1002,"출고"))</f>
        <v/>
      </c>
      <c r="H213" s="13" t="str">
        <f aca="false">IF($A213="","",$E213+SUMIFS(입출고내역!$L$3:$L$1002,입출고내역!$C$3:$C$1002,$A213))</f>
        <v/>
      </c>
      <c r="I213" s="13" t="str">
        <f aca="false">IF($A213="","",IF(품목마스터!$G212="",0,품목마스터!$G212))</f>
        <v/>
      </c>
      <c r="J213" s="20" t="str">
        <f aca="false">IF($A213="","",IF($I213=0,"기준없음",TEXT($H213/$I213,"0%")&amp;"  "&amp;REPT("■",MIN(10,ROUND($H213/$I213*10,0)))))</f>
        <v/>
      </c>
    </row>
    <row r="214" customFormat="false" ht="15" hidden="false" customHeight="true" outlineLevel="0" collapsed="false">
      <c r="A214" s="12" t="str">
        <f aca="false">IF(품목마스터!$A213="","",품목마스터!$A213)</f>
        <v/>
      </c>
      <c r="B214" s="12" t="str">
        <f aca="false">IF($A214="","",품목마스터!$B213)</f>
        <v/>
      </c>
      <c r="C214" s="12" t="str">
        <f aca="false">IF($A214="","",품목마스터!$E213)</f>
        <v/>
      </c>
      <c r="D214" s="12" t="str">
        <f aca="false">IF($A214="","",품목마스터!$D213)</f>
        <v/>
      </c>
      <c r="E214" s="13" t="str">
        <f aca="false">IF($A214="","",IF(품목마스터!$F213="",0,품목마스터!$F213))</f>
        <v/>
      </c>
      <c r="F214" s="13" t="str">
        <f aca="false">IF($A214="","",SUMIFS(입출고내역!$G$3:$G$1002,입출고내역!$C$3:$C$1002,$A214,입출고내역!$B$3:$B$1002,"입고"))</f>
        <v/>
      </c>
      <c r="G214" s="13" t="str">
        <f aca="false">IF($A214="","",SUMIFS(입출고내역!$G$3:$G$1002,입출고내역!$C$3:$C$1002,$A214,입출고내역!$B$3:$B$1002,"출고"))</f>
        <v/>
      </c>
      <c r="H214" s="13" t="str">
        <f aca="false">IF($A214="","",$E214+SUMIFS(입출고내역!$L$3:$L$1002,입출고내역!$C$3:$C$1002,$A214))</f>
        <v/>
      </c>
      <c r="I214" s="13" t="str">
        <f aca="false">IF($A214="","",IF(품목마스터!$G213="",0,품목마스터!$G213))</f>
        <v/>
      </c>
      <c r="J214" s="20" t="str">
        <f aca="false">IF($A214="","",IF($I214=0,"기준없음",TEXT($H214/$I214,"0%")&amp;"  "&amp;REPT("■",MIN(10,ROUND($H214/$I214*10,0)))))</f>
        <v/>
      </c>
    </row>
    <row r="215" customFormat="false" ht="15" hidden="false" customHeight="true" outlineLevel="0" collapsed="false">
      <c r="A215" s="12" t="str">
        <f aca="false">IF(품목마스터!$A214="","",품목마스터!$A214)</f>
        <v/>
      </c>
      <c r="B215" s="12" t="str">
        <f aca="false">IF($A215="","",품목마스터!$B214)</f>
        <v/>
      </c>
      <c r="C215" s="12" t="str">
        <f aca="false">IF($A215="","",품목마스터!$E214)</f>
        <v/>
      </c>
      <c r="D215" s="12" t="str">
        <f aca="false">IF($A215="","",품목마스터!$D214)</f>
        <v/>
      </c>
      <c r="E215" s="13" t="str">
        <f aca="false">IF($A215="","",IF(품목마스터!$F214="",0,품목마스터!$F214))</f>
        <v/>
      </c>
      <c r="F215" s="13" t="str">
        <f aca="false">IF($A215="","",SUMIFS(입출고내역!$G$3:$G$1002,입출고내역!$C$3:$C$1002,$A215,입출고내역!$B$3:$B$1002,"입고"))</f>
        <v/>
      </c>
      <c r="G215" s="13" t="str">
        <f aca="false">IF($A215="","",SUMIFS(입출고내역!$G$3:$G$1002,입출고내역!$C$3:$C$1002,$A215,입출고내역!$B$3:$B$1002,"출고"))</f>
        <v/>
      </c>
      <c r="H215" s="13" t="str">
        <f aca="false">IF($A215="","",$E215+SUMIFS(입출고내역!$L$3:$L$1002,입출고내역!$C$3:$C$1002,$A215))</f>
        <v/>
      </c>
      <c r="I215" s="13" t="str">
        <f aca="false">IF($A215="","",IF(품목마스터!$G214="",0,품목마스터!$G214))</f>
        <v/>
      </c>
      <c r="J215" s="20" t="str">
        <f aca="false">IF($A215="","",IF($I215=0,"기준없음",TEXT($H215/$I215,"0%")&amp;"  "&amp;REPT("■",MIN(10,ROUND($H215/$I215*10,0)))))</f>
        <v/>
      </c>
    </row>
    <row r="216" customFormat="false" ht="15" hidden="false" customHeight="true" outlineLevel="0" collapsed="false">
      <c r="A216" s="12" t="str">
        <f aca="false">IF(품목마스터!$A215="","",품목마스터!$A215)</f>
        <v/>
      </c>
      <c r="B216" s="12" t="str">
        <f aca="false">IF($A216="","",품목마스터!$B215)</f>
        <v/>
      </c>
      <c r="C216" s="12" t="str">
        <f aca="false">IF($A216="","",품목마스터!$E215)</f>
        <v/>
      </c>
      <c r="D216" s="12" t="str">
        <f aca="false">IF($A216="","",품목마스터!$D215)</f>
        <v/>
      </c>
      <c r="E216" s="13" t="str">
        <f aca="false">IF($A216="","",IF(품목마스터!$F215="",0,품목마스터!$F215))</f>
        <v/>
      </c>
      <c r="F216" s="13" t="str">
        <f aca="false">IF($A216="","",SUMIFS(입출고내역!$G$3:$G$1002,입출고내역!$C$3:$C$1002,$A216,입출고내역!$B$3:$B$1002,"입고"))</f>
        <v/>
      </c>
      <c r="G216" s="13" t="str">
        <f aca="false">IF($A216="","",SUMIFS(입출고내역!$G$3:$G$1002,입출고내역!$C$3:$C$1002,$A216,입출고내역!$B$3:$B$1002,"출고"))</f>
        <v/>
      </c>
      <c r="H216" s="13" t="str">
        <f aca="false">IF($A216="","",$E216+SUMIFS(입출고내역!$L$3:$L$1002,입출고내역!$C$3:$C$1002,$A216))</f>
        <v/>
      </c>
      <c r="I216" s="13" t="str">
        <f aca="false">IF($A216="","",IF(품목마스터!$G215="",0,품목마스터!$G215))</f>
        <v/>
      </c>
      <c r="J216" s="20" t="str">
        <f aca="false">IF($A216="","",IF($I216=0,"기준없음",TEXT($H216/$I216,"0%")&amp;"  "&amp;REPT("■",MIN(10,ROUND($H216/$I216*10,0)))))</f>
        <v/>
      </c>
    </row>
    <row r="217" customFormat="false" ht="15" hidden="false" customHeight="true" outlineLevel="0" collapsed="false">
      <c r="A217" s="12" t="str">
        <f aca="false">IF(품목마스터!$A216="","",품목마스터!$A216)</f>
        <v/>
      </c>
      <c r="B217" s="12" t="str">
        <f aca="false">IF($A217="","",품목마스터!$B216)</f>
        <v/>
      </c>
      <c r="C217" s="12" t="str">
        <f aca="false">IF($A217="","",품목마스터!$E216)</f>
        <v/>
      </c>
      <c r="D217" s="12" t="str">
        <f aca="false">IF($A217="","",품목마스터!$D216)</f>
        <v/>
      </c>
      <c r="E217" s="13" t="str">
        <f aca="false">IF($A217="","",IF(품목마스터!$F216="",0,품목마스터!$F216))</f>
        <v/>
      </c>
      <c r="F217" s="13" t="str">
        <f aca="false">IF($A217="","",SUMIFS(입출고내역!$G$3:$G$1002,입출고내역!$C$3:$C$1002,$A217,입출고내역!$B$3:$B$1002,"입고"))</f>
        <v/>
      </c>
      <c r="G217" s="13" t="str">
        <f aca="false">IF($A217="","",SUMIFS(입출고내역!$G$3:$G$1002,입출고내역!$C$3:$C$1002,$A217,입출고내역!$B$3:$B$1002,"출고"))</f>
        <v/>
      </c>
      <c r="H217" s="13" t="str">
        <f aca="false">IF($A217="","",$E217+SUMIFS(입출고내역!$L$3:$L$1002,입출고내역!$C$3:$C$1002,$A217))</f>
        <v/>
      </c>
      <c r="I217" s="13" t="str">
        <f aca="false">IF($A217="","",IF(품목마스터!$G216="",0,품목마스터!$G216))</f>
        <v/>
      </c>
      <c r="J217" s="20" t="str">
        <f aca="false">IF($A217="","",IF($I217=0,"기준없음",TEXT($H217/$I217,"0%")&amp;"  "&amp;REPT("■",MIN(10,ROUND($H217/$I217*10,0)))))</f>
        <v/>
      </c>
    </row>
    <row r="218" customFormat="false" ht="15" hidden="false" customHeight="true" outlineLevel="0" collapsed="false">
      <c r="A218" s="12" t="str">
        <f aca="false">IF(품목마스터!$A217="","",품목마스터!$A217)</f>
        <v/>
      </c>
      <c r="B218" s="12" t="str">
        <f aca="false">IF($A218="","",품목마스터!$B217)</f>
        <v/>
      </c>
      <c r="C218" s="12" t="str">
        <f aca="false">IF($A218="","",품목마스터!$E217)</f>
        <v/>
      </c>
      <c r="D218" s="12" t="str">
        <f aca="false">IF($A218="","",품목마스터!$D217)</f>
        <v/>
      </c>
      <c r="E218" s="13" t="str">
        <f aca="false">IF($A218="","",IF(품목마스터!$F217="",0,품목마스터!$F217))</f>
        <v/>
      </c>
      <c r="F218" s="13" t="str">
        <f aca="false">IF($A218="","",SUMIFS(입출고내역!$G$3:$G$1002,입출고내역!$C$3:$C$1002,$A218,입출고내역!$B$3:$B$1002,"입고"))</f>
        <v/>
      </c>
      <c r="G218" s="13" t="str">
        <f aca="false">IF($A218="","",SUMIFS(입출고내역!$G$3:$G$1002,입출고내역!$C$3:$C$1002,$A218,입출고내역!$B$3:$B$1002,"출고"))</f>
        <v/>
      </c>
      <c r="H218" s="13" t="str">
        <f aca="false">IF($A218="","",$E218+SUMIFS(입출고내역!$L$3:$L$1002,입출고내역!$C$3:$C$1002,$A218))</f>
        <v/>
      </c>
      <c r="I218" s="13" t="str">
        <f aca="false">IF($A218="","",IF(품목마스터!$G217="",0,품목마스터!$G217))</f>
        <v/>
      </c>
      <c r="J218" s="20" t="str">
        <f aca="false">IF($A218="","",IF($I218=0,"기준없음",TEXT($H218/$I218,"0%")&amp;"  "&amp;REPT("■",MIN(10,ROUND($H218/$I218*10,0)))))</f>
        <v/>
      </c>
    </row>
    <row r="219" customFormat="false" ht="15" hidden="false" customHeight="true" outlineLevel="0" collapsed="false">
      <c r="A219" s="12" t="str">
        <f aca="false">IF(품목마스터!$A218="","",품목마스터!$A218)</f>
        <v/>
      </c>
      <c r="B219" s="12" t="str">
        <f aca="false">IF($A219="","",품목마스터!$B218)</f>
        <v/>
      </c>
      <c r="C219" s="12" t="str">
        <f aca="false">IF($A219="","",품목마스터!$E218)</f>
        <v/>
      </c>
      <c r="D219" s="12" t="str">
        <f aca="false">IF($A219="","",품목마스터!$D218)</f>
        <v/>
      </c>
      <c r="E219" s="13" t="str">
        <f aca="false">IF($A219="","",IF(품목마스터!$F218="",0,품목마스터!$F218))</f>
        <v/>
      </c>
      <c r="F219" s="13" t="str">
        <f aca="false">IF($A219="","",SUMIFS(입출고내역!$G$3:$G$1002,입출고내역!$C$3:$C$1002,$A219,입출고내역!$B$3:$B$1002,"입고"))</f>
        <v/>
      </c>
      <c r="G219" s="13" t="str">
        <f aca="false">IF($A219="","",SUMIFS(입출고내역!$G$3:$G$1002,입출고내역!$C$3:$C$1002,$A219,입출고내역!$B$3:$B$1002,"출고"))</f>
        <v/>
      </c>
      <c r="H219" s="13" t="str">
        <f aca="false">IF($A219="","",$E219+SUMIFS(입출고내역!$L$3:$L$1002,입출고내역!$C$3:$C$1002,$A219))</f>
        <v/>
      </c>
      <c r="I219" s="13" t="str">
        <f aca="false">IF($A219="","",IF(품목마스터!$G218="",0,품목마스터!$G218))</f>
        <v/>
      </c>
      <c r="J219" s="20" t="str">
        <f aca="false">IF($A219="","",IF($I219=0,"기준없음",TEXT($H219/$I219,"0%")&amp;"  "&amp;REPT("■",MIN(10,ROUND($H219/$I219*10,0)))))</f>
        <v/>
      </c>
    </row>
    <row r="220" customFormat="false" ht="15" hidden="false" customHeight="true" outlineLevel="0" collapsed="false">
      <c r="A220" s="12" t="str">
        <f aca="false">IF(품목마스터!$A219="","",품목마스터!$A219)</f>
        <v/>
      </c>
      <c r="B220" s="12" t="str">
        <f aca="false">IF($A220="","",품목마스터!$B219)</f>
        <v/>
      </c>
      <c r="C220" s="12" t="str">
        <f aca="false">IF($A220="","",품목마스터!$E219)</f>
        <v/>
      </c>
      <c r="D220" s="12" t="str">
        <f aca="false">IF($A220="","",품목마스터!$D219)</f>
        <v/>
      </c>
      <c r="E220" s="13" t="str">
        <f aca="false">IF($A220="","",IF(품목마스터!$F219="",0,품목마스터!$F219))</f>
        <v/>
      </c>
      <c r="F220" s="13" t="str">
        <f aca="false">IF($A220="","",SUMIFS(입출고내역!$G$3:$G$1002,입출고내역!$C$3:$C$1002,$A220,입출고내역!$B$3:$B$1002,"입고"))</f>
        <v/>
      </c>
      <c r="G220" s="13" t="str">
        <f aca="false">IF($A220="","",SUMIFS(입출고내역!$G$3:$G$1002,입출고내역!$C$3:$C$1002,$A220,입출고내역!$B$3:$B$1002,"출고"))</f>
        <v/>
      </c>
      <c r="H220" s="13" t="str">
        <f aca="false">IF($A220="","",$E220+SUMIFS(입출고내역!$L$3:$L$1002,입출고내역!$C$3:$C$1002,$A220))</f>
        <v/>
      </c>
      <c r="I220" s="13" t="str">
        <f aca="false">IF($A220="","",IF(품목마스터!$G219="",0,품목마스터!$G219))</f>
        <v/>
      </c>
      <c r="J220" s="20" t="str">
        <f aca="false">IF($A220="","",IF($I220=0,"기준없음",TEXT($H220/$I220,"0%")&amp;"  "&amp;REPT("■",MIN(10,ROUND($H220/$I220*10,0)))))</f>
        <v/>
      </c>
    </row>
    <row r="221" customFormat="false" ht="15" hidden="false" customHeight="true" outlineLevel="0" collapsed="false">
      <c r="A221" s="12" t="str">
        <f aca="false">IF(품목마스터!$A220="","",품목마스터!$A220)</f>
        <v/>
      </c>
      <c r="B221" s="12" t="str">
        <f aca="false">IF($A221="","",품목마스터!$B220)</f>
        <v/>
      </c>
      <c r="C221" s="12" t="str">
        <f aca="false">IF($A221="","",품목마스터!$E220)</f>
        <v/>
      </c>
      <c r="D221" s="12" t="str">
        <f aca="false">IF($A221="","",품목마스터!$D220)</f>
        <v/>
      </c>
      <c r="E221" s="13" t="str">
        <f aca="false">IF($A221="","",IF(품목마스터!$F220="",0,품목마스터!$F220))</f>
        <v/>
      </c>
      <c r="F221" s="13" t="str">
        <f aca="false">IF($A221="","",SUMIFS(입출고내역!$G$3:$G$1002,입출고내역!$C$3:$C$1002,$A221,입출고내역!$B$3:$B$1002,"입고"))</f>
        <v/>
      </c>
      <c r="G221" s="13" t="str">
        <f aca="false">IF($A221="","",SUMIFS(입출고내역!$G$3:$G$1002,입출고내역!$C$3:$C$1002,$A221,입출고내역!$B$3:$B$1002,"출고"))</f>
        <v/>
      </c>
      <c r="H221" s="13" t="str">
        <f aca="false">IF($A221="","",$E221+SUMIFS(입출고내역!$L$3:$L$1002,입출고내역!$C$3:$C$1002,$A221))</f>
        <v/>
      </c>
      <c r="I221" s="13" t="str">
        <f aca="false">IF($A221="","",IF(품목마스터!$G220="",0,품목마스터!$G220))</f>
        <v/>
      </c>
      <c r="J221" s="20" t="str">
        <f aca="false">IF($A221="","",IF($I221=0,"기준없음",TEXT($H221/$I221,"0%")&amp;"  "&amp;REPT("■",MIN(10,ROUND($H221/$I221*10,0)))))</f>
        <v/>
      </c>
    </row>
    <row r="222" customFormat="false" ht="15" hidden="false" customHeight="true" outlineLevel="0" collapsed="false">
      <c r="A222" s="12" t="str">
        <f aca="false">IF(품목마스터!$A221="","",품목마스터!$A221)</f>
        <v/>
      </c>
      <c r="B222" s="12" t="str">
        <f aca="false">IF($A222="","",품목마스터!$B221)</f>
        <v/>
      </c>
      <c r="C222" s="12" t="str">
        <f aca="false">IF($A222="","",품목마스터!$E221)</f>
        <v/>
      </c>
      <c r="D222" s="12" t="str">
        <f aca="false">IF($A222="","",품목마스터!$D221)</f>
        <v/>
      </c>
      <c r="E222" s="13" t="str">
        <f aca="false">IF($A222="","",IF(품목마스터!$F221="",0,품목마스터!$F221))</f>
        <v/>
      </c>
      <c r="F222" s="13" t="str">
        <f aca="false">IF($A222="","",SUMIFS(입출고내역!$G$3:$G$1002,입출고내역!$C$3:$C$1002,$A222,입출고내역!$B$3:$B$1002,"입고"))</f>
        <v/>
      </c>
      <c r="G222" s="13" t="str">
        <f aca="false">IF($A222="","",SUMIFS(입출고내역!$G$3:$G$1002,입출고내역!$C$3:$C$1002,$A222,입출고내역!$B$3:$B$1002,"출고"))</f>
        <v/>
      </c>
      <c r="H222" s="13" t="str">
        <f aca="false">IF($A222="","",$E222+SUMIFS(입출고내역!$L$3:$L$1002,입출고내역!$C$3:$C$1002,$A222))</f>
        <v/>
      </c>
      <c r="I222" s="13" t="str">
        <f aca="false">IF($A222="","",IF(품목마스터!$G221="",0,품목마스터!$G221))</f>
        <v/>
      </c>
      <c r="J222" s="20" t="str">
        <f aca="false">IF($A222="","",IF($I222=0,"기준없음",TEXT($H222/$I222,"0%")&amp;"  "&amp;REPT("■",MIN(10,ROUND($H222/$I222*10,0)))))</f>
        <v/>
      </c>
    </row>
    <row r="223" customFormat="false" ht="15" hidden="false" customHeight="true" outlineLevel="0" collapsed="false">
      <c r="A223" s="12" t="str">
        <f aca="false">IF(품목마스터!$A222="","",품목마스터!$A222)</f>
        <v/>
      </c>
      <c r="B223" s="12" t="str">
        <f aca="false">IF($A223="","",품목마스터!$B222)</f>
        <v/>
      </c>
      <c r="C223" s="12" t="str">
        <f aca="false">IF($A223="","",품목마스터!$E222)</f>
        <v/>
      </c>
      <c r="D223" s="12" t="str">
        <f aca="false">IF($A223="","",품목마스터!$D222)</f>
        <v/>
      </c>
      <c r="E223" s="13" t="str">
        <f aca="false">IF($A223="","",IF(품목마스터!$F222="",0,품목마스터!$F222))</f>
        <v/>
      </c>
      <c r="F223" s="13" t="str">
        <f aca="false">IF($A223="","",SUMIFS(입출고내역!$G$3:$G$1002,입출고내역!$C$3:$C$1002,$A223,입출고내역!$B$3:$B$1002,"입고"))</f>
        <v/>
      </c>
      <c r="G223" s="13" t="str">
        <f aca="false">IF($A223="","",SUMIFS(입출고내역!$G$3:$G$1002,입출고내역!$C$3:$C$1002,$A223,입출고내역!$B$3:$B$1002,"출고"))</f>
        <v/>
      </c>
      <c r="H223" s="13" t="str">
        <f aca="false">IF($A223="","",$E223+SUMIFS(입출고내역!$L$3:$L$1002,입출고내역!$C$3:$C$1002,$A223))</f>
        <v/>
      </c>
      <c r="I223" s="13" t="str">
        <f aca="false">IF($A223="","",IF(품목마스터!$G222="",0,품목마스터!$G222))</f>
        <v/>
      </c>
      <c r="J223" s="20" t="str">
        <f aca="false">IF($A223="","",IF($I223=0,"기준없음",TEXT($H223/$I223,"0%")&amp;"  "&amp;REPT("■",MIN(10,ROUND($H223/$I223*10,0)))))</f>
        <v/>
      </c>
    </row>
    <row r="224" customFormat="false" ht="15" hidden="false" customHeight="true" outlineLevel="0" collapsed="false">
      <c r="A224" s="12" t="str">
        <f aca="false">IF(품목마스터!$A223="","",품목마스터!$A223)</f>
        <v/>
      </c>
      <c r="B224" s="12" t="str">
        <f aca="false">IF($A224="","",품목마스터!$B223)</f>
        <v/>
      </c>
      <c r="C224" s="12" t="str">
        <f aca="false">IF($A224="","",품목마스터!$E223)</f>
        <v/>
      </c>
      <c r="D224" s="12" t="str">
        <f aca="false">IF($A224="","",품목마스터!$D223)</f>
        <v/>
      </c>
      <c r="E224" s="13" t="str">
        <f aca="false">IF($A224="","",IF(품목마스터!$F223="",0,품목마스터!$F223))</f>
        <v/>
      </c>
      <c r="F224" s="13" t="str">
        <f aca="false">IF($A224="","",SUMIFS(입출고내역!$G$3:$G$1002,입출고내역!$C$3:$C$1002,$A224,입출고내역!$B$3:$B$1002,"입고"))</f>
        <v/>
      </c>
      <c r="G224" s="13" t="str">
        <f aca="false">IF($A224="","",SUMIFS(입출고내역!$G$3:$G$1002,입출고내역!$C$3:$C$1002,$A224,입출고내역!$B$3:$B$1002,"출고"))</f>
        <v/>
      </c>
      <c r="H224" s="13" t="str">
        <f aca="false">IF($A224="","",$E224+SUMIFS(입출고내역!$L$3:$L$1002,입출고내역!$C$3:$C$1002,$A224))</f>
        <v/>
      </c>
      <c r="I224" s="13" t="str">
        <f aca="false">IF($A224="","",IF(품목마스터!$G223="",0,품목마스터!$G223))</f>
        <v/>
      </c>
      <c r="J224" s="20" t="str">
        <f aca="false">IF($A224="","",IF($I224=0,"기준없음",TEXT($H224/$I224,"0%")&amp;"  "&amp;REPT("■",MIN(10,ROUND($H224/$I224*10,0)))))</f>
        <v/>
      </c>
    </row>
    <row r="225" customFormat="false" ht="15" hidden="false" customHeight="true" outlineLevel="0" collapsed="false">
      <c r="A225" s="12" t="str">
        <f aca="false">IF(품목마스터!$A224="","",품목마스터!$A224)</f>
        <v/>
      </c>
      <c r="B225" s="12" t="str">
        <f aca="false">IF($A225="","",품목마스터!$B224)</f>
        <v/>
      </c>
      <c r="C225" s="12" t="str">
        <f aca="false">IF($A225="","",품목마스터!$E224)</f>
        <v/>
      </c>
      <c r="D225" s="12" t="str">
        <f aca="false">IF($A225="","",품목마스터!$D224)</f>
        <v/>
      </c>
      <c r="E225" s="13" t="str">
        <f aca="false">IF($A225="","",IF(품목마스터!$F224="",0,품목마스터!$F224))</f>
        <v/>
      </c>
      <c r="F225" s="13" t="str">
        <f aca="false">IF($A225="","",SUMIFS(입출고내역!$G$3:$G$1002,입출고내역!$C$3:$C$1002,$A225,입출고내역!$B$3:$B$1002,"입고"))</f>
        <v/>
      </c>
      <c r="G225" s="13" t="str">
        <f aca="false">IF($A225="","",SUMIFS(입출고내역!$G$3:$G$1002,입출고내역!$C$3:$C$1002,$A225,입출고내역!$B$3:$B$1002,"출고"))</f>
        <v/>
      </c>
      <c r="H225" s="13" t="str">
        <f aca="false">IF($A225="","",$E225+SUMIFS(입출고내역!$L$3:$L$1002,입출고내역!$C$3:$C$1002,$A225))</f>
        <v/>
      </c>
      <c r="I225" s="13" t="str">
        <f aca="false">IF($A225="","",IF(품목마스터!$G224="",0,품목마스터!$G224))</f>
        <v/>
      </c>
      <c r="J225" s="20" t="str">
        <f aca="false">IF($A225="","",IF($I225=0,"기준없음",TEXT($H225/$I225,"0%")&amp;"  "&amp;REPT("■",MIN(10,ROUND($H225/$I225*10,0)))))</f>
        <v/>
      </c>
    </row>
    <row r="226" customFormat="false" ht="15" hidden="false" customHeight="true" outlineLevel="0" collapsed="false">
      <c r="A226" s="12" t="str">
        <f aca="false">IF(품목마스터!$A225="","",품목마스터!$A225)</f>
        <v/>
      </c>
      <c r="B226" s="12" t="str">
        <f aca="false">IF($A226="","",품목마스터!$B225)</f>
        <v/>
      </c>
      <c r="C226" s="12" t="str">
        <f aca="false">IF($A226="","",품목마스터!$E225)</f>
        <v/>
      </c>
      <c r="D226" s="12" t="str">
        <f aca="false">IF($A226="","",품목마스터!$D225)</f>
        <v/>
      </c>
      <c r="E226" s="13" t="str">
        <f aca="false">IF($A226="","",IF(품목마스터!$F225="",0,품목마스터!$F225))</f>
        <v/>
      </c>
      <c r="F226" s="13" t="str">
        <f aca="false">IF($A226="","",SUMIFS(입출고내역!$G$3:$G$1002,입출고내역!$C$3:$C$1002,$A226,입출고내역!$B$3:$B$1002,"입고"))</f>
        <v/>
      </c>
      <c r="G226" s="13" t="str">
        <f aca="false">IF($A226="","",SUMIFS(입출고내역!$G$3:$G$1002,입출고내역!$C$3:$C$1002,$A226,입출고내역!$B$3:$B$1002,"출고"))</f>
        <v/>
      </c>
      <c r="H226" s="13" t="str">
        <f aca="false">IF($A226="","",$E226+SUMIFS(입출고내역!$L$3:$L$1002,입출고내역!$C$3:$C$1002,$A226))</f>
        <v/>
      </c>
      <c r="I226" s="13" t="str">
        <f aca="false">IF($A226="","",IF(품목마스터!$G225="",0,품목마스터!$G225))</f>
        <v/>
      </c>
      <c r="J226" s="20" t="str">
        <f aca="false">IF($A226="","",IF($I226=0,"기준없음",TEXT($H226/$I226,"0%")&amp;"  "&amp;REPT("■",MIN(10,ROUND($H226/$I226*10,0)))))</f>
        <v/>
      </c>
    </row>
    <row r="227" customFormat="false" ht="15" hidden="false" customHeight="true" outlineLevel="0" collapsed="false">
      <c r="A227" s="12" t="str">
        <f aca="false">IF(품목마스터!$A226="","",품목마스터!$A226)</f>
        <v/>
      </c>
      <c r="B227" s="12" t="str">
        <f aca="false">IF($A227="","",품목마스터!$B226)</f>
        <v/>
      </c>
      <c r="C227" s="12" t="str">
        <f aca="false">IF($A227="","",품목마스터!$E226)</f>
        <v/>
      </c>
      <c r="D227" s="12" t="str">
        <f aca="false">IF($A227="","",품목마스터!$D226)</f>
        <v/>
      </c>
      <c r="E227" s="13" t="str">
        <f aca="false">IF($A227="","",IF(품목마스터!$F226="",0,품목마스터!$F226))</f>
        <v/>
      </c>
      <c r="F227" s="13" t="str">
        <f aca="false">IF($A227="","",SUMIFS(입출고내역!$G$3:$G$1002,입출고내역!$C$3:$C$1002,$A227,입출고내역!$B$3:$B$1002,"입고"))</f>
        <v/>
      </c>
      <c r="G227" s="13" t="str">
        <f aca="false">IF($A227="","",SUMIFS(입출고내역!$G$3:$G$1002,입출고내역!$C$3:$C$1002,$A227,입출고내역!$B$3:$B$1002,"출고"))</f>
        <v/>
      </c>
      <c r="H227" s="13" t="str">
        <f aca="false">IF($A227="","",$E227+SUMIFS(입출고내역!$L$3:$L$1002,입출고내역!$C$3:$C$1002,$A227))</f>
        <v/>
      </c>
      <c r="I227" s="13" t="str">
        <f aca="false">IF($A227="","",IF(품목마스터!$G226="",0,품목마스터!$G226))</f>
        <v/>
      </c>
      <c r="J227" s="20" t="str">
        <f aca="false">IF($A227="","",IF($I227=0,"기준없음",TEXT($H227/$I227,"0%")&amp;"  "&amp;REPT("■",MIN(10,ROUND($H227/$I227*10,0)))))</f>
        <v/>
      </c>
    </row>
    <row r="228" customFormat="false" ht="15" hidden="false" customHeight="true" outlineLevel="0" collapsed="false">
      <c r="A228" s="12" t="str">
        <f aca="false">IF(품목마스터!$A227="","",품목마스터!$A227)</f>
        <v/>
      </c>
      <c r="B228" s="12" t="str">
        <f aca="false">IF($A228="","",품목마스터!$B227)</f>
        <v/>
      </c>
      <c r="C228" s="12" t="str">
        <f aca="false">IF($A228="","",품목마스터!$E227)</f>
        <v/>
      </c>
      <c r="D228" s="12" t="str">
        <f aca="false">IF($A228="","",품목마스터!$D227)</f>
        <v/>
      </c>
      <c r="E228" s="13" t="str">
        <f aca="false">IF($A228="","",IF(품목마스터!$F227="",0,품목마스터!$F227))</f>
        <v/>
      </c>
      <c r="F228" s="13" t="str">
        <f aca="false">IF($A228="","",SUMIFS(입출고내역!$G$3:$G$1002,입출고내역!$C$3:$C$1002,$A228,입출고내역!$B$3:$B$1002,"입고"))</f>
        <v/>
      </c>
      <c r="G228" s="13" t="str">
        <f aca="false">IF($A228="","",SUMIFS(입출고내역!$G$3:$G$1002,입출고내역!$C$3:$C$1002,$A228,입출고내역!$B$3:$B$1002,"출고"))</f>
        <v/>
      </c>
      <c r="H228" s="13" t="str">
        <f aca="false">IF($A228="","",$E228+SUMIFS(입출고내역!$L$3:$L$1002,입출고내역!$C$3:$C$1002,$A228))</f>
        <v/>
      </c>
      <c r="I228" s="13" t="str">
        <f aca="false">IF($A228="","",IF(품목마스터!$G227="",0,품목마스터!$G227))</f>
        <v/>
      </c>
      <c r="J228" s="20" t="str">
        <f aca="false">IF($A228="","",IF($I228=0,"기준없음",TEXT($H228/$I228,"0%")&amp;"  "&amp;REPT("■",MIN(10,ROUND($H228/$I228*10,0)))))</f>
        <v/>
      </c>
    </row>
    <row r="229" customFormat="false" ht="15" hidden="false" customHeight="true" outlineLevel="0" collapsed="false">
      <c r="A229" s="12" t="str">
        <f aca="false">IF(품목마스터!$A228="","",품목마스터!$A228)</f>
        <v/>
      </c>
      <c r="B229" s="12" t="str">
        <f aca="false">IF($A229="","",품목마스터!$B228)</f>
        <v/>
      </c>
      <c r="C229" s="12" t="str">
        <f aca="false">IF($A229="","",품목마스터!$E228)</f>
        <v/>
      </c>
      <c r="D229" s="12" t="str">
        <f aca="false">IF($A229="","",품목마스터!$D228)</f>
        <v/>
      </c>
      <c r="E229" s="13" t="str">
        <f aca="false">IF($A229="","",IF(품목마스터!$F228="",0,품목마스터!$F228))</f>
        <v/>
      </c>
      <c r="F229" s="13" t="str">
        <f aca="false">IF($A229="","",SUMIFS(입출고내역!$G$3:$G$1002,입출고내역!$C$3:$C$1002,$A229,입출고내역!$B$3:$B$1002,"입고"))</f>
        <v/>
      </c>
      <c r="G229" s="13" t="str">
        <f aca="false">IF($A229="","",SUMIFS(입출고내역!$G$3:$G$1002,입출고내역!$C$3:$C$1002,$A229,입출고내역!$B$3:$B$1002,"출고"))</f>
        <v/>
      </c>
      <c r="H229" s="13" t="str">
        <f aca="false">IF($A229="","",$E229+SUMIFS(입출고내역!$L$3:$L$1002,입출고내역!$C$3:$C$1002,$A229))</f>
        <v/>
      </c>
      <c r="I229" s="13" t="str">
        <f aca="false">IF($A229="","",IF(품목마스터!$G228="",0,품목마스터!$G228))</f>
        <v/>
      </c>
      <c r="J229" s="20" t="str">
        <f aca="false">IF($A229="","",IF($I229=0,"기준없음",TEXT($H229/$I229,"0%")&amp;"  "&amp;REPT("■",MIN(10,ROUND($H229/$I229*10,0)))))</f>
        <v/>
      </c>
    </row>
    <row r="230" customFormat="false" ht="15" hidden="false" customHeight="true" outlineLevel="0" collapsed="false">
      <c r="A230" s="12" t="str">
        <f aca="false">IF(품목마스터!$A229="","",품목마스터!$A229)</f>
        <v/>
      </c>
      <c r="B230" s="12" t="str">
        <f aca="false">IF($A230="","",품목마스터!$B229)</f>
        <v/>
      </c>
      <c r="C230" s="12" t="str">
        <f aca="false">IF($A230="","",품목마스터!$E229)</f>
        <v/>
      </c>
      <c r="D230" s="12" t="str">
        <f aca="false">IF($A230="","",품목마스터!$D229)</f>
        <v/>
      </c>
      <c r="E230" s="13" t="str">
        <f aca="false">IF($A230="","",IF(품목마스터!$F229="",0,품목마스터!$F229))</f>
        <v/>
      </c>
      <c r="F230" s="13" t="str">
        <f aca="false">IF($A230="","",SUMIFS(입출고내역!$G$3:$G$1002,입출고내역!$C$3:$C$1002,$A230,입출고내역!$B$3:$B$1002,"입고"))</f>
        <v/>
      </c>
      <c r="G230" s="13" t="str">
        <f aca="false">IF($A230="","",SUMIFS(입출고내역!$G$3:$G$1002,입출고내역!$C$3:$C$1002,$A230,입출고내역!$B$3:$B$1002,"출고"))</f>
        <v/>
      </c>
      <c r="H230" s="13" t="str">
        <f aca="false">IF($A230="","",$E230+SUMIFS(입출고내역!$L$3:$L$1002,입출고내역!$C$3:$C$1002,$A230))</f>
        <v/>
      </c>
      <c r="I230" s="13" t="str">
        <f aca="false">IF($A230="","",IF(품목마스터!$G229="",0,품목마스터!$G229))</f>
        <v/>
      </c>
      <c r="J230" s="20" t="str">
        <f aca="false">IF($A230="","",IF($I230=0,"기준없음",TEXT($H230/$I230,"0%")&amp;"  "&amp;REPT("■",MIN(10,ROUND($H230/$I230*10,0)))))</f>
        <v/>
      </c>
    </row>
    <row r="231" customFormat="false" ht="15" hidden="false" customHeight="true" outlineLevel="0" collapsed="false">
      <c r="A231" s="12" t="str">
        <f aca="false">IF(품목마스터!$A230="","",품목마스터!$A230)</f>
        <v/>
      </c>
      <c r="B231" s="12" t="str">
        <f aca="false">IF($A231="","",품목마스터!$B230)</f>
        <v/>
      </c>
      <c r="C231" s="12" t="str">
        <f aca="false">IF($A231="","",품목마스터!$E230)</f>
        <v/>
      </c>
      <c r="D231" s="12" t="str">
        <f aca="false">IF($A231="","",품목마스터!$D230)</f>
        <v/>
      </c>
      <c r="E231" s="13" t="str">
        <f aca="false">IF($A231="","",IF(품목마스터!$F230="",0,품목마스터!$F230))</f>
        <v/>
      </c>
      <c r="F231" s="13" t="str">
        <f aca="false">IF($A231="","",SUMIFS(입출고내역!$G$3:$G$1002,입출고내역!$C$3:$C$1002,$A231,입출고내역!$B$3:$B$1002,"입고"))</f>
        <v/>
      </c>
      <c r="G231" s="13" t="str">
        <f aca="false">IF($A231="","",SUMIFS(입출고내역!$G$3:$G$1002,입출고내역!$C$3:$C$1002,$A231,입출고내역!$B$3:$B$1002,"출고"))</f>
        <v/>
      </c>
      <c r="H231" s="13" t="str">
        <f aca="false">IF($A231="","",$E231+SUMIFS(입출고내역!$L$3:$L$1002,입출고내역!$C$3:$C$1002,$A231))</f>
        <v/>
      </c>
      <c r="I231" s="13" t="str">
        <f aca="false">IF($A231="","",IF(품목마스터!$G230="",0,품목마스터!$G230))</f>
        <v/>
      </c>
      <c r="J231" s="20" t="str">
        <f aca="false">IF($A231="","",IF($I231=0,"기준없음",TEXT($H231/$I231,"0%")&amp;"  "&amp;REPT("■",MIN(10,ROUND($H231/$I231*10,0)))))</f>
        <v/>
      </c>
    </row>
    <row r="232" customFormat="false" ht="15" hidden="false" customHeight="true" outlineLevel="0" collapsed="false">
      <c r="A232" s="12" t="str">
        <f aca="false">IF(품목마스터!$A231="","",품목마스터!$A231)</f>
        <v/>
      </c>
      <c r="B232" s="12" t="str">
        <f aca="false">IF($A232="","",품목마스터!$B231)</f>
        <v/>
      </c>
      <c r="C232" s="12" t="str">
        <f aca="false">IF($A232="","",품목마스터!$E231)</f>
        <v/>
      </c>
      <c r="D232" s="12" t="str">
        <f aca="false">IF($A232="","",품목마스터!$D231)</f>
        <v/>
      </c>
      <c r="E232" s="13" t="str">
        <f aca="false">IF($A232="","",IF(품목마스터!$F231="",0,품목마스터!$F231))</f>
        <v/>
      </c>
      <c r="F232" s="13" t="str">
        <f aca="false">IF($A232="","",SUMIFS(입출고내역!$G$3:$G$1002,입출고내역!$C$3:$C$1002,$A232,입출고내역!$B$3:$B$1002,"입고"))</f>
        <v/>
      </c>
      <c r="G232" s="13" t="str">
        <f aca="false">IF($A232="","",SUMIFS(입출고내역!$G$3:$G$1002,입출고내역!$C$3:$C$1002,$A232,입출고내역!$B$3:$B$1002,"출고"))</f>
        <v/>
      </c>
      <c r="H232" s="13" t="str">
        <f aca="false">IF($A232="","",$E232+SUMIFS(입출고내역!$L$3:$L$1002,입출고내역!$C$3:$C$1002,$A232))</f>
        <v/>
      </c>
      <c r="I232" s="13" t="str">
        <f aca="false">IF($A232="","",IF(품목마스터!$G231="",0,품목마스터!$G231))</f>
        <v/>
      </c>
      <c r="J232" s="20" t="str">
        <f aca="false">IF($A232="","",IF($I232=0,"기준없음",TEXT($H232/$I232,"0%")&amp;"  "&amp;REPT("■",MIN(10,ROUND($H232/$I232*10,0)))))</f>
        <v/>
      </c>
    </row>
    <row r="233" customFormat="false" ht="15" hidden="false" customHeight="true" outlineLevel="0" collapsed="false">
      <c r="A233" s="12" t="str">
        <f aca="false">IF(품목마스터!$A232="","",품목마스터!$A232)</f>
        <v/>
      </c>
      <c r="B233" s="12" t="str">
        <f aca="false">IF($A233="","",품목마스터!$B232)</f>
        <v/>
      </c>
      <c r="C233" s="12" t="str">
        <f aca="false">IF($A233="","",품목마스터!$E232)</f>
        <v/>
      </c>
      <c r="D233" s="12" t="str">
        <f aca="false">IF($A233="","",품목마스터!$D232)</f>
        <v/>
      </c>
      <c r="E233" s="13" t="str">
        <f aca="false">IF($A233="","",IF(품목마스터!$F232="",0,품목마스터!$F232))</f>
        <v/>
      </c>
      <c r="F233" s="13" t="str">
        <f aca="false">IF($A233="","",SUMIFS(입출고내역!$G$3:$G$1002,입출고내역!$C$3:$C$1002,$A233,입출고내역!$B$3:$B$1002,"입고"))</f>
        <v/>
      </c>
      <c r="G233" s="13" t="str">
        <f aca="false">IF($A233="","",SUMIFS(입출고내역!$G$3:$G$1002,입출고내역!$C$3:$C$1002,$A233,입출고내역!$B$3:$B$1002,"출고"))</f>
        <v/>
      </c>
      <c r="H233" s="13" t="str">
        <f aca="false">IF($A233="","",$E233+SUMIFS(입출고내역!$L$3:$L$1002,입출고내역!$C$3:$C$1002,$A233))</f>
        <v/>
      </c>
      <c r="I233" s="13" t="str">
        <f aca="false">IF($A233="","",IF(품목마스터!$G232="",0,품목마스터!$G232))</f>
        <v/>
      </c>
      <c r="J233" s="20" t="str">
        <f aca="false">IF($A233="","",IF($I233=0,"기준없음",TEXT($H233/$I233,"0%")&amp;"  "&amp;REPT("■",MIN(10,ROUND($H233/$I233*10,0)))))</f>
        <v/>
      </c>
    </row>
    <row r="234" customFormat="false" ht="15" hidden="false" customHeight="true" outlineLevel="0" collapsed="false">
      <c r="A234" s="12" t="str">
        <f aca="false">IF(품목마스터!$A233="","",품목마스터!$A233)</f>
        <v/>
      </c>
      <c r="B234" s="12" t="str">
        <f aca="false">IF($A234="","",품목마스터!$B233)</f>
        <v/>
      </c>
      <c r="C234" s="12" t="str">
        <f aca="false">IF($A234="","",품목마스터!$E233)</f>
        <v/>
      </c>
      <c r="D234" s="12" t="str">
        <f aca="false">IF($A234="","",품목마스터!$D233)</f>
        <v/>
      </c>
      <c r="E234" s="13" t="str">
        <f aca="false">IF($A234="","",IF(품목마스터!$F233="",0,품목마스터!$F233))</f>
        <v/>
      </c>
      <c r="F234" s="13" t="str">
        <f aca="false">IF($A234="","",SUMIFS(입출고내역!$G$3:$G$1002,입출고내역!$C$3:$C$1002,$A234,입출고내역!$B$3:$B$1002,"입고"))</f>
        <v/>
      </c>
      <c r="G234" s="13" t="str">
        <f aca="false">IF($A234="","",SUMIFS(입출고내역!$G$3:$G$1002,입출고내역!$C$3:$C$1002,$A234,입출고내역!$B$3:$B$1002,"출고"))</f>
        <v/>
      </c>
      <c r="H234" s="13" t="str">
        <f aca="false">IF($A234="","",$E234+SUMIFS(입출고내역!$L$3:$L$1002,입출고내역!$C$3:$C$1002,$A234))</f>
        <v/>
      </c>
      <c r="I234" s="13" t="str">
        <f aca="false">IF($A234="","",IF(품목마스터!$G233="",0,품목마스터!$G233))</f>
        <v/>
      </c>
      <c r="J234" s="20" t="str">
        <f aca="false">IF($A234="","",IF($I234=0,"기준없음",TEXT($H234/$I234,"0%")&amp;"  "&amp;REPT("■",MIN(10,ROUND($H234/$I234*10,0)))))</f>
        <v/>
      </c>
    </row>
    <row r="235" customFormat="false" ht="15" hidden="false" customHeight="true" outlineLevel="0" collapsed="false">
      <c r="A235" s="12" t="str">
        <f aca="false">IF(품목마스터!$A234="","",품목마스터!$A234)</f>
        <v/>
      </c>
      <c r="B235" s="12" t="str">
        <f aca="false">IF($A235="","",품목마스터!$B234)</f>
        <v/>
      </c>
      <c r="C235" s="12" t="str">
        <f aca="false">IF($A235="","",품목마스터!$E234)</f>
        <v/>
      </c>
      <c r="D235" s="12" t="str">
        <f aca="false">IF($A235="","",품목마스터!$D234)</f>
        <v/>
      </c>
      <c r="E235" s="13" t="str">
        <f aca="false">IF($A235="","",IF(품목마스터!$F234="",0,품목마스터!$F234))</f>
        <v/>
      </c>
      <c r="F235" s="13" t="str">
        <f aca="false">IF($A235="","",SUMIFS(입출고내역!$G$3:$G$1002,입출고내역!$C$3:$C$1002,$A235,입출고내역!$B$3:$B$1002,"입고"))</f>
        <v/>
      </c>
      <c r="G235" s="13" t="str">
        <f aca="false">IF($A235="","",SUMIFS(입출고내역!$G$3:$G$1002,입출고내역!$C$3:$C$1002,$A235,입출고내역!$B$3:$B$1002,"출고"))</f>
        <v/>
      </c>
      <c r="H235" s="13" t="str">
        <f aca="false">IF($A235="","",$E235+SUMIFS(입출고내역!$L$3:$L$1002,입출고내역!$C$3:$C$1002,$A235))</f>
        <v/>
      </c>
      <c r="I235" s="13" t="str">
        <f aca="false">IF($A235="","",IF(품목마스터!$G234="",0,품목마스터!$G234))</f>
        <v/>
      </c>
      <c r="J235" s="20" t="str">
        <f aca="false">IF($A235="","",IF($I235=0,"기준없음",TEXT($H235/$I235,"0%")&amp;"  "&amp;REPT("■",MIN(10,ROUND($H235/$I235*10,0)))))</f>
        <v/>
      </c>
    </row>
    <row r="236" customFormat="false" ht="15" hidden="false" customHeight="true" outlineLevel="0" collapsed="false">
      <c r="A236" s="12" t="str">
        <f aca="false">IF(품목마스터!$A235="","",품목마스터!$A235)</f>
        <v/>
      </c>
      <c r="B236" s="12" t="str">
        <f aca="false">IF($A236="","",품목마스터!$B235)</f>
        <v/>
      </c>
      <c r="C236" s="12" t="str">
        <f aca="false">IF($A236="","",품목마스터!$E235)</f>
        <v/>
      </c>
      <c r="D236" s="12" t="str">
        <f aca="false">IF($A236="","",품목마스터!$D235)</f>
        <v/>
      </c>
      <c r="E236" s="13" t="str">
        <f aca="false">IF($A236="","",IF(품목마스터!$F235="",0,품목마스터!$F235))</f>
        <v/>
      </c>
      <c r="F236" s="13" t="str">
        <f aca="false">IF($A236="","",SUMIFS(입출고내역!$G$3:$G$1002,입출고내역!$C$3:$C$1002,$A236,입출고내역!$B$3:$B$1002,"입고"))</f>
        <v/>
      </c>
      <c r="G236" s="13" t="str">
        <f aca="false">IF($A236="","",SUMIFS(입출고내역!$G$3:$G$1002,입출고내역!$C$3:$C$1002,$A236,입출고내역!$B$3:$B$1002,"출고"))</f>
        <v/>
      </c>
      <c r="H236" s="13" t="str">
        <f aca="false">IF($A236="","",$E236+SUMIFS(입출고내역!$L$3:$L$1002,입출고내역!$C$3:$C$1002,$A236))</f>
        <v/>
      </c>
      <c r="I236" s="13" t="str">
        <f aca="false">IF($A236="","",IF(품목마스터!$G235="",0,품목마스터!$G235))</f>
        <v/>
      </c>
      <c r="J236" s="20" t="str">
        <f aca="false">IF($A236="","",IF($I236=0,"기준없음",TEXT($H236/$I236,"0%")&amp;"  "&amp;REPT("■",MIN(10,ROUND($H236/$I236*10,0)))))</f>
        <v/>
      </c>
    </row>
    <row r="237" customFormat="false" ht="15" hidden="false" customHeight="true" outlineLevel="0" collapsed="false">
      <c r="A237" s="12" t="str">
        <f aca="false">IF(품목마스터!$A236="","",품목마스터!$A236)</f>
        <v/>
      </c>
      <c r="B237" s="12" t="str">
        <f aca="false">IF($A237="","",품목마스터!$B236)</f>
        <v/>
      </c>
      <c r="C237" s="12" t="str">
        <f aca="false">IF($A237="","",품목마스터!$E236)</f>
        <v/>
      </c>
      <c r="D237" s="12" t="str">
        <f aca="false">IF($A237="","",품목마스터!$D236)</f>
        <v/>
      </c>
      <c r="E237" s="13" t="str">
        <f aca="false">IF($A237="","",IF(품목마스터!$F236="",0,품목마스터!$F236))</f>
        <v/>
      </c>
      <c r="F237" s="13" t="str">
        <f aca="false">IF($A237="","",SUMIFS(입출고내역!$G$3:$G$1002,입출고내역!$C$3:$C$1002,$A237,입출고내역!$B$3:$B$1002,"입고"))</f>
        <v/>
      </c>
      <c r="G237" s="13" t="str">
        <f aca="false">IF($A237="","",SUMIFS(입출고내역!$G$3:$G$1002,입출고내역!$C$3:$C$1002,$A237,입출고내역!$B$3:$B$1002,"출고"))</f>
        <v/>
      </c>
      <c r="H237" s="13" t="str">
        <f aca="false">IF($A237="","",$E237+SUMIFS(입출고내역!$L$3:$L$1002,입출고내역!$C$3:$C$1002,$A237))</f>
        <v/>
      </c>
      <c r="I237" s="13" t="str">
        <f aca="false">IF($A237="","",IF(품목마스터!$G236="",0,품목마스터!$G236))</f>
        <v/>
      </c>
      <c r="J237" s="20" t="str">
        <f aca="false">IF($A237="","",IF($I237=0,"기준없음",TEXT($H237/$I237,"0%")&amp;"  "&amp;REPT("■",MIN(10,ROUND($H237/$I237*10,0)))))</f>
        <v/>
      </c>
    </row>
    <row r="238" customFormat="false" ht="15" hidden="false" customHeight="true" outlineLevel="0" collapsed="false">
      <c r="A238" s="12" t="str">
        <f aca="false">IF(품목마스터!$A237="","",품목마스터!$A237)</f>
        <v/>
      </c>
      <c r="B238" s="12" t="str">
        <f aca="false">IF($A238="","",품목마스터!$B237)</f>
        <v/>
      </c>
      <c r="C238" s="12" t="str">
        <f aca="false">IF($A238="","",품목마스터!$E237)</f>
        <v/>
      </c>
      <c r="D238" s="12" t="str">
        <f aca="false">IF($A238="","",품목마스터!$D237)</f>
        <v/>
      </c>
      <c r="E238" s="13" t="str">
        <f aca="false">IF($A238="","",IF(품목마스터!$F237="",0,품목마스터!$F237))</f>
        <v/>
      </c>
      <c r="F238" s="13" t="str">
        <f aca="false">IF($A238="","",SUMIFS(입출고내역!$G$3:$G$1002,입출고내역!$C$3:$C$1002,$A238,입출고내역!$B$3:$B$1002,"입고"))</f>
        <v/>
      </c>
      <c r="G238" s="13" t="str">
        <f aca="false">IF($A238="","",SUMIFS(입출고내역!$G$3:$G$1002,입출고내역!$C$3:$C$1002,$A238,입출고내역!$B$3:$B$1002,"출고"))</f>
        <v/>
      </c>
      <c r="H238" s="13" t="str">
        <f aca="false">IF($A238="","",$E238+SUMIFS(입출고내역!$L$3:$L$1002,입출고내역!$C$3:$C$1002,$A238))</f>
        <v/>
      </c>
      <c r="I238" s="13" t="str">
        <f aca="false">IF($A238="","",IF(품목마스터!$G237="",0,품목마스터!$G237))</f>
        <v/>
      </c>
      <c r="J238" s="20" t="str">
        <f aca="false">IF($A238="","",IF($I238=0,"기준없음",TEXT($H238/$I238,"0%")&amp;"  "&amp;REPT("■",MIN(10,ROUND($H238/$I238*10,0)))))</f>
        <v/>
      </c>
    </row>
    <row r="239" customFormat="false" ht="15" hidden="false" customHeight="true" outlineLevel="0" collapsed="false">
      <c r="A239" s="12" t="str">
        <f aca="false">IF(품목마스터!$A238="","",품목마스터!$A238)</f>
        <v/>
      </c>
      <c r="B239" s="12" t="str">
        <f aca="false">IF($A239="","",품목마스터!$B238)</f>
        <v/>
      </c>
      <c r="C239" s="12" t="str">
        <f aca="false">IF($A239="","",품목마스터!$E238)</f>
        <v/>
      </c>
      <c r="D239" s="12" t="str">
        <f aca="false">IF($A239="","",품목마스터!$D238)</f>
        <v/>
      </c>
      <c r="E239" s="13" t="str">
        <f aca="false">IF($A239="","",IF(품목마스터!$F238="",0,품목마스터!$F238))</f>
        <v/>
      </c>
      <c r="F239" s="13" t="str">
        <f aca="false">IF($A239="","",SUMIFS(입출고내역!$G$3:$G$1002,입출고내역!$C$3:$C$1002,$A239,입출고내역!$B$3:$B$1002,"입고"))</f>
        <v/>
      </c>
      <c r="G239" s="13" t="str">
        <f aca="false">IF($A239="","",SUMIFS(입출고내역!$G$3:$G$1002,입출고내역!$C$3:$C$1002,$A239,입출고내역!$B$3:$B$1002,"출고"))</f>
        <v/>
      </c>
      <c r="H239" s="13" t="str">
        <f aca="false">IF($A239="","",$E239+SUMIFS(입출고내역!$L$3:$L$1002,입출고내역!$C$3:$C$1002,$A239))</f>
        <v/>
      </c>
      <c r="I239" s="13" t="str">
        <f aca="false">IF($A239="","",IF(품목마스터!$G238="",0,품목마스터!$G238))</f>
        <v/>
      </c>
      <c r="J239" s="20" t="str">
        <f aca="false">IF($A239="","",IF($I239=0,"기준없음",TEXT($H239/$I239,"0%")&amp;"  "&amp;REPT("■",MIN(10,ROUND($H239/$I239*10,0)))))</f>
        <v/>
      </c>
    </row>
    <row r="240" customFormat="false" ht="15" hidden="false" customHeight="true" outlineLevel="0" collapsed="false">
      <c r="A240" s="12" t="str">
        <f aca="false">IF(품목마스터!$A239="","",품목마스터!$A239)</f>
        <v/>
      </c>
      <c r="B240" s="12" t="str">
        <f aca="false">IF($A240="","",품목마스터!$B239)</f>
        <v/>
      </c>
      <c r="C240" s="12" t="str">
        <f aca="false">IF($A240="","",품목마스터!$E239)</f>
        <v/>
      </c>
      <c r="D240" s="12" t="str">
        <f aca="false">IF($A240="","",품목마스터!$D239)</f>
        <v/>
      </c>
      <c r="E240" s="13" t="str">
        <f aca="false">IF($A240="","",IF(품목마스터!$F239="",0,품목마스터!$F239))</f>
        <v/>
      </c>
      <c r="F240" s="13" t="str">
        <f aca="false">IF($A240="","",SUMIFS(입출고내역!$G$3:$G$1002,입출고내역!$C$3:$C$1002,$A240,입출고내역!$B$3:$B$1002,"입고"))</f>
        <v/>
      </c>
      <c r="G240" s="13" t="str">
        <f aca="false">IF($A240="","",SUMIFS(입출고내역!$G$3:$G$1002,입출고내역!$C$3:$C$1002,$A240,입출고내역!$B$3:$B$1002,"출고"))</f>
        <v/>
      </c>
      <c r="H240" s="13" t="str">
        <f aca="false">IF($A240="","",$E240+SUMIFS(입출고내역!$L$3:$L$1002,입출고내역!$C$3:$C$1002,$A240))</f>
        <v/>
      </c>
      <c r="I240" s="13" t="str">
        <f aca="false">IF($A240="","",IF(품목마스터!$G239="",0,품목마스터!$G239))</f>
        <v/>
      </c>
      <c r="J240" s="20" t="str">
        <f aca="false">IF($A240="","",IF($I240=0,"기준없음",TEXT($H240/$I240,"0%")&amp;"  "&amp;REPT("■",MIN(10,ROUND($H240/$I240*10,0)))))</f>
        <v/>
      </c>
    </row>
    <row r="241" customFormat="false" ht="15" hidden="false" customHeight="true" outlineLevel="0" collapsed="false">
      <c r="A241" s="12" t="str">
        <f aca="false">IF(품목마스터!$A240="","",품목마스터!$A240)</f>
        <v/>
      </c>
      <c r="B241" s="12" t="str">
        <f aca="false">IF($A241="","",품목마스터!$B240)</f>
        <v/>
      </c>
      <c r="C241" s="12" t="str">
        <f aca="false">IF($A241="","",품목마스터!$E240)</f>
        <v/>
      </c>
      <c r="D241" s="12" t="str">
        <f aca="false">IF($A241="","",품목마스터!$D240)</f>
        <v/>
      </c>
      <c r="E241" s="13" t="str">
        <f aca="false">IF($A241="","",IF(품목마스터!$F240="",0,품목마스터!$F240))</f>
        <v/>
      </c>
      <c r="F241" s="13" t="str">
        <f aca="false">IF($A241="","",SUMIFS(입출고내역!$G$3:$G$1002,입출고내역!$C$3:$C$1002,$A241,입출고내역!$B$3:$B$1002,"입고"))</f>
        <v/>
      </c>
      <c r="G241" s="13" t="str">
        <f aca="false">IF($A241="","",SUMIFS(입출고내역!$G$3:$G$1002,입출고내역!$C$3:$C$1002,$A241,입출고내역!$B$3:$B$1002,"출고"))</f>
        <v/>
      </c>
      <c r="H241" s="13" t="str">
        <f aca="false">IF($A241="","",$E241+SUMIFS(입출고내역!$L$3:$L$1002,입출고내역!$C$3:$C$1002,$A241))</f>
        <v/>
      </c>
      <c r="I241" s="13" t="str">
        <f aca="false">IF($A241="","",IF(품목마스터!$G240="",0,품목마스터!$G240))</f>
        <v/>
      </c>
      <c r="J241" s="20" t="str">
        <f aca="false">IF($A241="","",IF($I241=0,"기준없음",TEXT($H241/$I241,"0%")&amp;"  "&amp;REPT("■",MIN(10,ROUND($H241/$I241*10,0)))))</f>
        <v/>
      </c>
    </row>
    <row r="242" customFormat="false" ht="15" hidden="false" customHeight="true" outlineLevel="0" collapsed="false">
      <c r="A242" s="12" t="str">
        <f aca="false">IF(품목마스터!$A241="","",품목마스터!$A241)</f>
        <v/>
      </c>
      <c r="B242" s="12" t="str">
        <f aca="false">IF($A242="","",품목마스터!$B241)</f>
        <v/>
      </c>
      <c r="C242" s="12" t="str">
        <f aca="false">IF($A242="","",품목마스터!$E241)</f>
        <v/>
      </c>
      <c r="D242" s="12" t="str">
        <f aca="false">IF($A242="","",품목마스터!$D241)</f>
        <v/>
      </c>
      <c r="E242" s="13" t="str">
        <f aca="false">IF($A242="","",IF(품목마스터!$F241="",0,품목마스터!$F241))</f>
        <v/>
      </c>
      <c r="F242" s="13" t="str">
        <f aca="false">IF($A242="","",SUMIFS(입출고내역!$G$3:$G$1002,입출고내역!$C$3:$C$1002,$A242,입출고내역!$B$3:$B$1002,"입고"))</f>
        <v/>
      </c>
      <c r="G242" s="13" t="str">
        <f aca="false">IF($A242="","",SUMIFS(입출고내역!$G$3:$G$1002,입출고내역!$C$3:$C$1002,$A242,입출고내역!$B$3:$B$1002,"출고"))</f>
        <v/>
      </c>
      <c r="H242" s="13" t="str">
        <f aca="false">IF($A242="","",$E242+SUMIFS(입출고내역!$L$3:$L$1002,입출고내역!$C$3:$C$1002,$A242))</f>
        <v/>
      </c>
      <c r="I242" s="13" t="str">
        <f aca="false">IF($A242="","",IF(품목마스터!$G241="",0,품목마스터!$G241))</f>
        <v/>
      </c>
      <c r="J242" s="20" t="str">
        <f aca="false">IF($A242="","",IF($I242=0,"기준없음",TEXT($H242/$I242,"0%")&amp;"  "&amp;REPT("■",MIN(10,ROUND($H242/$I242*10,0)))))</f>
        <v/>
      </c>
    </row>
    <row r="243" customFormat="false" ht="15" hidden="false" customHeight="true" outlineLevel="0" collapsed="false">
      <c r="A243" s="12" t="str">
        <f aca="false">IF(품목마스터!$A242="","",품목마스터!$A242)</f>
        <v/>
      </c>
      <c r="B243" s="12" t="str">
        <f aca="false">IF($A243="","",품목마스터!$B242)</f>
        <v/>
      </c>
      <c r="C243" s="12" t="str">
        <f aca="false">IF($A243="","",품목마스터!$E242)</f>
        <v/>
      </c>
      <c r="D243" s="12" t="str">
        <f aca="false">IF($A243="","",품목마스터!$D242)</f>
        <v/>
      </c>
      <c r="E243" s="13" t="str">
        <f aca="false">IF($A243="","",IF(품목마스터!$F242="",0,품목마스터!$F242))</f>
        <v/>
      </c>
      <c r="F243" s="13" t="str">
        <f aca="false">IF($A243="","",SUMIFS(입출고내역!$G$3:$G$1002,입출고내역!$C$3:$C$1002,$A243,입출고내역!$B$3:$B$1002,"입고"))</f>
        <v/>
      </c>
      <c r="G243" s="13" t="str">
        <f aca="false">IF($A243="","",SUMIFS(입출고내역!$G$3:$G$1002,입출고내역!$C$3:$C$1002,$A243,입출고내역!$B$3:$B$1002,"출고"))</f>
        <v/>
      </c>
      <c r="H243" s="13" t="str">
        <f aca="false">IF($A243="","",$E243+SUMIFS(입출고내역!$L$3:$L$1002,입출고내역!$C$3:$C$1002,$A243))</f>
        <v/>
      </c>
      <c r="I243" s="13" t="str">
        <f aca="false">IF($A243="","",IF(품목마스터!$G242="",0,품목마스터!$G242))</f>
        <v/>
      </c>
      <c r="J243" s="20" t="str">
        <f aca="false">IF($A243="","",IF($I243=0,"기준없음",TEXT($H243/$I243,"0%")&amp;"  "&amp;REPT("■",MIN(10,ROUND($H243/$I243*10,0)))))</f>
        <v/>
      </c>
    </row>
    <row r="244" customFormat="false" ht="15" hidden="false" customHeight="true" outlineLevel="0" collapsed="false">
      <c r="A244" s="12" t="str">
        <f aca="false">IF(품목마스터!$A243="","",품목마스터!$A243)</f>
        <v/>
      </c>
      <c r="B244" s="12" t="str">
        <f aca="false">IF($A244="","",품목마스터!$B243)</f>
        <v/>
      </c>
      <c r="C244" s="12" t="str">
        <f aca="false">IF($A244="","",품목마스터!$E243)</f>
        <v/>
      </c>
      <c r="D244" s="12" t="str">
        <f aca="false">IF($A244="","",품목마스터!$D243)</f>
        <v/>
      </c>
      <c r="E244" s="13" t="str">
        <f aca="false">IF($A244="","",IF(품목마스터!$F243="",0,품목마스터!$F243))</f>
        <v/>
      </c>
      <c r="F244" s="13" t="str">
        <f aca="false">IF($A244="","",SUMIFS(입출고내역!$G$3:$G$1002,입출고내역!$C$3:$C$1002,$A244,입출고내역!$B$3:$B$1002,"입고"))</f>
        <v/>
      </c>
      <c r="G244" s="13" t="str">
        <f aca="false">IF($A244="","",SUMIFS(입출고내역!$G$3:$G$1002,입출고내역!$C$3:$C$1002,$A244,입출고내역!$B$3:$B$1002,"출고"))</f>
        <v/>
      </c>
      <c r="H244" s="13" t="str">
        <f aca="false">IF($A244="","",$E244+SUMIFS(입출고내역!$L$3:$L$1002,입출고내역!$C$3:$C$1002,$A244))</f>
        <v/>
      </c>
      <c r="I244" s="13" t="str">
        <f aca="false">IF($A244="","",IF(품목마스터!$G243="",0,품목마스터!$G243))</f>
        <v/>
      </c>
      <c r="J244" s="20" t="str">
        <f aca="false">IF($A244="","",IF($I244=0,"기준없음",TEXT($H244/$I244,"0%")&amp;"  "&amp;REPT("■",MIN(10,ROUND($H244/$I244*10,0)))))</f>
        <v/>
      </c>
    </row>
    <row r="245" customFormat="false" ht="15" hidden="false" customHeight="true" outlineLevel="0" collapsed="false">
      <c r="A245" s="12" t="str">
        <f aca="false">IF(품목마스터!$A244="","",품목마스터!$A244)</f>
        <v/>
      </c>
      <c r="B245" s="12" t="str">
        <f aca="false">IF($A245="","",품목마스터!$B244)</f>
        <v/>
      </c>
      <c r="C245" s="12" t="str">
        <f aca="false">IF($A245="","",품목마스터!$E244)</f>
        <v/>
      </c>
      <c r="D245" s="12" t="str">
        <f aca="false">IF($A245="","",품목마스터!$D244)</f>
        <v/>
      </c>
      <c r="E245" s="13" t="str">
        <f aca="false">IF($A245="","",IF(품목마스터!$F244="",0,품목마스터!$F244))</f>
        <v/>
      </c>
      <c r="F245" s="13" t="str">
        <f aca="false">IF($A245="","",SUMIFS(입출고내역!$G$3:$G$1002,입출고내역!$C$3:$C$1002,$A245,입출고내역!$B$3:$B$1002,"입고"))</f>
        <v/>
      </c>
      <c r="G245" s="13" t="str">
        <f aca="false">IF($A245="","",SUMIFS(입출고내역!$G$3:$G$1002,입출고내역!$C$3:$C$1002,$A245,입출고내역!$B$3:$B$1002,"출고"))</f>
        <v/>
      </c>
      <c r="H245" s="13" t="str">
        <f aca="false">IF($A245="","",$E245+SUMIFS(입출고내역!$L$3:$L$1002,입출고내역!$C$3:$C$1002,$A245))</f>
        <v/>
      </c>
      <c r="I245" s="13" t="str">
        <f aca="false">IF($A245="","",IF(품목마스터!$G244="",0,품목마스터!$G244))</f>
        <v/>
      </c>
      <c r="J245" s="20" t="str">
        <f aca="false">IF($A245="","",IF($I245=0,"기준없음",TEXT($H245/$I245,"0%")&amp;"  "&amp;REPT("■",MIN(10,ROUND($H245/$I245*10,0)))))</f>
        <v/>
      </c>
    </row>
    <row r="246" customFormat="false" ht="15" hidden="false" customHeight="true" outlineLevel="0" collapsed="false">
      <c r="A246" s="12" t="str">
        <f aca="false">IF(품목마스터!$A245="","",품목마스터!$A245)</f>
        <v/>
      </c>
      <c r="B246" s="12" t="str">
        <f aca="false">IF($A246="","",품목마스터!$B245)</f>
        <v/>
      </c>
      <c r="C246" s="12" t="str">
        <f aca="false">IF($A246="","",품목마스터!$E245)</f>
        <v/>
      </c>
      <c r="D246" s="12" t="str">
        <f aca="false">IF($A246="","",품목마스터!$D245)</f>
        <v/>
      </c>
      <c r="E246" s="13" t="str">
        <f aca="false">IF($A246="","",IF(품목마스터!$F245="",0,품목마스터!$F245))</f>
        <v/>
      </c>
      <c r="F246" s="13" t="str">
        <f aca="false">IF($A246="","",SUMIFS(입출고내역!$G$3:$G$1002,입출고내역!$C$3:$C$1002,$A246,입출고내역!$B$3:$B$1002,"입고"))</f>
        <v/>
      </c>
      <c r="G246" s="13" t="str">
        <f aca="false">IF($A246="","",SUMIFS(입출고내역!$G$3:$G$1002,입출고내역!$C$3:$C$1002,$A246,입출고내역!$B$3:$B$1002,"출고"))</f>
        <v/>
      </c>
      <c r="H246" s="13" t="str">
        <f aca="false">IF($A246="","",$E246+SUMIFS(입출고내역!$L$3:$L$1002,입출고내역!$C$3:$C$1002,$A246))</f>
        <v/>
      </c>
      <c r="I246" s="13" t="str">
        <f aca="false">IF($A246="","",IF(품목마스터!$G245="",0,품목마스터!$G245))</f>
        <v/>
      </c>
      <c r="J246" s="20" t="str">
        <f aca="false">IF($A246="","",IF($I246=0,"기준없음",TEXT($H246/$I246,"0%")&amp;"  "&amp;REPT("■",MIN(10,ROUND($H246/$I246*10,0)))))</f>
        <v/>
      </c>
    </row>
    <row r="247" customFormat="false" ht="15" hidden="false" customHeight="true" outlineLevel="0" collapsed="false">
      <c r="A247" s="12" t="str">
        <f aca="false">IF(품목마스터!$A246="","",품목마스터!$A246)</f>
        <v/>
      </c>
      <c r="B247" s="12" t="str">
        <f aca="false">IF($A247="","",품목마스터!$B246)</f>
        <v/>
      </c>
      <c r="C247" s="12" t="str">
        <f aca="false">IF($A247="","",품목마스터!$E246)</f>
        <v/>
      </c>
      <c r="D247" s="12" t="str">
        <f aca="false">IF($A247="","",품목마스터!$D246)</f>
        <v/>
      </c>
      <c r="E247" s="13" t="str">
        <f aca="false">IF($A247="","",IF(품목마스터!$F246="",0,품목마스터!$F246))</f>
        <v/>
      </c>
      <c r="F247" s="13" t="str">
        <f aca="false">IF($A247="","",SUMIFS(입출고내역!$G$3:$G$1002,입출고내역!$C$3:$C$1002,$A247,입출고내역!$B$3:$B$1002,"입고"))</f>
        <v/>
      </c>
      <c r="G247" s="13" t="str">
        <f aca="false">IF($A247="","",SUMIFS(입출고내역!$G$3:$G$1002,입출고내역!$C$3:$C$1002,$A247,입출고내역!$B$3:$B$1002,"출고"))</f>
        <v/>
      </c>
      <c r="H247" s="13" t="str">
        <f aca="false">IF($A247="","",$E247+SUMIFS(입출고내역!$L$3:$L$1002,입출고내역!$C$3:$C$1002,$A247))</f>
        <v/>
      </c>
      <c r="I247" s="13" t="str">
        <f aca="false">IF($A247="","",IF(품목마스터!$G246="",0,품목마스터!$G246))</f>
        <v/>
      </c>
      <c r="J247" s="20" t="str">
        <f aca="false">IF($A247="","",IF($I247=0,"기준없음",TEXT($H247/$I247,"0%")&amp;"  "&amp;REPT("■",MIN(10,ROUND($H247/$I247*10,0)))))</f>
        <v/>
      </c>
    </row>
    <row r="248" customFormat="false" ht="15" hidden="false" customHeight="true" outlineLevel="0" collapsed="false">
      <c r="A248" s="12" t="str">
        <f aca="false">IF(품목마스터!$A247="","",품목마스터!$A247)</f>
        <v/>
      </c>
      <c r="B248" s="12" t="str">
        <f aca="false">IF($A248="","",품목마스터!$B247)</f>
        <v/>
      </c>
      <c r="C248" s="12" t="str">
        <f aca="false">IF($A248="","",품목마스터!$E247)</f>
        <v/>
      </c>
      <c r="D248" s="12" t="str">
        <f aca="false">IF($A248="","",품목마스터!$D247)</f>
        <v/>
      </c>
      <c r="E248" s="13" t="str">
        <f aca="false">IF($A248="","",IF(품목마스터!$F247="",0,품목마스터!$F247))</f>
        <v/>
      </c>
      <c r="F248" s="13" t="str">
        <f aca="false">IF($A248="","",SUMIFS(입출고내역!$G$3:$G$1002,입출고내역!$C$3:$C$1002,$A248,입출고내역!$B$3:$B$1002,"입고"))</f>
        <v/>
      </c>
      <c r="G248" s="13" t="str">
        <f aca="false">IF($A248="","",SUMIFS(입출고내역!$G$3:$G$1002,입출고내역!$C$3:$C$1002,$A248,입출고내역!$B$3:$B$1002,"출고"))</f>
        <v/>
      </c>
      <c r="H248" s="13" t="str">
        <f aca="false">IF($A248="","",$E248+SUMIFS(입출고내역!$L$3:$L$1002,입출고내역!$C$3:$C$1002,$A248))</f>
        <v/>
      </c>
      <c r="I248" s="13" t="str">
        <f aca="false">IF($A248="","",IF(품목마스터!$G247="",0,품목마스터!$G247))</f>
        <v/>
      </c>
      <c r="J248" s="20" t="str">
        <f aca="false">IF($A248="","",IF($I248=0,"기준없음",TEXT($H248/$I248,"0%")&amp;"  "&amp;REPT("■",MIN(10,ROUND($H248/$I248*10,0)))))</f>
        <v/>
      </c>
    </row>
    <row r="249" customFormat="false" ht="15" hidden="false" customHeight="true" outlineLevel="0" collapsed="false">
      <c r="A249" s="12" t="str">
        <f aca="false">IF(품목마스터!$A248="","",품목마스터!$A248)</f>
        <v/>
      </c>
      <c r="B249" s="12" t="str">
        <f aca="false">IF($A249="","",품목마스터!$B248)</f>
        <v/>
      </c>
      <c r="C249" s="12" t="str">
        <f aca="false">IF($A249="","",품목마스터!$E248)</f>
        <v/>
      </c>
      <c r="D249" s="12" t="str">
        <f aca="false">IF($A249="","",품목마스터!$D248)</f>
        <v/>
      </c>
      <c r="E249" s="13" t="str">
        <f aca="false">IF($A249="","",IF(품목마스터!$F248="",0,품목마스터!$F248))</f>
        <v/>
      </c>
      <c r="F249" s="13" t="str">
        <f aca="false">IF($A249="","",SUMIFS(입출고내역!$G$3:$G$1002,입출고내역!$C$3:$C$1002,$A249,입출고내역!$B$3:$B$1002,"입고"))</f>
        <v/>
      </c>
      <c r="G249" s="13" t="str">
        <f aca="false">IF($A249="","",SUMIFS(입출고내역!$G$3:$G$1002,입출고내역!$C$3:$C$1002,$A249,입출고내역!$B$3:$B$1002,"출고"))</f>
        <v/>
      </c>
      <c r="H249" s="13" t="str">
        <f aca="false">IF($A249="","",$E249+SUMIFS(입출고내역!$L$3:$L$1002,입출고내역!$C$3:$C$1002,$A249))</f>
        <v/>
      </c>
      <c r="I249" s="13" t="str">
        <f aca="false">IF($A249="","",IF(품목마스터!$G248="",0,품목마스터!$G248))</f>
        <v/>
      </c>
      <c r="J249" s="20" t="str">
        <f aca="false">IF($A249="","",IF($I249=0,"기준없음",TEXT($H249/$I249,"0%")&amp;"  "&amp;REPT("■",MIN(10,ROUND($H249/$I249*10,0)))))</f>
        <v/>
      </c>
    </row>
    <row r="250" customFormat="false" ht="15" hidden="false" customHeight="true" outlineLevel="0" collapsed="false">
      <c r="A250" s="12" t="str">
        <f aca="false">IF(품목마스터!$A249="","",품목마스터!$A249)</f>
        <v/>
      </c>
      <c r="B250" s="12" t="str">
        <f aca="false">IF($A250="","",품목마스터!$B249)</f>
        <v/>
      </c>
      <c r="C250" s="12" t="str">
        <f aca="false">IF($A250="","",품목마스터!$E249)</f>
        <v/>
      </c>
      <c r="D250" s="12" t="str">
        <f aca="false">IF($A250="","",품목마스터!$D249)</f>
        <v/>
      </c>
      <c r="E250" s="13" t="str">
        <f aca="false">IF($A250="","",IF(품목마스터!$F249="",0,품목마스터!$F249))</f>
        <v/>
      </c>
      <c r="F250" s="13" t="str">
        <f aca="false">IF($A250="","",SUMIFS(입출고내역!$G$3:$G$1002,입출고내역!$C$3:$C$1002,$A250,입출고내역!$B$3:$B$1002,"입고"))</f>
        <v/>
      </c>
      <c r="G250" s="13" t="str">
        <f aca="false">IF($A250="","",SUMIFS(입출고내역!$G$3:$G$1002,입출고내역!$C$3:$C$1002,$A250,입출고내역!$B$3:$B$1002,"출고"))</f>
        <v/>
      </c>
      <c r="H250" s="13" t="str">
        <f aca="false">IF($A250="","",$E250+SUMIFS(입출고내역!$L$3:$L$1002,입출고내역!$C$3:$C$1002,$A250))</f>
        <v/>
      </c>
      <c r="I250" s="13" t="str">
        <f aca="false">IF($A250="","",IF(품목마스터!$G249="",0,품목마스터!$G249))</f>
        <v/>
      </c>
      <c r="J250" s="20" t="str">
        <f aca="false">IF($A250="","",IF($I250=0,"기준없음",TEXT($H250/$I250,"0%")&amp;"  "&amp;REPT("■",MIN(10,ROUND($H250/$I250*10,0)))))</f>
        <v/>
      </c>
    </row>
    <row r="251" customFormat="false" ht="15" hidden="false" customHeight="true" outlineLevel="0" collapsed="false">
      <c r="A251" s="12" t="str">
        <f aca="false">IF(품목마스터!$A250="","",품목마스터!$A250)</f>
        <v/>
      </c>
      <c r="B251" s="12" t="str">
        <f aca="false">IF($A251="","",품목마스터!$B250)</f>
        <v/>
      </c>
      <c r="C251" s="12" t="str">
        <f aca="false">IF($A251="","",품목마스터!$E250)</f>
        <v/>
      </c>
      <c r="D251" s="12" t="str">
        <f aca="false">IF($A251="","",품목마스터!$D250)</f>
        <v/>
      </c>
      <c r="E251" s="13" t="str">
        <f aca="false">IF($A251="","",IF(품목마스터!$F250="",0,품목마스터!$F250))</f>
        <v/>
      </c>
      <c r="F251" s="13" t="str">
        <f aca="false">IF($A251="","",SUMIFS(입출고내역!$G$3:$G$1002,입출고내역!$C$3:$C$1002,$A251,입출고내역!$B$3:$B$1002,"입고"))</f>
        <v/>
      </c>
      <c r="G251" s="13" t="str">
        <f aca="false">IF($A251="","",SUMIFS(입출고내역!$G$3:$G$1002,입출고내역!$C$3:$C$1002,$A251,입출고내역!$B$3:$B$1002,"출고"))</f>
        <v/>
      </c>
      <c r="H251" s="13" t="str">
        <f aca="false">IF($A251="","",$E251+SUMIFS(입출고내역!$L$3:$L$1002,입출고내역!$C$3:$C$1002,$A251))</f>
        <v/>
      </c>
      <c r="I251" s="13" t="str">
        <f aca="false">IF($A251="","",IF(품목마스터!$G250="",0,품목마스터!$G250))</f>
        <v/>
      </c>
      <c r="J251" s="20" t="str">
        <f aca="false">IF($A251="","",IF($I251=0,"기준없음",TEXT($H251/$I251,"0%")&amp;"  "&amp;REPT("■",MIN(10,ROUND($H251/$I251*10,0)))))</f>
        <v/>
      </c>
    </row>
    <row r="252" customFormat="false" ht="15" hidden="false" customHeight="true" outlineLevel="0" collapsed="false">
      <c r="A252" s="12" t="str">
        <f aca="false">IF(품목마스터!$A251="","",품목마스터!$A251)</f>
        <v/>
      </c>
      <c r="B252" s="12" t="str">
        <f aca="false">IF($A252="","",품목마스터!$B251)</f>
        <v/>
      </c>
      <c r="C252" s="12" t="str">
        <f aca="false">IF($A252="","",품목마스터!$E251)</f>
        <v/>
      </c>
      <c r="D252" s="12" t="str">
        <f aca="false">IF($A252="","",품목마스터!$D251)</f>
        <v/>
      </c>
      <c r="E252" s="13" t="str">
        <f aca="false">IF($A252="","",IF(품목마스터!$F251="",0,품목마스터!$F251))</f>
        <v/>
      </c>
      <c r="F252" s="13" t="str">
        <f aca="false">IF($A252="","",SUMIFS(입출고내역!$G$3:$G$1002,입출고내역!$C$3:$C$1002,$A252,입출고내역!$B$3:$B$1002,"입고"))</f>
        <v/>
      </c>
      <c r="G252" s="13" t="str">
        <f aca="false">IF($A252="","",SUMIFS(입출고내역!$G$3:$G$1002,입출고내역!$C$3:$C$1002,$A252,입출고내역!$B$3:$B$1002,"출고"))</f>
        <v/>
      </c>
      <c r="H252" s="13" t="str">
        <f aca="false">IF($A252="","",$E252+SUMIFS(입출고내역!$L$3:$L$1002,입출고내역!$C$3:$C$1002,$A252))</f>
        <v/>
      </c>
      <c r="I252" s="13" t="str">
        <f aca="false">IF($A252="","",IF(품목마스터!$G251="",0,품목마스터!$G251))</f>
        <v/>
      </c>
      <c r="J252" s="20" t="str">
        <f aca="false">IF($A252="","",IF($I252=0,"기준없음",TEXT($H252/$I252,"0%")&amp;"  "&amp;REPT("■",MIN(10,ROUND($H252/$I252*10,0)))))</f>
        <v/>
      </c>
    </row>
    <row r="253" customFormat="false" ht="15" hidden="false" customHeight="true" outlineLevel="0" collapsed="false">
      <c r="A253" s="12" t="str">
        <f aca="false">IF(품목마스터!$A252="","",품목마스터!$A252)</f>
        <v/>
      </c>
      <c r="B253" s="12" t="str">
        <f aca="false">IF($A253="","",품목마스터!$B252)</f>
        <v/>
      </c>
      <c r="C253" s="12" t="str">
        <f aca="false">IF($A253="","",품목마스터!$E252)</f>
        <v/>
      </c>
      <c r="D253" s="12" t="str">
        <f aca="false">IF($A253="","",품목마스터!$D252)</f>
        <v/>
      </c>
      <c r="E253" s="13" t="str">
        <f aca="false">IF($A253="","",IF(품목마스터!$F252="",0,품목마스터!$F252))</f>
        <v/>
      </c>
      <c r="F253" s="13" t="str">
        <f aca="false">IF($A253="","",SUMIFS(입출고내역!$G$3:$G$1002,입출고내역!$C$3:$C$1002,$A253,입출고내역!$B$3:$B$1002,"입고"))</f>
        <v/>
      </c>
      <c r="G253" s="13" t="str">
        <f aca="false">IF($A253="","",SUMIFS(입출고내역!$G$3:$G$1002,입출고내역!$C$3:$C$1002,$A253,입출고내역!$B$3:$B$1002,"출고"))</f>
        <v/>
      </c>
      <c r="H253" s="13" t="str">
        <f aca="false">IF($A253="","",$E253+SUMIFS(입출고내역!$L$3:$L$1002,입출고내역!$C$3:$C$1002,$A253))</f>
        <v/>
      </c>
      <c r="I253" s="13" t="str">
        <f aca="false">IF($A253="","",IF(품목마스터!$G252="",0,품목마스터!$G252))</f>
        <v/>
      </c>
      <c r="J253" s="20" t="str">
        <f aca="false">IF($A253="","",IF($I253=0,"기준없음",TEXT($H253/$I253,"0%")&amp;"  "&amp;REPT("■",MIN(10,ROUND($H253/$I253*10,0)))))</f>
        <v/>
      </c>
    </row>
    <row r="254" customFormat="false" ht="15" hidden="false" customHeight="true" outlineLevel="0" collapsed="false">
      <c r="A254" s="12" t="str">
        <f aca="false">IF(품목마스터!$A253="","",품목마스터!$A253)</f>
        <v/>
      </c>
      <c r="B254" s="12" t="str">
        <f aca="false">IF($A254="","",품목마스터!$B253)</f>
        <v/>
      </c>
      <c r="C254" s="12" t="str">
        <f aca="false">IF($A254="","",품목마스터!$E253)</f>
        <v/>
      </c>
      <c r="D254" s="12" t="str">
        <f aca="false">IF($A254="","",품목마스터!$D253)</f>
        <v/>
      </c>
      <c r="E254" s="13" t="str">
        <f aca="false">IF($A254="","",IF(품목마스터!$F253="",0,품목마스터!$F253))</f>
        <v/>
      </c>
      <c r="F254" s="13" t="str">
        <f aca="false">IF($A254="","",SUMIFS(입출고내역!$G$3:$G$1002,입출고내역!$C$3:$C$1002,$A254,입출고내역!$B$3:$B$1002,"입고"))</f>
        <v/>
      </c>
      <c r="G254" s="13" t="str">
        <f aca="false">IF($A254="","",SUMIFS(입출고내역!$G$3:$G$1002,입출고내역!$C$3:$C$1002,$A254,입출고내역!$B$3:$B$1002,"출고"))</f>
        <v/>
      </c>
      <c r="H254" s="13" t="str">
        <f aca="false">IF($A254="","",$E254+SUMIFS(입출고내역!$L$3:$L$1002,입출고내역!$C$3:$C$1002,$A254))</f>
        <v/>
      </c>
      <c r="I254" s="13" t="str">
        <f aca="false">IF($A254="","",IF(품목마스터!$G253="",0,품목마스터!$G253))</f>
        <v/>
      </c>
      <c r="J254" s="20" t="str">
        <f aca="false">IF($A254="","",IF($I254=0,"기준없음",TEXT($H254/$I254,"0%")&amp;"  "&amp;REPT("■",MIN(10,ROUND($H254/$I254*10,0)))))</f>
        <v/>
      </c>
    </row>
    <row r="255" customFormat="false" ht="15" hidden="false" customHeight="true" outlineLevel="0" collapsed="false">
      <c r="A255" s="12" t="str">
        <f aca="false">IF(품목마스터!$A254="","",품목마스터!$A254)</f>
        <v/>
      </c>
      <c r="B255" s="12" t="str">
        <f aca="false">IF($A255="","",품목마스터!$B254)</f>
        <v/>
      </c>
      <c r="C255" s="12" t="str">
        <f aca="false">IF($A255="","",품목마스터!$E254)</f>
        <v/>
      </c>
      <c r="D255" s="12" t="str">
        <f aca="false">IF($A255="","",품목마스터!$D254)</f>
        <v/>
      </c>
      <c r="E255" s="13" t="str">
        <f aca="false">IF($A255="","",IF(품목마스터!$F254="",0,품목마스터!$F254))</f>
        <v/>
      </c>
      <c r="F255" s="13" t="str">
        <f aca="false">IF($A255="","",SUMIFS(입출고내역!$G$3:$G$1002,입출고내역!$C$3:$C$1002,$A255,입출고내역!$B$3:$B$1002,"입고"))</f>
        <v/>
      </c>
      <c r="G255" s="13" t="str">
        <f aca="false">IF($A255="","",SUMIFS(입출고내역!$G$3:$G$1002,입출고내역!$C$3:$C$1002,$A255,입출고내역!$B$3:$B$1002,"출고"))</f>
        <v/>
      </c>
      <c r="H255" s="13" t="str">
        <f aca="false">IF($A255="","",$E255+SUMIFS(입출고내역!$L$3:$L$1002,입출고내역!$C$3:$C$1002,$A255))</f>
        <v/>
      </c>
      <c r="I255" s="13" t="str">
        <f aca="false">IF($A255="","",IF(품목마스터!$G254="",0,품목마스터!$G254))</f>
        <v/>
      </c>
      <c r="J255" s="20" t="str">
        <f aca="false">IF($A255="","",IF($I255=0,"기준없음",TEXT($H255/$I255,"0%")&amp;"  "&amp;REPT("■",MIN(10,ROUND($H255/$I255*10,0)))))</f>
        <v/>
      </c>
    </row>
    <row r="256" customFormat="false" ht="15" hidden="false" customHeight="true" outlineLevel="0" collapsed="false">
      <c r="A256" s="12" t="str">
        <f aca="false">IF(품목마스터!$A255="","",품목마스터!$A255)</f>
        <v/>
      </c>
      <c r="B256" s="12" t="str">
        <f aca="false">IF($A256="","",품목마스터!$B255)</f>
        <v/>
      </c>
      <c r="C256" s="12" t="str">
        <f aca="false">IF($A256="","",품목마스터!$E255)</f>
        <v/>
      </c>
      <c r="D256" s="12" t="str">
        <f aca="false">IF($A256="","",품목마스터!$D255)</f>
        <v/>
      </c>
      <c r="E256" s="13" t="str">
        <f aca="false">IF($A256="","",IF(품목마스터!$F255="",0,품목마스터!$F255))</f>
        <v/>
      </c>
      <c r="F256" s="13" t="str">
        <f aca="false">IF($A256="","",SUMIFS(입출고내역!$G$3:$G$1002,입출고내역!$C$3:$C$1002,$A256,입출고내역!$B$3:$B$1002,"입고"))</f>
        <v/>
      </c>
      <c r="G256" s="13" t="str">
        <f aca="false">IF($A256="","",SUMIFS(입출고내역!$G$3:$G$1002,입출고내역!$C$3:$C$1002,$A256,입출고내역!$B$3:$B$1002,"출고"))</f>
        <v/>
      </c>
      <c r="H256" s="13" t="str">
        <f aca="false">IF($A256="","",$E256+SUMIFS(입출고내역!$L$3:$L$1002,입출고내역!$C$3:$C$1002,$A256))</f>
        <v/>
      </c>
      <c r="I256" s="13" t="str">
        <f aca="false">IF($A256="","",IF(품목마스터!$G255="",0,품목마스터!$G255))</f>
        <v/>
      </c>
      <c r="J256" s="20" t="str">
        <f aca="false">IF($A256="","",IF($I256=0,"기준없음",TEXT($H256/$I256,"0%")&amp;"  "&amp;REPT("■",MIN(10,ROUND($H256/$I256*10,0)))))</f>
        <v/>
      </c>
    </row>
    <row r="257" customFormat="false" ht="15" hidden="false" customHeight="true" outlineLevel="0" collapsed="false">
      <c r="A257" s="12" t="str">
        <f aca="false">IF(품목마스터!$A256="","",품목마스터!$A256)</f>
        <v/>
      </c>
      <c r="B257" s="12" t="str">
        <f aca="false">IF($A257="","",품목마스터!$B256)</f>
        <v/>
      </c>
      <c r="C257" s="12" t="str">
        <f aca="false">IF($A257="","",품목마스터!$E256)</f>
        <v/>
      </c>
      <c r="D257" s="12" t="str">
        <f aca="false">IF($A257="","",품목마스터!$D256)</f>
        <v/>
      </c>
      <c r="E257" s="13" t="str">
        <f aca="false">IF($A257="","",IF(품목마스터!$F256="",0,품목마스터!$F256))</f>
        <v/>
      </c>
      <c r="F257" s="13" t="str">
        <f aca="false">IF($A257="","",SUMIFS(입출고내역!$G$3:$G$1002,입출고내역!$C$3:$C$1002,$A257,입출고내역!$B$3:$B$1002,"입고"))</f>
        <v/>
      </c>
      <c r="G257" s="13" t="str">
        <f aca="false">IF($A257="","",SUMIFS(입출고내역!$G$3:$G$1002,입출고내역!$C$3:$C$1002,$A257,입출고내역!$B$3:$B$1002,"출고"))</f>
        <v/>
      </c>
      <c r="H257" s="13" t="str">
        <f aca="false">IF($A257="","",$E257+SUMIFS(입출고내역!$L$3:$L$1002,입출고내역!$C$3:$C$1002,$A257))</f>
        <v/>
      </c>
      <c r="I257" s="13" t="str">
        <f aca="false">IF($A257="","",IF(품목마스터!$G256="",0,품목마스터!$G256))</f>
        <v/>
      </c>
      <c r="J257" s="20" t="str">
        <f aca="false">IF($A257="","",IF($I257=0,"기준없음",TEXT($H257/$I257,"0%")&amp;"  "&amp;REPT("■",MIN(10,ROUND($H257/$I257*10,0)))))</f>
        <v/>
      </c>
    </row>
    <row r="258" customFormat="false" ht="15" hidden="false" customHeight="true" outlineLevel="0" collapsed="false">
      <c r="A258" s="12" t="str">
        <f aca="false">IF(품목마스터!$A257="","",품목마스터!$A257)</f>
        <v/>
      </c>
      <c r="B258" s="12" t="str">
        <f aca="false">IF($A258="","",품목마스터!$B257)</f>
        <v/>
      </c>
      <c r="C258" s="12" t="str">
        <f aca="false">IF($A258="","",품목마스터!$E257)</f>
        <v/>
      </c>
      <c r="D258" s="12" t="str">
        <f aca="false">IF($A258="","",품목마스터!$D257)</f>
        <v/>
      </c>
      <c r="E258" s="13" t="str">
        <f aca="false">IF($A258="","",IF(품목마스터!$F257="",0,품목마스터!$F257))</f>
        <v/>
      </c>
      <c r="F258" s="13" t="str">
        <f aca="false">IF($A258="","",SUMIFS(입출고내역!$G$3:$G$1002,입출고내역!$C$3:$C$1002,$A258,입출고내역!$B$3:$B$1002,"입고"))</f>
        <v/>
      </c>
      <c r="G258" s="13" t="str">
        <f aca="false">IF($A258="","",SUMIFS(입출고내역!$G$3:$G$1002,입출고내역!$C$3:$C$1002,$A258,입출고내역!$B$3:$B$1002,"출고"))</f>
        <v/>
      </c>
      <c r="H258" s="13" t="str">
        <f aca="false">IF($A258="","",$E258+SUMIFS(입출고내역!$L$3:$L$1002,입출고내역!$C$3:$C$1002,$A258))</f>
        <v/>
      </c>
      <c r="I258" s="13" t="str">
        <f aca="false">IF($A258="","",IF(품목마스터!$G257="",0,품목마스터!$G257))</f>
        <v/>
      </c>
      <c r="J258" s="20" t="str">
        <f aca="false">IF($A258="","",IF($I258=0,"기준없음",TEXT($H258/$I258,"0%")&amp;"  "&amp;REPT("■",MIN(10,ROUND($H258/$I258*10,0)))))</f>
        <v/>
      </c>
    </row>
    <row r="259" customFormat="false" ht="15" hidden="false" customHeight="true" outlineLevel="0" collapsed="false">
      <c r="A259" s="12" t="str">
        <f aca="false">IF(품목마스터!$A258="","",품목마스터!$A258)</f>
        <v/>
      </c>
      <c r="B259" s="12" t="str">
        <f aca="false">IF($A259="","",품목마스터!$B258)</f>
        <v/>
      </c>
      <c r="C259" s="12" t="str">
        <f aca="false">IF($A259="","",품목마스터!$E258)</f>
        <v/>
      </c>
      <c r="D259" s="12" t="str">
        <f aca="false">IF($A259="","",품목마스터!$D258)</f>
        <v/>
      </c>
      <c r="E259" s="13" t="str">
        <f aca="false">IF($A259="","",IF(품목마스터!$F258="",0,품목마스터!$F258))</f>
        <v/>
      </c>
      <c r="F259" s="13" t="str">
        <f aca="false">IF($A259="","",SUMIFS(입출고내역!$G$3:$G$1002,입출고내역!$C$3:$C$1002,$A259,입출고내역!$B$3:$B$1002,"입고"))</f>
        <v/>
      </c>
      <c r="G259" s="13" t="str">
        <f aca="false">IF($A259="","",SUMIFS(입출고내역!$G$3:$G$1002,입출고내역!$C$3:$C$1002,$A259,입출고내역!$B$3:$B$1002,"출고"))</f>
        <v/>
      </c>
      <c r="H259" s="13" t="str">
        <f aca="false">IF($A259="","",$E259+SUMIFS(입출고내역!$L$3:$L$1002,입출고내역!$C$3:$C$1002,$A259))</f>
        <v/>
      </c>
      <c r="I259" s="13" t="str">
        <f aca="false">IF($A259="","",IF(품목마스터!$G258="",0,품목마스터!$G258))</f>
        <v/>
      </c>
      <c r="J259" s="20" t="str">
        <f aca="false">IF($A259="","",IF($I259=0,"기준없음",TEXT($H259/$I259,"0%")&amp;"  "&amp;REPT("■",MIN(10,ROUND($H259/$I259*10,0)))))</f>
        <v/>
      </c>
    </row>
    <row r="260" customFormat="false" ht="15" hidden="false" customHeight="true" outlineLevel="0" collapsed="false">
      <c r="A260" s="12" t="str">
        <f aca="false">IF(품목마스터!$A259="","",품목마스터!$A259)</f>
        <v/>
      </c>
      <c r="B260" s="12" t="str">
        <f aca="false">IF($A260="","",품목마스터!$B259)</f>
        <v/>
      </c>
      <c r="C260" s="12" t="str">
        <f aca="false">IF($A260="","",품목마스터!$E259)</f>
        <v/>
      </c>
      <c r="D260" s="12" t="str">
        <f aca="false">IF($A260="","",품목마스터!$D259)</f>
        <v/>
      </c>
      <c r="E260" s="13" t="str">
        <f aca="false">IF($A260="","",IF(품목마스터!$F259="",0,품목마스터!$F259))</f>
        <v/>
      </c>
      <c r="F260" s="13" t="str">
        <f aca="false">IF($A260="","",SUMIFS(입출고내역!$G$3:$G$1002,입출고내역!$C$3:$C$1002,$A260,입출고내역!$B$3:$B$1002,"입고"))</f>
        <v/>
      </c>
      <c r="G260" s="13" t="str">
        <f aca="false">IF($A260="","",SUMIFS(입출고내역!$G$3:$G$1002,입출고내역!$C$3:$C$1002,$A260,입출고내역!$B$3:$B$1002,"출고"))</f>
        <v/>
      </c>
      <c r="H260" s="13" t="str">
        <f aca="false">IF($A260="","",$E260+SUMIFS(입출고내역!$L$3:$L$1002,입출고내역!$C$3:$C$1002,$A260))</f>
        <v/>
      </c>
      <c r="I260" s="13" t="str">
        <f aca="false">IF($A260="","",IF(품목마스터!$G259="",0,품목마스터!$G259))</f>
        <v/>
      </c>
      <c r="J260" s="20" t="str">
        <f aca="false">IF($A260="","",IF($I260=0,"기준없음",TEXT($H260/$I260,"0%")&amp;"  "&amp;REPT("■",MIN(10,ROUND($H260/$I260*10,0)))))</f>
        <v/>
      </c>
    </row>
    <row r="261" customFormat="false" ht="15" hidden="false" customHeight="true" outlineLevel="0" collapsed="false">
      <c r="A261" s="12" t="str">
        <f aca="false">IF(품목마스터!$A260="","",품목마스터!$A260)</f>
        <v/>
      </c>
      <c r="B261" s="12" t="str">
        <f aca="false">IF($A261="","",품목마스터!$B260)</f>
        <v/>
      </c>
      <c r="C261" s="12" t="str">
        <f aca="false">IF($A261="","",품목마스터!$E260)</f>
        <v/>
      </c>
      <c r="D261" s="12" t="str">
        <f aca="false">IF($A261="","",품목마스터!$D260)</f>
        <v/>
      </c>
      <c r="E261" s="13" t="str">
        <f aca="false">IF($A261="","",IF(품목마스터!$F260="",0,품목마스터!$F260))</f>
        <v/>
      </c>
      <c r="F261" s="13" t="str">
        <f aca="false">IF($A261="","",SUMIFS(입출고내역!$G$3:$G$1002,입출고내역!$C$3:$C$1002,$A261,입출고내역!$B$3:$B$1002,"입고"))</f>
        <v/>
      </c>
      <c r="G261" s="13" t="str">
        <f aca="false">IF($A261="","",SUMIFS(입출고내역!$G$3:$G$1002,입출고내역!$C$3:$C$1002,$A261,입출고내역!$B$3:$B$1002,"출고"))</f>
        <v/>
      </c>
      <c r="H261" s="13" t="str">
        <f aca="false">IF($A261="","",$E261+SUMIFS(입출고내역!$L$3:$L$1002,입출고내역!$C$3:$C$1002,$A261))</f>
        <v/>
      </c>
      <c r="I261" s="13" t="str">
        <f aca="false">IF($A261="","",IF(품목마스터!$G260="",0,품목마스터!$G260))</f>
        <v/>
      </c>
      <c r="J261" s="20" t="str">
        <f aca="false">IF($A261="","",IF($I261=0,"기준없음",TEXT($H261/$I261,"0%")&amp;"  "&amp;REPT("■",MIN(10,ROUND($H261/$I261*10,0)))))</f>
        <v/>
      </c>
    </row>
    <row r="262" customFormat="false" ht="15" hidden="false" customHeight="true" outlineLevel="0" collapsed="false">
      <c r="A262" s="12" t="str">
        <f aca="false">IF(품목마스터!$A261="","",품목마스터!$A261)</f>
        <v/>
      </c>
      <c r="B262" s="12" t="str">
        <f aca="false">IF($A262="","",품목마스터!$B261)</f>
        <v/>
      </c>
      <c r="C262" s="12" t="str">
        <f aca="false">IF($A262="","",품목마스터!$E261)</f>
        <v/>
      </c>
      <c r="D262" s="12" t="str">
        <f aca="false">IF($A262="","",품목마스터!$D261)</f>
        <v/>
      </c>
      <c r="E262" s="13" t="str">
        <f aca="false">IF($A262="","",IF(품목마스터!$F261="",0,품목마스터!$F261))</f>
        <v/>
      </c>
      <c r="F262" s="13" t="str">
        <f aca="false">IF($A262="","",SUMIFS(입출고내역!$G$3:$G$1002,입출고내역!$C$3:$C$1002,$A262,입출고내역!$B$3:$B$1002,"입고"))</f>
        <v/>
      </c>
      <c r="G262" s="13" t="str">
        <f aca="false">IF($A262="","",SUMIFS(입출고내역!$G$3:$G$1002,입출고내역!$C$3:$C$1002,$A262,입출고내역!$B$3:$B$1002,"출고"))</f>
        <v/>
      </c>
      <c r="H262" s="13" t="str">
        <f aca="false">IF($A262="","",$E262+SUMIFS(입출고내역!$L$3:$L$1002,입출고내역!$C$3:$C$1002,$A262))</f>
        <v/>
      </c>
      <c r="I262" s="13" t="str">
        <f aca="false">IF($A262="","",IF(품목마스터!$G261="",0,품목마스터!$G261))</f>
        <v/>
      </c>
      <c r="J262" s="20" t="str">
        <f aca="false">IF($A262="","",IF($I262=0,"기준없음",TEXT($H262/$I262,"0%")&amp;"  "&amp;REPT("■",MIN(10,ROUND($H262/$I262*10,0)))))</f>
        <v/>
      </c>
    </row>
    <row r="263" customFormat="false" ht="15" hidden="false" customHeight="true" outlineLevel="0" collapsed="false">
      <c r="A263" s="12" t="str">
        <f aca="false">IF(품목마스터!$A262="","",품목마스터!$A262)</f>
        <v/>
      </c>
      <c r="B263" s="12" t="str">
        <f aca="false">IF($A263="","",품목마스터!$B262)</f>
        <v/>
      </c>
      <c r="C263" s="12" t="str">
        <f aca="false">IF($A263="","",품목마스터!$E262)</f>
        <v/>
      </c>
      <c r="D263" s="12" t="str">
        <f aca="false">IF($A263="","",품목마스터!$D262)</f>
        <v/>
      </c>
      <c r="E263" s="13" t="str">
        <f aca="false">IF($A263="","",IF(품목마스터!$F262="",0,품목마스터!$F262))</f>
        <v/>
      </c>
      <c r="F263" s="13" t="str">
        <f aca="false">IF($A263="","",SUMIFS(입출고내역!$G$3:$G$1002,입출고내역!$C$3:$C$1002,$A263,입출고내역!$B$3:$B$1002,"입고"))</f>
        <v/>
      </c>
      <c r="G263" s="13" t="str">
        <f aca="false">IF($A263="","",SUMIFS(입출고내역!$G$3:$G$1002,입출고내역!$C$3:$C$1002,$A263,입출고내역!$B$3:$B$1002,"출고"))</f>
        <v/>
      </c>
      <c r="H263" s="13" t="str">
        <f aca="false">IF($A263="","",$E263+SUMIFS(입출고내역!$L$3:$L$1002,입출고내역!$C$3:$C$1002,$A263))</f>
        <v/>
      </c>
      <c r="I263" s="13" t="str">
        <f aca="false">IF($A263="","",IF(품목마스터!$G262="",0,품목마스터!$G262))</f>
        <v/>
      </c>
      <c r="J263" s="20" t="str">
        <f aca="false">IF($A263="","",IF($I263=0,"기준없음",TEXT($H263/$I263,"0%")&amp;"  "&amp;REPT("■",MIN(10,ROUND($H263/$I263*10,0)))))</f>
        <v/>
      </c>
    </row>
    <row r="264" customFormat="false" ht="15" hidden="false" customHeight="true" outlineLevel="0" collapsed="false">
      <c r="A264" s="12" t="str">
        <f aca="false">IF(품목마스터!$A263="","",품목마스터!$A263)</f>
        <v/>
      </c>
      <c r="B264" s="12" t="str">
        <f aca="false">IF($A264="","",품목마스터!$B263)</f>
        <v/>
      </c>
      <c r="C264" s="12" t="str">
        <f aca="false">IF($A264="","",품목마스터!$E263)</f>
        <v/>
      </c>
      <c r="D264" s="12" t="str">
        <f aca="false">IF($A264="","",품목마스터!$D263)</f>
        <v/>
      </c>
      <c r="E264" s="13" t="str">
        <f aca="false">IF($A264="","",IF(품목마스터!$F263="",0,품목마스터!$F263))</f>
        <v/>
      </c>
      <c r="F264" s="13" t="str">
        <f aca="false">IF($A264="","",SUMIFS(입출고내역!$G$3:$G$1002,입출고내역!$C$3:$C$1002,$A264,입출고내역!$B$3:$B$1002,"입고"))</f>
        <v/>
      </c>
      <c r="G264" s="13" t="str">
        <f aca="false">IF($A264="","",SUMIFS(입출고내역!$G$3:$G$1002,입출고내역!$C$3:$C$1002,$A264,입출고내역!$B$3:$B$1002,"출고"))</f>
        <v/>
      </c>
      <c r="H264" s="13" t="str">
        <f aca="false">IF($A264="","",$E264+SUMIFS(입출고내역!$L$3:$L$1002,입출고내역!$C$3:$C$1002,$A264))</f>
        <v/>
      </c>
      <c r="I264" s="13" t="str">
        <f aca="false">IF($A264="","",IF(품목마스터!$G263="",0,품목마스터!$G263))</f>
        <v/>
      </c>
      <c r="J264" s="20" t="str">
        <f aca="false">IF($A264="","",IF($I264=0,"기준없음",TEXT($H264/$I264,"0%")&amp;"  "&amp;REPT("■",MIN(10,ROUND($H264/$I264*10,0)))))</f>
        <v/>
      </c>
    </row>
    <row r="265" customFormat="false" ht="15" hidden="false" customHeight="true" outlineLevel="0" collapsed="false">
      <c r="A265" s="12" t="str">
        <f aca="false">IF(품목마스터!$A264="","",품목마스터!$A264)</f>
        <v/>
      </c>
      <c r="B265" s="12" t="str">
        <f aca="false">IF($A265="","",품목마스터!$B264)</f>
        <v/>
      </c>
      <c r="C265" s="12" t="str">
        <f aca="false">IF($A265="","",품목마스터!$E264)</f>
        <v/>
      </c>
      <c r="D265" s="12" t="str">
        <f aca="false">IF($A265="","",품목마스터!$D264)</f>
        <v/>
      </c>
      <c r="E265" s="13" t="str">
        <f aca="false">IF($A265="","",IF(품목마스터!$F264="",0,품목마스터!$F264))</f>
        <v/>
      </c>
      <c r="F265" s="13" t="str">
        <f aca="false">IF($A265="","",SUMIFS(입출고내역!$G$3:$G$1002,입출고내역!$C$3:$C$1002,$A265,입출고내역!$B$3:$B$1002,"입고"))</f>
        <v/>
      </c>
      <c r="G265" s="13" t="str">
        <f aca="false">IF($A265="","",SUMIFS(입출고내역!$G$3:$G$1002,입출고내역!$C$3:$C$1002,$A265,입출고내역!$B$3:$B$1002,"출고"))</f>
        <v/>
      </c>
      <c r="H265" s="13" t="str">
        <f aca="false">IF($A265="","",$E265+SUMIFS(입출고내역!$L$3:$L$1002,입출고내역!$C$3:$C$1002,$A265))</f>
        <v/>
      </c>
      <c r="I265" s="13" t="str">
        <f aca="false">IF($A265="","",IF(품목마스터!$G264="",0,품목마스터!$G264))</f>
        <v/>
      </c>
      <c r="J265" s="20" t="str">
        <f aca="false">IF($A265="","",IF($I265=0,"기준없음",TEXT($H265/$I265,"0%")&amp;"  "&amp;REPT("■",MIN(10,ROUND($H265/$I265*10,0)))))</f>
        <v/>
      </c>
    </row>
    <row r="266" customFormat="false" ht="15" hidden="false" customHeight="true" outlineLevel="0" collapsed="false">
      <c r="A266" s="12" t="str">
        <f aca="false">IF(품목마스터!$A265="","",품목마스터!$A265)</f>
        <v/>
      </c>
      <c r="B266" s="12" t="str">
        <f aca="false">IF($A266="","",품목마스터!$B265)</f>
        <v/>
      </c>
      <c r="C266" s="12" t="str">
        <f aca="false">IF($A266="","",품목마스터!$E265)</f>
        <v/>
      </c>
      <c r="D266" s="12" t="str">
        <f aca="false">IF($A266="","",품목마스터!$D265)</f>
        <v/>
      </c>
      <c r="E266" s="13" t="str">
        <f aca="false">IF($A266="","",IF(품목마스터!$F265="",0,품목마스터!$F265))</f>
        <v/>
      </c>
      <c r="F266" s="13" t="str">
        <f aca="false">IF($A266="","",SUMIFS(입출고내역!$G$3:$G$1002,입출고내역!$C$3:$C$1002,$A266,입출고내역!$B$3:$B$1002,"입고"))</f>
        <v/>
      </c>
      <c r="G266" s="13" t="str">
        <f aca="false">IF($A266="","",SUMIFS(입출고내역!$G$3:$G$1002,입출고내역!$C$3:$C$1002,$A266,입출고내역!$B$3:$B$1002,"출고"))</f>
        <v/>
      </c>
      <c r="H266" s="13" t="str">
        <f aca="false">IF($A266="","",$E266+SUMIFS(입출고내역!$L$3:$L$1002,입출고내역!$C$3:$C$1002,$A266))</f>
        <v/>
      </c>
      <c r="I266" s="13" t="str">
        <f aca="false">IF($A266="","",IF(품목마스터!$G265="",0,품목마스터!$G265))</f>
        <v/>
      </c>
      <c r="J266" s="20" t="str">
        <f aca="false">IF($A266="","",IF($I266=0,"기준없음",TEXT($H266/$I266,"0%")&amp;"  "&amp;REPT("■",MIN(10,ROUND($H266/$I266*10,0)))))</f>
        <v/>
      </c>
    </row>
    <row r="267" customFormat="false" ht="15" hidden="false" customHeight="true" outlineLevel="0" collapsed="false">
      <c r="A267" s="12" t="str">
        <f aca="false">IF(품목마스터!$A266="","",품목마스터!$A266)</f>
        <v/>
      </c>
      <c r="B267" s="12" t="str">
        <f aca="false">IF($A267="","",품목마스터!$B266)</f>
        <v/>
      </c>
      <c r="C267" s="12" t="str">
        <f aca="false">IF($A267="","",품목마스터!$E266)</f>
        <v/>
      </c>
      <c r="D267" s="12" t="str">
        <f aca="false">IF($A267="","",품목마스터!$D266)</f>
        <v/>
      </c>
      <c r="E267" s="13" t="str">
        <f aca="false">IF($A267="","",IF(품목마스터!$F266="",0,품목마스터!$F266))</f>
        <v/>
      </c>
      <c r="F267" s="13" t="str">
        <f aca="false">IF($A267="","",SUMIFS(입출고내역!$G$3:$G$1002,입출고내역!$C$3:$C$1002,$A267,입출고내역!$B$3:$B$1002,"입고"))</f>
        <v/>
      </c>
      <c r="G267" s="13" t="str">
        <f aca="false">IF($A267="","",SUMIFS(입출고내역!$G$3:$G$1002,입출고내역!$C$3:$C$1002,$A267,입출고내역!$B$3:$B$1002,"출고"))</f>
        <v/>
      </c>
      <c r="H267" s="13" t="str">
        <f aca="false">IF($A267="","",$E267+SUMIFS(입출고내역!$L$3:$L$1002,입출고내역!$C$3:$C$1002,$A267))</f>
        <v/>
      </c>
      <c r="I267" s="13" t="str">
        <f aca="false">IF($A267="","",IF(품목마스터!$G266="",0,품목마스터!$G266))</f>
        <v/>
      </c>
      <c r="J267" s="20" t="str">
        <f aca="false">IF($A267="","",IF($I267=0,"기준없음",TEXT($H267/$I267,"0%")&amp;"  "&amp;REPT("■",MIN(10,ROUND($H267/$I267*10,0)))))</f>
        <v/>
      </c>
    </row>
    <row r="268" customFormat="false" ht="15" hidden="false" customHeight="true" outlineLevel="0" collapsed="false">
      <c r="A268" s="12" t="str">
        <f aca="false">IF(품목마스터!$A267="","",품목마스터!$A267)</f>
        <v/>
      </c>
      <c r="B268" s="12" t="str">
        <f aca="false">IF($A268="","",품목마스터!$B267)</f>
        <v/>
      </c>
      <c r="C268" s="12" t="str">
        <f aca="false">IF($A268="","",품목마스터!$E267)</f>
        <v/>
      </c>
      <c r="D268" s="12" t="str">
        <f aca="false">IF($A268="","",품목마스터!$D267)</f>
        <v/>
      </c>
      <c r="E268" s="13" t="str">
        <f aca="false">IF($A268="","",IF(품목마스터!$F267="",0,품목마스터!$F267))</f>
        <v/>
      </c>
      <c r="F268" s="13" t="str">
        <f aca="false">IF($A268="","",SUMIFS(입출고내역!$G$3:$G$1002,입출고내역!$C$3:$C$1002,$A268,입출고내역!$B$3:$B$1002,"입고"))</f>
        <v/>
      </c>
      <c r="G268" s="13" t="str">
        <f aca="false">IF($A268="","",SUMIFS(입출고내역!$G$3:$G$1002,입출고내역!$C$3:$C$1002,$A268,입출고내역!$B$3:$B$1002,"출고"))</f>
        <v/>
      </c>
      <c r="H268" s="13" t="str">
        <f aca="false">IF($A268="","",$E268+SUMIFS(입출고내역!$L$3:$L$1002,입출고내역!$C$3:$C$1002,$A268))</f>
        <v/>
      </c>
      <c r="I268" s="13" t="str">
        <f aca="false">IF($A268="","",IF(품목마스터!$G267="",0,품목마스터!$G267))</f>
        <v/>
      </c>
      <c r="J268" s="20" t="str">
        <f aca="false">IF($A268="","",IF($I268=0,"기준없음",TEXT($H268/$I268,"0%")&amp;"  "&amp;REPT("■",MIN(10,ROUND($H268/$I268*10,0)))))</f>
        <v/>
      </c>
    </row>
    <row r="269" customFormat="false" ht="15" hidden="false" customHeight="true" outlineLevel="0" collapsed="false">
      <c r="A269" s="12" t="str">
        <f aca="false">IF(품목마스터!$A268="","",품목마스터!$A268)</f>
        <v/>
      </c>
      <c r="B269" s="12" t="str">
        <f aca="false">IF($A269="","",품목마스터!$B268)</f>
        <v/>
      </c>
      <c r="C269" s="12" t="str">
        <f aca="false">IF($A269="","",품목마스터!$E268)</f>
        <v/>
      </c>
      <c r="D269" s="12" t="str">
        <f aca="false">IF($A269="","",품목마스터!$D268)</f>
        <v/>
      </c>
      <c r="E269" s="13" t="str">
        <f aca="false">IF($A269="","",IF(품목마스터!$F268="",0,품목마스터!$F268))</f>
        <v/>
      </c>
      <c r="F269" s="13" t="str">
        <f aca="false">IF($A269="","",SUMIFS(입출고내역!$G$3:$G$1002,입출고내역!$C$3:$C$1002,$A269,입출고내역!$B$3:$B$1002,"입고"))</f>
        <v/>
      </c>
      <c r="G269" s="13" t="str">
        <f aca="false">IF($A269="","",SUMIFS(입출고내역!$G$3:$G$1002,입출고내역!$C$3:$C$1002,$A269,입출고내역!$B$3:$B$1002,"출고"))</f>
        <v/>
      </c>
      <c r="H269" s="13" t="str">
        <f aca="false">IF($A269="","",$E269+SUMIFS(입출고내역!$L$3:$L$1002,입출고내역!$C$3:$C$1002,$A269))</f>
        <v/>
      </c>
      <c r="I269" s="13" t="str">
        <f aca="false">IF($A269="","",IF(품목마스터!$G268="",0,품목마스터!$G268))</f>
        <v/>
      </c>
      <c r="J269" s="20" t="str">
        <f aca="false">IF($A269="","",IF($I269=0,"기준없음",TEXT($H269/$I269,"0%")&amp;"  "&amp;REPT("■",MIN(10,ROUND($H269/$I269*10,0)))))</f>
        <v/>
      </c>
    </row>
    <row r="270" customFormat="false" ht="15" hidden="false" customHeight="true" outlineLevel="0" collapsed="false">
      <c r="A270" s="12" t="str">
        <f aca="false">IF(품목마스터!$A269="","",품목마스터!$A269)</f>
        <v/>
      </c>
      <c r="B270" s="12" t="str">
        <f aca="false">IF($A270="","",품목마스터!$B269)</f>
        <v/>
      </c>
      <c r="C270" s="12" t="str">
        <f aca="false">IF($A270="","",품목마스터!$E269)</f>
        <v/>
      </c>
      <c r="D270" s="12" t="str">
        <f aca="false">IF($A270="","",품목마스터!$D269)</f>
        <v/>
      </c>
      <c r="E270" s="13" t="str">
        <f aca="false">IF($A270="","",IF(품목마스터!$F269="",0,품목마스터!$F269))</f>
        <v/>
      </c>
      <c r="F270" s="13" t="str">
        <f aca="false">IF($A270="","",SUMIFS(입출고내역!$G$3:$G$1002,입출고내역!$C$3:$C$1002,$A270,입출고내역!$B$3:$B$1002,"입고"))</f>
        <v/>
      </c>
      <c r="G270" s="13" t="str">
        <f aca="false">IF($A270="","",SUMIFS(입출고내역!$G$3:$G$1002,입출고내역!$C$3:$C$1002,$A270,입출고내역!$B$3:$B$1002,"출고"))</f>
        <v/>
      </c>
      <c r="H270" s="13" t="str">
        <f aca="false">IF($A270="","",$E270+SUMIFS(입출고내역!$L$3:$L$1002,입출고내역!$C$3:$C$1002,$A270))</f>
        <v/>
      </c>
      <c r="I270" s="13" t="str">
        <f aca="false">IF($A270="","",IF(품목마스터!$G269="",0,품목마스터!$G269))</f>
        <v/>
      </c>
      <c r="J270" s="20" t="str">
        <f aca="false">IF($A270="","",IF($I270=0,"기준없음",TEXT($H270/$I270,"0%")&amp;"  "&amp;REPT("■",MIN(10,ROUND($H270/$I270*10,0)))))</f>
        <v/>
      </c>
    </row>
    <row r="271" customFormat="false" ht="15" hidden="false" customHeight="true" outlineLevel="0" collapsed="false">
      <c r="A271" s="12" t="str">
        <f aca="false">IF(품목마스터!$A270="","",품목마스터!$A270)</f>
        <v/>
      </c>
      <c r="B271" s="12" t="str">
        <f aca="false">IF($A271="","",품목마스터!$B270)</f>
        <v/>
      </c>
      <c r="C271" s="12" t="str">
        <f aca="false">IF($A271="","",품목마스터!$E270)</f>
        <v/>
      </c>
      <c r="D271" s="12" t="str">
        <f aca="false">IF($A271="","",품목마스터!$D270)</f>
        <v/>
      </c>
      <c r="E271" s="13" t="str">
        <f aca="false">IF($A271="","",IF(품목마스터!$F270="",0,품목마스터!$F270))</f>
        <v/>
      </c>
      <c r="F271" s="13" t="str">
        <f aca="false">IF($A271="","",SUMIFS(입출고내역!$G$3:$G$1002,입출고내역!$C$3:$C$1002,$A271,입출고내역!$B$3:$B$1002,"입고"))</f>
        <v/>
      </c>
      <c r="G271" s="13" t="str">
        <f aca="false">IF($A271="","",SUMIFS(입출고내역!$G$3:$G$1002,입출고내역!$C$3:$C$1002,$A271,입출고내역!$B$3:$B$1002,"출고"))</f>
        <v/>
      </c>
      <c r="H271" s="13" t="str">
        <f aca="false">IF($A271="","",$E271+SUMIFS(입출고내역!$L$3:$L$1002,입출고내역!$C$3:$C$1002,$A271))</f>
        <v/>
      </c>
      <c r="I271" s="13" t="str">
        <f aca="false">IF($A271="","",IF(품목마스터!$G270="",0,품목마스터!$G270))</f>
        <v/>
      </c>
      <c r="J271" s="20" t="str">
        <f aca="false">IF($A271="","",IF($I271=0,"기준없음",TEXT($H271/$I271,"0%")&amp;"  "&amp;REPT("■",MIN(10,ROUND($H271/$I271*10,0)))))</f>
        <v/>
      </c>
    </row>
    <row r="272" customFormat="false" ht="15" hidden="false" customHeight="true" outlineLevel="0" collapsed="false">
      <c r="A272" s="12" t="str">
        <f aca="false">IF(품목마스터!$A271="","",품목마스터!$A271)</f>
        <v/>
      </c>
      <c r="B272" s="12" t="str">
        <f aca="false">IF($A272="","",품목마스터!$B271)</f>
        <v/>
      </c>
      <c r="C272" s="12" t="str">
        <f aca="false">IF($A272="","",품목마스터!$E271)</f>
        <v/>
      </c>
      <c r="D272" s="12" t="str">
        <f aca="false">IF($A272="","",품목마스터!$D271)</f>
        <v/>
      </c>
      <c r="E272" s="13" t="str">
        <f aca="false">IF($A272="","",IF(품목마스터!$F271="",0,품목마스터!$F271))</f>
        <v/>
      </c>
      <c r="F272" s="13" t="str">
        <f aca="false">IF($A272="","",SUMIFS(입출고내역!$G$3:$G$1002,입출고내역!$C$3:$C$1002,$A272,입출고내역!$B$3:$B$1002,"입고"))</f>
        <v/>
      </c>
      <c r="G272" s="13" t="str">
        <f aca="false">IF($A272="","",SUMIFS(입출고내역!$G$3:$G$1002,입출고내역!$C$3:$C$1002,$A272,입출고내역!$B$3:$B$1002,"출고"))</f>
        <v/>
      </c>
      <c r="H272" s="13" t="str">
        <f aca="false">IF($A272="","",$E272+SUMIFS(입출고내역!$L$3:$L$1002,입출고내역!$C$3:$C$1002,$A272))</f>
        <v/>
      </c>
      <c r="I272" s="13" t="str">
        <f aca="false">IF($A272="","",IF(품목마스터!$G271="",0,품목마스터!$G271))</f>
        <v/>
      </c>
      <c r="J272" s="20" t="str">
        <f aca="false">IF($A272="","",IF($I272=0,"기준없음",TEXT($H272/$I272,"0%")&amp;"  "&amp;REPT("■",MIN(10,ROUND($H272/$I272*10,0)))))</f>
        <v/>
      </c>
    </row>
    <row r="273" customFormat="false" ht="15" hidden="false" customHeight="true" outlineLevel="0" collapsed="false">
      <c r="A273" s="12" t="str">
        <f aca="false">IF(품목마스터!$A272="","",품목마스터!$A272)</f>
        <v/>
      </c>
      <c r="B273" s="12" t="str">
        <f aca="false">IF($A273="","",품목마스터!$B272)</f>
        <v/>
      </c>
      <c r="C273" s="12" t="str">
        <f aca="false">IF($A273="","",품목마스터!$E272)</f>
        <v/>
      </c>
      <c r="D273" s="12" t="str">
        <f aca="false">IF($A273="","",품목마스터!$D272)</f>
        <v/>
      </c>
      <c r="E273" s="13" t="str">
        <f aca="false">IF($A273="","",IF(품목마스터!$F272="",0,품목마스터!$F272))</f>
        <v/>
      </c>
      <c r="F273" s="13" t="str">
        <f aca="false">IF($A273="","",SUMIFS(입출고내역!$G$3:$G$1002,입출고내역!$C$3:$C$1002,$A273,입출고내역!$B$3:$B$1002,"입고"))</f>
        <v/>
      </c>
      <c r="G273" s="13" t="str">
        <f aca="false">IF($A273="","",SUMIFS(입출고내역!$G$3:$G$1002,입출고내역!$C$3:$C$1002,$A273,입출고내역!$B$3:$B$1002,"출고"))</f>
        <v/>
      </c>
      <c r="H273" s="13" t="str">
        <f aca="false">IF($A273="","",$E273+SUMIFS(입출고내역!$L$3:$L$1002,입출고내역!$C$3:$C$1002,$A273))</f>
        <v/>
      </c>
      <c r="I273" s="13" t="str">
        <f aca="false">IF($A273="","",IF(품목마스터!$G272="",0,품목마스터!$G272))</f>
        <v/>
      </c>
      <c r="J273" s="20" t="str">
        <f aca="false">IF($A273="","",IF($I273=0,"기준없음",TEXT($H273/$I273,"0%")&amp;"  "&amp;REPT("■",MIN(10,ROUND($H273/$I273*10,0)))))</f>
        <v/>
      </c>
    </row>
    <row r="274" customFormat="false" ht="15" hidden="false" customHeight="true" outlineLevel="0" collapsed="false">
      <c r="A274" s="12" t="str">
        <f aca="false">IF(품목마스터!$A273="","",품목마스터!$A273)</f>
        <v/>
      </c>
      <c r="B274" s="12" t="str">
        <f aca="false">IF($A274="","",품목마스터!$B273)</f>
        <v/>
      </c>
      <c r="C274" s="12" t="str">
        <f aca="false">IF($A274="","",품목마스터!$E273)</f>
        <v/>
      </c>
      <c r="D274" s="12" t="str">
        <f aca="false">IF($A274="","",품목마스터!$D273)</f>
        <v/>
      </c>
      <c r="E274" s="13" t="str">
        <f aca="false">IF($A274="","",IF(품목마스터!$F273="",0,품목마스터!$F273))</f>
        <v/>
      </c>
      <c r="F274" s="13" t="str">
        <f aca="false">IF($A274="","",SUMIFS(입출고내역!$G$3:$G$1002,입출고내역!$C$3:$C$1002,$A274,입출고내역!$B$3:$B$1002,"입고"))</f>
        <v/>
      </c>
      <c r="G274" s="13" t="str">
        <f aca="false">IF($A274="","",SUMIFS(입출고내역!$G$3:$G$1002,입출고내역!$C$3:$C$1002,$A274,입출고내역!$B$3:$B$1002,"출고"))</f>
        <v/>
      </c>
      <c r="H274" s="13" t="str">
        <f aca="false">IF($A274="","",$E274+SUMIFS(입출고내역!$L$3:$L$1002,입출고내역!$C$3:$C$1002,$A274))</f>
        <v/>
      </c>
      <c r="I274" s="13" t="str">
        <f aca="false">IF($A274="","",IF(품목마스터!$G273="",0,품목마스터!$G273))</f>
        <v/>
      </c>
      <c r="J274" s="20" t="str">
        <f aca="false">IF($A274="","",IF($I274=0,"기준없음",TEXT($H274/$I274,"0%")&amp;"  "&amp;REPT("■",MIN(10,ROUND($H274/$I274*10,0)))))</f>
        <v/>
      </c>
    </row>
    <row r="275" customFormat="false" ht="15" hidden="false" customHeight="true" outlineLevel="0" collapsed="false">
      <c r="A275" s="12" t="str">
        <f aca="false">IF(품목마스터!$A274="","",품목마스터!$A274)</f>
        <v/>
      </c>
      <c r="B275" s="12" t="str">
        <f aca="false">IF($A275="","",품목마스터!$B274)</f>
        <v/>
      </c>
      <c r="C275" s="12" t="str">
        <f aca="false">IF($A275="","",품목마스터!$E274)</f>
        <v/>
      </c>
      <c r="D275" s="12" t="str">
        <f aca="false">IF($A275="","",품목마스터!$D274)</f>
        <v/>
      </c>
      <c r="E275" s="13" t="str">
        <f aca="false">IF($A275="","",IF(품목마스터!$F274="",0,품목마스터!$F274))</f>
        <v/>
      </c>
      <c r="F275" s="13" t="str">
        <f aca="false">IF($A275="","",SUMIFS(입출고내역!$G$3:$G$1002,입출고내역!$C$3:$C$1002,$A275,입출고내역!$B$3:$B$1002,"입고"))</f>
        <v/>
      </c>
      <c r="G275" s="13" t="str">
        <f aca="false">IF($A275="","",SUMIFS(입출고내역!$G$3:$G$1002,입출고내역!$C$3:$C$1002,$A275,입출고내역!$B$3:$B$1002,"출고"))</f>
        <v/>
      </c>
      <c r="H275" s="13" t="str">
        <f aca="false">IF($A275="","",$E275+SUMIFS(입출고내역!$L$3:$L$1002,입출고내역!$C$3:$C$1002,$A275))</f>
        <v/>
      </c>
      <c r="I275" s="13" t="str">
        <f aca="false">IF($A275="","",IF(품목마스터!$G274="",0,품목마스터!$G274))</f>
        <v/>
      </c>
      <c r="J275" s="20" t="str">
        <f aca="false">IF($A275="","",IF($I275=0,"기준없음",TEXT($H275/$I275,"0%")&amp;"  "&amp;REPT("■",MIN(10,ROUND($H275/$I275*10,0)))))</f>
        <v/>
      </c>
    </row>
    <row r="276" customFormat="false" ht="15" hidden="false" customHeight="true" outlineLevel="0" collapsed="false">
      <c r="A276" s="12" t="str">
        <f aca="false">IF(품목마스터!$A275="","",품목마스터!$A275)</f>
        <v/>
      </c>
      <c r="B276" s="12" t="str">
        <f aca="false">IF($A276="","",품목마스터!$B275)</f>
        <v/>
      </c>
      <c r="C276" s="12" t="str">
        <f aca="false">IF($A276="","",품목마스터!$E275)</f>
        <v/>
      </c>
      <c r="D276" s="12" t="str">
        <f aca="false">IF($A276="","",품목마스터!$D275)</f>
        <v/>
      </c>
      <c r="E276" s="13" t="str">
        <f aca="false">IF($A276="","",IF(품목마스터!$F275="",0,품목마스터!$F275))</f>
        <v/>
      </c>
      <c r="F276" s="13" t="str">
        <f aca="false">IF($A276="","",SUMIFS(입출고내역!$G$3:$G$1002,입출고내역!$C$3:$C$1002,$A276,입출고내역!$B$3:$B$1002,"입고"))</f>
        <v/>
      </c>
      <c r="G276" s="13" t="str">
        <f aca="false">IF($A276="","",SUMIFS(입출고내역!$G$3:$G$1002,입출고내역!$C$3:$C$1002,$A276,입출고내역!$B$3:$B$1002,"출고"))</f>
        <v/>
      </c>
      <c r="H276" s="13" t="str">
        <f aca="false">IF($A276="","",$E276+SUMIFS(입출고내역!$L$3:$L$1002,입출고내역!$C$3:$C$1002,$A276))</f>
        <v/>
      </c>
      <c r="I276" s="13" t="str">
        <f aca="false">IF($A276="","",IF(품목마스터!$G275="",0,품목마스터!$G275))</f>
        <v/>
      </c>
      <c r="J276" s="20" t="str">
        <f aca="false">IF($A276="","",IF($I276=0,"기준없음",TEXT($H276/$I276,"0%")&amp;"  "&amp;REPT("■",MIN(10,ROUND($H276/$I276*10,0)))))</f>
        <v/>
      </c>
    </row>
    <row r="277" customFormat="false" ht="15" hidden="false" customHeight="true" outlineLevel="0" collapsed="false">
      <c r="A277" s="12" t="str">
        <f aca="false">IF(품목마스터!$A276="","",품목마스터!$A276)</f>
        <v/>
      </c>
      <c r="B277" s="12" t="str">
        <f aca="false">IF($A277="","",품목마스터!$B276)</f>
        <v/>
      </c>
      <c r="C277" s="12" t="str">
        <f aca="false">IF($A277="","",품목마스터!$E276)</f>
        <v/>
      </c>
      <c r="D277" s="12" t="str">
        <f aca="false">IF($A277="","",품목마스터!$D276)</f>
        <v/>
      </c>
      <c r="E277" s="13" t="str">
        <f aca="false">IF($A277="","",IF(품목마스터!$F276="",0,품목마스터!$F276))</f>
        <v/>
      </c>
      <c r="F277" s="13" t="str">
        <f aca="false">IF($A277="","",SUMIFS(입출고내역!$G$3:$G$1002,입출고내역!$C$3:$C$1002,$A277,입출고내역!$B$3:$B$1002,"입고"))</f>
        <v/>
      </c>
      <c r="G277" s="13" t="str">
        <f aca="false">IF($A277="","",SUMIFS(입출고내역!$G$3:$G$1002,입출고내역!$C$3:$C$1002,$A277,입출고내역!$B$3:$B$1002,"출고"))</f>
        <v/>
      </c>
      <c r="H277" s="13" t="str">
        <f aca="false">IF($A277="","",$E277+SUMIFS(입출고내역!$L$3:$L$1002,입출고내역!$C$3:$C$1002,$A277))</f>
        <v/>
      </c>
      <c r="I277" s="13" t="str">
        <f aca="false">IF($A277="","",IF(품목마스터!$G276="",0,품목마스터!$G276))</f>
        <v/>
      </c>
      <c r="J277" s="20" t="str">
        <f aca="false">IF($A277="","",IF($I277=0,"기준없음",TEXT($H277/$I277,"0%")&amp;"  "&amp;REPT("■",MIN(10,ROUND($H277/$I277*10,0)))))</f>
        <v/>
      </c>
    </row>
    <row r="278" customFormat="false" ht="15" hidden="false" customHeight="true" outlineLevel="0" collapsed="false">
      <c r="A278" s="12" t="str">
        <f aca="false">IF(품목마스터!$A277="","",품목마스터!$A277)</f>
        <v/>
      </c>
      <c r="B278" s="12" t="str">
        <f aca="false">IF($A278="","",품목마스터!$B277)</f>
        <v/>
      </c>
      <c r="C278" s="12" t="str">
        <f aca="false">IF($A278="","",품목마스터!$E277)</f>
        <v/>
      </c>
      <c r="D278" s="12" t="str">
        <f aca="false">IF($A278="","",품목마스터!$D277)</f>
        <v/>
      </c>
      <c r="E278" s="13" t="str">
        <f aca="false">IF($A278="","",IF(품목마스터!$F277="",0,품목마스터!$F277))</f>
        <v/>
      </c>
      <c r="F278" s="13" t="str">
        <f aca="false">IF($A278="","",SUMIFS(입출고내역!$G$3:$G$1002,입출고내역!$C$3:$C$1002,$A278,입출고내역!$B$3:$B$1002,"입고"))</f>
        <v/>
      </c>
      <c r="G278" s="13" t="str">
        <f aca="false">IF($A278="","",SUMIFS(입출고내역!$G$3:$G$1002,입출고내역!$C$3:$C$1002,$A278,입출고내역!$B$3:$B$1002,"출고"))</f>
        <v/>
      </c>
      <c r="H278" s="13" t="str">
        <f aca="false">IF($A278="","",$E278+SUMIFS(입출고내역!$L$3:$L$1002,입출고내역!$C$3:$C$1002,$A278))</f>
        <v/>
      </c>
      <c r="I278" s="13" t="str">
        <f aca="false">IF($A278="","",IF(품목마스터!$G277="",0,품목마스터!$G277))</f>
        <v/>
      </c>
      <c r="J278" s="20" t="str">
        <f aca="false">IF($A278="","",IF($I278=0,"기준없음",TEXT($H278/$I278,"0%")&amp;"  "&amp;REPT("■",MIN(10,ROUND($H278/$I278*10,0)))))</f>
        <v/>
      </c>
    </row>
    <row r="279" customFormat="false" ht="15" hidden="false" customHeight="true" outlineLevel="0" collapsed="false">
      <c r="A279" s="12" t="str">
        <f aca="false">IF(품목마스터!$A278="","",품목마스터!$A278)</f>
        <v/>
      </c>
      <c r="B279" s="12" t="str">
        <f aca="false">IF($A279="","",품목마스터!$B278)</f>
        <v/>
      </c>
      <c r="C279" s="12" t="str">
        <f aca="false">IF($A279="","",품목마스터!$E278)</f>
        <v/>
      </c>
      <c r="D279" s="12" t="str">
        <f aca="false">IF($A279="","",품목마스터!$D278)</f>
        <v/>
      </c>
      <c r="E279" s="13" t="str">
        <f aca="false">IF($A279="","",IF(품목마스터!$F278="",0,품목마스터!$F278))</f>
        <v/>
      </c>
      <c r="F279" s="13" t="str">
        <f aca="false">IF($A279="","",SUMIFS(입출고내역!$G$3:$G$1002,입출고내역!$C$3:$C$1002,$A279,입출고내역!$B$3:$B$1002,"입고"))</f>
        <v/>
      </c>
      <c r="G279" s="13" t="str">
        <f aca="false">IF($A279="","",SUMIFS(입출고내역!$G$3:$G$1002,입출고내역!$C$3:$C$1002,$A279,입출고내역!$B$3:$B$1002,"출고"))</f>
        <v/>
      </c>
      <c r="H279" s="13" t="str">
        <f aca="false">IF($A279="","",$E279+SUMIFS(입출고내역!$L$3:$L$1002,입출고내역!$C$3:$C$1002,$A279))</f>
        <v/>
      </c>
      <c r="I279" s="13" t="str">
        <f aca="false">IF($A279="","",IF(품목마스터!$G278="",0,품목마스터!$G278))</f>
        <v/>
      </c>
      <c r="J279" s="20" t="str">
        <f aca="false">IF($A279="","",IF($I279=0,"기준없음",TEXT($H279/$I279,"0%")&amp;"  "&amp;REPT("■",MIN(10,ROUND($H279/$I279*10,0)))))</f>
        <v/>
      </c>
    </row>
    <row r="280" customFormat="false" ht="15" hidden="false" customHeight="true" outlineLevel="0" collapsed="false">
      <c r="A280" s="12" t="str">
        <f aca="false">IF(품목마스터!$A279="","",품목마스터!$A279)</f>
        <v/>
      </c>
      <c r="B280" s="12" t="str">
        <f aca="false">IF($A280="","",품목마스터!$B279)</f>
        <v/>
      </c>
      <c r="C280" s="12" t="str">
        <f aca="false">IF($A280="","",품목마스터!$E279)</f>
        <v/>
      </c>
      <c r="D280" s="12" t="str">
        <f aca="false">IF($A280="","",품목마스터!$D279)</f>
        <v/>
      </c>
      <c r="E280" s="13" t="str">
        <f aca="false">IF($A280="","",IF(품목마스터!$F279="",0,품목마스터!$F279))</f>
        <v/>
      </c>
      <c r="F280" s="13" t="str">
        <f aca="false">IF($A280="","",SUMIFS(입출고내역!$G$3:$G$1002,입출고내역!$C$3:$C$1002,$A280,입출고내역!$B$3:$B$1002,"입고"))</f>
        <v/>
      </c>
      <c r="G280" s="13" t="str">
        <f aca="false">IF($A280="","",SUMIFS(입출고내역!$G$3:$G$1002,입출고내역!$C$3:$C$1002,$A280,입출고내역!$B$3:$B$1002,"출고"))</f>
        <v/>
      </c>
      <c r="H280" s="13" t="str">
        <f aca="false">IF($A280="","",$E280+SUMIFS(입출고내역!$L$3:$L$1002,입출고내역!$C$3:$C$1002,$A280))</f>
        <v/>
      </c>
      <c r="I280" s="13" t="str">
        <f aca="false">IF($A280="","",IF(품목마스터!$G279="",0,품목마스터!$G279))</f>
        <v/>
      </c>
      <c r="J280" s="20" t="str">
        <f aca="false">IF($A280="","",IF($I280=0,"기준없음",TEXT($H280/$I280,"0%")&amp;"  "&amp;REPT("■",MIN(10,ROUND($H280/$I280*10,0)))))</f>
        <v/>
      </c>
    </row>
    <row r="281" customFormat="false" ht="15" hidden="false" customHeight="true" outlineLevel="0" collapsed="false">
      <c r="A281" s="12" t="str">
        <f aca="false">IF(품목마스터!$A280="","",품목마스터!$A280)</f>
        <v/>
      </c>
      <c r="B281" s="12" t="str">
        <f aca="false">IF($A281="","",품목마스터!$B280)</f>
        <v/>
      </c>
      <c r="C281" s="12" t="str">
        <f aca="false">IF($A281="","",품목마스터!$E280)</f>
        <v/>
      </c>
      <c r="D281" s="12" t="str">
        <f aca="false">IF($A281="","",품목마스터!$D280)</f>
        <v/>
      </c>
      <c r="E281" s="13" t="str">
        <f aca="false">IF($A281="","",IF(품목마스터!$F280="",0,품목마스터!$F280))</f>
        <v/>
      </c>
      <c r="F281" s="13" t="str">
        <f aca="false">IF($A281="","",SUMIFS(입출고내역!$G$3:$G$1002,입출고내역!$C$3:$C$1002,$A281,입출고내역!$B$3:$B$1002,"입고"))</f>
        <v/>
      </c>
      <c r="G281" s="13" t="str">
        <f aca="false">IF($A281="","",SUMIFS(입출고내역!$G$3:$G$1002,입출고내역!$C$3:$C$1002,$A281,입출고내역!$B$3:$B$1002,"출고"))</f>
        <v/>
      </c>
      <c r="H281" s="13" t="str">
        <f aca="false">IF($A281="","",$E281+SUMIFS(입출고내역!$L$3:$L$1002,입출고내역!$C$3:$C$1002,$A281))</f>
        <v/>
      </c>
      <c r="I281" s="13" t="str">
        <f aca="false">IF($A281="","",IF(품목마스터!$G280="",0,품목마스터!$G280))</f>
        <v/>
      </c>
      <c r="J281" s="20" t="str">
        <f aca="false">IF($A281="","",IF($I281=0,"기준없음",TEXT($H281/$I281,"0%")&amp;"  "&amp;REPT("■",MIN(10,ROUND($H281/$I281*10,0)))))</f>
        <v/>
      </c>
    </row>
    <row r="282" customFormat="false" ht="15" hidden="false" customHeight="true" outlineLevel="0" collapsed="false">
      <c r="A282" s="12" t="str">
        <f aca="false">IF(품목마스터!$A281="","",품목마스터!$A281)</f>
        <v/>
      </c>
      <c r="B282" s="12" t="str">
        <f aca="false">IF($A282="","",품목마스터!$B281)</f>
        <v/>
      </c>
      <c r="C282" s="12" t="str">
        <f aca="false">IF($A282="","",품목마스터!$E281)</f>
        <v/>
      </c>
      <c r="D282" s="12" t="str">
        <f aca="false">IF($A282="","",품목마스터!$D281)</f>
        <v/>
      </c>
      <c r="E282" s="13" t="str">
        <f aca="false">IF($A282="","",IF(품목마스터!$F281="",0,품목마스터!$F281))</f>
        <v/>
      </c>
      <c r="F282" s="13" t="str">
        <f aca="false">IF($A282="","",SUMIFS(입출고내역!$G$3:$G$1002,입출고내역!$C$3:$C$1002,$A282,입출고내역!$B$3:$B$1002,"입고"))</f>
        <v/>
      </c>
      <c r="G282" s="13" t="str">
        <f aca="false">IF($A282="","",SUMIFS(입출고내역!$G$3:$G$1002,입출고내역!$C$3:$C$1002,$A282,입출고내역!$B$3:$B$1002,"출고"))</f>
        <v/>
      </c>
      <c r="H282" s="13" t="str">
        <f aca="false">IF($A282="","",$E282+SUMIFS(입출고내역!$L$3:$L$1002,입출고내역!$C$3:$C$1002,$A282))</f>
        <v/>
      </c>
      <c r="I282" s="13" t="str">
        <f aca="false">IF($A282="","",IF(품목마스터!$G281="",0,품목마스터!$G281))</f>
        <v/>
      </c>
      <c r="J282" s="20" t="str">
        <f aca="false">IF($A282="","",IF($I282=0,"기준없음",TEXT($H282/$I282,"0%")&amp;"  "&amp;REPT("■",MIN(10,ROUND($H282/$I282*10,0)))))</f>
        <v/>
      </c>
    </row>
    <row r="283" customFormat="false" ht="15" hidden="false" customHeight="true" outlineLevel="0" collapsed="false">
      <c r="A283" s="12" t="str">
        <f aca="false">IF(품목마스터!$A282="","",품목마스터!$A282)</f>
        <v/>
      </c>
      <c r="B283" s="12" t="str">
        <f aca="false">IF($A283="","",품목마스터!$B282)</f>
        <v/>
      </c>
      <c r="C283" s="12" t="str">
        <f aca="false">IF($A283="","",품목마스터!$E282)</f>
        <v/>
      </c>
      <c r="D283" s="12" t="str">
        <f aca="false">IF($A283="","",품목마스터!$D282)</f>
        <v/>
      </c>
      <c r="E283" s="13" t="str">
        <f aca="false">IF($A283="","",IF(품목마스터!$F282="",0,품목마스터!$F282))</f>
        <v/>
      </c>
      <c r="F283" s="13" t="str">
        <f aca="false">IF($A283="","",SUMIFS(입출고내역!$G$3:$G$1002,입출고내역!$C$3:$C$1002,$A283,입출고내역!$B$3:$B$1002,"입고"))</f>
        <v/>
      </c>
      <c r="G283" s="13" t="str">
        <f aca="false">IF($A283="","",SUMIFS(입출고내역!$G$3:$G$1002,입출고내역!$C$3:$C$1002,$A283,입출고내역!$B$3:$B$1002,"출고"))</f>
        <v/>
      </c>
      <c r="H283" s="13" t="str">
        <f aca="false">IF($A283="","",$E283+SUMIFS(입출고내역!$L$3:$L$1002,입출고내역!$C$3:$C$1002,$A283))</f>
        <v/>
      </c>
      <c r="I283" s="13" t="str">
        <f aca="false">IF($A283="","",IF(품목마스터!$G282="",0,품목마스터!$G282))</f>
        <v/>
      </c>
      <c r="J283" s="20" t="str">
        <f aca="false">IF($A283="","",IF($I283=0,"기준없음",TEXT($H283/$I283,"0%")&amp;"  "&amp;REPT("■",MIN(10,ROUND($H283/$I283*10,0)))))</f>
        <v/>
      </c>
    </row>
    <row r="284" customFormat="false" ht="15" hidden="false" customHeight="true" outlineLevel="0" collapsed="false">
      <c r="A284" s="12" t="str">
        <f aca="false">IF(품목마스터!$A283="","",품목마스터!$A283)</f>
        <v/>
      </c>
      <c r="B284" s="12" t="str">
        <f aca="false">IF($A284="","",품목마스터!$B283)</f>
        <v/>
      </c>
      <c r="C284" s="12" t="str">
        <f aca="false">IF($A284="","",품목마스터!$E283)</f>
        <v/>
      </c>
      <c r="D284" s="12" t="str">
        <f aca="false">IF($A284="","",품목마스터!$D283)</f>
        <v/>
      </c>
      <c r="E284" s="13" t="str">
        <f aca="false">IF($A284="","",IF(품목마스터!$F283="",0,품목마스터!$F283))</f>
        <v/>
      </c>
      <c r="F284" s="13" t="str">
        <f aca="false">IF($A284="","",SUMIFS(입출고내역!$G$3:$G$1002,입출고내역!$C$3:$C$1002,$A284,입출고내역!$B$3:$B$1002,"입고"))</f>
        <v/>
      </c>
      <c r="G284" s="13" t="str">
        <f aca="false">IF($A284="","",SUMIFS(입출고내역!$G$3:$G$1002,입출고내역!$C$3:$C$1002,$A284,입출고내역!$B$3:$B$1002,"출고"))</f>
        <v/>
      </c>
      <c r="H284" s="13" t="str">
        <f aca="false">IF($A284="","",$E284+SUMIFS(입출고내역!$L$3:$L$1002,입출고내역!$C$3:$C$1002,$A284))</f>
        <v/>
      </c>
      <c r="I284" s="13" t="str">
        <f aca="false">IF($A284="","",IF(품목마스터!$G283="",0,품목마스터!$G283))</f>
        <v/>
      </c>
      <c r="J284" s="20" t="str">
        <f aca="false">IF($A284="","",IF($I284=0,"기준없음",TEXT($H284/$I284,"0%")&amp;"  "&amp;REPT("■",MIN(10,ROUND($H284/$I284*10,0)))))</f>
        <v/>
      </c>
    </row>
    <row r="285" customFormat="false" ht="15" hidden="false" customHeight="true" outlineLevel="0" collapsed="false">
      <c r="A285" s="12" t="str">
        <f aca="false">IF(품목마스터!$A284="","",품목마스터!$A284)</f>
        <v/>
      </c>
      <c r="B285" s="12" t="str">
        <f aca="false">IF($A285="","",품목마스터!$B284)</f>
        <v/>
      </c>
      <c r="C285" s="12" t="str">
        <f aca="false">IF($A285="","",품목마스터!$E284)</f>
        <v/>
      </c>
      <c r="D285" s="12" t="str">
        <f aca="false">IF($A285="","",품목마스터!$D284)</f>
        <v/>
      </c>
      <c r="E285" s="13" t="str">
        <f aca="false">IF($A285="","",IF(품목마스터!$F284="",0,품목마스터!$F284))</f>
        <v/>
      </c>
      <c r="F285" s="13" t="str">
        <f aca="false">IF($A285="","",SUMIFS(입출고내역!$G$3:$G$1002,입출고내역!$C$3:$C$1002,$A285,입출고내역!$B$3:$B$1002,"입고"))</f>
        <v/>
      </c>
      <c r="G285" s="13" t="str">
        <f aca="false">IF($A285="","",SUMIFS(입출고내역!$G$3:$G$1002,입출고내역!$C$3:$C$1002,$A285,입출고내역!$B$3:$B$1002,"출고"))</f>
        <v/>
      </c>
      <c r="H285" s="13" t="str">
        <f aca="false">IF($A285="","",$E285+SUMIFS(입출고내역!$L$3:$L$1002,입출고내역!$C$3:$C$1002,$A285))</f>
        <v/>
      </c>
      <c r="I285" s="13" t="str">
        <f aca="false">IF($A285="","",IF(품목마스터!$G284="",0,품목마스터!$G284))</f>
        <v/>
      </c>
      <c r="J285" s="20" t="str">
        <f aca="false">IF($A285="","",IF($I285=0,"기준없음",TEXT($H285/$I285,"0%")&amp;"  "&amp;REPT("■",MIN(10,ROUND($H285/$I285*10,0)))))</f>
        <v/>
      </c>
    </row>
    <row r="286" customFormat="false" ht="15" hidden="false" customHeight="true" outlineLevel="0" collapsed="false">
      <c r="A286" s="12" t="str">
        <f aca="false">IF(품목마스터!$A285="","",품목마스터!$A285)</f>
        <v/>
      </c>
      <c r="B286" s="12" t="str">
        <f aca="false">IF($A286="","",품목마스터!$B285)</f>
        <v/>
      </c>
      <c r="C286" s="12" t="str">
        <f aca="false">IF($A286="","",품목마스터!$E285)</f>
        <v/>
      </c>
      <c r="D286" s="12" t="str">
        <f aca="false">IF($A286="","",품목마스터!$D285)</f>
        <v/>
      </c>
      <c r="E286" s="13" t="str">
        <f aca="false">IF($A286="","",IF(품목마스터!$F285="",0,품목마스터!$F285))</f>
        <v/>
      </c>
      <c r="F286" s="13" t="str">
        <f aca="false">IF($A286="","",SUMIFS(입출고내역!$G$3:$G$1002,입출고내역!$C$3:$C$1002,$A286,입출고내역!$B$3:$B$1002,"입고"))</f>
        <v/>
      </c>
      <c r="G286" s="13" t="str">
        <f aca="false">IF($A286="","",SUMIFS(입출고내역!$G$3:$G$1002,입출고내역!$C$3:$C$1002,$A286,입출고내역!$B$3:$B$1002,"출고"))</f>
        <v/>
      </c>
      <c r="H286" s="13" t="str">
        <f aca="false">IF($A286="","",$E286+SUMIFS(입출고내역!$L$3:$L$1002,입출고내역!$C$3:$C$1002,$A286))</f>
        <v/>
      </c>
      <c r="I286" s="13" t="str">
        <f aca="false">IF($A286="","",IF(품목마스터!$G285="",0,품목마스터!$G285))</f>
        <v/>
      </c>
      <c r="J286" s="20" t="str">
        <f aca="false">IF($A286="","",IF($I286=0,"기준없음",TEXT($H286/$I286,"0%")&amp;"  "&amp;REPT("■",MIN(10,ROUND($H286/$I286*10,0)))))</f>
        <v/>
      </c>
    </row>
    <row r="287" customFormat="false" ht="15" hidden="false" customHeight="true" outlineLevel="0" collapsed="false">
      <c r="A287" s="12" t="str">
        <f aca="false">IF(품목마스터!$A286="","",품목마스터!$A286)</f>
        <v/>
      </c>
      <c r="B287" s="12" t="str">
        <f aca="false">IF($A287="","",품목마스터!$B286)</f>
        <v/>
      </c>
      <c r="C287" s="12" t="str">
        <f aca="false">IF($A287="","",품목마스터!$E286)</f>
        <v/>
      </c>
      <c r="D287" s="12" t="str">
        <f aca="false">IF($A287="","",품목마스터!$D286)</f>
        <v/>
      </c>
      <c r="E287" s="13" t="str">
        <f aca="false">IF($A287="","",IF(품목마스터!$F286="",0,품목마스터!$F286))</f>
        <v/>
      </c>
      <c r="F287" s="13" t="str">
        <f aca="false">IF($A287="","",SUMIFS(입출고내역!$G$3:$G$1002,입출고내역!$C$3:$C$1002,$A287,입출고내역!$B$3:$B$1002,"입고"))</f>
        <v/>
      </c>
      <c r="G287" s="13" t="str">
        <f aca="false">IF($A287="","",SUMIFS(입출고내역!$G$3:$G$1002,입출고내역!$C$3:$C$1002,$A287,입출고내역!$B$3:$B$1002,"출고"))</f>
        <v/>
      </c>
      <c r="H287" s="13" t="str">
        <f aca="false">IF($A287="","",$E287+SUMIFS(입출고내역!$L$3:$L$1002,입출고내역!$C$3:$C$1002,$A287))</f>
        <v/>
      </c>
      <c r="I287" s="13" t="str">
        <f aca="false">IF($A287="","",IF(품목마스터!$G286="",0,품목마스터!$G286))</f>
        <v/>
      </c>
      <c r="J287" s="20" t="str">
        <f aca="false">IF($A287="","",IF($I287=0,"기준없음",TEXT($H287/$I287,"0%")&amp;"  "&amp;REPT("■",MIN(10,ROUND($H287/$I287*10,0)))))</f>
        <v/>
      </c>
    </row>
    <row r="288" customFormat="false" ht="15" hidden="false" customHeight="true" outlineLevel="0" collapsed="false">
      <c r="A288" s="12" t="str">
        <f aca="false">IF(품목마스터!$A287="","",품목마스터!$A287)</f>
        <v/>
      </c>
      <c r="B288" s="12" t="str">
        <f aca="false">IF($A288="","",품목마스터!$B287)</f>
        <v/>
      </c>
      <c r="C288" s="12" t="str">
        <f aca="false">IF($A288="","",품목마스터!$E287)</f>
        <v/>
      </c>
      <c r="D288" s="12" t="str">
        <f aca="false">IF($A288="","",품목마스터!$D287)</f>
        <v/>
      </c>
      <c r="E288" s="13" t="str">
        <f aca="false">IF($A288="","",IF(품목마스터!$F287="",0,품목마스터!$F287))</f>
        <v/>
      </c>
      <c r="F288" s="13" t="str">
        <f aca="false">IF($A288="","",SUMIFS(입출고내역!$G$3:$G$1002,입출고내역!$C$3:$C$1002,$A288,입출고내역!$B$3:$B$1002,"입고"))</f>
        <v/>
      </c>
      <c r="G288" s="13" t="str">
        <f aca="false">IF($A288="","",SUMIFS(입출고내역!$G$3:$G$1002,입출고내역!$C$3:$C$1002,$A288,입출고내역!$B$3:$B$1002,"출고"))</f>
        <v/>
      </c>
      <c r="H288" s="13" t="str">
        <f aca="false">IF($A288="","",$E288+SUMIFS(입출고내역!$L$3:$L$1002,입출고내역!$C$3:$C$1002,$A288))</f>
        <v/>
      </c>
      <c r="I288" s="13" t="str">
        <f aca="false">IF($A288="","",IF(품목마스터!$G287="",0,품목마스터!$G287))</f>
        <v/>
      </c>
      <c r="J288" s="20" t="str">
        <f aca="false">IF($A288="","",IF($I288=0,"기준없음",TEXT($H288/$I288,"0%")&amp;"  "&amp;REPT("■",MIN(10,ROUND($H288/$I288*10,0)))))</f>
        <v/>
      </c>
    </row>
    <row r="289" customFormat="false" ht="15" hidden="false" customHeight="true" outlineLevel="0" collapsed="false">
      <c r="A289" s="12" t="str">
        <f aca="false">IF(품목마스터!$A288="","",품목마스터!$A288)</f>
        <v/>
      </c>
      <c r="B289" s="12" t="str">
        <f aca="false">IF($A289="","",품목마스터!$B288)</f>
        <v/>
      </c>
      <c r="C289" s="12" t="str">
        <f aca="false">IF($A289="","",품목마스터!$E288)</f>
        <v/>
      </c>
      <c r="D289" s="12" t="str">
        <f aca="false">IF($A289="","",품목마스터!$D288)</f>
        <v/>
      </c>
      <c r="E289" s="13" t="str">
        <f aca="false">IF($A289="","",IF(품목마스터!$F288="",0,품목마스터!$F288))</f>
        <v/>
      </c>
      <c r="F289" s="13" t="str">
        <f aca="false">IF($A289="","",SUMIFS(입출고내역!$G$3:$G$1002,입출고내역!$C$3:$C$1002,$A289,입출고내역!$B$3:$B$1002,"입고"))</f>
        <v/>
      </c>
      <c r="G289" s="13" t="str">
        <f aca="false">IF($A289="","",SUMIFS(입출고내역!$G$3:$G$1002,입출고내역!$C$3:$C$1002,$A289,입출고내역!$B$3:$B$1002,"출고"))</f>
        <v/>
      </c>
      <c r="H289" s="13" t="str">
        <f aca="false">IF($A289="","",$E289+SUMIFS(입출고내역!$L$3:$L$1002,입출고내역!$C$3:$C$1002,$A289))</f>
        <v/>
      </c>
      <c r="I289" s="13" t="str">
        <f aca="false">IF($A289="","",IF(품목마스터!$G288="",0,품목마스터!$G288))</f>
        <v/>
      </c>
      <c r="J289" s="20" t="str">
        <f aca="false">IF($A289="","",IF($I289=0,"기준없음",TEXT($H289/$I289,"0%")&amp;"  "&amp;REPT("■",MIN(10,ROUND($H289/$I289*10,0)))))</f>
        <v/>
      </c>
    </row>
    <row r="290" customFormat="false" ht="15" hidden="false" customHeight="true" outlineLevel="0" collapsed="false">
      <c r="A290" s="12" t="str">
        <f aca="false">IF(품목마스터!$A289="","",품목마스터!$A289)</f>
        <v/>
      </c>
      <c r="B290" s="12" t="str">
        <f aca="false">IF($A290="","",품목마스터!$B289)</f>
        <v/>
      </c>
      <c r="C290" s="12" t="str">
        <f aca="false">IF($A290="","",품목마스터!$E289)</f>
        <v/>
      </c>
      <c r="D290" s="12" t="str">
        <f aca="false">IF($A290="","",품목마스터!$D289)</f>
        <v/>
      </c>
      <c r="E290" s="13" t="str">
        <f aca="false">IF($A290="","",IF(품목마스터!$F289="",0,품목마스터!$F289))</f>
        <v/>
      </c>
      <c r="F290" s="13" t="str">
        <f aca="false">IF($A290="","",SUMIFS(입출고내역!$G$3:$G$1002,입출고내역!$C$3:$C$1002,$A290,입출고내역!$B$3:$B$1002,"입고"))</f>
        <v/>
      </c>
      <c r="G290" s="13" t="str">
        <f aca="false">IF($A290="","",SUMIFS(입출고내역!$G$3:$G$1002,입출고내역!$C$3:$C$1002,$A290,입출고내역!$B$3:$B$1002,"출고"))</f>
        <v/>
      </c>
      <c r="H290" s="13" t="str">
        <f aca="false">IF($A290="","",$E290+SUMIFS(입출고내역!$L$3:$L$1002,입출고내역!$C$3:$C$1002,$A290))</f>
        <v/>
      </c>
      <c r="I290" s="13" t="str">
        <f aca="false">IF($A290="","",IF(품목마스터!$G289="",0,품목마스터!$G289))</f>
        <v/>
      </c>
      <c r="J290" s="20" t="str">
        <f aca="false">IF($A290="","",IF($I290=0,"기준없음",TEXT($H290/$I290,"0%")&amp;"  "&amp;REPT("■",MIN(10,ROUND($H290/$I290*10,0)))))</f>
        <v/>
      </c>
    </row>
    <row r="291" customFormat="false" ht="15" hidden="false" customHeight="true" outlineLevel="0" collapsed="false">
      <c r="A291" s="12" t="str">
        <f aca="false">IF(품목마스터!$A290="","",품목마스터!$A290)</f>
        <v/>
      </c>
      <c r="B291" s="12" t="str">
        <f aca="false">IF($A291="","",품목마스터!$B290)</f>
        <v/>
      </c>
      <c r="C291" s="12" t="str">
        <f aca="false">IF($A291="","",품목마스터!$E290)</f>
        <v/>
      </c>
      <c r="D291" s="12" t="str">
        <f aca="false">IF($A291="","",품목마스터!$D290)</f>
        <v/>
      </c>
      <c r="E291" s="13" t="str">
        <f aca="false">IF($A291="","",IF(품목마스터!$F290="",0,품목마스터!$F290))</f>
        <v/>
      </c>
      <c r="F291" s="13" t="str">
        <f aca="false">IF($A291="","",SUMIFS(입출고내역!$G$3:$G$1002,입출고내역!$C$3:$C$1002,$A291,입출고내역!$B$3:$B$1002,"입고"))</f>
        <v/>
      </c>
      <c r="G291" s="13" t="str">
        <f aca="false">IF($A291="","",SUMIFS(입출고내역!$G$3:$G$1002,입출고내역!$C$3:$C$1002,$A291,입출고내역!$B$3:$B$1002,"출고"))</f>
        <v/>
      </c>
      <c r="H291" s="13" t="str">
        <f aca="false">IF($A291="","",$E291+SUMIFS(입출고내역!$L$3:$L$1002,입출고내역!$C$3:$C$1002,$A291))</f>
        <v/>
      </c>
      <c r="I291" s="13" t="str">
        <f aca="false">IF($A291="","",IF(품목마스터!$G290="",0,품목마스터!$G290))</f>
        <v/>
      </c>
      <c r="J291" s="20" t="str">
        <f aca="false">IF($A291="","",IF($I291=0,"기준없음",TEXT($H291/$I291,"0%")&amp;"  "&amp;REPT("■",MIN(10,ROUND($H291/$I291*10,0)))))</f>
        <v/>
      </c>
    </row>
    <row r="292" customFormat="false" ht="15" hidden="false" customHeight="true" outlineLevel="0" collapsed="false">
      <c r="A292" s="12" t="str">
        <f aca="false">IF(품목마스터!$A291="","",품목마스터!$A291)</f>
        <v/>
      </c>
      <c r="B292" s="12" t="str">
        <f aca="false">IF($A292="","",품목마스터!$B291)</f>
        <v/>
      </c>
      <c r="C292" s="12" t="str">
        <f aca="false">IF($A292="","",품목마스터!$E291)</f>
        <v/>
      </c>
      <c r="D292" s="12" t="str">
        <f aca="false">IF($A292="","",품목마스터!$D291)</f>
        <v/>
      </c>
      <c r="E292" s="13" t="str">
        <f aca="false">IF($A292="","",IF(품목마스터!$F291="",0,품목마스터!$F291))</f>
        <v/>
      </c>
      <c r="F292" s="13" t="str">
        <f aca="false">IF($A292="","",SUMIFS(입출고내역!$G$3:$G$1002,입출고내역!$C$3:$C$1002,$A292,입출고내역!$B$3:$B$1002,"입고"))</f>
        <v/>
      </c>
      <c r="G292" s="13" t="str">
        <f aca="false">IF($A292="","",SUMIFS(입출고내역!$G$3:$G$1002,입출고내역!$C$3:$C$1002,$A292,입출고내역!$B$3:$B$1002,"출고"))</f>
        <v/>
      </c>
      <c r="H292" s="13" t="str">
        <f aca="false">IF($A292="","",$E292+SUMIFS(입출고내역!$L$3:$L$1002,입출고내역!$C$3:$C$1002,$A292))</f>
        <v/>
      </c>
      <c r="I292" s="13" t="str">
        <f aca="false">IF($A292="","",IF(품목마스터!$G291="",0,품목마스터!$G291))</f>
        <v/>
      </c>
      <c r="J292" s="20" t="str">
        <f aca="false">IF($A292="","",IF($I292=0,"기준없음",TEXT($H292/$I292,"0%")&amp;"  "&amp;REPT("■",MIN(10,ROUND($H292/$I292*10,0)))))</f>
        <v/>
      </c>
    </row>
    <row r="293" customFormat="false" ht="15" hidden="false" customHeight="true" outlineLevel="0" collapsed="false">
      <c r="A293" s="12" t="str">
        <f aca="false">IF(품목마스터!$A292="","",품목마스터!$A292)</f>
        <v/>
      </c>
      <c r="B293" s="12" t="str">
        <f aca="false">IF($A293="","",품목마스터!$B292)</f>
        <v/>
      </c>
      <c r="C293" s="12" t="str">
        <f aca="false">IF($A293="","",품목마스터!$E292)</f>
        <v/>
      </c>
      <c r="D293" s="12" t="str">
        <f aca="false">IF($A293="","",품목마스터!$D292)</f>
        <v/>
      </c>
      <c r="E293" s="13" t="str">
        <f aca="false">IF($A293="","",IF(품목마스터!$F292="",0,품목마스터!$F292))</f>
        <v/>
      </c>
      <c r="F293" s="13" t="str">
        <f aca="false">IF($A293="","",SUMIFS(입출고내역!$G$3:$G$1002,입출고내역!$C$3:$C$1002,$A293,입출고내역!$B$3:$B$1002,"입고"))</f>
        <v/>
      </c>
      <c r="G293" s="13" t="str">
        <f aca="false">IF($A293="","",SUMIFS(입출고내역!$G$3:$G$1002,입출고내역!$C$3:$C$1002,$A293,입출고내역!$B$3:$B$1002,"출고"))</f>
        <v/>
      </c>
      <c r="H293" s="13" t="str">
        <f aca="false">IF($A293="","",$E293+SUMIFS(입출고내역!$L$3:$L$1002,입출고내역!$C$3:$C$1002,$A293))</f>
        <v/>
      </c>
      <c r="I293" s="13" t="str">
        <f aca="false">IF($A293="","",IF(품목마스터!$G292="",0,품목마스터!$G292))</f>
        <v/>
      </c>
      <c r="J293" s="20" t="str">
        <f aca="false">IF($A293="","",IF($I293=0,"기준없음",TEXT($H293/$I293,"0%")&amp;"  "&amp;REPT("■",MIN(10,ROUND($H293/$I293*10,0)))))</f>
        <v/>
      </c>
    </row>
    <row r="294" customFormat="false" ht="15" hidden="false" customHeight="true" outlineLevel="0" collapsed="false">
      <c r="A294" s="12" t="str">
        <f aca="false">IF(품목마스터!$A293="","",품목마스터!$A293)</f>
        <v/>
      </c>
      <c r="B294" s="12" t="str">
        <f aca="false">IF($A294="","",품목마스터!$B293)</f>
        <v/>
      </c>
      <c r="C294" s="12" t="str">
        <f aca="false">IF($A294="","",품목마스터!$E293)</f>
        <v/>
      </c>
      <c r="D294" s="12" t="str">
        <f aca="false">IF($A294="","",품목마스터!$D293)</f>
        <v/>
      </c>
      <c r="E294" s="13" t="str">
        <f aca="false">IF($A294="","",IF(품목마스터!$F293="",0,품목마스터!$F293))</f>
        <v/>
      </c>
      <c r="F294" s="13" t="str">
        <f aca="false">IF($A294="","",SUMIFS(입출고내역!$G$3:$G$1002,입출고내역!$C$3:$C$1002,$A294,입출고내역!$B$3:$B$1002,"입고"))</f>
        <v/>
      </c>
      <c r="G294" s="13" t="str">
        <f aca="false">IF($A294="","",SUMIFS(입출고내역!$G$3:$G$1002,입출고내역!$C$3:$C$1002,$A294,입출고내역!$B$3:$B$1002,"출고"))</f>
        <v/>
      </c>
      <c r="H294" s="13" t="str">
        <f aca="false">IF($A294="","",$E294+SUMIFS(입출고내역!$L$3:$L$1002,입출고내역!$C$3:$C$1002,$A294))</f>
        <v/>
      </c>
      <c r="I294" s="13" t="str">
        <f aca="false">IF($A294="","",IF(품목마스터!$G293="",0,품목마스터!$G293))</f>
        <v/>
      </c>
      <c r="J294" s="20" t="str">
        <f aca="false">IF($A294="","",IF($I294=0,"기준없음",TEXT($H294/$I294,"0%")&amp;"  "&amp;REPT("■",MIN(10,ROUND($H294/$I294*10,0)))))</f>
        <v/>
      </c>
    </row>
    <row r="295" customFormat="false" ht="15" hidden="false" customHeight="true" outlineLevel="0" collapsed="false">
      <c r="A295" s="12" t="str">
        <f aca="false">IF(품목마스터!$A294="","",품목마스터!$A294)</f>
        <v/>
      </c>
      <c r="B295" s="12" t="str">
        <f aca="false">IF($A295="","",품목마스터!$B294)</f>
        <v/>
      </c>
      <c r="C295" s="12" t="str">
        <f aca="false">IF($A295="","",품목마스터!$E294)</f>
        <v/>
      </c>
      <c r="D295" s="12" t="str">
        <f aca="false">IF($A295="","",품목마스터!$D294)</f>
        <v/>
      </c>
      <c r="E295" s="13" t="str">
        <f aca="false">IF($A295="","",IF(품목마스터!$F294="",0,품목마스터!$F294))</f>
        <v/>
      </c>
      <c r="F295" s="13" t="str">
        <f aca="false">IF($A295="","",SUMIFS(입출고내역!$G$3:$G$1002,입출고내역!$C$3:$C$1002,$A295,입출고내역!$B$3:$B$1002,"입고"))</f>
        <v/>
      </c>
      <c r="G295" s="13" t="str">
        <f aca="false">IF($A295="","",SUMIFS(입출고내역!$G$3:$G$1002,입출고내역!$C$3:$C$1002,$A295,입출고내역!$B$3:$B$1002,"출고"))</f>
        <v/>
      </c>
      <c r="H295" s="13" t="str">
        <f aca="false">IF($A295="","",$E295+SUMIFS(입출고내역!$L$3:$L$1002,입출고내역!$C$3:$C$1002,$A295))</f>
        <v/>
      </c>
      <c r="I295" s="13" t="str">
        <f aca="false">IF($A295="","",IF(품목마스터!$G294="",0,품목마스터!$G294))</f>
        <v/>
      </c>
      <c r="J295" s="20" t="str">
        <f aca="false">IF($A295="","",IF($I295=0,"기준없음",TEXT($H295/$I295,"0%")&amp;"  "&amp;REPT("■",MIN(10,ROUND($H295/$I295*10,0)))))</f>
        <v/>
      </c>
    </row>
    <row r="296" customFormat="false" ht="15" hidden="false" customHeight="true" outlineLevel="0" collapsed="false">
      <c r="A296" s="12" t="str">
        <f aca="false">IF(품목마스터!$A295="","",품목마스터!$A295)</f>
        <v/>
      </c>
      <c r="B296" s="12" t="str">
        <f aca="false">IF($A296="","",품목마스터!$B295)</f>
        <v/>
      </c>
      <c r="C296" s="12" t="str">
        <f aca="false">IF($A296="","",품목마스터!$E295)</f>
        <v/>
      </c>
      <c r="D296" s="12" t="str">
        <f aca="false">IF($A296="","",품목마스터!$D295)</f>
        <v/>
      </c>
      <c r="E296" s="13" t="str">
        <f aca="false">IF($A296="","",IF(품목마스터!$F295="",0,품목마스터!$F295))</f>
        <v/>
      </c>
      <c r="F296" s="13" t="str">
        <f aca="false">IF($A296="","",SUMIFS(입출고내역!$G$3:$G$1002,입출고내역!$C$3:$C$1002,$A296,입출고내역!$B$3:$B$1002,"입고"))</f>
        <v/>
      </c>
      <c r="G296" s="13" t="str">
        <f aca="false">IF($A296="","",SUMIFS(입출고내역!$G$3:$G$1002,입출고내역!$C$3:$C$1002,$A296,입출고내역!$B$3:$B$1002,"출고"))</f>
        <v/>
      </c>
      <c r="H296" s="13" t="str">
        <f aca="false">IF($A296="","",$E296+SUMIFS(입출고내역!$L$3:$L$1002,입출고내역!$C$3:$C$1002,$A296))</f>
        <v/>
      </c>
      <c r="I296" s="13" t="str">
        <f aca="false">IF($A296="","",IF(품목마스터!$G295="",0,품목마스터!$G295))</f>
        <v/>
      </c>
      <c r="J296" s="20" t="str">
        <f aca="false">IF($A296="","",IF($I296=0,"기준없음",TEXT($H296/$I296,"0%")&amp;"  "&amp;REPT("■",MIN(10,ROUND($H296/$I296*10,0)))))</f>
        <v/>
      </c>
    </row>
    <row r="297" customFormat="false" ht="15" hidden="false" customHeight="true" outlineLevel="0" collapsed="false">
      <c r="A297" s="12" t="str">
        <f aca="false">IF(품목마스터!$A296="","",품목마스터!$A296)</f>
        <v/>
      </c>
      <c r="B297" s="12" t="str">
        <f aca="false">IF($A297="","",품목마스터!$B296)</f>
        <v/>
      </c>
      <c r="C297" s="12" t="str">
        <f aca="false">IF($A297="","",품목마스터!$E296)</f>
        <v/>
      </c>
      <c r="D297" s="12" t="str">
        <f aca="false">IF($A297="","",품목마스터!$D296)</f>
        <v/>
      </c>
      <c r="E297" s="13" t="str">
        <f aca="false">IF($A297="","",IF(품목마스터!$F296="",0,품목마스터!$F296))</f>
        <v/>
      </c>
      <c r="F297" s="13" t="str">
        <f aca="false">IF($A297="","",SUMIFS(입출고내역!$G$3:$G$1002,입출고내역!$C$3:$C$1002,$A297,입출고내역!$B$3:$B$1002,"입고"))</f>
        <v/>
      </c>
      <c r="G297" s="13" t="str">
        <f aca="false">IF($A297="","",SUMIFS(입출고내역!$G$3:$G$1002,입출고내역!$C$3:$C$1002,$A297,입출고내역!$B$3:$B$1002,"출고"))</f>
        <v/>
      </c>
      <c r="H297" s="13" t="str">
        <f aca="false">IF($A297="","",$E297+SUMIFS(입출고내역!$L$3:$L$1002,입출고내역!$C$3:$C$1002,$A297))</f>
        <v/>
      </c>
      <c r="I297" s="13" t="str">
        <f aca="false">IF($A297="","",IF(품목마스터!$G296="",0,품목마스터!$G296))</f>
        <v/>
      </c>
      <c r="J297" s="20" t="str">
        <f aca="false">IF($A297="","",IF($I297=0,"기준없음",TEXT($H297/$I297,"0%")&amp;"  "&amp;REPT("■",MIN(10,ROUND($H297/$I297*10,0)))))</f>
        <v/>
      </c>
    </row>
    <row r="298" customFormat="false" ht="15" hidden="false" customHeight="true" outlineLevel="0" collapsed="false">
      <c r="A298" s="12" t="str">
        <f aca="false">IF(품목마스터!$A297="","",품목마스터!$A297)</f>
        <v/>
      </c>
      <c r="B298" s="12" t="str">
        <f aca="false">IF($A298="","",품목마스터!$B297)</f>
        <v/>
      </c>
      <c r="C298" s="12" t="str">
        <f aca="false">IF($A298="","",품목마스터!$E297)</f>
        <v/>
      </c>
      <c r="D298" s="12" t="str">
        <f aca="false">IF($A298="","",품목마스터!$D297)</f>
        <v/>
      </c>
      <c r="E298" s="13" t="str">
        <f aca="false">IF($A298="","",IF(품목마스터!$F297="",0,품목마스터!$F297))</f>
        <v/>
      </c>
      <c r="F298" s="13" t="str">
        <f aca="false">IF($A298="","",SUMIFS(입출고내역!$G$3:$G$1002,입출고내역!$C$3:$C$1002,$A298,입출고내역!$B$3:$B$1002,"입고"))</f>
        <v/>
      </c>
      <c r="G298" s="13" t="str">
        <f aca="false">IF($A298="","",SUMIFS(입출고내역!$G$3:$G$1002,입출고내역!$C$3:$C$1002,$A298,입출고내역!$B$3:$B$1002,"출고"))</f>
        <v/>
      </c>
      <c r="H298" s="13" t="str">
        <f aca="false">IF($A298="","",$E298+SUMIFS(입출고내역!$L$3:$L$1002,입출고내역!$C$3:$C$1002,$A298))</f>
        <v/>
      </c>
      <c r="I298" s="13" t="str">
        <f aca="false">IF($A298="","",IF(품목마스터!$G297="",0,품목마스터!$G297))</f>
        <v/>
      </c>
      <c r="J298" s="20" t="str">
        <f aca="false">IF($A298="","",IF($I298=0,"기준없음",TEXT($H298/$I298,"0%")&amp;"  "&amp;REPT("■",MIN(10,ROUND($H298/$I298*10,0)))))</f>
        <v/>
      </c>
    </row>
    <row r="299" customFormat="false" ht="15" hidden="false" customHeight="true" outlineLevel="0" collapsed="false">
      <c r="A299" s="12" t="str">
        <f aca="false">IF(품목마스터!$A298="","",품목마스터!$A298)</f>
        <v/>
      </c>
      <c r="B299" s="12" t="str">
        <f aca="false">IF($A299="","",품목마스터!$B298)</f>
        <v/>
      </c>
      <c r="C299" s="12" t="str">
        <f aca="false">IF($A299="","",품목마스터!$E298)</f>
        <v/>
      </c>
      <c r="D299" s="12" t="str">
        <f aca="false">IF($A299="","",품목마스터!$D298)</f>
        <v/>
      </c>
      <c r="E299" s="13" t="str">
        <f aca="false">IF($A299="","",IF(품목마스터!$F298="",0,품목마스터!$F298))</f>
        <v/>
      </c>
      <c r="F299" s="13" t="str">
        <f aca="false">IF($A299="","",SUMIFS(입출고내역!$G$3:$G$1002,입출고내역!$C$3:$C$1002,$A299,입출고내역!$B$3:$B$1002,"입고"))</f>
        <v/>
      </c>
      <c r="G299" s="13" t="str">
        <f aca="false">IF($A299="","",SUMIFS(입출고내역!$G$3:$G$1002,입출고내역!$C$3:$C$1002,$A299,입출고내역!$B$3:$B$1002,"출고"))</f>
        <v/>
      </c>
      <c r="H299" s="13" t="str">
        <f aca="false">IF($A299="","",$E299+SUMIFS(입출고내역!$L$3:$L$1002,입출고내역!$C$3:$C$1002,$A299))</f>
        <v/>
      </c>
      <c r="I299" s="13" t="str">
        <f aca="false">IF($A299="","",IF(품목마스터!$G298="",0,품목마스터!$G298))</f>
        <v/>
      </c>
      <c r="J299" s="20" t="str">
        <f aca="false">IF($A299="","",IF($I299=0,"기준없음",TEXT($H299/$I299,"0%")&amp;"  "&amp;REPT("■",MIN(10,ROUND($H299/$I299*10,0)))))</f>
        <v/>
      </c>
    </row>
    <row r="300" customFormat="false" ht="15" hidden="false" customHeight="true" outlineLevel="0" collapsed="false">
      <c r="A300" s="12" t="str">
        <f aca="false">IF(품목마스터!$A299="","",품목마스터!$A299)</f>
        <v/>
      </c>
      <c r="B300" s="12" t="str">
        <f aca="false">IF($A300="","",품목마스터!$B299)</f>
        <v/>
      </c>
      <c r="C300" s="12" t="str">
        <f aca="false">IF($A300="","",품목마스터!$E299)</f>
        <v/>
      </c>
      <c r="D300" s="12" t="str">
        <f aca="false">IF($A300="","",품목마스터!$D299)</f>
        <v/>
      </c>
      <c r="E300" s="13" t="str">
        <f aca="false">IF($A300="","",IF(품목마스터!$F299="",0,품목마스터!$F299))</f>
        <v/>
      </c>
      <c r="F300" s="13" t="str">
        <f aca="false">IF($A300="","",SUMIFS(입출고내역!$G$3:$G$1002,입출고내역!$C$3:$C$1002,$A300,입출고내역!$B$3:$B$1002,"입고"))</f>
        <v/>
      </c>
      <c r="G300" s="13" t="str">
        <f aca="false">IF($A300="","",SUMIFS(입출고내역!$G$3:$G$1002,입출고내역!$C$3:$C$1002,$A300,입출고내역!$B$3:$B$1002,"출고"))</f>
        <v/>
      </c>
      <c r="H300" s="13" t="str">
        <f aca="false">IF($A300="","",$E300+SUMIFS(입출고내역!$L$3:$L$1002,입출고내역!$C$3:$C$1002,$A300))</f>
        <v/>
      </c>
      <c r="I300" s="13" t="str">
        <f aca="false">IF($A300="","",IF(품목마스터!$G299="",0,품목마스터!$G299))</f>
        <v/>
      </c>
      <c r="J300" s="20" t="str">
        <f aca="false">IF($A300="","",IF($I300=0,"기준없음",TEXT($H300/$I300,"0%")&amp;"  "&amp;REPT("■",MIN(10,ROUND($H300/$I300*10,0)))))</f>
        <v/>
      </c>
    </row>
    <row r="301" customFormat="false" ht="15" hidden="false" customHeight="true" outlineLevel="0" collapsed="false">
      <c r="A301" s="12" t="str">
        <f aca="false">IF(품목마스터!$A300="","",품목마스터!$A300)</f>
        <v/>
      </c>
      <c r="B301" s="12" t="str">
        <f aca="false">IF($A301="","",품목마스터!$B300)</f>
        <v/>
      </c>
      <c r="C301" s="12" t="str">
        <f aca="false">IF($A301="","",품목마스터!$E300)</f>
        <v/>
      </c>
      <c r="D301" s="12" t="str">
        <f aca="false">IF($A301="","",품목마스터!$D300)</f>
        <v/>
      </c>
      <c r="E301" s="13" t="str">
        <f aca="false">IF($A301="","",IF(품목마스터!$F300="",0,품목마스터!$F300))</f>
        <v/>
      </c>
      <c r="F301" s="13" t="str">
        <f aca="false">IF($A301="","",SUMIFS(입출고내역!$G$3:$G$1002,입출고내역!$C$3:$C$1002,$A301,입출고내역!$B$3:$B$1002,"입고"))</f>
        <v/>
      </c>
      <c r="G301" s="13" t="str">
        <f aca="false">IF($A301="","",SUMIFS(입출고내역!$G$3:$G$1002,입출고내역!$C$3:$C$1002,$A301,입출고내역!$B$3:$B$1002,"출고"))</f>
        <v/>
      </c>
      <c r="H301" s="13" t="str">
        <f aca="false">IF($A301="","",$E301+SUMIFS(입출고내역!$L$3:$L$1002,입출고내역!$C$3:$C$1002,$A301))</f>
        <v/>
      </c>
      <c r="I301" s="13" t="str">
        <f aca="false">IF($A301="","",IF(품목마스터!$G300="",0,품목마스터!$G300))</f>
        <v/>
      </c>
      <c r="J301" s="20" t="str">
        <f aca="false">IF($A301="","",IF($I301=0,"기준없음",TEXT($H301/$I301,"0%")&amp;"  "&amp;REPT("■",MIN(10,ROUND($H301/$I301*10,0)))))</f>
        <v/>
      </c>
    </row>
    <row r="302" customFormat="false" ht="15" hidden="false" customHeight="true" outlineLevel="0" collapsed="false">
      <c r="A302" s="12" t="str">
        <f aca="false">IF(품목마스터!$A301="","",품목마스터!$A301)</f>
        <v/>
      </c>
      <c r="B302" s="12" t="str">
        <f aca="false">IF($A302="","",품목마스터!$B301)</f>
        <v/>
      </c>
      <c r="C302" s="12" t="str">
        <f aca="false">IF($A302="","",품목마스터!$E301)</f>
        <v/>
      </c>
      <c r="D302" s="12" t="str">
        <f aca="false">IF($A302="","",품목마스터!$D301)</f>
        <v/>
      </c>
      <c r="E302" s="13" t="str">
        <f aca="false">IF($A302="","",IF(품목마스터!$F301="",0,품목마스터!$F301))</f>
        <v/>
      </c>
      <c r="F302" s="13" t="str">
        <f aca="false">IF($A302="","",SUMIFS(입출고내역!$G$3:$G$1002,입출고내역!$C$3:$C$1002,$A302,입출고내역!$B$3:$B$1002,"입고"))</f>
        <v/>
      </c>
      <c r="G302" s="13" t="str">
        <f aca="false">IF($A302="","",SUMIFS(입출고내역!$G$3:$G$1002,입출고내역!$C$3:$C$1002,$A302,입출고내역!$B$3:$B$1002,"출고"))</f>
        <v/>
      </c>
      <c r="H302" s="13" t="str">
        <f aca="false">IF($A302="","",$E302+SUMIFS(입출고내역!$L$3:$L$1002,입출고내역!$C$3:$C$1002,$A302))</f>
        <v/>
      </c>
      <c r="I302" s="13" t="str">
        <f aca="false">IF($A302="","",IF(품목마스터!$G301="",0,품목마스터!$G301))</f>
        <v/>
      </c>
      <c r="J302" s="20" t="str">
        <f aca="false">IF($A302="","",IF($I302=0,"기준없음",TEXT($H302/$I302,"0%")&amp;"  "&amp;REPT("■",MIN(10,ROUND($H302/$I302*10,0)))))</f>
        <v/>
      </c>
    </row>
    <row r="303" customFormat="false" ht="15" hidden="false" customHeight="true" outlineLevel="0" collapsed="false">
      <c r="A303" s="12" t="str">
        <f aca="false">IF(품목마스터!$A302="","",품목마스터!$A302)</f>
        <v/>
      </c>
      <c r="B303" s="12" t="str">
        <f aca="false">IF($A303="","",품목마스터!$B302)</f>
        <v/>
      </c>
      <c r="C303" s="12" t="str">
        <f aca="false">IF($A303="","",품목마스터!$E302)</f>
        <v/>
      </c>
      <c r="D303" s="12" t="str">
        <f aca="false">IF($A303="","",품목마스터!$D302)</f>
        <v/>
      </c>
      <c r="E303" s="13" t="str">
        <f aca="false">IF($A303="","",IF(품목마스터!$F302="",0,품목마스터!$F302))</f>
        <v/>
      </c>
      <c r="F303" s="13" t="str">
        <f aca="false">IF($A303="","",SUMIFS(입출고내역!$G$3:$G$1002,입출고내역!$C$3:$C$1002,$A303,입출고내역!$B$3:$B$1002,"입고"))</f>
        <v/>
      </c>
      <c r="G303" s="13" t="str">
        <f aca="false">IF($A303="","",SUMIFS(입출고내역!$G$3:$G$1002,입출고내역!$C$3:$C$1002,$A303,입출고내역!$B$3:$B$1002,"출고"))</f>
        <v/>
      </c>
      <c r="H303" s="13" t="str">
        <f aca="false">IF($A303="","",$E303+SUMIFS(입출고내역!$L$3:$L$1002,입출고내역!$C$3:$C$1002,$A303))</f>
        <v/>
      </c>
      <c r="I303" s="13" t="str">
        <f aca="false">IF($A303="","",IF(품목마스터!$G302="",0,품목마스터!$G302))</f>
        <v/>
      </c>
      <c r="J303" s="20" t="str">
        <f aca="false">IF($A303="","",IF($I303=0,"기준없음",TEXT($H303/$I303,"0%")&amp;"  "&amp;REPT("■",MIN(10,ROUND($H303/$I303*10,0)))))</f>
        <v/>
      </c>
    </row>
    <row r="305" customFormat="false" ht="15" hidden="false" customHeight="true" outlineLevel="0" collapsed="false">
      <c r="B305" s="21" t="s">
        <v>78</v>
      </c>
      <c r="E305" s="22" t="n">
        <f aca="false">SUM(E4:E303)</f>
        <v>1352</v>
      </c>
      <c r="F305" s="22" t="n">
        <f aca="false">SUM(F4:F303)</f>
        <v>0</v>
      </c>
      <c r="G305" s="22" t="n">
        <f aca="false">SUM(G4:G303)</f>
        <v>0</v>
      </c>
      <c r="H305" s="22" t="n">
        <f aca="false">SUM(H4:H303)</f>
        <v>1352</v>
      </c>
      <c r="I305" s="22" t="n">
        <f aca="false">SUM(I4:I303)</f>
        <v>314</v>
      </c>
    </row>
    <row r="307" customFormat="false" ht="15" hidden="false" customHeight="true" outlineLevel="0" collapsed="false">
      <c r="A307" s="3" t="s">
        <v>79</v>
      </c>
      <c r="B307" s="23" t="n">
        <f aca="false">SUMPRODUCT(($A$4:$A$303&lt;&gt;"")*($I$4:$I$303&gt;0)*($H$4:$H$303&lt;$I$4:$I$303))</f>
        <v>0</v>
      </c>
    </row>
    <row r="309" customFormat="false" ht="15" hidden="false" customHeight="true" outlineLevel="0" collapsed="false">
      <c r="A309" s="5" t="s">
        <v>80</v>
      </c>
    </row>
  </sheetData>
  <mergeCells count="1">
    <mergeCell ref="A1:J1"/>
  </mergeCells>
  <conditionalFormatting sqref="A4:J303">
    <cfRule type="expression" priority="2" aboveAverage="0" equalAverage="0" bottom="0" percent="0" rank="0" text="" dxfId="0">
      <formula>AND($A4&lt;&gt;"",$I4&gt;0,$H4&lt;$I4)</formula>
    </cfRule>
    <cfRule type="expression" priority="3" aboveAverage="0" equalAverage="0" bottom="0" percent="0" rank="0" text="" dxfId="1">
      <formula>AND($A4&lt;&gt;"",$H4&lt;0)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8"/>
    <col collapsed="false" customWidth="true" hidden="false" outlineLevel="0" max="3" min="3" style="1" width="9"/>
    <col collapsed="false" customWidth="true" hidden="false" outlineLevel="0" max="4" min="4" style="1" width="14"/>
    <col collapsed="false" customWidth="true" hidden="false" outlineLevel="0" max="7" min="5" style="1" width="13"/>
    <col collapsed="false" customWidth="true" hidden="false" outlineLevel="0" max="8" min="8" style="1" width="12"/>
  </cols>
  <sheetData>
    <row r="1" customFormat="false" ht="25.5" hidden="false" customHeight="true" outlineLevel="0" collapsed="false">
      <c r="A1" s="2" t="s">
        <v>81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3" t="s">
        <v>82</v>
      </c>
      <c r="B3" s="24" t="n">
        <v>2026</v>
      </c>
      <c r="C3" s="3" t="s">
        <v>83</v>
      </c>
      <c r="D3" s="24" t="n">
        <v>3</v>
      </c>
      <c r="E3" s="5" t="s">
        <v>84</v>
      </c>
    </row>
    <row r="5" customFormat="false" ht="15" hidden="false" customHeight="true" outlineLevel="0" collapsed="false">
      <c r="A5" s="6" t="s">
        <v>23</v>
      </c>
      <c r="B5" s="6" t="s">
        <v>24</v>
      </c>
      <c r="C5" s="6" t="s">
        <v>26</v>
      </c>
      <c r="D5" s="6" t="s">
        <v>85</v>
      </c>
      <c r="E5" s="6" t="s">
        <v>86</v>
      </c>
      <c r="F5" s="6" t="s">
        <v>87</v>
      </c>
      <c r="G5" s="6" t="s">
        <v>88</v>
      </c>
      <c r="H5" s="6" t="s">
        <v>29</v>
      </c>
    </row>
    <row r="6" customFormat="false" ht="15" hidden="false" customHeight="true" outlineLevel="0" collapsed="false">
      <c r="A6" s="12" t="str">
        <f aca="false">IF(품목마스터!$A3="","",품목마스터!$A3)</f>
        <v>A001</v>
      </c>
      <c r="B6" s="12" t="str">
        <f aca="false">IF($A6="","",품목마스터!$B3)</f>
        <v>육각볼트 M10</v>
      </c>
      <c r="C6" s="12" t="str">
        <f aca="false">IF($A6="","",품목마스터!$D3)</f>
        <v>EA</v>
      </c>
      <c r="D6" s="13" t="n">
        <f aca="false">IF($A6="","",IF(품목마스터!$F3="",0,품목마스터!$F3)+SUMIFS(입출고내역!$L$3:$L$1002,입출고내역!$C$3:$C$1002,$A6,입출고내역!$A$3:$A$1002,"&lt;"&amp;DATE($B$3,$D$3,1)))</f>
        <v>500</v>
      </c>
      <c r="E6" s="13" t="n">
        <f aca="false">IF($A6="","",SUMIFS(입출고내역!$G$3:$G$1002,입출고내역!$C$3:$C$1002,$A6,입출고내역!$B$3:$B$1002,"입고",입출고내역!$A$3:$A$1002,"&gt;="&amp;DATE($B$3,$D$3,1),입출고내역!$A$3:$A$1002,"&lt;="&amp;EOMONTH(DATE($B$3,$D$3,1),0)))</f>
        <v>0</v>
      </c>
      <c r="F6" s="13" t="n">
        <f aca="false">IF($A6="","",SUMIFS(입출고내역!$G$3:$G$1002,입출고내역!$C$3:$C$1002,$A6,입출고내역!$B$3:$B$1002,"출고",입출고내역!$A$3:$A$1002,"&gt;="&amp;DATE($B$3,$D$3,1),입출고내역!$A$3:$A$1002,"&lt;="&amp;EOMONTH(DATE($B$3,$D$3,1),0)))</f>
        <v>0</v>
      </c>
      <c r="G6" s="13" t="n">
        <f aca="false">IF($A6="","",IF(품목마스터!$F3="",0,품목마스터!$F3)+SUMIFS(입출고내역!$L$3:$L$1002,입출고내역!$C$3:$C$1002,$A6,입출고내역!$A$3:$A$1002,"&lt;="&amp;EOMONTH(DATE($B$3,$D$3,1),0)))</f>
        <v>500</v>
      </c>
      <c r="H6" s="13" t="n">
        <f aca="false">IF($A6="","",IF(품목마스터!$G3="",0,품목마스터!$G3))</f>
        <v>100</v>
      </c>
    </row>
    <row r="7" customFormat="false" ht="15" hidden="false" customHeight="true" outlineLevel="0" collapsed="false">
      <c r="A7" s="12" t="str">
        <f aca="false">IF(품목마스터!$A4="","",품목마스터!$A4)</f>
        <v>A002</v>
      </c>
      <c r="B7" s="12" t="str">
        <f aca="false">IF($A7="","",품목마스터!$B4)</f>
        <v>평와셔 M10</v>
      </c>
      <c r="C7" s="12" t="str">
        <f aca="false">IF($A7="","",품목마스터!$D4)</f>
        <v>EA</v>
      </c>
      <c r="D7" s="13" t="n">
        <f aca="false">IF($A7="","",IF(품목마스터!$F4="",0,품목마스터!$F4)+SUMIFS(입출고내역!$L$3:$L$1002,입출고내역!$C$3:$C$1002,$A7,입출고내역!$A$3:$A$1002,"&lt;"&amp;DATE($B$3,$D$3,1)))</f>
        <v>800</v>
      </c>
      <c r="E7" s="13" t="n">
        <f aca="false">IF($A7="","",SUMIFS(입출고내역!$G$3:$G$1002,입출고내역!$C$3:$C$1002,$A7,입출고내역!$B$3:$B$1002,"입고",입출고내역!$A$3:$A$1002,"&gt;="&amp;DATE($B$3,$D$3,1),입출고내역!$A$3:$A$1002,"&lt;="&amp;EOMONTH(DATE($B$3,$D$3,1),0)))</f>
        <v>0</v>
      </c>
      <c r="F7" s="13" t="n">
        <f aca="false">IF($A7="","",SUMIFS(입출고내역!$G$3:$G$1002,입출고내역!$C$3:$C$1002,$A7,입출고내역!$B$3:$B$1002,"출고",입출고내역!$A$3:$A$1002,"&gt;="&amp;DATE($B$3,$D$3,1),입출고내역!$A$3:$A$1002,"&lt;="&amp;EOMONTH(DATE($B$3,$D$3,1),0)))</f>
        <v>0</v>
      </c>
      <c r="G7" s="13" t="n">
        <f aca="false">IF($A7="","",IF(품목마스터!$F4="",0,품목마스터!$F4)+SUMIFS(입출고내역!$L$3:$L$1002,입출고내역!$C$3:$C$1002,$A7,입출고내역!$A$3:$A$1002,"&lt;="&amp;EOMONTH(DATE($B$3,$D$3,1),0)))</f>
        <v>800</v>
      </c>
      <c r="H7" s="13" t="n">
        <f aca="false">IF($A7="","",IF(품목마스터!$G4="",0,품목마스터!$G4))</f>
        <v>200</v>
      </c>
    </row>
    <row r="8" customFormat="false" ht="15" hidden="false" customHeight="true" outlineLevel="0" collapsed="false">
      <c r="A8" s="12" t="str">
        <f aca="false">IF(품목마스터!$A5="","",품목마스터!$A5)</f>
        <v>B001</v>
      </c>
      <c r="B8" s="12" t="str">
        <f aca="false">IF($A8="","",품목마스터!$B5)</f>
        <v>베어링 6204</v>
      </c>
      <c r="C8" s="12" t="str">
        <f aca="false">IF($A8="","",품목마스터!$D5)</f>
        <v>EA</v>
      </c>
      <c r="D8" s="13" t="n">
        <f aca="false">IF($A8="","",IF(품목마스터!$F5="",0,품목마스터!$F5)+SUMIFS(입출고내역!$L$3:$L$1002,입출고내역!$C$3:$C$1002,$A8,입출고내역!$A$3:$A$1002,"&lt;"&amp;DATE($B$3,$D$3,1)))</f>
        <v>40</v>
      </c>
      <c r="E8" s="13" t="n">
        <f aca="false">IF($A8="","",SUMIFS(입출고내역!$G$3:$G$1002,입출고내역!$C$3:$C$1002,$A8,입출고내역!$B$3:$B$1002,"입고",입출고내역!$A$3:$A$1002,"&gt;="&amp;DATE($B$3,$D$3,1),입출고내역!$A$3:$A$1002,"&lt;="&amp;EOMONTH(DATE($B$3,$D$3,1),0)))</f>
        <v>0</v>
      </c>
      <c r="F8" s="13" t="n">
        <f aca="false">IF($A8="","",SUMIFS(입출고내역!$G$3:$G$1002,입출고내역!$C$3:$C$1002,$A8,입출고내역!$B$3:$B$1002,"출고",입출고내역!$A$3:$A$1002,"&gt;="&amp;DATE($B$3,$D$3,1),입출고내역!$A$3:$A$1002,"&lt;="&amp;EOMONTH(DATE($B$3,$D$3,1),0)))</f>
        <v>0</v>
      </c>
      <c r="G8" s="13" t="n">
        <f aca="false">IF($A8="","",IF(품목마스터!$F5="",0,품목마스터!$F5)+SUMIFS(입출고내역!$L$3:$L$1002,입출고내역!$C$3:$C$1002,$A8,입출고내역!$A$3:$A$1002,"&lt;="&amp;EOMONTH(DATE($B$3,$D$3,1),0)))</f>
        <v>40</v>
      </c>
      <c r="H8" s="13" t="n">
        <f aca="false">IF($A8="","",IF(품목마스터!$G5="",0,품목마스터!$G5))</f>
        <v>10</v>
      </c>
    </row>
    <row r="9" customFormat="false" ht="15" hidden="false" customHeight="true" outlineLevel="0" collapsed="false">
      <c r="A9" s="12" t="str">
        <f aca="false">IF(품목마스터!$A6="","",품목마스터!$A6)</f>
        <v>C001</v>
      </c>
      <c r="B9" s="12" t="str">
        <f aca="false">IF($A9="","",품목마스터!$B6)</f>
        <v>절삭유</v>
      </c>
      <c r="C9" s="12" t="str">
        <f aca="false">IF($A9="","",품목마스터!$D6)</f>
        <v>통</v>
      </c>
      <c r="D9" s="13" t="n">
        <f aca="false">IF($A9="","",IF(품목마스터!$F6="",0,품목마스터!$F6)+SUMIFS(입출고내역!$L$3:$L$1002,입출고내역!$C$3:$C$1002,$A9,입출고내역!$A$3:$A$1002,"&lt;"&amp;DATE($B$3,$D$3,1)))</f>
        <v>12</v>
      </c>
      <c r="E9" s="13" t="n">
        <f aca="false">IF($A9="","",SUMIFS(입출고내역!$G$3:$G$1002,입출고내역!$C$3:$C$1002,$A9,입출고내역!$B$3:$B$1002,"입고",입출고내역!$A$3:$A$1002,"&gt;="&amp;DATE($B$3,$D$3,1),입출고내역!$A$3:$A$1002,"&lt;="&amp;EOMONTH(DATE($B$3,$D$3,1),0)))</f>
        <v>0</v>
      </c>
      <c r="F9" s="13" t="n">
        <f aca="false">IF($A9="","",SUMIFS(입출고내역!$G$3:$G$1002,입출고내역!$C$3:$C$1002,$A9,입출고내역!$B$3:$B$1002,"출고",입출고내역!$A$3:$A$1002,"&gt;="&amp;DATE($B$3,$D$3,1),입출고내역!$A$3:$A$1002,"&lt;="&amp;EOMONTH(DATE($B$3,$D$3,1),0)))</f>
        <v>0</v>
      </c>
      <c r="G9" s="13" t="n">
        <f aca="false">IF($A9="","",IF(품목마스터!$F6="",0,품목마스터!$F6)+SUMIFS(입출고내역!$L$3:$L$1002,입출고내역!$C$3:$C$1002,$A9,입출고내역!$A$3:$A$1002,"&lt;="&amp;EOMONTH(DATE($B$3,$D$3,1),0)))</f>
        <v>12</v>
      </c>
      <c r="H9" s="13" t="n">
        <f aca="false">IF($A9="","",IF(품목마스터!$G6="",0,품목마스터!$G6))</f>
        <v>4</v>
      </c>
    </row>
    <row r="10" customFormat="false" ht="15" hidden="false" customHeight="true" outlineLevel="0" collapsed="false">
      <c r="A10" s="12" t="str">
        <f aca="false">IF(품목마스터!$A7="","",품목마스터!$A7)</f>
        <v/>
      </c>
      <c r="B10" s="12" t="str">
        <f aca="false">IF($A10="","",품목마스터!$B7)</f>
        <v/>
      </c>
      <c r="C10" s="12" t="str">
        <f aca="false">IF($A10="","",품목마스터!$D7)</f>
        <v/>
      </c>
      <c r="D10" s="13" t="str">
        <f aca="false">IF($A10="","",IF(품목마스터!$F7="",0,품목마스터!$F7)+SUMIFS(입출고내역!$L$3:$L$1002,입출고내역!$C$3:$C$1002,$A10,입출고내역!$A$3:$A$1002,"&lt;"&amp;DATE($B$3,$D$3,1)))</f>
        <v/>
      </c>
      <c r="E10" s="13" t="str">
        <f aca="false">IF($A10="","",SUMIFS(입출고내역!$G$3:$G$1002,입출고내역!$C$3:$C$1002,$A10,입출고내역!$B$3:$B$1002,"입고",입출고내역!$A$3:$A$1002,"&gt;="&amp;DATE($B$3,$D$3,1),입출고내역!$A$3:$A$1002,"&lt;="&amp;EOMONTH(DATE($B$3,$D$3,1),0)))</f>
        <v/>
      </c>
      <c r="F10" s="13" t="str">
        <f aca="false">IF($A10="","",SUMIFS(입출고내역!$G$3:$G$1002,입출고내역!$C$3:$C$1002,$A10,입출고내역!$B$3:$B$1002,"출고",입출고내역!$A$3:$A$1002,"&gt;="&amp;DATE($B$3,$D$3,1),입출고내역!$A$3:$A$1002,"&lt;="&amp;EOMONTH(DATE($B$3,$D$3,1),0)))</f>
        <v/>
      </c>
      <c r="G10" s="13" t="str">
        <f aca="false">IF($A10="","",IF(품목마스터!$F7="",0,품목마스터!$F7)+SUMIFS(입출고내역!$L$3:$L$1002,입출고내역!$C$3:$C$1002,$A10,입출고내역!$A$3:$A$1002,"&lt;="&amp;EOMONTH(DATE($B$3,$D$3,1),0)))</f>
        <v/>
      </c>
      <c r="H10" s="13" t="str">
        <f aca="false">IF($A10="","",IF(품목마스터!$G7="",0,품목마스터!$G7))</f>
        <v/>
      </c>
    </row>
    <row r="11" customFormat="false" ht="15" hidden="false" customHeight="true" outlineLevel="0" collapsed="false">
      <c r="A11" s="12" t="str">
        <f aca="false">IF(품목마스터!$A8="","",품목마스터!$A8)</f>
        <v/>
      </c>
      <c r="B11" s="12" t="str">
        <f aca="false">IF($A11="","",품목마스터!$B8)</f>
        <v/>
      </c>
      <c r="C11" s="12" t="str">
        <f aca="false">IF($A11="","",품목마스터!$D8)</f>
        <v/>
      </c>
      <c r="D11" s="13" t="str">
        <f aca="false">IF($A11="","",IF(품목마스터!$F8="",0,품목마스터!$F8)+SUMIFS(입출고내역!$L$3:$L$1002,입출고내역!$C$3:$C$1002,$A11,입출고내역!$A$3:$A$1002,"&lt;"&amp;DATE($B$3,$D$3,1)))</f>
        <v/>
      </c>
      <c r="E11" s="13" t="str">
        <f aca="false">IF($A11="","",SUMIFS(입출고내역!$G$3:$G$1002,입출고내역!$C$3:$C$1002,$A11,입출고내역!$B$3:$B$1002,"입고",입출고내역!$A$3:$A$1002,"&gt;="&amp;DATE($B$3,$D$3,1),입출고내역!$A$3:$A$1002,"&lt;="&amp;EOMONTH(DATE($B$3,$D$3,1),0)))</f>
        <v/>
      </c>
      <c r="F11" s="13" t="str">
        <f aca="false">IF($A11="","",SUMIFS(입출고내역!$G$3:$G$1002,입출고내역!$C$3:$C$1002,$A11,입출고내역!$B$3:$B$1002,"출고",입출고내역!$A$3:$A$1002,"&gt;="&amp;DATE($B$3,$D$3,1),입출고내역!$A$3:$A$1002,"&lt;="&amp;EOMONTH(DATE($B$3,$D$3,1),0)))</f>
        <v/>
      </c>
      <c r="G11" s="13" t="str">
        <f aca="false">IF($A11="","",IF(품목마스터!$F8="",0,품목마스터!$F8)+SUMIFS(입출고내역!$L$3:$L$1002,입출고내역!$C$3:$C$1002,$A11,입출고내역!$A$3:$A$1002,"&lt;="&amp;EOMONTH(DATE($B$3,$D$3,1),0)))</f>
        <v/>
      </c>
      <c r="H11" s="13" t="str">
        <f aca="false">IF($A11="","",IF(품목마스터!$G8="",0,품목마스터!$G8))</f>
        <v/>
      </c>
    </row>
    <row r="12" customFormat="false" ht="15" hidden="false" customHeight="true" outlineLevel="0" collapsed="false">
      <c r="A12" s="12" t="str">
        <f aca="false">IF(품목마스터!$A9="","",품목마스터!$A9)</f>
        <v/>
      </c>
      <c r="B12" s="12" t="str">
        <f aca="false">IF($A12="","",품목마스터!$B9)</f>
        <v/>
      </c>
      <c r="C12" s="12" t="str">
        <f aca="false">IF($A12="","",품목마스터!$D9)</f>
        <v/>
      </c>
      <c r="D12" s="13" t="str">
        <f aca="false">IF($A12="","",IF(품목마스터!$F9="",0,품목마스터!$F9)+SUMIFS(입출고내역!$L$3:$L$1002,입출고내역!$C$3:$C$1002,$A12,입출고내역!$A$3:$A$1002,"&lt;"&amp;DATE($B$3,$D$3,1)))</f>
        <v/>
      </c>
      <c r="E12" s="13" t="str">
        <f aca="false">IF($A12="","",SUMIFS(입출고내역!$G$3:$G$1002,입출고내역!$C$3:$C$1002,$A12,입출고내역!$B$3:$B$1002,"입고",입출고내역!$A$3:$A$1002,"&gt;="&amp;DATE($B$3,$D$3,1),입출고내역!$A$3:$A$1002,"&lt;="&amp;EOMONTH(DATE($B$3,$D$3,1),0)))</f>
        <v/>
      </c>
      <c r="F12" s="13" t="str">
        <f aca="false">IF($A12="","",SUMIFS(입출고내역!$G$3:$G$1002,입출고내역!$C$3:$C$1002,$A12,입출고내역!$B$3:$B$1002,"출고",입출고내역!$A$3:$A$1002,"&gt;="&amp;DATE($B$3,$D$3,1),입출고내역!$A$3:$A$1002,"&lt;="&amp;EOMONTH(DATE($B$3,$D$3,1),0)))</f>
        <v/>
      </c>
      <c r="G12" s="13" t="str">
        <f aca="false">IF($A12="","",IF(품목마스터!$F9="",0,품목마스터!$F9)+SUMIFS(입출고내역!$L$3:$L$1002,입출고내역!$C$3:$C$1002,$A12,입출고내역!$A$3:$A$1002,"&lt;="&amp;EOMONTH(DATE($B$3,$D$3,1),0)))</f>
        <v/>
      </c>
      <c r="H12" s="13" t="str">
        <f aca="false">IF($A12="","",IF(품목마스터!$G9="",0,품목마스터!$G9))</f>
        <v/>
      </c>
    </row>
    <row r="13" customFormat="false" ht="15" hidden="false" customHeight="true" outlineLevel="0" collapsed="false">
      <c r="A13" s="12" t="str">
        <f aca="false">IF(품목마스터!$A10="","",품목마스터!$A10)</f>
        <v/>
      </c>
      <c r="B13" s="12" t="str">
        <f aca="false">IF($A13="","",품목마스터!$B10)</f>
        <v/>
      </c>
      <c r="C13" s="12" t="str">
        <f aca="false">IF($A13="","",품목마스터!$D10)</f>
        <v/>
      </c>
      <c r="D13" s="13" t="str">
        <f aca="false">IF($A13="","",IF(품목마스터!$F10="",0,품목마스터!$F10)+SUMIFS(입출고내역!$L$3:$L$1002,입출고내역!$C$3:$C$1002,$A13,입출고내역!$A$3:$A$1002,"&lt;"&amp;DATE($B$3,$D$3,1)))</f>
        <v/>
      </c>
      <c r="E13" s="13" t="str">
        <f aca="false">IF($A13="","",SUMIFS(입출고내역!$G$3:$G$1002,입출고내역!$C$3:$C$1002,$A13,입출고내역!$B$3:$B$1002,"입고",입출고내역!$A$3:$A$1002,"&gt;="&amp;DATE($B$3,$D$3,1),입출고내역!$A$3:$A$1002,"&lt;="&amp;EOMONTH(DATE($B$3,$D$3,1),0)))</f>
        <v/>
      </c>
      <c r="F13" s="13" t="str">
        <f aca="false">IF($A13="","",SUMIFS(입출고내역!$G$3:$G$1002,입출고내역!$C$3:$C$1002,$A13,입출고내역!$B$3:$B$1002,"출고",입출고내역!$A$3:$A$1002,"&gt;="&amp;DATE($B$3,$D$3,1),입출고내역!$A$3:$A$1002,"&lt;="&amp;EOMONTH(DATE($B$3,$D$3,1),0)))</f>
        <v/>
      </c>
      <c r="G13" s="13" t="str">
        <f aca="false">IF($A13="","",IF(품목마스터!$F10="",0,품목마스터!$F10)+SUMIFS(입출고내역!$L$3:$L$1002,입출고내역!$C$3:$C$1002,$A13,입출고내역!$A$3:$A$1002,"&lt;="&amp;EOMONTH(DATE($B$3,$D$3,1),0)))</f>
        <v/>
      </c>
      <c r="H13" s="13" t="str">
        <f aca="false">IF($A13="","",IF(품목마스터!$G10="",0,품목마스터!$G10))</f>
        <v/>
      </c>
    </row>
    <row r="14" customFormat="false" ht="15" hidden="false" customHeight="true" outlineLevel="0" collapsed="false">
      <c r="A14" s="12" t="str">
        <f aca="false">IF(품목마스터!$A11="","",품목마스터!$A11)</f>
        <v/>
      </c>
      <c r="B14" s="12" t="str">
        <f aca="false">IF($A14="","",품목마스터!$B11)</f>
        <v/>
      </c>
      <c r="C14" s="12" t="str">
        <f aca="false">IF($A14="","",품목마스터!$D11)</f>
        <v/>
      </c>
      <c r="D14" s="13" t="str">
        <f aca="false">IF($A14="","",IF(품목마스터!$F11="",0,품목마스터!$F11)+SUMIFS(입출고내역!$L$3:$L$1002,입출고내역!$C$3:$C$1002,$A14,입출고내역!$A$3:$A$1002,"&lt;"&amp;DATE($B$3,$D$3,1)))</f>
        <v/>
      </c>
      <c r="E14" s="13" t="str">
        <f aca="false">IF($A14="","",SUMIFS(입출고내역!$G$3:$G$1002,입출고내역!$C$3:$C$1002,$A14,입출고내역!$B$3:$B$1002,"입고",입출고내역!$A$3:$A$1002,"&gt;="&amp;DATE($B$3,$D$3,1),입출고내역!$A$3:$A$1002,"&lt;="&amp;EOMONTH(DATE($B$3,$D$3,1),0)))</f>
        <v/>
      </c>
      <c r="F14" s="13" t="str">
        <f aca="false">IF($A14="","",SUMIFS(입출고내역!$G$3:$G$1002,입출고내역!$C$3:$C$1002,$A14,입출고내역!$B$3:$B$1002,"출고",입출고내역!$A$3:$A$1002,"&gt;="&amp;DATE($B$3,$D$3,1),입출고내역!$A$3:$A$1002,"&lt;="&amp;EOMONTH(DATE($B$3,$D$3,1),0)))</f>
        <v/>
      </c>
      <c r="G14" s="13" t="str">
        <f aca="false">IF($A14="","",IF(품목마스터!$F11="",0,품목마스터!$F11)+SUMIFS(입출고내역!$L$3:$L$1002,입출고내역!$C$3:$C$1002,$A14,입출고내역!$A$3:$A$1002,"&lt;="&amp;EOMONTH(DATE($B$3,$D$3,1),0)))</f>
        <v/>
      </c>
      <c r="H14" s="13" t="str">
        <f aca="false">IF($A14="","",IF(품목마스터!$G11="",0,품목마스터!$G11))</f>
        <v/>
      </c>
    </row>
    <row r="15" customFormat="false" ht="15" hidden="false" customHeight="true" outlineLevel="0" collapsed="false">
      <c r="A15" s="12" t="str">
        <f aca="false">IF(품목마스터!$A12="","",품목마스터!$A12)</f>
        <v/>
      </c>
      <c r="B15" s="12" t="str">
        <f aca="false">IF($A15="","",품목마스터!$B12)</f>
        <v/>
      </c>
      <c r="C15" s="12" t="str">
        <f aca="false">IF($A15="","",품목마스터!$D12)</f>
        <v/>
      </c>
      <c r="D15" s="13" t="str">
        <f aca="false">IF($A15="","",IF(품목마스터!$F12="",0,품목마스터!$F12)+SUMIFS(입출고내역!$L$3:$L$1002,입출고내역!$C$3:$C$1002,$A15,입출고내역!$A$3:$A$1002,"&lt;"&amp;DATE($B$3,$D$3,1)))</f>
        <v/>
      </c>
      <c r="E15" s="13" t="str">
        <f aca="false">IF($A15="","",SUMIFS(입출고내역!$G$3:$G$1002,입출고내역!$C$3:$C$1002,$A15,입출고내역!$B$3:$B$1002,"입고",입출고내역!$A$3:$A$1002,"&gt;="&amp;DATE($B$3,$D$3,1),입출고내역!$A$3:$A$1002,"&lt;="&amp;EOMONTH(DATE($B$3,$D$3,1),0)))</f>
        <v/>
      </c>
      <c r="F15" s="13" t="str">
        <f aca="false">IF($A15="","",SUMIFS(입출고내역!$G$3:$G$1002,입출고내역!$C$3:$C$1002,$A15,입출고내역!$B$3:$B$1002,"출고",입출고내역!$A$3:$A$1002,"&gt;="&amp;DATE($B$3,$D$3,1),입출고내역!$A$3:$A$1002,"&lt;="&amp;EOMONTH(DATE($B$3,$D$3,1),0)))</f>
        <v/>
      </c>
      <c r="G15" s="13" t="str">
        <f aca="false">IF($A15="","",IF(품목마스터!$F12="",0,품목마스터!$F12)+SUMIFS(입출고내역!$L$3:$L$1002,입출고내역!$C$3:$C$1002,$A15,입출고내역!$A$3:$A$1002,"&lt;="&amp;EOMONTH(DATE($B$3,$D$3,1),0)))</f>
        <v/>
      </c>
      <c r="H15" s="13" t="str">
        <f aca="false">IF($A15="","",IF(품목마스터!$G12="",0,품목마스터!$G12))</f>
        <v/>
      </c>
    </row>
    <row r="16" customFormat="false" ht="15" hidden="false" customHeight="true" outlineLevel="0" collapsed="false">
      <c r="A16" s="12" t="str">
        <f aca="false">IF(품목마스터!$A13="","",품목마스터!$A13)</f>
        <v/>
      </c>
      <c r="B16" s="12" t="str">
        <f aca="false">IF($A16="","",품목마스터!$B13)</f>
        <v/>
      </c>
      <c r="C16" s="12" t="str">
        <f aca="false">IF($A16="","",품목마스터!$D13)</f>
        <v/>
      </c>
      <c r="D16" s="13" t="str">
        <f aca="false">IF($A16="","",IF(품목마스터!$F13="",0,품목마스터!$F13)+SUMIFS(입출고내역!$L$3:$L$1002,입출고내역!$C$3:$C$1002,$A16,입출고내역!$A$3:$A$1002,"&lt;"&amp;DATE($B$3,$D$3,1)))</f>
        <v/>
      </c>
      <c r="E16" s="13" t="str">
        <f aca="false">IF($A16="","",SUMIFS(입출고내역!$G$3:$G$1002,입출고내역!$C$3:$C$1002,$A16,입출고내역!$B$3:$B$1002,"입고",입출고내역!$A$3:$A$1002,"&gt;="&amp;DATE($B$3,$D$3,1),입출고내역!$A$3:$A$1002,"&lt;="&amp;EOMONTH(DATE($B$3,$D$3,1),0)))</f>
        <v/>
      </c>
      <c r="F16" s="13" t="str">
        <f aca="false">IF($A16="","",SUMIFS(입출고내역!$G$3:$G$1002,입출고내역!$C$3:$C$1002,$A16,입출고내역!$B$3:$B$1002,"출고",입출고내역!$A$3:$A$1002,"&gt;="&amp;DATE($B$3,$D$3,1),입출고내역!$A$3:$A$1002,"&lt;="&amp;EOMONTH(DATE($B$3,$D$3,1),0)))</f>
        <v/>
      </c>
      <c r="G16" s="13" t="str">
        <f aca="false">IF($A16="","",IF(품목마스터!$F13="",0,품목마스터!$F13)+SUMIFS(입출고내역!$L$3:$L$1002,입출고내역!$C$3:$C$1002,$A16,입출고내역!$A$3:$A$1002,"&lt;="&amp;EOMONTH(DATE($B$3,$D$3,1),0)))</f>
        <v/>
      </c>
      <c r="H16" s="13" t="str">
        <f aca="false">IF($A16="","",IF(품목마스터!$G13="",0,품목마스터!$G13))</f>
        <v/>
      </c>
    </row>
    <row r="17" customFormat="false" ht="15" hidden="false" customHeight="true" outlineLevel="0" collapsed="false">
      <c r="A17" s="12" t="str">
        <f aca="false">IF(품목마스터!$A14="","",품목마스터!$A14)</f>
        <v/>
      </c>
      <c r="B17" s="12" t="str">
        <f aca="false">IF($A17="","",품목마스터!$B14)</f>
        <v/>
      </c>
      <c r="C17" s="12" t="str">
        <f aca="false">IF($A17="","",품목마스터!$D14)</f>
        <v/>
      </c>
      <c r="D17" s="13" t="str">
        <f aca="false">IF($A17="","",IF(품목마스터!$F14="",0,품목마스터!$F14)+SUMIFS(입출고내역!$L$3:$L$1002,입출고내역!$C$3:$C$1002,$A17,입출고내역!$A$3:$A$1002,"&lt;"&amp;DATE($B$3,$D$3,1)))</f>
        <v/>
      </c>
      <c r="E17" s="13" t="str">
        <f aca="false">IF($A17="","",SUMIFS(입출고내역!$G$3:$G$1002,입출고내역!$C$3:$C$1002,$A17,입출고내역!$B$3:$B$1002,"입고",입출고내역!$A$3:$A$1002,"&gt;="&amp;DATE($B$3,$D$3,1),입출고내역!$A$3:$A$1002,"&lt;="&amp;EOMONTH(DATE($B$3,$D$3,1),0)))</f>
        <v/>
      </c>
      <c r="F17" s="13" t="str">
        <f aca="false">IF($A17="","",SUMIFS(입출고내역!$G$3:$G$1002,입출고내역!$C$3:$C$1002,$A17,입출고내역!$B$3:$B$1002,"출고",입출고내역!$A$3:$A$1002,"&gt;="&amp;DATE($B$3,$D$3,1),입출고내역!$A$3:$A$1002,"&lt;="&amp;EOMONTH(DATE($B$3,$D$3,1),0)))</f>
        <v/>
      </c>
      <c r="G17" s="13" t="str">
        <f aca="false">IF($A17="","",IF(품목마스터!$F14="",0,품목마스터!$F14)+SUMIFS(입출고내역!$L$3:$L$1002,입출고내역!$C$3:$C$1002,$A17,입출고내역!$A$3:$A$1002,"&lt;="&amp;EOMONTH(DATE($B$3,$D$3,1),0)))</f>
        <v/>
      </c>
      <c r="H17" s="13" t="str">
        <f aca="false">IF($A17="","",IF(품목마스터!$G14="",0,품목마스터!$G14))</f>
        <v/>
      </c>
    </row>
    <row r="18" customFormat="false" ht="15" hidden="false" customHeight="true" outlineLevel="0" collapsed="false">
      <c r="A18" s="12" t="str">
        <f aca="false">IF(품목마스터!$A15="","",품목마스터!$A15)</f>
        <v/>
      </c>
      <c r="B18" s="12" t="str">
        <f aca="false">IF($A18="","",품목마스터!$B15)</f>
        <v/>
      </c>
      <c r="C18" s="12" t="str">
        <f aca="false">IF($A18="","",품목마스터!$D15)</f>
        <v/>
      </c>
      <c r="D18" s="13" t="str">
        <f aca="false">IF($A18="","",IF(품목마스터!$F15="",0,품목마스터!$F15)+SUMIFS(입출고내역!$L$3:$L$1002,입출고내역!$C$3:$C$1002,$A18,입출고내역!$A$3:$A$1002,"&lt;"&amp;DATE($B$3,$D$3,1)))</f>
        <v/>
      </c>
      <c r="E18" s="13" t="str">
        <f aca="false">IF($A18="","",SUMIFS(입출고내역!$G$3:$G$1002,입출고내역!$C$3:$C$1002,$A18,입출고내역!$B$3:$B$1002,"입고",입출고내역!$A$3:$A$1002,"&gt;="&amp;DATE($B$3,$D$3,1),입출고내역!$A$3:$A$1002,"&lt;="&amp;EOMONTH(DATE($B$3,$D$3,1),0)))</f>
        <v/>
      </c>
      <c r="F18" s="13" t="str">
        <f aca="false">IF($A18="","",SUMIFS(입출고내역!$G$3:$G$1002,입출고내역!$C$3:$C$1002,$A18,입출고내역!$B$3:$B$1002,"출고",입출고내역!$A$3:$A$1002,"&gt;="&amp;DATE($B$3,$D$3,1),입출고내역!$A$3:$A$1002,"&lt;="&amp;EOMONTH(DATE($B$3,$D$3,1),0)))</f>
        <v/>
      </c>
      <c r="G18" s="13" t="str">
        <f aca="false">IF($A18="","",IF(품목마스터!$F15="",0,품목마스터!$F15)+SUMIFS(입출고내역!$L$3:$L$1002,입출고내역!$C$3:$C$1002,$A18,입출고내역!$A$3:$A$1002,"&lt;="&amp;EOMONTH(DATE($B$3,$D$3,1),0)))</f>
        <v/>
      </c>
      <c r="H18" s="13" t="str">
        <f aca="false">IF($A18="","",IF(품목마스터!$G15="",0,품목마스터!$G15))</f>
        <v/>
      </c>
    </row>
    <row r="19" customFormat="false" ht="15" hidden="false" customHeight="true" outlineLevel="0" collapsed="false">
      <c r="A19" s="12" t="str">
        <f aca="false">IF(품목마스터!$A16="","",품목마스터!$A16)</f>
        <v/>
      </c>
      <c r="B19" s="12" t="str">
        <f aca="false">IF($A19="","",품목마스터!$B16)</f>
        <v/>
      </c>
      <c r="C19" s="12" t="str">
        <f aca="false">IF($A19="","",품목마스터!$D16)</f>
        <v/>
      </c>
      <c r="D19" s="13" t="str">
        <f aca="false">IF($A19="","",IF(품목마스터!$F16="",0,품목마스터!$F16)+SUMIFS(입출고내역!$L$3:$L$1002,입출고내역!$C$3:$C$1002,$A19,입출고내역!$A$3:$A$1002,"&lt;"&amp;DATE($B$3,$D$3,1)))</f>
        <v/>
      </c>
      <c r="E19" s="13" t="str">
        <f aca="false">IF($A19="","",SUMIFS(입출고내역!$G$3:$G$1002,입출고내역!$C$3:$C$1002,$A19,입출고내역!$B$3:$B$1002,"입고",입출고내역!$A$3:$A$1002,"&gt;="&amp;DATE($B$3,$D$3,1),입출고내역!$A$3:$A$1002,"&lt;="&amp;EOMONTH(DATE($B$3,$D$3,1),0)))</f>
        <v/>
      </c>
      <c r="F19" s="13" t="str">
        <f aca="false">IF($A19="","",SUMIFS(입출고내역!$G$3:$G$1002,입출고내역!$C$3:$C$1002,$A19,입출고내역!$B$3:$B$1002,"출고",입출고내역!$A$3:$A$1002,"&gt;="&amp;DATE($B$3,$D$3,1),입출고내역!$A$3:$A$1002,"&lt;="&amp;EOMONTH(DATE($B$3,$D$3,1),0)))</f>
        <v/>
      </c>
      <c r="G19" s="13" t="str">
        <f aca="false">IF($A19="","",IF(품목마스터!$F16="",0,품목마스터!$F16)+SUMIFS(입출고내역!$L$3:$L$1002,입출고내역!$C$3:$C$1002,$A19,입출고내역!$A$3:$A$1002,"&lt;="&amp;EOMONTH(DATE($B$3,$D$3,1),0)))</f>
        <v/>
      </c>
      <c r="H19" s="13" t="str">
        <f aca="false">IF($A19="","",IF(품목마스터!$G16="",0,품목마스터!$G16))</f>
        <v/>
      </c>
    </row>
    <row r="20" customFormat="false" ht="15" hidden="false" customHeight="true" outlineLevel="0" collapsed="false">
      <c r="A20" s="12" t="str">
        <f aca="false">IF(품목마스터!$A17="","",품목마스터!$A17)</f>
        <v/>
      </c>
      <c r="B20" s="12" t="str">
        <f aca="false">IF($A20="","",품목마스터!$B17)</f>
        <v/>
      </c>
      <c r="C20" s="12" t="str">
        <f aca="false">IF($A20="","",품목마스터!$D17)</f>
        <v/>
      </c>
      <c r="D20" s="13" t="str">
        <f aca="false">IF($A20="","",IF(품목마스터!$F17="",0,품목마스터!$F17)+SUMIFS(입출고내역!$L$3:$L$1002,입출고내역!$C$3:$C$1002,$A20,입출고내역!$A$3:$A$1002,"&lt;"&amp;DATE($B$3,$D$3,1)))</f>
        <v/>
      </c>
      <c r="E20" s="13" t="str">
        <f aca="false">IF($A20="","",SUMIFS(입출고내역!$G$3:$G$1002,입출고내역!$C$3:$C$1002,$A20,입출고내역!$B$3:$B$1002,"입고",입출고내역!$A$3:$A$1002,"&gt;="&amp;DATE($B$3,$D$3,1),입출고내역!$A$3:$A$1002,"&lt;="&amp;EOMONTH(DATE($B$3,$D$3,1),0)))</f>
        <v/>
      </c>
      <c r="F20" s="13" t="str">
        <f aca="false">IF($A20="","",SUMIFS(입출고내역!$G$3:$G$1002,입출고내역!$C$3:$C$1002,$A20,입출고내역!$B$3:$B$1002,"출고",입출고내역!$A$3:$A$1002,"&gt;="&amp;DATE($B$3,$D$3,1),입출고내역!$A$3:$A$1002,"&lt;="&amp;EOMONTH(DATE($B$3,$D$3,1),0)))</f>
        <v/>
      </c>
      <c r="G20" s="13" t="str">
        <f aca="false">IF($A20="","",IF(품목마스터!$F17="",0,품목마스터!$F17)+SUMIFS(입출고내역!$L$3:$L$1002,입출고내역!$C$3:$C$1002,$A20,입출고내역!$A$3:$A$1002,"&lt;="&amp;EOMONTH(DATE($B$3,$D$3,1),0)))</f>
        <v/>
      </c>
      <c r="H20" s="13" t="str">
        <f aca="false">IF($A20="","",IF(품목마스터!$G17="",0,품목마스터!$G17))</f>
        <v/>
      </c>
    </row>
    <row r="21" customFormat="false" ht="15" hidden="false" customHeight="true" outlineLevel="0" collapsed="false">
      <c r="A21" s="12" t="str">
        <f aca="false">IF(품목마스터!$A18="","",품목마스터!$A18)</f>
        <v/>
      </c>
      <c r="B21" s="12" t="str">
        <f aca="false">IF($A21="","",품목마스터!$B18)</f>
        <v/>
      </c>
      <c r="C21" s="12" t="str">
        <f aca="false">IF($A21="","",품목마스터!$D18)</f>
        <v/>
      </c>
      <c r="D21" s="13" t="str">
        <f aca="false">IF($A21="","",IF(품목마스터!$F18="",0,품목마스터!$F18)+SUMIFS(입출고내역!$L$3:$L$1002,입출고내역!$C$3:$C$1002,$A21,입출고내역!$A$3:$A$1002,"&lt;"&amp;DATE($B$3,$D$3,1)))</f>
        <v/>
      </c>
      <c r="E21" s="13" t="str">
        <f aca="false">IF($A21="","",SUMIFS(입출고내역!$G$3:$G$1002,입출고내역!$C$3:$C$1002,$A21,입출고내역!$B$3:$B$1002,"입고",입출고내역!$A$3:$A$1002,"&gt;="&amp;DATE($B$3,$D$3,1),입출고내역!$A$3:$A$1002,"&lt;="&amp;EOMONTH(DATE($B$3,$D$3,1),0)))</f>
        <v/>
      </c>
      <c r="F21" s="13" t="str">
        <f aca="false">IF($A21="","",SUMIFS(입출고내역!$G$3:$G$1002,입출고내역!$C$3:$C$1002,$A21,입출고내역!$B$3:$B$1002,"출고",입출고내역!$A$3:$A$1002,"&gt;="&amp;DATE($B$3,$D$3,1),입출고내역!$A$3:$A$1002,"&lt;="&amp;EOMONTH(DATE($B$3,$D$3,1),0)))</f>
        <v/>
      </c>
      <c r="G21" s="13" t="str">
        <f aca="false">IF($A21="","",IF(품목마스터!$F18="",0,품목마스터!$F18)+SUMIFS(입출고내역!$L$3:$L$1002,입출고내역!$C$3:$C$1002,$A21,입출고내역!$A$3:$A$1002,"&lt;="&amp;EOMONTH(DATE($B$3,$D$3,1),0)))</f>
        <v/>
      </c>
      <c r="H21" s="13" t="str">
        <f aca="false">IF($A21="","",IF(품목마스터!$G18="",0,품목마스터!$G18))</f>
        <v/>
      </c>
    </row>
    <row r="22" customFormat="false" ht="15" hidden="false" customHeight="true" outlineLevel="0" collapsed="false">
      <c r="A22" s="12" t="str">
        <f aca="false">IF(품목마스터!$A19="","",품목마스터!$A19)</f>
        <v/>
      </c>
      <c r="B22" s="12" t="str">
        <f aca="false">IF($A22="","",품목마스터!$B19)</f>
        <v/>
      </c>
      <c r="C22" s="12" t="str">
        <f aca="false">IF($A22="","",품목마스터!$D19)</f>
        <v/>
      </c>
      <c r="D22" s="13" t="str">
        <f aca="false">IF($A22="","",IF(품목마스터!$F19="",0,품목마스터!$F19)+SUMIFS(입출고내역!$L$3:$L$1002,입출고내역!$C$3:$C$1002,$A22,입출고내역!$A$3:$A$1002,"&lt;"&amp;DATE($B$3,$D$3,1)))</f>
        <v/>
      </c>
      <c r="E22" s="13" t="str">
        <f aca="false">IF($A22="","",SUMIFS(입출고내역!$G$3:$G$1002,입출고내역!$C$3:$C$1002,$A22,입출고내역!$B$3:$B$1002,"입고",입출고내역!$A$3:$A$1002,"&gt;="&amp;DATE($B$3,$D$3,1),입출고내역!$A$3:$A$1002,"&lt;="&amp;EOMONTH(DATE($B$3,$D$3,1),0)))</f>
        <v/>
      </c>
      <c r="F22" s="13" t="str">
        <f aca="false">IF($A22="","",SUMIFS(입출고내역!$G$3:$G$1002,입출고내역!$C$3:$C$1002,$A22,입출고내역!$B$3:$B$1002,"출고",입출고내역!$A$3:$A$1002,"&gt;="&amp;DATE($B$3,$D$3,1),입출고내역!$A$3:$A$1002,"&lt;="&amp;EOMONTH(DATE($B$3,$D$3,1),0)))</f>
        <v/>
      </c>
      <c r="G22" s="13" t="str">
        <f aca="false">IF($A22="","",IF(품목마스터!$F19="",0,품목마스터!$F19)+SUMIFS(입출고내역!$L$3:$L$1002,입출고내역!$C$3:$C$1002,$A22,입출고내역!$A$3:$A$1002,"&lt;="&amp;EOMONTH(DATE($B$3,$D$3,1),0)))</f>
        <v/>
      </c>
      <c r="H22" s="13" t="str">
        <f aca="false">IF($A22="","",IF(품목마스터!$G19="",0,품목마스터!$G19))</f>
        <v/>
      </c>
    </row>
    <row r="23" customFormat="false" ht="15" hidden="false" customHeight="true" outlineLevel="0" collapsed="false">
      <c r="A23" s="12" t="str">
        <f aca="false">IF(품목마스터!$A20="","",품목마스터!$A20)</f>
        <v/>
      </c>
      <c r="B23" s="12" t="str">
        <f aca="false">IF($A23="","",품목마스터!$B20)</f>
        <v/>
      </c>
      <c r="C23" s="12" t="str">
        <f aca="false">IF($A23="","",품목마스터!$D20)</f>
        <v/>
      </c>
      <c r="D23" s="13" t="str">
        <f aca="false">IF($A23="","",IF(품목마스터!$F20="",0,품목마스터!$F20)+SUMIFS(입출고내역!$L$3:$L$1002,입출고내역!$C$3:$C$1002,$A23,입출고내역!$A$3:$A$1002,"&lt;"&amp;DATE($B$3,$D$3,1)))</f>
        <v/>
      </c>
      <c r="E23" s="13" t="str">
        <f aca="false">IF($A23="","",SUMIFS(입출고내역!$G$3:$G$1002,입출고내역!$C$3:$C$1002,$A23,입출고내역!$B$3:$B$1002,"입고",입출고내역!$A$3:$A$1002,"&gt;="&amp;DATE($B$3,$D$3,1),입출고내역!$A$3:$A$1002,"&lt;="&amp;EOMONTH(DATE($B$3,$D$3,1),0)))</f>
        <v/>
      </c>
      <c r="F23" s="13" t="str">
        <f aca="false">IF($A23="","",SUMIFS(입출고내역!$G$3:$G$1002,입출고내역!$C$3:$C$1002,$A23,입출고내역!$B$3:$B$1002,"출고",입출고내역!$A$3:$A$1002,"&gt;="&amp;DATE($B$3,$D$3,1),입출고내역!$A$3:$A$1002,"&lt;="&amp;EOMONTH(DATE($B$3,$D$3,1),0)))</f>
        <v/>
      </c>
      <c r="G23" s="13" t="str">
        <f aca="false">IF($A23="","",IF(품목마스터!$F20="",0,품목마스터!$F20)+SUMIFS(입출고내역!$L$3:$L$1002,입출고내역!$C$3:$C$1002,$A23,입출고내역!$A$3:$A$1002,"&lt;="&amp;EOMONTH(DATE($B$3,$D$3,1),0)))</f>
        <v/>
      </c>
      <c r="H23" s="13" t="str">
        <f aca="false">IF($A23="","",IF(품목마스터!$G20="",0,품목마스터!$G20))</f>
        <v/>
      </c>
    </row>
    <row r="24" customFormat="false" ht="15" hidden="false" customHeight="true" outlineLevel="0" collapsed="false">
      <c r="A24" s="12" t="str">
        <f aca="false">IF(품목마스터!$A21="","",품목마스터!$A21)</f>
        <v/>
      </c>
      <c r="B24" s="12" t="str">
        <f aca="false">IF($A24="","",품목마스터!$B21)</f>
        <v/>
      </c>
      <c r="C24" s="12" t="str">
        <f aca="false">IF($A24="","",품목마스터!$D21)</f>
        <v/>
      </c>
      <c r="D24" s="13" t="str">
        <f aca="false">IF($A24="","",IF(품목마스터!$F21="",0,품목마스터!$F21)+SUMIFS(입출고내역!$L$3:$L$1002,입출고내역!$C$3:$C$1002,$A24,입출고내역!$A$3:$A$1002,"&lt;"&amp;DATE($B$3,$D$3,1)))</f>
        <v/>
      </c>
      <c r="E24" s="13" t="str">
        <f aca="false">IF($A24="","",SUMIFS(입출고내역!$G$3:$G$1002,입출고내역!$C$3:$C$1002,$A24,입출고내역!$B$3:$B$1002,"입고",입출고내역!$A$3:$A$1002,"&gt;="&amp;DATE($B$3,$D$3,1),입출고내역!$A$3:$A$1002,"&lt;="&amp;EOMONTH(DATE($B$3,$D$3,1),0)))</f>
        <v/>
      </c>
      <c r="F24" s="13" t="str">
        <f aca="false">IF($A24="","",SUMIFS(입출고내역!$G$3:$G$1002,입출고내역!$C$3:$C$1002,$A24,입출고내역!$B$3:$B$1002,"출고",입출고내역!$A$3:$A$1002,"&gt;="&amp;DATE($B$3,$D$3,1),입출고내역!$A$3:$A$1002,"&lt;="&amp;EOMONTH(DATE($B$3,$D$3,1),0)))</f>
        <v/>
      </c>
      <c r="G24" s="13" t="str">
        <f aca="false">IF($A24="","",IF(품목마스터!$F21="",0,품목마스터!$F21)+SUMIFS(입출고내역!$L$3:$L$1002,입출고내역!$C$3:$C$1002,$A24,입출고내역!$A$3:$A$1002,"&lt;="&amp;EOMONTH(DATE($B$3,$D$3,1),0)))</f>
        <v/>
      </c>
      <c r="H24" s="13" t="str">
        <f aca="false">IF($A24="","",IF(품목마스터!$G21="",0,품목마스터!$G21))</f>
        <v/>
      </c>
    </row>
    <row r="25" customFormat="false" ht="15" hidden="false" customHeight="true" outlineLevel="0" collapsed="false">
      <c r="A25" s="12" t="str">
        <f aca="false">IF(품목마스터!$A22="","",품목마스터!$A22)</f>
        <v/>
      </c>
      <c r="B25" s="12" t="str">
        <f aca="false">IF($A25="","",품목마스터!$B22)</f>
        <v/>
      </c>
      <c r="C25" s="12" t="str">
        <f aca="false">IF($A25="","",품목마스터!$D22)</f>
        <v/>
      </c>
      <c r="D25" s="13" t="str">
        <f aca="false">IF($A25="","",IF(품목마스터!$F22="",0,품목마스터!$F22)+SUMIFS(입출고내역!$L$3:$L$1002,입출고내역!$C$3:$C$1002,$A25,입출고내역!$A$3:$A$1002,"&lt;"&amp;DATE($B$3,$D$3,1)))</f>
        <v/>
      </c>
      <c r="E25" s="13" t="str">
        <f aca="false">IF($A25="","",SUMIFS(입출고내역!$G$3:$G$1002,입출고내역!$C$3:$C$1002,$A25,입출고내역!$B$3:$B$1002,"입고",입출고내역!$A$3:$A$1002,"&gt;="&amp;DATE($B$3,$D$3,1),입출고내역!$A$3:$A$1002,"&lt;="&amp;EOMONTH(DATE($B$3,$D$3,1),0)))</f>
        <v/>
      </c>
      <c r="F25" s="13" t="str">
        <f aca="false">IF($A25="","",SUMIFS(입출고내역!$G$3:$G$1002,입출고내역!$C$3:$C$1002,$A25,입출고내역!$B$3:$B$1002,"출고",입출고내역!$A$3:$A$1002,"&gt;="&amp;DATE($B$3,$D$3,1),입출고내역!$A$3:$A$1002,"&lt;="&amp;EOMONTH(DATE($B$3,$D$3,1),0)))</f>
        <v/>
      </c>
      <c r="G25" s="13" t="str">
        <f aca="false">IF($A25="","",IF(품목마스터!$F22="",0,품목마스터!$F22)+SUMIFS(입출고내역!$L$3:$L$1002,입출고내역!$C$3:$C$1002,$A25,입출고내역!$A$3:$A$1002,"&lt;="&amp;EOMONTH(DATE($B$3,$D$3,1),0)))</f>
        <v/>
      </c>
      <c r="H25" s="13" t="str">
        <f aca="false">IF($A25="","",IF(품목마스터!$G22="",0,품목마스터!$G22))</f>
        <v/>
      </c>
    </row>
    <row r="26" customFormat="false" ht="15" hidden="false" customHeight="true" outlineLevel="0" collapsed="false">
      <c r="A26" s="12" t="str">
        <f aca="false">IF(품목마스터!$A23="","",품목마스터!$A23)</f>
        <v/>
      </c>
      <c r="B26" s="12" t="str">
        <f aca="false">IF($A26="","",품목마스터!$B23)</f>
        <v/>
      </c>
      <c r="C26" s="12" t="str">
        <f aca="false">IF($A26="","",품목마스터!$D23)</f>
        <v/>
      </c>
      <c r="D26" s="13" t="str">
        <f aca="false">IF($A26="","",IF(품목마스터!$F23="",0,품목마스터!$F23)+SUMIFS(입출고내역!$L$3:$L$1002,입출고내역!$C$3:$C$1002,$A26,입출고내역!$A$3:$A$1002,"&lt;"&amp;DATE($B$3,$D$3,1)))</f>
        <v/>
      </c>
      <c r="E26" s="13" t="str">
        <f aca="false">IF($A26="","",SUMIFS(입출고내역!$G$3:$G$1002,입출고내역!$C$3:$C$1002,$A26,입출고내역!$B$3:$B$1002,"입고",입출고내역!$A$3:$A$1002,"&gt;="&amp;DATE($B$3,$D$3,1),입출고내역!$A$3:$A$1002,"&lt;="&amp;EOMONTH(DATE($B$3,$D$3,1),0)))</f>
        <v/>
      </c>
      <c r="F26" s="13" t="str">
        <f aca="false">IF($A26="","",SUMIFS(입출고내역!$G$3:$G$1002,입출고내역!$C$3:$C$1002,$A26,입출고내역!$B$3:$B$1002,"출고",입출고내역!$A$3:$A$1002,"&gt;="&amp;DATE($B$3,$D$3,1),입출고내역!$A$3:$A$1002,"&lt;="&amp;EOMONTH(DATE($B$3,$D$3,1),0)))</f>
        <v/>
      </c>
      <c r="G26" s="13" t="str">
        <f aca="false">IF($A26="","",IF(품목마스터!$F23="",0,품목마스터!$F23)+SUMIFS(입출고내역!$L$3:$L$1002,입출고내역!$C$3:$C$1002,$A26,입출고내역!$A$3:$A$1002,"&lt;="&amp;EOMONTH(DATE($B$3,$D$3,1),0)))</f>
        <v/>
      </c>
      <c r="H26" s="13" t="str">
        <f aca="false">IF($A26="","",IF(품목마스터!$G23="",0,품목마스터!$G23))</f>
        <v/>
      </c>
    </row>
    <row r="27" customFormat="false" ht="15" hidden="false" customHeight="true" outlineLevel="0" collapsed="false">
      <c r="A27" s="12" t="str">
        <f aca="false">IF(품목마스터!$A24="","",품목마스터!$A24)</f>
        <v/>
      </c>
      <c r="B27" s="12" t="str">
        <f aca="false">IF($A27="","",품목마스터!$B24)</f>
        <v/>
      </c>
      <c r="C27" s="12" t="str">
        <f aca="false">IF($A27="","",품목마스터!$D24)</f>
        <v/>
      </c>
      <c r="D27" s="13" t="str">
        <f aca="false">IF($A27="","",IF(품목마스터!$F24="",0,품목마스터!$F24)+SUMIFS(입출고내역!$L$3:$L$1002,입출고내역!$C$3:$C$1002,$A27,입출고내역!$A$3:$A$1002,"&lt;"&amp;DATE($B$3,$D$3,1)))</f>
        <v/>
      </c>
      <c r="E27" s="13" t="str">
        <f aca="false">IF($A27="","",SUMIFS(입출고내역!$G$3:$G$1002,입출고내역!$C$3:$C$1002,$A27,입출고내역!$B$3:$B$1002,"입고",입출고내역!$A$3:$A$1002,"&gt;="&amp;DATE($B$3,$D$3,1),입출고내역!$A$3:$A$1002,"&lt;="&amp;EOMONTH(DATE($B$3,$D$3,1),0)))</f>
        <v/>
      </c>
      <c r="F27" s="13" t="str">
        <f aca="false">IF($A27="","",SUMIFS(입출고내역!$G$3:$G$1002,입출고내역!$C$3:$C$1002,$A27,입출고내역!$B$3:$B$1002,"출고",입출고내역!$A$3:$A$1002,"&gt;="&amp;DATE($B$3,$D$3,1),입출고내역!$A$3:$A$1002,"&lt;="&amp;EOMONTH(DATE($B$3,$D$3,1),0)))</f>
        <v/>
      </c>
      <c r="G27" s="13" t="str">
        <f aca="false">IF($A27="","",IF(품목마스터!$F24="",0,품목마스터!$F24)+SUMIFS(입출고내역!$L$3:$L$1002,입출고내역!$C$3:$C$1002,$A27,입출고내역!$A$3:$A$1002,"&lt;="&amp;EOMONTH(DATE($B$3,$D$3,1),0)))</f>
        <v/>
      </c>
      <c r="H27" s="13" t="str">
        <f aca="false">IF($A27="","",IF(품목마스터!$G24="",0,품목마스터!$G24))</f>
        <v/>
      </c>
    </row>
    <row r="28" customFormat="false" ht="15" hidden="false" customHeight="true" outlineLevel="0" collapsed="false">
      <c r="A28" s="12" t="str">
        <f aca="false">IF(품목마스터!$A25="","",품목마스터!$A25)</f>
        <v/>
      </c>
      <c r="B28" s="12" t="str">
        <f aca="false">IF($A28="","",품목마스터!$B25)</f>
        <v/>
      </c>
      <c r="C28" s="12" t="str">
        <f aca="false">IF($A28="","",품목마스터!$D25)</f>
        <v/>
      </c>
      <c r="D28" s="13" t="str">
        <f aca="false">IF($A28="","",IF(품목마스터!$F25="",0,품목마스터!$F25)+SUMIFS(입출고내역!$L$3:$L$1002,입출고내역!$C$3:$C$1002,$A28,입출고내역!$A$3:$A$1002,"&lt;"&amp;DATE($B$3,$D$3,1)))</f>
        <v/>
      </c>
      <c r="E28" s="13" t="str">
        <f aca="false">IF($A28="","",SUMIFS(입출고내역!$G$3:$G$1002,입출고내역!$C$3:$C$1002,$A28,입출고내역!$B$3:$B$1002,"입고",입출고내역!$A$3:$A$1002,"&gt;="&amp;DATE($B$3,$D$3,1),입출고내역!$A$3:$A$1002,"&lt;="&amp;EOMONTH(DATE($B$3,$D$3,1),0)))</f>
        <v/>
      </c>
      <c r="F28" s="13" t="str">
        <f aca="false">IF($A28="","",SUMIFS(입출고내역!$G$3:$G$1002,입출고내역!$C$3:$C$1002,$A28,입출고내역!$B$3:$B$1002,"출고",입출고내역!$A$3:$A$1002,"&gt;="&amp;DATE($B$3,$D$3,1),입출고내역!$A$3:$A$1002,"&lt;="&amp;EOMONTH(DATE($B$3,$D$3,1),0)))</f>
        <v/>
      </c>
      <c r="G28" s="13" t="str">
        <f aca="false">IF($A28="","",IF(품목마스터!$F25="",0,품목마스터!$F25)+SUMIFS(입출고내역!$L$3:$L$1002,입출고내역!$C$3:$C$1002,$A28,입출고내역!$A$3:$A$1002,"&lt;="&amp;EOMONTH(DATE($B$3,$D$3,1),0)))</f>
        <v/>
      </c>
      <c r="H28" s="13" t="str">
        <f aca="false">IF($A28="","",IF(품목마스터!$G25="",0,품목마스터!$G25))</f>
        <v/>
      </c>
    </row>
    <row r="29" customFormat="false" ht="15" hidden="false" customHeight="true" outlineLevel="0" collapsed="false">
      <c r="A29" s="12" t="str">
        <f aca="false">IF(품목마스터!$A26="","",품목마스터!$A26)</f>
        <v/>
      </c>
      <c r="B29" s="12" t="str">
        <f aca="false">IF($A29="","",품목마스터!$B26)</f>
        <v/>
      </c>
      <c r="C29" s="12" t="str">
        <f aca="false">IF($A29="","",품목마스터!$D26)</f>
        <v/>
      </c>
      <c r="D29" s="13" t="str">
        <f aca="false">IF($A29="","",IF(품목마스터!$F26="",0,품목마스터!$F26)+SUMIFS(입출고내역!$L$3:$L$1002,입출고내역!$C$3:$C$1002,$A29,입출고내역!$A$3:$A$1002,"&lt;"&amp;DATE($B$3,$D$3,1)))</f>
        <v/>
      </c>
      <c r="E29" s="13" t="str">
        <f aca="false">IF($A29="","",SUMIFS(입출고내역!$G$3:$G$1002,입출고내역!$C$3:$C$1002,$A29,입출고내역!$B$3:$B$1002,"입고",입출고내역!$A$3:$A$1002,"&gt;="&amp;DATE($B$3,$D$3,1),입출고내역!$A$3:$A$1002,"&lt;="&amp;EOMONTH(DATE($B$3,$D$3,1),0)))</f>
        <v/>
      </c>
      <c r="F29" s="13" t="str">
        <f aca="false">IF($A29="","",SUMIFS(입출고내역!$G$3:$G$1002,입출고내역!$C$3:$C$1002,$A29,입출고내역!$B$3:$B$1002,"출고",입출고내역!$A$3:$A$1002,"&gt;="&amp;DATE($B$3,$D$3,1),입출고내역!$A$3:$A$1002,"&lt;="&amp;EOMONTH(DATE($B$3,$D$3,1),0)))</f>
        <v/>
      </c>
      <c r="G29" s="13" t="str">
        <f aca="false">IF($A29="","",IF(품목마스터!$F26="",0,품목마스터!$F26)+SUMIFS(입출고내역!$L$3:$L$1002,입출고내역!$C$3:$C$1002,$A29,입출고내역!$A$3:$A$1002,"&lt;="&amp;EOMONTH(DATE($B$3,$D$3,1),0)))</f>
        <v/>
      </c>
      <c r="H29" s="13" t="str">
        <f aca="false">IF($A29="","",IF(품목마스터!$G26="",0,품목마스터!$G26))</f>
        <v/>
      </c>
    </row>
    <row r="30" customFormat="false" ht="15" hidden="false" customHeight="true" outlineLevel="0" collapsed="false">
      <c r="A30" s="12" t="str">
        <f aca="false">IF(품목마스터!$A27="","",품목마스터!$A27)</f>
        <v/>
      </c>
      <c r="B30" s="12" t="str">
        <f aca="false">IF($A30="","",품목마스터!$B27)</f>
        <v/>
      </c>
      <c r="C30" s="12" t="str">
        <f aca="false">IF($A30="","",품목마스터!$D27)</f>
        <v/>
      </c>
      <c r="D30" s="13" t="str">
        <f aca="false">IF($A30="","",IF(품목마스터!$F27="",0,품목마스터!$F27)+SUMIFS(입출고내역!$L$3:$L$1002,입출고내역!$C$3:$C$1002,$A30,입출고내역!$A$3:$A$1002,"&lt;"&amp;DATE($B$3,$D$3,1)))</f>
        <v/>
      </c>
      <c r="E30" s="13" t="str">
        <f aca="false">IF($A30="","",SUMIFS(입출고내역!$G$3:$G$1002,입출고내역!$C$3:$C$1002,$A30,입출고내역!$B$3:$B$1002,"입고",입출고내역!$A$3:$A$1002,"&gt;="&amp;DATE($B$3,$D$3,1),입출고내역!$A$3:$A$1002,"&lt;="&amp;EOMONTH(DATE($B$3,$D$3,1),0)))</f>
        <v/>
      </c>
      <c r="F30" s="13" t="str">
        <f aca="false">IF($A30="","",SUMIFS(입출고내역!$G$3:$G$1002,입출고내역!$C$3:$C$1002,$A30,입출고내역!$B$3:$B$1002,"출고",입출고내역!$A$3:$A$1002,"&gt;="&amp;DATE($B$3,$D$3,1),입출고내역!$A$3:$A$1002,"&lt;="&amp;EOMONTH(DATE($B$3,$D$3,1),0)))</f>
        <v/>
      </c>
      <c r="G30" s="13" t="str">
        <f aca="false">IF($A30="","",IF(품목마스터!$F27="",0,품목마스터!$F27)+SUMIFS(입출고내역!$L$3:$L$1002,입출고내역!$C$3:$C$1002,$A30,입출고내역!$A$3:$A$1002,"&lt;="&amp;EOMONTH(DATE($B$3,$D$3,1),0)))</f>
        <v/>
      </c>
      <c r="H30" s="13" t="str">
        <f aca="false">IF($A30="","",IF(품목마스터!$G27="",0,품목마스터!$G27))</f>
        <v/>
      </c>
    </row>
    <row r="31" customFormat="false" ht="15" hidden="false" customHeight="true" outlineLevel="0" collapsed="false">
      <c r="A31" s="12" t="str">
        <f aca="false">IF(품목마스터!$A28="","",품목마스터!$A28)</f>
        <v/>
      </c>
      <c r="B31" s="12" t="str">
        <f aca="false">IF($A31="","",품목마스터!$B28)</f>
        <v/>
      </c>
      <c r="C31" s="12" t="str">
        <f aca="false">IF($A31="","",품목마스터!$D28)</f>
        <v/>
      </c>
      <c r="D31" s="13" t="str">
        <f aca="false">IF($A31="","",IF(품목마스터!$F28="",0,품목마스터!$F28)+SUMIFS(입출고내역!$L$3:$L$1002,입출고내역!$C$3:$C$1002,$A31,입출고내역!$A$3:$A$1002,"&lt;"&amp;DATE($B$3,$D$3,1)))</f>
        <v/>
      </c>
      <c r="E31" s="13" t="str">
        <f aca="false">IF($A31="","",SUMIFS(입출고내역!$G$3:$G$1002,입출고내역!$C$3:$C$1002,$A31,입출고내역!$B$3:$B$1002,"입고",입출고내역!$A$3:$A$1002,"&gt;="&amp;DATE($B$3,$D$3,1),입출고내역!$A$3:$A$1002,"&lt;="&amp;EOMONTH(DATE($B$3,$D$3,1),0)))</f>
        <v/>
      </c>
      <c r="F31" s="13" t="str">
        <f aca="false">IF($A31="","",SUMIFS(입출고내역!$G$3:$G$1002,입출고내역!$C$3:$C$1002,$A31,입출고내역!$B$3:$B$1002,"출고",입출고내역!$A$3:$A$1002,"&gt;="&amp;DATE($B$3,$D$3,1),입출고내역!$A$3:$A$1002,"&lt;="&amp;EOMONTH(DATE($B$3,$D$3,1),0)))</f>
        <v/>
      </c>
      <c r="G31" s="13" t="str">
        <f aca="false">IF($A31="","",IF(품목마스터!$F28="",0,품목마스터!$F28)+SUMIFS(입출고내역!$L$3:$L$1002,입출고내역!$C$3:$C$1002,$A31,입출고내역!$A$3:$A$1002,"&lt;="&amp;EOMONTH(DATE($B$3,$D$3,1),0)))</f>
        <v/>
      </c>
      <c r="H31" s="13" t="str">
        <f aca="false">IF($A31="","",IF(품목마스터!$G28="",0,품목마스터!$G28))</f>
        <v/>
      </c>
    </row>
    <row r="32" customFormat="false" ht="15" hidden="false" customHeight="true" outlineLevel="0" collapsed="false">
      <c r="A32" s="12" t="str">
        <f aca="false">IF(품목마스터!$A29="","",품목마스터!$A29)</f>
        <v/>
      </c>
      <c r="B32" s="12" t="str">
        <f aca="false">IF($A32="","",품목마스터!$B29)</f>
        <v/>
      </c>
      <c r="C32" s="12" t="str">
        <f aca="false">IF($A32="","",품목마스터!$D29)</f>
        <v/>
      </c>
      <c r="D32" s="13" t="str">
        <f aca="false">IF($A32="","",IF(품목마스터!$F29="",0,품목마스터!$F29)+SUMIFS(입출고내역!$L$3:$L$1002,입출고내역!$C$3:$C$1002,$A32,입출고내역!$A$3:$A$1002,"&lt;"&amp;DATE($B$3,$D$3,1)))</f>
        <v/>
      </c>
      <c r="E32" s="13" t="str">
        <f aca="false">IF($A32="","",SUMIFS(입출고내역!$G$3:$G$1002,입출고내역!$C$3:$C$1002,$A32,입출고내역!$B$3:$B$1002,"입고",입출고내역!$A$3:$A$1002,"&gt;="&amp;DATE($B$3,$D$3,1),입출고내역!$A$3:$A$1002,"&lt;="&amp;EOMONTH(DATE($B$3,$D$3,1),0)))</f>
        <v/>
      </c>
      <c r="F32" s="13" t="str">
        <f aca="false">IF($A32="","",SUMIFS(입출고내역!$G$3:$G$1002,입출고내역!$C$3:$C$1002,$A32,입출고내역!$B$3:$B$1002,"출고",입출고내역!$A$3:$A$1002,"&gt;="&amp;DATE($B$3,$D$3,1),입출고내역!$A$3:$A$1002,"&lt;="&amp;EOMONTH(DATE($B$3,$D$3,1),0)))</f>
        <v/>
      </c>
      <c r="G32" s="13" t="str">
        <f aca="false">IF($A32="","",IF(품목마스터!$F29="",0,품목마스터!$F29)+SUMIFS(입출고내역!$L$3:$L$1002,입출고내역!$C$3:$C$1002,$A32,입출고내역!$A$3:$A$1002,"&lt;="&amp;EOMONTH(DATE($B$3,$D$3,1),0)))</f>
        <v/>
      </c>
      <c r="H32" s="13" t="str">
        <f aca="false">IF($A32="","",IF(품목마스터!$G29="",0,품목마스터!$G29))</f>
        <v/>
      </c>
    </row>
    <row r="33" customFormat="false" ht="15" hidden="false" customHeight="true" outlineLevel="0" collapsed="false">
      <c r="A33" s="12" t="str">
        <f aca="false">IF(품목마스터!$A30="","",품목마스터!$A30)</f>
        <v/>
      </c>
      <c r="B33" s="12" t="str">
        <f aca="false">IF($A33="","",품목마스터!$B30)</f>
        <v/>
      </c>
      <c r="C33" s="12" t="str">
        <f aca="false">IF($A33="","",품목마스터!$D30)</f>
        <v/>
      </c>
      <c r="D33" s="13" t="str">
        <f aca="false">IF($A33="","",IF(품목마스터!$F30="",0,품목마스터!$F30)+SUMIFS(입출고내역!$L$3:$L$1002,입출고내역!$C$3:$C$1002,$A33,입출고내역!$A$3:$A$1002,"&lt;"&amp;DATE($B$3,$D$3,1)))</f>
        <v/>
      </c>
      <c r="E33" s="13" t="str">
        <f aca="false">IF($A33="","",SUMIFS(입출고내역!$G$3:$G$1002,입출고내역!$C$3:$C$1002,$A33,입출고내역!$B$3:$B$1002,"입고",입출고내역!$A$3:$A$1002,"&gt;="&amp;DATE($B$3,$D$3,1),입출고내역!$A$3:$A$1002,"&lt;="&amp;EOMONTH(DATE($B$3,$D$3,1),0)))</f>
        <v/>
      </c>
      <c r="F33" s="13" t="str">
        <f aca="false">IF($A33="","",SUMIFS(입출고내역!$G$3:$G$1002,입출고내역!$C$3:$C$1002,$A33,입출고내역!$B$3:$B$1002,"출고",입출고내역!$A$3:$A$1002,"&gt;="&amp;DATE($B$3,$D$3,1),입출고내역!$A$3:$A$1002,"&lt;="&amp;EOMONTH(DATE($B$3,$D$3,1),0)))</f>
        <v/>
      </c>
      <c r="G33" s="13" t="str">
        <f aca="false">IF($A33="","",IF(품목마스터!$F30="",0,품목마스터!$F30)+SUMIFS(입출고내역!$L$3:$L$1002,입출고내역!$C$3:$C$1002,$A33,입출고내역!$A$3:$A$1002,"&lt;="&amp;EOMONTH(DATE($B$3,$D$3,1),0)))</f>
        <v/>
      </c>
      <c r="H33" s="13" t="str">
        <f aca="false">IF($A33="","",IF(품목마스터!$G30="",0,품목마스터!$G30))</f>
        <v/>
      </c>
    </row>
    <row r="34" customFormat="false" ht="15" hidden="false" customHeight="true" outlineLevel="0" collapsed="false">
      <c r="A34" s="12" t="str">
        <f aca="false">IF(품목마스터!$A31="","",품목마스터!$A31)</f>
        <v/>
      </c>
      <c r="B34" s="12" t="str">
        <f aca="false">IF($A34="","",품목마스터!$B31)</f>
        <v/>
      </c>
      <c r="C34" s="12" t="str">
        <f aca="false">IF($A34="","",품목마스터!$D31)</f>
        <v/>
      </c>
      <c r="D34" s="13" t="str">
        <f aca="false">IF($A34="","",IF(품목마스터!$F31="",0,품목마스터!$F31)+SUMIFS(입출고내역!$L$3:$L$1002,입출고내역!$C$3:$C$1002,$A34,입출고내역!$A$3:$A$1002,"&lt;"&amp;DATE($B$3,$D$3,1)))</f>
        <v/>
      </c>
      <c r="E34" s="13" t="str">
        <f aca="false">IF($A34="","",SUMIFS(입출고내역!$G$3:$G$1002,입출고내역!$C$3:$C$1002,$A34,입출고내역!$B$3:$B$1002,"입고",입출고내역!$A$3:$A$1002,"&gt;="&amp;DATE($B$3,$D$3,1),입출고내역!$A$3:$A$1002,"&lt;="&amp;EOMONTH(DATE($B$3,$D$3,1),0)))</f>
        <v/>
      </c>
      <c r="F34" s="13" t="str">
        <f aca="false">IF($A34="","",SUMIFS(입출고내역!$G$3:$G$1002,입출고내역!$C$3:$C$1002,$A34,입출고내역!$B$3:$B$1002,"출고",입출고내역!$A$3:$A$1002,"&gt;="&amp;DATE($B$3,$D$3,1),입출고내역!$A$3:$A$1002,"&lt;="&amp;EOMONTH(DATE($B$3,$D$3,1),0)))</f>
        <v/>
      </c>
      <c r="G34" s="13" t="str">
        <f aca="false">IF($A34="","",IF(품목마스터!$F31="",0,품목마스터!$F31)+SUMIFS(입출고내역!$L$3:$L$1002,입출고내역!$C$3:$C$1002,$A34,입출고내역!$A$3:$A$1002,"&lt;="&amp;EOMONTH(DATE($B$3,$D$3,1),0)))</f>
        <v/>
      </c>
      <c r="H34" s="13" t="str">
        <f aca="false">IF($A34="","",IF(품목마스터!$G31="",0,품목마스터!$G31))</f>
        <v/>
      </c>
    </row>
    <row r="35" customFormat="false" ht="15" hidden="false" customHeight="true" outlineLevel="0" collapsed="false">
      <c r="A35" s="12" t="str">
        <f aca="false">IF(품목마스터!$A32="","",품목마스터!$A32)</f>
        <v/>
      </c>
      <c r="B35" s="12" t="str">
        <f aca="false">IF($A35="","",품목마스터!$B32)</f>
        <v/>
      </c>
      <c r="C35" s="12" t="str">
        <f aca="false">IF($A35="","",품목마스터!$D32)</f>
        <v/>
      </c>
      <c r="D35" s="13" t="str">
        <f aca="false">IF($A35="","",IF(품목마스터!$F32="",0,품목마스터!$F32)+SUMIFS(입출고내역!$L$3:$L$1002,입출고내역!$C$3:$C$1002,$A35,입출고내역!$A$3:$A$1002,"&lt;"&amp;DATE($B$3,$D$3,1)))</f>
        <v/>
      </c>
      <c r="E35" s="13" t="str">
        <f aca="false">IF($A35="","",SUMIFS(입출고내역!$G$3:$G$1002,입출고내역!$C$3:$C$1002,$A35,입출고내역!$B$3:$B$1002,"입고",입출고내역!$A$3:$A$1002,"&gt;="&amp;DATE($B$3,$D$3,1),입출고내역!$A$3:$A$1002,"&lt;="&amp;EOMONTH(DATE($B$3,$D$3,1),0)))</f>
        <v/>
      </c>
      <c r="F35" s="13" t="str">
        <f aca="false">IF($A35="","",SUMIFS(입출고내역!$G$3:$G$1002,입출고내역!$C$3:$C$1002,$A35,입출고내역!$B$3:$B$1002,"출고",입출고내역!$A$3:$A$1002,"&gt;="&amp;DATE($B$3,$D$3,1),입출고내역!$A$3:$A$1002,"&lt;="&amp;EOMONTH(DATE($B$3,$D$3,1),0)))</f>
        <v/>
      </c>
      <c r="G35" s="13" t="str">
        <f aca="false">IF($A35="","",IF(품목마스터!$F32="",0,품목마스터!$F32)+SUMIFS(입출고내역!$L$3:$L$1002,입출고내역!$C$3:$C$1002,$A35,입출고내역!$A$3:$A$1002,"&lt;="&amp;EOMONTH(DATE($B$3,$D$3,1),0)))</f>
        <v/>
      </c>
      <c r="H35" s="13" t="str">
        <f aca="false">IF($A35="","",IF(품목마스터!$G32="",0,품목마스터!$G32))</f>
        <v/>
      </c>
    </row>
    <row r="36" customFormat="false" ht="15" hidden="false" customHeight="true" outlineLevel="0" collapsed="false">
      <c r="A36" s="12" t="str">
        <f aca="false">IF(품목마스터!$A33="","",품목마스터!$A33)</f>
        <v/>
      </c>
      <c r="B36" s="12" t="str">
        <f aca="false">IF($A36="","",품목마스터!$B33)</f>
        <v/>
      </c>
      <c r="C36" s="12" t="str">
        <f aca="false">IF($A36="","",품목마스터!$D33)</f>
        <v/>
      </c>
      <c r="D36" s="13" t="str">
        <f aca="false">IF($A36="","",IF(품목마스터!$F33="",0,품목마스터!$F33)+SUMIFS(입출고내역!$L$3:$L$1002,입출고내역!$C$3:$C$1002,$A36,입출고내역!$A$3:$A$1002,"&lt;"&amp;DATE($B$3,$D$3,1)))</f>
        <v/>
      </c>
      <c r="E36" s="13" t="str">
        <f aca="false">IF($A36="","",SUMIFS(입출고내역!$G$3:$G$1002,입출고내역!$C$3:$C$1002,$A36,입출고내역!$B$3:$B$1002,"입고",입출고내역!$A$3:$A$1002,"&gt;="&amp;DATE($B$3,$D$3,1),입출고내역!$A$3:$A$1002,"&lt;="&amp;EOMONTH(DATE($B$3,$D$3,1),0)))</f>
        <v/>
      </c>
      <c r="F36" s="13" t="str">
        <f aca="false">IF($A36="","",SUMIFS(입출고내역!$G$3:$G$1002,입출고내역!$C$3:$C$1002,$A36,입출고내역!$B$3:$B$1002,"출고",입출고내역!$A$3:$A$1002,"&gt;="&amp;DATE($B$3,$D$3,1),입출고내역!$A$3:$A$1002,"&lt;="&amp;EOMONTH(DATE($B$3,$D$3,1),0)))</f>
        <v/>
      </c>
      <c r="G36" s="13" t="str">
        <f aca="false">IF($A36="","",IF(품목마스터!$F33="",0,품목마스터!$F33)+SUMIFS(입출고내역!$L$3:$L$1002,입출고내역!$C$3:$C$1002,$A36,입출고내역!$A$3:$A$1002,"&lt;="&amp;EOMONTH(DATE($B$3,$D$3,1),0)))</f>
        <v/>
      </c>
      <c r="H36" s="13" t="str">
        <f aca="false">IF($A36="","",IF(품목마스터!$G33="",0,품목마스터!$G33))</f>
        <v/>
      </c>
    </row>
    <row r="37" customFormat="false" ht="15" hidden="false" customHeight="true" outlineLevel="0" collapsed="false">
      <c r="A37" s="12" t="str">
        <f aca="false">IF(품목마스터!$A34="","",품목마스터!$A34)</f>
        <v/>
      </c>
      <c r="B37" s="12" t="str">
        <f aca="false">IF($A37="","",품목마스터!$B34)</f>
        <v/>
      </c>
      <c r="C37" s="12" t="str">
        <f aca="false">IF($A37="","",품목마스터!$D34)</f>
        <v/>
      </c>
      <c r="D37" s="13" t="str">
        <f aca="false">IF($A37="","",IF(품목마스터!$F34="",0,품목마스터!$F34)+SUMIFS(입출고내역!$L$3:$L$1002,입출고내역!$C$3:$C$1002,$A37,입출고내역!$A$3:$A$1002,"&lt;"&amp;DATE($B$3,$D$3,1)))</f>
        <v/>
      </c>
      <c r="E37" s="13" t="str">
        <f aca="false">IF($A37="","",SUMIFS(입출고내역!$G$3:$G$1002,입출고내역!$C$3:$C$1002,$A37,입출고내역!$B$3:$B$1002,"입고",입출고내역!$A$3:$A$1002,"&gt;="&amp;DATE($B$3,$D$3,1),입출고내역!$A$3:$A$1002,"&lt;="&amp;EOMONTH(DATE($B$3,$D$3,1),0)))</f>
        <v/>
      </c>
      <c r="F37" s="13" t="str">
        <f aca="false">IF($A37="","",SUMIFS(입출고내역!$G$3:$G$1002,입출고내역!$C$3:$C$1002,$A37,입출고내역!$B$3:$B$1002,"출고",입출고내역!$A$3:$A$1002,"&gt;="&amp;DATE($B$3,$D$3,1),입출고내역!$A$3:$A$1002,"&lt;="&amp;EOMONTH(DATE($B$3,$D$3,1),0)))</f>
        <v/>
      </c>
      <c r="G37" s="13" t="str">
        <f aca="false">IF($A37="","",IF(품목마스터!$F34="",0,품목마스터!$F34)+SUMIFS(입출고내역!$L$3:$L$1002,입출고내역!$C$3:$C$1002,$A37,입출고내역!$A$3:$A$1002,"&lt;="&amp;EOMONTH(DATE($B$3,$D$3,1),0)))</f>
        <v/>
      </c>
      <c r="H37" s="13" t="str">
        <f aca="false">IF($A37="","",IF(품목마스터!$G34="",0,품목마스터!$G34))</f>
        <v/>
      </c>
    </row>
    <row r="38" customFormat="false" ht="15" hidden="false" customHeight="true" outlineLevel="0" collapsed="false">
      <c r="A38" s="12" t="str">
        <f aca="false">IF(품목마스터!$A35="","",품목마스터!$A35)</f>
        <v/>
      </c>
      <c r="B38" s="12" t="str">
        <f aca="false">IF($A38="","",품목마스터!$B35)</f>
        <v/>
      </c>
      <c r="C38" s="12" t="str">
        <f aca="false">IF($A38="","",품목마스터!$D35)</f>
        <v/>
      </c>
      <c r="D38" s="13" t="str">
        <f aca="false">IF($A38="","",IF(품목마스터!$F35="",0,품목마스터!$F35)+SUMIFS(입출고내역!$L$3:$L$1002,입출고내역!$C$3:$C$1002,$A38,입출고내역!$A$3:$A$1002,"&lt;"&amp;DATE($B$3,$D$3,1)))</f>
        <v/>
      </c>
      <c r="E38" s="13" t="str">
        <f aca="false">IF($A38="","",SUMIFS(입출고내역!$G$3:$G$1002,입출고내역!$C$3:$C$1002,$A38,입출고내역!$B$3:$B$1002,"입고",입출고내역!$A$3:$A$1002,"&gt;="&amp;DATE($B$3,$D$3,1),입출고내역!$A$3:$A$1002,"&lt;="&amp;EOMONTH(DATE($B$3,$D$3,1),0)))</f>
        <v/>
      </c>
      <c r="F38" s="13" t="str">
        <f aca="false">IF($A38="","",SUMIFS(입출고내역!$G$3:$G$1002,입출고내역!$C$3:$C$1002,$A38,입출고내역!$B$3:$B$1002,"출고",입출고내역!$A$3:$A$1002,"&gt;="&amp;DATE($B$3,$D$3,1),입출고내역!$A$3:$A$1002,"&lt;="&amp;EOMONTH(DATE($B$3,$D$3,1),0)))</f>
        <v/>
      </c>
      <c r="G38" s="13" t="str">
        <f aca="false">IF($A38="","",IF(품목마스터!$F35="",0,품목마스터!$F35)+SUMIFS(입출고내역!$L$3:$L$1002,입출고내역!$C$3:$C$1002,$A38,입출고내역!$A$3:$A$1002,"&lt;="&amp;EOMONTH(DATE($B$3,$D$3,1),0)))</f>
        <v/>
      </c>
      <c r="H38" s="13" t="str">
        <f aca="false">IF($A38="","",IF(품목마스터!$G35="",0,품목마스터!$G35))</f>
        <v/>
      </c>
    </row>
    <row r="39" customFormat="false" ht="15" hidden="false" customHeight="true" outlineLevel="0" collapsed="false">
      <c r="A39" s="12" t="str">
        <f aca="false">IF(품목마스터!$A36="","",품목마스터!$A36)</f>
        <v/>
      </c>
      <c r="B39" s="12" t="str">
        <f aca="false">IF($A39="","",품목마스터!$B36)</f>
        <v/>
      </c>
      <c r="C39" s="12" t="str">
        <f aca="false">IF($A39="","",품목마스터!$D36)</f>
        <v/>
      </c>
      <c r="D39" s="13" t="str">
        <f aca="false">IF($A39="","",IF(품목마스터!$F36="",0,품목마스터!$F36)+SUMIFS(입출고내역!$L$3:$L$1002,입출고내역!$C$3:$C$1002,$A39,입출고내역!$A$3:$A$1002,"&lt;"&amp;DATE($B$3,$D$3,1)))</f>
        <v/>
      </c>
      <c r="E39" s="13" t="str">
        <f aca="false">IF($A39="","",SUMIFS(입출고내역!$G$3:$G$1002,입출고내역!$C$3:$C$1002,$A39,입출고내역!$B$3:$B$1002,"입고",입출고내역!$A$3:$A$1002,"&gt;="&amp;DATE($B$3,$D$3,1),입출고내역!$A$3:$A$1002,"&lt;="&amp;EOMONTH(DATE($B$3,$D$3,1),0)))</f>
        <v/>
      </c>
      <c r="F39" s="13" t="str">
        <f aca="false">IF($A39="","",SUMIFS(입출고내역!$G$3:$G$1002,입출고내역!$C$3:$C$1002,$A39,입출고내역!$B$3:$B$1002,"출고",입출고내역!$A$3:$A$1002,"&gt;="&amp;DATE($B$3,$D$3,1),입출고내역!$A$3:$A$1002,"&lt;="&amp;EOMONTH(DATE($B$3,$D$3,1),0)))</f>
        <v/>
      </c>
      <c r="G39" s="13" t="str">
        <f aca="false">IF($A39="","",IF(품목마스터!$F36="",0,품목마스터!$F36)+SUMIFS(입출고내역!$L$3:$L$1002,입출고내역!$C$3:$C$1002,$A39,입출고내역!$A$3:$A$1002,"&lt;="&amp;EOMONTH(DATE($B$3,$D$3,1),0)))</f>
        <v/>
      </c>
      <c r="H39" s="13" t="str">
        <f aca="false">IF($A39="","",IF(품목마스터!$G36="",0,품목마스터!$G36))</f>
        <v/>
      </c>
    </row>
    <row r="40" customFormat="false" ht="15" hidden="false" customHeight="true" outlineLevel="0" collapsed="false">
      <c r="A40" s="12" t="str">
        <f aca="false">IF(품목마스터!$A37="","",품목마스터!$A37)</f>
        <v/>
      </c>
      <c r="B40" s="12" t="str">
        <f aca="false">IF($A40="","",품목마스터!$B37)</f>
        <v/>
      </c>
      <c r="C40" s="12" t="str">
        <f aca="false">IF($A40="","",품목마스터!$D37)</f>
        <v/>
      </c>
      <c r="D40" s="13" t="str">
        <f aca="false">IF($A40="","",IF(품목마스터!$F37="",0,품목마스터!$F37)+SUMIFS(입출고내역!$L$3:$L$1002,입출고내역!$C$3:$C$1002,$A40,입출고내역!$A$3:$A$1002,"&lt;"&amp;DATE($B$3,$D$3,1)))</f>
        <v/>
      </c>
      <c r="E40" s="13" t="str">
        <f aca="false">IF($A40="","",SUMIFS(입출고내역!$G$3:$G$1002,입출고내역!$C$3:$C$1002,$A40,입출고내역!$B$3:$B$1002,"입고",입출고내역!$A$3:$A$1002,"&gt;="&amp;DATE($B$3,$D$3,1),입출고내역!$A$3:$A$1002,"&lt;="&amp;EOMONTH(DATE($B$3,$D$3,1),0)))</f>
        <v/>
      </c>
      <c r="F40" s="13" t="str">
        <f aca="false">IF($A40="","",SUMIFS(입출고내역!$G$3:$G$1002,입출고내역!$C$3:$C$1002,$A40,입출고내역!$B$3:$B$1002,"출고",입출고내역!$A$3:$A$1002,"&gt;="&amp;DATE($B$3,$D$3,1),입출고내역!$A$3:$A$1002,"&lt;="&amp;EOMONTH(DATE($B$3,$D$3,1),0)))</f>
        <v/>
      </c>
      <c r="G40" s="13" t="str">
        <f aca="false">IF($A40="","",IF(품목마스터!$F37="",0,품목마스터!$F37)+SUMIFS(입출고내역!$L$3:$L$1002,입출고내역!$C$3:$C$1002,$A40,입출고내역!$A$3:$A$1002,"&lt;="&amp;EOMONTH(DATE($B$3,$D$3,1),0)))</f>
        <v/>
      </c>
      <c r="H40" s="13" t="str">
        <f aca="false">IF($A40="","",IF(품목마스터!$G37="",0,품목마스터!$G37))</f>
        <v/>
      </c>
    </row>
    <row r="41" customFormat="false" ht="15" hidden="false" customHeight="true" outlineLevel="0" collapsed="false">
      <c r="A41" s="12" t="str">
        <f aca="false">IF(품목마스터!$A38="","",품목마스터!$A38)</f>
        <v/>
      </c>
      <c r="B41" s="12" t="str">
        <f aca="false">IF($A41="","",품목마스터!$B38)</f>
        <v/>
      </c>
      <c r="C41" s="12" t="str">
        <f aca="false">IF($A41="","",품목마스터!$D38)</f>
        <v/>
      </c>
      <c r="D41" s="13" t="str">
        <f aca="false">IF($A41="","",IF(품목마스터!$F38="",0,품목마스터!$F38)+SUMIFS(입출고내역!$L$3:$L$1002,입출고내역!$C$3:$C$1002,$A41,입출고내역!$A$3:$A$1002,"&lt;"&amp;DATE($B$3,$D$3,1)))</f>
        <v/>
      </c>
      <c r="E41" s="13" t="str">
        <f aca="false">IF($A41="","",SUMIFS(입출고내역!$G$3:$G$1002,입출고내역!$C$3:$C$1002,$A41,입출고내역!$B$3:$B$1002,"입고",입출고내역!$A$3:$A$1002,"&gt;="&amp;DATE($B$3,$D$3,1),입출고내역!$A$3:$A$1002,"&lt;="&amp;EOMONTH(DATE($B$3,$D$3,1),0)))</f>
        <v/>
      </c>
      <c r="F41" s="13" t="str">
        <f aca="false">IF($A41="","",SUMIFS(입출고내역!$G$3:$G$1002,입출고내역!$C$3:$C$1002,$A41,입출고내역!$B$3:$B$1002,"출고",입출고내역!$A$3:$A$1002,"&gt;="&amp;DATE($B$3,$D$3,1),입출고내역!$A$3:$A$1002,"&lt;="&amp;EOMONTH(DATE($B$3,$D$3,1),0)))</f>
        <v/>
      </c>
      <c r="G41" s="13" t="str">
        <f aca="false">IF($A41="","",IF(품목마스터!$F38="",0,품목마스터!$F38)+SUMIFS(입출고내역!$L$3:$L$1002,입출고내역!$C$3:$C$1002,$A41,입출고내역!$A$3:$A$1002,"&lt;="&amp;EOMONTH(DATE($B$3,$D$3,1),0)))</f>
        <v/>
      </c>
      <c r="H41" s="13" t="str">
        <f aca="false">IF($A41="","",IF(품목마스터!$G38="",0,품목마스터!$G38))</f>
        <v/>
      </c>
    </row>
    <row r="42" customFormat="false" ht="15" hidden="false" customHeight="true" outlineLevel="0" collapsed="false">
      <c r="A42" s="12" t="str">
        <f aca="false">IF(품목마스터!$A39="","",품목마스터!$A39)</f>
        <v/>
      </c>
      <c r="B42" s="12" t="str">
        <f aca="false">IF($A42="","",품목마스터!$B39)</f>
        <v/>
      </c>
      <c r="C42" s="12" t="str">
        <f aca="false">IF($A42="","",품목마스터!$D39)</f>
        <v/>
      </c>
      <c r="D42" s="13" t="str">
        <f aca="false">IF($A42="","",IF(품목마스터!$F39="",0,품목마스터!$F39)+SUMIFS(입출고내역!$L$3:$L$1002,입출고내역!$C$3:$C$1002,$A42,입출고내역!$A$3:$A$1002,"&lt;"&amp;DATE($B$3,$D$3,1)))</f>
        <v/>
      </c>
      <c r="E42" s="13" t="str">
        <f aca="false">IF($A42="","",SUMIFS(입출고내역!$G$3:$G$1002,입출고내역!$C$3:$C$1002,$A42,입출고내역!$B$3:$B$1002,"입고",입출고내역!$A$3:$A$1002,"&gt;="&amp;DATE($B$3,$D$3,1),입출고내역!$A$3:$A$1002,"&lt;="&amp;EOMONTH(DATE($B$3,$D$3,1),0)))</f>
        <v/>
      </c>
      <c r="F42" s="13" t="str">
        <f aca="false">IF($A42="","",SUMIFS(입출고내역!$G$3:$G$1002,입출고내역!$C$3:$C$1002,$A42,입출고내역!$B$3:$B$1002,"출고",입출고내역!$A$3:$A$1002,"&gt;="&amp;DATE($B$3,$D$3,1),입출고내역!$A$3:$A$1002,"&lt;="&amp;EOMONTH(DATE($B$3,$D$3,1),0)))</f>
        <v/>
      </c>
      <c r="G42" s="13" t="str">
        <f aca="false">IF($A42="","",IF(품목마스터!$F39="",0,품목마스터!$F39)+SUMIFS(입출고내역!$L$3:$L$1002,입출고내역!$C$3:$C$1002,$A42,입출고내역!$A$3:$A$1002,"&lt;="&amp;EOMONTH(DATE($B$3,$D$3,1),0)))</f>
        <v/>
      </c>
      <c r="H42" s="13" t="str">
        <f aca="false">IF($A42="","",IF(품목마스터!$G39="",0,품목마스터!$G39))</f>
        <v/>
      </c>
    </row>
    <row r="43" customFormat="false" ht="15" hidden="false" customHeight="true" outlineLevel="0" collapsed="false">
      <c r="A43" s="12" t="str">
        <f aca="false">IF(품목마스터!$A40="","",품목마스터!$A40)</f>
        <v/>
      </c>
      <c r="B43" s="12" t="str">
        <f aca="false">IF($A43="","",품목마스터!$B40)</f>
        <v/>
      </c>
      <c r="C43" s="12" t="str">
        <f aca="false">IF($A43="","",품목마스터!$D40)</f>
        <v/>
      </c>
      <c r="D43" s="13" t="str">
        <f aca="false">IF($A43="","",IF(품목마스터!$F40="",0,품목마스터!$F40)+SUMIFS(입출고내역!$L$3:$L$1002,입출고내역!$C$3:$C$1002,$A43,입출고내역!$A$3:$A$1002,"&lt;"&amp;DATE($B$3,$D$3,1)))</f>
        <v/>
      </c>
      <c r="E43" s="13" t="str">
        <f aca="false">IF($A43="","",SUMIFS(입출고내역!$G$3:$G$1002,입출고내역!$C$3:$C$1002,$A43,입출고내역!$B$3:$B$1002,"입고",입출고내역!$A$3:$A$1002,"&gt;="&amp;DATE($B$3,$D$3,1),입출고내역!$A$3:$A$1002,"&lt;="&amp;EOMONTH(DATE($B$3,$D$3,1),0)))</f>
        <v/>
      </c>
      <c r="F43" s="13" t="str">
        <f aca="false">IF($A43="","",SUMIFS(입출고내역!$G$3:$G$1002,입출고내역!$C$3:$C$1002,$A43,입출고내역!$B$3:$B$1002,"출고",입출고내역!$A$3:$A$1002,"&gt;="&amp;DATE($B$3,$D$3,1),입출고내역!$A$3:$A$1002,"&lt;="&amp;EOMONTH(DATE($B$3,$D$3,1),0)))</f>
        <v/>
      </c>
      <c r="G43" s="13" t="str">
        <f aca="false">IF($A43="","",IF(품목마스터!$F40="",0,품목마스터!$F40)+SUMIFS(입출고내역!$L$3:$L$1002,입출고내역!$C$3:$C$1002,$A43,입출고내역!$A$3:$A$1002,"&lt;="&amp;EOMONTH(DATE($B$3,$D$3,1),0)))</f>
        <v/>
      </c>
      <c r="H43" s="13" t="str">
        <f aca="false">IF($A43="","",IF(품목마스터!$G40="",0,품목마스터!$G40))</f>
        <v/>
      </c>
    </row>
    <row r="44" customFormat="false" ht="15" hidden="false" customHeight="true" outlineLevel="0" collapsed="false">
      <c r="A44" s="12" t="str">
        <f aca="false">IF(품목마스터!$A41="","",품목마스터!$A41)</f>
        <v/>
      </c>
      <c r="B44" s="12" t="str">
        <f aca="false">IF($A44="","",품목마스터!$B41)</f>
        <v/>
      </c>
      <c r="C44" s="12" t="str">
        <f aca="false">IF($A44="","",품목마스터!$D41)</f>
        <v/>
      </c>
      <c r="D44" s="13" t="str">
        <f aca="false">IF($A44="","",IF(품목마스터!$F41="",0,품목마스터!$F41)+SUMIFS(입출고내역!$L$3:$L$1002,입출고내역!$C$3:$C$1002,$A44,입출고내역!$A$3:$A$1002,"&lt;"&amp;DATE($B$3,$D$3,1)))</f>
        <v/>
      </c>
      <c r="E44" s="13" t="str">
        <f aca="false">IF($A44="","",SUMIFS(입출고내역!$G$3:$G$1002,입출고내역!$C$3:$C$1002,$A44,입출고내역!$B$3:$B$1002,"입고",입출고내역!$A$3:$A$1002,"&gt;="&amp;DATE($B$3,$D$3,1),입출고내역!$A$3:$A$1002,"&lt;="&amp;EOMONTH(DATE($B$3,$D$3,1),0)))</f>
        <v/>
      </c>
      <c r="F44" s="13" t="str">
        <f aca="false">IF($A44="","",SUMIFS(입출고내역!$G$3:$G$1002,입출고내역!$C$3:$C$1002,$A44,입출고내역!$B$3:$B$1002,"출고",입출고내역!$A$3:$A$1002,"&gt;="&amp;DATE($B$3,$D$3,1),입출고내역!$A$3:$A$1002,"&lt;="&amp;EOMONTH(DATE($B$3,$D$3,1),0)))</f>
        <v/>
      </c>
      <c r="G44" s="13" t="str">
        <f aca="false">IF($A44="","",IF(품목마스터!$F41="",0,품목마스터!$F41)+SUMIFS(입출고내역!$L$3:$L$1002,입출고내역!$C$3:$C$1002,$A44,입출고내역!$A$3:$A$1002,"&lt;="&amp;EOMONTH(DATE($B$3,$D$3,1),0)))</f>
        <v/>
      </c>
      <c r="H44" s="13" t="str">
        <f aca="false">IF($A44="","",IF(품목마스터!$G41="",0,품목마스터!$G41))</f>
        <v/>
      </c>
    </row>
    <row r="45" customFormat="false" ht="15" hidden="false" customHeight="true" outlineLevel="0" collapsed="false">
      <c r="A45" s="12" t="str">
        <f aca="false">IF(품목마스터!$A42="","",품목마스터!$A42)</f>
        <v/>
      </c>
      <c r="B45" s="12" t="str">
        <f aca="false">IF($A45="","",품목마스터!$B42)</f>
        <v/>
      </c>
      <c r="C45" s="12" t="str">
        <f aca="false">IF($A45="","",품목마스터!$D42)</f>
        <v/>
      </c>
      <c r="D45" s="13" t="str">
        <f aca="false">IF($A45="","",IF(품목마스터!$F42="",0,품목마스터!$F42)+SUMIFS(입출고내역!$L$3:$L$1002,입출고내역!$C$3:$C$1002,$A45,입출고내역!$A$3:$A$1002,"&lt;"&amp;DATE($B$3,$D$3,1)))</f>
        <v/>
      </c>
      <c r="E45" s="13" t="str">
        <f aca="false">IF($A45="","",SUMIFS(입출고내역!$G$3:$G$1002,입출고내역!$C$3:$C$1002,$A45,입출고내역!$B$3:$B$1002,"입고",입출고내역!$A$3:$A$1002,"&gt;="&amp;DATE($B$3,$D$3,1),입출고내역!$A$3:$A$1002,"&lt;="&amp;EOMONTH(DATE($B$3,$D$3,1),0)))</f>
        <v/>
      </c>
      <c r="F45" s="13" t="str">
        <f aca="false">IF($A45="","",SUMIFS(입출고내역!$G$3:$G$1002,입출고내역!$C$3:$C$1002,$A45,입출고내역!$B$3:$B$1002,"출고",입출고내역!$A$3:$A$1002,"&gt;="&amp;DATE($B$3,$D$3,1),입출고내역!$A$3:$A$1002,"&lt;="&amp;EOMONTH(DATE($B$3,$D$3,1),0)))</f>
        <v/>
      </c>
      <c r="G45" s="13" t="str">
        <f aca="false">IF($A45="","",IF(품목마스터!$F42="",0,품목마스터!$F42)+SUMIFS(입출고내역!$L$3:$L$1002,입출고내역!$C$3:$C$1002,$A45,입출고내역!$A$3:$A$1002,"&lt;="&amp;EOMONTH(DATE($B$3,$D$3,1),0)))</f>
        <v/>
      </c>
      <c r="H45" s="13" t="str">
        <f aca="false">IF($A45="","",IF(품목마스터!$G42="",0,품목마스터!$G42))</f>
        <v/>
      </c>
    </row>
    <row r="46" customFormat="false" ht="15" hidden="false" customHeight="true" outlineLevel="0" collapsed="false">
      <c r="A46" s="12" t="str">
        <f aca="false">IF(품목마스터!$A43="","",품목마스터!$A43)</f>
        <v/>
      </c>
      <c r="B46" s="12" t="str">
        <f aca="false">IF($A46="","",품목마스터!$B43)</f>
        <v/>
      </c>
      <c r="C46" s="12" t="str">
        <f aca="false">IF($A46="","",품목마스터!$D43)</f>
        <v/>
      </c>
      <c r="D46" s="13" t="str">
        <f aca="false">IF($A46="","",IF(품목마스터!$F43="",0,품목마스터!$F43)+SUMIFS(입출고내역!$L$3:$L$1002,입출고내역!$C$3:$C$1002,$A46,입출고내역!$A$3:$A$1002,"&lt;"&amp;DATE($B$3,$D$3,1)))</f>
        <v/>
      </c>
      <c r="E46" s="13" t="str">
        <f aca="false">IF($A46="","",SUMIFS(입출고내역!$G$3:$G$1002,입출고내역!$C$3:$C$1002,$A46,입출고내역!$B$3:$B$1002,"입고",입출고내역!$A$3:$A$1002,"&gt;="&amp;DATE($B$3,$D$3,1),입출고내역!$A$3:$A$1002,"&lt;="&amp;EOMONTH(DATE($B$3,$D$3,1),0)))</f>
        <v/>
      </c>
      <c r="F46" s="13" t="str">
        <f aca="false">IF($A46="","",SUMIFS(입출고내역!$G$3:$G$1002,입출고내역!$C$3:$C$1002,$A46,입출고내역!$B$3:$B$1002,"출고",입출고내역!$A$3:$A$1002,"&gt;="&amp;DATE($B$3,$D$3,1),입출고내역!$A$3:$A$1002,"&lt;="&amp;EOMONTH(DATE($B$3,$D$3,1),0)))</f>
        <v/>
      </c>
      <c r="G46" s="13" t="str">
        <f aca="false">IF($A46="","",IF(품목마스터!$F43="",0,품목마스터!$F43)+SUMIFS(입출고내역!$L$3:$L$1002,입출고내역!$C$3:$C$1002,$A46,입출고내역!$A$3:$A$1002,"&lt;="&amp;EOMONTH(DATE($B$3,$D$3,1),0)))</f>
        <v/>
      </c>
      <c r="H46" s="13" t="str">
        <f aca="false">IF($A46="","",IF(품목마스터!$G43="",0,품목마스터!$G43))</f>
        <v/>
      </c>
    </row>
    <row r="47" customFormat="false" ht="15" hidden="false" customHeight="true" outlineLevel="0" collapsed="false">
      <c r="A47" s="12" t="str">
        <f aca="false">IF(품목마스터!$A44="","",품목마스터!$A44)</f>
        <v/>
      </c>
      <c r="B47" s="12" t="str">
        <f aca="false">IF($A47="","",품목마스터!$B44)</f>
        <v/>
      </c>
      <c r="C47" s="12" t="str">
        <f aca="false">IF($A47="","",품목마스터!$D44)</f>
        <v/>
      </c>
      <c r="D47" s="13" t="str">
        <f aca="false">IF($A47="","",IF(품목마스터!$F44="",0,품목마스터!$F44)+SUMIFS(입출고내역!$L$3:$L$1002,입출고내역!$C$3:$C$1002,$A47,입출고내역!$A$3:$A$1002,"&lt;"&amp;DATE($B$3,$D$3,1)))</f>
        <v/>
      </c>
      <c r="E47" s="13" t="str">
        <f aca="false">IF($A47="","",SUMIFS(입출고내역!$G$3:$G$1002,입출고내역!$C$3:$C$1002,$A47,입출고내역!$B$3:$B$1002,"입고",입출고내역!$A$3:$A$1002,"&gt;="&amp;DATE($B$3,$D$3,1),입출고내역!$A$3:$A$1002,"&lt;="&amp;EOMONTH(DATE($B$3,$D$3,1),0)))</f>
        <v/>
      </c>
      <c r="F47" s="13" t="str">
        <f aca="false">IF($A47="","",SUMIFS(입출고내역!$G$3:$G$1002,입출고내역!$C$3:$C$1002,$A47,입출고내역!$B$3:$B$1002,"출고",입출고내역!$A$3:$A$1002,"&gt;="&amp;DATE($B$3,$D$3,1),입출고내역!$A$3:$A$1002,"&lt;="&amp;EOMONTH(DATE($B$3,$D$3,1),0)))</f>
        <v/>
      </c>
      <c r="G47" s="13" t="str">
        <f aca="false">IF($A47="","",IF(품목마스터!$F44="",0,품목마스터!$F44)+SUMIFS(입출고내역!$L$3:$L$1002,입출고내역!$C$3:$C$1002,$A47,입출고내역!$A$3:$A$1002,"&lt;="&amp;EOMONTH(DATE($B$3,$D$3,1),0)))</f>
        <v/>
      </c>
      <c r="H47" s="13" t="str">
        <f aca="false">IF($A47="","",IF(품목마스터!$G44="",0,품목마스터!$G44))</f>
        <v/>
      </c>
    </row>
    <row r="48" customFormat="false" ht="15" hidden="false" customHeight="true" outlineLevel="0" collapsed="false">
      <c r="A48" s="12" t="str">
        <f aca="false">IF(품목마스터!$A45="","",품목마스터!$A45)</f>
        <v/>
      </c>
      <c r="B48" s="12" t="str">
        <f aca="false">IF($A48="","",품목마스터!$B45)</f>
        <v/>
      </c>
      <c r="C48" s="12" t="str">
        <f aca="false">IF($A48="","",품목마스터!$D45)</f>
        <v/>
      </c>
      <c r="D48" s="13" t="str">
        <f aca="false">IF($A48="","",IF(품목마스터!$F45="",0,품목마스터!$F45)+SUMIFS(입출고내역!$L$3:$L$1002,입출고내역!$C$3:$C$1002,$A48,입출고내역!$A$3:$A$1002,"&lt;"&amp;DATE($B$3,$D$3,1)))</f>
        <v/>
      </c>
      <c r="E48" s="13" t="str">
        <f aca="false">IF($A48="","",SUMIFS(입출고내역!$G$3:$G$1002,입출고내역!$C$3:$C$1002,$A48,입출고내역!$B$3:$B$1002,"입고",입출고내역!$A$3:$A$1002,"&gt;="&amp;DATE($B$3,$D$3,1),입출고내역!$A$3:$A$1002,"&lt;="&amp;EOMONTH(DATE($B$3,$D$3,1),0)))</f>
        <v/>
      </c>
      <c r="F48" s="13" t="str">
        <f aca="false">IF($A48="","",SUMIFS(입출고내역!$G$3:$G$1002,입출고내역!$C$3:$C$1002,$A48,입출고내역!$B$3:$B$1002,"출고",입출고내역!$A$3:$A$1002,"&gt;="&amp;DATE($B$3,$D$3,1),입출고내역!$A$3:$A$1002,"&lt;="&amp;EOMONTH(DATE($B$3,$D$3,1),0)))</f>
        <v/>
      </c>
      <c r="G48" s="13" t="str">
        <f aca="false">IF($A48="","",IF(품목마스터!$F45="",0,품목마스터!$F45)+SUMIFS(입출고내역!$L$3:$L$1002,입출고내역!$C$3:$C$1002,$A48,입출고내역!$A$3:$A$1002,"&lt;="&amp;EOMONTH(DATE($B$3,$D$3,1),0)))</f>
        <v/>
      </c>
      <c r="H48" s="13" t="str">
        <f aca="false">IF($A48="","",IF(품목마스터!$G45="",0,품목마스터!$G45))</f>
        <v/>
      </c>
    </row>
    <row r="49" customFormat="false" ht="15" hidden="false" customHeight="true" outlineLevel="0" collapsed="false">
      <c r="A49" s="12" t="str">
        <f aca="false">IF(품목마스터!$A46="","",품목마스터!$A46)</f>
        <v/>
      </c>
      <c r="B49" s="12" t="str">
        <f aca="false">IF($A49="","",품목마스터!$B46)</f>
        <v/>
      </c>
      <c r="C49" s="12" t="str">
        <f aca="false">IF($A49="","",품목마스터!$D46)</f>
        <v/>
      </c>
      <c r="D49" s="13" t="str">
        <f aca="false">IF($A49="","",IF(품목마스터!$F46="",0,품목마스터!$F46)+SUMIFS(입출고내역!$L$3:$L$1002,입출고내역!$C$3:$C$1002,$A49,입출고내역!$A$3:$A$1002,"&lt;"&amp;DATE($B$3,$D$3,1)))</f>
        <v/>
      </c>
      <c r="E49" s="13" t="str">
        <f aca="false">IF($A49="","",SUMIFS(입출고내역!$G$3:$G$1002,입출고내역!$C$3:$C$1002,$A49,입출고내역!$B$3:$B$1002,"입고",입출고내역!$A$3:$A$1002,"&gt;="&amp;DATE($B$3,$D$3,1),입출고내역!$A$3:$A$1002,"&lt;="&amp;EOMONTH(DATE($B$3,$D$3,1),0)))</f>
        <v/>
      </c>
      <c r="F49" s="13" t="str">
        <f aca="false">IF($A49="","",SUMIFS(입출고내역!$G$3:$G$1002,입출고내역!$C$3:$C$1002,$A49,입출고내역!$B$3:$B$1002,"출고",입출고내역!$A$3:$A$1002,"&gt;="&amp;DATE($B$3,$D$3,1),입출고내역!$A$3:$A$1002,"&lt;="&amp;EOMONTH(DATE($B$3,$D$3,1),0)))</f>
        <v/>
      </c>
      <c r="G49" s="13" t="str">
        <f aca="false">IF($A49="","",IF(품목마스터!$F46="",0,품목마스터!$F46)+SUMIFS(입출고내역!$L$3:$L$1002,입출고내역!$C$3:$C$1002,$A49,입출고내역!$A$3:$A$1002,"&lt;="&amp;EOMONTH(DATE($B$3,$D$3,1),0)))</f>
        <v/>
      </c>
      <c r="H49" s="13" t="str">
        <f aca="false">IF($A49="","",IF(품목마스터!$G46="",0,품목마스터!$G46))</f>
        <v/>
      </c>
    </row>
    <row r="50" customFormat="false" ht="15" hidden="false" customHeight="true" outlineLevel="0" collapsed="false">
      <c r="A50" s="12" t="str">
        <f aca="false">IF(품목마스터!$A47="","",품목마스터!$A47)</f>
        <v/>
      </c>
      <c r="B50" s="12" t="str">
        <f aca="false">IF($A50="","",품목마스터!$B47)</f>
        <v/>
      </c>
      <c r="C50" s="12" t="str">
        <f aca="false">IF($A50="","",품목마스터!$D47)</f>
        <v/>
      </c>
      <c r="D50" s="13" t="str">
        <f aca="false">IF($A50="","",IF(품목마스터!$F47="",0,품목마스터!$F47)+SUMIFS(입출고내역!$L$3:$L$1002,입출고내역!$C$3:$C$1002,$A50,입출고내역!$A$3:$A$1002,"&lt;"&amp;DATE($B$3,$D$3,1)))</f>
        <v/>
      </c>
      <c r="E50" s="13" t="str">
        <f aca="false">IF($A50="","",SUMIFS(입출고내역!$G$3:$G$1002,입출고내역!$C$3:$C$1002,$A50,입출고내역!$B$3:$B$1002,"입고",입출고내역!$A$3:$A$1002,"&gt;="&amp;DATE($B$3,$D$3,1),입출고내역!$A$3:$A$1002,"&lt;="&amp;EOMONTH(DATE($B$3,$D$3,1),0)))</f>
        <v/>
      </c>
      <c r="F50" s="13" t="str">
        <f aca="false">IF($A50="","",SUMIFS(입출고내역!$G$3:$G$1002,입출고내역!$C$3:$C$1002,$A50,입출고내역!$B$3:$B$1002,"출고",입출고내역!$A$3:$A$1002,"&gt;="&amp;DATE($B$3,$D$3,1),입출고내역!$A$3:$A$1002,"&lt;="&amp;EOMONTH(DATE($B$3,$D$3,1),0)))</f>
        <v/>
      </c>
      <c r="G50" s="13" t="str">
        <f aca="false">IF($A50="","",IF(품목마스터!$F47="",0,품목마스터!$F47)+SUMIFS(입출고내역!$L$3:$L$1002,입출고내역!$C$3:$C$1002,$A50,입출고내역!$A$3:$A$1002,"&lt;="&amp;EOMONTH(DATE($B$3,$D$3,1),0)))</f>
        <v/>
      </c>
      <c r="H50" s="13" t="str">
        <f aca="false">IF($A50="","",IF(품목마스터!$G47="",0,품목마스터!$G47))</f>
        <v/>
      </c>
    </row>
    <row r="51" customFormat="false" ht="15" hidden="false" customHeight="true" outlineLevel="0" collapsed="false">
      <c r="A51" s="12" t="str">
        <f aca="false">IF(품목마스터!$A48="","",품목마스터!$A48)</f>
        <v/>
      </c>
      <c r="B51" s="12" t="str">
        <f aca="false">IF($A51="","",품목마스터!$B48)</f>
        <v/>
      </c>
      <c r="C51" s="12" t="str">
        <f aca="false">IF($A51="","",품목마스터!$D48)</f>
        <v/>
      </c>
      <c r="D51" s="13" t="str">
        <f aca="false">IF($A51="","",IF(품목마스터!$F48="",0,품목마스터!$F48)+SUMIFS(입출고내역!$L$3:$L$1002,입출고내역!$C$3:$C$1002,$A51,입출고내역!$A$3:$A$1002,"&lt;"&amp;DATE($B$3,$D$3,1)))</f>
        <v/>
      </c>
      <c r="E51" s="13" t="str">
        <f aca="false">IF($A51="","",SUMIFS(입출고내역!$G$3:$G$1002,입출고내역!$C$3:$C$1002,$A51,입출고내역!$B$3:$B$1002,"입고",입출고내역!$A$3:$A$1002,"&gt;="&amp;DATE($B$3,$D$3,1),입출고내역!$A$3:$A$1002,"&lt;="&amp;EOMONTH(DATE($B$3,$D$3,1),0)))</f>
        <v/>
      </c>
      <c r="F51" s="13" t="str">
        <f aca="false">IF($A51="","",SUMIFS(입출고내역!$G$3:$G$1002,입출고내역!$C$3:$C$1002,$A51,입출고내역!$B$3:$B$1002,"출고",입출고내역!$A$3:$A$1002,"&gt;="&amp;DATE($B$3,$D$3,1),입출고내역!$A$3:$A$1002,"&lt;="&amp;EOMONTH(DATE($B$3,$D$3,1),0)))</f>
        <v/>
      </c>
      <c r="G51" s="13" t="str">
        <f aca="false">IF($A51="","",IF(품목마스터!$F48="",0,품목마스터!$F48)+SUMIFS(입출고내역!$L$3:$L$1002,입출고내역!$C$3:$C$1002,$A51,입출고내역!$A$3:$A$1002,"&lt;="&amp;EOMONTH(DATE($B$3,$D$3,1),0)))</f>
        <v/>
      </c>
      <c r="H51" s="13" t="str">
        <f aca="false">IF($A51="","",IF(품목마스터!$G48="",0,품목마스터!$G48))</f>
        <v/>
      </c>
    </row>
    <row r="52" customFormat="false" ht="15" hidden="false" customHeight="true" outlineLevel="0" collapsed="false">
      <c r="A52" s="12" t="str">
        <f aca="false">IF(품목마스터!$A49="","",품목마스터!$A49)</f>
        <v/>
      </c>
      <c r="B52" s="12" t="str">
        <f aca="false">IF($A52="","",품목마스터!$B49)</f>
        <v/>
      </c>
      <c r="C52" s="12" t="str">
        <f aca="false">IF($A52="","",품목마스터!$D49)</f>
        <v/>
      </c>
      <c r="D52" s="13" t="str">
        <f aca="false">IF($A52="","",IF(품목마스터!$F49="",0,품목마스터!$F49)+SUMIFS(입출고내역!$L$3:$L$1002,입출고내역!$C$3:$C$1002,$A52,입출고내역!$A$3:$A$1002,"&lt;"&amp;DATE($B$3,$D$3,1)))</f>
        <v/>
      </c>
      <c r="E52" s="13" t="str">
        <f aca="false">IF($A52="","",SUMIFS(입출고내역!$G$3:$G$1002,입출고내역!$C$3:$C$1002,$A52,입출고내역!$B$3:$B$1002,"입고",입출고내역!$A$3:$A$1002,"&gt;="&amp;DATE($B$3,$D$3,1),입출고내역!$A$3:$A$1002,"&lt;="&amp;EOMONTH(DATE($B$3,$D$3,1),0)))</f>
        <v/>
      </c>
      <c r="F52" s="13" t="str">
        <f aca="false">IF($A52="","",SUMIFS(입출고내역!$G$3:$G$1002,입출고내역!$C$3:$C$1002,$A52,입출고내역!$B$3:$B$1002,"출고",입출고내역!$A$3:$A$1002,"&gt;="&amp;DATE($B$3,$D$3,1),입출고내역!$A$3:$A$1002,"&lt;="&amp;EOMONTH(DATE($B$3,$D$3,1),0)))</f>
        <v/>
      </c>
      <c r="G52" s="13" t="str">
        <f aca="false">IF($A52="","",IF(품목마스터!$F49="",0,품목마스터!$F49)+SUMIFS(입출고내역!$L$3:$L$1002,입출고내역!$C$3:$C$1002,$A52,입출고내역!$A$3:$A$1002,"&lt;="&amp;EOMONTH(DATE($B$3,$D$3,1),0)))</f>
        <v/>
      </c>
      <c r="H52" s="13" t="str">
        <f aca="false">IF($A52="","",IF(품목마스터!$G49="",0,품목마스터!$G49))</f>
        <v/>
      </c>
    </row>
    <row r="53" customFormat="false" ht="15" hidden="false" customHeight="true" outlineLevel="0" collapsed="false">
      <c r="A53" s="12" t="str">
        <f aca="false">IF(품목마스터!$A50="","",품목마스터!$A50)</f>
        <v/>
      </c>
      <c r="B53" s="12" t="str">
        <f aca="false">IF($A53="","",품목마스터!$B50)</f>
        <v/>
      </c>
      <c r="C53" s="12" t="str">
        <f aca="false">IF($A53="","",품목마스터!$D50)</f>
        <v/>
      </c>
      <c r="D53" s="13" t="str">
        <f aca="false">IF($A53="","",IF(품목마스터!$F50="",0,품목마스터!$F50)+SUMIFS(입출고내역!$L$3:$L$1002,입출고내역!$C$3:$C$1002,$A53,입출고내역!$A$3:$A$1002,"&lt;"&amp;DATE($B$3,$D$3,1)))</f>
        <v/>
      </c>
      <c r="E53" s="13" t="str">
        <f aca="false">IF($A53="","",SUMIFS(입출고내역!$G$3:$G$1002,입출고내역!$C$3:$C$1002,$A53,입출고내역!$B$3:$B$1002,"입고",입출고내역!$A$3:$A$1002,"&gt;="&amp;DATE($B$3,$D$3,1),입출고내역!$A$3:$A$1002,"&lt;="&amp;EOMONTH(DATE($B$3,$D$3,1),0)))</f>
        <v/>
      </c>
      <c r="F53" s="13" t="str">
        <f aca="false">IF($A53="","",SUMIFS(입출고내역!$G$3:$G$1002,입출고내역!$C$3:$C$1002,$A53,입출고내역!$B$3:$B$1002,"출고",입출고내역!$A$3:$A$1002,"&gt;="&amp;DATE($B$3,$D$3,1),입출고내역!$A$3:$A$1002,"&lt;="&amp;EOMONTH(DATE($B$3,$D$3,1),0)))</f>
        <v/>
      </c>
      <c r="G53" s="13" t="str">
        <f aca="false">IF($A53="","",IF(품목마스터!$F50="",0,품목마스터!$F50)+SUMIFS(입출고내역!$L$3:$L$1002,입출고내역!$C$3:$C$1002,$A53,입출고내역!$A$3:$A$1002,"&lt;="&amp;EOMONTH(DATE($B$3,$D$3,1),0)))</f>
        <v/>
      </c>
      <c r="H53" s="13" t="str">
        <f aca="false">IF($A53="","",IF(품목마스터!$G50="",0,품목마스터!$G50))</f>
        <v/>
      </c>
    </row>
    <row r="54" customFormat="false" ht="15" hidden="false" customHeight="true" outlineLevel="0" collapsed="false">
      <c r="A54" s="12" t="str">
        <f aca="false">IF(품목마스터!$A51="","",품목마스터!$A51)</f>
        <v/>
      </c>
      <c r="B54" s="12" t="str">
        <f aca="false">IF($A54="","",품목마스터!$B51)</f>
        <v/>
      </c>
      <c r="C54" s="12" t="str">
        <f aca="false">IF($A54="","",품목마스터!$D51)</f>
        <v/>
      </c>
      <c r="D54" s="13" t="str">
        <f aca="false">IF($A54="","",IF(품목마스터!$F51="",0,품목마스터!$F51)+SUMIFS(입출고내역!$L$3:$L$1002,입출고내역!$C$3:$C$1002,$A54,입출고내역!$A$3:$A$1002,"&lt;"&amp;DATE($B$3,$D$3,1)))</f>
        <v/>
      </c>
      <c r="E54" s="13" t="str">
        <f aca="false">IF($A54="","",SUMIFS(입출고내역!$G$3:$G$1002,입출고내역!$C$3:$C$1002,$A54,입출고내역!$B$3:$B$1002,"입고",입출고내역!$A$3:$A$1002,"&gt;="&amp;DATE($B$3,$D$3,1),입출고내역!$A$3:$A$1002,"&lt;="&amp;EOMONTH(DATE($B$3,$D$3,1),0)))</f>
        <v/>
      </c>
      <c r="F54" s="13" t="str">
        <f aca="false">IF($A54="","",SUMIFS(입출고내역!$G$3:$G$1002,입출고내역!$C$3:$C$1002,$A54,입출고내역!$B$3:$B$1002,"출고",입출고내역!$A$3:$A$1002,"&gt;="&amp;DATE($B$3,$D$3,1),입출고내역!$A$3:$A$1002,"&lt;="&amp;EOMONTH(DATE($B$3,$D$3,1),0)))</f>
        <v/>
      </c>
      <c r="G54" s="13" t="str">
        <f aca="false">IF($A54="","",IF(품목마스터!$F51="",0,품목마스터!$F51)+SUMIFS(입출고내역!$L$3:$L$1002,입출고내역!$C$3:$C$1002,$A54,입출고내역!$A$3:$A$1002,"&lt;="&amp;EOMONTH(DATE($B$3,$D$3,1),0)))</f>
        <v/>
      </c>
      <c r="H54" s="13" t="str">
        <f aca="false">IF($A54="","",IF(품목마스터!$G51="",0,품목마스터!$G51))</f>
        <v/>
      </c>
    </row>
    <row r="55" customFormat="false" ht="15" hidden="false" customHeight="true" outlineLevel="0" collapsed="false">
      <c r="A55" s="12" t="str">
        <f aca="false">IF(품목마스터!$A52="","",품목마스터!$A52)</f>
        <v/>
      </c>
      <c r="B55" s="12" t="str">
        <f aca="false">IF($A55="","",품목마스터!$B52)</f>
        <v/>
      </c>
      <c r="C55" s="12" t="str">
        <f aca="false">IF($A55="","",품목마스터!$D52)</f>
        <v/>
      </c>
      <c r="D55" s="13" t="str">
        <f aca="false">IF($A55="","",IF(품목마스터!$F52="",0,품목마스터!$F52)+SUMIFS(입출고내역!$L$3:$L$1002,입출고내역!$C$3:$C$1002,$A55,입출고내역!$A$3:$A$1002,"&lt;"&amp;DATE($B$3,$D$3,1)))</f>
        <v/>
      </c>
      <c r="E55" s="13" t="str">
        <f aca="false">IF($A55="","",SUMIFS(입출고내역!$G$3:$G$1002,입출고내역!$C$3:$C$1002,$A55,입출고내역!$B$3:$B$1002,"입고",입출고내역!$A$3:$A$1002,"&gt;="&amp;DATE($B$3,$D$3,1),입출고내역!$A$3:$A$1002,"&lt;="&amp;EOMONTH(DATE($B$3,$D$3,1),0)))</f>
        <v/>
      </c>
      <c r="F55" s="13" t="str">
        <f aca="false">IF($A55="","",SUMIFS(입출고내역!$G$3:$G$1002,입출고내역!$C$3:$C$1002,$A55,입출고내역!$B$3:$B$1002,"출고",입출고내역!$A$3:$A$1002,"&gt;="&amp;DATE($B$3,$D$3,1),입출고내역!$A$3:$A$1002,"&lt;="&amp;EOMONTH(DATE($B$3,$D$3,1),0)))</f>
        <v/>
      </c>
      <c r="G55" s="13" t="str">
        <f aca="false">IF($A55="","",IF(품목마스터!$F52="",0,품목마스터!$F52)+SUMIFS(입출고내역!$L$3:$L$1002,입출고내역!$C$3:$C$1002,$A55,입출고내역!$A$3:$A$1002,"&lt;="&amp;EOMONTH(DATE($B$3,$D$3,1),0)))</f>
        <v/>
      </c>
      <c r="H55" s="13" t="str">
        <f aca="false">IF($A55="","",IF(품목마스터!$G52="",0,품목마스터!$G52))</f>
        <v/>
      </c>
    </row>
    <row r="56" customFormat="false" ht="15" hidden="false" customHeight="true" outlineLevel="0" collapsed="false">
      <c r="A56" s="12" t="str">
        <f aca="false">IF(품목마스터!$A53="","",품목마스터!$A53)</f>
        <v/>
      </c>
      <c r="B56" s="12" t="str">
        <f aca="false">IF($A56="","",품목마스터!$B53)</f>
        <v/>
      </c>
      <c r="C56" s="12" t="str">
        <f aca="false">IF($A56="","",품목마스터!$D53)</f>
        <v/>
      </c>
      <c r="D56" s="13" t="str">
        <f aca="false">IF($A56="","",IF(품목마스터!$F53="",0,품목마스터!$F53)+SUMIFS(입출고내역!$L$3:$L$1002,입출고내역!$C$3:$C$1002,$A56,입출고내역!$A$3:$A$1002,"&lt;"&amp;DATE($B$3,$D$3,1)))</f>
        <v/>
      </c>
      <c r="E56" s="13" t="str">
        <f aca="false">IF($A56="","",SUMIFS(입출고내역!$G$3:$G$1002,입출고내역!$C$3:$C$1002,$A56,입출고내역!$B$3:$B$1002,"입고",입출고내역!$A$3:$A$1002,"&gt;="&amp;DATE($B$3,$D$3,1),입출고내역!$A$3:$A$1002,"&lt;="&amp;EOMONTH(DATE($B$3,$D$3,1),0)))</f>
        <v/>
      </c>
      <c r="F56" s="13" t="str">
        <f aca="false">IF($A56="","",SUMIFS(입출고내역!$G$3:$G$1002,입출고내역!$C$3:$C$1002,$A56,입출고내역!$B$3:$B$1002,"출고",입출고내역!$A$3:$A$1002,"&gt;="&amp;DATE($B$3,$D$3,1),입출고내역!$A$3:$A$1002,"&lt;="&amp;EOMONTH(DATE($B$3,$D$3,1),0)))</f>
        <v/>
      </c>
      <c r="G56" s="13" t="str">
        <f aca="false">IF($A56="","",IF(품목마스터!$F53="",0,품목마스터!$F53)+SUMIFS(입출고내역!$L$3:$L$1002,입출고내역!$C$3:$C$1002,$A56,입출고내역!$A$3:$A$1002,"&lt;="&amp;EOMONTH(DATE($B$3,$D$3,1),0)))</f>
        <v/>
      </c>
      <c r="H56" s="13" t="str">
        <f aca="false">IF($A56="","",IF(품목마스터!$G53="",0,품목마스터!$G53))</f>
        <v/>
      </c>
    </row>
    <row r="57" customFormat="false" ht="15" hidden="false" customHeight="true" outlineLevel="0" collapsed="false">
      <c r="A57" s="12" t="str">
        <f aca="false">IF(품목마스터!$A54="","",품목마스터!$A54)</f>
        <v/>
      </c>
      <c r="B57" s="12" t="str">
        <f aca="false">IF($A57="","",품목마스터!$B54)</f>
        <v/>
      </c>
      <c r="C57" s="12" t="str">
        <f aca="false">IF($A57="","",품목마스터!$D54)</f>
        <v/>
      </c>
      <c r="D57" s="13" t="str">
        <f aca="false">IF($A57="","",IF(품목마스터!$F54="",0,품목마스터!$F54)+SUMIFS(입출고내역!$L$3:$L$1002,입출고내역!$C$3:$C$1002,$A57,입출고내역!$A$3:$A$1002,"&lt;"&amp;DATE($B$3,$D$3,1)))</f>
        <v/>
      </c>
      <c r="E57" s="13" t="str">
        <f aca="false">IF($A57="","",SUMIFS(입출고내역!$G$3:$G$1002,입출고내역!$C$3:$C$1002,$A57,입출고내역!$B$3:$B$1002,"입고",입출고내역!$A$3:$A$1002,"&gt;="&amp;DATE($B$3,$D$3,1),입출고내역!$A$3:$A$1002,"&lt;="&amp;EOMONTH(DATE($B$3,$D$3,1),0)))</f>
        <v/>
      </c>
      <c r="F57" s="13" t="str">
        <f aca="false">IF($A57="","",SUMIFS(입출고내역!$G$3:$G$1002,입출고내역!$C$3:$C$1002,$A57,입출고내역!$B$3:$B$1002,"출고",입출고내역!$A$3:$A$1002,"&gt;="&amp;DATE($B$3,$D$3,1),입출고내역!$A$3:$A$1002,"&lt;="&amp;EOMONTH(DATE($B$3,$D$3,1),0)))</f>
        <v/>
      </c>
      <c r="G57" s="13" t="str">
        <f aca="false">IF($A57="","",IF(품목마스터!$F54="",0,품목마스터!$F54)+SUMIFS(입출고내역!$L$3:$L$1002,입출고내역!$C$3:$C$1002,$A57,입출고내역!$A$3:$A$1002,"&lt;="&amp;EOMONTH(DATE($B$3,$D$3,1),0)))</f>
        <v/>
      </c>
      <c r="H57" s="13" t="str">
        <f aca="false">IF($A57="","",IF(품목마스터!$G54="",0,품목마스터!$G54))</f>
        <v/>
      </c>
    </row>
    <row r="58" customFormat="false" ht="15" hidden="false" customHeight="true" outlineLevel="0" collapsed="false">
      <c r="A58" s="12" t="str">
        <f aca="false">IF(품목마스터!$A55="","",품목마스터!$A55)</f>
        <v/>
      </c>
      <c r="B58" s="12" t="str">
        <f aca="false">IF($A58="","",품목마스터!$B55)</f>
        <v/>
      </c>
      <c r="C58" s="12" t="str">
        <f aca="false">IF($A58="","",품목마스터!$D55)</f>
        <v/>
      </c>
      <c r="D58" s="13" t="str">
        <f aca="false">IF($A58="","",IF(품목마스터!$F55="",0,품목마스터!$F55)+SUMIFS(입출고내역!$L$3:$L$1002,입출고내역!$C$3:$C$1002,$A58,입출고내역!$A$3:$A$1002,"&lt;"&amp;DATE($B$3,$D$3,1)))</f>
        <v/>
      </c>
      <c r="E58" s="13" t="str">
        <f aca="false">IF($A58="","",SUMIFS(입출고내역!$G$3:$G$1002,입출고내역!$C$3:$C$1002,$A58,입출고내역!$B$3:$B$1002,"입고",입출고내역!$A$3:$A$1002,"&gt;="&amp;DATE($B$3,$D$3,1),입출고내역!$A$3:$A$1002,"&lt;="&amp;EOMONTH(DATE($B$3,$D$3,1),0)))</f>
        <v/>
      </c>
      <c r="F58" s="13" t="str">
        <f aca="false">IF($A58="","",SUMIFS(입출고내역!$G$3:$G$1002,입출고내역!$C$3:$C$1002,$A58,입출고내역!$B$3:$B$1002,"출고",입출고내역!$A$3:$A$1002,"&gt;="&amp;DATE($B$3,$D$3,1),입출고내역!$A$3:$A$1002,"&lt;="&amp;EOMONTH(DATE($B$3,$D$3,1),0)))</f>
        <v/>
      </c>
      <c r="G58" s="13" t="str">
        <f aca="false">IF($A58="","",IF(품목마스터!$F55="",0,품목마스터!$F55)+SUMIFS(입출고내역!$L$3:$L$1002,입출고내역!$C$3:$C$1002,$A58,입출고내역!$A$3:$A$1002,"&lt;="&amp;EOMONTH(DATE($B$3,$D$3,1),0)))</f>
        <v/>
      </c>
      <c r="H58" s="13" t="str">
        <f aca="false">IF($A58="","",IF(품목마스터!$G55="",0,품목마스터!$G55))</f>
        <v/>
      </c>
    </row>
    <row r="59" customFormat="false" ht="15" hidden="false" customHeight="true" outlineLevel="0" collapsed="false">
      <c r="A59" s="12" t="str">
        <f aca="false">IF(품목마스터!$A56="","",품목마스터!$A56)</f>
        <v/>
      </c>
      <c r="B59" s="12" t="str">
        <f aca="false">IF($A59="","",품목마스터!$B56)</f>
        <v/>
      </c>
      <c r="C59" s="12" t="str">
        <f aca="false">IF($A59="","",품목마스터!$D56)</f>
        <v/>
      </c>
      <c r="D59" s="13" t="str">
        <f aca="false">IF($A59="","",IF(품목마스터!$F56="",0,품목마스터!$F56)+SUMIFS(입출고내역!$L$3:$L$1002,입출고내역!$C$3:$C$1002,$A59,입출고내역!$A$3:$A$1002,"&lt;"&amp;DATE($B$3,$D$3,1)))</f>
        <v/>
      </c>
      <c r="E59" s="13" t="str">
        <f aca="false">IF($A59="","",SUMIFS(입출고내역!$G$3:$G$1002,입출고내역!$C$3:$C$1002,$A59,입출고내역!$B$3:$B$1002,"입고",입출고내역!$A$3:$A$1002,"&gt;="&amp;DATE($B$3,$D$3,1),입출고내역!$A$3:$A$1002,"&lt;="&amp;EOMONTH(DATE($B$3,$D$3,1),0)))</f>
        <v/>
      </c>
      <c r="F59" s="13" t="str">
        <f aca="false">IF($A59="","",SUMIFS(입출고내역!$G$3:$G$1002,입출고내역!$C$3:$C$1002,$A59,입출고내역!$B$3:$B$1002,"출고",입출고내역!$A$3:$A$1002,"&gt;="&amp;DATE($B$3,$D$3,1),입출고내역!$A$3:$A$1002,"&lt;="&amp;EOMONTH(DATE($B$3,$D$3,1),0)))</f>
        <v/>
      </c>
      <c r="G59" s="13" t="str">
        <f aca="false">IF($A59="","",IF(품목마스터!$F56="",0,품목마스터!$F56)+SUMIFS(입출고내역!$L$3:$L$1002,입출고내역!$C$3:$C$1002,$A59,입출고내역!$A$3:$A$1002,"&lt;="&amp;EOMONTH(DATE($B$3,$D$3,1),0)))</f>
        <v/>
      </c>
      <c r="H59" s="13" t="str">
        <f aca="false">IF($A59="","",IF(품목마스터!$G56="",0,품목마스터!$G56))</f>
        <v/>
      </c>
    </row>
    <row r="60" customFormat="false" ht="15" hidden="false" customHeight="true" outlineLevel="0" collapsed="false">
      <c r="A60" s="12" t="str">
        <f aca="false">IF(품목마스터!$A57="","",품목마스터!$A57)</f>
        <v/>
      </c>
      <c r="B60" s="12" t="str">
        <f aca="false">IF($A60="","",품목마스터!$B57)</f>
        <v/>
      </c>
      <c r="C60" s="12" t="str">
        <f aca="false">IF($A60="","",품목마스터!$D57)</f>
        <v/>
      </c>
      <c r="D60" s="13" t="str">
        <f aca="false">IF($A60="","",IF(품목마스터!$F57="",0,품목마스터!$F57)+SUMIFS(입출고내역!$L$3:$L$1002,입출고내역!$C$3:$C$1002,$A60,입출고내역!$A$3:$A$1002,"&lt;"&amp;DATE($B$3,$D$3,1)))</f>
        <v/>
      </c>
      <c r="E60" s="13" t="str">
        <f aca="false">IF($A60="","",SUMIFS(입출고내역!$G$3:$G$1002,입출고내역!$C$3:$C$1002,$A60,입출고내역!$B$3:$B$1002,"입고",입출고내역!$A$3:$A$1002,"&gt;="&amp;DATE($B$3,$D$3,1),입출고내역!$A$3:$A$1002,"&lt;="&amp;EOMONTH(DATE($B$3,$D$3,1),0)))</f>
        <v/>
      </c>
      <c r="F60" s="13" t="str">
        <f aca="false">IF($A60="","",SUMIFS(입출고내역!$G$3:$G$1002,입출고내역!$C$3:$C$1002,$A60,입출고내역!$B$3:$B$1002,"출고",입출고내역!$A$3:$A$1002,"&gt;="&amp;DATE($B$3,$D$3,1),입출고내역!$A$3:$A$1002,"&lt;="&amp;EOMONTH(DATE($B$3,$D$3,1),0)))</f>
        <v/>
      </c>
      <c r="G60" s="13" t="str">
        <f aca="false">IF($A60="","",IF(품목마스터!$F57="",0,품목마스터!$F57)+SUMIFS(입출고내역!$L$3:$L$1002,입출고내역!$C$3:$C$1002,$A60,입출고내역!$A$3:$A$1002,"&lt;="&amp;EOMONTH(DATE($B$3,$D$3,1),0)))</f>
        <v/>
      </c>
      <c r="H60" s="13" t="str">
        <f aca="false">IF($A60="","",IF(품목마스터!$G57="",0,품목마스터!$G57))</f>
        <v/>
      </c>
    </row>
    <row r="61" customFormat="false" ht="15" hidden="false" customHeight="true" outlineLevel="0" collapsed="false">
      <c r="A61" s="12" t="str">
        <f aca="false">IF(품목마스터!$A58="","",품목마스터!$A58)</f>
        <v/>
      </c>
      <c r="B61" s="12" t="str">
        <f aca="false">IF($A61="","",품목마스터!$B58)</f>
        <v/>
      </c>
      <c r="C61" s="12" t="str">
        <f aca="false">IF($A61="","",품목마스터!$D58)</f>
        <v/>
      </c>
      <c r="D61" s="13" t="str">
        <f aca="false">IF($A61="","",IF(품목마스터!$F58="",0,품목마스터!$F58)+SUMIFS(입출고내역!$L$3:$L$1002,입출고내역!$C$3:$C$1002,$A61,입출고내역!$A$3:$A$1002,"&lt;"&amp;DATE($B$3,$D$3,1)))</f>
        <v/>
      </c>
      <c r="E61" s="13" t="str">
        <f aca="false">IF($A61="","",SUMIFS(입출고내역!$G$3:$G$1002,입출고내역!$C$3:$C$1002,$A61,입출고내역!$B$3:$B$1002,"입고",입출고내역!$A$3:$A$1002,"&gt;="&amp;DATE($B$3,$D$3,1),입출고내역!$A$3:$A$1002,"&lt;="&amp;EOMONTH(DATE($B$3,$D$3,1),0)))</f>
        <v/>
      </c>
      <c r="F61" s="13" t="str">
        <f aca="false">IF($A61="","",SUMIFS(입출고내역!$G$3:$G$1002,입출고내역!$C$3:$C$1002,$A61,입출고내역!$B$3:$B$1002,"출고",입출고내역!$A$3:$A$1002,"&gt;="&amp;DATE($B$3,$D$3,1),입출고내역!$A$3:$A$1002,"&lt;="&amp;EOMONTH(DATE($B$3,$D$3,1),0)))</f>
        <v/>
      </c>
      <c r="G61" s="13" t="str">
        <f aca="false">IF($A61="","",IF(품목마스터!$F58="",0,품목마스터!$F58)+SUMIFS(입출고내역!$L$3:$L$1002,입출고내역!$C$3:$C$1002,$A61,입출고내역!$A$3:$A$1002,"&lt;="&amp;EOMONTH(DATE($B$3,$D$3,1),0)))</f>
        <v/>
      </c>
      <c r="H61" s="13" t="str">
        <f aca="false">IF($A61="","",IF(품목마스터!$G58="",0,품목마스터!$G58))</f>
        <v/>
      </c>
    </row>
    <row r="62" customFormat="false" ht="15" hidden="false" customHeight="true" outlineLevel="0" collapsed="false">
      <c r="A62" s="12" t="str">
        <f aca="false">IF(품목마스터!$A59="","",품목마스터!$A59)</f>
        <v/>
      </c>
      <c r="B62" s="12" t="str">
        <f aca="false">IF($A62="","",품목마스터!$B59)</f>
        <v/>
      </c>
      <c r="C62" s="12" t="str">
        <f aca="false">IF($A62="","",품목마스터!$D59)</f>
        <v/>
      </c>
      <c r="D62" s="13" t="str">
        <f aca="false">IF($A62="","",IF(품목마스터!$F59="",0,품목마스터!$F59)+SUMIFS(입출고내역!$L$3:$L$1002,입출고내역!$C$3:$C$1002,$A62,입출고내역!$A$3:$A$1002,"&lt;"&amp;DATE($B$3,$D$3,1)))</f>
        <v/>
      </c>
      <c r="E62" s="13" t="str">
        <f aca="false">IF($A62="","",SUMIFS(입출고내역!$G$3:$G$1002,입출고내역!$C$3:$C$1002,$A62,입출고내역!$B$3:$B$1002,"입고",입출고내역!$A$3:$A$1002,"&gt;="&amp;DATE($B$3,$D$3,1),입출고내역!$A$3:$A$1002,"&lt;="&amp;EOMONTH(DATE($B$3,$D$3,1),0)))</f>
        <v/>
      </c>
      <c r="F62" s="13" t="str">
        <f aca="false">IF($A62="","",SUMIFS(입출고내역!$G$3:$G$1002,입출고내역!$C$3:$C$1002,$A62,입출고내역!$B$3:$B$1002,"출고",입출고내역!$A$3:$A$1002,"&gt;="&amp;DATE($B$3,$D$3,1),입출고내역!$A$3:$A$1002,"&lt;="&amp;EOMONTH(DATE($B$3,$D$3,1),0)))</f>
        <v/>
      </c>
      <c r="G62" s="13" t="str">
        <f aca="false">IF($A62="","",IF(품목마스터!$F59="",0,품목마스터!$F59)+SUMIFS(입출고내역!$L$3:$L$1002,입출고내역!$C$3:$C$1002,$A62,입출고내역!$A$3:$A$1002,"&lt;="&amp;EOMONTH(DATE($B$3,$D$3,1),0)))</f>
        <v/>
      </c>
      <c r="H62" s="13" t="str">
        <f aca="false">IF($A62="","",IF(품목마스터!$G59="",0,품목마스터!$G59))</f>
        <v/>
      </c>
    </row>
    <row r="63" customFormat="false" ht="15" hidden="false" customHeight="true" outlineLevel="0" collapsed="false">
      <c r="A63" s="12" t="str">
        <f aca="false">IF(품목마스터!$A60="","",품목마스터!$A60)</f>
        <v/>
      </c>
      <c r="B63" s="12" t="str">
        <f aca="false">IF($A63="","",품목마스터!$B60)</f>
        <v/>
      </c>
      <c r="C63" s="12" t="str">
        <f aca="false">IF($A63="","",품목마스터!$D60)</f>
        <v/>
      </c>
      <c r="D63" s="13" t="str">
        <f aca="false">IF($A63="","",IF(품목마스터!$F60="",0,품목마스터!$F60)+SUMIFS(입출고내역!$L$3:$L$1002,입출고내역!$C$3:$C$1002,$A63,입출고내역!$A$3:$A$1002,"&lt;"&amp;DATE($B$3,$D$3,1)))</f>
        <v/>
      </c>
      <c r="E63" s="13" t="str">
        <f aca="false">IF($A63="","",SUMIFS(입출고내역!$G$3:$G$1002,입출고내역!$C$3:$C$1002,$A63,입출고내역!$B$3:$B$1002,"입고",입출고내역!$A$3:$A$1002,"&gt;="&amp;DATE($B$3,$D$3,1),입출고내역!$A$3:$A$1002,"&lt;="&amp;EOMONTH(DATE($B$3,$D$3,1),0)))</f>
        <v/>
      </c>
      <c r="F63" s="13" t="str">
        <f aca="false">IF($A63="","",SUMIFS(입출고내역!$G$3:$G$1002,입출고내역!$C$3:$C$1002,$A63,입출고내역!$B$3:$B$1002,"출고",입출고내역!$A$3:$A$1002,"&gt;="&amp;DATE($B$3,$D$3,1),입출고내역!$A$3:$A$1002,"&lt;="&amp;EOMONTH(DATE($B$3,$D$3,1),0)))</f>
        <v/>
      </c>
      <c r="G63" s="13" t="str">
        <f aca="false">IF($A63="","",IF(품목마스터!$F60="",0,품목마스터!$F60)+SUMIFS(입출고내역!$L$3:$L$1002,입출고내역!$C$3:$C$1002,$A63,입출고내역!$A$3:$A$1002,"&lt;="&amp;EOMONTH(DATE($B$3,$D$3,1),0)))</f>
        <v/>
      </c>
      <c r="H63" s="13" t="str">
        <f aca="false">IF($A63="","",IF(품목마스터!$G60="",0,품목마스터!$G60))</f>
        <v/>
      </c>
    </row>
    <row r="64" customFormat="false" ht="15" hidden="false" customHeight="true" outlineLevel="0" collapsed="false">
      <c r="A64" s="12" t="str">
        <f aca="false">IF(품목마스터!$A61="","",품목마스터!$A61)</f>
        <v/>
      </c>
      <c r="B64" s="12" t="str">
        <f aca="false">IF($A64="","",품목마스터!$B61)</f>
        <v/>
      </c>
      <c r="C64" s="12" t="str">
        <f aca="false">IF($A64="","",품목마스터!$D61)</f>
        <v/>
      </c>
      <c r="D64" s="13" t="str">
        <f aca="false">IF($A64="","",IF(품목마스터!$F61="",0,품목마스터!$F61)+SUMIFS(입출고내역!$L$3:$L$1002,입출고내역!$C$3:$C$1002,$A64,입출고내역!$A$3:$A$1002,"&lt;"&amp;DATE($B$3,$D$3,1)))</f>
        <v/>
      </c>
      <c r="E64" s="13" t="str">
        <f aca="false">IF($A64="","",SUMIFS(입출고내역!$G$3:$G$1002,입출고내역!$C$3:$C$1002,$A64,입출고내역!$B$3:$B$1002,"입고",입출고내역!$A$3:$A$1002,"&gt;="&amp;DATE($B$3,$D$3,1),입출고내역!$A$3:$A$1002,"&lt;="&amp;EOMONTH(DATE($B$3,$D$3,1),0)))</f>
        <v/>
      </c>
      <c r="F64" s="13" t="str">
        <f aca="false">IF($A64="","",SUMIFS(입출고내역!$G$3:$G$1002,입출고내역!$C$3:$C$1002,$A64,입출고내역!$B$3:$B$1002,"출고",입출고내역!$A$3:$A$1002,"&gt;="&amp;DATE($B$3,$D$3,1),입출고내역!$A$3:$A$1002,"&lt;="&amp;EOMONTH(DATE($B$3,$D$3,1),0)))</f>
        <v/>
      </c>
      <c r="G64" s="13" t="str">
        <f aca="false">IF($A64="","",IF(품목마스터!$F61="",0,품목마스터!$F61)+SUMIFS(입출고내역!$L$3:$L$1002,입출고내역!$C$3:$C$1002,$A64,입출고내역!$A$3:$A$1002,"&lt;="&amp;EOMONTH(DATE($B$3,$D$3,1),0)))</f>
        <v/>
      </c>
      <c r="H64" s="13" t="str">
        <f aca="false">IF($A64="","",IF(품목마스터!$G61="",0,품목마스터!$G61))</f>
        <v/>
      </c>
    </row>
    <row r="65" customFormat="false" ht="15" hidden="false" customHeight="true" outlineLevel="0" collapsed="false">
      <c r="A65" s="12" t="str">
        <f aca="false">IF(품목마스터!$A62="","",품목마스터!$A62)</f>
        <v/>
      </c>
      <c r="B65" s="12" t="str">
        <f aca="false">IF($A65="","",품목마스터!$B62)</f>
        <v/>
      </c>
      <c r="C65" s="12" t="str">
        <f aca="false">IF($A65="","",품목마스터!$D62)</f>
        <v/>
      </c>
      <c r="D65" s="13" t="str">
        <f aca="false">IF($A65="","",IF(품목마스터!$F62="",0,품목마스터!$F62)+SUMIFS(입출고내역!$L$3:$L$1002,입출고내역!$C$3:$C$1002,$A65,입출고내역!$A$3:$A$1002,"&lt;"&amp;DATE($B$3,$D$3,1)))</f>
        <v/>
      </c>
      <c r="E65" s="13" t="str">
        <f aca="false">IF($A65="","",SUMIFS(입출고내역!$G$3:$G$1002,입출고내역!$C$3:$C$1002,$A65,입출고내역!$B$3:$B$1002,"입고",입출고내역!$A$3:$A$1002,"&gt;="&amp;DATE($B$3,$D$3,1),입출고내역!$A$3:$A$1002,"&lt;="&amp;EOMONTH(DATE($B$3,$D$3,1),0)))</f>
        <v/>
      </c>
      <c r="F65" s="13" t="str">
        <f aca="false">IF($A65="","",SUMIFS(입출고내역!$G$3:$G$1002,입출고내역!$C$3:$C$1002,$A65,입출고내역!$B$3:$B$1002,"출고",입출고내역!$A$3:$A$1002,"&gt;="&amp;DATE($B$3,$D$3,1),입출고내역!$A$3:$A$1002,"&lt;="&amp;EOMONTH(DATE($B$3,$D$3,1),0)))</f>
        <v/>
      </c>
      <c r="G65" s="13" t="str">
        <f aca="false">IF($A65="","",IF(품목마스터!$F62="",0,품목마스터!$F62)+SUMIFS(입출고내역!$L$3:$L$1002,입출고내역!$C$3:$C$1002,$A65,입출고내역!$A$3:$A$1002,"&lt;="&amp;EOMONTH(DATE($B$3,$D$3,1),0)))</f>
        <v/>
      </c>
      <c r="H65" s="13" t="str">
        <f aca="false">IF($A65="","",IF(품목마스터!$G62="",0,품목마스터!$G62))</f>
        <v/>
      </c>
    </row>
    <row r="66" customFormat="false" ht="15" hidden="false" customHeight="true" outlineLevel="0" collapsed="false">
      <c r="A66" s="12" t="str">
        <f aca="false">IF(품목마스터!$A63="","",품목마스터!$A63)</f>
        <v/>
      </c>
      <c r="B66" s="12" t="str">
        <f aca="false">IF($A66="","",품목마스터!$B63)</f>
        <v/>
      </c>
      <c r="C66" s="12" t="str">
        <f aca="false">IF($A66="","",품목마스터!$D63)</f>
        <v/>
      </c>
      <c r="D66" s="13" t="str">
        <f aca="false">IF($A66="","",IF(품목마스터!$F63="",0,품목마스터!$F63)+SUMIFS(입출고내역!$L$3:$L$1002,입출고내역!$C$3:$C$1002,$A66,입출고내역!$A$3:$A$1002,"&lt;"&amp;DATE($B$3,$D$3,1)))</f>
        <v/>
      </c>
      <c r="E66" s="13" t="str">
        <f aca="false">IF($A66="","",SUMIFS(입출고내역!$G$3:$G$1002,입출고내역!$C$3:$C$1002,$A66,입출고내역!$B$3:$B$1002,"입고",입출고내역!$A$3:$A$1002,"&gt;="&amp;DATE($B$3,$D$3,1),입출고내역!$A$3:$A$1002,"&lt;="&amp;EOMONTH(DATE($B$3,$D$3,1),0)))</f>
        <v/>
      </c>
      <c r="F66" s="13" t="str">
        <f aca="false">IF($A66="","",SUMIFS(입출고내역!$G$3:$G$1002,입출고내역!$C$3:$C$1002,$A66,입출고내역!$B$3:$B$1002,"출고",입출고내역!$A$3:$A$1002,"&gt;="&amp;DATE($B$3,$D$3,1),입출고내역!$A$3:$A$1002,"&lt;="&amp;EOMONTH(DATE($B$3,$D$3,1),0)))</f>
        <v/>
      </c>
      <c r="G66" s="13" t="str">
        <f aca="false">IF($A66="","",IF(품목마스터!$F63="",0,품목마스터!$F63)+SUMIFS(입출고내역!$L$3:$L$1002,입출고내역!$C$3:$C$1002,$A66,입출고내역!$A$3:$A$1002,"&lt;="&amp;EOMONTH(DATE($B$3,$D$3,1),0)))</f>
        <v/>
      </c>
      <c r="H66" s="13" t="str">
        <f aca="false">IF($A66="","",IF(품목마스터!$G63="",0,품목마스터!$G63))</f>
        <v/>
      </c>
    </row>
    <row r="67" customFormat="false" ht="15" hidden="false" customHeight="true" outlineLevel="0" collapsed="false">
      <c r="A67" s="12" t="str">
        <f aca="false">IF(품목마스터!$A64="","",품목마스터!$A64)</f>
        <v/>
      </c>
      <c r="B67" s="12" t="str">
        <f aca="false">IF($A67="","",품목마스터!$B64)</f>
        <v/>
      </c>
      <c r="C67" s="12" t="str">
        <f aca="false">IF($A67="","",품목마스터!$D64)</f>
        <v/>
      </c>
      <c r="D67" s="13" t="str">
        <f aca="false">IF($A67="","",IF(품목마스터!$F64="",0,품목마스터!$F64)+SUMIFS(입출고내역!$L$3:$L$1002,입출고내역!$C$3:$C$1002,$A67,입출고내역!$A$3:$A$1002,"&lt;"&amp;DATE($B$3,$D$3,1)))</f>
        <v/>
      </c>
      <c r="E67" s="13" t="str">
        <f aca="false">IF($A67="","",SUMIFS(입출고내역!$G$3:$G$1002,입출고내역!$C$3:$C$1002,$A67,입출고내역!$B$3:$B$1002,"입고",입출고내역!$A$3:$A$1002,"&gt;="&amp;DATE($B$3,$D$3,1),입출고내역!$A$3:$A$1002,"&lt;="&amp;EOMONTH(DATE($B$3,$D$3,1),0)))</f>
        <v/>
      </c>
      <c r="F67" s="13" t="str">
        <f aca="false">IF($A67="","",SUMIFS(입출고내역!$G$3:$G$1002,입출고내역!$C$3:$C$1002,$A67,입출고내역!$B$3:$B$1002,"출고",입출고내역!$A$3:$A$1002,"&gt;="&amp;DATE($B$3,$D$3,1),입출고내역!$A$3:$A$1002,"&lt;="&amp;EOMONTH(DATE($B$3,$D$3,1),0)))</f>
        <v/>
      </c>
      <c r="G67" s="13" t="str">
        <f aca="false">IF($A67="","",IF(품목마스터!$F64="",0,품목마스터!$F64)+SUMIFS(입출고내역!$L$3:$L$1002,입출고내역!$C$3:$C$1002,$A67,입출고내역!$A$3:$A$1002,"&lt;="&amp;EOMONTH(DATE($B$3,$D$3,1),0)))</f>
        <v/>
      </c>
      <c r="H67" s="13" t="str">
        <f aca="false">IF($A67="","",IF(품목마스터!$G64="",0,품목마스터!$G64))</f>
        <v/>
      </c>
    </row>
    <row r="68" customFormat="false" ht="15" hidden="false" customHeight="true" outlineLevel="0" collapsed="false">
      <c r="A68" s="12" t="str">
        <f aca="false">IF(품목마스터!$A65="","",품목마스터!$A65)</f>
        <v/>
      </c>
      <c r="B68" s="12" t="str">
        <f aca="false">IF($A68="","",품목마스터!$B65)</f>
        <v/>
      </c>
      <c r="C68" s="12" t="str">
        <f aca="false">IF($A68="","",품목마스터!$D65)</f>
        <v/>
      </c>
      <c r="D68" s="13" t="str">
        <f aca="false">IF($A68="","",IF(품목마스터!$F65="",0,품목마스터!$F65)+SUMIFS(입출고내역!$L$3:$L$1002,입출고내역!$C$3:$C$1002,$A68,입출고내역!$A$3:$A$1002,"&lt;"&amp;DATE($B$3,$D$3,1)))</f>
        <v/>
      </c>
      <c r="E68" s="13" t="str">
        <f aca="false">IF($A68="","",SUMIFS(입출고내역!$G$3:$G$1002,입출고내역!$C$3:$C$1002,$A68,입출고내역!$B$3:$B$1002,"입고",입출고내역!$A$3:$A$1002,"&gt;="&amp;DATE($B$3,$D$3,1),입출고내역!$A$3:$A$1002,"&lt;="&amp;EOMONTH(DATE($B$3,$D$3,1),0)))</f>
        <v/>
      </c>
      <c r="F68" s="13" t="str">
        <f aca="false">IF($A68="","",SUMIFS(입출고내역!$G$3:$G$1002,입출고내역!$C$3:$C$1002,$A68,입출고내역!$B$3:$B$1002,"출고",입출고내역!$A$3:$A$1002,"&gt;="&amp;DATE($B$3,$D$3,1),입출고내역!$A$3:$A$1002,"&lt;="&amp;EOMONTH(DATE($B$3,$D$3,1),0)))</f>
        <v/>
      </c>
      <c r="G68" s="13" t="str">
        <f aca="false">IF($A68="","",IF(품목마스터!$F65="",0,품목마스터!$F65)+SUMIFS(입출고내역!$L$3:$L$1002,입출고내역!$C$3:$C$1002,$A68,입출고내역!$A$3:$A$1002,"&lt;="&amp;EOMONTH(DATE($B$3,$D$3,1),0)))</f>
        <v/>
      </c>
      <c r="H68" s="13" t="str">
        <f aca="false">IF($A68="","",IF(품목마스터!$G65="",0,품목마스터!$G65))</f>
        <v/>
      </c>
    </row>
    <row r="69" customFormat="false" ht="15" hidden="false" customHeight="true" outlineLevel="0" collapsed="false">
      <c r="A69" s="12" t="str">
        <f aca="false">IF(품목마스터!$A66="","",품목마스터!$A66)</f>
        <v/>
      </c>
      <c r="B69" s="12" t="str">
        <f aca="false">IF($A69="","",품목마스터!$B66)</f>
        <v/>
      </c>
      <c r="C69" s="12" t="str">
        <f aca="false">IF($A69="","",품목마스터!$D66)</f>
        <v/>
      </c>
      <c r="D69" s="13" t="str">
        <f aca="false">IF($A69="","",IF(품목마스터!$F66="",0,품목마스터!$F66)+SUMIFS(입출고내역!$L$3:$L$1002,입출고내역!$C$3:$C$1002,$A69,입출고내역!$A$3:$A$1002,"&lt;"&amp;DATE($B$3,$D$3,1)))</f>
        <v/>
      </c>
      <c r="E69" s="13" t="str">
        <f aca="false">IF($A69="","",SUMIFS(입출고내역!$G$3:$G$1002,입출고내역!$C$3:$C$1002,$A69,입출고내역!$B$3:$B$1002,"입고",입출고내역!$A$3:$A$1002,"&gt;="&amp;DATE($B$3,$D$3,1),입출고내역!$A$3:$A$1002,"&lt;="&amp;EOMONTH(DATE($B$3,$D$3,1),0)))</f>
        <v/>
      </c>
      <c r="F69" s="13" t="str">
        <f aca="false">IF($A69="","",SUMIFS(입출고내역!$G$3:$G$1002,입출고내역!$C$3:$C$1002,$A69,입출고내역!$B$3:$B$1002,"출고",입출고내역!$A$3:$A$1002,"&gt;="&amp;DATE($B$3,$D$3,1),입출고내역!$A$3:$A$1002,"&lt;="&amp;EOMONTH(DATE($B$3,$D$3,1),0)))</f>
        <v/>
      </c>
      <c r="G69" s="13" t="str">
        <f aca="false">IF($A69="","",IF(품목마스터!$F66="",0,품목마스터!$F66)+SUMIFS(입출고내역!$L$3:$L$1002,입출고내역!$C$3:$C$1002,$A69,입출고내역!$A$3:$A$1002,"&lt;="&amp;EOMONTH(DATE($B$3,$D$3,1),0)))</f>
        <v/>
      </c>
      <c r="H69" s="13" t="str">
        <f aca="false">IF($A69="","",IF(품목마스터!$G66="",0,품목마스터!$G66))</f>
        <v/>
      </c>
    </row>
    <row r="70" customFormat="false" ht="15" hidden="false" customHeight="true" outlineLevel="0" collapsed="false">
      <c r="A70" s="12" t="str">
        <f aca="false">IF(품목마스터!$A67="","",품목마스터!$A67)</f>
        <v/>
      </c>
      <c r="B70" s="12" t="str">
        <f aca="false">IF($A70="","",품목마스터!$B67)</f>
        <v/>
      </c>
      <c r="C70" s="12" t="str">
        <f aca="false">IF($A70="","",품목마스터!$D67)</f>
        <v/>
      </c>
      <c r="D70" s="13" t="str">
        <f aca="false">IF($A70="","",IF(품목마스터!$F67="",0,품목마스터!$F67)+SUMIFS(입출고내역!$L$3:$L$1002,입출고내역!$C$3:$C$1002,$A70,입출고내역!$A$3:$A$1002,"&lt;"&amp;DATE($B$3,$D$3,1)))</f>
        <v/>
      </c>
      <c r="E70" s="13" t="str">
        <f aca="false">IF($A70="","",SUMIFS(입출고내역!$G$3:$G$1002,입출고내역!$C$3:$C$1002,$A70,입출고내역!$B$3:$B$1002,"입고",입출고내역!$A$3:$A$1002,"&gt;="&amp;DATE($B$3,$D$3,1),입출고내역!$A$3:$A$1002,"&lt;="&amp;EOMONTH(DATE($B$3,$D$3,1),0)))</f>
        <v/>
      </c>
      <c r="F70" s="13" t="str">
        <f aca="false">IF($A70="","",SUMIFS(입출고내역!$G$3:$G$1002,입출고내역!$C$3:$C$1002,$A70,입출고내역!$B$3:$B$1002,"출고",입출고내역!$A$3:$A$1002,"&gt;="&amp;DATE($B$3,$D$3,1),입출고내역!$A$3:$A$1002,"&lt;="&amp;EOMONTH(DATE($B$3,$D$3,1),0)))</f>
        <v/>
      </c>
      <c r="G70" s="13" t="str">
        <f aca="false">IF($A70="","",IF(품목마스터!$F67="",0,품목마스터!$F67)+SUMIFS(입출고내역!$L$3:$L$1002,입출고내역!$C$3:$C$1002,$A70,입출고내역!$A$3:$A$1002,"&lt;="&amp;EOMONTH(DATE($B$3,$D$3,1),0)))</f>
        <v/>
      </c>
      <c r="H70" s="13" t="str">
        <f aca="false">IF($A70="","",IF(품목마스터!$G67="",0,품목마스터!$G67))</f>
        <v/>
      </c>
    </row>
    <row r="71" customFormat="false" ht="15" hidden="false" customHeight="true" outlineLevel="0" collapsed="false">
      <c r="A71" s="12" t="str">
        <f aca="false">IF(품목마스터!$A68="","",품목마스터!$A68)</f>
        <v/>
      </c>
      <c r="B71" s="12" t="str">
        <f aca="false">IF($A71="","",품목마스터!$B68)</f>
        <v/>
      </c>
      <c r="C71" s="12" t="str">
        <f aca="false">IF($A71="","",품목마스터!$D68)</f>
        <v/>
      </c>
      <c r="D71" s="13" t="str">
        <f aca="false">IF($A71="","",IF(품목마스터!$F68="",0,품목마스터!$F68)+SUMIFS(입출고내역!$L$3:$L$1002,입출고내역!$C$3:$C$1002,$A71,입출고내역!$A$3:$A$1002,"&lt;"&amp;DATE($B$3,$D$3,1)))</f>
        <v/>
      </c>
      <c r="E71" s="13" t="str">
        <f aca="false">IF($A71="","",SUMIFS(입출고내역!$G$3:$G$1002,입출고내역!$C$3:$C$1002,$A71,입출고내역!$B$3:$B$1002,"입고",입출고내역!$A$3:$A$1002,"&gt;="&amp;DATE($B$3,$D$3,1),입출고내역!$A$3:$A$1002,"&lt;="&amp;EOMONTH(DATE($B$3,$D$3,1),0)))</f>
        <v/>
      </c>
      <c r="F71" s="13" t="str">
        <f aca="false">IF($A71="","",SUMIFS(입출고내역!$G$3:$G$1002,입출고내역!$C$3:$C$1002,$A71,입출고내역!$B$3:$B$1002,"출고",입출고내역!$A$3:$A$1002,"&gt;="&amp;DATE($B$3,$D$3,1),입출고내역!$A$3:$A$1002,"&lt;="&amp;EOMONTH(DATE($B$3,$D$3,1),0)))</f>
        <v/>
      </c>
      <c r="G71" s="13" t="str">
        <f aca="false">IF($A71="","",IF(품목마스터!$F68="",0,품목마스터!$F68)+SUMIFS(입출고내역!$L$3:$L$1002,입출고내역!$C$3:$C$1002,$A71,입출고내역!$A$3:$A$1002,"&lt;="&amp;EOMONTH(DATE($B$3,$D$3,1),0)))</f>
        <v/>
      </c>
      <c r="H71" s="13" t="str">
        <f aca="false">IF($A71="","",IF(품목마스터!$G68="",0,품목마스터!$G68))</f>
        <v/>
      </c>
    </row>
    <row r="72" customFormat="false" ht="15" hidden="false" customHeight="true" outlineLevel="0" collapsed="false">
      <c r="A72" s="12" t="str">
        <f aca="false">IF(품목마스터!$A69="","",품목마스터!$A69)</f>
        <v/>
      </c>
      <c r="B72" s="12" t="str">
        <f aca="false">IF($A72="","",품목마스터!$B69)</f>
        <v/>
      </c>
      <c r="C72" s="12" t="str">
        <f aca="false">IF($A72="","",품목마스터!$D69)</f>
        <v/>
      </c>
      <c r="D72" s="13" t="str">
        <f aca="false">IF($A72="","",IF(품목마스터!$F69="",0,품목마스터!$F69)+SUMIFS(입출고내역!$L$3:$L$1002,입출고내역!$C$3:$C$1002,$A72,입출고내역!$A$3:$A$1002,"&lt;"&amp;DATE($B$3,$D$3,1)))</f>
        <v/>
      </c>
      <c r="E72" s="13" t="str">
        <f aca="false">IF($A72="","",SUMIFS(입출고내역!$G$3:$G$1002,입출고내역!$C$3:$C$1002,$A72,입출고내역!$B$3:$B$1002,"입고",입출고내역!$A$3:$A$1002,"&gt;="&amp;DATE($B$3,$D$3,1),입출고내역!$A$3:$A$1002,"&lt;="&amp;EOMONTH(DATE($B$3,$D$3,1),0)))</f>
        <v/>
      </c>
      <c r="F72" s="13" t="str">
        <f aca="false">IF($A72="","",SUMIFS(입출고내역!$G$3:$G$1002,입출고내역!$C$3:$C$1002,$A72,입출고내역!$B$3:$B$1002,"출고",입출고내역!$A$3:$A$1002,"&gt;="&amp;DATE($B$3,$D$3,1),입출고내역!$A$3:$A$1002,"&lt;="&amp;EOMONTH(DATE($B$3,$D$3,1),0)))</f>
        <v/>
      </c>
      <c r="G72" s="13" t="str">
        <f aca="false">IF($A72="","",IF(품목마스터!$F69="",0,품목마스터!$F69)+SUMIFS(입출고내역!$L$3:$L$1002,입출고내역!$C$3:$C$1002,$A72,입출고내역!$A$3:$A$1002,"&lt;="&amp;EOMONTH(DATE($B$3,$D$3,1),0)))</f>
        <v/>
      </c>
      <c r="H72" s="13" t="str">
        <f aca="false">IF($A72="","",IF(품목마스터!$G69="",0,품목마스터!$G69))</f>
        <v/>
      </c>
    </row>
    <row r="73" customFormat="false" ht="15" hidden="false" customHeight="true" outlineLevel="0" collapsed="false">
      <c r="A73" s="12" t="str">
        <f aca="false">IF(품목마스터!$A70="","",품목마스터!$A70)</f>
        <v/>
      </c>
      <c r="B73" s="12" t="str">
        <f aca="false">IF($A73="","",품목마스터!$B70)</f>
        <v/>
      </c>
      <c r="C73" s="12" t="str">
        <f aca="false">IF($A73="","",품목마스터!$D70)</f>
        <v/>
      </c>
      <c r="D73" s="13" t="str">
        <f aca="false">IF($A73="","",IF(품목마스터!$F70="",0,품목마스터!$F70)+SUMIFS(입출고내역!$L$3:$L$1002,입출고내역!$C$3:$C$1002,$A73,입출고내역!$A$3:$A$1002,"&lt;"&amp;DATE($B$3,$D$3,1)))</f>
        <v/>
      </c>
      <c r="E73" s="13" t="str">
        <f aca="false">IF($A73="","",SUMIFS(입출고내역!$G$3:$G$1002,입출고내역!$C$3:$C$1002,$A73,입출고내역!$B$3:$B$1002,"입고",입출고내역!$A$3:$A$1002,"&gt;="&amp;DATE($B$3,$D$3,1),입출고내역!$A$3:$A$1002,"&lt;="&amp;EOMONTH(DATE($B$3,$D$3,1),0)))</f>
        <v/>
      </c>
      <c r="F73" s="13" t="str">
        <f aca="false">IF($A73="","",SUMIFS(입출고내역!$G$3:$G$1002,입출고내역!$C$3:$C$1002,$A73,입출고내역!$B$3:$B$1002,"출고",입출고내역!$A$3:$A$1002,"&gt;="&amp;DATE($B$3,$D$3,1),입출고내역!$A$3:$A$1002,"&lt;="&amp;EOMONTH(DATE($B$3,$D$3,1),0)))</f>
        <v/>
      </c>
      <c r="G73" s="13" t="str">
        <f aca="false">IF($A73="","",IF(품목마스터!$F70="",0,품목마스터!$F70)+SUMIFS(입출고내역!$L$3:$L$1002,입출고내역!$C$3:$C$1002,$A73,입출고내역!$A$3:$A$1002,"&lt;="&amp;EOMONTH(DATE($B$3,$D$3,1),0)))</f>
        <v/>
      </c>
      <c r="H73" s="13" t="str">
        <f aca="false">IF($A73="","",IF(품목마스터!$G70="",0,품목마스터!$G70))</f>
        <v/>
      </c>
    </row>
    <row r="74" customFormat="false" ht="15" hidden="false" customHeight="true" outlineLevel="0" collapsed="false">
      <c r="A74" s="12" t="str">
        <f aca="false">IF(품목마스터!$A71="","",품목마스터!$A71)</f>
        <v/>
      </c>
      <c r="B74" s="12" t="str">
        <f aca="false">IF($A74="","",품목마스터!$B71)</f>
        <v/>
      </c>
      <c r="C74" s="12" t="str">
        <f aca="false">IF($A74="","",품목마스터!$D71)</f>
        <v/>
      </c>
      <c r="D74" s="13" t="str">
        <f aca="false">IF($A74="","",IF(품목마스터!$F71="",0,품목마스터!$F71)+SUMIFS(입출고내역!$L$3:$L$1002,입출고내역!$C$3:$C$1002,$A74,입출고내역!$A$3:$A$1002,"&lt;"&amp;DATE($B$3,$D$3,1)))</f>
        <v/>
      </c>
      <c r="E74" s="13" t="str">
        <f aca="false">IF($A74="","",SUMIFS(입출고내역!$G$3:$G$1002,입출고내역!$C$3:$C$1002,$A74,입출고내역!$B$3:$B$1002,"입고",입출고내역!$A$3:$A$1002,"&gt;="&amp;DATE($B$3,$D$3,1),입출고내역!$A$3:$A$1002,"&lt;="&amp;EOMONTH(DATE($B$3,$D$3,1),0)))</f>
        <v/>
      </c>
      <c r="F74" s="13" t="str">
        <f aca="false">IF($A74="","",SUMIFS(입출고내역!$G$3:$G$1002,입출고내역!$C$3:$C$1002,$A74,입출고내역!$B$3:$B$1002,"출고",입출고내역!$A$3:$A$1002,"&gt;="&amp;DATE($B$3,$D$3,1),입출고내역!$A$3:$A$1002,"&lt;="&amp;EOMONTH(DATE($B$3,$D$3,1),0)))</f>
        <v/>
      </c>
      <c r="G74" s="13" t="str">
        <f aca="false">IF($A74="","",IF(품목마스터!$F71="",0,품목마스터!$F71)+SUMIFS(입출고내역!$L$3:$L$1002,입출고내역!$C$3:$C$1002,$A74,입출고내역!$A$3:$A$1002,"&lt;="&amp;EOMONTH(DATE($B$3,$D$3,1),0)))</f>
        <v/>
      </c>
      <c r="H74" s="13" t="str">
        <f aca="false">IF($A74="","",IF(품목마스터!$G71="",0,품목마스터!$G71))</f>
        <v/>
      </c>
    </row>
    <row r="75" customFormat="false" ht="15" hidden="false" customHeight="true" outlineLevel="0" collapsed="false">
      <c r="A75" s="12" t="str">
        <f aca="false">IF(품목마스터!$A72="","",품목마스터!$A72)</f>
        <v/>
      </c>
      <c r="B75" s="12" t="str">
        <f aca="false">IF($A75="","",품목마스터!$B72)</f>
        <v/>
      </c>
      <c r="C75" s="12" t="str">
        <f aca="false">IF($A75="","",품목마스터!$D72)</f>
        <v/>
      </c>
      <c r="D75" s="13" t="str">
        <f aca="false">IF($A75="","",IF(품목마스터!$F72="",0,품목마스터!$F72)+SUMIFS(입출고내역!$L$3:$L$1002,입출고내역!$C$3:$C$1002,$A75,입출고내역!$A$3:$A$1002,"&lt;"&amp;DATE($B$3,$D$3,1)))</f>
        <v/>
      </c>
      <c r="E75" s="13" t="str">
        <f aca="false">IF($A75="","",SUMIFS(입출고내역!$G$3:$G$1002,입출고내역!$C$3:$C$1002,$A75,입출고내역!$B$3:$B$1002,"입고",입출고내역!$A$3:$A$1002,"&gt;="&amp;DATE($B$3,$D$3,1),입출고내역!$A$3:$A$1002,"&lt;="&amp;EOMONTH(DATE($B$3,$D$3,1),0)))</f>
        <v/>
      </c>
      <c r="F75" s="13" t="str">
        <f aca="false">IF($A75="","",SUMIFS(입출고내역!$G$3:$G$1002,입출고내역!$C$3:$C$1002,$A75,입출고내역!$B$3:$B$1002,"출고",입출고내역!$A$3:$A$1002,"&gt;="&amp;DATE($B$3,$D$3,1),입출고내역!$A$3:$A$1002,"&lt;="&amp;EOMONTH(DATE($B$3,$D$3,1),0)))</f>
        <v/>
      </c>
      <c r="G75" s="13" t="str">
        <f aca="false">IF($A75="","",IF(품목마스터!$F72="",0,품목마스터!$F72)+SUMIFS(입출고내역!$L$3:$L$1002,입출고내역!$C$3:$C$1002,$A75,입출고내역!$A$3:$A$1002,"&lt;="&amp;EOMONTH(DATE($B$3,$D$3,1),0)))</f>
        <v/>
      </c>
      <c r="H75" s="13" t="str">
        <f aca="false">IF($A75="","",IF(품목마스터!$G72="",0,품목마스터!$G72))</f>
        <v/>
      </c>
    </row>
    <row r="76" customFormat="false" ht="15" hidden="false" customHeight="true" outlineLevel="0" collapsed="false">
      <c r="A76" s="12" t="str">
        <f aca="false">IF(품목마스터!$A73="","",품목마스터!$A73)</f>
        <v/>
      </c>
      <c r="B76" s="12" t="str">
        <f aca="false">IF($A76="","",품목마스터!$B73)</f>
        <v/>
      </c>
      <c r="C76" s="12" t="str">
        <f aca="false">IF($A76="","",품목마스터!$D73)</f>
        <v/>
      </c>
      <c r="D76" s="13" t="str">
        <f aca="false">IF($A76="","",IF(품목마스터!$F73="",0,품목마스터!$F73)+SUMIFS(입출고내역!$L$3:$L$1002,입출고내역!$C$3:$C$1002,$A76,입출고내역!$A$3:$A$1002,"&lt;"&amp;DATE($B$3,$D$3,1)))</f>
        <v/>
      </c>
      <c r="E76" s="13" t="str">
        <f aca="false">IF($A76="","",SUMIFS(입출고내역!$G$3:$G$1002,입출고내역!$C$3:$C$1002,$A76,입출고내역!$B$3:$B$1002,"입고",입출고내역!$A$3:$A$1002,"&gt;="&amp;DATE($B$3,$D$3,1),입출고내역!$A$3:$A$1002,"&lt;="&amp;EOMONTH(DATE($B$3,$D$3,1),0)))</f>
        <v/>
      </c>
      <c r="F76" s="13" t="str">
        <f aca="false">IF($A76="","",SUMIFS(입출고내역!$G$3:$G$1002,입출고내역!$C$3:$C$1002,$A76,입출고내역!$B$3:$B$1002,"출고",입출고내역!$A$3:$A$1002,"&gt;="&amp;DATE($B$3,$D$3,1),입출고내역!$A$3:$A$1002,"&lt;="&amp;EOMONTH(DATE($B$3,$D$3,1),0)))</f>
        <v/>
      </c>
      <c r="G76" s="13" t="str">
        <f aca="false">IF($A76="","",IF(품목마스터!$F73="",0,품목마스터!$F73)+SUMIFS(입출고내역!$L$3:$L$1002,입출고내역!$C$3:$C$1002,$A76,입출고내역!$A$3:$A$1002,"&lt;="&amp;EOMONTH(DATE($B$3,$D$3,1),0)))</f>
        <v/>
      </c>
      <c r="H76" s="13" t="str">
        <f aca="false">IF($A76="","",IF(품목마스터!$G73="",0,품목마스터!$G73))</f>
        <v/>
      </c>
    </row>
    <row r="77" customFormat="false" ht="15" hidden="false" customHeight="true" outlineLevel="0" collapsed="false">
      <c r="A77" s="12" t="str">
        <f aca="false">IF(품목마스터!$A74="","",품목마스터!$A74)</f>
        <v/>
      </c>
      <c r="B77" s="12" t="str">
        <f aca="false">IF($A77="","",품목마스터!$B74)</f>
        <v/>
      </c>
      <c r="C77" s="12" t="str">
        <f aca="false">IF($A77="","",품목마스터!$D74)</f>
        <v/>
      </c>
      <c r="D77" s="13" t="str">
        <f aca="false">IF($A77="","",IF(품목마스터!$F74="",0,품목마스터!$F74)+SUMIFS(입출고내역!$L$3:$L$1002,입출고내역!$C$3:$C$1002,$A77,입출고내역!$A$3:$A$1002,"&lt;"&amp;DATE($B$3,$D$3,1)))</f>
        <v/>
      </c>
      <c r="E77" s="13" t="str">
        <f aca="false">IF($A77="","",SUMIFS(입출고내역!$G$3:$G$1002,입출고내역!$C$3:$C$1002,$A77,입출고내역!$B$3:$B$1002,"입고",입출고내역!$A$3:$A$1002,"&gt;="&amp;DATE($B$3,$D$3,1),입출고내역!$A$3:$A$1002,"&lt;="&amp;EOMONTH(DATE($B$3,$D$3,1),0)))</f>
        <v/>
      </c>
      <c r="F77" s="13" t="str">
        <f aca="false">IF($A77="","",SUMIFS(입출고내역!$G$3:$G$1002,입출고내역!$C$3:$C$1002,$A77,입출고내역!$B$3:$B$1002,"출고",입출고내역!$A$3:$A$1002,"&gt;="&amp;DATE($B$3,$D$3,1),입출고내역!$A$3:$A$1002,"&lt;="&amp;EOMONTH(DATE($B$3,$D$3,1),0)))</f>
        <v/>
      </c>
      <c r="G77" s="13" t="str">
        <f aca="false">IF($A77="","",IF(품목마스터!$F74="",0,품목마스터!$F74)+SUMIFS(입출고내역!$L$3:$L$1002,입출고내역!$C$3:$C$1002,$A77,입출고내역!$A$3:$A$1002,"&lt;="&amp;EOMONTH(DATE($B$3,$D$3,1),0)))</f>
        <v/>
      </c>
      <c r="H77" s="13" t="str">
        <f aca="false">IF($A77="","",IF(품목마스터!$G74="",0,품목마스터!$G74))</f>
        <v/>
      </c>
    </row>
    <row r="78" customFormat="false" ht="15" hidden="false" customHeight="true" outlineLevel="0" collapsed="false">
      <c r="A78" s="12" t="str">
        <f aca="false">IF(품목마스터!$A75="","",품목마스터!$A75)</f>
        <v/>
      </c>
      <c r="B78" s="12" t="str">
        <f aca="false">IF($A78="","",품목마스터!$B75)</f>
        <v/>
      </c>
      <c r="C78" s="12" t="str">
        <f aca="false">IF($A78="","",품목마스터!$D75)</f>
        <v/>
      </c>
      <c r="D78" s="13" t="str">
        <f aca="false">IF($A78="","",IF(품목마스터!$F75="",0,품목마스터!$F75)+SUMIFS(입출고내역!$L$3:$L$1002,입출고내역!$C$3:$C$1002,$A78,입출고내역!$A$3:$A$1002,"&lt;"&amp;DATE($B$3,$D$3,1)))</f>
        <v/>
      </c>
      <c r="E78" s="13" t="str">
        <f aca="false">IF($A78="","",SUMIFS(입출고내역!$G$3:$G$1002,입출고내역!$C$3:$C$1002,$A78,입출고내역!$B$3:$B$1002,"입고",입출고내역!$A$3:$A$1002,"&gt;="&amp;DATE($B$3,$D$3,1),입출고내역!$A$3:$A$1002,"&lt;="&amp;EOMONTH(DATE($B$3,$D$3,1),0)))</f>
        <v/>
      </c>
      <c r="F78" s="13" t="str">
        <f aca="false">IF($A78="","",SUMIFS(입출고내역!$G$3:$G$1002,입출고내역!$C$3:$C$1002,$A78,입출고내역!$B$3:$B$1002,"출고",입출고내역!$A$3:$A$1002,"&gt;="&amp;DATE($B$3,$D$3,1),입출고내역!$A$3:$A$1002,"&lt;="&amp;EOMONTH(DATE($B$3,$D$3,1),0)))</f>
        <v/>
      </c>
      <c r="G78" s="13" t="str">
        <f aca="false">IF($A78="","",IF(품목마스터!$F75="",0,품목마스터!$F75)+SUMIFS(입출고내역!$L$3:$L$1002,입출고내역!$C$3:$C$1002,$A78,입출고내역!$A$3:$A$1002,"&lt;="&amp;EOMONTH(DATE($B$3,$D$3,1),0)))</f>
        <v/>
      </c>
      <c r="H78" s="13" t="str">
        <f aca="false">IF($A78="","",IF(품목마스터!$G75="",0,품목마스터!$G75))</f>
        <v/>
      </c>
    </row>
    <row r="79" customFormat="false" ht="15" hidden="false" customHeight="true" outlineLevel="0" collapsed="false">
      <c r="A79" s="12" t="str">
        <f aca="false">IF(품목마스터!$A76="","",품목마스터!$A76)</f>
        <v/>
      </c>
      <c r="B79" s="12" t="str">
        <f aca="false">IF($A79="","",품목마스터!$B76)</f>
        <v/>
      </c>
      <c r="C79" s="12" t="str">
        <f aca="false">IF($A79="","",품목마스터!$D76)</f>
        <v/>
      </c>
      <c r="D79" s="13" t="str">
        <f aca="false">IF($A79="","",IF(품목마스터!$F76="",0,품목마스터!$F76)+SUMIFS(입출고내역!$L$3:$L$1002,입출고내역!$C$3:$C$1002,$A79,입출고내역!$A$3:$A$1002,"&lt;"&amp;DATE($B$3,$D$3,1)))</f>
        <v/>
      </c>
      <c r="E79" s="13" t="str">
        <f aca="false">IF($A79="","",SUMIFS(입출고내역!$G$3:$G$1002,입출고내역!$C$3:$C$1002,$A79,입출고내역!$B$3:$B$1002,"입고",입출고내역!$A$3:$A$1002,"&gt;="&amp;DATE($B$3,$D$3,1),입출고내역!$A$3:$A$1002,"&lt;="&amp;EOMONTH(DATE($B$3,$D$3,1),0)))</f>
        <v/>
      </c>
      <c r="F79" s="13" t="str">
        <f aca="false">IF($A79="","",SUMIFS(입출고내역!$G$3:$G$1002,입출고내역!$C$3:$C$1002,$A79,입출고내역!$B$3:$B$1002,"출고",입출고내역!$A$3:$A$1002,"&gt;="&amp;DATE($B$3,$D$3,1),입출고내역!$A$3:$A$1002,"&lt;="&amp;EOMONTH(DATE($B$3,$D$3,1),0)))</f>
        <v/>
      </c>
      <c r="G79" s="13" t="str">
        <f aca="false">IF($A79="","",IF(품목마스터!$F76="",0,품목마스터!$F76)+SUMIFS(입출고내역!$L$3:$L$1002,입출고내역!$C$3:$C$1002,$A79,입출고내역!$A$3:$A$1002,"&lt;="&amp;EOMONTH(DATE($B$3,$D$3,1),0)))</f>
        <v/>
      </c>
      <c r="H79" s="13" t="str">
        <f aca="false">IF($A79="","",IF(품목마스터!$G76="",0,품목마스터!$G76))</f>
        <v/>
      </c>
    </row>
    <row r="80" customFormat="false" ht="15" hidden="false" customHeight="true" outlineLevel="0" collapsed="false">
      <c r="A80" s="12" t="str">
        <f aca="false">IF(품목마스터!$A77="","",품목마스터!$A77)</f>
        <v/>
      </c>
      <c r="B80" s="12" t="str">
        <f aca="false">IF($A80="","",품목마스터!$B77)</f>
        <v/>
      </c>
      <c r="C80" s="12" t="str">
        <f aca="false">IF($A80="","",품목마스터!$D77)</f>
        <v/>
      </c>
      <c r="D80" s="13" t="str">
        <f aca="false">IF($A80="","",IF(품목마스터!$F77="",0,품목마스터!$F77)+SUMIFS(입출고내역!$L$3:$L$1002,입출고내역!$C$3:$C$1002,$A80,입출고내역!$A$3:$A$1002,"&lt;"&amp;DATE($B$3,$D$3,1)))</f>
        <v/>
      </c>
      <c r="E80" s="13" t="str">
        <f aca="false">IF($A80="","",SUMIFS(입출고내역!$G$3:$G$1002,입출고내역!$C$3:$C$1002,$A80,입출고내역!$B$3:$B$1002,"입고",입출고내역!$A$3:$A$1002,"&gt;="&amp;DATE($B$3,$D$3,1),입출고내역!$A$3:$A$1002,"&lt;="&amp;EOMONTH(DATE($B$3,$D$3,1),0)))</f>
        <v/>
      </c>
      <c r="F80" s="13" t="str">
        <f aca="false">IF($A80="","",SUMIFS(입출고내역!$G$3:$G$1002,입출고내역!$C$3:$C$1002,$A80,입출고내역!$B$3:$B$1002,"출고",입출고내역!$A$3:$A$1002,"&gt;="&amp;DATE($B$3,$D$3,1),입출고내역!$A$3:$A$1002,"&lt;="&amp;EOMONTH(DATE($B$3,$D$3,1),0)))</f>
        <v/>
      </c>
      <c r="G80" s="13" t="str">
        <f aca="false">IF($A80="","",IF(품목마스터!$F77="",0,품목마스터!$F77)+SUMIFS(입출고내역!$L$3:$L$1002,입출고내역!$C$3:$C$1002,$A80,입출고내역!$A$3:$A$1002,"&lt;="&amp;EOMONTH(DATE($B$3,$D$3,1),0)))</f>
        <v/>
      </c>
      <c r="H80" s="13" t="str">
        <f aca="false">IF($A80="","",IF(품목마스터!$G77="",0,품목마스터!$G77))</f>
        <v/>
      </c>
    </row>
    <row r="81" customFormat="false" ht="15" hidden="false" customHeight="true" outlineLevel="0" collapsed="false">
      <c r="A81" s="12" t="str">
        <f aca="false">IF(품목마스터!$A78="","",품목마스터!$A78)</f>
        <v/>
      </c>
      <c r="B81" s="12" t="str">
        <f aca="false">IF($A81="","",품목마스터!$B78)</f>
        <v/>
      </c>
      <c r="C81" s="12" t="str">
        <f aca="false">IF($A81="","",품목마스터!$D78)</f>
        <v/>
      </c>
      <c r="D81" s="13" t="str">
        <f aca="false">IF($A81="","",IF(품목마스터!$F78="",0,품목마스터!$F78)+SUMIFS(입출고내역!$L$3:$L$1002,입출고내역!$C$3:$C$1002,$A81,입출고내역!$A$3:$A$1002,"&lt;"&amp;DATE($B$3,$D$3,1)))</f>
        <v/>
      </c>
      <c r="E81" s="13" t="str">
        <f aca="false">IF($A81="","",SUMIFS(입출고내역!$G$3:$G$1002,입출고내역!$C$3:$C$1002,$A81,입출고내역!$B$3:$B$1002,"입고",입출고내역!$A$3:$A$1002,"&gt;="&amp;DATE($B$3,$D$3,1),입출고내역!$A$3:$A$1002,"&lt;="&amp;EOMONTH(DATE($B$3,$D$3,1),0)))</f>
        <v/>
      </c>
      <c r="F81" s="13" t="str">
        <f aca="false">IF($A81="","",SUMIFS(입출고내역!$G$3:$G$1002,입출고내역!$C$3:$C$1002,$A81,입출고내역!$B$3:$B$1002,"출고",입출고내역!$A$3:$A$1002,"&gt;="&amp;DATE($B$3,$D$3,1),입출고내역!$A$3:$A$1002,"&lt;="&amp;EOMONTH(DATE($B$3,$D$3,1),0)))</f>
        <v/>
      </c>
      <c r="G81" s="13" t="str">
        <f aca="false">IF($A81="","",IF(품목마스터!$F78="",0,품목마스터!$F78)+SUMIFS(입출고내역!$L$3:$L$1002,입출고내역!$C$3:$C$1002,$A81,입출고내역!$A$3:$A$1002,"&lt;="&amp;EOMONTH(DATE($B$3,$D$3,1),0)))</f>
        <v/>
      </c>
      <c r="H81" s="13" t="str">
        <f aca="false">IF($A81="","",IF(품목마스터!$G78="",0,품목마스터!$G78))</f>
        <v/>
      </c>
    </row>
    <row r="82" customFormat="false" ht="15" hidden="false" customHeight="true" outlineLevel="0" collapsed="false">
      <c r="A82" s="12" t="str">
        <f aca="false">IF(품목마스터!$A79="","",품목마스터!$A79)</f>
        <v/>
      </c>
      <c r="B82" s="12" t="str">
        <f aca="false">IF($A82="","",품목마스터!$B79)</f>
        <v/>
      </c>
      <c r="C82" s="12" t="str">
        <f aca="false">IF($A82="","",품목마스터!$D79)</f>
        <v/>
      </c>
      <c r="D82" s="13" t="str">
        <f aca="false">IF($A82="","",IF(품목마스터!$F79="",0,품목마스터!$F79)+SUMIFS(입출고내역!$L$3:$L$1002,입출고내역!$C$3:$C$1002,$A82,입출고내역!$A$3:$A$1002,"&lt;"&amp;DATE($B$3,$D$3,1)))</f>
        <v/>
      </c>
      <c r="E82" s="13" t="str">
        <f aca="false">IF($A82="","",SUMIFS(입출고내역!$G$3:$G$1002,입출고내역!$C$3:$C$1002,$A82,입출고내역!$B$3:$B$1002,"입고",입출고내역!$A$3:$A$1002,"&gt;="&amp;DATE($B$3,$D$3,1),입출고내역!$A$3:$A$1002,"&lt;="&amp;EOMONTH(DATE($B$3,$D$3,1),0)))</f>
        <v/>
      </c>
      <c r="F82" s="13" t="str">
        <f aca="false">IF($A82="","",SUMIFS(입출고내역!$G$3:$G$1002,입출고내역!$C$3:$C$1002,$A82,입출고내역!$B$3:$B$1002,"출고",입출고내역!$A$3:$A$1002,"&gt;="&amp;DATE($B$3,$D$3,1),입출고내역!$A$3:$A$1002,"&lt;="&amp;EOMONTH(DATE($B$3,$D$3,1),0)))</f>
        <v/>
      </c>
      <c r="G82" s="13" t="str">
        <f aca="false">IF($A82="","",IF(품목마스터!$F79="",0,품목마스터!$F79)+SUMIFS(입출고내역!$L$3:$L$1002,입출고내역!$C$3:$C$1002,$A82,입출고내역!$A$3:$A$1002,"&lt;="&amp;EOMONTH(DATE($B$3,$D$3,1),0)))</f>
        <v/>
      </c>
      <c r="H82" s="13" t="str">
        <f aca="false">IF($A82="","",IF(품목마스터!$G79="",0,품목마스터!$G79))</f>
        <v/>
      </c>
    </row>
    <row r="83" customFormat="false" ht="15" hidden="false" customHeight="true" outlineLevel="0" collapsed="false">
      <c r="A83" s="12" t="str">
        <f aca="false">IF(품목마스터!$A80="","",품목마스터!$A80)</f>
        <v/>
      </c>
      <c r="B83" s="12" t="str">
        <f aca="false">IF($A83="","",품목마스터!$B80)</f>
        <v/>
      </c>
      <c r="C83" s="12" t="str">
        <f aca="false">IF($A83="","",품목마스터!$D80)</f>
        <v/>
      </c>
      <c r="D83" s="13" t="str">
        <f aca="false">IF($A83="","",IF(품목마스터!$F80="",0,품목마스터!$F80)+SUMIFS(입출고내역!$L$3:$L$1002,입출고내역!$C$3:$C$1002,$A83,입출고내역!$A$3:$A$1002,"&lt;"&amp;DATE($B$3,$D$3,1)))</f>
        <v/>
      </c>
      <c r="E83" s="13" t="str">
        <f aca="false">IF($A83="","",SUMIFS(입출고내역!$G$3:$G$1002,입출고내역!$C$3:$C$1002,$A83,입출고내역!$B$3:$B$1002,"입고",입출고내역!$A$3:$A$1002,"&gt;="&amp;DATE($B$3,$D$3,1),입출고내역!$A$3:$A$1002,"&lt;="&amp;EOMONTH(DATE($B$3,$D$3,1),0)))</f>
        <v/>
      </c>
      <c r="F83" s="13" t="str">
        <f aca="false">IF($A83="","",SUMIFS(입출고내역!$G$3:$G$1002,입출고내역!$C$3:$C$1002,$A83,입출고내역!$B$3:$B$1002,"출고",입출고내역!$A$3:$A$1002,"&gt;="&amp;DATE($B$3,$D$3,1),입출고내역!$A$3:$A$1002,"&lt;="&amp;EOMONTH(DATE($B$3,$D$3,1),0)))</f>
        <v/>
      </c>
      <c r="G83" s="13" t="str">
        <f aca="false">IF($A83="","",IF(품목마스터!$F80="",0,품목마스터!$F80)+SUMIFS(입출고내역!$L$3:$L$1002,입출고내역!$C$3:$C$1002,$A83,입출고내역!$A$3:$A$1002,"&lt;="&amp;EOMONTH(DATE($B$3,$D$3,1),0)))</f>
        <v/>
      </c>
      <c r="H83" s="13" t="str">
        <f aca="false">IF($A83="","",IF(품목마스터!$G80="",0,품목마스터!$G80))</f>
        <v/>
      </c>
    </row>
    <row r="84" customFormat="false" ht="15" hidden="false" customHeight="true" outlineLevel="0" collapsed="false">
      <c r="A84" s="12" t="str">
        <f aca="false">IF(품목마스터!$A81="","",품목마스터!$A81)</f>
        <v/>
      </c>
      <c r="B84" s="12" t="str">
        <f aca="false">IF($A84="","",품목마스터!$B81)</f>
        <v/>
      </c>
      <c r="C84" s="12" t="str">
        <f aca="false">IF($A84="","",품목마스터!$D81)</f>
        <v/>
      </c>
      <c r="D84" s="13" t="str">
        <f aca="false">IF($A84="","",IF(품목마스터!$F81="",0,품목마스터!$F81)+SUMIFS(입출고내역!$L$3:$L$1002,입출고내역!$C$3:$C$1002,$A84,입출고내역!$A$3:$A$1002,"&lt;"&amp;DATE($B$3,$D$3,1)))</f>
        <v/>
      </c>
      <c r="E84" s="13" t="str">
        <f aca="false">IF($A84="","",SUMIFS(입출고내역!$G$3:$G$1002,입출고내역!$C$3:$C$1002,$A84,입출고내역!$B$3:$B$1002,"입고",입출고내역!$A$3:$A$1002,"&gt;="&amp;DATE($B$3,$D$3,1),입출고내역!$A$3:$A$1002,"&lt;="&amp;EOMONTH(DATE($B$3,$D$3,1),0)))</f>
        <v/>
      </c>
      <c r="F84" s="13" t="str">
        <f aca="false">IF($A84="","",SUMIFS(입출고내역!$G$3:$G$1002,입출고내역!$C$3:$C$1002,$A84,입출고내역!$B$3:$B$1002,"출고",입출고내역!$A$3:$A$1002,"&gt;="&amp;DATE($B$3,$D$3,1),입출고내역!$A$3:$A$1002,"&lt;="&amp;EOMONTH(DATE($B$3,$D$3,1),0)))</f>
        <v/>
      </c>
      <c r="G84" s="13" t="str">
        <f aca="false">IF($A84="","",IF(품목마스터!$F81="",0,품목마스터!$F81)+SUMIFS(입출고내역!$L$3:$L$1002,입출고내역!$C$3:$C$1002,$A84,입출고내역!$A$3:$A$1002,"&lt;="&amp;EOMONTH(DATE($B$3,$D$3,1),0)))</f>
        <v/>
      </c>
      <c r="H84" s="13" t="str">
        <f aca="false">IF($A84="","",IF(품목마스터!$G81="",0,품목마스터!$G81))</f>
        <v/>
      </c>
    </row>
    <row r="85" customFormat="false" ht="15" hidden="false" customHeight="true" outlineLevel="0" collapsed="false">
      <c r="A85" s="12" t="str">
        <f aca="false">IF(품목마스터!$A82="","",품목마스터!$A82)</f>
        <v/>
      </c>
      <c r="B85" s="12" t="str">
        <f aca="false">IF($A85="","",품목마스터!$B82)</f>
        <v/>
      </c>
      <c r="C85" s="12" t="str">
        <f aca="false">IF($A85="","",품목마스터!$D82)</f>
        <v/>
      </c>
      <c r="D85" s="13" t="str">
        <f aca="false">IF($A85="","",IF(품목마스터!$F82="",0,품목마스터!$F82)+SUMIFS(입출고내역!$L$3:$L$1002,입출고내역!$C$3:$C$1002,$A85,입출고내역!$A$3:$A$1002,"&lt;"&amp;DATE($B$3,$D$3,1)))</f>
        <v/>
      </c>
      <c r="E85" s="13" t="str">
        <f aca="false">IF($A85="","",SUMIFS(입출고내역!$G$3:$G$1002,입출고내역!$C$3:$C$1002,$A85,입출고내역!$B$3:$B$1002,"입고",입출고내역!$A$3:$A$1002,"&gt;="&amp;DATE($B$3,$D$3,1),입출고내역!$A$3:$A$1002,"&lt;="&amp;EOMONTH(DATE($B$3,$D$3,1),0)))</f>
        <v/>
      </c>
      <c r="F85" s="13" t="str">
        <f aca="false">IF($A85="","",SUMIFS(입출고내역!$G$3:$G$1002,입출고내역!$C$3:$C$1002,$A85,입출고내역!$B$3:$B$1002,"출고",입출고내역!$A$3:$A$1002,"&gt;="&amp;DATE($B$3,$D$3,1),입출고내역!$A$3:$A$1002,"&lt;="&amp;EOMONTH(DATE($B$3,$D$3,1),0)))</f>
        <v/>
      </c>
      <c r="G85" s="13" t="str">
        <f aca="false">IF($A85="","",IF(품목마스터!$F82="",0,품목마스터!$F82)+SUMIFS(입출고내역!$L$3:$L$1002,입출고내역!$C$3:$C$1002,$A85,입출고내역!$A$3:$A$1002,"&lt;="&amp;EOMONTH(DATE($B$3,$D$3,1),0)))</f>
        <v/>
      </c>
      <c r="H85" s="13" t="str">
        <f aca="false">IF($A85="","",IF(품목마스터!$G82="",0,품목마스터!$G82))</f>
        <v/>
      </c>
    </row>
    <row r="86" customFormat="false" ht="15" hidden="false" customHeight="true" outlineLevel="0" collapsed="false">
      <c r="A86" s="12" t="str">
        <f aca="false">IF(품목마스터!$A83="","",품목마스터!$A83)</f>
        <v/>
      </c>
      <c r="B86" s="12" t="str">
        <f aca="false">IF($A86="","",품목마스터!$B83)</f>
        <v/>
      </c>
      <c r="C86" s="12" t="str">
        <f aca="false">IF($A86="","",품목마스터!$D83)</f>
        <v/>
      </c>
      <c r="D86" s="13" t="str">
        <f aca="false">IF($A86="","",IF(품목마스터!$F83="",0,품목마스터!$F83)+SUMIFS(입출고내역!$L$3:$L$1002,입출고내역!$C$3:$C$1002,$A86,입출고내역!$A$3:$A$1002,"&lt;"&amp;DATE($B$3,$D$3,1)))</f>
        <v/>
      </c>
      <c r="E86" s="13" t="str">
        <f aca="false">IF($A86="","",SUMIFS(입출고내역!$G$3:$G$1002,입출고내역!$C$3:$C$1002,$A86,입출고내역!$B$3:$B$1002,"입고",입출고내역!$A$3:$A$1002,"&gt;="&amp;DATE($B$3,$D$3,1),입출고내역!$A$3:$A$1002,"&lt;="&amp;EOMONTH(DATE($B$3,$D$3,1),0)))</f>
        <v/>
      </c>
      <c r="F86" s="13" t="str">
        <f aca="false">IF($A86="","",SUMIFS(입출고내역!$G$3:$G$1002,입출고내역!$C$3:$C$1002,$A86,입출고내역!$B$3:$B$1002,"출고",입출고내역!$A$3:$A$1002,"&gt;="&amp;DATE($B$3,$D$3,1),입출고내역!$A$3:$A$1002,"&lt;="&amp;EOMONTH(DATE($B$3,$D$3,1),0)))</f>
        <v/>
      </c>
      <c r="G86" s="13" t="str">
        <f aca="false">IF($A86="","",IF(품목마스터!$F83="",0,품목마스터!$F83)+SUMIFS(입출고내역!$L$3:$L$1002,입출고내역!$C$3:$C$1002,$A86,입출고내역!$A$3:$A$1002,"&lt;="&amp;EOMONTH(DATE($B$3,$D$3,1),0)))</f>
        <v/>
      </c>
      <c r="H86" s="13" t="str">
        <f aca="false">IF($A86="","",IF(품목마스터!$G83="",0,품목마스터!$G83))</f>
        <v/>
      </c>
    </row>
    <row r="87" customFormat="false" ht="15" hidden="false" customHeight="true" outlineLevel="0" collapsed="false">
      <c r="A87" s="12" t="str">
        <f aca="false">IF(품목마스터!$A84="","",품목마스터!$A84)</f>
        <v/>
      </c>
      <c r="B87" s="12" t="str">
        <f aca="false">IF($A87="","",품목마스터!$B84)</f>
        <v/>
      </c>
      <c r="C87" s="12" t="str">
        <f aca="false">IF($A87="","",품목마스터!$D84)</f>
        <v/>
      </c>
      <c r="D87" s="13" t="str">
        <f aca="false">IF($A87="","",IF(품목마스터!$F84="",0,품목마스터!$F84)+SUMIFS(입출고내역!$L$3:$L$1002,입출고내역!$C$3:$C$1002,$A87,입출고내역!$A$3:$A$1002,"&lt;"&amp;DATE($B$3,$D$3,1)))</f>
        <v/>
      </c>
      <c r="E87" s="13" t="str">
        <f aca="false">IF($A87="","",SUMIFS(입출고내역!$G$3:$G$1002,입출고내역!$C$3:$C$1002,$A87,입출고내역!$B$3:$B$1002,"입고",입출고내역!$A$3:$A$1002,"&gt;="&amp;DATE($B$3,$D$3,1),입출고내역!$A$3:$A$1002,"&lt;="&amp;EOMONTH(DATE($B$3,$D$3,1),0)))</f>
        <v/>
      </c>
      <c r="F87" s="13" t="str">
        <f aca="false">IF($A87="","",SUMIFS(입출고내역!$G$3:$G$1002,입출고내역!$C$3:$C$1002,$A87,입출고내역!$B$3:$B$1002,"출고",입출고내역!$A$3:$A$1002,"&gt;="&amp;DATE($B$3,$D$3,1),입출고내역!$A$3:$A$1002,"&lt;="&amp;EOMONTH(DATE($B$3,$D$3,1),0)))</f>
        <v/>
      </c>
      <c r="G87" s="13" t="str">
        <f aca="false">IF($A87="","",IF(품목마스터!$F84="",0,품목마스터!$F84)+SUMIFS(입출고내역!$L$3:$L$1002,입출고내역!$C$3:$C$1002,$A87,입출고내역!$A$3:$A$1002,"&lt;="&amp;EOMONTH(DATE($B$3,$D$3,1),0)))</f>
        <v/>
      </c>
      <c r="H87" s="13" t="str">
        <f aca="false">IF($A87="","",IF(품목마스터!$G84="",0,품목마스터!$G84))</f>
        <v/>
      </c>
    </row>
    <row r="88" customFormat="false" ht="15" hidden="false" customHeight="true" outlineLevel="0" collapsed="false">
      <c r="A88" s="12" t="str">
        <f aca="false">IF(품목마스터!$A85="","",품목마스터!$A85)</f>
        <v/>
      </c>
      <c r="B88" s="12" t="str">
        <f aca="false">IF($A88="","",품목마스터!$B85)</f>
        <v/>
      </c>
      <c r="C88" s="12" t="str">
        <f aca="false">IF($A88="","",품목마스터!$D85)</f>
        <v/>
      </c>
      <c r="D88" s="13" t="str">
        <f aca="false">IF($A88="","",IF(품목마스터!$F85="",0,품목마스터!$F85)+SUMIFS(입출고내역!$L$3:$L$1002,입출고내역!$C$3:$C$1002,$A88,입출고내역!$A$3:$A$1002,"&lt;"&amp;DATE($B$3,$D$3,1)))</f>
        <v/>
      </c>
      <c r="E88" s="13" t="str">
        <f aca="false">IF($A88="","",SUMIFS(입출고내역!$G$3:$G$1002,입출고내역!$C$3:$C$1002,$A88,입출고내역!$B$3:$B$1002,"입고",입출고내역!$A$3:$A$1002,"&gt;="&amp;DATE($B$3,$D$3,1),입출고내역!$A$3:$A$1002,"&lt;="&amp;EOMONTH(DATE($B$3,$D$3,1),0)))</f>
        <v/>
      </c>
      <c r="F88" s="13" t="str">
        <f aca="false">IF($A88="","",SUMIFS(입출고내역!$G$3:$G$1002,입출고내역!$C$3:$C$1002,$A88,입출고내역!$B$3:$B$1002,"출고",입출고내역!$A$3:$A$1002,"&gt;="&amp;DATE($B$3,$D$3,1),입출고내역!$A$3:$A$1002,"&lt;="&amp;EOMONTH(DATE($B$3,$D$3,1),0)))</f>
        <v/>
      </c>
      <c r="G88" s="13" t="str">
        <f aca="false">IF($A88="","",IF(품목마스터!$F85="",0,품목마스터!$F85)+SUMIFS(입출고내역!$L$3:$L$1002,입출고내역!$C$3:$C$1002,$A88,입출고내역!$A$3:$A$1002,"&lt;="&amp;EOMONTH(DATE($B$3,$D$3,1),0)))</f>
        <v/>
      </c>
      <c r="H88" s="13" t="str">
        <f aca="false">IF($A88="","",IF(품목마스터!$G85="",0,품목마스터!$G85))</f>
        <v/>
      </c>
    </row>
    <row r="89" customFormat="false" ht="15" hidden="false" customHeight="true" outlineLevel="0" collapsed="false">
      <c r="A89" s="12" t="str">
        <f aca="false">IF(품목마스터!$A86="","",품목마스터!$A86)</f>
        <v/>
      </c>
      <c r="B89" s="12" t="str">
        <f aca="false">IF($A89="","",품목마스터!$B86)</f>
        <v/>
      </c>
      <c r="C89" s="12" t="str">
        <f aca="false">IF($A89="","",품목마스터!$D86)</f>
        <v/>
      </c>
      <c r="D89" s="13" t="str">
        <f aca="false">IF($A89="","",IF(품목마스터!$F86="",0,품목마스터!$F86)+SUMIFS(입출고내역!$L$3:$L$1002,입출고내역!$C$3:$C$1002,$A89,입출고내역!$A$3:$A$1002,"&lt;"&amp;DATE($B$3,$D$3,1)))</f>
        <v/>
      </c>
      <c r="E89" s="13" t="str">
        <f aca="false">IF($A89="","",SUMIFS(입출고내역!$G$3:$G$1002,입출고내역!$C$3:$C$1002,$A89,입출고내역!$B$3:$B$1002,"입고",입출고내역!$A$3:$A$1002,"&gt;="&amp;DATE($B$3,$D$3,1),입출고내역!$A$3:$A$1002,"&lt;="&amp;EOMONTH(DATE($B$3,$D$3,1),0)))</f>
        <v/>
      </c>
      <c r="F89" s="13" t="str">
        <f aca="false">IF($A89="","",SUMIFS(입출고내역!$G$3:$G$1002,입출고내역!$C$3:$C$1002,$A89,입출고내역!$B$3:$B$1002,"출고",입출고내역!$A$3:$A$1002,"&gt;="&amp;DATE($B$3,$D$3,1),입출고내역!$A$3:$A$1002,"&lt;="&amp;EOMONTH(DATE($B$3,$D$3,1),0)))</f>
        <v/>
      </c>
      <c r="G89" s="13" t="str">
        <f aca="false">IF($A89="","",IF(품목마스터!$F86="",0,품목마스터!$F86)+SUMIFS(입출고내역!$L$3:$L$1002,입출고내역!$C$3:$C$1002,$A89,입출고내역!$A$3:$A$1002,"&lt;="&amp;EOMONTH(DATE($B$3,$D$3,1),0)))</f>
        <v/>
      </c>
      <c r="H89" s="13" t="str">
        <f aca="false">IF($A89="","",IF(품목마스터!$G86="",0,품목마스터!$G86))</f>
        <v/>
      </c>
    </row>
    <row r="90" customFormat="false" ht="15" hidden="false" customHeight="true" outlineLevel="0" collapsed="false">
      <c r="A90" s="12" t="str">
        <f aca="false">IF(품목마스터!$A87="","",품목마스터!$A87)</f>
        <v/>
      </c>
      <c r="B90" s="12" t="str">
        <f aca="false">IF($A90="","",품목마스터!$B87)</f>
        <v/>
      </c>
      <c r="C90" s="12" t="str">
        <f aca="false">IF($A90="","",품목마스터!$D87)</f>
        <v/>
      </c>
      <c r="D90" s="13" t="str">
        <f aca="false">IF($A90="","",IF(품목마스터!$F87="",0,품목마스터!$F87)+SUMIFS(입출고내역!$L$3:$L$1002,입출고내역!$C$3:$C$1002,$A90,입출고내역!$A$3:$A$1002,"&lt;"&amp;DATE($B$3,$D$3,1)))</f>
        <v/>
      </c>
      <c r="E90" s="13" t="str">
        <f aca="false">IF($A90="","",SUMIFS(입출고내역!$G$3:$G$1002,입출고내역!$C$3:$C$1002,$A90,입출고내역!$B$3:$B$1002,"입고",입출고내역!$A$3:$A$1002,"&gt;="&amp;DATE($B$3,$D$3,1),입출고내역!$A$3:$A$1002,"&lt;="&amp;EOMONTH(DATE($B$3,$D$3,1),0)))</f>
        <v/>
      </c>
      <c r="F90" s="13" t="str">
        <f aca="false">IF($A90="","",SUMIFS(입출고내역!$G$3:$G$1002,입출고내역!$C$3:$C$1002,$A90,입출고내역!$B$3:$B$1002,"출고",입출고내역!$A$3:$A$1002,"&gt;="&amp;DATE($B$3,$D$3,1),입출고내역!$A$3:$A$1002,"&lt;="&amp;EOMONTH(DATE($B$3,$D$3,1),0)))</f>
        <v/>
      </c>
      <c r="G90" s="13" t="str">
        <f aca="false">IF($A90="","",IF(품목마스터!$F87="",0,품목마스터!$F87)+SUMIFS(입출고내역!$L$3:$L$1002,입출고내역!$C$3:$C$1002,$A90,입출고내역!$A$3:$A$1002,"&lt;="&amp;EOMONTH(DATE($B$3,$D$3,1),0)))</f>
        <v/>
      </c>
      <c r="H90" s="13" t="str">
        <f aca="false">IF($A90="","",IF(품목마스터!$G87="",0,품목마스터!$G87))</f>
        <v/>
      </c>
    </row>
    <row r="91" customFormat="false" ht="15" hidden="false" customHeight="true" outlineLevel="0" collapsed="false">
      <c r="A91" s="12" t="str">
        <f aca="false">IF(품목마스터!$A88="","",품목마스터!$A88)</f>
        <v/>
      </c>
      <c r="B91" s="12" t="str">
        <f aca="false">IF($A91="","",품목마스터!$B88)</f>
        <v/>
      </c>
      <c r="C91" s="12" t="str">
        <f aca="false">IF($A91="","",품목마스터!$D88)</f>
        <v/>
      </c>
      <c r="D91" s="13" t="str">
        <f aca="false">IF($A91="","",IF(품목마스터!$F88="",0,품목마스터!$F88)+SUMIFS(입출고내역!$L$3:$L$1002,입출고내역!$C$3:$C$1002,$A91,입출고내역!$A$3:$A$1002,"&lt;"&amp;DATE($B$3,$D$3,1)))</f>
        <v/>
      </c>
      <c r="E91" s="13" t="str">
        <f aca="false">IF($A91="","",SUMIFS(입출고내역!$G$3:$G$1002,입출고내역!$C$3:$C$1002,$A91,입출고내역!$B$3:$B$1002,"입고",입출고내역!$A$3:$A$1002,"&gt;="&amp;DATE($B$3,$D$3,1),입출고내역!$A$3:$A$1002,"&lt;="&amp;EOMONTH(DATE($B$3,$D$3,1),0)))</f>
        <v/>
      </c>
      <c r="F91" s="13" t="str">
        <f aca="false">IF($A91="","",SUMIFS(입출고내역!$G$3:$G$1002,입출고내역!$C$3:$C$1002,$A91,입출고내역!$B$3:$B$1002,"출고",입출고내역!$A$3:$A$1002,"&gt;="&amp;DATE($B$3,$D$3,1),입출고내역!$A$3:$A$1002,"&lt;="&amp;EOMONTH(DATE($B$3,$D$3,1),0)))</f>
        <v/>
      </c>
      <c r="G91" s="13" t="str">
        <f aca="false">IF($A91="","",IF(품목마스터!$F88="",0,품목마스터!$F88)+SUMIFS(입출고내역!$L$3:$L$1002,입출고내역!$C$3:$C$1002,$A91,입출고내역!$A$3:$A$1002,"&lt;="&amp;EOMONTH(DATE($B$3,$D$3,1),0)))</f>
        <v/>
      </c>
      <c r="H91" s="13" t="str">
        <f aca="false">IF($A91="","",IF(품목마스터!$G88="",0,품목마스터!$G88))</f>
        <v/>
      </c>
    </row>
    <row r="92" customFormat="false" ht="15" hidden="false" customHeight="true" outlineLevel="0" collapsed="false">
      <c r="A92" s="12" t="str">
        <f aca="false">IF(품목마스터!$A89="","",품목마스터!$A89)</f>
        <v/>
      </c>
      <c r="B92" s="12" t="str">
        <f aca="false">IF($A92="","",품목마스터!$B89)</f>
        <v/>
      </c>
      <c r="C92" s="12" t="str">
        <f aca="false">IF($A92="","",품목마스터!$D89)</f>
        <v/>
      </c>
      <c r="D92" s="13" t="str">
        <f aca="false">IF($A92="","",IF(품목마스터!$F89="",0,품목마스터!$F89)+SUMIFS(입출고내역!$L$3:$L$1002,입출고내역!$C$3:$C$1002,$A92,입출고내역!$A$3:$A$1002,"&lt;"&amp;DATE($B$3,$D$3,1)))</f>
        <v/>
      </c>
      <c r="E92" s="13" t="str">
        <f aca="false">IF($A92="","",SUMIFS(입출고내역!$G$3:$G$1002,입출고내역!$C$3:$C$1002,$A92,입출고내역!$B$3:$B$1002,"입고",입출고내역!$A$3:$A$1002,"&gt;="&amp;DATE($B$3,$D$3,1),입출고내역!$A$3:$A$1002,"&lt;="&amp;EOMONTH(DATE($B$3,$D$3,1),0)))</f>
        <v/>
      </c>
      <c r="F92" s="13" t="str">
        <f aca="false">IF($A92="","",SUMIFS(입출고내역!$G$3:$G$1002,입출고내역!$C$3:$C$1002,$A92,입출고내역!$B$3:$B$1002,"출고",입출고내역!$A$3:$A$1002,"&gt;="&amp;DATE($B$3,$D$3,1),입출고내역!$A$3:$A$1002,"&lt;="&amp;EOMONTH(DATE($B$3,$D$3,1),0)))</f>
        <v/>
      </c>
      <c r="G92" s="13" t="str">
        <f aca="false">IF($A92="","",IF(품목마스터!$F89="",0,품목마스터!$F89)+SUMIFS(입출고내역!$L$3:$L$1002,입출고내역!$C$3:$C$1002,$A92,입출고내역!$A$3:$A$1002,"&lt;="&amp;EOMONTH(DATE($B$3,$D$3,1),0)))</f>
        <v/>
      </c>
      <c r="H92" s="13" t="str">
        <f aca="false">IF($A92="","",IF(품목마스터!$G89="",0,품목마스터!$G89))</f>
        <v/>
      </c>
    </row>
    <row r="93" customFormat="false" ht="15" hidden="false" customHeight="true" outlineLevel="0" collapsed="false">
      <c r="A93" s="12" t="str">
        <f aca="false">IF(품목마스터!$A90="","",품목마스터!$A90)</f>
        <v/>
      </c>
      <c r="B93" s="12" t="str">
        <f aca="false">IF($A93="","",품목마스터!$B90)</f>
        <v/>
      </c>
      <c r="C93" s="12" t="str">
        <f aca="false">IF($A93="","",품목마스터!$D90)</f>
        <v/>
      </c>
      <c r="D93" s="13" t="str">
        <f aca="false">IF($A93="","",IF(품목마스터!$F90="",0,품목마스터!$F90)+SUMIFS(입출고내역!$L$3:$L$1002,입출고내역!$C$3:$C$1002,$A93,입출고내역!$A$3:$A$1002,"&lt;"&amp;DATE($B$3,$D$3,1)))</f>
        <v/>
      </c>
      <c r="E93" s="13" t="str">
        <f aca="false">IF($A93="","",SUMIFS(입출고내역!$G$3:$G$1002,입출고내역!$C$3:$C$1002,$A93,입출고내역!$B$3:$B$1002,"입고",입출고내역!$A$3:$A$1002,"&gt;="&amp;DATE($B$3,$D$3,1),입출고내역!$A$3:$A$1002,"&lt;="&amp;EOMONTH(DATE($B$3,$D$3,1),0)))</f>
        <v/>
      </c>
      <c r="F93" s="13" t="str">
        <f aca="false">IF($A93="","",SUMIFS(입출고내역!$G$3:$G$1002,입출고내역!$C$3:$C$1002,$A93,입출고내역!$B$3:$B$1002,"출고",입출고내역!$A$3:$A$1002,"&gt;="&amp;DATE($B$3,$D$3,1),입출고내역!$A$3:$A$1002,"&lt;="&amp;EOMONTH(DATE($B$3,$D$3,1),0)))</f>
        <v/>
      </c>
      <c r="G93" s="13" t="str">
        <f aca="false">IF($A93="","",IF(품목마스터!$F90="",0,품목마스터!$F90)+SUMIFS(입출고내역!$L$3:$L$1002,입출고내역!$C$3:$C$1002,$A93,입출고내역!$A$3:$A$1002,"&lt;="&amp;EOMONTH(DATE($B$3,$D$3,1),0)))</f>
        <v/>
      </c>
      <c r="H93" s="13" t="str">
        <f aca="false">IF($A93="","",IF(품목마스터!$G90="",0,품목마스터!$G90))</f>
        <v/>
      </c>
    </row>
    <row r="94" customFormat="false" ht="15" hidden="false" customHeight="true" outlineLevel="0" collapsed="false">
      <c r="A94" s="12" t="str">
        <f aca="false">IF(품목마스터!$A91="","",품목마스터!$A91)</f>
        <v/>
      </c>
      <c r="B94" s="12" t="str">
        <f aca="false">IF($A94="","",품목마스터!$B91)</f>
        <v/>
      </c>
      <c r="C94" s="12" t="str">
        <f aca="false">IF($A94="","",품목마스터!$D91)</f>
        <v/>
      </c>
      <c r="D94" s="13" t="str">
        <f aca="false">IF($A94="","",IF(품목마스터!$F91="",0,품목마스터!$F91)+SUMIFS(입출고내역!$L$3:$L$1002,입출고내역!$C$3:$C$1002,$A94,입출고내역!$A$3:$A$1002,"&lt;"&amp;DATE($B$3,$D$3,1)))</f>
        <v/>
      </c>
      <c r="E94" s="13" t="str">
        <f aca="false">IF($A94="","",SUMIFS(입출고내역!$G$3:$G$1002,입출고내역!$C$3:$C$1002,$A94,입출고내역!$B$3:$B$1002,"입고",입출고내역!$A$3:$A$1002,"&gt;="&amp;DATE($B$3,$D$3,1),입출고내역!$A$3:$A$1002,"&lt;="&amp;EOMONTH(DATE($B$3,$D$3,1),0)))</f>
        <v/>
      </c>
      <c r="F94" s="13" t="str">
        <f aca="false">IF($A94="","",SUMIFS(입출고내역!$G$3:$G$1002,입출고내역!$C$3:$C$1002,$A94,입출고내역!$B$3:$B$1002,"출고",입출고내역!$A$3:$A$1002,"&gt;="&amp;DATE($B$3,$D$3,1),입출고내역!$A$3:$A$1002,"&lt;="&amp;EOMONTH(DATE($B$3,$D$3,1),0)))</f>
        <v/>
      </c>
      <c r="G94" s="13" t="str">
        <f aca="false">IF($A94="","",IF(품목마스터!$F91="",0,품목마스터!$F91)+SUMIFS(입출고내역!$L$3:$L$1002,입출고내역!$C$3:$C$1002,$A94,입출고내역!$A$3:$A$1002,"&lt;="&amp;EOMONTH(DATE($B$3,$D$3,1),0)))</f>
        <v/>
      </c>
      <c r="H94" s="13" t="str">
        <f aca="false">IF($A94="","",IF(품목마스터!$G91="",0,품목마스터!$G91))</f>
        <v/>
      </c>
    </row>
    <row r="95" customFormat="false" ht="15" hidden="false" customHeight="true" outlineLevel="0" collapsed="false">
      <c r="A95" s="12" t="str">
        <f aca="false">IF(품목마스터!$A92="","",품목마스터!$A92)</f>
        <v/>
      </c>
      <c r="B95" s="12" t="str">
        <f aca="false">IF($A95="","",품목마스터!$B92)</f>
        <v/>
      </c>
      <c r="C95" s="12" t="str">
        <f aca="false">IF($A95="","",품목마스터!$D92)</f>
        <v/>
      </c>
      <c r="D95" s="13" t="str">
        <f aca="false">IF($A95="","",IF(품목마스터!$F92="",0,품목마스터!$F92)+SUMIFS(입출고내역!$L$3:$L$1002,입출고내역!$C$3:$C$1002,$A95,입출고내역!$A$3:$A$1002,"&lt;"&amp;DATE($B$3,$D$3,1)))</f>
        <v/>
      </c>
      <c r="E95" s="13" t="str">
        <f aca="false">IF($A95="","",SUMIFS(입출고내역!$G$3:$G$1002,입출고내역!$C$3:$C$1002,$A95,입출고내역!$B$3:$B$1002,"입고",입출고내역!$A$3:$A$1002,"&gt;="&amp;DATE($B$3,$D$3,1),입출고내역!$A$3:$A$1002,"&lt;="&amp;EOMONTH(DATE($B$3,$D$3,1),0)))</f>
        <v/>
      </c>
      <c r="F95" s="13" t="str">
        <f aca="false">IF($A95="","",SUMIFS(입출고내역!$G$3:$G$1002,입출고내역!$C$3:$C$1002,$A95,입출고내역!$B$3:$B$1002,"출고",입출고내역!$A$3:$A$1002,"&gt;="&amp;DATE($B$3,$D$3,1),입출고내역!$A$3:$A$1002,"&lt;="&amp;EOMONTH(DATE($B$3,$D$3,1),0)))</f>
        <v/>
      </c>
      <c r="G95" s="13" t="str">
        <f aca="false">IF($A95="","",IF(품목마스터!$F92="",0,품목마스터!$F92)+SUMIFS(입출고내역!$L$3:$L$1002,입출고내역!$C$3:$C$1002,$A95,입출고내역!$A$3:$A$1002,"&lt;="&amp;EOMONTH(DATE($B$3,$D$3,1),0)))</f>
        <v/>
      </c>
      <c r="H95" s="13" t="str">
        <f aca="false">IF($A95="","",IF(품목마스터!$G92="",0,품목마스터!$G92))</f>
        <v/>
      </c>
    </row>
    <row r="96" customFormat="false" ht="15" hidden="false" customHeight="true" outlineLevel="0" collapsed="false">
      <c r="A96" s="12" t="str">
        <f aca="false">IF(품목마스터!$A93="","",품목마스터!$A93)</f>
        <v/>
      </c>
      <c r="B96" s="12" t="str">
        <f aca="false">IF($A96="","",품목마스터!$B93)</f>
        <v/>
      </c>
      <c r="C96" s="12" t="str">
        <f aca="false">IF($A96="","",품목마스터!$D93)</f>
        <v/>
      </c>
      <c r="D96" s="13" t="str">
        <f aca="false">IF($A96="","",IF(품목마스터!$F93="",0,품목마스터!$F93)+SUMIFS(입출고내역!$L$3:$L$1002,입출고내역!$C$3:$C$1002,$A96,입출고내역!$A$3:$A$1002,"&lt;"&amp;DATE($B$3,$D$3,1)))</f>
        <v/>
      </c>
      <c r="E96" s="13" t="str">
        <f aca="false">IF($A96="","",SUMIFS(입출고내역!$G$3:$G$1002,입출고내역!$C$3:$C$1002,$A96,입출고내역!$B$3:$B$1002,"입고",입출고내역!$A$3:$A$1002,"&gt;="&amp;DATE($B$3,$D$3,1),입출고내역!$A$3:$A$1002,"&lt;="&amp;EOMONTH(DATE($B$3,$D$3,1),0)))</f>
        <v/>
      </c>
      <c r="F96" s="13" t="str">
        <f aca="false">IF($A96="","",SUMIFS(입출고내역!$G$3:$G$1002,입출고내역!$C$3:$C$1002,$A96,입출고내역!$B$3:$B$1002,"출고",입출고내역!$A$3:$A$1002,"&gt;="&amp;DATE($B$3,$D$3,1),입출고내역!$A$3:$A$1002,"&lt;="&amp;EOMONTH(DATE($B$3,$D$3,1),0)))</f>
        <v/>
      </c>
      <c r="G96" s="13" t="str">
        <f aca="false">IF($A96="","",IF(품목마스터!$F93="",0,품목마스터!$F93)+SUMIFS(입출고내역!$L$3:$L$1002,입출고내역!$C$3:$C$1002,$A96,입출고내역!$A$3:$A$1002,"&lt;="&amp;EOMONTH(DATE($B$3,$D$3,1),0)))</f>
        <v/>
      </c>
      <c r="H96" s="13" t="str">
        <f aca="false">IF($A96="","",IF(품목마스터!$G93="",0,품목마스터!$G93))</f>
        <v/>
      </c>
    </row>
    <row r="97" customFormat="false" ht="15" hidden="false" customHeight="true" outlineLevel="0" collapsed="false">
      <c r="A97" s="12" t="str">
        <f aca="false">IF(품목마스터!$A94="","",품목마스터!$A94)</f>
        <v/>
      </c>
      <c r="B97" s="12" t="str">
        <f aca="false">IF($A97="","",품목마스터!$B94)</f>
        <v/>
      </c>
      <c r="C97" s="12" t="str">
        <f aca="false">IF($A97="","",품목마스터!$D94)</f>
        <v/>
      </c>
      <c r="D97" s="13" t="str">
        <f aca="false">IF($A97="","",IF(품목마스터!$F94="",0,품목마스터!$F94)+SUMIFS(입출고내역!$L$3:$L$1002,입출고내역!$C$3:$C$1002,$A97,입출고내역!$A$3:$A$1002,"&lt;"&amp;DATE($B$3,$D$3,1)))</f>
        <v/>
      </c>
      <c r="E97" s="13" t="str">
        <f aca="false">IF($A97="","",SUMIFS(입출고내역!$G$3:$G$1002,입출고내역!$C$3:$C$1002,$A97,입출고내역!$B$3:$B$1002,"입고",입출고내역!$A$3:$A$1002,"&gt;="&amp;DATE($B$3,$D$3,1),입출고내역!$A$3:$A$1002,"&lt;="&amp;EOMONTH(DATE($B$3,$D$3,1),0)))</f>
        <v/>
      </c>
      <c r="F97" s="13" t="str">
        <f aca="false">IF($A97="","",SUMIFS(입출고내역!$G$3:$G$1002,입출고내역!$C$3:$C$1002,$A97,입출고내역!$B$3:$B$1002,"출고",입출고내역!$A$3:$A$1002,"&gt;="&amp;DATE($B$3,$D$3,1),입출고내역!$A$3:$A$1002,"&lt;="&amp;EOMONTH(DATE($B$3,$D$3,1),0)))</f>
        <v/>
      </c>
      <c r="G97" s="13" t="str">
        <f aca="false">IF($A97="","",IF(품목마스터!$F94="",0,품목마스터!$F94)+SUMIFS(입출고내역!$L$3:$L$1002,입출고내역!$C$3:$C$1002,$A97,입출고내역!$A$3:$A$1002,"&lt;="&amp;EOMONTH(DATE($B$3,$D$3,1),0)))</f>
        <v/>
      </c>
      <c r="H97" s="13" t="str">
        <f aca="false">IF($A97="","",IF(품목마스터!$G94="",0,품목마스터!$G94))</f>
        <v/>
      </c>
    </row>
    <row r="98" customFormat="false" ht="15" hidden="false" customHeight="true" outlineLevel="0" collapsed="false">
      <c r="A98" s="12" t="str">
        <f aca="false">IF(품목마스터!$A95="","",품목마스터!$A95)</f>
        <v/>
      </c>
      <c r="B98" s="12" t="str">
        <f aca="false">IF($A98="","",품목마스터!$B95)</f>
        <v/>
      </c>
      <c r="C98" s="12" t="str">
        <f aca="false">IF($A98="","",품목마스터!$D95)</f>
        <v/>
      </c>
      <c r="D98" s="13" t="str">
        <f aca="false">IF($A98="","",IF(품목마스터!$F95="",0,품목마스터!$F95)+SUMIFS(입출고내역!$L$3:$L$1002,입출고내역!$C$3:$C$1002,$A98,입출고내역!$A$3:$A$1002,"&lt;"&amp;DATE($B$3,$D$3,1)))</f>
        <v/>
      </c>
      <c r="E98" s="13" t="str">
        <f aca="false">IF($A98="","",SUMIFS(입출고내역!$G$3:$G$1002,입출고내역!$C$3:$C$1002,$A98,입출고내역!$B$3:$B$1002,"입고",입출고내역!$A$3:$A$1002,"&gt;="&amp;DATE($B$3,$D$3,1),입출고내역!$A$3:$A$1002,"&lt;="&amp;EOMONTH(DATE($B$3,$D$3,1),0)))</f>
        <v/>
      </c>
      <c r="F98" s="13" t="str">
        <f aca="false">IF($A98="","",SUMIFS(입출고내역!$G$3:$G$1002,입출고내역!$C$3:$C$1002,$A98,입출고내역!$B$3:$B$1002,"출고",입출고내역!$A$3:$A$1002,"&gt;="&amp;DATE($B$3,$D$3,1),입출고내역!$A$3:$A$1002,"&lt;="&amp;EOMONTH(DATE($B$3,$D$3,1),0)))</f>
        <v/>
      </c>
      <c r="G98" s="13" t="str">
        <f aca="false">IF($A98="","",IF(품목마스터!$F95="",0,품목마스터!$F95)+SUMIFS(입출고내역!$L$3:$L$1002,입출고내역!$C$3:$C$1002,$A98,입출고내역!$A$3:$A$1002,"&lt;="&amp;EOMONTH(DATE($B$3,$D$3,1),0)))</f>
        <v/>
      </c>
      <c r="H98" s="13" t="str">
        <f aca="false">IF($A98="","",IF(품목마스터!$G95="",0,품목마스터!$G95))</f>
        <v/>
      </c>
    </row>
    <row r="99" customFormat="false" ht="15" hidden="false" customHeight="true" outlineLevel="0" collapsed="false">
      <c r="A99" s="12" t="str">
        <f aca="false">IF(품목마스터!$A96="","",품목마스터!$A96)</f>
        <v/>
      </c>
      <c r="B99" s="12" t="str">
        <f aca="false">IF($A99="","",품목마스터!$B96)</f>
        <v/>
      </c>
      <c r="C99" s="12" t="str">
        <f aca="false">IF($A99="","",품목마스터!$D96)</f>
        <v/>
      </c>
      <c r="D99" s="13" t="str">
        <f aca="false">IF($A99="","",IF(품목마스터!$F96="",0,품목마스터!$F96)+SUMIFS(입출고내역!$L$3:$L$1002,입출고내역!$C$3:$C$1002,$A99,입출고내역!$A$3:$A$1002,"&lt;"&amp;DATE($B$3,$D$3,1)))</f>
        <v/>
      </c>
      <c r="E99" s="13" t="str">
        <f aca="false">IF($A99="","",SUMIFS(입출고내역!$G$3:$G$1002,입출고내역!$C$3:$C$1002,$A99,입출고내역!$B$3:$B$1002,"입고",입출고내역!$A$3:$A$1002,"&gt;="&amp;DATE($B$3,$D$3,1),입출고내역!$A$3:$A$1002,"&lt;="&amp;EOMONTH(DATE($B$3,$D$3,1),0)))</f>
        <v/>
      </c>
      <c r="F99" s="13" t="str">
        <f aca="false">IF($A99="","",SUMIFS(입출고내역!$G$3:$G$1002,입출고내역!$C$3:$C$1002,$A99,입출고내역!$B$3:$B$1002,"출고",입출고내역!$A$3:$A$1002,"&gt;="&amp;DATE($B$3,$D$3,1),입출고내역!$A$3:$A$1002,"&lt;="&amp;EOMONTH(DATE($B$3,$D$3,1),0)))</f>
        <v/>
      </c>
      <c r="G99" s="13" t="str">
        <f aca="false">IF($A99="","",IF(품목마스터!$F96="",0,품목마스터!$F96)+SUMIFS(입출고내역!$L$3:$L$1002,입출고내역!$C$3:$C$1002,$A99,입출고내역!$A$3:$A$1002,"&lt;="&amp;EOMONTH(DATE($B$3,$D$3,1),0)))</f>
        <v/>
      </c>
      <c r="H99" s="13" t="str">
        <f aca="false">IF($A99="","",IF(품목마스터!$G96="",0,품목마스터!$G96))</f>
        <v/>
      </c>
    </row>
    <row r="100" customFormat="false" ht="15" hidden="false" customHeight="true" outlineLevel="0" collapsed="false">
      <c r="A100" s="12" t="str">
        <f aca="false">IF(품목마스터!$A97="","",품목마스터!$A97)</f>
        <v/>
      </c>
      <c r="B100" s="12" t="str">
        <f aca="false">IF($A100="","",품목마스터!$B97)</f>
        <v/>
      </c>
      <c r="C100" s="12" t="str">
        <f aca="false">IF($A100="","",품목마스터!$D97)</f>
        <v/>
      </c>
      <c r="D100" s="13" t="str">
        <f aca="false">IF($A100="","",IF(품목마스터!$F97="",0,품목마스터!$F97)+SUMIFS(입출고내역!$L$3:$L$1002,입출고내역!$C$3:$C$1002,$A100,입출고내역!$A$3:$A$1002,"&lt;"&amp;DATE($B$3,$D$3,1)))</f>
        <v/>
      </c>
      <c r="E100" s="13" t="str">
        <f aca="false">IF($A100="","",SUMIFS(입출고내역!$G$3:$G$1002,입출고내역!$C$3:$C$1002,$A100,입출고내역!$B$3:$B$1002,"입고",입출고내역!$A$3:$A$1002,"&gt;="&amp;DATE($B$3,$D$3,1),입출고내역!$A$3:$A$1002,"&lt;="&amp;EOMONTH(DATE($B$3,$D$3,1),0)))</f>
        <v/>
      </c>
      <c r="F100" s="13" t="str">
        <f aca="false">IF($A100="","",SUMIFS(입출고내역!$G$3:$G$1002,입출고내역!$C$3:$C$1002,$A100,입출고내역!$B$3:$B$1002,"출고",입출고내역!$A$3:$A$1002,"&gt;="&amp;DATE($B$3,$D$3,1),입출고내역!$A$3:$A$1002,"&lt;="&amp;EOMONTH(DATE($B$3,$D$3,1),0)))</f>
        <v/>
      </c>
      <c r="G100" s="13" t="str">
        <f aca="false">IF($A100="","",IF(품목마스터!$F97="",0,품목마스터!$F97)+SUMIFS(입출고내역!$L$3:$L$1002,입출고내역!$C$3:$C$1002,$A100,입출고내역!$A$3:$A$1002,"&lt;="&amp;EOMONTH(DATE($B$3,$D$3,1),0)))</f>
        <v/>
      </c>
      <c r="H100" s="13" t="str">
        <f aca="false">IF($A100="","",IF(품목마스터!$G97="",0,품목마스터!$G97))</f>
        <v/>
      </c>
    </row>
    <row r="101" customFormat="false" ht="15" hidden="false" customHeight="true" outlineLevel="0" collapsed="false">
      <c r="A101" s="12" t="str">
        <f aca="false">IF(품목마스터!$A98="","",품목마스터!$A98)</f>
        <v/>
      </c>
      <c r="B101" s="12" t="str">
        <f aca="false">IF($A101="","",품목마스터!$B98)</f>
        <v/>
      </c>
      <c r="C101" s="12" t="str">
        <f aca="false">IF($A101="","",품목마스터!$D98)</f>
        <v/>
      </c>
      <c r="D101" s="13" t="str">
        <f aca="false">IF($A101="","",IF(품목마스터!$F98="",0,품목마스터!$F98)+SUMIFS(입출고내역!$L$3:$L$1002,입출고내역!$C$3:$C$1002,$A101,입출고내역!$A$3:$A$1002,"&lt;"&amp;DATE($B$3,$D$3,1)))</f>
        <v/>
      </c>
      <c r="E101" s="13" t="str">
        <f aca="false">IF($A101="","",SUMIFS(입출고내역!$G$3:$G$1002,입출고내역!$C$3:$C$1002,$A101,입출고내역!$B$3:$B$1002,"입고",입출고내역!$A$3:$A$1002,"&gt;="&amp;DATE($B$3,$D$3,1),입출고내역!$A$3:$A$1002,"&lt;="&amp;EOMONTH(DATE($B$3,$D$3,1),0)))</f>
        <v/>
      </c>
      <c r="F101" s="13" t="str">
        <f aca="false">IF($A101="","",SUMIFS(입출고내역!$G$3:$G$1002,입출고내역!$C$3:$C$1002,$A101,입출고내역!$B$3:$B$1002,"출고",입출고내역!$A$3:$A$1002,"&gt;="&amp;DATE($B$3,$D$3,1),입출고내역!$A$3:$A$1002,"&lt;="&amp;EOMONTH(DATE($B$3,$D$3,1),0)))</f>
        <v/>
      </c>
      <c r="G101" s="13" t="str">
        <f aca="false">IF($A101="","",IF(품목마스터!$F98="",0,품목마스터!$F98)+SUMIFS(입출고내역!$L$3:$L$1002,입출고내역!$C$3:$C$1002,$A101,입출고내역!$A$3:$A$1002,"&lt;="&amp;EOMONTH(DATE($B$3,$D$3,1),0)))</f>
        <v/>
      </c>
      <c r="H101" s="13" t="str">
        <f aca="false">IF($A101="","",IF(품목마스터!$G98="",0,품목마스터!$G98))</f>
        <v/>
      </c>
    </row>
    <row r="102" customFormat="false" ht="15" hidden="false" customHeight="true" outlineLevel="0" collapsed="false">
      <c r="A102" s="12" t="str">
        <f aca="false">IF(품목마스터!$A99="","",품목마스터!$A99)</f>
        <v/>
      </c>
      <c r="B102" s="12" t="str">
        <f aca="false">IF($A102="","",품목마스터!$B99)</f>
        <v/>
      </c>
      <c r="C102" s="12" t="str">
        <f aca="false">IF($A102="","",품목마스터!$D99)</f>
        <v/>
      </c>
      <c r="D102" s="13" t="str">
        <f aca="false">IF($A102="","",IF(품목마스터!$F99="",0,품목마스터!$F99)+SUMIFS(입출고내역!$L$3:$L$1002,입출고내역!$C$3:$C$1002,$A102,입출고내역!$A$3:$A$1002,"&lt;"&amp;DATE($B$3,$D$3,1)))</f>
        <v/>
      </c>
      <c r="E102" s="13" t="str">
        <f aca="false">IF($A102="","",SUMIFS(입출고내역!$G$3:$G$1002,입출고내역!$C$3:$C$1002,$A102,입출고내역!$B$3:$B$1002,"입고",입출고내역!$A$3:$A$1002,"&gt;="&amp;DATE($B$3,$D$3,1),입출고내역!$A$3:$A$1002,"&lt;="&amp;EOMONTH(DATE($B$3,$D$3,1),0)))</f>
        <v/>
      </c>
      <c r="F102" s="13" t="str">
        <f aca="false">IF($A102="","",SUMIFS(입출고내역!$G$3:$G$1002,입출고내역!$C$3:$C$1002,$A102,입출고내역!$B$3:$B$1002,"출고",입출고내역!$A$3:$A$1002,"&gt;="&amp;DATE($B$3,$D$3,1),입출고내역!$A$3:$A$1002,"&lt;="&amp;EOMONTH(DATE($B$3,$D$3,1),0)))</f>
        <v/>
      </c>
      <c r="G102" s="13" t="str">
        <f aca="false">IF($A102="","",IF(품목마스터!$F99="",0,품목마스터!$F99)+SUMIFS(입출고내역!$L$3:$L$1002,입출고내역!$C$3:$C$1002,$A102,입출고내역!$A$3:$A$1002,"&lt;="&amp;EOMONTH(DATE($B$3,$D$3,1),0)))</f>
        <v/>
      </c>
      <c r="H102" s="13" t="str">
        <f aca="false">IF($A102="","",IF(품목마스터!$G99="",0,품목마스터!$G99))</f>
        <v/>
      </c>
    </row>
    <row r="103" customFormat="false" ht="15" hidden="false" customHeight="true" outlineLevel="0" collapsed="false">
      <c r="A103" s="12" t="str">
        <f aca="false">IF(품목마스터!$A100="","",품목마스터!$A100)</f>
        <v/>
      </c>
      <c r="B103" s="12" t="str">
        <f aca="false">IF($A103="","",품목마스터!$B100)</f>
        <v/>
      </c>
      <c r="C103" s="12" t="str">
        <f aca="false">IF($A103="","",품목마스터!$D100)</f>
        <v/>
      </c>
      <c r="D103" s="13" t="str">
        <f aca="false">IF($A103="","",IF(품목마스터!$F100="",0,품목마스터!$F100)+SUMIFS(입출고내역!$L$3:$L$1002,입출고내역!$C$3:$C$1002,$A103,입출고내역!$A$3:$A$1002,"&lt;"&amp;DATE($B$3,$D$3,1)))</f>
        <v/>
      </c>
      <c r="E103" s="13" t="str">
        <f aca="false">IF($A103="","",SUMIFS(입출고내역!$G$3:$G$1002,입출고내역!$C$3:$C$1002,$A103,입출고내역!$B$3:$B$1002,"입고",입출고내역!$A$3:$A$1002,"&gt;="&amp;DATE($B$3,$D$3,1),입출고내역!$A$3:$A$1002,"&lt;="&amp;EOMONTH(DATE($B$3,$D$3,1),0)))</f>
        <v/>
      </c>
      <c r="F103" s="13" t="str">
        <f aca="false">IF($A103="","",SUMIFS(입출고내역!$G$3:$G$1002,입출고내역!$C$3:$C$1002,$A103,입출고내역!$B$3:$B$1002,"출고",입출고내역!$A$3:$A$1002,"&gt;="&amp;DATE($B$3,$D$3,1),입출고내역!$A$3:$A$1002,"&lt;="&amp;EOMONTH(DATE($B$3,$D$3,1),0)))</f>
        <v/>
      </c>
      <c r="G103" s="13" t="str">
        <f aca="false">IF($A103="","",IF(품목마스터!$F100="",0,품목마스터!$F100)+SUMIFS(입출고내역!$L$3:$L$1002,입출고내역!$C$3:$C$1002,$A103,입출고내역!$A$3:$A$1002,"&lt;="&amp;EOMONTH(DATE($B$3,$D$3,1),0)))</f>
        <v/>
      </c>
      <c r="H103" s="13" t="str">
        <f aca="false">IF($A103="","",IF(품목마스터!$G100="",0,품목마스터!$G100))</f>
        <v/>
      </c>
    </row>
    <row r="104" customFormat="false" ht="15" hidden="false" customHeight="true" outlineLevel="0" collapsed="false">
      <c r="A104" s="12" t="str">
        <f aca="false">IF(품목마스터!$A101="","",품목마스터!$A101)</f>
        <v/>
      </c>
      <c r="B104" s="12" t="str">
        <f aca="false">IF($A104="","",품목마스터!$B101)</f>
        <v/>
      </c>
      <c r="C104" s="12" t="str">
        <f aca="false">IF($A104="","",품목마스터!$D101)</f>
        <v/>
      </c>
      <c r="D104" s="13" t="str">
        <f aca="false">IF($A104="","",IF(품목마스터!$F101="",0,품목마스터!$F101)+SUMIFS(입출고내역!$L$3:$L$1002,입출고내역!$C$3:$C$1002,$A104,입출고내역!$A$3:$A$1002,"&lt;"&amp;DATE($B$3,$D$3,1)))</f>
        <v/>
      </c>
      <c r="E104" s="13" t="str">
        <f aca="false">IF($A104="","",SUMIFS(입출고내역!$G$3:$G$1002,입출고내역!$C$3:$C$1002,$A104,입출고내역!$B$3:$B$1002,"입고",입출고내역!$A$3:$A$1002,"&gt;="&amp;DATE($B$3,$D$3,1),입출고내역!$A$3:$A$1002,"&lt;="&amp;EOMONTH(DATE($B$3,$D$3,1),0)))</f>
        <v/>
      </c>
      <c r="F104" s="13" t="str">
        <f aca="false">IF($A104="","",SUMIFS(입출고내역!$G$3:$G$1002,입출고내역!$C$3:$C$1002,$A104,입출고내역!$B$3:$B$1002,"출고",입출고내역!$A$3:$A$1002,"&gt;="&amp;DATE($B$3,$D$3,1),입출고내역!$A$3:$A$1002,"&lt;="&amp;EOMONTH(DATE($B$3,$D$3,1),0)))</f>
        <v/>
      </c>
      <c r="G104" s="13" t="str">
        <f aca="false">IF($A104="","",IF(품목마스터!$F101="",0,품목마스터!$F101)+SUMIFS(입출고내역!$L$3:$L$1002,입출고내역!$C$3:$C$1002,$A104,입출고내역!$A$3:$A$1002,"&lt;="&amp;EOMONTH(DATE($B$3,$D$3,1),0)))</f>
        <v/>
      </c>
      <c r="H104" s="13" t="str">
        <f aca="false">IF($A104="","",IF(품목마스터!$G101="",0,품목마스터!$G101))</f>
        <v/>
      </c>
    </row>
    <row r="105" customFormat="false" ht="15" hidden="false" customHeight="true" outlineLevel="0" collapsed="false">
      <c r="A105" s="12" t="str">
        <f aca="false">IF(품목마스터!$A102="","",품목마스터!$A102)</f>
        <v/>
      </c>
      <c r="B105" s="12" t="str">
        <f aca="false">IF($A105="","",품목마스터!$B102)</f>
        <v/>
      </c>
      <c r="C105" s="12" t="str">
        <f aca="false">IF($A105="","",품목마스터!$D102)</f>
        <v/>
      </c>
      <c r="D105" s="13" t="str">
        <f aca="false">IF($A105="","",IF(품목마스터!$F102="",0,품목마스터!$F102)+SUMIFS(입출고내역!$L$3:$L$1002,입출고내역!$C$3:$C$1002,$A105,입출고내역!$A$3:$A$1002,"&lt;"&amp;DATE($B$3,$D$3,1)))</f>
        <v/>
      </c>
      <c r="E105" s="13" t="str">
        <f aca="false">IF($A105="","",SUMIFS(입출고내역!$G$3:$G$1002,입출고내역!$C$3:$C$1002,$A105,입출고내역!$B$3:$B$1002,"입고",입출고내역!$A$3:$A$1002,"&gt;="&amp;DATE($B$3,$D$3,1),입출고내역!$A$3:$A$1002,"&lt;="&amp;EOMONTH(DATE($B$3,$D$3,1),0)))</f>
        <v/>
      </c>
      <c r="F105" s="13" t="str">
        <f aca="false">IF($A105="","",SUMIFS(입출고내역!$G$3:$G$1002,입출고내역!$C$3:$C$1002,$A105,입출고내역!$B$3:$B$1002,"출고",입출고내역!$A$3:$A$1002,"&gt;="&amp;DATE($B$3,$D$3,1),입출고내역!$A$3:$A$1002,"&lt;="&amp;EOMONTH(DATE($B$3,$D$3,1),0)))</f>
        <v/>
      </c>
      <c r="G105" s="13" t="str">
        <f aca="false">IF($A105="","",IF(품목마스터!$F102="",0,품목마스터!$F102)+SUMIFS(입출고내역!$L$3:$L$1002,입출고내역!$C$3:$C$1002,$A105,입출고내역!$A$3:$A$1002,"&lt;="&amp;EOMONTH(DATE($B$3,$D$3,1),0)))</f>
        <v/>
      </c>
      <c r="H105" s="13" t="str">
        <f aca="false">IF($A105="","",IF(품목마스터!$G102="",0,품목마스터!$G102))</f>
        <v/>
      </c>
    </row>
    <row r="106" customFormat="false" ht="15" hidden="false" customHeight="true" outlineLevel="0" collapsed="false">
      <c r="A106" s="12" t="str">
        <f aca="false">IF(품목마스터!$A103="","",품목마스터!$A103)</f>
        <v/>
      </c>
      <c r="B106" s="12" t="str">
        <f aca="false">IF($A106="","",품목마스터!$B103)</f>
        <v/>
      </c>
      <c r="C106" s="12" t="str">
        <f aca="false">IF($A106="","",품목마스터!$D103)</f>
        <v/>
      </c>
      <c r="D106" s="13" t="str">
        <f aca="false">IF($A106="","",IF(품목마스터!$F103="",0,품목마스터!$F103)+SUMIFS(입출고내역!$L$3:$L$1002,입출고내역!$C$3:$C$1002,$A106,입출고내역!$A$3:$A$1002,"&lt;"&amp;DATE($B$3,$D$3,1)))</f>
        <v/>
      </c>
      <c r="E106" s="13" t="str">
        <f aca="false">IF($A106="","",SUMIFS(입출고내역!$G$3:$G$1002,입출고내역!$C$3:$C$1002,$A106,입출고내역!$B$3:$B$1002,"입고",입출고내역!$A$3:$A$1002,"&gt;="&amp;DATE($B$3,$D$3,1),입출고내역!$A$3:$A$1002,"&lt;="&amp;EOMONTH(DATE($B$3,$D$3,1),0)))</f>
        <v/>
      </c>
      <c r="F106" s="13" t="str">
        <f aca="false">IF($A106="","",SUMIFS(입출고내역!$G$3:$G$1002,입출고내역!$C$3:$C$1002,$A106,입출고내역!$B$3:$B$1002,"출고",입출고내역!$A$3:$A$1002,"&gt;="&amp;DATE($B$3,$D$3,1),입출고내역!$A$3:$A$1002,"&lt;="&amp;EOMONTH(DATE($B$3,$D$3,1),0)))</f>
        <v/>
      </c>
      <c r="G106" s="13" t="str">
        <f aca="false">IF($A106="","",IF(품목마스터!$F103="",0,품목마스터!$F103)+SUMIFS(입출고내역!$L$3:$L$1002,입출고내역!$C$3:$C$1002,$A106,입출고내역!$A$3:$A$1002,"&lt;="&amp;EOMONTH(DATE($B$3,$D$3,1),0)))</f>
        <v/>
      </c>
      <c r="H106" s="13" t="str">
        <f aca="false">IF($A106="","",IF(품목마스터!$G103="",0,품목마스터!$G103))</f>
        <v/>
      </c>
    </row>
    <row r="107" customFormat="false" ht="15" hidden="false" customHeight="true" outlineLevel="0" collapsed="false">
      <c r="A107" s="12" t="str">
        <f aca="false">IF(품목마스터!$A104="","",품목마스터!$A104)</f>
        <v/>
      </c>
      <c r="B107" s="12" t="str">
        <f aca="false">IF($A107="","",품목마스터!$B104)</f>
        <v/>
      </c>
      <c r="C107" s="12" t="str">
        <f aca="false">IF($A107="","",품목마스터!$D104)</f>
        <v/>
      </c>
      <c r="D107" s="13" t="str">
        <f aca="false">IF($A107="","",IF(품목마스터!$F104="",0,품목마스터!$F104)+SUMIFS(입출고내역!$L$3:$L$1002,입출고내역!$C$3:$C$1002,$A107,입출고내역!$A$3:$A$1002,"&lt;"&amp;DATE($B$3,$D$3,1)))</f>
        <v/>
      </c>
      <c r="E107" s="13" t="str">
        <f aca="false">IF($A107="","",SUMIFS(입출고내역!$G$3:$G$1002,입출고내역!$C$3:$C$1002,$A107,입출고내역!$B$3:$B$1002,"입고",입출고내역!$A$3:$A$1002,"&gt;="&amp;DATE($B$3,$D$3,1),입출고내역!$A$3:$A$1002,"&lt;="&amp;EOMONTH(DATE($B$3,$D$3,1),0)))</f>
        <v/>
      </c>
      <c r="F107" s="13" t="str">
        <f aca="false">IF($A107="","",SUMIFS(입출고내역!$G$3:$G$1002,입출고내역!$C$3:$C$1002,$A107,입출고내역!$B$3:$B$1002,"출고",입출고내역!$A$3:$A$1002,"&gt;="&amp;DATE($B$3,$D$3,1),입출고내역!$A$3:$A$1002,"&lt;="&amp;EOMONTH(DATE($B$3,$D$3,1),0)))</f>
        <v/>
      </c>
      <c r="G107" s="13" t="str">
        <f aca="false">IF($A107="","",IF(품목마스터!$F104="",0,품목마스터!$F104)+SUMIFS(입출고내역!$L$3:$L$1002,입출고내역!$C$3:$C$1002,$A107,입출고내역!$A$3:$A$1002,"&lt;="&amp;EOMONTH(DATE($B$3,$D$3,1),0)))</f>
        <v/>
      </c>
      <c r="H107" s="13" t="str">
        <f aca="false">IF($A107="","",IF(품목마스터!$G104="",0,품목마스터!$G104))</f>
        <v/>
      </c>
    </row>
    <row r="108" customFormat="false" ht="15" hidden="false" customHeight="true" outlineLevel="0" collapsed="false">
      <c r="A108" s="12" t="str">
        <f aca="false">IF(품목마스터!$A105="","",품목마스터!$A105)</f>
        <v/>
      </c>
      <c r="B108" s="12" t="str">
        <f aca="false">IF($A108="","",품목마스터!$B105)</f>
        <v/>
      </c>
      <c r="C108" s="12" t="str">
        <f aca="false">IF($A108="","",품목마스터!$D105)</f>
        <v/>
      </c>
      <c r="D108" s="13" t="str">
        <f aca="false">IF($A108="","",IF(품목마스터!$F105="",0,품목마스터!$F105)+SUMIFS(입출고내역!$L$3:$L$1002,입출고내역!$C$3:$C$1002,$A108,입출고내역!$A$3:$A$1002,"&lt;"&amp;DATE($B$3,$D$3,1)))</f>
        <v/>
      </c>
      <c r="E108" s="13" t="str">
        <f aca="false">IF($A108="","",SUMIFS(입출고내역!$G$3:$G$1002,입출고내역!$C$3:$C$1002,$A108,입출고내역!$B$3:$B$1002,"입고",입출고내역!$A$3:$A$1002,"&gt;="&amp;DATE($B$3,$D$3,1),입출고내역!$A$3:$A$1002,"&lt;="&amp;EOMONTH(DATE($B$3,$D$3,1),0)))</f>
        <v/>
      </c>
      <c r="F108" s="13" t="str">
        <f aca="false">IF($A108="","",SUMIFS(입출고내역!$G$3:$G$1002,입출고내역!$C$3:$C$1002,$A108,입출고내역!$B$3:$B$1002,"출고",입출고내역!$A$3:$A$1002,"&gt;="&amp;DATE($B$3,$D$3,1),입출고내역!$A$3:$A$1002,"&lt;="&amp;EOMONTH(DATE($B$3,$D$3,1),0)))</f>
        <v/>
      </c>
      <c r="G108" s="13" t="str">
        <f aca="false">IF($A108="","",IF(품목마스터!$F105="",0,품목마스터!$F105)+SUMIFS(입출고내역!$L$3:$L$1002,입출고내역!$C$3:$C$1002,$A108,입출고내역!$A$3:$A$1002,"&lt;="&amp;EOMONTH(DATE($B$3,$D$3,1),0)))</f>
        <v/>
      </c>
      <c r="H108" s="13" t="str">
        <f aca="false">IF($A108="","",IF(품목마스터!$G105="",0,품목마스터!$G105))</f>
        <v/>
      </c>
    </row>
    <row r="109" customFormat="false" ht="15" hidden="false" customHeight="true" outlineLevel="0" collapsed="false">
      <c r="A109" s="12" t="str">
        <f aca="false">IF(품목마스터!$A106="","",품목마스터!$A106)</f>
        <v/>
      </c>
      <c r="B109" s="12" t="str">
        <f aca="false">IF($A109="","",품목마스터!$B106)</f>
        <v/>
      </c>
      <c r="C109" s="12" t="str">
        <f aca="false">IF($A109="","",품목마스터!$D106)</f>
        <v/>
      </c>
      <c r="D109" s="13" t="str">
        <f aca="false">IF($A109="","",IF(품목마스터!$F106="",0,품목마스터!$F106)+SUMIFS(입출고내역!$L$3:$L$1002,입출고내역!$C$3:$C$1002,$A109,입출고내역!$A$3:$A$1002,"&lt;"&amp;DATE($B$3,$D$3,1)))</f>
        <v/>
      </c>
      <c r="E109" s="13" t="str">
        <f aca="false">IF($A109="","",SUMIFS(입출고내역!$G$3:$G$1002,입출고내역!$C$3:$C$1002,$A109,입출고내역!$B$3:$B$1002,"입고",입출고내역!$A$3:$A$1002,"&gt;="&amp;DATE($B$3,$D$3,1),입출고내역!$A$3:$A$1002,"&lt;="&amp;EOMONTH(DATE($B$3,$D$3,1),0)))</f>
        <v/>
      </c>
      <c r="F109" s="13" t="str">
        <f aca="false">IF($A109="","",SUMIFS(입출고내역!$G$3:$G$1002,입출고내역!$C$3:$C$1002,$A109,입출고내역!$B$3:$B$1002,"출고",입출고내역!$A$3:$A$1002,"&gt;="&amp;DATE($B$3,$D$3,1),입출고내역!$A$3:$A$1002,"&lt;="&amp;EOMONTH(DATE($B$3,$D$3,1),0)))</f>
        <v/>
      </c>
      <c r="G109" s="13" t="str">
        <f aca="false">IF($A109="","",IF(품목마스터!$F106="",0,품목마스터!$F106)+SUMIFS(입출고내역!$L$3:$L$1002,입출고내역!$C$3:$C$1002,$A109,입출고내역!$A$3:$A$1002,"&lt;="&amp;EOMONTH(DATE($B$3,$D$3,1),0)))</f>
        <v/>
      </c>
      <c r="H109" s="13" t="str">
        <f aca="false">IF($A109="","",IF(품목마스터!$G106="",0,품목마스터!$G106))</f>
        <v/>
      </c>
    </row>
    <row r="110" customFormat="false" ht="15" hidden="false" customHeight="true" outlineLevel="0" collapsed="false">
      <c r="A110" s="12" t="str">
        <f aca="false">IF(품목마스터!$A107="","",품목마스터!$A107)</f>
        <v/>
      </c>
      <c r="B110" s="12" t="str">
        <f aca="false">IF($A110="","",품목마스터!$B107)</f>
        <v/>
      </c>
      <c r="C110" s="12" t="str">
        <f aca="false">IF($A110="","",품목마스터!$D107)</f>
        <v/>
      </c>
      <c r="D110" s="13" t="str">
        <f aca="false">IF($A110="","",IF(품목마스터!$F107="",0,품목마스터!$F107)+SUMIFS(입출고내역!$L$3:$L$1002,입출고내역!$C$3:$C$1002,$A110,입출고내역!$A$3:$A$1002,"&lt;"&amp;DATE($B$3,$D$3,1)))</f>
        <v/>
      </c>
      <c r="E110" s="13" t="str">
        <f aca="false">IF($A110="","",SUMIFS(입출고내역!$G$3:$G$1002,입출고내역!$C$3:$C$1002,$A110,입출고내역!$B$3:$B$1002,"입고",입출고내역!$A$3:$A$1002,"&gt;="&amp;DATE($B$3,$D$3,1),입출고내역!$A$3:$A$1002,"&lt;="&amp;EOMONTH(DATE($B$3,$D$3,1),0)))</f>
        <v/>
      </c>
      <c r="F110" s="13" t="str">
        <f aca="false">IF($A110="","",SUMIFS(입출고내역!$G$3:$G$1002,입출고내역!$C$3:$C$1002,$A110,입출고내역!$B$3:$B$1002,"출고",입출고내역!$A$3:$A$1002,"&gt;="&amp;DATE($B$3,$D$3,1),입출고내역!$A$3:$A$1002,"&lt;="&amp;EOMONTH(DATE($B$3,$D$3,1),0)))</f>
        <v/>
      </c>
      <c r="G110" s="13" t="str">
        <f aca="false">IF($A110="","",IF(품목마스터!$F107="",0,품목마스터!$F107)+SUMIFS(입출고내역!$L$3:$L$1002,입출고내역!$C$3:$C$1002,$A110,입출고내역!$A$3:$A$1002,"&lt;="&amp;EOMONTH(DATE($B$3,$D$3,1),0)))</f>
        <v/>
      </c>
      <c r="H110" s="13" t="str">
        <f aca="false">IF($A110="","",IF(품목마스터!$G107="",0,품목마스터!$G107))</f>
        <v/>
      </c>
    </row>
    <row r="111" customFormat="false" ht="15" hidden="false" customHeight="true" outlineLevel="0" collapsed="false">
      <c r="A111" s="12" t="str">
        <f aca="false">IF(품목마스터!$A108="","",품목마스터!$A108)</f>
        <v/>
      </c>
      <c r="B111" s="12" t="str">
        <f aca="false">IF($A111="","",품목마스터!$B108)</f>
        <v/>
      </c>
      <c r="C111" s="12" t="str">
        <f aca="false">IF($A111="","",품목마스터!$D108)</f>
        <v/>
      </c>
      <c r="D111" s="13" t="str">
        <f aca="false">IF($A111="","",IF(품목마스터!$F108="",0,품목마스터!$F108)+SUMIFS(입출고내역!$L$3:$L$1002,입출고내역!$C$3:$C$1002,$A111,입출고내역!$A$3:$A$1002,"&lt;"&amp;DATE($B$3,$D$3,1)))</f>
        <v/>
      </c>
      <c r="E111" s="13" t="str">
        <f aca="false">IF($A111="","",SUMIFS(입출고내역!$G$3:$G$1002,입출고내역!$C$3:$C$1002,$A111,입출고내역!$B$3:$B$1002,"입고",입출고내역!$A$3:$A$1002,"&gt;="&amp;DATE($B$3,$D$3,1),입출고내역!$A$3:$A$1002,"&lt;="&amp;EOMONTH(DATE($B$3,$D$3,1),0)))</f>
        <v/>
      </c>
      <c r="F111" s="13" t="str">
        <f aca="false">IF($A111="","",SUMIFS(입출고내역!$G$3:$G$1002,입출고내역!$C$3:$C$1002,$A111,입출고내역!$B$3:$B$1002,"출고",입출고내역!$A$3:$A$1002,"&gt;="&amp;DATE($B$3,$D$3,1),입출고내역!$A$3:$A$1002,"&lt;="&amp;EOMONTH(DATE($B$3,$D$3,1),0)))</f>
        <v/>
      </c>
      <c r="G111" s="13" t="str">
        <f aca="false">IF($A111="","",IF(품목마스터!$F108="",0,품목마스터!$F108)+SUMIFS(입출고내역!$L$3:$L$1002,입출고내역!$C$3:$C$1002,$A111,입출고내역!$A$3:$A$1002,"&lt;="&amp;EOMONTH(DATE($B$3,$D$3,1),0)))</f>
        <v/>
      </c>
      <c r="H111" s="13" t="str">
        <f aca="false">IF($A111="","",IF(품목마스터!$G108="",0,품목마스터!$G108))</f>
        <v/>
      </c>
    </row>
    <row r="112" customFormat="false" ht="15" hidden="false" customHeight="true" outlineLevel="0" collapsed="false">
      <c r="A112" s="12" t="str">
        <f aca="false">IF(품목마스터!$A109="","",품목마스터!$A109)</f>
        <v/>
      </c>
      <c r="B112" s="12" t="str">
        <f aca="false">IF($A112="","",품목마스터!$B109)</f>
        <v/>
      </c>
      <c r="C112" s="12" t="str">
        <f aca="false">IF($A112="","",품목마스터!$D109)</f>
        <v/>
      </c>
      <c r="D112" s="13" t="str">
        <f aca="false">IF($A112="","",IF(품목마스터!$F109="",0,품목마스터!$F109)+SUMIFS(입출고내역!$L$3:$L$1002,입출고내역!$C$3:$C$1002,$A112,입출고내역!$A$3:$A$1002,"&lt;"&amp;DATE($B$3,$D$3,1)))</f>
        <v/>
      </c>
      <c r="E112" s="13" t="str">
        <f aca="false">IF($A112="","",SUMIFS(입출고내역!$G$3:$G$1002,입출고내역!$C$3:$C$1002,$A112,입출고내역!$B$3:$B$1002,"입고",입출고내역!$A$3:$A$1002,"&gt;="&amp;DATE($B$3,$D$3,1),입출고내역!$A$3:$A$1002,"&lt;="&amp;EOMONTH(DATE($B$3,$D$3,1),0)))</f>
        <v/>
      </c>
      <c r="F112" s="13" t="str">
        <f aca="false">IF($A112="","",SUMIFS(입출고내역!$G$3:$G$1002,입출고내역!$C$3:$C$1002,$A112,입출고내역!$B$3:$B$1002,"출고",입출고내역!$A$3:$A$1002,"&gt;="&amp;DATE($B$3,$D$3,1),입출고내역!$A$3:$A$1002,"&lt;="&amp;EOMONTH(DATE($B$3,$D$3,1),0)))</f>
        <v/>
      </c>
      <c r="G112" s="13" t="str">
        <f aca="false">IF($A112="","",IF(품목마스터!$F109="",0,품목마스터!$F109)+SUMIFS(입출고내역!$L$3:$L$1002,입출고내역!$C$3:$C$1002,$A112,입출고내역!$A$3:$A$1002,"&lt;="&amp;EOMONTH(DATE($B$3,$D$3,1),0)))</f>
        <v/>
      </c>
      <c r="H112" s="13" t="str">
        <f aca="false">IF($A112="","",IF(품목마스터!$G109="",0,품목마스터!$G109))</f>
        <v/>
      </c>
    </row>
    <row r="113" customFormat="false" ht="15" hidden="false" customHeight="true" outlineLevel="0" collapsed="false">
      <c r="A113" s="12" t="str">
        <f aca="false">IF(품목마스터!$A110="","",품목마스터!$A110)</f>
        <v/>
      </c>
      <c r="B113" s="12" t="str">
        <f aca="false">IF($A113="","",품목마스터!$B110)</f>
        <v/>
      </c>
      <c r="C113" s="12" t="str">
        <f aca="false">IF($A113="","",품목마스터!$D110)</f>
        <v/>
      </c>
      <c r="D113" s="13" t="str">
        <f aca="false">IF($A113="","",IF(품목마스터!$F110="",0,품목마스터!$F110)+SUMIFS(입출고내역!$L$3:$L$1002,입출고내역!$C$3:$C$1002,$A113,입출고내역!$A$3:$A$1002,"&lt;"&amp;DATE($B$3,$D$3,1)))</f>
        <v/>
      </c>
      <c r="E113" s="13" t="str">
        <f aca="false">IF($A113="","",SUMIFS(입출고내역!$G$3:$G$1002,입출고내역!$C$3:$C$1002,$A113,입출고내역!$B$3:$B$1002,"입고",입출고내역!$A$3:$A$1002,"&gt;="&amp;DATE($B$3,$D$3,1),입출고내역!$A$3:$A$1002,"&lt;="&amp;EOMONTH(DATE($B$3,$D$3,1),0)))</f>
        <v/>
      </c>
      <c r="F113" s="13" t="str">
        <f aca="false">IF($A113="","",SUMIFS(입출고내역!$G$3:$G$1002,입출고내역!$C$3:$C$1002,$A113,입출고내역!$B$3:$B$1002,"출고",입출고내역!$A$3:$A$1002,"&gt;="&amp;DATE($B$3,$D$3,1),입출고내역!$A$3:$A$1002,"&lt;="&amp;EOMONTH(DATE($B$3,$D$3,1),0)))</f>
        <v/>
      </c>
      <c r="G113" s="13" t="str">
        <f aca="false">IF($A113="","",IF(품목마스터!$F110="",0,품목마스터!$F110)+SUMIFS(입출고내역!$L$3:$L$1002,입출고내역!$C$3:$C$1002,$A113,입출고내역!$A$3:$A$1002,"&lt;="&amp;EOMONTH(DATE($B$3,$D$3,1),0)))</f>
        <v/>
      </c>
      <c r="H113" s="13" t="str">
        <f aca="false">IF($A113="","",IF(품목마스터!$G110="",0,품목마스터!$G110))</f>
        <v/>
      </c>
    </row>
    <row r="114" customFormat="false" ht="15" hidden="false" customHeight="true" outlineLevel="0" collapsed="false">
      <c r="A114" s="12" t="str">
        <f aca="false">IF(품목마스터!$A111="","",품목마스터!$A111)</f>
        <v/>
      </c>
      <c r="B114" s="12" t="str">
        <f aca="false">IF($A114="","",품목마스터!$B111)</f>
        <v/>
      </c>
      <c r="C114" s="12" t="str">
        <f aca="false">IF($A114="","",품목마스터!$D111)</f>
        <v/>
      </c>
      <c r="D114" s="13" t="str">
        <f aca="false">IF($A114="","",IF(품목마스터!$F111="",0,품목마스터!$F111)+SUMIFS(입출고내역!$L$3:$L$1002,입출고내역!$C$3:$C$1002,$A114,입출고내역!$A$3:$A$1002,"&lt;"&amp;DATE($B$3,$D$3,1)))</f>
        <v/>
      </c>
      <c r="E114" s="13" t="str">
        <f aca="false">IF($A114="","",SUMIFS(입출고내역!$G$3:$G$1002,입출고내역!$C$3:$C$1002,$A114,입출고내역!$B$3:$B$1002,"입고",입출고내역!$A$3:$A$1002,"&gt;="&amp;DATE($B$3,$D$3,1),입출고내역!$A$3:$A$1002,"&lt;="&amp;EOMONTH(DATE($B$3,$D$3,1),0)))</f>
        <v/>
      </c>
      <c r="F114" s="13" t="str">
        <f aca="false">IF($A114="","",SUMIFS(입출고내역!$G$3:$G$1002,입출고내역!$C$3:$C$1002,$A114,입출고내역!$B$3:$B$1002,"출고",입출고내역!$A$3:$A$1002,"&gt;="&amp;DATE($B$3,$D$3,1),입출고내역!$A$3:$A$1002,"&lt;="&amp;EOMONTH(DATE($B$3,$D$3,1),0)))</f>
        <v/>
      </c>
      <c r="G114" s="13" t="str">
        <f aca="false">IF($A114="","",IF(품목마스터!$F111="",0,품목마스터!$F111)+SUMIFS(입출고내역!$L$3:$L$1002,입출고내역!$C$3:$C$1002,$A114,입출고내역!$A$3:$A$1002,"&lt;="&amp;EOMONTH(DATE($B$3,$D$3,1),0)))</f>
        <v/>
      </c>
      <c r="H114" s="13" t="str">
        <f aca="false">IF($A114="","",IF(품목마스터!$G111="",0,품목마스터!$G111))</f>
        <v/>
      </c>
    </row>
    <row r="115" customFormat="false" ht="15" hidden="false" customHeight="true" outlineLevel="0" collapsed="false">
      <c r="A115" s="12" t="str">
        <f aca="false">IF(품목마스터!$A112="","",품목마스터!$A112)</f>
        <v/>
      </c>
      <c r="B115" s="12" t="str">
        <f aca="false">IF($A115="","",품목마스터!$B112)</f>
        <v/>
      </c>
      <c r="C115" s="12" t="str">
        <f aca="false">IF($A115="","",품목마스터!$D112)</f>
        <v/>
      </c>
      <c r="D115" s="13" t="str">
        <f aca="false">IF($A115="","",IF(품목마스터!$F112="",0,품목마스터!$F112)+SUMIFS(입출고내역!$L$3:$L$1002,입출고내역!$C$3:$C$1002,$A115,입출고내역!$A$3:$A$1002,"&lt;"&amp;DATE($B$3,$D$3,1)))</f>
        <v/>
      </c>
      <c r="E115" s="13" t="str">
        <f aca="false">IF($A115="","",SUMIFS(입출고내역!$G$3:$G$1002,입출고내역!$C$3:$C$1002,$A115,입출고내역!$B$3:$B$1002,"입고",입출고내역!$A$3:$A$1002,"&gt;="&amp;DATE($B$3,$D$3,1),입출고내역!$A$3:$A$1002,"&lt;="&amp;EOMONTH(DATE($B$3,$D$3,1),0)))</f>
        <v/>
      </c>
      <c r="F115" s="13" t="str">
        <f aca="false">IF($A115="","",SUMIFS(입출고내역!$G$3:$G$1002,입출고내역!$C$3:$C$1002,$A115,입출고내역!$B$3:$B$1002,"출고",입출고내역!$A$3:$A$1002,"&gt;="&amp;DATE($B$3,$D$3,1),입출고내역!$A$3:$A$1002,"&lt;="&amp;EOMONTH(DATE($B$3,$D$3,1),0)))</f>
        <v/>
      </c>
      <c r="G115" s="13" t="str">
        <f aca="false">IF($A115="","",IF(품목마스터!$F112="",0,품목마스터!$F112)+SUMIFS(입출고내역!$L$3:$L$1002,입출고내역!$C$3:$C$1002,$A115,입출고내역!$A$3:$A$1002,"&lt;="&amp;EOMONTH(DATE($B$3,$D$3,1),0)))</f>
        <v/>
      </c>
      <c r="H115" s="13" t="str">
        <f aca="false">IF($A115="","",IF(품목마스터!$G112="",0,품목마스터!$G112))</f>
        <v/>
      </c>
    </row>
    <row r="116" customFormat="false" ht="15" hidden="false" customHeight="true" outlineLevel="0" collapsed="false">
      <c r="A116" s="12" t="str">
        <f aca="false">IF(품목마스터!$A113="","",품목마스터!$A113)</f>
        <v/>
      </c>
      <c r="B116" s="12" t="str">
        <f aca="false">IF($A116="","",품목마스터!$B113)</f>
        <v/>
      </c>
      <c r="C116" s="12" t="str">
        <f aca="false">IF($A116="","",품목마스터!$D113)</f>
        <v/>
      </c>
      <c r="D116" s="13" t="str">
        <f aca="false">IF($A116="","",IF(품목마스터!$F113="",0,품목마스터!$F113)+SUMIFS(입출고내역!$L$3:$L$1002,입출고내역!$C$3:$C$1002,$A116,입출고내역!$A$3:$A$1002,"&lt;"&amp;DATE($B$3,$D$3,1)))</f>
        <v/>
      </c>
      <c r="E116" s="13" t="str">
        <f aca="false">IF($A116="","",SUMIFS(입출고내역!$G$3:$G$1002,입출고내역!$C$3:$C$1002,$A116,입출고내역!$B$3:$B$1002,"입고",입출고내역!$A$3:$A$1002,"&gt;="&amp;DATE($B$3,$D$3,1),입출고내역!$A$3:$A$1002,"&lt;="&amp;EOMONTH(DATE($B$3,$D$3,1),0)))</f>
        <v/>
      </c>
      <c r="F116" s="13" t="str">
        <f aca="false">IF($A116="","",SUMIFS(입출고내역!$G$3:$G$1002,입출고내역!$C$3:$C$1002,$A116,입출고내역!$B$3:$B$1002,"출고",입출고내역!$A$3:$A$1002,"&gt;="&amp;DATE($B$3,$D$3,1),입출고내역!$A$3:$A$1002,"&lt;="&amp;EOMONTH(DATE($B$3,$D$3,1),0)))</f>
        <v/>
      </c>
      <c r="G116" s="13" t="str">
        <f aca="false">IF($A116="","",IF(품목마스터!$F113="",0,품목마스터!$F113)+SUMIFS(입출고내역!$L$3:$L$1002,입출고내역!$C$3:$C$1002,$A116,입출고내역!$A$3:$A$1002,"&lt;="&amp;EOMONTH(DATE($B$3,$D$3,1),0)))</f>
        <v/>
      </c>
      <c r="H116" s="13" t="str">
        <f aca="false">IF($A116="","",IF(품목마스터!$G113="",0,품목마스터!$G113))</f>
        <v/>
      </c>
    </row>
    <row r="117" customFormat="false" ht="15" hidden="false" customHeight="true" outlineLevel="0" collapsed="false">
      <c r="A117" s="12" t="str">
        <f aca="false">IF(품목마스터!$A114="","",품목마스터!$A114)</f>
        <v/>
      </c>
      <c r="B117" s="12" t="str">
        <f aca="false">IF($A117="","",품목마스터!$B114)</f>
        <v/>
      </c>
      <c r="C117" s="12" t="str">
        <f aca="false">IF($A117="","",품목마스터!$D114)</f>
        <v/>
      </c>
      <c r="D117" s="13" t="str">
        <f aca="false">IF($A117="","",IF(품목마스터!$F114="",0,품목마스터!$F114)+SUMIFS(입출고내역!$L$3:$L$1002,입출고내역!$C$3:$C$1002,$A117,입출고내역!$A$3:$A$1002,"&lt;"&amp;DATE($B$3,$D$3,1)))</f>
        <v/>
      </c>
      <c r="E117" s="13" t="str">
        <f aca="false">IF($A117="","",SUMIFS(입출고내역!$G$3:$G$1002,입출고내역!$C$3:$C$1002,$A117,입출고내역!$B$3:$B$1002,"입고",입출고내역!$A$3:$A$1002,"&gt;="&amp;DATE($B$3,$D$3,1),입출고내역!$A$3:$A$1002,"&lt;="&amp;EOMONTH(DATE($B$3,$D$3,1),0)))</f>
        <v/>
      </c>
      <c r="F117" s="13" t="str">
        <f aca="false">IF($A117="","",SUMIFS(입출고내역!$G$3:$G$1002,입출고내역!$C$3:$C$1002,$A117,입출고내역!$B$3:$B$1002,"출고",입출고내역!$A$3:$A$1002,"&gt;="&amp;DATE($B$3,$D$3,1),입출고내역!$A$3:$A$1002,"&lt;="&amp;EOMONTH(DATE($B$3,$D$3,1),0)))</f>
        <v/>
      </c>
      <c r="G117" s="13" t="str">
        <f aca="false">IF($A117="","",IF(품목마스터!$F114="",0,품목마스터!$F114)+SUMIFS(입출고내역!$L$3:$L$1002,입출고내역!$C$3:$C$1002,$A117,입출고내역!$A$3:$A$1002,"&lt;="&amp;EOMONTH(DATE($B$3,$D$3,1),0)))</f>
        <v/>
      </c>
      <c r="H117" s="13" t="str">
        <f aca="false">IF($A117="","",IF(품목마스터!$G114="",0,품목마스터!$G114))</f>
        <v/>
      </c>
    </row>
    <row r="118" customFormat="false" ht="15" hidden="false" customHeight="true" outlineLevel="0" collapsed="false">
      <c r="A118" s="12" t="str">
        <f aca="false">IF(품목마스터!$A115="","",품목마스터!$A115)</f>
        <v/>
      </c>
      <c r="B118" s="12" t="str">
        <f aca="false">IF($A118="","",품목마스터!$B115)</f>
        <v/>
      </c>
      <c r="C118" s="12" t="str">
        <f aca="false">IF($A118="","",품목마스터!$D115)</f>
        <v/>
      </c>
      <c r="D118" s="13" t="str">
        <f aca="false">IF($A118="","",IF(품목마스터!$F115="",0,품목마스터!$F115)+SUMIFS(입출고내역!$L$3:$L$1002,입출고내역!$C$3:$C$1002,$A118,입출고내역!$A$3:$A$1002,"&lt;"&amp;DATE($B$3,$D$3,1)))</f>
        <v/>
      </c>
      <c r="E118" s="13" t="str">
        <f aca="false">IF($A118="","",SUMIFS(입출고내역!$G$3:$G$1002,입출고내역!$C$3:$C$1002,$A118,입출고내역!$B$3:$B$1002,"입고",입출고내역!$A$3:$A$1002,"&gt;="&amp;DATE($B$3,$D$3,1),입출고내역!$A$3:$A$1002,"&lt;="&amp;EOMONTH(DATE($B$3,$D$3,1),0)))</f>
        <v/>
      </c>
      <c r="F118" s="13" t="str">
        <f aca="false">IF($A118="","",SUMIFS(입출고내역!$G$3:$G$1002,입출고내역!$C$3:$C$1002,$A118,입출고내역!$B$3:$B$1002,"출고",입출고내역!$A$3:$A$1002,"&gt;="&amp;DATE($B$3,$D$3,1),입출고내역!$A$3:$A$1002,"&lt;="&amp;EOMONTH(DATE($B$3,$D$3,1),0)))</f>
        <v/>
      </c>
      <c r="G118" s="13" t="str">
        <f aca="false">IF($A118="","",IF(품목마스터!$F115="",0,품목마스터!$F115)+SUMIFS(입출고내역!$L$3:$L$1002,입출고내역!$C$3:$C$1002,$A118,입출고내역!$A$3:$A$1002,"&lt;="&amp;EOMONTH(DATE($B$3,$D$3,1),0)))</f>
        <v/>
      </c>
      <c r="H118" s="13" t="str">
        <f aca="false">IF($A118="","",IF(품목마스터!$G115="",0,품목마스터!$G115))</f>
        <v/>
      </c>
    </row>
    <row r="119" customFormat="false" ht="15" hidden="false" customHeight="true" outlineLevel="0" collapsed="false">
      <c r="A119" s="12" t="str">
        <f aca="false">IF(품목마스터!$A116="","",품목마스터!$A116)</f>
        <v/>
      </c>
      <c r="B119" s="12" t="str">
        <f aca="false">IF($A119="","",품목마스터!$B116)</f>
        <v/>
      </c>
      <c r="C119" s="12" t="str">
        <f aca="false">IF($A119="","",품목마스터!$D116)</f>
        <v/>
      </c>
      <c r="D119" s="13" t="str">
        <f aca="false">IF($A119="","",IF(품목마스터!$F116="",0,품목마스터!$F116)+SUMIFS(입출고내역!$L$3:$L$1002,입출고내역!$C$3:$C$1002,$A119,입출고내역!$A$3:$A$1002,"&lt;"&amp;DATE($B$3,$D$3,1)))</f>
        <v/>
      </c>
      <c r="E119" s="13" t="str">
        <f aca="false">IF($A119="","",SUMIFS(입출고내역!$G$3:$G$1002,입출고내역!$C$3:$C$1002,$A119,입출고내역!$B$3:$B$1002,"입고",입출고내역!$A$3:$A$1002,"&gt;="&amp;DATE($B$3,$D$3,1),입출고내역!$A$3:$A$1002,"&lt;="&amp;EOMONTH(DATE($B$3,$D$3,1),0)))</f>
        <v/>
      </c>
      <c r="F119" s="13" t="str">
        <f aca="false">IF($A119="","",SUMIFS(입출고내역!$G$3:$G$1002,입출고내역!$C$3:$C$1002,$A119,입출고내역!$B$3:$B$1002,"출고",입출고내역!$A$3:$A$1002,"&gt;="&amp;DATE($B$3,$D$3,1),입출고내역!$A$3:$A$1002,"&lt;="&amp;EOMONTH(DATE($B$3,$D$3,1),0)))</f>
        <v/>
      </c>
      <c r="G119" s="13" t="str">
        <f aca="false">IF($A119="","",IF(품목마스터!$F116="",0,품목마스터!$F116)+SUMIFS(입출고내역!$L$3:$L$1002,입출고내역!$C$3:$C$1002,$A119,입출고내역!$A$3:$A$1002,"&lt;="&amp;EOMONTH(DATE($B$3,$D$3,1),0)))</f>
        <v/>
      </c>
      <c r="H119" s="13" t="str">
        <f aca="false">IF($A119="","",IF(품목마스터!$G116="",0,품목마스터!$G116))</f>
        <v/>
      </c>
    </row>
    <row r="120" customFormat="false" ht="15" hidden="false" customHeight="true" outlineLevel="0" collapsed="false">
      <c r="A120" s="12" t="str">
        <f aca="false">IF(품목마스터!$A117="","",품목마스터!$A117)</f>
        <v/>
      </c>
      <c r="B120" s="12" t="str">
        <f aca="false">IF($A120="","",품목마스터!$B117)</f>
        <v/>
      </c>
      <c r="C120" s="12" t="str">
        <f aca="false">IF($A120="","",품목마스터!$D117)</f>
        <v/>
      </c>
      <c r="D120" s="13" t="str">
        <f aca="false">IF($A120="","",IF(품목마스터!$F117="",0,품목마스터!$F117)+SUMIFS(입출고내역!$L$3:$L$1002,입출고내역!$C$3:$C$1002,$A120,입출고내역!$A$3:$A$1002,"&lt;"&amp;DATE($B$3,$D$3,1)))</f>
        <v/>
      </c>
      <c r="E120" s="13" t="str">
        <f aca="false">IF($A120="","",SUMIFS(입출고내역!$G$3:$G$1002,입출고내역!$C$3:$C$1002,$A120,입출고내역!$B$3:$B$1002,"입고",입출고내역!$A$3:$A$1002,"&gt;="&amp;DATE($B$3,$D$3,1),입출고내역!$A$3:$A$1002,"&lt;="&amp;EOMONTH(DATE($B$3,$D$3,1),0)))</f>
        <v/>
      </c>
      <c r="F120" s="13" t="str">
        <f aca="false">IF($A120="","",SUMIFS(입출고내역!$G$3:$G$1002,입출고내역!$C$3:$C$1002,$A120,입출고내역!$B$3:$B$1002,"출고",입출고내역!$A$3:$A$1002,"&gt;="&amp;DATE($B$3,$D$3,1),입출고내역!$A$3:$A$1002,"&lt;="&amp;EOMONTH(DATE($B$3,$D$3,1),0)))</f>
        <v/>
      </c>
      <c r="G120" s="13" t="str">
        <f aca="false">IF($A120="","",IF(품목마스터!$F117="",0,품목마스터!$F117)+SUMIFS(입출고내역!$L$3:$L$1002,입출고내역!$C$3:$C$1002,$A120,입출고내역!$A$3:$A$1002,"&lt;="&amp;EOMONTH(DATE($B$3,$D$3,1),0)))</f>
        <v/>
      </c>
      <c r="H120" s="13" t="str">
        <f aca="false">IF($A120="","",IF(품목마스터!$G117="",0,품목마스터!$G117))</f>
        <v/>
      </c>
    </row>
    <row r="121" customFormat="false" ht="15" hidden="false" customHeight="true" outlineLevel="0" collapsed="false">
      <c r="A121" s="12" t="str">
        <f aca="false">IF(품목마스터!$A118="","",품목마스터!$A118)</f>
        <v/>
      </c>
      <c r="B121" s="12" t="str">
        <f aca="false">IF($A121="","",품목마스터!$B118)</f>
        <v/>
      </c>
      <c r="C121" s="12" t="str">
        <f aca="false">IF($A121="","",품목마스터!$D118)</f>
        <v/>
      </c>
      <c r="D121" s="13" t="str">
        <f aca="false">IF($A121="","",IF(품목마스터!$F118="",0,품목마스터!$F118)+SUMIFS(입출고내역!$L$3:$L$1002,입출고내역!$C$3:$C$1002,$A121,입출고내역!$A$3:$A$1002,"&lt;"&amp;DATE($B$3,$D$3,1)))</f>
        <v/>
      </c>
      <c r="E121" s="13" t="str">
        <f aca="false">IF($A121="","",SUMIFS(입출고내역!$G$3:$G$1002,입출고내역!$C$3:$C$1002,$A121,입출고내역!$B$3:$B$1002,"입고",입출고내역!$A$3:$A$1002,"&gt;="&amp;DATE($B$3,$D$3,1),입출고내역!$A$3:$A$1002,"&lt;="&amp;EOMONTH(DATE($B$3,$D$3,1),0)))</f>
        <v/>
      </c>
      <c r="F121" s="13" t="str">
        <f aca="false">IF($A121="","",SUMIFS(입출고내역!$G$3:$G$1002,입출고내역!$C$3:$C$1002,$A121,입출고내역!$B$3:$B$1002,"출고",입출고내역!$A$3:$A$1002,"&gt;="&amp;DATE($B$3,$D$3,1),입출고내역!$A$3:$A$1002,"&lt;="&amp;EOMONTH(DATE($B$3,$D$3,1),0)))</f>
        <v/>
      </c>
      <c r="G121" s="13" t="str">
        <f aca="false">IF($A121="","",IF(품목마스터!$F118="",0,품목마스터!$F118)+SUMIFS(입출고내역!$L$3:$L$1002,입출고내역!$C$3:$C$1002,$A121,입출고내역!$A$3:$A$1002,"&lt;="&amp;EOMONTH(DATE($B$3,$D$3,1),0)))</f>
        <v/>
      </c>
      <c r="H121" s="13" t="str">
        <f aca="false">IF($A121="","",IF(품목마스터!$G118="",0,품목마스터!$G118))</f>
        <v/>
      </c>
    </row>
    <row r="122" customFormat="false" ht="15" hidden="false" customHeight="true" outlineLevel="0" collapsed="false">
      <c r="A122" s="12" t="str">
        <f aca="false">IF(품목마스터!$A119="","",품목마스터!$A119)</f>
        <v/>
      </c>
      <c r="B122" s="12" t="str">
        <f aca="false">IF($A122="","",품목마스터!$B119)</f>
        <v/>
      </c>
      <c r="C122" s="12" t="str">
        <f aca="false">IF($A122="","",품목마스터!$D119)</f>
        <v/>
      </c>
      <c r="D122" s="13" t="str">
        <f aca="false">IF($A122="","",IF(품목마스터!$F119="",0,품목마스터!$F119)+SUMIFS(입출고내역!$L$3:$L$1002,입출고내역!$C$3:$C$1002,$A122,입출고내역!$A$3:$A$1002,"&lt;"&amp;DATE($B$3,$D$3,1)))</f>
        <v/>
      </c>
      <c r="E122" s="13" t="str">
        <f aca="false">IF($A122="","",SUMIFS(입출고내역!$G$3:$G$1002,입출고내역!$C$3:$C$1002,$A122,입출고내역!$B$3:$B$1002,"입고",입출고내역!$A$3:$A$1002,"&gt;="&amp;DATE($B$3,$D$3,1),입출고내역!$A$3:$A$1002,"&lt;="&amp;EOMONTH(DATE($B$3,$D$3,1),0)))</f>
        <v/>
      </c>
      <c r="F122" s="13" t="str">
        <f aca="false">IF($A122="","",SUMIFS(입출고내역!$G$3:$G$1002,입출고내역!$C$3:$C$1002,$A122,입출고내역!$B$3:$B$1002,"출고",입출고내역!$A$3:$A$1002,"&gt;="&amp;DATE($B$3,$D$3,1),입출고내역!$A$3:$A$1002,"&lt;="&amp;EOMONTH(DATE($B$3,$D$3,1),0)))</f>
        <v/>
      </c>
      <c r="G122" s="13" t="str">
        <f aca="false">IF($A122="","",IF(품목마스터!$F119="",0,품목마스터!$F119)+SUMIFS(입출고내역!$L$3:$L$1002,입출고내역!$C$3:$C$1002,$A122,입출고내역!$A$3:$A$1002,"&lt;="&amp;EOMONTH(DATE($B$3,$D$3,1),0)))</f>
        <v/>
      </c>
      <c r="H122" s="13" t="str">
        <f aca="false">IF($A122="","",IF(품목마스터!$G119="",0,품목마스터!$G119))</f>
        <v/>
      </c>
    </row>
    <row r="123" customFormat="false" ht="15" hidden="false" customHeight="true" outlineLevel="0" collapsed="false">
      <c r="A123" s="12" t="str">
        <f aca="false">IF(품목마스터!$A120="","",품목마스터!$A120)</f>
        <v/>
      </c>
      <c r="B123" s="12" t="str">
        <f aca="false">IF($A123="","",품목마스터!$B120)</f>
        <v/>
      </c>
      <c r="C123" s="12" t="str">
        <f aca="false">IF($A123="","",품목마스터!$D120)</f>
        <v/>
      </c>
      <c r="D123" s="13" t="str">
        <f aca="false">IF($A123="","",IF(품목마스터!$F120="",0,품목마스터!$F120)+SUMIFS(입출고내역!$L$3:$L$1002,입출고내역!$C$3:$C$1002,$A123,입출고내역!$A$3:$A$1002,"&lt;"&amp;DATE($B$3,$D$3,1)))</f>
        <v/>
      </c>
      <c r="E123" s="13" t="str">
        <f aca="false">IF($A123="","",SUMIFS(입출고내역!$G$3:$G$1002,입출고내역!$C$3:$C$1002,$A123,입출고내역!$B$3:$B$1002,"입고",입출고내역!$A$3:$A$1002,"&gt;="&amp;DATE($B$3,$D$3,1),입출고내역!$A$3:$A$1002,"&lt;="&amp;EOMONTH(DATE($B$3,$D$3,1),0)))</f>
        <v/>
      </c>
      <c r="F123" s="13" t="str">
        <f aca="false">IF($A123="","",SUMIFS(입출고내역!$G$3:$G$1002,입출고내역!$C$3:$C$1002,$A123,입출고내역!$B$3:$B$1002,"출고",입출고내역!$A$3:$A$1002,"&gt;="&amp;DATE($B$3,$D$3,1),입출고내역!$A$3:$A$1002,"&lt;="&amp;EOMONTH(DATE($B$3,$D$3,1),0)))</f>
        <v/>
      </c>
      <c r="G123" s="13" t="str">
        <f aca="false">IF($A123="","",IF(품목마스터!$F120="",0,품목마스터!$F120)+SUMIFS(입출고내역!$L$3:$L$1002,입출고내역!$C$3:$C$1002,$A123,입출고내역!$A$3:$A$1002,"&lt;="&amp;EOMONTH(DATE($B$3,$D$3,1),0)))</f>
        <v/>
      </c>
      <c r="H123" s="13" t="str">
        <f aca="false">IF($A123="","",IF(품목마스터!$G120="",0,품목마스터!$G120))</f>
        <v/>
      </c>
    </row>
    <row r="124" customFormat="false" ht="15" hidden="false" customHeight="true" outlineLevel="0" collapsed="false">
      <c r="A124" s="12" t="str">
        <f aca="false">IF(품목마스터!$A121="","",품목마스터!$A121)</f>
        <v/>
      </c>
      <c r="B124" s="12" t="str">
        <f aca="false">IF($A124="","",품목마스터!$B121)</f>
        <v/>
      </c>
      <c r="C124" s="12" t="str">
        <f aca="false">IF($A124="","",품목마스터!$D121)</f>
        <v/>
      </c>
      <c r="D124" s="13" t="str">
        <f aca="false">IF($A124="","",IF(품목마스터!$F121="",0,품목마스터!$F121)+SUMIFS(입출고내역!$L$3:$L$1002,입출고내역!$C$3:$C$1002,$A124,입출고내역!$A$3:$A$1002,"&lt;"&amp;DATE($B$3,$D$3,1)))</f>
        <v/>
      </c>
      <c r="E124" s="13" t="str">
        <f aca="false">IF($A124="","",SUMIFS(입출고내역!$G$3:$G$1002,입출고내역!$C$3:$C$1002,$A124,입출고내역!$B$3:$B$1002,"입고",입출고내역!$A$3:$A$1002,"&gt;="&amp;DATE($B$3,$D$3,1),입출고내역!$A$3:$A$1002,"&lt;="&amp;EOMONTH(DATE($B$3,$D$3,1),0)))</f>
        <v/>
      </c>
      <c r="F124" s="13" t="str">
        <f aca="false">IF($A124="","",SUMIFS(입출고내역!$G$3:$G$1002,입출고내역!$C$3:$C$1002,$A124,입출고내역!$B$3:$B$1002,"출고",입출고내역!$A$3:$A$1002,"&gt;="&amp;DATE($B$3,$D$3,1),입출고내역!$A$3:$A$1002,"&lt;="&amp;EOMONTH(DATE($B$3,$D$3,1),0)))</f>
        <v/>
      </c>
      <c r="G124" s="13" t="str">
        <f aca="false">IF($A124="","",IF(품목마스터!$F121="",0,품목마스터!$F121)+SUMIFS(입출고내역!$L$3:$L$1002,입출고내역!$C$3:$C$1002,$A124,입출고내역!$A$3:$A$1002,"&lt;="&amp;EOMONTH(DATE($B$3,$D$3,1),0)))</f>
        <v/>
      </c>
      <c r="H124" s="13" t="str">
        <f aca="false">IF($A124="","",IF(품목마스터!$G121="",0,품목마스터!$G121))</f>
        <v/>
      </c>
    </row>
    <row r="125" customFormat="false" ht="15" hidden="false" customHeight="true" outlineLevel="0" collapsed="false">
      <c r="A125" s="12" t="str">
        <f aca="false">IF(품목마스터!$A122="","",품목마스터!$A122)</f>
        <v/>
      </c>
      <c r="B125" s="12" t="str">
        <f aca="false">IF($A125="","",품목마스터!$B122)</f>
        <v/>
      </c>
      <c r="C125" s="12" t="str">
        <f aca="false">IF($A125="","",품목마스터!$D122)</f>
        <v/>
      </c>
      <c r="D125" s="13" t="str">
        <f aca="false">IF($A125="","",IF(품목마스터!$F122="",0,품목마스터!$F122)+SUMIFS(입출고내역!$L$3:$L$1002,입출고내역!$C$3:$C$1002,$A125,입출고내역!$A$3:$A$1002,"&lt;"&amp;DATE($B$3,$D$3,1)))</f>
        <v/>
      </c>
      <c r="E125" s="13" t="str">
        <f aca="false">IF($A125="","",SUMIFS(입출고내역!$G$3:$G$1002,입출고내역!$C$3:$C$1002,$A125,입출고내역!$B$3:$B$1002,"입고",입출고내역!$A$3:$A$1002,"&gt;="&amp;DATE($B$3,$D$3,1),입출고내역!$A$3:$A$1002,"&lt;="&amp;EOMONTH(DATE($B$3,$D$3,1),0)))</f>
        <v/>
      </c>
      <c r="F125" s="13" t="str">
        <f aca="false">IF($A125="","",SUMIFS(입출고내역!$G$3:$G$1002,입출고내역!$C$3:$C$1002,$A125,입출고내역!$B$3:$B$1002,"출고",입출고내역!$A$3:$A$1002,"&gt;="&amp;DATE($B$3,$D$3,1),입출고내역!$A$3:$A$1002,"&lt;="&amp;EOMONTH(DATE($B$3,$D$3,1),0)))</f>
        <v/>
      </c>
      <c r="G125" s="13" t="str">
        <f aca="false">IF($A125="","",IF(품목마스터!$F122="",0,품목마스터!$F122)+SUMIFS(입출고내역!$L$3:$L$1002,입출고내역!$C$3:$C$1002,$A125,입출고내역!$A$3:$A$1002,"&lt;="&amp;EOMONTH(DATE($B$3,$D$3,1),0)))</f>
        <v/>
      </c>
      <c r="H125" s="13" t="str">
        <f aca="false">IF($A125="","",IF(품목마스터!$G122="",0,품목마스터!$G122))</f>
        <v/>
      </c>
    </row>
    <row r="126" customFormat="false" ht="15" hidden="false" customHeight="true" outlineLevel="0" collapsed="false">
      <c r="A126" s="12" t="str">
        <f aca="false">IF(품목마스터!$A123="","",품목마스터!$A123)</f>
        <v/>
      </c>
      <c r="B126" s="12" t="str">
        <f aca="false">IF($A126="","",품목마스터!$B123)</f>
        <v/>
      </c>
      <c r="C126" s="12" t="str">
        <f aca="false">IF($A126="","",품목마스터!$D123)</f>
        <v/>
      </c>
      <c r="D126" s="13" t="str">
        <f aca="false">IF($A126="","",IF(품목마스터!$F123="",0,품목마스터!$F123)+SUMIFS(입출고내역!$L$3:$L$1002,입출고내역!$C$3:$C$1002,$A126,입출고내역!$A$3:$A$1002,"&lt;"&amp;DATE($B$3,$D$3,1)))</f>
        <v/>
      </c>
      <c r="E126" s="13" t="str">
        <f aca="false">IF($A126="","",SUMIFS(입출고내역!$G$3:$G$1002,입출고내역!$C$3:$C$1002,$A126,입출고내역!$B$3:$B$1002,"입고",입출고내역!$A$3:$A$1002,"&gt;="&amp;DATE($B$3,$D$3,1),입출고내역!$A$3:$A$1002,"&lt;="&amp;EOMONTH(DATE($B$3,$D$3,1),0)))</f>
        <v/>
      </c>
      <c r="F126" s="13" t="str">
        <f aca="false">IF($A126="","",SUMIFS(입출고내역!$G$3:$G$1002,입출고내역!$C$3:$C$1002,$A126,입출고내역!$B$3:$B$1002,"출고",입출고내역!$A$3:$A$1002,"&gt;="&amp;DATE($B$3,$D$3,1),입출고내역!$A$3:$A$1002,"&lt;="&amp;EOMONTH(DATE($B$3,$D$3,1),0)))</f>
        <v/>
      </c>
      <c r="G126" s="13" t="str">
        <f aca="false">IF($A126="","",IF(품목마스터!$F123="",0,품목마스터!$F123)+SUMIFS(입출고내역!$L$3:$L$1002,입출고내역!$C$3:$C$1002,$A126,입출고내역!$A$3:$A$1002,"&lt;="&amp;EOMONTH(DATE($B$3,$D$3,1),0)))</f>
        <v/>
      </c>
      <c r="H126" s="13" t="str">
        <f aca="false">IF($A126="","",IF(품목마스터!$G123="",0,품목마스터!$G123))</f>
        <v/>
      </c>
    </row>
    <row r="127" customFormat="false" ht="15" hidden="false" customHeight="true" outlineLevel="0" collapsed="false">
      <c r="A127" s="12" t="str">
        <f aca="false">IF(품목마스터!$A124="","",품목마스터!$A124)</f>
        <v/>
      </c>
      <c r="B127" s="12" t="str">
        <f aca="false">IF($A127="","",품목마스터!$B124)</f>
        <v/>
      </c>
      <c r="C127" s="12" t="str">
        <f aca="false">IF($A127="","",품목마스터!$D124)</f>
        <v/>
      </c>
      <c r="D127" s="13" t="str">
        <f aca="false">IF($A127="","",IF(품목마스터!$F124="",0,품목마스터!$F124)+SUMIFS(입출고내역!$L$3:$L$1002,입출고내역!$C$3:$C$1002,$A127,입출고내역!$A$3:$A$1002,"&lt;"&amp;DATE($B$3,$D$3,1)))</f>
        <v/>
      </c>
      <c r="E127" s="13" t="str">
        <f aca="false">IF($A127="","",SUMIFS(입출고내역!$G$3:$G$1002,입출고내역!$C$3:$C$1002,$A127,입출고내역!$B$3:$B$1002,"입고",입출고내역!$A$3:$A$1002,"&gt;="&amp;DATE($B$3,$D$3,1),입출고내역!$A$3:$A$1002,"&lt;="&amp;EOMONTH(DATE($B$3,$D$3,1),0)))</f>
        <v/>
      </c>
      <c r="F127" s="13" t="str">
        <f aca="false">IF($A127="","",SUMIFS(입출고내역!$G$3:$G$1002,입출고내역!$C$3:$C$1002,$A127,입출고내역!$B$3:$B$1002,"출고",입출고내역!$A$3:$A$1002,"&gt;="&amp;DATE($B$3,$D$3,1),입출고내역!$A$3:$A$1002,"&lt;="&amp;EOMONTH(DATE($B$3,$D$3,1),0)))</f>
        <v/>
      </c>
      <c r="G127" s="13" t="str">
        <f aca="false">IF($A127="","",IF(품목마스터!$F124="",0,품목마스터!$F124)+SUMIFS(입출고내역!$L$3:$L$1002,입출고내역!$C$3:$C$1002,$A127,입출고내역!$A$3:$A$1002,"&lt;="&amp;EOMONTH(DATE($B$3,$D$3,1),0)))</f>
        <v/>
      </c>
      <c r="H127" s="13" t="str">
        <f aca="false">IF($A127="","",IF(품목마스터!$G124="",0,품목마스터!$G124))</f>
        <v/>
      </c>
    </row>
    <row r="128" customFormat="false" ht="15" hidden="false" customHeight="true" outlineLevel="0" collapsed="false">
      <c r="A128" s="12" t="str">
        <f aca="false">IF(품목마스터!$A125="","",품목마스터!$A125)</f>
        <v/>
      </c>
      <c r="B128" s="12" t="str">
        <f aca="false">IF($A128="","",품목마스터!$B125)</f>
        <v/>
      </c>
      <c r="C128" s="12" t="str">
        <f aca="false">IF($A128="","",품목마스터!$D125)</f>
        <v/>
      </c>
      <c r="D128" s="13" t="str">
        <f aca="false">IF($A128="","",IF(품목마스터!$F125="",0,품목마스터!$F125)+SUMIFS(입출고내역!$L$3:$L$1002,입출고내역!$C$3:$C$1002,$A128,입출고내역!$A$3:$A$1002,"&lt;"&amp;DATE($B$3,$D$3,1)))</f>
        <v/>
      </c>
      <c r="E128" s="13" t="str">
        <f aca="false">IF($A128="","",SUMIFS(입출고내역!$G$3:$G$1002,입출고내역!$C$3:$C$1002,$A128,입출고내역!$B$3:$B$1002,"입고",입출고내역!$A$3:$A$1002,"&gt;="&amp;DATE($B$3,$D$3,1),입출고내역!$A$3:$A$1002,"&lt;="&amp;EOMONTH(DATE($B$3,$D$3,1),0)))</f>
        <v/>
      </c>
      <c r="F128" s="13" t="str">
        <f aca="false">IF($A128="","",SUMIFS(입출고내역!$G$3:$G$1002,입출고내역!$C$3:$C$1002,$A128,입출고내역!$B$3:$B$1002,"출고",입출고내역!$A$3:$A$1002,"&gt;="&amp;DATE($B$3,$D$3,1),입출고내역!$A$3:$A$1002,"&lt;="&amp;EOMONTH(DATE($B$3,$D$3,1),0)))</f>
        <v/>
      </c>
      <c r="G128" s="13" t="str">
        <f aca="false">IF($A128="","",IF(품목마스터!$F125="",0,품목마스터!$F125)+SUMIFS(입출고내역!$L$3:$L$1002,입출고내역!$C$3:$C$1002,$A128,입출고내역!$A$3:$A$1002,"&lt;="&amp;EOMONTH(DATE($B$3,$D$3,1),0)))</f>
        <v/>
      </c>
      <c r="H128" s="13" t="str">
        <f aca="false">IF($A128="","",IF(품목마스터!$G125="",0,품목마스터!$G125))</f>
        <v/>
      </c>
    </row>
    <row r="129" customFormat="false" ht="15" hidden="false" customHeight="true" outlineLevel="0" collapsed="false">
      <c r="A129" s="12" t="str">
        <f aca="false">IF(품목마스터!$A126="","",품목마스터!$A126)</f>
        <v/>
      </c>
      <c r="B129" s="12" t="str">
        <f aca="false">IF($A129="","",품목마스터!$B126)</f>
        <v/>
      </c>
      <c r="C129" s="12" t="str">
        <f aca="false">IF($A129="","",품목마스터!$D126)</f>
        <v/>
      </c>
      <c r="D129" s="13" t="str">
        <f aca="false">IF($A129="","",IF(품목마스터!$F126="",0,품목마스터!$F126)+SUMIFS(입출고내역!$L$3:$L$1002,입출고내역!$C$3:$C$1002,$A129,입출고내역!$A$3:$A$1002,"&lt;"&amp;DATE($B$3,$D$3,1)))</f>
        <v/>
      </c>
      <c r="E129" s="13" t="str">
        <f aca="false">IF($A129="","",SUMIFS(입출고내역!$G$3:$G$1002,입출고내역!$C$3:$C$1002,$A129,입출고내역!$B$3:$B$1002,"입고",입출고내역!$A$3:$A$1002,"&gt;="&amp;DATE($B$3,$D$3,1),입출고내역!$A$3:$A$1002,"&lt;="&amp;EOMONTH(DATE($B$3,$D$3,1),0)))</f>
        <v/>
      </c>
      <c r="F129" s="13" t="str">
        <f aca="false">IF($A129="","",SUMIFS(입출고내역!$G$3:$G$1002,입출고내역!$C$3:$C$1002,$A129,입출고내역!$B$3:$B$1002,"출고",입출고내역!$A$3:$A$1002,"&gt;="&amp;DATE($B$3,$D$3,1),입출고내역!$A$3:$A$1002,"&lt;="&amp;EOMONTH(DATE($B$3,$D$3,1),0)))</f>
        <v/>
      </c>
      <c r="G129" s="13" t="str">
        <f aca="false">IF($A129="","",IF(품목마스터!$F126="",0,품목마스터!$F126)+SUMIFS(입출고내역!$L$3:$L$1002,입출고내역!$C$3:$C$1002,$A129,입출고내역!$A$3:$A$1002,"&lt;="&amp;EOMONTH(DATE($B$3,$D$3,1),0)))</f>
        <v/>
      </c>
      <c r="H129" s="13" t="str">
        <f aca="false">IF($A129="","",IF(품목마스터!$G126="",0,품목마스터!$G126))</f>
        <v/>
      </c>
    </row>
    <row r="130" customFormat="false" ht="15" hidden="false" customHeight="true" outlineLevel="0" collapsed="false">
      <c r="A130" s="12" t="str">
        <f aca="false">IF(품목마스터!$A127="","",품목마스터!$A127)</f>
        <v/>
      </c>
      <c r="B130" s="12" t="str">
        <f aca="false">IF($A130="","",품목마스터!$B127)</f>
        <v/>
      </c>
      <c r="C130" s="12" t="str">
        <f aca="false">IF($A130="","",품목마스터!$D127)</f>
        <v/>
      </c>
      <c r="D130" s="13" t="str">
        <f aca="false">IF($A130="","",IF(품목마스터!$F127="",0,품목마스터!$F127)+SUMIFS(입출고내역!$L$3:$L$1002,입출고내역!$C$3:$C$1002,$A130,입출고내역!$A$3:$A$1002,"&lt;"&amp;DATE($B$3,$D$3,1)))</f>
        <v/>
      </c>
      <c r="E130" s="13" t="str">
        <f aca="false">IF($A130="","",SUMIFS(입출고내역!$G$3:$G$1002,입출고내역!$C$3:$C$1002,$A130,입출고내역!$B$3:$B$1002,"입고",입출고내역!$A$3:$A$1002,"&gt;="&amp;DATE($B$3,$D$3,1),입출고내역!$A$3:$A$1002,"&lt;="&amp;EOMONTH(DATE($B$3,$D$3,1),0)))</f>
        <v/>
      </c>
      <c r="F130" s="13" t="str">
        <f aca="false">IF($A130="","",SUMIFS(입출고내역!$G$3:$G$1002,입출고내역!$C$3:$C$1002,$A130,입출고내역!$B$3:$B$1002,"출고",입출고내역!$A$3:$A$1002,"&gt;="&amp;DATE($B$3,$D$3,1),입출고내역!$A$3:$A$1002,"&lt;="&amp;EOMONTH(DATE($B$3,$D$3,1),0)))</f>
        <v/>
      </c>
      <c r="G130" s="13" t="str">
        <f aca="false">IF($A130="","",IF(품목마스터!$F127="",0,품목마스터!$F127)+SUMIFS(입출고내역!$L$3:$L$1002,입출고내역!$C$3:$C$1002,$A130,입출고내역!$A$3:$A$1002,"&lt;="&amp;EOMONTH(DATE($B$3,$D$3,1),0)))</f>
        <v/>
      </c>
      <c r="H130" s="13" t="str">
        <f aca="false">IF($A130="","",IF(품목마스터!$G127="",0,품목마스터!$G127))</f>
        <v/>
      </c>
    </row>
    <row r="131" customFormat="false" ht="15" hidden="false" customHeight="true" outlineLevel="0" collapsed="false">
      <c r="A131" s="12" t="str">
        <f aca="false">IF(품목마스터!$A128="","",품목마스터!$A128)</f>
        <v/>
      </c>
      <c r="B131" s="12" t="str">
        <f aca="false">IF($A131="","",품목마스터!$B128)</f>
        <v/>
      </c>
      <c r="C131" s="12" t="str">
        <f aca="false">IF($A131="","",품목마스터!$D128)</f>
        <v/>
      </c>
      <c r="D131" s="13" t="str">
        <f aca="false">IF($A131="","",IF(품목마스터!$F128="",0,품목마스터!$F128)+SUMIFS(입출고내역!$L$3:$L$1002,입출고내역!$C$3:$C$1002,$A131,입출고내역!$A$3:$A$1002,"&lt;"&amp;DATE($B$3,$D$3,1)))</f>
        <v/>
      </c>
      <c r="E131" s="13" t="str">
        <f aca="false">IF($A131="","",SUMIFS(입출고내역!$G$3:$G$1002,입출고내역!$C$3:$C$1002,$A131,입출고내역!$B$3:$B$1002,"입고",입출고내역!$A$3:$A$1002,"&gt;="&amp;DATE($B$3,$D$3,1),입출고내역!$A$3:$A$1002,"&lt;="&amp;EOMONTH(DATE($B$3,$D$3,1),0)))</f>
        <v/>
      </c>
      <c r="F131" s="13" t="str">
        <f aca="false">IF($A131="","",SUMIFS(입출고내역!$G$3:$G$1002,입출고내역!$C$3:$C$1002,$A131,입출고내역!$B$3:$B$1002,"출고",입출고내역!$A$3:$A$1002,"&gt;="&amp;DATE($B$3,$D$3,1),입출고내역!$A$3:$A$1002,"&lt;="&amp;EOMONTH(DATE($B$3,$D$3,1),0)))</f>
        <v/>
      </c>
      <c r="G131" s="13" t="str">
        <f aca="false">IF($A131="","",IF(품목마스터!$F128="",0,품목마스터!$F128)+SUMIFS(입출고내역!$L$3:$L$1002,입출고내역!$C$3:$C$1002,$A131,입출고내역!$A$3:$A$1002,"&lt;="&amp;EOMONTH(DATE($B$3,$D$3,1),0)))</f>
        <v/>
      </c>
      <c r="H131" s="13" t="str">
        <f aca="false">IF($A131="","",IF(품목마스터!$G128="",0,품목마스터!$G128))</f>
        <v/>
      </c>
    </row>
    <row r="132" customFormat="false" ht="15" hidden="false" customHeight="true" outlineLevel="0" collapsed="false">
      <c r="A132" s="12" t="str">
        <f aca="false">IF(품목마스터!$A129="","",품목마스터!$A129)</f>
        <v/>
      </c>
      <c r="B132" s="12" t="str">
        <f aca="false">IF($A132="","",품목마스터!$B129)</f>
        <v/>
      </c>
      <c r="C132" s="12" t="str">
        <f aca="false">IF($A132="","",품목마스터!$D129)</f>
        <v/>
      </c>
      <c r="D132" s="13" t="str">
        <f aca="false">IF($A132="","",IF(품목마스터!$F129="",0,품목마스터!$F129)+SUMIFS(입출고내역!$L$3:$L$1002,입출고내역!$C$3:$C$1002,$A132,입출고내역!$A$3:$A$1002,"&lt;"&amp;DATE($B$3,$D$3,1)))</f>
        <v/>
      </c>
      <c r="E132" s="13" t="str">
        <f aca="false">IF($A132="","",SUMIFS(입출고내역!$G$3:$G$1002,입출고내역!$C$3:$C$1002,$A132,입출고내역!$B$3:$B$1002,"입고",입출고내역!$A$3:$A$1002,"&gt;="&amp;DATE($B$3,$D$3,1),입출고내역!$A$3:$A$1002,"&lt;="&amp;EOMONTH(DATE($B$3,$D$3,1),0)))</f>
        <v/>
      </c>
      <c r="F132" s="13" t="str">
        <f aca="false">IF($A132="","",SUMIFS(입출고내역!$G$3:$G$1002,입출고내역!$C$3:$C$1002,$A132,입출고내역!$B$3:$B$1002,"출고",입출고내역!$A$3:$A$1002,"&gt;="&amp;DATE($B$3,$D$3,1),입출고내역!$A$3:$A$1002,"&lt;="&amp;EOMONTH(DATE($B$3,$D$3,1),0)))</f>
        <v/>
      </c>
      <c r="G132" s="13" t="str">
        <f aca="false">IF($A132="","",IF(품목마스터!$F129="",0,품목마스터!$F129)+SUMIFS(입출고내역!$L$3:$L$1002,입출고내역!$C$3:$C$1002,$A132,입출고내역!$A$3:$A$1002,"&lt;="&amp;EOMONTH(DATE($B$3,$D$3,1),0)))</f>
        <v/>
      </c>
      <c r="H132" s="13" t="str">
        <f aca="false">IF($A132="","",IF(품목마스터!$G129="",0,품목마스터!$G129))</f>
        <v/>
      </c>
    </row>
    <row r="133" customFormat="false" ht="15" hidden="false" customHeight="true" outlineLevel="0" collapsed="false">
      <c r="A133" s="12" t="str">
        <f aca="false">IF(품목마스터!$A130="","",품목마스터!$A130)</f>
        <v/>
      </c>
      <c r="B133" s="12" t="str">
        <f aca="false">IF($A133="","",품목마스터!$B130)</f>
        <v/>
      </c>
      <c r="C133" s="12" t="str">
        <f aca="false">IF($A133="","",품목마스터!$D130)</f>
        <v/>
      </c>
      <c r="D133" s="13" t="str">
        <f aca="false">IF($A133="","",IF(품목마스터!$F130="",0,품목마스터!$F130)+SUMIFS(입출고내역!$L$3:$L$1002,입출고내역!$C$3:$C$1002,$A133,입출고내역!$A$3:$A$1002,"&lt;"&amp;DATE($B$3,$D$3,1)))</f>
        <v/>
      </c>
      <c r="E133" s="13" t="str">
        <f aca="false">IF($A133="","",SUMIFS(입출고내역!$G$3:$G$1002,입출고내역!$C$3:$C$1002,$A133,입출고내역!$B$3:$B$1002,"입고",입출고내역!$A$3:$A$1002,"&gt;="&amp;DATE($B$3,$D$3,1),입출고내역!$A$3:$A$1002,"&lt;="&amp;EOMONTH(DATE($B$3,$D$3,1),0)))</f>
        <v/>
      </c>
      <c r="F133" s="13" t="str">
        <f aca="false">IF($A133="","",SUMIFS(입출고내역!$G$3:$G$1002,입출고내역!$C$3:$C$1002,$A133,입출고내역!$B$3:$B$1002,"출고",입출고내역!$A$3:$A$1002,"&gt;="&amp;DATE($B$3,$D$3,1),입출고내역!$A$3:$A$1002,"&lt;="&amp;EOMONTH(DATE($B$3,$D$3,1),0)))</f>
        <v/>
      </c>
      <c r="G133" s="13" t="str">
        <f aca="false">IF($A133="","",IF(품목마스터!$F130="",0,품목마스터!$F130)+SUMIFS(입출고내역!$L$3:$L$1002,입출고내역!$C$3:$C$1002,$A133,입출고내역!$A$3:$A$1002,"&lt;="&amp;EOMONTH(DATE($B$3,$D$3,1),0)))</f>
        <v/>
      </c>
      <c r="H133" s="13" t="str">
        <f aca="false">IF($A133="","",IF(품목마스터!$G130="",0,품목마스터!$G130))</f>
        <v/>
      </c>
    </row>
    <row r="134" customFormat="false" ht="15" hidden="false" customHeight="true" outlineLevel="0" collapsed="false">
      <c r="A134" s="12" t="str">
        <f aca="false">IF(품목마스터!$A131="","",품목마스터!$A131)</f>
        <v/>
      </c>
      <c r="B134" s="12" t="str">
        <f aca="false">IF($A134="","",품목마스터!$B131)</f>
        <v/>
      </c>
      <c r="C134" s="12" t="str">
        <f aca="false">IF($A134="","",품목마스터!$D131)</f>
        <v/>
      </c>
      <c r="D134" s="13" t="str">
        <f aca="false">IF($A134="","",IF(품목마스터!$F131="",0,품목마스터!$F131)+SUMIFS(입출고내역!$L$3:$L$1002,입출고내역!$C$3:$C$1002,$A134,입출고내역!$A$3:$A$1002,"&lt;"&amp;DATE($B$3,$D$3,1)))</f>
        <v/>
      </c>
      <c r="E134" s="13" t="str">
        <f aca="false">IF($A134="","",SUMIFS(입출고내역!$G$3:$G$1002,입출고내역!$C$3:$C$1002,$A134,입출고내역!$B$3:$B$1002,"입고",입출고내역!$A$3:$A$1002,"&gt;="&amp;DATE($B$3,$D$3,1),입출고내역!$A$3:$A$1002,"&lt;="&amp;EOMONTH(DATE($B$3,$D$3,1),0)))</f>
        <v/>
      </c>
      <c r="F134" s="13" t="str">
        <f aca="false">IF($A134="","",SUMIFS(입출고내역!$G$3:$G$1002,입출고내역!$C$3:$C$1002,$A134,입출고내역!$B$3:$B$1002,"출고",입출고내역!$A$3:$A$1002,"&gt;="&amp;DATE($B$3,$D$3,1),입출고내역!$A$3:$A$1002,"&lt;="&amp;EOMONTH(DATE($B$3,$D$3,1),0)))</f>
        <v/>
      </c>
      <c r="G134" s="13" t="str">
        <f aca="false">IF($A134="","",IF(품목마스터!$F131="",0,품목마스터!$F131)+SUMIFS(입출고내역!$L$3:$L$1002,입출고내역!$C$3:$C$1002,$A134,입출고내역!$A$3:$A$1002,"&lt;="&amp;EOMONTH(DATE($B$3,$D$3,1),0)))</f>
        <v/>
      </c>
      <c r="H134" s="13" t="str">
        <f aca="false">IF($A134="","",IF(품목마스터!$G131="",0,품목마스터!$G131))</f>
        <v/>
      </c>
    </row>
    <row r="135" customFormat="false" ht="15" hidden="false" customHeight="true" outlineLevel="0" collapsed="false">
      <c r="A135" s="12" t="str">
        <f aca="false">IF(품목마스터!$A132="","",품목마스터!$A132)</f>
        <v/>
      </c>
      <c r="B135" s="12" t="str">
        <f aca="false">IF($A135="","",품목마스터!$B132)</f>
        <v/>
      </c>
      <c r="C135" s="12" t="str">
        <f aca="false">IF($A135="","",품목마스터!$D132)</f>
        <v/>
      </c>
      <c r="D135" s="13" t="str">
        <f aca="false">IF($A135="","",IF(품목마스터!$F132="",0,품목마스터!$F132)+SUMIFS(입출고내역!$L$3:$L$1002,입출고내역!$C$3:$C$1002,$A135,입출고내역!$A$3:$A$1002,"&lt;"&amp;DATE($B$3,$D$3,1)))</f>
        <v/>
      </c>
      <c r="E135" s="13" t="str">
        <f aca="false">IF($A135="","",SUMIFS(입출고내역!$G$3:$G$1002,입출고내역!$C$3:$C$1002,$A135,입출고내역!$B$3:$B$1002,"입고",입출고내역!$A$3:$A$1002,"&gt;="&amp;DATE($B$3,$D$3,1),입출고내역!$A$3:$A$1002,"&lt;="&amp;EOMONTH(DATE($B$3,$D$3,1),0)))</f>
        <v/>
      </c>
      <c r="F135" s="13" t="str">
        <f aca="false">IF($A135="","",SUMIFS(입출고내역!$G$3:$G$1002,입출고내역!$C$3:$C$1002,$A135,입출고내역!$B$3:$B$1002,"출고",입출고내역!$A$3:$A$1002,"&gt;="&amp;DATE($B$3,$D$3,1),입출고내역!$A$3:$A$1002,"&lt;="&amp;EOMONTH(DATE($B$3,$D$3,1),0)))</f>
        <v/>
      </c>
      <c r="G135" s="13" t="str">
        <f aca="false">IF($A135="","",IF(품목마스터!$F132="",0,품목마스터!$F132)+SUMIFS(입출고내역!$L$3:$L$1002,입출고내역!$C$3:$C$1002,$A135,입출고내역!$A$3:$A$1002,"&lt;="&amp;EOMONTH(DATE($B$3,$D$3,1),0)))</f>
        <v/>
      </c>
      <c r="H135" s="13" t="str">
        <f aca="false">IF($A135="","",IF(품목마스터!$G132="",0,품목마스터!$G132))</f>
        <v/>
      </c>
    </row>
    <row r="136" customFormat="false" ht="15" hidden="false" customHeight="true" outlineLevel="0" collapsed="false">
      <c r="A136" s="12" t="str">
        <f aca="false">IF(품목마스터!$A133="","",품목마스터!$A133)</f>
        <v/>
      </c>
      <c r="B136" s="12" t="str">
        <f aca="false">IF($A136="","",품목마스터!$B133)</f>
        <v/>
      </c>
      <c r="C136" s="12" t="str">
        <f aca="false">IF($A136="","",품목마스터!$D133)</f>
        <v/>
      </c>
      <c r="D136" s="13" t="str">
        <f aca="false">IF($A136="","",IF(품목마스터!$F133="",0,품목마스터!$F133)+SUMIFS(입출고내역!$L$3:$L$1002,입출고내역!$C$3:$C$1002,$A136,입출고내역!$A$3:$A$1002,"&lt;"&amp;DATE($B$3,$D$3,1)))</f>
        <v/>
      </c>
      <c r="E136" s="13" t="str">
        <f aca="false">IF($A136="","",SUMIFS(입출고내역!$G$3:$G$1002,입출고내역!$C$3:$C$1002,$A136,입출고내역!$B$3:$B$1002,"입고",입출고내역!$A$3:$A$1002,"&gt;="&amp;DATE($B$3,$D$3,1),입출고내역!$A$3:$A$1002,"&lt;="&amp;EOMONTH(DATE($B$3,$D$3,1),0)))</f>
        <v/>
      </c>
      <c r="F136" s="13" t="str">
        <f aca="false">IF($A136="","",SUMIFS(입출고내역!$G$3:$G$1002,입출고내역!$C$3:$C$1002,$A136,입출고내역!$B$3:$B$1002,"출고",입출고내역!$A$3:$A$1002,"&gt;="&amp;DATE($B$3,$D$3,1),입출고내역!$A$3:$A$1002,"&lt;="&amp;EOMONTH(DATE($B$3,$D$3,1),0)))</f>
        <v/>
      </c>
      <c r="G136" s="13" t="str">
        <f aca="false">IF($A136="","",IF(품목마스터!$F133="",0,품목마스터!$F133)+SUMIFS(입출고내역!$L$3:$L$1002,입출고내역!$C$3:$C$1002,$A136,입출고내역!$A$3:$A$1002,"&lt;="&amp;EOMONTH(DATE($B$3,$D$3,1),0)))</f>
        <v/>
      </c>
      <c r="H136" s="13" t="str">
        <f aca="false">IF($A136="","",IF(품목마스터!$G133="",0,품목마스터!$G133))</f>
        <v/>
      </c>
    </row>
    <row r="137" customFormat="false" ht="15" hidden="false" customHeight="true" outlineLevel="0" collapsed="false">
      <c r="A137" s="12" t="str">
        <f aca="false">IF(품목마스터!$A134="","",품목마스터!$A134)</f>
        <v/>
      </c>
      <c r="B137" s="12" t="str">
        <f aca="false">IF($A137="","",품목마스터!$B134)</f>
        <v/>
      </c>
      <c r="C137" s="12" t="str">
        <f aca="false">IF($A137="","",품목마스터!$D134)</f>
        <v/>
      </c>
      <c r="D137" s="13" t="str">
        <f aca="false">IF($A137="","",IF(품목마스터!$F134="",0,품목마스터!$F134)+SUMIFS(입출고내역!$L$3:$L$1002,입출고내역!$C$3:$C$1002,$A137,입출고내역!$A$3:$A$1002,"&lt;"&amp;DATE($B$3,$D$3,1)))</f>
        <v/>
      </c>
      <c r="E137" s="13" t="str">
        <f aca="false">IF($A137="","",SUMIFS(입출고내역!$G$3:$G$1002,입출고내역!$C$3:$C$1002,$A137,입출고내역!$B$3:$B$1002,"입고",입출고내역!$A$3:$A$1002,"&gt;="&amp;DATE($B$3,$D$3,1),입출고내역!$A$3:$A$1002,"&lt;="&amp;EOMONTH(DATE($B$3,$D$3,1),0)))</f>
        <v/>
      </c>
      <c r="F137" s="13" t="str">
        <f aca="false">IF($A137="","",SUMIFS(입출고내역!$G$3:$G$1002,입출고내역!$C$3:$C$1002,$A137,입출고내역!$B$3:$B$1002,"출고",입출고내역!$A$3:$A$1002,"&gt;="&amp;DATE($B$3,$D$3,1),입출고내역!$A$3:$A$1002,"&lt;="&amp;EOMONTH(DATE($B$3,$D$3,1),0)))</f>
        <v/>
      </c>
      <c r="G137" s="13" t="str">
        <f aca="false">IF($A137="","",IF(품목마스터!$F134="",0,품목마스터!$F134)+SUMIFS(입출고내역!$L$3:$L$1002,입출고내역!$C$3:$C$1002,$A137,입출고내역!$A$3:$A$1002,"&lt;="&amp;EOMONTH(DATE($B$3,$D$3,1),0)))</f>
        <v/>
      </c>
      <c r="H137" s="13" t="str">
        <f aca="false">IF($A137="","",IF(품목마스터!$G134="",0,품목마스터!$G134))</f>
        <v/>
      </c>
    </row>
    <row r="138" customFormat="false" ht="15" hidden="false" customHeight="true" outlineLevel="0" collapsed="false">
      <c r="A138" s="12" t="str">
        <f aca="false">IF(품목마스터!$A135="","",품목마스터!$A135)</f>
        <v/>
      </c>
      <c r="B138" s="12" t="str">
        <f aca="false">IF($A138="","",품목마스터!$B135)</f>
        <v/>
      </c>
      <c r="C138" s="12" t="str">
        <f aca="false">IF($A138="","",품목마스터!$D135)</f>
        <v/>
      </c>
      <c r="D138" s="13" t="str">
        <f aca="false">IF($A138="","",IF(품목마스터!$F135="",0,품목마스터!$F135)+SUMIFS(입출고내역!$L$3:$L$1002,입출고내역!$C$3:$C$1002,$A138,입출고내역!$A$3:$A$1002,"&lt;"&amp;DATE($B$3,$D$3,1)))</f>
        <v/>
      </c>
      <c r="E138" s="13" t="str">
        <f aca="false">IF($A138="","",SUMIFS(입출고내역!$G$3:$G$1002,입출고내역!$C$3:$C$1002,$A138,입출고내역!$B$3:$B$1002,"입고",입출고내역!$A$3:$A$1002,"&gt;="&amp;DATE($B$3,$D$3,1),입출고내역!$A$3:$A$1002,"&lt;="&amp;EOMONTH(DATE($B$3,$D$3,1),0)))</f>
        <v/>
      </c>
      <c r="F138" s="13" t="str">
        <f aca="false">IF($A138="","",SUMIFS(입출고내역!$G$3:$G$1002,입출고내역!$C$3:$C$1002,$A138,입출고내역!$B$3:$B$1002,"출고",입출고내역!$A$3:$A$1002,"&gt;="&amp;DATE($B$3,$D$3,1),입출고내역!$A$3:$A$1002,"&lt;="&amp;EOMONTH(DATE($B$3,$D$3,1),0)))</f>
        <v/>
      </c>
      <c r="G138" s="13" t="str">
        <f aca="false">IF($A138="","",IF(품목마스터!$F135="",0,품목마스터!$F135)+SUMIFS(입출고내역!$L$3:$L$1002,입출고내역!$C$3:$C$1002,$A138,입출고내역!$A$3:$A$1002,"&lt;="&amp;EOMONTH(DATE($B$3,$D$3,1),0)))</f>
        <v/>
      </c>
      <c r="H138" s="13" t="str">
        <f aca="false">IF($A138="","",IF(품목마스터!$G135="",0,품목마스터!$G135))</f>
        <v/>
      </c>
    </row>
    <row r="139" customFormat="false" ht="15" hidden="false" customHeight="true" outlineLevel="0" collapsed="false">
      <c r="A139" s="12" t="str">
        <f aca="false">IF(품목마스터!$A136="","",품목마스터!$A136)</f>
        <v/>
      </c>
      <c r="B139" s="12" t="str">
        <f aca="false">IF($A139="","",품목마스터!$B136)</f>
        <v/>
      </c>
      <c r="C139" s="12" t="str">
        <f aca="false">IF($A139="","",품목마스터!$D136)</f>
        <v/>
      </c>
      <c r="D139" s="13" t="str">
        <f aca="false">IF($A139="","",IF(품목마스터!$F136="",0,품목마스터!$F136)+SUMIFS(입출고내역!$L$3:$L$1002,입출고내역!$C$3:$C$1002,$A139,입출고내역!$A$3:$A$1002,"&lt;"&amp;DATE($B$3,$D$3,1)))</f>
        <v/>
      </c>
      <c r="E139" s="13" t="str">
        <f aca="false">IF($A139="","",SUMIFS(입출고내역!$G$3:$G$1002,입출고내역!$C$3:$C$1002,$A139,입출고내역!$B$3:$B$1002,"입고",입출고내역!$A$3:$A$1002,"&gt;="&amp;DATE($B$3,$D$3,1),입출고내역!$A$3:$A$1002,"&lt;="&amp;EOMONTH(DATE($B$3,$D$3,1),0)))</f>
        <v/>
      </c>
      <c r="F139" s="13" t="str">
        <f aca="false">IF($A139="","",SUMIFS(입출고내역!$G$3:$G$1002,입출고내역!$C$3:$C$1002,$A139,입출고내역!$B$3:$B$1002,"출고",입출고내역!$A$3:$A$1002,"&gt;="&amp;DATE($B$3,$D$3,1),입출고내역!$A$3:$A$1002,"&lt;="&amp;EOMONTH(DATE($B$3,$D$3,1),0)))</f>
        <v/>
      </c>
      <c r="G139" s="13" t="str">
        <f aca="false">IF($A139="","",IF(품목마스터!$F136="",0,품목마스터!$F136)+SUMIFS(입출고내역!$L$3:$L$1002,입출고내역!$C$3:$C$1002,$A139,입출고내역!$A$3:$A$1002,"&lt;="&amp;EOMONTH(DATE($B$3,$D$3,1),0)))</f>
        <v/>
      </c>
      <c r="H139" s="13" t="str">
        <f aca="false">IF($A139="","",IF(품목마스터!$G136="",0,품목마스터!$G136))</f>
        <v/>
      </c>
    </row>
    <row r="140" customFormat="false" ht="15" hidden="false" customHeight="true" outlineLevel="0" collapsed="false">
      <c r="A140" s="12" t="str">
        <f aca="false">IF(품목마스터!$A137="","",품목마스터!$A137)</f>
        <v/>
      </c>
      <c r="B140" s="12" t="str">
        <f aca="false">IF($A140="","",품목마스터!$B137)</f>
        <v/>
      </c>
      <c r="C140" s="12" t="str">
        <f aca="false">IF($A140="","",품목마스터!$D137)</f>
        <v/>
      </c>
      <c r="D140" s="13" t="str">
        <f aca="false">IF($A140="","",IF(품목마스터!$F137="",0,품목마스터!$F137)+SUMIFS(입출고내역!$L$3:$L$1002,입출고내역!$C$3:$C$1002,$A140,입출고내역!$A$3:$A$1002,"&lt;"&amp;DATE($B$3,$D$3,1)))</f>
        <v/>
      </c>
      <c r="E140" s="13" t="str">
        <f aca="false">IF($A140="","",SUMIFS(입출고내역!$G$3:$G$1002,입출고내역!$C$3:$C$1002,$A140,입출고내역!$B$3:$B$1002,"입고",입출고내역!$A$3:$A$1002,"&gt;="&amp;DATE($B$3,$D$3,1),입출고내역!$A$3:$A$1002,"&lt;="&amp;EOMONTH(DATE($B$3,$D$3,1),0)))</f>
        <v/>
      </c>
      <c r="F140" s="13" t="str">
        <f aca="false">IF($A140="","",SUMIFS(입출고내역!$G$3:$G$1002,입출고내역!$C$3:$C$1002,$A140,입출고내역!$B$3:$B$1002,"출고",입출고내역!$A$3:$A$1002,"&gt;="&amp;DATE($B$3,$D$3,1),입출고내역!$A$3:$A$1002,"&lt;="&amp;EOMONTH(DATE($B$3,$D$3,1),0)))</f>
        <v/>
      </c>
      <c r="G140" s="13" t="str">
        <f aca="false">IF($A140="","",IF(품목마스터!$F137="",0,품목마스터!$F137)+SUMIFS(입출고내역!$L$3:$L$1002,입출고내역!$C$3:$C$1002,$A140,입출고내역!$A$3:$A$1002,"&lt;="&amp;EOMONTH(DATE($B$3,$D$3,1),0)))</f>
        <v/>
      </c>
      <c r="H140" s="13" t="str">
        <f aca="false">IF($A140="","",IF(품목마스터!$G137="",0,품목마스터!$G137))</f>
        <v/>
      </c>
    </row>
    <row r="141" customFormat="false" ht="15" hidden="false" customHeight="true" outlineLevel="0" collapsed="false">
      <c r="A141" s="12" t="str">
        <f aca="false">IF(품목마스터!$A138="","",품목마스터!$A138)</f>
        <v/>
      </c>
      <c r="B141" s="12" t="str">
        <f aca="false">IF($A141="","",품목마스터!$B138)</f>
        <v/>
      </c>
      <c r="C141" s="12" t="str">
        <f aca="false">IF($A141="","",품목마스터!$D138)</f>
        <v/>
      </c>
      <c r="D141" s="13" t="str">
        <f aca="false">IF($A141="","",IF(품목마스터!$F138="",0,품목마스터!$F138)+SUMIFS(입출고내역!$L$3:$L$1002,입출고내역!$C$3:$C$1002,$A141,입출고내역!$A$3:$A$1002,"&lt;"&amp;DATE($B$3,$D$3,1)))</f>
        <v/>
      </c>
      <c r="E141" s="13" t="str">
        <f aca="false">IF($A141="","",SUMIFS(입출고내역!$G$3:$G$1002,입출고내역!$C$3:$C$1002,$A141,입출고내역!$B$3:$B$1002,"입고",입출고내역!$A$3:$A$1002,"&gt;="&amp;DATE($B$3,$D$3,1),입출고내역!$A$3:$A$1002,"&lt;="&amp;EOMONTH(DATE($B$3,$D$3,1),0)))</f>
        <v/>
      </c>
      <c r="F141" s="13" t="str">
        <f aca="false">IF($A141="","",SUMIFS(입출고내역!$G$3:$G$1002,입출고내역!$C$3:$C$1002,$A141,입출고내역!$B$3:$B$1002,"출고",입출고내역!$A$3:$A$1002,"&gt;="&amp;DATE($B$3,$D$3,1),입출고내역!$A$3:$A$1002,"&lt;="&amp;EOMONTH(DATE($B$3,$D$3,1),0)))</f>
        <v/>
      </c>
      <c r="G141" s="13" t="str">
        <f aca="false">IF($A141="","",IF(품목마스터!$F138="",0,품목마스터!$F138)+SUMIFS(입출고내역!$L$3:$L$1002,입출고내역!$C$3:$C$1002,$A141,입출고내역!$A$3:$A$1002,"&lt;="&amp;EOMONTH(DATE($B$3,$D$3,1),0)))</f>
        <v/>
      </c>
      <c r="H141" s="13" t="str">
        <f aca="false">IF($A141="","",IF(품목마스터!$G138="",0,품목마스터!$G138))</f>
        <v/>
      </c>
    </row>
    <row r="142" customFormat="false" ht="15" hidden="false" customHeight="true" outlineLevel="0" collapsed="false">
      <c r="A142" s="12" t="str">
        <f aca="false">IF(품목마스터!$A139="","",품목마스터!$A139)</f>
        <v/>
      </c>
      <c r="B142" s="12" t="str">
        <f aca="false">IF($A142="","",품목마스터!$B139)</f>
        <v/>
      </c>
      <c r="C142" s="12" t="str">
        <f aca="false">IF($A142="","",품목마스터!$D139)</f>
        <v/>
      </c>
      <c r="D142" s="13" t="str">
        <f aca="false">IF($A142="","",IF(품목마스터!$F139="",0,품목마스터!$F139)+SUMIFS(입출고내역!$L$3:$L$1002,입출고내역!$C$3:$C$1002,$A142,입출고내역!$A$3:$A$1002,"&lt;"&amp;DATE($B$3,$D$3,1)))</f>
        <v/>
      </c>
      <c r="E142" s="13" t="str">
        <f aca="false">IF($A142="","",SUMIFS(입출고내역!$G$3:$G$1002,입출고내역!$C$3:$C$1002,$A142,입출고내역!$B$3:$B$1002,"입고",입출고내역!$A$3:$A$1002,"&gt;="&amp;DATE($B$3,$D$3,1),입출고내역!$A$3:$A$1002,"&lt;="&amp;EOMONTH(DATE($B$3,$D$3,1),0)))</f>
        <v/>
      </c>
      <c r="F142" s="13" t="str">
        <f aca="false">IF($A142="","",SUMIFS(입출고내역!$G$3:$G$1002,입출고내역!$C$3:$C$1002,$A142,입출고내역!$B$3:$B$1002,"출고",입출고내역!$A$3:$A$1002,"&gt;="&amp;DATE($B$3,$D$3,1),입출고내역!$A$3:$A$1002,"&lt;="&amp;EOMONTH(DATE($B$3,$D$3,1),0)))</f>
        <v/>
      </c>
      <c r="G142" s="13" t="str">
        <f aca="false">IF($A142="","",IF(품목마스터!$F139="",0,품목마스터!$F139)+SUMIFS(입출고내역!$L$3:$L$1002,입출고내역!$C$3:$C$1002,$A142,입출고내역!$A$3:$A$1002,"&lt;="&amp;EOMONTH(DATE($B$3,$D$3,1),0)))</f>
        <v/>
      </c>
      <c r="H142" s="13" t="str">
        <f aca="false">IF($A142="","",IF(품목마스터!$G139="",0,품목마스터!$G139))</f>
        <v/>
      </c>
    </row>
    <row r="143" customFormat="false" ht="15" hidden="false" customHeight="true" outlineLevel="0" collapsed="false">
      <c r="A143" s="12" t="str">
        <f aca="false">IF(품목마스터!$A140="","",품목마스터!$A140)</f>
        <v/>
      </c>
      <c r="B143" s="12" t="str">
        <f aca="false">IF($A143="","",품목마스터!$B140)</f>
        <v/>
      </c>
      <c r="C143" s="12" t="str">
        <f aca="false">IF($A143="","",품목마스터!$D140)</f>
        <v/>
      </c>
      <c r="D143" s="13" t="str">
        <f aca="false">IF($A143="","",IF(품목마스터!$F140="",0,품목마스터!$F140)+SUMIFS(입출고내역!$L$3:$L$1002,입출고내역!$C$3:$C$1002,$A143,입출고내역!$A$3:$A$1002,"&lt;"&amp;DATE($B$3,$D$3,1)))</f>
        <v/>
      </c>
      <c r="E143" s="13" t="str">
        <f aca="false">IF($A143="","",SUMIFS(입출고내역!$G$3:$G$1002,입출고내역!$C$3:$C$1002,$A143,입출고내역!$B$3:$B$1002,"입고",입출고내역!$A$3:$A$1002,"&gt;="&amp;DATE($B$3,$D$3,1),입출고내역!$A$3:$A$1002,"&lt;="&amp;EOMONTH(DATE($B$3,$D$3,1),0)))</f>
        <v/>
      </c>
      <c r="F143" s="13" t="str">
        <f aca="false">IF($A143="","",SUMIFS(입출고내역!$G$3:$G$1002,입출고내역!$C$3:$C$1002,$A143,입출고내역!$B$3:$B$1002,"출고",입출고내역!$A$3:$A$1002,"&gt;="&amp;DATE($B$3,$D$3,1),입출고내역!$A$3:$A$1002,"&lt;="&amp;EOMONTH(DATE($B$3,$D$3,1),0)))</f>
        <v/>
      </c>
      <c r="G143" s="13" t="str">
        <f aca="false">IF($A143="","",IF(품목마스터!$F140="",0,품목마스터!$F140)+SUMIFS(입출고내역!$L$3:$L$1002,입출고내역!$C$3:$C$1002,$A143,입출고내역!$A$3:$A$1002,"&lt;="&amp;EOMONTH(DATE($B$3,$D$3,1),0)))</f>
        <v/>
      </c>
      <c r="H143" s="13" t="str">
        <f aca="false">IF($A143="","",IF(품목마스터!$G140="",0,품목마스터!$G140))</f>
        <v/>
      </c>
    </row>
    <row r="144" customFormat="false" ht="15" hidden="false" customHeight="true" outlineLevel="0" collapsed="false">
      <c r="A144" s="12" t="str">
        <f aca="false">IF(품목마스터!$A141="","",품목마스터!$A141)</f>
        <v/>
      </c>
      <c r="B144" s="12" t="str">
        <f aca="false">IF($A144="","",품목마스터!$B141)</f>
        <v/>
      </c>
      <c r="C144" s="12" t="str">
        <f aca="false">IF($A144="","",품목마스터!$D141)</f>
        <v/>
      </c>
      <c r="D144" s="13" t="str">
        <f aca="false">IF($A144="","",IF(품목마스터!$F141="",0,품목마스터!$F141)+SUMIFS(입출고내역!$L$3:$L$1002,입출고내역!$C$3:$C$1002,$A144,입출고내역!$A$3:$A$1002,"&lt;"&amp;DATE($B$3,$D$3,1)))</f>
        <v/>
      </c>
      <c r="E144" s="13" t="str">
        <f aca="false">IF($A144="","",SUMIFS(입출고내역!$G$3:$G$1002,입출고내역!$C$3:$C$1002,$A144,입출고내역!$B$3:$B$1002,"입고",입출고내역!$A$3:$A$1002,"&gt;="&amp;DATE($B$3,$D$3,1),입출고내역!$A$3:$A$1002,"&lt;="&amp;EOMONTH(DATE($B$3,$D$3,1),0)))</f>
        <v/>
      </c>
      <c r="F144" s="13" t="str">
        <f aca="false">IF($A144="","",SUMIFS(입출고내역!$G$3:$G$1002,입출고내역!$C$3:$C$1002,$A144,입출고내역!$B$3:$B$1002,"출고",입출고내역!$A$3:$A$1002,"&gt;="&amp;DATE($B$3,$D$3,1),입출고내역!$A$3:$A$1002,"&lt;="&amp;EOMONTH(DATE($B$3,$D$3,1),0)))</f>
        <v/>
      </c>
      <c r="G144" s="13" t="str">
        <f aca="false">IF($A144="","",IF(품목마스터!$F141="",0,품목마스터!$F141)+SUMIFS(입출고내역!$L$3:$L$1002,입출고내역!$C$3:$C$1002,$A144,입출고내역!$A$3:$A$1002,"&lt;="&amp;EOMONTH(DATE($B$3,$D$3,1),0)))</f>
        <v/>
      </c>
      <c r="H144" s="13" t="str">
        <f aca="false">IF($A144="","",IF(품목마스터!$G141="",0,품목마스터!$G141))</f>
        <v/>
      </c>
    </row>
    <row r="145" customFormat="false" ht="15" hidden="false" customHeight="true" outlineLevel="0" collapsed="false">
      <c r="A145" s="12" t="str">
        <f aca="false">IF(품목마스터!$A142="","",품목마스터!$A142)</f>
        <v/>
      </c>
      <c r="B145" s="12" t="str">
        <f aca="false">IF($A145="","",품목마스터!$B142)</f>
        <v/>
      </c>
      <c r="C145" s="12" t="str">
        <f aca="false">IF($A145="","",품목마스터!$D142)</f>
        <v/>
      </c>
      <c r="D145" s="13" t="str">
        <f aca="false">IF($A145="","",IF(품목마스터!$F142="",0,품목마스터!$F142)+SUMIFS(입출고내역!$L$3:$L$1002,입출고내역!$C$3:$C$1002,$A145,입출고내역!$A$3:$A$1002,"&lt;"&amp;DATE($B$3,$D$3,1)))</f>
        <v/>
      </c>
      <c r="E145" s="13" t="str">
        <f aca="false">IF($A145="","",SUMIFS(입출고내역!$G$3:$G$1002,입출고내역!$C$3:$C$1002,$A145,입출고내역!$B$3:$B$1002,"입고",입출고내역!$A$3:$A$1002,"&gt;="&amp;DATE($B$3,$D$3,1),입출고내역!$A$3:$A$1002,"&lt;="&amp;EOMONTH(DATE($B$3,$D$3,1),0)))</f>
        <v/>
      </c>
      <c r="F145" s="13" t="str">
        <f aca="false">IF($A145="","",SUMIFS(입출고내역!$G$3:$G$1002,입출고내역!$C$3:$C$1002,$A145,입출고내역!$B$3:$B$1002,"출고",입출고내역!$A$3:$A$1002,"&gt;="&amp;DATE($B$3,$D$3,1),입출고내역!$A$3:$A$1002,"&lt;="&amp;EOMONTH(DATE($B$3,$D$3,1),0)))</f>
        <v/>
      </c>
      <c r="G145" s="13" t="str">
        <f aca="false">IF($A145="","",IF(품목마스터!$F142="",0,품목마스터!$F142)+SUMIFS(입출고내역!$L$3:$L$1002,입출고내역!$C$3:$C$1002,$A145,입출고내역!$A$3:$A$1002,"&lt;="&amp;EOMONTH(DATE($B$3,$D$3,1),0)))</f>
        <v/>
      </c>
      <c r="H145" s="13" t="str">
        <f aca="false">IF($A145="","",IF(품목마스터!$G142="",0,품목마스터!$G142))</f>
        <v/>
      </c>
    </row>
    <row r="146" customFormat="false" ht="15" hidden="false" customHeight="true" outlineLevel="0" collapsed="false">
      <c r="A146" s="12" t="str">
        <f aca="false">IF(품목마스터!$A143="","",품목마스터!$A143)</f>
        <v/>
      </c>
      <c r="B146" s="12" t="str">
        <f aca="false">IF($A146="","",품목마스터!$B143)</f>
        <v/>
      </c>
      <c r="C146" s="12" t="str">
        <f aca="false">IF($A146="","",품목마스터!$D143)</f>
        <v/>
      </c>
      <c r="D146" s="13" t="str">
        <f aca="false">IF($A146="","",IF(품목마스터!$F143="",0,품목마스터!$F143)+SUMIFS(입출고내역!$L$3:$L$1002,입출고내역!$C$3:$C$1002,$A146,입출고내역!$A$3:$A$1002,"&lt;"&amp;DATE($B$3,$D$3,1)))</f>
        <v/>
      </c>
      <c r="E146" s="13" t="str">
        <f aca="false">IF($A146="","",SUMIFS(입출고내역!$G$3:$G$1002,입출고내역!$C$3:$C$1002,$A146,입출고내역!$B$3:$B$1002,"입고",입출고내역!$A$3:$A$1002,"&gt;="&amp;DATE($B$3,$D$3,1),입출고내역!$A$3:$A$1002,"&lt;="&amp;EOMONTH(DATE($B$3,$D$3,1),0)))</f>
        <v/>
      </c>
      <c r="F146" s="13" t="str">
        <f aca="false">IF($A146="","",SUMIFS(입출고내역!$G$3:$G$1002,입출고내역!$C$3:$C$1002,$A146,입출고내역!$B$3:$B$1002,"출고",입출고내역!$A$3:$A$1002,"&gt;="&amp;DATE($B$3,$D$3,1),입출고내역!$A$3:$A$1002,"&lt;="&amp;EOMONTH(DATE($B$3,$D$3,1),0)))</f>
        <v/>
      </c>
      <c r="G146" s="13" t="str">
        <f aca="false">IF($A146="","",IF(품목마스터!$F143="",0,품목마스터!$F143)+SUMIFS(입출고내역!$L$3:$L$1002,입출고내역!$C$3:$C$1002,$A146,입출고내역!$A$3:$A$1002,"&lt;="&amp;EOMONTH(DATE($B$3,$D$3,1),0)))</f>
        <v/>
      </c>
      <c r="H146" s="13" t="str">
        <f aca="false">IF($A146="","",IF(품목마스터!$G143="",0,품목마스터!$G143))</f>
        <v/>
      </c>
    </row>
    <row r="147" customFormat="false" ht="15" hidden="false" customHeight="true" outlineLevel="0" collapsed="false">
      <c r="A147" s="12" t="str">
        <f aca="false">IF(품목마스터!$A144="","",품목마스터!$A144)</f>
        <v/>
      </c>
      <c r="B147" s="12" t="str">
        <f aca="false">IF($A147="","",품목마스터!$B144)</f>
        <v/>
      </c>
      <c r="C147" s="12" t="str">
        <f aca="false">IF($A147="","",품목마스터!$D144)</f>
        <v/>
      </c>
      <c r="D147" s="13" t="str">
        <f aca="false">IF($A147="","",IF(품목마스터!$F144="",0,품목마스터!$F144)+SUMIFS(입출고내역!$L$3:$L$1002,입출고내역!$C$3:$C$1002,$A147,입출고내역!$A$3:$A$1002,"&lt;"&amp;DATE($B$3,$D$3,1)))</f>
        <v/>
      </c>
      <c r="E147" s="13" t="str">
        <f aca="false">IF($A147="","",SUMIFS(입출고내역!$G$3:$G$1002,입출고내역!$C$3:$C$1002,$A147,입출고내역!$B$3:$B$1002,"입고",입출고내역!$A$3:$A$1002,"&gt;="&amp;DATE($B$3,$D$3,1),입출고내역!$A$3:$A$1002,"&lt;="&amp;EOMONTH(DATE($B$3,$D$3,1),0)))</f>
        <v/>
      </c>
      <c r="F147" s="13" t="str">
        <f aca="false">IF($A147="","",SUMIFS(입출고내역!$G$3:$G$1002,입출고내역!$C$3:$C$1002,$A147,입출고내역!$B$3:$B$1002,"출고",입출고내역!$A$3:$A$1002,"&gt;="&amp;DATE($B$3,$D$3,1),입출고내역!$A$3:$A$1002,"&lt;="&amp;EOMONTH(DATE($B$3,$D$3,1),0)))</f>
        <v/>
      </c>
      <c r="G147" s="13" t="str">
        <f aca="false">IF($A147="","",IF(품목마스터!$F144="",0,품목마스터!$F144)+SUMIFS(입출고내역!$L$3:$L$1002,입출고내역!$C$3:$C$1002,$A147,입출고내역!$A$3:$A$1002,"&lt;="&amp;EOMONTH(DATE($B$3,$D$3,1),0)))</f>
        <v/>
      </c>
      <c r="H147" s="13" t="str">
        <f aca="false">IF($A147="","",IF(품목마스터!$G144="",0,품목마스터!$G144))</f>
        <v/>
      </c>
    </row>
    <row r="148" customFormat="false" ht="15" hidden="false" customHeight="true" outlineLevel="0" collapsed="false">
      <c r="A148" s="12" t="str">
        <f aca="false">IF(품목마스터!$A145="","",품목마스터!$A145)</f>
        <v/>
      </c>
      <c r="B148" s="12" t="str">
        <f aca="false">IF($A148="","",품목마스터!$B145)</f>
        <v/>
      </c>
      <c r="C148" s="12" t="str">
        <f aca="false">IF($A148="","",품목마스터!$D145)</f>
        <v/>
      </c>
      <c r="D148" s="13" t="str">
        <f aca="false">IF($A148="","",IF(품목마스터!$F145="",0,품목마스터!$F145)+SUMIFS(입출고내역!$L$3:$L$1002,입출고내역!$C$3:$C$1002,$A148,입출고내역!$A$3:$A$1002,"&lt;"&amp;DATE($B$3,$D$3,1)))</f>
        <v/>
      </c>
      <c r="E148" s="13" t="str">
        <f aca="false">IF($A148="","",SUMIFS(입출고내역!$G$3:$G$1002,입출고내역!$C$3:$C$1002,$A148,입출고내역!$B$3:$B$1002,"입고",입출고내역!$A$3:$A$1002,"&gt;="&amp;DATE($B$3,$D$3,1),입출고내역!$A$3:$A$1002,"&lt;="&amp;EOMONTH(DATE($B$3,$D$3,1),0)))</f>
        <v/>
      </c>
      <c r="F148" s="13" t="str">
        <f aca="false">IF($A148="","",SUMIFS(입출고내역!$G$3:$G$1002,입출고내역!$C$3:$C$1002,$A148,입출고내역!$B$3:$B$1002,"출고",입출고내역!$A$3:$A$1002,"&gt;="&amp;DATE($B$3,$D$3,1),입출고내역!$A$3:$A$1002,"&lt;="&amp;EOMONTH(DATE($B$3,$D$3,1),0)))</f>
        <v/>
      </c>
      <c r="G148" s="13" t="str">
        <f aca="false">IF($A148="","",IF(품목마스터!$F145="",0,품목마스터!$F145)+SUMIFS(입출고내역!$L$3:$L$1002,입출고내역!$C$3:$C$1002,$A148,입출고내역!$A$3:$A$1002,"&lt;="&amp;EOMONTH(DATE($B$3,$D$3,1),0)))</f>
        <v/>
      </c>
      <c r="H148" s="13" t="str">
        <f aca="false">IF($A148="","",IF(품목마스터!$G145="",0,품목마스터!$G145))</f>
        <v/>
      </c>
    </row>
    <row r="149" customFormat="false" ht="15" hidden="false" customHeight="true" outlineLevel="0" collapsed="false">
      <c r="A149" s="12" t="str">
        <f aca="false">IF(품목마스터!$A146="","",품목마스터!$A146)</f>
        <v/>
      </c>
      <c r="B149" s="12" t="str">
        <f aca="false">IF($A149="","",품목마스터!$B146)</f>
        <v/>
      </c>
      <c r="C149" s="12" t="str">
        <f aca="false">IF($A149="","",품목마스터!$D146)</f>
        <v/>
      </c>
      <c r="D149" s="13" t="str">
        <f aca="false">IF($A149="","",IF(품목마스터!$F146="",0,품목마스터!$F146)+SUMIFS(입출고내역!$L$3:$L$1002,입출고내역!$C$3:$C$1002,$A149,입출고내역!$A$3:$A$1002,"&lt;"&amp;DATE($B$3,$D$3,1)))</f>
        <v/>
      </c>
      <c r="E149" s="13" t="str">
        <f aca="false">IF($A149="","",SUMIFS(입출고내역!$G$3:$G$1002,입출고내역!$C$3:$C$1002,$A149,입출고내역!$B$3:$B$1002,"입고",입출고내역!$A$3:$A$1002,"&gt;="&amp;DATE($B$3,$D$3,1),입출고내역!$A$3:$A$1002,"&lt;="&amp;EOMONTH(DATE($B$3,$D$3,1),0)))</f>
        <v/>
      </c>
      <c r="F149" s="13" t="str">
        <f aca="false">IF($A149="","",SUMIFS(입출고내역!$G$3:$G$1002,입출고내역!$C$3:$C$1002,$A149,입출고내역!$B$3:$B$1002,"출고",입출고내역!$A$3:$A$1002,"&gt;="&amp;DATE($B$3,$D$3,1),입출고내역!$A$3:$A$1002,"&lt;="&amp;EOMONTH(DATE($B$3,$D$3,1),0)))</f>
        <v/>
      </c>
      <c r="G149" s="13" t="str">
        <f aca="false">IF($A149="","",IF(품목마스터!$F146="",0,품목마스터!$F146)+SUMIFS(입출고내역!$L$3:$L$1002,입출고내역!$C$3:$C$1002,$A149,입출고내역!$A$3:$A$1002,"&lt;="&amp;EOMONTH(DATE($B$3,$D$3,1),0)))</f>
        <v/>
      </c>
      <c r="H149" s="13" t="str">
        <f aca="false">IF($A149="","",IF(품목마스터!$G146="",0,품목마스터!$G146))</f>
        <v/>
      </c>
    </row>
    <row r="150" customFormat="false" ht="15" hidden="false" customHeight="true" outlineLevel="0" collapsed="false">
      <c r="A150" s="12" t="str">
        <f aca="false">IF(품목마스터!$A147="","",품목마스터!$A147)</f>
        <v/>
      </c>
      <c r="B150" s="12" t="str">
        <f aca="false">IF($A150="","",품목마스터!$B147)</f>
        <v/>
      </c>
      <c r="C150" s="12" t="str">
        <f aca="false">IF($A150="","",품목마스터!$D147)</f>
        <v/>
      </c>
      <c r="D150" s="13" t="str">
        <f aca="false">IF($A150="","",IF(품목마스터!$F147="",0,품목마스터!$F147)+SUMIFS(입출고내역!$L$3:$L$1002,입출고내역!$C$3:$C$1002,$A150,입출고내역!$A$3:$A$1002,"&lt;"&amp;DATE($B$3,$D$3,1)))</f>
        <v/>
      </c>
      <c r="E150" s="13" t="str">
        <f aca="false">IF($A150="","",SUMIFS(입출고내역!$G$3:$G$1002,입출고내역!$C$3:$C$1002,$A150,입출고내역!$B$3:$B$1002,"입고",입출고내역!$A$3:$A$1002,"&gt;="&amp;DATE($B$3,$D$3,1),입출고내역!$A$3:$A$1002,"&lt;="&amp;EOMONTH(DATE($B$3,$D$3,1),0)))</f>
        <v/>
      </c>
      <c r="F150" s="13" t="str">
        <f aca="false">IF($A150="","",SUMIFS(입출고내역!$G$3:$G$1002,입출고내역!$C$3:$C$1002,$A150,입출고내역!$B$3:$B$1002,"출고",입출고내역!$A$3:$A$1002,"&gt;="&amp;DATE($B$3,$D$3,1),입출고내역!$A$3:$A$1002,"&lt;="&amp;EOMONTH(DATE($B$3,$D$3,1),0)))</f>
        <v/>
      </c>
      <c r="G150" s="13" t="str">
        <f aca="false">IF($A150="","",IF(품목마스터!$F147="",0,품목마스터!$F147)+SUMIFS(입출고내역!$L$3:$L$1002,입출고내역!$C$3:$C$1002,$A150,입출고내역!$A$3:$A$1002,"&lt;="&amp;EOMONTH(DATE($B$3,$D$3,1),0)))</f>
        <v/>
      </c>
      <c r="H150" s="13" t="str">
        <f aca="false">IF($A150="","",IF(품목마스터!$G147="",0,품목마스터!$G147))</f>
        <v/>
      </c>
    </row>
    <row r="151" customFormat="false" ht="15" hidden="false" customHeight="true" outlineLevel="0" collapsed="false">
      <c r="A151" s="12" t="str">
        <f aca="false">IF(품목마스터!$A148="","",품목마스터!$A148)</f>
        <v/>
      </c>
      <c r="B151" s="12" t="str">
        <f aca="false">IF($A151="","",품목마스터!$B148)</f>
        <v/>
      </c>
      <c r="C151" s="12" t="str">
        <f aca="false">IF($A151="","",품목마스터!$D148)</f>
        <v/>
      </c>
      <c r="D151" s="13" t="str">
        <f aca="false">IF($A151="","",IF(품목마스터!$F148="",0,품목마스터!$F148)+SUMIFS(입출고내역!$L$3:$L$1002,입출고내역!$C$3:$C$1002,$A151,입출고내역!$A$3:$A$1002,"&lt;"&amp;DATE($B$3,$D$3,1)))</f>
        <v/>
      </c>
      <c r="E151" s="13" t="str">
        <f aca="false">IF($A151="","",SUMIFS(입출고내역!$G$3:$G$1002,입출고내역!$C$3:$C$1002,$A151,입출고내역!$B$3:$B$1002,"입고",입출고내역!$A$3:$A$1002,"&gt;="&amp;DATE($B$3,$D$3,1),입출고내역!$A$3:$A$1002,"&lt;="&amp;EOMONTH(DATE($B$3,$D$3,1),0)))</f>
        <v/>
      </c>
      <c r="F151" s="13" t="str">
        <f aca="false">IF($A151="","",SUMIFS(입출고내역!$G$3:$G$1002,입출고내역!$C$3:$C$1002,$A151,입출고내역!$B$3:$B$1002,"출고",입출고내역!$A$3:$A$1002,"&gt;="&amp;DATE($B$3,$D$3,1),입출고내역!$A$3:$A$1002,"&lt;="&amp;EOMONTH(DATE($B$3,$D$3,1),0)))</f>
        <v/>
      </c>
      <c r="G151" s="13" t="str">
        <f aca="false">IF($A151="","",IF(품목마스터!$F148="",0,품목마스터!$F148)+SUMIFS(입출고내역!$L$3:$L$1002,입출고내역!$C$3:$C$1002,$A151,입출고내역!$A$3:$A$1002,"&lt;="&amp;EOMONTH(DATE($B$3,$D$3,1),0)))</f>
        <v/>
      </c>
      <c r="H151" s="13" t="str">
        <f aca="false">IF($A151="","",IF(품목마스터!$G148="",0,품목마스터!$G148))</f>
        <v/>
      </c>
    </row>
    <row r="152" customFormat="false" ht="15" hidden="false" customHeight="true" outlineLevel="0" collapsed="false">
      <c r="A152" s="12" t="str">
        <f aca="false">IF(품목마스터!$A149="","",품목마스터!$A149)</f>
        <v/>
      </c>
      <c r="B152" s="12" t="str">
        <f aca="false">IF($A152="","",품목마스터!$B149)</f>
        <v/>
      </c>
      <c r="C152" s="12" t="str">
        <f aca="false">IF($A152="","",품목마스터!$D149)</f>
        <v/>
      </c>
      <c r="D152" s="13" t="str">
        <f aca="false">IF($A152="","",IF(품목마스터!$F149="",0,품목마스터!$F149)+SUMIFS(입출고내역!$L$3:$L$1002,입출고내역!$C$3:$C$1002,$A152,입출고내역!$A$3:$A$1002,"&lt;"&amp;DATE($B$3,$D$3,1)))</f>
        <v/>
      </c>
      <c r="E152" s="13" t="str">
        <f aca="false">IF($A152="","",SUMIFS(입출고내역!$G$3:$G$1002,입출고내역!$C$3:$C$1002,$A152,입출고내역!$B$3:$B$1002,"입고",입출고내역!$A$3:$A$1002,"&gt;="&amp;DATE($B$3,$D$3,1),입출고내역!$A$3:$A$1002,"&lt;="&amp;EOMONTH(DATE($B$3,$D$3,1),0)))</f>
        <v/>
      </c>
      <c r="F152" s="13" t="str">
        <f aca="false">IF($A152="","",SUMIFS(입출고내역!$G$3:$G$1002,입출고내역!$C$3:$C$1002,$A152,입출고내역!$B$3:$B$1002,"출고",입출고내역!$A$3:$A$1002,"&gt;="&amp;DATE($B$3,$D$3,1),입출고내역!$A$3:$A$1002,"&lt;="&amp;EOMONTH(DATE($B$3,$D$3,1),0)))</f>
        <v/>
      </c>
      <c r="G152" s="13" t="str">
        <f aca="false">IF($A152="","",IF(품목마스터!$F149="",0,품목마스터!$F149)+SUMIFS(입출고내역!$L$3:$L$1002,입출고내역!$C$3:$C$1002,$A152,입출고내역!$A$3:$A$1002,"&lt;="&amp;EOMONTH(DATE($B$3,$D$3,1),0)))</f>
        <v/>
      </c>
      <c r="H152" s="13" t="str">
        <f aca="false">IF($A152="","",IF(품목마스터!$G149="",0,품목마스터!$G149))</f>
        <v/>
      </c>
    </row>
    <row r="153" customFormat="false" ht="15" hidden="false" customHeight="true" outlineLevel="0" collapsed="false">
      <c r="A153" s="12" t="str">
        <f aca="false">IF(품목마스터!$A150="","",품목마스터!$A150)</f>
        <v/>
      </c>
      <c r="B153" s="12" t="str">
        <f aca="false">IF($A153="","",품목마스터!$B150)</f>
        <v/>
      </c>
      <c r="C153" s="12" t="str">
        <f aca="false">IF($A153="","",품목마스터!$D150)</f>
        <v/>
      </c>
      <c r="D153" s="13" t="str">
        <f aca="false">IF($A153="","",IF(품목마스터!$F150="",0,품목마스터!$F150)+SUMIFS(입출고내역!$L$3:$L$1002,입출고내역!$C$3:$C$1002,$A153,입출고내역!$A$3:$A$1002,"&lt;"&amp;DATE($B$3,$D$3,1)))</f>
        <v/>
      </c>
      <c r="E153" s="13" t="str">
        <f aca="false">IF($A153="","",SUMIFS(입출고내역!$G$3:$G$1002,입출고내역!$C$3:$C$1002,$A153,입출고내역!$B$3:$B$1002,"입고",입출고내역!$A$3:$A$1002,"&gt;="&amp;DATE($B$3,$D$3,1),입출고내역!$A$3:$A$1002,"&lt;="&amp;EOMONTH(DATE($B$3,$D$3,1),0)))</f>
        <v/>
      </c>
      <c r="F153" s="13" t="str">
        <f aca="false">IF($A153="","",SUMIFS(입출고내역!$G$3:$G$1002,입출고내역!$C$3:$C$1002,$A153,입출고내역!$B$3:$B$1002,"출고",입출고내역!$A$3:$A$1002,"&gt;="&amp;DATE($B$3,$D$3,1),입출고내역!$A$3:$A$1002,"&lt;="&amp;EOMONTH(DATE($B$3,$D$3,1),0)))</f>
        <v/>
      </c>
      <c r="G153" s="13" t="str">
        <f aca="false">IF($A153="","",IF(품목마스터!$F150="",0,품목마스터!$F150)+SUMIFS(입출고내역!$L$3:$L$1002,입출고내역!$C$3:$C$1002,$A153,입출고내역!$A$3:$A$1002,"&lt;="&amp;EOMONTH(DATE($B$3,$D$3,1),0)))</f>
        <v/>
      </c>
      <c r="H153" s="13" t="str">
        <f aca="false">IF($A153="","",IF(품목마스터!$G150="",0,품목마스터!$G150))</f>
        <v/>
      </c>
    </row>
    <row r="154" customFormat="false" ht="15" hidden="false" customHeight="true" outlineLevel="0" collapsed="false">
      <c r="A154" s="12" t="str">
        <f aca="false">IF(품목마스터!$A151="","",품목마스터!$A151)</f>
        <v/>
      </c>
      <c r="B154" s="12" t="str">
        <f aca="false">IF($A154="","",품목마스터!$B151)</f>
        <v/>
      </c>
      <c r="C154" s="12" t="str">
        <f aca="false">IF($A154="","",품목마스터!$D151)</f>
        <v/>
      </c>
      <c r="D154" s="13" t="str">
        <f aca="false">IF($A154="","",IF(품목마스터!$F151="",0,품목마스터!$F151)+SUMIFS(입출고내역!$L$3:$L$1002,입출고내역!$C$3:$C$1002,$A154,입출고내역!$A$3:$A$1002,"&lt;"&amp;DATE($B$3,$D$3,1)))</f>
        <v/>
      </c>
      <c r="E154" s="13" t="str">
        <f aca="false">IF($A154="","",SUMIFS(입출고내역!$G$3:$G$1002,입출고내역!$C$3:$C$1002,$A154,입출고내역!$B$3:$B$1002,"입고",입출고내역!$A$3:$A$1002,"&gt;="&amp;DATE($B$3,$D$3,1),입출고내역!$A$3:$A$1002,"&lt;="&amp;EOMONTH(DATE($B$3,$D$3,1),0)))</f>
        <v/>
      </c>
      <c r="F154" s="13" t="str">
        <f aca="false">IF($A154="","",SUMIFS(입출고내역!$G$3:$G$1002,입출고내역!$C$3:$C$1002,$A154,입출고내역!$B$3:$B$1002,"출고",입출고내역!$A$3:$A$1002,"&gt;="&amp;DATE($B$3,$D$3,1),입출고내역!$A$3:$A$1002,"&lt;="&amp;EOMONTH(DATE($B$3,$D$3,1),0)))</f>
        <v/>
      </c>
      <c r="G154" s="13" t="str">
        <f aca="false">IF($A154="","",IF(품목마스터!$F151="",0,품목마스터!$F151)+SUMIFS(입출고내역!$L$3:$L$1002,입출고내역!$C$3:$C$1002,$A154,입출고내역!$A$3:$A$1002,"&lt;="&amp;EOMONTH(DATE($B$3,$D$3,1),0)))</f>
        <v/>
      </c>
      <c r="H154" s="13" t="str">
        <f aca="false">IF($A154="","",IF(품목마스터!$G151="",0,품목마스터!$G151))</f>
        <v/>
      </c>
    </row>
    <row r="155" customFormat="false" ht="15" hidden="false" customHeight="true" outlineLevel="0" collapsed="false">
      <c r="A155" s="12" t="str">
        <f aca="false">IF(품목마스터!$A152="","",품목마스터!$A152)</f>
        <v/>
      </c>
      <c r="B155" s="12" t="str">
        <f aca="false">IF($A155="","",품목마스터!$B152)</f>
        <v/>
      </c>
      <c r="C155" s="12" t="str">
        <f aca="false">IF($A155="","",품목마스터!$D152)</f>
        <v/>
      </c>
      <c r="D155" s="13" t="str">
        <f aca="false">IF($A155="","",IF(품목마스터!$F152="",0,품목마스터!$F152)+SUMIFS(입출고내역!$L$3:$L$1002,입출고내역!$C$3:$C$1002,$A155,입출고내역!$A$3:$A$1002,"&lt;"&amp;DATE($B$3,$D$3,1)))</f>
        <v/>
      </c>
      <c r="E155" s="13" t="str">
        <f aca="false">IF($A155="","",SUMIFS(입출고내역!$G$3:$G$1002,입출고내역!$C$3:$C$1002,$A155,입출고내역!$B$3:$B$1002,"입고",입출고내역!$A$3:$A$1002,"&gt;="&amp;DATE($B$3,$D$3,1),입출고내역!$A$3:$A$1002,"&lt;="&amp;EOMONTH(DATE($B$3,$D$3,1),0)))</f>
        <v/>
      </c>
      <c r="F155" s="13" t="str">
        <f aca="false">IF($A155="","",SUMIFS(입출고내역!$G$3:$G$1002,입출고내역!$C$3:$C$1002,$A155,입출고내역!$B$3:$B$1002,"출고",입출고내역!$A$3:$A$1002,"&gt;="&amp;DATE($B$3,$D$3,1),입출고내역!$A$3:$A$1002,"&lt;="&amp;EOMONTH(DATE($B$3,$D$3,1),0)))</f>
        <v/>
      </c>
      <c r="G155" s="13" t="str">
        <f aca="false">IF($A155="","",IF(품목마스터!$F152="",0,품목마스터!$F152)+SUMIFS(입출고내역!$L$3:$L$1002,입출고내역!$C$3:$C$1002,$A155,입출고내역!$A$3:$A$1002,"&lt;="&amp;EOMONTH(DATE($B$3,$D$3,1),0)))</f>
        <v/>
      </c>
      <c r="H155" s="13" t="str">
        <f aca="false">IF($A155="","",IF(품목마스터!$G152="",0,품목마스터!$G152))</f>
        <v/>
      </c>
    </row>
    <row r="156" customFormat="false" ht="15" hidden="false" customHeight="true" outlineLevel="0" collapsed="false">
      <c r="A156" s="12" t="str">
        <f aca="false">IF(품목마스터!$A153="","",품목마스터!$A153)</f>
        <v/>
      </c>
      <c r="B156" s="12" t="str">
        <f aca="false">IF($A156="","",품목마스터!$B153)</f>
        <v/>
      </c>
      <c r="C156" s="12" t="str">
        <f aca="false">IF($A156="","",품목마스터!$D153)</f>
        <v/>
      </c>
      <c r="D156" s="13" t="str">
        <f aca="false">IF($A156="","",IF(품목마스터!$F153="",0,품목마스터!$F153)+SUMIFS(입출고내역!$L$3:$L$1002,입출고내역!$C$3:$C$1002,$A156,입출고내역!$A$3:$A$1002,"&lt;"&amp;DATE($B$3,$D$3,1)))</f>
        <v/>
      </c>
      <c r="E156" s="13" t="str">
        <f aca="false">IF($A156="","",SUMIFS(입출고내역!$G$3:$G$1002,입출고내역!$C$3:$C$1002,$A156,입출고내역!$B$3:$B$1002,"입고",입출고내역!$A$3:$A$1002,"&gt;="&amp;DATE($B$3,$D$3,1),입출고내역!$A$3:$A$1002,"&lt;="&amp;EOMONTH(DATE($B$3,$D$3,1),0)))</f>
        <v/>
      </c>
      <c r="F156" s="13" t="str">
        <f aca="false">IF($A156="","",SUMIFS(입출고내역!$G$3:$G$1002,입출고내역!$C$3:$C$1002,$A156,입출고내역!$B$3:$B$1002,"출고",입출고내역!$A$3:$A$1002,"&gt;="&amp;DATE($B$3,$D$3,1),입출고내역!$A$3:$A$1002,"&lt;="&amp;EOMONTH(DATE($B$3,$D$3,1),0)))</f>
        <v/>
      </c>
      <c r="G156" s="13" t="str">
        <f aca="false">IF($A156="","",IF(품목마스터!$F153="",0,품목마스터!$F153)+SUMIFS(입출고내역!$L$3:$L$1002,입출고내역!$C$3:$C$1002,$A156,입출고내역!$A$3:$A$1002,"&lt;="&amp;EOMONTH(DATE($B$3,$D$3,1),0)))</f>
        <v/>
      </c>
      <c r="H156" s="13" t="str">
        <f aca="false">IF($A156="","",IF(품목마스터!$G153="",0,품목마스터!$G153))</f>
        <v/>
      </c>
    </row>
    <row r="157" customFormat="false" ht="15" hidden="false" customHeight="true" outlineLevel="0" collapsed="false">
      <c r="A157" s="12" t="str">
        <f aca="false">IF(품목마스터!$A154="","",품목마스터!$A154)</f>
        <v/>
      </c>
      <c r="B157" s="12" t="str">
        <f aca="false">IF($A157="","",품목마스터!$B154)</f>
        <v/>
      </c>
      <c r="C157" s="12" t="str">
        <f aca="false">IF($A157="","",품목마스터!$D154)</f>
        <v/>
      </c>
      <c r="D157" s="13" t="str">
        <f aca="false">IF($A157="","",IF(품목마스터!$F154="",0,품목마스터!$F154)+SUMIFS(입출고내역!$L$3:$L$1002,입출고내역!$C$3:$C$1002,$A157,입출고내역!$A$3:$A$1002,"&lt;"&amp;DATE($B$3,$D$3,1)))</f>
        <v/>
      </c>
      <c r="E157" s="13" t="str">
        <f aca="false">IF($A157="","",SUMIFS(입출고내역!$G$3:$G$1002,입출고내역!$C$3:$C$1002,$A157,입출고내역!$B$3:$B$1002,"입고",입출고내역!$A$3:$A$1002,"&gt;="&amp;DATE($B$3,$D$3,1),입출고내역!$A$3:$A$1002,"&lt;="&amp;EOMONTH(DATE($B$3,$D$3,1),0)))</f>
        <v/>
      </c>
      <c r="F157" s="13" t="str">
        <f aca="false">IF($A157="","",SUMIFS(입출고내역!$G$3:$G$1002,입출고내역!$C$3:$C$1002,$A157,입출고내역!$B$3:$B$1002,"출고",입출고내역!$A$3:$A$1002,"&gt;="&amp;DATE($B$3,$D$3,1),입출고내역!$A$3:$A$1002,"&lt;="&amp;EOMONTH(DATE($B$3,$D$3,1),0)))</f>
        <v/>
      </c>
      <c r="G157" s="13" t="str">
        <f aca="false">IF($A157="","",IF(품목마스터!$F154="",0,품목마스터!$F154)+SUMIFS(입출고내역!$L$3:$L$1002,입출고내역!$C$3:$C$1002,$A157,입출고내역!$A$3:$A$1002,"&lt;="&amp;EOMONTH(DATE($B$3,$D$3,1),0)))</f>
        <v/>
      </c>
      <c r="H157" s="13" t="str">
        <f aca="false">IF($A157="","",IF(품목마스터!$G154="",0,품목마스터!$G154))</f>
        <v/>
      </c>
    </row>
    <row r="158" customFormat="false" ht="15" hidden="false" customHeight="true" outlineLevel="0" collapsed="false">
      <c r="A158" s="12" t="str">
        <f aca="false">IF(품목마스터!$A155="","",품목마스터!$A155)</f>
        <v/>
      </c>
      <c r="B158" s="12" t="str">
        <f aca="false">IF($A158="","",품목마스터!$B155)</f>
        <v/>
      </c>
      <c r="C158" s="12" t="str">
        <f aca="false">IF($A158="","",품목마스터!$D155)</f>
        <v/>
      </c>
      <c r="D158" s="13" t="str">
        <f aca="false">IF($A158="","",IF(품목마스터!$F155="",0,품목마스터!$F155)+SUMIFS(입출고내역!$L$3:$L$1002,입출고내역!$C$3:$C$1002,$A158,입출고내역!$A$3:$A$1002,"&lt;"&amp;DATE($B$3,$D$3,1)))</f>
        <v/>
      </c>
      <c r="E158" s="13" t="str">
        <f aca="false">IF($A158="","",SUMIFS(입출고내역!$G$3:$G$1002,입출고내역!$C$3:$C$1002,$A158,입출고내역!$B$3:$B$1002,"입고",입출고내역!$A$3:$A$1002,"&gt;="&amp;DATE($B$3,$D$3,1),입출고내역!$A$3:$A$1002,"&lt;="&amp;EOMONTH(DATE($B$3,$D$3,1),0)))</f>
        <v/>
      </c>
      <c r="F158" s="13" t="str">
        <f aca="false">IF($A158="","",SUMIFS(입출고내역!$G$3:$G$1002,입출고내역!$C$3:$C$1002,$A158,입출고내역!$B$3:$B$1002,"출고",입출고내역!$A$3:$A$1002,"&gt;="&amp;DATE($B$3,$D$3,1),입출고내역!$A$3:$A$1002,"&lt;="&amp;EOMONTH(DATE($B$3,$D$3,1),0)))</f>
        <v/>
      </c>
      <c r="G158" s="13" t="str">
        <f aca="false">IF($A158="","",IF(품목마스터!$F155="",0,품목마스터!$F155)+SUMIFS(입출고내역!$L$3:$L$1002,입출고내역!$C$3:$C$1002,$A158,입출고내역!$A$3:$A$1002,"&lt;="&amp;EOMONTH(DATE($B$3,$D$3,1),0)))</f>
        <v/>
      </c>
      <c r="H158" s="13" t="str">
        <f aca="false">IF($A158="","",IF(품목마스터!$G155="",0,품목마스터!$G155))</f>
        <v/>
      </c>
    </row>
    <row r="159" customFormat="false" ht="15" hidden="false" customHeight="true" outlineLevel="0" collapsed="false">
      <c r="A159" s="12" t="str">
        <f aca="false">IF(품목마스터!$A156="","",품목마스터!$A156)</f>
        <v/>
      </c>
      <c r="B159" s="12" t="str">
        <f aca="false">IF($A159="","",품목마스터!$B156)</f>
        <v/>
      </c>
      <c r="C159" s="12" t="str">
        <f aca="false">IF($A159="","",품목마스터!$D156)</f>
        <v/>
      </c>
      <c r="D159" s="13" t="str">
        <f aca="false">IF($A159="","",IF(품목마스터!$F156="",0,품목마스터!$F156)+SUMIFS(입출고내역!$L$3:$L$1002,입출고내역!$C$3:$C$1002,$A159,입출고내역!$A$3:$A$1002,"&lt;"&amp;DATE($B$3,$D$3,1)))</f>
        <v/>
      </c>
      <c r="E159" s="13" t="str">
        <f aca="false">IF($A159="","",SUMIFS(입출고내역!$G$3:$G$1002,입출고내역!$C$3:$C$1002,$A159,입출고내역!$B$3:$B$1002,"입고",입출고내역!$A$3:$A$1002,"&gt;="&amp;DATE($B$3,$D$3,1),입출고내역!$A$3:$A$1002,"&lt;="&amp;EOMONTH(DATE($B$3,$D$3,1),0)))</f>
        <v/>
      </c>
      <c r="F159" s="13" t="str">
        <f aca="false">IF($A159="","",SUMIFS(입출고내역!$G$3:$G$1002,입출고내역!$C$3:$C$1002,$A159,입출고내역!$B$3:$B$1002,"출고",입출고내역!$A$3:$A$1002,"&gt;="&amp;DATE($B$3,$D$3,1),입출고내역!$A$3:$A$1002,"&lt;="&amp;EOMONTH(DATE($B$3,$D$3,1),0)))</f>
        <v/>
      </c>
      <c r="G159" s="13" t="str">
        <f aca="false">IF($A159="","",IF(품목마스터!$F156="",0,품목마스터!$F156)+SUMIFS(입출고내역!$L$3:$L$1002,입출고내역!$C$3:$C$1002,$A159,입출고내역!$A$3:$A$1002,"&lt;="&amp;EOMONTH(DATE($B$3,$D$3,1),0)))</f>
        <v/>
      </c>
      <c r="H159" s="13" t="str">
        <f aca="false">IF($A159="","",IF(품목마스터!$G156="",0,품목마스터!$G156))</f>
        <v/>
      </c>
    </row>
    <row r="160" customFormat="false" ht="15" hidden="false" customHeight="true" outlineLevel="0" collapsed="false">
      <c r="A160" s="12" t="str">
        <f aca="false">IF(품목마스터!$A157="","",품목마스터!$A157)</f>
        <v/>
      </c>
      <c r="B160" s="12" t="str">
        <f aca="false">IF($A160="","",품목마스터!$B157)</f>
        <v/>
      </c>
      <c r="C160" s="12" t="str">
        <f aca="false">IF($A160="","",품목마스터!$D157)</f>
        <v/>
      </c>
      <c r="D160" s="13" t="str">
        <f aca="false">IF($A160="","",IF(품목마스터!$F157="",0,품목마스터!$F157)+SUMIFS(입출고내역!$L$3:$L$1002,입출고내역!$C$3:$C$1002,$A160,입출고내역!$A$3:$A$1002,"&lt;"&amp;DATE($B$3,$D$3,1)))</f>
        <v/>
      </c>
      <c r="E160" s="13" t="str">
        <f aca="false">IF($A160="","",SUMIFS(입출고내역!$G$3:$G$1002,입출고내역!$C$3:$C$1002,$A160,입출고내역!$B$3:$B$1002,"입고",입출고내역!$A$3:$A$1002,"&gt;="&amp;DATE($B$3,$D$3,1),입출고내역!$A$3:$A$1002,"&lt;="&amp;EOMONTH(DATE($B$3,$D$3,1),0)))</f>
        <v/>
      </c>
      <c r="F160" s="13" t="str">
        <f aca="false">IF($A160="","",SUMIFS(입출고내역!$G$3:$G$1002,입출고내역!$C$3:$C$1002,$A160,입출고내역!$B$3:$B$1002,"출고",입출고내역!$A$3:$A$1002,"&gt;="&amp;DATE($B$3,$D$3,1),입출고내역!$A$3:$A$1002,"&lt;="&amp;EOMONTH(DATE($B$3,$D$3,1),0)))</f>
        <v/>
      </c>
      <c r="G160" s="13" t="str">
        <f aca="false">IF($A160="","",IF(품목마스터!$F157="",0,품목마스터!$F157)+SUMIFS(입출고내역!$L$3:$L$1002,입출고내역!$C$3:$C$1002,$A160,입출고내역!$A$3:$A$1002,"&lt;="&amp;EOMONTH(DATE($B$3,$D$3,1),0)))</f>
        <v/>
      </c>
      <c r="H160" s="13" t="str">
        <f aca="false">IF($A160="","",IF(품목마스터!$G157="",0,품목마스터!$G157))</f>
        <v/>
      </c>
    </row>
    <row r="161" customFormat="false" ht="15" hidden="false" customHeight="true" outlineLevel="0" collapsed="false">
      <c r="A161" s="12" t="str">
        <f aca="false">IF(품목마스터!$A158="","",품목마스터!$A158)</f>
        <v/>
      </c>
      <c r="B161" s="12" t="str">
        <f aca="false">IF($A161="","",품목마스터!$B158)</f>
        <v/>
      </c>
      <c r="C161" s="12" t="str">
        <f aca="false">IF($A161="","",품목마스터!$D158)</f>
        <v/>
      </c>
      <c r="D161" s="13" t="str">
        <f aca="false">IF($A161="","",IF(품목마스터!$F158="",0,품목마스터!$F158)+SUMIFS(입출고내역!$L$3:$L$1002,입출고내역!$C$3:$C$1002,$A161,입출고내역!$A$3:$A$1002,"&lt;"&amp;DATE($B$3,$D$3,1)))</f>
        <v/>
      </c>
      <c r="E161" s="13" t="str">
        <f aca="false">IF($A161="","",SUMIFS(입출고내역!$G$3:$G$1002,입출고내역!$C$3:$C$1002,$A161,입출고내역!$B$3:$B$1002,"입고",입출고내역!$A$3:$A$1002,"&gt;="&amp;DATE($B$3,$D$3,1),입출고내역!$A$3:$A$1002,"&lt;="&amp;EOMONTH(DATE($B$3,$D$3,1),0)))</f>
        <v/>
      </c>
      <c r="F161" s="13" t="str">
        <f aca="false">IF($A161="","",SUMIFS(입출고내역!$G$3:$G$1002,입출고내역!$C$3:$C$1002,$A161,입출고내역!$B$3:$B$1002,"출고",입출고내역!$A$3:$A$1002,"&gt;="&amp;DATE($B$3,$D$3,1),입출고내역!$A$3:$A$1002,"&lt;="&amp;EOMONTH(DATE($B$3,$D$3,1),0)))</f>
        <v/>
      </c>
      <c r="G161" s="13" t="str">
        <f aca="false">IF($A161="","",IF(품목마스터!$F158="",0,품목마스터!$F158)+SUMIFS(입출고내역!$L$3:$L$1002,입출고내역!$C$3:$C$1002,$A161,입출고내역!$A$3:$A$1002,"&lt;="&amp;EOMONTH(DATE($B$3,$D$3,1),0)))</f>
        <v/>
      </c>
      <c r="H161" s="13" t="str">
        <f aca="false">IF($A161="","",IF(품목마스터!$G158="",0,품목마스터!$G158))</f>
        <v/>
      </c>
    </row>
    <row r="162" customFormat="false" ht="15" hidden="false" customHeight="true" outlineLevel="0" collapsed="false">
      <c r="A162" s="12" t="str">
        <f aca="false">IF(품목마스터!$A159="","",품목마스터!$A159)</f>
        <v/>
      </c>
      <c r="B162" s="12" t="str">
        <f aca="false">IF($A162="","",품목마스터!$B159)</f>
        <v/>
      </c>
      <c r="C162" s="12" t="str">
        <f aca="false">IF($A162="","",품목마스터!$D159)</f>
        <v/>
      </c>
      <c r="D162" s="13" t="str">
        <f aca="false">IF($A162="","",IF(품목마스터!$F159="",0,품목마스터!$F159)+SUMIFS(입출고내역!$L$3:$L$1002,입출고내역!$C$3:$C$1002,$A162,입출고내역!$A$3:$A$1002,"&lt;"&amp;DATE($B$3,$D$3,1)))</f>
        <v/>
      </c>
      <c r="E162" s="13" t="str">
        <f aca="false">IF($A162="","",SUMIFS(입출고내역!$G$3:$G$1002,입출고내역!$C$3:$C$1002,$A162,입출고내역!$B$3:$B$1002,"입고",입출고내역!$A$3:$A$1002,"&gt;="&amp;DATE($B$3,$D$3,1),입출고내역!$A$3:$A$1002,"&lt;="&amp;EOMONTH(DATE($B$3,$D$3,1),0)))</f>
        <v/>
      </c>
      <c r="F162" s="13" t="str">
        <f aca="false">IF($A162="","",SUMIFS(입출고내역!$G$3:$G$1002,입출고내역!$C$3:$C$1002,$A162,입출고내역!$B$3:$B$1002,"출고",입출고내역!$A$3:$A$1002,"&gt;="&amp;DATE($B$3,$D$3,1),입출고내역!$A$3:$A$1002,"&lt;="&amp;EOMONTH(DATE($B$3,$D$3,1),0)))</f>
        <v/>
      </c>
      <c r="G162" s="13" t="str">
        <f aca="false">IF($A162="","",IF(품목마스터!$F159="",0,품목마스터!$F159)+SUMIFS(입출고내역!$L$3:$L$1002,입출고내역!$C$3:$C$1002,$A162,입출고내역!$A$3:$A$1002,"&lt;="&amp;EOMONTH(DATE($B$3,$D$3,1),0)))</f>
        <v/>
      </c>
      <c r="H162" s="13" t="str">
        <f aca="false">IF($A162="","",IF(품목마스터!$G159="",0,품목마스터!$G159))</f>
        <v/>
      </c>
    </row>
    <row r="163" customFormat="false" ht="15" hidden="false" customHeight="true" outlineLevel="0" collapsed="false">
      <c r="A163" s="12" t="str">
        <f aca="false">IF(품목마스터!$A160="","",품목마스터!$A160)</f>
        <v/>
      </c>
      <c r="B163" s="12" t="str">
        <f aca="false">IF($A163="","",품목마스터!$B160)</f>
        <v/>
      </c>
      <c r="C163" s="12" t="str">
        <f aca="false">IF($A163="","",품목마스터!$D160)</f>
        <v/>
      </c>
      <c r="D163" s="13" t="str">
        <f aca="false">IF($A163="","",IF(품목마스터!$F160="",0,품목마스터!$F160)+SUMIFS(입출고내역!$L$3:$L$1002,입출고내역!$C$3:$C$1002,$A163,입출고내역!$A$3:$A$1002,"&lt;"&amp;DATE($B$3,$D$3,1)))</f>
        <v/>
      </c>
      <c r="E163" s="13" t="str">
        <f aca="false">IF($A163="","",SUMIFS(입출고내역!$G$3:$G$1002,입출고내역!$C$3:$C$1002,$A163,입출고내역!$B$3:$B$1002,"입고",입출고내역!$A$3:$A$1002,"&gt;="&amp;DATE($B$3,$D$3,1),입출고내역!$A$3:$A$1002,"&lt;="&amp;EOMONTH(DATE($B$3,$D$3,1),0)))</f>
        <v/>
      </c>
      <c r="F163" s="13" t="str">
        <f aca="false">IF($A163="","",SUMIFS(입출고내역!$G$3:$G$1002,입출고내역!$C$3:$C$1002,$A163,입출고내역!$B$3:$B$1002,"출고",입출고내역!$A$3:$A$1002,"&gt;="&amp;DATE($B$3,$D$3,1),입출고내역!$A$3:$A$1002,"&lt;="&amp;EOMONTH(DATE($B$3,$D$3,1),0)))</f>
        <v/>
      </c>
      <c r="G163" s="13" t="str">
        <f aca="false">IF($A163="","",IF(품목마스터!$F160="",0,품목마스터!$F160)+SUMIFS(입출고내역!$L$3:$L$1002,입출고내역!$C$3:$C$1002,$A163,입출고내역!$A$3:$A$1002,"&lt;="&amp;EOMONTH(DATE($B$3,$D$3,1),0)))</f>
        <v/>
      </c>
      <c r="H163" s="13" t="str">
        <f aca="false">IF($A163="","",IF(품목마스터!$G160="",0,품목마스터!$G160))</f>
        <v/>
      </c>
    </row>
    <row r="164" customFormat="false" ht="15" hidden="false" customHeight="true" outlineLevel="0" collapsed="false">
      <c r="A164" s="12" t="str">
        <f aca="false">IF(품목마스터!$A161="","",품목마스터!$A161)</f>
        <v/>
      </c>
      <c r="B164" s="12" t="str">
        <f aca="false">IF($A164="","",품목마스터!$B161)</f>
        <v/>
      </c>
      <c r="C164" s="12" t="str">
        <f aca="false">IF($A164="","",품목마스터!$D161)</f>
        <v/>
      </c>
      <c r="D164" s="13" t="str">
        <f aca="false">IF($A164="","",IF(품목마스터!$F161="",0,품목마스터!$F161)+SUMIFS(입출고내역!$L$3:$L$1002,입출고내역!$C$3:$C$1002,$A164,입출고내역!$A$3:$A$1002,"&lt;"&amp;DATE($B$3,$D$3,1)))</f>
        <v/>
      </c>
      <c r="E164" s="13" t="str">
        <f aca="false">IF($A164="","",SUMIFS(입출고내역!$G$3:$G$1002,입출고내역!$C$3:$C$1002,$A164,입출고내역!$B$3:$B$1002,"입고",입출고내역!$A$3:$A$1002,"&gt;="&amp;DATE($B$3,$D$3,1),입출고내역!$A$3:$A$1002,"&lt;="&amp;EOMONTH(DATE($B$3,$D$3,1),0)))</f>
        <v/>
      </c>
      <c r="F164" s="13" t="str">
        <f aca="false">IF($A164="","",SUMIFS(입출고내역!$G$3:$G$1002,입출고내역!$C$3:$C$1002,$A164,입출고내역!$B$3:$B$1002,"출고",입출고내역!$A$3:$A$1002,"&gt;="&amp;DATE($B$3,$D$3,1),입출고내역!$A$3:$A$1002,"&lt;="&amp;EOMONTH(DATE($B$3,$D$3,1),0)))</f>
        <v/>
      </c>
      <c r="G164" s="13" t="str">
        <f aca="false">IF($A164="","",IF(품목마스터!$F161="",0,품목마스터!$F161)+SUMIFS(입출고내역!$L$3:$L$1002,입출고내역!$C$3:$C$1002,$A164,입출고내역!$A$3:$A$1002,"&lt;="&amp;EOMONTH(DATE($B$3,$D$3,1),0)))</f>
        <v/>
      </c>
      <c r="H164" s="13" t="str">
        <f aca="false">IF($A164="","",IF(품목마스터!$G161="",0,품목마스터!$G161))</f>
        <v/>
      </c>
    </row>
    <row r="165" customFormat="false" ht="15" hidden="false" customHeight="true" outlineLevel="0" collapsed="false">
      <c r="A165" s="12" t="str">
        <f aca="false">IF(품목마스터!$A162="","",품목마스터!$A162)</f>
        <v/>
      </c>
      <c r="B165" s="12" t="str">
        <f aca="false">IF($A165="","",품목마스터!$B162)</f>
        <v/>
      </c>
      <c r="C165" s="12" t="str">
        <f aca="false">IF($A165="","",품목마스터!$D162)</f>
        <v/>
      </c>
      <c r="D165" s="13" t="str">
        <f aca="false">IF($A165="","",IF(품목마스터!$F162="",0,품목마스터!$F162)+SUMIFS(입출고내역!$L$3:$L$1002,입출고내역!$C$3:$C$1002,$A165,입출고내역!$A$3:$A$1002,"&lt;"&amp;DATE($B$3,$D$3,1)))</f>
        <v/>
      </c>
      <c r="E165" s="13" t="str">
        <f aca="false">IF($A165="","",SUMIFS(입출고내역!$G$3:$G$1002,입출고내역!$C$3:$C$1002,$A165,입출고내역!$B$3:$B$1002,"입고",입출고내역!$A$3:$A$1002,"&gt;="&amp;DATE($B$3,$D$3,1),입출고내역!$A$3:$A$1002,"&lt;="&amp;EOMONTH(DATE($B$3,$D$3,1),0)))</f>
        <v/>
      </c>
      <c r="F165" s="13" t="str">
        <f aca="false">IF($A165="","",SUMIFS(입출고내역!$G$3:$G$1002,입출고내역!$C$3:$C$1002,$A165,입출고내역!$B$3:$B$1002,"출고",입출고내역!$A$3:$A$1002,"&gt;="&amp;DATE($B$3,$D$3,1),입출고내역!$A$3:$A$1002,"&lt;="&amp;EOMONTH(DATE($B$3,$D$3,1),0)))</f>
        <v/>
      </c>
      <c r="G165" s="13" t="str">
        <f aca="false">IF($A165="","",IF(품목마스터!$F162="",0,품목마스터!$F162)+SUMIFS(입출고내역!$L$3:$L$1002,입출고내역!$C$3:$C$1002,$A165,입출고내역!$A$3:$A$1002,"&lt;="&amp;EOMONTH(DATE($B$3,$D$3,1),0)))</f>
        <v/>
      </c>
      <c r="H165" s="13" t="str">
        <f aca="false">IF($A165="","",IF(품목마스터!$G162="",0,품목마스터!$G162))</f>
        <v/>
      </c>
    </row>
    <row r="166" customFormat="false" ht="15" hidden="false" customHeight="true" outlineLevel="0" collapsed="false">
      <c r="A166" s="12" t="str">
        <f aca="false">IF(품목마스터!$A163="","",품목마스터!$A163)</f>
        <v/>
      </c>
      <c r="B166" s="12" t="str">
        <f aca="false">IF($A166="","",품목마스터!$B163)</f>
        <v/>
      </c>
      <c r="C166" s="12" t="str">
        <f aca="false">IF($A166="","",품목마스터!$D163)</f>
        <v/>
      </c>
      <c r="D166" s="13" t="str">
        <f aca="false">IF($A166="","",IF(품목마스터!$F163="",0,품목마스터!$F163)+SUMIFS(입출고내역!$L$3:$L$1002,입출고내역!$C$3:$C$1002,$A166,입출고내역!$A$3:$A$1002,"&lt;"&amp;DATE($B$3,$D$3,1)))</f>
        <v/>
      </c>
      <c r="E166" s="13" t="str">
        <f aca="false">IF($A166="","",SUMIFS(입출고내역!$G$3:$G$1002,입출고내역!$C$3:$C$1002,$A166,입출고내역!$B$3:$B$1002,"입고",입출고내역!$A$3:$A$1002,"&gt;="&amp;DATE($B$3,$D$3,1),입출고내역!$A$3:$A$1002,"&lt;="&amp;EOMONTH(DATE($B$3,$D$3,1),0)))</f>
        <v/>
      </c>
      <c r="F166" s="13" t="str">
        <f aca="false">IF($A166="","",SUMIFS(입출고내역!$G$3:$G$1002,입출고내역!$C$3:$C$1002,$A166,입출고내역!$B$3:$B$1002,"출고",입출고내역!$A$3:$A$1002,"&gt;="&amp;DATE($B$3,$D$3,1),입출고내역!$A$3:$A$1002,"&lt;="&amp;EOMONTH(DATE($B$3,$D$3,1),0)))</f>
        <v/>
      </c>
      <c r="G166" s="13" t="str">
        <f aca="false">IF($A166="","",IF(품목마스터!$F163="",0,품목마스터!$F163)+SUMIFS(입출고내역!$L$3:$L$1002,입출고내역!$C$3:$C$1002,$A166,입출고내역!$A$3:$A$1002,"&lt;="&amp;EOMONTH(DATE($B$3,$D$3,1),0)))</f>
        <v/>
      </c>
      <c r="H166" s="13" t="str">
        <f aca="false">IF($A166="","",IF(품목마스터!$G163="",0,품목마스터!$G163))</f>
        <v/>
      </c>
    </row>
    <row r="167" customFormat="false" ht="15" hidden="false" customHeight="true" outlineLevel="0" collapsed="false">
      <c r="A167" s="12" t="str">
        <f aca="false">IF(품목마스터!$A164="","",품목마스터!$A164)</f>
        <v/>
      </c>
      <c r="B167" s="12" t="str">
        <f aca="false">IF($A167="","",품목마스터!$B164)</f>
        <v/>
      </c>
      <c r="C167" s="12" t="str">
        <f aca="false">IF($A167="","",품목마스터!$D164)</f>
        <v/>
      </c>
      <c r="D167" s="13" t="str">
        <f aca="false">IF($A167="","",IF(품목마스터!$F164="",0,품목마스터!$F164)+SUMIFS(입출고내역!$L$3:$L$1002,입출고내역!$C$3:$C$1002,$A167,입출고내역!$A$3:$A$1002,"&lt;"&amp;DATE($B$3,$D$3,1)))</f>
        <v/>
      </c>
      <c r="E167" s="13" t="str">
        <f aca="false">IF($A167="","",SUMIFS(입출고내역!$G$3:$G$1002,입출고내역!$C$3:$C$1002,$A167,입출고내역!$B$3:$B$1002,"입고",입출고내역!$A$3:$A$1002,"&gt;="&amp;DATE($B$3,$D$3,1),입출고내역!$A$3:$A$1002,"&lt;="&amp;EOMONTH(DATE($B$3,$D$3,1),0)))</f>
        <v/>
      </c>
      <c r="F167" s="13" t="str">
        <f aca="false">IF($A167="","",SUMIFS(입출고내역!$G$3:$G$1002,입출고내역!$C$3:$C$1002,$A167,입출고내역!$B$3:$B$1002,"출고",입출고내역!$A$3:$A$1002,"&gt;="&amp;DATE($B$3,$D$3,1),입출고내역!$A$3:$A$1002,"&lt;="&amp;EOMONTH(DATE($B$3,$D$3,1),0)))</f>
        <v/>
      </c>
      <c r="G167" s="13" t="str">
        <f aca="false">IF($A167="","",IF(품목마스터!$F164="",0,품목마스터!$F164)+SUMIFS(입출고내역!$L$3:$L$1002,입출고내역!$C$3:$C$1002,$A167,입출고내역!$A$3:$A$1002,"&lt;="&amp;EOMONTH(DATE($B$3,$D$3,1),0)))</f>
        <v/>
      </c>
      <c r="H167" s="13" t="str">
        <f aca="false">IF($A167="","",IF(품목마스터!$G164="",0,품목마스터!$G164))</f>
        <v/>
      </c>
    </row>
    <row r="168" customFormat="false" ht="15" hidden="false" customHeight="true" outlineLevel="0" collapsed="false">
      <c r="A168" s="12" t="str">
        <f aca="false">IF(품목마스터!$A165="","",품목마스터!$A165)</f>
        <v/>
      </c>
      <c r="B168" s="12" t="str">
        <f aca="false">IF($A168="","",품목마스터!$B165)</f>
        <v/>
      </c>
      <c r="C168" s="12" t="str">
        <f aca="false">IF($A168="","",품목마스터!$D165)</f>
        <v/>
      </c>
      <c r="D168" s="13" t="str">
        <f aca="false">IF($A168="","",IF(품목마스터!$F165="",0,품목마스터!$F165)+SUMIFS(입출고내역!$L$3:$L$1002,입출고내역!$C$3:$C$1002,$A168,입출고내역!$A$3:$A$1002,"&lt;"&amp;DATE($B$3,$D$3,1)))</f>
        <v/>
      </c>
      <c r="E168" s="13" t="str">
        <f aca="false">IF($A168="","",SUMIFS(입출고내역!$G$3:$G$1002,입출고내역!$C$3:$C$1002,$A168,입출고내역!$B$3:$B$1002,"입고",입출고내역!$A$3:$A$1002,"&gt;="&amp;DATE($B$3,$D$3,1),입출고내역!$A$3:$A$1002,"&lt;="&amp;EOMONTH(DATE($B$3,$D$3,1),0)))</f>
        <v/>
      </c>
      <c r="F168" s="13" t="str">
        <f aca="false">IF($A168="","",SUMIFS(입출고내역!$G$3:$G$1002,입출고내역!$C$3:$C$1002,$A168,입출고내역!$B$3:$B$1002,"출고",입출고내역!$A$3:$A$1002,"&gt;="&amp;DATE($B$3,$D$3,1),입출고내역!$A$3:$A$1002,"&lt;="&amp;EOMONTH(DATE($B$3,$D$3,1),0)))</f>
        <v/>
      </c>
      <c r="G168" s="13" t="str">
        <f aca="false">IF($A168="","",IF(품목마스터!$F165="",0,품목마스터!$F165)+SUMIFS(입출고내역!$L$3:$L$1002,입출고내역!$C$3:$C$1002,$A168,입출고내역!$A$3:$A$1002,"&lt;="&amp;EOMONTH(DATE($B$3,$D$3,1),0)))</f>
        <v/>
      </c>
      <c r="H168" s="13" t="str">
        <f aca="false">IF($A168="","",IF(품목마스터!$G165="",0,품목마스터!$G165))</f>
        <v/>
      </c>
    </row>
    <row r="169" customFormat="false" ht="15" hidden="false" customHeight="true" outlineLevel="0" collapsed="false">
      <c r="A169" s="12" t="str">
        <f aca="false">IF(품목마스터!$A166="","",품목마스터!$A166)</f>
        <v/>
      </c>
      <c r="B169" s="12" t="str">
        <f aca="false">IF($A169="","",품목마스터!$B166)</f>
        <v/>
      </c>
      <c r="C169" s="12" t="str">
        <f aca="false">IF($A169="","",품목마스터!$D166)</f>
        <v/>
      </c>
      <c r="D169" s="13" t="str">
        <f aca="false">IF($A169="","",IF(품목마스터!$F166="",0,품목마스터!$F166)+SUMIFS(입출고내역!$L$3:$L$1002,입출고내역!$C$3:$C$1002,$A169,입출고내역!$A$3:$A$1002,"&lt;"&amp;DATE($B$3,$D$3,1)))</f>
        <v/>
      </c>
      <c r="E169" s="13" t="str">
        <f aca="false">IF($A169="","",SUMIFS(입출고내역!$G$3:$G$1002,입출고내역!$C$3:$C$1002,$A169,입출고내역!$B$3:$B$1002,"입고",입출고내역!$A$3:$A$1002,"&gt;="&amp;DATE($B$3,$D$3,1),입출고내역!$A$3:$A$1002,"&lt;="&amp;EOMONTH(DATE($B$3,$D$3,1),0)))</f>
        <v/>
      </c>
      <c r="F169" s="13" t="str">
        <f aca="false">IF($A169="","",SUMIFS(입출고내역!$G$3:$G$1002,입출고내역!$C$3:$C$1002,$A169,입출고내역!$B$3:$B$1002,"출고",입출고내역!$A$3:$A$1002,"&gt;="&amp;DATE($B$3,$D$3,1),입출고내역!$A$3:$A$1002,"&lt;="&amp;EOMONTH(DATE($B$3,$D$3,1),0)))</f>
        <v/>
      </c>
      <c r="G169" s="13" t="str">
        <f aca="false">IF($A169="","",IF(품목마스터!$F166="",0,품목마스터!$F166)+SUMIFS(입출고내역!$L$3:$L$1002,입출고내역!$C$3:$C$1002,$A169,입출고내역!$A$3:$A$1002,"&lt;="&amp;EOMONTH(DATE($B$3,$D$3,1),0)))</f>
        <v/>
      </c>
      <c r="H169" s="13" t="str">
        <f aca="false">IF($A169="","",IF(품목마스터!$G166="",0,품목마스터!$G166))</f>
        <v/>
      </c>
    </row>
    <row r="170" customFormat="false" ht="15" hidden="false" customHeight="true" outlineLevel="0" collapsed="false">
      <c r="A170" s="12" t="str">
        <f aca="false">IF(품목마스터!$A167="","",품목마스터!$A167)</f>
        <v/>
      </c>
      <c r="B170" s="12" t="str">
        <f aca="false">IF($A170="","",품목마스터!$B167)</f>
        <v/>
      </c>
      <c r="C170" s="12" t="str">
        <f aca="false">IF($A170="","",품목마스터!$D167)</f>
        <v/>
      </c>
      <c r="D170" s="13" t="str">
        <f aca="false">IF($A170="","",IF(품목마스터!$F167="",0,품목마스터!$F167)+SUMIFS(입출고내역!$L$3:$L$1002,입출고내역!$C$3:$C$1002,$A170,입출고내역!$A$3:$A$1002,"&lt;"&amp;DATE($B$3,$D$3,1)))</f>
        <v/>
      </c>
      <c r="E170" s="13" t="str">
        <f aca="false">IF($A170="","",SUMIFS(입출고내역!$G$3:$G$1002,입출고내역!$C$3:$C$1002,$A170,입출고내역!$B$3:$B$1002,"입고",입출고내역!$A$3:$A$1002,"&gt;="&amp;DATE($B$3,$D$3,1),입출고내역!$A$3:$A$1002,"&lt;="&amp;EOMONTH(DATE($B$3,$D$3,1),0)))</f>
        <v/>
      </c>
      <c r="F170" s="13" t="str">
        <f aca="false">IF($A170="","",SUMIFS(입출고내역!$G$3:$G$1002,입출고내역!$C$3:$C$1002,$A170,입출고내역!$B$3:$B$1002,"출고",입출고내역!$A$3:$A$1002,"&gt;="&amp;DATE($B$3,$D$3,1),입출고내역!$A$3:$A$1002,"&lt;="&amp;EOMONTH(DATE($B$3,$D$3,1),0)))</f>
        <v/>
      </c>
      <c r="G170" s="13" t="str">
        <f aca="false">IF($A170="","",IF(품목마스터!$F167="",0,품목마스터!$F167)+SUMIFS(입출고내역!$L$3:$L$1002,입출고내역!$C$3:$C$1002,$A170,입출고내역!$A$3:$A$1002,"&lt;="&amp;EOMONTH(DATE($B$3,$D$3,1),0)))</f>
        <v/>
      </c>
      <c r="H170" s="13" t="str">
        <f aca="false">IF($A170="","",IF(품목마스터!$G167="",0,품목마스터!$G167))</f>
        <v/>
      </c>
    </row>
    <row r="171" customFormat="false" ht="15" hidden="false" customHeight="true" outlineLevel="0" collapsed="false">
      <c r="A171" s="12" t="str">
        <f aca="false">IF(품목마스터!$A168="","",품목마스터!$A168)</f>
        <v/>
      </c>
      <c r="B171" s="12" t="str">
        <f aca="false">IF($A171="","",품목마스터!$B168)</f>
        <v/>
      </c>
      <c r="C171" s="12" t="str">
        <f aca="false">IF($A171="","",품목마스터!$D168)</f>
        <v/>
      </c>
      <c r="D171" s="13" t="str">
        <f aca="false">IF($A171="","",IF(품목마스터!$F168="",0,품목마스터!$F168)+SUMIFS(입출고내역!$L$3:$L$1002,입출고내역!$C$3:$C$1002,$A171,입출고내역!$A$3:$A$1002,"&lt;"&amp;DATE($B$3,$D$3,1)))</f>
        <v/>
      </c>
      <c r="E171" s="13" t="str">
        <f aca="false">IF($A171="","",SUMIFS(입출고내역!$G$3:$G$1002,입출고내역!$C$3:$C$1002,$A171,입출고내역!$B$3:$B$1002,"입고",입출고내역!$A$3:$A$1002,"&gt;="&amp;DATE($B$3,$D$3,1),입출고내역!$A$3:$A$1002,"&lt;="&amp;EOMONTH(DATE($B$3,$D$3,1),0)))</f>
        <v/>
      </c>
      <c r="F171" s="13" t="str">
        <f aca="false">IF($A171="","",SUMIFS(입출고내역!$G$3:$G$1002,입출고내역!$C$3:$C$1002,$A171,입출고내역!$B$3:$B$1002,"출고",입출고내역!$A$3:$A$1002,"&gt;="&amp;DATE($B$3,$D$3,1),입출고내역!$A$3:$A$1002,"&lt;="&amp;EOMONTH(DATE($B$3,$D$3,1),0)))</f>
        <v/>
      </c>
      <c r="G171" s="13" t="str">
        <f aca="false">IF($A171="","",IF(품목마스터!$F168="",0,품목마스터!$F168)+SUMIFS(입출고내역!$L$3:$L$1002,입출고내역!$C$3:$C$1002,$A171,입출고내역!$A$3:$A$1002,"&lt;="&amp;EOMONTH(DATE($B$3,$D$3,1),0)))</f>
        <v/>
      </c>
      <c r="H171" s="13" t="str">
        <f aca="false">IF($A171="","",IF(품목마스터!$G168="",0,품목마스터!$G168))</f>
        <v/>
      </c>
    </row>
    <row r="172" customFormat="false" ht="15" hidden="false" customHeight="true" outlineLevel="0" collapsed="false">
      <c r="A172" s="12" t="str">
        <f aca="false">IF(품목마스터!$A169="","",품목마스터!$A169)</f>
        <v/>
      </c>
      <c r="B172" s="12" t="str">
        <f aca="false">IF($A172="","",품목마스터!$B169)</f>
        <v/>
      </c>
      <c r="C172" s="12" t="str">
        <f aca="false">IF($A172="","",품목마스터!$D169)</f>
        <v/>
      </c>
      <c r="D172" s="13" t="str">
        <f aca="false">IF($A172="","",IF(품목마스터!$F169="",0,품목마스터!$F169)+SUMIFS(입출고내역!$L$3:$L$1002,입출고내역!$C$3:$C$1002,$A172,입출고내역!$A$3:$A$1002,"&lt;"&amp;DATE($B$3,$D$3,1)))</f>
        <v/>
      </c>
      <c r="E172" s="13" t="str">
        <f aca="false">IF($A172="","",SUMIFS(입출고내역!$G$3:$G$1002,입출고내역!$C$3:$C$1002,$A172,입출고내역!$B$3:$B$1002,"입고",입출고내역!$A$3:$A$1002,"&gt;="&amp;DATE($B$3,$D$3,1),입출고내역!$A$3:$A$1002,"&lt;="&amp;EOMONTH(DATE($B$3,$D$3,1),0)))</f>
        <v/>
      </c>
      <c r="F172" s="13" t="str">
        <f aca="false">IF($A172="","",SUMIFS(입출고내역!$G$3:$G$1002,입출고내역!$C$3:$C$1002,$A172,입출고내역!$B$3:$B$1002,"출고",입출고내역!$A$3:$A$1002,"&gt;="&amp;DATE($B$3,$D$3,1),입출고내역!$A$3:$A$1002,"&lt;="&amp;EOMONTH(DATE($B$3,$D$3,1),0)))</f>
        <v/>
      </c>
      <c r="G172" s="13" t="str">
        <f aca="false">IF($A172="","",IF(품목마스터!$F169="",0,품목마스터!$F169)+SUMIFS(입출고내역!$L$3:$L$1002,입출고내역!$C$3:$C$1002,$A172,입출고내역!$A$3:$A$1002,"&lt;="&amp;EOMONTH(DATE($B$3,$D$3,1),0)))</f>
        <v/>
      </c>
      <c r="H172" s="13" t="str">
        <f aca="false">IF($A172="","",IF(품목마스터!$G169="",0,품목마스터!$G169))</f>
        <v/>
      </c>
    </row>
    <row r="173" customFormat="false" ht="15" hidden="false" customHeight="true" outlineLevel="0" collapsed="false">
      <c r="A173" s="12" t="str">
        <f aca="false">IF(품목마스터!$A170="","",품목마스터!$A170)</f>
        <v/>
      </c>
      <c r="B173" s="12" t="str">
        <f aca="false">IF($A173="","",품목마스터!$B170)</f>
        <v/>
      </c>
      <c r="C173" s="12" t="str">
        <f aca="false">IF($A173="","",품목마스터!$D170)</f>
        <v/>
      </c>
      <c r="D173" s="13" t="str">
        <f aca="false">IF($A173="","",IF(품목마스터!$F170="",0,품목마스터!$F170)+SUMIFS(입출고내역!$L$3:$L$1002,입출고내역!$C$3:$C$1002,$A173,입출고내역!$A$3:$A$1002,"&lt;"&amp;DATE($B$3,$D$3,1)))</f>
        <v/>
      </c>
      <c r="E173" s="13" t="str">
        <f aca="false">IF($A173="","",SUMIFS(입출고내역!$G$3:$G$1002,입출고내역!$C$3:$C$1002,$A173,입출고내역!$B$3:$B$1002,"입고",입출고내역!$A$3:$A$1002,"&gt;="&amp;DATE($B$3,$D$3,1),입출고내역!$A$3:$A$1002,"&lt;="&amp;EOMONTH(DATE($B$3,$D$3,1),0)))</f>
        <v/>
      </c>
      <c r="F173" s="13" t="str">
        <f aca="false">IF($A173="","",SUMIFS(입출고내역!$G$3:$G$1002,입출고내역!$C$3:$C$1002,$A173,입출고내역!$B$3:$B$1002,"출고",입출고내역!$A$3:$A$1002,"&gt;="&amp;DATE($B$3,$D$3,1),입출고내역!$A$3:$A$1002,"&lt;="&amp;EOMONTH(DATE($B$3,$D$3,1),0)))</f>
        <v/>
      </c>
      <c r="G173" s="13" t="str">
        <f aca="false">IF($A173="","",IF(품목마스터!$F170="",0,품목마스터!$F170)+SUMIFS(입출고내역!$L$3:$L$1002,입출고내역!$C$3:$C$1002,$A173,입출고내역!$A$3:$A$1002,"&lt;="&amp;EOMONTH(DATE($B$3,$D$3,1),0)))</f>
        <v/>
      </c>
      <c r="H173" s="13" t="str">
        <f aca="false">IF($A173="","",IF(품목마스터!$G170="",0,품목마스터!$G170))</f>
        <v/>
      </c>
    </row>
    <row r="174" customFormat="false" ht="15" hidden="false" customHeight="true" outlineLevel="0" collapsed="false">
      <c r="A174" s="12" t="str">
        <f aca="false">IF(품목마스터!$A171="","",품목마스터!$A171)</f>
        <v/>
      </c>
      <c r="B174" s="12" t="str">
        <f aca="false">IF($A174="","",품목마스터!$B171)</f>
        <v/>
      </c>
      <c r="C174" s="12" t="str">
        <f aca="false">IF($A174="","",품목마스터!$D171)</f>
        <v/>
      </c>
      <c r="D174" s="13" t="str">
        <f aca="false">IF($A174="","",IF(품목마스터!$F171="",0,품목마스터!$F171)+SUMIFS(입출고내역!$L$3:$L$1002,입출고내역!$C$3:$C$1002,$A174,입출고내역!$A$3:$A$1002,"&lt;"&amp;DATE($B$3,$D$3,1)))</f>
        <v/>
      </c>
      <c r="E174" s="13" t="str">
        <f aca="false">IF($A174="","",SUMIFS(입출고내역!$G$3:$G$1002,입출고내역!$C$3:$C$1002,$A174,입출고내역!$B$3:$B$1002,"입고",입출고내역!$A$3:$A$1002,"&gt;="&amp;DATE($B$3,$D$3,1),입출고내역!$A$3:$A$1002,"&lt;="&amp;EOMONTH(DATE($B$3,$D$3,1),0)))</f>
        <v/>
      </c>
      <c r="F174" s="13" t="str">
        <f aca="false">IF($A174="","",SUMIFS(입출고내역!$G$3:$G$1002,입출고내역!$C$3:$C$1002,$A174,입출고내역!$B$3:$B$1002,"출고",입출고내역!$A$3:$A$1002,"&gt;="&amp;DATE($B$3,$D$3,1),입출고내역!$A$3:$A$1002,"&lt;="&amp;EOMONTH(DATE($B$3,$D$3,1),0)))</f>
        <v/>
      </c>
      <c r="G174" s="13" t="str">
        <f aca="false">IF($A174="","",IF(품목마스터!$F171="",0,품목마스터!$F171)+SUMIFS(입출고내역!$L$3:$L$1002,입출고내역!$C$3:$C$1002,$A174,입출고내역!$A$3:$A$1002,"&lt;="&amp;EOMONTH(DATE($B$3,$D$3,1),0)))</f>
        <v/>
      </c>
      <c r="H174" s="13" t="str">
        <f aca="false">IF($A174="","",IF(품목마스터!$G171="",0,품목마스터!$G171))</f>
        <v/>
      </c>
    </row>
    <row r="175" customFormat="false" ht="15" hidden="false" customHeight="true" outlineLevel="0" collapsed="false">
      <c r="A175" s="12" t="str">
        <f aca="false">IF(품목마스터!$A172="","",품목마스터!$A172)</f>
        <v/>
      </c>
      <c r="B175" s="12" t="str">
        <f aca="false">IF($A175="","",품목마스터!$B172)</f>
        <v/>
      </c>
      <c r="C175" s="12" t="str">
        <f aca="false">IF($A175="","",품목마스터!$D172)</f>
        <v/>
      </c>
      <c r="D175" s="13" t="str">
        <f aca="false">IF($A175="","",IF(품목마스터!$F172="",0,품목마스터!$F172)+SUMIFS(입출고내역!$L$3:$L$1002,입출고내역!$C$3:$C$1002,$A175,입출고내역!$A$3:$A$1002,"&lt;"&amp;DATE($B$3,$D$3,1)))</f>
        <v/>
      </c>
      <c r="E175" s="13" t="str">
        <f aca="false">IF($A175="","",SUMIFS(입출고내역!$G$3:$G$1002,입출고내역!$C$3:$C$1002,$A175,입출고내역!$B$3:$B$1002,"입고",입출고내역!$A$3:$A$1002,"&gt;="&amp;DATE($B$3,$D$3,1),입출고내역!$A$3:$A$1002,"&lt;="&amp;EOMONTH(DATE($B$3,$D$3,1),0)))</f>
        <v/>
      </c>
      <c r="F175" s="13" t="str">
        <f aca="false">IF($A175="","",SUMIFS(입출고내역!$G$3:$G$1002,입출고내역!$C$3:$C$1002,$A175,입출고내역!$B$3:$B$1002,"출고",입출고내역!$A$3:$A$1002,"&gt;="&amp;DATE($B$3,$D$3,1),입출고내역!$A$3:$A$1002,"&lt;="&amp;EOMONTH(DATE($B$3,$D$3,1),0)))</f>
        <v/>
      </c>
      <c r="G175" s="13" t="str">
        <f aca="false">IF($A175="","",IF(품목마스터!$F172="",0,품목마스터!$F172)+SUMIFS(입출고내역!$L$3:$L$1002,입출고내역!$C$3:$C$1002,$A175,입출고내역!$A$3:$A$1002,"&lt;="&amp;EOMONTH(DATE($B$3,$D$3,1),0)))</f>
        <v/>
      </c>
      <c r="H175" s="13" t="str">
        <f aca="false">IF($A175="","",IF(품목마스터!$G172="",0,품목마스터!$G172))</f>
        <v/>
      </c>
    </row>
    <row r="176" customFormat="false" ht="15" hidden="false" customHeight="true" outlineLevel="0" collapsed="false">
      <c r="A176" s="12" t="str">
        <f aca="false">IF(품목마스터!$A173="","",품목마스터!$A173)</f>
        <v/>
      </c>
      <c r="B176" s="12" t="str">
        <f aca="false">IF($A176="","",품목마스터!$B173)</f>
        <v/>
      </c>
      <c r="C176" s="12" t="str">
        <f aca="false">IF($A176="","",품목마스터!$D173)</f>
        <v/>
      </c>
      <c r="D176" s="13" t="str">
        <f aca="false">IF($A176="","",IF(품목마스터!$F173="",0,품목마스터!$F173)+SUMIFS(입출고내역!$L$3:$L$1002,입출고내역!$C$3:$C$1002,$A176,입출고내역!$A$3:$A$1002,"&lt;"&amp;DATE($B$3,$D$3,1)))</f>
        <v/>
      </c>
      <c r="E176" s="13" t="str">
        <f aca="false">IF($A176="","",SUMIFS(입출고내역!$G$3:$G$1002,입출고내역!$C$3:$C$1002,$A176,입출고내역!$B$3:$B$1002,"입고",입출고내역!$A$3:$A$1002,"&gt;="&amp;DATE($B$3,$D$3,1),입출고내역!$A$3:$A$1002,"&lt;="&amp;EOMONTH(DATE($B$3,$D$3,1),0)))</f>
        <v/>
      </c>
      <c r="F176" s="13" t="str">
        <f aca="false">IF($A176="","",SUMIFS(입출고내역!$G$3:$G$1002,입출고내역!$C$3:$C$1002,$A176,입출고내역!$B$3:$B$1002,"출고",입출고내역!$A$3:$A$1002,"&gt;="&amp;DATE($B$3,$D$3,1),입출고내역!$A$3:$A$1002,"&lt;="&amp;EOMONTH(DATE($B$3,$D$3,1),0)))</f>
        <v/>
      </c>
      <c r="G176" s="13" t="str">
        <f aca="false">IF($A176="","",IF(품목마스터!$F173="",0,품목마스터!$F173)+SUMIFS(입출고내역!$L$3:$L$1002,입출고내역!$C$3:$C$1002,$A176,입출고내역!$A$3:$A$1002,"&lt;="&amp;EOMONTH(DATE($B$3,$D$3,1),0)))</f>
        <v/>
      </c>
      <c r="H176" s="13" t="str">
        <f aca="false">IF($A176="","",IF(품목마스터!$G173="",0,품목마스터!$G173))</f>
        <v/>
      </c>
    </row>
    <row r="177" customFormat="false" ht="15" hidden="false" customHeight="true" outlineLevel="0" collapsed="false">
      <c r="A177" s="12" t="str">
        <f aca="false">IF(품목마스터!$A174="","",품목마스터!$A174)</f>
        <v/>
      </c>
      <c r="B177" s="12" t="str">
        <f aca="false">IF($A177="","",품목마스터!$B174)</f>
        <v/>
      </c>
      <c r="C177" s="12" t="str">
        <f aca="false">IF($A177="","",품목마스터!$D174)</f>
        <v/>
      </c>
      <c r="D177" s="13" t="str">
        <f aca="false">IF($A177="","",IF(품목마스터!$F174="",0,품목마스터!$F174)+SUMIFS(입출고내역!$L$3:$L$1002,입출고내역!$C$3:$C$1002,$A177,입출고내역!$A$3:$A$1002,"&lt;"&amp;DATE($B$3,$D$3,1)))</f>
        <v/>
      </c>
      <c r="E177" s="13" t="str">
        <f aca="false">IF($A177="","",SUMIFS(입출고내역!$G$3:$G$1002,입출고내역!$C$3:$C$1002,$A177,입출고내역!$B$3:$B$1002,"입고",입출고내역!$A$3:$A$1002,"&gt;="&amp;DATE($B$3,$D$3,1),입출고내역!$A$3:$A$1002,"&lt;="&amp;EOMONTH(DATE($B$3,$D$3,1),0)))</f>
        <v/>
      </c>
      <c r="F177" s="13" t="str">
        <f aca="false">IF($A177="","",SUMIFS(입출고내역!$G$3:$G$1002,입출고내역!$C$3:$C$1002,$A177,입출고내역!$B$3:$B$1002,"출고",입출고내역!$A$3:$A$1002,"&gt;="&amp;DATE($B$3,$D$3,1),입출고내역!$A$3:$A$1002,"&lt;="&amp;EOMONTH(DATE($B$3,$D$3,1),0)))</f>
        <v/>
      </c>
      <c r="G177" s="13" t="str">
        <f aca="false">IF($A177="","",IF(품목마스터!$F174="",0,품목마스터!$F174)+SUMIFS(입출고내역!$L$3:$L$1002,입출고내역!$C$3:$C$1002,$A177,입출고내역!$A$3:$A$1002,"&lt;="&amp;EOMONTH(DATE($B$3,$D$3,1),0)))</f>
        <v/>
      </c>
      <c r="H177" s="13" t="str">
        <f aca="false">IF($A177="","",IF(품목마스터!$G174="",0,품목마스터!$G174))</f>
        <v/>
      </c>
    </row>
    <row r="178" customFormat="false" ht="15" hidden="false" customHeight="true" outlineLevel="0" collapsed="false">
      <c r="A178" s="12" t="str">
        <f aca="false">IF(품목마스터!$A175="","",품목마스터!$A175)</f>
        <v/>
      </c>
      <c r="B178" s="12" t="str">
        <f aca="false">IF($A178="","",품목마스터!$B175)</f>
        <v/>
      </c>
      <c r="C178" s="12" t="str">
        <f aca="false">IF($A178="","",품목마스터!$D175)</f>
        <v/>
      </c>
      <c r="D178" s="13" t="str">
        <f aca="false">IF($A178="","",IF(품목마스터!$F175="",0,품목마스터!$F175)+SUMIFS(입출고내역!$L$3:$L$1002,입출고내역!$C$3:$C$1002,$A178,입출고내역!$A$3:$A$1002,"&lt;"&amp;DATE($B$3,$D$3,1)))</f>
        <v/>
      </c>
      <c r="E178" s="13" t="str">
        <f aca="false">IF($A178="","",SUMIFS(입출고내역!$G$3:$G$1002,입출고내역!$C$3:$C$1002,$A178,입출고내역!$B$3:$B$1002,"입고",입출고내역!$A$3:$A$1002,"&gt;="&amp;DATE($B$3,$D$3,1),입출고내역!$A$3:$A$1002,"&lt;="&amp;EOMONTH(DATE($B$3,$D$3,1),0)))</f>
        <v/>
      </c>
      <c r="F178" s="13" t="str">
        <f aca="false">IF($A178="","",SUMIFS(입출고내역!$G$3:$G$1002,입출고내역!$C$3:$C$1002,$A178,입출고내역!$B$3:$B$1002,"출고",입출고내역!$A$3:$A$1002,"&gt;="&amp;DATE($B$3,$D$3,1),입출고내역!$A$3:$A$1002,"&lt;="&amp;EOMONTH(DATE($B$3,$D$3,1),0)))</f>
        <v/>
      </c>
      <c r="G178" s="13" t="str">
        <f aca="false">IF($A178="","",IF(품목마스터!$F175="",0,품목마스터!$F175)+SUMIFS(입출고내역!$L$3:$L$1002,입출고내역!$C$3:$C$1002,$A178,입출고내역!$A$3:$A$1002,"&lt;="&amp;EOMONTH(DATE($B$3,$D$3,1),0)))</f>
        <v/>
      </c>
      <c r="H178" s="13" t="str">
        <f aca="false">IF($A178="","",IF(품목마스터!$G175="",0,품목마스터!$G175))</f>
        <v/>
      </c>
    </row>
    <row r="179" customFormat="false" ht="15" hidden="false" customHeight="true" outlineLevel="0" collapsed="false">
      <c r="A179" s="12" t="str">
        <f aca="false">IF(품목마스터!$A176="","",품목마스터!$A176)</f>
        <v/>
      </c>
      <c r="B179" s="12" t="str">
        <f aca="false">IF($A179="","",품목마스터!$B176)</f>
        <v/>
      </c>
      <c r="C179" s="12" t="str">
        <f aca="false">IF($A179="","",품목마스터!$D176)</f>
        <v/>
      </c>
      <c r="D179" s="13" t="str">
        <f aca="false">IF($A179="","",IF(품목마스터!$F176="",0,품목마스터!$F176)+SUMIFS(입출고내역!$L$3:$L$1002,입출고내역!$C$3:$C$1002,$A179,입출고내역!$A$3:$A$1002,"&lt;"&amp;DATE($B$3,$D$3,1)))</f>
        <v/>
      </c>
      <c r="E179" s="13" t="str">
        <f aca="false">IF($A179="","",SUMIFS(입출고내역!$G$3:$G$1002,입출고내역!$C$3:$C$1002,$A179,입출고내역!$B$3:$B$1002,"입고",입출고내역!$A$3:$A$1002,"&gt;="&amp;DATE($B$3,$D$3,1),입출고내역!$A$3:$A$1002,"&lt;="&amp;EOMONTH(DATE($B$3,$D$3,1),0)))</f>
        <v/>
      </c>
      <c r="F179" s="13" t="str">
        <f aca="false">IF($A179="","",SUMIFS(입출고내역!$G$3:$G$1002,입출고내역!$C$3:$C$1002,$A179,입출고내역!$B$3:$B$1002,"출고",입출고내역!$A$3:$A$1002,"&gt;="&amp;DATE($B$3,$D$3,1),입출고내역!$A$3:$A$1002,"&lt;="&amp;EOMONTH(DATE($B$3,$D$3,1),0)))</f>
        <v/>
      </c>
      <c r="G179" s="13" t="str">
        <f aca="false">IF($A179="","",IF(품목마스터!$F176="",0,품목마스터!$F176)+SUMIFS(입출고내역!$L$3:$L$1002,입출고내역!$C$3:$C$1002,$A179,입출고내역!$A$3:$A$1002,"&lt;="&amp;EOMONTH(DATE($B$3,$D$3,1),0)))</f>
        <v/>
      </c>
      <c r="H179" s="13" t="str">
        <f aca="false">IF($A179="","",IF(품목마스터!$G176="",0,품목마스터!$G176))</f>
        <v/>
      </c>
    </row>
    <row r="180" customFormat="false" ht="15" hidden="false" customHeight="true" outlineLevel="0" collapsed="false">
      <c r="A180" s="12" t="str">
        <f aca="false">IF(품목마스터!$A177="","",품목마스터!$A177)</f>
        <v/>
      </c>
      <c r="B180" s="12" t="str">
        <f aca="false">IF($A180="","",품목마스터!$B177)</f>
        <v/>
      </c>
      <c r="C180" s="12" t="str">
        <f aca="false">IF($A180="","",품목마스터!$D177)</f>
        <v/>
      </c>
      <c r="D180" s="13" t="str">
        <f aca="false">IF($A180="","",IF(품목마스터!$F177="",0,품목마스터!$F177)+SUMIFS(입출고내역!$L$3:$L$1002,입출고내역!$C$3:$C$1002,$A180,입출고내역!$A$3:$A$1002,"&lt;"&amp;DATE($B$3,$D$3,1)))</f>
        <v/>
      </c>
      <c r="E180" s="13" t="str">
        <f aca="false">IF($A180="","",SUMIFS(입출고내역!$G$3:$G$1002,입출고내역!$C$3:$C$1002,$A180,입출고내역!$B$3:$B$1002,"입고",입출고내역!$A$3:$A$1002,"&gt;="&amp;DATE($B$3,$D$3,1),입출고내역!$A$3:$A$1002,"&lt;="&amp;EOMONTH(DATE($B$3,$D$3,1),0)))</f>
        <v/>
      </c>
      <c r="F180" s="13" t="str">
        <f aca="false">IF($A180="","",SUMIFS(입출고내역!$G$3:$G$1002,입출고내역!$C$3:$C$1002,$A180,입출고내역!$B$3:$B$1002,"출고",입출고내역!$A$3:$A$1002,"&gt;="&amp;DATE($B$3,$D$3,1),입출고내역!$A$3:$A$1002,"&lt;="&amp;EOMONTH(DATE($B$3,$D$3,1),0)))</f>
        <v/>
      </c>
      <c r="G180" s="13" t="str">
        <f aca="false">IF($A180="","",IF(품목마스터!$F177="",0,품목마스터!$F177)+SUMIFS(입출고내역!$L$3:$L$1002,입출고내역!$C$3:$C$1002,$A180,입출고내역!$A$3:$A$1002,"&lt;="&amp;EOMONTH(DATE($B$3,$D$3,1),0)))</f>
        <v/>
      </c>
      <c r="H180" s="13" t="str">
        <f aca="false">IF($A180="","",IF(품목마스터!$G177="",0,품목마스터!$G177))</f>
        <v/>
      </c>
    </row>
    <row r="181" customFormat="false" ht="15" hidden="false" customHeight="true" outlineLevel="0" collapsed="false">
      <c r="A181" s="12" t="str">
        <f aca="false">IF(품목마스터!$A178="","",품목마스터!$A178)</f>
        <v/>
      </c>
      <c r="B181" s="12" t="str">
        <f aca="false">IF($A181="","",품목마스터!$B178)</f>
        <v/>
      </c>
      <c r="C181" s="12" t="str">
        <f aca="false">IF($A181="","",품목마스터!$D178)</f>
        <v/>
      </c>
      <c r="D181" s="13" t="str">
        <f aca="false">IF($A181="","",IF(품목마스터!$F178="",0,품목마스터!$F178)+SUMIFS(입출고내역!$L$3:$L$1002,입출고내역!$C$3:$C$1002,$A181,입출고내역!$A$3:$A$1002,"&lt;"&amp;DATE($B$3,$D$3,1)))</f>
        <v/>
      </c>
      <c r="E181" s="13" t="str">
        <f aca="false">IF($A181="","",SUMIFS(입출고내역!$G$3:$G$1002,입출고내역!$C$3:$C$1002,$A181,입출고내역!$B$3:$B$1002,"입고",입출고내역!$A$3:$A$1002,"&gt;="&amp;DATE($B$3,$D$3,1),입출고내역!$A$3:$A$1002,"&lt;="&amp;EOMONTH(DATE($B$3,$D$3,1),0)))</f>
        <v/>
      </c>
      <c r="F181" s="13" t="str">
        <f aca="false">IF($A181="","",SUMIFS(입출고내역!$G$3:$G$1002,입출고내역!$C$3:$C$1002,$A181,입출고내역!$B$3:$B$1002,"출고",입출고내역!$A$3:$A$1002,"&gt;="&amp;DATE($B$3,$D$3,1),입출고내역!$A$3:$A$1002,"&lt;="&amp;EOMONTH(DATE($B$3,$D$3,1),0)))</f>
        <v/>
      </c>
      <c r="G181" s="13" t="str">
        <f aca="false">IF($A181="","",IF(품목마스터!$F178="",0,품목마스터!$F178)+SUMIFS(입출고내역!$L$3:$L$1002,입출고내역!$C$3:$C$1002,$A181,입출고내역!$A$3:$A$1002,"&lt;="&amp;EOMONTH(DATE($B$3,$D$3,1),0)))</f>
        <v/>
      </c>
      <c r="H181" s="13" t="str">
        <f aca="false">IF($A181="","",IF(품목마스터!$G178="",0,품목마스터!$G178))</f>
        <v/>
      </c>
    </row>
    <row r="182" customFormat="false" ht="15" hidden="false" customHeight="true" outlineLevel="0" collapsed="false">
      <c r="A182" s="12" t="str">
        <f aca="false">IF(품목마스터!$A179="","",품목마스터!$A179)</f>
        <v/>
      </c>
      <c r="B182" s="12" t="str">
        <f aca="false">IF($A182="","",품목마스터!$B179)</f>
        <v/>
      </c>
      <c r="C182" s="12" t="str">
        <f aca="false">IF($A182="","",품목마스터!$D179)</f>
        <v/>
      </c>
      <c r="D182" s="13" t="str">
        <f aca="false">IF($A182="","",IF(품목마스터!$F179="",0,품목마스터!$F179)+SUMIFS(입출고내역!$L$3:$L$1002,입출고내역!$C$3:$C$1002,$A182,입출고내역!$A$3:$A$1002,"&lt;"&amp;DATE($B$3,$D$3,1)))</f>
        <v/>
      </c>
      <c r="E182" s="13" t="str">
        <f aca="false">IF($A182="","",SUMIFS(입출고내역!$G$3:$G$1002,입출고내역!$C$3:$C$1002,$A182,입출고내역!$B$3:$B$1002,"입고",입출고내역!$A$3:$A$1002,"&gt;="&amp;DATE($B$3,$D$3,1),입출고내역!$A$3:$A$1002,"&lt;="&amp;EOMONTH(DATE($B$3,$D$3,1),0)))</f>
        <v/>
      </c>
      <c r="F182" s="13" t="str">
        <f aca="false">IF($A182="","",SUMIFS(입출고내역!$G$3:$G$1002,입출고내역!$C$3:$C$1002,$A182,입출고내역!$B$3:$B$1002,"출고",입출고내역!$A$3:$A$1002,"&gt;="&amp;DATE($B$3,$D$3,1),입출고내역!$A$3:$A$1002,"&lt;="&amp;EOMONTH(DATE($B$3,$D$3,1),0)))</f>
        <v/>
      </c>
      <c r="G182" s="13" t="str">
        <f aca="false">IF($A182="","",IF(품목마스터!$F179="",0,품목마스터!$F179)+SUMIFS(입출고내역!$L$3:$L$1002,입출고내역!$C$3:$C$1002,$A182,입출고내역!$A$3:$A$1002,"&lt;="&amp;EOMONTH(DATE($B$3,$D$3,1),0)))</f>
        <v/>
      </c>
      <c r="H182" s="13" t="str">
        <f aca="false">IF($A182="","",IF(품목마스터!$G179="",0,품목마스터!$G179))</f>
        <v/>
      </c>
    </row>
    <row r="183" customFormat="false" ht="15" hidden="false" customHeight="true" outlineLevel="0" collapsed="false">
      <c r="A183" s="12" t="str">
        <f aca="false">IF(품목마스터!$A180="","",품목마스터!$A180)</f>
        <v/>
      </c>
      <c r="B183" s="12" t="str">
        <f aca="false">IF($A183="","",품목마스터!$B180)</f>
        <v/>
      </c>
      <c r="C183" s="12" t="str">
        <f aca="false">IF($A183="","",품목마스터!$D180)</f>
        <v/>
      </c>
      <c r="D183" s="13" t="str">
        <f aca="false">IF($A183="","",IF(품목마스터!$F180="",0,품목마스터!$F180)+SUMIFS(입출고내역!$L$3:$L$1002,입출고내역!$C$3:$C$1002,$A183,입출고내역!$A$3:$A$1002,"&lt;"&amp;DATE($B$3,$D$3,1)))</f>
        <v/>
      </c>
      <c r="E183" s="13" t="str">
        <f aca="false">IF($A183="","",SUMIFS(입출고내역!$G$3:$G$1002,입출고내역!$C$3:$C$1002,$A183,입출고내역!$B$3:$B$1002,"입고",입출고내역!$A$3:$A$1002,"&gt;="&amp;DATE($B$3,$D$3,1),입출고내역!$A$3:$A$1002,"&lt;="&amp;EOMONTH(DATE($B$3,$D$3,1),0)))</f>
        <v/>
      </c>
      <c r="F183" s="13" t="str">
        <f aca="false">IF($A183="","",SUMIFS(입출고내역!$G$3:$G$1002,입출고내역!$C$3:$C$1002,$A183,입출고내역!$B$3:$B$1002,"출고",입출고내역!$A$3:$A$1002,"&gt;="&amp;DATE($B$3,$D$3,1),입출고내역!$A$3:$A$1002,"&lt;="&amp;EOMONTH(DATE($B$3,$D$3,1),0)))</f>
        <v/>
      </c>
      <c r="G183" s="13" t="str">
        <f aca="false">IF($A183="","",IF(품목마스터!$F180="",0,품목마스터!$F180)+SUMIFS(입출고내역!$L$3:$L$1002,입출고내역!$C$3:$C$1002,$A183,입출고내역!$A$3:$A$1002,"&lt;="&amp;EOMONTH(DATE($B$3,$D$3,1),0)))</f>
        <v/>
      </c>
      <c r="H183" s="13" t="str">
        <f aca="false">IF($A183="","",IF(품목마스터!$G180="",0,품목마스터!$G180))</f>
        <v/>
      </c>
    </row>
    <row r="184" customFormat="false" ht="15" hidden="false" customHeight="true" outlineLevel="0" collapsed="false">
      <c r="A184" s="12" t="str">
        <f aca="false">IF(품목마스터!$A181="","",품목마스터!$A181)</f>
        <v/>
      </c>
      <c r="B184" s="12" t="str">
        <f aca="false">IF($A184="","",품목마스터!$B181)</f>
        <v/>
      </c>
      <c r="C184" s="12" t="str">
        <f aca="false">IF($A184="","",품목마스터!$D181)</f>
        <v/>
      </c>
      <c r="D184" s="13" t="str">
        <f aca="false">IF($A184="","",IF(품목마스터!$F181="",0,품목마스터!$F181)+SUMIFS(입출고내역!$L$3:$L$1002,입출고내역!$C$3:$C$1002,$A184,입출고내역!$A$3:$A$1002,"&lt;"&amp;DATE($B$3,$D$3,1)))</f>
        <v/>
      </c>
      <c r="E184" s="13" t="str">
        <f aca="false">IF($A184="","",SUMIFS(입출고내역!$G$3:$G$1002,입출고내역!$C$3:$C$1002,$A184,입출고내역!$B$3:$B$1002,"입고",입출고내역!$A$3:$A$1002,"&gt;="&amp;DATE($B$3,$D$3,1),입출고내역!$A$3:$A$1002,"&lt;="&amp;EOMONTH(DATE($B$3,$D$3,1),0)))</f>
        <v/>
      </c>
      <c r="F184" s="13" t="str">
        <f aca="false">IF($A184="","",SUMIFS(입출고내역!$G$3:$G$1002,입출고내역!$C$3:$C$1002,$A184,입출고내역!$B$3:$B$1002,"출고",입출고내역!$A$3:$A$1002,"&gt;="&amp;DATE($B$3,$D$3,1),입출고내역!$A$3:$A$1002,"&lt;="&amp;EOMONTH(DATE($B$3,$D$3,1),0)))</f>
        <v/>
      </c>
      <c r="G184" s="13" t="str">
        <f aca="false">IF($A184="","",IF(품목마스터!$F181="",0,품목마스터!$F181)+SUMIFS(입출고내역!$L$3:$L$1002,입출고내역!$C$3:$C$1002,$A184,입출고내역!$A$3:$A$1002,"&lt;="&amp;EOMONTH(DATE($B$3,$D$3,1),0)))</f>
        <v/>
      </c>
      <c r="H184" s="13" t="str">
        <f aca="false">IF($A184="","",IF(품목마스터!$G181="",0,품목마스터!$G181))</f>
        <v/>
      </c>
    </row>
    <row r="185" customFormat="false" ht="15" hidden="false" customHeight="true" outlineLevel="0" collapsed="false">
      <c r="A185" s="12" t="str">
        <f aca="false">IF(품목마스터!$A182="","",품목마스터!$A182)</f>
        <v/>
      </c>
      <c r="B185" s="12" t="str">
        <f aca="false">IF($A185="","",품목마스터!$B182)</f>
        <v/>
      </c>
      <c r="C185" s="12" t="str">
        <f aca="false">IF($A185="","",품목마스터!$D182)</f>
        <v/>
      </c>
      <c r="D185" s="13" t="str">
        <f aca="false">IF($A185="","",IF(품목마스터!$F182="",0,품목마스터!$F182)+SUMIFS(입출고내역!$L$3:$L$1002,입출고내역!$C$3:$C$1002,$A185,입출고내역!$A$3:$A$1002,"&lt;"&amp;DATE($B$3,$D$3,1)))</f>
        <v/>
      </c>
      <c r="E185" s="13" t="str">
        <f aca="false">IF($A185="","",SUMIFS(입출고내역!$G$3:$G$1002,입출고내역!$C$3:$C$1002,$A185,입출고내역!$B$3:$B$1002,"입고",입출고내역!$A$3:$A$1002,"&gt;="&amp;DATE($B$3,$D$3,1),입출고내역!$A$3:$A$1002,"&lt;="&amp;EOMONTH(DATE($B$3,$D$3,1),0)))</f>
        <v/>
      </c>
      <c r="F185" s="13" t="str">
        <f aca="false">IF($A185="","",SUMIFS(입출고내역!$G$3:$G$1002,입출고내역!$C$3:$C$1002,$A185,입출고내역!$B$3:$B$1002,"출고",입출고내역!$A$3:$A$1002,"&gt;="&amp;DATE($B$3,$D$3,1),입출고내역!$A$3:$A$1002,"&lt;="&amp;EOMONTH(DATE($B$3,$D$3,1),0)))</f>
        <v/>
      </c>
      <c r="G185" s="13" t="str">
        <f aca="false">IF($A185="","",IF(품목마스터!$F182="",0,품목마스터!$F182)+SUMIFS(입출고내역!$L$3:$L$1002,입출고내역!$C$3:$C$1002,$A185,입출고내역!$A$3:$A$1002,"&lt;="&amp;EOMONTH(DATE($B$3,$D$3,1),0)))</f>
        <v/>
      </c>
      <c r="H185" s="13" t="str">
        <f aca="false">IF($A185="","",IF(품목마스터!$G182="",0,품목마스터!$G182))</f>
        <v/>
      </c>
    </row>
    <row r="186" customFormat="false" ht="15" hidden="false" customHeight="true" outlineLevel="0" collapsed="false">
      <c r="A186" s="12" t="str">
        <f aca="false">IF(품목마스터!$A183="","",품목마스터!$A183)</f>
        <v/>
      </c>
      <c r="B186" s="12" t="str">
        <f aca="false">IF($A186="","",품목마스터!$B183)</f>
        <v/>
      </c>
      <c r="C186" s="12" t="str">
        <f aca="false">IF($A186="","",품목마스터!$D183)</f>
        <v/>
      </c>
      <c r="D186" s="13" t="str">
        <f aca="false">IF($A186="","",IF(품목마스터!$F183="",0,품목마스터!$F183)+SUMIFS(입출고내역!$L$3:$L$1002,입출고내역!$C$3:$C$1002,$A186,입출고내역!$A$3:$A$1002,"&lt;"&amp;DATE($B$3,$D$3,1)))</f>
        <v/>
      </c>
      <c r="E186" s="13" t="str">
        <f aca="false">IF($A186="","",SUMIFS(입출고내역!$G$3:$G$1002,입출고내역!$C$3:$C$1002,$A186,입출고내역!$B$3:$B$1002,"입고",입출고내역!$A$3:$A$1002,"&gt;="&amp;DATE($B$3,$D$3,1),입출고내역!$A$3:$A$1002,"&lt;="&amp;EOMONTH(DATE($B$3,$D$3,1),0)))</f>
        <v/>
      </c>
      <c r="F186" s="13" t="str">
        <f aca="false">IF($A186="","",SUMIFS(입출고내역!$G$3:$G$1002,입출고내역!$C$3:$C$1002,$A186,입출고내역!$B$3:$B$1002,"출고",입출고내역!$A$3:$A$1002,"&gt;="&amp;DATE($B$3,$D$3,1),입출고내역!$A$3:$A$1002,"&lt;="&amp;EOMONTH(DATE($B$3,$D$3,1),0)))</f>
        <v/>
      </c>
      <c r="G186" s="13" t="str">
        <f aca="false">IF($A186="","",IF(품목마스터!$F183="",0,품목마스터!$F183)+SUMIFS(입출고내역!$L$3:$L$1002,입출고내역!$C$3:$C$1002,$A186,입출고내역!$A$3:$A$1002,"&lt;="&amp;EOMONTH(DATE($B$3,$D$3,1),0)))</f>
        <v/>
      </c>
      <c r="H186" s="13" t="str">
        <f aca="false">IF($A186="","",IF(품목마스터!$G183="",0,품목마스터!$G183))</f>
        <v/>
      </c>
    </row>
    <row r="187" customFormat="false" ht="15" hidden="false" customHeight="true" outlineLevel="0" collapsed="false">
      <c r="A187" s="12" t="str">
        <f aca="false">IF(품목마스터!$A184="","",품목마스터!$A184)</f>
        <v/>
      </c>
      <c r="B187" s="12" t="str">
        <f aca="false">IF($A187="","",품목마스터!$B184)</f>
        <v/>
      </c>
      <c r="C187" s="12" t="str">
        <f aca="false">IF($A187="","",품목마스터!$D184)</f>
        <v/>
      </c>
      <c r="D187" s="13" t="str">
        <f aca="false">IF($A187="","",IF(품목마스터!$F184="",0,품목마스터!$F184)+SUMIFS(입출고내역!$L$3:$L$1002,입출고내역!$C$3:$C$1002,$A187,입출고내역!$A$3:$A$1002,"&lt;"&amp;DATE($B$3,$D$3,1)))</f>
        <v/>
      </c>
      <c r="E187" s="13" t="str">
        <f aca="false">IF($A187="","",SUMIFS(입출고내역!$G$3:$G$1002,입출고내역!$C$3:$C$1002,$A187,입출고내역!$B$3:$B$1002,"입고",입출고내역!$A$3:$A$1002,"&gt;="&amp;DATE($B$3,$D$3,1),입출고내역!$A$3:$A$1002,"&lt;="&amp;EOMONTH(DATE($B$3,$D$3,1),0)))</f>
        <v/>
      </c>
      <c r="F187" s="13" t="str">
        <f aca="false">IF($A187="","",SUMIFS(입출고내역!$G$3:$G$1002,입출고내역!$C$3:$C$1002,$A187,입출고내역!$B$3:$B$1002,"출고",입출고내역!$A$3:$A$1002,"&gt;="&amp;DATE($B$3,$D$3,1),입출고내역!$A$3:$A$1002,"&lt;="&amp;EOMONTH(DATE($B$3,$D$3,1),0)))</f>
        <v/>
      </c>
      <c r="G187" s="13" t="str">
        <f aca="false">IF($A187="","",IF(품목마스터!$F184="",0,품목마스터!$F184)+SUMIFS(입출고내역!$L$3:$L$1002,입출고내역!$C$3:$C$1002,$A187,입출고내역!$A$3:$A$1002,"&lt;="&amp;EOMONTH(DATE($B$3,$D$3,1),0)))</f>
        <v/>
      </c>
      <c r="H187" s="13" t="str">
        <f aca="false">IF($A187="","",IF(품목마스터!$G184="",0,품목마스터!$G184))</f>
        <v/>
      </c>
    </row>
    <row r="188" customFormat="false" ht="15" hidden="false" customHeight="true" outlineLevel="0" collapsed="false">
      <c r="A188" s="12" t="str">
        <f aca="false">IF(품목마스터!$A185="","",품목마스터!$A185)</f>
        <v/>
      </c>
      <c r="B188" s="12" t="str">
        <f aca="false">IF($A188="","",품목마스터!$B185)</f>
        <v/>
      </c>
      <c r="C188" s="12" t="str">
        <f aca="false">IF($A188="","",품목마스터!$D185)</f>
        <v/>
      </c>
      <c r="D188" s="13" t="str">
        <f aca="false">IF($A188="","",IF(품목마스터!$F185="",0,품목마스터!$F185)+SUMIFS(입출고내역!$L$3:$L$1002,입출고내역!$C$3:$C$1002,$A188,입출고내역!$A$3:$A$1002,"&lt;"&amp;DATE($B$3,$D$3,1)))</f>
        <v/>
      </c>
      <c r="E188" s="13" t="str">
        <f aca="false">IF($A188="","",SUMIFS(입출고내역!$G$3:$G$1002,입출고내역!$C$3:$C$1002,$A188,입출고내역!$B$3:$B$1002,"입고",입출고내역!$A$3:$A$1002,"&gt;="&amp;DATE($B$3,$D$3,1),입출고내역!$A$3:$A$1002,"&lt;="&amp;EOMONTH(DATE($B$3,$D$3,1),0)))</f>
        <v/>
      </c>
      <c r="F188" s="13" t="str">
        <f aca="false">IF($A188="","",SUMIFS(입출고내역!$G$3:$G$1002,입출고내역!$C$3:$C$1002,$A188,입출고내역!$B$3:$B$1002,"출고",입출고내역!$A$3:$A$1002,"&gt;="&amp;DATE($B$3,$D$3,1),입출고내역!$A$3:$A$1002,"&lt;="&amp;EOMONTH(DATE($B$3,$D$3,1),0)))</f>
        <v/>
      </c>
      <c r="G188" s="13" t="str">
        <f aca="false">IF($A188="","",IF(품목마스터!$F185="",0,품목마스터!$F185)+SUMIFS(입출고내역!$L$3:$L$1002,입출고내역!$C$3:$C$1002,$A188,입출고내역!$A$3:$A$1002,"&lt;="&amp;EOMONTH(DATE($B$3,$D$3,1),0)))</f>
        <v/>
      </c>
      <c r="H188" s="13" t="str">
        <f aca="false">IF($A188="","",IF(품목마스터!$G185="",0,품목마스터!$G185))</f>
        <v/>
      </c>
    </row>
    <row r="189" customFormat="false" ht="15" hidden="false" customHeight="true" outlineLevel="0" collapsed="false">
      <c r="A189" s="12" t="str">
        <f aca="false">IF(품목마스터!$A186="","",품목마스터!$A186)</f>
        <v/>
      </c>
      <c r="B189" s="12" t="str">
        <f aca="false">IF($A189="","",품목마스터!$B186)</f>
        <v/>
      </c>
      <c r="C189" s="12" t="str">
        <f aca="false">IF($A189="","",품목마스터!$D186)</f>
        <v/>
      </c>
      <c r="D189" s="13" t="str">
        <f aca="false">IF($A189="","",IF(품목마스터!$F186="",0,품목마스터!$F186)+SUMIFS(입출고내역!$L$3:$L$1002,입출고내역!$C$3:$C$1002,$A189,입출고내역!$A$3:$A$1002,"&lt;"&amp;DATE($B$3,$D$3,1)))</f>
        <v/>
      </c>
      <c r="E189" s="13" t="str">
        <f aca="false">IF($A189="","",SUMIFS(입출고내역!$G$3:$G$1002,입출고내역!$C$3:$C$1002,$A189,입출고내역!$B$3:$B$1002,"입고",입출고내역!$A$3:$A$1002,"&gt;="&amp;DATE($B$3,$D$3,1),입출고내역!$A$3:$A$1002,"&lt;="&amp;EOMONTH(DATE($B$3,$D$3,1),0)))</f>
        <v/>
      </c>
      <c r="F189" s="13" t="str">
        <f aca="false">IF($A189="","",SUMIFS(입출고내역!$G$3:$G$1002,입출고내역!$C$3:$C$1002,$A189,입출고내역!$B$3:$B$1002,"출고",입출고내역!$A$3:$A$1002,"&gt;="&amp;DATE($B$3,$D$3,1),입출고내역!$A$3:$A$1002,"&lt;="&amp;EOMONTH(DATE($B$3,$D$3,1),0)))</f>
        <v/>
      </c>
      <c r="G189" s="13" t="str">
        <f aca="false">IF($A189="","",IF(품목마스터!$F186="",0,품목마스터!$F186)+SUMIFS(입출고내역!$L$3:$L$1002,입출고내역!$C$3:$C$1002,$A189,입출고내역!$A$3:$A$1002,"&lt;="&amp;EOMONTH(DATE($B$3,$D$3,1),0)))</f>
        <v/>
      </c>
      <c r="H189" s="13" t="str">
        <f aca="false">IF($A189="","",IF(품목마스터!$G186="",0,품목마스터!$G186))</f>
        <v/>
      </c>
    </row>
    <row r="190" customFormat="false" ht="15" hidden="false" customHeight="true" outlineLevel="0" collapsed="false">
      <c r="A190" s="12" t="str">
        <f aca="false">IF(품목마스터!$A187="","",품목마스터!$A187)</f>
        <v/>
      </c>
      <c r="B190" s="12" t="str">
        <f aca="false">IF($A190="","",품목마스터!$B187)</f>
        <v/>
      </c>
      <c r="C190" s="12" t="str">
        <f aca="false">IF($A190="","",품목마스터!$D187)</f>
        <v/>
      </c>
      <c r="D190" s="13" t="str">
        <f aca="false">IF($A190="","",IF(품목마스터!$F187="",0,품목마스터!$F187)+SUMIFS(입출고내역!$L$3:$L$1002,입출고내역!$C$3:$C$1002,$A190,입출고내역!$A$3:$A$1002,"&lt;"&amp;DATE($B$3,$D$3,1)))</f>
        <v/>
      </c>
      <c r="E190" s="13" t="str">
        <f aca="false">IF($A190="","",SUMIFS(입출고내역!$G$3:$G$1002,입출고내역!$C$3:$C$1002,$A190,입출고내역!$B$3:$B$1002,"입고",입출고내역!$A$3:$A$1002,"&gt;="&amp;DATE($B$3,$D$3,1),입출고내역!$A$3:$A$1002,"&lt;="&amp;EOMONTH(DATE($B$3,$D$3,1),0)))</f>
        <v/>
      </c>
      <c r="F190" s="13" t="str">
        <f aca="false">IF($A190="","",SUMIFS(입출고내역!$G$3:$G$1002,입출고내역!$C$3:$C$1002,$A190,입출고내역!$B$3:$B$1002,"출고",입출고내역!$A$3:$A$1002,"&gt;="&amp;DATE($B$3,$D$3,1),입출고내역!$A$3:$A$1002,"&lt;="&amp;EOMONTH(DATE($B$3,$D$3,1),0)))</f>
        <v/>
      </c>
      <c r="G190" s="13" t="str">
        <f aca="false">IF($A190="","",IF(품목마스터!$F187="",0,품목마스터!$F187)+SUMIFS(입출고내역!$L$3:$L$1002,입출고내역!$C$3:$C$1002,$A190,입출고내역!$A$3:$A$1002,"&lt;="&amp;EOMONTH(DATE($B$3,$D$3,1),0)))</f>
        <v/>
      </c>
      <c r="H190" s="13" t="str">
        <f aca="false">IF($A190="","",IF(품목마스터!$G187="",0,품목마스터!$G187))</f>
        <v/>
      </c>
    </row>
    <row r="191" customFormat="false" ht="15" hidden="false" customHeight="true" outlineLevel="0" collapsed="false">
      <c r="A191" s="12" t="str">
        <f aca="false">IF(품목마스터!$A188="","",품목마스터!$A188)</f>
        <v/>
      </c>
      <c r="B191" s="12" t="str">
        <f aca="false">IF($A191="","",품목마스터!$B188)</f>
        <v/>
      </c>
      <c r="C191" s="12" t="str">
        <f aca="false">IF($A191="","",품목마스터!$D188)</f>
        <v/>
      </c>
      <c r="D191" s="13" t="str">
        <f aca="false">IF($A191="","",IF(품목마스터!$F188="",0,품목마스터!$F188)+SUMIFS(입출고내역!$L$3:$L$1002,입출고내역!$C$3:$C$1002,$A191,입출고내역!$A$3:$A$1002,"&lt;"&amp;DATE($B$3,$D$3,1)))</f>
        <v/>
      </c>
      <c r="E191" s="13" t="str">
        <f aca="false">IF($A191="","",SUMIFS(입출고내역!$G$3:$G$1002,입출고내역!$C$3:$C$1002,$A191,입출고내역!$B$3:$B$1002,"입고",입출고내역!$A$3:$A$1002,"&gt;="&amp;DATE($B$3,$D$3,1),입출고내역!$A$3:$A$1002,"&lt;="&amp;EOMONTH(DATE($B$3,$D$3,1),0)))</f>
        <v/>
      </c>
      <c r="F191" s="13" t="str">
        <f aca="false">IF($A191="","",SUMIFS(입출고내역!$G$3:$G$1002,입출고내역!$C$3:$C$1002,$A191,입출고내역!$B$3:$B$1002,"출고",입출고내역!$A$3:$A$1002,"&gt;="&amp;DATE($B$3,$D$3,1),입출고내역!$A$3:$A$1002,"&lt;="&amp;EOMONTH(DATE($B$3,$D$3,1),0)))</f>
        <v/>
      </c>
      <c r="G191" s="13" t="str">
        <f aca="false">IF($A191="","",IF(품목마스터!$F188="",0,품목마스터!$F188)+SUMIFS(입출고내역!$L$3:$L$1002,입출고내역!$C$3:$C$1002,$A191,입출고내역!$A$3:$A$1002,"&lt;="&amp;EOMONTH(DATE($B$3,$D$3,1),0)))</f>
        <v/>
      </c>
      <c r="H191" s="13" t="str">
        <f aca="false">IF($A191="","",IF(품목마스터!$G188="",0,품목마스터!$G188))</f>
        <v/>
      </c>
    </row>
    <row r="192" customFormat="false" ht="15" hidden="false" customHeight="true" outlineLevel="0" collapsed="false">
      <c r="A192" s="12" t="str">
        <f aca="false">IF(품목마스터!$A189="","",품목마스터!$A189)</f>
        <v/>
      </c>
      <c r="B192" s="12" t="str">
        <f aca="false">IF($A192="","",품목마스터!$B189)</f>
        <v/>
      </c>
      <c r="C192" s="12" t="str">
        <f aca="false">IF($A192="","",품목마스터!$D189)</f>
        <v/>
      </c>
      <c r="D192" s="13" t="str">
        <f aca="false">IF($A192="","",IF(품목마스터!$F189="",0,품목마스터!$F189)+SUMIFS(입출고내역!$L$3:$L$1002,입출고내역!$C$3:$C$1002,$A192,입출고내역!$A$3:$A$1002,"&lt;"&amp;DATE($B$3,$D$3,1)))</f>
        <v/>
      </c>
      <c r="E192" s="13" t="str">
        <f aca="false">IF($A192="","",SUMIFS(입출고내역!$G$3:$G$1002,입출고내역!$C$3:$C$1002,$A192,입출고내역!$B$3:$B$1002,"입고",입출고내역!$A$3:$A$1002,"&gt;="&amp;DATE($B$3,$D$3,1),입출고내역!$A$3:$A$1002,"&lt;="&amp;EOMONTH(DATE($B$3,$D$3,1),0)))</f>
        <v/>
      </c>
      <c r="F192" s="13" t="str">
        <f aca="false">IF($A192="","",SUMIFS(입출고내역!$G$3:$G$1002,입출고내역!$C$3:$C$1002,$A192,입출고내역!$B$3:$B$1002,"출고",입출고내역!$A$3:$A$1002,"&gt;="&amp;DATE($B$3,$D$3,1),입출고내역!$A$3:$A$1002,"&lt;="&amp;EOMONTH(DATE($B$3,$D$3,1),0)))</f>
        <v/>
      </c>
      <c r="G192" s="13" t="str">
        <f aca="false">IF($A192="","",IF(품목마스터!$F189="",0,품목마스터!$F189)+SUMIFS(입출고내역!$L$3:$L$1002,입출고내역!$C$3:$C$1002,$A192,입출고내역!$A$3:$A$1002,"&lt;="&amp;EOMONTH(DATE($B$3,$D$3,1),0)))</f>
        <v/>
      </c>
      <c r="H192" s="13" t="str">
        <f aca="false">IF($A192="","",IF(품목마스터!$G189="",0,품목마스터!$G189))</f>
        <v/>
      </c>
    </row>
    <row r="193" customFormat="false" ht="15" hidden="false" customHeight="true" outlineLevel="0" collapsed="false">
      <c r="A193" s="12" t="str">
        <f aca="false">IF(품목마스터!$A190="","",품목마스터!$A190)</f>
        <v/>
      </c>
      <c r="B193" s="12" t="str">
        <f aca="false">IF($A193="","",품목마스터!$B190)</f>
        <v/>
      </c>
      <c r="C193" s="12" t="str">
        <f aca="false">IF($A193="","",품목마스터!$D190)</f>
        <v/>
      </c>
      <c r="D193" s="13" t="str">
        <f aca="false">IF($A193="","",IF(품목마스터!$F190="",0,품목마스터!$F190)+SUMIFS(입출고내역!$L$3:$L$1002,입출고내역!$C$3:$C$1002,$A193,입출고내역!$A$3:$A$1002,"&lt;"&amp;DATE($B$3,$D$3,1)))</f>
        <v/>
      </c>
      <c r="E193" s="13" t="str">
        <f aca="false">IF($A193="","",SUMIFS(입출고내역!$G$3:$G$1002,입출고내역!$C$3:$C$1002,$A193,입출고내역!$B$3:$B$1002,"입고",입출고내역!$A$3:$A$1002,"&gt;="&amp;DATE($B$3,$D$3,1),입출고내역!$A$3:$A$1002,"&lt;="&amp;EOMONTH(DATE($B$3,$D$3,1),0)))</f>
        <v/>
      </c>
      <c r="F193" s="13" t="str">
        <f aca="false">IF($A193="","",SUMIFS(입출고내역!$G$3:$G$1002,입출고내역!$C$3:$C$1002,$A193,입출고내역!$B$3:$B$1002,"출고",입출고내역!$A$3:$A$1002,"&gt;="&amp;DATE($B$3,$D$3,1),입출고내역!$A$3:$A$1002,"&lt;="&amp;EOMONTH(DATE($B$3,$D$3,1),0)))</f>
        <v/>
      </c>
      <c r="G193" s="13" t="str">
        <f aca="false">IF($A193="","",IF(품목마스터!$F190="",0,품목마스터!$F190)+SUMIFS(입출고내역!$L$3:$L$1002,입출고내역!$C$3:$C$1002,$A193,입출고내역!$A$3:$A$1002,"&lt;="&amp;EOMONTH(DATE($B$3,$D$3,1),0)))</f>
        <v/>
      </c>
      <c r="H193" s="13" t="str">
        <f aca="false">IF($A193="","",IF(품목마스터!$G190="",0,품목마스터!$G190))</f>
        <v/>
      </c>
    </row>
    <row r="194" customFormat="false" ht="15" hidden="false" customHeight="true" outlineLevel="0" collapsed="false">
      <c r="A194" s="12" t="str">
        <f aca="false">IF(품목마스터!$A191="","",품목마스터!$A191)</f>
        <v/>
      </c>
      <c r="B194" s="12" t="str">
        <f aca="false">IF($A194="","",품목마스터!$B191)</f>
        <v/>
      </c>
      <c r="C194" s="12" t="str">
        <f aca="false">IF($A194="","",품목마스터!$D191)</f>
        <v/>
      </c>
      <c r="D194" s="13" t="str">
        <f aca="false">IF($A194="","",IF(품목마스터!$F191="",0,품목마스터!$F191)+SUMIFS(입출고내역!$L$3:$L$1002,입출고내역!$C$3:$C$1002,$A194,입출고내역!$A$3:$A$1002,"&lt;"&amp;DATE($B$3,$D$3,1)))</f>
        <v/>
      </c>
      <c r="E194" s="13" t="str">
        <f aca="false">IF($A194="","",SUMIFS(입출고내역!$G$3:$G$1002,입출고내역!$C$3:$C$1002,$A194,입출고내역!$B$3:$B$1002,"입고",입출고내역!$A$3:$A$1002,"&gt;="&amp;DATE($B$3,$D$3,1),입출고내역!$A$3:$A$1002,"&lt;="&amp;EOMONTH(DATE($B$3,$D$3,1),0)))</f>
        <v/>
      </c>
      <c r="F194" s="13" t="str">
        <f aca="false">IF($A194="","",SUMIFS(입출고내역!$G$3:$G$1002,입출고내역!$C$3:$C$1002,$A194,입출고내역!$B$3:$B$1002,"출고",입출고내역!$A$3:$A$1002,"&gt;="&amp;DATE($B$3,$D$3,1),입출고내역!$A$3:$A$1002,"&lt;="&amp;EOMONTH(DATE($B$3,$D$3,1),0)))</f>
        <v/>
      </c>
      <c r="G194" s="13" t="str">
        <f aca="false">IF($A194="","",IF(품목마스터!$F191="",0,품목마스터!$F191)+SUMIFS(입출고내역!$L$3:$L$1002,입출고내역!$C$3:$C$1002,$A194,입출고내역!$A$3:$A$1002,"&lt;="&amp;EOMONTH(DATE($B$3,$D$3,1),0)))</f>
        <v/>
      </c>
      <c r="H194" s="13" t="str">
        <f aca="false">IF($A194="","",IF(품목마스터!$G191="",0,품목마스터!$G191))</f>
        <v/>
      </c>
    </row>
    <row r="195" customFormat="false" ht="15" hidden="false" customHeight="true" outlineLevel="0" collapsed="false">
      <c r="A195" s="12" t="str">
        <f aca="false">IF(품목마스터!$A192="","",품목마스터!$A192)</f>
        <v/>
      </c>
      <c r="B195" s="12" t="str">
        <f aca="false">IF($A195="","",품목마스터!$B192)</f>
        <v/>
      </c>
      <c r="C195" s="12" t="str">
        <f aca="false">IF($A195="","",품목마스터!$D192)</f>
        <v/>
      </c>
      <c r="D195" s="13" t="str">
        <f aca="false">IF($A195="","",IF(품목마스터!$F192="",0,품목마스터!$F192)+SUMIFS(입출고내역!$L$3:$L$1002,입출고내역!$C$3:$C$1002,$A195,입출고내역!$A$3:$A$1002,"&lt;"&amp;DATE($B$3,$D$3,1)))</f>
        <v/>
      </c>
      <c r="E195" s="13" t="str">
        <f aca="false">IF($A195="","",SUMIFS(입출고내역!$G$3:$G$1002,입출고내역!$C$3:$C$1002,$A195,입출고내역!$B$3:$B$1002,"입고",입출고내역!$A$3:$A$1002,"&gt;="&amp;DATE($B$3,$D$3,1),입출고내역!$A$3:$A$1002,"&lt;="&amp;EOMONTH(DATE($B$3,$D$3,1),0)))</f>
        <v/>
      </c>
      <c r="F195" s="13" t="str">
        <f aca="false">IF($A195="","",SUMIFS(입출고내역!$G$3:$G$1002,입출고내역!$C$3:$C$1002,$A195,입출고내역!$B$3:$B$1002,"출고",입출고내역!$A$3:$A$1002,"&gt;="&amp;DATE($B$3,$D$3,1),입출고내역!$A$3:$A$1002,"&lt;="&amp;EOMONTH(DATE($B$3,$D$3,1),0)))</f>
        <v/>
      </c>
      <c r="G195" s="13" t="str">
        <f aca="false">IF($A195="","",IF(품목마스터!$F192="",0,품목마스터!$F192)+SUMIFS(입출고내역!$L$3:$L$1002,입출고내역!$C$3:$C$1002,$A195,입출고내역!$A$3:$A$1002,"&lt;="&amp;EOMONTH(DATE($B$3,$D$3,1),0)))</f>
        <v/>
      </c>
      <c r="H195" s="13" t="str">
        <f aca="false">IF($A195="","",IF(품목마스터!$G192="",0,품목마스터!$G192))</f>
        <v/>
      </c>
    </row>
    <row r="196" customFormat="false" ht="15" hidden="false" customHeight="true" outlineLevel="0" collapsed="false">
      <c r="A196" s="12" t="str">
        <f aca="false">IF(품목마스터!$A193="","",품목마스터!$A193)</f>
        <v/>
      </c>
      <c r="B196" s="12" t="str">
        <f aca="false">IF($A196="","",품목마스터!$B193)</f>
        <v/>
      </c>
      <c r="C196" s="12" t="str">
        <f aca="false">IF($A196="","",품목마스터!$D193)</f>
        <v/>
      </c>
      <c r="D196" s="13" t="str">
        <f aca="false">IF($A196="","",IF(품목마스터!$F193="",0,품목마스터!$F193)+SUMIFS(입출고내역!$L$3:$L$1002,입출고내역!$C$3:$C$1002,$A196,입출고내역!$A$3:$A$1002,"&lt;"&amp;DATE($B$3,$D$3,1)))</f>
        <v/>
      </c>
      <c r="E196" s="13" t="str">
        <f aca="false">IF($A196="","",SUMIFS(입출고내역!$G$3:$G$1002,입출고내역!$C$3:$C$1002,$A196,입출고내역!$B$3:$B$1002,"입고",입출고내역!$A$3:$A$1002,"&gt;="&amp;DATE($B$3,$D$3,1),입출고내역!$A$3:$A$1002,"&lt;="&amp;EOMONTH(DATE($B$3,$D$3,1),0)))</f>
        <v/>
      </c>
      <c r="F196" s="13" t="str">
        <f aca="false">IF($A196="","",SUMIFS(입출고내역!$G$3:$G$1002,입출고내역!$C$3:$C$1002,$A196,입출고내역!$B$3:$B$1002,"출고",입출고내역!$A$3:$A$1002,"&gt;="&amp;DATE($B$3,$D$3,1),입출고내역!$A$3:$A$1002,"&lt;="&amp;EOMONTH(DATE($B$3,$D$3,1),0)))</f>
        <v/>
      </c>
      <c r="G196" s="13" t="str">
        <f aca="false">IF($A196="","",IF(품목마스터!$F193="",0,품목마스터!$F193)+SUMIFS(입출고내역!$L$3:$L$1002,입출고내역!$C$3:$C$1002,$A196,입출고내역!$A$3:$A$1002,"&lt;="&amp;EOMONTH(DATE($B$3,$D$3,1),0)))</f>
        <v/>
      </c>
      <c r="H196" s="13" t="str">
        <f aca="false">IF($A196="","",IF(품목마스터!$G193="",0,품목마스터!$G193))</f>
        <v/>
      </c>
    </row>
    <row r="197" customFormat="false" ht="15" hidden="false" customHeight="true" outlineLevel="0" collapsed="false">
      <c r="A197" s="12" t="str">
        <f aca="false">IF(품목마스터!$A194="","",품목마스터!$A194)</f>
        <v/>
      </c>
      <c r="B197" s="12" t="str">
        <f aca="false">IF($A197="","",품목마스터!$B194)</f>
        <v/>
      </c>
      <c r="C197" s="12" t="str">
        <f aca="false">IF($A197="","",품목마스터!$D194)</f>
        <v/>
      </c>
      <c r="D197" s="13" t="str">
        <f aca="false">IF($A197="","",IF(품목마스터!$F194="",0,품목마스터!$F194)+SUMIFS(입출고내역!$L$3:$L$1002,입출고내역!$C$3:$C$1002,$A197,입출고내역!$A$3:$A$1002,"&lt;"&amp;DATE($B$3,$D$3,1)))</f>
        <v/>
      </c>
      <c r="E197" s="13" t="str">
        <f aca="false">IF($A197="","",SUMIFS(입출고내역!$G$3:$G$1002,입출고내역!$C$3:$C$1002,$A197,입출고내역!$B$3:$B$1002,"입고",입출고내역!$A$3:$A$1002,"&gt;="&amp;DATE($B$3,$D$3,1),입출고내역!$A$3:$A$1002,"&lt;="&amp;EOMONTH(DATE($B$3,$D$3,1),0)))</f>
        <v/>
      </c>
      <c r="F197" s="13" t="str">
        <f aca="false">IF($A197="","",SUMIFS(입출고내역!$G$3:$G$1002,입출고내역!$C$3:$C$1002,$A197,입출고내역!$B$3:$B$1002,"출고",입출고내역!$A$3:$A$1002,"&gt;="&amp;DATE($B$3,$D$3,1),입출고내역!$A$3:$A$1002,"&lt;="&amp;EOMONTH(DATE($B$3,$D$3,1),0)))</f>
        <v/>
      </c>
      <c r="G197" s="13" t="str">
        <f aca="false">IF($A197="","",IF(품목마스터!$F194="",0,품목마스터!$F194)+SUMIFS(입출고내역!$L$3:$L$1002,입출고내역!$C$3:$C$1002,$A197,입출고내역!$A$3:$A$1002,"&lt;="&amp;EOMONTH(DATE($B$3,$D$3,1),0)))</f>
        <v/>
      </c>
      <c r="H197" s="13" t="str">
        <f aca="false">IF($A197="","",IF(품목마스터!$G194="",0,품목마스터!$G194))</f>
        <v/>
      </c>
    </row>
    <row r="198" customFormat="false" ht="15" hidden="false" customHeight="true" outlineLevel="0" collapsed="false">
      <c r="A198" s="12" t="str">
        <f aca="false">IF(품목마스터!$A195="","",품목마스터!$A195)</f>
        <v/>
      </c>
      <c r="B198" s="12" t="str">
        <f aca="false">IF($A198="","",품목마스터!$B195)</f>
        <v/>
      </c>
      <c r="C198" s="12" t="str">
        <f aca="false">IF($A198="","",품목마스터!$D195)</f>
        <v/>
      </c>
      <c r="D198" s="13" t="str">
        <f aca="false">IF($A198="","",IF(품목마스터!$F195="",0,품목마스터!$F195)+SUMIFS(입출고내역!$L$3:$L$1002,입출고내역!$C$3:$C$1002,$A198,입출고내역!$A$3:$A$1002,"&lt;"&amp;DATE($B$3,$D$3,1)))</f>
        <v/>
      </c>
      <c r="E198" s="13" t="str">
        <f aca="false">IF($A198="","",SUMIFS(입출고내역!$G$3:$G$1002,입출고내역!$C$3:$C$1002,$A198,입출고내역!$B$3:$B$1002,"입고",입출고내역!$A$3:$A$1002,"&gt;="&amp;DATE($B$3,$D$3,1),입출고내역!$A$3:$A$1002,"&lt;="&amp;EOMONTH(DATE($B$3,$D$3,1),0)))</f>
        <v/>
      </c>
      <c r="F198" s="13" t="str">
        <f aca="false">IF($A198="","",SUMIFS(입출고내역!$G$3:$G$1002,입출고내역!$C$3:$C$1002,$A198,입출고내역!$B$3:$B$1002,"출고",입출고내역!$A$3:$A$1002,"&gt;="&amp;DATE($B$3,$D$3,1),입출고내역!$A$3:$A$1002,"&lt;="&amp;EOMONTH(DATE($B$3,$D$3,1),0)))</f>
        <v/>
      </c>
      <c r="G198" s="13" t="str">
        <f aca="false">IF($A198="","",IF(품목마스터!$F195="",0,품목마스터!$F195)+SUMIFS(입출고내역!$L$3:$L$1002,입출고내역!$C$3:$C$1002,$A198,입출고내역!$A$3:$A$1002,"&lt;="&amp;EOMONTH(DATE($B$3,$D$3,1),0)))</f>
        <v/>
      </c>
      <c r="H198" s="13" t="str">
        <f aca="false">IF($A198="","",IF(품목마스터!$G195="",0,품목마스터!$G195))</f>
        <v/>
      </c>
    </row>
    <row r="199" customFormat="false" ht="15" hidden="false" customHeight="true" outlineLevel="0" collapsed="false">
      <c r="A199" s="12" t="str">
        <f aca="false">IF(품목마스터!$A196="","",품목마스터!$A196)</f>
        <v/>
      </c>
      <c r="B199" s="12" t="str">
        <f aca="false">IF($A199="","",품목마스터!$B196)</f>
        <v/>
      </c>
      <c r="C199" s="12" t="str">
        <f aca="false">IF($A199="","",품목마스터!$D196)</f>
        <v/>
      </c>
      <c r="D199" s="13" t="str">
        <f aca="false">IF($A199="","",IF(품목마스터!$F196="",0,품목마스터!$F196)+SUMIFS(입출고내역!$L$3:$L$1002,입출고내역!$C$3:$C$1002,$A199,입출고내역!$A$3:$A$1002,"&lt;"&amp;DATE($B$3,$D$3,1)))</f>
        <v/>
      </c>
      <c r="E199" s="13" t="str">
        <f aca="false">IF($A199="","",SUMIFS(입출고내역!$G$3:$G$1002,입출고내역!$C$3:$C$1002,$A199,입출고내역!$B$3:$B$1002,"입고",입출고내역!$A$3:$A$1002,"&gt;="&amp;DATE($B$3,$D$3,1),입출고내역!$A$3:$A$1002,"&lt;="&amp;EOMONTH(DATE($B$3,$D$3,1),0)))</f>
        <v/>
      </c>
      <c r="F199" s="13" t="str">
        <f aca="false">IF($A199="","",SUMIFS(입출고내역!$G$3:$G$1002,입출고내역!$C$3:$C$1002,$A199,입출고내역!$B$3:$B$1002,"출고",입출고내역!$A$3:$A$1002,"&gt;="&amp;DATE($B$3,$D$3,1),입출고내역!$A$3:$A$1002,"&lt;="&amp;EOMONTH(DATE($B$3,$D$3,1),0)))</f>
        <v/>
      </c>
      <c r="G199" s="13" t="str">
        <f aca="false">IF($A199="","",IF(품목마스터!$F196="",0,품목마스터!$F196)+SUMIFS(입출고내역!$L$3:$L$1002,입출고내역!$C$3:$C$1002,$A199,입출고내역!$A$3:$A$1002,"&lt;="&amp;EOMONTH(DATE($B$3,$D$3,1),0)))</f>
        <v/>
      </c>
      <c r="H199" s="13" t="str">
        <f aca="false">IF($A199="","",IF(품목마스터!$G196="",0,품목마스터!$G196))</f>
        <v/>
      </c>
    </row>
    <row r="200" customFormat="false" ht="15" hidden="false" customHeight="true" outlineLevel="0" collapsed="false">
      <c r="A200" s="12" t="str">
        <f aca="false">IF(품목마스터!$A197="","",품목마스터!$A197)</f>
        <v/>
      </c>
      <c r="B200" s="12" t="str">
        <f aca="false">IF($A200="","",품목마스터!$B197)</f>
        <v/>
      </c>
      <c r="C200" s="12" t="str">
        <f aca="false">IF($A200="","",품목마스터!$D197)</f>
        <v/>
      </c>
      <c r="D200" s="13" t="str">
        <f aca="false">IF($A200="","",IF(품목마스터!$F197="",0,품목마스터!$F197)+SUMIFS(입출고내역!$L$3:$L$1002,입출고내역!$C$3:$C$1002,$A200,입출고내역!$A$3:$A$1002,"&lt;"&amp;DATE($B$3,$D$3,1)))</f>
        <v/>
      </c>
      <c r="E200" s="13" t="str">
        <f aca="false">IF($A200="","",SUMIFS(입출고내역!$G$3:$G$1002,입출고내역!$C$3:$C$1002,$A200,입출고내역!$B$3:$B$1002,"입고",입출고내역!$A$3:$A$1002,"&gt;="&amp;DATE($B$3,$D$3,1),입출고내역!$A$3:$A$1002,"&lt;="&amp;EOMONTH(DATE($B$3,$D$3,1),0)))</f>
        <v/>
      </c>
      <c r="F200" s="13" t="str">
        <f aca="false">IF($A200="","",SUMIFS(입출고내역!$G$3:$G$1002,입출고내역!$C$3:$C$1002,$A200,입출고내역!$B$3:$B$1002,"출고",입출고내역!$A$3:$A$1002,"&gt;="&amp;DATE($B$3,$D$3,1),입출고내역!$A$3:$A$1002,"&lt;="&amp;EOMONTH(DATE($B$3,$D$3,1),0)))</f>
        <v/>
      </c>
      <c r="G200" s="13" t="str">
        <f aca="false">IF($A200="","",IF(품목마스터!$F197="",0,품목마스터!$F197)+SUMIFS(입출고내역!$L$3:$L$1002,입출고내역!$C$3:$C$1002,$A200,입출고내역!$A$3:$A$1002,"&lt;="&amp;EOMONTH(DATE($B$3,$D$3,1),0)))</f>
        <v/>
      </c>
      <c r="H200" s="13" t="str">
        <f aca="false">IF($A200="","",IF(품목마스터!$G197="",0,품목마스터!$G197))</f>
        <v/>
      </c>
    </row>
    <row r="201" customFormat="false" ht="15" hidden="false" customHeight="true" outlineLevel="0" collapsed="false">
      <c r="A201" s="12" t="str">
        <f aca="false">IF(품목마스터!$A198="","",품목마스터!$A198)</f>
        <v/>
      </c>
      <c r="B201" s="12" t="str">
        <f aca="false">IF($A201="","",품목마스터!$B198)</f>
        <v/>
      </c>
      <c r="C201" s="12" t="str">
        <f aca="false">IF($A201="","",품목마스터!$D198)</f>
        <v/>
      </c>
      <c r="D201" s="13" t="str">
        <f aca="false">IF($A201="","",IF(품목마스터!$F198="",0,품목마스터!$F198)+SUMIFS(입출고내역!$L$3:$L$1002,입출고내역!$C$3:$C$1002,$A201,입출고내역!$A$3:$A$1002,"&lt;"&amp;DATE($B$3,$D$3,1)))</f>
        <v/>
      </c>
      <c r="E201" s="13" t="str">
        <f aca="false">IF($A201="","",SUMIFS(입출고내역!$G$3:$G$1002,입출고내역!$C$3:$C$1002,$A201,입출고내역!$B$3:$B$1002,"입고",입출고내역!$A$3:$A$1002,"&gt;="&amp;DATE($B$3,$D$3,1),입출고내역!$A$3:$A$1002,"&lt;="&amp;EOMONTH(DATE($B$3,$D$3,1),0)))</f>
        <v/>
      </c>
      <c r="F201" s="13" t="str">
        <f aca="false">IF($A201="","",SUMIFS(입출고내역!$G$3:$G$1002,입출고내역!$C$3:$C$1002,$A201,입출고내역!$B$3:$B$1002,"출고",입출고내역!$A$3:$A$1002,"&gt;="&amp;DATE($B$3,$D$3,1),입출고내역!$A$3:$A$1002,"&lt;="&amp;EOMONTH(DATE($B$3,$D$3,1),0)))</f>
        <v/>
      </c>
      <c r="G201" s="13" t="str">
        <f aca="false">IF($A201="","",IF(품목마스터!$F198="",0,품목마스터!$F198)+SUMIFS(입출고내역!$L$3:$L$1002,입출고내역!$C$3:$C$1002,$A201,입출고내역!$A$3:$A$1002,"&lt;="&amp;EOMONTH(DATE($B$3,$D$3,1),0)))</f>
        <v/>
      </c>
      <c r="H201" s="13" t="str">
        <f aca="false">IF($A201="","",IF(품목마스터!$G198="",0,품목마스터!$G198))</f>
        <v/>
      </c>
    </row>
    <row r="202" customFormat="false" ht="15" hidden="false" customHeight="true" outlineLevel="0" collapsed="false">
      <c r="A202" s="12" t="str">
        <f aca="false">IF(품목마스터!$A199="","",품목마스터!$A199)</f>
        <v/>
      </c>
      <c r="B202" s="12" t="str">
        <f aca="false">IF($A202="","",품목마스터!$B199)</f>
        <v/>
      </c>
      <c r="C202" s="12" t="str">
        <f aca="false">IF($A202="","",품목마스터!$D199)</f>
        <v/>
      </c>
      <c r="D202" s="13" t="str">
        <f aca="false">IF($A202="","",IF(품목마스터!$F199="",0,품목마스터!$F199)+SUMIFS(입출고내역!$L$3:$L$1002,입출고내역!$C$3:$C$1002,$A202,입출고내역!$A$3:$A$1002,"&lt;"&amp;DATE($B$3,$D$3,1)))</f>
        <v/>
      </c>
      <c r="E202" s="13" t="str">
        <f aca="false">IF($A202="","",SUMIFS(입출고내역!$G$3:$G$1002,입출고내역!$C$3:$C$1002,$A202,입출고내역!$B$3:$B$1002,"입고",입출고내역!$A$3:$A$1002,"&gt;="&amp;DATE($B$3,$D$3,1),입출고내역!$A$3:$A$1002,"&lt;="&amp;EOMONTH(DATE($B$3,$D$3,1),0)))</f>
        <v/>
      </c>
      <c r="F202" s="13" t="str">
        <f aca="false">IF($A202="","",SUMIFS(입출고내역!$G$3:$G$1002,입출고내역!$C$3:$C$1002,$A202,입출고내역!$B$3:$B$1002,"출고",입출고내역!$A$3:$A$1002,"&gt;="&amp;DATE($B$3,$D$3,1),입출고내역!$A$3:$A$1002,"&lt;="&amp;EOMONTH(DATE($B$3,$D$3,1),0)))</f>
        <v/>
      </c>
      <c r="G202" s="13" t="str">
        <f aca="false">IF($A202="","",IF(품목마스터!$F199="",0,품목마스터!$F199)+SUMIFS(입출고내역!$L$3:$L$1002,입출고내역!$C$3:$C$1002,$A202,입출고내역!$A$3:$A$1002,"&lt;="&amp;EOMONTH(DATE($B$3,$D$3,1),0)))</f>
        <v/>
      </c>
      <c r="H202" s="13" t="str">
        <f aca="false">IF($A202="","",IF(품목마스터!$G199="",0,품목마스터!$G199))</f>
        <v/>
      </c>
    </row>
    <row r="203" customFormat="false" ht="15" hidden="false" customHeight="true" outlineLevel="0" collapsed="false">
      <c r="A203" s="12" t="str">
        <f aca="false">IF(품목마스터!$A200="","",품목마스터!$A200)</f>
        <v/>
      </c>
      <c r="B203" s="12" t="str">
        <f aca="false">IF($A203="","",품목마스터!$B200)</f>
        <v/>
      </c>
      <c r="C203" s="12" t="str">
        <f aca="false">IF($A203="","",품목마스터!$D200)</f>
        <v/>
      </c>
      <c r="D203" s="13" t="str">
        <f aca="false">IF($A203="","",IF(품목마스터!$F200="",0,품목마스터!$F200)+SUMIFS(입출고내역!$L$3:$L$1002,입출고내역!$C$3:$C$1002,$A203,입출고내역!$A$3:$A$1002,"&lt;"&amp;DATE($B$3,$D$3,1)))</f>
        <v/>
      </c>
      <c r="E203" s="13" t="str">
        <f aca="false">IF($A203="","",SUMIFS(입출고내역!$G$3:$G$1002,입출고내역!$C$3:$C$1002,$A203,입출고내역!$B$3:$B$1002,"입고",입출고내역!$A$3:$A$1002,"&gt;="&amp;DATE($B$3,$D$3,1),입출고내역!$A$3:$A$1002,"&lt;="&amp;EOMONTH(DATE($B$3,$D$3,1),0)))</f>
        <v/>
      </c>
      <c r="F203" s="13" t="str">
        <f aca="false">IF($A203="","",SUMIFS(입출고내역!$G$3:$G$1002,입출고내역!$C$3:$C$1002,$A203,입출고내역!$B$3:$B$1002,"출고",입출고내역!$A$3:$A$1002,"&gt;="&amp;DATE($B$3,$D$3,1),입출고내역!$A$3:$A$1002,"&lt;="&amp;EOMONTH(DATE($B$3,$D$3,1),0)))</f>
        <v/>
      </c>
      <c r="G203" s="13" t="str">
        <f aca="false">IF($A203="","",IF(품목마스터!$F200="",0,품목마스터!$F200)+SUMIFS(입출고내역!$L$3:$L$1002,입출고내역!$C$3:$C$1002,$A203,입출고내역!$A$3:$A$1002,"&lt;="&amp;EOMONTH(DATE($B$3,$D$3,1),0)))</f>
        <v/>
      </c>
      <c r="H203" s="13" t="str">
        <f aca="false">IF($A203="","",IF(품목마스터!$G200="",0,품목마스터!$G200))</f>
        <v/>
      </c>
    </row>
    <row r="204" customFormat="false" ht="15" hidden="false" customHeight="true" outlineLevel="0" collapsed="false">
      <c r="A204" s="12" t="str">
        <f aca="false">IF(품목마스터!$A201="","",품목마스터!$A201)</f>
        <v/>
      </c>
      <c r="B204" s="12" t="str">
        <f aca="false">IF($A204="","",품목마스터!$B201)</f>
        <v/>
      </c>
      <c r="C204" s="12" t="str">
        <f aca="false">IF($A204="","",품목마스터!$D201)</f>
        <v/>
      </c>
      <c r="D204" s="13" t="str">
        <f aca="false">IF($A204="","",IF(품목마스터!$F201="",0,품목마스터!$F201)+SUMIFS(입출고내역!$L$3:$L$1002,입출고내역!$C$3:$C$1002,$A204,입출고내역!$A$3:$A$1002,"&lt;"&amp;DATE($B$3,$D$3,1)))</f>
        <v/>
      </c>
      <c r="E204" s="13" t="str">
        <f aca="false">IF($A204="","",SUMIFS(입출고내역!$G$3:$G$1002,입출고내역!$C$3:$C$1002,$A204,입출고내역!$B$3:$B$1002,"입고",입출고내역!$A$3:$A$1002,"&gt;="&amp;DATE($B$3,$D$3,1),입출고내역!$A$3:$A$1002,"&lt;="&amp;EOMONTH(DATE($B$3,$D$3,1),0)))</f>
        <v/>
      </c>
      <c r="F204" s="13" t="str">
        <f aca="false">IF($A204="","",SUMIFS(입출고내역!$G$3:$G$1002,입출고내역!$C$3:$C$1002,$A204,입출고내역!$B$3:$B$1002,"출고",입출고내역!$A$3:$A$1002,"&gt;="&amp;DATE($B$3,$D$3,1),입출고내역!$A$3:$A$1002,"&lt;="&amp;EOMONTH(DATE($B$3,$D$3,1),0)))</f>
        <v/>
      </c>
      <c r="G204" s="13" t="str">
        <f aca="false">IF($A204="","",IF(품목마스터!$F201="",0,품목마스터!$F201)+SUMIFS(입출고내역!$L$3:$L$1002,입출고내역!$C$3:$C$1002,$A204,입출고내역!$A$3:$A$1002,"&lt;="&amp;EOMONTH(DATE($B$3,$D$3,1),0)))</f>
        <v/>
      </c>
      <c r="H204" s="13" t="str">
        <f aca="false">IF($A204="","",IF(품목마스터!$G201="",0,품목마스터!$G201))</f>
        <v/>
      </c>
    </row>
    <row r="205" customFormat="false" ht="15" hidden="false" customHeight="true" outlineLevel="0" collapsed="false">
      <c r="A205" s="12" t="str">
        <f aca="false">IF(품목마스터!$A202="","",품목마스터!$A202)</f>
        <v/>
      </c>
      <c r="B205" s="12" t="str">
        <f aca="false">IF($A205="","",품목마스터!$B202)</f>
        <v/>
      </c>
      <c r="C205" s="12" t="str">
        <f aca="false">IF($A205="","",품목마스터!$D202)</f>
        <v/>
      </c>
      <c r="D205" s="13" t="str">
        <f aca="false">IF($A205="","",IF(품목마스터!$F202="",0,품목마스터!$F202)+SUMIFS(입출고내역!$L$3:$L$1002,입출고내역!$C$3:$C$1002,$A205,입출고내역!$A$3:$A$1002,"&lt;"&amp;DATE($B$3,$D$3,1)))</f>
        <v/>
      </c>
      <c r="E205" s="13" t="str">
        <f aca="false">IF($A205="","",SUMIFS(입출고내역!$G$3:$G$1002,입출고내역!$C$3:$C$1002,$A205,입출고내역!$B$3:$B$1002,"입고",입출고내역!$A$3:$A$1002,"&gt;="&amp;DATE($B$3,$D$3,1),입출고내역!$A$3:$A$1002,"&lt;="&amp;EOMONTH(DATE($B$3,$D$3,1),0)))</f>
        <v/>
      </c>
      <c r="F205" s="13" t="str">
        <f aca="false">IF($A205="","",SUMIFS(입출고내역!$G$3:$G$1002,입출고내역!$C$3:$C$1002,$A205,입출고내역!$B$3:$B$1002,"출고",입출고내역!$A$3:$A$1002,"&gt;="&amp;DATE($B$3,$D$3,1),입출고내역!$A$3:$A$1002,"&lt;="&amp;EOMONTH(DATE($B$3,$D$3,1),0)))</f>
        <v/>
      </c>
      <c r="G205" s="13" t="str">
        <f aca="false">IF($A205="","",IF(품목마스터!$F202="",0,품목마스터!$F202)+SUMIFS(입출고내역!$L$3:$L$1002,입출고내역!$C$3:$C$1002,$A205,입출고내역!$A$3:$A$1002,"&lt;="&amp;EOMONTH(DATE($B$3,$D$3,1),0)))</f>
        <v/>
      </c>
      <c r="H205" s="13" t="str">
        <f aca="false">IF($A205="","",IF(품목마스터!$G202="",0,품목마스터!$G202))</f>
        <v/>
      </c>
    </row>
    <row r="206" customFormat="false" ht="15" hidden="false" customHeight="true" outlineLevel="0" collapsed="false">
      <c r="A206" s="12" t="str">
        <f aca="false">IF(품목마스터!$A203="","",품목마스터!$A203)</f>
        <v/>
      </c>
      <c r="B206" s="12" t="str">
        <f aca="false">IF($A206="","",품목마스터!$B203)</f>
        <v/>
      </c>
      <c r="C206" s="12" t="str">
        <f aca="false">IF($A206="","",품목마스터!$D203)</f>
        <v/>
      </c>
      <c r="D206" s="13" t="str">
        <f aca="false">IF($A206="","",IF(품목마스터!$F203="",0,품목마스터!$F203)+SUMIFS(입출고내역!$L$3:$L$1002,입출고내역!$C$3:$C$1002,$A206,입출고내역!$A$3:$A$1002,"&lt;"&amp;DATE($B$3,$D$3,1)))</f>
        <v/>
      </c>
      <c r="E206" s="13" t="str">
        <f aca="false">IF($A206="","",SUMIFS(입출고내역!$G$3:$G$1002,입출고내역!$C$3:$C$1002,$A206,입출고내역!$B$3:$B$1002,"입고",입출고내역!$A$3:$A$1002,"&gt;="&amp;DATE($B$3,$D$3,1),입출고내역!$A$3:$A$1002,"&lt;="&amp;EOMONTH(DATE($B$3,$D$3,1),0)))</f>
        <v/>
      </c>
      <c r="F206" s="13" t="str">
        <f aca="false">IF($A206="","",SUMIFS(입출고내역!$G$3:$G$1002,입출고내역!$C$3:$C$1002,$A206,입출고내역!$B$3:$B$1002,"출고",입출고내역!$A$3:$A$1002,"&gt;="&amp;DATE($B$3,$D$3,1),입출고내역!$A$3:$A$1002,"&lt;="&amp;EOMONTH(DATE($B$3,$D$3,1),0)))</f>
        <v/>
      </c>
      <c r="G206" s="13" t="str">
        <f aca="false">IF($A206="","",IF(품목마스터!$F203="",0,품목마스터!$F203)+SUMIFS(입출고내역!$L$3:$L$1002,입출고내역!$C$3:$C$1002,$A206,입출고내역!$A$3:$A$1002,"&lt;="&amp;EOMONTH(DATE($B$3,$D$3,1),0)))</f>
        <v/>
      </c>
      <c r="H206" s="13" t="str">
        <f aca="false">IF($A206="","",IF(품목마스터!$G203="",0,품목마스터!$G203))</f>
        <v/>
      </c>
    </row>
    <row r="207" customFormat="false" ht="15" hidden="false" customHeight="true" outlineLevel="0" collapsed="false">
      <c r="A207" s="12" t="str">
        <f aca="false">IF(품목마스터!$A204="","",품목마스터!$A204)</f>
        <v/>
      </c>
      <c r="B207" s="12" t="str">
        <f aca="false">IF($A207="","",품목마스터!$B204)</f>
        <v/>
      </c>
      <c r="C207" s="12" t="str">
        <f aca="false">IF($A207="","",품목마스터!$D204)</f>
        <v/>
      </c>
      <c r="D207" s="13" t="str">
        <f aca="false">IF($A207="","",IF(품목마스터!$F204="",0,품목마스터!$F204)+SUMIFS(입출고내역!$L$3:$L$1002,입출고내역!$C$3:$C$1002,$A207,입출고내역!$A$3:$A$1002,"&lt;"&amp;DATE($B$3,$D$3,1)))</f>
        <v/>
      </c>
      <c r="E207" s="13" t="str">
        <f aca="false">IF($A207="","",SUMIFS(입출고내역!$G$3:$G$1002,입출고내역!$C$3:$C$1002,$A207,입출고내역!$B$3:$B$1002,"입고",입출고내역!$A$3:$A$1002,"&gt;="&amp;DATE($B$3,$D$3,1),입출고내역!$A$3:$A$1002,"&lt;="&amp;EOMONTH(DATE($B$3,$D$3,1),0)))</f>
        <v/>
      </c>
      <c r="F207" s="13" t="str">
        <f aca="false">IF($A207="","",SUMIFS(입출고내역!$G$3:$G$1002,입출고내역!$C$3:$C$1002,$A207,입출고내역!$B$3:$B$1002,"출고",입출고내역!$A$3:$A$1002,"&gt;="&amp;DATE($B$3,$D$3,1),입출고내역!$A$3:$A$1002,"&lt;="&amp;EOMONTH(DATE($B$3,$D$3,1),0)))</f>
        <v/>
      </c>
      <c r="G207" s="13" t="str">
        <f aca="false">IF($A207="","",IF(품목마스터!$F204="",0,품목마스터!$F204)+SUMIFS(입출고내역!$L$3:$L$1002,입출고내역!$C$3:$C$1002,$A207,입출고내역!$A$3:$A$1002,"&lt;="&amp;EOMONTH(DATE($B$3,$D$3,1),0)))</f>
        <v/>
      </c>
      <c r="H207" s="13" t="str">
        <f aca="false">IF($A207="","",IF(품목마스터!$G204="",0,품목마스터!$G204))</f>
        <v/>
      </c>
    </row>
    <row r="208" customFormat="false" ht="15" hidden="false" customHeight="true" outlineLevel="0" collapsed="false">
      <c r="A208" s="12" t="str">
        <f aca="false">IF(품목마스터!$A205="","",품목마스터!$A205)</f>
        <v/>
      </c>
      <c r="B208" s="12" t="str">
        <f aca="false">IF($A208="","",품목마스터!$B205)</f>
        <v/>
      </c>
      <c r="C208" s="12" t="str">
        <f aca="false">IF($A208="","",품목마스터!$D205)</f>
        <v/>
      </c>
      <c r="D208" s="13" t="str">
        <f aca="false">IF($A208="","",IF(품목마스터!$F205="",0,품목마스터!$F205)+SUMIFS(입출고내역!$L$3:$L$1002,입출고내역!$C$3:$C$1002,$A208,입출고내역!$A$3:$A$1002,"&lt;"&amp;DATE($B$3,$D$3,1)))</f>
        <v/>
      </c>
      <c r="E208" s="13" t="str">
        <f aca="false">IF($A208="","",SUMIFS(입출고내역!$G$3:$G$1002,입출고내역!$C$3:$C$1002,$A208,입출고내역!$B$3:$B$1002,"입고",입출고내역!$A$3:$A$1002,"&gt;="&amp;DATE($B$3,$D$3,1),입출고내역!$A$3:$A$1002,"&lt;="&amp;EOMONTH(DATE($B$3,$D$3,1),0)))</f>
        <v/>
      </c>
      <c r="F208" s="13" t="str">
        <f aca="false">IF($A208="","",SUMIFS(입출고내역!$G$3:$G$1002,입출고내역!$C$3:$C$1002,$A208,입출고내역!$B$3:$B$1002,"출고",입출고내역!$A$3:$A$1002,"&gt;="&amp;DATE($B$3,$D$3,1),입출고내역!$A$3:$A$1002,"&lt;="&amp;EOMONTH(DATE($B$3,$D$3,1),0)))</f>
        <v/>
      </c>
      <c r="G208" s="13" t="str">
        <f aca="false">IF($A208="","",IF(품목마스터!$F205="",0,품목마스터!$F205)+SUMIFS(입출고내역!$L$3:$L$1002,입출고내역!$C$3:$C$1002,$A208,입출고내역!$A$3:$A$1002,"&lt;="&amp;EOMONTH(DATE($B$3,$D$3,1),0)))</f>
        <v/>
      </c>
      <c r="H208" s="13" t="str">
        <f aca="false">IF($A208="","",IF(품목마스터!$G205="",0,품목마스터!$G205))</f>
        <v/>
      </c>
    </row>
    <row r="209" customFormat="false" ht="15" hidden="false" customHeight="true" outlineLevel="0" collapsed="false">
      <c r="A209" s="12" t="str">
        <f aca="false">IF(품목마스터!$A206="","",품목마스터!$A206)</f>
        <v/>
      </c>
      <c r="B209" s="12" t="str">
        <f aca="false">IF($A209="","",품목마스터!$B206)</f>
        <v/>
      </c>
      <c r="C209" s="12" t="str">
        <f aca="false">IF($A209="","",품목마스터!$D206)</f>
        <v/>
      </c>
      <c r="D209" s="13" t="str">
        <f aca="false">IF($A209="","",IF(품목마스터!$F206="",0,품목마스터!$F206)+SUMIFS(입출고내역!$L$3:$L$1002,입출고내역!$C$3:$C$1002,$A209,입출고내역!$A$3:$A$1002,"&lt;"&amp;DATE($B$3,$D$3,1)))</f>
        <v/>
      </c>
      <c r="E209" s="13" t="str">
        <f aca="false">IF($A209="","",SUMIFS(입출고내역!$G$3:$G$1002,입출고내역!$C$3:$C$1002,$A209,입출고내역!$B$3:$B$1002,"입고",입출고내역!$A$3:$A$1002,"&gt;="&amp;DATE($B$3,$D$3,1),입출고내역!$A$3:$A$1002,"&lt;="&amp;EOMONTH(DATE($B$3,$D$3,1),0)))</f>
        <v/>
      </c>
      <c r="F209" s="13" t="str">
        <f aca="false">IF($A209="","",SUMIFS(입출고내역!$G$3:$G$1002,입출고내역!$C$3:$C$1002,$A209,입출고내역!$B$3:$B$1002,"출고",입출고내역!$A$3:$A$1002,"&gt;="&amp;DATE($B$3,$D$3,1),입출고내역!$A$3:$A$1002,"&lt;="&amp;EOMONTH(DATE($B$3,$D$3,1),0)))</f>
        <v/>
      </c>
      <c r="G209" s="13" t="str">
        <f aca="false">IF($A209="","",IF(품목마스터!$F206="",0,품목마스터!$F206)+SUMIFS(입출고내역!$L$3:$L$1002,입출고내역!$C$3:$C$1002,$A209,입출고내역!$A$3:$A$1002,"&lt;="&amp;EOMONTH(DATE($B$3,$D$3,1),0)))</f>
        <v/>
      </c>
      <c r="H209" s="13" t="str">
        <f aca="false">IF($A209="","",IF(품목마스터!$G206="",0,품목마스터!$G206))</f>
        <v/>
      </c>
    </row>
    <row r="210" customFormat="false" ht="15" hidden="false" customHeight="true" outlineLevel="0" collapsed="false">
      <c r="A210" s="12" t="str">
        <f aca="false">IF(품목마스터!$A207="","",품목마스터!$A207)</f>
        <v/>
      </c>
      <c r="B210" s="12" t="str">
        <f aca="false">IF($A210="","",품목마스터!$B207)</f>
        <v/>
      </c>
      <c r="C210" s="12" t="str">
        <f aca="false">IF($A210="","",품목마스터!$D207)</f>
        <v/>
      </c>
      <c r="D210" s="13" t="str">
        <f aca="false">IF($A210="","",IF(품목마스터!$F207="",0,품목마스터!$F207)+SUMIFS(입출고내역!$L$3:$L$1002,입출고내역!$C$3:$C$1002,$A210,입출고내역!$A$3:$A$1002,"&lt;"&amp;DATE($B$3,$D$3,1)))</f>
        <v/>
      </c>
      <c r="E210" s="13" t="str">
        <f aca="false">IF($A210="","",SUMIFS(입출고내역!$G$3:$G$1002,입출고내역!$C$3:$C$1002,$A210,입출고내역!$B$3:$B$1002,"입고",입출고내역!$A$3:$A$1002,"&gt;="&amp;DATE($B$3,$D$3,1),입출고내역!$A$3:$A$1002,"&lt;="&amp;EOMONTH(DATE($B$3,$D$3,1),0)))</f>
        <v/>
      </c>
      <c r="F210" s="13" t="str">
        <f aca="false">IF($A210="","",SUMIFS(입출고내역!$G$3:$G$1002,입출고내역!$C$3:$C$1002,$A210,입출고내역!$B$3:$B$1002,"출고",입출고내역!$A$3:$A$1002,"&gt;="&amp;DATE($B$3,$D$3,1),입출고내역!$A$3:$A$1002,"&lt;="&amp;EOMONTH(DATE($B$3,$D$3,1),0)))</f>
        <v/>
      </c>
      <c r="G210" s="13" t="str">
        <f aca="false">IF($A210="","",IF(품목마스터!$F207="",0,품목마스터!$F207)+SUMIFS(입출고내역!$L$3:$L$1002,입출고내역!$C$3:$C$1002,$A210,입출고내역!$A$3:$A$1002,"&lt;="&amp;EOMONTH(DATE($B$3,$D$3,1),0)))</f>
        <v/>
      </c>
      <c r="H210" s="13" t="str">
        <f aca="false">IF($A210="","",IF(품목마스터!$G207="",0,품목마스터!$G207))</f>
        <v/>
      </c>
    </row>
    <row r="211" customFormat="false" ht="15" hidden="false" customHeight="true" outlineLevel="0" collapsed="false">
      <c r="A211" s="12" t="str">
        <f aca="false">IF(품목마스터!$A208="","",품목마스터!$A208)</f>
        <v/>
      </c>
      <c r="B211" s="12" t="str">
        <f aca="false">IF($A211="","",품목마스터!$B208)</f>
        <v/>
      </c>
      <c r="C211" s="12" t="str">
        <f aca="false">IF($A211="","",품목마스터!$D208)</f>
        <v/>
      </c>
      <c r="D211" s="13" t="str">
        <f aca="false">IF($A211="","",IF(품목마스터!$F208="",0,품목마스터!$F208)+SUMIFS(입출고내역!$L$3:$L$1002,입출고내역!$C$3:$C$1002,$A211,입출고내역!$A$3:$A$1002,"&lt;"&amp;DATE($B$3,$D$3,1)))</f>
        <v/>
      </c>
      <c r="E211" s="13" t="str">
        <f aca="false">IF($A211="","",SUMIFS(입출고내역!$G$3:$G$1002,입출고내역!$C$3:$C$1002,$A211,입출고내역!$B$3:$B$1002,"입고",입출고내역!$A$3:$A$1002,"&gt;="&amp;DATE($B$3,$D$3,1),입출고내역!$A$3:$A$1002,"&lt;="&amp;EOMONTH(DATE($B$3,$D$3,1),0)))</f>
        <v/>
      </c>
      <c r="F211" s="13" t="str">
        <f aca="false">IF($A211="","",SUMIFS(입출고내역!$G$3:$G$1002,입출고내역!$C$3:$C$1002,$A211,입출고내역!$B$3:$B$1002,"출고",입출고내역!$A$3:$A$1002,"&gt;="&amp;DATE($B$3,$D$3,1),입출고내역!$A$3:$A$1002,"&lt;="&amp;EOMONTH(DATE($B$3,$D$3,1),0)))</f>
        <v/>
      </c>
      <c r="G211" s="13" t="str">
        <f aca="false">IF($A211="","",IF(품목마스터!$F208="",0,품목마스터!$F208)+SUMIFS(입출고내역!$L$3:$L$1002,입출고내역!$C$3:$C$1002,$A211,입출고내역!$A$3:$A$1002,"&lt;="&amp;EOMONTH(DATE($B$3,$D$3,1),0)))</f>
        <v/>
      </c>
      <c r="H211" s="13" t="str">
        <f aca="false">IF($A211="","",IF(품목마스터!$G208="",0,품목마스터!$G208))</f>
        <v/>
      </c>
    </row>
    <row r="212" customFormat="false" ht="15" hidden="false" customHeight="true" outlineLevel="0" collapsed="false">
      <c r="A212" s="12" t="str">
        <f aca="false">IF(품목마스터!$A209="","",품목마스터!$A209)</f>
        <v/>
      </c>
      <c r="B212" s="12" t="str">
        <f aca="false">IF($A212="","",품목마스터!$B209)</f>
        <v/>
      </c>
      <c r="C212" s="12" t="str">
        <f aca="false">IF($A212="","",품목마스터!$D209)</f>
        <v/>
      </c>
      <c r="D212" s="13" t="str">
        <f aca="false">IF($A212="","",IF(품목마스터!$F209="",0,품목마스터!$F209)+SUMIFS(입출고내역!$L$3:$L$1002,입출고내역!$C$3:$C$1002,$A212,입출고내역!$A$3:$A$1002,"&lt;"&amp;DATE($B$3,$D$3,1)))</f>
        <v/>
      </c>
      <c r="E212" s="13" t="str">
        <f aca="false">IF($A212="","",SUMIFS(입출고내역!$G$3:$G$1002,입출고내역!$C$3:$C$1002,$A212,입출고내역!$B$3:$B$1002,"입고",입출고내역!$A$3:$A$1002,"&gt;="&amp;DATE($B$3,$D$3,1),입출고내역!$A$3:$A$1002,"&lt;="&amp;EOMONTH(DATE($B$3,$D$3,1),0)))</f>
        <v/>
      </c>
      <c r="F212" s="13" t="str">
        <f aca="false">IF($A212="","",SUMIFS(입출고내역!$G$3:$G$1002,입출고내역!$C$3:$C$1002,$A212,입출고내역!$B$3:$B$1002,"출고",입출고내역!$A$3:$A$1002,"&gt;="&amp;DATE($B$3,$D$3,1),입출고내역!$A$3:$A$1002,"&lt;="&amp;EOMONTH(DATE($B$3,$D$3,1),0)))</f>
        <v/>
      </c>
      <c r="G212" s="13" t="str">
        <f aca="false">IF($A212="","",IF(품목마스터!$F209="",0,품목마스터!$F209)+SUMIFS(입출고내역!$L$3:$L$1002,입출고내역!$C$3:$C$1002,$A212,입출고내역!$A$3:$A$1002,"&lt;="&amp;EOMONTH(DATE($B$3,$D$3,1),0)))</f>
        <v/>
      </c>
      <c r="H212" s="13" t="str">
        <f aca="false">IF($A212="","",IF(품목마스터!$G209="",0,품목마스터!$G209))</f>
        <v/>
      </c>
    </row>
    <row r="213" customFormat="false" ht="15" hidden="false" customHeight="true" outlineLevel="0" collapsed="false">
      <c r="A213" s="12" t="str">
        <f aca="false">IF(품목마스터!$A210="","",품목마스터!$A210)</f>
        <v/>
      </c>
      <c r="B213" s="12" t="str">
        <f aca="false">IF($A213="","",품목마스터!$B210)</f>
        <v/>
      </c>
      <c r="C213" s="12" t="str">
        <f aca="false">IF($A213="","",품목마스터!$D210)</f>
        <v/>
      </c>
      <c r="D213" s="13" t="str">
        <f aca="false">IF($A213="","",IF(품목마스터!$F210="",0,품목마스터!$F210)+SUMIFS(입출고내역!$L$3:$L$1002,입출고내역!$C$3:$C$1002,$A213,입출고내역!$A$3:$A$1002,"&lt;"&amp;DATE($B$3,$D$3,1)))</f>
        <v/>
      </c>
      <c r="E213" s="13" t="str">
        <f aca="false">IF($A213="","",SUMIFS(입출고내역!$G$3:$G$1002,입출고내역!$C$3:$C$1002,$A213,입출고내역!$B$3:$B$1002,"입고",입출고내역!$A$3:$A$1002,"&gt;="&amp;DATE($B$3,$D$3,1),입출고내역!$A$3:$A$1002,"&lt;="&amp;EOMONTH(DATE($B$3,$D$3,1),0)))</f>
        <v/>
      </c>
      <c r="F213" s="13" t="str">
        <f aca="false">IF($A213="","",SUMIFS(입출고내역!$G$3:$G$1002,입출고내역!$C$3:$C$1002,$A213,입출고내역!$B$3:$B$1002,"출고",입출고내역!$A$3:$A$1002,"&gt;="&amp;DATE($B$3,$D$3,1),입출고내역!$A$3:$A$1002,"&lt;="&amp;EOMONTH(DATE($B$3,$D$3,1),0)))</f>
        <v/>
      </c>
      <c r="G213" s="13" t="str">
        <f aca="false">IF($A213="","",IF(품목마스터!$F210="",0,품목마스터!$F210)+SUMIFS(입출고내역!$L$3:$L$1002,입출고내역!$C$3:$C$1002,$A213,입출고내역!$A$3:$A$1002,"&lt;="&amp;EOMONTH(DATE($B$3,$D$3,1),0)))</f>
        <v/>
      </c>
      <c r="H213" s="13" t="str">
        <f aca="false">IF($A213="","",IF(품목마스터!$G210="",0,품목마스터!$G210))</f>
        <v/>
      </c>
    </row>
    <row r="214" customFormat="false" ht="15" hidden="false" customHeight="true" outlineLevel="0" collapsed="false">
      <c r="A214" s="12" t="str">
        <f aca="false">IF(품목마스터!$A211="","",품목마스터!$A211)</f>
        <v/>
      </c>
      <c r="B214" s="12" t="str">
        <f aca="false">IF($A214="","",품목마스터!$B211)</f>
        <v/>
      </c>
      <c r="C214" s="12" t="str">
        <f aca="false">IF($A214="","",품목마스터!$D211)</f>
        <v/>
      </c>
      <c r="D214" s="13" t="str">
        <f aca="false">IF($A214="","",IF(품목마스터!$F211="",0,품목마스터!$F211)+SUMIFS(입출고내역!$L$3:$L$1002,입출고내역!$C$3:$C$1002,$A214,입출고내역!$A$3:$A$1002,"&lt;"&amp;DATE($B$3,$D$3,1)))</f>
        <v/>
      </c>
      <c r="E214" s="13" t="str">
        <f aca="false">IF($A214="","",SUMIFS(입출고내역!$G$3:$G$1002,입출고내역!$C$3:$C$1002,$A214,입출고내역!$B$3:$B$1002,"입고",입출고내역!$A$3:$A$1002,"&gt;="&amp;DATE($B$3,$D$3,1),입출고내역!$A$3:$A$1002,"&lt;="&amp;EOMONTH(DATE($B$3,$D$3,1),0)))</f>
        <v/>
      </c>
      <c r="F214" s="13" t="str">
        <f aca="false">IF($A214="","",SUMIFS(입출고내역!$G$3:$G$1002,입출고내역!$C$3:$C$1002,$A214,입출고내역!$B$3:$B$1002,"출고",입출고내역!$A$3:$A$1002,"&gt;="&amp;DATE($B$3,$D$3,1),입출고내역!$A$3:$A$1002,"&lt;="&amp;EOMONTH(DATE($B$3,$D$3,1),0)))</f>
        <v/>
      </c>
      <c r="G214" s="13" t="str">
        <f aca="false">IF($A214="","",IF(품목마스터!$F211="",0,품목마스터!$F211)+SUMIFS(입출고내역!$L$3:$L$1002,입출고내역!$C$3:$C$1002,$A214,입출고내역!$A$3:$A$1002,"&lt;="&amp;EOMONTH(DATE($B$3,$D$3,1),0)))</f>
        <v/>
      </c>
      <c r="H214" s="13" t="str">
        <f aca="false">IF($A214="","",IF(품목마스터!$G211="",0,품목마스터!$G211))</f>
        <v/>
      </c>
    </row>
    <row r="215" customFormat="false" ht="15" hidden="false" customHeight="true" outlineLevel="0" collapsed="false">
      <c r="A215" s="12" t="str">
        <f aca="false">IF(품목마스터!$A212="","",품목마스터!$A212)</f>
        <v/>
      </c>
      <c r="B215" s="12" t="str">
        <f aca="false">IF($A215="","",품목마스터!$B212)</f>
        <v/>
      </c>
      <c r="C215" s="12" t="str">
        <f aca="false">IF($A215="","",품목마스터!$D212)</f>
        <v/>
      </c>
      <c r="D215" s="13" t="str">
        <f aca="false">IF($A215="","",IF(품목마스터!$F212="",0,품목마스터!$F212)+SUMIFS(입출고내역!$L$3:$L$1002,입출고내역!$C$3:$C$1002,$A215,입출고내역!$A$3:$A$1002,"&lt;"&amp;DATE($B$3,$D$3,1)))</f>
        <v/>
      </c>
      <c r="E215" s="13" t="str">
        <f aca="false">IF($A215="","",SUMIFS(입출고내역!$G$3:$G$1002,입출고내역!$C$3:$C$1002,$A215,입출고내역!$B$3:$B$1002,"입고",입출고내역!$A$3:$A$1002,"&gt;="&amp;DATE($B$3,$D$3,1),입출고내역!$A$3:$A$1002,"&lt;="&amp;EOMONTH(DATE($B$3,$D$3,1),0)))</f>
        <v/>
      </c>
      <c r="F215" s="13" t="str">
        <f aca="false">IF($A215="","",SUMIFS(입출고내역!$G$3:$G$1002,입출고내역!$C$3:$C$1002,$A215,입출고내역!$B$3:$B$1002,"출고",입출고내역!$A$3:$A$1002,"&gt;="&amp;DATE($B$3,$D$3,1),입출고내역!$A$3:$A$1002,"&lt;="&amp;EOMONTH(DATE($B$3,$D$3,1),0)))</f>
        <v/>
      </c>
      <c r="G215" s="13" t="str">
        <f aca="false">IF($A215="","",IF(품목마스터!$F212="",0,품목마스터!$F212)+SUMIFS(입출고내역!$L$3:$L$1002,입출고내역!$C$3:$C$1002,$A215,입출고내역!$A$3:$A$1002,"&lt;="&amp;EOMONTH(DATE($B$3,$D$3,1),0)))</f>
        <v/>
      </c>
      <c r="H215" s="13" t="str">
        <f aca="false">IF($A215="","",IF(품목마스터!$G212="",0,품목마스터!$G212))</f>
        <v/>
      </c>
    </row>
    <row r="216" customFormat="false" ht="15" hidden="false" customHeight="true" outlineLevel="0" collapsed="false">
      <c r="A216" s="12" t="str">
        <f aca="false">IF(품목마스터!$A213="","",품목마스터!$A213)</f>
        <v/>
      </c>
      <c r="B216" s="12" t="str">
        <f aca="false">IF($A216="","",품목마스터!$B213)</f>
        <v/>
      </c>
      <c r="C216" s="12" t="str">
        <f aca="false">IF($A216="","",품목마스터!$D213)</f>
        <v/>
      </c>
      <c r="D216" s="13" t="str">
        <f aca="false">IF($A216="","",IF(품목마스터!$F213="",0,품목마스터!$F213)+SUMIFS(입출고내역!$L$3:$L$1002,입출고내역!$C$3:$C$1002,$A216,입출고내역!$A$3:$A$1002,"&lt;"&amp;DATE($B$3,$D$3,1)))</f>
        <v/>
      </c>
      <c r="E216" s="13" t="str">
        <f aca="false">IF($A216="","",SUMIFS(입출고내역!$G$3:$G$1002,입출고내역!$C$3:$C$1002,$A216,입출고내역!$B$3:$B$1002,"입고",입출고내역!$A$3:$A$1002,"&gt;="&amp;DATE($B$3,$D$3,1),입출고내역!$A$3:$A$1002,"&lt;="&amp;EOMONTH(DATE($B$3,$D$3,1),0)))</f>
        <v/>
      </c>
      <c r="F216" s="13" t="str">
        <f aca="false">IF($A216="","",SUMIFS(입출고내역!$G$3:$G$1002,입출고내역!$C$3:$C$1002,$A216,입출고내역!$B$3:$B$1002,"출고",입출고내역!$A$3:$A$1002,"&gt;="&amp;DATE($B$3,$D$3,1),입출고내역!$A$3:$A$1002,"&lt;="&amp;EOMONTH(DATE($B$3,$D$3,1),0)))</f>
        <v/>
      </c>
      <c r="G216" s="13" t="str">
        <f aca="false">IF($A216="","",IF(품목마스터!$F213="",0,품목마스터!$F213)+SUMIFS(입출고내역!$L$3:$L$1002,입출고내역!$C$3:$C$1002,$A216,입출고내역!$A$3:$A$1002,"&lt;="&amp;EOMONTH(DATE($B$3,$D$3,1),0)))</f>
        <v/>
      </c>
      <c r="H216" s="13" t="str">
        <f aca="false">IF($A216="","",IF(품목마스터!$G213="",0,품목마스터!$G213))</f>
        <v/>
      </c>
    </row>
    <row r="217" customFormat="false" ht="15" hidden="false" customHeight="true" outlineLevel="0" collapsed="false">
      <c r="A217" s="12" t="str">
        <f aca="false">IF(품목마스터!$A214="","",품목마스터!$A214)</f>
        <v/>
      </c>
      <c r="B217" s="12" t="str">
        <f aca="false">IF($A217="","",품목마스터!$B214)</f>
        <v/>
      </c>
      <c r="C217" s="12" t="str">
        <f aca="false">IF($A217="","",품목마스터!$D214)</f>
        <v/>
      </c>
      <c r="D217" s="13" t="str">
        <f aca="false">IF($A217="","",IF(품목마스터!$F214="",0,품목마스터!$F214)+SUMIFS(입출고내역!$L$3:$L$1002,입출고내역!$C$3:$C$1002,$A217,입출고내역!$A$3:$A$1002,"&lt;"&amp;DATE($B$3,$D$3,1)))</f>
        <v/>
      </c>
      <c r="E217" s="13" t="str">
        <f aca="false">IF($A217="","",SUMIFS(입출고내역!$G$3:$G$1002,입출고내역!$C$3:$C$1002,$A217,입출고내역!$B$3:$B$1002,"입고",입출고내역!$A$3:$A$1002,"&gt;="&amp;DATE($B$3,$D$3,1),입출고내역!$A$3:$A$1002,"&lt;="&amp;EOMONTH(DATE($B$3,$D$3,1),0)))</f>
        <v/>
      </c>
      <c r="F217" s="13" t="str">
        <f aca="false">IF($A217="","",SUMIFS(입출고내역!$G$3:$G$1002,입출고내역!$C$3:$C$1002,$A217,입출고내역!$B$3:$B$1002,"출고",입출고내역!$A$3:$A$1002,"&gt;="&amp;DATE($B$3,$D$3,1),입출고내역!$A$3:$A$1002,"&lt;="&amp;EOMONTH(DATE($B$3,$D$3,1),0)))</f>
        <v/>
      </c>
      <c r="G217" s="13" t="str">
        <f aca="false">IF($A217="","",IF(품목마스터!$F214="",0,품목마스터!$F214)+SUMIFS(입출고내역!$L$3:$L$1002,입출고내역!$C$3:$C$1002,$A217,입출고내역!$A$3:$A$1002,"&lt;="&amp;EOMONTH(DATE($B$3,$D$3,1),0)))</f>
        <v/>
      </c>
      <c r="H217" s="13" t="str">
        <f aca="false">IF($A217="","",IF(품목마스터!$G214="",0,품목마스터!$G214))</f>
        <v/>
      </c>
    </row>
    <row r="218" customFormat="false" ht="15" hidden="false" customHeight="true" outlineLevel="0" collapsed="false">
      <c r="A218" s="12" t="str">
        <f aca="false">IF(품목마스터!$A215="","",품목마스터!$A215)</f>
        <v/>
      </c>
      <c r="B218" s="12" t="str">
        <f aca="false">IF($A218="","",품목마스터!$B215)</f>
        <v/>
      </c>
      <c r="C218" s="12" t="str">
        <f aca="false">IF($A218="","",품목마스터!$D215)</f>
        <v/>
      </c>
      <c r="D218" s="13" t="str">
        <f aca="false">IF($A218="","",IF(품목마스터!$F215="",0,품목마스터!$F215)+SUMIFS(입출고내역!$L$3:$L$1002,입출고내역!$C$3:$C$1002,$A218,입출고내역!$A$3:$A$1002,"&lt;"&amp;DATE($B$3,$D$3,1)))</f>
        <v/>
      </c>
      <c r="E218" s="13" t="str">
        <f aca="false">IF($A218="","",SUMIFS(입출고내역!$G$3:$G$1002,입출고내역!$C$3:$C$1002,$A218,입출고내역!$B$3:$B$1002,"입고",입출고내역!$A$3:$A$1002,"&gt;="&amp;DATE($B$3,$D$3,1),입출고내역!$A$3:$A$1002,"&lt;="&amp;EOMONTH(DATE($B$3,$D$3,1),0)))</f>
        <v/>
      </c>
      <c r="F218" s="13" t="str">
        <f aca="false">IF($A218="","",SUMIFS(입출고내역!$G$3:$G$1002,입출고내역!$C$3:$C$1002,$A218,입출고내역!$B$3:$B$1002,"출고",입출고내역!$A$3:$A$1002,"&gt;="&amp;DATE($B$3,$D$3,1),입출고내역!$A$3:$A$1002,"&lt;="&amp;EOMONTH(DATE($B$3,$D$3,1),0)))</f>
        <v/>
      </c>
      <c r="G218" s="13" t="str">
        <f aca="false">IF($A218="","",IF(품목마스터!$F215="",0,품목마스터!$F215)+SUMIFS(입출고내역!$L$3:$L$1002,입출고내역!$C$3:$C$1002,$A218,입출고내역!$A$3:$A$1002,"&lt;="&amp;EOMONTH(DATE($B$3,$D$3,1),0)))</f>
        <v/>
      </c>
      <c r="H218" s="13" t="str">
        <f aca="false">IF($A218="","",IF(품목마스터!$G215="",0,품목마스터!$G215))</f>
        <v/>
      </c>
    </row>
    <row r="219" customFormat="false" ht="15" hidden="false" customHeight="true" outlineLevel="0" collapsed="false">
      <c r="A219" s="12" t="str">
        <f aca="false">IF(품목마스터!$A216="","",품목마스터!$A216)</f>
        <v/>
      </c>
      <c r="B219" s="12" t="str">
        <f aca="false">IF($A219="","",품목마스터!$B216)</f>
        <v/>
      </c>
      <c r="C219" s="12" t="str">
        <f aca="false">IF($A219="","",품목마스터!$D216)</f>
        <v/>
      </c>
      <c r="D219" s="13" t="str">
        <f aca="false">IF($A219="","",IF(품목마스터!$F216="",0,품목마스터!$F216)+SUMIFS(입출고내역!$L$3:$L$1002,입출고내역!$C$3:$C$1002,$A219,입출고내역!$A$3:$A$1002,"&lt;"&amp;DATE($B$3,$D$3,1)))</f>
        <v/>
      </c>
      <c r="E219" s="13" t="str">
        <f aca="false">IF($A219="","",SUMIFS(입출고내역!$G$3:$G$1002,입출고내역!$C$3:$C$1002,$A219,입출고내역!$B$3:$B$1002,"입고",입출고내역!$A$3:$A$1002,"&gt;="&amp;DATE($B$3,$D$3,1),입출고내역!$A$3:$A$1002,"&lt;="&amp;EOMONTH(DATE($B$3,$D$3,1),0)))</f>
        <v/>
      </c>
      <c r="F219" s="13" t="str">
        <f aca="false">IF($A219="","",SUMIFS(입출고내역!$G$3:$G$1002,입출고내역!$C$3:$C$1002,$A219,입출고내역!$B$3:$B$1002,"출고",입출고내역!$A$3:$A$1002,"&gt;="&amp;DATE($B$3,$D$3,1),입출고내역!$A$3:$A$1002,"&lt;="&amp;EOMONTH(DATE($B$3,$D$3,1),0)))</f>
        <v/>
      </c>
      <c r="G219" s="13" t="str">
        <f aca="false">IF($A219="","",IF(품목마스터!$F216="",0,품목마스터!$F216)+SUMIFS(입출고내역!$L$3:$L$1002,입출고내역!$C$3:$C$1002,$A219,입출고내역!$A$3:$A$1002,"&lt;="&amp;EOMONTH(DATE($B$3,$D$3,1),0)))</f>
        <v/>
      </c>
      <c r="H219" s="13" t="str">
        <f aca="false">IF($A219="","",IF(품목마스터!$G216="",0,품목마스터!$G216))</f>
        <v/>
      </c>
    </row>
    <row r="220" customFormat="false" ht="15" hidden="false" customHeight="true" outlineLevel="0" collapsed="false">
      <c r="A220" s="12" t="str">
        <f aca="false">IF(품목마스터!$A217="","",품목마스터!$A217)</f>
        <v/>
      </c>
      <c r="B220" s="12" t="str">
        <f aca="false">IF($A220="","",품목마스터!$B217)</f>
        <v/>
      </c>
      <c r="C220" s="12" t="str">
        <f aca="false">IF($A220="","",품목마스터!$D217)</f>
        <v/>
      </c>
      <c r="D220" s="13" t="str">
        <f aca="false">IF($A220="","",IF(품목마스터!$F217="",0,품목마스터!$F217)+SUMIFS(입출고내역!$L$3:$L$1002,입출고내역!$C$3:$C$1002,$A220,입출고내역!$A$3:$A$1002,"&lt;"&amp;DATE($B$3,$D$3,1)))</f>
        <v/>
      </c>
      <c r="E220" s="13" t="str">
        <f aca="false">IF($A220="","",SUMIFS(입출고내역!$G$3:$G$1002,입출고내역!$C$3:$C$1002,$A220,입출고내역!$B$3:$B$1002,"입고",입출고내역!$A$3:$A$1002,"&gt;="&amp;DATE($B$3,$D$3,1),입출고내역!$A$3:$A$1002,"&lt;="&amp;EOMONTH(DATE($B$3,$D$3,1),0)))</f>
        <v/>
      </c>
      <c r="F220" s="13" t="str">
        <f aca="false">IF($A220="","",SUMIFS(입출고내역!$G$3:$G$1002,입출고내역!$C$3:$C$1002,$A220,입출고내역!$B$3:$B$1002,"출고",입출고내역!$A$3:$A$1002,"&gt;="&amp;DATE($B$3,$D$3,1),입출고내역!$A$3:$A$1002,"&lt;="&amp;EOMONTH(DATE($B$3,$D$3,1),0)))</f>
        <v/>
      </c>
      <c r="G220" s="13" t="str">
        <f aca="false">IF($A220="","",IF(품목마스터!$F217="",0,품목마스터!$F217)+SUMIFS(입출고내역!$L$3:$L$1002,입출고내역!$C$3:$C$1002,$A220,입출고내역!$A$3:$A$1002,"&lt;="&amp;EOMONTH(DATE($B$3,$D$3,1),0)))</f>
        <v/>
      </c>
      <c r="H220" s="13" t="str">
        <f aca="false">IF($A220="","",IF(품목마스터!$G217="",0,품목마스터!$G217))</f>
        <v/>
      </c>
    </row>
    <row r="221" customFormat="false" ht="15" hidden="false" customHeight="true" outlineLevel="0" collapsed="false">
      <c r="A221" s="12" t="str">
        <f aca="false">IF(품목마스터!$A218="","",품목마스터!$A218)</f>
        <v/>
      </c>
      <c r="B221" s="12" t="str">
        <f aca="false">IF($A221="","",품목마스터!$B218)</f>
        <v/>
      </c>
      <c r="C221" s="12" t="str">
        <f aca="false">IF($A221="","",품목마스터!$D218)</f>
        <v/>
      </c>
      <c r="D221" s="13" t="str">
        <f aca="false">IF($A221="","",IF(품목마스터!$F218="",0,품목마스터!$F218)+SUMIFS(입출고내역!$L$3:$L$1002,입출고내역!$C$3:$C$1002,$A221,입출고내역!$A$3:$A$1002,"&lt;"&amp;DATE($B$3,$D$3,1)))</f>
        <v/>
      </c>
      <c r="E221" s="13" t="str">
        <f aca="false">IF($A221="","",SUMIFS(입출고내역!$G$3:$G$1002,입출고내역!$C$3:$C$1002,$A221,입출고내역!$B$3:$B$1002,"입고",입출고내역!$A$3:$A$1002,"&gt;="&amp;DATE($B$3,$D$3,1),입출고내역!$A$3:$A$1002,"&lt;="&amp;EOMONTH(DATE($B$3,$D$3,1),0)))</f>
        <v/>
      </c>
      <c r="F221" s="13" t="str">
        <f aca="false">IF($A221="","",SUMIFS(입출고내역!$G$3:$G$1002,입출고내역!$C$3:$C$1002,$A221,입출고내역!$B$3:$B$1002,"출고",입출고내역!$A$3:$A$1002,"&gt;="&amp;DATE($B$3,$D$3,1),입출고내역!$A$3:$A$1002,"&lt;="&amp;EOMONTH(DATE($B$3,$D$3,1),0)))</f>
        <v/>
      </c>
      <c r="G221" s="13" t="str">
        <f aca="false">IF($A221="","",IF(품목마스터!$F218="",0,품목마스터!$F218)+SUMIFS(입출고내역!$L$3:$L$1002,입출고내역!$C$3:$C$1002,$A221,입출고내역!$A$3:$A$1002,"&lt;="&amp;EOMONTH(DATE($B$3,$D$3,1),0)))</f>
        <v/>
      </c>
      <c r="H221" s="13" t="str">
        <f aca="false">IF($A221="","",IF(품목마스터!$G218="",0,품목마스터!$G218))</f>
        <v/>
      </c>
    </row>
    <row r="222" customFormat="false" ht="15" hidden="false" customHeight="true" outlineLevel="0" collapsed="false">
      <c r="A222" s="12" t="str">
        <f aca="false">IF(품목마스터!$A219="","",품목마스터!$A219)</f>
        <v/>
      </c>
      <c r="B222" s="12" t="str">
        <f aca="false">IF($A222="","",품목마스터!$B219)</f>
        <v/>
      </c>
      <c r="C222" s="12" t="str">
        <f aca="false">IF($A222="","",품목마스터!$D219)</f>
        <v/>
      </c>
      <c r="D222" s="13" t="str">
        <f aca="false">IF($A222="","",IF(품목마스터!$F219="",0,품목마스터!$F219)+SUMIFS(입출고내역!$L$3:$L$1002,입출고내역!$C$3:$C$1002,$A222,입출고내역!$A$3:$A$1002,"&lt;"&amp;DATE($B$3,$D$3,1)))</f>
        <v/>
      </c>
      <c r="E222" s="13" t="str">
        <f aca="false">IF($A222="","",SUMIFS(입출고내역!$G$3:$G$1002,입출고내역!$C$3:$C$1002,$A222,입출고내역!$B$3:$B$1002,"입고",입출고내역!$A$3:$A$1002,"&gt;="&amp;DATE($B$3,$D$3,1),입출고내역!$A$3:$A$1002,"&lt;="&amp;EOMONTH(DATE($B$3,$D$3,1),0)))</f>
        <v/>
      </c>
      <c r="F222" s="13" t="str">
        <f aca="false">IF($A222="","",SUMIFS(입출고내역!$G$3:$G$1002,입출고내역!$C$3:$C$1002,$A222,입출고내역!$B$3:$B$1002,"출고",입출고내역!$A$3:$A$1002,"&gt;="&amp;DATE($B$3,$D$3,1),입출고내역!$A$3:$A$1002,"&lt;="&amp;EOMONTH(DATE($B$3,$D$3,1),0)))</f>
        <v/>
      </c>
      <c r="G222" s="13" t="str">
        <f aca="false">IF($A222="","",IF(품목마스터!$F219="",0,품목마스터!$F219)+SUMIFS(입출고내역!$L$3:$L$1002,입출고내역!$C$3:$C$1002,$A222,입출고내역!$A$3:$A$1002,"&lt;="&amp;EOMONTH(DATE($B$3,$D$3,1),0)))</f>
        <v/>
      </c>
      <c r="H222" s="13" t="str">
        <f aca="false">IF($A222="","",IF(품목마스터!$G219="",0,품목마스터!$G219))</f>
        <v/>
      </c>
    </row>
    <row r="223" customFormat="false" ht="15" hidden="false" customHeight="true" outlineLevel="0" collapsed="false">
      <c r="A223" s="12" t="str">
        <f aca="false">IF(품목마스터!$A220="","",품목마스터!$A220)</f>
        <v/>
      </c>
      <c r="B223" s="12" t="str">
        <f aca="false">IF($A223="","",품목마스터!$B220)</f>
        <v/>
      </c>
      <c r="C223" s="12" t="str">
        <f aca="false">IF($A223="","",품목마스터!$D220)</f>
        <v/>
      </c>
      <c r="D223" s="13" t="str">
        <f aca="false">IF($A223="","",IF(품목마스터!$F220="",0,품목마스터!$F220)+SUMIFS(입출고내역!$L$3:$L$1002,입출고내역!$C$3:$C$1002,$A223,입출고내역!$A$3:$A$1002,"&lt;"&amp;DATE($B$3,$D$3,1)))</f>
        <v/>
      </c>
      <c r="E223" s="13" t="str">
        <f aca="false">IF($A223="","",SUMIFS(입출고내역!$G$3:$G$1002,입출고내역!$C$3:$C$1002,$A223,입출고내역!$B$3:$B$1002,"입고",입출고내역!$A$3:$A$1002,"&gt;="&amp;DATE($B$3,$D$3,1),입출고내역!$A$3:$A$1002,"&lt;="&amp;EOMONTH(DATE($B$3,$D$3,1),0)))</f>
        <v/>
      </c>
      <c r="F223" s="13" t="str">
        <f aca="false">IF($A223="","",SUMIFS(입출고내역!$G$3:$G$1002,입출고내역!$C$3:$C$1002,$A223,입출고내역!$B$3:$B$1002,"출고",입출고내역!$A$3:$A$1002,"&gt;="&amp;DATE($B$3,$D$3,1),입출고내역!$A$3:$A$1002,"&lt;="&amp;EOMONTH(DATE($B$3,$D$3,1),0)))</f>
        <v/>
      </c>
      <c r="G223" s="13" t="str">
        <f aca="false">IF($A223="","",IF(품목마스터!$F220="",0,품목마스터!$F220)+SUMIFS(입출고내역!$L$3:$L$1002,입출고내역!$C$3:$C$1002,$A223,입출고내역!$A$3:$A$1002,"&lt;="&amp;EOMONTH(DATE($B$3,$D$3,1),0)))</f>
        <v/>
      </c>
      <c r="H223" s="13" t="str">
        <f aca="false">IF($A223="","",IF(품목마스터!$G220="",0,품목마스터!$G220))</f>
        <v/>
      </c>
    </row>
    <row r="224" customFormat="false" ht="15" hidden="false" customHeight="true" outlineLevel="0" collapsed="false">
      <c r="A224" s="12" t="str">
        <f aca="false">IF(품목마스터!$A221="","",품목마스터!$A221)</f>
        <v/>
      </c>
      <c r="B224" s="12" t="str">
        <f aca="false">IF($A224="","",품목마스터!$B221)</f>
        <v/>
      </c>
      <c r="C224" s="12" t="str">
        <f aca="false">IF($A224="","",품목마스터!$D221)</f>
        <v/>
      </c>
      <c r="D224" s="13" t="str">
        <f aca="false">IF($A224="","",IF(품목마스터!$F221="",0,품목마스터!$F221)+SUMIFS(입출고내역!$L$3:$L$1002,입출고내역!$C$3:$C$1002,$A224,입출고내역!$A$3:$A$1002,"&lt;"&amp;DATE($B$3,$D$3,1)))</f>
        <v/>
      </c>
      <c r="E224" s="13" t="str">
        <f aca="false">IF($A224="","",SUMIFS(입출고내역!$G$3:$G$1002,입출고내역!$C$3:$C$1002,$A224,입출고내역!$B$3:$B$1002,"입고",입출고내역!$A$3:$A$1002,"&gt;="&amp;DATE($B$3,$D$3,1),입출고내역!$A$3:$A$1002,"&lt;="&amp;EOMONTH(DATE($B$3,$D$3,1),0)))</f>
        <v/>
      </c>
      <c r="F224" s="13" t="str">
        <f aca="false">IF($A224="","",SUMIFS(입출고내역!$G$3:$G$1002,입출고내역!$C$3:$C$1002,$A224,입출고내역!$B$3:$B$1002,"출고",입출고내역!$A$3:$A$1002,"&gt;="&amp;DATE($B$3,$D$3,1),입출고내역!$A$3:$A$1002,"&lt;="&amp;EOMONTH(DATE($B$3,$D$3,1),0)))</f>
        <v/>
      </c>
      <c r="G224" s="13" t="str">
        <f aca="false">IF($A224="","",IF(품목마스터!$F221="",0,품목마스터!$F221)+SUMIFS(입출고내역!$L$3:$L$1002,입출고내역!$C$3:$C$1002,$A224,입출고내역!$A$3:$A$1002,"&lt;="&amp;EOMONTH(DATE($B$3,$D$3,1),0)))</f>
        <v/>
      </c>
      <c r="H224" s="13" t="str">
        <f aca="false">IF($A224="","",IF(품목마스터!$G221="",0,품목마스터!$G221))</f>
        <v/>
      </c>
    </row>
    <row r="225" customFormat="false" ht="15" hidden="false" customHeight="true" outlineLevel="0" collapsed="false">
      <c r="A225" s="12" t="str">
        <f aca="false">IF(품목마스터!$A222="","",품목마스터!$A222)</f>
        <v/>
      </c>
      <c r="B225" s="12" t="str">
        <f aca="false">IF($A225="","",품목마스터!$B222)</f>
        <v/>
      </c>
      <c r="C225" s="12" t="str">
        <f aca="false">IF($A225="","",품목마스터!$D222)</f>
        <v/>
      </c>
      <c r="D225" s="13" t="str">
        <f aca="false">IF($A225="","",IF(품목마스터!$F222="",0,품목마스터!$F222)+SUMIFS(입출고내역!$L$3:$L$1002,입출고내역!$C$3:$C$1002,$A225,입출고내역!$A$3:$A$1002,"&lt;"&amp;DATE($B$3,$D$3,1)))</f>
        <v/>
      </c>
      <c r="E225" s="13" t="str">
        <f aca="false">IF($A225="","",SUMIFS(입출고내역!$G$3:$G$1002,입출고내역!$C$3:$C$1002,$A225,입출고내역!$B$3:$B$1002,"입고",입출고내역!$A$3:$A$1002,"&gt;="&amp;DATE($B$3,$D$3,1),입출고내역!$A$3:$A$1002,"&lt;="&amp;EOMONTH(DATE($B$3,$D$3,1),0)))</f>
        <v/>
      </c>
      <c r="F225" s="13" t="str">
        <f aca="false">IF($A225="","",SUMIFS(입출고내역!$G$3:$G$1002,입출고내역!$C$3:$C$1002,$A225,입출고내역!$B$3:$B$1002,"출고",입출고내역!$A$3:$A$1002,"&gt;="&amp;DATE($B$3,$D$3,1),입출고내역!$A$3:$A$1002,"&lt;="&amp;EOMONTH(DATE($B$3,$D$3,1),0)))</f>
        <v/>
      </c>
      <c r="G225" s="13" t="str">
        <f aca="false">IF($A225="","",IF(품목마스터!$F222="",0,품목마스터!$F222)+SUMIFS(입출고내역!$L$3:$L$1002,입출고내역!$C$3:$C$1002,$A225,입출고내역!$A$3:$A$1002,"&lt;="&amp;EOMONTH(DATE($B$3,$D$3,1),0)))</f>
        <v/>
      </c>
      <c r="H225" s="13" t="str">
        <f aca="false">IF($A225="","",IF(품목마스터!$G222="",0,품목마스터!$G222))</f>
        <v/>
      </c>
    </row>
    <row r="226" customFormat="false" ht="15" hidden="false" customHeight="true" outlineLevel="0" collapsed="false">
      <c r="A226" s="12" t="str">
        <f aca="false">IF(품목마스터!$A223="","",품목마스터!$A223)</f>
        <v/>
      </c>
      <c r="B226" s="12" t="str">
        <f aca="false">IF($A226="","",품목마스터!$B223)</f>
        <v/>
      </c>
      <c r="C226" s="12" t="str">
        <f aca="false">IF($A226="","",품목마스터!$D223)</f>
        <v/>
      </c>
      <c r="D226" s="13" t="str">
        <f aca="false">IF($A226="","",IF(품목마스터!$F223="",0,품목마스터!$F223)+SUMIFS(입출고내역!$L$3:$L$1002,입출고내역!$C$3:$C$1002,$A226,입출고내역!$A$3:$A$1002,"&lt;"&amp;DATE($B$3,$D$3,1)))</f>
        <v/>
      </c>
      <c r="E226" s="13" t="str">
        <f aca="false">IF($A226="","",SUMIFS(입출고내역!$G$3:$G$1002,입출고내역!$C$3:$C$1002,$A226,입출고내역!$B$3:$B$1002,"입고",입출고내역!$A$3:$A$1002,"&gt;="&amp;DATE($B$3,$D$3,1),입출고내역!$A$3:$A$1002,"&lt;="&amp;EOMONTH(DATE($B$3,$D$3,1),0)))</f>
        <v/>
      </c>
      <c r="F226" s="13" t="str">
        <f aca="false">IF($A226="","",SUMIFS(입출고내역!$G$3:$G$1002,입출고내역!$C$3:$C$1002,$A226,입출고내역!$B$3:$B$1002,"출고",입출고내역!$A$3:$A$1002,"&gt;="&amp;DATE($B$3,$D$3,1),입출고내역!$A$3:$A$1002,"&lt;="&amp;EOMONTH(DATE($B$3,$D$3,1),0)))</f>
        <v/>
      </c>
      <c r="G226" s="13" t="str">
        <f aca="false">IF($A226="","",IF(품목마스터!$F223="",0,품목마스터!$F223)+SUMIFS(입출고내역!$L$3:$L$1002,입출고내역!$C$3:$C$1002,$A226,입출고내역!$A$3:$A$1002,"&lt;="&amp;EOMONTH(DATE($B$3,$D$3,1),0)))</f>
        <v/>
      </c>
      <c r="H226" s="13" t="str">
        <f aca="false">IF($A226="","",IF(품목마스터!$G223="",0,품목마스터!$G223))</f>
        <v/>
      </c>
    </row>
    <row r="227" customFormat="false" ht="15" hidden="false" customHeight="true" outlineLevel="0" collapsed="false">
      <c r="A227" s="12" t="str">
        <f aca="false">IF(품목마스터!$A224="","",품목마스터!$A224)</f>
        <v/>
      </c>
      <c r="B227" s="12" t="str">
        <f aca="false">IF($A227="","",품목마스터!$B224)</f>
        <v/>
      </c>
      <c r="C227" s="12" t="str">
        <f aca="false">IF($A227="","",품목마스터!$D224)</f>
        <v/>
      </c>
      <c r="D227" s="13" t="str">
        <f aca="false">IF($A227="","",IF(품목마스터!$F224="",0,품목마스터!$F224)+SUMIFS(입출고내역!$L$3:$L$1002,입출고내역!$C$3:$C$1002,$A227,입출고내역!$A$3:$A$1002,"&lt;"&amp;DATE($B$3,$D$3,1)))</f>
        <v/>
      </c>
      <c r="E227" s="13" t="str">
        <f aca="false">IF($A227="","",SUMIFS(입출고내역!$G$3:$G$1002,입출고내역!$C$3:$C$1002,$A227,입출고내역!$B$3:$B$1002,"입고",입출고내역!$A$3:$A$1002,"&gt;="&amp;DATE($B$3,$D$3,1),입출고내역!$A$3:$A$1002,"&lt;="&amp;EOMONTH(DATE($B$3,$D$3,1),0)))</f>
        <v/>
      </c>
      <c r="F227" s="13" t="str">
        <f aca="false">IF($A227="","",SUMIFS(입출고내역!$G$3:$G$1002,입출고내역!$C$3:$C$1002,$A227,입출고내역!$B$3:$B$1002,"출고",입출고내역!$A$3:$A$1002,"&gt;="&amp;DATE($B$3,$D$3,1),입출고내역!$A$3:$A$1002,"&lt;="&amp;EOMONTH(DATE($B$3,$D$3,1),0)))</f>
        <v/>
      </c>
      <c r="G227" s="13" t="str">
        <f aca="false">IF($A227="","",IF(품목마스터!$F224="",0,품목마스터!$F224)+SUMIFS(입출고내역!$L$3:$L$1002,입출고내역!$C$3:$C$1002,$A227,입출고내역!$A$3:$A$1002,"&lt;="&amp;EOMONTH(DATE($B$3,$D$3,1),0)))</f>
        <v/>
      </c>
      <c r="H227" s="13" t="str">
        <f aca="false">IF($A227="","",IF(품목마스터!$G224="",0,품목마스터!$G224))</f>
        <v/>
      </c>
    </row>
    <row r="228" customFormat="false" ht="15" hidden="false" customHeight="true" outlineLevel="0" collapsed="false">
      <c r="A228" s="12" t="str">
        <f aca="false">IF(품목마스터!$A225="","",품목마스터!$A225)</f>
        <v/>
      </c>
      <c r="B228" s="12" t="str">
        <f aca="false">IF($A228="","",품목마스터!$B225)</f>
        <v/>
      </c>
      <c r="C228" s="12" t="str">
        <f aca="false">IF($A228="","",품목마스터!$D225)</f>
        <v/>
      </c>
      <c r="D228" s="13" t="str">
        <f aca="false">IF($A228="","",IF(품목마스터!$F225="",0,품목마스터!$F225)+SUMIFS(입출고내역!$L$3:$L$1002,입출고내역!$C$3:$C$1002,$A228,입출고내역!$A$3:$A$1002,"&lt;"&amp;DATE($B$3,$D$3,1)))</f>
        <v/>
      </c>
      <c r="E228" s="13" t="str">
        <f aca="false">IF($A228="","",SUMIFS(입출고내역!$G$3:$G$1002,입출고내역!$C$3:$C$1002,$A228,입출고내역!$B$3:$B$1002,"입고",입출고내역!$A$3:$A$1002,"&gt;="&amp;DATE($B$3,$D$3,1),입출고내역!$A$3:$A$1002,"&lt;="&amp;EOMONTH(DATE($B$3,$D$3,1),0)))</f>
        <v/>
      </c>
      <c r="F228" s="13" t="str">
        <f aca="false">IF($A228="","",SUMIFS(입출고내역!$G$3:$G$1002,입출고내역!$C$3:$C$1002,$A228,입출고내역!$B$3:$B$1002,"출고",입출고내역!$A$3:$A$1002,"&gt;="&amp;DATE($B$3,$D$3,1),입출고내역!$A$3:$A$1002,"&lt;="&amp;EOMONTH(DATE($B$3,$D$3,1),0)))</f>
        <v/>
      </c>
      <c r="G228" s="13" t="str">
        <f aca="false">IF($A228="","",IF(품목마스터!$F225="",0,품목마스터!$F225)+SUMIFS(입출고내역!$L$3:$L$1002,입출고내역!$C$3:$C$1002,$A228,입출고내역!$A$3:$A$1002,"&lt;="&amp;EOMONTH(DATE($B$3,$D$3,1),0)))</f>
        <v/>
      </c>
      <c r="H228" s="13" t="str">
        <f aca="false">IF($A228="","",IF(품목마스터!$G225="",0,품목마스터!$G225))</f>
        <v/>
      </c>
    </row>
    <row r="229" customFormat="false" ht="15" hidden="false" customHeight="true" outlineLevel="0" collapsed="false">
      <c r="A229" s="12" t="str">
        <f aca="false">IF(품목마스터!$A226="","",품목마스터!$A226)</f>
        <v/>
      </c>
      <c r="B229" s="12" t="str">
        <f aca="false">IF($A229="","",품목마스터!$B226)</f>
        <v/>
      </c>
      <c r="C229" s="12" t="str">
        <f aca="false">IF($A229="","",품목마스터!$D226)</f>
        <v/>
      </c>
      <c r="D229" s="13" t="str">
        <f aca="false">IF($A229="","",IF(품목마스터!$F226="",0,품목마스터!$F226)+SUMIFS(입출고내역!$L$3:$L$1002,입출고내역!$C$3:$C$1002,$A229,입출고내역!$A$3:$A$1002,"&lt;"&amp;DATE($B$3,$D$3,1)))</f>
        <v/>
      </c>
      <c r="E229" s="13" t="str">
        <f aca="false">IF($A229="","",SUMIFS(입출고내역!$G$3:$G$1002,입출고내역!$C$3:$C$1002,$A229,입출고내역!$B$3:$B$1002,"입고",입출고내역!$A$3:$A$1002,"&gt;="&amp;DATE($B$3,$D$3,1),입출고내역!$A$3:$A$1002,"&lt;="&amp;EOMONTH(DATE($B$3,$D$3,1),0)))</f>
        <v/>
      </c>
      <c r="F229" s="13" t="str">
        <f aca="false">IF($A229="","",SUMIFS(입출고내역!$G$3:$G$1002,입출고내역!$C$3:$C$1002,$A229,입출고내역!$B$3:$B$1002,"출고",입출고내역!$A$3:$A$1002,"&gt;="&amp;DATE($B$3,$D$3,1),입출고내역!$A$3:$A$1002,"&lt;="&amp;EOMONTH(DATE($B$3,$D$3,1),0)))</f>
        <v/>
      </c>
      <c r="G229" s="13" t="str">
        <f aca="false">IF($A229="","",IF(품목마스터!$F226="",0,품목마스터!$F226)+SUMIFS(입출고내역!$L$3:$L$1002,입출고내역!$C$3:$C$1002,$A229,입출고내역!$A$3:$A$1002,"&lt;="&amp;EOMONTH(DATE($B$3,$D$3,1),0)))</f>
        <v/>
      </c>
      <c r="H229" s="13" t="str">
        <f aca="false">IF($A229="","",IF(품목마스터!$G226="",0,품목마스터!$G226))</f>
        <v/>
      </c>
    </row>
    <row r="230" customFormat="false" ht="15" hidden="false" customHeight="true" outlineLevel="0" collapsed="false">
      <c r="A230" s="12" t="str">
        <f aca="false">IF(품목마스터!$A227="","",품목마스터!$A227)</f>
        <v/>
      </c>
      <c r="B230" s="12" t="str">
        <f aca="false">IF($A230="","",품목마스터!$B227)</f>
        <v/>
      </c>
      <c r="C230" s="12" t="str">
        <f aca="false">IF($A230="","",품목마스터!$D227)</f>
        <v/>
      </c>
      <c r="D230" s="13" t="str">
        <f aca="false">IF($A230="","",IF(품목마스터!$F227="",0,품목마스터!$F227)+SUMIFS(입출고내역!$L$3:$L$1002,입출고내역!$C$3:$C$1002,$A230,입출고내역!$A$3:$A$1002,"&lt;"&amp;DATE($B$3,$D$3,1)))</f>
        <v/>
      </c>
      <c r="E230" s="13" t="str">
        <f aca="false">IF($A230="","",SUMIFS(입출고내역!$G$3:$G$1002,입출고내역!$C$3:$C$1002,$A230,입출고내역!$B$3:$B$1002,"입고",입출고내역!$A$3:$A$1002,"&gt;="&amp;DATE($B$3,$D$3,1),입출고내역!$A$3:$A$1002,"&lt;="&amp;EOMONTH(DATE($B$3,$D$3,1),0)))</f>
        <v/>
      </c>
      <c r="F230" s="13" t="str">
        <f aca="false">IF($A230="","",SUMIFS(입출고내역!$G$3:$G$1002,입출고내역!$C$3:$C$1002,$A230,입출고내역!$B$3:$B$1002,"출고",입출고내역!$A$3:$A$1002,"&gt;="&amp;DATE($B$3,$D$3,1),입출고내역!$A$3:$A$1002,"&lt;="&amp;EOMONTH(DATE($B$3,$D$3,1),0)))</f>
        <v/>
      </c>
      <c r="G230" s="13" t="str">
        <f aca="false">IF($A230="","",IF(품목마스터!$F227="",0,품목마스터!$F227)+SUMIFS(입출고내역!$L$3:$L$1002,입출고내역!$C$3:$C$1002,$A230,입출고내역!$A$3:$A$1002,"&lt;="&amp;EOMONTH(DATE($B$3,$D$3,1),0)))</f>
        <v/>
      </c>
      <c r="H230" s="13" t="str">
        <f aca="false">IF($A230="","",IF(품목마스터!$G227="",0,품목마스터!$G227))</f>
        <v/>
      </c>
    </row>
    <row r="231" customFormat="false" ht="15" hidden="false" customHeight="true" outlineLevel="0" collapsed="false">
      <c r="A231" s="12" t="str">
        <f aca="false">IF(품목마스터!$A228="","",품목마스터!$A228)</f>
        <v/>
      </c>
      <c r="B231" s="12" t="str">
        <f aca="false">IF($A231="","",품목마스터!$B228)</f>
        <v/>
      </c>
      <c r="C231" s="12" t="str">
        <f aca="false">IF($A231="","",품목마스터!$D228)</f>
        <v/>
      </c>
      <c r="D231" s="13" t="str">
        <f aca="false">IF($A231="","",IF(품목마스터!$F228="",0,품목마스터!$F228)+SUMIFS(입출고내역!$L$3:$L$1002,입출고내역!$C$3:$C$1002,$A231,입출고내역!$A$3:$A$1002,"&lt;"&amp;DATE($B$3,$D$3,1)))</f>
        <v/>
      </c>
      <c r="E231" s="13" t="str">
        <f aca="false">IF($A231="","",SUMIFS(입출고내역!$G$3:$G$1002,입출고내역!$C$3:$C$1002,$A231,입출고내역!$B$3:$B$1002,"입고",입출고내역!$A$3:$A$1002,"&gt;="&amp;DATE($B$3,$D$3,1),입출고내역!$A$3:$A$1002,"&lt;="&amp;EOMONTH(DATE($B$3,$D$3,1),0)))</f>
        <v/>
      </c>
      <c r="F231" s="13" t="str">
        <f aca="false">IF($A231="","",SUMIFS(입출고내역!$G$3:$G$1002,입출고내역!$C$3:$C$1002,$A231,입출고내역!$B$3:$B$1002,"출고",입출고내역!$A$3:$A$1002,"&gt;="&amp;DATE($B$3,$D$3,1),입출고내역!$A$3:$A$1002,"&lt;="&amp;EOMONTH(DATE($B$3,$D$3,1),0)))</f>
        <v/>
      </c>
      <c r="G231" s="13" t="str">
        <f aca="false">IF($A231="","",IF(품목마스터!$F228="",0,품목마스터!$F228)+SUMIFS(입출고내역!$L$3:$L$1002,입출고내역!$C$3:$C$1002,$A231,입출고내역!$A$3:$A$1002,"&lt;="&amp;EOMONTH(DATE($B$3,$D$3,1),0)))</f>
        <v/>
      </c>
      <c r="H231" s="13" t="str">
        <f aca="false">IF($A231="","",IF(품목마스터!$G228="",0,품목마스터!$G228))</f>
        <v/>
      </c>
    </row>
    <row r="232" customFormat="false" ht="15" hidden="false" customHeight="true" outlineLevel="0" collapsed="false">
      <c r="A232" s="12" t="str">
        <f aca="false">IF(품목마스터!$A229="","",품목마스터!$A229)</f>
        <v/>
      </c>
      <c r="B232" s="12" t="str">
        <f aca="false">IF($A232="","",품목마스터!$B229)</f>
        <v/>
      </c>
      <c r="C232" s="12" t="str">
        <f aca="false">IF($A232="","",품목마스터!$D229)</f>
        <v/>
      </c>
      <c r="D232" s="13" t="str">
        <f aca="false">IF($A232="","",IF(품목마스터!$F229="",0,품목마스터!$F229)+SUMIFS(입출고내역!$L$3:$L$1002,입출고내역!$C$3:$C$1002,$A232,입출고내역!$A$3:$A$1002,"&lt;"&amp;DATE($B$3,$D$3,1)))</f>
        <v/>
      </c>
      <c r="E232" s="13" t="str">
        <f aca="false">IF($A232="","",SUMIFS(입출고내역!$G$3:$G$1002,입출고내역!$C$3:$C$1002,$A232,입출고내역!$B$3:$B$1002,"입고",입출고내역!$A$3:$A$1002,"&gt;="&amp;DATE($B$3,$D$3,1),입출고내역!$A$3:$A$1002,"&lt;="&amp;EOMONTH(DATE($B$3,$D$3,1),0)))</f>
        <v/>
      </c>
      <c r="F232" s="13" t="str">
        <f aca="false">IF($A232="","",SUMIFS(입출고내역!$G$3:$G$1002,입출고내역!$C$3:$C$1002,$A232,입출고내역!$B$3:$B$1002,"출고",입출고내역!$A$3:$A$1002,"&gt;="&amp;DATE($B$3,$D$3,1),입출고내역!$A$3:$A$1002,"&lt;="&amp;EOMONTH(DATE($B$3,$D$3,1),0)))</f>
        <v/>
      </c>
      <c r="G232" s="13" t="str">
        <f aca="false">IF($A232="","",IF(품목마스터!$F229="",0,품목마스터!$F229)+SUMIFS(입출고내역!$L$3:$L$1002,입출고내역!$C$3:$C$1002,$A232,입출고내역!$A$3:$A$1002,"&lt;="&amp;EOMONTH(DATE($B$3,$D$3,1),0)))</f>
        <v/>
      </c>
      <c r="H232" s="13" t="str">
        <f aca="false">IF($A232="","",IF(품목마스터!$G229="",0,품목마스터!$G229))</f>
        <v/>
      </c>
    </row>
    <row r="233" customFormat="false" ht="15" hidden="false" customHeight="true" outlineLevel="0" collapsed="false">
      <c r="A233" s="12" t="str">
        <f aca="false">IF(품목마스터!$A230="","",품목마스터!$A230)</f>
        <v/>
      </c>
      <c r="B233" s="12" t="str">
        <f aca="false">IF($A233="","",품목마스터!$B230)</f>
        <v/>
      </c>
      <c r="C233" s="12" t="str">
        <f aca="false">IF($A233="","",품목마스터!$D230)</f>
        <v/>
      </c>
      <c r="D233" s="13" t="str">
        <f aca="false">IF($A233="","",IF(품목마스터!$F230="",0,품목마스터!$F230)+SUMIFS(입출고내역!$L$3:$L$1002,입출고내역!$C$3:$C$1002,$A233,입출고내역!$A$3:$A$1002,"&lt;"&amp;DATE($B$3,$D$3,1)))</f>
        <v/>
      </c>
      <c r="E233" s="13" t="str">
        <f aca="false">IF($A233="","",SUMIFS(입출고내역!$G$3:$G$1002,입출고내역!$C$3:$C$1002,$A233,입출고내역!$B$3:$B$1002,"입고",입출고내역!$A$3:$A$1002,"&gt;="&amp;DATE($B$3,$D$3,1),입출고내역!$A$3:$A$1002,"&lt;="&amp;EOMONTH(DATE($B$3,$D$3,1),0)))</f>
        <v/>
      </c>
      <c r="F233" s="13" t="str">
        <f aca="false">IF($A233="","",SUMIFS(입출고내역!$G$3:$G$1002,입출고내역!$C$3:$C$1002,$A233,입출고내역!$B$3:$B$1002,"출고",입출고내역!$A$3:$A$1002,"&gt;="&amp;DATE($B$3,$D$3,1),입출고내역!$A$3:$A$1002,"&lt;="&amp;EOMONTH(DATE($B$3,$D$3,1),0)))</f>
        <v/>
      </c>
      <c r="G233" s="13" t="str">
        <f aca="false">IF($A233="","",IF(품목마스터!$F230="",0,품목마스터!$F230)+SUMIFS(입출고내역!$L$3:$L$1002,입출고내역!$C$3:$C$1002,$A233,입출고내역!$A$3:$A$1002,"&lt;="&amp;EOMONTH(DATE($B$3,$D$3,1),0)))</f>
        <v/>
      </c>
      <c r="H233" s="13" t="str">
        <f aca="false">IF($A233="","",IF(품목마스터!$G230="",0,품목마스터!$G230))</f>
        <v/>
      </c>
    </row>
    <row r="234" customFormat="false" ht="15" hidden="false" customHeight="true" outlineLevel="0" collapsed="false">
      <c r="A234" s="12" t="str">
        <f aca="false">IF(품목마스터!$A231="","",품목마스터!$A231)</f>
        <v/>
      </c>
      <c r="B234" s="12" t="str">
        <f aca="false">IF($A234="","",품목마스터!$B231)</f>
        <v/>
      </c>
      <c r="C234" s="12" t="str">
        <f aca="false">IF($A234="","",품목마스터!$D231)</f>
        <v/>
      </c>
      <c r="D234" s="13" t="str">
        <f aca="false">IF($A234="","",IF(품목마스터!$F231="",0,품목마스터!$F231)+SUMIFS(입출고내역!$L$3:$L$1002,입출고내역!$C$3:$C$1002,$A234,입출고내역!$A$3:$A$1002,"&lt;"&amp;DATE($B$3,$D$3,1)))</f>
        <v/>
      </c>
      <c r="E234" s="13" t="str">
        <f aca="false">IF($A234="","",SUMIFS(입출고내역!$G$3:$G$1002,입출고내역!$C$3:$C$1002,$A234,입출고내역!$B$3:$B$1002,"입고",입출고내역!$A$3:$A$1002,"&gt;="&amp;DATE($B$3,$D$3,1),입출고내역!$A$3:$A$1002,"&lt;="&amp;EOMONTH(DATE($B$3,$D$3,1),0)))</f>
        <v/>
      </c>
      <c r="F234" s="13" t="str">
        <f aca="false">IF($A234="","",SUMIFS(입출고내역!$G$3:$G$1002,입출고내역!$C$3:$C$1002,$A234,입출고내역!$B$3:$B$1002,"출고",입출고내역!$A$3:$A$1002,"&gt;="&amp;DATE($B$3,$D$3,1),입출고내역!$A$3:$A$1002,"&lt;="&amp;EOMONTH(DATE($B$3,$D$3,1),0)))</f>
        <v/>
      </c>
      <c r="G234" s="13" t="str">
        <f aca="false">IF($A234="","",IF(품목마스터!$F231="",0,품목마스터!$F231)+SUMIFS(입출고내역!$L$3:$L$1002,입출고내역!$C$3:$C$1002,$A234,입출고내역!$A$3:$A$1002,"&lt;="&amp;EOMONTH(DATE($B$3,$D$3,1),0)))</f>
        <v/>
      </c>
      <c r="H234" s="13" t="str">
        <f aca="false">IF($A234="","",IF(품목마스터!$G231="",0,품목마스터!$G231))</f>
        <v/>
      </c>
    </row>
    <row r="235" customFormat="false" ht="15" hidden="false" customHeight="true" outlineLevel="0" collapsed="false">
      <c r="A235" s="12" t="str">
        <f aca="false">IF(품목마스터!$A232="","",품목마스터!$A232)</f>
        <v/>
      </c>
      <c r="B235" s="12" t="str">
        <f aca="false">IF($A235="","",품목마스터!$B232)</f>
        <v/>
      </c>
      <c r="C235" s="12" t="str">
        <f aca="false">IF($A235="","",품목마스터!$D232)</f>
        <v/>
      </c>
      <c r="D235" s="13" t="str">
        <f aca="false">IF($A235="","",IF(품목마스터!$F232="",0,품목마스터!$F232)+SUMIFS(입출고내역!$L$3:$L$1002,입출고내역!$C$3:$C$1002,$A235,입출고내역!$A$3:$A$1002,"&lt;"&amp;DATE($B$3,$D$3,1)))</f>
        <v/>
      </c>
      <c r="E235" s="13" t="str">
        <f aca="false">IF($A235="","",SUMIFS(입출고내역!$G$3:$G$1002,입출고내역!$C$3:$C$1002,$A235,입출고내역!$B$3:$B$1002,"입고",입출고내역!$A$3:$A$1002,"&gt;="&amp;DATE($B$3,$D$3,1),입출고내역!$A$3:$A$1002,"&lt;="&amp;EOMONTH(DATE($B$3,$D$3,1),0)))</f>
        <v/>
      </c>
      <c r="F235" s="13" t="str">
        <f aca="false">IF($A235="","",SUMIFS(입출고내역!$G$3:$G$1002,입출고내역!$C$3:$C$1002,$A235,입출고내역!$B$3:$B$1002,"출고",입출고내역!$A$3:$A$1002,"&gt;="&amp;DATE($B$3,$D$3,1),입출고내역!$A$3:$A$1002,"&lt;="&amp;EOMONTH(DATE($B$3,$D$3,1),0)))</f>
        <v/>
      </c>
      <c r="G235" s="13" t="str">
        <f aca="false">IF($A235="","",IF(품목마스터!$F232="",0,품목마스터!$F232)+SUMIFS(입출고내역!$L$3:$L$1002,입출고내역!$C$3:$C$1002,$A235,입출고내역!$A$3:$A$1002,"&lt;="&amp;EOMONTH(DATE($B$3,$D$3,1),0)))</f>
        <v/>
      </c>
      <c r="H235" s="13" t="str">
        <f aca="false">IF($A235="","",IF(품목마스터!$G232="",0,품목마스터!$G232))</f>
        <v/>
      </c>
    </row>
    <row r="236" customFormat="false" ht="15" hidden="false" customHeight="true" outlineLevel="0" collapsed="false">
      <c r="A236" s="12" t="str">
        <f aca="false">IF(품목마스터!$A233="","",품목마스터!$A233)</f>
        <v/>
      </c>
      <c r="B236" s="12" t="str">
        <f aca="false">IF($A236="","",품목마스터!$B233)</f>
        <v/>
      </c>
      <c r="C236" s="12" t="str">
        <f aca="false">IF($A236="","",품목마스터!$D233)</f>
        <v/>
      </c>
      <c r="D236" s="13" t="str">
        <f aca="false">IF($A236="","",IF(품목마스터!$F233="",0,품목마스터!$F233)+SUMIFS(입출고내역!$L$3:$L$1002,입출고내역!$C$3:$C$1002,$A236,입출고내역!$A$3:$A$1002,"&lt;"&amp;DATE($B$3,$D$3,1)))</f>
        <v/>
      </c>
      <c r="E236" s="13" t="str">
        <f aca="false">IF($A236="","",SUMIFS(입출고내역!$G$3:$G$1002,입출고내역!$C$3:$C$1002,$A236,입출고내역!$B$3:$B$1002,"입고",입출고내역!$A$3:$A$1002,"&gt;="&amp;DATE($B$3,$D$3,1),입출고내역!$A$3:$A$1002,"&lt;="&amp;EOMONTH(DATE($B$3,$D$3,1),0)))</f>
        <v/>
      </c>
      <c r="F236" s="13" t="str">
        <f aca="false">IF($A236="","",SUMIFS(입출고내역!$G$3:$G$1002,입출고내역!$C$3:$C$1002,$A236,입출고내역!$B$3:$B$1002,"출고",입출고내역!$A$3:$A$1002,"&gt;="&amp;DATE($B$3,$D$3,1),입출고내역!$A$3:$A$1002,"&lt;="&amp;EOMONTH(DATE($B$3,$D$3,1),0)))</f>
        <v/>
      </c>
      <c r="G236" s="13" t="str">
        <f aca="false">IF($A236="","",IF(품목마스터!$F233="",0,품목마스터!$F233)+SUMIFS(입출고내역!$L$3:$L$1002,입출고내역!$C$3:$C$1002,$A236,입출고내역!$A$3:$A$1002,"&lt;="&amp;EOMONTH(DATE($B$3,$D$3,1),0)))</f>
        <v/>
      </c>
      <c r="H236" s="13" t="str">
        <f aca="false">IF($A236="","",IF(품목마스터!$G233="",0,품목마스터!$G233))</f>
        <v/>
      </c>
    </row>
    <row r="237" customFormat="false" ht="15" hidden="false" customHeight="true" outlineLevel="0" collapsed="false">
      <c r="A237" s="12" t="str">
        <f aca="false">IF(품목마스터!$A234="","",품목마스터!$A234)</f>
        <v/>
      </c>
      <c r="B237" s="12" t="str">
        <f aca="false">IF($A237="","",품목마스터!$B234)</f>
        <v/>
      </c>
      <c r="C237" s="12" t="str">
        <f aca="false">IF($A237="","",품목마스터!$D234)</f>
        <v/>
      </c>
      <c r="D237" s="13" t="str">
        <f aca="false">IF($A237="","",IF(품목마스터!$F234="",0,품목마스터!$F234)+SUMIFS(입출고내역!$L$3:$L$1002,입출고내역!$C$3:$C$1002,$A237,입출고내역!$A$3:$A$1002,"&lt;"&amp;DATE($B$3,$D$3,1)))</f>
        <v/>
      </c>
      <c r="E237" s="13" t="str">
        <f aca="false">IF($A237="","",SUMIFS(입출고내역!$G$3:$G$1002,입출고내역!$C$3:$C$1002,$A237,입출고내역!$B$3:$B$1002,"입고",입출고내역!$A$3:$A$1002,"&gt;="&amp;DATE($B$3,$D$3,1),입출고내역!$A$3:$A$1002,"&lt;="&amp;EOMONTH(DATE($B$3,$D$3,1),0)))</f>
        <v/>
      </c>
      <c r="F237" s="13" t="str">
        <f aca="false">IF($A237="","",SUMIFS(입출고내역!$G$3:$G$1002,입출고내역!$C$3:$C$1002,$A237,입출고내역!$B$3:$B$1002,"출고",입출고내역!$A$3:$A$1002,"&gt;="&amp;DATE($B$3,$D$3,1),입출고내역!$A$3:$A$1002,"&lt;="&amp;EOMONTH(DATE($B$3,$D$3,1),0)))</f>
        <v/>
      </c>
      <c r="G237" s="13" t="str">
        <f aca="false">IF($A237="","",IF(품목마스터!$F234="",0,품목마스터!$F234)+SUMIFS(입출고내역!$L$3:$L$1002,입출고내역!$C$3:$C$1002,$A237,입출고내역!$A$3:$A$1002,"&lt;="&amp;EOMONTH(DATE($B$3,$D$3,1),0)))</f>
        <v/>
      </c>
      <c r="H237" s="13" t="str">
        <f aca="false">IF($A237="","",IF(품목마스터!$G234="",0,품목마스터!$G234))</f>
        <v/>
      </c>
    </row>
    <row r="238" customFormat="false" ht="15" hidden="false" customHeight="true" outlineLevel="0" collapsed="false">
      <c r="A238" s="12" t="str">
        <f aca="false">IF(품목마스터!$A235="","",품목마스터!$A235)</f>
        <v/>
      </c>
      <c r="B238" s="12" t="str">
        <f aca="false">IF($A238="","",품목마스터!$B235)</f>
        <v/>
      </c>
      <c r="C238" s="12" t="str">
        <f aca="false">IF($A238="","",품목마스터!$D235)</f>
        <v/>
      </c>
      <c r="D238" s="13" t="str">
        <f aca="false">IF($A238="","",IF(품목마스터!$F235="",0,품목마스터!$F235)+SUMIFS(입출고내역!$L$3:$L$1002,입출고내역!$C$3:$C$1002,$A238,입출고내역!$A$3:$A$1002,"&lt;"&amp;DATE($B$3,$D$3,1)))</f>
        <v/>
      </c>
      <c r="E238" s="13" t="str">
        <f aca="false">IF($A238="","",SUMIFS(입출고내역!$G$3:$G$1002,입출고내역!$C$3:$C$1002,$A238,입출고내역!$B$3:$B$1002,"입고",입출고내역!$A$3:$A$1002,"&gt;="&amp;DATE($B$3,$D$3,1),입출고내역!$A$3:$A$1002,"&lt;="&amp;EOMONTH(DATE($B$3,$D$3,1),0)))</f>
        <v/>
      </c>
      <c r="F238" s="13" t="str">
        <f aca="false">IF($A238="","",SUMIFS(입출고내역!$G$3:$G$1002,입출고내역!$C$3:$C$1002,$A238,입출고내역!$B$3:$B$1002,"출고",입출고내역!$A$3:$A$1002,"&gt;="&amp;DATE($B$3,$D$3,1),입출고내역!$A$3:$A$1002,"&lt;="&amp;EOMONTH(DATE($B$3,$D$3,1),0)))</f>
        <v/>
      </c>
      <c r="G238" s="13" t="str">
        <f aca="false">IF($A238="","",IF(품목마스터!$F235="",0,품목마스터!$F235)+SUMIFS(입출고내역!$L$3:$L$1002,입출고내역!$C$3:$C$1002,$A238,입출고내역!$A$3:$A$1002,"&lt;="&amp;EOMONTH(DATE($B$3,$D$3,1),0)))</f>
        <v/>
      </c>
      <c r="H238" s="13" t="str">
        <f aca="false">IF($A238="","",IF(품목마스터!$G235="",0,품목마스터!$G235))</f>
        <v/>
      </c>
    </row>
    <row r="239" customFormat="false" ht="15" hidden="false" customHeight="true" outlineLevel="0" collapsed="false">
      <c r="A239" s="12" t="str">
        <f aca="false">IF(품목마스터!$A236="","",품목마스터!$A236)</f>
        <v/>
      </c>
      <c r="B239" s="12" t="str">
        <f aca="false">IF($A239="","",품목마스터!$B236)</f>
        <v/>
      </c>
      <c r="C239" s="12" t="str">
        <f aca="false">IF($A239="","",품목마스터!$D236)</f>
        <v/>
      </c>
      <c r="D239" s="13" t="str">
        <f aca="false">IF($A239="","",IF(품목마스터!$F236="",0,품목마스터!$F236)+SUMIFS(입출고내역!$L$3:$L$1002,입출고내역!$C$3:$C$1002,$A239,입출고내역!$A$3:$A$1002,"&lt;"&amp;DATE($B$3,$D$3,1)))</f>
        <v/>
      </c>
      <c r="E239" s="13" t="str">
        <f aca="false">IF($A239="","",SUMIFS(입출고내역!$G$3:$G$1002,입출고내역!$C$3:$C$1002,$A239,입출고내역!$B$3:$B$1002,"입고",입출고내역!$A$3:$A$1002,"&gt;="&amp;DATE($B$3,$D$3,1),입출고내역!$A$3:$A$1002,"&lt;="&amp;EOMONTH(DATE($B$3,$D$3,1),0)))</f>
        <v/>
      </c>
      <c r="F239" s="13" t="str">
        <f aca="false">IF($A239="","",SUMIFS(입출고내역!$G$3:$G$1002,입출고내역!$C$3:$C$1002,$A239,입출고내역!$B$3:$B$1002,"출고",입출고내역!$A$3:$A$1002,"&gt;="&amp;DATE($B$3,$D$3,1),입출고내역!$A$3:$A$1002,"&lt;="&amp;EOMONTH(DATE($B$3,$D$3,1),0)))</f>
        <v/>
      </c>
      <c r="G239" s="13" t="str">
        <f aca="false">IF($A239="","",IF(품목마스터!$F236="",0,품목마스터!$F236)+SUMIFS(입출고내역!$L$3:$L$1002,입출고내역!$C$3:$C$1002,$A239,입출고내역!$A$3:$A$1002,"&lt;="&amp;EOMONTH(DATE($B$3,$D$3,1),0)))</f>
        <v/>
      </c>
      <c r="H239" s="13" t="str">
        <f aca="false">IF($A239="","",IF(품목마스터!$G236="",0,품목마스터!$G236))</f>
        <v/>
      </c>
    </row>
    <row r="240" customFormat="false" ht="15" hidden="false" customHeight="true" outlineLevel="0" collapsed="false">
      <c r="A240" s="12" t="str">
        <f aca="false">IF(품목마스터!$A237="","",품목마스터!$A237)</f>
        <v/>
      </c>
      <c r="B240" s="12" t="str">
        <f aca="false">IF($A240="","",품목마스터!$B237)</f>
        <v/>
      </c>
      <c r="C240" s="12" t="str">
        <f aca="false">IF($A240="","",품목마스터!$D237)</f>
        <v/>
      </c>
      <c r="D240" s="13" t="str">
        <f aca="false">IF($A240="","",IF(품목마스터!$F237="",0,품목마스터!$F237)+SUMIFS(입출고내역!$L$3:$L$1002,입출고내역!$C$3:$C$1002,$A240,입출고내역!$A$3:$A$1002,"&lt;"&amp;DATE($B$3,$D$3,1)))</f>
        <v/>
      </c>
      <c r="E240" s="13" t="str">
        <f aca="false">IF($A240="","",SUMIFS(입출고내역!$G$3:$G$1002,입출고내역!$C$3:$C$1002,$A240,입출고내역!$B$3:$B$1002,"입고",입출고내역!$A$3:$A$1002,"&gt;="&amp;DATE($B$3,$D$3,1),입출고내역!$A$3:$A$1002,"&lt;="&amp;EOMONTH(DATE($B$3,$D$3,1),0)))</f>
        <v/>
      </c>
      <c r="F240" s="13" t="str">
        <f aca="false">IF($A240="","",SUMIFS(입출고내역!$G$3:$G$1002,입출고내역!$C$3:$C$1002,$A240,입출고내역!$B$3:$B$1002,"출고",입출고내역!$A$3:$A$1002,"&gt;="&amp;DATE($B$3,$D$3,1),입출고내역!$A$3:$A$1002,"&lt;="&amp;EOMONTH(DATE($B$3,$D$3,1),0)))</f>
        <v/>
      </c>
      <c r="G240" s="13" t="str">
        <f aca="false">IF($A240="","",IF(품목마스터!$F237="",0,품목마스터!$F237)+SUMIFS(입출고내역!$L$3:$L$1002,입출고내역!$C$3:$C$1002,$A240,입출고내역!$A$3:$A$1002,"&lt;="&amp;EOMONTH(DATE($B$3,$D$3,1),0)))</f>
        <v/>
      </c>
      <c r="H240" s="13" t="str">
        <f aca="false">IF($A240="","",IF(품목마스터!$G237="",0,품목마스터!$G237))</f>
        <v/>
      </c>
    </row>
    <row r="241" customFormat="false" ht="15" hidden="false" customHeight="true" outlineLevel="0" collapsed="false">
      <c r="A241" s="12" t="str">
        <f aca="false">IF(품목마스터!$A238="","",품목마스터!$A238)</f>
        <v/>
      </c>
      <c r="B241" s="12" t="str">
        <f aca="false">IF($A241="","",품목마스터!$B238)</f>
        <v/>
      </c>
      <c r="C241" s="12" t="str">
        <f aca="false">IF($A241="","",품목마스터!$D238)</f>
        <v/>
      </c>
      <c r="D241" s="13" t="str">
        <f aca="false">IF($A241="","",IF(품목마스터!$F238="",0,품목마스터!$F238)+SUMIFS(입출고내역!$L$3:$L$1002,입출고내역!$C$3:$C$1002,$A241,입출고내역!$A$3:$A$1002,"&lt;"&amp;DATE($B$3,$D$3,1)))</f>
        <v/>
      </c>
      <c r="E241" s="13" t="str">
        <f aca="false">IF($A241="","",SUMIFS(입출고내역!$G$3:$G$1002,입출고내역!$C$3:$C$1002,$A241,입출고내역!$B$3:$B$1002,"입고",입출고내역!$A$3:$A$1002,"&gt;="&amp;DATE($B$3,$D$3,1),입출고내역!$A$3:$A$1002,"&lt;="&amp;EOMONTH(DATE($B$3,$D$3,1),0)))</f>
        <v/>
      </c>
      <c r="F241" s="13" t="str">
        <f aca="false">IF($A241="","",SUMIFS(입출고내역!$G$3:$G$1002,입출고내역!$C$3:$C$1002,$A241,입출고내역!$B$3:$B$1002,"출고",입출고내역!$A$3:$A$1002,"&gt;="&amp;DATE($B$3,$D$3,1),입출고내역!$A$3:$A$1002,"&lt;="&amp;EOMONTH(DATE($B$3,$D$3,1),0)))</f>
        <v/>
      </c>
      <c r="G241" s="13" t="str">
        <f aca="false">IF($A241="","",IF(품목마스터!$F238="",0,품목마스터!$F238)+SUMIFS(입출고내역!$L$3:$L$1002,입출고내역!$C$3:$C$1002,$A241,입출고내역!$A$3:$A$1002,"&lt;="&amp;EOMONTH(DATE($B$3,$D$3,1),0)))</f>
        <v/>
      </c>
      <c r="H241" s="13" t="str">
        <f aca="false">IF($A241="","",IF(품목마스터!$G238="",0,품목마스터!$G238))</f>
        <v/>
      </c>
    </row>
    <row r="242" customFormat="false" ht="15" hidden="false" customHeight="true" outlineLevel="0" collapsed="false">
      <c r="A242" s="12" t="str">
        <f aca="false">IF(품목마스터!$A239="","",품목마스터!$A239)</f>
        <v/>
      </c>
      <c r="B242" s="12" t="str">
        <f aca="false">IF($A242="","",품목마스터!$B239)</f>
        <v/>
      </c>
      <c r="C242" s="12" t="str">
        <f aca="false">IF($A242="","",품목마스터!$D239)</f>
        <v/>
      </c>
      <c r="D242" s="13" t="str">
        <f aca="false">IF($A242="","",IF(품목마스터!$F239="",0,품목마스터!$F239)+SUMIFS(입출고내역!$L$3:$L$1002,입출고내역!$C$3:$C$1002,$A242,입출고내역!$A$3:$A$1002,"&lt;"&amp;DATE($B$3,$D$3,1)))</f>
        <v/>
      </c>
      <c r="E242" s="13" t="str">
        <f aca="false">IF($A242="","",SUMIFS(입출고내역!$G$3:$G$1002,입출고내역!$C$3:$C$1002,$A242,입출고내역!$B$3:$B$1002,"입고",입출고내역!$A$3:$A$1002,"&gt;="&amp;DATE($B$3,$D$3,1),입출고내역!$A$3:$A$1002,"&lt;="&amp;EOMONTH(DATE($B$3,$D$3,1),0)))</f>
        <v/>
      </c>
      <c r="F242" s="13" t="str">
        <f aca="false">IF($A242="","",SUMIFS(입출고내역!$G$3:$G$1002,입출고내역!$C$3:$C$1002,$A242,입출고내역!$B$3:$B$1002,"출고",입출고내역!$A$3:$A$1002,"&gt;="&amp;DATE($B$3,$D$3,1),입출고내역!$A$3:$A$1002,"&lt;="&amp;EOMONTH(DATE($B$3,$D$3,1),0)))</f>
        <v/>
      </c>
      <c r="G242" s="13" t="str">
        <f aca="false">IF($A242="","",IF(품목마스터!$F239="",0,품목마스터!$F239)+SUMIFS(입출고내역!$L$3:$L$1002,입출고내역!$C$3:$C$1002,$A242,입출고내역!$A$3:$A$1002,"&lt;="&amp;EOMONTH(DATE($B$3,$D$3,1),0)))</f>
        <v/>
      </c>
      <c r="H242" s="13" t="str">
        <f aca="false">IF($A242="","",IF(품목마스터!$G239="",0,품목마스터!$G239))</f>
        <v/>
      </c>
    </row>
    <row r="243" customFormat="false" ht="15" hidden="false" customHeight="true" outlineLevel="0" collapsed="false">
      <c r="A243" s="12" t="str">
        <f aca="false">IF(품목마스터!$A240="","",품목마스터!$A240)</f>
        <v/>
      </c>
      <c r="B243" s="12" t="str">
        <f aca="false">IF($A243="","",품목마스터!$B240)</f>
        <v/>
      </c>
      <c r="C243" s="12" t="str">
        <f aca="false">IF($A243="","",품목마스터!$D240)</f>
        <v/>
      </c>
      <c r="D243" s="13" t="str">
        <f aca="false">IF($A243="","",IF(품목마스터!$F240="",0,품목마스터!$F240)+SUMIFS(입출고내역!$L$3:$L$1002,입출고내역!$C$3:$C$1002,$A243,입출고내역!$A$3:$A$1002,"&lt;"&amp;DATE($B$3,$D$3,1)))</f>
        <v/>
      </c>
      <c r="E243" s="13" t="str">
        <f aca="false">IF($A243="","",SUMIFS(입출고내역!$G$3:$G$1002,입출고내역!$C$3:$C$1002,$A243,입출고내역!$B$3:$B$1002,"입고",입출고내역!$A$3:$A$1002,"&gt;="&amp;DATE($B$3,$D$3,1),입출고내역!$A$3:$A$1002,"&lt;="&amp;EOMONTH(DATE($B$3,$D$3,1),0)))</f>
        <v/>
      </c>
      <c r="F243" s="13" t="str">
        <f aca="false">IF($A243="","",SUMIFS(입출고내역!$G$3:$G$1002,입출고내역!$C$3:$C$1002,$A243,입출고내역!$B$3:$B$1002,"출고",입출고내역!$A$3:$A$1002,"&gt;="&amp;DATE($B$3,$D$3,1),입출고내역!$A$3:$A$1002,"&lt;="&amp;EOMONTH(DATE($B$3,$D$3,1),0)))</f>
        <v/>
      </c>
      <c r="G243" s="13" t="str">
        <f aca="false">IF($A243="","",IF(품목마스터!$F240="",0,품목마스터!$F240)+SUMIFS(입출고내역!$L$3:$L$1002,입출고내역!$C$3:$C$1002,$A243,입출고내역!$A$3:$A$1002,"&lt;="&amp;EOMONTH(DATE($B$3,$D$3,1),0)))</f>
        <v/>
      </c>
      <c r="H243" s="13" t="str">
        <f aca="false">IF($A243="","",IF(품목마스터!$G240="",0,품목마스터!$G240))</f>
        <v/>
      </c>
    </row>
    <row r="244" customFormat="false" ht="15" hidden="false" customHeight="true" outlineLevel="0" collapsed="false">
      <c r="A244" s="12" t="str">
        <f aca="false">IF(품목마스터!$A241="","",품목마스터!$A241)</f>
        <v/>
      </c>
      <c r="B244" s="12" t="str">
        <f aca="false">IF($A244="","",품목마스터!$B241)</f>
        <v/>
      </c>
      <c r="C244" s="12" t="str">
        <f aca="false">IF($A244="","",품목마스터!$D241)</f>
        <v/>
      </c>
      <c r="D244" s="13" t="str">
        <f aca="false">IF($A244="","",IF(품목마스터!$F241="",0,품목마스터!$F241)+SUMIFS(입출고내역!$L$3:$L$1002,입출고내역!$C$3:$C$1002,$A244,입출고내역!$A$3:$A$1002,"&lt;"&amp;DATE($B$3,$D$3,1)))</f>
        <v/>
      </c>
      <c r="E244" s="13" t="str">
        <f aca="false">IF($A244="","",SUMIFS(입출고내역!$G$3:$G$1002,입출고내역!$C$3:$C$1002,$A244,입출고내역!$B$3:$B$1002,"입고",입출고내역!$A$3:$A$1002,"&gt;="&amp;DATE($B$3,$D$3,1),입출고내역!$A$3:$A$1002,"&lt;="&amp;EOMONTH(DATE($B$3,$D$3,1),0)))</f>
        <v/>
      </c>
      <c r="F244" s="13" t="str">
        <f aca="false">IF($A244="","",SUMIFS(입출고내역!$G$3:$G$1002,입출고내역!$C$3:$C$1002,$A244,입출고내역!$B$3:$B$1002,"출고",입출고내역!$A$3:$A$1002,"&gt;="&amp;DATE($B$3,$D$3,1),입출고내역!$A$3:$A$1002,"&lt;="&amp;EOMONTH(DATE($B$3,$D$3,1),0)))</f>
        <v/>
      </c>
      <c r="G244" s="13" t="str">
        <f aca="false">IF($A244="","",IF(품목마스터!$F241="",0,품목마스터!$F241)+SUMIFS(입출고내역!$L$3:$L$1002,입출고내역!$C$3:$C$1002,$A244,입출고내역!$A$3:$A$1002,"&lt;="&amp;EOMONTH(DATE($B$3,$D$3,1),0)))</f>
        <v/>
      </c>
      <c r="H244" s="13" t="str">
        <f aca="false">IF($A244="","",IF(품목마스터!$G241="",0,품목마스터!$G241))</f>
        <v/>
      </c>
    </row>
    <row r="245" customFormat="false" ht="15" hidden="false" customHeight="true" outlineLevel="0" collapsed="false">
      <c r="A245" s="12" t="str">
        <f aca="false">IF(품목마스터!$A242="","",품목마스터!$A242)</f>
        <v/>
      </c>
      <c r="B245" s="12" t="str">
        <f aca="false">IF($A245="","",품목마스터!$B242)</f>
        <v/>
      </c>
      <c r="C245" s="12" t="str">
        <f aca="false">IF($A245="","",품목마스터!$D242)</f>
        <v/>
      </c>
      <c r="D245" s="13" t="str">
        <f aca="false">IF($A245="","",IF(품목마스터!$F242="",0,품목마스터!$F242)+SUMIFS(입출고내역!$L$3:$L$1002,입출고내역!$C$3:$C$1002,$A245,입출고내역!$A$3:$A$1002,"&lt;"&amp;DATE($B$3,$D$3,1)))</f>
        <v/>
      </c>
      <c r="E245" s="13" t="str">
        <f aca="false">IF($A245="","",SUMIFS(입출고내역!$G$3:$G$1002,입출고내역!$C$3:$C$1002,$A245,입출고내역!$B$3:$B$1002,"입고",입출고내역!$A$3:$A$1002,"&gt;="&amp;DATE($B$3,$D$3,1),입출고내역!$A$3:$A$1002,"&lt;="&amp;EOMONTH(DATE($B$3,$D$3,1),0)))</f>
        <v/>
      </c>
      <c r="F245" s="13" t="str">
        <f aca="false">IF($A245="","",SUMIFS(입출고내역!$G$3:$G$1002,입출고내역!$C$3:$C$1002,$A245,입출고내역!$B$3:$B$1002,"출고",입출고내역!$A$3:$A$1002,"&gt;="&amp;DATE($B$3,$D$3,1),입출고내역!$A$3:$A$1002,"&lt;="&amp;EOMONTH(DATE($B$3,$D$3,1),0)))</f>
        <v/>
      </c>
      <c r="G245" s="13" t="str">
        <f aca="false">IF($A245="","",IF(품목마스터!$F242="",0,품목마스터!$F242)+SUMIFS(입출고내역!$L$3:$L$1002,입출고내역!$C$3:$C$1002,$A245,입출고내역!$A$3:$A$1002,"&lt;="&amp;EOMONTH(DATE($B$3,$D$3,1),0)))</f>
        <v/>
      </c>
      <c r="H245" s="13" t="str">
        <f aca="false">IF($A245="","",IF(품목마스터!$G242="",0,품목마스터!$G242))</f>
        <v/>
      </c>
    </row>
    <row r="246" customFormat="false" ht="15" hidden="false" customHeight="true" outlineLevel="0" collapsed="false">
      <c r="A246" s="12" t="str">
        <f aca="false">IF(품목마스터!$A243="","",품목마스터!$A243)</f>
        <v/>
      </c>
      <c r="B246" s="12" t="str">
        <f aca="false">IF($A246="","",품목마스터!$B243)</f>
        <v/>
      </c>
      <c r="C246" s="12" t="str">
        <f aca="false">IF($A246="","",품목마스터!$D243)</f>
        <v/>
      </c>
      <c r="D246" s="13" t="str">
        <f aca="false">IF($A246="","",IF(품목마스터!$F243="",0,품목마스터!$F243)+SUMIFS(입출고내역!$L$3:$L$1002,입출고내역!$C$3:$C$1002,$A246,입출고내역!$A$3:$A$1002,"&lt;"&amp;DATE($B$3,$D$3,1)))</f>
        <v/>
      </c>
      <c r="E246" s="13" t="str">
        <f aca="false">IF($A246="","",SUMIFS(입출고내역!$G$3:$G$1002,입출고내역!$C$3:$C$1002,$A246,입출고내역!$B$3:$B$1002,"입고",입출고내역!$A$3:$A$1002,"&gt;="&amp;DATE($B$3,$D$3,1),입출고내역!$A$3:$A$1002,"&lt;="&amp;EOMONTH(DATE($B$3,$D$3,1),0)))</f>
        <v/>
      </c>
      <c r="F246" s="13" t="str">
        <f aca="false">IF($A246="","",SUMIFS(입출고내역!$G$3:$G$1002,입출고내역!$C$3:$C$1002,$A246,입출고내역!$B$3:$B$1002,"출고",입출고내역!$A$3:$A$1002,"&gt;="&amp;DATE($B$3,$D$3,1),입출고내역!$A$3:$A$1002,"&lt;="&amp;EOMONTH(DATE($B$3,$D$3,1),0)))</f>
        <v/>
      </c>
      <c r="G246" s="13" t="str">
        <f aca="false">IF($A246="","",IF(품목마스터!$F243="",0,품목마스터!$F243)+SUMIFS(입출고내역!$L$3:$L$1002,입출고내역!$C$3:$C$1002,$A246,입출고내역!$A$3:$A$1002,"&lt;="&amp;EOMONTH(DATE($B$3,$D$3,1),0)))</f>
        <v/>
      </c>
      <c r="H246" s="13" t="str">
        <f aca="false">IF($A246="","",IF(품목마스터!$G243="",0,품목마스터!$G243))</f>
        <v/>
      </c>
    </row>
    <row r="247" customFormat="false" ht="15" hidden="false" customHeight="true" outlineLevel="0" collapsed="false">
      <c r="A247" s="12" t="str">
        <f aca="false">IF(품목마스터!$A244="","",품목마스터!$A244)</f>
        <v/>
      </c>
      <c r="B247" s="12" t="str">
        <f aca="false">IF($A247="","",품목마스터!$B244)</f>
        <v/>
      </c>
      <c r="C247" s="12" t="str">
        <f aca="false">IF($A247="","",품목마스터!$D244)</f>
        <v/>
      </c>
      <c r="D247" s="13" t="str">
        <f aca="false">IF($A247="","",IF(품목마스터!$F244="",0,품목마스터!$F244)+SUMIFS(입출고내역!$L$3:$L$1002,입출고내역!$C$3:$C$1002,$A247,입출고내역!$A$3:$A$1002,"&lt;"&amp;DATE($B$3,$D$3,1)))</f>
        <v/>
      </c>
      <c r="E247" s="13" t="str">
        <f aca="false">IF($A247="","",SUMIFS(입출고내역!$G$3:$G$1002,입출고내역!$C$3:$C$1002,$A247,입출고내역!$B$3:$B$1002,"입고",입출고내역!$A$3:$A$1002,"&gt;="&amp;DATE($B$3,$D$3,1),입출고내역!$A$3:$A$1002,"&lt;="&amp;EOMONTH(DATE($B$3,$D$3,1),0)))</f>
        <v/>
      </c>
      <c r="F247" s="13" t="str">
        <f aca="false">IF($A247="","",SUMIFS(입출고내역!$G$3:$G$1002,입출고내역!$C$3:$C$1002,$A247,입출고내역!$B$3:$B$1002,"출고",입출고내역!$A$3:$A$1002,"&gt;="&amp;DATE($B$3,$D$3,1),입출고내역!$A$3:$A$1002,"&lt;="&amp;EOMONTH(DATE($B$3,$D$3,1),0)))</f>
        <v/>
      </c>
      <c r="G247" s="13" t="str">
        <f aca="false">IF($A247="","",IF(품목마스터!$F244="",0,품목마스터!$F244)+SUMIFS(입출고내역!$L$3:$L$1002,입출고내역!$C$3:$C$1002,$A247,입출고내역!$A$3:$A$1002,"&lt;="&amp;EOMONTH(DATE($B$3,$D$3,1),0)))</f>
        <v/>
      </c>
      <c r="H247" s="13" t="str">
        <f aca="false">IF($A247="","",IF(품목마스터!$G244="",0,품목마스터!$G244))</f>
        <v/>
      </c>
    </row>
    <row r="248" customFormat="false" ht="15" hidden="false" customHeight="true" outlineLevel="0" collapsed="false">
      <c r="A248" s="12" t="str">
        <f aca="false">IF(품목마스터!$A245="","",품목마스터!$A245)</f>
        <v/>
      </c>
      <c r="B248" s="12" t="str">
        <f aca="false">IF($A248="","",품목마스터!$B245)</f>
        <v/>
      </c>
      <c r="C248" s="12" t="str">
        <f aca="false">IF($A248="","",품목마스터!$D245)</f>
        <v/>
      </c>
      <c r="D248" s="13" t="str">
        <f aca="false">IF($A248="","",IF(품목마스터!$F245="",0,품목마스터!$F245)+SUMIFS(입출고내역!$L$3:$L$1002,입출고내역!$C$3:$C$1002,$A248,입출고내역!$A$3:$A$1002,"&lt;"&amp;DATE($B$3,$D$3,1)))</f>
        <v/>
      </c>
      <c r="E248" s="13" t="str">
        <f aca="false">IF($A248="","",SUMIFS(입출고내역!$G$3:$G$1002,입출고내역!$C$3:$C$1002,$A248,입출고내역!$B$3:$B$1002,"입고",입출고내역!$A$3:$A$1002,"&gt;="&amp;DATE($B$3,$D$3,1),입출고내역!$A$3:$A$1002,"&lt;="&amp;EOMONTH(DATE($B$3,$D$3,1),0)))</f>
        <v/>
      </c>
      <c r="F248" s="13" t="str">
        <f aca="false">IF($A248="","",SUMIFS(입출고내역!$G$3:$G$1002,입출고내역!$C$3:$C$1002,$A248,입출고내역!$B$3:$B$1002,"출고",입출고내역!$A$3:$A$1002,"&gt;="&amp;DATE($B$3,$D$3,1),입출고내역!$A$3:$A$1002,"&lt;="&amp;EOMONTH(DATE($B$3,$D$3,1),0)))</f>
        <v/>
      </c>
      <c r="G248" s="13" t="str">
        <f aca="false">IF($A248="","",IF(품목마스터!$F245="",0,품목마스터!$F245)+SUMIFS(입출고내역!$L$3:$L$1002,입출고내역!$C$3:$C$1002,$A248,입출고내역!$A$3:$A$1002,"&lt;="&amp;EOMONTH(DATE($B$3,$D$3,1),0)))</f>
        <v/>
      </c>
      <c r="H248" s="13" t="str">
        <f aca="false">IF($A248="","",IF(품목마스터!$G245="",0,품목마스터!$G245))</f>
        <v/>
      </c>
    </row>
    <row r="249" customFormat="false" ht="15" hidden="false" customHeight="true" outlineLevel="0" collapsed="false">
      <c r="A249" s="12" t="str">
        <f aca="false">IF(품목마스터!$A246="","",품목마스터!$A246)</f>
        <v/>
      </c>
      <c r="B249" s="12" t="str">
        <f aca="false">IF($A249="","",품목마스터!$B246)</f>
        <v/>
      </c>
      <c r="C249" s="12" t="str">
        <f aca="false">IF($A249="","",품목마스터!$D246)</f>
        <v/>
      </c>
      <c r="D249" s="13" t="str">
        <f aca="false">IF($A249="","",IF(품목마스터!$F246="",0,품목마스터!$F246)+SUMIFS(입출고내역!$L$3:$L$1002,입출고내역!$C$3:$C$1002,$A249,입출고내역!$A$3:$A$1002,"&lt;"&amp;DATE($B$3,$D$3,1)))</f>
        <v/>
      </c>
      <c r="E249" s="13" t="str">
        <f aca="false">IF($A249="","",SUMIFS(입출고내역!$G$3:$G$1002,입출고내역!$C$3:$C$1002,$A249,입출고내역!$B$3:$B$1002,"입고",입출고내역!$A$3:$A$1002,"&gt;="&amp;DATE($B$3,$D$3,1),입출고내역!$A$3:$A$1002,"&lt;="&amp;EOMONTH(DATE($B$3,$D$3,1),0)))</f>
        <v/>
      </c>
      <c r="F249" s="13" t="str">
        <f aca="false">IF($A249="","",SUMIFS(입출고내역!$G$3:$G$1002,입출고내역!$C$3:$C$1002,$A249,입출고내역!$B$3:$B$1002,"출고",입출고내역!$A$3:$A$1002,"&gt;="&amp;DATE($B$3,$D$3,1),입출고내역!$A$3:$A$1002,"&lt;="&amp;EOMONTH(DATE($B$3,$D$3,1),0)))</f>
        <v/>
      </c>
      <c r="G249" s="13" t="str">
        <f aca="false">IF($A249="","",IF(품목마스터!$F246="",0,품목마스터!$F246)+SUMIFS(입출고내역!$L$3:$L$1002,입출고내역!$C$3:$C$1002,$A249,입출고내역!$A$3:$A$1002,"&lt;="&amp;EOMONTH(DATE($B$3,$D$3,1),0)))</f>
        <v/>
      </c>
      <c r="H249" s="13" t="str">
        <f aca="false">IF($A249="","",IF(품목마스터!$G246="",0,품목마스터!$G246))</f>
        <v/>
      </c>
    </row>
    <row r="250" customFormat="false" ht="15" hidden="false" customHeight="true" outlineLevel="0" collapsed="false">
      <c r="A250" s="12" t="str">
        <f aca="false">IF(품목마스터!$A247="","",품목마스터!$A247)</f>
        <v/>
      </c>
      <c r="B250" s="12" t="str">
        <f aca="false">IF($A250="","",품목마스터!$B247)</f>
        <v/>
      </c>
      <c r="C250" s="12" t="str">
        <f aca="false">IF($A250="","",품목마스터!$D247)</f>
        <v/>
      </c>
      <c r="D250" s="13" t="str">
        <f aca="false">IF($A250="","",IF(품목마스터!$F247="",0,품목마스터!$F247)+SUMIFS(입출고내역!$L$3:$L$1002,입출고내역!$C$3:$C$1002,$A250,입출고내역!$A$3:$A$1002,"&lt;"&amp;DATE($B$3,$D$3,1)))</f>
        <v/>
      </c>
      <c r="E250" s="13" t="str">
        <f aca="false">IF($A250="","",SUMIFS(입출고내역!$G$3:$G$1002,입출고내역!$C$3:$C$1002,$A250,입출고내역!$B$3:$B$1002,"입고",입출고내역!$A$3:$A$1002,"&gt;="&amp;DATE($B$3,$D$3,1),입출고내역!$A$3:$A$1002,"&lt;="&amp;EOMONTH(DATE($B$3,$D$3,1),0)))</f>
        <v/>
      </c>
      <c r="F250" s="13" t="str">
        <f aca="false">IF($A250="","",SUMIFS(입출고내역!$G$3:$G$1002,입출고내역!$C$3:$C$1002,$A250,입출고내역!$B$3:$B$1002,"출고",입출고내역!$A$3:$A$1002,"&gt;="&amp;DATE($B$3,$D$3,1),입출고내역!$A$3:$A$1002,"&lt;="&amp;EOMONTH(DATE($B$3,$D$3,1),0)))</f>
        <v/>
      </c>
      <c r="G250" s="13" t="str">
        <f aca="false">IF($A250="","",IF(품목마스터!$F247="",0,품목마스터!$F247)+SUMIFS(입출고내역!$L$3:$L$1002,입출고내역!$C$3:$C$1002,$A250,입출고내역!$A$3:$A$1002,"&lt;="&amp;EOMONTH(DATE($B$3,$D$3,1),0)))</f>
        <v/>
      </c>
      <c r="H250" s="13" t="str">
        <f aca="false">IF($A250="","",IF(품목마스터!$G247="",0,품목마스터!$G247))</f>
        <v/>
      </c>
    </row>
    <row r="251" customFormat="false" ht="15" hidden="false" customHeight="true" outlineLevel="0" collapsed="false">
      <c r="A251" s="12" t="str">
        <f aca="false">IF(품목마스터!$A248="","",품목마스터!$A248)</f>
        <v/>
      </c>
      <c r="B251" s="12" t="str">
        <f aca="false">IF($A251="","",품목마스터!$B248)</f>
        <v/>
      </c>
      <c r="C251" s="12" t="str">
        <f aca="false">IF($A251="","",품목마스터!$D248)</f>
        <v/>
      </c>
      <c r="D251" s="13" t="str">
        <f aca="false">IF($A251="","",IF(품목마스터!$F248="",0,품목마스터!$F248)+SUMIFS(입출고내역!$L$3:$L$1002,입출고내역!$C$3:$C$1002,$A251,입출고내역!$A$3:$A$1002,"&lt;"&amp;DATE($B$3,$D$3,1)))</f>
        <v/>
      </c>
      <c r="E251" s="13" t="str">
        <f aca="false">IF($A251="","",SUMIFS(입출고내역!$G$3:$G$1002,입출고내역!$C$3:$C$1002,$A251,입출고내역!$B$3:$B$1002,"입고",입출고내역!$A$3:$A$1002,"&gt;="&amp;DATE($B$3,$D$3,1),입출고내역!$A$3:$A$1002,"&lt;="&amp;EOMONTH(DATE($B$3,$D$3,1),0)))</f>
        <v/>
      </c>
      <c r="F251" s="13" t="str">
        <f aca="false">IF($A251="","",SUMIFS(입출고내역!$G$3:$G$1002,입출고내역!$C$3:$C$1002,$A251,입출고내역!$B$3:$B$1002,"출고",입출고내역!$A$3:$A$1002,"&gt;="&amp;DATE($B$3,$D$3,1),입출고내역!$A$3:$A$1002,"&lt;="&amp;EOMONTH(DATE($B$3,$D$3,1),0)))</f>
        <v/>
      </c>
      <c r="G251" s="13" t="str">
        <f aca="false">IF($A251="","",IF(품목마스터!$F248="",0,품목마스터!$F248)+SUMIFS(입출고내역!$L$3:$L$1002,입출고내역!$C$3:$C$1002,$A251,입출고내역!$A$3:$A$1002,"&lt;="&amp;EOMONTH(DATE($B$3,$D$3,1),0)))</f>
        <v/>
      </c>
      <c r="H251" s="13" t="str">
        <f aca="false">IF($A251="","",IF(품목마스터!$G248="",0,품목마스터!$G248))</f>
        <v/>
      </c>
    </row>
    <row r="252" customFormat="false" ht="15" hidden="false" customHeight="true" outlineLevel="0" collapsed="false">
      <c r="A252" s="12" t="str">
        <f aca="false">IF(품목마스터!$A249="","",품목마스터!$A249)</f>
        <v/>
      </c>
      <c r="B252" s="12" t="str">
        <f aca="false">IF($A252="","",품목마스터!$B249)</f>
        <v/>
      </c>
      <c r="C252" s="12" t="str">
        <f aca="false">IF($A252="","",품목마스터!$D249)</f>
        <v/>
      </c>
      <c r="D252" s="13" t="str">
        <f aca="false">IF($A252="","",IF(품목마스터!$F249="",0,품목마스터!$F249)+SUMIFS(입출고내역!$L$3:$L$1002,입출고내역!$C$3:$C$1002,$A252,입출고내역!$A$3:$A$1002,"&lt;"&amp;DATE($B$3,$D$3,1)))</f>
        <v/>
      </c>
      <c r="E252" s="13" t="str">
        <f aca="false">IF($A252="","",SUMIFS(입출고내역!$G$3:$G$1002,입출고내역!$C$3:$C$1002,$A252,입출고내역!$B$3:$B$1002,"입고",입출고내역!$A$3:$A$1002,"&gt;="&amp;DATE($B$3,$D$3,1),입출고내역!$A$3:$A$1002,"&lt;="&amp;EOMONTH(DATE($B$3,$D$3,1),0)))</f>
        <v/>
      </c>
      <c r="F252" s="13" t="str">
        <f aca="false">IF($A252="","",SUMIFS(입출고내역!$G$3:$G$1002,입출고내역!$C$3:$C$1002,$A252,입출고내역!$B$3:$B$1002,"출고",입출고내역!$A$3:$A$1002,"&gt;="&amp;DATE($B$3,$D$3,1),입출고내역!$A$3:$A$1002,"&lt;="&amp;EOMONTH(DATE($B$3,$D$3,1),0)))</f>
        <v/>
      </c>
      <c r="G252" s="13" t="str">
        <f aca="false">IF($A252="","",IF(품목마스터!$F249="",0,품목마스터!$F249)+SUMIFS(입출고내역!$L$3:$L$1002,입출고내역!$C$3:$C$1002,$A252,입출고내역!$A$3:$A$1002,"&lt;="&amp;EOMONTH(DATE($B$3,$D$3,1),0)))</f>
        <v/>
      </c>
      <c r="H252" s="13" t="str">
        <f aca="false">IF($A252="","",IF(품목마스터!$G249="",0,품목마스터!$G249))</f>
        <v/>
      </c>
    </row>
    <row r="253" customFormat="false" ht="15" hidden="false" customHeight="true" outlineLevel="0" collapsed="false">
      <c r="A253" s="12" t="str">
        <f aca="false">IF(품목마스터!$A250="","",품목마스터!$A250)</f>
        <v/>
      </c>
      <c r="B253" s="12" t="str">
        <f aca="false">IF($A253="","",품목마스터!$B250)</f>
        <v/>
      </c>
      <c r="C253" s="12" t="str">
        <f aca="false">IF($A253="","",품목마스터!$D250)</f>
        <v/>
      </c>
      <c r="D253" s="13" t="str">
        <f aca="false">IF($A253="","",IF(품목마스터!$F250="",0,품목마스터!$F250)+SUMIFS(입출고내역!$L$3:$L$1002,입출고내역!$C$3:$C$1002,$A253,입출고내역!$A$3:$A$1002,"&lt;"&amp;DATE($B$3,$D$3,1)))</f>
        <v/>
      </c>
      <c r="E253" s="13" t="str">
        <f aca="false">IF($A253="","",SUMIFS(입출고내역!$G$3:$G$1002,입출고내역!$C$3:$C$1002,$A253,입출고내역!$B$3:$B$1002,"입고",입출고내역!$A$3:$A$1002,"&gt;="&amp;DATE($B$3,$D$3,1),입출고내역!$A$3:$A$1002,"&lt;="&amp;EOMONTH(DATE($B$3,$D$3,1),0)))</f>
        <v/>
      </c>
      <c r="F253" s="13" t="str">
        <f aca="false">IF($A253="","",SUMIFS(입출고내역!$G$3:$G$1002,입출고내역!$C$3:$C$1002,$A253,입출고내역!$B$3:$B$1002,"출고",입출고내역!$A$3:$A$1002,"&gt;="&amp;DATE($B$3,$D$3,1),입출고내역!$A$3:$A$1002,"&lt;="&amp;EOMONTH(DATE($B$3,$D$3,1),0)))</f>
        <v/>
      </c>
      <c r="G253" s="13" t="str">
        <f aca="false">IF($A253="","",IF(품목마스터!$F250="",0,품목마스터!$F250)+SUMIFS(입출고내역!$L$3:$L$1002,입출고내역!$C$3:$C$1002,$A253,입출고내역!$A$3:$A$1002,"&lt;="&amp;EOMONTH(DATE($B$3,$D$3,1),0)))</f>
        <v/>
      </c>
      <c r="H253" s="13" t="str">
        <f aca="false">IF($A253="","",IF(품목마스터!$G250="",0,품목마스터!$G250))</f>
        <v/>
      </c>
    </row>
    <row r="254" customFormat="false" ht="15" hidden="false" customHeight="true" outlineLevel="0" collapsed="false">
      <c r="A254" s="12" t="str">
        <f aca="false">IF(품목마스터!$A251="","",품목마스터!$A251)</f>
        <v/>
      </c>
      <c r="B254" s="12" t="str">
        <f aca="false">IF($A254="","",품목마스터!$B251)</f>
        <v/>
      </c>
      <c r="C254" s="12" t="str">
        <f aca="false">IF($A254="","",품목마스터!$D251)</f>
        <v/>
      </c>
      <c r="D254" s="13" t="str">
        <f aca="false">IF($A254="","",IF(품목마스터!$F251="",0,품목마스터!$F251)+SUMIFS(입출고내역!$L$3:$L$1002,입출고내역!$C$3:$C$1002,$A254,입출고내역!$A$3:$A$1002,"&lt;"&amp;DATE($B$3,$D$3,1)))</f>
        <v/>
      </c>
      <c r="E254" s="13" t="str">
        <f aca="false">IF($A254="","",SUMIFS(입출고내역!$G$3:$G$1002,입출고내역!$C$3:$C$1002,$A254,입출고내역!$B$3:$B$1002,"입고",입출고내역!$A$3:$A$1002,"&gt;="&amp;DATE($B$3,$D$3,1),입출고내역!$A$3:$A$1002,"&lt;="&amp;EOMONTH(DATE($B$3,$D$3,1),0)))</f>
        <v/>
      </c>
      <c r="F254" s="13" t="str">
        <f aca="false">IF($A254="","",SUMIFS(입출고내역!$G$3:$G$1002,입출고내역!$C$3:$C$1002,$A254,입출고내역!$B$3:$B$1002,"출고",입출고내역!$A$3:$A$1002,"&gt;="&amp;DATE($B$3,$D$3,1),입출고내역!$A$3:$A$1002,"&lt;="&amp;EOMONTH(DATE($B$3,$D$3,1),0)))</f>
        <v/>
      </c>
      <c r="G254" s="13" t="str">
        <f aca="false">IF($A254="","",IF(품목마스터!$F251="",0,품목마스터!$F251)+SUMIFS(입출고내역!$L$3:$L$1002,입출고내역!$C$3:$C$1002,$A254,입출고내역!$A$3:$A$1002,"&lt;="&amp;EOMONTH(DATE($B$3,$D$3,1),0)))</f>
        <v/>
      </c>
      <c r="H254" s="13" t="str">
        <f aca="false">IF($A254="","",IF(품목마스터!$G251="",0,품목마스터!$G251))</f>
        <v/>
      </c>
    </row>
    <row r="255" customFormat="false" ht="15" hidden="false" customHeight="true" outlineLevel="0" collapsed="false">
      <c r="A255" s="12" t="str">
        <f aca="false">IF(품목마스터!$A252="","",품목마스터!$A252)</f>
        <v/>
      </c>
      <c r="B255" s="12" t="str">
        <f aca="false">IF($A255="","",품목마스터!$B252)</f>
        <v/>
      </c>
      <c r="C255" s="12" t="str">
        <f aca="false">IF($A255="","",품목마스터!$D252)</f>
        <v/>
      </c>
      <c r="D255" s="13" t="str">
        <f aca="false">IF($A255="","",IF(품목마스터!$F252="",0,품목마스터!$F252)+SUMIFS(입출고내역!$L$3:$L$1002,입출고내역!$C$3:$C$1002,$A255,입출고내역!$A$3:$A$1002,"&lt;"&amp;DATE($B$3,$D$3,1)))</f>
        <v/>
      </c>
      <c r="E255" s="13" t="str">
        <f aca="false">IF($A255="","",SUMIFS(입출고내역!$G$3:$G$1002,입출고내역!$C$3:$C$1002,$A255,입출고내역!$B$3:$B$1002,"입고",입출고내역!$A$3:$A$1002,"&gt;="&amp;DATE($B$3,$D$3,1),입출고내역!$A$3:$A$1002,"&lt;="&amp;EOMONTH(DATE($B$3,$D$3,1),0)))</f>
        <v/>
      </c>
      <c r="F255" s="13" t="str">
        <f aca="false">IF($A255="","",SUMIFS(입출고내역!$G$3:$G$1002,입출고내역!$C$3:$C$1002,$A255,입출고내역!$B$3:$B$1002,"출고",입출고내역!$A$3:$A$1002,"&gt;="&amp;DATE($B$3,$D$3,1),입출고내역!$A$3:$A$1002,"&lt;="&amp;EOMONTH(DATE($B$3,$D$3,1),0)))</f>
        <v/>
      </c>
      <c r="G255" s="13" t="str">
        <f aca="false">IF($A255="","",IF(품목마스터!$F252="",0,품목마스터!$F252)+SUMIFS(입출고내역!$L$3:$L$1002,입출고내역!$C$3:$C$1002,$A255,입출고내역!$A$3:$A$1002,"&lt;="&amp;EOMONTH(DATE($B$3,$D$3,1),0)))</f>
        <v/>
      </c>
      <c r="H255" s="13" t="str">
        <f aca="false">IF($A255="","",IF(품목마스터!$G252="",0,품목마스터!$G252))</f>
        <v/>
      </c>
    </row>
    <row r="256" customFormat="false" ht="15" hidden="false" customHeight="true" outlineLevel="0" collapsed="false">
      <c r="A256" s="12" t="str">
        <f aca="false">IF(품목마스터!$A253="","",품목마스터!$A253)</f>
        <v/>
      </c>
      <c r="B256" s="12" t="str">
        <f aca="false">IF($A256="","",품목마스터!$B253)</f>
        <v/>
      </c>
      <c r="C256" s="12" t="str">
        <f aca="false">IF($A256="","",품목마스터!$D253)</f>
        <v/>
      </c>
      <c r="D256" s="13" t="str">
        <f aca="false">IF($A256="","",IF(품목마스터!$F253="",0,품목마스터!$F253)+SUMIFS(입출고내역!$L$3:$L$1002,입출고내역!$C$3:$C$1002,$A256,입출고내역!$A$3:$A$1002,"&lt;"&amp;DATE($B$3,$D$3,1)))</f>
        <v/>
      </c>
      <c r="E256" s="13" t="str">
        <f aca="false">IF($A256="","",SUMIFS(입출고내역!$G$3:$G$1002,입출고내역!$C$3:$C$1002,$A256,입출고내역!$B$3:$B$1002,"입고",입출고내역!$A$3:$A$1002,"&gt;="&amp;DATE($B$3,$D$3,1),입출고내역!$A$3:$A$1002,"&lt;="&amp;EOMONTH(DATE($B$3,$D$3,1),0)))</f>
        <v/>
      </c>
      <c r="F256" s="13" t="str">
        <f aca="false">IF($A256="","",SUMIFS(입출고내역!$G$3:$G$1002,입출고내역!$C$3:$C$1002,$A256,입출고내역!$B$3:$B$1002,"출고",입출고내역!$A$3:$A$1002,"&gt;="&amp;DATE($B$3,$D$3,1),입출고내역!$A$3:$A$1002,"&lt;="&amp;EOMONTH(DATE($B$3,$D$3,1),0)))</f>
        <v/>
      </c>
      <c r="G256" s="13" t="str">
        <f aca="false">IF($A256="","",IF(품목마스터!$F253="",0,품목마스터!$F253)+SUMIFS(입출고내역!$L$3:$L$1002,입출고내역!$C$3:$C$1002,$A256,입출고내역!$A$3:$A$1002,"&lt;="&amp;EOMONTH(DATE($B$3,$D$3,1),0)))</f>
        <v/>
      </c>
      <c r="H256" s="13" t="str">
        <f aca="false">IF($A256="","",IF(품목마스터!$G253="",0,품목마스터!$G253))</f>
        <v/>
      </c>
    </row>
    <row r="257" customFormat="false" ht="15" hidden="false" customHeight="true" outlineLevel="0" collapsed="false">
      <c r="A257" s="12" t="str">
        <f aca="false">IF(품목마스터!$A254="","",품목마스터!$A254)</f>
        <v/>
      </c>
      <c r="B257" s="12" t="str">
        <f aca="false">IF($A257="","",품목마스터!$B254)</f>
        <v/>
      </c>
      <c r="C257" s="12" t="str">
        <f aca="false">IF($A257="","",품목마스터!$D254)</f>
        <v/>
      </c>
      <c r="D257" s="13" t="str">
        <f aca="false">IF($A257="","",IF(품목마스터!$F254="",0,품목마스터!$F254)+SUMIFS(입출고내역!$L$3:$L$1002,입출고내역!$C$3:$C$1002,$A257,입출고내역!$A$3:$A$1002,"&lt;"&amp;DATE($B$3,$D$3,1)))</f>
        <v/>
      </c>
      <c r="E257" s="13" t="str">
        <f aca="false">IF($A257="","",SUMIFS(입출고내역!$G$3:$G$1002,입출고내역!$C$3:$C$1002,$A257,입출고내역!$B$3:$B$1002,"입고",입출고내역!$A$3:$A$1002,"&gt;="&amp;DATE($B$3,$D$3,1),입출고내역!$A$3:$A$1002,"&lt;="&amp;EOMONTH(DATE($B$3,$D$3,1),0)))</f>
        <v/>
      </c>
      <c r="F257" s="13" t="str">
        <f aca="false">IF($A257="","",SUMIFS(입출고내역!$G$3:$G$1002,입출고내역!$C$3:$C$1002,$A257,입출고내역!$B$3:$B$1002,"출고",입출고내역!$A$3:$A$1002,"&gt;="&amp;DATE($B$3,$D$3,1),입출고내역!$A$3:$A$1002,"&lt;="&amp;EOMONTH(DATE($B$3,$D$3,1),0)))</f>
        <v/>
      </c>
      <c r="G257" s="13" t="str">
        <f aca="false">IF($A257="","",IF(품목마스터!$F254="",0,품목마스터!$F254)+SUMIFS(입출고내역!$L$3:$L$1002,입출고내역!$C$3:$C$1002,$A257,입출고내역!$A$3:$A$1002,"&lt;="&amp;EOMONTH(DATE($B$3,$D$3,1),0)))</f>
        <v/>
      </c>
      <c r="H257" s="13" t="str">
        <f aca="false">IF($A257="","",IF(품목마스터!$G254="",0,품목마스터!$G254))</f>
        <v/>
      </c>
    </row>
    <row r="258" customFormat="false" ht="15" hidden="false" customHeight="true" outlineLevel="0" collapsed="false">
      <c r="A258" s="12" t="str">
        <f aca="false">IF(품목마스터!$A255="","",품목마스터!$A255)</f>
        <v/>
      </c>
      <c r="B258" s="12" t="str">
        <f aca="false">IF($A258="","",품목마스터!$B255)</f>
        <v/>
      </c>
      <c r="C258" s="12" t="str">
        <f aca="false">IF($A258="","",품목마스터!$D255)</f>
        <v/>
      </c>
      <c r="D258" s="13" t="str">
        <f aca="false">IF($A258="","",IF(품목마스터!$F255="",0,품목마스터!$F255)+SUMIFS(입출고내역!$L$3:$L$1002,입출고내역!$C$3:$C$1002,$A258,입출고내역!$A$3:$A$1002,"&lt;"&amp;DATE($B$3,$D$3,1)))</f>
        <v/>
      </c>
      <c r="E258" s="13" t="str">
        <f aca="false">IF($A258="","",SUMIFS(입출고내역!$G$3:$G$1002,입출고내역!$C$3:$C$1002,$A258,입출고내역!$B$3:$B$1002,"입고",입출고내역!$A$3:$A$1002,"&gt;="&amp;DATE($B$3,$D$3,1),입출고내역!$A$3:$A$1002,"&lt;="&amp;EOMONTH(DATE($B$3,$D$3,1),0)))</f>
        <v/>
      </c>
      <c r="F258" s="13" t="str">
        <f aca="false">IF($A258="","",SUMIFS(입출고내역!$G$3:$G$1002,입출고내역!$C$3:$C$1002,$A258,입출고내역!$B$3:$B$1002,"출고",입출고내역!$A$3:$A$1002,"&gt;="&amp;DATE($B$3,$D$3,1),입출고내역!$A$3:$A$1002,"&lt;="&amp;EOMONTH(DATE($B$3,$D$3,1),0)))</f>
        <v/>
      </c>
      <c r="G258" s="13" t="str">
        <f aca="false">IF($A258="","",IF(품목마스터!$F255="",0,품목마스터!$F255)+SUMIFS(입출고내역!$L$3:$L$1002,입출고내역!$C$3:$C$1002,$A258,입출고내역!$A$3:$A$1002,"&lt;="&amp;EOMONTH(DATE($B$3,$D$3,1),0)))</f>
        <v/>
      </c>
      <c r="H258" s="13" t="str">
        <f aca="false">IF($A258="","",IF(품목마스터!$G255="",0,품목마스터!$G255))</f>
        <v/>
      </c>
    </row>
    <row r="259" customFormat="false" ht="15" hidden="false" customHeight="true" outlineLevel="0" collapsed="false">
      <c r="A259" s="12" t="str">
        <f aca="false">IF(품목마스터!$A256="","",품목마스터!$A256)</f>
        <v/>
      </c>
      <c r="B259" s="12" t="str">
        <f aca="false">IF($A259="","",품목마스터!$B256)</f>
        <v/>
      </c>
      <c r="C259" s="12" t="str">
        <f aca="false">IF($A259="","",품목마스터!$D256)</f>
        <v/>
      </c>
      <c r="D259" s="13" t="str">
        <f aca="false">IF($A259="","",IF(품목마스터!$F256="",0,품목마스터!$F256)+SUMIFS(입출고내역!$L$3:$L$1002,입출고내역!$C$3:$C$1002,$A259,입출고내역!$A$3:$A$1002,"&lt;"&amp;DATE($B$3,$D$3,1)))</f>
        <v/>
      </c>
      <c r="E259" s="13" t="str">
        <f aca="false">IF($A259="","",SUMIFS(입출고내역!$G$3:$G$1002,입출고내역!$C$3:$C$1002,$A259,입출고내역!$B$3:$B$1002,"입고",입출고내역!$A$3:$A$1002,"&gt;="&amp;DATE($B$3,$D$3,1),입출고내역!$A$3:$A$1002,"&lt;="&amp;EOMONTH(DATE($B$3,$D$3,1),0)))</f>
        <v/>
      </c>
      <c r="F259" s="13" t="str">
        <f aca="false">IF($A259="","",SUMIFS(입출고내역!$G$3:$G$1002,입출고내역!$C$3:$C$1002,$A259,입출고내역!$B$3:$B$1002,"출고",입출고내역!$A$3:$A$1002,"&gt;="&amp;DATE($B$3,$D$3,1),입출고내역!$A$3:$A$1002,"&lt;="&amp;EOMONTH(DATE($B$3,$D$3,1),0)))</f>
        <v/>
      </c>
      <c r="G259" s="13" t="str">
        <f aca="false">IF($A259="","",IF(품목마스터!$F256="",0,품목마스터!$F256)+SUMIFS(입출고내역!$L$3:$L$1002,입출고내역!$C$3:$C$1002,$A259,입출고내역!$A$3:$A$1002,"&lt;="&amp;EOMONTH(DATE($B$3,$D$3,1),0)))</f>
        <v/>
      </c>
      <c r="H259" s="13" t="str">
        <f aca="false">IF($A259="","",IF(품목마스터!$G256="",0,품목마스터!$G256))</f>
        <v/>
      </c>
    </row>
    <row r="260" customFormat="false" ht="15" hidden="false" customHeight="true" outlineLevel="0" collapsed="false">
      <c r="A260" s="12" t="str">
        <f aca="false">IF(품목마스터!$A257="","",품목마스터!$A257)</f>
        <v/>
      </c>
      <c r="B260" s="12" t="str">
        <f aca="false">IF($A260="","",품목마스터!$B257)</f>
        <v/>
      </c>
      <c r="C260" s="12" t="str">
        <f aca="false">IF($A260="","",품목마스터!$D257)</f>
        <v/>
      </c>
      <c r="D260" s="13" t="str">
        <f aca="false">IF($A260="","",IF(품목마스터!$F257="",0,품목마스터!$F257)+SUMIFS(입출고내역!$L$3:$L$1002,입출고내역!$C$3:$C$1002,$A260,입출고내역!$A$3:$A$1002,"&lt;"&amp;DATE($B$3,$D$3,1)))</f>
        <v/>
      </c>
      <c r="E260" s="13" t="str">
        <f aca="false">IF($A260="","",SUMIFS(입출고내역!$G$3:$G$1002,입출고내역!$C$3:$C$1002,$A260,입출고내역!$B$3:$B$1002,"입고",입출고내역!$A$3:$A$1002,"&gt;="&amp;DATE($B$3,$D$3,1),입출고내역!$A$3:$A$1002,"&lt;="&amp;EOMONTH(DATE($B$3,$D$3,1),0)))</f>
        <v/>
      </c>
      <c r="F260" s="13" t="str">
        <f aca="false">IF($A260="","",SUMIFS(입출고내역!$G$3:$G$1002,입출고내역!$C$3:$C$1002,$A260,입출고내역!$B$3:$B$1002,"출고",입출고내역!$A$3:$A$1002,"&gt;="&amp;DATE($B$3,$D$3,1),입출고내역!$A$3:$A$1002,"&lt;="&amp;EOMONTH(DATE($B$3,$D$3,1),0)))</f>
        <v/>
      </c>
      <c r="G260" s="13" t="str">
        <f aca="false">IF($A260="","",IF(품목마스터!$F257="",0,품목마스터!$F257)+SUMIFS(입출고내역!$L$3:$L$1002,입출고내역!$C$3:$C$1002,$A260,입출고내역!$A$3:$A$1002,"&lt;="&amp;EOMONTH(DATE($B$3,$D$3,1),0)))</f>
        <v/>
      </c>
      <c r="H260" s="13" t="str">
        <f aca="false">IF($A260="","",IF(품목마스터!$G257="",0,품목마스터!$G257))</f>
        <v/>
      </c>
    </row>
    <row r="261" customFormat="false" ht="15" hidden="false" customHeight="true" outlineLevel="0" collapsed="false">
      <c r="A261" s="12" t="str">
        <f aca="false">IF(품목마스터!$A258="","",품목마스터!$A258)</f>
        <v/>
      </c>
      <c r="B261" s="12" t="str">
        <f aca="false">IF($A261="","",품목마스터!$B258)</f>
        <v/>
      </c>
      <c r="C261" s="12" t="str">
        <f aca="false">IF($A261="","",품목마스터!$D258)</f>
        <v/>
      </c>
      <c r="D261" s="13" t="str">
        <f aca="false">IF($A261="","",IF(품목마스터!$F258="",0,품목마스터!$F258)+SUMIFS(입출고내역!$L$3:$L$1002,입출고내역!$C$3:$C$1002,$A261,입출고내역!$A$3:$A$1002,"&lt;"&amp;DATE($B$3,$D$3,1)))</f>
        <v/>
      </c>
      <c r="E261" s="13" t="str">
        <f aca="false">IF($A261="","",SUMIFS(입출고내역!$G$3:$G$1002,입출고내역!$C$3:$C$1002,$A261,입출고내역!$B$3:$B$1002,"입고",입출고내역!$A$3:$A$1002,"&gt;="&amp;DATE($B$3,$D$3,1),입출고내역!$A$3:$A$1002,"&lt;="&amp;EOMONTH(DATE($B$3,$D$3,1),0)))</f>
        <v/>
      </c>
      <c r="F261" s="13" t="str">
        <f aca="false">IF($A261="","",SUMIFS(입출고내역!$G$3:$G$1002,입출고내역!$C$3:$C$1002,$A261,입출고내역!$B$3:$B$1002,"출고",입출고내역!$A$3:$A$1002,"&gt;="&amp;DATE($B$3,$D$3,1),입출고내역!$A$3:$A$1002,"&lt;="&amp;EOMONTH(DATE($B$3,$D$3,1),0)))</f>
        <v/>
      </c>
      <c r="G261" s="13" t="str">
        <f aca="false">IF($A261="","",IF(품목마스터!$F258="",0,품목마스터!$F258)+SUMIFS(입출고내역!$L$3:$L$1002,입출고내역!$C$3:$C$1002,$A261,입출고내역!$A$3:$A$1002,"&lt;="&amp;EOMONTH(DATE($B$3,$D$3,1),0)))</f>
        <v/>
      </c>
      <c r="H261" s="13" t="str">
        <f aca="false">IF($A261="","",IF(품목마스터!$G258="",0,품목마스터!$G258))</f>
        <v/>
      </c>
    </row>
    <row r="262" customFormat="false" ht="15" hidden="false" customHeight="true" outlineLevel="0" collapsed="false">
      <c r="A262" s="12" t="str">
        <f aca="false">IF(품목마스터!$A259="","",품목마스터!$A259)</f>
        <v/>
      </c>
      <c r="B262" s="12" t="str">
        <f aca="false">IF($A262="","",품목마스터!$B259)</f>
        <v/>
      </c>
      <c r="C262" s="12" t="str">
        <f aca="false">IF($A262="","",품목마스터!$D259)</f>
        <v/>
      </c>
      <c r="D262" s="13" t="str">
        <f aca="false">IF($A262="","",IF(품목마스터!$F259="",0,품목마스터!$F259)+SUMIFS(입출고내역!$L$3:$L$1002,입출고내역!$C$3:$C$1002,$A262,입출고내역!$A$3:$A$1002,"&lt;"&amp;DATE($B$3,$D$3,1)))</f>
        <v/>
      </c>
      <c r="E262" s="13" t="str">
        <f aca="false">IF($A262="","",SUMIFS(입출고내역!$G$3:$G$1002,입출고내역!$C$3:$C$1002,$A262,입출고내역!$B$3:$B$1002,"입고",입출고내역!$A$3:$A$1002,"&gt;="&amp;DATE($B$3,$D$3,1),입출고내역!$A$3:$A$1002,"&lt;="&amp;EOMONTH(DATE($B$3,$D$3,1),0)))</f>
        <v/>
      </c>
      <c r="F262" s="13" t="str">
        <f aca="false">IF($A262="","",SUMIFS(입출고내역!$G$3:$G$1002,입출고내역!$C$3:$C$1002,$A262,입출고내역!$B$3:$B$1002,"출고",입출고내역!$A$3:$A$1002,"&gt;="&amp;DATE($B$3,$D$3,1),입출고내역!$A$3:$A$1002,"&lt;="&amp;EOMONTH(DATE($B$3,$D$3,1),0)))</f>
        <v/>
      </c>
      <c r="G262" s="13" t="str">
        <f aca="false">IF($A262="","",IF(품목마스터!$F259="",0,품목마스터!$F259)+SUMIFS(입출고내역!$L$3:$L$1002,입출고내역!$C$3:$C$1002,$A262,입출고내역!$A$3:$A$1002,"&lt;="&amp;EOMONTH(DATE($B$3,$D$3,1),0)))</f>
        <v/>
      </c>
      <c r="H262" s="13" t="str">
        <f aca="false">IF($A262="","",IF(품목마스터!$G259="",0,품목마스터!$G259))</f>
        <v/>
      </c>
    </row>
    <row r="263" customFormat="false" ht="15" hidden="false" customHeight="true" outlineLevel="0" collapsed="false">
      <c r="A263" s="12" t="str">
        <f aca="false">IF(품목마스터!$A260="","",품목마스터!$A260)</f>
        <v/>
      </c>
      <c r="B263" s="12" t="str">
        <f aca="false">IF($A263="","",품목마스터!$B260)</f>
        <v/>
      </c>
      <c r="C263" s="12" t="str">
        <f aca="false">IF($A263="","",품목마스터!$D260)</f>
        <v/>
      </c>
      <c r="D263" s="13" t="str">
        <f aca="false">IF($A263="","",IF(품목마스터!$F260="",0,품목마스터!$F260)+SUMIFS(입출고내역!$L$3:$L$1002,입출고내역!$C$3:$C$1002,$A263,입출고내역!$A$3:$A$1002,"&lt;"&amp;DATE($B$3,$D$3,1)))</f>
        <v/>
      </c>
      <c r="E263" s="13" t="str">
        <f aca="false">IF($A263="","",SUMIFS(입출고내역!$G$3:$G$1002,입출고내역!$C$3:$C$1002,$A263,입출고내역!$B$3:$B$1002,"입고",입출고내역!$A$3:$A$1002,"&gt;="&amp;DATE($B$3,$D$3,1),입출고내역!$A$3:$A$1002,"&lt;="&amp;EOMONTH(DATE($B$3,$D$3,1),0)))</f>
        <v/>
      </c>
      <c r="F263" s="13" t="str">
        <f aca="false">IF($A263="","",SUMIFS(입출고내역!$G$3:$G$1002,입출고내역!$C$3:$C$1002,$A263,입출고내역!$B$3:$B$1002,"출고",입출고내역!$A$3:$A$1002,"&gt;="&amp;DATE($B$3,$D$3,1),입출고내역!$A$3:$A$1002,"&lt;="&amp;EOMONTH(DATE($B$3,$D$3,1),0)))</f>
        <v/>
      </c>
      <c r="G263" s="13" t="str">
        <f aca="false">IF($A263="","",IF(품목마스터!$F260="",0,품목마스터!$F260)+SUMIFS(입출고내역!$L$3:$L$1002,입출고내역!$C$3:$C$1002,$A263,입출고내역!$A$3:$A$1002,"&lt;="&amp;EOMONTH(DATE($B$3,$D$3,1),0)))</f>
        <v/>
      </c>
      <c r="H263" s="13" t="str">
        <f aca="false">IF($A263="","",IF(품목마스터!$G260="",0,품목마스터!$G260))</f>
        <v/>
      </c>
    </row>
    <row r="264" customFormat="false" ht="15" hidden="false" customHeight="true" outlineLevel="0" collapsed="false">
      <c r="A264" s="12" t="str">
        <f aca="false">IF(품목마스터!$A261="","",품목마스터!$A261)</f>
        <v/>
      </c>
      <c r="B264" s="12" t="str">
        <f aca="false">IF($A264="","",품목마스터!$B261)</f>
        <v/>
      </c>
      <c r="C264" s="12" t="str">
        <f aca="false">IF($A264="","",품목마스터!$D261)</f>
        <v/>
      </c>
      <c r="D264" s="13" t="str">
        <f aca="false">IF($A264="","",IF(품목마스터!$F261="",0,품목마스터!$F261)+SUMIFS(입출고내역!$L$3:$L$1002,입출고내역!$C$3:$C$1002,$A264,입출고내역!$A$3:$A$1002,"&lt;"&amp;DATE($B$3,$D$3,1)))</f>
        <v/>
      </c>
      <c r="E264" s="13" t="str">
        <f aca="false">IF($A264="","",SUMIFS(입출고내역!$G$3:$G$1002,입출고내역!$C$3:$C$1002,$A264,입출고내역!$B$3:$B$1002,"입고",입출고내역!$A$3:$A$1002,"&gt;="&amp;DATE($B$3,$D$3,1),입출고내역!$A$3:$A$1002,"&lt;="&amp;EOMONTH(DATE($B$3,$D$3,1),0)))</f>
        <v/>
      </c>
      <c r="F264" s="13" t="str">
        <f aca="false">IF($A264="","",SUMIFS(입출고내역!$G$3:$G$1002,입출고내역!$C$3:$C$1002,$A264,입출고내역!$B$3:$B$1002,"출고",입출고내역!$A$3:$A$1002,"&gt;="&amp;DATE($B$3,$D$3,1),입출고내역!$A$3:$A$1002,"&lt;="&amp;EOMONTH(DATE($B$3,$D$3,1),0)))</f>
        <v/>
      </c>
      <c r="G264" s="13" t="str">
        <f aca="false">IF($A264="","",IF(품목마스터!$F261="",0,품목마스터!$F261)+SUMIFS(입출고내역!$L$3:$L$1002,입출고내역!$C$3:$C$1002,$A264,입출고내역!$A$3:$A$1002,"&lt;="&amp;EOMONTH(DATE($B$3,$D$3,1),0)))</f>
        <v/>
      </c>
      <c r="H264" s="13" t="str">
        <f aca="false">IF($A264="","",IF(품목마스터!$G261="",0,품목마스터!$G261))</f>
        <v/>
      </c>
    </row>
    <row r="265" customFormat="false" ht="15" hidden="false" customHeight="true" outlineLevel="0" collapsed="false">
      <c r="A265" s="12" t="str">
        <f aca="false">IF(품목마스터!$A262="","",품목마스터!$A262)</f>
        <v/>
      </c>
      <c r="B265" s="12" t="str">
        <f aca="false">IF($A265="","",품목마스터!$B262)</f>
        <v/>
      </c>
      <c r="C265" s="12" t="str">
        <f aca="false">IF($A265="","",품목마스터!$D262)</f>
        <v/>
      </c>
      <c r="D265" s="13" t="str">
        <f aca="false">IF($A265="","",IF(품목마스터!$F262="",0,품목마스터!$F262)+SUMIFS(입출고내역!$L$3:$L$1002,입출고내역!$C$3:$C$1002,$A265,입출고내역!$A$3:$A$1002,"&lt;"&amp;DATE($B$3,$D$3,1)))</f>
        <v/>
      </c>
      <c r="E265" s="13" t="str">
        <f aca="false">IF($A265="","",SUMIFS(입출고내역!$G$3:$G$1002,입출고내역!$C$3:$C$1002,$A265,입출고내역!$B$3:$B$1002,"입고",입출고내역!$A$3:$A$1002,"&gt;="&amp;DATE($B$3,$D$3,1),입출고내역!$A$3:$A$1002,"&lt;="&amp;EOMONTH(DATE($B$3,$D$3,1),0)))</f>
        <v/>
      </c>
      <c r="F265" s="13" t="str">
        <f aca="false">IF($A265="","",SUMIFS(입출고내역!$G$3:$G$1002,입출고내역!$C$3:$C$1002,$A265,입출고내역!$B$3:$B$1002,"출고",입출고내역!$A$3:$A$1002,"&gt;="&amp;DATE($B$3,$D$3,1),입출고내역!$A$3:$A$1002,"&lt;="&amp;EOMONTH(DATE($B$3,$D$3,1),0)))</f>
        <v/>
      </c>
      <c r="G265" s="13" t="str">
        <f aca="false">IF($A265="","",IF(품목마스터!$F262="",0,품목마스터!$F262)+SUMIFS(입출고내역!$L$3:$L$1002,입출고내역!$C$3:$C$1002,$A265,입출고내역!$A$3:$A$1002,"&lt;="&amp;EOMONTH(DATE($B$3,$D$3,1),0)))</f>
        <v/>
      </c>
      <c r="H265" s="13" t="str">
        <f aca="false">IF($A265="","",IF(품목마스터!$G262="",0,품목마스터!$G262))</f>
        <v/>
      </c>
    </row>
    <row r="266" customFormat="false" ht="15" hidden="false" customHeight="true" outlineLevel="0" collapsed="false">
      <c r="A266" s="12" t="str">
        <f aca="false">IF(품목마스터!$A263="","",품목마스터!$A263)</f>
        <v/>
      </c>
      <c r="B266" s="12" t="str">
        <f aca="false">IF($A266="","",품목마스터!$B263)</f>
        <v/>
      </c>
      <c r="C266" s="12" t="str">
        <f aca="false">IF($A266="","",품목마스터!$D263)</f>
        <v/>
      </c>
      <c r="D266" s="13" t="str">
        <f aca="false">IF($A266="","",IF(품목마스터!$F263="",0,품목마스터!$F263)+SUMIFS(입출고내역!$L$3:$L$1002,입출고내역!$C$3:$C$1002,$A266,입출고내역!$A$3:$A$1002,"&lt;"&amp;DATE($B$3,$D$3,1)))</f>
        <v/>
      </c>
      <c r="E266" s="13" t="str">
        <f aca="false">IF($A266="","",SUMIFS(입출고내역!$G$3:$G$1002,입출고내역!$C$3:$C$1002,$A266,입출고내역!$B$3:$B$1002,"입고",입출고내역!$A$3:$A$1002,"&gt;="&amp;DATE($B$3,$D$3,1),입출고내역!$A$3:$A$1002,"&lt;="&amp;EOMONTH(DATE($B$3,$D$3,1),0)))</f>
        <v/>
      </c>
      <c r="F266" s="13" t="str">
        <f aca="false">IF($A266="","",SUMIFS(입출고내역!$G$3:$G$1002,입출고내역!$C$3:$C$1002,$A266,입출고내역!$B$3:$B$1002,"출고",입출고내역!$A$3:$A$1002,"&gt;="&amp;DATE($B$3,$D$3,1),입출고내역!$A$3:$A$1002,"&lt;="&amp;EOMONTH(DATE($B$3,$D$3,1),0)))</f>
        <v/>
      </c>
      <c r="G266" s="13" t="str">
        <f aca="false">IF($A266="","",IF(품목마스터!$F263="",0,품목마스터!$F263)+SUMIFS(입출고내역!$L$3:$L$1002,입출고내역!$C$3:$C$1002,$A266,입출고내역!$A$3:$A$1002,"&lt;="&amp;EOMONTH(DATE($B$3,$D$3,1),0)))</f>
        <v/>
      </c>
      <c r="H266" s="13" t="str">
        <f aca="false">IF($A266="","",IF(품목마스터!$G263="",0,품목마스터!$G263))</f>
        <v/>
      </c>
    </row>
    <row r="267" customFormat="false" ht="15" hidden="false" customHeight="true" outlineLevel="0" collapsed="false">
      <c r="A267" s="12" t="str">
        <f aca="false">IF(품목마스터!$A264="","",품목마스터!$A264)</f>
        <v/>
      </c>
      <c r="B267" s="12" t="str">
        <f aca="false">IF($A267="","",품목마스터!$B264)</f>
        <v/>
      </c>
      <c r="C267" s="12" t="str">
        <f aca="false">IF($A267="","",품목마스터!$D264)</f>
        <v/>
      </c>
      <c r="D267" s="13" t="str">
        <f aca="false">IF($A267="","",IF(품목마스터!$F264="",0,품목마스터!$F264)+SUMIFS(입출고내역!$L$3:$L$1002,입출고내역!$C$3:$C$1002,$A267,입출고내역!$A$3:$A$1002,"&lt;"&amp;DATE($B$3,$D$3,1)))</f>
        <v/>
      </c>
      <c r="E267" s="13" t="str">
        <f aca="false">IF($A267="","",SUMIFS(입출고내역!$G$3:$G$1002,입출고내역!$C$3:$C$1002,$A267,입출고내역!$B$3:$B$1002,"입고",입출고내역!$A$3:$A$1002,"&gt;="&amp;DATE($B$3,$D$3,1),입출고내역!$A$3:$A$1002,"&lt;="&amp;EOMONTH(DATE($B$3,$D$3,1),0)))</f>
        <v/>
      </c>
      <c r="F267" s="13" t="str">
        <f aca="false">IF($A267="","",SUMIFS(입출고내역!$G$3:$G$1002,입출고내역!$C$3:$C$1002,$A267,입출고내역!$B$3:$B$1002,"출고",입출고내역!$A$3:$A$1002,"&gt;="&amp;DATE($B$3,$D$3,1),입출고내역!$A$3:$A$1002,"&lt;="&amp;EOMONTH(DATE($B$3,$D$3,1),0)))</f>
        <v/>
      </c>
      <c r="G267" s="13" t="str">
        <f aca="false">IF($A267="","",IF(품목마스터!$F264="",0,품목마스터!$F264)+SUMIFS(입출고내역!$L$3:$L$1002,입출고내역!$C$3:$C$1002,$A267,입출고내역!$A$3:$A$1002,"&lt;="&amp;EOMONTH(DATE($B$3,$D$3,1),0)))</f>
        <v/>
      </c>
      <c r="H267" s="13" t="str">
        <f aca="false">IF($A267="","",IF(품목마스터!$G264="",0,품목마스터!$G264))</f>
        <v/>
      </c>
    </row>
    <row r="268" customFormat="false" ht="15" hidden="false" customHeight="true" outlineLevel="0" collapsed="false">
      <c r="A268" s="12" t="str">
        <f aca="false">IF(품목마스터!$A265="","",품목마스터!$A265)</f>
        <v/>
      </c>
      <c r="B268" s="12" t="str">
        <f aca="false">IF($A268="","",품목마스터!$B265)</f>
        <v/>
      </c>
      <c r="C268" s="12" t="str">
        <f aca="false">IF($A268="","",품목마스터!$D265)</f>
        <v/>
      </c>
      <c r="D268" s="13" t="str">
        <f aca="false">IF($A268="","",IF(품목마스터!$F265="",0,품목마스터!$F265)+SUMIFS(입출고내역!$L$3:$L$1002,입출고내역!$C$3:$C$1002,$A268,입출고내역!$A$3:$A$1002,"&lt;"&amp;DATE($B$3,$D$3,1)))</f>
        <v/>
      </c>
      <c r="E268" s="13" t="str">
        <f aca="false">IF($A268="","",SUMIFS(입출고내역!$G$3:$G$1002,입출고내역!$C$3:$C$1002,$A268,입출고내역!$B$3:$B$1002,"입고",입출고내역!$A$3:$A$1002,"&gt;="&amp;DATE($B$3,$D$3,1),입출고내역!$A$3:$A$1002,"&lt;="&amp;EOMONTH(DATE($B$3,$D$3,1),0)))</f>
        <v/>
      </c>
      <c r="F268" s="13" t="str">
        <f aca="false">IF($A268="","",SUMIFS(입출고내역!$G$3:$G$1002,입출고내역!$C$3:$C$1002,$A268,입출고내역!$B$3:$B$1002,"출고",입출고내역!$A$3:$A$1002,"&gt;="&amp;DATE($B$3,$D$3,1),입출고내역!$A$3:$A$1002,"&lt;="&amp;EOMONTH(DATE($B$3,$D$3,1),0)))</f>
        <v/>
      </c>
      <c r="G268" s="13" t="str">
        <f aca="false">IF($A268="","",IF(품목마스터!$F265="",0,품목마스터!$F265)+SUMIFS(입출고내역!$L$3:$L$1002,입출고내역!$C$3:$C$1002,$A268,입출고내역!$A$3:$A$1002,"&lt;="&amp;EOMONTH(DATE($B$3,$D$3,1),0)))</f>
        <v/>
      </c>
      <c r="H268" s="13" t="str">
        <f aca="false">IF($A268="","",IF(품목마스터!$G265="",0,품목마스터!$G265))</f>
        <v/>
      </c>
    </row>
    <row r="269" customFormat="false" ht="15" hidden="false" customHeight="true" outlineLevel="0" collapsed="false">
      <c r="A269" s="12" t="str">
        <f aca="false">IF(품목마스터!$A266="","",품목마스터!$A266)</f>
        <v/>
      </c>
      <c r="B269" s="12" t="str">
        <f aca="false">IF($A269="","",품목마스터!$B266)</f>
        <v/>
      </c>
      <c r="C269" s="12" t="str">
        <f aca="false">IF($A269="","",품목마스터!$D266)</f>
        <v/>
      </c>
      <c r="D269" s="13" t="str">
        <f aca="false">IF($A269="","",IF(품목마스터!$F266="",0,품목마스터!$F266)+SUMIFS(입출고내역!$L$3:$L$1002,입출고내역!$C$3:$C$1002,$A269,입출고내역!$A$3:$A$1002,"&lt;"&amp;DATE($B$3,$D$3,1)))</f>
        <v/>
      </c>
      <c r="E269" s="13" t="str">
        <f aca="false">IF($A269="","",SUMIFS(입출고내역!$G$3:$G$1002,입출고내역!$C$3:$C$1002,$A269,입출고내역!$B$3:$B$1002,"입고",입출고내역!$A$3:$A$1002,"&gt;="&amp;DATE($B$3,$D$3,1),입출고내역!$A$3:$A$1002,"&lt;="&amp;EOMONTH(DATE($B$3,$D$3,1),0)))</f>
        <v/>
      </c>
      <c r="F269" s="13" t="str">
        <f aca="false">IF($A269="","",SUMIFS(입출고내역!$G$3:$G$1002,입출고내역!$C$3:$C$1002,$A269,입출고내역!$B$3:$B$1002,"출고",입출고내역!$A$3:$A$1002,"&gt;="&amp;DATE($B$3,$D$3,1),입출고내역!$A$3:$A$1002,"&lt;="&amp;EOMONTH(DATE($B$3,$D$3,1),0)))</f>
        <v/>
      </c>
      <c r="G269" s="13" t="str">
        <f aca="false">IF($A269="","",IF(품목마스터!$F266="",0,품목마스터!$F266)+SUMIFS(입출고내역!$L$3:$L$1002,입출고내역!$C$3:$C$1002,$A269,입출고내역!$A$3:$A$1002,"&lt;="&amp;EOMONTH(DATE($B$3,$D$3,1),0)))</f>
        <v/>
      </c>
      <c r="H269" s="13" t="str">
        <f aca="false">IF($A269="","",IF(품목마스터!$G266="",0,품목마스터!$G266))</f>
        <v/>
      </c>
    </row>
    <row r="270" customFormat="false" ht="15" hidden="false" customHeight="true" outlineLevel="0" collapsed="false">
      <c r="A270" s="12" t="str">
        <f aca="false">IF(품목마스터!$A267="","",품목마스터!$A267)</f>
        <v/>
      </c>
      <c r="B270" s="12" t="str">
        <f aca="false">IF($A270="","",품목마스터!$B267)</f>
        <v/>
      </c>
      <c r="C270" s="12" t="str">
        <f aca="false">IF($A270="","",품목마스터!$D267)</f>
        <v/>
      </c>
      <c r="D270" s="13" t="str">
        <f aca="false">IF($A270="","",IF(품목마스터!$F267="",0,품목마스터!$F267)+SUMIFS(입출고내역!$L$3:$L$1002,입출고내역!$C$3:$C$1002,$A270,입출고내역!$A$3:$A$1002,"&lt;"&amp;DATE($B$3,$D$3,1)))</f>
        <v/>
      </c>
      <c r="E270" s="13" t="str">
        <f aca="false">IF($A270="","",SUMIFS(입출고내역!$G$3:$G$1002,입출고내역!$C$3:$C$1002,$A270,입출고내역!$B$3:$B$1002,"입고",입출고내역!$A$3:$A$1002,"&gt;="&amp;DATE($B$3,$D$3,1),입출고내역!$A$3:$A$1002,"&lt;="&amp;EOMONTH(DATE($B$3,$D$3,1),0)))</f>
        <v/>
      </c>
      <c r="F270" s="13" t="str">
        <f aca="false">IF($A270="","",SUMIFS(입출고내역!$G$3:$G$1002,입출고내역!$C$3:$C$1002,$A270,입출고내역!$B$3:$B$1002,"출고",입출고내역!$A$3:$A$1002,"&gt;="&amp;DATE($B$3,$D$3,1),입출고내역!$A$3:$A$1002,"&lt;="&amp;EOMONTH(DATE($B$3,$D$3,1),0)))</f>
        <v/>
      </c>
      <c r="G270" s="13" t="str">
        <f aca="false">IF($A270="","",IF(품목마스터!$F267="",0,품목마스터!$F267)+SUMIFS(입출고내역!$L$3:$L$1002,입출고내역!$C$3:$C$1002,$A270,입출고내역!$A$3:$A$1002,"&lt;="&amp;EOMONTH(DATE($B$3,$D$3,1),0)))</f>
        <v/>
      </c>
      <c r="H270" s="13" t="str">
        <f aca="false">IF($A270="","",IF(품목마스터!$G267="",0,품목마스터!$G267))</f>
        <v/>
      </c>
    </row>
    <row r="271" customFormat="false" ht="15" hidden="false" customHeight="true" outlineLevel="0" collapsed="false">
      <c r="A271" s="12" t="str">
        <f aca="false">IF(품목마스터!$A268="","",품목마스터!$A268)</f>
        <v/>
      </c>
      <c r="B271" s="12" t="str">
        <f aca="false">IF($A271="","",품목마스터!$B268)</f>
        <v/>
      </c>
      <c r="C271" s="12" t="str">
        <f aca="false">IF($A271="","",품목마스터!$D268)</f>
        <v/>
      </c>
      <c r="D271" s="13" t="str">
        <f aca="false">IF($A271="","",IF(품목마스터!$F268="",0,품목마스터!$F268)+SUMIFS(입출고내역!$L$3:$L$1002,입출고내역!$C$3:$C$1002,$A271,입출고내역!$A$3:$A$1002,"&lt;"&amp;DATE($B$3,$D$3,1)))</f>
        <v/>
      </c>
      <c r="E271" s="13" t="str">
        <f aca="false">IF($A271="","",SUMIFS(입출고내역!$G$3:$G$1002,입출고내역!$C$3:$C$1002,$A271,입출고내역!$B$3:$B$1002,"입고",입출고내역!$A$3:$A$1002,"&gt;="&amp;DATE($B$3,$D$3,1),입출고내역!$A$3:$A$1002,"&lt;="&amp;EOMONTH(DATE($B$3,$D$3,1),0)))</f>
        <v/>
      </c>
      <c r="F271" s="13" t="str">
        <f aca="false">IF($A271="","",SUMIFS(입출고내역!$G$3:$G$1002,입출고내역!$C$3:$C$1002,$A271,입출고내역!$B$3:$B$1002,"출고",입출고내역!$A$3:$A$1002,"&gt;="&amp;DATE($B$3,$D$3,1),입출고내역!$A$3:$A$1002,"&lt;="&amp;EOMONTH(DATE($B$3,$D$3,1),0)))</f>
        <v/>
      </c>
      <c r="G271" s="13" t="str">
        <f aca="false">IF($A271="","",IF(품목마스터!$F268="",0,품목마스터!$F268)+SUMIFS(입출고내역!$L$3:$L$1002,입출고내역!$C$3:$C$1002,$A271,입출고내역!$A$3:$A$1002,"&lt;="&amp;EOMONTH(DATE($B$3,$D$3,1),0)))</f>
        <v/>
      </c>
      <c r="H271" s="13" t="str">
        <f aca="false">IF($A271="","",IF(품목마스터!$G268="",0,품목마스터!$G268))</f>
        <v/>
      </c>
    </row>
    <row r="272" customFormat="false" ht="15" hidden="false" customHeight="true" outlineLevel="0" collapsed="false">
      <c r="A272" s="12" t="str">
        <f aca="false">IF(품목마스터!$A269="","",품목마스터!$A269)</f>
        <v/>
      </c>
      <c r="B272" s="12" t="str">
        <f aca="false">IF($A272="","",품목마스터!$B269)</f>
        <v/>
      </c>
      <c r="C272" s="12" t="str">
        <f aca="false">IF($A272="","",품목마스터!$D269)</f>
        <v/>
      </c>
      <c r="D272" s="13" t="str">
        <f aca="false">IF($A272="","",IF(품목마스터!$F269="",0,품목마스터!$F269)+SUMIFS(입출고내역!$L$3:$L$1002,입출고내역!$C$3:$C$1002,$A272,입출고내역!$A$3:$A$1002,"&lt;"&amp;DATE($B$3,$D$3,1)))</f>
        <v/>
      </c>
      <c r="E272" s="13" t="str">
        <f aca="false">IF($A272="","",SUMIFS(입출고내역!$G$3:$G$1002,입출고내역!$C$3:$C$1002,$A272,입출고내역!$B$3:$B$1002,"입고",입출고내역!$A$3:$A$1002,"&gt;="&amp;DATE($B$3,$D$3,1),입출고내역!$A$3:$A$1002,"&lt;="&amp;EOMONTH(DATE($B$3,$D$3,1),0)))</f>
        <v/>
      </c>
      <c r="F272" s="13" t="str">
        <f aca="false">IF($A272="","",SUMIFS(입출고내역!$G$3:$G$1002,입출고내역!$C$3:$C$1002,$A272,입출고내역!$B$3:$B$1002,"출고",입출고내역!$A$3:$A$1002,"&gt;="&amp;DATE($B$3,$D$3,1),입출고내역!$A$3:$A$1002,"&lt;="&amp;EOMONTH(DATE($B$3,$D$3,1),0)))</f>
        <v/>
      </c>
      <c r="G272" s="13" t="str">
        <f aca="false">IF($A272="","",IF(품목마스터!$F269="",0,품목마스터!$F269)+SUMIFS(입출고내역!$L$3:$L$1002,입출고내역!$C$3:$C$1002,$A272,입출고내역!$A$3:$A$1002,"&lt;="&amp;EOMONTH(DATE($B$3,$D$3,1),0)))</f>
        <v/>
      </c>
      <c r="H272" s="13" t="str">
        <f aca="false">IF($A272="","",IF(품목마스터!$G269="",0,품목마스터!$G269))</f>
        <v/>
      </c>
    </row>
    <row r="273" customFormat="false" ht="15" hidden="false" customHeight="true" outlineLevel="0" collapsed="false">
      <c r="A273" s="12" t="str">
        <f aca="false">IF(품목마스터!$A270="","",품목마스터!$A270)</f>
        <v/>
      </c>
      <c r="B273" s="12" t="str">
        <f aca="false">IF($A273="","",품목마스터!$B270)</f>
        <v/>
      </c>
      <c r="C273" s="12" t="str">
        <f aca="false">IF($A273="","",품목마스터!$D270)</f>
        <v/>
      </c>
      <c r="D273" s="13" t="str">
        <f aca="false">IF($A273="","",IF(품목마스터!$F270="",0,품목마스터!$F270)+SUMIFS(입출고내역!$L$3:$L$1002,입출고내역!$C$3:$C$1002,$A273,입출고내역!$A$3:$A$1002,"&lt;"&amp;DATE($B$3,$D$3,1)))</f>
        <v/>
      </c>
      <c r="E273" s="13" t="str">
        <f aca="false">IF($A273="","",SUMIFS(입출고내역!$G$3:$G$1002,입출고내역!$C$3:$C$1002,$A273,입출고내역!$B$3:$B$1002,"입고",입출고내역!$A$3:$A$1002,"&gt;="&amp;DATE($B$3,$D$3,1),입출고내역!$A$3:$A$1002,"&lt;="&amp;EOMONTH(DATE($B$3,$D$3,1),0)))</f>
        <v/>
      </c>
      <c r="F273" s="13" t="str">
        <f aca="false">IF($A273="","",SUMIFS(입출고내역!$G$3:$G$1002,입출고내역!$C$3:$C$1002,$A273,입출고내역!$B$3:$B$1002,"출고",입출고내역!$A$3:$A$1002,"&gt;="&amp;DATE($B$3,$D$3,1),입출고내역!$A$3:$A$1002,"&lt;="&amp;EOMONTH(DATE($B$3,$D$3,1),0)))</f>
        <v/>
      </c>
      <c r="G273" s="13" t="str">
        <f aca="false">IF($A273="","",IF(품목마스터!$F270="",0,품목마스터!$F270)+SUMIFS(입출고내역!$L$3:$L$1002,입출고내역!$C$3:$C$1002,$A273,입출고내역!$A$3:$A$1002,"&lt;="&amp;EOMONTH(DATE($B$3,$D$3,1),0)))</f>
        <v/>
      </c>
      <c r="H273" s="13" t="str">
        <f aca="false">IF($A273="","",IF(품목마스터!$G270="",0,품목마스터!$G270))</f>
        <v/>
      </c>
    </row>
    <row r="274" customFormat="false" ht="15" hidden="false" customHeight="true" outlineLevel="0" collapsed="false">
      <c r="A274" s="12" t="str">
        <f aca="false">IF(품목마스터!$A271="","",품목마스터!$A271)</f>
        <v/>
      </c>
      <c r="B274" s="12" t="str">
        <f aca="false">IF($A274="","",품목마스터!$B271)</f>
        <v/>
      </c>
      <c r="C274" s="12" t="str">
        <f aca="false">IF($A274="","",품목마스터!$D271)</f>
        <v/>
      </c>
      <c r="D274" s="13" t="str">
        <f aca="false">IF($A274="","",IF(품목마스터!$F271="",0,품목마스터!$F271)+SUMIFS(입출고내역!$L$3:$L$1002,입출고내역!$C$3:$C$1002,$A274,입출고내역!$A$3:$A$1002,"&lt;"&amp;DATE($B$3,$D$3,1)))</f>
        <v/>
      </c>
      <c r="E274" s="13" t="str">
        <f aca="false">IF($A274="","",SUMIFS(입출고내역!$G$3:$G$1002,입출고내역!$C$3:$C$1002,$A274,입출고내역!$B$3:$B$1002,"입고",입출고내역!$A$3:$A$1002,"&gt;="&amp;DATE($B$3,$D$3,1),입출고내역!$A$3:$A$1002,"&lt;="&amp;EOMONTH(DATE($B$3,$D$3,1),0)))</f>
        <v/>
      </c>
      <c r="F274" s="13" t="str">
        <f aca="false">IF($A274="","",SUMIFS(입출고내역!$G$3:$G$1002,입출고내역!$C$3:$C$1002,$A274,입출고내역!$B$3:$B$1002,"출고",입출고내역!$A$3:$A$1002,"&gt;="&amp;DATE($B$3,$D$3,1),입출고내역!$A$3:$A$1002,"&lt;="&amp;EOMONTH(DATE($B$3,$D$3,1),0)))</f>
        <v/>
      </c>
      <c r="G274" s="13" t="str">
        <f aca="false">IF($A274="","",IF(품목마스터!$F271="",0,품목마스터!$F271)+SUMIFS(입출고내역!$L$3:$L$1002,입출고내역!$C$3:$C$1002,$A274,입출고내역!$A$3:$A$1002,"&lt;="&amp;EOMONTH(DATE($B$3,$D$3,1),0)))</f>
        <v/>
      </c>
      <c r="H274" s="13" t="str">
        <f aca="false">IF($A274="","",IF(품목마스터!$G271="",0,품목마스터!$G271))</f>
        <v/>
      </c>
    </row>
    <row r="275" customFormat="false" ht="15" hidden="false" customHeight="true" outlineLevel="0" collapsed="false">
      <c r="A275" s="12" t="str">
        <f aca="false">IF(품목마스터!$A272="","",품목마스터!$A272)</f>
        <v/>
      </c>
      <c r="B275" s="12" t="str">
        <f aca="false">IF($A275="","",품목마스터!$B272)</f>
        <v/>
      </c>
      <c r="C275" s="12" t="str">
        <f aca="false">IF($A275="","",품목마스터!$D272)</f>
        <v/>
      </c>
      <c r="D275" s="13" t="str">
        <f aca="false">IF($A275="","",IF(품목마스터!$F272="",0,품목마스터!$F272)+SUMIFS(입출고내역!$L$3:$L$1002,입출고내역!$C$3:$C$1002,$A275,입출고내역!$A$3:$A$1002,"&lt;"&amp;DATE($B$3,$D$3,1)))</f>
        <v/>
      </c>
      <c r="E275" s="13" t="str">
        <f aca="false">IF($A275="","",SUMIFS(입출고내역!$G$3:$G$1002,입출고내역!$C$3:$C$1002,$A275,입출고내역!$B$3:$B$1002,"입고",입출고내역!$A$3:$A$1002,"&gt;="&amp;DATE($B$3,$D$3,1),입출고내역!$A$3:$A$1002,"&lt;="&amp;EOMONTH(DATE($B$3,$D$3,1),0)))</f>
        <v/>
      </c>
      <c r="F275" s="13" t="str">
        <f aca="false">IF($A275="","",SUMIFS(입출고내역!$G$3:$G$1002,입출고내역!$C$3:$C$1002,$A275,입출고내역!$B$3:$B$1002,"출고",입출고내역!$A$3:$A$1002,"&gt;="&amp;DATE($B$3,$D$3,1),입출고내역!$A$3:$A$1002,"&lt;="&amp;EOMONTH(DATE($B$3,$D$3,1),0)))</f>
        <v/>
      </c>
      <c r="G275" s="13" t="str">
        <f aca="false">IF($A275="","",IF(품목마스터!$F272="",0,품목마스터!$F272)+SUMIFS(입출고내역!$L$3:$L$1002,입출고내역!$C$3:$C$1002,$A275,입출고내역!$A$3:$A$1002,"&lt;="&amp;EOMONTH(DATE($B$3,$D$3,1),0)))</f>
        <v/>
      </c>
      <c r="H275" s="13" t="str">
        <f aca="false">IF($A275="","",IF(품목마스터!$G272="",0,품목마스터!$G272))</f>
        <v/>
      </c>
    </row>
    <row r="276" customFormat="false" ht="15" hidden="false" customHeight="true" outlineLevel="0" collapsed="false">
      <c r="A276" s="12" t="str">
        <f aca="false">IF(품목마스터!$A273="","",품목마스터!$A273)</f>
        <v/>
      </c>
      <c r="B276" s="12" t="str">
        <f aca="false">IF($A276="","",품목마스터!$B273)</f>
        <v/>
      </c>
      <c r="C276" s="12" t="str">
        <f aca="false">IF($A276="","",품목마스터!$D273)</f>
        <v/>
      </c>
      <c r="D276" s="13" t="str">
        <f aca="false">IF($A276="","",IF(품목마스터!$F273="",0,품목마스터!$F273)+SUMIFS(입출고내역!$L$3:$L$1002,입출고내역!$C$3:$C$1002,$A276,입출고내역!$A$3:$A$1002,"&lt;"&amp;DATE($B$3,$D$3,1)))</f>
        <v/>
      </c>
      <c r="E276" s="13" t="str">
        <f aca="false">IF($A276="","",SUMIFS(입출고내역!$G$3:$G$1002,입출고내역!$C$3:$C$1002,$A276,입출고내역!$B$3:$B$1002,"입고",입출고내역!$A$3:$A$1002,"&gt;="&amp;DATE($B$3,$D$3,1),입출고내역!$A$3:$A$1002,"&lt;="&amp;EOMONTH(DATE($B$3,$D$3,1),0)))</f>
        <v/>
      </c>
      <c r="F276" s="13" t="str">
        <f aca="false">IF($A276="","",SUMIFS(입출고내역!$G$3:$G$1002,입출고내역!$C$3:$C$1002,$A276,입출고내역!$B$3:$B$1002,"출고",입출고내역!$A$3:$A$1002,"&gt;="&amp;DATE($B$3,$D$3,1),입출고내역!$A$3:$A$1002,"&lt;="&amp;EOMONTH(DATE($B$3,$D$3,1),0)))</f>
        <v/>
      </c>
      <c r="G276" s="13" t="str">
        <f aca="false">IF($A276="","",IF(품목마스터!$F273="",0,품목마스터!$F273)+SUMIFS(입출고내역!$L$3:$L$1002,입출고내역!$C$3:$C$1002,$A276,입출고내역!$A$3:$A$1002,"&lt;="&amp;EOMONTH(DATE($B$3,$D$3,1),0)))</f>
        <v/>
      </c>
      <c r="H276" s="13" t="str">
        <f aca="false">IF($A276="","",IF(품목마스터!$G273="",0,품목마스터!$G273))</f>
        <v/>
      </c>
    </row>
    <row r="277" customFormat="false" ht="15" hidden="false" customHeight="true" outlineLevel="0" collapsed="false">
      <c r="A277" s="12" t="str">
        <f aca="false">IF(품목마스터!$A274="","",품목마스터!$A274)</f>
        <v/>
      </c>
      <c r="B277" s="12" t="str">
        <f aca="false">IF($A277="","",품목마스터!$B274)</f>
        <v/>
      </c>
      <c r="C277" s="12" t="str">
        <f aca="false">IF($A277="","",품목마스터!$D274)</f>
        <v/>
      </c>
      <c r="D277" s="13" t="str">
        <f aca="false">IF($A277="","",IF(품목마스터!$F274="",0,품목마스터!$F274)+SUMIFS(입출고내역!$L$3:$L$1002,입출고내역!$C$3:$C$1002,$A277,입출고내역!$A$3:$A$1002,"&lt;"&amp;DATE($B$3,$D$3,1)))</f>
        <v/>
      </c>
      <c r="E277" s="13" t="str">
        <f aca="false">IF($A277="","",SUMIFS(입출고내역!$G$3:$G$1002,입출고내역!$C$3:$C$1002,$A277,입출고내역!$B$3:$B$1002,"입고",입출고내역!$A$3:$A$1002,"&gt;="&amp;DATE($B$3,$D$3,1),입출고내역!$A$3:$A$1002,"&lt;="&amp;EOMONTH(DATE($B$3,$D$3,1),0)))</f>
        <v/>
      </c>
      <c r="F277" s="13" t="str">
        <f aca="false">IF($A277="","",SUMIFS(입출고내역!$G$3:$G$1002,입출고내역!$C$3:$C$1002,$A277,입출고내역!$B$3:$B$1002,"출고",입출고내역!$A$3:$A$1002,"&gt;="&amp;DATE($B$3,$D$3,1),입출고내역!$A$3:$A$1002,"&lt;="&amp;EOMONTH(DATE($B$3,$D$3,1),0)))</f>
        <v/>
      </c>
      <c r="G277" s="13" t="str">
        <f aca="false">IF($A277="","",IF(품목마스터!$F274="",0,품목마스터!$F274)+SUMIFS(입출고내역!$L$3:$L$1002,입출고내역!$C$3:$C$1002,$A277,입출고내역!$A$3:$A$1002,"&lt;="&amp;EOMONTH(DATE($B$3,$D$3,1),0)))</f>
        <v/>
      </c>
      <c r="H277" s="13" t="str">
        <f aca="false">IF($A277="","",IF(품목마스터!$G274="",0,품목마스터!$G274))</f>
        <v/>
      </c>
    </row>
    <row r="278" customFormat="false" ht="15" hidden="false" customHeight="true" outlineLevel="0" collapsed="false">
      <c r="A278" s="12" t="str">
        <f aca="false">IF(품목마스터!$A275="","",품목마스터!$A275)</f>
        <v/>
      </c>
      <c r="B278" s="12" t="str">
        <f aca="false">IF($A278="","",품목마스터!$B275)</f>
        <v/>
      </c>
      <c r="C278" s="12" t="str">
        <f aca="false">IF($A278="","",품목마스터!$D275)</f>
        <v/>
      </c>
      <c r="D278" s="13" t="str">
        <f aca="false">IF($A278="","",IF(품목마스터!$F275="",0,품목마스터!$F275)+SUMIFS(입출고내역!$L$3:$L$1002,입출고내역!$C$3:$C$1002,$A278,입출고내역!$A$3:$A$1002,"&lt;"&amp;DATE($B$3,$D$3,1)))</f>
        <v/>
      </c>
      <c r="E278" s="13" t="str">
        <f aca="false">IF($A278="","",SUMIFS(입출고내역!$G$3:$G$1002,입출고내역!$C$3:$C$1002,$A278,입출고내역!$B$3:$B$1002,"입고",입출고내역!$A$3:$A$1002,"&gt;="&amp;DATE($B$3,$D$3,1),입출고내역!$A$3:$A$1002,"&lt;="&amp;EOMONTH(DATE($B$3,$D$3,1),0)))</f>
        <v/>
      </c>
      <c r="F278" s="13" t="str">
        <f aca="false">IF($A278="","",SUMIFS(입출고내역!$G$3:$G$1002,입출고내역!$C$3:$C$1002,$A278,입출고내역!$B$3:$B$1002,"출고",입출고내역!$A$3:$A$1002,"&gt;="&amp;DATE($B$3,$D$3,1),입출고내역!$A$3:$A$1002,"&lt;="&amp;EOMONTH(DATE($B$3,$D$3,1),0)))</f>
        <v/>
      </c>
      <c r="G278" s="13" t="str">
        <f aca="false">IF($A278="","",IF(품목마스터!$F275="",0,품목마스터!$F275)+SUMIFS(입출고내역!$L$3:$L$1002,입출고내역!$C$3:$C$1002,$A278,입출고내역!$A$3:$A$1002,"&lt;="&amp;EOMONTH(DATE($B$3,$D$3,1),0)))</f>
        <v/>
      </c>
      <c r="H278" s="13" t="str">
        <f aca="false">IF($A278="","",IF(품목마스터!$G275="",0,품목마스터!$G275))</f>
        <v/>
      </c>
    </row>
    <row r="279" customFormat="false" ht="15" hidden="false" customHeight="true" outlineLevel="0" collapsed="false">
      <c r="A279" s="12" t="str">
        <f aca="false">IF(품목마스터!$A276="","",품목마스터!$A276)</f>
        <v/>
      </c>
      <c r="B279" s="12" t="str">
        <f aca="false">IF($A279="","",품목마스터!$B276)</f>
        <v/>
      </c>
      <c r="C279" s="12" t="str">
        <f aca="false">IF($A279="","",품목마스터!$D276)</f>
        <v/>
      </c>
      <c r="D279" s="13" t="str">
        <f aca="false">IF($A279="","",IF(품목마스터!$F276="",0,품목마스터!$F276)+SUMIFS(입출고내역!$L$3:$L$1002,입출고내역!$C$3:$C$1002,$A279,입출고내역!$A$3:$A$1002,"&lt;"&amp;DATE($B$3,$D$3,1)))</f>
        <v/>
      </c>
      <c r="E279" s="13" t="str">
        <f aca="false">IF($A279="","",SUMIFS(입출고내역!$G$3:$G$1002,입출고내역!$C$3:$C$1002,$A279,입출고내역!$B$3:$B$1002,"입고",입출고내역!$A$3:$A$1002,"&gt;="&amp;DATE($B$3,$D$3,1),입출고내역!$A$3:$A$1002,"&lt;="&amp;EOMONTH(DATE($B$3,$D$3,1),0)))</f>
        <v/>
      </c>
      <c r="F279" s="13" t="str">
        <f aca="false">IF($A279="","",SUMIFS(입출고내역!$G$3:$G$1002,입출고내역!$C$3:$C$1002,$A279,입출고내역!$B$3:$B$1002,"출고",입출고내역!$A$3:$A$1002,"&gt;="&amp;DATE($B$3,$D$3,1),입출고내역!$A$3:$A$1002,"&lt;="&amp;EOMONTH(DATE($B$3,$D$3,1),0)))</f>
        <v/>
      </c>
      <c r="G279" s="13" t="str">
        <f aca="false">IF($A279="","",IF(품목마스터!$F276="",0,품목마스터!$F276)+SUMIFS(입출고내역!$L$3:$L$1002,입출고내역!$C$3:$C$1002,$A279,입출고내역!$A$3:$A$1002,"&lt;="&amp;EOMONTH(DATE($B$3,$D$3,1),0)))</f>
        <v/>
      </c>
      <c r="H279" s="13" t="str">
        <f aca="false">IF($A279="","",IF(품목마스터!$G276="",0,품목마스터!$G276))</f>
        <v/>
      </c>
    </row>
    <row r="280" customFormat="false" ht="15" hidden="false" customHeight="true" outlineLevel="0" collapsed="false">
      <c r="A280" s="12" t="str">
        <f aca="false">IF(품목마스터!$A277="","",품목마스터!$A277)</f>
        <v/>
      </c>
      <c r="B280" s="12" t="str">
        <f aca="false">IF($A280="","",품목마스터!$B277)</f>
        <v/>
      </c>
      <c r="C280" s="12" t="str">
        <f aca="false">IF($A280="","",품목마스터!$D277)</f>
        <v/>
      </c>
      <c r="D280" s="13" t="str">
        <f aca="false">IF($A280="","",IF(품목마스터!$F277="",0,품목마스터!$F277)+SUMIFS(입출고내역!$L$3:$L$1002,입출고내역!$C$3:$C$1002,$A280,입출고내역!$A$3:$A$1002,"&lt;"&amp;DATE($B$3,$D$3,1)))</f>
        <v/>
      </c>
      <c r="E280" s="13" t="str">
        <f aca="false">IF($A280="","",SUMIFS(입출고내역!$G$3:$G$1002,입출고내역!$C$3:$C$1002,$A280,입출고내역!$B$3:$B$1002,"입고",입출고내역!$A$3:$A$1002,"&gt;="&amp;DATE($B$3,$D$3,1),입출고내역!$A$3:$A$1002,"&lt;="&amp;EOMONTH(DATE($B$3,$D$3,1),0)))</f>
        <v/>
      </c>
      <c r="F280" s="13" t="str">
        <f aca="false">IF($A280="","",SUMIFS(입출고내역!$G$3:$G$1002,입출고내역!$C$3:$C$1002,$A280,입출고내역!$B$3:$B$1002,"출고",입출고내역!$A$3:$A$1002,"&gt;="&amp;DATE($B$3,$D$3,1),입출고내역!$A$3:$A$1002,"&lt;="&amp;EOMONTH(DATE($B$3,$D$3,1),0)))</f>
        <v/>
      </c>
      <c r="G280" s="13" t="str">
        <f aca="false">IF($A280="","",IF(품목마스터!$F277="",0,품목마스터!$F277)+SUMIFS(입출고내역!$L$3:$L$1002,입출고내역!$C$3:$C$1002,$A280,입출고내역!$A$3:$A$1002,"&lt;="&amp;EOMONTH(DATE($B$3,$D$3,1),0)))</f>
        <v/>
      </c>
      <c r="H280" s="13" t="str">
        <f aca="false">IF($A280="","",IF(품목마스터!$G277="",0,품목마스터!$G277))</f>
        <v/>
      </c>
    </row>
    <row r="281" customFormat="false" ht="15" hidden="false" customHeight="true" outlineLevel="0" collapsed="false">
      <c r="A281" s="12" t="str">
        <f aca="false">IF(품목마스터!$A278="","",품목마스터!$A278)</f>
        <v/>
      </c>
      <c r="B281" s="12" t="str">
        <f aca="false">IF($A281="","",품목마스터!$B278)</f>
        <v/>
      </c>
      <c r="C281" s="12" t="str">
        <f aca="false">IF($A281="","",품목마스터!$D278)</f>
        <v/>
      </c>
      <c r="D281" s="13" t="str">
        <f aca="false">IF($A281="","",IF(품목마스터!$F278="",0,품목마스터!$F278)+SUMIFS(입출고내역!$L$3:$L$1002,입출고내역!$C$3:$C$1002,$A281,입출고내역!$A$3:$A$1002,"&lt;"&amp;DATE($B$3,$D$3,1)))</f>
        <v/>
      </c>
      <c r="E281" s="13" t="str">
        <f aca="false">IF($A281="","",SUMIFS(입출고내역!$G$3:$G$1002,입출고내역!$C$3:$C$1002,$A281,입출고내역!$B$3:$B$1002,"입고",입출고내역!$A$3:$A$1002,"&gt;="&amp;DATE($B$3,$D$3,1),입출고내역!$A$3:$A$1002,"&lt;="&amp;EOMONTH(DATE($B$3,$D$3,1),0)))</f>
        <v/>
      </c>
      <c r="F281" s="13" t="str">
        <f aca="false">IF($A281="","",SUMIFS(입출고내역!$G$3:$G$1002,입출고내역!$C$3:$C$1002,$A281,입출고내역!$B$3:$B$1002,"출고",입출고내역!$A$3:$A$1002,"&gt;="&amp;DATE($B$3,$D$3,1),입출고내역!$A$3:$A$1002,"&lt;="&amp;EOMONTH(DATE($B$3,$D$3,1),0)))</f>
        <v/>
      </c>
      <c r="G281" s="13" t="str">
        <f aca="false">IF($A281="","",IF(품목마스터!$F278="",0,품목마스터!$F278)+SUMIFS(입출고내역!$L$3:$L$1002,입출고내역!$C$3:$C$1002,$A281,입출고내역!$A$3:$A$1002,"&lt;="&amp;EOMONTH(DATE($B$3,$D$3,1),0)))</f>
        <v/>
      </c>
      <c r="H281" s="13" t="str">
        <f aca="false">IF($A281="","",IF(품목마스터!$G278="",0,품목마스터!$G278))</f>
        <v/>
      </c>
    </row>
    <row r="282" customFormat="false" ht="15" hidden="false" customHeight="true" outlineLevel="0" collapsed="false">
      <c r="A282" s="12" t="str">
        <f aca="false">IF(품목마스터!$A279="","",품목마스터!$A279)</f>
        <v/>
      </c>
      <c r="B282" s="12" t="str">
        <f aca="false">IF($A282="","",품목마스터!$B279)</f>
        <v/>
      </c>
      <c r="C282" s="12" t="str">
        <f aca="false">IF($A282="","",품목마스터!$D279)</f>
        <v/>
      </c>
      <c r="D282" s="13" t="str">
        <f aca="false">IF($A282="","",IF(품목마스터!$F279="",0,품목마스터!$F279)+SUMIFS(입출고내역!$L$3:$L$1002,입출고내역!$C$3:$C$1002,$A282,입출고내역!$A$3:$A$1002,"&lt;"&amp;DATE($B$3,$D$3,1)))</f>
        <v/>
      </c>
      <c r="E282" s="13" t="str">
        <f aca="false">IF($A282="","",SUMIFS(입출고내역!$G$3:$G$1002,입출고내역!$C$3:$C$1002,$A282,입출고내역!$B$3:$B$1002,"입고",입출고내역!$A$3:$A$1002,"&gt;="&amp;DATE($B$3,$D$3,1),입출고내역!$A$3:$A$1002,"&lt;="&amp;EOMONTH(DATE($B$3,$D$3,1),0)))</f>
        <v/>
      </c>
      <c r="F282" s="13" t="str">
        <f aca="false">IF($A282="","",SUMIFS(입출고내역!$G$3:$G$1002,입출고내역!$C$3:$C$1002,$A282,입출고내역!$B$3:$B$1002,"출고",입출고내역!$A$3:$A$1002,"&gt;="&amp;DATE($B$3,$D$3,1),입출고내역!$A$3:$A$1002,"&lt;="&amp;EOMONTH(DATE($B$3,$D$3,1),0)))</f>
        <v/>
      </c>
      <c r="G282" s="13" t="str">
        <f aca="false">IF($A282="","",IF(품목마스터!$F279="",0,품목마스터!$F279)+SUMIFS(입출고내역!$L$3:$L$1002,입출고내역!$C$3:$C$1002,$A282,입출고내역!$A$3:$A$1002,"&lt;="&amp;EOMONTH(DATE($B$3,$D$3,1),0)))</f>
        <v/>
      </c>
      <c r="H282" s="13" t="str">
        <f aca="false">IF($A282="","",IF(품목마스터!$G279="",0,품목마스터!$G279))</f>
        <v/>
      </c>
    </row>
    <row r="283" customFormat="false" ht="15" hidden="false" customHeight="true" outlineLevel="0" collapsed="false">
      <c r="A283" s="12" t="str">
        <f aca="false">IF(품목마스터!$A280="","",품목마스터!$A280)</f>
        <v/>
      </c>
      <c r="B283" s="12" t="str">
        <f aca="false">IF($A283="","",품목마스터!$B280)</f>
        <v/>
      </c>
      <c r="C283" s="12" t="str">
        <f aca="false">IF($A283="","",품목마스터!$D280)</f>
        <v/>
      </c>
      <c r="D283" s="13" t="str">
        <f aca="false">IF($A283="","",IF(품목마스터!$F280="",0,품목마스터!$F280)+SUMIFS(입출고내역!$L$3:$L$1002,입출고내역!$C$3:$C$1002,$A283,입출고내역!$A$3:$A$1002,"&lt;"&amp;DATE($B$3,$D$3,1)))</f>
        <v/>
      </c>
      <c r="E283" s="13" t="str">
        <f aca="false">IF($A283="","",SUMIFS(입출고내역!$G$3:$G$1002,입출고내역!$C$3:$C$1002,$A283,입출고내역!$B$3:$B$1002,"입고",입출고내역!$A$3:$A$1002,"&gt;="&amp;DATE($B$3,$D$3,1),입출고내역!$A$3:$A$1002,"&lt;="&amp;EOMONTH(DATE($B$3,$D$3,1),0)))</f>
        <v/>
      </c>
      <c r="F283" s="13" t="str">
        <f aca="false">IF($A283="","",SUMIFS(입출고내역!$G$3:$G$1002,입출고내역!$C$3:$C$1002,$A283,입출고내역!$B$3:$B$1002,"출고",입출고내역!$A$3:$A$1002,"&gt;="&amp;DATE($B$3,$D$3,1),입출고내역!$A$3:$A$1002,"&lt;="&amp;EOMONTH(DATE($B$3,$D$3,1),0)))</f>
        <v/>
      </c>
      <c r="G283" s="13" t="str">
        <f aca="false">IF($A283="","",IF(품목마스터!$F280="",0,품목마스터!$F280)+SUMIFS(입출고내역!$L$3:$L$1002,입출고내역!$C$3:$C$1002,$A283,입출고내역!$A$3:$A$1002,"&lt;="&amp;EOMONTH(DATE($B$3,$D$3,1),0)))</f>
        <v/>
      </c>
      <c r="H283" s="13" t="str">
        <f aca="false">IF($A283="","",IF(품목마스터!$G280="",0,품목마스터!$G280))</f>
        <v/>
      </c>
    </row>
    <row r="284" customFormat="false" ht="15" hidden="false" customHeight="true" outlineLevel="0" collapsed="false">
      <c r="A284" s="12" t="str">
        <f aca="false">IF(품목마스터!$A281="","",품목마스터!$A281)</f>
        <v/>
      </c>
      <c r="B284" s="12" t="str">
        <f aca="false">IF($A284="","",품목마스터!$B281)</f>
        <v/>
      </c>
      <c r="C284" s="12" t="str">
        <f aca="false">IF($A284="","",품목마스터!$D281)</f>
        <v/>
      </c>
      <c r="D284" s="13" t="str">
        <f aca="false">IF($A284="","",IF(품목마스터!$F281="",0,품목마스터!$F281)+SUMIFS(입출고내역!$L$3:$L$1002,입출고내역!$C$3:$C$1002,$A284,입출고내역!$A$3:$A$1002,"&lt;"&amp;DATE($B$3,$D$3,1)))</f>
        <v/>
      </c>
      <c r="E284" s="13" t="str">
        <f aca="false">IF($A284="","",SUMIFS(입출고내역!$G$3:$G$1002,입출고내역!$C$3:$C$1002,$A284,입출고내역!$B$3:$B$1002,"입고",입출고내역!$A$3:$A$1002,"&gt;="&amp;DATE($B$3,$D$3,1),입출고내역!$A$3:$A$1002,"&lt;="&amp;EOMONTH(DATE($B$3,$D$3,1),0)))</f>
        <v/>
      </c>
      <c r="F284" s="13" t="str">
        <f aca="false">IF($A284="","",SUMIFS(입출고내역!$G$3:$G$1002,입출고내역!$C$3:$C$1002,$A284,입출고내역!$B$3:$B$1002,"출고",입출고내역!$A$3:$A$1002,"&gt;="&amp;DATE($B$3,$D$3,1),입출고내역!$A$3:$A$1002,"&lt;="&amp;EOMONTH(DATE($B$3,$D$3,1),0)))</f>
        <v/>
      </c>
      <c r="G284" s="13" t="str">
        <f aca="false">IF($A284="","",IF(품목마스터!$F281="",0,품목마스터!$F281)+SUMIFS(입출고내역!$L$3:$L$1002,입출고내역!$C$3:$C$1002,$A284,입출고내역!$A$3:$A$1002,"&lt;="&amp;EOMONTH(DATE($B$3,$D$3,1),0)))</f>
        <v/>
      </c>
      <c r="H284" s="13" t="str">
        <f aca="false">IF($A284="","",IF(품목마스터!$G281="",0,품목마스터!$G281))</f>
        <v/>
      </c>
    </row>
    <row r="285" customFormat="false" ht="15" hidden="false" customHeight="true" outlineLevel="0" collapsed="false">
      <c r="A285" s="12" t="str">
        <f aca="false">IF(품목마스터!$A282="","",품목마스터!$A282)</f>
        <v/>
      </c>
      <c r="B285" s="12" t="str">
        <f aca="false">IF($A285="","",품목마스터!$B282)</f>
        <v/>
      </c>
      <c r="C285" s="12" t="str">
        <f aca="false">IF($A285="","",품목마스터!$D282)</f>
        <v/>
      </c>
      <c r="D285" s="13" t="str">
        <f aca="false">IF($A285="","",IF(품목마스터!$F282="",0,품목마스터!$F282)+SUMIFS(입출고내역!$L$3:$L$1002,입출고내역!$C$3:$C$1002,$A285,입출고내역!$A$3:$A$1002,"&lt;"&amp;DATE($B$3,$D$3,1)))</f>
        <v/>
      </c>
      <c r="E285" s="13" t="str">
        <f aca="false">IF($A285="","",SUMIFS(입출고내역!$G$3:$G$1002,입출고내역!$C$3:$C$1002,$A285,입출고내역!$B$3:$B$1002,"입고",입출고내역!$A$3:$A$1002,"&gt;="&amp;DATE($B$3,$D$3,1),입출고내역!$A$3:$A$1002,"&lt;="&amp;EOMONTH(DATE($B$3,$D$3,1),0)))</f>
        <v/>
      </c>
      <c r="F285" s="13" t="str">
        <f aca="false">IF($A285="","",SUMIFS(입출고내역!$G$3:$G$1002,입출고내역!$C$3:$C$1002,$A285,입출고내역!$B$3:$B$1002,"출고",입출고내역!$A$3:$A$1002,"&gt;="&amp;DATE($B$3,$D$3,1),입출고내역!$A$3:$A$1002,"&lt;="&amp;EOMONTH(DATE($B$3,$D$3,1),0)))</f>
        <v/>
      </c>
      <c r="G285" s="13" t="str">
        <f aca="false">IF($A285="","",IF(품목마스터!$F282="",0,품목마스터!$F282)+SUMIFS(입출고내역!$L$3:$L$1002,입출고내역!$C$3:$C$1002,$A285,입출고내역!$A$3:$A$1002,"&lt;="&amp;EOMONTH(DATE($B$3,$D$3,1),0)))</f>
        <v/>
      </c>
      <c r="H285" s="13" t="str">
        <f aca="false">IF($A285="","",IF(품목마스터!$G282="",0,품목마스터!$G282))</f>
        <v/>
      </c>
    </row>
    <row r="286" customFormat="false" ht="15" hidden="false" customHeight="true" outlineLevel="0" collapsed="false">
      <c r="A286" s="12" t="str">
        <f aca="false">IF(품목마스터!$A283="","",품목마스터!$A283)</f>
        <v/>
      </c>
      <c r="B286" s="12" t="str">
        <f aca="false">IF($A286="","",품목마스터!$B283)</f>
        <v/>
      </c>
      <c r="C286" s="12" t="str">
        <f aca="false">IF($A286="","",품목마스터!$D283)</f>
        <v/>
      </c>
      <c r="D286" s="13" t="str">
        <f aca="false">IF($A286="","",IF(품목마스터!$F283="",0,품목마스터!$F283)+SUMIFS(입출고내역!$L$3:$L$1002,입출고내역!$C$3:$C$1002,$A286,입출고내역!$A$3:$A$1002,"&lt;"&amp;DATE($B$3,$D$3,1)))</f>
        <v/>
      </c>
      <c r="E286" s="13" t="str">
        <f aca="false">IF($A286="","",SUMIFS(입출고내역!$G$3:$G$1002,입출고내역!$C$3:$C$1002,$A286,입출고내역!$B$3:$B$1002,"입고",입출고내역!$A$3:$A$1002,"&gt;="&amp;DATE($B$3,$D$3,1),입출고내역!$A$3:$A$1002,"&lt;="&amp;EOMONTH(DATE($B$3,$D$3,1),0)))</f>
        <v/>
      </c>
      <c r="F286" s="13" t="str">
        <f aca="false">IF($A286="","",SUMIFS(입출고내역!$G$3:$G$1002,입출고내역!$C$3:$C$1002,$A286,입출고내역!$B$3:$B$1002,"출고",입출고내역!$A$3:$A$1002,"&gt;="&amp;DATE($B$3,$D$3,1),입출고내역!$A$3:$A$1002,"&lt;="&amp;EOMONTH(DATE($B$3,$D$3,1),0)))</f>
        <v/>
      </c>
      <c r="G286" s="13" t="str">
        <f aca="false">IF($A286="","",IF(품목마스터!$F283="",0,품목마스터!$F283)+SUMIFS(입출고내역!$L$3:$L$1002,입출고내역!$C$3:$C$1002,$A286,입출고내역!$A$3:$A$1002,"&lt;="&amp;EOMONTH(DATE($B$3,$D$3,1),0)))</f>
        <v/>
      </c>
      <c r="H286" s="13" t="str">
        <f aca="false">IF($A286="","",IF(품목마스터!$G283="",0,품목마스터!$G283))</f>
        <v/>
      </c>
    </row>
    <row r="287" customFormat="false" ht="15" hidden="false" customHeight="true" outlineLevel="0" collapsed="false">
      <c r="A287" s="12" t="str">
        <f aca="false">IF(품목마스터!$A284="","",품목마스터!$A284)</f>
        <v/>
      </c>
      <c r="B287" s="12" t="str">
        <f aca="false">IF($A287="","",품목마스터!$B284)</f>
        <v/>
      </c>
      <c r="C287" s="12" t="str">
        <f aca="false">IF($A287="","",품목마스터!$D284)</f>
        <v/>
      </c>
      <c r="D287" s="13" t="str">
        <f aca="false">IF($A287="","",IF(품목마스터!$F284="",0,품목마스터!$F284)+SUMIFS(입출고내역!$L$3:$L$1002,입출고내역!$C$3:$C$1002,$A287,입출고내역!$A$3:$A$1002,"&lt;"&amp;DATE($B$3,$D$3,1)))</f>
        <v/>
      </c>
      <c r="E287" s="13" t="str">
        <f aca="false">IF($A287="","",SUMIFS(입출고내역!$G$3:$G$1002,입출고내역!$C$3:$C$1002,$A287,입출고내역!$B$3:$B$1002,"입고",입출고내역!$A$3:$A$1002,"&gt;="&amp;DATE($B$3,$D$3,1),입출고내역!$A$3:$A$1002,"&lt;="&amp;EOMONTH(DATE($B$3,$D$3,1),0)))</f>
        <v/>
      </c>
      <c r="F287" s="13" t="str">
        <f aca="false">IF($A287="","",SUMIFS(입출고내역!$G$3:$G$1002,입출고내역!$C$3:$C$1002,$A287,입출고내역!$B$3:$B$1002,"출고",입출고내역!$A$3:$A$1002,"&gt;="&amp;DATE($B$3,$D$3,1),입출고내역!$A$3:$A$1002,"&lt;="&amp;EOMONTH(DATE($B$3,$D$3,1),0)))</f>
        <v/>
      </c>
      <c r="G287" s="13" t="str">
        <f aca="false">IF($A287="","",IF(품목마스터!$F284="",0,품목마스터!$F284)+SUMIFS(입출고내역!$L$3:$L$1002,입출고내역!$C$3:$C$1002,$A287,입출고내역!$A$3:$A$1002,"&lt;="&amp;EOMONTH(DATE($B$3,$D$3,1),0)))</f>
        <v/>
      </c>
      <c r="H287" s="13" t="str">
        <f aca="false">IF($A287="","",IF(품목마스터!$G284="",0,품목마스터!$G284))</f>
        <v/>
      </c>
    </row>
    <row r="288" customFormat="false" ht="15" hidden="false" customHeight="true" outlineLevel="0" collapsed="false">
      <c r="A288" s="12" t="str">
        <f aca="false">IF(품목마스터!$A285="","",품목마스터!$A285)</f>
        <v/>
      </c>
      <c r="B288" s="12" t="str">
        <f aca="false">IF($A288="","",품목마스터!$B285)</f>
        <v/>
      </c>
      <c r="C288" s="12" t="str">
        <f aca="false">IF($A288="","",품목마스터!$D285)</f>
        <v/>
      </c>
      <c r="D288" s="13" t="str">
        <f aca="false">IF($A288="","",IF(품목마스터!$F285="",0,품목마스터!$F285)+SUMIFS(입출고내역!$L$3:$L$1002,입출고내역!$C$3:$C$1002,$A288,입출고내역!$A$3:$A$1002,"&lt;"&amp;DATE($B$3,$D$3,1)))</f>
        <v/>
      </c>
      <c r="E288" s="13" t="str">
        <f aca="false">IF($A288="","",SUMIFS(입출고내역!$G$3:$G$1002,입출고내역!$C$3:$C$1002,$A288,입출고내역!$B$3:$B$1002,"입고",입출고내역!$A$3:$A$1002,"&gt;="&amp;DATE($B$3,$D$3,1),입출고내역!$A$3:$A$1002,"&lt;="&amp;EOMONTH(DATE($B$3,$D$3,1),0)))</f>
        <v/>
      </c>
      <c r="F288" s="13" t="str">
        <f aca="false">IF($A288="","",SUMIFS(입출고내역!$G$3:$G$1002,입출고내역!$C$3:$C$1002,$A288,입출고내역!$B$3:$B$1002,"출고",입출고내역!$A$3:$A$1002,"&gt;="&amp;DATE($B$3,$D$3,1),입출고내역!$A$3:$A$1002,"&lt;="&amp;EOMONTH(DATE($B$3,$D$3,1),0)))</f>
        <v/>
      </c>
      <c r="G288" s="13" t="str">
        <f aca="false">IF($A288="","",IF(품목마스터!$F285="",0,품목마스터!$F285)+SUMIFS(입출고내역!$L$3:$L$1002,입출고내역!$C$3:$C$1002,$A288,입출고내역!$A$3:$A$1002,"&lt;="&amp;EOMONTH(DATE($B$3,$D$3,1),0)))</f>
        <v/>
      </c>
      <c r="H288" s="13" t="str">
        <f aca="false">IF($A288="","",IF(품목마스터!$G285="",0,품목마스터!$G285))</f>
        <v/>
      </c>
    </row>
    <row r="289" customFormat="false" ht="15" hidden="false" customHeight="true" outlineLevel="0" collapsed="false">
      <c r="A289" s="12" t="str">
        <f aca="false">IF(품목마스터!$A286="","",품목마스터!$A286)</f>
        <v/>
      </c>
      <c r="B289" s="12" t="str">
        <f aca="false">IF($A289="","",품목마스터!$B286)</f>
        <v/>
      </c>
      <c r="C289" s="12" t="str">
        <f aca="false">IF($A289="","",품목마스터!$D286)</f>
        <v/>
      </c>
      <c r="D289" s="13" t="str">
        <f aca="false">IF($A289="","",IF(품목마스터!$F286="",0,품목마스터!$F286)+SUMIFS(입출고내역!$L$3:$L$1002,입출고내역!$C$3:$C$1002,$A289,입출고내역!$A$3:$A$1002,"&lt;"&amp;DATE($B$3,$D$3,1)))</f>
        <v/>
      </c>
      <c r="E289" s="13" t="str">
        <f aca="false">IF($A289="","",SUMIFS(입출고내역!$G$3:$G$1002,입출고내역!$C$3:$C$1002,$A289,입출고내역!$B$3:$B$1002,"입고",입출고내역!$A$3:$A$1002,"&gt;="&amp;DATE($B$3,$D$3,1),입출고내역!$A$3:$A$1002,"&lt;="&amp;EOMONTH(DATE($B$3,$D$3,1),0)))</f>
        <v/>
      </c>
      <c r="F289" s="13" t="str">
        <f aca="false">IF($A289="","",SUMIFS(입출고내역!$G$3:$G$1002,입출고내역!$C$3:$C$1002,$A289,입출고내역!$B$3:$B$1002,"출고",입출고내역!$A$3:$A$1002,"&gt;="&amp;DATE($B$3,$D$3,1),입출고내역!$A$3:$A$1002,"&lt;="&amp;EOMONTH(DATE($B$3,$D$3,1),0)))</f>
        <v/>
      </c>
      <c r="G289" s="13" t="str">
        <f aca="false">IF($A289="","",IF(품목마스터!$F286="",0,품목마스터!$F286)+SUMIFS(입출고내역!$L$3:$L$1002,입출고내역!$C$3:$C$1002,$A289,입출고내역!$A$3:$A$1002,"&lt;="&amp;EOMONTH(DATE($B$3,$D$3,1),0)))</f>
        <v/>
      </c>
      <c r="H289" s="13" t="str">
        <f aca="false">IF($A289="","",IF(품목마스터!$G286="",0,품목마스터!$G286))</f>
        <v/>
      </c>
    </row>
    <row r="290" customFormat="false" ht="15" hidden="false" customHeight="true" outlineLevel="0" collapsed="false">
      <c r="A290" s="12" t="str">
        <f aca="false">IF(품목마스터!$A287="","",품목마스터!$A287)</f>
        <v/>
      </c>
      <c r="B290" s="12" t="str">
        <f aca="false">IF($A290="","",품목마스터!$B287)</f>
        <v/>
      </c>
      <c r="C290" s="12" t="str">
        <f aca="false">IF($A290="","",품목마스터!$D287)</f>
        <v/>
      </c>
      <c r="D290" s="13" t="str">
        <f aca="false">IF($A290="","",IF(품목마스터!$F287="",0,품목마스터!$F287)+SUMIFS(입출고내역!$L$3:$L$1002,입출고내역!$C$3:$C$1002,$A290,입출고내역!$A$3:$A$1002,"&lt;"&amp;DATE($B$3,$D$3,1)))</f>
        <v/>
      </c>
      <c r="E290" s="13" t="str">
        <f aca="false">IF($A290="","",SUMIFS(입출고내역!$G$3:$G$1002,입출고내역!$C$3:$C$1002,$A290,입출고내역!$B$3:$B$1002,"입고",입출고내역!$A$3:$A$1002,"&gt;="&amp;DATE($B$3,$D$3,1),입출고내역!$A$3:$A$1002,"&lt;="&amp;EOMONTH(DATE($B$3,$D$3,1),0)))</f>
        <v/>
      </c>
      <c r="F290" s="13" t="str">
        <f aca="false">IF($A290="","",SUMIFS(입출고내역!$G$3:$G$1002,입출고내역!$C$3:$C$1002,$A290,입출고내역!$B$3:$B$1002,"출고",입출고내역!$A$3:$A$1002,"&gt;="&amp;DATE($B$3,$D$3,1),입출고내역!$A$3:$A$1002,"&lt;="&amp;EOMONTH(DATE($B$3,$D$3,1),0)))</f>
        <v/>
      </c>
      <c r="G290" s="13" t="str">
        <f aca="false">IF($A290="","",IF(품목마스터!$F287="",0,품목마스터!$F287)+SUMIFS(입출고내역!$L$3:$L$1002,입출고내역!$C$3:$C$1002,$A290,입출고내역!$A$3:$A$1002,"&lt;="&amp;EOMONTH(DATE($B$3,$D$3,1),0)))</f>
        <v/>
      </c>
      <c r="H290" s="13" t="str">
        <f aca="false">IF($A290="","",IF(품목마스터!$G287="",0,품목마스터!$G287))</f>
        <v/>
      </c>
    </row>
    <row r="291" customFormat="false" ht="15" hidden="false" customHeight="true" outlineLevel="0" collapsed="false">
      <c r="A291" s="12" t="str">
        <f aca="false">IF(품목마스터!$A288="","",품목마스터!$A288)</f>
        <v/>
      </c>
      <c r="B291" s="12" t="str">
        <f aca="false">IF($A291="","",품목마스터!$B288)</f>
        <v/>
      </c>
      <c r="C291" s="12" t="str">
        <f aca="false">IF($A291="","",품목마스터!$D288)</f>
        <v/>
      </c>
      <c r="D291" s="13" t="str">
        <f aca="false">IF($A291="","",IF(품목마스터!$F288="",0,품목마스터!$F288)+SUMIFS(입출고내역!$L$3:$L$1002,입출고내역!$C$3:$C$1002,$A291,입출고내역!$A$3:$A$1002,"&lt;"&amp;DATE($B$3,$D$3,1)))</f>
        <v/>
      </c>
      <c r="E291" s="13" t="str">
        <f aca="false">IF($A291="","",SUMIFS(입출고내역!$G$3:$G$1002,입출고내역!$C$3:$C$1002,$A291,입출고내역!$B$3:$B$1002,"입고",입출고내역!$A$3:$A$1002,"&gt;="&amp;DATE($B$3,$D$3,1),입출고내역!$A$3:$A$1002,"&lt;="&amp;EOMONTH(DATE($B$3,$D$3,1),0)))</f>
        <v/>
      </c>
      <c r="F291" s="13" t="str">
        <f aca="false">IF($A291="","",SUMIFS(입출고내역!$G$3:$G$1002,입출고내역!$C$3:$C$1002,$A291,입출고내역!$B$3:$B$1002,"출고",입출고내역!$A$3:$A$1002,"&gt;="&amp;DATE($B$3,$D$3,1),입출고내역!$A$3:$A$1002,"&lt;="&amp;EOMONTH(DATE($B$3,$D$3,1),0)))</f>
        <v/>
      </c>
      <c r="G291" s="13" t="str">
        <f aca="false">IF($A291="","",IF(품목마스터!$F288="",0,품목마스터!$F288)+SUMIFS(입출고내역!$L$3:$L$1002,입출고내역!$C$3:$C$1002,$A291,입출고내역!$A$3:$A$1002,"&lt;="&amp;EOMONTH(DATE($B$3,$D$3,1),0)))</f>
        <v/>
      </c>
      <c r="H291" s="13" t="str">
        <f aca="false">IF($A291="","",IF(품목마스터!$G288="",0,품목마스터!$G288))</f>
        <v/>
      </c>
    </row>
    <row r="292" customFormat="false" ht="15" hidden="false" customHeight="true" outlineLevel="0" collapsed="false">
      <c r="A292" s="12" t="str">
        <f aca="false">IF(품목마스터!$A289="","",품목마스터!$A289)</f>
        <v/>
      </c>
      <c r="B292" s="12" t="str">
        <f aca="false">IF($A292="","",품목마스터!$B289)</f>
        <v/>
      </c>
      <c r="C292" s="12" t="str">
        <f aca="false">IF($A292="","",품목마스터!$D289)</f>
        <v/>
      </c>
      <c r="D292" s="13" t="str">
        <f aca="false">IF($A292="","",IF(품목마스터!$F289="",0,품목마스터!$F289)+SUMIFS(입출고내역!$L$3:$L$1002,입출고내역!$C$3:$C$1002,$A292,입출고내역!$A$3:$A$1002,"&lt;"&amp;DATE($B$3,$D$3,1)))</f>
        <v/>
      </c>
      <c r="E292" s="13" t="str">
        <f aca="false">IF($A292="","",SUMIFS(입출고내역!$G$3:$G$1002,입출고내역!$C$3:$C$1002,$A292,입출고내역!$B$3:$B$1002,"입고",입출고내역!$A$3:$A$1002,"&gt;="&amp;DATE($B$3,$D$3,1),입출고내역!$A$3:$A$1002,"&lt;="&amp;EOMONTH(DATE($B$3,$D$3,1),0)))</f>
        <v/>
      </c>
      <c r="F292" s="13" t="str">
        <f aca="false">IF($A292="","",SUMIFS(입출고내역!$G$3:$G$1002,입출고내역!$C$3:$C$1002,$A292,입출고내역!$B$3:$B$1002,"출고",입출고내역!$A$3:$A$1002,"&gt;="&amp;DATE($B$3,$D$3,1),입출고내역!$A$3:$A$1002,"&lt;="&amp;EOMONTH(DATE($B$3,$D$3,1),0)))</f>
        <v/>
      </c>
      <c r="G292" s="13" t="str">
        <f aca="false">IF($A292="","",IF(품목마스터!$F289="",0,품목마스터!$F289)+SUMIFS(입출고내역!$L$3:$L$1002,입출고내역!$C$3:$C$1002,$A292,입출고내역!$A$3:$A$1002,"&lt;="&amp;EOMONTH(DATE($B$3,$D$3,1),0)))</f>
        <v/>
      </c>
      <c r="H292" s="13" t="str">
        <f aca="false">IF($A292="","",IF(품목마스터!$G289="",0,품목마스터!$G289))</f>
        <v/>
      </c>
    </row>
    <row r="293" customFormat="false" ht="15" hidden="false" customHeight="true" outlineLevel="0" collapsed="false">
      <c r="A293" s="12" t="str">
        <f aca="false">IF(품목마스터!$A290="","",품목마스터!$A290)</f>
        <v/>
      </c>
      <c r="B293" s="12" t="str">
        <f aca="false">IF($A293="","",품목마스터!$B290)</f>
        <v/>
      </c>
      <c r="C293" s="12" t="str">
        <f aca="false">IF($A293="","",품목마스터!$D290)</f>
        <v/>
      </c>
      <c r="D293" s="13" t="str">
        <f aca="false">IF($A293="","",IF(품목마스터!$F290="",0,품목마스터!$F290)+SUMIFS(입출고내역!$L$3:$L$1002,입출고내역!$C$3:$C$1002,$A293,입출고내역!$A$3:$A$1002,"&lt;"&amp;DATE($B$3,$D$3,1)))</f>
        <v/>
      </c>
      <c r="E293" s="13" t="str">
        <f aca="false">IF($A293="","",SUMIFS(입출고내역!$G$3:$G$1002,입출고내역!$C$3:$C$1002,$A293,입출고내역!$B$3:$B$1002,"입고",입출고내역!$A$3:$A$1002,"&gt;="&amp;DATE($B$3,$D$3,1),입출고내역!$A$3:$A$1002,"&lt;="&amp;EOMONTH(DATE($B$3,$D$3,1),0)))</f>
        <v/>
      </c>
      <c r="F293" s="13" t="str">
        <f aca="false">IF($A293="","",SUMIFS(입출고내역!$G$3:$G$1002,입출고내역!$C$3:$C$1002,$A293,입출고내역!$B$3:$B$1002,"출고",입출고내역!$A$3:$A$1002,"&gt;="&amp;DATE($B$3,$D$3,1),입출고내역!$A$3:$A$1002,"&lt;="&amp;EOMONTH(DATE($B$3,$D$3,1),0)))</f>
        <v/>
      </c>
      <c r="G293" s="13" t="str">
        <f aca="false">IF($A293="","",IF(품목마스터!$F290="",0,품목마스터!$F290)+SUMIFS(입출고내역!$L$3:$L$1002,입출고내역!$C$3:$C$1002,$A293,입출고내역!$A$3:$A$1002,"&lt;="&amp;EOMONTH(DATE($B$3,$D$3,1),0)))</f>
        <v/>
      </c>
      <c r="H293" s="13" t="str">
        <f aca="false">IF($A293="","",IF(품목마스터!$G290="",0,품목마스터!$G290))</f>
        <v/>
      </c>
    </row>
    <row r="294" customFormat="false" ht="15" hidden="false" customHeight="true" outlineLevel="0" collapsed="false">
      <c r="A294" s="12" t="str">
        <f aca="false">IF(품목마스터!$A291="","",품목마스터!$A291)</f>
        <v/>
      </c>
      <c r="B294" s="12" t="str">
        <f aca="false">IF($A294="","",품목마스터!$B291)</f>
        <v/>
      </c>
      <c r="C294" s="12" t="str">
        <f aca="false">IF($A294="","",품목마스터!$D291)</f>
        <v/>
      </c>
      <c r="D294" s="13" t="str">
        <f aca="false">IF($A294="","",IF(품목마스터!$F291="",0,품목마스터!$F291)+SUMIFS(입출고내역!$L$3:$L$1002,입출고내역!$C$3:$C$1002,$A294,입출고내역!$A$3:$A$1002,"&lt;"&amp;DATE($B$3,$D$3,1)))</f>
        <v/>
      </c>
      <c r="E294" s="13" t="str">
        <f aca="false">IF($A294="","",SUMIFS(입출고내역!$G$3:$G$1002,입출고내역!$C$3:$C$1002,$A294,입출고내역!$B$3:$B$1002,"입고",입출고내역!$A$3:$A$1002,"&gt;="&amp;DATE($B$3,$D$3,1),입출고내역!$A$3:$A$1002,"&lt;="&amp;EOMONTH(DATE($B$3,$D$3,1),0)))</f>
        <v/>
      </c>
      <c r="F294" s="13" t="str">
        <f aca="false">IF($A294="","",SUMIFS(입출고내역!$G$3:$G$1002,입출고내역!$C$3:$C$1002,$A294,입출고내역!$B$3:$B$1002,"출고",입출고내역!$A$3:$A$1002,"&gt;="&amp;DATE($B$3,$D$3,1),입출고내역!$A$3:$A$1002,"&lt;="&amp;EOMONTH(DATE($B$3,$D$3,1),0)))</f>
        <v/>
      </c>
      <c r="G294" s="13" t="str">
        <f aca="false">IF($A294="","",IF(품목마스터!$F291="",0,품목마스터!$F291)+SUMIFS(입출고내역!$L$3:$L$1002,입출고내역!$C$3:$C$1002,$A294,입출고내역!$A$3:$A$1002,"&lt;="&amp;EOMONTH(DATE($B$3,$D$3,1),0)))</f>
        <v/>
      </c>
      <c r="H294" s="13" t="str">
        <f aca="false">IF($A294="","",IF(품목마스터!$G291="",0,품목마스터!$G291))</f>
        <v/>
      </c>
    </row>
    <row r="295" customFormat="false" ht="15" hidden="false" customHeight="true" outlineLevel="0" collapsed="false">
      <c r="A295" s="12" t="str">
        <f aca="false">IF(품목마스터!$A292="","",품목마스터!$A292)</f>
        <v/>
      </c>
      <c r="B295" s="12" t="str">
        <f aca="false">IF($A295="","",품목마스터!$B292)</f>
        <v/>
      </c>
      <c r="C295" s="12" t="str">
        <f aca="false">IF($A295="","",품목마스터!$D292)</f>
        <v/>
      </c>
      <c r="D295" s="13" t="str">
        <f aca="false">IF($A295="","",IF(품목마스터!$F292="",0,품목마스터!$F292)+SUMIFS(입출고내역!$L$3:$L$1002,입출고내역!$C$3:$C$1002,$A295,입출고내역!$A$3:$A$1002,"&lt;"&amp;DATE($B$3,$D$3,1)))</f>
        <v/>
      </c>
      <c r="E295" s="13" t="str">
        <f aca="false">IF($A295="","",SUMIFS(입출고내역!$G$3:$G$1002,입출고내역!$C$3:$C$1002,$A295,입출고내역!$B$3:$B$1002,"입고",입출고내역!$A$3:$A$1002,"&gt;="&amp;DATE($B$3,$D$3,1),입출고내역!$A$3:$A$1002,"&lt;="&amp;EOMONTH(DATE($B$3,$D$3,1),0)))</f>
        <v/>
      </c>
      <c r="F295" s="13" t="str">
        <f aca="false">IF($A295="","",SUMIFS(입출고내역!$G$3:$G$1002,입출고내역!$C$3:$C$1002,$A295,입출고내역!$B$3:$B$1002,"출고",입출고내역!$A$3:$A$1002,"&gt;="&amp;DATE($B$3,$D$3,1),입출고내역!$A$3:$A$1002,"&lt;="&amp;EOMONTH(DATE($B$3,$D$3,1),0)))</f>
        <v/>
      </c>
      <c r="G295" s="13" t="str">
        <f aca="false">IF($A295="","",IF(품목마스터!$F292="",0,품목마스터!$F292)+SUMIFS(입출고내역!$L$3:$L$1002,입출고내역!$C$3:$C$1002,$A295,입출고내역!$A$3:$A$1002,"&lt;="&amp;EOMONTH(DATE($B$3,$D$3,1),0)))</f>
        <v/>
      </c>
      <c r="H295" s="13" t="str">
        <f aca="false">IF($A295="","",IF(품목마스터!$G292="",0,품목마스터!$G292))</f>
        <v/>
      </c>
    </row>
    <row r="296" customFormat="false" ht="15" hidden="false" customHeight="true" outlineLevel="0" collapsed="false">
      <c r="A296" s="12" t="str">
        <f aca="false">IF(품목마스터!$A293="","",품목마스터!$A293)</f>
        <v/>
      </c>
      <c r="B296" s="12" t="str">
        <f aca="false">IF($A296="","",품목마스터!$B293)</f>
        <v/>
      </c>
      <c r="C296" s="12" t="str">
        <f aca="false">IF($A296="","",품목마스터!$D293)</f>
        <v/>
      </c>
      <c r="D296" s="13" t="str">
        <f aca="false">IF($A296="","",IF(품목마스터!$F293="",0,품목마스터!$F293)+SUMIFS(입출고내역!$L$3:$L$1002,입출고내역!$C$3:$C$1002,$A296,입출고내역!$A$3:$A$1002,"&lt;"&amp;DATE($B$3,$D$3,1)))</f>
        <v/>
      </c>
      <c r="E296" s="13" t="str">
        <f aca="false">IF($A296="","",SUMIFS(입출고내역!$G$3:$G$1002,입출고내역!$C$3:$C$1002,$A296,입출고내역!$B$3:$B$1002,"입고",입출고내역!$A$3:$A$1002,"&gt;="&amp;DATE($B$3,$D$3,1),입출고내역!$A$3:$A$1002,"&lt;="&amp;EOMONTH(DATE($B$3,$D$3,1),0)))</f>
        <v/>
      </c>
      <c r="F296" s="13" t="str">
        <f aca="false">IF($A296="","",SUMIFS(입출고내역!$G$3:$G$1002,입출고내역!$C$3:$C$1002,$A296,입출고내역!$B$3:$B$1002,"출고",입출고내역!$A$3:$A$1002,"&gt;="&amp;DATE($B$3,$D$3,1),입출고내역!$A$3:$A$1002,"&lt;="&amp;EOMONTH(DATE($B$3,$D$3,1),0)))</f>
        <v/>
      </c>
      <c r="G296" s="13" t="str">
        <f aca="false">IF($A296="","",IF(품목마스터!$F293="",0,품목마스터!$F293)+SUMIFS(입출고내역!$L$3:$L$1002,입출고내역!$C$3:$C$1002,$A296,입출고내역!$A$3:$A$1002,"&lt;="&amp;EOMONTH(DATE($B$3,$D$3,1),0)))</f>
        <v/>
      </c>
      <c r="H296" s="13" t="str">
        <f aca="false">IF($A296="","",IF(품목마스터!$G293="",0,품목마스터!$G293))</f>
        <v/>
      </c>
    </row>
    <row r="297" customFormat="false" ht="15" hidden="false" customHeight="true" outlineLevel="0" collapsed="false">
      <c r="A297" s="12" t="str">
        <f aca="false">IF(품목마스터!$A294="","",품목마스터!$A294)</f>
        <v/>
      </c>
      <c r="B297" s="12" t="str">
        <f aca="false">IF($A297="","",품목마스터!$B294)</f>
        <v/>
      </c>
      <c r="C297" s="12" t="str">
        <f aca="false">IF($A297="","",품목마스터!$D294)</f>
        <v/>
      </c>
      <c r="D297" s="13" t="str">
        <f aca="false">IF($A297="","",IF(품목마스터!$F294="",0,품목마스터!$F294)+SUMIFS(입출고내역!$L$3:$L$1002,입출고내역!$C$3:$C$1002,$A297,입출고내역!$A$3:$A$1002,"&lt;"&amp;DATE($B$3,$D$3,1)))</f>
        <v/>
      </c>
      <c r="E297" s="13" t="str">
        <f aca="false">IF($A297="","",SUMIFS(입출고내역!$G$3:$G$1002,입출고내역!$C$3:$C$1002,$A297,입출고내역!$B$3:$B$1002,"입고",입출고내역!$A$3:$A$1002,"&gt;="&amp;DATE($B$3,$D$3,1),입출고내역!$A$3:$A$1002,"&lt;="&amp;EOMONTH(DATE($B$3,$D$3,1),0)))</f>
        <v/>
      </c>
      <c r="F297" s="13" t="str">
        <f aca="false">IF($A297="","",SUMIFS(입출고내역!$G$3:$G$1002,입출고내역!$C$3:$C$1002,$A297,입출고내역!$B$3:$B$1002,"출고",입출고내역!$A$3:$A$1002,"&gt;="&amp;DATE($B$3,$D$3,1),입출고내역!$A$3:$A$1002,"&lt;="&amp;EOMONTH(DATE($B$3,$D$3,1),0)))</f>
        <v/>
      </c>
      <c r="G297" s="13" t="str">
        <f aca="false">IF($A297="","",IF(품목마스터!$F294="",0,품목마스터!$F294)+SUMIFS(입출고내역!$L$3:$L$1002,입출고내역!$C$3:$C$1002,$A297,입출고내역!$A$3:$A$1002,"&lt;="&amp;EOMONTH(DATE($B$3,$D$3,1),0)))</f>
        <v/>
      </c>
      <c r="H297" s="13" t="str">
        <f aca="false">IF($A297="","",IF(품목마스터!$G294="",0,품목마스터!$G294))</f>
        <v/>
      </c>
    </row>
    <row r="298" customFormat="false" ht="15" hidden="false" customHeight="true" outlineLevel="0" collapsed="false">
      <c r="A298" s="12" t="str">
        <f aca="false">IF(품목마스터!$A295="","",품목마스터!$A295)</f>
        <v/>
      </c>
      <c r="B298" s="12" t="str">
        <f aca="false">IF($A298="","",품목마스터!$B295)</f>
        <v/>
      </c>
      <c r="C298" s="12" t="str">
        <f aca="false">IF($A298="","",품목마스터!$D295)</f>
        <v/>
      </c>
      <c r="D298" s="13" t="str">
        <f aca="false">IF($A298="","",IF(품목마스터!$F295="",0,품목마스터!$F295)+SUMIFS(입출고내역!$L$3:$L$1002,입출고내역!$C$3:$C$1002,$A298,입출고내역!$A$3:$A$1002,"&lt;"&amp;DATE($B$3,$D$3,1)))</f>
        <v/>
      </c>
      <c r="E298" s="13" t="str">
        <f aca="false">IF($A298="","",SUMIFS(입출고내역!$G$3:$G$1002,입출고내역!$C$3:$C$1002,$A298,입출고내역!$B$3:$B$1002,"입고",입출고내역!$A$3:$A$1002,"&gt;="&amp;DATE($B$3,$D$3,1),입출고내역!$A$3:$A$1002,"&lt;="&amp;EOMONTH(DATE($B$3,$D$3,1),0)))</f>
        <v/>
      </c>
      <c r="F298" s="13" t="str">
        <f aca="false">IF($A298="","",SUMIFS(입출고내역!$G$3:$G$1002,입출고내역!$C$3:$C$1002,$A298,입출고내역!$B$3:$B$1002,"출고",입출고내역!$A$3:$A$1002,"&gt;="&amp;DATE($B$3,$D$3,1),입출고내역!$A$3:$A$1002,"&lt;="&amp;EOMONTH(DATE($B$3,$D$3,1),0)))</f>
        <v/>
      </c>
      <c r="G298" s="13" t="str">
        <f aca="false">IF($A298="","",IF(품목마스터!$F295="",0,품목마스터!$F295)+SUMIFS(입출고내역!$L$3:$L$1002,입출고내역!$C$3:$C$1002,$A298,입출고내역!$A$3:$A$1002,"&lt;="&amp;EOMONTH(DATE($B$3,$D$3,1),0)))</f>
        <v/>
      </c>
      <c r="H298" s="13" t="str">
        <f aca="false">IF($A298="","",IF(품목마스터!$G295="",0,품목마스터!$G295))</f>
        <v/>
      </c>
    </row>
    <row r="299" customFormat="false" ht="15" hidden="false" customHeight="true" outlineLevel="0" collapsed="false">
      <c r="A299" s="12" t="str">
        <f aca="false">IF(품목마스터!$A296="","",품목마스터!$A296)</f>
        <v/>
      </c>
      <c r="B299" s="12" t="str">
        <f aca="false">IF($A299="","",품목마스터!$B296)</f>
        <v/>
      </c>
      <c r="C299" s="12" t="str">
        <f aca="false">IF($A299="","",품목마스터!$D296)</f>
        <v/>
      </c>
      <c r="D299" s="13" t="str">
        <f aca="false">IF($A299="","",IF(품목마스터!$F296="",0,품목마스터!$F296)+SUMIFS(입출고내역!$L$3:$L$1002,입출고내역!$C$3:$C$1002,$A299,입출고내역!$A$3:$A$1002,"&lt;"&amp;DATE($B$3,$D$3,1)))</f>
        <v/>
      </c>
      <c r="E299" s="13" t="str">
        <f aca="false">IF($A299="","",SUMIFS(입출고내역!$G$3:$G$1002,입출고내역!$C$3:$C$1002,$A299,입출고내역!$B$3:$B$1002,"입고",입출고내역!$A$3:$A$1002,"&gt;="&amp;DATE($B$3,$D$3,1),입출고내역!$A$3:$A$1002,"&lt;="&amp;EOMONTH(DATE($B$3,$D$3,1),0)))</f>
        <v/>
      </c>
      <c r="F299" s="13" t="str">
        <f aca="false">IF($A299="","",SUMIFS(입출고내역!$G$3:$G$1002,입출고내역!$C$3:$C$1002,$A299,입출고내역!$B$3:$B$1002,"출고",입출고내역!$A$3:$A$1002,"&gt;="&amp;DATE($B$3,$D$3,1),입출고내역!$A$3:$A$1002,"&lt;="&amp;EOMONTH(DATE($B$3,$D$3,1),0)))</f>
        <v/>
      </c>
      <c r="G299" s="13" t="str">
        <f aca="false">IF($A299="","",IF(품목마스터!$F296="",0,품목마스터!$F296)+SUMIFS(입출고내역!$L$3:$L$1002,입출고내역!$C$3:$C$1002,$A299,입출고내역!$A$3:$A$1002,"&lt;="&amp;EOMONTH(DATE($B$3,$D$3,1),0)))</f>
        <v/>
      </c>
      <c r="H299" s="13" t="str">
        <f aca="false">IF($A299="","",IF(품목마스터!$G296="",0,품목마스터!$G296))</f>
        <v/>
      </c>
    </row>
    <row r="300" customFormat="false" ht="15" hidden="false" customHeight="true" outlineLevel="0" collapsed="false">
      <c r="A300" s="12" t="str">
        <f aca="false">IF(품목마스터!$A297="","",품목마스터!$A297)</f>
        <v/>
      </c>
      <c r="B300" s="12" t="str">
        <f aca="false">IF($A300="","",품목마스터!$B297)</f>
        <v/>
      </c>
      <c r="C300" s="12" t="str">
        <f aca="false">IF($A300="","",품목마스터!$D297)</f>
        <v/>
      </c>
      <c r="D300" s="13" t="str">
        <f aca="false">IF($A300="","",IF(품목마스터!$F297="",0,품목마스터!$F297)+SUMIFS(입출고내역!$L$3:$L$1002,입출고내역!$C$3:$C$1002,$A300,입출고내역!$A$3:$A$1002,"&lt;"&amp;DATE($B$3,$D$3,1)))</f>
        <v/>
      </c>
      <c r="E300" s="13" t="str">
        <f aca="false">IF($A300="","",SUMIFS(입출고내역!$G$3:$G$1002,입출고내역!$C$3:$C$1002,$A300,입출고내역!$B$3:$B$1002,"입고",입출고내역!$A$3:$A$1002,"&gt;="&amp;DATE($B$3,$D$3,1),입출고내역!$A$3:$A$1002,"&lt;="&amp;EOMONTH(DATE($B$3,$D$3,1),0)))</f>
        <v/>
      </c>
      <c r="F300" s="13" t="str">
        <f aca="false">IF($A300="","",SUMIFS(입출고내역!$G$3:$G$1002,입출고내역!$C$3:$C$1002,$A300,입출고내역!$B$3:$B$1002,"출고",입출고내역!$A$3:$A$1002,"&gt;="&amp;DATE($B$3,$D$3,1),입출고내역!$A$3:$A$1002,"&lt;="&amp;EOMONTH(DATE($B$3,$D$3,1),0)))</f>
        <v/>
      </c>
      <c r="G300" s="13" t="str">
        <f aca="false">IF($A300="","",IF(품목마스터!$F297="",0,품목마스터!$F297)+SUMIFS(입출고내역!$L$3:$L$1002,입출고내역!$C$3:$C$1002,$A300,입출고내역!$A$3:$A$1002,"&lt;="&amp;EOMONTH(DATE($B$3,$D$3,1),0)))</f>
        <v/>
      </c>
      <c r="H300" s="13" t="str">
        <f aca="false">IF($A300="","",IF(품목마스터!$G297="",0,품목마스터!$G297))</f>
        <v/>
      </c>
    </row>
    <row r="301" customFormat="false" ht="15" hidden="false" customHeight="true" outlineLevel="0" collapsed="false">
      <c r="A301" s="12" t="str">
        <f aca="false">IF(품목마스터!$A298="","",품목마스터!$A298)</f>
        <v/>
      </c>
      <c r="B301" s="12" t="str">
        <f aca="false">IF($A301="","",품목마스터!$B298)</f>
        <v/>
      </c>
      <c r="C301" s="12" t="str">
        <f aca="false">IF($A301="","",품목마스터!$D298)</f>
        <v/>
      </c>
      <c r="D301" s="13" t="str">
        <f aca="false">IF($A301="","",IF(품목마스터!$F298="",0,품목마스터!$F298)+SUMIFS(입출고내역!$L$3:$L$1002,입출고내역!$C$3:$C$1002,$A301,입출고내역!$A$3:$A$1002,"&lt;"&amp;DATE($B$3,$D$3,1)))</f>
        <v/>
      </c>
      <c r="E301" s="13" t="str">
        <f aca="false">IF($A301="","",SUMIFS(입출고내역!$G$3:$G$1002,입출고내역!$C$3:$C$1002,$A301,입출고내역!$B$3:$B$1002,"입고",입출고내역!$A$3:$A$1002,"&gt;="&amp;DATE($B$3,$D$3,1),입출고내역!$A$3:$A$1002,"&lt;="&amp;EOMONTH(DATE($B$3,$D$3,1),0)))</f>
        <v/>
      </c>
      <c r="F301" s="13" t="str">
        <f aca="false">IF($A301="","",SUMIFS(입출고내역!$G$3:$G$1002,입출고내역!$C$3:$C$1002,$A301,입출고내역!$B$3:$B$1002,"출고",입출고내역!$A$3:$A$1002,"&gt;="&amp;DATE($B$3,$D$3,1),입출고내역!$A$3:$A$1002,"&lt;="&amp;EOMONTH(DATE($B$3,$D$3,1),0)))</f>
        <v/>
      </c>
      <c r="G301" s="13" t="str">
        <f aca="false">IF($A301="","",IF(품목마스터!$F298="",0,품목마스터!$F298)+SUMIFS(입출고내역!$L$3:$L$1002,입출고내역!$C$3:$C$1002,$A301,입출고내역!$A$3:$A$1002,"&lt;="&amp;EOMONTH(DATE($B$3,$D$3,1),0)))</f>
        <v/>
      </c>
      <c r="H301" s="13" t="str">
        <f aca="false">IF($A301="","",IF(품목마스터!$G298="",0,품목마스터!$G298))</f>
        <v/>
      </c>
    </row>
    <row r="302" customFormat="false" ht="15" hidden="false" customHeight="true" outlineLevel="0" collapsed="false">
      <c r="A302" s="12" t="str">
        <f aca="false">IF(품목마스터!$A299="","",품목마스터!$A299)</f>
        <v/>
      </c>
      <c r="B302" s="12" t="str">
        <f aca="false">IF($A302="","",품목마스터!$B299)</f>
        <v/>
      </c>
      <c r="C302" s="12" t="str">
        <f aca="false">IF($A302="","",품목마스터!$D299)</f>
        <v/>
      </c>
      <c r="D302" s="13" t="str">
        <f aca="false">IF($A302="","",IF(품목마스터!$F299="",0,품목마스터!$F299)+SUMIFS(입출고내역!$L$3:$L$1002,입출고내역!$C$3:$C$1002,$A302,입출고내역!$A$3:$A$1002,"&lt;"&amp;DATE($B$3,$D$3,1)))</f>
        <v/>
      </c>
      <c r="E302" s="13" t="str">
        <f aca="false">IF($A302="","",SUMIFS(입출고내역!$G$3:$G$1002,입출고내역!$C$3:$C$1002,$A302,입출고내역!$B$3:$B$1002,"입고",입출고내역!$A$3:$A$1002,"&gt;="&amp;DATE($B$3,$D$3,1),입출고내역!$A$3:$A$1002,"&lt;="&amp;EOMONTH(DATE($B$3,$D$3,1),0)))</f>
        <v/>
      </c>
      <c r="F302" s="13" t="str">
        <f aca="false">IF($A302="","",SUMIFS(입출고내역!$G$3:$G$1002,입출고내역!$C$3:$C$1002,$A302,입출고내역!$B$3:$B$1002,"출고",입출고내역!$A$3:$A$1002,"&gt;="&amp;DATE($B$3,$D$3,1),입출고내역!$A$3:$A$1002,"&lt;="&amp;EOMONTH(DATE($B$3,$D$3,1),0)))</f>
        <v/>
      </c>
      <c r="G302" s="13" t="str">
        <f aca="false">IF($A302="","",IF(품목마스터!$F299="",0,품목마스터!$F299)+SUMIFS(입출고내역!$L$3:$L$1002,입출고내역!$C$3:$C$1002,$A302,입출고내역!$A$3:$A$1002,"&lt;="&amp;EOMONTH(DATE($B$3,$D$3,1),0)))</f>
        <v/>
      </c>
      <c r="H302" s="13" t="str">
        <f aca="false">IF($A302="","",IF(품목마스터!$G299="",0,품목마스터!$G299))</f>
        <v/>
      </c>
    </row>
    <row r="303" customFormat="false" ht="15" hidden="false" customHeight="true" outlineLevel="0" collapsed="false">
      <c r="A303" s="12" t="str">
        <f aca="false">IF(품목마스터!$A300="","",품목마스터!$A300)</f>
        <v/>
      </c>
      <c r="B303" s="12" t="str">
        <f aca="false">IF($A303="","",품목마스터!$B300)</f>
        <v/>
      </c>
      <c r="C303" s="12" t="str">
        <f aca="false">IF($A303="","",품목마스터!$D300)</f>
        <v/>
      </c>
      <c r="D303" s="13" t="str">
        <f aca="false">IF($A303="","",IF(품목마스터!$F300="",0,품목마스터!$F300)+SUMIFS(입출고내역!$L$3:$L$1002,입출고내역!$C$3:$C$1002,$A303,입출고내역!$A$3:$A$1002,"&lt;"&amp;DATE($B$3,$D$3,1)))</f>
        <v/>
      </c>
      <c r="E303" s="13" t="str">
        <f aca="false">IF($A303="","",SUMIFS(입출고내역!$G$3:$G$1002,입출고내역!$C$3:$C$1002,$A303,입출고내역!$B$3:$B$1002,"입고",입출고내역!$A$3:$A$1002,"&gt;="&amp;DATE($B$3,$D$3,1),입출고내역!$A$3:$A$1002,"&lt;="&amp;EOMONTH(DATE($B$3,$D$3,1),0)))</f>
        <v/>
      </c>
      <c r="F303" s="13" t="str">
        <f aca="false">IF($A303="","",SUMIFS(입출고내역!$G$3:$G$1002,입출고내역!$C$3:$C$1002,$A303,입출고내역!$B$3:$B$1002,"출고",입출고내역!$A$3:$A$1002,"&gt;="&amp;DATE($B$3,$D$3,1),입출고내역!$A$3:$A$1002,"&lt;="&amp;EOMONTH(DATE($B$3,$D$3,1),0)))</f>
        <v/>
      </c>
      <c r="G303" s="13" t="str">
        <f aca="false">IF($A303="","",IF(품목마스터!$F300="",0,품목마스터!$F300)+SUMIFS(입출고내역!$L$3:$L$1002,입출고내역!$C$3:$C$1002,$A303,입출고내역!$A$3:$A$1002,"&lt;="&amp;EOMONTH(DATE($B$3,$D$3,1),0)))</f>
        <v/>
      </c>
      <c r="H303" s="13" t="str">
        <f aca="false">IF($A303="","",IF(품목마스터!$G300="",0,품목마스터!$G300))</f>
        <v/>
      </c>
    </row>
    <row r="304" customFormat="false" ht="15" hidden="false" customHeight="true" outlineLevel="0" collapsed="false">
      <c r="A304" s="12" t="str">
        <f aca="false">IF(품목마스터!$A301="","",품목마스터!$A301)</f>
        <v/>
      </c>
      <c r="B304" s="12" t="str">
        <f aca="false">IF($A304="","",품목마스터!$B301)</f>
        <v/>
      </c>
      <c r="C304" s="12" t="str">
        <f aca="false">IF($A304="","",품목마스터!$D301)</f>
        <v/>
      </c>
      <c r="D304" s="13" t="str">
        <f aca="false">IF($A304="","",IF(품목마스터!$F301="",0,품목마스터!$F301)+SUMIFS(입출고내역!$L$3:$L$1002,입출고내역!$C$3:$C$1002,$A304,입출고내역!$A$3:$A$1002,"&lt;"&amp;DATE($B$3,$D$3,1)))</f>
        <v/>
      </c>
      <c r="E304" s="13" t="str">
        <f aca="false">IF($A304="","",SUMIFS(입출고내역!$G$3:$G$1002,입출고내역!$C$3:$C$1002,$A304,입출고내역!$B$3:$B$1002,"입고",입출고내역!$A$3:$A$1002,"&gt;="&amp;DATE($B$3,$D$3,1),입출고내역!$A$3:$A$1002,"&lt;="&amp;EOMONTH(DATE($B$3,$D$3,1),0)))</f>
        <v/>
      </c>
      <c r="F304" s="13" t="str">
        <f aca="false">IF($A304="","",SUMIFS(입출고내역!$G$3:$G$1002,입출고내역!$C$3:$C$1002,$A304,입출고내역!$B$3:$B$1002,"출고",입출고내역!$A$3:$A$1002,"&gt;="&amp;DATE($B$3,$D$3,1),입출고내역!$A$3:$A$1002,"&lt;="&amp;EOMONTH(DATE($B$3,$D$3,1),0)))</f>
        <v/>
      </c>
      <c r="G304" s="13" t="str">
        <f aca="false">IF($A304="","",IF(품목마스터!$F301="",0,품목마스터!$F301)+SUMIFS(입출고내역!$L$3:$L$1002,입출고내역!$C$3:$C$1002,$A304,입출고내역!$A$3:$A$1002,"&lt;="&amp;EOMONTH(DATE($B$3,$D$3,1),0)))</f>
        <v/>
      </c>
      <c r="H304" s="13" t="str">
        <f aca="false">IF($A304="","",IF(품목마스터!$G301="",0,품목마스터!$G301))</f>
        <v/>
      </c>
    </row>
    <row r="305" customFormat="false" ht="15" hidden="false" customHeight="true" outlineLevel="0" collapsed="false">
      <c r="A305" s="12" t="str">
        <f aca="false">IF(품목마스터!$A302="","",품목마스터!$A302)</f>
        <v/>
      </c>
      <c r="B305" s="12" t="str">
        <f aca="false">IF($A305="","",품목마스터!$B302)</f>
        <v/>
      </c>
      <c r="C305" s="12" t="str">
        <f aca="false">IF($A305="","",품목마스터!$D302)</f>
        <v/>
      </c>
      <c r="D305" s="13" t="str">
        <f aca="false">IF($A305="","",IF(품목마스터!$F302="",0,품목마스터!$F302)+SUMIFS(입출고내역!$L$3:$L$1002,입출고내역!$C$3:$C$1002,$A305,입출고내역!$A$3:$A$1002,"&lt;"&amp;DATE($B$3,$D$3,1)))</f>
        <v/>
      </c>
      <c r="E305" s="13" t="str">
        <f aca="false">IF($A305="","",SUMIFS(입출고내역!$G$3:$G$1002,입출고내역!$C$3:$C$1002,$A305,입출고내역!$B$3:$B$1002,"입고",입출고내역!$A$3:$A$1002,"&gt;="&amp;DATE($B$3,$D$3,1),입출고내역!$A$3:$A$1002,"&lt;="&amp;EOMONTH(DATE($B$3,$D$3,1),0)))</f>
        <v/>
      </c>
      <c r="F305" s="13" t="str">
        <f aca="false">IF($A305="","",SUMIFS(입출고내역!$G$3:$G$1002,입출고내역!$C$3:$C$1002,$A305,입출고내역!$B$3:$B$1002,"출고",입출고내역!$A$3:$A$1002,"&gt;="&amp;DATE($B$3,$D$3,1),입출고내역!$A$3:$A$1002,"&lt;="&amp;EOMONTH(DATE($B$3,$D$3,1),0)))</f>
        <v/>
      </c>
      <c r="G305" s="13" t="str">
        <f aca="false">IF($A305="","",IF(품목마스터!$F302="",0,품목마스터!$F302)+SUMIFS(입출고내역!$L$3:$L$1002,입출고내역!$C$3:$C$1002,$A305,입출고내역!$A$3:$A$1002,"&lt;="&amp;EOMONTH(DATE($B$3,$D$3,1),0)))</f>
        <v/>
      </c>
      <c r="H305" s="13" t="str">
        <f aca="false">IF($A305="","",IF(품목마스터!$G302="",0,품목마스터!$G302))</f>
        <v/>
      </c>
    </row>
    <row r="307" customFormat="false" ht="15" hidden="false" customHeight="true" outlineLevel="0" collapsed="false">
      <c r="B307" s="21" t="s">
        <v>78</v>
      </c>
      <c r="D307" s="22" t="n">
        <f aca="false">SUM(D6:D305)</f>
        <v>1352</v>
      </c>
      <c r="E307" s="22" t="n">
        <f aca="false">SUM(E6:E305)</f>
        <v>0</v>
      </c>
      <c r="F307" s="22" t="n">
        <f aca="false">SUM(F6:F305)</f>
        <v>0</v>
      </c>
      <c r="G307" s="22" t="n">
        <f aca="false">SUM(G6:G305)</f>
        <v>1352</v>
      </c>
      <c r="H307" s="22" t="n">
        <f aca="false">SUM(H6:H305)</f>
        <v>314</v>
      </c>
    </row>
    <row r="309" customFormat="false" ht="15" hidden="false" customHeight="true" outlineLevel="0" collapsed="false">
      <c r="A309" s="5" t="s">
        <v>89</v>
      </c>
    </row>
  </sheetData>
  <mergeCells count="1">
    <mergeCell ref="A1:H1"/>
  </mergeCells>
  <conditionalFormatting sqref="A6:H305">
    <cfRule type="expression" priority="2" aboveAverage="0" equalAverage="0" bottom="0" percent="0" rank="0" text="" dxfId="0">
      <formula>AND($A6&lt;&gt;"",$H6&gt;0,$G6&lt;$H6)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2026-09-13T11:10:15Z</dcterms:created>
  <dc:creator>openpyxl</dc:creator>
  <dc:description/>
  <dc:language>en-US</dc:language>
  <cp:lastModifiedBy/>
  <dcterms:modified xsi:type="dcterms:W3CDTF">2026-09-13T14:21:45Z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