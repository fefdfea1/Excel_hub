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안내" sheetId="1" state="visible" r:id="rId3"/>
    <sheet name="품목목록" sheetId="2" state="visible" r:id="rId4"/>
    <sheet name="업체목록" sheetId="3" state="visible" r:id="rId5"/>
    <sheet name="견적입력" sheetId="4" state="visible" r:id="rId6"/>
    <sheet name="업체별비교" sheetId="5" state="visible" r:id="rId7"/>
    <sheet name="최저가결과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<sst xmlns="http://schemas.openxmlformats.org/spreadsheetml/2006/main" count="110" uniqueCount="71">
  <si>
    <t xml:space="preserve">견적 비교표 · 최저가 자동 선정</t>
  </si>
  <si>
    <t xml:space="preserve">핵심</t>
  </si>
  <si>
    <t xml:space="preserve">품목별로 여러 업체 견적을 입력하면 최저가와 최저가 업체가 자동으로 표시됩니다.</t>
  </si>
  <si>
    <t xml:space="preserve">입력 규칙</t>
  </si>
  <si>
    <t xml:space="preserve">파란색 글씨 칸만 입력하세요. 검은색은 자동 계산입니다.</t>
  </si>
  <si>
    <t xml:space="preserve">① 품목목록</t>
  </si>
  <si>
    <t xml:space="preserve">견적을 받을 품목과 필요수량을 등록합니다.</t>
  </si>
  <si>
    <t xml:space="preserve">② 업체목록</t>
  </si>
  <si>
    <t xml:space="preserve">견적을 받는 업체를 등록합니다. 업체코드(V1, V2…)가 다른 시트의 기준이 됩니다.</t>
  </si>
  <si>
    <t xml:space="preserve">③ 견적입력</t>
  </si>
  <si>
    <t xml:space="preserve">품목과 업체코드를 고를 때마다 한 줄. 견적단가만 넣으면 최저가 여부가 자동으로 표시됩니다.</t>
  </si>
  <si>
    <t xml:space="preserve">④ 업체별비교</t>
  </si>
  <si>
    <t xml:space="preserve">품목별로 업체마다 낸 단가를 한 표에 모아 비교합니다. 열 머리글의 V1·V2는 업체목록의 업체코드입니다.</t>
  </si>
  <si>
    <t xml:space="preserve">⑤ 최저가결과</t>
  </si>
  <si>
    <t xml:space="preserve">품목별 최저가 업체와 구매금액이 자동으로 정리됩니다. 이대로 발주하면 됩니다.</t>
  </si>
  <si>
    <t xml:space="preserve">※ 회사명·업체명·담당자명은 모두 예시로 만든 가상의 정보입니다.</t>
  </si>
  <si>
    <t xml:space="preserve">품목목록</t>
  </si>
  <si>
    <t xml:space="preserve">품번</t>
  </si>
  <si>
    <t xml:space="preserve">품명</t>
  </si>
  <si>
    <t xml:space="preserve">규격</t>
  </si>
  <si>
    <t xml:space="preserve">필요수량</t>
  </si>
  <si>
    <t xml:space="preserve">P01</t>
  </si>
  <si>
    <t xml:space="preserve">A4용지 80g</t>
  </si>
  <si>
    <t xml:space="preserve">박스(2500매)</t>
  </si>
  <si>
    <t xml:space="preserve">P02</t>
  </si>
  <si>
    <t xml:space="preserve">사무용의자</t>
  </si>
  <si>
    <t xml:space="preserve">메쉬형</t>
  </si>
  <si>
    <t xml:space="preserve">P03</t>
  </si>
  <si>
    <t xml:space="preserve">모니터</t>
  </si>
  <si>
    <t xml:space="preserve">27인치</t>
  </si>
  <si>
    <t xml:space="preserve">P04</t>
  </si>
  <si>
    <t xml:space="preserve">복합기토너</t>
  </si>
  <si>
    <t xml:space="preserve">정품</t>
  </si>
  <si>
    <t xml:space="preserve">P05</t>
  </si>
  <si>
    <t xml:space="preserve">사무용책상</t>
  </si>
  <si>
    <t xml:space="preserve">1200x600</t>
  </si>
  <si>
    <t xml:space="preserve">업체목록</t>
  </si>
  <si>
    <t xml:space="preserve">업체코드</t>
  </si>
  <si>
    <t xml:space="preserve">업체명</t>
  </si>
  <si>
    <t xml:space="preserve">담당자</t>
  </si>
  <si>
    <t xml:space="preserve">연락처</t>
  </si>
  <si>
    <t xml:space="preserve">V1</t>
  </si>
  <si>
    <t xml:space="preserve">한빛오피스</t>
  </si>
  <si>
    <t xml:space="preserve">김대리</t>
  </si>
  <si>
    <t xml:space="preserve">010-0000-0011</t>
  </si>
  <si>
    <t xml:space="preserve">V2</t>
  </si>
  <si>
    <t xml:space="preserve">서울사무기기</t>
  </si>
  <si>
    <t xml:space="preserve">이과장</t>
  </si>
  <si>
    <t xml:space="preserve">010-0000-0012</t>
  </si>
  <si>
    <t xml:space="preserve">V3</t>
  </si>
  <si>
    <t xml:space="preserve">대성물산</t>
  </si>
  <si>
    <t xml:space="preserve">박대리</t>
  </si>
  <si>
    <t xml:space="preserve">010-0000-0013</t>
  </si>
  <si>
    <t xml:space="preserve">V4</t>
  </si>
  <si>
    <t xml:space="preserve">그린오피스</t>
  </si>
  <si>
    <t xml:space="preserve">최과장</t>
  </si>
  <si>
    <t xml:space="preserve">010-0000-0014</t>
  </si>
  <si>
    <t xml:space="preserve">견적입력 (품번·업체코드만 넣으면 나머지 자동)</t>
  </si>
  <si>
    <t xml:space="preserve">품명(자동)</t>
  </si>
  <si>
    <t xml:space="preserve">업체명(자동)</t>
  </si>
  <si>
    <t xml:space="preserve">필요수량(자동)</t>
  </si>
  <si>
    <t xml:space="preserve">견적단가</t>
  </si>
  <si>
    <t xml:space="preserve">견적금액(자동)</t>
  </si>
  <si>
    <t xml:space="preserve">최저가(자동)</t>
  </si>
  <si>
    <t xml:space="preserve">조회키(자동)</t>
  </si>
  <si>
    <t xml:space="preserve">업체별비교 (자동, 열 머리글의 V1~V4는 업체목록의 업체코드)</t>
  </si>
  <si>
    <t xml:space="preserve">최저단가</t>
  </si>
  <si>
    <t xml:space="preserve">최저업체</t>
  </si>
  <si>
    <t xml:space="preserve">최저가결과 (자동, 이대로 발주하면 됩니다)</t>
  </si>
  <si>
    <t xml:space="preserve">구매금액</t>
  </si>
  <si>
    <t xml:space="preserve">합계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</si>
</sst>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0">
    <font>
      <sz val="11"/>
      <color theme="1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맑은 고딕"/>
      <family val="0"/>
      <charset val="1"/>
    </font>
    <font>
      <b val="true"/>
      <sz val="10"/>
      <name val="맑은 고딕"/>
      <family val="0"/>
      <charset val="1"/>
    </font>
    <font>
      <sz val="10"/>
      <name val="맑은 고딕"/>
      <family val="0"/>
      <charset val="1"/>
    </font>
    <font>
      <sz val="9"/>
      <color rgb="FF808080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  <font>
      <sz val="10"/>
      <color rgb="FF0000FF"/>
      <name val="맑은 고딕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B9A"/>
        <bgColor rgb="FF0066CC"/>
      </patternFill>
    </fill>
    <fill>
      <patternFill patternType="solid">
        <fgColor rgb="FF6B7A8F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A8F"/>
      <rgbColor rgb="FF969696"/>
      <rgbColor rgb="FF1F3864"/>
      <rgbColor rgb="FF339966"/>
      <rgbColor rgb="FF003300"/>
      <rgbColor rgb="FF333300"/>
      <rgbColor rgb="FF993300"/>
      <rgbColor rgb="FF993366"/>
      <rgbColor rgb="FF2E5B9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12890625" defaultRowHeight="15" customHeight="false" zeroHeight="false" outlineLevelRow="0" outlineLevelCol="0"/>
  <cols>
    <col collapsed="false" customWidth="true" hidden="false" outlineLevel="0" max="1" min="1" style="0" width="1.67"/>
    <col collapsed="false" customWidth="true" hidden="false" outlineLevel="0" max="2" min="2" style="0" width="38.39"/>
    <col collapsed="false" customWidth="true" hidden="false" outlineLevel="0" max="3" min="3" style="0" width="68.44"/>
  </cols>
  <sheetData>
    <row r="2" customFormat="false" ht="25.5" hidden="false" customHeight="true" outlineLevel="0" collapsed="false">
      <c r="B2" s="1" t="s">
        <v>0</v>
      </c>
      <c r="C2" s="1"/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4</v>
      </c>
    </row>
    <row r="6" customFormat="false" ht="15" hidden="false" customHeight="false" outlineLevel="0" collapsed="false">
      <c r="B6" s="2" t="s">
        <v>5</v>
      </c>
      <c r="C6" s="3" t="s">
        <v>6</v>
      </c>
    </row>
    <row r="7" customFormat="false" ht="15" hidden="false" customHeight="false" outlineLevel="0" collapsed="false">
      <c r="B7" s="2" t="s">
        <v>7</v>
      </c>
      <c r="C7" s="3" t="s">
        <v>8</v>
      </c>
    </row>
    <row r="8" customFormat="false" ht="15" hidden="false" customHeight="false" outlineLevel="0" collapsed="false">
      <c r="B8" s="2" t="s">
        <v>9</v>
      </c>
      <c r="C8" s="3" t="s">
        <v>10</v>
      </c>
    </row>
    <row r="9" customFormat="false" ht="15" hidden="false" customHeight="false" outlineLevel="0" collapsed="false">
      <c r="B9" s="2" t="s">
        <v>11</v>
      </c>
      <c r="C9" s="3" t="s">
        <v>12</v>
      </c>
    </row>
    <row r="10" customFormat="false" ht="15" hidden="false" customHeight="false" outlineLevel="0" collapsed="false">
      <c r="B10" s="2" t="s">
        <v>13</v>
      </c>
      <c r="C10" s="3" t="s">
        <v>14</v>
      </c>
    </row>
    <row r="12" customFormat="false" ht="15" hidden="false" customHeight="false" outlineLevel="0" collapsed="false">
      <c r="C12" s="4" t="s">
        <v>15</v>
      </c>
    </row>
  </sheetData>
  <mergeCells count="1">
    <mergeCell ref="B2:C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12890625" defaultRowHeight="15" customHeight="false" zeroHeight="false" outlineLevelRow="0" outlineLevelCol="0"/>
  <cols>
    <col collapsed="false" customWidth="true" hidden="false" outlineLevel="0" max="1" min="1" style="0" width="8.35"/>
    <col collapsed="false" customWidth="true" hidden="false" outlineLevel="0" max="2" min="2" style="0" width="13.35"/>
    <col collapsed="false" customWidth="true" hidden="false" outlineLevel="0" max="3" min="3" style="0" width="11.68"/>
    <col collapsed="false" customWidth="true" hidden="false" outlineLevel="0" max="4" min="4" style="0" width="8.35"/>
  </cols>
  <sheetData>
    <row r="1" customFormat="false" ht="25.5" hidden="false" customHeight="true" outlineLevel="0" collapsed="false">
      <c r="A1" s="1" t="s">
        <v>16</v>
      </c>
      <c r="B1" s="1"/>
      <c r="C1" s="1"/>
      <c r="D1" s="1"/>
    </row>
    <row r="2" customFormat="false" ht="15" hidden="false" customHeight="false" outlineLevel="0" collapsed="false">
      <c r="A2" s="5" t="s">
        <v>17</v>
      </c>
      <c r="B2" s="5" t="s">
        <v>18</v>
      </c>
      <c r="C2" s="5" t="s">
        <v>19</v>
      </c>
      <c r="D2" s="5" t="s">
        <v>20</v>
      </c>
    </row>
    <row r="3" customFormat="false" ht="15" hidden="false" customHeight="false" outlineLevel="0" collapsed="false">
      <c r="A3" s="6" t="s">
        <v>21</v>
      </c>
      <c r="B3" s="6" t="s">
        <v>22</v>
      </c>
      <c r="C3" s="6" t="s">
        <v>23</v>
      </c>
      <c r="D3" s="6" t="n">
        <v>50</v>
      </c>
    </row>
    <row r="4" customFormat="false" ht="15" hidden="false" customHeight="false" outlineLevel="0" collapsed="false">
      <c r="A4" s="6" t="s">
        <v>24</v>
      </c>
      <c r="B4" s="6" t="s">
        <v>25</v>
      </c>
      <c r="C4" s="6" t="s">
        <v>26</v>
      </c>
      <c r="D4" s="6" t="n">
        <v>10</v>
      </c>
    </row>
    <row r="5" customFormat="false" ht="15" hidden="false" customHeight="false" outlineLevel="0" collapsed="false">
      <c r="A5" s="6" t="s">
        <v>27</v>
      </c>
      <c r="B5" s="6" t="s">
        <v>28</v>
      </c>
      <c r="C5" s="6" t="s">
        <v>29</v>
      </c>
      <c r="D5" s="6" t="n">
        <v>5</v>
      </c>
    </row>
    <row r="6" customFormat="false" ht="15" hidden="false" customHeight="false" outlineLevel="0" collapsed="false">
      <c r="A6" s="6" t="s">
        <v>30</v>
      </c>
      <c r="B6" s="6" t="s">
        <v>31</v>
      </c>
      <c r="C6" s="6" t="s">
        <v>32</v>
      </c>
      <c r="D6" s="6" t="n">
        <v>8</v>
      </c>
    </row>
    <row r="7" customFormat="false" ht="15" hidden="false" customHeight="false" outlineLevel="0" collapsed="false">
      <c r="A7" s="6" t="s">
        <v>33</v>
      </c>
      <c r="B7" s="6" t="s">
        <v>34</v>
      </c>
      <c r="C7" s="6" t="s">
        <v>35</v>
      </c>
      <c r="D7" s="6" t="n">
        <v>8</v>
      </c>
    </row>
    <row r="8" customFormat="false" ht="15" hidden="false" customHeight="false" outlineLevel="0" collapsed="false">
      <c r="A8" s="6"/>
      <c r="B8" s="6"/>
      <c r="C8" s="6"/>
      <c r="D8" s="6"/>
    </row>
    <row r="9" customFormat="false" ht="15" hidden="false" customHeight="false" outlineLevel="0" collapsed="false">
      <c r="A9" s="6"/>
      <c r="B9" s="6"/>
      <c r="C9" s="6"/>
      <c r="D9" s="6"/>
    </row>
    <row r="10" customFormat="false" ht="15" hidden="false" customHeight="false" outlineLevel="0" collapsed="false">
      <c r="A10" s="6"/>
      <c r="B10" s="6"/>
      <c r="C10" s="6"/>
      <c r="D10" s="6"/>
    </row>
    <row r="11" customFormat="false" ht="15" hidden="false" customHeight="false" outlineLevel="0" collapsed="false">
      <c r="A11" s="6"/>
      <c r="B11" s="6"/>
      <c r="C11" s="6"/>
      <c r="D11" s="6"/>
    </row>
    <row r="12" customFormat="false" ht="15" hidden="false" customHeight="false" outlineLevel="0" collapsed="false">
      <c r="A12" s="6"/>
      <c r="B12" s="6"/>
      <c r="C12" s="6"/>
      <c r="D12" s="6"/>
    </row>
    <row r="13" customFormat="false" ht="15" hidden="false" customHeight="false" outlineLevel="0" collapsed="false">
      <c r="A13" s="6"/>
      <c r="B13" s="6"/>
      <c r="C13" s="6"/>
      <c r="D13" s="6"/>
    </row>
    <row r="14" customFormat="false" ht="15" hidden="false" customHeight="false" outlineLevel="0" collapsed="false">
      <c r="A14" s="6"/>
      <c r="B14" s="6"/>
      <c r="C14" s="6"/>
      <c r="D14" s="6"/>
    </row>
    <row r="15" customFormat="false" ht="15" hidden="false" customHeight="false" outlineLevel="0" collapsed="false">
      <c r="A15" s="6"/>
      <c r="B15" s="6"/>
      <c r="C15" s="6"/>
      <c r="D15" s="6"/>
    </row>
    <row r="16" customFormat="false" ht="15" hidden="false" customHeight="false" outlineLevel="0" collapsed="false">
      <c r="A16" s="6"/>
      <c r="B16" s="6"/>
      <c r="C16" s="6"/>
      <c r="D16" s="6"/>
    </row>
    <row r="17" customFormat="false" ht="15" hidden="false" customHeight="false" outlineLevel="0" collapsed="false">
      <c r="A17" s="6"/>
      <c r="B17" s="6"/>
      <c r="C17" s="6"/>
      <c r="D17" s="6"/>
    </row>
    <row r="18" customFormat="false" ht="15" hidden="false" customHeight="false" outlineLevel="0" collapsed="false">
      <c r="A18" s="6"/>
      <c r="B18" s="6"/>
      <c r="C18" s="6"/>
      <c r="D18" s="6"/>
    </row>
    <row r="19" customFormat="false" ht="15" hidden="false" customHeight="false" outlineLevel="0" collapsed="false">
      <c r="A19" s="6"/>
      <c r="B19" s="6"/>
      <c r="C19" s="6"/>
      <c r="D19" s="6"/>
    </row>
    <row r="20" customFormat="false" ht="15" hidden="false" customHeight="false" outlineLevel="0" collapsed="false">
      <c r="A20" s="6"/>
      <c r="B20" s="6"/>
      <c r="C20" s="6"/>
      <c r="D20" s="6"/>
    </row>
    <row r="21" customFormat="false" ht="15" hidden="false" customHeight="false" outlineLevel="0" collapsed="false">
      <c r="A21" s="6"/>
      <c r="B21" s="6"/>
      <c r="C21" s="6"/>
      <c r="D21" s="6"/>
    </row>
    <row r="22" customFormat="false" ht="15" hidden="false" customHeight="false" outlineLevel="0" collapsed="false">
      <c r="A22" s="6"/>
      <c r="B22" s="6"/>
      <c r="C22" s="6"/>
      <c r="D22" s="6"/>
    </row>
    <row r="23" customFormat="false" ht="15" hidden="false" customHeight="false" outlineLevel="0" collapsed="false">
      <c r="A23" s="6"/>
      <c r="B23" s="6"/>
      <c r="C23" s="6"/>
      <c r="D23" s="6"/>
    </row>
    <row r="24" customFormat="false" ht="15" hidden="false" customHeight="false" outlineLevel="0" collapsed="false">
      <c r="A24" s="6"/>
      <c r="B24" s="6"/>
      <c r="C24" s="6"/>
      <c r="D24" s="6"/>
    </row>
    <row r="25" customFormat="false" ht="15" hidden="false" customHeight="false" outlineLevel="0" collapsed="false">
      <c r="A25" s="6"/>
      <c r="B25" s="6"/>
      <c r="C25" s="6"/>
      <c r="D25" s="6"/>
    </row>
    <row r="26" customFormat="false" ht="15" hidden="false" customHeight="false" outlineLevel="0" collapsed="false">
      <c r="A26" s="6"/>
      <c r="B26" s="6"/>
      <c r="C26" s="6"/>
      <c r="D26" s="6"/>
    </row>
    <row r="27" customFormat="false" ht="15" hidden="false" customHeight="false" outlineLevel="0" collapsed="false">
      <c r="A27" s="6"/>
      <c r="B27" s="6"/>
      <c r="C27" s="6"/>
      <c r="D27" s="6"/>
    </row>
    <row r="28" customFormat="false" ht="15" hidden="false" customHeight="false" outlineLevel="0" collapsed="false">
      <c r="A28" s="6"/>
      <c r="B28" s="6"/>
      <c r="C28" s="6"/>
      <c r="D28" s="6"/>
    </row>
    <row r="29" customFormat="false" ht="15" hidden="false" customHeight="false" outlineLevel="0" collapsed="false">
      <c r="A29" s="6"/>
      <c r="B29" s="6"/>
      <c r="C29" s="6"/>
      <c r="D29" s="6"/>
    </row>
    <row r="30" customFormat="false" ht="15" hidden="false" customHeight="false" outlineLevel="0" collapsed="false">
      <c r="A30" s="6"/>
      <c r="B30" s="6"/>
      <c r="C30" s="6"/>
      <c r="D30" s="6"/>
    </row>
    <row r="31" customFormat="false" ht="15" hidden="false" customHeight="false" outlineLevel="0" collapsed="false">
      <c r="A31" s="6"/>
      <c r="B31" s="6"/>
      <c r="C31" s="6"/>
      <c r="D31" s="6"/>
    </row>
    <row r="32" customFormat="false" ht="15" hidden="false" customHeight="false" outlineLevel="0" collapsed="false">
      <c r="A32" s="6"/>
      <c r="B32" s="6"/>
      <c r="C32" s="6"/>
      <c r="D32" s="6"/>
    </row>
    <row r="33" customFormat="false" ht="15" hidden="false" customHeight="false" outlineLevel="0" collapsed="false">
      <c r="A33" s="6"/>
      <c r="B33" s="6"/>
      <c r="C33" s="6"/>
      <c r="D33" s="6"/>
    </row>
    <row r="34" customFormat="false" ht="15" hidden="false" customHeight="false" outlineLevel="0" collapsed="false">
      <c r="A34" s="6"/>
      <c r="B34" s="6"/>
      <c r="C34" s="6"/>
      <c r="D34" s="6"/>
    </row>
    <row r="35" customFormat="false" ht="15" hidden="false" customHeight="false" outlineLevel="0" collapsed="false">
      <c r="A35" s="6"/>
      <c r="B35" s="6"/>
      <c r="C35" s="6"/>
      <c r="D35" s="6"/>
    </row>
    <row r="36" customFormat="false" ht="15" hidden="false" customHeight="false" outlineLevel="0" collapsed="false">
      <c r="A36" s="6"/>
      <c r="B36" s="6"/>
      <c r="C36" s="6"/>
      <c r="D36" s="6"/>
    </row>
    <row r="37" customFormat="false" ht="15" hidden="false" customHeight="false" outlineLevel="0" collapsed="false">
      <c r="A37" s="6"/>
      <c r="B37" s="6"/>
      <c r="C37" s="6"/>
      <c r="D37" s="6"/>
    </row>
    <row r="38" customFormat="false" ht="15" hidden="false" customHeight="false" outlineLevel="0" collapsed="false">
      <c r="A38" s="6"/>
      <c r="B38" s="6"/>
      <c r="C38" s="6"/>
      <c r="D38" s="6"/>
    </row>
    <row r="39" customFormat="false" ht="15" hidden="false" customHeight="false" outlineLevel="0" collapsed="false">
      <c r="A39" s="6"/>
      <c r="B39" s="6"/>
      <c r="C39" s="6"/>
      <c r="D39" s="6"/>
    </row>
    <row r="40" customFormat="false" ht="15" hidden="false" customHeight="false" outlineLevel="0" collapsed="false">
      <c r="A40" s="6"/>
      <c r="B40" s="6"/>
      <c r="C40" s="6"/>
      <c r="D40" s="6"/>
    </row>
    <row r="41" customFormat="false" ht="15" hidden="false" customHeight="false" outlineLevel="0" collapsed="false">
      <c r="A41" s="6"/>
      <c r="B41" s="6"/>
      <c r="C41" s="6"/>
      <c r="D41" s="6"/>
    </row>
    <row r="42" customFormat="false" ht="15" hidden="false" customHeight="false" outlineLevel="0" collapsed="false">
      <c r="A42" s="6"/>
      <c r="B42" s="6"/>
      <c r="C42" s="6"/>
      <c r="D42" s="6"/>
    </row>
    <row r="43" customFormat="false" ht="15" hidden="false" customHeight="false" outlineLevel="0" collapsed="false">
      <c r="A43" s="6"/>
      <c r="B43" s="6"/>
      <c r="C43" s="6"/>
      <c r="D43" s="6"/>
    </row>
    <row r="44" customFormat="false" ht="15" hidden="false" customHeight="false" outlineLevel="0" collapsed="false">
      <c r="A44" s="6"/>
      <c r="B44" s="6"/>
      <c r="C44" s="6"/>
      <c r="D44" s="6"/>
    </row>
    <row r="45" customFormat="false" ht="15" hidden="false" customHeight="false" outlineLevel="0" collapsed="false">
      <c r="A45" s="6"/>
      <c r="B45" s="6"/>
      <c r="C45" s="6"/>
      <c r="D45" s="6"/>
    </row>
    <row r="46" customFormat="false" ht="15" hidden="false" customHeight="false" outlineLevel="0" collapsed="false">
      <c r="A46" s="6"/>
      <c r="B46" s="6"/>
      <c r="C46" s="6"/>
      <c r="D46" s="6"/>
    </row>
    <row r="47" customFormat="false" ht="15" hidden="false" customHeight="false" outlineLevel="0" collapsed="false">
      <c r="A47" s="6"/>
      <c r="B47" s="6"/>
      <c r="C47" s="6"/>
      <c r="D47" s="6"/>
    </row>
    <row r="48" customFormat="false" ht="15" hidden="false" customHeight="false" outlineLevel="0" collapsed="false">
      <c r="A48" s="6"/>
      <c r="B48" s="6"/>
      <c r="C48" s="6"/>
      <c r="D48" s="6"/>
    </row>
    <row r="49" customFormat="false" ht="15" hidden="false" customHeight="false" outlineLevel="0" collapsed="false">
      <c r="A49" s="6"/>
      <c r="B49" s="6"/>
      <c r="C49" s="6"/>
      <c r="D49" s="6"/>
    </row>
    <row r="50" customFormat="false" ht="15" hidden="false" customHeight="false" outlineLevel="0" collapsed="false">
      <c r="A50" s="6"/>
      <c r="B50" s="6"/>
      <c r="C50" s="6"/>
      <c r="D50" s="6"/>
    </row>
    <row r="51" customFormat="false" ht="15" hidden="false" customHeight="false" outlineLevel="0" collapsed="false">
      <c r="A51" s="6"/>
      <c r="B51" s="6"/>
      <c r="C51" s="6"/>
      <c r="D51" s="6"/>
    </row>
    <row r="52" customFormat="false" ht="15" hidden="false" customHeight="false" outlineLevel="0" collapsed="false">
      <c r="A52" s="6"/>
      <c r="B52" s="6"/>
      <c r="C52" s="6"/>
      <c r="D52" s="6"/>
    </row>
    <row r="53" customFormat="false" ht="15" hidden="false" customHeight="false" outlineLevel="0" collapsed="false">
      <c r="A53" s="6"/>
      <c r="B53" s="6"/>
      <c r="C53" s="6"/>
      <c r="D53" s="6"/>
    </row>
    <row r="54" customFormat="false" ht="15" hidden="false" customHeight="false" outlineLevel="0" collapsed="false">
      <c r="A54" s="6"/>
      <c r="B54" s="6"/>
      <c r="C54" s="6"/>
      <c r="D54" s="6"/>
    </row>
    <row r="55" customFormat="false" ht="15" hidden="false" customHeight="false" outlineLevel="0" collapsed="false">
      <c r="A55" s="6"/>
      <c r="B55" s="6"/>
      <c r="C55" s="6"/>
      <c r="D55" s="6"/>
    </row>
    <row r="56" customFormat="false" ht="15" hidden="false" customHeight="false" outlineLevel="0" collapsed="false">
      <c r="A56" s="6"/>
      <c r="B56" s="6"/>
      <c r="C56" s="6"/>
      <c r="D56" s="6"/>
    </row>
    <row r="57" customFormat="false" ht="15" hidden="false" customHeight="false" outlineLevel="0" collapsed="false">
      <c r="A57" s="6"/>
      <c r="B57" s="6"/>
      <c r="C57" s="6"/>
      <c r="D57" s="6"/>
    </row>
    <row r="58" customFormat="false" ht="15" hidden="false" customHeight="false" outlineLevel="0" collapsed="false">
      <c r="A58" s="6"/>
      <c r="B58" s="6"/>
      <c r="C58" s="6"/>
      <c r="D58" s="6"/>
    </row>
    <row r="59" customFormat="false" ht="15" hidden="false" customHeight="false" outlineLevel="0" collapsed="false">
      <c r="A59" s="6"/>
      <c r="B59" s="6"/>
      <c r="C59" s="6"/>
      <c r="D59" s="6"/>
    </row>
    <row r="60" customFormat="false" ht="15" hidden="false" customHeight="false" outlineLevel="0" collapsed="false">
      <c r="A60" s="6"/>
      <c r="B60" s="6"/>
      <c r="C60" s="6"/>
      <c r="D60" s="6"/>
    </row>
    <row r="61" customFormat="false" ht="15" hidden="false" customHeight="false" outlineLevel="0" collapsed="false">
      <c r="A61" s="6"/>
      <c r="B61" s="6"/>
      <c r="C61" s="6"/>
      <c r="D61" s="6"/>
    </row>
    <row r="62" customFormat="false" ht="15" hidden="false" customHeight="false" outlineLevel="0" collapsed="false">
      <c r="A62" s="6"/>
      <c r="B62" s="6"/>
      <c r="C62" s="6"/>
      <c r="D62" s="6"/>
    </row>
    <row r="63" customFormat="false" ht="15" hidden="false" customHeight="false" outlineLevel="0" collapsed="false">
      <c r="A63" s="6"/>
      <c r="B63" s="6"/>
      <c r="C63" s="6"/>
      <c r="D63" s="6"/>
    </row>
    <row r="64" customFormat="false" ht="15" hidden="false" customHeight="false" outlineLevel="0" collapsed="false">
      <c r="A64" s="6"/>
      <c r="B64" s="6"/>
      <c r="C64" s="6"/>
      <c r="D64" s="6"/>
    </row>
    <row r="65" customFormat="false" ht="15" hidden="false" customHeight="false" outlineLevel="0" collapsed="false">
      <c r="A65" s="6"/>
      <c r="B65" s="6"/>
      <c r="C65" s="6"/>
      <c r="D65" s="6"/>
    </row>
    <row r="66" customFormat="false" ht="15" hidden="false" customHeight="false" outlineLevel="0" collapsed="false">
      <c r="A66" s="6"/>
      <c r="B66" s="6"/>
      <c r="C66" s="6"/>
      <c r="D66" s="6"/>
    </row>
    <row r="67" customFormat="false" ht="15" hidden="false" customHeight="false" outlineLevel="0" collapsed="false">
      <c r="A67" s="6"/>
      <c r="B67" s="6"/>
      <c r="C67" s="6"/>
      <c r="D67" s="6"/>
    </row>
    <row r="68" customFormat="false" ht="15" hidden="false" customHeight="false" outlineLevel="0" collapsed="false">
      <c r="A68" s="6"/>
      <c r="B68" s="6"/>
      <c r="C68" s="6"/>
      <c r="D68" s="6"/>
    </row>
    <row r="69" customFormat="false" ht="15" hidden="false" customHeight="false" outlineLevel="0" collapsed="false">
      <c r="A69" s="6"/>
      <c r="B69" s="6"/>
      <c r="C69" s="6"/>
      <c r="D69" s="6"/>
    </row>
    <row r="70" customFormat="false" ht="15" hidden="false" customHeight="false" outlineLevel="0" collapsed="false">
      <c r="A70" s="6"/>
      <c r="B70" s="6"/>
      <c r="C70" s="6"/>
      <c r="D70" s="6"/>
    </row>
    <row r="71" customFormat="false" ht="15" hidden="false" customHeight="false" outlineLevel="0" collapsed="false">
      <c r="A71" s="6"/>
      <c r="B71" s="6"/>
      <c r="C71" s="6"/>
      <c r="D71" s="6"/>
    </row>
    <row r="72" customFormat="false" ht="15" hidden="false" customHeight="false" outlineLevel="0" collapsed="false">
      <c r="A72" s="6"/>
      <c r="B72" s="6"/>
      <c r="C72" s="6"/>
      <c r="D72" s="6"/>
    </row>
    <row r="73" customFormat="false" ht="15" hidden="false" customHeight="false" outlineLevel="0" collapsed="false">
      <c r="A73" s="6"/>
      <c r="B73" s="6"/>
      <c r="C73" s="6"/>
      <c r="D73" s="6"/>
    </row>
    <row r="74" customFormat="false" ht="15" hidden="false" customHeight="false" outlineLevel="0" collapsed="false">
      <c r="A74" s="6"/>
      <c r="B74" s="6"/>
      <c r="C74" s="6"/>
      <c r="D74" s="6"/>
    </row>
    <row r="75" customFormat="false" ht="15" hidden="false" customHeight="false" outlineLevel="0" collapsed="false">
      <c r="A75" s="6"/>
      <c r="B75" s="6"/>
      <c r="C75" s="6"/>
      <c r="D75" s="6"/>
    </row>
    <row r="76" customFormat="false" ht="15" hidden="false" customHeight="false" outlineLevel="0" collapsed="false">
      <c r="A76" s="6"/>
      <c r="B76" s="6"/>
      <c r="C76" s="6"/>
      <c r="D76" s="6"/>
    </row>
    <row r="77" customFormat="false" ht="15" hidden="false" customHeight="false" outlineLevel="0" collapsed="false">
      <c r="A77" s="6"/>
      <c r="B77" s="6"/>
      <c r="C77" s="6"/>
      <c r="D77" s="6"/>
    </row>
    <row r="78" customFormat="false" ht="15" hidden="false" customHeight="false" outlineLevel="0" collapsed="false">
      <c r="A78" s="6"/>
      <c r="B78" s="6"/>
      <c r="C78" s="6"/>
      <c r="D78" s="6"/>
    </row>
    <row r="79" customFormat="false" ht="15" hidden="false" customHeight="false" outlineLevel="0" collapsed="false">
      <c r="A79" s="6"/>
      <c r="B79" s="6"/>
      <c r="C79" s="6"/>
      <c r="D79" s="6"/>
    </row>
    <row r="80" customFormat="false" ht="15" hidden="false" customHeight="false" outlineLevel="0" collapsed="false">
      <c r="A80" s="6"/>
      <c r="B80" s="6"/>
      <c r="C80" s="6"/>
      <c r="D80" s="6"/>
    </row>
    <row r="81" customFormat="false" ht="15" hidden="false" customHeight="false" outlineLevel="0" collapsed="false">
      <c r="A81" s="6"/>
      <c r="B81" s="6"/>
      <c r="C81" s="6"/>
      <c r="D81" s="6"/>
    </row>
    <row r="82" customFormat="false" ht="15" hidden="false" customHeight="false" outlineLevel="0" collapsed="false">
      <c r="A82" s="6"/>
      <c r="B82" s="6"/>
      <c r="C82" s="6"/>
      <c r="D82" s="6"/>
    </row>
    <row r="83" customFormat="false" ht="15" hidden="false" customHeight="false" outlineLevel="0" collapsed="false">
      <c r="A83" s="6"/>
      <c r="B83" s="6"/>
      <c r="C83" s="6"/>
      <c r="D83" s="6"/>
    </row>
    <row r="84" customFormat="false" ht="15" hidden="false" customHeight="false" outlineLevel="0" collapsed="false">
      <c r="A84" s="6"/>
      <c r="B84" s="6"/>
      <c r="C84" s="6"/>
      <c r="D84" s="6"/>
    </row>
    <row r="85" customFormat="false" ht="15" hidden="false" customHeight="false" outlineLevel="0" collapsed="false">
      <c r="A85" s="6"/>
      <c r="B85" s="6"/>
      <c r="C85" s="6"/>
      <c r="D85" s="6"/>
    </row>
    <row r="86" customFormat="false" ht="15" hidden="false" customHeight="false" outlineLevel="0" collapsed="false">
      <c r="A86" s="6"/>
      <c r="B86" s="6"/>
      <c r="C86" s="6"/>
      <c r="D86" s="6"/>
    </row>
    <row r="87" customFormat="false" ht="15" hidden="false" customHeight="false" outlineLevel="0" collapsed="false">
      <c r="A87" s="6"/>
      <c r="B87" s="6"/>
      <c r="C87" s="6"/>
      <c r="D87" s="6"/>
    </row>
    <row r="88" customFormat="false" ht="15" hidden="false" customHeight="false" outlineLevel="0" collapsed="false">
      <c r="A88" s="6"/>
      <c r="B88" s="6"/>
      <c r="C88" s="6"/>
      <c r="D88" s="6"/>
    </row>
    <row r="89" customFormat="false" ht="15" hidden="false" customHeight="false" outlineLevel="0" collapsed="false">
      <c r="A89" s="6"/>
      <c r="B89" s="6"/>
      <c r="C89" s="6"/>
      <c r="D89" s="6"/>
    </row>
    <row r="90" customFormat="false" ht="15" hidden="false" customHeight="false" outlineLevel="0" collapsed="false">
      <c r="A90" s="6"/>
      <c r="B90" s="6"/>
      <c r="C90" s="6"/>
      <c r="D90" s="6"/>
    </row>
    <row r="91" customFormat="false" ht="15" hidden="false" customHeight="false" outlineLevel="0" collapsed="false">
      <c r="A91" s="6"/>
      <c r="B91" s="6"/>
      <c r="C91" s="6"/>
      <c r="D91" s="6"/>
    </row>
    <row r="92" customFormat="false" ht="15" hidden="false" customHeight="false" outlineLevel="0" collapsed="false">
      <c r="A92" s="6"/>
      <c r="B92" s="6"/>
      <c r="C92" s="6"/>
      <c r="D92" s="6"/>
    </row>
    <row r="93" customFormat="false" ht="15" hidden="false" customHeight="false" outlineLevel="0" collapsed="false">
      <c r="A93" s="6"/>
      <c r="B93" s="6"/>
      <c r="C93" s="6"/>
      <c r="D93" s="6"/>
    </row>
    <row r="94" customFormat="false" ht="15" hidden="false" customHeight="false" outlineLevel="0" collapsed="false">
      <c r="A94" s="6"/>
      <c r="B94" s="6"/>
      <c r="C94" s="6"/>
      <c r="D94" s="6"/>
    </row>
    <row r="95" customFormat="false" ht="15" hidden="false" customHeight="false" outlineLevel="0" collapsed="false">
      <c r="A95" s="6"/>
      <c r="B95" s="6"/>
      <c r="C95" s="6"/>
      <c r="D95" s="6"/>
    </row>
    <row r="96" customFormat="false" ht="15" hidden="false" customHeight="false" outlineLevel="0" collapsed="false">
      <c r="A96" s="6"/>
      <c r="B96" s="6"/>
      <c r="C96" s="6"/>
      <c r="D96" s="6"/>
    </row>
    <row r="97" customFormat="false" ht="15" hidden="false" customHeight="false" outlineLevel="0" collapsed="false">
      <c r="A97" s="6"/>
      <c r="B97" s="6"/>
      <c r="C97" s="6"/>
      <c r="D97" s="6"/>
    </row>
    <row r="98" customFormat="false" ht="15" hidden="false" customHeight="false" outlineLevel="0" collapsed="false">
      <c r="A98" s="6"/>
      <c r="B98" s="6"/>
      <c r="C98" s="6"/>
      <c r="D98" s="6"/>
    </row>
    <row r="99" customFormat="false" ht="15" hidden="false" customHeight="false" outlineLevel="0" collapsed="false">
      <c r="A99" s="6"/>
      <c r="B99" s="6"/>
      <c r="C99" s="6"/>
      <c r="D99" s="6"/>
    </row>
    <row r="100" customFormat="false" ht="15" hidden="false" customHeight="false" outlineLevel="0" collapsed="false">
      <c r="A100" s="6"/>
      <c r="B100" s="6"/>
      <c r="C100" s="6"/>
      <c r="D100" s="6"/>
    </row>
    <row r="101" customFormat="false" ht="15" hidden="false" customHeight="false" outlineLevel="0" collapsed="false">
      <c r="A101" s="6"/>
      <c r="B101" s="6"/>
      <c r="C101" s="6"/>
      <c r="D101" s="6"/>
    </row>
    <row r="102" customFormat="false" ht="15" hidden="false" customHeight="false" outlineLevel="0" collapsed="false">
      <c r="A102" s="6"/>
      <c r="B102" s="6"/>
      <c r="C102" s="6"/>
      <c r="D102" s="6"/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12890625" defaultRowHeight="15" customHeight="false" zeroHeight="false" outlineLevelRow="0" outlineLevelCol="0"/>
  <cols>
    <col collapsed="false" customWidth="true" hidden="false" outlineLevel="0" max="1" min="1" style="0" width="8.35"/>
    <col collapsed="false" customWidth="true" hidden="false" outlineLevel="0" max="2" min="2" style="0" width="13.35"/>
    <col collapsed="false" customWidth="true" hidden="false" outlineLevel="0" max="3" min="3" style="0" width="8.35"/>
    <col collapsed="false" customWidth="true" hidden="false" outlineLevel="0" max="4" min="4" style="0" width="13.35"/>
  </cols>
  <sheetData>
    <row r="1" customFormat="false" ht="25.5" hidden="false" customHeight="true" outlineLevel="0" collapsed="false">
      <c r="A1" s="1" t="s">
        <v>36</v>
      </c>
      <c r="B1" s="1"/>
      <c r="C1" s="1"/>
      <c r="D1" s="1"/>
    </row>
    <row r="2" customFormat="false" ht="15" hidden="false" customHeight="false" outlineLevel="0" collapsed="false">
      <c r="A2" s="5" t="s">
        <v>37</v>
      </c>
      <c r="B2" s="5" t="s">
        <v>38</v>
      </c>
      <c r="C2" s="5" t="s">
        <v>39</v>
      </c>
      <c r="D2" s="5" t="s">
        <v>40</v>
      </c>
    </row>
    <row r="3" customFormat="false" ht="15" hidden="false" customHeight="false" outlineLevel="0" collapsed="false">
      <c r="A3" s="6" t="s">
        <v>41</v>
      </c>
      <c r="B3" s="6" t="s">
        <v>42</v>
      </c>
      <c r="C3" s="6" t="s">
        <v>43</v>
      </c>
      <c r="D3" s="6" t="s">
        <v>44</v>
      </c>
    </row>
    <row r="4" customFormat="false" ht="15" hidden="false" customHeight="false" outlineLevel="0" collapsed="false">
      <c r="A4" s="6" t="s">
        <v>45</v>
      </c>
      <c r="B4" s="6" t="s">
        <v>46</v>
      </c>
      <c r="C4" s="6" t="s">
        <v>47</v>
      </c>
      <c r="D4" s="6" t="s">
        <v>48</v>
      </c>
    </row>
    <row r="5" customFormat="false" ht="15" hidden="false" customHeight="false" outlineLevel="0" collapsed="false">
      <c r="A5" s="6" t="s">
        <v>49</v>
      </c>
      <c r="B5" s="6" t="s">
        <v>50</v>
      </c>
      <c r="C5" s="6" t="s">
        <v>51</v>
      </c>
      <c r="D5" s="6" t="s">
        <v>52</v>
      </c>
    </row>
    <row r="6" customFormat="false" ht="15" hidden="false" customHeight="false" outlineLevel="0" collapsed="false">
      <c r="A6" s="6" t="s">
        <v>53</v>
      </c>
      <c r="B6" s="6" t="s">
        <v>54</v>
      </c>
      <c r="C6" s="6" t="s">
        <v>55</v>
      </c>
      <c r="D6" s="6" t="s">
        <v>56</v>
      </c>
    </row>
    <row r="7" customFormat="false" ht="15" hidden="false" customHeight="false" outlineLevel="0" collapsed="false">
      <c r="A7" s="6"/>
      <c r="B7" s="6"/>
      <c r="C7" s="6"/>
      <c r="D7" s="6"/>
    </row>
    <row r="8" customFormat="false" ht="15" hidden="false" customHeight="false" outlineLevel="0" collapsed="false">
      <c r="A8" s="6"/>
      <c r="B8" s="6"/>
      <c r="C8" s="6"/>
      <c r="D8" s="6"/>
    </row>
    <row r="9" customFormat="false" ht="15" hidden="false" customHeight="false" outlineLevel="0" collapsed="false">
      <c r="A9" s="6"/>
      <c r="B9" s="6"/>
      <c r="C9" s="6"/>
      <c r="D9" s="6"/>
    </row>
    <row r="10" customFormat="false" ht="15" hidden="false" customHeight="false" outlineLevel="0" collapsed="false">
      <c r="A10" s="6"/>
      <c r="B10" s="6"/>
      <c r="C10" s="6"/>
      <c r="D10" s="6"/>
    </row>
    <row r="11" customFormat="false" ht="15" hidden="false" customHeight="false" outlineLevel="0" collapsed="false">
      <c r="A11" s="6"/>
      <c r="B11" s="6"/>
      <c r="C11" s="6"/>
      <c r="D11" s="6"/>
    </row>
    <row r="12" customFormat="false" ht="15" hidden="false" customHeight="false" outlineLevel="0" collapsed="false">
      <c r="A12" s="6"/>
      <c r="B12" s="6"/>
      <c r="C12" s="6"/>
      <c r="D12" s="6"/>
    </row>
    <row r="13" customFormat="false" ht="15" hidden="false" customHeight="false" outlineLevel="0" collapsed="false">
      <c r="A13" s="6"/>
      <c r="B13" s="6"/>
      <c r="C13" s="6"/>
      <c r="D13" s="6"/>
    </row>
    <row r="14" customFormat="false" ht="15" hidden="false" customHeight="false" outlineLevel="0" collapsed="false">
      <c r="A14" s="6"/>
      <c r="B14" s="6"/>
      <c r="C14" s="6"/>
      <c r="D14" s="6"/>
    </row>
    <row r="15" customFormat="false" ht="15" hidden="false" customHeight="false" outlineLevel="0" collapsed="false">
      <c r="A15" s="6"/>
      <c r="B15" s="6"/>
      <c r="C15" s="6"/>
      <c r="D15" s="6"/>
    </row>
    <row r="16" customFormat="false" ht="15" hidden="false" customHeight="false" outlineLevel="0" collapsed="false">
      <c r="A16" s="6"/>
      <c r="B16" s="6"/>
      <c r="C16" s="6"/>
      <c r="D16" s="6"/>
    </row>
    <row r="17" customFormat="false" ht="15" hidden="false" customHeight="false" outlineLevel="0" collapsed="false">
      <c r="A17" s="6"/>
      <c r="B17" s="6"/>
      <c r="C17" s="6"/>
      <c r="D17" s="6"/>
    </row>
    <row r="18" customFormat="false" ht="15" hidden="false" customHeight="false" outlineLevel="0" collapsed="false">
      <c r="A18" s="6"/>
      <c r="B18" s="6"/>
      <c r="C18" s="6"/>
      <c r="D18" s="6"/>
    </row>
    <row r="19" customFormat="false" ht="15" hidden="false" customHeight="false" outlineLevel="0" collapsed="false">
      <c r="A19" s="6"/>
      <c r="B19" s="6"/>
      <c r="C19" s="6"/>
      <c r="D19" s="6"/>
    </row>
    <row r="20" customFormat="false" ht="15" hidden="false" customHeight="false" outlineLevel="0" collapsed="false">
      <c r="A20" s="6"/>
      <c r="B20" s="6"/>
      <c r="C20" s="6"/>
      <c r="D20" s="6"/>
    </row>
    <row r="21" customFormat="false" ht="15" hidden="false" customHeight="false" outlineLevel="0" collapsed="false">
      <c r="A21" s="6"/>
      <c r="B21" s="6"/>
      <c r="C21" s="6"/>
      <c r="D21" s="6"/>
    </row>
    <row r="22" customFormat="false" ht="15" hidden="false" customHeight="false" outlineLevel="0" collapsed="false">
      <c r="A22" s="6"/>
      <c r="B22" s="6"/>
      <c r="C22" s="6"/>
      <c r="D22" s="6"/>
    </row>
    <row r="23" customFormat="false" ht="15" hidden="false" customHeight="false" outlineLevel="0" collapsed="false">
      <c r="A23" s="6"/>
      <c r="B23" s="6"/>
      <c r="C23" s="6"/>
      <c r="D23" s="6"/>
    </row>
    <row r="24" customFormat="false" ht="15" hidden="false" customHeight="false" outlineLevel="0" collapsed="false">
      <c r="A24" s="6"/>
      <c r="B24" s="6"/>
      <c r="C24" s="6"/>
      <c r="D24" s="6"/>
    </row>
    <row r="25" customFormat="false" ht="15" hidden="false" customHeight="false" outlineLevel="0" collapsed="false">
      <c r="A25" s="6"/>
      <c r="B25" s="6"/>
      <c r="C25" s="6"/>
      <c r="D25" s="6"/>
    </row>
    <row r="26" customFormat="false" ht="15" hidden="false" customHeight="false" outlineLevel="0" collapsed="false">
      <c r="A26" s="6"/>
      <c r="B26" s="6"/>
      <c r="C26" s="6"/>
      <c r="D26" s="6"/>
    </row>
    <row r="27" customFormat="false" ht="15" hidden="false" customHeight="false" outlineLevel="0" collapsed="false">
      <c r="A27" s="6"/>
      <c r="B27" s="6"/>
      <c r="C27" s="6"/>
      <c r="D27" s="6"/>
    </row>
    <row r="28" customFormat="false" ht="15" hidden="false" customHeight="false" outlineLevel="0" collapsed="false">
      <c r="A28" s="6"/>
      <c r="B28" s="6"/>
      <c r="C28" s="6"/>
      <c r="D28" s="6"/>
    </row>
    <row r="29" customFormat="false" ht="15" hidden="false" customHeight="false" outlineLevel="0" collapsed="false">
      <c r="A29" s="6"/>
      <c r="B29" s="6"/>
      <c r="C29" s="6"/>
      <c r="D29" s="6"/>
    </row>
    <row r="30" customFormat="false" ht="15" hidden="false" customHeight="false" outlineLevel="0" collapsed="false">
      <c r="A30" s="6"/>
      <c r="B30" s="6"/>
      <c r="C30" s="6"/>
      <c r="D30" s="6"/>
    </row>
    <row r="31" customFormat="false" ht="15" hidden="false" customHeight="false" outlineLevel="0" collapsed="false">
      <c r="A31" s="6"/>
      <c r="B31" s="6"/>
      <c r="C31" s="6"/>
      <c r="D31" s="6"/>
    </row>
    <row r="32" customFormat="false" ht="15" hidden="false" customHeight="false" outlineLevel="0" collapsed="false">
      <c r="A32" s="6"/>
      <c r="B32" s="6"/>
      <c r="C32" s="6"/>
      <c r="D32" s="6"/>
    </row>
    <row r="33" customFormat="false" ht="15" hidden="false" customHeight="false" outlineLevel="0" collapsed="false">
      <c r="A33" s="6"/>
      <c r="B33" s="6"/>
      <c r="C33" s="6"/>
      <c r="D33" s="6"/>
    </row>
    <row r="34" customFormat="false" ht="15" hidden="false" customHeight="false" outlineLevel="0" collapsed="false">
      <c r="A34" s="6"/>
      <c r="B34" s="6"/>
      <c r="C34" s="6"/>
      <c r="D34" s="6"/>
    </row>
    <row r="35" customFormat="false" ht="15" hidden="false" customHeight="false" outlineLevel="0" collapsed="false">
      <c r="A35" s="6"/>
      <c r="B35" s="6"/>
      <c r="C35" s="6"/>
      <c r="D35" s="6"/>
    </row>
    <row r="36" customFormat="false" ht="15" hidden="false" customHeight="false" outlineLevel="0" collapsed="false">
      <c r="A36" s="6"/>
      <c r="B36" s="6"/>
      <c r="C36" s="6"/>
      <c r="D36" s="6"/>
    </row>
    <row r="37" customFormat="false" ht="15" hidden="false" customHeight="false" outlineLevel="0" collapsed="false">
      <c r="A37" s="6"/>
      <c r="B37" s="6"/>
      <c r="C37" s="6"/>
      <c r="D37" s="6"/>
    </row>
    <row r="38" customFormat="false" ht="15" hidden="false" customHeight="false" outlineLevel="0" collapsed="false">
      <c r="A38" s="6"/>
      <c r="B38" s="6"/>
      <c r="C38" s="6"/>
      <c r="D38" s="6"/>
    </row>
    <row r="39" customFormat="false" ht="15" hidden="false" customHeight="false" outlineLevel="0" collapsed="false">
      <c r="A39" s="6"/>
      <c r="B39" s="6"/>
      <c r="C39" s="6"/>
      <c r="D39" s="6"/>
    </row>
    <row r="40" customFormat="false" ht="15" hidden="false" customHeight="false" outlineLevel="0" collapsed="false">
      <c r="A40" s="6"/>
      <c r="B40" s="6"/>
      <c r="C40" s="6"/>
      <c r="D40" s="6"/>
    </row>
    <row r="41" customFormat="false" ht="15" hidden="false" customHeight="false" outlineLevel="0" collapsed="false">
      <c r="A41" s="6"/>
      <c r="B41" s="6"/>
      <c r="C41" s="6"/>
      <c r="D41" s="6"/>
    </row>
    <row r="42" customFormat="false" ht="15" hidden="false" customHeight="false" outlineLevel="0" collapsed="false">
      <c r="A42" s="6"/>
      <c r="B42" s="6"/>
      <c r="C42" s="6"/>
      <c r="D42" s="6"/>
    </row>
    <row r="43" customFormat="false" ht="15" hidden="false" customHeight="false" outlineLevel="0" collapsed="false">
      <c r="A43" s="6"/>
      <c r="B43" s="6"/>
      <c r="C43" s="6"/>
      <c r="D43" s="6"/>
    </row>
    <row r="44" customFormat="false" ht="15" hidden="false" customHeight="false" outlineLevel="0" collapsed="false">
      <c r="A44" s="6"/>
      <c r="B44" s="6"/>
      <c r="C44" s="6"/>
      <c r="D44" s="6"/>
    </row>
    <row r="45" customFormat="false" ht="15" hidden="false" customHeight="false" outlineLevel="0" collapsed="false">
      <c r="A45" s="6"/>
      <c r="B45" s="6"/>
      <c r="C45" s="6"/>
      <c r="D45" s="6"/>
    </row>
    <row r="46" customFormat="false" ht="15" hidden="false" customHeight="false" outlineLevel="0" collapsed="false">
      <c r="A46" s="6"/>
      <c r="B46" s="6"/>
      <c r="C46" s="6"/>
      <c r="D46" s="6"/>
    </row>
    <row r="47" customFormat="false" ht="15" hidden="false" customHeight="false" outlineLevel="0" collapsed="false">
      <c r="A47" s="6"/>
      <c r="B47" s="6"/>
      <c r="C47" s="6"/>
      <c r="D47" s="6"/>
    </row>
    <row r="48" customFormat="false" ht="15" hidden="false" customHeight="false" outlineLevel="0" collapsed="false">
      <c r="A48" s="6"/>
      <c r="B48" s="6"/>
      <c r="C48" s="6"/>
      <c r="D48" s="6"/>
    </row>
    <row r="49" customFormat="false" ht="15" hidden="false" customHeight="false" outlineLevel="0" collapsed="false">
      <c r="A49" s="6"/>
      <c r="B49" s="6"/>
      <c r="C49" s="6"/>
      <c r="D49" s="6"/>
    </row>
    <row r="50" customFormat="false" ht="15" hidden="false" customHeight="false" outlineLevel="0" collapsed="false">
      <c r="A50" s="6"/>
      <c r="B50" s="6"/>
      <c r="C50" s="6"/>
      <c r="D50" s="6"/>
    </row>
    <row r="51" customFormat="false" ht="15" hidden="false" customHeight="false" outlineLevel="0" collapsed="false">
      <c r="A51" s="6"/>
      <c r="B51" s="6"/>
      <c r="C51" s="6"/>
      <c r="D51" s="6"/>
    </row>
    <row r="52" customFormat="false" ht="15" hidden="false" customHeight="false" outlineLevel="0" collapsed="false">
      <c r="A52" s="6"/>
      <c r="B52" s="6"/>
      <c r="C52" s="6"/>
      <c r="D52" s="6"/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12890625" defaultRowHeight="15" customHeight="false" zeroHeight="false" outlineLevelRow="0" outlineLevelCol="0"/>
  <cols>
    <col collapsed="false" customWidth="true" hidden="false" outlineLevel="0" max="2" min="1" style="0" width="8.35"/>
    <col collapsed="false" customWidth="true" hidden="false" outlineLevel="0" max="3" min="3" style="0" width="13.35"/>
    <col collapsed="false" customWidth="true" hidden="false" outlineLevel="0" max="4" min="4" style="0" width="11.68"/>
    <col collapsed="false" customWidth="true" hidden="false" outlineLevel="0" max="5" min="5" style="0" width="8.35"/>
    <col collapsed="false" customWidth="true" hidden="false" outlineLevel="0" max="6" min="6" style="0" width="10.02"/>
    <col collapsed="false" customWidth="true" hidden="false" outlineLevel="0" max="7" min="7" style="0" width="11.68"/>
    <col collapsed="false" customWidth="true" hidden="false" outlineLevel="0" max="8" min="8" style="0" width="8.35"/>
    <col collapsed="false" customWidth="true" hidden="false" outlineLevel="0" max="9" min="9" style="0" width="6.68"/>
  </cols>
  <sheetData>
    <row r="1" customFormat="false" ht="25.5" hidden="false" customHeight="true" outlineLevel="0" collapsed="false">
      <c r="A1" s="1" t="s">
        <v>57</v>
      </c>
      <c r="B1" s="1"/>
      <c r="C1" s="1"/>
      <c r="D1" s="1"/>
      <c r="E1" s="1"/>
      <c r="F1" s="1"/>
      <c r="G1" s="1"/>
      <c r="H1" s="1"/>
      <c r="I1" s="1"/>
    </row>
    <row r="2" customFormat="false" ht="28.9" hidden="false" customHeight="false" outlineLevel="0" collapsed="false">
      <c r="A2" s="5" t="s">
        <v>17</v>
      </c>
      <c r="B2" s="5" t="s">
        <v>37</v>
      </c>
      <c r="C2" s="7" t="s">
        <v>58</v>
      </c>
      <c r="D2" s="7" t="s">
        <v>59</v>
      </c>
      <c r="E2" s="7" t="s">
        <v>60</v>
      </c>
      <c r="F2" s="5" t="s">
        <v>61</v>
      </c>
      <c r="G2" s="7" t="s">
        <v>62</v>
      </c>
      <c r="H2" s="7" t="s">
        <v>63</v>
      </c>
      <c r="I2" s="7" t="s">
        <v>64</v>
      </c>
    </row>
    <row r="3" customFormat="false" ht="15" hidden="false" customHeight="false" outlineLevel="0" collapsed="false">
      <c r="A3" s="6" t="s">
        <v>21</v>
      </c>
      <c r="B3" s="6" t="s">
        <v>41</v>
      </c>
      <c r="C3" s="8" t="str">
        <f aca="false">IF($A3="","",IFERROR(INDEX(품목목록!$B$3:$B$102,MATCH($A3,품목목록!$A$3:$A$102,0)),""))</f>
        <v>A4용지 80g</v>
      </c>
      <c r="D3" s="8" t="str">
        <f aca="false">IF($B3="","",IFERROR(INDEX(업체목록!$B$3:$B$52,MATCH($B3,업체목록!$A$3:$A$52,0)),""))</f>
        <v>한빛오피스</v>
      </c>
      <c r="E3" s="8" t="n">
        <f aca="false">IF($A3="","",IFERROR(INDEX(품목목록!$D$3:$D$102,MATCH($A3,품목목록!$A$3:$A$102,0)),""))</f>
        <v>50</v>
      </c>
      <c r="F3" s="9" t="n">
        <v>3200</v>
      </c>
      <c r="G3" s="10" t="n">
        <f aca="false">IF(OR($A3="",$F3=""),"",ROUND($E3*$F3,0))</f>
        <v>160000</v>
      </c>
      <c r="H3" s="8" t="str">
        <f aca="false">IF(OR($A3="",$F3=""),"",IF($F3=_xlfn.MINIFS($F$3:$F$502,$A$3:$A$502,$A3),"최저가",""))</f>
        <v/>
      </c>
      <c r="I3" s="8" t="str">
        <f aca="false">IF($H3="최저가",$A3,"")</f>
        <v/>
      </c>
    </row>
    <row r="4" customFormat="false" ht="15" hidden="false" customHeight="false" outlineLevel="0" collapsed="false">
      <c r="A4" s="6" t="s">
        <v>21</v>
      </c>
      <c r="B4" s="6" t="s">
        <v>45</v>
      </c>
      <c r="C4" s="8" t="str">
        <f aca="false">IF($A4="","",IFERROR(INDEX(품목목록!$B$3:$B$102,MATCH($A4,품목목록!$A$3:$A$102,0)),""))</f>
        <v>A4용지 80g</v>
      </c>
      <c r="D4" s="8" t="str">
        <f aca="false">IF($B4="","",IFERROR(INDEX(업체목록!$B$3:$B$52,MATCH($B4,업체목록!$A$3:$A$52,0)),""))</f>
        <v>서울사무기기</v>
      </c>
      <c r="E4" s="8" t="n">
        <f aca="false">IF($A4="","",IFERROR(INDEX(품목목록!$D$3:$D$102,MATCH($A4,품목목록!$A$3:$A$102,0)),""))</f>
        <v>50</v>
      </c>
      <c r="F4" s="9" t="n">
        <v>3100</v>
      </c>
      <c r="G4" s="10" t="n">
        <f aca="false">IF(OR($A4="",$F4=""),"",ROUND($E4*$F4,0))</f>
        <v>155000</v>
      </c>
      <c r="H4" s="8" t="str">
        <f aca="false">IF(OR($A4="",$F4=""),"",IF($F4=_xlfn.MINIFS($F$3:$F$502,$A$3:$A$502,$A4),"최저가",""))</f>
        <v>최저가</v>
      </c>
      <c r="I4" s="8" t="str">
        <f aca="false">IF($H4="최저가",$A4,"")</f>
        <v>P01</v>
      </c>
    </row>
    <row r="5" customFormat="false" ht="15" hidden="false" customHeight="false" outlineLevel="0" collapsed="false">
      <c r="A5" s="6" t="s">
        <v>21</v>
      </c>
      <c r="B5" s="6" t="s">
        <v>49</v>
      </c>
      <c r="C5" s="8" t="str">
        <f aca="false">IF($A5="","",IFERROR(INDEX(품목목록!$B$3:$B$102,MATCH($A5,품목목록!$A$3:$A$102,0)),""))</f>
        <v>A4용지 80g</v>
      </c>
      <c r="D5" s="8" t="str">
        <f aca="false">IF($B5="","",IFERROR(INDEX(업체목록!$B$3:$B$52,MATCH($B5,업체목록!$A$3:$A$52,0)),""))</f>
        <v>대성물산</v>
      </c>
      <c r="E5" s="8" t="n">
        <f aca="false">IF($A5="","",IFERROR(INDEX(품목목록!$D$3:$D$102,MATCH($A5,품목목록!$A$3:$A$102,0)),""))</f>
        <v>50</v>
      </c>
      <c r="F5" s="9" t="n">
        <v>3400</v>
      </c>
      <c r="G5" s="10" t="n">
        <f aca="false">IF(OR($A5="",$F5=""),"",ROUND($E5*$F5,0))</f>
        <v>170000</v>
      </c>
      <c r="H5" s="8" t="str">
        <f aca="false">IF(OR($A5="",$F5=""),"",IF($F5=_xlfn.MINIFS($F$3:$F$502,$A$3:$A$502,$A5),"최저가",""))</f>
        <v/>
      </c>
      <c r="I5" s="8" t="str">
        <f aca="false">IF($H5="최저가",$A5,"")</f>
        <v/>
      </c>
    </row>
    <row r="6" customFormat="false" ht="15" hidden="false" customHeight="false" outlineLevel="0" collapsed="false">
      <c r="A6" s="6" t="s">
        <v>24</v>
      </c>
      <c r="B6" s="6" t="s">
        <v>41</v>
      </c>
      <c r="C6" s="8" t="str">
        <f aca="false">IF($A6="","",IFERROR(INDEX(품목목록!$B$3:$B$102,MATCH($A6,품목목록!$A$3:$A$102,0)),""))</f>
        <v>사무용의자</v>
      </c>
      <c r="D6" s="8" t="str">
        <f aca="false">IF($B6="","",IFERROR(INDEX(업체목록!$B$3:$B$52,MATCH($B6,업체목록!$A$3:$A$52,0)),""))</f>
        <v>한빛오피스</v>
      </c>
      <c r="E6" s="8" t="n">
        <f aca="false">IF($A6="","",IFERROR(INDEX(품목목록!$D$3:$D$102,MATCH($A6,품목목록!$A$3:$A$102,0)),""))</f>
        <v>10</v>
      </c>
      <c r="F6" s="9" t="n">
        <v>45000</v>
      </c>
      <c r="G6" s="10" t="n">
        <f aca="false">IF(OR($A6="",$F6=""),"",ROUND($E6*$F6,0))</f>
        <v>450000</v>
      </c>
      <c r="H6" s="8" t="str">
        <f aca="false">IF(OR($A6="",$F6=""),"",IF($F6=_xlfn.MINIFS($F$3:$F$502,$A$3:$A$502,$A6),"최저가",""))</f>
        <v/>
      </c>
      <c r="I6" s="8" t="str">
        <f aca="false">IF($H6="최저가",$A6,"")</f>
        <v/>
      </c>
    </row>
    <row r="7" customFormat="false" ht="15" hidden="false" customHeight="false" outlineLevel="0" collapsed="false">
      <c r="A7" s="6" t="s">
        <v>24</v>
      </c>
      <c r="B7" s="6" t="s">
        <v>45</v>
      </c>
      <c r="C7" s="8" t="str">
        <f aca="false">IF($A7="","",IFERROR(INDEX(품목목록!$B$3:$B$102,MATCH($A7,품목목록!$A$3:$A$102,0)),""))</f>
        <v>사무용의자</v>
      </c>
      <c r="D7" s="8" t="str">
        <f aca="false">IF($B7="","",IFERROR(INDEX(업체목록!$B$3:$B$52,MATCH($B7,업체목록!$A$3:$A$52,0)),""))</f>
        <v>서울사무기기</v>
      </c>
      <c r="E7" s="8" t="n">
        <f aca="false">IF($A7="","",IFERROR(INDEX(품목목록!$D$3:$D$102,MATCH($A7,품목목록!$A$3:$A$102,0)),""))</f>
        <v>10</v>
      </c>
      <c r="F7" s="9" t="n">
        <v>42000</v>
      </c>
      <c r="G7" s="10" t="n">
        <f aca="false">IF(OR($A7="",$F7=""),"",ROUND($E7*$F7,0))</f>
        <v>420000</v>
      </c>
      <c r="H7" s="8" t="str">
        <f aca="false">IF(OR($A7="",$F7=""),"",IF($F7=_xlfn.MINIFS($F$3:$F$502,$A$3:$A$502,$A7),"최저가",""))</f>
        <v>최저가</v>
      </c>
      <c r="I7" s="8" t="str">
        <f aca="false">IF($H7="최저가",$A7,"")</f>
        <v>P02</v>
      </c>
    </row>
    <row r="8" customFormat="false" ht="15" hidden="false" customHeight="false" outlineLevel="0" collapsed="false">
      <c r="A8" s="6" t="s">
        <v>24</v>
      </c>
      <c r="B8" s="6" t="s">
        <v>53</v>
      </c>
      <c r="C8" s="8" t="str">
        <f aca="false">IF($A8="","",IFERROR(INDEX(품목목록!$B$3:$B$102,MATCH($A8,품목목록!$A$3:$A$102,0)),""))</f>
        <v>사무용의자</v>
      </c>
      <c r="D8" s="8" t="str">
        <f aca="false">IF($B8="","",IFERROR(INDEX(업체목록!$B$3:$B$52,MATCH($B8,업체목록!$A$3:$A$52,0)),""))</f>
        <v>그린오피스</v>
      </c>
      <c r="E8" s="8" t="n">
        <f aca="false">IF($A8="","",IFERROR(INDEX(품목목록!$D$3:$D$102,MATCH($A8,품목목록!$A$3:$A$102,0)),""))</f>
        <v>10</v>
      </c>
      <c r="F8" s="9" t="n">
        <v>47000</v>
      </c>
      <c r="G8" s="10" t="n">
        <f aca="false">IF(OR($A8="",$F8=""),"",ROUND($E8*$F8,0))</f>
        <v>470000</v>
      </c>
      <c r="H8" s="8" t="str">
        <f aca="false">IF(OR($A8="",$F8=""),"",IF($F8=_xlfn.MINIFS($F$3:$F$502,$A$3:$A$502,$A8),"최저가",""))</f>
        <v/>
      </c>
      <c r="I8" s="8" t="str">
        <f aca="false">IF($H8="최저가",$A8,"")</f>
        <v/>
      </c>
    </row>
    <row r="9" customFormat="false" ht="15" hidden="false" customHeight="false" outlineLevel="0" collapsed="false">
      <c r="A9" s="6" t="s">
        <v>27</v>
      </c>
      <c r="B9" s="6" t="s">
        <v>45</v>
      </c>
      <c r="C9" s="8" t="str">
        <f aca="false">IF($A9="","",IFERROR(INDEX(품목목록!$B$3:$B$102,MATCH($A9,품목목록!$A$3:$A$102,0)),""))</f>
        <v>모니터</v>
      </c>
      <c r="D9" s="8" t="str">
        <f aca="false">IF($B9="","",IFERROR(INDEX(업체목록!$B$3:$B$52,MATCH($B9,업체목록!$A$3:$A$52,0)),""))</f>
        <v>서울사무기기</v>
      </c>
      <c r="E9" s="8" t="n">
        <f aca="false">IF($A9="","",IFERROR(INDEX(품목목록!$D$3:$D$102,MATCH($A9,품목목록!$A$3:$A$102,0)),""))</f>
        <v>5</v>
      </c>
      <c r="F9" s="9" t="n">
        <v>185000</v>
      </c>
      <c r="G9" s="10" t="n">
        <f aca="false">IF(OR($A9="",$F9=""),"",ROUND($E9*$F9,0))</f>
        <v>925000</v>
      </c>
      <c r="H9" s="8" t="str">
        <f aca="false">IF(OR($A9="",$F9=""),"",IF($F9=_xlfn.MINIFS($F$3:$F$502,$A$3:$A$502,$A9),"최저가",""))</f>
        <v/>
      </c>
      <c r="I9" s="8" t="str">
        <f aca="false">IF($H9="최저가",$A9,"")</f>
        <v/>
      </c>
    </row>
    <row r="10" customFormat="false" ht="15" hidden="false" customHeight="false" outlineLevel="0" collapsed="false">
      <c r="A10" s="6" t="s">
        <v>27</v>
      </c>
      <c r="B10" s="6" t="s">
        <v>49</v>
      </c>
      <c r="C10" s="8" t="str">
        <f aca="false">IF($A10="","",IFERROR(INDEX(품목목록!$B$3:$B$102,MATCH($A10,품목목록!$A$3:$A$102,0)),""))</f>
        <v>모니터</v>
      </c>
      <c r="D10" s="8" t="str">
        <f aca="false">IF($B10="","",IFERROR(INDEX(업체목록!$B$3:$B$52,MATCH($B10,업체목록!$A$3:$A$52,0)),""))</f>
        <v>대성물산</v>
      </c>
      <c r="E10" s="8" t="n">
        <f aca="false">IF($A10="","",IFERROR(INDEX(품목목록!$D$3:$D$102,MATCH($A10,품목목록!$A$3:$A$102,0)),""))</f>
        <v>5</v>
      </c>
      <c r="F10" s="9" t="n">
        <v>179000</v>
      </c>
      <c r="G10" s="10" t="n">
        <f aca="false">IF(OR($A10="",$F10=""),"",ROUND($E10*$F10,0))</f>
        <v>895000</v>
      </c>
      <c r="H10" s="8" t="str">
        <f aca="false">IF(OR($A10="",$F10=""),"",IF($F10=_xlfn.MINIFS($F$3:$F$502,$A$3:$A$502,$A10),"최저가",""))</f>
        <v>최저가</v>
      </c>
      <c r="I10" s="8" t="str">
        <f aca="false">IF($H10="최저가",$A10,"")</f>
        <v>P03</v>
      </c>
    </row>
    <row r="11" customFormat="false" ht="15" hidden="false" customHeight="false" outlineLevel="0" collapsed="false">
      <c r="A11" s="6" t="s">
        <v>27</v>
      </c>
      <c r="B11" s="6" t="s">
        <v>53</v>
      </c>
      <c r="C11" s="8" t="str">
        <f aca="false">IF($A11="","",IFERROR(INDEX(품목목록!$B$3:$B$102,MATCH($A11,품목목록!$A$3:$A$102,0)),""))</f>
        <v>모니터</v>
      </c>
      <c r="D11" s="8" t="str">
        <f aca="false">IF($B11="","",IFERROR(INDEX(업체목록!$B$3:$B$52,MATCH($B11,업체목록!$A$3:$A$52,0)),""))</f>
        <v>그린오피스</v>
      </c>
      <c r="E11" s="8" t="n">
        <f aca="false">IF($A11="","",IFERROR(INDEX(품목목록!$D$3:$D$102,MATCH($A11,품목목록!$A$3:$A$102,0)),""))</f>
        <v>5</v>
      </c>
      <c r="F11" s="9" t="n">
        <v>182000</v>
      </c>
      <c r="G11" s="10" t="n">
        <f aca="false">IF(OR($A11="",$F11=""),"",ROUND($E11*$F11,0))</f>
        <v>910000</v>
      </c>
      <c r="H11" s="8" t="str">
        <f aca="false">IF(OR($A11="",$F11=""),"",IF($F11=_xlfn.MINIFS($F$3:$F$502,$A$3:$A$502,$A11),"최저가",""))</f>
        <v/>
      </c>
      <c r="I11" s="8" t="str">
        <f aca="false">IF($H11="최저가",$A11,"")</f>
        <v/>
      </c>
    </row>
    <row r="12" customFormat="false" ht="15" hidden="false" customHeight="false" outlineLevel="0" collapsed="false">
      <c r="A12" s="6" t="s">
        <v>30</v>
      </c>
      <c r="B12" s="6" t="s">
        <v>41</v>
      </c>
      <c r="C12" s="8" t="str">
        <f aca="false">IF($A12="","",IFERROR(INDEX(품목목록!$B$3:$B$102,MATCH($A12,품목목록!$A$3:$A$102,0)),""))</f>
        <v>복합기토너</v>
      </c>
      <c r="D12" s="8" t="str">
        <f aca="false">IF($B12="","",IFERROR(INDEX(업체목록!$B$3:$B$52,MATCH($B12,업체목록!$A$3:$A$52,0)),""))</f>
        <v>한빛오피스</v>
      </c>
      <c r="E12" s="8" t="n">
        <f aca="false">IF($A12="","",IFERROR(INDEX(품목목록!$D$3:$D$102,MATCH($A12,품목목록!$A$3:$A$102,0)),""))</f>
        <v>8</v>
      </c>
      <c r="F12" s="9" t="n">
        <v>28000</v>
      </c>
      <c r="G12" s="10" t="n">
        <f aca="false">IF(OR($A12="",$F12=""),"",ROUND($E12*$F12,0))</f>
        <v>224000</v>
      </c>
      <c r="H12" s="8" t="str">
        <f aca="false">IF(OR($A12="",$F12=""),"",IF($F12=_xlfn.MINIFS($F$3:$F$502,$A$3:$A$502,$A12),"최저가",""))</f>
        <v/>
      </c>
      <c r="I12" s="8" t="str">
        <f aca="false">IF($H12="최저가",$A12,"")</f>
        <v/>
      </c>
    </row>
    <row r="13" customFormat="false" ht="15" hidden="false" customHeight="false" outlineLevel="0" collapsed="false">
      <c r="A13" s="6" t="s">
        <v>30</v>
      </c>
      <c r="B13" s="6" t="s">
        <v>49</v>
      </c>
      <c r="C13" s="8" t="str">
        <f aca="false">IF($A13="","",IFERROR(INDEX(품목목록!$B$3:$B$102,MATCH($A13,품목목록!$A$3:$A$102,0)),""))</f>
        <v>복합기토너</v>
      </c>
      <c r="D13" s="8" t="str">
        <f aca="false">IF($B13="","",IFERROR(INDEX(업체목록!$B$3:$B$52,MATCH($B13,업체목록!$A$3:$A$52,0)),""))</f>
        <v>대성물산</v>
      </c>
      <c r="E13" s="8" t="n">
        <f aca="false">IF($A13="","",IFERROR(INDEX(품목목록!$D$3:$D$102,MATCH($A13,품목목록!$A$3:$A$102,0)),""))</f>
        <v>8</v>
      </c>
      <c r="F13" s="9" t="n">
        <v>26000</v>
      </c>
      <c r="G13" s="10" t="n">
        <f aca="false">IF(OR($A13="",$F13=""),"",ROUND($E13*$F13,0))</f>
        <v>208000</v>
      </c>
      <c r="H13" s="8" t="str">
        <f aca="false">IF(OR($A13="",$F13=""),"",IF($F13=_xlfn.MINIFS($F$3:$F$502,$A$3:$A$502,$A13),"최저가",""))</f>
        <v>최저가</v>
      </c>
      <c r="I13" s="8" t="str">
        <f aca="false">IF($H13="최저가",$A13,"")</f>
        <v>P04</v>
      </c>
    </row>
    <row r="14" customFormat="false" ht="15" hidden="false" customHeight="false" outlineLevel="0" collapsed="false">
      <c r="A14" s="6" t="s">
        <v>33</v>
      </c>
      <c r="B14" s="6" t="s">
        <v>41</v>
      </c>
      <c r="C14" s="8" t="str">
        <f aca="false">IF($A14="","",IFERROR(INDEX(품목목록!$B$3:$B$102,MATCH($A14,품목목록!$A$3:$A$102,0)),""))</f>
        <v>사무용책상</v>
      </c>
      <c r="D14" s="8" t="str">
        <f aca="false">IF($B14="","",IFERROR(INDEX(업체목록!$B$3:$B$52,MATCH($B14,업체목록!$A$3:$A$52,0)),""))</f>
        <v>한빛오피스</v>
      </c>
      <c r="E14" s="8" t="n">
        <f aca="false">IF($A14="","",IFERROR(INDEX(품목목록!$D$3:$D$102,MATCH($A14,품목목록!$A$3:$A$102,0)),""))</f>
        <v>8</v>
      </c>
      <c r="F14" s="9" t="n">
        <v>95000</v>
      </c>
      <c r="G14" s="10" t="n">
        <f aca="false">IF(OR($A14="",$F14=""),"",ROUND($E14*$F14,0))</f>
        <v>760000</v>
      </c>
      <c r="H14" s="8" t="str">
        <f aca="false">IF(OR($A14="",$F14=""),"",IF($F14=_xlfn.MINIFS($F$3:$F$502,$A$3:$A$502,$A14),"최저가",""))</f>
        <v/>
      </c>
      <c r="I14" s="8" t="str">
        <f aca="false">IF($H14="최저가",$A14,"")</f>
        <v/>
      </c>
    </row>
    <row r="15" customFormat="false" ht="15" hidden="false" customHeight="false" outlineLevel="0" collapsed="false">
      <c r="A15" s="6" t="s">
        <v>33</v>
      </c>
      <c r="B15" s="6" t="s">
        <v>53</v>
      </c>
      <c r="C15" s="8" t="str">
        <f aca="false">IF($A15="","",IFERROR(INDEX(품목목록!$B$3:$B$102,MATCH($A15,품목목록!$A$3:$A$102,0)),""))</f>
        <v>사무용책상</v>
      </c>
      <c r="D15" s="8" t="str">
        <f aca="false">IF($B15="","",IFERROR(INDEX(업체목록!$B$3:$B$52,MATCH($B15,업체목록!$A$3:$A$52,0)),""))</f>
        <v>그린오피스</v>
      </c>
      <c r="E15" s="8" t="n">
        <f aca="false">IF($A15="","",IFERROR(INDEX(품목목록!$D$3:$D$102,MATCH($A15,품목목록!$A$3:$A$102,0)),""))</f>
        <v>8</v>
      </c>
      <c r="F15" s="9" t="n">
        <v>89000</v>
      </c>
      <c r="G15" s="10" t="n">
        <f aca="false">IF(OR($A15="",$F15=""),"",ROUND($E15*$F15,0))</f>
        <v>712000</v>
      </c>
      <c r="H15" s="8" t="str">
        <f aca="false">IF(OR($A15="",$F15=""),"",IF($F15=_xlfn.MINIFS($F$3:$F$502,$A$3:$A$502,$A15),"최저가",""))</f>
        <v>최저가</v>
      </c>
      <c r="I15" s="8" t="str">
        <f aca="false">IF($H15="최저가",$A15,"")</f>
        <v>P05</v>
      </c>
    </row>
    <row r="16" customFormat="false" ht="15" hidden="false" customHeight="false" outlineLevel="0" collapsed="false">
      <c r="A16" s="6"/>
      <c r="B16" s="6"/>
      <c r="C16" s="8" t="str">
        <f aca="false">IF($A16="","",IFERROR(INDEX(품목목록!$B$3:$B$102,MATCH($A16,품목목록!$A$3:$A$102,0)),""))</f>
        <v/>
      </c>
      <c r="D16" s="8" t="str">
        <f aca="false">IF($B16="","",IFERROR(INDEX(업체목록!$B$3:$B$52,MATCH($B16,업체목록!$A$3:$A$52,0)),""))</f>
        <v/>
      </c>
      <c r="E16" s="8" t="str">
        <f aca="false">IF($A16="","",IFERROR(INDEX(품목목록!$D$3:$D$102,MATCH($A16,품목목록!$A$3:$A$102,0)),""))</f>
        <v/>
      </c>
      <c r="F16" s="9"/>
      <c r="G16" s="10" t="str">
        <f aca="false">IF(OR($A16="",$F16=""),"",ROUND($E16*$F16,0))</f>
        <v/>
      </c>
      <c r="H16" s="8" t="str">
        <f aca="false">IF(OR($A16="",$F16=""),"",IF($F16=_xlfn.MINIFS($F$3:$F$502,$A$3:$A$502,$A16),"최저가",""))</f>
        <v/>
      </c>
      <c r="I16" s="8" t="str">
        <f aca="false">IF($H16="최저가",$A16,"")</f>
        <v/>
      </c>
    </row>
    <row r="17" customFormat="false" ht="15" hidden="false" customHeight="false" outlineLevel="0" collapsed="false">
      <c r="A17" s="6"/>
      <c r="B17" s="6"/>
      <c r="C17" s="8" t="str">
        <f aca="false">IF($A17="","",IFERROR(INDEX(품목목록!$B$3:$B$102,MATCH($A17,품목목록!$A$3:$A$102,0)),""))</f>
        <v/>
      </c>
      <c r="D17" s="8" t="str">
        <f aca="false">IF($B17="","",IFERROR(INDEX(업체목록!$B$3:$B$52,MATCH($B17,업체목록!$A$3:$A$52,0)),""))</f>
        <v/>
      </c>
      <c r="E17" s="8" t="str">
        <f aca="false">IF($A17="","",IFERROR(INDEX(품목목록!$D$3:$D$102,MATCH($A17,품목목록!$A$3:$A$102,0)),""))</f>
        <v/>
      </c>
      <c r="F17" s="9"/>
      <c r="G17" s="10" t="str">
        <f aca="false">IF(OR($A17="",$F17=""),"",ROUND($E17*$F17,0))</f>
        <v/>
      </c>
      <c r="H17" s="8" t="str">
        <f aca="false">IF(OR($A17="",$F17=""),"",IF($F17=_xlfn.MINIFS($F$3:$F$502,$A$3:$A$502,$A17),"최저가",""))</f>
        <v/>
      </c>
      <c r="I17" s="8" t="str">
        <f aca="false">IF($H17="최저가",$A17,"")</f>
        <v/>
      </c>
    </row>
    <row r="18" customFormat="false" ht="15" hidden="false" customHeight="false" outlineLevel="0" collapsed="false">
      <c r="A18" s="6"/>
      <c r="B18" s="6"/>
      <c r="C18" s="8" t="str">
        <f aca="false">IF($A18="","",IFERROR(INDEX(품목목록!$B$3:$B$102,MATCH($A18,품목목록!$A$3:$A$102,0)),""))</f>
        <v/>
      </c>
      <c r="D18" s="8" t="str">
        <f aca="false">IF($B18="","",IFERROR(INDEX(업체목록!$B$3:$B$52,MATCH($B18,업체목록!$A$3:$A$52,0)),""))</f>
        <v/>
      </c>
      <c r="E18" s="8" t="str">
        <f aca="false">IF($A18="","",IFERROR(INDEX(품목목록!$D$3:$D$102,MATCH($A18,품목목록!$A$3:$A$102,0)),""))</f>
        <v/>
      </c>
      <c r="F18" s="9"/>
      <c r="G18" s="10" t="str">
        <f aca="false">IF(OR($A18="",$F18=""),"",ROUND($E18*$F18,0))</f>
        <v/>
      </c>
      <c r="H18" s="8" t="str">
        <f aca="false">IF(OR($A18="",$F18=""),"",IF($F18=_xlfn.MINIFS($F$3:$F$502,$A$3:$A$502,$A18),"최저가",""))</f>
        <v/>
      </c>
      <c r="I18" s="8" t="str">
        <f aca="false">IF($H18="최저가",$A18,"")</f>
        <v/>
      </c>
    </row>
    <row r="19" customFormat="false" ht="15" hidden="false" customHeight="false" outlineLevel="0" collapsed="false">
      <c r="A19" s="6"/>
      <c r="B19" s="6"/>
      <c r="C19" s="8" t="str">
        <f aca="false">IF($A19="","",IFERROR(INDEX(품목목록!$B$3:$B$102,MATCH($A19,품목목록!$A$3:$A$102,0)),""))</f>
        <v/>
      </c>
      <c r="D19" s="8" t="str">
        <f aca="false">IF($B19="","",IFERROR(INDEX(업체목록!$B$3:$B$52,MATCH($B19,업체목록!$A$3:$A$52,0)),""))</f>
        <v/>
      </c>
      <c r="E19" s="8" t="str">
        <f aca="false">IF($A19="","",IFERROR(INDEX(품목목록!$D$3:$D$102,MATCH($A19,품목목록!$A$3:$A$102,0)),""))</f>
        <v/>
      </c>
      <c r="F19" s="9"/>
      <c r="G19" s="10" t="str">
        <f aca="false">IF(OR($A19="",$F19=""),"",ROUND($E19*$F19,0))</f>
        <v/>
      </c>
      <c r="H19" s="8" t="str">
        <f aca="false">IF(OR($A19="",$F19=""),"",IF($F19=_xlfn.MINIFS($F$3:$F$502,$A$3:$A$502,$A19),"최저가",""))</f>
        <v/>
      </c>
      <c r="I19" s="8" t="str">
        <f aca="false">IF($H19="최저가",$A19,"")</f>
        <v/>
      </c>
    </row>
    <row r="20" customFormat="false" ht="15" hidden="false" customHeight="false" outlineLevel="0" collapsed="false">
      <c r="A20" s="6"/>
      <c r="B20" s="6"/>
      <c r="C20" s="8" t="str">
        <f aca="false">IF($A20="","",IFERROR(INDEX(품목목록!$B$3:$B$102,MATCH($A20,품목목록!$A$3:$A$102,0)),""))</f>
        <v/>
      </c>
      <c r="D20" s="8" t="str">
        <f aca="false">IF($B20="","",IFERROR(INDEX(업체목록!$B$3:$B$52,MATCH($B20,업체목록!$A$3:$A$52,0)),""))</f>
        <v/>
      </c>
      <c r="E20" s="8" t="str">
        <f aca="false">IF($A20="","",IFERROR(INDEX(품목목록!$D$3:$D$102,MATCH($A20,품목목록!$A$3:$A$102,0)),""))</f>
        <v/>
      </c>
      <c r="F20" s="9"/>
      <c r="G20" s="10" t="str">
        <f aca="false">IF(OR($A20="",$F20=""),"",ROUND($E20*$F20,0))</f>
        <v/>
      </c>
      <c r="H20" s="8" t="str">
        <f aca="false">IF(OR($A20="",$F20=""),"",IF($F20=_xlfn.MINIFS($F$3:$F$502,$A$3:$A$502,$A20),"최저가",""))</f>
        <v/>
      </c>
      <c r="I20" s="8" t="str">
        <f aca="false">IF($H20="최저가",$A20,"")</f>
        <v/>
      </c>
    </row>
    <row r="21" customFormat="false" ht="15" hidden="false" customHeight="false" outlineLevel="0" collapsed="false">
      <c r="A21" s="6"/>
      <c r="B21" s="6"/>
      <c r="C21" s="8" t="str">
        <f aca="false">IF($A21="","",IFERROR(INDEX(품목목록!$B$3:$B$102,MATCH($A21,품목목록!$A$3:$A$102,0)),""))</f>
        <v/>
      </c>
      <c r="D21" s="8" t="str">
        <f aca="false">IF($B21="","",IFERROR(INDEX(업체목록!$B$3:$B$52,MATCH($B21,업체목록!$A$3:$A$52,0)),""))</f>
        <v/>
      </c>
      <c r="E21" s="8" t="str">
        <f aca="false">IF($A21="","",IFERROR(INDEX(품목목록!$D$3:$D$102,MATCH($A21,품목목록!$A$3:$A$102,0)),""))</f>
        <v/>
      </c>
      <c r="F21" s="9"/>
      <c r="G21" s="10" t="str">
        <f aca="false">IF(OR($A21="",$F21=""),"",ROUND($E21*$F21,0))</f>
        <v/>
      </c>
      <c r="H21" s="8" t="str">
        <f aca="false">IF(OR($A21="",$F21=""),"",IF($F21=_xlfn.MINIFS($F$3:$F$502,$A$3:$A$502,$A21),"최저가",""))</f>
        <v/>
      </c>
      <c r="I21" s="8" t="str">
        <f aca="false">IF($H21="최저가",$A21,"")</f>
        <v/>
      </c>
    </row>
    <row r="22" customFormat="false" ht="15" hidden="false" customHeight="false" outlineLevel="0" collapsed="false">
      <c r="A22" s="6"/>
      <c r="B22" s="6"/>
      <c r="C22" s="8" t="str">
        <f aca="false">IF($A22="","",IFERROR(INDEX(품목목록!$B$3:$B$102,MATCH($A22,품목목록!$A$3:$A$102,0)),""))</f>
        <v/>
      </c>
      <c r="D22" s="8" t="str">
        <f aca="false">IF($B22="","",IFERROR(INDEX(업체목록!$B$3:$B$52,MATCH($B22,업체목록!$A$3:$A$52,0)),""))</f>
        <v/>
      </c>
      <c r="E22" s="8" t="str">
        <f aca="false">IF($A22="","",IFERROR(INDEX(품목목록!$D$3:$D$102,MATCH($A22,품목목록!$A$3:$A$102,0)),""))</f>
        <v/>
      </c>
      <c r="F22" s="9"/>
      <c r="G22" s="10" t="str">
        <f aca="false">IF(OR($A22="",$F22=""),"",ROUND($E22*$F22,0))</f>
        <v/>
      </c>
      <c r="H22" s="8" t="str">
        <f aca="false">IF(OR($A22="",$F22=""),"",IF($F22=_xlfn.MINIFS($F$3:$F$502,$A$3:$A$502,$A22),"최저가",""))</f>
        <v/>
      </c>
      <c r="I22" s="8" t="str">
        <f aca="false">IF($H22="최저가",$A22,"")</f>
        <v/>
      </c>
    </row>
    <row r="23" customFormat="false" ht="15" hidden="false" customHeight="false" outlineLevel="0" collapsed="false">
      <c r="A23" s="6"/>
      <c r="B23" s="6"/>
      <c r="C23" s="8" t="str">
        <f aca="false">IF($A23="","",IFERROR(INDEX(품목목록!$B$3:$B$102,MATCH($A23,품목목록!$A$3:$A$102,0)),""))</f>
        <v/>
      </c>
      <c r="D23" s="8" t="str">
        <f aca="false">IF($B23="","",IFERROR(INDEX(업체목록!$B$3:$B$52,MATCH($B23,업체목록!$A$3:$A$52,0)),""))</f>
        <v/>
      </c>
      <c r="E23" s="8" t="str">
        <f aca="false">IF($A23="","",IFERROR(INDEX(품목목록!$D$3:$D$102,MATCH($A23,품목목록!$A$3:$A$102,0)),""))</f>
        <v/>
      </c>
      <c r="F23" s="9"/>
      <c r="G23" s="10" t="str">
        <f aca="false">IF(OR($A23="",$F23=""),"",ROUND($E23*$F23,0))</f>
        <v/>
      </c>
      <c r="H23" s="8" t="str">
        <f aca="false">IF(OR($A23="",$F23=""),"",IF($F23=_xlfn.MINIFS($F$3:$F$502,$A$3:$A$502,$A23),"최저가",""))</f>
        <v/>
      </c>
      <c r="I23" s="8" t="str">
        <f aca="false">IF($H23="최저가",$A23,"")</f>
        <v/>
      </c>
    </row>
    <row r="24" customFormat="false" ht="15" hidden="false" customHeight="false" outlineLevel="0" collapsed="false">
      <c r="A24" s="6"/>
      <c r="B24" s="6"/>
      <c r="C24" s="8" t="str">
        <f aca="false">IF($A24="","",IFERROR(INDEX(품목목록!$B$3:$B$102,MATCH($A24,품목목록!$A$3:$A$102,0)),""))</f>
        <v/>
      </c>
      <c r="D24" s="8" t="str">
        <f aca="false">IF($B24="","",IFERROR(INDEX(업체목록!$B$3:$B$52,MATCH($B24,업체목록!$A$3:$A$52,0)),""))</f>
        <v/>
      </c>
      <c r="E24" s="8" t="str">
        <f aca="false">IF($A24="","",IFERROR(INDEX(품목목록!$D$3:$D$102,MATCH($A24,품목목록!$A$3:$A$102,0)),""))</f>
        <v/>
      </c>
      <c r="F24" s="9"/>
      <c r="G24" s="10" t="str">
        <f aca="false">IF(OR($A24="",$F24=""),"",ROUND($E24*$F24,0))</f>
        <v/>
      </c>
      <c r="H24" s="8" t="str">
        <f aca="false">IF(OR($A24="",$F24=""),"",IF($F24=_xlfn.MINIFS($F$3:$F$502,$A$3:$A$502,$A24),"최저가",""))</f>
        <v/>
      </c>
      <c r="I24" s="8" t="str">
        <f aca="false">IF($H24="최저가",$A24,"")</f>
        <v/>
      </c>
    </row>
    <row r="25" customFormat="false" ht="15" hidden="false" customHeight="false" outlineLevel="0" collapsed="false">
      <c r="A25" s="6"/>
      <c r="B25" s="6"/>
      <c r="C25" s="8" t="str">
        <f aca="false">IF($A25="","",IFERROR(INDEX(품목목록!$B$3:$B$102,MATCH($A25,품목목록!$A$3:$A$102,0)),""))</f>
        <v/>
      </c>
      <c r="D25" s="8" t="str">
        <f aca="false">IF($B25="","",IFERROR(INDEX(업체목록!$B$3:$B$52,MATCH($B25,업체목록!$A$3:$A$52,0)),""))</f>
        <v/>
      </c>
      <c r="E25" s="8" t="str">
        <f aca="false">IF($A25="","",IFERROR(INDEX(품목목록!$D$3:$D$102,MATCH($A25,품목목록!$A$3:$A$102,0)),""))</f>
        <v/>
      </c>
      <c r="F25" s="9"/>
      <c r="G25" s="10" t="str">
        <f aca="false">IF(OR($A25="",$F25=""),"",ROUND($E25*$F25,0))</f>
        <v/>
      </c>
      <c r="H25" s="8" t="str">
        <f aca="false">IF(OR($A25="",$F25=""),"",IF($F25=_xlfn.MINIFS($F$3:$F$502,$A$3:$A$502,$A25),"최저가",""))</f>
        <v/>
      </c>
      <c r="I25" s="8" t="str">
        <f aca="false">IF($H25="최저가",$A25,"")</f>
        <v/>
      </c>
    </row>
    <row r="26" customFormat="false" ht="15" hidden="false" customHeight="false" outlineLevel="0" collapsed="false">
      <c r="A26" s="6"/>
      <c r="B26" s="6"/>
      <c r="C26" s="8" t="str">
        <f aca="false">IF($A26="","",IFERROR(INDEX(품목목록!$B$3:$B$102,MATCH($A26,품목목록!$A$3:$A$102,0)),""))</f>
        <v/>
      </c>
      <c r="D26" s="8" t="str">
        <f aca="false">IF($B26="","",IFERROR(INDEX(업체목록!$B$3:$B$52,MATCH($B26,업체목록!$A$3:$A$52,0)),""))</f>
        <v/>
      </c>
      <c r="E26" s="8" t="str">
        <f aca="false">IF($A26="","",IFERROR(INDEX(품목목록!$D$3:$D$102,MATCH($A26,품목목록!$A$3:$A$102,0)),""))</f>
        <v/>
      </c>
      <c r="F26" s="9"/>
      <c r="G26" s="10" t="str">
        <f aca="false">IF(OR($A26="",$F26=""),"",ROUND($E26*$F26,0))</f>
        <v/>
      </c>
      <c r="H26" s="8" t="str">
        <f aca="false">IF(OR($A26="",$F26=""),"",IF($F26=_xlfn.MINIFS($F$3:$F$502,$A$3:$A$502,$A26),"최저가",""))</f>
        <v/>
      </c>
      <c r="I26" s="8" t="str">
        <f aca="false">IF($H26="최저가",$A26,"")</f>
        <v/>
      </c>
    </row>
    <row r="27" customFormat="false" ht="15" hidden="false" customHeight="false" outlineLevel="0" collapsed="false">
      <c r="A27" s="6"/>
      <c r="B27" s="6"/>
      <c r="C27" s="8" t="str">
        <f aca="false">IF($A27="","",IFERROR(INDEX(품목목록!$B$3:$B$102,MATCH($A27,품목목록!$A$3:$A$102,0)),""))</f>
        <v/>
      </c>
      <c r="D27" s="8" t="str">
        <f aca="false">IF($B27="","",IFERROR(INDEX(업체목록!$B$3:$B$52,MATCH($B27,업체목록!$A$3:$A$52,0)),""))</f>
        <v/>
      </c>
      <c r="E27" s="8" t="str">
        <f aca="false">IF($A27="","",IFERROR(INDEX(품목목록!$D$3:$D$102,MATCH($A27,품목목록!$A$3:$A$102,0)),""))</f>
        <v/>
      </c>
      <c r="F27" s="9"/>
      <c r="G27" s="10" t="str">
        <f aca="false">IF(OR($A27="",$F27=""),"",ROUND($E27*$F27,0))</f>
        <v/>
      </c>
      <c r="H27" s="8" t="str">
        <f aca="false">IF(OR($A27="",$F27=""),"",IF($F27=_xlfn.MINIFS($F$3:$F$502,$A$3:$A$502,$A27),"최저가",""))</f>
        <v/>
      </c>
      <c r="I27" s="8" t="str">
        <f aca="false">IF($H27="최저가",$A27,"")</f>
        <v/>
      </c>
    </row>
    <row r="28" customFormat="false" ht="15" hidden="false" customHeight="false" outlineLevel="0" collapsed="false">
      <c r="A28" s="6"/>
      <c r="B28" s="6"/>
      <c r="C28" s="8" t="str">
        <f aca="false">IF($A28="","",IFERROR(INDEX(품목목록!$B$3:$B$102,MATCH($A28,품목목록!$A$3:$A$102,0)),""))</f>
        <v/>
      </c>
      <c r="D28" s="8" t="str">
        <f aca="false">IF($B28="","",IFERROR(INDEX(업체목록!$B$3:$B$52,MATCH($B28,업체목록!$A$3:$A$52,0)),""))</f>
        <v/>
      </c>
      <c r="E28" s="8" t="str">
        <f aca="false">IF($A28="","",IFERROR(INDEX(품목목록!$D$3:$D$102,MATCH($A28,품목목록!$A$3:$A$102,0)),""))</f>
        <v/>
      </c>
      <c r="F28" s="9"/>
      <c r="G28" s="10" t="str">
        <f aca="false">IF(OR($A28="",$F28=""),"",ROUND($E28*$F28,0))</f>
        <v/>
      </c>
      <c r="H28" s="8" t="str">
        <f aca="false">IF(OR($A28="",$F28=""),"",IF($F28=_xlfn.MINIFS($F$3:$F$502,$A$3:$A$502,$A28),"최저가",""))</f>
        <v/>
      </c>
      <c r="I28" s="8" t="str">
        <f aca="false">IF($H28="최저가",$A28,"")</f>
        <v/>
      </c>
    </row>
    <row r="29" customFormat="false" ht="15" hidden="false" customHeight="false" outlineLevel="0" collapsed="false">
      <c r="A29" s="6"/>
      <c r="B29" s="6"/>
      <c r="C29" s="8" t="str">
        <f aca="false">IF($A29="","",IFERROR(INDEX(품목목록!$B$3:$B$102,MATCH($A29,품목목록!$A$3:$A$102,0)),""))</f>
        <v/>
      </c>
      <c r="D29" s="8" t="str">
        <f aca="false">IF($B29="","",IFERROR(INDEX(업체목록!$B$3:$B$52,MATCH($B29,업체목록!$A$3:$A$52,0)),""))</f>
        <v/>
      </c>
      <c r="E29" s="8" t="str">
        <f aca="false">IF($A29="","",IFERROR(INDEX(품목목록!$D$3:$D$102,MATCH($A29,품목목록!$A$3:$A$102,0)),""))</f>
        <v/>
      </c>
      <c r="F29" s="9"/>
      <c r="G29" s="10" t="str">
        <f aca="false">IF(OR($A29="",$F29=""),"",ROUND($E29*$F29,0))</f>
        <v/>
      </c>
      <c r="H29" s="8" t="str">
        <f aca="false">IF(OR($A29="",$F29=""),"",IF($F29=_xlfn.MINIFS($F$3:$F$502,$A$3:$A$502,$A29),"최저가",""))</f>
        <v/>
      </c>
      <c r="I29" s="8" t="str">
        <f aca="false">IF($H29="최저가",$A29,"")</f>
        <v/>
      </c>
    </row>
    <row r="30" customFormat="false" ht="15" hidden="false" customHeight="false" outlineLevel="0" collapsed="false">
      <c r="A30" s="6"/>
      <c r="B30" s="6"/>
      <c r="C30" s="8" t="str">
        <f aca="false">IF($A30="","",IFERROR(INDEX(품목목록!$B$3:$B$102,MATCH($A30,품목목록!$A$3:$A$102,0)),""))</f>
        <v/>
      </c>
      <c r="D30" s="8" t="str">
        <f aca="false">IF($B30="","",IFERROR(INDEX(업체목록!$B$3:$B$52,MATCH($B30,업체목록!$A$3:$A$52,0)),""))</f>
        <v/>
      </c>
      <c r="E30" s="8" t="str">
        <f aca="false">IF($A30="","",IFERROR(INDEX(품목목록!$D$3:$D$102,MATCH($A30,품목목록!$A$3:$A$102,0)),""))</f>
        <v/>
      </c>
      <c r="F30" s="9"/>
      <c r="G30" s="10" t="str">
        <f aca="false">IF(OR($A30="",$F30=""),"",ROUND($E30*$F30,0))</f>
        <v/>
      </c>
      <c r="H30" s="8" t="str">
        <f aca="false">IF(OR($A30="",$F30=""),"",IF($F30=_xlfn.MINIFS($F$3:$F$502,$A$3:$A$502,$A30),"최저가",""))</f>
        <v/>
      </c>
      <c r="I30" s="8" t="str">
        <f aca="false">IF($H30="최저가",$A30,"")</f>
        <v/>
      </c>
    </row>
    <row r="31" customFormat="false" ht="15" hidden="false" customHeight="false" outlineLevel="0" collapsed="false">
      <c r="A31" s="6"/>
      <c r="B31" s="6"/>
      <c r="C31" s="8" t="str">
        <f aca="false">IF($A31="","",IFERROR(INDEX(품목목록!$B$3:$B$102,MATCH($A31,품목목록!$A$3:$A$102,0)),""))</f>
        <v/>
      </c>
      <c r="D31" s="8" t="str">
        <f aca="false">IF($B31="","",IFERROR(INDEX(업체목록!$B$3:$B$52,MATCH($B31,업체목록!$A$3:$A$52,0)),""))</f>
        <v/>
      </c>
      <c r="E31" s="8" t="str">
        <f aca="false">IF($A31="","",IFERROR(INDEX(품목목록!$D$3:$D$102,MATCH($A31,품목목록!$A$3:$A$102,0)),""))</f>
        <v/>
      </c>
      <c r="F31" s="9"/>
      <c r="G31" s="10" t="str">
        <f aca="false">IF(OR($A31="",$F31=""),"",ROUND($E31*$F31,0))</f>
        <v/>
      </c>
      <c r="H31" s="8" t="str">
        <f aca="false">IF(OR($A31="",$F31=""),"",IF($F31=_xlfn.MINIFS($F$3:$F$502,$A$3:$A$502,$A31),"최저가",""))</f>
        <v/>
      </c>
      <c r="I31" s="8" t="str">
        <f aca="false">IF($H31="최저가",$A31,"")</f>
        <v/>
      </c>
    </row>
    <row r="32" customFormat="false" ht="15" hidden="false" customHeight="false" outlineLevel="0" collapsed="false">
      <c r="A32" s="6"/>
      <c r="B32" s="6"/>
      <c r="C32" s="8" t="str">
        <f aca="false">IF($A32="","",IFERROR(INDEX(품목목록!$B$3:$B$102,MATCH($A32,품목목록!$A$3:$A$102,0)),""))</f>
        <v/>
      </c>
      <c r="D32" s="8" t="str">
        <f aca="false">IF($B32="","",IFERROR(INDEX(업체목록!$B$3:$B$52,MATCH($B32,업체목록!$A$3:$A$52,0)),""))</f>
        <v/>
      </c>
      <c r="E32" s="8" t="str">
        <f aca="false">IF($A32="","",IFERROR(INDEX(품목목록!$D$3:$D$102,MATCH($A32,품목목록!$A$3:$A$102,0)),""))</f>
        <v/>
      </c>
      <c r="F32" s="9"/>
      <c r="G32" s="10" t="str">
        <f aca="false">IF(OR($A32="",$F32=""),"",ROUND($E32*$F32,0))</f>
        <v/>
      </c>
      <c r="H32" s="8" t="str">
        <f aca="false">IF(OR($A32="",$F32=""),"",IF($F32=_xlfn.MINIFS($F$3:$F$502,$A$3:$A$502,$A32),"최저가",""))</f>
        <v/>
      </c>
      <c r="I32" s="8" t="str">
        <f aca="false">IF($H32="최저가",$A32,"")</f>
        <v/>
      </c>
    </row>
    <row r="33" customFormat="false" ht="15" hidden="false" customHeight="false" outlineLevel="0" collapsed="false">
      <c r="A33" s="6"/>
      <c r="B33" s="6"/>
      <c r="C33" s="8" t="str">
        <f aca="false">IF($A33="","",IFERROR(INDEX(품목목록!$B$3:$B$102,MATCH($A33,품목목록!$A$3:$A$102,0)),""))</f>
        <v/>
      </c>
      <c r="D33" s="8" t="str">
        <f aca="false">IF($B33="","",IFERROR(INDEX(업체목록!$B$3:$B$52,MATCH($B33,업체목록!$A$3:$A$52,0)),""))</f>
        <v/>
      </c>
      <c r="E33" s="8" t="str">
        <f aca="false">IF($A33="","",IFERROR(INDEX(품목목록!$D$3:$D$102,MATCH($A33,품목목록!$A$3:$A$102,0)),""))</f>
        <v/>
      </c>
      <c r="F33" s="9"/>
      <c r="G33" s="10" t="str">
        <f aca="false">IF(OR($A33="",$F33=""),"",ROUND($E33*$F33,0))</f>
        <v/>
      </c>
      <c r="H33" s="8" t="str">
        <f aca="false">IF(OR($A33="",$F33=""),"",IF($F33=_xlfn.MINIFS($F$3:$F$502,$A$3:$A$502,$A33),"최저가",""))</f>
        <v/>
      </c>
      <c r="I33" s="8" t="str">
        <f aca="false">IF($H33="최저가",$A33,"")</f>
        <v/>
      </c>
    </row>
    <row r="34" customFormat="false" ht="15" hidden="false" customHeight="false" outlineLevel="0" collapsed="false">
      <c r="A34" s="6"/>
      <c r="B34" s="6"/>
      <c r="C34" s="8" t="str">
        <f aca="false">IF($A34="","",IFERROR(INDEX(품목목록!$B$3:$B$102,MATCH($A34,품목목록!$A$3:$A$102,0)),""))</f>
        <v/>
      </c>
      <c r="D34" s="8" t="str">
        <f aca="false">IF($B34="","",IFERROR(INDEX(업체목록!$B$3:$B$52,MATCH($B34,업체목록!$A$3:$A$52,0)),""))</f>
        <v/>
      </c>
      <c r="E34" s="8" t="str">
        <f aca="false">IF($A34="","",IFERROR(INDEX(품목목록!$D$3:$D$102,MATCH($A34,품목목록!$A$3:$A$102,0)),""))</f>
        <v/>
      </c>
      <c r="F34" s="9"/>
      <c r="G34" s="10" t="str">
        <f aca="false">IF(OR($A34="",$F34=""),"",ROUND($E34*$F34,0))</f>
        <v/>
      </c>
      <c r="H34" s="8" t="str">
        <f aca="false">IF(OR($A34="",$F34=""),"",IF($F34=_xlfn.MINIFS($F$3:$F$502,$A$3:$A$502,$A34),"최저가",""))</f>
        <v/>
      </c>
      <c r="I34" s="8" t="str">
        <f aca="false">IF($H34="최저가",$A34,"")</f>
        <v/>
      </c>
    </row>
    <row r="35" customFormat="false" ht="15" hidden="false" customHeight="false" outlineLevel="0" collapsed="false">
      <c r="A35" s="6"/>
      <c r="B35" s="6"/>
      <c r="C35" s="8" t="str">
        <f aca="false">IF($A35="","",IFERROR(INDEX(품목목록!$B$3:$B$102,MATCH($A35,품목목록!$A$3:$A$102,0)),""))</f>
        <v/>
      </c>
      <c r="D35" s="8" t="str">
        <f aca="false">IF($B35="","",IFERROR(INDEX(업체목록!$B$3:$B$52,MATCH($B35,업체목록!$A$3:$A$52,0)),""))</f>
        <v/>
      </c>
      <c r="E35" s="8" t="str">
        <f aca="false">IF($A35="","",IFERROR(INDEX(품목목록!$D$3:$D$102,MATCH($A35,품목목록!$A$3:$A$102,0)),""))</f>
        <v/>
      </c>
      <c r="F35" s="9"/>
      <c r="G35" s="10" t="str">
        <f aca="false">IF(OR($A35="",$F35=""),"",ROUND($E35*$F35,0))</f>
        <v/>
      </c>
      <c r="H35" s="8" t="str">
        <f aca="false">IF(OR($A35="",$F35=""),"",IF($F35=_xlfn.MINIFS($F$3:$F$502,$A$3:$A$502,$A35),"최저가",""))</f>
        <v/>
      </c>
      <c r="I35" s="8" t="str">
        <f aca="false">IF($H35="최저가",$A35,"")</f>
        <v/>
      </c>
    </row>
    <row r="36" customFormat="false" ht="15" hidden="false" customHeight="false" outlineLevel="0" collapsed="false">
      <c r="A36" s="6"/>
      <c r="B36" s="6"/>
      <c r="C36" s="8" t="str">
        <f aca="false">IF($A36="","",IFERROR(INDEX(품목목록!$B$3:$B$102,MATCH($A36,품목목록!$A$3:$A$102,0)),""))</f>
        <v/>
      </c>
      <c r="D36" s="8" t="str">
        <f aca="false">IF($B36="","",IFERROR(INDEX(업체목록!$B$3:$B$52,MATCH($B36,업체목록!$A$3:$A$52,0)),""))</f>
        <v/>
      </c>
      <c r="E36" s="8" t="str">
        <f aca="false">IF($A36="","",IFERROR(INDEX(품목목록!$D$3:$D$102,MATCH($A36,품목목록!$A$3:$A$102,0)),""))</f>
        <v/>
      </c>
      <c r="F36" s="9"/>
      <c r="G36" s="10" t="str">
        <f aca="false">IF(OR($A36="",$F36=""),"",ROUND($E36*$F36,0))</f>
        <v/>
      </c>
      <c r="H36" s="8" t="str">
        <f aca="false">IF(OR($A36="",$F36=""),"",IF($F36=_xlfn.MINIFS($F$3:$F$502,$A$3:$A$502,$A36),"최저가",""))</f>
        <v/>
      </c>
      <c r="I36" s="8" t="str">
        <f aca="false">IF($H36="최저가",$A36,"")</f>
        <v/>
      </c>
    </row>
    <row r="37" customFormat="false" ht="15" hidden="false" customHeight="false" outlineLevel="0" collapsed="false">
      <c r="A37" s="6"/>
      <c r="B37" s="6"/>
      <c r="C37" s="8" t="str">
        <f aca="false">IF($A37="","",IFERROR(INDEX(품목목록!$B$3:$B$102,MATCH($A37,품목목록!$A$3:$A$102,0)),""))</f>
        <v/>
      </c>
      <c r="D37" s="8" t="str">
        <f aca="false">IF($B37="","",IFERROR(INDEX(업체목록!$B$3:$B$52,MATCH($B37,업체목록!$A$3:$A$52,0)),""))</f>
        <v/>
      </c>
      <c r="E37" s="8" t="str">
        <f aca="false">IF($A37="","",IFERROR(INDEX(품목목록!$D$3:$D$102,MATCH($A37,품목목록!$A$3:$A$102,0)),""))</f>
        <v/>
      </c>
      <c r="F37" s="9"/>
      <c r="G37" s="10" t="str">
        <f aca="false">IF(OR($A37="",$F37=""),"",ROUND($E37*$F37,0))</f>
        <v/>
      </c>
      <c r="H37" s="8" t="str">
        <f aca="false">IF(OR($A37="",$F37=""),"",IF($F37=_xlfn.MINIFS($F$3:$F$502,$A$3:$A$502,$A37),"최저가",""))</f>
        <v/>
      </c>
      <c r="I37" s="8" t="str">
        <f aca="false">IF($H37="최저가",$A37,"")</f>
        <v/>
      </c>
    </row>
    <row r="38" customFormat="false" ht="15" hidden="false" customHeight="false" outlineLevel="0" collapsed="false">
      <c r="A38" s="6"/>
      <c r="B38" s="6"/>
      <c r="C38" s="8" t="str">
        <f aca="false">IF($A38="","",IFERROR(INDEX(품목목록!$B$3:$B$102,MATCH($A38,품목목록!$A$3:$A$102,0)),""))</f>
        <v/>
      </c>
      <c r="D38" s="8" t="str">
        <f aca="false">IF($B38="","",IFERROR(INDEX(업체목록!$B$3:$B$52,MATCH($B38,업체목록!$A$3:$A$52,0)),""))</f>
        <v/>
      </c>
      <c r="E38" s="8" t="str">
        <f aca="false">IF($A38="","",IFERROR(INDEX(품목목록!$D$3:$D$102,MATCH($A38,품목목록!$A$3:$A$102,0)),""))</f>
        <v/>
      </c>
      <c r="F38" s="9"/>
      <c r="G38" s="10" t="str">
        <f aca="false">IF(OR($A38="",$F38=""),"",ROUND($E38*$F38,0))</f>
        <v/>
      </c>
      <c r="H38" s="8" t="str">
        <f aca="false">IF(OR($A38="",$F38=""),"",IF($F38=_xlfn.MINIFS($F$3:$F$502,$A$3:$A$502,$A38),"최저가",""))</f>
        <v/>
      </c>
      <c r="I38" s="8" t="str">
        <f aca="false">IF($H38="최저가",$A38,"")</f>
        <v/>
      </c>
    </row>
    <row r="39" customFormat="false" ht="15" hidden="false" customHeight="false" outlineLevel="0" collapsed="false">
      <c r="A39" s="6"/>
      <c r="B39" s="6"/>
      <c r="C39" s="8" t="str">
        <f aca="false">IF($A39="","",IFERROR(INDEX(품목목록!$B$3:$B$102,MATCH($A39,품목목록!$A$3:$A$102,0)),""))</f>
        <v/>
      </c>
      <c r="D39" s="8" t="str">
        <f aca="false">IF($B39="","",IFERROR(INDEX(업체목록!$B$3:$B$52,MATCH($B39,업체목록!$A$3:$A$52,0)),""))</f>
        <v/>
      </c>
      <c r="E39" s="8" t="str">
        <f aca="false">IF($A39="","",IFERROR(INDEX(품목목록!$D$3:$D$102,MATCH($A39,품목목록!$A$3:$A$102,0)),""))</f>
        <v/>
      </c>
      <c r="F39" s="9"/>
      <c r="G39" s="10" t="str">
        <f aca="false">IF(OR($A39="",$F39=""),"",ROUND($E39*$F39,0))</f>
        <v/>
      </c>
      <c r="H39" s="8" t="str">
        <f aca="false">IF(OR($A39="",$F39=""),"",IF($F39=_xlfn.MINIFS($F$3:$F$502,$A$3:$A$502,$A39),"최저가",""))</f>
        <v/>
      </c>
      <c r="I39" s="8" t="str">
        <f aca="false">IF($H39="최저가",$A39,"")</f>
        <v/>
      </c>
    </row>
    <row r="40" customFormat="false" ht="15" hidden="false" customHeight="false" outlineLevel="0" collapsed="false">
      <c r="A40" s="6"/>
      <c r="B40" s="6"/>
      <c r="C40" s="8" t="str">
        <f aca="false">IF($A40="","",IFERROR(INDEX(품목목록!$B$3:$B$102,MATCH($A40,품목목록!$A$3:$A$102,0)),""))</f>
        <v/>
      </c>
      <c r="D40" s="8" t="str">
        <f aca="false">IF($B40="","",IFERROR(INDEX(업체목록!$B$3:$B$52,MATCH($B40,업체목록!$A$3:$A$52,0)),""))</f>
        <v/>
      </c>
      <c r="E40" s="8" t="str">
        <f aca="false">IF($A40="","",IFERROR(INDEX(품목목록!$D$3:$D$102,MATCH($A40,품목목록!$A$3:$A$102,0)),""))</f>
        <v/>
      </c>
      <c r="F40" s="9"/>
      <c r="G40" s="10" t="str">
        <f aca="false">IF(OR($A40="",$F40=""),"",ROUND($E40*$F40,0))</f>
        <v/>
      </c>
      <c r="H40" s="8" t="str">
        <f aca="false">IF(OR($A40="",$F40=""),"",IF($F40=_xlfn.MINIFS($F$3:$F$502,$A$3:$A$502,$A40),"최저가",""))</f>
        <v/>
      </c>
      <c r="I40" s="8" t="str">
        <f aca="false">IF($H40="최저가",$A40,"")</f>
        <v/>
      </c>
    </row>
    <row r="41" customFormat="false" ht="15" hidden="false" customHeight="false" outlineLevel="0" collapsed="false">
      <c r="A41" s="6"/>
      <c r="B41" s="6"/>
      <c r="C41" s="8" t="str">
        <f aca="false">IF($A41="","",IFERROR(INDEX(품목목록!$B$3:$B$102,MATCH($A41,품목목록!$A$3:$A$102,0)),""))</f>
        <v/>
      </c>
      <c r="D41" s="8" t="str">
        <f aca="false">IF($B41="","",IFERROR(INDEX(업체목록!$B$3:$B$52,MATCH($B41,업체목록!$A$3:$A$52,0)),""))</f>
        <v/>
      </c>
      <c r="E41" s="8" t="str">
        <f aca="false">IF($A41="","",IFERROR(INDEX(품목목록!$D$3:$D$102,MATCH($A41,품목목록!$A$3:$A$102,0)),""))</f>
        <v/>
      </c>
      <c r="F41" s="9"/>
      <c r="G41" s="10" t="str">
        <f aca="false">IF(OR($A41="",$F41=""),"",ROUND($E41*$F41,0))</f>
        <v/>
      </c>
      <c r="H41" s="8" t="str">
        <f aca="false">IF(OR($A41="",$F41=""),"",IF($F41=_xlfn.MINIFS($F$3:$F$502,$A$3:$A$502,$A41),"최저가",""))</f>
        <v/>
      </c>
      <c r="I41" s="8" t="str">
        <f aca="false">IF($H41="최저가",$A41,"")</f>
        <v/>
      </c>
    </row>
    <row r="42" customFormat="false" ht="15" hidden="false" customHeight="false" outlineLevel="0" collapsed="false">
      <c r="A42" s="6"/>
      <c r="B42" s="6"/>
      <c r="C42" s="8" t="str">
        <f aca="false">IF($A42="","",IFERROR(INDEX(품목목록!$B$3:$B$102,MATCH($A42,품목목록!$A$3:$A$102,0)),""))</f>
        <v/>
      </c>
      <c r="D42" s="8" t="str">
        <f aca="false">IF($B42="","",IFERROR(INDEX(업체목록!$B$3:$B$52,MATCH($B42,업체목록!$A$3:$A$52,0)),""))</f>
        <v/>
      </c>
      <c r="E42" s="8" t="str">
        <f aca="false">IF($A42="","",IFERROR(INDEX(품목목록!$D$3:$D$102,MATCH($A42,품목목록!$A$3:$A$102,0)),""))</f>
        <v/>
      </c>
      <c r="F42" s="9"/>
      <c r="G42" s="10" t="str">
        <f aca="false">IF(OR($A42="",$F42=""),"",ROUND($E42*$F42,0))</f>
        <v/>
      </c>
      <c r="H42" s="8" t="str">
        <f aca="false">IF(OR($A42="",$F42=""),"",IF($F42=_xlfn.MINIFS($F$3:$F$502,$A$3:$A$502,$A42),"최저가",""))</f>
        <v/>
      </c>
      <c r="I42" s="8" t="str">
        <f aca="false">IF($H42="최저가",$A42,"")</f>
        <v/>
      </c>
    </row>
    <row r="43" customFormat="false" ht="15" hidden="false" customHeight="false" outlineLevel="0" collapsed="false">
      <c r="A43" s="6"/>
      <c r="B43" s="6"/>
      <c r="C43" s="8" t="str">
        <f aca="false">IF($A43="","",IFERROR(INDEX(품목목록!$B$3:$B$102,MATCH($A43,품목목록!$A$3:$A$102,0)),""))</f>
        <v/>
      </c>
      <c r="D43" s="8" t="str">
        <f aca="false">IF($B43="","",IFERROR(INDEX(업체목록!$B$3:$B$52,MATCH($B43,업체목록!$A$3:$A$52,0)),""))</f>
        <v/>
      </c>
      <c r="E43" s="8" t="str">
        <f aca="false">IF($A43="","",IFERROR(INDEX(품목목록!$D$3:$D$102,MATCH($A43,품목목록!$A$3:$A$102,0)),""))</f>
        <v/>
      </c>
      <c r="F43" s="9"/>
      <c r="G43" s="10" t="str">
        <f aca="false">IF(OR($A43="",$F43=""),"",ROUND($E43*$F43,0))</f>
        <v/>
      </c>
      <c r="H43" s="8" t="str">
        <f aca="false">IF(OR($A43="",$F43=""),"",IF($F43=_xlfn.MINIFS($F$3:$F$502,$A$3:$A$502,$A43),"최저가",""))</f>
        <v/>
      </c>
      <c r="I43" s="8" t="str">
        <f aca="false">IF($H43="최저가",$A43,"")</f>
        <v/>
      </c>
    </row>
    <row r="44" customFormat="false" ht="15" hidden="false" customHeight="false" outlineLevel="0" collapsed="false">
      <c r="A44" s="6"/>
      <c r="B44" s="6"/>
      <c r="C44" s="8" t="str">
        <f aca="false">IF($A44="","",IFERROR(INDEX(품목목록!$B$3:$B$102,MATCH($A44,품목목록!$A$3:$A$102,0)),""))</f>
        <v/>
      </c>
      <c r="D44" s="8" t="str">
        <f aca="false">IF($B44="","",IFERROR(INDEX(업체목록!$B$3:$B$52,MATCH($B44,업체목록!$A$3:$A$52,0)),""))</f>
        <v/>
      </c>
      <c r="E44" s="8" t="str">
        <f aca="false">IF($A44="","",IFERROR(INDEX(품목목록!$D$3:$D$102,MATCH($A44,품목목록!$A$3:$A$102,0)),""))</f>
        <v/>
      </c>
      <c r="F44" s="9"/>
      <c r="G44" s="10" t="str">
        <f aca="false">IF(OR($A44="",$F44=""),"",ROUND($E44*$F44,0))</f>
        <v/>
      </c>
      <c r="H44" s="8" t="str">
        <f aca="false">IF(OR($A44="",$F44=""),"",IF($F44=_xlfn.MINIFS($F$3:$F$502,$A$3:$A$502,$A44),"최저가",""))</f>
        <v/>
      </c>
      <c r="I44" s="8" t="str">
        <f aca="false">IF($H44="최저가",$A44,"")</f>
        <v/>
      </c>
    </row>
    <row r="45" customFormat="false" ht="15" hidden="false" customHeight="false" outlineLevel="0" collapsed="false">
      <c r="A45" s="6"/>
      <c r="B45" s="6"/>
      <c r="C45" s="8" t="str">
        <f aca="false">IF($A45="","",IFERROR(INDEX(품목목록!$B$3:$B$102,MATCH($A45,품목목록!$A$3:$A$102,0)),""))</f>
        <v/>
      </c>
      <c r="D45" s="8" t="str">
        <f aca="false">IF($B45="","",IFERROR(INDEX(업체목록!$B$3:$B$52,MATCH($B45,업체목록!$A$3:$A$52,0)),""))</f>
        <v/>
      </c>
      <c r="E45" s="8" t="str">
        <f aca="false">IF($A45="","",IFERROR(INDEX(품목목록!$D$3:$D$102,MATCH($A45,품목목록!$A$3:$A$102,0)),""))</f>
        <v/>
      </c>
      <c r="F45" s="9"/>
      <c r="G45" s="10" t="str">
        <f aca="false">IF(OR($A45="",$F45=""),"",ROUND($E45*$F45,0))</f>
        <v/>
      </c>
      <c r="H45" s="8" t="str">
        <f aca="false">IF(OR($A45="",$F45=""),"",IF($F45=_xlfn.MINIFS($F$3:$F$502,$A$3:$A$502,$A45),"최저가",""))</f>
        <v/>
      </c>
      <c r="I45" s="8" t="str">
        <f aca="false">IF($H45="최저가",$A45,"")</f>
        <v/>
      </c>
    </row>
    <row r="46" customFormat="false" ht="15" hidden="false" customHeight="false" outlineLevel="0" collapsed="false">
      <c r="A46" s="6"/>
      <c r="B46" s="6"/>
      <c r="C46" s="8" t="str">
        <f aca="false">IF($A46="","",IFERROR(INDEX(품목목록!$B$3:$B$102,MATCH($A46,품목목록!$A$3:$A$102,0)),""))</f>
        <v/>
      </c>
      <c r="D46" s="8" t="str">
        <f aca="false">IF($B46="","",IFERROR(INDEX(업체목록!$B$3:$B$52,MATCH($B46,업체목록!$A$3:$A$52,0)),""))</f>
        <v/>
      </c>
      <c r="E46" s="8" t="str">
        <f aca="false">IF($A46="","",IFERROR(INDEX(품목목록!$D$3:$D$102,MATCH($A46,품목목록!$A$3:$A$102,0)),""))</f>
        <v/>
      </c>
      <c r="F46" s="9"/>
      <c r="G46" s="10" t="str">
        <f aca="false">IF(OR($A46="",$F46=""),"",ROUND($E46*$F46,0))</f>
        <v/>
      </c>
      <c r="H46" s="8" t="str">
        <f aca="false">IF(OR($A46="",$F46=""),"",IF($F46=_xlfn.MINIFS($F$3:$F$502,$A$3:$A$502,$A46),"최저가",""))</f>
        <v/>
      </c>
      <c r="I46" s="8" t="str">
        <f aca="false">IF($H46="최저가",$A46,"")</f>
        <v/>
      </c>
    </row>
    <row r="47" customFormat="false" ht="15" hidden="false" customHeight="false" outlineLevel="0" collapsed="false">
      <c r="A47" s="6"/>
      <c r="B47" s="6"/>
      <c r="C47" s="8" t="str">
        <f aca="false">IF($A47="","",IFERROR(INDEX(품목목록!$B$3:$B$102,MATCH($A47,품목목록!$A$3:$A$102,0)),""))</f>
        <v/>
      </c>
      <c r="D47" s="8" t="str">
        <f aca="false">IF($B47="","",IFERROR(INDEX(업체목록!$B$3:$B$52,MATCH($B47,업체목록!$A$3:$A$52,0)),""))</f>
        <v/>
      </c>
      <c r="E47" s="8" t="str">
        <f aca="false">IF($A47="","",IFERROR(INDEX(품목목록!$D$3:$D$102,MATCH($A47,품목목록!$A$3:$A$102,0)),""))</f>
        <v/>
      </c>
      <c r="F47" s="9"/>
      <c r="G47" s="10" t="str">
        <f aca="false">IF(OR($A47="",$F47=""),"",ROUND($E47*$F47,0))</f>
        <v/>
      </c>
      <c r="H47" s="8" t="str">
        <f aca="false">IF(OR($A47="",$F47=""),"",IF($F47=_xlfn.MINIFS($F$3:$F$502,$A$3:$A$502,$A47),"최저가",""))</f>
        <v/>
      </c>
      <c r="I47" s="8" t="str">
        <f aca="false">IF($H47="최저가",$A47,"")</f>
        <v/>
      </c>
    </row>
    <row r="48" customFormat="false" ht="15" hidden="false" customHeight="false" outlineLevel="0" collapsed="false">
      <c r="A48" s="6"/>
      <c r="B48" s="6"/>
      <c r="C48" s="8" t="str">
        <f aca="false">IF($A48="","",IFERROR(INDEX(품목목록!$B$3:$B$102,MATCH($A48,품목목록!$A$3:$A$102,0)),""))</f>
        <v/>
      </c>
      <c r="D48" s="8" t="str">
        <f aca="false">IF($B48="","",IFERROR(INDEX(업체목록!$B$3:$B$52,MATCH($B48,업체목록!$A$3:$A$52,0)),""))</f>
        <v/>
      </c>
      <c r="E48" s="8" t="str">
        <f aca="false">IF($A48="","",IFERROR(INDEX(품목목록!$D$3:$D$102,MATCH($A48,품목목록!$A$3:$A$102,0)),""))</f>
        <v/>
      </c>
      <c r="F48" s="9"/>
      <c r="G48" s="10" t="str">
        <f aca="false">IF(OR($A48="",$F48=""),"",ROUND($E48*$F48,0))</f>
        <v/>
      </c>
      <c r="H48" s="8" t="str">
        <f aca="false">IF(OR($A48="",$F48=""),"",IF($F48=_xlfn.MINIFS($F$3:$F$502,$A$3:$A$502,$A48),"최저가",""))</f>
        <v/>
      </c>
      <c r="I48" s="8" t="str">
        <f aca="false">IF($H48="최저가",$A48,"")</f>
        <v/>
      </c>
    </row>
    <row r="49" customFormat="false" ht="15" hidden="false" customHeight="false" outlineLevel="0" collapsed="false">
      <c r="A49" s="6"/>
      <c r="B49" s="6"/>
      <c r="C49" s="8" t="str">
        <f aca="false">IF($A49="","",IFERROR(INDEX(품목목록!$B$3:$B$102,MATCH($A49,품목목록!$A$3:$A$102,0)),""))</f>
        <v/>
      </c>
      <c r="D49" s="8" t="str">
        <f aca="false">IF($B49="","",IFERROR(INDEX(업체목록!$B$3:$B$52,MATCH($B49,업체목록!$A$3:$A$52,0)),""))</f>
        <v/>
      </c>
      <c r="E49" s="8" t="str">
        <f aca="false">IF($A49="","",IFERROR(INDEX(품목목록!$D$3:$D$102,MATCH($A49,품목목록!$A$3:$A$102,0)),""))</f>
        <v/>
      </c>
      <c r="F49" s="9"/>
      <c r="G49" s="10" t="str">
        <f aca="false">IF(OR($A49="",$F49=""),"",ROUND($E49*$F49,0))</f>
        <v/>
      </c>
      <c r="H49" s="8" t="str">
        <f aca="false">IF(OR($A49="",$F49=""),"",IF($F49=_xlfn.MINIFS($F$3:$F$502,$A$3:$A$502,$A49),"최저가",""))</f>
        <v/>
      </c>
      <c r="I49" s="8" t="str">
        <f aca="false">IF($H49="최저가",$A49,"")</f>
        <v/>
      </c>
    </row>
    <row r="50" customFormat="false" ht="15" hidden="false" customHeight="false" outlineLevel="0" collapsed="false">
      <c r="A50" s="6"/>
      <c r="B50" s="6"/>
      <c r="C50" s="8" t="str">
        <f aca="false">IF($A50="","",IFERROR(INDEX(품목목록!$B$3:$B$102,MATCH($A50,품목목록!$A$3:$A$102,0)),""))</f>
        <v/>
      </c>
      <c r="D50" s="8" t="str">
        <f aca="false">IF($B50="","",IFERROR(INDEX(업체목록!$B$3:$B$52,MATCH($B50,업체목록!$A$3:$A$52,0)),""))</f>
        <v/>
      </c>
      <c r="E50" s="8" t="str">
        <f aca="false">IF($A50="","",IFERROR(INDEX(품목목록!$D$3:$D$102,MATCH($A50,품목목록!$A$3:$A$102,0)),""))</f>
        <v/>
      </c>
      <c r="F50" s="9"/>
      <c r="G50" s="10" t="str">
        <f aca="false">IF(OR($A50="",$F50=""),"",ROUND($E50*$F50,0))</f>
        <v/>
      </c>
      <c r="H50" s="8" t="str">
        <f aca="false">IF(OR($A50="",$F50=""),"",IF($F50=_xlfn.MINIFS($F$3:$F$502,$A$3:$A$502,$A50),"최저가",""))</f>
        <v/>
      </c>
      <c r="I50" s="8" t="str">
        <f aca="false">IF($H50="최저가",$A50,"")</f>
        <v/>
      </c>
    </row>
    <row r="51" customFormat="false" ht="15" hidden="false" customHeight="false" outlineLevel="0" collapsed="false">
      <c r="A51" s="6"/>
      <c r="B51" s="6"/>
      <c r="C51" s="8" t="str">
        <f aca="false">IF($A51="","",IFERROR(INDEX(품목목록!$B$3:$B$102,MATCH($A51,품목목록!$A$3:$A$102,0)),""))</f>
        <v/>
      </c>
      <c r="D51" s="8" t="str">
        <f aca="false">IF($B51="","",IFERROR(INDEX(업체목록!$B$3:$B$52,MATCH($B51,업체목록!$A$3:$A$52,0)),""))</f>
        <v/>
      </c>
      <c r="E51" s="8" t="str">
        <f aca="false">IF($A51="","",IFERROR(INDEX(품목목록!$D$3:$D$102,MATCH($A51,품목목록!$A$3:$A$102,0)),""))</f>
        <v/>
      </c>
      <c r="F51" s="9"/>
      <c r="G51" s="10" t="str">
        <f aca="false">IF(OR($A51="",$F51=""),"",ROUND($E51*$F51,0))</f>
        <v/>
      </c>
      <c r="H51" s="8" t="str">
        <f aca="false">IF(OR($A51="",$F51=""),"",IF($F51=_xlfn.MINIFS($F$3:$F$502,$A$3:$A$502,$A51),"최저가",""))</f>
        <v/>
      </c>
      <c r="I51" s="8" t="str">
        <f aca="false">IF($H51="최저가",$A51,"")</f>
        <v/>
      </c>
    </row>
    <row r="52" customFormat="false" ht="15" hidden="false" customHeight="false" outlineLevel="0" collapsed="false">
      <c r="A52" s="6"/>
      <c r="B52" s="6"/>
      <c r="C52" s="8" t="str">
        <f aca="false">IF($A52="","",IFERROR(INDEX(품목목록!$B$3:$B$102,MATCH($A52,품목목록!$A$3:$A$102,0)),""))</f>
        <v/>
      </c>
      <c r="D52" s="8" t="str">
        <f aca="false">IF($B52="","",IFERROR(INDEX(업체목록!$B$3:$B$52,MATCH($B52,업체목록!$A$3:$A$52,0)),""))</f>
        <v/>
      </c>
      <c r="E52" s="8" t="str">
        <f aca="false">IF($A52="","",IFERROR(INDEX(품목목록!$D$3:$D$102,MATCH($A52,품목목록!$A$3:$A$102,0)),""))</f>
        <v/>
      </c>
      <c r="F52" s="9"/>
      <c r="G52" s="10" t="str">
        <f aca="false">IF(OR($A52="",$F52=""),"",ROUND($E52*$F52,0))</f>
        <v/>
      </c>
      <c r="H52" s="8" t="str">
        <f aca="false">IF(OR($A52="",$F52=""),"",IF($F52=_xlfn.MINIFS($F$3:$F$502,$A$3:$A$502,$A52),"최저가",""))</f>
        <v/>
      </c>
      <c r="I52" s="8" t="str">
        <f aca="false">IF($H52="최저가",$A52,"")</f>
        <v/>
      </c>
    </row>
    <row r="53" customFormat="false" ht="15" hidden="false" customHeight="false" outlineLevel="0" collapsed="false">
      <c r="A53" s="6"/>
      <c r="B53" s="6"/>
      <c r="C53" s="8" t="str">
        <f aca="false">IF($A53="","",IFERROR(INDEX(품목목록!$B$3:$B$102,MATCH($A53,품목목록!$A$3:$A$102,0)),""))</f>
        <v/>
      </c>
      <c r="D53" s="8" t="str">
        <f aca="false">IF($B53="","",IFERROR(INDEX(업체목록!$B$3:$B$52,MATCH($B53,업체목록!$A$3:$A$52,0)),""))</f>
        <v/>
      </c>
      <c r="E53" s="8" t="str">
        <f aca="false">IF($A53="","",IFERROR(INDEX(품목목록!$D$3:$D$102,MATCH($A53,품목목록!$A$3:$A$102,0)),""))</f>
        <v/>
      </c>
      <c r="F53" s="9"/>
      <c r="G53" s="10" t="str">
        <f aca="false">IF(OR($A53="",$F53=""),"",ROUND($E53*$F53,0))</f>
        <v/>
      </c>
      <c r="H53" s="8" t="str">
        <f aca="false">IF(OR($A53="",$F53=""),"",IF($F53=_xlfn.MINIFS($F$3:$F$502,$A$3:$A$502,$A53),"최저가",""))</f>
        <v/>
      </c>
      <c r="I53" s="8" t="str">
        <f aca="false">IF($H53="최저가",$A53,"")</f>
        <v/>
      </c>
    </row>
    <row r="54" customFormat="false" ht="15" hidden="false" customHeight="false" outlineLevel="0" collapsed="false">
      <c r="A54" s="6"/>
      <c r="B54" s="6"/>
      <c r="C54" s="8" t="str">
        <f aca="false">IF($A54="","",IFERROR(INDEX(품목목록!$B$3:$B$102,MATCH($A54,품목목록!$A$3:$A$102,0)),""))</f>
        <v/>
      </c>
      <c r="D54" s="8" t="str">
        <f aca="false">IF($B54="","",IFERROR(INDEX(업체목록!$B$3:$B$52,MATCH($B54,업체목록!$A$3:$A$52,0)),""))</f>
        <v/>
      </c>
      <c r="E54" s="8" t="str">
        <f aca="false">IF($A54="","",IFERROR(INDEX(품목목록!$D$3:$D$102,MATCH($A54,품목목록!$A$3:$A$102,0)),""))</f>
        <v/>
      </c>
      <c r="F54" s="9"/>
      <c r="G54" s="10" t="str">
        <f aca="false">IF(OR($A54="",$F54=""),"",ROUND($E54*$F54,0))</f>
        <v/>
      </c>
      <c r="H54" s="8" t="str">
        <f aca="false">IF(OR($A54="",$F54=""),"",IF($F54=_xlfn.MINIFS($F$3:$F$502,$A$3:$A$502,$A54),"최저가",""))</f>
        <v/>
      </c>
      <c r="I54" s="8" t="str">
        <f aca="false">IF($H54="최저가",$A54,"")</f>
        <v/>
      </c>
    </row>
    <row r="55" customFormat="false" ht="15" hidden="false" customHeight="false" outlineLevel="0" collapsed="false">
      <c r="A55" s="6"/>
      <c r="B55" s="6"/>
      <c r="C55" s="8" t="str">
        <f aca="false">IF($A55="","",IFERROR(INDEX(품목목록!$B$3:$B$102,MATCH($A55,품목목록!$A$3:$A$102,0)),""))</f>
        <v/>
      </c>
      <c r="D55" s="8" t="str">
        <f aca="false">IF($B55="","",IFERROR(INDEX(업체목록!$B$3:$B$52,MATCH($B55,업체목록!$A$3:$A$52,0)),""))</f>
        <v/>
      </c>
      <c r="E55" s="8" t="str">
        <f aca="false">IF($A55="","",IFERROR(INDEX(품목목록!$D$3:$D$102,MATCH($A55,품목목록!$A$3:$A$102,0)),""))</f>
        <v/>
      </c>
      <c r="F55" s="9"/>
      <c r="G55" s="10" t="str">
        <f aca="false">IF(OR($A55="",$F55=""),"",ROUND($E55*$F55,0))</f>
        <v/>
      </c>
      <c r="H55" s="8" t="str">
        <f aca="false">IF(OR($A55="",$F55=""),"",IF($F55=_xlfn.MINIFS($F$3:$F$502,$A$3:$A$502,$A55),"최저가",""))</f>
        <v/>
      </c>
      <c r="I55" s="8" t="str">
        <f aca="false">IF($H55="최저가",$A55,"")</f>
        <v/>
      </c>
    </row>
    <row r="56" customFormat="false" ht="15" hidden="false" customHeight="false" outlineLevel="0" collapsed="false">
      <c r="A56" s="6"/>
      <c r="B56" s="6"/>
      <c r="C56" s="8" t="str">
        <f aca="false">IF($A56="","",IFERROR(INDEX(품목목록!$B$3:$B$102,MATCH($A56,품목목록!$A$3:$A$102,0)),""))</f>
        <v/>
      </c>
      <c r="D56" s="8" t="str">
        <f aca="false">IF($B56="","",IFERROR(INDEX(업체목록!$B$3:$B$52,MATCH($B56,업체목록!$A$3:$A$52,0)),""))</f>
        <v/>
      </c>
      <c r="E56" s="8" t="str">
        <f aca="false">IF($A56="","",IFERROR(INDEX(품목목록!$D$3:$D$102,MATCH($A56,품목목록!$A$3:$A$102,0)),""))</f>
        <v/>
      </c>
      <c r="F56" s="9"/>
      <c r="G56" s="10" t="str">
        <f aca="false">IF(OR($A56="",$F56=""),"",ROUND($E56*$F56,0))</f>
        <v/>
      </c>
      <c r="H56" s="8" t="str">
        <f aca="false">IF(OR($A56="",$F56=""),"",IF($F56=_xlfn.MINIFS($F$3:$F$502,$A$3:$A$502,$A56),"최저가",""))</f>
        <v/>
      </c>
      <c r="I56" s="8" t="str">
        <f aca="false">IF($H56="최저가",$A56,"")</f>
        <v/>
      </c>
    </row>
    <row r="57" customFormat="false" ht="15" hidden="false" customHeight="false" outlineLevel="0" collapsed="false">
      <c r="A57" s="6"/>
      <c r="B57" s="6"/>
      <c r="C57" s="8" t="str">
        <f aca="false">IF($A57="","",IFERROR(INDEX(품목목록!$B$3:$B$102,MATCH($A57,품목목록!$A$3:$A$102,0)),""))</f>
        <v/>
      </c>
      <c r="D57" s="8" t="str">
        <f aca="false">IF($B57="","",IFERROR(INDEX(업체목록!$B$3:$B$52,MATCH($B57,업체목록!$A$3:$A$52,0)),""))</f>
        <v/>
      </c>
      <c r="E57" s="8" t="str">
        <f aca="false">IF($A57="","",IFERROR(INDEX(품목목록!$D$3:$D$102,MATCH($A57,품목목록!$A$3:$A$102,0)),""))</f>
        <v/>
      </c>
      <c r="F57" s="9"/>
      <c r="G57" s="10" t="str">
        <f aca="false">IF(OR($A57="",$F57=""),"",ROUND($E57*$F57,0))</f>
        <v/>
      </c>
      <c r="H57" s="8" t="str">
        <f aca="false">IF(OR($A57="",$F57=""),"",IF($F57=_xlfn.MINIFS($F$3:$F$502,$A$3:$A$502,$A57),"최저가",""))</f>
        <v/>
      </c>
      <c r="I57" s="8" t="str">
        <f aca="false">IF($H57="최저가",$A57,"")</f>
        <v/>
      </c>
    </row>
    <row r="58" customFormat="false" ht="15" hidden="false" customHeight="false" outlineLevel="0" collapsed="false">
      <c r="A58" s="6"/>
      <c r="B58" s="6"/>
      <c r="C58" s="8" t="str">
        <f aca="false">IF($A58="","",IFERROR(INDEX(품목목록!$B$3:$B$102,MATCH($A58,품목목록!$A$3:$A$102,0)),""))</f>
        <v/>
      </c>
      <c r="D58" s="8" t="str">
        <f aca="false">IF($B58="","",IFERROR(INDEX(업체목록!$B$3:$B$52,MATCH($B58,업체목록!$A$3:$A$52,0)),""))</f>
        <v/>
      </c>
      <c r="E58" s="8" t="str">
        <f aca="false">IF($A58="","",IFERROR(INDEX(품목목록!$D$3:$D$102,MATCH($A58,품목목록!$A$3:$A$102,0)),""))</f>
        <v/>
      </c>
      <c r="F58" s="9"/>
      <c r="G58" s="10" t="str">
        <f aca="false">IF(OR($A58="",$F58=""),"",ROUND($E58*$F58,0))</f>
        <v/>
      </c>
      <c r="H58" s="8" t="str">
        <f aca="false">IF(OR($A58="",$F58=""),"",IF($F58=_xlfn.MINIFS($F$3:$F$502,$A$3:$A$502,$A58),"최저가",""))</f>
        <v/>
      </c>
      <c r="I58" s="8" t="str">
        <f aca="false">IF($H58="최저가",$A58,"")</f>
        <v/>
      </c>
    </row>
    <row r="59" customFormat="false" ht="15" hidden="false" customHeight="false" outlineLevel="0" collapsed="false">
      <c r="A59" s="6"/>
      <c r="B59" s="6"/>
      <c r="C59" s="8" t="str">
        <f aca="false">IF($A59="","",IFERROR(INDEX(품목목록!$B$3:$B$102,MATCH($A59,품목목록!$A$3:$A$102,0)),""))</f>
        <v/>
      </c>
      <c r="D59" s="8" t="str">
        <f aca="false">IF($B59="","",IFERROR(INDEX(업체목록!$B$3:$B$52,MATCH($B59,업체목록!$A$3:$A$52,0)),""))</f>
        <v/>
      </c>
      <c r="E59" s="8" t="str">
        <f aca="false">IF($A59="","",IFERROR(INDEX(품목목록!$D$3:$D$102,MATCH($A59,품목목록!$A$3:$A$102,0)),""))</f>
        <v/>
      </c>
      <c r="F59" s="9"/>
      <c r="G59" s="10" t="str">
        <f aca="false">IF(OR($A59="",$F59=""),"",ROUND($E59*$F59,0))</f>
        <v/>
      </c>
      <c r="H59" s="8" t="str">
        <f aca="false">IF(OR($A59="",$F59=""),"",IF($F59=_xlfn.MINIFS($F$3:$F$502,$A$3:$A$502,$A59),"최저가",""))</f>
        <v/>
      </c>
      <c r="I59" s="8" t="str">
        <f aca="false">IF($H59="최저가",$A59,"")</f>
        <v/>
      </c>
    </row>
    <row r="60" customFormat="false" ht="15" hidden="false" customHeight="false" outlineLevel="0" collapsed="false">
      <c r="A60" s="6"/>
      <c r="B60" s="6"/>
      <c r="C60" s="8" t="str">
        <f aca="false">IF($A60="","",IFERROR(INDEX(품목목록!$B$3:$B$102,MATCH($A60,품목목록!$A$3:$A$102,0)),""))</f>
        <v/>
      </c>
      <c r="D60" s="8" t="str">
        <f aca="false">IF($B60="","",IFERROR(INDEX(업체목록!$B$3:$B$52,MATCH($B60,업체목록!$A$3:$A$52,0)),""))</f>
        <v/>
      </c>
      <c r="E60" s="8" t="str">
        <f aca="false">IF($A60="","",IFERROR(INDEX(품목목록!$D$3:$D$102,MATCH($A60,품목목록!$A$3:$A$102,0)),""))</f>
        <v/>
      </c>
      <c r="F60" s="9"/>
      <c r="G60" s="10" t="str">
        <f aca="false">IF(OR($A60="",$F60=""),"",ROUND($E60*$F60,0))</f>
        <v/>
      </c>
      <c r="H60" s="8" t="str">
        <f aca="false">IF(OR($A60="",$F60=""),"",IF($F60=_xlfn.MINIFS($F$3:$F$502,$A$3:$A$502,$A60),"최저가",""))</f>
        <v/>
      </c>
      <c r="I60" s="8" t="str">
        <f aca="false">IF($H60="최저가",$A60,"")</f>
        <v/>
      </c>
    </row>
    <row r="61" customFormat="false" ht="15" hidden="false" customHeight="false" outlineLevel="0" collapsed="false">
      <c r="A61" s="6"/>
      <c r="B61" s="6"/>
      <c r="C61" s="8" t="str">
        <f aca="false">IF($A61="","",IFERROR(INDEX(품목목록!$B$3:$B$102,MATCH($A61,품목목록!$A$3:$A$102,0)),""))</f>
        <v/>
      </c>
      <c r="D61" s="8" t="str">
        <f aca="false">IF($B61="","",IFERROR(INDEX(업체목록!$B$3:$B$52,MATCH($B61,업체목록!$A$3:$A$52,0)),""))</f>
        <v/>
      </c>
      <c r="E61" s="8" t="str">
        <f aca="false">IF($A61="","",IFERROR(INDEX(품목목록!$D$3:$D$102,MATCH($A61,품목목록!$A$3:$A$102,0)),""))</f>
        <v/>
      </c>
      <c r="F61" s="9"/>
      <c r="G61" s="10" t="str">
        <f aca="false">IF(OR($A61="",$F61=""),"",ROUND($E61*$F61,0))</f>
        <v/>
      </c>
      <c r="H61" s="8" t="str">
        <f aca="false">IF(OR($A61="",$F61=""),"",IF($F61=_xlfn.MINIFS($F$3:$F$502,$A$3:$A$502,$A61),"최저가",""))</f>
        <v/>
      </c>
      <c r="I61" s="8" t="str">
        <f aca="false">IF($H61="최저가",$A61,"")</f>
        <v/>
      </c>
    </row>
    <row r="62" customFormat="false" ht="15" hidden="false" customHeight="false" outlineLevel="0" collapsed="false">
      <c r="A62" s="6"/>
      <c r="B62" s="6"/>
      <c r="C62" s="8" t="str">
        <f aca="false">IF($A62="","",IFERROR(INDEX(품목목록!$B$3:$B$102,MATCH($A62,품목목록!$A$3:$A$102,0)),""))</f>
        <v/>
      </c>
      <c r="D62" s="8" t="str">
        <f aca="false">IF($B62="","",IFERROR(INDEX(업체목록!$B$3:$B$52,MATCH($B62,업체목록!$A$3:$A$52,0)),""))</f>
        <v/>
      </c>
      <c r="E62" s="8" t="str">
        <f aca="false">IF($A62="","",IFERROR(INDEX(품목목록!$D$3:$D$102,MATCH($A62,품목목록!$A$3:$A$102,0)),""))</f>
        <v/>
      </c>
      <c r="F62" s="9"/>
      <c r="G62" s="10" t="str">
        <f aca="false">IF(OR($A62="",$F62=""),"",ROUND($E62*$F62,0))</f>
        <v/>
      </c>
      <c r="H62" s="8" t="str">
        <f aca="false">IF(OR($A62="",$F62=""),"",IF($F62=_xlfn.MINIFS($F$3:$F$502,$A$3:$A$502,$A62),"최저가",""))</f>
        <v/>
      </c>
      <c r="I62" s="8" t="str">
        <f aca="false">IF($H62="최저가",$A62,"")</f>
        <v/>
      </c>
    </row>
    <row r="63" customFormat="false" ht="15" hidden="false" customHeight="false" outlineLevel="0" collapsed="false">
      <c r="A63" s="6"/>
      <c r="B63" s="6"/>
      <c r="C63" s="8" t="str">
        <f aca="false">IF($A63="","",IFERROR(INDEX(품목목록!$B$3:$B$102,MATCH($A63,품목목록!$A$3:$A$102,0)),""))</f>
        <v/>
      </c>
      <c r="D63" s="8" t="str">
        <f aca="false">IF($B63="","",IFERROR(INDEX(업체목록!$B$3:$B$52,MATCH($B63,업체목록!$A$3:$A$52,0)),""))</f>
        <v/>
      </c>
      <c r="E63" s="8" t="str">
        <f aca="false">IF($A63="","",IFERROR(INDEX(품목목록!$D$3:$D$102,MATCH($A63,품목목록!$A$3:$A$102,0)),""))</f>
        <v/>
      </c>
      <c r="F63" s="9"/>
      <c r="G63" s="10" t="str">
        <f aca="false">IF(OR($A63="",$F63=""),"",ROUND($E63*$F63,0))</f>
        <v/>
      </c>
      <c r="H63" s="8" t="str">
        <f aca="false">IF(OR($A63="",$F63=""),"",IF($F63=_xlfn.MINIFS($F$3:$F$502,$A$3:$A$502,$A63),"최저가",""))</f>
        <v/>
      </c>
      <c r="I63" s="8" t="str">
        <f aca="false">IF($H63="최저가",$A63,"")</f>
        <v/>
      </c>
    </row>
    <row r="64" customFormat="false" ht="15" hidden="false" customHeight="false" outlineLevel="0" collapsed="false">
      <c r="A64" s="6"/>
      <c r="B64" s="6"/>
      <c r="C64" s="8" t="str">
        <f aca="false">IF($A64="","",IFERROR(INDEX(품목목록!$B$3:$B$102,MATCH($A64,품목목록!$A$3:$A$102,0)),""))</f>
        <v/>
      </c>
      <c r="D64" s="8" t="str">
        <f aca="false">IF($B64="","",IFERROR(INDEX(업체목록!$B$3:$B$52,MATCH($B64,업체목록!$A$3:$A$52,0)),""))</f>
        <v/>
      </c>
      <c r="E64" s="8" t="str">
        <f aca="false">IF($A64="","",IFERROR(INDEX(품목목록!$D$3:$D$102,MATCH($A64,품목목록!$A$3:$A$102,0)),""))</f>
        <v/>
      </c>
      <c r="F64" s="9"/>
      <c r="G64" s="10" t="str">
        <f aca="false">IF(OR($A64="",$F64=""),"",ROUND($E64*$F64,0))</f>
        <v/>
      </c>
      <c r="H64" s="8" t="str">
        <f aca="false">IF(OR($A64="",$F64=""),"",IF($F64=_xlfn.MINIFS($F$3:$F$502,$A$3:$A$502,$A64),"최저가",""))</f>
        <v/>
      </c>
      <c r="I64" s="8" t="str">
        <f aca="false">IF($H64="최저가",$A64,"")</f>
        <v/>
      </c>
    </row>
    <row r="65" customFormat="false" ht="15" hidden="false" customHeight="false" outlineLevel="0" collapsed="false">
      <c r="A65" s="6"/>
      <c r="B65" s="6"/>
      <c r="C65" s="8" t="str">
        <f aca="false">IF($A65="","",IFERROR(INDEX(품목목록!$B$3:$B$102,MATCH($A65,품목목록!$A$3:$A$102,0)),""))</f>
        <v/>
      </c>
      <c r="D65" s="8" t="str">
        <f aca="false">IF($B65="","",IFERROR(INDEX(업체목록!$B$3:$B$52,MATCH($B65,업체목록!$A$3:$A$52,0)),""))</f>
        <v/>
      </c>
      <c r="E65" s="8" t="str">
        <f aca="false">IF($A65="","",IFERROR(INDEX(품목목록!$D$3:$D$102,MATCH($A65,품목목록!$A$3:$A$102,0)),""))</f>
        <v/>
      </c>
      <c r="F65" s="9"/>
      <c r="G65" s="10" t="str">
        <f aca="false">IF(OR($A65="",$F65=""),"",ROUND($E65*$F65,0))</f>
        <v/>
      </c>
      <c r="H65" s="8" t="str">
        <f aca="false">IF(OR($A65="",$F65=""),"",IF($F65=_xlfn.MINIFS($F$3:$F$502,$A$3:$A$502,$A65),"최저가",""))</f>
        <v/>
      </c>
      <c r="I65" s="8" t="str">
        <f aca="false">IF($H65="최저가",$A65,"")</f>
        <v/>
      </c>
    </row>
    <row r="66" customFormat="false" ht="15" hidden="false" customHeight="false" outlineLevel="0" collapsed="false">
      <c r="A66" s="6"/>
      <c r="B66" s="6"/>
      <c r="C66" s="8" t="str">
        <f aca="false">IF($A66="","",IFERROR(INDEX(품목목록!$B$3:$B$102,MATCH($A66,품목목록!$A$3:$A$102,0)),""))</f>
        <v/>
      </c>
      <c r="D66" s="8" t="str">
        <f aca="false">IF($B66="","",IFERROR(INDEX(업체목록!$B$3:$B$52,MATCH($B66,업체목록!$A$3:$A$52,0)),""))</f>
        <v/>
      </c>
      <c r="E66" s="8" t="str">
        <f aca="false">IF($A66="","",IFERROR(INDEX(품목목록!$D$3:$D$102,MATCH($A66,품목목록!$A$3:$A$102,0)),""))</f>
        <v/>
      </c>
      <c r="F66" s="9"/>
      <c r="G66" s="10" t="str">
        <f aca="false">IF(OR($A66="",$F66=""),"",ROUND($E66*$F66,0))</f>
        <v/>
      </c>
      <c r="H66" s="8" t="str">
        <f aca="false">IF(OR($A66="",$F66=""),"",IF($F66=_xlfn.MINIFS($F$3:$F$502,$A$3:$A$502,$A66),"최저가",""))</f>
        <v/>
      </c>
      <c r="I66" s="8" t="str">
        <f aca="false">IF($H66="최저가",$A66,"")</f>
        <v/>
      </c>
    </row>
    <row r="67" customFormat="false" ht="15" hidden="false" customHeight="false" outlineLevel="0" collapsed="false">
      <c r="A67" s="6"/>
      <c r="B67" s="6"/>
      <c r="C67" s="8" t="str">
        <f aca="false">IF($A67="","",IFERROR(INDEX(품목목록!$B$3:$B$102,MATCH($A67,품목목록!$A$3:$A$102,0)),""))</f>
        <v/>
      </c>
      <c r="D67" s="8" t="str">
        <f aca="false">IF($B67="","",IFERROR(INDEX(업체목록!$B$3:$B$52,MATCH($B67,업체목록!$A$3:$A$52,0)),""))</f>
        <v/>
      </c>
      <c r="E67" s="8" t="str">
        <f aca="false">IF($A67="","",IFERROR(INDEX(품목목록!$D$3:$D$102,MATCH($A67,품목목록!$A$3:$A$102,0)),""))</f>
        <v/>
      </c>
      <c r="F67" s="9"/>
      <c r="G67" s="10" t="str">
        <f aca="false">IF(OR($A67="",$F67=""),"",ROUND($E67*$F67,0))</f>
        <v/>
      </c>
      <c r="H67" s="8" t="str">
        <f aca="false">IF(OR($A67="",$F67=""),"",IF($F67=_xlfn.MINIFS($F$3:$F$502,$A$3:$A$502,$A67),"최저가",""))</f>
        <v/>
      </c>
      <c r="I67" s="8" t="str">
        <f aca="false">IF($H67="최저가",$A67,"")</f>
        <v/>
      </c>
    </row>
    <row r="68" customFormat="false" ht="15" hidden="false" customHeight="false" outlineLevel="0" collapsed="false">
      <c r="A68" s="6"/>
      <c r="B68" s="6"/>
      <c r="C68" s="8" t="str">
        <f aca="false">IF($A68="","",IFERROR(INDEX(품목목록!$B$3:$B$102,MATCH($A68,품목목록!$A$3:$A$102,0)),""))</f>
        <v/>
      </c>
      <c r="D68" s="8" t="str">
        <f aca="false">IF($B68="","",IFERROR(INDEX(업체목록!$B$3:$B$52,MATCH($B68,업체목록!$A$3:$A$52,0)),""))</f>
        <v/>
      </c>
      <c r="E68" s="8" t="str">
        <f aca="false">IF($A68="","",IFERROR(INDEX(품목목록!$D$3:$D$102,MATCH($A68,품목목록!$A$3:$A$102,0)),""))</f>
        <v/>
      </c>
      <c r="F68" s="9"/>
      <c r="G68" s="10" t="str">
        <f aca="false">IF(OR($A68="",$F68=""),"",ROUND($E68*$F68,0))</f>
        <v/>
      </c>
      <c r="H68" s="8" t="str">
        <f aca="false">IF(OR($A68="",$F68=""),"",IF($F68=_xlfn.MINIFS($F$3:$F$502,$A$3:$A$502,$A68),"최저가",""))</f>
        <v/>
      </c>
      <c r="I68" s="8" t="str">
        <f aca="false">IF($H68="최저가",$A68,"")</f>
        <v/>
      </c>
    </row>
    <row r="69" customFormat="false" ht="15" hidden="false" customHeight="false" outlineLevel="0" collapsed="false">
      <c r="A69" s="6"/>
      <c r="B69" s="6"/>
      <c r="C69" s="8" t="str">
        <f aca="false">IF($A69="","",IFERROR(INDEX(품목목록!$B$3:$B$102,MATCH($A69,품목목록!$A$3:$A$102,0)),""))</f>
        <v/>
      </c>
      <c r="D69" s="8" t="str">
        <f aca="false">IF($B69="","",IFERROR(INDEX(업체목록!$B$3:$B$52,MATCH($B69,업체목록!$A$3:$A$52,0)),""))</f>
        <v/>
      </c>
      <c r="E69" s="8" t="str">
        <f aca="false">IF($A69="","",IFERROR(INDEX(품목목록!$D$3:$D$102,MATCH($A69,품목목록!$A$3:$A$102,0)),""))</f>
        <v/>
      </c>
      <c r="F69" s="9"/>
      <c r="G69" s="10" t="str">
        <f aca="false">IF(OR($A69="",$F69=""),"",ROUND($E69*$F69,0))</f>
        <v/>
      </c>
      <c r="H69" s="8" t="str">
        <f aca="false">IF(OR($A69="",$F69=""),"",IF($F69=_xlfn.MINIFS($F$3:$F$502,$A$3:$A$502,$A69),"최저가",""))</f>
        <v/>
      </c>
      <c r="I69" s="8" t="str">
        <f aca="false">IF($H69="최저가",$A69,"")</f>
        <v/>
      </c>
    </row>
    <row r="70" customFormat="false" ht="15" hidden="false" customHeight="false" outlineLevel="0" collapsed="false">
      <c r="A70" s="6"/>
      <c r="B70" s="6"/>
      <c r="C70" s="8" t="str">
        <f aca="false">IF($A70="","",IFERROR(INDEX(품목목록!$B$3:$B$102,MATCH($A70,품목목록!$A$3:$A$102,0)),""))</f>
        <v/>
      </c>
      <c r="D70" s="8" t="str">
        <f aca="false">IF($B70="","",IFERROR(INDEX(업체목록!$B$3:$B$52,MATCH($B70,업체목록!$A$3:$A$52,0)),""))</f>
        <v/>
      </c>
      <c r="E70" s="8" t="str">
        <f aca="false">IF($A70="","",IFERROR(INDEX(품목목록!$D$3:$D$102,MATCH($A70,품목목록!$A$3:$A$102,0)),""))</f>
        <v/>
      </c>
      <c r="F70" s="9"/>
      <c r="G70" s="10" t="str">
        <f aca="false">IF(OR($A70="",$F70=""),"",ROUND($E70*$F70,0))</f>
        <v/>
      </c>
      <c r="H70" s="8" t="str">
        <f aca="false">IF(OR($A70="",$F70=""),"",IF($F70=_xlfn.MINIFS($F$3:$F$502,$A$3:$A$502,$A70),"최저가",""))</f>
        <v/>
      </c>
      <c r="I70" s="8" t="str">
        <f aca="false">IF($H70="최저가",$A70,"")</f>
        <v/>
      </c>
    </row>
    <row r="71" customFormat="false" ht="15" hidden="false" customHeight="false" outlineLevel="0" collapsed="false">
      <c r="A71" s="6"/>
      <c r="B71" s="6"/>
      <c r="C71" s="8" t="str">
        <f aca="false">IF($A71="","",IFERROR(INDEX(품목목록!$B$3:$B$102,MATCH($A71,품목목록!$A$3:$A$102,0)),""))</f>
        <v/>
      </c>
      <c r="D71" s="8" t="str">
        <f aca="false">IF($B71="","",IFERROR(INDEX(업체목록!$B$3:$B$52,MATCH($B71,업체목록!$A$3:$A$52,0)),""))</f>
        <v/>
      </c>
      <c r="E71" s="8" t="str">
        <f aca="false">IF($A71="","",IFERROR(INDEX(품목목록!$D$3:$D$102,MATCH($A71,품목목록!$A$3:$A$102,0)),""))</f>
        <v/>
      </c>
      <c r="F71" s="9"/>
      <c r="G71" s="10" t="str">
        <f aca="false">IF(OR($A71="",$F71=""),"",ROUND($E71*$F71,0))</f>
        <v/>
      </c>
      <c r="H71" s="8" t="str">
        <f aca="false">IF(OR($A71="",$F71=""),"",IF($F71=_xlfn.MINIFS($F$3:$F$502,$A$3:$A$502,$A71),"최저가",""))</f>
        <v/>
      </c>
      <c r="I71" s="8" t="str">
        <f aca="false">IF($H71="최저가",$A71,"")</f>
        <v/>
      </c>
    </row>
    <row r="72" customFormat="false" ht="15" hidden="false" customHeight="false" outlineLevel="0" collapsed="false">
      <c r="A72" s="6"/>
      <c r="B72" s="6"/>
      <c r="C72" s="8" t="str">
        <f aca="false">IF($A72="","",IFERROR(INDEX(품목목록!$B$3:$B$102,MATCH($A72,품목목록!$A$3:$A$102,0)),""))</f>
        <v/>
      </c>
      <c r="D72" s="8" t="str">
        <f aca="false">IF($B72="","",IFERROR(INDEX(업체목록!$B$3:$B$52,MATCH($B72,업체목록!$A$3:$A$52,0)),""))</f>
        <v/>
      </c>
      <c r="E72" s="8" t="str">
        <f aca="false">IF($A72="","",IFERROR(INDEX(품목목록!$D$3:$D$102,MATCH($A72,품목목록!$A$3:$A$102,0)),""))</f>
        <v/>
      </c>
      <c r="F72" s="9"/>
      <c r="G72" s="10" t="str">
        <f aca="false">IF(OR($A72="",$F72=""),"",ROUND($E72*$F72,0))</f>
        <v/>
      </c>
      <c r="H72" s="8" t="str">
        <f aca="false">IF(OR($A72="",$F72=""),"",IF($F72=_xlfn.MINIFS($F$3:$F$502,$A$3:$A$502,$A72),"최저가",""))</f>
        <v/>
      </c>
      <c r="I72" s="8" t="str">
        <f aca="false">IF($H72="최저가",$A72,"")</f>
        <v/>
      </c>
    </row>
    <row r="73" customFormat="false" ht="15" hidden="false" customHeight="false" outlineLevel="0" collapsed="false">
      <c r="A73" s="6"/>
      <c r="B73" s="6"/>
      <c r="C73" s="8" t="str">
        <f aca="false">IF($A73="","",IFERROR(INDEX(품목목록!$B$3:$B$102,MATCH($A73,품목목록!$A$3:$A$102,0)),""))</f>
        <v/>
      </c>
      <c r="D73" s="8" t="str">
        <f aca="false">IF($B73="","",IFERROR(INDEX(업체목록!$B$3:$B$52,MATCH($B73,업체목록!$A$3:$A$52,0)),""))</f>
        <v/>
      </c>
      <c r="E73" s="8" t="str">
        <f aca="false">IF($A73="","",IFERROR(INDEX(품목목록!$D$3:$D$102,MATCH($A73,품목목록!$A$3:$A$102,0)),""))</f>
        <v/>
      </c>
      <c r="F73" s="9"/>
      <c r="G73" s="10" t="str">
        <f aca="false">IF(OR($A73="",$F73=""),"",ROUND($E73*$F73,0))</f>
        <v/>
      </c>
      <c r="H73" s="8" t="str">
        <f aca="false">IF(OR($A73="",$F73=""),"",IF($F73=_xlfn.MINIFS($F$3:$F$502,$A$3:$A$502,$A73),"최저가",""))</f>
        <v/>
      </c>
      <c r="I73" s="8" t="str">
        <f aca="false">IF($H73="최저가",$A73,"")</f>
        <v/>
      </c>
    </row>
    <row r="74" customFormat="false" ht="15" hidden="false" customHeight="false" outlineLevel="0" collapsed="false">
      <c r="A74" s="6"/>
      <c r="B74" s="6"/>
      <c r="C74" s="8" t="str">
        <f aca="false">IF($A74="","",IFERROR(INDEX(품목목록!$B$3:$B$102,MATCH($A74,품목목록!$A$3:$A$102,0)),""))</f>
        <v/>
      </c>
      <c r="D74" s="8" t="str">
        <f aca="false">IF($B74="","",IFERROR(INDEX(업체목록!$B$3:$B$52,MATCH($B74,업체목록!$A$3:$A$52,0)),""))</f>
        <v/>
      </c>
      <c r="E74" s="8" t="str">
        <f aca="false">IF($A74="","",IFERROR(INDEX(품목목록!$D$3:$D$102,MATCH($A74,품목목록!$A$3:$A$102,0)),""))</f>
        <v/>
      </c>
      <c r="F74" s="9"/>
      <c r="G74" s="10" t="str">
        <f aca="false">IF(OR($A74="",$F74=""),"",ROUND($E74*$F74,0))</f>
        <v/>
      </c>
      <c r="H74" s="8" t="str">
        <f aca="false">IF(OR($A74="",$F74=""),"",IF($F74=_xlfn.MINIFS($F$3:$F$502,$A$3:$A$502,$A74),"최저가",""))</f>
        <v/>
      </c>
      <c r="I74" s="8" t="str">
        <f aca="false">IF($H74="최저가",$A74,"")</f>
        <v/>
      </c>
    </row>
    <row r="75" customFormat="false" ht="15" hidden="false" customHeight="false" outlineLevel="0" collapsed="false">
      <c r="A75" s="6"/>
      <c r="B75" s="6"/>
      <c r="C75" s="8" t="str">
        <f aca="false">IF($A75="","",IFERROR(INDEX(품목목록!$B$3:$B$102,MATCH($A75,품목목록!$A$3:$A$102,0)),""))</f>
        <v/>
      </c>
      <c r="D75" s="8" t="str">
        <f aca="false">IF($B75="","",IFERROR(INDEX(업체목록!$B$3:$B$52,MATCH($B75,업체목록!$A$3:$A$52,0)),""))</f>
        <v/>
      </c>
      <c r="E75" s="8" t="str">
        <f aca="false">IF($A75="","",IFERROR(INDEX(품목목록!$D$3:$D$102,MATCH($A75,품목목록!$A$3:$A$102,0)),""))</f>
        <v/>
      </c>
      <c r="F75" s="9"/>
      <c r="G75" s="10" t="str">
        <f aca="false">IF(OR($A75="",$F75=""),"",ROUND($E75*$F75,0))</f>
        <v/>
      </c>
      <c r="H75" s="8" t="str">
        <f aca="false">IF(OR($A75="",$F75=""),"",IF($F75=_xlfn.MINIFS($F$3:$F$502,$A$3:$A$502,$A75),"최저가",""))</f>
        <v/>
      </c>
      <c r="I75" s="8" t="str">
        <f aca="false">IF($H75="최저가",$A75,"")</f>
        <v/>
      </c>
    </row>
    <row r="76" customFormat="false" ht="15" hidden="false" customHeight="false" outlineLevel="0" collapsed="false">
      <c r="A76" s="6"/>
      <c r="B76" s="6"/>
      <c r="C76" s="8" t="str">
        <f aca="false">IF($A76="","",IFERROR(INDEX(품목목록!$B$3:$B$102,MATCH($A76,품목목록!$A$3:$A$102,0)),""))</f>
        <v/>
      </c>
      <c r="D76" s="8" t="str">
        <f aca="false">IF($B76="","",IFERROR(INDEX(업체목록!$B$3:$B$52,MATCH($B76,업체목록!$A$3:$A$52,0)),""))</f>
        <v/>
      </c>
      <c r="E76" s="8" t="str">
        <f aca="false">IF($A76="","",IFERROR(INDEX(품목목록!$D$3:$D$102,MATCH($A76,품목목록!$A$3:$A$102,0)),""))</f>
        <v/>
      </c>
      <c r="F76" s="9"/>
      <c r="G76" s="10" t="str">
        <f aca="false">IF(OR($A76="",$F76=""),"",ROUND($E76*$F76,0))</f>
        <v/>
      </c>
      <c r="H76" s="8" t="str">
        <f aca="false">IF(OR($A76="",$F76=""),"",IF($F76=_xlfn.MINIFS($F$3:$F$502,$A$3:$A$502,$A76),"최저가",""))</f>
        <v/>
      </c>
      <c r="I76" s="8" t="str">
        <f aca="false">IF($H76="최저가",$A76,"")</f>
        <v/>
      </c>
    </row>
    <row r="77" customFormat="false" ht="15" hidden="false" customHeight="false" outlineLevel="0" collapsed="false">
      <c r="A77" s="6"/>
      <c r="B77" s="6"/>
      <c r="C77" s="8" t="str">
        <f aca="false">IF($A77="","",IFERROR(INDEX(품목목록!$B$3:$B$102,MATCH($A77,품목목록!$A$3:$A$102,0)),""))</f>
        <v/>
      </c>
      <c r="D77" s="8" t="str">
        <f aca="false">IF($B77="","",IFERROR(INDEX(업체목록!$B$3:$B$52,MATCH($B77,업체목록!$A$3:$A$52,0)),""))</f>
        <v/>
      </c>
      <c r="E77" s="8" t="str">
        <f aca="false">IF($A77="","",IFERROR(INDEX(품목목록!$D$3:$D$102,MATCH($A77,품목목록!$A$3:$A$102,0)),""))</f>
        <v/>
      </c>
      <c r="F77" s="9"/>
      <c r="G77" s="10" t="str">
        <f aca="false">IF(OR($A77="",$F77=""),"",ROUND($E77*$F77,0))</f>
        <v/>
      </c>
      <c r="H77" s="8" t="str">
        <f aca="false">IF(OR($A77="",$F77=""),"",IF($F77=_xlfn.MINIFS($F$3:$F$502,$A$3:$A$502,$A77),"최저가",""))</f>
        <v/>
      </c>
      <c r="I77" s="8" t="str">
        <f aca="false">IF($H77="최저가",$A77,"")</f>
        <v/>
      </c>
    </row>
    <row r="78" customFormat="false" ht="15" hidden="false" customHeight="false" outlineLevel="0" collapsed="false">
      <c r="A78" s="6"/>
      <c r="B78" s="6"/>
      <c r="C78" s="8" t="str">
        <f aca="false">IF($A78="","",IFERROR(INDEX(품목목록!$B$3:$B$102,MATCH($A78,품목목록!$A$3:$A$102,0)),""))</f>
        <v/>
      </c>
      <c r="D78" s="8" t="str">
        <f aca="false">IF($B78="","",IFERROR(INDEX(업체목록!$B$3:$B$52,MATCH($B78,업체목록!$A$3:$A$52,0)),""))</f>
        <v/>
      </c>
      <c r="E78" s="8" t="str">
        <f aca="false">IF($A78="","",IFERROR(INDEX(품목목록!$D$3:$D$102,MATCH($A78,품목목록!$A$3:$A$102,0)),""))</f>
        <v/>
      </c>
      <c r="F78" s="9"/>
      <c r="G78" s="10" t="str">
        <f aca="false">IF(OR($A78="",$F78=""),"",ROUND($E78*$F78,0))</f>
        <v/>
      </c>
      <c r="H78" s="8" t="str">
        <f aca="false">IF(OR($A78="",$F78=""),"",IF($F78=_xlfn.MINIFS($F$3:$F$502,$A$3:$A$502,$A78),"최저가",""))</f>
        <v/>
      </c>
      <c r="I78" s="8" t="str">
        <f aca="false">IF($H78="최저가",$A78,"")</f>
        <v/>
      </c>
    </row>
    <row r="79" customFormat="false" ht="15" hidden="false" customHeight="false" outlineLevel="0" collapsed="false">
      <c r="A79" s="6"/>
      <c r="B79" s="6"/>
      <c r="C79" s="8" t="str">
        <f aca="false">IF($A79="","",IFERROR(INDEX(품목목록!$B$3:$B$102,MATCH($A79,품목목록!$A$3:$A$102,0)),""))</f>
        <v/>
      </c>
      <c r="D79" s="8" t="str">
        <f aca="false">IF($B79="","",IFERROR(INDEX(업체목록!$B$3:$B$52,MATCH($B79,업체목록!$A$3:$A$52,0)),""))</f>
        <v/>
      </c>
      <c r="E79" s="8" t="str">
        <f aca="false">IF($A79="","",IFERROR(INDEX(품목목록!$D$3:$D$102,MATCH($A79,품목목록!$A$3:$A$102,0)),""))</f>
        <v/>
      </c>
      <c r="F79" s="9"/>
      <c r="G79" s="10" t="str">
        <f aca="false">IF(OR($A79="",$F79=""),"",ROUND($E79*$F79,0))</f>
        <v/>
      </c>
      <c r="H79" s="8" t="str">
        <f aca="false">IF(OR($A79="",$F79=""),"",IF($F79=_xlfn.MINIFS($F$3:$F$502,$A$3:$A$502,$A79),"최저가",""))</f>
        <v/>
      </c>
      <c r="I79" s="8" t="str">
        <f aca="false">IF($H79="최저가",$A79,"")</f>
        <v/>
      </c>
    </row>
    <row r="80" customFormat="false" ht="15" hidden="false" customHeight="false" outlineLevel="0" collapsed="false">
      <c r="A80" s="6"/>
      <c r="B80" s="6"/>
      <c r="C80" s="8" t="str">
        <f aca="false">IF($A80="","",IFERROR(INDEX(품목목록!$B$3:$B$102,MATCH($A80,품목목록!$A$3:$A$102,0)),""))</f>
        <v/>
      </c>
      <c r="D80" s="8" t="str">
        <f aca="false">IF($B80="","",IFERROR(INDEX(업체목록!$B$3:$B$52,MATCH($B80,업체목록!$A$3:$A$52,0)),""))</f>
        <v/>
      </c>
      <c r="E80" s="8" t="str">
        <f aca="false">IF($A80="","",IFERROR(INDEX(품목목록!$D$3:$D$102,MATCH($A80,품목목록!$A$3:$A$102,0)),""))</f>
        <v/>
      </c>
      <c r="F80" s="9"/>
      <c r="G80" s="10" t="str">
        <f aca="false">IF(OR($A80="",$F80=""),"",ROUND($E80*$F80,0))</f>
        <v/>
      </c>
      <c r="H80" s="8" t="str">
        <f aca="false">IF(OR($A80="",$F80=""),"",IF($F80=_xlfn.MINIFS($F$3:$F$502,$A$3:$A$502,$A80),"최저가",""))</f>
        <v/>
      </c>
      <c r="I80" s="8" t="str">
        <f aca="false">IF($H80="최저가",$A80,"")</f>
        <v/>
      </c>
    </row>
    <row r="81" customFormat="false" ht="15" hidden="false" customHeight="false" outlineLevel="0" collapsed="false">
      <c r="A81" s="6"/>
      <c r="B81" s="6"/>
      <c r="C81" s="8" t="str">
        <f aca="false">IF($A81="","",IFERROR(INDEX(품목목록!$B$3:$B$102,MATCH($A81,품목목록!$A$3:$A$102,0)),""))</f>
        <v/>
      </c>
      <c r="D81" s="8" t="str">
        <f aca="false">IF($B81="","",IFERROR(INDEX(업체목록!$B$3:$B$52,MATCH($B81,업체목록!$A$3:$A$52,0)),""))</f>
        <v/>
      </c>
      <c r="E81" s="8" t="str">
        <f aca="false">IF($A81="","",IFERROR(INDEX(품목목록!$D$3:$D$102,MATCH($A81,품목목록!$A$3:$A$102,0)),""))</f>
        <v/>
      </c>
      <c r="F81" s="9"/>
      <c r="G81" s="10" t="str">
        <f aca="false">IF(OR($A81="",$F81=""),"",ROUND($E81*$F81,0))</f>
        <v/>
      </c>
      <c r="H81" s="8" t="str">
        <f aca="false">IF(OR($A81="",$F81=""),"",IF($F81=_xlfn.MINIFS($F$3:$F$502,$A$3:$A$502,$A81),"최저가",""))</f>
        <v/>
      </c>
      <c r="I81" s="8" t="str">
        <f aca="false">IF($H81="최저가",$A81,"")</f>
        <v/>
      </c>
    </row>
    <row r="82" customFormat="false" ht="15" hidden="false" customHeight="false" outlineLevel="0" collapsed="false">
      <c r="A82" s="6"/>
      <c r="B82" s="6"/>
      <c r="C82" s="8" t="str">
        <f aca="false">IF($A82="","",IFERROR(INDEX(품목목록!$B$3:$B$102,MATCH($A82,품목목록!$A$3:$A$102,0)),""))</f>
        <v/>
      </c>
      <c r="D82" s="8" t="str">
        <f aca="false">IF($B82="","",IFERROR(INDEX(업체목록!$B$3:$B$52,MATCH($B82,업체목록!$A$3:$A$52,0)),""))</f>
        <v/>
      </c>
      <c r="E82" s="8" t="str">
        <f aca="false">IF($A82="","",IFERROR(INDEX(품목목록!$D$3:$D$102,MATCH($A82,품목목록!$A$3:$A$102,0)),""))</f>
        <v/>
      </c>
      <c r="F82" s="9"/>
      <c r="G82" s="10" t="str">
        <f aca="false">IF(OR($A82="",$F82=""),"",ROUND($E82*$F82,0))</f>
        <v/>
      </c>
      <c r="H82" s="8" t="str">
        <f aca="false">IF(OR($A82="",$F82=""),"",IF($F82=_xlfn.MINIFS($F$3:$F$502,$A$3:$A$502,$A82),"최저가",""))</f>
        <v/>
      </c>
      <c r="I82" s="8" t="str">
        <f aca="false">IF($H82="최저가",$A82,"")</f>
        <v/>
      </c>
    </row>
    <row r="83" customFormat="false" ht="15" hidden="false" customHeight="false" outlineLevel="0" collapsed="false">
      <c r="A83" s="6"/>
      <c r="B83" s="6"/>
      <c r="C83" s="8" t="str">
        <f aca="false">IF($A83="","",IFERROR(INDEX(품목목록!$B$3:$B$102,MATCH($A83,품목목록!$A$3:$A$102,0)),""))</f>
        <v/>
      </c>
      <c r="D83" s="8" t="str">
        <f aca="false">IF($B83="","",IFERROR(INDEX(업체목록!$B$3:$B$52,MATCH($B83,업체목록!$A$3:$A$52,0)),""))</f>
        <v/>
      </c>
      <c r="E83" s="8" t="str">
        <f aca="false">IF($A83="","",IFERROR(INDEX(품목목록!$D$3:$D$102,MATCH($A83,품목목록!$A$3:$A$102,0)),""))</f>
        <v/>
      </c>
      <c r="F83" s="9"/>
      <c r="G83" s="10" t="str">
        <f aca="false">IF(OR($A83="",$F83=""),"",ROUND($E83*$F83,0))</f>
        <v/>
      </c>
      <c r="H83" s="8" t="str">
        <f aca="false">IF(OR($A83="",$F83=""),"",IF($F83=_xlfn.MINIFS($F$3:$F$502,$A$3:$A$502,$A83),"최저가",""))</f>
        <v/>
      </c>
      <c r="I83" s="8" t="str">
        <f aca="false">IF($H83="최저가",$A83,"")</f>
        <v/>
      </c>
    </row>
    <row r="84" customFormat="false" ht="15" hidden="false" customHeight="false" outlineLevel="0" collapsed="false">
      <c r="A84" s="6"/>
      <c r="B84" s="6"/>
      <c r="C84" s="8" t="str">
        <f aca="false">IF($A84="","",IFERROR(INDEX(품목목록!$B$3:$B$102,MATCH($A84,품목목록!$A$3:$A$102,0)),""))</f>
        <v/>
      </c>
      <c r="D84" s="8" t="str">
        <f aca="false">IF($B84="","",IFERROR(INDEX(업체목록!$B$3:$B$52,MATCH($B84,업체목록!$A$3:$A$52,0)),""))</f>
        <v/>
      </c>
      <c r="E84" s="8" t="str">
        <f aca="false">IF($A84="","",IFERROR(INDEX(품목목록!$D$3:$D$102,MATCH($A84,품목목록!$A$3:$A$102,0)),""))</f>
        <v/>
      </c>
      <c r="F84" s="9"/>
      <c r="G84" s="10" t="str">
        <f aca="false">IF(OR($A84="",$F84=""),"",ROUND($E84*$F84,0))</f>
        <v/>
      </c>
      <c r="H84" s="8" t="str">
        <f aca="false">IF(OR($A84="",$F84=""),"",IF($F84=_xlfn.MINIFS($F$3:$F$502,$A$3:$A$502,$A84),"최저가",""))</f>
        <v/>
      </c>
      <c r="I84" s="8" t="str">
        <f aca="false">IF($H84="최저가",$A84,"")</f>
        <v/>
      </c>
    </row>
    <row r="85" customFormat="false" ht="15" hidden="false" customHeight="false" outlineLevel="0" collapsed="false">
      <c r="A85" s="6"/>
      <c r="B85" s="6"/>
      <c r="C85" s="8" t="str">
        <f aca="false">IF($A85="","",IFERROR(INDEX(품목목록!$B$3:$B$102,MATCH($A85,품목목록!$A$3:$A$102,0)),""))</f>
        <v/>
      </c>
      <c r="D85" s="8" t="str">
        <f aca="false">IF($B85="","",IFERROR(INDEX(업체목록!$B$3:$B$52,MATCH($B85,업체목록!$A$3:$A$52,0)),""))</f>
        <v/>
      </c>
      <c r="E85" s="8" t="str">
        <f aca="false">IF($A85="","",IFERROR(INDEX(품목목록!$D$3:$D$102,MATCH($A85,품목목록!$A$3:$A$102,0)),""))</f>
        <v/>
      </c>
      <c r="F85" s="9"/>
      <c r="G85" s="10" t="str">
        <f aca="false">IF(OR($A85="",$F85=""),"",ROUND($E85*$F85,0))</f>
        <v/>
      </c>
      <c r="H85" s="8" t="str">
        <f aca="false">IF(OR($A85="",$F85=""),"",IF($F85=_xlfn.MINIFS($F$3:$F$502,$A$3:$A$502,$A85),"최저가",""))</f>
        <v/>
      </c>
      <c r="I85" s="8" t="str">
        <f aca="false">IF($H85="최저가",$A85,"")</f>
        <v/>
      </c>
    </row>
    <row r="86" customFormat="false" ht="15" hidden="false" customHeight="false" outlineLevel="0" collapsed="false">
      <c r="A86" s="6"/>
      <c r="B86" s="6"/>
      <c r="C86" s="8" t="str">
        <f aca="false">IF($A86="","",IFERROR(INDEX(품목목록!$B$3:$B$102,MATCH($A86,품목목록!$A$3:$A$102,0)),""))</f>
        <v/>
      </c>
      <c r="D86" s="8" t="str">
        <f aca="false">IF($B86="","",IFERROR(INDEX(업체목록!$B$3:$B$52,MATCH($B86,업체목록!$A$3:$A$52,0)),""))</f>
        <v/>
      </c>
      <c r="E86" s="8" t="str">
        <f aca="false">IF($A86="","",IFERROR(INDEX(품목목록!$D$3:$D$102,MATCH($A86,품목목록!$A$3:$A$102,0)),""))</f>
        <v/>
      </c>
      <c r="F86" s="9"/>
      <c r="G86" s="10" t="str">
        <f aca="false">IF(OR($A86="",$F86=""),"",ROUND($E86*$F86,0))</f>
        <v/>
      </c>
      <c r="H86" s="8" t="str">
        <f aca="false">IF(OR($A86="",$F86=""),"",IF($F86=_xlfn.MINIFS($F$3:$F$502,$A$3:$A$502,$A86),"최저가",""))</f>
        <v/>
      </c>
      <c r="I86" s="8" t="str">
        <f aca="false">IF($H86="최저가",$A86,"")</f>
        <v/>
      </c>
    </row>
    <row r="87" customFormat="false" ht="15" hidden="false" customHeight="false" outlineLevel="0" collapsed="false">
      <c r="A87" s="6"/>
      <c r="B87" s="6"/>
      <c r="C87" s="8" t="str">
        <f aca="false">IF($A87="","",IFERROR(INDEX(품목목록!$B$3:$B$102,MATCH($A87,품목목록!$A$3:$A$102,0)),""))</f>
        <v/>
      </c>
      <c r="D87" s="8" t="str">
        <f aca="false">IF($B87="","",IFERROR(INDEX(업체목록!$B$3:$B$52,MATCH($B87,업체목록!$A$3:$A$52,0)),""))</f>
        <v/>
      </c>
      <c r="E87" s="8" t="str">
        <f aca="false">IF($A87="","",IFERROR(INDEX(품목목록!$D$3:$D$102,MATCH($A87,품목목록!$A$3:$A$102,0)),""))</f>
        <v/>
      </c>
      <c r="F87" s="9"/>
      <c r="G87" s="10" t="str">
        <f aca="false">IF(OR($A87="",$F87=""),"",ROUND($E87*$F87,0))</f>
        <v/>
      </c>
      <c r="H87" s="8" t="str">
        <f aca="false">IF(OR($A87="",$F87=""),"",IF($F87=_xlfn.MINIFS($F$3:$F$502,$A$3:$A$502,$A87),"최저가",""))</f>
        <v/>
      </c>
      <c r="I87" s="8" t="str">
        <f aca="false">IF($H87="최저가",$A87,"")</f>
        <v/>
      </c>
    </row>
    <row r="88" customFormat="false" ht="15" hidden="false" customHeight="false" outlineLevel="0" collapsed="false">
      <c r="A88" s="6"/>
      <c r="B88" s="6"/>
      <c r="C88" s="8" t="str">
        <f aca="false">IF($A88="","",IFERROR(INDEX(품목목록!$B$3:$B$102,MATCH($A88,품목목록!$A$3:$A$102,0)),""))</f>
        <v/>
      </c>
      <c r="D88" s="8" t="str">
        <f aca="false">IF($B88="","",IFERROR(INDEX(업체목록!$B$3:$B$52,MATCH($B88,업체목록!$A$3:$A$52,0)),""))</f>
        <v/>
      </c>
      <c r="E88" s="8" t="str">
        <f aca="false">IF($A88="","",IFERROR(INDEX(품목목록!$D$3:$D$102,MATCH($A88,품목목록!$A$3:$A$102,0)),""))</f>
        <v/>
      </c>
      <c r="F88" s="9"/>
      <c r="G88" s="10" t="str">
        <f aca="false">IF(OR($A88="",$F88=""),"",ROUND($E88*$F88,0))</f>
        <v/>
      </c>
      <c r="H88" s="8" t="str">
        <f aca="false">IF(OR($A88="",$F88=""),"",IF($F88=_xlfn.MINIFS($F$3:$F$502,$A$3:$A$502,$A88),"최저가",""))</f>
        <v/>
      </c>
      <c r="I88" s="8" t="str">
        <f aca="false">IF($H88="최저가",$A88,"")</f>
        <v/>
      </c>
    </row>
    <row r="89" customFormat="false" ht="15" hidden="false" customHeight="false" outlineLevel="0" collapsed="false">
      <c r="A89" s="6"/>
      <c r="B89" s="6"/>
      <c r="C89" s="8" t="str">
        <f aca="false">IF($A89="","",IFERROR(INDEX(품목목록!$B$3:$B$102,MATCH($A89,품목목록!$A$3:$A$102,0)),""))</f>
        <v/>
      </c>
      <c r="D89" s="8" t="str">
        <f aca="false">IF($B89="","",IFERROR(INDEX(업체목록!$B$3:$B$52,MATCH($B89,업체목록!$A$3:$A$52,0)),""))</f>
        <v/>
      </c>
      <c r="E89" s="8" t="str">
        <f aca="false">IF($A89="","",IFERROR(INDEX(품목목록!$D$3:$D$102,MATCH($A89,품목목록!$A$3:$A$102,0)),""))</f>
        <v/>
      </c>
      <c r="F89" s="9"/>
      <c r="G89" s="10" t="str">
        <f aca="false">IF(OR($A89="",$F89=""),"",ROUND($E89*$F89,0))</f>
        <v/>
      </c>
      <c r="H89" s="8" t="str">
        <f aca="false">IF(OR($A89="",$F89=""),"",IF($F89=_xlfn.MINIFS($F$3:$F$502,$A$3:$A$502,$A89),"최저가",""))</f>
        <v/>
      </c>
      <c r="I89" s="8" t="str">
        <f aca="false">IF($H89="최저가",$A89,"")</f>
        <v/>
      </c>
    </row>
    <row r="90" customFormat="false" ht="15" hidden="false" customHeight="false" outlineLevel="0" collapsed="false">
      <c r="A90" s="6"/>
      <c r="B90" s="6"/>
      <c r="C90" s="8" t="str">
        <f aca="false">IF($A90="","",IFERROR(INDEX(품목목록!$B$3:$B$102,MATCH($A90,품목목록!$A$3:$A$102,0)),""))</f>
        <v/>
      </c>
      <c r="D90" s="8" t="str">
        <f aca="false">IF($B90="","",IFERROR(INDEX(업체목록!$B$3:$B$52,MATCH($B90,업체목록!$A$3:$A$52,0)),""))</f>
        <v/>
      </c>
      <c r="E90" s="8" t="str">
        <f aca="false">IF($A90="","",IFERROR(INDEX(품목목록!$D$3:$D$102,MATCH($A90,품목목록!$A$3:$A$102,0)),""))</f>
        <v/>
      </c>
      <c r="F90" s="9"/>
      <c r="G90" s="10" t="str">
        <f aca="false">IF(OR($A90="",$F90=""),"",ROUND($E90*$F90,0))</f>
        <v/>
      </c>
      <c r="H90" s="8" t="str">
        <f aca="false">IF(OR($A90="",$F90=""),"",IF($F90=_xlfn.MINIFS($F$3:$F$502,$A$3:$A$502,$A90),"최저가",""))</f>
        <v/>
      </c>
      <c r="I90" s="8" t="str">
        <f aca="false">IF($H90="최저가",$A90,"")</f>
        <v/>
      </c>
    </row>
    <row r="91" customFormat="false" ht="15" hidden="false" customHeight="false" outlineLevel="0" collapsed="false">
      <c r="A91" s="6"/>
      <c r="B91" s="6"/>
      <c r="C91" s="8" t="str">
        <f aca="false">IF($A91="","",IFERROR(INDEX(품목목록!$B$3:$B$102,MATCH($A91,품목목록!$A$3:$A$102,0)),""))</f>
        <v/>
      </c>
      <c r="D91" s="8" t="str">
        <f aca="false">IF($B91="","",IFERROR(INDEX(업체목록!$B$3:$B$52,MATCH($B91,업체목록!$A$3:$A$52,0)),""))</f>
        <v/>
      </c>
      <c r="E91" s="8" t="str">
        <f aca="false">IF($A91="","",IFERROR(INDEX(품목목록!$D$3:$D$102,MATCH($A91,품목목록!$A$3:$A$102,0)),""))</f>
        <v/>
      </c>
      <c r="F91" s="9"/>
      <c r="G91" s="10" t="str">
        <f aca="false">IF(OR($A91="",$F91=""),"",ROUND($E91*$F91,0))</f>
        <v/>
      </c>
      <c r="H91" s="8" t="str">
        <f aca="false">IF(OR($A91="",$F91=""),"",IF($F91=_xlfn.MINIFS($F$3:$F$502,$A$3:$A$502,$A91),"최저가",""))</f>
        <v/>
      </c>
      <c r="I91" s="8" t="str">
        <f aca="false">IF($H91="최저가",$A91,"")</f>
        <v/>
      </c>
    </row>
    <row r="92" customFormat="false" ht="15" hidden="false" customHeight="false" outlineLevel="0" collapsed="false">
      <c r="A92" s="6"/>
      <c r="B92" s="6"/>
      <c r="C92" s="8" t="str">
        <f aca="false">IF($A92="","",IFERROR(INDEX(품목목록!$B$3:$B$102,MATCH($A92,품목목록!$A$3:$A$102,0)),""))</f>
        <v/>
      </c>
      <c r="D92" s="8" t="str">
        <f aca="false">IF($B92="","",IFERROR(INDEX(업체목록!$B$3:$B$52,MATCH($B92,업체목록!$A$3:$A$52,0)),""))</f>
        <v/>
      </c>
      <c r="E92" s="8" t="str">
        <f aca="false">IF($A92="","",IFERROR(INDEX(품목목록!$D$3:$D$102,MATCH($A92,품목목록!$A$3:$A$102,0)),""))</f>
        <v/>
      </c>
      <c r="F92" s="9"/>
      <c r="G92" s="10" t="str">
        <f aca="false">IF(OR($A92="",$F92=""),"",ROUND($E92*$F92,0))</f>
        <v/>
      </c>
      <c r="H92" s="8" t="str">
        <f aca="false">IF(OR($A92="",$F92=""),"",IF($F92=_xlfn.MINIFS($F$3:$F$502,$A$3:$A$502,$A92),"최저가",""))</f>
        <v/>
      </c>
      <c r="I92" s="8" t="str">
        <f aca="false">IF($H92="최저가",$A92,"")</f>
        <v/>
      </c>
    </row>
    <row r="93" customFormat="false" ht="15" hidden="false" customHeight="false" outlineLevel="0" collapsed="false">
      <c r="A93" s="6"/>
      <c r="B93" s="6"/>
      <c r="C93" s="8" t="str">
        <f aca="false">IF($A93="","",IFERROR(INDEX(품목목록!$B$3:$B$102,MATCH($A93,품목목록!$A$3:$A$102,0)),""))</f>
        <v/>
      </c>
      <c r="D93" s="8" t="str">
        <f aca="false">IF($B93="","",IFERROR(INDEX(업체목록!$B$3:$B$52,MATCH($B93,업체목록!$A$3:$A$52,0)),""))</f>
        <v/>
      </c>
      <c r="E93" s="8" t="str">
        <f aca="false">IF($A93="","",IFERROR(INDEX(품목목록!$D$3:$D$102,MATCH($A93,품목목록!$A$3:$A$102,0)),""))</f>
        <v/>
      </c>
      <c r="F93" s="9"/>
      <c r="G93" s="10" t="str">
        <f aca="false">IF(OR($A93="",$F93=""),"",ROUND($E93*$F93,0))</f>
        <v/>
      </c>
      <c r="H93" s="8" t="str">
        <f aca="false">IF(OR($A93="",$F93=""),"",IF($F93=_xlfn.MINIFS($F$3:$F$502,$A$3:$A$502,$A93),"최저가",""))</f>
        <v/>
      </c>
      <c r="I93" s="8" t="str">
        <f aca="false">IF($H93="최저가",$A93,"")</f>
        <v/>
      </c>
    </row>
    <row r="94" customFormat="false" ht="15" hidden="false" customHeight="false" outlineLevel="0" collapsed="false">
      <c r="A94" s="6"/>
      <c r="B94" s="6"/>
      <c r="C94" s="8" t="str">
        <f aca="false">IF($A94="","",IFERROR(INDEX(품목목록!$B$3:$B$102,MATCH($A94,품목목록!$A$3:$A$102,0)),""))</f>
        <v/>
      </c>
      <c r="D94" s="8" t="str">
        <f aca="false">IF($B94="","",IFERROR(INDEX(업체목록!$B$3:$B$52,MATCH($B94,업체목록!$A$3:$A$52,0)),""))</f>
        <v/>
      </c>
      <c r="E94" s="8" t="str">
        <f aca="false">IF($A94="","",IFERROR(INDEX(품목목록!$D$3:$D$102,MATCH($A94,품목목록!$A$3:$A$102,0)),""))</f>
        <v/>
      </c>
      <c r="F94" s="9"/>
      <c r="G94" s="10" t="str">
        <f aca="false">IF(OR($A94="",$F94=""),"",ROUND($E94*$F94,0))</f>
        <v/>
      </c>
      <c r="H94" s="8" t="str">
        <f aca="false">IF(OR($A94="",$F94=""),"",IF($F94=_xlfn.MINIFS($F$3:$F$502,$A$3:$A$502,$A94),"최저가",""))</f>
        <v/>
      </c>
      <c r="I94" s="8" t="str">
        <f aca="false">IF($H94="최저가",$A94,"")</f>
        <v/>
      </c>
    </row>
    <row r="95" customFormat="false" ht="15" hidden="false" customHeight="false" outlineLevel="0" collapsed="false">
      <c r="A95" s="6"/>
      <c r="B95" s="6"/>
      <c r="C95" s="8" t="str">
        <f aca="false">IF($A95="","",IFERROR(INDEX(품목목록!$B$3:$B$102,MATCH($A95,품목목록!$A$3:$A$102,0)),""))</f>
        <v/>
      </c>
      <c r="D95" s="8" t="str">
        <f aca="false">IF($B95="","",IFERROR(INDEX(업체목록!$B$3:$B$52,MATCH($B95,업체목록!$A$3:$A$52,0)),""))</f>
        <v/>
      </c>
      <c r="E95" s="8" t="str">
        <f aca="false">IF($A95="","",IFERROR(INDEX(품목목록!$D$3:$D$102,MATCH($A95,품목목록!$A$3:$A$102,0)),""))</f>
        <v/>
      </c>
      <c r="F95" s="9"/>
      <c r="G95" s="10" t="str">
        <f aca="false">IF(OR($A95="",$F95=""),"",ROUND($E95*$F95,0))</f>
        <v/>
      </c>
      <c r="H95" s="8" t="str">
        <f aca="false">IF(OR($A95="",$F95=""),"",IF($F95=_xlfn.MINIFS($F$3:$F$502,$A$3:$A$502,$A95),"최저가",""))</f>
        <v/>
      </c>
      <c r="I95" s="8" t="str">
        <f aca="false">IF($H95="최저가",$A95,"")</f>
        <v/>
      </c>
    </row>
    <row r="96" customFormat="false" ht="15" hidden="false" customHeight="false" outlineLevel="0" collapsed="false">
      <c r="A96" s="6"/>
      <c r="B96" s="6"/>
      <c r="C96" s="8" t="str">
        <f aca="false">IF($A96="","",IFERROR(INDEX(품목목록!$B$3:$B$102,MATCH($A96,품목목록!$A$3:$A$102,0)),""))</f>
        <v/>
      </c>
      <c r="D96" s="8" t="str">
        <f aca="false">IF($B96="","",IFERROR(INDEX(업체목록!$B$3:$B$52,MATCH($B96,업체목록!$A$3:$A$52,0)),""))</f>
        <v/>
      </c>
      <c r="E96" s="8" t="str">
        <f aca="false">IF($A96="","",IFERROR(INDEX(품목목록!$D$3:$D$102,MATCH($A96,품목목록!$A$3:$A$102,0)),""))</f>
        <v/>
      </c>
      <c r="F96" s="9"/>
      <c r="G96" s="10" t="str">
        <f aca="false">IF(OR($A96="",$F96=""),"",ROUND($E96*$F96,0))</f>
        <v/>
      </c>
      <c r="H96" s="8" t="str">
        <f aca="false">IF(OR($A96="",$F96=""),"",IF($F96=_xlfn.MINIFS($F$3:$F$502,$A$3:$A$502,$A96),"최저가",""))</f>
        <v/>
      </c>
      <c r="I96" s="8" t="str">
        <f aca="false">IF($H96="최저가",$A96,"")</f>
        <v/>
      </c>
    </row>
    <row r="97" customFormat="false" ht="15" hidden="false" customHeight="false" outlineLevel="0" collapsed="false">
      <c r="A97" s="6"/>
      <c r="B97" s="6"/>
      <c r="C97" s="8" t="str">
        <f aca="false">IF($A97="","",IFERROR(INDEX(품목목록!$B$3:$B$102,MATCH($A97,품목목록!$A$3:$A$102,0)),""))</f>
        <v/>
      </c>
      <c r="D97" s="8" t="str">
        <f aca="false">IF($B97="","",IFERROR(INDEX(업체목록!$B$3:$B$52,MATCH($B97,업체목록!$A$3:$A$52,0)),""))</f>
        <v/>
      </c>
      <c r="E97" s="8" t="str">
        <f aca="false">IF($A97="","",IFERROR(INDEX(품목목록!$D$3:$D$102,MATCH($A97,품목목록!$A$3:$A$102,0)),""))</f>
        <v/>
      </c>
      <c r="F97" s="9"/>
      <c r="G97" s="10" t="str">
        <f aca="false">IF(OR($A97="",$F97=""),"",ROUND($E97*$F97,0))</f>
        <v/>
      </c>
      <c r="H97" s="8" t="str">
        <f aca="false">IF(OR($A97="",$F97=""),"",IF($F97=_xlfn.MINIFS($F$3:$F$502,$A$3:$A$502,$A97),"최저가",""))</f>
        <v/>
      </c>
      <c r="I97" s="8" t="str">
        <f aca="false">IF($H97="최저가",$A97,"")</f>
        <v/>
      </c>
    </row>
    <row r="98" customFormat="false" ht="15" hidden="false" customHeight="false" outlineLevel="0" collapsed="false">
      <c r="A98" s="6"/>
      <c r="B98" s="6"/>
      <c r="C98" s="8" t="str">
        <f aca="false">IF($A98="","",IFERROR(INDEX(품목목록!$B$3:$B$102,MATCH($A98,품목목록!$A$3:$A$102,0)),""))</f>
        <v/>
      </c>
      <c r="D98" s="8" t="str">
        <f aca="false">IF($B98="","",IFERROR(INDEX(업체목록!$B$3:$B$52,MATCH($B98,업체목록!$A$3:$A$52,0)),""))</f>
        <v/>
      </c>
      <c r="E98" s="8" t="str">
        <f aca="false">IF($A98="","",IFERROR(INDEX(품목목록!$D$3:$D$102,MATCH($A98,품목목록!$A$3:$A$102,0)),""))</f>
        <v/>
      </c>
      <c r="F98" s="9"/>
      <c r="G98" s="10" t="str">
        <f aca="false">IF(OR($A98="",$F98=""),"",ROUND($E98*$F98,0))</f>
        <v/>
      </c>
      <c r="H98" s="8" t="str">
        <f aca="false">IF(OR($A98="",$F98=""),"",IF($F98=_xlfn.MINIFS($F$3:$F$502,$A$3:$A$502,$A98),"최저가",""))</f>
        <v/>
      </c>
      <c r="I98" s="8" t="str">
        <f aca="false">IF($H98="최저가",$A98,"")</f>
        <v/>
      </c>
    </row>
    <row r="99" customFormat="false" ht="15" hidden="false" customHeight="false" outlineLevel="0" collapsed="false">
      <c r="A99" s="6"/>
      <c r="B99" s="6"/>
      <c r="C99" s="8" t="str">
        <f aca="false">IF($A99="","",IFERROR(INDEX(품목목록!$B$3:$B$102,MATCH($A99,품목목록!$A$3:$A$102,0)),""))</f>
        <v/>
      </c>
      <c r="D99" s="8" t="str">
        <f aca="false">IF($B99="","",IFERROR(INDEX(업체목록!$B$3:$B$52,MATCH($B99,업체목록!$A$3:$A$52,0)),""))</f>
        <v/>
      </c>
      <c r="E99" s="8" t="str">
        <f aca="false">IF($A99="","",IFERROR(INDEX(품목목록!$D$3:$D$102,MATCH($A99,품목목록!$A$3:$A$102,0)),""))</f>
        <v/>
      </c>
      <c r="F99" s="9"/>
      <c r="G99" s="10" t="str">
        <f aca="false">IF(OR($A99="",$F99=""),"",ROUND($E99*$F99,0))</f>
        <v/>
      </c>
      <c r="H99" s="8" t="str">
        <f aca="false">IF(OR($A99="",$F99=""),"",IF($F99=_xlfn.MINIFS($F$3:$F$502,$A$3:$A$502,$A99),"최저가",""))</f>
        <v/>
      </c>
      <c r="I99" s="8" t="str">
        <f aca="false">IF($H99="최저가",$A99,"")</f>
        <v/>
      </c>
    </row>
    <row r="100" customFormat="false" ht="15" hidden="false" customHeight="false" outlineLevel="0" collapsed="false">
      <c r="A100" s="6"/>
      <c r="B100" s="6"/>
      <c r="C100" s="8" t="str">
        <f aca="false">IF($A100="","",IFERROR(INDEX(품목목록!$B$3:$B$102,MATCH($A100,품목목록!$A$3:$A$102,0)),""))</f>
        <v/>
      </c>
      <c r="D100" s="8" t="str">
        <f aca="false">IF($B100="","",IFERROR(INDEX(업체목록!$B$3:$B$52,MATCH($B100,업체목록!$A$3:$A$52,0)),""))</f>
        <v/>
      </c>
      <c r="E100" s="8" t="str">
        <f aca="false">IF($A100="","",IFERROR(INDEX(품목목록!$D$3:$D$102,MATCH($A100,품목목록!$A$3:$A$102,0)),""))</f>
        <v/>
      </c>
      <c r="F100" s="9"/>
      <c r="G100" s="10" t="str">
        <f aca="false">IF(OR($A100="",$F100=""),"",ROUND($E100*$F100,0))</f>
        <v/>
      </c>
      <c r="H100" s="8" t="str">
        <f aca="false">IF(OR($A100="",$F100=""),"",IF($F100=_xlfn.MINIFS($F$3:$F$502,$A$3:$A$502,$A100),"최저가",""))</f>
        <v/>
      </c>
      <c r="I100" s="8" t="str">
        <f aca="false">IF($H100="최저가",$A100,"")</f>
        <v/>
      </c>
    </row>
    <row r="101" customFormat="false" ht="15" hidden="false" customHeight="false" outlineLevel="0" collapsed="false">
      <c r="A101" s="6"/>
      <c r="B101" s="6"/>
      <c r="C101" s="8" t="str">
        <f aca="false">IF($A101="","",IFERROR(INDEX(품목목록!$B$3:$B$102,MATCH($A101,품목목록!$A$3:$A$102,0)),""))</f>
        <v/>
      </c>
      <c r="D101" s="8" t="str">
        <f aca="false">IF($B101="","",IFERROR(INDEX(업체목록!$B$3:$B$52,MATCH($B101,업체목록!$A$3:$A$52,0)),""))</f>
        <v/>
      </c>
      <c r="E101" s="8" t="str">
        <f aca="false">IF($A101="","",IFERROR(INDEX(품목목록!$D$3:$D$102,MATCH($A101,품목목록!$A$3:$A$102,0)),""))</f>
        <v/>
      </c>
      <c r="F101" s="9"/>
      <c r="G101" s="10" t="str">
        <f aca="false">IF(OR($A101="",$F101=""),"",ROUND($E101*$F101,0))</f>
        <v/>
      </c>
      <c r="H101" s="8" t="str">
        <f aca="false">IF(OR($A101="",$F101=""),"",IF($F101=_xlfn.MINIFS($F$3:$F$502,$A$3:$A$502,$A101),"최저가",""))</f>
        <v/>
      </c>
      <c r="I101" s="8" t="str">
        <f aca="false">IF($H101="최저가",$A101,"")</f>
        <v/>
      </c>
    </row>
    <row r="102" customFormat="false" ht="15" hidden="false" customHeight="false" outlineLevel="0" collapsed="false">
      <c r="A102" s="6"/>
      <c r="B102" s="6"/>
      <c r="C102" s="8" t="str">
        <f aca="false">IF($A102="","",IFERROR(INDEX(품목목록!$B$3:$B$102,MATCH($A102,품목목록!$A$3:$A$102,0)),""))</f>
        <v/>
      </c>
      <c r="D102" s="8" t="str">
        <f aca="false">IF($B102="","",IFERROR(INDEX(업체목록!$B$3:$B$52,MATCH($B102,업체목록!$A$3:$A$52,0)),""))</f>
        <v/>
      </c>
      <c r="E102" s="8" t="str">
        <f aca="false">IF($A102="","",IFERROR(INDEX(품목목록!$D$3:$D$102,MATCH($A102,품목목록!$A$3:$A$102,0)),""))</f>
        <v/>
      </c>
      <c r="F102" s="9"/>
      <c r="G102" s="10" t="str">
        <f aca="false">IF(OR($A102="",$F102=""),"",ROUND($E102*$F102,0))</f>
        <v/>
      </c>
      <c r="H102" s="8" t="str">
        <f aca="false">IF(OR($A102="",$F102=""),"",IF($F102=_xlfn.MINIFS($F$3:$F$502,$A$3:$A$502,$A102),"최저가",""))</f>
        <v/>
      </c>
      <c r="I102" s="8" t="str">
        <f aca="false">IF($H102="최저가",$A102,"")</f>
        <v/>
      </c>
    </row>
    <row r="103" customFormat="false" ht="15" hidden="false" customHeight="false" outlineLevel="0" collapsed="false">
      <c r="A103" s="6"/>
      <c r="B103" s="6"/>
      <c r="C103" s="8" t="str">
        <f aca="false">IF($A103="","",IFERROR(INDEX(품목목록!$B$3:$B$102,MATCH($A103,품목목록!$A$3:$A$102,0)),""))</f>
        <v/>
      </c>
      <c r="D103" s="8" t="str">
        <f aca="false">IF($B103="","",IFERROR(INDEX(업체목록!$B$3:$B$52,MATCH($B103,업체목록!$A$3:$A$52,0)),""))</f>
        <v/>
      </c>
      <c r="E103" s="8" t="str">
        <f aca="false">IF($A103="","",IFERROR(INDEX(품목목록!$D$3:$D$102,MATCH($A103,품목목록!$A$3:$A$102,0)),""))</f>
        <v/>
      </c>
      <c r="F103" s="9"/>
      <c r="G103" s="10" t="str">
        <f aca="false">IF(OR($A103="",$F103=""),"",ROUND($E103*$F103,0))</f>
        <v/>
      </c>
      <c r="H103" s="8" t="str">
        <f aca="false">IF(OR($A103="",$F103=""),"",IF($F103=_xlfn.MINIFS($F$3:$F$502,$A$3:$A$502,$A103),"최저가",""))</f>
        <v/>
      </c>
      <c r="I103" s="8" t="str">
        <f aca="false">IF($H103="최저가",$A103,"")</f>
        <v/>
      </c>
    </row>
    <row r="104" customFormat="false" ht="15" hidden="false" customHeight="false" outlineLevel="0" collapsed="false">
      <c r="A104" s="6"/>
      <c r="B104" s="6"/>
      <c r="C104" s="8" t="str">
        <f aca="false">IF($A104="","",IFERROR(INDEX(품목목록!$B$3:$B$102,MATCH($A104,품목목록!$A$3:$A$102,0)),""))</f>
        <v/>
      </c>
      <c r="D104" s="8" t="str">
        <f aca="false">IF($B104="","",IFERROR(INDEX(업체목록!$B$3:$B$52,MATCH($B104,업체목록!$A$3:$A$52,0)),""))</f>
        <v/>
      </c>
      <c r="E104" s="8" t="str">
        <f aca="false">IF($A104="","",IFERROR(INDEX(품목목록!$D$3:$D$102,MATCH($A104,품목목록!$A$3:$A$102,0)),""))</f>
        <v/>
      </c>
      <c r="F104" s="9"/>
      <c r="G104" s="10" t="str">
        <f aca="false">IF(OR($A104="",$F104=""),"",ROUND($E104*$F104,0))</f>
        <v/>
      </c>
      <c r="H104" s="8" t="str">
        <f aca="false">IF(OR($A104="",$F104=""),"",IF($F104=_xlfn.MINIFS($F$3:$F$502,$A$3:$A$502,$A104),"최저가",""))</f>
        <v/>
      </c>
      <c r="I104" s="8" t="str">
        <f aca="false">IF($H104="최저가",$A104,"")</f>
        <v/>
      </c>
    </row>
    <row r="105" customFormat="false" ht="15" hidden="false" customHeight="false" outlineLevel="0" collapsed="false">
      <c r="A105" s="6"/>
      <c r="B105" s="6"/>
      <c r="C105" s="8" t="str">
        <f aca="false">IF($A105="","",IFERROR(INDEX(품목목록!$B$3:$B$102,MATCH($A105,품목목록!$A$3:$A$102,0)),""))</f>
        <v/>
      </c>
      <c r="D105" s="8" t="str">
        <f aca="false">IF($B105="","",IFERROR(INDEX(업체목록!$B$3:$B$52,MATCH($B105,업체목록!$A$3:$A$52,0)),""))</f>
        <v/>
      </c>
      <c r="E105" s="8" t="str">
        <f aca="false">IF($A105="","",IFERROR(INDEX(품목목록!$D$3:$D$102,MATCH($A105,품목목록!$A$3:$A$102,0)),""))</f>
        <v/>
      </c>
      <c r="F105" s="9"/>
      <c r="G105" s="10" t="str">
        <f aca="false">IF(OR($A105="",$F105=""),"",ROUND($E105*$F105,0))</f>
        <v/>
      </c>
      <c r="H105" s="8" t="str">
        <f aca="false">IF(OR($A105="",$F105=""),"",IF($F105=_xlfn.MINIFS($F$3:$F$502,$A$3:$A$502,$A105),"최저가",""))</f>
        <v/>
      </c>
      <c r="I105" s="8" t="str">
        <f aca="false">IF($H105="최저가",$A105,"")</f>
        <v/>
      </c>
    </row>
    <row r="106" customFormat="false" ht="15" hidden="false" customHeight="false" outlineLevel="0" collapsed="false">
      <c r="A106" s="6"/>
      <c r="B106" s="6"/>
      <c r="C106" s="8" t="str">
        <f aca="false">IF($A106="","",IFERROR(INDEX(품목목록!$B$3:$B$102,MATCH($A106,품목목록!$A$3:$A$102,0)),""))</f>
        <v/>
      </c>
      <c r="D106" s="8" t="str">
        <f aca="false">IF($B106="","",IFERROR(INDEX(업체목록!$B$3:$B$52,MATCH($B106,업체목록!$A$3:$A$52,0)),""))</f>
        <v/>
      </c>
      <c r="E106" s="8" t="str">
        <f aca="false">IF($A106="","",IFERROR(INDEX(품목목록!$D$3:$D$102,MATCH($A106,품목목록!$A$3:$A$102,0)),""))</f>
        <v/>
      </c>
      <c r="F106" s="9"/>
      <c r="G106" s="10" t="str">
        <f aca="false">IF(OR($A106="",$F106=""),"",ROUND($E106*$F106,0))</f>
        <v/>
      </c>
      <c r="H106" s="8" t="str">
        <f aca="false">IF(OR($A106="",$F106=""),"",IF($F106=_xlfn.MINIFS($F$3:$F$502,$A$3:$A$502,$A106),"최저가",""))</f>
        <v/>
      </c>
      <c r="I106" s="8" t="str">
        <f aca="false">IF($H106="최저가",$A106,"")</f>
        <v/>
      </c>
    </row>
    <row r="107" customFormat="false" ht="15" hidden="false" customHeight="false" outlineLevel="0" collapsed="false">
      <c r="A107" s="6"/>
      <c r="B107" s="6"/>
      <c r="C107" s="8" t="str">
        <f aca="false">IF($A107="","",IFERROR(INDEX(품목목록!$B$3:$B$102,MATCH($A107,품목목록!$A$3:$A$102,0)),""))</f>
        <v/>
      </c>
      <c r="D107" s="8" t="str">
        <f aca="false">IF($B107="","",IFERROR(INDEX(업체목록!$B$3:$B$52,MATCH($B107,업체목록!$A$3:$A$52,0)),""))</f>
        <v/>
      </c>
      <c r="E107" s="8" t="str">
        <f aca="false">IF($A107="","",IFERROR(INDEX(품목목록!$D$3:$D$102,MATCH($A107,품목목록!$A$3:$A$102,0)),""))</f>
        <v/>
      </c>
      <c r="F107" s="9"/>
      <c r="G107" s="10" t="str">
        <f aca="false">IF(OR($A107="",$F107=""),"",ROUND($E107*$F107,0))</f>
        <v/>
      </c>
      <c r="H107" s="8" t="str">
        <f aca="false">IF(OR($A107="",$F107=""),"",IF($F107=_xlfn.MINIFS($F$3:$F$502,$A$3:$A$502,$A107),"최저가",""))</f>
        <v/>
      </c>
      <c r="I107" s="8" t="str">
        <f aca="false">IF($H107="최저가",$A107,"")</f>
        <v/>
      </c>
    </row>
    <row r="108" customFormat="false" ht="15" hidden="false" customHeight="false" outlineLevel="0" collapsed="false">
      <c r="A108" s="6"/>
      <c r="B108" s="6"/>
      <c r="C108" s="8" t="str">
        <f aca="false">IF($A108="","",IFERROR(INDEX(품목목록!$B$3:$B$102,MATCH($A108,품목목록!$A$3:$A$102,0)),""))</f>
        <v/>
      </c>
      <c r="D108" s="8" t="str">
        <f aca="false">IF($B108="","",IFERROR(INDEX(업체목록!$B$3:$B$52,MATCH($B108,업체목록!$A$3:$A$52,0)),""))</f>
        <v/>
      </c>
      <c r="E108" s="8" t="str">
        <f aca="false">IF($A108="","",IFERROR(INDEX(품목목록!$D$3:$D$102,MATCH($A108,품목목록!$A$3:$A$102,0)),""))</f>
        <v/>
      </c>
      <c r="F108" s="9"/>
      <c r="G108" s="10" t="str">
        <f aca="false">IF(OR($A108="",$F108=""),"",ROUND($E108*$F108,0))</f>
        <v/>
      </c>
      <c r="H108" s="8" t="str">
        <f aca="false">IF(OR($A108="",$F108=""),"",IF($F108=_xlfn.MINIFS($F$3:$F$502,$A$3:$A$502,$A108),"최저가",""))</f>
        <v/>
      </c>
      <c r="I108" s="8" t="str">
        <f aca="false">IF($H108="최저가",$A108,"")</f>
        <v/>
      </c>
    </row>
    <row r="109" customFormat="false" ht="15" hidden="false" customHeight="false" outlineLevel="0" collapsed="false">
      <c r="A109" s="6"/>
      <c r="B109" s="6"/>
      <c r="C109" s="8" t="str">
        <f aca="false">IF($A109="","",IFERROR(INDEX(품목목록!$B$3:$B$102,MATCH($A109,품목목록!$A$3:$A$102,0)),""))</f>
        <v/>
      </c>
      <c r="D109" s="8" t="str">
        <f aca="false">IF($B109="","",IFERROR(INDEX(업체목록!$B$3:$B$52,MATCH($B109,업체목록!$A$3:$A$52,0)),""))</f>
        <v/>
      </c>
      <c r="E109" s="8" t="str">
        <f aca="false">IF($A109="","",IFERROR(INDEX(품목목록!$D$3:$D$102,MATCH($A109,품목목록!$A$3:$A$102,0)),""))</f>
        <v/>
      </c>
      <c r="F109" s="9"/>
      <c r="G109" s="10" t="str">
        <f aca="false">IF(OR($A109="",$F109=""),"",ROUND($E109*$F109,0))</f>
        <v/>
      </c>
      <c r="H109" s="8" t="str">
        <f aca="false">IF(OR($A109="",$F109=""),"",IF($F109=_xlfn.MINIFS($F$3:$F$502,$A$3:$A$502,$A109),"최저가",""))</f>
        <v/>
      </c>
      <c r="I109" s="8" t="str">
        <f aca="false">IF($H109="최저가",$A109,"")</f>
        <v/>
      </c>
    </row>
    <row r="110" customFormat="false" ht="15" hidden="false" customHeight="false" outlineLevel="0" collapsed="false">
      <c r="A110" s="6"/>
      <c r="B110" s="6"/>
      <c r="C110" s="8" t="str">
        <f aca="false">IF($A110="","",IFERROR(INDEX(품목목록!$B$3:$B$102,MATCH($A110,품목목록!$A$3:$A$102,0)),""))</f>
        <v/>
      </c>
      <c r="D110" s="8" t="str">
        <f aca="false">IF($B110="","",IFERROR(INDEX(업체목록!$B$3:$B$52,MATCH($B110,업체목록!$A$3:$A$52,0)),""))</f>
        <v/>
      </c>
      <c r="E110" s="8" t="str">
        <f aca="false">IF($A110="","",IFERROR(INDEX(품목목록!$D$3:$D$102,MATCH($A110,품목목록!$A$3:$A$102,0)),""))</f>
        <v/>
      </c>
      <c r="F110" s="9"/>
      <c r="G110" s="10" t="str">
        <f aca="false">IF(OR($A110="",$F110=""),"",ROUND($E110*$F110,0))</f>
        <v/>
      </c>
      <c r="H110" s="8" t="str">
        <f aca="false">IF(OR($A110="",$F110=""),"",IF($F110=_xlfn.MINIFS($F$3:$F$502,$A$3:$A$502,$A110),"최저가",""))</f>
        <v/>
      </c>
      <c r="I110" s="8" t="str">
        <f aca="false">IF($H110="최저가",$A110,"")</f>
        <v/>
      </c>
    </row>
    <row r="111" customFormat="false" ht="15" hidden="false" customHeight="false" outlineLevel="0" collapsed="false">
      <c r="A111" s="6"/>
      <c r="B111" s="6"/>
      <c r="C111" s="8" t="str">
        <f aca="false">IF($A111="","",IFERROR(INDEX(품목목록!$B$3:$B$102,MATCH($A111,품목목록!$A$3:$A$102,0)),""))</f>
        <v/>
      </c>
      <c r="D111" s="8" t="str">
        <f aca="false">IF($B111="","",IFERROR(INDEX(업체목록!$B$3:$B$52,MATCH($B111,업체목록!$A$3:$A$52,0)),""))</f>
        <v/>
      </c>
      <c r="E111" s="8" t="str">
        <f aca="false">IF($A111="","",IFERROR(INDEX(품목목록!$D$3:$D$102,MATCH($A111,품목목록!$A$3:$A$102,0)),""))</f>
        <v/>
      </c>
      <c r="F111" s="9"/>
      <c r="G111" s="10" t="str">
        <f aca="false">IF(OR($A111="",$F111=""),"",ROUND($E111*$F111,0))</f>
        <v/>
      </c>
      <c r="H111" s="8" t="str">
        <f aca="false">IF(OR($A111="",$F111=""),"",IF($F111=_xlfn.MINIFS($F$3:$F$502,$A$3:$A$502,$A111),"최저가",""))</f>
        <v/>
      </c>
      <c r="I111" s="8" t="str">
        <f aca="false">IF($H111="최저가",$A111,"")</f>
        <v/>
      </c>
    </row>
    <row r="112" customFormat="false" ht="15" hidden="false" customHeight="false" outlineLevel="0" collapsed="false">
      <c r="A112" s="6"/>
      <c r="B112" s="6"/>
      <c r="C112" s="8" t="str">
        <f aca="false">IF($A112="","",IFERROR(INDEX(품목목록!$B$3:$B$102,MATCH($A112,품목목록!$A$3:$A$102,0)),""))</f>
        <v/>
      </c>
      <c r="D112" s="8" t="str">
        <f aca="false">IF($B112="","",IFERROR(INDEX(업체목록!$B$3:$B$52,MATCH($B112,업체목록!$A$3:$A$52,0)),""))</f>
        <v/>
      </c>
      <c r="E112" s="8" t="str">
        <f aca="false">IF($A112="","",IFERROR(INDEX(품목목록!$D$3:$D$102,MATCH($A112,품목목록!$A$3:$A$102,0)),""))</f>
        <v/>
      </c>
      <c r="F112" s="9"/>
      <c r="G112" s="10" t="str">
        <f aca="false">IF(OR($A112="",$F112=""),"",ROUND($E112*$F112,0))</f>
        <v/>
      </c>
      <c r="H112" s="8" t="str">
        <f aca="false">IF(OR($A112="",$F112=""),"",IF($F112=_xlfn.MINIFS($F$3:$F$502,$A$3:$A$502,$A112),"최저가",""))</f>
        <v/>
      </c>
      <c r="I112" s="8" t="str">
        <f aca="false">IF($H112="최저가",$A112,"")</f>
        <v/>
      </c>
    </row>
    <row r="113" customFormat="false" ht="15" hidden="false" customHeight="false" outlineLevel="0" collapsed="false">
      <c r="A113" s="6"/>
      <c r="B113" s="6"/>
      <c r="C113" s="8" t="str">
        <f aca="false">IF($A113="","",IFERROR(INDEX(품목목록!$B$3:$B$102,MATCH($A113,품목목록!$A$3:$A$102,0)),""))</f>
        <v/>
      </c>
      <c r="D113" s="8" t="str">
        <f aca="false">IF($B113="","",IFERROR(INDEX(업체목록!$B$3:$B$52,MATCH($B113,업체목록!$A$3:$A$52,0)),""))</f>
        <v/>
      </c>
      <c r="E113" s="8" t="str">
        <f aca="false">IF($A113="","",IFERROR(INDEX(품목목록!$D$3:$D$102,MATCH($A113,품목목록!$A$3:$A$102,0)),""))</f>
        <v/>
      </c>
      <c r="F113" s="9"/>
      <c r="G113" s="10" t="str">
        <f aca="false">IF(OR($A113="",$F113=""),"",ROUND($E113*$F113,0))</f>
        <v/>
      </c>
      <c r="H113" s="8" t="str">
        <f aca="false">IF(OR($A113="",$F113=""),"",IF($F113=_xlfn.MINIFS($F$3:$F$502,$A$3:$A$502,$A113),"최저가",""))</f>
        <v/>
      </c>
      <c r="I113" s="8" t="str">
        <f aca="false">IF($H113="최저가",$A113,"")</f>
        <v/>
      </c>
    </row>
    <row r="114" customFormat="false" ht="15" hidden="false" customHeight="false" outlineLevel="0" collapsed="false">
      <c r="A114" s="6"/>
      <c r="B114" s="6"/>
      <c r="C114" s="8" t="str">
        <f aca="false">IF($A114="","",IFERROR(INDEX(품목목록!$B$3:$B$102,MATCH($A114,품목목록!$A$3:$A$102,0)),""))</f>
        <v/>
      </c>
      <c r="D114" s="8" t="str">
        <f aca="false">IF($B114="","",IFERROR(INDEX(업체목록!$B$3:$B$52,MATCH($B114,업체목록!$A$3:$A$52,0)),""))</f>
        <v/>
      </c>
      <c r="E114" s="8" t="str">
        <f aca="false">IF($A114="","",IFERROR(INDEX(품목목록!$D$3:$D$102,MATCH($A114,품목목록!$A$3:$A$102,0)),""))</f>
        <v/>
      </c>
      <c r="F114" s="9"/>
      <c r="G114" s="10" t="str">
        <f aca="false">IF(OR($A114="",$F114=""),"",ROUND($E114*$F114,0))</f>
        <v/>
      </c>
      <c r="H114" s="8" t="str">
        <f aca="false">IF(OR($A114="",$F114=""),"",IF($F114=_xlfn.MINIFS($F$3:$F$502,$A$3:$A$502,$A114),"최저가",""))</f>
        <v/>
      </c>
      <c r="I114" s="8" t="str">
        <f aca="false">IF($H114="최저가",$A114,"")</f>
        <v/>
      </c>
    </row>
    <row r="115" customFormat="false" ht="15" hidden="false" customHeight="false" outlineLevel="0" collapsed="false">
      <c r="A115" s="6"/>
      <c r="B115" s="6"/>
      <c r="C115" s="8" t="str">
        <f aca="false">IF($A115="","",IFERROR(INDEX(품목목록!$B$3:$B$102,MATCH($A115,품목목록!$A$3:$A$102,0)),""))</f>
        <v/>
      </c>
      <c r="D115" s="8" t="str">
        <f aca="false">IF($B115="","",IFERROR(INDEX(업체목록!$B$3:$B$52,MATCH($B115,업체목록!$A$3:$A$52,0)),""))</f>
        <v/>
      </c>
      <c r="E115" s="8" t="str">
        <f aca="false">IF($A115="","",IFERROR(INDEX(품목목록!$D$3:$D$102,MATCH($A115,품목목록!$A$3:$A$102,0)),""))</f>
        <v/>
      </c>
      <c r="F115" s="9"/>
      <c r="G115" s="10" t="str">
        <f aca="false">IF(OR($A115="",$F115=""),"",ROUND($E115*$F115,0))</f>
        <v/>
      </c>
      <c r="H115" s="8" t="str">
        <f aca="false">IF(OR($A115="",$F115=""),"",IF($F115=_xlfn.MINIFS($F$3:$F$502,$A$3:$A$502,$A115),"최저가",""))</f>
        <v/>
      </c>
      <c r="I115" s="8" t="str">
        <f aca="false">IF($H115="최저가",$A115,"")</f>
        <v/>
      </c>
    </row>
    <row r="116" customFormat="false" ht="15" hidden="false" customHeight="false" outlineLevel="0" collapsed="false">
      <c r="A116" s="6"/>
      <c r="B116" s="6"/>
      <c r="C116" s="8" t="str">
        <f aca="false">IF($A116="","",IFERROR(INDEX(품목목록!$B$3:$B$102,MATCH($A116,품목목록!$A$3:$A$102,0)),""))</f>
        <v/>
      </c>
      <c r="D116" s="8" t="str">
        <f aca="false">IF($B116="","",IFERROR(INDEX(업체목록!$B$3:$B$52,MATCH($B116,업체목록!$A$3:$A$52,0)),""))</f>
        <v/>
      </c>
      <c r="E116" s="8" t="str">
        <f aca="false">IF($A116="","",IFERROR(INDEX(품목목록!$D$3:$D$102,MATCH($A116,품목목록!$A$3:$A$102,0)),""))</f>
        <v/>
      </c>
      <c r="F116" s="9"/>
      <c r="G116" s="10" t="str">
        <f aca="false">IF(OR($A116="",$F116=""),"",ROUND($E116*$F116,0))</f>
        <v/>
      </c>
      <c r="H116" s="8" t="str">
        <f aca="false">IF(OR($A116="",$F116=""),"",IF($F116=_xlfn.MINIFS($F$3:$F$502,$A$3:$A$502,$A116),"최저가",""))</f>
        <v/>
      </c>
      <c r="I116" s="8" t="str">
        <f aca="false">IF($H116="최저가",$A116,"")</f>
        <v/>
      </c>
    </row>
    <row r="117" customFormat="false" ht="15" hidden="false" customHeight="false" outlineLevel="0" collapsed="false">
      <c r="A117" s="6"/>
      <c r="B117" s="6"/>
      <c r="C117" s="8" t="str">
        <f aca="false">IF($A117="","",IFERROR(INDEX(품목목록!$B$3:$B$102,MATCH($A117,품목목록!$A$3:$A$102,0)),""))</f>
        <v/>
      </c>
      <c r="D117" s="8" t="str">
        <f aca="false">IF($B117="","",IFERROR(INDEX(업체목록!$B$3:$B$52,MATCH($B117,업체목록!$A$3:$A$52,0)),""))</f>
        <v/>
      </c>
      <c r="E117" s="8" t="str">
        <f aca="false">IF($A117="","",IFERROR(INDEX(품목목록!$D$3:$D$102,MATCH($A117,품목목록!$A$3:$A$102,0)),""))</f>
        <v/>
      </c>
      <c r="F117" s="9"/>
      <c r="G117" s="10" t="str">
        <f aca="false">IF(OR($A117="",$F117=""),"",ROUND($E117*$F117,0))</f>
        <v/>
      </c>
      <c r="H117" s="8" t="str">
        <f aca="false">IF(OR($A117="",$F117=""),"",IF($F117=_xlfn.MINIFS($F$3:$F$502,$A$3:$A$502,$A117),"최저가",""))</f>
        <v/>
      </c>
      <c r="I117" s="8" t="str">
        <f aca="false">IF($H117="최저가",$A117,"")</f>
        <v/>
      </c>
    </row>
    <row r="118" customFormat="false" ht="15" hidden="false" customHeight="false" outlineLevel="0" collapsed="false">
      <c r="A118" s="6"/>
      <c r="B118" s="6"/>
      <c r="C118" s="8" t="str">
        <f aca="false">IF($A118="","",IFERROR(INDEX(품목목록!$B$3:$B$102,MATCH($A118,품목목록!$A$3:$A$102,0)),""))</f>
        <v/>
      </c>
      <c r="D118" s="8" t="str">
        <f aca="false">IF($B118="","",IFERROR(INDEX(업체목록!$B$3:$B$52,MATCH($B118,업체목록!$A$3:$A$52,0)),""))</f>
        <v/>
      </c>
      <c r="E118" s="8" t="str">
        <f aca="false">IF($A118="","",IFERROR(INDEX(품목목록!$D$3:$D$102,MATCH($A118,품목목록!$A$3:$A$102,0)),""))</f>
        <v/>
      </c>
      <c r="F118" s="9"/>
      <c r="G118" s="10" t="str">
        <f aca="false">IF(OR($A118="",$F118=""),"",ROUND($E118*$F118,0))</f>
        <v/>
      </c>
      <c r="H118" s="8" t="str">
        <f aca="false">IF(OR($A118="",$F118=""),"",IF($F118=_xlfn.MINIFS($F$3:$F$502,$A$3:$A$502,$A118),"최저가",""))</f>
        <v/>
      </c>
      <c r="I118" s="8" t="str">
        <f aca="false">IF($H118="최저가",$A118,"")</f>
        <v/>
      </c>
    </row>
    <row r="119" customFormat="false" ht="15" hidden="false" customHeight="false" outlineLevel="0" collapsed="false">
      <c r="A119" s="6"/>
      <c r="B119" s="6"/>
      <c r="C119" s="8" t="str">
        <f aca="false">IF($A119="","",IFERROR(INDEX(품목목록!$B$3:$B$102,MATCH($A119,품목목록!$A$3:$A$102,0)),""))</f>
        <v/>
      </c>
      <c r="D119" s="8" t="str">
        <f aca="false">IF($B119="","",IFERROR(INDEX(업체목록!$B$3:$B$52,MATCH($B119,업체목록!$A$3:$A$52,0)),""))</f>
        <v/>
      </c>
      <c r="E119" s="8" t="str">
        <f aca="false">IF($A119="","",IFERROR(INDEX(품목목록!$D$3:$D$102,MATCH($A119,품목목록!$A$3:$A$102,0)),""))</f>
        <v/>
      </c>
      <c r="F119" s="9"/>
      <c r="G119" s="10" t="str">
        <f aca="false">IF(OR($A119="",$F119=""),"",ROUND($E119*$F119,0))</f>
        <v/>
      </c>
      <c r="H119" s="8" t="str">
        <f aca="false">IF(OR($A119="",$F119=""),"",IF($F119=_xlfn.MINIFS($F$3:$F$502,$A$3:$A$502,$A119),"최저가",""))</f>
        <v/>
      </c>
      <c r="I119" s="8" t="str">
        <f aca="false">IF($H119="최저가",$A119,"")</f>
        <v/>
      </c>
    </row>
    <row r="120" customFormat="false" ht="15" hidden="false" customHeight="false" outlineLevel="0" collapsed="false">
      <c r="A120" s="6"/>
      <c r="B120" s="6"/>
      <c r="C120" s="8" t="str">
        <f aca="false">IF($A120="","",IFERROR(INDEX(품목목록!$B$3:$B$102,MATCH($A120,품목목록!$A$3:$A$102,0)),""))</f>
        <v/>
      </c>
      <c r="D120" s="8" t="str">
        <f aca="false">IF($B120="","",IFERROR(INDEX(업체목록!$B$3:$B$52,MATCH($B120,업체목록!$A$3:$A$52,0)),""))</f>
        <v/>
      </c>
      <c r="E120" s="8" t="str">
        <f aca="false">IF($A120="","",IFERROR(INDEX(품목목록!$D$3:$D$102,MATCH($A120,품목목록!$A$3:$A$102,0)),""))</f>
        <v/>
      </c>
      <c r="F120" s="9"/>
      <c r="G120" s="10" t="str">
        <f aca="false">IF(OR($A120="",$F120=""),"",ROUND($E120*$F120,0))</f>
        <v/>
      </c>
      <c r="H120" s="8" t="str">
        <f aca="false">IF(OR($A120="",$F120=""),"",IF($F120=_xlfn.MINIFS($F$3:$F$502,$A$3:$A$502,$A120),"최저가",""))</f>
        <v/>
      </c>
      <c r="I120" s="8" t="str">
        <f aca="false">IF($H120="최저가",$A120,"")</f>
        <v/>
      </c>
    </row>
    <row r="121" customFormat="false" ht="15" hidden="false" customHeight="false" outlineLevel="0" collapsed="false">
      <c r="A121" s="6"/>
      <c r="B121" s="6"/>
      <c r="C121" s="8" t="str">
        <f aca="false">IF($A121="","",IFERROR(INDEX(품목목록!$B$3:$B$102,MATCH($A121,품목목록!$A$3:$A$102,0)),""))</f>
        <v/>
      </c>
      <c r="D121" s="8" t="str">
        <f aca="false">IF($B121="","",IFERROR(INDEX(업체목록!$B$3:$B$52,MATCH($B121,업체목록!$A$3:$A$52,0)),""))</f>
        <v/>
      </c>
      <c r="E121" s="8" t="str">
        <f aca="false">IF($A121="","",IFERROR(INDEX(품목목록!$D$3:$D$102,MATCH($A121,품목목록!$A$3:$A$102,0)),""))</f>
        <v/>
      </c>
      <c r="F121" s="9"/>
      <c r="G121" s="10" t="str">
        <f aca="false">IF(OR($A121="",$F121=""),"",ROUND($E121*$F121,0))</f>
        <v/>
      </c>
      <c r="H121" s="8" t="str">
        <f aca="false">IF(OR($A121="",$F121=""),"",IF($F121=_xlfn.MINIFS($F$3:$F$502,$A$3:$A$502,$A121),"최저가",""))</f>
        <v/>
      </c>
      <c r="I121" s="8" t="str">
        <f aca="false">IF($H121="최저가",$A121,"")</f>
        <v/>
      </c>
    </row>
    <row r="122" customFormat="false" ht="15" hidden="false" customHeight="false" outlineLevel="0" collapsed="false">
      <c r="A122" s="6"/>
      <c r="B122" s="6"/>
      <c r="C122" s="8" t="str">
        <f aca="false">IF($A122="","",IFERROR(INDEX(품목목록!$B$3:$B$102,MATCH($A122,품목목록!$A$3:$A$102,0)),""))</f>
        <v/>
      </c>
      <c r="D122" s="8" t="str">
        <f aca="false">IF($B122="","",IFERROR(INDEX(업체목록!$B$3:$B$52,MATCH($B122,업체목록!$A$3:$A$52,0)),""))</f>
        <v/>
      </c>
      <c r="E122" s="8" t="str">
        <f aca="false">IF($A122="","",IFERROR(INDEX(품목목록!$D$3:$D$102,MATCH($A122,품목목록!$A$3:$A$102,0)),""))</f>
        <v/>
      </c>
      <c r="F122" s="9"/>
      <c r="G122" s="10" t="str">
        <f aca="false">IF(OR($A122="",$F122=""),"",ROUND($E122*$F122,0))</f>
        <v/>
      </c>
      <c r="H122" s="8" t="str">
        <f aca="false">IF(OR($A122="",$F122=""),"",IF($F122=_xlfn.MINIFS($F$3:$F$502,$A$3:$A$502,$A122),"최저가",""))</f>
        <v/>
      </c>
      <c r="I122" s="8" t="str">
        <f aca="false">IF($H122="최저가",$A122,"")</f>
        <v/>
      </c>
    </row>
    <row r="123" customFormat="false" ht="15" hidden="false" customHeight="false" outlineLevel="0" collapsed="false">
      <c r="A123" s="6"/>
      <c r="B123" s="6"/>
      <c r="C123" s="8" t="str">
        <f aca="false">IF($A123="","",IFERROR(INDEX(품목목록!$B$3:$B$102,MATCH($A123,품목목록!$A$3:$A$102,0)),""))</f>
        <v/>
      </c>
      <c r="D123" s="8" t="str">
        <f aca="false">IF($B123="","",IFERROR(INDEX(업체목록!$B$3:$B$52,MATCH($B123,업체목록!$A$3:$A$52,0)),""))</f>
        <v/>
      </c>
      <c r="E123" s="8" t="str">
        <f aca="false">IF($A123="","",IFERROR(INDEX(품목목록!$D$3:$D$102,MATCH($A123,품목목록!$A$3:$A$102,0)),""))</f>
        <v/>
      </c>
      <c r="F123" s="9"/>
      <c r="G123" s="10" t="str">
        <f aca="false">IF(OR($A123="",$F123=""),"",ROUND($E123*$F123,0))</f>
        <v/>
      </c>
      <c r="H123" s="8" t="str">
        <f aca="false">IF(OR($A123="",$F123=""),"",IF($F123=_xlfn.MINIFS($F$3:$F$502,$A$3:$A$502,$A123),"최저가",""))</f>
        <v/>
      </c>
      <c r="I123" s="8" t="str">
        <f aca="false">IF($H123="최저가",$A123,"")</f>
        <v/>
      </c>
    </row>
    <row r="124" customFormat="false" ht="15" hidden="false" customHeight="false" outlineLevel="0" collapsed="false">
      <c r="A124" s="6"/>
      <c r="B124" s="6"/>
      <c r="C124" s="8" t="str">
        <f aca="false">IF($A124="","",IFERROR(INDEX(품목목록!$B$3:$B$102,MATCH($A124,품목목록!$A$3:$A$102,0)),""))</f>
        <v/>
      </c>
      <c r="D124" s="8" t="str">
        <f aca="false">IF($B124="","",IFERROR(INDEX(업체목록!$B$3:$B$52,MATCH($B124,업체목록!$A$3:$A$52,0)),""))</f>
        <v/>
      </c>
      <c r="E124" s="8" t="str">
        <f aca="false">IF($A124="","",IFERROR(INDEX(품목목록!$D$3:$D$102,MATCH($A124,품목목록!$A$3:$A$102,0)),""))</f>
        <v/>
      </c>
      <c r="F124" s="9"/>
      <c r="G124" s="10" t="str">
        <f aca="false">IF(OR($A124="",$F124=""),"",ROUND($E124*$F124,0))</f>
        <v/>
      </c>
      <c r="H124" s="8" t="str">
        <f aca="false">IF(OR($A124="",$F124=""),"",IF($F124=_xlfn.MINIFS($F$3:$F$502,$A$3:$A$502,$A124),"최저가",""))</f>
        <v/>
      </c>
      <c r="I124" s="8" t="str">
        <f aca="false">IF($H124="최저가",$A124,"")</f>
        <v/>
      </c>
    </row>
    <row r="125" customFormat="false" ht="15" hidden="false" customHeight="false" outlineLevel="0" collapsed="false">
      <c r="A125" s="6"/>
      <c r="B125" s="6"/>
      <c r="C125" s="8" t="str">
        <f aca="false">IF($A125="","",IFERROR(INDEX(품목목록!$B$3:$B$102,MATCH($A125,품목목록!$A$3:$A$102,0)),""))</f>
        <v/>
      </c>
      <c r="D125" s="8" t="str">
        <f aca="false">IF($B125="","",IFERROR(INDEX(업체목록!$B$3:$B$52,MATCH($B125,업체목록!$A$3:$A$52,0)),""))</f>
        <v/>
      </c>
      <c r="E125" s="8" t="str">
        <f aca="false">IF($A125="","",IFERROR(INDEX(품목목록!$D$3:$D$102,MATCH($A125,품목목록!$A$3:$A$102,0)),""))</f>
        <v/>
      </c>
      <c r="F125" s="9"/>
      <c r="G125" s="10" t="str">
        <f aca="false">IF(OR($A125="",$F125=""),"",ROUND($E125*$F125,0))</f>
        <v/>
      </c>
      <c r="H125" s="8" t="str">
        <f aca="false">IF(OR($A125="",$F125=""),"",IF($F125=_xlfn.MINIFS($F$3:$F$502,$A$3:$A$502,$A125),"최저가",""))</f>
        <v/>
      </c>
      <c r="I125" s="8" t="str">
        <f aca="false">IF($H125="최저가",$A125,"")</f>
        <v/>
      </c>
    </row>
    <row r="126" customFormat="false" ht="15" hidden="false" customHeight="false" outlineLevel="0" collapsed="false">
      <c r="A126" s="6"/>
      <c r="B126" s="6"/>
      <c r="C126" s="8" t="str">
        <f aca="false">IF($A126="","",IFERROR(INDEX(품목목록!$B$3:$B$102,MATCH($A126,품목목록!$A$3:$A$102,0)),""))</f>
        <v/>
      </c>
      <c r="D126" s="8" t="str">
        <f aca="false">IF($B126="","",IFERROR(INDEX(업체목록!$B$3:$B$52,MATCH($B126,업체목록!$A$3:$A$52,0)),""))</f>
        <v/>
      </c>
      <c r="E126" s="8" t="str">
        <f aca="false">IF($A126="","",IFERROR(INDEX(품목목록!$D$3:$D$102,MATCH($A126,품목목록!$A$3:$A$102,0)),""))</f>
        <v/>
      </c>
      <c r="F126" s="9"/>
      <c r="G126" s="10" t="str">
        <f aca="false">IF(OR($A126="",$F126=""),"",ROUND($E126*$F126,0))</f>
        <v/>
      </c>
      <c r="H126" s="8" t="str">
        <f aca="false">IF(OR($A126="",$F126=""),"",IF($F126=_xlfn.MINIFS($F$3:$F$502,$A$3:$A$502,$A126),"최저가",""))</f>
        <v/>
      </c>
      <c r="I126" s="8" t="str">
        <f aca="false">IF($H126="최저가",$A126,"")</f>
        <v/>
      </c>
    </row>
    <row r="127" customFormat="false" ht="15" hidden="false" customHeight="false" outlineLevel="0" collapsed="false">
      <c r="A127" s="6"/>
      <c r="B127" s="6"/>
      <c r="C127" s="8" t="str">
        <f aca="false">IF($A127="","",IFERROR(INDEX(품목목록!$B$3:$B$102,MATCH($A127,품목목록!$A$3:$A$102,0)),""))</f>
        <v/>
      </c>
      <c r="D127" s="8" t="str">
        <f aca="false">IF($B127="","",IFERROR(INDEX(업체목록!$B$3:$B$52,MATCH($B127,업체목록!$A$3:$A$52,0)),""))</f>
        <v/>
      </c>
      <c r="E127" s="8" t="str">
        <f aca="false">IF($A127="","",IFERROR(INDEX(품목목록!$D$3:$D$102,MATCH($A127,품목목록!$A$3:$A$102,0)),""))</f>
        <v/>
      </c>
      <c r="F127" s="9"/>
      <c r="G127" s="10" t="str">
        <f aca="false">IF(OR($A127="",$F127=""),"",ROUND($E127*$F127,0))</f>
        <v/>
      </c>
      <c r="H127" s="8" t="str">
        <f aca="false">IF(OR($A127="",$F127=""),"",IF($F127=_xlfn.MINIFS($F$3:$F$502,$A$3:$A$502,$A127),"최저가",""))</f>
        <v/>
      </c>
      <c r="I127" s="8" t="str">
        <f aca="false">IF($H127="최저가",$A127,"")</f>
        <v/>
      </c>
    </row>
    <row r="128" customFormat="false" ht="15" hidden="false" customHeight="false" outlineLevel="0" collapsed="false">
      <c r="A128" s="6"/>
      <c r="B128" s="6"/>
      <c r="C128" s="8" t="str">
        <f aca="false">IF($A128="","",IFERROR(INDEX(품목목록!$B$3:$B$102,MATCH($A128,품목목록!$A$3:$A$102,0)),""))</f>
        <v/>
      </c>
      <c r="D128" s="8" t="str">
        <f aca="false">IF($B128="","",IFERROR(INDEX(업체목록!$B$3:$B$52,MATCH($B128,업체목록!$A$3:$A$52,0)),""))</f>
        <v/>
      </c>
      <c r="E128" s="8" t="str">
        <f aca="false">IF($A128="","",IFERROR(INDEX(품목목록!$D$3:$D$102,MATCH($A128,품목목록!$A$3:$A$102,0)),""))</f>
        <v/>
      </c>
      <c r="F128" s="9"/>
      <c r="G128" s="10" t="str">
        <f aca="false">IF(OR($A128="",$F128=""),"",ROUND($E128*$F128,0))</f>
        <v/>
      </c>
      <c r="H128" s="8" t="str">
        <f aca="false">IF(OR($A128="",$F128=""),"",IF($F128=_xlfn.MINIFS($F$3:$F$502,$A$3:$A$502,$A128),"최저가",""))</f>
        <v/>
      </c>
      <c r="I128" s="8" t="str">
        <f aca="false">IF($H128="최저가",$A128,"")</f>
        <v/>
      </c>
    </row>
    <row r="129" customFormat="false" ht="15" hidden="false" customHeight="false" outlineLevel="0" collapsed="false">
      <c r="A129" s="6"/>
      <c r="B129" s="6"/>
      <c r="C129" s="8" t="str">
        <f aca="false">IF($A129="","",IFERROR(INDEX(품목목록!$B$3:$B$102,MATCH($A129,품목목록!$A$3:$A$102,0)),""))</f>
        <v/>
      </c>
      <c r="D129" s="8" t="str">
        <f aca="false">IF($B129="","",IFERROR(INDEX(업체목록!$B$3:$B$52,MATCH($B129,업체목록!$A$3:$A$52,0)),""))</f>
        <v/>
      </c>
      <c r="E129" s="8" t="str">
        <f aca="false">IF($A129="","",IFERROR(INDEX(품목목록!$D$3:$D$102,MATCH($A129,품목목록!$A$3:$A$102,0)),""))</f>
        <v/>
      </c>
      <c r="F129" s="9"/>
      <c r="G129" s="10" t="str">
        <f aca="false">IF(OR($A129="",$F129=""),"",ROUND($E129*$F129,0))</f>
        <v/>
      </c>
      <c r="H129" s="8" t="str">
        <f aca="false">IF(OR($A129="",$F129=""),"",IF($F129=_xlfn.MINIFS($F$3:$F$502,$A$3:$A$502,$A129),"최저가",""))</f>
        <v/>
      </c>
      <c r="I129" s="8" t="str">
        <f aca="false">IF($H129="최저가",$A129,"")</f>
        <v/>
      </c>
    </row>
    <row r="130" customFormat="false" ht="15" hidden="false" customHeight="false" outlineLevel="0" collapsed="false">
      <c r="A130" s="6"/>
      <c r="B130" s="6"/>
      <c r="C130" s="8" t="str">
        <f aca="false">IF($A130="","",IFERROR(INDEX(품목목록!$B$3:$B$102,MATCH($A130,품목목록!$A$3:$A$102,0)),""))</f>
        <v/>
      </c>
      <c r="D130" s="8" t="str">
        <f aca="false">IF($B130="","",IFERROR(INDEX(업체목록!$B$3:$B$52,MATCH($B130,업체목록!$A$3:$A$52,0)),""))</f>
        <v/>
      </c>
      <c r="E130" s="8" t="str">
        <f aca="false">IF($A130="","",IFERROR(INDEX(품목목록!$D$3:$D$102,MATCH($A130,품목목록!$A$3:$A$102,0)),""))</f>
        <v/>
      </c>
      <c r="F130" s="9"/>
      <c r="G130" s="10" t="str">
        <f aca="false">IF(OR($A130="",$F130=""),"",ROUND($E130*$F130,0))</f>
        <v/>
      </c>
      <c r="H130" s="8" t="str">
        <f aca="false">IF(OR($A130="",$F130=""),"",IF($F130=_xlfn.MINIFS($F$3:$F$502,$A$3:$A$502,$A130),"최저가",""))</f>
        <v/>
      </c>
      <c r="I130" s="8" t="str">
        <f aca="false">IF($H130="최저가",$A130,"")</f>
        <v/>
      </c>
    </row>
    <row r="131" customFormat="false" ht="15" hidden="false" customHeight="false" outlineLevel="0" collapsed="false">
      <c r="A131" s="6"/>
      <c r="B131" s="6"/>
      <c r="C131" s="8" t="str">
        <f aca="false">IF($A131="","",IFERROR(INDEX(품목목록!$B$3:$B$102,MATCH($A131,품목목록!$A$3:$A$102,0)),""))</f>
        <v/>
      </c>
      <c r="D131" s="8" t="str">
        <f aca="false">IF($B131="","",IFERROR(INDEX(업체목록!$B$3:$B$52,MATCH($B131,업체목록!$A$3:$A$52,0)),""))</f>
        <v/>
      </c>
      <c r="E131" s="8" t="str">
        <f aca="false">IF($A131="","",IFERROR(INDEX(품목목록!$D$3:$D$102,MATCH($A131,품목목록!$A$3:$A$102,0)),""))</f>
        <v/>
      </c>
      <c r="F131" s="9"/>
      <c r="G131" s="10" t="str">
        <f aca="false">IF(OR($A131="",$F131=""),"",ROUND($E131*$F131,0))</f>
        <v/>
      </c>
      <c r="H131" s="8" t="str">
        <f aca="false">IF(OR($A131="",$F131=""),"",IF($F131=_xlfn.MINIFS($F$3:$F$502,$A$3:$A$502,$A131),"최저가",""))</f>
        <v/>
      </c>
      <c r="I131" s="8" t="str">
        <f aca="false">IF($H131="최저가",$A131,"")</f>
        <v/>
      </c>
    </row>
    <row r="132" customFormat="false" ht="15" hidden="false" customHeight="false" outlineLevel="0" collapsed="false">
      <c r="A132" s="6"/>
      <c r="B132" s="6"/>
      <c r="C132" s="8" t="str">
        <f aca="false">IF($A132="","",IFERROR(INDEX(품목목록!$B$3:$B$102,MATCH($A132,품목목록!$A$3:$A$102,0)),""))</f>
        <v/>
      </c>
      <c r="D132" s="8" t="str">
        <f aca="false">IF($B132="","",IFERROR(INDEX(업체목록!$B$3:$B$52,MATCH($B132,업체목록!$A$3:$A$52,0)),""))</f>
        <v/>
      </c>
      <c r="E132" s="8" t="str">
        <f aca="false">IF($A132="","",IFERROR(INDEX(품목목록!$D$3:$D$102,MATCH($A132,품목목록!$A$3:$A$102,0)),""))</f>
        <v/>
      </c>
      <c r="F132" s="9"/>
      <c r="G132" s="10" t="str">
        <f aca="false">IF(OR($A132="",$F132=""),"",ROUND($E132*$F132,0))</f>
        <v/>
      </c>
      <c r="H132" s="8" t="str">
        <f aca="false">IF(OR($A132="",$F132=""),"",IF($F132=_xlfn.MINIFS($F$3:$F$502,$A$3:$A$502,$A132),"최저가",""))</f>
        <v/>
      </c>
      <c r="I132" s="8" t="str">
        <f aca="false">IF($H132="최저가",$A132,"")</f>
        <v/>
      </c>
    </row>
    <row r="133" customFormat="false" ht="15" hidden="false" customHeight="false" outlineLevel="0" collapsed="false">
      <c r="A133" s="6"/>
      <c r="B133" s="6"/>
      <c r="C133" s="8" t="str">
        <f aca="false">IF($A133="","",IFERROR(INDEX(품목목록!$B$3:$B$102,MATCH($A133,품목목록!$A$3:$A$102,0)),""))</f>
        <v/>
      </c>
      <c r="D133" s="8" t="str">
        <f aca="false">IF($B133="","",IFERROR(INDEX(업체목록!$B$3:$B$52,MATCH($B133,업체목록!$A$3:$A$52,0)),""))</f>
        <v/>
      </c>
      <c r="E133" s="8" t="str">
        <f aca="false">IF($A133="","",IFERROR(INDEX(품목목록!$D$3:$D$102,MATCH($A133,품목목록!$A$3:$A$102,0)),""))</f>
        <v/>
      </c>
      <c r="F133" s="9"/>
      <c r="G133" s="10" t="str">
        <f aca="false">IF(OR($A133="",$F133=""),"",ROUND($E133*$F133,0))</f>
        <v/>
      </c>
      <c r="H133" s="8" t="str">
        <f aca="false">IF(OR($A133="",$F133=""),"",IF($F133=_xlfn.MINIFS($F$3:$F$502,$A$3:$A$502,$A133),"최저가",""))</f>
        <v/>
      </c>
      <c r="I133" s="8" t="str">
        <f aca="false">IF($H133="최저가",$A133,"")</f>
        <v/>
      </c>
    </row>
    <row r="134" customFormat="false" ht="15" hidden="false" customHeight="false" outlineLevel="0" collapsed="false">
      <c r="A134" s="6"/>
      <c r="B134" s="6"/>
      <c r="C134" s="8" t="str">
        <f aca="false">IF($A134="","",IFERROR(INDEX(품목목록!$B$3:$B$102,MATCH($A134,품목목록!$A$3:$A$102,0)),""))</f>
        <v/>
      </c>
      <c r="D134" s="8" t="str">
        <f aca="false">IF($B134="","",IFERROR(INDEX(업체목록!$B$3:$B$52,MATCH($B134,업체목록!$A$3:$A$52,0)),""))</f>
        <v/>
      </c>
      <c r="E134" s="8" t="str">
        <f aca="false">IF($A134="","",IFERROR(INDEX(품목목록!$D$3:$D$102,MATCH($A134,품목목록!$A$3:$A$102,0)),""))</f>
        <v/>
      </c>
      <c r="F134" s="9"/>
      <c r="G134" s="10" t="str">
        <f aca="false">IF(OR($A134="",$F134=""),"",ROUND($E134*$F134,0))</f>
        <v/>
      </c>
      <c r="H134" s="8" t="str">
        <f aca="false">IF(OR($A134="",$F134=""),"",IF($F134=_xlfn.MINIFS($F$3:$F$502,$A$3:$A$502,$A134),"최저가",""))</f>
        <v/>
      </c>
      <c r="I134" s="8" t="str">
        <f aca="false">IF($H134="최저가",$A134,"")</f>
        <v/>
      </c>
    </row>
    <row r="135" customFormat="false" ht="15" hidden="false" customHeight="false" outlineLevel="0" collapsed="false">
      <c r="A135" s="6"/>
      <c r="B135" s="6"/>
      <c r="C135" s="8" t="str">
        <f aca="false">IF($A135="","",IFERROR(INDEX(품목목록!$B$3:$B$102,MATCH($A135,품목목록!$A$3:$A$102,0)),""))</f>
        <v/>
      </c>
      <c r="D135" s="8" t="str">
        <f aca="false">IF($B135="","",IFERROR(INDEX(업체목록!$B$3:$B$52,MATCH($B135,업체목록!$A$3:$A$52,0)),""))</f>
        <v/>
      </c>
      <c r="E135" s="8" t="str">
        <f aca="false">IF($A135="","",IFERROR(INDEX(품목목록!$D$3:$D$102,MATCH($A135,품목목록!$A$3:$A$102,0)),""))</f>
        <v/>
      </c>
      <c r="F135" s="9"/>
      <c r="G135" s="10" t="str">
        <f aca="false">IF(OR($A135="",$F135=""),"",ROUND($E135*$F135,0))</f>
        <v/>
      </c>
      <c r="H135" s="8" t="str">
        <f aca="false">IF(OR($A135="",$F135=""),"",IF($F135=_xlfn.MINIFS($F$3:$F$502,$A$3:$A$502,$A135),"최저가",""))</f>
        <v/>
      </c>
      <c r="I135" s="8" t="str">
        <f aca="false">IF($H135="최저가",$A135,"")</f>
        <v/>
      </c>
    </row>
    <row r="136" customFormat="false" ht="15" hidden="false" customHeight="false" outlineLevel="0" collapsed="false">
      <c r="A136" s="6"/>
      <c r="B136" s="6"/>
      <c r="C136" s="8" t="str">
        <f aca="false">IF($A136="","",IFERROR(INDEX(품목목록!$B$3:$B$102,MATCH($A136,품목목록!$A$3:$A$102,0)),""))</f>
        <v/>
      </c>
      <c r="D136" s="8" t="str">
        <f aca="false">IF($B136="","",IFERROR(INDEX(업체목록!$B$3:$B$52,MATCH($B136,업체목록!$A$3:$A$52,0)),""))</f>
        <v/>
      </c>
      <c r="E136" s="8" t="str">
        <f aca="false">IF($A136="","",IFERROR(INDEX(품목목록!$D$3:$D$102,MATCH($A136,품목목록!$A$3:$A$102,0)),""))</f>
        <v/>
      </c>
      <c r="F136" s="9"/>
      <c r="G136" s="10" t="str">
        <f aca="false">IF(OR($A136="",$F136=""),"",ROUND($E136*$F136,0))</f>
        <v/>
      </c>
      <c r="H136" s="8" t="str">
        <f aca="false">IF(OR($A136="",$F136=""),"",IF($F136=_xlfn.MINIFS($F$3:$F$502,$A$3:$A$502,$A136),"최저가",""))</f>
        <v/>
      </c>
      <c r="I136" s="8" t="str">
        <f aca="false">IF($H136="최저가",$A136,"")</f>
        <v/>
      </c>
    </row>
    <row r="137" customFormat="false" ht="15" hidden="false" customHeight="false" outlineLevel="0" collapsed="false">
      <c r="A137" s="6"/>
      <c r="B137" s="6"/>
      <c r="C137" s="8" t="str">
        <f aca="false">IF($A137="","",IFERROR(INDEX(품목목록!$B$3:$B$102,MATCH($A137,품목목록!$A$3:$A$102,0)),""))</f>
        <v/>
      </c>
      <c r="D137" s="8" t="str">
        <f aca="false">IF($B137="","",IFERROR(INDEX(업체목록!$B$3:$B$52,MATCH($B137,업체목록!$A$3:$A$52,0)),""))</f>
        <v/>
      </c>
      <c r="E137" s="8" t="str">
        <f aca="false">IF($A137="","",IFERROR(INDEX(품목목록!$D$3:$D$102,MATCH($A137,품목목록!$A$3:$A$102,0)),""))</f>
        <v/>
      </c>
      <c r="F137" s="9"/>
      <c r="G137" s="10" t="str">
        <f aca="false">IF(OR($A137="",$F137=""),"",ROUND($E137*$F137,0))</f>
        <v/>
      </c>
      <c r="H137" s="8" t="str">
        <f aca="false">IF(OR($A137="",$F137=""),"",IF($F137=_xlfn.MINIFS($F$3:$F$502,$A$3:$A$502,$A137),"최저가",""))</f>
        <v/>
      </c>
      <c r="I137" s="8" t="str">
        <f aca="false">IF($H137="최저가",$A137,"")</f>
        <v/>
      </c>
    </row>
    <row r="138" customFormat="false" ht="15" hidden="false" customHeight="false" outlineLevel="0" collapsed="false">
      <c r="A138" s="6"/>
      <c r="B138" s="6"/>
      <c r="C138" s="8" t="str">
        <f aca="false">IF($A138="","",IFERROR(INDEX(품목목록!$B$3:$B$102,MATCH($A138,품목목록!$A$3:$A$102,0)),""))</f>
        <v/>
      </c>
      <c r="D138" s="8" t="str">
        <f aca="false">IF($B138="","",IFERROR(INDEX(업체목록!$B$3:$B$52,MATCH($B138,업체목록!$A$3:$A$52,0)),""))</f>
        <v/>
      </c>
      <c r="E138" s="8" t="str">
        <f aca="false">IF($A138="","",IFERROR(INDEX(품목목록!$D$3:$D$102,MATCH($A138,품목목록!$A$3:$A$102,0)),""))</f>
        <v/>
      </c>
      <c r="F138" s="9"/>
      <c r="G138" s="10" t="str">
        <f aca="false">IF(OR($A138="",$F138=""),"",ROUND($E138*$F138,0))</f>
        <v/>
      </c>
      <c r="H138" s="8" t="str">
        <f aca="false">IF(OR($A138="",$F138=""),"",IF($F138=_xlfn.MINIFS($F$3:$F$502,$A$3:$A$502,$A138),"최저가",""))</f>
        <v/>
      </c>
      <c r="I138" s="8" t="str">
        <f aca="false">IF($H138="최저가",$A138,"")</f>
        <v/>
      </c>
    </row>
    <row r="139" customFormat="false" ht="15" hidden="false" customHeight="false" outlineLevel="0" collapsed="false">
      <c r="A139" s="6"/>
      <c r="B139" s="6"/>
      <c r="C139" s="8" t="str">
        <f aca="false">IF($A139="","",IFERROR(INDEX(품목목록!$B$3:$B$102,MATCH($A139,품목목록!$A$3:$A$102,0)),""))</f>
        <v/>
      </c>
      <c r="D139" s="8" t="str">
        <f aca="false">IF($B139="","",IFERROR(INDEX(업체목록!$B$3:$B$52,MATCH($B139,업체목록!$A$3:$A$52,0)),""))</f>
        <v/>
      </c>
      <c r="E139" s="8" t="str">
        <f aca="false">IF($A139="","",IFERROR(INDEX(품목목록!$D$3:$D$102,MATCH($A139,품목목록!$A$3:$A$102,0)),""))</f>
        <v/>
      </c>
      <c r="F139" s="9"/>
      <c r="G139" s="10" t="str">
        <f aca="false">IF(OR($A139="",$F139=""),"",ROUND($E139*$F139,0))</f>
        <v/>
      </c>
      <c r="H139" s="8" t="str">
        <f aca="false">IF(OR($A139="",$F139=""),"",IF($F139=_xlfn.MINIFS($F$3:$F$502,$A$3:$A$502,$A139),"최저가",""))</f>
        <v/>
      </c>
      <c r="I139" s="8" t="str">
        <f aca="false">IF($H139="최저가",$A139,"")</f>
        <v/>
      </c>
    </row>
    <row r="140" customFormat="false" ht="15" hidden="false" customHeight="false" outlineLevel="0" collapsed="false">
      <c r="A140" s="6"/>
      <c r="B140" s="6"/>
      <c r="C140" s="8" t="str">
        <f aca="false">IF($A140="","",IFERROR(INDEX(품목목록!$B$3:$B$102,MATCH($A140,품목목록!$A$3:$A$102,0)),""))</f>
        <v/>
      </c>
      <c r="D140" s="8" t="str">
        <f aca="false">IF($B140="","",IFERROR(INDEX(업체목록!$B$3:$B$52,MATCH($B140,업체목록!$A$3:$A$52,0)),""))</f>
        <v/>
      </c>
      <c r="E140" s="8" t="str">
        <f aca="false">IF($A140="","",IFERROR(INDEX(품목목록!$D$3:$D$102,MATCH($A140,품목목록!$A$3:$A$102,0)),""))</f>
        <v/>
      </c>
      <c r="F140" s="9"/>
      <c r="G140" s="10" t="str">
        <f aca="false">IF(OR($A140="",$F140=""),"",ROUND($E140*$F140,0))</f>
        <v/>
      </c>
      <c r="H140" s="8" t="str">
        <f aca="false">IF(OR($A140="",$F140=""),"",IF($F140=_xlfn.MINIFS($F$3:$F$502,$A$3:$A$502,$A140),"최저가",""))</f>
        <v/>
      </c>
      <c r="I140" s="8" t="str">
        <f aca="false">IF($H140="최저가",$A140,"")</f>
        <v/>
      </c>
    </row>
    <row r="141" customFormat="false" ht="15" hidden="false" customHeight="false" outlineLevel="0" collapsed="false">
      <c r="A141" s="6"/>
      <c r="B141" s="6"/>
      <c r="C141" s="8" t="str">
        <f aca="false">IF($A141="","",IFERROR(INDEX(품목목록!$B$3:$B$102,MATCH($A141,품목목록!$A$3:$A$102,0)),""))</f>
        <v/>
      </c>
      <c r="D141" s="8" t="str">
        <f aca="false">IF($B141="","",IFERROR(INDEX(업체목록!$B$3:$B$52,MATCH($B141,업체목록!$A$3:$A$52,0)),""))</f>
        <v/>
      </c>
      <c r="E141" s="8" t="str">
        <f aca="false">IF($A141="","",IFERROR(INDEX(품목목록!$D$3:$D$102,MATCH($A141,품목목록!$A$3:$A$102,0)),""))</f>
        <v/>
      </c>
      <c r="F141" s="9"/>
      <c r="G141" s="10" t="str">
        <f aca="false">IF(OR($A141="",$F141=""),"",ROUND($E141*$F141,0))</f>
        <v/>
      </c>
      <c r="H141" s="8" t="str">
        <f aca="false">IF(OR($A141="",$F141=""),"",IF($F141=_xlfn.MINIFS($F$3:$F$502,$A$3:$A$502,$A141),"최저가",""))</f>
        <v/>
      </c>
      <c r="I141" s="8" t="str">
        <f aca="false">IF($H141="최저가",$A141,"")</f>
        <v/>
      </c>
    </row>
    <row r="142" customFormat="false" ht="15" hidden="false" customHeight="false" outlineLevel="0" collapsed="false">
      <c r="A142" s="6"/>
      <c r="B142" s="6"/>
      <c r="C142" s="8" t="str">
        <f aca="false">IF($A142="","",IFERROR(INDEX(품목목록!$B$3:$B$102,MATCH($A142,품목목록!$A$3:$A$102,0)),""))</f>
        <v/>
      </c>
      <c r="D142" s="8" t="str">
        <f aca="false">IF($B142="","",IFERROR(INDEX(업체목록!$B$3:$B$52,MATCH($B142,업체목록!$A$3:$A$52,0)),""))</f>
        <v/>
      </c>
      <c r="E142" s="8" t="str">
        <f aca="false">IF($A142="","",IFERROR(INDEX(품목목록!$D$3:$D$102,MATCH($A142,품목목록!$A$3:$A$102,0)),""))</f>
        <v/>
      </c>
      <c r="F142" s="9"/>
      <c r="G142" s="10" t="str">
        <f aca="false">IF(OR($A142="",$F142=""),"",ROUND($E142*$F142,0))</f>
        <v/>
      </c>
      <c r="H142" s="8" t="str">
        <f aca="false">IF(OR($A142="",$F142=""),"",IF($F142=_xlfn.MINIFS($F$3:$F$502,$A$3:$A$502,$A142),"최저가",""))</f>
        <v/>
      </c>
      <c r="I142" s="8" t="str">
        <f aca="false">IF($H142="최저가",$A142,"")</f>
        <v/>
      </c>
    </row>
    <row r="143" customFormat="false" ht="15" hidden="false" customHeight="false" outlineLevel="0" collapsed="false">
      <c r="A143" s="6"/>
      <c r="B143" s="6"/>
      <c r="C143" s="8" t="str">
        <f aca="false">IF($A143="","",IFERROR(INDEX(품목목록!$B$3:$B$102,MATCH($A143,품목목록!$A$3:$A$102,0)),""))</f>
        <v/>
      </c>
      <c r="D143" s="8" t="str">
        <f aca="false">IF($B143="","",IFERROR(INDEX(업체목록!$B$3:$B$52,MATCH($B143,업체목록!$A$3:$A$52,0)),""))</f>
        <v/>
      </c>
      <c r="E143" s="8" t="str">
        <f aca="false">IF($A143="","",IFERROR(INDEX(품목목록!$D$3:$D$102,MATCH($A143,품목목록!$A$3:$A$102,0)),""))</f>
        <v/>
      </c>
      <c r="F143" s="9"/>
      <c r="G143" s="10" t="str">
        <f aca="false">IF(OR($A143="",$F143=""),"",ROUND($E143*$F143,0))</f>
        <v/>
      </c>
      <c r="H143" s="8" t="str">
        <f aca="false">IF(OR($A143="",$F143=""),"",IF($F143=_xlfn.MINIFS($F$3:$F$502,$A$3:$A$502,$A143),"최저가",""))</f>
        <v/>
      </c>
      <c r="I143" s="8" t="str">
        <f aca="false">IF($H143="최저가",$A143,"")</f>
        <v/>
      </c>
    </row>
    <row r="144" customFormat="false" ht="15" hidden="false" customHeight="false" outlineLevel="0" collapsed="false">
      <c r="A144" s="6"/>
      <c r="B144" s="6"/>
      <c r="C144" s="8" t="str">
        <f aca="false">IF($A144="","",IFERROR(INDEX(품목목록!$B$3:$B$102,MATCH($A144,품목목록!$A$3:$A$102,0)),""))</f>
        <v/>
      </c>
      <c r="D144" s="8" t="str">
        <f aca="false">IF($B144="","",IFERROR(INDEX(업체목록!$B$3:$B$52,MATCH($B144,업체목록!$A$3:$A$52,0)),""))</f>
        <v/>
      </c>
      <c r="E144" s="8" t="str">
        <f aca="false">IF($A144="","",IFERROR(INDEX(품목목록!$D$3:$D$102,MATCH($A144,품목목록!$A$3:$A$102,0)),""))</f>
        <v/>
      </c>
      <c r="F144" s="9"/>
      <c r="G144" s="10" t="str">
        <f aca="false">IF(OR($A144="",$F144=""),"",ROUND($E144*$F144,0))</f>
        <v/>
      </c>
      <c r="H144" s="8" t="str">
        <f aca="false">IF(OR($A144="",$F144=""),"",IF($F144=_xlfn.MINIFS($F$3:$F$502,$A$3:$A$502,$A144),"최저가",""))</f>
        <v/>
      </c>
      <c r="I144" s="8" t="str">
        <f aca="false">IF($H144="최저가",$A144,"")</f>
        <v/>
      </c>
    </row>
    <row r="145" customFormat="false" ht="15" hidden="false" customHeight="false" outlineLevel="0" collapsed="false">
      <c r="A145" s="6"/>
      <c r="B145" s="6"/>
      <c r="C145" s="8" t="str">
        <f aca="false">IF($A145="","",IFERROR(INDEX(품목목록!$B$3:$B$102,MATCH($A145,품목목록!$A$3:$A$102,0)),""))</f>
        <v/>
      </c>
      <c r="D145" s="8" t="str">
        <f aca="false">IF($B145="","",IFERROR(INDEX(업체목록!$B$3:$B$52,MATCH($B145,업체목록!$A$3:$A$52,0)),""))</f>
        <v/>
      </c>
      <c r="E145" s="8" t="str">
        <f aca="false">IF($A145="","",IFERROR(INDEX(품목목록!$D$3:$D$102,MATCH($A145,품목목록!$A$3:$A$102,0)),""))</f>
        <v/>
      </c>
      <c r="F145" s="9"/>
      <c r="G145" s="10" t="str">
        <f aca="false">IF(OR($A145="",$F145=""),"",ROUND($E145*$F145,0))</f>
        <v/>
      </c>
      <c r="H145" s="8" t="str">
        <f aca="false">IF(OR($A145="",$F145=""),"",IF($F145=_xlfn.MINIFS($F$3:$F$502,$A$3:$A$502,$A145),"최저가",""))</f>
        <v/>
      </c>
      <c r="I145" s="8" t="str">
        <f aca="false">IF($H145="최저가",$A145,"")</f>
        <v/>
      </c>
    </row>
    <row r="146" customFormat="false" ht="15" hidden="false" customHeight="false" outlineLevel="0" collapsed="false">
      <c r="A146" s="6"/>
      <c r="B146" s="6"/>
      <c r="C146" s="8" t="str">
        <f aca="false">IF($A146="","",IFERROR(INDEX(품목목록!$B$3:$B$102,MATCH($A146,품목목록!$A$3:$A$102,0)),""))</f>
        <v/>
      </c>
      <c r="D146" s="8" t="str">
        <f aca="false">IF($B146="","",IFERROR(INDEX(업체목록!$B$3:$B$52,MATCH($B146,업체목록!$A$3:$A$52,0)),""))</f>
        <v/>
      </c>
      <c r="E146" s="8" t="str">
        <f aca="false">IF($A146="","",IFERROR(INDEX(품목목록!$D$3:$D$102,MATCH($A146,품목목록!$A$3:$A$102,0)),""))</f>
        <v/>
      </c>
      <c r="F146" s="9"/>
      <c r="G146" s="10" t="str">
        <f aca="false">IF(OR($A146="",$F146=""),"",ROUND($E146*$F146,0))</f>
        <v/>
      </c>
      <c r="H146" s="8" t="str">
        <f aca="false">IF(OR($A146="",$F146=""),"",IF($F146=_xlfn.MINIFS($F$3:$F$502,$A$3:$A$502,$A146),"최저가",""))</f>
        <v/>
      </c>
      <c r="I146" s="8" t="str">
        <f aca="false">IF($H146="최저가",$A146,"")</f>
        <v/>
      </c>
    </row>
    <row r="147" customFormat="false" ht="15" hidden="false" customHeight="false" outlineLevel="0" collapsed="false">
      <c r="A147" s="6"/>
      <c r="B147" s="6"/>
      <c r="C147" s="8" t="str">
        <f aca="false">IF($A147="","",IFERROR(INDEX(품목목록!$B$3:$B$102,MATCH($A147,품목목록!$A$3:$A$102,0)),""))</f>
        <v/>
      </c>
      <c r="D147" s="8" t="str">
        <f aca="false">IF($B147="","",IFERROR(INDEX(업체목록!$B$3:$B$52,MATCH($B147,업체목록!$A$3:$A$52,0)),""))</f>
        <v/>
      </c>
      <c r="E147" s="8" t="str">
        <f aca="false">IF($A147="","",IFERROR(INDEX(품목목록!$D$3:$D$102,MATCH($A147,품목목록!$A$3:$A$102,0)),""))</f>
        <v/>
      </c>
      <c r="F147" s="9"/>
      <c r="G147" s="10" t="str">
        <f aca="false">IF(OR($A147="",$F147=""),"",ROUND($E147*$F147,0))</f>
        <v/>
      </c>
      <c r="H147" s="8" t="str">
        <f aca="false">IF(OR($A147="",$F147=""),"",IF($F147=_xlfn.MINIFS($F$3:$F$502,$A$3:$A$502,$A147),"최저가",""))</f>
        <v/>
      </c>
      <c r="I147" s="8" t="str">
        <f aca="false">IF($H147="최저가",$A147,"")</f>
        <v/>
      </c>
    </row>
    <row r="148" customFormat="false" ht="15" hidden="false" customHeight="false" outlineLevel="0" collapsed="false">
      <c r="A148" s="6"/>
      <c r="B148" s="6"/>
      <c r="C148" s="8" t="str">
        <f aca="false">IF($A148="","",IFERROR(INDEX(품목목록!$B$3:$B$102,MATCH($A148,품목목록!$A$3:$A$102,0)),""))</f>
        <v/>
      </c>
      <c r="D148" s="8" t="str">
        <f aca="false">IF($B148="","",IFERROR(INDEX(업체목록!$B$3:$B$52,MATCH($B148,업체목록!$A$3:$A$52,0)),""))</f>
        <v/>
      </c>
      <c r="E148" s="8" t="str">
        <f aca="false">IF($A148="","",IFERROR(INDEX(품목목록!$D$3:$D$102,MATCH($A148,품목목록!$A$3:$A$102,0)),""))</f>
        <v/>
      </c>
      <c r="F148" s="9"/>
      <c r="G148" s="10" t="str">
        <f aca="false">IF(OR($A148="",$F148=""),"",ROUND($E148*$F148,0))</f>
        <v/>
      </c>
      <c r="H148" s="8" t="str">
        <f aca="false">IF(OR($A148="",$F148=""),"",IF($F148=_xlfn.MINIFS($F$3:$F$502,$A$3:$A$502,$A148),"최저가",""))</f>
        <v/>
      </c>
      <c r="I148" s="8" t="str">
        <f aca="false">IF($H148="최저가",$A148,"")</f>
        <v/>
      </c>
    </row>
    <row r="149" customFormat="false" ht="15" hidden="false" customHeight="false" outlineLevel="0" collapsed="false">
      <c r="A149" s="6"/>
      <c r="B149" s="6"/>
      <c r="C149" s="8" t="str">
        <f aca="false">IF($A149="","",IFERROR(INDEX(품목목록!$B$3:$B$102,MATCH($A149,품목목록!$A$3:$A$102,0)),""))</f>
        <v/>
      </c>
      <c r="D149" s="8" t="str">
        <f aca="false">IF($B149="","",IFERROR(INDEX(업체목록!$B$3:$B$52,MATCH($B149,업체목록!$A$3:$A$52,0)),""))</f>
        <v/>
      </c>
      <c r="E149" s="8" t="str">
        <f aca="false">IF($A149="","",IFERROR(INDEX(품목목록!$D$3:$D$102,MATCH($A149,품목목록!$A$3:$A$102,0)),""))</f>
        <v/>
      </c>
      <c r="F149" s="9"/>
      <c r="G149" s="10" t="str">
        <f aca="false">IF(OR($A149="",$F149=""),"",ROUND($E149*$F149,0))</f>
        <v/>
      </c>
      <c r="H149" s="8" t="str">
        <f aca="false">IF(OR($A149="",$F149=""),"",IF($F149=_xlfn.MINIFS($F$3:$F$502,$A$3:$A$502,$A149),"최저가",""))</f>
        <v/>
      </c>
      <c r="I149" s="8" t="str">
        <f aca="false">IF($H149="최저가",$A149,"")</f>
        <v/>
      </c>
    </row>
    <row r="150" customFormat="false" ht="15" hidden="false" customHeight="false" outlineLevel="0" collapsed="false">
      <c r="A150" s="6"/>
      <c r="B150" s="6"/>
      <c r="C150" s="8" t="str">
        <f aca="false">IF($A150="","",IFERROR(INDEX(품목목록!$B$3:$B$102,MATCH($A150,품목목록!$A$3:$A$102,0)),""))</f>
        <v/>
      </c>
      <c r="D150" s="8" t="str">
        <f aca="false">IF($B150="","",IFERROR(INDEX(업체목록!$B$3:$B$52,MATCH($B150,업체목록!$A$3:$A$52,0)),""))</f>
        <v/>
      </c>
      <c r="E150" s="8" t="str">
        <f aca="false">IF($A150="","",IFERROR(INDEX(품목목록!$D$3:$D$102,MATCH($A150,품목목록!$A$3:$A$102,0)),""))</f>
        <v/>
      </c>
      <c r="F150" s="9"/>
      <c r="G150" s="10" t="str">
        <f aca="false">IF(OR($A150="",$F150=""),"",ROUND($E150*$F150,0))</f>
        <v/>
      </c>
      <c r="H150" s="8" t="str">
        <f aca="false">IF(OR($A150="",$F150=""),"",IF($F150=_xlfn.MINIFS($F$3:$F$502,$A$3:$A$502,$A150),"최저가",""))</f>
        <v/>
      </c>
      <c r="I150" s="8" t="str">
        <f aca="false">IF($H150="최저가",$A150,"")</f>
        <v/>
      </c>
    </row>
    <row r="151" customFormat="false" ht="15" hidden="false" customHeight="false" outlineLevel="0" collapsed="false">
      <c r="A151" s="6"/>
      <c r="B151" s="6"/>
      <c r="C151" s="8" t="str">
        <f aca="false">IF($A151="","",IFERROR(INDEX(품목목록!$B$3:$B$102,MATCH($A151,품목목록!$A$3:$A$102,0)),""))</f>
        <v/>
      </c>
      <c r="D151" s="8" t="str">
        <f aca="false">IF($B151="","",IFERROR(INDEX(업체목록!$B$3:$B$52,MATCH($B151,업체목록!$A$3:$A$52,0)),""))</f>
        <v/>
      </c>
      <c r="E151" s="8" t="str">
        <f aca="false">IF($A151="","",IFERROR(INDEX(품목목록!$D$3:$D$102,MATCH($A151,품목목록!$A$3:$A$102,0)),""))</f>
        <v/>
      </c>
      <c r="F151" s="9"/>
      <c r="G151" s="10" t="str">
        <f aca="false">IF(OR($A151="",$F151=""),"",ROUND($E151*$F151,0))</f>
        <v/>
      </c>
      <c r="H151" s="8" t="str">
        <f aca="false">IF(OR($A151="",$F151=""),"",IF($F151=_xlfn.MINIFS($F$3:$F$502,$A$3:$A$502,$A151),"최저가",""))</f>
        <v/>
      </c>
      <c r="I151" s="8" t="str">
        <f aca="false">IF($H151="최저가",$A151,"")</f>
        <v/>
      </c>
    </row>
    <row r="152" customFormat="false" ht="15" hidden="false" customHeight="false" outlineLevel="0" collapsed="false">
      <c r="A152" s="6"/>
      <c r="B152" s="6"/>
      <c r="C152" s="8" t="str">
        <f aca="false">IF($A152="","",IFERROR(INDEX(품목목록!$B$3:$B$102,MATCH($A152,품목목록!$A$3:$A$102,0)),""))</f>
        <v/>
      </c>
      <c r="D152" s="8" t="str">
        <f aca="false">IF($B152="","",IFERROR(INDEX(업체목록!$B$3:$B$52,MATCH($B152,업체목록!$A$3:$A$52,0)),""))</f>
        <v/>
      </c>
      <c r="E152" s="8" t="str">
        <f aca="false">IF($A152="","",IFERROR(INDEX(품목목록!$D$3:$D$102,MATCH($A152,품목목록!$A$3:$A$102,0)),""))</f>
        <v/>
      </c>
      <c r="F152" s="9"/>
      <c r="G152" s="10" t="str">
        <f aca="false">IF(OR($A152="",$F152=""),"",ROUND($E152*$F152,0))</f>
        <v/>
      </c>
      <c r="H152" s="8" t="str">
        <f aca="false">IF(OR($A152="",$F152=""),"",IF($F152=_xlfn.MINIFS($F$3:$F$502,$A$3:$A$502,$A152),"최저가",""))</f>
        <v/>
      </c>
      <c r="I152" s="8" t="str">
        <f aca="false">IF($H152="최저가",$A152,"")</f>
        <v/>
      </c>
    </row>
    <row r="153" customFormat="false" ht="15" hidden="false" customHeight="false" outlineLevel="0" collapsed="false">
      <c r="A153" s="6"/>
      <c r="B153" s="6"/>
      <c r="C153" s="8" t="str">
        <f aca="false">IF($A153="","",IFERROR(INDEX(품목목록!$B$3:$B$102,MATCH($A153,품목목록!$A$3:$A$102,0)),""))</f>
        <v/>
      </c>
      <c r="D153" s="8" t="str">
        <f aca="false">IF($B153="","",IFERROR(INDEX(업체목록!$B$3:$B$52,MATCH($B153,업체목록!$A$3:$A$52,0)),""))</f>
        <v/>
      </c>
      <c r="E153" s="8" t="str">
        <f aca="false">IF($A153="","",IFERROR(INDEX(품목목록!$D$3:$D$102,MATCH($A153,품목목록!$A$3:$A$102,0)),""))</f>
        <v/>
      </c>
      <c r="F153" s="9"/>
      <c r="G153" s="10" t="str">
        <f aca="false">IF(OR($A153="",$F153=""),"",ROUND($E153*$F153,0))</f>
        <v/>
      </c>
      <c r="H153" s="8" t="str">
        <f aca="false">IF(OR($A153="",$F153=""),"",IF($F153=_xlfn.MINIFS($F$3:$F$502,$A$3:$A$502,$A153),"최저가",""))</f>
        <v/>
      </c>
      <c r="I153" s="8" t="str">
        <f aca="false">IF($H153="최저가",$A153,"")</f>
        <v/>
      </c>
    </row>
    <row r="154" customFormat="false" ht="15" hidden="false" customHeight="false" outlineLevel="0" collapsed="false">
      <c r="A154" s="6"/>
      <c r="B154" s="6"/>
      <c r="C154" s="8" t="str">
        <f aca="false">IF($A154="","",IFERROR(INDEX(품목목록!$B$3:$B$102,MATCH($A154,품목목록!$A$3:$A$102,0)),""))</f>
        <v/>
      </c>
      <c r="D154" s="8" t="str">
        <f aca="false">IF($B154="","",IFERROR(INDEX(업체목록!$B$3:$B$52,MATCH($B154,업체목록!$A$3:$A$52,0)),""))</f>
        <v/>
      </c>
      <c r="E154" s="8" t="str">
        <f aca="false">IF($A154="","",IFERROR(INDEX(품목목록!$D$3:$D$102,MATCH($A154,품목목록!$A$3:$A$102,0)),""))</f>
        <v/>
      </c>
      <c r="F154" s="9"/>
      <c r="G154" s="10" t="str">
        <f aca="false">IF(OR($A154="",$F154=""),"",ROUND($E154*$F154,0))</f>
        <v/>
      </c>
      <c r="H154" s="8" t="str">
        <f aca="false">IF(OR($A154="",$F154=""),"",IF($F154=_xlfn.MINIFS($F$3:$F$502,$A$3:$A$502,$A154),"최저가",""))</f>
        <v/>
      </c>
      <c r="I154" s="8" t="str">
        <f aca="false">IF($H154="최저가",$A154,"")</f>
        <v/>
      </c>
    </row>
    <row r="155" customFormat="false" ht="15" hidden="false" customHeight="false" outlineLevel="0" collapsed="false">
      <c r="A155" s="6"/>
      <c r="B155" s="6"/>
      <c r="C155" s="8" t="str">
        <f aca="false">IF($A155="","",IFERROR(INDEX(품목목록!$B$3:$B$102,MATCH($A155,품목목록!$A$3:$A$102,0)),""))</f>
        <v/>
      </c>
      <c r="D155" s="8" t="str">
        <f aca="false">IF($B155="","",IFERROR(INDEX(업체목록!$B$3:$B$52,MATCH($B155,업체목록!$A$3:$A$52,0)),""))</f>
        <v/>
      </c>
      <c r="E155" s="8" t="str">
        <f aca="false">IF($A155="","",IFERROR(INDEX(품목목록!$D$3:$D$102,MATCH($A155,품목목록!$A$3:$A$102,0)),""))</f>
        <v/>
      </c>
      <c r="F155" s="9"/>
      <c r="G155" s="10" t="str">
        <f aca="false">IF(OR($A155="",$F155=""),"",ROUND($E155*$F155,0))</f>
        <v/>
      </c>
      <c r="H155" s="8" t="str">
        <f aca="false">IF(OR($A155="",$F155=""),"",IF($F155=_xlfn.MINIFS($F$3:$F$502,$A$3:$A$502,$A155),"최저가",""))</f>
        <v/>
      </c>
      <c r="I155" s="8" t="str">
        <f aca="false">IF($H155="최저가",$A155,"")</f>
        <v/>
      </c>
    </row>
    <row r="156" customFormat="false" ht="15" hidden="false" customHeight="false" outlineLevel="0" collapsed="false">
      <c r="A156" s="6"/>
      <c r="B156" s="6"/>
      <c r="C156" s="8" t="str">
        <f aca="false">IF($A156="","",IFERROR(INDEX(품목목록!$B$3:$B$102,MATCH($A156,품목목록!$A$3:$A$102,0)),""))</f>
        <v/>
      </c>
      <c r="D156" s="8" t="str">
        <f aca="false">IF($B156="","",IFERROR(INDEX(업체목록!$B$3:$B$52,MATCH($B156,업체목록!$A$3:$A$52,0)),""))</f>
        <v/>
      </c>
      <c r="E156" s="8" t="str">
        <f aca="false">IF($A156="","",IFERROR(INDEX(품목목록!$D$3:$D$102,MATCH($A156,품목목록!$A$3:$A$102,0)),""))</f>
        <v/>
      </c>
      <c r="F156" s="9"/>
      <c r="G156" s="10" t="str">
        <f aca="false">IF(OR($A156="",$F156=""),"",ROUND($E156*$F156,0))</f>
        <v/>
      </c>
      <c r="H156" s="8" t="str">
        <f aca="false">IF(OR($A156="",$F156=""),"",IF($F156=_xlfn.MINIFS($F$3:$F$502,$A$3:$A$502,$A156),"최저가",""))</f>
        <v/>
      </c>
      <c r="I156" s="8" t="str">
        <f aca="false">IF($H156="최저가",$A156,"")</f>
        <v/>
      </c>
    </row>
    <row r="157" customFormat="false" ht="15" hidden="false" customHeight="false" outlineLevel="0" collapsed="false">
      <c r="A157" s="6"/>
      <c r="B157" s="6"/>
      <c r="C157" s="8" t="str">
        <f aca="false">IF($A157="","",IFERROR(INDEX(품목목록!$B$3:$B$102,MATCH($A157,품목목록!$A$3:$A$102,0)),""))</f>
        <v/>
      </c>
      <c r="D157" s="8" t="str">
        <f aca="false">IF($B157="","",IFERROR(INDEX(업체목록!$B$3:$B$52,MATCH($B157,업체목록!$A$3:$A$52,0)),""))</f>
        <v/>
      </c>
      <c r="E157" s="8" t="str">
        <f aca="false">IF($A157="","",IFERROR(INDEX(품목목록!$D$3:$D$102,MATCH($A157,품목목록!$A$3:$A$102,0)),""))</f>
        <v/>
      </c>
      <c r="F157" s="9"/>
      <c r="G157" s="10" t="str">
        <f aca="false">IF(OR($A157="",$F157=""),"",ROUND($E157*$F157,0))</f>
        <v/>
      </c>
      <c r="H157" s="8" t="str">
        <f aca="false">IF(OR($A157="",$F157=""),"",IF($F157=_xlfn.MINIFS($F$3:$F$502,$A$3:$A$502,$A157),"최저가",""))</f>
        <v/>
      </c>
      <c r="I157" s="8" t="str">
        <f aca="false">IF($H157="최저가",$A157,"")</f>
        <v/>
      </c>
    </row>
    <row r="158" customFormat="false" ht="15" hidden="false" customHeight="false" outlineLevel="0" collapsed="false">
      <c r="A158" s="6"/>
      <c r="B158" s="6"/>
      <c r="C158" s="8" t="str">
        <f aca="false">IF($A158="","",IFERROR(INDEX(품목목록!$B$3:$B$102,MATCH($A158,품목목록!$A$3:$A$102,0)),""))</f>
        <v/>
      </c>
      <c r="D158" s="8" t="str">
        <f aca="false">IF($B158="","",IFERROR(INDEX(업체목록!$B$3:$B$52,MATCH($B158,업체목록!$A$3:$A$52,0)),""))</f>
        <v/>
      </c>
      <c r="E158" s="8" t="str">
        <f aca="false">IF($A158="","",IFERROR(INDEX(품목목록!$D$3:$D$102,MATCH($A158,품목목록!$A$3:$A$102,0)),""))</f>
        <v/>
      </c>
      <c r="F158" s="9"/>
      <c r="G158" s="10" t="str">
        <f aca="false">IF(OR($A158="",$F158=""),"",ROUND($E158*$F158,0))</f>
        <v/>
      </c>
      <c r="H158" s="8" t="str">
        <f aca="false">IF(OR($A158="",$F158=""),"",IF($F158=_xlfn.MINIFS($F$3:$F$502,$A$3:$A$502,$A158),"최저가",""))</f>
        <v/>
      </c>
      <c r="I158" s="8" t="str">
        <f aca="false">IF($H158="최저가",$A158,"")</f>
        <v/>
      </c>
    </row>
    <row r="159" customFormat="false" ht="15" hidden="false" customHeight="false" outlineLevel="0" collapsed="false">
      <c r="A159" s="6"/>
      <c r="B159" s="6"/>
      <c r="C159" s="8" t="str">
        <f aca="false">IF($A159="","",IFERROR(INDEX(품목목록!$B$3:$B$102,MATCH($A159,품목목록!$A$3:$A$102,0)),""))</f>
        <v/>
      </c>
      <c r="D159" s="8" t="str">
        <f aca="false">IF($B159="","",IFERROR(INDEX(업체목록!$B$3:$B$52,MATCH($B159,업체목록!$A$3:$A$52,0)),""))</f>
        <v/>
      </c>
      <c r="E159" s="8" t="str">
        <f aca="false">IF($A159="","",IFERROR(INDEX(품목목록!$D$3:$D$102,MATCH($A159,품목목록!$A$3:$A$102,0)),""))</f>
        <v/>
      </c>
      <c r="F159" s="9"/>
      <c r="G159" s="10" t="str">
        <f aca="false">IF(OR($A159="",$F159=""),"",ROUND($E159*$F159,0))</f>
        <v/>
      </c>
      <c r="H159" s="8" t="str">
        <f aca="false">IF(OR($A159="",$F159=""),"",IF($F159=_xlfn.MINIFS($F$3:$F$502,$A$3:$A$502,$A159),"최저가",""))</f>
        <v/>
      </c>
      <c r="I159" s="8" t="str">
        <f aca="false">IF($H159="최저가",$A159,"")</f>
        <v/>
      </c>
    </row>
    <row r="160" customFormat="false" ht="15" hidden="false" customHeight="false" outlineLevel="0" collapsed="false">
      <c r="A160" s="6"/>
      <c r="B160" s="6"/>
      <c r="C160" s="8" t="str">
        <f aca="false">IF($A160="","",IFERROR(INDEX(품목목록!$B$3:$B$102,MATCH($A160,품목목록!$A$3:$A$102,0)),""))</f>
        <v/>
      </c>
      <c r="D160" s="8" t="str">
        <f aca="false">IF($B160="","",IFERROR(INDEX(업체목록!$B$3:$B$52,MATCH($B160,업체목록!$A$3:$A$52,0)),""))</f>
        <v/>
      </c>
      <c r="E160" s="8" t="str">
        <f aca="false">IF($A160="","",IFERROR(INDEX(품목목록!$D$3:$D$102,MATCH($A160,품목목록!$A$3:$A$102,0)),""))</f>
        <v/>
      </c>
      <c r="F160" s="9"/>
      <c r="G160" s="10" t="str">
        <f aca="false">IF(OR($A160="",$F160=""),"",ROUND($E160*$F160,0))</f>
        <v/>
      </c>
      <c r="H160" s="8" t="str">
        <f aca="false">IF(OR($A160="",$F160=""),"",IF($F160=_xlfn.MINIFS($F$3:$F$502,$A$3:$A$502,$A160),"최저가",""))</f>
        <v/>
      </c>
      <c r="I160" s="8" t="str">
        <f aca="false">IF($H160="최저가",$A160,"")</f>
        <v/>
      </c>
    </row>
    <row r="161" customFormat="false" ht="15" hidden="false" customHeight="false" outlineLevel="0" collapsed="false">
      <c r="A161" s="6"/>
      <c r="B161" s="6"/>
      <c r="C161" s="8" t="str">
        <f aca="false">IF($A161="","",IFERROR(INDEX(품목목록!$B$3:$B$102,MATCH($A161,품목목록!$A$3:$A$102,0)),""))</f>
        <v/>
      </c>
      <c r="D161" s="8" t="str">
        <f aca="false">IF($B161="","",IFERROR(INDEX(업체목록!$B$3:$B$52,MATCH($B161,업체목록!$A$3:$A$52,0)),""))</f>
        <v/>
      </c>
      <c r="E161" s="8" t="str">
        <f aca="false">IF($A161="","",IFERROR(INDEX(품목목록!$D$3:$D$102,MATCH($A161,품목목록!$A$3:$A$102,0)),""))</f>
        <v/>
      </c>
      <c r="F161" s="9"/>
      <c r="G161" s="10" t="str">
        <f aca="false">IF(OR($A161="",$F161=""),"",ROUND($E161*$F161,0))</f>
        <v/>
      </c>
      <c r="H161" s="8" t="str">
        <f aca="false">IF(OR($A161="",$F161=""),"",IF($F161=_xlfn.MINIFS($F$3:$F$502,$A$3:$A$502,$A161),"최저가",""))</f>
        <v/>
      </c>
      <c r="I161" s="8" t="str">
        <f aca="false">IF($H161="최저가",$A161,"")</f>
        <v/>
      </c>
    </row>
    <row r="162" customFormat="false" ht="15" hidden="false" customHeight="false" outlineLevel="0" collapsed="false">
      <c r="A162" s="6"/>
      <c r="B162" s="6"/>
      <c r="C162" s="8" t="str">
        <f aca="false">IF($A162="","",IFERROR(INDEX(품목목록!$B$3:$B$102,MATCH($A162,품목목록!$A$3:$A$102,0)),""))</f>
        <v/>
      </c>
      <c r="D162" s="8" t="str">
        <f aca="false">IF($B162="","",IFERROR(INDEX(업체목록!$B$3:$B$52,MATCH($B162,업체목록!$A$3:$A$52,0)),""))</f>
        <v/>
      </c>
      <c r="E162" s="8" t="str">
        <f aca="false">IF($A162="","",IFERROR(INDEX(품목목록!$D$3:$D$102,MATCH($A162,품목목록!$A$3:$A$102,0)),""))</f>
        <v/>
      </c>
      <c r="F162" s="9"/>
      <c r="G162" s="10" t="str">
        <f aca="false">IF(OR($A162="",$F162=""),"",ROUND($E162*$F162,0))</f>
        <v/>
      </c>
      <c r="H162" s="8" t="str">
        <f aca="false">IF(OR($A162="",$F162=""),"",IF($F162=_xlfn.MINIFS($F$3:$F$502,$A$3:$A$502,$A162),"최저가",""))</f>
        <v/>
      </c>
      <c r="I162" s="8" t="str">
        <f aca="false">IF($H162="최저가",$A162,"")</f>
        <v/>
      </c>
    </row>
    <row r="163" customFormat="false" ht="15" hidden="false" customHeight="false" outlineLevel="0" collapsed="false">
      <c r="A163" s="6"/>
      <c r="B163" s="6"/>
      <c r="C163" s="8" t="str">
        <f aca="false">IF($A163="","",IFERROR(INDEX(품목목록!$B$3:$B$102,MATCH($A163,품목목록!$A$3:$A$102,0)),""))</f>
        <v/>
      </c>
      <c r="D163" s="8" t="str">
        <f aca="false">IF($B163="","",IFERROR(INDEX(업체목록!$B$3:$B$52,MATCH($B163,업체목록!$A$3:$A$52,0)),""))</f>
        <v/>
      </c>
      <c r="E163" s="8" t="str">
        <f aca="false">IF($A163="","",IFERROR(INDEX(품목목록!$D$3:$D$102,MATCH($A163,품목목록!$A$3:$A$102,0)),""))</f>
        <v/>
      </c>
      <c r="F163" s="9"/>
      <c r="G163" s="10" t="str">
        <f aca="false">IF(OR($A163="",$F163=""),"",ROUND($E163*$F163,0))</f>
        <v/>
      </c>
      <c r="H163" s="8" t="str">
        <f aca="false">IF(OR($A163="",$F163=""),"",IF($F163=_xlfn.MINIFS($F$3:$F$502,$A$3:$A$502,$A163),"최저가",""))</f>
        <v/>
      </c>
      <c r="I163" s="8" t="str">
        <f aca="false">IF($H163="최저가",$A163,"")</f>
        <v/>
      </c>
    </row>
    <row r="164" customFormat="false" ht="15" hidden="false" customHeight="false" outlineLevel="0" collapsed="false">
      <c r="A164" s="6"/>
      <c r="B164" s="6"/>
      <c r="C164" s="8" t="str">
        <f aca="false">IF($A164="","",IFERROR(INDEX(품목목록!$B$3:$B$102,MATCH($A164,품목목록!$A$3:$A$102,0)),""))</f>
        <v/>
      </c>
      <c r="D164" s="8" t="str">
        <f aca="false">IF($B164="","",IFERROR(INDEX(업체목록!$B$3:$B$52,MATCH($B164,업체목록!$A$3:$A$52,0)),""))</f>
        <v/>
      </c>
      <c r="E164" s="8" t="str">
        <f aca="false">IF($A164="","",IFERROR(INDEX(품목목록!$D$3:$D$102,MATCH($A164,품목목록!$A$3:$A$102,0)),""))</f>
        <v/>
      </c>
      <c r="F164" s="9"/>
      <c r="G164" s="10" t="str">
        <f aca="false">IF(OR($A164="",$F164=""),"",ROUND($E164*$F164,0))</f>
        <v/>
      </c>
      <c r="H164" s="8" t="str">
        <f aca="false">IF(OR($A164="",$F164=""),"",IF($F164=_xlfn.MINIFS($F$3:$F$502,$A$3:$A$502,$A164),"최저가",""))</f>
        <v/>
      </c>
      <c r="I164" s="8" t="str">
        <f aca="false">IF($H164="최저가",$A164,"")</f>
        <v/>
      </c>
    </row>
    <row r="165" customFormat="false" ht="15" hidden="false" customHeight="false" outlineLevel="0" collapsed="false">
      <c r="A165" s="6"/>
      <c r="B165" s="6"/>
      <c r="C165" s="8" t="str">
        <f aca="false">IF($A165="","",IFERROR(INDEX(품목목록!$B$3:$B$102,MATCH($A165,품목목록!$A$3:$A$102,0)),""))</f>
        <v/>
      </c>
      <c r="D165" s="8" t="str">
        <f aca="false">IF($B165="","",IFERROR(INDEX(업체목록!$B$3:$B$52,MATCH($B165,업체목록!$A$3:$A$52,0)),""))</f>
        <v/>
      </c>
      <c r="E165" s="8" t="str">
        <f aca="false">IF($A165="","",IFERROR(INDEX(품목목록!$D$3:$D$102,MATCH($A165,품목목록!$A$3:$A$102,0)),""))</f>
        <v/>
      </c>
      <c r="F165" s="9"/>
      <c r="G165" s="10" t="str">
        <f aca="false">IF(OR($A165="",$F165=""),"",ROUND($E165*$F165,0))</f>
        <v/>
      </c>
      <c r="H165" s="8" t="str">
        <f aca="false">IF(OR($A165="",$F165=""),"",IF($F165=_xlfn.MINIFS($F$3:$F$502,$A$3:$A$502,$A165),"최저가",""))</f>
        <v/>
      </c>
      <c r="I165" s="8" t="str">
        <f aca="false">IF($H165="최저가",$A165,"")</f>
        <v/>
      </c>
    </row>
    <row r="166" customFormat="false" ht="15" hidden="false" customHeight="false" outlineLevel="0" collapsed="false">
      <c r="A166" s="6"/>
      <c r="B166" s="6"/>
      <c r="C166" s="8" t="str">
        <f aca="false">IF($A166="","",IFERROR(INDEX(품목목록!$B$3:$B$102,MATCH($A166,품목목록!$A$3:$A$102,0)),""))</f>
        <v/>
      </c>
      <c r="D166" s="8" t="str">
        <f aca="false">IF($B166="","",IFERROR(INDEX(업체목록!$B$3:$B$52,MATCH($B166,업체목록!$A$3:$A$52,0)),""))</f>
        <v/>
      </c>
      <c r="E166" s="8" t="str">
        <f aca="false">IF($A166="","",IFERROR(INDEX(품목목록!$D$3:$D$102,MATCH($A166,품목목록!$A$3:$A$102,0)),""))</f>
        <v/>
      </c>
      <c r="F166" s="9"/>
      <c r="G166" s="10" t="str">
        <f aca="false">IF(OR($A166="",$F166=""),"",ROUND($E166*$F166,0))</f>
        <v/>
      </c>
      <c r="H166" s="8" t="str">
        <f aca="false">IF(OR($A166="",$F166=""),"",IF($F166=_xlfn.MINIFS($F$3:$F$502,$A$3:$A$502,$A166),"최저가",""))</f>
        <v/>
      </c>
      <c r="I166" s="8" t="str">
        <f aca="false">IF($H166="최저가",$A166,"")</f>
        <v/>
      </c>
    </row>
    <row r="167" customFormat="false" ht="15" hidden="false" customHeight="false" outlineLevel="0" collapsed="false">
      <c r="A167" s="6"/>
      <c r="B167" s="6"/>
      <c r="C167" s="8" t="str">
        <f aca="false">IF($A167="","",IFERROR(INDEX(품목목록!$B$3:$B$102,MATCH($A167,품목목록!$A$3:$A$102,0)),""))</f>
        <v/>
      </c>
      <c r="D167" s="8" t="str">
        <f aca="false">IF($B167="","",IFERROR(INDEX(업체목록!$B$3:$B$52,MATCH($B167,업체목록!$A$3:$A$52,0)),""))</f>
        <v/>
      </c>
      <c r="E167" s="8" t="str">
        <f aca="false">IF($A167="","",IFERROR(INDEX(품목목록!$D$3:$D$102,MATCH($A167,품목목록!$A$3:$A$102,0)),""))</f>
        <v/>
      </c>
      <c r="F167" s="9"/>
      <c r="G167" s="10" t="str">
        <f aca="false">IF(OR($A167="",$F167=""),"",ROUND($E167*$F167,0))</f>
        <v/>
      </c>
      <c r="H167" s="8" t="str">
        <f aca="false">IF(OR($A167="",$F167=""),"",IF($F167=_xlfn.MINIFS($F$3:$F$502,$A$3:$A$502,$A167),"최저가",""))</f>
        <v/>
      </c>
      <c r="I167" s="8" t="str">
        <f aca="false">IF($H167="최저가",$A167,"")</f>
        <v/>
      </c>
    </row>
    <row r="168" customFormat="false" ht="15" hidden="false" customHeight="false" outlineLevel="0" collapsed="false">
      <c r="A168" s="6"/>
      <c r="B168" s="6"/>
      <c r="C168" s="8" t="str">
        <f aca="false">IF($A168="","",IFERROR(INDEX(품목목록!$B$3:$B$102,MATCH($A168,품목목록!$A$3:$A$102,0)),""))</f>
        <v/>
      </c>
      <c r="D168" s="8" t="str">
        <f aca="false">IF($B168="","",IFERROR(INDEX(업체목록!$B$3:$B$52,MATCH($B168,업체목록!$A$3:$A$52,0)),""))</f>
        <v/>
      </c>
      <c r="E168" s="8" t="str">
        <f aca="false">IF($A168="","",IFERROR(INDEX(품목목록!$D$3:$D$102,MATCH($A168,품목목록!$A$3:$A$102,0)),""))</f>
        <v/>
      </c>
      <c r="F168" s="9"/>
      <c r="G168" s="10" t="str">
        <f aca="false">IF(OR($A168="",$F168=""),"",ROUND($E168*$F168,0))</f>
        <v/>
      </c>
      <c r="H168" s="8" t="str">
        <f aca="false">IF(OR($A168="",$F168=""),"",IF($F168=_xlfn.MINIFS($F$3:$F$502,$A$3:$A$502,$A168),"최저가",""))</f>
        <v/>
      </c>
      <c r="I168" s="8" t="str">
        <f aca="false">IF($H168="최저가",$A168,"")</f>
        <v/>
      </c>
    </row>
    <row r="169" customFormat="false" ht="15" hidden="false" customHeight="false" outlineLevel="0" collapsed="false">
      <c r="A169" s="6"/>
      <c r="B169" s="6"/>
      <c r="C169" s="8" t="str">
        <f aca="false">IF($A169="","",IFERROR(INDEX(품목목록!$B$3:$B$102,MATCH($A169,품목목록!$A$3:$A$102,0)),""))</f>
        <v/>
      </c>
      <c r="D169" s="8" t="str">
        <f aca="false">IF($B169="","",IFERROR(INDEX(업체목록!$B$3:$B$52,MATCH($B169,업체목록!$A$3:$A$52,0)),""))</f>
        <v/>
      </c>
      <c r="E169" s="8" t="str">
        <f aca="false">IF($A169="","",IFERROR(INDEX(품목목록!$D$3:$D$102,MATCH($A169,품목목록!$A$3:$A$102,0)),""))</f>
        <v/>
      </c>
      <c r="F169" s="9"/>
      <c r="G169" s="10" t="str">
        <f aca="false">IF(OR($A169="",$F169=""),"",ROUND($E169*$F169,0))</f>
        <v/>
      </c>
      <c r="H169" s="8" t="str">
        <f aca="false">IF(OR($A169="",$F169=""),"",IF($F169=_xlfn.MINIFS($F$3:$F$502,$A$3:$A$502,$A169),"최저가",""))</f>
        <v/>
      </c>
      <c r="I169" s="8" t="str">
        <f aca="false">IF($H169="최저가",$A169,"")</f>
        <v/>
      </c>
    </row>
    <row r="170" customFormat="false" ht="15" hidden="false" customHeight="false" outlineLevel="0" collapsed="false">
      <c r="A170" s="6"/>
      <c r="B170" s="6"/>
      <c r="C170" s="8" t="str">
        <f aca="false">IF($A170="","",IFERROR(INDEX(품목목록!$B$3:$B$102,MATCH($A170,품목목록!$A$3:$A$102,0)),""))</f>
        <v/>
      </c>
      <c r="D170" s="8" t="str">
        <f aca="false">IF($B170="","",IFERROR(INDEX(업체목록!$B$3:$B$52,MATCH($B170,업체목록!$A$3:$A$52,0)),""))</f>
        <v/>
      </c>
      <c r="E170" s="8" t="str">
        <f aca="false">IF($A170="","",IFERROR(INDEX(품목목록!$D$3:$D$102,MATCH($A170,품목목록!$A$3:$A$102,0)),""))</f>
        <v/>
      </c>
      <c r="F170" s="9"/>
      <c r="G170" s="10" t="str">
        <f aca="false">IF(OR($A170="",$F170=""),"",ROUND($E170*$F170,0))</f>
        <v/>
      </c>
      <c r="H170" s="8" t="str">
        <f aca="false">IF(OR($A170="",$F170=""),"",IF($F170=_xlfn.MINIFS($F$3:$F$502,$A$3:$A$502,$A170),"최저가",""))</f>
        <v/>
      </c>
      <c r="I170" s="8" t="str">
        <f aca="false">IF($H170="최저가",$A170,"")</f>
        <v/>
      </c>
    </row>
    <row r="171" customFormat="false" ht="15" hidden="false" customHeight="false" outlineLevel="0" collapsed="false">
      <c r="A171" s="6"/>
      <c r="B171" s="6"/>
      <c r="C171" s="8" t="str">
        <f aca="false">IF($A171="","",IFERROR(INDEX(품목목록!$B$3:$B$102,MATCH($A171,품목목록!$A$3:$A$102,0)),""))</f>
        <v/>
      </c>
      <c r="D171" s="8" t="str">
        <f aca="false">IF($B171="","",IFERROR(INDEX(업체목록!$B$3:$B$52,MATCH($B171,업체목록!$A$3:$A$52,0)),""))</f>
        <v/>
      </c>
      <c r="E171" s="8" t="str">
        <f aca="false">IF($A171="","",IFERROR(INDEX(품목목록!$D$3:$D$102,MATCH($A171,품목목록!$A$3:$A$102,0)),""))</f>
        <v/>
      </c>
      <c r="F171" s="9"/>
      <c r="G171" s="10" t="str">
        <f aca="false">IF(OR($A171="",$F171=""),"",ROUND($E171*$F171,0))</f>
        <v/>
      </c>
      <c r="H171" s="8" t="str">
        <f aca="false">IF(OR($A171="",$F171=""),"",IF($F171=_xlfn.MINIFS($F$3:$F$502,$A$3:$A$502,$A171),"최저가",""))</f>
        <v/>
      </c>
      <c r="I171" s="8" t="str">
        <f aca="false">IF($H171="최저가",$A171,"")</f>
        <v/>
      </c>
    </row>
    <row r="172" customFormat="false" ht="15" hidden="false" customHeight="false" outlineLevel="0" collapsed="false">
      <c r="A172" s="6"/>
      <c r="B172" s="6"/>
      <c r="C172" s="8" t="str">
        <f aca="false">IF($A172="","",IFERROR(INDEX(품목목록!$B$3:$B$102,MATCH($A172,품목목록!$A$3:$A$102,0)),""))</f>
        <v/>
      </c>
      <c r="D172" s="8" t="str">
        <f aca="false">IF($B172="","",IFERROR(INDEX(업체목록!$B$3:$B$52,MATCH($B172,업체목록!$A$3:$A$52,0)),""))</f>
        <v/>
      </c>
      <c r="E172" s="8" t="str">
        <f aca="false">IF($A172="","",IFERROR(INDEX(품목목록!$D$3:$D$102,MATCH($A172,품목목록!$A$3:$A$102,0)),""))</f>
        <v/>
      </c>
      <c r="F172" s="9"/>
      <c r="G172" s="10" t="str">
        <f aca="false">IF(OR($A172="",$F172=""),"",ROUND($E172*$F172,0))</f>
        <v/>
      </c>
      <c r="H172" s="8" t="str">
        <f aca="false">IF(OR($A172="",$F172=""),"",IF($F172=_xlfn.MINIFS($F$3:$F$502,$A$3:$A$502,$A172),"최저가",""))</f>
        <v/>
      </c>
      <c r="I172" s="8" t="str">
        <f aca="false">IF($H172="최저가",$A172,"")</f>
        <v/>
      </c>
    </row>
    <row r="173" customFormat="false" ht="15" hidden="false" customHeight="false" outlineLevel="0" collapsed="false">
      <c r="A173" s="6"/>
      <c r="B173" s="6"/>
      <c r="C173" s="8" t="str">
        <f aca="false">IF($A173="","",IFERROR(INDEX(품목목록!$B$3:$B$102,MATCH($A173,품목목록!$A$3:$A$102,0)),""))</f>
        <v/>
      </c>
      <c r="D173" s="8" t="str">
        <f aca="false">IF($B173="","",IFERROR(INDEX(업체목록!$B$3:$B$52,MATCH($B173,업체목록!$A$3:$A$52,0)),""))</f>
        <v/>
      </c>
      <c r="E173" s="8" t="str">
        <f aca="false">IF($A173="","",IFERROR(INDEX(품목목록!$D$3:$D$102,MATCH($A173,품목목록!$A$3:$A$102,0)),""))</f>
        <v/>
      </c>
      <c r="F173" s="9"/>
      <c r="G173" s="10" t="str">
        <f aca="false">IF(OR($A173="",$F173=""),"",ROUND($E173*$F173,0))</f>
        <v/>
      </c>
      <c r="H173" s="8" t="str">
        <f aca="false">IF(OR($A173="",$F173=""),"",IF($F173=_xlfn.MINIFS($F$3:$F$502,$A$3:$A$502,$A173),"최저가",""))</f>
        <v/>
      </c>
      <c r="I173" s="8" t="str">
        <f aca="false">IF($H173="최저가",$A173,"")</f>
        <v/>
      </c>
    </row>
    <row r="174" customFormat="false" ht="15" hidden="false" customHeight="false" outlineLevel="0" collapsed="false">
      <c r="A174" s="6"/>
      <c r="B174" s="6"/>
      <c r="C174" s="8" t="str">
        <f aca="false">IF($A174="","",IFERROR(INDEX(품목목록!$B$3:$B$102,MATCH($A174,품목목록!$A$3:$A$102,0)),""))</f>
        <v/>
      </c>
      <c r="D174" s="8" t="str">
        <f aca="false">IF($B174="","",IFERROR(INDEX(업체목록!$B$3:$B$52,MATCH($B174,업체목록!$A$3:$A$52,0)),""))</f>
        <v/>
      </c>
      <c r="E174" s="8" t="str">
        <f aca="false">IF($A174="","",IFERROR(INDEX(품목목록!$D$3:$D$102,MATCH($A174,품목목록!$A$3:$A$102,0)),""))</f>
        <v/>
      </c>
      <c r="F174" s="9"/>
      <c r="G174" s="10" t="str">
        <f aca="false">IF(OR($A174="",$F174=""),"",ROUND($E174*$F174,0))</f>
        <v/>
      </c>
      <c r="H174" s="8" t="str">
        <f aca="false">IF(OR($A174="",$F174=""),"",IF($F174=_xlfn.MINIFS($F$3:$F$502,$A$3:$A$502,$A174),"최저가",""))</f>
        <v/>
      </c>
      <c r="I174" s="8" t="str">
        <f aca="false">IF($H174="최저가",$A174,"")</f>
        <v/>
      </c>
    </row>
    <row r="175" customFormat="false" ht="15" hidden="false" customHeight="false" outlineLevel="0" collapsed="false">
      <c r="A175" s="6"/>
      <c r="B175" s="6"/>
      <c r="C175" s="8" t="str">
        <f aca="false">IF($A175="","",IFERROR(INDEX(품목목록!$B$3:$B$102,MATCH($A175,품목목록!$A$3:$A$102,0)),""))</f>
        <v/>
      </c>
      <c r="D175" s="8" t="str">
        <f aca="false">IF($B175="","",IFERROR(INDEX(업체목록!$B$3:$B$52,MATCH($B175,업체목록!$A$3:$A$52,0)),""))</f>
        <v/>
      </c>
      <c r="E175" s="8" t="str">
        <f aca="false">IF($A175="","",IFERROR(INDEX(품목목록!$D$3:$D$102,MATCH($A175,품목목록!$A$3:$A$102,0)),""))</f>
        <v/>
      </c>
      <c r="F175" s="9"/>
      <c r="G175" s="10" t="str">
        <f aca="false">IF(OR($A175="",$F175=""),"",ROUND($E175*$F175,0))</f>
        <v/>
      </c>
      <c r="H175" s="8" t="str">
        <f aca="false">IF(OR($A175="",$F175=""),"",IF($F175=_xlfn.MINIFS($F$3:$F$502,$A$3:$A$502,$A175),"최저가",""))</f>
        <v/>
      </c>
      <c r="I175" s="8" t="str">
        <f aca="false">IF($H175="최저가",$A175,"")</f>
        <v/>
      </c>
    </row>
    <row r="176" customFormat="false" ht="15" hidden="false" customHeight="false" outlineLevel="0" collapsed="false">
      <c r="A176" s="6"/>
      <c r="B176" s="6"/>
      <c r="C176" s="8" t="str">
        <f aca="false">IF($A176="","",IFERROR(INDEX(품목목록!$B$3:$B$102,MATCH($A176,품목목록!$A$3:$A$102,0)),""))</f>
        <v/>
      </c>
      <c r="D176" s="8" t="str">
        <f aca="false">IF($B176="","",IFERROR(INDEX(업체목록!$B$3:$B$52,MATCH($B176,업체목록!$A$3:$A$52,0)),""))</f>
        <v/>
      </c>
      <c r="E176" s="8" t="str">
        <f aca="false">IF($A176="","",IFERROR(INDEX(품목목록!$D$3:$D$102,MATCH($A176,품목목록!$A$3:$A$102,0)),""))</f>
        <v/>
      </c>
      <c r="F176" s="9"/>
      <c r="G176" s="10" t="str">
        <f aca="false">IF(OR($A176="",$F176=""),"",ROUND($E176*$F176,0))</f>
        <v/>
      </c>
      <c r="H176" s="8" t="str">
        <f aca="false">IF(OR($A176="",$F176=""),"",IF($F176=_xlfn.MINIFS($F$3:$F$502,$A$3:$A$502,$A176),"최저가",""))</f>
        <v/>
      </c>
      <c r="I176" s="8" t="str">
        <f aca="false">IF($H176="최저가",$A176,"")</f>
        <v/>
      </c>
    </row>
    <row r="177" customFormat="false" ht="15" hidden="false" customHeight="false" outlineLevel="0" collapsed="false">
      <c r="A177" s="6"/>
      <c r="B177" s="6"/>
      <c r="C177" s="8" t="str">
        <f aca="false">IF($A177="","",IFERROR(INDEX(품목목록!$B$3:$B$102,MATCH($A177,품목목록!$A$3:$A$102,0)),""))</f>
        <v/>
      </c>
      <c r="D177" s="8" t="str">
        <f aca="false">IF($B177="","",IFERROR(INDEX(업체목록!$B$3:$B$52,MATCH($B177,업체목록!$A$3:$A$52,0)),""))</f>
        <v/>
      </c>
      <c r="E177" s="8" t="str">
        <f aca="false">IF($A177="","",IFERROR(INDEX(품목목록!$D$3:$D$102,MATCH($A177,품목목록!$A$3:$A$102,0)),""))</f>
        <v/>
      </c>
      <c r="F177" s="9"/>
      <c r="G177" s="10" t="str">
        <f aca="false">IF(OR($A177="",$F177=""),"",ROUND($E177*$F177,0))</f>
        <v/>
      </c>
      <c r="H177" s="8" t="str">
        <f aca="false">IF(OR($A177="",$F177=""),"",IF($F177=_xlfn.MINIFS($F$3:$F$502,$A$3:$A$502,$A177),"최저가",""))</f>
        <v/>
      </c>
      <c r="I177" s="8" t="str">
        <f aca="false">IF($H177="최저가",$A177,"")</f>
        <v/>
      </c>
    </row>
    <row r="178" customFormat="false" ht="15" hidden="false" customHeight="false" outlineLevel="0" collapsed="false">
      <c r="A178" s="6"/>
      <c r="B178" s="6"/>
      <c r="C178" s="8" t="str">
        <f aca="false">IF($A178="","",IFERROR(INDEX(품목목록!$B$3:$B$102,MATCH($A178,품목목록!$A$3:$A$102,0)),""))</f>
        <v/>
      </c>
      <c r="D178" s="8" t="str">
        <f aca="false">IF($B178="","",IFERROR(INDEX(업체목록!$B$3:$B$52,MATCH($B178,업체목록!$A$3:$A$52,0)),""))</f>
        <v/>
      </c>
      <c r="E178" s="8" t="str">
        <f aca="false">IF($A178="","",IFERROR(INDEX(품목목록!$D$3:$D$102,MATCH($A178,품목목록!$A$3:$A$102,0)),""))</f>
        <v/>
      </c>
      <c r="F178" s="9"/>
      <c r="G178" s="10" t="str">
        <f aca="false">IF(OR($A178="",$F178=""),"",ROUND($E178*$F178,0))</f>
        <v/>
      </c>
      <c r="H178" s="8" t="str">
        <f aca="false">IF(OR($A178="",$F178=""),"",IF($F178=_xlfn.MINIFS($F$3:$F$502,$A$3:$A$502,$A178),"최저가",""))</f>
        <v/>
      </c>
      <c r="I178" s="8" t="str">
        <f aca="false">IF($H178="최저가",$A178,"")</f>
        <v/>
      </c>
    </row>
    <row r="179" customFormat="false" ht="15" hidden="false" customHeight="false" outlineLevel="0" collapsed="false">
      <c r="A179" s="6"/>
      <c r="B179" s="6"/>
      <c r="C179" s="8" t="str">
        <f aca="false">IF($A179="","",IFERROR(INDEX(품목목록!$B$3:$B$102,MATCH($A179,품목목록!$A$3:$A$102,0)),""))</f>
        <v/>
      </c>
      <c r="D179" s="8" t="str">
        <f aca="false">IF($B179="","",IFERROR(INDEX(업체목록!$B$3:$B$52,MATCH($B179,업체목록!$A$3:$A$52,0)),""))</f>
        <v/>
      </c>
      <c r="E179" s="8" t="str">
        <f aca="false">IF($A179="","",IFERROR(INDEX(품목목록!$D$3:$D$102,MATCH($A179,품목목록!$A$3:$A$102,0)),""))</f>
        <v/>
      </c>
      <c r="F179" s="9"/>
      <c r="G179" s="10" t="str">
        <f aca="false">IF(OR($A179="",$F179=""),"",ROUND($E179*$F179,0))</f>
        <v/>
      </c>
      <c r="H179" s="8" t="str">
        <f aca="false">IF(OR($A179="",$F179=""),"",IF($F179=_xlfn.MINIFS($F$3:$F$502,$A$3:$A$502,$A179),"최저가",""))</f>
        <v/>
      </c>
      <c r="I179" s="8" t="str">
        <f aca="false">IF($H179="최저가",$A179,"")</f>
        <v/>
      </c>
    </row>
    <row r="180" customFormat="false" ht="15" hidden="false" customHeight="false" outlineLevel="0" collapsed="false">
      <c r="A180" s="6"/>
      <c r="B180" s="6"/>
      <c r="C180" s="8" t="str">
        <f aca="false">IF($A180="","",IFERROR(INDEX(품목목록!$B$3:$B$102,MATCH($A180,품목목록!$A$3:$A$102,0)),""))</f>
        <v/>
      </c>
      <c r="D180" s="8" t="str">
        <f aca="false">IF($B180="","",IFERROR(INDEX(업체목록!$B$3:$B$52,MATCH($B180,업체목록!$A$3:$A$52,0)),""))</f>
        <v/>
      </c>
      <c r="E180" s="8" t="str">
        <f aca="false">IF($A180="","",IFERROR(INDEX(품목목록!$D$3:$D$102,MATCH($A180,품목목록!$A$3:$A$102,0)),""))</f>
        <v/>
      </c>
      <c r="F180" s="9"/>
      <c r="G180" s="10" t="str">
        <f aca="false">IF(OR($A180="",$F180=""),"",ROUND($E180*$F180,0))</f>
        <v/>
      </c>
      <c r="H180" s="8" t="str">
        <f aca="false">IF(OR($A180="",$F180=""),"",IF($F180=_xlfn.MINIFS($F$3:$F$502,$A$3:$A$502,$A180),"최저가",""))</f>
        <v/>
      </c>
      <c r="I180" s="8" t="str">
        <f aca="false">IF($H180="최저가",$A180,"")</f>
        <v/>
      </c>
    </row>
    <row r="181" customFormat="false" ht="15" hidden="false" customHeight="false" outlineLevel="0" collapsed="false">
      <c r="A181" s="6"/>
      <c r="B181" s="6"/>
      <c r="C181" s="8" t="str">
        <f aca="false">IF($A181="","",IFERROR(INDEX(품목목록!$B$3:$B$102,MATCH($A181,품목목록!$A$3:$A$102,0)),""))</f>
        <v/>
      </c>
      <c r="D181" s="8" t="str">
        <f aca="false">IF($B181="","",IFERROR(INDEX(업체목록!$B$3:$B$52,MATCH($B181,업체목록!$A$3:$A$52,0)),""))</f>
        <v/>
      </c>
      <c r="E181" s="8" t="str">
        <f aca="false">IF($A181="","",IFERROR(INDEX(품목목록!$D$3:$D$102,MATCH($A181,품목목록!$A$3:$A$102,0)),""))</f>
        <v/>
      </c>
      <c r="F181" s="9"/>
      <c r="G181" s="10" t="str">
        <f aca="false">IF(OR($A181="",$F181=""),"",ROUND($E181*$F181,0))</f>
        <v/>
      </c>
      <c r="H181" s="8" t="str">
        <f aca="false">IF(OR($A181="",$F181=""),"",IF($F181=_xlfn.MINIFS($F$3:$F$502,$A$3:$A$502,$A181),"최저가",""))</f>
        <v/>
      </c>
      <c r="I181" s="8" t="str">
        <f aca="false">IF($H181="최저가",$A181,"")</f>
        <v/>
      </c>
    </row>
    <row r="182" customFormat="false" ht="15" hidden="false" customHeight="false" outlineLevel="0" collapsed="false">
      <c r="A182" s="6"/>
      <c r="B182" s="6"/>
      <c r="C182" s="8" t="str">
        <f aca="false">IF($A182="","",IFERROR(INDEX(품목목록!$B$3:$B$102,MATCH($A182,품목목록!$A$3:$A$102,0)),""))</f>
        <v/>
      </c>
      <c r="D182" s="8" t="str">
        <f aca="false">IF($B182="","",IFERROR(INDEX(업체목록!$B$3:$B$52,MATCH($B182,업체목록!$A$3:$A$52,0)),""))</f>
        <v/>
      </c>
      <c r="E182" s="8" t="str">
        <f aca="false">IF($A182="","",IFERROR(INDEX(품목목록!$D$3:$D$102,MATCH($A182,품목목록!$A$3:$A$102,0)),""))</f>
        <v/>
      </c>
      <c r="F182" s="9"/>
      <c r="G182" s="10" t="str">
        <f aca="false">IF(OR($A182="",$F182=""),"",ROUND($E182*$F182,0))</f>
        <v/>
      </c>
      <c r="H182" s="8" t="str">
        <f aca="false">IF(OR($A182="",$F182=""),"",IF($F182=_xlfn.MINIFS($F$3:$F$502,$A$3:$A$502,$A182),"최저가",""))</f>
        <v/>
      </c>
      <c r="I182" s="8" t="str">
        <f aca="false">IF($H182="최저가",$A182,"")</f>
        <v/>
      </c>
    </row>
    <row r="183" customFormat="false" ht="15" hidden="false" customHeight="false" outlineLevel="0" collapsed="false">
      <c r="A183" s="6"/>
      <c r="B183" s="6"/>
      <c r="C183" s="8" t="str">
        <f aca="false">IF($A183="","",IFERROR(INDEX(품목목록!$B$3:$B$102,MATCH($A183,품목목록!$A$3:$A$102,0)),""))</f>
        <v/>
      </c>
      <c r="D183" s="8" t="str">
        <f aca="false">IF($B183="","",IFERROR(INDEX(업체목록!$B$3:$B$52,MATCH($B183,업체목록!$A$3:$A$52,0)),""))</f>
        <v/>
      </c>
      <c r="E183" s="8" t="str">
        <f aca="false">IF($A183="","",IFERROR(INDEX(품목목록!$D$3:$D$102,MATCH($A183,품목목록!$A$3:$A$102,0)),""))</f>
        <v/>
      </c>
      <c r="F183" s="9"/>
      <c r="G183" s="10" t="str">
        <f aca="false">IF(OR($A183="",$F183=""),"",ROUND($E183*$F183,0))</f>
        <v/>
      </c>
      <c r="H183" s="8" t="str">
        <f aca="false">IF(OR($A183="",$F183=""),"",IF($F183=_xlfn.MINIFS($F$3:$F$502,$A$3:$A$502,$A183),"최저가",""))</f>
        <v/>
      </c>
      <c r="I183" s="8" t="str">
        <f aca="false">IF($H183="최저가",$A183,"")</f>
        <v/>
      </c>
    </row>
    <row r="184" customFormat="false" ht="15" hidden="false" customHeight="false" outlineLevel="0" collapsed="false">
      <c r="A184" s="6"/>
      <c r="B184" s="6"/>
      <c r="C184" s="8" t="str">
        <f aca="false">IF($A184="","",IFERROR(INDEX(품목목록!$B$3:$B$102,MATCH($A184,품목목록!$A$3:$A$102,0)),""))</f>
        <v/>
      </c>
      <c r="D184" s="8" t="str">
        <f aca="false">IF($B184="","",IFERROR(INDEX(업체목록!$B$3:$B$52,MATCH($B184,업체목록!$A$3:$A$52,0)),""))</f>
        <v/>
      </c>
      <c r="E184" s="8" t="str">
        <f aca="false">IF($A184="","",IFERROR(INDEX(품목목록!$D$3:$D$102,MATCH($A184,품목목록!$A$3:$A$102,0)),""))</f>
        <v/>
      </c>
      <c r="F184" s="9"/>
      <c r="G184" s="10" t="str">
        <f aca="false">IF(OR($A184="",$F184=""),"",ROUND($E184*$F184,0))</f>
        <v/>
      </c>
      <c r="H184" s="8" t="str">
        <f aca="false">IF(OR($A184="",$F184=""),"",IF($F184=_xlfn.MINIFS($F$3:$F$502,$A$3:$A$502,$A184),"최저가",""))</f>
        <v/>
      </c>
      <c r="I184" s="8" t="str">
        <f aca="false">IF($H184="최저가",$A184,"")</f>
        <v/>
      </c>
    </row>
    <row r="185" customFormat="false" ht="15" hidden="false" customHeight="false" outlineLevel="0" collapsed="false">
      <c r="A185" s="6"/>
      <c r="B185" s="6"/>
      <c r="C185" s="8" t="str">
        <f aca="false">IF($A185="","",IFERROR(INDEX(품목목록!$B$3:$B$102,MATCH($A185,품목목록!$A$3:$A$102,0)),""))</f>
        <v/>
      </c>
      <c r="D185" s="8" t="str">
        <f aca="false">IF($B185="","",IFERROR(INDEX(업체목록!$B$3:$B$52,MATCH($B185,업체목록!$A$3:$A$52,0)),""))</f>
        <v/>
      </c>
      <c r="E185" s="8" t="str">
        <f aca="false">IF($A185="","",IFERROR(INDEX(품목목록!$D$3:$D$102,MATCH($A185,품목목록!$A$3:$A$102,0)),""))</f>
        <v/>
      </c>
      <c r="F185" s="9"/>
      <c r="G185" s="10" t="str">
        <f aca="false">IF(OR($A185="",$F185=""),"",ROUND($E185*$F185,0))</f>
        <v/>
      </c>
      <c r="H185" s="8" t="str">
        <f aca="false">IF(OR($A185="",$F185=""),"",IF($F185=_xlfn.MINIFS($F$3:$F$502,$A$3:$A$502,$A185),"최저가",""))</f>
        <v/>
      </c>
      <c r="I185" s="8" t="str">
        <f aca="false">IF($H185="최저가",$A185,"")</f>
        <v/>
      </c>
    </row>
    <row r="186" customFormat="false" ht="15" hidden="false" customHeight="false" outlineLevel="0" collapsed="false">
      <c r="A186" s="6"/>
      <c r="B186" s="6"/>
      <c r="C186" s="8" t="str">
        <f aca="false">IF($A186="","",IFERROR(INDEX(품목목록!$B$3:$B$102,MATCH($A186,품목목록!$A$3:$A$102,0)),""))</f>
        <v/>
      </c>
      <c r="D186" s="8" t="str">
        <f aca="false">IF($B186="","",IFERROR(INDEX(업체목록!$B$3:$B$52,MATCH($B186,업체목록!$A$3:$A$52,0)),""))</f>
        <v/>
      </c>
      <c r="E186" s="8" t="str">
        <f aca="false">IF($A186="","",IFERROR(INDEX(품목목록!$D$3:$D$102,MATCH($A186,품목목록!$A$3:$A$102,0)),""))</f>
        <v/>
      </c>
      <c r="F186" s="9"/>
      <c r="G186" s="10" t="str">
        <f aca="false">IF(OR($A186="",$F186=""),"",ROUND($E186*$F186,0))</f>
        <v/>
      </c>
      <c r="H186" s="8" t="str">
        <f aca="false">IF(OR($A186="",$F186=""),"",IF($F186=_xlfn.MINIFS($F$3:$F$502,$A$3:$A$502,$A186),"최저가",""))</f>
        <v/>
      </c>
      <c r="I186" s="8" t="str">
        <f aca="false">IF($H186="최저가",$A186,"")</f>
        <v/>
      </c>
    </row>
    <row r="187" customFormat="false" ht="15" hidden="false" customHeight="false" outlineLevel="0" collapsed="false">
      <c r="A187" s="6"/>
      <c r="B187" s="6"/>
      <c r="C187" s="8" t="str">
        <f aca="false">IF($A187="","",IFERROR(INDEX(품목목록!$B$3:$B$102,MATCH($A187,품목목록!$A$3:$A$102,0)),""))</f>
        <v/>
      </c>
      <c r="D187" s="8" t="str">
        <f aca="false">IF($B187="","",IFERROR(INDEX(업체목록!$B$3:$B$52,MATCH($B187,업체목록!$A$3:$A$52,0)),""))</f>
        <v/>
      </c>
      <c r="E187" s="8" t="str">
        <f aca="false">IF($A187="","",IFERROR(INDEX(품목목록!$D$3:$D$102,MATCH($A187,품목목록!$A$3:$A$102,0)),""))</f>
        <v/>
      </c>
      <c r="F187" s="9"/>
      <c r="G187" s="10" t="str">
        <f aca="false">IF(OR($A187="",$F187=""),"",ROUND($E187*$F187,0))</f>
        <v/>
      </c>
      <c r="H187" s="8" t="str">
        <f aca="false">IF(OR($A187="",$F187=""),"",IF($F187=_xlfn.MINIFS($F$3:$F$502,$A$3:$A$502,$A187),"최저가",""))</f>
        <v/>
      </c>
      <c r="I187" s="8" t="str">
        <f aca="false">IF($H187="최저가",$A187,"")</f>
        <v/>
      </c>
    </row>
    <row r="188" customFormat="false" ht="15" hidden="false" customHeight="false" outlineLevel="0" collapsed="false">
      <c r="A188" s="6"/>
      <c r="B188" s="6"/>
      <c r="C188" s="8" t="str">
        <f aca="false">IF($A188="","",IFERROR(INDEX(품목목록!$B$3:$B$102,MATCH($A188,품목목록!$A$3:$A$102,0)),""))</f>
        <v/>
      </c>
      <c r="D188" s="8" t="str">
        <f aca="false">IF($B188="","",IFERROR(INDEX(업체목록!$B$3:$B$52,MATCH($B188,업체목록!$A$3:$A$52,0)),""))</f>
        <v/>
      </c>
      <c r="E188" s="8" t="str">
        <f aca="false">IF($A188="","",IFERROR(INDEX(품목목록!$D$3:$D$102,MATCH($A188,품목목록!$A$3:$A$102,0)),""))</f>
        <v/>
      </c>
      <c r="F188" s="9"/>
      <c r="G188" s="10" t="str">
        <f aca="false">IF(OR($A188="",$F188=""),"",ROUND($E188*$F188,0))</f>
        <v/>
      </c>
      <c r="H188" s="8" t="str">
        <f aca="false">IF(OR($A188="",$F188=""),"",IF($F188=_xlfn.MINIFS($F$3:$F$502,$A$3:$A$502,$A188),"최저가",""))</f>
        <v/>
      </c>
      <c r="I188" s="8" t="str">
        <f aca="false">IF($H188="최저가",$A188,"")</f>
        <v/>
      </c>
    </row>
    <row r="189" customFormat="false" ht="15" hidden="false" customHeight="false" outlineLevel="0" collapsed="false">
      <c r="A189" s="6"/>
      <c r="B189" s="6"/>
      <c r="C189" s="8" t="str">
        <f aca="false">IF($A189="","",IFERROR(INDEX(품목목록!$B$3:$B$102,MATCH($A189,품목목록!$A$3:$A$102,0)),""))</f>
        <v/>
      </c>
      <c r="D189" s="8" t="str">
        <f aca="false">IF($B189="","",IFERROR(INDEX(업체목록!$B$3:$B$52,MATCH($B189,업체목록!$A$3:$A$52,0)),""))</f>
        <v/>
      </c>
      <c r="E189" s="8" t="str">
        <f aca="false">IF($A189="","",IFERROR(INDEX(품목목록!$D$3:$D$102,MATCH($A189,품목목록!$A$3:$A$102,0)),""))</f>
        <v/>
      </c>
      <c r="F189" s="9"/>
      <c r="G189" s="10" t="str">
        <f aca="false">IF(OR($A189="",$F189=""),"",ROUND($E189*$F189,0))</f>
        <v/>
      </c>
      <c r="H189" s="8" t="str">
        <f aca="false">IF(OR($A189="",$F189=""),"",IF($F189=_xlfn.MINIFS($F$3:$F$502,$A$3:$A$502,$A189),"최저가",""))</f>
        <v/>
      </c>
      <c r="I189" s="8" t="str">
        <f aca="false">IF($H189="최저가",$A189,"")</f>
        <v/>
      </c>
    </row>
    <row r="190" customFormat="false" ht="15" hidden="false" customHeight="false" outlineLevel="0" collapsed="false">
      <c r="A190" s="6"/>
      <c r="B190" s="6"/>
      <c r="C190" s="8" t="str">
        <f aca="false">IF($A190="","",IFERROR(INDEX(품목목록!$B$3:$B$102,MATCH($A190,품목목록!$A$3:$A$102,0)),""))</f>
        <v/>
      </c>
      <c r="D190" s="8" t="str">
        <f aca="false">IF($B190="","",IFERROR(INDEX(업체목록!$B$3:$B$52,MATCH($B190,업체목록!$A$3:$A$52,0)),""))</f>
        <v/>
      </c>
      <c r="E190" s="8" t="str">
        <f aca="false">IF($A190="","",IFERROR(INDEX(품목목록!$D$3:$D$102,MATCH($A190,품목목록!$A$3:$A$102,0)),""))</f>
        <v/>
      </c>
      <c r="F190" s="9"/>
      <c r="G190" s="10" t="str">
        <f aca="false">IF(OR($A190="",$F190=""),"",ROUND($E190*$F190,0))</f>
        <v/>
      </c>
      <c r="H190" s="8" t="str">
        <f aca="false">IF(OR($A190="",$F190=""),"",IF($F190=_xlfn.MINIFS($F$3:$F$502,$A$3:$A$502,$A190),"최저가",""))</f>
        <v/>
      </c>
      <c r="I190" s="8" t="str">
        <f aca="false">IF($H190="최저가",$A190,"")</f>
        <v/>
      </c>
    </row>
    <row r="191" customFormat="false" ht="15" hidden="false" customHeight="false" outlineLevel="0" collapsed="false">
      <c r="A191" s="6"/>
      <c r="B191" s="6"/>
      <c r="C191" s="8" t="str">
        <f aca="false">IF($A191="","",IFERROR(INDEX(품목목록!$B$3:$B$102,MATCH($A191,품목목록!$A$3:$A$102,0)),""))</f>
        <v/>
      </c>
      <c r="D191" s="8" t="str">
        <f aca="false">IF($B191="","",IFERROR(INDEX(업체목록!$B$3:$B$52,MATCH($B191,업체목록!$A$3:$A$52,0)),""))</f>
        <v/>
      </c>
      <c r="E191" s="8" t="str">
        <f aca="false">IF($A191="","",IFERROR(INDEX(품목목록!$D$3:$D$102,MATCH($A191,품목목록!$A$3:$A$102,0)),""))</f>
        <v/>
      </c>
      <c r="F191" s="9"/>
      <c r="G191" s="10" t="str">
        <f aca="false">IF(OR($A191="",$F191=""),"",ROUND($E191*$F191,0))</f>
        <v/>
      </c>
      <c r="H191" s="8" t="str">
        <f aca="false">IF(OR($A191="",$F191=""),"",IF($F191=_xlfn.MINIFS($F$3:$F$502,$A$3:$A$502,$A191),"최저가",""))</f>
        <v/>
      </c>
      <c r="I191" s="8" t="str">
        <f aca="false">IF($H191="최저가",$A191,"")</f>
        <v/>
      </c>
    </row>
    <row r="192" customFormat="false" ht="15" hidden="false" customHeight="false" outlineLevel="0" collapsed="false">
      <c r="A192" s="6"/>
      <c r="B192" s="6"/>
      <c r="C192" s="8" t="str">
        <f aca="false">IF($A192="","",IFERROR(INDEX(품목목록!$B$3:$B$102,MATCH($A192,품목목록!$A$3:$A$102,0)),""))</f>
        <v/>
      </c>
      <c r="D192" s="8" t="str">
        <f aca="false">IF($B192="","",IFERROR(INDEX(업체목록!$B$3:$B$52,MATCH($B192,업체목록!$A$3:$A$52,0)),""))</f>
        <v/>
      </c>
      <c r="E192" s="8" t="str">
        <f aca="false">IF($A192="","",IFERROR(INDEX(품목목록!$D$3:$D$102,MATCH($A192,품목목록!$A$3:$A$102,0)),""))</f>
        <v/>
      </c>
      <c r="F192" s="9"/>
      <c r="G192" s="10" t="str">
        <f aca="false">IF(OR($A192="",$F192=""),"",ROUND($E192*$F192,0))</f>
        <v/>
      </c>
      <c r="H192" s="8" t="str">
        <f aca="false">IF(OR($A192="",$F192=""),"",IF($F192=_xlfn.MINIFS($F$3:$F$502,$A$3:$A$502,$A192),"최저가",""))</f>
        <v/>
      </c>
      <c r="I192" s="8" t="str">
        <f aca="false">IF($H192="최저가",$A192,"")</f>
        <v/>
      </c>
    </row>
    <row r="193" customFormat="false" ht="15" hidden="false" customHeight="false" outlineLevel="0" collapsed="false">
      <c r="A193" s="6"/>
      <c r="B193" s="6"/>
      <c r="C193" s="8" t="str">
        <f aca="false">IF($A193="","",IFERROR(INDEX(품목목록!$B$3:$B$102,MATCH($A193,품목목록!$A$3:$A$102,0)),""))</f>
        <v/>
      </c>
      <c r="D193" s="8" t="str">
        <f aca="false">IF($B193="","",IFERROR(INDEX(업체목록!$B$3:$B$52,MATCH($B193,업체목록!$A$3:$A$52,0)),""))</f>
        <v/>
      </c>
      <c r="E193" s="8" t="str">
        <f aca="false">IF($A193="","",IFERROR(INDEX(품목목록!$D$3:$D$102,MATCH($A193,품목목록!$A$3:$A$102,0)),""))</f>
        <v/>
      </c>
      <c r="F193" s="9"/>
      <c r="G193" s="10" t="str">
        <f aca="false">IF(OR($A193="",$F193=""),"",ROUND($E193*$F193,0))</f>
        <v/>
      </c>
      <c r="H193" s="8" t="str">
        <f aca="false">IF(OR($A193="",$F193=""),"",IF($F193=_xlfn.MINIFS($F$3:$F$502,$A$3:$A$502,$A193),"최저가",""))</f>
        <v/>
      </c>
      <c r="I193" s="8" t="str">
        <f aca="false">IF($H193="최저가",$A193,"")</f>
        <v/>
      </c>
    </row>
    <row r="194" customFormat="false" ht="15" hidden="false" customHeight="false" outlineLevel="0" collapsed="false">
      <c r="A194" s="6"/>
      <c r="B194" s="6"/>
      <c r="C194" s="8" t="str">
        <f aca="false">IF($A194="","",IFERROR(INDEX(품목목록!$B$3:$B$102,MATCH($A194,품목목록!$A$3:$A$102,0)),""))</f>
        <v/>
      </c>
      <c r="D194" s="8" t="str">
        <f aca="false">IF($B194="","",IFERROR(INDEX(업체목록!$B$3:$B$52,MATCH($B194,업체목록!$A$3:$A$52,0)),""))</f>
        <v/>
      </c>
      <c r="E194" s="8" t="str">
        <f aca="false">IF($A194="","",IFERROR(INDEX(품목목록!$D$3:$D$102,MATCH($A194,품목목록!$A$3:$A$102,0)),""))</f>
        <v/>
      </c>
      <c r="F194" s="9"/>
      <c r="G194" s="10" t="str">
        <f aca="false">IF(OR($A194="",$F194=""),"",ROUND($E194*$F194,0))</f>
        <v/>
      </c>
      <c r="H194" s="8" t="str">
        <f aca="false">IF(OR($A194="",$F194=""),"",IF($F194=_xlfn.MINIFS($F$3:$F$502,$A$3:$A$502,$A194),"최저가",""))</f>
        <v/>
      </c>
      <c r="I194" s="8" t="str">
        <f aca="false">IF($H194="최저가",$A194,"")</f>
        <v/>
      </c>
    </row>
    <row r="195" customFormat="false" ht="15" hidden="false" customHeight="false" outlineLevel="0" collapsed="false">
      <c r="A195" s="6"/>
      <c r="B195" s="6"/>
      <c r="C195" s="8" t="str">
        <f aca="false">IF($A195="","",IFERROR(INDEX(품목목록!$B$3:$B$102,MATCH($A195,품목목록!$A$3:$A$102,0)),""))</f>
        <v/>
      </c>
      <c r="D195" s="8" t="str">
        <f aca="false">IF($B195="","",IFERROR(INDEX(업체목록!$B$3:$B$52,MATCH($B195,업체목록!$A$3:$A$52,0)),""))</f>
        <v/>
      </c>
      <c r="E195" s="8" t="str">
        <f aca="false">IF($A195="","",IFERROR(INDEX(품목목록!$D$3:$D$102,MATCH($A195,품목목록!$A$3:$A$102,0)),""))</f>
        <v/>
      </c>
      <c r="F195" s="9"/>
      <c r="G195" s="10" t="str">
        <f aca="false">IF(OR($A195="",$F195=""),"",ROUND($E195*$F195,0))</f>
        <v/>
      </c>
      <c r="H195" s="8" t="str">
        <f aca="false">IF(OR($A195="",$F195=""),"",IF($F195=_xlfn.MINIFS($F$3:$F$502,$A$3:$A$502,$A195),"최저가",""))</f>
        <v/>
      </c>
      <c r="I195" s="8" t="str">
        <f aca="false">IF($H195="최저가",$A195,"")</f>
        <v/>
      </c>
    </row>
    <row r="196" customFormat="false" ht="15" hidden="false" customHeight="false" outlineLevel="0" collapsed="false">
      <c r="A196" s="6"/>
      <c r="B196" s="6"/>
      <c r="C196" s="8" t="str">
        <f aca="false">IF($A196="","",IFERROR(INDEX(품목목록!$B$3:$B$102,MATCH($A196,품목목록!$A$3:$A$102,0)),""))</f>
        <v/>
      </c>
      <c r="D196" s="8" t="str">
        <f aca="false">IF($B196="","",IFERROR(INDEX(업체목록!$B$3:$B$52,MATCH($B196,업체목록!$A$3:$A$52,0)),""))</f>
        <v/>
      </c>
      <c r="E196" s="8" t="str">
        <f aca="false">IF($A196="","",IFERROR(INDEX(품목목록!$D$3:$D$102,MATCH($A196,품목목록!$A$3:$A$102,0)),""))</f>
        <v/>
      </c>
      <c r="F196" s="9"/>
      <c r="G196" s="10" t="str">
        <f aca="false">IF(OR($A196="",$F196=""),"",ROUND($E196*$F196,0))</f>
        <v/>
      </c>
      <c r="H196" s="8" t="str">
        <f aca="false">IF(OR($A196="",$F196=""),"",IF($F196=_xlfn.MINIFS($F$3:$F$502,$A$3:$A$502,$A196),"최저가",""))</f>
        <v/>
      </c>
      <c r="I196" s="8" t="str">
        <f aca="false">IF($H196="최저가",$A196,"")</f>
        <v/>
      </c>
    </row>
    <row r="197" customFormat="false" ht="15" hidden="false" customHeight="false" outlineLevel="0" collapsed="false">
      <c r="A197" s="6"/>
      <c r="B197" s="6"/>
      <c r="C197" s="8" t="str">
        <f aca="false">IF($A197="","",IFERROR(INDEX(품목목록!$B$3:$B$102,MATCH($A197,품목목록!$A$3:$A$102,0)),""))</f>
        <v/>
      </c>
      <c r="D197" s="8" t="str">
        <f aca="false">IF($B197="","",IFERROR(INDEX(업체목록!$B$3:$B$52,MATCH($B197,업체목록!$A$3:$A$52,0)),""))</f>
        <v/>
      </c>
      <c r="E197" s="8" t="str">
        <f aca="false">IF($A197="","",IFERROR(INDEX(품목목록!$D$3:$D$102,MATCH($A197,품목목록!$A$3:$A$102,0)),""))</f>
        <v/>
      </c>
      <c r="F197" s="9"/>
      <c r="G197" s="10" t="str">
        <f aca="false">IF(OR($A197="",$F197=""),"",ROUND($E197*$F197,0))</f>
        <v/>
      </c>
      <c r="H197" s="8" t="str">
        <f aca="false">IF(OR($A197="",$F197=""),"",IF($F197=_xlfn.MINIFS($F$3:$F$502,$A$3:$A$502,$A197),"최저가",""))</f>
        <v/>
      </c>
      <c r="I197" s="8" t="str">
        <f aca="false">IF($H197="최저가",$A197,"")</f>
        <v/>
      </c>
    </row>
    <row r="198" customFormat="false" ht="15" hidden="false" customHeight="false" outlineLevel="0" collapsed="false">
      <c r="A198" s="6"/>
      <c r="B198" s="6"/>
      <c r="C198" s="8" t="str">
        <f aca="false">IF($A198="","",IFERROR(INDEX(품목목록!$B$3:$B$102,MATCH($A198,품목목록!$A$3:$A$102,0)),""))</f>
        <v/>
      </c>
      <c r="D198" s="8" t="str">
        <f aca="false">IF($B198="","",IFERROR(INDEX(업체목록!$B$3:$B$52,MATCH($B198,업체목록!$A$3:$A$52,0)),""))</f>
        <v/>
      </c>
      <c r="E198" s="8" t="str">
        <f aca="false">IF($A198="","",IFERROR(INDEX(품목목록!$D$3:$D$102,MATCH($A198,품목목록!$A$3:$A$102,0)),""))</f>
        <v/>
      </c>
      <c r="F198" s="9"/>
      <c r="G198" s="10" t="str">
        <f aca="false">IF(OR($A198="",$F198=""),"",ROUND($E198*$F198,0))</f>
        <v/>
      </c>
      <c r="H198" s="8" t="str">
        <f aca="false">IF(OR($A198="",$F198=""),"",IF($F198=_xlfn.MINIFS($F$3:$F$502,$A$3:$A$502,$A198),"최저가",""))</f>
        <v/>
      </c>
      <c r="I198" s="8" t="str">
        <f aca="false">IF($H198="최저가",$A198,"")</f>
        <v/>
      </c>
    </row>
    <row r="199" customFormat="false" ht="15" hidden="false" customHeight="false" outlineLevel="0" collapsed="false">
      <c r="A199" s="6"/>
      <c r="B199" s="6"/>
      <c r="C199" s="8" t="str">
        <f aca="false">IF($A199="","",IFERROR(INDEX(품목목록!$B$3:$B$102,MATCH($A199,품목목록!$A$3:$A$102,0)),""))</f>
        <v/>
      </c>
      <c r="D199" s="8" t="str">
        <f aca="false">IF($B199="","",IFERROR(INDEX(업체목록!$B$3:$B$52,MATCH($B199,업체목록!$A$3:$A$52,0)),""))</f>
        <v/>
      </c>
      <c r="E199" s="8" t="str">
        <f aca="false">IF($A199="","",IFERROR(INDEX(품목목록!$D$3:$D$102,MATCH($A199,품목목록!$A$3:$A$102,0)),""))</f>
        <v/>
      </c>
      <c r="F199" s="9"/>
      <c r="G199" s="10" t="str">
        <f aca="false">IF(OR($A199="",$F199=""),"",ROUND($E199*$F199,0))</f>
        <v/>
      </c>
      <c r="H199" s="8" t="str">
        <f aca="false">IF(OR($A199="",$F199=""),"",IF($F199=_xlfn.MINIFS($F$3:$F$502,$A$3:$A$502,$A199),"최저가",""))</f>
        <v/>
      </c>
      <c r="I199" s="8" t="str">
        <f aca="false">IF($H199="최저가",$A199,"")</f>
        <v/>
      </c>
    </row>
    <row r="200" customFormat="false" ht="15" hidden="false" customHeight="false" outlineLevel="0" collapsed="false">
      <c r="A200" s="6"/>
      <c r="B200" s="6"/>
      <c r="C200" s="8" t="str">
        <f aca="false">IF($A200="","",IFERROR(INDEX(품목목록!$B$3:$B$102,MATCH($A200,품목목록!$A$3:$A$102,0)),""))</f>
        <v/>
      </c>
      <c r="D200" s="8" t="str">
        <f aca="false">IF($B200="","",IFERROR(INDEX(업체목록!$B$3:$B$52,MATCH($B200,업체목록!$A$3:$A$52,0)),""))</f>
        <v/>
      </c>
      <c r="E200" s="8" t="str">
        <f aca="false">IF($A200="","",IFERROR(INDEX(품목목록!$D$3:$D$102,MATCH($A200,품목목록!$A$3:$A$102,0)),""))</f>
        <v/>
      </c>
      <c r="F200" s="9"/>
      <c r="G200" s="10" t="str">
        <f aca="false">IF(OR($A200="",$F200=""),"",ROUND($E200*$F200,0))</f>
        <v/>
      </c>
      <c r="H200" s="8" t="str">
        <f aca="false">IF(OR($A200="",$F200=""),"",IF($F200=_xlfn.MINIFS($F$3:$F$502,$A$3:$A$502,$A200),"최저가",""))</f>
        <v/>
      </c>
      <c r="I200" s="8" t="str">
        <f aca="false">IF($H200="최저가",$A200,"")</f>
        <v/>
      </c>
    </row>
    <row r="201" customFormat="false" ht="15" hidden="false" customHeight="false" outlineLevel="0" collapsed="false">
      <c r="A201" s="6"/>
      <c r="B201" s="6"/>
      <c r="C201" s="8" t="str">
        <f aca="false">IF($A201="","",IFERROR(INDEX(품목목록!$B$3:$B$102,MATCH($A201,품목목록!$A$3:$A$102,0)),""))</f>
        <v/>
      </c>
      <c r="D201" s="8" t="str">
        <f aca="false">IF($B201="","",IFERROR(INDEX(업체목록!$B$3:$B$52,MATCH($B201,업체목록!$A$3:$A$52,0)),""))</f>
        <v/>
      </c>
      <c r="E201" s="8" t="str">
        <f aca="false">IF($A201="","",IFERROR(INDEX(품목목록!$D$3:$D$102,MATCH($A201,품목목록!$A$3:$A$102,0)),""))</f>
        <v/>
      </c>
      <c r="F201" s="9"/>
      <c r="G201" s="10" t="str">
        <f aca="false">IF(OR($A201="",$F201=""),"",ROUND($E201*$F201,0))</f>
        <v/>
      </c>
      <c r="H201" s="8" t="str">
        <f aca="false">IF(OR($A201="",$F201=""),"",IF($F201=_xlfn.MINIFS($F$3:$F$502,$A$3:$A$502,$A201),"최저가",""))</f>
        <v/>
      </c>
      <c r="I201" s="8" t="str">
        <f aca="false">IF($H201="최저가",$A201,"")</f>
        <v/>
      </c>
    </row>
    <row r="202" customFormat="false" ht="15" hidden="false" customHeight="false" outlineLevel="0" collapsed="false">
      <c r="A202" s="6"/>
      <c r="B202" s="6"/>
      <c r="C202" s="8" t="str">
        <f aca="false">IF($A202="","",IFERROR(INDEX(품목목록!$B$3:$B$102,MATCH($A202,품목목록!$A$3:$A$102,0)),""))</f>
        <v/>
      </c>
      <c r="D202" s="8" t="str">
        <f aca="false">IF($B202="","",IFERROR(INDEX(업체목록!$B$3:$B$52,MATCH($B202,업체목록!$A$3:$A$52,0)),""))</f>
        <v/>
      </c>
      <c r="E202" s="8" t="str">
        <f aca="false">IF($A202="","",IFERROR(INDEX(품목목록!$D$3:$D$102,MATCH($A202,품목목록!$A$3:$A$102,0)),""))</f>
        <v/>
      </c>
      <c r="F202" s="9"/>
      <c r="G202" s="10" t="str">
        <f aca="false">IF(OR($A202="",$F202=""),"",ROUND($E202*$F202,0))</f>
        <v/>
      </c>
      <c r="H202" s="8" t="str">
        <f aca="false">IF(OR($A202="",$F202=""),"",IF($F202=_xlfn.MINIFS($F$3:$F$502,$A$3:$A$502,$A202),"최저가",""))</f>
        <v/>
      </c>
      <c r="I202" s="8" t="str">
        <f aca="false">IF($H202="최저가",$A202,"")</f>
        <v/>
      </c>
    </row>
    <row r="203" customFormat="false" ht="15" hidden="false" customHeight="false" outlineLevel="0" collapsed="false">
      <c r="A203" s="6"/>
      <c r="B203" s="6"/>
      <c r="C203" s="8" t="str">
        <f aca="false">IF($A203="","",IFERROR(INDEX(품목목록!$B$3:$B$102,MATCH($A203,품목목록!$A$3:$A$102,0)),""))</f>
        <v/>
      </c>
      <c r="D203" s="8" t="str">
        <f aca="false">IF($B203="","",IFERROR(INDEX(업체목록!$B$3:$B$52,MATCH($B203,업체목록!$A$3:$A$52,0)),""))</f>
        <v/>
      </c>
      <c r="E203" s="8" t="str">
        <f aca="false">IF($A203="","",IFERROR(INDEX(품목목록!$D$3:$D$102,MATCH($A203,품목목록!$A$3:$A$102,0)),""))</f>
        <v/>
      </c>
      <c r="F203" s="9"/>
      <c r="G203" s="10" t="str">
        <f aca="false">IF(OR($A203="",$F203=""),"",ROUND($E203*$F203,0))</f>
        <v/>
      </c>
      <c r="H203" s="8" t="str">
        <f aca="false">IF(OR($A203="",$F203=""),"",IF($F203=_xlfn.MINIFS($F$3:$F$502,$A$3:$A$502,$A203),"최저가",""))</f>
        <v/>
      </c>
      <c r="I203" s="8" t="str">
        <f aca="false">IF($H203="최저가",$A203,"")</f>
        <v/>
      </c>
    </row>
    <row r="204" customFormat="false" ht="15" hidden="false" customHeight="false" outlineLevel="0" collapsed="false">
      <c r="A204" s="6"/>
      <c r="B204" s="6"/>
      <c r="C204" s="8" t="str">
        <f aca="false">IF($A204="","",IFERROR(INDEX(품목목록!$B$3:$B$102,MATCH($A204,품목목록!$A$3:$A$102,0)),""))</f>
        <v/>
      </c>
      <c r="D204" s="8" t="str">
        <f aca="false">IF($B204="","",IFERROR(INDEX(업체목록!$B$3:$B$52,MATCH($B204,업체목록!$A$3:$A$52,0)),""))</f>
        <v/>
      </c>
      <c r="E204" s="8" t="str">
        <f aca="false">IF($A204="","",IFERROR(INDEX(품목목록!$D$3:$D$102,MATCH($A204,품목목록!$A$3:$A$102,0)),""))</f>
        <v/>
      </c>
      <c r="F204" s="9"/>
      <c r="G204" s="10" t="str">
        <f aca="false">IF(OR($A204="",$F204=""),"",ROUND($E204*$F204,0))</f>
        <v/>
      </c>
      <c r="H204" s="8" t="str">
        <f aca="false">IF(OR($A204="",$F204=""),"",IF($F204=_xlfn.MINIFS($F$3:$F$502,$A$3:$A$502,$A204),"최저가",""))</f>
        <v/>
      </c>
      <c r="I204" s="8" t="str">
        <f aca="false">IF($H204="최저가",$A204,"")</f>
        <v/>
      </c>
    </row>
    <row r="205" customFormat="false" ht="15" hidden="false" customHeight="false" outlineLevel="0" collapsed="false">
      <c r="A205" s="6"/>
      <c r="B205" s="6"/>
      <c r="C205" s="8" t="str">
        <f aca="false">IF($A205="","",IFERROR(INDEX(품목목록!$B$3:$B$102,MATCH($A205,품목목록!$A$3:$A$102,0)),""))</f>
        <v/>
      </c>
      <c r="D205" s="8" t="str">
        <f aca="false">IF($B205="","",IFERROR(INDEX(업체목록!$B$3:$B$52,MATCH($B205,업체목록!$A$3:$A$52,0)),""))</f>
        <v/>
      </c>
      <c r="E205" s="8" t="str">
        <f aca="false">IF($A205="","",IFERROR(INDEX(품목목록!$D$3:$D$102,MATCH($A205,품목목록!$A$3:$A$102,0)),""))</f>
        <v/>
      </c>
      <c r="F205" s="9"/>
      <c r="G205" s="10" t="str">
        <f aca="false">IF(OR($A205="",$F205=""),"",ROUND($E205*$F205,0))</f>
        <v/>
      </c>
      <c r="H205" s="8" t="str">
        <f aca="false">IF(OR($A205="",$F205=""),"",IF($F205=_xlfn.MINIFS($F$3:$F$502,$A$3:$A$502,$A205),"최저가",""))</f>
        <v/>
      </c>
      <c r="I205" s="8" t="str">
        <f aca="false">IF($H205="최저가",$A205,"")</f>
        <v/>
      </c>
    </row>
    <row r="206" customFormat="false" ht="15" hidden="false" customHeight="false" outlineLevel="0" collapsed="false">
      <c r="A206" s="6"/>
      <c r="B206" s="6"/>
      <c r="C206" s="8" t="str">
        <f aca="false">IF($A206="","",IFERROR(INDEX(품목목록!$B$3:$B$102,MATCH($A206,품목목록!$A$3:$A$102,0)),""))</f>
        <v/>
      </c>
      <c r="D206" s="8" t="str">
        <f aca="false">IF($B206="","",IFERROR(INDEX(업체목록!$B$3:$B$52,MATCH($B206,업체목록!$A$3:$A$52,0)),""))</f>
        <v/>
      </c>
      <c r="E206" s="8" t="str">
        <f aca="false">IF($A206="","",IFERROR(INDEX(품목목록!$D$3:$D$102,MATCH($A206,품목목록!$A$3:$A$102,0)),""))</f>
        <v/>
      </c>
      <c r="F206" s="9"/>
      <c r="G206" s="10" t="str">
        <f aca="false">IF(OR($A206="",$F206=""),"",ROUND($E206*$F206,0))</f>
        <v/>
      </c>
      <c r="H206" s="8" t="str">
        <f aca="false">IF(OR($A206="",$F206=""),"",IF($F206=_xlfn.MINIFS($F$3:$F$502,$A$3:$A$502,$A206),"최저가",""))</f>
        <v/>
      </c>
      <c r="I206" s="8" t="str">
        <f aca="false">IF($H206="최저가",$A206,"")</f>
        <v/>
      </c>
    </row>
    <row r="207" customFormat="false" ht="15" hidden="false" customHeight="false" outlineLevel="0" collapsed="false">
      <c r="A207" s="6"/>
      <c r="B207" s="6"/>
      <c r="C207" s="8" t="str">
        <f aca="false">IF($A207="","",IFERROR(INDEX(품목목록!$B$3:$B$102,MATCH($A207,품목목록!$A$3:$A$102,0)),""))</f>
        <v/>
      </c>
      <c r="D207" s="8" t="str">
        <f aca="false">IF($B207="","",IFERROR(INDEX(업체목록!$B$3:$B$52,MATCH($B207,업체목록!$A$3:$A$52,0)),""))</f>
        <v/>
      </c>
      <c r="E207" s="8" t="str">
        <f aca="false">IF($A207="","",IFERROR(INDEX(품목목록!$D$3:$D$102,MATCH($A207,품목목록!$A$3:$A$102,0)),""))</f>
        <v/>
      </c>
      <c r="F207" s="9"/>
      <c r="G207" s="10" t="str">
        <f aca="false">IF(OR($A207="",$F207=""),"",ROUND($E207*$F207,0))</f>
        <v/>
      </c>
      <c r="H207" s="8" t="str">
        <f aca="false">IF(OR($A207="",$F207=""),"",IF($F207=_xlfn.MINIFS($F$3:$F$502,$A$3:$A$502,$A207),"최저가",""))</f>
        <v/>
      </c>
      <c r="I207" s="8" t="str">
        <f aca="false">IF($H207="최저가",$A207,"")</f>
        <v/>
      </c>
    </row>
    <row r="208" customFormat="false" ht="15" hidden="false" customHeight="false" outlineLevel="0" collapsed="false">
      <c r="A208" s="6"/>
      <c r="B208" s="6"/>
      <c r="C208" s="8" t="str">
        <f aca="false">IF($A208="","",IFERROR(INDEX(품목목록!$B$3:$B$102,MATCH($A208,품목목록!$A$3:$A$102,0)),""))</f>
        <v/>
      </c>
      <c r="D208" s="8" t="str">
        <f aca="false">IF($B208="","",IFERROR(INDEX(업체목록!$B$3:$B$52,MATCH($B208,업체목록!$A$3:$A$52,0)),""))</f>
        <v/>
      </c>
      <c r="E208" s="8" t="str">
        <f aca="false">IF($A208="","",IFERROR(INDEX(품목목록!$D$3:$D$102,MATCH($A208,품목목록!$A$3:$A$102,0)),""))</f>
        <v/>
      </c>
      <c r="F208" s="9"/>
      <c r="G208" s="10" t="str">
        <f aca="false">IF(OR($A208="",$F208=""),"",ROUND($E208*$F208,0))</f>
        <v/>
      </c>
      <c r="H208" s="8" t="str">
        <f aca="false">IF(OR($A208="",$F208=""),"",IF($F208=_xlfn.MINIFS($F$3:$F$502,$A$3:$A$502,$A208),"최저가",""))</f>
        <v/>
      </c>
      <c r="I208" s="8" t="str">
        <f aca="false">IF($H208="최저가",$A208,"")</f>
        <v/>
      </c>
    </row>
    <row r="209" customFormat="false" ht="15" hidden="false" customHeight="false" outlineLevel="0" collapsed="false">
      <c r="A209" s="6"/>
      <c r="B209" s="6"/>
      <c r="C209" s="8" t="str">
        <f aca="false">IF($A209="","",IFERROR(INDEX(품목목록!$B$3:$B$102,MATCH($A209,품목목록!$A$3:$A$102,0)),""))</f>
        <v/>
      </c>
      <c r="D209" s="8" t="str">
        <f aca="false">IF($B209="","",IFERROR(INDEX(업체목록!$B$3:$B$52,MATCH($B209,업체목록!$A$3:$A$52,0)),""))</f>
        <v/>
      </c>
      <c r="E209" s="8" t="str">
        <f aca="false">IF($A209="","",IFERROR(INDEX(품목목록!$D$3:$D$102,MATCH($A209,품목목록!$A$3:$A$102,0)),""))</f>
        <v/>
      </c>
      <c r="F209" s="9"/>
      <c r="G209" s="10" t="str">
        <f aca="false">IF(OR($A209="",$F209=""),"",ROUND($E209*$F209,0))</f>
        <v/>
      </c>
      <c r="H209" s="8" t="str">
        <f aca="false">IF(OR($A209="",$F209=""),"",IF($F209=_xlfn.MINIFS($F$3:$F$502,$A$3:$A$502,$A209),"최저가",""))</f>
        <v/>
      </c>
      <c r="I209" s="8" t="str">
        <f aca="false">IF($H209="최저가",$A209,"")</f>
        <v/>
      </c>
    </row>
    <row r="210" customFormat="false" ht="15" hidden="false" customHeight="false" outlineLevel="0" collapsed="false">
      <c r="A210" s="6"/>
      <c r="B210" s="6"/>
      <c r="C210" s="8" t="str">
        <f aca="false">IF($A210="","",IFERROR(INDEX(품목목록!$B$3:$B$102,MATCH($A210,품목목록!$A$3:$A$102,0)),""))</f>
        <v/>
      </c>
      <c r="D210" s="8" t="str">
        <f aca="false">IF($B210="","",IFERROR(INDEX(업체목록!$B$3:$B$52,MATCH($B210,업체목록!$A$3:$A$52,0)),""))</f>
        <v/>
      </c>
      <c r="E210" s="8" t="str">
        <f aca="false">IF($A210="","",IFERROR(INDEX(품목목록!$D$3:$D$102,MATCH($A210,품목목록!$A$3:$A$102,0)),""))</f>
        <v/>
      </c>
      <c r="F210" s="9"/>
      <c r="G210" s="10" t="str">
        <f aca="false">IF(OR($A210="",$F210=""),"",ROUND($E210*$F210,0))</f>
        <v/>
      </c>
      <c r="H210" s="8" t="str">
        <f aca="false">IF(OR($A210="",$F210=""),"",IF($F210=_xlfn.MINIFS($F$3:$F$502,$A$3:$A$502,$A210),"최저가",""))</f>
        <v/>
      </c>
      <c r="I210" s="8" t="str">
        <f aca="false">IF($H210="최저가",$A210,"")</f>
        <v/>
      </c>
    </row>
    <row r="211" customFormat="false" ht="15" hidden="false" customHeight="false" outlineLevel="0" collapsed="false">
      <c r="A211" s="6"/>
      <c r="B211" s="6"/>
      <c r="C211" s="8" t="str">
        <f aca="false">IF($A211="","",IFERROR(INDEX(품목목록!$B$3:$B$102,MATCH($A211,품목목록!$A$3:$A$102,0)),""))</f>
        <v/>
      </c>
      <c r="D211" s="8" t="str">
        <f aca="false">IF($B211="","",IFERROR(INDEX(업체목록!$B$3:$B$52,MATCH($B211,업체목록!$A$3:$A$52,0)),""))</f>
        <v/>
      </c>
      <c r="E211" s="8" t="str">
        <f aca="false">IF($A211="","",IFERROR(INDEX(품목목록!$D$3:$D$102,MATCH($A211,품목목록!$A$3:$A$102,0)),""))</f>
        <v/>
      </c>
      <c r="F211" s="9"/>
      <c r="G211" s="10" t="str">
        <f aca="false">IF(OR($A211="",$F211=""),"",ROUND($E211*$F211,0))</f>
        <v/>
      </c>
      <c r="H211" s="8" t="str">
        <f aca="false">IF(OR($A211="",$F211=""),"",IF($F211=_xlfn.MINIFS($F$3:$F$502,$A$3:$A$502,$A211),"최저가",""))</f>
        <v/>
      </c>
      <c r="I211" s="8" t="str">
        <f aca="false">IF($H211="최저가",$A211,"")</f>
        <v/>
      </c>
    </row>
    <row r="212" customFormat="false" ht="15" hidden="false" customHeight="false" outlineLevel="0" collapsed="false">
      <c r="A212" s="6"/>
      <c r="B212" s="6"/>
      <c r="C212" s="8" t="str">
        <f aca="false">IF($A212="","",IFERROR(INDEX(품목목록!$B$3:$B$102,MATCH($A212,품목목록!$A$3:$A$102,0)),""))</f>
        <v/>
      </c>
      <c r="D212" s="8" t="str">
        <f aca="false">IF($B212="","",IFERROR(INDEX(업체목록!$B$3:$B$52,MATCH($B212,업체목록!$A$3:$A$52,0)),""))</f>
        <v/>
      </c>
      <c r="E212" s="8" t="str">
        <f aca="false">IF($A212="","",IFERROR(INDEX(품목목록!$D$3:$D$102,MATCH($A212,품목목록!$A$3:$A$102,0)),""))</f>
        <v/>
      </c>
      <c r="F212" s="9"/>
      <c r="G212" s="10" t="str">
        <f aca="false">IF(OR($A212="",$F212=""),"",ROUND($E212*$F212,0))</f>
        <v/>
      </c>
      <c r="H212" s="8" t="str">
        <f aca="false">IF(OR($A212="",$F212=""),"",IF($F212=_xlfn.MINIFS($F$3:$F$502,$A$3:$A$502,$A212),"최저가",""))</f>
        <v/>
      </c>
      <c r="I212" s="8" t="str">
        <f aca="false">IF($H212="최저가",$A212,"")</f>
        <v/>
      </c>
    </row>
    <row r="213" customFormat="false" ht="15" hidden="false" customHeight="false" outlineLevel="0" collapsed="false">
      <c r="A213" s="6"/>
      <c r="B213" s="6"/>
      <c r="C213" s="8" t="str">
        <f aca="false">IF($A213="","",IFERROR(INDEX(품목목록!$B$3:$B$102,MATCH($A213,품목목록!$A$3:$A$102,0)),""))</f>
        <v/>
      </c>
      <c r="D213" s="8" t="str">
        <f aca="false">IF($B213="","",IFERROR(INDEX(업체목록!$B$3:$B$52,MATCH($B213,업체목록!$A$3:$A$52,0)),""))</f>
        <v/>
      </c>
      <c r="E213" s="8" t="str">
        <f aca="false">IF($A213="","",IFERROR(INDEX(품목목록!$D$3:$D$102,MATCH($A213,품목목록!$A$3:$A$102,0)),""))</f>
        <v/>
      </c>
      <c r="F213" s="9"/>
      <c r="G213" s="10" t="str">
        <f aca="false">IF(OR($A213="",$F213=""),"",ROUND($E213*$F213,0))</f>
        <v/>
      </c>
      <c r="H213" s="8" t="str">
        <f aca="false">IF(OR($A213="",$F213=""),"",IF($F213=_xlfn.MINIFS($F$3:$F$502,$A$3:$A$502,$A213),"최저가",""))</f>
        <v/>
      </c>
      <c r="I213" s="8" t="str">
        <f aca="false">IF($H213="최저가",$A213,"")</f>
        <v/>
      </c>
    </row>
    <row r="214" customFormat="false" ht="15" hidden="false" customHeight="false" outlineLevel="0" collapsed="false">
      <c r="A214" s="6"/>
      <c r="B214" s="6"/>
      <c r="C214" s="8" t="str">
        <f aca="false">IF($A214="","",IFERROR(INDEX(품목목록!$B$3:$B$102,MATCH($A214,품목목록!$A$3:$A$102,0)),""))</f>
        <v/>
      </c>
      <c r="D214" s="8" t="str">
        <f aca="false">IF($B214="","",IFERROR(INDEX(업체목록!$B$3:$B$52,MATCH($B214,업체목록!$A$3:$A$52,0)),""))</f>
        <v/>
      </c>
      <c r="E214" s="8" t="str">
        <f aca="false">IF($A214="","",IFERROR(INDEX(품목목록!$D$3:$D$102,MATCH($A214,품목목록!$A$3:$A$102,0)),""))</f>
        <v/>
      </c>
      <c r="F214" s="9"/>
      <c r="G214" s="10" t="str">
        <f aca="false">IF(OR($A214="",$F214=""),"",ROUND($E214*$F214,0))</f>
        <v/>
      </c>
      <c r="H214" s="8" t="str">
        <f aca="false">IF(OR($A214="",$F214=""),"",IF($F214=_xlfn.MINIFS($F$3:$F$502,$A$3:$A$502,$A214),"최저가",""))</f>
        <v/>
      </c>
      <c r="I214" s="8" t="str">
        <f aca="false">IF($H214="최저가",$A214,"")</f>
        <v/>
      </c>
    </row>
    <row r="215" customFormat="false" ht="15" hidden="false" customHeight="false" outlineLevel="0" collapsed="false">
      <c r="A215" s="6"/>
      <c r="B215" s="6"/>
      <c r="C215" s="8" t="str">
        <f aca="false">IF($A215="","",IFERROR(INDEX(품목목록!$B$3:$B$102,MATCH($A215,품목목록!$A$3:$A$102,0)),""))</f>
        <v/>
      </c>
      <c r="D215" s="8" t="str">
        <f aca="false">IF($B215="","",IFERROR(INDEX(업체목록!$B$3:$B$52,MATCH($B215,업체목록!$A$3:$A$52,0)),""))</f>
        <v/>
      </c>
      <c r="E215" s="8" t="str">
        <f aca="false">IF($A215="","",IFERROR(INDEX(품목목록!$D$3:$D$102,MATCH($A215,품목목록!$A$3:$A$102,0)),""))</f>
        <v/>
      </c>
      <c r="F215" s="9"/>
      <c r="G215" s="10" t="str">
        <f aca="false">IF(OR($A215="",$F215=""),"",ROUND($E215*$F215,0))</f>
        <v/>
      </c>
      <c r="H215" s="8" t="str">
        <f aca="false">IF(OR($A215="",$F215=""),"",IF($F215=_xlfn.MINIFS($F$3:$F$502,$A$3:$A$502,$A215),"최저가",""))</f>
        <v/>
      </c>
      <c r="I215" s="8" t="str">
        <f aca="false">IF($H215="최저가",$A215,"")</f>
        <v/>
      </c>
    </row>
    <row r="216" customFormat="false" ht="15" hidden="false" customHeight="false" outlineLevel="0" collapsed="false">
      <c r="A216" s="6"/>
      <c r="B216" s="6"/>
      <c r="C216" s="8" t="str">
        <f aca="false">IF($A216="","",IFERROR(INDEX(품목목록!$B$3:$B$102,MATCH($A216,품목목록!$A$3:$A$102,0)),""))</f>
        <v/>
      </c>
      <c r="D216" s="8" t="str">
        <f aca="false">IF($B216="","",IFERROR(INDEX(업체목록!$B$3:$B$52,MATCH($B216,업체목록!$A$3:$A$52,0)),""))</f>
        <v/>
      </c>
      <c r="E216" s="8" t="str">
        <f aca="false">IF($A216="","",IFERROR(INDEX(품목목록!$D$3:$D$102,MATCH($A216,품목목록!$A$3:$A$102,0)),""))</f>
        <v/>
      </c>
      <c r="F216" s="9"/>
      <c r="G216" s="10" t="str">
        <f aca="false">IF(OR($A216="",$F216=""),"",ROUND($E216*$F216,0))</f>
        <v/>
      </c>
      <c r="H216" s="8" t="str">
        <f aca="false">IF(OR($A216="",$F216=""),"",IF($F216=_xlfn.MINIFS($F$3:$F$502,$A$3:$A$502,$A216),"최저가",""))</f>
        <v/>
      </c>
      <c r="I216" s="8" t="str">
        <f aca="false">IF($H216="최저가",$A216,"")</f>
        <v/>
      </c>
    </row>
    <row r="217" customFormat="false" ht="15" hidden="false" customHeight="false" outlineLevel="0" collapsed="false">
      <c r="A217" s="6"/>
      <c r="B217" s="6"/>
      <c r="C217" s="8" t="str">
        <f aca="false">IF($A217="","",IFERROR(INDEX(품목목록!$B$3:$B$102,MATCH($A217,품목목록!$A$3:$A$102,0)),""))</f>
        <v/>
      </c>
      <c r="D217" s="8" t="str">
        <f aca="false">IF($B217="","",IFERROR(INDEX(업체목록!$B$3:$B$52,MATCH($B217,업체목록!$A$3:$A$52,0)),""))</f>
        <v/>
      </c>
      <c r="E217" s="8" t="str">
        <f aca="false">IF($A217="","",IFERROR(INDEX(품목목록!$D$3:$D$102,MATCH($A217,품목목록!$A$3:$A$102,0)),""))</f>
        <v/>
      </c>
      <c r="F217" s="9"/>
      <c r="G217" s="10" t="str">
        <f aca="false">IF(OR($A217="",$F217=""),"",ROUND($E217*$F217,0))</f>
        <v/>
      </c>
      <c r="H217" s="8" t="str">
        <f aca="false">IF(OR($A217="",$F217=""),"",IF($F217=_xlfn.MINIFS($F$3:$F$502,$A$3:$A$502,$A217),"최저가",""))</f>
        <v/>
      </c>
      <c r="I217" s="8" t="str">
        <f aca="false">IF($H217="최저가",$A217,"")</f>
        <v/>
      </c>
    </row>
    <row r="218" customFormat="false" ht="15" hidden="false" customHeight="false" outlineLevel="0" collapsed="false">
      <c r="A218" s="6"/>
      <c r="B218" s="6"/>
      <c r="C218" s="8" t="str">
        <f aca="false">IF($A218="","",IFERROR(INDEX(품목목록!$B$3:$B$102,MATCH($A218,품목목록!$A$3:$A$102,0)),""))</f>
        <v/>
      </c>
      <c r="D218" s="8" t="str">
        <f aca="false">IF($B218="","",IFERROR(INDEX(업체목록!$B$3:$B$52,MATCH($B218,업체목록!$A$3:$A$52,0)),""))</f>
        <v/>
      </c>
      <c r="E218" s="8" t="str">
        <f aca="false">IF($A218="","",IFERROR(INDEX(품목목록!$D$3:$D$102,MATCH($A218,품목목록!$A$3:$A$102,0)),""))</f>
        <v/>
      </c>
      <c r="F218" s="9"/>
      <c r="G218" s="10" t="str">
        <f aca="false">IF(OR($A218="",$F218=""),"",ROUND($E218*$F218,0))</f>
        <v/>
      </c>
      <c r="H218" s="8" t="str">
        <f aca="false">IF(OR($A218="",$F218=""),"",IF($F218=_xlfn.MINIFS($F$3:$F$502,$A$3:$A$502,$A218),"최저가",""))</f>
        <v/>
      </c>
      <c r="I218" s="8" t="str">
        <f aca="false">IF($H218="최저가",$A218,"")</f>
        <v/>
      </c>
    </row>
    <row r="219" customFormat="false" ht="15" hidden="false" customHeight="false" outlineLevel="0" collapsed="false">
      <c r="A219" s="6"/>
      <c r="B219" s="6"/>
      <c r="C219" s="8" t="str">
        <f aca="false">IF($A219="","",IFERROR(INDEX(품목목록!$B$3:$B$102,MATCH($A219,품목목록!$A$3:$A$102,0)),""))</f>
        <v/>
      </c>
      <c r="D219" s="8" t="str">
        <f aca="false">IF($B219="","",IFERROR(INDEX(업체목록!$B$3:$B$52,MATCH($B219,업체목록!$A$3:$A$52,0)),""))</f>
        <v/>
      </c>
      <c r="E219" s="8" t="str">
        <f aca="false">IF($A219="","",IFERROR(INDEX(품목목록!$D$3:$D$102,MATCH($A219,품목목록!$A$3:$A$102,0)),""))</f>
        <v/>
      </c>
      <c r="F219" s="9"/>
      <c r="G219" s="10" t="str">
        <f aca="false">IF(OR($A219="",$F219=""),"",ROUND($E219*$F219,0))</f>
        <v/>
      </c>
      <c r="H219" s="8" t="str">
        <f aca="false">IF(OR($A219="",$F219=""),"",IF($F219=_xlfn.MINIFS($F$3:$F$502,$A$3:$A$502,$A219),"최저가",""))</f>
        <v/>
      </c>
      <c r="I219" s="8" t="str">
        <f aca="false">IF($H219="최저가",$A219,"")</f>
        <v/>
      </c>
    </row>
    <row r="220" customFormat="false" ht="15" hidden="false" customHeight="false" outlineLevel="0" collapsed="false">
      <c r="A220" s="6"/>
      <c r="B220" s="6"/>
      <c r="C220" s="8" t="str">
        <f aca="false">IF($A220="","",IFERROR(INDEX(품목목록!$B$3:$B$102,MATCH($A220,품목목록!$A$3:$A$102,0)),""))</f>
        <v/>
      </c>
      <c r="D220" s="8" t="str">
        <f aca="false">IF($B220="","",IFERROR(INDEX(업체목록!$B$3:$B$52,MATCH($B220,업체목록!$A$3:$A$52,0)),""))</f>
        <v/>
      </c>
      <c r="E220" s="8" t="str">
        <f aca="false">IF($A220="","",IFERROR(INDEX(품목목록!$D$3:$D$102,MATCH($A220,품목목록!$A$3:$A$102,0)),""))</f>
        <v/>
      </c>
      <c r="F220" s="9"/>
      <c r="G220" s="10" t="str">
        <f aca="false">IF(OR($A220="",$F220=""),"",ROUND($E220*$F220,0))</f>
        <v/>
      </c>
      <c r="H220" s="8" t="str">
        <f aca="false">IF(OR($A220="",$F220=""),"",IF($F220=_xlfn.MINIFS($F$3:$F$502,$A$3:$A$502,$A220),"최저가",""))</f>
        <v/>
      </c>
      <c r="I220" s="8" t="str">
        <f aca="false">IF($H220="최저가",$A220,"")</f>
        <v/>
      </c>
    </row>
    <row r="221" customFormat="false" ht="15" hidden="false" customHeight="false" outlineLevel="0" collapsed="false">
      <c r="A221" s="6"/>
      <c r="B221" s="6"/>
      <c r="C221" s="8" t="str">
        <f aca="false">IF($A221="","",IFERROR(INDEX(품목목록!$B$3:$B$102,MATCH($A221,품목목록!$A$3:$A$102,0)),""))</f>
        <v/>
      </c>
      <c r="D221" s="8" t="str">
        <f aca="false">IF($B221="","",IFERROR(INDEX(업체목록!$B$3:$B$52,MATCH($B221,업체목록!$A$3:$A$52,0)),""))</f>
        <v/>
      </c>
      <c r="E221" s="8" t="str">
        <f aca="false">IF($A221="","",IFERROR(INDEX(품목목록!$D$3:$D$102,MATCH($A221,품목목록!$A$3:$A$102,0)),""))</f>
        <v/>
      </c>
      <c r="F221" s="9"/>
      <c r="G221" s="10" t="str">
        <f aca="false">IF(OR($A221="",$F221=""),"",ROUND($E221*$F221,0))</f>
        <v/>
      </c>
      <c r="H221" s="8" t="str">
        <f aca="false">IF(OR($A221="",$F221=""),"",IF($F221=_xlfn.MINIFS($F$3:$F$502,$A$3:$A$502,$A221),"최저가",""))</f>
        <v/>
      </c>
      <c r="I221" s="8" t="str">
        <f aca="false">IF($H221="최저가",$A221,"")</f>
        <v/>
      </c>
    </row>
    <row r="222" customFormat="false" ht="15" hidden="false" customHeight="false" outlineLevel="0" collapsed="false">
      <c r="A222" s="6"/>
      <c r="B222" s="6"/>
      <c r="C222" s="8" t="str">
        <f aca="false">IF($A222="","",IFERROR(INDEX(품목목록!$B$3:$B$102,MATCH($A222,품목목록!$A$3:$A$102,0)),""))</f>
        <v/>
      </c>
      <c r="D222" s="8" t="str">
        <f aca="false">IF($B222="","",IFERROR(INDEX(업체목록!$B$3:$B$52,MATCH($B222,업체목록!$A$3:$A$52,0)),""))</f>
        <v/>
      </c>
      <c r="E222" s="8" t="str">
        <f aca="false">IF($A222="","",IFERROR(INDEX(품목목록!$D$3:$D$102,MATCH($A222,품목목록!$A$3:$A$102,0)),""))</f>
        <v/>
      </c>
      <c r="F222" s="9"/>
      <c r="G222" s="10" t="str">
        <f aca="false">IF(OR($A222="",$F222=""),"",ROUND($E222*$F222,0))</f>
        <v/>
      </c>
      <c r="H222" s="8" t="str">
        <f aca="false">IF(OR($A222="",$F222=""),"",IF($F222=_xlfn.MINIFS($F$3:$F$502,$A$3:$A$502,$A222),"최저가",""))</f>
        <v/>
      </c>
      <c r="I222" s="8" t="str">
        <f aca="false">IF($H222="최저가",$A222,"")</f>
        <v/>
      </c>
    </row>
    <row r="223" customFormat="false" ht="15" hidden="false" customHeight="false" outlineLevel="0" collapsed="false">
      <c r="A223" s="6"/>
      <c r="B223" s="6"/>
      <c r="C223" s="8" t="str">
        <f aca="false">IF($A223="","",IFERROR(INDEX(품목목록!$B$3:$B$102,MATCH($A223,품목목록!$A$3:$A$102,0)),""))</f>
        <v/>
      </c>
      <c r="D223" s="8" t="str">
        <f aca="false">IF($B223="","",IFERROR(INDEX(업체목록!$B$3:$B$52,MATCH($B223,업체목록!$A$3:$A$52,0)),""))</f>
        <v/>
      </c>
      <c r="E223" s="8" t="str">
        <f aca="false">IF($A223="","",IFERROR(INDEX(품목목록!$D$3:$D$102,MATCH($A223,품목목록!$A$3:$A$102,0)),""))</f>
        <v/>
      </c>
      <c r="F223" s="9"/>
      <c r="G223" s="10" t="str">
        <f aca="false">IF(OR($A223="",$F223=""),"",ROUND($E223*$F223,0))</f>
        <v/>
      </c>
      <c r="H223" s="8" t="str">
        <f aca="false">IF(OR($A223="",$F223=""),"",IF($F223=_xlfn.MINIFS($F$3:$F$502,$A$3:$A$502,$A223),"최저가",""))</f>
        <v/>
      </c>
      <c r="I223" s="8" t="str">
        <f aca="false">IF($H223="최저가",$A223,"")</f>
        <v/>
      </c>
    </row>
    <row r="224" customFormat="false" ht="15" hidden="false" customHeight="false" outlineLevel="0" collapsed="false">
      <c r="A224" s="6"/>
      <c r="B224" s="6"/>
      <c r="C224" s="8" t="str">
        <f aca="false">IF($A224="","",IFERROR(INDEX(품목목록!$B$3:$B$102,MATCH($A224,품목목록!$A$3:$A$102,0)),""))</f>
        <v/>
      </c>
      <c r="D224" s="8" t="str">
        <f aca="false">IF($B224="","",IFERROR(INDEX(업체목록!$B$3:$B$52,MATCH($B224,업체목록!$A$3:$A$52,0)),""))</f>
        <v/>
      </c>
      <c r="E224" s="8" t="str">
        <f aca="false">IF($A224="","",IFERROR(INDEX(품목목록!$D$3:$D$102,MATCH($A224,품목목록!$A$3:$A$102,0)),""))</f>
        <v/>
      </c>
      <c r="F224" s="9"/>
      <c r="G224" s="10" t="str">
        <f aca="false">IF(OR($A224="",$F224=""),"",ROUND($E224*$F224,0))</f>
        <v/>
      </c>
      <c r="H224" s="8" t="str">
        <f aca="false">IF(OR($A224="",$F224=""),"",IF($F224=_xlfn.MINIFS($F$3:$F$502,$A$3:$A$502,$A224),"최저가",""))</f>
        <v/>
      </c>
      <c r="I224" s="8" t="str">
        <f aca="false">IF($H224="최저가",$A224,"")</f>
        <v/>
      </c>
    </row>
    <row r="225" customFormat="false" ht="15" hidden="false" customHeight="false" outlineLevel="0" collapsed="false">
      <c r="A225" s="6"/>
      <c r="B225" s="6"/>
      <c r="C225" s="8" t="str">
        <f aca="false">IF($A225="","",IFERROR(INDEX(품목목록!$B$3:$B$102,MATCH($A225,품목목록!$A$3:$A$102,0)),""))</f>
        <v/>
      </c>
      <c r="D225" s="8" t="str">
        <f aca="false">IF($B225="","",IFERROR(INDEX(업체목록!$B$3:$B$52,MATCH($B225,업체목록!$A$3:$A$52,0)),""))</f>
        <v/>
      </c>
      <c r="E225" s="8" t="str">
        <f aca="false">IF($A225="","",IFERROR(INDEX(품목목록!$D$3:$D$102,MATCH($A225,품목목록!$A$3:$A$102,0)),""))</f>
        <v/>
      </c>
      <c r="F225" s="9"/>
      <c r="G225" s="10" t="str">
        <f aca="false">IF(OR($A225="",$F225=""),"",ROUND($E225*$F225,0))</f>
        <v/>
      </c>
      <c r="H225" s="8" t="str">
        <f aca="false">IF(OR($A225="",$F225=""),"",IF($F225=_xlfn.MINIFS($F$3:$F$502,$A$3:$A$502,$A225),"최저가",""))</f>
        <v/>
      </c>
      <c r="I225" s="8" t="str">
        <f aca="false">IF($H225="최저가",$A225,"")</f>
        <v/>
      </c>
    </row>
    <row r="226" customFormat="false" ht="15" hidden="false" customHeight="false" outlineLevel="0" collapsed="false">
      <c r="A226" s="6"/>
      <c r="B226" s="6"/>
      <c r="C226" s="8" t="str">
        <f aca="false">IF($A226="","",IFERROR(INDEX(품목목록!$B$3:$B$102,MATCH($A226,품목목록!$A$3:$A$102,0)),""))</f>
        <v/>
      </c>
      <c r="D226" s="8" t="str">
        <f aca="false">IF($B226="","",IFERROR(INDEX(업체목록!$B$3:$B$52,MATCH($B226,업체목록!$A$3:$A$52,0)),""))</f>
        <v/>
      </c>
      <c r="E226" s="8" t="str">
        <f aca="false">IF($A226="","",IFERROR(INDEX(품목목록!$D$3:$D$102,MATCH($A226,품목목록!$A$3:$A$102,0)),""))</f>
        <v/>
      </c>
      <c r="F226" s="9"/>
      <c r="G226" s="10" t="str">
        <f aca="false">IF(OR($A226="",$F226=""),"",ROUND($E226*$F226,0))</f>
        <v/>
      </c>
      <c r="H226" s="8" t="str">
        <f aca="false">IF(OR($A226="",$F226=""),"",IF($F226=_xlfn.MINIFS($F$3:$F$502,$A$3:$A$502,$A226),"최저가",""))</f>
        <v/>
      </c>
      <c r="I226" s="8" t="str">
        <f aca="false">IF($H226="최저가",$A226,"")</f>
        <v/>
      </c>
    </row>
    <row r="227" customFormat="false" ht="15" hidden="false" customHeight="false" outlineLevel="0" collapsed="false">
      <c r="A227" s="6"/>
      <c r="B227" s="6"/>
      <c r="C227" s="8" t="str">
        <f aca="false">IF($A227="","",IFERROR(INDEX(품목목록!$B$3:$B$102,MATCH($A227,품목목록!$A$3:$A$102,0)),""))</f>
        <v/>
      </c>
      <c r="D227" s="8" t="str">
        <f aca="false">IF($B227="","",IFERROR(INDEX(업체목록!$B$3:$B$52,MATCH($B227,업체목록!$A$3:$A$52,0)),""))</f>
        <v/>
      </c>
      <c r="E227" s="8" t="str">
        <f aca="false">IF($A227="","",IFERROR(INDEX(품목목록!$D$3:$D$102,MATCH($A227,품목목록!$A$3:$A$102,0)),""))</f>
        <v/>
      </c>
      <c r="F227" s="9"/>
      <c r="G227" s="10" t="str">
        <f aca="false">IF(OR($A227="",$F227=""),"",ROUND($E227*$F227,0))</f>
        <v/>
      </c>
      <c r="H227" s="8" t="str">
        <f aca="false">IF(OR($A227="",$F227=""),"",IF($F227=_xlfn.MINIFS($F$3:$F$502,$A$3:$A$502,$A227),"최저가",""))</f>
        <v/>
      </c>
      <c r="I227" s="8" t="str">
        <f aca="false">IF($H227="최저가",$A227,"")</f>
        <v/>
      </c>
    </row>
    <row r="228" customFormat="false" ht="15" hidden="false" customHeight="false" outlineLevel="0" collapsed="false">
      <c r="A228" s="6"/>
      <c r="B228" s="6"/>
      <c r="C228" s="8" t="str">
        <f aca="false">IF($A228="","",IFERROR(INDEX(품목목록!$B$3:$B$102,MATCH($A228,품목목록!$A$3:$A$102,0)),""))</f>
        <v/>
      </c>
      <c r="D228" s="8" t="str">
        <f aca="false">IF($B228="","",IFERROR(INDEX(업체목록!$B$3:$B$52,MATCH($B228,업체목록!$A$3:$A$52,0)),""))</f>
        <v/>
      </c>
      <c r="E228" s="8" t="str">
        <f aca="false">IF($A228="","",IFERROR(INDEX(품목목록!$D$3:$D$102,MATCH($A228,품목목록!$A$3:$A$102,0)),""))</f>
        <v/>
      </c>
      <c r="F228" s="9"/>
      <c r="G228" s="10" t="str">
        <f aca="false">IF(OR($A228="",$F228=""),"",ROUND($E228*$F228,0))</f>
        <v/>
      </c>
      <c r="H228" s="8" t="str">
        <f aca="false">IF(OR($A228="",$F228=""),"",IF($F228=_xlfn.MINIFS($F$3:$F$502,$A$3:$A$502,$A228),"최저가",""))</f>
        <v/>
      </c>
      <c r="I228" s="8" t="str">
        <f aca="false">IF($H228="최저가",$A228,"")</f>
        <v/>
      </c>
    </row>
    <row r="229" customFormat="false" ht="15" hidden="false" customHeight="false" outlineLevel="0" collapsed="false">
      <c r="A229" s="6"/>
      <c r="B229" s="6"/>
      <c r="C229" s="8" t="str">
        <f aca="false">IF($A229="","",IFERROR(INDEX(품목목록!$B$3:$B$102,MATCH($A229,품목목록!$A$3:$A$102,0)),""))</f>
        <v/>
      </c>
      <c r="D229" s="8" t="str">
        <f aca="false">IF($B229="","",IFERROR(INDEX(업체목록!$B$3:$B$52,MATCH($B229,업체목록!$A$3:$A$52,0)),""))</f>
        <v/>
      </c>
      <c r="E229" s="8" t="str">
        <f aca="false">IF($A229="","",IFERROR(INDEX(품목목록!$D$3:$D$102,MATCH($A229,품목목록!$A$3:$A$102,0)),""))</f>
        <v/>
      </c>
      <c r="F229" s="9"/>
      <c r="G229" s="10" t="str">
        <f aca="false">IF(OR($A229="",$F229=""),"",ROUND($E229*$F229,0))</f>
        <v/>
      </c>
      <c r="H229" s="8" t="str">
        <f aca="false">IF(OR($A229="",$F229=""),"",IF($F229=_xlfn.MINIFS($F$3:$F$502,$A$3:$A$502,$A229),"최저가",""))</f>
        <v/>
      </c>
      <c r="I229" s="8" t="str">
        <f aca="false">IF($H229="최저가",$A229,"")</f>
        <v/>
      </c>
    </row>
    <row r="230" customFormat="false" ht="15" hidden="false" customHeight="false" outlineLevel="0" collapsed="false">
      <c r="A230" s="6"/>
      <c r="B230" s="6"/>
      <c r="C230" s="8" t="str">
        <f aca="false">IF($A230="","",IFERROR(INDEX(품목목록!$B$3:$B$102,MATCH($A230,품목목록!$A$3:$A$102,0)),""))</f>
        <v/>
      </c>
      <c r="D230" s="8" t="str">
        <f aca="false">IF($B230="","",IFERROR(INDEX(업체목록!$B$3:$B$52,MATCH($B230,업체목록!$A$3:$A$52,0)),""))</f>
        <v/>
      </c>
      <c r="E230" s="8" t="str">
        <f aca="false">IF($A230="","",IFERROR(INDEX(품목목록!$D$3:$D$102,MATCH($A230,품목목록!$A$3:$A$102,0)),""))</f>
        <v/>
      </c>
      <c r="F230" s="9"/>
      <c r="G230" s="10" t="str">
        <f aca="false">IF(OR($A230="",$F230=""),"",ROUND($E230*$F230,0))</f>
        <v/>
      </c>
      <c r="H230" s="8" t="str">
        <f aca="false">IF(OR($A230="",$F230=""),"",IF($F230=_xlfn.MINIFS($F$3:$F$502,$A$3:$A$502,$A230),"최저가",""))</f>
        <v/>
      </c>
      <c r="I230" s="8" t="str">
        <f aca="false">IF($H230="최저가",$A230,"")</f>
        <v/>
      </c>
    </row>
    <row r="231" customFormat="false" ht="15" hidden="false" customHeight="false" outlineLevel="0" collapsed="false">
      <c r="A231" s="6"/>
      <c r="B231" s="6"/>
      <c r="C231" s="8" t="str">
        <f aca="false">IF($A231="","",IFERROR(INDEX(품목목록!$B$3:$B$102,MATCH($A231,품목목록!$A$3:$A$102,0)),""))</f>
        <v/>
      </c>
      <c r="D231" s="8" t="str">
        <f aca="false">IF($B231="","",IFERROR(INDEX(업체목록!$B$3:$B$52,MATCH($B231,업체목록!$A$3:$A$52,0)),""))</f>
        <v/>
      </c>
      <c r="E231" s="8" t="str">
        <f aca="false">IF($A231="","",IFERROR(INDEX(품목목록!$D$3:$D$102,MATCH($A231,품목목록!$A$3:$A$102,0)),""))</f>
        <v/>
      </c>
      <c r="F231" s="9"/>
      <c r="G231" s="10" t="str">
        <f aca="false">IF(OR($A231="",$F231=""),"",ROUND($E231*$F231,0))</f>
        <v/>
      </c>
      <c r="H231" s="8" t="str">
        <f aca="false">IF(OR($A231="",$F231=""),"",IF($F231=_xlfn.MINIFS($F$3:$F$502,$A$3:$A$502,$A231),"최저가",""))</f>
        <v/>
      </c>
      <c r="I231" s="8" t="str">
        <f aca="false">IF($H231="최저가",$A231,"")</f>
        <v/>
      </c>
    </row>
    <row r="232" customFormat="false" ht="15" hidden="false" customHeight="false" outlineLevel="0" collapsed="false">
      <c r="A232" s="6"/>
      <c r="B232" s="6"/>
      <c r="C232" s="8" t="str">
        <f aca="false">IF($A232="","",IFERROR(INDEX(품목목록!$B$3:$B$102,MATCH($A232,품목목록!$A$3:$A$102,0)),""))</f>
        <v/>
      </c>
      <c r="D232" s="8" t="str">
        <f aca="false">IF($B232="","",IFERROR(INDEX(업체목록!$B$3:$B$52,MATCH($B232,업체목록!$A$3:$A$52,0)),""))</f>
        <v/>
      </c>
      <c r="E232" s="8" t="str">
        <f aca="false">IF($A232="","",IFERROR(INDEX(품목목록!$D$3:$D$102,MATCH($A232,품목목록!$A$3:$A$102,0)),""))</f>
        <v/>
      </c>
      <c r="F232" s="9"/>
      <c r="G232" s="10" t="str">
        <f aca="false">IF(OR($A232="",$F232=""),"",ROUND($E232*$F232,0))</f>
        <v/>
      </c>
      <c r="H232" s="8" t="str">
        <f aca="false">IF(OR($A232="",$F232=""),"",IF($F232=_xlfn.MINIFS($F$3:$F$502,$A$3:$A$502,$A232),"최저가",""))</f>
        <v/>
      </c>
      <c r="I232" s="8" t="str">
        <f aca="false">IF($H232="최저가",$A232,"")</f>
        <v/>
      </c>
    </row>
    <row r="233" customFormat="false" ht="15" hidden="false" customHeight="false" outlineLevel="0" collapsed="false">
      <c r="A233" s="6"/>
      <c r="B233" s="6"/>
      <c r="C233" s="8" t="str">
        <f aca="false">IF($A233="","",IFERROR(INDEX(품목목록!$B$3:$B$102,MATCH($A233,품목목록!$A$3:$A$102,0)),""))</f>
        <v/>
      </c>
      <c r="D233" s="8" t="str">
        <f aca="false">IF($B233="","",IFERROR(INDEX(업체목록!$B$3:$B$52,MATCH($B233,업체목록!$A$3:$A$52,0)),""))</f>
        <v/>
      </c>
      <c r="E233" s="8" t="str">
        <f aca="false">IF($A233="","",IFERROR(INDEX(품목목록!$D$3:$D$102,MATCH($A233,품목목록!$A$3:$A$102,0)),""))</f>
        <v/>
      </c>
      <c r="F233" s="9"/>
      <c r="G233" s="10" t="str">
        <f aca="false">IF(OR($A233="",$F233=""),"",ROUND($E233*$F233,0))</f>
        <v/>
      </c>
      <c r="H233" s="8" t="str">
        <f aca="false">IF(OR($A233="",$F233=""),"",IF($F233=_xlfn.MINIFS($F$3:$F$502,$A$3:$A$502,$A233),"최저가",""))</f>
        <v/>
      </c>
      <c r="I233" s="8" t="str">
        <f aca="false">IF($H233="최저가",$A233,"")</f>
        <v/>
      </c>
    </row>
    <row r="234" customFormat="false" ht="15" hidden="false" customHeight="false" outlineLevel="0" collapsed="false">
      <c r="A234" s="6"/>
      <c r="B234" s="6"/>
      <c r="C234" s="8" t="str">
        <f aca="false">IF($A234="","",IFERROR(INDEX(품목목록!$B$3:$B$102,MATCH($A234,품목목록!$A$3:$A$102,0)),""))</f>
        <v/>
      </c>
      <c r="D234" s="8" t="str">
        <f aca="false">IF($B234="","",IFERROR(INDEX(업체목록!$B$3:$B$52,MATCH($B234,업체목록!$A$3:$A$52,0)),""))</f>
        <v/>
      </c>
      <c r="E234" s="8" t="str">
        <f aca="false">IF($A234="","",IFERROR(INDEX(품목목록!$D$3:$D$102,MATCH($A234,품목목록!$A$3:$A$102,0)),""))</f>
        <v/>
      </c>
      <c r="F234" s="9"/>
      <c r="G234" s="10" t="str">
        <f aca="false">IF(OR($A234="",$F234=""),"",ROUND($E234*$F234,0))</f>
        <v/>
      </c>
      <c r="H234" s="8" t="str">
        <f aca="false">IF(OR($A234="",$F234=""),"",IF($F234=_xlfn.MINIFS($F$3:$F$502,$A$3:$A$502,$A234),"최저가",""))</f>
        <v/>
      </c>
      <c r="I234" s="8" t="str">
        <f aca="false">IF($H234="최저가",$A234,"")</f>
        <v/>
      </c>
    </row>
    <row r="235" customFormat="false" ht="15" hidden="false" customHeight="false" outlineLevel="0" collapsed="false">
      <c r="A235" s="6"/>
      <c r="B235" s="6"/>
      <c r="C235" s="8" t="str">
        <f aca="false">IF($A235="","",IFERROR(INDEX(품목목록!$B$3:$B$102,MATCH($A235,품목목록!$A$3:$A$102,0)),""))</f>
        <v/>
      </c>
      <c r="D235" s="8" t="str">
        <f aca="false">IF($B235="","",IFERROR(INDEX(업체목록!$B$3:$B$52,MATCH($B235,업체목록!$A$3:$A$52,0)),""))</f>
        <v/>
      </c>
      <c r="E235" s="8" t="str">
        <f aca="false">IF($A235="","",IFERROR(INDEX(품목목록!$D$3:$D$102,MATCH($A235,품목목록!$A$3:$A$102,0)),""))</f>
        <v/>
      </c>
      <c r="F235" s="9"/>
      <c r="G235" s="10" t="str">
        <f aca="false">IF(OR($A235="",$F235=""),"",ROUND($E235*$F235,0))</f>
        <v/>
      </c>
      <c r="H235" s="8" t="str">
        <f aca="false">IF(OR($A235="",$F235=""),"",IF($F235=_xlfn.MINIFS($F$3:$F$502,$A$3:$A$502,$A235),"최저가",""))</f>
        <v/>
      </c>
      <c r="I235" s="8" t="str">
        <f aca="false">IF($H235="최저가",$A235,"")</f>
        <v/>
      </c>
    </row>
    <row r="236" customFormat="false" ht="15" hidden="false" customHeight="false" outlineLevel="0" collapsed="false">
      <c r="A236" s="6"/>
      <c r="B236" s="6"/>
      <c r="C236" s="8" t="str">
        <f aca="false">IF($A236="","",IFERROR(INDEX(품목목록!$B$3:$B$102,MATCH($A236,품목목록!$A$3:$A$102,0)),""))</f>
        <v/>
      </c>
      <c r="D236" s="8" t="str">
        <f aca="false">IF($B236="","",IFERROR(INDEX(업체목록!$B$3:$B$52,MATCH($B236,업체목록!$A$3:$A$52,0)),""))</f>
        <v/>
      </c>
      <c r="E236" s="8" t="str">
        <f aca="false">IF($A236="","",IFERROR(INDEX(품목목록!$D$3:$D$102,MATCH($A236,품목목록!$A$3:$A$102,0)),""))</f>
        <v/>
      </c>
      <c r="F236" s="9"/>
      <c r="G236" s="10" t="str">
        <f aca="false">IF(OR($A236="",$F236=""),"",ROUND($E236*$F236,0))</f>
        <v/>
      </c>
      <c r="H236" s="8" t="str">
        <f aca="false">IF(OR($A236="",$F236=""),"",IF($F236=_xlfn.MINIFS($F$3:$F$502,$A$3:$A$502,$A236),"최저가",""))</f>
        <v/>
      </c>
      <c r="I236" s="8" t="str">
        <f aca="false">IF($H236="최저가",$A236,"")</f>
        <v/>
      </c>
    </row>
    <row r="237" customFormat="false" ht="15" hidden="false" customHeight="false" outlineLevel="0" collapsed="false">
      <c r="A237" s="6"/>
      <c r="B237" s="6"/>
      <c r="C237" s="8" t="str">
        <f aca="false">IF($A237="","",IFERROR(INDEX(품목목록!$B$3:$B$102,MATCH($A237,품목목록!$A$3:$A$102,0)),""))</f>
        <v/>
      </c>
      <c r="D237" s="8" t="str">
        <f aca="false">IF($B237="","",IFERROR(INDEX(업체목록!$B$3:$B$52,MATCH($B237,업체목록!$A$3:$A$52,0)),""))</f>
        <v/>
      </c>
      <c r="E237" s="8" t="str">
        <f aca="false">IF($A237="","",IFERROR(INDEX(품목목록!$D$3:$D$102,MATCH($A237,품목목록!$A$3:$A$102,0)),""))</f>
        <v/>
      </c>
      <c r="F237" s="9"/>
      <c r="G237" s="10" t="str">
        <f aca="false">IF(OR($A237="",$F237=""),"",ROUND($E237*$F237,0))</f>
        <v/>
      </c>
      <c r="H237" s="8" t="str">
        <f aca="false">IF(OR($A237="",$F237=""),"",IF($F237=_xlfn.MINIFS($F$3:$F$502,$A$3:$A$502,$A237),"최저가",""))</f>
        <v/>
      </c>
      <c r="I237" s="8" t="str">
        <f aca="false">IF($H237="최저가",$A237,"")</f>
        <v/>
      </c>
    </row>
    <row r="238" customFormat="false" ht="15" hidden="false" customHeight="false" outlineLevel="0" collapsed="false">
      <c r="A238" s="6"/>
      <c r="B238" s="6"/>
      <c r="C238" s="8" t="str">
        <f aca="false">IF($A238="","",IFERROR(INDEX(품목목록!$B$3:$B$102,MATCH($A238,품목목록!$A$3:$A$102,0)),""))</f>
        <v/>
      </c>
      <c r="D238" s="8" t="str">
        <f aca="false">IF($B238="","",IFERROR(INDEX(업체목록!$B$3:$B$52,MATCH($B238,업체목록!$A$3:$A$52,0)),""))</f>
        <v/>
      </c>
      <c r="E238" s="8" t="str">
        <f aca="false">IF($A238="","",IFERROR(INDEX(품목목록!$D$3:$D$102,MATCH($A238,품목목록!$A$3:$A$102,0)),""))</f>
        <v/>
      </c>
      <c r="F238" s="9"/>
      <c r="G238" s="10" t="str">
        <f aca="false">IF(OR($A238="",$F238=""),"",ROUND($E238*$F238,0))</f>
        <v/>
      </c>
      <c r="H238" s="8" t="str">
        <f aca="false">IF(OR($A238="",$F238=""),"",IF($F238=_xlfn.MINIFS($F$3:$F$502,$A$3:$A$502,$A238),"최저가",""))</f>
        <v/>
      </c>
      <c r="I238" s="8" t="str">
        <f aca="false">IF($H238="최저가",$A238,"")</f>
        <v/>
      </c>
    </row>
    <row r="239" customFormat="false" ht="15" hidden="false" customHeight="false" outlineLevel="0" collapsed="false">
      <c r="A239" s="6"/>
      <c r="B239" s="6"/>
      <c r="C239" s="8" t="str">
        <f aca="false">IF($A239="","",IFERROR(INDEX(품목목록!$B$3:$B$102,MATCH($A239,품목목록!$A$3:$A$102,0)),""))</f>
        <v/>
      </c>
      <c r="D239" s="8" t="str">
        <f aca="false">IF($B239="","",IFERROR(INDEX(업체목록!$B$3:$B$52,MATCH($B239,업체목록!$A$3:$A$52,0)),""))</f>
        <v/>
      </c>
      <c r="E239" s="8" t="str">
        <f aca="false">IF($A239="","",IFERROR(INDEX(품목목록!$D$3:$D$102,MATCH($A239,품목목록!$A$3:$A$102,0)),""))</f>
        <v/>
      </c>
      <c r="F239" s="9"/>
      <c r="G239" s="10" t="str">
        <f aca="false">IF(OR($A239="",$F239=""),"",ROUND($E239*$F239,0))</f>
        <v/>
      </c>
      <c r="H239" s="8" t="str">
        <f aca="false">IF(OR($A239="",$F239=""),"",IF($F239=_xlfn.MINIFS($F$3:$F$502,$A$3:$A$502,$A239),"최저가",""))</f>
        <v/>
      </c>
      <c r="I239" s="8" t="str">
        <f aca="false">IF($H239="최저가",$A239,"")</f>
        <v/>
      </c>
    </row>
    <row r="240" customFormat="false" ht="15" hidden="false" customHeight="false" outlineLevel="0" collapsed="false">
      <c r="A240" s="6"/>
      <c r="B240" s="6"/>
      <c r="C240" s="8" t="str">
        <f aca="false">IF($A240="","",IFERROR(INDEX(품목목록!$B$3:$B$102,MATCH($A240,품목목록!$A$3:$A$102,0)),""))</f>
        <v/>
      </c>
      <c r="D240" s="8" t="str">
        <f aca="false">IF($B240="","",IFERROR(INDEX(업체목록!$B$3:$B$52,MATCH($B240,업체목록!$A$3:$A$52,0)),""))</f>
        <v/>
      </c>
      <c r="E240" s="8" t="str">
        <f aca="false">IF($A240="","",IFERROR(INDEX(품목목록!$D$3:$D$102,MATCH($A240,품목목록!$A$3:$A$102,0)),""))</f>
        <v/>
      </c>
      <c r="F240" s="9"/>
      <c r="G240" s="10" t="str">
        <f aca="false">IF(OR($A240="",$F240=""),"",ROUND($E240*$F240,0))</f>
        <v/>
      </c>
      <c r="H240" s="8" t="str">
        <f aca="false">IF(OR($A240="",$F240=""),"",IF($F240=_xlfn.MINIFS($F$3:$F$502,$A$3:$A$502,$A240),"최저가",""))</f>
        <v/>
      </c>
      <c r="I240" s="8" t="str">
        <f aca="false">IF($H240="최저가",$A240,"")</f>
        <v/>
      </c>
    </row>
    <row r="241" customFormat="false" ht="15" hidden="false" customHeight="false" outlineLevel="0" collapsed="false">
      <c r="A241" s="6"/>
      <c r="B241" s="6"/>
      <c r="C241" s="8" t="str">
        <f aca="false">IF($A241="","",IFERROR(INDEX(품목목록!$B$3:$B$102,MATCH($A241,품목목록!$A$3:$A$102,0)),""))</f>
        <v/>
      </c>
      <c r="D241" s="8" t="str">
        <f aca="false">IF($B241="","",IFERROR(INDEX(업체목록!$B$3:$B$52,MATCH($B241,업체목록!$A$3:$A$52,0)),""))</f>
        <v/>
      </c>
      <c r="E241" s="8" t="str">
        <f aca="false">IF($A241="","",IFERROR(INDEX(품목목록!$D$3:$D$102,MATCH($A241,품목목록!$A$3:$A$102,0)),""))</f>
        <v/>
      </c>
      <c r="F241" s="9"/>
      <c r="G241" s="10" t="str">
        <f aca="false">IF(OR($A241="",$F241=""),"",ROUND($E241*$F241,0))</f>
        <v/>
      </c>
      <c r="H241" s="8" t="str">
        <f aca="false">IF(OR($A241="",$F241=""),"",IF($F241=_xlfn.MINIFS($F$3:$F$502,$A$3:$A$502,$A241),"최저가",""))</f>
        <v/>
      </c>
      <c r="I241" s="8" t="str">
        <f aca="false">IF($H241="최저가",$A241,"")</f>
        <v/>
      </c>
    </row>
    <row r="242" customFormat="false" ht="15" hidden="false" customHeight="false" outlineLevel="0" collapsed="false">
      <c r="A242" s="6"/>
      <c r="B242" s="6"/>
      <c r="C242" s="8" t="str">
        <f aca="false">IF($A242="","",IFERROR(INDEX(품목목록!$B$3:$B$102,MATCH($A242,품목목록!$A$3:$A$102,0)),""))</f>
        <v/>
      </c>
      <c r="D242" s="8" t="str">
        <f aca="false">IF($B242="","",IFERROR(INDEX(업체목록!$B$3:$B$52,MATCH($B242,업체목록!$A$3:$A$52,0)),""))</f>
        <v/>
      </c>
      <c r="E242" s="8" t="str">
        <f aca="false">IF($A242="","",IFERROR(INDEX(품목목록!$D$3:$D$102,MATCH($A242,품목목록!$A$3:$A$102,0)),""))</f>
        <v/>
      </c>
      <c r="F242" s="9"/>
      <c r="G242" s="10" t="str">
        <f aca="false">IF(OR($A242="",$F242=""),"",ROUND($E242*$F242,0))</f>
        <v/>
      </c>
      <c r="H242" s="8" t="str">
        <f aca="false">IF(OR($A242="",$F242=""),"",IF($F242=_xlfn.MINIFS($F$3:$F$502,$A$3:$A$502,$A242),"최저가",""))</f>
        <v/>
      </c>
      <c r="I242" s="8" t="str">
        <f aca="false">IF($H242="최저가",$A242,"")</f>
        <v/>
      </c>
    </row>
    <row r="243" customFormat="false" ht="15" hidden="false" customHeight="false" outlineLevel="0" collapsed="false">
      <c r="A243" s="6"/>
      <c r="B243" s="6"/>
      <c r="C243" s="8" t="str">
        <f aca="false">IF($A243="","",IFERROR(INDEX(품목목록!$B$3:$B$102,MATCH($A243,품목목록!$A$3:$A$102,0)),""))</f>
        <v/>
      </c>
      <c r="D243" s="8" t="str">
        <f aca="false">IF($B243="","",IFERROR(INDEX(업체목록!$B$3:$B$52,MATCH($B243,업체목록!$A$3:$A$52,0)),""))</f>
        <v/>
      </c>
      <c r="E243" s="8" t="str">
        <f aca="false">IF($A243="","",IFERROR(INDEX(품목목록!$D$3:$D$102,MATCH($A243,품목목록!$A$3:$A$102,0)),""))</f>
        <v/>
      </c>
      <c r="F243" s="9"/>
      <c r="G243" s="10" t="str">
        <f aca="false">IF(OR($A243="",$F243=""),"",ROUND($E243*$F243,0))</f>
        <v/>
      </c>
      <c r="H243" s="8" t="str">
        <f aca="false">IF(OR($A243="",$F243=""),"",IF($F243=_xlfn.MINIFS($F$3:$F$502,$A$3:$A$502,$A243),"최저가",""))</f>
        <v/>
      </c>
      <c r="I243" s="8" t="str">
        <f aca="false">IF($H243="최저가",$A243,"")</f>
        <v/>
      </c>
    </row>
    <row r="244" customFormat="false" ht="15" hidden="false" customHeight="false" outlineLevel="0" collapsed="false">
      <c r="A244" s="6"/>
      <c r="B244" s="6"/>
      <c r="C244" s="8" t="str">
        <f aca="false">IF($A244="","",IFERROR(INDEX(품목목록!$B$3:$B$102,MATCH($A244,품목목록!$A$3:$A$102,0)),""))</f>
        <v/>
      </c>
      <c r="D244" s="8" t="str">
        <f aca="false">IF($B244="","",IFERROR(INDEX(업체목록!$B$3:$B$52,MATCH($B244,업체목록!$A$3:$A$52,0)),""))</f>
        <v/>
      </c>
      <c r="E244" s="8" t="str">
        <f aca="false">IF($A244="","",IFERROR(INDEX(품목목록!$D$3:$D$102,MATCH($A244,품목목록!$A$3:$A$102,0)),""))</f>
        <v/>
      </c>
      <c r="F244" s="9"/>
      <c r="G244" s="10" t="str">
        <f aca="false">IF(OR($A244="",$F244=""),"",ROUND($E244*$F244,0))</f>
        <v/>
      </c>
      <c r="H244" s="8" t="str">
        <f aca="false">IF(OR($A244="",$F244=""),"",IF($F244=_xlfn.MINIFS($F$3:$F$502,$A$3:$A$502,$A244),"최저가",""))</f>
        <v/>
      </c>
      <c r="I244" s="8" t="str">
        <f aca="false">IF($H244="최저가",$A244,"")</f>
        <v/>
      </c>
    </row>
    <row r="245" customFormat="false" ht="15" hidden="false" customHeight="false" outlineLevel="0" collapsed="false">
      <c r="A245" s="6"/>
      <c r="B245" s="6"/>
      <c r="C245" s="8" t="str">
        <f aca="false">IF($A245="","",IFERROR(INDEX(품목목록!$B$3:$B$102,MATCH($A245,품목목록!$A$3:$A$102,0)),""))</f>
        <v/>
      </c>
      <c r="D245" s="8" t="str">
        <f aca="false">IF($B245="","",IFERROR(INDEX(업체목록!$B$3:$B$52,MATCH($B245,업체목록!$A$3:$A$52,0)),""))</f>
        <v/>
      </c>
      <c r="E245" s="8" t="str">
        <f aca="false">IF($A245="","",IFERROR(INDEX(품목목록!$D$3:$D$102,MATCH($A245,품목목록!$A$3:$A$102,0)),""))</f>
        <v/>
      </c>
      <c r="F245" s="9"/>
      <c r="G245" s="10" t="str">
        <f aca="false">IF(OR($A245="",$F245=""),"",ROUND($E245*$F245,0))</f>
        <v/>
      </c>
      <c r="H245" s="8" t="str">
        <f aca="false">IF(OR($A245="",$F245=""),"",IF($F245=_xlfn.MINIFS($F$3:$F$502,$A$3:$A$502,$A245),"최저가",""))</f>
        <v/>
      </c>
      <c r="I245" s="8" t="str">
        <f aca="false">IF($H245="최저가",$A245,"")</f>
        <v/>
      </c>
    </row>
    <row r="246" customFormat="false" ht="15" hidden="false" customHeight="false" outlineLevel="0" collapsed="false">
      <c r="A246" s="6"/>
      <c r="B246" s="6"/>
      <c r="C246" s="8" t="str">
        <f aca="false">IF($A246="","",IFERROR(INDEX(품목목록!$B$3:$B$102,MATCH($A246,품목목록!$A$3:$A$102,0)),""))</f>
        <v/>
      </c>
      <c r="D246" s="8" t="str">
        <f aca="false">IF($B246="","",IFERROR(INDEX(업체목록!$B$3:$B$52,MATCH($B246,업체목록!$A$3:$A$52,0)),""))</f>
        <v/>
      </c>
      <c r="E246" s="8" t="str">
        <f aca="false">IF($A246="","",IFERROR(INDEX(품목목록!$D$3:$D$102,MATCH($A246,품목목록!$A$3:$A$102,0)),""))</f>
        <v/>
      </c>
      <c r="F246" s="9"/>
      <c r="G246" s="10" t="str">
        <f aca="false">IF(OR($A246="",$F246=""),"",ROUND($E246*$F246,0))</f>
        <v/>
      </c>
      <c r="H246" s="8" t="str">
        <f aca="false">IF(OR($A246="",$F246=""),"",IF($F246=_xlfn.MINIFS($F$3:$F$502,$A$3:$A$502,$A246),"최저가",""))</f>
        <v/>
      </c>
      <c r="I246" s="8" t="str">
        <f aca="false">IF($H246="최저가",$A246,"")</f>
        <v/>
      </c>
    </row>
    <row r="247" customFormat="false" ht="15" hidden="false" customHeight="false" outlineLevel="0" collapsed="false">
      <c r="A247" s="6"/>
      <c r="B247" s="6"/>
      <c r="C247" s="8" t="str">
        <f aca="false">IF($A247="","",IFERROR(INDEX(품목목록!$B$3:$B$102,MATCH($A247,품목목록!$A$3:$A$102,0)),""))</f>
        <v/>
      </c>
      <c r="D247" s="8" t="str">
        <f aca="false">IF($B247="","",IFERROR(INDEX(업체목록!$B$3:$B$52,MATCH($B247,업체목록!$A$3:$A$52,0)),""))</f>
        <v/>
      </c>
      <c r="E247" s="8" t="str">
        <f aca="false">IF($A247="","",IFERROR(INDEX(품목목록!$D$3:$D$102,MATCH($A247,품목목록!$A$3:$A$102,0)),""))</f>
        <v/>
      </c>
      <c r="F247" s="9"/>
      <c r="G247" s="10" t="str">
        <f aca="false">IF(OR($A247="",$F247=""),"",ROUND($E247*$F247,0))</f>
        <v/>
      </c>
      <c r="H247" s="8" t="str">
        <f aca="false">IF(OR($A247="",$F247=""),"",IF($F247=_xlfn.MINIFS($F$3:$F$502,$A$3:$A$502,$A247),"최저가",""))</f>
        <v/>
      </c>
      <c r="I247" s="8" t="str">
        <f aca="false">IF($H247="최저가",$A247,"")</f>
        <v/>
      </c>
    </row>
    <row r="248" customFormat="false" ht="15" hidden="false" customHeight="false" outlineLevel="0" collapsed="false">
      <c r="A248" s="6"/>
      <c r="B248" s="6"/>
      <c r="C248" s="8" t="str">
        <f aca="false">IF($A248="","",IFERROR(INDEX(품목목록!$B$3:$B$102,MATCH($A248,품목목록!$A$3:$A$102,0)),""))</f>
        <v/>
      </c>
      <c r="D248" s="8" t="str">
        <f aca="false">IF($B248="","",IFERROR(INDEX(업체목록!$B$3:$B$52,MATCH($B248,업체목록!$A$3:$A$52,0)),""))</f>
        <v/>
      </c>
      <c r="E248" s="8" t="str">
        <f aca="false">IF($A248="","",IFERROR(INDEX(품목목록!$D$3:$D$102,MATCH($A248,품목목록!$A$3:$A$102,0)),""))</f>
        <v/>
      </c>
      <c r="F248" s="9"/>
      <c r="G248" s="10" t="str">
        <f aca="false">IF(OR($A248="",$F248=""),"",ROUND($E248*$F248,0))</f>
        <v/>
      </c>
      <c r="H248" s="8" t="str">
        <f aca="false">IF(OR($A248="",$F248=""),"",IF($F248=_xlfn.MINIFS($F$3:$F$502,$A$3:$A$502,$A248),"최저가",""))</f>
        <v/>
      </c>
      <c r="I248" s="8" t="str">
        <f aca="false">IF($H248="최저가",$A248,"")</f>
        <v/>
      </c>
    </row>
    <row r="249" customFormat="false" ht="15" hidden="false" customHeight="false" outlineLevel="0" collapsed="false">
      <c r="A249" s="6"/>
      <c r="B249" s="6"/>
      <c r="C249" s="8" t="str">
        <f aca="false">IF($A249="","",IFERROR(INDEX(품목목록!$B$3:$B$102,MATCH($A249,품목목록!$A$3:$A$102,0)),""))</f>
        <v/>
      </c>
      <c r="D249" s="8" t="str">
        <f aca="false">IF($B249="","",IFERROR(INDEX(업체목록!$B$3:$B$52,MATCH($B249,업체목록!$A$3:$A$52,0)),""))</f>
        <v/>
      </c>
      <c r="E249" s="8" t="str">
        <f aca="false">IF($A249="","",IFERROR(INDEX(품목목록!$D$3:$D$102,MATCH($A249,품목목록!$A$3:$A$102,0)),""))</f>
        <v/>
      </c>
      <c r="F249" s="9"/>
      <c r="G249" s="10" t="str">
        <f aca="false">IF(OR($A249="",$F249=""),"",ROUND($E249*$F249,0))</f>
        <v/>
      </c>
      <c r="H249" s="8" t="str">
        <f aca="false">IF(OR($A249="",$F249=""),"",IF($F249=_xlfn.MINIFS($F$3:$F$502,$A$3:$A$502,$A249),"최저가",""))</f>
        <v/>
      </c>
      <c r="I249" s="8" t="str">
        <f aca="false">IF($H249="최저가",$A249,"")</f>
        <v/>
      </c>
    </row>
    <row r="250" customFormat="false" ht="15" hidden="false" customHeight="false" outlineLevel="0" collapsed="false">
      <c r="A250" s="6"/>
      <c r="B250" s="6"/>
      <c r="C250" s="8" t="str">
        <f aca="false">IF($A250="","",IFERROR(INDEX(품목목록!$B$3:$B$102,MATCH($A250,품목목록!$A$3:$A$102,0)),""))</f>
        <v/>
      </c>
      <c r="D250" s="8" t="str">
        <f aca="false">IF($B250="","",IFERROR(INDEX(업체목록!$B$3:$B$52,MATCH($B250,업체목록!$A$3:$A$52,0)),""))</f>
        <v/>
      </c>
      <c r="E250" s="8" t="str">
        <f aca="false">IF($A250="","",IFERROR(INDEX(품목목록!$D$3:$D$102,MATCH($A250,품목목록!$A$3:$A$102,0)),""))</f>
        <v/>
      </c>
      <c r="F250" s="9"/>
      <c r="G250" s="10" t="str">
        <f aca="false">IF(OR($A250="",$F250=""),"",ROUND($E250*$F250,0))</f>
        <v/>
      </c>
      <c r="H250" s="8" t="str">
        <f aca="false">IF(OR($A250="",$F250=""),"",IF($F250=_xlfn.MINIFS($F$3:$F$502,$A$3:$A$502,$A250),"최저가",""))</f>
        <v/>
      </c>
      <c r="I250" s="8" t="str">
        <f aca="false">IF($H250="최저가",$A250,"")</f>
        <v/>
      </c>
    </row>
    <row r="251" customFormat="false" ht="15" hidden="false" customHeight="false" outlineLevel="0" collapsed="false">
      <c r="A251" s="6"/>
      <c r="B251" s="6"/>
      <c r="C251" s="8" t="str">
        <f aca="false">IF($A251="","",IFERROR(INDEX(품목목록!$B$3:$B$102,MATCH($A251,품목목록!$A$3:$A$102,0)),""))</f>
        <v/>
      </c>
      <c r="D251" s="8" t="str">
        <f aca="false">IF($B251="","",IFERROR(INDEX(업체목록!$B$3:$B$52,MATCH($B251,업체목록!$A$3:$A$52,0)),""))</f>
        <v/>
      </c>
      <c r="E251" s="8" t="str">
        <f aca="false">IF($A251="","",IFERROR(INDEX(품목목록!$D$3:$D$102,MATCH($A251,품목목록!$A$3:$A$102,0)),""))</f>
        <v/>
      </c>
      <c r="F251" s="9"/>
      <c r="G251" s="10" t="str">
        <f aca="false">IF(OR($A251="",$F251=""),"",ROUND($E251*$F251,0))</f>
        <v/>
      </c>
      <c r="H251" s="8" t="str">
        <f aca="false">IF(OR($A251="",$F251=""),"",IF($F251=_xlfn.MINIFS($F$3:$F$502,$A$3:$A$502,$A251),"최저가",""))</f>
        <v/>
      </c>
      <c r="I251" s="8" t="str">
        <f aca="false">IF($H251="최저가",$A251,"")</f>
        <v/>
      </c>
    </row>
    <row r="252" customFormat="false" ht="15" hidden="false" customHeight="false" outlineLevel="0" collapsed="false">
      <c r="A252" s="6"/>
      <c r="B252" s="6"/>
      <c r="C252" s="8" t="str">
        <f aca="false">IF($A252="","",IFERROR(INDEX(품목목록!$B$3:$B$102,MATCH($A252,품목목록!$A$3:$A$102,0)),""))</f>
        <v/>
      </c>
      <c r="D252" s="8" t="str">
        <f aca="false">IF($B252="","",IFERROR(INDEX(업체목록!$B$3:$B$52,MATCH($B252,업체목록!$A$3:$A$52,0)),""))</f>
        <v/>
      </c>
      <c r="E252" s="8" t="str">
        <f aca="false">IF($A252="","",IFERROR(INDEX(품목목록!$D$3:$D$102,MATCH($A252,품목목록!$A$3:$A$102,0)),""))</f>
        <v/>
      </c>
      <c r="F252" s="9"/>
      <c r="G252" s="10" t="str">
        <f aca="false">IF(OR($A252="",$F252=""),"",ROUND($E252*$F252,0))</f>
        <v/>
      </c>
      <c r="H252" s="8" t="str">
        <f aca="false">IF(OR($A252="",$F252=""),"",IF($F252=_xlfn.MINIFS($F$3:$F$502,$A$3:$A$502,$A252),"최저가",""))</f>
        <v/>
      </c>
      <c r="I252" s="8" t="str">
        <f aca="false">IF($H252="최저가",$A252,"")</f>
        <v/>
      </c>
    </row>
    <row r="253" customFormat="false" ht="15" hidden="false" customHeight="false" outlineLevel="0" collapsed="false">
      <c r="A253" s="6"/>
      <c r="B253" s="6"/>
      <c r="C253" s="8" t="str">
        <f aca="false">IF($A253="","",IFERROR(INDEX(품목목록!$B$3:$B$102,MATCH($A253,품목목록!$A$3:$A$102,0)),""))</f>
        <v/>
      </c>
      <c r="D253" s="8" t="str">
        <f aca="false">IF($B253="","",IFERROR(INDEX(업체목록!$B$3:$B$52,MATCH($B253,업체목록!$A$3:$A$52,0)),""))</f>
        <v/>
      </c>
      <c r="E253" s="8" t="str">
        <f aca="false">IF($A253="","",IFERROR(INDEX(품목목록!$D$3:$D$102,MATCH($A253,품목목록!$A$3:$A$102,0)),""))</f>
        <v/>
      </c>
      <c r="F253" s="9"/>
      <c r="G253" s="10" t="str">
        <f aca="false">IF(OR($A253="",$F253=""),"",ROUND($E253*$F253,0))</f>
        <v/>
      </c>
      <c r="H253" s="8" t="str">
        <f aca="false">IF(OR($A253="",$F253=""),"",IF($F253=_xlfn.MINIFS($F$3:$F$502,$A$3:$A$502,$A253),"최저가",""))</f>
        <v/>
      </c>
      <c r="I253" s="8" t="str">
        <f aca="false">IF($H253="최저가",$A253,"")</f>
        <v/>
      </c>
    </row>
    <row r="254" customFormat="false" ht="15" hidden="false" customHeight="false" outlineLevel="0" collapsed="false">
      <c r="A254" s="6"/>
      <c r="B254" s="6"/>
      <c r="C254" s="8" t="str">
        <f aca="false">IF($A254="","",IFERROR(INDEX(품목목록!$B$3:$B$102,MATCH($A254,품목목록!$A$3:$A$102,0)),""))</f>
        <v/>
      </c>
      <c r="D254" s="8" t="str">
        <f aca="false">IF($B254="","",IFERROR(INDEX(업체목록!$B$3:$B$52,MATCH($B254,업체목록!$A$3:$A$52,0)),""))</f>
        <v/>
      </c>
      <c r="E254" s="8" t="str">
        <f aca="false">IF($A254="","",IFERROR(INDEX(품목목록!$D$3:$D$102,MATCH($A254,품목목록!$A$3:$A$102,0)),""))</f>
        <v/>
      </c>
      <c r="F254" s="9"/>
      <c r="G254" s="10" t="str">
        <f aca="false">IF(OR($A254="",$F254=""),"",ROUND($E254*$F254,0))</f>
        <v/>
      </c>
      <c r="H254" s="8" t="str">
        <f aca="false">IF(OR($A254="",$F254=""),"",IF($F254=_xlfn.MINIFS($F$3:$F$502,$A$3:$A$502,$A254),"최저가",""))</f>
        <v/>
      </c>
      <c r="I254" s="8" t="str">
        <f aca="false">IF($H254="최저가",$A254,"")</f>
        <v/>
      </c>
    </row>
    <row r="255" customFormat="false" ht="15" hidden="false" customHeight="false" outlineLevel="0" collapsed="false">
      <c r="A255" s="6"/>
      <c r="B255" s="6"/>
      <c r="C255" s="8" t="str">
        <f aca="false">IF($A255="","",IFERROR(INDEX(품목목록!$B$3:$B$102,MATCH($A255,품목목록!$A$3:$A$102,0)),""))</f>
        <v/>
      </c>
      <c r="D255" s="8" t="str">
        <f aca="false">IF($B255="","",IFERROR(INDEX(업체목록!$B$3:$B$52,MATCH($B255,업체목록!$A$3:$A$52,0)),""))</f>
        <v/>
      </c>
      <c r="E255" s="8" t="str">
        <f aca="false">IF($A255="","",IFERROR(INDEX(품목목록!$D$3:$D$102,MATCH($A255,품목목록!$A$3:$A$102,0)),""))</f>
        <v/>
      </c>
      <c r="F255" s="9"/>
      <c r="G255" s="10" t="str">
        <f aca="false">IF(OR($A255="",$F255=""),"",ROUND($E255*$F255,0))</f>
        <v/>
      </c>
      <c r="H255" s="8" t="str">
        <f aca="false">IF(OR($A255="",$F255=""),"",IF($F255=_xlfn.MINIFS($F$3:$F$502,$A$3:$A$502,$A255),"최저가",""))</f>
        <v/>
      </c>
      <c r="I255" s="8" t="str">
        <f aca="false">IF($H255="최저가",$A255,"")</f>
        <v/>
      </c>
    </row>
    <row r="256" customFormat="false" ht="15" hidden="false" customHeight="false" outlineLevel="0" collapsed="false">
      <c r="A256" s="6"/>
      <c r="B256" s="6"/>
      <c r="C256" s="8" t="str">
        <f aca="false">IF($A256="","",IFERROR(INDEX(품목목록!$B$3:$B$102,MATCH($A256,품목목록!$A$3:$A$102,0)),""))</f>
        <v/>
      </c>
      <c r="D256" s="8" t="str">
        <f aca="false">IF($B256="","",IFERROR(INDEX(업체목록!$B$3:$B$52,MATCH($B256,업체목록!$A$3:$A$52,0)),""))</f>
        <v/>
      </c>
      <c r="E256" s="8" t="str">
        <f aca="false">IF($A256="","",IFERROR(INDEX(품목목록!$D$3:$D$102,MATCH($A256,품목목록!$A$3:$A$102,0)),""))</f>
        <v/>
      </c>
      <c r="F256" s="9"/>
      <c r="G256" s="10" t="str">
        <f aca="false">IF(OR($A256="",$F256=""),"",ROUND($E256*$F256,0))</f>
        <v/>
      </c>
      <c r="H256" s="8" t="str">
        <f aca="false">IF(OR($A256="",$F256=""),"",IF($F256=_xlfn.MINIFS($F$3:$F$502,$A$3:$A$502,$A256),"최저가",""))</f>
        <v/>
      </c>
      <c r="I256" s="8" t="str">
        <f aca="false">IF($H256="최저가",$A256,"")</f>
        <v/>
      </c>
    </row>
    <row r="257" customFormat="false" ht="15" hidden="false" customHeight="false" outlineLevel="0" collapsed="false">
      <c r="A257" s="6"/>
      <c r="B257" s="6"/>
      <c r="C257" s="8" t="str">
        <f aca="false">IF($A257="","",IFERROR(INDEX(품목목록!$B$3:$B$102,MATCH($A257,품목목록!$A$3:$A$102,0)),""))</f>
        <v/>
      </c>
      <c r="D257" s="8" t="str">
        <f aca="false">IF($B257="","",IFERROR(INDEX(업체목록!$B$3:$B$52,MATCH($B257,업체목록!$A$3:$A$52,0)),""))</f>
        <v/>
      </c>
      <c r="E257" s="8" t="str">
        <f aca="false">IF($A257="","",IFERROR(INDEX(품목목록!$D$3:$D$102,MATCH($A257,품목목록!$A$3:$A$102,0)),""))</f>
        <v/>
      </c>
      <c r="F257" s="9"/>
      <c r="G257" s="10" t="str">
        <f aca="false">IF(OR($A257="",$F257=""),"",ROUND($E257*$F257,0))</f>
        <v/>
      </c>
      <c r="H257" s="8" t="str">
        <f aca="false">IF(OR($A257="",$F257=""),"",IF($F257=_xlfn.MINIFS($F$3:$F$502,$A$3:$A$502,$A257),"최저가",""))</f>
        <v/>
      </c>
      <c r="I257" s="8" t="str">
        <f aca="false">IF($H257="최저가",$A257,"")</f>
        <v/>
      </c>
    </row>
    <row r="258" customFormat="false" ht="15" hidden="false" customHeight="false" outlineLevel="0" collapsed="false">
      <c r="A258" s="6"/>
      <c r="B258" s="6"/>
      <c r="C258" s="8" t="str">
        <f aca="false">IF($A258="","",IFERROR(INDEX(품목목록!$B$3:$B$102,MATCH($A258,품목목록!$A$3:$A$102,0)),""))</f>
        <v/>
      </c>
      <c r="D258" s="8" t="str">
        <f aca="false">IF($B258="","",IFERROR(INDEX(업체목록!$B$3:$B$52,MATCH($B258,업체목록!$A$3:$A$52,0)),""))</f>
        <v/>
      </c>
      <c r="E258" s="8" t="str">
        <f aca="false">IF($A258="","",IFERROR(INDEX(품목목록!$D$3:$D$102,MATCH($A258,품목목록!$A$3:$A$102,0)),""))</f>
        <v/>
      </c>
      <c r="F258" s="9"/>
      <c r="G258" s="10" t="str">
        <f aca="false">IF(OR($A258="",$F258=""),"",ROUND($E258*$F258,0))</f>
        <v/>
      </c>
      <c r="H258" s="8" t="str">
        <f aca="false">IF(OR($A258="",$F258=""),"",IF($F258=_xlfn.MINIFS($F$3:$F$502,$A$3:$A$502,$A258),"최저가",""))</f>
        <v/>
      </c>
      <c r="I258" s="8" t="str">
        <f aca="false">IF($H258="최저가",$A258,"")</f>
        <v/>
      </c>
    </row>
    <row r="259" customFormat="false" ht="15" hidden="false" customHeight="false" outlineLevel="0" collapsed="false">
      <c r="A259" s="6"/>
      <c r="B259" s="6"/>
      <c r="C259" s="8" t="str">
        <f aca="false">IF($A259="","",IFERROR(INDEX(품목목록!$B$3:$B$102,MATCH($A259,품목목록!$A$3:$A$102,0)),""))</f>
        <v/>
      </c>
      <c r="D259" s="8" t="str">
        <f aca="false">IF($B259="","",IFERROR(INDEX(업체목록!$B$3:$B$52,MATCH($B259,업체목록!$A$3:$A$52,0)),""))</f>
        <v/>
      </c>
      <c r="E259" s="8" t="str">
        <f aca="false">IF($A259="","",IFERROR(INDEX(품목목록!$D$3:$D$102,MATCH($A259,품목목록!$A$3:$A$102,0)),""))</f>
        <v/>
      </c>
      <c r="F259" s="9"/>
      <c r="G259" s="10" t="str">
        <f aca="false">IF(OR($A259="",$F259=""),"",ROUND($E259*$F259,0))</f>
        <v/>
      </c>
      <c r="H259" s="8" t="str">
        <f aca="false">IF(OR($A259="",$F259=""),"",IF($F259=_xlfn.MINIFS($F$3:$F$502,$A$3:$A$502,$A259),"최저가",""))</f>
        <v/>
      </c>
      <c r="I259" s="8" t="str">
        <f aca="false">IF($H259="최저가",$A259,"")</f>
        <v/>
      </c>
    </row>
    <row r="260" customFormat="false" ht="15" hidden="false" customHeight="false" outlineLevel="0" collapsed="false">
      <c r="A260" s="6"/>
      <c r="B260" s="6"/>
      <c r="C260" s="8" t="str">
        <f aca="false">IF($A260="","",IFERROR(INDEX(품목목록!$B$3:$B$102,MATCH($A260,품목목록!$A$3:$A$102,0)),""))</f>
        <v/>
      </c>
      <c r="D260" s="8" t="str">
        <f aca="false">IF($B260="","",IFERROR(INDEX(업체목록!$B$3:$B$52,MATCH($B260,업체목록!$A$3:$A$52,0)),""))</f>
        <v/>
      </c>
      <c r="E260" s="8" t="str">
        <f aca="false">IF($A260="","",IFERROR(INDEX(품목목록!$D$3:$D$102,MATCH($A260,품목목록!$A$3:$A$102,0)),""))</f>
        <v/>
      </c>
      <c r="F260" s="9"/>
      <c r="G260" s="10" t="str">
        <f aca="false">IF(OR($A260="",$F260=""),"",ROUND($E260*$F260,0))</f>
        <v/>
      </c>
      <c r="H260" s="8" t="str">
        <f aca="false">IF(OR($A260="",$F260=""),"",IF($F260=_xlfn.MINIFS($F$3:$F$502,$A$3:$A$502,$A260),"최저가",""))</f>
        <v/>
      </c>
      <c r="I260" s="8" t="str">
        <f aca="false">IF($H260="최저가",$A260,"")</f>
        <v/>
      </c>
    </row>
    <row r="261" customFormat="false" ht="15" hidden="false" customHeight="false" outlineLevel="0" collapsed="false">
      <c r="A261" s="6"/>
      <c r="B261" s="6"/>
      <c r="C261" s="8" t="str">
        <f aca="false">IF($A261="","",IFERROR(INDEX(품목목록!$B$3:$B$102,MATCH($A261,품목목록!$A$3:$A$102,0)),""))</f>
        <v/>
      </c>
      <c r="D261" s="8" t="str">
        <f aca="false">IF($B261="","",IFERROR(INDEX(업체목록!$B$3:$B$52,MATCH($B261,업체목록!$A$3:$A$52,0)),""))</f>
        <v/>
      </c>
      <c r="E261" s="8" t="str">
        <f aca="false">IF($A261="","",IFERROR(INDEX(품목목록!$D$3:$D$102,MATCH($A261,품목목록!$A$3:$A$102,0)),""))</f>
        <v/>
      </c>
      <c r="F261" s="9"/>
      <c r="G261" s="10" t="str">
        <f aca="false">IF(OR($A261="",$F261=""),"",ROUND($E261*$F261,0))</f>
        <v/>
      </c>
      <c r="H261" s="8" t="str">
        <f aca="false">IF(OR($A261="",$F261=""),"",IF($F261=_xlfn.MINIFS($F$3:$F$502,$A$3:$A$502,$A261),"최저가",""))</f>
        <v/>
      </c>
      <c r="I261" s="8" t="str">
        <f aca="false">IF($H261="최저가",$A261,"")</f>
        <v/>
      </c>
    </row>
    <row r="262" customFormat="false" ht="15" hidden="false" customHeight="false" outlineLevel="0" collapsed="false">
      <c r="A262" s="6"/>
      <c r="B262" s="6"/>
      <c r="C262" s="8" t="str">
        <f aca="false">IF($A262="","",IFERROR(INDEX(품목목록!$B$3:$B$102,MATCH($A262,품목목록!$A$3:$A$102,0)),""))</f>
        <v/>
      </c>
      <c r="D262" s="8" t="str">
        <f aca="false">IF($B262="","",IFERROR(INDEX(업체목록!$B$3:$B$52,MATCH($B262,업체목록!$A$3:$A$52,0)),""))</f>
        <v/>
      </c>
      <c r="E262" s="8" t="str">
        <f aca="false">IF($A262="","",IFERROR(INDEX(품목목록!$D$3:$D$102,MATCH($A262,품목목록!$A$3:$A$102,0)),""))</f>
        <v/>
      </c>
      <c r="F262" s="9"/>
      <c r="G262" s="10" t="str">
        <f aca="false">IF(OR($A262="",$F262=""),"",ROUND($E262*$F262,0))</f>
        <v/>
      </c>
      <c r="H262" s="8" t="str">
        <f aca="false">IF(OR($A262="",$F262=""),"",IF($F262=_xlfn.MINIFS($F$3:$F$502,$A$3:$A$502,$A262),"최저가",""))</f>
        <v/>
      </c>
      <c r="I262" s="8" t="str">
        <f aca="false">IF($H262="최저가",$A262,"")</f>
        <v/>
      </c>
    </row>
    <row r="263" customFormat="false" ht="15" hidden="false" customHeight="false" outlineLevel="0" collapsed="false">
      <c r="A263" s="6"/>
      <c r="B263" s="6"/>
      <c r="C263" s="8" t="str">
        <f aca="false">IF($A263="","",IFERROR(INDEX(품목목록!$B$3:$B$102,MATCH($A263,품목목록!$A$3:$A$102,0)),""))</f>
        <v/>
      </c>
      <c r="D263" s="8" t="str">
        <f aca="false">IF($B263="","",IFERROR(INDEX(업체목록!$B$3:$B$52,MATCH($B263,업체목록!$A$3:$A$52,0)),""))</f>
        <v/>
      </c>
      <c r="E263" s="8" t="str">
        <f aca="false">IF($A263="","",IFERROR(INDEX(품목목록!$D$3:$D$102,MATCH($A263,품목목록!$A$3:$A$102,0)),""))</f>
        <v/>
      </c>
      <c r="F263" s="9"/>
      <c r="G263" s="10" t="str">
        <f aca="false">IF(OR($A263="",$F263=""),"",ROUND($E263*$F263,0))</f>
        <v/>
      </c>
      <c r="H263" s="8" t="str">
        <f aca="false">IF(OR($A263="",$F263=""),"",IF($F263=_xlfn.MINIFS($F$3:$F$502,$A$3:$A$502,$A263),"최저가",""))</f>
        <v/>
      </c>
      <c r="I263" s="8" t="str">
        <f aca="false">IF($H263="최저가",$A263,"")</f>
        <v/>
      </c>
    </row>
    <row r="264" customFormat="false" ht="15" hidden="false" customHeight="false" outlineLevel="0" collapsed="false">
      <c r="A264" s="6"/>
      <c r="B264" s="6"/>
      <c r="C264" s="8" t="str">
        <f aca="false">IF($A264="","",IFERROR(INDEX(품목목록!$B$3:$B$102,MATCH($A264,품목목록!$A$3:$A$102,0)),""))</f>
        <v/>
      </c>
      <c r="D264" s="8" t="str">
        <f aca="false">IF($B264="","",IFERROR(INDEX(업체목록!$B$3:$B$52,MATCH($B264,업체목록!$A$3:$A$52,0)),""))</f>
        <v/>
      </c>
      <c r="E264" s="8" t="str">
        <f aca="false">IF($A264="","",IFERROR(INDEX(품목목록!$D$3:$D$102,MATCH($A264,품목목록!$A$3:$A$102,0)),""))</f>
        <v/>
      </c>
      <c r="F264" s="9"/>
      <c r="G264" s="10" t="str">
        <f aca="false">IF(OR($A264="",$F264=""),"",ROUND($E264*$F264,0))</f>
        <v/>
      </c>
      <c r="H264" s="8" t="str">
        <f aca="false">IF(OR($A264="",$F264=""),"",IF($F264=_xlfn.MINIFS($F$3:$F$502,$A$3:$A$502,$A264),"최저가",""))</f>
        <v/>
      </c>
      <c r="I264" s="8" t="str">
        <f aca="false">IF($H264="최저가",$A264,"")</f>
        <v/>
      </c>
    </row>
    <row r="265" customFormat="false" ht="15" hidden="false" customHeight="false" outlineLevel="0" collapsed="false">
      <c r="A265" s="6"/>
      <c r="B265" s="6"/>
      <c r="C265" s="8" t="str">
        <f aca="false">IF($A265="","",IFERROR(INDEX(품목목록!$B$3:$B$102,MATCH($A265,품목목록!$A$3:$A$102,0)),""))</f>
        <v/>
      </c>
      <c r="D265" s="8" t="str">
        <f aca="false">IF($B265="","",IFERROR(INDEX(업체목록!$B$3:$B$52,MATCH($B265,업체목록!$A$3:$A$52,0)),""))</f>
        <v/>
      </c>
      <c r="E265" s="8" t="str">
        <f aca="false">IF($A265="","",IFERROR(INDEX(품목목록!$D$3:$D$102,MATCH($A265,품목목록!$A$3:$A$102,0)),""))</f>
        <v/>
      </c>
      <c r="F265" s="9"/>
      <c r="G265" s="10" t="str">
        <f aca="false">IF(OR($A265="",$F265=""),"",ROUND($E265*$F265,0))</f>
        <v/>
      </c>
      <c r="H265" s="8" t="str">
        <f aca="false">IF(OR($A265="",$F265=""),"",IF($F265=_xlfn.MINIFS($F$3:$F$502,$A$3:$A$502,$A265),"최저가",""))</f>
        <v/>
      </c>
      <c r="I265" s="8" t="str">
        <f aca="false">IF($H265="최저가",$A265,"")</f>
        <v/>
      </c>
    </row>
    <row r="266" customFormat="false" ht="15" hidden="false" customHeight="false" outlineLevel="0" collapsed="false">
      <c r="A266" s="6"/>
      <c r="B266" s="6"/>
      <c r="C266" s="8" t="str">
        <f aca="false">IF($A266="","",IFERROR(INDEX(품목목록!$B$3:$B$102,MATCH($A266,품목목록!$A$3:$A$102,0)),""))</f>
        <v/>
      </c>
      <c r="D266" s="8" t="str">
        <f aca="false">IF($B266="","",IFERROR(INDEX(업체목록!$B$3:$B$52,MATCH($B266,업체목록!$A$3:$A$52,0)),""))</f>
        <v/>
      </c>
      <c r="E266" s="8" t="str">
        <f aca="false">IF($A266="","",IFERROR(INDEX(품목목록!$D$3:$D$102,MATCH($A266,품목목록!$A$3:$A$102,0)),""))</f>
        <v/>
      </c>
      <c r="F266" s="9"/>
      <c r="G266" s="10" t="str">
        <f aca="false">IF(OR($A266="",$F266=""),"",ROUND($E266*$F266,0))</f>
        <v/>
      </c>
      <c r="H266" s="8" t="str">
        <f aca="false">IF(OR($A266="",$F266=""),"",IF($F266=_xlfn.MINIFS($F$3:$F$502,$A$3:$A$502,$A266),"최저가",""))</f>
        <v/>
      </c>
      <c r="I266" s="8" t="str">
        <f aca="false">IF($H266="최저가",$A266,"")</f>
        <v/>
      </c>
    </row>
    <row r="267" customFormat="false" ht="15" hidden="false" customHeight="false" outlineLevel="0" collapsed="false">
      <c r="A267" s="6"/>
      <c r="B267" s="6"/>
      <c r="C267" s="8" t="str">
        <f aca="false">IF($A267="","",IFERROR(INDEX(품목목록!$B$3:$B$102,MATCH($A267,품목목록!$A$3:$A$102,0)),""))</f>
        <v/>
      </c>
      <c r="D267" s="8" t="str">
        <f aca="false">IF($B267="","",IFERROR(INDEX(업체목록!$B$3:$B$52,MATCH($B267,업체목록!$A$3:$A$52,0)),""))</f>
        <v/>
      </c>
      <c r="E267" s="8" t="str">
        <f aca="false">IF($A267="","",IFERROR(INDEX(품목목록!$D$3:$D$102,MATCH($A267,품목목록!$A$3:$A$102,0)),""))</f>
        <v/>
      </c>
      <c r="F267" s="9"/>
      <c r="G267" s="10" t="str">
        <f aca="false">IF(OR($A267="",$F267=""),"",ROUND($E267*$F267,0))</f>
        <v/>
      </c>
      <c r="H267" s="8" t="str">
        <f aca="false">IF(OR($A267="",$F267=""),"",IF($F267=_xlfn.MINIFS($F$3:$F$502,$A$3:$A$502,$A267),"최저가",""))</f>
        <v/>
      </c>
      <c r="I267" s="8" t="str">
        <f aca="false">IF($H267="최저가",$A267,"")</f>
        <v/>
      </c>
    </row>
    <row r="268" customFormat="false" ht="15" hidden="false" customHeight="false" outlineLevel="0" collapsed="false">
      <c r="A268" s="6"/>
      <c r="B268" s="6"/>
      <c r="C268" s="8" t="str">
        <f aca="false">IF($A268="","",IFERROR(INDEX(품목목록!$B$3:$B$102,MATCH($A268,품목목록!$A$3:$A$102,0)),""))</f>
        <v/>
      </c>
      <c r="D268" s="8" t="str">
        <f aca="false">IF($B268="","",IFERROR(INDEX(업체목록!$B$3:$B$52,MATCH($B268,업체목록!$A$3:$A$52,0)),""))</f>
        <v/>
      </c>
      <c r="E268" s="8" t="str">
        <f aca="false">IF($A268="","",IFERROR(INDEX(품목목록!$D$3:$D$102,MATCH($A268,품목목록!$A$3:$A$102,0)),""))</f>
        <v/>
      </c>
      <c r="F268" s="9"/>
      <c r="G268" s="10" t="str">
        <f aca="false">IF(OR($A268="",$F268=""),"",ROUND($E268*$F268,0))</f>
        <v/>
      </c>
      <c r="H268" s="8" t="str">
        <f aca="false">IF(OR($A268="",$F268=""),"",IF($F268=_xlfn.MINIFS($F$3:$F$502,$A$3:$A$502,$A268),"최저가",""))</f>
        <v/>
      </c>
      <c r="I268" s="8" t="str">
        <f aca="false">IF($H268="최저가",$A268,"")</f>
        <v/>
      </c>
    </row>
    <row r="269" customFormat="false" ht="15" hidden="false" customHeight="false" outlineLevel="0" collapsed="false">
      <c r="A269" s="6"/>
      <c r="B269" s="6"/>
      <c r="C269" s="8" t="str">
        <f aca="false">IF($A269="","",IFERROR(INDEX(품목목록!$B$3:$B$102,MATCH($A269,품목목록!$A$3:$A$102,0)),""))</f>
        <v/>
      </c>
      <c r="D269" s="8" t="str">
        <f aca="false">IF($B269="","",IFERROR(INDEX(업체목록!$B$3:$B$52,MATCH($B269,업체목록!$A$3:$A$52,0)),""))</f>
        <v/>
      </c>
      <c r="E269" s="8" t="str">
        <f aca="false">IF($A269="","",IFERROR(INDEX(품목목록!$D$3:$D$102,MATCH($A269,품목목록!$A$3:$A$102,0)),""))</f>
        <v/>
      </c>
      <c r="F269" s="9"/>
      <c r="G269" s="10" t="str">
        <f aca="false">IF(OR($A269="",$F269=""),"",ROUND($E269*$F269,0))</f>
        <v/>
      </c>
      <c r="H269" s="8" t="str">
        <f aca="false">IF(OR($A269="",$F269=""),"",IF($F269=_xlfn.MINIFS($F$3:$F$502,$A$3:$A$502,$A269),"최저가",""))</f>
        <v/>
      </c>
      <c r="I269" s="8" t="str">
        <f aca="false">IF($H269="최저가",$A269,"")</f>
        <v/>
      </c>
    </row>
    <row r="270" customFormat="false" ht="15" hidden="false" customHeight="false" outlineLevel="0" collapsed="false">
      <c r="A270" s="6"/>
      <c r="B270" s="6"/>
      <c r="C270" s="8" t="str">
        <f aca="false">IF($A270="","",IFERROR(INDEX(품목목록!$B$3:$B$102,MATCH($A270,품목목록!$A$3:$A$102,0)),""))</f>
        <v/>
      </c>
      <c r="D270" s="8" t="str">
        <f aca="false">IF($B270="","",IFERROR(INDEX(업체목록!$B$3:$B$52,MATCH($B270,업체목록!$A$3:$A$52,0)),""))</f>
        <v/>
      </c>
      <c r="E270" s="8" t="str">
        <f aca="false">IF($A270="","",IFERROR(INDEX(품목목록!$D$3:$D$102,MATCH($A270,품목목록!$A$3:$A$102,0)),""))</f>
        <v/>
      </c>
      <c r="F270" s="9"/>
      <c r="G270" s="10" t="str">
        <f aca="false">IF(OR($A270="",$F270=""),"",ROUND($E270*$F270,0))</f>
        <v/>
      </c>
      <c r="H270" s="8" t="str">
        <f aca="false">IF(OR($A270="",$F270=""),"",IF($F270=_xlfn.MINIFS($F$3:$F$502,$A$3:$A$502,$A270),"최저가",""))</f>
        <v/>
      </c>
      <c r="I270" s="8" t="str">
        <f aca="false">IF($H270="최저가",$A270,"")</f>
        <v/>
      </c>
    </row>
    <row r="271" customFormat="false" ht="15" hidden="false" customHeight="false" outlineLevel="0" collapsed="false">
      <c r="A271" s="6"/>
      <c r="B271" s="6"/>
      <c r="C271" s="8" t="str">
        <f aca="false">IF($A271="","",IFERROR(INDEX(품목목록!$B$3:$B$102,MATCH($A271,품목목록!$A$3:$A$102,0)),""))</f>
        <v/>
      </c>
      <c r="D271" s="8" t="str">
        <f aca="false">IF($B271="","",IFERROR(INDEX(업체목록!$B$3:$B$52,MATCH($B271,업체목록!$A$3:$A$52,0)),""))</f>
        <v/>
      </c>
      <c r="E271" s="8" t="str">
        <f aca="false">IF($A271="","",IFERROR(INDEX(품목목록!$D$3:$D$102,MATCH($A271,품목목록!$A$3:$A$102,0)),""))</f>
        <v/>
      </c>
      <c r="F271" s="9"/>
      <c r="G271" s="10" t="str">
        <f aca="false">IF(OR($A271="",$F271=""),"",ROUND($E271*$F271,0))</f>
        <v/>
      </c>
      <c r="H271" s="8" t="str">
        <f aca="false">IF(OR($A271="",$F271=""),"",IF($F271=_xlfn.MINIFS($F$3:$F$502,$A$3:$A$502,$A271),"최저가",""))</f>
        <v/>
      </c>
      <c r="I271" s="8" t="str">
        <f aca="false">IF($H271="최저가",$A271,"")</f>
        <v/>
      </c>
    </row>
    <row r="272" customFormat="false" ht="15" hidden="false" customHeight="false" outlineLevel="0" collapsed="false">
      <c r="A272" s="6"/>
      <c r="B272" s="6"/>
      <c r="C272" s="8" t="str">
        <f aca="false">IF($A272="","",IFERROR(INDEX(품목목록!$B$3:$B$102,MATCH($A272,품목목록!$A$3:$A$102,0)),""))</f>
        <v/>
      </c>
      <c r="D272" s="8" t="str">
        <f aca="false">IF($B272="","",IFERROR(INDEX(업체목록!$B$3:$B$52,MATCH($B272,업체목록!$A$3:$A$52,0)),""))</f>
        <v/>
      </c>
      <c r="E272" s="8" t="str">
        <f aca="false">IF($A272="","",IFERROR(INDEX(품목목록!$D$3:$D$102,MATCH($A272,품목목록!$A$3:$A$102,0)),""))</f>
        <v/>
      </c>
      <c r="F272" s="9"/>
      <c r="G272" s="10" t="str">
        <f aca="false">IF(OR($A272="",$F272=""),"",ROUND($E272*$F272,0))</f>
        <v/>
      </c>
      <c r="H272" s="8" t="str">
        <f aca="false">IF(OR($A272="",$F272=""),"",IF($F272=_xlfn.MINIFS($F$3:$F$502,$A$3:$A$502,$A272),"최저가",""))</f>
        <v/>
      </c>
      <c r="I272" s="8" t="str">
        <f aca="false">IF($H272="최저가",$A272,"")</f>
        <v/>
      </c>
    </row>
    <row r="273" customFormat="false" ht="15" hidden="false" customHeight="false" outlineLevel="0" collapsed="false">
      <c r="A273" s="6"/>
      <c r="B273" s="6"/>
      <c r="C273" s="8" t="str">
        <f aca="false">IF($A273="","",IFERROR(INDEX(품목목록!$B$3:$B$102,MATCH($A273,품목목록!$A$3:$A$102,0)),""))</f>
        <v/>
      </c>
      <c r="D273" s="8" t="str">
        <f aca="false">IF($B273="","",IFERROR(INDEX(업체목록!$B$3:$B$52,MATCH($B273,업체목록!$A$3:$A$52,0)),""))</f>
        <v/>
      </c>
      <c r="E273" s="8" t="str">
        <f aca="false">IF($A273="","",IFERROR(INDEX(품목목록!$D$3:$D$102,MATCH($A273,품목목록!$A$3:$A$102,0)),""))</f>
        <v/>
      </c>
      <c r="F273" s="9"/>
      <c r="G273" s="10" t="str">
        <f aca="false">IF(OR($A273="",$F273=""),"",ROUND($E273*$F273,0))</f>
        <v/>
      </c>
      <c r="H273" s="8" t="str">
        <f aca="false">IF(OR($A273="",$F273=""),"",IF($F273=_xlfn.MINIFS($F$3:$F$502,$A$3:$A$502,$A273),"최저가",""))</f>
        <v/>
      </c>
      <c r="I273" s="8" t="str">
        <f aca="false">IF($H273="최저가",$A273,"")</f>
        <v/>
      </c>
    </row>
    <row r="274" customFormat="false" ht="15" hidden="false" customHeight="false" outlineLevel="0" collapsed="false">
      <c r="A274" s="6"/>
      <c r="B274" s="6"/>
      <c r="C274" s="8" t="str">
        <f aca="false">IF($A274="","",IFERROR(INDEX(품목목록!$B$3:$B$102,MATCH($A274,품목목록!$A$3:$A$102,0)),""))</f>
        <v/>
      </c>
      <c r="D274" s="8" t="str">
        <f aca="false">IF($B274="","",IFERROR(INDEX(업체목록!$B$3:$B$52,MATCH($B274,업체목록!$A$3:$A$52,0)),""))</f>
        <v/>
      </c>
      <c r="E274" s="8" t="str">
        <f aca="false">IF($A274="","",IFERROR(INDEX(품목목록!$D$3:$D$102,MATCH($A274,품목목록!$A$3:$A$102,0)),""))</f>
        <v/>
      </c>
      <c r="F274" s="9"/>
      <c r="G274" s="10" t="str">
        <f aca="false">IF(OR($A274="",$F274=""),"",ROUND($E274*$F274,0))</f>
        <v/>
      </c>
      <c r="H274" s="8" t="str">
        <f aca="false">IF(OR($A274="",$F274=""),"",IF($F274=_xlfn.MINIFS($F$3:$F$502,$A$3:$A$502,$A274),"최저가",""))</f>
        <v/>
      </c>
      <c r="I274" s="8" t="str">
        <f aca="false">IF($H274="최저가",$A274,"")</f>
        <v/>
      </c>
    </row>
    <row r="275" customFormat="false" ht="15" hidden="false" customHeight="false" outlineLevel="0" collapsed="false">
      <c r="A275" s="6"/>
      <c r="B275" s="6"/>
      <c r="C275" s="8" t="str">
        <f aca="false">IF($A275="","",IFERROR(INDEX(품목목록!$B$3:$B$102,MATCH($A275,품목목록!$A$3:$A$102,0)),""))</f>
        <v/>
      </c>
      <c r="D275" s="8" t="str">
        <f aca="false">IF($B275="","",IFERROR(INDEX(업체목록!$B$3:$B$52,MATCH($B275,업체목록!$A$3:$A$52,0)),""))</f>
        <v/>
      </c>
      <c r="E275" s="8" t="str">
        <f aca="false">IF($A275="","",IFERROR(INDEX(품목목록!$D$3:$D$102,MATCH($A275,품목목록!$A$3:$A$102,0)),""))</f>
        <v/>
      </c>
      <c r="F275" s="9"/>
      <c r="G275" s="10" t="str">
        <f aca="false">IF(OR($A275="",$F275=""),"",ROUND($E275*$F275,0))</f>
        <v/>
      </c>
      <c r="H275" s="8" t="str">
        <f aca="false">IF(OR($A275="",$F275=""),"",IF($F275=_xlfn.MINIFS($F$3:$F$502,$A$3:$A$502,$A275),"최저가",""))</f>
        <v/>
      </c>
      <c r="I275" s="8" t="str">
        <f aca="false">IF($H275="최저가",$A275,"")</f>
        <v/>
      </c>
    </row>
    <row r="276" customFormat="false" ht="15" hidden="false" customHeight="false" outlineLevel="0" collapsed="false">
      <c r="A276" s="6"/>
      <c r="B276" s="6"/>
      <c r="C276" s="8" t="str">
        <f aca="false">IF($A276="","",IFERROR(INDEX(품목목록!$B$3:$B$102,MATCH($A276,품목목록!$A$3:$A$102,0)),""))</f>
        <v/>
      </c>
      <c r="D276" s="8" t="str">
        <f aca="false">IF($B276="","",IFERROR(INDEX(업체목록!$B$3:$B$52,MATCH($B276,업체목록!$A$3:$A$52,0)),""))</f>
        <v/>
      </c>
      <c r="E276" s="8" t="str">
        <f aca="false">IF($A276="","",IFERROR(INDEX(품목목록!$D$3:$D$102,MATCH($A276,품목목록!$A$3:$A$102,0)),""))</f>
        <v/>
      </c>
      <c r="F276" s="9"/>
      <c r="G276" s="10" t="str">
        <f aca="false">IF(OR($A276="",$F276=""),"",ROUND($E276*$F276,0))</f>
        <v/>
      </c>
      <c r="H276" s="8" t="str">
        <f aca="false">IF(OR($A276="",$F276=""),"",IF($F276=_xlfn.MINIFS($F$3:$F$502,$A$3:$A$502,$A276),"최저가",""))</f>
        <v/>
      </c>
      <c r="I276" s="8" t="str">
        <f aca="false">IF($H276="최저가",$A276,"")</f>
        <v/>
      </c>
    </row>
    <row r="277" customFormat="false" ht="15" hidden="false" customHeight="false" outlineLevel="0" collapsed="false">
      <c r="A277" s="6"/>
      <c r="B277" s="6"/>
      <c r="C277" s="8" t="str">
        <f aca="false">IF($A277="","",IFERROR(INDEX(품목목록!$B$3:$B$102,MATCH($A277,품목목록!$A$3:$A$102,0)),""))</f>
        <v/>
      </c>
      <c r="D277" s="8" t="str">
        <f aca="false">IF($B277="","",IFERROR(INDEX(업체목록!$B$3:$B$52,MATCH($B277,업체목록!$A$3:$A$52,0)),""))</f>
        <v/>
      </c>
      <c r="E277" s="8" t="str">
        <f aca="false">IF($A277="","",IFERROR(INDEX(품목목록!$D$3:$D$102,MATCH($A277,품목목록!$A$3:$A$102,0)),""))</f>
        <v/>
      </c>
      <c r="F277" s="9"/>
      <c r="G277" s="10" t="str">
        <f aca="false">IF(OR($A277="",$F277=""),"",ROUND($E277*$F277,0))</f>
        <v/>
      </c>
      <c r="H277" s="8" t="str">
        <f aca="false">IF(OR($A277="",$F277=""),"",IF($F277=_xlfn.MINIFS($F$3:$F$502,$A$3:$A$502,$A277),"최저가",""))</f>
        <v/>
      </c>
      <c r="I277" s="8" t="str">
        <f aca="false">IF($H277="최저가",$A277,"")</f>
        <v/>
      </c>
    </row>
    <row r="278" customFormat="false" ht="15" hidden="false" customHeight="false" outlineLevel="0" collapsed="false">
      <c r="A278" s="6"/>
      <c r="B278" s="6"/>
      <c r="C278" s="8" t="str">
        <f aca="false">IF($A278="","",IFERROR(INDEX(품목목록!$B$3:$B$102,MATCH($A278,품목목록!$A$3:$A$102,0)),""))</f>
        <v/>
      </c>
      <c r="D278" s="8" t="str">
        <f aca="false">IF($B278="","",IFERROR(INDEX(업체목록!$B$3:$B$52,MATCH($B278,업체목록!$A$3:$A$52,0)),""))</f>
        <v/>
      </c>
      <c r="E278" s="8" t="str">
        <f aca="false">IF($A278="","",IFERROR(INDEX(품목목록!$D$3:$D$102,MATCH($A278,품목목록!$A$3:$A$102,0)),""))</f>
        <v/>
      </c>
      <c r="F278" s="9"/>
      <c r="G278" s="10" t="str">
        <f aca="false">IF(OR($A278="",$F278=""),"",ROUND($E278*$F278,0))</f>
        <v/>
      </c>
      <c r="H278" s="8" t="str">
        <f aca="false">IF(OR($A278="",$F278=""),"",IF($F278=_xlfn.MINIFS($F$3:$F$502,$A$3:$A$502,$A278),"최저가",""))</f>
        <v/>
      </c>
      <c r="I278" s="8" t="str">
        <f aca="false">IF($H278="최저가",$A278,"")</f>
        <v/>
      </c>
    </row>
    <row r="279" customFormat="false" ht="15" hidden="false" customHeight="false" outlineLevel="0" collapsed="false">
      <c r="A279" s="6"/>
      <c r="B279" s="6"/>
      <c r="C279" s="8" t="str">
        <f aca="false">IF($A279="","",IFERROR(INDEX(품목목록!$B$3:$B$102,MATCH($A279,품목목록!$A$3:$A$102,0)),""))</f>
        <v/>
      </c>
      <c r="D279" s="8" t="str">
        <f aca="false">IF($B279="","",IFERROR(INDEX(업체목록!$B$3:$B$52,MATCH($B279,업체목록!$A$3:$A$52,0)),""))</f>
        <v/>
      </c>
      <c r="E279" s="8" t="str">
        <f aca="false">IF($A279="","",IFERROR(INDEX(품목목록!$D$3:$D$102,MATCH($A279,품목목록!$A$3:$A$102,0)),""))</f>
        <v/>
      </c>
      <c r="F279" s="9"/>
      <c r="G279" s="10" t="str">
        <f aca="false">IF(OR($A279="",$F279=""),"",ROUND($E279*$F279,0))</f>
        <v/>
      </c>
      <c r="H279" s="8" t="str">
        <f aca="false">IF(OR($A279="",$F279=""),"",IF($F279=_xlfn.MINIFS($F$3:$F$502,$A$3:$A$502,$A279),"최저가",""))</f>
        <v/>
      </c>
      <c r="I279" s="8" t="str">
        <f aca="false">IF($H279="최저가",$A279,"")</f>
        <v/>
      </c>
    </row>
    <row r="280" customFormat="false" ht="15" hidden="false" customHeight="false" outlineLevel="0" collapsed="false">
      <c r="A280" s="6"/>
      <c r="B280" s="6"/>
      <c r="C280" s="8" t="str">
        <f aca="false">IF($A280="","",IFERROR(INDEX(품목목록!$B$3:$B$102,MATCH($A280,품목목록!$A$3:$A$102,0)),""))</f>
        <v/>
      </c>
      <c r="D280" s="8" t="str">
        <f aca="false">IF($B280="","",IFERROR(INDEX(업체목록!$B$3:$B$52,MATCH($B280,업체목록!$A$3:$A$52,0)),""))</f>
        <v/>
      </c>
      <c r="E280" s="8" t="str">
        <f aca="false">IF($A280="","",IFERROR(INDEX(품목목록!$D$3:$D$102,MATCH($A280,품목목록!$A$3:$A$102,0)),""))</f>
        <v/>
      </c>
      <c r="F280" s="9"/>
      <c r="G280" s="10" t="str">
        <f aca="false">IF(OR($A280="",$F280=""),"",ROUND($E280*$F280,0))</f>
        <v/>
      </c>
      <c r="H280" s="8" t="str">
        <f aca="false">IF(OR($A280="",$F280=""),"",IF($F280=_xlfn.MINIFS($F$3:$F$502,$A$3:$A$502,$A280),"최저가",""))</f>
        <v/>
      </c>
      <c r="I280" s="8" t="str">
        <f aca="false">IF($H280="최저가",$A280,"")</f>
        <v/>
      </c>
    </row>
    <row r="281" customFormat="false" ht="15" hidden="false" customHeight="false" outlineLevel="0" collapsed="false">
      <c r="A281" s="6"/>
      <c r="B281" s="6"/>
      <c r="C281" s="8" t="str">
        <f aca="false">IF($A281="","",IFERROR(INDEX(품목목록!$B$3:$B$102,MATCH($A281,품목목록!$A$3:$A$102,0)),""))</f>
        <v/>
      </c>
      <c r="D281" s="8" t="str">
        <f aca="false">IF($B281="","",IFERROR(INDEX(업체목록!$B$3:$B$52,MATCH($B281,업체목록!$A$3:$A$52,0)),""))</f>
        <v/>
      </c>
      <c r="E281" s="8" t="str">
        <f aca="false">IF($A281="","",IFERROR(INDEX(품목목록!$D$3:$D$102,MATCH($A281,품목목록!$A$3:$A$102,0)),""))</f>
        <v/>
      </c>
      <c r="F281" s="9"/>
      <c r="G281" s="10" t="str">
        <f aca="false">IF(OR($A281="",$F281=""),"",ROUND($E281*$F281,0))</f>
        <v/>
      </c>
      <c r="H281" s="8" t="str">
        <f aca="false">IF(OR($A281="",$F281=""),"",IF($F281=_xlfn.MINIFS($F$3:$F$502,$A$3:$A$502,$A281),"최저가",""))</f>
        <v/>
      </c>
      <c r="I281" s="8" t="str">
        <f aca="false">IF($H281="최저가",$A281,"")</f>
        <v/>
      </c>
    </row>
    <row r="282" customFormat="false" ht="15" hidden="false" customHeight="false" outlineLevel="0" collapsed="false">
      <c r="A282" s="6"/>
      <c r="B282" s="6"/>
      <c r="C282" s="8" t="str">
        <f aca="false">IF($A282="","",IFERROR(INDEX(품목목록!$B$3:$B$102,MATCH($A282,품목목록!$A$3:$A$102,0)),""))</f>
        <v/>
      </c>
      <c r="D282" s="8" t="str">
        <f aca="false">IF($B282="","",IFERROR(INDEX(업체목록!$B$3:$B$52,MATCH($B282,업체목록!$A$3:$A$52,0)),""))</f>
        <v/>
      </c>
      <c r="E282" s="8" t="str">
        <f aca="false">IF($A282="","",IFERROR(INDEX(품목목록!$D$3:$D$102,MATCH($A282,품목목록!$A$3:$A$102,0)),""))</f>
        <v/>
      </c>
      <c r="F282" s="9"/>
      <c r="G282" s="10" t="str">
        <f aca="false">IF(OR($A282="",$F282=""),"",ROUND($E282*$F282,0))</f>
        <v/>
      </c>
      <c r="H282" s="8" t="str">
        <f aca="false">IF(OR($A282="",$F282=""),"",IF($F282=_xlfn.MINIFS($F$3:$F$502,$A$3:$A$502,$A282),"최저가",""))</f>
        <v/>
      </c>
      <c r="I282" s="8" t="str">
        <f aca="false">IF($H282="최저가",$A282,"")</f>
        <v/>
      </c>
    </row>
    <row r="283" customFormat="false" ht="15" hidden="false" customHeight="false" outlineLevel="0" collapsed="false">
      <c r="A283" s="6"/>
      <c r="B283" s="6"/>
      <c r="C283" s="8" t="str">
        <f aca="false">IF($A283="","",IFERROR(INDEX(품목목록!$B$3:$B$102,MATCH($A283,품목목록!$A$3:$A$102,0)),""))</f>
        <v/>
      </c>
      <c r="D283" s="8" t="str">
        <f aca="false">IF($B283="","",IFERROR(INDEX(업체목록!$B$3:$B$52,MATCH($B283,업체목록!$A$3:$A$52,0)),""))</f>
        <v/>
      </c>
      <c r="E283" s="8" t="str">
        <f aca="false">IF($A283="","",IFERROR(INDEX(품목목록!$D$3:$D$102,MATCH($A283,품목목록!$A$3:$A$102,0)),""))</f>
        <v/>
      </c>
      <c r="F283" s="9"/>
      <c r="G283" s="10" t="str">
        <f aca="false">IF(OR($A283="",$F283=""),"",ROUND($E283*$F283,0))</f>
        <v/>
      </c>
      <c r="H283" s="8" t="str">
        <f aca="false">IF(OR($A283="",$F283=""),"",IF($F283=_xlfn.MINIFS($F$3:$F$502,$A$3:$A$502,$A283),"최저가",""))</f>
        <v/>
      </c>
      <c r="I283" s="8" t="str">
        <f aca="false">IF($H283="최저가",$A283,"")</f>
        <v/>
      </c>
    </row>
    <row r="284" customFormat="false" ht="15" hidden="false" customHeight="false" outlineLevel="0" collapsed="false">
      <c r="A284" s="6"/>
      <c r="B284" s="6"/>
      <c r="C284" s="8" t="str">
        <f aca="false">IF($A284="","",IFERROR(INDEX(품목목록!$B$3:$B$102,MATCH($A284,품목목록!$A$3:$A$102,0)),""))</f>
        <v/>
      </c>
      <c r="D284" s="8" t="str">
        <f aca="false">IF($B284="","",IFERROR(INDEX(업체목록!$B$3:$B$52,MATCH($B284,업체목록!$A$3:$A$52,0)),""))</f>
        <v/>
      </c>
      <c r="E284" s="8" t="str">
        <f aca="false">IF($A284="","",IFERROR(INDEX(품목목록!$D$3:$D$102,MATCH($A284,품목목록!$A$3:$A$102,0)),""))</f>
        <v/>
      </c>
      <c r="F284" s="9"/>
      <c r="G284" s="10" t="str">
        <f aca="false">IF(OR($A284="",$F284=""),"",ROUND($E284*$F284,0))</f>
        <v/>
      </c>
      <c r="H284" s="8" t="str">
        <f aca="false">IF(OR($A284="",$F284=""),"",IF($F284=_xlfn.MINIFS($F$3:$F$502,$A$3:$A$502,$A284),"최저가",""))</f>
        <v/>
      </c>
      <c r="I284" s="8" t="str">
        <f aca="false">IF($H284="최저가",$A284,"")</f>
        <v/>
      </c>
    </row>
    <row r="285" customFormat="false" ht="15" hidden="false" customHeight="false" outlineLevel="0" collapsed="false">
      <c r="A285" s="6"/>
      <c r="B285" s="6"/>
      <c r="C285" s="8" t="str">
        <f aca="false">IF($A285="","",IFERROR(INDEX(품목목록!$B$3:$B$102,MATCH($A285,품목목록!$A$3:$A$102,0)),""))</f>
        <v/>
      </c>
      <c r="D285" s="8" t="str">
        <f aca="false">IF($B285="","",IFERROR(INDEX(업체목록!$B$3:$B$52,MATCH($B285,업체목록!$A$3:$A$52,0)),""))</f>
        <v/>
      </c>
      <c r="E285" s="8" t="str">
        <f aca="false">IF($A285="","",IFERROR(INDEX(품목목록!$D$3:$D$102,MATCH($A285,품목목록!$A$3:$A$102,0)),""))</f>
        <v/>
      </c>
      <c r="F285" s="9"/>
      <c r="G285" s="10" t="str">
        <f aca="false">IF(OR($A285="",$F285=""),"",ROUND($E285*$F285,0))</f>
        <v/>
      </c>
      <c r="H285" s="8" t="str">
        <f aca="false">IF(OR($A285="",$F285=""),"",IF($F285=_xlfn.MINIFS($F$3:$F$502,$A$3:$A$502,$A285),"최저가",""))</f>
        <v/>
      </c>
      <c r="I285" s="8" t="str">
        <f aca="false">IF($H285="최저가",$A285,"")</f>
        <v/>
      </c>
    </row>
    <row r="286" customFormat="false" ht="15" hidden="false" customHeight="false" outlineLevel="0" collapsed="false">
      <c r="A286" s="6"/>
      <c r="B286" s="6"/>
      <c r="C286" s="8" t="str">
        <f aca="false">IF($A286="","",IFERROR(INDEX(품목목록!$B$3:$B$102,MATCH($A286,품목목록!$A$3:$A$102,0)),""))</f>
        <v/>
      </c>
      <c r="D286" s="8" t="str">
        <f aca="false">IF($B286="","",IFERROR(INDEX(업체목록!$B$3:$B$52,MATCH($B286,업체목록!$A$3:$A$52,0)),""))</f>
        <v/>
      </c>
      <c r="E286" s="8" t="str">
        <f aca="false">IF($A286="","",IFERROR(INDEX(품목목록!$D$3:$D$102,MATCH($A286,품목목록!$A$3:$A$102,0)),""))</f>
        <v/>
      </c>
      <c r="F286" s="9"/>
      <c r="G286" s="10" t="str">
        <f aca="false">IF(OR($A286="",$F286=""),"",ROUND($E286*$F286,0))</f>
        <v/>
      </c>
      <c r="H286" s="8" t="str">
        <f aca="false">IF(OR($A286="",$F286=""),"",IF($F286=_xlfn.MINIFS($F$3:$F$502,$A$3:$A$502,$A286),"최저가",""))</f>
        <v/>
      </c>
      <c r="I286" s="8" t="str">
        <f aca="false">IF($H286="최저가",$A286,"")</f>
        <v/>
      </c>
    </row>
    <row r="287" customFormat="false" ht="15" hidden="false" customHeight="false" outlineLevel="0" collapsed="false">
      <c r="A287" s="6"/>
      <c r="B287" s="6"/>
      <c r="C287" s="8" t="str">
        <f aca="false">IF($A287="","",IFERROR(INDEX(품목목록!$B$3:$B$102,MATCH($A287,품목목록!$A$3:$A$102,0)),""))</f>
        <v/>
      </c>
      <c r="D287" s="8" t="str">
        <f aca="false">IF($B287="","",IFERROR(INDEX(업체목록!$B$3:$B$52,MATCH($B287,업체목록!$A$3:$A$52,0)),""))</f>
        <v/>
      </c>
      <c r="E287" s="8" t="str">
        <f aca="false">IF($A287="","",IFERROR(INDEX(품목목록!$D$3:$D$102,MATCH($A287,품목목록!$A$3:$A$102,0)),""))</f>
        <v/>
      </c>
      <c r="F287" s="9"/>
      <c r="G287" s="10" t="str">
        <f aca="false">IF(OR($A287="",$F287=""),"",ROUND($E287*$F287,0))</f>
        <v/>
      </c>
      <c r="H287" s="8" t="str">
        <f aca="false">IF(OR($A287="",$F287=""),"",IF($F287=_xlfn.MINIFS($F$3:$F$502,$A$3:$A$502,$A287),"최저가",""))</f>
        <v/>
      </c>
      <c r="I287" s="8" t="str">
        <f aca="false">IF($H287="최저가",$A287,"")</f>
        <v/>
      </c>
    </row>
    <row r="288" customFormat="false" ht="15" hidden="false" customHeight="false" outlineLevel="0" collapsed="false">
      <c r="A288" s="6"/>
      <c r="B288" s="6"/>
      <c r="C288" s="8" t="str">
        <f aca="false">IF($A288="","",IFERROR(INDEX(품목목록!$B$3:$B$102,MATCH($A288,품목목록!$A$3:$A$102,0)),""))</f>
        <v/>
      </c>
      <c r="D288" s="8" t="str">
        <f aca="false">IF($B288="","",IFERROR(INDEX(업체목록!$B$3:$B$52,MATCH($B288,업체목록!$A$3:$A$52,0)),""))</f>
        <v/>
      </c>
      <c r="E288" s="8" t="str">
        <f aca="false">IF($A288="","",IFERROR(INDEX(품목목록!$D$3:$D$102,MATCH($A288,품목목록!$A$3:$A$102,0)),""))</f>
        <v/>
      </c>
      <c r="F288" s="9"/>
      <c r="G288" s="10" t="str">
        <f aca="false">IF(OR($A288="",$F288=""),"",ROUND($E288*$F288,0))</f>
        <v/>
      </c>
      <c r="H288" s="8" t="str">
        <f aca="false">IF(OR($A288="",$F288=""),"",IF($F288=_xlfn.MINIFS($F$3:$F$502,$A$3:$A$502,$A288),"최저가",""))</f>
        <v/>
      </c>
      <c r="I288" s="8" t="str">
        <f aca="false">IF($H288="최저가",$A288,"")</f>
        <v/>
      </c>
    </row>
    <row r="289" customFormat="false" ht="15" hidden="false" customHeight="false" outlineLevel="0" collapsed="false">
      <c r="A289" s="6"/>
      <c r="B289" s="6"/>
      <c r="C289" s="8" t="str">
        <f aca="false">IF($A289="","",IFERROR(INDEX(품목목록!$B$3:$B$102,MATCH($A289,품목목록!$A$3:$A$102,0)),""))</f>
        <v/>
      </c>
      <c r="D289" s="8" t="str">
        <f aca="false">IF($B289="","",IFERROR(INDEX(업체목록!$B$3:$B$52,MATCH($B289,업체목록!$A$3:$A$52,0)),""))</f>
        <v/>
      </c>
      <c r="E289" s="8" t="str">
        <f aca="false">IF($A289="","",IFERROR(INDEX(품목목록!$D$3:$D$102,MATCH($A289,품목목록!$A$3:$A$102,0)),""))</f>
        <v/>
      </c>
      <c r="F289" s="9"/>
      <c r="G289" s="10" t="str">
        <f aca="false">IF(OR($A289="",$F289=""),"",ROUND($E289*$F289,0))</f>
        <v/>
      </c>
      <c r="H289" s="8" t="str">
        <f aca="false">IF(OR($A289="",$F289=""),"",IF($F289=_xlfn.MINIFS($F$3:$F$502,$A$3:$A$502,$A289),"최저가",""))</f>
        <v/>
      </c>
      <c r="I289" s="8" t="str">
        <f aca="false">IF($H289="최저가",$A289,"")</f>
        <v/>
      </c>
    </row>
    <row r="290" customFormat="false" ht="15" hidden="false" customHeight="false" outlineLevel="0" collapsed="false">
      <c r="A290" s="6"/>
      <c r="B290" s="6"/>
      <c r="C290" s="8" t="str">
        <f aca="false">IF($A290="","",IFERROR(INDEX(품목목록!$B$3:$B$102,MATCH($A290,품목목록!$A$3:$A$102,0)),""))</f>
        <v/>
      </c>
      <c r="D290" s="8" t="str">
        <f aca="false">IF($B290="","",IFERROR(INDEX(업체목록!$B$3:$B$52,MATCH($B290,업체목록!$A$3:$A$52,0)),""))</f>
        <v/>
      </c>
      <c r="E290" s="8" t="str">
        <f aca="false">IF($A290="","",IFERROR(INDEX(품목목록!$D$3:$D$102,MATCH($A290,품목목록!$A$3:$A$102,0)),""))</f>
        <v/>
      </c>
      <c r="F290" s="9"/>
      <c r="G290" s="10" t="str">
        <f aca="false">IF(OR($A290="",$F290=""),"",ROUND($E290*$F290,0))</f>
        <v/>
      </c>
      <c r="H290" s="8" t="str">
        <f aca="false">IF(OR($A290="",$F290=""),"",IF($F290=_xlfn.MINIFS($F$3:$F$502,$A$3:$A$502,$A290),"최저가",""))</f>
        <v/>
      </c>
      <c r="I290" s="8" t="str">
        <f aca="false">IF($H290="최저가",$A290,"")</f>
        <v/>
      </c>
    </row>
    <row r="291" customFormat="false" ht="15" hidden="false" customHeight="false" outlineLevel="0" collapsed="false">
      <c r="A291" s="6"/>
      <c r="B291" s="6"/>
      <c r="C291" s="8" t="str">
        <f aca="false">IF($A291="","",IFERROR(INDEX(품목목록!$B$3:$B$102,MATCH($A291,품목목록!$A$3:$A$102,0)),""))</f>
        <v/>
      </c>
      <c r="D291" s="8" t="str">
        <f aca="false">IF($B291="","",IFERROR(INDEX(업체목록!$B$3:$B$52,MATCH($B291,업체목록!$A$3:$A$52,0)),""))</f>
        <v/>
      </c>
      <c r="E291" s="8" t="str">
        <f aca="false">IF($A291="","",IFERROR(INDEX(품목목록!$D$3:$D$102,MATCH($A291,품목목록!$A$3:$A$102,0)),""))</f>
        <v/>
      </c>
      <c r="F291" s="9"/>
      <c r="G291" s="10" t="str">
        <f aca="false">IF(OR($A291="",$F291=""),"",ROUND($E291*$F291,0))</f>
        <v/>
      </c>
      <c r="H291" s="8" t="str">
        <f aca="false">IF(OR($A291="",$F291=""),"",IF($F291=_xlfn.MINIFS($F$3:$F$502,$A$3:$A$502,$A291),"최저가",""))</f>
        <v/>
      </c>
      <c r="I291" s="8" t="str">
        <f aca="false">IF($H291="최저가",$A291,"")</f>
        <v/>
      </c>
    </row>
    <row r="292" customFormat="false" ht="15" hidden="false" customHeight="false" outlineLevel="0" collapsed="false">
      <c r="A292" s="6"/>
      <c r="B292" s="6"/>
      <c r="C292" s="8" t="str">
        <f aca="false">IF($A292="","",IFERROR(INDEX(품목목록!$B$3:$B$102,MATCH($A292,품목목록!$A$3:$A$102,0)),""))</f>
        <v/>
      </c>
      <c r="D292" s="8" t="str">
        <f aca="false">IF($B292="","",IFERROR(INDEX(업체목록!$B$3:$B$52,MATCH($B292,업체목록!$A$3:$A$52,0)),""))</f>
        <v/>
      </c>
      <c r="E292" s="8" t="str">
        <f aca="false">IF($A292="","",IFERROR(INDEX(품목목록!$D$3:$D$102,MATCH($A292,품목목록!$A$3:$A$102,0)),""))</f>
        <v/>
      </c>
      <c r="F292" s="9"/>
      <c r="G292" s="10" t="str">
        <f aca="false">IF(OR($A292="",$F292=""),"",ROUND($E292*$F292,0))</f>
        <v/>
      </c>
      <c r="H292" s="8" t="str">
        <f aca="false">IF(OR($A292="",$F292=""),"",IF($F292=_xlfn.MINIFS($F$3:$F$502,$A$3:$A$502,$A292),"최저가",""))</f>
        <v/>
      </c>
      <c r="I292" s="8" t="str">
        <f aca="false">IF($H292="최저가",$A292,"")</f>
        <v/>
      </c>
    </row>
    <row r="293" customFormat="false" ht="15" hidden="false" customHeight="false" outlineLevel="0" collapsed="false">
      <c r="A293" s="6"/>
      <c r="B293" s="6"/>
      <c r="C293" s="8" t="str">
        <f aca="false">IF($A293="","",IFERROR(INDEX(품목목록!$B$3:$B$102,MATCH($A293,품목목록!$A$3:$A$102,0)),""))</f>
        <v/>
      </c>
      <c r="D293" s="8" t="str">
        <f aca="false">IF($B293="","",IFERROR(INDEX(업체목록!$B$3:$B$52,MATCH($B293,업체목록!$A$3:$A$52,0)),""))</f>
        <v/>
      </c>
      <c r="E293" s="8" t="str">
        <f aca="false">IF($A293="","",IFERROR(INDEX(품목목록!$D$3:$D$102,MATCH($A293,품목목록!$A$3:$A$102,0)),""))</f>
        <v/>
      </c>
      <c r="F293" s="9"/>
      <c r="G293" s="10" t="str">
        <f aca="false">IF(OR($A293="",$F293=""),"",ROUND($E293*$F293,0))</f>
        <v/>
      </c>
      <c r="H293" s="8" t="str">
        <f aca="false">IF(OR($A293="",$F293=""),"",IF($F293=_xlfn.MINIFS($F$3:$F$502,$A$3:$A$502,$A293),"최저가",""))</f>
        <v/>
      </c>
      <c r="I293" s="8" t="str">
        <f aca="false">IF($H293="최저가",$A293,"")</f>
        <v/>
      </c>
    </row>
    <row r="294" customFormat="false" ht="15" hidden="false" customHeight="false" outlineLevel="0" collapsed="false">
      <c r="A294" s="6"/>
      <c r="B294" s="6"/>
      <c r="C294" s="8" t="str">
        <f aca="false">IF($A294="","",IFERROR(INDEX(품목목록!$B$3:$B$102,MATCH($A294,품목목록!$A$3:$A$102,0)),""))</f>
        <v/>
      </c>
      <c r="D294" s="8" t="str">
        <f aca="false">IF($B294="","",IFERROR(INDEX(업체목록!$B$3:$B$52,MATCH($B294,업체목록!$A$3:$A$52,0)),""))</f>
        <v/>
      </c>
      <c r="E294" s="8" t="str">
        <f aca="false">IF($A294="","",IFERROR(INDEX(품목목록!$D$3:$D$102,MATCH($A294,품목목록!$A$3:$A$102,0)),""))</f>
        <v/>
      </c>
      <c r="F294" s="9"/>
      <c r="G294" s="10" t="str">
        <f aca="false">IF(OR($A294="",$F294=""),"",ROUND($E294*$F294,0))</f>
        <v/>
      </c>
      <c r="H294" s="8" t="str">
        <f aca="false">IF(OR($A294="",$F294=""),"",IF($F294=_xlfn.MINIFS($F$3:$F$502,$A$3:$A$502,$A294),"최저가",""))</f>
        <v/>
      </c>
      <c r="I294" s="8" t="str">
        <f aca="false">IF($H294="최저가",$A294,"")</f>
        <v/>
      </c>
    </row>
    <row r="295" customFormat="false" ht="15" hidden="false" customHeight="false" outlineLevel="0" collapsed="false">
      <c r="A295" s="6"/>
      <c r="B295" s="6"/>
      <c r="C295" s="8" t="str">
        <f aca="false">IF($A295="","",IFERROR(INDEX(품목목록!$B$3:$B$102,MATCH($A295,품목목록!$A$3:$A$102,0)),""))</f>
        <v/>
      </c>
      <c r="D295" s="8" t="str">
        <f aca="false">IF($B295="","",IFERROR(INDEX(업체목록!$B$3:$B$52,MATCH($B295,업체목록!$A$3:$A$52,0)),""))</f>
        <v/>
      </c>
      <c r="E295" s="8" t="str">
        <f aca="false">IF($A295="","",IFERROR(INDEX(품목목록!$D$3:$D$102,MATCH($A295,품목목록!$A$3:$A$102,0)),""))</f>
        <v/>
      </c>
      <c r="F295" s="9"/>
      <c r="G295" s="10" t="str">
        <f aca="false">IF(OR($A295="",$F295=""),"",ROUND($E295*$F295,0))</f>
        <v/>
      </c>
      <c r="H295" s="8" t="str">
        <f aca="false">IF(OR($A295="",$F295=""),"",IF($F295=_xlfn.MINIFS($F$3:$F$502,$A$3:$A$502,$A295),"최저가",""))</f>
        <v/>
      </c>
      <c r="I295" s="8" t="str">
        <f aca="false">IF($H295="최저가",$A295,"")</f>
        <v/>
      </c>
    </row>
    <row r="296" customFormat="false" ht="15" hidden="false" customHeight="false" outlineLevel="0" collapsed="false">
      <c r="A296" s="6"/>
      <c r="B296" s="6"/>
      <c r="C296" s="8" t="str">
        <f aca="false">IF($A296="","",IFERROR(INDEX(품목목록!$B$3:$B$102,MATCH($A296,품목목록!$A$3:$A$102,0)),""))</f>
        <v/>
      </c>
      <c r="D296" s="8" t="str">
        <f aca="false">IF($B296="","",IFERROR(INDEX(업체목록!$B$3:$B$52,MATCH($B296,업체목록!$A$3:$A$52,0)),""))</f>
        <v/>
      </c>
      <c r="E296" s="8" t="str">
        <f aca="false">IF($A296="","",IFERROR(INDEX(품목목록!$D$3:$D$102,MATCH($A296,품목목록!$A$3:$A$102,0)),""))</f>
        <v/>
      </c>
      <c r="F296" s="9"/>
      <c r="G296" s="10" t="str">
        <f aca="false">IF(OR($A296="",$F296=""),"",ROUND($E296*$F296,0))</f>
        <v/>
      </c>
      <c r="H296" s="8" t="str">
        <f aca="false">IF(OR($A296="",$F296=""),"",IF($F296=_xlfn.MINIFS($F$3:$F$502,$A$3:$A$502,$A296),"최저가",""))</f>
        <v/>
      </c>
      <c r="I296" s="8" t="str">
        <f aca="false">IF($H296="최저가",$A296,"")</f>
        <v/>
      </c>
    </row>
    <row r="297" customFormat="false" ht="15" hidden="false" customHeight="false" outlineLevel="0" collapsed="false">
      <c r="A297" s="6"/>
      <c r="B297" s="6"/>
      <c r="C297" s="8" t="str">
        <f aca="false">IF($A297="","",IFERROR(INDEX(품목목록!$B$3:$B$102,MATCH($A297,품목목록!$A$3:$A$102,0)),""))</f>
        <v/>
      </c>
      <c r="D297" s="8" t="str">
        <f aca="false">IF($B297="","",IFERROR(INDEX(업체목록!$B$3:$B$52,MATCH($B297,업체목록!$A$3:$A$52,0)),""))</f>
        <v/>
      </c>
      <c r="E297" s="8" t="str">
        <f aca="false">IF($A297="","",IFERROR(INDEX(품목목록!$D$3:$D$102,MATCH($A297,품목목록!$A$3:$A$102,0)),""))</f>
        <v/>
      </c>
      <c r="F297" s="9"/>
      <c r="G297" s="10" t="str">
        <f aca="false">IF(OR($A297="",$F297=""),"",ROUND($E297*$F297,0))</f>
        <v/>
      </c>
      <c r="H297" s="8" t="str">
        <f aca="false">IF(OR($A297="",$F297=""),"",IF($F297=_xlfn.MINIFS($F$3:$F$502,$A$3:$A$502,$A297),"최저가",""))</f>
        <v/>
      </c>
      <c r="I297" s="8" t="str">
        <f aca="false">IF($H297="최저가",$A297,"")</f>
        <v/>
      </c>
    </row>
    <row r="298" customFormat="false" ht="15" hidden="false" customHeight="false" outlineLevel="0" collapsed="false">
      <c r="A298" s="6"/>
      <c r="B298" s="6"/>
      <c r="C298" s="8" t="str">
        <f aca="false">IF($A298="","",IFERROR(INDEX(품목목록!$B$3:$B$102,MATCH($A298,품목목록!$A$3:$A$102,0)),""))</f>
        <v/>
      </c>
      <c r="D298" s="8" t="str">
        <f aca="false">IF($B298="","",IFERROR(INDEX(업체목록!$B$3:$B$52,MATCH($B298,업체목록!$A$3:$A$52,0)),""))</f>
        <v/>
      </c>
      <c r="E298" s="8" t="str">
        <f aca="false">IF($A298="","",IFERROR(INDEX(품목목록!$D$3:$D$102,MATCH($A298,품목목록!$A$3:$A$102,0)),""))</f>
        <v/>
      </c>
      <c r="F298" s="9"/>
      <c r="G298" s="10" t="str">
        <f aca="false">IF(OR($A298="",$F298=""),"",ROUND($E298*$F298,0))</f>
        <v/>
      </c>
      <c r="H298" s="8" t="str">
        <f aca="false">IF(OR($A298="",$F298=""),"",IF($F298=_xlfn.MINIFS($F$3:$F$502,$A$3:$A$502,$A298),"최저가",""))</f>
        <v/>
      </c>
      <c r="I298" s="8" t="str">
        <f aca="false">IF($H298="최저가",$A298,"")</f>
        <v/>
      </c>
    </row>
    <row r="299" customFormat="false" ht="15" hidden="false" customHeight="false" outlineLevel="0" collapsed="false">
      <c r="A299" s="6"/>
      <c r="B299" s="6"/>
      <c r="C299" s="8" t="str">
        <f aca="false">IF($A299="","",IFERROR(INDEX(품목목록!$B$3:$B$102,MATCH($A299,품목목록!$A$3:$A$102,0)),""))</f>
        <v/>
      </c>
      <c r="D299" s="8" t="str">
        <f aca="false">IF($B299="","",IFERROR(INDEX(업체목록!$B$3:$B$52,MATCH($B299,업체목록!$A$3:$A$52,0)),""))</f>
        <v/>
      </c>
      <c r="E299" s="8" t="str">
        <f aca="false">IF($A299="","",IFERROR(INDEX(품목목록!$D$3:$D$102,MATCH($A299,품목목록!$A$3:$A$102,0)),""))</f>
        <v/>
      </c>
      <c r="F299" s="9"/>
      <c r="G299" s="10" t="str">
        <f aca="false">IF(OR($A299="",$F299=""),"",ROUND($E299*$F299,0))</f>
        <v/>
      </c>
      <c r="H299" s="8" t="str">
        <f aca="false">IF(OR($A299="",$F299=""),"",IF($F299=_xlfn.MINIFS($F$3:$F$502,$A$3:$A$502,$A299),"최저가",""))</f>
        <v/>
      </c>
      <c r="I299" s="8" t="str">
        <f aca="false">IF($H299="최저가",$A299,"")</f>
        <v/>
      </c>
    </row>
    <row r="300" customFormat="false" ht="15" hidden="false" customHeight="false" outlineLevel="0" collapsed="false">
      <c r="A300" s="6"/>
      <c r="B300" s="6"/>
      <c r="C300" s="8" t="str">
        <f aca="false">IF($A300="","",IFERROR(INDEX(품목목록!$B$3:$B$102,MATCH($A300,품목목록!$A$3:$A$102,0)),""))</f>
        <v/>
      </c>
      <c r="D300" s="8" t="str">
        <f aca="false">IF($B300="","",IFERROR(INDEX(업체목록!$B$3:$B$52,MATCH($B300,업체목록!$A$3:$A$52,0)),""))</f>
        <v/>
      </c>
      <c r="E300" s="8" t="str">
        <f aca="false">IF($A300="","",IFERROR(INDEX(품목목록!$D$3:$D$102,MATCH($A300,품목목록!$A$3:$A$102,0)),""))</f>
        <v/>
      </c>
      <c r="F300" s="9"/>
      <c r="G300" s="10" t="str">
        <f aca="false">IF(OR($A300="",$F300=""),"",ROUND($E300*$F300,0))</f>
        <v/>
      </c>
      <c r="H300" s="8" t="str">
        <f aca="false">IF(OR($A300="",$F300=""),"",IF($F300=_xlfn.MINIFS($F$3:$F$502,$A$3:$A$502,$A300),"최저가",""))</f>
        <v/>
      </c>
      <c r="I300" s="8" t="str">
        <f aca="false">IF($H300="최저가",$A300,"")</f>
        <v/>
      </c>
    </row>
    <row r="301" customFormat="false" ht="15" hidden="false" customHeight="false" outlineLevel="0" collapsed="false">
      <c r="A301" s="6"/>
      <c r="B301" s="6"/>
      <c r="C301" s="8" t="str">
        <f aca="false">IF($A301="","",IFERROR(INDEX(품목목록!$B$3:$B$102,MATCH($A301,품목목록!$A$3:$A$102,0)),""))</f>
        <v/>
      </c>
      <c r="D301" s="8" t="str">
        <f aca="false">IF($B301="","",IFERROR(INDEX(업체목록!$B$3:$B$52,MATCH($B301,업체목록!$A$3:$A$52,0)),""))</f>
        <v/>
      </c>
      <c r="E301" s="8" t="str">
        <f aca="false">IF($A301="","",IFERROR(INDEX(품목목록!$D$3:$D$102,MATCH($A301,품목목록!$A$3:$A$102,0)),""))</f>
        <v/>
      </c>
      <c r="F301" s="9"/>
      <c r="G301" s="10" t="str">
        <f aca="false">IF(OR($A301="",$F301=""),"",ROUND($E301*$F301,0))</f>
        <v/>
      </c>
      <c r="H301" s="8" t="str">
        <f aca="false">IF(OR($A301="",$F301=""),"",IF($F301=_xlfn.MINIFS($F$3:$F$502,$A$3:$A$502,$A301),"최저가",""))</f>
        <v/>
      </c>
      <c r="I301" s="8" t="str">
        <f aca="false">IF($H301="최저가",$A301,"")</f>
        <v/>
      </c>
    </row>
    <row r="302" customFormat="false" ht="15" hidden="false" customHeight="false" outlineLevel="0" collapsed="false">
      <c r="A302" s="6"/>
      <c r="B302" s="6"/>
      <c r="C302" s="8" t="str">
        <f aca="false">IF($A302="","",IFERROR(INDEX(품목목록!$B$3:$B$102,MATCH($A302,품목목록!$A$3:$A$102,0)),""))</f>
        <v/>
      </c>
      <c r="D302" s="8" t="str">
        <f aca="false">IF($B302="","",IFERROR(INDEX(업체목록!$B$3:$B$52,MATCH($B302,업체목록!$A$3:$A$52,0)),""))</f>
        <v/>
      </c>
      <c r="E302" s="8" t="str">
        <f aca="false">IF($A302="","",IFERROR(INDEX(품목목록!$D$3:$D$102,MATCH($A302,품목목록!$A$3:$A$102,0)),""))</f>
        <v/>
      </c>
      <c r="F302" s="9"/>
      <c r="G302" s="10" t="str">
        <f aca="false">IF(OR($A302="",$F302=""),"",ROUND($E302*$F302,0))</f>
        <v/>
      </c>
      <c r="H302" s="8" t="str">
        <f aca="false">IF(OR($A302="",$F302=""),"",IF($F302=_xlfn.MINIFS($F$3:$F$502,$A$3:$A$502,$A302),"최저가",""))</f>
        <v/>
      </c>
      <c r="I302" s="8" t="str">
        <f aca="false">IF($H302="최저가",$A302,"")</f>
        <v/>
      </c>
    </row>
    <row r="303" customFormat="false" ht="15" hidden="false" customHeight="false" outlineLevel="0" collapsed="false">
      <c r="A303" s="6"/>
      <c r="B303" s="6"/>
      <c r="C303" s="8" t="str">
        <f aca="false">IF($A303="","",IFERROR(INDEX(품목목록!$B$3:$B$102,MATCH($A303,품목목록!$A$3:$A$102,0)),""))</f>
        <v/>
      </c>
      <c r="D303" s="8" t="str">
        <f aca="false">IF($B303="","",IFERROR(INDEX(업체목록!$B$3:$B$52,MATCH($B303,업체목록!$A$3:$A$52,0)),""))</f>
        <v/>
      </c>
      <c r="E303" s="8" t="str">
        <f aca="false">IF($A303="","",IFERROR(INDEX(품목목록!$D$3:$D$102,MATCH($A303,품목목록!$A$3:$A$102,0)),""))</f>
        <v/>
      </c>
      <c r="F303" s="9"/>
      <c r="G303" s="10" t="str">
        <f aca="false">IF(OR($A303="",$F303=""),"",ROUND($E303*$F303,0))</f>
        <v/>
      </c>
      <c r="H303" s="8" t="str">
        <f aca="false">IF(OR($A303="",$F303=""),"",IF($F303=_xlfn.MINIFS($F$3:$F$502,$A$3:$A$502,$A303),"최저가",""))</f>
        <v/>
      </c>
      <c r="I303" s="8" t="str">
        <f aca="false">IF($H303="최저가",$A303,"")</f>
        <v/>
      </c>
    </row>
    <row r="304" customFormat="false" ht="15" hidden="false" customHeight="false" outlineLevel="0" collapsed="false">
      <c r="A304" s="6"/>
      <c r="B304" s="6"/>
      <c r="C304" s="8" t="str">
        <f aca="false">IF($A304="","",IFERROR(INDEX(품목목록!$B$3:$B$102,MATCH($A304,품목목록!$A$3:$A$102,0)),""))</f>
        <v/>
      </c>
      <c r="D304" s="8" t="str">
        <f aca="false">IF($B304="","",IFERROR(INDEX(업체목록!$B$3:$B$52,MATCH($B304,업체목록!$A$3:$A$52,0)),""))</f>
        <v/>
      </c>
      <c r="E304" s="8" t="str">
        <f aca="false">IF($A304="","",IFERROR(INDEX(품목목록!$D$3:$D$102,MATCH($A304,품목목록!$A$3:$A$102,0)),""))</f>
        <v/>
      </c>
      <c r="F304" s="9"/>
      <c r="G304" s="10" t="str">
        <f aca="false">IF(OR($A304="",$F304=""),"",ROUND($E304*$F304,0))</f>
        <v/>
      </c>
      <c r="H304" s="8" t="str">
        <f aca="false">IF(OR($A304="",$F304=""),"",IF($F304=_xlfn.MINIFS($F$3:$F$502,$A$3:$A$502,$A304),"최저가",""))</f>
        <v/>
      </c>
      <c r="I304" s="8" t="str">
        <f aca="false">IF($H304="최저가",$A304,"")</f>
        <v/>
      </c>
    </row>
    <row r="305" customFormat="false" ht="15" hidden="false" customHeight="false" outlineLevel="0" collapsed="false">
      <c r="A305" s="6"/>
      <c r="B305" s="6"/>
      <c r="C305" s="8" t="str">
        <f aca="false">IF($A305="","",IFERROR(INDEX(품목목록!$B$3:$B$102,MATCH($A305,품목목록!$A$3:$A$102,0)),""))</f>
        <v/>
      </c>
      <c r="D305" s="8" t="str">
        <f aca="false">IF($B305="","",IFERROR(INDEX(업체목록!$B$3:$B$52,MATCH($B305,업체목록!$A$3:$A$52,0)),""))</f>
        <v/>
      </c>
      <c r="E305" s="8" t="str">
        <f aca="false">IF($A305="","",IFERROR(INDEX(품목목록!$D$3:$D$102,MATCH($A305,품목목록!$A$3:$A$102,0)),""))</f>
        <v/>
      </c>
      <c r="F305" s="9"/>
      <c r="G305" s="10" t="str">
        <f aca="false">IF(OR($A305="",$F305=""),"",ROUND($E305*$F305,0))</f>
        <v/>
      </c>
      <c r="H305" s="8" t="str">
        <f aca="false">IF(OR($A305="",$F305=""),"",IF($F305=_xlfn.MINIFS($F$3:$F$502,$A$3:$A$502,$A305),"최저가",""))</f>
        <v/>
      </c>
      <c r="I305" s="8" t="str">
        <f aca="false">IF($H305="최저가",$A305,"")</f>
        <v/>
      </c>
    </row>
    <row r="306" customFormat="false" ht="15" hidden="false" customHeight="false" outlineLevel="0" collapsed="false">
      <c r="A306" s="6"/>
      <c r="B306" s="6"/>
      <c r="C306" s="8" t="str">
        <f aca="false">IF($A306="","",IFERROR(INDEX(품목목록!$B$3:$B$102,MATCH($A306,품목목록!$A$3:$A$102,0)),""))</f>
        <v/>
      </c>
      <c r="D306" s="8" t="str">
        <f aca="false">IF($B306="","",IFERROR(INDEX(업체목록!$B$3:$B$52,MATCH($B306,업체목록!$A$3:$A$52,0)),""))</f>
        <v/>
      </c>
      <c r="E306" s="8" t="str">
        <f aca="false">IF($A306="","",IFERROR(INDEX(품목목록!$D$3:$D$102,MATCH($A306,품목목록!$A$3:$A$102,0)),""))</f>
        <v/>
      </c>
      <c r="F306" s="9"/>
      <c r="G306" s="10" t="str">
        <f aca="false">IF(OR($A306="",$F306=""),"",ROUND($E306*$F306,0))</f>
        <v/>
      </c>
      <c r="H306" s="8" t="str">
        <f aca="false">IF(OR($A306="",$F306=""),"",IF($F306=_xlfn.MINIFS($F$3:$F$502,$A$3:$A$502,$A306),"최저가",""))</f>
        <v/>
      </c>
      <c r="I306" s="8" t="str">
        <f aca="false">IF($H306="최저가",$A306,"")</f>
        <v/>
      </c>
    </row>
    <row r="307" customFormat="false" ht="15" hidden="false" customHeight="false" outlineLevel="0" collapsed="false">
      <c r="A307" s="6"/>
      <c r="B307" s="6"/>
      <c r="C307" s="8" t="str">
        <f aca="false">IF($A307="","",IFERROR(INDEX(품목목록!$B$3:$B$102,MATCH($A307,품목목록!$A$3:$A$102,0)),""))</f>
        <v/>
      </c>
      <c r="D307" s="8" t="str">
        <f aca="false">IF($B307="","",IFERROR(INDEX(업체목록!$B$3:$B$52,MATCH($B307,업체목록!$A$3:$A$52,0)),""))</f>
        <v/>
      </c>
      <c r="E307" s="8" t="str">
        <f aca="false">IF($A307="","",IFERROR(INDEX(품목목록!$D$3:$D$102,MATCH($A307,품목목록!$A$3:$A$102,0)),""))</f>
        <v/>
      </c>
      <c r="F307" s="9"/>
      <c r="G307" s="10" t="str">
        <f aca="false">IF(OR($A307="",$F307=""),"",ROUND($E307*$F307,0))</f>
        <v/>
      </c>
      <c r="H307" s="8" t="str">
        <f aca="false">IF(OR($A307="",$F307=""),"",IF($F307=_xlfn.MINIFS($F$3:$F$502,$A$3:$A$502,$A307),"최저가",""))</f>
        <v/>
      </c>
      <c r="I307" s="8" t="str">
        <f aca="false">IF($H307="최저가",$A307,"")</f>
        <v/>
      </c>
    </row>
    <row r="308" customFormat="false" ht="15" hidden="false" customHeight="false" outlineLevel="0" collapsed="false">
      <c r="A308" s="6"/>
      <c r="B308" s="6"/>
      <c r="C308" s="8" t="str">
        <f aca="false">IF($A308="","",IFERROR(INDEX(품목목록!$B$3:$B$102,MATCH($A308,품목목록!$A$3:$A$102,0)),""))</f>
        <v/>
      </c>
      <c r="D308" s="8" t="str">
        <f aca="false">IF($B308="","",IFERROR(INDEX(업체목록!$B$3:$B$52,MATCH($B308,업체목록!$A$3:$A$52,0)),""))</f>
        <v/>
      </c>
      <c r="E308" s="8" t="str">
        <f aca="false">IF($A308="","",IFERROR(INDEX(품목목록!$D$3:$D$102,MATCH($A308,품목목록!$A$3:$A$102,0)),""))</f>
        <v/>
      </c>
      <c r="F308" s="9"/>
      <c r="G308" s="10" t="str">
        <f aca="false">IF(OR($A308="",$F308=""),"",ROUND($E308*$F308,0))</f>
        <v/>
      </c>
      <c r="H308" s="8" t="str">
        <f aca="false">IF(OR($A308="",$F308=""),"",IF($F308=_xlfn.MINIFS($F$3:$F$502,$A$3:$A$502,$A308),"최저가",""))</f>
        <v/>
      </c>
      <c r="I308" s="8" t="str">
        <f aca="false">IF($H308="최저가",$A308,"")</f>
        <v/>
      </c>
    </row>
    <row r="309" customFormat="false" ht="15" hidden="false" customHeight="false" outlineLevel="0" collapsed="false">
      <c r="A309" s="6"/>
      <c r="B309" s="6"/>
      <c r="C309" s="8" t="str">
        <f aca="false">IF($A309="","",IFERROR(INDEX(품목목록!$B$3:$B$102,MATCH($A309,품목목록!$A$3:$A$102,0)),""))</f>
        <v/>
      </c>
      <c r="D309" s="8" t="str">
        <f aca="false">IF($B309="","",IFERROR(INDEX(업체목록!$B$3:$B$52,MATCH($B309,업체목록!$A$3:$A$52,0)),""))</f>
        <v/>
      </c>
      <c r="E309" s="8" t="str">
        <f aca="false">IF($A309="","",IFERROR(INDEX(품목목록!$D$3:$D$102,MATCH($A309,품목목록!$A$3:$A$102,0)),""))</f>
        <v/>
      </c>
      <c r="F309" s="9"/>
      <c r="G309" s="10" t="str">
        <f aca="false">IF(OR($A309="",$F309=""),"",ROUND($E309*$F309,0))</f>
        <v/>
      </c>
      <c r="H309" s="8" t="str">
        <f aca="false">IF(OR($A309="",$F309=""),"",IF($F309=_xlfn.MINIFS($F$3:$F$502,$A$3:$A$502,$A309),"최저가",""))</f>
        <v/>
      </c>
      <c r="I309" s="8" t="str">
        <f aca="false">IF($H309="최저가",$A309,"")</f>
        <v/>
      </c>
    </row>
    <row r="310" customFormat="false" ht="15" hidden="false" customHeight="false" outlineLevel="0" collapsed="false">
      <c r="A310" s="6"/>
      <c r="B310" s="6"/>
      <c r="C310" s="8" t="str">
        <f aca="false">IF($A310="","",IFERROR(INDEX(품목목록!$B$3:$B$102,MATCH($A310,품목목록!$A$3:$A$102,0)),""))</f>
        <v/>
      </c>
      <c r="D310" s="8" t="str">
        <f aca="false">IF($B310="","",IFERROR(INDEX(업체목록!$B$3:$B$52,MATCH($B310,업체목록!$A$3:$A$52,0)),""))</f>
        <v/>
      </c>
      <c r="E310" s="8" t="str">
        <f aca="false">IF($A310="","",IFERROR(INDEX(품목목록!$D$3:$D$102,MATCH($A310,품목목록!$A$3:$A$102,0)),""))</f>
        <v/>
      </c>
      <c r="F310" s="9"/>
      <c r="G310" s="10" t="str">
        <f aca="false">IF(OR($A310="",$F310=""),"",ROUND($E310*$F310,0))</f>
        <v/>
      </c>
      <c r="H310" s="8" t="str">
        <f aca="false">IF(OR($A310="",$F310=""),"",IF($F310=_xlfn.MINIFS($F$3:$F$502,$A$3:$A$502,$A310),"최저가",""))</f>
        <v/>
      </c>
      <c r="I310" s="8" t="str">
        <f aca="false">IF($H310="최저가",$A310,"")</f>
        <v/>
      </c>
    </row>
    <row r="311" customFormat="false" ht="15" hidden="false" customHeight="false" outlineLevel="0" collapsed="false">
      <c r="A311" s="6"/>
      <c r="B311" s="6"/>
      <c r="C311" s="8" t="str">
        <f aca="false">IF($A311="","",IFERROR(INDEX(품목목록!$B$3:$B$102,MATCH($A311,품목목록!$A$3:$A$102,0)),""))</f>
        <v/>
      </c>
      <c r="D311" s="8" t="str">
        <f aca="false">IF($B311="","",IFERROR(INDEX(업체목록!$B$3:$B$52,MATCH($B311,업체목록!$A$3:$A$52,0)),""))</f>
        <v/>
      </c>
      <c r="E311" s="8" t="str">
        <f aca="false">IF($A311="","",IFERROR(INDEX(품목목록!$D$3:$D$102,MATCH($A311,품목목록!$A$3:$A$102,0)),""))</f>
        <v/>
      </c>
      <c r="F311" s="9"/>
      <c r="G311" s="10" t="str">
        <f aca="false">IF(OR($A311="",$F311=""),"",ROUND($E311*$F311,0))</f>
        <v/>
      </c>
      <c r="H311" s="8" t="str">
        <f aca="false">IF(OR($A311="",$F311=""),"",IF($F311=_xlfn.MINIFS($F$3:$F$502,$A$3:$A$502,$A311),"최저가",""))</f>
        <v/>
      </c>
      <c r="I311" s="8" t="str">
        <f aca="false">IF($H311="최저가",$A311,"")</f>
        <v/>
      </c>
    </row>
    <row r="312" customFormat="false" ht="15" hidden="false" customHeight="false" outlineLevel="0" collapsed="false">
      <c r="A312" s="6"/>
      <c r="B312" s="6"/>
      <c r="C312" s="8" t="str">
        <f aca="false">IF($A312="","",IFERROR(INDEX(품목목록!$B$3:$B$102,MATCH($A312,품목목록!$A$3:$A$102,0)),""))</f>
        <v/>
      </c>
      <c r="D312" s="8" t="str">
        <f aca="false">IF($B312="","",IFERROR(INDEX(업체목록!$B$3:$B$52,MATCH($B312,업체목록!$A$3:$A$52,0)),""))</f>
        <v/>
      </c>
      <c r="E312" s="8" t="str">
        <f aca="false">IF($A312="","",IFERROR(INDEX(품목목록!$D$3:$D$102,MATCH($A312,품목목록!$A$3:$A$102,0)),""))</f>
        <v/>
      </c>
      <c r="F312" s="9"/>
      <c r="G312" s="10" t="str">
        <f aca="false">IF(OR($A312="",$F312=""),"",ROUND($E312*$F312,0))</f>
        <v/>
      </c>
      <c r="H312" s="8" t="str">
        <f aca="false">IF(OR($A312="",$F312=""),"",IF($F312=_xlfn.MINIFS($F$3:$F$502,$A$3:$A$502,$A312),"최저가",""))</f>
        <v/>
      </c>
      <c r="I312" s="8" t="str">
        <f aca="false">IF($H312="최저가",$A312,"")</f>
        <v/>
      </c>
    </row>
    <row r="313" customFormat="false" ht="15" hidden="false" customHeight="false" outlineLevel="0" collapsed="false">
      <c r="A313" s="6"/>
      <c r="B313" s="6"/>
      <c r="C313" s="8" t="str">
        <f aca="false">IF($A313="","",IFERROR(INDEX(품목목록!$B$3:$B$102,MATCH($A313,품목목록!$A$3:$A$102,0)),""))</f>
        <v/>
      </c>
      <c r="D313" s="8" t="str">
        <f aca="false">IF($B313="","",IFERROR(INDEX(업체목록!$B$3:$B$52,MATCH($B313,업체목록!$A$3:$A$52,0)),""))</f>
        <v/>
      </c>
      <c r="E313" s="8" t="str">
        <f aca="false">IF($A313="","",IFERROR(INDEX(품목목록!$D$3:$D$102,MATCH($A313,품목목록!$A$3:$A$102,0)),""))</f>
        <v/>
      </c>
      <c r="F313" s="9"/>
      <c r="G313" s="10" t="str">
        <f aca="false">IF(OR($A313="",$F313=""),"",ROUND($E313*$F313,0))</f>
        <v/>
      </c>
      <c r="H313" s="8" t="str">
        <f aca="false">IF(OR($A313="",$F313=""),"",IF($F313=_xlfn.MINIFS($F$3:$F$502,$A$3:$A$502,$A313),"최저가",""))</f>
        <v/>
      </c>
      <c r="I313" s="8" t="str">
        <f aca="false">IF($H313="최저가",$A313,"")</f>
        <v/>
      </c>
    </row>
    <row r="314" customFormat="false" ht="15" hidden="false" customHeight="false" outlineLevel="0" collapsed="false">
      <c r="A314" s="6"/>
      <c r="B314" s="6"/>
      <c r="C314" s="8" t="str">
        <f aca="false">IF($A314="","",IFERROR(INDEX(품목목록!$B$3:$B$102,MATCH($A314,품목목록!$A$3:$A$102,0)),""))</f>
        <v/>
      </c>
      <c r="D314" s="8" t="str">
        <f aca="false">IF($B314="","",IFERROR(INDEX(업체목록!$B$3:$B$52,MATCH($B314,업체목록!$A$3:$A$52,0)),""))</f>
        <v/>
      </c>
      <c r="E314" s="8" t="str">
        <f aca="false">IF($A314="","",IFERROR(INDEX(품목목록!$D$3:$D$102,MATCH($A314,품목목록!$A$3:$A$102,0)),""))</f>
        <v/>
      </c>
      <c r="F314" s="9"/>
      <c r="G314" s="10" t="str">
        <f aca="false">IF(OR($A314="",$F314=""),"",ROUND($E314*$F314,0))</f>
        <v/>
      </c>
      <c r="H314" s="8" t="str">
        <f aca="false">IF(OR($A314="",$F314=""),"",IF($F314=_xlfn.MINIFS($F$3:$F$502,$A$3:$A$502,$A314),"최저가",""))</f>
        <v/>
      </c>
      <c r="I314" s="8" t="str">
        <f aca="false">IF($H314="최저가",$A314,"")</f>
        <v/>
      </c>
    </row>
    <row r="315" customFormat="false" ht="15" hidden="false" customHeight="false" outlineLevel="0" collapsed="false">
      <c r="A315" s="6"/>
      <c r="B315" s="6"/>
      <c r="C315" s="8" t="str">
        <f aca="false">IF($A315="","",IFERROR(INDEX(품목목록!$B$3:$B$102,MATCH($A315,품목목록!$A$3:$A$102,0)),""))</f>
        <v/>
      </c>
      <c r="D315" s="8" t="str">
        <f aca="false">IF($B315="","",IFERROR(INDEX(업체목록!$B$3:$B$52,MATCH($B315,업체목록!$A$3:$A$52,0)),""))</f>
        <v/>
      </c>
      <c r="E315" s="8" t="str">
        <f aca="false">IF($A315="","",IFERROR(INDEX(품목목록!$D$3:$D$102,MATCH($A315,품목목록!$A$3:$A$102,0)),""))</f>
        <v/>
      </c>
      <c r="F315" s="9"/>
      <c r="G315" s="10" t="str">
        <f aca="false">IF(OR($A315="",$F315=""),"",ROUND($E315*$F315,0))</f>
        <v/>
      </c>
      <c r="H315" s="8" t="str">
        <f aca="false">IF(OR($A315="",$F315=""),"",IF($F315=_xlfn.MINIFS($F$3:$F$502,$A$3:$A$502,$A315),"최저가",""))</f>
        <v/>
      </c>
      <c r="I315" s="8" t="str">
        <f aca="false">IF($H315="최저가",$A315,"")</f>
        <v/>
      </c>
    </row>
    <row r="316" customFormat="false" ht="15" hidden="false" customHeight="false" outlineLevel="0" collapsed="false">
      <c r="A316" s="6"/>
      <c r="B316" s="6"/>
      <c r="C316" s="8" t="str">
        <f aca="false">IF($A316="","",IFERROR(INDEX(품목목록!$B$3:$B$102,MATCH($A316,품목목록!$A$3:$A$102,0)),""))</f>
        <v/>
      </c>
      <c r="D316" s="8" t="str">
        <f aca="false">IF($B316="","",IFERROR(INDEX(업체목록!$B$3:$B$52,MATCH($B316,업체목록!$A$3:$A$52,0)),""))</f>
        <v/>
      </c>
      <c r="E316" s="8" t="str">
        <f aca="false">IF($A316="","",IFERROR(INDEX(품목목록!$D$3:$D$102,MATCH($A316,품목목록!$A$3:$A$102,0)),""))</f>
        <v/>
      </c>
      <c r="F316" s="9"/>
      <c r="G316" s="10" t="str">
        <f aca="false">IF(OR($A316="",$F316=""),"",ROUND($E316*$F316,0))</f>
        <v/>
      </c>
      <c r="H316" s="8" t="str">
        <f aca="false">IF(OR($A316="",$F316=""),"",IF($F316=_xlfn.MINIFS($F$3:$F$502,$A$3:$A$502,$A316),"최저가",""))</f>
        <v/>
      </c>
      <c r="I316" s="8" t="str">
        <f aca="false">IF($H316="최저가",$A316,"")</f>
        <v/>
      </c>
    </row>
    <row r="317" customFormat="false" ht="15" hidden="false" customHeight="false" outlineLevel="0" collapsed="false">
      <c r="A317" s="6"/>
      <c r="B317" s="6"/>
      <c r="C317" s="8" t="str">
        <f aca="false">IF($A317="","",IFERROR(INDEX(품목목록!$B$3:$B$102,MATCH($A317,품목목록!$A$3:$A$102,0)),""))</f>
        <v/>
      </c>
      <c r="D317" s="8" t="str">
        <f aca="false">IF($B317="","",IFERROR(INDEX(업체목록!$B$3:$B$52,MATCH($B317,업체목록!$A$3:$A$52,0)),""))</f>
        <v/>
      </c>
      <c r="E317" s="8" t="str">
        <f aca="false">IF($A317="","",IFERROR(INDEX(품목목록!$D$3:$D$102,MATCH($A317,품목목록!$A$3:$A$102,0)),""))</f>
        <v/>
      </c>
      <c r="F317" s="9"/>
      <c r="G317" s="10" t="str">
        <f aca="false">IF(OR($A317="",$F317=""),"",ROUND($E317*$F317,0))</f>
        <v/>
      </c>
      <c r="H317" s="8" t="str">
        <f aca="false">IF(OR($A317="",$F317=""),"",IF($F317=_xlfn.MINIFS($F$3:$F$502,$A$3:$A$502,$A317),"최저가",""))</f>
        <v/>
      </c>
      <c r="I317" s="8" t="str">
        <f aca="false">IF($H317="최저가",$A317,"")</f>
        <v/>
      </c>
    </row>
    <row r="318" customFormat="false" ht="15" hidden="false" customHeight="false" outlineLevel="0" collapsed="false">
      <c r="A318" s="6"/>
      <c r="B318" s="6"/>
      <c r="C318" s="8" t="str">
        <f aca="false">IF($A318="","",IFERROR(INDEX(품목목록!$B$3:$B$102,MATCH($A318,품목목록!$A$3:$A$102,0)),""))</f>
        <v/>
      </c>
      <c r="D318" s="8" t="str">
        <f aca="false">IF($B318="","",IFERROR(INDEX(업체목록!$B$3:$B$52,MATCH($B318,업체목록!$A$3:$A$52,0)),""))</f>
        <v/>
      </c>
      <c r="E318" s="8" t="str">
        <f aca="false">IF($A318="","",IFERROR(INDEX(품목목록!$D$3:$D$102,MATCH($A318,품목목록!$A$3:$A$102,0)),""))</f>
        <v/>
      </c>
      <c r="F318" s="9"/>
      <c r="G318" s="10" t="str">
        <f aca="false">IF(OR($A318="",$F318=""),"",ROUND($E318*$F318,0))</f>
        <v/>
      </c>
      <c r="H318" s="8" t="str">
        <f aca="false">IF(OR($A318="",$F318=""),"",IF($F318=_xlfn.MINIFS($F$3:$F$502,$A$3:$A$502,$A318),"최저가",""))</f>
        <v/>
      </c>
      <c r="I318" s="8" t="str">
        <f aca="false">IF($H318="최저가",$A318,"")</f>
        <v/>
      </c>
    </row>
    <row r="319" customFormat="false" ht="15" hidden="false" customHeight="false" outlineLevel="0" collapsed="false">
      <c r="A319" s="6"/>
      <c r="B319" s="6"/>
      <c r="C319" s="8" t="str">
        <f aca="false">IF($A319="","",IFERROR(INDEX(품목목록!$B$3:$B$102,MATCH($A319,품목목록!$A$3:$A$102,0)),""))</f>
        <v/>
      </c>
      <c r="D319" s="8" t="str">
        <f aca="false">IF($B319="","",IFERROR(INDEX(업체목록!$B$3:$B$52,MATCH($B319,업체목록!$A$3:$A$52,0)),""))</f>
        <v/>
      </c>
      <c r="E319" s="8" t="str">
        <f aca="false">IF($A319="","",IFERROR(INDEX(품목목록!$D$3:$D$102,MATCH($A319,품목목록!$A$3:$A$102,0)),""))</f>
        <v/>
      </c>
      <c r="F319" s="9"/>
      <c r="G319" s="10" t="str">
        <f aca="false">IF(OR($A319="",$F319=""),"",ROUND($E319*$F319,0))</f>
        <v/>
      </c>
      <c r="H319" s="8" t="str">
        <f aca="false">IF(OR($A319="",$F319=""),"",IF($F319=_xlfn.MINIFS($F$3:$F$502,$A$3:$A$502,$A319),"최저가",""))</f>
        <v/>
      </c>
      <c r="I319" s="8" t="str">
        <f aca="false">IF($H319="최저가",$A319,"")</f>
        <v/>
      </c>
    </row>
    <row r="320" customFormat="false" ht="15" hidden="false" customHeight="false" outlineLevel="0" collapsed="false">
      <c r="A320" s="6"/>
      <c r="B320" s="6"/>
      <c r="C320" s="8" t="str">
        <f aca="false">IF($A320="","",IFERROR(INDEX(품목목록!$B$3:$B$102,MATCH($A320,품목목록!$A$3:$A$102,0)),""))</f>
        <v/>
      </c>
      <c r="D320" s="8" t="str">
        <f aca="false">IF($B320="","",IFERROR(INDEX(업체목록!$B$3:$B$52,MATCH($B320,업체목록!$A$3:$A$52,0)),""))</f>
        <v/>
      </c>
      <c r="E320" s="8" t="str">
        <f aca="false">IF($A320="","",IFERROR(INDEX(품목목록!$D$3:$D$102,MATCH($A320,품목목록!$A$3:$A$102,0)),""))</f>
        <v/>
      </c>
      <c r="F320" s="9"/>
      <c r="G320" s="10" t="str">
        <f aca="false">IF(OR($A320="",$F320=""),"",ROUND($E320*$F320,0))</f>
        <v/>
      </c>
      <c r="H320" s="8" t="str">
        <f aca="false">IF(OR($A320="",$F320=""),"",IF($F320=_xlfn.MINIFS($F$3:$F$502,$A$3:$A$502,$A320),"최저가",""))</f>
        <v/>
      </c>
      <c r="I320" s="8" t="str">
        <f aca="false">IF($H320="최저가",$A320,"")</f>
        <v/>
      </c>
    </row>
    <row r="321" customFormat="false" ht="15" hidden="false" customHeight="false" outlineLevel="0" collapsed="false">
      <c r="A321" s="6"/>
      <c r="B321" s="6"/>
      <c r="C321" s="8" t="str">
        <f aca="false">IF($A321="","",IFERROR(INDEX(품목목록!$B$3:$B$102,MATCH($A321,품목목록!$A$3:$A$102,0)),""))</f>
        <v/>
      </c>
      <c r="D321" s="8" t="str">
        <f aca="false">IF($B321="","",IFERROR(INDEX(업체목록!$B$3:$B$52,MATCH($B321,업체목록!$A$3:$A$52,0)),""))</f>
        <v/>
      </c>
      <c r="E321" s="8" t="str">
        <f aca="false">IF($A321="","",IFERROR(INDEX(품목목록!$D$3:$D$102,MATCH($A321,품목목록!$A$3:$A$102,0)),""))</f>
        <v/>
      </c>
      <c r="F321" s="9"/>
      <c r="G321" s="10" t="str">
        <f aca="false">IF(OR($A321="",$F321=""),"",ROUND($E321*$F321,0))</f>
        <v/>
      </c>
      <c r="H321" s="8" t="str">
        <f aca="false">IF(OR($A321="",$F321=""),"",IF($F321=_xlfn.MINIFS($F$3:$F$502,$A$3:$A$502,$A321),"최저가",""))</f>
        <v/>
      </c>
      <c r="I321" s="8" t="str">
        <f aca="false">IF($H321="최저가",$A321,"")</f>
        <v/>
      </c>
    </row>
    <row r="322" customFormat="false" ht="15" hidden="false" customHeight="false" outlineLevel="0" collapsed="false">
      <c r="A322" s="6"/>
      <c r="B322" s="6"/>
      <c r="C322" s="8" t="str">
        <f aca="false">IF($A322="","",IFERROR(INDEX(품목목록!$B$3:$B$102,MATCH($A322,품목목록!$A$3:$A$102,0)),""))</f>
        <v/>
      </c>
      <c r="D322" s="8" t="str">
        <f aca="false">IF($B322="","",IFERROR(INDEX(업체목록!$B$3:$B$52,MATCH($B322,업체목록!$A$3:$A$52,0)),""))</f>
        <v/>
      </c>
      <c r="E322" s="8" t="str">
        <f aca="false">IF($A322="","",IFERROR(INDEX(품목목록!$D$3:$D$102,MATCH($A322,품목목록!$A$3:$A$102,0)),""))</f>
        <v/>
      </c>
      <c r="F322" s="9"/>
      <c r="G322" s="10" t="str">
        <f aca="false">IF(OR($A322="",$F322=""),"",ROUND($E322*$F322,0))</f>
        <v/>
      </c>
      <c r="H322" s="8" t="str">
        <f aca="false">IF(OR($A322="",$F322=""),"",IF($F322=_xlfn.MINIFS($F$3:$F$502,$A$3:$A$502,$A322),"최저가",""))</f>
        <v/>
      </c>
      <c r="I322" s="8" t="str">
        <f aca="false">IF($H322="최저가",$A322,"")</f>
        <v/>
      </c>
    </row>
    <row r="323" customFormat="false" ht="15" hidden="false" customHeight="false" outlineLevel="0" collapsed="false">
      <c r="A323" s="6"/>
      <c r="B323" s="6"/>
      <c r="C323" s="8" t="str">
        <f aca="false">IF($A323="","",IFERROR(INDEX(품목목록!$B$3:$B$102,MATCH($A323,품목목록!$A$3:$A$102,0)),""))</f>
        <v/>
      </c>
      <c r="D323" s="8" t="str">
        <f aca="false">IF($B323="","",IFERROR(INDEX(업체목록!$B$3:$B$52,MATCH($B323,업체목록!$A$3:$A$52,0)),""))</f>
        <v/>
      </c>
      <c r="E323" s="8" t="str">
        <f aca="false">IF($A323="","",IFERROR(INDEX(품목목록!$D$3:$D$102,MATCH($A323,품목목록!$A$3:$A$102,0)),""))</f>
        <v/>
      </c>
      <c r="F323" s="9"/>
      <c r="G323" s="10" t="str">
        <f aca="false">IF(OR($A323="",$F323=""),"",ROUND($E323*$F323,0))</f>
        <v/>
      </c>
      <c r="H323" s="8" t="str">
        <f aca="false">IF(OR($A323="",$F323=""),"",IF($F323=_xlfn.MINIFS($F$3:$F$502,$A$3:$A$502,$A323),"최저가",""))</f>
        <v/>
      </c>
      <c r="I323" s="8" t="str">
        <f aca="false">IF($H323="최저가",$A323,"")</f>
        <v/>
      </c>
    </row>
    <row r="324" customFormat="false" ht="15" hidden="false" customHeight="false" outlineLevel="0" collapsed="false">
      <c r="A324" s="6"/>
      <c r="B324" s="6"/>
      <c r="C324" s="8" t="str">
        <f aca="false">IF($A324="","",IFERROR(INDEX(품목목록!$B$3:$B$102,MATCH($A324,품목목록!$A$3:$A$102,0)),""))</f>
        <v/>
      </c>
      <c r="D324" s="8" t="str">
        <f aca="false">IF($B324="","",IFERROR(INDEX(업체목록!$B$3:$B$52,MATCH($B324,업체목록!$A$3:$A$52,0)),""))</f>
        <v/>
      </c>
      <c r="E324" s="8" t="str">
        <f aca="false">IF($A324="","",IFERROR(INDEX(품목목록!$D$3:$D$102,MATCH($A324,품목목록!$A$3:$A$102,0)),""))</f>
        <v/>
      </c>
      <c r="F324" s="9"/>
      <c r="G324" s="10" t="str">
        <f aca="false">IF(OR($A324="",$F324=""),"",ROUND($E324*$F324,0))</f>
        <v/>
      </c>
      <c r="H324" s="8" t="str">
        <f aca="false">IF(OR($A324="",$F324=""),"",IF($F324=_xlfn.MINIFS($F$3:$F$502,$A$3:$A$502,$A324),"최저가",""))</f>
        <v/>
      </c>
      <c r="I324" s="8" t="str">
        <f aca="false">IF($H324="최저가",$A324,"")</f>
        <v/>
      </c>
    </row>
    <row r="325" customFormat="false" ht="15" hidden="false" customHeight="false" outlineLevel="0" collapsed="false">
      <c r="A325" s="6"/>
      <c r="B325" s="6"/>
      <c r="C325" s="8" t="str">
        <f aca="false">IF($A325="","",IFERROR(INDEX(품목목록!$B$3:$B$102,MATCH($A325,품목목록!$A$3:$A$102,0)),""))</f>
        <v/>
      </c>
      <c r="D325" s="8" t="str">
        <f aca="false">IF($B325="","",IFERROR(INDEX(업체목록!$B$3:$B$52,MATCH($B325,업체목록!$A$3:$A$52,0)),""))</f>
        <v/>
      </c>
      <c r="E325" s="8" t="str">
        <f aca="false">IF($A325="","",IFERROR(INDEX(품목목록!$D$3:$D$102,MATCH($A325,품목목록!$A$3:$A$102,0)),""))</f>
        <v/>
      </c>
      <c r="F325" s="9"/>
      <c r="G325" s="10" t="str">
        <f aca="false">IF(OR($A325="",$F325=""),"",ROUND($E325*$F325,0))</f>
        <v/>
      </c>
      <c r="H325" s="8" t="str">
        <f aca="false">IF(OR($A325="",$F325=""),"",IF($F325=_xlfn.MINIFS($F$3:$F$502,$A$3:$A$502,$A325),"최저가",""))</f>
        <v/>
      </c>
      <c r="I325" s="8" t="str">
        <f aca="false">IF($H325="최저가",$A325,"")</f>
        <v/>
      </c>
    </row>
    <row r="326" customFormat="false" ht="15" hidden="false" customHeight="false" outlineLevel="0" collapsed="false">
      <c r="A326" s="6"/>
      <c r="B326" s="6"/>
      <c r="C326" s="8" t="str">
        <f aca="false">IF($A326="","",IFERROR(INDEX(품목목록!$B$3:$B$102,MATCH($A326,품목목록!$A$3:$A$102,0)),""))</f>
        <v/>
      </c>
      <c r="D326" s="8" t="str">
        <f aca="false">IF($B326="","",IFERROR(INDEX(업체목록!$B$3:$B$52,MATCH($B326,업체목록!$A$3:$A$52,0)),""))</f>
        <v/>
      </c>
      <c r="E326" s="8" t="str">
        <f aca="false">IF($A326="","",IFERROR(INDEX(품목목록!$D$3:$D$102,MATCH($A326,품목목록!$A$3:$A$102,0)),""))</f>
        <v/>
      </c>
      <c r="F326" s="9"/>
      <c r="G326" s="10" t="str">
        <f aca="false">IF(OR($A326="",$F326=""),"",ROUND($E326*$F326,0))</f>
        <v/>
      </c>
      <c r="H326" s="8" t="str">
        <f aca="false">IF(OR($A326="",$F326=""),"",IF($F326=_xlfn.MINIFS($F$3:$F$502,$A$3:$A$502,$A326),"최저가",""))</f>
        <v/>
      </c>
      <c r="I326" s="8" t="str">
        <f aca="false">IF($H326="최저가",$A326,"")</f>
        <v/>
      </c>
    </row>
    <row r="327" customFormat="false" ht="15" hidden="false" customHeight="false" outlineLevel="0" collapsed="false">
      <c r="A327" s="6"/>
      <c r="B327" s="6"/>
      <c r="C327" s="8" t="str">
        <f aca="false">IF($A327="","",IFERROR(INDEX(품목목록!$B$3:$B$102,MATCH($A327,품목목록!$A$3:$A$102,0)),""))</f>
        <v/>
      </c>
      <c r="D327" s="8" t="str">
        <f aca="false">IF($B327="","",IFERROR(INDEX(업체목록!$B$3:$B$52,MATCH($B327,업체목록!$A$3:$A$52,0)),""))</f>
        <v/>
      </c>
      <c r="E327" s="8" t="str">
        <f aca="false">IF($A327="","",IFERROR(INDEX(품목목록!$D$3:$D$102,MATCH($A327,품목목록!$A$3:$A$102,0)),""))</f>
        <v/>
      </c>
      <c r="F327" s="9"/>
      <c r="G327" s="10" t="str">
        <f aca="false">IF(OR($A327="",$F327=""),"",ROUND($E327*$F327,0))</f>
        <v/>
      </c>
      <c r="H327" s="8" t="str">
        <f aca="false">IF(OR($A327="",$F327=""),"",IF($F327=_xlfn.MINIFS($F$3:$F$502,$A$3:$A$502,$A327),"최저가",""))</f>
        <v/>
      </c>
      <c r="I327" s="8" t="str">
        <f aca="false">IF($H327="최저가",$A327,"")</f>
        <v/>
      </c>
    </row>
    <row r="328" customFormat="false" ht="15" hidden="false" customHeight="false" outlineLevel="0" collapsed="false">
      <c r="A328" s="6"/>
      <c r="B328" s="6"/>
      <c r="C328" s="8" t="str">
        <f aca="false">IF($A328="","",IFERROR(INDEX(품목목록!$B$3:$B$102,MATCH($A328,품목목록!$A$3:$A$102,0)),""))</f>
        <v/>
      </c>
      <c r="D328" s="8" t="str">
        <f aca="false">IF($B328="","",IFERROR(INDEX(업체목록!$B$3:$B$52,MATCH($B328,업체목록!$A$3:$A$52,0)),""))</f>
        <v/>
      </c>
      <c r="E328" s="8" t="str">
        <f aca="false">IF($A328="","",IFERROR(INDEX(품목목록!$D$3:$D$102,MATCH($A328,품목목록!$A$3:$A$102,0)),""))</f>
        <v/>
      </c>
      <c r="F328" s="9"/>
      <c r="G328" s="10" t="str">
        <f aca="false">IF(OR($A328="",$F328=""),"",ROUND($E328*$F328,0))</f>
        <v/>
      </c>
      <c r="H328" s="8" t="str">
        <f aca="false">IF(OR($A328="",$F328=""),"",IF($F328=_xlfn.MINIFS($F$3:$F$502,$A$3:$A$502,$A328),"최저가",""))</f>
        <v/>
      </c>
      <c r="I328" s="8" t="str">
        <f aca="false">IF($H328="최저가",$A328,"")</f>
        <v/>
      </c>
    </row>
    <row r="329" customFormat="false" ht="15" hidden="false" customHeight="false" outlineLevel="0" collapsed="false">
      <c r="A329" s="6"/>
      <c r="B329" s="6"/>
      <c r="C329" s="8" t="str">
        <f aca="false">IF($A329="","",IFERROR(INDEX(품목목록!$B$3:$B$102,MATCH($A329,품목목록!$A$3:$A$102,0)),""))</f>
        <v/>
      </c>
      <c r="D329" s="8" t="str">
        <f aca="false">IF($B329="","",IFERROR(INDEX(업체목록!$B$3:$B$52,MATCH($B329,업체목록!$A$3:$A$52,0)),""))</f>
        <v/>
      </c>
      <c r="E329" s="8" t="str">
        <f aca="false">IF($A329="","",IFERROR(INDEX(품목목록!$D$3:$D$102,MATCH($A329,품목목록!$A$3:$A$102,0)),""))</f>
        <v/>
      </c>
      <c r="F329" s="9"/>
      <c r="G329" s="10" t="str">
        <f aca="false">IF(OR($A329="",$F329=""),"",ROUND($E329*$F329,0))</f>
        <v/>
      </c>
      <c r="H329" s="8" t="str">
        <f aca="false">IF(OR($A329="",$F329=""),"",IF($F329=_xlfn.MINIFS($F$3:$F$502,$A$3:$A$502,$A329),"최저가",""))</f>
        <v/>
      </c>
      <c r="I329" s="8" t="str">
        <f aca="false">IF($H329="최저가",$A329,"")</f>
        <v/>
      </c>
    </row>
    <row r="330" customFormat="false" ht="15" hidden="false" customHeight="false" outlineLevel="0" collapsed="false">
      <c r="A330" s="6"/>
      <c r="B330" s="6"/>
      <c r="C330" s="8" t="str">
        <f aca="false">IF($A330="","",IFERROR(INDEX(품목목록!$B$3:$B$102,MATCH($A330,품목목록!$A$3:$A$102,0)),""))</f>
        <v/>
      </c>
      <c r="D330" s="8" t="str">
        <f aca="false">IF($B330="","",IFERROR(INDEX(업체목록!$B$3:$B$52,MATCH($B330,업체목록!$A$3:$A$52,0)),""))</f>
        <v/>
      </c>
      <c r="E330" s="8" t="str">
        <f aca="false">IF($A330="","",IFERROR(INDEX(품목목록!$D$3:$D$102,MATCH($A330,품목목록!$A$3:$A$102,0)),""))</f>
        <v/>
      </c>
      <c r="F330" s="9"/>
      <c r="G330" s="10" t="str">
        <f aca="false">IF(OR($A330="",$F330=""),"",ROUND($E330*$F330,0))</f>
        <v/>
      </c>
      <c r="H330" s="8" t="str">
        <f aca="false">IF(OR($A330="",$F330=""),"",IF($F330=_xlfn.MINIFS($F$3:$F$502,$A$3:$A$502,$A330),"최저가",""))</f>
        <v/>
      </c>
      <c r="I330" s="8" t="str">
        <f aca="false">IF($H330="최저가",$A330,"")</f>
        <v/>
      </c>
    </row>
    <row r="331" customFormat="false" ht="15" hidden="false" customHeight="false" outlineLevel="0" collapsed="false">
      <c r="A331" s="6"/>
      <c r="B331" s="6"/>
      <c r="C331" s="8" t="str">
        <f aca="false">IF($A331="","",IFERROR(INDEX(품목목록!$B$3:$B$102,MATCH($A331,품목목록!$A$3:$A$102,0)),""))</f>
        <v/>
      </c>
      <c r="D331" s="8" t="str">
        <f aca="false">IF($B331="","",IFERROR(INDEX(업체목록!$B$3:$B$52,MATCH($B331,업체목록!$A$3:$A$52,0)),""))</f>
        <v/>
      </c>
      <c r="E331" s="8" t="str">
        <f aca="false">IF($A331="","",IFERROR(INDEX(품목목록!$D$3:$D$102,MATCH($A331,품목목록!$A$3:$A$102,0)),""))</f>
        <v/>
      </c>
      <c r="F331" s="9"/>
      <c r="G331" s="10" t="str">
        <f aca="false">IF(OR($A331="",$F331=""),"",ROUND($E331*$F331,0))</f>
        <v/>
      </c>
      <c r="H331" s="8" t="str">
        <f aca="false">IF(OR($A331="",$F331=""),"",IF($F331=_xlfn.MINIFS($F$3:$F$502,$A$3:$A$502,$A331),"최저가",""))</f>
        <v/>
      </c>
      <c r="I331" s="8" t="str">
        <f aca="false">IF($H331="최저가",$A331,"")</f>
        <v/>
      </c>
    </row>
    <row r="332" customFormat="false" ht="15" hidden="false" customHeight="false" outlineLevel="0" collapsed="false">
      <c r="A332" s="6"/>
      <c r="B332" s="6"/>
      <c r="C332" s="8" t="str">
        <f aca="false">IF($A332="","",IFERROR(INDEX(품목목록!$B$3:$B$102,MATCH($A332,품목목록!$A$3:$A$102,0)),""))</f>
        <v/>
      </c>
      <c r="D332" s="8" t="str">
        <f aca="false">IF($B332="","",IFERROR(INDEX(업체목록!$B$3:$B$52,MATCH($B332,업체목록!$A$3:$A$52,0)),""))</f>
        <v/>
      </c>
      <c r="E332" s="8" t="str">
        <f aca="false">IF($A332="","",IFERROR(INDEX(품목목록!$D$3:$D$102,MATCH($A332,품목목록!$A$3:$A$102,0)),""))</f>
        <v/>
      </c>
      <c r="F332" s="9"/>
      <c r="G332" s="10" t="str">
        <f aca="false">IF(OR($A332="",$F332=""),"",ROUND($E332*$F332,0))</f>
        <v/>
      </c>
      <c r="H332" s="8" t="str">
        <f aca="false">IF(OR($A332="",$F332=""),"",IF($F332=_xlfn.MINIFS($F$3:$F$502,$A$3:$A$502,$A332),"최저가",""))</f>
        <v/>
      </c>
      <c r="I332" s="8" t="str">
        <f aca="false">IF($H332="최저가",$A332,"")</f>
        <v/>
      </c>
    </row>
    <row r="333" customFormat="false" ht="15" hidden="false" customHeight="false" outlineLevel="0" collapsed="false">
      <c r="A333" s="6"/>
      <c r="B333" s="6"/>
      <c r="C333" s="8" t="str">
        <f aca="false">IF($A333="","",IFERROR(INDEX(품목목록!$B$3:$B$102,MATCH($A333,품목목록!$A$3:$A$102,0)),""))</f>
        <v/>
      </c>
      <c r="D333" s="8" t="str">
        <f aca="false">IF($B333="","",IFERROR(INDEX(업체목록!$B$3:$B$52,MATCH($B333,업체목록!$A$3:$A$52,0)),""))</f>
        <v/>
      </c>
      <c r="E333" s="8" t="str">
        <f aca="false">IF($A333="","",IFERROR(INDEX(품목목록!$D$3:$D$102,MATCH($A333,품목목록!$A$3:$A$102,0)),""))</f>
        <v/>
      </c>
      <c r="F333" s="9"/>
      <c r="G333" s="10" t="str">
        <f aca="false">IF(OR($A333="",$F333=""),"",ROUND($E333*$F333,0))</f>
        <v/>
      </c>
      <c r="H333" s="8" t="str">
        <f aca="false">IF(OR($A333="",$F333=""),"",IF($F333=_xlfn.MINIFS($F$3:$F$502,$A$3:$A$502,$A333),"최저가",""))</f>
        <v/>
      </c>
      <c r="I333" s="8" t="str">
        <f aca="false">IF($H333="최저가",$A333,"")</f>
        <v/>
      </c>
    </row>
    <row r="334" customFormat="false" ht="15" hidden="false" customHeight="false" outlineLevel="0" collapsed="false">
      <c r="A334" s="6"/>
      <c r="B334" s="6"/>
      <c r="C334" s="8" t="str">
        <f aca="false">IF($A334="","",IFERROR(INDEX(품목목록!$B$3:$B$102,MATCH($A334,품목목록!$A$3:$A$102,0)),""))</f>
        <v/>
      </c>
      <c r="D334" s="8" t="str">
        <f aca="false">IF($B334="","",IFERROR(INDEX(업체목록!$B$3:$B$52,MATCH($B334,업체목록!$A$3:$A$52,0)),""))</f>
        <v/>
      </c>
      <c r="E334" s="8" t="str">
        <f aca="false">IF($A334="","",IFERROR(INDEX(품목목록!$D$3:$D$102,MATCH($A334,품목목록!$A$3:$A$102,0)),""))</f>
        <v/>
      </c>
      <c r="F334" s="9"/>
      <c r="G334" s="10" t="str">
        <f aca="false">IF(OR($A334="",$F334=""),"",ROUND($E334*$F334,0))</f>
        <v/>
      </c>
      <c r="H334" s="8" t="str">
        <f aca="false">IF(OR($A334="",$F334=""),"",IF($F334=_xlfn.MINIFS($F$3:$F$502,$A$3:$A$502,$A334),"최저가",""))</f>
        <v/>
      </c>
      <c r="I334" s="8" t="str">
        <f aca="false">IF($H334="최저가",$A334,"")</f>
        <v/>
      </c>
    </row>
    <row r="335" customFormat="false" ht="15" hidden="false" customHeight="false" outlineLevel="0" collapsed="false">
      <c r="A335" s="6"/>
      <c r="B335" s="6"/>
      <c r="C335" s="8" t="str">
        <f aca="false">IF($A335="","",IFERROR(INDEX(품목목록!$B$3:$B$102,MATCH($A335,품목목록!$A$3:$A$102,0)),""))</f>
        <v/>
      </c>
      <c r="D335" s="8" t="str">
        <f aca="false">IF($B335="","",IFERROR(INDEX(업체목록!$B$3:$B$52,MATCH($B335,업체목록!$A$3:$A$52,0)),""))</f>
        <v/>
      </c>
      <c r="E335" s="8" t="str">
        <f aca="false">IF($A335="","",IFERROR(INDEX(품목목록!$D$3:$D$102,MATCH($A335,품목목록!$A$3:$A$102,0)),""))</f>
        <v/>
      </c>
      <c r="F335" s="9"/>
      <c r="G335" s="10" t="str">
        <f aca="false">IF(OR($A335="",$F335=""),"",ROUND($E335*$F335,0))</f>
        <v/>
      </c>
      <c r="H335" s="8" t="str">
        <f aca="false">IF(OR($A335="",$F335=""),"",IF($F335=_xlfn.MINIFS($F$3:$F$502,$A$3:$A$502,$A335),"최저가",""))</f>
        <v/>
      </c>
      <c r="I335" s="8" t="str">
        <f aca="false">IF($H335="최저가",$A335,"")</f>
        <v/>
      </c>
    </row>
    <row r="336" customFormat="false" ht="15" hidden="false" customHeight="false" outlineLevel="0" collapsed="false">
      <c r="A336" s="6"/>
      <c r="B336" s="6"/>
      <c r="C336" s="8" t="str">
        <f aca="false">IF($A336="","",IFERROR(INDEX(품목목록!$B$3:$B$102,MATCH($A336,품목목록!$A$3:$A$102,0)),""))</f>
        <v/>
      </c>
      <c r="D336" s="8" t="str">
        <f aca="false">IF($B336="","",IFERROR(INDEX(업체목록!$B$3:$B$52,MATCH($B336,업체목록!$A$3:$A$52,0)),""))</f>
        <v/>
      </c>
      <c r="E336" s="8" t="str">
        <f aca="false">IF($A336="","",IFERROR(INDEX(품목목록!$D$3:$D$102,MATCH($A336,품목목록!$A$3:$A$102,0)),""))</f>
        <v/>
      </c>
      <c r="F336" s="9"/>
      <c r="G336" s="10" t="str">
        <f aca="false">IF(OR($A336="",$F336=""),"",ROUND($E336*$F336,0))</f>
        <v/>
      </c>
      <c r="H336" s="8" t="str">
        <f aca="false">IF(OR($A336="",$F336=""),"",IF($F336=_xlfn.MINIFS($F$3:$F$502,$A$3:$A$502,$A336),"최저가",""))</f>
        <v/>
      </c>
      <c r="I336" s="8" t="str">
        <f aca="false">IF($H336="최저가",$A336,"")</f>
        <v/>
      </c>
    </row>
    <row r="337" customFormat="false" ht="15" hidden="false" customHeight="false" outlineLevel="0" collapsed="false">
      <c r="A337" s="6"/>
      <c r="B337" s="6"/>
      <c r="C337" s="8" t="str">
        <f aca="false">IF($A337="","",IFERROR(INDEX(품목목록!$B$3:$B$102,MATCH($A337,품목목록!$A$3:$A$102,0)),""))</f>
        <v/>
      </c>
      <c r="D337" s="8" t="str">
        <f aca="false">IF($B337="","",IFERROR(INDEX(업체목록!$B$3:$B$52,MATCH($B337,업체목록!$A$3:$A$52,0)),""))</f>
        <v/>
      </c>
      <c r="E337" s="8" t="str">
        <f aca="false">IF($A337="","",IFERROR(INDEX(품목목록!$D$3:$D$102,MATCH($A337,품목목록!$A$3:$A$102,0)),""))</f>
        <v/>
      </c>
      <c r="F337" s="9"/>
      <c r="G337" s="10" t="str">
        <f aca="false">IF(OR($A337="",$F337=""),"",ROUND($E337*$F337,0))</f>
        <v/>
      </c>
      <c r="H337" s="8" t="str">
        <f aca="false">IF(OR($A337="",$F337=""),"",IF($F337=_xlfn.MINIFS($F$3:$F$502,$A$3:$A$502,$A337),"최저가",""))</f>
        <v/>
      </c>
      <c r="I337" s="8" t="str">
        <f aca="false">IF($H337="최저가",$A337,"")</f>
        <v/>
      </c>
    </row>
    <row r="338" customFormat="false" ht="15" hidden="false" customHeight="false" outlineLevel="0" collapsed="false">
      <c r="A338" s="6"/>
      <c r="B338" s="6"/>
      <c r="C338" s="8" t="str">
        <f aca="false">IF($A338="","",IFERROR(INDEX(품목목록!$B$3:$B$102,MATCH($A338,품목목록!$A$3:$A$102,0)),""))</f>
        <v/>
      </c>
      <c r="D338" s="8" t="str">
        <f aca="false">IF($B338="","",IFERROR(INDEX(업체목록!$B$3:$B$52,MATCH($B338,업체목록!$A$3:$A$52,0)),""))</f>
        <v/>
      </c>
      <c r="E338" s="8" t="str">
        <f aca="false">IF($A338="","",IFERROR(INDEX(품목목록!$D$3:$D$102,MATCH($A338,품목목록!$A$3:$A$102,0)),""))</f>
        <v/>
      </c>
      <c r="F338" s="9"/>
      <c r="G338" s="10" t="str">
        <f aca="false">IF(OR($A338="",$F338=""),"",ROUND($E338*$F338,0))</f>
        <v/>
      </c>
      <c r="H338" s="8" t="str">
        <f aca="false">IF(OR($A338="",$F338=""),"",IF($F338=_xlfn.MINIFS($F$3:$F$502,$A$3:$A$502,$A338),"최저가",""))</f>
        <v/>
      </c>
      <c r="I338" s="8" t="str">
        <f aca="false">IF($H338="최저가",$A338,"")</f>
        <v/>
      </c>
    </row>
    <row r="339" customFormat="false" ht="15" hidden="false" customHeight="false" outlineLevel="0" collapsed="false">
      <c r="A339" s="6"/>
      <c r="B339" s="6"/>
      <c r="C339" s="8" t="str">
        <f aca="false">IF($A339="","",IFERROR(INDEX(품목목록!$B$3:$B$102,MATCH($A339,품목목록!$A$3:$A$102,0)),""))</f>
        <v/>
      </c>
      <c r="D339" s="8" t="str">
        <f aca="false">IF($B339="","",IFERROR(INDEX(업체목록!$B$3:$B$52,MATCH($B339,업체목록!$A$3:$A$52,0)),""))</f>
        <v/>
      </c>
      <c r="E339" s="8" t="str">
        <f aca="false">IF($A339="","",IFERROR(INDEX(품목목록!$D$3:$D$102,MATCH($A339,품목목록!$A$3:$A$102,0)),""))</f>
        <v/>
      </c>
      <c r="F339" s="9"/>
      <c r="G339" s="10" t="str">
        <f aca="false">IF(OR($A339="",$F339=""),"",ROUND($E339*$F339,0))</f>
        <v/>
      </c>
      <c r="H339" s="8" t="str">
        <f aca="false">IF(OR($A339="",$F339=""),"",IF($F339=_xlfn.MINIFS($F$3:$F$502,$A$3:$A$502,$A339),"최저가",""))</f>
        <v/>
      </c>
      <c r="I339" s="8" t="str">
        <f aca="false">IF($H339="최저가",$A339,"")</f>
        <v/>
      </c>
    </row>
    <row r="340" customFormat="false" ht="15" hidden="false" customHeight="false" outlineLevel="0" collapsed="false">
      <c r="A340" s="6"/>
      <c r="B340" s="6"/>
      <c r="C340" s="8" t="str">
        <f aca="false">IF($A340="","",IFERROR(INDEX(품목목록!$B$3:$B$102,MATCH($A340,품목목록!$A$3:$A$102,0)),""))</f>
        <v/>
      </c>
      <c r="D340" s="8" t="str">
        <f aca="false">IF($B340="","",IFERROR(INDEX(업체목록!$B$3:$B$52,MATCH($B340,업체목록!$A$3:$A$52,0)),""))</f>
        <v/>
      </c>
      <c r="E340" s="8" t="str">
        <f aca="false">IF($A340="","",IFERROR(INDEX(품목목록!$D$3:$D$102,MATCH($A340,품목목록!$A$3:$A$102,0)),""))</f>
        <v/>
      </c>
      <c r="F340" s="9"/>
      <c r="G340" s="10" t="str">
        <f aca="false">IF(OR($A340="",$F340=""),"",ROUND($E340*$F340,0))</f>
        <v/>
      </c>
      <c r="H340" s="8" t="str">
        <f aca="false">IF(OR($A340="",$F340=""),"",IF($F340=_xlfn.MINIFS($F$3:$F$502,$A$3:$A$502,$A340),"최저가",""))</f>
        <v/>
      </c>
      <c r="I340" s="8" t="str">
        <f aca="false">IF($H340="최저가",$A340,"")</f>
        <v/>
      </c>
    </row>
    <row r="341" customFormat="false" ht="15" hidden="false" customHeight="false" outlineLevel="0" collapsed="false">
      <c r="A341" s="6"/>
      <c r="B341" s="6"/>
      <c r="C341" s="8" t="str">
        <f aca="false">IF($A341="","",IFERROR(INDEX(품목목록!$B$3:$B$102,MATCH($A341,품목목록!$A$3:$A$102,0)),""))</f>
        <v/>
      </c>
      <c r="D341" s="8" t="str">
        <f aca="false">IF($B341="","",IFERROR(INDEX(업체목록!$B$3:$B$52,MATCH($B341,업체목록!$A$3:$A$52,0)),""))</f>
        <v/>
      </c>
      <c r="E341" s="8" t="str">
        <f aca="false">IF($A341="","",IFERROR(INDEX(품목목록!$D$3:$D$102,MATCH($A341,품목목록!$A$3:$A$102,0)),""))</f>
        <v/>
      </c>
      <c r="F341" s="9"/>
      <c r="G341" s="10" t="str">
        <f aca="false">IF(OR($A341="",$F341=""),"",ROUND($E341*$F341,0))</f>
        <v/>
      </c>
      <c r="H341" s="8" t="str">
        <f aca="false">IF(OR($A341="",$F341=""),"",IF($F341=_xlfn.MINIFS($F$3:$F$502,$A$3:$A$502,$A341),"최저가",""))</f>
        <v/>
      </c>
      <c r="I341" s="8" t="str">
        <f aca="false">IF($H341="최저가",$A341,"")</f>
        <v/>
      </c>
    </row>
    <row r="342" customFormat="false" ht="15" hidden="false" customHeight="false" outlineLevel="0" collapsed="false">
      <c r="A342" s="6"/>
      <c r="B342" s="6"/>
      <c r="C342" s="8" t="str">
        <f aca="false">IF($A342="","",IFERROR(INDEX(품목목록!$B$3:$B$102,MATCH($A342,품목목록!$A$3:$A$102,0)),""))</f>
        <v/>
      </c>
      <c r="D342" s="8" t="str">
        <f aca="false">IF($B342="","",IFERROR(INDEX(업체목록!$B$3:$B$52,MATCH($B342,업체목록!$A$3:$A$52,0)),""))</f>
        <v/>
      </c>
      <c r="E342" s="8" t="str">
        <f aca="false">IF($A342="","",IFERROR(INDEX(품목목록!$D$3:$D$102,MATCH($A342,품목목록!$A$3:$A$102,0)),""))</f>
        <v/>
      </c>
      <c r="F342" s="9"/>
      <c r="G342" s="10" t="str">
        <f aca="false">IF(OR($A342="",$F342=""),"",ROUND($E342*$F342,0))</f>
        <v/>
      </c>
      <c r="H342" s="8" t="str">
        <f aca="false">IF(OR($A342="",$F342=""),"",IF($F342=_xlfn.MINIFS($F$3:$F$502,$A$3:$A$502,$A342),"최저가",""))</f>
        <v/>
      </c>
      <c r="I342" s="8" t="str">
        <f aca="false">IF($H342="최저가",$A342,"")</f>
        <v/>
      </c>
    </row>
    <row r="343" customFormat="false" ht="15" hidden="false" customHeight="false" outlineLevel="0" collapsed="false">
      <c r="A343" s="6"/>
      <c r="B343" s="6"/>
      <c r="C343" s="8" t="str">
        <f aca="false">IF($A343="","",IFERROR(INDEX(품목목록!$B$3:$B$102,MATCH($A343,품목목록!$A$3:$A$102,0)),""))</f>
        <v/>
      </c>
      <c r="D343" s="8" t="str">
        <f aca="false">IF($B343="","",IFERROR(INDEX(업체목록!$B$3:$B$52,MATCH($B343,업체목록!$A$3:$A$52,0)),""))</f>
        <v/>
      </c>
      <c r="E343" s="8" t="str">
        <f aca="false">IF($A343="","",IFERROR(INDEX(품목목록!$D$3:$D$102,MATCH($A343,품목목록!$A$3:$A$102,0)),""))</f>
        <v/>
      </c>
      <c r="F343" s="9"/>
      <c r="G343" s="10" t="str">
        <f aca="false">IF(OR($A343="",$F343=""),"",ROUND($E343*$F343,0))</f>
        <v/>
      </c>
      <c r="H343" s="8" t="str">
        <f aca="false">IF(OR($A343="",$F343=""),"",IF($F343=_xlfn.MINIFS($F$3:$F$502,$A$3:$A$502,$A343),"최저가",""))</f>
        <v/>
      </c>
      <c r="I343" s="8" t="str">
        <f aca="false">IF($H343="최저가",$A343,"")</f>
        <v/>
      </c>
    </row>
    <row r="344" customFormat="false" ht="15" hidden="false" customHeight="false" outlineLevel="0" collapsed="false">
      <c r="A344" s="6"/>
      <c r="B344" s="6"/>
      <c r="C344" s="8" t="str">
        <f aca="false">IF($A344="","",IFERROR(INDEX(품목목록!$B$3:$B$102,MATCH($A344,품목목록!$A$3:$A$102,0)),""))</f>
        <v/>
      </c>
      <c r="D344" s="8" t="str">
        <f aca="false">IF($B344="","",IFERROR(INDEX(업체목록!$B$3:$B$52,MATCH($B344,업체목록!$A$3:$A$52,0)),""))</f>
        <v/>
      </c>
      <c r="E344" s="8" t="str">
        <f aca="false">IF($A344="","",IFERROR(INDEX(품목목록!$D$3:$D$102,MATCH($A344,품목목록!$A$3:$A$102,0)),""))</f>
        <v/>
      </c>
      <c r="F344" s="9"/>
      <c r="G344" s="10" t="str">
        <f aca="false">IF(OR($A344="",$F344=""),"",ROUND($E344*$F344,0))</f>
        <v/>
      </c>
      <c r="H344" s="8" t="str">
        <f aca="false">IF(OR($A344="",$F344=""),"",IF($F344=_xlfn.MINIFS($F$3:$F$502,$A$3:$A$502,$A344),"최저가",""))</f>
        <v/>
      </c>
      <c r="I344" s="8" t="str">
        <f aca="false">IF($H344="최저가",$A344,"")</f>
        <v/>
      </c>
    </row>
    <row r="345" customFormat="false" ht="15" hidden="false" customHeight="false" outlineLevel="0" collapsed="false">
      <c r="A345" s="6"/>
      <c r="B345" s="6"/>
      <c r="C345" s="8" t="str">
        <f aca="false">IF($A345="","",IFERROR(INDEX(품목목록!$B$3:$B$102,MATCH($A345,품목목록!$A$3:$A$102,0)),""))</f>
        <v/>
      </c>
      <c r="D345" s="8" t="str">
        <f aca="false">IF($B345="","",IFERROR(INDEX(업체목록!$B$3:$B$52,MATCH($B345,업체목록!$A$3:$A$52,0)),""))</f>
        <v/>
      </c>
      <c r="E345" s="8" t="str">
        <f aca="false">IF($A345="","",IFERROR(INDEX(품목목록!$D$3:$D$102,MATCH($A345,품목목록!$A$3:$A$102,0)),""))</f>
        <v/>
      </c>
      <c r="F345" s="9"/>
      <c r="G345" s="10" t="str">
        <f aca="false">IF(OR($A345="",$F345=""),"",ROUND($E345*$F345,0))</f>
        <v/>
      </c>
      <c r="H345" s="8" t="str">
        <f aca="false">IF(OR($A345="",$F345=""),"",IF($F345=_xlfn.MINIFS($F$3:$F$502,$A$3:$A$502,$A345),"최저가",""))</f>
        <v/>
      </c>
      <c r="I345" s="8" t="str">
        <f aca="false">IF($H345="최저가",$A345,"")</f>
        <v/>
      </c>
    </row>
    <row r="346" customFormat="false" ht="15" hidden="false" customHeight="false" outlineLevel="0" collapsed="false">
      <c r="A346" s="6"/>
      <c r="B346" s="6"/>
      <c r="C346" s="8" t="str">
        <f aca="false">IF($A346="","",IFERROR(INDEX(품목목록!$B$3:$B$102,MATCH($A346,품목목록!$A$3:$A$102,0)),""))</f>
        <v/>
      </c>
      <c r="D346" s="8" t="str">
        <f aca="false">IF($B346="","",IFERROR(INDEX(업체목록!$B$3:$B$52,MATCH($B346,업체목록!$A$3:$A$52,0)),""))</f>
        <v/>
      </c>
      <c r="E346" s="8" t="str">
        <f aca="false">IF($A346="","",IFERROR(INDEX(품목목록!$D$3:$D$102,MATCH($A346,품목목록!$A$3:$A$102,0)),""))</f>
        <v/>
      </c>
      <c r="F346" s="9"/>
      <c r="G346" s="10" t="str">
        <f aca="false">IF(OR($A346="",$F346=""),"",ROUND($E346*$F346,0))</f>
        <v/>
      </c>
      <c r="H346" s="8" t="str">
        <f aca="false">IF(OR($A346="",$F346=""),"",IF($F346=_xlfn.MINIFS($F$3:$F$502,$A$3:$A$502,$A346),"최저가",""))</f>
        <v/>
      </c>
      <c r="I346" s="8" t="str">
        <f aca="false">IF($H346="최저가",$A346,"")</f>
        <v/>
      </c>
    </row>
    <row r="347" customFormat="false" ht="15" hidden="false" customHeight="false" outlineLevel="0" collapsed="false">
      <c r="A347" s="6"/>
      <c r="B347" s="6"/>
      <c r="C347" s="8" t="str">
        <f aca="false">IF($A347="","",IFERROR(INDEX(품목목록!$B$3:$B$102,MATCH($A347,품목목록!$A$3:$A$102,0)),""))</f>
        <v/>
      </c>
      <c r="D347" s="8" t="str">
        <f aca="false">IF($B347="","",IFERROR(INDEX(업체목록!$B$3:$B$52,MATCH($B347,업체목록!$A$3:$A$52,0)),""))</f>
        <v/>
      </c>
      <c r="E347" s="8" t="str">
        <f aca="false">IF($A347="","",IFERROR(INDEX(품목목록!$D$3:$D$102,MATCH($A347,품목목록!$A$3:$A$102,0)),""))</f>
        <v/>
      </c>
      <c r="F347" s="9"/>
      <c r="G347" s="10" t="str">
        <f aca="false">IF(OR($A347="",$F347=""),"",ROUND($E347*$F347,0))</f>
        <v/>
      </c>
      <c r="H347" s="8" t="str">
        <f aca="false">IF(OR($A347="",$F347=""),"",IF($F347=_xlfn.MINIFS($F$3:$F$502,$A$3:$A$502,$A347),"최저가",""))</f>
        <v/>
      </c>
      <c r="I347" s="8" t="str">
        <f aca="false">IF($H347="최저가",$A347,"")</f>
        <v/>
      </c>
    </row>
    <row r="348" customFormat="false" ht="15" hidden="false" customHeight="false" outlineLevel="0" collapsed="false">
      <c r="A348" s="6"/>
      <c r="B348" s="6"/>
      <c r="C348" s="8" t="str">
        <f aca="false">IF($A348="","",IFERROR(INDEX(품목목록!$B$3:$B$102,MATCH($A348,품목목록!$A$3:$A$102,0)),""))</f>
        <v/>
      </c>
      <c r="D348" s="8" t="str">
        <f aca="false">IF($B348="","",IFERROR(INDEX(업체목록!$B$3:$B$52,MATCH($B348,업체목록!$A$3:$A$52,0)),""))</f>
        <v/>
      </c>
      <c r="E348" s="8" t="str">
        <f aca="false">IF($A348="","",IFERROR(INDEX(품목목록!$D$3:$D$102,MATCH($A348,품목목록!$A$3:$A$102,0)),""))</f>
        <v/>
      </c>
      <c r="F348" s="9"/>
      <c r="G348" s="10" t="str">
        <f aca="false">IF(OR($A348="",$F348=""),"",ROUND($E348*$F348,0))</f>
        <v/>
      </c>
      <c r="H348" s="8" t="str">
        <f aca="false">IF(OR($A348="",$F348=""),"",IF($F348=_xlfn.MINIFS($F$3:$F$502,$A$3:$A$502,$A348),"최저가",""))</f>
        <v/>
      </c>
      <c r="I348" s="8" t="str">
        <f aca="false">IF($H348="최저가",$A348,"")</f>
        <v/>
      </c>
    </row>
    <row r="349" customFormat="false" ht="15" hidden="false" customHeight="false" outlineLevel="0" collapsed="false">
      <c r="A349" s="6"/>
      <c r="B349" s="6"/>
      <c r="C349" s="8" t="str">
        <f aca="false">IF($A349="","",IFERROR(INDEX(품목목록!$B$3:$B$102,MATCH($A349,품목목록!$A$3:$A$102,0)),""))</f>
        <v/>
      </c>
      <c r="D349" s="8" t="str">
        <f aca="false">IF($B349="","",IFERROR(INDEX(업체목록!$B$3:$B$52,MATCH($B349,업체목록!$A$3:$A$52,0)),""))</f>
        <v/>
      </c>
      <c r="E349" s="8" t="str">
        <f aca="false">IF($A349="","",IFERROR(INDEX(품목목록!$D$3:$D$102,MATCH($A349,품목목록!$A$3:$A$102,0)),""))</f>
        <v/>
      </c>
      <c r="F349" s="9"/>
      <c r="G349" s="10" t="str">
        <f aca="false">IF(OR($A349="",$F349=""),"",ROUND($E349*$F349,0))</f>
        <v/>
      </c>
      <c r="H349" s="8" t="str">
        <f aca="false">IF(OR($A349="",$F349=""),"",IF($F349=_xlfn.MINIFS($F$3:$F$502,$A$3:$A$502,$A349),"최저가",""))</f>
        <v/>
      </c>
      <c r="I349" s="8" t="str">
        <f aca="false">IF($H349="최저가",$A349,"")</f>
        <v/>
      </c>
    </row>
    <row r="350" customFormat="false" ht="15" hidden="false" customHeight="false" outlineLevel="0" collapsed="false">
      <c r="A350" s="6"/>
      <c r="B350" s="6"/>
      <c r="C350" s="8" t="str">
        <f aca="false">IF($A350="","",IFERROR(INDEX(품목목록!$B$3:$B$102,MATCH($A350,품목목록!$A$3:$A$102,0)),""))</f>
        <v/>
      </c>
      <c r="D350" s="8" t="str">
        <f aca="false">IF($B350="","",IFERROR(INDEX(업체목록!$B$3:$B$52,MATCH($B350,업체목록!$A$3:$A$52,0)),""))</f>
        <v/>
      </c>
      <c r="E350" s="8" t="str">
        <f aca="false">IF($A350="","",IFERROR(INDEX(품목목록!$D$3:$D$102,MATCH($A350,품목목록!$A$3:$A$102,0)),""))</f>
        <v/>
      </c>
      <c r="F350" s="9"/>
      <c r="G350" s="10" t="str">
        <f aca="false">IF(OR($A350="",$F350=""),"",ROUND($E350*$F350,0))</f>
        <v/>
      </c>
      <c r="H350" s="8" t="str">
        <f aca="false">IF(OR($A350="",$F350=""),"",IF($F350=_xlfn.MINIFS($F$3:$F$502,$A$3:$A$502,$A350),"최저가",""))</f>
        <v/>
      </c>
      <c r="I350" s="8" t="str">
        <f aca="false">IF($H350="최저가",$A350,"")</f>
        <v/>
      </c>
    </row>
    <row r="351" customFormat="false" ht="15" hidden="false" customHeight="false" outlineLevel="0" collapsed="false">
      <c r="A351" s="6"/>
      <c r="B351" s="6"/>
      <c r="C351" s="8" t="str">
        <f aca="false">IF($A351="","",IFERROR(INDEX(품목목록!$B$3:$B$102,MATCH($A351,품목목록!$A$3:$A$102,0)),""))</f>
        <v/>
      </c>
      <c r="D351" s="8" t="str">
        <f aca="false">IF($B351="","",IFERROR(INDEX(업체목록!$B$3:$B$52,MATCH($B351,업체목록!$A$3:$A$52,0)),""))</f>
        <v/>
      </c>
      <c r="E351" s="8" t="str">
        <f aca="false">IF($A351="","",IFERROR(INDEX(품목목록!$D$3:$D$102,MATCH($A351,품목목록!$A$3:$A$102,0)),""))</f>
        <v/>
      </c>
      <c r="F351" s="9"/>
      <c r="G351" s="10" t="str">
        <f aca="false">IF(OR($A351="",$F351=""),"",ROUND($E351*$F351,0))</f>
        <v/>
      </c>
      <c r="H351" s="8" t="str">
        <f aca="false">IF(OR($A351="",$F351=""),"",IF($F351=_xlfn.MINIFS($F$3:$F$502,$A$3:$A$502,$A351),"최저가",""))</f>
        <v/>
      </c>
      <c r="I351" s="8" t="str">
        <f aca="false">IF($H351="최저가",$A351,"")</f>
        <v/>
      </c>
    </row>
    <row r="352" customFormat="false" ht="15" hidden="false" customHeight="false" outlineLevel="0" collapsed="false">
      <c r="A352" s="6"/>
      <c r="B352" s="6"/>
      <c r="C352" s="8" t="str">
        <f aca="false">IF($A352="","",IFERROR(INDEX(품목목록!$B$3:$B$102,MATCH($A352,품목목록!$A$3:$A$102,0)),""))</f>
        <v/>
      </c>
      <c r="D352" s="8" t="str">
        <f aca="false">IF($B352="","",IFERROR(INDEX(업체목록!$B$3:$B$52,MATCH($B352,업체목록!$A$3:$A$52,0)),""))</f>
        <v/>
      </c>
      <c r="E352" s="8" t="str">
        <f aca="false">IF($A352="","",IFERROR(INDEX(품목목록!$D$3:$D$102,MATCH($A352,품목목록!$A$3:$A$102,0)),""))</f>
        <v/>
      </c>
      <c r="F352" s="9"/>
      <c r="G352" s="10" t="str">
        <f aca="false">IF(OR($A352="",$F352=""),"",ROUND($E352*$F352,0))</f>
        <v/>
      </c>
      <c r="H352" s="8" t="str">
        <f aca="false">IF(OR($A352="",$F352=""),"",IF($F352=_xlfn.MINIFS($F$3:$F$502,$A$3:$A$502,$A352),"최저가",""))</f>
        <v/>
      </c>
      <c r="I352" s="8" t="str">
        <f aca="false">IF($H352="최저가",$A352,"")</f>
        <v/>
      </c>
    </row>
    <row r="353" customFormat="false" ht="15" hidden="false" customHeight="false" outlineLevel="0" collapsed="false">
      <c r="A353" s="6"/>
      <c r="B353" s="6"/>
      <c r="C353" s="8" t="str">
        <f aca="false">IF($A353="","",IFERROR(INDEX(품목목록!$B$3:$B$102,MATCH($A353,품목목록!$A$3:$A$102,0)),""))</f>
        <v/>
      </c>
      <c r="D353" s="8" t="str">
        <f aca="false">IF($B353="","",IFERROR(INDEX(업체목록!$B$3:$B$52,MATCH($B353,업체목록!$A$3:$A$52,0)),""))</f>
        <v/>
      </c>
      <c r="E353" s="8" t="str">
        <f aca="false">IF($A353="","",IFERROR(INDEX(품목목록!$D$3:$D$102,MATCH($A353,품목목록!$A$3:$A$102,0)),""))</f>
        <v/>
      </c>
      <c r="F353" s="9"/>
      <c r="G353" s="10" t="str">
        <f aca="false">IF(OR($A353="",$F353=""),"",ROUND($E353*$F353,0))</f>
        <v/>
      </c>
      <c r="H353" s="8" t="str">
        <f aca="false">IF(OR($A353="",$F353=""),"",IF($F353=_xlfn.MINIFS($F$3:$F$502,$A$3:$A$502,$A353),"최저가",""))</f>
        <v/>
      </c>
      <c r="I353" s="8" t="str">
        <f aca="false">IF($H353="최저가",$A353,"")</f>
        <v/>
      </c>
    </row>
    <row r="354" customFormat="false" ht="15" hidden="false" customHeight="false" outlineLevel="0" collapsed="false">
      <c r="A354" s="6"/>
      <c r="B354" s="6"/>
      <c r="C354" s="8" t="str">
        <f aca="false">IF($A354="","",IFERROR(INDEX(품목목록!$B$3:$B$102,MATCH($A354,품목목록!$A$3:$A$102,0)),""))</f>
        <v/>
      </c>
      <c r="D354" s="8" t="str">
        <f aca="false">IF($B354="","",IFERROR(INDEX(업체목록!$B$3:$B$52,MATCH($B354,업체목록!$A$3:$A$52,0)),""))</f>
        <v/>
      </c>
      <c r="E354" s="8" t="str">
        <f aca="false">IF($A354="","",IFERROR(INDEX(품목목록!$D$3:$D$102,MATCH($A354,품목목록!$A$3:$A$102,0)),""))</f>
        <v/>
      </c>
      <c r="F354" s="9"/>
      <c r="G354" s="10" t="str">
        <f aca="false">IF(OR($A354="",$F354=""),"",ROUND($E354*$F354,0))</f>
        <v/>
      </c>
      <c r="H354" s="8" t="str">
        <f aca="false">IF(OR($A354="",$F354=""),"",IF($F354=_xlfn.MINIFS($F$3:$F$502,$A$3:$A$502,$A354),"최저가",""))</f>
        <v/>
      </c>
      <c r="I354" s="8" t="str">
        <f aca="false">IF($H354="최저가",$A354,"")</f>
        <v/>
      </c>
    </row>
    <row r="355" customFormat="false" ht="15" hidden="false" customHeight="false" outlineLevel="0" collapsed="false">
      <c r="A355" s="6"/>
      <c r="B355" s="6"/>
      <c r="C355" s="8" t="str">
        <f aca="false">IF($A355="","",IFERROR(INDEX(품목목록!$B$3:$B$102,MATCH($A355,품목목록!$A$3:$A$102,0)),""))</f>
        <v/>
      </c>
      <c r="D355" s="8" t="str">
        <f aca="false">IF($B355="","",IFERROR(INDEX(업체목록!$B$3:$B$52,MATCH($B355,업체목록!$A$3:$A$52,0)),""))</f>
        <v/>
      </c>
      <c r="E355" s="8" t="str">
        <f aca="false">IF($A355="","",IFERROR(INDEX(품목목록!$D$3:$D$102,MATCH($A355,품목목록!$A$3:$A$102,0)),""))</f>
        <v/>
      </c>
      <c r="F355" s="9"/>
      <c r="G355" s="10" t="str">
        <f aca="false">IF(OR($A355="",$F355=""),"",ROUND($E355*$F355,0))</f>
        <v/>
      </c>
      <c r="H355" s="8" t="str">
        <f aca="false">IF(OR($A355="",$F355=""),"",IF($F355=_xlfn.MINIFS($F$3:$F$502,$A$3:$A$502,$A355),"최저가",""))</f>
        <v/>
      </c>
      <c r="I355" s="8" t="str">
        <f aca="false">IF($H355="최저가",$A355,"")</f>
        <v/>
      </c>
    </row>
    <row r="356" customFormat="false" ht="15" hidden="false" customHeight="false" outlineLevel="0" collapsed="false">
      <c r="A356" s="6"/>
      <c r="B356" s="6"/>
      <c r="C356" s="8" t="str">
        <f aca="false">IF($A356="","",IFERROR(INDEX(품목목록!$B$3:$B$102,MATCH($A356,품목목록!$A$3:$A$102,0)),""))</f>
        <v/>
      </c>
      <c r="D356" s="8" t="str">
        <f aca="false">IF($B356="","",IFERROR(INDEX(업체목록!$B$3:$B$52,MATCH($B356,업체목록!$A$3:$A$52,0)),""))</f>
        <v/>
      </c>
      <c r="E356" s="8" t="str">
        <f aca="false">IF($A356="","",IFERROR(INDEX(품목목록!$D$3:$D$102,MATCH($A356,품목목록!$A$3:$A$102,0)),""))</f>
        <v/>
      </c>
      <c r="F356" s="9"/>
      <c r="G356" s="10" t="str">
        <f aca="false">IF(OR($A356="",$F356=""),"",ROUND($E356*$F356,0))</f>
        <v/>
      </c>
      <c r="H356" s="8" t="str">
        <f aca="false">IF(OR($A356="",$F356=""),"",IF($F356=_xlfn.MINIFS($F$3:$F$502,$A$3:$A$502,$A356),"최저가",""))</f>
        <v/>
      </c>
      <c r="I356" s="8" t="str">
        <f aca="false">IF($H356="최저가",$A356,"")</f>
        <v/>
      </c>
    </row>
    <row r="357" customFormat="false" ht="15" hidden="false" customHeight="false" outlineLevel="0" collapsed="false">
      <c r="A357" s="6"/>
      <c r="B357" s="6"/>
      <c r="C357" s="8" t="str">
        <f aca="false">IF($A357="","",IFERROR(INDEX(품목목록!$B$3:$B$102,MATCH($A357,품목목록!$A$3:$A$102,0)),""))</f>
        <v/>
      </c>
      <c r="D357" s="8" t="str">
        <f aca="false">IF($B357="","",IFERROR(INDEX(업체목록!$B$3:$B$52,MATCH($B357,업체목록!$A$3:$A$52,0)),""))</f>
        <v/>
      </c>
      <c r="E357" s="8" t="str">
        <f aca="false">IF($A357="","",IFERROR(INDEX(품목목록!$D$3:$D$102,MATCH($A357,품목목록!$A$3:$A$102,0)),""))</f>
        <v/>
      </c>
      <c r="F357" s="9"/>
      <c r="G357" s="10" t="str">
        <f aca="false">IF(OR($A357="",$F357=""),"",ROUND($E357*$F357,0))</f>
        <v/>
      </c>
      <c r="H357" s="8" t="str">
        <f aca="false">IF(OR($A357="",$F357=""),"",IF($F357=_xlfn.MINIFS($F$3:$F$502,$A$3:$A$502,$A357),"최저가",""))</f>
        <v/>
      </c>
      <c r="I357" s="8" t="str">
        <f aca="false">IF($H357="최저가",$A357,"")</f>
        <v/>
      </c>
    </row>
    <row r="358" customFormat="false" ht="15" hidden="false" customHeight="false" outlineLevel="0" collapsed="false">
      <c r="A358" s="6"/>
      <c r="B358" s="6"/>
      <c r="C358" s="8" t="str">
        <f aca="false">IF($A358="","",IFERROR(INDEX(품목목록!$B$3:$B$102,MATCH($A358,품목목록!$A$3:$A$102,0)),""))</f>
        <v/>
      </c>
      <c r="D358" s="8" t="str">
        <f aca="false">IF($B358="","",IFERROR(INDEX(업체목록!$B$3:$B$52,MATCH($B358,업체목록!$A$3:$A$52,0)),""))</f>
        <v/>
      </c>
      <c r="E358" s="8" t="str">
        <f aca="false">IF($A358="","",IFERROR(INDEX(품목목록!$D$3:$D$102,MATCH($A358,품목목록!$A$3:$A$102,0)),""))</f>
        <v/>
      </c>
      <c r="F358" s="9"/>
      <c r="G358" s="10" t="str">
        <f aca="false">IF(OR($A358="",$F358=""),"",ROUND($E358*$F358,0))</f>
        <v/>
      </c>
      <c r="H358" s="8" t="str">
        <f aca="false">IF(OR($A358="",$F358=""),"",IF($F358=_xlfn.MINIFS($F$3:$F$502,$A$3:$A$502,$A358),"최저가",""))</f>
        <v/>
      </c>
      <c r="I358" s="8" t="str">
        <f aca="false">IF($H358="최저가",$A358,"")</f>
        <v/>
      </c>
    </row>
    <row r="359" customFormat="false" ht="15" hidden="false" customHeight="false" outlineLevel="0" collapsed="false">
      <c r="A359" s="6"/>
      <c r="B359" s="6"/>
      <c r="C359" s="8" t="str">
        <f aca="false">IF($A359="","",IFERROR(INDEX(품목목록!$B$3:$B$102,MATCH($A359,품목목록!$A$3:$A$102,0)),""))</f>
        <v/>
      </c>
      <c r="D359" s="8" t="str">
        <f aca="false">IF($B359="","",IFERROR(INDEX(업체목록!$B$3:$B$52,MATCH($B359,업체목록!$A$3:$A$52,0)),""))</f>
        <v/>
      </c>
      <c r="E359" s="8" t="str">
        <f aca="false">IF($A359="","",IFERROR(INDEX(품목목록!$D$3:$D$102,MATCH($A359,품목목록!$A$3:$A$102,0)),""))</f>
        <v/>
      </c>
      <c r="F359" s="9"/>
      <c r="G359" s="10" t="str">
        <f aca="false">IF(OR($A359="",$F359=""),"",ROUND($E359*$F359,0))</f>
        <v/>
      </c>
      <c r="H359" s="8" t="str">
        <f aca="false">IF(OR($A359="",$F359=""),"",IF($F359=_xlfn.MINIFS($F$3:$F$502,$A$3:$A$502,$A359),"최저가",""))</f>
        <v/>
      </c>
      <c r="I359" s="8" t="str">
        <f aca="false">IF($H359="최저가",$A359,"")</f>
        <v/>
      </c>
    </row>
    <row r="360" customFormat="false" ht="15" hidden="false" customHeight="false" outlineLevel="0" collapsed="false">
      <c r="A360" s="6"/>
      <c r="B360" s="6"/>
      <c r="C360" s="8" t="str">
        <f aca="false">IF($A360="","",IFERROR(INDEX(품목목록!$B$3:$B$102,MATCH($A360,품목목록!$A$3:$A$102,0)),""))</f>
        <v/>
      </c>
      <c r="D360" s="8" t="str">
        <f aca="false">IF($B360="","",IFERROR(INDEX(업체목록!$B$3:$B$52,MATCH($B360,업체목록!$A$3:$A$52,0)),""))</f>
        <v/>
      </c>
      <c r="E360" s="8" t="str">
        <f aca="false">IF($A360="","",IFERROR(INDEX(품목목록!$D$3:$D$102,MATCH($A360,품목목록!$A$3:$A$102,0)),""))</f>
        <v/>
      </c>
      <c r="F360" s="9"/>
      <c r="G360" s="10" t="str">
        <f aca="false">IF(OR($A360="",$F360=""),"",ROUND($E360*$F360,0))</f>
        <v/>
      </c>
      <c r="H360" s="8" t="str">
        <f aca="false">IF(OR($A360="",$F360=""),"",IF($F360=_xlfn.MINIFS($F$3:$F$502,$A$3:$A$502,$A360),"최저가",""))</f>
        <v/>
      </c>
      <c r="I360" s="8" t="str">
        <f aca="false">IF($H360="최저가",$A360,"")</f>
        <v/>
      </c>
    </row>
    <row r="361" customFormat="false" ht="15" hidden="false" customHeight="false" outlineLevel="0" collapsed="false">
      <c r="A361" s="6"/>
      <c r="B361" s="6"/>
      <c r="C361" s="8" t="str">
        <f aca="false">IF($A361="","",IFERROR(INDEX(품목목록!$B$3:$B$102,MATCH($A361,품목목록!$A$3:$A$102,0)),""))</f>
        <v/>
      </c>
      <c r="D361" s="8" t="str">
        <f aca="false">IF($B361="","",IFERROR(INDEX(업체목록!$B$3:$B$52,MATCH($B361,업체목록!$A$3:$A$52,0)),""))</f>
        <v/>
      </c>
      <c r="E361" s="8" t="str">
        <f aca="false">IF($A361="","",IFERROR(INDEX(품목목록!$D$3:$D$102,MATCH($A361,품목목록!$A$3:$A$102,0)),""))</f>
        <v/>
      </c>
      <c r="F361" s="9"/>
      <c r="G361" s="10" t="str">
        <f aca="false">IF(OR($A361="",$F361=""),"",ROUND($E361*$F361,0))</f>
        <v/>
      </c>
      <c r="H361" s="8" t="str">
        <f aca="false">IF(OR($A361="",$F361=""),"",IF($F361=_xlfn.MINIFS($F$3:$F$502,$A$3:$A$502,$A361),"최저가",""))</f>
        <v/>
      </c>
      <c r="I361" s="8" t="str">
        <f aca="false">IF($H361="최저가",$A361,"")</f>
        <v/>
      </c>
    </row>
    <row r="362" customFormat="false" ht="15" hidden="false" customHeight="false" outlineLevel="0" collapsed="false">
      <c r="A362" s="6"/>
      <c r="B362" s="6"/>
      <c r="C362" s="8" t="str">
        <f aca="false">IF($A362="","",IFERROR(INDEX(품목목록!$B$3:$B$102,MATCH($A362,품목목록!$A$3:$A$102,0)),""))</f>
        <v/>
      </c>
      <c r="D362" s="8" t="str">
        <f aca="false">IF($B362="","",IFERROR(INDEX(업체목록!$B$3:$B$52,MATCH($B362,업체목록!$A$3:$A$52,0)),""))</f>
        <v/>
      </c>
      <c r="E362" s="8" t="str">
        <f aca="false">IF($A362="","",IFERROR(INDEX(품목목록!$D$3:$D$102,MATCH($A362,품목목록!$A$3:$A$102,0)),""))</f>
        <v/>
      </c>
      <c r="F362" s="9"/>
      <c r="G362" s="10" t="str">
        <f aca="false">IF(OR($A362="",$F362=""),"",ROUND($E362*$F362,0))</f>
        <v/>
      </c>
      <c r="H362" s="8" t="str">
        <f aca="false">IF(OR($A362="",$F362=""),"",IF($F362=_xlfn.MINIFS($F$3:$F$502,$A$3:$A$502,$A362),"최저가",""))</f>
        <v/>
      </c>
      <c r="I362" s="8" t="str">
        <f aca="false">IF($H362="최저가",$A362,"")</f>
        <v/>
      </c>
    </row>
    <row r="363" customFormat="false" ht="15" hidden="false" customHeight="false" outlineLevel="0" collapsed="false">
      <c r="A363" s="6"/>
      <c r="B363" s="6"/>
      <c r="C363" s="8" t="str">
        <f aca="false">IF($A363="","",IFERROR(INDEX(품목목록!$B$3:$B$102,MATCH($A363,품목목록!$A$3:$A$102,0)),""))</f>
        <v/>
      </c>
      <c r="D363" s="8" t="str">
        <f aca="false">IF($B363="","",IFERROR(INDEX(업체목록!$B$3:$B$52,MATCH($B363,업체목록!$A$3:$A$52,0)),""))</f>
        <v/>
      </c>
      <c r="E363" s="8" t="str">
        <f aca="false">IF($A363="","",IFERROR(INDEX(품목목록!$D$3:$D$102,MATCH($A363,품목목록!$A$3:$A$102,0)),""))</f>
        <v/>
      </c>
      <c r="F363" s="9"/>
      <c r="G363" s="10" t="str">
        <f aca="false">IF(OR($A363="",$F363=""),"",ROUND($E363*$F363,0))</f>
        <v/>
      </c>
      <c r="H363" s="8" t="str">
        <f aca="false">IF(OR($A363="",$F363=""),"",IF($F363=_xlfn.MINIFS($F$3:$F$502,$A$3:$A$502,$A363),"최저가",""))</f>
        <v/>
      </c>
      <c r="I363" s="8" t="str">
        <f aca="false">IF($H363="최저가",$A363,"")</f>
        <v/>
      </c>
    </row>
    <row r="364" customFormat="false" ht="15" hidden="false" customHeight="false" outlineLevel="0" collapsed="false">
      <c r="A364" s="6"/>
      <c r="B364" s="6"/>
      <c r="C364" s="8" t="str">
        <f aca="false">IF($A364="","",IFERROR(INDEX(품목목록!$B$3:$B$102,MATCH($A364,품목목록!$A$3:$A$102,0)),""))</f>
        <v/>
      </c>
      <c r="D364" s="8" t="str">
        <f aca="false">IF($B364="","",IFERROR(INDEX(업체목록!$B$3:$B$52,MATCH($B364,업체목록!$A$3:$A$52,0)),""))</f>
        <v/>
      </c>
      <c r="E364" s="8" t="str">
        <f aca="false">IF($A364="","",IFERROR(INDEX(품목목록!$D$3:$D$102,MATCH($A364,품목목록!$A$3:$A$102,0)),""))</f>
        <v/>
      </c>
      <c r="F364" s="9"/>
      <c r="G364" s="10" t="str">
        <f aca="false">IF(OR($A364="",$F364=""),"",ROUND($E364*$F364,0))</f>
        <v/>
      </c>
      <c r="H364" s="8" t="str">
        <f aca="false">IF(OR($A364="",$F364=""),"",IF($F364=_xlfn.MINIFS($F$3:$F$502,$A$3:$A$502,$A364),"최저가",""))</f>
        <v/>
      </c>
      <c r="I364" s="8" t="str">
        <f aca="false">IF($H364="최저가",$A364,"")</f>
        <v/>
      </c>
    </row>
    <row r="365" customFormat="false" ht="15" hidden="false" customHeight="false" outlineLevel="0" collapsed="false">
      <c r="A365" s="6"/>
      <c r="B365" s="6"/>
      <c r="C365" s="8" t="str">
        <f aca="false">IF($A365="","",IFERROR(INDEX(품목목록!$B$3:$B$102,MATCH($A365,품목목록!$A$3:$A$102,0)),""))</f>
        <v/>
      </c>
      <c r="D365" s="8" t="str">
        <f aca="false">IF($B365="","",IFERROR(INDEX(업체목록!$B$3:$B$52,MATCH($B365,업체목록!$A$3:$A$52,0)),""))</f>
        <v/>
      </c>
      <c r="E365" s="8" t="str">
        <f aca="false">IF($A365="","",IFERROR(INDEX(품목목록!$D$3:$D$102,MATCH($A365,품목목록!$A$3:$A$102,0)),""))</f>
        <v/>
      </c>
      <c r="F365" s="9"/>
      <c r="G365" s="10" t="str">
        <f aca="false">IF(OR($A365="",$F365=""),"",ROUND($E365*$F365,0))</f>
        <v/>
      </c>
      <c r="H365" s="8" t="str">
        <f aca="false">IF(OR($A365="",$F365=""),"",IF($F365=_xlfn.MINIFS($F$3:$F$502,$A$3:$A$502,$A365),"최저가",""))</f>
        <v/>
      </c>
      <c r="I365" s="8" t="str">
        <f aca="false">IF($H365="최저가",$A365,"")</f>
        <v/>
      </c>
    </row>
    <row r="366" customFormat="false" ht="15" hidden="false" customHeight="false" outlineLevel="0" collapsed="false">
      <c r="A366" s="6"/>
      <c r="B366" s="6"/>
      <c r="C366" s="8" t="str">
        <f aca="false">IF($A366="","",IFERROR(INDEX(품목목록!$B$3:$B$102,MATCH($A366,품목목록!$A$3:$A$102,0)),""))</f>
        <v/>
      </c>
      <c r="D366" s="8" t="str">
        <f aca="false">IF($B366="","",IFERROR(INDEX(업체목록!$B$3:$B$52,MATCH($B366,업체목록!$A$3:$A$52,0)),""))</f>
        <v/>
      </c>
      <c r="E366" s="8" t="str">
        <f aca="false">IF($A366="","",IFERROR(INDEX(품목목록!$D$3:$D$102,MATCH($A366,품목목록!$A$3:$A$102,0)),""))</f>
        <v/>
      </c>
      <c r="F366" s="9"/>
      <c r="G366" s="10" t="str">
        <f aca="false">IF(OR($A366="",$F366=""),"",ROUND($E366*$F366,0))</f>
        <v/>
      </c>
      <c r="H366" s="8" t="str">
        <f aca="false">IF(OR($A366="",$F366=""),"",IF($F366=_xlfn.MINIFS($F$3:$F$502,$A$3:$A$502,$A366),"최저가",""))</f>
        <v/>
      </c>
      <c r="I366" s="8" t="str">
        <f aca="false">IF($H366="최저가",$A366,"")</f>
        <v/>
      </c>
    </row>
    <row r="367" customFormat="false" ht="15" hidden="false" customHeight="false" outlineLevel="0" collapsed="false">
      <c r="A367" s="6"/>
      <c r="B367" s="6"/>
      <c r="C367" s="8" t="str">
        <f aca="false">IF($A367="","",IFERROR(INDEX(품목목록!$B$3:$B$102,MATCH($A367,품목목록!$A$3:$A$102,0)),""))</f>
        <v/>
      </c>
      <c r="D367" s="8" t="str">
        <f aca="false">IF($B367="","",IFERROR(INDEX(업체목록!$B$3:$B$52,MATCH($B367,업체목록!$A$3:$A$52,0)),""))</f>
        <v/>
      </c>
      <c r="E367" s="8" t="str">
        <f aca="false">IF($A367="","",IFERROR(INDEX(품목목록!$D$3:$D$102,MATCH($A367,품목목록!$A$3:$A$102,0)),""))</f>
        <v/>
      </c>
      <c r="F367" s="9"/>
      <c r="G367" s="10" t="str">
        <f aca="false">IF(OR($A367="",$F367=""),"",ROUND($E367*$F367,0))</f>
        <v/>
      </c>
      <c r="H367" s="8" t="str">
        <f aca="false">IF(OR($A367="",$F367=""),"",IF($F367=_xlfn.MINIFS($F$3:$F$502,$A$3:$A$502,$A367),"최저가",""))</f>
        <v/>
      </c>
      <c r="I367" s="8" t="str">
        <f aca="false">IF($H367="최저가",$A367,"")</f>
        <v/>
      </c>
    </row>
    <row r="368" customFormat="false" ht="15" hidden="false" customHeight="false" outlineLevel="0" collapsed="false">
      <c r="A368" s="6"/>
      <c r="B368" s="6"/>
      <c r="C368" s="8" t="str">
        <f aca="false">IF($A368="","",IFERROR(INDEX(품목목록!$B$3:$B$102,MATCH($A368,품목목록!$A$3:$A$102,0)),""))</f>
        <v/>
      </c>
      <c r="D368" s="8" t="str">
        <f aca="false">IF($B368="","",IFERROR(INDEX(업체목록!$B$3:$B$52,MATCH($B368,업체목록!$A$3:$A$52,0)),""))</f>
        <v/>
      </c>
      <c r="E368" s="8" t="str">
        <f aca="false">IF($A368="","",IFERROR(INDEX(품목목록!$D$3:$D$102,MATCH($A368,품목목록!$A$3:$A$102,0)),""))</f>
        <v/>
      </c>
      <c r="F368" s="9"/>
      <c r="G368" s="10" t="str">
        <f aca="false">IF(OR($A368="",$F368=""),"",ROUND($E368*$F368,0))</f>
        <v/>
      </c>
      <c r="H368" s="8" t="str">
        <f aca="false">IF(OR($A368="",$F368=""),"",IF($F368=_xlfn.MINIFS($F$3:$F$502,$A$3:$A$502,$A368),"최저가",""))</f>
        <v/>
      </c>
      <c r="I368" s="8" t="str">
        <f aca="false">IF($H368="최저가",$A368,"")</f>
        <v/>
      </c>
    </row>
    <row r="369" customFormat="false" ht="15" hidden="false" customHeight="false" outlineLevel="0" collapsed="false">
      <c r="A369" s="6"/>
      <c r="B369" s="6"/>
      <c r="C369" s="8" t="str">
        <f aca="false">IF($A369="","",IFERROR(INDEX(품목목록!$B$3:$B$102,MATCH($A369,품목목록!$A$3:$A$102,0)),""))</f>
        <v/>
      </c>
      <c r="D369" s="8" t="str">
        <f aca="false">IF($B369="","",IFERROR(INDEX(업체목록!$B$3:$B$52,MATCH($B369,업체목록!$A$3:$A$52,0)),""))</f>
        <v/>
      </c>
      <c r="E369" s="8" t="str">
        <f aca="false">IF($A369="","",IFERROR(INDEX(품목목록!$D$3:$D$102,MATCH($A369,품목목록!$A$3:$A$102,0)),""))</f>
        <v/>
      </c>
      <c r="F369" s="9"/>
      <c r="G369" s="10" t="str">
        <f aca="false">IF(OR($A369="",$F369=""),"",ROUND($E369*$F369,0))</f>
        <v/>
      </c>
      <c r="H369" s="8" t="str">
        <f aca="false">IF(OR($A369="",$F369=""),"",IF($F369=_xlfn.MINIFS($F$3:$F$502,$A$3:$A$502,$A369),"최저가",""))</f>
        <v/>
      </c>
      <c r="I369" s="8" t="str">
        <f aca="false">IF($H369="최저가",$A369,"")</f>
        <v/>
      </c>
    </row>
    <row r="370" customFormat="false" ht="15" hidden="false" customHeight="false" outlineLevel="0" collapsed="false">
      <c r="A370" s="6"/>
      <c r="B370" s="6"/>
      <c r="C370" s="8" t="str">
        <f aca="false">IF($A370="","",IFERROR(INDEX(품목목록!$B$3:$B$102,MATCH($A370,품목목록!$A$3:$A$102,0)),""))</f>
        <v/>
      </c>
      <c r="D370" s="8" t="str">
        <f aca="false">IF($B370="","",IFERROR(INDEX(업체목록!$B$3:$B$52,MATCH($B370,업체목록!$A$3:$A$52,0)),""))</f>
        <v/>
      </c>
      <c r="E370" s="8" t="str">
        <f aca="false">IF($A370="","",IFERROR(INDEX(품목목록!$D$3:$D$102,MATCH($A370,품목목록!$A$3:$A$102,0)),""))</f>
        <v/>
      </c>
      <c r="F370" s="9"/>
      <c r="G370" s="10" t="str">
        <f aca="false">IF(OR($A370="",$F370=""),"",ROUND($E370*$F370,0))</f>
        <v/>
      </c>
      <c r="H370" s="8" t="str">
        <f aca="false">IF(OR($A370="",$F370=""),"",IF($F370=_xlfn.MINIFS($F$3:$F$502,$A$3:$A$502,$A370),"최저가",""))</f>
        <v/>
      </c>
      <c r="I370" s="8" t="str">
        <f aca="false">IF($H370="최저가",$A370,"")</f>
        <v/>
      </c>
    </row>
    <row r="371" customFormat="false" ht="15" hidden="false" customHeight="false" outlineLevel="0" collapsed="false">
      <c r="A371" s="6"/>
      <c r="B371" s="6"/>
      <c r="C371" s="8" t="str">
        <f aca="false">IF($A371="","",IFERROR(INDEX(품목목록!$B$3:$B$102,MATCH($A371,품목목록!$A$3:$A$102,0)),""))</f>
        <v/>
      </c>
      <c r="D371" s="8" t="str">
        <f aca="false">IF($B371="","",IFERROR(INDEX(업체목록!$B$3:$B$52,MATCH($B371,업체목록!$A$3:$A$52,0)),""))</f>
        <v/>
      </c>
      <c r="E371" s="8" t="str">
        <f aca="false">IF($A371="","",IFERROR(INDEX(품목목록!$D$3:$D$102,MATCH($A371,품목목록!$A$3:$A$102,0)),""))</f>
        <v/>
      </c>
      <c r="F371" s="9"/>
      <c r="G371" s="10" t="str">
        <f aca="false">IF(OR($A371="",$F371=""),"",ROUND($E371*$F371,0))</f>
        <v/>
      </c>
      <c r="H371" s="8" t="str">
        <f aca="false">IF(OR($A371="",$F371=""),"",IF($F371=_xlfn.MINIFS($F$3:$F$502,$A$3:$A$502,$A371),"최저가",""))</f>
        <v/>
      </c>
      <c r="I371" s="8" t="str">
        <f aca="false">IF($H371="최저가",$A371,"")</f>
        <v/>
      </c>
    </row>
    <row r="372" customFormat="false" ht="15" hidden="false" customHeight="false" outlineLevel="0" collapsed="false">
      <c r="A372" s="6"/>
      <c r="B372" s="6"/>
      <c r="C372" s="8" t="str">
        <f aca="false">IF($A372="","",IFERROR(INDEX(품목목록!$B$3:$B$102,MATCH($A372,품목목록!$A$3:$A$102,0)),""))</f>
        <v/>
      </c>
      <c r="D372" s="8" t="str">
        <f aca="false">IF($B372="","",IFERROR(INDEX(업체목록!$B$3:$B$52,MATCH($B372,업체목록!$A$3:$A$52,0)),""))</f>
        <v/>
      </c>
      <c r="E372" s="8" t="str">
        <f aca="false">IF($A372="","",IFERROR(INDEX(품목목록!$D$3:$D$102,MATCH($A372,품목목록!$A$3:$A$102,0)),""))</f>
        <v/>
      </c>
      <c r="F372" s="9"/>
      <c r="G372" s="10" t="str">
        <f aca="false">IF(OR($A372="",$F372=""),"",ROUND($E372*$F372,0))</f>
        <v/>
      </c>
      <c r="H372" s="8" t="str">
        <f aca="false">IF(OR($A372="",$F372=""),"",IF($F372=_xlfn.MINIFS($F$3:$F$502,$A$3:$A$502,$A372),"최저가",""))</f>
        <v/>
      </c>
      <c r="I372" s="8" t="str">
        <f aca="false">IF($H372="최저가",$A372,"")</f>
        <v/>
      </c>
    </row>
    <row r="373" customFormat="false" ht="15" hidden="false" customHeight="false" outlineLevel="0" collapsed="false">
      <c r="A373" s="6"/>
      <c r="B373" s="6"/>
      <c r="C373" s="8" t="str">
        <f aca="false">IF($A373="","",IFERROR(INDEX(품목목록!$B$3:$B$102,MATCH($A373,품목목록!$A$3:$A$102,0)),""))</f>
        <v/>
      </c>
      <c r="D373" s="8" t="str">
        <f aca="false">IF($B373="","",IFERROR(INDEX(업체목록!$B$3:$B$52,MATCH($B373,업체목록!$A$3:$A$52,0)),""))</f>
        <v/>
      </c>
      <c r="E373" s="8" t="str">
        <f aca="false">IF($A373="","",IFERROR(INDEX(품목목록!$D$3:$D$102,MATCH($A373,품목목록!$A$3:$A$102,0)),""))</f>
        <v/>
      </c>
      <c r="F373" s="9"/>
      <c r="G373" s="10" t="str">
        <f aca="false">IF(OR($A373="",$F373=""),"",ROUND($E373*$F373,0))</f>
        <v/>
      </c>
      <c r="H373" s="8" t="str">
        <f aca="false">IF(OR($A373="",$F373=""),"",IF($F373=_xlfn.MINIFS($F$3:$F$502,$A$3:$A$502,$A373),"최저가",""))</f>
        <v/>
      </c>
      <c r="I373" s="8" t="str">
        <f aca="false">IF($H373="최저가",$A373,"")</f>
        <v/>
      </c>
    </row>
    <row r="374" customFormat="false" ht="15" hidden="false" customHeight="false" outlineLevel="0" collapsed="false">
      <c r="A374" s="6"/>
      <c r="B374" s="6"/>
      <c r="C374" s="8" t="str">
        <f aca="false">IF($A374="","",IFERROR(INDEX(품목목록!$B$3:$B$102,MATCH($A374,품목목록!$A$3:$A$102,0)),""))</f>
        <v/>
      </c>
      <c r="D374" s="8" t="str">
        <f aca="false">IF($B374="","",IFERROR(INDEX(업체목록!$B$3:$B$52,MATCH($B374,업체목록!$A$3:$A$52,0)),""))</f>
        <v/>
      </c>
      <c r="E374" s="8" t="str">
        <f aca="false">IF($A374="","",IFERROR(INDEX(품목목록!$D$3:$D$102,MATCH($A374,품목목록!$A$3:$A$102,0)),""))</f>
        <v/>
      </c>
      <c r="F374" s="9"/>
      <c r="G374" s="10" t="str">
        <f aca="false">IF(OR($A374="",$F374=""),"",ROUND($E374*$F374,0))</f>
        <v/>
      </c>
      <c r="H374" s="8" t="str">
        <f aca="false">IF(OR($A374="",$F374=""),"",IF($F374=_xlfn.MINIFS($F$3:$F$502,$A$3:$A$502,$A374),"최저가",""))</f>
        <v/>
      </c>
      <c r="I374" s="8" t="str">
        <f aca="false">IF($H374="최저가",$A374,"")</f>
        <v/>
      </c>
    </row>
    <row r="375" customFormat="false" ht="15" hidden="false" customHeight="false" outlineLevel="0" collapsed="false">
      <c r="A375" s="6"/>
      <c r="B375" s="6"/>
      <c r="C375" s="8" t="str">
        <f aca="false">IF($A375="","",IFERROR(INDEX(품목목록!$B$3:$B$102,MATCH($A375,품목목록!$A$3:$A$102,0)),""))</f>
        <v/>
      </c>
      <c r="D375" s="8" t="str">
        <f aca="false">IF($B375="","",IFERROR(INDEX(업체목록!$B$3:$B$52,MATCH($B375,업체목록!$A$3:$A$52,0)),""))</f>
        <v/>
      </c>
      <c r="E375" s="8" t="str">
        <f aca="false">IF($A375="","",IFERROR(INDEX(품목목록!$D$3:$D$102,MATCH($A375,품목목록!$A$3:$A$102,0)),""))</f>
        <v/>
      </c>
      <c r="F375" s="9"/>
      <c r="G375" s="10" t="str">
        <f aca="false">IF(OR($A375="",$F375=""),"",ROUND($E375*$F375,0))</f>
        <v/>
      </c>
      <c r="H375" s="8" t="str">
        <f aca="false">IF(OR($A375="",$F375=""),"",IF($F375=_xlfn.MINIFS($F$3:$F$502,$A$3:$A$502,$A375),"최저가",""))</f>
        <v/>
      </c>
      <c r="I375" s="8" t="str">
        <f aca="false">IF($H375="최저가",$A375,"")</f>
        <v/>
      </c>
    </row>
    <row r="376" customFormat="false" ht="15" hidden="false" customHeight="false" outlineLevel="0" collapsed="false">
      <c r="A376" s="6"/>
      <c r="B376" s="6"/>
      <c r="C376" s="8" t="str">
        <f aca="false">IF($A376="","",IFERROR(INDEX(품목목록!$B$3:$B$102,MATCH($A376,품목목록!$A$3:$A$102,0)),""))</f>
        <v/>
      </c>
      <c r="D376" s="8" t="str">
        <f aca="false">IF($B376="","",IFERROR(INDEX(업체목록!$B$3:$B$52,MATCH($B376,업체목록!$A$3:$A$52,0)),""))</f>
        <v/>
      </c>
      <c r="E376" s="8" t="str">
        <f aca="false">IF($A376="","",IFERROR(INDEX(품목목록!$D$3:$D$102,MATCH($A376,품목목록!$A$3:$A$102,0)),""))</f>
        <v/>
      </c>
      <c r="F376" s="9"/>
      <c r="G376" s="10" t="str">
        <f aca="false">IF(OR($A376="",$F376=""),"",ROUND($E376*$F376,0))</f>
        <v/>
      </c>
      <c r="H376" s="8" t="str">
        <f aca="false">IF(OR($A376="",$F376=""),"",IF($F376=_xlfn.MINIFS($F$3:$F$502,$A$3:$A$502,$A376),"최저가",""))</f>
        <v/>
      </c>
      <c r="I376" s="8" t="str">
        <f aca="false">IF($H376="최저가",$A376,"")</f>
        <v/>
      </c>
    </row>
    <row r="377" customFormat="false" ht="15" hidden="false" customHeight="false" outlineLevel="0" collapsed="false">
      <c r="A377" s="6"/>
      <c r="B377" s="6"/>
      <c r="C377" s="8" t="str">
        <f aca="false">IF($A377="","",IFERROR(INDEX(품목목록!$B$3:$B$102,MATCH($A377,품목목록!$A$3:$A$102,0)),""))</f>
        <v/>
      </c>
      <c r="D377" s="8" t="str">
        <f aca="false">IF($B377="","",IFERROR(INDEX(업체목록!$B$3:$B$52,MATCH($B377,업체목록!$A$3:$A$52,0)),""))</f>
        <v/>
      </c>
      <c r="E377" s="8" t="str">
        <f aca="false">IF($A377="","",IFERROR(INDEX(품목목록!$D$3:$D$102,MATCH($A377,품목목록!$A$3:$A$102,0)),""))</f>
        <v/>
      </c>
      <c r="F377" s="9"/>
      <c r="G377" s="10" t="str">
        <f aca="false">IF(OR($A377="",$F377=""),"",ROUND($E377*$F377,0))</f>
        <v/>
      </c>
      <c r="H377" s="8" t="str">
        <f aca="false">IF(OR($A377="",$F377=""),"",IF($F377=_xlfn.MINIFS($F$3:$F$502,$A$3:$A$502,$A377),"최저가",""))</f>
        <v/>
      </c>
      <c r="I377" s="8" t="str">
        <f aca="false">IF($H377="최저가",$A377,"")</f>
        <v/>
      </c>
    </row>
    <row r="378" customFormat="false" ht="15" hidden="false" customHeight="false" outlineLevel="0" collapsed="false">
      <c r="A378" s="6"/>
      <c r="B378" s="6"/>
      <c r="C378" s="8" t="str">
        <f aca="false">IF($A378="","",IFERROR(INDEX(품목목록!$B$3:$B$102,MATCH($A378,품목목록!$A$3:$A$102,0)),""))</f>
        <v/>
      </c>
      <c r="D378" s="8" t="str">
        <f aca="false">IF($B378="","",IFERROR(INDEX(업체목록!$B$3:$B$52,MATCH($B378,업체목록!$A$3:$A$52,0)),""))</f>
        <v/>
      </c>
      <c r="E378" s="8" t="str">
        <f aca="false">IF($A378="","",IFERROR(INDEX(품목목록!$D$3:$D$102,MATCH($A378,품목목록!$A$3:$A$102,0)),""))</f>
        <v/>
      </c>
      <c r="F378" s="9"/>
      <c r="G378" s="10" t="str">
        <f aca="false">IF(OR($A378="",$F378=""),"",ROUND($E378*$F378,0))</f>
        <v/>
      </c>
      <c r="H378" s="8" t="str">
        <f aca="false">IF(OR($A378="",$F378=""),"",IF($F378=_xlfn.MINIFS($F$3:$F$502,$A$3:$A$502,$A378),"최저가",""))</f>
        <v/>
      </c>
      <c r="I378" s="8" t="str">
        <f aca="false">IF($H378="최저가",$A378,"")</f>
        <v/>
      </c>
    </row>
    <row r="379" customFormat="false" ht="15" hidden="false" customHeight="false" outlineLevel="0" collapsed="false">
      <c r="A379" s="6"/>
      <c r="B379" s="6"/>
      <c r="C379" s="8" t="str">
        <f aca="false">IF($A379="","",IFERROR(INDEX(품목목록!$B$3:$B$102,MATCH($A379,품목목록!$A$3:$A$102,0)),""))</f>
        <v/>
      </c>
      <c r="D379" s="8" t="str">
        <f aca="false">IF($B379="","",IFERROR(INDEX(업체목록!$B$3:$B$52,MATCH($B379,업체목록!$A$3:$A$52,0)),""))</f>
        <v/>
      </c>
      <c r="E379" s="8" t="str">
        <f aca="false">IF($A379="","",IFERROR(INDEX(품목목록!$D$3:$D$102,MATCH($A379,품목목록!$A$3:$A$102,0)),""))</f>
        <v/>
      </c>
      <c r="F379" s="9"/>
      <c r="G379" s="10" t="str">
        <f aca="false">IF(OR($A379="",$F379=""),"",ROUND($E379*$F379,0))</f>
        <v/>
      </c>
      <c r="H379" s="8" t="str">
        <f aca="false">IF(OR($A379="",$F379=""),"",IF($F379=_xlfn.MINIFS($F$3:$F$502,$A$3:$A$502,$A379),"최저가",""))</f>
        <v/>
      </c>
      <c r="I379" s="8" t="str">
        <f aca="false">IF($H379="최저가",$A379,"")</f>
        <v/>
      </c>
    </row>
    <row r="380" customFormat="false" ht="15" hidden="false" customHeight="false" outlineLevel="0" collapsed="false">
      <c r="A380" s="6"/>
      <c r="B380" s="6"/>
      <c r="C380" s="8" t="str">
        <f aca="false">IF($A380="","",IFERROR(INDEX(품목목록!$B$3:$B$102,MATCH($A380,품목목록!$A$3:$A$102,0)),""))</f>
        <v/>
      </c>
      <c r="D380" s="8" t="str">
        <f aca="false">IF($B380="","",IFERROR(INDEX(업체목록!$B$3:$B$52,MATCH($B380,업체목록!$A$3:$A$52,0)),""))</f>
        <v/>
      </c>
      <c r="E380" s="8" t="str">
        <f aca="false">IF($A380="","",IFERROR(INDEX(품목목록!$D$3:$D$102,MATCH($A380,품목목록!$A$3:$A$102,0)),""))</f>
        <v/>
      </c>
      <c r="F380" s="9"/>
      <c r="G380" s="10" t="str">
        <f aca="false">IF(OR($A380="",$F380=""),"",ROUND($E380*$F380,0))</f>
        <v/>
      </c>
      <c r="H380" s="8" t="str">
        <f aca="false">IF(OR($A380="",$F380=""),"",IF($F380=_xlfn.MINIFS($F$3:$F$502,$A$3:$A$502,$A380),"최저가",""))</f>
        <v/>
      </c>
      <c r="I380" s="8" t="str">
        <f aca="false">IF($H380="최저가",$A380,"")</f>
        <v/>
      </c>
    </row>
    <row r="381" customFormat="false" ht="15" hidden="false" customHeight="false" outlineLevel="0" collapsed="false">
      <c r="A381" s="6"/>
      <c r="B381" s="6"/>
      <c r="C381" s="8" t="str">
        <f aca="false">IF($A381="","",IFERROR(INDEX(품목목록!$B$3:$B$102,MATCH($A381,품목목록!$A$3:$A$102,0)),""))</f>
        <v/>
      </c>
      <c r="D381" s="8" t="str">
        <f aca="false">IF($B381="","",IFERROR(INDEX(업체목록!$B$3:$B$52,MATCH($B381,업체목록!$A$3:$A$52,0)),""))</f>
        <v/>
      </c>
      <c r="E381" s="8" t="str">
        <f aca="false">IF($A381="","",IFERROR(INDEX(품목목록!$D$3:$D$102,MATCH($A381,품목목록!$A$3:$A$102,0)),""))</f>
        <v/>
      </c>
      <c r="F381" s="9"/>
      <c r="G381" s="10" t="str">
        <f aca="false">IF(OR($A381="",$F381=""),"",ROUND($E381*$F381,0))</f>
        <v/>
      </c>
      <c r="H381" s="8" t="str">
        <f aca="false">IF(OR($A381="",$F381=""),"",IF($F381=_xlfn.MINIFS($F$3:$F$502,$A$3:$A$502,$A381),"최저가",""))</f>
        <v/>
      </c>
      <c r="I381" s="8" t="str">
        <f aca="false">IF($H381="최저가",$A381,"")</f>
        <v/>
      </c>
    </row>
    <row r="382" customFormat="false" ht="15" hidden="false" customHeight="false" outlineLevel="0" collapsed="false">
      <c r="A382" s="6"/>
      <c r="B382" s="6"/>
      <c r="C382" s="8" t="str">
        <f aca="false">IF($A382="","",IFERROR(INDEX(품목목록!$B$3:$B$102,MATCH($A382,품목목록!$A$3:$A$102,0)),""))</f>
        <v/>
      </c>
      <c r="D382" s="8" t="str">
        <f aca="false">IF($B382="","",IFERROR(INDEX(업체목록!$B$3:$B$52,MATCH($B382,업체목록!$A$3:$A$52,0)),""))</f>
        <v/>
      </c>
      <c r="E382" s="8" t="str">
        <f aca="false">IF($A382="","",IFERROR(INDEX(품목목록!$D$3:$D$102,MATCH($A382,품목목록!$A$3:$A$102,0)),""))</f>
        <v/>
      </c>
      <c r="F382" s="9"/>
      <c r="G382" s="10" t="str">
        <f aca="false">IF(OR($A382="",$F382=""),"",ROUND($E382*$F382,0))</f>
        <v/>
      </c>
      <c r="H382" s="8" t="str">
        <f aca="false">IF(OR($A382="",$F382=""),"",IF($F382=_xlfn.MINIFS($F$3:$F$502,$A$3:$A$502,$A382),"최저가",""))</f>
        <v/>
      </c>
      <c r="I382" s="8" t="str">
        <f aca="false">IF($H382="최저가",$A382,"")</f>
        <v/>
      </c>
    </row>
    <row r="383" customFormat="false" ht="15" hidden="false" customHeight="false" outlineLevel="0" collapsed="false">
      <c r="A383" s="6"/>
      <c r="B383" s="6"/>
      <c r="C383" s="8" t="str">
        <f aca="false">IF($A383="","",IFERROR(INDEX(품목목록!$B$3:$B$102,MATCH($A383,품목목록!$A$3:$A$102,0)),""))</f>
        <v/>
      </c>
      <c r="D383" s="8" t="str">
        <f aca="false">IF($B383="","",IFERROR(INDEX(업체목록!$B$3:$B$52,MATCH($B383,업체목록!$A$3:$A$52,0)),""))</f>
        <v/>
      </c>
      <c r="E383" s="8" t="str">
        <f aca="false">IF($A383="","",IFERROR(INDEX(품목목록!$D$3:$D$102,MATCH($A383,품목목록!$A$3:$A$102,0)),""))</f>
        <v/>
      </c>
      <c r="F383" s="9"/>
      <c r="G383" s="10" t="str">
        <f aca="false">IF(OR($A383="",$F383=""),"",ROUND($E383*$F383,0))</f>
        <v/>
      </c>
      <c r="H383" s="8" t="str">
        <f aca="false">IF(OR($A383="",$F383=""),"",IF($F383=_xlfn.MINIFS($F$3:$F$502,$A$3:$A$502,$A383),"최저가",""))</f>
        <v/>
      </c>
      <c r="I383" s="8" t="str">
        <f aca="false">IF($H383="최저가",$A383,"")</f>
        <v/>
      </c>
    </row>
    <row r="384" customFormat="false" ht="15" hidden="false" customHeight="false" outlineLevel="0" collapsed="false">
      <c r="A384" s="6"/>
      <c r="B384" s="6"/>
      <c r="C384" s="8" t="str">
        <f aca="false">IF($A384="","",IFERROR(INDEX(품목목록!$B$3:$B$102,MATCH($A384,품목목록!$A$3:$A$102,0)),""))</f>
        <v/>
      </c>
      <c r="D384" s="8" t="str">
        <f aca="false">IF($B384="","",IFERROR(INDEX(업체목록!$B$3:$B$52,MATCH($B384,업체목록!$A$3:$A$52,0)),""))</f>
        <v/>
      </c>
      <c r="E384" s="8" t="str">
        <f aca="false">IF($A384="","",IFERROR(INDEX(품목목록!$D$3:$D$102,MATCH($A384,품목목록!$A$3:$A$102,0)),""))</f>
        <v/>
      </c>
      <c r="F384" s="9"/>
      <c r="G384" s="10" t="str">
        <f aca="false">IF(OR($A384="",$F384=""),"",ROUND($E384*$F384,0))</f>
        <v/>
      </c>
      <c r="H384" s="8" t="str">
        <f aca="false">IF(OR($A384="",$F384=""),"",IF($F384=_xlfn.MINIFS($F$3:$F$502,$A$3:$A$502,$A384),"최저가",""))</f>
        <v/>
      </c>
      <c r="I384" s="8" t="str">
        <f aca="false">IF($H384="최저가",$A384,"")</f>
        <v/>
      </c>
    </row>
    <row r="385" customFormat="false" ht="15" hidden="false" customHeight="false" outlineLevel="0" collapsed="false">
      <c r="A385" s="6"/>
      <c r="B385" s="6"/>
      <c r="C385" s="8" t="str">
        <f aca="false">IF($A385="","",IFERROR(INDEX(품목목록!$B$3:$B$102,MATCH($A385,품목목록!$A$3:$A$102,0)),""))</f>
        <v/>
      </c>
      <c r="D385" s="8" t="str">
        <f aca="false">IF($B385="","",IFERROR(INDEX(업체목록!$B$3:$B$52,MATCH($B385,업체목록!$A$3:$A$52,0)),""))</f>
        <v/>
      </c>
      <c r="E385" s="8" t="str">
        <f aca="false">IF($A385="","",IFERROR(INDEX(품목목록!$D$3:$D$102,MATCH($A385,품목목록!$A$3:$A$102,0)),""))</f>
        <v/>
      </c>
      <c r="F385" s="9"/>
      <c r="G385" s="10" t="str">
        <f aca="false">IF(OR($A385="",$F385=""),"",ROUND($E385*$F385,0))</f>
        <v/>
      </c>
      <c r="H385" s="8" t="str">
        <f aca="false">IF(OR($A385="",$F385=""),"",IF($F385=_xlfn.MINIFS($F$3:$F$502,$A$3:$A$502,$A385),"최저가",""))</f>
        <v/>
      </c>
      <c r="I385" s="8" t="str">
        <f aca="false">IF($H385="최저가",$A385,"")</f>
        <v/>
      </c>
    </row>
    <row r="386" customFormat="false" ht="15" hidden="false" customHeight="false" outlineLevel="0" collapsed="false">
      <c r="A386" s="6"/>
      <c r="B386" s="6"/>
      <c r="C386" s="8" t="str">
        <f aca="false">IF($A386="","",IFERROR(INDEX(품목목록!$B$3:$B$102,MATCH($A386,품목목록!$A$3:$A$102,0)),""))</f>
        <v/>
      </c>
      <c r="D386" s="8" t="str">
        <f aca="false">IF($B386="","",IFERROR(INDEX(업체목록!$B$3:$B$52,MATCH($B386,업체목록!$A$3:$A$52,0)),""))</f>
        <v/>
      </c>
      <c r="E386" s="8" t="str">
        <f aca="false">IF($A386="","",IFERROR(INDEX(품목목록!$D$3:$D$102,MATCH($A386,품목목록!$A$3:$A$102,0)),""))</f>
        <v/>
      </c>
      <c r="F386" s="9"/>
      <c r="G386" s="10" t="str">
        <f aca="false">IF(OR($A386="",$F386=""),"",ROUND($E386*$F386,0))</f>
        <v/>
      </c>
      <c r="H386" s="8" t="str">
        <f aca="false">IF(OR($A386="",$F386=""),"",IF($F386=_xlfn.MINIFS($F$3:$F$502,$A$3:$A$502,$A386),"최저가",""))</f>
        <v/>
      </c>
      <c r="I386" s="8" t="str">
        <f aca="false">IF($H386="최저가",$A386,"")</f>
        <v/>
      </c>
    </row>
    <row r="387" customFormat="false" ht="15" hidden="false" customHeight="false" outlineLevel="0" collapsed="false">
      <c r="A387" s="6"/>
      <c r="B387" s="6"/>
      <c r="C387" s="8" t="str">
        <f aca="false">IF($A387="","",IFERROR(INDEX(품목목록!$B$3:$B$102,MATCH($A387,품목목록!$A$3:$A$102,0)),""))</f>
        <v/>
      </c>
      <c r="D387" s="8" t="str">
        <f aca="false">IF($B387="","",IFERROR(INDEX(업체목록!$B$3:$B$52,MATCH($B387,업체목록!$A$3:$A$52,0)),""))</f>
        <v/>
      </c>
      <c r="E387" s="8" t="str">
        <f aca="false">IF($A387="","",IFERROR(INDEX(품목목록!$D$3:$D$102,MATCH($A387,품목목록!$A$3:$A$102,0)),""))</f>
        <v/>
      </c>
      <c r="F387" s="9"/>
      <c r="G387" s="10" t="str">
        <f aca="false">IF(OR($A387="",$F387=""),"",ROUND($E387*$F387,0))</f>
        <v/>
      </c>
      <c r="H387" s="8" t="str">
        <f aca="false">IF(OR($A387="",$F387=""),"",IF($F387=_xlfn.MINIFS($F$3:$F$502,$A$3:$A$502,$A387),"최저가",""))</f>
        <v/>
      </c>
      <c r="I387" s="8" t="str">
        <f aca="false">IF($H387="최저가",$A387,"")</f>
        <v/>
      </c>
    </row>
    <row r="388" customFormat="false" ht="15" hidden="false" customHeight="false" outlineLevel="0" collapsed="false">
      <c r="A388" s="6"/>
      <c r="B388" s="6"/>
      <c r="C388" s="8" t="str">
        <f aca="false">IF($A388="","",IFERROR(INDEX(품목목록!$B$3:$B$102,MATCH($A388,품목목록!$A$3:$A$102,0)),""))</f>
        <v/>
      </c>
      <c r="D388" s="8" t="str">
        <f aca="false">IF($B388="","",IFERROR(INDEX(업체목록!$B$3:$B$52,MATCH($B388,업체목록!$A$3:$A$52,0)),""))</f>
        <v/>
      </c>
      <c r="E388" s="8" t="str">
        <f aca="false">IF($A388="","",IFERROR(INDEX(품목목록!$D$3:$D$102,MATCH($A388,품목목록!$A$3:$A$102,0)),""))</f>
        <v/>
      </c>
      <c r="F388" s="9"/>
      <c r="G388" s="10" t="str">
        <f aca="false">IF(OR($A388="",$F388=""),"",ROUND($E388*$F388,0))</f>
        <v/>
      </c>
      <c r="H388" s="8" t="str">
        <f aca="false">IF(OR($A388="",$F388=""),"",IF($F388=_xlfn.MINIFS($F$3:$F$502,$A$3:$A$502,$A388),"최저가",""))</f>
        <v/>
      </c>
      <c r="I388" s="8" t="str">
        <f aca="false">IF($H388="최저가",$A388,"")</f>
        <v/>
      </c>
    </row>
    <row r="389" customFormat="false" ht="15" hidden="false" customHeight="false" outlineLevel="0" collapsed="false">
      <c r="A389" s="6"/>
      <c r="B389" s="6"/>
      <c r="C389" s="8" t="str">
        <f aca="false">IF($A389="","",IFERROR(INDEX(품목목록!$B$3:$B$102,MATCH($A389,품목목록!$A$3:$A$102,0)),""))</f>
        <v/>
      </c>
      <c r="D389" s="8" t="str">
        <f aca="false">IF($B389="","",IFERROR(INDEX(업체목록!$B$3:$B$52,MATCH($B389,업체목록!$A$3:$A$52,0)),""))</f>
        <v/>
      </c>
      <c r="E389" s="8" t="str">
        <f aca="false">IF($A389="","",IFERROR(INDEX(품목목록!$D$3:$D$102,MATCH($A389,품목목록!$A$3:$A$102,0)),""))</f>
        <v/>
      </c>
      <c r="F389" s="9"/>
      <c r="G389" s="10" t="str">
        <f aca="false">IF(OR($A389="",$F389=""),"",ROUND($E389*$F389,0))</f>
        <v/>
      </c>
      <c r="H389" s="8" t="str">
        <f aca="false">IF(OR($A389="",$F389=""),"",IF($F389=_xlfn.MINIFS($F$3:$F$502,$A$3:$A$502,$A389),"최저가",""))</f>
        <v/>
      </c>
      <c r="I389" s="8" t="str">
        <f aca="false">IF($H389="최저가",$A389,"")</f>
        <v/>
      </c>
    </row>
    <row r="390" customFormat="false" ht="15" hidden="false" customHeight="false" outlineLevel="0" collapsed="false">
      <c r="A390" s="6"/>
      <c r="B390" s="6"/>
      <c r="C390" s="8" t="str">
        <f aca="false">IF($A390="","",IFERROR(INDEX(품목목록!$B$3:$B$102,MATCH($A390,품목목록!$A$3:$A$102,0)),""))</f>
        <v/>
      </c>
      <c r="D390" s="8" t="str">
        <f aca="false">IF($B390="","",IFERROR(INDEX(업체목록!$B$3:$B$52,MATCH($B390,업체목록!$A$3:$A$52,0)),""))</f>
        <v/>
      </c>
      <c r="E390" s="8" t="str">
        <f aca="false">IF($A390="","",IFERROR(INDEX(품목목록!$D$3:$D$102,MATCH($A390,품목목록!$A$3:$A$102,0)),""))</f>
        <v/>
      </c>
      <c r="F390" s="9"/>
      <c r="G390" s="10" t="str">
        <f aca="false">IF(OR($A390="",$F390=""),"",ROUND($E390*$F390,0))</f>
        <v/>
      </c>
      <c r="H390" s="8" t="str">
        <f aca="false">IF(OR($A390="",$F390=""),"",IF($F390=_xlfn.MINIFS($F$3:$F$502,$A$3:$A$502,$A390),"최저가",""))</f>
        <v/>
      </c>
      <c r="I390" s="8" t="str">
        <f aca="false">IF($H390="최저가",$A390,"")</f>
        <v/>
      </c>
    </row>
    <row r="391" customFormat="false" ht="15" hidden="false" customHeight="false" outlineLevel="0" collapsed="false">
      <c r="A391" s="6"/>
      <c r="B391" s="6"/>
      <c r="C391" s="8" t="str">
        <f aca="false">IF($A391="","",IFERROR(INDEX(품목목록!$B$3:$B$102,MATCH($A391,품목목록!$A$3:$A$102,0)),""))</f>
        <v/>
      </c>
      <c r="D391" s="8" t="str">
        <f aca="false">IF($B391="","",IFERROR(INDEX(업체목록!$B$3:$B$52,MATCH($B391,업체목록!$A$3:$A$52,0)),""))</f>
        <v/>
      </c>
      <c r="E391" s="8" t="str">
        <f aca="false">IF($A391="","",IFERROR(INDEX(품목목록!$D$3:$D$102,MATCH($A391,품목목록!$A$3:$A$102,0)),""))</f>
        <v/>
      </c>
      <c r="F391" s="9"/>
      <c r="G391" s="10" t="str">
        <f aca="false">IF(OR($A391="",$F391=""),"",ROUND($E391*$F391,0))</f>
        <v/>
      </c>
      <c r="H391" s="8" t="str">
        <f aca="false">IF(OR($A391="",$F391=""),"",IF($F391=_xlfn.MINIFS($F$3:$F$502,$A$3:$A$502,$A391),"최저가",""))</f>
        <v/>
      </c>
      <c r="I391" s="8" t="str">
        <f aca="false">IF($H391="최저가",$A391,"")</f>
        <v/>
      </c>
    </row>
    <row r="392" customFormat="false" ht="15" hidden="false" customHeight="false" outlineLevel="0" collapsed="false">
      <c r="A392" s="6"/>
      <c r="B392" s="6"/>
      <c r="C392" s="8" t="str">
        <f aca="false">IF($A392="","",IFERROR(INDEX(품목목록!$B$3:$B$102,MATCH($A392,품목목록!$A$3:$A$102,0)),""))</f>
        <v/>
      </c>
      <c r="D392" s="8" t="str">
        <f aca="false">IF($B392="","",IFERROR(INDEX(업체목록!$B$3:$B$52,MATCH($B392,업체목록!$A$3:$A$52,0)),""))</f>
        <v/>
      </c>
      <c r="E392" s="8" t="str">
        <f aca="false">IF($A392="","",IFERROR(INDEX(품목목록!$D$3:$D$102,MATCH($A392,품목목록!$A$3:$A$102,0)),""))</f>
        <v/>
      </c>
      <c r="F392" s="9"/>
      <c r="G392" s="10" t="str">
        <f aca="false">IF(OR($A392="",$F392=""),"",ROUND($E392*$F392,0))</f>
        <v/>
      </c>
      <c r="H392" s="8" t="str">
        <f aca="false">IF(OR($A392="",$F392=""),"",IF($F392=_xlfn.MINIFS($F$3:$F$502,$A$3:$A$502,$A392),"최저가",""))</f>
        <v/>
      </c>
      <c r="I392" s="8" t="str">
        <f aca="false">IF($H392="최저가",$A392,"")</f>
        <v/>
      </c>
    </row>
    <row r="393" customFormat="false" ht="15" hidden="false" customHeight="false" outlineLevel="0" collapsed="false">
      <c r="A393" s="6"/>
      <c r="B393" s="6"/>
      <c r="C393" s="8" t="str">
        <f aca="false">IF($A393="","",IFERROR(INDEX(품목목록!$B$3:$B$102,MATCH($A393,품목목록!$A$3:$A$102,0)),""))</f>
        <v/>
      </c>
      <c r="D393" s="8" t="str">
        <f aca="false">IF($B393="","",IFERROR(INDEX(업체목록!$B$3:$B$52,MATCH($B393,업체목록!$A$3:$A$52,0)),""))</f>
        <v/>
      </c>
      <c r="E393" s="8" t="str">
        <f aca="false">IF($A393="","",IFERROR(INDEX(품목목록!$D$3:$D$102,MATCH($A393,품목목록!$A$3:$A$102,0)),""))</f>
        <v/>
      </c>
      <c r="F393" s="9"/>
      <c r="G393" s="10" t="str">
        <f aca="false">IF(OR($A393="",$F393=""),"",ROUND($E393*$F393,0))</f>
        <v/>
      </c>
      <c r="H393" s="8" t="str">
        <f aca="false">IF(OR($A393="",$F393=""),"",IF($F393=_xlfn.MINIFS($F$3:$F$502,$A$3:$A$502,$A393),"최저가",""))</f>
        <v/>
      </c>
      <c r="I393" s="8" t="str">
        <f aca="false">IF($H393="최저가",$A393,"")</f>
        <v/>
      </c>
    </row>
    <row r="394" customFormat="false" ht="15" hidden="false" customHeight="false" outlineLevel="0" collapsed="false">
      <c r="A394" s="6"/>
      <c r="B394" s="6"/>
      <c r="C394" s="8" t="str">
        <f aca="false">IF($A394="","",IFERROR(INDEX(품목목록!$B$3:$B$102,MATCH($A394,품목목록!$A$3:$A$102,0)),""))</f>
        <v/>
      </c>
      <c r="D394" s="8" t="str">
        <f aca="false">IF($B394="","",IFERROR(INDEX(업체목록!$B$3:$B$52,MATCH($B394,업체목록!$A$3:$A$52,0)),""))</f>
        <v/>
      </c>
      <c r="E394" s="8" t="str">
        <f aca="false">IF($A394="","",IFERROR(INDEX(품목목록!$D$3:$D$102,MATCH($A394,품목목록!$A$3:$A$102,0)),""))</f>
        <v/>
      </c>
      <c r="F394" s="9"/>
      <c r="G394" s="10" t="str">
        <f aca="false">IF(OR($A394="",$F394=""),"",ROUND($E394*$F394,0))</f>
        <v/>
      </c>
      <c r="H394" s="8" t="str">
        <f aca="false">IF(OR($A394="",$F394=""),"",IF($F394=_xlfn.MINIFS($F$3:$F$502,$A$3:$A$502,$A394),"최저가",""))</f>
        <v/>
      </c>
      <c r="I394" s="8" t="str">
        <f aca="false">IF($H394="최저가",$A394,"")</f>
        <v/>
      </c>
    </row>
    <row r="395" customFormat="false" ht="15" hidden="false" customHeight="false" outlineLevel="0" collapsed="false">
      <c r="A395" s="6"/>
      <c r="B395" s="6"/>
      <c r="C395" s="8" t="str">
        <f aca="false">IF($A395="","",IFERROR(INDEX(품목목록!$B$3:$B$102,MATCH($A395,품목목록!$A$3:$A$102,0)),""))</f>
        <v/>
      </c>
      <c r="D395" s="8" t="str">
        <f aca="false">IF($B395="","",IFERROR(INDEX(업체목록!$B$3:$B$52,MATCH($B395,업체목록!$A$3:$A$52,0)),""))</f>
        <v/>
      </c>
      <c r="E395" s="8" t="str">
        <f aca="false">IF($A395="","",IFERROR(INDEX(품목목록!$D$3:$D$102,MATCH($A395,품목목록!$A$3:$A$102,0)),""))</f>
        <v/>
      </c>
      <c r="F395" s="9"/>
      <c r="G395" s="10" t="str">
        <f aca="false">IF(OR($A395="",$F395=""),"",ROUND($E395*$F395,0))</f>
        <v/>
      </c>
      <c r="H395" s="8" t="str">
        <f aca="false">IF(OR($A395="",$F395=""),"",IF($F395=_xlfn.MINIFS($F$3:$F$502,$A$3:$A$502,$A395),"최저가",""))</f>
        <v/>
      </c>
      <c r="I395" s="8" t="str">
        <f aca="false">IF($H395="최저가",$A395,"")</f>
        <v/>
      </c>
    </row>
    <row r="396" customFormat="false" ht="15" hidden="false" customHeight="false" outlineLevel="0" collapsed="false">
      <c r="A396" s="6"/>
      <c r="B396" s="6"/>
      <c r="C396" s="8" t="str">
        <f aca="false">IF($A396="","",IFERROR(INDEX(품목목록!$B$3:$B$102,MATCH($A396,품목목록!$A$3:$A$102,0)),""))</f>
        <v/>
      </c>
      <c r="D396" s="8" t="str">
        <f aca="false">IF($B396="","",IFERROR(INDEX(업체목록!$B$3:$B$52,MATCH($B396,업체목록!$A$3:$A$52,0)),""))</f>
        <v/>
      </c>
      <c r="E396" s="8" t="str">
        <f aca="false">IF($A396="","",IFERROR(INDEX(품목목록!$D$3:$D$102,MATCH($A396,품목목록!$A$3:$A$102,0)),""))</f>
        <v/>
      </c>
      <c r="F396" s="9"/>
      <c r="G396" s="10" t="str">
        <f aca="false">IF(OR($A396="",$F396=""),"",ROUND($E396*$F396,0))</f>
        <v/>
      </c>
      <c r="H396" s="8" t="str">
        <f aca="false">IF(OR($A396="",$F396=""),"",IF($F396=_xlfn.MINIFS($F$3:$F$502,$A$3:$A$502,$A396),"최저가",""))</f>
        <v/>
      </c>
      <c r="I396" s="8" t="str">
        <f aca="false">IF($H396="최저가",$A396,"")</f>
        <v/>
      </c>
    </row>
    <row r="397" customFormat="false" ht="15" hidden="false" customHeight="false" outlineLevel="0" collapsed="false">
      <c r="A397" s="6"/>
      <c r="B397" s="6"/>
      <c r="C397" s="8" t="str">
        <f aca="false">IF($A397="","",IFERROR(INDEX(품목목록!$B$3:$B$102,MATCH($A397,품목목록!$A$3:$A$102,0)),""))</f>
        <v/>
      </c>
      <c r="D397" s="8" t="str">
        <f aca="false">IF($B397="","",IFERROR(INDEX(업체목록!$B$3:$B$52,MATCH($B397,업체목록!$A$3:$A$52,0)),""))</f>
        <v/>
      </c>
      <c r="E397" s="8" t="str">
        <f aca="false">IF($A397="","",IFERROR(INDEX(품목목록!$D$3:$D$102,MATCH($A397,품목목록!$A$3:$A$102,0)),""))</f>
        <v/>
      </c>
      <c r="F397" s="9"/>
      <c r="G397" s="10" t="str">
        <f aca="false">IF(OR($A397="",$F397=""),"",ROUND($E397*$F397,0))</f>
        <v/>
      </c>
      <c r="H397" s="8" t="str">
        <f aca="false">IF(OR($A397="",$F397=""),"",IF($F397=_xlfn.MINIFS($F$3:$F$502,$A$3:$A$502,$A397),"최저가",""))</f>
        <v/>
      </c>
      <c r="I397" s="8" t="str">
        <f aca="false">IF($H397="최저가",$A397,"")</f>
        <v/>
      </c>
    </row>
    <row r="398" customFormat="false" ht="15" hidden="false" customHeight="false" outlineLevel="0" collapsed="false">
      <c r="A398" s="6"/>
      <c r="B398" s="6"/>
      <c r="C398" s="8" t="str">
        <f aca="false">IF($A398="","",IFERROR(INDEX(품목목록!$B$3:$B$102,MATCH($A398,품목목록!$A$3:$A$102,0)),""))</f>
        <v/>
      </c>
      <c r="D398" s="8" t="str">
        <f aca="false">IF($B398="","",IFERROR(INDEX(업체목록!$B$3:$B$52,MATCH($B398,업체목록!$A$3:$A$52,0)),""))</f>
        <v/>
      </c>
      <c r="E398" s="8" t="str">
        <f aca="false">IF($A398="","",IFERROR(INDEX(품목목록!$D$3:$D$102,MATCH($A398,품목목록!$A$3:$A$102,0)),""))</f>
        <v/>
      </c>
      <c r="F398" s="9"/>
      <c r="G398" s="10" t="str">
        <f aca="false">IF(OR($A398="",$F398=""),"",ROUND($E398*$F398,0))</f>
        <v/>
      </c>
      <c r="H398" s="8" t="str">
        <f aca="false">IF(OR($A398="",$F398=""),"",IF($F398=_xlfn.MINIFS($F$3:$F$502,$A$3:$A$502,$A398),"최저가",""))</f>
        <v/>
      </c>
      <c r="I398" s="8" t="str">
        <f aca="false">IF($H398="최저가",$A398,"")</f>
        <v/>
      </c>
    </row>
    <row r="399" customFormat="false" ht="15" hidden="false" customHeight="false" outlineLevel="0" collapsed="false">
      <c r="A399" s="6"/>
      <c r="B399" s="6"/>
      <c r="C399" s="8" t="str">
        <f aca="false">IF($A399="","",IFERROR(INDEX(품목목록!$B$3:$B$102,MATCH($A399,품목목록!$A$3:$A$102,0)),""))</f>
        <v/>
      </c>
      <c r="D399" s="8" t="str">
        <f aca="false">IF($B399="","",IFERROR(INDEX(업체목록!$B$3:$B$52,MATCH($B399,업체목록!$A$3:$A$52,0)),""))</f>
        <v/>
      </c>
      <c r="E399" s="8" t="str">
        <f aca="false">IF($A399="","",IFERROR(INDEX(품목목록!$D$3:$D$102,MATCH($A399,품목목록!$A$3:$A$102,0)),""))</f>
        <v/>
      </c>
      <c r="F399" s="9"/>
      <c r="G399" s="10" t="str">
        <f aca="false">IF(OR($A399="",$F399=""),"",ROUND($E399*$F399,0))</f>
        <v/>
      </c>
      <c r="H399" s="8" t="str">
        <f aca="false">IF(OR($A399="",$F399=""),"",IF($F399=_xlfn.MINIFS($F$3:$F$502,$A$3:$A$502,$A399),"최저가",""))</f>
        <v/>
      </c>
      <c r="I399" s="8" t="str">
        <f aca="false">IF($H399="최저가",$A399,"")</f>
        <v/>
      </c>
    </row>
    <row r="400" customFormat="false" ht="15" hidden="false" customHeight="false" outlineLevel="0" collapsed="false">
      <c r="A400" s="6"/>
      <c r="B400" s="6"/>
      <c r="C400" s="8" t="str">
        <f aca="false">IF($A400="","",IFERROR(INDEX(품목목록!$B$3:$B$102,MATCH($A400,품목목록!$A$3:$A$102,0)),""))</f>
        <v/>
      </c>
      <c r="D400" s="8" t="str">
        <f aca="false">IF($B400="","",IFERROR(INDEX(업체목록!$B$3:$B$52,MATCH($B400,업체목록!$A$3:$A$52,0)),""))</f>
        <v/>
      </c>
      <c r="E400" s="8" t="str">
        <f aca="false">IF($A400="","",IFERROR(INDEX(품목목록!$D$3:$D$102,MATCH($A400,품목목록!$A$3:$A$102,0)),""))</f>
        <v/>
      </c>
      <c r="F400" s="9"/>
      <c r="G400" s="10" t="str">
        <f aca="false">IF(OR($A400="",$F400=""),"",ROUND($E400*$F400,0))</f>
        <v/>
      </c>
      <c r="H400" s="8" t="str">
        <f aca="false">IF(OR($A400="",$F400=""),"",IF($F400=_xlfn.MINIFS($F$3:$F$502,$A$3:$A$502,$A400),"최저가",""))</f>
        <v/>
      </c>
      <c r="I400" s="8" t="str">
        <f aca="false">IF($H400="최저가",$A400,"")</f>
        <v/>
      </c>
    </row>
    <row r="401" customFormat="false" ht="15" hidden="false" customHeight="false" outlineLevel="0" collapsed="false">
      <c r="A401" s="6"/>
      <c r="B401" s="6"/>
      <c r="C401" s="8" t="str">
        <f aca="false">IF($A401="","",IFERROR(INDEX(품목목록!$B$3:$B$102,MATCH($A401,품목목록!$A$3:$A$102,0)),""))</f>
        <v/>
      </c>
      <c r="D401" s="8" t="str">
        <f aca="false">IF($B401="","",IFERROR(INDEX(업체목록!$B$3:$B$52,MATCH($B401,업체목록!$A$3:$A$52,0)),""))</f>
        <v/>
      </c>
      <c r="E401" s="8" t="str">
        <f aca="false">IF($A401="","",IFERROR(INDEX(품목목록!$D$3:$D$102,MATCH($A401,품목목록!$A$3:$A$102,0)),""))</f>
        <v/>
      </c>
      <c r="F401" s="9"/>
      <c r="G401" s="10" t="str">
        <f aca="false">IF(OR($A401="",$F401=""),"",ROUND($E401*$F401,0))</f>
        <v/>
      </c>
      <c r="H401" s="8" t="str">
        <f aca="false">IF(OR($A401="",$F401=""),"",IF($F401=_xlfn.MINIFS($F$3:$F$502,$A$3:$A$502,$A401),"최저가",""))</f>
        <v/>
      </c>
      <c r="I401" s="8" t="str">
        <f aca="false">IF($H401="최저가",$A401,"")</f>
        <v/>
      </c>
    </row>
    <row r="402" customFormat="false" ht="15" hidden="false" customHeight="false" outlineLevel="0" collapsed="false">
      <c r="A402" s="6"/>
      <c r="B402" s="6"/>
      <c r="C402" s="8" t="str">
        <f aca="false">IF($A402="","",IFERROR(INDEX(품목목록!$B$3:$B$102,MATCH($A402,품목목록!$A$3:$A$102,0)),""))</f>
        <v/>
      </c>
      <c r="D402" s="8" t="str">
        <f aca="false">IF($B402="","",IFERROR(INDEX(업체목록!$B$3:$B$52,MATCH($B402,업체목록!$A$3:$A$52,0)),""))</f>
        <v/>
      </c>
      <c r="E402" s="8" t="str">
        <f aca="false">IF($A402="","",IFERROR(INDEX(품목목록!$D$3:$D$102,MATCH($A402,품목목록!$A$3:$A$102,0)),""))</f>
        <v/>
      </c>
      <c r="F402" s="9"/>
      <c r="G402" s="10" t="str">
        <f aca="false">IF(OR($A402="",$F402=""),"",ROUND($E402*$F402,0))</f>
        <v/>
      </c>
      <c r="H402" s="8" t="str">
        <f aca="false">IF(OR($A402="",$F402=""),"",IF($F402=_xlfn.MINIFS($F$3:$F$502,$A$3:$A$502,$A402),"최저가",""))</f>
        <v/>
      </c>
      <c r="I402" s="8" t="str">
        <f aca="false">IF($H402="최저가",$A402,"")</f>
        <v/>
      </c>
    </row>
    <row r="403" customFormat="false" ht="15" hidden="false" customHeight="false" outlineLevel="0" collapsed="false">
      <c r="A403" s="6"/>
      <c r="B403" s="6"/>
      <c r="C403" s="8" t="str">
        <f aca="false">IF($A403="","",IFERROR(INDEX(품목목록!$B$3:$B$102,MATCH($A403,품목목록!$A$3:$A$102,0)),""))</f>
        <v/>
      </c>
      <c r="D403" s="8" t="str">
        <f aca="false">IF($B403="","",IFERROR(INDEX(업체목록!$B$3:$B$52,MATCH($B403,업체목록!$A$3:$A$52,0)),""))</f>
        <v/>
      </c>
      <c r="E403" s="8" t="str">
        <f aca="false">IF($A403="","",IFERROR(INDEX(품목목록!$D$3:$D$102,MATCH($A403,품목목록!$A$3:$A$102,0)),""))</f>
        <v/>
      </c>
      <c r="F403" s="9"/>
      <c r="G403" s="10" t="str">
        <f aca="false">IF(OR($A403="",$F403=""),"",ROUND($E403*$F403,0))</f>
        <v/>
      </c>
      <c r="H403" s="8" t="str">
        <f aca="false">IF(OR($A403="",$F403=""),"",IF($F403=_xlfn.MINIFS($F$3:$F$502,$A$3:$A$502,$A403),"최저가",""))</f>
        <v/>
      </c>
      <c r="I403" s="8" t="str">
        <f aca="false">IF($H403="최저가",$A403,"")</f>
        <v/>
      </c>
    </row>
    <row r="404" customFormat="false" ht="15" hidden="false" customHeight="false" outlineLevel="0" collapsed="false">
      <c r="A404" s="6"/>
      <c r="B404" s="6"/>
      <c r="C404" s="8" t="str">
        <f aca="false">IF($A404="","",IFERROR(INDEX(품목목록!$B$3:$B$102,MATCH($A404,품목목록!$A$3:$A$102,0)),""))</f>
        <v/>
      </c>
      <c r="D404" s="8" t="str">
        <f aca="false">IF($B404="","",IFERROR(INDEX(업체목록!$B$3:$B$52,MATCH($B404,업체목록!$A$3:$A$52,0)),""))</f>
        <v/>
      </c>
      <c r="E404" s="8" t="str">
        <f aca="false">IF($A404="","",IFERROR(INDEX(품목목록!$D$3:$D$102,MATCH($A404,품목목록!$A$3:$A$102,0)),""))</f>
        <v/>
      </c>
      <c r="F404" s="9"/>
      <c r="G404" s="10" t="str">
        <f aca="false">IF(OR($A404="",$F404=""),"",ROUND($E404*$F404,0))</f>
        <v/>
      </c>
      <c r="H404" s="8" t="str">
        <f aca="false">IF(OR($A404="",$F404=""),"",IF($F404=_xlfn.MINIFS($F$3:$F$502,$A$3:$A$502,$A404),"최저가",""))</f>
        <v/>
      </c>
      <c r="I404" s="8" t="str">
        <f aca="false">IF($H404="최저가",$A404,"")</f>
        <v/>
      </c>
    </row>
    <row r="405" customFormat="false" ht="15" hidden="false" customHeight="false" outlineLevel="0" collapsed="false">
      <c r="A405" s="6"/>
      <c r="B405" s="6"/>
      <c r="C405" s="8" t="str">
        <f aca="false">IF($A405="","",IFERROR(INDEX(품목목록!$B$3:$B$102,MATCH($A405,품목목록!$A$3:$A$102,0)),""))</f>
        <v/>
      </c>
      <c r="D405" s="8" t="str">
        <f aca="false">IF($B405="","",IFERROR(INDEX(업체목록!$B$3:$B$52,MATCH($B405,업체목록!$A$3:$A$52,0)),""))</f>
        <v/>
      </c>
      <c r="E405" s="8" t="str">
        <f aca="false">IF($A405="","",IFERROR(INDEX(품목목록!$D$3:$D$102,MATCH($A405,품목목록!$A$3:$A$102,0)),""))</f>
        <v/>
      </c>
      <c r="F405" s="9"/>
      <c r="G405" s="10" t="str">
        <f aca="false">IF(OR($A405="",$F405=""),"",ROUND($E405*$F405,0))</f>
        <v/>
      </c>
      <c r="H405" s="8" t="str">
        <f aca="false">IF(OR($A405="",$F405=""),"",IF($F405=_xlfn.MINIFS($F$3:$F$502,$A$3:$A$502,$A405),"최저가",""))</f>
        <v/>
      </c>
      <c r="I405" s="8" t="str">
        <f aca="false">IF($H405="최저가",$A405,"")</f>
        <v/>
      </c>
    </row>
    <row r="406" customFormat="false" ht="15" hidden="false" customHeight="false" outlineLevel="0" collapsed="false">
      <c r="A406" s="6"/>
      <c r="B406" s="6"/>
      <c r="C406" s="8" t="str">
        <f aca="false">IF($A406="","",IFERROR(INDEX(품목목록!$B$3:$B$102,MATCH($A406,품목목록!$A$3:$A$102,0)),""))</f>
        <v/>
      </c>
      <c r="D406" s="8" t="str">
        <f aca="false">IF($B406="","",IFERROR(INDEX(업체목록!$B$3:$B$52,MATCH($B406,업체목록!$A$3:$A$52,0)),""))</f>
        <v/>
      </c>
      <c r="E406" s="8" t="str">
        <f aca="false">IF($A406="","",IFERROR(INDEX(품목목록!$D$3:$D$102,MATCH($A406,품목목록!$A$3:$A$102,0)),""))</f>
        <v/>
      </c>
      <c r="F406" s="9"/>
      <c r="G406" s="10" t="str">
        <f aca="false">IF(OR($A406="",$F406=""),"",ROUND($E406*$F406,0))</f>
        <v/>
      </c>
      <c r="H406" s="8" t="str">
        <f aca="false">IF(OR($A406="",$F406=""),"",IF($F406=_xlfn.MINIFS($F$3:$F$502,$A$3:$A$502,$A406),"최저가",""))</f>
        <v/>
      </c>
      <c r="I406" s="8" t="str">
        <f aca="false">IF($H406="최저가",$A406,"")</f>
        <v/>
      </c>
    </row>
    <row r="407" customFormat="false" ht="15" hidden="false" customHeight="false" outlineLevel="0" collapsed="false">
      <c r="A407" s="6"/>
      <c r="B407" s="6"/>
      <c r="C407" s="8" t="str">
        <f aca="false">IF($A407="","",IFERROR(INDEX(품목목록!$B$3:$B$102,MATCH($A407,품목목록!$A$3:$A$102,0)),""))</f>
        <v/>
      </c>
      <c r="D407" s="8" t="str">
        <f aca="false">IF($B407="","",IFERROR(INDEX(업체목록!$B$3:$B$52,MATCH($B407,업체목록!$A$3:$A$52,0)),""))</f>
        <v/>
      </c>
      <c r="E407" s="8" t="str">
        <f aca="false">IF($A407="","",IFERROR(INDEX(품목목록!$D$3:$D$102,MATCH($A407,품목목록!$A$3:$A$102,0)),""))</f>
        <v/>
      </c>
      <c r="F407" s="9"/>
      <c r="G407" s="10" t="str">
        <f aca="false">IF(OR($A407="",$F407=""),"",ROUND($E407*$F407,0))</f>
        <v/>
      </c>
      <c r="H407" s="8" t="str">
        <f aca="false">IF(OR($A407="",$F407=""),"",IF($F407=_xlfn.MINIFS($F$3:$F$502,$A$3:$A$502,$A407),"최저가",""))</f>
        <v/>
      </c>
      <c r="I407" s="8" t="str">
        <f aca="false">IF($H407="최저가",$A407,"")</f>
        <v/>
      </c>
    </row>
    <row r="408" customFormat="false" ht="15" hidden="false" customHeight="false" outlineLevel="0" collapsed="false">
      <c r="A408" s="6"/>
      <c r="B408" s="6"/>
      <c r="C408" s="8" t="str">
        <f aca="false">IF($A408="","",IFERROR(INDEX(품목목록!$B$3:$B$102,MATCH($A408,품목목록!$A$3:$A$102,0)),""))</f>
        <v/>
      </c>
      <c r="D408" s="8" t="str">
        <f aca="false">IF($B408="","",IFERROR(INDEX(업체목록!$B$3:$B$52,MATCH($B408,업체목록!$A$3:$A$52,0)),""))</f>
        <v/>
      </c>
      <c r="E408" s="8" t="str">
        <f aca="false">IF($A408="","",IFERROR(INDEX(품목목록!$D$3:$D$102,MATCH($A408,품목목록!$A$3:$A$102,0)),""))</f>
        <v/>
      </c>
      <c r="F408" s="9"/>
      <c r="G408" s="10" t="str">
        <f aca="false">IF(OR($A408="",$F408=""),"",ROUND($E408*$F408,0))</f>
        <v/>
      </c>
      <c r="H408" s="8" t="str">
        <f aca="false">IF(OR($A408="",$F408=""),"",IF($F408=_xlfn.MINIFS($F$3:$F$502,$A$3:$A$502,$A408),"최저가",""))</f>
        <v/>
      </c>
      <c r="I408" s="8" t="str">
        <f aca="false">IF($H408="최저가",$A408,"")</f>
        <v/>
      </c>
    </row>
    <row r="409" customFormat="false" ht="15" hidden="false" customHeight="false" outlineLevel="0" collapsed="false">
      <c r="A409" s="6"/>
      <c r="B409" s="6"/>
      <c r="C409" s="8" t="str">
        <f aca="false">IF($A409="","",IFERROR(INDEX(품목목록!$B$3:$B$102,MATCH($A409,품목목록!$A$3:$A$102,0)),""))</f>
        <v/>
      </c>
      <c r="D409" s="8" t="str">
        <f aca="false">IF($B409="","",IFERROR(INDEX(업체목록!$B$3:$B$52,MATCH($B409,업체목록!$A$3:$A$52,0)),""))</f>
        <v/>
      </c>
      <c r="E409" s="8" t="str">
        <f aca="false">IF($A409="","",IFERROR(INDEX(품목목록!$D$3:$D$102,MATCH($A409,품목목록!$A$3:$A$102,0)),""))</f>
        <v/>
      </c>
      <c r="F409" s="9"/>
      <c r="G409" s="10" t="str">
        <f aca="false">IF(OR($A409="",$F409=""),"",ROUND($E409*$F409,0))</f>
        <v/>
      </c>
      <c r="H409" s="8" t="str">
        <f aca="false">IF(OR($A409="",$F409=""),"",IF($F409=_xlfn.MINIFS($F$3:$F$502,$A$3:$A$502,$A409),"최저가",""))</f>
        <v/>
      </c>
      <c r="I409" s="8" t="str">
        <f aca="false">IF($H409="최저가",$A409,"")</f>
        <v/>
      </c>
    </row>
    <row r="410" customFormat="false" ht="15" hidden="false" customHeight="false" outlineLevel="0" collapsed="false">
      <c r="A410" s="6"/>
      <c r="B410" s="6"/>
      <c r="C410" s="8" t="str">
        <f aca="false">IF($A410="","",IFERROR(INDEX(품목목록!$B$3:$B$102,MATCH($A410,품목목록!$A$3:$A$102,0)),""))</f>
        <v/>
      </c>
      <c r="D410" s="8" t="str">
        <f aca="false">IF($B410="","",IFERROR(INDEX(업체목록!$B$3:$B$52,MATCH($B410,업체목록!$A$3:$A$52,0)),""))</f>
        <v/>
      </c>
      <c r="E410" s="8" t="str">
        <f aca="false">IF($A410="","",IFERROR(INDEX(품목목록!$D$3:$D$102,MATCH($A410,품목목록!$A$3:$A$102,0)),""))</f>
        <v/>
      </c>
      <c r="F410" s="9"/>
      <c r="G410" s="10" t="str">
        <f aca="false">IF(OR($A410="",$F410=""),"",ROUND($E410*$F410,0))</f>
        <v/>
      </c>
      <c r="H410" s="8" t="str">
        <f aca="false">IF(OR($A410="",$F410=""),"",IF($F410=_xlfn.MINIFS($F$3:$F$502,$A$3:$A$502,$A410),"최저가",""))</f>
        <v/>
      </c>
      <c r="I410" s="8" t="str">
        <f aca="false">IF($H410="최저가",$A410,"")</f>
        <v/>
      </c>
    </row>
    <row r="411" customFormat="false" ht="15" hidden="false" customHeight="false" outlineLevel="0" collapsed="false">
      <c r="A411" s="6"/>
      <c r="B411" s="6"/>
      <c r="C411" s="8" t="str">
        <f aca="false">IF($A411="","",IFERROR(INDEX(품목목록!$B$3:$B$102,MATCH($A411,품목목록!$A$3:$A$102,0)),""))</f>
        <v/>
      </c>
      <c r="D411" s="8" t="str">
        <f aca="false">IF($B411="","",IFERROR(INDEX(업체목록!$B$3:$B$52,MATCH($B411,업체목록!$A$3:$A$52,0)),""))</f>
        <v/>
      </c>
      <c r="E411" s="8" t="str">
        <f aca="false">IF($A411="","",IFERROR(INDEX(품목목록!$D$3:$D$102,MATCH($A411,품목목록!$A$3:$A$102,0)),""))</f>
        <v/>
      </c>
      <c r="F411" s="9"/>
      <c r="G411" s="10" t="str">
        <f aca="false">IF(OR($A411="",$F411=""),"",ROUND($E411*$F411,0))</f>
        <v/>
      </c>
      <c r="H411" s="8" t="str">
        <f aca="false">IF(OR($A411="",$F411=""),"",IF($F411=_xlfn.MINIFS($F$3:$F$502,$A$3:$A$502,$A411),"최저가",""))</f>
        <v/>
      </c>
      <c r="I411" s="8" t="str">
        <f aca="false">IF($H411="최저가",$A411,"")</f>
        <v/>
      </c>
    </row>
    <row r="412" customFormat="false" ht="15" hidden="false" customHeight="false" outlineLevel="0" collapsed="false">
      <c r="A412" s="6"/>
      <c r="B412" s="6"/>
      <c r="C412" s="8" t="str">
        <f aca="false">IF($A412="","",IFERROR(INDEX(품목목록!$B$3:$B$102,MATCH($A412,품목목록!$A$3:$A$102,0)),""))</f>
        <v/>
      </c>
      <c r="D412" s="8" t="str">
        <f aca="false">IF($B412="","",IFERROR(INDEX(업체목록!$B$3:$B$52,MATCH($B412,업체목록!$A$3:$A$52,0)),""))</f>
        <v/>
      </c>
      <c r="E412" s="8" t="str">
        <f aca="false">IF($A412="","",IFERROR(INDEX(품목목록!$D$3:$D$102,MATCH($A412,품목목록!$A$3:$A$102,0)),""))</f>
        <v/>
      </c>
      <c r="F412" s="9"/>
      <c r="G412" s="10" t="str">
        <f aca="false">IF(OR($A412="",$F412=""),"",ROUND($E412*$F412,0))</f>
        <v/>
      </c>
      <c r="H412" s="8" t="str">
        <f aca="false">IF(OR($A412="",$F412=""),"",IF($F412=_xlfn.MINIFS($F$3:$F$502,$A$3:$A$502,$A412),"최저가",""))</f>
        <v/>
      </c>
      <c r="I412" s="8" t="str">
        <f aca="false">IF($H412="최저가",$A412,"")</f>
        <v/>
      </c>
    </row>
    <row r="413" customFormat="false" ht="15" hidden="false" customHeight="false" outlineLevel="0" collapsed="false">
      <c r="A413" s="6"/>
      <c r="B413" s="6"/>
      <c r="C413" s="8" t="str">
        <f aca="false">IF($A413="","",IFERROR(INDEX(품목목록!$B$3:$B$102,MATCH($A413,품목목록!$A$3:$A$102,0)),""))</f>
        <v/>
      </c>
      <c r="D413" s="8" t="str">
        <f aca="false">IF($B413="","",IFERROR(INDEX(업체목록!$B$3:$B$52,MATCH($B413,업체목록!$A$3:$A$52,0)),""))</f>
        <v/>
      </c>
      <c r="E413" s="8" t="str">
        <f aca="false">IF($A413="","",IFERROR(INDEX(품목목록!$D$3:$D$102,MATCH($A413,품목목록!$A$3:$A$102,0)),""))</f>
        <v/>
      </c>
      <c r="F413" s="9"/>
      <c r="G413" s="10" t="str">
        <f aca="false">IF(OR($A413="",$F413=""),"",ROUND($E413*$F413,0))</f>
        <v/>
      </c>
      <c r="H413" s="8" t="str">
        <f aca="false">IF(OR($A413="",$F413=""),"",IF($F413=_xlfn.MINIFS($F$3:$F$502,$A$3:$A$502,$A413),"최저가",""))</f>
        <v/>
      </c>
      <c r="I413" s="8" t="str">
        <f aca="false">IF($H413="최저가",$A413,"")</f>
        <v/>
      </c>
    </row>
    <row r="414" customFormat="false" ht="15" hidden="false" customHeight="false" outlineLevel="0" collapsed="false">
      <c r="A414" s="6"/>
      <c r="B414" s="6"/>
      <c r="C414" s="8" t="str">
        <f aca="false">IF($A414="","",IFERROR(INDEX(품목목록!$B$3:$B$102,MATCH($A414,품목목록!$A$3:$A$102,0)),""))</f>
        <v/>
      </c>
      <c r="D414" s="8" t="str">
        <f aca="false">IF($B414="","",IFERROR(INDEX(업체목록!$B$3:$B$52,MATCH($B414,업체목록!$A$3:$A$52,0)),""))</f>
        <v/>
      </c>
      <c r="E414" s="8" t="str">
        <f aca="false">IF($A414="","",IFERROR(INDEX(품목목록!$D$3:$D$102,MATCH($A414,품목목록!$A$3:$A$102,0)),""))</f>
        <v/>
      </c>
      <c r="F414" s="9"/>
      <c r="G414" s="10" t="str">
        <f aca="false">IF(OR($A414="",$F414=""),"",ROUND($E414*$F414,0))</f>
        <v/>
      </c>
      <c r="H414" s="8" t="str">
        <f aca="false">IF(OR($A414="",$F414=""),"",IF($F414=_xlfn.MINIFS($F$3:$F$502,$A$3:$A$502,$A414),"최저가",""))</f>
        <v/>
      </c>
      <c r="I414" s="8" t="str">
        <f aca="false">IF($H414="최저가",$A414,"")</f>
        <v/>
      </c>
    </row>
    <row r="415" customFormat="false" ht="15" hidden="false" customHeight="false" outlineLevel="0" collapsed="false">
      <c r="A415" s="6"/>
      <c r="B415" s="6"/>
      <c r="C415" s="8" t="str">
        <f aca="false">IF($A415="","",IFERROR(INDEX(품목목록!$B$3:$B$102,MATCH($A415,품목목록!$A$3:$A$102,0)),""))</f>
        <v/>
      </c>
      <c r="D415" s="8" t="str">
        <f aca="false">IF($B415="","",IFERROR(INDEX(업체목록!$B$3:$B$52,MATCH($B415,업체목록!$A$3:$A$52,0)),""))</f>
        <v/>
      </c>
      <c r="E415" s="8" t="str">
        <f aca="false">IF($A415="","",IFERROR(INDEX(품목목록!$D$3:$D$102,MATCH($A415,품목목록!$A$3:$A$102,0)),""))</f>
        <v/>
      </c>
      <c r="F415" s="9"/>
      <c r="G415" s="10" t="str">
        <f aca="false">IF(OR($A415="",$F415=""),"",ROUND($E415*$F415,0))</f>
        <v/>
      </c>
      <c r="H415" s="8" t="str">
        <f aca="false">IF(OR($A415="",$F415=""),"",IF($F415=_xlfn.MINIFS($F$3:$F$502,$A$3:$A$502,$A415),"최저가",""))</f>
        <v/>
      </c>
      <c r="I415" s="8" t="str">
        <f aca="false">IF($H415="최저가",$A415,"")</f>
        <v/>
      </c>
    </row>
    <row r="416" customFormat="false" ht="15" hidden="false" customHeight="false" outlineLevel="0" collapsed="false">
      <c r="A416" s="6"/>
      <c r="B416" s="6"/>
      <c r="C416" s="8" t="str">
        <f aca="false">IF($A416="","",IFERROR(INDEX(품목목록!$B$3:$B$102,MATCH($A416,품목목록!$A$3:$A$102,0)),""))</f>
        <v/>
      </c>
      <c r="D416" s="8" t="str">
        <f aca="false">IF($B416="","",IFERROR(INDEX(업체목록!$B$3:$B$52,MATCH($B416,업체목록!$A$3:$A$52,0)),""))</f>
        <v/>
      </c>
      <c r="E416" s="8" t="str">
        <f aca="false">IF($A416="","",IFERROR(INDEX(품목목록!$D$3:$D$102,MATCH($A416,품목목록!$A$3:$A$102,0)),""))</f>
        <v/>
      </c>
      <c r="F416" s="9"/>
      <c r="G416" s="10" t="str">
        <f aca="false">IF(OR($A416="",$F416=""),"",ROUND($E416*$F416,0))</f>
        <v/>
      </c>
      <c r="H416" s="8" t="str">
        <f aca="false">IF(OR($A416="",$F416=""),"",IF($F416=_xlfn.MINIFS($F$3:$F$502,$A$3:$A$502,$A416),"최저가",""))</f>
        <v/>
      </c>
      <c r="I416" s="8" t="str">
        <f aca="false">IF($H416="최저가",$A416,"")</f>
        <v/>
      </c>
    </row>
    <row r="417" customFormat="false" ht="15" hidden="false" customHeight="false" outlineLevel="0" collapsed="false">
      <c r="A417" s="6"/>
      <c r="B417" s="6"/>
      <c r="C417" s="8" t="str">
        <f aca="false">IF($A417="","",IFERROR(INDEX(품목목록!$B$3:$B$102,MATCH($A417,품목목록!$A$3:$A$102,0)),""))</f>
        <v/>
      </c>
      <c r="D417" s="8" t="str">
        <f aca="false">IF($B417="","",IFERROR(INDEX(업체목록!$B$3:$B$52,MATCH($B417,업체목록!$A$3:$A$52,0)),""))</f>
        <v/>
      </c>
      <c r="E417" s="8" t="str">
        <f aca="false">IF($A417="","",IFERROR(INDEX(품목목록!$D$3:$D$102,MATCH($A417,품목목록!$A$3:$A$102,0)),""))</f>
        <v/>
      </c>
      <c r="F417" s="9"/>
      <c r="G417" s="10" t="str">
        <f aca="false">IF(OR($A417="",$F417=""),"",ROUND($E417*$F417,0))</f>
        <v/>
      </c>
      <c r="H417" s="8" t="str">
        <f aca="false">IF(OR($A417="",$F417=""),"",IF($F417=_xlfn.MINIFS($F$3:$F$502,$A$3:$A$502,$A417),"최저가",""))</f>
        <v/>
      </c>
      <c r="I417" s="8" t="str">
        <f aca="false">IF($H417="최저가",$A417,"")</f>
        <v/>
      </c>
    </row>
    <row r="418" customFormat="false" ht="15" hidden="false" customHeight="false" outlineLevel="0" collapsed="false">
      <c r="A418" s="6"/>
      <c r="B418" s="6"/>
      <c r="C418" s="8" t="str">
        <f aca="false">IF($A418="","",IFERROR(INDEX(품목목록!$B$3:$B$102,MATCH($A418,품목목록!$A$3:$A$102,0)),""))</f>
        <v/>
      </c>
      <c r="D418" s="8" t="str">
        <f aca="false">IF($B418="","",IFERROR(INDEX(업체목록!$B$3:$B$52,MATCH($B418,업체목록!$A$3:$A$52,0)),""))</f>
        <v/>
      </c>
      <c r="E418" s="8" t="str">
        <f aca="false">IF($A418="","",IFERROR(INDEX(품목목록!$D$3:$D$102,MATCH($A418,품목목록!$A$3:$A$102,0)),""))</f>
        <v/>
      </c>
      <c r="F418" s="9"/>
      <c r="G418" s="10" t="str">
        <f aca="false">IF(OR($A418="",$F418=""),"",ROUND($E418*$F418,0))</f>
        <v/>
      </c>
      <c r="H418" s="8" t="str">
        <f aca="false">IF(OR($A418="",$F418=""),"",IF($F418=_xlfn.MINIFS($F$3:$F$502,$A$3:$A$502,$A418),"최저가",""))</f>
        <v/>
      </c>
      <c r="I418" s="8" t="str">
        <f aca="false">IF($H418="최저가",$A418,"")</f>
        <v/>
      </c>
    </row>
    <row r="419" customFormat="false" ht="15" hidden="false" customHeight="false" outlineLevel="0" collapsed="false">
      <c r="A419" s="6"/>
      <c r="B419" s="6"/>
      <c r="C419" s="8" t="str">
        <f aca="false">IF($A419="","",IFERROR(INDEX(품목목록!$B$3:$B$102,MATCH($A419,품목목록!$A$3:$A$102,0)),""))</f>
        <v/>
      </c>
      <c r="D419" s="8" t="str">
        <f aca="false">IF($B419="","",IFERROR(INDEX(업체목록!$B$3:$B$52,MATCH($B419,업체목록!$A$3:$A$52,0)),""))</f>
        <v/>
      </c>
      <c r="E419" s="8" t="str">
        <f aca="false">IF($A419="","",IFERROR(INDEX(품목목록!$D$3:$D$102,MATCH($A419,품목목록!$A$3:$A$102,0)),""))</f>
        <v/>
      </c>
      <c r="F419" s="9"/>
      <c r="G419" s="10" t="str">
        <f aca="false">IF(OR($A419="",$F419=""),"",ROUND($E419*$F419,0))</f>
        <v/>
      </c>
      <c r="H419" s="8" t="str">
        <f aca="false">IF(OR($A419="",$F419=""),"",IF($F419=_xlfn.MINIFS($F$3:$F$502,$A$3:$A$502,$A419),"최저가",""))</f>
        <v/>
      </c>
      <c r="I419" s="8" t="str">
        <f aca="false">IF($H419="최저가",$A419,"")</f>
        <v/>
      </c>
    </row>
    <row r="420" customFormat="false" ht="15" hidden="false" customHeight="false" outlineLevel="0" collapsed="false">
      <c r="A420" s="6"/>
      <c r="B420" s="6"/>
      <c r="C420" s="8" t="str">
        <f aca="false">IF($A420="","",IFERROR(INDEX(품목목록!$B$3:$B$102,MATCH($A420,품목목록!$A$3:$A$102,0)),""))</f>
        <v/>
      </c>
      <c r="D420" s="8" t="str">
        <f aca="false">IF($B420="","",IFERROR(INDEX(업체목록!$B$3:$B$52,MATCH($B420,업체목록!$A$3:$A$52,0)),""))</f>
        <v/>
      </c>
      <c r="E420" s="8" t="str">
        <f aca="false">IF($A420="","",IFERROR(INDEX(품목목록!$D$3:$D$102,MATCH($A420,품목목록!$A$3:$A$102,0)),""))</f>
        <v/>
      </c>
      <c r="F420" s="9"/>
      <c r="G420" s="10" t="str">
        <f aca="false">IF(OR($A420="",$F420=""),"",ROUND($E420*$F420,0))</f>
        <v/>
      </c>
      <c r="H420" s="8" t="str">
        <f aca="false">IF(OR($A420="",$F420=""),"",IF($F420=_xlfn.MINIFS($F$3:$F$502,$A$3:$A$502,$A420),"최저가",""))</f>
        <v/>
      </c>
      <c r="I420" s="8" t="str">
        <f aca="false">IF($H420="최저가",$A420,"")</f>
        <v/>
      </c>
    </row>
    <row r="421" customFormat="false" ht="15" hidden="false" customHeight="false" outlineLevel="0" collapsed="false">
      <c r="A421" s="6"/>
      <c r="B421" s="6"/>
      <c r="C421" s="8" t="str">
        <f aca="false">IF($A421="","",IFERROR(INDEX(품목목록!$B$3:$B$102,MATCH($A421,품목목록!$A$3:$A$102,0)),""))</f>
        <v/>
      </c>
      <c r="D421" s="8" t="str">
        <f aca="false">IF($B421="","",IFERROR(INDEX(업체목록!$B$3:$B$52,MATCH($B421,업체목록!$A$3:$A$52,0)),""))</f>
        <v/>
      </c>
      <c r="E421" s="8" t="str">
        <f aca="false">IF($A421="","",IFERROR(INDEX(품목목록!$D$3:$D$102,MATCH($A421,품목목록!$A$3:$A$102,0)),""))</f>
        <v/>
      </c>
      <c r="F421" s="9"/>
      <c r="G421" s="10" t="str">
        <f aca="false">IF(OR($A421="",$F421=""),"",ROUND($E421*$F421,0))</f>
        <v/>
      </c>
      <c r="H421" s="8" t="str">
        <f aca="false">IF(OR($A421="",$F421=""),"",IF($F421=_xlfn.MINIFS($F$3:$F$502,$A$3:$A$502,$A421),"최저가",""))</f>
        <v/>
      </c>
      <c r="I421" s="8" t="str">
        <f aca="false">IF($H421="최저가",$A421,"")</f>
        <v/>
      </c>
    </row>
    <row r="422" customFormat="false" ht="15" hidden="false" customHeight="false" outlineLevel="0" collapsed="false">
      <c r="A422" s="6"/>
      <c r="B422" s="6"/>
      <c r="C422" s="8" t="str">
        <f aca="false">IF($A422="","",IFERROR(INDEX(품목목록!$B$3:$B$102,MATCH($A422,품목목록!$A$3:$A$102,0)),""))</f>
        <v/>
      </c>
      <c r="D422" s="8" t="str">
        <f aca="false">IF($B422="","",IFERROR(INDEX(업체목록!$B$3:$B$52,MATCH($B422,업체목록!$A$3:$A$52,0)),""))</f>
        <v/>
      </c>
      <c r="E422" s="8" t="str">
        <f aca="false">IF($A422="","",IFERROR(INDEX(품목목록!$D$3:$D$102,MATCH($A422,품목목록!$A$3:$A$102,0)),""))</f>
        <v/>
      </c>
      <c r="F422" s="9"/>
      <c r="G422" s="10" t="str">
        <f aca="false">IF(OR($A422="",$F422=""),"",ROUND($E422*$F422,0))</f>
        <v/>
      </c>
      <c r="H422" s="8" t="str">
        <f aca="false">IF(OR($A422="",$F422=""),"",IF($F422=_xlfn.MINIFS($F$3:$F$502,$A$3:$A$502,$A422),"최저가",""))</f>
        <v/>
      </c>
      <c r="I422" s="8" t="str">
        <f aca="false">IF($H422="최저가",$A422,"")</f>
        <v/>
      </c>
    </row>
    <row r="423" customFormat="false" ht="15" hidden="false" customHeight="false" outlineLevel="0" collapsed="false">
      <c r="A423" s="6"/>
      <c r="B423" s="6"/>
      <c r="C423" s="8" t="str">
        <f aca="false">IF($A423="","",IFERROR(INDEX(품목목록!$B$3:$B$102,MATCH($A423,품목목록!$A$3:$A$102,0)),""))</f>
        <v/>
      </c>
      <c r="D423" s="8" t="str">
        <f aca="false">IF($B423="","",IFERROR(INDEX(업체목록!$B$3:$B$52,MATCH($B423,업체목록!$A$3:$A$52,0)),""))</f>
        <v/>
      </c>
      <c r="E423" s="8" t="str">
        <f aca="false">IF($A423="","",IFERROR(INDEX(품목목록!$D$3:$D$102,MATCH($A423,품목목록!$A$3:$A$102,0)),""))</f>
        <v/>
      </c>
      <c r="F423" s="9"/>
      <c r="G423" s="10" t="str">
        <f aca="false">IF(OR($A423="",$F423=""),"",ROUND($E423*$F423,0))</f>
        <v/>
      </c>
      <c r="H423" s="8" t="str">
        <f aca="false">IF(OR($A423="",$F423=""),"",IF($F423=_xlfn.MINIFS($F$3:$F$502,$A$3:$A$502,$A423),"최저가",""))</f>
        <v/>
      </c>
      <c r="I423" s="8" t="str">
        <f aca="false">IF($H423="최저가",$A423,"")</f>
        <v/>
      </c>
    </row>
    <row r="424" customFormat="false" ht="15" hidden="false" customHeight="false" outlineLevel="0" collapsed="false">
      <c r="A424" s="6"/>
      <c r="B424" s="6"/>
      <c r="C424" s="8" t="str">
        <f aca="false">IF($A424="","",IFERROR(INDEX(품목목록!$B$3:$B$102,MATCH($A424,품목목록!$A$3:$A$102,0)),""))</f>
        <v/>
      </c>
      <c r="D424" s="8" t="str">
        <f aca="false">IF($B424="","",IFERROR(INDEX(업체목록!$B$3:$B$52,MATCH($B424,업체목록!$A$3:$A$52,0)),""))</f>
        <v/>
      </c>
      <c r="E424" s="8" t="str">
        <f aca="false">IF($A424="","",IFERROR(INDEX(품목목록!$D$3:$D$102,MATCH($A424,품목목록!$A$3:$A$102,0)),""))</f>
        <v/>
      </c>
      <c r="F424" s="9"/>
      <c r="G424" s="10" t="str">
        <f aca="false">IF(OR($A424="",$F424=""),"",ROUND($E424*$F424,0))</f>
        <v/>
      </c>
      <c r="H424" s="8" t="str">
        <f aca="false">IF(OR($A424="",$F424=""),"",IF($F424=_xlfn.MINIFS($F$3:$F$502,$A$3:$A$502,$A424),"최저가",""))</f>
        <v/>
      </c>
      <c r="I424" s="8" t="str">
        <f aca="false">IF($H424="최저가",$A424,"")</f>
        <v/>
      </c>
    </row>
    <row r="425" customFormat="false" ht="15" hidden="false" customHeight="false" outlineLevel="0" collapsed="false">
      <c r="A425" s="6"/>
      <c r="B425" s="6"/>
      <c r="C425" s="8" t="str">
        <f aca="false">IF($A425="","",IFERROR(INDEX(품목목록!$B$3:$B$102,MATCH($A425,품목목록!$A$3:$A$102,0)),""))</f>
        <v/>
      </c>
      <c r="D425" s="8" t="str">
        <f aca="false">IF($B425="","",IFERROR(INDEX(업체목록!$B$3:$B$52,MATCH($B425,업체목록!$A$3:$A$52,0)),""))</f>
        <v/>
      </c>
      <c r="E425" s="8" t="str">
        <f aca="false">IF($A425="","",IFERROR(INDEX(품목목록!$D$3:$D$102,MATCH($A425,품목목록!$A$3:$A$102,0)),""))</f>
        <v/>
      </c>
      <c r="F425" s="9"/>
      <c r="G425" s="10" t="str">
        <f aca="false">IF(OR($A425="",$F425=""),"",ROUND($E425*$F425,0))</f>
        <v/>
      </c>
      <c r="H425" s="8" t="str">
        <f aca="false">IF(OR($A425="",$F425=""),"",IF($F425=_xlfn.MINIFS($F$3:$F$502,$A$3:$A$502,$A425),"최저가",""))</f>
        <v/>
      </c>
      <c r="I425" s="8" t="str">
        <f aca="false">IF($H425="최저가",$A425,"")</f>
        <v/>
      </c>
    </row>
    <row r="426" customFormat="false" ht="15" hidden="false" customHeight="false" outlineLevel="0" collapsed="false">
      <c r="A426" s="6"/>
      <c r="B426" s="6"/>
      <c r="C426" s="8" t="str">
        <f aca="false">IF($A426="","",IFERROR(INDEX(품목목록!$B$3:$B$102,MATCH($A426,품목목록!$A$3:$A$102,0)),""))</f>
        <v/>
      </c>
      <c r="D426" s="8" t="str">
        <f aca="false">IF($B426="","",IFERROR(INDEX(업체목록!$B$3:$B$52,MATCH($B426,업체목록!$A$3:$A$52,0)),""))</f>
        <v/>
      </c>
      <c r="E426" s="8" t="str">
        <f aca="false">IF($A426="","",IFERROR(INDEX(품목목록!$D$3:$D$102,MATCH($A426,품목목록!$A$3:$A$102,0)),""))</f>
        <v/>
      </c>
      <c r="F426" s="9"/>
      <c r="G426" s="10" t="str">
        <f aca="false">IF(OR($A426="",$F426=""),"",ROUND($E426*$F426,0))</f>
        <v/>
      </c>
      <c r="H426" s="8" t="str">
        <f aca="false">IF(OR($A426="",$F426=""),"",IF($F426=_xlfn.MINIFS($F$3:$F$502,$A$3:$A$502,$A426),"최저가",""))</f>
        <v/>
      </c>
      <c r="I426" s="8" t="str">
        <f aca="false">IF($H426="최저가",$A426,"")</f>
        <v/>
      </c>
    </row>
    <row r="427" customFormat="false" ht="15" hidden="false" customHeight="false" outlineLevel="0" collapsed="false">
      <c r="A427" s="6"/>
      <c r="B427" s="6"/>
      <c r="C427" s="8" t="str">
        <f aca="false">IF($A427="","",IFERROR(INDEX(품목목록!$B$3:$B$102,MATCH($A427,품목목록!$A$3:$A$102,0)),""))</f>
        <v/>
      </c>
      <c r="D427" s="8" t="str">
        <f aca="false">IF($B427="","",IFERROR(INDEX(업체목록!$B$3:$B$52,MATCH($B427,업체목록!$A$3:$A$52,0)),""))</f>
        <v/>
      </c>
      <c r="E427" s="8" t="str">
        <f aca="false">IF($A427="","",IFERROR(INDEX(품목목록!$D$3:$D$102,MATCH($A427,품목목록!$A$3:$A$102,0)),""))</f>
        <v/>
      </c>
      <c r="F427" s="9"/>
      <c r="G427" s="10" t="str">
        <f aca="false">IF(OR($A427="",$F427=""),"",ROUND($E427*$F427,0))</f>
        <v/>
      </c>
      <c r="H427" s="8" t="str">
        <f aca="false">IF(OR($A427="",$F427=""),"",IF($F427=_xlfn.MINIFS($F$3:$F$502,$A$3:$A$502,$A427),"최저가",""))</f>
        <v/>
      </c>
      <c r="I427" s="8" t="str">
        <f aca="false">IF($H427="최저가",$A427,"")</f>
        <v/>
      </c>
    </row>
    <row r="428" customFormat="false" ht="15" hidden="false" customHeight="false" outlineLevel="0" collapsed="false">
      <c r="A428" s="6"/>
      <c r="B428" s="6"/>
      <c r="C428" s="8" t="str">
        <f aca="false">IF($A428="","",IFERROR(INDEX(품목목록!$B$3:$B$102,MATCH($A428,품목목록!$A$3:$A$102,0)),""))</f>
        <v/>
      </c>
      <c r="D428" s="8" t="str">
        <f aca="false">IF($B428="","",IFERROR(INDEX(업체목록!$B$3:$B$52,MATCH($B428,업체목록!$A$3:$A$52,0)),""))</f>
        <v/>
      </c>
      <c r="E428" s="8" t="str">
        <f aca="false">IF($A428="","",IFERROR(INDEX(품목목록!$D$3:$D$102,MATCH($A428,품목목록!$A$3:$A$102,0)),""))</f>
        <v/>
      </c>
      <c r="F428" s="9"/>
      <c r="G428" s="10" t="str">
        <f aca="false">IF(OR($A428="",$F428=""),"",ROUND($E428*$F428,0))</f>
        <v/>
      </c>
      <c r="H428" s="8" t="str">
        <f aca="false">IF(OR($A428="",$F428=""),"",IF($F428=_xlfn.MINIFS($F$3:$F$502,$A$3:$A$502,$A428),"최저가",""))</f>
        <v/>
      </c>
      <c r="I428" s="8" t="str">
        <f aca="false">IF($H428="최저가",$A428,"")</f>
        <v/>
      </c>
    </row>
    <row r="429" customFormat="false" ht="15" hidden="false" customHeight="false" outlineLevel="0" collapsed="false">
      <c r="A429" s="6"/>
      <c r="B429" s="6"/>
      <c r="C429" s="8" t="str">
        <f aca="false">IF($A429="","",IFERROR(INDEX(품목목록!$B$3:$B$102,MATCH($A429,품목목록!$A$3:$A$102,0)),""))</f>
        <v/>
      </c>
      <c r="D429" s="8" t="str">
        <f aca="false">IF($B429="","",IFERROR(INDEX(업체목록!$B$3:$B$52,MATCH($B429,업체목록!$A$3:$A$52,0)),""))</f>
        <v/>
      </c>
      <c r="E429" s="8" t="str">
        <f aca="false">IF($A429="","",IFERROR(INDEX(품목목록!$D$3:$D$102,MATCH($A429,품목목록!$A$3:$A$102,0)),""))</f>
        <v/>
      </c>
      <c r="F429" s="9"/>
      <c r="G429" s="10" t="str">
        <f aca="false">IF(OR($A429="",$F429=""),"",ROUND($E429*$F429,0))</f>
        <v/>
      </c>
      <c r="H429" s="8" t="str">
        <f aca="false">IF(OR($A429="",$F429=""),"",IF($F429=_xlfn.MINIFS($F$3:$F$502,$A$3:$A$502,$A429),"최저가",""))</f>
        <v/>
      </c>
      <c r="I429" s="8" t="str">
        <f aca="false">IF($H429="최저가",$A429,"")</f>
        <v/>
      </c>
    </row>
    <row r="430" customFormat="false" ht="15" hidden="false" customHeight="false" outlineLevel="0" collapsed="false">
      <c r="A430" s="6"/>
      <c r="B430" s="6"/>
      <c r="C430" s="8" t="str">
        <f aca="false">IF($A430="","",IFERROR(INDEX(품목목록!$B$3:$B$102,MATCH($A430,품목목록!$A$3:$A$102,0)),""))</f>
        <v/>
      </c>
      <c r="D430" s="8" t="str">
        <f aca="false">IF($B430="","",IFERROR(INDEX(업체목록!$B$3:$B$52,MATCH($B430,업체목록!$A$3:$A$52,0)),""))</f>
        <v/>
      </c>
      <c r="E430" s="8" t="str">
        <f aca="false">IF($A430="","",IFERROR(INDEX(품목목록!$D$3:$D$102,MATCH($A430,품목목록!$A$3:$A$102,0)),""))</f>
        <v/>
      </c>
      <c r="F430" s="9"/>
      <c r="G430" s="10" t="str">
        <f aca="false">IF(OR($A430="",$F430=""),"",ROUND($E430*$F430,0))</f>
        <v/>
      </c>
      <c r="H430" s="8" t="str">
        <f aca="false">IF(OR($A430="",$F430=""),"",IF($F430=_xlfn.MINIFS($F$3:$F$502,$A$3:$A$502,$A430),"최저가",""))</f>
        <v/>
      </c>
      <c r="I430" s="8" t="str">
        <f aca="false">IF($H430="최저가",$A430,"")</f>
        <v/>
      </c>
    </row>
    <row r="431" customFormat="false" ht="15" hidden="false" customHeight="false" outlineLevel="0" collapsed="false">
      <c r="A431" s="6"/>
      <c r="B431" s="6"/>
      <c r="C431" s="8" t="str">
        <f aca="false">IF($A431="","",IFERROR(INDEX(품목목록!$B$3:$B$102,MATCH($A431,품목목록!$A$3:$A$102,0)),""))</f>
        <v/>
      </c>
      <c r="D431" s="8" t="str">
        <f aca="false">IF($B431="","",IFERROR(INDEX(업체목록!$B$3:$B$52,MATCH($B431,업체목록!$A$3:$A$52,0)),""))</f>
        <v/>
      </c>
      <c r="E431" s="8" t="str">
        <f aca="false">IF($A431="","",IFERROR(INDEX(품목목록!$D$3:$D$102,MATCH($A431,품목목록!$A$3:$A$102,0)),""))</f>
        <v/>
      </c>
      <c r="F431" s="9"/>
      <c r="G431" s="10" t="str">
        <f aca="false">IF(OR($A431="",$F431=""),"",ROUND($E431*$F431,0))</f>
        <v/>
      </c>
      <c r="H431" s="8" t="str">
        <f aca="false">IF(OR($A431="",$F431=""),"",IF($F431=_xlfn.MINIFS($F$3:$F$502,$A$3:$A$502,$A431),"최저가",""))</f>
        <v/>
      </c>
      <c r="I431" s="8" t="str">
        <f aca="false">IF($H431="최저가",$A431,"")</f>
        <v/>
      </c>
    </row>
    <row r="432" customFormat="false" ht="15" hidden="false" customHeight="false" outlineLevel="0" collapsed="false">
      <c r="A432" s="6"/>
      <c r="B432" s="6"/>
      <c r="C432" s="8" t="str">
        <f aca="false">IF($A432="","",IFERROR(INDEX(품목목록!$B$3:$B$102,MATCH($A432,품목목록!$A$3:$A$102,0)),""))</f>
        <v/>
      </c>
      <c r="D432" s="8" t="str">
        <f aca="false">IF($B432="","",IFERROR(INDEX(업체목록!$B$3:$B$52,MATCH($B432,업체목록!$A$3:$A$52,0)),""))</f>
        <v/>
      </c>
      <c r="E432" s="8" t="str">
        <f aca="false">IF($A432="","",IFERROR(INDEX(품목목록!$D$3:$D$102,MATCH($A432,품목목록!$A$3:$A$102,0)),""))</f>
        <v/>
      </c>
      <c r="F432" s="9"/>
      <c r="G432" s="10" t="str">
        <f aca="false">IF(OR($A432="",$F432=""),"",ROUND($E432*$F432,0))</f>
        <v/>
      </c>
      <c r="H432" s="8" t="str">
        <f aca="false">IF(OR($A432="",$F432=""),"",IF($F432=_xlfn.MINIFS($F$3:$F$502,$A$3:$A$502,$A432),"최저가",""))</f>
        <v/>
      </c>
      <c r="I432" s="8" t="str">
        <f aca="false">IF($H432="최저가",$A432,"")</f>
        <v/>
      </c>
    </row>
    <row r="433" customFormat="false" ht="15" hidden="false" customHeight="false" outlineLevel="0" collapsed="false">
      <c r="A433" s="6"/>
      <c r="B433" s="6"/>
      <c r="C433" s="8" t="str">
        <f aca="false">IF($A433="","",IFERROR(INDEX(품목목록!$B$3:$B$102,MATCH($A433,품목목록!$A$3:$A$102,0)),""))</f>
        <v/>
      </c>
      <c r="D433" s="8" t="str">
        <f aca="false">IF($B433="","",IFERROR(INDEX(업체목록!$B$3:$B$52,MATCH($B433,업체목록!$A$3:$A$52,0)),""))</f>
        <v/>
      </c>
      <c r="E433" s="8" t="str">
        <f aca="false">IF($A433="","",IFERROR(INDEX(품목목록!$D$3:$D$102,MATCH($A433,품목목록!$A$3:$A$102,0)),""))</f>
        <v/>
      </c>
      <c r="F433" s="9"/>
      <c r="G433" s="10" t="str">
        <f aca="false">IF(OR($A433="",$F433=""),"",ROUND($E433*$F433,0))</f>
        <v/>
      </c>
      <c r="H433" s="8" t="str">
        <f aca="false">IF(OR($A433="",$F433=""),"",IF($F433=_xlfn.MINIFS($F$3:$F$502,$A$3:$A$502,$A433),"최저가",""))</f>
        <v/>
      </c>
      <c r="I433" s="8" t="str">
        <f aca="false">IF($H433="최저가",$A433,"")</f>
        <v/>
      </c>
    </row>
    <row r="434" customFormat="false" ht="15" hidden="false" customHeight="false" outlineLevel="0" collapsed="false">
      <c r="A434" s="6"/>
      <c r="B434" s="6"/>
      <c r="C434" s="8" t="str">
        <f aca="false">IF($A434="","",IFERROR(INDEX(품목목록!$B$3:$B$102,MATCH($A434,품목목록!$A$3:$A$102,0)),""))</f>
        <v/>
      </c>
      <c r="D434" s="8" t="str">
        <f aca="false">IF($B434="","",IFERROR(INDEX(업체목록!$B$3:$B$52,MATCH($B434,업체목록!$A$3:$A$52,0)),""))</f>
        <v/>
      </c>
      <c r="E434" s="8" t="str">
        <f aca="false">IF($A434="","",IFERROR(INDEX(품목목록!$D$3:$D$102,MATCH($A434,품목목록!$A$3:$A$102,0)),""))</f>
        <v/>
      </c>
      <c r="F434" s="9"/>
      <c r="G434" s="10" t="str">
        <f aca="false">IF(OR($A434="",$F434=""),"",ROUND($E434*$F434,0))</f>
        <v/>
      </c>
      <c r="H434" s="8" t="str">
        <f aca="false">IF(OR($A434="",$F434=""),"",IF($F434=_xlfn.MINIFS($F$3:$F$502,$A$3:$A$502,$A434),"최저가",""))</f>
        <v/>
      </c>
      <c r="I434" s="8" t="str">
        <f aca="false">IF($H434="최저가",$A434,"")</f>
        <v/>
      </c>
    </row>
    <row r="435" customFormat="false" ht="15" hidden="false" customHeight="false" outlineLevel="0" collapsed="false">
      <c r="A435" s="6"/>
      <c r="B435" s="6"/>
      <c r="C435" s="8" t="str">
        <f aca="false">IF($A435="","",IFERROR(INDEX(품목목록!$B$3:$B$102,MATCH($A435,품목목록!$A$3:$A$102,0)),""))</f>
        <v/>
      </c>
      <c r="D435" s="8" t="str">
        <f aca="false">IF($B435="","",IFERROR(INDEX(업체목록!$B$3:$B$52,MATCH($B435,업체목록!$A$3:$A$52,0)),""))</f>
        <v/>
      </c>
      <c r="E435" s="8" t="str">
        <f aca="false">IF($A435="","",IFERROR(INDEX(품목목록!$D$3:$D$102,MATCH($A435,품목목록!$A$3:$A$102,0)),""))</f>
        <v/>
      </c>
      <c r="F435" s="9"/>
      <c r="G435" s="10" t="str">
        <f aca="false">IF(OR($A435="",$F435=""),"",ROUND($E435*$F435,0))</f>
        <v/>
      </c>
      <c r="H435" s="8" t="str">
        <f aca="false">IF(OR($A435="",$F435=""),"",IF($F435=_xlfn.MINIFS($F$3:$F$502,$A$3:$A$502,$A435),"최저가",""))</f>
        <v/>
      </c>
      <c r="I435" s="8" t="str">
        <f aca="false">IF($H435="최저가",$A435,"")</f>
        <v/>
      </c>
    </row>
    <row r="436" customFormat="false" ht="15" hidden="false" customHeight="false" outlineLevel="0" collapsed="false">
      <c r="A436" s="6"/>
      <c r="B436" s="6"/>
      <c r="C436" s="8" t="str">
        <f aca="false">IF($A436="","",IFERROR(INDEX(품목목록!$B$3:$B$102,MATCH($A436,품목목록!$A$3:$A$102,0)),""))</f>
        <v/>
      </c>
      <c r="D436" s="8" t="str">
        <f aca="false">IF($B436="","",IFERROR(INDEX(업체목록!$B$3:$B$52,MATCH($B436,업체목록!$A$3:$A$52,0)),""))</f>
        <v/>
      </c>
      <c r="E436" s="8" t="str">
        <f aca="false">IF($A436="","",IFERROR(INDEX(품목목록!$D$3:$D$102,MATCH($A436,품목목록!$A$3:$A$102,0)),""))</f>
        <v/>
      </c>
      <c r="F436" s="9"/>
      <c r="G436" s="10" t="str">
        <f aca="false">IF(OR($A436="",$F436=""),"",ROUND($E436*$F436,0))</f>
        <v/>
      </c>
      <c r="H436" s="8" t="str">
        <f aca="false">IF(OR($A436="",$F436=""),"",IF($F436=_xlfn.MINIFS($F$3:$F$502,$A$3:$A$502,$A436),"최저가",""))</f>
        <v/>
      </c>
      <c r="I436" s="8" t="str">
        <f aca="false">IF($H436="최저가",$A436,"")</f>
        <v/>
      </c>
    </row>
    <row r="437" customFormat="false" ht="15" hidden="false" customHeight="false" outlineLevel="0" collapsed="false">
      <c r="A437" s="6"/>
      <c r="B437" s="6"/>
      <c r="C437" s="8" t="str">
        <f aca="false">IF($A437="","",IFERROR(INDEX(품목목록!$B$3:$B$102,MATCH($A437,품목목록!$A$3:$A$102,0)),""))</f>
        <v/>
      </c>
      <c r="D437" s="8" t="str">
        <f aca="false">IF($B437="","",IFERROR(INDEX(업체목록!$B$3:$B$52,MATCH($B437,업체목록!$A$3:$A$52,0)),""))</f>
        <v/>
      </c>
      <c r="E437" s="8" t="str">
        <f aca="false">IF($A437="","",IFERROR(INDEX(품목목록!$D$3:$D$102,MATCH($A437,품목목록!$A$3:$A$102,0)),""))</f>
        <v/>
      </c>
      <c r="F437" s="9"/>
      <c r="G437" s="10" t="str">
        <f aca="false">IF(OR($A437="",$F437=""),"",ROUND($E437*$F437,0))</f>
        <v/>
      </c>
      <c r="H437" s="8" t="str">
        <f aca="false">IF(OR($A437="",$F437=""),"",IF($F437=_xlfn.MINIFS($F$3:$F$502,$A$3:$A$502,$A437),"최저가",""))</f>
        <v/>
      </c>
      <c r="I437" s="8" t="str">
        <f aca="false">IF($H437="최저가",$A437,"")</f>
        <v/>
      </c>
    </row>
    <row r="438" customFormat="false" ht="15" hidden="false" customHeight="false" outlineLevel="0" collapsed="false">
      <c r="A438" s="6"/>
      <c r="B438" s="6"/>
      <c r="C438" s="8" t="str">
        <f aca="false">IF($A438="","",IFERROR(INDEX(품목목록!$B$3:$B$102,MATCH($A438,품목목록!$A$3:$A$102,0)),""))</f>
        <v/>
      </c>
      <c r="D438" s="8" t="str">
        <f aca="false">IF($B438="","",IFERROR(INDEX(업체목록!$B$3:$B$52,MATCH($B438,업체목록!$A$3:$A$52,0)),""))</f>
        <v/>
      </c>
      <c r="E438" s="8" t="str">
        <f aca="false">IF($A438="","",IFERROR(INDEX(품목목록!$D$3:$D$102,MATCH($A438,품목목록!$A$3:$A$102,0)),""))</f>
        <v/>
      </c>
      <c r="F438" s="9"/>
      <c r="G438" s="10" t="str">
        <f aca="false">IF(OR($A438="",$F438=""),"",ROUND($E438*$F438,0))</f>
        <v/>
      </c>
      <c r="H438" s="8" t="str">
        <f aca="false">IF(OR($A438="",$F438=""),"",IF($F438=_xlfn.MINIFS($F$3:$F$502,$A$3:$A$502,$A438),"최저가",""))</f>
        <v/>
      </c>
      <c r="I438" s="8" t="str">
        <f aca="false">IF($H438="최저가",$A438,"")</f>
        <v/>
      </c>
    </row>
    <row r="439" customFormat="false" ht="15" hidden="false" customHeight="false" outlineLevel="0" collapsed="false">
      <c r="A439" s="6"/>
      <c r="B439" s="6"/>
      <c r="C439" s="8" t="str">
        <f aca="false">IF($A439="","",IFERROR(INDEX(품목목록!$B$3:$B$102,MATCH($A439,품목목록!$A$3:$A$102,0)),""))</f>
        <v/>
      </c>
      <c r="D439" s="8" t="str">
        <f aca="false">IF($B439="","",IFERROR(INDEX(업체목록!$B$3:$B$52,MATCH($B439,업체목록!$A$3:$A$52,0)),""))</f>
        <v/>
      </c>
      <c r="E439" s="8" t="str">
        <f aca="false">IF($A439="","",IFERROR(INDEX(품목목록!$D$3:$D$102,MATCH($A439,품목목록!$A$3:$A$102,0)),""))</f>
        <v/>
      </c>
      <c r="F439" s="9"/>
      <c r="G439" s="10" t="str">
        <f aca="false">IF(OR($A439="",$F439=""),"",ROUND($E439*$F439,0))</f>
        <v/>
      </c>
      <c r="H439" s="8" t="str">
        <f aca="false">IF(OR($A439="",$F439=""),"",IF($F439=_xlfn.MINIFS($F$3:$F$502,$A$3:$A$502,$A439),"최저가",""))</f>
        <v/>
      </c>
      <c r="I439" s="8" t="str">
        <f aca="false">IF($H439="최저가",$A439,"")</f>
        <v/>
      </c>
    </row>
    <row r="440" customFormat="false" ht="15" hidden="false" customHeight="false" outlineLevel="0" collapsed="false">
      <c r="A440" s="6"/>
      <c r="B440" s="6"/>
      <c r="C440" s="8" t="str">
        <f aca="false">IF($A440="","",IFERROR(INDEX(품목목록!$B$3:$B$102,MATCH($A440,품목목록!$A$3:$A$102,0)),""))</f>
        <v/>
      </c>
      <c r="D440" s="8" t="str">
        <f aca="false">IF($B440="","",IFERROR(INDEX(업체목록!$B$3:$B$52,MATCH($B440,업체목록!$A$3:$A$52,0)),""))</f>
        <v/>
      </c>
      <c r="E440" s="8" t="str">
        <f aca="false">IF($A440="","",IFERROR(INDEX(품목목록!$D$3:$D$102,MATCH($A440,품목목록!$A$3:$A$102,0)),""))</f>
        <v/>
      </c>
      <c r="F440" s="9"/>
      <c r="G440" s="10" t="str">
        <f aca="false">IF(OR($A440="",$F440=""),"",ROUND($E440*$F440,0))</f>
        <v/>
      </c>
      <c r="H440" s="8" t="str">
        <f aca="false">IF(OR($A440="",$F440=""),"",IF($F440=_xlfn.MINIFS($F$3:$F$502,$A$3:$A$502,$A440),"최저가",""))</f>
        <v/>
      </c>
      <c r="I440" s="8" t="str">
        <f aca="false">IF($H440="최저가",$A440,"")</f>
        <v/>
      </c>
    </row>
    <row r="441" customFormat="false" ht="15" hidden="false" customHeight="false" outlineLevel="0" collapsed="false">
      <c r="A441" s="6"/>
      <c r="B441" s="6"/>
      <c r="C441" s="8" t="str">
        <f aca="false">IF($A441="","",IFERROR(INDEX(품목목록!$B$3:$B$102,MATCH($A441,품목목록!$A$3:$A$102,0)),""))</f>
        <v/>
      </c>
      <c r="D441" s="8" t="str">
        <f aca="false">IF($B441="","",IFERROR(INDEX(업체목록!$B$3:$B$52,MATCH($B441,업체목록!$A$3:$A$52,0)),""))</f>
        <v/>
      </c>
      <c r="E441" s="8" t="str">
        <f aca="false">IF($A441="","",IFERROR(INDEX(품목목록!$D$3:$D$102,MATCH($A441,품목목록!$A$3:$A$102,0)),""))</f>
        <v/>
      </c>
      <c r="F441" s="9"/>
      <c r="G441" s="10" t="str">
        <f aca="false">IF(OR($A441="",$F441=""),"",ROUND($E441*$F441,0))</f>
        <v/>
      </c>
      <c r="H441" s="8" t="str">
        <f aca="false">IF(OR($A441="",$F441=""),"",IF($F441=_xlfn.MINIFS($F$3:$F$502,$A$3:$A$502,$A441),"최저가",""))</f>
        <v/>
      </c>
      <c r="I441" s="8" t="str">
        <f aca="false">IF($H441="최저가",$A441,"")</f>
        <v/>
      </c>
    </row>
    <row r="442" customFormat="false" ht="15" hidden="false" customHeight="false" outlineLevel="0" collapsed="false">
      <c r="A442" s="6"/>
      <c r="B442" s="6"/>
      <c r="C442" s="8" t="str">
        <f aca="false">IF($A442="","",IFERROR(INDEX(품목목록!$B$3:$B$102,MATCH($A442,품목목록!$A$3:$A$102,0)),""))</f>
        <v/>
      </c>
      <c r="D442" s="8" t="str">
        <f aca="false">IF($B442="","",IFERROR(INDEX(업체목록!$B$3:$B$52,MATCH($B442,업체목록!$A$3:$A$52,0)),""))</f>
        <v/>
      </c>
      <c r="E442" s="8" t="str">
        <f aca="false">IF($A442="","",IFERROR(INDEX(품목목록!$D$3:$D$102,MATCH($A442,품목목록!$A$3:$A$102,0)),""))</f>
        <v/>
      </c>
      <c r="F442" s="9"/>
      <c r="G442" s="10" t="str">
        <f aca="false">IF(OR($A442="",$F442=""),"",ROUND($E442*$F442,0))</f>
        <v/>
      </c>
      <c r="H442" s="8" t="str">
        <f aca="false">IF(OR($A442="",$F442=""),"",IF($F442=_xlfn.MINIFS($F$3:$F$502,$A$3:$A$502,$A442),"최저가",""))</f>
        <v/>
      </c>
      <c r="I442" s="8" t="str">
        <f aca="false">IF($H442="최저가",$A442,"")</f>
        <v/>
      </c>
    </row>
    <row r="443" customFormat="false" ht="15" hidden="false" customHeight="false" outlineLevel="0" collapsed="false">
      <c r="A443" s="6"/>
      <c r="B443" s="6"/>
      <c r="C443" s="8" t="str">
        <f aca="false">IF($A443="","",IFERROR(INDEX(품목목록!$B$3:$B$102,MATCH($A443,품목목록!$A$3:$A$102,0)),""))</f>
        <v/>
      </c>
      <c r="D443" s="8" t="str">
        <f aca="false">IF($B443="","",IFERROR(INDEX(업체목록!$B$3:$B$52,MATCH($B443,업체목록!$A$3:$A$52,0)),""))</f>
        <v/>
      </c>
      <c r="E443" s="8" t="str">
        <f aca="false">IF($A443="","",IFERROR(INDEX(품목목록!$D$3:$D$102,MATCH($A443,품목목록!$A$3:$A$102,0)),""))</f>
        <v/>
      </c>
      <c r="F443" s="9"/>
      <c r="G443" s="10" t="str">
        <f aca="false">IF(OR($A443="",$F443=""),"",ROUND($E443*$F443,0))</f>
        <v/>
      </c>
      <c r="H443" s="8" t="str">
        <f aca="false">IF(OR($A443="",$F443=""),"",IF($F443=_xlfn.MINIFS($F$3:$F$502,$A$3:$A$502,$A443),"최저가",""))</f>
        <v/>
      </c>
      <c r="I443" s="8" t="str">
        <f aca="false">IF($H443="최저가",$A443,"")</f>
        <v/>
      </c>
    </row>
    <row r="444" customFormat="false" ht="15" hidden="false" customHeight="false" outlineLevel="0" collapsed="false">
      <c r="A444" s="6"/>
      <c r="B444" s="6"/>
      <c r="C444" s="8" t="str">
        <f aca="false">IF($A444="","",IFERROR(INDEX(품목목록!$B$3:$B$102,MATCH($A444,품목목록!$A$3:$A$102,0)),""))</f>
        <v/>
      </c>
      <c r="D444" s="8" t="str">
        <f aca="false">IF($B444="","",IFERROR(INDEX(업체목록!$B$3:$B$52,MATCH($B444,업체목록!$A$3:$A$52,0)),""))</f>
        <v/>
      </c>
      <c r="E444" s="8" t="str">
        <f aca="false">IF($A444="","",IFERROR(INDEX(품목목록!$D$3:$D$102,MATCH($A444,품목목록!$A$3:$A$102,0)),""))</f>
        <v/>
      </c>
      <c r="F444" s="9"/>
      <c r="G444" s="10" t="str">
        <f aca="false">IF(OR($A444="",$F444=""),"",ROUND($E444*$F444,0))</f>
        <v/>
      </c>
      <c r="H444" s="8" t="str">
        <f aca="false">IF(OR($A444="",$F444=""),"",IF($F444=_xlfn.MINIFS($F$3:$F$502,$A$3:$A$502,$A444),"최저가",""))</f>
        <v/>
      </c>
      <c r="I444" s="8" t="str">
        <f aca="false">IF($H444="최저가",$A444,"")</f>
        <v/>
      </c>
    </row>
    <row r="445" customFormat="false" ht="15" hidden="false" customHeight="false" outlineLevel="0" collapsed="false">
      <c r="A445" s="6"/>
      <c r="B445" s="6"/>
      <c r="C445" s="8" t="str">
        <f aca="false">IF($A445="","",IFERROR(INDEX(품목목록!$B$3:$B$102,MATCH($A445,품목목록!$A$3:$A$102,0)),""))</f>
        <v/>
      </c>
      <c r="D445" s="8" t="str">
        <f aca="false">IF($B445="","",IFERROR(INDEX(업체목록!$B$3:$B$52,MATCH($B445,업체목록!$A$3:$A$52,0)),""))</f>
        <v/>
      </c>
      <c r="E445" s="8" t="str">
        <f aca="false">IF($A445="","",IFERROR(INDEX(품목목록!$D$3:$D$102,MATCH($A445,품목목록!$A$3:$A$102,0)),""))</f>
        <v/>
      </c>
      <c r="F445" s="9"/>
      <c r="G445" s="10" t="str">
        <f aca="false">IF(OR($A445="",$F445=""),"",ROUND($E445*$F445,0))</f>
        <v/>
      </c>
      <c r="H445" s="8" t="str">
        <f aca="false">IF(OR($A445="",$F445=""),"",IF($F445=_xlfn.MINIFS($F$3:$F$502,$A$3:$A$502,$A445),"최저가",""))</f>
        <v/>
      </c>
      <c r="I445" s="8" t="str">
        <f aca="false">IF($H445="최저가",$A445,"")</f>
        <v/>
      </c>
    </row>
    <row r="446" customFormat="false" ht="15" hidden="false" customHeight="false" outlineLevel="0" collapsed="false">
      <c r="A446" s="6"/>
      <c r="B446" s="6"/>
      <c r="C446" s="8" t="str">
        <f aca="false">IF($A446="","",IFERROR(INDEX(품목목록!$B$3:$B$102,MATCH($A446,품목목록!$A$3:$A$102,0)),""))</f>
        <v/>
      </c>
      <c r="D446" s="8" t="str">
        <f aca="false">IF($B446="","",IFERROR(INDEX(업체목록!$B$3:$B$52,MATCH($B446,업체목록!$A$3:$A$52,0)),""))</f>
        <v/>
      </c>
      <c r="E446" s="8" t="str">
        <f aca="false">IF($A446="","",IFERROR(INDEX(품목목록!$D$3:$D$102,MATCH($A446,품목목록!$A$3:$A$102,0)),""))</f>
        <v/>
      </c>
      <c r="F446" s="9"/>
      <c r="G446" s="10" t="str">
        <f aca="false">IF(OR($A446="",$F446=""),"",ROUND($E446*$F446,0))</f>
        <v/>
      </c>
      <c r="H446" s="8" t="str">
        <f aca="false">IF(OR($A446="",$F446=""),"",IF($F446=_xlfn.MINIFS($F$3:$F$502,$A$3:$A$502,$A446),"최저가",""))</f>
        <v/>
      </c>
      <c r="I446" s="8" t="str">
        <f aca="false">IF($H446="최저가",$A446,"")</f>
        <v/>
      </c>
    </row>
    <row r="447" customFormat="false" ht="15" hidden="false" customHeight="false" outlineLevel="0" collapsed="false">
      <c r="A447" s="6"/>
      <c r="B447" s="6"/>
      <c r="C447" s="8" t="str">
        <f aca="false">IF($A447="","",IFERROR(INDEX(품목목록!$B$3:$B$102,MATCH($A447,품목목록!$A$3:$A$102,0)),""))</f>
        <v/>
      </c>
      <c r="D447" s="8" t="str">
        <f aca="false">IF($B447="","",IFERROR(INDEX(업체목록!$B$3:$B$52,MATCH($B447,업체목록!$A$3:$A$52,0)),""))</f>
        <v/>
      </c>
      <c r="E447" s="8" t="str">
        <f aca="false">IF($A447="","",IFERROR(INDEX(품목목록!$D$3:$D$102,MATCH($A447,품목목록!$A$3:$A$102,0)),""))</f>
        <v/>
      </c>
      <c r="F447" s="9"/>
      <c r="G447" s="10" t="str">
        <f aca="false">IF(OR($A447="",$F447=""),"",ROUND($E447*$F447,0))</f>
        <v/>
      </c>
      <c r="H447" s="8" t="str">
        <f aca="false">IF(OR($A447="",$F447=""),"",IF($F447=_xlfn.MINIFS($F$3:$F$502,$A$3:$A$502,$A447),"최저가",""))</f>
        <v/>
      </c>
      <c r="I447" s="8" t="str">
        <f aca="false">IF($H447="최저가",$A447,"")</f>
        <v/>
      </c>
    </row>
    <row r="448" customFormat="false" ht="15" hidden="false" customHeight="false" outlineLevel="0" collapsed="false">
      <c r="A448" s="6"/>
      <c r="B448" s="6"/>
      <c r="C448" s="8" t="str">
        <f aca="false">IF($A448="","",IFERROR(INDEX(품목목록!$B$3:$B$102,MATCH($A448,품목목록!$A$3:$A$102,0)),""))</f>
        <v/>
      </c>
      <c r="D448" s="8" t="str">
        <f aca="false">IF($B448="","",IFERROR(INDEX(업체목록!$B$3:$B$52,MATCH($B448,업체목록!$A$3:$A$52,0)),""))</f>
        <v/>
      </c>
      <c r="E448" s="8" t="str">
        <f aca="false">IF($A448="","",IFERROR(INDEX(품목목록!$D$3:$D$102,MATCH($A448,품목목록!$A$3:$A$102,0)),""))</f>
        <v/>
      </c>
      <c r="F448" s="9"/>
      <c r="G448" s="10" t="str">
        <f aca="false">IF(OR($A448="",$F448=""),"",ROUND($E448*$F448,0))</f>
        <v/>
      </c>
      <c r="H448" s="8" t="str">
        <f aca="false">IF(OR($A448="",$F448=""),"",IF($F448=_xlfn.MINIFS($F$3:$F$502,$A$3:$A$502,$A448),"최저가",""))</f>
        <v/>
      </c>
      <c r="I448" s="8" t="str">
        <f aca="false">IF($H448="최저가",$A448,"")</f>
        <v/>
      </c>
    </row>
    <row r="449" customFormat="false" ht="15" hidden="false" customHeight="false" outlineLevel="0" collapsed="false">
      <c r="A449" s="6"/>
      <c r="B449" s="6"/>
      <c r="C449" s="8" t="str">
        <f aca="false">IF($A449="","",IFERROR(INDEX(품목목록!$B$3:$B$102,MATCH($A449,품목목록!$A$3:$A$102,0)),""))</f>
        <v/>
      </c>
      <c r="D449" s="8" t="str">
        <f aca="false">IF($B449="","",IFERROR(INDEX(업체목록!$B$3:$B$52,MATCH($B449,업체목록!$A$3:$A$52,0)),""))</f>
        <v/>
      </c>
      <c r="E449" s="8" t="str">
        <f aca="false">IF($A449="","",IFERROR(INDEX(품목목록!$D$3:$D$102,MATCH($A449,품목목록!$A$3:$A$102,0)),""))</f>
        <v/>
      </c>
      <c r="F449" s="9"/>
      <c r="G449" s="10" t="str">
        <f aca="false">IF(OR($A449="",$F449=""),"",ROUND($E449*$F449,0))</f>
        <v/>
      </c>
      <c r="H449" s="8" t="str">
        <f aca="false">IF(OR($A449="",$F449=""),"",IF($F449=_xlfn.MINIFS($F$3:$F$502,$A$3:$A$502,$A449),"최저가",""))</f>
        <v/>
      </c>
      <c r="I449" s="8" t="str">
        <f aca="false">IF($H449="최저가",$A449,"")</f>
        <v/>
      </c>
    </row>
    <row r="450" customFormat="false" ht="15" hidden="false" customHeight="false" outlineLevel="0" collapsed="false">
      <c r="A450" s="6"/>
      <c r="B450" s="6"/>
      <c r="C450" s="8" t="str">
        <f aca="false">IF($A450="","",IFERROR(INDEX(품목목록!$B$3:$B$102,MATCH($A450,품목목록!$A$3:$A$102,0)),""))</f>
        <v/>
      </c>
      <c r="D450" s="8" t="str">
        <f aca="false">IF($B450="","",IFERROR(INDEX(업체목록!$B$3:$B$52,MATCH($B450,업체목록!$A$3:$A$52,0)),""))</f>
        <v/>
      </c>
      <c r="E450" s="8" t="str">
        <f aca="false">IF($A450="","",IFERROR(INDEX(품목목록!$D$3:$D$102,MATCH($A450,품목목록!$A$3:$A$102,0)),""))</f>
        <v/>
      </c>
      <c r="F450" s="9"/>
      <c r="G450" s="10" t="str">
        <f aca="false">IF(OR($A450="",$F450=""),"",ROUND($E450*$F450,0))</f>
        <v/>
      </c>
      <c r="H450" s="8" t="str">
        <f aca="false">IF(OR($A450="",$F450=""),"",IF($F450=_xlfn.MINIFS($F$3:$F$502,$A$3:$A$502,$A450),"최저가",""))</f>
        <v/>
      </c>
      <c r="I450" s="8" t="str">
        <f aca="false">IF($H450="최저가",$A450,"")</f>
        <v/>
      </c>
    </row>
    <row r="451" customFormat="false" ht="15" hidden="false" customHeight="false" outlineLevel="0" collapsed="false">
      <c r="A451" s="6"/>
      <c r="B451" s="6"/>
      <c r="C451" s="8" t="str">
        <f aca="false">IF($A451="","",IFERROR(INDEX(품목목록!$B$3:$B$102,MATCH($A451,품목목록!$A$3:$A$102,0)),""))</f>
        <v/>
      </c>
      <c r="D451" s="8" t="str">
        <f aca="false">IF($B451="","",IFERROR(INDEX(업체목록!$B$3:$B$52,MATCH($B451,업체목록!$A$3:$A$52,0)),""))</f>
        <v/>
      </c>
      <c r="E451" s="8" t="str">
        <f aca="false">IF($A451="","",IFERROR(INDEX(품목목록!$D$3:$D$102,MATCH($A451,품목목록!$A$3:$A$102,0)),""))</f>
        <v/>
      </c>
      <c r="F451" s="9"/>
      <c r="G451" s="10" t="str">
        <f aca="false">IF(OR($A451="",$F451=""),"",ROUND($E451*$F451,0))</f>
        <v/>
      </c>
      <c r="H451" s="8" t="str">
        <f aca="false">IF(OR($A451="",$F451=""),"",IF($F451=_xlfn.MINIFS($F$3:$F$502,$A$3:$A$502,$A451),"최저가",""))</f>
        <v/>
      </c>
      <c r="I451" s="8" t="str">
        <f aca="false">IF($H451="최저가",$A451,"")</f>
        <v/>
      </c>
    </row>
    <row r="452" customFormat="false" ht="15" hidden="false" customHeight="false" outlineLevel="0" collapsed="false">
      <c r="A452" s="6"/>
      <c r="B452" s="6"/>
      <c r="C452" s="8" t="str">
        <f aca="false">IF($A452="","",IFERROR(INDEX(품목목록!$B$3:$B$102,MATCH($A452,품목목록!$A$3:$A$102,0)),""))</f>
        <v/>
      </c>
      <c r="D452" s="8" t="str">
        <f aca="false">IF($B452="","",IFERROR(INDEX(업체목록!$B$3:$B$52,MATCH($B452,업체목록!$A$3:$A$52,0)),""))</f>
        <v/>
      </c>
      <c r="E452" s="8" t="str">
        <f aca="false">IF($A452="","",IFERROR(INDEX(품목목록!$D$3:$D$102,MATCH($A452,품목목록!$A$3:$A$102,0)),""))</f>
        <v/>
      </c>
      <c r="F452" s="9"/>
      <c r="G452" s="10" t="str">
        <f aca="false">IF(OR($A452="",$F452=""),"",ROUND($E452*$F452,0))</f>
        <v/>
      </c>
      <c r="H452" s="8" t="str">
        <f aca="false">IF(OR($A452="",$F452=""),"",IF($F452=_xlfn.MINIFS($F$3:$F$502,$A$3:$A$502,$A452),"최저가",""))</f>
        <v/>
      </c>
      <c r="I452" s="8" t="str">
        <f aca="false">IF($H452="최저가",$A452,"")</f>
        <v/>
      </c>
    </row>
    <row r="453" customFormat="false" ht="15" hidden="false" customHeight="false" outlineLevel="0" collapsed="false">
      <c r="A453" s="6"/>
      <c r="B453" s="6"/>
      <c r="C453" s="8" t="str">
        <f aca="false">IF($A453="","",IFERROR(INDEX(품목목록!$B$3:$B$102,MATCH($A453,품목목록!$A$3:$A$102,0)),""))</f>
        <v/>
      </c>
      <c r="D453" s="8" t="str">
        <f aca="false">IF($B453="","",IFERROR(INDEX(업체목록!$B$3:$B$52,MATCH($B453,업체목록!$A$3:$A$52,0)),""))</f>
        <v/>
      </c>
      <c r="E453" s="8" t="str">
        <f aca="false">IF($A453="","",IFERROR(INDEX(품목목록!$D$3:$D$102,MATCH($A453,품목목록!$A$3:$A$102,0)),""))</f>
        <v/>
      </c>
      <c r="F453" s="9"/>
      <c r="G453" s="10" t="str">
        <f aca="false">IF(OR($A453="",$F453=""),"",ROUND($E453*$F453,0))</f>
        <v/>
      </c>
      <c r="H453" s="8" t="str">
        <f aca="false">IF(OR($A453="",$F453=""),"",IF($F453=_xlfn.MINIFS($F$3:$F$502,$A$3:$A$502,$A453),"최저가",""))</f>
        <v/>
      </c>
      <c r="I453" s="8" t="str">
        <f aca="false">IF($H453="최저가",$A453,"")</f>
        <v/>
      </c>
    </row>
    <row r="454" customFormat="false" ht="15" hidden="false" customHeight="false" outlineLevel="0" collapsed="false">
      <c r="A454" s="6"/>
      <c r="B454" s="6"/>
      <c r="C454" s="8" t="str">
        <f aca="false">IF($A454="","",IFERROR(INDEX(품목목록!$B$3:$B$102,MATCH($A454,품목목록!$A$3:$A$102,0)),""))</f>
        <v/>
      </c>
      <c r="D454" s="8" t="str">
        <f aca="false">IF($B454="","",IFERROR(INDEX(업체목록!$B$3:$B$52,MATCH($B454,업체목록!$A$3:$A$52,0)),""))</f>
        <v/>
      </c>
      <c r="E454" s="8" t="str">
        <f aca="false">IF($A454="","",IFERROR(INDEX(품목목록!$D$3:$D$102,MATCH($A454,품목목록!$A$3:$A$102,0)),""))</f>
        <v/>
      </c>
      <c r="F454" s="9"/>
      <c r="G454" s="10" t="str">
        <f aca="false">IF(OR($A454="",$F454=""),"",ROUND($E454*$F454,0))</f>
        <v/>
      </c>
      <c r="H454" s="8" t="str">
        <f aca="false">IF(OR($A454="",$F454=""),"",IF($F454=_xlfn.MINIFS($F$3:$F$502,$A$3:$A$502,$A454),"최저가",""))</f>
        <v/>
      </c>
      <c r="I454" s="8" t="str">
        <f aca="false">IF($H454="최저가",$A454,"")</f>
        <v/>
      </c>
    </row>
    <row r="455" customFormat="false" ht="15" hidden="false" customHeight="false" outlineLevel="0" collapsed="false">
      <c r="A455" s="6"/>
      <c r="B455" s="6"/>
      <c r="C455" s="8" t="str">
        <f aca="false">IF($A455="","",IFERROR(INDEX(품목목록!$B$3:$B$102,MATCH($A455,품목목록!$A$3:$A$102,0)),""))</f>
        <v/>
      </c>
      <c r="D455" s="8" t="str">
        <f aca="false">IF($B455="","",IFERROR(INDEX(업체목록!$B$3:$B$52,MATCH($B455,업체목록!$A$3:$A$52,0)),""))</f>
        <v/>
      </c>
      <c r="E455" s="8" t="str">
        <f aca="false">IF($A455="","",IFERROR(INDEX(품목목록!$D$3:$D$102,MATCH($A455,품목목록!$A$3:$A$102,0)),""))</f>
        <v/>
      </c>
      <c r="F455" s="9"/>
      <c r="G455" s="10" t="str">
        <f aca="false">IF(OR($A455="",$F455=""),"",ROUND($E455*$F455,0))</f>
        <v/>
      </c>
      <c r="H455" s="8" t="str">
        <f aca="false">IF(OR($A455="",$F455=""),"",IF($F455=_xlfn.MINIFS($F$3:$F$502,$A$3:$A$502,$A455),"최저가",""))</f>
        <v/>
      </c>
      <c r="I455" s="8" t="str">
        <f aca="false">IF($H455="최저가",$A455,"")</f>
        <v/>
      </c>
    </row>
    <row r="456" customFormat="false" ht="15" hidden="false" customHeight="false" outlineLevel="0" collapsed="false">
      <c r="A456" s="6"/>
      <c r="B456" s="6"/>
      <c r="C456" s="8" t="str">
        <f aca="false">IF($A456="","",IFERROR(INDEX(품목목록!$B$3:$B$102,MATCH($A456,품목목록!$A$3:$A$102,0)),""))</f>
        <v/>
      </c>
      <c r="D456" s="8" t="str">
        <f aca="false">IF($B456="","",IFERROR(INDEX(업체목록!$B$3:$B$52,MATCH($B456,업체목록!$A$3:$A$52,0)),""))</f>
        <v/>
      </c>
      <c r="E456" s="8" t="str">
        <f aca="false">IF($A456="","",IFERROR(INDEX(품목목록!$D$3:$D$102,MATCH($A456,품목목록!$A$3:$A$102,0)),""))</f>
        <v/>
      </c>
      <c r="F456" s="9"/>
      <c r="G456" s="10" t="str">
        <f aca="false">IF(OR($A456="",$F456=""),"",ROUND($E456*$F456,0))</f>
        <v/>
      </c>
      <c r="H456" s="8" t="str">
        <f aca="false">IF(OR($A456="",$F456=""),"",IF($F456=_xlfn.MINIFS($F$3:$F$502,$A$3:$A$502,$A456),"최저가",""))</f>
        <v/>
      </c>
      <c r="I456" s="8" t="str">
        <f aca="false">IF($H456="최저가",$A456,"")</f>
        <v/>
      </c>
    </row>
    <row r="457" customFormat="false" ht="15" hidden="false" customHeight="false" outlineLevel="0" collapsed="false">
      <c r="A457" s="6"/>
      <c r="B457" s="6"/>
      <c r="C457" s="8" t="str">
        <f aca="false">IF($A457="","",IFERROR(INDEX(품목목록!$B$3:$B$102,MATCH($A457,품목목록!$A$3:$A$102,0)),""))</f>
        <v/>
      </c>
      <c r="D457" s="8" t="str">
        <f aca="false">IF($B457="","",IFERROR(INDEX(업체목록!$B$3:$B$52,MATCH($B457,업체목록!$A$3:$A$52,0)),""))</f>
        <v/>
      </c>
      <c r="E457" s="8" t="str">
        <f aca="false">IF($A457="","",IFERROR(INDEX(품목목록!$D$3:$D$102,MATCH($A457,품목목록!$A$3:$A$102,0)),""))</f>
        <v/>
      </c>
      <c r="F457" s="9"/>
      <c r="G457" s="10" t="str">
        <f aca="false">IF(OR($A457="",$F457=""),"",ROUND($E457*$F457,0))</f>
        <v/>
      </c>
      <c r="H457" s="8" t="str">
        <f aca="false">IF(OR($A457="",$F457=""),"",IF($F457=_xlfn.MINIFS($F$3:$F$502,$A$3:$A$502,$A457),"최저가",""))</f>
        <v/>
      </c>
      <c r="I457" s="8" t="str">
        <f aca="false">IF($H457="최저가",$A457,"")</f>
        <v/>
      </c>
    </row>
    <row r="458" customFormat="false" ht="15" hidden="false" customHeight="false" outlineLevel="0" collapsed="false">
      <c r="A458" s="6"/>
      <c r="B458" s="6"/>
      <c r="C458" s="8" t="str">
        <f aca="false">IF($A458="","",IFERROR(INDEX(품목목록!$B$3:$B$102,MATCH($A458,품목목록!$A$3:$A$102,0)),""))</f>
        <v/>
      </c>
      <c r="D458" s="8" t="str">
        <f aca="false">IF($B458="","",IFERROR(INDEX(업체목록!$B$3:$B$52,MATCH($B458,업체목록!$A$3:$A$52,0)),""))</f>
        <v/>
      </c>
      <c r="E458" s="8" t="str">
        <f aca="false">IF($A458="","",IFERROR(INDEX(품목목록!$D$3:$D$102,MATCH($A458,품목목록!$A$3:$A$102,0)),""))</f>
        <v/>
      </c>
      <c r="F458" s="9"/>
      <c r="G458" s="10" t="str">
        <f aca="false">IF(OR($A458="",$F458=""),"",ROUND($E458*$F458,0))</f>
        <v/>
      </c>
      <c r="H458" s="8" t="str">
        <f aca="false">IF(OR($A458="",$F458=""),"",IF($F458=_xlfn.MINIFS($F$3:$F$502,$A$3:$A$502,$A458),"최저가",""))</f>
        <v/>
      </c>
      <c r="I458" s="8" t="str">
        <f aca="false">IF($H458="최저가",$A458,"")</f>
        <v/>
      </c>
    </row>
    <row r="459" customFormat="false" ht="15" hidden="false" customHeight="false" outlineLevel="0" collapsed="false">
      <c r="A459" s="6"/>
      <c r="B459" s="6"/>
      <c r="C459" s="8" t="str">
        <f aca="false">IF($A459="","",IFERROR(INDEX(품목목록!$B$3:$B$102,MATCH($A459,품목목록!$A$3:$A$102,0)),""))</f>
        <v/>
      </c>
      <c r="D459" s="8" t="str">
        <f aca="false">IF($B459="","",IFERROR(INDEX(업체목록!$B$3:$B$52,MATCH($B459,업체목록!$A$3:$A$52,0)),""))</f>
        <v/>
      </c>
      <c r="E459" s="8" t="str">
        <f aca="false">IF($A459="","",IFERROR(INDEX(품목목록!$D$3:$D$102,MATCH($A459,품목목록!$A$3:$A$102,0)),""))</f>
        <v/>
      </c>
      <c r="F459" s="9"/>
      <c r="G459" s="10" t="str">
        <f aca="false">IF(OR($A459="",$F459=""),"",ROUND($E459*$F459,0))</f>
        <v/>
      </c>
      <c r="H459" s="8" t="str">
        <f aca="false">IF(OR($A459="",$F459=""),"",IF($F459=_xlfn.MINIFS($F$3:$F$502,$A$3:$A$502,$A459),"최저가",""))</f>
        <v/>
      </c>
      <c r="I459" s="8" t="str">
        <f aca="false">IF($H459="최저가",$A459,"")</f>
        <v/>
      </c>
    </row>
    <row r="460" customFormat="false" ht="15" hidden="false" customHeight="false" outlineLevel="0" collapsed="false">
      <c r="A460" s="6"/>
      <c r="B460" s="6"/>
      <c r="C460" s="8" t="str">
        <f aca="false">IF($A460="","",IFERROR(INDEX(품목목록!$B$3:$B$102,MATCH($A460,품목목록!$A$3:$A$102,0)),""))</f>
        <v/>
      </c>
      <c r="D460" s="8" t="str">
        <f aca="false">IF($B460="","",IFERROR(INDEX(업체목록!$B$3:$B$52,MATCH($B460,업체목록!$A$3:$A$52,0)),""))</f>
        <v/>
      </c>
      <c r="E460" s="8" t="str">
        <f aca="false">IF($A460="","",IFERROR(INDEX(품목목록!$D$3:$D$102,MATCH($A460,품목목록!$A$3:$A$102,0)),""))</f>
        <v/>
      </c>
      <c r="F460" s="9"/>
      <c r="G460" s="10" t="str">
        <f aca="false">IF(OR($A460="",$F460=""),"",ROUND($E460*$F460,0))</f>
        <v/>
      </c>
      <c r="H460" s="8" t="str">
        <f aca="false">IF(OR($A460="",$F460=""),"",IF($F460=_xlfn.MINIFS($F$3:$F$502,$A$3:$A$502,$A460),"최저가",""))</f>
        <v/>
      </c>
      <c r="I460" s="8" t="str">
        <f aca="false">IF($H460="최저가",$A460,"")</f>
        <v/>
      </c>
    </row>
    <row r="461" customFormat="false" ht="15" hidden="false" customHeight="false" outlineLevel="0" collapsed="false">
      <c r="A461" s="6"/>
      <c r="B461" s="6"/>
      <c r="C461" s="8" t="str">
        <f aca="false">IF($A461="","",IFERROR(INDEX(품목목록!$B$3:$B$102,MATCH($A461,품목목록!$A$3:$A$102,0)),""))</f>
        <v/>
      </c>
      <c r="D461" s="8" t="str">
        <f aca="false">IF($B461="","",IFERROR(INDEX(업체목록!$B$3:$B$52,MATCH($B461,업체목록!$A$3:$A$52,0)),""))</f>
        <v/>
      </c>
      <c r="E461" s="8" t="str">
        <f aca="false">IF($A461="","",IFERROR(INDEX(품목목록!$D$3:$D$102,MATCH($A461,품목목록!$A$3:$A$102,0)),""))</f>
        <v/>
      </c>
      <c r="F461" s="9"/>
      <c r="G461" s="10" t="str">
        <f aca="false">IF(OR($A461="",$F461=""),"",ROUND($E461*$F461,0))</f>
        <v/>
      </c>
      <c r="H461" s="8" t="str">
        <f aca="false">IF(OR($A461="",$F461=""),"",IF($F461=_xlfn.MINIFS($F$3:$F$502,$A$3:$A$502,$A461),"최저가",""))</f>
        <v/>
      </c>
      <c r="I461" s="8" t="str">
        <f aca="false">IF($H461="최저가",$A461,"")</f>
        <v/>
      </c>
    </row>
    <row r="462" customFormat="false" ht="15" hidden="false" customHeight="false" outlineLevel="0" collapsed="false">
      <c r="A462" s="6"/>
      <c r="B462" s="6"/>
      <c r="C462" s="8" t="str">
        <f aca="false">IF($A462="","",IFERROR(INDEX(품목목록!$B$3:$B$102,MATCH($A462,품목목록!$A$3:$A$102,0)),""))</f>
        <v/>
      </c>
      <c r="D462" s="8" t="str">
        <f aca="false">IF($B462="","",IFERROR(INDEX(업체목록!$B$3:$B$52,MATCH($B462,업체목록!$A$3:$A$52,0)),""))</f>
        <v/>
      </c>
      <c r="E462" s="8" t="str">
        <f aca="false">IF($A462="","",IFERROR(INDEX(품목목록!$D$3:$D$102,MATCH($A462,품목목록!$A$3:$A$102,0)),""))</f>
        <v/>
      </c>
      <c r="F462" s="9"/>
      <c r="G462" s="10" t="str">
        <f aca="false">IF(OR($A462="",$F462=""),"",ROUND($E462*$F462,0))</f>
        <v/>
      </c>
      <c r="H462" s="8" t="str">
        <f aca="false">IF(OR($A462="",$F462=""),"",IF($F462=_xlfn.MINIFS($F$3:$F$502,$A$3:$A$502,$A462),"최저가",""))</f>
        <v/>
      </c>
      <c r="I462" s="8" t="str">
        <f aca="false">IF($H462="최저가",$A462,"")</f>
        <v/>
      </c>
    </row>
    <row r="463" customFormat="false" ht="15" hidden="false" customHeight="false" outlineLevel="0" collapsed="false">
      <c r="A463" s="6"/>
      <c r="B463" s="6"/>
      <c r="C463" s="8" t="str">
        <f aca="false">IF($A463="","",IFERROR(INDEX(품목목록!$B$3:$B$102,MATCH($A463,품목목록!$A$3:$A$102,0)),""))</f>
        <v/>
      </c>
      <c r="D463" s="8" t="str">
        <f aca="false">IF($B463="","",IFERROR(INDEX(업체목록!$B$3:$B$52,MATCH($B463,업체목록!$A$3:$A$52,0)),""))</f>
        <v/>
      </c>
      <c r="E463" s="8" t="str">
        <f aca="false">IF($A463="","",IFERROR(INDEX(품목목록!$D$3:$D$102,MATCH($A463,품목목록!$A$3:$A$102,0)),""))</f>
        <v/>
      </c>
      <c r="F463" s="9"/>
      <c r="G463" s="10" t="str">
        <f aca="false">IF(OR($A463="",$F463=""),"",ROUND($E463*$F463,0))</f>
        <v/>
      </c>
      <c r="H463" s="8" t="str">
        <f aca="false">IF(OR($A463="",$F463=""),"",IF($F463=_xlfn.MINIFS($F$3:$F$502,$A$3:$A$502,$A463),"최저가",""))</f>
        <v/>
      </c>
      <c r="I463" s="8" t="str">
        <f aca="false">IF($H463="최저가",$A463,"")</f>
        <v/>
      </c>
    </row>
    <row r="464" customFormat="false" ht="15" hidden="false" customHeight="false" outlineLevel="0" collapsed="false">
      <c r="A464" s="6"/>
      <c r="B464" s="6"/>
      <c r="C464" s="8" t="str">
        <f aca="false">IF($A464="","",IFERROR(INDEX(품목목록!$B$3:$B$102,MATCH($A464,품목목록!$A$3:$A$102,0)),""))</f>
        <v/>
      </c>
      <c r="D464" s="8" t="str">
        <f aca="false">IF($B464="","",IFERROR(INDEX(업체목록!$B$3:$B$52,MATCH($B464,업체목록!$A$3:$A$52,0)),""))</f>
        <v/>
      </c>
      <c r="E464" s="8" t="str">
        <f aca="false">IF($A464="","",IFERROR(INDEX(품목목록!$D$3:$D$102,MATCH($A464,품목목록!$A$3:$A$102,0)),""))</f>
        <v/>
      </c>
      <c r="F464" s="9"/>
      <c r="G464" s="10" t="str">
        <f aca="false">IF(OR($A464="",$F464=""),"",ROUND($E464*$F464,0))</f>
        <v/>
      </c>
      <c r="H464" s="8" t="str">
        <f aca="false">IF(OR($A464="",$F464=""),"",IF($F464=_xlfn.MINIFS($F$3:$F$502,$A$3:$A$502,$A464),"최저가",""))</f>
        <v/>
      </c>
      <c r="I464" s="8" t="str">
        <f aca="false">IF($H464="최저가",$A464,"")</f>
        <v/>
      </c>
    </row>
    <row r="465" customFormat="false" ht="15" hidden="false" customHeight="false" outlineLevel="0" collapsed="false">
      <c r="A465" s="6"/>
      <c r="B465" s="6"/>
      <c r="C465" s="8" t="str">
        <f aca="false">IF($A465="","",IFERROR(INDEX(품목목록!$B$3:$B$102,MATCH($A465,품목목록!$A$3:$A$102,0)),""))</f>
        <v/>
      </c>
      <c r="D465" s="8" t="str">
        <f aca="false">IF($B465="","",IFERROR(INDEX(업체목록!$B$3:$B$52,MATCH($B465,업체목록!$A$3:$A$52,0)),""))</f>
        <v/>
      </c>
      <c r="E465" s="8" t="str">
        <f aca="false">IF($A465="","",IFERROR(INDEX(품목목록!$D$3:$D$102,MATCH($A465,품목목록!$A$3:$A$102,0)),""))</f>
        <v/>
      </c>
      <c r="F465" s="9"/>
      <c r="G465" s="10" t="str">
        <f aca="false">IF(OR($A465="",$F465=""),"",ROUND($E465*$F465,0))</f>
        <v/>
      </c>
      <c r="H465" s="8" t="str">
        <f aca="false">IF(OR($A465="",$F465=""),"",IF($F465=_xlfn.MINIFS($F$3:$F$502,$A$3:$A$502,$A465),"최저가",""))</f>
        <v/>
      </c>
      <c r="I465" s="8" t="str">
        <f aca="false">IF($H465="최저가",$A465,"")</f>
        <v/>
      </c>
    </row>
    <row r="466" customFormat="false" ht="15" hidden="false" customHeight="false" outlineLevel="0" collapsed="false">
      <c r="A466" s="6"/>
      <c r="B466" s="6"/>
      <c r="C466" s="8" t="str">
        <f aca="false">IF($A466="","",IFERROR(INDEX(품목목록!$B$3:$B$102,MATCH($A466,품목목록!$A$3:$A$102,0)),""))</f>
        <v/>
      </c>
      <c r="D466" s="8" t="str">
        <f aca="false">IF($B466="","",IFERROR(INDEX(업체목록!$B$3:$B$52,MATCH($B466,업체목록!$A$3:$A$52,0)),""))</f>
        <v/>
      </c>
      <c r="E466" s="8" t="str">
        <f aca="false">IF($A466="","",IFERROR(INDEX(품목목록!$D$3:$D$102,MATCH($A466,품목목록!$A$3:$A$102,0)),""))</f>
        <v/>
      </c>
      <c r="F466" s="9"/>
      <c r="G466" s="10" t="str">
        <f aca="false">IF(OR($A466="",$F466=""),"",ROUND($E466*$F466,0))</f>
        <v/>
      </c>
      <c r="H466" s="8" t="str">
        <f aca="false">IF(OR($A466="",$F466=""),"",IF($F466=_xlfn.MINIFS($F$3:$F$502,$A$3:$A$502,$A466),"최저가",""))</f>
        <v/>
      </c>
      <c r="I466" s="8" t="str">
        <f aca="false">IF($H466="최저가",$A466,"")</f>
        <v/>
      </c>
    </row>
    <row r="467" customFormat="false" ht="15" hidden="false" customHeight="false" outlineLevel="0" collapsed="false">
      <c r="A467" s="6"/>
      <c r="B467" s="6"/>
      <c r="C467" s="8" t="str">
        <f aca="false">IF($A467="","",IFERROR(INDEX(품목목록!$B$3:$B$102,MATCH($A467,품목목록!$A$3:$A$102,0)),""))</f>
        <v/>
      </c>
      <c r="D467" s="8" t="str">
        <f aca="false">IF($B467="","",IFERROR(INDEX(업체목록!$B$3:$B$52,MATCH($B467,업체목록!$A$3:$A$52,0)),""))</f>
        <v/>
      </c>
      <c r="E467" s="8" t="str">
        <f aca="false">IF($A467="","",IFERROR(INDEX(품목목록!$D$3:$D$102,MATCH($A467,품목목록!$A$3:$A$102,0)),""))</f>
        <v/>
      </c>
      <c r="F467" s="9"/>
      <c r="G467" s="10" t="str">
        <f aca="false">IF(OR($A467="",$F467=""),"",ROUND($E467*$F467,0))</f>
        <v/>
      </c>
      <c r="H467" s="8" t="str">
        <f aca="false">IF(OR($A467="",$F467=""),"",IF($F467=_xlfn.MINIFS($F$3:$F$502,$A$3:$A$502,$A467),"최저가",""))</f>
        <v/>
      </c>
      <c r="I467" s="8" t="str">
        <f aca="false">IF($H467="최저가",$A467,"")</f>
        <v/>
      </c>
    </row>
    <row r="468" customFormat="false" ht="15" hidden="false" customHeight="false" outlineLevel="0" collapsed="false">
      <c r="A468" s="6"/>
      <c r="B468" s="6"/>
      <c r="C468" s="8" t="str">
        <f aca="false">IF($A468="","",IFERROR(INDEX(품목목록!$B$3:$B$102,MATCH($A468,품목목록!$A$3:$A$102,0)),""))</f>
        <v/>
      </c>
      <c r="D468" s="8" t="str">
        <f aca="false">IF($B468="","",IFERROR(INDEX(업체목록!$B$3:$B$52,MATCH($B468,업체목록!$A$3:$A$52,0)),""))</f>
        <v/>
      </c>
      <c r="E468" s="8" t="str">
        <f aca="false">IF($A468="","",IFERROR(INDEX(품목목록!$D$3:$D$102,MATCH($A468,품목목록!$A$3:$A$102,0)),""))</f>
        <v/>
      </c>
      <c r="F468" s="9"/>
      <c r="G468" s="10" t="str">
        <f aca="false">IF(OR($A468="",$F468=""),"",ROUND($E468*$F468,0))</f>
        <v/>
      </c>
      <c r="H468" s="8" t="str">
        <f aca="false">IF(OR($A468="",$F468=""),"",IF($F468=_xlfn.MINIFS($F$3:$F$502,$A$3:$A$502,$A468),"최저가",""))</f>
        <v/>
      </c>
      <c r="I468" s="8" t="str">
        <f aca="false">IF($H468="최저가",$A468,"")</f>
        <v/>
      </c>
    </row>
    <row r="469" customFormat="false" ht="15" hidden="false" customHeight="false" outlineLevel="0" collapsed="false">
      <c r="A469" s="6"/>
      <c r="B469" s="6"/>
      <c r="C469" s="8" t="str">
        <f aca="false">IF($A469="","",IFERROR(INDEX(품목목록!$B$3:$B$102,MATCH($A469,품목목록!$A$3:$A$102,0)),""))</f>
        <v/>
      </c>
      <c r="D469" s="8" t="str">
        <f aca="false">IF($B469="","",IFERROR(INDEX(업체목록!$B$3:$B$52,MATCH($B469,업체목록!$A$3:$A$52,0)),""))</f>
        <v/>
      </c>
      <c r="E469" s="8" t="str">
        <f aca="false">IF($A469="","",IFERROR(INDEX(품목목록!$D$3:$D$102,MATCH($A469,품목목록!$A$3:$A$102,0)),""))</f>
        <v/>
      </c>
      <c r="F469" s="9"/>
      <c r="G469" s="10" t="str">
        <f aca="false">IF(OR($A469="",$F469=""),"",ROUND($E469*$F469,0))</f>
        <v/>
      </c>
      <c r="H469" s="8" t="str">
        <f aca="false">IF(OR($A469="",$F469=""),"",IF($F469=_xlfn.MINIFS($F$3:$F$502,$A$3:$A$502,$A469),"최저가",""))</f>
        <v/>
      </c>
      <c r="I469" s="8" t="str">
        <f aca="false">IF($H469="최저가",$A469,"")</f>
        <v/>
      </c>
    </row>
    <row r="470" customFormat="false" ht="15" hidden="false" customHeight="false" outlineLevel="0" collapsed="false">
      <c r="A470" s="6"/>
      <c r="B470" s="6"/>
      <c r="C470" s="8" t="str">
        <f aca="false">IF($A470="","",IFERROR(INDEX(품목목록!$B$3:$B$102,MATCH($A470,품목목록!$A$3:$A$102,0)),""))</f>
        <v/>
      </c>
      <c r="D470" s="8" t="str">
        <f aca="false">IF($B470="","",IFERROR(INDEX(업체목록!$B$3:$B$52,MATCH($B470,업체목록!$A$3:$A$52,0)),""))</f>
        <v/>
      </c>
      <c r="E470" s="8" t="str">
        <f aca="false">IF($A470="","",IFERROR(INDEX(품목목록!$D$3:$D$102,MATCH($A470,품목목록!$A$3:$A$102,0)),""))</f>
        <v/>
      </c>
      <c r="F470" s="9"/>
      <c r="G470" s="10" t="str">
        <f aca="false">IF(OR($A470="",$F470=""),"",ROUND($E470*$F470,0))</f>
        <v/>
      </c>
      <c r="H470" s="8" t="str">
        <f aca="false">IF(OR($A470="",$F470=""),"",IF($F470=_xlfn.MINIFS($F$3:$F$502,$A$3:$A$502,$A470),"최저가",""))</f>
        <v/>
      </c>
      <c r="I470" s="8" t="str">
        <f aca="false">IF($H470="최저가",$A470,"")</f>
        <v/>
      </c>
    </row>
    <row r="471" customFormat="false" ht="15" hidden="false" customHeight="false" outlineLevel="0" collapsed="false">
      <c r="A471" s="6"/>
      <c r="B471" s="6"/>
      <c r="C471" s="8" t="str">
        <f aca="false">IF($A471="","",IFERROR(INDEX(품목목록!$B$3:$B$102,MATCH($A471,품목목록!$A$3:$A$102,0)),""))</f>
        <v/>
      </c>
      <c r="D471" s="8" t="str">
        <f aca="false">IF($B471="","",IFERROR(INDEX(업체목록!$B$3:$B$52,MATCH($B471,업체목록!$A$3:$A$52,0)),""))</f>
        <v/>
      </c>
      <c r="E471" s="8" t="str">
        <f aca="false">IF($A471="","",IFERROR(INDEX(품목목록!$D$3:$D$102,MATCH($A471,품목목록!$A$3:$A$102,0)),""))</f>
        <v/>
      </c>
      <c r="F471" s="9"/>
      <c r="G471" s="10" t="str">
        <f aca="false">IF(OR($A471="",$F471=""),"",ROUND($E471*$F471,0))</f>
        <v/>
      </c>
      <c r="H471" s="8" t="str">
        <f aca="false">IF(OR($A471="",$F471=""),"",IF($F471=_xlfn.MINIFS($F$3:$F$502,$A$3:$A$502,$A471),"최저가",""))</f>
        <v/>
      </c>
      <c r="I471" s="8" t="str">
        <f aca="false">IF($H471="최저가",$A471,"")</f>
        <v/>
      </c>
    </row>
    <row r="472" customFormat="false" ht="15" hidden="false" customHeight="false" outlineLevel="0" collapsed="false">
      <c r="A472" s="6"/>
      <c r="B472" s="6"/>
      <c r="C472" s="8" t="str">
        <f aca="false">IF($A472="","",IFERROR(INDEX(품목목록!$B$3:$B$102,MATCH($A472,품목목록!$A$3:$A$102,0)),""))</f>
        <v/>
      </c>
      <c r="D472" s="8" t="str">
        <f aca="false">IF($B472="","",IFERROR(INDEX(업체목록!$B$3:$B$52,MATCH($B472,업체목록!$A$3:$A$52,0)),""))</f>
        <v/>
      </c>
      <c r="E472" s="8" t="str">
        <f aca="false">IF($A472="","",IFERROR(INDEX(품목목록!$D$3:$D$102,MATCH($A472,품목목록!$A$3:$A$102,0)),""))</f>
        <v/>
      </c>
      <c r="F472" s="9"/>
      <c r="G472" s="10" t="str">
        <f aca="false">IF(OR($A472="",$F472=""),"",ROUND($E472*$F472,0))</f>
        <v/>
      </c>
      <c r="H472" s="8" t="str">
        <f aca="false">IF(OR($A472="",$F472=""),"",IF($F472=_xlfn.MINIFS($F$3:$F$502,$A$3:$A$502,$A472),"최저가",""))</f>
        <v/>
      </c>
      <c r="I472" s="8" t="str">
        <f aca="false">IF($H472="최저가",$A472,"")</f>
        <v/>
      </c>
    </row>
    <row r="473" customFormat="false" ht="15" hidden="false" customHeight="false" outlineLevel="0" collapsed="false">
      <c r="A473" s="6"/>
      <c r="B473" s="6"/>
      <c r="C473" s="8" t="str">
        <f aca="false">IF($A473="","",IFERROR(INDEX(품목목록!$B$3:$B$102,MATCH($A473,품목목록!$A$3:$A$102,0)),""))</f>
        <v/>
      </c>
      <c r="D473" s="8" t="str">
        <f aca="false">IF($B473="","",IFERROR(INDEX(업체목록!$B$3:$B$52,MATCH($B473,업체목록!$A$3:$A$52,0)),""))</f>
        <v/>
      </c>
      <c r="E473" s="8" t="str">
        <f aca="false">IF($A473="","",IFERROR(INDEX(품목목록!$D$3:$D$102,MATCH($A473,품목목록!$A$3:$A$102,0)),""))</f>
        <v/>
      </c>
      <c r="F473" s="9"/>
      <c r="G473" s="10" t="str">
        <f aca="false">IF(OR($A473="",$F473=""),"",ROUND($E473*$F473,0))</f>
        <v/>
      </c>
      <c r="H473" s="8" t="str">
        <f aca="false">IF(OR($A473="",$F473=""),"",IF($F473=_xlfn.MINIFS($F$3:$F$502,$A$3:$A$502,$A473),"최저가",""))</f>
        <v/>
      </c>
      <c r="I473" s="8" t="str">
        <f aca="false">IF($H473="최저가",$A473,"")</f>
        <v/>
      </c>
    </row>
    <row r="474" customFormat="false" ht="15" hidden="false" customHeight="false" outlineLevel="0" collapsed="false">
      <c r="A474" s="6"/>
      <c r="B474" s="6"/>
      <c r="C474" s="8" t="str">
        <f aca="false">IF($A474="","",IFERROR(INDEX(품목목록!$B$3:$B$102,MATCH($A474,품목목록!$A$3:$A$102,0)),""))</f>
        <v/>
      </c>
      <c r="D474" s="8" t="str">
        <f aca="false">IF($B474="","",IFERROR(INDEX(업체목록!$B$3:$B$52,MATCH($B474,업체목록!$A$3:$A$52,0)),""))</f>
        <v/>
      </c>
      <c r="E474" s="8" t="str">
        <f aca="false">IF($A474="","",IFERROR(INDEX(품목목록!$D$3:$D$102,MATCH($A474,품목목록!$A$3:$A$102,0)),""))</f>
        <v/>
      </c>
      <c r="F474" s="9"/>
      <c r="G474" s="10" t="str">
        <f aca="false">IF(OR($A474="",$F474=""),"",ROUND($E474*$F474,0))</f>
        <v/>
      </c>
      <c r="H474" s="8" t="str">
        <f aca="false">IF(OR($A474="",$F474=""),"",IF($F474=_xlfn.MINIFS($F$3:$F$502,$A$3:$A$502,$A474),"최저가",""))</f>
        <v/>
      </c>
      <c r="I474" s="8" t="str">
        <f aca="false">IF($H474="최저가",$A474,"")</f>
        <v/>
      </c>
    </row>
    <row r="475" customFormat="false" ht="15" hidden="false" customHeight="false" outlineLevel="0" collapsed="false">
      <c r="A475" s="6"/>
      <c r="B475" s="6"/>
      <c r="C475" s="8" t="str">
        <f aca="false">IF($A475="","",IFERROR(INDEX(품목목록!$B$3:$B$102,MATCH($A475,품목목록!$A$3:$A$102,0)),""))</f>
        <v/>
      </c>
      <c r="D475" s="8" t="str">
        <f aca="false">IF($B475="","",IFERROR(INDEX(업체목록!$B$3:$B$52,MATCH($B475,업체목록!$A$3:$A$52,0)),""))</f>
        <v/>
      </c>
      <c r="E475" s="8" t="str">
        <f aca="false">IF($A475="","",IFERROR(INDEX(품목목록!$D$3:$D$102,MATCH($A475,품목목록!$A$3:$A$102,0)),""))</f>
        <v/>
      </c>
      <c r="F475" s="9"/>
      <c r="G475" s="10" t="str">
        <f aca="false">IF(OR($A475="",$F475=""),"",ROUND($E475*$F475,0))</f>
        <v/>
      </c>
      <c r="H475" s="8" t="str">
        <f aca="false">IF(OR($A475="",$F475=""),"",IF($F475=_xlfn.MINIFS($F$3:$F$502,$A$3:$A$502,$A475),"최저가",""))</f>
        <v/>
      </c>
      <c r="I475" s="8" t="str">
        <f aca="false">IF($H475="최저가",$A475,"")</f>
        <v/>
      </c>
    </row>
    <row r="476" customFormat="false" ht="15" hidden="false" customHeight="false" outlineLevel="0" collapsed="false">
      <c r="A476" s="6"/>
      <c r="B476" s="6"/>
      <c r="C476" s="8" t="str">
        <f aca="false">IF($A476="","",IFERROR(INDEX(품목목록!$B$3:$B$102,MATCH($A476,품목목록!$A$3:$A$102,0)),""))</f>
        <v/>
      </c>
      <c r="D476" s="8" t="str">
        <f aca="false">IF($B476="","",IFERROR(INDEX(업체목록!$B$3:$B$52,MATCH($B476,업체목록!$A$3:$A$52,0)),""))</f>
        <v/>
      </c>
      <c r="E476" s="8" t="str">
        <f aca="false">IF($A476="","",IFERROR(INDEX(품목목록!$D$3:$D$102,MATCH($A476,품목목록!$A$3:$A$102,0)),""))</f>
        <v/>
      </c>
      <c r="F476" s="9"/>
      <c r="G476" s="10" t="str">
        <f aca="false">IF(OR($A476="",$F476=""),"",ROUND($E476*$F476,0))</f>
        <v/>
      </c>
      <c r="H476" s="8" t="str">
        <f aca="false">IF(OR($A476="",$F476=""),"",IF($F476=_xlfn.MINIFS($F$3:$F$502,$A$3:$A$502,$A476),"최저가",""))</f>
        <v/>
      </c>
      <c r="I476" s="8" t="str">
        <f aca="false">IF($H476="최저가",$A476,"")</f>
        <v/>
      </c>
    </row>
    <row r="477" customFormat="false" ht="15" hidden="false" customHeight="false" outlineLevel="0" collapsed="false">
      <c r="A477" s="6"/>
      <c r="B477" s="6"/>
      <c r="C477" s="8" t="str">
        <f aca="false">IF($A477="","",IFERROR(INDEX(품목목록!$B$3:$B$102,MATCH($A477,품목목록!$A$3:$A$102,0)),""))</f>
        <v/>
      </c>
      <c r="D477" s="8" t="str">
        <f aca="false">IF($B477="","",IFERROR(INDEX(업체목록!$B$3:$B$52,MATCH($B477,업체목록!$A$3:$A$52,0)),""))</f>
        <v/>
      </c>
      <c r="E477" s="8" t="str">
        <f aca="false">IF($A477="","",IFERROR(INDEX(품목목록!$D$3:$D$102,MATCH($A477,품목목록!$A$3:$A$102,0)),""))</f>
        <v/>
      </c>
      <c r="F477" s="9"/>
      <c r="G477" s="10" t="str">
        <f aca="false">IF(OR($A477="",$F477=""),"",ROUND($E477*$F477,0))</f>
        <v/>
      </c>
      <c r="H477" s="8" t="str">
        <f aca="false">IF(OR($A477="",$F477=""),"",IF($F477=_xlfn.MINIFS($F$3:$F$502,$A$3:$A$502,$A477),"최저가",""))</f>
        <v/>
      </c>
      <c r="I477" s="8" t="str">
        <f aca="false">IF($H477="최저가",$A477,"")</f>
        <v/>
      </c>
    </row>
    <row r="478" customFormat="false" ht="15" hidden="false" customHeight="false" outlineLevel="0" collapsed="false">
      <c r="A478" s="6"/>
      <c r="B478" s="6"/>
      <c r="C478" s="8" t="str">
        <f aca="false">IF($A478="","",IFERROR(INDEX(품목목록!$B$3:$B$102,MATCH($A478,품목목록!$A$3:$A$102,0)),""))</f>
        <v/>
      </c>
      <c r="D478" s="8" t="str">
        <f aca="false">IF($B478="","",IFERROR(INDEX(업체목록!$B$3:$B$52,MATCH($B478,업체목록!$A$3:$A$52,0)),""))</f>
        <v/>
      </c>
      <c r="E478" s="8" t="str">
        <f aca="false">IF($A478="","",IFERROR(INDEX(품목목록!$D$3:$D$102,MATCH($A478,품목목록!$A$3:$A$102,0)),""))</f>
        <v/>
      </c>
      <c r="F478" s="9"/>
      <c r="G478" s="10" t="str">
        <f aca="false">IF(OR($A478="",$F478=""),"",ROUND($E478*$F478,0))</f>
        <v/>
      </c>
      <c r="H478" s="8" t="str">
        <f aca="false">IF(OR($A478="",$F478=""),"",IF($F478=_xlfn.MINIFS($F$3:$F$502,$A$3:$A$502,$A478),"최저가",""))</f>
        <v/>
      </c>
      <c r="I478" s="8" t="str">
        <f aca="false">IF($H478="최저가",$A478,"")</f>
        <v/>
      </c>
    </row>
    <row r="479" customFormat="false" ht="15" hidden="false" customHeight="false" outlineLevel="0" collapsed="false">
      <c r="A479" s="6"/>
      <c r="B479" s="6"/>
      <c r="C479" s="8" t="str">
        <f aca="false">IF($A479="","",IFERROR(INDEX(품목목록!$B$3:$B$102,MATCH($A479,품목목록!$A$3:$A$102,0)),""))</f>
        <v/>
      </c>
      <c r="D479" s="8" t="str">
        <f aca="false">IF($B479="","",IFERROR(INDEX(업체목록!$B$3:$B$52,MATCH($B479,업체목록!$A$3:$A$52,0)),""))</f>
        <v/>
      </c>
      <c r="E479" s="8" t="str">
        <f aca="false">IF($A479="","",IFERROR(INDEX(품목목록!$D$3:$D$102,MATCH($A479,품목목록!$A$3:$A$102,0)),""))</f>
        <v/>
      </c>
      <c r="F479" s="9"/>
      <c r="G479" s="10" t="str">
        <f aca="false">IF(OR($A479="",$F479=""),"",ROUND($E479*$F479,0))</f>
        <v/>
      </c>
      <c r="H479" s="8" t="str">
        <f aca="false">IF(OR($A479="",$F479=""),"",IF($F479=_xlfn.MINIFS($F$3:$F$502,$A$3:$A$502,$A479),"최저가",""))</f>
        <v/>
      </c>
      <c r="I479" s="8" t="str">
        <f aca="false">IF($H479="최저가",$A479,"")</f>
        <v/>
      </c>
    </row>
    <row r="480" customFormat="false" ht="15" hidden="false" customHeight="false" outlineLevel="0" collapsed="false">
      <c r="A480" s="6"/>
      <c r="B480" s="6"/>
      <c r="C480" s="8" t="str">
        <f aca="false">IF($A480="","",IFERROR(INDEX(품목목록!$B$3:$B$102,MATCH($A480,품목목록!$A$3:$A$102,0)),""))</f>
        <v/>
      </c>
      <c r="D480" s="8" t="str">
        <f aca="false">IF($B480="","",IFERROR(INDEX(업체목록!$B$3:$B$52,MATCH($B480,업체목록!$A$3:$A$52,0)),""))</f>
        <v/>
      </c>
      <c r="E480" s="8" t="str">
        <f aca="false">IF($A480="","",IFERROR(INDEX(품목목록!$D$3:$D$102,MATCH($A480,품목목록!$A$3:$A$102,0)),""))</f>
        <v/>
      </c>
      <c r="F480" s="9"/>
      <c r="G480" s="10" t="str">
        <f aca="false">IF(OR($A480="",$F480=""),"",ROUND($E480*$F480,0))</f>
        <v/>
      </c>
      <c r="H480" s="8" t="str">
        <f aca="false">IF(OR($A480="",$F480=""),"",IF($F480=_xlfn.MINIFS($F$3:$F$502,$A$3:$A$502,$A480),"최저가",""))</f>
        <v/>
      </c>
      <c r="I480" s="8" t="str">
        <f aca="false">IF($H480="최저가",$A480,"")</f>
        <v/>
      </c>
    </row>
    <row r="481" customFormat="false" ht="15" hidden="false" customHeight="false" outlineLevel="0" collapsed="false">
      <c r="A481" s="6"/>
      <c r="B481" s="6"/>
      <c r="C481" s="8" t="str">
        <f aca="false">IF($A481="","",IFERROR(INDEX(품목목록!$B$3:$B$102,MATCH($A481,품목목록!$A$3:$A$102,0)),""))</f>
        <v/>
      </c>
      <c r="D481" s="8" t="str">
        <f aca="false">IF($B481="","",IFERROR(INDEX(업체목록!$B$3:$B$52,MATCH($B481,업체목록!$A$3:$A$52,0)),""))</f>
        <v/>
      </c>
      <c r="E481" s="8" t="str">
        <f aca="false">IF($A481="","",IFERROR(INDEX(품목목록!$D$3:$D$102,MATCH($A481,품목목록!$A$3:$A$102,0)),""))</f>
        <v/>
      </c>
      <c r="F481" s="9"/>
      <c r="G481" s="10" t="str">
        <f aca="false">IF(OR($A481="",$F481=""),"",ROUND($E481*$F481,0))</f>
        <v/>
      </c>
      <c r="H481" s="8" t="str">
        <f aca="false">IF(OR($A481="",$F481=""),"",IF($F481=_xlfn.MINIFS($F$3:$F$502,$A$3:$A$502,$A481),"최저가",""))</f>
        <v/>
      </c>
      <c r="I481" s="8" t="str">
        <f aca="false">IF($H481="최저가",$A481,"")</f>
        <v/>
      </c>
    </row>
    <row r="482" customFormat="false" ht="15" hidden="false" customHeight="false" outlineLevel="0" collapsed="false">
      <c r="A482" s="6"/>
      <c r="B482" s="6"/>
      <c r="C482" s="8" t="str">
        <f aca="false">IF($A482="","",IFERROR(INDEX(품목목록!$B$3:$B$102,MATCH($A482,품목목록!$A$3:$A$102,0)),""))</f>
        <v/>
      </c>
      <c r="D482" s="8" t="str">
        <f aca="false">IF($B482="","",IFERROR(INDEX(업체목록!$B$3:$B$52,MATCH($B482,업체목록!$A$3:$A$52,0)),""))</f>
        <v/>
      </c>
      <c r="E482" s="8" t="str">
        <f aca="false">IF($A482="","",IFERROR(INDEX(품목목록!$D$3:$D$102,MATCH($A482,품목목록!$A$3:$A$102,0)),""))</f>
        <v/>
      </c>
      <c r="F482" s="9"/>
      <c r="G482" s="10" t="str">
        <f aca="false">IF(OR($A482="",$F482=""),"",ROUND($E482*$F482,0))</f>
        <v/>
      </c>
      <c r="H482" s="8" t="str">
        <f aca="false">IF(OR($A482="",$F482=""),"",IF($F482=_xlfn.MINIFS($F$3:$F$502,$A$3:$A$502,$A482),"최저가",""))</f>
        <v/>
      </c>
      <c r="I482" s="8" t="str">
        <f aca="false">IF($H482="최저가",$A482,"")</f>
        <v/>
      </c>
    </row>
    <row r="483" customFormat="false" ht="15" hidden="false" customHeight="false" outlineLevel="0" collapsed="false">
      <c r="A483" s="6"/>
      <c r="B483" s="6"/>
      <c r="C483" s="8" t="str">
        <f aca="false">IF($A483="","",IFERROR(INDEX(품목목록!$B$3:$B$102,MATCH($A483,품목목록!$A$3:$A$102,0)),""))</f>
        <v/>
      </c>
      <c r="D483" s="8" t="str">
        <f aca="false">IF($B483="","",IFERROR(INDEX(업체목록!$B$3:$B$52,MATCH($B483,업체목록!$A$3:$A$52,0)),""))</f>
        <v/>
      </c>
      <c r="E483" s="8" t="str">
        <f aca="false">IF($A483="","",IFERROR(INDEX(품목목록!$D$3:$D$102,MATCH($A483,품목목록!$A$3:$A$102,0)),""))</f>
        <v/>
      </c>
      <c r="F483" s="9"/>
      <c r="G483" s="10" t="str">
        <f aca="false">IF(OR($A483="",$F483=""),"",ROUND($E483*$F483,0))</f>
        <v/>
      </c>
      <c r="H483" s="8" t="str">
        <f aca="false">IF(OR($A483="",$F483=""),"",IF($F483=_xlfn.MINIFS($F$3:$F$502,$A$3:$A$502,$A483),"최저가",""))</f>
        <v/>
      </c>
      <c r="I483" s="8" t="str">
        <f aca="false">IF($H483="최저가",$A483,"")</f>
        <v/>
      </c>
    </row>
    <row r="484" customFormat="false" ht="15" hidden="false" customHeight="false" outlineLevel="0" collapsed="false">
      <c r="A484" s="6"/>
      <c r="B484" s="6"/>
      <c r="C484" s="8" t="str">
        <f aca="false">IF($A484="","",IFERROR(INDEX(품목목록!$B$3:$B$102,MATCH($A484,품목목록!$A$3:$A$102,0)),""))</f>
        <v/>
      </c>
      <c r="D484" s="8" t="str">
        <f aca="false">IF($B484="","",IFERROR(INDEX(업체목록!$B$3:$B$52,MATCH($B484,업체목록!$A$3:$A$52,0)),""))</f>
        <v/>
      </c>
      <c r="E484" s="8" t="str">
        <f aca="false">IF($A484="","",IFERROR(INDEX(품목목록!$D$3:$D$102,MATCH($A484,품목목록!$A$3:$A$102,0)),""))</f>
        <v/>
      </c>
      <c r="F484" s="9"/>
      <c r="G484" s="10" t="str">
        <f aca="false">IF(OR($A484="",$F484=""),"",ROUND($E484*$F484,0))</f>
        <v/>
      </c>
      <c r="H484" s="8" t="str">
        <f aca="false">IF(OR($A484="",$F484=""),"",IF($F484=_xlfn.MINIFS($F$3:$F$502,$A$3:$A$502,$A484),"최저가",""))</f>
        <v/>
      </c>
      <c r="I484" s="8" t="str">
        <f aca="false">IF($H484="최저가",$A484,"")</f>
        <v/>
      </c>
    </row>
    <row r="485" customFormat="false" ht="15" hidden="false" customHeight="false" outlineLevel="0" collapsed="false">
      <c r="A485" s="6"/>
      <c r="B485" s="6"/>
      <c r="C485" s="8" t="str">
        <f aca="false">IF($A485="","",IFERROR(INDEX(품목목록!$B$3:$B$102,MATCH($A485,품목목록!$A$3:$A$102,0)),""))</f>
        <v/>
      </c>
      <c r="D485" s="8" t="str">
        <f aca="false">IF($B485="","",IFERROR(INDEX(업체목록!$B$3:$B$52,MATCH($B485,업체목록!$A$3:$A$52,0)),""))</f>
        <v/>
      </c>
      <c r="E485" s="8" t="str">
        <f aca="false">IF($A485="","",IFERROR(INDEX(품목목록!$D$3:$D$102,MATCH($A485,품목목록!$A$3:$A$102,0)),""))</f>
        <v/>
      </c>
      <c r="F485" s="9"/>
      <c r="G485" s="10" t="str">
        <f aca="false">IF(OR($A485="",$F485=""),"",ROUND($E485*$F485,0))</f>
        <v/>
      </c>
      <c r="H485" s="8" t="str">
        <f aca="false">IF(OR($A485="",$F485=""),"",IF($F485=_xlfn.MINIFS($F$3:$F$502,$A$3:$A$502,$A485),"최저가",""))</f>
        <v/>
      </c>
      <c r="I485" s="8" t="str">
        <f aca="false">IF($H485="최저가",$A485,"")</f>
        <v/>
      </c>
    </row>
    <row r="486" customFormat="false" ht="15" hidden="false" customHeight="false" outlineLevel="0" collapsed="false">
      <c r="A486" s="6"/>
      <c r="B486" s="6"/>
      <c r="C486" s="8" t="str">
        <f aca="false">IF($A486="","",IFERROR(INDEX(품목목록!$B$3:$B$102,MATCH($A486,품목목록!$A$3:$A$102,0)),""))</f>
        <v/>
      </c>
      <c r="D486" s="8" t="str">
        <f aca="false">IF($B486="","",IFERROR(INDEX(업체목록!$B$3:$B$52,MATCH($B486,업체목록!$A$3:$A$52,0)),""))</f>
        <v/>
      </c>
      <c r="E486" s="8" t="str">
        <f aca="false">IF($A486="","",IFERROR(INDEX(품목목록!$D$3:$D$102,MATCH($A486,품목목록!$A$3:$A$102,0)),""))</f>
        <v/>
      </c>
      <c r="F486" s="9"/>
      <c r="G486" s="10" t="str">
        <f aca="false">IF(OR($A486="",$F486=""),"",ROUND($E486*$F486,0))</f>
        <v/>
      </c>
      <c r="H486" s="8" t="str">
        <f aca="false">IF(OR($A486="",$F486=""),"",IF($F486=_xlfn.MINIFS($F$3:$F$502,$A$3:$A$502,$A486),"최저가",""))</f>
        <v/>
      </c>
      <c r="I486" s="8" t="str">
        <f aca="false">IF($H486="최저가",$A486,"")</f>
        <v/>
      </c>
    </row>
    <row r="487" customFormat="false" ht="15" hidden="false" customHeight="false" outlineLevel="0" collapsed="false">
      <c r="A487" s="6"/>
      <c r="B487" s="6"/>
      <c r="C487" s="8" t="str">
        <f aca="false">IF($A487="","",IFERROR(INDEX(품목목록!$B$3:$B$102,MATCH($A487,품목목록!$A$3:$A$102,0)),""))</f>
        <v/>
      </c>
      <c r="D487" s="8" t="str">
        <f aca="false">IF($B487="","",IFERROR(INDEX(업체목록!$B$3:$B$52,MATCH($B487,업체목록!$A$3:$A$52,0)),""))</f>
        <v/>
      </c>
      <c r="E487" s="8" t="str">
        <f aca="false">IF($A487="","",IFERROR(INDEX(품목목록!$D$3:$D$102,MATCH($A487,품목목록!$A$3:$A$102,0)),""))</f>
        <v/>
      </c>
      <c r="F487" s="9"/>
      <c r="G487" s="10" t="str">
        <f aca="false">IF(OR($A487="",$F487=""),"",ROUND($E487*$F487,0))</f>
        <v/>
      </c>
      <c r="H487" s="8" t="str">
        <f aca="false">IF(OR($A487="",$F487=""),"",IF($F487=_xlfn.MINIFS($F$3:$F$502,$A$3:$A$502,$A487),"최저가",""))</f>
        <v/>
      </c>
      <c r="I487" s="8" t="str">
        <f aca="false">IF($H487="최저가",$A487,"")</f>
        <v/>
      </c>
    </row>
    <row r="488" customFormat="false" ht="15" hidden="false" customHeight="false" outlineLevel="0" collapsed="false">
      <c r="A488" s="6"/>
      <c r="B488" s="6"/>
      <c r="C488" s="8" t="str">
        <f aca="false">IF($A488="","",IFERROR(INDEX(품목목록!$B$3:$B$102,MATCH($A488,품목목록!$A$3:$A$102,0)),""))</f>
        <v/>
      </c>
      <c r="D488" s="8" t="str">
        <f aca="false">IF($B488="","",IFERROR(INDEX(업체목록!$B$3:$B$52,MATCH($B488,업체목록!$A$3:$A$52,0)),""))</f>
        <v/>
      </c>
      <c r="E488" s="8" t="str">
        <f aca="false">IF($A488="","",IFERROR(INDEX(품목목록!$D$3:$D$102,MATCH($A488,품목목록!$A$3:$A$102,0)),""))</f>
        <v/>
      </c>
      <c r="F488" s="9"/>
      <c r="G488" s="10" t="str">
        <f aca="false">IF(OR($A488="",$F488=""),"",ROUND($E488*$F488,0))</f>
        <v/>
      </c>
      <c r="H488" s="8" t="str">
        <f aca="false">IF(OR($A488="",$F488=""),"",IF($F488=_xlfn.MINIFS($F$3:$F$502,$A$3:$A$502,$A488),"최저가",""))</f>
        <v/>
      </c>
      <c r="I488" s="8" t="str">
        <f aca="false">IF($H488="최저가",$A488,"")</f>
        <v/>
      </c>
    </row>
    <row r="489" customFormat="false" ht="15" hidden="false" customHeight="false" outlineLevel="0" collapsed="false">
      <c r="A489" s="6"/>
      <c r="B489" s="6"/>
      <c r="C489" s="8" t="str">
        <f aca="false">IF($A489="","",IFERROR(INDEX(품목목록!$B$3:$B$102,MATCH($A489,품목목록!$A$3:$A$102,0)),""))</f>
        <v/>
      </c>
      <c r="D489" s="8" t="str">
        <f aca="false">IF($B489="","",IFERROR(INDEX(업체목록!$B$3:$B$52,MATCH($B489,업체목록!$A$3:$A$52,0)),""))</f>
        <v/>
      </c>
      <c r="E489" s="8" t="str">
        <f aca="false">IF($A489="","",IFERROR(INDEX(품목목록!$D$3:$D$102,MATCH($A489,품목목록!$A$3:$A$102,0)),""))</f>
        <v/>
      </c>
      <c r="F489" s="9"/>
      <c r="G489" s="10" t="str">
        <f aca="false">IF(OR($A489="",$F489=""),"",ROUND($E489*$F489,0))</f>
        <v/>
      </c>
      <c r="H489" s="8" t="str">
        <f aca="false">IF(OR($A489="",$F489=""),"",IF($F489=_xlfn.MINIFS($F$3:$F$502,$A$3:$A$502,$A489),"최저가",""))</f>
        <v/>
      </c>
      <c r="I489" s="8" t="str">
        <f aca="false">IF($H489="최저가",$A489,"")</f>
        <v/>
      </c>
    </row>
    <row r="490" customFormat="false" ht="15" hidden="false" customHeight="false" outlineLevel="0" collapsed="false">
      <c r="A490" s="6"/>
      <c r="B490" s="6"/>
      <c r="C490" s="8" t="str">
        <f aca="false">IF($A490="","",IFERROR(INDEX(품목목록!$B$3:$B$102,MATCH($A490,품목목록!$A$3:$A$102,0)),""))</f>
        <v/>
      </c>
      <c r="D490" s="8" t="str">
        <f aca="false">IF($B490="","",IFERROR(INDEX(업체목록!$B$3:$B$52,MATCH($B490,업체목록!$A$3:$A$52,0)),""))</f>
        <v/>
      </c>
      <c r="E490" s="8" t="str">
        <f aca="false">IF($A490="","",IFERROR(INDEX(품목목록!$D$3:$D$102,MATCH($A490,품목목록!$A$3:$A$102,0)),""))</f>
        <v/>
      </c>
      <c r="F490" s="9"/>
      <c r="G490" s="10" t="str">
        <f aca="false">IF(OR($A490="",$F490=""),"",ROUND($E490*$F490,0))</f>
        <v/>
      </c>
      <c r="H490" s="8" t="str">
        <f aca="false">IF(OR($A490="",$F490=""),"",IF($F490=_xlfn.MINIFS($F$3:$F$502,$A$3:$A$502,$A490),"최저가",""))</f>
        <v/>
      </c>
      <c r="I490" s="8" t="str">
        <f aca="false">IF($H490="최저가",$A490,"")</f>
        <v/>
      </c>
    </row>
    <row r="491" customFormat="false" ht="15" hidden="false" customHeight="false" outlineLevel="0" collapsed="false">
      <c r="A491" s="6"/>
      <c r="B491" s="6"/>
      <c r="C491" s="8" t="str">
        <f aca="false">IF($A491="","",IFERROR(INDEX(품목목록!$B$3:$B$102,MATCH($A491,품목목록!$A$3:$A$102,0)),""))</f>
        <v/>
      </c>
      <c r="D491" s="8" t="str">
        <f aca="false">IF($B491="","",IFERROR(INDEX(업체목록!$B$3:$B$52,MATCH($B491,업체목록!$A$3:$A$52,0)),""))</f>
        <v/>
      </c>
      <c r="E491" s="8" t="str">
        <f aca="false">IF($A491="","",IFERROR(INDEX(품목목록!$D$3:$D$102,MATCH($A491,품목목록!$A$3:$A$102,0)),""))</f>
        <v/>
      </c>
      <c r="F491" s="9"/>
      <c r="G491" s="10" t="str">
        <f aca="false">IF(OR($A491="",$F491=""),"",ROUND($E491*$F491,0))</f>
        <v/>
      </c>
      <c r="H491" s="8" t="str">
        <f aca="false">IF(OR($A491="",$F491=""),"",IF($F491=_xlfn.MINIFS($F$3:$F$502,$A$3:$A$502,$A491),"최저가",""))</f>
        <v/>
      </c>
      <c r="I491" s="8" t="str">
        <f aca="false">IF($H491="최저가",$A491,"")</f>
        <v/>
      </c>
    </row>
    <row r="492" customFormat="false" ht="15" hidden="false" customHeight="false" outlineLevel="0" collapsed="false">
      <c r="A492" s="6"/>
      <c r="B492" s="6"/>
      <c r="C492" s="8" t="str">
        <f aca="false">IF($A492="","",IFERROR(INDEX(품목목록!$B$3:$B$102,MATCH($A492,품목목록!$A$3:$A$102,0)),""))</f>
        <v/>
      </c>
      <c r="D492" s="8" t="str">
        <f aca="false">IF($B492="","",IFERROR(INDEX(업체목록!$B$3:$B$52,MATCH($B492,업체목록!$A$3:$A$52,0)),""))</f>
        <v/>
      </c>
      <c r="E492" s="8" t="str">
        <f aca="false">IF($A492="","",IFERROR(INDEX(품목목록!$D$3:$D$102,MATCH($A492,품목목록!$A$3:$A$102,0)),""))</f>
        <v/>
      </c>
      <c r="F492" s="9"/>
      <c r="G492" s="10" t="str">
        <f aca="false">IF(OR($A492="",$F492=""),"",ROUND($E492*$F492,0))</f>
        <v/>
      </c>
      <c r="H492" s="8" t="str">
        <f aca="false">IF(OR($A492="",$F492=""),"",IF($F492=_xlfn.MINIFS($F$3:$F$502,$A$3:$A$502,$A492),"최저가",""))</f>
        <v/>
      </c>
      <c r="I492" s="8" t="str">
        <f aca="false">IF($H492="최저가",$A492,"")</f>
        <v/>
      </c>
    </row>
    <row r="493" customFormat="false" ht="15" hidden="false" customHeight="false" outlineLevel="0" collapsed="false">
      <c r="A493" s="6"/>
      <c r="B493" s="6"/>
      <c r="C493" s="8" t="str">
        <f aca="false">IF($A493="","",IFERROR(INDEX(품목목록!$B$3:$B$102,MATCH($A493,품목목록!$A$3:$A$102,0)),""))</f>
        <v/>
      </c>
      <c r="D493" s="8" t="str">
        <f aca="false">IF($B493="","",IFERROR(INDEX(업체목록!$B$3:$B$52,MATCH($B493,업체목록!$A$3:$A$52,0)),""))</f>
        <v/>
      </c>
      <c r="E493" s="8" t="str">
        <f aca="false">IF($A493="","",IFERROR(INDEX(품목목록!$D$3:$D$102,MATCH($A493,품목목록!$A$3:$A$102,0)),""))</f>
        <v/>
      </c>
      <c r="F493" s="9"/>
      <c r="G493" s="10" t="str">
        <f aca="false">IF(OR($A493="",$F493=""),"",ROUND($E493*$F493,0))</f>
        <v/>
      </c>
      <c r="H493" s="8" t="str">
        <f aca="false">IF(OR($A493="",$F493=""),"",IF($F493=_xlfn.MINIFS($F$3:$F$502,$A$3:$A$502,$A493),"최저가",""))</f>
        <v/>
      </c>
      <c r="I493" s="8" t="str">
        <f aca="false">IF($H493="최저가",$A493,"")</f>
        <v/>
      </c>
    </row>
    <row r="494" customFormat="false" ht="15" hidden="false" customHeight="false" outlineLevel="0" collapsed="false">
      <c r="A494" s="6"/>
      <c r="B494" s="6"/>
      <c r="C494" s="8" t="str">
        <f aca="false">IF($A494="","",IFERROR(INDEX(품목목록!$B$3:$B$102,MATCH($A494,품목목록!$A$3:$A$102,0)),""))</f>
        <v/>
      </c>
      <c r="D494" s="8" t="str">
        <f aca="false">IF($B494="","",IFERROR(INDEX(업체목록!$B$3:$B$52,MATCH($B494,업체목록!$A$3:$A$52,0)),""))</f>
        <v/>
      </c>
      <c r="E494" s="8" t="str">
        <f aca="false">IF($A494="","",IFERROR(INDEX(품목목록!$D$3:$D$102,MATCH($A494,품목목록!$A$3:$A$102,0)),""))</f>
        <v/>
      </c>
      <c r="F494" s="9"/>
      <c r="G494" s="10" t="str">
        <f aca="false">IF(OR($A494="",$F494=""),"",ROUND($E494*$F494,0))</f>
        <v/>
      </c>
      <c r="H494" s="8" t="str">
        <f aca="false">IF(OR($A494="",$F494=""),"",IF($F494=_xlfn.MINIFS($F$3:$F$502,$A$3:$A$502,$A494),"최저가",""))</f>
        <v/>
      </c>
      <c r="I494" s="8" t="str">
        <f aca="false">IF($H494="최저가",$A494,"")</f>
        <v/>
      </c>
    </row>
    <row r="495" customFormat="false" ht="15" hidden="false" customHeight="false" outlineLevel="0" collapsed="false">
      <c r="A495" s="6"/>
      <c r="B495" s="6"/>
      <c r="C495" s="8" t="str">
        <f aca="false">IF($A495="","",IFERROR(INDEX(품목목록!$B$3:$B$102,MATCH($A495,품목목록!$A$3:$A$102,0)),""))</f>
        <v/>
      </c>
      <c r="D495" s="8" t="str">
        <f aca="false">IF($B495="","",IFERROR(INDEX(업체목록!$B$3:$B$52,MATCH($B495,업체목록!$A$3:$A$52,0)),""))</f>
        <v/>
      </c>
      <c r="E495" s="8" t="str">
        <f aca="false">IF($A495="","",IFERROR(INDEX(품목목록!$D$3:$D$102,MATCH($A495,품목목록!$A$3:$A$102,0)),""))</f>
        <v/>
      </c>
      <c r="F495" s="9"/>
      <c r="G495" s="10" t="str">
        <f aca="false">IF(OR($A495="",$F495=""),"",ROUND($E495*$F495,0))</f>
        <v/>
      </c>
      <c r="H495" s="8" t="str">
        <f aca="false">IF(OR($A495="",$F495=""),"",IF($F495=_xlfn.MINIFS($F$3:$F$502,$A$3:$A$502,$A495),"최저가",""))</f>
        <v/>
      </c>
      <c r="I495" s="8" t="str">
        <f aca="false">IF($H495="최저가",$A495,"")</f>
        <v/>
      </c>
    </row>
    <row r="496" customFormat="false" ht="15" hidden="false" customHeight="false" outlineLevel="0" collapsed="false">
      <c r="A496" s="6"/>
      <c r="B496" s="6"/>
      <c r="C496" s="8" t="str">
        <f aca="false">IF($A496="","",IFERROR(INDEX(품목목록!$B$3:$B$102,MATCH($A496,품목목록!$A$3:$A$102,0)),""))</f>
        <v/>
      </c>
      <c r="D496" s="8" t="str">
        <f aca="false">IF($B496="","",IFERROR(INDEX(업체목록!$B$3:$B$52,MATCH($B496,업체목록!$A$3:$A$52,0)),""))</f>
        <v/>
      </c>
      <c r="E496" s="8" t="str">
        <f aca="false">IF($A496="","",IFERROR(INDEX(품목목록!$D$3:$D$102,MATCH($A496,품목목록!$A$3:$A$102,0)),""))</f>
        <v/>
      </c>
      <c r="F496" s="9"/>
      <c r="G496" s="10" t="str">
        <f aca="false">IF(OR($A496="",$F496=""),"",ROUND($E496*$F496,0))</f>
        <v/>
      </c>
      <c r="H496" s="8" t="str">
        <f aca="false">IF(OR($A496="",$F496=""),"",IF($F496=_xlfn.MINIFS($F$3:$F$502,$A$3:$A$502,$A496),"최저가",""))</f>
        <v/>
      </c>
      <c r="I496" s="8" t="str">
        <f aca="false">IF($H496="최저가",$A496,"")</f>
        <v/>
      </c>
    </row>
    <row r="497" customFormat="false" ht="15" hidden="false" customHeight="false" outlineLevel="0" collapsed="false">
      <c r="A497" s="6"/>
      <c r="B497" s="6"/>
      <c r="C497" s="8" t="str">
        <f aca="false">IF($A497="","",IFERROR(INDEX(품목목록!$B$3:$B$102,MATCH($A497,품목목록!$A$3:$A$102,0)),""))</f>
        <v/>
      </c>
      <c r="D497" s="8" t="str">
        <f aca="false">IF($B497="","",IFERROR(INDEX(업체목록!$B$3:$B$52,MATCH($B497,업체목록!$A$3:$A$52,0)),""))</f>
        <v/>
      </c>
      <c r="E497" s="8" t="str">
        <f aca="false">IF($A497="","",IFERROR(INDEX(품목목록!$D$3:$D$102,MATCH($A497,품목목록!$A$3:$A$102,0)),""))</f>
        <v/>
      </c>
      <c r="F497" s="9"/>
      <c r="G497" s="10" t="str">
        <f aca="false">IF(OR($A497="",$F497=""),"",ROUND($E497*$F497,0))</f>
        <v/>
      </c>
      <c r="H497" s="8" t="str">
        <f aca="false">IF(OR($A497="",$F497=""),"",IF($F497=_xlfn.MINIFS($F$3:$F$502,$A$3:$A$502,$A497),"최저가",""))</f>
        <v/>
      </c>
      <c r="I497" s="8" t="str">
        <f aca="false">IF($H497="최저가",$A497,"")</f>
        <v/>
      </c>
    </row>
    <row r="498" customFormat="false" ht="15" hidden="false" customHeight="false" outlineLevel="0" collapsed="false">
      <c r="A498" s="6"/>
      <c r="B498" s="6"/>
      <c r="C498" s="8" t="str">
        <f aca="false">IF($A498="","",IFERROR(INDEX(품목목록!$B$3:$B$102,MATCH($A498,품목목록!$A$3:$A$102,0)),""))</f>
        <v/>
      </c>
      <c r="D498" s="8" t="str">
        <f aca="false">IF($B498="","",IFERROR(INDEX(업체목록!$B$3:$B$52,MATCH($B498,업체목록!$A$3:$A$52,0)),""))</f>
        <v/>
      </c>
      <c r="E498" s="8" t="str">
        <f aca="false">IF($A498="","",IFERROR(INDEX(품목목록!$D$3:$D$102,MATCH($A498,품목목록!$A$3:$A$102,0)),""))</f>
        <v/>
      </c>
      <c r="F498" s="9"/>
      <c r="G498" s="10" t="str">
        <f aca="false">IF(OR($A498="",$F498=""),"",ROUND($E498*$F498,0))</f>
        <v/>
      </c>
      <c r="H498" s="8" t="str">
        <f aca="false">IF(OR($A498="",$F498=""),"",IF($F498=_xlfn.MINIFS($F$3:$F$502,$A$3:$A$502,$A498),"최저가",""))</f>
        <v/>
      </c>
      <c r="I498" s="8" t="str">
        <f aca="false">IF($H498="최저가",$A498,"")</f>
        <v/>
      </c>
    </row>
    <row r="499" customFormat="false" ht="15" hidden="false" customHeight="false" outlineLevel="0" collapsed="false">
      <c r="A499" s="6"/>
      <c r="B499" s="6"/>
      <c r="C499" s="8" t="str">
        <f aca="false">IF($A499="","",IFERROR(INDEX(품목목록!$B$3:$B$102,MATCH($A499,품목목록!$A$3:$A$102,0)),""))</f>
        <v/>
      </c>
      <c r="D499" s="8" t="str">
        <f aca="false">IF($B499="","",IFERROR(INDEX(업체목록!$B$3:$B$52,MATCH($B499,업체목록!$A$3:$A$52,0)),""))</f>
        <v/>
      </c>
      <c r="E499" s="8" t="str">
        <f aca="false">IF($A499="","",IFERROR(INDEX(품목목록!$D$3:$D$102,MATCH($A499,품목목록!$A$3:$A$102,0)),""))</f>
        <v/>
      </c>
      <c r="F499" s="9"/>
      <c r="G499" s="10" t="str">
        <f aca="false">IF(OR($A499="",$F499=""),"",ROUND($E499*$F499,0))</f>
        <v/>
      </c>
      <c r="H499" s="8" t="str">
        <f aca="false">IF(OR($A499="",$F499=""),"",IF($F499=_xlfn.MINIFS($F$3:$F$502,$A$3:$A$502,$A499),"최저가",""))</f>
        <v/>
      </c>
      <c r="I499" s="8" t="str">
        <f aca="false">IF($H499="최저가",$A499,"")</f>
        <v/>
      </c>
    </row>
    <row r="500" customFormat="false" ht="15" hidden="false" customHeight="false" outlineLevel="0" collapsed="false">
      <c r="A500" s="6"/>
      <c r="B500" s="6"/>
      <c r="C500" s="8" t="str">
        <f aca="false">IF($A500="","",IFERROR(INDEX(품목목록!$B$3:$B$102,MATCH($A500,품목목록!$A$3:$A$102,0)),""))</f>
        <v/>
      </c>
      <c r="D500" s="8" t="str">
        <f aca="false">IF($B500="","",IFERROR(INDEX(업체목록!$B$3:$B$52,MATCH($B500,업체목록!$A$3:$A$52,0)),""))</f>
        <v/>
      </c>
      <c r="E500" s="8" t="str">
        <f aca="false">IF($A500="","",IFERROR(INDEX(품목목록!$D$3:$D$102,MATCH($A500,품목목록!$A$3:$A$102,0)),""))</f>
        <v/>
      </c>
      <c r="F500" s="9"/>
      <c r="G500" s="10" t="str">
        <f aca="false">IF(OR($A500="",$F500=""),"",ROUND($E500*$F500,0))</f>
        <v/>
      </c>
      <c r="H500" s="8" t="str">
        <f aca="false">IF(OR($A500="",$F500=""),"",IF($F500=_xlfn.MINIFS($F$3:$F$502,$A$3:$A$502,$A500),"최저가",""))</f>
        <v/>
      </c>
      <c r="I500" s="8" t="str">
        <f aca="false">IF($H500="최저가",$A500,"")</f>
        <v/>
      </c>
    </row>
    <row r="501" customFormat="false" ht="15" hidden="false" customHeight="false" outlineLevel="0" collapsed="false">
      <c r="A501" s="6"/>
      <c r="B501" s="6"/>
      <c r="C501" s="8" t="str">
        <f aca="false">IF($A501="","",IFERROR(INDEX(품목목록!$B$3:$B$102,MATCH($A501,품목목록!$A$3:$A$102,0)),""))</f>
        <v/>
      </c>
      <c r="D501" s="8" t="str">
        <f aca="false">IF($B501="","",IFERROR(INDEX(업체목록!$B$3:$B$52,MATCH($B501,업체목록!$A$3:$A$52,0)),""))</f>
        <v/>
      </c>
      <c r="E501" s="8" t="str">
        <f aca="false">IF($A501="","",IFERROR(INDEX(품목목록!$D$3:$D$102,MATCH($A501,품목목록!$A$3:$A$102,0)),""))</f>
        <v/>
      </c>
      <c r="F501" s="9"/>
      <c r="G501" s="10" t="str">
        <f aca="false">IF(OR($A501="",$F501=""),"",ROUND($E501*$F501,0))</f>
        <v/>
      </c>
      <c r="H501" s="8" t="str">
        <f aca="false">IF(OR($A501="",$F501=""),"",IF($F501=_xlfn.MINIFS($F$3:$F$502,$A$3:$A$502,$A501),"최저가",""))</f>
        <v/>
      </c>
      <c r="I501" s="8" t="str">
        <f aca="false">IF($H501="최저가",$A501,"")</f>
        <v/>
      </c>
    </row>
    <row r="502" customFormat="false" ht="15" hidden="false" customHeight="false" outlineLevel="0" collapsed="false">
      <c r="A502" s="6"/>
      <c r="B502" s="6"/>
      <c r="C502" s="8" t="str">
        <f aca="false">IF($A502="","",IFERROR(INDEX(품목목록!$B$3:$B$102,MATCH($A502,품목목록!$A$3:$A$102,0)),""))</f>
        <v/>
      </c>
      <c r="D502" s="8" t="str">
        <f aca="false">IF($B502="","",IFERROR(INDEX(업체목록!$B$3:$B$52,MATCH($B502,업체목록!$A$3:$A$52,0)),""))</f>
        <v/>
      </c>
      <c r="E502" s="8" t="str">
        <f aca="false">IF($A502="","",IFERROR(INDEX(품목목록!$D$3:$D$102,MATCH($A502,품목목록!$A$3:$A$102,0)),""))</f>
        <v/>
      </c>
      <c r="F502" s="9"/>
      <c r="G502" s="10" t="str">
        <f aca="false">IF(OR($A502="",$F502=""),"",ROUND($E502*$F502,0))</f>
        <v/>
      </c>
      <c r="H502" s="8" t="str">
        <f aca="false">IF(OR($A502="",$F502=""),"",IF($F502=_xlfn.MINIFS($F$3:$F$502,$A$3:$A$502,$A502),"최저가",""))</f>
        <v/>
      </c>
      <c r="I502" s="8" t="str">
        <f aca="false">IF($H502="최저가",$A502,"")</f>
        <v/>
      </c>
    </row>
  </sheetData>
  <mergeCells count="1">
    <mergeCell ref="A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12890625" defaultRowHeight="15" customHeight="false" zeroHeight="false" outlineLevelRow="0" outlineLevelCol="0"/>
  <cols>
    <col collapsed="false" customWidth="true" hidden="false" outlineLevel="0" max="1" min="1" style="0" width="8.35"/>
    <col collapsed="false" customWidth="true" hidden="false" outlineLevel="0" max="2" min="2" style="0" width="13.35"/>
    <col collapsed="false" customWidth="true" hidden="false" outlineLevel="0" max="6" min="3" style="0" width="8.35"/>
    <col collapsed="false" customWidth="true" hidden="false" outlineLevel="0" max="7" min="7" style="0" width="10.02"/>
    <col collapsed="false" customWidth="true" hidden="false" outlineLevel="0" max="8" min="8" style="0" width="11.68"/>
  </cols>
  <sheetData>
    <row r="1" customFormat="false" ht="25.5" hidden="false" customHeight="true" outlineLevel="0" collapsed="false">
      <c r="A1" s="1" t="s">
        <v>65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5" t="s">
        <v>17</v>
      </c>
      <c r="B2" s="5" t="s">
        <v>18</v>
      </c>
      <c r="C2" s="5" t="s">
        <v>41</v>
      </c>
      <c r="D2" s="5" t="s">
        <v>45</v>
      </c>
      <c r="E2" s="5" t="s">
        <v>49</v>
      </c>
      <c r="F2" s="5" t="s">
        <v>53</v>
      </c>
      <c r="G2" s="5" t="s">
        <v>66</v>
      </c>
      <c r="H2" s="5" t="s">
        <v>67</v>
      </c>
    </row>
    <row r="3" customFormat="false" ht="15" hidden="false" customHeight="false" outlineLevel="0" collapsed="false">
      <c r="A3" s="8" t="str">
        <f aca="false">IF(품목목록!$A3="","",품목목록!$A3)</f>
        <v>P01</v>
      </c>
      <c r="B3" s="8" t="str">
        <f aca="false">IF($A3="","",품목목록!$B3)</f>
        <v>A4용지 80g</v>
      </c>
      <c r="C3" s="10" t="n">
        <f aca="false">IF($A3="","",IF(SUMIFS(견적입력!$F$3:$F$502,견적입력!$A$3:$A$502,$A3,견적입력!$B$3:$B$502,"V1")=0,"",SUMIFS(견적입력!$F$3:$F$502,견적입력!$A$3:$A$502,$A3,견적입력!$B$3:$B$502,"V1")))</f>
        <v>3200</v>
      </c>
      <c r="D3" s="10" t="n">
        <f aca="false">IF($A3="","",IF(SUMIFS(견적입력!$F$3:$F$502,견적입력!$A$3:$A$502,$A3,견적입력!$B$3:$B$502,"V2")=0,"",SUMIFS(견적입력!$F$3:$F$502,견적입력!$A$3:$A$502,$A3,견적입력!$B$3:$B$502,"V2")))</f>
        <v>3100</v>
      </c>
      <c r="E3" s="10" t="n">
        <f aca="false">IF($A3="","",IF(SUMIFS(견적입력!$F$3:$F$502,견적입력!$A$3:$A$502,$A3,견적입력!$B$3:$B$502,"V3")=0,"",SUMIFS(견적입력!$F$3:$F$502,견적입력!$A$3:$A$502,$A3,견적입력!$B$3:$B$502,"V3")))</f>
        <v>3400</v>
      </c>
      <c r="F3" s="10" t="str">
        <f aca="false">IF($A3="","",IF(SUMIFS(견적입력!$F$3:$F$502,견적입력!$A$3:$A$502,$A3,견적입력!$B$3:$B$502,"V4")=0,"",SUMIFS(견적입력!$F$3:$F$502,견적입력!$A$3:$A$502,$A3,견적입력!$B$3:$B$502,"V4")))</f>
        <v/>
      </c>
      <c r="G3" s="10" t="n">
        <f aca="false">IF($A3="","",IFERROR(_xlfn.MINIFS(견적입력!$F$3:$F$502,견적입력!$A$3:$A$502,$A3),""))</f>
        <v>3100</v>
      </c>
      <c r="H3" s="8" t="str">
        <f aca="false">IF($A3="","",IFERROR(INDEX(견적입력!$D$3:$D$502,MATCH($A3,견적입력!$I$3:$I$502,0)),""))</f>
        <v>서울사무기기</v>
      </c>
    </row>
    <row r="4" customFormat="false" ht="15" hidden="false" customHeight="false" outlineLevel="0" collapsed="false">
      <c r="A4" s="8" t="str">
        <f aca="false">IF(품목목록!$A4="","",품목목록!$A4)</f>
        <v>P02</v>
      </c>
      <c r="B4" s="8" t="str">
        <f aca="false">IF($A4="","",품목목록!$B4)</f>
        <v>사무용의자</v>
      </c>
      <c r="C4" s="10" t="n">
        <f aca="false">IF($A4="","",IF(SUMIFS(견적입력!$F$3:$F$502,견적입력!$A$3:$A$502,$A4,견적입력!$B$3:$B$502,"V1")=0,"",SUMIFS(견적입력!$F$3:$F$502,견적입력!$A$3:$A$502,$A4,견적입력!$B$3:$B$502,"V1")))</f>
        <v>45000</v>
      </c>
      <c r="D4" s="10" t="n">
        <f aca="false">IF($A4="","",IF(SUMIFS(견적입력!$F$3:$F$502,견적입력!$A$3:$A$502,$A4,견적입력!$B$3:$B$502,"V2")=0,"",SUMIFS(견적입력!$F$3:$F$502,견적입력!$A$3:$A$502,$A4,견적입력!$B$3:$B$502,"V2")))</f>
        <v>42000</v>
      </c>
      <c r="E4" s="10" t="str">
        <f aca="false">IF($A4="","",IF(SUMIFS(견적입력!$F$3:$F$502,견적입력!$A$3:$A$502,$A4,견적입력!$B$3:$B$502,"V3")=0,"",SUMIFS(견적입력!$F$3:$F$502,견적입력!$A$3:$A$502,$A4,견적입력!$B$3:$B$502,"V3")))</f>
        <v/>
      </c>
      <c r="F4" s="10" t="n">
        <f aca="false">IF($A4="","",IF(SUMIFS(견적입력!$F$3:$F$502,견적입력!$A$3:$A$502,$A4,견적입력!$B$3:$B$502,"V4")=0,"",SUMIFS(견적입력!$F$3:$F$502,견적입력!$A$3:$A$502,$A4,견적입력!$B$3:$B$502,"V4")))</f>
        <v>47000</v>
      </c>
      <c r="G4" s="10" t="n">
        <f aca="false">IF($A4="","",IFERROR(_xlfn.MINIFS(견적입력!$F$3:$F$502,견적입력!$A$3:$A$502,$A4),""))</f>
        <v>42000</v>
      </c>
      <c r="H4" s="8" t="str">
        <f aca="false">IF($A4="","",IFERROR(INDEX(견적입력!$D$3:$D$502,MATCH($A4,견적입력!$I$3:$I$502,0)),""))</f>
        <v>서울사무기기</v>
      </c>
    </row>
    <row r="5" customFormat="false" ht="15" hidden="false" customHeight="false" outlineLevel="0" collapsed="false">
      <c r="A5" s="8" t="str">
        <f aca="false">IF(품목목록!$A5="","",품목목록!$A5)</f>
        <v>P03</v>
      </c>
      <c r="B5" s="8" t="str">
        <f aca="false">IF($A5="","",품목목록!$B5)</f>
        <v>모니터</v>
      </c>
      <c r="C5" s="10" t="str">
        <f aca="false">IF($A5="","",IF(SUMIFS(견적입력!$F$3:$F$502,견적입력!$A$3:$A$502,$A5,견적입력!$B$3:$B$502,"V1")=0,"",SUMIFS(견적입력!$F$3:$F$502,견적입력!$A$3:$A$502,$A5,견적입력!$B$3:$B$502,"V1")))</f>
        <v/>
      </c>
      <c r="D5" s="10" t="n">
        <f aca="false">IF($A5="","",IF(SUMIFS(견적입력!$F$3:$F$502,견적입력!$A$3:$A$502,$A5,견적입력!$B$3:$B$502,"V2")=0,"",SUMIFS(견적입력!$F$3:$F$502,견적입력!$A$3:$A$502,$A5,견적입력!$B$3:$B$502,"V2")))</f>
        <v>185000</v>
      </c>
      <c r="E5" s="10" t="n">
        <f aca="false">IF($A5="","",IF(SUMIFS(견적입력!$F$3:$F$502,견적입력!$A$3:$A$502,$A5,견적입력!$B$3:$B$502,"V3")=0,"",SUMIFS(견적입력!$F$3:$F$502,견적입력!$A$3:$A$502,$A5,견적입력!$B$3:$B$502,"V3")))</f>
        <v>179000</v>
      </c>
      <c r="F5" s="10" t="n">
        <f aca="false">IF($A5="","",IF(SUMIFS(견적입력!$F$3:$F$502,견적입력!$A$3:$A$502,$A5,견적입력!$B$3:$B$502,"V4")=0,"",SUMIFS(견적입력!$F$3:$F$502,견적입력!$A$3:$A$502,$A5,견적입력!$B$3:$B$502,"V4")))</f>
        <v>182000</v>
      </c>
      <c r="G5" s="10" t="n">
        <f aca="false">IF($A5="","",IFERROR(_xlfn.MINIFS(견적입력!$F$3:$F$502,견적입력!$A$3:$A$502,$A5),""))</f>
        <v>179000</v>
      </c>
      <c r="H5" s="8" t="str">
        <f aca="false">IF($A5="","",IFERROR(INDEX(견적입력!$D$3:$D$502,MATCH($A5,견적입력!$I$3:$I$502,0)),""))</f>
        <v>대성물산</v>
      </c>
    </row>
    <row r="6" customFormat="false" ht="15" hidden="false" customHeight="false" outlineLevel="0" collapsed="false">
      <c r="A6" s="8" t="str">
        <f aca="false">IF(품목목록!$A6="","",품목목록!$A6)</f>
        <v>P04</v>
      </c>
      <c r="B6" s="8" t="str">
        <f aca="false">IF($A6="","",품목목록!$B6)</f>
        <v>복합기토너</v>
      </c>
      <c r="C6" s="10" t="n">
        <f aca="false">IF($A6="","",IF(SUMIFS(견적입력!$F$3:$F$502,견적입력!$A$3:$A$502,$A6,견적입력!$B$3:$B$502,"V1")=0,"",SUMIFS(견적입력!$F$3:$F$502,견적입력!$A$3:$A$502,$A6,견적입력!$B$3:$B$502,"V1")))</f>
        <v>28000</v>
      </c>
      <c r="D6" s="10" t="str">
        <f aca="false">IF($A6="","",IF(SUMIFS(견적입력!$F$3:$F$502,견적입력!$A$3:$A$502,$A6,견적입력!$B$3:$B$502,"V2")=0,"",SUMIFS(견적입력!$F$3:$F$502,견적입력!$A$3:$A$502,$A6,견적입력!$B$3:$B$502,"V2")))</f>
        <v/>
      </c>
      <c r="E6" s="10" t="n">
        <f aca="false">IF($A6="","",IF(SUMIFS(견적입력!$F$3:$F$502,견적입력!$A$3:$A$502,$A6,견적입력!$B$3:$B$502,"V3")=0,"",SUMIFS(견적입력!$F$3:$F$502,견적입력!$A$3:$A$502,$A6,견적입력!$B$3:$B$502,"V3")))</f>
        <v>26000</v>
      </c>
      <c r="F6" s="10" t="str">
        <f aca="false">IF($A6="","",IF(SUMIFS(견적입력!$F$3:$F$502,견적입력!$A$3:$A$502,$A6,견적입력!$B$3:$B$502,"V4")=0,"",SUMIFS(견적입력!$F$3:$F$502,견적입력!$A$3:$A$502,$A6,견적입력!$B$3:$B$502,"V4")))</f>
        <v/>
      </c>
      <c r="G6" s="10" t="n">
        <f aca="false">IF($A6="","",IFERROR(_xlfn.MINIFS(견적입력!$F$3:$F$502,견적입력!$A$3:$A$502,$A6),""))</f>
        <v>26000</v>
      </c>
      <c r="H6" s="8" t="str">
        <f aca="false">IF($A6="","",IFERROR(INDEX(견적입력!$D$3:$D$502,MATCH($A6,견적입력!$I$3:$I$502,0)),""))</f>
        <v>대성물산</v>
      </c>
    </row>
    <row r="7" customFormat="false" ht="15" hidden="false" customHeight="false" outlineLevel="0" collapsed="false">
      <c r="A7" s="8" t="str">
        <f aca="false">IF(품목목록!$A7="","",품목목록!$A7)</f>
        <v>P05</v>
      </c>
      <c r="B7" s="8" t="str">
        <f aca="false">IF($A7="","",품목목록!$B7)</f>
        <v>사무용책상</v>
      </c>
      <c r="C7" s="10" t="n">
        <f aca="false">IF($A7="","",IF(SUMIFS(견적입력!$F$3:$F$502,견적입력!$A$3:$A$502,$A7,견적입력!$B$3:$B$502,"V1")=0,"",SUMIFS(견적입력!$F$3:$F$502,견적입력!$A$3:$A$502,$A7,견적입력!$B$3:$B$502,"V1")))</f>
        <v>95000</v>
      </c>
      <c r="D7" s="10" t="str">
        <f aca="false">IF($A7="","",IF(SUMIFS(견적입력!$F$3:$F$502,견적입력!$A$3:$A$502,$A7,견적입력!$B$3:$B$502,"V2")=0,"",SUMIFS(견적입력!$F$3:$F$502,견적입력!$A$3:$A$502,$A7,견적입력!$B$3:$B$502,"V2")))</f>
        <v/>
      </c>
      <c r="E7" s="10" t="str">
        <f aca="false">IF($A7="","",IF(SUMIFS(견적입력!$F$3:$F$502,견적입력!$A$3:$A$502,$A7,견적입력!$B$3:$B$502,"V3")=0,"",SUMIFS(견적입력!$F$3:$F$502,견적입력!$A$3:$A$502,$A7,견적입력!$B$3:$B$502,"V3")))</f>
        <v/>
      </c>
      <c r="F7" s="10" t="n">
        <f aca="false">IF($A7="","",IF(SUMIFS(견적입력!$F$3:$F$502,견적입력!$A$3:$A$502,$A7,견적입력!$B$3:$B$502,"V4")=0,"",SUMIFS(견적입력!$F$3:$F$502,견적입력!$A$3:$A$502,$A7,견적입력!$B$3:$B$502,"V4")))</f>
        <v>89000</v>
      </c>
      <c r="G7" s="10" t="n">
        <f aca="false">IF($A7="","",IFERROR(_xlfn.MINIFS(견적입력!$F$3:$F$502,견적입력!$A$3:$A$502,$A7),""))</f>
        <v>89000</v>
      </c>
      <c r="H7" s="8" t="str">
        <f aca="false">IF($A7="","",IFERROR(INDEX(견적입력!$D$3:$D$502,MATCH($A7,견적입력!$I$3:$I$502,0)),""))</f>
        <v>그린오피스</v>
      </c>
    </row>
    <row r="8" customFormat="false" ht="15" hidden="false" customHeight="false" outlineLevel="0" collapsed="false">
      <c r="A8" s="8" t="str">
        <f aca="false">IF(품목목록!$A8="","",품목목록!$A8)</f>
        <v/>
      </c>
      <c r="B8" s="8" t="str">
        <f aca="false">IF($A8="","",품목목록!$B8)</f>
        <v/>
      </c>
      <c r="C8" s="10" t="str">
        <f aca="false">IF($A8="","",IF(SUMIFS(견적입력!$F$3:$F$502,견적입력!$A$3:$A$502,$A8,견적입력!$B$3:$B$502,"V1")=0,"",SUMIFS(견적입력!$F$3:$F$502,견적입력!$A$3:$A$502,$A8,견적입력!$B$3:$B$502,"V1")))</f>
        <v/>
      </c>
      <c r="D8" s="10" t="str">
        <f aca="false">IF($A8="","",IF(SUMIFS(견적입력!$F$3:$F$502,견적입력!$A$3:$A$502,$A8,견적입력!$B$3:$B$502,"V2")=0,"",SUMIFS(견적입력!$F$3:$F$502,견적입력!$A$3:$A$502,$A8,견적입력!$B$3:$B$502,"V2")))</f>
        <v/>
      </c>
      <c r="E8" s="10" t="str">
        <f aca="false">IF($A8="","",IF(SUMIFS(견적입력!$F$3:$F$502,견적입력!$A$3:$A$502,$A8,견적입력!$B$3:$B$502,"V3")=0,"",SUMIFS(견적입력!$F$3:$F$502,견적입력!$A$3:$A$502,$A8,견적입력!$B$3:$B$502,"V3")))</f>
        <v/>
      </c>
      <c r="F8" s="10" t="str">
        <f aca="false">IF($A8="","",IF(SUMIFS(견적입력!$F$3:$F$502,견적입력!$A$3:$A$502,$A8,견적입력!$B$3:$B$502,"V4")=0,"",SUMIFS(견적입력!$F$3:$F$502,견적입력!$A$3:$A$502,$A8,견적입력!$B$3:$B$502,"V4")))</f>
        <v/>
      </c>
      <c r="G8" s="10" t="str">
        <f aca="false">IF($A8="","",IFERROR(_xlfn.MINIFS(견적입력!$F$3:$F$502,견적입력!$A$3:$A$502,$A8),""))</f>
        <v/>
      </c>
      <c r="H8" s="8" t="str">
        <f aca="false">IF($A8="","",IFERROR(INDEX(견적입력!$D$3:$D$502,MATCH($A8,견적입력!$I$3:$I$502,0)),""))</f>
        <v/>
      </c>
    </row>
    <row r="9" customFormat="false" ht="15" hidden="false" customHeight="false" outlineLevel="0" collapsed="false">
      <c r="A9" s="8" t="str">
        <f aca="false">IF(품목목록!$A9="","",품목목록!$A9)</f>
        <v/>
      </c>
      <c r="B9" s="8" t="str">
        <f aca="false">IF($A9="","",품목목록!$B9)</f>
        <v/>
      </c>
      <c r="C9" s="10" t="str">
        <f aca="false">IF($A9="","",IF(SUMIFS(견적입력!$F$3:$F$502,견적입력!$A$3:$A$502,$A9,견적입력!$B$3:$B$502,"V1")=0,"",SUMIFS(견적입력!$F$3:$F$502,견적입력!$A$3:$A$502,$A9,견적입력!$B$3:$B$502,"V1")))</f>
        <v/>
      </c>
      <c r="D9" s="10" t="str">
        <f aca="false">IF($A9="","",IF(SUMIFS(견적입력!$F$3:$F$502,견적입력!$A$3:$A$502,$A9,견적입력!$B$3:$B$502,"V2")=0,"",SUMIFS(견적입력!$F$3:$F$502,견적입력!$A$3:$A$502,$A9,견적입력!$B$3:$B$502,"V2")))</f>
        <v/>
      </c>
      <c r="E9" s="10" t="str">
        <f aca="false">IF($A9="","",IF(SUMIFS(견적입력!$F$3:$F$502,견적입력!$A$3:$A$502,$A9,견적입력!$B$3:$B$502,"V3")=0,"",SUMIFS(견적입력!$F$3:$F$502,견적입력!$A$3:$A$502,$A9,견적입력!$B$3:$B$502,"V3")))</f>
        <v/>
      </c>
      <c r="F9" s="10" t="str">
        <f aca="false">IF($A9="","",IF(SUMIFS(견적입력!$F$3:$F$502,견적입력!$A$3:$A$502,$A9,견적입력!$B$3:$B$502,"V4")=0,"",SUMIFS(견적입력!$F$3:$F$502,견적입력!$A$3:$A$502,$A9,견적입력!$B$3:$B$502,"V4")))</f>
        <v/>
      </c>
      <c r="G9" s="10" t="str">
        <f aca="false">IF($A9="","",IFERROR(_xlfn.MINIFS(견적입력!$F$3:$F$502,견적입력!$A$3:$A$502,$A9),""))</f>
        <v/>
      </c>
      <c r="H9" s="8" t="str">
        <f aca="false">IF($A9="","",IFERROR(INDEX(견적입력!$D$3:$D$502,MATCH($A9,견적입력!$I$3:$I$502,0)),""))</f>
        <v/>
      </c>
    </row>
    <row r="10" customFormat="false" ht="15" hidden="false" customHeight="false" outlineLevel="0" collapsed="false">
      <c r="A10" s="8" t="str">
        <f aca="false">IF(품목목록!$A10="","",품목목록!$A10)</f>
        <v/>
      </c>
      <c r="B10" s="8" t="str">
        <f aca="false">IF($A10="","",품목목록!$B10)</f>
        <v/>
      </c>
      <c r="C10" s="10" t="str">
        <f aca="false">IF($A10="","",IF(SUMIFS(견적입력!$F$3:$F$502,견적입력!$A$3:$A$502,$A10,견적입력!$B$3:$B$502,"V1")=0,"",SUMIFS(견적입력!$F$3:$F$502,견적입력!$A$3:$A$502,$A10,견적입력!$B$3:$B$502,"V1")))</f>
        <v/>
      </c>
      <c r="D10" s="10" t="str">
        <f aca="false">IF($A10="","",IF(SUMIFS(견적입력!$F$3:$F$502,견적입력!$A$3:$A$502,$A10,견적입력!$B$3:$B$502,"V2")=0,"",SUMIFS(견적입력!$F$3:$F$502,견적입력!$A$3:$A$502,$A10,견적입력!$B$3:$B$502,"V2")))</f>
        <v/>
      </c>
      <c r="E10" s="10" t="str">
        <f aca="false">IF($A10="","",IF(SUMIFS(견적입력!$F$3:$F$502,견적입력!$A$3:$A$502,$A10,견적입력!$B$3:$B$502,"V3")=0,"",SUMIFS(견적입력!$F$3:$F$502,견적입력!$A$3:$A$502,$A10,견적입력!$B$3:$B$502,"V3")))</f>
        <v/>
      </c>
      <c r="F10" s="10" t="str">
        <f aca="false">IF($A10="","",IF(SUMIFS(견적입력!$F$3:$F$502,견적입력!$A$3:$A$502,$A10,견적입력!$B$3:$B$502,"V4")=0,"",SUMIFS(견적입력!$F$3:$F$502,견적입력!$A$3:$A$502,$A10,견적입력!$B$3:$B$502,"V4")))</f>
        <v/>
      </c>
      <c r="G10" s="10" t="str">
        <f aca="false">IF($A10="","",IFERROR(_xlfn.MINIFS(견적입력!$F$3:$F$502,견적입력!$A$3:$A$502,$A10),""))</f>
        <v/>
      </c>
      <c r="H10" s="8" t="str">
        <f aca="false">IF($A10="","",IFERROR(INDEX(견적입력!$D$3:$D$502,MATCH($A10,견적입력!$I$3:$I$502,0)),""))</f>
        <v/>
      </c>
    </row>
    <row r="11" customFormat="false" ht="15" hidden="false" customHeight="false" outlineLevel="0" collapsed="false">
      <c r="A11" s="8" t="str">
        <f aca="false">IF(품목목록!$A11="","",품목목록!$A11)</f>
        <v/>
      </c>
      <c r="B11" s="8" t="str">
        <f aca="false">IF($A11="","",품목목록!$B11)</f>
        <v/>
      </c>
      <c r="C11" s="10" t="str">
        <f aca="false">IF($A11="","",IF(SUMIFS(견적입력!$F$3:$F$502,견적입력!$A$3:$A$502,$A11,견적입력!$B$3:$B$502,"V1")=0,"",SUMIFS(견적입력!$F$3:$F$502,견적입력!$A$3:$A$502,$A11,견적입력!$B$3:$B$502,"V1")))</f>
        <v/>
      </c>
      <c r="D11" s="10" t="str">
        <f aca="false">IF($A11="","",IF(SUMIFS(견적입력!$F$3:$F$502,견적입력!$A$3:$A$502,$A11,견적입력!$B$3:$B$502,"V2")=0,"",SUMIFS(견적입력!$F$3:$F$502,견적입력!$A$3:$A$502,$A11,견적입력!$B$3:$B$502,"V2")))</f>
        <v/>
      </c>
      <c r="E11" s="10" t="str">
        <f aca="false">IF($A11="","",IF(SUMIFS(견적입력!$F$3:$F$502,견적입력!$A$3:$A$502,$A11,견적입력!$B$3:$B$502,"V3")=0,"",SUMIFS(견적입력!$F$3:$F$502,견적입력!$A$3:$A$502,$A11,견적입력!$B$3:$B$502,"V3")))</f>
        <v/>
      </c>
      <c r="F11" s="10" t="str">
        <f aca="false">IF($A11="","",IF(SUMIFS(견적입력!$F$3:$F$502,견적입력!$A$3:$A$502,$A11,견적입력!$B$3:$B$502,"V4")=0,"",SUMIFS(견적입력!$F$3:$F$502,견적입력!$A$3:$A$502,$A11,견적입력!$B$3:$B$502,"V4")))</f>
        <v/>
      </c>
      <c r="G11" s="10" t="str">
        <f aca="false">IF($A11="","",IFERROR(_xlfn.MINIFS(견적입력!$F$3:$F$502,견적입력!$A$3:$A$502,$A11),""))</f>
        <v/>
      </c>
      <c r="H11" s="8" t="str">
        <f aca="false">IF($A11="","",IFERROR(INDEX(견적입력!$D$3:$D$502,MATCH($A11,견적입력!$I$3:$I$502,0)),""))</f>
        <v/>
      </c>
    </row>
    <row r="12" customFormat="false" ht="15" hidden="false" customHeight="false" outlineLevel="0" collapsed="false">
      <c r="A12" s="8" t="str">
        <f aca="false">IF(품목목록!$A12="","",품목목록!$A12)</f>
        <v/>
      </c>
      <c r="B12" s="8" t="str">
        <f aca="false">IF($A12="","",품목목록!$B12)</f>
        <v/>
      </c>
      <c r="C12" s="10" t="str">
        <f aca="false">IF($A12="","",IF(SUMIFS(견적입력!$F$3:$F$502,견적입력!$A$3:$A$502,$A12,견적입력!$B$3:$B$502,"V1")=0,"",SUMIFS(견적입력!$F$3:$F$502,견적입력!$A$3:$A$502,$A12,견적입력!$B$3:$B$502,"V1")))</f>
        <v/>
      </c>
      <c r="D12" s="10" t="str">
        <f aca="false">IF($A12="","",IF(SUMIFS(견적입력!$F$3:$F$502,견적입력!$A$3:$A$502,$A12,견적입력!$B$3:$B$502,"V2")=0,"",SUMIFS(견적입력!$F$3:$F$502,견적입력!$A$3:$A$502,$A12,견적입력!$B$3:$B$502,"V2")))</f>
        <v/>
      </c>
      <c r="E12" s="10" t="str">
        <f aca="false">IF($A12="","",IF(SUMIFS(견적입력!$F$3:$F$502,견적입력!$A$3:$A$502,$A12,견적입력!$B$3:$B$502,"V3")=0,"",SUMIFS(견적입력!$F$3:$F$502,견적입력!$A$3:$A$502,$A12,견적입력!$B$3:$B$502,"V3")))</f>
        <v/>
      </c>
      <c r="F12" s="10" t="str">
        <f aca="false">IF($A12="","",IF(SUMIFS(견적입력!$F$3:$F$502,견적입력!$A$3:$A$502,$A12,견적입력!$B$3:$B$502,"V4")=0,"",SUMIFS(견적입력!$F$3:$F$502,견적입력!$A$3:$A$502,$A12,견적입력!$B$3:$B$502,"V4")))</f>
        <v/>
      </c>
      <c r="G12" s="10" t="str">
        <f aca="false">IF($A12="","",IFERROR(_xlfn.MINIFS(견적입력!$F$3:$F$502,견적입력!$A$3:$A$502,$A12),""))</f>
        <v/>
      </c>
      <c r="H12" s="8" t="str">
        <f aca="false">IF($A12="","",IFERROR(INDEX(견적입력!$D$3:$D$502,MATCH($A12,견적입력!$I$3:$I$502,0)),""))</f>
        <v/>
      </c>
    </row>
    <row r="13" customFormat="false" ht="15" hidden="false" customHeight="false" outlineLevel="0" collapsed="false">
      <c r="A13" s="8" t="str">
        <f aca="false">IF(품목목록!$A13="","",품목목록!$A13)</f>
        <v/>
      </c>
      <c r="B13" s="8" t="str">
        <f aca="false">IF($A13="","",품목목록!$B13)</f>
        <v/>
      </c>
      <c r="C13" s="10" t="str">
        <f aca="false">IF($A13="","",IF(SUMIFS(견적입력!$F$3:$F$502,견적입력!$A$3:$A$502,$A13,견적입력!$B$3:$B$502,"V1")=0,"",SUMIFS(견적입력!$F$3:$F$502,견적입력!$A$3:$A$502,$A13,견적입력!$B$3:$B$502,"V1")))</f>
        <v/>
      </c>
      <c r="D13" s="10" t="str">
        <f aca="false">IF($A13="","",IF(SUMIFS(견적입력!$F$3:$F$502,견적입력!$A$3:$A$502,$A13,견적입력!$B$3:$B$502,"V2")=0,"",SUMIFS(견적입력!$F$3:$F$502,견적입력!$A$3:$A$502,$A13,견적입력!$B$3:$B$502,"V2")))</f>
        <v/>
      </c>
      <c r="E13" s="10" t="str">
        <f aca="false">IF($A13="","",IF(SUMIFS(견적입력!$F$3:$F$502,견적입력!$A$3:$A$502,$A13,견적입력!$B$3:$B$502,"V3")=0,"",SUMIFS(견적입력!$F$3:$F$502,견적입력!$A$3:$A$502,$A13,견적입력!$B$3:$B$502,"V3")))</f>
        <v/>
      </c>
      <c r="F13" s="10" t="str">
        <f aca="false">IF($A13="","",IF(SUMIFS(견적입력!$F$3:$F$502,견적입력!$A$3:$A$502,$A13,견적입력!$B$3:$B$502,"V4")=0,"",SUMIFS(견적입력!$F$3:$F$502,견적입력!$A$3:$A$502,$A13,견적입력!$B$3:$B$502,"V4")))</f>
        <v/>
      </c>
      <c r="G13" s="10" t="str">
        <f aca="false">IF($A13="","",IFERROR(_xlfn.MINIFS(견적입력!$F$3:$F$502,견적입력!$A$3:$A$502,$A13),""))</f>
        <v/>
      </c>
      <c r="H13" s="8" t="str">
        <f aca="false">IF($A13="","",IFERROR(INDEX(견적입력!$D$3:$D$502,MATCH($A13,견적입력!$I$3:$I$502,0)),""))</f>
        <v/>
      </c>
    </row>
    <row r="14" customFormat="false" ht="15" hidden="false" customHeight="false" outlineLevel="0" collapsed="false">
      <c r="A14" s="8" t="str">
        <f aca="false">IF(품목목록!$A14="","",품목목록!$A14)</f>
        <v/>
      </c>
      <c r="B14" s="8" t="str">
        <f aca="false">IF($A14="","",품목목록!$B14)</f>
        <v/>
      </c>
      <c r="C14" s="10" t="str">
        <f aca="false">IF($A14="","",IF(SUMIFS(견적입력!$F$3:$F$502,견적입력!$A$3:$A$502,$A14,견적입력!$B$3:$B$502,"V1")=0,"",SUMIFS(견적입력!$F$3:$F$502,견적입력!$A$3:$A$502,$A14,견적입력!$B$3:$B$502,"V1")))</f>
        <v/>
      </c>
      <c r="D14" s="10" t="str">
        <f aca="false">IF($A14="","",IF(SUMIFS(견적입력!$F$3:$F$502,견적입력!$A$3:$A$502,$A14,견적입력!$B$3:$B$502,"V2")=0,"",SUMIFS(견적입력!$F$3:$F$502,견적입력!$A$3:$A$502,$A14,견적입력!$B$3:$B$502,"V2")))</f>
        <v/>
      </c>
      <c r="E14" s="10" t="str">
        <f aca="false">IF($A14="","",IF(SUMIFS(견적입력!$F$3:$F$502,견적입력!$A$3:$A$502,$A14,견적입력!$B$3:$B$502,"V3")=0,"",SUMIFS(견적입력!$F$3:$F$502,견적입력!$A$3:$A$502,$A14,견적입력!$B$3:$B$502,"V3")))</f>
        <v/>
      </c>
      <c r="F14" s="10" t="str">
        <f aca="false">IF($A14="","",IF(SUMIFS(견적입력!$F$3:$F$502,견적입력!$A$3:$A$502,$A14,견적입력!$B$3:$B$502,"V4")=0,"",SUMIFS(견적입력!$F$3:$F$502,견적입력!$A$3:$A$502,$A14,견적입력!$B$3:$B$502,"V4")))</f>
        <v/>
      </c>
      <c r="G14" s="10" t="str">
        <f aca="false">IF($A14="","",IFERROR(_xlfn.MINIFS(견적입력!$F$3:$F$502,견적입력!$A$3:$A$502,$A14),""))</f>
        <v/>
      </c>
      <c r="H14" s="8" t="str">
        <f aca="false">IF($A14="","",IFERROR(INDEX(견적입력!$D$3:$D$502,MATCH($A14,견적입력!$I$3:$I$502,0)),""))</f>
        <v/>
      </c>
    </row>
    <row r="15" customFormat="false" ht="15" hidden="false" customHeight="false" outlineLevel="0" collapsed="false">
      <c r="A15" s="8" t="str">
        <f aca="false">IF(품목목록!$A15="","",품목목록!$A15)</f>
        <v/>
      </c>
      <c r="B15" s="8" t="str">
        <f aca="false">IF($A15="","",품목목록!$B15)</f>
        <v/>
      </c>
      <c r="C15" s="10" t="str">
        <f aca="false">IF($A15="","",IF(SUMIFS(견적입력!$F$3:$F$502,견적입력!$A$3:$A$502,$A15,견적입력!$B$3:$B$502,"V1")=0,"",SUMIFS(견적입력!$F$3:$F$502,견적입력!$A$3:$A$502,$A15,견적입력!$B$3:$B$502,"V1")))</f>
        <v/>
      </c>
      <c r="D15" s="10" t="str">
        <f aca="false">IF($A15="","",IF(SUMIFS(견적입력!$F$3:$F$502,견적입력!$A$3:$A$502,$A15,견적입력!$B$3:$B$502,"V2")=0,"",SUMIFS(견적입력!$F$3:$F$502,견적입력!$A$3:$A$502,$A15,견적입력!$B$3:$B$502,"V2")))</f>
        <v/>
      </c>
      <c r="E15" s="10" t="str">
        <f aca="false">IF($A15="","",IF(SUMIFS(견적입력!$F$3:$F$502,견적입력!$A$3:$A$502,$A15,견적입력!$B$3:$B$502,"V3")=0,"",SUMIFS(견적입력!$F$3:$F$502,견적입력!$A$3:$A$502,$A15,견적입력!$B$3:$B$502,"V3")))</f>
        <v/>
      </c>
      <c r="F15" s="10" t="str">
        <f aca="false">IF($A15="","",IF(SUMIFS(견적입력!$F$3:$F$502,견적입력!$A$3:$A$502,$A15,견적입력!$B$3:$B$502,"V4")=0,"",SUMIFS(견적입력!$F$3:$F$502,견적입력!$A$3:$A$502,$A15,견적입력!$B$3:$B$502,"V4")))</f>
        <v/>
      </c>
      <c r="G15" s="10" t="str">
        <f aca="false">IF($A15="","",IFERROR(_xlfn.MINIFS(견적입력!$F$3:$F$502,견적입력!$A$3:$A$502,$A15),""))</f>
        <v/>
      </c>
      <c r="H15" s="8" t="str">
        <f aca="false">IF($A15="","",IFERROR(INDEX(견적입력!$D$3:$D$502,MATCH($A15,견적입력!$I$3:$I$502,0)),""))</f>
        <v/>
      </c>
    </row>
    <row r="16" customFormat="false" ht="15" hidden="false" customHeight="false" outlineLevel="0" collapsed="false">
      <c r="A16" s="8" t="str">
        <f aca="false">IF(품목목록!$A16="","",품목목록!$A16)</f>
        <v/>
      </c>
      <c r="B16" s="8" t="str">
        <f aca="false">IF($A16="","",품목목록!$B16)</f>
        <v/>
      </c>
      <c r="C16" s="10" t="str">
        <f aca="false">IF($A16="","",IF(SUMIFS(견적입력!$F$3:$F$502,견적입력!$A$3:$A$502,$A16,견적입력!$B$3:$B$502,"V1")=0,"",SUMIFS(견적입력!$F$3:$F$502,견적입력!$A$3:$A$502,$A16,견적입력!$B$3:$B$502,"V1")))</f>
        <v/>
      </c>
      <c r="D16" s="10" t="str">
        <f aca="false">IF($A16="","",IF(SUMIFS(견적입력!$F$3:$F$502,견적입력!$A$3:$A$502,$A16,견적입력!$B$3:$B$502,"V2")=0,"",SUMIFS(견적입력!$F$3:$F$502,견적입력!$A$3:$A$502,$A16,견적입력!$B$3:$B$502,"V2")))</f>
        <v/>
      </c>
      <c r="E16" s="10" t="str">
        <f aca="false">IF($A16="","",IF(SUMIFS(견적입력!$F$3:$F$502,견적입력!$A$3:$A$502,$A16,견적입력!$B$3:$B$502,"V3")=0,"",SUMIFS(견적입력!$F$3:$F$502,견적입력!$A$3:$A$502,$A16,견적입력!$B$3:$B$502,"V3")))</f>
        <v/>
      </c>
      <c r="F16" s="10" t="str">
        <f aca="false">IF($A16="","",IF(SUMIFS(견적입력!$F$3:$F$502,견적입력!$A$3:$A$502,$A16,견적입력!$B$3:$B$502,"V4")=0,"",SUMIFS(견적입력!$F$3:$F$502,견적입력!$A$3:$A$502,$A16,견적입력!$B$3:$B$502,"V4")))</f>
        <v/>
      </c>
      <c r="G16" s="10" t="str">
        <f aca="false">IF($A16="","",IFERROR(_xlfn.MINIFS(견적입력!$F$3:$F$502,견적입력!$A$3:$A$502,$A16),""))</f>
        <v/>
      </c>
      <c r="H16" s="8" t="str">
        <f aca="false">IF($A16="","",IFERROR(INDEX(견적입력!$D$3:$D$502,MATCH($A16,견적입력!$I$3:$I$502,0)),""))</f>
        <v/>
      </c>
    </row>
    <row r="17" customFormat="false" ht="15" hidden="false" customHeight="false" outlineLevel="0" collapsed="false">
      <c r="A17" s="8" t="str">
        <f aca="false">IF(품목목록!$A17="","",품목목록!$A17)</f>
        <v/>
      </c>
      <c r="B17" s="8" t="str">
        <f aca="false">IF($A17="","",품목목록!$B17)</f>
        <v/>
      </c>
      <c r="C17" s="10" t="str">
        <f aca="false">IF($A17="","",IF(SUMIFS(견적입력!$F$3:$F$502,견적입력!$A$3:$A$502,$A17,견적입력!$B$3:$B$502,"V1")=0,"",SUMIFS(견적입력!$F$3:$F$502,견적입력!$A$3:$A$502,$A17,견적입력!$B$3:$B$502,"V1")))</f>
        <v/>
      </c>
      <c r="D17" s="10" t="str">
        <f aca="false">IF($A17="","",IF(SUMIFS(견적입력!$F$3:$F$502,견적입력!$A$3:$A$502,$A17,견적입력!$B$3:$B$502,"V2")=0,"",SUMIFS(견적입력!$F$3:$F$502,견적입력!$A$3:$A$502,$A17,견적입력!$B$3:$B$502,"V2")))</f>
        <v/>
      </c>
      <c r="E17" s="10" t="str">
        <f aca="false">IF($A17="","",IF(SUMIFS(견적입력!$F$3:$F$502,견적입력!$A$3:$A$502,$A17,견적입력!$B$3:$B$502,"V3")=0,"",SUMIFS(견적입력!$F$3:$F$502,견적입력!$A$3:$A$502,$A17,견적입력!$B$3:$B$502,"V3")))</f>
        <v/>
      </c>
      <c r="F17" s="10" t="str">
        <f aca="false">IF($A17="","",IF(SUMIFS(견적입력!$F$3:$F$502,견적입력!$A$3:$A$502,$A17,견적입력!$B$3:$B$502,"V4")=0,"",SUMIFS(견적입력!$F$3:$F$502,견적입력!$A$3:$A$502,$A17,견적입력!$B$3:$B$502,"V4")))</f>
        <v/>
      </c>
      <c r="G17" s="10" t="str">
        <f aca="false">IF($A17="","",IFERROR(_xlfn.MINIFS(견적입력!$F$3:$F$502,견적입력!$A$3:$A$502,$A17),""))</f>
        <v/>
      </c>
      <c r="H17" s="8" t="str">
        <f aca="false">IF($A17="","",IFERROR(INDEX(견적입력!$D$3:$D$502,MATCH($A17,견적입력!$I$3:$I$502,0)),""))</f>
        <v/>
      </c>
    </row>
    <row r="18" customFormat="false" ht="15" hidden="false" customHeight="false" outlineLevel="0" collapsed="false">
      <c r="A18" s="8" t="str">
        <f aca="false">IF(품목목록!$A18="","",품목목록!$A18)</f>
        <v/>
      </c>
      <c r="B18" s="8" t="str">
        <f aca="false">IF($A18="","",품목목록!$B18)</f>
        <v/>
      </c>
      <c r="C18" s="10" t="str">
        <f aca="false">IF($A18="","",IF(SUMIFS(견적입력!$F$3:$F$502,견적입력!$A$3:$A$502,$A18,견적입력!$B$3:$B$502,"V1")=0,"",SUMIFS(견적입력!$F$3:$F$502,견적입력!$A$3:$A$502,$A18,견적입력!$B$3:$B$502,"V1")))</f>
        <v/>
      </c>
      <c r="D18" s="10" t="str">
        <f aca="false">IF($A18="","",IF(SUMIFS(견적입력!$F$3:$F$502,견적입력!$A$3:$A$502,$A18,견적입력!$B$3:$B$502,"V2")=0,"",SUMIFS(견적입력!$F$3:$F$502,견적입력!$A$3:$A$502,$A18,견적입력!$B$3:$B$502,"V2")))</f>
        <v/>
      </c>
      <c r="E18" s="10" t="str">
        <f aca="false">IF($A18="","",IF(SUMIFS(견적입력!$F$3:$F$502,견적입력!$A$3:$A$502,$A18,견적입력!$B$3:$B$502,"V3")=0,"",SUMIFS(견적입력!$F$3:$F$502,견적입력!$A$3:$A$502,$A18,견적입력!$B$3:$B$502,"V3")))</f>
        <v/>
      </c>
      <c r="F18" s="10" t="str">
        <f aca="false">IF($A18="","",IF(SUMIFS(견적입력!$F$3:$F$502,견적입력!$A$3:$A$502,$A18,견적입력!$B$3:$B$502,"V4")=0,"",SUMIFS(견적입력!$F$3:$F$502,견적입력!$A$3:$A$502,$A18,견적입력!$B$3:$B$502,"V4")))</f>
        <v/>
      </c>
      <c r="G18" s="10" t="str">
        <f aca="false">IF($A18="","",IFERROR(_xlfn.MINIFS(견적입력!$F$3:$F$502,견적입력!$A$3:$A$502,$A18),""))</f>
        <v/>
      </c>
      <c r="H18" s="8" t="str">
        <f aca="false">IF($A18="","",IFERROR(INDEX(견적입력!$D$3:$D$502,MATCH($A18,견적입력!$I$3:$I$502,0)),""))</f>
        <v/>
      </c>
    </row>
    <row r="19" customFormat="false" ht="15" hidden="false" customHeight="false" outlineLevel="0" collapsed="false">
      <c r="A19" s="8" t="str">
        <f aca="false">IF(품목목록!$A19="","",품목목록!$A19)</f>
        <v/>
      </c>
      <c r="B19" s="8" t="str">
        <f aca="false">IF($A19="","",품목목록!$B19)</f>
        <v/>
      </c>
      <c r="C19" s="10" t="str">
        <f aca="false">IF($A19="","",IF(SUMIFS(견적입력!$F$3:$F$502,견적입력!$A$3:$A$502,$A19,견적입력!$B$3:$B$502,"V1")=0,"",SUMIFS(견적입력!$F$3:$F$502,견적입력!$A$3:$A$502,$A19,견적입력!$B$3:$B$502,"V1")))</f>
        <v/>
      </c>
      <c r="D19" s="10" t="str">
        <f aca="false">IF($A19="","",IF(SUMIFS(견적입력!$F$3:$F$502,견적입력!$A$3:$A$502,$A19,견적입력!$B$3:$B$502,"V2")=0,"",SUMIFS(견적입력!$F$3:$F$502,견적입력!$A$3:$A$502,$A19,견적입력!$B$3:$B$502,"V2")))</f>
        <v/>
      </c>
      <c r="E19" s="10" t="str">
        <f aca="false">IF($A19="","",IF(SUMIFS(견적입력!$F$3:$F$502,견적입력!$A$3:$A$502,$A19,견적입력!$B$3:$B$502,"V3")=0,"",SUMIFS(견적입력!$F$3:$F$502,견적입력!$A$3:$A$502,$A19,견적입력!$B$3:$B$502,"V3")))</f>
        <v/>
      </c>
      <c r="F19" s="10" t="str">
        <f aca="false">IF($A19="","",IF(SUMIFS(견적입력!$F$3:$F$502,견적입력!$A$3:$A$502,$A19,견적입력!$B$3:$B$502,"V4")=0,"",SUMIFS(견적입력!$F$3:$F$502,견적입력!$A$3:$A$502,$A19,견적입력!$B$3:$B$502,"V4")))</f>
        <v/>
      </c>
      <c r="G19" s="10" t="str">
        <f aca="false">IF($A19="","",IFERROR(_xlfn.MINIFS(견적입력!$F$3:$F$502,견적입력!$A$3:$A$502,$A19),""))</f>
        <v/>
      </c>
      <c r="H19" s="8" t="str">
        <f aca="false">IF($A19="","",IFERROR(INDEX(견적입력!$D$3:$D$502,MATCH($A19,견적입력!$I$3:$I$502,0)),""))</f>
        <v/>
      </c>
    </row>
    <row r="20" customFormat="false" ht="15" hidden="false" customHeight="false" outlineLevel="0" collapsed="false">
      <c r="A20" s="8" t="str">
        <f aca="false">IF(품목목록!$A20="","",품목목록!$A20)</f>
        <v/>
      </c>
      <c r="B20" s="8" t="str">
        <f aca="false">IF($A20="","",품목목록!$B20)</f>
        <v/>
      </c>
      <c r="C20" s="10" t="str">
        <f aca="false">IF($A20="","",IF(SUMIFS(견적입력!$F$3:$F$502,견적입력!$A$3:$A$502,$A20,견적입력!$B$3:$B$502,"V1")=0,"",SUMIFS(견적입력!$F$3:$F$502,견적입력!$A$3:$A$502,$A20,견적입력!$B$3:$B$502,"V1")))</f>
        <v/>
      </c>
      <c r="D20" s="10" t="str">
        <f aca="false">IF($A20="","",IF(SUMIFS(견적입력!$F$3:$F$502,견적입력!$A$3:$A$502,$A20,견적입력!$B$3:$B$502,"V2")=0,"",SUMIFS(견적입력!$F$3:$F$502,견적입력!$A$3:$A$502,$A20,견적입력!$B$3:$B$502,"V2")))</f>
        <v/>
      </c>
      <c r="E20" s="10" t="str">
        <f aca="false">IF($A20="","",IF(SUMIFS(견적입력!$F$3:$F$502,견적입력!$A$3:$A$502,$A20,견적입력!$B$3:$B$502,"V3")=0,"",SUMIFS(견적입력!$F$3:$F$502,견적입력!$A$3:$A$502,$A20,견적입력!$B$3:$B$502,"V3")))</f>
        <v/>
      </c>
      <c r="F20" s="10" t="str">
        <f aca="false">IF($A20="","",IF(SUMIFS(견적입력!$F$3:$F$502,견적입력!$A$3:$A$502,$A20,견적입력!$B$3:$B$502,"V4")=0,"",SUMIFS(견적입력!$F$3:$F$502,견적입력!$A$3:$A$502,$A20,견적입력!$B$3:$B$502,"V4")))</f>
        <v/>
      </c>
      <c r="G20" s="10" t="str">
        <f aca="false">IF($A20="","",IFERROR(_xlfn.MINIFS(견적입력!$F$3:$F$502,견적입력!$A$3:$A$502,$A20),""))</f>
        <v/>
      </c>
      <c r="H20" s="8" t="str">
        <f aca="false">IF($A20="","",IFERROR(INDEX(견적입력!$D$3:$D$502,MATCH($A20,견적입력!$I$3:$I$502,0)),""))</f>
        <v/>
      </c>
    </row>
    <row r="21" customFormat="false" ht="15" hidden="false" customHeight="false" outlineLevel="0" collapsed="false">
      <c r="A21" s="8" t="str">
        <f aca="false">IF(품목목록!$A21="","",품목목록!$A21)</f>
        <v/>
      </c>
      <c r="B21" s="8" t="str">
        <f aca="false">IF($A21="","",품목목록!$B21)</f>
        <v/>
      </c>
      <c r="C21" s="10" t="str">
        <f aca="false">IF($A21="","",IF(SUMIFS(견적입력!$F$3:$F$502,견적입력!$A$3:$A$502,$A21,견적입력!$B$3:$B$502,"V1")=0,"",SUMIFS(견적입력!$F$3:$F$502,견적입력!$A$3:$A$502,$A21,견적입력!$B$3:$B$502,"V1")))</f>
        <v/>
      </c>
      <c r="D21" s="10" t="str">
        <f aca="false">IF($A21="","",IF(SUMIFS(견적입력!$F$3:$F$502,견적입력!$A$3:$A$502,$A21,견적입력!$B$3:$B$502,"V2")=0,"",SUMIFS(견적입력!$F$3:$F$502,견적입력!$A$3:$A$502,$A21,견적입력!$B$3:$B$502,"V2")))</f>
        <v/>
      </c>
      <c r="E21" s="10" t="str">
        <f aca="false">IF($A21="","",IF(SUMIFS(견적입력!$F$3:$F$502,견적입력!$A$3:$A$502,$A21,견적입력!$B$3:$B$502,"V3")=0,"",SUMIFS(견적입력!$F$3:$F$502,견적입력!$A$3:$A$502,$A21,견적입력!$B$3:$B$502,"V3")))</f>
        <v/>
      </c>
      <c r="F21" s="10" t="str">
        <f aca="false">IF($A21="","",IF(SUMIFS(견적입력!$F$3:$F$502,견적입력!$A$3:$A$502,$A21,견적입력!$B$3:$B$502,"V4")=0,"",SUMIFS(견적입력!$F$3:$F$502,견적입력!$A$3:$A$502,$A21,견적입력!$B$3:$B$502,"V4")))</f>
        <v/>
      </c>
      <c r="G21" s="10" t="str">
        <f aca="false">IF($A21="","",IFERROR(_xlfn.MINIFS(견적입력!$F$3:$F$502,견적입력!$A$3:$A$502,$A21),""))</f>
        <v/>
      </c>
      <c r="H21" s="8" t="str">
        <f aca="false">IF($A21="","",IFERROR(INDEX(견적입력!$D$3:$D$502,MATCH($A21,견적입력!$I$3:$I$502,0)),""))</f>
        <v/>
      </c>
    </row>
    <row r="22" customFormat="false" ht="15" hidden="false" customHeight="false" outlineLevel="0" collapsed="false">
      <c r="A22" s="8" t="str">
        <f aca="false">IF(품목목록!$A22="","",품목목록!$A22)</f>
        <v/>
      </c>
      <c r="B22" s="8" t="str">
        <f aca="false">IF($A22="","",품목목록!$B22)</f>
        <v/>
      </c>
      <c r="C22" s="10" t="str">
        <f aca="false">IF($A22="","",IF(SUMIFS(견적입력!$F$3:$F$502,견적입력!$A$3:$A$502,$A22,견적입력!$B$3:$B$502,"V1")=0,"",SUMIFS(견적입력!$F$3:$F$502,견적입력!$A$3:$A$502,$A22,견적입력!$B$3:$B$502,"V1")))</f>
        <v/>
      </c>
      <c r="D22" s="10" t="str">
        <f aca="false">IF($A22="","",IF(SUMIFS(견적입력!$F$3:$F$502,견적입력!$A$3:$A$502,$A22,견적입력!$B$3:$B$502,"V2")=0,"",SUMIFS(견적입력!$F$3:$F$502,견적입력!$A$3:$A$502,$A22,견적입력!$B$3:$B$502,"V2")))</f>
        <v/>
      </c>
      <c r="E22" s="10" t="str">
        <f aca="false">IF($A22="","",IF(SUMIFS(견적입력!$F$3:$F$502,견적입력!$A$3:$A$502,$A22,견적입력!$B$3:$B$502,"V3")=0,"",SUMIFS(견적입력!$F$3:$F$502,견적입력!$A$3:$A$502,$A22,견적입력!$B$3:$B$502,"V3")))</f>
        <v/>
      </c>
      <c r="F22" s="10" t="str">
        <f aca="false">IF($A22="","",IF(SUMIFS(견적입력!$F$3:$F$502,견적입력!$A$3:$A$502,$A22,견적입력!$B$3:$B$502,"V4")=0,"",SUMIFS(견적입력!$F$3:$F$502,견적입력!$A$3:$A$502,$A22,견적입력!$B$3:$B$502,"V4")))</f>
        <v/>
      </c>
      <c r="G22" s="10" t="str">
        <f aca="false">IF($A22="","",IFERROR(_xlfn.MINIFS(견적입력!$F$3:$F$502,견적입력!$A$3:$A$502,$A22),""))</f>
        <v/>
      </c>
      <c r="H22" s="8" t="str">
        <f aca="false">IF($A22="","",IFERROR(INDEX(견적입력!$D$3:$D$502,MATCH($A22,견적입력!$I$3:$I$502,0)),""))</f>
        <v/>
      </c>
    </row>
    <row r="23" customFormat="false" ht="15" hidden="false" customHeight="false" outlineLevel="0" collapsed="false">
      <c r="A23" s="8" t="str">
        <f aca="false">IF(품목목록!$A23="","",품목목록!$A23)</f>
        <v/>
      </c>
      <c r="B23" s="8" t="str">
        <f aca="false">IF($A23="","",품목목록!$B23)</f>
        <v/>
      </c>
      <c r="C23" s="10" t="str">
        <f aca="false">IF($A23="","",IF(SUMIFS(견적입력!$F$3:$F$502,견적입력!$A$3:$A$502,$A23,견적입력!$B$3:$B$502,"V1")=0,"",SUMIFS(견적입력!$F$3:$F$502,견적입력!$A$3:$A$502,$A23,견적입력!$B$3:$B$502,"V1")))</f>
        <v/>
      </c>
      <c r="D23" s="10" t="str">
        <f aca="false">IF($A23="","",IF(SUMIFS(견적입력!$F$3:$F$502,견적입력!$A$3:$A$502,$A23,견적입력!$B$3:$B$502,"V2")=0,"",SUMIFS(견적입력!$F$3:$F$502,견적입력!$A$3:$A$502,$A23,견적입력!$B$3:$B$502,"V2")))</f>
        <v/>
      </c>
      <c r="E23" s="10" t="str">
        <f aca="false">IF($A23="","",IF(SUMIFS(견적입력!$F$3:$F$502,견적입력!$A$3:$A$502,$A23,견적입력!$B$3:$B$502,"V3")=0,"",SUMIFS(견적입력!$F$3:$F$502,견적입력!$A$3:$A$502,$A23,견적입력!$B$3:$B$502,"V3")))</f>
        <v/>
      </c>
      <c r="F23" s="10" t="str">
        <f aca="false">IF($A23="","",IF(SUMIFS(견적입력!$F$3:$F$502,견적입력!$A$3:$A$502,$A23,견적입력!$B$3:$B$502,"V4")=0,"",SUMIFS(견적입력!$F$3:$F$502,견적입력!$A$3:$A$502,$A23,견적입력!$B$3:$B$502,"V4")))</f>
        <v/>
      </c>
      <c r="G23" s="10" t="str">
        <f aca="false">IF($A23="","",IFERROR(_xlfn.MINIFS(견적입력!$F$3:$F$502,견적입력!$A$3:$A$502,$A23),""))</f>
        <v/>
      </c>
      <c r="H23" s="8" t="str">
        <f aca="false">IF($A23="","",IFERROR(INDEX(견적입력!$D$3:$D$502,MATCH($A23,견적입력!$I$3:$I$502,0)),""))</f>
        <v/>
      </c>
    </row>
    <row r="24" customFormat="false" ht="15" hidden="false" customHeight="false" outlineLevel="0" collapsed="false">
      <c r="A24" s="8" t="str">
        <f aca="false">IF(품목목록!$A24="","",품목목록!$A24)</f>
        <v/>
      </c>
      <c r="B24" s="8" t="str">
        <f aca="false">IF($A24="","",품목목록!$B24)</f>
        <v/>
      </c>
      <c r="C24" s="10" t="str">
        <f aca="false">IF($A24="","",IF(SUMIFS(견적입력!$F$3:$F$502,견적입력!$A$3:$A$502,$A24,견적입력!$B$3:$B$502,"V1")=0,"",SUMIFS(견적입력!$F$3:$F$502,견적입력!$A$3:$A$502,$A24,견적입력!$B$3:$B$502,"V1")))</f>
        <v/>
      </c>
      <c r="D24" s="10" t="str">
        <f aca="false">IF($A24="","",IF(SUMIFS(견적입력!$F$3:$F$502,견적입력!$A$3:$A$502,$A24,견적입력!$B$3:$B$502,"V2")=0,"",SUMIFS(견적입력!$F$3:$F$502,견적입력!$A$3:$A$502,$A24,견적입력!$B$3:$B$502,"V2")))</f>
        <v/>
      </c>
      <c r="E24" s="10" t="str">
        <f aca="false">IF($A24="","",IF(SUMIFS(견적입력!$F$3:$F$502,견적입력!$A$3:$A$502,$A24,견적입력!$B$3:$B$502,"V3")=0,"",SUMIFS(견적입력!$F$3:$F$502,견적입력!$A$3:$A$502,$A24,견적입력!$B$3:$B$502,"V3")))</f>
        <v/>
      </c>
      <c r="F24" s="10" t="str">
        <f aca="false">IF($A24="","",IF(SUMIFS(견적입력!$F$3:$F$502,견적입력!$A$3:$A$502,$A24,견적입력!$B$3:$B$502,"V4")=0,"",SUMIFS(견적입력!$F$3:$F$502,견적입력!$A$3:$A$502,$A24,견적입력!$B$3:$B$502,"V4")))</f>
        <v/>
      </c>
      <c r="G24" s="10" t="str">
        <f aca="false">IF($A24="","",IFERROR(_xlfn.MINIFS(견적입력!$F$3:$F$502,견적입력!$A$3:$A$502,$A24),""))</f>
        <v/>
      </c>
      <c r="H24" s="8" t="str">
        <f aca="false">IF($A24="","",IFERROR(INDEX(견적입력!$D$3:$D$502,MATCH($A24,견적입력!$I$3:$I$502,0)),""))</f>
        <v/>
      </c>
    </row>
    <row r="25" customFormat="false" ht="15" hidden="false" customHeight="false" outlineLevel="0" collapsed="false">
      <c r="A25" s="8" t="str">
        <f aca="false">IF(품목목록!$A25="","",품목목록!$A25)</f>
        <v/>
      </c>
      <c r="B25" s="8" t="str">
        <f aca="false">IF($A25="","",품목목록!$B25)</f>
        <v/>
      </c>
      <c r="C25" s="10" t="str">
        <f aca="false">IF($A25="","",IF(SUMIFS(견적입력!$F$3:$F$502,견적입력!$A$3:$A$502,$A25,견적입력!$B$3:$B$502,"V1")=0,"",SUMIFS(견적입력!$F$3:$F$502,견적입력!$A$3:$A$502,$A25,견적입력!$B$3:$B$502,"V1")))</f>
        <v/>
      </c>
      <c r="D25" s="10" t="str">
        <f aca="false">IF($A25="","",IF(SUMIFS(견적입력!$F$3:$F$502,견적입력!$A$3:$A$502,$A25,견적입력!$B$3:$B$502,"V2")=0,"",SUMIFS(견적입력!$F$3:$F$502,견적입력!$A$3:$A$502,$A25,견적입력!$B$3:$B$502,"V2")))</f>
        <v/>
      </c>
      <c r="E25" s="10" t="str">
        <f aca="false">IF($A25="","",IF(SUMIFS(견적입력!$F$3:$F$502,견적입력!$A$3:$A$502,$A25,견적입력!$B$3:$B$502,"V3")=0,"",SUMIFS(견적입력!$F$3:$F$502,견적입력!$A$3:$A$502,$A25,견적입력!$B$3:$B$502,"V3")))</f>
        <v/>
      </c>
      <c r="F25" s="10" t="str">
        <f aca="false">IF($A25="","",IF(SUMIFS(견적입력!$F$3:$F$502,견적입력!$A$3:$A$502,$A25,견적입력!$B$3:$B$502,"V4")=0,"",SUMIFS(견적입력!$F$3:$F$502,견적입력!$A$3:$A$502,$A25,견적입력!$B$3:$B$502,"V4")))</f>
        <v/>
      </c>
      <c r="G25" s="10" t="str">
        <f aca="false">IF($A25="","",IFERROR(_xlfn.MINIFS(견적입력!$F$3:$F$502,견적입력!$A$3:$A$502,$A25),""))</f>
        <v/>
      </c>
      <c r="H25" s="8" t="str">
        <f aca="false">IF($A25="","",IFERROR(INDEX(견적입력!$D$3:$D$502,MATCH($A25,견적입력!$I$3:$I$502,0)),""))</f>
        <v/>
      </c>
    </row>
    <row r="26" customFormat="false" ht="15" hidden="false" customHeight="false" outlineLevel="0" collapsed="false">
      <c r="A26" s="8" t="str">
        <f aca="false">IF(품목목록!$A26="","",품목목록!$A26)</f>
        <v/>
      </c>
      <c r="B26" s="8" t="str">
        <f aca="false">IF($A26="","",품목목록!$B26)</f>
        <v/>
      </c>
      <c r="C26" s="10" t="str">
        <f aca="false">IF($A26="","",IF(SUMIFS(견적입력!$F$3:$F$502,견적입력!$A$3:$A$502,$A26,견적입력!$B$3:$B$502,"V1")=0,"",SUMIFS(견적입력!$F$3:$F$502,견적입력!$A$3:$A$502,$A26,견적입력!$B$3:$B$502,"V1")))</f>
        <v/>
      </c>
      <c r="D26" s="10" t="str">
        <f aca="false">IF($A26="","",IF(SUMIFS(견적입력!$F$3:$F$502,견적입력!$A$3:$A$502,$A26,견적입력!$B$3:$B$502,"V2")=0,"",SUMIFS(견적입력!$F$3:$F$502,견적입력!$A$3:$A$502,$A26,견적입력!$B$3:$B$502,"V2")))</f>
        <v/>
      </c>
      <c r="E26" s="10" t="str">
        <f aca="false">IF($A26="","",IF(SUMIFS(견적입력!$F$3:$F$502,견적입력!$A$3:$A$502,$A26,견적입력!$B$3:$B$502,"V3")=0,"",SUMIFS(견적입력!$F$3:$F$502,견적입력!$A$3:$A$502,$A26,견적입력!$B$3:$B$502,"V3")))</f>
        <v/>
      </c>
      <c r="F26" s="10" t="str">
        <f aca="false">IF($A26="","",IF(SUMIFS(견적입력!$F$3:$F$502,견적입력!$A$3:$A$502,$A26,견적입력!$B$3:$B$502,"V4")=0,"",SUMIFS(견적입력!$F$3:$F$502,견적입력!$A$3:$A$502,$A26,견적입력!$B$3:$B$502,"V4")))</f>
        <v/>
      </c>
      <c r="G26" s="10" t="str">
        <f aca="false">IF($A26="","",IFERROR(_xlfn.MINIFS(견적입력!$F$3:$F$502,견적입력!$A$3:$A$502,$A26),""))</f>
        <v/>
      </c>
      <c r="H26" s="8" t="str">
        <f aca="false">IF($A26="","",IFERROR(INDEX(견적입력!$D$3:$D$502,MATCH($A26,견적입력!$I$3:$I$502,0)),""))</f>
        <v/>
      </c>
    </row>
    <row r="27" customFormat="false" ht="15" hidden="false" customHeight="false" outlineLevel="0" collapsed="false">
      <c r="A27" s="8" t="str">
        <f aca="false">IF(품목목록!$A27="","",품목목록!$A27)</f>
        <v/>
      </c>
      <c r="B27" s="8" t="str">
        <f aca="false">IF($A27="","",품목목록!$B27)</f>
        <v/>
      </c>
      <c r="C27" s="10" t="str">
        <f aca="false">IF($A27="","",IF(SUMIFS(견적입력!$F$3:$F$502,견적입력!$A$3:$A$502,$A27,견적입력!$B$3:$B$502,"V1")=0,"",SUMIFS(견적입력!$F$3:$F$502,견적입력!$A$3:$A$502,$A27,견적입력!$B$3:$B$502,"V1")))</f>
        <v/>
      </c>
      <c r="D27" s="10" t="str">
        <f aca="false">IF($A27="","",IF(SUMIFS(견적입력!$F$3:$F$502,견적입력!$A$3:$A$502,$A27,견적입력!$B$3:$B$502,"V2")=0,"",SUMIFS(견적입력!$F$3:$F$502,견적입력!$A$3:$A$502,$A27,견적입력!$B$3:$B$502,"V2")))</f>
        <v/>
      </c>
      <c r="E27" s="10" t="str">
        <f aca="false">IF($A27="","",IF(SUMIFS(견적입력!$F$3:$F$502,견적입력!$A$3:$A$502,$A27,견적입력!$B$3:$B$502,"V3")=0,"",SUMIFS(견적입력!$F$3:$F$502,견적입력!$A$3:$A$502,$A27,견적입력!$B$3:$B$502,"V3")))</f>
        <v/>
      </c>
      <c r="F27" s="10" t="str">
        <f aca="false">IF($A27="","",IF(SUMIFS(견적입력!$F$3:$F$502,견적입력!$A$3:$A$502,$A27,견적입력!$B$3:$B$502,"V4")=0,"",SUMIFS(견적입력!$F$3:$F$502,견적입력!$A$3:$A$502,$A27,견적입력!$B$3:$B$502,"V4")))</f>
        <v/>
      </c>
      <c r="G27" s="10" t="str">
        <f aca="false">IF($A27="","",IFERROR(_xlfn.MINIFS(견적입력!$F$3:$F$502,견적입력!$A$3:$A$502,$A27),""))</f>
        <v/>
      </c>
      <c r="H27" s="8" t="str">
        <f aca="false">IF($A27="","",IFERROR(INDEX(견적입력!$D$3:$D$502,MATCH($A27,견적입력!$I$3:$I$502,0)),""))</f>
        <v/>
      </c>
    </row>
    <row r="28" customFormat="false" ht="15" hidden="false" customHeight="false" outlineLevel="0" collapsed="false">
      <c r="A28" s="8" t="str">
        <f aca="false">IF(품목목록!$A28="","",품목목록!$A28)</f>
        <v/>
      </c>
      <c r="B28" s="8" t="str">
        <f aca="false">IF($A28="","",품목목록!$B28)</f>
        <v/>
      </c>
      <c r="C28" s="10" t="str">
        <f aca="false">IF($A28="","",IF(SUMIFS(견적입력!$F$3:$F$502,견적입력!$A$3:$A$502,$A28,견적입력!$B$3:$B$502,"V1")=0,"",SUMIFS(견적입력!$F$3:$F$502,견적입력!$A$3:$A$502,$A28,견적입력!$B$3:$B$502,"V1")))</f>
        <v/>
      </c>
      <c r="D28" s="10" t="str">
        <f aca="false">IF($A28="","",IF(SUMIFS(견적입력!$F$3:$F$502,견적입력!$A$3:$A$502,$A28,견적입력!$B$3:$B$502,"V2")=0,"",SUMIFS(견적입력!$F$3:$F$502,견적입력!$A$3:$A$502,$A28,견적입력!$B$3:$B$502,"V2")))</f>
        <v/>
      </c>
      <c r="E28" s="10" t="str">
        <f aca="false">IF($A28="","",IF(SUMIFS(견적입력!$F$3:$F$502,견적입력!$A$3:$A$502,$A28,견적입력!$B$3:$B$502,"V3")=0,"",SUMIFS(견적입력!$F$3:$F$502,견적입력!$A$3:$A$502,$A28,견적입력!$B$3:$B$502,"V3")))</f>
        <v/>
      </c>
      <c r="F28" s="10" t="str">
        <f aca="false">IF($A28="","",IF(SUMIFS(견적입력!$F$3:$F$502,견적입력!$A$3:$A$502,$A28,견적입력!$B$3:$B$502,"V4")=0,"",SUMIFS(견적입력!$F$3:$F$502,견적입력!$A$3:$A$502,$A28,견적입력!$B$3:$B$502,"V4")))</f>
        <v/>
      </c>
      <c r="G28" s="10" t="str">
        <f aca="false">IF($A28="","",IFERROR(_xlfn.MINIFS(견적입력!$F$3:$F$502,견적입력!$A$3:$A$502,$A28),""))</f>
        <v/>
      </c>
      <c r="H28" s="8" t="str">
        <f aca="false">IF($A28="","",IFERROR(INDEX(견적입력!$D$3:$D$502,MATCH($A28,견적입력!$I$3:$I$502,0)),""))</f>
        <v/>
      </c>
    </row>
    <row r="29" customFormat="false" ht="15" hidden="false" customHeight="false" outlineLevel="0" collapsed="false">
      <c r="A29" s="8" t="str">
        <f aca="false">IF(품목목록!$A29="","",품목목록!$A29)</f>
        <v/>
      </c>
      <c r="B29" s="8" t="str">
        <f aca="false">IF($A29="","",품목목록!$B29)</f>
        <v/>
      </c>
      <c r="C29" s="10" t="str">
        <f aca="false">IF($A29="","",IF(SUMIFS(견적입력!$F$3:$F$502,견적입력!$A$3:$A$502,$A29,견적입력!$B$3:$B$502,"V1")=0,"",SUMIFS(견적입력!$F$3:$F$502,견적입력!$A$3:$A$502,$A29,견적입력!$B$3:$B$502,"V1")))</f>
        <v/>
      </c>
      <c r="D29" s="10" t="str">
        <f aca="false">IF($A29="","",IF(SUMIFS(견적입력!$F$3:$F$502,견적입력!$A$3:$A$502,$A29,견적입력!$B$3:$B$502,"V2")=0,"",SUMIFS(견적입력!$F$3:$F$502,견적입력!$A$3:$A$502,$A29,견적입력!$B$3:$B$502,"V2")))</f>
        <v/>
      </c>
      <c r="E29" s="10" t="str">
        <f aca="false">IF($A29="","",IF(SUMIFS(견적입력!$F$3:$F$502,견적입력!$A$3:$A$502,$A29,견적입력!$B$3:$B$502,"V3")=0,"",SUMIFS(견적입력!$F$3:$F$502,견적입력!$A$3:$A$502,$A29,견적입력!$B$3:$B$502,"V3")))</f>
        <v/>
      </c>
      <c r="F29" s="10" t="str">
        <f aca="false">IF($A29="","",IF(SUMIFS(견적입력!$F$3:$F$502,견적입력!$A$3:$A$502,$A29,견적입력!$B$3:$B$502,"V4")=0,"",SUMIFS(견적입력!$F$3:$F$502,견적입력!$A$3:$A$502,$A29,견적입력!$B$3:$B$502,"V4")))</f>
        <v/>
      </c>
      <c r="G29" s="10" t="str">
        <f aca="false">IF($A29="","",IFERROR(_xlfn.MINIFS(견적입력!$F$3:$F$502,견적입력!$A$3:$A$502,$A29),""))</f>
        <v/>
      </c>
      <c r="H29" s="8" t="str">
        <f aca="false">IF($A29="","",IFERROR(INDEX(견적입력!$D$3:$D$502,MATCH($A29,견적입력!$I$3:$I$502,0)),""))</f>
        <v/>
      </c>
    </row>
    <row r="30" customFormat="false" ht="15" hidden="false" customHeight="false" outlineLevel="0" collapsed="false">
      <c r="A30" s="8" t="str">
        <f aca="false">IF(품목목록!$A30="","",품목목록!$A30)</f>
        <v/>
      </c>
      <c r="B30" s="8" t="str">
        <f aca="false">IF($A30="","",품목목록!$B30)</f>
        <v/>
      </c>
      <c r="C30" s="10" t="str">
        <f aca="false">IF($A30="","",IF(SUMIFS(견적입력!$F$3:$F$502,견적입력!$A$3:$A$502,$A30,견적입력!$B$3:$B$502,"V1")=0,"",SUMIFS(견적입력!$F$3:$F$502,견적입력!$A$3:$A$502,$A30,견적입력!$B$3:$B$502,"V1")))</f>
        <v/>
      </c>
      <c r="D30" s="10" t="str">
        <f aca="false">IF($A30="","",IF(SUMIFS(견적입력!$F$3:$F$502,견적입력!$A$3:$A$502,$A30,견적입력!$B$3:$B$502,"V2")=0,"",SUMIFS(견적입력!$F$3:$F$502,견적입력!$A$3:$A$502,$A30,견적입력!$B$3:$B$502,"V2")))</f>
        <v/>
      </c>
      <c r="E30" s="10" t="str">
        <f aca="false">IF($A30="","",IF(SUMIFS(견적입력!$F$3:$F$502,견적입력!$A$3:$A$502,$A30,견적입력!$B$3:$B$502,"V3")=0,"",SUMIFS(견적입력!$F$3:$F$502,견적입력!$A$3:$A$502,$A30,견적입력!$B$3:$B$502,"V3")))</f>
        <v/>
      </c>
      <c r="F30" s="10" t="str">
        <f aca="false">IF($A30="","",IF(SUMIFS(견적입력!$F$3:$F$502,견적입력!$A$3:$A$502,$A30,견적입력!$B$3:$B$502,"V4")=0,"",SUMIFS(견적입력!$F$3:$F$502,견적입력!$A$3:$A$502,$A30,견적입력!$B$3:$B$502,"V4")))</f>
        <v/>
      </c>
      <c r="G30" s="10" t="str">
        <f aca="false">IF($A30="","",IFERROR(_xlfn.MINIFS(견적입력!$F$3:$F$502,견적입력!$A$3:$A$502,$A30),""))</f>
        <v/>
      </c>
      <c r="H30" s="8" t="str">
        <f aca="false">IF($A30="","",IFERROR(INDEX(견적입력!$D$3:$D$502,MATCH($A30,견적입력!$I$3:$I$502,0)),""))</f>
        <v/>
      </c>
    </row>
    <row r="31" customFormat="false" ht="15" hidden="false" customHeight="false" outlineLevel="0" collapsed="false">
      <c r="A31" s="8" t="str">
        <f aca="false">IF(품목목록!$A31="","",품목목록!$A31)</f>
        <v/>
      </c>
      <c r="B31" s="8" t="str">
        <f aca="false">IF($A31="","",품목목록!$B31)</f>
        <v/>
      </c>
      <c r="C31" s="10" t="str">
        <f aca="false">IF($A31="","",IF(SUMIFS(견적입력!$F$3:$F$502,견적입력!$A$3:$A$502,$A31,견적입력!$B$3:$B$502,"V1")=0,"",SUMIFS(견적입력!$F$3:$F$502,견적입력!$A$3:$A$502,$A31,견적입력!$B$3:$B$502,"V1")))</f>
        <v/>
      </c>
      <c r="D31" s="10" t="str">
        <f aca="false">IF($A31="","",IF(SUMIFS(견적입력!$F$3:$F$502,견적입력!$A$3:$A$502,$A31,견적입력!$B$3:$B$502,"V2")=0,"",SUMIFS(견적입력!$F$3:$F$502,견적입력!$A$3:$A$502,$A31,견적입력!$B$3:$B$502,"V2")))</f>
        <v/>
      </c>
      <c r="E31" s="10" t="str">
        <f aca="false">IF($A31="","",IF(SUMIFS(견적입력!$F$3:$F$502,견적입력!$A$3:$A$502,$A31,견적입력!$B$3:$B$502,"V3")=0,"",SUMIFS(견적입력!$F$3:$F$502,견적입력!$A$3:$A$502,$A31,견적입력!$B$3:$B$502,"V3")))</f>
        <v/>
      </c>
      <c r="F31" s="10" t="str">
        <f aca="false">IF($A31="","",IF(SUMIFS(견적입력!$F$3:$F$502,견적입력!$A$3:$A$502,$A31,견적입력!$B$3:$B$502,"V4")=0,"",SUMIFS(견적입력!$F$3:$F$502,견적입력!$A$3:$A$502,$A31,견적입력!$B$3:$B$502,"V4")))</f>
        <v/>
      </c>
      <c r="G31" s="10" t="str">
        <f aca="false">IF($A31="","",IFERROR(_xlfn.MINIFS(견적입력!$F$3:$F$502,견적입력!$A$3:$A$502,$A31),""))</f>
        <v/>
      </c>
      <c r="H31" s="8" t="str">
        <f aca="false">IF($A31="","",IFERROR(INDEX(견적입력!$D$3:$D$502,MATCH($A31,견적입력!$I$3:$I$502,0)),""))</f>
        <v/>
      </c>
    </row>
    <row r="32" customFormat="false" ht="15" hidden="false" customHeight="false" outlineLevel="0" collapsed="false">
      <c r="A32" s="8" t="str">
        <f aca="false">IF(품목목록!$A32="","",품목목록!$A32)</f>
        <v/>
      </c>
      <c r="B32" s="8" t="str">
        <f aca="false">IF($A32="","",품목목록!$B32)</f>
        <v/>
      </c>
      <c r="C32" s="10" t="str">
        <f aca="false">IF($A32="","",IF(SUMIFS(견적입력!$F$3:$F$502,견적입력!$A$3:$A$502,$A32,견적입력!$B$3:$B$502,"V1")=0,"",SUMIFS(견적입력!$F$3:$F$502,견적입력!$A$3:$A$502,$A32,견적입력!$B$3:$B$502,"V1")))</f>
        <v/>
      </c>
      <c r="D32" s="10" t="str">
        <f aca="false">IF($A32="","",IF(SUMIFS(견적입력!$F$3:$F$502,견적입력!$A$3:$A$502,$A32,견적입력!$B$3:$B$502,"V2")=0,"",SUMIFS(견적입력!$F$3:$F$502,견적입력!$A$3:$A$502,$A32,견적입력!$B$3:$B$502,"V2")))</f>
        <v/>
      </c>
      <c r="E32" s="10" t="str">
        <f aca="false">IF($A32="","",IF(SUMIFS(견적입력!$F$3:$F$502,견적입력!$A$3:$A$502,$A32,견적입력!$B$3:$B$502,"V3")=0,"",SUMIFS(견적입력!$F$3:$F$502,견적입력!$A$3:$A$502,$A32,견적입력!$B$3:$B$502,"V3")))</f>
        <v/>
      </c>
      <c r="F32" s="10" t="str">
        <f aca="false">IF($A32="","",IF(SUMIFS(견적입력!$F$3:$F$502,견적입력!$A$3:$A$502,$A32,견적입력!$B$3:$B$502,"V4")=0,"",SUMIFS(견적입력!$F$3:$F$502,견적입력!$A$3:$A$502,$A32,견적입력!$B$3:$B$502,"V4")))</f>
        <v/>
      </c>
      <c r="G32" s="10" t="str">
        <f aca="false">IF($A32="","",IFERROR(_xlfn.MINIFS(견적입력!$F$3:$F$502,견적입력!$A$3:$A$502,$A32),""))</f>
        <v/>
      </c>
      <c r="H32" s="8" t="str">
        <f aca="false">IF($A32="","",IFERROR(INDEX(견적입력!$D$3:$D$502,MATCH($A32,견적입력!$I$3:$I$502,0)),""))</f>
        <v/>
      </c>
    </row>
    <row r="33" customFormat="false" ht="15" hidden="false" customHeight="false" outlineLevel="0" collapsed="false">
      <c r="A33" s="8" t="str">
        <f aca="false">IF(품목목록!$A33="","",품목목록!$A33)</f>
        <v/>
      </c>
      <c r="B33" s="8" t="str">
        <f aca="false">IF($A33="","",품목목록!$B33)</f>
        <v/>
      </c>
      <c r="C33" s="10" t="str">
        <f aca="false">IF($A33="","",IF(SUMIFS(견적입력!$F$3:$F$502,견적입력!$A$3:$A$502,$A33,견적입력!$B$3:$B$502,"V1")=0,"",SUMIFS(견적입력!$F$3:$F$502,견적입력!$A$3:$A$502,$A33,견적입력!$B$3:$B$502,"V1")))</f>
        <v/>
      </c>
      <c r="D33" s="10" t="str">
        <f aca="false">IF($A33="","",IF(SUMIFS(견적입력!$F$3:$F$502,견적입력!$A$3:$A$502,$A33,견적입력!$B$3:$B$502,"V2")=0,"",SUMIFS(견적입력!$F$3:$F$502,견적입력!$A$3:$A$502,$A33,견적입력!$B$3:$B$502,"V2")))</f>
        <v/>
      </c>
      <c r="E33" s="10" t="str">
        <f aca="false">IF($A33="","",IF(SUMIFS(견적입력!$F$3:$F$502,견적입력!$A$3:$A$502,$A33,견적입력!$B$3:$B$502,"V3")=0,"",SUMIFS(견적입력!$F$3:$F$502,견적입력!$A$3:$A$502,$A33,견적입력!$B$3:$B$502,"V3")))</f>
        <v/>
      </c>
      <c r="F33" s="10" t="str">
        <f aca="false">IF($A33="","",IF(SUMIFS(견적입력!$F$3:$F$502,견적입력!$A$3:$A$502,$A33,견적입력!$B$3:$B$502,"V4")=0,"",SUMIFS(견적입력!$F$3:$F$502,견적입력!$A$3:$A$502,$A33,견적입력!$B$3:$B$502,"V4")))</f>
        <v/>
      </c>
      <c r="G33" s="10" t="str">
        <f aca="false">IF($A33="","",IFERROR(_xlfn.MINIFS(견적입력!$F$3:$F$502,견적입력!$A$3:$A$502,$A33),""))</f>
        <v/>
      </c>
      <c r="H33" s="8" t="str">
        <f aca="false">IF($A33="","",IFERROR(INDEX(견적입력!$D$3:$D$502,MATCH($A33,견적입력!$I$3:$I$502,0)),""))</f>
        <v/>
      </c>
    </row>
    <row r="34" customFormat="false" ht="15" hidden="false" customHeight="false" outlineLevel="0" collapsed="false">
      <c r="A34" s="8" t="str">
        <f aca="false">IF(품목목록!$A34="","",품목목록!$A34)</f>
        <v/>
      </c>
      <c r="B34" s="8" t="str">
        <f aca="false">IF($A34="","",품목목록!$B34)</f>
        <v/>
      </c>
      <c r="C34" s="10" t="str">
        <f aca="false">IF($A34="","",IF(SUMIFS(견적입력!$F$3:$F$502,견적입력!$A$3:$A$502,$A34,견적입력!$B$3:$B$502,"V1")=0,"",SUMIFS(견적입력!$F$3:$F$502,견적입력!$A$3:$A$502,$A34,견적입력!$B$3:$B$502,"V1")))</f>
        <v/>
      </c>
      <c r="D34" s="10" t="str">
        <f aca="false">IF($A34="","",IF(SUMIFS(견적입력!$F$3:$F$502,견적입력!$A$3:$A$502,$A34,견적입력!$B$3:$B$502,"V2")=0,"",SUMIFS(견적입력!$F$3:$F$502,견적입력!$A$3:$A$502,$A34,견적입력!$B$3:$B$502,"V2")))</f>
        <v/>
      </c>
      <c r="E34" s="10" t="str">
        <f aca="false">IF($A34="","",IF(SUMIFS(견적입력!$F$3:$F$502,견적입력!$A$3:$A$502,$A34,견적입력!$B$3:$B$502,"V3")=0,"",SUMIFS(견적입력!$F$3:$F$502,견적입력!$A$3:$A$502,$A34,견적입력!$B$3:$B$502,"V3")))</f>
        <v/>
      </c>
      <c r="F34" s="10" t="str">
        <f aca="false">IF($A34="","",IF(SUMIFS(견적입력!$F$3:$F$502,견적입력!$A$3:$A$502,$A34,견적입력!$B$3:$B$502,"V4")=0,"",SUMIFS(견적입력!$F$3:$F$502,견적입력!$A$3:$A$502,$A34,견적입력!$B$3:$B$502,"V4")))</f>
        <v/>
      </c>
      <c r="G34" s="10" t="str">
        <f aca="false">IF($A34="","",IFERROR(_xlfn.MINIFS(견적입력!$F$3:$F$502,견적입력!$A$3:$A$502,$A34),""))</f>
        <v/>
      </c>
      <c r="H34" s="8" t="str">
        <f aca="false">IF($A34="","",IFERROR(INDEX(견적입력!$D$3:$D$502,MATCH($A34,견적입력!$I$3:$I$502,0)),""))</f>
        <v/>
      </c>
    </row>
    <row r="35" customFormat="false" ht="15" hidden="false" customHeight="false" outlineLevel="0" collapsed="false">
      <c r="A35" s="8" t="str">
        <f aca="false">IF(품목목록!$A35="","",품목목록!$A35)</f>
        <v/>
      </c>
      <c r="B35" s="8" t="str">
        <f aca="false">IF($A35="","",품목목록!$B35)</f>
        <v/>
      </c>
      <c r="C35" s="10" t="str">
        <f aca="false">IF($A35="","",IF(SUMIFS(견적입력!$F$3:$F$502,견적입력!$A$3:$A$502,$A35,견적입력!$B$3:$B$502,"V1")=0,"",SUMIFS(견적입력!$F$3:$F$502,견적입력!$A$3:$A$502,$A35,견적입력!$B$3:$B$502,"V1")))</f>
        <v/>
      </c>
      <c r="D35" s="10" t="str">
        <f aca="false">IF($A35="","",IF(SUMIFS(견적입력!$F$3:$F$502,견적입력!$A$3:$A$502,$A35,견적입력!$B$3:$B$502,"V2")=0,"",SUMIFS(견적입력!$F$3:$F$502,견적입력!$A$3:$A$502,$A35,견적입력!$B$3:$B$502,"V2")))</f>
        <v/>
      </c>
      <c r="E35" s="10" t="str">
        <f aca="false">IF($A35="","",IF(SUMIFS(견적입력!$F$3:$F$502,견적입력!$A$3:$A$502,$A35,견적입력!$B$3:$B$502,"V3")=0,"",SUMIFS(견적입력!$F$3:$F$502,견적입력!$A$3:$A$502,$A35,견적입력!$B$3:$B$502,"V3")))</f>
        <v/>
      </c>
      <c r="F35" s="10" t="str">
        <f aca="false">IF($A35="","",IF(SUMIFS(견적입력!$F$3:$F$502,견적입력!$A$3:$A$502,$A35,견적입력!$B$3:$B$502,"V4")=0,"",SUMIFS(견적입력!$F$3:$F$502,견적입력!$A$3:$A$502,$A35,견적입력!$B$3:$B$502,"V4")))</f>
        <v/>
      </c>
      <c r="G35" s="10" t="str">
        <f aca="false">IF($A35="","",IFERROR(_xlfn.MINIFS(견적입력!$F$3:$F$502,견적입력!$A$3:$A$502,$A35),""))</f>
        <v/>
      </c>
      <c r="H35" s="8" t="str">
        <f aca="false">IF($A35="","",IFERROR(INDEX(견적입력!$D$3:$D$502,MATCH($A35,견적입력!$I$3:$I$502,0)),""))</f>
        <v/>
      </c>
    </row>
    <row r="36" customFormat="false" ht="15" hidden="false" customHeight="false" outlineLevel="0" collapsed="false">
      <c r="A36" s="8" t="str">
        <f aca="false">IF(품목목록!$A36="","",품목목록!$A36)</f>
        <v/>
      </c>
      <c r="B36" s="8" t="str">
        <f aca="false">IF($A36="","",품목목록!$B36)</f>
        <v/>
      </c>
      <c r="C36" s="10" t="str">
        <f aca="false">IF($A36="","",IF(SUMIFS(견적입력!$F$3:$F$502,견적입력!$A$3:$A$502,$A36,견적입력!$B$3:$B$502,"V1")=0,"",SUMIFS(견적입력!$F$3:$F$502,견적입력!$A$3:$A$502,$A36,견적입력!$B$3:$B$502,"V1")))</f>
        <v/>
      </c>
      <c r="D36" s="10" t="str">
        <f aca="false">IF($A36="","",IF(SUMIFS(견적입력!$F$3:$F$502,견적입력!$A$3:$A$502,$A36,견적입력!$B$3:$B$502,"V2")=0,"",SUMIFS(견적입력!$F$3:$F$502,견적입력!$A$3:$A$502,$A36,견적입력!$B$3:$B$502,"V2")))</f>
        <v/>
      </c>
      <c r="E36" s="10" t="str">
        <f aca="false">IF($A36="","",IF(SUMIFS(견적입력!$F$3:$F$502,견적입력!$A$3:$A$502,$A36,견적입력!$B$3:$B$502,"V3")=0,"",SUMIFS(견적입력!$F$3:$F$502,견적입력!$A$3:$A$502,$A36,견적입력!$B$3:$B$502,"V3")))</f>
        <v/>
      </c>
      <c r="F36" s="10" t="str">
        <f aca="false">IF($A36="","",IF(SUMIFS(견적입력!$F$3:$F$502,견적입력!$A$3:$A$502,$A36,견적입력!$B$3:$B$502,"V4")=0,"",SUMIFS(견적입력!$F$3:$F$502,견적입력!$A$3:$A$502,$A36,견적입력!$B$3:$B$502,"V4")))</f>
        <v/>
      </c>
      <c r="G36" s="10" t="str">
        <f aca="false">IF($A36="","",IFERROR(_xlfn.MINIFS(견적입력!$F$3:$F$502,견적입력!$A$3:$A$502,$A36),""))</f>
        <v/>
      </c>
      <c r="H36" s="8" t="str">
        <f aca="false">IF($A36="","",IFERROR(INDEX(견적입력!$D$3:$D$502,MATCH($A36,견적입력!$I$3:$I$502,0)),""))</f>
        <v/>
      </c>
    </row>
    <row r="37" customFormat="false" ht="15" hidden="false" customHeight="false" outlineLevel="0" collapsed="false">
      <c r="A37" s="8" t="str">
        <f aca="false">IF(품목목록!$A37="","",품목목록!$A37)</f>
        <v/>
      </c>
      <c r="B37" s="8" t="str">
        <f aca="false">IF($A37="","",품목목록!$B37)</f>
        <v/>
      </c>
      <c r="C37" s="10" t="str">
        <f aca="false">IF($A37="","",IF(SUMIFS(견적입력!$F$3:$F$502,견적입력!$A$3:$A$502,$A37,견적입력!$B$3:$B$502,"V1")=0,"",SUMIFS(견적입력!$F$3:$F$502,견적입력!$A$3:$A$502,$A37,견적입력!$B$3:$B$502,"V1")))</f>
        <v/>
      </c>
      <c r="D37" s="10" t="str">
        <f aca="false">IF($A37="","",IF(SUMIFS(견적입력!$F$3:$F$502,견적입력!$A$3:$A$502,$A37,견적입력!$B$3:$B$502,"V2")=0,"",SUMIFS(견적입력!$F$3:$F$502,견적입력!$A$3:$A$502,$A37,견적입력!$B$3:$B$502,"V2")))</f>
        <v/>
      </c>
      <c r="E37" s="10" t="str">
        <f aca="false">IF($A37="","",IF(SUMIFS(견적입력!$F$3:$F$502,견적입력!$A$3:$A$502,$A37,견적입력!$B$3:$B$502,"V3")=0,"",SUMIFS(견적입력!$F$3:$F$502,견적입력!$A$3:$A$502,$A37,견적입력!$B$3:$B$502,"V3")))</f>
        <v/>
      </c>
      <c r="F37" s="10" t="str">
        <f aca="false">IF($A37="","",IF(SUMIFS(견적입력!$F$3:$F$502,견적입력!$A$3:$A$502,$A37,견적입력!$B$3:$B$502,"V4")=0,"",SUMIFS(견적입력!$F$3:$F$502,견적입력!$A$3:$A$502,$A37,견적입력!$B$3:$B$502,"V4")))</f>
        <v/>
      </c>
      <c r="G37" s="10" t="str">
        <f aca="false">IF($A37="","",IFERROR(_xlfn.MINIFS(견적입력!$F$3:$F$502,견적입력!$A$3:$A$502,$A37),""))</f>
        <v/>
      </c>
      <c r="H37" s="8" t="str">
        <f aca="false">IF($A37="","",IFERROR(INDEX(견적입력!$D$3:$D$502,MATCH($A37,견적입력!$I$3:$I$502,0)),""))</f>
        <v/>
      </c>
    </row>
    <row r="38" customFormat="false" ht="15" hidden="false" customHeight="false" outlineLevel="0" collapsed="false">
      <c r="A38" s="8" t="str">
        <f aca="false">IF(품목목록!$A38="","",품목목록!$A38)</f>
        <v/>
      </c>
      <c r="B38" s="8" t="str">
        <f aca="false">IF($A38="","",품목목록!$B38)</f>
        <v/>
      </c>
      <c r="C38" s="10" t="str">
        <f aca="false">IF($A38="","",IF(SUMIFS(견적입력!$F$3:$F$502,견적입력!$A$3:$A$502,$A38,견적입력!$B$3:$B$502,"V1")=0,"",SUMIFS(견적입력!$F$3:$F$502,견적입력!$A$3:$A$502,$A38,견적입력!$B$3:$B$502,"V1")))</f>
        <v/>
      </c>
      <c r="D38" s="10" t="str">
        <f aca="false">IF($A38="","",IF(SUMIFS(견적입력!$F$3:$F$502,견적입력!$A$3:$A$502,$A38,견적입력!$B$3:$B$502,"V2")=0,"",SUMIFS(견적입력!$F$3:$F$502,견적입력!$A$3:$A$502,$A38,견적입력!$B$3:$B$502,"V2")))</f>
        <v/>
      </c>
      <c r="E38" s="10" t="str">
        <f aca="false">IF($A38="","",IF(SUMIFS(견적입력!$F$3:$F$502,견적입력!$A$3:$A$502,$A38,견적입력!$B$3:$B$502,"V3")=0,"",SUMIFS(견적입력!$F$3:$F$502,견적입력!$A$3:$A$502,$A38,견적입력!$B$3:$B$502,"V3")))</f>
        <v/>
      </c>
      <c r="F38" s="10" t="str">
        <f aca="false">IF($A38="","",IF(SUMIFS(견적입력!$F$3:$F$502,견적입력!$A$3:$A$502,$A38,견적입력!$B$3:$B$502,"V4")=0,"",SUMIFS(견적입력!$F$3:$F$502,견적입력!$A$3:$A$502,$A38,견적입력!$B$3:$B$502,"V4")))</f>
        <v/>
      </c>
      <c r="G38" s="10" t="str">
        <f aca="false">IF($A38="","",IFERROR(_xlfn.MINIFS(견적입력!$F$3:$F$502,견적입력!$A$3:$A$502,$A38),""))</f>
        <v/>
      </c>
      <c r="H38" s="8" t="str">
        <f aca="false">IF($A38="","",IFERROR(INDEX(견적입력!$D$3:$D$502,MATCH($A38,견적입력!$I$3:$I$502,0)),""))</f>
        <v/>
      </c>
    </row>
    <row r="39" customFormat="false" ht="15" hidden="false" customHeight="false" outlineLevel="0" collapsed="false">
      <c r="A39" s="8" t="str">
        <f aca="false">IF(품목목록!$A39="","",품목목록!$A39)</f>
        <v/>
      </c>
      <c r="B39" s="8" t="str">
        <f aca="false">IF($A39="","",품목목록!$B39)</f>
        <v/>
      </c>
      <c r="C39" s="10" t="str">
        <f aca="false">IF($A39="","",IF(SUMIFS(견적입력!$F$3:$F$502,견적입력!$A$3:$A$502,$A39,견적입력!$B$3:$B$502,"V1")=0,"",SUMIFS(견적입력!$F$3:$F$502,견적입력!$A$3:$A$502,$A39,견적입력!$B$3:$B$502,"V1")))</f>
        <v/>
      </c>
      <c r="D39" s="10" t="str">
        <f aca="false">IF($A39="","",IF(SUMIFS(견적입력!$F$3:$F$502,견적입력!$A$3:$A$502,$A39,견적입력!$B$3:$B$502,"V2")=0,"",SUMIFS(견적입력!$F$3:$F$502,견적입력!$A$3:$A$502,$A39,견적입력!$B$3:$B$502,"V2")))</f>
        <v/>
      </c>
      <c r="E39" s="10" t="str">
        <f aca="false">IF($A39="","",IF(SUMIFS(견적입력!$F$3:$F$502,견적입력!$A$3:$A$502,$A39,견적입력!$B$3:$B$502,"V3")=0,"",SUMIFS(견적입력!$F$3:$F$502,견적입력!$A$3:$A$502,$A39,견적입력!$B$3:$B$502,"V3")))</f>
        <v/>
      </c>
      <c r="F39" s="10" t="str">
        <f aca="false">IF($A39="","",IF(SUMIFS(견적입력!$F$3:$F$502,견적입력!$A$3:$A$502,$A39,견적입력!$B$3:$B$502,"V4")=0,"",SUMIFS(견적입력!$F$3:$F$502,견적입력!$A$3:$A$502,$A39,견적입력!$B$3:$B$502,"V4")))</f>
        <v/>
      </c>
      <c r="G39" s="10" t="str">
        <f aca="false">IF($A39="","",IFERROR(_xlfn.MINIFS(견적입력!$F$3:$F$502,견적입력!$A$3:$A$502,$A39),""))</f>
        <v/>
      </c>
      <c r="H39" s="8" t="str">
        <f aca="false">IF($A39="","",IFERROR(INDEX(견적입력!$D$3:$D$502,MATCH($A39,견적입력!$I$3:$I$502,0)),""))</f>
        <v/>
      </c>
    </row>
    <row r="40" customFormat="false" ht="15" hidden="false" customHeight="false" outlineLevel="0" collapsed="false">
      <c r="A40" s="8" t="str">
        <f aca="false">IF(품목목록!$A40="","",품목목록!$A40)</f>
        <v/>
      </c>
      <c r="B40" s="8" t="str">
        <f aca="false">IF($A40="","",품목목록!$B40)</f>
        <v/>
      </c>
      <c r="C40" s="10" t="str">
        <f aca="false">IF($A40="","",IF(SUMIFS(견적입력!$F$3:$F$502,견적입력!$A$3:$A$502,$A40,견적입력!$B$3:$B$502,"V1")=0,"",SUMIFS(견적입력!$F$3:$F$502,견적입력!$A$3:$A$502,$A40,견적입력!$B$3:$B$502,"V1")))</f>
        <v/>
      </c>
      <c r="D40" s="10" t="str">
        <f aca="false">IF($A40="","",IF(SUMIFS(견적입력!$F$3:$F$502,견적입력!$A$3:$A$502,$A40,견적입력!$B$3:$B$502,"V2")=0,"",SUMIFS(견적입력!$F$3:$F$502,견적입력!$A$3:$A$502,$A40,견적입력!$B$3:$B$502,"V2")))</f>
        <v/>
      </c>
      <c r="E40" s="10" t="str">
        <f aca="false">IF($A40="","",IF(SUMIFS(견적입력!$F$3:$F$502,견적입력!$A$3:$A$502,$A40,견적입력!$B$3:$B$502,"V3")=0,"",SUMIFS(견적입력!$F$3:$F$502,견적입력!$A$3:$A$502,$A40,견적입력!$B$3:$B$502,"V3")))</f>
        <v/>
      </c>
      <c r="F40" s="10" t="str">
        <f aca="false">IF($A40="","",IF(SUMIFS(견적입력!$F$3:$F$502,견적입력!$A$3:$A$502,$A40,견적입력!$B$3:$B$502,"V4")=0,"",SUMIFS(견적입력!$F$3:$F$502,견적입력!$A$3:$A$502,$A40,견적입력!$B$3:$B$502,"V4")))</f>
        <v/>
      </c>
      <c r="G40" s="10" t="str">
        <f aca="false">IF($A40="","",IFERROR(_xlfn.MINIFS(견적입력!$F$3:$F$502,견적입력!$A$3:$A$502,$A40),""))</f>
        <v/>
      </c>
      <c r="H40" s="8" t="str">
        <f aca="false">IF($A40="","",IFERROR(INDEX(견적입력!$D$3:$D$502,MATCH($A40,견적입력!$I$3:$I$502,0)),""))</f>
        <v/>
      </c>
    </row>
    <row r="41" customFormat="false" ht="15" hidden="false" customHeight="false" outlineLevel="0" collapsed="false">
      <c r="A41" s="8" t="str">
        <f aca="false">IF(품목목록!$A41="","",품목목록!$A41)</f>
        <v/>
      </c>
      <c r="B41" s="8" t="str">
        <f aca="false">IF($A41="","",품목목록!$B41)</f>
        <v/>
      </c>
      <c r="C41" s="10" t="str">
        <f aca="false">IF($A41="","",IF(SUMIFS(견적입력!$F$3:$F$502,견적입력!$A$3:$A$502,$A41,견적입력!$B$3:$B$502,"V1")=0,"",SUMIFS(견적입력!$F$3:$F$502,견적입력!$A$3:$A$502,$A41,견적입력!$B$3:$B$502,"V1")))</f>
        <v/>
      </c>
      <c r="D41" s="10" t="str">
        <f aca="false">IF($A41="","",IF(SUMIFS(견적입력!$F$3:$F$502,견적입력!$A$3:$A$502,$A41,견적입력!$B$3:$B$502,"V2")=0,"",SUMIFS(견적입력!$F$3:$F$502,견적입력!$A$3:$A$502,$A41,견적입력!$B$3:$B$502,"V2")))</f>
        <v/>
      </c>
      <c r="E41" s="10" t="str">
        <f aca="false">IF($A41="","",IF(SUMIFS(견적입력!$F$3:$F$502,견적입력!$A$3:$A$502,$A41,견적입력!$B$3:$B$502,"V3")=0,"",SUMIFS(견적입력!$F$3:$F$502,견적입력!$A$3:$A$502,$A41,견적입력!$B$3:$B$502,"V3")))</f>
        <v/>
      </c>
      <c r="F41" s="10" t="str">
        <f aca="false">IF($A41="","",IF(SUMIFS(견적입력!$F$3:$F$502,견적입력!$A$3:$A$502,$A41,견적입력!$B$3:$B$502,"V4")=0,"",SUMIFS(견적입력!$F$3:$F$502,견적입력!$A$3:$A$502,$A41,견적입력!$B$3:$B$502,"V4")))</f>
        <v/>
      </c>
      <c r="G41" s="10" t="str">
        <f aca="false">IF($A41="","",IFERROR(_xlfn.MINIFS(견적입력!$F$3:$F$502,견적입력!$A$3:$A$502,$A41),""))</f>
        <v/>
      </c>
      <c r="H41" s="8" t="str">
        <f aca="false">IF($A41="","",IFERROR(INDEX(견적입력!$D$3:$D$502,MATCH($A41,견적입력!$I$3:$I$502,0)),""))</f>
        <v/>
      </c>
    </row>
    <row r="42" customFormat="false" ht="15" hidden="false" customHeight="false" outlineLevel="0" collapsed="false">
      <c r="A42" s="8" t="str">
        <f aca="false">IF(품목목록!$A42="","",품목목록!$A42)</f>
        <v/>
      </c>
      <c r="B42" s="8" t="str">
        <f aca="false">IF($A42="","",품목목록!$B42)</f>
        <v/>
      </c>
      <c r="C42" s="10" t="str">
        <f aca="false">IF($A42="","",IF(SUMIFS(견적입력!$F$3:$F$502,견적입력!$A$3:$A$502,$A42,견적입력!$B$3:$B$502,"V1")=0,"",SUMIFS(견적입력!$F$3:$F$502,견적입력!$A$3:$A$502,$A42,견적입력!$B$3:$B$502,"V1")))</f>
        <v/>
      </c>
      <c r="D42" s="10" t="str">
        <f aca="false">IF($A42="","",IF(SUMIFS(견적입력!$F$3:$F$502,견적입력!$A$3:$A$502,$A42,견적입력!$B$3:$B$502,"V2")=0,"",SUMIFS(견적입력!$F$3:$F$502,견적입력!$A$3:$A$502,$A42,견적입력!$B$3:$B$502,"V2")))</f>
        <v/>
      </c>
      <c r="E42" s="10" t="str">
        <f aca="false">IF($A42="","",IF(SUMIFS(견적입력!$F$3:$F$502,견적입력!$A$3:$A$502,$A42,견적입력!$B$3:$B$502,"V3")=0,"",SUMIFS(견적입력!$F$3:$F$502,견적입력!$A$3:$A$502,$A42,견적입력!$B$3:$B$502,"V3")))</f>
        <v/>
      </c>
      <c r="F42" s="10" t="str">
        <f aca="false">IF($A42="","",IF(SUMIFS(견적입력!$F$3:$F$502,견적입력!$A$3:$A$502,$A42,견적입력!$B$3:$B$502,"V4")=0,"",SUMIFS(견적입력!$F$3:$F$502,견적입력!$A$3:$A$502,$A42,견적입력!$B$3:$B$502,"V4")))</f>
        <v/>
      </c>
      <c r="G42" s="10" t="str">
        <f aca="false">IF($A42="","",IFERROR(_xlfn.MINIFS(견적입력!$F$3:$F$502,견적입력!$A$3:$A$502,$A42),""))</f>
        <v/>
      </c>
      <c r="H42" s="8" t="str">
        <f aca="false">IF($A42="","",IFERROR(INDEX(견적입력!$D$3:$D$502,MATCH($A42,견적입력!$I$3:$I$502,0)),""))</f>
        <v/>
      </c>
    </row>
    <row r="43" customFormat="false" ht="15" hidden="false" customHeight="false" outlineLevel="0" collapsed="false">
      <c r="A43" s="8" t="str">
        <f aca="false">IF(품목목록!$A43="","",품목목록!$A43)</f>
        <v/>
      </c>
      <c r="B43" s="8" t="str">
        <f aca="false">IF($A43="","",품목목록!$B43)</f>
        <v/>
      </c>
      <c r="C43" s="10" t="str">
        <f aca="false">IF($A43="","",IF(SUMIFS(견적입력!$F$3:$F$502,견적입력!$A$3:$A$502,$A43,견적입력!$B$3:$B$502,"V1")=0,"",SUMIFS(견적입력!$F$3:$F$502,견적입력!$A$3:$A$502,$A43,견적입력!$B$3:$B$502,"V1")))</f>
        <v/>
      </c>
      <c r="D43" s="10" t="str">
        <f aca="false">IF($A43="","",IF(SUMIFS(견적입력!$F$3:$F$502,견적입력!$A$3:$A$502,$A43,견적입력!$B$3:$B$502,"V2")=0,"",SUMIFS(견적입력!$F$3:$F$502,견적입력!$A$3:$A$502,$A43,견적입력!$B$3:$B$502,"V2")))</f>
        <v/>
      </c>
      <c r="E43" s="10" t="str">
        <f aca="false">IF($A43="","",IF(SUMIFS(견적입력!$F$3:$F$502,견적입력!$A$3:$A$502,$A43,견적입력!$B$3:$B$502,"V3")=0,"",SUMIFS(견적입력!$F$3:$F$502,견적입력!$A$3:$A$502,$A43,견적입력!$B$3:$B$502,"V3")))</f>
        <v/>
      </c>
      <c r="F43" s="10" t="str">
        <f aca="false">IF($A43="","",IF(SUMIFS(견적입력!$F$3:$F$502,견적입력!$A$3:$A$502,$A43,견적입력!$B$3:$B$502,"V4")=0,"",SUMIFS(견적입력!$F$3:$F$502,견적입력!$A$3:$A$502,$A43,견적입력!$B$3:$B$502,"V4")))</f>
        <v/>
      </c>
      <c r="G43" s="10" t="str">
        <f aca="false">IF($A43="","",IFERROR(_xlfn.MINIFS(견적입력!$F$3:$F$502,견적입력!$A$3:$A$502,$A43),""))</f>
        <v/>
      </c>
      <c r="H43" s="8" t="str">
        <f aca="false">IF($A43="","",IFERROR(INDEX(견적입력!$D$3:$D$502,MATCH($A43,견적입력!$I$3:$I$502,0)),""))</f>
        <v/>
      </c>
    </row>
    <row r="44" customFormat="false" ht="15" hidden="false" customHeight="false" outlineLevel="0" collapsed="false">
      <c r="A44" s="8" t="str">
        <f aca="false">IF(품목목록!$A44="","",품목목록!$A44)</f>
        <v/>
      </c>
      <c r="B44" s="8" t="str">
        <f aca="false">IF($A44="","",품목목록!$B44)</f>
        <v/>
      </c>
      <c r="C44" s="10" t="str">
        <f aca="false">IF($A44="","",IF(SUMIFS(견적입력!$F$3:$F$502,견적입력!$A$3:$A$502,$A44,견적입력!$B$3:$B$502,"V1")=0,"",SUMIFS(견적입력!$F$3:$F$502,견적입력!$A$3:$A$502,$A44,견적입력!$B$3:$B$502,"V1")))</f>
        <v/>
      </c>
      <c r="D44" s="10" t="str">
        <f aca="false">IF($A44="","",IF(SUMIFS(견적입력!$F$3:$F$502,견적입력!$A$3:$A$502,$A44,견적입력!$B$3:$B$502,"V2")=0,"",SUMIFS(견적입력!$F$3:$F$502,견적입력!$A$3:$A$502,$A44,견적입력!$B$3:$B$502,"V2")))</f>
        <v/>
      </c>
      <c r="E44" s="10" t="str">
        <f aca="false">IF($A44="","",IF(SUMIFS(견적입력!$F$3:$F$502,견적입력!$A$3:$A$502,$A44,견적입력!$B$3:$B$502,"V3")=0,"",SUMIFS(견적입력!$F$3:$F$502,견적입력!$A$3:$A$502,$A44,견적입력!$B$3:$B$502,"V3")))</f>
        <v/>
      </c>
      <c r="F44" s="10" t="str">
        <f aca="false">IF($A44="","",IF(SUMIFS(견적입력!$F$3:$F$502,견적입력!$A$3:$A$502,$A44,견적입력!$B$3:$B$502,"V4")=0,"",SUMIFS(견적입력!$F$3:$F$502,견적입력!$A$3:$A$502,$A44,견적입력!$B$3:$B$502,"V4")))</f>
        <v/>
      </c>
      <c r="G44" s="10" t="str">
        <f aca="false">IF($A44="","",IFERROR(_xlfn.MINIFS(견적입력!$F$3:$F$502,견적입력!$A$3:$A$502,$A44),""))</f>
        <v/>
      </c>
      <c r="H44" s="8" t="str">
        <f aca="false">IF($A44="","",IFERROR(INDEX(견적입력!$D$3:$D$502,MATCH($A44,견적입력!$I$3:$I$502,0)),""))</f>
        <v/>
      </c>
    </row>
    <row r="45" customFormat="false" ht="15" hidden="false" customHeight="false" outlineLevel="0" collapsed="false">
      <c r="A45" s="8" t="str">
        <f aca="false">IF(품목목록!$A45="","",품목목록!$A45)</f>
        <v/>
      </c>
      <c r="B45" s="8" t="str">
        <f aca="false">IF($A45="","",품목목록!$B45)</f>
        <v/>
      </c>
      <c r="C45" s="10" t="str">
        <f aca="false">IF($A45="","",IF(SUMIFS(견적입력!$F$3:$F$502,견적입력!$A$3:$A$502,$A45,견적입력!$B$3:$B$502,"V1")=0,"",SUMIFS(견적입력!$F$3:$F$502,견적입력!$A$3:$A$502,$A45,견적입력!$B$3:$B$502,"V1")))</f>
        <v/>
      </c>
      <c r="D45" s="10" t="str">
        <f aca="false">IF($A45="","",IF(SUMIFS(견적입력!$F$3:$F$502,견적입력!$A$3:$A$502,$A45,견적입력!$B$3:$B$502,"V2")=0,"",SUMIFS(견적입력!$F$3:$F$502,견적입력!$A$3:$A$502,$A45,견적입력!$B$3:$B$502,"V2")))</f>
        <v/>
      </c>
      <c r="E45" s="10" t="str">
        <f aca="false">IF($A45="","",IF(SUMIFS(견적입력!$F$3:$F$502,견적입력!$A$3:$A$502,$A45,견적입력!$B$3:$B$502,"V3")=0,"",SUMIFS(견적입력!$F$3:$F$502,견적입력!$A$3:$A$502,$A45,견적입력!$B$3:$B$502,"V3")))</f>
        <v/>
      </c>
      <c r="F45" s="10" t="str">
        <f aca="false">IF($A45="","",IF(SUMIFS(견적입력!$F$3:$F$502,견적입력!$A$3:$A$502,$A45,견적입력!$B$3:$B$502,"V4")=0,"",SUMIFS(견적입력!$F$3:$F$502,견적입력!$A$3:$A$502,$A45,견적입력!$B$3:$B$502,"V4")))</f>
        <v/>
      </c>
      <c r="G45" s="10" t="str">
        <f aca="false">IF($A45="","",IFERROR(_xlfn.MINIFS(견적입력!$F$3:$F$502,견적입력!$A$3:$A$502,$A45),""))</f>
        <v/>
      </c>
      <c r="H45" s="8" t="str">
        <f aca="false">IF($A45="","",IFERROR(INDEX(견적입력!$D$3:$D$502,MATCH($A45,견적입력!$I$3:$I$502,0)),""))</f>
        <v/>
      </c>
    </row>
    <row r="46" customFormat="false" ht="15" hidden="false" customHeight="false" outlineLevel="0" collapsed="false">
      <c r="A46" s="8" t="str">
        <f aca="false">IF(품목목록!$A46="","",품목목록!$A46)</f>
        <v/>
      </c>
      <c r="B46" s="8" t="str">
        <f aca="false">IF($A46="","",품목목록!$B46)</f>
        <v/>
      </c>
      <c r="C46" s="10" t="str">
        <f aca="false">IF($A46="","",IF(SUMIFS(견적입력!$F$3:$F$502,견적입력!$A$3:$A$502,$A46,견적입력!$B$3:$B$502,"V1")=0,"",SUMIFS(견적입력!$F$3:$F$502,견적입력!$A$3:$A$502,$A46,견적입력!$B$3:$B$502,"V1")))</f>
        <v/>
      </c>
      <c r="D46" s="10" t="str">
        <f aca="false">IF($A46="","",IF(SUMIFS(견적입력!$F$3:$F$502,견적입력!$A$3:$A$502,$A46,견적입력!$B$3:$B$502,"V2")=0,"",SUMIFS(견적입력!$F$3:$F$502,견적입력!$A$3:$A$502,$A46,견적입력!$B$3:$B$502,"V2")))</f>
        <v/>
      </c>
      <c r="E46" s="10" t="str">
        <f aca="false">IF($A46="","",IF(SUMIFS(견적입력!$F$3:$F$502,견적입력!$A$3:$A$502,$A46,견적입력!$B$3:$B$502,"V3")=0,"",SUMIFS(견적입력!$F$3:$F$502,견적입력!$A$3:$A$502,$A46,견적입력!$B$3:$B$502,"V3")))</f>
        <v/>
      </c>
      <c r="F46" s="10" t="str">
        <f aca="false">IF($A46="","",IF(SUMIFS(견적입력!$F$3:$F$502,견적입력!$A$3:$A$502,$A46,견적입력!$B$3:$B$502,"V4")=0,"",SUMIFS(견적입력!$F$3:$F$502,견적입력!$A$3:$A$502,$A46,견적입력!$B$3:$B$502,"V4")))</f>
        <v/>
      </c>
      <c r="G46" s="10" t="str">
        <f aca="false">IF($A46="","",IFERROR(_xlfn.MINIFS(견적입력!$F$3:$F$502,견적입력!$A$3:$A$502,$A46),""))</f>
        <v/>
      </c>
      <c r="H46" s="8" t="str">
        <f aca="false">IF($A46="","",IFERROR(INDEX(견적입력!$D$3:$D$502,MATCH($A46,견적입력!$I$3:$I$502,0)),""))</f>
        <v/>
      </c>
    </row>
    <row r="47" customFormat="false" ht="15" hidden="false" customHeight="false" outlineLevel="0" collapsed="false">
      <c r="A47" s="8" t="str">
        <f aca="false">IF(품목목록!$A47="","",품목목록!$A47)</f>
        <v/>
      </c>
      <c r="B47" s="8" t="str">
        <f aca="false">IF($A47="","",품목목록!$B47)</f>
        <v/>
      </c>
      <c r="C47" s="10" t="str">
        <f aca="false">IF($A47="","",IF(SUMIFS(견적입력!$F$3:$F$502,견적입력!$A$3:$A$502,$A47,견적입력!$B$3:$B$502,"V1")=0,"",SUMIFS(견적입력!$F$3:$F$502,견적입력!$A$3:$A$502,$A47,견적입력!$B$3:$B$502,"V1")))</f>
        <v/>
      </c>
      <c r="D47" s="10" t="str">
        <f aca="false">IF($A47="","",IF(SUMIFS(견적입력!$F$3:$F$502,견적입력!$A$3:$A$502,$A47,견적입력!$B$3:$B$502,"V2")=0,"",SUMIFS(견적입력!$F$3:$F$502,견적입력!$A$3:$A$502,$A47,견적입력!$B$3:$B$502,"V2")))</f>
        <v/>
      </c>
      <c r="E47" s="10" t="str">
        <f aca="false">IF($A47="","",IF(SUMIFS(견적입력!$F$3:$F$502,견적입력!$A$3:$A$502,$A47,견적입력!$B$3:$B$502,"V3")=0,"",SUMIFS(견적입력!$F$3:$F$502,견적입력!$A$3:$A$502,$A47,견적입력!$B$3:$B$502,"V3")))</f>
        <v/>
      </c>
      <c r="F47" s="10" t="str">
        <f aca="false">IF($A47="","",IF(SUMIFS(견적입력!$F$3:$F$502,견적입력!$A$3:$A$502,$A47,견적입력!$B$3:$B$502,"V4")=0,"",SUMIFS(견적입력!$F$3:$F$502,견적입력!$A$3:$A$502,$A47,견적입력!$B$3:$B$502,"V4")))</f>
        <v/>
      </c>
      <c r="G47" s="10" t="str">
        <f aca="false">IF($A47="","",IFERROR(_xlfn.MINIFS(견적입력!$F$3:$F$502,견적입력!$A$3:$A$502,$A47),""))</f>
        <v/>
      </c>
      <c r="H47" s="8" t="str">
        <f aca="false">IF($A47="","",IFERROR(INDEX(견적입력!$D$3:$D$502,MATCH($A47,견적입력!$I$3:$I$502,0)),""))</f>
        <v/>
      </c>
    </row>
    <row r="48" customFormat="false" ht="15" hidden="false" customHeight="false" outlineLevel="0" collapsed="false">
      <c r="A48" s="8" t="str">
        <f aca="false">IF(품목목록!$A48="","",품목목록!$A48)</f>
        <v/>
      </c>
      <c r="B48" s="8" t="str">
        <f aca="false">IF($A48="","",품목목록!$B48)</f>
        <v/>
      </c>
      <c r="C48" s="10" t="str">
        <f aca="false">IF($A48="","",IF(SUMIFS(견적입력!$F$3:$F$502,견적입력!$A$3:$A$502,$A48,견적입력!$B$3:$B$502,"V1")=0,"",SUMIFS(견적입력!$F$3:$F$502,견적입력!$A$3:$A$502,$A48,견적입력!$B$3:$B$502,"V1")))</f>
        <v/>
      </c>
      <c r="D48" s="10" t="str">
        <f aca="false">IF($A48="","",IF(SUMIFS(견적입력!$F$3:$F$502,견적입력!$A$3:$A$502,$A48,견적입력!$B$3:$B$502,"V2")=0,"",SUMIFS(견적입력!$F$3:$F$502,견적입력!$A$3:$A$502,$A48,견적입력!$B$3:$B$502,"V2")))</f>
        <v/>
      </c>
      <c r="E48" s="10" t="str">
        <f aca="false">IF($A48="","",IF(SUMIFS(견적입력!$F$3:$F$502,견적입력!$A$3:$A$502,$A48,견적입력!$B$3:$B$502,"V3")=0,"",SUMIFS(견적입력!$F$3:$F$502,견적입력!$A$3:$A$502,$A48,견적입력!$B$3:$B$502,"V3")))</f>
        <v/>
      </c>
      <c r="F48" s="10" t="str">
        <f aca="false">IF($A48="","",IF(SUMIFS(견적입력!$F$3:$F$502,견적입력!$A$3:$A$502,$A48,견적입력!$B$3:$B$502,"V4")=0,"",SUMIFS(견적입력!$F$3:$F$502,견적입력!$A$3:$A$502,$A48,견적입력!$B$3:$B$502,"V4")))</f>
        <v/>
      </c>
      <c r="G48" s="10" t="str">
        <f aca="false">IF($A48="","",IFERROR(_xlfn.MINIFS(견적입력!$F$3:$F$502,견적입력!$A$3:$A$502,$A48),""))</f>
        <v/>
      </c>
      <c r="H48" s="8" t="str">
        <f aca="false">IF($A48="","",IFERROR(INDEX(견적입력!$D$3:$D$502,MATCH($A48,견적입력!$I$3:$I$502,0)),""))</f>
        <v/>
      </c>
    </row>
    <row r="49" customFormat="false" ht="15" hidden="false" customHeight="false" outlineLevel="0" collapsed="false">
      <c r="A49" s="8" t="str">
        <f aca="false">IF(품목목록!$A49="","",품목목록!$A49)</f>
        <v/>
      </c>
      <c r="B49" s="8" t="str">
        <f aca="false">IF($A49="","",품목목록!$B49)</f>
        <v/>
      </c>
      <c r="C49" s="10" t="str">
        <f aca="false">IF($A49="","",IF(SUMIFS(견적입력!$F$3:$F$502,견적입력!$A$3:$A$502,$A49,견적입력!$B$3:$B$502,"V1")=0,"",SUMIFS(견적입력!$F$3:$F$502,견적입력!$A$3:$A$502,$A49,견적입력!$B$3:$B$502,"V1")))</f>
        <v/>
      </c>
      <c r="D49" s="10" t="str">
        <f aca="false">IF($A49="","",IF(SUMIFS(견적입력!$F$3:$F$502,견적입력!$A$3:$A$502,$A49,견적입력!$B$3:$B$502,"V2")=0,"",SUMIFS(견적입력!$F$3:$F$502,견적입력!$A$3:$A$502,$A49,견적입력!$B$3:$B$502,"V2")))</f>
        <v/>
      </c>
      <c r="E49" s="10" t="str">
        <f aca="false">IF($A49="","",IF(SUMIFS(견적입력!$F$3:$F$502,견적입력!$A$3:$A$502,$A49,견적입력!$B$3:$B$502,"V3")=0,"",SUMIFS(견적입력!$F$3:$F$502,견적입력!$A$3:$A$502,$A49,견적입력!$B$3:$B$502,"V3")))</f>
        <v/>
      </c>
      <c r="F49" s="10" t="str">
        <f aca="false">IF($A49="","",IF(SUMIFS(견적입력!$F$3:$F$502,견적입력!$A$3:$A$502,$A49,견적입력!$B$3:$B$502,"V4")=0,"",SUMIFS(견적입력!$F$3:$F$502,견적입력!$A$3:$A$502,$A49,견적입력!$B$3:$B$502,"V4")))</f>
        <v/>
      </c>
      <c r="G49" s="10" t="str">
        <f aca="false">IF($A49="","",IFERROR(_xlfn.MINIFS(견적입력!$F$3:$F$502,견적입력!$A$3:$A$502,$A49),""))</f>
        <v/>
      </c>
      <c r="H49" s="8" t="str">
        <f aca="false">IF($A49="","",IFERROR(INDEX(견적입력!$D$3:$D$502,MATCH($A49,견적입력!$I$3:$I$502,0)),""))</f>
        <v/>
      </c>
    </row>
    <row r="50" customFormat="false" ht="15" hidden="false" customHeight="false" outlineLevel="0" collapsed="false">
      <c r="A50" s="8" t="str">
        <f aca="false">IF(품목목록!$A50="","",품목목록!$A50)</f>
        <v/>
      </c>
      <c r="B50" s="8" t="str">
        <f aca="false">IF($A50="","",품목목록!$B50)</f>
        <v/>
      </c>
      <c r="C50" s="10" t="str">
        <f aca="false">IF($A50="","",IF(SUMIFS(견적입력!$F$3:$F$502,견적입력!$A$3:$A$502,$A50,견적입력!$B$3:$B$502,"V1")=0,"",SUMIFS(견적입력!$F$3:$F$502,견적입력!$A$3:$A$502,$A50,견적입력!$B$3:$B$502,"V1")))</f>
        <v/>
      </c>
      <c r="D50" s="10" t="str">
        <f aca="false">IF($A50="","",IF(SUMIFS(견적입력!$F$3:$F$502,견적입력!$A$3:$A$502,$A50,견적입력!$B$3:$B$502,"V2")=0,"",SUMIFS(견적입력!$F$3:$F$502,견적입력!$A$3:$A$502,$A50,견적입력!$B$3:$B$502,"V2")))</f>
        <v/>
      </c>
      <c r="E50" s="10" t="str">
        <f aca="false">IF($A50="","",IF(SUMIFS(견적입력!$F$3:$F$502,견적입력!$A$3:$A$502,$A50,견적입력!$B$3:$B$502,"V3")=0,"",SUMIFS(견적입력!$F$3:$F$502,견적입력!$A$3:$A$502,$A50,견적입력!$B$3:$B$502,"V3")))</f>
        <v/>
      </c>
      <c r="F50" s="10" t="str">
        <f aca="false">IF($A50="","",IF(SUMIFS(견적입력!$F$3:$F$502,견적입력!$A$3:$A$502,$A50,견적입력!$B$3:$B$502,"V4")=0,"",SUMIFS(견적입력!$F$3:$F$502,견적입력!$A$3:$A$502,$A50,견적입력!$B$3:$B$502,"V4")))</f>
        <v/>
      </c>
      <c r="G50" s="10" t="str">
        <f aca="false">IF($A50="","",IFERROR(_xlfn.MINIFS(견적입력!$F$3:$F$502,견적입력!$A$3:$A$502,$A50),""))</f>
        <v/>
      </c>
      <c r="H50" s="8" t="str">
        <f aca="false">IF($A50="","",IFERROR(INDEX(견적입력!$D$3:$D$502,MATCH($A50,견적입력!$I$3:$I$502,0)),""))</f>
        <v/>
      </c>
    </row>
    <row r="51" customFormat="false" ht="15" hidden="false" customHeight="false" outlineLevel="0" collapsed="false">
      <c r="A51" s="8" t="str">
        <f aca="false">IF(품목목록!$A51="","",품목목록!$A51)</f>
        <v/>
      </c>
      <c r="B51" s="8" t="str">
        <f aca="false">IF($A51="","",품목목록!$B51)</f>
        <v/>
      </c>
      <c r="C51" s="10" t="str">
        <f aca="false">IF($A51="","",IF(SUMIFS(견적입력!$F$3:$F$502,견적입력!$A$3:$A$502,$A51,견적입력!$B$3:$B$502,"V1")=0,"",SUMIFS(견적입력!$F$3:$F$502,견적입력!$A$3:$A$502,$A51,견적입력!$B$3:$B$502,"V1")))</f>
        <v/>
      </c>
      <c r="D51" s="10" t="str">
        <f aca="false">IF($A51="","",IF(SUMIFS(견적입력!$F$3:$F$502,견적입력!$A$3:$A$502,$A51,견적입력!$B$3:$B$502,"V2")=0,"",SUMIFS(견적입력!$F$3:$F$502,견적입력!$A$3:$A$502,$A51,견적입력!$B$3:$B$502,"V2")))</f>
        <v/>
      </c>
      <c r="E51" s="10" t="str">
        <f aca="false">IF($A51="","",IF(SUMIFS(견적입력!$F$3:$F$502,견적입력!$A$3:$A$502,$A51,견적입력!$B$3:$B$502,"V3")=0,"",SUMIFS(견적입력!$F$3:$F$502,견적입력!$A$3:$A$502,$A51,견적입력!$B$3:$B$502,"V3")))</f>
        <v/>
      </c>
      <c r="F51" s="10" t="str">
        <f aca="false">IF($A51="","",IF(SUMIFS(견적입력!$F$3:$F$502,견적입력!$A$3:$A$502,$A51,견적입력!$B$3:$B$502,"V4")=0,"",SUMIFS(견적입력!$F$3:$F$502,견적입력!$A$3:$A$502,$A51,견적입력!$B$3:$B$502,"V4")))</f>
        <v/>
      </c>
      <c r="G51" s="10" t="str">
        <f aca="false">IF($A51="","",IFERROR(_xlfn.MINIFS(견적입력!$F$3:$F$502,견적입력!$A$3:$A$502,$A51),""))</f>
        <v/>
      </c>
      <c r="H51" s="8" t="str">
        <f aca="false">IF($A51="","",IFERROR(INDEX(견적입력!$D$3:$D$502,MATCH($A51,견적입력!$I$3:$I$502,0)),""))</f>
        <v/>
      </c>
    </row>
    <row r="52" customFormat="false" ht="15" hidden="false" customHeight="false" outlineLevel="0" collapsed="false">
      <c r="A52" s="8" t="str">
        <f aca="false">IF(품목목록!$A52="","",품목목록!$A52)</f>
        <v/>
      </c>
      <c r="B52" s="8" t="str">
        <f aca="false">IF($A52="","",품목목록!$B52)</f>
        <v/>
      </c>
      <c r="C52" s="10" t="str">
        <f aca="false">IF($A52="","",IF(SUMIFS(견적입력!$F$3:$F$502,견적입력!$A$3:$A$502,$A52,견적입력!$B$3:$B$502,"V1")=0,"",SUMIFS(견적입력!$F$3:$F$502,견적입력!$A$3:$A$502,$A52,견적입력!$B$3:$B$502,"V1")))</f>
        <v/>
      </c>
      <c r="D52" s="10" t="str">
        <f aca="false">IF($A52="","",IF(SUMIFS(견적입력!$F$3:$F$502,견적입력!$A$3:$A$502,$A52,견적입력!$B$3:$B$502,"V2")=0,"",SUMIFS(견적입력!$F$3:$F$502,견적입력!$A$3:$A$502,$A52,견적입력!$B$3:$B$502,"V2")))</f>
        <v/>
      </c>
      <c r="E52" s="10" t="str">
        <f aca="false">IF($A52="","",IF(SUMIFS(견적입력!$F$3:$F$502,견적입력!$A$3:$A$502,$A52,견적입력!$B$3:$B$502,"V3")=0,"",SUMIFS(견적입력!$F$3:$F$502,견적입력!$A$3:$A$502,$A52,견적입력!$B$3:$B$502,"V3")))</f>
        <v/>
      </c>
      <c r="F52" s="10" t="str">
        <f aca="false">IF($A52="","",IF(SUMIFS(견적입력!$F$3:$F$502,견적입력!$A$3:$A$502,$A52,견적입력!$B$3:$B$502,"V4")=0,"",SUMIFS(견적입력!$F$3:$F$502,견적입력!$A$3:$A$502,$A52,견적입력!$B$3:$B$502,"V4")))</f>
        <v/>
      </c>
      <c r="G52" s="10" t="str">
        <f aca="false">IF($A52="","",IFERROR(_xlfn.MINIFS(견적입력!$F$3:$F$502,견적입력!$A$3:$A$502,$A52),""))</f>
        <v/>
      </c>
      <c r="H52" s="8" t="str">
        <f aca="false">IF($A52="","",IFERROR(INDEX(견적입력!$D$3:$D$502,MATCH($A52,견적입력!$I$3:$I$502,0)),""))</f>
        <v/>
      </c>
    </row>
    <row r="53" customFormat="false" ht="15" hidden="false" customHeight="false" outlineLevel="0" collapsed="false">
      <c r="A53" s="8" t="str">
        <f aca="false">IF(품목목록!$A53="","",품목목록!$A53)</f>
        <v/>
      </c>
      <c r="B53" s="8" t="str">
        <f aca="false">IF($A53="","",품목목록!$B53)</f>
        <v/>
      </c>
      <c r="C53" s="10" t="str">
        <f aca="false">IF($A53="","",IF(SUMIFS(견적입력!$F$3:$F$502,견적입력!$A$3:$A$502,$A53,견적입력!$B$3:$B$502,"V1")=0,"",SUMIFS(견적입력!$F$3:$F$502,견적입력!$A$3:$A$502,$A53,견적입력!$B$3:$B$502,"V1")))</f>
        <v/>
      </c>
      <c r="D53" s="10" t="str">
        <f aca="false">IF($A53="","",IF(SUMIFS(견적입력!$F$3:$F$502,견적입력!$A$3:$A$502,$A53,견적입력!$B$3:$B$502,"V2")=0,"",SUMIFS(견적입력!$F$3:$F$502,견적입력!$A$3:$A$502,$A53,견적입력!$B$3:$B$502,"V2")))</f>
        <v/>
      </c>
      <c r="E53" s="10" t="str">
        <f aca="false">IF($A53="","",IF(SUMIFS(견적입력!$F$3:$F$502,견적입력!$A$3:$A$502,$A53,견적입력!$B$3:$B$502,"V3")=0,"",SUMIFS(견적입력!$F$3:$F$502,견적입력!$A$3:$A$502,$A53,견적입력!$B$3:$B$502,"V3")))</f>
        <v/>
      </c>
      <c r="F53" s="10" t="str">
        <f aca="false">IF($A53="","",IF(SUMIFS(견적입력!$F$3:$F$502,견적입력!$A$3:$A$502,$A53,견적입력!$B$3:$B$502,"V4")=0,"",SUMIFS(견적입력!$F$3:$F$502,견적입력!$A$3:$A$502,$A53,견적입력!$B$3:$B$502,"V4")))</f>
        <v/>
      </c>
      <c r="G53" s="10" t="str">
        <f aca="false">IF($A53="","",IFERROR(_xlfn.MINIFS(견적입력!$F$3:$F$502,견적입력!$A$3:$A$502,$A53),""))</f>
        <v/>
      </c>
      <c r="H53" s="8" t="str">
        <f aca="false">IF($A53="","",IFERROR(INDEX(견적입력!$D$3:$D$502,MATCH($A53,견적입력!$I$3:$I$502,0)),""))</f>
        <v/>
      </c>
    </row>
    <row r="54" customFormat="false" ht="15" hidden="false" customHeight="false" outlineLevel="0" collapsed="false">
      <c r="A54" s="8" t="str">
        <f aca="false">IF(품목목록!$A54="","",품목목록!$A54)</f>
        <v/>
      </c>
      <c r="B54" s="8" t="str">
        <f aca="false">IF($A54="","",품목목록!$B54)</f>
        <v/>
      </c>
      <c r="C54" s="10" t="str">
        <f aca="false">IF($A54="","",IF(SUMIFS(견적입력!$F$3:$F$502,견적입력!$A$3:$A$502,$A54,견적입력!$B$3:$B$502,"V1")=0,"",SUMIFS(견적입력!$F$3:$F$502,견적입력!$A$3:$A$502,$A54,견적입력!$B$3:$B$502,"V1")))</f>
        <v/>
      </c>
      <c r="D54" s="10" t="str">
        <f aca="false">IF($A54="","",IF(SUMIFS(견적입력!$F$3:$F$502,견적입력!$A$3:$A$502,$A54,견적입력!$B$3:$B$502,"V2")=0,"",SUMIFS(견적입력!$F$3:$F$502,견적입력!$A$3:$A$502,$A54,견적입력!$B$3:$B$502,"V2")))</f>
        <v/>
      </c>
      <c r="E54" s="10" t="str">
        <f aca="false">IF($A54="","",IF(SUMIFS(견적입력!$F$3:$F$502,견적입력!$A$3:$A$502,$A54,견적입력!$B$3:$B$502,"V3")=0,"",SUMIFS(견적입력!$F$3:$F$502,견적입력!$A$3:$A$502,$A54,견적입력!$B$3:$B$502,"V3")))</f>
        <v/>
      </c>
      <c r="F54" s="10" t="str">
        <f aca="false">IF($A54="","",IF(SUMIFS(견적입력!$F$3:$F$502,견적입력!$A$3:$A$502,$A54,견적입력!$B$3:$B$502,"V4")=0,"",SUMIFS(견적입력!$F$3:$F$502,견적입력!$A$3:$A$502,$A54,견적입력!$B$3:$B$502,"V4")))</f>
        <v/>
      </c>
      <c r="G54" s="10" t="str">
        <f aca="false">IF($A54="","",IFERROR(_xlfn.MINIFS(견적입력!$F$3:$F$502,견적입력!$A$3:$A$502,$A54),""))</f>
        <v/>
      </c>
      <c r="H54" s="8" t="str">
        <f aca="false">IF($A54="","",IFERROR(INDEX(견적입력!$D$3:$D$502,MATCH($A54,견적입력!$I$3:$I$502,0)),""))</f>
        <v/>
      </c>
    </row>
    <row r="55" customFormat="false" ht="15" hidden="false" customHeight="false" outlineLevel="0" collapsed="false">
      <c r="A55" s="8" t="str">
        <f aca="false">IF(품목목록!$A55="","",품목목록!$A55)</f>
        <v/>
      </c>
      <c r="B55" s="8" t="str">
        <f aca="false">IF($A55="","",품목목록!$B55)</f>
        <v/>
      </c>
      <c r="C55" s="10" t="str">
        <f aca="false">IF($A55="","",IF(SUMIFS(견적입력!$F$3:$F$502,견적입력!$A$3:$A$502,$A55,견적입력!$B$3:$B$502,"V1")=0,"",SUMIFS(견적입력!$F$3:$F$502,견적입력!$A$3:$A$502,$A55,견적입력!$B$3:$B$502,"V1")))</f>
        <v/>
      </c>
      <c r="D55" s="10" t="str">
        <f aca="false">IF($A55="","",IF(SUMIFS(견적입력!$F$3:$F$502,견적입력!$A$3:$A$502,$A55,견적입력!$B$3:$B$502,"V2")=0,"",SUMIFS(견적입력!$F$3:$F$502,견적입력!$A$3:$A$502,$A55,견적입력!$B$3:$B$502,"V2")))</f>
        <v/>
      </c>
      <c r="E55" s="10" t="str">
        <f aca="false">IF($A55="","",IF(SUMIFS(견적입력!$F$3:$F$502,견적입력!$A$3:$A$502,$A55,견적입력!$B$3:$B$502,"V3")=0,"",SUMIFS(견적입력!$F$3:$F$502,견적입력!$A$3:$A$502,$A55,견적입력!$B$3:$B$502,"V3")))</f>
        <v/>
      </c>
      <c r="F55" s="10" t="str">
        <f aca="false">IF($A55="","",IF(SUMIFS(견적입력!$F$3:$F$502,견적입력!$A$3:$A$502,$A55,견적입력!$B$3:$B$502,"V4")=0,"",SUMIFS(견적입력!$F$3:$F$502,견적입력!$A$3:$A$502,$A55,견적입력!$B$3:$B$502,"V4")))</f>
        <v/>
      </c>
      <c r="G55" s="10" t="str">
        <f aca="false">IF($A55="","",IFERROR(_xlfn.MINIFS(견적입력!$F$3:$F$502,견적입력!$A$3:$A$502,$A55),""))</f>
        <v/>
      </c>
      <c r="H55" s="8" t="str">
        <f aca="false">IF($A55="","",IFERROR(INDEX(견적입력!$D$3:$D$502,MATCH($A55,견적입력!$I$3:$I$502,0)),""))</f>
        <v/>
      </c>
    </row>
    <row r="56" customFormat="false" ht="15" hidden="false" customHeight="false" outlineLevel="0" collapsed="false">
      <c r="A56" s="8" t="str">
        <f aca="false">IF(품목목록!$A56="","",품목목록!$A56)</f>
        <v/>
      </c>
      <c r="B56" s="8" t="str">
        <f aca="false">IF($A56="","",품목목록!$B56)</f>
        <v/>
      </c>
      <c r="C56" s="10" t="str">
        <f aca="false">IF($A56="","",IF(SUMIFS(견적입력!$F$3:$F$502,견적입력!$A$3:$A$502,$A56,견적입력!$B$3:$B$502,"V1")=0,"",SUMIFS(견적입력!$F$3:$F$502,견적입력!$A$3:$A$502,$A56,견적입력!$B$3:$B$502,"V1")))</f>
        <v/>
      </c>
      <c r="D56" s="10" t="str">
        <f aca="false">IF($A56="","",IF(SUMIFS(견적입력!$F$3:$F$502,견적입력!$A$3:$A$502,$A56,견적입력!$B$3:$B$502,"V2")=0,"",SUMIFS(견적입력!$F$3:$F$502,견적입력!$A$3:$A$502,$A56,견적입력!$B$3:$B$502,"V2")))</f>
        <v/>
      </c>
      <c r="E56" s="10" t="str">
        <f aca="false">IF($A56="","",IF(SUMIFS(견적입력!$F$3:$F$502,견적입력!$A$3:$A$502,$A56,견적입력!$B$3:$B$502,"V3")=0,"",SUMIFS(견적입력!$F$3:$F$502,견적입력!$A$3:$A$502,$A56,견적입력!$B$3:$B$502,"V3")))</f>
        <v/>
      </c>
      <c r="F56" s="10" t="str">
        <f aca="false">IF($A56="","",IF(SUMIFS(견적입력!$F$3:$F$502,견적입력!$A$3:$A$502,$A56,견적입력!$B$3:$B$502,"V4")=0,"",SUMIFS(견적입력!$F$3:$F$502,견적입력!$A$3:$A$502,$A56,견적입력!$B$3:$B$502,"V4")))</f>
        <v/>
      </c>
      <c r="G56" s="10" t="str">
        <f aca="false">IF($A56="","",IFERROR(_xlfn.MINIFS(견적입력!$F$3:$F$502,견적입력!$A$3:$A$502,$A56),""))</f>
        <v/>
      </c>
      <c r="H56" s="8" t="str">
        <f aca="false">IF($A56="","",IFERROR(INDEX(견적입력!$D$3:$D$502,MATCH($A56,견적입력!$I$3:$I$502,0)),""))</f>
        <v/>
      </c>
    </row>
    <row r="57" customFormat="false" ht="15" hidden="false" customHeight="false" outlineLevel="0" collapsed="false">
      <c r="A57" s="8" t="str">
        <f aca="false">IF(품목목록!$A57="","",품목목록!$A57)</f>
        <v/>
      </c>
      <c r="B57" s="8" t="str">
        <f aca="false">IF($A57="","",품목목록!$B57)</f>
        <v/>
      </c>
      <c r="C57" s="10" t="str">
        <f aca="false">IF($A57="","",IF(SUMIFS(견적입력!$F$3:$F$502,견적입력!$A$3:$A$502,$A57,견적입력!$B$3:$B$502,"V1")=0,"",SUMIFS(견적입력!$F$3:$F$502,견적입력!$A$3:$A$502,$A57,견적입력!$B$3:$B$502,"V1")))</f>
        <v/>
      </c>
      <c r="D57" s="10" t="str">
        <f aca="false">IF($A57="","",IF(SUMIFS(견적입력!$F$3:$F$502,견적입력!$A$3:$A$502,$A57,견적입력!$B$3:$B$502,"V2")=0,"",SUMIFS(견적입력!$F$3:$F$502,견적입력!$A$3:$A$502,$A57,견적입력!$B$3:$B$502,"V2")))</f>
        <v/>
      </c>
      <c r="E57" s="10" t="str">
        <f aca="false">IF($A57="","",IF(SUMIFS(견적입력!$F$3:$F$502,견적입력!$A$3:$A$502,$A57,견적입력!$B$3:$B$502,"V3")=0,"",SUMIFS(견적입력!$F$3:$F$502,견적입력!$A$3:$A$502,$A57,견적입력!$B$3:$B$502,"V3")))</f>
        <v/>
      </c>
      <c r="F57" s="10" t="str">
        <f aca="false">IF($A57="","",IF(SUMIFS(견적입력!$F$3:$F$502,견적입력!$A$3:$A$502,$A57,견적입력!$B$3:$B$502,"V4")=0,"",SUMIFS(견적입력!$F$3:$F$502,견적입력!$A$3:$A$502,$A57,견적입력!$B$3:$B$502,"V4")))</f>
        <v/>
      </c>
      <c r="G57" s="10" t="str">
        <f aca="false">IF($A57="","",IFERROR(_xlfn.MINIFS(견적입력!$F$3:$F$502,견적입력!$A$3:$A$502,$A57),""))</f>
        <v/>
      </c>
      <c r="H57" s="8" t="str">
        <f aca="false">IF($A57="","",IFERROR(INDEX(견적입력!$D$3:$D$502,MATCH($A57,견적입력!$I$3:$I$502,0)),""))</f>
        <v/>
      </c>
    </row>
    <row r="58" customFormat="false" ht="15" hidden="false" customHeight="false" outlineLevel="0" collapsed="false">
      <c r="A58" s="8" t="str">
        <f aca="false">IF(품목목록!$A58="","",품목목록!$A58)</f>
        <v/>
      </c>
      <c r="B58" s="8" t="str">
        <f aca="false">IF($A58="","",품목목록!$B58)</f>
        <v/>
      </c>
      <c r="C58" s="10" t="str">
        <f aca="false">IF($A58="","",IF(SUMIFS(견적입력!$F$3:$F$502,견적입력!$A$3:$A$502,$A58,견적입력!$B$3:$B$502,"V1")=0,"",SUMIFS(견적입력!$F$3:$F$502,견적입력!$A$3:$A$502,$A58,견적입력!$B$3:$B$502,"V1")))</f>
        <v/>
      </c>
      <c r="D58" s="10" t="str">
        <f aca="false">IF($A58="","",IF(SUMIFS(견적입력!$F$3:$F$502,견적입력!$A$3:$A$502,$A58,견적입력!$B$3:$B$502,"V2")=0,"",SUMIFS(견적입력!$F$3:$F$502,견적입력!$A$3:$A$502,$A58,견적입력!$B$3:$B$502,"V2")))</f>
        <v/>
      </c>
      <c r="E58" s="10" t="str">
        <f aca="false">IF($A58="","",IF(SUMIFS(견적입력!$F$3:$F$502,견적입력!$A$3:$A$502,$A58,견적입력!$B$3:$B$502,"V3")=0,"",SUMIFS(견적입력!$F$3:$F$502,견적입력!$A$3:$A$502,$A58,견적입력!$B$3:$B$502,"V3")))</f>
        <v/>
      </c>
      <c r="F58" s="10" t="str">
        <f aca="false">IF($A58="","",IF(SUMIFS(견적입력!$F$3:$F$502,견적입력!$A$3:$A$502,$A58,견적입력!$B$3:$B$502,"V4")=0,"",SUMIFS(견적입력!$F$3:$F$502,견적입력!$A$3:$A$502,$A58,견적입력!$B$3:$B$502,"V4")))</f>
        <v/>
      </c>
      <c r="G58" s="10" t="str">
        <f aca="false">IF($A58="","",IFERROR(_xlfn.MINIFS(견적입력!$F$3:$F$502,견적입력!$A$3:$A$502,$A58),""))</f>
        <v/>
      </c>
      <c r="H58" s="8" t="str">
        <f aca="false">IF($A58="","",IFERROR(INDEX(견적입력!$D$3:$D$502,MATCH($A58,견적입력!$I$3:$I$502,0)),""))</f>
        <v/>
      </c>
    </row>
    <row r="59" customFormat="false" ht="15" hidden="false" customHeight="false" outlineLevel="0" collapsed="false">
      <c r="A59" s="8" t="str">
        <f aca="false">IF(품목목록!$A59="","",품목목록!$A59)</f>
        <v/>
      </c>
      <c r="B59" s="8" t="str">
        <f aca="false">IF($A59="","",품목목록!$B59)</f>
        <v/>
      </c>
      <c r="C59" s="10" t="str">
        <f aca="false">IF($A59="","",IF(SUMIFS(견적입력!$F$3:$F$502,견적입력!$A$3:$A$502,$A59,견적입력!$B$3:$B$502,"V1")=0,"",SUMIFS(견적입력!$F$3:$F$502,견적입력!$A$3:$A$502,$A59,견적입력!$B$3:$B$502,"V1")))</f>
        <v/>
      </c>
      <c r="D59" s="10" t="str">
        <f aca="false">IF($A59="","",IF(SUMIFS(견적입력!$F$3:$F$502,견적입력!$A$3:$A$502,$A59,견적입력!$B$3:$B$502,"V2")=0,"",SUMIFS(견적입력!$F$3:$F$502,견적입력!$A$3:$A$502,$A59,견적입력!$B$3:$B$502,"V2")))</f>
        <v/>
      </c>
      <c r="E59" s="10" t="str">
        <f aca="false">IF($A59="","",IF(SUMIFS(견적입력!$F$3:$F$502,견적입력!$A$3:$A$502,$A59,견적입력!$B$3:$B$502,"V3")=0,"",SUMIFS(견적입력!$F$3:$F$502,견적입력!$A$3:$A$502,$A59,견적입력!$B$3:$B$502,"V3")))</f>
        <v/>
      </c>
      <c r="F59" s="10" t="str">
        <f aca="false">IF($A59="","",IF(SUMIFS(견적입력!$F$3:$F$502,견적입력!$A$3:$A$502,$A59,견적입력!$B$3:$B$502,"V4")=0,"",SUMIFS(견적입력!$F$3:$F$502,견적입력!$A$3:$A$502,$A59,견적입력!$B$3:$B$502,"V4")))</f>
        <v/>
      </c>
      <c r="G59" s="10" t="str">
        <f aca="false">IF($A59="","",IFERROR(_xlfn.MINIFS(견적입력!$F$3:$F$502,견적입력!$A$3:$A$502,$A59),""))</f>
        <v/>
      </c>
      <c r="H59" s="8" t="str">
        <f aca="false">IF($A59="","",IFERROR(INDEX(견적입력!$D$3:$D$502,MATCH($A59,견적입력!$I$3:$I$502,0)),""))</f>
        <v/>
      </c>
    </row>
    <row r="60" customFormat="false" ht="15" hidden="false" customHeight="false" outlineLevel="0" collapsed="false">
      <c r="A60" s="8" t="str">
        <f aca="false">IF(품목목록!$A60="","",품목목록!$A60)</f>
        <v/>
      </c>
      <c r="B60" s="8" t="str">
        <f aca="false">IF($A60="","",품목목록!$B60)</f>
        <v/>
      </c>
      <c r="C60" s="10" t="str">
        <f aca="false">IF($A60="","",IF(SUMIFS(견적입력!$F$3:$F$502,견적입력!$A$3:$A$502,$A60,견적입력!$B$3:$B$502,"V1")=0,"",SUMIFS(견적입력!$F$3:$F$502,견적입력!$A$3:$A$502,$A60,견적입력!$B$3:$B$502,"V1")))</f>
        <v/>
      </c>
      <c r="D60" s="10" t="str">
        <f aca="false">IF($A60="","",IF(SUMIFS(견적입력!$F$3:$F$502,견적입력!$A$3:$A$502,$A60,견적입력!$B$3:$B$502,"V2")=0,"",SUMIFS(견적입력!$F$3:$F$502,견적입력!$A$3:$A$502,$A60,견적입력!$B$3:$B$502,"V2")))</f>
        <v/>
      </c>
      <c r="E60" s="10" t="str">
        <f aca="false">IF($A60="","",IF(SUMIFS(견적입력!$F$3:$F$502,견적입력!$A$3:$A$502,$A60,견적입력!$B$3:$B$502,"V3")=0,"",SUMIFS(견적입력!$F$3:$F$502,견적입력!$A$3:$A$502,$A60,견적입력!$B$3:$B$502,"V3")))</f>
        <v/>
      </c>
      <c r="F60" s="10" t="str">
        <f aca="false">IF($A60="","",IF(SUMIFS(견적입력!$F$3:$F$502,견적입력!$A$3:$A$502,$A60,견적입력!$B$3:$B$502,"V4")=0,"",SUMIFS(견적입력!$F$3:$F$502,견적입력!$A$3:$A$502,$A60,견적입력!$B$3:$B$502,"V4")))</f>
        <v/>
      </c>
      <c r="G60" s="10" t="str">
        <f aca="false">IF($A60="","",IFERROR(_xlfn.MINIFS(견적입력!$F$3:$F$502,견적입력!$A$3:$A$502,$A60),""))</f>
        <v/>
      </c>
      <c r="H60" s="8" t="str">
        <f aca="false">IF($A60="","",IFERROR(INDEX(견적입력!$D$3:$D$502,MATCH($A60,견적입력!$I$3:$I$502,0)),""))</f>
        <v/>
      </c>
    </row>
    <row r="61" customFormat="false" ht="15" hidden="false" customHeight="false" outlineLevel="0" collapsed="false">
      <c r="A61" s="8" t="str">
        <f aca="false">IF(품목목록!$A61="","",품목목록!$A61)</f>
        <v/>
      </c>
      <c r="B61" s="8" t="str">
        <f aca="false">IF($A61="","",품목목록!$B61)</f>
        <v/>
      </c>
      <c r="C61" s="10" t="str">
        <f aca="false">IF($A61="","",IF(SUMIFS(견적입력!$F$3:$F$502,견적입력!$A$3:$A$502,$A61,견적입력!$B$3:$B$502,"V1")=0,"",SUMIFS(견적입력!$F$3:$F$502,견적입력!$A$3:$A$502,$A61,견적입력!$B$3:$B$502,"V1")))</f>
        <v/>
      </c>
      <c r="D61" s="10" t="str">
        <f aca="false">IF($A61="","",IF(SUMIFS(견적입력!$F$3:$F$502,견적입력!$A$3:$A$502,$A61,견적입력!$B$3:$B$502,"V2")=0,"",SUMIFS(견적입력!$F$3:$F$502,견적입력!$A$3:$A$502,$A61,견적입력!$B$3:$B$502,"V2")))</f>
        <v/>
      </c>
      <c r="E61" s="10" t="str">
        <f aca="false">IF($A61="","",IF(SUMIFS(견적입력!$F$3:$F$502,견적입력!$A$3:$A$502,$A61,견적입력!$B$3:$B$502,"V3")=0,"",SUMIFS(견적입력!$F$3:$F$502,견적입력!$A$3:$A$502,$A61,견적입력!$B$3:$B$502,"V3")))</f>
        <v/>
      </c>
      <c r="F61" s="10" t="str">
        <f aca="false">IF($A61="","",IF(SUMIFS(견적입력!$F$3:$F$502,견적입력!$A$3:$A$502,$A61,견적입력!$B$3:$B$502,"V4")=0,"",SUMIFS(견적입력!$F$3:$F$502,견적입력!$A$3:$A$502,$A61,견적입력!$B$3:$B$502,"V4")))</f>
        <v/>
      </c>
      <c r="G61" s="10" t="str">
        <f aca="false">IF($A61="","",IFERROR(_xlfn.MINIFS(견적입력!$F$3:$F$502,견적입력!$A$3:$A$502,$A61),""))</f>
        <v/>
      </c>
      <c r="H61" s="8" t="str">
        <f aca="false">IF($A61="","",IFERROR(INDEX(견적입력!$D$3:$D$502,MATCH($A61,견적입력!$I$3:$I$502,0)),""))</f>
        <v/>
      </c>
    </row>
    <row r="62" customFormat="false" ht="15" hidden="false" customHeight="false" outlineLevel="0" collapsed="false">
      <c r="A62" s="8" t="str">
        <f aca="false">IF(품목목록!$A62="","",품목목록!$A62)</f>
        <v/>
      </c>
      <c r="B62" s="8" t="str">
        <f aca="false">IF($A62="","",품목목록!$B62)</f>
        <v/>
      </c>
      <c r="C62" s="10" t="str">
        <f aca="false">IF($A62="","",IF(SUMIFS(견적입력!$F$3:$F$502,견적입력!$A$3:$A$502,$A62,견적입력!$B$3:$B$502,"V1")=0,"",SUMIFS(견적입력!$F$3:$F$502,견적입력!$A$3:$A$502,$A62,견적입력!$B$3:$B$502,"V1")))</f>
        <v/>
      </c>
      <c r="D62" s="10" t="str">
        <f aca="false">IF($A62="","",IF(SUMIFS(견적입력!$F$3:$F$502,견적입력!$A$3:$A$502,$A62,견적입력!$B$3:$B$502,"V2")=0,"",SUMIFS(견적입력!$F$3:$F$502,견적입력!$A$3:$A$502,$A62,견적입력!$B$3:$B$502,"V2")))</f>
        <v/>
      </c>
      <c r="E62" s="10" t="str">
        <f aca="false">IF($A62="","",IF(SUMIFS(견적입력!$F$3:$F$502,견적입력!$A$3:$A$502,$A62,견적입력!$B$3:$B$502,"V3")=0,"",SUMIFS(견적입력!$F$3:$F$502,견적입력!$A$3:$A$502,$A62,견적입력!$B$3:$B$502,"V3")))</f>
        <v/>
      </c>
      <c r="F62" s="10" t="str">
        <f aca="false">IF($A62="","",IF(SUMIFS(견적입력!$F$3:$F$502,견적입력!$A$3:$A$502,$A62,견적입력!$B$3:$B$502,"V4")=0,"",SUMIFS(견적입력!$F$3:$F$502,견적입력!$A$3:$A$502,$A62,견적입력!$B$3:$B$502,"V4")))</f>
        <v/>
      </c>
      <c r="G62" s="10" t="str">
        <f aca="false">IF($A62="","",IFERROR(_xlfn.MINIFS(견적입력!$F$3:$F$502,견적입력!$A$3:$A$502,$A62),""))</f>
        <v/>
      </c>
      <c r="H62" s="8" t="str">
        <f aca="false">IF($A62="","",IFERROR(INDEX(견적입력!$D$3:$D$502,MATCH($A62,견적입력!$I$3:$I$502,0)),""))</f>
        <v/>
      </c>
    </row>
    <row r="63" customFormat="false" ht="15" hidden="false" customHeight="false" outlineLevel="0" collapsed="false">
      <c r="A63" s="8" t="str">
        <f aca="false">IF(품목목록!$A63="","",품목목록!$A63)</f>
        <v/>
      </c>
      <c r="B63" s="8" t="str">
        <f aca="false">IF($A63="","",품목목록!$B63)</f>
        <v/>
      </c>
      <c r="C63" s="10" t="str">
        <f aca="false">IF($A63="","",IF(SUMIFS(견적입력!$F$3:$F$502,견적입력!$A$3:$A$502,$A63,견적입력!$B$3:$B$502,"V1")=0,"",SUMIFS(견적입력!$F$3:$F$502,견적입력!$A$3:$A$502,$A63,견적입력!$B$3:$B$502,"V1")))</f>
        <v/>
      </c>
      <c r="D63" s="10" t="str">
        <f aca="false">IF($A63="","",IF(SUMIFS(견적입력!$F$3:$F$502,견적입력!$A$3:$A$502,$A63,견적입력!$B$3:$B$502,"V2")=0,"",SUMIFS(견적입력!$F$3:$F$502,견적입력!$A$3:$A$502,$A63,견적입력!$B$3:$B$502,"V2")))</f>
        <v/>
      </c>
      <c r="E63" s="10" t="str">
        <f aca="false">IF($A63="","",IF(SUMIFS(견적입력!$F$3:$F$502,견적입력!$A$3:$A$502,$A63,견적입력!$B$3:$B$502,"V3")=0,"",SUMIFS(견적입력!$F$3:$F$502,견적입력!$A$3:$A$502,$A63,견적입력!$B$3:$B$502,"V3")))</f>
        <v/>
      </c>
      <c r="F63" s="10" t="str">
        <f aca="false">IF($A63="","",IF(SUMIFS(견적입력!$F$3:$F$502,견적입력!$A$3:$A$502,$A63,견적입력!$B$3:$B$502,"V4")=0,"",SUMIFS(견적입력!$F$3:$F$502,견적입력!$A$3:$A$502,$A63,견적입력!$B$3:$B$502,"V4")))</f>
        <v/>
      </c>
      <c r="G63" s="10" t="str">
        <f aca="false">IF($A63="","",IFERROR(_xlfn.MINIFS(견적입력!$F$3:$F$502,견적입력!$A$3:$A$502,$A63),""))</f>
        <v/>
      </c>
      <c r="H63" s="8" t="str">
        <f aca="false">IF($A63="","",IFERROR(INDEX(견적입력!$D$3:$D$502,MATCH($A63,견적입력!$I$3:$I$502,0)),""))</f>
        <v/>
      </c>
    </row>
    <row r="64" customFormat="false" ht="15" hidden="false" customHeight="false" outlineLevel="0" collapsed="false">
      <c r="A64" s="8" t="str">
        <f aca="false">IF(품목목록!$A64="","",품목목록!$A64)</f>
        <v/>
      </c>
      <c r="B64" s="8" t="str">
        <f aca="false">IF($A64="","",품목목록!$B64)</f>
        <v/>
      </c>
      <c r="C64" s="10" t="str">
        <f aca="false">IF($A64="","",IF(SUMIFS(견적입력!$F$3:$F$502,견적입력!$A$3:$A$502,$A64,견적입력!$B$3:$B$502,"V1")=0,"",SUMIFS(견적입력!$F$3:$F$502,견적입력!$A$3:$A$502,$A64,견적입력!$B$3:$B$502,"V1")))</f>
        <v/>
      </c>
      <c r="D64" s="10" t="str">
        <f aca="false">IF($A64="","",IF(SUMIFS(견적입력!$F$3:$F$502,견적입력!$A$3:$A$502,$A64,견적입력!$B$3:$B$502,"V2")=0,"",SUMIFS(견적입력!$F$3:$F$502,견적입력!$A$3:$A$502,$A64,견적입력!$B$3:$B$502,"V2")))</f>
        <v/>
      </c>
      <c r="E64" s="10" t="str">
        <f aca="false">IF($A64="","",IF(SUMIFS(견적입력!$F$3:$F$502,견적입력!$A$3:$A$502,$A64,견적입력!$B$3:$B$502,"V3")=0,"",SUMIFS(견적입력!$F$3:$F$502,견적입력!$A$3:$A$502,$A64,견적입력!$B$3:$B$502,"V3")))</f>
        <v/>
      </c>
      <c r="F64" s="10" t="str">
        <f aca="false">IF($A64="","",IF(SUMIFS(견적입력!$F$3:$F$502,견적입력!$A$3:$A$502,$A64,견적입력!$B$3:$B$502,"V4")=0,"",SUMIFS(견적입력!$F$3:$F$502,견적입력!$A$3:$A$502,$A64,견적입력!$B$3:$B$502,"V4")))</f>
        <v/>
      </c>
      <c r="G64" s="10" t="str">
        <f aca="false">IF($A64="","",IFERROR(_xlfn.MINIFS(견적입력!$F$3:$F$502,견적입력!$A$3:$A$502,$A64),""))</f>
        <v/>
      </c>
      <c r="H64" s="8" t="str">
        <f aca="false">IF($A64="","",IFERROR(INDEX(견적입력!$D$3:$D$502,MATCH($A64,견적입력!$I$3:$I$502,0)),""))</f>
        <v/>
      </c>
    </row>
    <row r="65" customFormat="false" ht="15" hidden="false" customHeight="false" outlineLevel="0" collapsed="false">
      <c r="A65" s="8" t="str">
        <f aca="false">IF(품목목록!$A65="","",품목목록!$A65)</f>
        <v/>
      </c>
      <c r="B65" s="8" t="str">
        <f aca="false">IF($A65="","",품목목록!$B65)</f>
        <v/>
      </c>
      <c r="C65" s="10" t="str">
        <f aca="false">IF($A65="","",IF(SUMIFS(견적입력!$F$3:$F$502,견적입력!$A$3:$A$502,$A65,견적입력!$B$3:$B$502,"V1")=0,"",SUMIFS(견적입력!$F$3:$F$502,견적입력!$A$3:$A$502,$A65,견적입력!$B$3:$B$502,"V1")))</f>
        <v/>
      </c>
      <c r="D65" s="10" t="str">
        <f aca="false">IF($A65="","",IF(SUMIFS(견적입력!$F$3:$F$502,견적입력!$A$3:$A$502,$A65,견적입력!$B$3:$B$502,"V2")=0,"",SUMIFS(견적입력!$F$3:$F$502,견적입력!$A$3:$A$502,$A65,견적입력!$B$3:$B$502,"V2")))</f>
        <v/>
      </c>
      <c r="E65" s="10" t="str">
        <f aca="false">IF($A65="","",IF(SUMIFS(견적입력!$F$3:$F$502,견적입력!$A$3:$A$502,$A65,견적입력!$B$3:$B$502,"V3")=0,"",SUMIFS(견적입력!$F$3:$F$502,견적입력!$A$3:$A$502,$A65,견적입력!$B$3:$B$502,"V3")))</f>
        <v/>
      </c>
      <c r="F65" s="10" t="str">
        <f aca="false">IF($A65="","",IF(SUMIFS(견적입력!$F$3:$F$502,견적입력!$A$3:$A$502,$A65,견적입력!$B$3:$B$502,"V4")=0,"",SUMIFS(견적입력!$F$3:$F$502,견적입력!$A$3:$A$502,$A65,견적입력!$B$3:$B$502,"V4")))</f>
        <v/>
      </c>
      <c r="G65" s="10" t="str">
        <f aca="false">IF($A65="","",IFERROR(_xlfn.MINIFS(견적입력!$F$3:$F$502,견적입력!$A$3:$A$502,$A65),""))</f>
        <v/>
      </c>
      <c r="H65" s="8" t="str">
        <f aca="false">IF($A65="","",IFERROR(INDEX(견적입력!$D$3:$D$502,MATCH($A65,견적입력!$I$3:$I$502,0)),""))</f>
        <v/>
      </c>
    </row>
    <row r="66" customFormat="false" ht="15" hidden="false" customHeight="false" outlineLevel="0" collapsed="false">
      <c r="A66" s="8" t="str">
        <f aca="false">IF(품목목록!$A66="","",품목목록!$A66)</f>
        <v/>
      </c>
      <c r="B66" s="8" t="str">
        <f aca="false">IF($A66="","",품목목록!$B66)</f>
        <v/>
      </c>
      <c r="C66" s="10" t="str">
        <f aca="false">IF($A66="","",IF(SUMIFS(견적입력!$F$3:$F$502,견적입력!$A$3:$A$502,$A66,견적입력!$B$3:$B$502,"V1")=0,"",SUMIFS(견적입력!$F$3:$F$502,견적입력!$A$3:$A$502,$A66,견적입력!$B$3:$B$502,"V1")))</f>
        <v/>
      </c>
      <c r="D66" s="10" t="str">
        <f aca="false">IF($A66="","",IF(SUMIFS(견적입력!$F$3:$F$502,견적입력!$A$3:$A$502,$A66,견적입력!$B$3:$B$502,"V2")=0,"",SUMIFS(견적입력!$F$3:$F$502,견적입력!$A$3:$A$502,$A66,견적입력!$B$3:$B$502,"V2")))</f>
        <v/>
      </c>
      <c r="E66" s="10" t="str">
        <f aca="false">IF($A66="","",IF(SUMIFS(견적입력!$F$3:$F$502,견적입력!$A$3:$A$502,$A66,견적입력!$B$3:$B$502,"V3")=0,"",SUMIFS(견적입력!$F$3:$F$502,견적입력!$A$3:$A$502,$A66,견적입력!$B$3:$B$502,"V3")))</f>
        <v/>
      </c>
      <c r="F66" s="10" t="str">
        <f aca="false">IF($A66="","",IF(SUMIFS(견적입력!$F$3:$F$502,견적입력!$A$3:$A$502,$A66,견적입력!$B$3:$B$502,"V4")=0,"",SUMIFS(견적입력!$F$3:$F$502,견적입력!$A$3:$A$502,$A66,견적입력!$B$3:$B$502,"V4")))</f>
        <v/>
      </c>
      <c r="G66" s="10" t="str">
        <f aca="false">IF($A66="","",IFERROR(_xlfn.MINIFS(견적입력!$F$3:$F$502,견적입력!$A$3:$A$502,$A66),""))</f>
        <v/>
      </c>
      <c r="H66" s="8" t="str">
        <f aca="false">IF($A66="","",IFERROR(INDEX(견적입력!$D$3:$D$502,MATCH($A66,견적입력!$I$3:$I$502,0)),""))</f>
        <v/>
      </c>
    </row>
    <row r="67" customFormat="false" ht="15" hidden="false" customHeight="false" outlineLevel="0" collapsed="false">
      <c r="A67" s="8" t="str">
        <f aca="false">IF(품목목록!$A67="","",품목목록!$A67)</f>
        <v/>
      </c>
      <c r="B67" s="8" t="str">
        <f aca="false">IF($A67="","",품목목록!$B67)</f>
        <v/>
      </c>
      <c r="C67" s="10" t="str">
        <f aca="false">IF($A67="","",IF(SUMIFS(견적입력!$F$3:$F$502,견적입력!$A$3:$A$502,$A67,견적입력!$B$3:$B$502,"V1")=0,"",SUMIFS(견적입력!$F$3:$F$502,견적입력!$A$3:$A$502,$A67,견적입력!$B$3:$B$502,"V1")))</f>
        <v/>
      </c>
      <c r="D67" s="10" t="str">
        <f aca="false">IF($A67="","",IF(SUMIFS(견적입력!$F$3:$F$502,견적입력!$A$3:$A$502,$A67,견적입력!$B$3:$B$502,"V2")=0,"",SUMIFS(견적입력!$F$3:$F$502,견적입력!$A$3:$A$502,$A67,견적입력!$B$3:$B$502,"V2")))</f>
        <v/>
      </c>
      <c r="E67" s="10" t="str">
        <f aca="false">IF($A67="","",IF(SUMIFS(견적입력!$F$3:$F$502,견적입력!$A$3:$A$502,$A67,견적입력!$B$3:$B$502,"V3")=0,"",SUMIFS(견적입력!$F$3:$F$502,견적입력!$A$3:$A$502,$A67,견적입력!$B$3:$B$502,"V3")))</f>
        <v/>
      </c>
      <c r="F67" s="10" t="str">
        <f aca="false">IF($A67="","",IF(SUMIFS(견적입력!$F$3:$F$502,견적입력!$A$3:$A$502,$A67,견적입력!$B$3:$B$502,"V4")=0,"",SUMIFS(견적입력!$F$3:$F$502,견적입력!$A$3:$A$502,$A67,견적입력!$B$3:$B$502,"V4")))</f>
        <v/>
      </c>
      <c r="G67" s="10" t="str">
        <f aca="false">IF($A67="","",IFERROR(_xlfn.MINIFS(견적입력!$F$3:$F$502,견적입력!$A$3:$A$502,$A67),""))</f>
        <v/>
      </c>
      <c r="H67" s="8" t="str">
        <f aca="false">IF($A67="","",IFERROR(INDEX(견적입력!$D$3:$D$502,MATCH($A67,견적입력!$I$3:$I$502,0)),""))</f>
        <v/>
      </c>
    </row>
    <row r="68" customFormat="false" ht="15" hidden="false" customHeight="false" outlineLevel="0" collapsed="false">
      <c r="A68" s="8" t="str">
        <f aca="false">IF(품목목록!$A68="","",품목목록!$A68)</f>
        <v/>
      </c>
      <c r="B68" s="8" t="str">
        <f aca="false">IF($A68="","",품목목록!$B68)</f>
        <v/>
      </c>
      <c r="C68" s="10" t="str">
        <f aca="false">IF($A68="","",IF(SUMIFS(견적입력!$F$3:$F$502,견적입력!$A$3:$A$502,$A68,견적입력!$B$3:$B$502,"V1")=0,"",SUMIFS(견적입력!$F$3:$F$502,견적입력!$A$3:$A$502,$A68,견적입력!$B$3:$B$502,"V1")))</f>
        <v/>
      </c>
      <c r="D68" s="10" t="str">
        <f aca="false">IF($A68="","",IF(SUMIFS(견적입력!$F$3:$F$502,견적입력!$A$3:$A$502,$A68,견적입력!$B$3:$B$502,"V2")=0,"",SUMIFS(견적입력!$F$3:$F$502,견적입력!$A$3:$A$502,$A68,견적입력!$B$3:$B$502,"V2")))</f>
        <v/>
      </c>
      <c r="E68" s="10" t="str">
        <f aca="false">IF($A68="","",IF(SUMIFS(견적입력!$F$3:$F$502,견적입력!$A$3:$A$502,$A68,견적입력!$B$3:$B$502,"V3")=0,"",SUMIFS(견적입력!$F$3:$F$502,견적입력!$A$3:$A$502,$A68,견적입력!$B$3:$B$502,"V3")))</f>
        <v/>
      </c>
      <c r="F68" s="10" t="str">
        <f aca="false">IF($A68="","",IF(SUMIFS(견적입력!$F$3:$F$502,견적입력!$A$3:$A$502,$A68,견적입력!$B$3:$B$502,"V4")=0,"",SUMIFS(견적입력!$F$3:$F$502,견적입력!$A$3:$A$502,$A68,견적입력!$B$3:$B$502,"V4")))</f>
        <v/>
      </c>
      <c r="G68" s="10" t="str">
        <f aca="false">IF($A68="","",IFERROR(_xlfn.MINIFS(견적입력!$F$3:$F$502,견적입력!$A$3:$A$502,$A68),""))</f>
        <v/>
      </c>
      <c r="H68" s="8" t="str">
        <f aca="false">IF($A68="","",IFERROR(INDEX(견적입력!$D$3:$D$502,MATCH($A68,견적입력!$I$3:$I$502,0)),""))</f>
        <v/>
      </c>
    </row>
    <row r="69" customFormat="false" ht="15" hidden="false" customHeight="false" outlineLevel="0" collapsed="false">
      <c r="A69" s="8" t="str">
        <f aca="false">IF(품목목록!$A69="","",품목목록!$A69)</f>
        <v/>
      </c>
      <c r="B69" s="8" t="str">
        <f aca="false">IF($A69="","",품목목록!$B69)</f>
        <v/>
      </c>
      <c r="C69" s="10" t="str">
        <f aca="false">IF($A69="","",IF(SUMIFS(견적입력!$F$3:$F$502,견적입력!$A$3:$A$502,$A69,견적입력!$B$3:$B$502,"V1")=0,"",SUMIFS(견적입력!$F$3:$F$502,견적입력!$A$3:$A$502,$A69,견적입력!$B$3:$B$502,"V1")))</f>
        <v/>
      </c>
      <c r="D69" s="10" t="str">
        <f aca="false">IF($A69="","",IF(SUMIFS(견적입력!$F$3:$F$502,견적입력!$A$3:$A$502,$A69,견적입력!$B$3:$B$502,"V2")=0,"",SUMIFS(견적입력!$F$3:$F$502,견적입력!$A$3:$A$502,$A69,견적입력!$B$3:$B$502,"V2")))</f>
        <v/>
      </c>
      <c r="E69" s="10" t="str">
        <f aca="false">IF($A69="","",IF(SUMIFS(견적입력!$F$3:$F$502,견적입력!$A$3:$A$502,$A69,견적입력!$B$3:$B$502,"V3")=0,"",SUMIFS(견적입력!$F$3:$F$502,견적입력!$A$3:$A$502,$A69,견적입력!$B$3:$B$502,"V3")))</f>
        <v/>
      </c>
      <c r="F69" s="10" t="str">
        <f aca="false">IF($A69="","",IF(SUMIFS(견적입력!$F$3:$F$502,견적입력!$A$3:$A$502,$A69,견적입력!$B$3:$B$502,"V4")=0,"",SUMIFS(견적입력!$F$3:$F$502,견적입력!$A$3:$A$502,$A69,견적입력!$B$3:$B$502,"V4")))</f>
        <v/>
      </c>
      <c r="G69" s="10" t="str">
        <f aca="false">IF($A69="","",IFERROR(_xlfn.MINIFS(견적입력!$F$3:$F$502,견적입력!$A$3:$A$502,$A69),""))</f>
        <v/>
      </c>
      <c r="H69" s="8" t="str">
        <f aca="false">IF($A69="","",IFERROR(INDEX(견적입력!$D$3:$D$502,MATCH($A69,견적입력!$I$3:$I$502,0)),""))</f>
        <v/>
      </c>
    </row>
    <row r="70" customFormat="false" ht="15" hidden="false" customHeight="false" outlineLevel="0" collapsed="false">
      <c r="A70" s="8" t="str">
        <f aca="false">IF(품목목록!$A70="","",품목목록!$A70)</f>
        <v/>
      </c>
      <c r="B70" s="8" t="str">
        <f aca="false">IF($A70="","",품목목록!$B70)</f>
        <v/>
      </c>
      <c r="C70" s="10" t="str">
        <f aca="false">IF($A70="","",IF(SUMIFS(견적입력!$F$3:$F$502,견적입력!$A$3:$A$502,$A70,견적입력!$B$3:$B$502,"V1")=0,"",SUMIFS(견적입력!$F$3:$F$502,견적입력!$A$3:$A$502,$A70,견적입력!$B$3:$B$502,"V1")))</f>
        <v/>
      </c>
      <c r="D70" s="10" t="str">
        <f aca="false">IF($A70="","",IF(SUMIFS(견적입력!$F$3:$F$502,견적입력!$A$3:$A$502,$A70,견적입력!$B$3:$B$502,"V2")=0,"",SUMIFS(견적입력!$F$3:$F$502,견적입력!$A$3:$A$502,$A70,견적입력!$B$3:$B$502,"V2")))</f>
        <v/>
      </c>
      <c r="E70" s="10" t="str">
        <f aca="false">IF($A70="","",IF(SUMIFS(견적입력!$F$3:$F$502,견적입력!$A$3:$A$502,$A70,견적입력!$B$3:$B$502,"V3")=0,"",SUMIFS(견적입력!$F$3:$F$502,견적입력!$A$3:$A$502,$A70,견적입력!$B$3:$B$502,"V3")))</f>
        <v/>
      </c>
      <c r="F70" s="10" t="str">
        <f aca="false">IF($A70="","",IF(SUMIFS(견적입력!$F$3:$F$502,견적입력!$A$3:$A$502,$A70,견적입력!$B$3:$B$502,"V4")=0,"",SUMIFS(견적입력!$F$3:$F$502,견적입력!$A$3:$A$502,$A70,견적입력!$B$3:$B$502,"V4")))</f>
        <v/>
      </c>
      <c r="G70" s="10" t="str">
        <f aca="false">IF($A70="","",IFERROR(_xlfn.MINIFS(견적입력!$F$3:$F$502,견적입력!$A$3:$A$502,$A70),""))</f>
        <v/>
      </c>
      <c r="H70" s="8" t="str">
        <f aca="false">IF($A70="","",IFERROR(INDEX(견적입력!$D$3:$D$502,MATCH($A70,견적입력!$I$3:$I$502,0)),""))</f>
        <v/>
      </c>
    </row>
    <row r="71" customFormat="false" ht="15" hidden="false" customHeight="false" outlineLevel="0" collapsed="false">
      <c r="A71" s="8" t="str">
        <f aca="false">IF(품목목록!$A71="","",품목목록!$A71)</f>
        <v/>
      </c>
      <c r="B71" s="8" t="str">
        <f aca="false">IF($A71="","",품목목록!$B71)</f>
        <v/>
      </c>
      <c r="C71" s="10" t="str">
        <f aca="false">IF($A71="","",IF(SUMIFS(견적입력!$F$3:$F$502,견적입력!$A$3:$A$502,$A71,견적입력!$B$3:$B$502,"V1")=0,"",SUMIFS(견적입력!$F$3:$F$502,견적입력!$A$3:$A$502,$A71,견적입력!$B$3:$B$502,"V1")))</f>
        <v/>
      </c>
      <c r="D71" s="10" t="str">
        <f aca="false">IF($A71="","",IF(SUMIFS(견적입력!$F$3:$F$502,견적입력!$A$3:$A$502,$A71,견적입력!$B$3:$B$502,"V2")=0,"",SUMIFS(견적입력!$F$3:$F$502,견적입력!$A$3:$A$502,$A71,견적입력!$B$3:$B$502,"V2")))</f>
        <v/>
      </c>
      <c r="E71" s="10" t="str">
        <f aca="false">IF($A71="","",IF(SUMIFS(견적입력!$F$3:$F$502,견적입력!$A$3:$A$502,$A71,견적입력!$B$3:$B$502,"V3")=0,"",SUMIFS(견적입력!$F$3:$F$502,견적입력!$A$3:$A$502,$A71,견적입력!$B$3:$B$502,"V3")))</f>
        <v/>
      </c>
      <c r="F71" s="10" t="str">
        <f aca="false">IF($A71="","",IF(SUMIFS(견적입력!$F$3:$F$502,견적입력!$A$3:$A$502,$A71,견적입력!$B$3:$B$502,"V4")=0,"",SUMIFS(견적입력!$F$3:$F$502,견적입력!$A$3:$A$502,$A71,견적입력!$B$3:$B$502,"V4")))</f>
        <v/>
      </c>
      <c r="G71" s="10" t="str">
        <f aca="false">IF($A71="","",IFERROR(_xlfn.MINIFS(견적입력!$F$3:$F$502,견적입력!$A$3:$A$502,$A71),""))</f>
        <v/>
      </c>
      <c r="H71" s="8" t="str">
        <f aca="false">IF($A71="","",IFERROR(INDEX(견적입력!$D$3:$D$502,MATCH($A71,견적입력!$I$3:$I$502,0)),""))</f>
        <v/>
      </c>
    </row>
    <row r="72" customFormat="false" ht="15" hidden="false" customHeight="false" outlineLevel="0" collapsed="false">
      <c r="A72" s="8" t="str">
        <f aca="false">IF(품목목록!$A72="","",품목목록!$A72)</f>
        <v/>
      </c>
      <c r="B72" s="8" t="str">
        <f aca="false">IF($A72="","",품목목록!$B72)</f>
        <v/>
      </c>
      <c r="C72" s="10" t="str">
        <f aca="false">IF($A72="","",IF(SUMIFS(견적입력!$F$3:$F$502,견적입력!$A$3:$A$502,$A72,견적입력!$B$3:$B$502,"V1")=0,"",SUMIFS(견적입력!$F$3:$F$502,견적입력!$A$3:$A$502,$A72,견적입력!$B$3:$B$502,"V1")))</f>
        <v/>
      </c>
      <c r="D72" s="10" t="str">
        <f aca="false">IF($A72="","",IF(SUMIFS(견적입력!$F$3:$F$502,견적입력!$A$3:$A$502,$A72,견적입력!$B$3:$B$502,"V2")=0,"",SUMIFS(견적입력!$F$3:$F$502,견적입력!$A$3:$A$502,$A72,견적입력!$B$3:$B$502,"V2")))</f>
        <v/>
      </c>
      <c r="E72" s="10" t="str">
        <f aca="false">IF($A72="","",IF(SUMIFS(견적입력!$F$3:$F$502,견적입력!$A$3:$A$502,$A72,견적입력!$B$3:$B$502,"V3")=0,"",SUMIFS(견적입력!$F$3:$F$502,견적입력!$A$3:$A$502,$A72,견적입력!$B$3:$B$502,"V3")))</f>
        <v/>
      </c>
      <c r="F72" s="10" t="str">
        <f aca="false">IF($A72="","",IF(SUMIFS(견적입력!$F$3:$F$502,견적입력!$A$3:$A$502,$A72,견적입력!$B$3:$B$502,"V4")=0,"",SUMIFS(견적입력!$F$3:$F$502,견적입력!$A$3:$A$502,$A72,견적입력!$B$3:$B$502,"V4")))</f>
        <v/>
      </c>
      <c r="G72" s="10" t="str">
        <f aca="false">IF($A72="","",IFERROR(_xlfn.MINIFS(견적입력!$F$3:$F$502,견적입력!$A$3:$A$502,$A72),""))</f>
        <v/>
      </c>
      <c r="H72" s="8" t="str">
        <f aca="false">IF($A72="","",IFERROR(INDEX(견적입력!$D$3:$D$502,MATCH($A72,견적입력!$I$3:$I$502,0)),""))</f>
        <v/>
      </c>
    </row>
    <row r="73" customFormat="false" ht="15" hidden="false" customHeight="false" outlineLevel="0" collapsed="false">
      <c r="A73" s="8" t="str">
        <f aca="false">IF(품목목록!$A73="","",품목목록!$A73)</f>
        <v/>
      </c>
      <c r="B73" s="8" t="str">
        <f aca="false">IF($A73="","",품목목록!$B73)</f>
        <v/>
      </c>
      <c r="C73" s="10" t="str">
        <f aca="false">IF($A73="","",IF(SUMIFS(견적입력!$F$3:$F$502,견적입력!$A$3:$A$502,$A73,견적입력!$B$3:$B$502,"V1")=0,"",SUMIFS(견적입력!$F$3:$F$502,견적입력!$A$3:$A$502,$A73,견적입력!$B$3:$B$502,"V1")))</f>
        <v/>
      </c>
      <c r="D73" s="10" t="str">
        <f aca="false">IF($A73="","",IF(SUMIFS(견적입력!$F$3:$F$502,견적입력!$A$3:$A$502,$A73,견적입력!$B$3:$B$502,"V2")=0,"",SUMIFS(견적입력!$F$3:$F$502,견적입력!$A$3:$A$502,$A73,견적입력!$B$3:$B$502,"V2")))</f>
        <v/>
      </c>
      <c r="E73" s="10" t="str">
        <f aca="false">IF($A73="","",IF(SUMIFS(견적입력!$F$3:$F$502,견적입력!$A$3:$A$502,$A73,견적입력!$B$3:$B$502,"V3")=0,"",SUMIFS(견적입력!$F$3:$F$502,견적입력!$A$3:$A$502,$A73,견적입력!$B$3:$B$502,"V3")))</f>
        <v/>
      </c>
      <c r="F73" s="10" t="str">
        <f aca="false">IF($A73="","",IF(SUMIFS(견적입력!$F$3:$F$502,견적입력!$A$3:$A$502,$A73,견적입력!$B$3:$B$502,"V4")=0,"",SUMIFS(견적입력!$F$3:$F$502,견적입력!$A$3:$A$502,$A73,견적입력!$B$3:$B$502,"V4")))</f>
        <v/>
      </c>
      <c r="G73" s="10" t="str">
        <f aca="false">IF($A73="","",IFERROR(_xlfn.MINIFS(견적입력!$F$3:$F$502,견적입력!$A$3:$A$502,$A73),""))</f>
        <v/>
      </c>
      <c r="H73" s="8" t="str">
        <f aca="false">IF($A73="","",IFERROR(INDEX(견적입력!$D$3:$D$502,MATCH($A73,견적입력!$I$3:$I$502,0)),""))</f>
        <v/>
      </c>
    </row>
    <row r="74" customFormat="false" ht="15" hidden="false" customHeight="false" outlineLevel="0" collapsed="false">
      <c r="A74" s="8" t="str">
        <f aca="false">IF(품목목록!$A74="","",품목목록!$A74)</f>
        <v/>
      </c>
      <c r="B74" s="8" t="str">
        <f aca="false">IF($A74="","",품목목록!$B74)</f>
        <v/>
      </c>
      <c r="C74" s="10" t="str">
        <f aca="false">IF($A74="","",IF(SUMIFS(견적입력!$F$3:$F$502,견적입력!$A$3:$A$502,$A74,견적입력!$B$3:$B$502,"V1")=0,"",SUMIFS(견적입력!$F$3:$F$502,견적입력!$A$3:$A$502,$A74,견적입력!$B$3:$B$502,"V1")))</f>
        <v/>
      </c>
      <c r="D74" s="10" t="str">
        <f aca="false">IF($A74="","",IF(SUMIFS(견적입력!$F$3:$F$502,견적입력!$A$3:$A$502,$A74,견적입력!$B$3:$B$502,"V2")=0,"",SUMIFS(견적입력!$F$3:$F$502,견적입력!$A$3:$A$502,$A74,견적입력!$B$3:$B$502,"V2")))</f>
        <v/>
      </c>
      <c r="E74" s="10" t="str">
        <f aca="false">IF($A74="","",IF(SUMIFS(견적입력!$F$3:$F$502,견적입력!$A$3:$A$502,$A74,견적입력!$B$3:$B$502,"V3")=0,"",SUMIFS(견적입력!$F$3:$F$502,견적입력!$A$3:$A$502,$A74,견적입력!$B$3:$B$502,"V3")))</f>
        <v/>
      </c>
      <c r="F74" s="10" t="str">
        <f aca="false">IF($A74="","",IF(SUMIFS(견적입력!$F$3:$F$502,견적입력!$A$3:$A$502,$A74,견적입력!$B$3:$B$502,"V4")=0,"",SUMIFS(견적입력!$F$3:$F$502,견적입력!$A$3:$A$502,$A74,견적입력!$B$3:$B$502,"V4")))</f>
        <v/>
      </c>
      <c r="G74" s="10" t="str">
        <f aca="false">IF($A74="","",IFERROR(_xlfn.MINIFS(견적입력!$F$3:$F$502,견적입력!$A$3:$A$502,$A74),""))</f>
        <v/>
      </c>
      <c r="H74" s="8" t="str">
        <f aca="false">IF($A74="","",IFERROR(INDEX(견적입력!$D$3:$D$502,MATCH($A74,견적입력!$I$3:$I$502,0)),""))</f>
        <v/>
      </c>
    </row>
    <row r="75" customFormat="false" ht="15" hidden="false" customHeight="false" outlineLevel="0" collapsed="false">
      <c r="A75" s="8" t="str">
        <f aca="false">IF(품목목록!$A75="","",품목목록!$A75)</f>
        <v/>
      </c>
      <c r="B75" s="8" t="str">
        <f aca="false">IF($A75="","",품목목록!$B75)</f>
        <v/>
      </c>
      <c r="C75" s="10" t="str">
        <f aca="false">IF($A75="","",IF(SUMIFS(견적입력!$F$3:$F$502,견적입력!$A$3:$A$502,$A75,견적입력!$B$3:$B$502,"V1")=0,"",SUMIFS(견적입력!$F$3:$F$502,견적입력!$A$3:$A$502,$A75,견적입력!$B$3:$B$502,"V1")))</f>
        <v/>
      </c>
      <c r="D75" s="10" t="str">
        <f aca="false">IF($A75="","",IF(SUMIFS(견적입력!$F$3:$F$502,견적입력!$A$3:$A$502,$A75,견적입력!$B$3:$B$502,"V2")=0,"",SUMIFS(견적입력!$F$3:$F$502,견적입력!$A$3:$A$502,$A75,견적입력!$B$3:$B$502,"V2")))</f>
        <v/>
      </c>
      <c r="E75" s="10" t="str">
        <f aca="false">IF($A75="","",IF(SUMIFS(견적입력!$F$3:$F$502,견적입력!$A$3:$A$502,$A75,견적입력!$B$3:$B$502,"V3")=0,"",SUMIFS(견적입력!$F$3:$F$502,견적입력!$A$3:$A$502,$A75,견적입력!$B$3:$B$502,"V3")))</f>
        <v/>
      </c>
      <c r="F75" s="10" t="str">
        <f aca="false">IF($A75="","",IF(SUMIFS(견적입력!$F$3:$F$502,견적입력!$A$3:$A$502,$A75,견적입력!$B$3:$B$502,"V4")=0,"",SUMIFS(견적입력!$F$3:$F$502,견적입력!$A$3:$A$502,$A75,견적입력!$B$3:$B$502,"V4")))</f>
        <v/>
      </c>
      <c r="G75" s="10" t="str">
        <f aca="false">IF($A75="","",IFERROR(_xlfn.MINIFS(견적입력!$F$3:$F$502,견적입력!$A$3:$A$502,$A75),""))</f>
        <v/>
      </c>
      <c r="H75" s="8" t="str">
        <f aca="false">IF($A75="","",IFERROR(INDEX(견적입력!$D$3:$D$502,MATCH($A75,견적입력!$I$3:$I$502,0)),""))</f>
        <v/>
      </c>
    </row>
    <row r="76" customFormat="false" ht="15" hidden="false" customHeight="false" outlineLevel="0" collapsed="false">
      <c r="A76" s="8" t="str">
        <f aca="false">IF(품목목록!$A76="","",품목목록!$A76)</f>
        <v/>
      </c>
      <c r="B76" s="8" t="str">
        <f aca="false">IF($A76="","",품목목록!$B76)</f>
        <v/>
      </c>
      <c r="C76" s="10" t="str">
        <f aca="false">IF($A76="","",IF(SUMIFS(견적입력!$F$3:$F$502,견적입력!$A$3:$A$502,$A76,견적입력!$B$3:$B$502,"V1")=0,"",SUMIFS(견적입력!$F$3:$F$502,견적입력!$A$3:$A$502,$A76,견적입력!$B$3:$B$502,"V1")))</f>
        <v/>
      </c>
      <c r="D76" s="10" t="str">
        <f aca="false">IF($A76="","",IF(SUMIFS(견적입력!$F$3:$F$502,견적입력!$A$3:$A$502,$A76,견적입력!$B$3:$B$502,"V2")=0,"",SUMIFS(견적입력!$F$3:$F$502,견적입력!$A$3:$A$502,$A76,견적입력!$B$3:$B$502,"V2")))</f>
        <v/>
      </c>
      <c r="E76" s="10" t="str">
        <f aca="false">IF($A76="","",IF(SUMIFS(견적입력!$F$3:$F$502,견적입력!$A$3:$A$502,$A76,견적입력!$B$3:$B$502,"V3")=0,"",SUMIFS(견적입력!$F$3:$F$502,견적입력!$A$3:$A$502,$A76,견적입력!$B$3:$B$502,"V3")))</f>
        <v/>
      </c>
      <c r="F76" s="10" t="str">
        <f aca="false">IF($A76="","",IF(SUMIFS(견적입력!$F$3:$F$502,견적입력!$A$3:$A$502,$A76,견적입력!$B$3:$B$502,"V4")=0,"",SUMIFS(견적입력!$F$3:$F$502,견적입력!$A$3:$A$502,$A76,견적입력!$B$3:$B$502,"V4")))</f>
        <v/>
      </c>
      <c r="G76" s="10" t="str">
        <f aca="false">IF($A76="","",IFERROR(_xlfn.MINIFS(견적입력!$F$3:$F$502,견적입력!$A$3:$A$502,$A76),""))</f>
        <v/>
      </c>
      <c r="H76" s="8" t="str">
        <f aca="false">IF($A76="","",IFERROR(INDEX(견적입력!$D$3:$D$502,MATCH($A76,견적입력!$I$3:$I$502,0)),""))</f>
        <v/>
      </c>
    </row>
    <row r="77" customFormat="false" ht="15" hidden="false" customHeight="false" outlineLevel="0" collapsed="false">
      <c r="A77" s="8" t="str">
        <f aca="false">IF(품목목록!$A77="","",품목목록!$A77)</f>
        <v/>
      </c>
      <c r="B77" s="8" t="str">
        <f aca="false">IF($A77="","",품목목록!$B77)</f>
        <v/>
      </c>
      <c r="C77" s="10" t="str">
        <f aca="false">IF($A77="","",IF(SUMIFS(견적입력!$F$3:$F$502,견적입력!$A$3:$A$502,$A77,견적입력!$B$3:$B$502,"V1")=0,"",SUMIFS(견적입력!$F$3:$F$502,견적입력!$A$3:$A$502,$A77,견적입력!$B$3:$B$502,"V1")))</f>
        <v/>
      </c>
      <c r="D77" s="10" t="str">
        <f aca="false">IF($A77="","",IF(SUMIFS(견적입력!$F$3:$F$502,견적입력!$A$3:$A$502,$A77,견적입력!$B$3:$B$502,"V2")=0,"",SUMIFS(견적입력!$F$3:$F$502,견적입력!$A$3:$A$502,$A77,견적입력!$B$3:$B$502,"V2")))</f>
        <v/>
      </c>
      <c r="E77" s="10" t="str">
        <f aca="false">IF($A77="","",IF(SUMIFS(견적입력!$F$3:$F$502,견적입력!$A$3:$A$502,$A77,견적입력!$B$3:$B$502,"V3")=0,"",SUMIFS(견적입력!$F$3:$F$502,견적입력!$A$3:$A$502,$A77,견적입력!$B$3:$B$502,"V3")))</f>
        <v/>
      </c>
      <c r="F77" s="10" t="str">
        <f aca="false">IF($A77="","",IF(SUMIFS(견적입력!$F$3:$F$502,견적입력!$A$3:$A$502,$A77,견적입력!$B$3:$B$502,"V4")=0,"",SUMIFS(견적입력!$F$3:$F$502,견적입력!$A$3:$A$502,$A77,견적입력!$B$3:$B$502,"V4")))</f>
        <v/>
      </c>
      <c r="G77" s="10" t="str">
        <f aca="false">IF($A77="","",IFERROR(_xlfn.MINIFS(견적입력!$F$3:$F$502,견적입력!$A$3:$A$502,$A77),""))</f>
        <v/>
      </c>
      <c r="H77" s="8" t="str">
        <f aca="false">IF($A77="","",IFERROR(INDEX(견적입력!$D$3:$D$502,MATCH($A77,견적입력!$I$3:$I$502,0)),""))</f>
        <v/>
      </c>
    </row>
    <row r="78" customFormat="false" ht="15" hidden="false" customHeight="false" outlineLevel="0" collapsed="false">
      <c r="A78" s="8" t="str">
        <f aca="false">IF(품목목록!$A78="","",품목목록!$A78)</f>
        <v/>
      </c>
      <c r="B78" s="8" t="str">
        <f aca="false">IF($A78="","",품목목록!$B78)</f>
        <v/>
      </c>
      <c r="C78" s="10" t="str">
        <f aca="false">IF($A78="","",IF(SUMIFS(견적입력!$F$3:$F$502,견적입력!$A$3:$A$502,$A78,견적입력!$B$3:$B$502,"V1")=0,"",SUMIFS(견적입력!$F$3:$F$502,견적입력!$A$3:$A$502,$A78,견적입력!$B$3:$B$502,"V1")))</f>
        <v/>
      </c>
      <c r="D78" s="10" t="str">
        <f aca="false">IF($A78="","",IF(SUMIFS(견적입력!$F$3:$F$502,견적입력!$A$3:$A$502,$A78,견적입력!$B$3:$B$502,"V2")=0,"",SUMIFS(견적입력!$F$3:$F$502,견적입력!$A$3:$A$502,$A78,견적입력!$B$3:$B$502,"V2")))</f>
        <v/>
      </c>
      <c r="E78" s="10" t="str">
        <f aca="false">IF($A78="","",IF(SUMIFS(견적입력!$F$3:$F$502,견적입력!$A$3:$A$502,$A78,견적입력!$B$3:$B$502,"V3")=0,"",SUMIFS(견적입력!$F$3:$F$502,견적입력!$A$3:$A$502,$A78,견적입력!$B$3:$B$502,"V3")))</f>
        <v/>
      </c>
      <c r="F78" s="10" t="str">
        <f aca="false">IF($A78="","",IF(SUMIFS(견적입력!$F$3:$F$502,견적입력!$A$3:$A$502,$A78,견적입력!$B$3:$B$502,"V4")=0,"",SUMIFS(견적입력!$F$3:$F$502,견적입력!$A$3:$A$502,$A78,견적입력!$B$3:$B$502,"V4")))</f>
        <v/>
      </c>
      <c r="G78" s="10" t="str">
        <f aca="false">IF($A78="","",IFERROR(_xlfn.MINIFS(견적입력!$F$3:$F$502,견적입력!$A$3:$A$502,$A78),""))</f>
        <v/>
      </c>
      <c r="H78" s="8" t="str">
        <f aca="false">IF($A78="","",IFERROR(INDEX(견적입력!$D$3:$D$502,MATCH($A78,견적입력!$I$3:$I$502,0)),""))</f>
        <v/>
      </c>
    </row>
    <row r="79" customFormat="false" ht="15" hidden="false" customHeight="false" outlineLevel="0" collapsed="false">
      <c r="A79" s="8" t="str">
        <f aca="false">IF(품목목록!$A79="","",품목목록!$A79)</f>
        <v/>
      </c>
      <c r="B79" s="8" t="str">
        <f aca="false">IF($A79="","",품목목록!$B79)</f>
        <v/>
      </c>
      <c r="C79" s="10" t="str">
        <f aca="false">IF($A79="","",IF(SUMIFS(견적입력!$F$3:$F$502,견적입력!$A$3:$A$502,$A79,견적입력!$B$3:$B$502,"V1")=0,"",SUMIFS(견적입력!$F$3:$F$502,견적입력!$A$3:$A$502,$A79,견적입력!$B$3:$B$502,"V1")))</f>
        <v/>
      </c>
      <c r="D79" s="10" t="str">
        <f aca="false">IF($A79="","",IF(SUMIFS(견적입력!$F$3:$F$502,견적입력!$A$3:$A$502,$A79,견적입력!$B$3:$B$502,"V2")=0,"",SUMIFS(견적입력!$F$3:$F$502,견적입력!$A$3:$A$502,$A79,견적입력!$B$3:$B$502,"V2")))</f>
        <v/>
      </c>
      <c r="E79" s="10" t="str">
        <f aca="false">IF($A79="","",IF(SUMIFS(견적입력!$F$3:$F$502,견적입력!$A$3:$A$502,$A79,견적입력!$B$3:$B$502,"V3")=0,"",SUMIFS(견적입력!$F$3:$F$502,견적입력!$A$3:$A$502,$A79,견적입력!$B$3:$B$502,"V3")))</f>
        <v/>
      </c>
      <c r="F79" s="10" t="str">
        <f aca="false">IF($A79="","",IF(SUMIFS(견적입력!$F$3:$F$502,견적입력!$A$3:$A$502,$A79,견적입력!$B$3:$B$502,"V4")=0,"",SUMIFS(견적입력!$F$3:$F$502,견적입력!$A$3:$A$502,$A79,견적입력!$B$3:$B$502,"V4")))</f>
        <v/>
      </c>
      <c r="G79" s="10" t="str">
        <f aca="false">IF($A79="","",IFERROR(_xlfn.MINIFS(견적입력!$F$3:$F$502,견적입력!$A$3:$A$502,$A79),""))</f>
        <v/>
      </c>
      <c r="H79" s="8" t="str">
        <f aca="false">IF($A79="","",IFERROR(INDEX(견적입력!$D$3:$D$502,MATCH($A79,견적입력!$I$3:$I$502,0)),""))</f>
        <v/>
      </c>
    </row>
    <row r="80" customFormat="false" ht="15" hidden="false" customHeight="false" outlineLevel="0" collapsed="false">
      <c r="A80" s="8" t="str">
        <f aca="false">IF(품목목록!$A80="","",품목목록!$A80)</f>
        <v/>
      </c>
      <c r="B80" s="8" t="str">
        <f aca="false">IF($A80="","",품목목록!$B80)</f>
        <v/>
      </c>
      <c r="C80" s="10" t="str">
        <f aca="false">IF($A80="","",IF(SUMIFS(견적입력!$F$3:$F$502,견적입력!$A$3:$A$502,$A80,견적입력!$B$3:$B$502,"V1")=0,"",SUMIFS(견적입력!$F$3:$F$502,견적입력!$A$3:$A$502,$A80,견적입력!$B$3:$B$502,"V1")))</f>
        <v/>
      </c>
      <c r="D80" s="10" t="str">
        <f aca="false">IF($A80="","",IF(SUMIFS(견적입력!$F$3:$F$502,견적입력!$A$3:$A$502,$A80,견적입력!$B$3:$B$502,"V2")=0,"",SUMIFS(견적입력!$F$3:$F$502,견적입력!$A$3:$A$502,$A80,견적입력!$B$3:$B$502,"V2")))</f>
        <v/>
      </c>
      <c r="E80" s="10" t="str">
        <f aca="false">IF($A80="","",IF(SUMIFS(견적입력!$F$3:$F$502,견적입력!$A$3:$A$502,$A80,견적입력!$B$3:$B$502,"V3")=0,"",SUMIFS(견적입력!$F$3:$F$502,견적입력!$A$3:$A$502,$A80,견적입력!$B$3:$B$502,"V3")))</f>
        <v/>
      </c>
      <c r="F80" s="10" t="str">
        <f aca="false">IF($A80="","",IF(SUMIFS(견적입력!$F$3:$F$502,견적입력!$A$3:$A$502,$A80,견적입력!$B$3:$B$502,"V4")=0,"",SUMIFS(견적입력!$F$3:$F$502,견적입력!$A$3:$A$502,$A80,견적입력!$B$3:$B$502,"V4")))</f>
        <v/>
      </c>
      <c r="G80" s="10" t="str">
        <f aca="false">IF($A80="","",IFERROR(_xlfn.MINIFS(견적입력!$F$3:$F$502,견적입력!$A$3:$A$502,$A80),""))</f>
        <v/>
      </c>
      <c r="H80" s="8" t="str">
        <f aca="false">IF($A80="","",IFERROR(INDEX(견적입력!$D$3:$D$502,MATCH($A80,견적입력!$I$3:$I$502,0)),""))</f>
        <v/>
      </c>
    </row>
    <row r="81" customFormat="false" ht="15" hidden="false" customHeight="false" outlineLevel="0" collapsed="false">
      <c r="A81" s="8" t="str">
        <f aca="false">IF(품목목록!$A81="","",품목목록!$A81)</f>
        <v/>
      </c>
      <c r="B81" s="8" t="str">
        <f aca="false">IF($A81="","",품목목록!$B81)</f>
        <v/>
      </c>
      <c r="C81" s="10" t="str">
        <f aca="false">IF($A81="","",IF(SUMIFS(견적입력!$F$3:$F$502,견적입력!$A$3:$A$502,$A81,견적입력!$B$3:$B$502,"V1")=0,"",SUMIFS(견적입력!$F$3:$F$502,견적입력!$A$3:$A$502,$A81,견적입력!$B$3:$B$502,"V1")))</f>
        <v/>
      </c>
      <c r="D81" s="10" t="str">
        <f aca="false">IF($A81="","",IF(SUMIFS(견적입력!$F$3:$F$502,견적입력!$A$3:$A$502,$A81,견적입력!$B$3:$B$502,"V2")=0,"",SUMIFS(견적입력!$F$3:$F$502,견적입력!$A$3:$A$502,$A81,견적입력!$B$3:$B$502,"V2")))</f>
        <v/>
      </c>
      <c r="E81" s="10" t="str">
        <f aca="false">IF($A81="","",IF(SUMIFS(견적입력!$F$3:$F$502,견적입력!$A$3:$A$502,$A81,견적입력!$B$3:$B$502,"V3")=0,"",SUMIFS(견적입력!$F$3:$F$502,견적입력!$A$3:$A$502,$A81,견적입력!$B$3:$B$502,"V3")))</f>
        <v/>
      </c>
      <c r="F81" s="10" t="str">
        <f aca="false">IF($A81="","",IF(SUMIFS(견적입력!$F$3:$F$502,견적입력!$A$3:$A$502,$A81,견적입력!$B$3:$B$502,"V4")=0,"",SUMIFS(견적입력!$F$3:$F$502,견적입력!$A$3:$A$502,$A81,견적입력!$B$3:$B$502,"V4")))</f>
        <v/>
      </c>
      <c r="G81" s="10" t="str">
        <f aca="false">IF($A81="","",IFERROR(_xlfn.MINIFS(견적입력!$F$3:$F$502,견적입력!$A$3:$A$502,$A81),""))</f>
        <v/>
      </c>
      <c r="H81" s="8" t="str">
        <f aca="false">IF($A81="","",IFERROR(INDEX(견적입력!$D$3:$D$502,MATCH($A81,견적입력!$I$3:$I$502,0)),""))</f>
        <v/>
      </c>
    </row>
    <row r="82" customFormat="false" ht="15" hidden="false" customHeight="false" outlineLevel="0" collapsed="false">
      <c r="A82" s="8" t="str">
        <f aca="false">IF(품목목록!$A82="","",품목목록!$A82)</f>
        <v/>
      </c>
      <c r="B82" s="8" t="str">
        <f aca="false">IF($A82="","",품목목록!$B82)</f>
        <v/>
      </c>
      <c r="C82" s="10" t="str">
        <f aca="false">IF($A82="","",IF(SUMIFS(견적입력!$F$3:$F$502,견적입력!$A$3:$A$502,$A82,견적입력!$B$3:$B$502,"V1")=0,"",SUMIFS(견적입력!$F$3:$F$502,견적입력!$A$3:$A$502,$A82,견적입력!$B$3:$B$502,"V1")))</f>
        <v/>
      </c>
      <c r="D82" s="10" t="str">
        <f aca="false">IF($A82="","",IF(SUMIFS(견적입력!$F$3:$F$502,견적입력!$A$3:$A$502,$A82,견적입력!$B$3:$B$502,"V2")=0,"",SUMIFS(견적입력!$F$3:$F$502,견적입력!$A$3:$A$502,$A82,견적입력!$B$3:$B$502,"V2")))</f>
        <v/>
      </c>
      <c r="E82" s="10" t="str">
        <f aca="false">IF($A82="","",IF(SUMIFS(견적입력!$F$3:$F$502,견적입력!$A$3:$A$502,$A82,견적입력!$B$3:$B$502,"V3")=0,"",SUMIFS(견적입력!$F$3:$F$502,견적입력!$A$3:$A$502,$A82,견적입력!$B$3:$B$502,"V3")))</f>
        <v/>
      </c>
      <c r="F82" s="10" t="str">
        <f aca="false">IF($A82="","",IF(SUMIFS(견적입력!$F$3:$F$502,견적입력!$A$3:$A$502,$A82,견적입력!$B$3:$B$502,"V4")=0,"",SUMIFS(견적입력!$F$3:$F$502,견적입력!$A$3:$A$502,$A82,견적입력!$B$3:$B$502,"V4")))</f>
        <v/>
      </c>
      <c r="G82" s="10" t="str">
        <f aca="false">IF($A82="","",IFERROR(_xlfn.MINIFS(견적입력!$F$3:$F$502,견적입력!$A$3:$A$502,$A82),""))</f>
        <v/>
      </c>
      <c r="H82" s="8" t="str">
        <f aca="false">IF($A82="","",IFERROR(INDEX(견적입력!$D$3:$D$502,MATCH($A82,견적입력!$I$3:$I$502,0)),""))</f>
        <v/>
      </c>
    </row>
    <row r="83" customFormat="false" ht="15" hidden="false" customHeight="false" outlineLevel="0" collapsed="false">
      <c r="A83" s="8" t="str">
        <f aca="false">IF(품목목록!$A83="","",품목목록!$A83)</f>
        <v/>
      </c>
      <c r="B83" s="8" t="str">
        <f aca="false">IF($A83="","",품목목록!$B83)</f>
        <v/>
      </c>
      <c r="C83" s="10" t="str">
        <f aca="false">IF($A83="","",IF(SUMIFS(견적입력!$F$3:$F$502,견적입력!$A$3:$A$502,$A83,견적입력!$B$3:$B$502,"V1")=0,"",SUMIFS(견적입력!$F$3:$F$502,견적입력!$A$3:$A$502,$A83,견적입력!$B$3:$B$502,"V1")))</f>
        <v/>
      </c>
      <c r="D83" s="10" t="str">
        <f aca="false">IF($A83="","",IF(SUMIFS(견적입력!$F$3:$F$502,견적입력!$A$3:$A$502,$A83,견적입력!$B$3:$B$502,"V2")=0,"",SUMIFS(견적입력!$F$3:$F$502,견적입력!$A$3:$A$502,$A83,견적입력!$B$3:$B$502,"V2")))</f>
        <v/>
      </c>
      <c r="E83" s="10" t="str">
        <f aca="false">IF($A83="","",IF(SUMIFS(견적입력!$F$3:$F$502,견적입력!$A$3:$A$502,$A83,견적입력!$B$3:$B$502,"V3")=0,"",SUMIFS(견적입력!$F$3:$F$502,견적입력!$A$3:$A$502,$A83,견적입력!$B$3:$B$502,"V3")))</f>
        <v/>
      </c>
      <c r="F83" s="10" t="str">
        <f aca="false">IF($A83="","",IF(SUMIFS(견적입력!$F$3:$F$502,견적입력!$A$3:$A$502,$A83,견적입력!$B$3:$B$502,"V4")=0,"",SUMIFS(견적입력!$F$3:$F$502,견적입력!$A$3:$A$502,$A83,견적입력!$B$3:$B$502,"V4")))</f>
        <v/>
      </c>
      <c r="G83" s="10" t="str">
        <f aca="false">IF($A83="","",IFERROR(_xlfn.MINIFS(견적입력!$F$3:$F$502,견적입력!$A$3:$A$502,$A83),""))</f>
        <v/>
      </c>
      <c r="H83" s="8" t="str">
        <f aca="false">IF($A83="","",IFERROR(INDEX(견적입력!$D$3:$D$502,MATCH($A83,견적입력!$I$3:$I$502,0)),""))</f>
        <v/>
      </c>
    </row>
    <row r="84" customFormat="false" ht="15" hidden="false" customHeight="false" outlineLevel="0" collapsed="false">
      <c r="A84" s="8" t="str">
        <f aca="false">IF(품목목록!$A84="","",품목목록!$A84)</f>
        <v/>
      </c>
      <c r="B84" s="8" t="str">
        <f aca="false">IF($A84="","",품목목록!$B84)</f>
        <v/>
      </c>
      <c r="C84" s="10" t="str">
        <f aca="false">IF($A84="","",IF(SUMIFS(견적입력!$F$3:$F$502,견적입력!$A$3:$A$502,$A84,견적입력!$B$3:$B$502,"V1")=0,"",SUMIFS(견적입력!$F$3:$F$502,견적입력!$A$3:$A$502,$A84,견적입력!$B$3:$B$502,"V1")))</f>
        <v/>
      </c>
      <c r="D84" s="10" t="str">
        <f aca="false">IF($A84="","",IF(SUMIFS(견적입력!$F$3:$F$502,견적입력!$A$3:$A$502,$A84,견적입력!$B$3:$B$502,"V2")=0,"",SUMIFS(견적입력!$F$3:$F$502,견적입력!$A$3:$A$502,$A84,견적입력!$B$3:$B$502,"V2")))</f>
        <v/>
      </c>
      <c r="E84" s="10" t="str">
        <f aca="false">IF($A84="","",IF(SUMIFS(견적입력!$F$3:$F$502,견적입력!$A$3:$A$502,$A84,견적입력!$B$3:$B$502,"V3")=0,"",SUMIFS(견적입력!$F$3:$F$502,견적입력!$A$3:$A$502,$A84,견적입력!$B$3:$B$502,"V3")))</f>
        <v/>
      </c>
      <c r="F84" s="10" t="str">
        <f aca="false">IF($A84="","",IF(SUMIFS(견적입력!$F$3:$F$502,견적입력!$A$3:$A$502,$A84,견적입력!$B$3:$B$502,"V4")=0,"",SUMIFS(견적입력!$F$3:$F$502,견적입력!$A$3:$A$502,$A84,견적입력!$B$3:$B$502,"V4")))</f>
        <v/>
      </c>
      <c r="G84" s="10" t="str">
        <f aca="false">IF($A84="","",IFERROR(_xlfn.MINIFS(견적입력!$F$3:$F$502,견적입력!$A$3:$A$502,$A84),""))</f>
        <v/>
      </c>
      <c r="H84" s="8" t="str">
        <f aca="false">IF($A84="","",IFERROR(INDEX(견적입력!$D$3:$D$502,MATCH($A84,견적입력!$I$3:$I$502,0)),""))</f>
        <v/>
      </c>
    </row>
    <row r="85" customFormat="false" ht="15" hidden="false" customHeight="false" outlineLevel="0" collapsed="false">
      <c r="A85" s="8" t="str">
        <f aca="false">IF(품목목록!$A85="","",품목목록!$A85)</f>
        <v/>
      </c>
      <c r="B85" s="8" t="str">
        <f aca="false">IF($A85="","",품목목록!$B85)</f>
        <v/>
      </c>
      <c r="C85" s="10" t="str">
        <f aca="false">IF($A85="","",IF(SUMIFS(견적입력!$F$3:$F$502,견적입력!$A$3:$A$502,$A85,견적입력!$B$3:$B$502,"V1")=0,"",SUMIFS(견적입력!$F$3:$F$502,견적입력!$A$3:$A$502,$A85,견적입력!$B$3:$B$502,"V1")))</f>
        <v/>
      </c>
      <c r="D85" s="10" t="str">
        <f aca="false">IF($A85="","",IF(SUMIFS(견적입력!$F$3:$F$502,견적입력!$A$3:$A$502,$A85,견적입력!$B$3:$B$502,"V2")=0,"",SUMIFS(견적입력!$F$3:$F$502,견적입력!$A$3:$A$502,$A85,견적입력!$B$3:$B$502,"V2")))</f>
        <v/>
      </c>
      <c r="E85" s="10" t="str">
        <f aca="false">IF($A85="","",IF(SUMIFS(견적입력!$F$3:$F$502,견적입력!$A$3:$A$502,$A85,견적입력!$B$3:$B$502,"V3")=0,"",SUMIFS(견적입력!$F$3:$F$502,견적입력!$A$3:$A$502,$A85,견적입력!$B$3:$B$502,"V3")))</f>
        <v/>
      </c>
      <c r="F85" s="10" t="str">
        <f aca="false">IF($A85="","",IF(SUMIFS(견적입력!$F$3:$F$502,견적입력!$A$3:$A$502,$A85,견적입력!$B$3:$B$502,"V4")=0,"",SUMIFS(견적입력!$F$3:$F$502,견적입력!$A$3:$A$502,$A85,견적입력!$B$3:$B$502,"V4")))</f>
        <v/>
      </c>
      <c r="G85" s="10" t="str">
        <f aca="false">IF($A85="","",IFERROR(_xlfn.MINIFS(견적입력!$F$3:$F$502,견적입력!$A$3:$A$502,$A85),""))</f>
        <v/>
      </c>
      <c r="H85" s="8" t="str">
        <f aca="false">IF($A85="","",IFERROR(INDEX(견적입력!$D$3:$D$502,MATCH($A85,견적입력!$I$3:$I$502,0)),""))</f>
        <v/>
      </c>
    </row>
    <row r="86" customFormat="false" ht="15" hidden="false" customHeight="false" outlineLevel="0" collapsed="false">
      <c r="A86" s="8" t="str">
        <f aca="false">IF(품목목록!$A86="","",품목목록!$A86)</f>
        <v/>
      </c>
      <c r="B86" s="8" t="str">
        <f aca="false">IF($A86="","",품목목록!$B86)</f>
        <v/>
      </c>
      <c r="C86" s="10" t="str">
        <f aca="false">IF($A86="","",IF(SUMIFS(견적입력!$F$3:$F$502,견적입력!$A$3:$A$502,$A86,견적입력!$B$3:$B$502,"V1")=0,"",SUMIFS(견적입력!$F$3:$F$502,견적입력!$A$3:$A$502,$A86,견적입력!$B$3:$B$502,"V1")))</f>
        <v/>
      </c>
      <c r="D86" s="10" t="str">
        <f aca="false">IF($A86="","",IF(SUMIFS(견적입력!$F$3:$F$502,견적입력!$A$3:$A$502,$A86,견적입력!$B$3:$B$502,"V2")=0,"",SUMIFS(견적입력!$F$3:$F$502,견적입력!$A$3:$A$502,$A86,견적입력!$B$3:$B$502,"V2")))</f>
        <v/>
      </c>
      <c r="E86" s="10" t="str">
        <f aca="false">IF($A86="","",IF(SUMIFS(견적입력!$F$3:$F$502,견적입력!$A$3:$A$502,$A86,견적입력!$B$3:$B$502,"V3")=0,"",SUMIFS(견적입력!$F$3:$F$502,견적입력!$A$3:$A$502,$A86,견적입력!$B$3:$B$502,"V3")))</f>
        <v/>
      </c>
      <c r="F86" s="10" t="str">
        <f aca="false">IF($A86="","",IF(SUMIFS(견적입력!$F$3:$F$502,견적입력!$A$3:$A$502,$A86,견적입력!$B$3:$B$502,"V4")=0,"",SUMIFS(견적입력!$F$3:$F$502,견적입력!$A$3:$A$502,$A86,견적입력!$B$3:$B$502,"V4")))</f>
        <v/>
      </c>
      <c r="G86" s="10" t="str">
        <f aca="false">IF($A86="","",IFERROR(_xlfn.MINIFS(견적입력!$F$3:$F$502,견적입력!$A$3:$A$502,$A86),""))</f>
        <v/>
      </c>
      <c r="H86" s="8" t="str">
        <f aca="false">IF($A86="","",IFERROR(INDEX(견적입력!$D$3:$D$502,MATCH($A86,견적입력!$I$3:$I$502,0)),""))</f>
        <v/>
      </c>
    </row>
    <row r="87" customFormat="false" ht="15" hidden="false" customHeight="false" outlineLevel="0" collapsed="false">
      <c r="A87" s="8" t="str">
        <f aca="false">IF(품목목록!$A87="","",품목목록!$A87)</f>
        <v/>
      </c>
      <c r="B87" s="8" t="str">
        <f aca="false">IF($A87="","",품목목록!$B87)</f>
        <v/>
      </c>
      <c r="C87" s="10" t="str">
        <f aca="false">IF($A87="","",IF(SUMIFS(견적입력!$F$3:$F$502,견적입력!$A$3:$A$502,$A87,견적입력!$B$3:$B$502,"V1")=0,"",SUMIFS(견적입력!$F$3:$F$502,견적입력!$A$3:$A$502,$A87,견적입력!$B$3:$B$502,"V1")))</f>
        <v/>
      </c>
      <c r="D87" s="10" t="str">
        <f aca="false">IF($A87="","",IF(SUMIFS(견적입력!$F$3:$F$502,견적입력!$A$3:$A$502,$A87,견적입력!$B$3:$B$502,"V2")=0,"",SUMIFS(견적입력!$F$3:$F$502,견적입력!$A$3:$A$502,$A87,견적입력!$B$3:$B$502,"V2")))</f>
        <v/>
      </c>
      <c r="E87" s="10" t="str">
        <f aca="false">IF($A87="","",IF(SUMIFS(견적입력!$F$3:$F$502,견적입력!$A$3:$A$502,$A87,견적입력!$B$3:$B$502,"V3")=0,"",SUMIFS(견적입력!$F$3:$F$502,견적입력!$A$3:$A$502,$A87,견적입력!$B$3:$B$502,"V3")))</f>
        <v/>
      </c>
      <c r="F87" s="10" t="str">
        <f aca="false">IF($A87="","",IF(SUMIFS(견적입력!$F$3:$F$502,견적입력!$A$3:$A$502,$A87,견적입력!$B$3:$B$502,"V4")=0,"",SUMIFS(견적입력!$F$3:$F$502,견적입력!$A$3:$A$502,$A87,견적입력!$B$3:$B$502,"V4")))</f>
        <v/>
      </c>
      <c r="G87" s="10" t="str">
        <f aca="false">IF($A87="","",IFERROR(_xlfn.MINIFS(견적입력!$F$3:$F$502,견적입력!$A$3:$A$502,$A87),""))</f>
        <v/>
      </c>
      <c r="H87" s="8" t="str">
        <f aca="false">IF($A87="","",IFERROR(INDEX(견적입력!$D$3:$D$502,MATCH($A87,견적입력!$I$3:$I$502,0)),""))</f>
        <v/>
      </c>
    </row>
    <row r="88" customFormat="false" ht="15" hidden="false" customHeight="false" outlineLevel="0" collapsed="false">
      <c r="A88" s="8" t="str">
        <f aca="false">IF(품목목록!$A88="","",품목목록!$A88)</f>
        <v/>
      </c>
      <c r="B88" s="8" t="str">
        <f aca="false">IF($A88="","",품목목록!$B88)</f>
        <v/>
      </c>
      <c r="C88" s="10" t="str">
        <f aca="false">IF($A88="","",IF(SUMIFS(견적입력!$F$3:$F$502,견적입력!$A$3:$A$502,$A88,견적입력!$B$3:$B$502,"V1")=0,"",SUMIFS(견적입력!$F$3:$F$502,견적입력!$A$3:$A$502,$A88,견적입력!$B$3:$B$502,"V1")))</f>
        <v/>
      </c>
      <c r="D88" s="10" t="str">
        <f aca="false">IF($A88="","",IF(SUMIFS(견적입력!$F$3:$F$502,견적입력!$A$3:$A$502,$A88,견적입력!$B$3:$B$502,"V2")=0,"",SUMIFS(견적입력!$F$3:$F$502,견적입력!$A$3:$A$502,$A88,견적입력!$B$3:$B$502,"V2")))</f>
        <v/>
      </c>
      <c r="E88" s="10" t="str">
        <f aca="false">IF($A88="","",IF(SUMIFS(견적입력!$F$3:$F$502,견적입력!$A$3:$A$502,$A88,견적입력!$B$3:$B$502,"V3")=0,"",SUMIFS(견적입력!$F$3:$F$502,견적입력!$A$3:$A$502,$A88,견적입력!$B$3:$B$502,"V3")))</f>
        <v/>
      </c>
      <c r="F88" s="10" t="str">
        <f aca="false">IF($A88="","",IF(SUMIFS(견적입력!$F$3:$F$502,견적입력!$A$3:$A$502,$A88,견적입력!$B$3:$B$502,"V4")=0,"",SUMIFS(견적입력!$F$3:$F$502,견적입력!$A$3:$A$502,$A88,견적입력!$B$3:$B$502,"V4")))</f>
        <v/>
      </c>
      <c r="G88" s="10" t="str">
        <f aca="false">IF($A88="","",IFERROR(_xlfn.MINIFS(견적입력!$F$3:$F$502,견적입력!$A$3:$A$502,$A88),""))</f>
        <v/>
      </c>
      <c r="H88" s="8" t="str">
        <f aca="false">IF($A88="","",IFERROR(INDEX(견적입력!$D$3:$D$502,MATCH($A88,견적입력!$I$3:$I$502,0)),""))</f>
        <v/>
      </c>
    </row>
    <row r="89" customFormat="false" ht="15" hidden="false" customHeight="false" outlineLevel="0" collapsed="false">
      <c r="A89" s="8" t="str">
        <f aca="false">IF(품목목록!$A89="","",품목목록!$A89)</f>
        <v/>
      </c>
      <c r="B89" s="8" t="str">
        <f aca="false">IF($A89="","",품목목록!$B89)</f>
        <v/>
      </c>
      <c r="C89" s="10" t="str">
        <f aca="false">IF($A89="","",IF(SUMIFS(견적입력!$F$3:$F$502,견적입력!$A$3:$A$502,$A89,견적입력!$B$3:$B$502,"V1")=0,"",SUMIFS(견적입력!$F$3:$F$502,견적입력!$A$3:$A$502,$A89,견적입력!$B$3:$B$502,"V1")))</f>
        <v/>
      </c>
      <c r="D89" s="10" t="str">
        <f aca="false">IF($A89="","",IF(SUMIFS(견적입력!$F$3:$F$502,견적입력!$A$3:$A$502,$A89,견적입력!$B$3:$B$502,"V2")=0,"",SUMIFS(견적입력!$F$3:$F$502,견적입력!$A$3:$A$502,$A89,견적입력!$B$3:$B$502,"V2")))</f>
        <v/>
      </c>
      <c r="E89" s="10" t="str">
        <f aca="false">IF($A89="","",IF(SUMIFS(견적입력!$F$3:$F$502,견적입력!$A$3:$A$502,$A89,견적입력!$B$3:$B$502,"V3")=0,"",SUMIFS(견적입력!$F$3:$F$502,견적입력!$A$3:$A$502,$A89,견적입력!$B$3:$B$502,"V3")))</f>
        <v/>
      </c>
      <c r="F89" s="10" t="str">
        <f aca="false">IF($A89="","",IF(SUMIFS(견적입력!$F$3:$F$502,견적입력!$A$3:$A$502,$A89,견적입력!$B$3:$B$502,"V4")=0,"",SUMIFS(견적입력!$F$3:$F$502,견적입력!$A$3:$A$502,$A89,견적입력!$B$3:$B$502,"V4")))</f>
        <v/>
      </c>
      <c r="G89" s="10" t="str">
        <f aca="false">IF($A89="","",IFERROR(_xlfn.MINIFS(견적입력!$F$3:$F$502,견적입력!$A$3:$A$502,$A89),""))</f>
        <v/>
      </c>
      <c r="H89" s="8" t="str">
        <f aca="false">IF($A89="","",IFERROR(INDEX(견적입력!$D$3:$D$502,MATCH($A89,견적입력!$I$3:$I$502,0)),""))</f>
        <v/>
      </c>
    </row>
    <row r="90" customFormat="false" ht="15" hidden="false" customHeight="false" outlineLevel="0" collapsed="false">
      <c r="A90" s="8" t="str">
        <f aca="false">IF(품목목록!$A90="","",품목목록!$A90)</f>
        <v/>
      </c>
      <c r="B90" s="8" t="str">
        <f aca="false">IF($A90="","",품목목록!$B90)</f>
        <v/>
      </c>
      <c r="C90" s="10" t="str">
        <f aca="false">IF($A90="","",IF(SUMIFS(견적입력!$F$3:$F$502,견적입력!$A$3:$A$502,$A90,견적입력!$B$3:$B$502,"V1")=0,"",SUMIFS(견적입력!$F$3:$F$502,견적입력!$A$3:$A$502,$A90,견적입력!$B$3:$B$502,"V1")))</f>
        <v/>
      </c>
      <c r="D90" s="10" t="str">
        <f aca="false">IF($A90="","",IF(SUMIFS(견적입력!$F$3:$F$502,견적입력!$A$3:$A$502,$A90,견적입력!$B$3:$B$502,"V2")=0,"",SUMIFS(견적입력!$F$3:$F$502,견적입력!$A$3:$A$502,$A90,견적입력!$B$3:$B$502,"V2")))</f>
        <v/>
      </c>
      <c r="E90" s="10" t="str">
        <f aca="false">IF($A90="","",IF(SUMIFS(견적입력!$F$3:$F$502,견적입력!$A$3:$A$502,$A90,견적입력!$B$3:$B$502,"V3")=0,"",SUMIFS(견적입력!$F$3:$F$502,견적입력!$A$3:$A$502,$A90,견적입력!$B$3:$B$502,"V3")))</f>
        <v/>
      </c>
      <c r="F90" s="10" t="str">
        <f aca="false">IF($A90="","",IF(SUMIFS(견적입력!$F$3:$F$502,견적입력!$A$3:$A$502,$A90,견적입력!$B$3:$B$502,"V4")=0,"",SUMIFS(견적입력!$F$3:$F$502,견적입력!$A$3:$A$502,$A90,견적입력!$B$3:$B$502,"V4")))</f>
        <v/>
      </c>
      <c r="G90" s="10" t="str">
        <f aca="false">IF($A90="","",IFERROR(_xlfn.MINIFS(견적입력!$F$3:$F$502,견적입력!$A$3:$A$502,$A90),""))</f>
        <v/>
      </c>
      <c r="H90" s="8" t="str">
        <f aca="false">IF($A90="","",IFERROR(INDEX(견적입력!$D$3:$D$502,MATCH($A90,견적입력!$I$3:$I$502,0)),""))</f>
        <v/>
      </c>
    </row>
    <row r="91" customFormat="false" ht="15" hidden="false" customHeight="false" outlineLevel="0" collapsed="false">
      <c r="A91" s="8" t="str">
        <f aca="false">IF(품목목록!$A91="","",품목목록!$A91)</f>
        <v/>
      </c>
      <c r="B91" s="8" t="str">
        <f aca="false">IF($A91="","",품목목록!$B91)</f>
        <v/>
      </c>
      <c r="C91" s="10" t="str">
        <f aca="false">IF($A91="","",IF(SUMIFS(견적입력!$F$3:$F$502,견적입력!$A$3:$A$502,$A91,견적입력!$B$3:$B$502,"V1")=0,"",SUMIFS(견적입력!$F$3:$F$502,견적입력!$A$3:$A$502,$A91,견적입력!$B$3:$B$502,"V1")))</f>
        <v/>
      </c>
      <c r="D91" s="10" t="str">
        <f aca="false">IF($A91="","",IF(SUMIFS(견적입력!$F$3:$F$502,견적입력!$A$3:$A$502,$A91,견적입력!$B$3:$B$502,"V2")=0,"",SUMIFS(견적입력!$F$3:$F$502,견적입력!$A$3:$A$502,$A91,견적입력!$B$3:$B$502,"V2")))</f>
        <v/>
      </c>
      <c r="E91" s="10" t="str">
        <f aca="false">IF($A91="","",IF(SUMIFS(견적입력!$F$3:$F$502,견적입력!$A$3:$A$502,$A91,견적입력!$B$3:$B$502,"V3")=0,"",SUMIFS(견적입력!$F$3:$F$502,견적입력!$A$3:$A$502,$A91,견적입력!$B$3:$B$502,"V3")))</f>
        <v/>
      </c>
      <c r="F91" s="10" t="str">
        <f aca="false">IF($A91="","",IF(SUMIFS(견적입력!$F$3:$F$502,견적입력!$A$3:$A$502,$A91,견적입력!$B$3:$B$502,"V4")=0,"",SUMIFS(견적입력!$F$3:$F$502,견적입력!$A$3:$A$502,$A91,견적입력!$B$3:$B$502,"V4")))</f>
        <v/>
      </c>
      <c r="G91" s="10" t="str">
        <f aca="false">IF($A91="","",IFERROR(_xlfn.MINIFS(견적입력!$F$3:$F$502,견적입력!$A$3:$A$502,$A91),""))</f>
        <v/>
      </c>
      <c r="H91" s="8" t="str">
        <f aca="false">IF($A91="","",IFERROR(INDEX(견적입력!$D$3:$D$502,MATCH($A91,견적입력!$I$3:$I$502,0)),""))</f>
        <v/>
      </c>
    </row>
    <row r="92" customFormat="false" ht="15" hidden="false" customHeight="false" outlineLevel="0" collapsed="false">
      <c r="A92" s="8" t="str">
        <f aca="false">IF(품목목록!$A92="","",품목목록!$A92)</f>
        <v/>
      </c>
      <c r="B92" s="8" t="str">
        <f aca="false">IF($A92="","",품목목록!$B92)</f>
        <v/>
      </c>
      <c r="C92" s="10" t="str">
        <f aca="false">IF($A92="","",IF(SUMIFS(견적입력!$F$3:$F$502,견적입력!$A$3:$A$502,$A92,견적입력!$B$3:$B$502,"V1")=0,"",SUMIFS(견적입력!$F$3:$F$502,견적입력!$A$3:$A$502,$A92,견적입력!$B$3:$B$502,"V1")))</f>
        <v/>
      </c>
      <c r="D92" s="10" t="str">
        <f aca="false">IF($A92="","",IF(SUMIFS(견적입력!$F$3:$F$502,견적입력!$A$3:$A$502,$A92,견적입력!$B$3:$B$502,"V2")=0,"",SUMIFS(견적입력!$F$3:$F$502,견적입력!$A$3:$A$502,$A92,견적입력!$B$3:$B$502,"V2")))</f>
        <v/>
      </c>
      <c r="E92" s="10" t="str">
        <f aca="false">IF($A92="","",IF(SUMIFS(견적입력!$F$3:$F$502,견적입력!$A$3:$A$502,$A92,견적입력!$B$3:$B$502,"V3")=0,"",SUMIFS(견적입력!$F$3:$F$502,견적입력!$A$3:$A$502,$A92,견적입력!$B$3:$B$502,"V3")))</f>
        <v/>
      </c>
      <c r="F92" s="10" t="str">
        <f aca="false">IF($A92="","",IF(SUMIFS(견적입력!$F$3:$F$502,견적입력!$A$3:$A$502,$A92,견적입력!$B$3:$B$502,"V4")=0,"",SUMIFS(견적입력!$F$3:$F$502,견적입력!$A$3:$A$502,$A92,견적입력!$B$3:$B$502,"V4")))</f>
        <v/>
      </c>
      <c r="G92" s="10" t="str">
        <f aca="false">IF($A92="","",IFERROR(_xlfn.MINIFS(견적입력!$F$3:$F$502,견적입력!$A$3:$A$502,$A92),""))</f>
        <v/>
      </c>
      <c r="H92" s="8" t="str">
        <f aca="false">IF($A92="","",IFERROR(INDEX(견적입력!$D$3:$D$502,MATCH($A92,견적입력!$I$3:$I$502,0)),""))</f>
        <v/>
      </c>
    </row>
    <row r="93" customFormat="false" ht="15" hidden="false" customHeight="false" outlineLevel="0" collapsed="false">
      <c r="A93" s="8" t="str">
        <f aca="false">IF(품목목록!$A93="","",품목목록!$A93)</f>
        <v/>
      </c>
      <c r="B93" s="8" t="str">
        <f aca="false">IF($A93="","",품목목록!$B93)</f>
        <v/>
      </c>
      <c r="C93" s="10" t="str">
        <f aca="false">IF($A93="","",IF(SUMIFS(견적입력!$F$3:$F$502,견적입력!$A$3:$A$502,$A93,견적입력!$B$3:$B$502,"V1")=0,"",SUMIFS(견적입력!$F$3:$F$502,견적입력!$A$3:$A$502,$A93,견적입력!$B$3:$B$502,"V1")))</f>
        <v/>
      </c>
      <c r="D93" s="10" t="str">
        <f aca="false">IF($A93="","",IF(SUMIFS(견적입력!$F$3:$F$502,견적입력!$A$3:$A$502,$A93,견적입력!$B$3:$B$502,"V2")=0,"",SUMIFS(견적입력!$F$3:$F$502,견적입력!$A$3:$A$502,$A93,견적입력!$B$3:$B$502,"V2")))</f>
        <v/>
      </c>
      <c r="E93" s="10" t="str">
        <f aca="false">IF($A93="","",IF(SUMIFS(견적입력!$F$3:$F$502,견적입력!$A$3:$A$502,$A93,견적입력!$B$3:$B$502,"V3")=0,"",SUMIFS(견적입력!$F$3:$F$502,견적입력!$A$3:$A$502,$A93,견적입력!$B$3:$B$502,"V3")))</f>
        <v/>
      </c>
      <c r="F93" s="10" t="str">
        <f aca="false">IF($A93="","",IF(SUMIFS(견적입력!$F$3:$F$502,견적입력!$A$3:$A$502,$A93,견적입력!$B$3:$B$502,"V4")=0,"",SUMIFS(견적입력!$F$3:$F$502,견적입력!$A$3:$A$502,$A93,견적입력!$B$3:$B$502,"V4")))</f>
        <v/>
      </c>
      <c r="G93" s="10" t="str">
        <f aca="false">IF($A93="","",IFERROR(_xlfn.MINIFS(견적입력!$F$3:$F$502,견적입력!$A$3:$A$502,$A93),""))</f>
        <v/>
      </c>
      <c r="H93" s="8" t="str">
        <f aca="false">IF($A93="","",IFERROR(INDEX(견적입력!$D$3:$D$502,MATCH($A93,견적입력!$I$3:$I$502,0)),""))</f>
        <v/>
      </c>
    </row>
    <row r="94" customFormat="false" ht="15" hidden="false" customHeight="false" outlineLevel="0" collapsed="false">
      <c r="A94" s="8" t="str">
        <f aca="false">IF(품목목록!$A94="","",품목목록!$A94)</f>
        <v/>
      </c>
      <c r="B94" s="8" t="str">
        <f aca="false">IF($A94="","",품목목록!$B94)</f>
        <v/>
      </c>
      <c r="C94" s="10" t="str">
        <f aca="false">IF($A94="","",IF(SUMIFS(견적입력!$F$3:$F$502,견적입력!$A$3:$A$502,$A94,견적입력!$B$3:$B$502,"V1")=0,"",SUMIFS(견적입력!$F$3:$F$502,견적입력!$A$3:$A$502,$A94,견적입력!$B$3:$B$502,"V1")))</f>
        <v/>
      </c>
      <c r="D94" s="10" t="str">
        <f aca="false">IF($A94="","",IF(SUMIFS(견적입력!$F$3:$F$502,견적입력!$A$3:$A$502,$A94,견적입력!$B$3:$B$502,"V2")=0,"",SUMIFS(견적입력!$F$3:$F$502,견적입력!$A$3:$A$502,$A94,견적입력!$B$3:$B$502,"V2")))</f>
        <v/>
      </c>
      <c r="E94" s="10" t="str">
        <f aca="false">IF($A94="","",IF(SUMIFS(견적입력!$F$3:$F$502,견적입력!$A$3:$A$502,$A94,견적입력!$B$3:$B$502,"V3")=0,"",SUMIFS(견적입력!$F$3:$F$502,견적입력!$A$3:$A$502,$A94,견적입력!$B$3:$B$502,"V3")))</f>
        <v/>
      </c>
      <c r="F94" s="10" t="str">
        <f aca="false">IF($A94="","",IF(SUMIFS(견적입력!$F$3:$F$502,견적입력!$A$3:$A$502,$A94,견적입력!$B$3:$B$502,"V4")=0,"",SUMIFS(견적입력!$F$3:$F$502,견적입력!$A$3:$A$502,$A94,견적입력!$B$3:$B$502,"V4")))</f>
        <v/>
      </c>
      <c r="G94" s="10" t="str">
        <f aca="false">IF($A94="","",IFERROR(_xlfn.MINIFS(견적입력!$F$3:$F$502,견적입력!$A$3:$A$502,$A94),""))</f>
        <v/>
      </c>
      <c r="H94" s="8" t="str">
        <f aca="false">IF($A94="","",IFERROR(INDEX(견적입력!$D$3:$D$502,MATCH($A94,견적입력!$I$3:$I$502,0)),""))</f>
        <v/>
      </c>
    </row>
    <row r="95" customFormat="false" ht="15" hidden="false" customHeight="false" outlineLevel="0" collapsed="false">
      <c r="A95" s="8" t="str">
        <f aca="false">IF(품목목록!$A95="","",품목목록!$A95)</f>
        <v/>
      </c>
      <c r="B95" s="8" t="str">
        <f aca="false">IF($A95="","",품목목록!$B95)</f>
        <v/>
      </c>
      <c r="C95" s="10" t="str">
        <f aca="false">IF($A95="","",IF(SUMIFS(견적입력!$F$3:$F$502,견적입력!$A$3:$A$502,$A95,견적입력!$B$3:$B$502,"V1")=0,"",SUMIFS(견적입력!$F$3:$F$502,견적입력!$A$3:$A$502,$A95,견적입력!$B$3:$B$502,"V1")))</f>
        <v/>
      </c>
      <c r="D95" s="10" t="str">
        <f aca="false">IF($A95="","",IF(SUMIFS(견적입력!$F$3:$F$502,견적입력!$A$3:$A$502,$A95,견적입력!$B$3:$B$502,"V2")=0,"",SUMIFS(견적입력!$F$3:$F$502,견적입력!$A$3:$A$502,$A95,견적입력!$B$3:$B$502,"V2")))</f>
        <v/>
      </c>
      <c r="E95" s="10" t="str">
        <f aca="false">IF($A95="","",IF(SUMIFS(견적입력!$F$3:$F$502,견적입력!$A$3:$A$502,$A95,견적입력!$B$3:$B$502,"V3")=0,"",SUMIFS(견적입력!$F$3:$F$502,견적입력!$A$3:$A$502,$A95,견적입력!$B$3:$B$502,"V3")))</f>
        <v/>
      </c>
      <c r="F95" s="10" t="str">
        <f aca="false">IF($A95="","",IF(SUMIFS(견적입력!$F$3:$F$502,견적입력!$A$3:$A$502,$A95,견적입력!$B$3:$B$502,"V4")=0,"",SUMIFS(견적입력!$F$3:$F$502,견적입력!$A$3:$A$502,$A95,견적입력!$B$3:$B$502,"V4")))</f>
        <v/>
      </c>
      <c r="G95" s="10" t="str">
        <f aca="false">IF($A95="","",IFERROR(_xlfn.MINIFS(견적입력!$F$3:$F$502,견적입력!$A$3:$A$502,$A95),""))</f>
        <v/>
      </c>
      <c r="H95" s="8" t="str">
        <f aca="false">IF($A95="","",IFERROR(INDEX(견적입력!$D$3:$D$502,MATCH($A95,견적입력!$I$3:$I$502,0)),""))</f>
        <v/>
      </c>
    </row>
    <row r="96" customFormat="false" ht="15" hidden="false" customHeight="false" outlineLevel="0" collapsed="false">
      <c r="A96" s="8" t="str">
        <f aca="false">IF(품목목록!$A96="","",품목목록!$A96)</f>
        <v/>
      </c>
      <c r="B96" s="8" t="str">
        <f aca="false">IF($A96="","",품목목록!$B96)</f>
        <v/>
      </c>
      <c r="C96" s="10" t="str">
        <f aca="false">IF($A96="","",IF(SUMIFS(견적입력!$F$3:$F$502,견적입력!$A$3:$A$502,$A96,견적입력!$B$3:$B$502,"V1")=0,"",SUMIFS(견적입력!$F$3:$F$502,견적입력!$A$3:$A$502,$A96,견적입력!$B$3:$B$502,"V1")))</f>
        <v/>
      </c>
      <c r="D96" s="10" t="str">
        <f aca="false">IF($A96="","",IF(SUMIFS(견적입력!$F$3:$F$502,견적입력!$A$3:$A$502,$A96,견적입력!$B$3:$B$502,"V2")=0,"",SUMIFS(견적입력!$F$3:$F$502,견적입력!$A$3:$A$502,$A96,견적입력!$B$3:$B$502,"V2")))</f>
        <v/>
      </c>
      <c r="E96" s="10" t="str">
        <f aca="false">IF($A96="","",IF(SUMIFS(견적입력!$F$3:$F$502,견적입력!$A$3:$A$502,$A96,견적입력!$B$3:$B$502,"V3")=0,"",SUMIFS(견적입력!$F$3:$F$502,견적입력!$A$3:$A$502,$A96,견적입력!$B$3:$B$502,"V3")))</f>
        <v/>
      </c>
      <c r="F96" s="10" t="str">
        <f aca="false">IF($A96="","",IF(SUMIFS(견적입력!$F$3:$F$502,견적입력!$A$3:$A$502,$A96,견적입력!$B$3:$B$502,"V4")=0,"",SUMIFS(견적입력!$F$3:$F$502,견적입력!$A$3:$A$502,$A96,견적입력!$B$3:$B$502,"V4")))</f>
        <v/>
      </c>
      <c r="G96" s="10" t="str">
        <f aca="false">IF($A96="","",IFERROR(_xlfn.MINIFS(견적입력!$F$3:$F$502,견적입력!$A$3:$A$502,$A96),""))</f>
        <v/>
      </c>
      <c r="H96" s="8" t="str">
        <f aca="false">IF($A96="","",IFERROR(INDEX(견적입력!$D$3:$D$502,MATCH($A96,견적입력!$I$3:$I$502,0)),""))</f>
        <v/>
      </c>
    </row>
    <row r="97" customFormat="false" ht="15" hidden="false" customHeight="false" outlineLevel="0" collapsed="false">
      <c r="A97" s="8" t="str">
        <f aca="false">IF(품목목록!$A97="","",품목목록!$A97)</f>
        <v/>
      </c>
      <c r="B97" s="8" t="str">
        <f aca="false">IF($A97="","",품목목록!$B97)</f>
        <v/>
      </c>
      <c r="C97" s="10" t="str">
        <f aca="false">IF($A97="","",IF(SUMIFS(견적입력!$F$3:$F$502,견적입력!$A$3:$A$502,$A97,견적입력!$B$3:$B$502,"V1")=0,"",SUMIFS(견적입력!$F$3:$F$502,견적입력!$A$3:$A$502,$A97,견적입력!$B$3:$B$502,"V1")))</f>
        <v/>
      </c>
      <c r="D97" s="10" t="str">
        <f aca="false">IF($A97="","",IF(SUMIFS(견적입력!$F$3:$F$502,견적입력!$A$3:$A$502,$A97,견적입력!$B$3:$B$502,"V2")=0,"",SUMIFS(견적입력!$F$3:$F$502,견적입력!$A$3:$A$502,$A97,견적입력!$B$3:$B$502,"V2")))</f>
        <v/>
      </c>
      <c r="E97" s="10" t="str">
        <f aca="false">IF($A97="","",IF(SUMIFS(견적입력!$F$3:$F$502,견적입력!$A$3:$A$502,$A97,견적입력!$B$3:$B$502,"V3")=0,"",SUMIFS(견적입력!$F$3:$F$502,견적입력!$A$3:$A$502,$A97,견적입력!$B$3:$B$502,"V3")))</f>
        <v/>
      </c>
      <c r="F97" s="10" t="str">
        <f aca="false">IF($A97="","",IF(SUMIFS(견적입력!$F$3:$F$502,견적입력!$A$3:$A$502,$A97,견적입력!$B$3:$B$502,"V4")=0,"",SUMIFS(견적입력!$F$3:$F$502,견적입력!$A$3:$A$502,$A97,견적입력!$B$3:$B$502,"V4")))</f>
        <v/>
      </c>
      <c r="G97" s="10" t="str">
        <f aca="false">IF($A97="","",IFERROR(_xlfn.MINIFS(견적입력!$F$3:$F$502,견적입력!$A$3:$A$502,$A97),""))</f>
        <v/>
      </c>
      <c r="H97" s="8" t="str">
        <f aca="false">IF($A97="","",IFERROR(INDEX(견적입력!$D$3:$D$502,MATCH($A97,견적입력!$I$3:$I$502,0)),""))</f>
        <v/>
      </c>
    </row>
    <row r="98" customFormat="false" ht="15" hidden="false" customHeight="false" outlineLevel="0" collapsed="false">
      <c r="A98" s="8" t="str">
        <f aca="false">IF(품목목록!$A98="","",품목목록!$A98)</f>
        <v/>
      </c>
      <c r="B98" s="8" t="str">
        <f aca="false">IF($A98="","",품목목록!$B98)</f>
        <v/>
      </c>
      <c r="C98" s="10" t="str">
        <f aca="false">IF($A98="","",IF(SUMIFS(견적입력!$F$3:$F$502,견적입력!$A$3:$A$502,$A98,견적입력!$B$3:$B$502,"V1")=0,"",SUMIFS(견적입력!$F$3:$F$502,견적입력!$A$3:$A$502,$A98,견적입력!$B$3:$B$502,"V1")))</f>
        <v/>
      </c>
      <c r="D98" s="10" t="str">
        <f aca="false">IF($A98="","",IF(SUMIFS(견적입력!$F$3:$F$502,견적입력!$A$3:$A$502,$A98,견적입력!$B$3:$B$502,"V2")=0,"",SUMIFS(견적입력!$F$3:$F$502,견적입력!$A$3:$A$502,$A98,견적입력!$B$3:$B$502,"V2")))</f>
        <v/>
      </c>
      <c r="E98" s="10" t="str">
        <f aca="false">IF($A98="","",IF(SUMIFS(견적입력!$F$3:$F$502,견적입력!$A$3:$A$502,$A98,견적입력!$B$3:$B$502,"V3")=0,"",SUMIFS(견적입력!$F$3:$F$502,견적입력!$A$3:$A$502,$A98,견적입력!$B$3:$B$502,"V3")))</f>
        <v/>
      </c>
      <c r="F98" s="10" t="str">
        <f aca="false">IF($A98="","",IF(SUMIFS(견적입력!$F$3:$F$502,견적입력!$A$3:$A$502,$A98,견적입력!$B$3:$B$502,"V4")=0,"",SUMIFS(견적입력!$F$3:$F$502,견적입력!$A$3:$A$502,$A98,견적입력!$B$3:$B$502,"V4")))</f>
        <v/>
      </c>
      <c r="G98" s="10" t="str">
        <f aca="false">IF($A98="","",IFERROR(_xlfn.MINIFS(견적입력!$F$3:$F$502,견적입력!$A$3:$A$502,$A98),""))</f>
        <v/>
      </c>
      <c r="H98" s="8" t="str">
        <f aca="false">IF($A98="","",IFERROR(INDEX(견적입력!$D$3:$D$502,MATCH($A98,견적입력!$I$3:$I$502,0)),""))</f>
        <v/>
      </c>
    </row>
    <row r="99" customFormat="false" ht="15" hidden="false" customHeight="false" outlineLevel="0" collapsed="false">
      <c r="A99" s="8" t="str">
        <f aca="false">IF(품목목록!$A99="","",품목목록!$A99)</f>
        <v/>
      </c>
      <c r="B99" s="8" t="str">
        <f aca="false">IF($A99="","",품목목록!$B99)</f>
        <v/>
      </c>
      <c r="C99" s="10" t="str">
        <f aca="false">IF($A99="","",IF(SUMIFS(견적입력!$F$3:$F$502,견적입력!$A$3:$A$502,$A99,견적입력!$B$3:$B$502,"V1")=0,"",SUMIFS(견적입력!$F$3:$F$502,견적입력!$A$3:$A$502,$A99,견적입력!$B$3:$B$502,"V1")))</f>
        <v/>
      </c>
      <c r="D99" s="10" t="str">
        <f aca="false">IF($A99="","",IF(SUMIFS(견적입력!$F$3:$F$502,견적입력!$A$3:$A$502,$A99,견적입력!$B$3:$B$502,"V2")=0,"",SUMIFS(견적입력!$F$3:$F$502,견적입력!$A$3:$A$502,$A99,견적입력!$B$3:$B$502,"V2")))</f>
        <v/>
      </c>
      <c r="E99" s="10" t="str">
        <f aca="false">IF($A99="","",IF(SUMIFS(견적입력!$F$3:$F$502,견적입력!$A$3:$A$502,$A99,견적입력!$B$3:$B$502,"V3")=0,"",SUMIFS(견적입력!$F$3:$F$502,견적입력!$A$3:$A$502,$A99,견적입력!$B$3:$B$502,"V3")))</f>
        <v/>
      </c>
      <c r="F99" s="10" t="str">
        <f aca="false">IF($A99="","",IF(SUMIFS(견적입력!$F$3:$F$502,견적입력!$A$3:$A$502,$A99,견적입력!$B$3:$B$502,"V4")=0,"",SUMIFS(견적입력!$F$3:$F$502,견적입력!$A$3:$A$502,$A99,견적입력!$B$3:$B$502,"V4")))</f>
        <v/>
      </c>
      <c r="G99" s="10" t="str">
        <f aca="false">IF($A99="","",IFERROR(_xlfn.MINIFS(견적입력!$F$3:$F$502,견적입력!$A$3:$A$502,$A99),""))</f>
        <v/>
      </c>
      <c r="H99" s="8" t="str">
        <f aca="false">IF($A99="","",IFERROR(INDEX(견적입력!$D$3:$D$502,MATCH($A99,견적입력!$I$3:$I$502,0)),""))</f>
        <v/>
      </c>
    </row>
    <row r="100" customFormat="false" ht="15" hidden="false" customHeight="false" outlineLevel="0" collapsed="false">
      <c r="A100" s="8" t="str">
        <f aca="false">IF(품목목록!$A100="","",품목목록!$A100)</f>
        <v/>
      </c>
      <c r="B100" s="8" t="str">
        <f aca="false">IF($A100="","",품목목록!$B100)</f>
        <v/>
      </c>
      <c r="C100" s="10" t="str">
        <f aca="false">IF($A100="","",IF(SUMIFS(견적입력!$F$3:$F$502,견적입력!$A$3:$A$502,$A100,견적입력!$B$3:$B$502,"V1")=0,"",SUMIFS(견적입력!$F$3:$F$502,견적입력!$A$3:$A$502,$A100,견적입력!$B$3:$B$502,"V1")))</f>
        <v/>
      </c>
      <c r="D100" s="10" t="str">
        <f aca="false">IF($A100="","",IF(SUMIFS(견적입력!$F$3:$F$502,견적입력!$A$3:$A$502,$A100,견적입력!$B$3:$B$502,"V2")=0,"",SUMIFS(견적입력!$F$3:$F$502,견적입력!$A$3:$A$502,$A100,견적입력!$B$3:$B$502,"V2")))</f>
        <v/>
      </c>
      <c r="E100" s="10" t="str">
        <f aca="false">IF($A100="","",IF(SUMIFS(견적입력!$F$3:$F$502,견적입력!$A$3:$A$502,$A100,견적입력!$B$3:$B$502,"V3")=0,"",SUMIFS(견적입력!$F$3:$F$502,견적입력!$A$3:$A$502,$A100,견적입력!$B$3:$B$502,"V3")))</f>
        <v/>
      </c>
      <c r="F100" s="10" t="str">
        <f aca="false">IF($A100="","",IF(SUMIFS(견적입력!$F$3:$F$502,견적입력!$A$3:$A$502,$A100,견적입력!$B$3:$B$502,"V4")=0,"",SUMIFS(견적입력!$F$3:$F$502,견적입력!$A$3:$A$502,$A100,견적입력!$B$3:$B$502,"V4")))</f>
        <v/>
      </c>
      <c r="G100" s="10" t="str">
        <f aca="false">IF($A100="","",IFERROR(_xlfn.MINIFS(견적입력!$F$3:$F$502,견적입력!$A$3:$A$502,$A100),""))</f>
        <v/>
      </c>
      <c r="H100" s="8" t="str">
        <f aca="false">IF($A100="","",IFERROR(INDEX(견적입력!$D$3:$D$502,MATCH($A100,견적입력!$I$3:$I$502,0)),""))</f>
        <v/>
      </c>
    </row>
    <row r="101" customFormat="false" ht="15" hidden="false" customHeight="false" outlineLevel="0" collapsed="false">
      <c r="A101" s="8" t="str">
        <f aca="false">IF(품목목록!$A101="","",품목목록!$A101)</f>
        <v/>
      </c>
      <c r="B101" s="8" t="str">
        <f aca="false">IF($A101="","",품목목록!$B101)</f>
        <v/>
      </c>
      <c r="C101" s="10" t="str">
        <f aca="false">IF($A101="","",IF(SUMIFS(견적입력!$F$3:$F$502,견적입력!$A$3:$A$502,$A101,견적입력!$B$3:$B$502,"V1")=0,"",SUMIFS(견적입력!$F$3:$F$502,견적입력!$A$3:$A$502,$A101,견적입력!$B$3:$B$502,"V1")))</f>
        <v/>
      </c>
      <c r="D101" s="10" t="str">
        <f aca="false">IF($A101="","",IF(SUMIFS(견적입력!$F$3:$F$502,견적입력!$A$3:$A$502,$A101,견적입력!$B$3:$B$502,"V2")=0,"",SUMIFS(견적입력!$F$3:$F$502,견적입력!$A$3:$A$502,$A101,견적입력!$B$3:$B$502,"V2")))</f>
        <v/>
      </c>
      <c r="E101" s="10" t="str">
        <f aca="false">IF($A101="","",IF(SUMIFS(견적입력!$F$3:$F$502,견적입력!$A$3:$A$502,$A101,견적입력!$B$3:$B$502,"V3")=0,"",SUMIFS(견적입력!$F$3:$F$502,견적입력!$A$3:$A$502,$A101,견적입력!$B$3:$B$502,"V3")))</f>
        <v/>
      </c>
      <c r="F101" s="10" t="str">
        <f aca="false">IF($A101="","",IF(SUMIFS(견적입력!$F$3:$F$502,견적입력!$A$3:$A$502,$A101,견적입력!$B$3:$B$502,"V4")=0,"",SUMIFS(견적입력!$F$3:$F$502,견적입력!$A$3:$A$502,$A101,견적입력!$B$3:$B$502,"V4")))</f>
        <v/>
      </c>
      <c r="G101" s="10" t="str">
        <f aca="false">IF($A101="","",IFERROR(_xlfn.MINIFS(견적입력!$F$3:$F$502,견적입력!$A$3:$A$502,$A101),""))</f>
        <v/>
      </c>
      <c r="H101" s="8" t="str">
        <f aca="false">IF($A101="","",IFERROR(INDEX(견적입력!$D$3:$D$502,MATCH($A101,견적입력!$I$3:$I$502,0)),""))</f>
        <v/>
      </c>
    </row>
    <row r="102" customFormat="false" ht="15" hidden="false" customHeight="false" outlineLevel="0" collapsed="false">
      <c r="A102" s="8" t="str">
        <f aca="false">IF(품목목록!$A102="","",품목목록!$A102)</f>
        <v/>
      </c>
      <c r="B102" s="8" t="str">
        <f aca="false">IF($A102="","",품목목록!$B102)</f>
        <v/>
      </c>
      <c r="C102" s="10" t="str">
        <f aca="false">IF($A102="","",IF(SUMIFS(견적입력!$F$3:$F$502,견적입력!$A$3:$A$502,$A102,견적입력!$B$3:$B$502,"V1")=0,"",SUMIFS(견적입력!$F$3:$F$502,견적입력!$A$3:$A$502,$A102,견적입력!$B$3:$B$502,"V1")))</f>
        <v/>
      </c>
      <c r="D102" s="10" t="str">
        <f aca="false">IF($A102="","",IF(SUMIFS(견적입력!$F$3:$F$502,견적입력!$A$3:$A$502,$A102,견적입력!$B$3:$B$502,"V2")=0,"",SUMIFS(견적입력!$F$3:$F$502,견적입력!$A$3:$A$502,$A102,견적입력!$B$3:$B$502,"V2")))</f>
        <v/>
      </c>
      <c r="E102" s="10" t="str">
        <f aca="false">IF($A102="","",IF(SUMIFS(견적입력!$F$3:$F$502,견적입력!$A$3:$A$502,$A102,견적입력!$B$3:$B$502,"V3")=0,"",SUMIFS(견적입력!$F$3:$F$502,견적입력!$A$3:$A$502,$A102,견적입력!$B$3:$B$502,"V3")))</f>
        <v/>
      </c>
      <c r="F102" s="10" t="str">
        <f aca="false">IF($A102="","",IF(SUMIFS(견적입력!$F$3:$F$502,견적입력!$A$3:$A$502,$A102,견적입력!$B$3:$B$502,"V4")=0,"",SUMIFS(견적입력!$F$3:$F$502,견적입력!$A$3:$A$502,$A102,견적입력!$B$3:$B$502,"V4")))</f>
        <v/>
      </c>
      <c r="G102" s="10" t="str">
        <f aca="false">IF($A102="","",IFERROR(_xlfn.MINIFS(견적입력!$F$3:$F$502,견적입력!$A$3:$A$502,$A102),""))</f>
        <v/>
      </c>
      <c r="H102" s="8" t="str">
        <f aca="false">IF($A102="","",IFERROR(INDEX(견적입력!$D$3:$D$502,MATCH($A102,견적입력!$I$3:$I$502,0)),""))</f>
        <v/>
      </c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12890625" defaultRowHeight="15" customHeight="false" zeroHeight="false" outlineLevelRow="0" outlineLevelCol="0"/>
  <cols>
    <col collapsed="false" customWidth="true" hidden="false" outlineLevel="0" max="1" min="1" style="0" width="8.35"/>
    <col collapsed="false" customWidth="true" hidden="false" outlineLevel="0" max="2" min="2" style="0" width="13.35"/>
    <col collapsed="false" customWidth="true" hidden="false" outlineLevel="0" max="3" min="3" style="0" width="8.35"/>
    <col collapsed="false" customWidth="true" hidden="false" outlineLevel="0" max="4" min="4" style="0" width="11.68"/>
    <col collapsed="false" customWidth="true" hidden="false" outlineLevel="0" max="5" min="5" style="0" width="10.02"/>
    <col collapsed="false" customWidth="true" hidden="false" outlineLevel="0" max="6" min="6" style="0" width="11.68"/>
  </cols>
  <sheetData>
    <row r="1" customFormat="false" ht="25.5" hidden="false" customHeight="true" outlineLevel="0" collapsed="false">
      <c r="A1" s="1" t="s">
        <v>68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5" t="s">
        <v>17</v>
      </c>
      <c r="B2" s="5" t="s">
        <v>18</v>
      </c>
      <c r="C2" s="5" t="s">
        <v>20</v>
      </c>
      <c r="D2" s="5" t="s">
        <v>67</v>
      </c>
      <c r="E2" s="5" t="s">
        <v>66</v>
      </c>
      <c r="F2" s="5" t="s">
        <v>69</v>
      </c>
    </row>
    <row r="3" customFormat="false" ht="15" hidden="false" customHeight="false" outlineLevel="0" collapsed="false">
      <c r="A3" s="8" t="str">
        <f aca="false">품목목록!$A3</f>
        <v>P01</v>
      </c>
      <c r="B3" s="8" t="str">
        <f aca="false">품목목록!$B3</f>
        <v>A4용지 80g</v>
      </c>
      <c r="C3" s="8" t="n">
        <f aca="false">품목목록!$D3</f>
        <v>50</v>
      </c>
      <c r="D3" s="8" t="str">
        <f aca="false">IFERROR(INDEX(업체별비교!$H$3:$H$102,MATCH($A3,업체별비교!$A$3:$A$102,0)),"")</f>
        <v>서울사무기기</v>
      </c>
      <c r="E3" s="10" t="n">
        <f aca="false">IFERROR(INDEX(업체별비교!$G$3:$G$102,MATCH($A3,업체별비교!$A$3:$A$102,0)),"")</f>
        <v>3100</v>
      </c>
      <c r="F3" s="10" t="n">
        <f aca="false">IF(OR($C3="",$E3=""),"",ROUND($C3*$E3,0))</f>
        <v>155000</v>
      </c>
    </row>
    <row r="4" customFormat="false" ht="15" hidden="false" customHeight="false" outlineLevel="0" collapsed="false">
      <c r="A4" s="8" t="str">
        <f aca="false">품목목록!$A4</f>
        <v>P02</v>
      </c>
      <c r="B4" s="8" t="str">
        <f aca="false">품목목록!$B4</f>
        <v>사무용의자</v>
      </c>
      <c r="C4" s="8" t="n">
        <f aca="false">품목목록!$D4</f>
        <v>10</v>
      </c>
      <c r="D4" s="8" t="str">
        <f aca="false">IFERROR(INDEX(업체별비교!$H$3:$H$102,MATCH($A4,업체별비교!$A$3:$A$102,0)),"")</f>
        <v>서울사무기기</v>
      </c>
      <c r="E4" s="10" t="n">
        <f aca="false">IFERROR(INDEX(업체별비교!$G$3:$G$102,MATCH($A4,업체별비교!$A$3:$A$102,0)),"")</f>
        <v>42000</v>
      </c>
      <c r="F4" s="10" t="n">
        <f aca="false">IF(OR($C4="",$E4=""),"",ROUND($C4*$E4,0))</f>
        <v>420000</v>
      </c>
    </row>
    <row r="5" customFormat="false" ht="15" hidden="false" customHeight="false" outlineLevel="0" collapsed="false">
      <c r="A5" s="8" t="str">
        <f aca="false">품목목록!$A5</f>
        <v>P03</v>
      </c>
      <c r="B5" s="8" t="str">
        <f aca="false">품목목록!$B5</f>
        <v>모니터</v>
      </c>
      <c r="C5" s="8" t="n">
        <f aca="false">품목목록!$D5</f>
        <v>5</v>
      </c>
      <c r="D5" s="8" t="str">
        <f aca="false">IFERROR(INDEX(업체별비교!$H$3:$H$102,MATCH($A5,업체별비교!$A$3:$A$102,0)),"")</f>
        <v>대성물산</v>
      </c>
      <c r="E5" s="10" t="n">
        <f aca="false">IFERROR(INDEX(업체별비교!$G$3:$G$102,MATCH($A5,업체별비교!$A$3:$A$102,0)),"")</f>
        <v>179000</v>
      </c>
      <c r="F5" s="10" t="n">
        <f aca="false">IF(OR($C5="",$E5=""),"",ROUND($C5*$E5,0))</f>
        <v>895000</v>
      </c>
    </row>
    <row r="6" customFormat="false" ht="15" hidden="false" customHeight="false" outlineLevel="0" collapsed="false">
      <c r="A6" s="8" t="str">
        <f aca="false">품목목록!$A6</f>
        <v>P04</v>
      </c>
      <c r="B6" s="8" t="str">
        <f aca="false">품목목록!$B6</f>
        <v>복합기토너</v>
      </c>
      <c r="C6" s="8" t="n">
        <f aca="false">품목목록!$D6</f>
        <v>8</v>
      </c>
      <c r="D6" s="8" t="str">
        <f aca="false">IFERROR(INDEX(업체별비교!$H$3:$H$102,MATCH($A6,업체별비교!$A$3:$A$102,0)),"")</f>
        <v>대성물산</v>
      </c>
      <c r="E6" s="10" t="n">
        <f aca="false">IFERROR(INDEX(업체별비교!$G$3:$G$102,MATCH($A6,업체별비교!$A$3:$A$102,0)),"")</f>
        <v>26000</v>
      </c>
      <c r="F6" s="10" t="n">
        <f aca="false">IF(OR($C6="",$E6=""),"",ROUND($C6*$E6,0))</f>
        <v>208000</v>
      </c>
    </row>
    <row r="7" customFormat="false" ht="15" hidden="false" customHeight="false" outlineLevel="0" collapsed="false">
      <c r="A7" s="8" t="str">
        <f aca="false">품목목록!$A7</f>
        <v>P05</v>
      </c>
      <c r="B7" s="8" t="str">
        <f aca="false">품목목록!$B7</f>
        <v>사무용책상</v>
      </c>
      <c r="C7" s="8" t="n">
        <f aca="false">품목목록!$D7</f>
        <v>8</v>
      </c>
      <c r="D7" s="8" t="str">
        <f aca="false">IFERROR(INDEX(업체별비교!$H$3:$H$102,MATCH($A7,업체별비교!$A$3:$A$102,0)),"")</f>
        <v>그린오피스</v>
      </c>
      <c r="E7" s="10" t="n">
        <f aca="false">IFERROR(INDEX(업체별비교!$G$3:$G$102,MATCH($A7,업체별비교!$A$3:$A$102,0)),"")</f>
        <v>89000</v>
      </c>
      <c r="F7" s="10" t="n">
        <f aca="false">IF(OR($C7="",$E7=""),"",ROUND($C7*$E7,0))</f>
        <v>712000</v>
      </c>
    </row>
    <row r="8" customFormat="false" ht="15" hidden="false" customHeight="false" outlineLevel="0" collapsed="false">
      <c r="B8" s="2" t="s">
        <v>70</v>
      </c>
      <c r="F8" s="11" t="n">
        <f aca="false">SUM(F3:F7)</f>
        <v>2390000</v>
      </c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2026-09-16T10:36:13Z</dcterms:created>
  <dc:creator>Unknown</dc:creator>
  <dc:description/>
  <dc:language>ko-KR</dc:language>
  <cp:lastModifiedBy>Unknown</cp:lastModifiedBy>
  <dcterms:modified xsi:type="dcterms:W3CDTF">2026-09-16T10:36:13Z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