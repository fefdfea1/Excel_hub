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거래처목록" sheetId="2" state="visible" r:id="rId4"/>
    <sheet name="매출내역" sheetId="3" state="visible" r:id="rId5"/>
    <sheet name="거래처별미수" sheetId="4" state="visible" r:id="rId6"/>
    <sheet name="미수연령분석" sheetId="5" state="visible" r:id="rId7"/>
    <sheet name="일별매출" sheetId="6" state="visible" r:id="rId8"/>
    <sheet name="월별집계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<sst xmlns="http://schemas.openxmlformats.org/spreadsheetml/2006/main" count="103" uniqueCount="89">
  <si>
    <t xml:space="preserve">일일매출 · 거래처별 미수금 관리</t>
  </si>
  <si>
    <t xml:space="preserve">핵심</t>
  </si>
  <si>
    <t xml:space="preserve">매출과 수금을 한 곳에 기록하면 거래처별 미수금과 며칠 밀렸는지가 자동으로 나옵니다.</t>
  </si>
  <si>
    <t xml:space="preserve">입력 규칙</t>
  </si>
  <si>
    <t xml:space="preserve">파란색 글씨 칸만 입력하세요. 검은색은 자동 계산입니다.</t>
  </si>
  <si>
    <t xml:space="preserve">① 거래처목록</t>
  </si>
  <si>
    <t xml:space="preserve">거래처명·담당자·여신한도를 등록합니다.</t>
  </si>
  <si>
    <t xml:space="preserve">② 매출내역</t>
  </si>
  <si>
    <t xml:space="preserve">매출이 발생할 때마다 한 줄. 그 자리에서 받았으면 수금액에 같은 금액을 넣으세요.</t>
  </si>
  <si>
    <t xml:space="preserve">나중에 받으면 비워두고, 입금되면 그때 수금일과 수금액을 채우면 됩니다.</t>
  </si>
  <si>
    <t xml:space="preserve">③ 거래처별미수</t>
  </si>
  <si>
    <t xml:space="preserve">거래처별 총매출·총수금·미수금과 가장 오래된 미수 경과일이 나옵니다.</t>
  </si>
  <si>
    <t xml:space="preserve">④ 미수연령분석</t>
  </si>
  <si>
    <t xml:space="preserve">미수금을 30일·60일·90일 구간으로 나눠 보여줍니다. 독촉 순서를 정할 때 씁니다.</t>
  </si>
  <si>
    <t xml:space="preserve">⑤ 일별매출</t>
  </si>
  <si>
    <t xml:space="preserve">날짜별 매출·수금·미수 증감이 나옵니다.</t>
  </si>
  <si>
    <t xml:space="preserve">⑥ 월별집계</t>
  </si>
  <si>
    <t xml:space="preserve">월별 합계입니다.</t>
  </si>
  <si>
    <t xml:space="preserve">미수금 계산</t>
  </si>
  <si>
    <t xml:space="preserve">매출액 − 수금액. 부분 수금도 그대로 반영됩니다.</t>
  </si>
  <si>
    <t xml:space="preserve">여신한도</t>
  </si>
  <si>
    <t xml:space="preserve">거래처별로 허용할 미수 상한입니다. 넘으면 빨간색으로 표시됩니다.</t>
  </si>
  <si>
    <t xml:space="preserve">설정</t>
  </si>
  <si>
    <t xml:space="preserve">값을 바꾸면 모든 계산에 반영됩니다</t>
  </si>
  <si>
    <t xml:space="preserve">미수 경고 기준(일)</t>
  </si>
  <si>
    <t xml:space="preserve">※ 이 파일은 매출 3,000건까지 처리하도록 만들어졌습니다.</t>
  </si>
  <si>
    <t xml:space="preserve">거래처목록</t>
  </si>
  <si>
    <t xml:space="preserve">거래처명</t>
  </si>
  <si>
    <t xml:space="preserve">담당자</t>
  </si>
  <si>
    <t xml:space="preserve">연락처</t>
  </si>
  <si>
    <t xml:space="preserve">결제조건</t>
  </si>
  <si>
    <t xml:space="preserve">비고</t>
  </si>
  <si>
    <t xml:space="preserve">○○건재</t>
  </si>
  <si>
    <t xml:space="preserve">김소장</t>
  </si>
  <si>
    <t xml:space="preserve">010-0000-0001</t>
  </si>
  <si>
    <t xml:space="preserve">월말 정산</t>
  </si>
  <si>
    <t xml:space="preserve">△△인테리어</t>
  </si>
  <si>
    <t xml:space="preserve">이소장</t>
  </si>
  <si>
    <t xml:space="preserve">010-0000-0002</t>
  </si>
  <si>
    <t xml:space="preserve">익월 15일</t>
  </si>
  <si>
    <t xml:space="preserve">□□산업</t>
  </si>
  <si>
    <t xml:space="preserve">박부장</t>
  </si>
  <si>
    <t xml:space="preserve">010-0000-0003</t>
  </si>
  <si>
    <t xml:space="preserve">현금</t>
  </si>
  <si>
    <t xml:space="preserve">매출내역  (매출일·거래처·금액만 넣으면 됩니다)</t>
  </si>
  <si>
    <t xml:space="preserve">매출일</t>
  </si>
  <si>
    <t xml:space="preserve">품목/내용</t>
  </si>
  <si>
    <t xml:space="preserve">수량</t>
  </si>
  <si>
    <t xml:space="preserve">단가</t>
  </si>
  <si>
    <t xml:space="preserve">매출액(자동)</t>
  </si>
  <si>
    <t xml:space="preserve">수금일</t>
  </si>
  <si>
    <t xml:space="preserve">수금액</t>
  </si>
  <si>
    <t xml:space="preserve">미수금(자동)</t>
  </si>
  <si>
    <t xml:space="preserve">경과일(자동)</t>
  </si>
  <si>
    <t xml:space="preserve">※ 매출액은 수량×단가로 자동 계산되지만, 직접 금액만 넣어도 됩니다.</t>
  </si>
  <si>
    <t xml:space="preserve">※ 완납된 줄은 회색, 경고 기준을 넘긴 미수는 빨간색으로 표시됩니다.</t>
  </si>
  <si>
    <t xml:space="preserve">거래처별미수  (전부 자동)</t>
  </si>
  <si>
    <t xml:space="preserve">총 미수금</t>
  </si>
  <si>
    <t xml:space="preserve">한도 초과 거래처</t>
  </si>
  <si>
    <t xml:space="preserve">총 매출</t>
  </si>
  <si>
    <t xml:space="preserve">총 수금</t>
  </si>
  <si>
    <t xml:space="preserve">미수금</t>
  </si>
  <si>
    <t xml:space="preserve">미수 건수</t>
  </si>
  <si>
    <t xml:space="preserve">최장 경과일</t>
  </si>
  <si>
    <t xml:space="preserve">한도 판정</t>
  </si>
  <si>
    <t xml:space="preserve">합계</t>
  </si>
  <si>
    <t xml:space="preserve">※ 최장 경과일은 아직 못 받은 건 중 가장 오래된 매출일 기준입니다.</t>
  </si>
  <si>
    <t xml:space="preserve">미수연령분석  (독촉 순서를 정할 때)</t>
  </si>
  <si>
    <t xml:space="preserve">기준일</t>
  </si>
  <si>
    <r>
      <rPr>
        <b val="true"/>
        <sz val="10"/>
        <color rgb="FFFFFFFF"/>
        <rFont val="맑은 고딕"/>
        <family val="0"/>
        <charset val="1"/>
      </rPr>
      <t xml:space="preserve">30</t>
    </r>
    <r>
      <rPr>
        <b val="true"/>
        <sz val="10"/>
        <color rgb="FFFFFFFF"/>
        <rFont val="Noto Sans CJK SC"/>
        <family val="2"/>
      </rPr>
      <t xml:space="preserve">일 이내</t>
    </r>
  </si>
  <si>
    <r>
      <rPr>
        <b val="true"/>
        <sz val="10"/>
        <color rgb="FFFFFFFF"/>
        <rFont val="맑은 고딕"/>
        <family val="0"/>
        <charset val="1"/>
      </rPr>
      <t xml:space="preserve">31~60</t>
    </r>
    <r>
      <rPr>
        <b val="true"/>
        <sz val="10"/>
        <color rgb="FFFFFFFF"/>
        <rFont val="Noto Sans CJK SC"/>
        <family val="2"/>
      </rPr>
      <t xml:space="preserve">일</t>
    </r>
  </si>
  <si>
    <r>
      <rPr>
        <b val="true"/>
        <sz val="10"/>
        <color rgb="FFFFFFFF"/>
        <rFont val="맑은 고딕"/>
        <family val="0"/>
        <charset val="1"/>
      </rPr>
      <t xml:space="preserve">61~90</t>
    </r>
    <r>
      <rPr>
        <b val="true"/>
        <sz val="10"/>
        <color rgb="FFFFFFFF"/>
        <rFont val="Noto Sans CJK SC"/>
        <family val="2"/>
      </rPr>
      <t xml:space="preserve">일</t>
    </r>
  </si>
  <si>
    <r>
      <rPr>
        <b val="true"/>
        <sz val="10"/>
        <color rgb="FFFFFFFF"/>
        <rFont val="맑은 고딕"/>
        <family val="0"/>
        <charset val="1"/>
      </rPr>
      <t xml:space="preserve">90</t>
    </r>
    <r>
      <rPr>
        <b val="true"/>
        <sz val="10"/>
        <color rgb="FFFFFFFF"/>
        <rFont val="Noto Sans CJK SC"/>
        <family val="2"/>
      </rPr>
      <t xml:space="preserve">일 초과</t>
    </r>
  </si>
  <si>
    <t xml:space="preserve">미수 합계</t>
  </si>
  <si>
    <t xml:space="preserve">비중</t>
  </si>
  <si>
    <r>
      <rPr>
        <sz val="9"/>
        <color rgb="FF808080"/>
        <rFont val="맑은 고딕"/>
        <family val="0"/>
        <charset val="1"/>
      </rPr>
      <t xml:space="preserve">※ 90</t>
    </r>
    <r>
      <rPr>
        <sz val="9"/>
        <color rgb="FF808080"/>
        <rFont val="Noto Sans CJK SC"/>
        <family val="2"/>
      </rPr>
      <t xml:space="preserve">일 초과 금액이 있는 거래처는 빨간색입니다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Noto Sans CJK SC"/>
        <family val="2"/>
      </rPr>
      <t xml:space="preserve">먼저 연락하세요</t>
    </r>
    <r>
      <rPr>
        <sz val="9"/>
        <color rgb="FF808080"/>
        <rFont val="맑은 고딕"/>
        <family val="0"/>
        <charset val="1"/>
      </rPr>
      <t xml:space="preserve">.</t>
    </r>
  </si>
  <si>
    <t xml:space="preserve">일별매출</t>
  </si>
  <si>
    <t xml:space="preserve">시작일</t>
  </si>
  <si>
    <t xml:space="preserve">← 이 날부터 31일간 표시됩니다</t>
  </si>
  <si>
    <t xml:space="preserve">날짜</t>
  </si>
  <si>
    <t xml:space="preserve">요일</t>
  </si>
  <si>
    <t xml:space="preserve">매출 건수</t>
  </si>
  <si>
    <t xml:space="preserve">매출액</t>
  </si>
  <si>
    <t xml:space="preserve">당일 미수 증감</t>
  </si>
  <si>
    <t xml:space="preserve">월별집계</t>
  </si>
  <si>
    <t xml:space="preserve">대상 연도</t>
  </si>
  <si>
    <t xml:space="preserve">월</t>
  </si>
  <si>
    <t xml:space="preserve">미수 증감</t>
  </si>
  <si>
    <t xml:space="preserve">거래처 수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</si>
</sst>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"/>
    <numFmt numFmtId="167" formatCode="yyyy\-mm\-dd"/>
    <numFmt numFmtId="168" formatCode="#,##0.##"/>
    <numFmt numFmtId="169" formatCode="General"/>
    <numFmt numFmtId="170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9"/>
      <color rgb="FF808080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sz val="10"/>
      <name val="맑은 고딕"/>
      <family val="0"/>
      <charset val="1"/>
    </font>
    <font>
      <b val="true"/>
      <sz val="11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sz val="9"/>
      <color rgb="FF808080"/>
      <name val="맑은 고딕"/>
      <family val="0"/>
      <charset val="1"/>
    </font>
    <font>
      <sz val="9"/>
      <color rgb="FF808080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B9A"/>
        <bgColor rgb="FF0066CC"/>
      </patternFill>
    </fill>
    <fill>
      <patternFill patternType="solid">
        <fgColor rgb="FFFFF2CC"/>
        <bgColor rgb="FFFCE4E4"/>
      </patternFill>
    </fill>
    <fill>
      <patternFill patternType="solid">
        <fgColor rgb="FF6B7A8F"/>
        <bgColor rgb="FF808080"/>
      </patternFill>
    </fill>
    <fill>
      <patternFill patternType="solid">
        <fgColor rgb="FFFCE4E4"/>
        <bgColor rgb="FFF2F2F2"/>
      </patternFill>
    </fill>
    <fill>
      <patternFill patternType="solid">
        <fgColor rgb="FFF2F2F2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CE4E4"/>
        </patternFill>
      </fill>
    </dxf>
    <dxf>
      <fill>
        <patternFill>
          <bgColor rgb="FFF2F2F2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/>
      <c r="C8" s="4" t="s">
        <v>9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0" customFormat="false" ht="15" hidden="false" customHeight="true" outlineLevel="0" collapsed="false">
      <c r="B10" s="3" t="s">
        <v>12</v>
      </c>
      <c r="C10" s="4" t="s">
        <v>13</v>
      </c>
    </row>
    <row r="11" customFormat="false" ht="15" hidden="false" customHeight="true" outlineLevel="0" collapsed="false">
      <c r="B11" s="3" t="s">
        <v>14</v>
      </c>
      <c r="C11" s="4" t="s">
        <v>15</v>
      </c>
    </row>
    <row r="12" customFormat="false" ht="15" hidden="false" customHeight="true" outlineLevel="0" collapsed="false">
      <c r="B12" s="3" t="s">
        <v>16</v>
      </c>
      <c r="C12" s="4" t="s">
        <v>17</v>
      </c>
    </row>
    <row r="13" customFormat="false" ht="15" hidden="false" customHeight="true" outlineLevel="0" collapsed="false">
      <c r="B13" s="3" t="s">
        <v>18</v>
      </c>
      <c r="C13" s="4" t="s">
        <v>19</v>
      </c>
    </row>
    <row r="14" customFormat="false" ht="15" hidden="false" customHeight="true" outlineLevel="0" collapsed="false">
      <c r="B14" s="3" t="s">
        <v>20</v>
      </c>
      <c r="C14" s="4" t="s">
        <v>21</v>
      </c>
    </row>
    <row r="16" customFormat="false" ht="15" hidden="false" customHeight="true" outlineLevel="0" collapsed="false">
      <c r="B16" s="5" t="s">
        <v>22</v>
      </c>
      <c r="C16" s="6" t="s">
        <v>23</v>
      </c>
    </row>
    <row r="17" customFormat="false" ht="15" hidden="false" customHeight="true" outlineLevel="0" collapsed="false">
      <c r="B17" s="4" t="s">
        <v>24</v>
      </c>
      <c r="C17" s="7" t="n">
        <v>30</v>
      </c>
    </row>
    <row r="19" customFormat="false" ht="15" hidden="false" customHeight="true" outlineLevel="0" collapsed="false">
      <c r="B19" s="6" t="s">
        <v>25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17"/>
    <col collapsed="false" customWidth="true" hidden="false" outlineLevel="0" max="5" min="4" style="1" width="16"/>
    <col collapsed="false" customWidth="true" hidden="false" outlineLevel="0" max="6" min="6" style="1" width="22"/>
  </cols>
  <sheetData>
    <row r="1" customFormat="false" ht="25.5" hidden="false" customHeight="true" outlineLevel="0" collapsed="false">
      <c r="A1" s="2" t="s">
        <v>26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8" t="s">
        <v>27</v>
      </c>
      <c r="B2" s="8" t="s">
        <v>28</v>
      </c>
      <c r="C2" s="8" t="s">
        <v>29</v>
      </c>
      <c r="D2" s="8" t="s">
        <v>20</v>
      </c>
      <c r="E2" s="8" t="s">
        <v>30</v>
      </c>
      <c r="F2" s="8" t="s">
        <v>31</v>
      </c>
    </row>
    <row r="3" customFormat="false" ht="15" hidden="false" customHeight="true" outlineLevel="0" collapsed="false">
      <c r="A3" s="9" t="s">
        <v>32</v>
      </c>
      <c r="B3" s="9" t="s">
        <v>33</v>
      </c>
      <c r="C3" s="10" t="s">
        <v>34</v>
      </c>
      <c r="D3" s="11" t="n">
        <v>10000000</v>
      </c>
      <c r="E3" s="9" t="s">
        <v>35</v>
      </c>
      <c r="F3" s="10"/>
    </row>
    <row r="4" customFormat="false" ht="15" hidden="false" customHeight="true" outlineLevel="0" collapsed="false">
      <c r="A4" s="9" t="s">
        <v>36</v>
      </c>
      <c r="B4" s="9" t="s">
        <v>37</v>
      </c>
      <c r="C4" s="10" t="s">
        <v>38</v>
      </c>
      <c r="D4" s="11" t="n">
        <v>5000000</v>
      </c>
      <c r="E4" s="9" t="s">
        <v>39</v>
      </c>
      <c r="F4" s="10"/>
    </row>
    <row r="5" customFormat="false" ht="15" hidden="false" customHeight="true" outlineLevel="0" collapsed="false">
      <c r="A5" s="9" t="s">
        <v>40</v>
      </c>
      <c r="B5" s="9" t="s">
        <v>41</v>
      </c>
      <c r="C5" s="10" t="s">
        <v>42</v>
      </c>
      <c r="D5" s="11" t="n">
        <v>20000000</v>
      </c>
      <c r="E5" s="9" t="s">
        <v>43</v>
      </c>
      <c r="F5" s="10"/>
    </row>
    <row r="6" customFormat="false" ht="15" hidden="false" customHeight="true" outlineLevel="0" collapsed="false">
      <c r="A6" s="10"/>
      <c r="B6" s="10"/>
      <c r="C6" s="10"/>
      <c r="D6" s="11"/>
      <c r="E6" s="9"/>
      <c r="F6" s="10"/>
    </row>
    <row r="7" customFormat="false" ht="15" hidden="false" customHeight="true" outlineLevel="0" collapsed="false">
      <c r="A7" s="10"/>
      <c r="B7" s="10"/>
      <c r="C7" s="10"/>
      <c r="D7" s="11"/>
      <c r="E7" s="9"/>
      <c r="F7" s="10"/>
    </row>
    <row r="8" customFormat="false" ht="15" hidden="false" customHeight="true" outlineLevel="0" collapsed="false">
      <c r="A8" s="10"/>
      <c r="B8" s="10"/>
      <c r="C8" s="10"/>
      <c r="D8" s="11"/>
      <c r="E8" s="9"/>
      <c r="F8" s="10"/>
    </row>
    <row r="9" customFormat="false" ht="15" hidden="false" customHeight="true" outlineLevel="0" collapsed="false">
      <c r="A9" s="10"/>
      <c r="B9" s="10"/>
      <c r="C9" s="10"/>
      <c r="D9" s="11"/>
      <c r="E9" s="9"/>
      <c r="F9" s="10"/>
    </row>
    <row r="10" customFormat="false" ht="15" hidden="false" customHeight="true" outlineLevel="0" collapsed="false">
      <c r="A10" s="10"/>
      <c r="B10" s="10"/>
      <c r="C10" s="10"/>
      <c r="D10" s="11"/>
      <c r="E10" s="9"/>
      <c r="F10" s="10"/>
    </row>
    <row r="11" customFormat="false" ht="15" hidden="false" customHeight="true" outlineLevel="0" collapsed="false">
      <c r="A11" s="10"/>
      <c r="B11" s="10"/>
      <c r="C11" s="10"/>
      <c r="D11" s="11"/>
      <c r="E11" s="9"/>
      <c r="F11" s="10"/>
    </row>
    <row r="12" customFormat="false" ht="15" hidden="false" customHeight="true" outlineLevel="0" collapsed="false">
      <c r="A12" s="10"/>
      <c r="B12" s="10"/>
      <c r="C12" s="10"/>
      <c r="D12" s="11"/>
      <c r="E12" s="9"/>
      <c r="F12" s="10"/>
    </row>
    <row r="13" customFormat="false" ht="15" hidden="false" customHeight="true" outlineLevel="0" collapsed="false">
      <c r="A13" s="10"/>
      <c r="B13" s="10"/>
      <c r="C13" s="10"/>
      <c r="D13" s="11"/>
      <c r="E13" s="9"/>
      <c r="F13" s="10"/>
    </row>
    <row r="14" customFormat="false" ht="15" hidden="false" customHeight="true" outlineLevel="0" collapsed="false">
      <c r="A14" s="10"/>
      <c r="B14" s="10"/>
      <c r="C14" s="10"/>
      <c r="D14" s="11"/>
      <c r="E14" s="9"/>
      <c r="F14" s="10"/>
    </row>
    <row r="15" customFormat="false" ht="15" hidden="false" customHeight="true" outlineLevel="0" collapsed="false">
      <c r="A15" s="10"/>
      <c r="B15" s="10"/>
      <c r="C15" s="10"/>
      <c r="D15" s="11"/>
      <c r="E15" s="9"/>
      <c r="F15" s="10"/>
    </row>
    <row r="16" customFormat="false" ht="15" hidden="false" customHeight="true" outlineLevel="0" collapsed="false">
      <c r="A16" s="10"/>
      <c r="B16" s="10"/>
      <c r="C16" s="10"/>
      <c r="D16" s="11"/>
      <c r="E16" s="9"/>
      <c r="F16" s="10"/>
    </row>
    <row r="17" customFormat="false" ht="15" hidden="false" customHeight="true" outlineLevel="0" collapsed="false">
      <c r="A17" s="10"/>
      <c r="B17" s="10"/>
      <c r="C17" s="10"/>
      <c r="D17" s="11"/>
      <c r="E17" s="9"/>
      <c r="F17" s="10"/>
    </row>
    <row r="18" customFormat="false" ht="15" hidden="false" customHeight="true" outlineLevel="0" collapsed="false">
      <c r="A18" s="10"/>
      <c r="B18" s="10"/>
      <c r="C18" s="10"/>
      <c r="D18" s="11"/>
      <c r="E18" s="9"/>
      <c r="F18" s="10"/>
    </row>
    <row r="19" customFormat="false" ht="15" hidden="false" customHeight="true" outlineLevel="0" collapsed="false">
      <c r="A19" s="10"/>
      <c r="B19" s="10"/>
      <c r="C19" s="10"/>
      <c r="D19" s="11"/>
      <c r="E19" s="9"/>
      <c r="F19" s="10"/>
    </row>
    <row r="20" customFormat="false" ht="15" hidden="false" customHeight="true" outlineLevel="0" collapsed="false">
      <c r="A20" s="10"/>
      <c r="B20" s="10"/>
      <c r="C20" s="10"/>
      <c r="D20" s="11"/>
      <c r="E20" s="9"/>
      <c r="F20" s="10"/>
    </row>
    <row r="21" customFormat="false" ht="15" hidden="false" customHeight="true" outlineLevel="0" collapsed="false">
      <c r="A21" s="10"/>
      <c r="B21" s="10"/>
      <c r="C21" s="10"/>
      <c r="D21" s="11"/>
      <c r="E21" s="9"/>
      <c r="F21" s="10"/>
    </row>
    <row r="22" customFormat="false" ht="15" hidden="false" customHeight="true" outlineLevel="0" collapsed="false">
      <c r="A22" s="10"/>
      <c r="B22" s="10"/>
      <c r="C22" s="10"/>
      <c r="D22" s="11"/>
      <c r="E22" s="9"/>
      <c r="F22" s="10"/>
    </row>
    <row r="23" customFormat="false" ht="15" hidden="false" customHeight="true" outlineLevel="0" collapsed="false">
      <c r="A23" s="10"/>
      <c r="B23" s="10"/>
      <c r="C23" s="10"/>
      <c r="D23" s="11"/>
      <c r="E23" s="9"/>
      <c r="F23" s="10"/>
    </row>
    <row r="24" customFormat="false" ht="15" hidden="false" customHeight="true" outlineLevel="0" collapsed="false">
      <c r="A24" s="10"/>
      <c r="B24" s="10"/>
      <c r="C24" s="10"/>
      <c r="D24" s="11"/>
      <c r="E24" s="9"/>
      <c r="F24" s="10"/>
    </row>
    <row r="25" customFormat="false" ht="15" hidden="false" customHeight="true" outlineLevel="0" collapsed="false">
      <c r="A25" s="10"/>
      <c r="B25" s="10"/>
      <c r="C25" s="10"/>
      <c r="D25" s="11"/>
      <c r="E25" s="9"/>
      <c r="F25" s="10"/>
    </row>
    <row r="26" customFormat="false" ht="15" hidden="false" customHeight="true" outlineLevel="0" collapsed="false">
      <c r="A26" s="10"/>
      <c r="B26" s="10"/>
      <c r="C26" s="10"/>
      <c r="D26" s="11"/>
      <c r="E26" s="9"/>
      <c r="F26" s="10"/>
    </row>
    <row r="27" customFormat="false" ht="15" hidden="false" customHeight="true" outlineLevel="0" collapsed="false">
      <c r="A27" s="10"/>
      <c r="B27" s="10"/>
      <c r="C27" s="10"/>
      <c r="D27" s="11"/>
      <c r="E27" s="9"/>
      <c r="F27" s="10"/>
    </row>
    <row r="28" customFormat="false" ht="15" hidden="false" customHeight="true" outlineLevel="0" collapsed="false">
      <c r="A28" s="10"/>
      <c r="B28" s="10"/>
      <c r="C28" s="10"/>
      <c r="D28" s="11"/>
      <c r="E28" s="9"/>
      <c r="F28" s="10"/>
    </row>
    <row r="29" customFormat="false" ht="15" hidden="false" customHeight="true" outlineLevel="0" collapsed="false">
      <c r="A29" s="10"/>
      <c r="B29" s="10"/>
      <c r="C29" s="10"/>
      <c r="D29" s="11"/>
      <c r="E29" s="9"/>
      <c r="F29" s="10"/>
    </row>
    <row r="30" customFormat="false" ht="15" hidden="false" customHeight="true" outlineLevel="0" collapsed="false">
      <c r="A30" s="10"/>
      <c r="B30" s="10"/>
      <c r="C30" s="10"/>
      <c r="D30" s="11"/>
      <c r="E30" s="9"/>
      <c r="F30" s="10"/>
    </row>
    <row r="31" customFormat="false" ht="15" hidden="false" customHeight="true" outlineLevel="0" collapsed="false">
      <c r="A31" s="10"/>
      <c r="B31" s="10"/>
      <c r="C31" s="10"/>
      <c r="D31" s="11"/>
      <c r="E31" s="9"/>
      <c r="F31" s="10"/>
    </row>
    <row r="32" customFormat="false" ht="15" hidden="false" customHeight="true" outlineLevel="0" collapsed="false">
      <c r="A32" s="10"/>
      <c r="B32" s="10"/>
      <c r="C32" s="10"/>
      <c r="D32" s="11"/>
      <c r="E32" s="9"/>
      <c r="F32" s="10"/>
    </row>
    <row r="33" customFormat="false" ht="15" hidden="false" customHeight="true" outlineLevel="0" collapsed="false">
      <c r="A33" s="10"/>
      <c r="B33" s="10"/>
      <c r="C33" s="10"/>
      <c r="D33" s="11"/>
      <c r="E33" s="9"/>
      <c r="F33" s="10"/>
    </row>
    <row r="34" customFormat="false" ht="15" hidden="false" customHeight="true" outlineLevel="0" collapsed="false">
      <c r="A34" s="10"/>
      <c r="B34" s="10"/>
      <c r="C34" s="10"/>
      <c r="D34" s="11"/>
      <c r="E34" s="9"/>
      <c r="F34" s="10"/>
    </row>
    <row r="35" customFormat="false" ht="15" hidden="false" customHeight="true" outlineLevel="0" collapsed="false">
      <c r="A35" s="10"/>
      <c r="B35" s="10"/>
      <c r="C35" s="10"/>
      <c r="D35" s="11"/>
      <c r="E35" s="9"/>
      <c r="F35" s="10"/>
    </row>
    <row r="36" customFormat="false" ht="15" hidden="false" customHeight="true" outlineLevel="0" collapsed="false">
      <c r="A36" s="10"/>
      <c r="B36" s="10"/>
      <c r="C36" s="10"/>
      <c r="D36" s="11"/>
      <c r="E36" s="9"/>
      <c r="F36" s="10"/>
    </row>
    <row r="37" customFormat="false" ht="15" hidden="false" customHeight="true" outlineLevel="0" collapsed="false">
      <c r="A37" s="10"/>
      <c r="B37" s="10"/>
      <c r="C37" s="10"/>
      <c r="D37" s="11"/>
      <c r="E37" s="9"/>
      <c r="F37" s="10"/>
    </row>
    <row r="38" customFormat="false" ht="15" hidden="false" customHeight="true" outlineLevel="0" collapsed="false">
      <c r="A38" s="10"/>
      <c r="B38" s="10"/>
      <c r="C38" s="10"/>
      <c r="D38" s="11"/>
      <c r="E38" s="9"/>
      <c r="F38" s="10"/>
    </row>
    <row r="39" customFormat="false" ht="15" hidden="false" customHeight="true" outlineLevel="0" collapsed="false">
      <c r="A39" s="10"/>
      <c r="B39" s="10"/>
      <c r="C39" s="10"/>
      <c r="D39" s="11"/>
      <c r="E39" s="9"/>
      <c r="F39" s="10"/>
    </row>
    <row r="40" customFormat="false" ht="15" hidden="false" customHeight="true" outlineLevel="0" collapsed="false">
      <c r="A40" s="10"/>
      <c r="B40" s="10"/>
      <c r="C40" s="10"/>
      <c r="D40" s="11"/>
      <c r="E40" s="9"/>
      <c r="F40" s="10"/>
    </row>
    <row r="41" customFormat="false" ht="15" hidden="false" customHeight="true" outlineLevel="0" collapsed="false">
      <c r="A41" s="10"/>
      <c r="B41" s="10"/>
      <c r="C41" s="10"/>
      <c r="D41" s="11"/>
      <c r="E41" s="9"/>
      <c r="F41" s="10"/>
    </row>
    <row r="42" customFormat="false" ht="15" hidden="false" customHeight="true" outlineLevel="0" collapsed="false">
      <c r="A42" s="10"/>
      <c r="B42" s="10"/>
      <c r="C42" s="10"/>
      <c r="D42" s="11"/>
      <c r="E42" s="9"/>
      <c r="F42" s="10"/>
    </row>
    <row r="43" customFormat="false" ht="15" hidden="false" customHeight="true" outlineLevel="0" collapsed="false">
      <c r="A43" s="10"/>
      <c r="B43" s="10"/>
      <c r="C43" s="10"/>
      <c r="D43" s="11"/>
      <c r="E43" s="9"/>
      <c r="F43" s="10"/>
    </row>
    <row r="44" customFormat="false" ht="15" hidden="false" customHeight="true" outlineLevel="0" collapsed="false">
      <c r="A44" s="10"/>
      <c r="B44" s="10"/>
      <c r="C44" s="10"/>
      <c r="D44" s="11"/>
      <c r="E44" s="9"/>
      <c r="F44" s="10"/>
    </row>
    <row r="45" customFormat="false" ht="15" hidden="false" customHeight="true" outlineLevel="0" collapsed="false">
      <c r="A45" s="10"/>
      <c r="B45" s="10"/>
      <c r="C45" s="10"/>
      <c r="D45" s="11"/>
      <c r="E45" s="9"/>
      <c r="F45" s="10"/>
    </row>
    <row r="46" customFormat="false" ht="15" hidden="false" customHeight="true" outlineLevel="0" collapsed="false">
      <c r="A46" s="10"/>
      <c r="B46" s="10"/>
      <c r="C46" s="10"/>
      <c r="D46" s="11"/>
      <c r="E46" s="9"/>
      <c r="F46" s="10"/>
    </row>
    <row r="47" customFormat="false" ht="15" hidden="false" customHeight="true" outlineLevel="0" collapsed="false">
      <c r="A47" s="10"/>
      <c r="B47" s="10"/>
      <c r="C47" s="10"/>
      <c r="D47" s="11"/>
      <c r="E47" s="9"/>
      <c r="F47" s="10"/>
    </row>
    <row r="48" customFormat="false" ht="15" hidden="false" customHeight="true" outlineLevel="0" collapsed="false">
      <c r="A48" s="10"/>
      <c r="B48" s="10"/>
      <c r="C48" s="10"/>
      <c r="D48" s="11"/>
      <c r="E48" s="9"/>
      <c r="F48" s="10"/>
    </row>
    <row r="49" customFormat="false" ht="15" hidden="false" customHeight="true" outlineLevel="0" collapsed="false">
      <c r="A49" s="10"/>
      <c r="B49" s="10"/>
      <c r="C49" s="10"/>
      <c r="D49" s="11"/>
      <c r="E49" s="9"/>
      <c r="F49" s="10"/>
    </row>
    <row r="50" customFormat="false" ht="15" hidden="false" customHeight="true" outlineLevel="0" collapsed="false">
      <c r="A50" s="10"/>
      <c r="B50" s="10"/>
      <c r="C50" s="10"/>
      <c r="D50" s="11"/>
      <c r="E50" s="9"/>
      <c r="F50" s="10"/>
    </row>
    <row r="51" customFormat="false" ht="15" hidden="false" customHeight="true" outlineLevel="0" collapsed="false">
      <c r="A51" s="10"/>
      <c r="B51" s="10"/>
      <c r="C51" s="10"/>
      <c r="D51" s="11"/>
      <c r="E51" s="9"/>
      <c r="F51" s="10"/>
    </row>
    <row r="52" customFormat="false" ht="15" hidden="false" customHeight="true" outlineLevel="0" collapsed="false">
      <c r="A52" s="10"/>
      <c r="B52" s="10"/>
      <c r="C52" s="10"/>
      <c r="D52" s="11"/>
      <c r="E52" s="9"/>
      <c r="F52" s="10"/>
    </row>
    <row r="53" customFormat="false" ht="15" hidden="false" customHeight="true" outlineLevel="0" collapsed="false">
      <c r="A53" s="10"/>
      <c r="B53" s="10"/>
      <c r="C53" s="10"/>
      <c r="D53" s="11"/>
      <c r="E53" s="9"/>
      <c r="F53" s="10"/>
    </row>
    <row r="54" customFormat="false" ht="15" hidden="false" customHeight="true" outlineLevel="0" collapsed="false">
      <c r="A54" s="10"/>
      <c r="B54" s="10"/>
      <c r="C54" s="10"/>
      <c r="D54" s="11"/>
      <c r="E54" s="9"/>
      <c r="F54" s="10"/>
    </row>
    <row r="55" customFormat="false" ht="15" hidden="false" customHeight="true" outlineLevel="0" collapsed="false">
      <c r="A55" s="10"/>
      <c r="B55" s="10"/>
      <c r="C55" s="10"/>
      <c r="D55" s="11"/>
      <c r="E55" s="9"/>
      <c r="F55" s="10"/>
    </row>
    <row r="56" customFormat="false" ht="15" hidden="false" customHeight="true" outlineLevel="0" collapsed="false">
      <c r="A56" s="10"/>
      <c r="B56" s="10"/>
      <c r="C56" s="10"/>
      <c r="D56" s="11"/>
      <c r="E56" s="9"/>
      <c r="F56" s="10"/>
    </row>
    <row r="57" customFormat="false" ht="15" hidden="false" customHeight="true" outlineLevel="0" collapsed="false">
      <c r="A57" s="10"/>
      <c r="B57" s="10"/>
      <c r="C57" s="10"/>
      <c r="D57" s="11"/>
      <c r="E57" s="9"/>
      <c r="F57" s="10"/>
    </row>
    <row r="58" customFormat="false" ht="15" hidden="false" customHeight="true" outlineLevel="0" collapsed="false">
      <c r="A58" s="10"/>
      <c r="B58" s="10"/>
      <c r="C58" s="10"/>
      <c r="D58" s="11"/>
      <c r="E58" s="9"/>
      <c r="F58" s="10"/>
    </row>
    <row r="59" customFormat="false" ht="15" hidden="false" customHeight="true" outlineLevel="0" collapsed="false">
      <c r="A59" s="10"/>
      <c r="B59" s="10"/>
      <c r="C59" s="10"/>
      <c r="D59" s="11"/>
      <c r="E59" s="9"/>
      <c r="F59" s="10"/>
    </row>
    <row r="60" customFormat="false" ht="15" hidden="false" customHeight="true" outlineLevel="0" collapsed="false">
      <c r="A60" s="10"/>
      <c r="B60" s="10"/>
      <c r="C60" s="10"/>
      <c r="D60" s="11"/>
      <c r="E60" s="9"/>
      <c r="F60" s="10"/>
    </row>
    <row r="61" customFormat="false" ht="15" hidden="false" customHeight="true" outlineLevel="0" collapsed="false">
      <c r="A61" s="10"/>
      <c r="B61" s="10"/>
      <c r="C61" s="10"/>
      <c r="D61" s="11"/>
      <c r="E61" s="9"/>
      <c r="F61" s="10"/>
    </row>
    <row r="62" customFormat="false" ht="15" hidden="false" customHeight="true" outlineLevel="0" collapsed="false">
      <c r="A62" s="10"/>
      <c r="B62" s="10"/>
      <c r="C62" s="10"/>
      <c r="D62" s="11"/>
      <c r="E62" s="9"/>
      <c r="F62" s="10"/>
    </row>
    <row r="63" customFormat="false" ht="15" hidden="false" customHeight="true" outlineLevel="0" collapsed="false">
      <c r="A63" s="10"/>
      <c r="B63" s="10"/>
      <c r="C63" s="10"/>
      <c r="D63" s="11"/>
      <c r="E63" s="9"/>
      <c r="F63" s="10"/>
    </row>
    <row r="64" customFormat="false" ht="15" hidden="false" customHeight="true" outlineLevel="0" collapsed="false">
      <c r="A64" s="10"/>
      <c r="B64" s="10"/>
      <c r="C64" s="10"/>
      <c r="D64" s="11"/>
      <c r="E64" s="9"/>
      <c r="F64" s="10"/>
    </row>
    <row r="65" customFormat="false" ht="15" hidden="false" customHeight="true" outlineLevel="0" collapsed="false">
      <c r="A65" s="10"/>
      <c r="B65" s="10"/>
      <c r="C65" s="10"/>
      <c r="D65" s="11"/>
      <c r="E65" s="9"/>
      <c r="F65" s="10"/>
    </row>
    <row r="66" customFormat="false" ht="15" hidden="false" customHeight="true" outlineLevel="0" collapsed="false">
      <c r="A66" s="10"/>
      <c r="B66" s="10"/>
      <c r="C66" s="10"/>
      <c r="D66" s="11"/>
      <c r="E66" s="9"/>
      <c r="F66" s="10"/>
    </row>
    <row r="67" customFormat="false" ht="15" hidden="false" customHeight="true" outlineLevel="0" collapsed="false">
      <c r="A67" s="10"/>
      <c r="B67" s="10"/>
      <c r="C67" s="10"/>
      <c r="D67" s="11"/>
      <c r="E67" s="9"/>
      <c r="F67" s="10"/>
    </row>
    <row r="68" customFormat="false" ht="15" hidden="false" customHeight="true" outlineLevel="0" collapsed="false">
      <c r="A68" s="10"/>
      <c r="B68" s="10"/>
      <c r="C68" s="10"/>
      <c r="D68" s="11"/>
      <c r="E68" s="9"/>
      <c r="F68" s="10"/>
    </row>
    <row r="69" customFormat="false" ht="15" hidden="false" customHeight="true" outlineLevel="0" collapsed="false">
      <c r="A69" s="10"/>
      <c r="B69" s="10"/>
      <c r="C69" s="10"/>
      <c r="D69" s="11"/>
      <c r="E69" s="9"/>
      <c r="F69" s="10"/>
    </row>
    <row r="70" customFormat="false" ht="15" hidden="false" customHeight="true" outlineLevel="0" collapsed="false">
      <c r="A70" s="10"/>
      <c r="B70" s="10"/>
      <c r="C70" s="10"/>
      <c r="D70" s="11"/>
      <c r="E70" s="9"/>
      <c r="F70" s="10"/>
    </row>
    <row r="71" customFormat="false" ht="15" hidden="false" customHeight="true" outlineLevel="0" collapsed="false">
      <c r="A71" s="10"/>
      <c r="B71" s="10"/>
      <c r="C71" s="10"/>
      <c r="D71" s="11"/>
      <c r="E71" s="9"/>
      <c r="F71" s="10"/>
    </row>
    <row r="72" customFormat="false" ht="15" hidden="false" customHeight="true" outlineLevel="0" collapsed="false">
      <c r="A72" s="10"/>
      <c r="B72" s="10"/>
      <c r="C72" s="10"/>
      <c r="D72" s="11"/>
      <c r="E72" s="9"/>
      <c r="F72" s="10"/>
    </row>
    <row r="73" customFormat="false" ht="15" hidden="false" customHeight="true" outlineLevel="0" collapsed="false">
      <c r="A73" s="10"/>
      <c r="B73" s="10"/>
      <c r="C73" s="10"/>
      <c r="D73" s="11"/>
      <c r="E73" s="9"/>
      <c r="F73" s="10"/>
    </row>
    <row r="74" customFormat="false" ht="15" hidden="false" customHeight="true" outlineLevel="0" collapsed="false">
      <c r="A74" s="10"/>
      <c r="B74" s="10"/>
      <c r="C74" s="10"/>
      <c r="D74" s="11"/>
      <c r="E74" s="9"/>
      <c r="F74" s="10"/>
    </row>
    <row r="75" customFormat="false" ht="15" hidden="false" customHeight="true" outlineLevel="0" collapsed="false">
      <c r="A75" s="10"/>
      <c r="B75" s="10"/>
      <c r="C75" s="10"/>
      <c r="D75" s="11"/>
      <c r="E75" s="9"/>
      <c r="F75" s="10"/>
    </row>
    <row r="76" customFormat="false" ht="15" hidden="false" customHeight="true" outlineLevel="0" collapsed="false">
      <c r="A76" s="10"/>
      <c r="B76" s="10"/>
      <c r="C76" s="10"/>
      <c r="D76" s="11"/>
      <c r="E76" s="9"/>
      <c r="F76" s="10"/>
    </row>
    <row r="77" customFormat="false" ht="15" hidden="false" customHeight="true" outlineLevel="0" collapsed="false">
      <c r="A77" s="10"/>
      <c r="B77" s="10"/>
      <c r="C77" s="10"/>
      <c r="D77" s="11"/>
      <c r="E77" s="9"/>
      <c r="F77" s="10"/>
    </row>
    <row r="78" customFormat="false" ht="15" hidden="false" customHeight="true" outlineLevel="0" collapsed="false">
      <c r="A78" s="10"/>
      <c r="B78" s="10"/>
      <c r="C78" s="10"/>
      <c r="D78" s="11"/>
      <c r="E78" s="9"/>
      <c r="F78" s="10"/>
    </row>
    <row r="79" customFormat="false" ht="15" hidden="false" customHeight="true" outlineLevel="0" collapsed="false">
      <c r="A79" s="10"/>
      <c r="B79" s="10"/>
      <c r="C79" s="10"/>
      <c r="D79" s="11"/>
      <c r="E79" s="9"/>
      <c r="F79" s="10"/>
    </row>
    <row r="80" customFormat="false" ht="15" hidden="false" customHeight="true" outlineLevel="0" collapsed="false">
      <c r="A80" s="10"/>
      <c r="B80" s="10"/>
      <c r="C80" s="10"/>
      <c r="D80" s="11"/>
      <c r="E80" s="9"/>
      <c r="F80" s="10"/>
    </row>
    <row r="81" customFormat="false" ht="15" hidden="false" customHeight="true" outlineLevel="0" collapsed="false">
      <c r="A81" s="10"/>
      <c r="B81" s="10"/>
      <c r="C81" s="10"/>
      <c r="D81" s="11"/>
      <c r="E81" s="9"/>
      <c r="F81" s="10"/>
    </row>
    <row r="82" customFormat="false" ht="15" hidden="false" customHeight="true" outlineLevel="0" collapsed="false">
      <c r="A82" s="10"/>
      <c r="B82" s="10"/>
      <c r="C82" s="10"/>
      <c r="D82" s="11"/>
      <c r="E82" s="9"/>
      <c r="F82" s="10"/>
    </row>
    <row r="83" customFormat="false" ht="15" hidden="false" customHeight="true" outlineLevel="0" collapsed="false">
      <c r="A83" s="10"/>
      <c r="B83" s="10"/>
      <c r="C83" s="10"/>
      <c r="D83" s="11"/>
      <c r="E83" s="9"/>
      <c r="F83" s="10"/>
    </row>
    <row r="84" customFormat="false" ht="15" hidden="false" customHeight="true" outlineLevel="0" collapsed="false">
      <c r="A84" s="10"/>
      <c r="B84" s="10"/>
      <c r="C84" s="10"/>
      <c r="D84" s="11"/>
      <c r="E84" s="9"/>
      <c r="F84" s="10"/>
    </row>
    <row r="85" customFormat="false" ht="15" hidden="false" customHeight="true" outlineLevel="0" collapsed="false">
      <c r="A85" s="10"/>
      <c r="B85" s="10"/>
      <c r="C85" s="10"/>
      <c r="D85" s="11"/>
      <c r="E85" s="9"/>
      <c r="F85" s="10"/>
    </row>
    <row r="86" customFormat="false" ht="15" hidden="false" customHeight="true" outlineLevel="0" collapsed="false">
      <c r="A86" s="10"/>
      <c r="B86" s="10"/>
      <c r="C86" s="10"/>
      <c r="D86" s="11"/>
      <c r="E86" s="9"/>
      <c r="F86" s="10"/>
    </row>
    <row r="87" customFormat="false" ht="15" hidden="false" customHeight="true" outlineLevel="0" collapsed="false">
      <c r="A87" s="10"/>
      <c r="B87" s="10"/>
      <c r="C87" s="10"/>
      <c r="D87" s="11"/>
      <c r="E87" s="9"/>
      <c r="F87" s="10"/>
    </row>
    <row r="88" customFormat="false" ht="15" hidden="false" customHeight="true" outlineLevel="0" collapsed="false">
      <c r="A88" s="10"/>
      <c r="B88" s="10"/>
      <c r="C88" s="10"/>
      <c r="D88" s="11"/>
      <c r="E88" s="9"/>
      <c r="F88" s="10"/>
    </row>
    <row r="89" customFormat="false" ht="15" hidden="false" customHeight="true" outlineLevel="0" collapsed="false">
      <c r="A89" s="10"/>
      <c r="B89" s="10"/>
      <c r="C89" s="10"/>
      <c r="D89" s="11"/>
      <c r="E89" s="9"/>
      <c r="F89" s="10"/>
    </row>
    <row r="90" customFormat="false" ht="15" hidden="false" customHeight="true" outlineLevel="0" collapsed="false">
      <c r="A90" s="10"/>
      <c r="B90" s="10"/>
      <c r="C90" s="10"/>
      <c r="D90" s="11"/>
      <c r="E90" s="9"/>
      <c r="F90" s="10"/>
    </row>
    <row r="91" customFormat="false" ht="15" hidden="false" customHeight="true" outlineLevel="0" collapsed="false">
      <c r="A91" s="10"/>
      <c r="B91" s="10"/>
      <c r="C91" s="10"/>
      <c r="D91" s="11"/>
      <c r="E91" s="9"/>
      <c r="F91" s="10"/>
    </row>
    <row r="92" customFormat="false" ht="15" hidden="false" customHeight="true" outlineLevel="0" collapsed="false">
      <c r="A92" s="10"/>
      <c r="B92" s="10"/>
      <c r="C92" s="10"/>
      <c r="D92" s="11"/>
      <c r="E92" s="9"/>
      <c r="F92" s="10"/>
    </row>
    <row r="93" customFormat="false" ht="15" hidden="false" customHeight="true" outlineLevel="0" collapsed="false">
      <c r="A93" s="10"/>
      <c r="B93" s="10"/>
      <c r="C93" s="10"/>
      <c r="D93" s="11"/>
      <c r="E93" s="9"/>
      <c r="F93" s="10"/>
    </row>
    <row r="94" customFormat="false" ht="15" hidden="false" customHeight="true" outlineLevel="0" collapsed="false">
      <c r="A94" s="10"/>
      <c r="B94" s="10"/>
      <c r="C94" s="10"/>
      <c r="D94" s="11"/>
      <c r="E94" s="9"/>
      <c r="F94" s="10"/>
    </row>
    <row r="95" customFormat="false" ht="15" hidden="false" customHeight="true" outlineLevel="0" collapsed="false">
      <c r="A95" s="10"/>
      <c r="B95" s="10"/>
      <c r="C95" s="10"/>
      <c r="D95" s="11"/>
      <c r="E95" s="9"/>
      <c r="F95" s="10"/>
    </row>
    <row r="96" customFormat="false" ht="15" hidden="false" customHeight="true" outlineLevel="0" collapsed="false">
      <c r="A96" s="10"/>
      <c r="B96" s="10"/>
      <c r="C96" s="10"/>
      <c r="D96" s="11"/>
      <c r="E96" s="9"/>
      <c r="F96" s="10"/>
    </row>
    <row r="97" customFormat="false" ht="15" hidden="false" customHeight="true" outlineLevel="0" collapsed="false">
      <c r="A97" s="10"/>
      <c r="B97" s="10"/>
      <c r="C97" s="10"/>
      <c r="D97" s="11"/>
      <c r="E97" s="9"/>
      <c r="F97" s="10"/>
    </row>
    <row r="98" customFormat="false" ht="15" hidden="false" customHeight="true" outlineLevel="0" collapsed="false">
      <c r="A98" s="10"/>
      <c r="B98" s="10"/>
      <c r="C98" s="10"/>
      <c r="D98" s="11"/>
      <c r="E98" s="9"/>
      <c r="F98" s="10"/>
    </row>
    <row r="99" customFormat="false" ht="15" hidden="false" customHeight="true" outlineLevel="0" collapsed="false">
      <c r="A99" s="10"/>
      <c r="B99" s="10"/>
      <c r="C99" s="10"/>
      <c r="D99" s="11"/>
      <c r="E99" s="9"/>
      <c r="F99" s="10"/>
    </row>
    <row r="100" customFormat="false" ht="15" hidden="false" customHeight="true" outlineLevel="0" collapsed="false">
      <c r="A100" s="10"/>
      <c r="B100" s="10"/>
      <c r="C100" s="10"/>
      <c r="D100" s="11"/>
      <c r="E100" s="9"/>
      <c r="F100" s="10"/>
    </row>
    <row r="101" customFormat="false" ht="15" hidden="false" customHeight="true" outlineLevel="0" collapsed="false">
      <c r="A101" s="10"/>
      <c r="B101" s="10"/>
      <c r="C101" s="10"/>
      <c r="D101" s="11"/>
      <c r="E101" s="9"/>
      <c r="F101" s="10"/>
    </row>
    <row r="102" customFormat="false" ht="15" hidden="false" customHeight="true" outlineLevel="0" collapsed="false">
      <c r="A102" s="10"/>
      <c r="B102" s="10"/>
      <c r="C102" s="10"/>
      <c r="D102" s="11"/>
      <c r="E102" s="9"/>
      <c r="F102" s="10"/>
    </row>
    <row r="103" customFormat="false" ht="15" hidden="false" customHeight="true" outlineLevel="0" collapsed="false">
      <c r="A103" s="10"/>
      <c r="B103" s="10"/>
      <c r="C103" s="10"/>
      <c r="D103" s="11"/>
      <c r="E103" s="9"/>
      <c r="F103" s="10"/>
    </row>
    <row r="104" customFormat="false" ht="15" hidden="false" customHeight="true" outlineLevel="0" collapsed="false">
      <c r="A104" s="10"/>
      <c r="B104" s="10"/>
      <c r="C104" s="10"/>
      <c r="D104" s="11"/>
      <c r="E104" s="9"/>
      <c r="F104" s="10"/>
    </row>
    <row r="105" customFormat="false" ht="15" hidden="false" customHeight="true" outlineLevel="0" collapsed="false">
      <c r="A105" s="10"/>
      <c r="B105" s="10"/>
      <c r="C105" s="10"/>
      <c r="D105" s="11"/>
      <c r="E105" s="9"/>
      <c r="F105" s="10"/>
    </row>
    <row r="106" customFormat="false" ht="15" hidden="false" customHeight="true" outlineLevel="0" collapsed="false">
      <c r="A106" s="10"/>
      <c r="B106" s="10"/>
      <c r="C106" s="10"/>
      <c r="D106" s="11"/>
      <c r="E106" s="9"/>
      <c r="F106" s="10"/>
    </row>
    <row r="107" customFormat="false" ht="15" hidden="false" customHeight="true" outlineLevel="0" collapsed="false">
      <c r="A107" s="10"/>
      <c r="B107" s="10"/>
      <c r="C107" s="10"/>
      <c r="D107" s="11"/>
      <c r="E107" s="9"/>
      <c r="F107" s="10"/>
    </row>
    <row r="108" customFormat="false" ht="15" hidden="false" customHeight="true" outlineLevel="0" collapsed="false">
      <c r="A108" s="10"/>
      <c r="B108" s="10"/>
      <c r="C108" s="10"/>
      <c r="D108" s="11"/>
      <c r="E108" s="9"/>
      <c r="F108" s="10"/>
    </row>
    <row r="109" customFormat="false" ht="15" hidden="false" customHeight="true" outlineLevel="0" collapsed="false">
      <c r="A109" s="10"/>
      <c r="B109" s="10"/>
      <c r="C109" s="10"/>
      <c r="D109" s="11"/>
      <c r="E109" s="9"/>
      <c r="F109" s="10"/>
    </row>
    <row r="110" customFormat="false" ht="15" hidden="false" customHeight="true" outlineLevel="0" collapsed="false">
      <c r="A110" s="10"/>
      <c r="B110" s="10"/>
      <c r="C110" s="10"/>
      <c r="D110" s="11"/>
      <c r="E110" s="9"/>
      <c r="F110" s="10"/>
    </row>
    <row r="111" customFormat="false" ht="15" hidden="false" customHeight="true" outlineLevel="0" collapsed="false">
      <c r="A111" s="10"/>
      <c r="B111" s="10"/>
      <c r="C111" s="10"/>
      <c r="D111" s="11"/>
      <c r="E111" s="9"/>
      <c r="F111" s="10"/>
    </row>
    <row r="112" customFormat="false" ht="15" hidden="false" customHeight="true" outlineLevel="0" collapsed="false">
      <c r="A112" s="10"/>
      <c r="B112" s="10"/>
      <c r="C112" s="10"/>
      <c r="D112" s="11"/>
      <c r="E112" s="9"/>
      <c r="F112" s="10"/>
    </row>
    <row r="113" customFormat="false" ht="15" hidden="false" customHeight="true" outlineLevel="0" collapsed="false">
      <c r="A113" s="10"/>
      <c r="B113" s="10"/>
      <c r="C113" s="10"/>
      <c r="D113" s="11"/>
      <c r="E113" s="9"/>
      <c r="F113" s="10"/>
    </row>
    <row r="114" customFormat="false" ht="15" hidden="false" customHeight="true" outlineLevel="0" collapsed="false">
      <c r="A114" s="10"/>
      <c r="B114" s="10"/>
      <c r="C114" s="10"/>
      <c r="D114" s="11"/>
      <c r="E114" s="9"/>
      <c r="F114" s="10"/>
    </row>
    <row r="115" customFormat="false" ht="15" hidden="false" customHeight="true" outlineLevel="0" collapsed="false">
      <c r="A115" s="10"/>
      <c r="B115" s="10"/>
      <c r="C115" s="10"/>
      <c r="D115" s="11"/>
      <c r="E115" s="9"/>
      <c r="F115" s="10"/>
    </row>
    <row r="116" customFormat="false" ht="15" hidden="false" customHeight="true" outlineLevel="0" collapsed="false">
      <c r="A116" s="10"/>
      <c r="B116" s="10"/>
      <c r="C116" s="10"/>
      <c r="D116" s="11"/>
      <c r="E116" s="9"/>
      <c r="F116" s="10"/>
    </row>
    <row r="117" customFormat="false" ht="15" hidden="false" customHeight="true" outlineLevel="0" collapsed="false">
      <c r="A117" s="10"/>
      <c r="B117" s="10"/>
      <c r="C117" s="10"/>
      <c r="D117" s="11"/>
      <c r="E117" s="9"/>
      <c r="F117" s="10"/>
    </row>
    <row r="118" customFormat="false" ht="15" hidden="false" customHeight="true" outlineLevel="0" collapsed="false">
      <c r="A118" s="10"/>
      <c r="B118" s="10"/>
      <c r="C118" s="10"/>
      <c r="D118" s="11"/>
      <c r="E118" s="9"/>
      <c r="F118" s="10"/>
    </row>
    <row r="119" customFormat="false" ht="15" hidden="false" customHeight="true" outlineLevel="0" collapsed="false">
      <c r="A119" s="10"/>
      <c r="B119" s="10"/>
      <c r="C119" s="10"/>
      <c r="D119" s="11"/>
      <c r="E119" s="9"/>
      <c r="F119" s="10"/>
    </row>
    <row r="120" customFormat="false" ht="15" hidden="false" customHeight="true" outlineLevel="0" collapsed="false">
      <c r="A120" s="10"/>
      <c r="B120" s="10"/>
      <c r="C120" s="10"/>
      <c r="D120" s="11"/>
      <c r="E120" s="9"/>
      <c r="F120" s="10"/>
    </row>
    <row r="121" customFormat="false" ht="15" hidden="false" customHeight="true" outlineLevel="0" collapsed="false">
      <c r="A121" s="10"/>
      <c r="B121" s="10"/>
      <c r="C121" s="10"/>
      <c r="D121" s="11"/>
      <c r="E121" s="9"/>
      <c r="F121" s="10"/>
    </row>
    <row r="122" customFormat="false" ht="15" hidden="false" customHeight="true" outlineLevel="0" collapsed="false">
      <c r="A122" s="10"/>
      <c r="B122" s="10"/>
      <c r="C122" s="10"/>
      <c r="D122" s="11"/>
      <c r="E122" s="9"/>
      <c r="F122" s="10"/>
    </row>
    <row r="123" customFormat="false" ht="15" hidden="false" customHeight="true" outlineLevel="0" collapsed="false">
      <c r="A123" s="10"/>
      <c r="B123" s="10"/>
      <c r="C123" s="10"/>
      <c r="D123" s="11"/>
      <c r="E123" s="9"/>
      <c r="F123" s="10"/>
    </row>
    <row r="124" customFormat="false" ht="15" hidden="false" customHeight="true" outlineLevel="0" collapsed="false">
      <c r="A124" s="10"/>
      <c r="B124" s="10"/>
      <c r="C124" s="10"/>
      <c r="D124" s="11"/>
      <c r="E124" s="9"/>
      <c r="F124" s="10"/>
    </row>
    <row r="125" customFormat="false" ht="15" hidden="false" customHeight="true" outlineLevel="0" collapsed="false">
      <c r="A125" s="10"/>
      <c r="B125" s="10"/>
      <c r="C125" s="10"/>
      <c r="D125" s="11"/>
      <c r="E125" s="9"/>
      <c r="F125" s="10"/>
    </row>
    <row r="126" customFormat="false" ht="15" hidden="false" customHeight="true" outlineLevel="0" collapsed="false">
      <c r="A126" s="10"/>
      <c r="B126" s="10"/>
      <c r="C126" s="10"/>
      <c r="D126" s="11"/>
      <c r="E126" s="9"/>
      <c r="F126" s="10"/>
    </row>
    <row r="127" customFormat="false" ht="15" hidden="false" customHeight="true" outlineLevel="0" collapsed="false">
      <c r="A127" s="10"/>
      <c r="B127" s="10"/>
      <c r="C127" s="10"/>
      <c r="D127" s="11"/>
      <c r="E127" s="9"/>
      <c r="F127" s="10"/>
    </row>
    <row r="128" customFormat="false" ht="15" hidden="false" customHeight="true" outlineLevel="0" collapsed="false">
      <c r="A128" s="10"/>
      <c r="B128" s="10"/>
      <c r="C128" s="10"/>
      <c r="D128" s="11"/>
      <c r="E128" s="9"/>
      <c r="F128" s="10"/>
    </row>
    <row r="129" customFormat="false" ht="15" hidden="false" customHeight="true" outlineLevel="0" collapsed="false">
      <c r="A129" s="10"/>
      <c r="B129" s="10"/>
      <c r="C129" s="10"/>
      <c r="D129" s="11"/>
      <c r="E129" s="9"/>
      <c r="F129" s="10"/>
    </row>
    <row r="130" customFormat="false" ht="15" hidden="false" customHeight="true" outlineLevel="0" collapsed="false">
      <c r="A130" s="10"/>
      <c r="B130" s="10"/>
      <c r="C130" s="10"/>
      <c r="D130" s="11"/>
      <c r="E130" s="9"/>
      <c r="F130" s="10"/>
    </row>
    <row r="131" customFormat="false" ht="15" hidden="false" customHeight="true" outlineLevel="0" collapsed="false">
      <c r="A131" s="10"/>
      <c r="B131" s="10"/>
      <c r="C131" s="10"/>
      <c r="D131" s="11"/>
      <c r="E131" s="9"/>
      <c r="F131" s="10"/>
    </row>
    <row r="132" customFormat="false" ht="15" hidden="false" customHeight="true" outlineLevel="0" collapsed="false">
      <c r="A132" s="10"/>
      <c r="B132" s="10"/>
      <c r="C132" s="10"/>
      <c r="D132" s="11"/>
      <c r="E132" s="9"/>
      <c r="F132" s="10"/>
    </row>
    <row r="133" customFormat="false" ht="15" hidden="false" customHeight="true" outlineLevel="0" collapsed="false">
      <c r="A133" s="10"/>
      <c r="B133" s="10"/>
      <c r="C133" s="10"/>
      <c r="D133" s="11"/>
      <c r="E133" s="9"/>
      <c r="F133" s="10"/>
    </row>
    <row r="134" customFormat="false" ht="15" hidden="false" customHeight="true" outlineLevel="0" collapsed="false">
      <c r="A134" s="10"/>
      <c r="B134" s="10"/>
      <c r="C134" s="10"/>
      <c r="D134" s="11"/>
      <c r="E134" s="9"/>
      <c r="F134" s="10"/>
    </row>
    <row r="135" customFormat="false" ht="15" hidden="false" customHeight="true" outlineLevel="0" collapsed="false">
      <c r="A135" s="10"/>
      <c r="B135" s="10"/>
      <c r="C135" s="10"/>
      <c r="D135" s="11"/>
      <c r="E135" s="9"/>
      <c r="F135" s="10"/>
    </row>
    <row r="136" customFormat="false" ht="15" hidden="false" customHeight="true" outlineLevel="0" collapsed="false">
      <c r="A136" s="10"/>
      <c r="B136" s="10"/>
      <c r="C136" s="10"/>
      <c r="D136" s="11"/>
      <c r="E136" s="9"/>
      <c r="F136" s="10"/>
    </row>
    <row r="137" customFormat="false" ht="15" hidden="false" customHeight="true" outlineLevel="0" collapsed="false">
      <c r="A137" s="10"/>
      <c r="B137" s="10"/>
      <c r="C137" s="10"/>
      <c r="D137" s="11"/>
      <c r="E137" s="9"/>
      <c r="F137" s="10"/>
    </row>
    <row r="138" customFormat="false" ht="15" hidden="false" customHeight="true" outlineLevel="0" collapsed="false">
      <c r="A138" s="10"/>
      <c r="B138" s="10"/>
      <c r="C138" s="10"/>
      <c r="D138" s="11"/>
      <c r="E138" s="9"/>
      <c r="F138" s="10"/>
    </row>
    <row r="139" customFormat="false" ht="15" hidden="false" customHeight="true" outlineLevel="0" collapsed="false">
      <c r="A139" s="10"/>
      <c r="B139" s="10"/>
      <c r="C139" s="10"/>
      <c r="D139" s="11"/>
      <c r="E139" s="9"/>
      <c r="F139" s="10"/>
    </row>
    <row r="140" customFormat="false" ht="15" hidden="false" customHeight="true" outlineLevel="0" collapsed="false">
      <c r="A140" s="10"/>
      <c r="B140" s="10"/>
      <c r="C140" s="10"/>
      <c r="D140" s="11"/>
      <c r="E140" s="9"/>
      <c r="F140" s="10"/>
    </row>
    <row r="141" customFormat="false" ht="15" hidden="false" customHeight="true" outlineLevel="0" collapsed="false">
      <c r="A141" s="10"/>
      <c r="B141" s="10"/>
      <c r="C141" s="10"/>
      <c r="D141" s="11"/>
      <c r="E141" s="9"/>
      <c r="F141" s="10"/>
    </row>
    <row r="142" customFormat="false" ht="15" hidden="false" customHeight="true" outlineLevel="0" collapsed="false">
      <c r="A142" s="10"/>
      <c r="B142" s="10"/>
      <c r="C142" s="10"/>
      <c r="D142" s="11"/>
      <c r="E142" s="9"/>
      <c r="F142" s="10"/>
    </row>
    <row r="143" customFormat="false" ht="15" hidden="false" customHeight="true" outlineLevel="0" collapsed="false">
      <c r="A143" s="10"/>
      <c r="B143" s="10"/>
      <c r="C143" s="10"/>
      <c r="D143" s="11"/>
      <c r="E143" s="9"/>
      <c r="F143" s="10"/>
    </row>
    <row r="144" customFormat="false" ht="15" hidden="false" customHeight="true" outlineLevel="0" collapsed="false">
      <c r="A144" s="10"/>
      <c r="B144" s="10"/>
      <c r="C144" s="10"/>
      <c r="D144" s="11"/>
      <c r="E144" s="9"/>
      <c r="F144" s="10"/>
    </row>
    <row r="145" customFormat="false" ht="15" hidden="false" customHeight="true" outlineLevel="0" collapsed="false">
      <c r="A145" s="10"/>
      <c r="B145" s="10"/>
      <c r="C145" s="10"/>
      <c r="D145" s="11"/>
      <c r="E145" s="9"/>
      <c r="F145" s="10"/>
    </row>
    <row r="146" customFormat="false" ht="15" hidden="false" customHeight="true" outlineLevel="0" collapsed="false">
      <c r="A146" s="10"/>
      <c r="B146" s="10"/>
      <c r="C146" s="10"/>
      <c r="D146" s="11"/>
      <c r="E146" s="9"/>
      <c r="F146" s="10"/>
    </row>
    <row r="147" customFormat="false" ht="15" hidden="false" customHeight="true" outlineLevel="0" collapsed="false">
      <c r="A147" s="10"/>
      <c r="B147" s="10"/>
      <c r="C147" s="10"/>
      <c r="D147" s="11"/>
      <c r="E147" s="9"/>
      <c r="F147" s="10"/>
    </row>
    <row r="148" customFormat="false" ht="15" hidden="false" customHeight="true" outlineLevel="0" collapsed="false">
      <c r="A148" s="10"/>
      <c r="B148" s="10"/>
      <c r="C148" s="10"/>
      <c r="D148" s="11"/>
      <c r="E148" s="9"/>
      <c r="F148" s="10"/>
    </row>
    <row r="149" customFormat="false" ht="15" hidden="false" customHeight="true" outlineLevel="0" collapsed="false">
      <c r="A149" s="10"/>
      <c r="B149" s="10"/>
      <c r="C149" s="10"/>
      <c r="D149" s="11"/>
      <c r="E149" s="9"/>
      <c r="F149" s="10"/>
    </row>
    <row r="150" customFormat="false" ht="15" hidden="false" customHeight="true" outlineLevel="0" collapsed="false">
      <c r="A150" s="10"/>
      <c r="B150" s="10"/>
      <c r="C150" s="10"/>
      <c r="D150" s="11"/>
      <c r="E150" s="9"/>
      <c r="F150" s="10"/>
    </row>
    <row r="151" customFormat="false" ht="15" hidden="false" customHeight="true" outlineLevel="0" collapsed="false">
      <c r="A151" s="10"/>
      <c r="B151" s="10"/>
      <c r="C151" s="10"/>
      <c r="D151" s="11"/>
      <c r="E151" s="9"/>
      <c r="F151" s="10"/>
    </row>
    <row r="152" customFormat="false" ht="15" hidden="false" customHeight="true" outlineLevel="0" collapsed="false">
      <c r="A152" s="10"/>
      <c r="B152" s="10"/>
      <c r="C152" s="10"/>
      <c r="D152" s="11"/>
      <c r="E152" s="9"/>
      <c r="F152" s="10"/>
    </row>
    <row r="153" customFormat="false" ht="15" hidden="false" customHeight="true" outlineLevel="0" collapsed="false">
      <c r="A153" s="10"/>
      <c r="B153" s="10"/>
      <c r="C153" s="10"/>
      <c r="D153" s="11"/>
      <c r="E153" s="9"/>
      <c r="F153" s="10"/>
    </row>
    <row r="154" customFormat="false" ht="15" hidden="false" customHeight="true" outlineLevel="0" collapsed="false">
      <c r="A154" s="10"/>
      <c r="B154" s="10"/>
      <c r="C154" s="10"/>
      <c r="D154" s="11"/>
      <c r="E154" s="9"/>
      <c r="F154" s="10"/>
    </row>
    <row r="155" customFormat="false" ht="15" hidden="false" customHeight="true" outlineLevel="0" collapsed="false">
      <c r="A155" s="10"/>
      <c r="B155" s="10"/>
      <c r="C155" s="10"/>
      <c r="D155" s="11"/>
      <c r="E155" s="9"/>
      <c r="F155" s="10"/>
    </row>
    <row r="156" customFormat="false" ht="15" hidden="false" customHeight="true" outlineLevel="0" collapsed="false">
      <c r="A156" s="10"/>
      <c r="B156" s="10"/>
      <c r="C156" s="10"/>
      <c r="D156" s="11"/>
      <c r="E156" s="9"/>
      <c r="F156" s="10"/>
    </row>
    <row r="157" customFormat="false" ht="15" hidden="false" customHeight="true" outlineLevel="0" collapsed="false">
      <c r="A157" s="10"/>
      <c r="B157" s="10"/>
      <c r="C157" s="10"/>
      <c r="D157" s="11"/>
      <c r="E157" s="9"/>
      <c r="F157" s="10"/>
    </row>
    <row r="158" customFormat="false" ht="15" hidden="false" customHeight="true" outlineLevel="0" collapsed="false">
      <c r="A158" s="10"/>
      <c r="B158" s="10"/>
      <c r="C158" s="10"/>
      <c r="D158" s="11"/>
      <c r="E158" s="9"/>
      <c r="F158" s="10"/>
    </row>
    <row r="159" customFormat="false" ht="15" hidden="false" customHeight="true" outlineLevel="0" collapsed="false">
      <c r="A159" s="10"/>
      <c r="B159" s="10"/>
      <c r="C159" s="10"/>
      <c r="D159" s="11"/>
      <c r="E159" s="9"/>
      <c r="F159" s="10"/>
    </row>
    <row r="160" customFormat="false" ht="15" hidden="false" customHeight="true" outlineLevel="0" collapsed="false">
      <c r="A160" s="10"/>
      <c r="B160" s="10"/>
      <c r="C160" s="10"/>
      <c r="D160" s="11"/>
      <c r="E160" s="9"/>
      <c r="F160" s="10"/>
    </row>
    <row r="161" customFormat="false" ht="15" hidden="false" customHeight="true" outlineLevel="0" collapsed="false">
      <c r="A161" s="10"/>
      <c r="B161" s="10"/>
      <c r="C161" s="10"/>
      <c r="D161" s="11"/>
      <c r="E161" s="9"/>
      <c r="F161" s="10"/>
    </row>
    <row r="162" customFormat="false" ht="15" hidden="false" customHeight="true" outlineLevel="0" collapsed="false">
      <c r="A162" s="10"/>
      <c r="B162" s="10"/>
      <c r="C162" s="10"/>
      <c r="D162" s="11"/>
      <c r="E162" s="9"/>
      <c r="F162" s="10"/>
    </row>
    <row r="163" customFormat="false" ht="15" hidden="false" customHeight="true" outlineLevel="0" collapsed="false">
      <c r="A163" s="10"/>
      <c r="B163" s="10"/>
      <c r="C163" s="10"/>
      <c r="D163" s="11"/>
      <c r="E163" s="9"/>
      <c r="F163" s="10"/>
    </row>
    <row r="164" customFormat="false" ht="15" hidden="false" customHeight="true" outlineLevel="0" collapsed="false">
      <c r="A164" s="10"/>
      <c r="B164" s="10"/>
      <c r="C164" s="10"/>
      <c r="D164" s="11"/>
      <c r="E164" s="9"/>
      <c r="F164" s="10"/>
    </row>
    <row r="165" customFormat="false" ht="15" hidden="false" customHeight="true" outlineLevel="0" collapsed="false">
      <c r="A165" s="10"/>
      <c r="B165" s="10"/>
      <c r="C165" s="10"/>
      <c r="D165" s="11"/>
      <c r="E165" s="9"/>
      <c r="F165" s="10"/>
    </row>
    <row r="166" customFormat="false" ht="15" hidden="false" customHeight="true" outlineLevel="0" collapsed="false">
      <c r="A166" s="10"/>
      <c r="B166" s="10"/>
      <c r="C166" s="10"/>
      <c r="D166" s="11"/>
      <c r="E166" s="9"/>
      <c r="F166" s="10"/>
    </row>
    <row r="167" customFormat="false" ht="15" hidden="false" customHeight="true" outlineLevel="0" collapsed="false">
      <c r="A167" s="10"/>
      <c r="B167" s="10"/>
      <c r="C167" s="10"/>
      <c r="D167" s="11"/>
      <c r="E167" s="9"/>
      <c r="F167" s="10"/>
    </row>
    <row r="168" customFormat="false" ht="15" hidden="false" customHeight="true" outlineLevel="0" collapsed="false">
      <c r="A168" s="10"/>
      <c r="B168" s="10"/>
      <c r="C168" s="10"/>
      <c r="D168" s="11"/>
      <c r="E168" s="9"/>
      <c r="F168" s="10"/>
    </row>
    <row r="169" customFormat="false" ht="15" hidden="false" customHeight="true" outlineLevel="0" collapsed="false">
      <c r="A169" s="10"/>
      <c r="B169" s="10"/>
      <c r="C169" s="10"/>
      <c r="D169" s="11"/>
      <c r="E169" s="9"/>
      <c r="F169" s="10"/>
    </row>
    <row r="170" customFormat="false" ht="15" hidden="false" customHeight="true" outlineLevel="0" collapsed="false">
      <c r="A170" s="10"/>
      <c r="B170" s="10"/>
      <c r="C170" s="10"/>
      <c r="D170" s="11"/>
      <c r="E170" s="9"/>
      <c r="F170" s="10"/>
    </row>
    <row r="171" customFormat="false" ht="15" hidden="false" customHeight="true" outlineLevel="0" collapsed="false">
      <c r="A171" s="10"/>
      <c r="B171" s="10"/>
      <c r="C171" s="10"/>
      <c r="D171" s="11"/>
      <c r="E171" s="9"/>
      <c r="F171" s="10"/>
    </row>
    <row r="172" customFormat="false" ht="15" hidden="false" customHeight="true" outlineLevel="0" collapsed="false">
      <c r="A172" s="10"/>
      <c r="B172" s="10"/>
      <c r="C172" s="10"/>
      <c r="D172" s="11"/>
      <c r="E172" s="9"/>
      <c r="F172" s="10"/>
    </row>
    <row r="173" customFormat="false" ht="15" hidden="false" customHeight="true" outlineLevel="0" collapsed="false">
      <c r="A173" s="10"/>
      <c r="B173" s="10"/>
      <c r="C173" s="10"/>
      <c r="D173" s="11"/>
      <c r="E173" s="9"/>
      <c r="F173" s="10"/>
    </row>
    <row r="174" customFormat="false" ht="15" hidden="false" customHeight="true" outlineLevel="0" collapsed="false">
      <c r="A174" s="10"/>
      <c r="B174" s="10"/>
      <c r="C174" s="10"/>
      <c r="D174" s="11"/>
      <c r="E174" s="9"/>
      <c r="F174" s="10"/>
    </row>
    <row r="175" customFormat="false" ht="15" hidden="false" customHeight="true" outlineLevel="0" collapsed="false">
      <c r="A175" s="10"/>
      <c r="B175" s="10"/>
      <c r="C175" s="10"/>
      <c r="D175" s="11"/>
      <c r="E175" s="9"/>
      <c r="F175" s="10"/>
    </row>
    <row r="176" customFormat="false" ht="15" hidden="false" customHeight="true" outlineLevel="0" collapsed="false">
      <c r="A176" s="10"/>
      <c r="B176" s="10"/>
      <c r="C176" s="10"/>
      <c r="D176" s="11"/>
      <c r="E176" s="9"/>
      <c r="F176" s="10"/>
    </row>
    <row r="177" customFormat="false" ht="15" hidden="false" customHeight="true" outlineLevel="0" collapsed="false">
      <c r="A177" s="10"/>
      <c r="B177" s="10"/>
      <c r="C177" s="10"/>
      <c r="D177" s="11"/>
      <c r="E177" s="9"/>
      <c r="F177" s="10"/>
    </row>
    <row r="178" customFormat="false" ht="15" hidden="false" customHeight="true" outlineLevel="0" collapsed="false">
      <c r="A178" s="10"/>
      <c r="B178" s="10"/>
      <c r="C178" s="10"/>
      <c r="D178" s="11"/>
      <c r="E178" s="9"/>
      <c r="F178" s="10"/>
    </row>
    <row r="179" customFormat="false" ht="15" hidden="false" customHeight="true" outlineLevel="0" collapsed="false">
      <c r="A179" s="10"/>
      <c r="B179" s="10"/>
      <c r="C179" s="10"/>
      <c r="D179" s="11"/>
      <c r="E179" s="9"/>
      <c r="F179" s="10"/>
    </row>
    <row r="180" customFormat="false" ht="15" hidden="false" customHeight="true" outlineLevel="0" collapsed="false">
      <c r="A180" s="10"/>
      <c r="B180" s="10"/>
      <c r="C180" s="10"/>
      <c r="D180" s="11"/>
      <c r="E180" s="9"/>
      <c r="F180" s="10"/>
    </row>
    <row r="181" customFormat="false" ht="15" hidden="false" customHeight="true" outlineLevel="0" collapsed="false">
      <c r="A181" s="10"/>
      <c r="B181" s="10"/>
      <c r="C181" s="10"/>
      <c r="D181" s="11"/>
      <c r="E181" s="9"/>
      <c r="F181" s="10"/>
    </row>
    <row r="182" customFormat="false" ht="15" hidden="false" customHeight="true" outlineLevel="0" collapsed="false">
      <c r="A182" s="10"/>
      <c r="B182" s="10"/>
      <c r="C182" s="10"/>
      <c r="D182" s="11"/>
      <c r="E182" s="9"/>
      <c r="F182" s="10"/>
    </row>
    <row r="183" customFormat="false" ht="15" hidden="false" customHeight="true" outlineLevel="0" collapsed="false">
      <c r="A183" s="10"/>
      <c r="B183" s="10"/>
      <c r="C183" s="10"/>
      <c r="D183" s="11"/>
      <c r="E183" s="9"/>
      <c r="F183" s="10"/>
    </row>
    <row r="184" customFormat="false" ht="15" hidden="false" customHeight="true" outlineLevel="0" collapsed="false">
      <c r="A184" s="10"/>
      <c r="B184" s="10"/>
      <c r="C184" s="10"/>
      <c r="D184" s="11"/>
      <c r="E184" s="9"/>
      <c r="F184" s="10"/>
    </row>
    <row r="185" customFormat="false" ht="15" hidden="false" customHeight="true" outlineLevel="0" collapsed="false">
      <c r="A185" s="10"/>
      <c r="B185" s="10"/>
      <c r="C185" s="10"/>
      <c r="D185" s="11"/>
      <c r="E185" s="9"/>
      <c r="F185" s="10"/>
    </row>
    <row r="186" customFormat="false" ht="15" hidden="false" customHeight="true" outlineLevel="0" collapsed="false">
      <c r="A186" s="10"/>
      <c r="B186" s="10"/>
      <c r="C186" s="10"/>
      <c r="D186" s="11"/>
      <c r="E186" s="9"/>
      <c r="F186" s="10"/>
    </row>
    <row r="187" customFormat="false" ht="15" hidden="false" customHeight="true" outlineLevel="0" collapsed="false">
      <c r="A187" s="10"/>
      <c r="B187" s="10"/>
      <c r="C187" s="10"/>
      <c r="D187" s="11"/>
      <c r="E187" s="9"/>
      <c r="F187" s="10"/>
    </row>
    <row r="188" customFormat="false" ht="15" hidden="false" customHeight="true" outlineLevel="0" collapsed="false">
      <c r="A188" s="10"/>
      <c r="B188" s="10"/>
      <c r="C188" s="10"/>
      <c r="D188" s="11"/>
      <c r="E188" s="9"/>
      <c r="F188" s="10"/>
    </row>
    <row r="189" customFormat="false" ht="15" hidden="false" customHeight="true" outlineLevel="0" collapsed="false">
      <c r="A189" s="10"/>
      <c r="B189" s="10"/>
      <c r="C189" s="10"/>
      <c r="D189" s="11"/>
      <c r="E189" s="9"/>
      <c r="F189" s="10"/>
    </row>
    <row r="190" customFormat="false" ht="15" hidden="false" customHeight="true" outlineLevel="0" collapsed="false">
      <c r="A190" s="10"/>
      <c r="B190" s="10"/>
      <c r="C190" s="10"/>
      <c r="D190" s="11"/>
      <c r="E190" s="9"/>
      <c r="F190" s="10"/>
    </row>
    <row r="191" customFormat="false" ht="15" hidden="false" customHeight="true" outlineLevel="0" collapsed="false">
      <c r="A191" s="10"/>
      <c r="B191" s="10"/>
      <c r="C191" s="10"/>
      <c r="D191" s="11"/>
      <c r="E191" s="9"/>
      <c r="F191" s="10"/>
    </row>
    <row r="192" customFormat="false" ht="15" hidden="false" customHeight="true" outlineLevel="0" collapsed="false">
      <c r="A192" s="10"/>
      <c r="B192" s="10"/>
      <c r="C192" s="10"/>
      <c r="D192" s="11"/>
      <c r="E192" s="9"/>
      <c r="F192" s="10"/>
    </row>
    <row r="193" customFormat="false" ht="15" hidden="false" customHeight="true" outlineLevel="0" collapsed="false">
      <c r="A193" s="10"/>
      <c r="B193" s="10"/>
      <c r="C193" s="10"/>
      <c r="D193" s="11"/>
      <c r="E193" s="9"/>
      <c r="F193" s="10"/>
    </row>
    <row r="194" customFormat="false" ht="15" hidden="false" customHeight="true" outlineLevel="0" collapsed="false">
      <c r="A194" s="10"/>
      <c r="B194" s="10"/>
      <c r="C194" s="10"/>
      <c r="D194" s="11"/>
      <c r="E194" s="9"/>
      <c r="F194" s="10"/>
    </row>
    <row r="195" customFormat="false" ht="15" hidden="false" customHeight="true" outlineLevel="0" collapsed="false">
      <c r="A195" s="10"/>
      <c r="B195" s="10"/>
      <c r="C195" s="10"/>
      <c r="D195" s="11"/>
      <c r="E195" s="9"/>
      <c r="F195" s="10"/>
    </row>
    <row r="196" customFormat="false" ht="15" hidden="false" customHeight="true" outlineLevel="0" collapsed="false">
      <c r="A196" s="10"/>
      <c r="B196" s="10"/>
      <c r="C196" s="10"/>
      <c r="D196" s="11"/>
      <c r="E196" s="9"/>
      <c r="F196" s="10"/>
    </row>
    <row r="197" customFormat="false" ht="15" hidden="false" customHeight="true" outlineLevel="0" collapsed="false">
      <c r="A197" s="10"/>
      <c r="B197" s="10"/>
      <c r="C197" s="10"/>
      <c r="D197" s="11"/>
      <c r="E197" s="9"/>
      <c r="F197" s="10"/>
    </row>
    <row r="198" customFormat="false" ht="15" hidden="false" customHeight="true" outlineLevel="0" collapsed="false">
      <c r="A198" s="10"/>
      <c r="B198" s="10"/>
      <c r="C198" s="10"/>
      <c r="D198" s="11"/>
      <c r="E198" s="9"/>
      <c r="F198" s="10"/>
    </row>
    <row r="199" customFormat="false" ht="15" hidden="false" customHeight="true" outlineLevel="0" collapsed="false">
      <c r="A199" s="10"/>
      <c r="B199" s="10"/>
      <c r="C199" s="10"/>
      <c r="D199" s="11"/>
      <c r="E199" s="9"/>
      <c r="F199" s="10"/>
    </row>
    <row r="200" customFormat="false" ht="15" hidden="false" customHeight="true" outlineLevel="0" collapsed="false">
      <c r="A200" s="10"/>
      <c r="B200" s="10"/>
      <c r="C200" s="10"/>
      <c r="D200" s="11"/>
      <c r="E200" s="9"/>
      <c r="F200" s="10"/>
    </row>
    <row r="201" customFormat="false" ht="15" hidden="false" customHeight="true" outlineLevel="0" collapsed="false">
      <c r="A201" s="10"/>
      <c r="B201" s="10"/>
      <c r="C201" s="10"/>
      <c r="D201" s="11"/>
      <c r="E201" s="9"/>
      <c r="F201" s="10"/>
    </row>
    <row r="202" customFormat="false" ht="15" hidden="false" customHeight="true" outlineLevel="0" collapsed="false">
      <c r="A202" s="10"/>
      <c r="B202" s="10"/>
      <c r="C202" s="10"/>
      <c r="D202" s="11"/>
      <c r="E202" s="9"/>
      <c r="F202" s="10"/>
    </row>
    <row r="203" customFormat="false" ht="15" hidden="false" customHeight="true" outlineLevel="0" collapsed="false">
      <c r="A203" s="10"/>
      <c r="B203" s="10"/>
      <c r="C203" s="10"/>
      <c r="D203" s="11"/>
      <c r="E203" s="9"/>
      <c r="F203" s="10"/>
    </row>
    <row r="204" customFormat="false" ht="15" hidden="false" customHeight="true" outlineLevel="0" collapsed="false">
      <c r="A204" s="10"/>
      <c r="B204" s="10"/>
      <c r="C204" s="10"/>
      <c r="D204" s="11"/>
      <c r="E204" s="9"/>
      <c r="F204" s="10"/>
    </row>
    <row r="205" customFormat="false" ht="15" hidden="false" customHeight="true" outlineLevel="0" collapsed="false">
      <c r="A205" s="10"/>
      <c r="B205" s="10"/>
      <c r="C205" s="10"/>
      <c r="D205" s="11"/>
      <c r="E205" s="9"/>
      <c r="F205" s="10"/>
    </row>
    <row r="206" customFormat="false" ht="15" hidden="false" customHeight="true" outlineLevel="0" collapsed="false">
      <c r="A206" s="10"/>
      <c r="B206" s="10"/>
      <c r="C206" s="10"/>
      <c r="D206" s="11"/>
      <c r="E206" s="9"/>
      <c r="F206" s="10"/>
    </row>
    <row r="207" customFormat="false" ht="15" hidden="false" customHeight="true" outlineLevel="0" collapsed="false">
      <c r="A207" s="10"/>
      <c r="B207" s="10"/>
      <c r="C207" s="10"/>
      <c r="D207" s="11"/>
      <c r="E207" s="9"/>
      <c r="F207" s="10"/>
    </row>
    <row r="208" customFormat="false" ht="15" hidden="false" customHeight="true" outlineLevel="0" collapsed="false">
      <c r="A208" s="10"/>
      <c r="B208" s="10"/>
      <c r="C208" s="10"/>
      <c r="D208" s="11"/>
      <c r="E208" s="9"/>
      <c r="F208" s="10"/>
    </row>
    <row r="209" customFormat="false" ht="15" hidden="false" customHeight="true" outlineLevel="0" collapsed="false">
      <c r="A209" s="10"/>
      <c r="B209" s="10"/>
      <c r="C209" s="10"/>
      <c r="D209" s="11"/>
      <c r="E209" s="9"/>
      <c r="F209" s="10"/>
    </row>
    <row r="210" customFormat="false" ht="15" hidden="false" customHeight="true" outlineLevel="0" collapsed="false">
      <c r="A210" s="10"/>
      <c r="B210" s="10"/>
      <c r="C210" s="10"/>
      <c r="D210" s="11"/>
      <c r="E210" s="9"/>
      <c r="F210" s="10"/>
    </row>
    <row r="211" customFormat="false" ht="15" hidden="false" customHeight="true" outlineLevel="0" collapsed="false">
      <c r="A211" s="10"/>
      <c r="B211" s="10"/>
      <c r="C211" s="10"/>
      <c r="D211" s="11"/>
      <c r="E211" s="9"/>
      <c r="F211" s="10"/>
    </row>
    <row r="212" customFormat="false" ht="15" hidden="false" customHeight="true" outlineLevel="0" collapsed="false">
      <c r="A212" s="10"/>
      <c r="B212" s="10"/>
      <c r="C212" s="10"/>
      <c r="D212" s="11"/>
      <c r="E212" s="9"/>
      <c r="F212" s="10"/>
    </row>
    <row r="213" customFormat="false" ht="15" hidden="false" customHeight="true" outlineLevel="0" collapsed="false">
      <c r="A213" s="10"/>
      <c r="B213" s="10"/>
      <c r="C213" s="10"/>
      <c r="D213" s="11"/>
      <c r="E213" s="9"/>
      <c r="F213" s="10"/>
    </row>
    <row r="214" customFormat="false" ht="15" hidden="false" customHeight="true" outlineLevel="0" collapsed="false">
      <c r="A214" s="10"/>
      <c r="B214" s="10"/>
      <c r="C214" s="10"/>
      <c r="D214" s="11"/>
      <c r="E214" s="9"/>
      <c r="F214" s="10"/>
    </row>
    <row r="215" customFormat="false" ht="15" hidden="false" customHeight="true" outlineLevel="0" collapsed="false">
      <c r="A215" s="10"/>
      <c r="B215" s="10"/>
      <c r="C215" s="10"/>
      <c r="D215" s="11"/>
      <c r="E215" s="9"/>
      <c r="F215" s="10"/>
    </row>
    <row r="216" customFormat="false" ht="15" hidden="false" customHeight="true" outlineLevel="0" collapsed="false">
      <c r="A216" s="10"/>
      <c r="B216" s="10"/>
      <c r="C216" s="10"/>
      <c r="D216" s="11"/>
      <c r="E216" s="9"/>
      <c r="F216" s="10"/>
    </row>
    <row r="217" customFormat="false" ht="15" hidden="false" customHeight="true" outlineLevel="0" collapsed="false">
      <c r="A217" s="10"/>
      <c r="B217" s="10"/>
      <c r="C217" s="10"/>
      <c r="D217" s="11"/>
      <c r="E217" s="9"/>
      <c r="F217" s="10"/>
    </row>
    <row r="218" customFormat="false" ht="15" hidden="false" customHeight="true" outlineLevel="0" collapsed="false">
      <c r="A218" s="10"/>
      <c r="B218" s="10"/>
      <c r="C218" s="10"/>
      <c r="D218" s="11"/>
      <c r="E218" s="9"/>
      <c r="F218" s="10"/>
    </row>
    <row r="219" customFormat="false" ht="15" hidden="false" customHeight="true" outlineLevel="0" collapsed="false">
      <c r="A219" s="10"/>
      <c r="B219" s="10"/>
      <c r="C219" s="10"/>
      <c r="D219" s="11"/>
      <c r="E219" s="9"/>
      <c r="F219" s="10"/>
    </row>
    <row r="220" customFormat="false" ht="15" hidden="false" customHeight="true" outlineLevel="0" collapsed="false">
      <c r="A220" s="10"/>
      <c r="B220" s="10"/>
      <c r="C220" s="10"/>
      <c r="D220" s="11"/>
      <c r="E220" s="9"/>
      <c r="F220" s="10"/>
    </row>
    <row r="221" customFormat="false" ht="15" hidden="false" customHeight="true" outlineLevel="0" collapsed="false">
      <c r="A221" s="10"/>
      <c r="B221" s="10"/>
      <c r="C221" s="10"/>
      <c r="D221" s="11"/>
      <c r="E221" s="9"/>
      <c r="F221" s="10"/>
    </row>
    <row r="222" customFormat="false" ht="15" hidden="false" customHeight="true" outlineLevel="0" collapsed="false">
      <c r="A222" s="10"/>
      <c r="B222" s="10"/>
      <c r="C222" s="10"/>
      <c r="D222" s="11"/>
      <c r="E222" s="9"/>
      <c r="F222" s="10"/>
    </row>
    <row r="223" customFormat="false" ht="15" hidden="false" customHeight="true" outlineLevel="0" collapsed="false">
      <c r="A223" s="10"/>
      <c r="B223" s="10"/>
      <c r="C223" s="10"/>
      <c r="D223" s="11"/>
      <c r="E223" s="9"/>
      <c r="F223" s="10"/>
    </row>
    <row r="224" customFormat="false" ht="15" hidden="false" customHeight="true" outlineLevel="0" collapsed="false">
      <c r="A224" s="10"/>
      <c r="B224" s="10"/>
      <c r="C224" s="10"/>
      <c r="D224" s="11"/>
      <c r="E224" s="9"/>
      <c r="F224" s="10"/>
    </row>
    <row r="225" customFormat="false" ht="15" hidden="false" customHeight="true" outlineLevel="0" collapsed="false">
      <c r="A225" s="10"/>
      <c r="B225" s="10"/>
      <c r="C225" s="10"/>
      <c r="D225" s="11"/>
      <c r="E225" s="9"/>
      <c r="F225" s="10"/>
    </row>
    <row r="226" customFormat="false" ht="15" hidden="false" customHeight="true" outlineLevel="0" collapsed="false">
      <c r="A226" s="10"/>
      <c r="B226" s="10"/>
      <c r="C226" s="10"/>
      <c r="D226" s="11"/>
      <c r="E226" s="9"/>
      <c r="F226" s="10"/>
    </row>
    <row r="227" customFormat="false" ht="15" hidden="false" customHeight="true" outlineLevel="0" collapsed="false">
      <c r="A227" s="10"/>
      <c r="B227" s="10"/>
      <c r="C227" s="10"/>
      <c r="D227" s="11"/>
      <c r="E227" s="9"/>
      <c r="F227" s="10"/>
    </row>
    <row r="228" customFormat="false" ht="15" hidden="false" customHeight="true" outlineLevel="0" collapsed="false">
      <c r="A228" s="10"/>
      <c r="B228" s="10"/>
      <c r="C228" s="10"/>
      <c r="D228" s="11"/>
      <c r="E228" s="9"/>
      <c r="F228" s="10"/>
    </row>
    <row r="229" customFormat="false" ht="15" hidden="false" customHeight="true" outlineLevel="0" collapsed="false">
      <c r="A229" s="10"/>
      <c r="B229" s="10"/>
      <c r="C229" s="10"/>
      <c r="D229" s="11"/>
      <c r="E229" s="9"/>
      <c r="F229" s="10"/>
    </row>
    <row r="230" customFormat="false" ht="15" hidden="false" customHeight="true" outlineLevel="0" collapsed="false">
      <c r="A230" s="10"/>
      <c r="B230" s="10"/>
      <c r="C230" s="10"/>
      <c r="D230" s="11"/>
      <c r="E230" s="9"/>
      <c r="F230" s="10"/>
    </row>
    <row r="231" customFormat="false" ht="15" hidden="false" customHeight="true" outlineLevel="0" collapsed="false">
      <c r="A231" s="10"/>
      <c r="B231" s="10"/>
      <c r="C231" s="10"/>
      <c r="D231" s="11"/>
      <c r="E231" s="9"/>
      <c r="F231" s="10"/>
    </row>
    <row r="232" customFormat="false" ht="15" hidden="false" customHeight="true" outlineLevel="0" collapsed="false">
      <c r="A232" s="10"/>
      <c r="B232" s="10"/>
      <c r="C232" s="10"/>
      <c r="D232" s="11"/>
      <c r="E232" s="9"/>
      <c r="F232" s="10"/>
    </row>
    <row r="233" customFormat="false" ht="15" hidden="false" customHeight="true" outlineLevel="0" collapsed="false">
      <c r="A233" s="10"/>
      <c r="B233" s="10"/>
      <c r="C233" s="10"/>
      <c r="D233" s="11"/>
      <c r="E233" s="9"/>
      <c r="F233" s="10"/>
    </row>
    <row r="234" customFormat="false" ht="15" hidden="false" customHeight="true" outlineLevel="0" collapsed="false">
      <c r="A234" s="10"/>
      <c r="B234" s="10"/>
      <c r="C234" s="10"/>
      <c r="D234" s="11"/>
      <c r="E234" s="9"/>
      <c r="F234" s="10"/>
    </row>
    <row r="235" customFormat="false" ht="15" hidden="false" customHeight="true" outlineLevel="0" collapsed="false">
      <c r="A235" s="10"/>
      <c r="B235" s="10"/>
      <c r="C235" s="10"/>
      <c r="D235" s="11"/>
      <c r="E235" s="9"/>
      <c r="F235" s="10"/>
    </row>
    <row r="236" customFormat="false" ht="15" hidden="false" customHeight="true" outlineLevel="0" collapsed="false">
      <c r="A236" s="10"/>
      <c r="B236" s="10"/>
      <c r="C236" s="10"/>
      <c r="D236" s="11"/>
      <c r="E236" s="9"/>
      <c r="F236" s="10"/>
    </row>
    <row r="237" customFormat="false" ht="15" hidden="false" customHeight="true" outlineLevel="0" collapsed="false">
      <c r="A237" s="10"/>
      <c r="B237" s="10"/>
      <c r="C237" s="10"/>
      <c r="D237" s="11"/>
      <c r="E237" s="9"/>
      <c r="F237" s="10"/>
    </row>
    <row r="238" customFormat="false" ht="15" hidden="false" customHeight="true" outlineLevel="0" collapsed="false">
      <c r="A238" s="10"/>
      <c r="B238" s="10"/>
      <c r="C238" s="10"/>
      <c r="D238" s="11"/>
      <c r="E238" s="9"/>
      <c r="F238" s="10"/>
    </row>
    <row r="239" customFormat="false" ht="15" hidden="false" customHeight="true" outlineLevel="0" collapsed="false">
      <c r="A239" s="10"/>
      <c r="B239" s="10"/>
      <c r="C239" s="10"/>
      <c r="D239" s="11"/>
      <c r="E239" s="9"/>
      <c r="F239" s="10"/>
    </row>
    <row r="240" customFormat="false" ht="15" hidden="false" customHeight="true" outlineLevel="0" collapsed="false">
      <c r="A240" s="10"/>
      <c r="B240" s="10"/>
      <c r="C240" s="10"/>
      <c r="D240" s="11"/>
      <c r="E240" s="9"/>
      <c r="F240" s="10"/>
    </row>
    <row r="241" customFormat="false" ht="15" hidden="false" customHeight="true" outlineLevel="0" collapsed="false">
      <c r="A241" s="10"/>
      <c r="B241" s="10"/>
      <c r="C241" s="10"/>
      <c r="D241" s="11"/>
      <c r="E241" s="9"/>
      <c r="F241" s="10"/>
    </row>
    <row r="242" customFormat="false" ht="15" hidden="false" customHeight="true" outlineLevel="0" collapsed="false">
      <c r="A242" s="10"/>
      <c r="B242" s="10"/>
      <c r="C242" s="10"/>
      <c r="D242" s="11"/>
      <c r="E242" s="9"/>
      <c r="F242" s="10"/>
    </row>
    <row r="243" customFormat="false" ht="15" hidden="false" customHeight="true" outlineLevel="0" collapsed="false">
      <c r="A243" s="10"/>
      <c r="B243" s="10"/>
      <c r="C243" s="10"/>
      <c r="D243" s="11"/>
      <c r="E243" s="9"/>
      <c r="F243" s="10"/>
    </row>
    <row r="244" customFormat="false" ht="15" hidden="false" customHeight="true" outlineLevel="0" collapsed="false">
      <c r="A244" s="10"/>
      <c r="B244" s="10"/>
      <c r="C244" s="10"/>
      <c r="D244" s="11"/>
      <c r="E244" s="9"/>
      <c r="F244" s="10"/>
    </row>
    <row r="245" customFormat="false" ht="15" hidden="false" customHeight="true" outlineLevel="0" collapsed="false">
      <c r="A245" s="10"/>
      <c r="B245" s="10"/>
      <c r="C245" s="10"/>
      <c r="D245" s="11"/>
      <c r="E245" s="9"/>
      <c r="F245" s="10"/>
    </row>
    <row r="246" customFormat="false" ht="15" hidden="false" customHeight="true" outlineLevel="0" collapsed="false">
      <c r="A246" s="10"/>
      <c r="B246" s="10"/>
      <c r="C246" s="10"/>
      <c r="D246" s="11"/>
      <c r="E246" s="9"/>
      <c r="F246" s="10"/>
    </row>
    <row r="247" customFormat="false" ht="15" hidden="false" customHeight="true" outlineLevel="0" collapsed="false">
      <c r="A247" s="10"/>
      <c r="B247" s="10"/>
      <c r="C247" s="10"/>
      <c r="D247" s="11"/>
      <c r="E247" s="9"/>
      <c r="F247" s="10"/>
    </row>
    <row r="248" customFormat="false" ht="15" hidden="false" customHeight="true" outlineLevel="0" collapsed="false">
      <c r="A248" s="10"/>
      <c r="B248" s="10"/>
      <c r="C248" s="10"/>
      <c r="D248" s="11"/>
      <c r="E248" s="9"/>
      <c r="F248" s="10"/>
    </row>
    <row r="249" customFormat="false" ht="15" hidden="false" customHeight="true" outlineLevel="0" collapsed="false">
      <c r="A249" s="10"/>
      <c r="B249" s="10"/>
      <c r="C249" s="10"/>
      <c r="D249" s="11"/>
      <c r="E249" s="9"/>
      <c r="F249" s="10"/>
    </row>
    <row r="250" customFormat="false" ht="15" hidden="false" customHeight="true" outlineLevel="0" collapsed="false">
      <c r="A250" s="10"/>
      <c r="B250" s="10"/>
      <c r="C250" s="10"/>
      <c r="D250" s="11"/>
      <c r="E250" s="9"/>
      <c r="F250" s="10"/>
    </row>
    <row r="251" customFormat="false" ht="15" hidden="false" customHeight="true" outlineLevel="0" collapsed="false">
      <c r="A251" s="10"/>
      <c r="B251" s="10"/>
      <c r="C251" s="10"/>
      <c r="D251" s="11"/>
      <c r="E251" s="9"/>
      <c r="F251" s="10"/>
    </row>
    <row r="252" customFormat="false" ht="15" hidden="false" customHeight="true" outlineLevel="0" collapsed="false">
      <c r="A252" s="10"/>
      <c r="B252" s="10"/>
      <c r="C252" s="10"/>
      <c r="D252" s="11"/>
      <c r="E252" s="9"/>
      <c r="F252" s="10"/>
    </row>
    <row r="253" customFormat="false" ht="15" hidden="false" customHeight="true" outlineLevel="0" collapsed="false">
      <c r="A253" s="10"/>
      <c r="B253" s="10"/>
      <c r="C253" s="10"/>
      <c r="D253" s="11"/>
      <c r="E253" s="9"/>
      <c r="F253" s="10"/>
    </row>
    <row r="254" customFormat="false" ht="15" hidden="false" customHeight="true" outlineLevel="0" collapsed="false">
      <c r="A254" s="10"/>
      <c r="B254" s="10"/>
      <c r="C254" s="10"/>
      <c r="D254" s="11"/>
      <c r="E254" s="9"/>
      <c r="F254" s="10"/>
    </row>
    <row r="255" customFormat="false" ht="15" hidden="false" customHeight="true" outlineLevel="0" collapsed="false">
      <c r="A255" s="10"/>
      <c r="B255" s="10"/>
      <c r="C255" s="10"/>
      <c r="D255" s="11"/>
      <c r="E255" s="9"/>
      <c r="F255" s="10"/>
    </row>
    <row r="256" customFormat="false" ht="15" hidden="false" customHeight="true" outlineLevel="0" collapsed="false">
      <c r="A256" s="10"/>
      <c r="B256" s="10"/>
      <c r="C256" s="10"/>
      <c r="D256" s="11"/>
      <c r="E256" s="9"/>
      <c r="F256" s="10"/>
    </row>
    <row r="257" customFormat="false" ht="15" hidden="false" customHeight="true" outlineLevel="0" collapsed="false">
      <c r="A257" s="10"/>
      <c r="B257" s="10"/>
      <c r="C257" s="10"/>
      <c r="D257" s="11"/>
      <c r="E257" s="9"/>
      <c r="F257" s="10"/>
    </row>
    <row r="258" customFormat="false" ht="15" hidden="false" customHeight="true" outlineLevel="0" collapsed="false">
      <c r="A258" s="10"/>
      <c r="B258" s="10"/>
      <c r="C258" s="10"/>
      <c r="D258" s="11"/>
      <c r="E258" s="9"/>
      <c r="F258" s="10"/>
    </row>
    <row r="259" customFormat="false" ht="15" hidden="false" customHeight="true" outlineLevel="0" collapsed="false">
      <c r="A259" s="10"/>
      <c r="B259" s="10"/>
      <c r="C259" s="10"/>
      <c r="D259" s="11"/>
      <c r="E259" s="9"/>
      <c r="F259" s="10"/>
    </row>
    <row r="260" customFormat="false" ht="15" hidden="false" customHeight="true" outlineLevel="0" collapsed="false">
      <c r="A260" s="10"/>
      <c r="B260" s="10"/>
      <c r="C260" s="10"/>
      <c r="D260" s="11"/>
      <c r="E260" s="9"/>
      <c r="F260" s="10"/>
    </row>
    <row r="261" customFormat="false" ht="15" hidden="false" customHeight="true" outlineLevel="0" collapsed="false">
      <c r="A261" s="10"/>
      <c r="B261" s="10"/>
      <c r="C261" s="10"/>
      <c r="D261" s="11"/>
      <c r="E261" s="9"/>
      <c r="F261" s="10"/>
    </row>
    <row r="262" customFormat="false" ht="15" hidden="false" customHeight="true" outlineLevel="0" collapsed="false">
      <c r="A262" s="10"/>
      <c r="B262" s="10"/>
      <c r="C262" s="10"/>
      <c r="D262" s="11"/>
      <c r="E262" s="9"/>
      <c r="F262" s="10"/>
    </row>
    <row r="263" customFormat="false" ht="15" hidden="false" customHeight="true" outlineLevel="0" collapsed="false">
      <c r="A263" s="10"/>
      <c r="B263" s="10"/>
      <c r="C263" s="10"/>
      <c r="D263" s="11"/>
      <c r="E263" s="9"/>
      <c r="F263" s="10"/>
    </row>
    <row r="264" customFormat="false" ht="15" hidden="false" customHeight="true" outlineLevel="0" collapsed="false">
      <c r="A264" s="10"/>
      <c r="B264" s="10"/>
      <c r="C264" s="10"/>
      <c r="D264" s="11"/>
      <c r="E264" s="9"/>
      <c r="F264" s="10"/>
    </row>
    <row r="265" customFormat="false" ht="15" hidden="false" customHeight="true" outlineLevel="0" collapsed="false">
      <c r="A265" s="10"/>
      <c r="B265" s="10"/>
      <c r="C265" s="10"/>
      <c r="D265" s="11"/>
      <c r="E265" s="9"/>
      <c r="F265" s="10"/>
    </row>
    <row r="266" customFormat="false" ht="15" hidden="false" customHeight="true" outlineLevel="0" collapsed="false">
      <c r="A266" s="10"/>
      <c r="B266" s="10"/>
      <c r="C266" s="10"/>
      <c r="D266" s="11"/>
      <c r="E266" s="9"/>
      <c r="F266" s="10"/>
    </row>
    <row r="267" customFormat="false" ht="15" hidden="false" customHeight="true" outlineLevel="0" collapsed="false">
      <c r="A267" s="10"/>
      <c r="B267" s="10"/>
      <c r="C267" s="10"/>
      <c r="D267" s="11"/>
      <c r="E267" s="9"/>
      <c r="F267" s="10"/>
    </row>
    <row r="268" customFormat="false" ht="15" hidden="false" customHeight="true" outlineLevel="0" collapsed="false">
      <c r="A268" s="10"/>
      <c r="B268" s="10"/>
      <c r="C268" s="10"/>
      <c r="D268" s="11"/>
      <c r="E268" s="9"/>
      <c r="F268" s="10"/>
    </row>
    <row r="269" customFormat="false" ht="15" hidden="false" customHeight="true" outlineLevel="0" collapsed="false">
      <c r="A269" s="10"/>
      <c r="B269" s="10"/>
      <c r="C269" s="10"/>
      <c r="D269" s="11"/>
      <c r="E269" s="9"/>
      <c r="F269" s="10"/>
    </row>
    <row r="270" customFormat="false" ht="15" hidden="false" customHeight="true" outlineLevel="0" collapsed="false">
      <c r="A270" s="10"/>
      <c r="B270" s="10"/>
      <c r="C270" s="10"/>
      <c r="D270" s="11"/>
      <c r="E270" s="9"/>
      <c r="F270" s="10"/>
    </row>
    <row r="271" customFormat="false" ht="15" hidden="false" customHeight="true" outlineLevel="0" collapsed="false">
      <c r="A271" s="10"/>
      <c r="B271" s="10"/>
      <c r="C271" s="10"/>
      <c r="D271" s="11"/>
      <c r="E271" s="9"/>
      <c r="F271" s="10"/>
    </row>
    <row r="272" customFormat="false" ht="15" hidden="false" customHeight="true" outlineLevel="0" collapsed="false">
      <c r="A272" s="10"/>
      <c r="B272" s="10"/>
      <c r="C272" s="10"/>
      <c r="D272" s="11"/>
      <c r="E272" s="9"/>
      <c r="F272" s="10"/>
    </row>
    <row r="273" customFormat="false" ht="15" hidden="false" customHeight="true" outlineLevel="0" collapsed="false">
      <c r="A273" s="10"/>
      <c r="B273" s="10"/>
      <c r="C273" s="10"/>
      <c r="D273" s="11"/>
      <c r="E273" s="9"/>
      <c r="F273" s="10"/>
    </row>
    <row r="274" customFormat="false" ht="15" hidden="false" customHeight="true" outlineLevel="0" collapsed="false">
      <c r="A274" s="10"/>
      <c r="B274" s="10"/>
      <c r="C274" s="10"/>
      <c r="D274" s="11"/>
      <c r="E274" s="9"/>
      <c r="F274" s="10"/>
    </row>
    <row r="275" customFormat="false" ht="15" hidden="false" customHeight="true" outlineLevel="0" collapsed="false">
      <c r="A275" s="10"/>
      <c r="B275" s="10"/>
      <c r="C275" s="10"/>
      <c r="D275" s="11"/>
      <c r="E275" s="9"/>
      <c r="F275" s="10"/>
    </row>
    <row r="276" customFormat="false" ht="15" hidden="false" customHeight="true" outlineLevel="0" collapsed="false">
      <c r="A276" s="10"/>
      <c r="B276" s="10"/>
      <c r="C276" s="10"/>
      <c r="D276" s="11"/>
      <c r="E276" s="9"/>
      <c r="F276" s="10"/>
    </row>
    <row r="277" customFormat="false" ht="15" hidden="false" customHeight="true" outlineLevel="0" collapsed="false">
      <c r="A277" s="10"/>
      <c r="B277" s="10"/>
      <c r="C277" s="10"/>
      <c r="D277" s="11"/>
      <c r="E277" s="9"/>
      <c r="F277" s="10"/>
    </row>
    <row r="278" customFormat="false" ht="15" hidden="false" customHeight="true" outlineLevel="0" collapsed="false">
      <c r="A278" s="10"/>
      <c r="B278" s="10"/>
      <c r="C278" s="10"/>
      <c r="D278" s="11"/>
      <c r="E278" s="9"/>
      <c r="F278" s="10"/>
    </row>
    <row r="279" customFormat="false" ht="15" hidden="false" customHeight="true" outlineLevel="0" collapsed="false">
      <c r="A279" s="10"/>
      <c r="B279" s="10"/>
      <c r="C279" s="10"/>
      <c r="D279" s="11"/>
      <c r="E279" s="9"/>
      <c r="F279" s="10"/>
    </row>
    <row r="280" customFormat="false" ht="15" hidden="false" customHeight="true" outlineLevel="0" collapsed="false">
      <c r="A280" s="10"/>
      <c r="B280" s="10"/>
      <c r="C280" s="10"/>
      <c r="D280" s="11"/>
      <c r="E280" s="9"/>
      <c r="F280" s="10"/>
    </row>
    <row r="281" customFormat="false" ht="15" hidden="false" customHeight="true" outlineLevel="0" collapsed="false">
      <c r="A281" s="10"/>
      <c r="B281" s="10"/>
      <c r="C281" s="10"/>
      <c r="D281" s="11"/>
      <c r="E281" s="9"/>
      <c r="F281" s="10"/>
    </row>
    <row r="282" customFormat="false" ht="15" hidden="false" customHeight="true" outlineLevel="0" collapsed="false">
      <c r="A282" s="10"/>
      <c r="B282" s="10"/>
      <c r="C282" s="10"/>
      <c r="D282" s="11"/>
      <c r="E282" s="9"/>
      <c r="F282" s="10"/>
    </row>
    <row r="283" customFormat="false" ht="15" hidden="false" customHeight="true" outlineLevel="0" collapsed="false">
      <c r="A283" s="10"/>
      <c r="B283" s="10"/>
      <c r="C283" s="10"/>
      <c r="D283" s="11"/>
      <c r="E283" s="9"/>
      <c r="F283" s="10"/>
    </row>
    <row r="284" customFormat="false" ht="15" hidden="false" customHeight="true" outlineLevel="0" collapsed="false">
      <c r="A284" s="10"/>
      <c r="B284" s="10"/>
      <c r="C284" s="10"/>
      <c r="D284" s="11"/>
      <c r="E284" s="9"/>
      <c r="F284" s="10"/>
    </row>
    <row r="285" customFormat="false" ht="15" hidden="false" customHeight="true" outlineLevel="0" collapsed="false">
      <c r="A285" s="10"/>
      <c r="B285" s="10"/>
      <c r="C285" s="10"/>
      <c r="D285" s="11"/>
      <c r="E285" s="9"/>
      <c r="F285" s="10"/>
    </row>
    <row r="286" customFormat="false" ht="15" hidden="false" customHeight="true" outlineLevel="0" collapsed="false">
      <c r="A286" s="10"/>
      <c r="B286" s="10"/>
      <c r="C286" s="10"/>
      <c r="D286" s="11"/>
      <c r="E286" s="9"/>
      <c r="F286" s="10"/>
    </row>
    <row r="287" customFormat="false" ht="15" hidden="false" customHeight="true" outlineLevel="0" collapsed="false">
      <c r="A287" s="10"/>
      <c r="B287" s="10"/>
      <c r="C287" s="10"/>
      <c r="D287" s="11"/>
      <c r="E287" s="9"/>
      <c r="F287" s="10"/>
    </row>
    <row r="288" customFormat="false" ht="15" hidden="false" customHeight="true" outlineLevel="0" collapsed="false">
      <c r="A288" s="10"/>
      <c r="B288" s="10"/>
      <c r="C288" s="10"/>
      <c r="D288" s="11"/>
      <c r="E288" s="9"/>
      <c r="F288" s="10"/>
    </row>
    <row r="289" customFormat="false" ht="15" hidden="false" customHeight="true" outlineLevel="0" collapsed="false">
      <c r="A289" s="10"/>
      <c r="B289" s="10"/>
      <c r="C289" s="10"/>
      <c r="D289" s="11"/>
      <c r="E289" s="9"/>
      <c r="F289" s="10"/>
    </row>
    <row r="290" customFormat="false" ht="15" hidden="false" customHeight="true" outlineLevel="0" collapsed="false">
      <c r="A290" s="10"/>
      <c r="B290" s="10"/>
      <c r="C290" s="10"/>
      <c r="D290" s="11"/>
      <c r="E290" s="9"/>
      <c r="F290" s="10"/>
    </row>
    <row r="291" customFormat="false" ht="15" hidden="false" customHeight="true" outlineLevel="0" collapsed="false">
      <c r="A291" s="10"/>
      <c r="B291" s="10"/>
      <c r="C291" s="10"/>
      <c r="D291" s="11"/>
      <c r="E291" s="9"/>
      <c r="F291" s="10"/>
    </row>
    <row r="292" customFormat="false" ht="15" hidden="false" customHeight="true" outlineLevel="0" collapsed="false">
      <c r="A292" s="10"/>
      <c r="B292" s="10"/>
      <c r="C292" s="10"/>
      <c r="D292" s="11"/>
      <c r="E292" s="9"/>
      <c r="F292" s="10"/>
    </row>
    <row r="293" customFormat="false" ht="15" hidden="false" customHeight="true" outlineLevel="0" collapsed="false">
      <c r="A293" s="10"/>
      <c r="B293" s="10"/>
      <c r="C293" s="10"/>
      <c r="D293" s="11"/>
      <c r="E293" s="9"/>
      <c r="F293" s="10"/>
    </row>
    <row r="294" customFormat="false" ht="15" hidden="false" customHeight="true" outlineLevel="0" collapsed="false">
      <c r="A294" s="10"/>
      <c r="B294" s="10"/>
      <c r="C294" s="10"/>
      <c r="D294" s="11"/>
      <c r="E294" s="9"/>
      <c r="F294" s="10"/>
    </row>
    <row r="295" customFormat="false" ht="15" hidden="false" customHeight="true" outlineLevel="0" collapsed="false">
      <c r="A295" s="10"/>
      <c r="B295" s="10"/>
      <c r="C295" s="10"/>
      <c r="D295" s="11"/>
      <c r="E295" s="9"/>
      <c r="F295" s="10"/>
    </row>
    <row r="296" customFormat="false" ht="15" hidden="false" customHeight="true" outlineLevel="0" collapsed="false">
      <c r="A296" s="10"/>
      <c r="B296" s="10"/>
      <c r="C296" s="10"/>
      <c r="D296" s="11"/>
      <c r="E296" s="9"/>
      <c r="F296" s="10"/>
    </row>
    <row r="297" customFormat="false" ht="15" hidden="false" customHeight="true" outlineLevel="0" collapsed="false">
      <c r="A297" s="10"/>
      <c r="B297" s="10"/>
      <c r="C297" s="10"/>
      <c r="D297" s="11"/>
      <c r="E297" s="9"/>
      <c r="F297" s="10"/>
    </row>
    <row r="298" customFormat="false" ht="15" hidden="false" customHeight="true" outlineLevel="0" collapsed="false">
      <c r="A298" s="10"/>
      <c r="B298" s="10"/>
      <c r="C298" s="10"/>
      <c r="D298" s="11"/>
      <c r="E298" s="9"/>
      <c r="F298" s="10"/>
    </row>
    <row r="299" customFormat="false" ht="15" hidden="false" customHeight="true" outlineLevel="0" collapsed="false">
      <c r="A299" s="10"/>
      <c r="B299" s="10"/>
      <c r="C299" s="10"/>
      <c r="D299" s="11"/>
      <c r="E299" s="9"/>
      <c r="F299" s="10"/>
    </row>
    <row r="300" customFormat="false" ht="15" hidden="false" customHeight="true" outlineLevel="0" collapsed="false">
      <c r="A300" s="10"/>
      <c r="B300" s="10"/>
      <c r="C300" s="10"/>
      <c r="D300" s="11"/>
      <c r="E300" s="9"/>
      <c r="F300" s="10"/>
    </row>
    <row r="301" customFormat="false" ht="15" hidden="false" customHeight="true" outlineLevel="0" collapsed="false">
      <c r="A301" s="10"/>
      <c r="B301" s="10"/>
      <c r="C301" s="10"/>
      <c r="D301" s="11"/>
      <c r="E301" s="9"/>
      <c r="F301" s="10"/>
    </row>
    <row r="302" customFormat="false" ht="15" hidden="false" customHeight="true" outlineLevel="0" collapsed="false">
      <c r="A302" s="10"/>
      <c r="B302" s="10"/>
      <c r="C302" s="10"/>
      <c r="D302" s="11"/>
      <c r="E302" s="9"/>
      <c r="F302" s="10"/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E3:E302" type="list">
      <formula1>"현금,월말 정산,익월 15일,익월 말,기타"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4"/>
    <col collapsed="false" customWidth="true" hidden="false" outlineLevel="0" max="3" min="3" style="1" width="28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9" min="8" style="1" width="16"/>
    <col collapsed="false" customWidth="true" hidden="false" outlineLevel="0" max="10" min="10" style="1" width="14"/>
    <col collapsed="false" customWidth="true" hidden="false" outlineLevel="0" max="11" min="11" style="1" width="20"/>
  </cols>
  <sheetData>
    <row r="1" customFormat="false" ht="25.5" hidden="false" customHeight="true" outlineLevel="0" collapsed="false">
      <c r="A1" s="2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8" t="s">
        <v>45</v>
      </c>
      <c r="B2" s="8" t="s">
        <v>27</v>
      </c>
      <c r="C2" s="8" t="s">
        <v>46</v>
      </c>
      <c r="D2" s="8" t="s">
        <v>47</v>
      </c>
      <c r="E2" s="8" t="s">
        <v>48</v>
      </c>
      <c r="F2" s="12" t="s">
        <v>49</v>
      </c>
      <c r="G2" s="8" t="s">
        <v>50</v>
      </c>
      <c r="H2" s="8" t="s">
        <v>51</v>
      </c>
      <c r="I2" s="12" t="s">
        <v>52</v>
      </c>
      <c r="J2" s="12" t="s">
        <v>53</v>
      </c>
      <c r="K2" s="8" t="s">
        <v>31</v>
      </c>
    </row>
    <row r="3" customFormat="false" ht="15" hidden="false" customHeight="true" outlineLevel="0" collapsed="false">
      <c r="A3" s="13" t="n">
        <v>46188</v>
      </c>
      <c r="B3" s="10" t="inlineStr">
        <is>
          <t>△△인테리어</t>
        </is>
      </c>
      <c r="C3" s="10" t="inlineStr">
        <is>
          <t>도배지 300롤</t>
        </is>
      </c>
      <c r="D3" s="14" t="n">
        <v>300</v>
      </c>
      <c r="E3" s="11" t="n">
        <v>12000</v>
      </c>
      <c r="F3" s="15" t="n">
        <f aca="false">IF($B3="","",IF(AND($D3="",$E3=""),"",IF(OR($D3="",$E3=""),0,ROUND($D3*$E3,0))))</f>
        <v>3600000</v>
      </c>
      <c r="G3" s="13"/>
      <c r="H3" s="11"/>
      <c r="I3" s="15" t="n">
        <f aca="false">IF($F3="","",$F3-IF($H3="",0,$H3))</f>
        <v>3600000</v>
      </c>
      <c r="J3" s="16" t="n">
        <f aca="true">IF(OR($A3="",$I3="",$I3&lt;=0),"",TODAY()-$A3)</f>
        <v>91</v>
      </c>
      <c r="K3" s="10" t="inlineStr">
        <is>
          <t>← 예시 행입니다. 지우고 쓰세요.</t>
        </is>
      </c>
    </row>
    <row r="4" customFormat="false" ht="15" hidden="false" customHeight="true" outlineLevel="0" collapsed="false">
      <c r="A4" s="13" t="n">
        <v>46213</v>
      </c>
      <c r="B4" s="10" t="inlineStr">
        <is>
          <t>○○건재</t>
        </is>
      </c>
      <c r="C4" s="10" t="inlineStr">
        <is>
          <t>시멘트 200포</t>
        </is>
      </c>
      <c r="D4" s="14" t="n">
        <v>200</v>
      </c>
      <c r="E4" s="11" t="n">
        <v>8000</v>
      </c>
      <c r="F4" s="15" t="n">
        <f aca="false">IF($B4="","",IF(AND($D4="",$E4=""),"",IF(OR($D4="",$E4=""),0,ROUND($D4*$E4,0))))</f>
        <v>1600000</v>
      </c>
      <c r="G4" s="13" t="n">
        <v>46234</v>
      </c>
      <c r="H4" s="11" t="n">
        <v>1600000</v>
      </c>
      <c r="I4" s="15" t="n">
        <f aca="false">IF($F4="","",$F4-IF($H4="",0,$H4))</f>
        <v>0</v>
      </c>
      <c r="J4" s="16" t="str">
        <f aca="true">IF(OR($A4="",$I4="",$I4&lt;=0),"",TODAY()-$A4)</f>
        <v/>
      </c>
      <c r="K4" s="10"/>
    </row>
    <row r="5" customFormat="false" ht="15" hidden="false" customHeight="true" outlineLevel="0" collapsed="false">
      <c r="A5" s="13" t="n">
        <v>46239</v>
      </c>
      <c r="B5" s="10" t="inlineStr">
        <is>
          <t>△△인테리어</t>
        </is>
      </c>
      <c r="C5" s="10" t="inlineStr">
        <is>
          <t>석고보드 300장</t>
        </is>
      </c>
      <c r="D5" s="14" t="n">
        <v>300</v>
      </c>
      <c r="E5" s="11" t="n">
        <v>6500</v>
      </c>
      <c r="F5" s="15" t="n">
        <f aca="false">IF($B5="","",IF(AND($D5="",$E5=""),"",IF(OR($D5="",$E5=""),0,ROUND($D5*$E5,0))))</f>
        <v>1950000</v>
      </c>
      <c r="G5" s="13"/>
      <c r="H5" s="11"/>
      <c r="I5" s="15" t="n">
        <f aca="false">IF($F5="","",$F5-IF($H5="",0,$H5))</f>
        <v>1950000</v>
      </c>
      <c r="J5" s="16" t="n">
        <f aca="true">IF(OR($A5="",$I5="",$I5&lt;=0),"",TODAY()-$A5)</f>
        <v>40</v>
      </c>
      <c r="K5" s="10"/>
    </row>
    <row r="6" customFormat="false" ht="15" hidden="false" customHeight="true" outlineLevel="0" collapsed="false">
      <c r="A6" s="13" t="n">
        <v>46254</v>
      </c>
      <c r="B6" s="10" t="inlineStr">
        <is>
          <t>○○건재</t>
        </is>
      </c>
      <c r="C6" s="10" t="inlineStr">
        <is>
          <t>단열재 100롤</t>
        </is>
      </c>
      <c r="D6" s="14" t="n">
        <v>100</v>
      </c>
      <c r="E6" s="11" t="n">
        <v>45000</v>
      </c>
      <c r="F6" s="15" t="n">
        <f aca="false">IF($B6="","",IF(AND($D6="",$E6=""),"",IF(OR($D6="",$E6=""),0,ROUND($D6*$E6,0))))</f>
        <v>4500000</v>
      </c>
      <c r="G6" s="13" t="n">
        <v>46270</v>
      </c>
      <c r="H6" s="11" t="n">
        <v>2000000</v>
      </c>
      <c r="I6" s="15" t="n">
        <f aca="false">IF($F6="","",$F6-IF($H6="",0,$H6))</f>
        <v>2500000</v>
      </c>
      <c r="J6" s="16" t="n">
        <f aca="true">IF(OR($A6="",$I6="",$I6&lt;=0),"",TODAY()-$A6)</f>
        <v>25</v>
      </c>
      <c r="K6" s="10"/>
    </row>
    <row r="7" customFormat="false" ht="15" hidden="false" customHeight="true" outlineLevel="0" collapsed="false">
      <c r="A7" s="13" t="n">
        <v>46267</v>
      </c>
      <c r="B7" s="10" t="inlineStr">
        <is>
          <t>□□산업</t>
        </is>
      </c>
      <c r="C7" s="10" t="inlineStr">
        <is>
          <t>철근 5톤</t>
        </is>
      </c>
      <c r="D7" s="14" t="n">
        <v>5</v>
      </c>
      <c r="E7" s="11" t="n">
        <v>900000</v>
      </c>
      <c r="F7" s="15" t="n">
        <f aca="false">IF($B7="","",IF(AND($D7="",$E7=""),"",IF(OR($D7="",$E7=""),0,ROUND($D7*$E7,0))))</f>
        <v>4500000</v>
      </c>
      <c r="G7" s="13"/>
      <c r="H7" s="11"/>
      <c r="I7" s="15" t="n">
        <f aca="false">IF($F7="","",$F7-IF($H7="",0,$H7))</f>
        <v>4500000</v>
      </c>
      <c r="J7" s="16" t="n">
        <f aca="true">IF(OR($A7="",$I7="",$I7&lt;=0),"",TODAY()-$A7)</f>
        <v>12</v>
      </c>
      <c r="K7" s="10"/>
    </row>
    <row r="8" customFormat="false" ht="15" hidden="false" customHeight="true" outlineLevel="0" collapsed="false">
      <c r="A8" s="13" t="n">
        <v>46275</v>
      </c>
      <c r="B8" s="10" t="inlineStr">
        <is>
          <t>○○건재</t>
        </is>
      </c>
      <c r="C8" s="10" t="inlineStr">
        <is>
          <t>몰탈 100포</t>
        </is>
      </c>
      <c r="D8" s="14" t="n">
        <v>100</v>
      </c>
      <c r="E8" s="11" t="n">
        <v>9000</v>
      </c>
      <c r="F8" s="15" t="n">
        <f aca="false">IF($B8="","",IF(AND($D8="",$E8=""),"",IF(OR($D8="",$E8=""),0,ROUND($D8*$E8,0))))</f>
        <v>900000</v>
      </c>
      <c r="G8" s="13" t="n">
        <v>46277</v>
      </c>
      <c r="H8" s="11" t="n">
        <v>900000</v>
      </c>
      <c r="I8" s="15" t="n">
        <f aca="false">IF($F8="","",$F8-IF($H8="",0,$H8))</f>
        <v>0</v>
      </c>
      <c r="J8" s="16" t="str">
        <f aca="true">IF(OR($A8="",$I8="",$I8&lt;=0),"",TODAY()-$A8)</f>
        <v/>
      </c>
      <c r="K8" s="10"/>
    </row>
    <row r="9" customFormat="false" ht="15" hidden="false" customHeight="true" outlineLevel="0" collapsed="false">
      <c r="A9" s="13"/>
      <c r="B9" s="10"/>
      <c r="C9" s="10"/>
      <c r="D9" s="14"/>
      <c r="E9" s="11"/>
      <c r="F9" s="15" t="str">
        <f aca="false">IF($B9="","",IF(AND($D9="",$E9=""),"",IF(OR($D9="",$E9=""),0,ROUND($D9*$E9,0))))</f>
        <v/>
      </c>
      <c r="G9" s="13"/>
      <c r="H9" s="11"/>
      <c r="I9" s="15" t="str">
        <f aca="false">IF($F9="","",$F9-IF($H9="",0,$H9))</f>
        <v/>
      </c>
      <c r="J9" s="16" t="str">
        <f aca="true">IF(OR($A9="",$I9="",$I9&lt;=0),"",TODAY()-$A9)</f>
        <v/>
      </c>
      <c r="K9" s="10"/>
    </row>
    <row r="10" customFormat="false" ht="15" hidden="false" customHeight="true" outlineLevel="0" collapsed="false">
      <c r="A10" s="13"/>
      <c r="B10" s="10"/>
      <c r="C10" s="10"/>
      <c r="D10" s="14"/>
      <c r="E10" s="11"/>
      <c r="F10" s="15" t="str">
        <f aca="false">IF($B10="","",IF(AND($D10="",$E10=""),"",IF(OR($D10="",$E10=""),0,ROUND($D10*$E10,0))))</f>
        <v/>
      </c>
      <c r="G10" s="13"/>
      <c r="H10" s="11"/>
      <c r="I10" s="15" t="str">
        <f aca="false">IF($F10="","",$F10-IF($H10="",0,$H10))</f>
        <v/>
      </c>
      <c r="J10" s="16" t="str">
        <f aca="true">IF(OR($A10="",$I10="",$I10&lt;=0),"",TODAY()-$A10)</f>
        <v/>
      </c>
      <c r="K10" s="10"/>
    </row>
    <row r="11" customFormat="false" ht="15" hidden="false" customHeight="true" outlineLevel="0" collapsed="false">
      <c r="A11" s="13"/>
      <c r="B11" s="10"/>
      <c r="C11" s="10"/>
      <c r="D11" s="14"/>
      <c r="E11" s="11"/>
      <c r="F11" s="15" t="str">
        <f aca="false">IF($B11="","",IF(AND($D11="",$E11=""),"",IF(OR($D11="",$E11=""),0,ROUND($D11*$E11,0))))</f>
        <v/>
      </c>
      <c r="G11" s="13"/>
      <c r="H11" s="11"/>
      <c r="I11" s="15" t="str">
        <f aca="false">IF($F11="","",$F11-IF($H11="",0,$H11))</f>
        <v/>
      </c>
      <c r="J11" s="16" t="str">
        <f aca="true">IF(OR($A11="",$I11="",$I11&lt;=0),"",TODAY()-$A11)</f>
        <v/>
      </c>
      <c r="K11" s="10"/>
    </row>
    <row r="12" customFormat="false" ht="15" hidden="false" customHeight="true" outlineLevel="0" collapsed="false">
      <c r="A12" s="13"/>
      <c r="B12" s="10"/>
      <c r="C12" s="10"/>
      <c r="D12" s="14"/>
      <c r="E12" s="11"/>
      <c r="F12" s="15" t="str">
        <f aca="false">IF($B12="","",IF(AND($D12="",$E12=""),"",IF(OR($D12="",$E12=""),0,ROUND($D12*$E12,0))))</f>
        <v/>
      </c>
      <c r="G12" s="13"/>
      <c r="H12" s="11"/>
      <c r="I12" s="15" t="str">
        <f aca="false">IF($F12="","",$F12-IF($H12="",0,$H12))</f>
        <v/>
      </c>
      <c r="J12" s="16" t="str">
        <f aca="true">IF(OR($A12="",$I12="",$I12&lt;=0),"",TODAY()-$A12)</f>
        <v/>
      </c>
      <c r="K12" s="10"/>
    </row>
    <row r="13" customFormat="false" ht="15" hidden="false" customHeight="true" outlineLevel="0" collapsed="false">
      <c r="A13" s="13"/>
      <c r="B13" s="10"/>
      <c r="C13" s="10"/>
      <c r="D13" s="14"/>
      <c r="E13" s="11"/>
      <c r="F13" s="15" t="str">
        <f aca="false">IF($B13="","",IF(AND($D13="",$E13=""),"",IF(OR($D13="",$E13=""),0,ROUND($D13*$E13,0))))</f>
        <v/>
      </c>
      <c r="G13" s="13"/>
      <c r="H13" s="11"/>
      <c r="I13" s="15" t="str">
        <f aca="false">IF($F13="","",$F13-IF($H13="",0,$H13))</f>
        <v/>
      </c>
      <c r="J13" s="16" t="str">
        <f aca="true">IF(OR($A13="",$I13="",$I13&lt;=0),"",TODAY()-$A13)</f>
        <v/>
      </c>
      <c r="K13" s="10"/>
    </row>
    <row r="14" customFormat="false" ht="15" hidden="false" customHeight="true" outlineLevel="0" collapsed="false">
      <c r="A14" s="13"/>
      <c r="B14" s="10"/>
      <c r="C14" s="10"/>
      <c r="D14" s="14"/>
      <c r="E14" s="11"/>
      <c r="F14" s="15" t="str">
        <f aca="false">IF($B14="","",IF(AND($D14="",$E14=""),"",IF(OR($D14="",$E14=""),0,ROUND($D14*$E14,0))))</f>
        <v/>
      </c>
      <c r="G14" s="13"/>
      <c r="H14" s="11"/>
      <c r="I14" s="15" t="str">
        <f aca="false">IF($F14="","",$F14-IF($H14="",0,$H14))</f>
        <v/>
      </c>
      <c r="J14" s="16" t="str">
        <f aca="true">IF(OR($A14="",$I14="",$I14&lt;=0),"",TODAY()-$A14)</f>
        <v/>
      </c>
      <c r="K14" s="10"/>
    </row>
    <row r="15" customFormat="false" ht="15" hidden="false" customHeight="true" outlineLevel="0" collapsed="false">
      <c r="A15" s="13"/>
      <c r="B15" s="10"/>
      <c r="C15" s="10"/>
      <c r="D15" s="14"/>
      <c r="E15" s="11"/>
      <c r="F15" s="15" t="str">
        <f aca="false">IF($B15="","",IF(AND($D15="",$E15=""),"",IF(OR($D15="",$E15=""),0,ROUND($D15*$E15,0))))</f>
        <v/>
      </c>
      <c r="G15" s="13"/>
      <c r="H15" s="11"/>
      <c r="I15" s="15" t="str">
        <f aca="false">IF($F15="","",$F15-IF($H15="",0,$H15))</f>
        <v/>
      </c>
      <c r="J15" s="16" t="str">
        <f aca="true">IF(OR($A15="",$I15="",$I15&lt;=0),"",TODAY()-$A15)</f>
        <v/>
      </c>
      <c r="K15" s="10"/>
    </row>
    <row r="16" customFormat="false" ht="15" hidden="false" customHeight="true" outlineLevel="0" collapsed="false">
      <c r="A16" s="13"/>
      <c r="B16" s="10"/>
      <c r="C16" s="10"/>
      <c r="D16" s="14"/>
      <c r="E16" s="11"/>
      <c r="F16" s="15" t="str">
        <f aca="false">IF($B16="","",IF(AND($D16="",$E16=""),"",IF(OR($D16="",$E16=""),0,ROUND($D16*$E16,0))))</f>
        <v/>
      </c>
      <c r="G16" s="13"/>
      <c r="H16" s="11"/>
      <c r="I16" s="15" t="str">
        <f aca="false">IF($F16="","",$F16-IF($H16="",0,$H16))</f>
        <v/>
      </c>
      <c r="J16" s="16" t="str">
        <f aca="true">IF(OR($A16="",$I16="",$I16&lt;=0),"",TODAY()-$A16)</f>
        <v/>
      </c>
      <c r="K16" s="10"/>
    </row>
    <row r="17" customFormat="false" ht="15" hidden="false" customHeight="true" outlineLevel="0" collapsed="false">
      <c r="A17" s="13"/>
      <c r="B17" s="10"/>
      <c r="C17" s="10"/>
      <c r="D17" s="14"/>
      <c r="E17" s="11"/>
      <c r="F17" s="15" t="str">
        <f aca="false">IF($B17="","",IF(AND($D17="",$E17=""),"",IF(OR($D17="",$E17=""),0,ROUND($D17*$E17,0))))</f>
        <v/>
      </c>
      <c r="G17" s="13"/>
      <c r="H17" s="11"/>
      <c r="I17" s="15" t="str">
        <f aca="false">IF($F17="","",$F17-IF($H17="",0,$H17))</f>
        <v/>
      </c>
      <c r="J17" s="16" t="str">
        <f aca="true">IF(OR($A17="",$I17="",$I17&lt;=0),"",TODAY()-$A17)</f>
        <v/>
      </c>
      <c r="K17" s="10"/>
    </row>
    <row r="18" customFormat="false" ht="15" hidden="false" customHeight="true" outlineLevel="0" collapsed="false">
      <c r="A18" s="13"/>
      <c r="B18" s="10"/>
      <c r="C18" s="10"/>
      <c r="D18" s="14"/>
      <c r="E18" s="11"/>
      <c r="F18" s="15" t="str">
        <f aca="false">IF($B18="","",IF(AND($D18="",$E18=""),"",IF(OR($D18="",$E18=""),0,ROUND($D18*$E18,0))))</f>
        <v/>
      </c>
      <c r="G18" s="13"/>
      <c r="H18" s="11"/>
      <c r="I18" s="15" t="str">
        <f aca="false">IF($F18="","",$F18-IF($H18="",0,$H18))</f>
        <v/>
      </c>
      <c r="J18" s="16" t="str">
        <f aca="true">IF(OR($A18="",$I18="",$I18&lt;=0),"",TODAY()-$A18)</f>
        <v/>
      </c>
      <c r="K18" s="10"/>
    </row>
    <row r="19" customFormat="false" ht="15" hidden="false" customHeight="true" outlineLevel="0" collapsed="false">
      <c r="A19" s="13"/>
      <c r="B19" s="10"/>
      <c r="C19" s="10"/>
      <c r="D19" s="14"/>
      <c r="E19" s="11"/>
      <c r="F19" s="15" t="str">
        <f aca="false">IF($B19="","",IF(AND($D19="",$E19=""),"",IF(OR($D19="",$E19=""),0,ROUND($D19*$E19,0))))</f>
        <v/>
      </c>
      <c r="G19" s="13"/>
      <c r="H19" s="11"/>
      <c r="I19" s="15" t="str">
        <f aca="false">IF($F19="","",$F19-IF($H19="",0,$H19))</f>
        <v/>
      </c>
      <c r="J19" s="16" t="str">
        <f aca="true">IF(OR($A19="",$I19="",$I19&lt;=0),"",TODAY()-$A19)</f>
        <v/>
      </c>
      <c r="K19" s="10"/>
    </row>
    <row r="20" customFormat="false" ht="15" hidden="false" customHeight="true" outlineLevel="0" collapsed="false">
      <c r="A20" s="13"/>
      <c r="B20" s="10"/>
      <c r="C20" s="10"/>
      <c r="D20" s="14"/>
      <c r="E20" s="11"/>
      <c r="F20" s="15" t="str">
        <f aca="false">IF($B20="","",IF(AND($D20="",$E20=""),"",IF(OR($D20="",$E20=""),0,ROUND($D20*$E20,0))))</f>
        <v/>
      </c>
      <c r="G20" s="13"/>
      <c r="H20" s="11"/>
      <c r="I20" s="15" t="str">
        <f aca="false">IF($F20="","",$F20-IF($H20="",0,$H20))</f>
        <v/>
      </c>
      <c r="J20" s="16" t="str">
        <f aca="true">IF(OR($A20="",$I20="",$I20&lt;=0),"",TODAY()-$A20)</f>
        <v/>
      </c>
      <c r="K20" s="10"/>
    </row>
    <row r="21" customFormat="false" ht="15" hidden="false" customHeight="true" outlineLevel="0" collapsed="false">
      <c r="A21" s="13"/>
      <c r="B21" s="10"/>
      <c r="C21" s="10"/>
      <c r="D21" s="14"/>
      <c r="E21" s="11"/>
      <c r="F21" s="15" t="str">
        <f aca="false">IF($B21="","",IF(AND($D21="",$E21=""),"",IF(OR($D21="",$E21=""),0,ROUND($D21*$E21,0))))</f>
        <v/>
      </c>
      <c r="G21" s="13"/>
      <c r="H21" s="11"/>
      <c r="I21" s="15" t="str">
        <f aca="false">IF($F21="","",$F21-IF($H21="",0,$H21))</f>
        <v/>
      </c>
      <c r="J21" s="16" t="str">
        <f aca="true">IF(OR($A21="",$I21="",$I21&lt;=0),"",TODAY()-$A21)</f>
        <v/>
      </c>
      <c r="K21" s="10"/>
    </row>
    <row r="22" customFormat="false" ht="15" hidden="false" customHeight="true" outlineLevel="0" collapsed="false">
      <c r="A22" s="13"/>
      <c r="B22" s="10"/>
      <c r="C22" s="10"/>
      <c r="D22" s="14"/>
      <c r="E22" s="11"/>
      <c r="F22" s="15" t="str">
        <f aca="false">IF($B22="","",IF(AND($D22="",$E22=""),"",IF(OR($D22="",$E22=""),0,ROUND($D22*$E22,0))))</f>
        <v/>
      </c>
      <c r="G22" s="13"/>
      <c r="H22" s="11"/>
      <c r="I22" s="15" t="str">
        <f aca="false">IF($F22="","",$F22-IF($H22="",0,$H22))</f>
        <v/>
      </c>
      <c r="J22" s="16" t="str">
        <f aca="true">IF(OR($A22="",$I22="",$I22&lt;=0),"",TODAY()-$A22)</f>
        <v/>
      </c>
      <c r="K22" s="10"/>
    </row>
    <row r="23" customFormat="false" ht="15" hidden="false" customHeight="true" outlineLevel="0" collapsed="false">
      <c r="A23" s="13"/>
      <c r="B23" s="10"/>
      <c r="C23" s="10"/>
      <c r="D23" s="14"/>
      <c r="E23" s="11"/>
      <c r="F23" s="15" t="str">
        <f aca="false">IF($B23="","",IF(AND($D23="",$E23=""),"",IF(OR($D23="",$E23=""),0,ROUND($D23*$E23,0))))</f>
        <v/>
      </c>
      <c r="G23" s="13"/>
      <c r="H23" s="11"/>
      <c r="I23" s="15" t="str">
        <f aca="false">IF($F23="","",$F23-IF($H23="",0,$H23))</f>
        <v/>
      </c>
      <c r="J23" s="16" t="str">
        <f aca="true">IF(OR($A23="",$I23="",$I23&lt;=0),"",TODAY()-$A23)</f>
        <v/>
      </c>
      <c r="K23" s="10"/>
    </row>
    <row r="24" customFormat="false" ht="15" hidden="false" customHeight="true" outlineLevel="0" collapsed="false">
      <c r="A24" s="13"/>
      <c r="B24" s="10"/>
      <c r="C24" s="10"/>
      <c r="D24" s="14"/>
      <c r="E24" s="11"/>
      <c r="F24" s="15" t="str">
        <f aca="false">IF($B24="","",IF(AND($D24="",$E24=""),"",IF(OR($D24="",$E24=""),0,ROUND($D24*$E24,0))))</f>
        <v/>
      </c>
      <c r="G24" s="13"/>
      <c r="H24" s="11"/>
      <c r="I24" s="15" t="str">
        <f aca="false">IF($F24="","",$F24-IF($H24="",0,$H24))</f>
        <v/>
      </c>
      <c r="J24" s="16" t="str">
        <f aca="true">IF(OR($A24="",$I24="",$I24&lt;=0),"",TODAY()-$A24)</f>
        <v/>
      </c>
      <c r="K24" s="10"/>
    </row>
    <row r="25" customFormat="false" ht="15" hidden="false" customHeight="true" outlineLevel="0" collapsed="false">
      <c r="A25" s="13"/>
      <c r="B25" s="10"/>
      <c r="C25" s="10"/>
      <c r="D25" s="14"/>
      <c r="E25" s="11"/>
      <c r="F25" s="15" t="str">
        <f aca="false">IF($B25="","",IF(AND($D25="",$E25=""),"",IF(OR($D25="",$E25=""),0,ROUND($D25*$E25,0))))</f>
        <v/>
      </c>
      <c r="G25" s="13"/>
      <c r="H25" s="11"/>
      <c r="I25" s="15" t="str">
        <f aca="false">IF($F25="","",$F25-IF($H25="",0,$H25))</f>
        <v/>
      </c>
      <c r="J25" s="16" t="str">
        <f aca="true">IF(OR($A25="",$I25="",$I25&lt;=0),"",TODAY()-$A25)</f>
        <v/>
      </c>
      <c r="K25" s="10"/>
    </row>
    <row r="26" customFormat="false" ht="15" hidden="false" customHeight="true" outlineLevel="0" collapsed="false">
      <c r="A26" s="13"/>
      <c r="B26" s="10"/>
      <c r="C26" s="10"/>
      <c r="D26" s="14"/>
      <c r="E26" s="11"/>
      <c r="F26" s="15" t="str">
        <f aca="false">IF($B26="","",IF(AND($D26="",$E26=""),"",IF(OR($D26="",$E26=""),0,ROUND($D26*$E26,0))))</f>
        <v/>
      </c>
      <c r="G26" s="13"/>
      <c r="H26" s="11"/>
      <c r="I26" s="15" t="str">
        <f aca="false">IF($F26="","",$F26-IF($H26="",0,$H26))</f>
        <v/>
      </c>
      <c r="J26" s="16" t="str">
        <f aca="true">IF(OR($A26="",$I26="",$I26&lt;=0),"",TODAY()-$A26)</f>
        <v/>
      </c>
      <c r="K26" s="10"/>
    </row>
    <row r="27" customFormat="false" ht="15" hidden="false" customHeight="true" outlineLevel="0" collapsed="false">
      <c r="A27" s="13"/>
      <c r="B27" s="10"/>
      <c r="C27" s="10"/>
      <c r="D27" s="14"/>
      <c r="E27" s="11"/>
      <c r="F27" s="15" t="str">
        <f aca="false">IF($B27="","",IF(AND($D27="",$E27=""),"",IF(OR($D27="",$E27=""),0,ROUND($D27*$E27,0))))</f>
        <v/>
      </c>
      <c r="G27" s="13"/>
      <c r="H27" s="11"/>
      <c r="I27" s="15" t="str">
        <f aca="false">IF($F27="","",$F27-IF($H27="",0,$H27))</f>
        <v/>
      </c>
      <c r="J27" s="16" t="str">
        <f aca="true">IF(OR($A27="",$I27="",$I27&lt;=0),"",TODAY()-$A27)</f>
        <v/>
      </c>
      <c r="K27" s="10"/>
    </row>
    <row r="28" customFormat="false" ht="15" hidden="false" customHeight="true" outlineLevel="0" collapsed="false">
      <c r="A28" s="13"/>
      <c r="B28" s="10"/>
      <c r="C28" s="10"/>
      <c r="D28" s="14"/>
      <c r="E28" s="11"/>
      <c r="F28" s="15" t="str">
        <f aca="false">IF($B28="","",IF(AND($D28="",$E28=""),"",IF(OR($D28="",$E28=""),0,ROUND($D28*$E28,0))))</f>
        <v/>
      </c>
      <c r="G28" s="13"/>
      <c r="H28" s="11"/>
      <c r="I28" s="15" t="str">
        <f aca="false">IF($F28="","",$F28-IF($H28="",0,$H28))</f>
        <v/>
      </c>
      <c r="J28" s="16" t="str">
        <f aca="true">IF(OR($A28="",$I28="",$I28&lt;=0),"",TODAY()-$A28)</f>
        <v/>
      </c>
      <c r="K28" s="10"/>
    </row>
    <row r="29" customFormat="false" ht="15" hidden="false" customHeight="true" outlineLevel="0" collapsed="false">
      <c r="A29" s="13"/>
      <c r="B29" s="10"/>
      <c r="C29" s="10"/>
      <c r="D29" s="14"/>
      <c r="E29" s="11"/>
      <c r="F29" s="15" t="str">
        <f aca="false">IF($B29="","",IF(AND($D29="",$E29=""),"",IF(OR($D29="",$E29=""),0,ROUND($D29*$E29,0))))</f>
        <v/>
      </c>
      <c r="G29" s="13"/>
      <c r="H29" s="11"/>
      <c r="I29" s="15" t="str">
        <f aca="false">IF($F29="","",$F29-IF($H29="",0,$H29))</f>
        <v/>
      </c>
      <c r="J29" s="16" t="str">
        <f aca="true">IF(OR($A29="",$I29="",$I29&lt;=0),"",TODAY()-$A29)</f>
        <v/>
      </c>
      <c r="K29" s="10"/>
    </row>
    <row r="30" customFormat="false" ht="15" hidden="false" customHeight="true" outlineLevel="0" collapsed="false">
      <c r="A30" s="13"/>
      <c r="B30" s="10"/>
      <c r="C30" s="10"/>
      <c r="D30" s="14"/>
      <c r="E30" s="11"/>
      <c r="F30" s="15" t="str">
        <f aca="false">IF($B30="","",IF(AND($D30="",$E30=""),"",IF(OR($D30="",$E30=""),0,ROUND($D30*$E30,0))))</f>
        <v/>
      </c>
      <c r="G30" s="13"/>
      <c r="H30" s="11"/>
      <c r="I30" s="15" t="str">
        <f aca="false">IF($F30="","",$F30-IF($H30="",0,$H30))</f>
        <v/>
      </c>
      <c r="J30" s="16" t="str">
        <f aca="true">IF(OR($A30="",$I30="",$I30&lt;=0),"",TODAY()-$A30)</f>
        <v/>
      </c>
      <c r="K30" s="10"/>
    </row>
    <row r="31" customFormat="false" ht="15" hidden="false" customHeight="true" outlineLevel="0" collapsed="false">
      <c r="A31" s="13"/>
      <c r="B31" s="10"/>
      <c r="C31" s="10"/>
      <c r="D31" s="14"/>
      <c r="E31" s="11"/>
      <c r="F31" s="15" t="str">
        <f aca="false">IF($B31="","",IF(AND($D31="",$E31=""),"",IF(OR($D31="",$E31=""),0,ROUND($D31*$E31,0))))</f>
        <v/>
      </c>
      <c r="G31" s="13"/>
      <c r="H31" s="11"/>
      <c r="I31" s="15" t="str">
        <f aca="false">IF($F31="","",$F31-IF($H31="",0,$H31))</f>
        <v/>
      </c>
      <c r="J31" s="16" t="str">
        <f aca="true">IF(OR($A31="",$I31="",$I31&lt;=0),"",TODAY()-$A31)</f>
        <v/>
      </c>
      <c r="K31" s="10"/>
    </row>
    <row r="32" customFormat="false" ht="15" hidden="false" customHeight="true" outlineLevel="0" collapsed="false">
      <c r="A32" s="13"/>
      <c r="B32" s="10"/>
      <c r="C32" s="10"/>
      <c r="D32" s="14"/>
      <c r="E32" s="11"/>
      <c r="F32" s="15" t="str">
        <f aca="false">IF($B32="","",IF(AND($D32="",$E32=""),"",IF(OR($D32="",$E32=""),0,ROUND($D32*$E32,0))))</f>
        <v/>
      </c>
      <c r="G32" s="13"/>
      <c r="H32" s="11"/>
      <c r="I32" s="15" t="str">
        <f aca="false">IF($F32="","",$F32-IF($H32="",0,$H32))</f>
        <v/>
      </c>
      <c r="J32" s="16" t="str">
        <f aca="true">IF(OR($A32="",$I32="",$I32&lt;=0),"",TODAY()-$A32)</f>
        <v/>
      </c>
      <c r="K32" s="10"/>
    </row>
    <row r="33" customFormat="false" ht="15" hidden="false" customHeight="true" outlineLevel="0" collapsed="false">
      <c r="A33" s="13"/>
      <c r="B33" s="10"/>
      <c r="C33" s="10"/>
      <c r="D33" s="14"/>
      <c r="E33" s="11"/>
      <c r="F33" s="15" t="str">
        <f aca="false">IF($B33="","",IF(AND($D33="",$E33=""),"",IF(OR($D33="",$E33=""),0,ROUND($D33*$E33,0))))</f>
        <v/>
      </c>
      <c r="G33" s="13"/>
      <c r="H33" s="11"/>
      <c r="I33" s="15" t="str">
        <f aca="false">IF($F33="","",$F33-IF($H33="",0,$H33))</f>
        <v/>
      </c>
      <c r="J33" s="16" t="str">
        <f aca="true">IF(OR($A33="",$I33="",$I33&lt;=0),"",TODAY()-$A33)</f>
        <v/>
      </c>
      <c r="K33" s="10"/>
    </row>
    <row r="34" customFormat="false" ht="15" hidden="false" customHeight="true" outlineLevel="0" collapsed="false">
      <c r="A34" s="13"/>
      <c r="B34" s="10"/>
      <c r="C34" s="10"/>
      <c r="D34" s="14"/>
      <c r="E34" s="11"/>
      <c r="F34" s="15" t="str">
        <f aca="false">IF($B34="","",IF(AND($D34="",$E34=""),"",IF(OR($D34="",$E34=""),0,ROUND($D34*$E34,0))))</f>
        <v/>
      </c>
      <c r="G34" s="13"/>
      <c r="H34" s="11"/>
      <c r="I34" s="15" t="str">
        <f aca="false">IF($F34="","",$F34-IF($H34="",0,$H34))</f>
        <v/>
      </c>
      <c r="J34" s="16" t="str">
        <f aca="true">IF(OR($A34="",$I34="",$I34&lt;=0),"",TODAY()-$A34)</f>
        <v/>
      </c>
      <c r="K34" s="10"/>
    </row>
    <row r="35" customFormat="false" ht="15" hidden="false" customHeight="true" outlineLevel="0" collapsed="false">
      <c r="A35" s="13"/>
      <c r="B35" s="10"/>
      <c r="C35" s="10"/>
      <c r="D35" s="14"/>
      <c r="E35" s="11"/>
      <c r="F35" s="15" t="str">
        <f aca="false">IF($B35="","",IF(AND($D35="",$E35=""),"",IF(OR($D35="",$E35=""),0,ROUND($D35*$E35,0))))</f>
        <v/>
      </c>
      <c r="G35" s="13"/>
      <c r="H35" s="11"/>
      <c r="I35" s="15" t="str">
        <f aca="false">IF($F35="","",$F35-IF($H35="",0,$H35))</f>
        <v/>
      </c>
      <c r="J35" s="16" t="str">
        <f aca="true">IF(OR($A35="",$I35="",$I35&lt;=0),"",TODAY()-$A35)</f>
        <v/>
      </c>
      <c r="K35" s="10"/>
    </row>
    <row r="36" customFormat="false" ht="15" hidden="false" customHeight="true" outlineLevel="0" collapsed="false">
      <c r="A36" s="13"/>
      <c r="B36" s="10"/>
      <c r="C36" s="10"/>
      <c r="D36" s="14"/>
      <c r="E36" s="11"/>
      <c r="F36" s="15" t="str">
        <f aca="false">IF($B36="","",IF(AND($D36="",$E36=""),"",IF(OR($D36="",$E36=""),0,ROUND($D36*$E36,0))))</f>
        <v/>
      </c>
      <c r="G36" s="13"/>
      <c r="H36" s="11"/>
      <c r="I36" s="15" t="str">
        <f aca="false">IF($F36="","",$F36-IF($H36="",0,$H36))</f>
        <v/>
      </c>
      <c r="J36" s="16" t="str">
        <f aca="true">IF(OR($A36="",$I36="",$I36&lt;=0),"",TODAY()-$A36)</f>
        <v/>
      </c>
      <c r="K36" s="10"/>
    </row>
    <row r="37" customFormat="false" ht="15" hidden="false" customHeight="true" outlineLevel="0" collapsed="false">
      <c r="A37" s="13"/>
      <c r="B37" s="10"/>
      <c r="C37" s="10"/>
      <c r="D37" s="14"/>
      <c r="E37" s="11"/>
      <c r="F37" s="15" t="str">
        <f aca="false">IF($B37="","",IF(AND($D37="",$E37=""),"",IF(OR($D37="",$E37=""),0,ROUND($D37*$E37,0))))</f>
        <v/>
      </c>
      <c r="G37" s="13"/>
      <c r="H37" s="11"/>
      <c r="I37" s="15" t="str">
        <f aca="false">IF($F37="","",$F37-IF($H37="",0,$H37))</f>
        <v/>
      </c>
      <c r="J37" s="16" t="str">
        <f aca="true">IF(OR($A37="",$I37="",$I37&lt;=0),"",TODAY()-$A37)</f>
        <v/>
      </c>
      <c r="K37" s="10"/>
    </row>
    <row r="38" customFormat="false" ht="15" hidden="false" customHeight="true" outlineLevel="0" collapsed="false">
      <c r="A38" s="13"/>
      <c r="B38" s="10"/>
      <c r="C38" s="10"/>
      <c r="D38" s="14"/>
      <c r="E38" s="11"/>
      <c r="F38" s="15" t="str">
        <f aca="false">IF($B38="","",IF(AND($D38="",$E38=""),"",IF(OR($D38="",$E38=""),0,ROUND($D38*$E38,0))))</f>
        <v/>
      </c>
      <c r="G38" s="13"/>
      <c r="H38" s="11"/>
      <c r="I38" s="15" t="str">
        <f aca="false">IF($F38="","",$F38-IF($H38="",0,$H38))</f>
        <v/>
      </c>
      <c r="J38" s="16" t="str">
        <f aca="true">IF(OR($A38="",$I38="",$I38&lt;=0),"",TODAY()-$A38)</f>
        <v/>
      </c>
      <c r="K38" s="10"/>
    </row>
    <row r="39" customFormat="false" ht="15" hidden="false" customHeight="true" outlineLevel="0" collapsed="false">
      <c r="A39" s="13"/>
      <c r="B39" s="10"/>
      <c r="C39" s="10"/>
      <c r="D39" s="14"/>
      <c r="E39" s="11"/>
      <c r="F39" s="15" t="str">
        <f aca="false">IF($B39="","",IF(AND($D39="",$E39=""),"",IF(OR($D39="",$E39=""),0,ROUND($D39*$E39,0))))</f>
        <v/>
      </c>
      <c r="G39" s="13"/>
      <c r="H39" s="11"/>
      <c r="I39" s="15" t="str">
        <f aca="false">IF($F39="","",$F39-IF($H39="",0,$H39))</f>
        <v/>
      </c>
      <c r="J39" s="16" t="str">
        <f aca="true">IF(OR($A39="",$I39="",$I39&lt;=0),"",TODAY()-$A39)</f>
        <v/>
      </c>
      <c r="K39" s="10"/>
    </row>
    <row r="40" customFormat="false" ht="15" hidden="false" customHeight="true" outlineLevel="0" collapsed="false">
      <c r="A40" s="13"/>
      <c r="B40" s="10"/>
      <c r="C40" s="10"/>
      <c r="D40" s="14"/>
      <c r="E40" s="11"/>
      <c r="F40" s="15" t="str">
        <f aca="false">IF($B40="","",IF(AND($D40="",$E40=""),"",IF(OR($D40="",$E40=""),0,ROUND($D40*$E40,0))))</f>
        <v/>
      </c>
      <c r="G40" s="13"/>
      <c r="H40" s="11"/>
      <c r="I40" s="15" t="str">
        <f aca="false">IF($F40="","",$F40-IF($H40="",0,$H40))</f>
        <v/>
      </c>
      <c r="J40" s="16" t="str">
        <f aca="true">IF(OR($A40="",$I40="",$I40&lt;=0),"",TODAY()-$A40)</f>
        <v/>
      </c>
      <c r="K40" s="10"/>
    </row>
    <row r="41" customFormat="false" ht="15" hidden="false" customHeight="true" outlineLevel="0" collapsed="false">
      <c r="A41" s="13"/>
      <c r="B41" s="10"/>
      <c r="C41" s="10"/>
      <c r="D41" s="14"/>
      <c r="E41" s="11"/>
      <c r="F41" s="15" t="str">
        <f aca="false">IF($B41="","",IF(AND($D41="",$E41=""),"",IF(OR($D41="",$E41=""),0,ROUND($D41*$E41,0))))</f>
        <v/>
      </c>
      <c r="G41" s="13"/>
      <c r="H41" s="11"/>
      <c r="I41" s="15" t="str">
        <f aca="false">IF($F41="","",$F41-IF($H41="",0,$H41))</f>
        <v/>
      </c>
      <c r="J41" s="16" t="str">
        <f aca="true">IF(OR($A41="",$I41="",$I41&lt;=0),"",TODAY()-$A41)</f>
        <v/>
      </c>
      <c r="K41" s="10"/>
    </row>
    <row r="42" customFormat="false" ht="15" hidden="false" customHeight="true" outlineLevel="0" collapsed="false">
      <c r="A42" s="13"/>
      <c r="B42" s="10"/>
      <c r="C42" s="10"/>
      <c r="D42" s="14"/>
      <c r="E42" s="11"/>
      <c r="F42" s="15" t="str">
        <f aca="false">IF($B42="","",IF(AND($D42="",$E42=""),"",IF(OR($D42="",$E42=""),0,ROUND($D42*$E42,0))))</f>
        <v/>
      </c>
      <c r="G42" s="13"/>
      <c r="H42" s="11"/>
      <c r="I42" s="15" t="str">
        <f aca="false">IF($F42="","",$F42-IF($H42="",0,$H42))</f>
        <v/>
      </c>
      <c r="J42" s="16" t="str">
        <f aca="true">IF(OR($A42="",$I42="",$I42&lt;=0),"",TODAY()-$A42)</f>
        <v/>
      </c>
      <c r="K42" s="10"/>
    </row>
    <row r="43" customFormat="false" ht="15" hidden="false" customHeight="true" outlineLevel="0" collapsed="false">
      <c r="A43" s="13"/>
      <c r="B43" s="10"/>
      <c r="C43" s="10"/>
      <c r="D43" s="14"/>
      <c r="E43" s="11"/>
      <c r="F43" s="15" t="str">
        <f aca="false">IF($B43="","",IF(AND($D43="",$E43=""),"",IF(OR($D43="",$E43=""),0,ROUND($D43*$E43,0))))</f>
        <v/>
      </c>
      <c r="G43" s="13"/>
      <c r="H43" s="11"/>
      <c r="I43" s="15" t="str">
        <f aca="false">IF($F43="","",$F43-IF($H43="",0,$H43))</f>
        <v/>
      </c>
      <c r="J43" s="16" t="str">
        <f aca="true">IF(OR($A43="",$I43="",$I43&lt;=0),"",TODAY()-$A43)</f>
        <v/>
      </c>
      <c r="K43" s="10"/>
    </row>
    <row r="44" customFormat="false" ht="15" hidden="false" customHeight="true" outlineLevel="0" collapsed="false">
      <c r="A44" s="13"/>
      <c r="B44" s="10"/>
      <c r="C44" s="10"/>
      <c r="D44" s="14"/>
      <c r="E44" s="11"/>
      <c r="F44" s="15" t="str">
        <f aca="false">IF($B44="","",IF(AND($D44="",$E44=""),"",IF(OR($D44="",$E44=""),0,ROUND($D44*$E44,0))))</f>
        <v/>
      </c>
      <c r="G44" s="13"/>
      <c r="H44" s="11"/>
      <c r="I44" s="15" t="str">
        <f aca="false">IF($F44="","",$F44-IF($H44="",0,$H44))</f>
        <v/>
      </c>
      <c r="J44" s="16" t="str">
        <f aca="true">IF(OR($A44="",$I44="",$I44&lt;=0),"",TODAY()-$A44)</f>
        <v/>
      </c>
      <c r="K44" s="10"/>
    </row>
    <row r="45" customFormat="false" ht="15" hidden="false" customHeight="true" outlineLevel="0" collapsed="false">
      <c r="A45" s="13"/>
      <c r="B45" s="10"/>
      <c r="C45" s="10"/>
      <c r="D45" s="14"/>
      <c r="E45" s="11"/>
      <c r="F45" s="15" t="str">
        <f aca="false">IF($B45="","",IF(AND($D45="",$E45=""),"",IF(OR($D45="",$E45=""),0,ROUND($D45*$E45,0))))</f>
        <v/>
      </c>
      <c r="G45" s="13"/>
      <c r="H45" s="11"/>
      <c r="I45" s="15" t="str">
        <f aca="false">IF($F45="","",$F45-IF($H45="",0,$H45))</f>
        <v/>
      </c>
      <c r="J45" s="16" t="str">
        <f aca="true">IF(OR($A45="",$I45="",$I45&lt;=0),"",TODAY()-$A45)</f>
        <v/>
      </c>
      <c r="K45" s="10"/>
    </row>
    <row r="46" customFormat="false" ht="15" hidden="false" customHeight="true" outlineLevel="0" collapsed="false">
      <c r="A46" s="13"/>
      <c r="B46" s="10"/>
      <c r="C46" s="10"/>
      <c r="D46" s="14"/>
      <c r="E46" s="11"/>
      <c r="F46" s="15" t="str">
        <f aca="false">IF($B46="","",IF(AND($D46="",$E46=""),"",IF(OR($D46="",$E46=""),0,ROUND($D46*$E46,0))))</f>
        <v/>
      </c>
      <c r="G46" s="13"/>
      <c r="H46" s="11"/>
      <c r="I46" s="15" t="str">
        <f aca="false">IF($F46="","",$F46-IF($H46="",0,$H46))</f>
        <v/>
      </c>
      <c r="J46" s="16" t="str">
        <f aca="true">IF(OR($A46="",$I46="",$I46&lt;=0),"",TODAY()-$A46)</f>
        <v/>
      </c>
      <c r="K46" s="10"/>
    </row>
    <row r="47" customFormat="false" ht="15" hidden="false" customHeight="true" outlineLevel="0" collapsed="false">
      <c r="A47" s="13"/>
      <c r="B47" s="10"/>
      <c r="C47" s="10"/>
      <c r="D47" s="14"/>
      <c r="E47" s="11"/>
      <c r="F47" s="15" t="str">
        <f aca="false">IF($B47="","",IF(AND($D47="",$E47=""),"",IF(OR($D47="",$E47=""),0,ROUND($D47*$E47,0))))</f>
        <v/>
      </c>
      <c r="G47" s="13"/>
      <c r="H47" s="11"/>
      <c r="I47" s="15" t="str">
        <f aca="false">IF($F47="","",$F47-IF($H47="",0,$H47))</f>
        <v/>
      </c>
      <c r="J47" s="16" t="str">
        <f aca="true">IF(OR($A47="",$I47="",$I47&lt;=0),"",TODAY()-$A47)</f>
        <v/>
      </c>
      <c r="K47" s="10"/>
    </row>
    <row r="48" customFormat="false" ht="15" hidden="false" customHeight="true" outlineLevel="0" collapsed="false">
      <c r="A48" s="13"/>
      <c r="B48" s="10"/>
      <c r="C48" s="10"/>
      <c r="D48" s="14"/>
      <c r="E48" s="11"/>
      <c r="F48" s="15" t="str">
        <f aca="false">IF($B48="","",IF(AND($D48="",$E48=""),"",IF(OR($D48="",$E48=""),0,ROUND($D48*$E48,0))))</f>
        <v/>
      </c>
      <c r="G48" s="13"/>
      <c r="H48" s="11"/>
      <c r="I48" s="15" t="str">
        <f aca="false">IF($F48="","",$F48-IF($H48="",0,$H48))</f>
        <v/>
      </c>
      <c r="J48" s="16" t="str">
        <f aca="true">IF(OR($A48="",$I48="",$I48&lt;=0),"",TODAY()-$A48)</f>
        <v/>
      </c>
      <c r="K48" s="10"/>
    </row>
    <row r="49" customFormat="false" ht="15" hidden="false" customHeight="true" outlineLevel="0" collapsed="false">
      <c r="A49" s="13"/>
      <c r="B49" s="10"/>
      <c r="C49" s="10"/>
      <c r="D49" s="14"/>
      <c r="E49" s="11"/>
      <c r="F49" s="15" t="str">
        <f aca="false">IF($B49="","",IF(AND($D49="",$E49=""),"",IF(OR($D49="",$E49=""),0,ROUND($D49*$E49,0))))</f>
        <v/>
      </c>
      <c r="G49" s="13"/>
      <c r="H49" s="11"/>
      <c r="I49" s="15" t="str">
        <f aca="false">IF($F49="","",$F49-IF($H49="",0,$H49))</f>
        <v/>
      </c>
      <c r="J49" s="16" t="str">
        <f aca="true">IF(OR($A49="",$I49="",$I49&lt;=0),"",TODAY()-$A49)</f>
        <v/>
      </c>
      <c r="K49" s="10"/>
    </row>
    <row r="50" customFormat="false" ht="15" hidden="false" customHeight="true" outlineLevel="0" collapsed="false">
      <c r="A50" s="13"/>
      <c r="B50" s="10"/>
      <c r="C50" s="10"/>
      <c r="D50" s="14"/>
      <c r="E50" s="11"/>
      <c r="F50" s="15" t="str">
        <f aca="false">IF($B50="","",IF(AND($D50="",$E50=""),"",IF(OR($D50="",$E50=""),0,ROUND($D50*$E50,0))))</f>
        <v/>
      </c>
      <c r="G50" s="13"/>
      <c r="H50" s="11"/>
      <c r="I50" s="15" t="str">
        <f aca="false">IF($F50="","",$F50-IF($H50="",0,$H50))</f>
        <v/>
      </c>
      <c r="J50" s="16" t="str">
        <f aca="true">IF(OR($A50="",$I50="",$I50&lt;=0),"",TODAY()-$A50)</f>
        <v/>
      </c>
      <c r="K50" s="10"/>
    </row>
    <row r="51" customFormat="false" ht="15" hidden="false" customHeight="true" outlineLevel="0" collapsed="false">
      <c r="A51" s="13"/>
      <c r="B51" s="10"/>
      <c r="C51" s="10"/>
      <c r="D51" s="14"/>
      <c r="E51" s="11"/>
      <c r="F51" s="15" t="str">
        <f aca="false">IF($B51="","",IF(AND($D51="",$E51=""),"",IF(OR($D51="",$E51=""),0,ROUND($D51*$E51,0))))</f>
        <v/>
      </c>
      <c r="G51" s="13"/>
      <c r="H51" s="11"/>
      <c r="I51" s="15" t="str">
        <f aca="false">IF($F51="","",$F51-IF($H51="",0,$H51))</f>
        <v/>
      </c>
      <c r="J51" s="16" t="str">
        <f aca="true">IF(OR($A51="",$I51="",$I51&lt;=0),"",TODAY()-$A51)</f>
        <v/>
      </c>
      <c r="K51" s="10"/>
    </row>
    <row r="52" customFormat="false" ht="15" hidden="false" customHeight="true" outlineLevel="0" collapsed="false">
      <c r="A52" s="13"/>
      <c r="B52" s="10"/>
      <c r="C52" s="10"/>
      <c r="D52" s="14"/>
      <c r="E52" s="11"/>
      <c r="F52" s="15" t="str">
        <f aca="false">IF($B52="","",IF(AND($D52="",$E52=""),"",IF(OR($D52="",$E52=""),0,ROUND($D52*$E52,0))))</f>
        <v/>
      </c>
      <c r="G52" s="13"/>
      <c r="H52" s="11"/>
      <c r="I52" s="15" t="str">
        <f aca="false">IF($F52="","",$F52-IF($H52="",0,$H52))</f>
        <v/>
      </c>
      <c r="J52" s="16" t="str">
        <f aca="true">IF(OR($A52="",$I52="",$I52&lt;=0),"",TODAY()-$A52)</f>
        <v/>
      </c>
      <c r="K52" s="10"/>
    </row>
    <row r="53" customFormat="false" ht="15" hidden="false" customHeight="true" outlineLevel="0" collapsed="false">
      <c r="A53" s="13"/>
      <c r="B53" s="10"/>
      <c r="C53" s="10"/>
      <c r="D53" s="14"/>
      <c r="E53" s="11"/>
      <c r="F53" s="15" t="str">
        <f aca="false">IF($B53="","",IF(AND($D53="",$E53=""),"",IF(OR($D53="",$E53=""),0,ROUND($D53*$E53,0))))</f>
        <v/>
      </c>
      <c r="G53" s="13"/>
      <c r="H53" s="11"/>
      <c r="I53" s="15" t="str">
        <f aca="false">IF($F53="","",$F53-IF($H53="",0,$H53))</f>
        <v/>
      </c>
      <c r="J53" s="16" t="str">
        <f aca="true">IF(OR($A53="",$I53="",$I53&lt;=0),"",TODAY()-$A53)</f>
        <v/>
      </c>
      <c r="K53" s="10"/>
    </row>
    <row r="54" customFormat="false" ht="15" hidden="false" customHeight="true" outlineLevel="0" collapsed="false">
      <c r="A54" s="13"/>
      <c r="B54" s="10"/>
      <c r="C54" s="10"/>
      <c r="D54" s="14"/>
      <c r="E54" s="11"/>
      <c r="F54" s="15" t="str">
        <f aca="false">IF($B54="","",IF(AND($D54="",$E54=""),"",IF(OR($D54="",$E54=""),0,ROUND($D54*$E54,0))))</f>
        <v/>
      </c>
      <c r="G54" s="13"/>
      <c r="H54" s="11"/>
      <c r="I54" s="15" t="str">
        <f aca="false">IF($F54="","",$F54-IF($H54="",0,$H54))</f>
        <v/>
      </c>
      <c r="J54" s="16" t="str">
        <f aca="true">IF(OR($A54="",$I54="",$I54&lt;=0),"",TODAY()-$A54)</f>
        <v/>
      </c>
      <c r="K54" s="10"/>
    </row>
    <row r="55" customFormat="false" ht="15" hidden="false" customHeight="true" outlineLevel="0" collapsed="false">
      <c r="A55" s="13"/>
      <c r="B55" s="10"/>
      <c r="C55" s="10"/>
      <c r="D55" s="14"/>
      <c r="E55" s="11"/>
      <c r="F55" s="15" t="str">
        <f aca="false">IF($B55="","",IF(AND($D55="",$E55=""),"",IF(OR($D55="",$E55=""),0,ROUND($D55*$E55,0))))</f>
        <v/>
      </c>
      <c r="G55" s="13"/>
      <c r="H55" s="11"/>
      <c r="I55" s="15" t="str">
        <f aca="false">IF($F55="","",$F55-IF($H55="",0,$H55))</f>
        <v/>
      </c>
      <c r="J55" s="16" t="str">
        <f aca="true">IF(OR($A55="",$I55="",$I55&lt;=0),"",TODAY()-$A55)</f>
        <v/>
      </c>
      <c r="K55" s="10"/>
    </row>
    <row r="56" customFormat="false" ht="15" hidden="false" customHeight="true" outlineLevel="0" collapsed="false">
      <c r="A56" s="13"/>
      <c r="B56" s="10"/>
      <c r="C56" s="10"/>
      <c r="D56" s="14"/>
      <c r="E56" s="11"/>
      <c r="F56" s="15" t="str">
        <f aca="false">IF($B56="","",IF(AND($D56="",$E56=""),"",IF(OR($D56="",$E56=""),0,ROUND($D56*$E56,0))))</f>
        <v/>
      </c>
      <c r="G56" s="13"/>
      <c r="H56" s="11"/>
      <c r="I56" s="15" t="str">
        <f aca="false">IF($F56="","",$F56-IF($H56="",0,$H56))</f>
        <v/>
      </c>
      <c r="J56" s="16" t="str">
        <f aca="true">IF(OR($A56="",$I56="",$I56&lt;=0),"",TODAY()-$A56)</f>
        <v/>
      </c>
      <c r="K56" s="10"/>
    </row>
    <row r="57" customFormat="false" ht="15" hidden="false" customHeight="true" outlineLevel="0" collapsed="false">
      <c r="A57" s="13"/>
      <c r="B57" s="10"/>
      <c r="C57" s="10"/>
      <c r="D57" s="14"/>
      <c r="E57" s="11"/>
      <c r="F57" s="15" t="str">
        <f aca="false">IF($B57="","",IF(AND($D57="",$E57=""),"",IF(OR($D57="",$E57=""),0,ROUND($D57*$E57,0))))</f>
        <v/>
      </c>
      <c r="G57" s="13"/>
      <c r="H57" s="11"/>
      <c r="I57" s="15" t="str">
        <f aca="false">IF($F57="","",$F57-IF($H57="",0,$H57))</f>
        <v/>
      </c>
      <c r="J57" s="16" t="str">
        <f aca="true">IF(OR($A57="",$I57="",$I57&lt;=0),"",TODAY()-$A57)</f>
        <v/>
      </c>
      <c r="K57" s="10"/>
    </row>
    <row r="58" customFormat="false" ht="15" hidden="false" customHeight="true" outlineLevel="0" collapsed="false">
      <c r="A58" s="13"/>
      <c r="B58" s="10"/>
      <c r="C58" s="10"/>
      <c r="D58" s="14"/>
      <c r="E58" s="11"/>
      <c r="F58" s="15" t="str">
        <f aca="false">IF($B58="","",IF(AND($D58="",$E58=""),"",IF(OR($D58="",$E58=""),0,ROUND($D58*$E58,0))))</f>
        <v/>
      </c>
      <c r="G58" s="13"/>
      <c r="H58" s="11"/>
      <c r="I58" s="15" t="str">
        <f aca="false">IF($F58="","",$F58-IF($H58="",0,$H58))</f>
        <v/>
      </c>
      <c r="J58" s="16" t="str">
        <f aca="true">IF(OR($A58="",$I58="",$I58&lt;=0),"",TODAY()-$A58)</f>
        <v/>
      </c>
      <c r="K58" s="10"/>
    </row>
    <row r="59" customFormat="false" ht="15" hidden="false" customHeight="true" outlineLevel="0" collapsed="false">
      <c r="A59" s="13"/>
      <c r="B59" s="10"/>
      <c r="C59" s="10"/>
      <c r="D59" s="14"/>
      <c r="E59" s="11"/>
      <c r="F59" s="15" t="str">
        <f aca="false">IF($B59="","",IF(AND($D59="",$E59=""),"",IF(OR($D59="",$E59=""),0,ROUND($D59*$E59,0))))</f>
        <v/>
      </c>
      <c r="G59" s="13"/>
      <c r="H59" s="11"/>
      <c r="I59" s="15" t="str">
        <f aca="false">IF($F59="","",$F59-IF($H59="",0,$H59))</f>
        <v/>
      </c>
      <c r="J59" s="16" t="str">
        <f aca="true">IF(OR($A59="",$I59="",$I59&lt;=0),"",TODAY()-$A59)</f>
        <v/>
      </c>
      <c r="K59" s="10"/>
    </row>
    <row r="60" customFormat="false" ht="15" hidden="false" customHeight="true" outlineLevel="0" collapsed="false">
      <c r="A60" s="13"/>
      <c r="B60" s="10"/>
      <c r="C60" s="10"/>
      <c r="D60" s="14"/>
      <c r="E60" s="11"/>
      <c r="F60" s="15" t="str">
        <f aca="false">IF($B60="","",IF(AND($D60="",$E60=""),"",IF(OR($D60="",$E60=""),0,ROUND($D60*$E60,0))))</f>
        <v/>
      </c>
      <c r="G60" s="13"/>
      <c r="H60" s="11"/>
      <c r="I60" s="15" t="str">
        <f aca="false">IF($F60="","",$F60-IF($H60="",0,$H60))</f>
        <v/>
      </c>
      <c r="J60" s="16" t="str">
        <f aca="true">IF(OR($A60="",$I60="",$I60&lt;=0),"",TODAY()-$A60)</f>
        <v/>
      </c>
      <c r="K60" s="10"/>
    </row>
    <row r="61" customFormat="false" ht="15" hidden="false" customHeight="true" outlineLevel="0" collapsed="false">
      <c r="A61" s="13"/>
      <c r="B61" s="10"/>
      <c r="C61" s="10"/>
      <c r="D61" s="14"/>
      <c r="E61" s="11"/>
      <c r="F61" s="15" t="str">
        <f aca="false">IF($B61="","",IF(AND($D61="",$E61=""),"",IF(OR($D61="",$E61=""),0,ROUND($D61*$E61,0))))</f>
        <v/>
      </c>
      <c r="G61" s="13"/>
      <c r="H61" s="11"/>
      <c r="I61" s="15" t="str">
        <f aca="false">IF($F61="","",$F61-IF($H61="",0,$H61))</f>
        <v/>
      </c>
      <c r="J61" s="16" t="str">
        <f aca="true">IF(OR($A61="",$I61="",$I61&lt;=0),"",TODAY()-$A61)</f>
        <v/>
      </c>
      <c r="K61" s="10"/>
    </row>
    <row r="62" customFormat="false" ht="15" hidden="false" customHeight="true" outlineLevel="0" collapsed="false">
      <c r="A62" s="13"/>
      <c r="B62" s="10"/>
      <c r="C62" s="10"/>
      <c r="D62" s="14"/>
      <c r="E62" s="11"/>
      <c r="F62" s="15" t="str">
        <f aca="false">IF($B62="","",IF(AND($D62="",$E62=""),"",IF(OR($D62="",$E62=""),0,ROUND($D62*$E62,0))))</f>
        <v/>
      </c>
      <c r="G62" s="13"/>
      <c r="H62" s="11"/>
      <c r="I62" s="15" t="str">
        <f aca="false">IF($F62="","",$F62-IF($H62="",0,$H62))</f>
        <v/>
      </c>
      <c r="J62" s="16" t="str">
        <f aca="true">IF(OR($A62="",$I62="",$I62&lt;=0),"",TODAY()-$A62)</f>
        <v/>
      </c>
      <c r="K62" s="10"/>
    </row>
    <row r="63" customFormat="false" ht="15" hidden="false" customHeight="true" outlineLevel="0" collapsed="false">
      <c r="A63" s="13"/>
      <c r="B63" s="10"/>
      <c r="C63" s="10"/>
      <c r="D63" s="14"/>
      <c r="E63" s="11"/>
      <c r="F63" s="15" t="str">
        <f aca="false">IF($B63="","",IF(AND($D63="",$E63=""),"",IF(OR($D63="",$E63=""),0,ROUND($D63*$E63,0))))</f>
        <v/>
      </c>
      <c r="G63" s="13"/>
      <c r="H63" s="11"/>
      <c r="I63" s="15" t="str">
        <f aca="false">IF($F63="","",$F63-IF($H63="",0,$H63))</f>
        <v/>
      </c>
      <c r="J63" s="16" t="str">
        <f aca="true">IF(OR($A63="",$I63="",$I63&lt;=0),"",TODAY()-$A63)</f>
        <v/>
      </c>
      <c r="K63" s="10"/>
    </row>
    <row r="64" customFormat="false" ht="15" hidden="false" customHeight="true" outlineLevel="0" collapsed="false">
      <c r="A64" s="13"/>
      <c r="B64" s="10"/>
      <c r="C64" s="10"/>
      <c r="D64" s="14"/>
      <c r="E64" s="11"/>
      <c r="F64" s="15" t="str">
        <f aca="false">IF($B64="","",IF(AND($D64="",$E64=""),"",IF(OR($D64="",$E64=""),0,ROUND($D64*$E64,0))))</f>
        <v/>
      </c>
      <c r="G64" s="13"/>
      <c r="H64" s="11"/>
      <c r="I64" s="15" t="str">
        <f aca="false">IF($F64="","",$F64-IF($H64="",0,$H64))</f>
        <v/>
      </c>
      <c r="J64" s="16" t="str">
        <f aca="true">IF(OR($A64="",$I64="",$I64&lt;=0),"",TODAY()-$A64)</f>
        <v/>
      </c>
      <c r="K64" s="10"/>
    </row>
    <row r="65" customFormat="false" ht="15" hidden="false" customHeight="true" outlineLevel="0" collapsed="false">
      <c r="A65" s="13"/>
      <c r="B65" s="10"/>
      <c r="C65" s="10"/>
      <c r="D65" s="14"/>
      <c r="E65" s="11"/>
      <c r="F65" s="15" t="str">
        <f aca="false">IF($B65="","",IF(AND($D65="",$E65=""),"",IF(OR($D65="",$E65=""),0,ROUND($D65*$E65,0))))</f>
        <v/>
      </c>
      <c r="G65" s="13"/>
      <c r="H65" s="11"/>
      <c r="I65" s="15" t="str">
        <f aca="false">IF($F65="","",$F65-IF($H65="",0,$H65))</f>
        <v/>
      </c>
      <c r="J65" s="16" t="str">
        <f aca="true">IF(OR($A65="",$I65="",$I65&lt;=0),"",TODAY()-$A65)</f>
        <v/>
      </c>
      <c r="K65" s="10"/>
    </row>
    <row r="66" customFormat="false" ht="15" hidden="false" customHeight="true" outlineLevel="0" collapsed="false">
      <c r="A66" s="13"/>
      <c r="B66" s="10"/>
      <c r="C66" s="10"/>
      <c r="D66" s="14"/>
      <c r="E66" s="11"/>
      <c r="F66" s="15" t="str">
        <f aca="false">IF($B66="","",IF(AND($D66="",$E66=""),"",IF(OR($D66="",$E66=""),0,ROUND($D66*$E66,0))))</f>
        <v/>
      </c>
      <c r="G66" s="13"/>
      <c r="H66" s="11"/>
      <c r="I66" s="15" t="str">
        <f aca="false">IF($F66="","",$F66-IF($H66="",0,$H66))</f>
        <v/>
      </c>
      <c r="J66" s="16" t="str">
        <f aca="true">IF(OR($A66="",$I66="",$I66&lt;=0),"",TODAY()-$A66)</f>
        <v/>
      </c>
      <c r="K66" s="10"/>
    </row>
    <row r="67" customFormat="false" ht="15" hidden="false" customHeight="true" outlineLevel="0" collapsed="false">
      <c r="A67" s="13"/>
      <c r="B67" s="10"/>
      <c r="C67" s="10"/>
      <c r="D67" s="14"/>
      <c r="E67" s="11"/>
      <c r="F67" s="15" t="str">
        <f aca="false">IF($B67="","",IF(AND($D67="",$E67=""),"",IF(OR($D67="",$E67=""),0,ROUND($D67*$E67,0))))</f>
        <v/>
      </c>
      <c r="G67" s="13"/>
      <c r="H67" s="11"/>
      <c r="I67" s="15" t="str">
        <f aca="false">IF($F67="","",$F67-IF($H67="",0,$H67))</f>
        <v/>
      </c>
      <c r="J67" s="16" t="str">
        <f aca="true">IF(OR($A67="",$I67="",$I67&lt;=0),"",TODAY()-$A67)</f>
        <v/>
      </c>
      <c r="K67" s="10"/>
    </row>
    <row r="68" customFormat="false" ht="15" hidden="false" customHeight="true" outlineLevel="0" collapsed="false">
      <c r="A68" s="13"/>
      <c r="B68" s="10"/>
      <c r="C68" s="10"/>
      <c r="D68" s="14"/>
      <c r="E68" s="11"/>
      <c r="F68" s="15" t="str">
        <f aca="false">IF($B68="","",IF(AND($D68="",$E68=""),"",IF(OR($D68="",$E68=""),0,ROUND($D68*$E68,0))))</f>
        <v/>
      </c>
      <c r="G68" s="13"/>
      <c r="H68" s="11"/>
      <c r="I68" s="15" t="str">
        <f aca="false">IF($F68="","",$F68-IF($H68="",0,$H68))</f>
        <v/>
      </c>
      <c r="J68" s="16" t="str">
        <f aca="true">IF(OR($A68="",$I68="",$I68&lt;=0),"",TODAY()-$A68)</f>
        <v/>
      </c>
      <c r="K68" s="10"/>
    </row>
    <row r="69" customFormat="false" ht="15" hidden="false" customHeight="true" outlineLevel="0" collapsed="false">
      <c r="A69" s="13"/>
      <c r="B69" s="10"/>
      <c r="C69" s="10"/>
      <c r="D69" s="14"/>
      <c r="E69" s="11"/>
      <c r="F69" s="15" t="str">
        <f aca="false">IF($B69="","",IF(AND($D69="",$E69=""),"",IF(OR($D69="",$E69=""),0,ROUND($D69*$E69,0))))</f>
        <v/>
      </c>
      <c r="G69" s="13"/>
      <c r="H69" s="11"/>
      <c r="I69" s="15" t="str">
        <f aca="false">IF($F69="","",$F69-IF($H69="",0,$H69))</f>
        <v/>
      </c>
      <c r="J69" s="16" t="str">
        <f aca="true">IF(OR($A69="",$I69="",$I69&lt;=0),"",TODAY()-$A69)</f>
        <v/>
      </c>
      <c r="K69" s="10"/>
    </row>
    <row r="70" customFormat="false" ht="15" hidden="false" customHeight="true" outlineLevel="0" collapsed="false">
      <c r="A70" s="13"/>
      <c r="B70" s="10"/>
      <c r="C70" s="10"/>
      <c r="D70" s="14"/>
      <c r="E70" s="11"/>
      <c r="F70" s="15" t="str">
        <f aca="false">IF($B70="","",IF(AND($D70="",$E70=""),"",IF(OR($D70="",$E70=""),0,ROUND($D70*$E70,0))))</f>
        <v/>
      </c>
      <c r="G70" s="13"/>
      <c r="H70" s="11"/>
      <c r="I70" s="15" t="str">
        <f aca="false">IF($F70="","",$F70-IF($H70="",0,$H70))</f>
        <v/>
      </c>
      <c r="J70" s="16" t="str">
        <f aca="true">IF(OR($A70="",$I70="",$I70&lt;=0),"",TODAY()-$A70)</f>
        <v/>
      </c>
      <c r="K70" s="10"/>
    </row>
    <row r="71" customFormat="false" ht="15" hidden="false" customHeight="true" outlineLevel="0" collapsed="false">
      <c r="A71" s="13"/>
      <c r="B71" s="10"/>
      <c r="C71" s="10"/>
      <c r="D71" s="14"/>
      <c r="E71" s="11"/>
      <c r="F71" s="15" t="str">
        <f aca="false">IF($B71="","",IF(AND($D71="",$E71=""),"",IF(OR($D71="",$E71=""),0,ROUND($D71*$E71,0))))</f>
        <v/>
      </c>
      <c r="G71" s="13"/>
      <c r="H71" s="11"/>
      <c r="I71" s="15" t="str">
        <f aca="false">IF($F71="","",$F71-IF($H71="",0,$H71))</f>
        <v/>
      </c>
      <c r="J71" s="16" t="str">
        <f aca="true">IF(OR($A71="",$I71="",$I71&lt;=0),"",TODAY()-$A71)</f>
        <v/>
      </c>
      <c r="K71" s="10"/>
    </row>
    <row r="72" customFormat="false" ht="15" hidden="false" customHeight="true" outlineLevel="0" collapsed="false">
      <c r="A72" s="13"/>
      <c r="B72" s="10"/>
      <c r="C72" s="10"/>
      <c r="D72" s="14"/>
      <c r="E72" s="11"/>
      <c r="F72" s="15" t="str">
        <f aca="false">IF($B72="","",IF(AND($D72="",$E72=""),"",IF(OR($D72="",$E72=""),0,ROUND($D72*$E72,0))))</f>
        <v/>
      </c>
      <c r="G72" s="13"/>
      <c r="H72" s="11"/>
      <c r="I72" s="15" t="str">
        <f aca="false">IF($F72="","",$F72-IF($H72="",0,$H72))</f>
        <v/>
      </c>
      <c r="J72" s="16" t="str">
        <f aca="true">IF(OR($A72="",$I72="",$I72&lt;=0),"",TODAY()-$A72)</f>
        <v/>
      </c>
      <c r="K72" s="10"/>
    </row>
    <row r="73" customFormat="false" ht="15" hidden="false" customHeight="true" outlineLevel="0" collapsed="false">
      <c r="A73" s="13"/>
      <c r="B73" s="10"/>
      <c r="C73" s="10"/>
      <c r="D73" s="14"/>
      <c r="E73" s="11"/>
      <c r="F73" s="15" t="str">
        <f aca="false">IF($B73="","",IF(AND($D73="",$E73=""),"",IF(OR($D73="",$E73=""),0,ROUND($D73*$E73,0))))</f>
        <v/>
      </c>
      <c r="G73" s="13"/>
      <c r="H73" s="11"/>
      <c r="I73" s="15" t="str">
        <f aca="false">IF($F73="","",$F73-IF($H73="",0,$H73))</f>
        <v/>
      </c>
      <c r="J73" s="16" t="str">
        <f aca="true">IF(OR($A73="",$I73="",$I73&lt;=0),"",TODAY()-$A73)</f>
        <v/>
      </c>
      <c r="K73" s="10"/>
    </row>
    <row r="74" customFormat="false" ht="15" hidden="false" customHeight="true" outlineLevel="0" collapsed="false">
      <c r="A74" s="13"/>
      <c r="B74" s="10"/>
      <c r="C74" s="10"/>
      <c r="D74" s="14"/>
      <c r="E74" s="11"/>
      <c r="F74" s="15" t="str">
        <f aca="false">IF($B74="","",IF(AND($D74="",$E74=""),"",IF(OR($D74="",$E74=""),0,ROUND($D74*$E74,0))))</f>
        <v/>
      </c>
      <c r="G74" s="13"/>
      <c r="H74" s="11"/>
      <c r="I74" s="15" t="str">
        <f aca="false">IF($F74="","",$F74-IF($H74="",0,$H74))</f>
        <v/>
      </c>
      <c r="J74" s="16" t="str">
        <f aca="true">IF(OR($A74="",$I74="",$I74&lt;=0),"",TODAY()-$A74)</f>
        <v/>
      </c>
      <c r="K74" s="10"/>
    </row>
    <row r="75" customFormat="false" ht="15" hidden="false" customHeight="true" outlineLevel="0" collapsed="false">
      <c r="A75" s="13"/>
      <c r="B75" s="10"/>
      <c r="C75" s="10"/>
      <c r="D75" s="14"/>
      <c r="E75" s="11"/>
      <c r="F75" s="15" t="str">
        <f aca="false">IF($B75="","",IF(AND($D75="",$E75=""),"",IF(OR($D75="",$E75=""),0,ROUND($D75*$E75,0))))</f>
        <v/>
      </c>
      <c r="G75" s="13"/>
      <c r="H75" s="11"/>
      <c r="I75" s="15" t="str">
        <f aca="false">IF($F75="","",$F75-IF($H75="",0,$H75))</f>
        <v/>
      </c>
      <c r="J75" s="16" t="str">
        <f aca="true">IF(OR($A75="",$I75="",$I75&lt;=0),"",TODAY()-$A75)</f>
        <v/>
      </c>
      <c r="K75" s="10"/>
    </row>
    <row r="76" customFormat="false" ht="15" hidden="false" customHeight="true" outlineLevel="0" collapsed="false">
      <c r="A76" s="13"/>
      <c r="B76" s="10"/>
      <c r="C76" s="10"/>
      <c r="D76" s="14"/>
      <c r="E76" s="11"/>
      <c r="F76" s="15" t="str">
        <f aca="false">IF($B76="","",IF(AND($D76="",$E76=""),"",IF(OR($D76="",$E76=""),0,ROUND($D76*$E76,0))))</f>
        <v/>
      </c>
      <c r="G76" s="13"/>
      <c r="H76" s="11"/>
      <c r="I76" s="15" t="str">
        <f aca="false">IF($F76="","",$F76-IF($H76="",0,$H76))</f>
        <v/>
      </c>
      <c r="J76" s="16" t="str">
        <f aca="true">IF(OR($A76="",$I76="",$I76&lt;=0),"",TODAY()-$A76)</f>
        <v/>
      </c>
      <c r="K76" s="10"/>
    </row>
    <row r="77" customFormat="false" ht="15" hidden="false" customHeight="true" outlineLevel="0" collapsed="false">
      <c r="A77" s="13"/>
      <c r="B77" s="10"/>
      <c r="C77" s="10"/>
      <c r="D77" s="14"/>
      <c r="E77" s="11"/>
      <c r="F77" s="15" t="str">
        <f aca="false">IF($B77="","",IF(AND($D77="",$E77=""),"",IF(OR($D77="",$E77=""),0,ROUND($D77*$E77,0))))</f>
        <v/>
      </c>
      <c r="G77" s="13"/>
      <c r="H77" s="11"/>
      <c r="I77" s="15" t="str">
        <f aca="false">IF($F77="","",$F77-IF($H77="",0,$H77))</f>
        <v/>
      </c>
      <c r="J77" s="16" t="str">
        <f aca="true">IF(OR($A77="",$I77="",$I77&lt;=0),"",TODAY()-$A77)</f>
        <v/>
      </c>
      <c r="K77" s="10"/>
    </row>
    <row r="78" customFormat="false" ht="15" hidden="false" customHeight="true" outlineLevel="0" collapsed="false">
      <c r="A78" s="13"/>
      <c r="B78" s="10"/>
      <c r="C78" s="10"/>
      <c r="D78" s="14"/>
      <c r="E78" s="11"/>
      <c r="F78" s="15" t="str">
        <f aca="false">IF($B78="","",IF(AND($D78="",$E78=""),"",IF(OR($D78="",$E78=""),0,ROUND($D78*$E78,0))))</f>
        <v/>
      </c>
      <c r="G78" s="13"/>
      <c r="H78" s="11"/>
      <c r="I78" s="15" t="str">
        <f aca="false">IF($F78="","",$F78-IF($H78="",0,$H78))</f>
        <v/>
      </c>
      <c r="J78" s="16" t="str">
        <f aca="true">IF(OR($A78="",$I78="",$I78&lt;=0),"",TODAY()-$A78)</f>
        <v/>
      </c>
      <c r="K78" s="10"/>
    </row>
    <row r="79" customFormat="false" ht="15" hidden="false" customHeight="true" outlineLevel="0" collapsed="false">
      <c r="A79" s="13"/>
      <c r="B79" s="10"/>
      <c r="C79" s="10"/>
      <c r="D79" s="14"/>
      <c r="E79" s="11"/>
      <c r="F79" s="15" t="str">
        <f aca="false">IF($B79="","",IF(AND($D79="",$E79=""),"",IF(OR($D79="",$E79=""),0,ROUND($D79*$E79,0))))</f>
        <v/>
      </c>
      <c r="G79" s="13"/>
      <c r="H79" s="11"/>
      <c r="I79" s="15" t="str">
        <f aca="false">IF($F79="","",$F79-IF($H79="",0,$H79))</f>
        <v/>
      </c>
      <c r="J79" s="16" t="str">
        <f aca="true">IF(OR($A79="",$I79="",$I79&lt;=0),"",TODAY()-$A79)</f>
        <v/>
      </c>
      <c r="K79" s="10"/>
    </row>
    <row r="80" customFormat="false" ht="15" hidden="false" customHeight="true" outlineLevel="0" collapsed="false">
      <c r="A80" s="13"/>
      <c r="B80" s="10"/>
      <c r="C80" s="10"/>
      <c r="D80" s="14"/>
      <c r="E80" s="11"/>
      <c r="F80" s="15" t="str">
        <f aca="false">IF($B80="","",IF(AND($D80="",$E80=""),"",IF(OR($D80="",$E80=""),0,ROUND($D80*$E80,0))))</f>
        <v/>
      </c>
      <c r="G80" s="13"/>
      <c r="H80" s="11"/>
      <c r="I80" s="15" t="str">
        <f aca="false">IF($F80="","",$F80-IF($H80="",0,$H80))</f>
        <v/>
      </c>
      <c r="J80" s="16" t="str">
        <f aca="true">IF(OR($A80="",$I80="",$I80&lt;=0),"",TODAY()-$A80)</f>
        <v/>
      </c>
      <c r="K80" s="10"/>
    </row>
    <row r="81" customFormat="false" ht="15" hidden="false" customHeight="true" outlineLevel="0" collapsed="false">
      <c r="A81" s="13"/>
      <c r="B81" s="10"/>
      <c r="C81" s="10"/>
      <c r="D81" s="14"/>
      <c r="E81" s="11"/>
      <c r="F81" s="15" t="str">
        <f aca="false">IF($B81="","",IF(AND($D81="",$E81=""),"",IF(OR($D81="",$E81=""),0,ROUND($D81*$E81,0))))</f>
        <v/>
      </c>
      <c r="G81" s="13"/>
      <c r="H81" s="11"/>
      <c r="I81" s="15" t="str">
        <f aca="false">IF($F81="","",$F81-IF($H81="",0,$H81))</f>
        <v/>
      </c>
      <c r="J81" s="16" t="str">
        <f aca="true">IF(OR($A81="",$I81="",$I81&lt;=0),"",TODAY()-$A81)</f>
        <v/>
      </c>
      <c r="K81" s="10"/>
    </row>
    <row r="82" customFormat="false" ht="15" hidden="false" customHeight="true" outlineLevel="0" collapsed="false">
      <c r="A82" s="13"/>
      <c r="B82" s="10"/>
      <c r="C82" s="10"/>
      <c r="D82" s="14"/>
      <c r="E82" s="11"/>
      <c r="F82" s="15" t="str">
        <f aca="false">IF($B82="","",IF(AND($D82="",$E82=""),"",IF(OR($D82="",$E82=""),0,ROUND($D82*$E82,0))))</f>
        <v/>
      </c>
      <c r="G82" s="13"/>
      <c r="H82" s="11"/>
      <c r="I82" s="15" t="str">
        <f aca="false">IF($F82="","",$F82-IF($H82="",0,$H82))</f>
        <v/>
      </c>
      <c r="J82" s="16" t="str">
        <f aca="true">IF(OR($A82="",$I82="",$I82&lt;=0),"",TODAY()-$A82)</f>
        <v/>
      </c>
      <c r="K82" s="10"/>
    </row>
    <row r="83" customFormat="false" ht="15" hidden="false" customHeight="true" outlineLevel="0" collapsed="false">
      <c r="A83" s="13"/>
      <c r="B83" s="10"/>
      <c r="C83" s="10"/>
      <c r="D83" s="14"/>
      <c r="E83" s="11"/>
      <c r="F83" s="15" t="str">
        <f aca="false">IF($B83="","",IF(AND($D83="",$E83=""),"",IF(OR($D83="",$E83=""),0,ROUND($D83*$E83,0))))</f>
        <v/>
      </c>
      <c r="G83" s="13"/>
      <c r="H83" s="11"/>
      <c r="I83" s="15" t="str">
        <f aca="false">IF($F83="","",$F83-IF($H83="",0,$H83))</f>
        <v/>
      </c>
      <c r="J83" s="16" t="str">
        <f aca="true">IF(OR($A83="",$I83="",$I83&lt;=0),"",TODAY()-$A83)</f>
        <v/>
      </c>
      <c r="K83" s="10"/>
    </row>
    <row r="84" customFormat="false" ht="15" hidden="false" customHeight="true" outlineLevel="0" collapsed="false">
      <c r="A84" s="13"/>
      <c r="B84" s="10"/>
      <c r="C84" s="10"/>
      <c r="D84" s="14"/>
      <c r="E84" s="11"/>
      <c r="F84" s="15" t="str">
        <f aca="false">IF($B84="","",IF(AND($D84="",$E84=""),"",IF(OR($D84="",$E84=""),0,ROUND($D84*$E84,0))))</f>
        <v/>
      </c>
      <c r="G84" s="13"/>
      <c r="H84" s="11"/>
      <c r="I84" s="15" t="str">
        <f aca="false">IF($F84="","",$F84-IF($H84="",0,$H84))</f>
        <v/>
      </c>
      <c r="J84" s="16" t="str">
        <f aca="true">IF(OR($A84="",$I84="",$I84&lt;=0),"",TODAY()-$A84)</f>
        <v/>
      </c>
      <c r="K84" s="10"/>
    </row>
    <row r="85" customFormat="false" ht="15" hidden="false" customHeight="true" outlineLevel="0" collapsed="false">
      <c r="A85" s="13"/>
      <c r="B85" s="10"/>
      <c r="C85" s="10"/>
      <c r="D85" s="14"/>
      <c r="E85" s="11"/>
      <c r="F85" s="15" t="str">
        <f aca="false">IF($B85="","",IF(AND($D85="",$E85=""),"",IF(OR($D85="",$E85=""),0,ROUND($D85*$E85,0))))</f>
        <v/>
      </c>
      <c r="G85" s="13"/>
      <c r="H85" s="11"/>
      <c r="I85" s="15" t="str">
        <f aca="false">IF($F85="","",$F85-IF($H85="",0,$H85))</f>
        <v/>
      </c>
      <c r="J85" s="16" t="str">
        <f aca="true">IF(OR($A85="",$I85="",$I85&lt;=0),"",TODAY()-$A85)</f>
        <v/>
      </c>
      <c r="K85" s="10"/>
    </row>
    <row r="86" customFormat="false" ht="15" hidden="false" customHeight="true" outlineLevel="0" collapsed="false">
      <c r="A86" s="13"/>
      <c r="B86" s="10"/>
      <c r="C86" s="10"/>
      <c r="D86" s="14"/>
      <c r="E86" s="11"/>
      <c r="F86" s="15" t="str">
        <f aca="false">IF($B86="","",IF(AND($D86="",$E86=""),"",IF(OR($D86="",$E86=""),0,ROUND($D86*$E86,0))))</f>
        <v/>
      </c>
      <c r="G86" s="13"/>
      <c r="H86" s="11"/>
      <c r="I86" s="15" t="str">
        <f aca="false">IF($F86="","",$F86-IF($H86="",0,$H86))</f>
        <v/>
      </c>
      <c r="J86" s="16" t="str">
        <f aca="true">IF(OR($A86="",$I86="",$I86&lt;=0),"",TODAY()-$A86)</f>
        <v/>
      </c>
      <c r="K86" s="10"/>
    </row>
    <row r="87" customFormat="false" ht="15" hidden="false" customHeight="true" outlineLevel="0" collapsed="false">
      <c r="A87" s="13"/>
      <c r="B87" s="10"/>
      <c r="C87" s="10"/>
      <c r="D87" s="14"/>
      <c r="E87" s="11"/>
      <c r="F87" s="15" t="str">
        <f aca="false">IF($B87="","",IF(AND($D87="",$E87=""),"",IF(OR($D87="",$E87=""),0,ROUND($D87*$E87,0))))</f>
        <v/>
      </c>
      <c r="G87" s="13"/>
      <c r="H87" s="11"/>
      <c r="I87" s="15" t="str">
        <f aca="false">IF($F87="","",$F87-IF($H87="",0,$H87))</f>
        <v/>
      </c>
      <c r="J87" s="16" t="str">
        <f aca="true">IF(OR($A87="",$I87="",$I87&lt;=0),"",TODAY()-$A87)</f>
        <v/>
      </c>
      <c r="K87" s="10"/>
    </row>
    <row r="88" customFormat="false" ht="15" hidden="false" customHeight="true" outlineLevel="0" collapsed="false">
      <c r="A88" s="13"/>
      <c r="B88" s="10"/>
      <c r="C88" s="10"/>
      <c r="D88" s="14"/>
      <c r="E88" s="11"/>
      <c r="F88" s="15" t="str">
        <f aca="false">IF($B88="","",IF(AND($D88="",$E88=""),"",IF(OR($D88="",$E88=""),0,ROUND($D88*$E88,0))))</f>
        <v/>
      </c>
      <c r="G88" s="13"/>
      <c r="H88" s="11"/>
      <c r="I88" s="15" t="str">
        <f aca="false">IF($F88="","",$F88-IF($H88="",0,$H88))</f>
        <v/>
      </c>
      <c r="J88" s="16" t="str">
        <f aca="true">IF(OR($A88="",$I88="",$I88&lt;=0),"",TODAY()-$A88)</f>
        <v/>
      </c>
      <c r="K88" s="10"/>
    </row>
    <row r="89" customFormat="false" ht="15" hidden="false" customHeight="true" outlineLevel="0" collapsed="false">
      <c r="A89" s="13"/>
      <c r="B89" s="10"/>
      <c r="C89" s="10"/>
      <c r="D89" s="14"/>
      <c r="E89" s="11"/>
      <c r="F89" s="15" t="str">
        <f aca="false">IF($B89="","",IF(AND($D89="",$E89=""),"",IF(OR($D89="",$E89=""),0,ROUND($D89*$E89,0))))</f>
        <v/>
      </c>
      <c r="G89" s="13"/>
      <c r="H89" s="11"/>
      <c r="I89" s="15" t="str">
        <f aca="false">IF($F89="","",$F89-IF($H89="",0,$H89))</f>
        <v/>
      </c>
      <c r="J89" s="16" t="str">
        <f aca="true">IF(OR($A89="",$I89="",$I89&lt;=0),"",TODAY()-$A89)</f>
        <v/>
      </c>
      <c r="K89" s="10"/>
    </row>
    <row r="90" customFormat="false" ht="15" hidden="false" customHeight="true" outlineLevel="0" collapsed="false">
      <c r="A90" s="13"/>
      <c r="B90" s="10"/>
      <c r="C90" s="10"/>
      <c r="D90" s="14"/>
      <c r="E90" s="11"/>
      <c r="F90" s="15" t="str">
        <f aca="false">IF($B90="","",IF(AND($D90="",$E90=""),"",IF(OR($D90="",$E90=""),0,ROUND($D90*$E90,0))))</f>
        <v/>
      </c>
      <c r="G90" s="13"/>
      <c r="H90" s="11"/>
      <c r="I90" s="15" t="str">
        <f aca="false">IF($F90="","",$F90-IF($H90="",0,$H90))</f>
        <v/>
      </c>
      <c r="J90" s="16" t="str">
        <f aca="true">IF(OR($A90="",$I90="",$I90&lt;=0),"",TODAY()-$A90)</f>
        <v/>
      </c>
      <c r="K90" s="10"/>
    </row>
    <row r="91" customFormat="false" ht="15" hidden="false" customHeight="true" outlineLevel="0" collapsed="false">
      <c r="A91" s="13"/>
      <c r="B91" s="10"/>
      <c r="C91" s="10"/>
      <c r="D91" s="14"/>
      <c r="E91" s="11"/>
      <c r="F91" s="15" t="str">
        <f aca="false">IF($B91="","",IF(AND($D91="",$E91=""),"",IF(OR($D91="",$E91=""),0,ROUND($D91*$E91,0))))</f>
        <v/>
      </c>
      <c r="G91" s="13"/>
      <c r="H91" s="11"/>
      <c r="I91" s="15" t="str">
        <f aca="false">IF($F91="","",$F91-IF($H91="",0,$H91))</f>
        <v/>
      </c>
      <c r="J91" s="16" t="str">
        <f aca="true">IF(OR($A91="",$I91="",$I91&lt;=0),"",TODAY()-$A91)</f>
        <v/>
      </c>
      <c r="K91" s="10"/>
    </row>
    <row r="92" customFormat="false" ht="15" hidden="false" customHeight="true" outlineLevel="0" collapsed="false">
      <c r="A92" s="13"/>
      <c r="B92" s="10"/>
      <c r="C92" s="10"/>
      <c r="D92" s="14"/>
      <c r="E92" s="11"/>
      <c r="F92" s="15" t="str">
        <f aca="false">IF($B92="","",IF(AND($D92="",$E92=""),"",IF(OR($D92="",$E92=""),0,ROUND($D92*$E92,0))))</f>
        <v/>
      </c>
      <c r="G92" s="13"/>
      <c r="H92" s="11"/>
      <c r="I92" s="15" t="str">
        <f aca="false">IF($F92="","",$F92-IF($H92="",0,$H92))</f>
        <v/>
      </c>
      <c r="J92" s="16" t="str">
        <f aca="true">IF(OR($A92="",$I92="",$I92&lt;=0),"",TODAY()-$A92)</f>
        <v/>
      </c>
      <c r="K92" s="10"/>
    </row>
    <row r="93" customFormat="false" ht="15" hidden="false" customHeight="true" outlineLevel="0" collapsed="false">
      <c r="A93" s="13"/>
      <c r="B93" s="10"/>
      <c r="C93" s="10"/>
      <c r="D93" s="14"/>
      <c r="E93" s="11"/>
      <c r="F93" s="15" t="str">
        <f aca="false">IF($B93="","",IF(AND($D93="",$E93=""),"",IF(OR($D93="",$E93=""),0,ROUND($D93*$E93,0))))</f>
        <v/>
      </c>
      <c r="G93" s="13"/>
      <c r="H93" s="11"/>
      <c r="I93" s="15" t="str">
        <f aca="false">IF($F93="","",$F93-IF($H93="",0,$H93))</f>
        <v/>
      </c>
      <c r="J93" s="16" t="str">
        <f aca="true">IF(OR($A93="",$I93="",$I93&lt;=0),"",TODAY()-$A93)</f>
        <v/>
      </c>
      <c r="K93" s="10"/>
    </row>
    <row r="94" customFormat="false" ht="15" hidden="false" customHeight="true" outlineLevel="0" collapsed="false">
      <c r="A94" s="13"/>
      <c r="B94" s="10"/>
      <c r="C94" s="10"/>
      <c r="D94" s="14"/>
      <c r="E94" s="11"/>
      <c r="F94" s="15" t="str">
        <f aca="false">IF($B94="","",IF(AND($D94="",$E94=""),"",IF(OR($D94="",$E94=""),0,ROUND($D94*$E94,0))))</f>
        <v/>
      </c>
      <c r="G94" s="13"/>
      <c r="H94" s="11"/>
      <c r="I94" s="15" t="str">
        <f aca="false">IF($F94="","",$F94-IF($H94="",0,$H94))</f>
        <v/>
      </c>
      <c r="J94" s="16" t="str">
        <f aca="true">IF(OR($A94="",$I94="",$I94&lt;=0),"",TODAY()-$A94)</f>
        <v/>
      </c>
      <c r="K94" s="10"/>
    </row>
    <row r="95" customFormat="false" ht="15" hidden="false" customHeight="true" outlineLevel="0" collapsed="false">
      <c r="A95" s="13"/>
      <c r="B95" s="10"/>
      <c r="C95" s="10"/>
      <c r="D95" s="14"/>
      <c r="E95" s="11"/>
      <c r="F95" s="15" t="str">
        <f aca="false">IF($B95="","",IF(AND($D95="",$E95=""),"",IF(OR($D95="",$E95=""),0,ROUND($D95*$E95,0))))</f>
        <v/>
      </c>
      <c r="G95" s="13"/>
      <c r="H95" s="11"/>
      <c r="I95" s="15" t="str">
        <f aca="false">IF($F95="","",$F95-IF($H95="",0,$H95))</f>
        <v/>
      </c>
      <c r="J95" s="16" t="str">
        <f aca="true">IF(OR($A95="",$I95="",$I95&lt;=0),"",TODAY()-$A95)</f>
        <v/>
      </c>
      <c r="K95" s="10"/>
    </row>
    <row r="96" customFormat="false" ht="15" hidden="false" customHeight="true" outlineLevel="0" collapsed="false">
      <c r="A96" s="13"/>
      <c r="B96" s="10"/>
      <c r="C96" s="10"/>
      <c r="D96" s="14"/>
      <c r="E96" s="11"/>
      <c r="F96" s="15" t="str">
        <f aca="false">IF($B96="","",IF(AND($D96="",$E96=""),"",IF(OR($D96="",$E96=""),0,ROUND($D96*$E96,0))))</f>
        <v/>
      </c>
      <c r="G96" s="13"/>
      <c r="H96" s="11"/>
      <c r="I96" s="15" t="str">
        <f aca="false">IF($F96="","",$F96-IF($H96="",0,$H96))</f>
        <v/>
      </c>
      <c r="J96" s="16" t="str">
        <f aca="true">IF(OR($A96="",$I96="",$I96&lt;=0),"",TODAY()-$A96)</f>
        <v/>
      </c>
      <c r="K96" s="10"/>
    </row>
    <row r="97" customFormat="false" ht="15" hidden="false" customHeight="true" outlineLevel="0" collapsed="false">
      <c r="A97" s="13"/>
      <c r="B97" s="10"/>
      <c r="C97" s="10"/>
      <c r="D97" s="14"/>
      <c r="E97" s="11"/>
      <c r="F97" s="15" t="str">
        <f aca="false">IF($B97="","",IF(AND($D97="",$E97=""),"",IF(OR($D97="",$E97=""),0,ROUND($D97*$E97,0))))</f>
        <v/>
      </c>
      <c r="G97" s="13"/>
      <c r="H97" s="11"/>
      <c r="I97" s="15" t="str">
        <f aca="false">IF($F97="","",$F97-IF($H97="",0,$H97))</f>
        <v/>
      </c>
      <c r="J97" s="16" t="str">
        <f aca="true">IF(OR($A97="",$I97="",$I97&lt;=0),"",TODAY()-$A97)</f>
        <v/>
      </c>
      <c r="K97" s="10"/>
    </row>
    <row r="98" customFormat="false" ht="15" hidden="false" customHeight="true" outlineLevel="0" collapsed="false">
      <c r="A98" s="13"/>
      <c r="B98" s="10"/>
      <c r="C98" s="10"/>
      <c r="D98" s="14"/>
      <c r="E98" s="11"/>
      <c r="F98" s="15" t="str">
        <f aca="false">IF($B98="","",IF(AND($D98="",$E98=""),"",IF(OR($D98="",$E98=""),0,ROUND($D98*$E98,0))))</f>
        <v/>
      </c>
      <c r="G98" s="13"/>
      <c r="H98" s="11"/>
      <c r="I98" s="15" t="str">
        <f aca="false">IF($F98="","",$F98-IF($H98="",0,$H98))</f>
        <v/>
      </c>
      <c r="J98" s="16" t="str">
        <f aca="true">IF(OR($A98="",$I98="",$I98&lt;=0),"",TODAY()-$A98)</f>
        <v/>
      </c>
      <c r="K98" s="10"/>
    </row>
    <row r="99" customFormat="false" ht="15" hidden="false" customHeight="true" outlineLevel="0" collapsed="false">
      <c r="A99" s="13"/>
      <c r="B99" s="10"/>
      <c r="C99" s="10"/>
      <c r="D99" s="14"/>
      <c r="E99" s="11"/>
      <c r="F99" s="15" t="str">
        <f aca="false">IF($B99="","",IF(AND($D99="",$E99=""),"",IF(OR($D99="",$E99=""),0,ROUND($D99*$E99,0))))</f>
        <v/>
      </c>
      <c r="G99" s="13"/>
      <c r="H99" s="11"/>
      <c r="I99" s="15" t="str">
        <f aca="false">IF($F99="","",$F99-IF($H99="",0,$H99))</f>
        <v/>
      </c>
      <c r="J99" s="16" t="str">
        <f aca="true">IF(OR($A99="",$I99="",$I99&lt;=0),"",TODAY()-$A99)</f>
        <v/>
      </c>
      <c r="K99" s="10"/>
    </row>
    <row r="100" customFormat="false" ht="15" hidden="false" customHeight="true" outlineLevel="0" collapsed="false">
      <c r="A100" s="13"/>
      <c r="B100" s="10"/>
      <c r="C100" s="10"/>
      <c r="D100" s="14"/>
      <c r="E100" s="11"/>
      <c r="F100" s="15" t="str">
        <f aca="false">IF($B100="","",IF(AND($D100="",$E100=""),"",IF(OR($D100="",$E100=""),0,ROUND($D100*$E100,0))))</f>
        <v/>
      </c>
      <c r="G100" s="13"/>
      <c r="H100" s="11"/>
      <c r="I100" s="15" t="str">
        <f aca="false">IF($F100="","",$F100-IF($H100="",0,$H100))</f>
        <v/>
      </c>
      <c r="J100" s="16" t="str">
        <f aca="true">IF(OR($A100="",$I100="",$I100&lt;=0),"",TODAY()-$A100)</f>
        <v/>
      </c>
      <c r="K100" s="10"/>
    </row>
    <row r="101" customFormat="false" ht="15" hidden="false" customHeight="true" outlineLevel="0" collapsed="false">
      <c r="A101" s="13"/>
      <c r="B101" s="10"/>
      <c r="C101" s="10"/>
      <c r="D101" s="14"/>
      <c r="E101" s="11"/>
      <c r="F101" s="15" t="str">
        <f aca="false">IF($B101="","",IF(AND($D101="",$E101=""),"",IF(OR($D101="",$E101=""),0,ROUND($D101*$E101,0))))</f>
        <v/>
      </c>
      <c r="G101" s="13"/>
      <c r="H101" s="11"/>
      <c r="I101" s="15" t="str">
        <f aca="false">IF($F101="","",$F101-IF($H101="",0,$H101))</f>
        <v/>
      </c>
      <c r="J101" s="16" t="str">
        <f aca="true">IF(OR($A101="",$I101="",$I101&lt;=0),"",TODAY()-$A101)</f>
        <v/>
      </c>
      <c r="K101" s="10"/>
    </row>
    <row r="102" customFormat="false" ht="15" hidden="false" customHeight="true" outlineLevel="0" collapsed="false">
      <c r="A102" s="13"/>
      <c r="B102" s="10"/>
      <c r="C102" s="10"/>
      <c r="D102" s="14"/>
      <c r="E102" s="11"/>
      <c r="F102" s="15" t="str">
        <f aca="false">IF($B102="","",IF(AND($D102="",$E102=""),"",IF(OR($D102="",$E102=""),0,ROUND($D102*$E102,0))))</f>
        <v/>
      </c>
      <c r="G102" s="13"/>
      <c r="H102" s="11"/>
      <c r="I102" s="15" t="str">
        <f aca="false">IF($F102="","",$F102-IF($H102="",0,$H102))</f>
        <v/>
      </c>
      <c r="J102" s="16" t="str">
        <f aca="true">IF(OR($A102="",$I102="",$I102&lt;=0),"",TODAY()-$A102)</f>
        <v/>
      </c>
      <c r="K102" s="10"/>
    </row>
    <row r="103" customFormat="false" ht="15" hidden="false" customHeight="true" outlineLevel="0" collapsed="false">
      <c r="A103" s="13"/>
      <c r="B103" s="10"/>
      <c r="C103" s="10"/>
      <c r="D103" s="14"/>
      <c r="E103" s="11"/>
      <c r="F103" s="15" t="str">
        <f aca="false">IF($B103="","",IF(AND($D103="",$E103=""),"",IF(OR($D103="",$E103=""),0,ROUND($D103*$E103,0))))</f>
        <v/>
      </c>
      <c r="G103" s="13"/>
      <c r="H103" s="11"/>
      <c r="I103" s="15" t="str">
        <f aca="false">IF($F103="","",$F103-IF($H103="",0,$H103))</f>
        <v/>
      </c>
      <c r="J103" s="16" t="str">
        <f aca="true">IF(OR($A103="",$I103="",$I103&lt;=0),"",TODAY()-$A103)</f>
        <v/>
      </c>
      <c r="K103" s="10"/>
    </row>
    <row r="104" customFormat="false" ht="15" hidden="false" customHeight="true" outlineLevel="0" collapsed="false">
      <c r="A104" s="13"/>
      <c r="B104" s="10"/>
      <c r="C104" s="10"/>
      <c r="D104" s="14"/>
      <c r="E104" s="11"/>
      <c r="F104" s="15" t="str">
        <f aca="false">IF($B104="","",IF(AND($D104="",$E104=""),"",IF(OR($D104="",$E104=""),0,ROUND($D104*$E104,0))))</f>
        <v/>
      </c>
      <c r="G104" s="13"/>
      <c r="H104" s="11"/>
      <c r="I104" s="15" t="str">
        <f aca="false">IF($F104="","",$F104-IF($H104="",0,$H104))</f>
        <v/>
      </c>
      <c r="J104" s="16" t="str">
        <f aca="true">IF(OR($A104="",$I104="",$I104&lt;=0),"",TODAY()-$A104)</f>
        <v/>
      </c>
      <c r="K104" s="10"/>
    </row>
    <row r="105" customFormat="false" ht="15" hidden="false" customHeight="true" outlineLevel="0" collapsed="false">
      <c r="A105" s="13"/>
      <c r="B105" s="10"/>
      <c r="C105" s="10"/>
      <c r="D105" s="14"/>
      <c r="E105" s="11"/>
      <c r="F105" s="15" t="str">
        <f aca="false">IF($B105="","",IF(AND($D105="",$E105=""),"",IF(OR($D105="",$E105=""),0,ROUND($D105*$E105,0))))</f>
        <v/>
      </c>
      <c r="G105" s="13"/>
      <c r="H105" s="11"/>
      <c r="I105" s="15" t="str">
        <f aca="false">IF($F105="","",$F105-IF($H105="",0,$H105))</f>
        <v/>
      </c>
      <c r="J105" s="16" t="str">
        <f aca="true">IF(OR($A105="",$I105="",$I105&lt;=0),"",TODAY()-$A105)</f>
        <v/>
      </c>
      <c r="K105" s="10"/>
    </row>
    <row r="106" customFormat="false" ht="15" hidden="false" customHeight="true" outlineLevel="0" collapsed="false">
      <c r="A106" s="13"/>
      <c r="B106" s="10"/>
      <c r="C106" s="10"/>
      <c r="D106" s="14"/>
      <c r="E106" s="11"/>
      <c r="F106" s="15" t="str">
        <f aca="false">IF($B106="","",IF(AND($D106="",$E106=""),"",IF(OR($D106="",$E106=""),0,ROUND($D106*$E106,0))))</f>
        <v/>
      </c>
      <c r="G106" s="13"/>
      <c r="H106" s="11"/>
      <c r="I106" s="15" t="str">
        <f aca="false">IF($F106="","",$F106-IF($H106="",0,$H106))</f>
        <v/>
      </c>
      <c r="J106" s="16" t="str">
        <f aca="true">IF(OR($A106="",$I106="",$I106&lt;=0),"",TODAY()-$A106)</f>
        <v/>
      </c>
      <c r="K106" s="10"/>
    </row>
    <row r="107" customFormat="false" ht="15" hidden="false" customHeight="true" outlineLevel="0" collapsed="false">
      <c r="A107" s="13"/>
      <c r="B107" s="10"/>
      <c r="C107" s="10"/>
      <c r="D107" s="14"/>
      <c r="E107" s="11"/>
      <c r="F107" s="15" t="str">
        <f aca="false">IF($B107="","",IF(AND($D107="",$E107=""),"",IF(OR($D107="",$E107=""),0,ROUND($D107*$E107,0))))</f>
        <v/>
      </c>
      <c r="G107" s="13"/>
      <c r="H107" s="11"/>
      <c r="I107" s="15" t="str">
        <f aca="false">IF($F107="","",$F107-IF($H107="",0,$H107))</f>
        <v/>
      </c>
      <c r="J107" s="16" t="str">
        <f aca="true">IF(OR($A107="",$I107="",$I107&lt;=0),"",TODAY()-$A107)</f>
        <v/>
      </c>
      <c r="K107" s="10"/>
    </row>
    <row r="108" customFormat="false" ht="15" hidden="false" customHeight="true" outlineLevel="0" collapsed="false">
      <c r="A108" s="13"/>
      <c r="B108" s="10"/>
      <c r="C108" s="10"/>
      <c r="D108" s="14"/>
      <c r="E108" s="11"/>
      <c r="F108" s="15" t="str">
        <f aca="false">IF($B108="","",IF(AND($D108="",$E108=""),"",IF(OR($D108="",$E108=""),0,ROUND($D108*$E108,0))))</f>
        <v/>
      </c>
      <c r="G108" s="13"/>
      <c r="H108" s="11"/>
      <c r="I108" s="15" t="str">
        <f aca="false">IF($F108="","",$F108-IF($H108="",0,$H108))</f>
        <v/>
      </c>
      <c r="J108" s="16" t="str">
        <f aca="true">IF(OR($A108="",$I108="",$I108&lt;=0),"",TODAY()-$A108)</f>
        <v/>
      </c>
      <c r="K108" s="10"/>
    </row>
    <row r="109" customFormat="false" ht="15" hidden="false" customHeight="true" outlineLevel="0" collapsed="false">
      <c r="A109" s="13"/>
      <c r="B109" s="10"/>
      <c r="C109" s="10"/>
      <c r="D109" s="14"/>
      <c r="E109" s="11"/>
      <c r="F109" s="15" t="str">
        <f aca="false">IF($B109="","",IF(AND($D109="",$E109=""),"",IF(OR($D109="",$E109=""),0,ROUND($D109*$E109,0))))</f>
        <v/>
      </c>
      <c r="G109" s="13"/>
      <c r="H109" s="11"/>
      <c r="I109" s="15" t="str">
        <f aca="false">IF($F109="","",$F109-IF($H109="",0,$H109))</f>
        <v/>
      </c>
      <c r="J109" s="16" t="str">
        <f aca="true">IF(OR($A109="",$I109="",$I109&lt;=0),"",TODAY()-$A109)</f>
        <v/>
      </c>
      <c r="K109" s="10"/>
    </row>
    <row r="110" customFormat="false" ht="15" hidden="false" customHeight="true" outlineLevel="0" collapsed="false">
      <c r="A110" s="13"/>
      <c r="B110" s="10"/>
      <c r="C110" s="10"/>
      <c r="D110" s="14"/>
      <c r="E110" s="11"/>
      <c r="F110" s="15" t="str">
        <f aca="false">IF($B110="","",IF(AND($D110="",$E110=""),"",IF(OR($D110="",$E110=""),0,ROUND($D110*$E110,0))))</f>
        <v/>
      </c>
      <c r="G110" s="13"/>
      <c r="H110" s="11"/>
      <c r="I110" s="15" t="str">
        <f aca="false">IF($F110="","",$F110-IF($H110="",0,$H110))</f>
        <v/>
      </c>
      <c r="J110" s="16" t="str">
        <f aca="true">IF(OR($A110="",$I110="",$I110&lt;=0),"",TODAY()-$A110)</f>
        <v/>
      </c>
      <c r="K110" s="10"/>
    </row>
    <row r="111" customFormat="false" ht="15" hidden="false" customHeight="true" outlineLevel="0" collapsed="false">
      <c r="A111" s="13"/>
      <c r="B111" s="10"/>
      <c r="C111" s="10"/>
      <c r="D111" s="14"/>
      <c r="E111" s="11"/>
      <c r="F111" s="15" t="str">
        <f aca="false">IF($B111="","",IF(AND($D111="",$E111=""),"",IF(OR($D111="",$E111=""),0,ROUND($D111*$E111,0))))</f>
        <v/>
      </c>
      <c r="G111" s="13"/>
      <c r="H111" s="11"/>
      <c r="I111" s="15" t="str">
        <f aca="false">IF($F111="","",$F111-IF($H111="",0,$H111))</f>
        <v/>
      </c>
      <c r="J111" s="16" t="str">
        <f aca="true">IF(OR($A111="",$I111="",$I111&lt;=0),"",TODAY()-$A111)</f>
        <v/>
      </c>
      <c r="K111" s="10"/>
    </row>
    <row r="112" customFormat="false" ht="15" hidden="false" customHeight="true" outlineLevel="0" collapsed="false">
      <c r="A112" s="13"/>
      <c r="B112" s="10"/>
      <c r="C112" s="10"/>
      <c r="D112" s="14"/>
      <c r="E112" s="11"/>
      <c r="F112" s="15" t="str">
        <f aca="false">IF($B112="","",IF(AND($D112="",$E112=""),"",IF(OR($D112="",$E112=""),0,ROUND($D112*$E112,0))))</f>
        <v/>
      </c>
      <c r="G112" s="13"/>
      <c r="H112" s="11"/>
      <c r="I112" s="15" t="str">
        <f aca="false">IF($F112="","",$F112-IF($H112="",0,$H112))</f>
        <v/>
      </c>
      <c r="J112" s="16" t="str">
        <f aca="true">IF(OR($A112="",$I112="",$I112&lt;=0),"",TODAY()-$A112)</f>
        <v/>
      </c>
      <c r="K112" s="10"/>
    </row>
    <row r="113" customFormat="false" ht="15" hidden="false" customHeight="true" outlineLevel="0" collapsed="false">
      <c r="A113" s="13"/>
      <c r="B113" s="10"/>
      <c r="C113" s="10"/>
      <c r="D113" s="14"/>
      <c r="E113" s="11"/>
      <c r="F113" s="15" t="str">
        <f aca="false">IF($B113="","",IF(AND($D113="",$E113=""),"",IF(OR($D113="",$E113=""),0,ROUND($D113*$E113,0))))</f>
        <v/>
      </c>
      <c r="G113" s="13"/>
      <c r="H113" s="11"/>
      <c r="I113" s="15" t="str">
        <f aca="false">IF($F113="","",$F113-IF($H113="",0,$H113))</f>
        <v/>
      </c>
      <c r="J113" s="16" t="str">
        <f aca="true">IF(OR($A113="",$I113="",$I113&lt;=0),"",TODAY()-$A113)</f>
        <v/>
      </c>
      <c r="K113" s="10"/>
    </row>
    <row r="114" customFormat="false" ht="15" hidden="false" customHeight="true" outlineLevel="0" collapsed="false">
      <c r="A114" s="13"/>
      <c r="B114" s="10"/>
      <c r="C114" s="10"/>
      <c r="D114" s="14"/>
      <c r="E114" s="11"/>
      <c r="F114" s="15" t="str">
        <f aca="false">IF($B114="","",IF(AND($D114="",$E114=""),"",IF(OR($D114="",$E114=""),0,ROUND($D114*$E114,0))))</f>
        <v/>
      </c>
      <c r="G114" s="13"/>
      <c r="H114" s="11"/>
      <c r="I114" s="15" t="str">
        <f aca="false">IF($F114="","",$F114-IF($H114="",0,$H114))</f>
        <v/>
      </c>
      <c r="J114" s="16" t="str">
        <f aca="true">IF(OR($A114="",$I114="",$I114&lt;=0),"",TODAY()-$A114)</f>
        <v/>
      </c>
      <c r="K114" s="10"/>
    </row>
    <row r="115" customFormat="false" ht="15" hidden="false" customHeight="true" outlineLevel="0" collapsed="false">
      <c r="A115" s="13"/>
      <c r="B115" s="10"/>
      <c r="C115" s="10"/>
      <c r="D115" s="14"/>
      <c r="E115" s="11"/>
      <c r="F115" s="15" t="str">
        <f aca="false">IF($B115="","",IF(AND($D115="",$E115=""),"",IF(OR($D115="",$E115=""),0,ROUND($D115*$E115,0))))</f>
        <v/>
      </c>
      <c r="G115" s="13"/>
      <c r="H115" s="11"/>
      <c r="I115" s="15" t="str">
        <f aca="false">IF($F115="","",$F115-IF($H115="",0,$H115))</f>
        <v/>
      </c>
      <c r="J115" s="16" t="str">
        <f aca="true">IF(OR($A115="",$I115="",$I115&lt;=0),"",TODAY()-$A115)</f>
        <v/>
      </c>
      <c r="K115" s="10"/>
    </row>
    <row r="116" customFormat="false" ht="15" hidden="false" customHeight="true" outlineLevel="0" collapsed="false">
      <c r="A116" s="13"/>
      <c r="B116" s="10"/>
      <c r="C116" s="10"/>
      <c r="D116" s="14"/>
      <c r="E116" s="11"/>
      <c r="F116" s="15" t="str">
        <f aca="false">IF($B116="","",IF(AND($D116="",$E116=""),"",IF(OR($D116="",$E116=""),0,ROUND($D116*$E116,0))))</f>
        <v/>
      </c>
      <c r="G116" s="13"/>
      <c r="H116" s="11"/>
      <c r="I116" s="15" t="str">
        <f aca="false">IF($F116="","",$F116-IF($H116="",0,$H116))</f>
        <v/>
      </c>
      <c r="J116" s="16" t="str">
        <f aca="true">IF(OR($A116="",$I116="",$I116&lt;=0),"",TODAY()-$A116)</f>
        <v/>
      </c>
      <c r="K116" s="10"/>
    </row>
    <row r="117" customFormat="false" ht="15" hidden="false" customHeight="true" outlineLevel="0" collapsed="false">
      <c r="A117" s="13"/>
      <c r="B117" s="10"/>
      <c r="C117" s="10"/>
      <c r="D117" s="14"/>
      <c r="E117" s="11"/>
      <c r="F117" s="15" t="str">
        <f aca="false">IF($B117="","",IF(AND($D117="",$E117=""),"",IF(OR($D117="",$E117=""),0,ROUND($D117*$E117,0))))</f>
        <v/>
      </c>
      <c r="G117" s="13"/>
      <c r="H117" s="11"/>
      <c r="I117" s="15" t="str">
        <f aca="false">IF($F117="","",$F117-IF($H117="",0,$H117))</f>
        <v/>
      </c>
      <c r="J117" s="16" t="str">
        <f aca="true">IF(OR($A117="",$I117="",$I117&lt;=0),"",TODAY()-$A117)</f>
        <v/>
      </c>
      <c r="K117" s="10"/>
    </row>
    <row r="118" customFormat="false" ht="15" hidden="false" customHeight="true" outlineLevel="0" collapsed="false">
      <c r="A118" s="13"/>
      <c r="B118" s="10"/>
      <c r="C118" s="10"/>
      <c r="D118" s="14"/>
      <c r="E118" s="11"/>
      <c r="F118" s="15" t="str">
        <f aca="false">IF($B118="","",IF(AND($D118="",$E118=""),"",IF(OR($D118="",$E118=""),0,ROUND($D118*$E118,0))))</f>
        <v/>
      </c>
      <c r="G118" s="13"/>
      <c r="H118" s="11"/>
      <c r="I118" s="15" t="str">
        <f aca="false">IF($F118="","",$F118-IF($H118="",0,$H118))</f>
        <v/>
      </c>
      <c r="J118" s="16" t="str">
        <f aca="true">IF(OR($A118="",$I118="",$I118&lt;=0),"",TODAY()-$A118)</f>
        <v/>
      </c>
      <c r="K118" s="10"/>
    </row>
    <row r="119" customFormat="false" ht="15" hidden="false" customHeight="true" outlineLevel="0" collapsed="false">
      <c r="A119" s="13"/>
      <c r="B119" s="10"/>
      <c r="C119" s="10"/>
      <c r="D119" s="14"/>
      <c r="E119" s="11"/>
      <c r="F119" s="15" t="str">
        <f aca="false">IF($B119="","",IF(AND($D119="",$E119=""),"",IF(OR($D119="",$E119=""),0,ROUND($D119*$E119,0))))</f>
        <v/>
      </c>
      <c r="G119" s="13"/>
      <c r="H119" s="11"/>
      <c r="I119" s="15" t="str">
        <f aca="false">IF($F119="","",$F119-IF($H119="",0,$H119))</f>
        <v/>
      </c>
      <c r="J119" s="16" t="str">
        <f aca="true">IF(OR($A119="",$I119="",$I119&lt;=0),"",TODAY()-$A119)</f>
        <v/>
      </c>
      <c r="K119" s="10"/>
    </row>
    <row r="120" customFormat="false" ht="15" hidden="false" customHeight="true" outlineLevel="0" collapsed="false">
      <c r="A120" s="13"/>
      <c r="B120" s="10"/>
      <c r="C120" s="10"/>
      <c r="D120" s="14"/>
      <c r="E120" s="11"/>
      <c r="F120" s="15" t="str">
        <f aca="false">IF($B120="","",IF(AND($D120="",$E120=""),"",IF(OR($D120="",$E120=""),0,ROUND($D120*$E120,0))))</f>
        <v/>
      </c>
      <c r="G120" s="13"/>
      <c r="H120" s="11"/>
      <c r="I120" s="15" t="str">
        <f aca="false">IF($F120="","",$F120-IF($H120="",0,$H120))</f>
        <v/>
      </c>
      <c r="J120" s="16" t="str">
        <f aca="true">IF(OR($A120="",$I120="",$I120&lt;=0),"",TODAY()-$A120)</f>
        <v/>
      </c>
      <c r="K120" s="10"/>
    </row>
    <row r="121" customFormat="false" ht="15" hidden="false" customHeight="true" outlineLevel="0" collapsed="false">
      <c r="A121" s="13"/>
      <c r="B121" s="10"/>
      <c r="C121" s="10"/>
      <c r="D121" s="14"/>
      <c r="E121" s="11"/>
      <c r="F121" s="15" t="str">
        <f aca="false">IF($B121="","",IF(AND($D121="",$E121=""),"",IF(OR($D121="",$E121=""),0,ROUND($D121*$E121,0))))</f>
        <v/>
      </c>
      <c r="G121" s="13"/>
      <c r="H121" s="11"/>
      <c r="I121" s="15" t="str">
        <f aca="false">IF($F121="","",$F121-IF($H121="",0,$H121))</f>
        <v/>
      </c>
      <c r="J121" s="16" t="str">
        <f aca="true">IF(OR($A121="",$I121="",$I121&lt;=0),"",TODAY()-$A121)</f>
        <v/>
      </c>
      <c r="K121" s="10"/>
    </row>
    <row r="122" customFormat="false" ht="15" hidden="false" customHeight="true" outlineLevel="0" collapsed="false">
      <c r="A122" s="13"/>
      <c r="B122" s="10"/>
      <c r="C122" s="10"/>
      <c r="D122" s="14"/>
      <c r="E122" s="11"/>
      <c r="F122" s="15" t="str">
        <f aca="false">IF($B122="","",IF(AND($D122="",$E122=""),"",IF(OR($D122="",$E122=""),0,ROUND($D122*$E122,0))))</f>
        <v/>
      </c>
      <c r="G122" s="13"/>
      <c r="H122" s="11"/>
      <c r="I122" s="15" t="str">
        <f aca="false">IF($F122="","",$F122-IF($H122="",0,$H122))</f>
        <v/>
      </c>
      <c r="J122" s="16" t="str">
        <f aca="true">IF(OR($A122="",$I122="",$I122&lt;=0),"",TODAY()-$A122)</f>
        <v/>
      </c>
      <c r="K122" s="10"/>
    </row>
    <row r="123" customFormat="false" ht="15" hidden="false" customHeight="true" outlineLevel="0" collapsed="false">
      <c r="A123" s="13"/>
      <c r="B123" s="10"/>
      <c r="C123" s="10"/>
      <c r="D123" s="14"/>
      <c r="E123" s="11"/>
      <c r="F123" s="15" t="str">
        <f aca="false">IF($B123="","",IF(AND($D123="",$E123=""),"",IF(OR($D123="",$E123=""),0,ROUND($D123*$E123,0))))</f>
        <v/>
      </c>
      <c r="G123" s="13"/>
      <c r="H123" s="11"/>
      <c r="I123" s="15" t="str">
        <f aca="false">IF($F123="","",$F123-IF($H123="",0,$H123))</f>
        <v/>
      </c>
      <c r="J123" s="16" t="str">
        <f aca="true">IF(OR($A123="",$I123="",$I123&lt;=0),"",TODAY()-$A123)</f>
        <v/>
      </c>
      <c r="K123" s="10"/>
    </row>
    <row r="124" customFormat="false" ht="15" hidden="false" customHeight="true" outlineLevel="0" collapsed="false">
      <c r="A124" s="13"/>
      <c r="B124" s="10"/>
      <c r="C124" s="10"/>
      <c r="D124" s="14"/>
      <c r="E124" s="11"/>
      <c r="F124" s="15" t="str">
        <f aca="false">IF($B124="","",IF(AND($D124="",$E124=""),"",IF(OR($D124="",$E124=""),0,ROUND($D124*$E124,0))))</f>
        <v/>
      </c>
      <c r="G124" s="13"/>
      <c r="H124" s="11"/>
      <c r="I124" s="15" t="str">
        <f aca="false">IF($F124="","",$F124-IF($H124="",0,$H124))</f>
        <v/>
      </c>
      <c r="J124" s="16" t="str">
        <f aca="true">IF(OR($A124="",$I124="",$I124&lt;=0),"",TODAY()-$A124)</f>
        <v/>
      </c>
      <c r="K124" s="10"/>
    </row>
    <row r="125" customFormat="false" ht="15" hidden="false" customHeight="true" outlineLevel="0" collapsed="false">
      <c r="A125" s="13"/>
      <c r="B125" s="10"/>
      <c r="C125" s="10"/>
      <c r="D125" s="14"/>
      <c r="E125" s="11"/>
      <c r="F125" s="15" t="str">
        <f aca="false">IF($B125="","",IF(AND($D125="",$E125=""),"",IF(OR($D125="",$E125=""),0,ROUND($D125*$E125,0))))</f>
        <v/>
      </c>
      <c r="G125" s="13"/>
      <c r="H125" s="11"/>
      <c r="I125" s="15" t="str">
        <f aca="false">IF($F125="","",$F125-IF($H125="",0,$H125))</f>
        <v/>
      </c>
      <c r="J125" s="16" t="str">
        <f aca="true">IF(OR($A125="",$I125="",$I125&lt;=0),"",TODAY()-$A125)</f>
        <v/>
      </c>
      <c r="K125" s="10"/>
    </row>
    <row r="126" customFormat="false" ht="15" hidden="false" customHeight="true" outlineLevel="0" collapsed="false">
      <c r="A126" s="13"/>
      <c r="B126" s="10"/>
      <c r="C126" s="10"/>
      <c r="D126" s="14"/>
      <c r="E126" s="11"/>
      <c r="F126" s="15" t="str">
        <f aca="false">IF($B126="","",IF(AND($D126="",$E126=""),"",IF(OR($D126="",$E126=""),0,ROUND($D126*$E126,0))))</f>
        <v/>
      </c>
      <c r="G126" s="13"/>
      <c r="H126" s="11"/>
      <c r="I126" s="15" t="str">
        <f aca="false">IF($F126="","",$F126-IF($H126="",0,$H126))</f>
        <v/>
      </c>
      <c r="J126" s="16" t="str">
        <f aca="true">IF(OR($A126="",$I126="",$I126&lt;=0),"",TODAY()-$A126)</f>
        <v/>
      </c>
      <c r="K126" s="10"/>
    </row>
    <row r="127" customFormat="false" ht="15" hidden="false" customHeight="true" outlineLevel="0" collapsed="false">
      <c r="A127" s="13"/>
      <c r="B127" s="10"/>
      <c r="C127" s="10"/>
      <c r="D127" s="14"/>
      <c r="E127" s="11"/>
      <c r="F127" s="15" t="str">
        <f aca="false">IF($B127="","",IF(AND($D127="",$E127=""),"",IF(OR($D127="",$E127=""),0,ROUND($D127*$E127,0))))</f>
        <v/>
      </c>
      <c r="G127" s="13"/>
      <c r="H127" s="11"/>
      <c r="I127" s="15" t="str">
        <f aca="false">IF($F127="","",$F127-IF($H127="",0,$H127))</f>
        <v/>
      </c>
      <c r="J127" s="16" t="str">
        <f aca="true">IF(OR($A127="",$I127="",$I127&lt;=0),"",TODAY()-$A127)</f>
        <v/>
      </c>
      <c r="K127" s="10"/>
    </row>
    <row r="128" customFormat="false" ht="15" hidden="false" customHeight="true" outlineLevel="0" collapsed="false">
      <c r="A128" s="13"/>
      <c r="B128" s="10"/>
      <c r="C128" s="10"/>
      <c r="D128" s="14"/>
      <c r="E128" s="11"/>
      <c r="F128" s="15" t="str">
        <f aca="false">IF($B128="","",IF(AND($D128="",$E128=""),"",IF(OR($D128="",$E128=""),0,ROUND($D128*$E128,0))))</f>
        <v/>
      </c>
      <c r="G128" s="13"/>
      <c r="H128" s="11"/>
      <c r="I128" s="15" t="str">
        <f aca="false">IF($F128="","",$F128-IF($H128="",0,$H128))</f>
        <v/>
      </c>
      <c r="J128" s="16" t="str">
        <f aca="true">IF(OR($A128="",$I128="",$I128&lt;=0),"",TODAY()-$A128)</f>
        <v/>
      </c>
      <c r="K128" s="10"/>
    </row>
    <row r="129" customFormat="false" ht="15" hidden="false" customHeight="true" outlineLevel="0" collapsed="false">
      <c r="A129" s="13"/>
      <c r="B129" s="10"/>
      <c r="C129" s="10"/>
      <c r="D129" s="14"/>
      <c r="E129" s="11"/>
      <c r="F129" s="15" t="str">
        <f aca="false">IF($B129="","",IF(AND($D129="",$E129=""),"",IF(OR($D129="",$E129=""),0,ROUND($D129*$E129,0))))</f>
        <v/>
      </c>
      <c r="G129" s="13"/>
      <c r="H129" s="11"/>
      <c r="I129" s="15" t="str">
        <f aca="false">IF($F129="","",$F129-IF($H129="",0,$H129))</f>
        <v/>
      </c>
      <c r="J129" s="16" t="str">
        <f aca="true">IF(OR($A129="",$I129="",$I129&lt;=0),"",TODAY()-$A129)</f>
        <v/>
      </c>
      <c r="K129" s="10"/>
    </row>
    <row r="130" customFormat="false" ht="15" hidden="false" customHeight="true" outlineLevel="0" collapsed="false">
      <c r="A130" s="13"/>
      <c r="B130" s="10"/>
      <c r="C130" s="10"/>
      <c r="D130" s="14"/>
      <c r="E130" s="11"/>
      <c r="F130" s="15" t="str">
        <f aca="false">IF($B130="","",IF(AND($D130="",$E130=""),"",IF(OR($D130="",$E130=""),0,ROUND($D130*$E130,0))))</f>
        <v/>
      </c>
      <c r="G130" s="13"/>
      <c r="H130" s="11"/>
      <c r="I130" s="15" t="str">
        <f aca="false">IF($F130="","",$F130-IF($H130="",0,$H130))</f>
        <v/>
      </c>
      <c r="J130" s="16" t="str">
        <f aca="true">IF(OR($A130="",$I130="",$I130&lt;=0),"",TODAY()-$A130)</f>
        <v/>
      </c>
      <c r="K130" s="10"/>
    </row>
    <row r="131" customFormat="false" ht="15" hidden="false" customHeight="true" outlineLevel="0" collapsed="false">
      <c r="A131" s="13"/>
      <c r="B131" s="10"/>
      <c r="C131" s="10"/>
      <c r="D131" s="14"/>
      <c r="E131" s="11"/>
      <c r="F131" s="15" t="str">
        <f aca="false">IF($B131="","",IF(AND($D131="",$E131=""),"",IF(OR($D131="",$E131=""),0,ROUND($D131*$E131,0))))</f>
        <v/>
      </c>
      <c r="G131" s="13"/>
      <c r="H131" s="11"/>
      <c r="I131" s="15" t="str">
        <f aca="false">IF($F131="","",$F131-IF($H131="",0,$H131))</f>
        <v/>
      </c>
      <c r="J131" s="16" t="str">
        <f aca="true">IF(OR($A131="",$I131="",$I131&lt;=0),"",TODAY()-$A131)</f>
        <v/>
      </c>
      <c r="K131" s="10"/>
    </row>
    <row r="132" customFormat="false" ht="15" hidden="false" customHeight="true" outlineLevel="0" collapsed="false">
      <c r="A132" s="13"/>
      <c r="B132" s="10"/>
      <c r="C132" s="10"/>
      <c r="D132" s="14"/>
      <c r="E132" s="11"/>
      <c r="F132" s="15" t="str">
        <f aca="false">IF($B132="","",IF(AND($D132="",$E132=""),"",IF(OR($D132="",$E132=""),0,ROUND($D132*$E132,0))))</f>
        <v/>
      </c>
      <c r="G132" s="13"/>
      <c r="H132" s="11"/>
      <c r="I132" s="15" t="str">
        <f aca="false">IF($F132="","",$F132-IF($H132="",0,$H132))</f>
        <v/>
      </c>
      <c r="J132" s="16" t="str">
        <f aca="true">IF(OR($A132="",$I132="",$I132&lt;=0),"",TODAY()-$A132)</f>
        <v/>
      </c>
      <c r="K132" s="10"/>
    </row>
    <row r="133" customFormat="false" ht="15" hidden="false" customHeight="true" outlineLevel="0" collapsed="false">
      <c r="A133" s="13"/>
      <c r="B133" s="10"/>
      <c r="C133" s="10"/>
      <c r="D133" s="14"/>
      <c r="E133" s="11"/>
      <c r="F133" s="15" t="str">
        <f aca="false">IF($B133="","",IF(AND($D133="",$E133=""),"",IF(OR($D133="",$E133=""),0,ROUND($D133*$E133,0))))</f>
        <v/>
      </c>
      <c r="G133" s="13"/>
      <c r="H133" s="11"/>
      <c r="I133" s="15" t="str">
        <f aca="false">IF($F133="","",$F133-IF($H133="",0,$H133))</f>
        <v/>
      </c>
      <c r="J133" s="16" t="str">
        <f aca="true">IF(OR($A133="",$I133="",$I133&lt;=0),"",TODAY()-$A133)</f>
        <v/>
      </c>
      <c r="K133" s="10"/>
    </row>
    <row r="134" customFormat="false" ht="15" hidden="false" customHeight="true" outlineLevel="0" collapsed="false">
      <c r="A134" s="13"/>
      <c r="B134" s="10"/>
      <c r="C134" s="10"/>
      <c r="D134" s="14"/>
      <c r="E134" s="11"/>
      <c r="F134" s="15" t="str">
        <f aca="false">IF($B134="","",IF(AND($D134="",$E134=""),"",IF(OR($D134="",$E134=""),0,ROUND($D134*$E134,0))))</f>
        <v/>
      </c>
      <c r="G134" s="13"/>
      <c r="H134" s="11"/>
      <c r="I134" s="15" t="str">
        <f aca="false">IF($F134="","",$F134-IF($H134="",0,$H134))</f>
        <v/>
      </c>
      <c r="J134" s="16" t="str">
        <f aca="true">IF(OR($A134="",$I134="",$I134&lt;=0),"",TODAY()-$A134)</f>
        <v/>
      </c>
      <c r="K134" s="10"/>
    </row>
    <row r="135" customFormat="false" ht="15" hidden="false" customHeight="true" outlineLevel="0" collapsed="false">
      <c r="A135" s="13"/>
      <c r="B135" s="10"/>
      <c r="C135" s="10"/>
      <c r="D135" s="14"/>
      <c r="E135" s="11"/>
      <c r="F135" s="15" t="str">
        <f aca="false">IF($B135="","",IF(AND($D135="",$E135=""),"",IF(OR($D135="",$E135=""),0,ROUND($D135*$E135,0))))</f>
        <v/>
      </c>
      <c r="G135" s="13"/>
      <c r="H135" s="11"/>
      <c r="I135" s="15" t="str">
        <f aca="false">IF($F135="","",$F135-IF($H135="",0,$H135))</f>
        <v/>
      </c>
      <c r="J135" s="16" t="str">
        <f aca="true">IF(OR($A135="",$I135="",$I135&lt;=0),"",TODAY()-$A135)</f>
        <v/>
      </c>
      <c r="K135" s="10"/>
    </row>
    <row r="136" customFormat="false" ht="15" hidden="false" customHeight="true" outlineLevel="0" collapsed="false">
      <c r="A136" s="13"/>
      <c r="B136" s="10"/>
      <c r="C136" s="10"/>
      <c r="D136" s="14"/>
      <c r="E136" s="11"/>
      <c r="F136" s="15" t="str">
        <f aca="false">IF($B136="","",IF(AND($D136="",$E136=""),"",IF(OR($D136="",$E136=""),0,ROUND($D136*$E136,0))))</f>
        <v/>
      </c>
      <c r="G136" s="13"/>
      <c r="H136" s="11"/>
      <c r="I136" s="15" t="str">
        <f aca="false">IF($F136="","",$F136-IF($H136="",0,$H136))</f>
        <v/>
      </c>
      <c r="J136" s="16" t="str">
        <f aca="true">IF(OR($A136="",$I136="",$I136&lt;=0),"",TODAY()-$A136)</f>
        <v/>
      </c>
      <c r="K136" s="10"/>
    </row>
    <row r="137" customFormat="false" ht="15" hidden="false" customHeight="true" outlineLevel="0" collapsed="false">
      <c r="A137" s="13"/>
      <c r="B137" s="10"/>
      <c r="C137" s="10"/>
      <c r="D137" s="14"/>
      <c r="E137" s="11"/>
      <c r="F137" s="15" t="str">
        <f aca="false">IF($B137="","",IF(AND($D137="",$E137=""),"",IF(OR($D137="",$E137=""),0,ROUND($D137*$E137,0))))</f>
        <v/>
      </c>
      <c r="G137" s="13"/>
      <c r="H137" s="11"/>
      <c r="I137" s="15" t="str">
        <f aca="false">IF($F137="","",$F137-IF($H137="",0,$H137))</f>
        <v/>
      </c>
      <c r="J137" s="16" t="str">
        <f aca="true">IF(OR($A137="",$I137="",$I137&lt;=0),"",TODAY()-$A137)</f>
        <v/>
      </c>
      <c r="K137" s="10"/>
    </row>
    <row r="138" customFormat="false" ht="15" hidden="false" customHeight="true" outlineLevel="0" collapsed="false">
      <c r="A138" s="13"/>
      <c r="B138" s="10"/>
      <c r="C138" s="10"/>
      <c r="D138" s="14"/>
      <c r="E138" s="11"/>
      <c r="F138" s="15" t="str">
        <f aca="false">IF($B138="","",IF(AND($D138="",$E138=""),"",IF(OR($D138="",$E138=""),0,ROUND($D138*$E138,0))))</f>
        <v/>
      </c>
      <c r="G138" s="13"/>
      <c r="H138" s="11"/>
      <c r="I138" s="15" t="str">
        <f aca="false">IF($F138="","",$F138-IF($H138="",0,$H138))</f>
        <v/>
      </c>
      <c r="J138" s="16" t="str">
        <f aca="true">IF(OR($A138="",$I138="",$I138&lt;=0),"",TODAY()-$A138)</f>
        <v/>
      </c>
      <c r="K138" s="10"/>
    </row>
    <row r="139" customFormat="false" ht="15" hidden="false" customHeight="true" outlineLevel="0" collapsed="false">
      <c r="A139" s="13"/>
      <c r="B139" s="10"/>
      <c r="C139" s="10"/>
      <c r="D139" s="14"/>
      <c r="E139" s="11"/>
      <c r="F139" s="15" t="str">
        <f aca="false">IF($B139="","",IF(AND($D139="",$E139=""),"",IF(OR($D139="",$E139=""),0,ROUND($D139*$E139,0))))</f>
        <v/>
      </c>
      <c r="G139" s="13"/>
      <c r="H139" s="11"/>
      <c r="I139" s="15" t="str">
        <f aca="false">IF($F139="","",$F139-IF($H139="",0,$H139))</f>
        <v/>
      </c>
      <c r="J139" s="16" t="str">
        <f aca="true">IF(OR($A139="",$I139="",$I139&lt;=0),"",TODAY()-$A139)</f>
        <v/>
      </c>
      <c r="K139" s="10"/>
    </row>
    <row r="140" customFormat="false" ht="15" hidden="false" customHeight="true" outlineLevel="0" collapsed="false">
      <c r="A140" s="13"/>
      <c r="B140" s="10"/>
      <c r="C140" s="10"/>
      <c r="D140" s="14"/>
      <c r="E140" s="11"/>
      <c r="F140" s="15" t="str">
        <f aca="false">IF($B140="","",IF(AND($D140="",$E140=""),"",IF(OR($D140="",$E140=""),0,ROUND($D140*$E140,0))))</f>
        <v/>
      </c>
      <c r="G140" s="13"/>
      <c r="H140" s="11"/>
      <c r="I140" s="15" t="str">
        <f aca="false">IF($F140="","",$F140-IF($H140="",0,$H140))</f>
        <v/>
      </c>
      <c r="J140" s="16" t="str">
        <f aca="true">IF(OR($A140="",$I140="",$I140&lt;=0),"",TODAY()-$A140)</f>
        <v/>
      </c>
      <c r="K140" s="10"/>
    </row>
    <row r="141" customFormat="false" ht="15" hidden="false" customHeight="true" outlineLevel="0" collapsed="false">
      <c r="A141" s="13"/>
      <c r="B141" s="10"/>
      <c r="C141" s="10"/>
      <c r="D141" s="14"/>
      <c r="E141" s="11"/>
      <c r="F141" s="15" t="str">
        <f aca="false">IF($B141="","",IF(AND($D141="",$E141=""),"",IF(OR($D141="",$E141=""),0,ROUND($D141*$E141,0))))</f>
        <v/>
      </c>
      <c r="G141" s="13"/>
      <c r="H141" s="11"/>
      <c r="I141" s="15" t="str">
        <f aca="false">IF($F141="","",$F141-IF($H141="",0,$H141))</f>
        <v/>
      </c>
      <c r="J141" s="16" t="str">
        <f aca="true">IF(OR($A141="",$I141="",$I141&lt;=0),"",TODAY()-$A141)</f>
        <v/>
      </c>
      <c r="K141" s="10"/>
    </row>
    <row r="142" customFormat="false" ht="15" hidden="false" customHeight="true" outlineLevel="0" collapsed="false">
      <c r="A142" s="13"/>
      <c r="B142" s="10"/>
      <c r="C142" s="10"/>
      <c r="D142" s="14"/>
      <c r="E142" s="11"/>
      <c r="F142" s="15" t="str">
        <f aca="false">IF($B142="","",IF(AND($D142="",$E142=""),"",IF(OR($D142="",$E142=""),0,ROUND($D142*$E142,0))))</f>
        <v/>
      </c>
      <c r="G142" s="13"/>
      <c r="H142" s="11"/>
      <c r="I142" s="15" t="str">
        <f aca="false">IF($F142="","",$F142-IF($H142="",0,$H142))</f>
        <v/>
      </c>
      <c r="J142" s="16" t="str">
        <f aca="true">IF(OR($A142="",$I142="",$I142&lt;=0),"",TODAY()-$A142)</f>
        <v/>
      </c>
      <c r="K142" s="10"/>
    </row>
    <row r="143" customFormat="false" ht="15" hidden="false" customHeight="true" outlineLevel="0" collapsed="false">
      <c r="A143" s="13"/>
      <c r="B143" s="10"/>
      <c r="C143" s="10"/>
      <c r="D143" s="14"/>
      <c r="E143" s="11"/>
      <c r="F143" s="15" t="str">
        <f aca="false">IF($B143="","",IF(AND($D143="",$E143=""),"",IF(OR($D143="",$E143=""),0,ROUND($D143*$E143,0))))</f>
        <v/>
      </c>
      <c r="G143" s="13"/>
      <c r="H143" s="11"/>
      <c r="I143" s="15" t="str">
        <f aca="false">IF($F143="","",$F143-IF($H143="",0,$H143))</f>
        <v/>
      </c>
      <c r="J143" s="16" t="str">
        <f aca="true">IF(OR($A143="",$I143="",$I143&lt;=0),"",TODAY()-$A143)</f>
        <v/>
      </c>
      <c r="K143" s="10"/>
    </row>
    <row r="144" customFormat="false" ht="15" hidden="false" customHeight="true" outlineLevel="0" collapsed="false">
      <c r="A144" s="13"/>
      <c r="B144" s="10"/>
      <c r="C144" s="10"/>
      <c r="D144" s="14"/>
      <c r="E144" s="11"/>
      <c r="F144" s="15" t="str">
        <f aca="false">IF($B144="","",IF(AND($D144="",$E144=""),"",IF(OR($D144="",$E144=""),0,ROUND($D144*$E144,0))))</f>
        <v/>
      </c>
      <c r="G144" s="13"/>
      <c r="H144" s="11"/>
      <c r="I144" s="15" t="str">
        <f aca="false">IF($F144="","",$F144-IF($H144="",0,$H144))</f>
        <v/>
      </c>
      <c r="J144" s="16" t="str">
        <f aca="true">IF(OR($A144="",$I144="",$I144&lt;=0),"",TODAY()-$A144)</f>
        <v/>
      </c>
      <c r="K144" s="10"/>
    </row>
    <row r="145" customFormat="false" ht="15" hidden="false" customHeight="true" outlineLevel="0" collapsed="false">
      <c r="A145" s="13"/>
      <c r="B145" s="10"/>
      <c r="C145" s="10"/>
      <c r="D145" s="14"/>
      <c r="E145" s="11"/>
      <c r="F145" s="15" t="str">
        <f aca="false">IF($B145="","",IF(AND($D145="",$E145=""),"",IF(OR($D145="",$E145=""),0,ROUND($D145*$E145,0))))</f>
        <v/>
      </c>
      <c r="G145" s="13"/>
      <c r="H145" s="11"/>
      <c r="I145" s="15" t="str">
        <f aca="false">IF($F145="","",$F145-IF($H145="",0,$H145))</f>
        <v/>
      </c>
      <c r="J145" s="16" t="str">
        <f aca="true">IF(OR($A145="",$I145="",$I145&lt;=0),"",TODAY()-$A145)</f>
        <v/>
      </c>
      <c r="K145" s="10"/>
    </row>
    <row r="146" customFormat="false" ht="15" hidden="false" customHeight="true" outlineLevel="0" collapsed="false">
      <c r="A146" s="13"/>
      <c r="B146" s="10"/>
      <c r="C146" s="10"/>
      <c r="D146" s="14"/>
      <c r="E146" s="11"/>
      <c r="F146" s="15" t="str">
        <f aca="false">IF($B146="","",IF(AND($D146="",$E146=""),"",IF(OR($D146="",$E146=""),0,ROUND($D146*$E146,0))))</f>
        <v/>
      </c>
      <c r="G146" s="13"/>
      <c r="H146" s="11"/>
      <c r="I146" s="15" t="str">
        <f aca="false">IF($F146="","",$F146-IF($H146="",0,$H146))</f>
        <v/>
      </c>
      <c r="J146" s="16" t="str">
        <f aca="true">IF(OR($A146="",$I146="",$I146&lt;=0),"",TODAY()-$A146)</f>
        <v/>
      </c>
      <c r="K146" s="10"/>
    </row>
    <row r="147" customFormat="false" ht="15" hidden="false" customHeight="true" outlineLevel="0" collapsed="false">
      <c r="A147" s="13"/>
      <c r="B147" s="10"/>
      <c r="C147" s="10"/>
      <c r="D147" s="14"/>
      <c r="E147" s="11"/>
      <c r="F147" s="15" t="str">
        <f aca="false">IF($B147="","",IF(AND($D147="",$E147=""),"",IF(OR($D147="",$E147=""),0,ROUND($D147*$E147,0))))</f>
        <v/>
      </c>
      <c r="G147" s="13"/>
      <c r="H147" s="11"/>
      <c r="I147" s="15" t="str">
        <f aca="false">IF($F147="","",$F147-IF($H147="",0,$H147))</f>
        <v/>
      </c>
      <c r="J147" s="16" t="str">
        <f aca="true">IF(OR($A147="",$I147="",$I147&lt;=0),"",TODAY()-$A147)</f>
        <v/>
      </c>
      <c r="K147" s="10"/>
    </row>
    <row r="148" customFormat="false" ht="15" hidden="false" customHeight="true" outlineLevel="0" collapsed="false">
      <c r="A148" s="13"/>
      <c r="B148" s="10"/>
      <c r="C148" s="10"/>
      <c r="D148" s="14"/>
      <c r="E148" s="11"/>
      <c r="F148" s="15" t="str">
        <f aca="false">IF($B148="","",IF(AND($D148="",$E148=""),"",IF(OR($D148="",$E148=""),0,ROUND($D148*$E148,0))))</f>
        <v/>
      </c>
      <c r="G148" s="13"/>
      <c r="H148" s="11"/>
      <c r="I148" s="15" t="str">
        <f aca="false">IF($F148="","",$F148-IF($H148="",0,$H148))</f>
        <v/>
      </c>
      <c r="J148" s="16" t="str">
        <f aca="true">IF(OR($A148="",$I148="",$I148&lt;=0),"",TODAY()-$A148)</f>
        <v/>
      </c>
      <c r="K148" s="10"/>
    </row>
    <row r="149" customFormat="false" ht="15" hidden="false" customHeight="true" outlineLevel="0" collapsed="false">
      <c r="A149" s="13"/>
      <c r="B149" s="10"/>
      <c r="C149" s="10"/>
      <c r="D149" s="14"/>
      <c r="E149" s="11"/>
      <c r="F149" s="15" t="str">
        <f aca="false">IF($B149="","",IF(AND($D149="",$E149=""),"",IF(OR($D149="",$E149=""),0,ROUND($D149*$E149,0))))</f>
        <v/>
      </c>
      <c r="G149" s="13"/>
      <c r="H149" s="11"/>
      <c r="I149" s="15" t="str">
        <f aca="false">IF($F149="","",$F149-IF($H149="",0,$H149))</f>
        <v/>
      </c>
      <c r="J149" s="16" t="str">
        <f aca="true">IF(OR($A149="",$I149="",$I149&lt;=0),"",TODAY()-$A149)</f>
        <v/>
      </c>
      <c r="K149" s="10"/>
    </row>
    <row r="150" customFormat="false" ht="15" hidden="false" customHeight="true" outlineLevel="0" collapsed="false">
      <c r="A150" s="13"/>
      <c r="B150" s="10"/>
      <c r="C150" s="10"/>
      <c r="D150" s="14"/>
      <c r="E150" s="11"/>
      <c r="F150" s="15" t="str">
        <f aca="false">IF($B150="","",IF(AND($D150="",$E150=""),"",IF(OR($D150="",$E150=""),0,ROUND($D150*$E150,0))))</f>
        <v/>
      </c>
      <c r="G150" s="13"/>
      <c r="H150" s="11"/>
      <c r="I150" s="15" t="str">
        <f aca="false">IF($F150="","",$F150-IF($H150="",0,$H150))</f>
        <v/>
      </c>
      <c r="J150" s="16" t="str">
        <f aca="true">IF(OR($A150="",$I150="",$I150&lt;=0),"",TODAY()-$A150)</f>
        <v/>
      </c>
      <c r="K150" s="10"/>
    </row>
    <row r="151" customFormat="false" ht="15" hidden="false" customHeight="true" outlineLevel="0" collapsed="false">
      <c r="A151" s="13"/>
      <c r="B151" s="10"/>
      <c r="C151" s="10"/>
      <c r="D151" s="14"/>
      <c r="E151" s="11"/>
      <c r="F151" s="15" t="str">
        <f aca="false">IF($B151="","",IF(AND($D151="",$E151=""),"",IF(OR($D151="",$E151=""),0,ROUND($D151*$E151,0))))</f>
        <v/>
      </c>
      <c r="G151" s="13"/>
      <c r="H151" s="11"/>
      <c r="I151" s="15" t="str">
        <f aca="false">IF($F151="","",$F151-IF($H151="",0,$H151))</f>
        <v/>
      </c>
      <c r="J151" s="16" t="str">
        <f aca="true">IF(OR($A151="",$I151="",$I151&lt;=0),"",TODAY()-$A151)</f>
        <v/>
      </c>
      <c r="K151" s="10"/>
    </row>
    <row r="152" customFormat="false" ht="15" hidden="false" customHeight="true" outlineLevel="0" collapsed="false">
      <c r="A152" s="13"/>
      <c r="B152" s="10"/>
      <c r="C152" s="10"/>
      <c r="D152" s="14"/>
      <c r="E152" s="11"/>
      <c r="F152" s="15" t="str">
        <f aca="false">IF($B152="","",IF(AND($D152="",$E152=""),"",IF(OR($D152="",$E152=""),0,ROUND($D152*$E152,0))))</f>
        <v/>
      </c>
      <c r="G152" s="13"/>
      <c r="H152" s="11"/>
      <c r="I152" s="15" t="str">
        <f aca="false">IF($F152="","",$F152-IF($H152="",0,$H152))</f>
        <v/>
      </c>
      <c r="J152" s="16" t="str">
        <f aca="true">IF(OR($A152="",$I152="",$I152&lt;=0),"",TODAY()-$A152)</f>
        <v/>
      </c>
      <c r="K152" s="10"/>
    </row>
    <row r="153" customFormat="false" ht="15" hidden="false" customHeight="true" outlineLevel="0" collapsed="false">
      <c r="A153" s="13"/>
      <c r="B153" s="10"/>
      <c r="C153" s="10"/>
      <c r="D153" s="14"/>
      <c r="E153" s="11"/>
      <c r="F153" s="15" t="str">
        <f aca="false">IF($B153="","",IF(AND($D153="",$E153=""),"",IF(OR($D153="",$E153=""),0,ROUND($D153*$E153,0))))</f>
        <v/>
      </c>
      <c r="G153" s="13"/>
      <c r="H153" s="11"/>
      <c r="I153" s="15" t="str">
        <f aca="false">IF($F153="","",$F153-IF($H153="",0,$H153))</f>
        <v/>
      </c>
      <c r="J153" s="16" t="str">
        <f aca="true">IF(OR($A153="",$I153="",$I153&lt;=0),"",TODAY()-$A153)</f>
        <v/>
      </c>
      <c r="K153" s="10"/>
    </row>
    <row r="154" customFormat="false" ht="15" hidden="false" customHeight="true" outlineLevel="0" collapsed="false">
      <c r="A154" s="13"/>
      <c r="B154" s="10"/>
      <c r="C154" s="10"/>
      <c r="D154" s="14"/>
      <c r="E154" s="11"/>
      <c r="F154" s="15" t="str">
        <f aca="false">IF($B154="","",IF(AND($D154="",$E154=""),"",IF(OR($D154="",$E154=""),0,ROUND($D154*$E154,0))))</f>
        <v/>
      </c>
      <c r="G154" s="13"/>
      <c r="H154" s="11"/>
      <c r="I154" s="15" t="str">
        <f aca="false">IF($F154="","",$F154-IF($H154="",0,$H154))</f>
        <v/>
      </c>
      <c r="J154" s="16" t="str">
        <f aca="true">IF(OR($A154="",$I154="",$I154&lt;=0),"",TODAY()-$A154)</f>
        <v/>
      </c>
      <c r="K154" s="10"/>
    </row>
    <row r="155" customFormat="false" ht="15" hidden="false" customHeight="true" outlineLevel="0" collapsed="false">
      <c r="A155" s="13"/>
      <c r="B155" s="10"/>
      <c r="C155" s="10"/>
      <c r="D155" s="14"/>
      <c r="E155" s="11"/>
      <c r="F155" s="15" t="str">
        <f aca="false">IF($B155="","",IF(AND($D155="",$E155=""),"",IF(OR($D155="",$E155=""),0,ROUND($D155*$E155,0))))</f>
        <v/>
      </c>
      <c r="G155" s="13"/>
      <c r="H155" s="11"/>
      <c r="I155" s="15" t="str">
        <f aca="false">IF($F155="","",$F155-IF($H155="",0,$H155))</f>
        <v/>
      </c>
      <c r="J155" s="16" t="str">
        <f aca="true">IF(OR($A155="",$I155="",$I155&lt;=0),"",TODAY()-$A155)</f>
        <v/>
      </c>
      <c r="K155" s="10"/>
    </row>
    <row r="156" customFormat="false" ht="15" hidden="false" customHeight="true" outlineLevel="0" collapsed="false">
      <c r="A156" s="13"/>
      <c r="B156" s="10"/>
      <c r="C156" s="10"/>
      <c r="D156" s="14"/>
      <c r="E156" s="11"/>
      <c r="F156" s="15" t="str">
        <f aca="false">IF($B156="","",IF(AND($D156="",$E156=""),"",IF(OR($D156="",$E156=""),0,ROUND($D156*$E156,0))))</f>
        <v/>
      </c>
      <c r="G156" s="13"/>
      <c r="H156" s="11"/>
      <c r="I156" s="15" t="str">
        <f aca="false">IF($F156="","",$F156-IF($H156="",0,$H156))</f>
        <v/>
      </c>
      <c r="J156" s="16" t="str">
        <f aca="true">IF(OR($A156="",$I156="",$I156&lt;=0),"",TODAY()-$A156)</f>
        <v/>
      </c>
      <c r="K156" s="10"/>
    </row>
    <row r="157" customFormat="false" ht="15" hidden="false" customHeight="true" outlineLevel="0" collapsed="false">
      <c r="A157" s="13"/>
      <c r="B157" s="10"/>
      <c r="C157" s="10"/>
      <c r="D157" s="14"/>
      <c r="E157" s="11"/>
      <c r="F157" s="15" t="str">
        <f aca="false">IF($B157="","",IF(AND($D157="",$E157=""),"",IF(OR($D157="",$E157=""),0,ROUND($D157*$E157,0))))</f>
        <v/>
      </c>
      <c r="G157" s="13"/>
      <c r="H157" s="11"/>
      <c r="I157" s="15" t="str">
        <f aca="false">IF($F157="","",$F157-IF($H157="",0,$H157))</f>
        <v/>
      </c>
      <c r="J157" s="16" t="str">
        <f aca="true">IF(OR($A157="",$I157="",$I157&lt;=0),"",TODAY()-$A157)</f>
        <v/>
      </c>
      <c r="K157" s="10"/>
    </row>
    <row r="158" customFormat="false" ht="15" hidden="false" customHeight="true" outlineLevel="0" collapsed="false">
      <c r="A158" s="13"/>
      <c r="B158" s="10"/>
      <c r="C158" s="10"/>
      <c r="D158" s="14"/>
      <c r="E158" s="11"/>
      <c r="F158" s="15" t="str">
        <f aca="false">IF($B158="","",IF(AND($D158="",$E158=""),"",IF(OR($D158="",$E158=""),0,ROUND($D158*$E158,0))))</f>
        <v/>
      </c>
      <c r="G158" s="13"/>
      <c r="H158" s="11"/>
      <c r="I158" s="15" t="str">
        <f aca="false">IF($F158="","",$F158-IF($H158="",0,$H158))</f>
        <v/>
      </c>
      <c r="J158" s="16" t="str">
        <f aca="true">IF(OR($A158="",$I158="",$I158&lt;=0),"",TODAY()-$A158)</f>
        <v/>
      </c>
      <c r="K158" s="10"/>
    </row>
    <row r="159" customFormat="false" ht="15" hidden="false" customHeight="true" outlineLevel="0" collapsed="false">
      <c r="A159" s="13"/>
      <c r="B159" s="10"/>
      <c r="C159" s="10"/>
      <c r="D159" s="14"/>
      <c r="E159" s="11"/>
      <c r="F159" s="15" t="str">
        <f aca="false">IF($B159="","",IF(AND($D159="",$E159=""),"",IF(OR($D159="",$E159=""),0,ROUND($D159*$E159,0))))</f>
        <v/>
      </c>
      <c r="G159" s="13"/>
      <c r="H159" s="11"/>
      <c r="I159" s="15" t="str">
        <f aca="false">IF($F159="","",$F159-IF($H159="",0,$H159))</f>
        <v/>
      </c>
      <c r="J159" s="16" t="str">
        <f aca="true">IF(OR($A159="",$I159="",$I159&lt;=0),"",TODAY()-$A159)</f>
        <v/>
      </c>
      <c r="K159" s="10"/>
    </row>
    <row r="160" customFormat="false" ht="15" hidden="false" customHeight="true" outlineLevel="0" collapsed="false">
      <c r="A160" s="13"/>
      <c r="B160" s="10"/>
      <c r="C160" s="10"/>
      <c r="D160" s="14"/>
      <c r="E160" s="11"/>
      <c r="F160" s="15" t="str">
        <f aca="false">IF($B160="","",IF(AND($D160="",$E160=""),"",IF(OR($D160="",$E160=""),0,ROUND($D160*$E160,0))))</f>
        <v/>
      </c>
      <c r="G160" s="13"/>
      <c r="H160" s="11"/>
      <c r="I160" s="15" t="str">
        <f aca="false">IF($F160="","",$F160-IF($H160="",0,$H160))</f>
        <v/>
      </c>
      <c r="J160" s="16" t="str">
        <f aca="true">IF(OR($A160="",$I160="",$I160&lt;=0),"",TODAY()-$A160)</f>
        <v/>
      </c>
      <c r="K160" s="10"/>
    </row>
    <row r="161" customFormat="false" ht="15" hidden="false" customHeight="true" outlineLevel="0" collapsed="false">
      <c r="A161" s="13"/>
      <c r="B161" s="10"/>
      <c r="C161" s="10"/>
      <c r="D161" s="14"/>
      <c r="E161" s="11"/>
      <c r="F161" s="15" t="str">
        <f aca="false">IF($B161="","",IF(AND($D161="",$E161=""),"",IF(OR($D161="",$E161=""),0,ROUND($D161*$E161,0))))</f>
        <v/>
      </c>
      <c r="G161" s="13"/>
      <c r="H161" s="11"/>
      <c r="I161" s="15" t="str">
        <f aca="false">IF($F161="","",$F161-IF($H161="",0,$H161))</f>
        <v/>
      </c>
      <c r="J161" s="16" t="str">
        <f aca="true">IF(OR($A161="",$I161="",$I161&lt;=0),"",TODAY()-$A161)</f>
        <v/>
      </c>
      <c r="K161" s="10"/>
    </row>
    <row r="162" customFormat="false" ht="15" hidden="false" customHeight="true" outlineLevel="0" collapsed="false">
      <c r="A162" s="13"/>
      <c r="B162" s="10"/>
      <c r="C162" s="10"/>
      <c r="D162" s="14"/>
      <c r="E162" s="11"/>
      <c r="F162" s="15" t="str">
        <f aca="false">IF($B162="","",IF(AND($D162="",$E162=""),"",IF(OR($D162="",$E162=""),0,ROUND($D162*$E162,0))))</f>
        <v/>
      </c>
      <c r="G162" s="13"/>
      <c r="H162" s="11"/>
      <c r="I162" s="15" t="str">
        <f aca="false">IF($F162="","",$F162-IF($H162="",0,$H162))</f>
        <v/>
      </c>
      <c r="J162" s="16" t="str">
        <f aca="true">IF(OR($A162="",$I162="",$I162&lt;=0),"",TODAY()-$A162)</f>
        <v/>
      </c>
      <c r="K162" s="10"/>
    </row>
    <row r="163" customFormat="false" ht="15" hidden="false" customHeight="true" outlineLevel="0" collapsed="false">
      <c r="A163" s="13"/>
      <c r="B163" s="10"/>
      <c r="C163" s="10"/>
      <c r="D163" s="14"/>
      <c r="E163" s="11"/>
      <c r="F163" s="15" t="str">
        <f aca="false">IF($B163="","",IF(AND($D163="",$E163=""),"",IF(OR($D163="",$E163=""),0,ROUND($D163*$E163,0))))</f>
        <v/>
      </c>
      <c r="G163" s="13"/>
      <c r="H163" s="11"/>
      <c r="I163" s="15" t="str">
        <f aca="false">IF($F163="","",$F163-IF($H163="",0,$H163))</f>
        <v/>
      </c>
      <c r="J163" s="16" t="str">
        <f aca="true">IF(OR($A163="",$I163="",$I163&lt;=0),"",TODAY()-$A163)</f>
        <v/>
      </c>
      <c r="K163" s="10"/>
    </row>
    <row r="164" customFormat="false" ht="15" hidden="false" customHeight="true" outlineLevel="0" collapsed="false">
      <c r="A164" s="13"/>
      <c r="B164" s="10"/>
      <c r="C164" s="10"/>
      <c r="D164" s="14"/>
      <c r="E164" s="11"/>
      <c r="F164" s="15" t="str">
        <f aca="false">IF($B164="","",IF(AND($D164="",$E164=""),"",IF(OR($D164="",$E164=""),0,ROUND($D164*$E164,0))))</f>
        <v/>
      </c>
      <c r="G164" s="13"/>
      <c r="H164" s="11"/>
      <c r="I164" s="15" t="str">
        <f aca="false">IF($F164="","",$F164-IF($H164="",0,$H164))</f>
        <v/>
      </c>
      <c r="J164" s="16" t="str">
        <f aca="true">IF(OR($A164="",$I164="",$I164&lt;=0),"",TODAY()-$A164)</f>
        <v/>
      </c>
      <c r="K164" s="10"/>
    </row>
    <row r="165" customFormat="false" ht="15" hidden="false" customHeight="true" outlineLevel="0" collapsed="false">
      <c r="A165" s="13"/>
      <c r="B165" s="10"/>
      <c r="C165" s="10"/>
      <c r="D165" s="14"/>
      <c r="E165" s="11"/>
      <c r="F165" s="15" t="str">
        <f aca="false">IF($B165="","",IF(AND($D165="",$E165=""),"",IF(OR($D165="",$E165=""),0,ROUND($D165*$E165,0))))</f>
        <v/>
      </c>
      <c r="G165" s="13"/>
      <c r="H165" s="11"/>
      <c r="I165" s="15" t="str">
        <f aca="false">IF($F165="","",$F165-IF($H165="",0,$H165))</f>
        <v/>
      </c>
      <c r="J165" s="16" t="str">
        <f aca="true">IF(OR($A165="",$I165="",$I165&lt;=0),"",TODAY()-$A165)</f>
        <v/>
      </c>
      <c r="K165" s="10"/>
    </row>
    <row r="166" customFormat="false" ht="15" hidden="false" customHeight="true" outlineLevel="0" collapsed="false">
      <c r="A166" s="13"/>
      <c r="B166" s="10"/>
      <c r="C166" s="10"/>
      <c r="D166" s="14"/>
      <c r="E166" s="11"/>
      <c r="F166" s="15" t="str">
        <f aca="false">IF($B166="","",IF(AND($D166="",$E166=""),"",IF(OR($D166="",$E166=""),0,ROUND($D166*$E166,0))))</f>
        <v/>
      </c>
      <c r="G166" s="13"/>
      <c r="H166" s="11"/>
      <c r="I166" s="15" t="str">
        <f aca="false">IF($F166="","",$F166-IF($H166="",0,$H166))</f>
        <v/>
      </c>
      <c r="J166" s="16" t="str">
        <f aca="true">IF(OR($A166="",$I166="",$I166&lt;=0),"",TODAY()-$A166)</f>
        <v/>
      </c>
      <c r="K166" s="10"/>
    </row>
    <row r="167" customFormat="false" ht="15" hidden="false" customHeight="true" outlineLevel="0" collapsed="false">
      <c r="A167" s="13"/>
      <c r="B167" s="10"/>
      <c r="C167" s="10"/>
      <c r="D167" s="14"/>
      <c r="E167" s="11"/>
      <c r="F167" s="15" t="str">
        <f aca="false">IF($B167="","",IF(AND($D167="",$E167=""),"",IF(OR($D167="",$E167=""),0,ROUND($D167*$E167,0))))</f>
        <v/>
      </c>
      <c r="G167" s="13"/>
      <c r="H167" s="11"/>
      <c r="I167" s="15" t="str">
        <f aca="false">IF($F167="","",$F167-IF($H167="",0,$H167))</f>
        <v/>
      </c>
      <c r="J167" s="16" t="str">
        <f aca="true">IF(OR($A167="",$I167="",$I167&lt;=0),"",TODAY()-$A167)</f>
        <v/>
      </c>
      <c r="K167" s="10"/>
    </row>
    <row r="168" customFormat="false" ht="15" hidden="false" customHeight="true" outlineLevel="0" collapsed="false">
      <c r="A168" s="13"/>
      <c r="B168" s="10"/>
      <c r="C168" s="10"/>
      <c r="D168" s="14"/>
      <c r="E168" s="11"/>
      <c r="F168" s="15" t="str">
        <f aca="false">IF($B168="","",IF(AND($D168="",$E168=""),"",IF(OR($D168="",$E168=""),0,ROUND($D168*$E168,0))))</f>
        <v/>
      </c>
      <c r="G168" s="13"/>
      <c r="H168" s="11"/>
      <c r="I168" s="15" t="str">
        <f aca="false">IF($F168="","",$F168-IF($H168="",0,$H168))</f>
        <v/>
      </c>
      <c r="J168" s="16" t="str">
        <f aca="true">IF(OR($A168="",$I168="",$I168&lt;=0),"",TODAY()-$A168)</f>
        <v/>
      </c>
      <c r="K168" s="10"/>
    </row>
    <row r="169" customFormat="false" ht="15" hidden="false" customHeight="true" outlineLevel="0" collapsed="false">
      <c r="A169" s="13"/>
      <c r="B169" s="10"/>
      <c r="C169" s="10"/>
      <c r="D169" s="14"/>
      <c r="E169" s="11"/>
      <c r="F169" s="15" t="str">
        <f aca="false">IF($B169="","",IF(AND($D169="",$E169=""),"",IF(OR($D169="",$E169=""),0,ROUND($D169*$E169,0))))</f>
        <v/>
      </c>
      <c r="G169" s="13"/>
      <c r="H169" s="11"/>
      <c r="I169" s="15" t="str">
        <f aca="false">IF($F169="","",$F169-IF($H169="",0,$H169))</f>
        <v/>
      </c>
      <c r="J169" s="16" t="str">
        <f aca="true">IF(OR($A169="",$I169="",$I169&lt;=0),"",TODAY()-$A169)</f>
        <v/>
      </c>
      <c r="K169" s="10"/>
    </row>
    <row r="170" customFormat="false" ht="15" hidden="false" customHeight="true" outlineLevel="0" collapsed="false">
      <c r="A170" s="13"/>
      <c r="B170" s="10"/>
      <c r="C170" s="10"/>
      <c r="D170" s="14"/>
      <c r="E170" s="11"/>
      <c r="F170" s="15" t="str">
        <f aca="false">IF($B170="","",IF(AND($D170="",$E170=""),"",IF(OR($D170="",$E170=""),0,ROUND($D170*$E170,0))))</f>
        <v/>
      </c>
      <c r="G170" s="13"/>
      <c r="H170" s="11"/>
      <c r="I170" s="15" t="str">
        <f aca="false">IF($F170="","",$F170-IF($H170="",0,$H170))</f>
        <v/>
      </c>
      <c r="J170" s="16" t="str">
        <f aca="true">IF(OR($A170="",$I170="",$I170&lt;=0),"",TODAY()-$A170)</f>
        <v/>
      </c>
      <c r="K170" s="10"/>
    </row>
    <row r="171" customFormat="false" ht="15" hidden="false" customHeight="true" outlineLevel="0" collapsed="false">
      <c r="A171" s="13"/>
      <c r="B171" s="10"/>
      <c r="C171" s="10"/>
      <c r="D171" s="14"/>
      <c r="E171" s="11"/>
      <c r="F171" s="15" t="str">
        <f aca="false">IF($B171="","",IF(AND($D171="",$E171=""),"",IF(OR($D171="",$E171=""),0,ROUND($D171*$E171,0))))</f>
        <v/>
      </c>
      <c r="G171" s="13"/>
      <c r="H171" s="11"/>
      <c r="I171" s="15" t="str">
        <f aca="false">IF($F171="","",$F171-IF($H171="",0,$H171))</f>
        <v/>
      </c>
      <c r="J171" s="16" t="str">
        <f aca="true">IF(OR($A171="",$I171="",$I171&lt;=0),"",TODAY()-$A171)</f>
        <v/>
      </c>
      <c r="K171" s="10"/>
    </row>
    <row r="172" customFormat="false" ht="15" hidden="false" customHeight="true" outlineLevel="0" collapsed="false">
      <c r="A172" s="13"/>
      <c r="B172" s="10"/>
      <c r="C172" s="10"/>
      <c r="D172" s="14"/>
      <c r="E172" s="11"/>
      <c r="F172" s="15" t="str">
        <f aca="false">IF($B172="","",IF(AND($D172="",$E172=""),"",IF(OR($D172="",$E172=""),0,ROUND($D172*$E172,0))))</f>
        <v/>
      </c>
      <c r="G172" s="13"/>
      <c r="H172" s="11"/>
      <c r="I172" s="15" t="str">
        <f aca="false">IF($F172="","",$F172-IF($H172="",0,$H172))</f>
        <v/>
      </c>
      <c r="J172" s="16" t="str">
        <f aca="true">IF(OR($A172="",$I172="",$I172&lt;=0),"",TODAY()-$A172)</f>
        <v/>
      </c>
      <c r="K172" s="10"/>
    </row>
    <row r="173" customFormat="false" ht="15" hidden="false" customHeight="true" outlineLevel="0" collapsed="false">
      <c r="A173" s="13"/>
      <c r="B173" s="10"/>
      <c r="C173" s="10"/>
      <c r="D173" s="14"/>
      <c r="E173" s="11"/>
      <c r="F173" s="15" t="str">
        <f aca="false">IF($B173="","",IF(AND($D173="",$E173=""),"",IF(OR($D173="",$E173=""),0,ROUND($D173*$E173,0))))</f>
        <v/>
      </c>
      <c r="G173" s="13"/>
      <c r="H173" s="11"/>
      <c r="I173" s="15" t="str">
        <f aca="false">IF($F173="","",$F173-IF($H173="",0,$H173))</f>
        <v/>
      </c>
      <c r="J173" s="16" t="str">
        <f aca="true">IF(OR($A173="",$I173="",$I173&lt;=0),"",TODAY()-$A173)</f>
        <v/>
      </c>
      <c r="K173" s="10"/>
    </row>
    <row r="174" customFormat="false" ht="15" hidden="false" customHeight="true" outlineLevel="0" collapsed="false">
      <c r="A174" s="13"/>
      <c r="B174" s="10"/>
      <c r="C174" s="10"/>
      <c r="D174" s="14"/>
      <c r="E174" s="11"/>
      <c r="F174" s="15" t="str">
        <f aca="false">IF($B174="","",IF(AND($D174="",$E174=""),"",IF(OR($D174="",$E174=""),0,ROUND($D174*$E174,0))))</f>
        <v/>
      </c>
      <c r="G174" s="13"/>
      <c r="H174" s="11"/>
      <c r="I174" s="15" t="str">
        <f aca="false">IF($F174="","",$F174-IF($H174="",0,$H174))</f>
        <v/>
      </c>
      <c r="J174" s="16" t="str">
        <f aca="true">IF(OR($A174="",$I174="",$I174&lt;=0),"",TODAY()-$A174)</f>
        <v/>
      </c>
      <c r="K174" s="10"/>
    </row>
    <row r="175" customFormat="false" ht="15" hidden="false" customHeight="true" outlineLevel="0" collapsed="false">
      <c r="A175" s="13"/>
      <c r="B175" s="10"/>
      <c r="C175" s="10"/>
      <c r="D175" s="14"/>
      <c r="E175" s="11"/>
      <c r="F175" s="15" t="str">
        <f aca="false">IF($B175="","",IF(AND($D175="",$E175=""),"",IF(OR($D175="",$E175=""),0,ROUND($D175*$E175,0))))</f>
        <v/>
      </c>
      <c r="G175" s="13"/>
      <c r="H175" s="11"/>
      <c r="I175" s="15" t="str">
        <f aca="false">IF($F175="","",$F175-IF($H175="",0,$H175))</f>
        <v/>
      </c>
      <c r="J175" s="16" t="str">
        <f aca="true">IF(OR($A175="",$I175="",$I175&lt;=0),"",TODAY()-$A175)</f>
        <v/>
      </c>
      <c r="K175" s="10"/>
    </row>
    <row r="176" customFormat="false" ht="15" hidden="false" customHeight="true" outlineLevel="0" collapsed="false">
      <c r="A176" s="13"/>
      <c r="B176" s="10"/>
      <c r="C176" s="10"/>
      <c r="D176" s="14"/>
      <c r="E176" s="11"/>
      <c r="F176" s="15" t="str">
        <f aca="false">IF($B176="","",IF(AND($D176="",$E176=""),"",IF(OR($D176="",$E176=""),0,ROUND($D176*$E176,0))))</f>
        <v/>
      </c>
      <c r="G176" s="13"/>
      <c r="H176" s="11"/>
      <c r="I176" s="15" t="str">
        <f aca="false">IF($F176="","",$F176-IF($H176="",0,$H176))</f>
        <v/>
      </c>
      <c r="J176" s="16" t="str">
        <f aca="true">IF(OR($A176="",$I176="",$I176&lt;=0),"",TODAY()-$A176)</f>
        <v/>
      </c>
      <c r="K176" s="10"/>
    </row>
    <row r="177" customFormat="false" ht="15" hidden="false" customHeight="true" outlineLevel="0" collapsed="false">
      <c r="A177" s="13"/>
      <c r="B177" s="10"/>
      <c r="C177" s="10"/>
      <c r="D177" s="14"/>
      <c r="E177" s="11"/>
      <c r="F177" s="15" t="str">
        <f aca="false">IF($B177="","",IF(AND($D177="",$E177=""),"",IF(OR($D177="",$E177=""),0,ROUND($D177*$E177,0))))</f>
        <v/>
      </c>
      <c r="G177" s="13"/>
      <c r="H177" s="11"/>
      <c r="I177" s="15" t="str">
        <f aca="false">IF($F177="","",$F177-IF($H177="",0,$H177))</f>
        <v/>
      </c>
      <c r="J177" s="16" t="str">
        <f aca="true">IF(OR($A177="",$I177="",$I177&lt;=0),"",TODAY()-$A177)</f>
        <v/>
      </c>
      <c r="K177" s="10"/>
    </row>
    <row r="178" customFormat="false" ht="15" hidden="false" customHeight="true" outlineLevel="0" collapsed="false">
      <c r="A178" s="13"/>
      <c r="B178" s="10"/>
      <c r="C178" s="10"/>
      <c r="D178" s="14"/>
      <c r="E178" s="11"/>
      <c r="F178" s="15" t="str">
        <f aca="false">IF($B178="","",IF(AND($D178="",$E178=""),"",IF(OR($D178="",$E178=""),0,ROUND($D178*$E178,0))))</f>
        <v/>
      </c>
      <c r="G178" s="13"/>
      <c r="H178" s="11"/>
      <c r="I178" s="15" t="str">
        <f aca="false">IF($F178="","",$F178-IF($H178="",0,$H178))</f>
        <v/>
      </c>
      <c r="J178" s="16" t="str">
        <f aca="true">IF(OR($A178="",$I178="",$I178&lt;=0),"",TODAY()-$A178)</f>
        <v/>
      </c>
      <c r="K178" s="10"/>
    </row>
    <row r="179" customFormat="false" ht="15" hidden="false" customHeight="true" outlineLevel="0" collapsed="false">
      <c r="A179" s="13"/>
      <c r="B179" s="10"/>
      <c r="C179" s="10"/>
      <c r="D179" s="14"/>
      <c r="E179" s="11"/>
      <c r="F179" s="15" t="str">
        <f aca="false">IF($B179="","",IF(AND($D179="",$E179=""),"",IF(OR($D179="",$E179=""),0,ROUND($D179*$E179,0))))</f>
        <v/>
      </c>
      <c r="G179" s="13"/>
      <c r="H179" s="11"/>
      <c r="I179" s="15" t="str">
        <f aca="false">IF($F179="","",$F179-IF($H179="",0,$H179))</f>
        <v/>
      </c>
      <c r="J179" s="16" t="str">
        <f aca="true">IF(OR($A179="",$I179="",$I179&lt;=0),"",TODAY()-$A179)</f>
        <v/>
      </c>
      <c r="K179" s="10"/>
    </row>
    <row r="180" customFormat="false" ht="15" hidden="false" customHeight="true" outlineLevel="0" collapsed="false">
      <c r="A180" s="13"/>
      <c r="B180" s="10"/>
      <c r="C180" s="10"/>
      <c r="D180" s="14"/>
      <c r="E180" s="11"/>
      <c r="F180" s="15" t="str">
        <f aca="false">IF($B180="","",IF(AND($D180="",$E180=""),"",IF(OR($D180="",$E180=""),0,ROUND($D180*$E180,0))))</f>
        <v/>
      </c>
      <c r="G180" s="13"/>
      <c r="H180" s="11"/>
      <c r="I180" s="15" t="str">
        <f aca="false">IF($F180="","",$F180-IF($H180="",0,$H180))</f>
        <v/>
      </c>
      <c r="J180" s="16" t="str">
        <f aca="true">IF(OR($A180="",$I180="",$I180&lt;=0),"",TODAY()-$A180)</f>
        <v/>
      </c>
      <c r="K180" s="10"/>
    </row>
    <row r="181" customFormat="false" ht="15" hidden="false" customHeight="true" outlineLevel="0" collapsed="false">
      <c r="A181" s="13"/>
      <c r="B181" s="10"/>
      <c r="C181" s="10"/>
      <c r="D181" s="14"/>
      <c r="E181" s="11"/>
      <c r="F181" s="15" t="str">
        <f aca="false">IF($B181="","",IF(AND($D181="",$E181=""),"",IF(OR($D181="",$E181=""),0,ROUND($D181*$E181,0))))</f>
        <v/>
      </c>
      <c r="G181" s="13"/>
      <c r="H181" s="11"/>
      <c r="I181" s="15" t="str">
        <f aca="false">IF($F181="","",$F181-IF($H181="",0,$H181))</f>
        <v/>
      </c>
      <c r="J181" s="16" t="str">
        <f aca="true">IF(OR($A181="",$I181="",$I181&lt;=0),"",TODAY()-$A181)</f>
        <v/>
      </c>
      <c r="K181" s="10"/>
    </row>
    <row r="182" customFormat="false" ht="15" hidden="false" customHeight="true" outlineLevel="0" collapsed="false">
      <c r="A182" s="13"/>
      <c r="B182" s="10"/>
      <c r="C182" s="10"/>
      <c r="D182" s="14"/>
      <c r="E182" s="11"/>
      <c r="F182" s="15" t="str">
        <f aca="false">IF($B182="","",IF(AND($D182="",$E182=""),"",IF(OR($D182="",$E182=""),0,ROUND($D182*$E182,0))))</f>
        <v/>
      </c>
      <c r="G182" s="13"/>
      <c r="H182" s="11"/>
      <c r="I182" s="15" t="str">
        <f aca="false">IF($F182="","",$F182-IF($H182="",0,$H182))</f>
        <v/>
      </c>
      <c r="J182" s="16" t="str">
        <f aca="true">IF(OR($A182="",$I182="",$I182&lt;=0),"",TODAY()-$A182)</f>
        <v/>
      </c>
      <c r="K182" s="10"/>
    </row>
    <row r="183" customFormat="false" ht="15" hidden="false" customHeight="true" outlineLevel="0" collapsed="false">
      <c r="A183" s="13"/>
      <c r="B183" s="10"/>
      <c r="C183" s="10"/>
      <c r="D183" s="14"/>
      <c r="E183" s="11"/>
      <c r="F183" s="15" t="str">
        <f aca="false">IF($B183="","",IF(AND($D183="",$E183=""),"",IF(OR($D183="",$E183=""),0,ROUND($D183*$E183,0))))</f>
        <v/>
      </c>
      <c r="G183" s="13"/>
      <c r="H183" s="11"/>
      <c r="I183" s="15" t="str">
        <f aca="false">IF($F183="","",$F183-IF($H183="",0,$H183))</f>
        <v/>
      </c>
      <c r="J183" s="16" t="str">
        <f aca="true">IF(OR($A183="",$I183="",$I183&lt;=0),"",TODAY()-$A183)</f>
        <v/>
      </c>
      <c r="K183" s="10"/>
    </row>
    <row r="184" customFormat="false" ht="15" hidden="false" customHeight="true" outlineLevel="0" collapsed="false">
      <c r="A184" s="13"/>
      <c r="B184" s="10"/>
      <c r="C184" s="10"/>
      <c r="D184" s="14"/>
      <c r="E184" s="11"/>
      <c r="F184" s="15" t="str">
        <f aca="false">IF($B184="","",IF(AND($D184="",$E184=""),"",IF(OR($D184="",$E184=""),0,ROUND($D184*$E184,0))))</f>
        <v/>
      </c>
      <c r="G184" s="13"/>
      <c r="H184" s="11"/>
      <c r="I184" s="15" t="str">
        <f aca="false">IF($F184="","",$F184-IF($H184="",0,$H184))</f>
        <v/>
      </c>
      <c r="J184" s="16" t="str">
        <f aca="true">IF(OR($A184="",$I184="",$I184&lt;=0),"",TODAY()-$A184)</f>
        <v/>
      </c>
      <c r="K184" s="10"/>
    </row>
    <row r="185" customFormat="false" ht="15" hidden="false" customHeight="true" outlineLevel="0" collapsed="false">
      <c r="A185" s="13"/>
      <c r="B185" s="10"/>
      <c r="C185" s="10"/>
      <c r="D185" s="14"/>
      <c r="E185" s="11"/>
      <c r="F185" s="15" t="str">
        <f aca="false">IF($B185="","",IF(AND($D185="",$E185=""),"",IF(OR($D185="",$E185=""),0,ROUND($D185*$E185,0))))</f>
        <v/>
      </c>
      <c r="G185" s="13"/>
      <c r="H185" s="11"/>
      <c r="I185" s="15" t="str">
        <f aca="false">IF($F185="","",$F185-IF($H185="",0,$H185))</f>
        <v/>
      </c>
      <c r="J185" s="16" t="str">
        <f aca="true">IF(OR($A185="",$I185="",$I185&lt;=0),"",TODAY()-$A185)</f>
        <v/>
      </c>
      <c r="K185" s="10"/>
    </row>
    <row r="186" customFormat="false" ht="15" hidden="false" customHeight="true" outlineLevel="0" collapsed="false">
      <c r="A186" s="13"/>
      <c r="B186" s="10"/>
      <c r="C186" s="10"/>
      <c r="D186" s="14"/>
      <c r="E186" s="11"/>
      <c r="F186" s="15" t="str">
        <f aca="false">IF($B186="","",IF(AND($D186="",$E186=""),"",IF(OR($D186="",$E186=""),0,ROUND($D186*$E186,0))))</f>
        <v/>
      </c>
      <c r="G186" s="13"/>
      <c r="H186" s="11"/>
      <c r="I186" s="15" t="str">
        <f aca="false">IF($F186="","",$F186-IF($H186="",0,$H186))</f>
        <v/>
      </c>
      <c r="J186" s="16" t="str">
        <f aca="true">IF(OR($A186="",$I186="",$I186&lt;=0),"",TODAY()-$A186)</f>
        <v/>
      </c>
      <c r="K186" s="10"/>
    </row>
    <row r="187" customFormat="false" ht="15" hidden="false" customHeight="true" outlineLevel="0" collapsed="false">
      <c r="A187" s="13"/>
      <c r="B187" s="10"/>
      <c r="C187" s="10"/>
      <c r="D187" s="14"/>
      <c r="E187" s="11"/>
      <c r="F187" s="15" t="str">
        <f aca="false">IF($B187="","",IF(AND($D187="",$E187=""),"",IF(OR($D187="",$E187=""),0,ROUND($D187*$E187,0))))</f>
        <v/>
      </c>
      <c r="G187" s="13"/>
      <c r="H187" s="11"/>
      <c r="I187" s="15" t="str">
        <f aca="false">IF($F187="","",$F187-IF($H187="",0,$H187))</f>
        <v/>
      </c>
      <c r="J187" s="16" t="str">
        <f aca="true">IF(OR($A187="",$I187="",$I187&lt;=0),"",TODAY()-$A187)</f>
        <v/>
      </c>
      <c r="K187" s="10"/>
    </row>
    <row r="188" customFormat="false" ht="15" hidden="false" customHeight="true" outlineLevel="0" collapsed="false">
      <c r="A188" s="13"/>
      <c r="B188" s="10"/>
      <c r="C188" s="10"/>
      <c r="D188" s="14"/>
      <c r="E188" s="11"/>
      <c r="F188" s="15" t="str">
        <f aca="false">IF($B188="","",IF(AND($D188="",$E188=""),"",IF(OR($D188="",$E188=""),0,ROUND($D188*$E188,0))))</f>
        <v/>
      </c>
      <c r="G188" s="13"/>
      <c r="H188" s="11"/>
      <c r="I188" s="15" t="str">
        <f aca="false">IF($F188="","",$F188-IF($H188="",0,$H188))</f>
        <v/>
      </c>
      <c r="J188" s="16" t="str">
        <f aca="true">IF(OR($A188="",$I188="",$I188&lt;=0),"",TODAY()-$A188)</f>
        <v/>
      </c>
      <c r="K188" s="10"/>
    </row>
    <row r="189" customFormat="false" ht="15" hidden="false" customHeight="true" outlineLevel="0" collapsed="false">
      <c r="A189" s="13"/>
      <c r="B189" s="10"/>
      <c r="C189" s="10"/>
      <c r="D189" s="14"/>
      <c r="E189" s="11"/>
      <c r="F189" s="15" t="str">
        <f aca="false">IF($B189="","",IF(AND($D189="",$E189=""),"",IF(OR($D189="",$E189=""),0,ROUND($D189*$E189,0))))</f>
        <v/>
      </c>
      <c r="G189" s="13"/>
      <c r="H189" s="11"/>
      <c r="I189" s="15" t="str">
        <f aca="false">IF($F189="","",$F189-IF($H189="",0,$H189))</f>
        <v/>
      </c>
      <c r="J189" s="16" t="str">
        <f aca="true">IF(OR($A189="",$I189="",$I189&lt;=0),"",TODAY()-$A189)</f>
        <v/>
      </c>
      <c r="K189" s="10"/>
    </row>
    <row r="190" customFormat="false" ht="15" hidden="false" customHeight="true" outlineLevel="0" collapsed="false">
      <c r="A190" s="13"/>
      <c r="B190" s="10"/>
      <c r="C190" s="10"/>
      <c r="D190" s="14"/>
      <c r="E190" s="11"/>
      <c r="F190" s="15" t="str">
        <f aca="false">IF($B190="","",IF(AND($D190="",$E190=""),"",IF(OR($D190="",$E190=""),0,ROUND($D190*$E190,0))))</f>
        <v/>
      </c>
      <c r="G190" s="13"/>
      <c r="H190" s="11"/>
      <c r="I190" s="15" t="str">
        <f aca="false">IF($F190="","",$F190-IF($H190="",0,$H190))</f>
        <v/>
      </c>
      <c r="J190" s="16" t="str">
        <f aca="true">IF(OR($A190="",$I190="",$I190&lt;=0),"",TODAY()-$A190)</f>
        <v/>
      </c>
      <c r="K190" s="10"/>
    </row>
    <row r="191" customFormat="false" ht="15" hidden="false" customHeight="true" outlineLevel="0" collapsed="false">
      <c r="A191" s="13"/>
      <c r="B191" s="10"/>
      <c r="C191" s="10"/>
      <c r="D191" s="14"/>
      <c r="E191" s="11"/>
      <c r="F191" s="15" t="str">
        <f aca="false">IF($B191="","",IF(AND($D191="",$E191=""),"",IF(OR($D191="",$E191=""),0,ROUND($D191*$E191,0))))</f>
        <v/>
      </c>
      <c r="G191" s="13"/>
      <c r="H191" s="11"/>
      <c r="I191" s="15" t="str">
        <f aca="false">IF($F191="","",$F191-IF($H191="",0,$H191))</f>
        <v/>
      </c>
      <c r="J191" s="16" t="str">
        <f aca="true">IF(OR($A191="",$I191="",$I191&lt;=0),"",TODAY()-$A191)</f>
        <v/>
      </c>
      <c r="K191" s="10"/>
    </row>
    <row r="192" customFormat="false" ht="15" hidden="false" customHeight="true" outlineLevel="0" collapsed="false">
      <c r="A192" s="13"/>
      <c r="B192" s="10"/>
      <c r="C192" s="10"/>
      <c r="D192" s="14"/>
      <c r="E192" s="11"/>
      <c r="F192" s="15" t="str">
        <f aca="false">IF($B192="","",IF(AND($D192="",$E192=""),"",IF(OR($D192="",$E192=""),0,ROUND($D192*$E192,0))))</f>
        <v/>
      </c>
      <c r="G192" s="13"/>
      <c r="H192" s="11"/>
      <c r="I192" s="15" t="str">
        <f aca="false">IF($F192="","",$F192-IF($H192="",0,$H192))</f>
        <v/>
      </c>
      <c r="J192" s="16" t="str">
        <f aca="true">IF(OR($A192="",$I192="",$I192&lt;=0),"",TODAY()-$A192)</f>
        <v/>
      </c>
      <c r="K192" s="10"/>
    </row>
    <row r="193" customFormat="false" ht="15" hidden="false" customHeight="true" outlineLevel="0" collapsed="false">
      <c r="A193" s="13"/>
      <c r="B193" s="10"/>
      <c r="C193" s="10"/>
      <c r="D193" s="14"/>
      <c r="E193" s="11"/>
      <c r="F193" s="15" t="str">
        <f aca="false">IF($B193="","",IF(AND($D193="",$E193=""),"",IF(OR($D193="",$E193=""),0,ROUND($D193*$E193,0))))</f>
        <v/>
      </c>
      <c r="G193" s="13"/>
      <c r="H193" s="11"/>
      <c r="I193" s="15" t="str">
        <f aca="false">IF($F193="","",$F193-IF($H193="",0,$H193))</f>
        <v/>
      </c>
      <c r="J193" s="16" t="str">
        <f aca="true">IF(OR($A193="",$I193="",$I193&lt;=0),"",TODAY()-$A193)</f>
        <v/>
      </c>
      <c r="K193" s="10"/>
    </row>
    <row r="194" customFormat="false" ht="15" hidden="false" customHeight="true" outlineLevel="0" collapsed="false">
      <c r="A194" s="13"/>
      <c r="B194" s="10"/>
      <c r="C194" s="10"/>
      <c r="D194" s="14"/>
      <c r="E194" s="11"/>
      <c r="F194" s="15" t="str">
        <f aca="false">IF($B194="","",IF(AND($D194="",$E194=""),"",IF(OR($D194="",$E194=""),0,ROUND($D194*$E194,0))))</f>
        <v/>
      </c>
      <c r="G194" s="13"/>
      <c r="H194" s="11"/>
      <c r="I194" s="15" t="str">
        <f aca="false">IF($F194="","",$F194-IF($H194="",0,$H194))</f>
        <v/>
      </c>
      <c r="J194" s="16" t="str">
        <f aca="true">IF(OR($A194="",$I194="",$I194&lt;=0),"",TODAY()-$A194)</f>
        <v/>
      </c>
      <c r="K194" s="10"/>
    </row>
    <row r="195" customFormat="false" ht="15" hidden="false" customHeight="true" outlineLevel="0" collapsed="false">
      <c r="A195" s="13"/>
      <c r="B195" s="10"/>
      <c r="C195" s="10"/>
      <c r="D195" s="14"/>
      <c r="E195" s="11"/>
      <c r="F195" s="15" t="str">
        <f aca="false">IF($B195="","",IF(AND($D195="",$E195=""),"",IF(OR($D195="",$E195=""),0,ROUND($D195*$E195,0))))</f>
        <v/>
      </c>
      <c r="G195" s="13"/>
      <c r="H195" s="11"/>
      <c r="I195" s="15" t="str">
        <f aca="false">IF($F195="","",$F195-IF($H195="",0,$H195))</f>
        <v/>
      </c>
      <c r="J195" s="16" t="str">
        <f aca="true">IF(OR($A195="",$I195="",$I195&lt;=0),"",TODAY()-$A195)</f>
        <v/>
      </c>
      <c r="K195" s="10"/>
    </row>
    <row r="196" customFormat="false" ht="15" hidden="false" customHeight="true" outlineLevel="0" collapsed="false">
      <c r="A196" s="13"/>
      <c r="B196" s="10"/>
      <c r="C196" s="10"/>
      <c r="D196" s="14"/>
      <c r="E196" s="11"/>
      <c r="F196" s="15" t="str">
        <f aca="false">IF($B196="","",IF(AND($D196="",$E196=""),"",IF(OR($D196="",$E196=""),0,ROUND($D196*$E196,0))))</f>
        <v/>
      </c>
      <c r="G196" s="13"/>
      <c r="H196" s="11"/>
      <c r="I196" s="15" t="str">
        <f aca="false">IF($F196="","",$F196-IF($H196="",0,$H196))</f>
        <v/>
      </c>
      <c r="J196" s="16" t="str">
        <f aca="true">IF(OR($A196="",$I196="",$I196&lt;=0),"",TODAY()-$A196)</f>
        <v/>
      </c>
      <c r="K196" s="10"/>
    </row>
    <row r="197" customFormat="false" ht="15" hidden="false" customHeight="true" outlineLevel="0" collapsed="false">
      <c r="A197" s="13"/>
      <c r="B197" s="10"/>
      <c r="C197" s="10"/>
      <c r="D197" s="14"/>
      <c r="E197" s="11"/>
      <c r="F197" s="15" t="str">
        <f aca="false">IF($B197="","",IF(AND($D197="",$E197=""),"",IF(OR($D197="",$E197=""),0,ROUND($D197*$E197,0))))</f>
        <v/>
      </c>
      <c r="G197" s="13"/>
      <c r="H197" s="11"/>
      <c r="I197" s="15" t="str">
        <f aca="false">IF($F197="","",$F197-IF($H197="",0,$H197))</f>
        <v/>
      </c>
      <c r="J197" s="16" t="str">
        <f aca="true">IF(OR($A197="",$I197="",$I197&lt;=0),"",TODAY()-$A197)</f>
        <v/>
      </c>
      <c r="K197" s="10"/>
    </row>
    <row r="198" customFormat="false" ht="15" hidden="false" customHeight="true" outlineLevel="0" collapsed="false">
      <c r="A198" s="13"/>
      <c r="B198" s="10"/>
      <c r="C198" s="10"/>
      <c r="D198" s="14"/>
      <c r="E198" s="11"/>
      <c r="F198" s="15" t="str">
        <f aca="false">IF($B198="","",IF(AND($D198="",$E198=""),"",IF(OR($D198="",$E198=""),0,ROUND($D198*$E198,0))))</f>
        <v/>
      </c>
      <c r="G198" s="13"/>
      <c r="H198" s="11"/>
      <c r="I198" s="15" t="str">
        <f aca="false">IF($F198="","",$F198-IF($H198="",0,$H198))</f>
        <v/>
      </c>
      <c r="J198" s="16" t="str">
        <f aca="true">IF(OR($A198="",$I198="",$I198&lt;=0),"",TODAY()-$A198)</f>
        <v/>
      </c>
      <c r="K198" s="10"/>
    </row>
    <row r="199" customFormat="false" ht="15" hidden="false" customHeight="true" outlineLevel="0" collapsed="false">
      <c r="A199" s="13"/>
      <c r="B199" s="10"/>
      <c r="C199" s="10"/>
      <c r="D199" s="14"/>
      <c r="E199" s="11"/>
      <c r="F199" s="15" t="str">
        <f aca="false">IF($B199="","",IF(AND($D199="",$E199=""),"",IF(OR($D199="",$E199=""),0,ROUND($D199*$E199,0))))</f>
        <v/>
      </c>
      <c r="G199" s="13"/>
      <c r="H199" s="11"/>
      <c r="I199" s="15" t="str">
        <f aca="false">IF($F199="","",$F199-IF($H199="",0,$H199))</f>
        <v/>
      </c>
      <c r="J199" s="16" t="str">
        <f aca="true">IF(OR($A199="",$I199="",$I199&lt;=0),"",TODAY()-$A199)</f>
        <v/>
      </c>
      <c r="K199" s="10"/>
    </row>
    <row r="200" customFormat="false" ht="15" hidden="false" customHeight="true" outlineLevel="0" collapsed="false">
      <c r="A200" s="13"/>
      <c r="B200" s="10"/>
      <c r="C200" s="10"/>
      <c r="D200" s="14"/>
      <c r="E200" s="11"/>
      <c r="F200" s="15" t="str">
        <f aca="false">IF($B200="","",IF(AND($D200="",$E200=""),"",IF(OR($D200="",$E200=""),0,ROUND($D200*$E200,0))))</f>
        <v/>
      </c>
      <c r="G200" s="13"/>
      <c r="H200" s="11"/>
      <c r="I200" s="15" t="str">
        <f aca="false">IF($F200="","",$F200-IF($H200="",0,$H200))</f>
        <v/>
      </c>
      <c r="J200" s="16" t="str">
        <f aca="true">IF(OR($A200="",$I200="",$I200&lt;=0),"",TODAY()-$A200)</f>
        <v/>
      </c>
      <c r="K200" s="10"/>
    </row>
    <row r="201" customFormat="false" ht="15" hidden="false" customHeight="true" outlineLevel="0" collapsed="false">
      <c r="A201" s="13"/>
      <c r="B201" s="10"/>
      <c r="C201" s="10"/>
      <c r="D201" s="14"/>
      <c r="E201" s="11"/>
      <c r="F201" s="15" t="str">
        <f aca="false">IF($B201="","",IF(AND($D201="",$E201=""),"",IF(OR($D201="",$E201=""),0,ROUND($D201*$E201,0))))</f>
        <v/>
      </c>
      <c r="G201" s="13"/>
      <c r="H201" s="11"/>
      <c r="I201" s="15" t="str">
        <f aca="false">IF($F201="","",$F201-IF($H201="",0,$H201))</f>
        <v/>
      </c>
      <c r="J201" s="16" t="str">
        <f aca="true">IF(OR($A201="",$I201="",$I201&lt;=0),"",TODAY()-$A201)</f>
        <v/>
      </c>
      <c r="K201" s="10"/>
    </row>
    <row r="202" customFormat="false" ht="15" hidden="false" customHeight="true" outlineLevel="0" collapsed="false">
      <c r="A202" s="13"/>
      <c r="B202" s="10"/>
      <c r="C202" s="10"/>
      <c r="D202" s="14"/>
      <c r="E202" s="11"/>
      <c r="F202" s="15" t="str">
        <f aca="false">IF($B202="","",IF(AND($D202="",$E202=""),"",IF(OR($D202="",$E202=""),0,ROUND($D202*$E202,0))))</f>
        <v/>
      </c>
      <c r="G202" s="13"/>
      <c r="H202" s="11"/>
      <c r="I202" s="15" t="str">
        <f aca="false">IF($F202="","",$F202-IF($H202="",0,$H202))</f>
        <v/>
      </c>
      <c r="J202" s="16" t="str">
        <f aca="true">IF(OR($A202="",$I202="",$I202&lt;=0),"",TODAY()-$A202)</f>
        <v/>
      </c>
      <c r="K202" s="10"/>
    </row>
    <row r="203" customFormat="false" ht="15" hidden="false" customHeight="true" outlineLevel="0" collapsed="false">
      <c r="A203" s="13"/>
      <c r="B203" s="10"/>
      <c r="C203" s="10"/>
      <c r="D203" s="14"/>
      <c r="E203" s="11"/>
      <c r="F203" s="15" t="str">
        <f aca="false">IF($B203="","",IF(AND($D203="",$E203=""),"",IF(OR($D203="",$E203=""),0,ROUND($D203*$E203,0))))</f>
        <v/>
      </c>
      <c r="G203" s="13"/>
      <c r="H203" s="11"/>
      <c r="I203" s="15" t="str">
        <f aca="false">IF($F203="","",$F203-IF($H203="",0,$H203))</f>
        <v/>
      </c>
      <c r="J203" s="16" t="str">
        <f aca="true">IF(OR($A203="",$I203="",$I203&lt;=0),"",TODAY()-$A203)</f>
        <v/>
      </c>
      <c r="K203" s="10"/>
    </row>
    <row r="204" customFormat="false" ht="15" hidden="false" customHeight="true" outlineLevel="0" collapsed="false">
      <c r="A204" s="13"/>
      <c r="B204" s="10"/>
      <c r="C204" s="10"/>
      <c r="D204" s="14"/>
      <c r="E204" s="11"/>
      <c r="F204" s="15" t="str">
        <f aca="false">IF($B204="","",IF(AND($D204="",$E204=""),"",IF(OR($D204="",$E204=""),0,ROUND($D204*$E204,0))))</f>
        <v/>
      </c>
      <c r="G204" s="13"/>
      <c r="H204" s="11"/>
      <c r="I204" s="15" t="str">
        <f aca="false">IF($F204="","",$F204-IF($H204="",0,$H204))</f>
        <v/>
      </c>
      <c r="J204" s="16" t="str">
        <f aca="true">IF(OR($A204="",$I204="",$I204&lt;=0),"",TODAY()-$A204)</f>
        <v/>
      </c>
      <c r="K204" s="10"/>
    </row>
    <row r="205" customFormat="false" ht="15" hidden="false" customHeight="true" outlineLevel="0" collapsed="false">
      <c r="A205" s="13"/>
      <c r="B205" s="10"/>
      <c r="C205" s="10"/>
      <c r="D205" s="14"/>
      <c r="E205" s="11"/>
      <c r="F205" s="15" t="str">
        <f aca="false">IF($B205="","",IF(AND($D205="",$E205=""),"",IF(OR($D205="",$E205=""),0,ROUND($D205*$E205,0))))</f>
        <v/>
      </c>
      <c r="G205" s="13"/>
      <c r="H205" s="11"/>
      <c r="I205" s="15" t="str">
        <f aca="false">IF($F205="","",$F205-IF($H205="",0,$H205))</f>
        <v/>
      </c>
      <c r="J205" s="16" t="str">
        <f aca="true">IF(OR($A205="",$I205="",$I205&lt;=0),"",TODAY()-$A205)</f>
        <v/>
      </c>
      <c r="K205" s="10"/>
    </row>
    <row r="206" customFormat="false" ht="15" hidden="false" customHeight="true" outlineLevel="0" collapsed="false">
      <c r="A206" s="13"/>
      <c r="B206" s="10"/>
      <c r="C206" s="10"/>
      <c r="D206" s="14"/>
      <c r="E206" s="11"/>
      <c r="F206" s="15" t="str">
        <f aca="false">IF($B206="","",IF(AND($D206="",$E206=""),"",IF(OR($D206="",$E206=""),0,ROUND($D206*$E206,0))))</f>
        <v/>
      </c>
      <c r="G206" s="13"/>
      <c r="H206" s="11"/>
      <c r="I206" s="15" t="str">
        <f aca="false">IF($F206="","",$F206-IF($H206="",0,$H206))</f>
        <v/>
      </c>
      <c r="J206" s="16" t="str">
        <f aca="true">IF(OR($A206="",$I206="",$I206&lt;=0),"",TODAY()-$A206)</f>
        <v/>
      </c>
      <c r="K206" s="10"/>
    </row>
    <row r="207" customFormat="false" ht="15" hidden="false" customHeight="true" outlineLevel="0" collapsed="false">
      <c r="A207" s="13"/>
      <c r="B207" s="10"/>
      <c r="C207" s="10"/>
      <c r="D207" s="14"/>
      <c r="E207" s="11"/>
      <c r="F207" s="15" t="str">
        <f aca="false">IF($B207="","",IF(AND($D207="",$E207=""),"",IF(OR($D207="",$E207=""),0,ROUND($D207*$E207,0))))</f>
        <v/>
      </c>
      <c r="G207" s="13"/>
      <c r="H207" s="11"/>
      <c r="I207" s="15" t="str">
        <f aca="false">IF($F207="","",$F207-IF($H207="",0,$H207))</f>
        <v/>
      </c>
      <c r="J207" s="16" t="str">
        <f aca="true">IF(OR($A207="",$I207="",$I207&lt;=0),"",TODAY()-$A207)</f>
        <v/>
      </c>
      <c r="K207" s="10"/>
    </row>
    <row r="208" customFormat="false" ht="15" hidden="false" customHeight="true" outlineLevel="0" collapsed="false">
      <c r="A208" s="13"/>
      <c r="B208" s="10"/>
      <c r="C208" s="10"/>
      <c r="D208" s="14"/>
      <c r="E208" s="11"/>
      <c r="F208" s="15" t="str">
        <f aca="false">IF($B208="","",IF(AND($D208="",$E208=""),"",IF(OR($D208="",$E208=""),0,ROUND($D208*$E208,0))))</f>
        <v/>
      </c>
      <c r="G208" s="13"/>
      <c r="H208" s="11"/>
      <c r="I208" s="15" t="str">
        <f aca="false">IF($F208="","",$F208-IF($H208="",0,$H208))</f>
        <v/>
      </c>
      <c r="J208" s="16" t="str">
        <f aca="true">IF(OR($A208="",$I208="",$I208&lt;=0),"",TODAY()-$A208)</f>
        <v/>
      </c>
      <c r="K208" s="10"/>
    </row>
    <row r="209" customFormat="false" ht="15" hidden="false" customHeight="true" outlineLevel="0" collapsed="false">
      <c r="A209" s="13"/>
      <c r="B209" s="10"/>
      <c r="C209" s="10"/>
      <c r="D209" s="14"/>
      <c r="E209" s="11"/>
      <c r="F209" s="15" t="str">
        <f aca="false">IF($B209="","",IF(AND($D209="",$E209=""),"",IF(OR($D209="",$E209=""),0,ROUND($D209*$E209,0))))</f>
        <v/>
      </c>
      <c r="G209" s="13"/>
      <c r="H209" s="11"/>
      <c r="I209" s="15" t="str">
        <f aca="false">IF($F209="","",$F209-IF($H209="",0,$H209))</f>
        <v/>
      </c>
      <c r="J209" s="16" t="str">
        <f aca="true">IF(OR($A209="",$I209="",$I209&lt;=0),"",TODAY()-$A209)</f>
        <v/>
      </c>
      <c r="K209" s="10"/>
    </row>
    <row r="210" customFormat="false" ht="15" hidden="false" customHeight="true" outlineLevel="0" collapsed="false">
      <c r="A210" s="13"/>
      <c r="B210" s="10"/>
      <c r="C210" s="10"/>
      <c r="D210" s="14"/>
      <c r="E210" s="11"/>
      <c r="F210" s="15" t="str">
        <f aca="false">IF($B210="","",IF(AND($D210="",$E210=""),"",IF(OR($D210="",$E210=""),0,ROUND($D210*$E210,0))))</f>
        <v/>
      </c>
      <c r="G210" s="13"/>
      <c r="H210" s="11"/>
      <c r="I210" s="15" t="str">
        <f aca="false">IF($F210="","",$F210-IF($H210="",0,$H210))</f>
        <v/>
      </c>
      <c r="J210" s="16" t="str">
        <f aca="true">IF(OR($A210="",$I210="",$I210&lt;=0),"",TODAY()-$A210)</f>
        <v/>
      </c>
      <c r="K210" s="10"/>
    </row>
    <row r="211" customFormat="false" ht="15" hidden="false" customHeight="true" outlineLevel="0" collapsed="false">
      <c r="A211" s="13"/>
      <c r="B211" s="10"/>
      <c r="C211" s="10"/>
      <c r="D211" s="14"/>
      <c r="E211" s="11"/>
      <c r="F211" s="15" t="str">
        <f aca="false">IF($B211="","",IF(AND($D211="",$E211=""),"",IF(OR($D211="",$E211=""),0,ROUND($D211*$E211,0))))</f>
        <v/>
      </c>
      <c r="G211" s="13"/>
      <c r="H211" s="11"/>
      <c r="I211" s="15" t="str">
        <f aca="false">IF($F211="","",$F211-IF($H211="",0,$H211))</f>
        <v/>
      </c>
      <c r="J211" s="16" t="str">
        <f aca="true">IF(OR($A211="",$I211="",$I211&lt;=0),"",TODAY()-$A211)</f>
        <v/>
      </c>
      <c r="K211" s="10"/>
    </row>
    <row r="212" customFormat="false" ht="15" hidden="false" customHeight="true" outlineLevel="0" collapsed="false">
      <c r="A212" s="13"/>
      <c r="B212" s="10"/>
      <c r="C212" s="10"/>
      <c r="D212" s="14"/>
      <c r="E212" s="11"/>
      <c r="F212" s="15" t="str">
        <f aca="false">IF($B212="","",IF(AND($D212="",$E212=""),"",IF(OR($D212="",$E212=""),0,ROUND($D212*$E212,0))))</f>
        <v/>
      </c>
      <c r="G212" s="13"/>
      <c r="H212" s="11"/>
      <c r="I212" s="15" t="str">
        <f aca="false">IF($F212="","",$F212-IF($H212="",0,$H212))</f>
        <v/>
      </c>
      <c r="J212" s="16" t="str">
        <f aca="true">IF(OR($A212="",$I212="",$I212&lt;=0),"",TODAY()-$A212)</f>
        <v/>
      </c>
      <c r="K212" s="10"/>
    </row>
    <row r="213" customFormat="false" ht="15" hidden="false" customHeight="true" outlineLevel="0" collapsed="false">
      <c r="A213" s="13"/>
      <c r="B213" s="10"/>
      <c r="C213" s="10"/>
      <c r="D213" s="14"/>
      <c r="E213" s="11"/>
      <c r="F213" s="15" t="str">
        <f aca="false">IF($B213="","",IF(AND($D213="",$E213=""),"",IF(OR($D213="",$E213=""),0,ROUND($D213*$E213,0))))</f>
        <v/>
      </c>
      <c r="G213" s="13"/>
      <c r="H213" s="11"/>
      <c r="I213" s="15" t="str">
        <f aca="false">IF($F213="","",$F213-IF($H213="",0,$H213))</f>
        <v/>
      </c>
      <c r="J213" s="16" t="str">
        <f aca="true">IF(OR($A213="",$I213="",$I213&lt;=0),"",TODAY()-$A213)</f>
        <v/>
      </c>
      <c r="K213" s="10"/>
    </row>
    <row r="214" customFormat="false" ht="15" hidden="false" customHeight="true" outlineLevel="0" collapsed="false">
      <c r="A214" s="13"/>
      <c r="B214" s="10"/>
      <c r="C214" s="10"/>
      <c r="D214" s="14"/>
      <c r="E214" s="11"/>
      <c r="F214" s="15" t="str">
        <f aca="false">IF($B214="","",IF(AND($D214="",$E214=""),"",IF(OR($D214="",$E214=""),0,ROUND($D214*$E214,0))))</f>
        <v/>
      </c>
      <c r="G214" s="13"/>
      <c r="H214" s="11"/>
      <c r="I214" s="15" t="str">
        <f aca="false">IF($F214="","",$F214-IF($H214="",0,$H214))</f>
        <v/>
      </c>
      <c r="J214" s="16" t="str">
        <f aca="true">IF(OR($A214="",$I214="",$I214&lt;=0),"",TODAY()-$A214)</f>
        <v/>
      </c>
      <c r="K214" s="10"/>
    </row>
    <row r="215" customFormat="false" ht="15" hidden="false" customHeight="true" outlineLevel="0" collapsed="false">
      <c r="A215" s="13"/>
      <c r="B215" s="10"/>
      <c r="C215" s="10"/>
      <c r="D215" s="14"/>
      <c r="E215" s="11"/>
      <c r="F215" s="15" t="str">
        <f aca="false">IF($B215="","",IF(AND($D215="",$E215=""),"",IF(OR($D215="",$E215=""),0,ROUND($D215*$E215,0))))</f>
        <v/>
      </c>
      <c r="G215" s="13"/>
      <c r="H215" s="11"/>
      <c r="I215" s="15" t="str">
        <f aca="false">IF($F215="","",$F215-IF($H215="",0,$H215))</f>
        <v/>
      </c>
      <c r="J215" s="16" t="str">
        <f aca="true">IF(OR($A215="",$I215="",$I215&lt;=0),"",TODAY()-$A215)</f>
        <v/>
      </c>
      <c r="K215" s="10"/>
    </row>
    <row r="216" customFormat="false" ht="15" hidden="false" customHeight="true" outlineLevel="0" collapsed="false">
      <c r="A216" s="13"/>
      <c r="B216" s="10"/>
      <c r="C216" s="10"/>
      <c r="D216" s="14"/>
      <c r="E216" s="11"/>
      <c r="F216" s="15" t="str">
        <f aca="false">IF($B216="","",IF(AND($D216="",$E216=""),"",IF(OR($D216="",$E216=""),0,ROUND($D216*$E216,0))))</f>
        <v/>
      </c>
      <c r="G216" s="13"/>
      <c r="H216" s="11"/>
      <c r="I216" s="15" t="str">
        <f aca="false">IF($F216="","",$F216-IF($H216="",0,$H216))</f>
        <v/>
      </c>
      <c r="J216" s="16" t="str">
        <f aca="true">IF(OR($A216="",$I216="",$I216&lt;=0),"",TODAY()-$A216)</f>
        <v/>
      </c>
      <c r="K216" s="10"/>
    </row>
    <row r="217" customFormat="false" ht="15" hidden="false" customHeight="true" outlineLevel="0" collapsed="false">
      <c r="A217" s="13"/>
      <c r="B217" s="10"/>
      <c r="C217" s="10"/>
      <c r="D217" s="14"/>
      <c r="E217" s="11"/>
      <c r="F217" s="15" t="str">
        <f aca="false">IF($B217="","",IF(AND($D217="",$E217=""),"",IF(OR($D217="",$E217=""),0,ROUND($D217*$E217,0))))</f>
        <v/>
      </c>
      <c r="G217" s="13"/>
      <c r="H217" s="11"/>
      <c r="I217" s="15" t="str">
        <f aca="false">IF($F217="","",$F217-IF($H217="",0,$H217))</f>
        <v/>
      </c>
      <c r="J217" s="16" t="str">
        <f aca="true">IF(OR($A217="",$I217="",$I217&lt;=0),"",TODAY()-$A217)</f>
        <v/>
      </c>
      <c r="K217" s="10"/>
    </row>
    <row r="218" customFormat="false" ht="15" hidden="false" customHeight="true" outlineLevel="0" collapsed="false">
      <c r="A218" s="13"/>
      <c r="B218" s="10"/>
      <c r="C218" s="10"/>
      <c r="D218" s="14"/>
      <c r="E218" s="11"/>
      <c r="F218" s="15" t="str">
        <f aca="false">IF($B218="","",IF(AND($D218="",$E218=""),"",IF(OR($D218="",$E218=""),0,ROUND($D218*$E218,0))))</f>
        <v/>
      </c>
      <c r="G218" s="13"/>
      <c r="H218" s="11"/>
      <c r="I218" s="15" t="str">
        <f aca="false">IF($F218="","",$F218-IF($H218="",0,$H218))</f>
        <v/>
      </c>
      <c r="J218" s="16" t="str">
        <f aca="true">IF(OR($A218="",$I218="",$I218&lt;=0),"",TODAY()-$A218)</f>
        <v/>
      </c>
      <c r="K218" s="10"/>
    </row>
    <row r="219" customFormat="false" ht="15" hidden="false" customHeight="true" outlineLevel="0" collapsed="false">
      <c r="A219" s="13"/>
      <c r="B219" s="10"/>
      <c r="C219" s="10"/>
      <c r="D219" s="14"/>
      <c r="E219" s="11"/>
      <c r="F219" s="15" t="str">
        <f aca="false">IF($B219="","",IF(AND($D219="",$E219=""),"",IF(OR($D219="",$E219=""),0,ROUND($D219*$E219,0))))</f>
        <v/>
      </c>
      <c r="G219" s="13"/>
      <c r="H219" s="11"/>
      <c r="I219" s="15" t="str">
        <f aca="false">IF($F219="","",$F219-IF($H219="",0,$H219))</f>
        <v/>
      </c>
      <c r="J219" s="16" t="str">
        <f aca="true">IF(OR($A219="",$I219="",$I219&lt;=0),"",TODAY()-$A219)</f>
        <v/>
      </c>
      <c r="K219" s="10"/>
    </row>
    <row r="220" customFormat="false" ht="15" hidden="false" customHeight="true" outlineLevel="0" collapsed="false">
      <c r="A220" s="13"/>
      <c r="B220" s="10"/>
      <c r="C220" s="10"/>
      <c r="D220" s="14"/>
      <c r="E220" s="11"/>
      <c r="F220" s="15" t="str">
        <f aca="false">IF($B220="","",IF(AND($D220="",$E220=""),"",IF(OR($D220="",$E220=""),0,ROUND($D220*$E220,0))))</f>
        <v/>
      </c>
      <c r="G220" s="13"/>
      <c r="H220" s="11"/>
      <c r="I220" s="15" t="str">
        <f aca="false">IF($F220="","",$F220-IF($H220="",0,$H220))</f>
        <v/>
      </c>
      <c r="J220" s="16" t="str">
        <f aca="true">IF(OR($A220="",$I220="",$I220&lt;=0),"",TODAY()-$A220)</f>
        <v/>
      </c>
      <c r="K220" s="10"/>
    </row>
    <row r="221" customFormat="false" ht="15" hidden="false" customHeight="true" outlineLevel="0" collapsed="false">
      <c r="A221" s="13"/>
      <c r="B221" s="10"/>
      <c r="C221" s="10"/>
      <c r="D221" s="14"/>
      <c r="E221" s="11"/>
      <c r="F221" s="15" t="str">
        <f aca="false">IF($B221="","",IF(AND($D221="",$E221=""),"",IF(OR($D221="",$E221=""),0,ROUND($D221*$E221,0))))</f>
        <v/>
      </c>
      <c r="G221" s="13"/>
      <c r="H221" s="11"/>
      <c r="I221" s="15" t="str">
        <f aca="false">IF($F221="","",$F221-IF($H221="",0,$H221))</f>
        <v/>
      </c>
      <c r="J221" s="16" t="str">
        <f aca="true">IF(OR($A221="",$I221="",$I221&lt;=0),"",TODAY()-$A221)</f>
        <v/>
      </c>
      <c r="K221" s="10"/>
    </row>
    <row r="222" customFormat="false" ht="15" hidden="false" customHeight="true" outlineLevel="0" collapsed="false">
      <c r="A222" s="13"/>
      <c r="B222" s="10"/>
      <c r="C222" s="10"/>
      <c r="D222" s="14"/>
      <c r="E222" s="11"/>
      <c r="F222" s="15" t="str">
        <f aca="false">IF($B222="","",IF(AND($D222="",$E222=""),"",IF(OR($D222="",$E222=""),0,ROUND($D222*$E222,0))))</f>
        <v/>
      </c>
      <c r="G222" s="13"/>
      <c r="H222" s="11"/>
      <c r="I222" s="15" t="str">
        <f aca="false">IF($F222="","",$F222-IF($H222="",0,$H222))</f>
        <v/>
      </c>
      <c r="J222" s="16" t="str">
        <f aca="true">IF(OR($A222="",$I222="",$I222&lt;=0),"",TODAY()-$A222)</f>
        <v/>
      </c>
      <c r="K222" s="10"/>
    </row>
    <row r="223" customFormat="false" ht="15" hidden="false" customHeight="true" outlineLevel="0" collapsed="false">
      <c r="A223" s="13"/>
      <c r="B223" s="10"/>
      <c r="C223" s="10"/>
      <c r="D223" s="14"/>
      <c r="E223" s="11"/>
      <c r="F223" s="15" t="str">
        <f aca="false">IF($B223="","",IF(AND($D223="",$E223=""),"",IF(OR($D223="",$E223=""),0,ROUND($D223*$E223,0))))</f>
        <v/>
      </c>
      <c r="G223" s="13"/>
      <c r="H223" s="11"/>
      <c r="I223" s="15" t="str">
        <f aca="false">IF($F223="","",$F223-IF($H223="",0,$H223))</f>
        <v/>
      </c>
      <c r="J223" s="16" t="str">
        <f aca="true">IF(OR($A223="",$I223="",$I223&lt;=0),"",TODAY()-$A223)</f>
        <v/>
      </c>
      <c r="K223" s="10"/>
    </row>
    <row r="224" customFormat="false" ht="15" hidden="false" customHeight="true" outlineLevel="0" collapsed="false">
      <c r="A224" s="13"/>
      <c r="B224" s="10"/>
      <c r="C224" s="10"/>
      <c r="D224" s="14"/>
      <c r="E224" s="11"/>
      <c r="F224" s="15" t="str">
        <f aca="false">IF($B224="","",IF(AND($D224="",$E224=""),"",IF(OR($D224="",$E224=""),0,ROUND($D224*$E224,0))))</f>
        <v/>
      </c>
      <c r="G224" s="13"/>
      <c r="H224" s="11"/>
      <c r="I224" s="15" t="str">
        <f aca="false">IF($F224="","",$F224-IF($H224="",0,$H224))</f>
        <v/>
      </c>
      <c r="J224" s="16" t="str">
        <f aca="true">IF(OR($A224="",$I224="",$I224&lt;=0),"",TODAY()-$A224)</f>
        <v/>
      </c>
      <c r="K224" s="10"/>
    </row>
    <row r="225" customFormat="false" ht="15" hidden="false" customHeight="true" outlineLevel="0" collapsed="false">
      <c r="A225" s="13"/>
      <c r="B225" s="10"/>
      <c r="C225" s="10"/>
      <c r="D225" s="14"/>
      <c r="E225" s="11"/>
      <c r="F225" s="15" t="str">
        <f aca="false">IF($B225="","",IF(AND($D225="",$E225=""),"",IF(OR($D225="",$E225=""),0,ROUND($D225*$E225,0))))</f>
        <v/>
      </c>
      <c r="G225" s="13"/>
      <c r="H225" s="11"/>
      <c r="I225" s="15" t="str">
        <f aca="false">IF($F225="","",$F225-IF($H225="",0,$H225))</f>
        <v/>
      </c>
      <c r="J225" s="16" t="str">
        <f aca="true">IF(OR($A225="",$I225="",$I225&lt;=0),"",TODAY()-$A225)</f>
        <v/>
      </c>
      <c r="K225" s="10"/>
    </row>
    <row r="226" customFormat="false" ht="15" hidden="false" customHeight="true" outlineLevel="0" collapsed="false">
      <c r="A226" s="13"/>
      <c r="B226" s="10"/>
      <c r="C226" s="10"/>
      <c r="D226" s="14"/>
      <c r="E226" s="11"/>
      <c r="F226" s="15" t="str">
        <f aca="false">IF($B226="","",IF(AND($D226="",$E226=""),"",IF(OR($D226="",$E226=""),0,ROUND($D226*$E226,0))))</f>
        <v/>
      </c>
      <c r="G226" s="13"/>
      <c r="H226" s="11"/>
      <c r="I226" s="15" t="str">
        <f aca="false">IF($F226="","",$F226-IF($H226="",0,$H226))</f>
        <v/>
      </c>
      <c r="J226" s="16" t="str">
        <f aca="true">IF(OR($A226="",$I226="",$I226&lt;=0),"",TODAY()-$A226)</f>
        <v/>
      </c>
      <c r="K226" s="10"/>
    </row>
    <row r="227" customFormat="false" ht="15" hidden="false" customHeight="true" outlineLevel="0" collapsed="false">
      <c r="A227" s="13"/>
      <c r="B227" s="10"/>
      <c r="C227" s="10"/>
      <c r="D227" s="14"/>
      <c r="E227" s="11"/>
      <c r="F227" s="15" t="str">
        <f aca="false">IF($B227="","",IF(AND($D227="",$E227=""),"",IF(OR($D227="",$E227=""),0,ROUND($D227*$E227,0))))</f>
        <v/>
      </c>
      <c r="G227" s="13"/>
      <c r="H227" s="11"/>
      <c r="I227" s="15" t="str">
        <f aca="false">IF($F227="","",$F227-IF($H227="",0,$H227))</f>
        <v/>
      </c>
      <c r="J227" s="16" t="str">
        <f aca="true">IF(OR($A227="",$I227="",$I227&lt;=0),"",TODAY()-$A227)</f>
        <v/>
      </c>
      <c r="K227" s="10"/>
    </row>
    <row r="228" customFormat="false" ht="15" hidden="false" customHeight="true" outlineLevel="0" collapsed="false">
      <c r="A228" s="13"/>
      <c r="B228" s="10"/>
      <c r="C228" s="10"/>
      <c r="D228" s="14"/>
      <c r="E228" s="11"/>
      <c r="F228" s="15" t="str">
        <f aca="false">IF($B228="","",IF(AND($D228="",$E228=""),"",IF(OR($D228="",$E228=""),0,ROUND($D228*$E228,0))))</f>
        <v/>
      </c>
      <c r="G228" s="13"/>
      <c r="H228" s="11"/>
      <c r="I228" s="15" t="str">
        <f aca="false">IF($F228="","",$F228-IF($H228="",0,$H228))</f>
        <v/>
      </c>
      <c r="J228" s="16" t="str">
        <f aca="true">IF(OR($A228="",$I228="",$I228&lt;=0),"",TODAY()-$A228)</f>
        <v/>
      </c>
      <c r="K228" s="10"/>
    </row>
    <row r="229" customFormat="false" ht="15" hidden="false" customHeight="true" outlineLevel="0" collapsed="false">
      <c r="A229" s="13"/>
      <c r="B229" s="10"/>
      <c r="C229" s="10"/>
      <c r="D229" s="14"/>
      <c r="E229" s="11"/>
      <c r="F229" s="15" t="str">
        <f aca="false">IF($B229="","",IF(AND($D229="",$E229=""),"",IF(OR($D229="",$E229=""),0,ROUND($D229*$E229,0))))</f>
        <v/>
      </c>
      <c r="G229" s="13"/>
      <c r="H229" s="11"/>
      <c r="I229" s="15" t="str">
        <f aca="false">IF($F229="","",$F229-IF($H229="",0,$H229))</f>
        <v/>
      </c>
      <c r="J229" s="16" t="str">
        <f aca="true">IF(OR($A229="",$I229="",$I229&lt;=0),"",TODAY()-$A229)</f>
        <v/>
      </c>
      <c r="K229" s="10"/>
    </row>
    <row r="230" customFormat="false" ht="15" hidden="false" customHeight="true" outlineLevel="0" collapsed="false">
      <c r="A230" s="13"/>
      <c r="B230" s="10"/>
      <c r="C230" s="10"/>
      <c r="D230" s="14"/>
      <c r="E230" s="11"/>
      <c r="F230" s="15" t="str">
        <f aca="false">IF($B230="","",IF(AND($D230="",$E230=""),"",IF(OR($D230="",$E230=""),0,ROUND($D230*$E230,0))))</f>
        <v/>
      </c>
      <c r="G230" s="13"/>
      <c r="H230" s="11"/>
      <c r="I230" s="15" t="str">
        <f aca="false">IF($F230="","",$F230-IF($H230="",0,$H230))</f>
        <v/>
      </c>
      <c r="J230" s="16" t="str">
        <f aca="true">IF(OR($A230="",$I230="",$I230&lt;=0),"",TODAY()-$A230)</f>
        <v/>
      </c>
      <c r="K230" s="10"/>
    </row>
    <row r="231" customFormat="false" ht="15" hidden="false" customHeight="true" outlineLevel="0" collapsed="false">
      <c r="A231" s="13"/>
      <c r="B231" s="10"/>
      <c r="C231" s="10"/>
      <c r="D231" s="14"/>
      <c r="E231" s="11"/>
      <c r="F231" s="15" t="str">
        <f aca="false">IF($B231="","",IF(AND($D231="",$E231=""),"",IF(OR($D231="",$E231=""),0,ROUND($D231*$E231,0))))</f>
        <v/>
      </c>
      <c r="G231" s="13"/>
      <c r="H231" s="11"/>
      <c r="I231" s="15" t="str">
        <f aca="false">IF($F231="","",$F231-IF($H231="",0,$H231))</f>
        <v/>
      </c>
      <c r="J231" s="16" t="str">
        <f aca="true">IF(OR($A231="",$I231="",$I231&lt;=0),"",TODAY()-$A231)</f>
        <v/>
      </c>
      <c r="K231" s="10"/>
    </row>
    <row r="232" customFormat="false" ht="15" hidden="false" customHeight="true" outlineLevel="0" collapsed="false">
      <c r="A232" s="13"/>
      <c r="B232" s="10"/>
      <c r="C232" s="10"/>
      <c r="D232" s="14"/>
      <c r="E232" s="11"/>
      <c r="F232" s="15" t="str">
        <f aca="false">IF($B232="","",IF(AND($D232="",$E232=""),"",IF(OR($D232="",$E232=""),0,ROUND($D232*$E232,0))))</f>
        <v/>
      </c>
      <c r="G232" s="13"/>
      <c r="H232" s="11"/>
      <c r="I232" s="15" t="str">
        <f aca="false">IF($F232="","",$F232-IF($H232="",0,$H232))</f>
        <v/>
      </c>
      <c r="J232" s="16" t="str">
        <f aca="true">IF(OR($A232="",$I232="",$I232&lt;=0),"",TODAY()-$A232)</f>
        <v/>
      </c>
      <c r="K232" s="10"/>
    </row>
    <row r="233" customFormat="false" ht="15" hidden="false" customHeight="true" outlineLevel="0" collapsed="false">
      <c r="A233" s="13"/>
      <c r="B233" s="10"/>
      <c r="C233" s="10"/>
      <c r="D233" s="14"/>
      <c r="E233" s="11"/>
      <c r="F233" s="15" t="str">
        <f aca="false">IF($B233="","",IF(AND($D233="",$E233=""),"",IF(OR($D233="",$E233=""),0,ROUND($D233*$E233,0))))</f>
        <v/>
      </c>
      <c r="G233" s="13"/>
      <c r="H233" s="11"/>
      <c r="I233" s="15" t="str">
        <f aca="false">IF($F233="","",$F233-IF($H233="",0,$H233))</f>
        <v/>
      </c>
      <c r="J233" s="16" t="str">
        <f aca="true">IF(OR($A233="",$I233="",$I233&lt;=0),"",TODAY()-$A233)</f>
        <v/>
      </c>
      <c r="K233" s="10"/>
    </row>
    <row r="234" customFormat="false" ht="15" hidden="false" customHeight="true" outlineLevel="0" collapsed="false">
      <c r="A234" s="13"/>
      <c r="B234" s="10"/>
      <c r="C234" s="10"/>
      <c r="D234" s="14"/>
      <c r="E234" s="11"/>
      <c r="F234" s="15" t="str">
        <f aca="false">IF($B234="","",IF(AND($D234="",$E234=""),"",IF(OR($D234="",$E234=""),0,ROUND($D234*$E234,0))))</f>
        <v/>
      </c>
      <c r="G234" s="13"/>
      <c r="H234" s="11"/>
      <c r="I234" s="15" t="str">
        <f aca="false">IF($F234="","",$F234-IF($H234="",0,$H234))</f>
        <v/>
      </c>
      <c r="J234" s="16" t="str">
        <f aca="true">IF(OR($A234="",$I234="",$I234&lt;=0),"",TODAY()-$A234)</f>
        <v/>
      </c>
      <c r="K234" s="10"/>
    </row>
    <row r="235" customFormat="false" ht="15" hidden="false" customHeight="true" outlineLevel="0" collapsed="false">
      <c r="A235" s="13"/>
      <c r="B235" s="10"/>
      <c r="C235" s="10"/>
      <c r="D235" s="14"/>
      <c r="E235" s="11"/>
      <c r="F235" s="15" t="str">
        <f aca="false">IF($B235="","",IF(AND($D235="",$E235=""),"",IF(OR($D235="",$E235=""),0,ROUND($D235*$E235,0))))</f>
        <v/>
      </c>
      <c r="G235" s="13"/>
      <c r="H235" s="11"/>
      <c r="I235" s="15" t="str">
        <f aca="false">IF($F235="","",$F235-IF($H235="",0,$H235))</f>
        <v/>
      </c>
      <c r="J235" s="16" t="str">
        <f aca="true">IF(OR($A235="",$I235="",$I235&lt;=0),"",TODAY()-$A235)</f>
        <v/>
      </c>
      <c r="K235" s="10"/>
    </row>
    <row r="236" customFormat="false" ht="15" hidden="false" customHeight="true" outlineLevel="0" collapsed="false">
      <c r="A236" s="13"/>
      <c r="B236" s="10"/>
      <c r="C236" s="10"/>
      <c r="D236" s="14"/>
      <c r="E236" s="11"/>
      <c r="F236" s="15" t="str">
        <f aca="false">IF($B236="","",IF(AND($D236="",$E236=""),"",IF(OR($D236="",$E236=""),0,ROUND($D236*$E236,0))))</f>
        <v/>
      </c>
      <c r="G236" s="13"/>
      <c r="H236" s="11"/>
      <c r="I236" s="15" t="str">
        <f aca="false">IF($F236="","",$F236-IF($H236="",0,$H236))</f>
        <v/>
      </c>
      <c r="J236" s="16" t="str">
        <f aca="true">IF(OR($A236="",$I236="",$I236&lt;=0),"",TODAY()-$A236)</f>
        <v/>
      </c>
      <c r="K236" s="10"/>
    </row>
    <row r="237" customFormat="false" ht="15" hidden="false" customHeight="true" outlineLevel="0" collapsed="false">
      <c r="A237" s="13"/>
      <c r="B237" s="10"/>
      <c r="C237" s="10"/>
      <c r="D237" s="14"/>
      <c r="E237" s="11"/>
      <c r="F237" s="15" t="str">
        <f aca="false">IF($B237="","",IF(AND($D237="",$E237=""),"",IF(OR($D237="",$E237=""),0,ROUND($D237*$E237,0))))</f>
        <v/>
      </c>
      <c r="G237" s="13"/>
      <c r="H237" s="11"/>
      <c r="I237" s="15" t="str">
        <f aca="false">IF($F237="","",$F237-IF($H237="",0,$H237))</f>
        <v/>
      </c>
      <c r="J237" s="16" t="str">
        <f aca="true">IF(OR($A237="",$I237="",$I237&lt;=0),"",TODAY()-$A237)</f>
        <v/>
      </c>
      <c r="K237" s="10"/>
    </row>
    <row r="238" customFormat="false" ht="15" hidden="false" customHeight="true" outlineLevel="0" collapsed="false">
      <c r="A238" s="13"/>
      <c r="B238" s="10"/>
      <c r="C238" s="10"/>
      <c r="D238" s="14"/>
      <c r="E238" s="11"/>
      <c r="F238" s="15" t="str">
        <f aca="false">IF($B238="","",IF(AND($D238="",$E238=""),"",IF(OR($D238="",$E238=""),0,ROUND($D238*$E238,0))))</f>
        <v/>
      </c>
      <c r="G238" s="13"/>
      <c r="H238" s="11"/>
      <c r="I238" s="15" t="str">
        <f aca="false">IF($F238="","",$F238-IF($H238="",0,$H238))</f>
        <v/>
      </c>
      <c r="J238" s="16" t="str">
        <f aca="true">IF(OR($A238="",$I238="",$I238&lt;=0),"",TODAY()-$A238)</f>
        <v/>
      </c>
      <c r="K238" s="10"/>
    </row>
    <row r="239" customFormat="false" ht="15" hidden="false" customHeight="true" outlineLevel="0" collapsed="false">
      <c r="A239" s="13"/>
      <c r="B239" s="10"/>
      <c r="C239" s="10"/>
      <c r="D239" s="14"/>
      <c r="E239" s="11"/>
      <c r="F239" s="15" t="str">
        <f aca="false">IF($B239="","",IF(AND($D239="",$E239=""),"",IF(OR($D239="",$E239=""),0,ROUND($D239*$E239,0))))</f>
        <v/>
      </c>
      <c r="G239" s="13"/>
      <c r="H239" s="11"/>
      <c r="I239" s="15" t="str">
        <f aca="false">IF($F239="","",$F239-IF($H239="",0,$H239))</f>
        <v/>
      </c>
      <c r="J239" s="16" t="str">
        <f aca="true">IF(OR($A239="",$I239="",$I239&lt;=0),"",TODAY()-$A239)</f>
        <v/>
      </c>
      <c r="K239" s="10"/>
    </row>
    <row r="240" customFormat="false" ht="15" hidden="false" customHeight="true" outlineLevel="0" collapsed="false">
      <c r="A240" s="13"/>
      <c r="B240" s="10"/>
      <c r="C240" s="10"/>
      <c r="D240" s="14"/>
      <c r="E240" s="11"/>
      <c r="F240" s="15" t="str">
        <f aca="false">IF($B240="","",IF(AND($D240="",$E240=""),"",IF(OR($D240="",$E240=""),0,ROUND($D240*$E240,0))))</f>
        <v/>
      </c>
      <c r="G240" s="13"/>
      <c r="H240" s="11"/>
      <c r="I240" s="15" t="str">
        <f aca="false">IF($F240="","",$F240-IF($H240="",0,$H240))</f>
        <v/>
      </c>
      <c r="J240" s="16" t="str">
        <f aca="true">IF(OR($A240="",$I240="",$I240&lt;=0),"",TODAY()-$A240)</f>
        <v/>
      </c>
      <c r="K240" s="10"/>
    </row>
    <row r="241" customFormat="false" ht="15" hidden="false" customHeight="true" outlineLevel="0" collapsed="false">
      <c r="A241" s="13"/>
      <c r="B241" s="10"/>
      <c r="C241" s="10"/>
      <c r="D241" s="14"/>
      <c r="E241" s="11"/>
      <c r="F241" s="15" t="str">
        <f aca="false">IF($B241="","",IF(AND($D241="",$E241=""),"",IF(OR($D241="",$E241=""),0,ROUND($D241*$E241,0))))</f>
        <v/>
      </c>
      <c r="G241" s="13"/>
      <c r="H241" s="11"/>
      <c r="I241" s="15" t="str">
        <f aca="false">IF($F241="","",$F241-IF($H241="",0,$H241))</f>
        <v/>
      </c>
      <c r="J241" s="16" t="str">
        <f aca="true">IF(OR($A241="",$I241="",$I241&lt;=0),"",TODAY()-$A241)</f>
        <v/>
      </c>
      <c r="K241" s="10"/>
    </row>
    <row r="242" customFormat="false" ht="15" hidden="false" customHeight="true" outlineLevel="0" collapsed="false">
      <c r="A242" s="13"/>
      <c r="B242" s="10"/>
      <c r="C242" s="10"/>
      <c r="D242" s="14"/>
      <c r="E242" s="11"/>
      <c r="F242" s="15" t="str">
        <f aca="false">IF($B242="","",IF(AND($D242="",$E242=""),"",IF(OR($D242="",$E242=""),0,ROUND($D242*$E242,0))))</f>
        <v/>
      </c>
      <c r="G242" s="13"/>
      <c r="H242" s="11"/>
      <c r="I242" s="15" t="str">
        <f aca="false">IF($F242="","",$F242-IF($H242="",0,$H242))</f>
        <v/>
      </c>
      <c r="J242" s="16" t="str">
        <f aca="true">IF(OR($A242="",$I242="",$I242&lt;=0),"",TODAY()-$A242)</f>
        <v/>
      </c>
      <c r="K242" s="10"/>
    </row>
    <row r="243" customFormat="false" ht="15" hidden="false" customHeight="true" outlineLevel="0" collapsed="false">
      <c r="A243" s="13"/>
      <c r="B243" s="10"/>
      <c r="C243" s="10"/>
      <c r="D243" s="14"/>
      <c r="E243" s="11"/>
      <c r="F243" s="15" t="str">
        <f aca="false">IF($B243="","",IF(AND($D243="",$E243=""),"",IF(OR($D243="",$E243=""),0,ROUND($D243*$E243,0))))</f>
        <v/>
      </c>
      <c r="G243" s="13"/>
      <c r="H243" s="11"/>
      <c r="I243" s="15" t="str">
        <f aca="false">IF($F243="","",$F243-IF($H243="",0,$H243))</f>
        <v/>
      </c>
      <c r="J243" s="16" t="str">
        <f aca="true">IF(OR($A243="",$I243="",$I243&lt;=0),"",TODAY()-$A243)</f>
        <v/>
      </c>
      <c r="K243" s="10"/>
    </row>
    <row r="244" customFormat="false" ht="15" hidden="false" customHeight="true" outlineLevel="0" collapsed="false">
      <c r="A244" s="13"/>
      <c r="B244" s="10"/>
      <c r="C244" s="10"/>
      <c r="D244" s="14"/>
      <c r="E244" s="11"/>
      <c r="F244" s="15" t="str">
        <f aca="false">IF($B244="","",IF(AND($D244="",$E244=""),"",IF(OR($D244="",$E244=""),0,ROUND($D244*$E244,0))))</f>
        <v/>
      </c>
      <c r="G244" s="13"/>
      <c r="H244" s="11"/>
      <c r="I244" s="15" t="str">
        <f aca="false">IF($F244="","",$F244-IF($H244="",0,$H244))</f>
        <v/>
      </c>
      <c r="J244" s="16" t="str">
        <f aca="true">IF(OR($A244="",$I244="",$I244&lt;=0),"",TODAY()-$A244)</f>
        <v/>
      </c>
      <c r="K244" s="10"/>
    </row>
    <row r="245" customFormat="false" ht="15" hidden="false" customHeight="true" outlineLevel="0" collapsed="false">
      <c r="A245" s="13"/>
      <c r="B245" s="10"/>
      <c r="C245" s="10"/>
      <c r="D245" s="14"/>
      <c r="E245" s="11"/>
      <c r="F245" s="15" t="str">
        <f aca="false">IF($B245="","",IF(AND($D245="",$E245=""),"",IF(OR($D245="",$E245=""),0,ROUND($D245*$E245,0))))</f>
        <v/>
      </c>
      <c r="G245" s="13"/>
      <c r="H245" s="11"/>
      <c r="I245" s="15" t="str">
        <f aca="false">IF($F245="","",$F245-IF($H245="",0,$H245))</f>
        <v/>
      </c>
      <c r="J245" s="16" t="str">
        <f aca="true">IF(OR($A245="",$I245="",$I245&lt;=0),"",TODAY()-$A245)</f>
        <v/>
      </c>
      <c r="K245" s="10"/>
    </row>
    <row r="246" customFormat="false" ht="15" hidden="false" customHeight="true" outlineLevel="0" collapsed="false">
      <c r="A246" s="13"/>
      <c r="B246" s="10"/>
      <c r="C246" s="10"/>
      <c r="D246" s="14"/>
      <c r="E246" s="11"/>
      <c r="F246" s="15" t="str">
        <f aca="false">IF($B246="","",IF(AND($D246="",$E246=""),"",IF(OR($D246="",$E246=""),0,ROUND($D246*$E246,0))))</f>
        <v/>
      </c>
      <c r="G246" s="13"/>
      <c r="H246" s="11"/>
      <c r="I246" s="15" t="str">
        <f aca="false">IF($F246="","",$F246-IF($H246="",0,$H246))</f>
        <v/>
      </c>
      <c r="J246" s="16" t="str">
        <f aca="true">IF(OR($A246="",$I246="",$I246&lt;=0),"",TODAY()-$A246)</f>
        <v/>
      </c>
      <c r="K246" s="10"/>
    </row>
    <row r="247" customFormat="false" ht="15" hidden="false" customHeight="true" outlineLevel="0" collapsed="false">
      <c r="A247" s="13"/>
      <c r="B247" s="10"/>
      <c r="C247" s="10"/>
      <c r="D247" s="14"/>
      <c r="E247" s="11"/>
      <c r="F247" s="15" t="str">
        <f aca="false">IF($B247="","",IF(AND($D247="",$E247=""),"",IF(OR($D247="",$E247=""),0,ROUND($D247*$E247,0))))</f>
        <v/>
      </c>
      <c r="G247" s="13"/>
      <c r="H247" s="11"/>
      <c r="I247" s="15" t="str">
        <f aca="false">IF($F247="","",$F247-IF($H247="",0,$H247))</f>
        <v/>
      </c>
      <c r="J247" s="16" t="str">
        <f aca="true">IF(OR($A247="",$I247="",$I247&lt;=0),"",TODAY()-$A247)</f>
        <v/>
      </c>
      <c r="K247" s="10"/>
    </row>
    <row r="248" customFormat="false" ht="15" hidden="false" customHeight="true" outlineLevel="0" collapsed="false">
      <c r="A248" s="13"/>
      <c r="B248" s="10"/>
      <c r="C248" s="10"/>
      <c r="D248" s="14"/>
      <c r="E248" s="11"/>
      <c r="F248" s="15" t="str">
        <f aca="false">IF($B248="","",IF(AND($D248="",$E248=""),"",IF(OR($D248="",$E248=""),0,ROUND($D248*$E248,0))))</f>
        <v/>
      </c>
      <c r="G248" s="13"/>
      <c r="H248" s="11"/>
      <c r="I248" s="15" t="str">
        <f aca="false">IF($F248="","",$F248-IF($H248="",0,$H248))</f>
        <v/>
      </c>
      <c r="J248" s="16" t="str">
        <f aca="true">IF(OR($A248="",$I248="",$I248&lt;=0),"",TODAY()-$A248)</f>
        <v/>
      </c>
      <c r="K248" s="10"/>
    </row>
    <row r="249" customFormat="false" ht="15" hidden="false" customHeight="true" outlineLevel="0" collapsed="false">
      <c r="A249" s="13"/>
      <c r="B249" s="10"/>
      <c r="C249" s="10"/>
      <c r="D249" s="14"/>
      <c r="E249" s="11"/>
      <c r="F249" s="15" t="str">
        <f aca="false">IF($B249="","",IF(AND($D249="",$E249=""),"",IF(OR($D249="",$E249=""),0,ROUND($D249*$E249,0))))</f>
        <v/>
      </c>
      <c r="G249" s="13"/>
      <c r="H249" s="11"/>
      <c r="I249" s="15" t="str">
        <f aca="false">IF($F249="","",$F249-IF($H249="",0,$H249))</f>
        <v/>
      </c>
      <c r="J249" s="16" t="str">
        <f aca="true">IF(OR($A249="",$I249="",$I249&lt;=0),"",TODAY()-$A249)</f>
        <v/>
      </c>
      <c r="K249" s="10"/>
    </row>
    <row r="250" customFormat="false" ht="15" hidden="false" customHeight="true" outlineLevel="0" collapsed="false">
      <c r="A250" s="13"/>
      <c r="B250" s="10"/>
      <c r="C250" s="10"/>
      <c r="D250" s="14"/>
      <c r="E250" s="11"/>
      <c r="F250" s="15" t="str">
        <f aca="false">IF($B250="","",IF(AND($D250="",$E250=""),"",IF(OR($D250="",$E250=""),0,ROUND($D250*$E250,0))))</f>
        <v/>
      </c>
      <c r="G250" s="13"/>
      <c r="H250" s="11"/>
      <c r="I250" s="15" t="str">
        <f aca="false">IF($F250="","",$F250-IF($H250="",0,$H250))</f>
        <v/>
      </c>
      <c r="J250" s="16" t="str">
        <f aca="true">IF(OR($A250="",$I250="",$I250&lt;=0),"",TODAY()-$A250)</f>
        <v/>
      </c>
      <c r="K250" s="10"/>
    </row>
    <row r="251" customFormat="false" ht="15" hidden="false" customHeight="true" outlineLevel="0" collapsed="false">
      <c r="A251" s="13"/>
      <c r="B251" s="10"/>
      <c r="C251" s="10"/>
      <c r="D251" s="14"/>
      <c r="E251" s="11"/>
      <c r="F251" s="15" t="str">
        <f aca="false">IF($B251="","",IF(AND($D251="",$E251=""),"",IF(OR($D251="",$E251=""),0,ROUND($D251*$E251,0))))</f>
        <v/>
      </c>
      <c r="G251" s="13"/>
      <c r="H251" s="11"/>
      <c r="I251" s="15" t="str">
        <f aca="false">IF($F251="","",$F251-IF($H251="",0,$H251))</f>
        <v/>
      </c>
      <c r="J251" s="16" t="str">
        <f aca="true">IF(OR($A251="",$I251="",$I251&lt;=0),"",TODAY()-$A251)</f>
        <v/>
      </c>
      <c r="K251" s="10"/>
    </row>
    <row r="252" customFormat="false" ht="15" hidden="false" customHeight="true" outlineLevel="0" collapsed="false">
      <c r="A252" s="13"/>
      <c r="B252" s="10"/>
      <c r="C252" s="10"/>
      <c r="D252" s="14"/>
      <c r="E252" s="11"/>
      <c r="F252" s="15" t="str">
        <f aca="false">IF($B252="","",IF(AND($D252="",$E252=""),"",IF(OR($D252="",$E252=""),0,ROUND($D252*$E252,0))))</f>
        <v/>
      </c>
      <c r="G252" s="13"/>
      <c r="H252" s="11"/>
      <c r="I252" s="15" t="str">
        <f aca="false">IF($F252="","",$F252-IF($H252="",0,$H252))</f>
        <v/>
      </c>
      <c r="J252" s="16" t="str">
        <f aca="true">IF(OR($A252="",$I252="",$I252&lt;=0),"",TODAY()-$A252)</f>
        <v/>
      </c>
      <c r="K252" s="10"/>
    </row>
    <row r="253" customFormat="false" ht="15" hidden="false" customHeight="true" outlineLevel="0" collapsed="false">
      <c r="A253" s="13"/>
      <c r="B253" s="10"/>
      <c r="C253" s="10"/>
      <c r="D253" s="14"/>
      <c r="E253" s="11"/>
      <c r="F253" s="15" t="str">
        <f aca="false">IF($B253="","",IF(AND($D253="",$E253=""),"",IF(OR($D253="",$E253=""),0,ROUND($D253*$E253,0))))</f>
        <v/>
      </c>
      <c r="G253" s="13"/>
      <c r="H253" s="11"/>
      <c r="I253" s="15" t="str">
        <f aca="false">IF($F253="","",$F253-IF($H253="",0,$H253))</f>
        <v/>
      </c>
      <c r="J253" s="16" t="str">
        <f aca="true">IF(OR($A253="",$I253="",$I253&lt;=0),"",TODAY()-$A253)</f>
        <v/>
      </c>
      <c r="K253" s="10"/>
    </row>
    <row r="254" customFormat="false" ht="15" hidden="false" customHeight="true" outlineLevel="0" collapsed="false">
      <c r="A254" s="13"/>
      <c r="B254" s="10"/>
      <c r="C254" s="10"/>
      <c r="D254" s="14"/>
      <c r="E254" s="11"/>
      <c r="F254" s="15" t="str">
        <f aca="false">IF($B254="","",IF(AND($D254="",$E254=""),"",IF(OR($D254="",$E254=""),0,ROUND($D254*$E254,0))))</f>
        <v/>
      </c>
      <c r="G254" s="13"/>
      <c r="H254" s="11"/>
      <c r="I254" s="15" t="str">
        <f aca="false">IF($F254="","",$F254-IF($H254="",0,$H254))</f>
        <v/>
      </c>
      <c r="J254" s="16" t="str">
        <f aca="true">IF(OR($A254="",$I254="",$I254&lt;=0),"",TODAY()-$A254)</f>
        <v/>
      </c>
      <c r="K254" s="10"/>
    </row>
    <row r="255" customFormat="false" ht="15" hidden="false" customHeight="true" outlineLevel="0" collapsed="false">
      <c r="A255" s="13"/>
      <c r="B255" s="10"/>
      <c r="C255" s="10"/>
      <c r="D255" s="14"/>
      <c r="E255" s="11"/>
      <c r="F255" s="15" t="str">
        <f aca="false">IF($B255="","",IF(AND($D255="",$E255=""),"",IF(OR($D255="",$E255=""),0,ROUND($D255*$E255,0))))</f>
        <v/>
      </c>
      <c r="G255" s="13"/>
      <c r="H255" s="11"/>
      <c r="I255" s="15" t="str">
        <f aca="false">IF($F255="","",$F255-IF($H255="",0,$H255))</f>
        <v/>
      </c>
      <c r="J255" s="16" t="str">
        <f aca="true">IF(OR($A255="",$I255="",$I255&lt;=0),"",TODAY()-$A255)</f>
        <v/>
      </c>
      <c r="K255" s="10"/>
    </row>
    <row r="256" customFormat="false" ht="15" hidden="false" customHeight="true" outlineLevel="0" collapsed="false">
      <c r="A256" s="13"/>
      <c r="B256" s="10"/>
      <c r="C256" s="10"/>
      <c r="D256" s="14"/>
      <c r="E256" s="11"/>
      <c r="F256" s="15" t="str">
        <f aca="false">IF($B256="","",IF(AND($D256="",$E256=""),"",IF(OR($D256="",$E256=""),0,ROUND($D256*$E256,0))))</f>
        <v/>
      </c>
      <c r="G256" s="13"/>
      <c r="H256" s="11"/>
      <c r="I256" s="15" t="str">
        <f aca="false">IF($F256="","",$F256-IF($H256="",0,$H256))</f>
        <v/>
      </c>
      <c r="J256" s="16" t="str">
        <f aca="true">IF(OR($A256="",$I256="",$I256&lt;=0),"",TODAY()-$A256)</f>
        <v/>
      </c>
      <c r="K256" s="10"/>
    </row>
    <row r="257" customFormat="false" ht="15" hidden="false" customHeight="true" outlineLevel="0" collapsed="false">
      <c r="A257" s="13"/>
      <c r="B257" s="10"/>
      <c r="C257" s="10"/>
      <c r="D257" s="14"/>
      <c r="E257" s="11"/>
      <c r="F257" s="15" t="str">
        <f aca="false">IF($B257="","",IF(AND($D257="",$E257=""),"",IF(OR($D257="",$E257=""),0,ROUND($D257*$E257,0))))</f>
        <v/>
      </c>
      <c r="G257" s="13"/>
      <c r="H257" s="11"/>
      <c r="I257" s="15" t="str">
        <f aca="false">IF($F257="","",$F257-IF($H257="",0,$H257))</f>
        <v/>
      </c>
      <c r="J257" s="16" t="str">
        <f aca="true">IF(OR($A257="",$I257="",$I257&lt;=0),"",TODAY()-$A257)</f>
        <v/>
      </c>
      <c r="K257" s="10"/>
    </row>
    <row r="258" customFormat="false" ht="15" hidden="false" customHeight="true" outlineLevel="0" collapsed="false">
      <c r="A258" s="13"/>
      <c r="B258" s="10"/>
      <c r="C258" s="10"/>
      <c r="D258" s="14"/>
      <c r="E258" s="11"/>
      <c r="F258" s="15" t="str">
        <f aca="false">IF($B258="","",IF(AND($D258="",$E258=""),"",IF(OR($D258="",$E258=""),0,ROUND($D258*$E258,0))))</f>
        <v/>
      </c>
      <c r="G258" s="13"/>
      <c r="H258" s="11"/>
      <c r="I258" s="15" t="str">
        <f aca="false">IF($F258="","",$F258-IF($H258="",0,$H258))</f>
        <v/>
      </c>
      <c r="J258" s="16" t="str">
        <f aca="true">IF(OR($A258="",$I258="",$I258&lt;=0),"",TODAY()-$A258)</f>
        <v/>
      </c>
      <c r="K258" s="10"/>
    </row>
    <row r="259" customFormat="false" ht="15" hidden="false" customHeight="true" outlineLevel="0" collapsed="false">
      <c r="A259" s="13"/>
      <c r="B259" s="10"/>
      <c r="C259" s="10"/>
      <c r="D259" s="14"/>
      <c r="E259" s="11"/>
      <c r="F259" s="15" t="str">
        <f aca="false">IF($B259="","",IF(AND($D259="",$E259=""),"",IF(OR($D259="",$E259=""),0,ROUND($D259*$E259,0))))</f>
        <v/>
      </c>
      <c r="G259" s="13"/>
      <c r="H259" s="11"/>
      <c r="I259" s="15" t="str">
        <f aca="false">IF($F259="","",$F259-IF($H259="",0,$H259))</f>
        <v/>
      </c>
      <c r="J259" s="16" t="str">
        <f aca="true">IF(OR($A259="",$I259="",$I259&lt;=0),"",TODAY()-$A259)</f>
        <v/>
      </c>
      <c r="K259" s="10"/>
    </row>
    <row r="260" customFormat="false" ht="15" hidden="false" customHeight="true" outlineLevel="0" collapsed="false">
      <c r="A260" s="13"/>
      <c r="B260" s="10"/>
      <c r="C260" s="10"/>
      <c r="D260" s="14"/>
      <c r="E260" s="11"/>
      <c r="F260" s="15" t="str">
        <f aca="false">IF($B260="","",IF(AND($D260="",$E260=""),"",IF(OR($D260="",$E260=""),0,ROUND($D260*$E260,0))))</f>
        <v/>
      </c>
      <c r="G260" s="13"/>
      <c r="H260" s="11"/>
      <c r="I260" s="15" t="str">
        <f aca="false">IF($F260="","",$F260-IF($H260="",0,$H260))</f>
        <v/>
      </c>
      <c r="J260" s="16" t="str">
        <f aca="true">IF(OR($A260="",$I260="",$I260&lt;=0),"",TODAY()-$A260)</f>
        <v/>
      </c>
      <c r="K260" s="10"/>
    </row>
    <row r="261" customFormat="false" ht="15" hidden="false" customHeight="true" outlineLevel="0" collapsed="false">
      <c r="A261" s="13"/>
      <c r="B261" s="10"/>
      <c r="C261" s="10"/>
      <c r="D261" s="14"/>
      <c r="E261" s="11"/>
      <c r="F261" s="15" t="str">
        <f aca="false">IF($B261="","",IF(AND($D261="",$E261=""),"",IF(OR($D261="",$E261=""),0,ROUND($D261*$E261,0))))</f>
        <v/>
      </c>
      <c r="G261" s="13"/>
      <c r="H261" s="11"/>
      <c r="I261" s="15" t="str">
        <f aca="false">IF($F261="","",$F261-IF($H261="",0,$H261))</f>
        <v/>
      </c>
      <c r="J261" s="16" t="str">
        <f aca="true">IF(OR($A261="",$I261="",$I261&lt;=0),"",TODAY()-$A261)</f>
        <v/>
      </c>
      <c r="K261" s="10"/>
    </row>
    <row r="262" customFormat="false" ht="15" hidden="false" customHeight="true" outlineLevel="0" collapsed="false">
      <c r="A262" s="13"/>
      <c r="B262" s="10"/>
      <c r="C262" s="10"/>
      <c r="D262" s="14"/>
      <c r="E262" s="11"/>
      <c r="F262" s="15" t="str">
        <f aca="false">IF($B262="","",IF(AND($D262="",$E262=""),"",IF(OR($D262="",$E262=""),0,ROUND($D262*$E262,0))))</f>
        <v/>
      </c>
      <c r="G262" s="13"/>
      <c r="H262" s="11"/>
      <c r="I262" s="15" t="str">
        <f aca="false">IF($F262="","",$F262-IF($H262="",0,$H262))</f>
        <v/>
      </c>
      <c r="J262" s="16" t="str">
        <f aca="true">IF(OR($A262="",$I262="",$I262&lt;=0),"",TODAY()-$A262)</f>
        <v/>
      </c>
      <c r="K262" s="10"/>
    </row>
    <row r="263" customFormat="false" ht="15" hidden="false" customHeight="true" outlineLevel="0" collapsed="false">
      <c r="A263" s="13"/>
      <c r="B263" s="10"/>
      <c r="C263" s="10"/>
      <c r="D263" s="14"/>
      <c r="E263" s="11"/>
      <c r="F263" s="15" t="str">
        <f aca="false">IF($B263="","",IF(AND($D263="",$E263=""),"",IF(OR($D263="",$E263=""),0,ROUND($D263*$E263,0))))</f>
        <v/>
      </c>
      <c r="G263" s="13"/>
      <c r="H263" s="11"/>
      <c r="I263" s="15" t="str">
        <f aca="false">IF($F263="","",$F263-IF($H263="",0,$H263))</f>
        <v/>
      </c>
      <c r="J263" s="16" t="str">
        <f aca="true">IF(OR($A263="",$I263="",$I263&lt;=0),"",TODAY()-$A263)</f>
        <v/>
      </c>
      <c r="K263" s="10"/>
    </row>
    <row r="264" customFormat="false" ht="15" hidden="false" customHeight="true" outlineLevel="0" collapsed="false">
      <c r="A264" s="13"/>
      <c r="B264" s="10"/>
      <c r="C264" s="10"/>
      <c r="D264" s="14"/>
      <c r="E264" s="11"/>
      <c r="F264" s="15" t="str">
        <f aca="false">IF($B264="","",IF(AND($D264="",$E264=""),"",IF(OR($D264="",$E264=""),0,ROUND($D264*$E264,0))))</f>
        <v/>
      </c>
      <c r="G264" s="13"/>
      <c r="H264" s="11"/>
      <c r="I264" s="15" t="str">
        <f aca="false">IF($F264="","",$F264-IF($H264="",0,$H264))</f>
        <v/>
      </c>
      <c r="J264" s="16" t="str">
        <f aca="true">IF(OR($A264="",$I264="",$I264&lt;=0),"",TODAY()-$A264)</f>
        <v/>
      </c>
      <c r="K264" s="10"/>
    </row>
    <row r="265" customFormat="false" ht="15" hidden="false" customHeight="true" outlineLevel="0" collapsed="false">
      <c r="A265" s="13"/>
      <c r="B265" s="10"/>
      <c r="C265" s="10"/>
      <c r="D265" s="14"/>
      <c r="E265" s="11"/>
      <c r="F265" s="15" t="str">
        <f aca="false">IF($B265="","",IF(AND($D265="",$E265=""),"",IF(OR($D265="",$E265=""),0,ROUND($D265*$E265,0))))</f>
        <v/>
      </c>
      <c r="G265" s="13"/>
      <c r="H265" s="11"/>
      <c r="I265" s="15" t="str">
        <f aca="false">IF($F265="","",$F265-IF($H265="",0,$H265))</f>
        <v/>
      </c>
      <c r="J265" s="16" t="str">
        <f aca="true">IF(OR($A265="",$I265="",$I265&lt;=0),"",TODAY()-$A265)</f>
        <v/>
      </c>
      <c r="K265" s="10"/>
    </row>
    <row r="266" customFormat="false" ht="15" hidden="false" customHeight="true" outlineLevel="0" collapsed="false">
      <c r="A266" s="13"/>
      <c r="B266" s="10"/>
      <c r="C266" s="10"/>
      <c r="D266" s="14"/>
      <c r="E266" s="11"/>
      <c r="F266" s="15" t="str">
        <f aca="false">IF($B266="","",IF(AND($D266="",$E266=""),"",IF(OR($D266="",$E266=""),0,ROUND($D266*$E266,0))))</f>
        <v/>
      </c>
      <c r="G266" s="13"/>
      <c r="H266" s="11"/>
      <c r="I266" s="15" t="str">
        <f aca="false">IF($F266="","",$F266-IF($H266="",0,$H266))</f>
        <v/>
      </c>
      <c r="J266" s="16" t="str">
        <f aca="true">IF(OR($A266="",$I266="",$I266&lt;=0),"",TODAY()-$A266)</f>
        <v/>
      </c>
      <c r="K266" s="10"/>
    </row>
    <row r="267" customFormat="false" ht="15" hidden="false" customHeight="true" outlineLevel="0" collapsed="false">
      <c r="A267" s="13"/>
      <c r="B267" s="10"/>
      <c r="C267" s="10"/>
      <c r="D267" s="14"/>
      <c r="E267" s="11"/>
      <c r="F267" s="15" t="str">
        <f aca="false">IF($B267="","",IF(AND($D267="",$E267=""),"",IF(OR($D267="",$E267=""),0,ROUND($D267*$E267,0))))</f>
        <v/>
      </c>
      <c r="G267" s="13"/>
      <c r="H267" s="11"/>
      <c r="I267" s="15" t="str">
        <f aca="false">IF($F267="","",$F267-IF($H267="",0,$H267))</f>
        <v/>
      </c>
      <c r="J267" s="16" t="str">
        <f aca="true">IF(OR($A267="",$I267="",$I267&lt;=0),"",TODAY()-$A267)</f>
        <v/>
      </c>
      <c r="K267" s="10"/>
    </row>
    <row r="268" customFormat="false" ht="15" hidden="false" customHeight="true" outlineLevel="0" collapsed="false">
      <c r="A268" s="13"/>
      <c r="B268" s="10"/>
      <c r="C268" s="10"/>
      <c r="D268" s="14"/>
      <c r="E268" s="11"/>
      <c r="F268" s="15" t="str">
        <f aca="false">IF($B268="","",IF(AND($D268="",$E268=""),"",IF(OR($D268="",$E268=""),0,ROUND($D268*$E268,0))))</f>
        <v/>
      </c>
      <c r="G268" s="13"/>
      <c r="H268" s="11"/>
      <c r="I268" s="15" t="str">
        <f aca="false">IF($F268="","",$F268-IF($H268="",0,$H268))</f>
        <v/>
      </c>
      <c r="J268" s="16" t="str">
        <f aca="true">IF(OR($A268="",$I268="",$I268&lt;=0),"",TODAY()-$A268)</f>
        <v/>
      </c>
      <c r="K268" s="10"/>
    </row>
    <row r="269" customFormat="false" ht="15" hidden="false" customHeight="true" outlineLevel="0" collapsed="false">
      <c r="A269" s="13"/>
      <c r="B269" s="10"/>
      <c r="C269" s="10"/>
      <c r="D269" s="14"/>
      <c r="E269" s="11"/>
      <c r="F269" s="15" t="str">
        <f aca="false">IF($B269="","",IF(AND($D269="",$E269=""),"",IF(OR($D269="",$E269=""),0,ROUND($D269*$E269,0))))</f>
        <v/>
      </c>
      <c r="G269" s="13"/>
      <c r="H269" s="11"/>
      <c r="I269" s="15" t="str">
        <f aca="false">IF($F269="","",$F269-IF($H269="",0,$H269))</f>
        <v/>
      </c>
      <c r="J269" s="16" t="str">
        <f aca="true">IF(OR($A269="",$I269="",$I269&lt;=0),"",TODAY()-$A269)</f>
        <v/>
      </c>
      <c r="K269" s="10"/>
    </row>
    <row r="270" customFormat="false" ht="15" hidden="false" customHeight="true" outlineLevel="0" collapsed="false">
      <c r="A270" s="13"/>
      <c r="B270" s="10"/>
      <c r="C270" s="10"/>
      <c r="D270" s="14"/>
      <c r="E270" s="11"/>
      <c r="F270" s="15" t="str">
        <f aca="false">IF($B270="","",IF(AND($D270="",$E270=""),"",IF(OR($D270="",$E270=""),0,ROUND($D270*$E270,0))))</f>
        <v/>
      </c>
      <c r="G270" s="13"/>
      <c r="H270" s="11"/>
      <c r="I270" s="15" t="str">
        <f aca="false">IF($F270="","",$F270-IF($H270="",0,$H270))</f>
        <v/>
      </c>
      <c r="J270" s="16" t="str">
        <f aca="true">IF(OR($A270="",$I270="",$I270&lt;=0),"",TODAY()-$A270)</f>
        <v/>
      </c>
      <c r="K270" s="10"/>
    </row>
    <row r="271" customFormat="false" ht="15" hidden="false" customHeight="true" outlineLevel="0" collapsed="false">
      <c r="A271" s="13"/>
      <c r="B271" s="10"/>
      <c r="C271" s="10"/>
      <c r="D271" s="14"/>
      <c r="E271" s="11"/>
      <c r="F271" s="15" t="str">
        <f aca="false">IF($B271="","",IF(AND($D271="",$E271=""),"",IF(OR($D271="",$E271=""),0,ROUND($D271*$E271,0))))</f>
        <v/>
      </c>
      <c r="G271" s="13"/>
      <c r="H271" s="11"/>
      <c r="I271" s="15" t="str">
        <f aca="false">IF($F271="","",$F271-IF($H271="",0,$H271))</f>
        <v/>
      </c>
      <c r="J271" s="16" t="str">
        <f aca="true">IF(OR($A271="",$I271="",$I271&lt;=0),"",TODAY()-$A271)</f>
        <v/>
      </c>
      <c r="K271" s="10"/>
    </row>
    <row r="272" customFormat="false" ht="15" hidden="false" customHeight="true" outlineLevel="0" collapsed="false">
      <c r="A272" s="13"/>
      <c r="B272" s="10"/>
      <c r="C272" s="10"/>
      <c r="D272" s="14"/>
      <c r="E272" s="11"/>
      <c r="F272" s="15" t="str">
        <f aca="false">IF($B272="","",IF(AND($D272="",$E272=""),"",IF(OR($D272="",$E272=""),0,ROUND($D272*$E272,0))))</f>
        <v/>
      </c>
      <c r="G272" s="13"/>
      <c r="H272" s="11"/>
      <c r="I272" s="15" t="str">
        <f aca="false">IF($F272="","",$F272-IF($H272="",0,$H272))</f>
        <v/>
      </c>
      <c r="J272" s="16" t="str">
        <f aca="true">IF(OR($A272="",$I272="",$I272&lt;=0),"",TODAY()-$A272)</f>
        <v/>
      </c>
      <c r="K272" s="10"/>
    </row>
    <row r="273" customFormat="false" ht="15" hidden="false" customHeight="true" outlineLevel="0" collapsed="false">
      <c r="A273" s="13"/>
      <c r="B273" s="10"/>
      <c r="C273" s="10"/>
      <c r="D273" s="14"/>
      <c r="E273" s="11"/>
      <c r="F273" s="15" t="str">
        <f aca="false">IF($B273="","",IF(AND($D273="",$E273=""),"",IF(OR($D273="",$E273=""),0,ROUND($D273*$E273,0))))</f>
        <v/>
      </c>
      <c r="G273" s="13"/>
      <c r="H273" s="11"/>
      <c r="I273" s="15" t="str">
        <f aca="false">IF($F273="","",$F273-IF($H273="",0,$H273))</f>
        <v/>
      </c>
      <c r="J273" s="16" t="str">
        <f aca="true">IF(OR($A273="",$I273="",$I273&lt;=0),"",TODAY()-$A273)</f>
        <v/>
      </c>
      <c r="K273" s="10"/>
    </row>
    <row r="274" customFormat="false" ht="15" hidden="false" customHeight="true" outlineLevel="0" collapsed="false">
      <c r="A274" s="13"/>
      <c r="B274" s="10"/>
      <c r="C274" s="10"/>
      <c r="D274" s="14"/>
      <c r="E274" s="11"/>
      <c r="F274" s="15" t="str">
        <f aca="false">IF($B274="","",IF(AND($D274="",$E274=""),"",IF(OR($D274="",$E274=""),0,ROUND($D274*$E274,0))))</f>
        <v/>
      </c>
      <c r="G274" s="13"/>
      <c r="H274" s="11"/>
      <c r="I274" s="15" t="str">
        <f aca="false">IF($F274="","",$F274-IF($H274="",0,$H274))</f>
        <v/>
      </c>
      <c r="J274" s="16" t="str">
        <f aca="true">IF(OR($A274="",$I274="",$I274&lt;=0),"",TODAY()-$A274)</f>
        <v/>
      </c>
      <c r="K274" s="10"/>
    </row>
    <row r="275" customFormat="false" ht="15" hidden="false" customHeight="true" outlineLevel="0" collapsed="false">
      <c r="A275" s="13"/>
      <c r="B275" s="10"/>
      <c r="C275" s="10"/>
      <c r="D275" s="14"/>
      <c r="E275" s="11"/>
      <c r="F275" s="15" t="str">
        <f aca="false">IF($B275="","",IF(AND($D275="",$E275=""),"",IF(OR($D275="",$E275=""),0,ROUND($D275*$E275,0))))</f>
        <v/>
      </c>
      <c r="G275" s="13"/>
      <c r="H275" s="11"/>
      <c r="I275" s="15" t="str">
        <f aca="false">IF($F275="","",$F275-IF($H275="",0,$H275))</f>
        <v/>
      </c>
      <c r="J275" s="16" t="str">
        <f aca="true">IF(OR($A275="",$I275="",$I275&lt;=0),"",TODAY()-$A275)</f>
        <v/>
      </c>
      <c r="K275" s="10"/>
    </row>
    <row r="276" customFormat="false" ht="15" hidden="false" customHeight="true" outlineLevel="0" collapsed="false">
      <c r="A276" s="13"/>
      <c r="B276" s="10"/>
      <c r="C276" s="10"/>
      <c r="D276" s="14"/>
      <c r="E276" s="11"/>
      <c r="F276" s="15" t="str">
        <f aca="false">IF($B276="","",IF(AND($D276="",$E276=""),"",IF(OR($D276="",$E276=""),0,ROUND($D276*$E276,0))))</f>
        <v/>
      </c>
      <c r="G276" s="13"/>
      <c r="H276" s="11"/>
      <c r="I276" s="15" t="str">
        <f aca="false">IF($F276="","",$F276-IF($H276="",0,$H276))</f>
        <v/>
      </c>
      <c r="J276" s="16" t="str">
        <f aca="true">IF(OR($A276="",$I276="",$I276&lt;=0),"",TODAY()-$A276)</f>
        <v/>
      </c>
      <c r="K276" s="10"/>
    </row>
    <row r="277" customFormat="false" ht="15" hidden="false" customHeight="true" outlineLevel="0" collapsed="false">
      <c r="A277" s="13"/>
      <c r="B277" s="10"/>
      <c r="C277" s="10"/>
      <c r="D277" s="14"/>
      <c r="E277" s="11"/>
      <c r="F277" s="15" t="str">
        <f aca="false">IF($B277="","",IF(AND($D277="",$E277=""),"",IF(OR($D277="",$E277=""),0,ROUND($D277*$E277,0))))</f>
        <v/>
      </c>
      <c r="G277" s="13"/>
      <c r="H277" s="11"/>
      <c r="I277" s="15" t="str">
        <f aca="false">IF($F277="","",$F277-IF($H277="",0,$H277))</f>
        <v/>
      </c>
      <c r="J277" s="16" t="str">
        <f aca="true">IF(OR($A277="",$I277="",$I277&lt;=0),"",TODAY()-$A277)</f>
        <v/>
      </c>
      <c r="K277" s="10"/>
    </row>
    <row r="278" customFormat="false" ht="15" hidden="false" customHeight="true" outlineLevel="0" collapsed="false">
      <c r="A278" s="13"/>
      <c r="B278" s="10"/>
      <c r="C278" s="10"/>
      <c r="D278" s="14"/>
      <c r="E278" s="11"/>
      <c r="F278" s="15" t="str">
        <f aca="false">IF($B278="","",IF(AND($D278="",$E278=""),"",IF(OR($D278="",$E278=""),0,ROUND($D278*$E278,0))))</f>
        <v/>
      </c>
      <c r="G278" s="13"/>
      <c r="H278" s="11"/>
      <c r="I278" s="15" t="str">
        <f aca="false">IF($F278="","",$F278-IF($H278="",0,$H278))</f>
        <v/>
      </c>
      <c r="J278" s="16" t="str">
        <f aca="true">IF(OR($A278="",$I278="",$I278&lt;=0),"",TODAY()-$A278)</f>
        <v/>
      </c>
      <c r="K278" s="10"/>
    </row>
    <row r="279" customFormat="false" ht="15" hidden="false" customHeight="true" outlineLevel="0" collapsed="false">
      <c r="A279" s="13"/>
      <c r="B279" s="10"/>
      <c r="C279" s="10"/>
      <c r="D279" s="14"/>
      <c r="E279" s="11"/>
      <c r="F279" s="15" t="str">
        <f aca="false">IF($B279="","",IF(AND($D279="",$E279=""),"",IF(OR($D279="",$E279=""),0,ROUND($D279*$E279,0))))</f>
        <v/>
      </c>
      <c r="G279" s="13"/>
      <c r="H279" s="11"/>
      <c r="I279" s="15" t="str">
        <f aca="false">IF($F279="","",$F279-IF($H279="",0,$H279))</f>
        <v/>
      </c>
      <c r="J279" s="16" t="str">
        <f aca="true">IF(OR($A279="",$I279="",$I279&lt;=0),"",TODAY()-$A279)</f>
        <v/>
      </c>
      <c r="K279" s="10"/>
    </row>
    <row r="280" customFormat="false" ht="15" hidden="false" customHeight="true" outlineLevel="0" collapsed="false">
      <c r="A280" s="13"/>
      <c r="B280" s="10"/>
      <c r="C280" s="10"/>
      <c r="D280" s="14"/>
      <c r="E280" s="11"/>
      <c r="F280" s="15" t="str">
        <f aca="false">IF($B280="","",IF(AND($D280="",$E280=""),"",IF(OR($D280="",$E280=""),0,ROUND($D280*$E280,0))))</f>
        <v/>
      </c>
      <c r="G280" s="13"/>
      <c r="H280" s="11"/>
      <c r="I280" s="15" t="str">
        <f aca="false">IF($F280="","",$F280-IF($H280="",0,$H280))</f>
        <v/>
      </c>
      <c r="J280" s="16" t="str">
        <f aca="true">IF(OR($A280="",$I280="",$I280&lt;=0),"",TODAY()-$A280)</f>
        <v/>
      </c>
      <c r="K280" s="10"/>
    </row>
    <row r="281" customFormat="false" ht="15" hidden="false" customHeight="true" outlineLevel="0" collapsed="false">
      <c r="A281" s="13"/>
      <c r="B281" s="10"/>
      <c r="C281" s="10"/>
      <c r="D281" s="14"/>
      <c r="E281" s="11"/>
      <c r="F281" s="15" t="str">
        <f aca="false">IF($B281="","",IF(AND($D281="",$E281=""),"",IF(OR($D281="",$E281=""),0,ROUND($D281*$E281,0))))</f>
        <v/>
      </c>
      <c r="G281" s="13"/>
      <c r="H281" s="11"/>
      <c r="I281" s="15" t="str">
        <f aca="false">IF($F281="","",$F281-IF($H281="",0,$H281))</f>
        <v/>
      </c>
      <c r="J281" s="16" t="str">
        <f aca="true">IF(OR($A281="",$I281="",$I281&lt;=0),"",TODAY()-$A281)</f>
        <v/>
      </c>
      <c r="K281" s="10"/>
    </row>
    <row r="282" customFormat="false" ht="15" hidden="false" customHeight="true" outlineLevel="0" collapsed="false">
      <c r="A282" s="13"/>
      <c r="B282" s="10"/>
      <c r="C282" s="10"/>
      <c r="D282" s="14"/>
      <c r="E282" s="11"/>
      <c r="F282" s="15" t="str">
        <f aca="false">IF($B282="","",IF(AND($D282="",$E282=""),"",IF(OR($D282="",$E282=""),0,ROUND($D282*$E282,0))))</f>
        <v/>
      </c>
      <c r="G282" s="13"/>
      <c r="H282" s="11"/>
      <c r="I282" s="15" t="str">
        <f aca="false">IF($F282="","",$F282-IF($H282="",0,$H282))</f>
        <v/>
      </c>
      <c r="J282" s="16" t="str">
        <f aca="true">IF(OR($A282="",$I282="",$I282&lt;=0),"",TODAY()-$A282)</f>
        <v/>
      </c>
      <c r="K282" s="10"/>
    </row>
    <row r="283" customFormat="false" ht="15" hidden="false" customHeight="true" outlineLevel="0" collapsed="false">
      <c r="A283" s="13"/>
      <c r="B283" s="10"/>
      <c r="C283" s="10"/>
      <c r="D283" s="14"/>
      <c r="E283" s="11"/>
      <c r="F283" s="15" t="str">
        <f aca="false">IF($B283="","",IF(AND($D283="",$E283=""),"",IF(OR($D283="",$E283=""),0,ROUND($D283*$E283,0))))</f>
        <v/>
      </c>
      <c r="G283" s="13"/>
      <c r="H283" s="11"/>
      <c r="I283" s="15" t="str">
        <f aca="false">IF($F283="","",$F283-IF($H283="",0,$H283))</f>
        <v/>
      </c>
      <c r="J283" s="16" t="str">
        <f aca="true">IF(OR($A283="",$I283="",$I283&lt;=0),"",TODAY()-$A283)</f>
        <v/>
      </c>
      <c r="K283" s="10"/>
    </row>
    <row r="284" customFormat="false" ht="15" hidden="false" customHeight="true" outlineLevel="0" collapsed="false">
      <c r="A284" s="13"/>
      <c r="B284" s="10"/>
      <c r="C284" s="10"/>
      <c r="D284" s="14"/>
      <c r="E284" s="11"/>
      <c r="F284" s="15" t="str">
        <f aca="false">IF($B284="","",IF(AND($D284="",$E284=""),"",IF(OR($D284="",$E284=""),0,ROUND($D284*$E284,0))))</f>
        <v/>
      </c>
      <c r="G284" s="13"/>
      <c r="H284" s="11"/>
      <c r="I284" s="15" t="str">
        <f aca="false">IF($F284="","",$F284-IF($H284="",0,$H284))</f>
        <v/>
      </c>
      <c r="J284" s="16" t="str">
        <f aca="true">IF(OR($A284="",$I284="",$I284&lt;=0),"",TODAY()-$A284)</f>
        <v/>
      </c>
      <c r="K284" s="10"/>
    </row>
    <row r="285" customFormat="false" ht="15" hidden="false" customHeight="true" outlineLevel="0" collapsed="false">
      <c r="A285" s="13"/>
      <c r="B285" s="10"/>
      <c r="C285" s="10"/>
      <c r="D285" s="14"/>
      <c r="E285" s="11"/>
      <c r="F285" s="15" t="str">
        <f aca="false">IF($B285="","",IF(AND($D285="",$E285=""),"",IF(OR($D285="",$E285=""),0,ROUND($D285*$E285,0))))</f>
        <v/>
      </c>
      <c r="G285" s="13"/>
      <c r="H285" s="11"/>
      <c r="I285" s="15" t="str">
        <f aca="false">IF($F285="","",$F285-IF($H285="",0,$H285))</f>
        <v/>
      </c>
      <c r="J285" s="16" t="str">
        <f aca="true">IF(OR($A285="",$I285="",$I285&lt;=0),"",TODAY()-$A285)</f>
        <v/>
      </c>
      <c r="K285" s="10"/>
    </row>
    <row r="286" customFormat="false" ht="15" hidden="false" customHeight="true" outlineLevel="0" collapsed="false">
      <c r="A286" s="13"/>
      <c r="B286" s="10"/>
      <c r="C286" s="10"/>
      <c r="D286" s="14"/>
      <c r="E286" s="11"/>
      <c r="F286" s="15" t="str">
        <f aca="false">IF($B286="","",IF(AND($D286="",$E286=""),"",IF(OR($D286="",$E286=""),0,ROUND($D286*$E286,0))))</f>
        <v/>
      </c>
      <c r="G286" s="13"/>
      <c r="H286" s="11"/>
      <c r="I286" s="15" t="str">
        <f aca="false">IF($F286="","",$F286-IF($H286="",0,$H286))</f>
        <v/>
      </c>
      <c r="J286" s="16" t="str">
        <f aca="true">IF(OR($A286="",$I286="",$I286&lt;=0),"",TODAY()-$A286)</f>
        <v/>
      </c>
      <c r="K286" s="10"/>
    </row>
    <row r="287" customFormat="false" ht="15" hidden="false" customHeight="true" outlineLevel="0" collapsed="false">
      <c r="A287" s="13"/>
      <c r="B287" s="10"/>
      <c r="C287" s="10"/>
      <c r="D287" s="14"/>
      <c r="E287" s="11"/>
      <c r="F287" s="15" t="str">
        <f aca="false">IF($B287="","",IF(AND($D287="",$E287=""),"",IF(OR($D287="",$E287=""),0,ROUND($D287*$E287,0))))</f>
        <v/>
      </c>
      <c r="G287" s="13"/>
      <c r="H287" s="11"/>
      <c r="I287" s="15" t="str">
        <f aca="false">IF($F287="","",$F287-IF($H287="",0,$H287))</f>
        <v/>
      </c>
      <c r="J287" s="16" t="str">
        <f aca="true">IF(OR($A287="",$I287="",$I287&lt;=0),"",TODAY()-$A287)</f>
        <v/>
      </c>
      <c r="K287" s="10"/>
    </row>
    <row r="288" customFormat="false" ht="15" hidden="false" customHeight="true" outlineLevel="0" collapsed="false">
      <c r="A288" s="13"/>
      <c r="B288" s="10"/>
      <c r="C288" s="10"/>
      <c r="D288" s="14"/>
      <c r="E288" s="11"/>
      <c r="F288" s="15" t="str">
        <f aca="false">IF($B288="","",IF(AND($D288="",$E288=""),"",IF(OR($D288="",$E288=""),0,ROUND($D288*$E288,0))))</f>
        <v/>
      </c>
      <c r="G288" s="13"/>
      <c r="H288" s="11"/>
      <c r="I288" s="15" t="str">
        <f aca="false">IF($F288="","",$F288-IF($H288="",0,$H288))</f>
        <v/>
      </c>
      <c r="J288" s="16" t="str">
        <f aca="true">IF(OR($A288="",$I288="",$I288&lt;=0),"",TODAY()-$A288)</f>
        <v/>
      </c>
      <c r="K288" s="10"/>
    </row>
    <row r="289" customFormat="false" ht="15" hidden="false" customHeight="true" outlineLevel="0" collapsed="false">
      <c r="A289" s="13"/>
      <c r="B289" s="10"/>
      <c r="C289" s="10"/>
      <c r="D289" s="14"/>
      <c r="E289" s="11"/>
      <c r="F289" s="15" t="str">
        <f aca="false">IF($B289="","",IF(AND($D289="",$E289=""),"",IF(OR($D289="",$E289=""),0,ROUND($D289*$E289,0))))</f>
        <v/>
      </c>
      <c r="G289" s="13"/>
      <c r="H289" s="11"/>
      <c r="I289" s="15" t="str">
        <f aca="false">IF($F289="","",$F289-IF($H289="",0,$H289))</f>
        <v/>
      </c>
      <c r="J289" s="16" t="str">
        <f aca="true">IF(OR($A289="",$I289="",$I289&lt;=0),"",TODAY()-$A289)</f>
        <v/>
      </c>
      <c r="K289" s="10"/>
    </row>
    <row r="290" customFormat="false" ht="15" hidden="false" customHeight="true" outlineLevel="0" collapsed="false">
      <c r="A290" s="13"/>
      <c r="B290" s="10"/>
      <c r="C290" s="10"/>
      <c r="D290" s="14"/>
      <c r="E290" s="11"/>
      <c r="F290" s="15" t="str">
        <f aca="false">IF($B290="","",IF(AND($D290="",$E290=""),"",IF(OR($D290="",$E290=""),0,ROUND($D290*$E290,0))))</f>
        <v/>
      </c>
      <c r="G290" s="13"/>
      <c r="H290" s="11"/>
      <c r="I290" s="15" t="str">
        <f aca="false">IF($F290="","",$F290-IF($H290="",0,$H290))</f>
        <v/>
      </c>
      <c r="J290" s="16" t="str">
        <f aca="true">IF(OR($A290="",$I290="",$I290&lt;=0),"",TODAY()-$A290)</f>
        <v/>
      </c>
      <c r="K290" s="10"/>
    </row>
    <row r="291" customFormat="false" ht="15" hidden="false" customHeight="true" outlineLevel="0" collapsed="false">
      <c r="A291" s="13"/>
      <c r="B291" s="10"/>
      <c r="C291" s="10"/>
      <c r="D291" s="14"/>
      <c r="E291" s="11"/>
      <c r="F291" s="15" t="str">
        <f aca="false">IF($B291="","",IF(AND($D291="",$E291=""),"",IF(OR($D291="",$E291=""),0,ROUND($D291*$E291,0))))</f>
        <v/>
      </c>
      <c r="G291" s="13"/>
      <c r="H291" s="11"/>
      <c r="I291" s="15" t="str">
        <f aca="false">IF($F291="","",$F291-IF($H291="",0,$H291))</f>
        <v/>
      </c>
      <c r="J291" s="16" t="str">
        <f aca="true">IF(OR($A291="",$I291="",$I291&lt;=0),"",TODAY()-$A291)</f>
        <v/>
      </c>
      <c r="K291" s="10"/>
    </row>
    <row r="292" customFormat="false" ht="15" hidden="false" customHeight="true" outlineLevel="0" collapsed="false">
      <c r="A292" s="13"/>
      <c r="B292" s="10"/>
      <c r="C292" s="10"/>
      <c r="D292" s="14"/>
      <c r="E292" s="11"/>
      <c r="F292" s="15" t="str">
        <f aca="false">IF($B292="","",IF(AND($D292="",$E292=""),"",IF(OR($D292="",$E292=""),0,ROUND($D292*$E292,0))))</f>
        <v/>
      </c>
      <c r="G292" s="13"/>
      <c r="H292" s="11"/>
      <c r="I292" s="15" t="str">
        <f aca="false">IF($F292="","",$F292-IF($H292="",0,$H292))</f>
        <v/>
      </c>
      <c r="J292" s="16" t="str">
        <f aca="true">IF(OR($A292="",$I292="",$I292&lt;=0),"",TODAY()-$A292)</f>
        <v/>
      </c>
      <c r="K292" s="10"/>
    </row>
    <row r="293" customFormat="false" ht="15" hidden="false" customHeight="true" outlineLevel="0" collapsed="false">
      <c r="A293" s="13"/>
      <c r="B293" s="10"/>
      <c r="C293" s="10"/>
      <c r="D293" s="14"/>
      <c r="E293" s="11"/>
      <c r="F293" s="15" t="str">
        <f aca="false">IF($B293="","",IF(AND($D293="",$E293=""),"",IF(OR($D293="",$E293=""),0,ROUND($D293*$E293,0))))</f>
        <v/>
      </c>
      <c r="G293" s="13"/>
      <c r="H293" s="11"/>
      <c r="I293" s="15" t="str">
        <f aca="false">IF($F293="","",$F293-IF($H293="",0,$H293))</f>
        <v/>
      </c>
      <c r="J293" s="16" t="str">
        <f aca="true">IF(OR($A293="",$I293="",$I293&lt;=0),"",TODAY()-$A293)</f>
        <v/>
      </c>
      <c r="K293" s="10"/>
    </row>
    <row r="294" customFormat="false" ht="15" hidden="false" customHeight="true" outlineLevel="0" collapsed="false">
      <c r="A294" s="13"/>
      <c r="B294" s="10"/>
      <c r="C294" s="10"/>
      <c r="D294" s="14"/>
      <c r="E294" s="11"/>
      <c r="F294" s="15" t="str">
        <f aca="false">IF($B294="","",IF(AND($D294="",$E294=""),"",IF(OR($D294="",$E294=""),0,ROUND($D294*$E294,0))))</f>
        <v/>
      </c>
      <c r="G294" s="13"/>
      <c r="H294" s="11"/>
      <c r="I294" s="15" t="str">
        <f aca="false">IF($F294="","",$F294-IF($H294="",0,$H294))</f>
        <v/>
      </c>
      <c r="J294" s="16" t="str">
        <f aca="true">IF(OR($A294="",$I294="",$I294&lt;=0),"",TODAY()-$A294)</f>
        <v/>
      </c>
      <c r="K294" s="10"/>
    </row>
    <row r="295" customFormat="false" ht="15" hidden="false" customHeight="true" outlineLevel="0" collapsed="false">
      <c r="A295" s="13"/>
      <c r="B295" s="10"/>
      <c r="C295" s="10"/>
      <c r="D295" s="14"/>
      <c r="E295" s="11"/>
      <c r="F295" s="15" t="str">
        <f aca="false">IF($B295="","",IF(AND($D295="",$E295=""),"",IF(OR($D295="",$E295=""),0,ROUND($D295*$E295,0))))</f>
        <v/>
      </c>
      <c r="G295" s="13"/>
      <c r="H295" s="11"/>
      <c r="I295" s="15" t="str">
        <f aca="false">IF($F295="","",$F295-IF($H295="",0,$H295))</f>
        <v/>
      </c>
      <c r="J295" s="16" t="str">
        <f aca="true">IF(OR($A295="",$I295="",$I295&lt;=0),"",TODAY()-$A295)</f>
        <v/>
      </c>
      <c r="K295" s="10"/>
    </row>
    <row r="296" customFormat="false" ht="15" hidden="false" customHeight="true" outlineLevel="0" collapsed="false">
      <c r="A296" s="13"/>
      <c r="B296" s="10"/>
      <c r="C296" s="10"/>
      <c r="D296" s="14"/>
      <c r="E296" s="11"/>
      <c r="F296" s="15" t="str">
        <f aca="false">IF($B296="","",IF(AND($D296="",$E296=""),"",IF(OR($D296="",$E296=""),0,ROUND($D296*$E296,0))))</f>
        <v/>
      </c>
      <c r="G296" s="13"/>
      <c r="H296" s="11"/>
      <c r="I296" s="15" t="str">
        <f aca="false">IF($F296="","",$F296-IF($H296="",0,$H296))</f>
        <v/>
      </c>
      <c r="J296" s="16" t="str">
        <f aca="true">IF(OR($A296="",$I296="",$I296&lt;=0),"",TODAY()-$A296)</f>
        <v/>
      </c>
      <c r="K296" s="10"/>
    </row>
    <row r="297" customFormat="false" ht="15" hidden="false" customHeight="true" outlineLevel="0" collapsed="false">
      <c r="A297" s="13"/>
      <c r="B297" s="10"/>
      <c r="C297" s="10"/>
      <c r="D297" s="14"/>
      <c r="E297" s="11"/>
      <c r="F297" s="15" t="str">
        <f aca="false">IF($B297="","",IF(AND($D297="",$E297=""),"",IF(OR($D297="",$E297=""),0,ROUND($D297*$E297,0))))</f>
        <v/>
      </c>
      <c r="G297" s="13"/>
      <c r="H297" s="11"/>
      <c r="I297" s="15" t="str">
        <f aca="false">IF($F297="","",$F297-IF($H297="",0,$H297))</f>
        <v/>
      </c>
      <c r="J297" s="16" t="str">
        <f aca="true">IF(OR($A297="",$I297="",$I297&lt;=0),"",TODAY()-$A297)</f>
        <v/>
      </c>
      <c r="K297" s="10"/>
    </row>
    <row r="298" customFormat="false" ht="15" hidden="false" customHeight="true" outlineLevel="0" collapsed="false">
      <c r="A298" s="13"/>
      <c r="B298" s="10"/>
      <c r="C298" s="10"/>
      <c r="D298" s="14"/>
      <c r="E298" s="11"/>
      <c r="F298" s="15" t="str">
        <f aca="false">IF($B298="","",IF(AND($D298="",$E298=""),"",IF(OR($D298="",$E298=""),0,ROUND($D298*$E298,0))))</f>
        <v/>
      </c>
      <c r="G298" s="13"/>
      <c r="H298" s="11"/>
      <c r="I298" s="15" t="str">
        <f aca="false">IF($F298="","",$F298-IF($H298="",0,$H298))</f>
        <v/>
      </c>
      <c r="J298" s="16" t="str">
        <f aca="true">IF(OR($A298="",$I298="",$I298&lt;=0),"",TODAY()-$A298)</f>
        <v/>
      </c>
      <c r="K298" s="10"/>
    </row>
    <row r="299" customFormat="false" ht="15" hidden="false" customHeight="true" outlineLevel="0" collapsed="false">
      <c r="A299" s="13"/>
      <c r="B299" s="10"/>
      <c r="C299" s="10"/>
      <c r="D299" s="14"/>
      <c r="E299" s="11"/>
      <c r="F299" s="15" t="str">
        <f aca="false">IF($B299="","",IF(AND($D299="",$E299=""),"",IF(OR($D299="",$E299=""),0,ROUND($D299*$E299,0))))</f>
        <v/>
      </c>
      <c r="G299" s="13"/>
      <c r="H299" s="11"/>
      <c r="I299" s="15" t="str">
        <f aca="false">IF($F299="","",$F299-IF($H299="",0,$H299))</f>
        <v/>
      </c>
      <c r="J299" s="16" t="str">
        <f aca="true">IF(OR($A299="",$I299="",$I299&lt;=0),"",TODAY()-$A299)</f>
        <v/>
      </c>
      <c r="K299" s="10"/>
    </row>
    <row r="300" customFormat="false" ht="15" hidden="false" customHeight="true" outlineLevel="0" collapsed="false">
      <c r="A300" s="13"/>
      <c r="B300" s="10"/>
      <c r="C300" s="10"/>
      <c r="D300" s="14"/>
      <c r="E300" s="11"/>
      <c r="F300" s="15" t="str">
        <f aca="false">IF($B300="","",IF(AND($D300="",$E300=""),"",IF(OR($D300="",$E300=""),0,ROUND($D300*$E300,0))))</f>
        <v/>
      </c>
      <c r="G300" s="13"/>
      <c r="H300" s="11"/>
      <c r="I300" s="15" t="str">
        <f aca="false">IF($F300="","",$F300-IF($H300="",0,$H300))</f>
        <v/>
      </c>
      <c r="J300" s="16" t="str">
        <f aca="true">IF(OR($A300="",$I300="",$I300&lt;=0),"",TODAY()-$A300)</f>
        <v/>
      </c>
      <c r="K300" s="10"/>
    </row>
    <row r="301" customFormat="false" ht="15" hidden="false" customHeight="true" outlineLevel="0" collapsed="false">
      <c r="A301" s="13"/>
      <c r="B301" s="10"/>
      <c r="C301" s="10"/>
      <c r="D301" s="14"/>
      <c r="E301" s="11"/>
      <c r="F301" s="15" t="str">
        <f aca="false">IF($B301="","",IF(AND($D301="",$E301=""),"",IF(OR($D301="",$E301=""),0,ROUND($D301*$E301,0))))</f>
        <v/>
      </c>
      <c r="G301" s="13"/>
      <c r="H301" s="11"/>
      <c r="I301" s="15" t="str">
        <f aca="false">IF($F301="","",$F301-IF($H301="",0,$H301))</f>
        <v/>
      </c>
      <c r="J301" s="16" t="str">
        <f aca="true">IF(OR($A301="",$I301="",$I301&lt;=0),"",TODAY()-$A301)</f>
        <v/>
      </c>
      <c r="K301" s="10"/>
    </row>
    <row r="302" customFormat="false" ht="15" hidden="false" customHeight="true" outlineLevel="0" collapsed="false">
      <c r="A302" s="13"/>
      <c r="B302" s="10"/>
      <c r="C302" s="10"/>
      <c r="D302" s="14"/>
      <c r="E302" s="11"/>
      <c r="F302" s="15" t="str">
        <f aca="false">IF($B302="","",IF(AND($D302="",$E302=""),"",IF(OR($D302="",$E302=""),0,ROUND($D302*$E302,0))))</f>
        <v/>
      </c>
      <c r="G302" s="13"/>
      <c r="H302" s="11"/>
      <c r="I302" s="15" t="str">
        <f aca="false">IF($F302="","",$F302-IF($H302="",0,$H302))</f>
        <v/>
      </c>
      <c r="J302" s="16" t="str">
        <f aca="true">IF(OR($A302="",$I302="",$I302&lt;=0),"",TODAY()-$A302)</f>
        <v/>
      </c>
      <c r="K302" s="10"/>
    </row>
    <row r="303" customFormat="false" ht="15" hidden="false" customHeight="true" outlineLevel="0" collapsed="false">
      <c r="A303" s="13"/>
      <c r="B303" s="10"/>
      <c r="C303" s="10"/>
      <c r="D303" s="14"/>
      <c r="E303" s="11"/>
      <c r="F303" s="15" t="str">
        <f aca="false">IF($B303="","",IF(AND($D303="",$E303=""),"",IF(OR($D303="",$E303=""),0,ROUND($D303*$E303,0))))</f>
        <v/>
      </c>
      <c r="G303" s="13"/>
      <c r="H303" s="11"/>
      <c r="I303" s="15" t="str">
        <f aca="false">IF($F303="","",$F303-IF($H303="",0,$H303))</f>
        <v/>
      </c>
      <c r="J303" s="16" t="str">
        <f aca="true">IF(OR($A303="",$I303="",$I303&lt;=0),"",TODAY()-$A303)</f>
        <v/>
      </c>
      <c r="K303" s="10"/>
    </row>
    <row r="304" customFormat="false" ht="15" hidden="false" customHeight="true" outlineLevel="0" collapsed="false">
      <c r="A304" s="13"/>
      <c r="B304" s="10"/>
      <c r="C304" s="10"/>
      <c r="D304" s="14"/>
      <c r="E304" s="11"/>
      <c r="F304" s="15" t="str">
        <f aca="false">IF($B304="","",IF(AND($D304="",$E304=""),"",IF(OR($D304="",$E304=""),0,ROUND($D304*$E304,0))))</f>
        <v/>
      </c>
      <c r="G304" s="13"/>
      <c r="H304" s="11"/>
      <c r="I304" s="15" t="str">
        <f aca="false">IF($F304="","",$F304-IF($H304="",0,$H304))</f>
        <v/>
      </c>
      <c r="J304" s="16" t="str">
        <f aca="true">IF(OR($A304="",$I304="",$I304&lt;=0),"",TODAY()-$A304)</f>
        <v/>
      </c>
      <c r="K304" s="10"/>
    </row>
    <row r="305" customFormat="false" ht="15" hidden="false" customHeight="true" outlineLevel="0" collapsed="false">
      <c r="A305" s="13"/>
      <c r="B305" s="10"/>
      <c r="C305" s="10"/>
      <c r="D305" s="14"/>
      <c r="E305" s="11"/>
      <c r="F305" s="15" t="str">
        <f aca="false">IF($B305="","",IF(AND($D305="",$E305=""),"",IF(OR($D305="",$E305=""),0,ROUND($D305*$E305,0))))</f>
        <v/>
      </c>
      <c r="G305" s="13"/>
      <c r="H305" s="11"/>
      <c r="I305" s="15" t="str">
        <f aca="false">IF($F305="","",$F305-IF($H305="",0,$H305))</f>
        <v/>
      </c>
      <c r="J305" s="16" t="str">
        <f aca="true">IF(OR($A305="",$I305="",$I305&lt;=0),"",TODAY()-$A305)</f>
        <v/>
      </c>
      <c r="K305" s="10"/>
    </row>
    <row r="306" customFormat="false" ht="15" hidden="false" customHeight="true" outlineLevel="0" collapsed="false">
      <c r="A306" s="13"/>
      <c r="B306" s="10"/>
      <c r="C306" s="10"/>
      <c r="D306" s="14"/>
      <c r="E306" s="11"/>
      <c r="F306" s="15" t="str">
        <f aca="false">IF($B306="","",IF(AND($D306="",$E306=""),"",IF(OR($D306="",$E306=""),0,ROUND($D306*$E306,0))))</f>
        <v/>
      </c>
      <c r="G306" s="13"/>
      <c r="H306" s="11"/>
      <c r="I306" s="15" t="str">
        <f aca="false">IF($F306="","",$F306-IF($H306="",0,$H306))</f>
        <v/>
      </c>
      <c r="J306" s="16" t="str">
        <f aca="true">IF(OR($A306="",$I306="",$I306&lt;=0),"",TODAY()-$A306)</f>
        <v/>
      </c>
      <c r="K306" s="10"/>
    </row>
    <row r="307" customFormat="false" ht="15" hidden="false" customHeight="true" outlineLevel="0" collapsed="false">
      <c r="A307" s="13"/>
      <c r="B307" s="10"/>
      <c r="C307" s="10"/>
      <c r="D307" s="14"/>
      <c r="E307" s="11"/>
      <c r="F307" s="15" t="str">
        <f aca="false">IF($B307="","",IF(AND($D307="",$E307=""),"",IF(OR($D307="",$E307=""),0,ROUND($D307*$E307,0))))</f>
        <v/>
      </c>
      <c r="G307" s="13"/>
      <c r="H307" s="11"/>
      <c r="I307" s="15" t="str">
        <f aca="false">IF($F307="","",$F307-IF($H307="",0,$H307))</f>
        <v/>
      </c>
      <c r="J307" s="16" t="str">
        <f aca="true">IF(OR($A307="",$I307="",$I307&lt;=0),"",TODAY()-$A307)</f>
        <v/>
      </c>
      <c r="K307" s="10"/>
    </row>
    <row r="308" customFormat="false" ht="15" hidden="false" customHeight="true" outlineLevel="0" collapsed="false">
      <c r="A308" s="13"/>
      <c r="B308" s="10"/>
      <c r="C308" s="10"/>
      <c r="D308" s="14"/>
      <c r="E308" s="11"/>
      <c r="F308" s="15" t="str">
        <f aca="false">IF($B308="","",IF(AND($D308="",$E308=""),"",IF(OR($D308="",$E308=""),0,ROUND($D308*$E308,0))))</f>
        <v/>
      </c>
      <c r="G308" s="13"/>
      <c r="H308" s="11"/>
      <c r="I308" s="15" t="str">
        <f aca="false">IF($F308="","",$F308-IF($H308="",0,$H308))</f>
        <v/>
      </c>
      <c r="J308" s="16" t="str">
        <f aca="true">IF(OR($A308="",$I308="",$I308&lt;=0),"",TODAY()-$A308)</f>
        <v/>
      </c>
      <c r="K308" s="10"/>
    </row>
    <row r="309" customFormat="false" ht="15" hidden="false" customHeight="true" outlineLevel="0" collapsed="false">
      <c r="A309" s="13"/>
      <c r="B309" s="10"/>
      <c r="C309" s="10"/>
      <c r="D309" s="14"/>
      <c r="E309" s="11"/>
      <c r="F309" s="15" t="str">
        <f aca="false">IF($B309="","",IF(AND($D309="",$E309=""),"",IF(OR($D309="",$E309=""),0,ROUND($D309*$E309,0))))</f>
        <v/>
      </c>
      <c r="G309" s="13"/>
      <c r="H309" s="11"/>
      <c r="I309" s="15" t="str">
        <f aca="false">IF($F309="","",$F309-IF($H309="",0,$H309))</f>
        <v/>
      </c>
      <c r="J309" s="16" t="str">
        <f aca="true">IF(OR($A309="",$I309="",$I309&lt;=0),"",TODAY()-$A309)</f>
        <v/>
      </c>
      <c r="K309" s="10"/>
    </row>
    <row r="310" customFormat="false" ht="15" hidden="false" customHeight="true" outlineLevel="0" collapsed="false">
      <c r="A310" s="13"/>
      <c r="B310" s="10"/>
      <c r="C310" s="10"/>
      <c r="D310" s="14"/>
      <c r="E310" s="11"/>
      <c r="F310" s="15" t="str">
        <f aca="false">IF($B310="","",IF(AND($D310="",$E310=""),"",IF(OR($D310="",$E310=""),0,ROUND($D310*$E310,0))))</f>
        <v/>
      </c>
      <c r="G310" s="13"/>
      <c r="H310" s="11"/>
      <c r="I310" s="15" t="str">
        <f aca="false">IF($F310="","",$F310-IF($H310="",0,$H310))</f>
        <v/>
      </c>
      <c r="J310" s="16" t="str">
        <f aca="true">IF(OR($A310="",$I310="",$I310&lt;=0),"",TODAY()-$A310)</f>
        <v/>
      </c>
      <c r="K310" s="10"/>
    </row>
    <row r="311" customFormat="false" ht="15" hidden="false" customHeight="true" outlineLevel="0" collapsed="false">
      <c r="A311" s="13"/>
      <c r="B311" s="10"/>
      <c r="C311" s="10"/>
      <c r="D311" s="14"/>
      <c r="E311" s="11"/>
      <c r="F311" s="15" t="str">
        <f aca="false">IF($B311="","",IF(AND($D311="",$E311=""),"",IF(OR($D311="",$E311=""),0,ROUND($D311*$E311,0))))</f>
        <v/>
      </c>
      <c r="G311" s="13"/>
      <c r="H311" s="11"/>
      <c r="I311" s="15" t="str">
        <f aca="false">IF($F311="","",$F311-IF($H311="",0,$H311))</f>
        <v/>
      </c>
      <c r="J311" s="16" t="str">
        <f aca="true">IF(OR($A311="",$I311="",$I311&lt;=0),"",TODAY()-$A311)</f>
        <v/>
      </c>
      <c r="K311" s="10"/>
    </row>
    <row r="312" customFormat="false" ht="15" hidden="false" customHeight="true" outlineLevel="0" collapsed="false">
      <c r="A312" s="13"/>
      <c r="B312" s="10"/>
      <c r="C312" s="10"/>
      <c r="D312" s="14"/>
      <c r="E312" s="11"/>
      <c r="F312" s="15" t="str">
        <f aca="false">IF($B312="","",IF(AND($D312="",$E312=""),"",IF(OR($D312="",$E312=""),0,ROUND($D312*$E312,0))))</f>
        <v/>
      </c>
      <c r="G312" s="13"/>
      <c r="H312" s="11"/>
      <c r="I312" s="15" t="str">
        <f aca="false">IF($F312="","",$F312-IF($H312="",0,$H312))</f>
        <v/>
      </c>
      <c r="J312" s="16" t="str">
        <f aca="true">IF(OR($A312="",$I312="",$I312&lt;=0),"",TODAY()-$A312)</f>
        <v/>
      </c>
      <c r="K312" s="10"/>
    </row>
    <row r="313" customFormat="false" ht="15" hidden="false" customHeight="true" outlineLevel="0" collapsed="false">
      <c r="A313" s="13"/>
      <c r="B313" s="10"/>
      <c r="C313" s="10"/>
      <c r="D313" s="14"/>
      <c r="E313" s="11"/>
      <c r="F313" s="15" t="str">
        <f aca="false">IF($B313="","",IF(AND($D313="",$E313=""),"",IF(OR($D313="",$E313=""),0,ROUND($D313*$E313,0))))</f>
        <v/>
      </c>
      <c r="G313" s="13"/>
      <c r="H313" s="11"/>
      <c r="I313" s="15" t="str">
        <f aca="false">IF($F313="","",$F313-IF($H313="",0,$H313))</f>
        <v/>
      </c>
      <c r="J313" s="16" t="str">
        <f aca="true">IF(OR($A313="",$I313="",$I313&lt;=0),"",TODAY()-$A313)</f>
        <v/>
      </c>
      <c r="K313" s="10"/>
    </row>
    <row r="314" customFormat="false" ht="15" hidden="false" customHeight="true" outlineLevel="0" collapsed="false">
      <c r="A314" s="13"/>
      <c r="B314" s="10"/>
      <c r="C314" s="10"/>
      <c r="D314" s="14"/>
      <c r="E314" s="11"/>
      <c r="F314" s="15" t="str">
        <f aca="false">IF($B314="","",IF(AND($D314="",$E314=""),"",IF(OR($D314="",$E314=""),0,ROUND($D314*$E314,0))))</f>
        <v/>
      </c>
      <c r="G314" s="13"/>
      <c r="H314" s="11"/>
      <c r="I314" s="15" t="str">
        <f aca="false">IF($F314="","",$F314-IF($H314="",0,$H314))</f>
        <v/>
      </c>
      <c r="J314" s="16" t="str">
        <f aca="true">IF(OR($A314="",$I314="",$I314&lt;=0),"",TODAY()-$A314)</f>
        <v/>
      </c>
      <c r="K314" s="10"/>
    </row>
    <row r="315" customFormat="false" ht="15" hidden="false" customHeight="true" outlineLevel="0" collapsed="false">
      <c r="A315" s="13"/>
      <c r="B315" s="10"/>
      <c r="C315" s="10"/>
      <c r="D315" s="14"/>
      <c r="E315" s="11"/>
      <c r="F315" s="15" t="str">
        <f aca="false">IF($B315="","",IF(AND($D315="",$E315=""),"",IF(OR($D315="",$E315=""),0,ROUND($D315*$E315,0))))</f>
        <v/>
      </c>
      <c r="G315" s="13"/>
      <c r="H315" s="11"/>
      <c r="I315" s="15" t="str">
        <f aca="false">IF($F315="","",$F315-IF($H315="",0,$H315))</f>
        <v/>
      </c>
      <c r="J315" s="16" t="str">
        <f aca="true">IF(OR($A315="",$I315="",$I315&lt;=0),"",TODAY()-$A315)</f>
        <v/>
      </c>
      <c r="K315" s="10"/>
    </row>
    <row r="316" customFormat="false" ht="15" hidden="false" customHeight="true" outlineLevel="0" collapsed="false">
      <c r="A316" s="13"/>
      <c r="B316" s="10"/>
      <c r="C316" s="10"/>
      <c r="D316" s="14"/>
      <c r="E316" s="11"/>
      <c r="F316" s="15" t="str">
        <f aca="false">IF($B316="","",IF(AND($D316="",$E316=""),"",IF(OR($D316="",$E316=""),0,ROUND($D316*$E316,0))))</f>
        <v/>
      </c>
      <c r="G316" s="13"/>
      <c r="H316" s="11"/>
      <c r="I316" s="15" t="str">
        <f aca="false">IF($F316="","",$F316-IF($H316="",0,$H316))</f>
        <v/>
      </c>
      <c r="J316" s="16" t="str">
        <f aca="true">IF(OR($A316="",$I316="",$I316&lt;=0),"",TODAY()-$A316)</f>
        <v/>
      </c>
      <c r="K316" s="10"/>
    </row>
    <row r="317" customFormat="false" ht="15" hidden="false" customHeight="true" outlineLevel="0" collapsed="false">
      <c r="A317" s="13"/>
      <c r="B317" s="10"/>
      <c r="C317" s="10"/>
      <c r="D317" s="14"/>
      <c r="E317" s="11"/>
      <c r="F317" s="15" t="str">
        <f aca="false">IF($B317="","",IF(AND($D317="",$E317=""),"",IF(OR($D317="",$E317=""),0,ROUND($D317*$E317,0))))</f>
        <v/>
      </c>
      <c r="G317" s="13"/>
      <c r="H317" s="11"/>
      <c r="I317" s="15" t="str">
        <f aca="false">IF($F317="","",$F317-IF($H317="",0,$H317))</f>
        <v/>
      </c>
      <c r="J317" s="16" t="str">
        <f aca="true">IF(OR($A317="",$I317="",$I317&lt;=0),"",TODAY()-$A317)</f>
        <v/>
      </c>
      <c r="K317" s="10"/>
    </row>
    <row r="318" customFormat="false" ht="15" hidden="false" customHeight="true" outlineLevel="0" collapsed="false">
      <c r="A318" s="13"/>
      <c r="B318" s="10"/>
      <c r="C318" s="10"/>
      <c r="D318" s="14"/>
      <c r="E318" s="11"/>
      <c r="F318" s="15" t="str">
        <f aca="false">IF($B318="","",IF(AND($D318="",$E318=""),"",IF(OR($D318="",$E318=""),0,ROUND($D318*$E318,0))))</f>
        <v/>
      </c>
      <c r="G318" s="13"/>
      <c r="H318" s="11"/>
      <c r="I318" s="15" t="str">
        <f aca="false">IF($F318="","",$F318-IF($H318="",0,$H318))</f>
        <v/>
      </c>
      <c r="J318" s="16" t="str">
        <f aca="true">IF(OR($A318="",$I318="",$I318&lt;=0),"",TODAY()-$A318)</f>
        <v/>
      </c>
      <c r="K318" s="10"/>
    </row>
    <row r="319" customFormat="false" ht="15" hidden="false" customHeight="true" outlineLevel="0" collapsed="false">
      <c r="A319" s="13"/>
      <c r="B319" s="10"/>
      <c r="C319" s="10"/>
      <c r="D319" s="14"/>
      <c r="E319" s="11"/>
      <c r="F319" s="15" t="str">
        <f aca="false">IF($B319="","",IF(AND($D319="",$E319=""),"",IF(OR($D319="",$E319=""),0,ROUND($D319*$E319,0))))</f>
        <v/>
      </c>
      <c r="G319" s="13"/>
      <c r="H319" s="11"/>
      <c r="I319" s="15" t="str">
        <f aca="false">IF($F319="","",$F319-IF($H319="",0,$H319))</f>
        <v/>
      </c>
      <c r="J319" s="16" t="str">
        <f aca="true">IF(OR($A319="",$I319="",$I319&lt;=0),"",TODAY()-$A319)</f>
        <v/>
      </c>
      <c r="K319" s="10"/>
    </row>
    <row r="320" customFormat="false" ht="15" hidden="false" customHeight="true" outlineLevel="0" collapsed="false">
      <c r="A320" s="13"/>
      <c r="B320" s="10"/>
      <c r="C320" s="10"/>
      <c r="D320" s="14"/>
      <c r="E320" s="11"/>
      <c r="F320" s="15" t="str">
        <f aca="false">IF($B320="","",IF(AND($D320="",$E320=""),"",IF(OR($D320="",$E320=""),0,ROUND($D320*$E320,0))))</f>
        <v/>
      </c>
      <c r="G320" s="13"/>
      <c r="H320" s="11"/>
      <c r="I320" s="15" t="str">
        <f aca="false">IF($F320="","",$F320-IF($H320="",0,$H320))</f>
        <v/>
      </c>
      <c r="J320" s="16" t="str">
        <f aca="true">IF(OR($A320="",$I320="",$I320&lt;=0),"",TODAY()-$A320)</f>
        <v/>
      </c>
      <c r="K320" s="10"/>
    </row>
    <row r="321" customFormat="false" ht="15" hidden="false" customHeight="true" outlineLevel="0" collapsed="false">
      <c r="A321" s="13"/>
      <c r="B321" s="10"/>
      <c r="C321" s="10"/>
      <c r="D321" s="14"/>
      <c r="E321" s="11"/>
      <c r="F321" s="15" t="str">
        <f aca="false">IF($B321="","",IF(AND($D321="",$E321=""),"",IF(OR($D321="",$E321=""),0,ROUND($D321*$E321,0))))</f>
        <v/>
      </c>
      <c r="G321" s="13"/>
      <c r="H321" s="11"/>
      <c r="I321" s="15" t="str">
        <f aca="false">IF($F321="","",$F321-IF($H321="",0,$H321))</f>
        <v/>
      </c>
      <c r="J321" s="16" t="str">
        <f aca="true">IF(OR($A321="",$I321="",$I321&lt;=0),"",TODAY()-$A321)</f>
        <v/>
      </c>
      <c r="K321" s="10"/>
    </row>
    <row r="322" customFormat="false" ht="15" hidden="false" customHeight="true" outlineLevel="0" collapsed="false">
      <c r="A322" s="13"/>
      <c r="B322" s="10"/>
      <c r="C322" s="10"/>
      <c r="D322" s="14"/>
      <c r="E322" s="11"/>
      <c r="F322" s="15" t="str">
        <f aca="false">IF($B322="","",IF(AND($D322="",$E322=""),"",IF(OR($D322="",$E322=""),0,ROUND($D322*$E322,0))))</f>
        <v/>
      </c>
      <c r="G322" s="13"/>
      <c r="H322" s="11"/>
      <c r="I322" s="15" t="str">
        <f aca="false">IF($F322="","",$F322-IF($H322="",0,$H322))</f>
        <v/>
      </c>
      <c r="J322" s="16" t="str">
        <f aca="true">IF(OR($A322="",$I322="",$I322&lt;=0),"",TODAY()-$A322)</f>
        <v/>
      </c>
      <c r="K322" s="10"/>
    </row>
    <row r="323" customFormat="false" ht="15" hidden="false" customHeight="true" outlineLevel="0" collapsed="false">
      <c r="A323" s="13"/>
      <c r="B323" s="10"/>
      <c r="C323" s="10"/>
      <c r="D323" s="14"/>
      <c r="E323" s="11"/>
      <c r="F323" s="15" t="str">
        <f aca="false">IF($B323="","",IF(AND($D323="",$E323=""),"",IF(OR($D323="",$E323=""),0,ROUND($D323*$E323,0))))</f>
        <v/>
      </c>
      <c r="G323" s="13"/>
      <c r="H323" s="11"/>
      <c r="I323" s="15" t="str">
        <f aca="false">IF($F323="","",$F323-IF($H323="",0,$H323))</f>
        <v/>
      </c>
      <c r="J323" s="16" t="str">
        <f aca="true">IF(OR($A323="",$I323="",$I323&lt;=0),"",TODAY()-$A323)</f>
        <v/>
      </c>
      <c r="K323" s="10"/>
    </row>
    <row r="324" customFormat="false" ht="15" hidden="false" customHeight="true" outlineLevel="0" collapsed="false">
      <c r="A324" s="13"/>
      <c r="B324" s="10"/>
      <c r="C324" s="10"/>
      <c r="D324" s="14"/>
      <c r="E324" s="11"/>
      <c r="F324" s="15" t="str">
        <f aca="false">IF($B324="","",IF(AND($D324="",$E324=""),"",IF(OR($D324="",$E324=""),0,ROUND($D324*$E324,0))))</f>
        <v/>
      </c>
      <c r="G324" s="13"/>
      <c r="H324" s="11"/>
      <c r="I324" s="15" t="str">
        <f aca="false">IF($F324="","",$F324-IF($H324="",0,$H324))</f>
        <v/>
      </c>
      <c r="J324" s="16" t="str">
        <f aca="true">IF(OR($A324="",$I324="",$I324&lt;=0),"",TODAY()-$A324)</f>
        <v/>
      </c>
      <c r="K324" s="10"/>
    </row>
    <row r="325" customFormat="false" ht="15" hidden="false" customHeight="true" outlineLevel="0" collapsed="false">
      <c r="A325" s="13"/>
      <c r="B325" s="10"/>
      <c r="C325" s="10"/>
      <c r="D325" s="14"/>
      <c r="E325" s="11"/>
      <c r="F325" s="15" t="str">
        <f aca="false">IF($B325="","",IF(AND($D325="",$E325=""),"",IF(OR($D325="",$E325=""),0,ROUND($D325*$E325,0))))</f>
        <v/>
      </c>
      <c r="G325" s="13"/>
      <c r="H325" s="11"/>
      <c r="I325" s="15" t="str">
        <f aca="false">IF($F325="","",$F325-IF($H325="",0,$H325))</f>
        <v/>
      </c>
      <c r="J325" s="16" t="str">
        <f aca="true">IF(OR($A325="",$I325="",$I325&lt;=0),"",TODAY()-$A325)</f>
        <v/>
      </c>
      <c r="K325" s="10"/>
    </row>
    <row r="326" customFormat="false" ht="15" hidden="false" customHeight="true" outlineLevel="0" collapsed="false">
      <c r="A326" s="13"/>
      <c r="B326" s="10"/>
      <c r="C326" s="10"/>
      <c r="D326" s="14"/>
      <c r="E326" s="11"/>
      <c r="F326" s="15" t="str">
        <f aca="false">IF($B326="","",IF(AND($D326="",$E326=""),"",IF(OR($D326="",$E326=""),0,ROUND($D326*$E326,0))))</f>
        <v/>
      </c>
      <c r="G326" s="13"/>
      <c r="H326" s="11"/>
      <c r="I326" s="15" t="str">
        <f aca="false">IF($F326="","",$F326-IF($H326="",0,$H326))</f>
        <v/>
      </c>
      <c r="J326" s="16" t="str">
        <f aca="true">IF(OR($A326="",$I326="",$I326&lt;=0),"",TODAY()-$A326)</f>
        <v/>
      </c>
      <c r="K326" s="10"/>
    </row>
    <row r="327" customFormat="false" ht="15" hidden="false" customHeight="true" outlineLevel="0" collapsed="false">
      <c r="A327" s="13"/>
      <c r="B327" s="10"/>
      <c r="C327" s="10"/>
      <c r="D327" s="14"/>
      <c r="E327" s="11"/>
      <c r="F327" s="15" t="str">
        <f aca="false">IF($B327="","",IF(AND($D327="",$E327=""),"",IF(OR($D327="",$E327=""),0,ROUND($D327*$E327,0))))</f>
        <v/>
      </c>
      <c r="G327" s="13"/>
      <c r="H327" s="11"/>
      <c r="I327" s="15" t="str">
        <f aca="false">IF($F327="","",$F327-IF($H327="",0,$H327))</f>
        <v/>
      </c>
      <c r="J327" s="16" t="str">
        <f aca="true">IF(OR($A327="",$I327="",$I327&lt;=0),"",TODAY()-$A327)</f>
        <v/>
      </c>
      <c r="K327" s="10"/>
    </row>
    <row r="328" customFormat="false" ht="15" hidden="false" customHeight="true" outlineLevel="0" collapsed="false">
      <c r="A328" s="13"/>
      <c r="B328" s="10"/>
      <c r="C328" s="10"/>
      <c r="D328" s="14"/>
      <c r="E328" s="11"/>
      <c r="F328" s="15" t="str">
        <f aca="false">IF($B328="","",IF(AND($D328="",$E328=""),"",IF(OR($D328="",$E328=""),0,ROUND($D328*$E328,0))))</f>
        <v/>
      </c>
      <c r="G328" s="13"/>
      <c r="H328" s="11"/>
      <c r="I328" s="15" t="str">
        <f aca="false">IF($F328="","",$F328-IF($H328="",0,$H328))</f>
        <v/>
      </c>
      <c r="J328" s="16" t="str">
        <f aca="true">IF(OR($A328="",$I328="",$I328&lt;=0),"",TODAY()-$A328)</f>
        <v/>
      </c>
      <c r="K328" s="10"/>
    </row>
    <row r="329" customFormat="false" ht="15" hidden="false" customHeight="true" outlineLevel="0" collapsed="false">
      <c r="A329" s="13"/>
      <c r="B329" s="10"/>
      <c r="C329" s="10"/>
      <c r="D329" s="14"/>
      <c r="E329" s="11"/>
      <c r="F329" s="15" t="str">
        <f aca="false">IF($B329="","",IF(AND($D329="",$E329=""),"",IF(OR($D329="",$E329=""),0,ROUND($D329*$E329,0))))</f>
        <v/>
      </c>
      <c r="G329" s="13"/>
      <c r="H329" s="11"/>
      <c r="I329" s="15" t="str">
        <f aca="false">IF($F329="","",$F329-IF($H329="",0,$H329))</f>
        <v/>
      </c>
      <c r="J329" s="16" t="str">
        <f aca="true">IF(OR($A329="",$I329="",$I329&lt;=0),"",TODAY()-$A329)</f>
        <v/>
      </c>
      <c r="K329" s="10"/>
    </row>
    <row r="330" customFormat="false" ht="15" hidden="false" customHeight="true" outlineLevel="0" collapsed="false">
      <c r="A330" s="13"/>
      <c r="B330" s="10"/>
      <c r="C330" s="10"/>
      <c r="D330" s="14"/>
      <c r="E330" s="11"/>
      <c r="F330" s="15" t="str">
        <f aca="false">IF($B330="","",IF(AND($D330="",$E330=""),"",IF(OR($D330="",$E330=""),0,ROUND($D330*$E330,0))))</f>
        <v/>
      </c>
      <c r="G330" s="13"/>
      <c r="H330" s="11"/>
      <c r="I330" s="15" t="str">
        <f aca="false">IF($F330="","",$F330-IF($H330="",0,$H330))</f>
        <v/>
      </c>
      <c r="J330" s="16" t="str">
        <f aca="true">IF(OR($A330="",$I330="",$I330&lt;=0),"",TODAY()-$A330)</f>
        <v/>
      </c>
      <c r="K330" s="10"/>
    </row>
    <row r="331" customFormat="false" ht="15" hidden="false" customHeight="true" outlineLevel="0" collapsed="false">
      <c r="A331" s="13"/>
      <c r="B331" s="10"/>
      <c r="C331" s="10"/>
      <c r="D331" s="14"/>
      <c r="E331" s="11"/>
      <c r="F331" s="15" t="str">
        <f aca="false">IF($B331="","",IF(AND($D331="",$E331=""),"",IF(OR($D331="",$E331=""),0,ROUND($D331*$E331,0))))</f>
        <v/>
      </c>
      <c r="G331" s="13"/>
      <c r="H331" s="11"/>
      <c r="I331" s="15" t="str">
        <f aca="false">IF($F331="","",$F331-IF($H331="",0,$H331))</f>
        <v/>
      </c>
      <c r="J331" s="16" t="str">
        <f aca="true">IF(OR($A331="",$I331="",$I331&lt;=0),"",TODAY()-$A331)</f>
        <v/>
      </c>
      <c r="K331" s="10"/>
    </row>
    <row r="332" customFormat="false" ht="15" hidden="false" customHeight="true" outlineLevel="0" collapsed="false">
      <c r="A332" s="13"/>
      <c r="B332" s="10"/>
      <c r="C332" s="10"/>
      <c r="D332" s="14"/>
      <c r="E332" s="11"/>
      <c r="F332" s="15" t="str">
        <f aca="false">IF($B332="","",IF(AND($D332="",$E332=""),"",IF(OR($D332="",$E332=""),0,ROUND($D332*$E332,0))))</f>
        <v/>
      </c>
      <c r="G332" s="13"/>
      <c r="H332" s="11"/>
      <c r="I332" s="15" t="str">
        <f aca="false">IF($F332="","",$F332-IF($H332="",0,$H332))</f>
        <v/>
      </c>
      <c r="J332" s="16" t="str">
        <f aca="true">IF(OR($A332="",$I332="",$I332&lt;=0),"",TODAY()-$A332)</f>
        <v/>
      </c>
      <c r="K332" s="10"/>
    </row>
    <row r="333" customFormat="false" ht="15" hidden="false" customHeight="true" outlineLevel="0" collapsed="false">
      <c r="A333" s="13"/>
      <c r="B333" s="10"/>
      <c r="C333" s="10"/>
      <c r="D333" s="14"/>
      <c r="E333" s="11"/>
      <c r="F333" s="15" t="str">
        <f aca="false">IF($B333="","",IF(AND($D333="",$E333=""),"",IF(OR($D333="",$E333=""),0,ROUND($D333*$E333,0))))</f>
        <v/>
      </c>
      <c r="G333" s="13"/>
      <c r="H333" s="11"/>
      <c r="I333" s="15" t="str">
        <f aca="false">IF($F333="","",$F333-IF($H333="",0,$H333))</f>
        <v/>
      </c>
      <c r="J333" s="16" t="str">
        <f aca="true">IF(OR($A333="",$I333="",$I333&lt;=0),"",TODAY()-$A333)</f>
        <v/>
      </c>
      <c r="K333" s="10"/>
    </row>
    <row r="334" customFormat="false" ht="15" hidden="false" customHeight="true" outlineLevel="0" collapsed="false">
      <c r="A334" s="13"/>
      <c r="B334" s="10"/>
      <c r="C334" s="10"/>
      <c r="D334" s="14"/>
      <c r="E334" s="11"/>
      <c r="F334" s="15" t="str">
        <f aca="false">IF($B334="","",IF(AND($D334="",$E334=""),"",IF(OR($D334="",$E334=""),0,ROUND($D334*$E334,0))))</f>
        <v/>
      </c>
      <c r="G334" s="13"/>
      <c r="H334" s="11"/>
      <c r="I334" s="15" t="str">
        <f aca="false">IF($F334="","",$F334-IF($H334="",0,$H334))</f>
        <v/>
      </c>
      <c r="J334" s="16" t="str">
        <f aca="true">IF(OR($A334="",$I334="",$I334&lt;=0),"",TODAY()-$A334)</f>
        <v/>
      </c>
      <c r="K334" s="10"/>
    </row>
    <row r="335" customFormat="false" ht="15" hidden="false" customHeight="true" outlineLevel="0" collapsed="false">
      <c r="A335" s="13"/>
      <c r="B335" s="10"/>
      <c r="C335" s="10"/>
      <c r="D335" s="14"/>
      <c r="E335" s="11"/>
      <c r="F335" s="15" t="str">
        <f aca="false">IF($B335="","",IF(AND($D335="",$E335=""),"",IF(OR($D335="",$E335=""),0,ROUND($D335*$E335,0))))</f>
        <v/>
      </c>
      <c r="G335" s="13"/>
      <c r="H335" s="11"/>
      <c r="I335" s="15" t="str">
        <f aca="false">IF($F335="","",$F335-IF($H335="",0,$H335))</f>
        <v/>
      </c>
      <c r="J335" s="16" t="str">
        <f aca="true">IF(OR($A335="",$I335="",$I335&lt;=0),"",TODAY()-$A335)</f>
        <v/>
      </c>
      <c r="K335" s="10"/>
    </row>
    <row r="336" customFormat="false" ht="15" hidden="false" customHeight="true" outlineLevel="0" collapsed="false">
      <c r="A336" s="13"/>
      <c r="B336" s="10"/>
      <c r="C336" s="10"/>
      <c r="D336" s="14"/>
      <c r="E336" s="11"/>
      <c r="F336" s="15" t="str">
        <f aca="false">IF($B336="","",IF(AND($D336="",$E336=""),"",IF(OR($D336="",$E336=""),0,ROUND($D336*$E336,0))))</f>
        <v/>
      </c>
      <c r="G336" s="13"/>
      <c r="H336" s="11"/>
      <c r="I336" s="15" t="str">
        <f aca="false">IF($F336="","",$F336-IF($H336="",0,$H336))</f>
        <v/>
      </c>
      <c r="J336" s="16" t="str">
        <f aca="true">IF(OR($A336="",$I336="",$I336&lt;=0),"",TODAY()-$A336)</f>
        <v/>
      </c>
      <c r="K336" s="10"/>
    </row>
    <row r="337" customFormat="false" ht="15" hidden="false" customHeight="true" outlineLevel="0" collapsed="false">
      <c r="A337" s="13"/>
      <c r="B337" s="10"/>
      <c r="C337" s="10"/>
      <c r="D337" s="14"/>
      <c r="E337" s="11"/>
      <c r="F337" s="15" t="str">
        <f aca="false">IF($B337="","",IF(AND($D337="",$E337=""),"",IF(OR($D337="",$E337=""),0,ROUND($D337*$E337,0))))</f>
        <v/>
      </c>
      <c r="G337" s="13"/>
      <c r="H337" s="11"/>
      <c r="I337" s="15" t="str">
        <f aca="false">IF($F337="","",$F337-IF($H337="",0,$H337))</f>
        <v/>
      </c>
      <c r="J337" s="16" t="str">
        <f aca="true">IF(OR($A337="",$I337="",$I337&lt;=0),"",TODAY()-$A337)</f>
        <v/>
      </c>
      <c r="K337" s="10"/>
    </row>
    <row r="338" customFormat="false" ht="15" hidden="false" customHeight="true" outlineLevel="0" collapsed="false">
      <c r="A338" s="13"/>
      <c r="B338" s="10"/>
      <c r="C338" s="10"/>
      <c r="D338" s="14"/>
      <c r="E338" s="11"/>
      <c r="F338" s="15" t="str">
        <f aca="false">IF($B338="","",IF(AND($D338="",$E338=""),"",IF(OR($D338="",$E338=""),0,ROUND($D338*$E338,0))))</f>
        <v/>
      </c>
      <c r="G338" s="13"/>
      <c r="H338" s="11"/>
      <c r="I338" s="15" t="str">
        <f aca="false">IF($F338="","",$F338-IF($H338="",0,$H338))</f>
        <v/>
      </c>
      <c r="J338" s="16" t="str">
        <f aca="true">IF(OR($A338="",$I338="",$I338&lt;=0),"",TODAY()-$A338)</f>
        <v/>
      </c>
      <c r="K338" s="10"/>
    </row>
    <row r="339" customFormat="false" ht="15" hidden="false" customHeight="true" outlineLevel="0" collapsed="false">
      <c r="A339" s="13"/>
      <c r="B339" s="10"/>
      <c r="C339" s="10"/>
      <c r="D339" s="14"/>
      <c r="E339" s="11"/>
      <c r="F339" s="15" t="str">
        <f aca="false">IF($B339="","",IF(AND($D339="",$E339=""),"",IF(OR($D339="",$E339=""),0,ROUND($D339*$E339,0))))</f>
        <v/>
      </c>
      <c r="G339" s="13"/>
      <c r="H339" s="11"/>
      <c r="I339" s="15" t="str">
        <f aca="false">IF($F339="","",$F339-IF($H339="",0,$H339))</f>
        <v/>
      </c>
      <c r="J339" s="16" t="str">
        <f aca="true">IF(OR($A339="",$I339="",$I339&lt;=0),"",TODAY()-$A339)</f>
        <v/>
      </c>
      <c r="K339" s="10"/>
    </row>
    <row r="340" customFormat="false" ht="15" hidden="false" customHeight="true" outlineLevel="0" collapsed="false">
      <c r="A340" s="13"/>
      <c r="B340" s="10"/>
      <c r="C340" s="10"/>
      <c r="D340" s="14"/>
      <c r="E340" s="11"/>
      <c r="F340" s="15" t="str">
        <f aca="false">IF($B340="","",IF(AND($D340="",$E340=""),"",IF(OR($D340="",$E340=""),0,ROUND($D340*$E340,0))))</f>
        <v/>
      </c>
      <c r="G340" s="13"/>
      <c r="H340" s="11"/>
      <c r="I340" s="15" t="str">
        <f aca="false">IF($F340="","",$F340-IF($H340="",0,$H340))</f>
        <v/>
      </c>
      <c r="J340" s="16" t="str">
        <f aca="true">IF(OR($A340="",$I340="",$I340&lt;=0),"",TODAY()-$A340)</f>
        <v/>
      </c>
      <c r="K340" s="10"/>
    </row>
    <row r="341" customFormat="false" ht="15" hidden="false" customHeight="true" outlineLevel="0" collapsed="false">
      <c r="A341" s="13"/>
      <c r="B341" s="10"/>
      <c r="C341" s="10"/>
      <c r="D341" s="14"/>
      <c r="E341" s="11"/>
      <c r="F341" s="15" t="str">
        <f aca="false">IF($B341="","",IF(AND($D341="",$E341=""),"",IF(OR($D341="",$E341=""),0,ROUND($D341*$E341,0))))</f>
        <v/>
      </c>
      <c r="G341" s="13"/>
      <c r="H341" s="11"/>
      <c r="I341" s="15" t="str">
        <f aca="false">IF($F341="","",$F341-IF($H341="",0,$H341))</f>
        <v/>
      </c>
      <c r="J341" s="16" t="str">
        <f aca="true">IF(OR($A341="",$I341="",$I341&lt;=0),"",TODAY()-$A341)</f>
        <v/>
      </c>
      <c r="K341" s="10"/>
    </row>
    <row r="342" customFormat="false" ht="15" hidden="false" customHeight="true" outlineLevel="0" collapsed="false">
      <c r="A342" s="13"/>
      <c r="B342" s="10"/>
      <c r="C342" s="10"/>
      <c r="D342" s="14"/>
      <c r="E342" s="11"/>
      <c r="F342" s="15" t="str">
        <f aca="false">IF($B342="","",IF(AND($D342="",$E342=""),"",IF(OR($D342="",$E342=""),0,ROUND($D342*$E342,0))))</f>
        <v/>
      </c>
      <c r="G342" s="13"/>
      <c r="H342" s="11"/>
      <c r="I342" s="15" t="str">
        <f aca="false">IF($F342="","",$F342-IF($H342="",0,$H342))</f>
        <v/>
      </c>
      <c r="J342" s="16" t="str">
        <f aca="true">IF(OR($A342="",$I342="",$I342&lt;=0),"",TODAY()-$A342)</f>
        <v/>
      </c>
      <c r="K342" s="10"/>
    </row>
    <row r="343" customFormat="false" ht="15" hidden="false" customHeight="true" outlineLevel="0" collapsed="false">
      <c r="A343" s="13"/>
      <c r="B343" s="10"/>
      <c r="C343" s="10"/>
      <c r="D343" s="14"/>
      <c r="E343" s="11"/>
      <c r="F343" s="15" t="str">
        <f aca="false">IF($B343="","",IF(AND($D343="",$E343=""),"",IF(OR($D343="",$E343=""),0,ROUND($D343*$E343,0))))</f>
        <v/>
      </c>
      <c r="G343" s="13"/>
      <c r="H343" s="11"/>
      <c r="I343" s="15" t="str">
        <f aca="false">IF($F343="","",$F343-IF($H343="",0,$H343))</f>
        <v/>
      </c>
      <c r="J343" s="16" t="str">
        <f aca="true">IF(OR($A343="",$I343="",$I343&lt;=0),"",TODAY()-$A343)</f>
        <v/>
      </c>
      <c r="K343" s="10"/>
    </row>
    <row r="344" customFormat="false" ht="15" hidden="false" customHeight="true" outlineLevel="0" collapsed="false">
      <c r="A344" s="13"/>
      <c r="B344" s="10"/>
      <c r="C344" s="10"/>
      <c r="D344" s="14"/>
      <c r="E344" s="11"/>
      <c r="F344" s="15" t="str">
        <f aca="false">IF($B344="","",IF(AND($D344="",$E344=""),"",IF(OR($D344="",$E344=""),0,ROUND($D344*$E344,0))))</f>
        <v/>
      </c>
      <c r="G344" s="13"/>
      <c r="H344" s="11"/>
      <c r="I344" s="15" t="str">
        <f aca="false">IF($F344="","",$F344-IF($H344="",0,$H344))</f>
        <v/>
      </c>
      <c r="J344" s="16" t="str">
        <f aca="true">IF(OR($A344="",$I344="",$I344&lt;=0),"",TODAY()-$A344)</f>
        <v/>
      </c>
      <c r="K344" s="10"/>
    </row>
    <row r="345" customFormat="false" ht="15" hidden="false" customHeight="true" outlineLevel="0" collapsed="false">
      <c r="A345" s="13"/>
      <c r="B345" s="10"/>
      <c r="C345" s="10"/>
      <c r="D345" s="14"/>
      <c r="E345" s="11"/>
      <c r="F345" s="15" t="str">
        <f aca="false">IF($B345="","",IF(AND($D345="",$E345=""),"",IF(OR($D345="",$E345=""),0,ROUND($D345*$E345,0))))</f>
        <v/>
      </c>
      <c r="G345" s="13"/>
      <c r="H345" s="11"/>
      <c r="I345" s="15" t="str">
        <f aca="false">IF($F345="","",$F345-IF($H345="",0,$H345))</f>
        <v/>
      </c>
      <c r="J345" s="16" t="str">
        <f aca="true">IF(OR($A345="",$I345="",$I345&lt;=0),"",TODAY()-$A345)</f>
        <v/>
      </c>
      <c r="K345" s="10"/>
    </row>
    <row r="346" customFormat="false" ht="15" hidden="false" customHeight="true" outlineLevel="0" collapsed="false">
      <c r="A346" s="13"/>
      <c r="B346" s="10"/>
      <c r="C346" s="10"/>
      <c r="D346" s="14"/>
      <c r="E346" s="11"/>
      <c r="F346" s="15" t="str">
        <f aca="false">IF($B346="","",IF(AND($D346="",$E346=""),"",IF(OR($D346="",$E346=""),0,ROUND($D346*$E346,0))))</f>
        <v/>
      </c>
      <c r="G346" s="13"/>
      <c r="H346" s="11"/>
      <c r="I346" s="15" t="str">
        <f aca="false">IF($F346="","",$F346-IF($H346="",0,$H346))</f>
        <v/>
      </c>
      <c r="J346" s="16" t="str">
        <f aca="true">IF(OR($A346="",$I346="",$I346&lt;=0),"",TODAY()-$A346)</f>
        <v/>
      </c>
      <c r="K346" s="10"/>
    </row>
    <row r="347" customFormat="false" ht="15" hidden="false" customHeight="true" outlineLevel="0" collapsed="false">
      <c r="A347" s="13"/>
      <c r="B347" s="10"/>
      <c r="C347" s="10"/>
      <c r="D347" s="14"/>
      <c r="E347" s="11"/>
      <c r="F347" s="15" t="str">
        <f aca="false">IF($B347="","",IF(AND($D347="",$E347=""),"",IF(OR($D347="",$E347=""),0,ROUND($D347*$E347,0))))</f>
        <v/>
      </c>
      <c r="G347" s="13"/>
      <c r="H347" s="11"/>
      <c r="I347" s="15" t="str">
        <f aca="false">IF($F347="","",$F347-IF($H347="",0,$H347))</f>
        <v/>
      </c>
      <c r="J347" s="16" t="str">
        <f aca="true">IF(OR($A347="",$I347="",$I347&lt;=0),"",TODAY()-$A347)</f>
        <v/>
      </c>
      <c r="K347" s="10"/>
    </row>
    <row r="348" customFormat="false" ht="15" hidden="false" customHeight="true" outlineLevel="0" collapsed="false">
      <c r="A348" s="13"/>
      <c r="B348" s="10"/>
      <c r="C348" s="10"/>
      <c r="D348" s="14"/>
      <c r="E348" s="11"/>
      <c r="F348" s="15" t="str">
        <f aca="false">IF($B348="","",IF(AND($D348="",$E348=""),"",IF(OR($D348="",$E348=""),0,ROUND($D348*$E348,0))))</f>
        <v/>
      </c>
      <c r="G348" s="13"/>
      <c r="H348" s="11"/>
      <c r="I348" s="15" t="str">
        <f aca="false">IF($F348="","",$F348-IF($H348="",0,$H348))</f>
        <v/>
      </c>
      <c r="J348" s="16" t="str">
        <f aca="true">IF(OR($A348="",$I348="",$I348&lt;=0),"",TODAY()-$A348)</f>
        <v/>
      </c>
      <c r="K348" s="10"/>
    </row>
    <row r="349" customFormat="false" ht="15" hidden="false" customHeight="true" outlineLevel="0" collapsed="false">
      <c r="A349" s="13"/>
      <c r="B349" s="10"/>
      <c r="C349" s="10"/>
      <c r="D349" s="14"/>
      <c r="E349" s="11"/>
      <c r="F349" s="15" t="str">
        <f aca="false">IF($B349="","",IF(AND($D349="",$E349=""),"",IF(OR($D349="",$E349=""),0,ROUND($D349*$E349,0))))</f>
        <v/>
      </c>
      <c r="G349" s="13"/>
      <c r="H349" s="11"/>
      <c r="I349" s="15" t="str">
        <f aca="false">IF($F349="","",$F349-IF($H349="",0,$H349))</f>
        <v/>
      </c>
      <c r="J349" s="16" t="str">
        <f aca="true">IF(OR($A349="",$I349="",$I349&lt;=0),"",TODAY()-$A349)</f>
        <v/>
      </c>
      <c r="K349" s="10"/>
    </row>
    <row r="350" customFormat="false" ht="15" hidden="false" customHeight="true" outlineLevel="0" collapsed="false">
      <c r="A350" s="13"/>
      <c r="B350" s="10"/>
      <c r="C350" s="10"/>
      <c r="D350" s="14"/>
      <c r="E350" s="11"/>
      <c r="F350" s="15" t="str">
        <f aca="false">IF($B350="","",IF(AND($D350="",$E350=""),"",IF(OR($D350="",$E350=""),0,ROUND($D350*$E350,0))))</f>
        <v/>
      </c>
      <c r="G350" s="13"/>
      <c r="H350" s="11"/>
      <c r="I350" s="15" t="str">
        <f aca="false">IF($F350="","",$F350-IF($H350="",0,$H350))</f>
        <v/>
      </c>
      <c r="J350" s="16" t="str">
        <f aca="true">IF(OR($A350="",$I350="",$I350&lt;=0),"",TODAY()-$A350)</f>
        <v/>
      </c>
      <c r="K350" s="10"/>
    </row>
    <row r="351" customFormat="false" ht="15" hidden="false" customHeight="true" outlineLevel="0" collapsed="false">
      <c r="A351" s="13"/>
      <c r="B351" s="10"/>
      <c r="C351" s="10"/>
      <c r="D351" s="14"/>
      <c r="E351" s="11"/>
      <c r="F351" s="15" t="str">
        <f aca="false">IF($B351="","",IF(AND($D351="",$E351=""),"",IF(OR($D351="",$E351=""),0,ROUND($D351*$E351,0))))</f>
        <v/>
      </c>
      <c r="G351" s="13"/>
      <c r="H351" s="11"/>
      <c r="I351" s="15" t="str">
        <f aca="false">IF($F351="","",$F351-IF($H351="",0,$H351))</f>
        <v/>
      </c>
      <c r="J351" s="16" t="str">
        <f aca="true">IF(OR($A351="",$I351="",$I351&lt;=0),"",TODAY()-$A351)</f>
        <v/>
      </c>
      <c r="K351" s="10"/>
    </row>
    <row r="352" customFormat="false" ht="15" hidden="false" customHeight="true" outlineLevel="0" collapsed="false">
      <c r="A352" s="13"/>
      <c r="B352" s="10"/>
      <c r="C352" s="10"/>
      <c r="D352" s="14"/>
      <c r="E352" s="11"/>
      <c r="F352" s="15" t="str">
        <f aca="false">IF($B352="","",IF(AND($D352="",$E352=""),"",IF(OR($D352="",$E352=""),0,ROUND($D352*$E352,0))))</f>
        <v/>
      </c>
      <c r="G352" s="13"/>
      <c r="H352" s="11"/>
      <c r="I352" s="15" t="str">
        <f aca="false">IF($F352="","",$F352-IF($H352="",0,$H352))</f>
        <v/>
      </c>
      <c r="J352" s="16" t="str">
        <f aca="true">IF(OR($A352="",$I352="",$I352&lt;=0),"",TODAY()-$A352)</f>
        <v/>
      </c>
      <c r="K352" s="10"/>
    </row>
    <row r="353" customFormat="false" ht="15" hidden="false" customHeight="true" outlineLevel="0" collapsed="false">
      <c r="A353" s="13"/>
      <c r="B353" s="10"/>
      <c r="C353" s="10"/>
      <c r="D353" s="14"/>
      <c r="E353" s="11"/>
      <c r="F353" s="15" t="str">
        <f aca="false">IF($B353="","",IF(AND($D353="",$E353=""),"",IF(OR($D353="",$E353=""),0,ROUND($D353*$E353,0))))</f>
        <v/>
      </c>
      <c r="G353" s="13"/>
      <c r="H353" s="11"/>
      <c r="I353" s="15" t="str">
        <f aca="false">IF($F353="","",$F353-IF($H353="",0,$H353))</f>
        <v/>
      </c>
      <c r="J353" s="16" t="str">
        <f aca="true">IF(OR($A353="",$I353="",$I353&lt;=0),"",TODAY()-$A353)</f>
        <v/>
      </c>
      <c r="K353" s="10"/>
    </row>
    <row r="354" customFormat="false" ht="15" hidden="false" customHeight="true" outlineLevel="0" collapsed="false">
      <c r="A354" s="13"/>
      <c r="B354" s="10"/>
      <c r="C354" s="10"/>
      <c r="D354" s="14"/>
      <c r="E354" s="11"/>
      <c r="F354" s="15" t="str">
        <f aca="false">IF($B354="","",IF(AND($D354="",$E354=""),"",IF(OR($D354="",$E354=""),0,ROUND($D354*$E354,0))))</f>
        <v/>
      </c>
      <c r="G354" s="13"/>
      <c r="H354" s="11"/>
      <c r="I354" s="15" t="str">
        <f aca="false">IF($F354="","",$F354-IF($H354="",0,$H354))</f>
        <v/>
      </c>
      <c r="J354" s="16" t="str">
        <f aca="true">IF(OR($A354="",$I354="",$I354&lt;=0),"",TODAY()-$A354)</f>
        <v/>
      </c>
      <c r="K354" s="10"/>
    </row>
    <row r="355" customFormat="false" ht="15" hidden="false" customHeight="true" outlineLevel="0" collapsed="false">
      <c r="A355" s="13"/>
      <c r="B355" s="10"/>
      <c r="C355" s="10"/>
      <c r="D355" s="14"/>
      <c r="E355" s="11"/>
      <c r="F355" s="15" t="str">
        <f aca="false">IF($B355="","",IF(AND($D355="",$E355=""),"",IF(OR($D355="",$E355=""),0,ROUND($D355*$E355,0))))</f>
        <v/>
      </c>
      <c r="G355" s="13"/>
      <c r="H355" s="11"/>
      <c r="I355" s="15" t="str">
        <f aca="false">IF($F355="","",$F355-IF($H355="",0,$H355))</f>
        <v/>
      </c>
      <c r="J355" s="16" t="str">
        <f aca="true">IF(OR($A355="",$I355="",$I355&lt;=0),"",TODAY()-$A355)</f>
        <v/>
      </c>
      <c r="K355" s="10"/>
    </row>
    <row r="356" customFormat="false" ht="15" hidden="false" customHeight="true" outlineLevel="0" collapsed="false">
      <c r="A356" s="13"/>
      <c r="B356" s="10"/>
      <c r="C356" s="10"/>
      <c r="D356" s="14"/>
      <c r="E356" s="11"/>
      <c r="F356" s="15" t="str">
        <f aca="false">IF($B356="","",IF(AND($D356="",$E356=""),"",IF(OR($D356="",$E356=""),0,ROUND($D356*$E356,0))))</f>
        <v/>
      </c>
      <c r="G356" s="13"/>
      <c r="H356" s="11"/>
      <c r="I356" s="15" t="str">
        <f aca="false">IF($F356="","",$F356-IF($H356="",0,$H356))</f>
        <v/>
      </c>
      <c r="J356" s="16" t="str">
        <f aca="true">IF(OR($A356="",$I356="",$I356&lt;=0),"",TODAY()-$A356)</f>
        <v/>
      </c>
      <c r="K356" s="10"/>
    </row>
    <row r="357" customFormat="false" ht="15" hidden="false" customHeight="true" outlineLevel="0" collapsed="false">
      <c r="A357" s="13"/>
      <c r="B357" s="10"/>
      <c r="C357" s="10"/>
      <c r="D357" s="14"/>
      <c r="E357" s="11"/>
      <c r="F357" s="15" t="str">
        <f aca="false">IF($B357="","",IF(AND($D357="",$E357=""),"",IF(OR($D357="",$E357=""),0,ROUND($D357*$E357,0))))</f>
        <v/>
      </c>
      <c r="G357" s="13"/>
      <c r="H357" s="11"/>
      <c r="I357" s="15" t="str">
        <f aca="false">IF($F357="","",$F357-IF($H357="",0,$H357))</f>
        <v/>
      </c>
      <c r="J357" s="16" t="str">
        <f aca="true">IF(OR($A357="",$I357="",$I357&lt;=0),"",TODAY()-$A357)</f>
        <v/>
      </c>
      <c r="K357" s="10"/>
    </row>
    <row r="358" customFormat="false" ht="15" hidden="false" customHeight="true" outlineLevel="0" collapsed="false">
      <c r="A358" s="13"/>
      <c r="B358" s="10"/>
      <c r="C358" s="10"/>
      <c r="D358" s="14"/>
      <c r="E358" s="11"/>
      <c r="F358" s="15" t="str">
        <f aca="false">IF($B358="","",IF(AND($D358="",$E358=""),"",IF(OR($D358="",$E358=""),0,ROUND($D358*$E358,0))))</f>
        <v/>
      </c>
      <c r="G358" s="13"/>
      <c r="H358" s="11"/>
      <c r="I358" s="15" t="str">
        <f aca="false">IF($F358="","",$F358-IF($H358="",0,$H358))</f>
        <v/>
      </c>
      <c r="J358" s="16" t="str">
        <f aca="true">IF(OR($A358="",$I358="",$I358&lt;=0),"",TODAY()-$A358)</f>
        <v/>
      </c>
      <c r="K358" s="10"/>
    </row>
    <row r="359" customFormat="false" ht="15" hidden="false" customHeight="true" outlineLevel="0" collapsed="false">
      <c r="A359" s="13"/>
      <c r="B359" s="10"/>
      <c r="C359" s="10"/>
      <c r="D359" s="14"/>
      <c r="E359" s="11"/>
      <c r="F359" s="15" t="str">
        <f aca="false">IF($B359="","",IF(AND($D359="",$E359=""),"",IF(OR($D359="",$E359=""),0,ROUND($D359*$E359,0))))</f>
        <v/>
      </c>
      <c r="G359" s="13"/>
      <c r="H359" s="11"/>
      <c r="I359" s="15" t="str">
        <f aca="false">IF($F359="","",$F359-IF($H359="",0,$H359))</f>
        <v/>
      </c>
      <c r="J359" s="16" t="str">
        <f aca="true">IF(OR($A359="",$I359="",$I359&lt;=0),"",TODAY()-$A359)</f>
        <v/>
      </c>
      <c r="K359" s="10"/>
    </row>
    <row r="360" customFormat="false" ht="15" hidden="false" customHeight="true" outlineLevel="0" collapsed="false">
      <c r="A360" s="13"/>
      <c r="B360" s="10"/>
      <c r="C360" s="10"/>
      <c r="D360" s="14"/>
      <c r="E360" s="11"/>
      <c r="F360" s="15" t="str">
        <f aca="false">IF($B360="","",IF(AND($D360="",$E360=""),"",IF(OR($D360="",$E360=""),0,ROUND($D360*$E360,0))))</f>
        <v/>
      </c>
      <c r="G360" s="13"/>
      <c r="H360" s="11"/>
      <c r="I360" s="15" t="str">
        <f aca="false">IF($F360="","",$F360-IF($H360="",0,$H360))</f>
        <v/>
      </c>
      <c r="J360" s="16" t="str">
        <f aca="true">IF(OR($A360="",$I360="",$I360&lt;=0),"",TODAY()-$A360)</f>
        <v/>
      </c>
      <c r="K360" s="10"/>
    </row>
    <row r="361" customFormat="false" ht="15" hidden="false" customHeight="true" outlineLevel="0" collapsed="false">
      <c r="A361" s="13"/>
      <c r="B361" s="10"/>
      <c r="C361" s="10"/>
      <c r="D361" s="14"/>
      <c r="E361" s="11"/>
      <c r="F361" s="15" t="str">
        <f aca="false">IF($B361="","",IF(AND($D361="",$E361=""),"",IF(OR($D361="",$E361=""),0,ROUND($D361*$E361,0))))</f>
        <v/>
      </c>
      <c r="G361" s="13"/>
      <c r="H361" s="11"/>
      <c r="I361" s="15" t="str">
        <f aca="false">IF($F361="","",$F361-IF($H361="",0,$H361))</f>
        <v/>
      </c>
      <c r="J361" s="16" t="str">
        <f aca="true">IF(OR($A361="",$I361="",$I361&lt;=0),"",TODAY()-$A361)</f>
        <v/>
      </c>
      <c r="K361" s="10"/>
    </row>
    <row r="362" customFormat="false" ht="15" hidden="false" customHeight="true" outlineLevel="0" collapsed="false">
      <c r="A362" s="13"/>
      <c r="B362" s="10"/>
      <c r="C362" s="10"/>
      <c r="D362" s="14"/>
      <c r="E362" s="11"/>
      <c r="F362" s="15" t="str">
        <f aca="false">IF($B362="","",IF(AND($D362="",$E362=""),"",IF(OR($D362="",$E362=""),0,ROUND($D362*$E362,0))))</f>
        <v/>
      </c>
      <c r="G362" s="13"/>
      <c r="H362" s="11"/>
      <c r="I362" s="15" t="str">
        <f aca="false">IF($F362="","",$F362-IF($H362="",0,$H362))</f>
        <v/>
      </c>
      <c r="J362" s="16" t="str">
        <f aca="true">IF(OR($A362="",$I362="",$I362&lt;=0),"",TODAY()-$A362)</f>
        <v/>
      </c>
      <c r="K362" s="10"/>
    </row>
    <row r="363" customFormat="false" ht="15" hidden="false" customHeight="true" outlineLevel="0" collapsed="false">
      <c r="A363" s="13"/>
      <c r="B363" s="10"/>
      <c r="C363" s="10"/>
      <c r="D363" s="14"/>
      <c r="E363" s="11"/>
      <c r="F363" s="15" t="str">
        <f aca="false">IF($B363="","",IF(AND($D363="",$E363=""),"",IF(OR($D363="",$E363=""),0,ROUND($D363*$E363,0))))</f>
        <v/>
      </c>
      <c r="G363" s="13"/>
      <c r="H363" s="11"/>
      <c r="I363" s="15" t="str">
        <f aca="false">IF($F363="","",$F363-IF($H363="",0,$H363))</f>
        <v/>
      </c>
      <c r="J363" s="16" t="str">
        <f aca="true">IF(OR($A363="",$I363="",$I363&lt;=0),"",TODAY()-$A363)</f>
        <v/>
      </c>
      <c r="K363" s="10"/>
    </row>
    <row r="364" customFormat="false" ht="15" hidden="false" customHeight="true" outlineLevel="0" collapsed="false">
      <c r="A364" s="13"/>
      <c r="B364" s="10"/>
      <c r="C364" s="10"/>
      <c r="D364" s="14"/>
      <c r="E364" s="11"/>
      <c r="F364" s="15" t="str">
        <f aca="false">IF($B364="","",IF(AND($D364="",$E364=""),"",IF(OR($D364="",$E364=""),0,ROUND($D364*$E364,0))))</f>
        <v/>
      </c>
      <c r="G364" s="13"/>
      <c r="H364" s="11"/>
      <c r="I364" s="15" t="str">
        <f aca="false">IF($F364="","",$F364-IF($H364="",0,$H364))</f>
        <v/>
      </c>
      <c r="J364" s="16" t="str">
        <f aca="true">IF(OR($A364="",$I364="",$I364&lt;=0),"",TODAY()-$A364)</f>
        <v/>
      </c>
      <c r="K364" s="10"/>
    </row>
    <row r="365" customFormat="false" ht="15" hidden="false" customHeight="true" outlineLevel="0" collapsed="false">
      <c r="A365" s="13"/>
      <c r="B365" s="10"/>
      <c r="C365" s="10"/>
      <c r="D365" s="14"/>
      <c r="E365" s="11"/>
      <c r="F365" s="15" t="str">
        <f aca="false">IF($B365="","",IF(AND($D365="",$E365=""),"",IF(OR($D365="",$E365=""),0,ROUND($D365*$E365,0))))</f>
        <v/>
      </c>
      <c r="G365" s="13"/>
      <c r="H365" s="11"/>
      <c r="I365" s="15" t="str">
        <f aca="false">IF($F365="","",$F365-IF($H365="",0,$H365))</f>
        <v/>
      </c>
      <c r="J365" s="16" t="str">
        <f aca="true">IF(OR($A365="",$I365="",$I365&lt;=0),"",TODAY()-$A365)</f>
        <v/>
      </c>
      <c r="K365" s="10"/>
    </row>
    <row r="366" customFormat="false" ht="15" hidden="false" customHeight="true" outlineLevel="0" collapsed="false">
      <c r="A366" s="13"/>
      <c r="B366" s="10"/>
      <c r="C366" s="10"/>
      <c r="D366" s="14"/>
      <c r="E366" s="11"/>
      <c r="F366" s="15" t="str">
        <f aca="false">IF($B366="","",IF(AND($D366="",$E366=""),"",IF(OR($D366="",$E366=""),0,ROUND($D366*$E366,0))))</f>
        <v/>
      </c>
      <c r="G366" s="13"/>
      <c r="H366" s="11"/>
      <c r="I366" s="15" t="str">
        <f aca="false">IF($F366="","",$F366-IF($H366="",0,$H366))</f>
        <v/>
      </c>
      <c r="J366" s="16" t="str">
        <f aca="true">IF(OR($A366="",$I366="",$I366&lt;=0),"",TODAY()-$A366)</f>
        <v/>
      </c>
      <c r="K366" s="10"/>
    </row>
    <row r="367" customFormat="false" ht="15" hidden="false" customHeight="true" outlineLevel="0" collapsed="false">
      <c r="A367" s="13"/>
      <c r="B367" s="10"/>
      <c r="C367" s="10"/>
      <c r="D367" s="14"/>
      <c r="E367" s="11"/>
      <c r="F367" s="15" t="str">
        <f aca="false">IF($B367="","",IF(AND($D367="",$E367=""),"",IF(OR($D367="",$E367=""),0,ROUND($D367*$E367,0))))</f>
        <v/>
      </c>
      <c r="G367" s="13"/>
      <c r="H367" s="11"/>
      <c r="I367" s="15" t="str">
        <f aca="false">IF($F367="","",$F367-IF($H367="",0,$H367))</f>
        <v/>
      </c>
      <c r="J367" s="16" t="str">
        <f aca="true">IF(OR($A367="",$I367="",$I367&lt;=0),"",TODAY()-$A367)</f>
        <v/>
      </c>
      <c r="K367" s="10"/>
    </row>
    <row r="368" customFormat="false" ht="15" hidden="false" customHeight="true" outlineLevel="0" collapsed="false">
      <c r="A368" s="13"/>
      <c r="B368" s="10"/>
      <c r="C368" s="10"/>
      <c r="D368" s="14"/>
      <c r="E368" s="11"/>
      <c r="F368" s="15" t="str">
        <f aca="false">IF($B368="","",IF(AND($D368="",$E368=""),"",IF(OR($D368="",$E368=""),0,ROUND($D368*$E368,0))))</f>
        <v/>
      </c>
      <c r="G368" s="13"/>
      <c r="H368" s="11"/>
      <c r="I368" s="15" t="str">
        <f aca="false">IF($F368="","",$F368-IF($H368="",0,$H368))</f>
        <v/>
      </c>
      <c r="J368" s="16" t="str">
        <f aca="true">IF(OR($A368="",$I368="",$I368&lt;=0),"",TODAY()-$A368)</f>
        <v/>
      </c>
      <c r="K368" s="10"/>
    </row>
    <row r="369" customFormat="false" ht="15" hidden="false" customHeight="true" outlineLevel="0" collapsed="false">
      <c r="A369" s="13"/>
      <c r="B369" s="10"/>
      <c r="C369" s="10"/>
      <c r="D369" s="14"/>
      <c r="E369" s="11"/>
      <c r="F369" s="15" t="str">
        <f aca="false">IF($B369="","",IF(AND($D369="",$E369=""),"",IF(OR($D369="",$E369=""),0,ROUND($D369*$E369,0))))</f>
        <v/>
      </c>
      <c r="G369" s="13"/>
      <c r="H369" s="11"/>
      <c r="I369" s="15" t="str">
        <f aca="false">IF($F369="","",$F369-IF($H369="",0,$H369))</f>
        <v/>
      </c>
      <c r="J369" s="16" t="str">
        <f aca="true">IF(OR($A369="",$I369="",$I369&lt;=0),"",TODAY()-$A369)</f>
        <v/>
      </c>
      <c r="K369" s="10"/>
    </row>
    <row r="370" customFormat="false" ht="15" hidden="false" customHeight="true" outlineLevel="0" collapsed="false">
      <c r="A370" s="13"/>
      <c r="B370" s="10"/>
      <c r="C370" s="10"/>
      <c r="D370" s="14"/>
      <c r="E370" s="11"/>
      <c r="F370" s="15" t="str">
        <f aca="false">IF($B370="","",IF(AND($D370="",$E370=""),"",IF(OR($D370="",$E370=""),0,ROUND($D370*$E370,0))))</f>
        <v/>
      </c>
      <c r="G370" s="13"/>
      <c r="H370" s="11"/>
      <c r="I370" s="15" t="str">
        <f aca="false">IF($F370="","",$F370-IF($H370="",0,$H370))</f>
        <v/>
      </c>
      <c r="J370" s="16" t="str">
        <f aca="true">IF(OR($A370="",$I370="",$I370&lt;=0),"",TODAY()-$A370)</f>
        <v/>
      </c>
      <c r="K370" s="10"/>
    </row>
    <row r="371" customFormat="false" ht="15" hidden="false" customHeight="true" outlineLevel="0" collapsed="false">
      <c r="A371" s="13"/>
      <c r="B371" s="10"/>
      <c r="C371" s="10"/>
      <c r="D371" s="14"/>
      <c r="E371" s="11"/>
      <c r="F371" s="15" t="str">
        <f aca="false">IF($B371="","",IF(AND($D371="",$E371=""),"",IF(OR($D371="",$E371=""),0,ROUND($D371*$E371,0))))</f>
        <v/>
      </c>
      <c r="G371" s="13"/>
      <c r="H371" s="11"/>
      <c r="I371" s="15" t="str">
        <f aca="false">IF($F371="","",$F371-IF($H371="",0,$H371))</f>
        <v/>
      </c>
      <c r="J371" s="16" t="str">
        <f aca="true">IF(OR($A371="",$I371="",$I371&lt;=0),"",TODAY()-$A371)</f>
        <v/>
      </c>
      <c r="K371" s="10"/>
    </row>
    <row r="372" customFormat="false" ht="15" hidden="false" customHeight="true" outlineLevel="0" collapsed="false">
      <c r="A372" s="13"/>
      <c r="B372" s="10"/>
      <c r="C372" s="10"/>
      <c r="D372" s="14"/>
      <c r="E372" s="11"/>
      <c r="F372" s="15" t="str">
        <f aca="false">IF($B372="","",IF(AND($D372="",$E372=""),"",IF(OR($D372="",$E372=""),0,ROUND($D372*$E372,0))))</f>
        <v/>
      </c>
      <c r="G372" s="13"/>
      <c r="H372" s="11"/>
      <c r="I372" s="15" t="str">
        <f aca="false">IF($F372="","",$F372-IF($H372="",0,$H372))</f>
        <v/>
      </c>
      <c r="J372" s="16" t="str">
        <f aca="true">IF(OR($A372="",$I372="",$I372&lt;=0),"",TODAY()-$A372)</f>
        <v/>
      </c>
      <c r="K372" s="10"/>
    </row>
    <row r="373" customFormat="false" ht="15" hidden="false" customHeight="true" outlineLevel="0" collapsed="false">
      <c r="A373" s="13"/>
      <c r="B373" s="10"/>
      <c r="C373" s="10"/>
      <c r="D373" s="14"/>
      <c r="E373" s="11"/>
      <c r="F373" s="15" t="str">
        <f aca="false">IF($B373="","",IF(AND($D373="",$E373=""),"",IF(OR($D373="",$E373=""),0,ROUND($D373*$E373,0))))</f>
        <v/>
      </c>
      <c r="G373" s="13"/>
      <c r="H373" s="11"/>
      <c r="I373" s="15" t="str">
        <f aca="false">IF($F373="","",$F373-IF($H373="",0,$H373))</f>
        <v/>
      </c>
      <c r="J373" s="16" t="str">
        <f aca="true">IF(OR($A373="",$I373="",$I373&lt;=0),"",TODAY()-$A373)</f>
        <v/>
      </c>
      <c r="K373" s="10"/>
    </row>
    <row r="374" customFormat="false" ht="15" hidden="false" customHeight="true" outlineLevel="0" collapsed="false">
      <c r="A374" s="13"/>
      <c r="B374" s="10"/>
      <c r="C374" s="10"/>
      <c r="D374" s="14"/>
      <c r="E374" s="11"/>
      <c r="F374" s="15" t="str">
        <f aca="false">IF($B374="","",IF(AND($D374="",$E374=""),"",IF(OR($D374="",$E374=""),0,ROUND($D374*$E374,0))))</f>
        <v/>
      </c>
      <c r="G374" s="13"/>
      <c r="H374" s="11"/>
      <c r="I374" s="15" t="str">
        <f aca="false">IF($F374="","",$F374-IF($H374="",0,$H374))</f>
        <v/>
      </c>
      <c r="J374" s="16" t="str">
        <f aca="true">IF(OR($A374="",$I374="",$I374&lt;=0),"",TODAY()-$A374)</f>
        <v/>
      </c>
      <c r="K374" s="10"/>
    </row>
    <row r="375" customFormat="false" ht="15" hidden="false" customHeight="true" outlineLevel="0" collapsed="false">
      <c r="A375" s="13"/>
      <c r="B375" s="10"/>
      <c r="C375" s="10"/>
      <c r="D375" s="14"/>
      <c r="E375" s="11"/>
      <c r="F375" s="15" t="str">
        <f aca="false">IF($B375="","",IF(AND($D375="",$E375=""),"",IF(OR($D375="",$E375=""),0,ROUND($D375*$E375,0))))</f>
        <v/>
      </c>
      <c r="G375" s="13"/>
      <c r="H375" s="11"/>
      <c r="I375" s="15" t="str">
        <f aca="false">IF($F375="","",$F375-IF($H375="",0,$H375))</f>
        <v/>
      </c>
      <c r="J375" s="16" t="str">
        <f aca="true">IF(OR($A375="",$I375="",$I375&lt;=0),"",TODAY()-$A375)</f>
        <v/>
      </c>
      <c r="K375" s="10"/>
    </row>
    <row r="376" customFormat="false" ht="15" hidden="false" customHeight="true" outlineLevel="0" collapsed="false">
      <c r="A376" s="13"/>
      <c r="B376" s="10"/>
      <c r="C376" s="10"/>
      <c r="D376" s="14"/>
      <c r="E376" s="11"/>
      <c r="F376" s="15" t="str">
        <f aca="false">IF($B376="","",IF(AND($D376="",$E376=""),"",IF(OR($D376="",$E376=""),0,ROUND($D376*$E376,0))))</f>
        <v/>
      </c>
      <c r="G376" s="13"/>
      <c r="H376" s="11"/>
      <c r="I376" s="15" t="str">
        <f aca="false">IF($F376="","",$F376-IF($H376="",0,$H376))</f>
        <v/>
      </c>
      <c r="J376" s="16" t="str">
        <f aca="true">IF(OR($A376="",$I376="",$I376&lt;=0),"",TODAY()-$A376)</f>
        <v/>
      </c>
      <c r="K376" s="10"/>
    </row>
    <row r="377" customFormat="false" ht="15" hidden="false" customHeight="true" outlineLevel="0" collapsed="false">
      <c r="A377" s="13"/>
      <c r="B377" s="10"/>
      <c r="C377" s="10"/>
      <c r="D377" s="14"/>
      <c r="E377" s="11"/>
      <c r="F377" s="15" t="str">
        <f aca="false">IF($B377="","",IF(AND($D377="",$E377=""),"",IF(OR($D377="",$E377=""),0,ROUND($D377*$E377,0))))</f>
        <v/>
      </c>
      <c r="G377" s="13"/>
      <c r="H377" s="11"/>
      <c r="I377" s="15" t="str">
        <f aca="false">IF($F377="","",$F377-IF($H377="",0,$H377))</f>
        <v/>
      </c>
      <c r="J377" s="16" t="str">
        <f aca="true">IF(OR($A377="",$I377="",$I377&lt;=0),"",TODAY()-$A377)</f>
        <v/>
      </c>
      <c r="K377" s="10"/>
    </row>
    <row r="378" customFormat="false" ht="15" hidden="false" customHeight="true" outlineLevel="0" collapsed="false">
      <c r="A378" s="13"/>
      <c r="B378" s="10"/>
      <c r="C378" s="10"/>
      <c r="D378" s="14"/>
      <c r="E378" s="11"/>
      <c r="F378" s="15" t="str">
        <f aca="false">IF($B378="","",IF(AND($D378="",$E378=""),"",IF(OR($D378="",$E378=""),0,ROUND($D378*$E378,0))))</f>
        <v/>
      </c>
      <c r="G378" s="13"/>
      <c r="H378" s="11"/>
      <c r="I378" s="15" t="str">
        <f aca="false">IF($F378="","",$F378-IF($H378="",0,$H378))</f>
        <v/>
      </c>
      <c r="J378" s="16" t="str">
        <f aca="true">IF(OR($A378="",$I378="",$I378&lt;=0),"",TODAY()-$A378)</f>
        <v/>
      </c>
      <c r="K378" s="10"/>
    </row>
    <row r="379" customFormat="false" ht="15" hidden="false" customHeight="true" outlineLevel="0" collapsed="false">
      <c r="A379" s="13"/>
      <c r="B379" s="10"/>
      <c r="C379" s="10"/>
      <c r="D379" s="14"/>
      <c r="E379" s="11"/>
      <c r="F379" s="15" t="str">
        <f aca="false">IF($B379="","",IF(AND($D379="",$E379=""),"",IF(OR($D379="",$E379=""),0,ROUND($D379*$E379,0))))</f>
        <v/>
      </c>
      <c r="G379" s="13"/>
      <c r="H379" s="11"/>
      <c r="I379" s="15" t="str">
        <f aca="false">IF($F379="","",$F379-IF($H379="",0,$H379))</f>
        <v/>
      </c>
      <c r="J379" s="16" t="str">
        <f aca="true">IF(OR($A379="",$I379="",$I379&lt;=0),"",TODAY()-$A379)</f>
        <v/>
      </c>
      <c r="K379" s="10"/>
    </row>
    <row r="380" customFormat="false" ht="15" hidden="false" customHeight="true" outlineLevel="0" collapsed="false">
      <c r="A380" s="13"/>
      <c r="B380" s="10"/>
      <c r="C380" s="10"/>
      <c r="D380" s="14"/>
      <c r="E380" s="11"/>
      <c r="F380" s="15" t="str">
        <f aca="false">IF($B380="","",IF(AND($D380="",$E380=""),"",IF(OR($D380="",$E380=""),0,ROUND($D380*$E380,0))))</f>
        <v/>
      </c>
      <c r="G380" s="13"/>
      <c r="H380" s="11"/>
      <c r="I380" s="15" t="str">
        <f aca="false">IF($F380="","",$F380-IF($H380="",0,$H380))</f>
        <v/>
      </c>
      <c r="J380" s="16" t="str">
        <f aca="true">IF(OR($A380="",$I380="",$I380&lt;=0),"",TODAY()-$A380)</f>
        <v/>
      </c>
      <c r="K380" s="10"/>
    </row>
    <row r="381" customFormat="false" ht="15" hidden="false" customHeight="true" outlineLevel="0" collapsed="false">
      <c r="A381" s="13"/>
      <c r="B381" s="10"/>
      <c r="C381" s="10"/>
      <c r="D381" s="14"/>
      <c r="E381" s="11"/>
      <c r="F381" s="15" t="str">
        <f aca="false">IF($B381="","",IF(AND($D381="",$E381=""),"",IF(OR($D381="",$E381=""),0,ROUND($D381*$E381,0))))</f>
        <v/>
      </c>
      <c r="G381" s="13"/>
      <c r="H381" s="11"/>
      <c r="I381" s="15" t="str">
        <f aca="false">IF($F381="","",$F381-IF($H381="",0,$H381))</f>
        <v/>
      </c>
      <c r="J381" s="16" t="str">
        <f aca="true">IF(OR($A381="",$I381="",$I381&lt;=0),"",TODAY()-$A381)</f>
        <v/>
      </c>
      <c r="K381" s="10"/>
    </row>
    <row r="382" customFormat="false" ht="15" hidden="false" customHeight="true" outlineLevel="0" collapsed="false">
      <c r="A382" s="13"/>
      <c r="B382" s="10"/>
      <c r="C382" s="10"/>
      <c r="D382" s="14"/>
      <c r="E382" s="11"/>
      <c r="F382" s="15" t="str">
        <f aca="false">IF($B382="","",IF(AND($D382="",$E382=""),"",IF(OR($D382="",$E382=""),0,ROUND($D382*$E382,0))))</f>
        <v/>
      </c>
      <c r="G382" s="13"/>
      <c r="H382" s="11"/>
      <c r="I382" s="15" t="str">
        <f aca="false">IF($F382="","",$F382-IF($H382="",0,$H382))</f>
        <v/>
      </c>
      <c r="J382" s="16" t="str">
        <f aca="true">IF(OR($A382="",$I382="",$I382&lt;=0),"",TODAY()-$A382)</f>
        <v/>
      </c>
      <c r="K382" s="10"/>
    </row>
    <row r="383" customFormat="false" ht="15" hidden="false" customHeight="true" outlineLevel="0" collapsed="false">
      <c r="A383" s="13"/>
      <c r="B383" s="10"/>
      <c r="C383" s="10"/>
      <c r="D383" s="14"/>
      <c r="E383" s="11"/>
      <c r="F383" s="15" t="str">
        <f aca="false">IF($B383="","",IF(AND($D383="",$E383=""),"",IF(OR($D383="",$E383=""),0,ROUND($D383*$E383,0))))</f>
        <v/>
      </c>
      <c r="G383" s="13"/>
      <c r="H383" s="11"/>
      <c r="I383" s="15" t="str">
        <f aca="false">IF($F383="","",$F383-IF($H383="",0,$H383))</f>
        <v/>
      </c>
      <c r="J383" s="16" t="str">
        <f aca="true">IF(OR($A383="",$I383="",$I383&lt;=0),"",TODAY()-$A383)</f>
        <v/>
      </c>
      <c r="K383" s="10"/>
    </row>
    <row r="384" customFormat="false" ht="15" hidden="false" customHeight="true" outlineLevel="0" collapsed="false">
      <c r="A384" s="13"/>
      <c r="B384" s="10"/>
      <c r="C384" s="10"/>
      <c r="D384" s="14"/>
      <c r="E384" s="11"/>
      <c r="F384" s="15" t="str">
        <f aca="false">IF($B384="","",IF(AND($D384="",$E384=""),"",IF(OR($D384="",$E384=""),0,ROUND($D384*$E384,0))))</f>
        <v/>
      </c>
      <c r="G384" s="13"/>
      <c r="H384" s="11"/>
      <c r="I384" s="15" t="str">
        <f aca="false">IF($F384="","",$F384-IF($H384="",0,$H384))</f>
        <v/>
      </c>
      <c r="J384" s="16" t="str">
        <f aca="true">IF(OR($A384="",$I384="",$I384&lt;=0),"",TODAY()-$A384)</f>
        <v/>
      </c>
      <c r="K384" s="10"/>
    </row>
    <row r="385" customFormat="false" ht="15" hidden="false" customHeight="true" outlineLevel="0" collapsed="false">
      <c r="A385" s="13"/>
      <c r="B385" s="10"/>
      <c r="C385" s="10"/>
      <c r="D385" s="14"/>
      <c r="E385" s="11"/>
      <c r="F385" s="15" t="str">
        <f aca="false">IF($B385="","",IF(AND($D385="",$E385=""),"",IF(OR($D385="",$E385=""),0,ROUND($D385*$E385,0))))</f>
        <v/>
      </c>
      <c r="G385" s="13"/>
      <c r="H385" s="11"/>
      <c r="I385" s="15" t="str">
        <f aca="false">IF($F385="","",$F385-IF($H385="",0,$H385))</f>
        <v/>
      </c>
      <c r="J385" s="16" t="str">
        <f aca="true">IF(OR($A385="",$I385="",$I385&lt;=0),"",TODAY()-$A385)</f>
        <v/>
      </c>
      <c r="K385" s="10"/>
    </row>
    <row r="386" customFormat="false" ht="15" hidden="false" customHeight="true" outlineLevel="0" collapsed="false">
      <c r="A386" s="13"/>
      <c r="B386" s="10"/>
      <c r="C386" s="10"/>
      <c r="D386" s="14"/>
      <c r="E386" s="11"/>
      <c r="F386" s="15" t="str">
        <f aca="false">IF($B386="","",IF(AND($D386="",$E386=""),"",IF(OR($D386="",$E386=""),0,ROUND($D386*$E386,0))))</f>
        <v/>
      </c>
      <c r="G386" s="13"/>
      <c r="H386" s="11"/>
      <c r="I386" s="15" t="str">
        <f aca="false">IF($F386="","",$F386-IF($H386="",0,$H386))</f>
        <v/>
      </c>
      <c r="J386" s="16" t="str">
        <f aca="true">IF(OR($A386="",$I386="",$I386&lt;=0),"",TODAY()-$A386)</f>
        <v/>
      </c>
      <c r="K386" s="10"/>
    </row>
    <row r="387" customFormat="false" ht="15" hidden="false" customHeight="true" outlineLevel="0" collapsed="false">
      <c r="A387" s="13"/>
      <c r="B387" s="10"/>
      <c r="C387" s="10"/>
      <c r="D387" s="14"/>
      <c r="E387" s="11"/>
      <c r="F387" s="15" t="str">
        <f aca="false">IF($B387="","",IF(AND($D387="",$E387=""),"",IF(OR($D387="",$E387=""),0,ROUND($D387*$E387,0))))</f>
        <v/>
      </c>
      <c r="G387" s="13"/>
      <c r="H387" s="11"/>
      <c r="I387" s="15" t="str">
        <f aca="false">IF($F387="","",$F387-IF($H387="",0,$H387))</f>
        <v/>
      </c>
      <c r="J387" s="16" t="str">
        <f aca="true">IF(OR($A387="",$I387="",$I387&lt;=0),"",TODAY()-$A387)</f>
        <v/>
      </c>
      <c r="K387" s="10"/>
    </row>
    <row r="388" customFormat="false" ht="15" hidden="false" customHeight="true" outlineLevel="0" collapsed="false">
      <c r="A388" s="13"/>
      <c r="B388" s="10"/>
      <c r="C388" s="10"/>
      <c r="D388" s="14"/>
      <c r="E388" s="11"/>
      <c r="F388" s="15" t="str">
        <f aca="false">IF($B388="","",IF(AND($D388="",$E388=""),"",IF(OR($D388="",$E388=""),0,ROUND($D388*$E388,0))))</f>
        <v/>
      </c>
      <c r="G388" s="13"/>
      <c r="H388" s="11"/>
      <c r="I388" s="15" t="str">
        <f aca="false">IF($F388="","",$F388-IF($H388="",0,$H388))</f>
        <v/>
      </c>
      <c r="J388" s="16" t="str">
        <f aca="true">IF(OR($A388="",$I388="",$I388&lt;=0),"",TODAY()-$A388)</f>
        <v/>
      </c>
      <c r="K388" s="10"/>
    </row>
    <row r="389" customFormat="false" ht="15" hidden="false" customHeight="true" outlineLevel="0" collapsed="false">
      <c r="A389" s="13"/>
      <c r="B389" s="10"/>
      <c r="C389" s="10"/>
      <c r="D389" s="14"/>
      <c r="E389" s="11"/>
      <c r="F389" s="15" t="str">
        <f aca="false">IF($B389="","",IF(AND($D389="",$E389=""),"",IF(OR($D389="",$E389=""),0,ROUND($D389*$E389,0))))</f>
        <v/>
      </c>
      <c r="G389" s="13"/>
      <c r="H389" s="11"/>
      <c r="I389" s="15" t="str">
        <f aca="false">IF($F389="","",$F389-IF($H389="",0,$H389))</f>
        <v/>
      </c>
      <c r="J389" s="16" t="str">
        <f aca="true">IF(OR($A389="",$I389="",$I389&lt;=0),"",TODAY()-$A389)</f>
        <v/>
      </c>
      <c r="K389" s="10"/>
    </row>
    <row r="390" customFormat="false" ht="15" hidden="false" customHeight="true" outlineLevel="0" collapsed="false">
      <c r="A390" s="13"/>
      <c r="B390" s="10"/>
      <c r="C390" s="10"/>
      <c r="D390" s="14"/>
      <c r="E390" s="11"/>
      <c r="F390" s="15" t="str">
        <f aca="false">IF($B390="","",IF(AND($D390="",$E390=""),"",IF(OR($D390="",$E390=""),0,ROUND($D390*$E390,0))))</f>
        <v/>
      </c>
      <c r="G390" s="13"/>
      <c r="H390" s="11"/>
      <c r="I390" s="15" t="str">
        <f aca="false">IF($F390="","",$F390-IF($H390="",0,$H390))</f>
        <v/>
      </c>
      <c r="J390" s="16" t="str">
        <f aca="true">IF(OR($A390="",$I390="",$I390&lt;=0),"",TODAY()-$A390)</f>
        <v/>
      </c>
      <c r="K390" s="10"/>
    </row>
    <row r="391" customFormat="false" ht="15" hidden="false" customHeight="true" outlineLevel="0" collapsed="false">
      <c r="A391" s="13"/>
      <c r="B391" s="10"/>
      <c r="C391" s="10"/>
      <c r="D391" s="14"/>
      <c r="E391" s="11"/>
      <c r="F391" s="15" t="str">
        <f aca="false">IF($B391="","",IF(AND($D391="",$E391=""),"",IF(OR($D391="",$E391=""),0,ROUND($D391*$E391,0))))</f>
        <v/>
      </c>
      <c r="G391" s="13"/>
      <c r="H391" s="11"/>
      <c r="I391" s="15" t="str">
        <f aca="false">IF($F391="","",$F391-IF($H391="",0,$H391))</f>
        <v/>
      </c>
      <c r="J391" s="16" t="str">
        <f aca="true">IF(OR($A391="",$I391="",$I391&lt;=0),"",TODAY()-$A391)</f>
        <v/>
      </c>
      <c r="K391" s="10"/>
    </row>
    <row r="392" customFormat="false" ht="15" hidden="false" customHeight="true" outlineLevel="0" collapsed="false">
      <c r="A392" s="13"/>
      <c r="B392" s="10"/>
      <c r="C392" s="10"/>
      <c r="D392" s="14"/>
      <c r="E392" s="11"/>
      <c r="F392" s="15" t="str">
        <f aca="false">IF($B392="","",IF(AND($D392="",$E392=""),"",IF(OR($D392="",$E392=""),0,ROUND($D392*$E392,0))))</f>
        <v/>
      </c>
      <c r="G392" s="13"/>
      <c r="H392" s="11"/>
      <c r="I392" s="15" t="str">
        <f aca="false">IF($F392="","",$F392-IF($H392="",0,$H392))</f>
        <v/>
      </c>
      <c r="J392" s="16" t="str">
        <f aca="true">IF(OR($A392="",$I392="",$I392&lt;=0),"",TODAY()-$A392)</f>
        <v/>
      </c>
      <c r="K392" s="10"/>
    </row>
    <row r="393" customFormat="false" ht="15" hidden="false" customHeight="true" outlineLevel="0" collapsed="false">
      <c r="A393" s="13"/>
      <c r="B393" s="10"/>
      <c r="C393" s="10"/>
      <c r="D393" s="14"/>
      <c r="E393" s="11"/>
      <c r="F393" s="15" t="str">
        <f aca="false">IF($B393="","",IF(AND($D393="",$E393=""),"",IF(OR($D393="",$E393=""),0,ROUND($D393*$E393,0))))</f>
        <v/>
      </c>
      <c r="G393" s="13"/>
      <c r="H393" s="11"/>
      <c r="I393" s="15" t="str">
        <f aca="false">IF($F393="","",$F393-IF($H393="",0,$H393))</f>
        <v/>
      </c>
      <c r="J393" s="16" t="str">
        <f aca="true">IF(OR($A393="",$I393="",$I393&lt;=0),"",TODAY()-$A393)</f>
        <v/>
      </c>
      <c r="K393" s="10"/>
    </row>
    <row r="394" customFormat="false" ht="15" hidden="false" customHeight="true" outlineLevel="0" collapsed="false">
      <c r="A394" s="13"/>
      <c r="B394" s="10"/>
      <c r="C394" s="10"/>
      <c r="D394" s="14"/>
      <c r="E394" s="11"/>
      <c r="F394" s="15" t="str">
        <f aca="false">IF($B394="","",IF(AND($D394="",$E394=""),"",IF(OR($D394="",$E394=""),0,ROUND($D394*$E394,0))))</f>
        <v/>
      </c>
      <c r="G394" s="13"/>
      <c r="H394" s="11"/>
      <c r="I394" s="15" t="str">
        <f aca="false">IF($F394="","",$F394-IF($H394="",0,$H394))</f>
        <v/>
      </c>
      <c r="J394" s="16" t="str">
        <f aca="true">IF(OR($A394="",$I394="",$I394&lt;=0),"",TODAY()-$A394)</f>
        <v/>
      </c>
      <c r="K394" s="10"/>
    </row>
    <row r="395" customFormat="false" ht="15" hidden="false" customHeight="true" outlineLevel="0" collapsed="false">
      <c r="A395" s="13"/>
      <c r="B395" s="10"/>
      <c r="C395" s="10"/>
      <c r="D395" s="14"/>
      <c r="E395" s="11"/>
      <c r="F395" s="15" t="str">
        <f aca="false">IF($B395="","",IF(AND($D395="",$E395=""),"",IF(OR($D395="",$E395=""),0,ROUND($D395*$E395,0))))</f>
        <v/>
      </c>
      <c r="G395" s="13"/>
      <c r="H395" s="11"/>
      <c r="I395" s="15" t="str">
        <f aca="false">IF($F395="","",$F395-IF($H395="",0,$H395))</f>
        <v/>
      </c>
      <c r="J395" s="16" t="str">
        <f aca="true">IF(OR($A395="",$I395="",$I395&lt;=0),"",TODAY()-$A395)</f>
        <v/>
      </c>
      <c r="K395" s="10"/>
    </row>
    <row r="396" customFormat="false" ht="15" hidden="false" customHeight="true" outlineLevel="0" collapsed="false">
      <c r="A396" s="13"/>
      <c r="B396" s="10"/>
      <c r="C396" s="10"/>
      <c r="D396" s="14"/>
      <c r="E396" s="11"/>
      <c r="F396" s="15" t="str">
        <f aca="false">IF($B396="","",IF(AND($D396="",$E396=""),"",IF(OR($D396="",$E396=""),0,ROUND($D396*$E396,0))))</f>
        <v/>
      </c>
      <c r="G396" s="13"/>
      <c r="H396" s="11"/>
      <c r="I396" s="15" t="str">
        <f aca="false">IF($F396="","",$F396-IF($H396="",0,$H396))</f>
        <v/>
      </c>
      <c r="J396" s="16" t="str">
        <f aca="true">IF(OR($A396="",$I396="",$I396&lt;=0),"",TODAY()-$A396)</f>
        <v/>
      </c>
      <c r="K396" s="10"/>
    </row>
    <row r="397" customFormat="false" ht="15" hidden="false" customHeight="true" outlineLevel="0" collapsed="false">
      <c r="A397" s="13"/>
      <c r="B397" s="10"/>
      <c r="C397" s="10"/>
      <c r="D397" s="14"/>
      <c r="E397" s="11"/>
      <c r="F397" s="15" t="str">
        <f aca="false">IF($B397="","",IF(AND($D397="",$E397=""),"",IF(OR($D397="",$E397=""),0,ROUND($D397*$E397,0))))</f>
        <v/>
      </c>
      <c r="G397" s="13"/>
      <c r="H397" s="11"/>
      <c r="I397" s="15" t="str">
        <f aca="false">IF($F397="","",$F397-IF($H397="",0,$H397))</f>
        <v/>
      </c>
      <c r="J397" s="16" t="str">
        <f aca="true">IF(OR($A397="",$I397="",$I397&lt;=0),"",TODAY()-$A397)</f>
        <v/>
      </c>
      <c r="K397" s="10"/>
    </row>
    <row r="398" customFormat="false" ht="15" hidden="false" customHeight="true" outlineLevel="0" collapsed="false">
      <c r="A398" s="13"/>
      <c r="B398" s="10"/>
      <c r="C398" s="10"/>
      <c r="D398" s="14"/>
      <c r="E398" s="11"/>
      <c r="F398" s="15" t="str">
        <f aca="false">IF($B398="","",IF(AND($D398="",$E398=""),"",IF(OR($D398="",$E398=""),0,ROUND($D398*$E398,0))))</f>
        <v/>
      </c>
      <c r="G398" s="13"/>
      <c r="H398" s="11"/>
      <c r="I398" s="15" t="str">
        <f aca="false">IF($F398="","",$F398-IF($H398="",0,$H398))</f>
        <v/>
      </c>
      <c r="J398" s="16" t="str">
        <f aca="true">IF(OR($A398="",$I398="",$I398&lt;=0),"",TODAY()-$A398)</f>
        <v/>
      </c>
      <c r="K398" s="10"/>
    </row>
    <row r="399" customFormat="false" ht="15" hidden="false" customHeight="true" outlineLevel="0" collapsed="false">
      <c r="A399" s="13"/>
      <c r="B399" s="10"/>
      <c r="C399" s="10"/>
      <c r="D399" s="14"/>
      <c r="E399" s="11"/>
      <c r="F399" s="15" t="str">
        <f aca="false">IF($B399="","",IF(AND($D399="",$E399=""),"",IF(OR($D399="",$E399=""),0,ROUND($D399*$E399,0))))</f>
        <v/>
      </c>
      <c r="G399" s="13"/>
      <c r="H399" s="11"/>
      <c r="I399" s="15" t="str">
        <f aca="false">IF($F399="","",$F399-IF($H399="",0,$H399))</f>
        <v/>
      </c>
      <c r="J399" s="16" t="str">
        <f aca="true">IF(OR($A399="",$I399="",$I399&lt;=0),"",TODAY()-$A399)</f>
        <v/>
      </c>
      <c r="K399" s="10"/>
    </row>
    <row r="400" customFormat="false" ht="15" hidden="false" customHeight="true" outlineLevel="0" collapsed="false">
      <c r="A400" s="13"/>
      <c r="B400" s="10"/>
      <c r="C400" s="10"/>
      <c r="D400" s="14"/>
      <c r="E400" s="11"/>
      <c r="F400" s="15" t="str">
        <f aca="false">IF($B400="","",IF(AND($D400="",$E400=""),"",IF(OR($D400="",$E400=""),0,ROUND($D400*$E400,0))))</f>
        <v/>
      </c>
      <c r="G400" s="13"/>
      <c r="H400" s="11"/>
      <c r="I400" s="15" t="str">
        <f aca="false">IF($F400="","",$F400-IF($H400="",0,$H400))</f>
        <v/>
      </c>
      <c r="J400" s="16" t="str">
        <f aca="true">IF(OR($A400="",$I400="",$I400&lt;=0),"",TODAY()-$A400)</f>
        <v/>
      </c>
      <c r="K400" s="10"/>
    </row>
    <row r="401" customFormat="false" ht="15" hidden="false" customHeight="true" outlineLevel="0" collapsed="false">
      <c r="A401" s="13"/>
      <c r="B401" s="10"/>
      <c r="C401" s="10"/>
      <c r="D401" s="14"/>
      <c r="E401" s="11"/>
      <c r="F401" s="15" t="str">
        <f aca="false">IF($B401="","",IF(AND($D401="",$E401=""),"",IF(OR($D401="",$E401=""),0,ROUND($D401*$E401,0))))</f>
        <v/>
      </c>
      <c r="G401" s="13"/>
      <c r="H401" s="11"/>
      <c r="I401" s="15" t="str">
        <f aca="false">IF($F401="","",$F401-IF($H401="",0,$H401))</f>
        <v/>
      </c>
      <c r="J401" s="16" t="str">
        <f aca="true">IF(OR($A401="",$I401="",$I401&lt;=0),"",TODAY()-$A401)</f>
        <v/>
      </c>
      <c r="K401" s="10"/>
    </row>
    <row r="402" customFormat="false" ht="15" hidden="false" customHeight="true" outlineLevel="0" collapsed="false">
      <c r="A402" s="13"/>
      <c r="B402" s="10"/>
      <c r="C402" s="10"/>
      <c r="D402" s="14"/>
      <c r="E402" s="11"/>
      <c r="F402" s="15" t="str">
        <f aca="false">IF($B402="","",IF(AND($D402="",$E402=""),"",IF(OR($D402="",$E402=""),0,ROUND($D402*$E402,0))))</f>
        <v/>
      </c>
      <c r="G402" s="13"/>
      <c r="H402" s="11"/>
      <c r="I402" s="15" t="str">
        <f aca="false">IF($F402="","",$F402-IF($H402="",0,$H402))</f>
        <v/>
      </c>
      <c r="J402" s="16" t="str">
        <f aca="true">IF(OR($A402="",$I402="",$I402&lt;=0),"",TODAY()-$A402)</f>
        <v/>
      </c>
      <c r="K402" s="10"/>
    </row>
    <row r="403" customFormat="false" ht="15" hidden="false" customHeight="true" outlineLevel="0" collapsed="false">
      <c r="A403" s="13"/>
      <c r="B403" s="10"/>
      <c r="C403" s="10"/>
      <c r="D403" s="14"/>
      <c r="E403" s="11"/>
      <c r="F403" s="15" t="str">
        <f aca="false">IF($B403="","",IF(AND($D403="",$E403=""),"",IF(OR($D403="",$E403=""),0,ROUND($D403*$E403,0))))</f>
        <v/>
      </c>
      <c r="G403" s="13"/>
      <c r="H403" s="11"/>
      <c r="I403" s="15" t="str">
        <f aca="false">IF($F403="","",$F403-IF($H403="",0,$H403))</f>
        <v/>
      </c>
      <c r="J403" s="16" t="str">
        <f aca="true">IF(OR($A403="",$I403="",$I403&lt;=0),"",TODAY()-$A403)</f>
        <v/>
      </c>
      <c r="K403" s="10"/>
    </row>
    <row r="404" customFormat="false" ht="15" hidden="false" customHeight="true" outlineLevel="0" collapsed="false">
      <c r="A404" s="13"/>
      <c r="B404" s="10"/>
      <c r="C404" s="10"/>
      <c r="D404" s="14"/>
      <c r="E404" s="11"/>
      <c r="F404" s="15" t="str">
        <f aca="false">IF($B404="","",IF(AND($D404="",$E404=""),"",IF(OR($D404="",$E404=""),0,ROUND($D404*$E404,0))))</f>
        <v/>
      </c>
      <c r="G404" s="13"/>
      <c r="H404" s="11"/>
      <c r="I404" s="15" t="str">
        <f aca="false">IF($F404="","",$F404-IF($H404="",0,$H404))</f>
        <v/>
      </c>
      <c r="J404" s="16" t="str">
        <f aca="true">IF(OR($A404="",$I404="",$I404&lt;=0),"",TODAY()-$A404)</f>
        <v/>
      </c>
      <c r="K404" s="10"/>
    </row>
    <row r="405" customFormat="false" ht="15" hidden="false" customHeight="true" outlineLevel="0" collapsed="false">
      <c r="A405" s="13"/>
      <c r="B405" s="10"/>
      <c r="C405" s="10"/>
      <c r="D405" s="14"/>
      <c r="E405" s="11"/>
      <c r="F405" s="15" t="str">
        <f aca="false">IF($B405="","",IF(AND($D405="",$E405=""),"",IF(OR($D405="",$E405=""),0,ROUND($D405*$E405,0))))</f>
        <v/>
      </c>
      <c r="G405" s="13"/>
      <c r="H405" s="11"/>
      <c r="I405" s="15" t="str">
        <f aca="false">IF($F405="","",$F405-IF($H405="",0,$H405))</f>
        <v/>
      </c>
      <c r="J405" s="16" t="str">
        <f aca="true">IF(OR($A405="",$I405="",$I405&lt;=0),"",TODAY()-$A405)</f>
        <v/>
      </c>
      <c r="K405" s="10"/>
    </row>
    <row r="406" customFormat="false" ht="15" hidden="false" customHeight="true" outlineLevel="0" collapsed="false">
      <c r="A406" s="13"/>
      <c r="B406" s="10"/>
      <c r="C406" s="10"/>
      <c r="D406" s="14"/>
      <c r="E406" s="11"/>
      <c r="F406" s="15" t="str">
        <f aca="false">IF($B406="","",IF(AND($D406="",$E406=""),"",IF(OR($D406="",$E406=""),0,ROUND($D406*$E406,0))))</f>
        <v/>
      </c>
      <c r="G406" s="13"/>
      <c r="H406" s="11"/>
      <c r="I406" s="15" t="str">
        <f aca="false">IF($F406="","",$F406-IF($H406="",0,$H406))</f>
        <v/>
      </c>
      <c r="J406" s="16" t="str">
        <f aca="true">IF(OR($A406="",$I406="",$I406&lt;=0),"",TODAY()-$A406)</f>
        <v/>
      </c>
      <c r="K406" s="10"/>
    </row>
    <row r="407" customFormat="false" ht="15" hidden="false" customHeight="true" outlineLevel="0" collapsed="false">
      <c r="A407" s="13"/>
      <c r="B407" s="10"/>
      <c r="C407" s="10"/>
      <c r="D407" s="14"/>
      <c r="E407" s="11"/>
      <c r="F407" s="15" t="str">
        <f aca="false">IF($B407="","",IF(AND($D407="",$E407=""),"",IF(OR($D407="",$E407=""),0,ROUND($D407*$E407,0))))</f>
        <v/>
      </c>
      <c r="G407" s="13"/>
      <c r="H407" s="11"/>
      <c r="I407" s="15" t="str">
        <f aca="false">IF($F407="","",$F407-IF($H407="",0,$H407))</f>
        <v/>
      </c>
      <c r="J407" s="16" t="str">
        <f aca="true">IF(OR($A407="",$I407="",$I407&lt;=0),"",TODAY()-$A407)</f>
        <v/>
      </c>
      <c r="K407" s="10"/>
    </row>
    <row r="408" customFormat="false" ht="15" hidden="false" customHeight="true" outlineLevel="0" collapsed="false">
      <c r="A408" s="13"/>
      <c r="B408" s="10"/>
      <c r="C408" s="10"/>
      <c r="D408" s="14"/>
      <c r="E408" s="11"/>
      <c r="F408" s="15" t="str">
        <f aca="false">IF($B408="","",IF(AND($D408="",$E408=""),"",IF(OR($D408="",$E408=""),0,ROUND($D408*$E408,0))))</f>
        <v/>
      </c>
      <c r="G408" s="13"/>
      <c r="H408" s="11"/>
      <c r="I408" s="15" t="str">
        <f aca="false">IF($F408="","",$F408-IF($H408="",0,$H408))</f>
        <v/>
      </c>
      <c r="J408" s="16" t="str">
        <f aca="true">IF(OR($A408="",$I408="",$I408&lt;=0),"",TODAY()-$A408)</f>
        <v/>
      </c>
      <c r="K408" s="10"/>
    </row>
    <row r="409" customFormat="false" ht="15" hidden="false" customHeight="true" outlineLevel="0" collapsed="false">
      <c r="A409" s="13"/>
      <c r="B409" s="10"/>
      <c r="C409" s="10"/>
      <c r="D409" s="14"/>
      <c r="E409" s="11"/>
      <c r="F409" s="15" t="str">
        <f aca="false">IF($B409="","",IF(AND($D409="",$E409=""),"",IF(OR($D409="",$E409=""),0,ROUND($D409*$E409,0))))</f>
        <v/>
      </c>
      <c r="G409" s="13"/>
      <c r="H409" s="11"/>
      <c r="I409" s="15" t="str">
        <f aca="false">IF($F409="","",$F409-IF($H409="",0,$H409))</f>
        <v/>
      </c>
      <c r="J409" s="16" t="str">
        <f aca="true">IF(OR($A409="",$I409="",$I409&lt;=0),"",TODAY()-$A409)</f>
        <v/>
      </c>
      <c r="K409" s="10"/>
    </row>
    <row r="410" customFormat="false" ht="15" hidden="false" customHeight="true" outlineLevel="0" collapsed="false">
      <c r="A410" s="13"/>
      <c r="B410" s="10"/>
      <c r="C410" s="10"/>
      <c r="D410" s="14"/>
      <c r="E410" s="11"/>
      <c r="F410" s="15" t="str">
        <f aca="false">IF($B410="","",IF(AND($D410="",$E410=""),"",IF(OR($D410="",$E410=""),0,ROUND($D410*$E410,0))))</f>
        <v/>
      </c>
      <c r="G410" s="13"/>
      <c r="H410" s="11"/>
      <c r="I410" s="15" t="str">
        <f aca="false">IF($F410="","",$F410-IF($H410="",0,$H410))</f>
        <v/>
      </c>
      <c r="J410" s="16" t="str">
        <f aca="true">IF(OR($A410="",$I410="",$I410&lt;=0),"",TODAY()-$A410)</f>
        <v/>
      </c>
      <c r="K410" s="10"/>
    </row>
    <row r="411" customFormat="false" ht="15" hidden="false" customHeight="true" outlineLevel="0" collapsed="false">
      <c r="A411" s="13"/>
      <c r="B411" s="10"/>
      <c r="C411" s="10"/>
      <c r="D411" s="14"/>
      <c r="E411" s="11"/>
      <c r="F411" s="15" t="str">
        <f aca="false">IF($B411="","",IF(AND($D411="",$E411=""),"",IF(OR($D411="",$E411=""),0,ROUND($D411*$E411,0))))</f>
        <v/>
      </c>
      <c r="G411" s="13"/>
      <c r="H411" s="11"/>
      <c r="I411" s="15" t="str">
        <f aca="false">IF($F411="","",$F411-IF($H411="",0,$H411))</f>
        <v/>
      </c>
      <c r="J411" s="16" t="str">
        <f aca="true">IF(OR($A411="",$I411="",$I411&lt;=0),"",TODAY()-$A411)</f>
        <v/>
      </c>
      <c r="K411" s="10"/>
    </row>
    <row r="412" customFormat="false" ht="15" hidden="false" customHeight="true" outlineLevel="0" collapsed="false">
      <c r="A412" s="13"/>
      <c r="B412" s="10"/>
      <c r="C412" s="10"/>
      <c r="D412" s="14"/>
      <c r="E412" s="11"/>
      <c r="F412" s="15" t="str">
        <f aca="false">IF($B412="","",IF(AND($D412="",$E412=""),"",IF(OR($D412="",$E412=""),0,ROUND($D412*$E412,0))))</f>
        <v/>
      </c>
      <c r="G412" s="13"/>
      <c r="H412" s="11"/>
      <c r="I412" s="15" t="str">
        <f aca="false">IF($F412="","",$F412-IF($H412="",0,$H412))</f>
        <v/>
      </c>
      <c r="J412" s="16" t="str">
        <f aca="true">IF(OR($A412="",$I412="",$I412&lt;=0),"",TODAY()-$A412)</f>
        <v/>
      </c>
      <c r="K412" s="10"/>
    </row>
    <row r="413" customFormat="false" ht="15" hidden="false" customHeight="true" outlineLevel="0" collapsed="false">
      <c r="A413" s="13"/>
      <c r="B413" s="10"/>
      <c r="C413" s="10"/>
      <c r="D413" s="14"/>
      <c r="E413" s="11"/>
      <c r="F413" s="15" t="str">
        <f aca="false">IF($B413="","",IF(AND($D413="",$E413=""),"",IF(OR($D413="",$E413=""),0,ROUND($D413*$E413,0))))</f>
        <v/>
      </c>
      <c r="G413" s="13"/>
      <c r="H413" s="11"/>
      <c r="I413" s="15" t="str">
        <f aca="false">IF($F413="","",$F413-IF($H413="",0,$H413))</f>
        <v/>
      </c>
      <c r="J413" s="16" t="str">
        <f aca="true">IF(OR($A413="",$I413="",$I413&lt;=0),"",TODAY()-$A413)</f>
        <v/>
      </c>
      <c r="K413" s="10"/>
    </row>
    <row r="414" customFormat="false" ht="15" hidden="false" customHeight="true" outlineLevel="0" collapsed="false">
      <c r="A414" s="13"/>
      <c r="B414" s="10"/>
      <c r="C414" s="10"/>
      <c r="D414" s="14"/>
      <c r="E414" s="11"/>
      <c r="F414" s="15" t="str">
        <f aca="false">IF($B414="","",IF(AND($D414="",$E414=""),"",IF(OR($D414="",$E414=""),0,ROUND($D414*$E414,0))))</f>
        <v/>
      </c>
      <c r="G414" s="13"/>
      <c r="H414" s="11"/>
      <c r="I414" s="15" t="str">
        <f aca="false">IF($F414="","",$F414-IF($H414="",0,$H414))</f>
        <v/>
      </c>
      <c r="J414" s="16" t="str">
        <f aca="true">IF(OR($A414="",$I414="",$I414&lt;=0),"",TODAY()-$A414)</f>
        <v/>
      </c>
      <c r="K414" s="10"/>
    </row>
    <row r="415" customFormat="false" ht="15" hidden="false" customHeight="true" outlineLevel="0" collapsed="false">
      <c r="A415" s="13"/>
      <c r="B415" s="10"/>
      <c r="C415" s="10"/>
      <c r="D415" s="14"/>
      <c r="E415" s="11"/>
      <c r="F415" s="15" t="str">
        <f aca="false">IF($B415="","",IF(AND($D415="",$E415=""),"",IF(OR($D415="",$E415=""),0,ROUND($D415*$E415,0))))</f>
        <v/>
      </c>
      <c r="G415" s="13"/>
      <c r="H415" s="11"/>
      <c r="I415" s="15" t="str">
        <f aca="false">IF($F415="","",$F415-IF($H415="",0,$H415))</f>
        <v/>
      </c>
      <c r="J415" s="16" t="str">
        <f aca="true">IF(OR($A415="",$I415="",$I415&lt;=0),"",TODAY()-$A415)</f>
        <v/>
      </c>
      <c r="K415" s="10"/>
    </row>
    <row r="416" customFormat="false" ht="15" hidden="false" customHeight="true" outlineLevel="0" collapsed="false">
      <c r="A416" s="13"/>
      <c r="B416" s="10"/>
      <c r="C416" s="10"/>
      <c r="D416" s="14"/>
      <c r="E416" s="11"/>
      <c r="F416" s="15" t="str">
        <f aca="false">IF($B416="","",IF(AND($D416="",$E416=""),"",IF(OR($D416="",$E416=""),0,ROUND($D416*$E416,0))))</f>
        <v/>
      </c>
      <c r="G416" s="13"/>
      <c r="H416" s="11"/>
      <c r="I416" s="15" t="str">
        <f aca="false">IF($F416="","",$F416-IF($H416="",0,$H416))</f>
        <v/>
      </c>
      <c r="J416" s="16" t="str">
        <f aca="true">IF(OR($A416="",$I416="",$I416&lt;=0),"",TODAY()-$A416)</f>
        <v/>
      </c>
      <c r="K416" s="10"/>
    </row>
    <row r="417" customFormat="false" ht="15" hidden="false" customHeight="true" outlineLevel="0" collapsed="false">
      <c r="A417" s="13"/>
      <c r="B417" s="10"/>
      <c r="C417" s="10"/>
      <c r="D417" s="14"/>
      <c r="E417" s="11"/>
      <c r="F417" s="15" t="str">
        <f aca="false">IF($B417="","",IF(AND($D417="",$E417=""),"",IF(OR($D417="",$E417=""),0,ROUND($D417*$E417,0))))</f>
        <v/>
      </c>
      <c r="G417" s="13"/>
      <c r="H417" s="11"/>
      <c r="I417" s="15" t="str">
        <f aca="false">IF($F417="","",$F417-IF($H417="",0,$H417))</f>
        <v/>
      </c>
      <c r="J417" s="16" t="str">
        <f aca="true">IF(OR($A417="",$I417="",$I417&lt;=0),"",TODAY()-$A417)</f>
        <v/>
      </c>
      <c r="K417" s="10"/>
    </row>
    <row r="418" customFormat="false" ht="15" hidden="false" customHeight="true" outlineLevel="0" collapsed="false">
      <c r="A418" s="13"/>
      <c r="B418" s="10"/>
      <c r="C418" s="10"/>
      <c r="D418" s="14"/>
      <c r="E418" s="11"/>
      <c r="F418" s="15" t="str">
        <f aca="false">IF($B418="","",IF(AND($D418="",$E418=""),"",IF(OR($D418="",$E418=""),0,ROUND($D418*$E418,0))))</f>
        <v/>
      </c>
      <c r="G418" s="13"/>
      <c r="H418" s="11"/>
      <c r="I418" s="15" t="str">
        <f aca="false">IF($F418="","",$F418-IF($H418="",0,$H418))</f>
        <v/>
      </c>
      <c r="J418" s="16" t="str">
        <f aca="true">IF(OR($A418="",$I418="",$I418&lt;=0),"",TODAY()-$A418)</f>
        <v/>
      </c>
      <c r="K418" s="10"/>
    </row>
    <row r="419" customFormat="false" ht="15" hidden="false" customHeight="true" outlineLevel="0" collapsed="false">
      <c r="A419" s="13"/>
      <c r="B419" s="10"/>
      <c r="C419" s="10"/>
      <c r="D419" s="14"/>
      <c r="E419" s="11"/>
      <c r="F419" s="15" t="str">
        <f aca="false">IF($B419="","",IF(AND($D419="",$E419=""),"",IF(OR($D419="",$E419=""),0,ROUND($D419*$E419,0))))</f>
        <v/>
      </c>
      <c r="G419" s="13"/>
      <c r="H419" s="11"/>
      <c r="I419" s="15" t="str">
        <f aca="false">IF($F419="","",$F419-IF($H419="",0,$H419))</f>
        <v/>
      </c>
      <c r="J419" s="16" t="str">
        <f aca="true">IF(OR($A419="",$I419="",$I419&lt;=0),"",TODAY()-$A419)</f>
        <v/>
      </c>
      <c r="K419" s="10"/>
    </row>
    <row r="420" customFormat="false" ht="15" hidden="false" customHeight="true" outlineLevel="0" collapsed="false">
      <c r="A420" s="13"/>
      <c r="B420" s="10"/>
      <c r="C420" s="10"/>
      <c r="D420" s="14"/>
      <c r="E420" s="11"/>
      <c r="F420" s="15" t="str">
        <f aca="false">IF($B420="","",IF(AND($D420="",$E420=""),"",IF(OR($D420="",$E420=""),0,ROUND($D420*$E420,0))))</f>
        <v/>
      </c>
      <c r="G420" s="13"/>
      <c r="H420" s="11"/>
      <c r="I420" s="15" t="str">
        <f aca="false">IF($F420="","",$F420-IF($H420="",0,$H420))</f>
        <v/>
      </c>
      <c r="J420" s="16" t="str">
        <f aca="true">IF(OR($A420="",$I420="",$I420&lt;=0),"",TODAY()-$A420)</f>
        <v/>
      </c>
      <c r="K420" s="10"/>
    </row>
    <row r="421" customFormat="false" ht="15" hidden="false" customHeight="true" outlineLevel="0" collapsed="false">
      <c r="A421" s="13"/>
      <c r="B421" s="10"/>
      <c r="C421" s="10"/>
      <c r="D421" s="14"/>
      <c r="E421" s="11"/>
      <c r="F421" s="15" t="str">
        <f aca="false">IF($B421="","",IF(AND($D421="",$E421=""),"",IF(OR($D421="",$E421=""),0,ROUND($D421*$E421,0))))</f>
        <v/>
      </c>
      <c r="G421" s="13"/>
      <c r="H421" s="11"/>
      <c r="I421" s="15" t="str">
        <f aca="false">IF($F421="","",$F421-IF($H421="",0,$H421))</f>
        <v/>
      </c>
      <c r="J421" s="16" t="str">
        <f aca="true">IF(OR($A421="",$I421="",$I421&lt;=0),"",TODAY()-$A421)</f>
        <v/>
      </c>
      <c r="K421" s="10"/>
    </row>
    <row r="422" customFormat="false" ht="15" hidden="false" customHeight="true" outlineLevel="0" collapsed="false">
      <c r="A422" s="13"/>
      <c r="B422" s="10"/>
      <c r="C422" s="10"/>
      <c r="D422" s="14"/>
      <c r="E422" s="11"/>
      <c r="F422" s="15" t="str">
        <f aca="false">IF($B422="","",IF(AND($D422="",$E422=""),"",IF(OR($D422="",$E422=""),0,ROUND($D422*$E422,0))))</f>
        <v/>
      </c>
      <c r="G422" s="13"/>
      <c r="H422" s="11"/>
      <c r="I422" s="15" t="str">
        <f aca="false">IF($F422="","",$F422-IF($H422="",0,$H422))</f>
        <v/>
      </c>
      <c r="J422" s="16" t="str">
        <f aca="true">IF(OR($A422="",$I422="",$I422&lt;=0),"",TODAY()-$A422)</f>
        <v/>
      </c>
      <c r="K422" s="10"/>
    </row>
    <row r="423" customFormat="false" ht="15" hidden="false" customHeight="true" outlineLevel="0" collapsed="false">
      <c r="A423" s="13"/>
      <c r="B423" s="10"/>
      <c r="C423" s="10"/>
      <c r="D423" s="14"/>
      <c r="E423" s="11"/>
      <c r="F423" s="15" t="str">
        <f aca="false">IF($B423="","",IF(AND($D423="",$E423=""),"",IF(OR($D423="",$E423=""),0,ROUND($D423*$E423,0))))</f>
        <v/>
      </c>
      <c r="G423" s="13"/>
      <c r="H423" s="11"/>
      <c r="I423" s="15" t="str">
        <f aca="false">IF($F423="","",$F423-IF($H423="",0,$H423))</f>
        <v/>
      </c>
      <c r="J423" s="16" t="str">
        <f aca="true">IF(OR($A423="",$I423="",$I423&lt;=0),"",TODAY()-$A423)</f>
        <v/>
      </c>
      <c r="K423" s="10"/>
    </row>
    <row r="424" customFormat="false" ht="15" hidden="false" customHeight="true" outlineLevel="0" collapsed="false">
      <c r="A424" s="13"/>
      <c r="B424" s="10"/>
      <c r="C424" s="10"/>
      <c r="D424" s="14"/>
      <c r="E424" s="11"/>
      <c r="F424" s="15" t="str">
        <f aca="false">IF($B424="","",IF(AND($D424="",$E424=""),"",IF(OR($D424="",$E424=""),0,ROUND($D424*$E424,0))))</f>
        <v/>
      </c>
      <c r="G424" s="13"/>
      <c r="H424" s="11"/>
      <c r="I424" s="15" t="str">
        <f aca="false">IF($F424="","",$F424-IF($H424="",0,$H424))</f>
        <v/>
      </c>
      <c r="J424" s="16" t="str">
        <f aca="true">IF(OR($A424="",$I424="",$I424&lt;=0),"",TODAY()-$A424)</f>
        <v/>
      </c>
      <c r="K424" s="10"/>
    </row>
    <row r="425" customFormat="false" ht="15" hidden="false" customHeight="true" outlineLevel="0" collapsed="false">
      <c r="A425" s="13"/>
      <c r="B425" s="10"/>
      <c r="C425" s="10"/>
      <c r="D425" s="14"/>
      <c r="E425" s="11"/>
      <c r="F425" s="15" t="str">
        <f aca="false">IF($B425="","",IF(AND($D425="",$E425=""),"",IF(OR($D425="",$E425=""),0,ROUND($D425*$E425,0))))</f>
        <v/>
      </c>
      <c r="G425" s="13"/>
      <c r="H425" s="11"/>
      <c r="I425" s="15" t="str">
        <f aca="false">IF($F425="","",$F425-IF($H425="",0,$H425))</f>
        <v/>
      </c>
      <c r="J425" s="16" t="str">
        <f aca="true">IF(OR($A425="",$I425="",$I425&lt;=0),"",TODAY()-$A425)</f>
        <v/>
      </c>
      <c r="K425" s="10"/>
    </row>
    <row r="426" customFormat="false" ht="15" hidden="false" customHeight="true" outlineLevel="0" collapsed="false">
      <c r="A426" s="13"/>
      <c r="B426" s="10"/>
      <c r="C426" s="10"/>
      <c r="D426" s="14"/>
      <c r="E426" s="11"/>
      <c r="F426" s="15" t="str">
        <f aca="false">IF($B426="","",IF(AND($D426="",$E426=""),"",IF(OR($D426="",$E426=""),0,ROUND($D426*$E426,0))))</f>
        <v/>
      </c>
      <c r="G426" s="13"/>
      <c r="H426" s="11"/>
      <c r="I426" s="15" t="str">
        <f aca="false">IF($F426="","",$F426-IF($H426="",0,$H426))</f>
        <v/>
      </c>
      <c r="J426" s="16" t="str">
        <f aca="true">IF(OR($A426="",$I426="",$I426&lt;=0),"",TODAY()-$A426)</f>
        <v/>
      </c>
      <c r="K426" s="10"/>
    </row>
    <row r="427" customFormat="false" ht="15" hidden="false" customHeight="true" outlineLevel="0" collapsed="false">
      <c r="A427" s="13"/>
      <c r="B427" s="10"/>
      <c r="C427" s="10"/>
      <c r="D427" s="14"/>
      <c r="E427" s="11"/>
      <c r="F427" s="15" t="str">
        <f aca="false">IF($B427="","",IF(AND($D427="",$E427=""),"",IF(OR($D427="",$E427=""),0,ROUND($D427*$E427,0))))</f>
        <v/>
      </c>
      <c r="G427" s="13"/>
      <c r="H427" s="11"/>
      <c r="I427" s="15" t="str">
        <f aca="false">IF($F427="","",$F427-IF($H427="",0,$H427))</f>
        <v/>
      </c>
      <c r="J427" s="16" t="str">
        <f aca="true">IF(OR($A427="",$I427="",$I427&lt;=0),"",TODAY()-$A427)</f>
        <v/>
      </c>
      <c r="K427" s="10"/>
    </row>
    <row r="428" customFormat="false" ht="15" hidden="false" customHeight="true" outlineLevel="0" collapsed="false">
      <c r="A428" s="13"/>
      <c r="B428" s="10"/>
      <c r="C428" s="10"/>
      <c r="D428" s="14"/>
      <c r="E428" s="11"/>
      <c r="F428" s="15" t="str">
        <f aca="false">IF($B428="","",IF(AND($D428="",$E428=""),"",IF(OR($D428="",$E428=""),0,ROUND($D428*$E428,0))))</f>
        <v/>
      </c>
      <c r="G428" s="13"/>
      <c r="H428" s="11"/>
      <c r="I428" s="15" t="str">
        <f aca="false">IF($F428="","",$F428-IF($H428="",0,$H428))</f>
        <v/>
      </c>
      <c r="J428" s="16" t="str">
        <f aca="true">IF(OR($A428="",$I428="",$I428&lt;=0),"",TODAY()-$A428)</f>
        <v/>
      </c>
      <c r="K428" s="10"/>
    </row>
    <row r="429" customFormat="false" ht="15" hidden="false" customHeight="true" outlineLevel="0" collapsed="false">
      <c r="A429" s="13"/>
      <c r="B429" s="10"/>
      <c r="C429" s="10"/>
      <c r="D429" s="14"/>
      <c r="E429" s="11"/>
      <c r="F429" s="15" t="str">
        <f aca="false">IF($B429="","",IF(AND($D429="",$E429=""),"",IF(OR($D429="",$E429=""),0,ROUND($D429*$E429,0))))</f>
        <v/>
      </c>
      <c r="G429" s="13"/>
      <c r="H429" s="11"/>
      <c r="I429" s="15" t="str">
        <f aca="false">IF($F429="","",$F429-IF($H429="",0,$H429))</f>
        <v/>
      </c>
      <c r="J429" s="16" t="str">
        <f aca="true">IF(OR($A429="",$I429="",$I429&lt;=0),"",TODAY()-$A429)</f>
        <v/>
      </c>
      <c r="K429" s="10"/>
    </row>
    <row r="430" customFormat="false" ht="15" hidden="false" customHeight="true" outlineLevel="0" collapsed="false">
      <c r="A430" s="13"/>
      <c r="B430" s="10"/>
      <c r="C430" s="10"/>
      <c r="D430" s="14"/>
      <c r="E430" s="11"/>
      <c r="F430" s="15" t="str">
        <f aca="false">IF($B430="","",IF(AND($D430="",$E430=""),"",IF(OR($D430="",$E430=""),0,ROUND($D430*$E430,0))))</f>
        <v/>
      </c>
      <c r="G430" s="13"/>
      <c r="H430" s="11"/>
      <c r="I430" s="15" t="str">
        <f aca="false">IF($F430="","",$F430-IF($H430="",0,$H430))</f>
        <v/>
      </c>
      <c r="J430" s="16" t="str">
        <f aca="true">IF(OR($A430="",$I430="",$I430&lt;=0),"",TODAY()-$A430)</f>
        <v/>
      </c>
      <c r="K430" s="10"/>
    </row>
    <row r="431" customFormat="false" ht="15" hidden="false" customHeight="true" outlineLevel="0" collapsed="false">
      <c r="A431" s="13"/>
      <c r="B431" s="10"/>
      <c r="C431" s="10"/>
      <c r="D431" s="14"/>
      <c r="E431" s="11"/>
      <c r="F431" s="15" t="str">
        <f aca="false">IF($B431="","",IF(AND($D431="",$E431=""),"",IF(OR($D431="",$E431=""),0,ROUND($D431*$E431,0))))</f>
        <v/>
      </c>
      <c r="G431" s="13"/>
      <c r="H431" s="11"/>
      <c r="I431" s="15" t="str">
        <f aca="false">IF($F431="","",$F431-IF($H431="",0,$H431))</f>
        <v/>
      </c>
      <c r="J431" s="16" t="str">
        <f aca="true">IF(OR($A431="",$I431="",$I431&lt;=0),"",TODAY()-$A431)</f>
        <v/>
      </c>
      <c r="K431" s="10"/>
    </row>
    <row r="432" customFormat="false" ht="15" hidden="false" customHeight="true" outlineLevel="0" collapsed="false">
      <c r="A432" s="13"/>
      <c r="B432" s="10"/>
      <c r="C432" s="10"/>
      <c r="D432" s="14"/>
      <c r="E432" s="11"/>
      <c r="F432" s="15" t="str">
        <f aca="false">IF($B432="","",IF(AND($D432="",$E432=""),"",IF(OR($D432="",$E432=""),0,ROUND($D432*$E432,0))))</f>
        <v/>
      </c>
      <c r="G432" s="13"/>
      <c r="H432" s="11"/>
      <c r="I432" s="15" t="str">
        <f aca="false">IF($F432="","",$F432-IF($H432="",0,$H432))</f>
        <v/>
      </c>
      <c r="J432" s="16" t="str">
        <f aca="true">IF(OR($A432="",$I432="",$I432&lt;=0),"",TODAY()-$A432)</f>
        <v/>
      </c>
      <c r="K432" s="10"/>
    </row>
    <row r="433" customFormat="false" ht="15" hidden="false" customHeight="true" outlineLevel="0" collapsed="false">
      <c r="A433" s="13"/>
      <c r="B433" s="10"/>
      <c r="C433" s="10"/>
      <c r="D433" s="14"/>
      <c r="E433" s="11"/>
      <c r="F433" s="15" t="str">
        <f aca="false">IF($B433="","",IF(AND($D433="",$E433=""),"",IF(OR($D433="",$E433=""),0,ROUND($D433*$E433,0))))</f>
        <v/>
      </c>
      <c r="G433" s="13"/>
      <c r="H433" s="11"/>
      <c r="I433" s="15" t="str">
        <f aca="false">IF($F433="","",$F433-IF($H433="",0,$H433))</f>
        <v/>
      </c>
      <c r="J433" s="16" t="str">
        <f aca="true">IF(OR($A433="",$I433="",$I433&lt;=0),"",TODAY()-$A433)</f>
        <v/>
      </c>
      <c r="K433" s="10"/>
    </row>
    <row r="434" customFormat="false" ht="15" hidden="false" customHeight="true" outlineLevel="0" collapsed="false">
      <c r="A434" s="13"/>
      <c r="B434" s="10"/>
      <c r="C434" s="10"/>
      <c r="D434" s="14"/>
      <c r="E434" s="11"/>
      <c r="F434" s="15" t="str">
        <f aca="false">IF($B434="","",IF(AND($D434="",$E434=""),"",IF(OR($D434="",$E434=""),0,ROUND($D434*$E434,0))))</f>
        <v/>
      </c>
      <c r="G434" s="13"/>
      <c r="H434" s="11"/>
      <c r="I434" s="15" t="str">
        <f aca="false">IF($F434="","",$F434-IF($H434="",0,$H434))</f>
        <v/>
      </c>
      <c r="J434" s="16" t="str">
        <f aca="true">IF(OR($A434="",$I434="",$I434&lt;=0),"",TODAY()-$A434)</f>
        <v/>
      </c>
      <c r="K434" s="10"/>
    </row>
    <row r="435" customFormat="false" ht="15" hidden="false" customHeight="true" outlineLevel="0" collapsed="false">
      <c r="A435" s="13"/>
      <c r="B435" s="10"/>
      <c r="C435" s="10"/>
      <c r="D435" s="14"/>
      <c r="E435" s="11"/>
      <c r="F435" s="15" t="str">
        <f aca="false">IF($B435="","",IF(AND($D435="",$E435=""),"",IF(OR($D435="",$E435=""),0,ROUND($D435*$E435,0))))</f>
        <v/>
      </c>
      <c r="G435" s="13"/>
      <c r="H435" s="11"/>
      <c r="I435" s="15" t="str">
        <f aca="false">IF($F435="","",$F435-IF($H435="",0,$H435))</f>
        <v/>
      </c>
      <c r="J435" s="16" t="str">
        <f aca="true">IF(OR($A435="",$I435="",$I435&lt;=0),"",TODAY()-$A435)</f>
        <v/>
      </c>
      <c r="K435" s="10"/>
    </row>
    <row r="436" customFormat="false" ht="15" hidden="false" customHeight="true" outlineLevel="0" collapsed="false">
      <c r="A436" s="13"/>
      <c r="B436" s="10"/>
      <c r="C436" s="10"/>
      <c r="D436" s="14"/>
      <c r="E436" s="11"/>
      <c r="F436" s="15" t="str">
        <f aca="false">IF($B436="","",IF(AND($D436="",$E436=""),"",IF(OR($D436="",$E436=""),0,ROUND($D436*$E436,0))))</f>
        <v/>
      </c>
      <c r="G436" s="13"/>
      <c r="H436" s="11"/>
      <c r="I436" s="15" t="str">
        <f aca="false">IF($F436="","",$F436-IF($H436="",0,$H436))</f>
        <v/>
      </c>
      <c r="J436" s="16" t="str">
        <f aca="true">IF(OR($A436="",$I436="",$I436&lt;=0),"",TODAY()-$A436)</f>
        <v/>
      </c>
      <c r="K436" s="10"/>
    </row>
    <row r="437" customFormat="false" ht="15" hidden="false" customHeight="true" outlineLevel="0" collapsed="false">
      <c r="A437" s="13"/>
      <c r="B437" s="10"/>
      <c r="C437" s="10"/>
      <c r="D437" s="14"/>
      <c r="E437" s="11"/>
      <c r="F437" s="15" t="str">
        <f aca="false">IF($B437="","",IF(AND($D437="",$E437=""),"",IF(OR($D437="",$E437=""),0,ROUND($D437*$E437,0))))</f>
        <v/>
      </c>
      <c r="G437" s="13"/>
      <c r="H437" s="11"/>
      <c r="I437" s="15" t="str">
        <f aca="false">IF($F437="","",$F437-IF($H437="",0,$H437))</f>
        <v/>
      </c>
      <c r="J437" s="16" t="str">
        <f aca="true">IF(OR($A437="",$I437="",$I437&lt;=0),"",TODAY()-$A437)</f>
        <v/>
      </c>
      <c r="K437" s="10"/>
    </row>
    <row r="438" customFormat="false" ht="15" hidden="false" customHeight="true" outlineLevel="0" collapsed="false">
      <c r="A438" s="13"/>
      <c r="B438" s="10"/>
      <c r="C438" s="10"/>
      <c r="D438" s="14"/>
      <c r="E438" s="11"/>
      <c r="F438" s="15" t="str">
        <f aca="false">IF($B438="","",IF(AND($D438="",$E438=""),"",IF(OR($D438="",$E438=""),0,ROUND($D438*$E438,0))))</f>
        <v/>
      </c>
      <c r="G438" s="13"/>
      <c r="H438" s="11"/>
      <c r="I438" s="15" t="str">
        <f aca="false">IF($F438="","",$F438-IF($H438="",0,$H438))</f>
        <v/>
      </c>
      <c r="J438" s="16" t="str">
        <f aca="true">IF(OR($A438="",$I438="",$I438&lt;=0),"",TODAY()-$A438)</f>
        <v/>
      </c>
      <c r="K438" s="10"/>
    </row>
    <row r="439" customFormat="false" ht="15" hidden="false" customHeight="true" outlineLevel="0" collapsed="false">
      <c r="A439" s="13"/>
      <c r="B439" s="10"/>
      <c r="C439" s="10"/>
      <c r="D439" s="14"/>
      <c r="E439" s="11"/>
      <c r="F439" s="15" t="str">
        <f aca="false">IF($B439="","",IF(AND($D439="",$E439=""),"",IF(OR($D439="",$E439=""),0,ROUND($D439*$E439,0))))</f>
        <v/>
      </c>
      <c r="G439" s="13"/>
      <c r="H439" s="11"/>
      <c r="I439" s="15" t="str">
        <f aca="false">IF($F439="","",$F439-IF($H439="",0,$H439))</f>
        <v/>
      </c>
      <c r="J439" s="16" t="str">
        <f aca="true">IF(OR($A439="",$I439="",$I439&lt;=0),"",TODAY()-$A439)</f>
        <v/>
      </c>
      <c r="K439" s="10"/>
    </row>
    <row r="440" customFormat="false" ht="15" hidden="false" customHeight="true" outlineLevel="0" collapsed="false">
      <c r="A440" s="13"/>
      <c r="B440" s="10"/>
      <c r="C440" s="10"/>
      <c r="D440" s="14"/>
      <c r="E440" s="11"/>
      <c r="F440" s="15" t="str">
        <f aca="false">IF($B440="","",IF(AND($D440="",$E440=""),"",IF(OR($D440="",$E440=""),0,ROUND($D440*$E440,0))))</f>
        <v/>
      </c>
      <c r="G440" s="13"/>
      <c r="H440" s="11"/>
      <c r="I440" s="15" t="str">
        <f aca="false">IF($F440="","",$F440-IF($H440="",0,$H440))</f>
        <v/>
      </c>
      <c r="J440" s="16" t="str">
        <f aca="true">IF(OR($A440="",$I440="",$I440&lt;=0),"",TODAY()-$A440)</f>
        <v/>
      </c>
      <c r="K440" s="10"/>
    </row>
    <row r="441" customFormat="false" ht="15" hidden="false" customHeight="true" outlineLevel="0" collapsed="false">
      <c r="A441" s="13"/>
      <c r="B441" s="10"/>
      <c r="C441" s="10"/>
      <c r="D441" s="14"/>
      <c r="E441" s="11"/>
      <c r="F441" s="15" t="str">
        <f aca="false">IF($B441="","",IF(AND($D441="",$E441=""),"",IF(OR($D441="",$E441=""),0,ROUND($D441*$E441,0))))</f>
        <v/>
      </c>
      <c r="G441" s="13"/>
      <c r="H441" s="11"/>
      <c r="I441" s="15" t="str">
        <f aca="false">IF($F441="","",$F441-IF($H441="",0,$H441))</f>
        <v/>
      </c>
      <c r="J441" s="16" t="str">
        <f aca="true">IF(OR($A441="",$I441="",$I441&lt;=0),"",TODAY()-$A441)</f>
        <v/>
      </c>
      <c r="K441" s="10"/>
    </row>
    <row r="442" customFormat="false" ht="15" hidden="false" customHeight="true" outlineLevel="0" collapsed="false">
      <c r="A442" s="13"/>
      <c r="B442" s="10"/>
      <c r="C442" s="10"/>
      <c r="D442" s="14"/>
      <c r="E442" s="11"/>
      <c r="F442" s="15" t="str">
        <f aca="false">IF($B442="","",IF(AND($D442="",$E442=""),"",IF(OR($D442="",$E442=""),0,ROUND($D442*$E442,0))))</f>
        <v/>
      </c>
      <c r="G442" s="13"/>
      <c r="H442" s="11"/>
      <c r="I442" s="15" t="str">
        <f aca="false">IF($F442="","",$F442-IF($H442="",0,$H442))</f>
        <v/>
      </c>
      <c r="J442" s="16" t="str">
        <f aca="true">IF(OR($A442="",$I442="",$I442&lt;=0),"",TODAY()-$A442)</f>
        <v/>
      </c>
      <c r="K442" s="10"/>
    </row>
    <row r="443" customFormat="false" ht="15" hidden="false" customHeight="true" outlineLevel="0" collapsed="false">
      <c r="A443" s="13"/>
      <c r="B443" s="10"/>
      <c r="C443" s="10"/>
      <c r="D443" s="14"/>
      <c r="E443" s="11"/>
      <c r="F443" s="15" t="str">
        <f aca="false">IF($B443="","",IF(AND($D443="",$E443=""),"",IF(OR($D443="",$E443=""),0,ROUND($D443*$E443,0))))</f>
        <v/>
      </c>
      <c r="G443" s="13"/>
      <c r="H443" s="11"/>
      <c r="I443" s="15" t="str">
        <f aca="false">IF($F443="","",$F443-IF($H443="",0,$H443))</f>
        <v/>
      </c>
      <c r="J443" s="16" t="str">
        <f aca="true">IF(OR($A443="",$I443="",$I443&lt;=0),"",TODAY()-$A443)</f>
        <v/>
      </c>
      <c r="K443" s="10"/>
    </row>
    <row r="444" customFormat="false" ht="15" hidden="false" customHeight="true" outlineLevel="0" collapsed="false">
      <c r="A444" s="13"/>
      <c r="B444" s="10"/>
      <c r="C444" s="10"/>
      <c r="D444" s="14"/>
      <c r="E444" s="11"/>
      <c r="F444" s="15" t="str">
        <f aca="false">IF($B444="","",IF(AND($D444="",$E444=""),"",IF(OR($D444="",$E444=""),0,ROUND($D444*$E444,0))))</f>
        <v/>
      </c>
      <c r="G444" s="13"/>
      <c r="H444" s="11"/>
      <c r="I444" s="15" t="str">
        <f aca="false">IF($F444="","",$F444-IF($H444="",0,$H444))</f>
        <v/>
      </c>
      <c r="J444" s="16" t="str">
        <f aca="true">IF(OR($A444="",$I444="",$I444&lt;=0),"",TODAY()-$A444)</f>
        <v/>
      </c>
      <c r="K444" s="10"/>
    </row>
    <row r="445" customFormat="false" ht="15" hidden="false" customHeight="true" outlineLevel="0" collapsed="false">
      <c r="A445" s="13"/>
      <c r="B445" s="10"/>
      <c r="C445" s="10"/>
      <c r="D445" s="14"/>
      <c r="E445" s="11"/>
      <c r="F445" s="15" t="str">
        <f aca="false">IF($B445="","",IF(AND($D445="",$E445=""),"",IF(OR($D445="",$E445=""),0,ROUND($D445*$E445,0))))</f>
        <v/>
      </c>
      <c r="G445" s="13"/>
      <c r="H445" s="11"/>
      <c r="I445" s="15" t="str">
        <f aca="false">IF($F445="","",$F445-IF($H445="",0,$H445))</f>
        <v/>
      </c>
      <c r="J445" s="16" t="str">
        <f aca="true">IF(OR($A445="",$I445="",$I445&lt;=0),"",TODAY()-$A445)</f>
        <v/>
      </c>
      <c r="K445" s="10"/>
    </row>
    <row r="446" customFormat="false" ht="15" hidden="false" customHeight="true" outlineLevel="0" collapsed="false">
      <c r="A446" s="13"/>
      <c r="B446" s="10"/>
      <c r="C446" s="10"/>
      <c r="D446" s="14"/>
      <c r="E446" s="11"/>
      <c r="F446" s="15" t="str">
        <f aca="false">IF($B446="","",IF(AND($D446="",$E446=""),"",IF(OR($D446="",$E446=""),0,ROUND($D446*$E446,0))))</f>
        <v/>
      </c>
      <c r="G446" s="13"/>
      <c r="H446" s="11"/>
      <c r="I446" s="15" t="str">
        <f aca="false">IF($F446="","",$F446-IF($H446="",0,$H446))</f>
        <v/>
      </c>
      <c r="J446" s="16" t="str">
        <f aca="true">IF(OR($A446="",$I446="",$I446&lt;=0),"",TODAY()-$A446)</f>
        <v/>
      </c>
      <c r="K446" s="10"/>
    </row>
    <row r="447" customFormat="false" ht="15" hidden="false" customHeight="true" outlineLevel="0" collapsed="false">
      <c r="A447" s="13"/>
      <c r="B447" s="10"/>
      <c r="C447" s="10"/>
      <c r="D447" s="14"/>
      <c r="E447" s="11"/>
      <c r="F447" s="15" t="str">
        <f aca="false">IF($B447="","",IF(AND($D447="",$E447=""),"",IF(OR($D447="",$E447=""),0,ROUND($D447*$E447,0))))</f>
        <v/>
      </c>
      <c r="G447" s="13"/>
      <c r="H447" s="11"/>
      <c r="I447" s="15" t="str">
        <f aca="false">IF($F447="","",$F447-IF($H447="",0,$H447))</f>
        <v/>
      </c>
      <c r="J447" s="16" t="str">
        <f aca="true">IF(OR($A447="",$I447="",$I447&lt;=0),"",TODAY()-$A447)</f>
        <v/>
      </c>
      <c r="K447" s="10"/>
    </row>
    <row r="448" customFormat="false" ht="15" hidden="false" customHeight="true" outlineLevel="0" collapsed="false">
      <c r="A448" s="13"/>
      <c r="B448" s="10"/>
      <c r="C448" s="10"/>
      <c r="D448" s="14"/>
      <c r="E448" s="11"/>
      <c r="F448" s="15" t="str">
        <f aca="false">IF($B448="","",IF(AND($D448="",$E448=""),"",IF(OR($D448="",$E448=""),0,ROUND($D448*$E448,0))))</f>
        <v/>
      </c>
      <c r="G448" s="13"/>
      <c r="H448" s="11"/>
      <c r="I448" s="15" t="str">
        <f aca="false">IF($F448="","",$F448-IF($H448="",0,$H448))</f>
        <v/>
      </c>
      <c r="J448" s="16" t="str">
        <f aca="true">IF(OR($A448="",$I448="",$I448&lt;=0),"",TODAY()-$A448)</f>
        <v/>
      </c>
      <c r="K448" s="10"/>
    </row>
    <row r="449" customFormat="false" ht="15" hidden="false" customHeight="true" outlineLevel="0" collapsed="false">
      <c r="A449" s="13"/>
      <c r="B449" s="10"/>
      <c r="C449" s="10"/>
      <c r="D449" s="14"/>
      <c r="E449" s="11"/>
      <c r="F449" s="15" t="str">
        <f aca="false">IF($B449="","",IF(AND($D449="",$E449=""),"",IF(OR($D449="",$E449=""),0,ROUND($D449*$E449,0))))</f>
        <v/>
      </c>
      <c r="G449" s="13"/>
      <c r="H449" s="11"/>
      <c r="I449" s="15" t="str">
        <f aca="false">IF($F449="","",$F449-IF($H449="",0,$H449))</f>
        <v/>
      </c>
      <c r="J449" s="16" t="str">
        <f aca="true">IF(OR($A449="",$I449="",$I449&lt;=0),"",TODAY()-$A449)</f>
        <v/>
      </c>
      <c r="K449" s="10"/>
    </row>
    <row r="450" customFormat="false" ht="15" hidden="false" customHeight="true" outlineLevel="0" collapsed="false">
      <c r="A450" s="13"/>
      <c r="B450" s="10"/>
      <c r="C450" s="10"/>
      <c r="D450" s="14"/>
      <c r="E450" s="11"/>
      <c r="F450" s="15" t="str">
        <f aca="false">IF($B450="","",IF(AND($D450="",$E450=""),"",IF(OR($D450="",$E450=""),0,ROUND($D450*$E450,0))))</f>
        <v/>
      </c>
      <c r="G450" s="13"/>
      <c r="H450" s="11"/>
      <c r="I450" s="15" t="str">
        <f aca="false">IF($F450="","",$F450-IF($H450="",0,$H450))</f>
        <v/>
      </c>
      <c r="J450" s="16" t="str">
        <f aca="true">IF(OR($A450="",$I450="",$I450&lt;=0),"",TODAY()-$A450)</f>
        <v/>
      </c>
      <c r="K450" s="10"/>
    </row>
    <row r="451" customFormat="false" ht="15" hidden="false" customHeight="true" outlineLevel="0" collapsed="false">
      <c r="A451" s="13"/>
      <c r="B451" s="10"/>
      <c r="C451" s="10"/>
      <c r="D451" s="14"/>
      <c r="E451" s="11"/>
      <c r="F451" s="15" t="str">
        <f aca="false">IF($B451="","",IF(AND($D451="",$E451=""),"",IF(OR($D451="",$E451=""),0,ROUND($D451*$E451,0))))</f>
        <v/>
      </c>
      <c r="G451" s="13"/>
      <c r="H451" s="11"/>
      <c r="I451" s="15" t="str">
        <f aca="false">IF($F451="","",$F451-IF($H451="",0,$H451))</f>
        <v/>
      </c>
      <c r="J451" s="16" t="str">
        <f aca="true">IF(OR($A451="",$I451="",$I451&lt;=0),"",TODAY()-$A451)</f>
        <v/>
      </c>
      <c r="K451" s="10"/>
    </row>
    <row r="452" customFormat="false" ht="15" hidden="false" customHeight="true" outlineLevel="0" collapsed="false">
      <c r="A452" s="13"/>
      <c r="B452" s="10"/>
      <c r="C452" s="10"/>
      <c r="D452" s="14"/>
      <c r="E452" s="11"/>
      <c r="F452" s="15" t="str">
        <f aca="false">IF($B452="","",IF(AND($D452="",$E452=""),"",IF(OR($D452="",$E452=""),0,ROUND($D452*$E452,0))))</f>
        <v/>
      </c>
      <c r="G452" s="13"/>
      <c r="H452" s="11"/>
      <c r="I452" s="15" t="str">
        <f aca="false">IF($F452="","",$F452-IF($H452="",0,$H452))</f>
        <v/>
      </c>
      <c r="J452" s="16" t="str">
        <f aca="true">IF(OR($A452="",$I452="",$I452&lt;=0),"",TODAY()-$A452)</f>
        <v/>
      </c>
      <c r="K452" s="10"/>
    </row>
    <row r="453" customFormat="false" ht="15" hidden="false" customHeight="true" outlineLevel="0" collapsed="false">
      <c r="A453" s="13"/>
      <c r="B453" s="10"/>
      <c r="C453" s="10"/>
      <c r="D453" s="14"/>
      <c r="E453" s="11"/>
      <c r="F453" s="15" t="str">
        <f aca="false">IF($B453="","",IF(AND($D453="",$E453=""),"",IF(OR($D453="",$E453=""),0,ROUND($D453*$E453,0))))</f>
        <v/>
      </c>
      <c r="G453" s="13"/>
      <c r="H453" s="11"/>
      <c r="I453" s="15" t="str">
        <f aca="false">IF($F453="","",$F453-IF($H453="",0,$H453))</f>
        <v/>
      </c>
      <c r="J453" s="16" t="str">
        <f aca="true">IF(OR($A453="",$I453="",$I453&lt;=0),"",TODAY()-$A453)</f>
        <v/>
      </c>
      <c r="K453" s="10"/>
    </row>
    <row r="454" customFormat="false" ht="15" hidden="false" customHeight="true" outlineLevel="0" collapsed="false">
      <c r="A454" s="13"/>
      <c r="B454" s="10"/>
      <c r="C454" s="10"/>
      <c r="D454" s="14"/>
      <c r="E454" s="11"/>
      <c r="F454" s="15" t="str">
        <f aca="false">IF($B454="","",IF(AND($D454="",$E454=""),"",IF(OR($D454="",$E454=""),0,ROUND($D454*$E454,0))))</f>
        <v/>
      </c>
      <c r="G454" s="13"/>
      <c r="H454" s="11"/>
      <c r="I454" s="15" t="str">
        <f aca="false">IF($F454="","",$F454-IF($H454="",0,$H454))</f>
        <v/>
      </c>
      <c r="J454" s="16" t="str">
        <f aca="true">IF(OR($A454="",$I454="",$I454&lt;=0),"",TODAY()-$A454)</f>
        <v/>
      </c>
      <c r="K454" s="10"/>
    </row>
    <row r="455" customFormat="false" ht="15" hidden="false" customHeight="true" outlineLevel="0" collapsed="false">
      <c r="A455" s="13"/>
      <c r="B455" s="10"/>
      <c r="C455" s="10"/>
      <c r="D455" s="14"/>
      <c r="E455" s="11"/>
      <c r="F455" s="15" t="str">
        <f aca="false">IF($B455="","",IF(AND($D455="",$E455=""),"",IF(OR($D455="",$E455=""),0,ROUND($D455*$E455,0))))</f>
        <v/>
      </c>
      <c r="G455" s="13"/>
      <c r="H455" s="11"/>
      <c r="I455" s="15" t="str">
        <f aca="false">IF($F455="","",$F455-IF($H455="",0,$H455))</f>
        <v/>
      </c>
      <c r="J455" s="16" t="str">
        <f aca="true">IF(OR($A455="",$I455="",$I455&lt;=0),"",TODAY()-$A455)</f>
        <v/>
      </c>
      <c r="K455" s="10"/>
    </row>
    <row r="456" customFormat="false" ht="15" hidden="false" customHeight="true" outlineLevel="0" collapsed="false">
      <c r="A456" s="13"/>
      <c r="B456" s="10"/>
      <c r="C456" s="10"/>
      <c r="D456" s="14"/>
      <c r="E456" s="11"/>
      <c r="F456" s="15" t="str">
        <f aca="false">IF($B456="","",IF(AND($D456="",$E456=""),"",IF(OR($D456="",$E456=""),0,ROUND($D456*$E456,0))))</f>
        <v/>
      </c>
      <c r="G456" s="13"/>
      <c r="H456" s="11"/>
      <c r="I456" s="15" t="str">
        <f aca="false">IF($F456="","",$F456-IF($H456="",0,$H456))</f>
        <v/>
      </c>
      <c r="J456" s="16" t="str">
        <f aca="true">IF(OR($A456="",$I456="",$I456&lt;=0),"",TODAY()-$A456)</f>
        <v/>
      </c>
      <c r="K456" s="10"/>
    </row>
    <row r="457" customFormat="false" ht="15" hidden="false" customHeight="true" outlineLevel="0" collapsed="false">
      <c r="A457" s="13"/>
      <c r="B457" s="10"/>
      <c r="C457" s="10"/>
      <c r="D457" s="14"/>
      <c r="E457" s="11"/>
      <c r="F457" s="15" t="str">
        <f aca="false">IF($B457="","",IF(AND($D457="",$E457=""),"",IF(OR($D457="",$E457=""),0,ROUND($D457*$E457,0))))</f>
        <v/>
      </c>
      <c r="G457" s="13"/>
      <c r="H457" s="11"/>
      <c r="I457" s="15" t="str">
        <f aca="false">IF($F457="","",$F457-IF($H457="",0,$H457))</f>
        <v/>
      </c>
      <c r="J457" s="16" t="str">
        <f aca="true">IF(OR($A457="",$I457="",$I457&lt;=0),"",TODAY()-$A457)</f>
        <v/>
      </c>
      <c r="K457" s="10"/>
    </row>
    <row r="458" customFormat="false" ht="15" hidden="false" customHeight="true" outlineLevel="0" collapsed="false">
      <c r="A458" s="13"/>
      <c r="B458" s="10"/>
      <c r="C458" s="10"/>
      <c r="D458" s="14"/>
      <c r="E458" s="11"/>
      <c r="F458" s="15" t="str">
        <f aca="false">IF($B458="","",IF(AND($D458="",$E458=""),"",IF(OR($D458="",$E458=""),0,ROUND($D458*$E458,0))))</f>
        <v/>
      </c>
      <c r="G458" s="13"/>
      <c r="H458" s="11"/>
      <c r="I458" s="15" t="str">
        <f aca="false">IF($F458="","",$F458-IF($H458="",0,$H458))</f>
        <v/>
      </c>
      <c r="J458" s="16" t="str">
        <f aca="true">IF(OR($A458="",$I458="",$I458&lt;=0),"",TODAY()-$A458)</f>
        <v/>
      </c>
      <c r="K458" s="10"/>
    </row>
    <row r="459" customFormat="false" ht="15" hidden="false" customHeight="true" outlineLevel="0" collapsed="false">
      <c r="A459" s="13"/>
      <c r="B459" s="10"/>
      <c r="C459" s="10"/>
      <c r="D459" s="14"/>
      <c r="E459" s="11"/>
      <c r="F459" s="15" t="str">
        <f aca="false">IF($B459="","",IF(AND($D459="",$E459=""),"",IF(OR($D459="",$E459=""),0,ROUND($D459*$E459,0))))</f>
        <v/>
      </c>
      <c r="G459" s="13"/>
      <c r="H459" s="11"/>
      <c r="I459" s="15" t="str">
        <f aca="false">IF($F459="","",$F459-IF($H459="",0,$H459))</f>
        <v/>
      </c>
      <c r="J459" s="16" t="str">
        <f aca="true">IF(OR($A459="",$I459="",$I459&lt;=0),"",TODAY()-$A459)</f>
        <v/>
      </c>
      <c r="K459" s="10"/>
    </row>
    <row r="460" customFormat="false" ht="15" hidden="false" customHeight="true" outlineLevel="0" collapsed="false">
      <c r="A460" s="13"/>
      <c r="B460" s="10"/>
      <c r="C460" s="10"/>
      <c r="D460" s="14"/>
      <c r="E460" s="11"/>
      <c r="F460" s="15" t="str">
        <f aca="false">IF($B460="","",IF(AND($D460="",$E460=""),"",IF(OR($D460="",$E460=""),0,ROUND($D460*$E460,0))))</f>
        <v/>
      </c>
      <c r="G460" s="13"/>
      <c r="H460" s="11"/>
      <c r="I460" s="15" t="str">
        <f aca="false">IF($F460="","",$F460-IF($H460="",0,$H460))</f>
        <v/>
      </c>
      <c r="J460" s="16" t="str">
        <f aca="true">IF(OR($A460="",$I460="",$I460&lt;=0),"",TODAY()-$A460)</f>
        <v/>
      </c>
      <c r="K460" s="10"/>
    </row>
    <row r="461" customFormat="false" ht="15" hidden="false" customHeight="true" outlineLevel="0" collapsed="false">
      <c r="A461" s="13"/>
      <c r="B461" s="10"/>
      <c r="C461" s="10"/>
      <c r="D461" s="14"/>
      <c r="E461" s="11"/>
      <c r="F461" s="15" t="str">
        <f aca="false">IF($B461="","",IF(AND($D461="",$E461=""),"",IF(OR($D461="",$E461=""),0,ROUND($D461*$E461,0))))</f>
        <v/>
      </c>
      <c r="G461" s="13"/>
      <c r="H461" s="11"/>
      <c r="I461" s="15" t="str">
        <f aca="false">IF($F461="","",$F461-IF($H461="",0,$H461))</f>
        <v/>
      </c>
      <c r="J461" s="16" t="str">
        <f aca="true">IF(OR($A461="",$I461="",$I461&lt;=0),"",TODAY()-$A461)</f>
        <v/>
      </c>
      <c r="K461" s="10"/>
    </row>
    <row r="462" customFormat="false" ht="15" hidden="false" customHeight="true" outlineLevel="0" collapsed="false">
      <c r="A462" s="13"/>
      <c r="B462" s="10"/>
      <c r="C462" s="10"/>
      <c r="D462" s="14"/>
      <c r="E462" s="11"/>
      <c r="F462" s="15" t="str">
        <f aca="false">IF($B462="","",IF(AND($D462="",$E462=""),"",IF(OR($D462="",$E462=""),0,ROUND($D462*$E462,0))))</f>
        <v/>
      </c>
      <c r="G462" s="13"/>
      <c r="H462" s="11"/>
      <c r="I462" s="15" t="str">
        <f aca="false">IF($F462="","",$F462-IF($H462="",0,$H462))</f>
        <v/>
      </c>
      <c r="J462" s="16" t="str">
        <f aca="true">IF(OR($A462="",$I462="",$I462&lt;=0),"",TODAY()-$A462)</f>
        <v/>
      </c>
      <c r="K462" s="10"/>
    </row>
    <row r="463" customFormat="false" ht="15" hidden="false" customHeight="true" outlineLevel="0" collapsed="false">
      <c r="A463" s="13"/>
      <c r="B463" s="10"/>
      <c r="C463" s="10"/>
      <c r="D463" s="14"/>
      <c r="E463" s="11"/>
      <c r="F463" s="15" t="str">
        <f aca="false">IF($B463="","",IF(AND($D463="",$E463=""),"",IF(OR($D463="",$E463=""),0,ROUND($D463*$E463,0))))</f>
        <v/>
      </c>
      <c r="G463" s="13"/>
      <c r="H463" s="11"/>
      <c r="I463" s="15" t="str">
        <f aca="false">IF($F463="","",$F463-IF($H463="",0,$H463))</f>
        <v/>
      </c>
      <c r="J463" s="16" t="str">
        <f aca="true">IF(OR($A463="",$I463="",$I463&lt;=0),"",TODAY()-$A463)</f>
        <v/>
      </c>
      <c r="K463" s="10"/>
    </row>
    <row r="464" customFormat="false" ht="15" hidden="false" customHeight="true" outlineLevel="0" collapsed="false">
      <c r="A464" s="13"/>
      <c r="B464" s="10"/>
      <c r="C464" s="10"/>
      <c r="D464" s="14"/>
      <c r="E464" s="11"/>
      <c r="F464" s="15" t="str">
        <f aca="false">IF($B464="","",IF(AND($D464="",$E464=""),"",IF(OR($D464="",$E464=""),0,ROUND($D464*$E464,0))))</f>
        <v/>
      </c>
      <c r="G464" s="13"/>
      <c r="H464" s="11"/>
      <c r="I464" s="15" t="str">
        <f aca="false">IF($F464="","",$F464-IF($H464="",0,$H464))</f>
        <v/>
      </c>
      <c r="J464" s="16" t="str">
        <f aca="true">IF(OR($A464="",$I464="",$I464&lt;=0),"",TODAY()-$A464)</f>
        <v/>
      </c>
      <c r="K464" s="10"/>
    </row>
    <row r="465" customFormat="false" ht="15" hidden="false" customHeight="true" outlineLevel="0" collapsed="false">
      <c r="A465" s="13"/>
      <c r="B465" s="10"/>
      <c r="C465" s="10"/>
      <c r="D465" s="14"/>
      <c r="E465" s="11"/>
      <c r="F465" s="15" t="str">
        <f aca="false">IF($B465="","",IF(AND($D465="",$E465=""),"",IF(OR($D465="",$E465=""),0,ROUND($D465*$E465,0))))</f>
        <v/>
      </c>
      <c r="G465" s="13"/>
      <c r="H465" s="11"/>
      <c r="I465" s="15" t="str">
        <f aca="false">IF($F465="","",$F465-IF($H465="",0,$H465))</f>
        <v/>
      </c>
      <c r="J465" s="16" t="str">
        <f aca="true">IF(OR($A465="",$I465="",$I465&lt;=0),"",TODAY()-$A465)</f>
        <v/>
      </c>
      <c r="K465" s="10"/>
    </row>
    <row r="466" customFormat="false" ht="15" hidden="false" customHeight="true" outlineLevel="0" collapsed="false">
      <c r="A466" s="13"/>
      <c r="B466" s="10"/>
      <c r="C466" s="10"/>
      <c r="D466" s="14"/>
      <c r="E466" s="11"/>
      <c r="F466" s="15" t="str">
        <f aca="false">IF($B466="","",IF(AND($D466="",$E466=""),"",IF(OR($D466="",$E466=""),0,ROUND($D466*$E466,0))))</f>
        <v/>
      </c>
      <c r="G466" s="13"/>
      <c r="H466" s="11"/>
      <c r="I466" s="15" t="str">
        <f aca="false">IF($F466="","",$F466-IF($H466="",0,$H466))</f>
        <v/>
      </c>
      <c r="J466" s="16" t="str">
        <f aca="true">IF(OR($A466="",$I466="",$I466&lt;=0),"",TODAY()-$A466)</f>
        <v/>
      </c>
      <c r="K466" s="10"/>
    </row>
    <row r="467" customFormat="false" ht="15" hidden="false" customHeight="true" outlineLevel="0" collapsed="false">
      <c r="A467" s="13"/>
      <c r="B467" s="10"/>
      <c r="C467" s="10"/>
      <c r="D467" s="14"/>
      <c r="E467" s="11"/>
      <c r="F467" s="15" t="str">
        <f aca="false">IF($B467="","",IF(AND($D467="",$E467=""),"",IF(OR($D467="",$E467=""),0,ROUND($D467*$E467,0))))</f>
        <v/>
      </c>
      <c r="G467" s="13"/>
      <c r="H467" s="11"/>
      <c r="I467" s="15" t="str">
        <f aca="false">IF($F467="","",$F467-IF($H467="",0,$H467))</f>
        <v/>
      </c>
      <c r="J467" s="16" t="str">
        <f aca="true">IF(OR($A467="",$I467="",$I467&lt;=0),"",TODAY()-$A467)</f>
        <v/>
      </c>
      <c r="K467" s="10"/>
    </row>
    <row r="468" customFormat="false" ht="15" hidden="false" customHeight="true" outlineLevel="0" collapsed="false">
      <c r="A468" s="13"/>
      <c r="B468" s="10"/>
      <c r="C468" s="10"/>
      <c r="D468" s="14"/>
      <c r="E468" s="11"/>
      <c r="F468" s="15" t="str">
        <f aca="false">IF($B468="","",IF(AND($D468="",$E468=""),"",IF(OR($D468="",$E468=""),0,ROUND($D468*$E468,0))))</f>
        <v/>
      </c>
      <c r="G468" s="13"/>
      <c r="H468" s="11"/>
      <c r="I468" s="15" t="str">
        <f aca="false">IF($F468="","",$F468-IF($H468="",0,$H468))</f>
        <v/>
      </c>
      <c r="J468" s="16" t="str">
        <f aca="true">IF(OR($A468="",$I468="",$I468&lt;=0),"",TODAY()-$A468)</f>
        <v/>
      </c>
      <c r="K468" s="10"/>
    </row>
    <row r="469" customFormat="false" ht="15" hidden="false" customHeight="true" outlineLevel="0" collapsed="false">
      <c r="A469" s="13"/>
      <c r="B469" s="10"/>
      <c r="C469" s="10"/>
      <c r="D469" s="14"/>
      <c r="E469" s="11"/>
      <c r="F469" s="15" t="str">
        <f aca="false">IF($B469="","",IF(AND($D469="",$E469=""),"",IF(OR($D469="",$E469=""),0,ROUND($D469*$E469,0))))</f>
        <v/>
      </c>
      <c r="G469" s="13"/>
      <c r="H469" s="11"/>
      <c r="I469" s="15" t="str">
        <f aca="false">IF($F469="","",$F469-IF($H469="",0,$H469))</f>
        <v/>
      </c>
      <c r="J469" s="16" t="str">
        <f aca="true">IF(OR($A469="",$I469="",$I469&lt;=0),"",TODAY()-$A469)</f>
        <v/>
      </c>
      <c r="K469" s="10"/>
    </row>
    <row r="470" customFormat="false" ht="15" hidden="false" customHeight="true" outlineLevel="0" collapsed="false">
      <c r="A470" s="13"/>
      <c r="B470" s="10"/>
      <c r="C470" s="10"/>
      <c r="D470" s="14"/>
      <c r="E470" s="11"/>
      <c r="F470" s="15" t="str">
        <f aca="false">IF($B470="","",IF(AND($D470="",$E470=""),"",IF(OR($D470="",$E470=""),0,ROUND($D470*$E470,0))))</f>
        <v/>
      </c>
      <c r="G470" s="13"/>
      <c r="H470" s="11"/>
      <c r="I470" s="15" t="str">
        <f aca="false">IF($F470="","",$F470-IF($H470="",0,$H470))</f>
        <v/>
      </c>
      <c r="J470" s="16" t="str">
        <f aca="true">IF(OR($A470="",$I470="",$I470&lt;=0),"",TODAY()-$A470)</f>
        <v/>
      </c>
      <c r="K470" s="10"/>
    </row>
    <row r="471" customFormat="false" ht="15" hidden="false" customHeight="true" outlineLevel="0" collapsed="false">
      <c r="A471" s="13"/>
      <c r="B471" s="10"/>
      <c r="C471" s="10"/>
      <c r="D471" s="14"/>
      <c r="E471" s="11"/>
      <c r="F471" s="15" t="str">
        <f aca="false">IF($B471="","",IF(AND($D471="",$E471=""),"",IF(OR($D471="",$E471=""),0,ROUND($D471*$E471,0))))</f>
        <v/>
      </c>
      <c r="G471" s="13"/>
      <c r="H471" s="11"/>
      <c r="I471" s="15" t="str">
        <f aca="false">IF($F471="","",$F471-IF($H471="",0,$H471))</f>
        <v/>
      </c>
      <c r="J471" s="16" t="str">
        <f aca="true">IF(OR($A471="",$I471="",$I471&lt;=0),"",TODAY()-$A471)</f>
        <v/>
      </c>
      <c r="K471" s="10"/>
    </row>
    <row r="472" customFormat="false" ht="15" hidden="false" customHeight="true" outlineLevel="0" collapsed="false">
      <c r="A472" s="13"/>
      <c r="B472" s="10"/>
      <c r="C472" s="10"/>
      <c r="D472" s="14"/>
      <c r="E472" s="11"/>
      <c r="F472" s="15" t="str">
        <f aca="false">IF($B472="","",IF(AND($D472="",$E472=""),"",IF(OR($D472="",$E472=""),0,ROUND($D472*$E472,0))))</f>
        <v/>
      </c>
      <c r="G472" s="13"/>
      <c r="H472" s="11"/>
      <c r="I472" s="15" t="str">
        <f aca="false">IF($F472="","",$F472-IF($H472="",0,$H472))</f>
        <v/>
      </c>
      <c r="J472" s="16" t="str">
        <f aca="true">IF(OR($A472="",$I472="",$I472&lt;=0),"",TODAY()-$A472)</f>
        <v/>
      </c>
      <c r="K472" s="10"/>
    </row>
    <row r="473" customFormat="false" ht="15" hidden="false" customHeight="true" outlineLevel="0" collapsed="false">
      <c r="A473" s="13"/>
      <c r="B473" s="10"/>
      <c r="C473" s="10"/>
      <c r="D473" s="14"/>
      <c r="E473" s="11"/>
      <c r="F473" s="15" t="str">
        <f aca="false">IF($B473="","",IF(AND($D473="",$E473=""),"",IF(OR($D473="",$E473=""),0,ROUND($D473*$E473,0))))</f>
        <v/>
      </c>
      <c r="G473" s="13"/>
      <c r="H473" s="11"/>
      <c r="I473" s="15" t="str">
        <f aca="false">IF($F473="","",$F473-IF($H473="",0,$H473))</f>
        <v/>
      </c>
      <c r="J473" s="16" t="str">
        <f aca="true">IF(OR($A473="",$I473="",$I473&lt;=0),"",TODAY()-$A473)</f>
        <v/>
      </c>
      <c r="K473" s="10"/>
    </row>
    <row r="474" customFormat="false" ht="15" hidden="false" customHeight="true" outlineLevel="0" collapsed="false">
      <c r="A474" s="13"/>
      <c r="B474" s="10"/>
      <c r="C474" s="10"/>
      <c r="D474" s="14"/>
      <c r="E474" s="11"/>
      <c r="F474" s="15" t="str">
        <f aca="false">IF($B474="","",IF(AND($D474="",$E474=""),"",IF(OR($D474="",$E474=""),0,ROUND($D474*$E474,0))))</f>
        <v/>
      </c>
      <c r="G474" s="13"/>
      <c r="H474" s="11"/>
      <c r="I474" s="15" t="str">
        <f aca="false">IF($F474="","",$F474-IF($H474="",0,$H474))</f>
        <v/>
      </c>
      <c r="J474" s="16" t="str">
        <f aca="true">IF(OR($A474="",$I474="",$I474&lt;=0),"",TODAY()-$A474)</f>
        <v/>
      </c>
      <c r="K474" s="10"/>
    </row>
    <row r="475" customFormat="false" ht="15" hidden="false" customHeight="true" outlineLevel="0" collapsed="false">
      <c r="A475" s="13"/>
      <c r="B475" s="10"/>
      <c r="C475" s="10"/>
      <c r="D475" s="14"/>
      <c r="E475" s="11"/>
      <c r="F475" s="15" t="str">
        <f aca="false">IF($B475="","",IF(AND($D475="",$E475=""),"",IF(OR($D475="",$E475=""),0,ROUND($D475*$E475,0))))</f>
        <v/>
      </c>
      <c r="G475" s="13"/>
      <c r="H475" s="11"/>
      <c r="I475" s="15" t="str">
        <f aca="false">IF($F475="","",$F475-IF($H475="",0,$H475))</f>
        <v/>
      </c>
      <c r="J475" s="16" t="str">
        <f aca="true">IF(OR($A475="",$I475="",$I475&lt;=0),"",TODAY()-$A475)</f>
        <v/>
      </c>
      <c r="K475" s="10"/>
    </row>
    <row r="476" customFormat="false" ht="15" hidden="false" customHeight="true" outlineLevel="0" collapsed="false">
      <c r="A476" s="13"/>
      <c r="B476" s="10"/>
      <c r="C476" s="10"/>
      <c r="D476" s="14"/>
      <c r="E476" s="11"/>
      <c r="F476" s="15" t="str">
        <f aca="false">IF($B476="","",IF(AND($D476="",$E476=""),"",IF(OR($D476="",$E476=""),0,ROUND($D476*$E476,0))))</f>
        <v/>
      </c>
      <c r="G476" s="13"/>
      <c r="H476" s="11"/>
      <c r="I476" s="15" t="str">
        <f aca="false">IF($F476="","",$F476-IF($H476="",0,$H476))</f>
        <v/>
      </c>
      <c r="J476" s="16" t="str">
        <f aca="true">IF(OR($A476="",$I476="",$I476&lt;=0),"",TODAY()-$A476)</f>
        <v/>
      </c>
      <c r="K476" s="10"/>
    </row>
    <row r="477" customFormat="false" ht="15" hidden="false" customHeight="true" outlineLevel="0" collapsed="false">
      <c r="A477" s="13"/>
      <c r="B477" s="10"/>
      <c r="C477" s="10"/>
      <c r="D477" s="14"/>
      <c r="E477" s="11"/>
      <c r="F477" s="15" t="str">
        <f aca="false">IF($B477="","",IF(AND($D477="",$E477=""),"",IF(OR($D477="",$E477=""),0,ROUND($D477*$E477,0))))</f>
        <v/>
      </c>
      <c r="G477" s="13"/>
      <c r="H477" s="11"/>
      <c r="I477" s="15" t="str">
        <f aca="false">IF($F477="","",$F477-IF($H477="",0,$H477))</f>
        <v/>
      </c>
      <c r="J477" s="16" t="str">
        <f aca="true">IF(OR($A477="",$I477="",$I477&lt;=0),"",TODAY()-$A477)</f>
        <v/>
      </c>
      <c r="K477" s="10"/>
    </row>
    <row r="478" customFormat="false" ht="15" hidden="false" customHeight="true" outlineLevel="0" collapsed="false">
      <c r="A478" s="13"/>
      <c r="B478" s="10"/>
      <c r="C478" s="10"/>
      <c r="D478" s="14"/>
      <c r="E478" s="11"/>
      <c r="F478" s="15" t="str">
        <f aca="false">IF($B478="","",IF(AND($D478="",$E478=""),"",IF(OR($D478="",$E478=""),0,ROUND($D478*$E478,0))))</f>
        <v/>
      </c>
      <c r="G478" s="13"/>
      <c r="H478" s="11"/>
      <c r="I478" s="15" t="str">
        <f aca="false">IF($F478="","",$F478-IF($H478="",0,$H478))</f>
        <v/>
      </c>
      <c r="J478" s="16" t="str">
        <f aca="true">IF(OR($A478="",$I478="",$I478&lt;=0),"",TODAY()-$A478)</f>
        <v/>
      </c>
      <c r="K478" s="10"/>
    </row>
    <row r="479" customFormat="false" ht="15" hidden="false" customHeight="true" outlineLevel="0" collapsed="false">
      <c r="A479" s="13"/>
      <c r="B479" s="10"/>
      <c r="C479" s="10"/>
      <c r="D479" s="14"/>
      <c r="E479" s="11"/>
      <c r="F479" s="15" t="str">
        <f aca="false">IF($B479="","",IF(AND($D479="",$E479=""),"",IF(OR($D479="",$E479=""),0,ROUND($D479*$E479,0))))</f>
        <v/>
      </c>
      <c r="G479" s="13"/>
      <c r="H479" s="11"/>
      <c r="I479" s="15" t="str">
        <f aca="false">IF($F479="","",$F479-IF($H479="",0,$H479))</f>
        <v/>
      </c>
      <c r="J479" s="16" t="str">
        <f aca="true">IF(OR($A479="",$I479="",$I479&lt;=0),"",TODAY()-$A479)</f>
        <v/>
      </c>
      <c r="K479" s="10"/>
    </row>
    <row r="480" customFormat="false" ht="15" hidden="false" customHeight="true" outlineLevel="0" collapsed="false">
      <c r="A480" s="13"/>
      <c r="B480" s="10"/>
      <c r="C480" s="10"/>
      <c r="D480" s="14"/>
      <c r="E480" s="11"/>
      <c r="F480" s="15" t="str">
        <f aca="false">IF($B480="","",IF(AND($D480="",$E480=""),"",IF(OR($D480="",$E480=""),0,ROUND($D480*$E480,0))))</f>
        <v/>
      </c>
      <c r="G480" s="13"/>
      <c r="H480" s="11"/>
      <c r="I480" s="15" t="str">
        <f aca="false">IF($F480="","",$F480-IF($H480="",0,$H480))</f>
        <v/>
      </c>
      <c r="J480" s="16" t="str">
        <f aca="true">IF(OR($A480="",$I480="",$I480&lt;=0),"",TODAY()-$A480)</f>
        <v/>
      </c>
      <c r="K480" s="10"/>
    </row>
    <row r="481" customFormat="false" ht="15" hidden="false" customHeight="true" outlineLevel="0" collapsed="false">
      <c r="A481" s="13"/>
      <c r="B481" s="10"/>
      <c r="C481" s="10"/>
      <c r="D481" s="14"/>
      <c r="E481" s="11"/>
      <c r="F481" s="15" t="str">
        <f aca="false">IF($B481="","",IF(AND($D481="",$E481=""),"",IF(OR($D481="",$E481=""),0,ROUND($D481*$E481,0))))</f>
        <v/>
      </c>
      <c r="G481" s="13"/>
      <c r="H481" s="11"/>
      <c r="I481" s="15" t="str">
        <f aca="false">IF($F481="","",$F481-IF($H481="",0,$H481))</f>
        <v/>
      </c>
      <c r="J481" s="16" t="str">
        <f aca="true">IF(OR($A481="",$I481="",$I481&lt;=0),"",TODAY()-$A481)</f>
        <v/>
      </c>
      <c r="K481" s="10"/>
    </row>
    <row r="482" customFormat="false" ht="15" hidden="false" customHeight="true" outlineLevel="0" collapsed="false">
      <c r="A482" s="13"/>
      <c r="B482" s="10"/>
      <c r="C482" s="10"/>
      <c r="D482" s="14"/>
      <c r="E482" s="11"/>
      <c r="F482" s="15" t="str">
        <f aca="false">IF($B482="","",IF(AND($D482="",$E482=""),"",IF(OR($D482="",$E482=""),0,ROUND($D482*$E482,0))))</f>
        <v/>
      </c>
      <c r="G482" s="13"/>
      <c r="H482" s="11"/>
      <c r="I482" s="15" t="str">
        <f aca="false">IF($F482="","",$F482-IF($H482="",0,$H482))</f>
        <v/>
      </c>
      <c r="J482" s="16" t="str">
        <f aca="true">IF(OR($A482="",$I482="",$I482&lt;=0),"",TODAY()-$A482)</f>
        <v/>
      </c>
      <c r="K482" s="10"/>
    </row>
    <row r="483" customFormat="false" ht="15" hidden="false" customHeight="true" outlineLevel="0" collapsed="false">
      <c r="A483" s="13"/>
      <c r="B483" s="10"/>
      <c r="C483" s="10"/>
      <c r="D483" s="14"/>
      <c r="E483" s="11"/>
      <c r="F483" s="15" t="str">
        <f aca="false">IF($B483="","",IF(AND($D483="",$E483=""),"",IF(OR($D483="",$E483=""),0,ROUND($D483*$E483,0))))</f>
        <v/>
      </c>
      <c r="G483" s="13"/>
      <c r="H483" s="11"/>
      <c r="I483" s="15" t="str">
        <f aca="false">IF($F483="","",$F483-IF($H483="",0,$H483))</f>
        <v/>
      </c>
      <c r="J483" s="16" t="str">
        <f aca="true">IF(OR($A483="",$I483="",$I483&lt;=0),"",TODAY()-$A483)</f>
        <v/>
      </c>
      <c r="K483" s="10"/>
    </row>
    <row r="484" customFormat="false" ht="15" hidden="false" customHeight="true" outlineLevel="0" collapsed="false">
      <c r="A484" s="13"/>
      <c r="B484" s="10"/>
      <c r="C484" s="10"/>
      <c r="D484" s="14"/>
      <c r="E484" s="11"/>
      <c r="F484" s="15" t="str">
        <f aca="false">IF($B484="","",IF(AND($D484="",$E484=""),"",IF(OR($D484="",$E484=""),0,ROUND($D484*$E484,0))))</f>
        <v/>
      </c>
      <c r="G484" s="13"/>
      <c r="H484" s="11"/>
      <c r="I484" s="15" t="str">
        <f aca="false">IF($F484="","",$F484-IF($H484="",0,$H484))</f>
        <v/>
      </c>
      <c r="J484" s="16" t="str">
        <f aca="true">IF(OR($A484="",$I484="",$I484&lt;=0),"",TODAY()-$A484)</f>
        <v/>
      </c>
      <c r="K484" s="10"/>
    </row>
    <row r="485" customFormat="false" ht="15" hidden="false" customHeight="true" outlineLevel="0" collapsed="false">
      <c r="A485" s="13"/>
      <c r="B485" s="10"/>
      <c r="C485" s="10"/>
      <c r="D485" s="14"/>
      <c r="E485" s="11"/>
      <c r="F485" s="15" t="str">
        <f aca="false">IF($B485="","",IF(AND($D485="",$E485=""),"",IF(OR($D485="",$E485=""),0,ROUND($D485*$E485,0))))</f>
        <v/>
      </c>
      <c r="G485" s="13"/>
      <c r="H485" s="11"/>
      <c r="I485" s="15" t="str">
        <f aca="false">IF($F485="","",$F485-IF($H485="",0,$H485))</f>
        <v/>
      </c>
      <c r="J485" s="16" t="str">
        <f aca="true">IF(OR($A485="",$I485="",$I485&lt;=0),"",TODAY()-$A485)</f>
        <v/>
      </c>
      <c r="K485" s="10"/>
    </row>
    <row r="486" customFormat="false" ht="15" hidden="false" customHeight="true" outlineLevel="0" collapsed="false">
      <c r="A486" s="13"/>
      <c r="B486" s="10"/>
      <c r="C486" s="10"/>
      <c r="D486" s="14"/>
      <c r="E486" s="11"/>
      <c r="F486" s="15" t="str">
        <f aca="false">IF($B486="","",IF(AND($D486="",$E486=""),"",IF(OR($D486="",$E486=""),0,ROUND($D486*$E486,0))))</f>
        <v/>
      </c>
      <c r="G486" s="13"/>
      <c r="H486" s="11"/>
      <c r="I486" s="15" t="str">
        <f aca="false">IF($F486="","",$F486-IF($H486="",0,$H486))</f>
        <v/>
      </c>
      <c r="J486" s="16" t="str">
        <f aca="true">IF(OR($A486="",$I486="",$I486&lt;=0),"",TODAY()-$A486)</f>
        <v/>
      </c>
      <c r="K486" s="10"/>
    </row>
    <row r="487" customFormat="false" ht="15" hidden="false" customHeight="true" outlineLevel="0" collapsed="false">
      <c r="A487" s="13"/>
      <c r="B487" s="10"/>
      <c r="C487" s="10"/>
      <c r="D487" s="14"/>
      <c r="E487" s="11"/>
      <c r="F487" s="15" t="str">
        <f aca="false">IF($B487="","",IF(AND($D487="",$E487=""),"",IF(OR($D487="",$E487=""),0,ROUND($D487*$E487,0))))</f>
        <v/>
      </c>
      <c r="G487" s="13"/>
      <c r="H487" s="11"/>
      <c r="I487" s="15" t="str">
        <f aca="false">IF($F487="","",$F487-IF($H487="",0,$H487))</f>
        <v/>
      </c>
      <c r="J487" s="16" t="str">
        <f aca="true">IF(OR($A487="",$I487="",$I487&lt;=0),"",TODAY()-$A487)</f>
        <v/>
      </c>
      <c r="K487" s="10"/>
    </row>
    <row r="488" customFormat="false" ht="15" hidden="false" customHeight="true" outlineLevel="0" collapsed="false">
      <c r="A488" s="13"/>
      <c r="B488" s="10"/>
      <c r="C488" s="10"/>
      <c r="D488" s="14"/>
      <c r="E488" s="11"/>
      <c r="F488" s="15" t="str">
        <f aca="false">IF($B488="","",IF(AND($D488="",$E488=""),"",IF(OR($D488="",$E488=""),0,ROUND($D488*$E488,0))))</f>
        <v/>
      </c>
      <c r="G488" s="13"/>
      <c r="H488" s="11"/>
      <c r="I488" s="15" t="str">
        <f aca="false">IF($F488="","",$F488-IF($H488="",0,$H488))</f>
        <v/>
      </c>
      <c r="J488" s="16" t="str">
        <f aca="true">IF(OR($A488="",$I488="",$I488&lt;=0),"",TODAY()-$A488)</f>
        <v/>
      </c>
      <c r="K488" s="10"/>
    </row>
    <row r="489" customFormat="false" ht="15" hidden="false" customHeight="true" outlineLevel="0" collapsed="false">
      <c r="A489" s="13"/>
      <c r="B489" s="10"/>
      <c r="C489" s="10"/>
      <c r="D489" s="14"/>
      <c r="E489" s="11"/>
      <c r="F489" s="15" t="str">
        <f aca="false">IF($B489="","",IF(AND($D489="",$E489=""),"",IF(OR($D489="",$E489=""),0,ROUND($D489*$E489,0))))</f>
        <v/>
      </c>
      <c r="G489" s="13"/>
      <c r="H489" s="11"/>
      <c r="I489" s="15" t="str">
        <f aca="false">IF($F489="","",$F489-IF($H489="",0,$H489))</f>
        <v/>
      </c>
      <c r="J489" s="16" t="str">
        <f aca="true">IF(OR($A489="",$I489="",$I489&lt;=0),"",TODAY()-$A489)</f>
        <v/>
      </c>
      <c r="K489" s="10"/>
    </row>
    <row r="490" customFormat="false" ht="15" hidden="false" customHeight="true" outlineLevel="0" collapsed="false">
      <c r="A490" s="13"/>
      <c r="B490" s="10"/>
      <c r="C490" s="10"/>
      <c r="D490" s="14"/>
      <c r="E490" s="11"/>
      <c r="F490" s="15" t="str">
        <f aca="false">IF($B490="","",IF(AND($D490="",$E490=""),"",IF(OR($D490="",$E490=""),0,ROUND($D490*$E490,0))))</f>
        <v/>
      </c>
      <c r="G490" s="13"/>
      <c r="H490" s="11"/>
      <c r="I490" s="15" t="str">
        <f aca="false">IF($F490="","",$F490-IF($H490="",0,$H490))</f>
        <v/>
      </c>
      <c r="J490" s="16" t="str">
        <f aca="true">IF(OR($A490="",$I490="",$I490&lt;=0),"",TODAY()-$A490)</f>
        <v/>
      </c>
      <c r="K490" s="10"/>
    </row>
    <row r="491" customFormat="false" ht="15" hidden="false" customHeight="true" outlineLevel="0" collapsed="false">
      <c r="A491" s="13"/>
      <c r="B491" s="10"/>
      <c r="C491" s="10"/>
      <c r="D491" s="14"/>
      <c r="E491" s="11"/>
      <c r="F491" s="15" t="str">
        <f aca="false">IF($B491="","",IF(AND($D491="",$E491=""),"",IF(OR($D491="",$E491=""),0,ROUND($D491*$E491,0))))</f>
        <v/>
      </c>
      <c r="G491" s="13"/>
      <c r="H491" s="11"/>
      <c r="I491" s="15" t="str">
        <f aca="false">IF($F491="","",$F491-IF($H491="",0,$H491))</f>
        <v/>
      </c>
      <c r="J491" s="16" t="str">
        <f aca="true">IF(OR($A491="",$I491="",$I491&lt;=0),"",TODAY()-$A491)</f>
        <v/>
      </c>
      <c r="K491" s="10"/>
    </row>
    <row r="492" customFormat="false" ht="15" hidden="false" customHeight="true" outlineLevel="0" collapsed="false">
      <c r="A492" s="13"/>
      <c r="B492" s="10"/>
      <c r="C492" s="10"/>
      <c r="D492" s="14"/>
      <c r="E492" s="11"/>
      <c r="F492" s="15" t="str">
        <f aca="false">IF($B492="","",IF(AND($D492="",$E492=""),"",IF(OR($D492="",$E492=""),0,ROUND($D492*$E492,0))))</f>
        <v/>
      </c>
      <c r="G492" s="13"/>
      <c r="H492" s="11"/>
      <c r="I492" s="15" t="str">
        <f aca="false">IF($F492="","",$F492-IF($H492="",0,$H492))</f>
        <v/>
      </c>
      <c r="J492" s="16" t="str">
        <f aca="true">IF(OR($A492="",$I492="",$I492&lt;=0),"",TODAY()-$A492)</f>
        <v/>
      </c>
      <c r="K492" s="10"/>
    </row>
    <row r="493" customFormat="false" ht="15" hidden="false" customHeight="true" outlineLevel="0" collapsed="false">
      <c r="A493" s="13"/>
      <c r="B493" s="10"/>
      <c r="C493" s="10"/>
      <c r="D493" s="14"/>
      <c r="E493" s="11"/>
      <c r="F493" s="15" t="str">
        <f aca="false">IF($B493="","",IF(AND($D493="",$E493=""),"",IF(OR($D493="",$E493=""),0,ROUND($D493*$E493,0))))</f>
        <v/>
      </c>
      <c r="G493" s="13"/>
      <c r="H493" s="11"/>
      <c r="I493" s="15" t="str">
        <f aca="false">IF($F493="","",$F493-IF($H493="",0,$H493))</f>
        <v/>
      </c>
      <c r="J493" s="16" t="str">
        <f aca="true">IF(OR($A493="",$I493="",$I493&lt;=0),"",TODAY()-$A493)</f>
        <v/>
      </c>
      <c r="K493" s="10"/>
    </row>
    <row r="494" customFormat="false" ht="15" hidden="false" customHeight="true" outlineLevel="0" collapsed="false">
      <c r="A494" s="13"/>
      <c r="B494" s="10"/>
      <c r="C494" s="10"/>
      <c r="D494" s="14"/>
      <c r="E494" s="11"/>
      <c r="F494" s="15" t="str">
        <f aca="false">IF($B494="","",IF(AND($D494="",$E494=""),"",IF(OR($D494="",$E494=""),0,ROUND($D494*$E494,0))))</f>
        <v/>
      </c>
      <c r="G494" s="13"/>
      <c r="H494" s="11"/>
      <c r="I494" s="15" t="str">
        <f aca="false">IF($F494="","",$F494-IF($H494="",0,$H494))</f>
        <v/>
      </c>
      <c r="J494" s="16" t="str">
        <f aca="true">IF(OR($A494="",$I494="",$I494&lt;=0),"",TODAY()-$A494)</f>
        <v/>
      </c>
      <c r="K494" s="10"/>
    </row>
    <row r="495" customFormat="false" ht="15" hidden="false" customHeight="true" outlineLevel="0" collapsed="false">
      <c r="A495" s="13"/>
      <c r="B495" s="10"/>
      <c r="C495" s="10"/>
      <c r="D495" s="14"/>
      <c r="E495" s="11"/>
      <c r="F495" s="15" t="str">
        <f aca="false">IF($B495="","",IF(AND($D495="",$E495=""),"",IF(OR($D495="",$E495=""),0,ROUND($D495*$E495,0))))</f>
        <v/>
      </c>
      <c r="G495" s="13"/>
      <c r="H495" s="11"/>
      <c r="I495" s="15" t="str">
        <f aca="false">IF($F495="","",$F495-IF($H495="",0,$H495))</f>
        <v/>
      </c>
      <c r="J495" s="16" t="str">
        <f aca="true">IF(OR($A495="",$I495="",$I495&lt;=0),"",TODAY()-$A495)</f>
        <v/>
      </c>
      <c r="K495" s="10"/>
    </row>
    <row r="496" customFormat="false" ht="15" hidden="false" customHeight="true" outlineLevel="0" collapsed="false">
      <c r="A496" s="13"/>
      <c r="B496" s="10"/>
      <c r="C496" s="10"/>
      <c r="D496" s="14"/>
      <c r="E496" s="11"/>
      <c r="F496" s="15" t="str">
        <f aca="false">IF($B496="","",IF(AND($D496="",$E496=""),"",IF(OR($D496="",$E496=""),0,ROUND($D496*$E496,0))))</f>
        <v/>
      </c>
      <c r="G496" s="13"/>
      <c r="H496" s="11"/>
      <c r="I496" s="15" t="str">
        <f aca="false">IF($F496="","",$F496-IF($H496="",0,$H496))</f>
        <v/>
      </c>
      <c r="J496" s="16" t="str">
        <f aca="true">IF(OR($A496="",$I496="",$I496&lt;=0),"",TODAY()-$A496)</f>
        <v/>
      </c>
      <c r="K496" s="10"/>
    </row>
    <row r="497" customFormat="false" ht="15" hidden="false" customHeight="true" outlineLevel="0" collapsed="false">
      <c r="A497" s="13"/>
      <c r="B497" s="10"/>
      <c r="C497" s="10"/>
      <c r="D497" s="14"/>
      <c r="E497" s="11"/>
      <c r="F497" s="15" t="str">
        <f aca="false">IF($B497="","",IF(AND($D497="",$E497=""),"",IF(OR($D497="",$E497=""),0,ROUND($D497*$E497,0))))</f>
        <v/>
      </c>
      <c r="G497" s="13"/>
      <c r="H497" s="11"/>
      <c r="I497" s="15" t="str">
        <f aca="false">IF($F497="","",$F497-IF($H497="",0,$H497))</f>
        <v/>
      </c>
      <c r="J497" s="16" t="str">
        <f aca="true">IF(OR($A497="",$I497="",$I497&lt;=0),"",TODAY()-$A497)</f>
        <v/>
      </c>
      <c r="K497" s="10"/>
    </row>
    <row r="498" customFormat="false" ht="15" hidden="false" customHeight="true" outlineLevel="0" collapsed="false">
      <c r="A498" s="13"/>
      <c r="B498" s="10"/>
      <c r="C498" s="10"/>
      <c r="D498" s="14"/>
      <c r="E498" s="11"/>
      <c r="F498" s="15" t="str">
        <f aca="false">IF($B498="","",IF(AND($D498="",$E498=""),"",IF(OR($D498="",$E498=""),0,ROUND($D498*$E498,0))))</f>
        <v/>
      </c>
      <c r="G498" s="13"/>
      <c r="H498" s="11"/>
      <c r="I498" s="15" t="str">
        <f aca="false">IF($F498="","",$F498-IF($H498="",0,$H498))</f>
        <v/>
      </c>
      <c r="J498" s="16" t="str">
        <f aca="true">IF(OR($A498="",$I498="",$I498&lt;=0),"",TODAY()-$A498)</f>
        <v/>
      </c>
      <c r="K498" s="10"/>
    </row>
    <row r="499" customFormat="false" ht="15" hidden="false" customHeight="true" outlineLevel="0" collapsed="false">
      <c r="A499" s="13"/>
      <c r="B499" s="10"/>
      <c r="C499" s="10"/>
      <c r="D499" s="14"/>
      <c r="E499" s="11"/>
      <c r="F499" s="15" t="str">
        <f aca="false">IF($B499="","",IF(AND($D499="",$E499=""),"",IF(OR($D499="",$E499=""),0,ROUND($D499*$E499,0))))</f>
        <v/>
      </c>
      <c r="G499" s="13"/>
      <c r="H499" s="11"/>
      <c r="I499" s="15" t="str">
        <f aca="false">IF($F499="","",$F499-IF($H499="",0,$H499))</f>
        <v/>
      </c>
      <c r="J499" s="16" t="str">
        <f aca="true">IF(OR($A499="",$I499="",$I499&lt;=0),"",TODAY()-$A499)</f>
        <v/>
      </c>
      <c r="K499" s="10"/>
    </row>
    <row r="500" customFormat="false" ht="15" hidden="false" customHeight="true" outlineLevel="0" collapsed="false">
      <c r="A500" s="13"/>
      <c r="B500" s="10"/>
      <c r="C500" s="10"/>
      <c r="D500" s="14"/>
      <c r="E500" s="11"/>
      <c r="F500" s="15" t="str">
        <f aca="false">IF($B500="","",IF(AND($D500="",$E500=""),"",IF(OR($D500="",$E500=""),0,ROUND($D500*$E500,0))))</f>
        <v/>
      </c>
      <c r="G500" s="13"/>
      <c r="H500" s="11"/>
      <c r="I500" s="15" t="str">
        <f aca="false">IF($F500="","",$F500-IF($H500="",0,$H500))</f>
        <v/>
      </c>
      <c r="J500" s="16" t="str">
        <f aca="true">IF(OR($A500="",$I500="",$I500&lt;=0),"",TODAY()-$A500)</f>
        <v/>
      </c>
      <c r="K500" s="10"/>
    </row>
    <row r="501" customFormat="false" ht="15" hidden="false" customHeight="true" outlineLevel="0" collapsed="false">
      <c r="A501" s="13"/>
      <c r="B501" s="10"/>
      <c r="C501" s="10"/>
      <c r="D501" s="14"/>
      <c r="E501" s="11"/>
      <c r="F501" s="15" t="str">
        <f aca="false">IF($B501="","",IF(AND($D501="",$E501=""),"",IF(OR($D501="",$E501=""),0,ROUND($D501*$E501,0))))</f>
        <v/>
      </c>
      <c r="G501" s="13"/>
      <c r="H501" s="11"/>
      <c r="I501" s="15" t="str">
        <f aca="false">IF($F501="","",$F501-IF($H501="",0,$H501))</f>
        <v/>
      </c>
      <c r="J501" s="16" t="str">
        <f aca="true">IF(OR($A501="",$I501="",$I501&lt;=0),"",TODAY()-$A501)</f>
        <v/>
      </c>
      <c r="K501" s="10"/>
    </row>
    <row r="502" customFormat="false" ht="15" hidden="false" customHeight="true" outlineLevel="0" collapsed="false">
      <c r="A502" s="13"/>
      <c r="B502" s="10"/>
      <c r="C502" s="10"/>
      <c r="D502" s="14"/>
      <c r="E502" s="11"/>
      <c r="F502" s="15" t="str">
        <f aca="false">IF($B502="","",IF(AND($D502="",$E502=""),"",IF(OR($D502="",$E502=""),0,ROUND($D502*$E502,0))))</f>
        <v/>
      </c>
      <c r="G502" s="13"/>
      <c r="H502" s="11"/>
      <c r="I502" s="15" t="str">
        <f aca="false">IF($F502="","",$F502-IF($H502="",0,$H502))</f>
        <v/>
      </c>
      <c r="J502" s="16" t="str">
        <f aca="true">IF(OR($A502="",$I502="",$I502&lt;=0),"",TODAY()-$A502)</f>
        <v/>
      </c>
      <c r="K502" s="10"/>
    </row>
    <row r="503" customFormat="false" ht="15" hidden="false" customHeight="true" outlineLevel="0" collapsed="false">
      <c r="A503" s="13"/>
      <c r="B503" s="10"/>
      <c r="C503" s="10"/>
      <c r="D503" s="14"/>
      <c r="E503" s="11"/>
      <c r="F503" s="15" t="str">
        <f aca="false">IF($B503="","",IF(AND($D503="",$E503=""),"",IF(OR($D503="",$E503=""),0,ROUND($D503*$E503,0))))</f>
        <v/>
      </c>
      <c r="G503" s="13"/>
      <c r="H503" s="11"/>
      <c r="I503" s="15" t="str">
        <f aca="false">IF($F503="","",$F503-IF($H503="",0,$H503))</f>
        <v/>
      </c>
      <c r="J503" s="16" t="str">
        <f aca="true">IF(OR($A503="",$I503="",$I503&lt;=0),"",TODAY()-$A503)</f>
        <v/>
      </c>
      <c r="K503" s="10"/>
    </row>
    <row r="504" customFormat="false" ht="15" hidden="false" customHeight="true" outlineLevel="0" collapsed="false">
      <c r="A504" s="13"/>
      <c r="B504" s="10"/>
      <c r="C504" s="10"/>
      <c r="D504" s="14"/>
      <c r="E504" s="11"/>
      <c r="F504" s="15" t="str">
        <f aca="false">IF($B504="","",IF(AND($D504="",$E504=""),"",IF(OR($D504="",$E504=""),0,ROUND($D504*$E504,0))))</f>
        <v/>
      </c>
      <c r="G504" s="13"/>
      <c r="H504" s="11"/>
      <c r="I504" s="15" t="str">
        <f aca="false">IF($F504="","",$F504-IF($H504="",0,$H504))</f>
        <v/>
      </c>
      <c r="J504" s="16" t="str">
        <f aca="true">IF(OR($A504="",$I504="",$I504&lt;=0),"",TODAY()-$A504)</f>
        <v/>
      </c>
      <c r="K504" s="10"/>
    </row>
    <row r="505" customFormat="false" ht="15" hidden="false" customHeight="true" outlineLevel="0" collapsed="false">
      <c r="A505" s="13"/>
      <c r="B505" s="10"/>
      <c r="C505" s="10"/>
      <c r="D505" s="14"/>
      <c r="E505" s="11"/>
      <c r="F505" s="15" t="str">
        <f aca="false">IF($B505="","",IF(AND($D505="",$E505=""),"",IF(OR($D505="",$E505=""),0,ROUND($D505*$E505,0))))</f>
        <v/>
      </c>
      <c r="G505" s="13"/>
      <c r="H505" s="11"/>
      <c r="I505" s="15" t="str">
        <f aca="false">IF($F505="","",$F505-IF($H505="",0,$H505))</f>
        <v/>
      </c>
      <c r="J505" s="16" t="str">
        <f aca="true">IF(OR($A505="",$I505="",$I505&lt;=0),"",TODAY()-$A505)</f>
        <v/>
      </c>
      <c r="K505" s="10"/>
    </row>
    <row r="506" customFormat="false" ht="15" hidden="false" customHeight="true" outlineLevel="0" collapsed="false">
      <c r="A506" s="13"/>
      <c r="B506" s="10"/>
      <c r="C506" s="10"/>
      <c r="D506" s="14"/>
      <c r="E506" s="11"/>
      <c r="F506" s="15" t="str">
        <f aca="false">IF($B506="","",IF(AND($D506="",$E506=""),"",IF(OR($D506="",$E506=""),0,ROUND($D506*$E506,0))))</f>
        <v/>
      </c>
      <c r="G506" s="13"/>
      <c r="H506" s="11"/>
      <c r="I506" s="15" t="str">
        <f aca="false">IF($F506="","",$F506-IF($H506="",0,$H506))</f>
        <v/>
      </c>
      <c r="J506" s="16" t="str">
        <f aca="true">IF(OR($A506="",$I506="",$I506&lt;=0),"",TODAY()-$A506)</f>
        <v/>
      </c>
      <c r="K506" s="10"/>
    </row>
    <row r="507" customFormat="false" ht="15" hidden="false" customHeight="true" outlineLevel="0" collapsed="false">
      <c r="A507" s="13"/>
      <c r="B507" s="10"/>
      <c r="C507" s="10"/>
      <c r="D507" s="14"/>
      <c r="E507" s="11"/>
      <c r="F507" s="15" t="str">
        <f aca="false">IF($B507="","",IF(AND($D507="",$E507=""),"",IF(OR($D507="",$E507=""),0,ROUND($D507*$E507,0))))</f>
        <v/>
      </c>
      <c r="G507" s="13"/>
      <c r="H507" s="11"/>
      <c r="I507" s="15" t="str">
        <f aca="false">IF($F507="","",$F507-IF($H507="",0,$H507))</f>
        <v/>
      </c>
      <c r="J507" s="16" t="str">
        <f aca="true">IF(OR($A507="",$I507="",$I507&lt;=0),"",TODAY()-$A507)</f>
        <v/>
      </c>
      <c r="K507" s="10"/>
    </row>
    <row r="508" customFormat="false" ht="15" hidden="false" customHeight="true" outlineLevel="0" collapsed="false">
      <c r="A508" s="13"/>
      <c r="B508" s="10"/>
      <c r="C508" s="10"/>
      <c r="D508" s="14"/>
      <c r="E508" s="11"/>
      <c r="F508" s="15" t="str">
        <f aca="false">IF($B508="","",IF(AND($D508="",$E508=""),"",IF(OR($D508="",$E508=""),0,ROUND($D508*$E508,0))))</f>
        <v/>
      </c>
      <c r="G508" s="13"/>
      <c r="H508" s="11"/>
      <c r="I508" s="15" t="str">
        <f aca="false">IF($F508="","",$F508-IF($H508="",0,$H508))</f>
        <v/>
      </c>
      <c r="J508" s="16" t="str">
        <f aca="true">IF(OR($A508="",$I508="",$I508&lt;=0),"",TODAY()-$A508)</f>
        <v/>
      </c>
      <c r="K508" s="10"/>
    </row>
    <row r="509" customFormat="false" ht="15" hidden="false" customHeight="true" outlineLevel="0" collapsed="false">
      <c r="A509" s="13"/>
      <c r="B509" s="10"/>
      <c r="C509" s="10"/>
      <c r="D509" s="14"/>
      <c r="E509" s="11"/>
      <c r="F509" s="15" t="str">
        <f aca="false">IF($B509="","",IF(AND($D509="",$E509=""),"",IF(OR($D509="",$E509=""),0,ROUND($D509*$E509,0))))</f>
        <v/>
      </c>
      <c r="G509" s="13"/>
      <c r="H509" s="11"/>
      <c r="I509" s="15" t="str">
        <f aca="false">IF($F509="","",$F509-IF($H509="",0,$H509))</f>
        <v/>
      </c>
      <c r="J509" s="16" t="str">
        <f aca="true">IF(OR($A509="",$I509="",$I509&lt;=0),"",TODAY()-$A509)</f>
        <v/>
      </c>
      <c r="K509" s="10"/>
    </row>
    <row r="510" customFormat="false" ht="15" hidden="false" customHeight="true" outlineLevel="0" collapsed="false">
      <c r="A510" s="13"/>
      <c r="B510" s="10"/>
      <c r="C510" s="10"/>
      <c r="D510" s="14"/>
      <c r="E510" s="11"/>
      <c r="F510" s="15" t="str">
        <f aca="false">IF($B510="","",IF(AND($D510="",$E510=""),"",IF(OR($D510="",$E510=""),0,ROUND($D510*$E510,0))))</f>
        <v/>
      </c>
      <c r="G510" s="13"/>
      <c r="H510" s="11"/>
      <c r="I510" s="15" t="str">
        <f aca="false">IF($F510="","",$F510-IF($H510="",0,$H510))</f>
        <v/>
      </c>
      <c r="J510" s="16" t="str">
        <f aca="true">IF(OR($A510="",$I510="",$I510&lt;=0),"",TODAY()-$A510)</f>
        <v/>
      </c>
      <c r="K510" s="10"/>
    </row>
    <row r="511" customFormat="false" ht="15" hidden="false" customHeight="true" outlineLevel="0" collapsed="false">
      <c r="A511" s="13"/>
      <c r="B511" s="10"/>
      <c r="C511" s="10"/>
      <c r="D511" s="14"/>
      <c r="E511" s="11"/>
      <c r="F511" s="15" t="str">
        <f aca="false">IF($B511="","",IF(AND($D511="",$E511=""),"",IF(OR($D511="",$E511=""),0,ROUND($D511*$E511,0))))</f>
        <v/>
      </c>
      <c r="G511" s="13"/>
      <c r="H511" s="11"/>
      <c r="I511" s="15" t="str">
        <f aca="false">IF($F511="","",$F511-IF($H511="",0,$H511))</f>
        <v/>
      </c>
      <c r="J511" s="16" t="str">
        <f aca="true">IF(OR($A511="",$I511="",$I511&lt;=0),"",TODAY()-$A511)</f>
        <v/>
      </c>
      <c r="K511" s="10"/>
    </row>
    <row r="512" customFormat="false" ht="15" hidden="false" customHeight="true" outlineLevel="0" collapsed="false">
      <c r="A512" s="13"/>
      <c r="B512" s="10"/>
      <c r="C512" s="10"/>
      <c r="D512" s="14"/>
      <c r="E512" s="11"/>
      <c r="F512" s="15" t="str">
        <f aca="false">IF($B512="","",IF(AND($D512="",$E512=""),"",IF(OR($D512="",$E512=""),0,ROUND($D512*$E512,0))))</f>
        <v/>
      </c>
      <c r="G512" s="13"/>
      <c r="H512" s="11"/>
      <c r="I512" s="15" t="str">
        <f aca="false">IF($F512="","",$F512-IF($H512="",0,$H512))</f>
        <v/>
      </c>
      <c r="J512" s="16" t="str">
        <f aca="true">IF(OR($A512="",$I512="",$I512&lt;=0),"",TODAY()-$A512)</f>
        <v/>
      </c>
      <c r="K512" s="10"/>
    </row>
    <row r="513" customFormat="false" ht="15" hidden="false" customHeight="true" outlineLevel="0" collapsed="false">
      <c r="A513" s="13"/>
      <c r="B513" s="10"/>
      <c r="C513" s="10"/>
      <c r="D513" s="14"/>
      <c r="E513" s="11"/>
      <c r="F513" s="15" t="str">
        <f aca="false">IF($B513="","",IF(AND($D513="",$E513=""),"",IF(OR($D513="",$E513=""),0,ROUND($D513*$E513,0))))</f>
        <v/>
      </c>
      <c r="G513" s="13"/>
      <c r="H513" s="11"/>
      <c r="I513" s="15" t="str">
        <f aca="false">IF($F513="","",$F513-IF($H513="",0,$H513))</f>
        <v/>
      </c>
      <c r="J513" s="16" t="str">
        <f aca="true">IF(OR($A513="",$I513="",$I513&lt;=0),"",TODAY()-$A513)</f>
        <v/>
      </c>
      <c r="K513" s="10"/>
    </row>
    <row r="514" customFormat="false" ht="15" hidden="false" customHeight="true" outlineLevel="0" collapsed="false">
      <c r="A514" s="13"/>
      <c r="B514" s="10"/>
      <c r="C514" s="10"/>
      <c r="D514" s="14"/>
      <c r="E514" s="11"/>
      <c r="F514" s="15" t="str">
        <f aca="false">IF($B514="","",IF(AND($D514="",$E514=""),"",IF(OR($D514="",$E514=""),0,ROUND($D514*$E514,0))))</f>
        <v/>
      </c>
      <c r="G514" s="13"/>
      <c r="H514" s="11"/>
      <c r="I514" s="15" t="str">
        <f aca="false">IF($F514="","",$F514-IF($H514="",0,$H514))</f>
        <v/>
      </c>
      <c r="J514" s="16" t="str">
        <f aca="true">IF(OR($A514="",$I514="",$I514&lt;=0),"",TODAY()-$A514)</f>
        <v/>
      </c>
      <c r="K514" s="10"/>
    </row>
    <row r="515" customFormat="false" ht="15" hidden="false" customHeight="true" outlineLevel="0" collapsed="false">
      <c r="A515" s="13"/>
      <c r="B515" s="10"/>
      <c r="C515" s="10"/>
      <c r="D515" s="14"/>
      <c r="E515" s="11"/>
      <c r="F515" s="15" t="str">
        <f aca="false">IF($B515="","",IF(AND($D515="",$E515=""),"",IF(OR($D515="",$E515=""),0,ROUND($D515*$E515,0))))</f>
        <v/>
      </c>
      <c r="G515" s="13"/>
      <c r="H515" s="11"/>
      <c r="I515" s="15" t="str">
        <f aca="false">IF($F515="","",$F515-IF($H515="",0,$H515))</f>
        <v/>
      </c>
      <c r="J515" s="16" t="str">
        <f aca="true">IF(OR($A515="",$I515="",$I515&lt;=0),"",TODAY()-$A515)</f>
        <v/>
      </c>
      <c r="K515" s="10"/>
    </row>
    <row r="516" customFormat="false" ht="15" hidden="false" customHeight="true" outlineLevel="0" collapsed="false">
      <c r="A516" s="13"/>
      <c r="B516" s="10"/>
      <c r="C516" s="10"/>
      <c r="D516" s="14"/>
      <c r="E516" s="11"/>
      <c r="F516" s="15" t="str">
        <f aca="false">IF($B516="","",IF(AND($D516="",$E516=""),"",IF(OR($D516="",$E516=""),0,ROUND($D516*$E516,0))))</f>
        <v/>
      </c>
      <c r="G516" s="13"/>
      <c r="H516" s="11"/>
      <c r="I516" s="15" t="str">
        <f aca="false">IF($F516="","",$F516-IF($H516="",0,$H516))</f>
        <v/>
      </c>
      <c r="J516" s="16" t="str">
        <f aca="true">IF(OR($A516="",$I516="",$I516&lt;=0),"",TODAY()-$A516)</f>
        <v/>
      </c>
      <c r="K516" s="10"/>
    </row>
    <row r="517" customFormat="false" ht="15" hidden="false" customHeight="true" outlineLevel="0" collapsed="false">
      <c r="A517" s="13"/>
      <c r="B517" s="10"/>
      <c r="C517" s="10"/>
      <c r="D517" s="14"/>
      <c r="E517" s="11"/>
      <c r="F517" s="15" t="str">
        <f aca="false">IF($B517="","",IF(AND($D517="",$E517=""),"",IF(OR($D517="",$E517=""),0,ROUND($D517*$E517,0))))</f>
        <v/>
      </c>
      <c r="G517" s="13"/>
      <c r="H517" s="11"/>
      <c r="I517" s="15" t="str">
        <f aca="false">IF($F517="","",$F517-IF($H517="",0,$H517))</f>
        <v/>
      </c>
      <c r="J517" s="16" t="str">
        <f aca="true">IF(OR($A517="",$I517="",$I517&lt;=0),"",TODAY()-$A517)</f>
        <v/>
      </c>
      <c r="K517" s="10"/>
    </row>
    <row r="518" customFormat="false" ht="15" hidden="false" customHeight="true" outlineLevel="0" collapsed="false">
      <c r="A518" s="13"/>
      <c r="B518" s="10"/>
      <c r="C518" s="10"/>
      <c r="D518" s="14"/>
      <c r="E518" s="11"/>
      <c r="F518" s="15" t="str">
        <f aca="false">IF($B518="","",IF(AND($D518="",$E518=""),"",IF(OR($D518="",$E518=""),0,ROUND($D518*$E518,0))))</f>
        <v/>
      </c>
      <c r="G518" s="13"/>
      <c r="H518" s="11"/>
      <c r="I518" s="15" t="str">
        <f aca="false">IF($F518="","",$F518-IF($H518="",0,$H518))</f>
        <v/>
      </c>
      <c r="J518" s="16" t="str">
        <f aca="true">IF(OR($A518="",$I518="",$I518&lt;=0),"",TODAY()-$A518)</f>
        <v/>
      </c>
      <c r="K518" s="10"/>
    </row>
    <row r="519" customFormat="false" ht="15" hidden="false" customHeight="true" outlineLevel="0" collapsed="false">
      <c r="A519" s="13"/>
      <c r="B519" s="10"/>
      <c r="C519" s="10"/>
      <c r="D519" s="14"/>
      <c r="E519" s="11"/>
      <c r="F519" s="15" t="str">
        <f aca="false">IF($B519="","",IF(AND($D519="",$E519=""),"",IF(OR($D519="",$E519=""),0,ROUND($D519*$E519,0))))</f>
        <v/>
      </c>
      <c r="G519" s="13"/>
      <c r="H519" s="11"/>
      <c r="I519" s="15" t="str">
        <f aca="false">IF($F519="","",$F519-IF($H519="",0,$H519))</f>
        <v/>
      </c>
      <c r="J519" s="16" t="str">
        <f aca="true">IF(OR($A519="",$I519="",$I519&lt;=0),"",TODAY()-$A519)</f>
        <v/>
      </c>
      <c r="K519" s="10"/>
    </row>
    <row r="520" customFormat="false" ht="15" hidden="false" customHeight="true" outlineLevel="0" collapsed="false">
      <c r="A520" s="13"/>
      <c r="B520" s="10"/>
      <c r="C520" s="10"/>
      <c r="D520" s="14"/>
      <c r="E520" s="11"/>
      <c r="F520" s="15" t="str">
        <f aca="false">IF($B520="","",IF(AND($D520="",$E520=""),"",IF(OR($D520="",$E520=""),0,ROUND($D520*$E520,0))))</f>
        <v/>
      </c>
      <c r="G520" s="13"/>
      <c r="H520" s="11"/>
      <c r="I520" s="15" t="str">
        <f aca="false">IF($F520="","",$F520-IF($H520="",0,$H520))</f>
        <v/>
      </c>
      <c r="J520" s="16" t="str">
        <f aca="true">IF(OR($A520="",$I520="",$I520&lt;=0),"",TODAY()-$A520)</f>
        <v/>
      </c>
      <c r="K520" s="10"/>
    </row>
    <row r="521" customFormat="false" ht="15" hidden="false" customHeight="true" outlineLevel="0" collapsed="false">
      <c r="A521" s="13"/>
      <c r="B521" s="10"/>
      <c r="C521" s="10"/>
      <c r="D521" s="14"/>
      <c r="E521" s="11"/>
      <c r="F521" s="15" t="str">
        <f aca="false">IF($B521="","",IF(AND($D521="",$E521=""),"",IF(OR($D521="",$E521=""),0,ROUND($D521*$E521,0))))</f>
        <v/>
      </c>
      <c r="G521" s="13"/>
      <c r="H521" s="11"/>
      <c r="I521" s="15" t="str">
        <f aca="false">IF($F521="","",$F521-IF($H521="",0,$H521))</f>
        <v/>
      </c>
      <c r="J521" s="16" t="str">
        <f aca="true">IF(OR($A521="",$I521="",$I521&lt;=0),"",TODAY()-$A521)</f>
        <v/>
      </c>
      <c r="K521" s="10"/>
    </row>
    <row r="522" customFormat="false" ht="15" hidden="false" customHeight="true" outlineLevel="0" collapsed="false">
      <c r="A522" s="13"/>
      <c r="B522" s="10"/>
      <c r="C522" s="10"/>
      <c r="D522" s="14"/>
      <c r="E522" s="11"/>
      <c r="F522" s="15" t="str">
        <f aca="false">IF($B522="","",IF(AND($D522="",$E522=""),"",IF(OR($D522="",$E522=""),0,ROUND($D522*$E522,0))))</f>
        <v/>
      </c>
      <c r="G522" s="13"/>
      <c r="H522" s="11"/>
      <c r="I522" s="15" t="str">
        <f aca="false">IF($F522="","",$F522-IF($H522="",0,$H522))</f>
        <v/>
      </c>
      <c r="J522" s="16" t="str">
        <f aca="true">IF(OR($A522="",$I522="",$I522&lt;=0),"",TODAY()-$A522)</f>
        <v/>
      </c>
      <c r="K522" s="10"/>
    </row>
    <row r="523" customFormat="false" ht="15" hidden="false" customHeight="true" outlineLevel="0" collapsed="false">
      <c r="A523" s="13"/>
      <c r="B523" s="10"/>
      <c r="C523" s="10"/>
      <c r="D523" s="14"/>
      <c r="E523" s="11"/>
      <c r="F523" s="15" t="str">
        <f aca="false">IF($B523="","",IF(AND($D523="",$E523=""),"",IF(OR($D523="",$E523=""),0,ROUND($D523*$E523,0))))</f>
        <v/>
      </c>
      <c r="G523" s="13"/>
      <c r="H523" s="11"/>
      <c r="I523" s="15" t="str">
        <f aca="false">IF($F523="","",$F523-IF($H523="",0,$H523))</f>
        <v/>
      </c>
      <c r="J523" s="16" t="str">
        <f aca="true">IF(OR($A523="",$I523="",$I523&lt;=0),"",TODAY()-$A523)</f>
        <v/>
      </c>
      <c r="K523" s="10"/>
    </row>
    <row r="524" customFormat="false" ht="15" hidden="false" customHeight="true" outlineLevel="0" collapsed="false">
      <c r="A524" s="13"/>
      <c r="B524" s="10"/>
      <c r="C524" s="10"/>
      <c r="D524" s="14"/>
      <c r="E524" s="11"/>
      <c r="F524" s="15" t="str">
        <f aca="false">IF($B524="","",IF(AND($D524="",$E524=""),"",IF(OR($D524="",$E524=""),0,ROUND($D524*$E524,0))))</f>
        <v/>
      </c>
      <c r="G524" s="13"/>
      <c r="H524" s="11"/>
      <c r="I524" s="15" t="str">
        <f aca="false">IF($F524="","",$F524-IF($H524="",0,$H524))</f>
        <v/>
      </c>
      <c r="J524" s="16" t="str">
        <f aca="true">IF(OR($A524="",$I524="",$I524&lt;=0),"",TODAY()-$A524)</f>
        <v/>
      </c>
      <c r="K524" s="10"/>
    </row>
    <row r="525" customFormat="false" ht="15" hidden="false" customHeight="true" outlineLevel="0" collapsed="false">
      <c r="A525" s="13"/>
      <c r="B525" s="10"/>
      <c r="C525" s="10"/>
      <c r="D525" s="14"/>
      <c r="E525" s="11"/>
      <c r="F525" s="15" t="str">
        <f aca="false">IF($B525="","",IF(AND($D525="",$E525=""),"",IF(OR($D525="",$E525=""),0,ROUND($D525*$E525,0))))</f>
        <v/>
      </c>
      <c r="G525" s="13"/>
      <c r="H525" s="11"/>
      <c r="I525" s="15" t="str">
        <f aca="false">IF($F525="","",$F525-IF($H525="",0,$H525))</f>
        <v/>
      </c>
      <c r="J525" s="16" t="str">
        <f aca="true">IF(OR($A525="",$I525="",$I525&lt;=0),"",TODAY()-$A525)</f>
        <v/>
      </c>
      <c r="K525" s="10"/>
    </row>
    <row r="526" customFormat="false" ht="15" hidden="false" customHeight="true" outlineLevel="0" collapsed="false">
      <c r="A526" s="13"/>
      <c r="B526" s="10"/>
      <c r="C526" s="10"/>
      <c r="D526" s="14"/>
      <c r="E526" s="11"/>
      <c r="F526" s="15" t="str">
        <f aca="false">IF($B526="","",IF(AND($D526="",$E526=""),"",IF(OR($D526="",$E526=""),0,ROUND($D526*$E526,0))))</f>
        <v/>
      </c>
      <c r="G526" s="13"/>
      <c r="H526" s="11"/>
      <c r="I526" s="15" t="str">
        <f aca="false">IF($F526="","",$F526-IF($H526="",0,$H526))</f>
        <v/>
      </c>
      <c r="J526" s="16" t="str">
        <f aca="true">IF(OR($A526="",$I526="",$I526&lt;=0),"",TODAY()-$A526)</f>
        <v/>
      </c>
      <c r="K526" s="10"/>
    </row>
    <row r="527" customFormat="false" ht="15" hidden="false" customHeight="true" outlineLevel="0" collapsed="false">
      <c r="A527" s="13"/>
      <c r="B527" s="10"/>
      <c r="C527" s="10"/>
      <c r="D527" s="14"/>
      <c r="E527" s="11"/>
      <c r="F527" s="15" t="str">
        <f aca="false">IF($B527="","",IF(AND($D527="",$E527=""),"",IF(OR($D527="",$E527=""),0,ROUND($D527*$E527,0))))</f>
        <v/>
      </c>
      <c r="G527" s="13"/>
      <c r="H527" s="11"/>
      <c r="I527" s="15" t="str">
        <f aca="false">IF($F527="","",$F527-IF($H527="",0,$H527))</f>
        <v/>
      </c>
      <c r="J527" s="16" t="str">
        <f aca="true">IF(OR($A527="",$I527="",$I527&lt;=0),"",TODAY()-$A527)</f>
        <v/>
      </c>
      <c r="K527" s="10"/>
    </row>
    <row r="528" customFormat="false" ht="15" hidden="false" customHeight="true" outlineLevel="0" collapsed="false">
      <c r="A528" s="13"/>
      <c r="B528" s="10"/>
      <c r="C528" s="10"/>
      <c r="D528" s="14"/>
      <c r="E528" s="11"/>
      <c r="F528" s="15" t="str">
        <f aca="false">IF($B528="","",IF(AND($D528="",$E528=""),"",IF(OR($D528="",$E528=""),0,ROUND($D528*$E528,0))))</f>
        <v/>
      </c>
      <c r="G528" s="13"/>
      <c r="H528" s="11"/>
      <c r="I528" s="15" t="str">
        <f aca="false">IF($F528="","",$F528-IF($H528="",0,$H528))</f>
        <v/>
      </c>
      <c r="J528" s="16" t="str">
        <f aca="true">IF(OR($A528="",$I528="",$I528&lt;=0),"",TODAY()-$A528)</f>
        <v/>
      </c>
      <c r="K528" s="10"/>
    </row>
    <row r="529" customFormat="false" ht="15" hidden="false" customHeight="true" outlineLevel="0" collapsed="false">
      <c r="A529" s="13"/>
      <c r="B529" s="10"/>
      <c r="C529" s="10"/>
      <c r="D529" s="14"/>
      <c r="E529" s="11"/>
      <c r="F529" s="15" t="str">
        <f aca="false">IF($B529="","",IF(AND($D529="",$E529=""),"",IF(OR($D529="",$E529=""),0,ROUND($D529*$E529,0))))</f>
        <v/>
      </c>
      <c r="G529" s="13"/>
      <c r="H529" s="11"/>
      <c r="I529" s="15" t="str">
        <f aca="false">IF($F529="","",$F529-IF($H529="",0,$H529))</f>
        <v/>
      </c>
      <c r="J529" s="16" t="str">
        <f aca="true">IF(OR($A529="",$I529="",$I529&lt;=0),"",TODAY()-$A529)</f>
        <v/>
      </c>
      <c r="K529" s="10"/>
    </row>
    <row r="530" customFormat="false" ht="15" hidden="false" customHeight="true" outlineLevel="0" collapsed="false">
      <c r="A530" s="13"/>
      <c r="B530" s="10"/>
      <c r="C530" s="10"/>
      <c r="D530" s="14"/>
      <c r="E530" s="11"/>
      <c r="F530" s="15" t="str">
        <f aca="false">IF($B530="","",IF(AND($D530="",$E530=""),"",IF(OR($D530="",$E530=""),0,ROUND($D530*$E530,0))))</f>
        <v/>
      </c>
      <c r="G530" s="13"/>
      <c r="H530" s="11"/>
      <c r="I530" s="15" t="str">
        <f aca="false">IF($F530="","",$F530-IF($H530="",0,$H530))</f>
        <v/>
      </c>
      <c r="J530" s="16" t="str">
        <f aca="true">IF(OR($A530="",$I530="",$I530&lt;=0),"",TODAY()-$A530)</f>
        <v/>
      </c>
      <c r="K530" s="10"/>
    </row>
    <row r="531" customFormat="false" ht="15" hidden="false" customHeight="true" outlineLevel="0" collapsed="false">
      <c r="A531" s="13"/>
      <c r="B531" s="10"/>
      <c r="C531" s="10"/>
      <c r="D531" s="14"/>
      <c r="E531" s="11"/>
      <c r="F531" s="15" t="str">
        <f aca="false">IF($B531="","",IF(AND($D531="",$E531=""),"",IF(OR($D531="",$E531=""),0,ROUND($D531*$E531,0))))</f>
        <v/>
      </c>
      <c r="G531" s="13"/>
      <c r="H531" s="11"/>
      <c r="I531" s="15" t="str">
        <f aca="false">IF($F531="","",$F531-IF($H531="",0,$H531))</f>
        <v/>
      </c>
      <c r="J531" s="16" t="str">
        <f aca="true">IF(OR($A531="",$I531="",$I531&lt;=0),"",TODAY()-$A531)</f>
        <v/>
      </c>
      <c r="K531" s="10"/>
    </row>
    <row r="532" customFormat="false" ht="15" hidden="false" customHeight="true" outlineLevel="0" collapsed="false">
      <c r="A532" s="13"/>
      <c r="B532" s="10"/>
      <c r="C532" s="10"/>
      <c r="D532" s="14"/>
      <c r="E532" s="11"/>
      <c r="F532" s="15" t="str">
        <f aca="false">IF($B532="","",IF(AND($D532="",$E532=""),"",IF(OR($D532="",$E532=""),0,ROUND($D532*$E532,0))))</f>
        <v/>
      </c>
      <c r="G532" s="13"/>
      <c r="H532" s="11"/>
      <c r="I532" s="15" t="str">
        <f aca="false">IF($F532="","",$F532-IF($H532="",0,$H532))</f>
        <v/>
      </c>
      <c r="J532" s="16" t="str">
        <f aca="true">IF(OR($A532="",$I532="",$I532&lt;=0),"",TODAY()-$A532)</f>
        <v/>
      </c>
      <c r="K532" s="10"/>
    </row>
    <row r="533" customFormat="false" ht="15" hidden="false" customHeight="true" outlineLevel="0" collapsed="false">
      <c r="A533" s="13"/>
      <c r="B533" s="10"/>
      <c r="C533" s="10"/>
      <c r="D533" s="14"/>
      <c r="E533" s="11"/>
      <c r="F533" s="15" t="str">
        <f aca="false">IF($B533="","",IF(AND($D533="",$E533=""),"",IF(OR($D533="",$E533=""),0,ROUND($D533*$E533,0))))</f>
        <v/>
      </c>
      <c r="G533" s="13"/>
      <c r="H533" s="11"/>
      <c r="I533" s="15" t="str">
        <f aca="false">IF($F533="","",$F533-IF($H533="",0,$H533))</f>
        <v/>
      </c>
      <c r="J533" s="16" t="str">
        <f aca="true">IF(OR($A533="",$I533="",$I533&lt;=0),"",TODAY()-$A533)</f>
        <v/>
      </c>
      <c r="K533" s="10"/>
    </row>
    <row r="534" customFormat="false" ht="15" hidden="false" customHeight="true" outlineLevel="0" collapsed="false">
      <c r="A534" s="13"/>
      <c r="B534" s="10"/>
      <c r="C534" s="10"/>
      <c r="D534" s="14"/>
      <c r="E534" s="11"/>
      <c r="F534" s="15" t="str">
        <f aca="false">IF($B534="","",IF(AND($D534="",$E534=""),"",IF(OR($D534="",$E534=""),0,ROUND($D534*$E534,0))))</f>
        <v/>
      </c>
      <c r="G534" s="13"/>
      <c r="H534" s="11"/>
      <c r="I534" s="15" t="str">
        <f aca="false">IF($F534="","",$F534-IF($H534="",0,$H534))</f>
        <v/>
      </c>
      <c r="J534" s="16" t="str">
        <f aca="true">IF(OR($A534="",$I534="",$I534&lt;=0),"",TODAY()-$A534)</f>
        <v/>
      </c>
      <c r="K534" s="10"/>
    </row>
    <row r="535" customFormat="false" ht="15" hidden="false" customHeight="true" outlineLevel="0" collapsed="false">
      <c r="A535" s="13"/>
      <c r="B535" s="10"/>
      <c r="C535" s="10"/>
      <c r="D535" s="14"/>
      <c r="E535" s="11"/>
      <c r="F535" s="15" t="str">
        <f aca="false">IF($B535="","",IF(AND($D535="",$E535=""),"",IF(OR($D535="",$E535=""),0,ROUND($D535*$E535,0))))</f>
        <v/>
      </c>
      <c r="G535" s="13"/>
      <c r="H535" s="11"/>
      <c r="I535" s="15" t="str">
        <f aca="false">IF($F535="","",$F535-IF($H535="",0,$H535))</f>
        <v/>
      </c>
      <c r="J535" s="16" t="str">
        <f aca="true">IF(OR($A535="",$I535="",$I535&lt;=0),"",TODAY()-$A535)</f>
        <v/>
      </c>
      <c r="K535" s="10"/>
    </row>
    <row r="536" customFormat="false" ht="15" hidden="false" customHeight="true" outlineLevel="0" collapsed="false">
      <c r="A536" s="13"/>
      <c r="B536" s="10"/>
      <c r="C536" s="10"/>
      <c r="D536" s="14"/>
      <c r="E536" s="11"/>
      <c r="F536" s="15" t="str">
        <f aca="false">IF($B536="","",IF(AND($D536="",$E536=""),"",IF(OR($D536="",$E536=""),0,ROUND($D536*$E536,0))))</f>
        <v/>
      </c>
      <c r="G536" s="13"/>
      <c r="H536" s="11"/>
      <c r="I536" s="15" t="str">
        <f aca="false">IF($F536="","",$F536-IF($H536="",0,$H536))</f>
        <v/>
      </c>
      <c r="J536" s="16" t="str">
        <f aca="true">IF(OR($A536="",$I536="",$I536&lt;=0),"",TODAY()-$A536)</f>
        <v/>
      </c>
      <c r="K536" s="10"/>
    </row>
    <row r="537" customFormat="false" ht="15" hidden="false" customHeight="true" outlineLevel="0" collapsed="false">
      <c r="A537" s="13"/>
      <c r="B537" s="10"/>
      <c r="C537" s="10"/>
      <c r="D537" s="14"/>
      <c r="E537" s="11"/>
      <c r="F537" s="15" t="str">
        <f aca="false">IF($B537="","",IF(AND($D537="",$E537=""),"",IF(OR($D537="",$E537=""),0,ROUND($D537*$E537,0))))</f>
        <v/>
      </c>
      <c r="G537" s="13"/>
      <c r="H537" s="11"/>
      <c r="I537" s="15" t="str">
        <f aca="false">IF($F537="","",$F537-IF($H537="",0,$H537))</f>
        <v/>
      </c>
      <c r="J537" s="16" t="str">
        <f aca="true">IF(OR($A537="",$I537="",$I537&lt;=0),"",TODAY()-$A537)</f>
        <v/>
      </c>
      <c r="K537" s="10"/>
    </row>
    <row r="538" customFormat="false" ht="15" hidden="false" customHeight="true" outlineLevel="0" collapsed="false">
      <c r="A538" s="13"/>
      <c r="B538" s="10"/>
      <c r="C538" s="10"/>
      <c r="D538" s="14"/>
      <c r="E538" s="11"/>
      <c r="F538" s="15" t="str">
        <f aca="false">IF($B538="","",IF(AND($D538="",$E538=""),"",IF(OR($D538="",$E538=""),0,ROUND($D538*$E538,0))))</f>
        <v/>
      </c>
      <c r="G538" s="13"/>
      <c r="H538" s="11"/>
      <c r="I538" s="15" t="str">
        <f aca="false">IF($F538="","",$F538-IF($H538="",0,$H538))</f>
        <v/>
      </c>
      <c r="J538" s="16" t="str">
        <f aca="true">IF(OR($A538="",$I538="",$I538&lt;=0),"",TODAY()-$A538)</f>
        <v/>
      </c>
      <c r="K538" s="10"/>
    </row>
    <row r="539" customFormat="false" ht="15" hidden="false" customHeight="true" outlineLevel="0" collapsed="false">
      <c r="A539" s="13"/>
      <c r="B539" s="10"/>
      <c r="C539" s="10"/>
      <c r="D539" s="14"/>
      <c r="E539" s="11"/>
      <c r="F539" s="15" t="str">
        <f aca="false">IF($B539="","",IF(AND($D539="",$E539=""),"",IF(OR($D539="",$E539=""),0,ROUND($D539*$E539,0))))</f>
        <v/>
      </c>
      <c r="G539" s="13"/>
      <c r="H539" s="11"/>
      <c r="I539" s="15" t="str">
        <f aca="false">IF($F539="","",$F539-IF($H539="",0,$H539))</f>
        <v/>
      </c>
      <c r="J539" s="16" t="str">
        <f aca="true">IF(OR($A539="",$I539="",$I539&lt;=0),"",TODAY()-$A539)</f>
        <v/>
      </c>
      <c r="K539" s="10"/>
    </row>
    <row r="540" customFormat="false" ht="15" hidden="false" customHeight="true" outlineLevel="0" collapsed="false">
      <c r="A540" s="13"/>
      <c r="B540" s="10"/>
      <c r="C540" s="10"/>
      <c r="D540" s="14"/>
      <c r="E540" s="11"/>
      <c r="F540" s="15" t="str">
        <f aca="false">IF($B540="","",IF(AND($D540="",$E540=""),"",IF(OR($D540="",$E540=""),0,ROUND($D540*$E540,0))))</f>
        <v/>
      </c>
      <c r="G540" s="13"/>
      <c r="H540" s="11"/>
      <c r="I540" s="15" t="str">
        <f aca="false">IF($F540="","",$F540-IF($H540="",0,$H540))</f>
        <v/>
      </c>
      <c r="J540" s="16" t="str">
        <f aca="true">IF(OR($A540="",$I540="",$I540&lt;=0),"",TODAY()-$A540)</f>
        <v/>
      </c>
      <c r="K540" s="10"/>
    </row>
    <row r="541" customFormat="false" ht="15" hidden="false" customHeight="true" outlineLevel="0" collapsed="false">
      <c r="A541" s="13"/>
      <c r="B541" s="10"/>
      <c r="C541" s="10"/>
      <c r="D541" s="14"/>
      <c r="E541" s="11"/>
      <c r="F541" s="15" t="str">
        <f aca="false">IF($B541="","",IF(AND($D541="",$E541=""),"",IF(OR($D541="",$E541=""),0,ROUND($D541*$E541,0))))</f>
        <v/>
      </c>
      <c r="G541" s="13"/>
      <c r="H541" s="11"/>
      <c r="I541" s="15" t="str">
        <f aca="false">IF($F541="","",$F541-IF($H541="",0,$H541))</f>
        <v/>
      </c>
      <c r="J541" s="16" t="str">
        <f aca="true">IF(OR($A541="",$I541="",$I541&lt;=0),"",TODAY()-$A541)</f>
        <v/>
      </c>
      <c r="K541" s="10"/>
    </row>
    <row r="542" customFormat="false" ht="15" hidden="false" customHeight="true" outlineLevel="0" collapsed="false">
      <c r="A542" s="13"/>
      <c r="B542" s="10"/>
      <c r="C542" s="10"/>
      <c r="D542" s="14"/>
      <c r="E542" s="11"/>
      <c r="F542" s="15" t="str">
        <f aca="false">IF($B542="","",IF(AND($D542="",$E542=""),"",IF(OR($D542="",$E542=""),0,ROUND($D542*$E542,0))))</f>
        <v/>
      </c>
      <c r="G542" s="13"/>
      <c r="H542" s="11"/>
      <c r="I542" s="15" t="str">
        <f aca="false">IF($F542="","",$F542-IF($H542="",0,$H542))</f>
        <v/>
      </c>
      <c r="J542" s="16" t="str">
        <f aca="true">IF(OR($A542="",$I542="",$I542&lt;=0),"",TODAY()-$A542)</f>
        <v/>
      </c>
      <c r="K542" s="10"/>
    </row>
    <row r="543" customFormat="false" ht="15" hidden="false" customHeight="true" outlineLevel="0" collapsed="false">
      <c r="A543" s="13"/>
      <c r="B543" s="10"/>
      <c r="C543" s="10"/>
      <c r="D543" s="14"/>
      <c r="E543" s="11"/>
      <c r="F543" s="15" t="str">
        <f aca="false">IF($B543="","",IF(AND($D543="",$E543=""),"",IF(OR($D543="",$E543=""),0,ROUND($D543*$E543,0))))</f>
        <v/>
      </c>
      <c r="G543" s="13"/>
      <c r="H543" s="11"/>
      <c r="I543" s="15" t="str">
        <f aca="false">IF($F543="","",$F543-IF($H543="",0,$H543))</f>
        <v/>
      </c>
      <c r="J543" s="16" t="str">
        <f aca="true">IF(OR($A543="",$I543="",$I543&lt;=0),"",TODAY()-$A543)</f>
        <v/>
      </c>
      <c r="K543" s="10"/>
    </row>
    <row r="544" customFormat="false" ht="15" hidden="false" customHeight="true" outlineLevel="0" collapsed="false">
      <c r="A544" s="13"/>
      <c r="B544" s="10"/>
      <c r="C544" s="10"/>
      <c r="D544" s="14"/>
      <c r="E544" s="11"/>
      <c r="F544" s="15" t="str">
        <f aca="false">IF($B544="","",IF(AND($D544="",$E544=""),"",IF(OR($D544="",$E544=""),0,ROUND($D544*$E544,0))))</f>
        <v/>
      </c>
      <c r="G544" s="13"/>
      <c r="H544" s="11"/>
      <c r="I544" s="15" t="str">
        <f aca="false">IF($F544="","",$F544-IF($H544="",0,$H544))</f>
        <v/>
      </c>
      <c r="J544" s="16" t="str">
        <f aca="true">IF(OR($A544="",$I544="",$I544&lt;=0),"",TODAY()-$A544)</f>
        <v/>
      </c>
      <c r="K544" s="10"/>
    </row>
    <row r="545" customFormat="false" ht="15" hidden="false" customHeight="true" outlineLevel="0" collapsed="false">
      <c r="A545" s="13"/>
      <c r="B545" s="10"/>
      <c r="C545" s="10"/>
      <c r="D545" s="14"/>
      <c r="E545" s="11"/>
      <c r="F545" s="15" t="str">
        <f aca="false">IF($B545="","",IF(AND($D545="",$E545=""),"",IF(OR($D545="",$E545=""),0,ROUND($D545*$E545,0))))</f>
        <v/>
      </c>
      <c r="G545" s="13"/>
      <c r="H545" s="11"/>
      <c r="I545" s="15" t="str">
        <f aca="false">IF($F545="","",$F545-IF($H545="",0,$H545))</f>
        <v/>
      </c>
      <c r="J545" s="16" t="str">
        <f aca="true">IF(OR($A545="",$I545="",$I545&lt;=0),"",TODAY()-$A545)</f>
        <v/>
      </c>
      <c r="K545" s="10"/>
    </row>
    <row r="546" customFormat="false" ht="15" hidden="false" customHeight="true" outlineLevel="0" collapsed="false">
      <c r="A546" s="13"/>
      <c r="B546" s="10"/>
      <c r="C546" s="10"/>
      <c r="D546" s="14"/>
      <c r="E546" s="11"/>
      <c r="F546" s="15" t="str">
        <f aca="false">IF($B546="","",IF(AND($D546="",$E546=""),"",IF(OR($D546="",$E546=""),0,ROUND($D546*$E546,0))))</f>
        <v/>
      </c>
      <c r="G546" s="13"/>
      <c r="H546" s="11"/>
      <c r="I546" s="15" t="str">
        <f aca="false">IF($F546="","",$F546-IF($H546="",0,$H546))</f>
        <v/>
      </c>
      <c r="J546" s="16" t="str">
        <f aca="true">IF(OR($A546="",$I546="",$I546&lt;=0),"",TODAY()-$A546)</f>
        <v/>
      </c>
      <c r="K546" s="10"/>
    </row>
    <row r="547" customFormat="false" ht="15" hidden="false" customHeight="true" outlineLevel="0" collapsed="false">
      <c r="A547" s="13"/>
      <c r="B547" s="10"/>
      <c r="C547" s="10"/>
      <c r="D547" s="14"/>
      <c r="E547" s="11"/>
      <c r="F547" s="15" t="str">
        <f aca="false">IF($B547="","",IF(AND($D547="",$E547=""),"",IF(OR($D547="",$E547=""),0,ROUND($D547*$E547,0))))</f>
        <v/>
      </c>
      <c r="G547" s="13"/>
      <c r="H547" s="11"/>
      <c r="I547" s="15" t="str">
        <f aca="false">IF($F547="","",$F547-IF($H547="",0,$H547))</f>
        <v/>
      </c>
      <c r="J547" s="16" t="str">
        <f aca="true">IF(OR($A547="",$I547="",$I547&lt;=0),"",TODAY()-$A547)</f>
        <v/>
      </c>
      <c r="K547" s="10"/>
    </row>
    <row r="548" customFormat="false" ht="15" hidden="false" customHeight="true" outlineLevel="0" collapsed="false">
      <c r="A548" s="13"/>
      <c r="B548" s="10"/>
      <c r="C548" s="10"/>
      <c r="D548" s="14"/>
      <c r="E548" s="11"/>
      <c r="F548" s="15" t="str">
        <f aca="false">IF($B548="","",IF(AND($D548="",$E548=""),"",IF(OR($D548="",$E548=""),0,ROUND($D548*$E548,0))))</f>
        <v/>
      </c>
      <c r="G548" s="13"/>
      <c r="H548" s="11"/>
      <c r="I548" s="15" t="str">
        <f aca="false">IF($F548="","",$F548-IF($H548="",0,$H548))</f>
        <v/>
      </c>
      <c r="J548" s="16" t="str">
        <f aca="true">IF(OR($A548="",$I548="",$I548&lt;=0),"",TODAY()-$A548)</f>
        <v/>
      </c>
      <c r="K548" s="10"/>
    </row>
    <row r="549" customFormat="false" ht="15" hidden="false" customHeight="true" outlineLevel="0" collapsed="false">
      <c r="A549" s="13"/>
      <c r="B549" s="10"/>
      <c r="C549" s="10"/>
      <c r="D549" s="14"/>
      <c r="E549" s="11"/>
      <c r="F549" s="15" t="str">
        <f aca="false">IF($B549="","",IF(AND($D549="",$E549=""),"",IF(OR($D549="",$E549=""),0,ROUND($D549*$E549,0))))</f>
        <v/>
      </c>
      <c r="G549" s="13"/>
      <c r="H549" s="11"/>
      <c r="I549" s="15" t="str">
        <f aca="false">IF($F549="","",$F549-IF($H549="",0,$H549))</f>
        <v/>
      </c>
      <c r="J549" s="16" t="str">
        <f aca="true">IF(OR($A549="",$I549="",$I549&lt;=0),"",TODAY()-$A549)</f>
        <v/>
      </c>
      <c r="K549" s="10"/>
    </row>
    <row r="550" customFormat="false" ht="15" hidden="false" customHeight="true" outlineLevel="0" collapsed="false">
      <c r="A550" s="13"/>
      <c r="B550" s="10"/>
      <c r="C550" s="10"/>
      <c r="D550" s="14"/>
      <c r="E550" s="11"/>
      <c r="F550" s="15" t="str">
        <f aca="false">IF($B550="","",IF(AND($D550="",$E550=""),"",IF(OR($D550="",$E550=""),0,ROUND($D550*$E550,0))))</f>
        <v/>
      </c>
      <c r="G550" s="13"/>
      <c r="H550" s="11"/>
      <c r="I550" s="15" t="str">
        <f aca="false">IF($F550="","",$F550-IF($H550="",0,$H550))</f>
        <v/>
      </c>
      <c r="J550" s="16" t="str">
        <f aca="true">IF(OR($A550="",$I550="",$I550&lt;=0),"",TODAY()-$A550)</f>
        <v/>
      </c>
      <c r="K550" s="10"/>
    </row>
    <row r="551" customFormat="false" ht="15" hidden="false" customHeight="true" outlineLevel="0" collapsed="false">
      <c r="A551" s="13"/>
      <c r="B551" s="10"/>
      <c r="C551" s="10"/>
      <c r="D551" s="14"/>
      <c r="E551" s="11"/>
      <c r="F551" s="15" t="str">
        <f aca="false">IF($B551="","",IF(AND($D551="",$E551=""),"",IF(OR($D551="",$E551=""),0,ROUND($D551*$E551,0))))</f>
        <v/>
      </c>
      <c r="G551" s="13"/>
      <c r="H551" s="11"/>
      <c r="I551" s="15" t="str">
        <f aca="false">IF($F551="","",$F551-IF($H551="",0,$H551))</f>
        <v/>
      </c>
      <c r="J551" s="16" t="str">
        <f aca="true">IF(OR($A551="",$I551="",$I551&lt;=0),"",TODAY()-$A551)</f>
        <v/>
      </c>
      <c r="K551" s="10"/>
    </row>
    <row r="552" customFormat="false" ht="15" hidden="false" customHeight="true" outlineLevel="0" collapsed="false">
      <c r="A552" s="13"/>
      <c r="B552" s="10"/>
      <c r="C552" s="10"/>
      <c r="D552" s="14"/>
      <c r="E552" s="11"/>
      <c r="F552" s="15" t="str">
        <f aca="false">IF($B552="","",IF(AND($D552="",$E552=""),"",IF(OR($D552="",$E552=""),0,ROUND($D552*$E552,0))))</f>
        <v/>
      </c>
      <c r="G552" s="13"/>
      <c r="H552" s="11"/>
      <c r="I552" s="15" t="str">
        <f aca="false">IF($F552="","",$F552-IF($H552="",0,$H552))</f>
        <v/>
      </c>
      <c r="J552" s="16" t="str">
        <f aca="true">IF(OR($A552="",$I552="",$I552&lt;=0),"",TODAY()-$A552)</f>
        <v/>
      </c>
      <c r="K552" s="10"/>
    </row>
    <row r="553" customFormat="false" ht="15" hidden="false" customHeight="true" outlineLevel="0" collapsed="false">
      <c r="A553" s="13"/>
      <c r="B553" s="10"/>
      <c r="C553" s="10"/>
      <c r="D553" s="14"/>
      <c r="E553" s="11"/>
      <c r="F553" s="15" t="str">
        <f aca="false">IF($B553="","",IF(AND($D553="",$E553=""),"",IF(OR($D553="",$E553=""),0,ROUND($D553*$E553,0))))</f>
        <v/>
      </c>
      <c r="G553" s="13"/>
      <c r="H553" s="11"/>
      <c r="I553" s="15" t="str">
        <f aca="false">IF($F553="","",$F553-IF($H553="",0,$H553))</f>
        <v/>
      </c>
      <c r="J553" s="16" t="str">
        <f aca="true">IF(OR($A553="",$I553="",$I553&lt;=0),"",TODAY()-$A553)</f>
        <v/>
      </c>
      <c r="K553" s="10"/>
    </row>
    <row r="554" customFormat="false" ht="15" hidden="false" customHeight="true" outlineLevel="0" collapsed="false">
      <c r="A554" s="13"/>
      <c r="B554" s="10"/>
      <c r="C554" s="10"/>
      <c r="D554" s="14"/>
      <c r="E554" s="11"/>
      <c r="F554" s="15" t="str">
        <f aca="false">IF($B554="","",IF(AND($D554="",$E554=""),"",IF(OR($D554="",$E554=""),0,ROUND($D554*$E554,0))))</f>
        <v/>
      </c>
      <c r="G554" s="13"/>
      <c r="H554" s="11"/>
      <c r="I554" s="15" t="str">
        <f aca="false">IF($F554="","",$F554-IF($H554="",0,$H554))</f>
        <v/>
      </c>
      <c r="J554" s="16" t="str">
        <f aca="true">IF(OR($A554="",$I554="",$I554&lt;=0),"",TODAY()-$A554)</f>
        <v/>
      </c>
      <c r="K554" s="10"/>
    </row>
    <row r="555" customFormat="false" ht="15" hidden="false" customHeight="true" outlineLevel="0" collapsed="false">
      <c r="A555" s="13"/>
      <c r="B555" s="10"/>
      <c r="C555" s="10"/>
      <c r="D555" s="14"/>
      <c r="E555" s="11"/>
      <c r="F555" s="15" t="str">
        <f aca="false">IF($B555="","",IF(AND($D555="",$E555=""),"",IF(OR($D555="",$E555=""),0,ROUND($D555*$E555,0))))</f>
        <v/>
      </c>
      <c r="G555" s="13"/>
      <c r="H555" s="11"/>
      <c r="I555" s="15" t="str">
        <f aca="false">IF($F555="","",$F555-IF($H555="",0,$H555))</f>
        <v/>
      </c>
      <c r="J555" s="16" t="str">
        <f aca="true">IF(OR($A555="",$I555="",$I555&lt;=0),"",TODAY()-$A555)</f>
        <v/>
      </c>
      <c r="K555" s="10"/>
    </row>
    <row r="556" customFormat="false" ht="15" hidden="false" customHeight="true" outlineLevel="0" collapsed="false">
      <c r="A556" s="13"/>
      <c r="B556" s="10"/>
      <c r="C556" s="10"/>
      <c r="D556" s="14"/>
      <c r="E556" s="11"/>
      <c r="F556" s="15" t="str">
        <f aca="false">IF($B556="","",IF(AND($D556="",$E556=""),"",IF(OR($D556="",$E556=""),0,ROUND($D556*$E556,0))))</f>
        <v/>
      </c>
      <c r="G556" s="13"/>
      <c r="H556" s="11"/>
      <c r="I556" s="15" t="str">
        <f aca="false">IF($F556="","",$F556-IF($H556="",0,$H556))</f>
        <v/>
      </c>
      <c r="J556" s="16" t="str">
        <f aca="true">IF(OR($A556="",$I556="",$I556&lt;=0),"",TODAY()-$A556)</f>
        <v/>
      </c>
      <c r="K556" s="10"/>
    </row>
    <row r="557" customFormat="false" ht="15" hidden="false" customHeight="true" outlineLevel="0" collapsed="false">
      <c r="A557" s="13"/>
      <c r="B557" s="10"/>
      <c r="C557" s="10"/>
      <c r="D557" s="14"/>
      <c r="E557" s="11"/>
      <c r="F557" s="15" t="str">
        <f aca="false">IF($B557="","",IF(AND($D557="",$E557=""),"",IF(OR($D557="",$E557=""),0,ROUND($D557*$E557,0))))</f>
        <v/>
      </c>
      <c r="G557" s="13"/>
      <c r="H557" s="11"/>
      <c r="I557" s="15" t="str">
        <f aca="false">IF($F557="","",$F557-IF($H557="",0,$H557))</f>
        <v/>
      </c>
      <c r="J557" s="16" t="str">
        <f aca="true">IF(OR($A557="",$I557="",$I557&lt;=0),"",TODAY()-$A557)</f>
        <v/>
      </c>
      <c r="K557" s="10"/>
    </row>
    <row r="558" customFormat="false" ht="15" hidden="false" customHeight="true" outlineLevel="0" collapsed="false">
      <c r="A558" s="13"/>
      <c r="B558" s="10"/>
      <c r="C558" s="10"/>
      <c r="D558" s="14"/>
      <c r="E558" s="11"/>
      <c r="F558" s="15" t="str">
        <f aca="false">IF($B558="","",IF(AND($D558="",$E558=""),"",IF(OR($D558="",$E558=""),0,ROUND($D558*$E558,0))))</f>
        <v/>
      </c>
      <c r="G558" s="13"/>
      <c r="H558" s="11"/>
      <c r="I558" s="15" t="str">
        <f aca="false">IF($F558="","",$F558-IF($H558="",0,$H558))</f>
        <v/>
      </c>
      <c r="J558" s="16" t="str">
        <f aca="true">IF(OR($A558="",$I558="",$I558&lt;=0),"",TODAY()-$A558)</f>
        <v/>
      </c>
      <c r="K558" s="10"/>
    </row>
    <row r="559" customFormat="false" ht="15" hidden="false" customHeight="true" outlineLevel="0" collapsed="false">
      <c r="A559" s="13"/>
      <c r="B559" s="10"/>
      <c r="C559" s="10"/>
      <c r="D559" s="14"/>
      <c r="E559" s="11"/>
      <c r="F559" s="15" t="str">
        <f aca="false">IF($B559="","",IF(AND($D559="",$E559=""),"",IF(OR($D559="",$E559=""),0,ROUND($D559*$E559,0))))</f>
        <v/>
      </c>
      <c r="G559" s="13"/>
      <c r="H559" s="11"/>
      <c r="I559" s="15" t="str">
        <f aca="false">IF($F559="","",$F559-IF($H559="",0,$H559))</f>
        <v/>
      </c>
      <c r="J559" s="16" t="str">
        <f aca="true">IF(OR($A559="",$I559="",$I559&lt;=0),"",TODAY()-$A559)</f>
        <v/>
      </c>
      <c r="K559" s="10"/>
    </row>
    <row r="560" customFormat="false" ht="15" hidden="false" customHeight="true" outlineLevel="0" collapsed="false">
      <c r="A560" s="13"/>
      <c r="B560" s="10"/>
      <c r="C560" s="10"/>
      <c r="D560" s="14"/>
      <c r="E560" s="11"/>
      <c r="F560" s="15" t="str">
        <f aca="false">IF($B560="","",IF(AND($D560="",$E560=""),"",IF(OR($D560="",$E560=""),0,ROUND($D560*$E560,0))))</f>
        <v/>
      </c>
      <c r="G560" s="13"/>
      <c r="H560" s="11"/>
      <c r="I560" s="15" t="str">
        <f aca="false">IF($F560="","",$F560-IF($H560="",0,$H560))</f>
        <v/>
      </c>
      <c r="J560" s="16" t="str">
        <f aca="true">IF(OR($A560="",$I560="",$I560&lt;=0),"",TODAY()-$A560)</f>
        <v/>
      </c>
      <c r="K560" s="10"/>
    </row>
    <row r="561" customFormat="false" ht="15" hidden="false" customHeight="true" outlineLevel="0" collapsed="false">
      <c r="A561" s="13"/>
      <c r="B561" s="10"/>
      <c r="C561" s="10"/>
      <c r="D561" s="14"/>
      <c r="E561" s="11"/>
      <c r="F561" s="15" t="str">
        <f aca="false">IF($B561="","",IF(AND($D561="",$E561=""),"",IF(OR($D561="",$E561=""),0,ROUND($D561*$E561,0))))</f>
        <v/>
      </c>
      <c r="G561" s="13"/>
      <c r="H561" s="11"/>
      <c r="I561" s="15" t="str">
        <f aca="false">IF($F561="","",$F561-IF($H561="",0,$H561))</f>
        <v/>
      </c>
      <c r="J561" s="16" t="str">
        <f aca="true">IF(OR($A561="",$I561="",$I561&lt;=0),"",TODAY()-$A561)</f>
        <v/>
      </c>
      <c r="K561" s="10"/>
    </row>
    <row r="562" customFormat="false" ht="15" hidden="false" customHeight="true" outlineLevel="0" collapsed="false">
      <c r="A562" s="13"/>
      <c r="B562" s="10"/>
      <c r="C562" s="10"/>
      <c r="D562" s="14"/>
      <c r="E562" s="11"/>
      <c r="F562" s="15" t="str">
        <f aca="false">IF($B562="","",IF(AND($D562="",$E562=""),"",IF(OR($D562="",$E562=""),0,ROUND($D562*$E562,0))))</f>
        <v/>
      </c>
      <c r="G562" s="13"/>
      <c r="H562" s="11"/>
      <c r="I562" s="15" t="str">
        <f aca="false">IF($F562="","",$F562-IF($H562="",0,$H562))</f>
        <v/>
      </c>
      <c r="J562" s="16" t="str">
        <f aca="true">IF(OR($A562="",$I562="",$I562&lt;=0),"",TODAY()-$A562)</f>
        <v/>
      </c>
      <c r="K562" s="10"/>
    </row>
    <row r="563" customFormat="false" ht="15" hidden="false" customHeight="true" outlineLevel="0" collapsed="false">
      <c r="A563" s="13"/>
      <c r="B563" s="10"/>
      <c r="C563" s="10"/>
      <c r="D563" s="14"/>
      <c r="E563" s="11"/>
      <c r="F563" s="15" t="str">
        <f aca="false">IF($B563="","",IF(AND($D563="",$E563=""),"",IF(OR($D563="",$E563=""),0,ROUND($D563*$E563,0))))</f>
        <v/>
      </c>
      <c r="G563" s="13"/>
      <c r="H563" s="11"/>
      <c r="I563" s="15" t="str">
        <f aca="false">IF($F563="","",$F563-IF($H563="",0,$H563))</f>
        <v/>
      </c>
      <c r="J563" s="16" t="str">
        <f aca="true">IF(OR($A563="",$I563="",$I563&lt;=0),"",TODAY()-$A563)</f>
        <v/>
      </c>
      <c r="K563" s="10"/>
    </row>
    <row r="564" customFormat="false" ht="15" hidden="false" customHeight="true" outlineLevel="0" collapsed="false">
      <c r="A564" s="13"/>
      <c r="B564" s="10"/>
      <c r="C564" s="10"/>
      <c r="D564" s="14"/>
      <c r="E564" s="11"/>
      <c r="F564" s="15" t="str">
        <f aca="false">IF($B564="","",IF(AND($D564="",$E564=""),"",IF(OR($D564="",$E564=""),0,ROUND($D564*$E564,0))))</f>
        <v/>
      </c>
      <c r="G564" s="13"/>
      <c r="H564" s="11"/>
      <c r="I564" s="15" t="str">
        <f aca="false">IF($F564="","",$F564-IF($H564="",0,$H564))</f>
        <v/>
      </c>
      <c r="J564" s="16" t="str">
        <f aca="true">IF(OR($A564="",$I564="",$I564&lt;=0),"",TODAY()-$A564)</f>
        <v/>
      </c>
      <c r="K564" s="10"/>
    </row>
    <row r="565" customFormat="false" ht="15" hidden="false" customHeight="true" outlineLevel="0" collapsed="false">
      <c r="A565" s="13"/>
      <c r="B565" s="10"/>
      <c r="C565" s="10"/>
      <c r="D565" s="14"/>
      <c r="E565" s="11"/>
      <c r="F565" s="15" t="str">
        <f aca="false">IF($B565="","",IF(AND($D565="",$E565=""),"",IF(OR($D565="",$E565=""),0,ROUND($D565*$E565,0))))</f>
        <v/>
      </c>
      <c r="G565" s="13"/>
      <c r="H565" s="11"/>
      <c r="I565" s="15" t="str">
        <f aca="false">IF($F565="","",$F565-IF($H565="",0,$H565))</f>
        <v/>
      </c>
      <c r="J565" s="16" t="str">
        <f aca="true">IF(OR($A565="",$I565="",$I565&lt;=0),"",TODAY()-$A565)</f>
        <v/>
      </c>
      <c r="K565" s="10"/>
    </row>
    <row r="566" customFormat="false" ht="15" hidden="false" customHeight="true" outlineLevel="0" collapsed="false">
      <c r="A566" s="13"/>
      <c r="B566" s="10"/>
      <c r="C566" s="10"/>
      <c r="D566" s="14"/>
      <c r="E566" s="11"/>
      <c r="F566" s="15" t="str">
        <f aca="false">IF($B566="","",IF(AND($D566="",$E566=""),"",IF(OR($D566="",$E566=""),0,ROUND($D566*$E566,0))))</f>
        <v/>
      </c>
      <c r="G566" s="13"/>
      <c r="H566" s="11"/>
      <c r="I566" s="15" t="str">
        <f aca="false">IF($F566="","",$F566-IF($H566="",0,$H566))</f>
        <v/>
      </c>
      <c r="J566" s="16" t="str">
        <f aca="true">IF(OR($A566="",$I566="",$I566&lt;=0),"",TODAY()-$A566)</f>
        <v/>
      </c>
      <c r="K566" s="10"/>
    </row>
    <row r="567" customFormat="false" ht="15" hidden="false" customHeight="true" outlineLevel="0" collapsed="false">
      <c r="A567" s="13"/>
      <c r="B567" s="10"/>
      <c r="C567" s="10"/>
      <c r="D567" s="14"/>
      <c r="E567" s="11"/>
      <c r="F567" s="15" t="str">
        <f aca="false">IF($B567="","",IF(AND($D567="",$E567=""),"",IF(OR($D567="",$E567=""),0,ROUND($D567*$E567,0))))</f>
        <v/>
      </c>
      <c r="G567" s="13"/>
      <c r="H567" s="11"/>
      <c r="I567" s="15" t="str">
        <f aca="false">IF($F567="","",$F567-IF($H567="",0,$H567))</f>
        <v/>
      </c>
      <c r="J567" s="16" t="str">
        <f aca="true">IF(OR($A567="",$I567="",$I567&lt;=0),"",TODAY()-$A567)</f>
        <v/>
      </c>
      <c r="K567" s="10"/>
    </row>
    <row r="568" customFormat="false" ht="15" hidden="false" customHeight="true" outlineLevel="0" collapsed="false">
      <c r="A568" s="13"/>
      <c r="B568" s="10"/>
      <c r="C568" s="10"/>
      <c r="D568" s="14"/>
      <c r="E568" s="11"/>
      <c r="F568" s="15" t="str">
        <f aca="false">IF($B568="","",IF(AND($D568="",$E568=""),"",IF(OR($D568="",$E568=""),0,ROUND($D568*$E568,0))))</f>
        <v/>
      </c>
      <c r="G568" s="13"/>
      <c r="H568" s="11"/>
      <c r="I568" s="15" t="str">
        <f aca="false">IF($F568="","",$F568-IF($H568="",0,$H568))</f>
        <v/>
      </c>
      <c r="J568" s="16" t="str">
        <f aca="true">IF(OR($A568="",$I568="",$I568&lt;=0),"",TODAY()-$A568)</f>
        <v/>
      </c>
      <c r="K568" s="10"/>
    </row>
    <row r="569" customFormat="false" ht="15" hidden="false" customHeight="true" outlineLevel="0" collapsed="false">
      <c r="A569" s="13"/>
      <c r="B569" s="10"/>
      <c r="C569" s="10"/>
      <c r="D569" s="14"/>
      <c r="E569" s="11"/>
      <c r="F569" s="15" t="str">
        <f aca="false">IF($B569="","",IF(AND($D569="",$E569=""),"",IF(OR($D569="",$E569=""),0,ROUND($D569*$E569,0))))</f>
        <v/>
      </c>
      <c r="G569" s="13"/>
      <c r="H569" s="11"/>
      <c r="I569" s="15" t="str">
        <f aca="false">IF($F569="","",$F569-IF($H569="",0,$H569))</f>
        <v/>
      </c>
      <c r="J569" s="16" t="str">
        <f aca="true">IF(OR($A569="",$I569="",$I569&lt;=0),"",TODAY()-$A569)</f>
        <v/>
      </c>
      <c r="K569" s="10"/>
    </row>
    <row r="570" customFormat="false" ht="15" hidden="false" customHeight="true" outlineLevel="0" collapsed="false">
      <c r="A570" s="13"/>
      <c r="B570" s="10"/>
      <c r="C570" s="10"/>
      <c r="D570" s="14"/>
      <c r="E570" s="11"/>
      <c r="F570" s="15" t="str">
        <f aca="false">IF($B570="","",IF(AND($D570="",$E570=""),"",IF(OR($D570="",$E570=""),0,ROUND($D570*$E570,0))))</f>
        <v/>
      </c>
      <c r="G570" s="13"/>
      <c r="H570" s="11"/>
      <c r="I570" s="15" t="str">
        <f aca="false">IF($F570="","",$F570-IF($H570="",0,$H570))</f>
        <v/>
      </c>
      <c r="J570" s="16" t="str">
        <f aca="true">IF(OR($A570="",$I570="",$I570&lt;=0),"",TODAY()-$A570)</f>
        <v/>
      </c>
      <c r="K570" s="10"/>
    </row>
    <row r="571" customFormat="false" ht="15" hidden="false" customHeight="true" outlineLevel="0" collapsed="false">
      <c r="A571" s="13"/>
      <c r="B571" s="10"/>
      <c r="C571" s="10"/>
      <c r="D571" s="14"/>
      <c r="E571" s="11"/>
      <c r="F571" s="15" t="str">
        <f aca="false">IF($B571="","",IF(AND($D571="",$E571=""),"",IF(OR($D571="",$E571=""),0,ROUND($D571*$E571,0))))</f>
        <v/>
      </c>
      <c r="G571" s="13"/>
      <c r="H571" s="11"/>
      <c r="I571" s="15" t="str">
        <f aca="false">IF($F571="","",$F571-IF($H571="",0,$H571))</f>
        <v/>
      </c>
      <c r="J571" s="16" t="str">
        <f aca="true">IF(OR($A571="",$I571="",$I571&lt;=0),"",TODAY()-$A571)</f>
        <v/>
      </c>
      <c r="K571" s="10"/>
    </row>
    <row r="572" customFormat="false" ht="15" hidden="false" customHeight="true" outlineLevel="0" collapsed="false">
      <c r="A572" s="13"/>
      <c r="B572" s="10"/>
      <c r="C572" s="10"/>
      <c r="D572" s="14"/>
      <c r="E572" s="11"/>
      <c r="F572" s="15" t="str">
        <f aca="false">IF($B572="","",IF(AND($D572="",$E572=""),"",IF(OR($D572="",$E572=""),0,ROUND($D572*$E572,0))))</f>
        <v/>
      </c>
      <c r="G572" s="13"/>
      <c r="H572" s="11"/>
      <c r="I572" s="15" t="str">
        <f aca="false">IF($F572="","",$F572-IF($H572="",0,$H572))</f>
        <v/>
      </c>
      <c r="J572" s="16" t="str">
        <f aca="true">IF(OR($A572="",$I572="",$I572&lt;=0),"",TODAY()-$A572)</f>
        <v/>
      </c>
      <c r="K572" s="10"/>
    </row>
    <row r="573" customFormat="false" ht="15" hidden="false" customHeight="true" outlineLevel="0" collapsed="false">
      <c r="A573" s="13"/>
      <c r="B573" s="10"/>
      <c r="C573" s="10"/>
      <c r="D573" s="14"/>
      <c r="E573" s="11"/>
      <c r="F573" s="15" t="str">
        <f aca="false">IF($B573="","",IF(AND($D573="",$E573=""),"",IF(OR($D573="",$E573=""),0,ROUND($D573*$E573,0))))</f>
        <v/>
      </c>
      <c r="G573" s="13"/>
      <c r="H573" s="11"/>
      <c r="I573" s="15" t="str">
        <f aca="false">IF($F573="","",$F573-IF($H573="",0,$H573))</f>
        <v/>
      </c>
      <c r="J573" s="16" t="str">
        <f aca="true">IF(OR($A573="",$I573="",$I573&lt;=0),"",TODAY()-$A573)</f>
        <v/>
      </c>
      <c r="K573" s="10"/>
    </row>
    <row r="574" customFormat="false" ht="15" hidden="false" customHeight="true" outlineLevel="0" collapsed="false">
      <c r="A574" s="13"/>
      <c r="B574" s="10"/>
      <c r="C574" s="10"/>
      <c r="D574" s="14"/>
      <c r="E574" s="11"/>
      <c r="F574" s="15" t="str">
        <f aca="false">IF($B574="","",IF(AND($D574="",$E574=""),"",IF(OR($D574="",$E574=""),0,ROUND($D574*$E574,0))))</f>
        <v/>
      </c>
      <c r="G574" s="13"/>
      <c r="H574" s="11"/>
      <c r="I574" s="15" t="str">
        <f aca="false">IF($F574="","",$F574-IF($H574="",0,$H574))</f>
        <v/>
      </c>
      <c r="J574" s="16" t="str">
        <f aca="true">IF(OR($A574="",$I574="",$I574&lt;=0),"",TODAY()-$A574)</f>
        <v/>
      </c>
      <c r="K574" s="10"/>
    </row>
    <row r="575" customFormat="false" ht="15" hidden="false" customHeight="true" outlineLevel="0" collapsed="false">
      <c r="A575" s="13"/>
      <c r="B575" s="10"/>
      <c r="C575" s="10"/>
      <c r="D575" s="14"/>
      <c r="E575" s="11"/>
      <c r="F575" s="15" t="str">
        <f aca="false">IF($B575="","",IF(AND($D575="",$E575=""),"",IF(OR($D575="",$E575=""),0,ROUND($D575*$E575,0))))</f>
        <v/>
      </c>
      <c r="G575" s="13"/>
      <c r="H575" s="11"/>
      <c r="I575" s="15" t="str">
        <f aca="false">IF($F575="","",$F575-IF($H575="",0,$H575))</f>
        <v/>
      </c>
      <c r="J575" s="16" t="str">
        <f aca="true">IF(OR($A575="",$I575="",$I575&lt;=0),"",TODAY()-$A575)</f>
        <v/>
      </c>
      <c r="K575" s="10"/>
    </row>
    <row r="576" customFormat="false" ht="15" hidden="false" customHeight="true" outlineLevel="0" collapsed="false">
      <c r="A576" s="13"/>
      <c r="B576" s="10"/>
      <c r="C576" s="10"/>
      <c r="D576" s="14"/>
      <c r="E576" s="11"/>
      <c r="F576" s="15" t="str">
        <f aca="false">IF($B576="","",IF(AND($D576="",$E576=""),"",IF(OR($D576="",$E576=""),0,ROUND($D576*$E576,0))))</f>
        <v/>
      </c>
      <c r="G576" s="13"/>
      <c r="H576" s="11"/>
      <c r="I576" s="15" t="str">
        <f aca="false">IF($F576="","",$F576-IF($H576="",0,$H576))</f>
        <v/>
      </c>
      <c r="J576" s="16" t="str">
        <f aca="true">IF(OR($A576="",$I576="",$I576&lt;=0),"",TODAY()-$A576)</f>
        <v/>
      </c>
      <c r="K576" s="10"/>
    </row>
    <row r="577" customFormat="false" ht="15" hidden="false" customHeight="true" outlineLevel="0" collapsed="false">
      <c r="A577" s="13"/>
      <c r="B577" s="10"/>
      <c r="C577" s="10"/>
      <c r="D577" s="14"/>
      <c r="E577" s="11"/>
      <c r="F577" s="15" t="str">
        <f aca="false">IF($B577="","",IF(AND($D577="",$E577=""),"",IF(OR($D577="",$E577=""),0,ROUND($D577*$E577,0))))</f>
        <v/>
      </c>
      <c r="G577" s="13"/>
      <c r="H577" s="11"/>
      <c r="I577" s="15" t="str">
        <f aca="false">IF($F577="","",$F577-IF($H577="",0,$H577))</f>
        <v/>
      </c>
      <c r="J577" s="16" t="str">
        <f aca="true">IF(OR($A577="",$I577="",$I577&lt;=0),"",TODAY()-$A577)</f>
        <v/>
      </c>
      <c r="K577" s="10"/>
    </row>
    <row r="578" customFormat="false" ht="15" hidden="false" customHeight="true" outlineLevel="0" collapsed="false">
      <c r="A578" s="13"/>
      <c r="B578" s="10"/>
      <c r="C578" s="10"/>
      <c r="D578" s="14"/>
      <c r="E578" s="11"/>
      <c r="F578" s="15" t="str">
        <f aca="false">IF($B578="","",IF(AND($D578="",$E578=""),"",IF(OR($D578="",$E578=""),0,ROUND($D578*$E578,0))))</f>
        <v/>
      </c>
      <c r="G578" s="13"/>
      <c r="H578" s="11"/>
      <c r="I578" s="15" t="str">
        <f aca="false">IF($F578="","",$F578-IF($H578="",0,$H578))</f>
        <v/>
      </c>
      <c r="J578" s="16" t="str">
        <f aca="true">IF(OR($A578="",$I578="",$I578&lt;=0),"",TODAY()-$A578)</f>
        <v/>
      </c>
      <c r="K578" s="10"/>
    </row>
    <row r="579" customFormat="false" ht="15" hidden="false" customHeight="true" outlineLevel="0" collapsed="false">
      <c r="A579" s="13"/>
      <c r="B579" s="10"/>
      <c r="C579" s="10"/>
      <c r="D579" s="14"/>
      <c r="E579" s="11"/>
      <c r="F579" s="15" t="str">
        <f aca="false">IF($B579="","",IF(AND($D579="",$E579=""),"",IF(OR($D579="",$E579=""),0,ROUND($D579*$E579,0))))</f>
        <v/>
      </c>
      <c r="G579" s="13"/>
      <c r="H579" s="11"/>
      <c r="I579" s="15" t="str">
        <f aca="false">IF($F579="","",$F579-IF($H579="",0,$H579))</f>
        <v/>
      </c>
      <c r="J579" s="16" t="str">
        <f aca="true">IF(OR($A579="",$I579="",$I579&lt;=0),"",TODAY()-$A579)</f>
        <v/>
      </c>
      <c r="K579" s="10"/>
    </row>
    <row r="580" customFormat="false" ht="15" hidden="false" customHeight="true" outlineLevel="0" collapsed="false">
      <c r="A580" s="13"/>
      <c r="B580" s="10"/>
      <c r="C580" s="10"/>
      <c r="D580" s="14"/>
      <c r="E580" s="11"/>
      <c r="F580" s="15" t="str">
        <f aca="false">IF($B580="","",IF(AND($D580="",$E580=""),"",IF(OR($D580="",$E580=""),0,ROUND($D580*$E580,0))))</f>
        <v/>
      </c>
      <c r="G580" s="13"/>
      <c r="H580" s="11"/>
      <c r="I580" s="15" t="str">
        <f aca="false">IF($F580="","",$F580-IF($H580="",0,$H580))</f>
        <v/>
      </c>
      <c r="J580" s="16" t="str">
        <f aca="true">IF(OR($A580="",$I580="",$I580&lt;=0),"",TODAY()-$A580)</f>
        <v/>
      </c>
      <c r="K580" s="10"/>
    </row>
    <row r="581" customFormat="false" ht="15" hidden="false" customHeight="true" outlineLevel="0" collapsed="false">
      <c r="A581" s="13"/>
      <c r="B581" s="10"/>
      <c r="C581" s="10"/>
      <c r="D581" s="14"/>
      <c r="E581" s="11"/>
      <c r="F581" s="15" t="str">
        <f aca="false">IF($B581="","",IF(AND($D581="",$E581=""),"",IF(OR($D581="",$E581=""),0,ROUND($D581*$E581,0))))</f>
        <v/>
      </c>
      <c r="G581" s="13"/>
      <c r="H581" s="11"/>
      <c r="I581" s="15" t="str">
        <f aca="false">IF($F581="","",$F581-IF($H581="",0,$H581))</f>
        <v/>
      </c>
      <c r="J581" s="16" t="str">
        <f aca="true">IF(OR($A581="",$I581="",$I581&lt;=0),"",TODAY()-$A581)</f>
        <v/>
      </c>
      <c r="K581" s="10"/>
    </row>
    <row r="582" customFormat="false" ht="15" hidden="false" customHeight="true" outlineLevel="0" collapsed="false">
      <c r="A582" s="13"/>
      <c r="B582" s="10"/>
      <c r="C582" s="10"/>
      <c r="D582" s="14"/>
      <c r="E582" s="11"/>
      <c r="F582" s="15" t="str">
        <f aca="false">IF($B582="","",IF(AND($D582="",$E582=""),"",IF(OR($D582="",$E582=""),0,ROUND($D582*$E582,0))))</f>
        <v/>
      </c>
      <c r="G582" s="13"/>
      <c r="H582" s="11"/>
      <c r="I582" s="15" t="str">
        <f aca="false">IF($F582="","",$F582-IF($H582="",0,$H582))</f>
        <v/>
      </c>
      <c r="J582" s="16" t="str">
        <f aca="true">IF(OR($A582="",$I582="",$I582&lt;=0),"",TODAY()-$A582)</f>
        <v/>
      </c>
      <c r="K582" s="10"/>
    </row>
    <row r="583" customFormat="false" ht="15" hidden="false" customHeight="true" outlineLevel="0" collapsed="false">
      <c r="A583" s="13"/>
      <c r="B583" s="10"/>
      <c r="C583" s="10"/>
      <c r="D583" s="14"/>
      <c r="E583" s="11"/>
      <c r="F583" s="15" t="str">
        <f aca="false">IF($B583="","",IF(AND($D583="",$E583=""),"",IF(OR($D583="",$E583=""),0,ROUND($D583*$E583,0))))</f>
        <v/>
      </c>
      <c r="G583" s="13"/>
      <c r="H583" s="11"/>
      <c r="I583" s="15" t="str">
        <f aca="false">IF($F583="","",$F583-IF($H583="",0,$H583))</f>
        <v/>
      </c>
      <c r="J583" s="16" t="str">
        <f aca="true">IF(OR($A583="",$I583="",$I583&lt;=0),"",TODAY()-$A583)</f>
        <v/>
      </c>
      <c r="K583" s="10"/>
    </row>
    <row r="584" customFormat="false" ht="15" hidden="false" customHeight="true" outlineLevel="0" collapsed="false">
      <c r="A584" s="13"/>
      <c r="B584" s="10"/>
      <c r="C584" s="10"/>
      <c r="D584" s="14"/>
      <c r="E584" s="11"/>
      <c r="F584" s="15" t="str">
        <f aca="false">IF($B584="","",IF(AND($D584="",$E584=""),"",IF(OR($D584="",$E584=""),0,ROUND($D584*$E584,0))))</f>
        <v/>
      </c>
      <c r="G584" s="13"/>
      <c r="H584" s="11"/>
      <c r="I584" s="15" t="str">
        <f aca="false">IF($F584="","",$F584-IF($H584="",0,$H584))</f>
        <v/>
      </c>
      <c r="J584" s="16" t="str">
        <f aca="true">IF(OR($A584="",$I584="",$I584&lt;=0),"",TODAY()-$A584)</f>
        <v/>
      </c>
      <c r="K584" s="10"/>
    </row>
    <row r="585" customFormat="false" ht="15" hidden="false" customHeight="true" outlineLevel="0" collapsed="false">
      <c r="A585" s="13"/>
      <c r="B585" s="10"/>
      <c r="C585" s="10"/>
      <c r="D585" s="14"/>
      <c r="E585" s="11"/>
      <c r="F585" s="15" t="str">
        <f aca="false">IF($B585="","",IF(AND($D585="",$E585=""),"",IF(OR($D585="",$E585=""),0,ROUND($D585*$E585,0))))</f>
        <v/>
      </c>
      <c r="G585" s="13"/>
      <c r="H585" s="11"/>
      <c r="I585" s="15" t="str">
        <f aca="false">IF($F585="","",$F585-IF($H585="",0,$H585))</f>
        <v/>
      </c>
      <c r="J585" s="16" t="str">
        <f aca="true">IF(OR($A585="",$I585="",$I585&lt;=0),"",TODAY()-$A585)</f>
        <v/>
      </c>
      <c r="K585" s="10"/>
    </row>
    <row r="586" customFormat="false" ht="15" hidden="false" customHeight="true" outlineLevel="0" collapsed="false">
      <c r="A586" s="13"/>
      <c r="B586" s="10"/>
      <c r="C586" s="10"/>
      <c r="D586" s="14"/>
      <c r="E586" s="11"/>
      <c r="F586" s="15" t="str">
        <f aca="false">IF($B586="","",IF(AND($D586="",$E586=""),"",IF(OR($D586="",$E586=""),0,ROUND($D586*$E586,0))))</f>
        <v/>
      </c>
      <c r="G586" s="13"/>
      <c r="H586" s="11"/>
      <c r="I586" s="15" t="str">
        <f aca="false">IF($F586="","",$F586-IF($H586="",0,$H586))</f>
        <v/>
      </c>
      <c r="J586" s="16" t="str">
        <f aca="true">IF(OR($A586="",$I586="",$I586&lt;=0),"",TODAY()-$A586)</f>
        <v/>
      </c>
      <c r="K586" s="10"/>
    </row>
    <row r="587" customFormat="false" ht="15" hidden="false" customHeight="true" outlineLevel="0" collapsed="false">
      <c r="A587" s="13"/>
      <c r="B587" s="10"/>
      <c r="C587" s="10"/>
      <c r="D587" s="14"/>
      <c r="E587" s="11"/>
      <c r="F587" s="15" t="str">
        <f aca="false">IF($B587="","",IF(AND($D587="",$E587=""),"",IF(OR($D587="",$E587=""),0,ROUND($D587*$E587,0))))</f>
        <v/>
      </c>
      <c r="G587" s="13"/>
      <c r="H587" s="11"/>
      <c r="I587" s="15" t="str">
        <f aca="false">IF($F587="","",$F587-IF($H587="",0,$H587))</f>
        <v/>
      </c>
      <c r="J587" s="16" t="str">
        <f aca="true">IF(OR($A587="",$I587="",$I587&lt;=0),"",TODAY()-$A587)</f>
        <v/>
      </c>
      <c r="K587" s="10"/>
    </row>
    <row r="588" customFormat="false" ht="15" hidden="false" customHeight="true" outlineLevel="0" collapsed="false">
      <c r="A588" s="13"/>
      <c r="B588" s="10"/>
      <c r="C588" s="10"/>
      <c r="D588" s="14"/>
      <c r="E588" s="11"/>
      <c r="F588" s="15" t="str">
        <f aca="false">IF($B588="","",IF(AND($D588="",$E588=""),"",IF(OR($D588="",$E588=""),0,ROUND($D588*$E588,0))))</f>
        <v/>
      </c>
      <c r="G588" s="13"/>
      <c r="H588" s="11"/>
      <c r="I588" s="15" t="str">
        <f aca="false">IF($F588="","",$F588-IF($H588="",0,$H588))</f>
        <v/>
      </c>
      <c r="J588" s="16" t="str">
        <f aca="true">IF(OR($A588="",$I588="",$I588&lt;=0),"",TODAY()-$A588)</f>
        <v/>
      </c>
      <c r="K588" s="10"/>
    </row>
    <row r="589" customFormat="false" ht="15" hidden="false" customHeight="true" outlineLevel="0" collapsed="false">
      <c r="A589" s="13"/>
      <c r="B589" s="10"/>
      <c r="C589" s="10"/>
      <c r="D589" s="14"/>
      <c r="E589" s="11"/>
      <c r="F589" s="15" t="str">
        <f aca="false">IF($B589="","",IF(AND($D589="",$E589=""),"",IF(OR($D589="",$E589=""),0,ROUND($D589*$E589,0))))</f>
        <v/>
      </c>
      <c r="G589" s="13"/>
      <c r="H589" s="11"/>
      <c r="I589" s="15" t="str">
        <f aca="false">IF($F589="","",$F589-IF($H589="",0,$H589))</f>
        <v/>
      </c>
      <c r="J589" s="16" t="str">
        <f aca="true">IF(OR($A589="",$I589="",$I589&lt;=0),"",TODAY()-$A589)</f>
        <v/>
      </c>
      <c r="K589" s="10"/>
    </row>
    <row r="590" customFormat="false" ht="15" hidden="false" customHeight="true" outlineLevel="0" collapsed="false">
      <c r="A590" s="13"/>
      <c r="B590" s="10"/>
      <c r="C590" s="10"/>
      <c r="D590" s="14"/>
      <c r="E590" s="11"/>
      <c r="F590" s="15" t="str">
        <f aca="false">IF($B590="","",IF(AND($D590="",$E590=""),"",IF(OR($D590="",$E590=""),0,ROUND($D590*$E590,0))))</f>
        <v/>
      </c>
      <c r="G590" s="13"/>
      <c r="H590" s="11"/>
      <c r="I590" s="15" t="str">
        <f aca="false">IF($F590="","",$F590-IF($H590="",0,$H590))</f>
        <v/>
      </c>
      <c r="J590" s="16" t="str">
        <f aca="true">IF(OR($A590="",$I590="",$I590&lt;=0),"",TODAY()-$A590)</f>
        <v/>
      </c>
      <c r="K590" s="10"/>
    </row>
    <row r="591" customFormat="false" ht="15" hidden="false" customHeight="true" outlineLevel="0" collapsed="false">
      <c r="A591" s="13"/>
      <c r="B591" s="10"/>
      <c r="C591" s="10"/>
      <c r="D591" s="14"/>
      <c r="E591" s="11"/>
      <c r="F591" s="15" t="str">
        <f aca="false">IF($B591="","",IF(AND($D591="",$E591=""),"",IF(OR($D591="",$E591=""),0,ROUND($D591*$E591,0))))</f>
        <v/>
      </c>
      <c r="G591" s="13"/>
      <c r="H591" s="11"/>
      <c r="I591" s="15" t="str">
        <f aca="false">IF($F591="","",$F591-IF($H591="",0,$H591))</f>
        <v/>
      </c>
      <c r="J591" s="16" t="str">
        <f aca="true">IF(OR($A591="",$I591="",$I591&lt;=0),"",TODAY()-$A591)</f>
        <v/>
      </c>
      <c r="K591" s="10"/>
    </row>
    <row r="592" customFormat="false" ht="15" hidden="false" customHeight="true" outlineLevel="0" collapsed="false">
      <c r="A592" s="13"/>
      <c r="B592" s="10"/>
      <c r="C592" s="10"/>
      <c r="D592" s="14"/>
      <c r="E592" s="11"/>
      <c r="F592" s="15" t="str">
        <f aca="false">IF($B592="","",IF(AND($D592="",$E592=""),"",IF(OR($D592="",$E592=""),0,ROUND($D592*$E592,0))))</f>
        <v/>
      </c>
      <c r="G592" s="13"/>
      <c r="H592" s="11"/>
      <c r="I592" s="15" t="str">
        <f aca="false">IF($F592="","",$F592-IF($H592="",0,$H592))</f>
        <v/>
      </c>
      <c r="J592" s="16" t="str">
        <f aca="true">IF(OR($A592="",$I592="",$I592&lt;=0),"",TODAY()-$A592)</f>
        <v/>
      </c>
      <c r="K592" s="10"/>
    </row>
    <row r="593" customFormat="false" ht="15" hidden="false" customHeight="true" outlineLevel="0" collapsed="false">
      <c r="A593" s="13"/>
      <c r="B593" s="10"/>
      <c r="C593" s="10"/>
      <c r="D593" s="14"/>
      <c r="E593" s="11"/>
      <c r="F593" s="15" t="str">
        <f aca="false">IF($B593="","",IF(AND($D593="",$E593=""),"",IF(OR($D593="",$E593=""),0,ROUND($D593*$E593,0))))</f>
        <v/>
      </c>
      <c r="G593" s="13"/>
      <c r="H593" s="11"/>
      <c r="I593" s="15" t="str">
        <f aca="false">IF($F593="","",$F593-IF($H593="",0,$H593))</f>
        <v/>
      </c>
      <c r="J593" s="16" t="str">
        <f aca="true">IF(OR($A593="",$I593="",$I593&lt;=0),"",TODAY()-$A593)</f>
        <v/>
      </c>
      <c r="K593" s="10"/>
    </row>
    <row r="594" customFormat="false" ht="15" hidden="false" customHeight="true" outlineLevel="0" collapsed="false">
      <c r="A594" s="13"/>
      <c r="B594" s="10"/>
      <c r="C594" s="10"/>
      <c r="D594" s="14"/>
      <c r="E594" s="11"/>
      <c r="F594" s="15" t="str">
        <f aca="false">IF($B594="","",IF(AND($D594="",$E594=""),"",IF(OR($D594="",$E594=""),0,ROUND($D594*$E594,0))))</f>
        <v/>
      </c>
      <c r="G594" s="13"/>
      <c r="H594" s="11"/>
      <c r="I594" s="15" t="str">
        <f aca="false">IF($F594="","",$F594-IF($H594="",0,$H594))</f>
        <v/>
      </c>
      <c r="J594" s="16" t="str">
        <f aca="true">IF(OR($A594="",$I594="",$I594&lt;=0),"",TODAY()-$A594)</f>
        <v/>
      </c>
      <c r="K594" s="10"/>
    </row>
    <row r="595" customFormat="false" ht="15" hidden="false" customHeight="true" outlineLevel="0" collapsed="false">
      <c r="A595" s="13"/>
      <c r="B595" s="10"/>
      <c r="C595" s="10"/>
      <c r="D595" s="14"/>
      <c r="E595" s="11"/>
      <c r="F595" s="15" t="str">
        <f aca="false">IF($B595="","",IF(AND($D595="",$E595=""),"",IF(OR($D595="",$E595=""),0,ROUND($D595*$E595,0))))</f>
        <v/>
      </c>
      <c r="G595" s="13"/>
      <c r="H595" s="11"/>
      <c r="I595" s="15" t="str">
        <f aca="false">IF($F595="","",$F595-IF($H595="",0,$H595))</f>
        <v/>
      </c>
      <c r="J595" s="16" t="str">
        <f aca="true">IF(OR($A595="",$I595="",$I595&lt;=0),"",TODAY()-$A595)</f>
        <v/>
      </c>
      <c r="K595" s="10"/>
    </row>
    <row r="596" customFormat="false" ht="15" hidden="false" customHeight="true" outlineLevel="0" collapsed="false">
      <c r="A596" s="13"/>
      <c r="B596" s="10"/>
      <c r="C596" s="10"/>
      <c r="D596" s="14"/>
      <c r="E596" s="11"/>
      <c r="F596" s="15" t="str">
        <f aca="false">IF($B596="","",IF(AND($D596="",$E596=""),"",IF(OR($D596="",$E596=""),0,ROUND($D596*$E596,0))))</f>
        <v/>
      </c>
      <c r="G596" s="13"/>
      <c r="H596" s="11"/>
      <c r="I596" s="15" t="str">
        <f aca="false">IF($F596="","",$F596-IF($H596="",0,$H596))</f>
        <v/>
      </c>
      <c r="J596" s="16" t="str">
        <f aca="true">IF(OR($A596="",$I596="",$I596&lt;=0),"",TODAY()-$A596)</f>
        <v/>
      </c>
      <c r="K596" s="10"/>
    </row>
    <row r="597" customFormat="false" ht="15" hidden="false" customHeight="true" outlineLevel="0" collapsed="false">
      <c r="A597" s="13"/>
      <c r="B597" s="10"/>
      <c r="C597" s="10"/>
      <c r="D597" s="14"/>
      <c r="E597" s="11"/>
      <c r="F597" s="15" t="str">
        <f aca="false">IF($B597="","",IF(AND($D597="",$E597=""),"",IF(OR($D597="",$E597=""),0,ROUND($D597*$E597,0))))</f>
        <v/>
      </c>
      <c r="G597" s="13"/>
      <c r="H597" s="11"/>
      <c r="I597" s="15" t="str">
        <f aca="false">IF($F597="","",$F597-IF($H597="",0,$H597))</f>
        <v/>
      </c>
      <c r="J597" s="16" t="str">
        <f aca="true">IF(OR($A597="",$I597="",$I597&lt;=0),"",TODAY()-$A597)</f>
        <v/>
      </c>
      <c r="K597" s="10"/>
    </row>
    <row r="598" customFormat="false" ht="15" hidden="false" customHeight="true" outlineLevel="0" collapsed="false">
      <c r="A598" s="13"/>
      <c r="B598" s="10"/>
      <c r="C598" s="10"/>
      <c r="D598" s="14"/>
      <c r="E598" s="11"/>
      <c r="F598" s="15" t="str">
        <f aca="false">IF($B598="","",IF(AND($D598="",$E598=""),"",IF(OR($D598="",$E598=""),0,ROUND($D598*$E598,0))))</f>
        <v/>
      </c>
      <c r="G598" s="13"/>
      <c r="H598" s="11"/>
      <c r="I598" s="15" t="str">
        <f aca="false">IF($F598="","",$F598-IF($H598="",0,$H598))</f>
        <v/>
      </c>
      <c r="J598" s="16" t="str">
        <f aca="true">IF(OR($A598="",$I598="",$I598&lt;=0),"",TODAY()-$A598)</f>
        <v/>
      </c>
      <c r="K598" s="10"/>
    </row>
    <row r="599" customFormat="false" ht="15" hidden="false" customHeight="true" outlineLevel="0" collapsed="false">
      <c r="A599" s="13"/>
      <c r="B599" s="10"/>
      <c r="C599" s="10"/>
      <c r="D599" s="14"/>
      <c r="E599" s="11"/>
      <c r="F599" s="15" t="str">
        <f aca="false">IF($B599="","",IF(AND($D599="",$E599=""),"",IF(OR($D599="",$E599=""),0,ROUND($D599*$E599,0))))</f>
        <v/>
      </c>
      <c r="G599" s="13"/>
      <c r="H599" s="11"/>
      <c r="I599" s="15" t="str">
        <f aca="false">IF($F599="","",$F599-IF($H599="",0,$H599))</f>
        <v/>
      </c>
      <c r="J599" s="16" t="str">
        <f aca="true">IF(OR($A599="",$I599="",$I599&lt;=0),"",TODAY()-$A599)</f>
        <v/>
      </c>
      <c r="K599" s="10"/>
    </row>
    <row r="600" customFormat="false" ht="15" hidden="false" customHeight="true" outlineLevel="0" collapsed="false">
      <c r="A600" s="13"/>
      <c r="B600" s="10"/>
      <c r="C600" s="10"/>
      <c r="D600" s="14"/>
      <c r="E600" s="11"/>
      <c r="F600" s="15" t="str">
        <f aca="false">IF($B600="","",IF(AND($D600="",$E600=""),"",IF(OR($D600="",$E600=""),0,ROUND($D600*$E600,0))))</f>
        <v/>
      </c>
      <c r="G600" s="13"/>
      <c r="H600" s="11"/>
      <c r="I600" s="15" t="str">
        <f aca="false">IF($F600="","",$F600-IF($H600="",0,$H600))</f>
        <v/>
      </c>
      <c r="J600" s="16" t="str">
        <f aca="true">IF(OR($A600="",$I600="",$I600&lt;=0),"",TODAY()-$A600)</f>
        <v/>
      </c>
      <c r="K600" s="10"/>
    </row>
    <row r="601" customFormat="false" ht="15" hidden="false" customHeight="true" outlineLevel="0" collapsed="false">
      <c r="A601" s="13"/>
      <c r="B601" s="10"/>
      <c r="C601" s="10"/>
      <c r="D601" s="14"/>
      <c r="E601" s="11"/>
      <c r="F601" s="15" t="str">
        <f aca="false">IF($B601="","",IF(AND($D601="",$E601=""),"",IF(OR($D601="",$E601=""),0,ROUND($D601*$E601,0))))</f>
        <v/>
      </c>
      <c r="G601" s="13"/>
      <c r="H601" s="11"/>
      <c r="I601" s="15" t="str">
        <f aca="false">IF($F601="","",$F601-IF($H601="",0,$H601))</f>
        <v/>
      </c>
      <c r="J601" s="16" t="str">
        <f aca="true">IF(OR($A601="",$I601="",$I601&lt;=0),"",TODAY()-$A601)</f>
        <v/>
      </c>
      <c r="K601" s="10"/>
    </row>
    <row r="602" customFormat="false" ht="15" hidden="false" customHeight="true" outlineLevel="0" collapsed="false">
      <c r="A602" s="13"/>
      <c r="B602" s="10"/>
      <c r="C602" s="10"/>
      <c r="D602" s="14"/>
      <c r="E602" s="11"/>
      <c r="F602" s="15" t="str">
        <f aca="false">IF($B602="","",IF(AND($D602="",$E602=""),"",IF(OR($D602="",$E602=""),0,ROUND($D602*$E602,0))))</f>
        <v/>
      </c>
      <c r="G602" s="13"/>
      <c r="H602" s="11"/>
      <c r="I602" s="15" t="str">
        <f aca="false">IF($F602="","",$F602-IF($H602="",0,$H602))</f>
        <v/>
      </c>
      <c r="J602" s="16" t="str">
        <f aca="true">IF(OR($A602="",$I602="",$I602&lt;=0),"",TODAY()-$A602)</f>
        <v/>
      </c>
      <c r="K602" s="10"/>
    </row>
    <row r="603" customFormat="false" ht="15" hidden="false" customHeight="true" outlineLevel="0" collapsed="false">
      <c r="A603" s="13"/>
      <c r="B603" s="10"/>
      <c r="C603" s="10"/>
      <c r="D603" s="14"/>
      <c r="E603" s="11"/>
      <c r="F603" s="15" t="str">
        <f aca="false">IF($B603="","",IF(AND($D603="",$E603=""),"",IF(OR($D603="",$E603=""),0,ROUND($D603*$E603,0))))</f>
        <v/>
      </c>
      <c r="G603" s="13"/>
      <c r="H603" s="11"/>
      <c r="I603" s="15" t="str">
        <f aca="false">IF($F603="","",$F603-IF($H603="",0,$H603))</f>
        <v/>
      </c>
      <c r="J603" s="16" t="str">
        <f aca="true">IF(OR($A603="",$I603="",$I603&lt;=0),"",TODAY()-$A603)</f>
        <v/>
      </c>
      <c r="K603" s="10"/>
    </row>
    <row r="604" customFormat="false" ht="15" hidden="false" customHeight="true" outlineLevel="0" collapsed="false">
      <c r="A604" s="13"/>
      <c r="B604" s="10"/>
      <c r="C604" s="10"/>
      <c r="D604" s="14"/>
      <c r="E604" s="11"/>
      <c r="F604" s="15" t="str">
        <f aca="false">IF($B604="","",IF(AND($D604="",$E604=""),"",IF(OR($D604="",$E604=""),0,ROUND($D604*$E604,0))))</f>
        <v/>
      </c>
      <c r="G604" s="13"/>
      <c r="H604" s="11"/>
      <c r="I604" s="15" t="str">
        <f aca="false">IF($F604="","",$F604-IF($H604="",0,$H604))</f>
        <v/>
      </c>
      <c r="J604" s="16" t="str">
        <f aca="true">IF(OR($A604="",$I604="",$I604&lt;=0),"",TODAY()-$A604)</f>
        <v/>
      </c>
      <c r="K604" s="10"/>
    </row>
    <row r="605" customFormat="false" ht="15" hidden="false" customHeight="true" outlineLevel="0" collapsed="false">
      <c r="A605" s="13"/>
      <c r="B605" s="10"/>
      <c r="C605" s="10"/>
      <c r="D605" s="14"/>
      <c r="E605" s="11"/>
      <c r="F605" s="15" t="str">
        <f aca="false">IF($B605="","",IF(AND($D605="",$E605=""),"",IF(OR($D605="",$E605=""),0,ROUND($D605*$E605,0))))</f>
        <v/>
      </c>
      <c r="G605" s="13"/>
      <c r="H605" s="11"/>
      <c r="I605" s="15" t="str">
        <f aca="false">IF($F605="","",$F605-IF($H605="",0,$H605))</f>
        <v/>
      </c>
      <c r="J605" s="16" t="str">
        <f aca="true">IF(OR($A605="",$I605="",$I605&lt;=0),"",TODAY()-$A605)</f>
        <v/>
      </c>
      <c r="K605" s="10"/>
    </row>
    <row r="606" customFormat="false" ht="15" hidden="false" customHeight="true" outlineLevel="0" collapsed="false">
      <c r="A606" s="13"/>
      <c r="B606" s="10"/>
      <c r="C606" s="10"/>
      <c r="D606" s="14"/>
      <c r="E606" s="11"/>
      <c r="F606" s="15" t="str">
        <f aca="false">IF($B606="","",IF(AND($D606="",$E606=""),"",IF(OR($D606="",$E606=""),0,ROUND($D606*$E606,0))))</f>
        <v/>
      </c>
      <c r="G606" s="13"/>
      <c r="H606" s="11"/>
      <c r="I606" s="15" t="str">
        <f aca="false">IF($F606="","",$F606-IF($H606="",0,$H606))</f>
        <v/>
      </c>
      <c r="J606" s="16" t="str">
        <f aca="true">IF(OR($A606="",$I606="",$I606&lt;=0),"",TODAY()-$A606)</f>
        <v/>
      </c>
      <c r="K606" s="10"/>
    </row>
    <row r="607" customFormat="false" ht="15" hidden="false" customHeight="true" outlineLevel="0" collapsed="false">
      <c r="A607" s="13"/>
      <c r="B607" s="10"/>
      <c r="C607" s="10"/>
      <c r="D607" s="14"/>
      <c r="E607" s="11"/>
      <c r="F607" s="15" t="str">
        <f aca="false">IF($B607="","",IF(AND($D607="",$E607=""),"",IF(OR($D607="",$E607=""),0,ROUND($D607*$E607,0))))</f>
        <v/>
      </c>
      <c r="G607" s="13"/>
      <c r="H607" s="11"/>
      <c r="I607" s="15" t="str">
        <f aca="false">IF($F607="","",$F607-IF($H607="",0,$H607))</f>
        <v/>
      </c>
      <c r="J607" s="16" t="str">
        <f aca="true">IF(OR($A607="",$I607="",$I607&lt;=0),"",TODAY()-$A607)</f>
        <v/>
      </c>
      <c r="K607" s="10"/>
    </row>
    <row r="608" customFormat="false" ht="15" hidden="false" customHeight="true" outlineLevel="0" collapsed="false">
      <c r="A608" s="13"/>
      <c r="B608" s="10"/>
      <c r="C608" s="10"/>
      <c r="D608" s="14"/>
      <c r="E608" s="11"/>
      <c r="F608" s="15" t="str">
        <f aca="false">IF($B608="","",IF(AND($D608="",$E608=""),"",IF(OR($D608="",$E608=""),0,ROUND($D608*$E608,0))))</f>
        <v/>
      </c>
      <c r="G608" s="13"/>
      <c r="H608" s="11"/>
      <c r="I608" s="15" t="str">
        <f aca="false">IF($F608="","",$F608-IF($H608="",0,$H608))</f>
        <v/>
      </c>
      <c r="J608" s="16" t="str">
        <f aca="true">IF(OR($A608="",$I608="",$I608&lt;=0),"",TODAY()-$A608)</f>
        <v/>
      </c>
      <c r="K608" s="10"/>
    </row>
    <row r="609" customFormat="false" ht="15" hidden="false" customHeight="true" outlineLevel="0" collapsed="false">
      <c r="A609" s="13"/>
      <c r="B609" s="10"/>
      <c r="C609" s="10"/>
      <c r="D609" s="14"/>
      <c r="E609" s="11"/>
      <c r="F609" s="15" t="str">
        <f aca="false">IF($B609="","",IF(AND($D609="",$E609=""),"",IF(OR($D609="",$E609=""),0,ROUND($D609*$E609,0))))</f>
        <v/>
      </c>
      <c r="G609" s="13"/>
      <c r="H609" s="11"/>
      <c r="I609" s="15" t="str">
        <f aca="false">IF($F609="","",$F609-IF($H609="",0,$H609))</f>
        <v/>
      </c>
      <c r="J609" s="16" t="str">
        <f aca="true">IF(OR($A609="",$I609="",$I609&lt;=0),"",TODAY()-$A609)</f>
        <v/>
      </c>
      <c r="K609" s="10"/>
    </row>
    <row r="610" customFormat="false" ht="15" hidden="false" customHeight="true" outlineLevel="0" collapsed="false">
      <c r="A610" s="13"/>
      <c r="B610" s="10"/>
      <c r="C610" s="10"/>
      <c r="D610" s="14"/>
      <c r="E610" s="11"/>
      <c r="F610" s="15" t="str">
        <f aca="false">IF($B610="","",IF(AND($D610="",$E610=""),"",IF(OR($D610="",$E610=""),0,ROUND($D610*$E610,0))))</f>
        <v/>
      </c>
      <c r="G610" s="13"/>
      <c r="H610" s="11"/>
      <c r="I610" s="15" t="str">
        <f aca="false">IF($F610="","",$F610-IF($H610="",0,$H610))</f>
        <v/>
      </c>
      <c r="J610" s="16" t="str">
        <f aca="true">IF(OR($A610="",$I610="",$I610&lt;=0),"",TODAY()-$A610)</f>
        <v/>
      </c>
      <c r="K610" s="10"/>
    </row>
    <row r="611" customFormat="false" ht="15" hidden="false" customHeight="true" outlineLevel="0" collapsed="false">
      <c r="A611" s="13"/>
      <c r="B611" s="10"/>
      <c r="C611" s="10"/>
      <c r="D611" s="14"/>
      <c r="E611" s="11"/>
      <c r="F611" s="15" t="str">
        <f aca="false">IF($B611="","",IF(AND($D611="",$E611=""),"",IF(OR($D611="",$E611=""),0,ROUND($D611*$E611,0))))</f>
        <v/>
      </c>
      <c r="G611" s="13"/>
      <c r="H611" s="11"/>
      <c r="I611" s="15" t="str">
        <f aca="false">IF($F611="","",$F611-IF($H611="",0,$H611))</f>
        <v/>
      </c>
      <c r="J611" s="16" t="str">
        <f aca="true">IF(OR($A611="",$I611="",$I611&lt;=0),"",TODAY()-$A611)</f>
        <v/>
      </c>
      <c r="K611" s="10"/>
    </row>
    <row r="612" customFormat="false" ht="15" hidden="false" customHeight="true" outlineLevel="0" collapsed="false">
      <c r="A612" s="13"/>
      <c r="B612" s="10"/>
      <c r="C612" s="10"/>
      <c r="D612" s="14"/>
      <c r="E612" s="11"/>
      <c r="F612" s="15" t="str">
        <f aca="false">IF($B612="","",IF(AND($D612="",$E612=""),"",IF(OR($D612="",$E612=""),0,ROUND($D612*$E612,0))))</f>
        <v/>
      </c>
      <c r="G612" s="13"/>
      <c r="H612" s="11"/>
      <c r="I612" s="15" t="str">
        <f aca="false">IF($F612="","",$F612-IF($H612="",0,$H612))</f>
        <v/>
      </c>
      <c r="J612" s="16" t="str">
        <f aca="true">IF(OR($A612="",$I612="",$I612&lt;=0),"",TODAY()-$A612)</f>
        <v/>
      </c>
      <c r="K612" s="10"/>
    </row>
    <row r="613" customFormat="false" ht="15" hidden="false" customHeight="true" outlineLevel="0" collapsed="false">
      <c r="A613" s="13"/>
      <c r="B613" s="10"/>
      <c r="C613" s="10"/>
      <c r="D613" s="14"/>
      <c r="E613" s="11"/>
      <c r="F613" s="15" t="str">
        <f aca="false">IF($B613="","",IF(AND($D613="",$E613=""),"",IF(OR($D613="",$E613=""),0,ROUND($D613*$E613,0))))</f>
        <v/>
      </c>
      <c r="G613" s="13"/>
      <c r="H613" s="11"/>
      <c r="I613" s="15" t="str">
        <f aca="false">IF($F613="","",$F613-IF($H613="",0,$H613))</f>
        <v/>
      </c>
      <c r="J613" s="16" t="str">
        <f aca="true">IF(OR($A613="",$I613="",$I613&lt;=0),"",TODAY()-$A613)</f>
        <v/>
      </c>
      <c r="K613" s="10"/>
    </row>
    <row r="614" customFormat="false" ht="15" hidden="false" customHeight="true" outlineLevel="0" collapsed="false">
      <c r="A614" s="13"/>
      <c r="B614" s="10"/>
      <c r="C614" s="10"/>
      <c r="D614" s="14"/>
      <c r="E614" s="11"/>
      <c r="F614" s="15" t="str">
        <f aca="false">IF($B614="","",IF(AND($D614="",$E614=""),"",IF(OR($D614="",$E614=""),0,ROUND($D614*$E614,0))))</f>
        <v/>
      </c>
      <c r="G614" s="13"/>
      <c r="H614" s="11"/>
      <c r="I614" s="15" t="str">
        <f aca="false">IF($F614="","",$F614-IF($H614="",0,$H614))</f>
        <v/>
      </c>
      <c r="J614" s="16" t="str">
        <f aca="true">IF(OR($A614="",$I614="",$I614&lt;=0),"",TODAY()-$A614)</f>
        <v/>
      </c>
      <c r="K614" s="10"/>
    </row>
    <row r="615" customFormat="false" ht="15" hidden="false" customHeight="true" outlineLevel="0" collapsed="false">
      <c r="A615" s="13"/>
      <c r="B615" s="10"/>
      <c r="C615" s="10"/>
      <c r="D615" s="14"/>
      <c r="E615" s="11"/>
      <c r="F615" s="15" t="str">
        <f aca="false">IF($B615="","",IF(AND($D615="",$E615=""),"",IF(OR($D615="",$E615=""),0,ROUND($D615*$E615,0))))</f>
        <v/>
      </c>
      <c r="G615" s="13"/>
      <c r="H615" s="11"/>
      <c r="I615" s="15" t="str">
        <f aca="false">IF($F615="","",$F615-IF($H615="",0,$H615))</f>
        <v/>
      </c>
      <c r="J615" s="16" t="str">
        <f aca="true">IF(OR($A615="",$I615="",$I615&lt;=0),"",TODAY()-$A615)</f>
        <v/>
      </c>
      <c r="K615" s="10"/>
    </row>
    <row r="616" customFormat="false" ht="15" hidden="false" customHeight="true" outlineLevel="0" collapsed="false">
      <c r="A616" s="13"/>
      <c r="B616" s="10"/>
      <c r="C616" s="10"/>
      <c r="D616" s="14"/>
      <c r="E616" s="11"/>
      <c r="F616" s="15" t="str">
        <f aca="false">IF($B616="","",IF(AND($D616="",$E616=""),"",IF(OR($D616="",$E616=""),0,ROUND($D616*$E616,0))))</f>
        <v/>
      </c>
      <c r="G616" s="13"/>
      <c r="H616" s="11"/>
      <c r="I616" s="15" t="str">
        <f aca="false">IF($F616="","",$F616-IF($H616="",0,$H616))</f>
        <v/>
      </c>
      <c r="J616" s="16" t="str">
        <f aca="true">IF(OR($A616="",$I616="",$I616&lt;=0),"",TODAY()-$A616)</f>
        <v/>
      </c>
      <c r="K616" s="10"/>
    </row>
    <row r="617" customFormat="false" ht="15" hidden="false" customHeight="true" outlineLevel="0" collapsed="false">
      <c r="A617" s="13"/>
      <c r="B617" s="10"/>
      <c r="C617" s="10"/>
      <c r="D617" s="14"/>
      <c r="E617" s="11"/>
      <c r="F617" s="15" t="str">
        <f aca="false">IF($B617="","",IF(AND($D617="",$E617=""),"",IF(OR($D617="",$E617=""),0,ROUND($D617*$E617,0))))</f>
        <v/>
      </c>
      <c r="G617" s="13"/>
      <c r="H617" s="11"/>
      <c r="I617" s="15" t="str">
        <f aca="false">IF($F617="","",$F617-IF($H617="",0,$H617))</f>
        <v/>
      </c>
      <c r="J617" s="16" t="str">
        <f aca="true">IF(OR($A617="",$I617="",$I617&lt;=0),"",TODAY()-$A617)</f>
        <v/>
      </c>
      <c r="K617" s="10"/>
    </row>
    <row r="618" customFormat="false" ht="15" hidden="false" customHeight="true" outlineLevel="0" collapsed="false">
      <c r="A618" s="13"/>
      <c r="B618" s="10"/>
      <c r="C618" s="10"/>
      <c r="D618" s="14"/>
      <c r="E618" s="11"/>
      <c r="F618" s="15" t="str">
        <f aca="false">IF($B618="","",IF(AND($D618="",$E618=""),"",IF(OR($D618="",$E618=""),0,ROUND($D618*$E618,0))))</f>
        <v/>
      </c>
      <c r="G618" s="13"/>
      <c r="H618" s="11"/>
      <c r="I618" s="15" t="str">
        <f aca="false">IF($F618="","",$F618-IF($H618="",0,$H618))</f>
        <v/>
      </c>
      <c r="J618" s="16" t="str">
        <f aca="true">IF(OR($A618="",$I618="",$I618&lt;=0),"",TODAY()-$A618)</f>
        <v/>
      </c>
      <c r="K618" s="10"/>
    </row>
    <row r="619" customFormat="false" ht="15" hidden="false" customHeight="true" outlineLevel="0" collapsed="false">
      <c r="A619" s="13"/>
      <c r="B619" s="10"/>
      <c r="C619" s="10"/>
      <c r="D619" s="14"/>
      <c r="E619" s="11"/>
      <c r="F619" s="15" t="str">
        <f aca="false">IF($B619="","",IF(AND($D619="",$E619=""),"",IF(OR($D619="",$E619=""),0,ROUND($D619*$E619,0))))</f>
        <v/>
      </c>
      <c r="G619" s="13"/>
      <c r="H619" s="11"/>
      <c r="I619" s="15" t="str">
        <f aca="false">IF($F619="","",$F619-IF($H619="",0,$H619))</f>
        <v/>
      </c>
      <c r="J619" s="16" t="str">
        <f aca="true">IF(OR($A619="",$I619="",$I619&lt;=0),"",TODAY()-$A619)</f>
        <v/>
      </c>
      <c r="K619" s="10"/>
    </row>
    <row r="620" customFormat="false" ht="15" hidden="false" customHeight="true" outlineLevel="0" collapsed="false">
      <c r="A620" s="13"/>
      <c r="B620" s="10"/>
      <c r="C620" s="10"/>
      <c r="D620" s="14"/>
      <c r="E620" s="11"/>
      <c r="F620" s="15" t="str">
        <f aca="false">IF($B620="","",IF(AND($D620="",$E620=""),"",IF(OR($D620="",$E620=""),0,ROUND($D620*$E620,0))))</f>
        <v/>
      </c>
      <c r="G620" s="13"/>
      <c r="H620" s="11"/>
      <c r="I620" s="15" t="str">
        <f aca="false">IF($F620="","",$F620-IF($H620="",0,$H620))</f>
        <v/>
      </c>
      <c r="J620" s="16" t="str">
        <f aca="true">IF(OR($A620="",$I620="",$I620&lt;=0),"",TODAY()-$A620)</f>
        <v/>
      </c>
      <c r="K620" s="10"/>
    </row>
    <row r="621" customFormat="false" ht="15" hidden="false" customHeight="true" outlineLevel="0" collapsed="false">
      <c r="A621" s="13"/>
      <c r="B621" s="10"/>
      <c r="C621" s="10"/>
      <c r="D621" s="14"/>
      <c r="E621" s="11"/>
      <c r="F621" s="15" t="str">
        <f aca="false">IF($B621="","",IF(AND($D621="",$E621=""),"",IF(OR($D621="",$E621=""),0,ROUND($D621*$E621,0))))</f>
        <v/>
      </c>
      <c r="G621" s="13"/>
      <c r="H621" s="11"/>
      <c r="I621" s="15" t="str">
        <f aca="false">IF($F621="","",$F621-IF($H621="",0,$H621))</f>
        <v/>
      </c>
      <c r="J621" s="16" t="str">
        <f aca="true">IF(OR($A621="",$I621="",$I621&lt;=0),"",TODAY()-$A621)</f>
        <v/>
      </c>
      <c r="K621" s="10"/>
    </row>
    <row r="622" customFormat="false" ht="15" hidden="false" customHeight="true" outlineLevel="0" collapsed="false">
      <c r="A622" s="13"/>
      <c r="B622" s="10"/>
      <c r="C622" s="10"/>
      <c r="D622" s="14"/>
      <c r="E622" s="11"/>
      <c r="F622" s="15" t="str">
        <f aca="false">IF($B622="","",IF(AND($D622="",$E622=""),"",IF(OR($D622="",$E622=""),0,ROUND($D622*$E622,0))))</f>
        <v/>
      </c>
      <c r="G622" s="13"/>
      <c r="H622" s="11"/>
      <c r="I622" s="15" t="str">
        <f aca="false">IF($F622="","",$F622-IF($H622="",0,$H622))</f>
        <v/>
      </c>
      <c r="J622" s="16" t="str">
        <f aca="true">IF(OR($A622="",$I622="",$I622&lt;=0),"",TODAY()-$A622)</f>
        <v/>
      </c>
      <c r="K622" s="10"/>
    </row>
    <row r="623" customFormat="false" ht="15" hidden="false" customHeight="true" outlineLevel="0" collapsed="false">
      <c r="A623" s="13"/>
      <c r="B623" s="10"/>
      <c r="C623" s="10"/>
      <c r="D623" s="14"/>
      <c r="E623" s="11"/>
      <c r="F623" s="15" t="str">
        <f aca="false">IF($B623="","",IF(AND($D623="",$E623=""),"",IF(OR($D623="",$E623=""),0,ROUND($D623*$E623,0))))</f>
        <v/>
      </c>
      <c r="G623" s="13"/>
      <c r="H623" s="11"/>
      <c r="I623" s="15" t="str">
        <f aca="false">IF($F623="","",$F623-IF($H623="",0,$H623))</f>
        <v/>
      </c>
      <c r="J623" s="16" t="str">
        <f aca="true">IF(OR($A623="",$I623="",$I623&lt;=0),"",TODAY()-$A623)</f>
        <v/>
      </c>
      <c r="K623" s="10"/>
    </row>
    <row r="624" customFormat="false" ht="15" hidden="false" customHeight="true" outlineLevel="0" collapsed="false">
      <c r="A624" s="13"/>
      <c r="B624" s="10"/>
      <c r="C624" s="10"/>
      <c r="D624" s="14"/>
      <c r="E624" s="11"/>
      <c r="F624" s="15" t="str">
        <f aca="false">IF($B624="","",IF(AND($D624="",$E624=""),"",IF(OR($D624="",$E624=""),0,ROUND($D624*$E624,0))))</f>
        <v/>
      </c>
      <c r="G624" s="13"/>
      <c r="H624" s="11"/>
      <c r="I624" s="15" t="str">
        <f aca="false">IF($F624="","",$F624-IF($H624="",0,$H624))</f>
        <v/>
      </c>
      <c r="J624" s="16" t="str">
        <f aca="true">IF(OR($A624="",$I624="",$I624&lt;=0),"",TODAY()-$A624)</f>
        <v/>
      </c>
      <c r="K624" s="10"/>
    </row>
    <row r="625" customFormat="false" ht="15" hidden="false" customHeight="true" outlineLevel="0" collapsed="false">
      <c r="A625" s="13"/>
      <c r="B625" s="10"/>
      <c r="C625" s="10"/>
      <c r="D625" s="14"/>
      <c r="E625" s="11"/>
      <c r="F625" s="15" t="str">
        <f aca="false">IF($B625="","",IF(AND($D625="",$E625=""),"",IF(OR($D625="",$E625=""),0,ROUND($D625*$E625,0))))</f>
        <v/>
      </c>
      <c r="G625" s="13"/>
      <c r="H625" s="11"/>
      <c r="I625" s="15" t="str">
        <f aca="false">IF($F625="","",$F625-IF($H625="",0,$H625))</f>
        <v/>
      </c>
      <c r="J625" s="16" t="str">
        <f aca="true">IF(OR($A625="",$I625="",$I625&lt;=0),"",TODAY()-$A625)</f>
        <v/>
      </c>
      <c r="K625" s="10"/>
    </row>
    <row r="626" customFormat="false" ht="15" hidden="false" customHeight="true" outlineLevel="0" collapsed="false">
      <c r="A626" s="13"/>
      <c r="B626" s="10"/>
      <c r="C626" s="10"/>
      <c r="D626" s="14"/>
      <c r="E626" s="11"/>
      <c r="F626" s="15" t="str">
        <f aca="false">IF($B626="","",IF(AND($D626="",$E626=""),"",IF(OR($D626="",$E626=""),0,ROUND($D626*$E626,0))))</f>
        <v/>
      </c>
      <c r="G626" s="13"/>
      <c r="H626" s="11"/>
      <c r="I626" s="15" t="str">
        <f aca="false">IF($F626="","",$F626-IF($H626="",0,$H626))</f>
        <v/>
      </c>
      <c r="J626" s="16" t="str">
        <f aca="true">IF(OR($A626="",$I626="",$I626&lt;=0),"",TODAY()-$A626)</f>
        <v/>
      </c>
      <c r="K626" s="10"/>
    </row>
    <row r="627" customFormat="false" ht="15" hidden="false" customHeight="true" outlineLevel="0" collapsed="false">
      <c r="A627" s="13"/>
      <c r="B627" s="10"/>
      <c r="C627" s="10"/>
      <c r="D627" s="14"/>
      <c r="E627" s="11"/>
      <c r="F627" s="15" t="str">
        <f aca="false">IF($B627="","",IF(AND($D627="",$E627=""),"",IF(OR($D627="",$E627=""),0,ROUND($D627*$E627,0))))</f>
        <v/>
      </c>
      <c r="G627" s="13"/>
      <c r="H627" s="11"/>
      <c r="I627" s="15" t="str">
        <f aca="false">IF($F627="","",$F627-IF($H627="",0,$H627))</f>
        <v/>
      </c>
      <c r="J627" s="16" t="str">
        <f aca="true">IF(OR($A627="",$I627="",$I627&lt;=0),"",TODAY()-$A627)</f>
        <v/>
      </c>
      <c r="K627" s="10"/>
    </row>
    <row r="628" customFormat="false" ht="15" hidden="false" customHeight="true" outlineLevel="0" collapsed="false">
      <c r="A628" s="13"/>
      <c r="B628" s="10"/>
      <c r="C628" s="10"/>
      <c r="D628" s="14"/>
      <c r="E628" s="11"/>
      <c r="F628" s="15" t="str">
        <f aca="false">IF($B628="","",IF(AND($D628="",$E628=""),"",IF(OR($D628="",$E628=""),0,ROUND($D628*$E628,0))))</f>
        <v/>
      </c>
      <c r="G628" s="13"/>
      <c r="H628" s="11"/>
      <c r="I628" s="15" t="str">
        <f aca="false">IF($F628="","",$F628-IF($H628="",0,$H628))</f>
        <v/>
      </c>
      <c r="J628" s="16" t="str">
        <f aca="true">IF(OR($A628="",$I628="",$I628&lt;=0),"",TODAY()-$A628)</f>
        <v/>
      </c>
      <c r="K628" s="10"/>
    </row>
    <row r="629" customFormat="false" ht="15" hidden="false" customHeight="true" outlineLevel="0" collapsed="false">
      <c r="A629" s="13"/>
      <c r="B629" s="10"/>
      <c r="C629" s="10"/>
      <c r="D629" s="14"/>
      <c r="E629" s="11"/>
      <c r="F629" s="15" t="str">
        <f aca="false">IF($B629="","",IF(AND($D629="",$E629=""),"",IF(OR($D629="",$E629=""),0,ROUND($D629*$E629,0))))</f>
        <v/>
      </c>
      <c r="G629" s="13"/>
      <c r="H629" s="11"/>
      <c r="I629" s="15" t="str">
        <f aca="false">IF($F629="","",$F629-IF($H629="",0,$H629))</f>
        <v/>
      </c>
      <c r="J629" s="16" t="str">
        <f aca="true">IF(OR($A629="",$I629="",$I629&lt;=0),"",TODAY()-$A629)</f>
        <v/>
      </c>
      <c r="K629" s="10"/>
    </row>
    <row r="630" customFormat="false" ht="15" hidden="false" customHeight="true" outlineLevel="0" collapsed="false">
      <c r="A630" s="13"/>
      <c r="B630" s="10"/>
      <c r="C630" s="10"/>
      <c r="D630" s="14"/>
      <c r="E630" s="11"/>
      <c r="F630" s="15" t="str">
        <f aca="false">IF($B630="","",IF(AND($D630="",$E630=""),"",IF(OR($D630="",$E630=""),0,ROUND($D630*$E630,0))))</f>
        <v/>
      </c>
      <c r="G630" s="13"/>
      <c r="H630" s="11"/>
      <c r="I630" s="15" t="str">
        <f aca="false">IF($F630="","",$F630-IF($H630="",0,$H630))</f>
        <v/>
      </c>
      <c r="J630" s="16" t="str">
        <f aca="true">IF(OR($A630="",$I630="",$I630&lt;=0),"",TODAY()-$A630)</f>
        <v/>
      </c>
      <c r="K630" s="10"/>
    </row>
    <row r="631" customFormat="false" ht="15" hidden="false" customHeight="true" outlineLevel="0" collapsed="false">
      <c r="A631" s="13"/>
      <c r="B631" s="10"/>
      <c r="C631" s="10"/>
      <c r="D631" s="14"/>
      <c r="E631" s="11"/>
      <c r="F631" s="15" t="str">
        <f aca="false">IF($B631="","",IF(AND($D631="",$E631=""),"",IF(OR($D631="",$E631=""),0,ROUND($D631*$E631,0))))</f>
        <v/>
      </c>
      <c r="G631" s="13"/>
      <c r="H631" s="11"/>
      <c r="I631" s="15" t="str">
        <f aca="false">IF($F631="","",$F631-IF($H631="",0,$H631))</f>
        <v/>
      </c>
      <c r="J631" s="16" t="str">
        <f aca="true">IF(OR($A631="",$I631="",$I631&lt;=0),"",TODAY()-$A631)</f>
        <v/>
      </c>
      <c r="K631" s="10"/>
    </row>
    <row r="632" customFormat="false" ht="15" hidden="false" customHeight="true" outlineLevel="0" collapsed="false">
      <c r="A632" s="13"/>
      <c r="B632" s="10"/>
      <c r="C632" s="10"/>
      <c r="D632" s="14"/>
      <c r="E632" s="11"/>
      <c r="F632" s="15" t="str">
        <f aca="false">IF($B632="","",IF(AND($D632="",$E632=""),"",IF(OR($D632="",$E632=""),0,ROUND($D632*$E632,0))))</f>
        <v/>
      </c>
      <c r="G632" s="13"/>
      <c r="H632" s="11"/>
      <c r="I632" s="15" t="str">
        <f aca="false">IF($F632="","",$F632-IF($H632="",0,$H632))</f>
        <v/>
      </c>
      <c r="J632" s="16" t="str">
        <f aca="true">IF(OR($A632="",$I632="",$I632&lt;=0),"",TODAY()-$A632)</f>
        <v/>
      </c>
      <c r="K632" s="10"/>
    </row>
    <row r="633" customFormat="false" ht="15" hidden="false" customHeight="true" outlineLevel="0" collapsed="false">
      <c r="A633" s="13"/>
      <c r="B633" s="10"/>
      <c r="C633" s="10"/>
      <c r="D633" s="14"/>
      <c r="E633" s="11"/>
      <c r="F633" s="15" t="str">
        <f aca="false">IF($B633="","",IF(AND($D633="",$E633=""),"",IF(OR($D633="",$E633=""),0,ROUND($D633*$E633,0))))</f>
        <v/>
      </c>
      <c r="G633" s="13"/>
      <c r="H633" s="11"/>
      <c r="I633" s="15" t="str">
        <f aca="false">IF($F633="","",$F633-IF($H633="",0,$H633))</f>
        <v/>
      </c>
      <c r="J633" s="16" t="str">
        <f aca="true">IF(OR($A633="",$I633="",$I633&lt;=0),"",TODAY()-$A633)</f>
        <v/>
      </c>
      <c r="K633" s="10"/>
    </row>
    <row r="634" customFormat="false" ht="15" hidden="false" customHeight="true" outlineLevel="0" collapsed="false">
      <c r="A634" s="13"/>
      <c r="B634" s="10"/>
      <c r="C634" s="10"/>
      <c r="D634" s="14"/>
      <c r="E634" s="11"/>
      <c r="F634" s="15" t="str">
        <f aca="false">IF($B634="","",IF(AND($D634="",$E634=""),"",IF(OR($D634="",$E634=""),0,ROUND($D634*$E634,0))))</f>
        <v/>
      </c>
      <c r="G634" s="13"/>
      <c r="H634" s="11"/>
      <c r="I634" s="15" t="str">
        <f aca="false">IF($F634="","",$F634-IF($H634="",0,$H634))</f>
        <v/>
      </c>
      <c r="J634" s="16" t="str">
        <f aca="true">IF(OR($A634="",$I634="",$I634&lt;=0),"",TODAY()-$A634)</f>
        <v/>
      </c>
      <c r="K634" s="10"/>
    </row>
    <row r="635" customFormat="false" ht="15" hidden="false" customHeight="true" outlineLevel="0" collapsed="false">
      <c r="A635" s="13"/>
      <c r="B635" s="10"/>
      <c r="C635" s="10"/>
      <c r="D635" s="14"/>
      <c r="E635" s="11"/>
      <c r="F635" s="15" t="str">
        <f aca="false">IF($B635="","",IF(AND($D635="",$E635=""),"",IF(OR($D635="",$E635=""),0,ROUND($D635*$E635,0))))</f>
        <v/>
      </c>
      <c r="G635" s="13"/>
      <c r="H635" s="11"/>
      <c r="I635" s="15" t="str">
        <f aca="false">IF($F635="","",$F635-IF($H635="",0,$H635))</f>
        <v/>
      </c>
      <c r="J635" s="16" t="str">
        <f aca="true">IF(OR($A635="",$I635="",$I635&lt;=0),"",TODAY()-$A635)</f>
        <v/>
      </c>
      <c r="K635" s="10"/>
    </row>
    <row r="636" customFormat="false" ht="15" hidden="false" customHeight="true" outlineLevel="0" collapsed="false">
      <c r="A636" s="13"/>
      <c r="B636" s="10"/>
      <c r="C636" s="10"/>
      <c r="D636" s="14"/>
      <c r="E636" s="11"/>
      <c r="F636" s="15" t="str">
        <f aca="false">IF($B636="","",IF(AND($D636="",$E636=""),"",IF(OR($D636="",$E636=""),0,ROUND($D636*$E636,0))))</f>
        <v/>
      </c>
      <c r="G636" s="13"/>
      <c r="H636" s="11"/>
      <c r="I636" s="15" t="str">
        <f aca="false">IF($F636="","",$F636-IF($H636="",0,$H636))</f>
        <v/>
      </c>
      <c r="J636" s="16" t="str">
        <f aca="true">IF(OR($A636="",$I636="",$I636&lt;=0),"",TODAY()-$A636)</f>
        <v/>
      </c>
      <c r="K636" s="10"/>
    </row>
    <row r="637" customFormat="false" ht="15" hidden="false" customHeight="true" outlineLevel="0" collapsed="false">
      <c r="A637" s="13"/>
      <c r="B637" s="10"/>
      <c r="C637" s="10"/>
      <c r="D637" s="14"/>
      <c r="E637" s="11"/>
      <c r="F637" s="15" t="str">
        <f aca="false">IF($B637="","",IF(AND($D637="",$E637=""),"",IF(OR($D637="",$E637=""),0,ROUND($D637*$E637,0))))</f>
        <v/>
      </c>
      <c r="G637" s="13"/>
      <c r="H637" s="11"/>
      <c r="I637" s="15" t="str">
        <f aca="false">IF($F637="","",$F637-IF($H637="",0,$H637))</f>
        <v/>
      </c>
      <c r="J637" s="16" t="str">
        <f aca="true">IF(OR($A637="",$I637="",$I637&lt;=0),"",TODAY()-$A637)</f>
        <v/>
      </c>
      <c r="K637" s="10"/>
    </row>
    <row r="638" customFormat="false" ht="15" hidden="false" customHeight="true" outlineLevel="0" collapsed="false">
      <c r="A638" s="13"/>
      <c r="B638" s="10"/>
      <c r="C638" s="10"/>
      <c r="D638" s="14"/>
      <c r="E638" s="11"/>
      <c r="F638" s="15" t="str">
        <f aca="false">IF($B638="","",IF(AND($D638="",$E638=""),"",IF(OR($D638="",$E638=""),0,ROUND($D638*$E638,0))))</f>
        <v/>
      </c>
      <c r="G638" s="13"/>
      <c r="H638" s="11"/>
      <c r="I638" s="15" t="str">
        <f aca="false">IF($F638="","",$F638-IF($H638="",0,$H638))</f>
        <v/>
      </c>
      <c r="J638" s="16" t="str">
        <f aca="true">IF(OR($A638="",$I638="",$I638&lt;=0),"",TODAY()-$A638)</f>
        <v/>
      </c>
      <c r="K638" s="10"/>
    </row>
    <row r="639" customFormat="false" ht="15" hidden="false" customHeight="true" outlineLevel="0" collapsed="false">
      <c r="A639" s="13"/>
      <c r="B639" s="10"/>
      <c r="C639" s="10"/>
      <c r="D639" s="14"/>
      <c r="E639" s="11"/>
      <c r="F639" s="15" t="str">
        <f aca="false">IF($B639="","",IF(AND($D639="",$E639=""),"",IF(OR($D639="",$E639=""),0,ROUND($D639*$E639,0))))</f>
        <v/>
      </c>
      <c r="G639" s="13"/>
      <c r="H639" s="11"/>
      <c r="I639" s="15" t="str">
        <f aca="false">IF($F639="","",$F639-IF($H639="",0,$H639))</f>
        <v/>
      </c>
      <c r="J639" s="16" t="str">
        <f aca="true">IF(OR($A639="",$I639="",$I639&lt;=0),"",TODAY()-$A639)</f>
        <v/>
      </c>
      <c r="K639" s="10"/>
    </row>
    <row r="640" customFormat="false" ht="15" hidden="false" customHeight="true" outlineLevel="0" collapsed="false">
      <c r="A640" s="13"/>
      <c r="B640" s="10"/>
      <c r="C640" s="10"/>
      <c r="D640" s="14"/>
      <c r="E640" s="11"/>
      <c r="F640" s="15" t="str">
        <f aca="false">IF($B640="","",IF(AND($D640="",$E640=""),"",IF(OR($D640="",$E640=""),0,ROUND($D640*$E640,0))))</f>
        <v/>
      </c>
      <c r="G640" s="13"/>
      <c r="H640" s="11"/>
      <c r="I640" s="15" t="str">
        <f aca="false">IF($F640="","",$F640-IF($H640="",0,$H640))</f>
        <v/>
      </c>
      <c r="J640" s="16" t="str">
        <f aca="true">IF(OR($A640="",$I640="",$I640&lt;=0),"",TODAY()-$A640)</f>
        <v/>
      </c>
      <c r="K640" s="10"/>
    </row>
    <row r="641" customFormat="false" ht="15" hidden="false" customHeight="true" outlineLevel="0" collapsed="false">
      <c r="A641" s="13"/>
      <c r="B641" s="10"/>
      <c r="C641" s="10"/>
      <c r="D641" s="14"/>
      <c r="E641" s="11"/>
      <c r="F641" s="15" t="str">
        <f aca="false">IF($B641="","",IF(AND($D641="",$E641=""),"",IF(OR($D641="",$E641=""),0,ROUND($D641*$E641,0))))</f>
        <v/>
      </c>
      <c r="G641" s="13"/>
      <c r="H641" s="11"/>
      <c r="I641" s="15" t="str">
        <f aca="false">IF($F641="","",$F641-IF($H641="",0,$H641))</f>
        <v/>
      </c>
      <c r="J641" s="16" t="str">
        <f aca="true">IF(OR($A641="",$I641="",$I641&lt;=0),"",TODAY()-$A641)</f>
        <v/>
      </c>
      <c r="K641" s="10"/>
    </row>
    <row r="642" customFormat="false" ht="15" hidden="false" customHeight="true" outlineLevel="0" collapsed="false">
      <c r="A642" s="13"/>
      <c r="B642" s="10"/>
      <c r="C642" s="10"/>
      <c r="D642" s="14"/>
      <c r="E642" s="11"/>
      <c r="F642" s="15" t="str">
        <f aca="false">IF($B642="","",IF(AND($D642="",$E642=""),"",IF(OR($D642="",$E642=""),0,ROUND($D642*$E642,0))))</f>
        <v/>
      </c>
      <c r="G642" s="13"/>
      <c r="H642" s="11"/>
      <c r="I642" s="15" t="str">
        <f aca="false">IF($F642="","",$F642-IF($H642="",0,$H642))</f>
        <v/>
      </c>
      <c r="J642" s="16" t="str">
        <f aca="true">IF(OR($A642="",$I642="",$I642&lt;=0),"",TODAY()-$A642)</f>
        <v/>
      </c>
      <c r="K642" s="10"/>
    </row>
    <row r="643" customFormat="false" ht="15" hidden="false" customHeight="true" outlineLevel="0" collapsed="false">
      <c r="A643" s="13"/>
      <c r="B643" s="10"/>
      <c r="C643" s="10"/>
      <c r="D643" s="14"/>
      <c r="E643" s="11"/>
      <c r="F643" s="15" t="str">
        <f aca="false">IF($B643="","",IF(AND($D643="",$E643=""),"",IF(OR($D643="",$E643=""),0,ROUND($D643*$E643,0))))</f>
        <v/>
      </c>
      <c r="G643" s="13"/>
      <c r="H643" s="11"/>
      <c r="I643" s="15" t="str">
        <f aca="false">IF($F643="","",$F643-IF($H643="",0,$H643))</f>
        <v/>
      </c>
      <c r="J643" s="16" t="str">
        <f aca="true">IF(OR($A643="",$I643="",$I643&lt;=0),"",TODAY()-$A643)</f>
        <v/>
      </c>
      <c r="K643" s="10"/>
    </row>
    <row r="644" customFormat="false" ht="15" hidden="false" customHeight="true" outlineLevel="0" collapsed="false">
      <c r="A644" s="13"/>
      <c r="B644" s="10"/>
      <c r="C644" s="10"/>
      <c r="D644" s="14"/>
      <c r="E644" s="11"/>
      <c r="F644" s="15" t="str">
        <f aca="false">IF($B644="","",IF(AND($D644="",$E644=""),"",IF(OR($D644="",$E644=""),0,ROUND($D644*$E644,0))))</f>
        <v/>
      </c>
      <c r="G644" s="13"/>
      <c r="H644" s="11"/>
      <c r="I644" s="15" t="str">
        <f aca="false">IF($F644="","",$F644-IF($H644="",0,$H644))</f>
        <v/>
      </c>
      <c r="J644" s="16" t="str">
        <f aca="true">IF(OR($A644="",$I644="",$I644&lt;=0),"",TODAY()-$A644)</f>
        <v/>
      </c>
      <c r="K644" s="10"/>
    </row>
    <row r="645" customFormat="false" ht="15" hidden="false" customHeight="true" outlineLevel="0" collapsed="false">
      <c r="A645" s="13"/>
      <c r="B645" s="10"/>
      <c r="C645" s="10"/>
      <c r="D645" s="14"/>
      <c r="E645" s="11"/>
      <c r="F645" s="15" t="str">
        <f aca="false">IF($B645="","",IF(AND($D645="",$E645=""),"",IF(OR($D645="",$E645=""),0,ROUND($D645*$E645,0))))</f>
        <v/>
      </c>
      <c r="G645" s="13"/>
      <c r="H645" s="11"/>
      <c r="I645" s="15" t="str">
        <f aca="false">IF($F645="","",$F645-IF($H645="",0,$H645))</f>
        <v/>
      </c>
      <c r="J645" s="16" t="str">
        <f aca="true">IF(OR($A645="",$I645="",$I645&lt;=0),"",TODAY()-$A645)</f>
        <v/>
      </c>
      <c r="K645" s="10"/>
    </row>
    <row r="646" customFormat="false" ht="15" hidden="false" customHeight="true" outlineLevel="0" collapsed="false">
      <c r="A646" s="13"/>
      <c r="B646" s="10"/>
      <c r="C646" s="10"/>
      <c r="D646" s="14"/>
      <c r="E646" s="11"/>
      <c r="F646" s="15" t="str">
        <f aca="false">IF($B646="","",IF(AND($D646="",$E646=""),"",IF(OR($D646="",$E646=""),0,ROUND($D646*$E646,0))))</f>
        <v/>
      </c>
      <c r="G646" s="13"/>
      <c r="H646" s="11"/>
      <c r="I646" s="15" t="str">
        <f aca="false">IF($F646="","",$F646-IF($H646="",0,$H646))</f>
        <v/>
      </c>
      <c r="J646" s="16" t="str">
        <f aca="true">IF(OR($A646="",$I646="",$I646&lt;=0),"",TODAY()-$A646)</f>
        <v/>
      </c>
      <c r="K646" s="10"/>
    </row>
    <row r="647" customFormat="false" ht="15" hidden="false" customHeight="true" outlineLevel="0" collapsed="false">
      <c r="A647" s="13"/>
      <c r="B647" s="10"/>
      <c r="C647" s="10"/>
      <c r="D647" s="14"/>
      <c r="E647" s="11"/>
      <c r="F647" s="15" t="str">
        <f aca="false">IF($B647="","",IF(AND($D647="",$E647=""),"",IF(OR($D647="",$E647=""),0,ROUND($D647*$E647,0))))</f>
        <v/>
      </c>
      <c r="G647" s="13"/>
      <c r="H647" s="11"/>
      <c r="I647" s="15" t="str">
        <f aca="false">IF($F647="","",$F647-IF($H647="",0,$H647))</f>
        <v/>
      </c>
      <c r="J647" s="16" t="str">
        <f aca="true">IF(OR($A647="",$I647="",$I647&lt;=0),"",TODAY()-$A647)</f>
        <v/>
      </c>
      <c r="K647" s="10"/>
    </row>
    <row r="648" customFormat="false" ht="15" hidden="false" customHeight="true" outlineLevel="0" collapsed="false">
      <c r="A648" s="13"/>
      <c r="B648" s="10"/>
      <c r="C648" s="10"/>
      <c r="D648" s="14"/>
      <c r="E648" s="11"/>
      <c r="F648" s="15" t="str">
        <f aca="false">IF($B648="","",IF(AND($D648="",$E648=""),"",IF(OR($D648="",$E648=""),0,ROUND($D648*$E648,0))))</f>
        <v/>
      </c>
      <c r="G648" s="13"/>
      <c r="H648" s="11"/>
      <c r="I648" s="15" t="str">
        <f aca="false">IF($F648="","",$F648-IF($H648="",0,$H648))</f>
        <v/>
      </c>
      <c r="J648" s="16" t="str">
        <f aca="true">IF(OR($A648="",$I648="",$I648&lt;=0),"",TODAY()-$A648)</f>
        <v/>
      </c>
      <c r="K648" s="10"/>
    </row>
    <row r="649" customFormat="false" ht="15" hidden="false" customHeight="true" outlineLevel="0" collapsed="false">
      <c r="A649" s="13"/>
      <c r="B649" s="10"/>
      <c r="C649" s="10"/>
      <c r="D649" s="14"/>
      <c r="E649" s="11"/>
      <c r="F649" s="15" t="str">
        <f aca="false">IF($B649="","",IF(AND($D649="",$E649=""),"",IF(OR($D649="",$E649=""),0,ROUND($D649*$E649,0))))</f>
        <v/>
      </c>
      <c r="G649" s="13"/>
      <c r="H649" s="11"/>
      <c r="I649" s="15" t="str">
        <f aca="false">IF($F649="","",$F649-IF($H649="",0,$H649))</f>
        <v/>
      </c>
      <c r="J649" s="16" t="str">
        <f aca="true">IF(OR($A649="",$I649="",$I649&lt;=0),"",TODAY()-$A649)</f>
        <v/>
      </c>
      <c r="K649" s="10"/>
    </row>
    <row r="650" customFormat="false" ht="15" hidden="false" customHeight="true" outlineLevel="0" collapsed="false">
      <c r="A650" s="13"/>
      <c r="B650" s="10"/>
      <c r="C650" s="10"/>
      <c r="D650" s="14"/>
      <c r="E650" s="11"/>
      <c r="F650" s="15" t="str">
        <f aca="false">IF($B650="","",IF(AND($D650="",$E650=""),"",IF(OR($D650="",$E650=""),0,ROUND($D650*$E650,0))))</f>
        <v/>
      </c>
      <c r="G650" s="13"/>
      <c r="H650" s="11"/>
      <c r="I650" s="15" t="str">
        <f aca="false">IF($F650="","",$F650-IF($H650="",0,$H650))</f>
        <v/>
      </c>
      <c r="J650" s="16" t="str">
        <f aca="true">IF(OR($A650="",$I650="",$I650&lt;=0),"",TODAY()-$A650)</f>
        <v/>
      </c>
      <c r="K650" s="10"/>
    </row>
    <row r="651" customFormat="false" ht="15" hidden="false" customHeight="true" outlineLevel="0" collapsed="false">
      <c r="A651" s="13"/>
      <c r="B651" s="10"/>
      <c r="C651" s="10"/>
      <c r="D651" s="14"/>
      <c r="E651" s="11"/>
      <c r="F651" s="15" t="str">
        <f aca="false">IF($B651="","",IF(AND($D651="",$E651=""),"",IF(OR($D651="",$E651=""),0,ROUND($D651*$E651,0))))</f>
        <v/>
      </c>
      <c r="G651" s="13"/>
      <c r="H651" s="11"/>
      <c r="I651" s="15" t="str">
        <f aca="false">IF($F651="","",$F651-IF($H651="",0,$H651))</f>
        <v/>
      </c>
      <c r="J651" s="16" t="str">
        <f aca="true">IF(OR($A651="",$I651="",$I651&lt;=0),"",TODAY()-$A651)</f>
        <v/>
      </c>
      <c r="K651" s="10"/>
    </row>
    <row r="652" customFormat="false" ht="15" hidden="false" customHeight="true" outlineLevel="0" collapsed="false">
      <c r="A652" s="13"/>
      <c r="B652" s="10"/>
      <c r="C652" s="10"/>
      <c r="D652" s="14"/>
      <c r="E652" s="11"/>
      <c r="F652" s="15" t="str">
        <f aca="false">IF($B652="","",IF(AND($D652="",$E652=""),"",IF(OR($D652="",$E652=""),0,ROUND($D652*$E652,0))))</f>
        <v/>
      </c>
      <c r="G652" s="13"/>
      <c r="H652" s="11"/>
      <c r="I652" s="15" t="str">
        <f aca="false">IF($F652="","",$F652-IF($H652="",0,$H652))</f>
        <v/>
      </c>
      <c r="J652" s="16" t="str">
        <f aca="true">IF(OR($A652="",$I652="",$I652&lt;=0),"",TODAY()-$A652)</f>
        <v/>
      </c>
      <c r="K652" s="10"/>
    </row>
    <row r="653" customFormat="false" ht="15" hidden="false" customHeight="true" outlineLevel="0" collapsed="false">
      <c r="A653" s="13"/>
      <c r="B653" s="10"/>
      <c r="C653" s="10"/>
      <c r="D653" s="14"/>
      <c r="E653" s="11"/>
      <c r="F653" s="15" t="str">
        <f aca="false">IF($B653="","",IF(AND($D653="",$E653=""),"",IF(OR($D653="",$E653=""),0,ROUND($D653*$E653,0))))</f>
        <v/>
      </c>
      <c r="G653" s="13"/>
      <c r="H653" s="11"/>
      <c r="I653" s="15" t="str">
        <f aca="false">IF($F653="","",$F653-IF($H653="",0,$H653))</f>
        <v/>
      </c>
      <c r="J653" s="16" t="str">
        <f aca="true">IF(OR($A653="",$I653="",$I653&lt;=0),"",TODAY()-$A653)</f>
        <v/>
      </c>
      <c r="K653" s="10"/>
    </row>
    <row r="654" customFormat="false" ht="15" hidden="false" customHeight="true" outlineLevel="0" collapsed="false">
      <c r="A654" s="13"/>
      <c r="B654" s="10"/>
      <c r="C654" s="10"/>
      <c r="D654" s="14"/>
      <c r="E654" s="11"/>
      <c r="F654" s="15" t="str">
        <f aca="false">IF($B654="","",IF(AND($D654="",$E654=""),"",IF(OR($D654="",$E654=""),0,ROUND($D654*$E654,0))))</f>
        <v/>
      </c>
      <c r="G654" s="13"/>
      <c r="H654" s="11"/>
      <c r="I654" s="15" t="str">
        <f aca="false">IF($F654="","",$F654-IF($H654="",0,$H654))</f>
        <v/>
      </c>
      <c r="J654" s="16" t="str">
        <f aca="true">IF(OR($A654="",$I654="",$I654&lt;=0),"",TODAY()-$A654)</f>
        <v/>
      </c>
      <c r="K654" s="10"/>
    </row>
    <row r="655" customFormat="false" ht="15" hidden="false" customHeight="true" outlineLevel="0" collapsed="false">
      <c r="A655" s="13"/>
      <c r="B655" s="10"/>
      <c r="C655" s="10"/>
      <c r="D655" s="14"/>
      <c r="E655" s="11"/>
      <c r="F655" s="15" t="str">
        <f aca="false">IF($B655="","",IF(AND($D655="",$E655=""),"",IF(OR($D655="",$E655=""),0,ROUND($D655*$E655,0))))</f>
        <v/>
      </c>
      <c r="G655" s="13"/>
      <c r="H655" s="11"/>
      <c r="I655" s="15" t="str">
        <f aca="false">IF($F655="","",$F655-IF($H655="",0,$H655))</f>
        <v/>
      </c>
      <c r="J655" s="16" t="str">
        <f aca="true">IF(OR($A655="",$I655="",$I655&lt;=0),"",TODAY()-$A655)</f>
        <v/>
      </c>
      <c r="K655" s="10"/>
    </row>
    <row r="656" customFormat="false" ht="15" hidden="false" customHeight="true" outlineLevel="0" collapsed="false">
      <c r="A656" s="13"/>
      <c r="B656" s="10"/>
      <c r="C656" s="10"/>
      <c r="D656" s="14"/>
      <c r="E656" s="11"/>
      <c r="F656" s="15" t="str">
        <f aca="false">IF($B656="","",IF(AND($D656="",$E656=""),"",IF(OR($D656="",$E656=""),0,ROUND($D656*$E656,0))))</f>
        <v/>
      </c>
      <c r="G656" s="13"/>
      <c r="H656" s="11"/>
      <c r="I656" s="15" t="str">
        <f aca="false">IF($F656="","",$F656-IF($H656="",0,$H656))</f>
        <v/>
      </c>
      <c r="J656" s="16" t="str">
        <f aca="true">IF(OR($A656="",$I656="",$I656&lt;=0),"",TODAY()-$A656)</f>
        <v/>
      </c>
      <c r="K656" s="10"/>
    </row>
    <row r="657" customFormat="false" ht="15" hidden="false" customHeight="true" outlineLevel="0" collapsed="false">
      <c r="A657" s="13"/>
      <c r="B657" s="10"/>
      <c r="C657" s="10"/>
      <c r="D657" s="14"/>
      <c r="E657" s="11"/>
      <c r="F657" s="15" t="str">
        <f aca="false">IF($B657="","",IF(AND($D657="",$E657=""),"",IF(OR($D657="",$E657=""),0,ROUND($D657*$E657,0))))</f>
        <v/>
      </c>
      <c r="G657" s="13"/>
      <c r="H657" s="11"/>
      <c r="I657" s="15" t="str">
        <f aca="false">IF($F657="","",$F657-IF($H657="",0,$H657))</f>
        <v/>
      </c>
      <c r="J657" s="16" t="str">
        <f aca="true">IF(OR($A657="",$I657="",$I657&lt;=0),"",TODAY()-$A657)</f>
        <v/>
      </c>
      <c r="K657" s="10"/>
    </row>
    <row r="658" customFormat="false" ht="15" hidden="false" customHeight="true" outlineLevel="0" collapsed="false">
      <c r="A658" s="13"/>
      <c r="B658" s="10"/>
      <c r="C658" s="10"/>
      <c r="D658" s="14"/>
      <c r="E658" s="11"/>
      <c r="F658" s="15" t="str">
        <f aca="false">IF($B658="","",IF(AND($D658="",$E658=""),"",IF(OR($D658="",$E658=""),0,ROUND($D658*$E658,0))))</f>
        <v/>
      </c>
      <c r="G658" s="13"/>
      <c r="H658" s="11"/>
      <c r="I658" s="15" t="str">
        <f aca="false">IF($F658="","",$F658-IF($H658="",0,$H658))</f>
        <v/>
      </c>
      <c r="J658" s="16" t="str">
        <f aca="true">IF(OR($A658="",$I658="",$I658&lt;=0),"",TODAY()-$A658)</f>
        <v/>
      </c>
      <c r="K658" s="10"/>
    </row>
    <row r="659" customFormat="false" ht="15" hidden="false" customHeight="true" outlineLevel="0" collapsed="false">
      <c r="A659" s="13"/>
      <c r="B659" s="10"/>
      <c r="C659" s="10"/>
      <c r="D659" s="14"/>
      <c r="E659" s="11"/>
      <c r="F659" s="15" t="str">
        <f aca="false">IF($B659="","",IF(AND($D659="",$E659=""),"",IF(OR($D659="",$E659=""),0,ROUND($D659*$E659,0))))</f>
        <v/>
      </c>
      <c r="G659" s="13"/>
      <c r="H659" s="11"/>
      <c r="I659" s="15" t="str">
        <f aca="false">IF($F659="","",$F659-IF($H659="",0,$H659))</f>
        <v/>
      </c>
      <c r="J659" s="16" t="str">
        <f aca="true">IF(OR($A659="",$I659="",$I659&lt;=0),"",TODAY()-$A659)</f>
        <v/>
      </c>
      <c r="K659" s="10"/>
    </row>
    <row r="660" customFormat="false" ht="15" hidden="false" customHeight="true" outlineLevel="0" collapsed="false">
      <c r="A660" s="13"/>
      <c r="B660" s="10"/>
      <c r="C660" s="10"/>
      <c r="D660" s="14"/>
      <c r="E660" s="11"/>
      <c r="F660" s="15" t="str">
        <f aca="false">IF($B660="","",IF(AND($D660="",$E660=""),"",IF(OR($D660="",$E660=""),0,ROUND($D660*$E660,0))))</f>
        <v/>
      </c>
      <c r="G660" s="13"/>
      <c r="H660" s="11"/>
      <c r="I660" s="15" t="str">
        <f aca="false">IF($F660="","",$F660-IF($H660="",0,$H660))</f>
        <v/>
      </c>
      <c r="J660" s="16" t="str">
        <f aca="true">IF(OR($A660="",$I660="",$I660&lt;=0),"",TODAY()-$A660)</f>
        <v/>
      </c>
      <c r="K660" s="10"/>
    </row>
    <row r="661" customFormat="false" ht="15" hidden="false" customHeight="true" outlineLevel="0" collapsed="false">
      <c r="A661" s="13"/>
      <c r="B661" s="10"/>
      <c r="C661" s="10"/>
      <c r="D661" s="14"/>
      <c r="E661" s="11"/>
      <c r="F661" s="15" t="str">
        <f aca="false">IF($B661="","",IF(AND($D661="",$E661=""),"",IF(OR($D661="",$E661=""),0,ROUND($D661*$E661,0))))</f>
        <v/>
      </c>
      <c r="G661" s="13"/>
      <c r="H661" s="11"/>
      <c r="I661" s="15" t="str">
        <f aca="false">IF($F661="","",$F661-IF($H661="",0,$H661))</f>
        <v/>
      </c>
      <c r="J661" s="16" t="str">
        <f aca="true">IF(OR($A661="",$I661="",$I661&lt;=0),"",TODAY()-$A661)</f>
        <v/>
      </c>
      <c r="K661" s="10"/>
    </row>
    <row r="662" customFormat="false" ht="15" hidden="false" customHeight="true" outlineLevel="0" collapsed="false">
      <c r="A662" s="13"/>
      <c r="B662" s="10"/>
      <c r="C662" s="10"/>
      <c r="D662" s="14"/>
      <c r="E662" s="11"/>
      <c r="F662" s="15" t="str">
        <f aca="false">IF($B662="","",IF(AND($D662="",$E662=""),"",IF(OR($D662="",$E662=""),0,ROUND($D662*$E662,0))))</f>
        <v/>
      </c>
      <c r="G662" s="13"/>
      <c r="H662" s="11"/>
      <c r="I662" s="15" t="str">
        <f aca="false">IF($F662="","",$F662-IF($H662="",0,$H662))</f>
        <v/>
      </c>
      <c r="J662" s="16" t="str">
        <f aca="true">IF(OR($A662="",$I662="",$I662&lt;=0),"",TODAY()-$A662)</f>
        <v/>
      </c>
      <c r="K662" s="10"/>
    </row>
    <row r="663" customFormat="false" ht="15" hidden="false" customHeight="true" outlineLevel="0" collapsed="false">
      <c r="A663" s="13"/>
      <c r="B663" s="10"/>
      <c r="C663" s="10"/>
      <c r="D663" s="14"/>
      <c r="E663" s="11"/>
      <c r="F663" s="15" t="str">
        <f aca="false">IF($B663="","",IF(AND($D663="",$E663=""),"",IF(OR($D663="",$E663=""),0,ROUND($D663*$E663,0))))</f>
        <v/>
      </c>
      <c r="G663" s="13"/>
      <c r="H663" s="11"/>
      <c r="I663" s="15" t="str">
        <f aca="false">IF($F663="","",$F663-IF($H663="",0,$H663))</f>
        <v/>
      </c>
      <c r="J663" s="16" t="str">
        <f aca="true">IF(OR($A663="",$I663="",$I663&lt;=0),"",TODAY()-$A663)</f>
        <v/>
      </c>
      <c r="K663" s="10"/>
    </row>
    <row r="664" customFormat="false" ht="15" hidden="false" customHeight="true" outlineLevel="0" collapsed="false">
      <c r="A664" s="13"/>
      <c r="B664" s="10"/>
      <c r="C664" s="10"/>
      <c r="D664" s="14"/>
      <c r="E664" s="11"/>
      <c r="F664" s="15" t="str">
        <f aca="false">IF($B664="","",IF(AND($D664="",$E664=""),"",IF(OR($D664="",$E664=""),0,ROUND($D664*$E664,0))))</f>
        <v/>
      </c>
      <c r="G664" s="13"/>
      <c r="H664" s="11"/>
      <c r="I664" s="15" t="str">
        <f aca="false">IF($F664="","",$F664-IF($H664="",0,$H664))</f>
        <v/>
      </c>
      <c r="J664" s="16" t="str">
        <f aca="true">IF(OR($A664="",$I664="",$I664&lt;=0),"",TODAY()-$A664)</f>
        <v/>
      </c>
      <c r="K664" s="10"/>
    </row>
    <row r="665" customFormat="false" ht="15" hidden="false" customHeight="true" outlineLevel="0" collapsed="false">
      <c r="A665" s="13"/>
      <c r="B665" s="10"/>
      <c r="C665" s="10"/>
      <c r="D665" s="14"/>
      <c r="E665" s="11"/>
      <c r="F665" s="15" t="str">
        <f aca="false">IF($B665="","",IF(AND($D665="",$E665=""),"",IF(OR($D665="",$E665=""),0,ROUND($D665*$E665,0))))</f>
        <v/>
      </c>
      <c r="G665" s="13"/>
      <c r="H665" s="11"/>
      <c r="I665" s="15" t="str">
        <f aca="false">IF($F665="","",$F665-IF($H665="",0,$H665))</f>
        <v/>
      </c>
      <c r="J665" s="16" t="str">
        <f aca="true">IF(OR($A665="",$I665="",$I665&lt;=0),"",TODAY()-$A665)</f>
        <v/>
      </c>
      <c r="K665" s="10"/>
    </row>
    <row r="666" customFormat="false" ht="15" hidden="false" customHeight="true" outlineLevel="0" collapsed="false">
      <c r="A666" s="13"/>
      <c r="B666" s="10"/>
      <c r="C666" s="10"/>
      <c r="D666" s="14"/>
      <c r="E666" s="11"/>
      <c r="F666" s="15" t="str">
        <f aca="false">IF($B666="","",IF(AND($D666="",$E666=""),"",IF(OR($D666="",$E666=""),0,ROUND($D666*$E666,0))))</f>
        <v/>
      </c>
      <c r="G666" s="13"/>
      <c r="H666" s="11"/>
      <c r="I666" s="15" t="str">
        <f aca="false">IF($F666="","",$F666-IF($H666="",0,$H666))</f>
        <v/>
      </c>
      <c r="J666" s="16" t="str">
        <f aca="true">IF(OR($A666="",$I666="",$I666&lt;=0),"",TODAY()-$A666)</f>
        <v/>
      </c>
      <c r="K666" s="10"/>
    </row>
    <row r="667" customFormat="false" ht="15" hidden="false" customHeight="true" outlineLevel="0" collapsed="false">
      <c r="A667" s="13"/>
      <c r="B667" s="10"/>
      <c r="C667" s="10"/>
      <c r="D667" s="14"/>
      <c r="E667" s="11"/>
      <c r="F667" s="15" t="str">
        <f aca="false">IF($B667="","",IF(AND($D667="",$E667=""),"",IF(OR($D667="",$E667=""),0,ROUND($D667*$E667,0))))</f>
        <v/>
      </c>
      <c r="G667" s="13"/>
      <c r="H667" s="11"/>
      <c r="I667" s="15" t="str">
        <f aca="false">IF($F667="","",$F667-IF($H667="",0,$H667))</f>
        <v/>
      </c>
      <c r="J667" s="16" t="str">
        <f aca="true">IF(OR($A667="",$I667="",$I667&lt;=0),"",TODAY()-$A667)</f>
        <v/>
      </c>
      <c r="K667" s="10"/>
    </row>
    <row r="668" customFormat="false" ht="15" hidden="false" customHeight="true" outlineLevel="0" collapsed="false">
      <c r="A668" s="13"/>
      <c r="B668" s="10"/>
      <c r="C668" s="10"/>
      <c r="D668" s="14"/>
      <c r="E668" s="11"/>
      <c r="F668" s="15" t="str">
        <f aca="false">IF($B668="","",IF(AND($D668="",$E668=""),"",IF(OR($D668="",$E668=""),0,ROUND($D668*$E668,0))))</f>
        <v/>
      </c>
      <c r="G668" s="13"/>
      <c r="H668" s="11"/>
      <c r="I668" s="15" t="str">
        <f aca="false">IF($F668="","",$F668-IF($H668="",0,$H668))</f>
        <v/>
      </c>
      <c r="J668" s="16" t="str">
        <f aca="true">IF(OR($A668="",$I668="",$I668&lt;=0),"",TODAY()-$A668)</f>
        <v/>
      </c>
      <c r="K668" s="10"/>
    </row>
    <row r="669" customFormat="false" ht="15" hidden="false" customHeight="true" outlineLevel="0" collapsed="false">
      <c r="A669" s="13"/>
      <c r="B669" s="10"/>
      <c r="C669" s="10"/>
      <c r="D669" s="14"/>
      <c r="E669" s="11"/>
      <c r="F669" s="15" t="str">
        <f aca="false">IF($B669="","",IF(AND($D669="",$E669=""),"",IF(OR($D669="",$E669=""),0,ROUND($D669*$E669,0))))</f>
        <v/>
      </c>
      <c r="G669" s="13"/>
      <c r="H669" s="11"/>
      <c r="I669" s="15" t="str">
        <f aca="false">IF($F669="","",$F669-IF($H669="",0,$H669))</f>
        <v/>
      </c>
      <c r="J669" s="16" t="str">
        <f aca="true">IF(OR($A669="",$I669="",$I669&lt;=0),"",TODAY()-$A669)</f>
        <v/>
      </c>
      <c r="K669" s="10"/>
    </row>
    <row r="670" customFormat="false" ht="15" hidden="false" customHeight="true" outlineLevel="0" collapsed="false">
      <c r="A670" s="13"/>
      <c r="B670" s="10"/>
      <c r="C670" s="10"/>
      <c r="D670" s="14"/>
      <c r="E670" s="11"/>
      <c r="F670" s="15" t="str">
        <f aca="false">IF($B670="","",IF(AND($D670="",$E670=""),"",IF(OR($D670="",$E670=""),0,ROUND($D670*$E670,0))))</f>
        <v/>
      </c>
      <c r="G670" s="13"/>
      <c r="H670" s="11"/>
      <c r="I670" s="15" t="str">
        <f aca="false">IF($F670="","",$F670-IF($H670="",0,$H670))</f>
        <v/>
      </c>
      <c r="J670" s="16" t="str">
        <f aca="true">IF(OR($A670="",$I670="",$I670&lt;=0),"",TODAY()-$A670)</f>
        <v/>
      </c>
      <c r="K670" s="10"/>
    </row>
    <row r="671" customFormat="false" ht="15" hidden="false" customHeight="true" outlineLevel="0" collapsed="false">
      <c r="A671" s="13"/>
      <c r="B671" s="10"/>
      <c r="C671" s="10"/>
      <c r="D671" s="14"/>
      <c r="E671" s="11"/>
      <c r="F671" s="15" t="str">
        <f aca="false">IF($B671="","",IF(AND($D671="",$E671=""),"",IF(OR($D671="",$E671=""),0,ROUND($D671*$E671,0))))</f>
        <v/>
      </c>
      <c r="G671" s="13"/>
      <c r="H671" s="11"/>
      <c r="I671" s="15" t="str">
        <f aca="false">IF($F671="","",$F671-IF($H671="",0,$H671))</f>
        <v/>
      </c>
      <c r="J671" s="16" t="str">
        <f aca="true">IF(OR($A671="",$I671="",$I671&lt;=0),"",TODAY()-$A671)</f>
        <v/>
      </c>
      <c r="K671" s="10"/>
    </row>
    <row r="672" customFormat="false" ht="15" hidden="false" customHeight="true" outlineLevel="0" collapsed="false">
      <c r="A672" s="13"/>
      <c r="B672" s="10"/>
      <c r="C672" s="10"/>
      <c r="D672" s="14"/>
      <c r="E672" s="11"/>
      <c r="F672" s="15" t="str">
        <f aca="false">IF($B672="","",IF(AND($D672="",$E672=""),"",IF(OR($D672="",$E672=""),0,ROUND($D672*$E672,0))))</f>
        <v/>
      </c>
      <c r="G672" s="13"/>
      <c r="H672" s="11"/>
      <c r="I672" s="15" t="str">
        <f aca="false">IF($F672="","",$F672-IF($H672="",0,$H672))</f>
        <v/>
      </c>
      <c r="J672" s="16" t="str">
        <f aca="true">IF(OR($A672="",$I672="",$I672&lt;=0),"",TODAY()-$A672)</f>
        <v/>
      </c>
      <c r="K672" s="10"/>
    </row>
    <row r="673" customFormat="false" ht="15" hidden="false" customHeight="true" outlineLevel="0" collapsed="false">
      <c r="A673" s="13"/>
      <c r="B673" s="10"/>
      <c r="C673" s="10"/>
      <c r="D673" s="14"/>
      <c r="E673" s="11"/>
      <c r="F673" s="15" t="str">
        <f aca="false">IF($B673="","",IF(AND($D673="",$E673=""),"",IF(OR($D673="",$E673=""),0,ROUND($D673*$E673,0))))</f>
        <v/>
      </c>
      <c r="G673" s="13"/>
      <c r="H673" s="11"/>
      <c r="I673" s="15" t="str">
        <f aca="false">IF($F673="","",$F673-IF($H673="",0,$H673))</f>
        <v/>
      </c>
      <c r="J673" s="16" t="str">
        <f aca="true">IF(OR($A673="",$I673="",$I673&lt;=0),"",TODAY()-$A673)</f>
        <v/>
      </c>
      <c r="K673" s="10"/>
    </row>
    <row r="674" customFormat="false" ht="15" hidden="false" customHeight="true" outlineLevel="0" collapsed="false">
      <c r="A674" s="13"/>
      <c r="B674" s="10"/>
      <c r="C674" s="10"/>
      <c r="D674" s="14"/>
      <c r="E674" s="11"/>
      <c r="F674" s="15" t="str">
        <f aca="false">IF($B674="","",IF(AND($D674="",$E674=""),"",IF(OR($D674="",$E674=""),0,ROUND($D674*$E674,0))))</f>
        <v/>
      </c>
      <c r="G674" s="13"/>
      <c r="H674" s="11"/>
      <c r="I674" s="15" t="str">
        <f aca="false">IF($F674="","",$F674-IF($H674="",0,$H674))</f>
        <v/>
      </c>
      <c r="J674" s="16" t="str">
        <f aca="true">IF(OR($A674="",$I674="",$I674&lt;=0),"",TODAY()-$A674)</f>
        <v/>
      </c>
      <c r="K674" s="10"/>
    </row>
    <row r="675" customFormat="false" ht="15" hidden="false" customHeight="true" outlineLevel="0" collapsed="false">
      <c r="A675" s="13"/>
      <c r="B675" s="10"/>
      <c r="C675" s="10"/>
      <c r="D675" s="14"/>
      <c r="E675" s="11"/>
      <c r="F675" s="15" t="str">
        <f aca="false">IF($B675="","",IF(AND($D675="",$E675=""),"",IF(OR($D675="",$E675=""),0,ROUND($D675*$E675,0))))</f>
        <v/>
      </c>
      <c r="G675" s="13"/>
      <c r="H675" s="11"/>
      <c r="I675" s="15" t="str">
        <f aca="false">IF($F675="","",$F675-IF($H675="",0,$H675))</f>
        <v/>
      </c>
      <c r="J675" s="16" t="str">
        <f aca="true">IF(OR($A675="",$I675="",$I675&lt;=0),"",TODAY()-$A675)</f>
        <v/>
      </c>
      <c r="K675" s="10"/>
    </row>
    <row r="676" customFormat="false" ht="15" hidden="false" customHeight="true" outlineLevel="0" collapsed="false">
      <c r="A676" s="13"/>
      <c r="B676" s="10"/>
      <c r="C676" s="10"/>
      <c r="D676" s="14"/>
      <c r="E676" s="11"/>
      <c r="F676" s="15" t="str">
        <f aca="false">IF($B676="","",IF(AND($D676="",$E676=""),"",IF(OR($D676="",$E676=""),0,ROUND($D676*$E676,0))))</f>
        <v/>
      </c>
      <c r="G676" s="13"/>
      <c r="H676" s="11"/>
      <c r="I676" s="15" t="str">
        <f aca="false">IF($F676="","",$F676-IF($H676="",0,$H676))</f>
        <v/>
      </c>
      <c r="J676" s="16" t="str">
        <f aca="true">IF(OR($A676="",$I676="",$I676&lt;=0),"",TODAY()-$A676)</f>
        <v/>
      </c>
      <c r="K676" s="10"/>
    </row>
    <row r="677" customFormat="false" ht="15" hidden="false" customHeight="true" outlineLevel="0" collapsed="false">
      <c r="A677" s="13"/>
      <c r="B677" s="10"/>
      <c r="C677" s="10"/>
      <c r="D677" s="14"/>
      <c r="E677" s="11"/>
      <c r="F677" s="15" t="str">
        <f aca="false">IF($B677="","",IF(AND($D677="",$E677=""),"",IF(OR($D677="",$E677=""),0,ROUND($D677*$E677,0))))</f>
        <v/>
      </c>
      <c r="G677" s="13"/>
      <c r="H677" s="11"/>
      <c r="I677" s="15" t="str">
        <f aca="false">IF($F677="","",$F677-IF($H677="",0,$H677))</f>
        <v/>
      </c>
      <c r="J677" s="16" t="str">
        <f aca="true">IF(OR($A677="",$I677="",$I677&lt;=0),"",TODAY()-$A677)</f>
        <v/>
      </c>
      <c r="K677" s="10"/>
    </row>
    <row r="678" customFormat="false" ht="15" hidden="false" customHeight="true" outlineLevel="0" collapsed="false">
      <c r="A678" s="13"/>
      <c r="B678" s="10"/>
      <c r="C678" s="10"/>
      <c r="D678" s="14"/>
      <c r="E678" s="11"/>
      <c r="F678" s="15" t="str">
        <f aca="false">IF($B678="","",IF(AND($D678="",$E678=""),"",IF(OR($D678="",$E678=""),0,ROUND($D678*$E678,0))))</f>
        <v/>
      </c>
      <c r="G678" s="13"/>
      <c r="H678" s="11"/>
      <c r="I678" s="15" t="str">
        <f aca="false">IF($F678="","",$F678-IF($H678="",0,$H678))</f>
        <v/>
      </c>
      <c r="J678" s="16" t="str">
        <f aca="true">IF(OR($A678="",$I678="",$I678&lt;=0),"",TODAY()-$A678)</f>
        <v/>
      </c>
      <c r="K678" s="10"/>
    </row>
    <row r="679" customFormat="false" ht="15" hidden="false" customHeight="true" outlineLevel="0" collapsed="false">
      <c r="A679" s="13"/>
      <c r="B679" s="10"/>
      <c r="C679" s="10"/>
      <c r="D679" s="14"/>
      <c r="E679" s="11"/>
      <c r="F679" s="15" t="str">
        <f aca="false">IF($B679="","",IF(AND($D679="",$E679=""),"",IF(OR($D679="",$E679=""),0,ROUND($D679*$E679,0))))</f>
        <v/>
      </c>
      <c r="G679" s="13"/>
      <c r="H679" s="11"/>
      <c r="I679" s="15" t="str">
        <f aca="false">IF($F679="","",$F679-IF($H679="",0,$H679))</f>
        <v/>
      </c>
      <c r="J679" s="16" t="str">
        <f aca="true">IF(OR($A679="",$I679="",$I679&lt;=0),"",TODAY()-$A679)</f>
        <v/>
      </c>
      <c r="K679" s="10"/>
    </row>
    <row r="680" customFormat="false" ht="15" hidden="false" customHeight="true" outlineLevel="0" collapsed="false">
      <c r="A680" s="13"/>
      <c r="B680" s="10"/>
      <c r="C680" s="10"/>
      <c r="D680" s="14"/>
      <c r="E680" s="11"/>
      <c r="F680" s="15" t="str">
        <f aca="false">IF($B680="","",IF(AND($D680="",$E680=""),"",IF(OR($D680="",$E680=""),0,ROUND($D680*$E680,0))))</f>
        <v/>
      </c>
      <c r="G680" s="13"/>
      <c r="H680" s="11"/>
      <c r="I680" s="15" t="str">
        <f aca="false">IF($F680="","",$F680-IF($H680="",0,$H680))</f>
        <v/>
      </c>
      <c r="J680" s="16" t="str">
        <f aca="true">IF(OR($A680="",$I680="",$I680&lt;=0),"",TODAY()-$A680)</f>
        <v/>
      </c>
      <c r="K680" s="10"/>
    </row>
    <row r="681" customFormat="false" ht="15" hidden="false" customHeight="true" outlineLevel="0" collapsed="false">
      <c r="A681" s="13"/>
      <c r="B681" s="10"/>
      <c r="C681" s="10"/>
      <c r="D681" s="14"/>
      <c r="E681" s="11"/>
      <c r="F681" s="15" t="str">
        <f aca="false">IF($B681="","",IF(AND($D681="",$E681=""),"",IF(OR($D681="",$E681=""),0,ROUND($D681*$E681,0))))</f>
        <v/>
      </c>
      <c r="G681" s="13"/>
      <c r="H681" s="11"/>
      <c r="I681" s="15" t="str">
        <f aca="false">IF($F681="","",$F681-IF($H681="",0,$H681))</f>
        <v/>
      </c>
      <c r="J681" s="16" t="str">
        <f aca="true">IF(OR($A681="",$I681="",$I681&lt;=0),"",TODAY()-$A681)</f>
        <v/>
      </c>
      <c r="K681" s="10"/>
    </row>
    <row r="682" customFormat="false" ht="15" hidden="false" customHeight="true" outlineLevel="0" collapsed="false">
      <c r="A682" s="13"/>
      <c r="B682" s="10"/>
      <c r="C682" s="10"/>
      <c r="D682" s="14"/>
      <c r="E682" s="11"/>
      <c r="F682" s="15" t="str">
        <f aca="false">IF($B682="","",IF(AND($D682="",$E682=""),"",IF(OR($D682="",$E682=""),0,ROUND($D682*$E682,0))))</f>
        <v/>
      </c>
      <c r="G682" s="13"/>
      <c r="H682" s="11"/>
      <c r="I682" s="15" t="str">
        <f aca="false">IF($F682="","",$F682-IF($H682="",0,$H682))</f>
        <v/>
      </c>
      <c r="J682" s="16" t="str">
        <f aca="true">IF(OR($A682="",$I682="",$I682&lt;=0),"",TODAY()-$A682)</f>
        <v/>
      </c>
      <c r="K682" s="10"/>
    </row>
    <row r="683" customFormat="false" ht="15" hidden="false" customHeight="true" outlineLevel="0" collapsed="false">
      <c r="A683" s="13"/>
      <c r="B683" s="10"/>
      <c r="C683" s="10"/>
      <c r="D683" s="14"/>
      <c r="E683" s="11"/>
      <c r="F683" s="15" t="str">
        <f aca="false">IF($B683="","",IF(AND($D683="",$E683=""),"",IF(OR($D683="",$E683=""),0,ROUND($D683*$E683,0))))</f>
        <v/>
      </c>
      <c r="G683" s="13"/>
      <c r="H683" s="11"/>
      <c r="I683" s="15" t="str">
        <f aca="false">IF($F683="","",$F683-IF($H683="",0,$H683))</f>
        <v/>
      </c>
      <c r="J683" s="16" t="str">
        <f aca="true">IF(OR($A683="",$I683="",$I683&lt;=0),"",TODAY()-$A683)</f>
        <v/>
      </c>
      <c r="K683" s="10"/>
    </row>
    <row r="684" customFormat="false" ht="15" hidden="false" customHeight="true" outlineLevel="0" collapsed="false">
      <c r="A684" s="13"/>
      <c r="B684" s="10"/>
      <c r="C684" s="10"/>
      <c r="D684" s="14"/>
      <c r="E684" s="11"/>
      <c r="F684" s="15" t="str">
        <f aca="false">IF($B684="","",IF(AND($D684="",$E684=""),"",IF(OR($D684="",$E684=""),0,ROUND($D684*$E684,0))))</f>
        <v/>
      </c>
      <c r="G684" s="13"/>
      <c r="H684" s="11"/>
      <c r="I684" s="15" t="str">
        <f aca="false">IF($F684="","",$F684-IF($H684="",0,$H684))</f>
        <v/>
      </c>
      <c r="J684" s="16" t="str">
        <f aca="true">IF(OR($A684="",$I684="",$I684&lt;=0),"",TODAY()-$A684)</f>
        <v/>
      </c>
      <c r="K684" s="10"/>
    </row>
    <row r="685" customFormat="false" ht="15" hidden="false" customHeight="true" outlineLevel="0" collapsed="false">
      <c r="A685" s="13"/>
      <c r="B685" s="10"/>
      <c r="C685" s="10"/>
      <c r="D685" s="14"/>
      <c r="E685" s="11"/>
      <c r="F685" s="15" t="str">
        <f aca="false">IF($B685="","",IF(AND($D685="",$E685=""),"",IF(OR($D685="",$E685=""),0,ROUND($D685*$E685,0))))</f>
        <v/>
      </c>
      <c r="G685" s="13"/>
      <c r="H685" s="11"/>
      <c r="I685" s="15" t="str">
        <f aca="false">IF($F685="","",$F685-IF($H685="",0,$H685))</f>
        <v/>
      </c>
      <c r="J685" s="16" t="str">
        <f aca="true">IF(OR($A685="",$I685="",$I685&lt;=0),"",TODAY()-$A685)</f>
        <v/>
      </c>
      <c r="K685" s="10"/>
    </row>
    <row r="686" customFormat="false" ht="15" hidden="false" customHeight="true" outlineLevel="0" collapsed="false">
      <c r="A686" s="13"/>
      <c r="B686" s="10"/>
      <c r="C686" s="10"/>
      <c r="D686" s="14"/>
      <c r="E686" s="11"/>
      <c r="F686" s="15" t="str">
        <f aca="false">IF($B686="","",IF(AND($D686="",$E686=""),"",IF(OR($D686="",$E686=""),0,ROUND($D686*$E686,0))))</f>
        <v/>
      </c>
      <c r="G686" s="13"/>
      <c r="H686" s="11"/>
      <c r="I686" s="15" t="str">
        <f aca="false">IF($F686="","",$F686-IF($H686="",0,$H686))</f>
        <v/>
      </c>
      <c r="J686" s="16" t="str">
        <f aca="true">IF(OR($A686="",$I686="",$I686&lt;=0),"",TODAY()-$A686)</f>
        <v/>
      </c>
      <c r="K686" s="10"/>
    </row>
    <row r="687" customFormat="false" ht="15" hidden="false" customHeight="true" outlineLevel="0" collapsed="false">
      <c r="A687" s="13"/>
      <c r="B687" s="10"/>
      <c r="C687" s="10"/>
      <c r="D687" s="14"/>
      <c r="E687" s="11"/>
      <c r="F687" s="15" t="str">
        <f aca="false">IF($B687="","",IF(AND($D687="",$E687=""),"",IF(OR($D687="",$E687=""),0,ROUND($D687*$E687,0))))</f>
        <v/>
      </c>
      <c r="G687" s="13"/>
      <c r="H687" s="11"/>
      <c r="I687" s="15" t="str">
        <f aca="false">IF($F687="","",$F687-IF($H687="",0,$H687))</f>
        <v/>
      </c>
      <c r="J687" s="16" t="str">
        <f aca="true">IF(OR($A687="",$I687="",$I687&lt;=0),"",TODAY()-$A687)</f>
        <v/>
      </c>
      <c r="K687" s="10"/>
    </row>
    <row r="688" customFormat="false" ht="15" hidden="false" customHeight="true" outlineLevel="0" collapsed="false">
      <c r="A688" s="13"/>
      <c r="B688" s="10"/>
      <c r="C688" s="10"/>
      <c r="D688" s="14"/>
      <c r="E688" s="11"/>
      <c r="F688" s="15" t="str">
        <f aca="false">IF($B688="","",IF(AND($D688="",$E688=""),"",IF(OR($D688="",$E688=""),0,ROUND($D688*$E688,0))))</f>
        <v/>
      </c>
      <c r="G688" s="13"/>
      <c r="H688" s="11"/>
      <c r="I688" s="15" t="str">
        <f aca="false">IF($F688="","",$F688-IF($H688="",0,$H688))</f>
        <v/>
      </c>
      <c r="J688" s="16" t="str">
        <f aca="true">IF(OR($A688="",$I688="",$I688&lt;=0),"",TODAY()-$A688)</f>
        <v/>
      </c>
      <c r="K688" s="10"/>
    </row>
    <row r="689" customFormat="false" ht="15" hidden="false" customHeight="true" outlineLevel="0" collapsed="false">
      <c r="A689" s="13"/>
      <c r="B689" s="10"/>
      <c r="C689" s="10"/>
      <c r="D689" s="14"/>
      <c r="E689" s="11"/>
      <c r="F689" s="15" t="str">
        <f aca="false">IF($B689="","",IF(AND($D689="",$E689=""),"",IF(OR($D689="",$E689=""),0,ROUND($D689*$E689,0))))</f>
        <v/>
      </c>
      <c r="G689" s="13"/>
      <c r="H689" s="11"/>
      <c r="I689" s="15" t="str">
        <f aca="false">IF($F689="","",$F689-IF($H689="",0,$H689))</f>
        <v/>
      </c>
      <c r="J689" s="16" t="str">
        <f aca="true">IF(OR($A689="",$I689="",$I689&lt;=0),"",TODAY()-$A689)</f>
        <v/>
      </c>
      <c r="K689" s="10"/>
    </row>
    <row r="690" customFormat="false" ht="15" hidden="false" customHeight="true" outlineLevel="0" collapsed="false">
      <c r="A690" s="13"/>
      <c r="B690" s="10"/>
      <c r="C690" s="10"/>
      <c r="D690" s="14"/>
      <c r="E690" s="11"/>
      <c r="F690" s="15" t="str">
        <f aca="false">IF($B690="","",IF(AND($D690="",$E690=""),"",IF(OR($D690="",$E690=""),0,ROUND($D690*$E690,0))))</f>
        <v/>
      </c>
      <c r="G690" s="13"/>
      <c r="H690" s="11"/>
      <c r="I690" s="15" t="str">
        <f aca="false">IF($F690="","",$F690-IF($H690="",0,$H690))</f>
        <v/>
      </c>
      <c r="J690" s="16" t="str">
        <f aca="true">IF(OR($A690="",$I690="",$I690&lt;=0),"",TODAY()-$A690)</f>
        <v/>
      </c>
      <c r="K690" s="10"/>
    </row>
    <row r="691" customFormat="false" ht="15" hidden="false" customHeight="true" outlineLevel="0" collapsed="false">
      <c r="A691" s="13"/>
      <c r="B691" s="10"/>
      <c r="C691" s="10"/>
      <c r="D691" s="14"/>
      <c r="E691" s="11"/>
      <c r="F691" s="15" t="str">
        <f aca="false">IF($B691="","",IF(AND($D691="",$E691=""),"",IF(OR($D691="",$E691=""),0,ROUND($D691*$E691,0))))</f>
        <v/>
      </c>
      <c r="G691" s="13"/>
      <c r="H691" s="11"/>
      <c r="I691" s="15" t="str">
        <f aca="false">IF($F691="","",$F691-IF($H691="",0,$H691))</f>
        <v/>
      </c>
      <c r="J691" s="16" t="str">
        <f aca="true">IF(OR($A691="",$I691="",$I691&lt;=0),"",TODAY()-$A691)</f>
        <v/>
      </c>
      <c r="K691" s="10"/>
    </row>
    <row r="692" customFormat="false" ht="15" hidden="false" customHeight="true" outlineLevel="0" collapsed="false">
      <c r="A692" s="13"/>
      <c r="B692" s="10"/>
      <c r="C692" s="10"/>
      <c r="D692" s="14"/>
      <c r="E692" s="11"/>
      <c r="F692" s="15" t="str">
        <f aca="false">IF($B692="","",IF(AND($D692="",$E692=""),"",IF(OR($D692="",$E692=""),0,ROUND($D692*$E692,0))))</f>
        <v/>
      </c>
      <c r="G692" s="13"/>
      <c r="H692" s="11"/>
      <c r="I692" s="15" t="str">
        <f aca="false">IF($F692="","",$F692-IF($H692="",0,$H692))</f>
        <v/>
      </c>
      <c r="J692" s="16" t="str">
        <f aca="true">IF(OR($A692="",$I692="",$I692&lt;=0),"",TODAY()-$A692)</f>
        <v/>
      </c>
      <c r="K692" s="10"/>
    </row>
    <row r="693" customFormat="false" ht="15" hidden="false" customHeight="true" outlineLevel="0" collapsed="false">
      <c r="A693" s="13"/>
      <c r="B693" s="10"/>
      <c r="C693" s="10"/>
      <c r="D693" s="14"/>
      <c r="E693" s="11"/>
      <c r="F693" s="15" t="str">
        <f aca="false">IF($B693="","",IF(AND($D693="",$E693=""),"",IF(OR($D693="",$E693=""),0,ROUND($D693*$E693,0))))</f>
        <v/>
      </c>
      <c r="G693" s="13"/>
      <c r="H693" s="11"/>
      <c r="I693" s="15" t="str">
        <f aca="false">IF($F693="","",$F693-IF($H693="",0,$H693))</f>
        <v/>
      </c>
      <c r="J693" s="16" t="str">
        <f aca="true">IF(OR($A693="",$I693="",$I693&lt;=0),"",TODAY()-$A693)</f>
        <v/>
      </c>
      <c r="K693" s="10"/>
    </row>
    <row r="694" customFormat="false" ht="15" hidden="false" customHeight="true" outlineLevel="0" collapsed="false">
      <c r="A694" s="13"/>
      <c r="B694" s="10"/>
      <c r="C694" s="10"/>
      <c r="D694" s="14"/>
      <c r="E694" s="11"/>
      <c r="F694" s="15" t="str">
        <f aca="false">IF($B694="","",IF(AND($D694="",$E694=""),"",IF(OR($D694="",$E694=""),0,ROUND($D694*$E694,0))))</f>
        <v/>
      </c>
      <c r="G694" s="13"/>
      <c r="H694" s="11"/>
      <c r="I694" s="15" t="str">
        <f aca="false">IF($F694="","",$F694-IF($H694="",0,$H694))</f>
        <v/>
      </c>
      <c r="J694" s="16" t="str">
        <f aca="true">IF(OR($A694="",$I694="",$I694&lt;=0),"",TODAY()-$A694)</f>
        <v/>
      </c>
      <c r="K694" s="10"/>
    </row>
    <row r="695" customFormat="false" ht="15" hidden="false" customHeight="true" outlineLevel="0" collapsed="false">
      <c r="A695" s="13"/>
      <c r="B695" s="10"/>
      <c r="C695" s="10"/>
      <c r="D695" s="14"/>
      <c r="E695" s="11"/>
      <c r="F695" s="15" t="str">
        <f aca="false">IF($B695="","",IF(AND($D695="",$E695=""),"",IF(OR($D695="",$E695=""),0,ROUND($D695*$E695,0))))</f>
        <v/>
      </c>
      <c r="G695" s="13"/>
      <c r="H695" s="11"/>
      <c r="I695" s="15" t="str">
        <f aca="false">IF($F695="","",$F695-IF($H695="",0,$H695))</f>
        <v/>
      </c>
      <c r="J695" s="16" t="str">
        <f aca="true">IF(OR($A695="",$I695="",$I695&lt;=0),"",TODAY()-$A695)</f>
        <v/>
      </c>
      <c r="K695" s="10"/>
    </row>
    <row r="696" customFormat="false" ht="15" hidden="false" customHeight="true" outlineLevel="0" collapsed="false">
      <c r="A696" s="13"/>
      <c r="B696" s="10"/>
      <c r="C696" s="10"/>
      <c r="D696" s="14"/>
      <c r="E696" s="11"/>
      <c r="F696" s="15" t="str">
        <f aca="false">IF($B696="","",IF(AND($D696="",$E696=""),"",IF(OR($D696="",$E696=""),0,ROUND($D696*$E696,0))))</f>
        <v/>
      </c>
      <c r="G696" s="13"/>
      <c r="H696" s="11"/>
      <c r="I696" s="15" t="str">
        <f aca="false">IF($F696="","",$F696-IF($H696="",0,$H696))</f>
        <v/>
      </c>
      <c r="J696" s="16" t="str">
        <f aca="true">IF(OR($A696="",$I696="",$I696&lt;=0),"",TODAY()-$A696)</f>
        <v/>
      </c>
      <c r="K696" s="10"/>
    </row>
    <row r="697" customFormat="false" ht="15" hidden="false" customHeight="true" outlineLevel="0" collapsed="false">
      <c r="A697" s="13"/>
      <c r="B697" s="10"/>
      <c r="C697" s="10"/>
      <c r="D697" s="14"/>
      <c r="E697" s="11"/>
      <c r="F697" s="15" t="str">
        <f aca="false">IF($B697="","",IF(AND($D697="",$E697=""),"",IF(OR($D697="",$E697=""),0,ROUND($D697*$E697,0))))</f>
        <v/>
      </c>
      <c r="G697" s="13"/>
      <c r="H697" s="11"/>
      <c r="I697" s="15" t="str">
        <f aca="false">IF($F697="","",$F697-IF($H697="",0,$H697))</f>
        <v/>
      </c>
      <c r="J697" s="16" t="str">
        <f aca="true">IF(OR($A697="",$I697="",$I697&lt;=0),"",TODAY()-$A697)</f>
        <v/>
      </c>
      <c r="K697" s="10"/>
    </row>
    <row r="698" customFormat="false" ht="15" hidden="false" customHeight="true" outlineLevel="0" collapsed="false">
      <c r="A698" s="13"/>
      <c r="B698" s="10"/>
      <c r="C698" s="10"/>
      <c r="D698" s="14"/>
      <c r="E698" s="11"/>
      <c r="F698" s="15" t="str">
        <f aca="false">IF($B698="","",IF(AND($D698="",$E698=""),"",IF(OR($D698="",$E698=""),0,ROUND($D698*$E698,0))))</f>
        <v/>
      </c>
      <c r="G698" s="13"/>
      <c r="H698" s="11"/>
      <c r="I698" s="15" t="str">
        <f aca="false">IF($F698="","",$F698-IF($H698="",0,$H698))</f>
        <v/>
      </c>
      <c r="J698" s="16" t="str">
        <f aca="true">IF(OR($A698="",$I698="",$I698&lt;=0),"",TODAY()-$A698)</f>
        <v/>
      </c>
      <c r="K698" s="10"/>
    </row>
    <row r="699" customFormat="false" ht="15" hidden="false" customHeight="true" outlineLevel="0" collapsed="false">
      <c r="A699" s="13"/>
      <c r="B699" s="10"/>
      <c r="C699" s="10"/>
      <c r="D699" s="14"/>
      <c r="E699" s="11"/>
      <c r="F699" s="15" t="str">
        <f aca="false">IF($B699="","",IF(AND($D699="",$E699=""),"",IF(OR($D699="",$E699=""),0,ROUND($D699*$E699,0))))</f>
        <v/>
      </c>
      <c r="G699" s="13"/>
      <c r="H699" s="11"/>
      <c r="I699" s="15" t="str">
        <f aca="false">IF($F699="","",$F699-IF($H699="",0,$H699))</f>
        <v/>
      </c>
      <c r="J699" s="16" t="str">
        <f aca="true">IF(OR($A699="",$I699="",$I699&lt;=0),"",TODAY()-$A699)</f>
        <v/>
      </c>
      <c r="K699" s="10"/>
    </row>
    <row r="700" customFormat="false" ht="15" hidden="false" customHeight="true" outlineLevel="0" collapsed="false">
      <c r="A700" s="13"/>
      <c r="B700" s="10"/>
      <c r="C700" s="10"/>
      <c r="D700" s="14"/>
      <c r="E700" s="11"/>
      <c r="F700" s="15" t="str">
        <f aca="false">IF($B700="","",IF(AND($D700="",$E700=""),"",IF(OR($D700="",$E700=""),0,ROUND($D700*$E700,0))))</f>
        <v/>
      </c>
      <c r="G700" s="13"/>
      <c r="H700" s="11"/>
      <c r="I700" s="15" t="str">
        <f aca="false">IF($F700="","",$F700-IF($H700="",0,$H700))</f>
        <v/>
      </c>
      <c r="J700" s="16" t="str">
        <f aca="true">IF(OR($A700="",$I700="",$I700&lt;=0),"",TODAY()-$A700)</f>
        <v/>
      </c>
      <c r="K700" s="10"/>
    </row>
    <row r="701" customFormat="false" ht="15" hidden="false" customHeight="true" outlineLevel="0" collapsed="false">
      <c r="A701" s="13"/>
      <c r="B701" s="10"/>
      <c r="C701" s="10"/>
      <c r="D701" s="14"/>
      <c r="E701" s="11"/>
      <c r="F701" s="15" t="str">
        <f aca="false">IF($B701="","",IF(AND($D701="",$E701=""),"",IF(OR($D701="",$E701=""),0,ROUND($D701*$E701,0))))</f>
        <v/>
      </c>
      <c r="G701" s="13"/>
      <c r="H701" s="11"/>
      <c r="I701" s="15" t="str">
        <f aca="false">IF($F701="","",$F701-IF($H701="",0,$H701))</f>
        <v/>
      </c>
      <c r="J701" s="16" t="str">
        <f aca="true">IF(OR($A701="",$I701="",$I701&lt;=0),"",TODAY()-$A701)</f>
        <v/>
      </c>
      <c r="K701" s="10"/>
    </row>
    <row r="702" customFormat="false" ht="15" hidden="false" customHeight="true" outlineLevel="0" collapsed="false">
      <c r="A702" s="13"/>
      <c r="B702" s="10"/>
      <c r="C702" s="10"/>
      <c r="D702" s="14"/>
      <c r="E702" s="11"/>
      <c r="F702" s="15" t="str">
        <f aca="false">IF($B702="","",IF(AND($D702="",$E702=""),"",IF(OR($D702="",$E702=""),0,ROUND($D702*$E702,0))))</f>
        <v/>
      </c>
      <c r="G702" s="13"/>
      <c r="H702" s="11"/>
      <c r="I702" s="15" t="str">
        <f aca="false">IF($F702="","",$F702-IF($H702="",0,$H702))</f>
        <v/>
      </c>
      <c r="J702" s="16" t="str">
        <f aca="true">IF(OR($A702="",$I702="",$I702&lt;=0),"",TODAY()-$A702)</f>
        <v/>
      </c>
      <c r="K702" s="10"/>
    </row>
    <row r="703" customFormat="false" ht="15" hidden="false" customHeight="true" outlineLevel="0" collapsed="false">
      <c r="A703" s="13"/>
      <c r="B703" s="10"/>
      <c r="C703" s="10"/>
      <c r="D703" s="14"/>
      <c r="E703" s="11"/>
      <c r="F703" s="15" t="str">
        <f aca="false">IF($B703="","",IF(AND($D703="",$E703=""),"",IF(OR($D703="",$E703=""),0,ROUND($D703*$E703,0))))</f>
        <v/>
      </c>
      <c r="G703" s="13"/>
      <c r="H703" s="11"/>
      <c r="I703" s="15" t="str">
        <f aca="false">IF($F703="","",$F703-IF($H703="",0,$H703))</f>
        <v/>
      </c>
      <c r="J703" s="16" t="str">
        <f aca="true">IF(OR($A703="",$I703="",$I703&lt;=0),"",TODAY()-$A703)</f>
        <v/>
      </c>
      <c r="K703" s="10"/>
    </row>
    <row r="704" customFormat="false" ht="15" hidden="false" customHeight="true" outlineLevel="0" collapsed="false">
      <c r="A704" s="13"/>
      <c r="B704" s="10"/>
      <c r="C704" s="10"/>
      <c r="D704" s="14"/>
      <c r="E704" s="11"/>
      <c r="F704" s="15" t="str">
        <f aca="false">IF($B704="","",IF(AND($D704="",$E704=""),"",IF(OR($D704="",$E704=""),0,ROUND($D704*$E704,0))))</f>
        <v/>
      </c>
      <c r="G704" s="13"/>
      <c r="H704" s="11"/>
      <c r="I704" s="15" t="str">
        <f aca="false">IF($F704="","",$F704-IF($H704="",0,$H704))</f>
        <v/>
      </c>
      <c r="J704" s="16" t="str">
        <f aca="true">IF(OR($A704="",$I704="",$I704&lt;=0),"",TODAY()-$A704)</f>
        <v/>
      </c>
      <c r="K704" s="10"/>
    </row>
    <row r="705" customFormat="false" ht="15" hidden="false" customHeight="true" outlineLevel="0" collapsed="false">
      <c r="A705" s="13"/>
      <c r="B705" s="10"/>
      <c r="C705" s="10"/>
      <c r="D705" s="14"/>
      <c r="E705" s="11"/>
      <c r="F705" s="15" t="str">
        <f aca="false">IF($B705="","",IF(AND($D705="",$E705=""),"",IF(OR($D705="",$E705=""),0,ROUND($D705*$E705,0))))</f>
        <v/>
      </c>
      <c r="G705" s="13"/>
      <c r="H705" s="11"/>
      <c r="I705" s="15" t="str">
        <f aca="false">IF($F705="","",$F705-IF($H705="",0,$H705))</f>
        <v/>
      </c>
      <c r="J705" s="16" t="str">
        <f aca="true">IF(OR($A705="",$I705="",$I705&lt;=0),"",TODAY()-$A705)</f>
        <v/>
      </c>
      <c r="K705" s="10"/>
    </row>
    <row r="706" customFormat="false" ht="15" hidden="false" customHeight="true" outlineLevel="0" collapsed="false">
      <c r="A706" s="13"/>
      <c r="B706" s="10"/>
      <c r="C706" s="10"/>
      <c r="D706" s="14"/>
      <c r="E706" s="11"/>
      <c r="F706" s="15" t="str">
        <f aca="false">IF($B706="","",IF(AND($D706="",$E706=""),"",IF(OR($D706="",$E706=""),0,ROUND($D706*$E706,0))))</f>
        <v/>
      </c>
      <c r="G706" s="13"/>
      <c r="H706" s="11"/>
      <c r="I706" s="15" t="str">
        <f aca="false">IF($F706="","",$F706-IF($H706="",0,$H706))</f>
        <v/>
      </c>
      <c r="J706" s="16" t="str">
        <f aca="true">IF(OR($A706="",$I706="",$I706&lt;=0),"",TODAY()-$A706)</f>
        <v/>
      </c>
      <c r="K706" s="10"/>
    </row>
    <row r="707" customFormat="false" ht="15" hidden="false" customHeight="true" outlineLevel="0" collapsed="false">
      <c r="A707" s="13"/>
      <c r="B707" s="10"/>
      <c r="C707" s="10"/>
      <c r="D707" s="14"/>
      <c r="E707" s="11"/>
      <c r="F707" s="15" t="str">
        <f aca="false">IF($B707="","",IF(AND($D707="",$E707=""),"",IF(OR($D707="",$E707=""),0,ROUND($D707*$E707,0))))</f>
        <v/>
      </c>
      <c r="G707" s="13"/>
      <c r="H707" s="11"/>
      <c r="I707" s="15" t="str">
        <f aca="false">IF($F707="","",$F707-IF($H707="",0,$H707))</f>
        <v/>
      </c>
      <c r="J707" s="16" t="str">
        <f aca="true">IF(OR($A707="",$I707="",$I707&lt;=0),"",TODAY()-$A707)</f>
        <v/>
      </c>
      <c r="K707" s="10"/>
    </row>
    <row r="708" customFormat="false" ht="15" hidden="false" customHeight="true" outlineLevel="0" collapsed="false">
      <c r="A708" s="13"/>
      <c r="B708" s="10"/>
      <c r="C708" s="10"/>
      <c r="D708" s="14"/>
      <c r="E708" s="11"/>
      <c r="F708" s="15" t="str">
        <f aca="false">IF($B708="","",IF(AND($D708="",$E708=""),"",IF(OR($D708="",$E708=""),0,ROUND($D708*$E708,0))))</f>
        <v/>
      </c>
      <c r="G708" s="13"/>
      <c r="H708" s="11"/>
      <c r="I708" s="15" t="str">
        <f aca="false">IF($F708="","",$F708-IF($H708="",0,$H708))</f>
        <v/>
      </c>
      <c r="J708" s="16" t="str">
        <f aca="true">IF(OR($A708="",$I708="",$I708&lt;=0),"",TODAY()-$A708)</f>
        <v/>
      </c>
      <c r="K708" s="10"/>
    </row>
    <row r="709" customFormat="false" ht="15" hidden="false" customHeight="true" outlineLevel="0" collapsed="false">
      <c r="A709" s="13"/>
      <c r="B709" s="10"/>
      <c r="C709" s="10"/>
      <c r="D709" s="14"/>
      <c r="E709" s="11"/>
      <c r="F709" s="15" t="str">
        <f aca="false">IF($B709="","",IF(AND($D709="",$E709=""),"",IF(OR($D709="",$E709=""),0,ROUND($D709*$E709,0))))</f>
        <v/>
      </c>
      <c r="G709" s="13"/>
      <c r="H709" s="11"/>
      <c r="I709" s="15" t="str">
        <f aca="false">IF($F709="","",$F709-IF($H709="",0,$H709))</f>
        <v/>
      </c>
      <c r="J709" s="16" t="str">
        <f aca="true">IF(OR($A709="",$I709="",$I709&lt;=0),"",TODAY()-$A709)</f>
        <v/>
      </c>
      <c r="K709" s="10"/>
    </row>
    <row r="710" customFormat="false" ht="15" hidden="false" customHeight="true" outlineLevel="0" collapsed="false">
      <c r="A710" s="13"/>
      <c r="B710" s="10"/>
      <c r="C710" s="10"/>
      <c r="D710" s="14"/>
      <c r="E710" s="11"/>
      <c r="F710" s="15" t="str">
        <f aca="false">IF($B710="","",IF(AND($D710="",$E710=""),"",IF(OR($D710="",$E710=""),0,ROUND($D710*$E710,0))))</f>
        <v/>
      </c>
      <c r="G710" s="13"/>
      <c r="H710" s="11"/>
      <c r="I710" s="15" t="str">
        <f aca="false">IF($F710="","",$F710-IF($H710="",0,$H710))</f>
        <v/>
      </c>
      <c r="J710" s="16" t="str">
        <f aca="true">IF(OR($A710="",$I710="",$I710&lt;=0),"",TODAY()-$A710)</f>
        <v/>
      </c>
      <c r="K710" s="10"/>
    </row>
    <row r="711" customFormat="false" ht="15" hidden="false" customHeight="true" outlineLevel="0" collapsed="false">
      <c r="A711" s="13"/>
      <c r="B711" s="10"/>
      <c r="C711" s="10"/>
      <c r="D711" s="14"/>
      <c r="E711" s="11"/>
      <c r="F711" s="15" t="str">
        <f aca="false">IF($B711="","",IF(AND($D711="",$E711=""),"",IF(OR($D711="",$E711=""),0,ROUND($D711*$E711,0))))</f>
        <v/>
      </c>
      <c r="G711" s="13"/>
      <c r="H711" s="11"/>
      <c r="I711" s="15" t="str">
        <f aca="false">IF($F711="","",$F711-IF($H711="",0,$H711))</f>
        <v/>
      </c>
      <c r="J711" s="16" t="str">
        <f aca="true">IF(OR($A711="",$I711="",$I711&lt;=0),"",TODAY()-$A711)</f>
        <v/>
      </c>
      <c r="K711" s="10"/>
    </row>
    <row r="712" customFormat="false" ht="15" hidden="false" customHeight="true" outlineLevel="0" collapsed="false">
      <c r="A712" s="13"/>
      <c r="B712" s="10"/>
      <c r="C712" s="10"/>
      <c r="D712" s="14"/>
      <c r="E712" s="11"/>
      <c r="F712" s="15" t="str">
        <f aca="false">IF($B712="","",IF(AND($D712="",$E712=""),"",IF(OR($D712="",$E712=""),0,ROUND($D712*$E712,0))))</f>
        <v/>
      </c>
      <c r="G712" s="13"/>
      <c r="H712" s="11"/>
      <c r="I712" s="15" t="str">
        <f aca="false">IF($F712="","",$F712-IF($H712="",0,$H712))</f>
        <v/>
      </c>
      <c r="J712" s="16" t="str">
        <f aca="true">IF(OR($A712="",$I712="",$I712&lt;=0),"",TODAY()-$A712)</f>
        <v/>
      </c>
      <c r="K712" s="10"/>
    </row>
    <row r="713" customFormat="false" ht="15" hidden="false" customHeight="true" outlineLevel="0" collapsed="false">
      <c r="A713" s="13"/>
      <c r="B713" s="10"/>
      <c r="C713" s="10"/>
      <c r="D713" s="14"/>
      <c r="E713" s="11"/>
      <c r="F713" s="15" t="str">
        <f aca="false">IF($B713="","",IF(AND($D713="",$E713=""),"",IF(OR($D713="",$E713=""),0,ROUND($D713*$E713,0))))</f>
        <v/>
      </c>
      <c r="G713" s="13"/>
      <c r="H713" s="11"/>
      <c r="I713" s="15" t="str">
        <f aca="false">IF($F713="","",$F713-IF($H713="",0,$H713))</f>
        <v/>
      </c>
      <c r="J713" s="16" t="str">
        <f aca="true">IF(OR($A713="",$I713="",$I713&lt;=0),"",TODAY()-$A713)</f>
        <v/>
      </c>
      <c r="K713" s="10"/>
    </row>
    <row r="714" customFormat="false" ht="15" hidden="false" customHeight="true" outlineLevel="0" collapsed="false">
      <c r="A714" s="13"/>
      <c r="B714" s="10"/>
      <c r="C714" s="10"/>
      <c r="D714" s="14"/>
      <c r="E714" s="11"/>
      <c r="F714" s="15" t="str">
        <f aca="false">IF($B714="","",IF(AND($D714="",$E714=""),"",IF(OR($D714="",$E714=""),0,ROUND($D714*$E714,0))))</f>
        <v/>
      </c>
      <c r="G714" s="13"/>
      <c r="H714" s="11"/>
      <c r="I714" s="15" t="str">
        <f aca="false">IF($F714="","",$F714-IF($H714="",0,$H714))</f>
        <v/>
      </c>
      <c r="J714" s="16" t="str">
        <f aca="true">IF(OR($A714="",$I714="",$I714&lt;=0),"",TODAY()-$A714)</f>
        <v/>
      </c>
      <c r="K714" s="10"/>
    </row>
    <row r="715" customFormat="false" ht="15" hidden="false" customHeight="true" outlineLevel="0" collapsed="false">
      <c r="A715" s="13"/>
      <c r="B715" s="10"/>
      <c r="C715" s="10"/>
      <c r="D715" s="14"/>
      <c r="E715" s="11"/>
      <c r="F715" s="15" t="str">
        <f aca="false">IF($B715="","",IF(AND($D715="",$E715=""),"",IF(OR($D715="",$E715=""),0,ROUND($D715*$E715,0))))</f>
        <v/>
      </c>
      <c r="G715" s="13"/>
      <c r="H715" s="11"/>
      <c r="I715" s="15" t="str">
        <f aca="false">IF($F715="","",$F715-IF($H715="",0,$H715))</f>
        <v/>
      </c>
      <c r="J715" s="16" t="str">
        <f aca="true">IF(OR($A715="",$I715="",$I715&lt;=0),"",TODAY()-$A715)</f>
        <v/>
      </c>
      <c r="K715" s="10"/>
    </row>
    <row r="716" customFormat="false" ht="15" hidden="false" customHeight="true" outlineLevel="0" collapsed="false">
      <c r="A716" s="13"/>
      <c r="B716" s="10"/>
      <c r="C716" s="10"/>
      <c r="D716" s="14"/>
      <c r="E716" s="11"/>
      <c r="F716" s="15" t="str">
        <f aca="false">IF($B716="","",IF(AND($D716="",$E716=""),"",IF(OR($D716="",$E716=""),0,ROUND($D716*$E716,0))))</f>
        <v/>
      </c>
      <c r="G716" s="13"/>
      <c r="H716" s="11"/>
      <c r="I716" s="15" t="str">
        <f aca="false">IF($F716="","",$F716-IF($H716="",0,$H716))</f>
        <v/>
      </c>
      <c r="J716" s="16" t="str">
        <f aca="true">IF(OR($A716="",$I716="",$I716&lt;=0),"",TODAY()-$A716)</f>
        <v/>
      </c>
      <c r="K716" s="10"/>
    </row>
    <row r="717" customFormat="false" ht="15" hidden="false" customHeight="true" outlineLevel="0" collapsed="false">
      <c r="A717" s="13"/>
      <c r="B717" s="10"/>
      <c r="C717" s="10"/>
      <c r="D717" s="14"/>
      <c r="E717" s="11"/>
      <c r="F717" s="15" t="str">
        <f aca="false">IF($B717="","",IF(AND($D717="",$E717=""),"",IF(OR($D717="",$E717=""),0,ROUND($D717*$E717,0))))</f>
        <v/>
      </c>
      <c r="G717" s="13"/>
      <c r="H717" s="11"/>
      <c r="I717" s="15" t="str">
        <f aca="false">IF($F717="","",$F717-IF($H717="",0,$H717))</f>
        <v/>
      </c>
      <c r="J717" s="16" t="str">
        <f aca="true">IF(OR($A717="",$I717="",$I717&lt;=0),"",TODAY()-$A717)</f>
        <v/>
      </c>
      <c r="K717" s="10"/>
    </row>
    <row r="718" customFormat="false" ht="15" hidden="false" customHeight="true" outlineLevel="0" collapsed="false">
      <c r="A718" s="13"/>
      <c r="B718" s="10"/>
      <c r="C718" s="10"/>
      <c r="D718" s="14"/>
      <c r="E718" s="11"/>
      <c r="F718" s="15" t="str">
        <f aca="false">IF($B718="","",IF(AND($D718="",$E718=""),"",IF(OR($D718="",$E718=""),0,ROUND($D718*$E718,0))))</f>
        <v/>
      </c>
      <c r="G718" s="13"/>
      <c r="H718" s="11"/>
      <c r="I718" s="15" t="str">
        <f aca="false">IF($F718="","",$F718-IF($H718="",0,$H718))</f>
        <v/>
      </c>
      <c r="J718" s="16" t="str">
        <f aca="true">IF(OR($A718="",$I718="",$I718&lt;=0),"",TODAY()-$A718)</f>
        <v/>
      </c>
      <c r="K718" s="10"/>
    </row>
    <row r="719" customFormat="false" ht="15" hidden="false" customHeight="true" outlineLevel="0" collapsed="false">
      <c r="A719" s="13"/>
      <c r="B719" s="10"/>
      <c r="C719" s="10"/>
      <c r="D719" s="14"/>
      <c r="E719" s="11"/>
      <c r="F719" s="15" t="str">
        <f aca="false">IF($B719="","",IF(AND($D719="",$E719=""),"",IF(OR($D719="",$E719=""),0,ROUND($D719*$E719,0))))</f>
        <v/>
      </c>
      <c r="G719" s="13"/>
      <c r="H719" s="11"/>
      <c r="I719" s="15" t="str">
        <f aca="false">IF($F719="","",$F719-IF($H719="",0,$H719))</f>
        <v/>
      </c>
      <c r="J719" s="16" t="str">
        <f aca="true">IF(OR($A719="",$I719="",$I719&lt;=0),"",TODAY()-$A719)</f>
        <v/>
      </c>
      <c r="K719" s="10"/>
    </row>
    <row r="720" customFormat="false" ht="15" hidden="false" customHeight="true" outlineLevel="0" collapsed="false">
      <c r="A720" s="13"/>
      <c r="B720" s="10"/>
      <c r="C720" s="10"/>
      <c r="D720" s="14"/>
      <c r="E720" s="11"/>
      <c r="F720" s="15" t="str">
        <f aca="false">IF($B720="","",IF(AND($D720="",$E720=""),"",IF(OR($D720="",$E720=""),0,ROUND($D720*$E720,0))))</f>
        <v/>
      </c>
      <c r="G720" s="13"/>
      <c r="H720" s="11"/>
      <c r="I720" s="15" t="str">
        <f aca="false">IF($F720="","",$F720-IF($H720="",0,$H720))</f>
        <v/>
      </c>
      <c r="J720" s="16" t="str">
        <f aca="true">IF(OR($A720="",$I720="",$I720&lt;=0),"",TODAY()-$A720)</f>
        <v/>
      </c>
      <c r="K720" s="10"/>
    </row>
    <row r="721" customFormat="false" ht="15" hidden="false" customHeight="true" outlineLevel="0" collapsed="false">
      <c r="A721" s="13"/>
      <c r="B721" s="10"/>
      <c r="C721" s="10"/>
      <c r="D721" s="14"/>
      <c r="E721" s="11"/>
      <c r="F721" s="15" t="str">
        <f aca="false">IF($B721="","",IF(AND($D721="",$E721=""),"",IF(OR($D721="",$E721=""),0,ROUND($D721*$E721,0))))</f>
        <v/>
      </c>
      <c r="G721" s="13"/>
      <c r="H721" s="11"/>
      <c r="I721" s="15" t="str">
        <f aca="false">IF($F721="","",$F721-IF($H721="",0,$H721))</f>
        <v/>
      </c>
      <c r="J721" s="16" t="str">
        <f aca="true">IF(OR($A721="",$I721="",$I721&lt;=0),"",TODAY()-$A721)</f>
        <v/>
      </c>
      <c r="K721" s="10"/>
    </row>
    <row r="722" customFormat="false" ht="15" hidden="false" customHeight="true" outlineLevel="0" collapsed="false">
      <c r="A722" s="13"/>
      <c r="B722" s="10"/>
      <c r="C722" s="10"/>
      <c r="D722" s="14"/>
      <c r="E722" s="11"/>
      <c r="F722" s="15" t="str">
        <f aca="false">IF($B722="","",IF(AND($D722="",$E722=""),"",IF(OR($D722="",$E722=""),0,ROUND($D722*$E722,0))))</f>
        <v/>
      </c>
      <c r="G722" s="13"/>
      <c r="H722" s="11"/>
      <c r="I722" s="15" t="str">
        <f aca="false">IF($F722="","",$F722-IF($H722="",0,$H722))</f>
        <v/>
      </c>
      <c r="J722" s="16" t="str">
        <f aca="true">IF(OR($A722="",$I722="",$I722&lt;=0),"",TODAY()-$A722)</f>
        <v/>
      </c>
      <c r="K722" s="10"/>
    </row>
    <row r="723" customFormat="false" ht="15" hidden="false" customHeight="true" outlineLevel="0" collapsed="false">
      <c r="A723" s="13"/>
      <c r="B723" s="10"/>
      <c r="C723" s="10"/>
      <c r="D723" s="14"/>
      <c r="E723" s="11"/>
      <c r="F723" s="15" t="str">
        <f aca="false">IF($B723="","",IF(AND($D723="",$E723=""),"",IF(OR($D723="",$E723=""),0,ROUND($D723*$E723,0))))</f>
        <v/>
      </c>
      <c r="G723" s="13"/>
      <c r="H723" s="11"/>
      <c r="I723" s="15" t="str">
        <f aca="false">IF($F723="","",$F723-IF($H723="",0,$H723))</f>
        <v/>
      </c>
      <c r="J723" s="16" t="str">
        <f aca="true">IF(OR($A723="",$I723="",$I723&lt;=0),"",TODAY()-$A723)</f>
        <v/>
      </c>
      <c r="K723" s="10"/>
    </row>
    <row r="724" customFormat="false" ht="15" hidden="false" customHeight="true" outlineLevel="0" collapsed="false">
      <c r="A724" s="13"/>
      <c r="B724" s="10"/>
      <c r="C724" s="10"/>
      <c r="D724" s="14"/>
      <c r="E724" s="11"/>
      <c r="F724" s="15" t="str">
        <f aca="false">IF($B724="","",IF(AND($D724="",$E724=""),"",IF(OR($D724="",$E724=""),0,ROUND($D724*$E724,0))))</f>
        <v/>
      </c>
      <c r="G724" s="13"/>
      <c r="H724" s="11"/>
      <c r="I724" s="15" t="str">
        <f aca="false">IF($F724="","",$F724-IF($H724="",0,$H724))</f>
        <v/>
      </c>
      <c r="J724" s="16" t="str">
        <f aca="true">IF(OR($A724="",$I724="",$I724&lt;=0),"",TODAY()-$A724)</f>
        <v/>
      </c>
      <c r="K724" s="10"/>
    </row>
    <row r="725" customFormat="false" ht="15" hidden="false" customHeight="true" outlineLevel="0" collapsed="false">
      <c r="A725" s="13"/>
      <c r="B725" s="10"/>
      <c r="C725" s="10"/>
      <c r="D725" s="14"/>
      <c r="E725" s="11"/>
      <c r="F725" s="15" t="str">
        <f aca="false">IF($B725="","",IF(AND($D725="",$E725=""),"",IF(OR($D725="",$E725=""),0,ROUND($D725*$E725,0))))</f>
        <v/>
      </c>
      <c r="G725" s="13"/>
      <c r="H725" s="11"/>
      <c r="I725" s="15" t="str">
        <f aca="false">IF($F725="","",$F725-IF($H725="",0,$H725))</f>
        <v/>
      </c>
      <c r="J725" s="16" t="str">
        <f aca="true">IF(OR($A725="",$I725="",$I725&lt;=0),"",TODAY()-$A725)</f>
        <v/>
      </c>
      <c r="K725" s="10"/>
    </row>
    <row r="726" customFormat="false" ht="15" hidden="false" customHeight="true" outlineLevel="0" collapsed="false">
      <c r="A726" s="13"/>
      <c r="B726" s="10"/>
      <c r="C726" s="10"/>
      <c r="D726" s="14"/>
      <c r="E726" s="11"/>
      <c r="F726" s="15" t="str">
        <f aca="false">IF($B726="","",IF(AND($D726="",$E726=""),"",IF(OR($D726="",$E726=""),0,ROUND($D726*$E726,0))))</f>
        <v/>
      </c>
      <c r="G726" s="13"/>
      <c r="H726" s="11"/>
      <c r="I726" s="15" t="str">
        <f aca="false">IF($F726="","",$F726-IF($H726="",0,$H726))</f>
        <v/>
      </c>
      <c r="J726" s="16" t="str">
        <f aca="true">IF(OR($A726="",$I726="",$I726&lt;=0),"",TODAY()-$A726)</f>
        <v/>
      </c>
      <c r="K726" s="10"/>
    </row>
    <row r="727" customFormat="false" ht="15" hidden="false" customHeight="true" outlineLevel="0" collapsed="false">
      <c r="A727" s="13"/>
      <c r="B727" s="10"/>
      <c r="C727" s="10"/>
      <c r="D727" s="14"/>
      <c r="E727" s="11"/>
      <c r="F727" s="15" t="str">
        <f aca="false">IF($B727="","",IF(AND($D727="",$E727=""),"",IF(OR($D727="",$E727=""),0,ROUND($D727*$E727,0))))</f>
        <v/>
      </c>
      <c r="G727" s="13"/>
      <c r="H727" s="11"/>
      <c r="I727" s="15" t="str">
        <f aca="false">IF($F727="","",$F727-IF($H727="",0,$H727))</f>
        <v/>
      </c>
      <c r="J727" s="16" t="str">
        <f aca="true">IF(OR($A727="",$I727="",$I727&lt;=0),"",TODAY()-$A727)</f>
        <v/>
      </c>
      <c r="K727" s="10"/>
    </row>
    <row r="728" customFormat="false" ht="15" hidden="false" customHeight="true" outlineLevel="0" collapsed="false">
      <c r="A728" s="13"/>
      <c r="B728" s="10"/>
      <c r="C728" s="10"/>
      <c r="D728" s="14"/>
      <c r="E728" s="11"/>
      <c r="F728" s="15" t="str">
        <f aca="false">IF($B728="","",IF(AND($D728="",$E728=""),"",IF(OR($D728="",$E728=""),0,ROUND($D728*$E728,0))))</f>
        <v/>
      </c>
      <c r="G728" s="13"/>
      <c r="H728" s="11"/>
      <c r="I728" s="15" t="str">
        <f aca="false">IF($F728="","",$F728-IF($H728="",0,$H728))</f>
        <v/>
      </c>
      <c r="J728" s="16" t="str">
        <f aca="true">IF(OR($A728="",$I728="",$I728&lt;=0),"",TODAY()-$A728)</f>
        <v/>
      </c>
      <c r="K728" s="10"/>
    </row>
    <row r="729" customFormat="false" ht="15" hidden="false" customHeight="true" outlineLevel="0" collapsed="false">
      <c r="A729" s="13"/>
      <c r="B729" s="10"/>
      <c r="C729" s="10"/>
      <c r="D729" s="14"/>
      <c r="E729" s="11"/>
      <c r="F729" s="15" t="str">
        <f aca="false">IF($B729="","",IF(AND($D729="",$E729=""),"",IF(OR($D729="",$E729=""),0,ROUND($D729*$E729,0))))</f>
        <v/>
      </c>
      <c r="G729" s="13"/>
      <c r="H729" s="11"/>
      <c r="I729" s="15" t="str">
        <f aca="false">IF($F729="","",$F729-IF($H729="",0,$H729))</f>
        <v/>
      </c>
      <c r="J729" s="16" t="str">
        <f aca="true">IF(OR($A729="",$I729="",$I729&lt;=0),"",TODAY()-$A729)</f>
        <v/>
      </c>
      <c r="K729" s="10"/>
    </row>
    <row r="730" customFormat="false" ht="15" hidden="false" customHeight="true" outlineLevel="0" collapsed="false">
      <c r="A730" s="13"/>
      <c r="B730" s="10"/>
      <c r="C730" s="10"/>
      <c r="D730" s="14"/>
      <c r="E730" s="11"/>
      <c r="F730" s="15" t="str">
        <f aca="false">IF($B730="","",IF(AND($D730="",$E730=""),"",IF(OR($D730="",$E730=""),0,ROUND($D730*$E730,0))))</f>
        <v/>
      </c>
      <c r="G730" s="13"/>
      <c r="H730" s="11"/>
      <c r="I730" s="15" t="str">
        <f aca="false">IF($F730="","",$F730-IF($H730="",0,$H730))</f>
        <v/>
      </c>
      <c r="J730" s="16" t="str">
        <f aca="true">IF(OR($A730="",$I730="",$I730&lt;=0),"",TODAY()-$A730)</f>
        <v/>
      </c>
      <c r="K730" s="10"/>
    </row>
    <row r="731" customFormat="false" ht="15" hidden="false" customHeight="true" outlineLevel="0" collapsed="false">
      <c r="A731" s="13"/>
      <c r="B731" s="10"/>
      <c r="C731" s="10"/>
      <c r="D731" s="14"/>
      <c r="E731" s="11"/>
      <c r="F731" s="15" t="str">
        <f aca="false">IF($B731="","",IF(AND($D731="",$E731=""),"",IF(OR($D731="",$E731=""),0,ROUND($D731*$E731,0))))</f>
        <v/>
      </c>
      <c r="G731" s="13"/>
      <c r="H731" s="11"/>
      <c r="I731" s="15" t="str">
        <f aca="false">IF($F731="","",$F731-IF($H731="",0,$H731))</f>
        <v/>
      </c>
      <c r="J731" s="16" t="str">
        <f aca="true">IF(OR($A731="",$I731="",$I731&lt;=0),"",TODAY()-$A731)</f>
        <v/>
      </c>
      <c r="K731" s="10"/>
    </row>
    <row r="732" customFormat="false" ht="15" hidden="false" customHeight="true" outlineLevel="0" collapsed="false">
      <c r="A732" s="13"/>
      <c r="B732" s="10"/>
      <c r="C732" s="10"/>
      <c r="D732" s="14"/>
      <c r="E732" s="11"/>
      <c r="F732" s="15" t="str">
        <f aca="false">IF($B732="","",IF(AND($D732="",$E732=""),"",IF(OR($D732="",$E732=""),0,ROUND($D732*$E732,0))))</f>
        <v/>
      </c>
      <c r="G732" s="13"/>
      <c r="H732" s="11"/>
      <c r="I732" s="15" t="str">
        <f aca="false">IF($F732="","",$F732-IF($H732="",0,$H732))</f>
        <v/>
      </c>
      <c r="J732" s="16" t="str">
        <f aca="true">IF(OR($A732="",$I732="",$I732&lt;=0),"",TODAY()-$A732)</f>
        <v/>
      </c>
      <c r="K732" s="10"/>
    </row>
    <row r="733" customFormat="false" ht="15" hidden="false" customHeight="true" outlineLevel="0" collapsed="false">
      <c r="A733" s="13"/>
      <c r="B733" s="10"/>
      <c r="C733" s="10"/>
      <c r="D733" s="14"/>
      <c r="E733" s="11"/>
      <c r="F733" s="15" t="str">
        <f aca="false">IF($B733="","",IF(AND($D733="",$E733=""),"",IF(OR($D733="",$E733=""),0,ROUND($D733*$E733,0))))</f>
        <v/>
      </c>
      <c r="G733" s="13"/>
      <c r="H733" s="11"/>
      <c r="I733" s="15" t="str">
        <f aca="false">IF($F733="","",$F733-IF($H733="",0,$H733))</f>
        <v/>
      </c>
      <c r="J733" s="16" t="str">
        <f aca="true">IF(OR($A733="",$I733="",$I733&lt;=0),"",TODAY()-$A733)</f>
        <v/>
      </c>
      <c r="K733" s="10"/>
    </row>
    <row r="734" customFormat="false" ht="15" hidden="false" customHeight="true" outlineLevel="0" collapsed="false">
      <c r="A734" s="13"/>
      <c r="B734" s="10"/>
      <c r="C734" s="10"/>
      <c r="D734" s="14"/>
      <c r="E734" s="11"/>
      <c r="F734" s="15" t="str">
        <f aca="false">IF($B734="","",IF(AND($D734="",$E734=""),"",IF(OR($D734="",$E734=""),0,ROUND($D734*$E734,0))))</f>
        <v/>
      </c>
      <c r="G734" s="13"/>
      <c r="H734" s="11"/>
      <c r="I734" s="15" t="str">
        <f aca="false">IF($F734="","",$F734-IF($H734="",0,$H734))</f>
        <v/>
      </c>
      <c r="J734" s="16" t="str">
        <f aca="true">IF(OR($A734="",$I734="",$I734&lt;=0),"",TODAY()-$A734)</f>
        <v/>
      </c>
      <c r="K734" s="10"/>
    </row>
    <row r="735" customFormat="false" ht="15" hidden="false" customHeight="true" outlineLevel="0" collapsed="false">
      <c r="A735" s="13"/>
      <c r="B735" s="10"/>
      <c r="C735" s="10"/>
      <c r="D735" s="14"/>
      <c r="E735" s="11"/>
      <c r="F735" s="15" t="str">
        <f aca="false">IF($B735="","",IF(AND($D735="",$E735=""),"",IF(OR($D735="",$E735=""),0,ROUND($D735*$E735,0))))</f>
        <v/>
      </c>
      <c r="G735" s="13"/>
      <c r="H735" s="11"/>
      <c r="I735" s="15" t="str">
        <f aca="false">IF($F735="","",$F735-IF($H735="",0,$H735))</f>
        <v/>
      </c>
      <c r="J735" s="16" t="str">
        <f aca="true">IF(OR($A735="",$I735="",$I735&lt;=0),"",TODAY()-$A735)</f>
        <v/>
      </c>
      <c r="K735" s="10"/>
    </row>
    <row r="736" customFormat="false" ht="15" hidden="false" customHeight="true" outlineLevel="0" collapsed="false">
      <c r="A736" s="13"/>
      <c r="B736" s="10"/>
      <c r="C736" s="10"/>
      <c r="D736" s="14"/>
      <c r="E736" s="11"/>
      <c r="F736" s="15" t="str">
        <f aca="false">IF($B736="","",IF(AND($D736="",$E736=""),"",IF(OR($D736="",$E736=""),0,ROUND($D736*$E736,0))))</f>
        <v/>
      </c>
      <c r="G736" s="13"/>
      <c r="H736" s="11"/>
      <c r="I736" s="15" t="str">
        <f aca="false">IF($F736="","",$F736-IF($H736="",0,$H736))</f>
        <v/>
      </c>
      <c r="J736" s="16" t="str">
        <f aca="true">IF(OR($A736="",$I736="",$I736&lt;=0),"",TODAY()-$A736)</f>
        <v/>
      </c>
      <c r="K736" s="10"/>
    </row>
    <row r="737" customFormat="false" ht="15" hidden="false" customHeight="true" outlineLevel="0" collapsed="false">
      <c r="A737" s="13"/>
      <c r="B737" s="10"/>
      <c r="C737" s="10"/>
      <c r="D737" s="14"/>
      <c r="E737" s="11"/>
      <c r="F737" s="15" t="str">
        <f aca="false">IF($B737="","",IF(AND($D737="",$E737=""),"",IF(OR($D737="",$E737=""),0,ROUND($D737*$E737,0))))</f>
        <v/>
      </c>
      <c r="G737" s="13"/>
      <c r="H737" s="11"/>
      <c r="I737" s="15" t="str">
        <f aca="false">IF($F737="","",$F737-IF($H737="",0,$H737))</f>
        <v/>
      </c>
      <c r="J737" s="16" t="str">
        <f aca="true">IF(OR($A737="",$I737="",$I737&lt;=0),"",TODAY()-$A737)</f>
        <v/>
      </c>
      <c r="K737" s="10"/>
    </row>
    <row r="738" customFormat="false" ht="15" hidden="false" customHeight="true" outlineLevel="0" collapsed="false">
      <c r="A738" s="13"/>
      <c r="B738" s="10"/>
      <c r="C738" s="10"/>
      <c r="D738" s="14"/>
      <c r="E738" s="11"/>
      <c r="F738" s="15" t="str">
        <f aca="false">IF($B738="","",IF(AND($D738="",$E738=""),"",IF(OR($D738="",$E738=""),0,ROUND($D738*$E738,0))))</f>
        <v/>
      </c>
      <c r="G738" s="13"/>
      <c r="H738" s="11"/>
      <c r="I738" s="15" t="str">
        <f aca="false">IF($F738="","",$F738-IF($H738="",0,$H738))</f>
        <v/>
      </c>
      <c r="J738" s="16" t="str">
        <f aca="true">IF(OR($A738="",$I738="",$I738&lt;=0),"",TODAY()-$A738)</f>
        <v/>
      </c>
      <c r="K738" s="10"/>
    </row>
    <row r="739" customFormat="false" ht="15" hidden="false" customHeight="true" outlineLevel="0" collapsed="false">
      <c r="A739" s="13"/>
      <c r="B739" s="10"/>
      <c r="C739" s="10"/>
      <c r="D739" s="14"/>
      <c r="E739" s="11"/>
      <c r="F739" s="15" t="str">
        <f aca="false">IF($B739="","",IF(AND($D739="",$E739=""),"",IF(OR($D739="",$E739=""),0,ROUND($D739*$E739,0))))</f>
        <v/>
      </c>
      <c r="G739" s="13"/>
      <c r="H739" s="11"/>
      <c r="I739" s="15" t="str">
        <f aca="false">IF($F739="","",$F739-IF($H739="",0,$H739))</f>
        <v/>
      </c>
      <c r="J739" s="16" t="str">
        <f aca="true">IF(OR($A739="",$I739="",$I739&lt;=0),"",TODAY()-$A739)</f>
        <v/>
      </c>
      <c r="K739" s="10"/>
    </row>
    <row r="740" customFormat="false" ht="15" hidden="false" customHeight="true" outlineLevel="0" collapsed="false">
      <c r="A740" s="13"/>
      <c r="B740" s="10"/>
      <c r="C740" s="10"/>
      <c r="D740" s="14"/>
      <c r="E740" s="11"/>
      <c r="F740" s="15" t="str">
        <f aca="false">IF($B740="","",IF(AND($D740="",$E740=""),"",IF(OR($D740="",$E740=""),0,ROUND($D740*$E740,0))))</f>
        <v/>
      </c>
      <c r="G740" s="13"/>
      <c r="H740" s="11"/>
      <c r="I740" s="15" t="str">
        <f aca="false">IF($F740="","",$F740-IF($H740="",0,$H740))</f>
        <v/>
      </c>
      <c r="J740" s="16" t="str">
        <f aca="true">IF(OR($A740="",$I740="",$I740&lt;=0),"",TODAY()-$A740)</f>
        <v/>
      </c>
      <c r="K740" s="10"/>
    </row>
    <row r="741" customFormat="false" ht="15" hidden="false" customHeight="true" outlineLevel="0" collapsed="false">
      <c r="A741" s="13"/>
      <c r="B741" s="10"/>
      <c r="C741" s="10"/>
      <c r="D741" s="14"/>
      <c r="E741" s="11"/>
      <c r="F741" s="15" t="str">
        <f aca="false">IF($B741="","",IF(AND($D741="",$E741=""),"",IF(OR($D741="",$E741=""),0,ROUND($D741*$E741,0))))</f>
        <v/>
      </c>
      <c r="G741" s="13"/>
      <c r="H741" s="11"/>
      <c r="I741" s="15" t="str">
        <f aca="false">IF($F741="","",$F741-IF($H741="",0,$H741))</f>
        <v/>
      </c>
      <c r="J741" s="16" t="str">
        <f aca="true">IF(OR($A741="",$I741="",$I741&lt;=0),"",TODAY()-$A741)</f>
        <v/>
      </c>
      <c r="K741" s="10"/>
    </row>
    <row r="742" customFormat="false" ht="15" hidden="false" customHeight="true" outlineLevel="0" collapsed="false">
      <c r="A742" s="13"/>
      <c r="B742" s="10"/>
      <c r="C742" s="10"/>
      <c r="D742" s="14"/>
      <c r="E742" s="11"/>
      <c r="F742" s="15" t="str">
        <f aca="false">IF($B742="","",IF(AND($D742="",$E742=""),"",IF(OR($D742="",$E742=""),0,ROUND($D742*$E742,0))))</f>
        <v/>
      </c>
      <c r="G742" s="13"/>
      <c r="H742" s="11"/>
      <c r="I742" s="15" t="str">
        <f aca="false">IF($F742="","",$F742-IF($H742="",0,$H742))</f>
        <v/>
      </c>
      <c r="J742" s="16" t="str">
        <f aca="true">IF(OR($A742="",$I742="",$I742&lt;=0),"",TODAY()-$A742)</f>
        <v/>
      </c>
      <c r="K742" s="10"/>
    </row>
    <row r="743" customFormat="false" ht="15" hidden="false" customHeight="true" outlineLevel="0" collapsed="false">
      <c r="A743" s="13"/>
      <c r="B743" s="10"/>
      <c r="C743" s="10"/>
      <c r="D743" s="14"/>
      <c r="E743" s="11"/>
      <c r="F743" s="15" t="str">
        <f aca="false">IF($B743="","",IF(AND($D743="",$E743=""),"",IF(OR($D743="",$E743=""),0,ROUND($D743*$E743,0))))</f>
        <v/>
      </c>
      <c r="G743" s="13"/>
      <c r="H743" s="11"/>
      <c r="I743" s="15" t="str">
        <f aca="false">IF($F743="","",$F743-IF($H743="",0,$H743))</f>
        <v/>
      </c>
      <c r="J743" s="16" t="str">
        <f aca="true">IF(OR($A743="",$I743="",$I743&lt;=0),"",TODAY()-$A743)</f>
        <v/>
      </c>
      <c r="K743" s="10"/>
    </row>
    <row r="744" customFormat="false" ht="15" hidden="false" customHeight="true" outlineLevel="0" collapsed="false">
      <c r="A744" s="13"/>
      <c r="B744" s="10"/>
      <c r="C744" s="10"/>
      <c r="D744" s="14"/>
      <c r="E744" s="11"/>
      <c r="F744" s="15" t="str">
        <f aca="false">IF($B744="","",IF(AND($D744="",$E744=""),"",IF(OR($D744="",$E744=""),0,ROUND($D744*$E744,0))))</f>
        <v/>
      </c>
      <c r="G744" s="13"/>
      <c r="H744" s="11"/>
      <c r="I744" s="15" t="str">
        <f aca="false">IF($F744="","",$F744-IF($H744="",0,$H744))</f>
        <v/>
      </c>
      <c r="J744" s="16" t="str">
        <f aca="true">IF(OR($A744="",$I744="",$I744&lt;=0),"",TODAY()-$A744)</f>
        <v/>
      </c>
      <c r="K744" s="10"/>
    </row>
    <row r="745" customFormat="false" ht="15" hidden="false" customHeight="true" outlineLevel="0" collapsed="false">
      <c r="A745" s="13"/>
      <c r="B745" s="10"/>
      <c r="C745" s="10"/>
      <c r="D745" s="14"/>
      <c r="E745" s="11"/>
      <c r="F745" s="15" t="str">
        <f aca="false">IF($B745="","",IF(AND($D745="",$E745=""),"",IF(OR($D745="",$E745=""),0,ROUND($D745*$E745,0))))</f>
        <v/>
      </c>
      <c r="G745" s="13"/>
      <c r="H745" s="11"/>
      <c r="I745" s="15" t="str">
        <f aca="false">IF($F745="","",$F745-IF($H745="",0,$H745))</f>
        <v/>
      </c>
      <c r="J745" s="16" t="str">
        <f aca="true">IF(OR($A745="",$I745="",$I745&lt;=0),"",TODAY()-$A745)</f>
        <v/>
      </c>
      <c r="K745" s="10"/>
    </row>
    <row r="746" customFormat="false" ht="15" hidden="false" customHeight="true" outlineLevel="0" collapsed="false">
      <c r="A746" s="13"/>
      <c r="B746" s="10"/>
      <c r="C746" s="10"/>
      <c r="D746" s="14"/>
      <c r="E746" s="11"/>
      <c r="F746" s="15" t="str">
        <f aca="false">IF($B746="","",IF(AND($D746="",$E746=""),"",IF(OR($D746="",$E746=""),0,ROUND($D746*$E746,0))))</f>
        <v/>
      </c>
      <c r="G746" s="13"/>
      <c r="H746" s="11"/>
      <c r="I746" s="15" t="str">
        <f aca="false">IF($F746="","",$F746-IF($H746="",0,$H746))</f>
        <v/>
      </c>
      <c r="J746" s="16" t="str">
        <f aca="true">IF(OR($A746="",$I746="",$I746&lt;=0),"",TODAY()-$A746)</f>
        <v/>
      </c>
      <c r="K746" s="10"/>
    </row>
    <row r="747" customFormat="false" ht="15" hidden="false" customHeight="true" outlineLevel="0" collapsed="false">
      <c r="A747" s="13"/>
      <c r="B747" s="10"/>
      <c r="C747" s="10"/>
      <c r="D747" s="14"/>
      <c r="E747" s="11"/>
      <c r="F747" s="15" t="str">
        <f aca="false">IF($B747="","",IF(AND($D747="",$E747=""),"",IF(OR($D747="",$E747=""),0,ROUND($D747*$E747,0))))</f>
        <v/>
      </c>
      <c r="G747" s="13"/>
      <c r="H747" s="11"/>
      <c r="I747" s="15" t="str">
        <f aca="false">IF($F747="","",$F747-IF($H747="",0,$H747))</f>
        <v/>
      </c>
      <c r="J747" s="16" t="str">
        <f aca="true">IF(OR($A747="",$I747="",$I747&lt;=0),"",TODAY()-$A747)</f>
        <v/>
      </c>
      <c r="K747" s="10"/>
    </row>
    <row r="748" customFormat="false" ht="15" hidden="false" customHeight="true" outlineLevel="0" collapsed="false">
      <c r="A748" s="13"/>
      <c r="B748" s="10"/>
      <c r="C748" s="10"/>
      <c r="D748" s="14"/>
      <c r="E748" s="11"/>
      <c r="F748" s="15" t="str">
        <f aca="false">IF($B748="","",IF(AND($D748="",$E748=""),"",IF(OR($D748="",$E748=""),0,ROUND($D748*$E748,0))))</f>
        <v/>
      </c>
      <c r="G748" s="13"/>
      <c r="H748" s="11"/>
      <c r="I748" s="15" t="str">
        <f aca="false">IF($F748="","",$F748-IF($H748="",0,$H748))</f>
        <v/>
      </c>
      <c r="J748" s="16" t="str">
        <f aca="true">IF(OR($A748="",$I748="",$I748&lt;=0),"",TODAY()-$A748)</f>
        <v/>
      </c>
      <c r="K748" s="10"/>
    </row>
    <row r="749" customFormat="false" ht="15" hidden="false" customHeight="true" outlineLevel="0" collapsed="false">
      <c r="A749" s="13"/>
      <c r="B749" s="10"/>
      <c r="C749" s="10"/>
      <c r="D749" s="14"/>
      <c r="E749" s="11"/>
      <c r="F749" s="15" t="str">
        <f aca="false">IF($B749="","",IF(AND($D749="",$E749=""),"",IF(OR($D749="",$E749=""),0,ROUND($D749*$E749,0))))</f>
        <v/>
      </c>
      <c r="G749" s="13"/>
      <c r="H749" s="11"/>
      <c r="I749" s="15" t="str">
        <f aca="false">IF($F749="","",$F749-IF($H749="",0,$H749))</f>
        <v/>
      </c>
      <c r="J749" s="16" t="str">
        <f aca="true">IF(OR($A749="",$I749="",$I749&lt;=0),"",TODAY()-$A749)</f>
        <v/>
      </c>
      <c r="K749" s="10"/>
    </row>
    <row r="750" customFormat="false" ht="15" hidden="false" customHeight="true" outlineLevel="0" collapsed="false">
      <c r="A750" s="13"/>
      <c r="B750" s="10"/>
      <c r="C750" s="10"/>
      <c r="D750" s="14"/>
      <c r="E750" s="11"/>
      <c r="F750" s="15" t="str">
        <f aca="false">IF($B750="","",IF(AND($D750="",$E750=""),"",IF(OR($D750="",$E750=""),0,ROUND($D750*$E750,0))))</f>
        <v/>
      </c>
      <c r="G750" s="13"/>
      <c r="H750" s="11"/>
      <c r="I750" s="15" t="str">
        <f aca="false">IF($F750="","",$F750-IF($H750="",0,$H750))</f>
        <v/>
      </c>
      <c r="J750" s="16" t="str">
        <f aca="true">IF(OR($A750="",$I750="",$I750&lt;=0),"",TODAY()-$A750)</f>
        <v/>
      </c>
      <c r="K750" s="10"/>
    </row>
    <row r="751" customFormat="false" ht="15" hidden="false" customHeight="true" outlineLevel="0" collapsed="false">
      <c r="A751" s="13"/>
      <c r="B751" s="10"/>
      <c r="C751" s="10"/>
      <c r="D751" s="14"/>
      <c r="E751" s="11"/>
      <c r="F751" s="15" t="str">
        <f aca="false">IF($B751="","",IF(AND($D751="",$E751=""),"",IF(OR($D751="",$E751=""),0,ROUND($D751*$E751,0))))</f>
        <v/>
      </c>
      <c r="G751" s="13"/>
      <c r="H751" s="11"/>
      <c r="I751" s="15" t="str">
        <f aca="false">IF($F751="","",$F751-IF($H751="",0,$H751))</f>
        <v/>
      </c>
      <c r="J751" s="16" t="str">
        <f aca="true">IF(OR($A751="",$I751="",$I751&lt;=0),"",TODAY()-$A751)</f>
        <v/>
      </c>
      <c r="K751" s="10"/>
    </row>
    <row r="752" customFormat="false" ht="15" hidden="false" customHeight="true" outlineLevel="0" collapsed="false">
      <c r="A752" s="13"/>
      <c r="B752" s="10"/>
      <c r="C752" s="10"/>
      <c r="D752" s="14"/>
      <c r="E752" s="11"/>
      <c r="F752" s="15" t="str">
        <f aca="false">IF($B752="","",IF(AND($D752="",$E752=""),"",IF(OR($D752="",$E752=""),0,ROUND($D752*$E752,0))))</f>
        <v/>
      </c>
      <c r="G752" s="13"/>
      <c r="H752" s="11"/>
      <c r="I752" s="15" t="str">
        <f aca="false">IF($F752="","",$F752-IF($H752="",0,$H752))</f>
        <v/>
      </c>
      <c r="J752" s="16" t="str">
        <f aca="true">IF(OR($A752="",$I752="",$I752&lt;=0),"",TODAY()-$A752)</f>
        <v/>
      </c>
      <c r="K752" s="10"/>
    </row>
    <row r="753" customFormat="false" ht="15" hidden="false" customHeight="true" outlineLevel="0" collapsed="false">
      <c r="A753" s="13"/>
      <c r="B753" s="10"/>
      <c r="C753" s="10"/>
      <c r="D753" s="14"/>
      <c r="E753" s="11"/>
      <c r="F753" s="15" t="str">
        <f aca="false">IF($B753="","",IF(AND($D753="",$E753=""),"",IF(OR($D753="",$E753=""),0,ROUND($D753*$E753,0))))</f>
        <v/>
      </c>
      <c r="G753" s="13"/>
      <c r="H753" s="11"/>
      <c r="I753" s="15" t="str">
        <f aca="false">IF($F753="","",$F753-IF($H753="",0,$H753))</f>
        <v/>
      </c>
      <c r="J753" s="16" t="str">
        <f aca="true">IF(OR($A753="",$I753="",$I753&lt;=0),"",TODAY()-$A753)</f>
        <v/>
      </c>
      <c r="K753" s="10"/>
    </row>
    <row r="754" customFormat="false" ht="15" hidden="false" customHeight="true" outlineLevel="0" collapsed="false">
      <c r="A754" s="13"/>
      <c r="B754" s="10"/>
      <c r="C754" s="10"/>
      <c r="D754" s="14"/>
      <c r="E754" s="11"/>
      <c r="F754" s="15" t="str">
        <f aca="false">IF($B754="","",IF(AND($D754="",$E754=""),"",IF(OR($D754="",$E754=""),0,ROUND($D754*$E754,0))))</f>
        <v/>
      </c>
      <c r="G754" s="13"/>
      <c r="H754" s="11"/>
      <c r="I754" s="15" t="str">
        <f aca="false">IF($F754="","",$F754-IF($H754="",0,$H754))</f>
        <v/>
      </c>
      <c r="J754" s="16" t="str">
        <f aca="true">IF(OR($A754="",$I754="",$I754&lt;=0),"",TODAY()-$A754)</f>
        <v/>
      </c>
      <c r="K754" s="10"/>
    </row>
    <row r="755" customFormat="false" ht="15" hidden="false" customHeight="true" outlineLevel="0" collapsed="false">
      <c r="A755" s="13"/>
      <c r="B755" s="10"/>
      <c r="C755" s="10"/>
      <c r="D755" s="14"/>
      <c r="E755" s="11"/>
      <c r="F755" s="15" t="str">
        <f aca="false">IF($B755="","",IF(AND($D755="",$E755=""),"",IF(OR($D755="",$E755=""),0,ROUND($D755*$E755,0))))</f>
        <v/>
      </c>
      <c r="G755" s="13"/>
      <c r="H755" s="11"/>
      <c r="I755" s="15" t="str">
        <f aca="false">IF($F755="","",$F755-IF($H755="",0,$H755))</f>
        <v/>
      </c>
      <c r="J755" s="16" t="str">
        <f aca="true">IF(OR($A755="",$I755="",$I755&lt;=0),"",TODAY()-$A755)</f>
        <v/>
      </c>
      <c r="K755" s="10"/>
    </row>
    <row r="756" customFormat="false" ht="15" hidden="false" customHeight="true" outlineLevel="0" collapsed="false">
      <c r="A756" s="13"/>
      <c r="B756" s="10"/>
      <c r="C756" s="10"/>
      <c r="D756" s="14"/>
      <c r="E756" s="11"/>
      <c r="F756" s="15" t="str">
        <f aca="false">IF($B756="","",IF(AND($D756="",$E756=""),"",IF(OR($D756="",$E756=""),0,ROUND($D756*$E756,0))))</f>
        <v/>
      </c>
      <c r="G756" s="13"/>
      <c r="H756" s="11"/>
      <c r="I756" s="15" t="str">
        <f aca="false">IF($F756="","",$F756-IF($H756="",0,$H756))</f>
        <v/>
      </c>
      <c r="J756" s="16" t="str">
        <f aca="true">IF(OR($A756="",$I756="",$I756&lt;=0),"",TODAY()-$A756)</f>
        <v/>
      </c>
      <c r="K756" s="10"/>
    </row>
    <row r="757" customFormat="false" ht="15" hidden="false" customHeight="true" outlineLevel="0" collapsed="false">
      <c r="A757" s="13"/>
      <c r="B757" s="10"/>
      <c r="C757" s="10"/>
      <c r="D757" s="14"/>
      <c r="E757" s="11"/>
      <c r="F757" s="15" t="str">
        <f aca="false">IF($B757="","",IF(AND($D757="",$E757=""),"",IF(OR($D757="",$E757=""),0,ROUND($D757*$E757,0))))</f>
        <v/>
      </c>
      <c r="G757" s="13"/>
      <c r="H757" s="11"/>
      <c r="I757" s="15" t="str">
        <f aca="false">IF($F757="","",$F757-IF($H757="",0,$H757))</f>
        <v/>
      </c>
      <c r="J757" s="16" t="str">
        <f aca="true">IF(OR($A757="",$I757="",$I757&lt;=0),"",TODAY()-$A757)</f>
        <v/>
      </c>
      <c r="K757" s="10"/>
    </row>
    <row r="758" customFormat="false" ht="15" hidden="false" customHeight="true" outlineLevel="0" collapsed="false">
      <c r="A758" s="13"/>
      <c r="B758" s="10"/>
      <c r="C758" s="10"/>
      <c r="D758" s="14"/>
      <c r="E758" s="11"/>
      <c r="F758" s="15" t="str">
        <f aca="false">IF($B758="","",IF(AND($D758="",$E758=""),"",IF(OR($D758="",$E758=""),0,ROUND($D758*$E758,0))))</f>
        <v/>
      </c>
      <c r="G758" s="13"/>
      <c r="H758" s="11"/>
      <c r="I758" s="15" t="str">
        <f aca="false">IF($F758="","",$F758-IF($H758="",0,$H758))</f>
        <v/>
      </c>
      <c r="J758" s="16" t="str">
        <f aca="true">IF(OR($A758="",$I758="",$I758&lt;=0),"",TODAY()-$A758)</f>
        <v/>
      </c>
      <c r="K758" s="10"/>
    </row>
    <row r="759" customFormat="false" ht="15" hidden="false" customHeight="true" outlineLevel="0" collapsed="false">
      <c r="A759" s="13"/>
      <c r="B759" s="10"/>
      <c r="C759" s="10"/>
      <c r="D759" s="14"/>
      <c r="E759" s="11"/>
      <c r="F759" s="15" t="str">
        <f aca="false">IF($B759="","",IF(AND($D759="",$E759=""),"",IF(OR($D759="",$E759=""),0,ROUND($D759*$E759,0))))</f>
        <v/>
      </c>
      <c r="G759" s="13"/>
      <c r="H759" s="11"/>
      <c r="I759" s="15" t="str">
        <f aca="false">IF($F759="","",$F759-IF($H759="",0,$H759))</f>
        <v/>
      </c>
      <c r="J759" s="16" t="str">
        <f aca="true">IF(OR($A759="",$I759="",$I759&lt;=0),"",TODAY()-$A759)</f>
        <v/>
      </c>
      <c r="K759" s="10"/>
    </row>
    <row r="760" customFormat="false" ht="15" hidden="false" customHeight="true" outlineLevel="0" collapsed="false">
      <c r="A760" s="13"/>
      <c r="B760" s="10"/>
      <c r="C760" s="10"/>
      <c r="D760" s="14"/>
      <c r="E760" s="11"/>
      <c r="F760" s="15" t="str">
        <f aca="false">IF($B760="","",IF(AND($D760="",$E760=""),"",IF(OR($D760="",$E760=""),0,ROUND($D760*$E760,0))))</f>
        <v/>
      </c>
      <c r="G760" s="13"/>
      <c r="H760" s="11"/>
      <c r="I760" s="15" t="str">
        <f aca="false">IF($F760="","",$F760-IF($H760="",0,$H760))</f>
        <v/>
      </c>
      <c r="J760" s="16" t="str">
        <f aca="true">IF(OR($A760="",$I760="",$I760&lt;=0),"",TODAY()-$A760)</f>
        <v/>
      </c>
      <c r="K760" s="10"/>
    </row>
    <row r="761" customFormat="false" ht="15" hidden="false" customHeight="true" outlineLevel="0" collapsed="false">
      <c r="A761" s="13"/>
      <c r="B761" s="10"/>
      <c r="C761" s="10"/>
      <c r="D761" s="14"/>
      <c r="E761" s="11"/>
      <c r="F761" s="15" t="str">
        <f aca="false">IF($B761="","",IF(AND($D761="",$E761=""),"",IF(OR($D761="",$E761=""),0,ROUND($D761*$E761,0))))</f>
        <v/>
      </c>
      <c r="G761" s="13"/>
      <c r="H761" s="11"/>
      <c r="I761" s="15" t="str">
        <f aca="false">IF($F761="","",$F761-IF($H761="",0,$H761))</f>
        <v/>
      </c>
      <c r="J761" s="16" t="str">
        <f aca="true">IF(OR($A761="",$I761="",$I761&lt;=0),"",TODAY()-$A761)</f>
        <v/>
      </c>
      <c r="K761" s="10"/>
    </row>
    <row r="762" customFormat="false" ht="15" hidden="false" customHeight="true" outlineLevel="0" collapsed="false">
      <c r="A762" s="13"/>
      <c r="B762" s="10"/>
      <c r="C762" s="10"/>
      <c r="D762" s="14"/>
      <c r="E762" s="11"/>
      <c r="F762" s="15" t="str">
        <f aca="false">IF($B762="","",IF(AND($D762="",$E762=""),"",IF(OR($D762="",$E762=""),0,ROUND($D762*$E762,0))))</f>
        <v/>
      </c>
      <c r="G762" s="13"/>
      <c r="H762" s="11"/>
      <c r="I762" s="15" t="str">
        <f aca="false">IF($F762="","",$F762-IF($H762="",0,$H762))</f>
        <v/>
      </c>
      <c r="J762" s="16" t="str">
        <f aca="true">IF(OR($A762="",$I762="",$I762&lt;=0),"",TODAY()-$A762)</f>
        <v/>
      </c>
      <c r="K762" s="10"/>
    </row>
    <row r="763" customFormat="false" ht="15" hidden="false" customHeight="true" outlineLevel="0" collapsed="false">
      <c r="A763" s="13"/>
      <c r="B763" s="10"/>
      <c r="C763" s="10"/>
      <c r="D763" s="14"/>
      <c r="E763" s="11"/>
      <c r="F763" s="15" t="str">
        <f aca="false">IF($B763="","",IF(AND($D763="",$E763=""),"",IF(OR($D763="",$E763=""),0,ROUND($D763*$E763,0))))</f>
        <v/>
      </c>
      <c r="G763" s="13"/>
      <c r="H763" s="11"/>
      <c r="I763" s="15" t="str">
        <f aca="false">IF($F763="","",$F763-IF($H763="",0,$H763))</f>
        <v/>
      </c>
      <c r="J763" s="16" t="str">
        <f aca="true">IF(OR($A763="",$I763="",$I763&lt;=0),"",TODAY()-$A763)</f>
        <v/>
      </c>
      <c r="K763" s="10"/>
    </row>
    <row r="764" customFormat="false" ht="15" hidden="false" customHeight="true" outlineLevel="0" collapsed="false">
      <c r="A764" s="13"/>
      <c r="B764" s="10"/>
      <c r="C764" s="10"/>
      <c r="D764" s="14"/>
      <c r="E764" s="11"/>
      <c r="F764" s="15" t="str">
        <f aca="false">IF($B764="","",IF(AND($D764="",$E764=""),"",IF(OR($D764="",$E764=""),0,ROUND($D764*$E764,0))))</f>
        <v/>
      </c>
      <c r="G764" s="13"/>
      <c r="H764" s="11"/>
      <c r="I764" s="15" t="str">
        <f aca="false">IF($F764="","",$F764-IF($H764="",0,$H764))</f>
        <v/>
      </c>
      <c r="J764" s="16" t="str">
        <f aca="true">IF(OR($A764="",$I764="",$I764&lt;=0),"",TODAY()-$A764)</f>
        <v/>
      </c>
      <c r="K764" s="10"/>
    </row>
    <row r="765" customFormat="false" ht="15" hidden="false" customHeight="true" outlineLevel="0" collapsed="false">
      <c r="A765" s="13"/>
      <c r="B765" s="10"/>
      <c r="C765" s="10"/>
      <c r="D765" s="14"/>
      <c r="E765" s="11"/>
      <c r="F765" s="15" t="str">
        <f aca="false">IF($B765="","",IF(AND($D765="",$E765=""),"",IF(OR($D765="",$E765=""),0,ROUND($D765*$E765,0))))</f>
        <v/>
      </c>
      <c r="G765" s="13"/>
      <c r="H765" s="11"/>
      <c r="I765" s="15" t="str">
        <f aca="false">IF($F765="","",$F765-IF($H765="",0,$H765))</f>
        <v/>
      </c>
      <c r="J765" s="16" t="str">
        <f aca="true">IF(OR($A765="",$I765="",$I765&lt;=0),"",TODAY()-$A765)</f>
        <v/>
      </c>
      <c r="K765" s="10"/>
    </row>
    <row r="766" customFormat="false" ht="15" hidden="false" customHeight="true" outlineLevel="0" collapsed="false">
      <c r="A766" s="13"/>
      <c r="B766" s="10"/>
      <c r="C766" s="10"/>
      <c r="D766" s="14"/>
      <c r="E766" s="11"/>
      <c r="F766" s="15" t="str">
        <f aca="false">IF($B766="","",IF(AND($D766="",$E766=""),"",IF(OR($D766="",$E766=""),0,ROUND($D766*$E766,0))))</f>
        <v/>
      </c>
      <c r="G766" s="13"/>
      <c r="H766" s="11"/>
      <c r="I766" s="15" t="str">
        <f aca="false">IF($F766="","",$F766-IF($H766="",0,$H766))</f>
        <v/>
      </c>
      <c r="J766" s="16" t="str">
        <f aca="true">IF(OR($A766="",$I766="",$I766&lt;=0),"",TODAY()-$A766)</f>
        <v/>
      </c>
      <c r="K766" s="10"/>
    </row>
    <row r="767" customFormat="false" ht="15" hidden="false" customHeight="true" outlineLevel="0" collapsed="false">
      <c r="A767" s="13"/>
      <c r="B767" s="10"/>
      <c r="C767" s="10"/>
      <c r="D767" s="14"/>
      <c r="E767" s="11"/>
      <c r="F767" s="15" t="str">
        <f aca="false">IF($B767="","",IF(AND($D767="",$E767=""),"",IF(OR($D767="",$E767=""),0,ROUND($D767*$E767,0))))</f>
        <v/>
      </c>
      <c r="G767" s="13"/>
      <c r="H767" s="11"/>
      <c r="I767" s="15" t="str">
        <f aca="false">IF($F767="","",$F767-IF($H767="",0,$H767))</f>
        <v/>
      </c>
      <c r="J767" s="16" t="str">
        <f aca="true">IF(OR($A767="",$I767="",$I767&lt;=0),"",TODAY()-$A767)</f>
        <v/>
      </c>
      <c r="K767" s="10"/>
    </row>
    <row r="768" customFormat="false" ht="15" hidden="false" customHeight="true" outlineLevel="0" collapsed="false">
      <c r="A768" s="13"/>
      <c r="B768" s="10"/>
      <c r="C768" s="10"/>
      <c r="D768" s="14"/>
      <c r="E768" s="11"/>
      <c r="F768" s="15" t="str">
        <f aca="false">IF($B768="","",IF(AND($D768="",$E768=""),"",IF(OR($D768="",$E768=""),0,ROUND($D768*$E768,0))))</f>
        <v/>
      </c>
      <c r="G768" s="13"/>
      <c r="H768" s="11"/>
      <c r="I768" s="15" t="str">
        <f aca="false">IF($F768="","",$F768-IF($H768="",0,$H768))</f>
        <v/>
      </c>
      <c r="J768" s="16" t="str">
        <f aca="true">IF(OR($A768="",$I768="",$I768&lt;=0),"",TODAY()-$A768)</f>
        <v/>
      </c>
      <c r="K768" s="10"/>
    </row>
    <row r="769" customFormat="false" ht="15" hidden="false" customHeight="true" outlineLevel="0" collapsed="false">
      <c r="A769" s="13"/>
      <c r="B769" s="10"/>
      <c r="C769" s="10"/>
      <c r="D769" s="14"/>
      <c r="E769" s="11"/>
      <c r="F769" s="15" t="str">
        <f aca="false">IF($B769="","",IF(AND($D769="",$E769=""),"",IF(OR($D769="",$E769=""),0,ROUND($D769*$E769,0))))</f>
        <v/>
      </c>
      <c r="G769" s="13"/>
      <c r="H769" s="11"/>
      <c r="I769" s="15" t="str">
        <f aca="false">IF($F769="","",$F769-IF($H769="",0,$H769))</f>
        <v/>
      </c>
      <c r="J769" s="16" t="str">
        <f aca="true">IF(OR($A769="",$I769="",$I769&lt;=0),"",TODAY()-$A769)</f>
        <v/>
      </c>
      <c r="K769" s="10"/>
    </row>
    <row r="770" customFormat="false" ht="15" hidden="false" customHeight="true" outlineLevel="0" collapsed="false">
      <c r="A770" s="13"/>
      <c r="B770" s="10"/>
      <c r="C770" s="10"/>
      <c r="D770" s="14"/>
      <c r="E770" s="11"/>
      <c r="F770" s="15" t="str">
        <f aca="false">IF($B770="","",IF(AND($D770="",$E770=""),"",IF(OR($D770="",$E770=""),0,ROUND($D770*$E770,0))))</f>
        <v/>
      </c>
      <c r="G770" s="13"/>
      <c r="H770" s="11"/>
      <c r="I770" s="15" t="str">
        <f aca="false">IF($F770="","",$F770-IF($H770="",0,$H770))</f>
        <v/>
      </c>
      <c r="J770" s="16" t="str">
        <f aca="true">IF(OR($A770="",$I770="",$I770&lt;=0),"",TODAY()-$A770)</f>
        <v/>
      </c>
      <c r="K770" s="10"/>
    </row>
    <row r="771" customFormat="false" ht="15" hidden="false" customHeight="true" outlineLevel="0" collapsed="false">
      <c r="A771" s="13"/>
      <c r="B771" s="10"/>
      <c r="C771" s="10"/>
      <c r="D771" s="14"/>
      <c r="E771" s="11"/>
      <c r="F771" s="15" t="str">
        <f aca="false">IF($B771="","",IF(AND($D771="",$E771=""),"",IF(OR($D771="",$E771=""),0,ROUND($D771*$E771,0))))</f>
        <v/>
      </c>
      <c r="G771" s="13"/>
      <c r="H771" s="11"/>
      <c r="I771" s="15" t="str">
        <f aca="false">IF($F771="","",$F771-IF($H771="",0,$H771))</f>
        <v/>
      </c>
      <c r="J771" s="16" t="str">
        <f aca="true">IF(OR($A771="",$I771="",$I771&lt;=0),"",TODAY()-$A771)</f>
        <v/>
      </c>
      <c r="K771" s="10"/>
    </row>
    <row r="772" customFormat="false" ht="15" hidden="false" customHeight="true" outlineLevel="0" collapsed="false">
      <c r="A772" s="13"/>
      <c r="B772" s="10"/>
      <c r="C772" s="10"/>
      <c r="D772" s="14"/>
      <c r="E772" s="11"/>
      <c r="F772" s="15" t="str">
        <f aca="false">IF($B772="","",IF(AND($D772="",$E772=""),"",IF(OR($D772="",$E772=""),0,ROUND($D772*$E772,0))))</f>
        <v/>
      </c>
      <c r="G772" s="13"/>
      <c r="H772" s="11"/>
      <c r="I772" s="15" t="str">
        <f aca="false">IF($F772="","",$F772-IF($H772="",0,$H772))</f>
        <v/>
      </c>
      <c r="J772" s="16" t="str">
        <f aca="true">IF(OR($A772="",$I772="",$I772&lt;=0),"",TODAY()-$A772)</f>
        <v/>
      </c>
      <c r="K772" s="10"/>
    </row>
    <row r="773" customFormat="false" ht="15" hidden="false" customHeight="true" outlineLevel="0" collapsed="false">
      <c r="A773" s="13"/>
      <c r="B773" s="10"/>
      <c r="C773" s="10"/>
      <c r="D773" s="14"/>
      <c r="E773" s="11"/>
      <c r="F773" s="15" t="str">
        <f aca="false">IF($B773="","",IF(AND($D773="",$E773=""),"",IF(OR($D773="",$E773=""),0,ROUND($D773*$E773,0))))</f>
        <v/>
      </c>
      <c r="G773" s="13"/>
      <c r="H773" s="11"/>
      <c r="I773" s="15" t="str">
        <f aca="false">IF($F773="","",$F773-IF($H773="",0,$H773))</f>
        <v/>
      </c>
      <c r="J773" s="16" t="str">
        <f aca="true">IF(OR($A773="",$I773="",$I773&lt;=0),"",TODAY()-$A773)</f>
        <v/>
      </c>
      <c r="K773" s="10"/>
    </row>
    <row r="774" customFormat="false" ht="15" hidden="false" customHeight="true" outlineLevel="0" collapsed="false">
      <c r="A774" s="13"/>
      <c r="B774" s="10"/>
      <c r="C774" s="10"/>
      <c r="D774" s="14"/>
      <c r="E774" s="11"/>
      <c r="F774" s="15" t="str">
        <f aca="false">IF($B774="","",IF(AND($D774="",$E774=""),"",IF(OR($D774="",$E774=""),0,ROUND($D774*$E774,0))))</f>
        <v/>
      </c>
      <c r="G774" s="13"/>
      <c r="H774" s="11"/>
      <c r="I774" s="15" t="str">
        <f aca="false">IF($F774="","",$F774-IF($H774="",0,$H774))</f>
        <v/>
      </c>
      <c r="J774" s="16" t="str">
        <f aca="true">IF(OR($A774="",$I774="",$I774&lt;=0),"",TODAY()-$A774)</f>
        <v/>
      </c>
      <c r="K774" s="10"/>
    </row>
    <row r="775" customFormat="false" ht="15" hidden="false" customHeight="true" outlineLevel="0" collapsed="false">
      <c r="A775" s="13"/>
      <c r="B775" s="10"/>
      <c r="C775" s="10"/>
      <c r="D775" s="14"/>
      <c r="E775" s="11"/>
      <c r="F775" s="15" t="str">
        <f aca="false">IF($B775="","",IF(AND($D775="",$E775=""),"",IF(OR($D775="",$E775=""),0,ROUND($D775*$E775,0))))</f>
        <v/>
      </c>
      <c r="G775" s="13"/>
      <c r="H775" s="11"/>
      <c r="I775" s="15" t="str">
        <f aca="false">IF($F775="","",$F775-IF($H775="",0,$H775))</f>
        <v/>
      </c>
      <c r="J775" s="16" t="str">
        <f aca="true">IF(OR($A775="",$I775="",$I775&lt;=0),"",TODAY()-$A775)</f>
        <v/>
      </c>
      <c r="K775" s="10"/>
    </row>
    <row r="776" customFormat="false" ht="15" hidden="false" customHeight="true" outlineLevel="0" collapsed="false">
      <c r="A776" s="13"/>
      <c r="B776" s="10"/>
      <c r="C776" s="10"/>
      <c r="D776" s="14"/>
      <c r="E776" s="11"/>
      <c r="F776" s="15" t="str">
        <f aca="false">IF($B776="","",IF(AND($D776="",$E776=""),"",IF(OR($D776="",$E776=""),0,ROUND($D776*$E776,0))))</f>
        <v/>
      </c>
      <c r="G776" s="13"/>
      <c r="H776" s="11"/>
      <c r="I776" s="15" t="str">
        <f aca="false">IF($F776="","",$F776-IF($H776="",0,$H776))</f>
        <v/>
      </c>
      <c r="J776" s="16" t="str">
        <f aca="true">IF(OR($A776="",$I776="",$I776&lt;=0),"",TODAY()-$A776)</f>
        <v/>
      </c>
      <c r="K776" s="10"/>
    </row>
    <row r="777" customFormat="false" ht="15" hidden="false" customHeight="true" outlineLevel="0" collapsed="false">
      <c r="A777" s="13"/>
      <c r="B777" s="10"/>
      <c r="C777" s="10"/>
      <c r="D777" s="14"/>
      <c r="E777" s="11"/>
      <c r="F777" s="15" t="str">
        <f aca="false">IF($B777="","",IF(AND($D777="",$E777=""),"",IF(OR($D777="",$E777=""),0,ROUND($D777*$E777,0))))</f>
        <v/>
      </c>
      <c r="G777" s="13"/>
      <c r="H777" s="11"/>
      <c r="I777" s="15" t="str">
        <f aca="false">IF($F777="","",$F777-IF($H777="",0,$H777))</f>
        <v/>
      </c>
      <c r="J777" s="16" t="str">
        <f aca="true">IF(OR($A777="",$I777="",$I777&lt;=0),"",TODAY()-$A777)</f>
        <v/>
      </c>
      <c r="K777" s="10"/>
    </row>
    <row r="778" customFormat="false" ht="15" hidden="false" customHeight="true" outlineLevel="0" collapsed="false">
      <c r="A778" s="13"/>
      <c r="B778" s="10"/>
      <c r="C778" s="10"/>
      <c r="D778" s="14"/>
      <c r="E778" s="11"/>
      <c r="F778" s="15" t="str">
        <f aca="false">IF($B778="","",IF(AND($D778="",$E778=""),"",IF(OR($D778="",$E778=""),0,ROUND($D778*$E778,0))))</f>
        <v/>
      </c>
      <c r="G778" s="13"/>
      <c r="H778" s="11"/>
      <c r="I778" s="15" t="str">
        <f aca="false">IF($F778="","",$F778-IF($H778="",0,$H778))</f>
        <v/>
      </c>
      <c r="J778" s="16" t="str">
        <f aca="true">IF(OR($A778="",$I778="",$I778&lt;=0),"",TODAY()-$A778)</f>
        <v/>
      </c>
      <c r="K778" s="10"/>
    </row>
    <row r="779" customFormat="false" ht="15" hidden="false" customHeight="true" outlineLevel="0" collapsed="false">
      <c r="A779" s="13"/>
      <c r="B779" s="10"/>
      <c r="C779" s="10"/>
      <c r="D779" s="14"/>
      <c r="E779" s="11"/>
      <c r="F779" s="15" t="str">
        <f aca="false">IF($B779="","",IF(AND($D779="",$E779=""),"",IF(OR($D779="",$E779=""),0,ROUND($D779*$E779,0))))</f>
        <v/>
      </c>
      <c r="G779" s="13"/>
      <c r="H779" s="11"/>
      <c r="I779" s="15" t="str">
        <f aca="false">IF($F779="","",$F779-IF($H779="",0,$H779))</f>
        <v/>
      </c>
      <c r="J779" s="16" t="str">
        <f aca="true">IF(OR($A779="",$I779="",$I779&lt;=0),"",TODAY()-$A779)</f>
        <v/>
      </c>
      <c r="K779" s="10"/>
    </row>
    <row r="780" customFormat="false" ht="15" hidden="false" customHeight="true" outlineLevel="0" collapsed="false">
      <c r="A780" s="13"/>
      <c r="B780" s="10"/>
      <c r="C780" s="10"/>
      <c r="D780" s="14"/>
      <c r="E780" s="11"/>
      <c r="F780" s="15" t="str">
        <f aca="false">IF($B780="","",IF(AND($D780="",$E780=""),"",IF(OR($D780="",$E780=""),0,ROUND($D780*$E780,0))))</f>
        <v/>
      </c>
      <c r="G780" s="13"/>
      <c r="H780" s="11"/>
      <c r="I780" s="15" t="str">
        <f aca="false">IF($F780="","",$F780-IF($H780="",0,$H780))</f>
        <v/>
      </c>
      <c r="J780" s="16" t="str">
        <f aca="true">IF(OR($A780="",$I780="",$I780&lt;=0),"",TODAY()-$A780)</f>
        <v/>
      </c>
      <c r="K780" s="10"/>
    </row>
    <row r="781" customFormat="false" ht="15" hidden="false" customHeight="true" outlineLevel="0" collapsed="false">
      <c r="A781" s="13"/>
      <c r="B781" s="10"/>
      <c r="C781" s="10"/>
      <c r="D781" s="14"/>
      <c r="E781" s="11"/>
      <c r="F781" s="15" t="str">
        <f aca="false">IF($B781="","",IF(AND($D781="",$E781=""),"",IF(OR($D781="",$E781=""),0,ROUND($D781*$E781,0))))</f>
        <v/>
      </c>
      <c r="G781" s="13"/>
      <c r="H781" s="11"/>
      <c r="I781" s="15" t="str">
        <f aca="false">IF($F781="","",$F781-IF($H781="",0,$H781))</f>
        <v/>
      </c>
      <c r="J781" s="16" t="str">
        <f aca="true">IF(OR($A781="",$I781="",$I781&lt;=0),"",TODAY()-$A781)</f>
        <v/>
      </c>
      <c r="K781" s="10"/>
    </row>
    <row r="782" customFormat="false" ht="15" hidden="false" customHeight="true" outlineLevel="0" collapsed="false">
      <c r="A782" s="13"/>
      <c r="B782" s="10"/>
      <c r="C782" s="10"/>
      <c r="D782" s="14"/>
      <c r="E782" s="11"/>
      <c r="F782" s="15" t="str">
        <f aca="false">IF($B782="","",IF(AND($D782="",$E782=""),"",IF(OR($D782="",$E782=""),0,ROUND($D782*$E782,0))))</f>
        <v/>
      </c>
      <c r="G782" s="13"/>
      <c r="H782" s="11"/>
      <c r="I782" s="15" t="str">
        <f aca="false">IF($F782="","",$F782-IF($H782="",0,$H782))</f>
        <v/>
      </c>
      <c r="J782" s="16" t="str">
        <f aca="true">IF(OR($A782="",$I782="",$I782&lt;=0),"",TODAY()-$A782)</f>
        <v/>
      </c>
      <c r="K782" s="10"/>
    </row>
    <row r="783" customFormat="false" ht="15" hidden="false" customHeight="true" outlineLevel="0" collapsed="false">
      <c r="A783" s="13"/>
      <c r="B783" s="10"/>
      <c r="C783" s="10"/>
      <c r="D783" s="14"/>
      <c r="E783" s="11"/>
      <c r="F783" s="15" t="str">
        <f aca="false">IF($B783="","",IF(AND($D783="",$E783=""),"",IF(OR($D783="",$E783=""),0,ROUND($D783*$E783,0))))</f>
        <v/>
      </c>
      <c r="G783" s="13"/>
      <c r="H783" s="11"/>
      <c r="I783" s="15" t="str">
        <f aca="false">IF($F783="","",$F783-IF($H783="",0,$H783))</f>
        <v/>
      </c>
      <c r="J783" s="16" t="str">
        <f aca="true">IF(OR($A783="",$I783="",$I783&lt;=0),"",TODAY()-$A783)</f>
        <v/>
      </c>
      <c r="K783" s="10"/>
    </row>
    <row r="784" customFormat="false" ht="15" hidden="false" customHeight="true" outlineLevel="0" collapsed="false">
      <c r="A784" s="13"/>
      <c r="B784" s="10"/>
      <c r="C784" s="10"/>
      <c r="D784" s="14"/>
      <c r="E784" s="11"/>
      <c r="F784" s="15" t="str">
        <f aca="false">IF($B784="","",IF(AND($D784="",$E784=""),"",IF(OR($D784="",$E784=""),0,ROUND($D784*$E784,0))))</f>
        <v/>
      </c>
      <c r="G784" s="13"/>
      <c r="H784" s="11"/>
      <c r="I784" s="15" t="str">
        <f aca="false">IF($F784="","",$F784-IF($H784="",0,$H784))</f>
        <v/>
      </c>
      <c r="J784" s="16" t="str">
        <f aca="true">IF(OR($A784="",$I784="",$I784&lt;=0),"",TODAY()-$A784)</f>
        <v/>
      </c>
      <c r="K784" s="10"/>
    </row>
    <row r="785" customFormat="false" ht="15" hidden="false" customHeight="true" outlineLevel="0" collapsed="false">
      <c r="A785" s="13"/>
      <c r="B785" s="10"/>
      <c r="C785" s="10"/>
      <c r="D785" s="14"/>
      <c r="E785" s="11"/>
      <c r="F785" s="15" t="str">
        <f aca="false">IF($B785="","",IF(AND($D785="",$E785=""),"",IF(OR($D785="",$E785=""),0,ROUND($D785*$E785,0))))</f>
        <v/>
      </c>
      <c r="G785" s="13"/>
      <c r="H785" s="11"/>
      <c r="I785" s="15" t="str">
        <f aca="false">IF($F785="","",$F785-IF($H785="",0,$H785))</f>
        <v/>
      </c>
      <c r="J785" s="16" t="str">
        <f aca="true">IF(OR($A785="",$I785="",$I785&lt;=0),"",TODAY()-$A785)</f>
        <v/>
      </c>
      <c r="K785" s="10"/>
    </row>
    <row r="786" customFormat="false" ht="15" hidden="false" customHeight="true" outlineLevel="0" collapsed="false">
      <c r="A786" s="13"/>
      <c r="B786" s="10"/>
      <c r="C786" s="10"/>
      <c r="D786" s="14"/>
      <c r="E786" s="11"/>
      <c r="F786" s="15" t="str">
        <f aca="false">IF($B786="","",IF(AND($D786="",$E786=""),"",IF(OR($D786="",$E786=""),0,ROUND($D786*$E786,0))))</f>
        <v/>
      </c>
      <c r="G786" s="13"/>
      <c r="H786" s="11"/>
      <c r="I786" s="15" t="str">
        <f aca="false">IF($F786="","",$F786-IF($H786="",0,$H786))</f>
        <v/>
      </c>
      <c r="J786" s="16" t="str">
        <f aca="true">IF(OR($A786="",$I786="",$I786&lt;=0),"",TODAY()-$A786)</f>
        <v/>
      </c>
      <c r="K786" s="10"/>
    </row>
    <row r="787" customFormat="false" ht="15" hidden="false" customHeight="true" outlineLevel="0" collapsed="false">
      <c r="A787" s="13"/>
      <c r="B787" s="10"/>
      <c r="C787" s="10"/>
      <c r="D787" s="14"/>
      <c r="E787" s="11"/>
      <c r="F787" s="15" t="str">
        <f aca="false">IF($B787="","",IF(AND($D787="",$E787=""),"",IF(OR($D787="",$E787=""),0,ROUND($D787*$E787,0))))</f>
        <v/>
      </c>
      <c r="G787" s="13"/>
      <c r="H787" s="11"/>
      <c r="I787" s="15" t="str">
        <f aca="false">IF($F787="","",$F787-IF($H787="",0,$H787))</f>
        <v/>
      </c>
      <c r="J787" s="16" t="str">
        <f aca="true">IF(OR($A787="",$I787="",$I787&lt;=0),"",TODAY()-$A787)</f>
        <v/>
      </c>
      <c r="K787" s="10"/>
    </row>
    <row r="788" customFormat="false" ht="15" hidden="false" customHeight="true" outlineLevel="0" collapsed="false">
      <c r="A788" s="13"/>
      <c r="B788" s="10"/>
      <c r="C788" s="10"/>
      <c r="D788" s="14"/>
      <c r="E788" s="11"/>
      <c r="F788" s="15" t="str">
        <f aca="false">IF($B788="","",IF(AND($D788="",$E788=""),"",IF(OR($D788="",$E788=""),0,ROUND($D788*$E788,0))))</f>
        <v/>
      </c>
      <c r="G788" s="13"/>
      <c r="H788" s="11"/>
      <c r="I788" s="15" t="str">
        <f aca="false">IF($F788="","",$F788-IF($H788="",0,$H788))</f>
        <v/>
      </c>
      <c r="J788" s="16" t="str">
        <f aca="true">IF(OR($A788="",$I788="",$I788&lt;=0),"",TODAY()-$A788)</f>
        <v/>
      </c>
      <c r="K788" s="10"/>
    </row>
    <row r="789" customFormat="false" ht="15" hidden="false" customHeight="true" outlineLevel="0" collapsed="false">
      <c r="A789" s="13"/>
      <c r="B789" s="10"/>
      <c r="C789" s="10"/>
      <c r="D789" s="14"/>
      <c r="E789" s="11"/>
      <c r="F789" s="15" t="str">
        <f aca="false">IF($B789="","",IF(AND($D789="",$E789=""),"",IF(OR($D789="",$E789=""),0,ROUND($D789*$E789,0))))</f>
        <v/>
      </c>
      <c r="G789" s="13"/>
      <c r="H789" s="11"/>
      <c r="I789" s="15" t="str">
        <f aca="false">IF($F789="","",$F789-IF($H789="",0,$H789))</f>
        <v/>
      </c>
      <c r="J789" s="16" t="str">
        <f aca="true">IF(OR($A789="",$I789="",$I789&lt;=0),"",TODAY()-$A789)</f>
        <v/>
      </c>
      <c r="K789" s="10"/>
    </row>
    <row r="790" customFormat="false" ht="15" hidden="false" customHeight="true" outlineLevel="0" collapsed="false">
      <c r="A790" s="13"/>
      <c r="B790" s="10"/>
      <c r="C790" s="10"/>
      <c r="D790" s="14"/>
      <c r="E790" s="11"/>
      <c r="F790" s="15" t="str">
        <f aca="false">IF($B790="","",IF(AND($D790="",$E790=""),"",IF(OR($D790="",$E790=""),0,ROUND($D790*$E790,0))))</f>
        <v/>
      </c>
      <c r="G790" s="13"/>
      <c r="H790" s="11"/>
      <c r="I790" s="15" t="str">
        <f aca="false">IF($F790="","",$F790-IF($H790="",0,$H790))</f>
        <v/>
      </c>
      <c r="J790" s="16" t="str">
        <f aca="true">IF(OR($A790="",$I790="",$I790&lt;=0),"",TODAY()-$A790)</f>
        <v/>
      </c>
      <c r="K790" s="10"/>
    </row>
    <row r="791" customFormat="false" ht="15" hidden="false" customHeight="true" outlineLevel="0" collapsed="false">
      <c r="A791" s="13"/>
      <c r="B791" s="10"/>
      <c r="C791" s="10"/>
      <c r="D791" s="14"/>
      <c r="E791" s="11"/>
      <c r="F791" s="15" t="str">
        <f aca="false">IF($B791="","",IF(AND($D791="",$E791=""),"",IF(OR($D791="",$E791=""),0,ROUND($D791*$E791,0))))</f>
        <v/>
      </c>
      <c r="G791" s="13"/>
      <c r="H791" s="11"/>
      <c r="I791" s="15" t="str">
        <f aca="false">IF($F791="","",$F791-IF($H791="",0,$H791))</f>
        <v/>
      </c>
      <c r="J791" s="16" t="str">
        <f aca="true">IF(OR($A791="",$I791="",$I791&lt;=0),"",TODAY()-$A791)</f>
        <v/>
      </c>
      <c r="K791" s="10"/>
    </row>
    <row r="792" customFormat="false" ht="15" hidden="false" customHeight="true" outlineLevel="0" collapsed="false">
      <c r="A792" s="13"/>
      <c r="B792" s="10"/>
      <c r="C792" s="10"/>
      <c r="D792" s="14"/>
      <c r="E792" s="11"/>
      <c r="F792" s="15" t="str">
        <f aca="false">IF($B792="","",IF(AND($D792="",$E792=""),"",IF(OR($D792="",$E792=""),0,ROUND($D792*$E792,0))))</f>
        <v/>
      </c>
      <c r="G792" s="13"/>
      <c r="H792" s="11"/>
      <c r="I792" s="15" t="str">
        <f aca="false">IF($F792="","",$F792-IF($H792="",0,$H792))</f>
        <v/>
      </c>
      <c r="J792" s="16" t="str">
        <f aca="true">IF(OR($A792="",$I792="",$I792&lt;=0),"",TODAY()-$A792)</f>
        <v/>
      </c>
      <c r="K792" s="10"/>
    </row>
    <row r="793" customFormat="false" ht="15" hidden="false" customHeight="true" outlineLevel="0" collapsed="false">
      <c r="A793" s="13"/>
      <c r="B793" s="10"/>
      <c r="C793" s="10"/>
      <c r="D793" s="14"/>
      <c r="E793" s="11"/>
      <c r="F793" s="15" t="str">
        <f aca="false">IF($B793="","",IF(AND($D793="",$E793=""),"",IF(OR($D793="",$E793=""),0,ROUND($D793*$E793,0))))</f>
        <v/>
      </c>
      <c r="G793" s="13"/>
      <c r="H793" s="11"/>
      <c r="I793" s="15" t="str">
        <f aca="false">IF($F793="","",$F793-IF($H793="",0,$H793))</f>
        <v/>
      </c>
      <c r="J793" s="16" t="str">
        <f aca="true">IF(OR($A793="",$I793="",$I793&lt;=0),"",TODAY()-$A793)</f>
        <v/>
      </c>
      <c r="K793" s="10"/>
    </row>
    <row r="794" customFormat="false" ht="15" hidden="false" customHeight="true" outlineLevel="0" collapsed="false">
      <c r="A794" s="13"/>
      <c r="B794" s="10"/>
      <c r="C794" s="10"/>
      <c r="D794" s="14"/>
      <c r="E794" s="11"/>
      <c r="F794" s="15" t="str">
        <f aca="false">IF($B794="","",IF(AND($D794="",$E794=""),"",IF(OR($D794="",$E794=""),0,ROUND($D794*$E794,0))))</f>
        <v/>
      </c>
      <c r="G794" s="13"/>
      <c r="H794" s="11"/>
      <c r="I794" s="15" t="str">
        <f aca="false">IF($F794="","",$F794-IF($H794="",0,$H794))</f>
        <v/>
      </c>
      <c r="J794" s="16" t="str">
        <f aca="true">IF(OR($A794="",$I794="",$I794&lt;=0),"",TODAY()-$A794)</f>
        <v/>
      </c>
      <c r="K794" s="10"/>
    </row>
    <row r="795" customFormat="false" ht="15" hidden="false" customHeight="true" outlineLevel="0" collapsed="false">
      <c r="A795" s="13"/>
      <c r="B795" s="10"/>
      <c r="C795" s="10"/>
      <c r="D795" s="14"/>
      <c r="E795" s="11"/>
      <c r="F795" s="15" t="str">
        <f aca="false">IF($B795="","",IF(AND($D795="",$E795=""),"",IF(OR($D795="",$E795=""),0,ROUND($D795*$E795,0))))</f>
        <v/>
      </c>
      <c r="G795" s="13"/>
      <c r="H795" s="11"/>
      <c r="I795" s="15" t="str">
        <f aca="false">IF($F795="","",$F795-IF($H795="",0,$H795))</f>
        <v/>
      </c>
      <c r="J795" s="16" t="str">
        <f aca="true">IF(OR($A795="",$I795="",$I795&lt;=0),"",TODAY()-$A795)</f>
        <v/>
      </c>
      <c r="K795" s="10"/>
    </row>
    <row r="796" customFormat="false" ht="15" hidden="false" customHeight="true" outlineLevel="0" collapsed="false">
      <c r="A796" s="13"/>
      <c r="B796" s="10"/>
      <c r="C796" s="10"/>
      <c r="D796" s="14"/>
      <c r="E796" s="11"/>
      <c r="F796" s="15" t="str">
        <f aca="false">IF($B796="","",IF(AND($D796="",$E796=""),"",IF(OR($D796="",$E796=""),0,ROUND($D796*$E796,0))))</f>
        <v/>
      </c>
      <c r="G796" s="13"/>
      <c r="H796" s="11"/>
      <c r="I796" s="15" t="str">
        <f aca="false">IF($F796="","",$F796-IF($H796="",0,$H796))</f>
        <v/>
      </c>
      <c r="J796" s="16" t="str">
        <f aca="true">IF(OR($A796="",$I796="",$I796&lt;=0),"",TODAY()-$A796)</f>
        <v/>
      </c>
      <c r="K796" s="10"/>
    </row>
    <row r="797" customFormat="false" ht="15" hidden="false" customHeight="true" outlineLevel="0" collapsed="false">
      <c r="A797" s="13"/>
      <c r="B797" s="10"/>
      <c r="C797" s="10"/>
      <c r="D797" s="14"/>
      <c r="E797" s="11"/>
      <c r="F797" s="15" t="str">
        <f aca="false">IF($B797="","",IF(AND($D797="",$E797=""),"",IF(OR($D797="",$E797=""),0,ROUND($D797*$E797,0))))</f>
        <v/>
      </c>
      <c r="G797" s="13"/>
      <c r="H797" s="11"/>
      <c r="I797" s="15" t="str">
        <f aca="false">IF($F797="","",$F797-IF($H797="",0,$H797))</f>
        <v/>
      </c>
      <c r="J797" s="16" t="str">
        <f aca="true">IF(OR($A797="",$I797="",$I797&lt;=0),"",TODAY()-$A797)</f>
        <v/>
      </c>
      <c r="K797" s="10"/>
    </row>
    <row r="798" customFormat="false" ht="15" hidden="false" customHeight="true" outlineLevel="0" collapsed="false">
      <c r="A798" s="13"/>
      <c r="B798" s="10"/>
      <c r="C798" s="10"/>
      <c r="D798" s="14"/>
      <c r="E798" s="11"/>
      <c r="F798" s="15" t="str">
        <f aca="false">IF($B798="","",IF(AND($D798="",$E798=""),"",IF(OR($D798="",$E798=""),0,ROUND($D798*$E798,0))))</f>
        <v/>
      </c>
      <c r="G798" s="13"/>
      <c r="H798" s="11"/>
      <c r="I798" s="15" t="str">
        <f aca="false">IF($F798="","",$F798-IF($H798="",0,$H798))</f>
        <v/>
      </c>
      <c r="J798" s="16" t="str">
        <f aca="true">IF(OR($A798="",$I798="",$I798&lt;=0),"",TODAY()-$A798)</f>
        <v/>
      </c>
      <c r="K798" s="10"/>
    </row>
    <row r="799" customFormat="false" ht="15" hidden="false" customHeight="true" outlineLevel="0" collapsed="false">
      <c r="A799" s="13"/>
      <c r="B799" s="10"/>
      <c r="C799" s="10"/>
      <c r="D799" s="14"/>
      <c r="E799" s="11"/>
      <c r="F799" s="15" t="str">
        <f aca="false">IF($B799="","",IF(AND($D799="",$E799=""),"",IF(OR($D799="",$E799=""),0,ROUND($D799*$E799,0))))</f>
        <v/>
      </c>
      <c r="G799" s="13"/>
      <c r="H799" s="11"/>
      <c r="I799" s="15" t="str">
        <f aca="false">IF($F799="","",$F799-IF($H799="",0,$H799))</f>
        <v/>
      </c>
      <c r="J799" s="16" t="str">
        <f aca="true">IF(OR($A799="",$I799="",$I799&lt;=0),"",TODAY()-$A799)</f>
        <v/>
      </c>
      <c r="K799" s="10"/>
    </row>
    <row r="800" customFormat="false" ht="15" hidden="false" customHeight="true" outlineLevel="0" collapsed="false">
      <c r="A800" s="13"/>
      <c r="B800" s="10"/>
      <c r="C800" s="10"/>
      <c r="D800" s="14"/>
      <c r="E800" s="11"/>
      <c r="F800" s="15" t="str">
        <f aca="false">IF($B800="","",IF(AND($D800="",$E800=""),"",IF(OR($D800="",$E800=""),0,ROUND($D800*$E800,0))))</f>
        <v/>
      </c>
      <c r="G800" s="13"/>
      <c r="H800" s="11"/>
      <c r="I800" s="15" t="str">
        <f aca="false">IF($F800="","",$F800-IF($H800="",0,$H800))</f>
        <v/>
      </c>
      <c r="J800" s="16" t="str">
        <f aca="true">IF(OR($A800="",$I800="",$I800&lt;=0),"",TODAY()-$A800)</f>
        <v/>
      </c>
      <c r="K800" s="10"/>
    </row>
    <row r="801" customFormat="false" ht="15" hidden="false" customHeight="true" outlineLevel="0" collapsed="false">
      <c r="A801" s="13"/>
      <c r="B801" s="10"/>
      <c r="C801" s="10"/>
      <c r="D801" s="14"/>
      <c r="E801" s="11"/>
      <c r="F801" s="15" t="str">
        <f aca="false">IF($B801="","",IF(AND($D801="",$E801=""),"",IF(OR($D801="",$E801=""),0,ROUND($D801*$E801,0))))</f>
        <v/>
      </c>
      <c r="G801" s="13"/>
      <c r="H801" s="11"/>
      <c r="I801" s="15" t="str">
        <f aca="false">IF($F801="","",$F801-IF($H801="",0,$H801))</f>
        <v/>
      </c>
      <c r="J801" s="16" t="str">
        <f aca="true">IF(OR($A801="",$I801="",$I801&lt;=0),"",TODAY()-$A801)</f>
        <v/>
      </c>
      <c r="K801" s="10"/>
    </row>
    <row r="802" customFormat="false" ht="15" hidden="false" customHeight="true" outlineLevel="0" collapsed="false">
      <c r="A802" s="13"/>
      <c r="B802" s="10"/>
      <c r="C802" s="10"/>
      <c r="D802" s="14"/>
      <c r="E802" s="11"/>
      <c r="F802" s="15" t="str">
        <f aca="false">IF($B802="","",IF(AND($D802="",$E802=""),"",IF(OR($D802="",$E802=""),0,ROUND($D802*$E802,0))))</f>
        <v/>
      </c>
      <c r="G802" s="13"/>
      <c r="H802" s="11"/>
      <c r="I802" s="15" t="str">
        <f aca="false">IF($F802="","",$F802-IF($H802="",0,$H802))</f>
        <v/>
      </c>
      <c r="J802" s="16" t="str">
        <f aca="true">IF(OR($A802="",$I802="",$I802&lt;=0),"",TODAY()-$A802)</f>
        <v/>
      </c>
      <c r="K802" s="10"/>
    </row>
    <row r="803" customFormat="false" ht="15" hidden="false" customHeight="true" outlineLevel="0" collapsed="false">
      <c r="A803" s="13"/>
      <c r="B803" s="10"/>
      <c r="C803" s="10"/>
      <c r="D803" s="14"/>
      <c r="E803" s="11"/>
      <c r="F803" s="15" t="str">
        <f aca="false">IF($B803="","",IF(AND($D803="",$E803=""),"",IF(OR($D803="",$E803=""),0,ROUND($D803*$E803,0))))</f>
        <v/>
      </c>
      <c r="G803" s="13"/>
      <c r="H803" s="11"/>
      <c r="I803" s="15" t="str">
        <f aca="false">IF($F803="","",$F803-IF($H803="",0,$H803))</f>
        <v/>
      </c>
      <c r="J803" s="16" t="str">
        <f aca="true">IF(OR($A803="",$I803="",$I803&lt;=0),"",TODAY()-$A803)</f>
        <v/>
      </c>
      <c r="K803" s="10"/>
    </row>
    <row r="804" customFormat="false" ht="15" hidden="false" customHeight="true" outlineLevel="0" collapsed="false">
      <c r="A804" s="13"/>
      <c r="B804" s="10"/>
      <c r="C804" s="10"/>
      <c r="D804" s="14"/>
      <c r="E804" s="11"/>
      <c r="F804" s="15" t="str">
        <f aca="false">IF($B804="","",IF(AND($D804="",$E804=""),"",IF(OR($D804="",$E804=""),0,ROUND($D804*$E804,0))))</f>
        <v/>
      </c>
      <c r="G804" s="13"/>
      <c r="H804" s="11"/>
      <c r="I804" s="15" t="str">
        <f aca="false">IF($F804="","",$F804-IF($H804="",0,$H804))</f>
        <v/>
      </c>
      <c r="J804" s="16" t="str">
        <f aca="true">IF(OR($A804="",$I804="",$I804&lt;=0),"",TODAY()-$A804)</f>
        <v/>
      </c>
      <c r="K804" s="10"/>
    </row>
    <row r="805" customFormat="false" ht="15" hidden="false" customHeight="true" outlineLevel="0" collapsed="false">
      <c r="A805" s="13"/>
      <c r="B805" s="10"/>
      <c r="C805" s="10"/>
      <c r="D805" s="14"/>
      <c r="E805" s="11"/>
      <c r="F805" s="15" t="str">
        <f aca="false">IF($B805="","",IF(AND($D805="",$E805=""),"",IF(OR($D805="",$E805=""),0,ROUND($D805*$E805,0))))</f>
        <v/>
      </c>
      <c r="G805" s="13"/>
      <c r="H805" s="11"/>
      <c r="I805" s="15" t="str">
        <f aca="false">IF($F805="","",$F805-IF($H805="",0,$H805))</f>
        <v/>
      </c>
      <c r="J805" s="16" t="str">
        <f aca="true">IF(OR($A805="",$I805="",$I805&lt;=0),"",TODAY()-$A805)</f>
        <v/>
      </c>
      <c r="K805" s="10"/>
    </row>
    <row r="806" customFormat="false" ht="15" hidden="false" customHeight="true" outlineLevel="0" collapsed="false">
      <c r="A806" s="13"/>
      <c r="B806" s="10"/>
      <c r="C806" s="10"/>
      <c r="D806" s="14"/>
      <c r="E806" s="11"/>
      <c r="F806" s="15" t="str">
        <f aca="false">IF($B806="","",IF(AND($D806="",$E806=""),"",IF(OR($D806="",$E806=""),0,ROUND($D806*$E806,0))))</f>
        <v/>
      </c>
      <c r="G806" s="13"/>
      <c r="H806" s="11"/>
      <c r="I806" s="15" t="str">
        <f aca="false">IF($F806="","",$F806-IF($H806="",0,$H806))</f>
        <v/>
      </c>
      <c r="J806" s="16" t="str">
        <f aca="true">IF(OR($A806="",$I806="",$I806&lt;=0),"",TODAY()-$A806)</f>
        <v/>
      </c>
      <c r="K806" s="10"/>
    </row>
    <row r="807" customFormat="false" ht="15" hidden="false" customHeight="true" outlineLevel="0" collapsed="false">
      <c r="A807" s="13"/>
      <c r="B807" s="10"/>
      <c r="C807" s="10"/>
      <c r="D807" s="14"/>
      <c r="E807" s="11"/>
      <c r="F807" s="15" t="str">
        <f aca="false">IF($B807="","",IF(AND($D807="",$E807=""),"",IF(OR($D807="",$E807=""),0,ROUND($D807*$E807,0))))</f>
        <v/>
      </c>
      <c r="G807" s="13"/>
      <c r="H807" s="11"/>
      <c r="I807" s="15" t="str">
        <f aca="false">IF($F807="","",$F807-IF($H807="",0,$H807))</f>
        <v/>
      </c>
      <c r="J807" s="16" t="str">
        <f aca="true">IF(OR($A807="",$I807="",$I807&lt;=0),"",TODAY()-$A807)</f>
        <v/>
      </c>
      <c r="K807" s="10"/>
    </row>
    <row r="808" customFormat="false" ht="15" hidden="false" customHeight="true" outlineLevel="0" collapsed="false">
      <c r="A808" s="13"/>
      <c r="B808" s="10"/>
      <c r="C808" s="10"/>
      <c r="D808" s="14"/>
      <c r="E808" s="11"/>
      <c r="F808" s="15" t="str">
        <f aca="false">IF($B808="","",IF(AND($D808="",$E808=""),"",IF(OR($D808="",$E808=""),0,ROUND($D808*$E808,0))))</f>
        <v/>
      </c>
      <c r="G808" s="13"/>
      <c r="H808" s="11"/>
      <c r="I808" s="15" t="str">
        <f aca="false">IF($F808="","",$F808-IF($H808="",0,$H808))</f>
        <v/>
      </c>
      <c r="J808" s="16" t="str">
        <f aca="true">IF(OR($A808="",$I808="",$I808&lt;=0),"",TODAY()-$A808)</f>
        <v/>
      </c>
      <c r="K808" s="10"/>
    </row>
    <row r="809" customFormat="false" ht="15" hidden="false" customHeight="true" outlineLevel="0" collapsed="false">
      <c r="A809" s="13"/>
      <c r="B809" s="10"/>
      <c r="C809" s="10"/>
      <c r="D809" s="14"/>
      <c r="E809" s="11"/>
      <c r="F809" s="15" t="str">
        <f aca="false">IF($B809="","",IF(AND($D809="",$E809=""),"",IF(OR($D809="",$E809=""),0,ROUND($D809*$E809,0))))</f>
        <v/>
      </c>
      <c r="G809" s="13"/>
      <c r="H809" s="11"/>
      <c r="I809" s="15" t="str">
        <f aca="false">IF($F809="","",$F809-IF($H809="",0,$H809))</f>
        <v/>
      </c>
      <c r="J809" s="16" t="str">
        <f aca="true">IF(OR($A809="",$I809="",$I809&lt;=0),"",TODAY()-$A809)</f>
        <v/>
      </c>
      <c r="K809" s="10"/>
    </row>
    <row r="810" customFormat="false" ht="15" hidden="false" customHeight="true" outlineLevel="0" collapsed="false">
      <c r="A810" s="13"/>
      <c r="B810" s="10"/>
      <c r="C810" s="10"/>
      <c r="D810" s="14"/>
      <c r="E810" s="11"/>
      <c r="F810" s="15" t="str">
        <f aca="false">IF($B810="","",IF(AND($D810="",$E810=""),"",IF(OR($D810="",$E810=""),0,ROUND($D810*$E810,0))))</f>
        <v/>
      </c>
      <c r="G810" s="13"/>
      <c r="H810" s="11"/>
      <c r="I810" s="15" t="str">
        <f aca="false">IF($F810="","",$F810-IF($H810="",0,$H810))</f>
        <v/>
      </c>
      <c r="J810" s="16" t="str">
        <f aca="true">IF(OR($A810="",$I810="",$I810&lt;=0),"",TODAY()-$A810)</f>
        <v/>
      </c>
      <c r="K810" s="10"/>
    </row>
    <row r="811" customFormat="false" ht="15" hidden="false" customHeight="true" outlineLevel="0" collapsed="false">
      <c r="A811" s="13"/>
      <c r="B811" s="10"/>
      <c r="C811" s="10"/>
      <c r="D811" s="14"/>
      <c r="E811" s="11"/>
      <c r="F811" s="15" t="str">
        <f aca="false">IF($B811="","",IF(AND($D811="",$E811=""),"",IF(OR($D811="",$E811=""),0,ROUND($D811*$E811,0))))</f>
        <v/>
      </c>
      <c r="G811" s="13"/>
      <c r="H811" s="11"/>
      <c r="I811" s="15" t="str">
        <f aca="false">IF($F811="","",$F811-IF($H811="",0,$H811))</f>
        <v/>
      </c>
      <c r="J811" s="16" t="str">
        <f aca="true">IF(OR($A811="",$I811="",$I811&lt;=0),"",TODAY()-$A811)</f>
        <v/>
      </c>
      <c r="K811" s="10"/>
    </row>
    <row r="812" customFormat="false" ht="15" hidden="false" customHeight="true" outlineLevel="0" collapsed="false">
      <c r="A812" s="13"/>
      <c r="B812" s="10"/>
      <c r="C812" s="10"/>
      <c r="D812" s="14"/>
      <c r="E812" s="11"/>
      <c r="F812" s="15" t="str">
        <f aca="false">IF($B812="","",IF(AND($D812="",$E812=""),"",IF(OR($D812="",$E812=""),0,ROUND($D812*$E812,0))))</f>
        <v/>
      </c>
      <c r="G812" s="13"/>
      <c r="H812" s="11"/>
      <c r="I812" s="15" t="str">
        <f aca="false">IF($F812="","",$F812-IF($H812="",0,$H812))</f>
        <v/>
      </c>
      <c r="J812" s="16" t="str">
        <f aca="true">IF(OR($A812="",$I812="",$I812&lt;=0),"",TODAY()-$A812)</f>
        <v/>
      </c>
      <c r="K812" s="10"/>
    </row>
    <row r="813" customFormat="false" ht="15" hidden="false" customHeight="true" outlineLevel="0" collapsed="false">
      <c r="A813" s="13"/>
      <c r="B813" s="10"/>
      <c r="C813" s="10"/>
      <c r="D813" s="14"/>
      <c r="E813" s="11"/>
      <c r="F813" s="15" t="str">
        <f aca="false">IF($B813="","",IF(AND($D813="",$E813=""),"",IF(OR($D813="",$E813=""),0,ROUND($D813*$E813,0))))</f>
        <v/>
      </c>
      <c r="G813" s="13"/>
      <c r="H813" s="11"/>
      <c r="I813" s="15" t="str">
        <f aca="false">IF($F813="","",$F813-IF($H813="",0,$H813))</f>
        <v/>
      </c>
      <c r="J813" s="16" t="str">
        <f aca="true">IF(OR($A813="",$I813="",$I813&lt;=0),"",TODAY()-$A813)</f>
        <v/>
      </c>
      <c r="K813" s="10"/>
    </row>
    <row r="814" customFormat="false" ht="15" hidden="false" customHeight="true" outlineLevel="0" collapsed="false">
      <c r="A814" s="13"/>
      <c r="B814" s="10"/>
      <c r="C814" s="10"/>
      <c r="D814" s="14"/>
      <c r="E814" s="11"/>
      <c r="F814" s="15" t="str">
        <f aca="false">IF($B814="","",IF(AND($D814="",$E814=""),"",IF(OR($D814="",$E814=""),0,ROUND($D814*$E814,0))))</f>
        <v/>
      </c>
      <c r="G814" s="13"/>
      <c r="H814" s="11"/>
      <c r="I814" s="15" t="str">
        <f aca="false">IF($F814="","",$F814-IF($H814="",0,$H814))</f>
        <v/>
      </c>
      <c r="J814" s="16" t="str">
        <f aca="true">IF(OR($A814="",$I814="",$I814&lt;=0),"",TODAY()-$A814)</f>
        <v/>
      </c>
      <c r="K814" s="10"/>
    </row>
    <row r="815" customFormat="false" ht="15" hidden="false" customHeight="true" outlineLevel="0" collapsed="false">
      <c r="A815" s="13"/>
      <c r="B815" s="10"/>
      <c r="C815" s="10"/>
      <c r="D815" s="14"/>
      <c r="E815" s="11"/>
      <c r="F815" s="15" t="str">
        <f aca="false">IF($B815="","",IF(AND($D815="",$E815=""),"",IF(OR($D815="",$E815=""),0,ROUND($D815*$E815,0))))</f>
        <v/>
      </c>
      <c r="G815" s="13"/>
      <c r="H815" s="11"/>
      <c r="I815" s="15" t="str">
        <f aca="false">IF($F815="","",$F815-IF($H815="",0,$H815))</f>
        <v/>
      </c>
      <c r="J815" s="16" t="str">
        <f aca="true">IF(OR($A815="",$I815="",$I815&lt;=0),"",TODAY()-$A815)</f>
        <v/>
      </c>
      <c r="K815" s="10"/>
    </row>
    <row r="816" customFormat="false" ht="15" hidden="false" customHeight="true" outlineLevel="0" collapsed="false">
      <c r="A816" s="13"/>
      <c r="B816" s="10"/>
      <c r="C816" s="10"/>
      <c r="D816" s="14"/>
      <c r="E816" s="11"/>
      <c r="F816" s="15" t="str">
        <f aca="false">IF($B816="","",IF(AND($D816="",$E816=""),"",IF(OR($D816="",$E816=""),0,ROUND($D816*$E816,0))))</f>
        <v/>
      </c>
      <c r="G816" s="13"/>
      <c r="H816" s="11"/>
      <c r="I816" s="15" t="str">
        <f aca="false">IF($F816="","",$F816-IF($H816="",0,$H816))</f>
        <v/>
      </c>
      <c r="J816" s="16" t="str">
        <f aca="true">IF(OR($A816="",$I816="",$I816&lt;=0),"",TODAY()-$A816)</f>
        <v/>
      </c>
      <c r="K816" s="10"/>
    </row>
    <row r="817" customFormat="false" ht="15" hidden="false" customHeight="true" outlineLevel="0" collapsed="false">
      <c r="A817" s="13"/>
      <c r="B817" s="10"/>
      <c r="C817" s="10"/>
      <c r="D817" s="14"/>
      <c r="E817" s="11"/>
      <c r="F817" s="15" t="str">
        <f aca="false">IF($B817="","",IF(AND($D817="",$E817=""),"",IF(OR($D817="",$E817=""),0,ROUND($D817*$E817,0))))</f>
        <v/>
      </c>
      <c r="G817" s="13"/>
      <c r="H817" s="11"/>
      <c r="I817" s="15" t="str">
        <f aca="false">IF($F817="","",$F817-IF($H817="",0,$H817))</f>
        <v/>
      </c>
      <c r="J817" s="16" t="str">
        <f aca="true">IF(OR($A817="",$I817="",$I817&lt;=0),"",TODAY()-$A817)</f>
        <v/>
      </c>
      <c r="K817" s="10"/>
    </row>
    <row r="818" customFormat="false" ht="15" hidden="false" customHeight="true" outlineLevel="0" collapsed="false">
      <c r="A818" s="13"/>
      <c r="B818" s="10"/>
      <c r="C818" s="10"/>
      <c r="D818" s="14"/>
      <c r="E818" s="11"/>
      <c r="F818" s="15" t="str">
        <f aca="false">IF($B818="","",IF(AND($D818="",$E818=""),"",IF(OR($D818="",$E818=""),0,ROUND($D818*$E818,0))))</f>
        <v/>
      </c>
      <c r="G818" s="13"/>
      <c r="H818" s="11"/>
      <c r="I818" s="15" t="str">
        <f aca="false">IF($F818="","",$F818-IF($H818="",0,$H818))</f>
        <v/>
      </c>
      <c r="J818" s="16" t="str">
        <f aca="true">IF(OR($A818="",$I818="",$I818&lt;=0),"",TODAY()-$A818)</f>
        <v/>
      </c>
      <c r="K818" s="10"/>
    </row>
    <row r="819" customFormat="false" ht="15" hidden="false" customHeight="true" outlineLevel="0" collapsed="false">
      <c r="A819" s="13"/>
      <c r="B819" s="10"/>
      <c r="C819" s="10"/>
      <c r="D819" s="14"/>
      <c r="E819" s="11"/>
      <c r="F819" s="15" t="str">
        <f aca="false">IF($B819="","",IF(AND($D819="",$E819=""),"",IF(OR($D819="",$E819=""),0,ROUND($D819*$E819,0))))</f>
        <v/>
      </c>
      <c r="G819" s="13"/>
      <c r="H819" s="11"/>
      <c r="I819" s="15" t="str">
        <f aca="false">IF($F819="","",$F819-IF($H819="",0,$H819))</f>
        <v/>
      </c>
      <c r="J819" s="16" t="str">
        <f aca="true">IF(OR($A819="",$I819="",$I819&lt;=0),"",TODAY()-$A819)</f>
        <v/>
      </c>
      <c r="K819" s="10"/>
    </row>
    <row r="820" customFormat="false" ht="15" hidden="false" customHeight="true" outlineLevel="0" collapsed="false">
      <c r="A820" s="13"/>
      <c r="B820" s="10"/>
      <c r="C820" s="10"/>
      <c r="D820" s="14"/>
      <c r="E820" s="11"/>
      <c r="F820" s="15" t="str">
        <f aca="false">IF($B820="","",IF(AND($D820="",$E820=""),"",IF(OR($D820="",$E820=""),0,ROUND($D820*$E820,0))))</f>
        <v/>
      </c>
      <c r="G820" s="13"/>
      <c r="H820" s="11"/>
      <c r="I820" s="15" t="str">
        <f aca="false">IF($F820="","",$F820-IF($H820="",0,$H820))</f>
        <v/>
      </c>
      <c r="J820" s="16" t="str">
        <f aca="true">IF(OR($A820="",$I820="",$I820&lt;=0),"",TODAY()-$A820)</f>
        <v/>
      </c>
      <c r="K820" s="10"/>
    </row>
    <row r="821" customFormat="false" ht="15" hidden="false" customHeight="true" outlineLevel="0" collapsed="false">
      <c r="A821" s="13"/>
      <c r="B821" s="10"/>
      <c r="C821" s="10"/>
      <c r="D821" s="14"/>
      <c r="E821" s="11"/>
      <c r="F821" s="15" t="str">
        <f aca="false">IF($B821="","",IF(AND($D821="",$E821=""),"",IF(OR($D821="",$E821=""),0,ROUND($D821*$E821,0))))</f>
        <v/>
      </c>
      <c r="G821" s="13"/>
      <c r="H821" s="11"/>
      <c r="I821" s="15" t="str">
        <f aca="false">IF($F821="","",$F821-IF($H821="",0,$H821))</f>
        <v/>
      </c>
      <c r="J821" s="16" t="str">
        <f aca="true">IF(OR($A821="",$I821="",$I821&lt;=0),"",TODAY()-$A821)</f>
        <v/>
      </c>
      <c r="K821" s="10"/>
    </row>
    <row r="822" customFormat="false" ht="15" hidden="false" customHeight="true" outlineLevel="0" collapsed="false">
      <c r="A822" s="13"/>
      <c r="B822" s="10"/>
      <c r="C822" s="10"/>
      <c r="D822" s="14"/>
      <c r="E822" s="11"/>
      <c r="F822" s="15" t="str">
        <f aca="false">IF($B822="","",IF(AND($D822="",$E822=""),"",IF(OR($D822="",$E822=""),0,ROUND($D822*$E822,0))))</f>
        <v/>
      </c>
      <c r="G822" s="13"/>
      <c r="H822" s="11"/>
      <c r="I822" s="15" t="str">
        <f aca="false">IF($F822="","",$F822-IF($H822="",0,$H822))</f>
        <v/>
      </c>
      <c r="J822" s="16" t="str">
        <f aca="true">IF(OR($A822="",$I822="",$I822&lt;=0),"",TODAY()-$A822)</f>
        <v/>
      </c>
      <c r="K822" s="10"/>
    </row>
    <row r="823" customFormat="false" ht="15" hidden="false" customHeight="true" outlineLevel="0" collapsed="false">
      <c r="A823" s="13"/>
      <c r="B823" s="10"/>
      <c r="C823" s="10"/>
      <c r="D823" s="14"/>
      <c r="E823" s="11"/>
      <c r="F823" s="15" t="str">
        <f aca="false">IF($B823="","",IF(AND($D823="",$E823=""),"",IF(OR($D823="",$E823=""),0,ROUND($D823*$E823,0))))</f>
        <v/>
      </c>
      <c r="G823" s="13"/>
      <c r="H823" s="11"/>
      <c r="I823" s="15" t="str">
        <f aca="false">IF($F823="","",$F823-IF($H823="",0,$H823))</f>
        <v/>
      </c>
      <c r="J823" s="16" t="str">
        <f aca="true">IF(OR($A823="",$I823="",$I823&lt;=0),"",TODAY()-$A823)</f>
        <v/>
      </c>
      <c r="K823" s="10"/>
    </row>
    <row r="824" customFormat="false" ht="15" hidden="false" customHeight="true" outlineLevel="0" collapsed="false">
      <c r="A824" s="13"/>
      <c r="B824" s="10"/>
      <c r="C824" s="10"/>
      <c r="D824" s="14"/>
      <c r="E824" s="11"/>
      <c r="F824" s="15" t="str">
        <f aca="false">IF($B824="","",IF(AND($D824="",$E824=""),"",IF(OR($D824="",$E824=""),0,ROUND($D824*$E824,0))))</f>
        <v/>
      </c>
      <c r="G824" s="13"/>
      <c r="H824" s="11"/>
      <c r="I824" s="15" t="str">
        <f aca="false">IF($F824="","",$F824-IF($H824="",0,$H824))</f>
        <v/>
      </c>
      <c r="J824" s="16" t="str">
        <f aca="true">IF(OR($A824="",$I824="",$I824&lt;=0),"",TODAY()-$A824)</f>
        <v/>
      </c>
      <c r="K824" s="10"/>
    </row>
    <row r="825" customFormat="false" ht="15" hidden="false" customHeight="true" outlineLevel="0" collapsed="false">
      <c r="A825" s="13"/>
      <c r="B825" s="10"/>
      <c r="C825" s="10"/>
      <c r="D825" s="14"/>
      <c r="E825" s="11"/>
      <c r="F825" s="15" t="str">
        <f aca="false">IF($B825="","",IF(AND($D825="",$E825=""),"",IF(OR($D825="",$E825=""),0,ROUND($D825*$E825,0))))</f>
        <v/>
      </c>
      <c r="G825" s="13"/>
      <c r="H825" s="11"/>
      <c r="I825" s="15" t="str">
        <f aca="false">IF($F825="","",$F825-IF($H825="",0,$H825))</f>
        <v/>
      </c>
      <c r="J825" s="16" t="str">
        <f aca="true">IF(OR($A825="",$I825="",$I825&lt;=0),"",TODAY()-$A825)</f>
        <v/>
      </c>
      <c r="K825" s="10"/>
    </row>
    <row r="826" customFormat="false" ht="15" hidden="false" customHeight="true" outlineLevel="0" collapsed="false">
      <c r="A826" s="13"/>
      <c r="B826" s="10"/>
      <c r="C826" s="10"/>
      <c r="D826" s="14"/>
      <c r="E826" s="11"/>
      <c r="F826" s="15" t="str">
        <f aca="false">IF($B826="","",IF(AND($D826="",$E826=""),"",IF(OR($D826="",$E826=""),0,ROUND($D826*$E826,0))))</f>
        <v/>
      </c>
      <c r="G826" s="13"/>
      <c r="H826" s="11"/>
      <c r="I826" s="15" t="str">
        <f aca="false">IF($F826="","",$F826-IF($H826="",0,$H826))</f>
        <v/>
      </c>
      <c r="J826" s="16" t="str">
        <f aca="true">IF(OR($A826="",$I826="",$I826&lt;=0),"",TODAY()-$A826)</f>
        <v/>
      </c>
      <c r="K826" s="10"/>
    </row>
    <row r="827" customFormat="false" ht="15" hidden="false" customHeight="true" outlineLevel="0" collapsed="false">
      <c r="A827" s="13"/>
      <c r="B827" s="10"/>
      <c r="C827" s="10"/>
      <c r="D827" s="14"/>
      <c r="E827" s="11"/>
      <c r="F827" s="15" t="str">
        <f aca="false">IF($B827="","",IF(AND($D827="",$E827=""),"",IF(OR($D827="",$E827=""),0,ROUND($D827*$E827,0))))</f>
        <v/>
      </c>
      <c r="G827" s="13"/>
      <c r="H827" s="11"/>
      <c r="I827" s="15" t="str">
        <f aca="false">IF($F827="","",$F827-IF($H827="",0,$H827))</f>
        <v/>
      </c>
      <c r="J827" s="16" t="str">
        <f aca="true">IF(OR($A827="",$I827="",$I827&lt;=0),"",TODAY()-$A827)</f>
        <v/>
      </c>
      <c r="K827" s="10"/>
    </row>
    <row r="828" customFormat="false" ht="15" hidden="false" customHeight="true" outlineLevel="0" collapsed="false">
      <c r="A828" s="13"/>
      <c r="B828" s="10"/>
      <c r="C828" s="10"/>
      <c r="D828" s="14"/>
      <c r="E828" s="11"/>
      <c r="F828" s="15" t="str">
        <f aca="false">IF($B828="","",IF(AND($D828="",$E828=""),"",IF(OR($D828="",$E828=""),0,ROUND($D828*$E828,0))))</f>
        <v/>
      </c>
      <c r="G828" s="13"/>
      <c r="H828" s="11"/>
      <c r="I828" s="15" t="str">
        <f aca="false">IF($F828="","",$F828-IF($H828="",0,$H828))</f>
        <v/>
      </c>
      <c r="J828" s="16" t="str">
        <f aca="true">IF(OR($A828="",$I828="",$I828&lt;=0),"",TODAY()-$A828)</f>
        <v/>
      </c>
      <c r="K828" s="10"/>
    </row>
    <row r="829" customFormat="false" ht="15" hidden="false" customHeight="true" outlineLevel="0" collapsed="false">
      <c r="A829" s="13"/>
      <c r="B829" s="10"/>
      <c r="C829" s="10"/>
      <c r="D829" s="14"/>
      <c r="E829" s="11"/>
      <c r="F829" s="15" t="str">
        <f aca="false">IF($B829="","",IF(AND($D829="",$E829=""),"",IF(OR($D829="",$E829=""),0,ROUND($D829*$E829,0))))</f>
        <v/>
      </c>
      <c r="G829" s="13"/>
      <c r="H829" s="11"/>
      <c r="I829" s="15" t="str">
        <f aca="false">IF($F829="","",$F829-IF($H829="",0,$H829))</f>
        <v/>
      </c>
      <c r="J829" s="16" t="str">
        <f aca="true">IF(OR($A829="",$I829="",$I829&lt;=0),"",TODAY()-$A829)</f>
        <v/>
      </c>
      <c r="K829" s="10"/>
    </row>
    <row r="830" customFormat="false" ht="15" hidden="false" customHeight="true" outlineLevel="0" collapsed="false">
      <c r="A830" s="13"/>
      <c r="B830" s="10"/>
      <c r="C830" s="10"/>
      <c r="D830" s="14"/>
      <c r="E830" s="11"/>
      <c r="F830" s="15" t="str">
        <f aca="false">IF($B830="","",IF(AND($D830="",$E830=""),"",IF(OR($D830="",$E830=""),0,ROUND($D830*$E830,0))))</f>
        <v/>
      </c>
      <c r="G830" s="13"/>
      <c r="H830" s="11"/>
      <c r="I830" s="15" t="str">
        <f aca="false">IF($F830="","",$F830-IF($H830="",0,$H830))</f>
        <v/>
      </c>
      <c r="J830" s="16" t="str">
        <f aca="true">IF(OR($A830="",$I830="",$I830&lt;=0),"",TODAY()-$A830)</f>
        <v/>
      </c>
      <c r="K830" s="10"/>
    </row>
    <row r="831" customFormat="false" ht="15" hidden="false" customHeight="true" outlineLevel="0" collapsed="false">
      <c r="A831" s="13"/>
      <c r="B831" s="10"/>
      <c r="C831" s="10"/>
      <c r="D831" s="14"/>
      <c r="E831" s="11"/>
      <c r="F831" s="15" t="str">
        <f aca="false">IF($B831="","",IF(AND($D831="",$E831=""),"",IF(OR($D831="",$E831=""),0,ROUND($D831*$E831,0))))</f>
        <v/>
      </c>
      <c r="G831" s="13"/>
      <c r="H831" s="11"/>
      <c r="I831" s="15" t="str">
        <f aca="false">IF($F831="","",$F831-IF($H831="",0,$H831))</f>
        <v/>
      </c>
      <c r="J831" s="16" t="str">
        <f aca="true">IF(OR($A831="",$I831="",$I831&lt;=0),"",TODAY()-$A831)</f>
        <v/>
      </c>
      <c r="K831" s="10"/>
    </row>
    <row r="832" customFormat="false" ht="15" hidden="false" customHeight="true" outlineLevel="0" collapsed="false">
      <c r="A832" s="13"/>
      <c r="B832" s="10"/>
      <c r="C832" s="10"/>
      <c r="D832" s="14"/>
      <c r="E832" s="11"/>
      <c r="F832" s="15" t="str">
        <f aca="false">IF($B832="","",IF(AND($D832="",$E832=""),"",IF(OR($D832="",$E832=""),0,ROUND($D832*$E832,0))))</f>
        <v/>
      </c>
      <c r="G832" s="13"/>
      <c r="H832" s="11"/>
      <c r="I832" s="15" t="str">
        <f aca="false">IF($F832="","",$F832-IF($H832="",0,$H832))</f>
        <v/>
      </c>
      <c r="J832" s="16" t="str">
        <f aca="true">IF(OR($A832="",$I832="",$I832&lt;=0),"",TODAY()-$A832)</f>
        <v/>
      </c>
      <c r="K832" s="10"/>
    </row>
    <row r="833" customFormat="false" ht="15" hidden="false" customHeight="true" outlineLevel="0" collapsed="false">
      <c r="A833" s="13"/>
      <c r="B833" s="10"/>
      <c r="C833" s="10"/>
      <c r="D833" s="14"/>
      <c r="E833" s="11"/>
      <c r="F833" s="15" t="str">
        <f aca="false">IF($B833="","",IF(AND($D833="",$E833=""),"",IF(OR($D833="",$E833=""),0,ROUND($D833*$E833,0))))</f>
        <v/>
      </c>
      <c r="G833" s="13"/>
      <c r="H833" s="11"/>
      <c r="I833" s="15" t="str">
        <f aca="false">IF($F833="","",$F833-IF($H833="",0,$H833))</f>
        <v/>
      </c>
      <c r="J833" s="16" t="str">
        <f aca="true">IF(OR($A833="",$I833="",$I833&lt;=0),"",TODAY()-$A833)</f>
        <v/>
      </c>
      <c r="K833" s="10"/>
    </row>
    <row r="834" customFormat="false" ht="15" hidden="false" customHeight="true" outlineLevel="0" collapsed="false">
      <c r="A834" s="13"/>
      <c r="B834" s="10"/>
      <c r="C834" s="10"/>
      <c r="D834" s="14"/>
      <c r="E834" s="11"/>
      <c r="F834" s="15" t="str">
        <f aca="false">IF($B834="","",IF(AND($D834="",$E834=""),"",IF(OR($D834="",$E834=""),0,ROUND($D834*$E834,0))))</f>
        <v/>
      </c>
      <c r="G834" s="13"/>
      <c r="H834" s="11"/>
      <c r="I834" s="15" t="str">
        <f aca="false">IF($F834="","",$F834-IF($H834="",0,$H834))</f>
        <v/>
      </c>
      <c r="J834" s="16" t="str">
        <f aca="true">IF(OR($A834="",$I834="",$I834&lt;=0),"",TODAY()-$A834)</f>
        <v/>
      </c>
      <c r="K834" s="10"/>
    </row>
    <row r="835" customFormat="false" ht="15" hidden="false" customHeight="true" outlineLevel="0" collapsed="false">
      <c r="A835" s="13"/>
      <c r="B835" s="10"/>
      <c r="C835" s="10"/>
      <c r="D835" s="14"/>
      <c r="E835" s="11"/>
      <c r="F835" s="15" t="str">
        <f aca="false">IF($B835="","",IF(AND($D835="",$E835=""),"",IF(OR($D835="",$E835=""),0,ROUND($D835*$E835,0))))</f>
        <v/>
      </c>
      <c r="G835" s="13"/>
      <c r="H835" s="11"/>
      <c r="I835" s="15" t="str">
        <f aca="false">IF($F835="","",$F835-IF($H835="",0,$H835))</f>
        <v/>
      </c>
      <c r="J835" s="16" t="str">
        <f aca="true">IF(OR($A835="",$I835="",$I835&lt;=0),"",TODAY()-$A835)</f>
        <v/>
      </c>
      <c r="K835" s="10"/>
    </row>
    <row r="836" customFormat="false" ht="15" hidden="false" customHeight="true" outlineLevel="0" collapsed="false">
      <c r="A836" s="13"/>
      <c r="B836" s="10"/>
      <c r="C836" s="10"/>
      <c r="D836" s="14"/>
      <c r="E836" s="11"/>
      <c r="F836" s="15" t="str">
        <f aca="false">IF($B836="","",IF(AND($D836="",$E836=""),"",IF(OR($D836="",$E836=""),0,ROUND($D836*$E836,0))))</f>
        <v/>
      </c>
      <c r="G836" s="13"/>
      <c r="H836" s="11"/>
      <c r="I836" s="15" t="str">
        <f aca="false">IF($F836="","",$F836-IF($H836="",0,$H836))</f>
        <v/>
      </c>
      <c r="J836" s="16" t="str">
        <f aca="true">IF(OR($A836="",$I836="",$I836&lt;=0),"",TODAY()-$A836)</f>
        <v/>
      </c>
      <c r="K836" s="10"/>
    </row>
    <row r="837" customFormat="false" ht="15" hidden="false" customHeight="true" outlineLevel="0" collapsed="false">
      <c r="A837" s="13"/>
      <c r="B837" s="10"/>
      <c r="C837" s="10"/>
      <c r="D837" s="14"/>
      <c r="E837" s="11"/>
      <c r="F837" s="15" t="str">
        <f aca="false">IF($B837="","",IF(AND($D837="",$E837=""),"",IF(OR($D837="",$E837=""),0,ROUND($D837*$E837,0))))</f>
        <v/>
      </c>
      <c r="G837" s="13"/>
      <c r="H837" s="11"/>
      <c r="I837" s="15" t="str">
        <f aca="false">IF($F837="","",$F837-IF($H837="",0,$H837))</f>
        <v/>
      </c>
      <c r="J837" s="16" t="str">
        <f aca="true">IF(OR($A837="",$I837="",$I837&lt;=0),"",TODAY()-$A837)</f>
        <v/>
      </c>
      <c r="K837" s="10"/>
    </row>
    <row r="838" customFormat="false" ht="15" hidden="false" customHeight="true" outlineLevel="0" collapsed="false">
      <c r="A838" s="13"/>
      <c r="B838" s="10"/>
      <c r="C838" s="10"/>
      <c r="D838" s="14"/>
      <c r="E838" s="11"/>
      <c r="F838" s="15" t="str">
        <f aca="false">IF($B838="","",IF(AND($D838="",$E838=""),"",IF(OR($D838="",$E838=""),0,ROUND($D838*$E838,0))))</f>
        <v/>
      </c>
      <c r="G838" s="13"/>
      <c r="H838" s="11"/>
      <c r="I838" s="15" t="str">
        <f aca="false">IF($F838="","",$F838-IF($H838="",0,$H838))</f>
        <v/>
      </c>
      <c r="J838" s="16" t="str">
        <f aca="true">IF(OR($A838="",$I838="",$I838&lt;=0),"",TODAY()-$A838)</f>
        <v/>
      </c>
      <c r="K838" s="10"/>
    </row>
    <row r="839" customFormat="false" ht="15" hidden="false" customHeight="true" outlineLevel="0" collapsed="false">
      <c r="A839" s="13"/>
      <c r="B839" s="10"/>
      <c r="C839" s="10"/>
      <c r="D839" s="14"/>
      <c r="E839" s="11"/>
      <c r="F839" s="15" t="str">
        <f aca="false">IF($B839="","",IF(AND($D839="",$E839=""),"",IF(OR($D839="",$E839=""),0,ROUND($D839*$E839,0))))</f>
        <v/>
      </c>
      <c r="G839" s="13"/>
      <c r="H839" s="11"/>
      <c r="I839" s="15" t="str">
        <f aca="false">IF($F839="","",$F839-IF($H839="",0,$H839))</f>
        <v/>
      </c>
      <c r="J839" s="16" t="str">
        <f aca="true">IF(OR($A839="",$I839="",$I839&lt;=0),"",TODAY()-$A839)</f>
        <v/>
      </c>
      <c r="K839" s="10"/>
    </row>
    <row r="840" customFormat="false" ht="15" hidden="false" customHeight="true" outlineLevel="0" collapsed="false">
      <c r="A840" s="13"/>
      <c r="B840" s="10"/>
      <c r="C840" s="10"/>
      <c r="D840" s="14"/>
      <c r="E840" s="11"/>
      <c r="F840" s="15" t="str">
        <f aca="false">IF($B840="","",IF(AND($D840="",$E840=""),"",IF(OR($D840="",$E840=""),0,ROUND($D840*$E840,0))))</f>
        <v/>
      </c>
      <c r="G840" s="13"/>
      <c r="H840" s="11"/>
      <c r="I840" s="15" t="str">
        <f aca="false">IF($F840="","",$F840-IF($H840="",0,$H840))</f>
        <v/>
      </c>
      <c r="J840" s="16" t="str">
        <f aca="true">IF(OR($A840="",$I840="",$I840&lt;=0),"",TODAY()-$A840)</f>
        <v/>
      </c>
      <c r="K840" s="10"/>
    </row>
    <row r="841" customFormat="false" ht="15" hidden="false" customHeight="true" outlineLevel="0" collapsed="false">
      <c r="A841" s="13"/>
      <c r="B841" s="10"/>
      <c r="C841" s="10"/>
      <c r="D841" s="14"/>
      <c r="E841" s="11"/>
      <c r="F841" s="15" t="str">
        <f aca="false">IF($B841="","",IF(AND($D841="",$E841=""),"",IF(OR($D841="",$E841=""),0,ROUND($D841*$E841,0))))</f>
        <v/>
      </c>
      <c r="G841" s="13"/>
      <c r="H841" s="11"/>
      <c r="I841" s="15" t="str">
        <f aca="false">IF($F841="","",$F841-IF($H841="",0,$H841))</f>
        <v/>
      </c>
      <c r="J841" s="16" t="str">
        <f aca="true">IF(OR($A841="",$I841="",$I841&lt;=0),"",TODAY()-$A841)</f>
        <v/>
      </c>
      <c r="K841" s="10"/>
    </row>
    <row r="842" customFormat="false" ht="15" hidden="false" customHeight="true" outlineLevel="0" collapsed="false">
      <c r="A842" s="13"/>
      <c r="B842" s="10"/>
      <c r="C842" s="10"/>
      <c r="D842" s="14"/>
      <c r="E842" s="11"/>
      <c r="F842" s="15" t="str">
        <f aca="false">IF($B842="","",IF(AND($D842="",$E842=""),"",IF(OR($D842="",$E842=""),0,ROUND($D842*$E842,0))))</f>
        <v/>
      </c>
      <c r="G842" s="13"/>
      <c r="H842" s="11"/>
      <c r="I842" s="15" t="str">
        <f aca="false">IF($F842="","",$F842-IF($H842="",0,$H842))</f>
        <v/>
      </c>
      <c r="J842" s="16" t="str">
        <f aca="true">IF(OR($A842="",$I842="",$I842&lt;=0),"",TODAY()-$A842)</f>
        <v/>
      </c>
      <c r="K842" s="10"/>
    </row>
    <row r="843" customFormat="false" ht="15" hidden="false" customHeight="true" outlineLevel="0" collapsed="false">
      <c r="A843" s="13"/>
      <c r="B843" s="10"/>
      <c r="C843" s="10"/>
      <c r="D843" s="14"/>
      <c r="E843" s="11"/>
      <c r="F843" s="15" t="str">
        <f aca="false">IF($B843="","",IF(AND($D843="",$E843=""),"",IF(OR($D843="",$E843=""),0,ROUND($D843*$E843,0))))</f>
        <v/>
      </c>
      <c r="G843" s="13"/>
      <c r="H843" s="11"/>
      <c r="I843" s="15" t="str">
        <f aca="false">IF($F843="","",$F843-IF($H843="",0,$H843))</f>
        <v/>
      </c>
      <c r="J843" s="16" t="str">
        <f aca="true">IF(OR($A843="",$I843="",$I843&lt;=0),"",TODAY()-$A843)</f>
        <v/>
      </c>
      <c r="K843" s="10"/>
    </row>
    <row r="844" customFormat="false" ht="15" hidden="false" customHeight="true" outlineLevel="0" collapsed="false">
      <c r="A844" s="13"/>
      <c r="B844" s="10"/>
      <c r="C844" s="10"/>
      <c r="D844" s="14"/>
      <c r="E844" s="11"/>
      <c r="F844" s="15" t="str">
        <f aca="false">IF($B844="","",IF(AND($D844="",$E844=""),"",IF(OR($D844="",$E844=""),0,ROUND($D844*$E844,0))))</f>
        <v/>
      </c>
      <c r="G844" s="13"/>
      <c r="H844" s="11"/>
      <c r="I844" s="15" t="str">
        <f aca="false">IF($F844="","",$F844-IF($H844="",0,$H844))</f>
        <v/>
      </c>
      <c r="J844" s="16" t="str">
        <f aca="true">IF(OR($A844="",$I844="",$I844&lt;=0),"",TODAY()-$A844)</f>
        <v/>
      </c>
      <c r="K844" s="10"/>
    </row>
    <row r="845" customFormat="false" ht="15" hidden="false" customHeight="true" outlineLevel="0" collapsed="false">
      <c r="A845" s="13"/>
      <c r="B845" s="10"/>
      <c r="C845" s="10"/>
      <c r="D845" s="14"/>
      <c r="E845" s="11"/>
      <c r="F845" s="15" t="str">
        <f aca="false">IF($B845="","",IF(AND($D845="",$E845=""),"",IF(OR($D845="",$E845=""),0,ROUND($D845*$E845,0))))</f>
        <v/>
      </c>
      <c r="G845" s="13"/>
      <c r="H845" s="11"/>
      <c r="I845" s="15" t="str">
        <f aca="false">IF($F845="","",$F845-IF($H845="",0,$H845))</f>
        <v/>
      </c>
      <c r="J845" s="16" t="str">
        <f aca="true">IF(OR($A845="",$I845="",$I845&lt;=0),"",TODAY()-$A845)</f>
        <v/>
      </c>
      <c r="K845" s="10"/>
    </row>
    <row r="846" customFormat="false" ht="15" hidden="false" customHeight="true" outlineLevel="0" collapsed="false">
      <c r="A846" s="13"/>
      <c r="B846" s="10"/>
      <c r="C846" s="10"/>
      <c r="D846" s="14"/>
      <c r="E846" s="11"/>
      <c r="F846" s="15" t="str">
        <f aca="false">IF($B846="","",IF(AND($D846="",$E846=""),"",IF(OR($D846="",$E846=""),0,ROUND($D846*$E846,0))))</f>
        <v/>
      </c>
      <c r="G846" s="13"/>
      <c r="H846" s="11"/>
      <c r="I846" s="15" t="str">
        <f aca="false">IF($F846="","",$F846-IF($H846="",0,$H846))</f>
        <v/>
      </c>
      <c r="J846" s="16" t="str">
        <f aca="true">IF(OR($A846="",$I846="",$I846&lt;=0),"",TODAY()-$A846)</f>
        <v/>
      </c>
      <c r="K846" s="10"/>
    </row>
    <row r="847" customFormat="false" ht="15" hidden="false" customHeight="true" outlineLevel="0" collapsed="false">
      <c r="A847" s="13"/>
      <c r="B847" s="10"/>
      <c r="C847" s="10"/>
      <c r="D847" s="14"/>
      <c r="E847" s="11"/>
      <c r="F847" s="15" t="str">
        <f aca="false">IF($B847="","",IF(AND($D847="",$E847=""),"",IF(OR($D847="",$E847=""),0,ROUND($D847*$E847,0))))</f>
        <v/>
      </c>
      <c r="G847" s="13"/>
      <c r="H847" s="11"/>
      <c r="I847" s="15" t="str">
        <f aca="false">IF($F847="","",$F847-IF($H847="",0,$H847))</f>
        <v/>
      </c>
      <c r="J847" s="16" t="str">
        <f aca="true">IF(OR($A847="",$I847="",$I847&lt;=0),"",TODAY()-$A847)</f>
        <v/>
      </c>
      <c r="K847" s="10"/>
    </row>
    <row r="848" customFormat="false" ht="15" hidden="false" customHeight="true" outlineLevel="0" collapsed="false">
      <c r="A848" s="13"/>
      <c r="B848" s="10"/>
      <c r="C848" s="10"/>
      <c r="D848" s="14"/>
      <c r="E848" s="11"/>
      <c r="F848" s="15" t="str">
        <f aca="false">IF($B848="","",IF(AND($D848="",$E848=""),"",IF(OR($D848="",$E848=""),0,ROUND($D848*$E848,0))))</f>
        <v/>
      </c>
      <c r="G848" s="13"/>
      <c r="H848" s="11"/>
      <c r="I848" s="15" t="str">
        <f aca="false">IF($F848="","",$F848-IF($H848="",0,$H848))</f>
        <v/>
      </c>
      <c r="J848" s="16" t="str">
        <f aca="true">IF(OR($A848="",$I848="",$I848&lt;=0),"",TODAY()-$A848)</f>
        <v/>
      </c>
      <c r="K848" s="10"/>
    </row>
    <row r="849" customFormat="false" ht="15" hidden="false" customHeight="true" outlineLevel="0" collapsed="false">
      <c r="A849" s="13"/>
      <c r="B849" s="10"/>
      <c r="C849" s="10"/>
      <c r="D849" s="14"/>
      <c r="E849" s="11"/>
      <c r="F849" s="15" t="str">
        <f aca="false">IF($B849="","",IF(AND($D849="",$E849=""),"",IF(OR($D849="",$E849=""),0,ROUND($D849*$E849,0))))</f>
        <v/>
      </c>
      <c r="G849" s="13"/>
      <c r="H849" s="11"/>
      <c r="I849" s="15" t="str">
        <f aca="false">IF($F849="","",$F849-IF($H849="",0,$H849))</f>
        <v/>
      </c>
      <c r="J849" s="16" t="str">
        <f aca="true">IF(OR($A849="",$I849="",$I849&lt;=0),"",TODAY()-$A849)</f>
        <v/>
      </c>
      <c r="K849" s="10"/>
    </row>
    <row r="850" customFormat="false" ht="15" hidden="false" customHeight="true" outlineLevel="0" collapsed="false">
      <c r="A850" s="13"/>
      <c r="B850" s="10"/>
      <c r="C850" s="10"/>
      <c r="D850" s="14"/>
      <c r="E850" s="11"/>
      <c r="F850" s="15" t="str">
        <f aca="false">IF($B850="","",IF(AND($D850="",$E850=""),"",IF(OR($D850="",$E850=""),0,ROUND($D850*$E850,0))))</f>
        <v/>
      </c>
      <c r="G850" s="13"/>
      <c r="H850" s="11"/>
      <c r="I850" s="15" t="str">
        <f aca="false">IF($F850="","",$F850-IF($H850="",0,$H850))</f>
        <v/>
      </c>
      <c r="J850" s="16" t="str">
        <f aca="true">IF(OR($A850="",$I850="",$I850&lt;=0),"",TODAY()-$A850)</f>
        <v/>
      </c>
      <c r="K850" s="10"/>
    </row>
    <row r="851" customFormat="false" ht="15" hidden="false" customHeight="true" outlineLevel="0" collapsed="false">
      <c r="A851" s="13"/>
      <c r="B851" s="10"/>
      <c r="C851" s="10"/>
      <c r="D851" s="14"/>
      <c r="E851" s="11"/>
      <c r="F851" s="15" t="str">
        <f aca="false">IF($B851="","",IF(AND($D851="",$E851=""),"",IF(OR($D851="",$E851=""),0,ROUND($D851*$E851,0))))</f>
        <v/>
      </c>
      <c r="G851" s="13"/>
      <c r="H851" s="11"/>
      <c r="I851" s="15" t="str">
        <f aca="false">IF($F851="","",$F851-IF($H851="",0,$H851))</f>
        <v/>
      </c>
      <c r="J851" s="16" t="str">
        <f aca="true">IF(OR($A851="",$I851="",$I851&lt;=0),"",TODAY()-$A851)</f>
        <v/>
      </c>
      <c r="K851" s="10"/>
    </row>
    <row r="852" customFormat="false" ht="15" hidden="false" customHeight="true" outlineLevel="0" collapsed="false">
      <c r="A852" s="13"/>
      <c r="B852" s="10"/>
      <c r="C852" s="10"/>
      <c r="D852" s="14"/>
      <c r="E852" s="11"/>
      <c r="F852" s="15" t="str">
        <f aca="false">IF($B852="","",IF(AND($D852="",$E852=""),"",IF(OR($D852="",$E852=""),0,ROUND($D852*$E852,0))))</f>
        <v/>
      </c>
      <c r="G852" s="13"/>
      <c r="H852" s="11"/>
      <c r="I852" s="15" t="str">
        <f aca="false">IF($F852="","",$F852-IF($H852="",0,$H852))</f>
        <v/>
      </c>
      <c r="J852" s="16" t="str">
        <f aca="true">IF(OR($A852="",$I852="",$I852&lt;=0),"",TODAY()-$A852)</f>
        <v/>
      </c>
      <c r="K852" s="10"/>
    </row>
    <row r="853" customFormat="false" ht="15" hidden="false" customHeight="true" outlineLevel="0" collapsed="false">
      <c r="A853" s="13"/>
      <c r="B853" s="10"/>
      <c r="C853" s="10"/>
      <c r="D853" s="14"/>
      <c r="E853" s="11"/>
      <c r="F853" s="15" t="str">
        <f aca="false">IF($B853="","",IF(AND($D853="",$E853=""),"",IF(OR($D853="",$E853=""),0,ROUND($D853*$E853,0))))</f>
        <v/>
      </c>
      <c r="G853" s="13"/>
      <c r="H853" s="11"/>
      <c r="I853" s="15" t="str">
        <f aca="false">IF($F853="","",$F853-IF($H853="",0,$H853))</f>
        <v/>
      </c>
      <c r="J853" s="16" t="str">
        <f aca="true">IF(OR($A853="",$I853="",$I853&lt;=0),"",TODAY()-$A853)</f>
        <v/>
      </c>
      <c r="K853" s="10"/>
    </row>
    <row r="854" customFormat="false" ht="15" hidden="false" customHeight="true" outlineLevel="0" collapsed="false">
      <c r="A854" s="13"/>
      <c r="B854" s="10"/>
      <c r="C854" s="10"/>
      <c r="D854" s="14"/>
      <c r="E854" s="11"/>
      <c r="F854" s="15" t="str">
        <f aca="false">IF($B854="","",IF(AND($D854="",$E854=""),"",IF(OR($D854="",$E854=""),0,ROUND($D854*$E854,0))))</f>
        <v/>
      </c>
      <c r="G854" s="13"/>
      <c r="H854" s="11"/>
      <c r="I854" s="15" t="str">
        <f aca="false">IF($F854="","",$F854-IF($H854="",0,$H854))</f>
        <v/>
      </c>
      <c r="J854" s="16" t="str">
        <f aca="true">IF(OR($A854="",$I854="",$I854&lt;=0),"",TODAY()-$A854)</f>
        <v/>
      </c>
      <c r="K854" s="10"/>
    </row>
    <row r="855" customFormat="false" ht="15" hidden="false" customHeight="true" outlineLevel="0" collapsed="false">
      <c r="A855" s="13"/>
      <c r="B855" s="10"/>
      <c r="C855" s="10"/>
      <c r="D855" s="14"/>
      <c r="E855" s="11"/>
      <c r="F855" s="15" t="str">
        <f aca="false">IF($B855="","",IF(AND($D855="",$E855=""),"",IF(OR($D855="",$E855=""),0,ROUND($D855*$E855,0))))</f>
        <v/>
      </c>
      <c r="G855" s="13"/>
      <c r="H855" s="11"/>
      <c r="I855" s="15" t="str">
        <f aca="false">IF($F855="","",$F855-IF($H855="",0,$H855))</f>
        <v/>
      </c>
      <c r="J855" s="16" t="str">
        <f aca="true">IF(OR($A855="",$I855="",$I855&lt;=0),"",TODAY()-$A855)</f>
        <v/>
      </c>
      <c r="K855" s="10"/>
    </row>
    <row r="856" customFormat="false" ht="15" hidden="false" customHeight="true" outlineLevel="0" collapsed="false">
      <c r="A856" s="13"/>
      <c r="B856" s="10"/>
      <c r="C856" s="10"/>
      <c r="D856" s="14"/>
      <c r="E856" s="11"/>
      <c r="F856" s="15" t="str">
        <f aca="false">IF($B856="","",IF(AND($D856="",$E856=""),"",IF(OR($D856="",$E856=""),0,ROUND($D856*$E856,0))))</f>
        <v/>
      </c>
      <c r="G856" s="13"/>
      <c r="H856" s="11"/>
      <c r="I856" s="15" t="str">
        <f aca="false">IF($F856="","",$F856-IF($H856="",0,$H856))</f>
        <v/>
      </c>
      <c r="J856" s="16" t="str">
        <f aca="true">IF(OR($A856="",$I856="",$I856&lt;=0),"",TODAY()-$A856)</f>
        <v/>
      </c>
      <c r="K856" s="10"/>
    </row>
    <row r="857" customFormat="false" ht="15" hidden="false" customHeight="true" outlineLevel="0" collapsed="false">
      <c r="A857" s="13"/>
      <c r="B857" s="10"/>
      <c r="C857" s="10"/>
      <c r="D857" s="14"/>
      <c r="E857" s="11"/>
      <c r="F857" s="15" t="str">
        <f aca="false">IF($B857="","",IF(AND($D857="",$E857=""),"",IF(OR($D857="",$E857=""),0,ROUND($D857*$E857,0))))</f>
        <v/>
      </c>
      <c r="G857" s="13"/>
      <c r="H857" s="11"/>
      <c r="I857" s="15" t="str">
        <f aca="false">IF($F857="","",$F857-IF($H857="",0,$H857))</f>
        <v/>
      </c>
      <c r="J857" s="16" t="str">
        <f aca="true">IF(OR($A857="",$I857="",$I857&lt;=0),"",TODAY()-$A857)</f>
        <v/>
      </c>
      <c r="K857" s="10"/>
    </row>
    <row r="858" customFormat="false" ht="15" hidden="false" customHeight="true" outlineLevel="0" collapsed="false">
      <c r="A858" s="13"/>
      <c r="B858" s="10"/>
      <c r="C858" s="10"/>
      <c r="D858" s="14"/>
      <c r="E858" s="11"/>
      <c r="F858" s="15" t="str">
        <f aca="false">IF($B858="","",IF(AND($D858="",$E858=""),"",IF(OR($D858="",$E858=""),0,ROUND($D858*$E858,0))))</f>
        <v/>
      </c>
      <c r="G858" s="13"/>
      <c r="H858" s="11"/>
      <c r="I858" s="15" t="str">
        <f aca="false">IF($F858="","",$F858-IF($H858="",0,$H858))</f>
        <v/>
      </c>
      <c r="J858" s="16" t="str">
        <f aca="true">IF(OR($A858="",$I858="",$I858&lt;=0),"",TODAY()-$A858)</f>
        <v/>
      </c>
      <c r="K858" s="10"/>
    </row>
    <row r="859" customFormat="false" ht="15" hidden="false" customHeight="true" outlineLevel="0" collapsed="false">
      <c r="A859" s="13"/>
      <c r="B859" s="10"/>
      <c r="C859" s="10"/>
      <c r="D859" s="14"/>
      <c r="E859" s="11"/>
      <c r="F859" s="15" t="str">
        <f aca="false">IF($B859="","",IF(AND($D859="",$E859=""),"",IF(OR($D859="",$E859=""),0,ROUND($D859*$E859,0))))</f>
        <v/>
      </c>
      <c r="G859" s="13"/>
      <c r="H859" s="11"/>
      <c r="I859" s="15" t="str">
        <f aca="false">IF($F859="","",$F859-IF($H859="",0,$H859))</f>
        <v/>
      </c>
      <c r="J859" s="16" t="str">
        <f aca="true">IF(OR($A859="",$I859="",$I859&lt;=0),"",TODAY()-$A859)</f>
        <v/>
      </c>
      <c r="K859" s="10"/>
    </row>
    <row r="860" customFormat="false" ht="15" hidden="false" customHeight="true" outlineLevel="0" collapsed="false">
      <c r="A860" s="13"/>
      <c r="B860" s="10"/>
      <c r="C860" s="10"/>
      <c r="D860" s="14"/>
      <c r="E860" s="11"/>
      <c r="F860" s="15" t="str">
        <f aca="false">IF($B860="","",IF(AND($D860="",$E860=""),"",IF(OR($D860="",$E860=""),0,ROUND($D860*$E860,0))))</f>
        <v/>
      </c>
      <c r="G860" s="13"/>
      <c r="H860" s="11"/>
      <c r="I860" s="15" t="str">
        <f aca="false">IF($F860="","",$F860-IF($H860="",0,$H860))</f>
        <v/>
      </c>
      <c r="J860" s="16" t="str">
        <f aca="true">IF(OR($A860="",$I860="",$I860&lt;=0),"",TODAY()-$A860)</f>
        <v/>
      </c>
      <c r="K860" s="10"/>
    </row>
    <row r="861" customFormat="false" ht="15" hidden="false" customHeight="true" outlineLevel="0" collapsed="false">
      <c r="A861" s="13"/>
      <c r="B861" s="10"/>
      <c r="C861" s="10"/>
      <c r="D861" s="14"/>
      <c r="E861" s="11"/>
      <c r="F861" s="15" t="str">
        <f aca="false">IF($B861="","",IF(AND($D861="",$E861=""),"",IF(OR($D861="",$E861=""),0,ROUND($D861*$E861,0))))</f>
        <v/>
      </c>
      <c r="G861" s="13"/>
      <c r="H861" s="11"/>
      <c r="I861" s="15" t="str">
        <f aca="false">IF($F861="","",$F861-IF($H861="",0,$H861))</f>
        <v/>
      </c>
      <c r="J861" s="16" t="str">
        <f aca="true">IF(OR($A861="",$I861="",$I861&lt;=0),"",TODAY()-$A861)</f>
        <v/>
      </c>
      <c r="K861" s="10"/>
    </row>
    <row r="862" customFormat="false" ht="15" hidden="false" customHeight="true" outlineLevel="0" collapsed="false">
      <c r="A862" s="13"/>
      <c r="B862" s="10"/>
      <c r="C862" s="10"/>
      <c r="D862" s="14"/>
      <c r="E862" s="11"/>
      <c r="F862" s="15" t="str">
        <f aca="false">IF($B862="","",IF(AND($D862="",$E862=""),"",IF(OR($D862="",$E862=""),0,ROUND($D862*$E862,0))))</f>
        <v/>
      </c>
      <c r="G862" s="13"/>
      <c r="H862" s="11"/>
      <c r="I862" s="15" t="str">
        <f aca="false">IF($F862="","",$F862-IF($H862="",0,$H862))</f>
        <v/>
      </c>
      <c r="J862" s="16" t="str">
        <f aca="true">IF(OR($A862="",$I862="",$I862&lt;=0),"",TODAY()-$A862)</f>
        <v/>
      </c>
      <c r="K862" s="10"/>
    </row>
    <row r="863" customFormat="false" ht="15" hidden="false" customHeight="true" outlineLevel="0" collapsed="false">
      <c r="A863" s="13"/>
      <c r="B863" s="10"/>
      <c r="C863" s="10"/>
      <c r="D863" s="14"/>
      <c r="E863" s="11"/>
      <c r="F863" s="15" t="str">
        <f aca="false">IF($B863="","",IF(AND($D863="",$E863=""),"",IF(OR($D863="",$E863=""),0,ROUND($D863*$E863,0))))</f>
        <v/>
      </c>
      <c r="G863" s="13"/>
      <c r="H863" s="11"/>
      <c r="I863" s="15" t="str">
        <f aca="false">IF($F863="","",$F863-IF($H863="",0,$H863))</f>
        <v/>
      </c>
      <c r="J863" s="16" t="str">
        <f aca="true">IF(OR($A863="",$I863="",$I863&lt;=0),"",TODAY()-$A863)</f>
        <v/>
      </c>
      <c r="K863" s="10"/>
    </row>
    <row r="864" customFormat="false" ht="15" hidden="false" customHeight="true" outlineLevel="0" collapsed="false">
      <c r="A864" s="13"/>
      <c r="B864" s="10"/>
      <c r="C864" s="10"/>
      <c r="D864" s="14"/>
      <c r="E864" s="11"/>
      <c r="F864" s="15" t="str">
        <f aca="false">IF($B864="","",IF(AND($D864="",$E864=""),"",IF(OR($D864="",$E864=""),0,ROUND($D864*$E864,0))))</f>
        <v/>
      </c>
      <c r="G864" s="13"/>
      <c r="H864" s="11"/>
      <c r="I864" s="15" t="str">
        <f aca="false">IF($F864="","",$F864-IF($H864="",0,$H864))</f>
        <v/>
      </c>
      <c r="J864" s="16" t="str">
        <f aca="true">IF(OR($A864="",$I864="",$I864&lt;=0),"",TODAY()-$A864)</f>
        <v/>
      </c>
      <c r="K864" s="10"/>
    </row>
    <row r="865" customFormat="false" ht="15" hidden="false" customHeight="true" outlineLevel="0" collapsed="false">
      <c r="A865" s="13"/>
      <c r="B865" s="10"/>
      <c r="C865" s="10"/>
      <c r="D865" s="14"/>
      <c r="E865" s="11"/>
      <c r="F865" s="15" t="str">
        <f aca="false">IF($B865="","",IF(AND($D865="",$E865=""),"",IF(OR($D865="",$E865=""),0,ROUND($D865*$E865,0))))</f>
        <v/>
      </c>
      <c r="G865" s="13"/>
      <c r="H865" s="11"/>
      <c r="I865" s="15" t="str">
        <f aca="false">IF($F865="","",$F865-IF($H865="",0,$H865))</f>
        <v/>
      </c>
      <c r="J865" s="16" t="str">
        <f aca="true">IF(OR($A865="",$I865="",$I865&lt;=0),"",TODAY()-$A865)</f>
        <v/>
      </c>
      <c r="K865" s="10"/>
    </row>
    <row r="866" customFormat="false" ht="15" hidden="false" customHeight="true" outlineLevel="0" collapsed="false">
      <c r="A866" s="13"/>
      <c r="B866" s="10"/>
      <c r="C866" s="10"/>
      <c r="D866" s="14"/>
      <c r="E866" s="11"/>
      <c r="F866" s="15" t="str">
        <f aca="false">IF($B866="","",IF(AND($D866="",$E866=""),"",IF(OR($D866="",$E866=""),0,ROUND($D866*$E866,0))))</f>
        <v/>
      </c>
      <c r="G866" s="13"/>
      <c r="H866" s="11"/>
      <c r="I866" s="15" t="str">
        <f aca="false">IF($F866="","",$F866-IF($H866="",0,$H866))</f>
        <v/>
      </c>
      <c r="J866" s="16" t="str">
        <f aca="true">IF(OR($A866="",$I866="",$I866&lt;=0),"",TODAY()-$A866)</f>
        <v/>
      </c>
      <c r="K866" s="10"/>
    </row>
    <row r="867" customFormat="false" ht="15" hidden="false" customHeight="true" outlineLevel="0" collapsed="false">
      <c r="A867" s="13"/>
      <c r="B867" s="10"/>
      <c r="C867" s="10"/>
      <c r="D867" s="14"/>
      <c r="E867" s="11"/>
      <c r="F867" s="15" t="str">
        <f aca="false">IF($B867="","",IF(AND($D867="",$E867=""),"",IF(OR($D867="",$E867=""),0,ROUND($D867*$E867,0))))</f>
        <v/>
      </c>
      <c r="G867" s="13"/>
      <c r="H867" s="11"/>
      <c r="I867" s="15" t="str">
        <f aca="false">IF($F867="","",$F867-IF($H867="",0,$H867))</f>
        <v/>
      </c>
      <c r="J867" s="16" t="str">
        <f aca="true">IF(OR($A867="",$I867="",$I867&lt;=0),"",TODAY()-$A867)</f>
        <v/>
      </c>
      <c r="K867" s="10"/>
    </row>
    <row r="868" customFormat="false" ht="15" hidden="false" customHeight="true" outlineLevel="0" collapsed="false">
      <c r="A868" s="13"/>
      <c r="B868" s="10"/>
      <c r="C868" s="10"/>
      <c r="D868" s="14"/>
      <c r="E868" s="11"/>
      <c r="F868" s="15" t="str">
        <f aca="false">IF($B868="","",IF(AND($D868="",$E868=""),"",IF(OR($D868="",$E868=""),0,ROUND($D868*$E868,0))))</f>
        <v/>
      </c>
      <c r="G868" s="13"/>
      <c r="H868" s="11"/>
      <c r="I868" s="15" t="str">
        <f aca="false">IF($F868="","",$F868-IF($H868="",0,$H868))</f>
        <v/>
      </c>
      <c r="J868" s="16" t="str">
        <f aca="true">IF(OR($A868="",$I868="",$I868&lt;=0),"",TODAY()-$A868)</f>
        <v/>
      </c>
      <c r="K868" s="10"/>
    </row>
    <row r="869" customFormat="false" ht="15" hidden="false" customHeight="true" outlineLevel="0" collapsed="false">
      <c r="A869" s="13"/>
      <c r="B869" s="10"/>
      <c r="C869" s="10"/>
      <c r="D869" s="14"/>
      <c r="E869" s="11"/>
      <c r="F869" s="15" t="str">
        <f aca="false">IF($B869="","",IF(AND($D869="",$E869=""),"",IF(OR($D869="",$E869=""),0,ROUND($D869*$E869,0))))</f>
        <v/>
      </c>
      <c r="G869" s="13"/>
      <c r="H869" s="11"/>
      <c r="I869" s="15" t="str">
        <f aca="false">IF($F869="","",$F869-IF($H869="",0,$H869))</f>
        <v/>
      </c>
      <c r="J869" s="16" t="str">
        <f aca="true">IF(OR($A869="",$I869="",$I869&lt;=0),"",TODAY()-$A869)</f>
        <v/>
      </c>
      <c r="K869" s="10"/>
    </row>
    <row r="870" customFormat="false" ht="15" hidden="false" customHeight="true" outlineLevel="0" collapsed="false">
      <c r="A870" s="13"/>
      <c r="B870" s="10"/>
      <c r="C870" s="10"/>
      <c r="D870" s="14"/>
      <c r="E870" s="11"/>
      <c r="F870" s="15" t="str">
        <f aca="false">IF($B870="","",IF(AND($D870="",$E870=""),"",IF(OR($D870="",$E870=""),0,ROUND($D870*$E870,0))))</f>
        <v/>
      </c>
      <c r="G870" s="13"/>
      <c r="H870" s="11"/>
      <c r="I870" s="15" t="str">
        <f aca="false">IF($F870="","",$F870-IF($H870="",0,$H870))</f>
        <v/>
      </c>
      <c r="J870" s="16" t="str">
        <f aca="true">IF(OR($A870="",$I870="",$I870&lt;=0),"",TODAY()-$A870)</f>
        <v/>
      </c>
      <c r="K870" s="10"/>
    </row>
    <row r="871" customFormat="false" ht="15" hidden="false" customHeight="true" outlineLevel="0" collapsed="false">
      <c r="A871" s="13"/>
      <c r="B871" s="10"/>
      <c r="C871" s="10"/>
      <c r="D871" s="14"/>
      <c r="E871" s="11"/>
      <c r="F871" s="15" t="str">
        <f aca="false">IF($B871="","",IF(AND($D871="",$E871=""),"",IF(OR($D871="",$E871=""),0,ROUND($D871*$E871,0))))</f>
        <v/>
      </c>
      <c r="G871" s="13"/>
      <c r="H871" s="11"/>
      <c r="I871" s="15" t="str">
        <f aca="false">IF($F871="","",$F871-IF($H871="",0,$H871))</f>
        <v/>
      </c>
      <c r="J871" s="16" t="str">
        <f aca="true">IF(OR($A871="",$I871="",$I871&lt;=0),"",TODAY()-$A871)</f>
        <v/>
      </c>
      <c r="K871" s="10"/>
    </row>
    <row r="872" customFormat="false" ht="15" hidden="false" customHeight="true" outlineLevel="0" collapsed="false">
      <c r="A872" s="13"/>
      <c r="B872" s="10"/>
      <c r="C872" s="10"/>
      <c r="D872" s="14"/>
      <c r="E872" s="11"/>
      <c r="F872" s="15" t="str">
        <f aca="false">IF($B872="","",IF(AND($D872="",$E872=""),"",IF(OR($D872="",$E872=""),0,ROUND($D872*$E872,0))))</f>
        <v/>
      </c>
      <c r="G872" s="13"/>
      <c r="H872" s="11"/>
      <c r="I872" s="15" t="str">
        <f aca="false">IF($F872="","",$F872-IF($H872="",0,$H872))</f>
        <v/>
      </c>
      <c r="J872" s="16" t="str">
        <f aca="true">IF(OR($A872="",$I872="",$I872&lt;=0),"",TODAY()-$A872)</f>
        <v/>
      </c>
      <c r="K872" s="10"/>
    </row>
    <row r="873" customFormat="false" ht="15" hidden="false" customHeight="true" outlineLevel="0" collapsed="false">
      <c r="A873" s="13"/>
      <c r="B873" s="10"/>
      <c r="C873" s="10"/>
      <c r="D873" s="14"/>
      <c r="E873" s="11"/>
      <c r="F873" s="15" t="str">
        <f aca="false">IF($B873="","",IF(AND($D873="",$E873=""),"",IF(OR($D873="",$E873=""),0,ROUND($D873*$E873,0))))</f>
        <v/>
      </c>
      <c r="G873" s="13"/>
      <c r="H873" s="11"/>
      <c r="I873" s="15" t="str">
        <f aca="false">IF($F873="","",$F873-IF($H873="",0,$H873))</f>
        <v/>
      </c>
      <c r="J873" s="16" t="str">
        <f aca="true">IF(OR($A873="",$I873="",$I873&lt;=0),"",TODAY()-$A873)</f>
        <v/>
      </c>
      <c r="K873" s="10"/>
    </row>
    <row r="874" customFormat="false" ht="15" hidden="false" customHeight="true" outlineLevel="0" collapsed="false">
      <c r="A874" s="13"/>
      <c r="B874" s="10"/>
      <c r="C874" s="10"/>
      <c r="D874" s="14"/>
      <c r="E874" s="11"/>
      <c r="F874" s="15" t="str">
        <f aca="false">IF($B874="","",IF(AND($D874="",$E874=""),"",IF(OR($D874="",$E874=""),0,ROUND($D874*$E874,0))))</f>
        <v/>
      </c>
      <c r="G874" s="13"/>
      <c r="H874" s="11"/>
      <c r="I874" s="15" t="str">
        <f aca="false">IF($F874="","",$F874-IF($H874="",0,$H874))</f>
        <v/>
      </c>
      <c r="J874" s="16" t="str">
        <f aca="true">IF(OR($A874="",$I874="",$I874&lt;=0),"",TODAY()-$A874)</f>
        <v/>
      </c>
      <c r="K874" s="10"/>
    </row>
    <row r="875" customFormat="false" ht="15" hidden="false" customHeight="true" outlineLevel="0" collapsed="false">
      <c r="A875" s="13"/>
      <c r="B875" s="10"/>
      <c r="C875" s="10"/>
      <c r="D875" s="14"/>
      <c r="E875" s="11"/>
      <c r="F875" s="15" t="str">
        <f aca="false">IF($B875="","",IF(AND($D875="",$E875=""),"",IF(OR($D875="",$E875=""),0,ROUND($D875*$E875,0))))</f>
        <v/>
      </c>
      <c r="G875" s="13"/>
      <c r="H875" s="11"/>
      <c r="I875" s="15" t="str">
        <f aca="false">IF($F875="","",$F875-IF($H875="",0,$H875))</f>
        <v/>
      </c>
      <c r="J875" s="16" t="str">
        <f aca="true">IF(OR($A875="",$I875="",$I875&lt;=0),"",TODAY()-$A875)</f>
        <v/>
      </c>
      <c r="K875" s="10"/>
    </row>
    <row r="876" customFormat="false" ht="15" hidden="false" customHeight="true" outlineLevel="0" collapsed="false">
      <c r="A876" s="13"/>
      <c r="B876" s="10"/>
      <c r="C876" s="10"/>
      <c r="D876" s="14"/>
      <c r="E876" s="11"/>
      <c r="F876" s="15" t="str">
        <f aca="false">IF($B876="","",IF(AND($D876="",$E876=""),"",IF(OR($D876="",$E876=""),0,ROUND($D876*$E876,0))))</f>
        <v/>
      </c>
      <c r="G876" s="13"/>
      <c r="H876" s="11"/>
      <c r="I876" s="15" t="str">
        <f aca="false">IF($F876="","",$F876-IF($H876="",0,$H876))</f>
        <v/>
      </c>
      <c r="J876" s="16" t="str">
        <f aca="true">IF(OR($A876="",$I876="",$I876&lt;=0),"",TODAY()-$A876)</f>
        <v/>
      </c>
      <c r="K876" s="10"/>
    </row>
    <row r="877" customFormat="false" ht="15" hidden="false" customHeight="true" outlineLevel="0" collapsed="false">
      <c r="A877" s="13"/>
      <c r="B877" s="10"/>
      <c r="C877" s="10"/>
      <c r="D877" s="14"/>
      <c r="E877" s="11"/>
      <c r="F877" s="15" t="str">
        <f aca="false">IF($B877="","",IF(AND($D877="",$E877=""),"",IF(OR($D877="",$E877=""),0,ROUND($D877*$E877,0))))</f>
        <v/>
      </c>
      <c r="G877" s="13"/>
      <c r="H877" s="11"/>
      <c r="I877" s="15" t="str">
        <f aca="false">IF($F877="","",$F877-IF($H877="",0,$H877))</f>
        <v/>
      </c>
      <c r="J877" s="16" t="str">
        <f aca="true">IF(OR($A877="",$I877="",$I877&lt;=0),"",TODAY()-$A877)</f>
        <v/>
      </c>
      <c r="K877" s="10"/>
    </row>
    <row r="878" customFormat="false" ht="15" hidden="false" customHeight="true" outlineLevel="0" collapsed="false">
      <c r="A878" s="13"/>
      <c r="B878" s="10"/>
      <c r="C878" s="10"/>
      <c r="D878" s="14"/>
      <c r="E878" s="11"/>
      <c r="F878" s="15" t="str">
        <f aca="false">IF($B878="","",IF(AND($D878="",$E878=""),"",IF(OR($D878="",$E878=""),0,ROUND($D878*$E878,0))))</f>
        <v/>
      </c>
      <c r="G878" s="13"/>
      <c r="H878" s="11"/>
      <c r="I878" s="15" t="str">
        <f aca="false">IF($F878="","",$F878-IF($H878="",0,$H878))</f>
        <v/>
      </c>
      <c r="J878" s="16" t="str">
        <f aca="true">IF(OR($A878="",$I878="",$I878&lt;=0),"",TODAY()-$A878)</f>
        <v/>
      </c>
      <c r="K878" s="10"/>
    </row>
    <row r="879" customFormat="false" ht="15" hidden="false" customHeight="true" outlineLevel="0" collapsed="false">
      <c r="A879" s="13"/>
      <c r="B879" s="10"/>
      <c r="C879" s="10"/>
      <c r="D879" s="14"/>
      <c r="E879" s="11"/>
      <c r="F879" s="15" t="str">
        <f aca="false">IF($B879="","",IF(AND($D879="",$E879=""),"",IF(OR($D879="",$E879=""),0,ROUND($D879*$E879,0))))</f>
        <v/>
      </c>
      <c r="G879" s="13"/>
      <c r="H879" s="11"/>
      <c r="I879" s="15" t="str">
        <f aca="false">IF($F879="","",$F879-IF($H879="",0,$H879))</f>
        <v/>
      </c>
      <c r="J879" s="16" t="str">
        <f aca="true">IF(OR($A879="",$I879="",$I879&lt;=0),"",TODAY()-$A879)</f>
        <v/>
      </c>
      <c r="K879" s="10"/>
    </row>
    <row r="880" customFormat="false" ht="15" hidden="false" customHeight="true" outlineLevel="0" collapsed="false">
      <c r="A880" s="13"/>
      <c r="B880" s="10"/>
      <c r="C880" s="10"/>
      <c r="D880" s="14"/>
      <c r="E880" s="11"/>
      <c r="F880" s="15" t="str">
        <f aca="false">IF($B880="","",IF(AND($D880="",$E880=""),"",IF(OR($D880="",$E880=""),0,ROUND($D880*$E880,0))))</f>
        <v/>
      </c>
      <c r="G880" s="13"/>
      <c r="H880" s="11"/>
      <c r="I880" s="15" t="str">
        <f aca="false">IF($F880="","",$F880-IF($H880="",0,$H880))</f>
        <v/>
      </c>
      <c r="J880" s="16" t="str">
        <f aca="true">IF(OR($A880="",$I880="",$I880&lt;=0),"",TODAY()-$A880)</f>
        <v/>
      </c>
      <c r="K880" s="10"/>
    </row>
    <row r="881" customFormat="false" ht="15" hidden="false" customHeight="true" outlineLevel="0" collapsed="false">
      <c r="A881" s="13"/>
      <c r="B881" s="10"/>
      <c r="C881" s="10"/>
      <c r="D881" s="14"/>
      <c r="E881" s="11"/>
      <c r="F881" s="15" t="str">
        <f aca="false">IF($B881="","",IF(AND($D881="",$E881=""),"",IF(OR($D881="",$E881=""),0,ROUND($D881*$E881,0))))</f>
        <v/>
      </c>
      <c r="G881" s="13"/>
      <c r="H881" s="11"/>
      <c r="I881" s="15" t="str">
        <f aca="false">IF($F881="","",$F881-IF($H881="",0,$H881))</f>
        <v/>
      </c>
      <c r="J881" s="16" t="str">
        <f aca="true">IF(OR($A881="",$I881="",$I881&lt;=0),"",TODAY()-$A881)</f>
        <v/>
      </c>
      <c r="K881" s="10"/>
    </row>
    <row r="882" customFormat="false" ht="15" hidden="false" customHeight="true" outlineLevel="0" collapsed="false">
      <c r="A882" s="13"/>
      <c r="B882" s="10"/>
      <c r="C882" s="10"/>
      <c r="D882" s="14"/>
      <c r="E882" s="11"/>
      <c r="F882" s="15" t="str">
        <f aca="false">IF($B882="","",IF(AND($D882="",$E882=""),"",IF(OR($D882="",$E882=""),0,ROUND($D882*$E882,0))))</f>
        <v/>
      </c>
      <c r="G882" s="13"/>
      <c r="H882" s="11"/>
      <c r="I882" s="15" t="str">
        <f aca="false">IF($F882="","",$F882-IF($H882="",0,$H882))</f>
        <v/>
      </c>
      <c r="J882" s="16" t="str">
        <f aca="true">IF(OR($A882="",$I882="",$I882&lt;=0),"",TODAY()-$A882)</f>
        <v/>
      </c>
      <c r="K882" s="10"/>
    </row>
    <row r="883" customFormat="false" ht="15" hidden="false" customHeight="true" outlineLevel="0" collapsed="false">
      <c r="A883" s="13"/>
      <c r="B883" s="10"/>
      <c r="C883" s="10"/>
      <c r="D883" s="14"/>
      <c r="E883" s="11"/>
      <c r="F883" s="15" t="str">
        <f aca="false">IF($B883="","",IF(AND($D883="",$E883=""),"",IF(OR($D883="",$E883=""),0,ROUND($D883*$E883,0))))</f>
        <v/>
      </c>
      <c r="G883" s="13"/>
      <c r="H883" s="11"/>
      <c r="I883" s="15" t="str">
        <f aca="false">IF($F883="","",$F883-IF($H883="",0,$H883))</f>
        <v/>
      </c>
      <c r="J883" s="16" t="str">
        <f aca="true">IF(OR($A883="",$I883="",$I883&lt;=0),"",TODAY()-$A883)</f>
        <v/>
      </c>
      <c r="K883" s="10"/>
    </row>
    <row r="884" customFormat="false" ht="15" hidden="false" customHeight="true" outlineLevel="0" collapsed="false">
      <c r="A884" s="13"/>
      <c r="B884" s="10"/>
      <c r="C884" s="10"/>
      <c r="D884" s="14"/>
      <c r="E884" s="11"/>
      <c r="F884" s="15" t="str">
        <f aca="false">IF($B884="","",IF(AND($D884="",$E884=""),"",IF(OR($D884="",$E884=""),0,ROUND($D884*$E884,0))))</f>
        <v/>
      </c>
      <c r="G884" s="13"/>
      <c r="H884" s="11"/>
      <c r="I884" s="15" t="str">
        <f aca="false">IF($F884="","",$F884-IF($H884="",0,$H884))</f>
        <v/>
      </c>
      <c r="J884" s="16" t="str">
        <f aca="true">IF(OR($A884="",$I884="",$I884&lt;=0),"",TODAY()-$A884)</f>
        <v/>
      </c>
      <c r="K884" s="10"/>
    </row>
    <row r="885" customFormat="false" ht="15" hidden="false" customHeight="true" outlineLevel="0" collapsed="false">
      <c r="A885" s="13"/>
      <c r="B885" s="10"/>
      <c r="C885" s="10"/>
      <c r="D885" s="14"/>
      <c r="E885" s="11"/>
      <c r="F885" s="15" t="str">
        <f aca="false">IF($B885="","",IF(AND($D885="",$E885=""),"",IF(OR($D885="",$E885=""),0,ROUND($D885*$E885,0))))</f>
        <v/>
      </c>
      <c r="G885" s="13"/>
      <c r="H885" s="11"/>
      <c r="I885" s="15" t="str">
        <f aca="false">IF($F885="","",$F885-IF($H885="",0,$H885))</f>
        <v/>
      </c>
      <c r="J885" s="16" t="str">
        <f aca="true">IF(OR($A885="",$I885="",$I885&lt;=0),"",TODAY()-$A885)</f>
        <v/>
      </c>
      <c r="K885" s="10"/>
    </row>
    <row r="886" customFormat="false" ht="15" hidden="false" customHeight="true" outlineLevel="0" collapsed="false">
      <c r="A886" s="13"/>
      <c r="B886" s="10"/>
      <c r="C886" s="10"/>
      <c r="D886" s="14"/>
      <c r="E886" s="11"/>
      <c r="F886" s="15" t="str">
        <f aca="false">IF($B886="","",IF(AND($D886="",$E886=""),"",IF(OR($D886="",$E886=""),0,ROUND($D886*$E886,0))))</f>
        <v/>
      </c>
      <c r="G886" s="13"/>
      <c r="H886" s="11"/>
      <c r="I886" s="15" t="str">
        <f aca="false">IF($F886="","",$F886-IF($H886="",0,$H886))</f>
        <v/>
      </c>
      <c r="J886" s="16" t="str">
        <f aca="true">IF(OR($A886="",$I886="",$I886&lt;=0),"",TODAY()-$A886)</f>
        <v/>
      </c>
      <c r="K886" s="10"/>
    </row>
    <row r="887" customFormat="false" ht="15" hidden="false" customHeight="true" outlineLevel="0" collapsed="false">
      <c r="A887" s="13"/>
      <c r="B887" s="10"/>
      <c r="C887" s="10"/>
      <c r="D887" s="14"/>
      <c r="E887" s="11"/>
      <c r="F887" s="15" t="str">
        <f aca="false">IF($B887="","",IF(AND($D887="",$E887=""),"",IF(OR($D887="",$E887=""),0,ROUND($D887*$E887,0))))</f>
        <v/>
      </c>
      <c r="G887" s="13"/>
      <c r="H887" s="11"/>
      <c r="I887" s="15" t="str">
        <f aca="false">IF($F887="","",$F887-IF($H887="",0,$H887))</f>
        <v/>
      </c>
      <c r="J887" s="16" t="str">
        <f aca="true">IF(OR($A887="",$I887="",$I887&lt;=0),"",TODAY()-$A887)</f>
        <v/>
      </c>
      <c r="K887" s="10"/>
    </row>
    <row r="888" customFormat="false" ht="15" hidden="false" customHeight="true" outlineLevel="0" collapsed="false">
      <c r="A888" s="13"/>
      <c r="B888" s="10"/>
      <c r="C888" s="10"/>
      <c r="D888" s="14"/>
      <c r="E888" s="11"/>
      <c r="F888" s="15" t="str">
        <f aca="false">IF($B888="","",IF(AND($D888="",$E888=""),"",IF(OR($D888="",$E888=""),0,ROUND($D888*$E888,0))))</f>
        <v/>
      </c>
      <c r="G888" s="13"/>
      <c r="H888" s="11"/>
      <c r="I888" s="15" t="str">
        <f aca="false">IF($F888="","",$F888-IF($H888="",0,$H888))</f>
        <v/>
      </c>
      <c r="J888" s="16" t="str">
        <f aca="true">IF(OR($A888="",$I888="",$I888&lt;=0),"",TODAY()-$A888)</f>
        <v/>
      </c>
      <c r="K888" s="10"/>
    </row>
    <row r="889" customFormat="false" ht="15" hidden="false" customHeight="true" outlineLevel="0" collapsed="false">
      <c r="A889" s="13"/>
      <c r="B889" s="10"/>
      <c r="C889" s="10"/>
      <c r="D889" s="14"/>
      <c r="E889" s="11"/>
      <c r="F889" s="15" t="str">
        <f aca="false">IF($B889="","",IF(AND($D889="",$E889=""),"",IF(OR($D889="",$E889=""),0,ROUND($D889*$E889,0))))</f>
        <v/>
      </c>
      <c r="G889" s="13"/>
      <c r="H889" s="11"/>
      <c r="I889" s="15" t="str">
        <f aca="false">IF($F889="","",$F889-IF($H889="",0,$H889))</f>
        <v/>
      </c>
      <c r="J889" s="16" t="str">
        <f aca="true">IF(OR($A889="",$I889="",$I889&lt;=0),"",TODAY()-$A889)</f>
        <v/>
      </c>
      <c r="K889" s="10"/>
    </row>
    <row r="890" customFormat="false" ht="15" hidden="false" customHeight="true" outlineLevel="0" collapsed="false">
      <c r="A890" s="13"/>
      <c r="B890" s="10"/>
      <c r="C890" s="10"/>
      <c r="D890" s="14"/>
      <c r="E890" s="11"/>
      <c r="F890" s="15" t="str">
        <f aca="false">IF($B890="","",IF(AND($D890="",$E890=""),"",IF(OR($D890="",$E890=""),0,ROUND($D890*$E890,0))))</f>
        <v/>
      </c>
      <c r="G890" s="13"/>
      <c r="H890" s="11"/>
      <c r="I890" s="15" t="str">
        <f aca="false">IF($F890="","",$F890-IF($H890="",0,$H890))</f>
        <v/>
      </c>
      <c r="J890" s="16" t="str">
        <f aca="true">IF(OR($A890="",$I890="",$I890&lt;=0),"",TODAY()-$A890)</f>
        <v/>
      </c>
      <c r="K890" s="10"/>
    </row>
    <row r="891" customFormat="false" ht="15" hidden="false" customHeight="true" outlineLevel="0" collapsed="false">
      <c r="A891" s="13"/>
      <c r="B891" s="10"/>
      <c r="C891" s="10"/>
      <c r="D891" s="14"/>
      <c r="E891" s="11"/>
      <c r="F891" s="15" t="str">
        <f aca="false">IF($B891="","",IF(AND($D891="",$E891=""),"",IF(OR($D891="",$E891=""),0,ROUND($D891*$E891,0))))</f>
        <v/>
      </c>
      <c r="G891" s="13"/>
      <c r="H891" s="11"/>
      <c r="I891" s="15" t="str">
        <f aca="false">IF($F891="","",$F891-IF($H891="",0,$H891))</f>
        <v/>
      </c>
      <c r="J891" s="16" t="str">
        <f aca="true">IF(OR($A891="",$I891="",$I891&lt;=0),"",TODAY()-$A891)</f>
        <v/>
      </c>
      <c r="K891" s="10"/>
    </row>
    <row r="892" customFormat="false" ht="15" hidden="false" customHeight="true" outlineLevel="0" collapsed="false">
      <c r="A892" s="13"/>
      <c r="B892" s="10"/>
      <c r="C892" s="10"/>
      <c r="D892" s="14"/>
      <c r="E892" s="11"/>
      <c r="F892" s="15" t="str">
        <f aca="false">IF($B892="","",IF(AND($D892="",$E892=""),"",IF(OR($D892="",$E892=""),0,ROUND($D892*$E892,0))))</f>
        <v/>
      </c>
      <c r="G892" s="13"/>
      <c r="H892" s="11"/>
      <c r="I892" s="15" t="str">
        <f aca="false">IF($F892="","",$F892-IF($H892="",0,$H892))</f>
        <v/>
      </c>
      <c r="J892" s="16" t="str">
        <f aca="true">IF(OR($A892="",$I892="",$I892&lt;=0),"",TODAY()-$A892)</f>
        <v/>
      </c>
      <c r="K892" s="10"/>
    </row>
    <row r="893" customFormat="false" ht="15" hidden="false" customHeight="true" outlineLevel="0" collapsed="false">
      <c r="A893" s="13"/>
      <c r="B893" s="10"/>
      <c r="C893" s="10"/>
      <c r="D893" s="14"/>
      <c r="E893" s="11"/>
      <c r="F893" s="15" t="str">
        <f aca="false">IF($B893="","",IF(AND($D893="",$E893=""),"",IF(OR($D893="",$E893=""),0,ROUND($D893*$E893,0))))</f>
        <v/>
      </c>
      <c r="G893" s="13"/>
      <c r="H893" s="11"/>
      <c r="I893" s="15" t="str">
        <f aca="false">IF($F893="","",$F893-IF($H893="",0,$H893))</f>
        <v/>
      </c>
      <c r="J893" s="16" t="str">
        <f aca="true">IF(OR($A893="",$I893="",$I893&lt;=0),"",TODAY()-$A893)</f>
        <v/>
      </c>
      <c r="K893" s="10"/>
    </row>
    <row r="894" customFormat="false" ht="15" hidden="false" customHeight="true" outlineLevel="0" collapsed="false">
      <c r="A894" s="13"/>
      <c r="B894" s="10"/>
      <c r="C894" s="10"/>
      <c r="D894" s="14"/>
      <c r="E894" s="11"/>
      <c r="F894" s="15" t="str">
        <f aca="false">IF($B894="","",IF(AND($D894="",$E894=""),"",IF(OR($D894="",$E894=""),0,ROUND($D894*$E894,0))))</f>
        <v/>
      </c>
      <c r="G894" s="13"/>
      <c r="H894" s="11"/>
      <c r="I894" s="15" t="str">
        <f aca="false">IF($F894="","",$F894-IF($H894="",0,$H894))</f>
        <v/>
      </c>
      <c r="J894" s="16" t="str">
        <f aca="true">IF(OR($A894="",$I894="",$I894&lt;=0),"",TODAY()-$A894)</f>
        <v/>
      </c>
      <c r="K894" s="10"/>
    </row>
    <row r="895" customFormat="false" ht="15" hidden="false" customHeight="true" outlineLevel="0" collapsed="false">
      <c r="A895" s="13"/>
      <c r="B895" s="10"/>
      <c r="C895" s="10"/>
      <c r="D895" s="14"/>
      <c r="E895" s="11"/>
      <c r="F895" s="15" t="str">
        <f aca="false">IF($B895="","",IF(AND($D895="",$E895=""),"",IF(OR($D895="",$E895=""),0,ROUND($D895*$E895,0))))</f>
        <v/>
      </c>
      <c r="G895" s="13"/>
      <c r="H895" s="11"/>
      <c r="I895" s="15" t="str">
        <f aca="false">IF($F895="","",$F895-IF($H895="",0,$H895))</f>
        <v/>
      </c>
      <c r="J895" s="16" t="str">
        <f aca="true">IF(OR($A895="",$I895="",$I895&lt;=0),"",TODAY()-$A895)</f>
        <v/>
      </c>
      <c r="K895" s="10"/>
    </row>
    <row r="896" customFormat="false" ht="15" hidden="false" customHeight="true" outlineLevel="0" collapsed="false">
      <c r="A896" s="13"/>
      <c r="B896" s="10"/>
      <c r="C896" s="10"/>
      <c r="D896" s="14"/>
      <c r="E896" s="11"/>
      <c r="F896" s="15" t="str">
        <f aca="false">IF($B896="","",IF(AND($D896="",$E896=""),"",IF(OR($D896="",$E896=""),0,ROUND($D896*$E896,0))))</f>
        <v/>
      </c>
      <c r="G896" s="13"/>
      <c r="H896" s="11"/>
      <c r="I896" s="15" t="str">
        <f aca="false">IF($F896="","",$F896-IF($H896="",0,$H896))</f>
        <v/>
      </c>
      <c r="J896" s="16" t="str">
        <f aca="true">IF(OR($A896="",$I896="",$I896&lt;=0),"",TODAY()-$A896)</f>
        <v/>
      </c>
      <c r="K896" s="10"/>
    </row>
    <row r="897" customFormat="false" ht="15" hidden="false" customHeight="true" outlineLevel="0" collapsed="false">
      <c r="A897" s="13"/>
      <c r="B897" s="10"/>
      <c r="C897" s="10"/>
      <c r="D897" s="14"/>
      <c r="E897" s="11"/>
      <c r="F897" s="15" t="str">
        <f aca="false">IF($B897="","",IF(AND($D897="",$E897=""),"",IF(OR($D897="",$E897=""),0,ROUND($D897*$E897,0))))</f>
        <v/>
      </c>
      <c r="G897" s="13"/>
      <c r="H897" s="11"/>
      <c r="I897" s="15" t="str">
        <f aca="false">IF($F897="","",$F897-IF($H897="",0,$H897))</f>
        <v/>
      </c>
      <c r="J897" s="16" t="str">
        <f aca="true">IF(OR($A897="",$I897="",$I897&lt;=0),"",TODAY()-$A897)</f>
        <v/>
      </c>
      <c r="K897" s="10"/>
    </row>
    <row r="898" customFormat="false" ht="15" hidden="false" customHeight="true" outlineLevel="0" collapsed="false">
      <c r="A898" s="13"/>
      <c r="B898" s="10"/>
      <c r="C898" s="10"/>
      <c r="D898" s="14"/>
      <c r="E898" s="11"/>
      <c r="F898" s="15" t="str">
        <f aca="false">IF($B898="","",IF(AND($D898="",$E898=""),"",IF(OR($D898="",$E898=""),0,ROUND($D898*$E898,0))))</f>
        <v/>
      </c>
      <c r="G898" s="13"/>
      <c r="H898" s="11"/>
      <c r="I898" s="15" t="str">
        <f aca="false">IF($F898="","",$F898-IF($H898="",0,$H898))</f>
        <v/>
      </c>
      <c r="J898" s="16" t="str">
        <f aca="true">IF(OR($A898="",$I898="",$I898&lt;=0),"",TODAY()-$A898)</f>
        <v/>
      </c>
      <c r="K898" s="10"/>
    </row>
    <row r="899" customFormat="false" ht="15" hidden="false" customHeight="true" outlineLevel="0" collapsed="false">
      <c r="A899" s="13"/>
      <c r="B899" s="10"/>
      <c r="C899" s="10"/>
      <c r="D899" s="14"/>
      <c r="E899" s="11"/>
      <c r="F899" s="15" t="str">
        <f aca="false">IF($B899="","",IF(AND($D899="",$E899=""),"",IF(OR($D899="",$E899=""),0,ROUND($D899*$E899,0))))</f>
        <v/>
      </c>
      <c r="G899" s="13"/>
      <c r="H899" s="11"/>
      <c r="I899" s="15" t="str">
        <f aca="false">IF($F899="","",$F899-IF($H899="",0,$H899))</f>
        <v/>
      </c>
      <c r="J899" s="16" t="str">
        <f aca="true">IF(OR($A899="",$I899="",$I899&lt;=0),"",TODAY()-$A899)</f>
        <v/>
      </c>
      <c r="K899" s="10"/>
    </row>
    <row r="900" customFormat="false" ht="15" hidden="false" customHeight="true" outlineLevel="0" collapsed="false">
      <c r="A900" s="13"/>
      <c r="B900" s="10"/>
      <c r="C900" s="10"/>
      <c r="D900" s="14"/>
      <c r="E900" s="11"/>
      <c r="F900" s="15" t="str">
        <f aca="false">IF($B900="","",IF(AND($D900="",$E900=""),"",IF(OR($D900="",$E900=""),0,ROUND($D900*$E900,0))))</f>
        <v/>
      </c>
      <c r="G900" s="13"/>
      <c r="H900" s="11"/>
      <c r="I900" s="15" t="str">
        <f aca="false">IF($F900="","",$F900-IF($H900="",0,$H900))</f>
        <v/>
      </c>
      <c r="J900" s="16" t="str">
        <f aca="true">IF(OR($A900="",$I900="",$I900&lt;=0),"",TODAY()-$A900)</f>
        <v/>
      </c>
      <c r="K900" s="10"/>
    </row>
    <row r="901" customFormat="false" ht="15" hidden="false" customHeight="true" outlineLevel="0" collapsed="false">
      <c r="A901" s="13"/>
      <c r="B901" s="10"/>
      <c r="C901" s="10"/>
      <c r="D901" s="14"/>
      <c r="E901" s="11"/>
      <c r="F901" s="15" t="str">
        <f aca="false">IF($B901="","",IF(AND($D901="",$E901=""),"",IF(OR($D901="",$E901=""),0,ROUND($D901*$E901,0))))</f>
        <v/>
      </c>
      <c r="G901" s="13"/>
      <c r="H901" s="11"/>
      <c r="I901" s="15" t="str">
        <f aca="false">IF($F901="","",$F901-IF($H901="",0,$H901))</f>
        <v/>
      </c>
      <c r="J901" s="16" t="str">
        <f aca="true">IF(OR($A901="",$I901="",$I901&lt;=0),"",TODAY()-$A901)</f>
        <v/>
      </c>
      <c r="K901" s="10"/>
    </row>
    <row r="902" customFormat="false" ht="15" hidden="false" customHeight="true" outlineLevel="0" collapsed="false">
      <c r="A902" s="13"/>
      <c r="B902" s="10"/>
      <c r="C902" s="10"/>
      <c r="D902" s="14"/>
      <c r="E902" s="11"/>
      <c r="F902" s="15" t="str">
        <f aca="false">IF($B902="","",IF(AND($D902="",$E902=""),"",IF(OR($D902="",$E902=""),0,ROUND($D902*$E902,0))))</f>
        <v/>
      </c>
      <c r="G902" s="13"/>
      <c r="H902" s="11"/>
      <c r="I902" s="15" t="str">
        <f aca="false">IF($F902="","",$F902-IF($H902="",0,$H902))</f>
        <v/>
      </c>
      <c r="J902" s="16" t="str">
        <f aca="true">IF(OR($A902="",$I902="",$I902&lt;=0),"",TODAY()-$A902)</f>
        <v/>
      </c>
      <c r="K902" s="10"/>
    </row>
    <row r="903" customFormat="false" ht="15" hidden="false" customHeight="true" outlineLevel="0" collapsed="false">
      <c r="A903" s="13"/>
      <c r="B903" s="10"/>
      <c r="C903" s="10"/>
      <c r="D903" s="14"/>
      <c r="E903" s="11"/>
      <c r="F903" s="15" t="str">
        <f aca="false">IF($B903="","",IF(AND($D903="",$E903=""),"",IF(OR($D903="",$E903=""),0,ROUND($D903*$E903,0))))</f>
        <v/>
      </c>
      <c r="G903" s="13"/>
      <c r="H903" s="11"/>
      <c r="I903" s="15" t="str">
        <f aca="false">IF($F903="","",$F903-IF($H903="",0,$H903))</f>
        <v/>
      </c>
      <c r="J903" s="16" t="str">
        <f aca="true">IF(OR($A903="",$I903="",$I903&lt;=0),"",TODAY()-$A903)</f>
        <v/>
      </c>
      <c r="K903" s="10"/>
    </row>
    <row r="904" customFormat="false" ht="15" hidden="false" customHeight="true" outlineLevel="0" collapsed="false">
      <c r="A904" s="13"/>
      <c r="B904" s="10"/>
      <c r="C904" s="10"/>
      <c r="D904" s="14"/>
      <c r="E904" s="11"/>
      <c r="F904" s="15" t="str">
        <f aca="false">IF($B904="","",IF(AND($D904="",$E904=""),"",IF(OR($D904="",$E904=""),0,ROUND($D904*$E904,0))))</f>
        <v/>
      </c>
      <c r="G904" s="13"/>
      <c r="H904" s="11"/>
      <c r="I904" s="15" t="str">
        <f aca="false">IF($F904="","",$F904-IF($H904="",0,$H904))</f>
        <v/>
      </c>
      <c r="J904" s="16" t="str">
        <f aca="true">IF(OR($A904="",$I904="",$I904&lt;=0),"",TODAY()-$A904)</f>
        <v/>
      </c>
      <c r="K904" s="10"/>
    </row>
    <row r="905" customFormat="false" ht="15" hidden="false" customHeight="true" outlineLevel="0" collapsed="false">
      <c r="A905" s="13"/>
      <c r="B905" s="10"/>
      <c r="C905" s="10"/>
      <c r="D905" s="14"/>
      <c r="E905" s="11"/>
      <c r="F905" s="15" t="str">
        <f aca="false">IF($B905="","",IF(AND($D905="",$E905=""),"",IF(OR($D905="",$E905=""),0,ROUND($D905*$E905,0))))</f>
        <v/>
      </c>
      <c r="G905" s="13"/>
      <c r="H905" s="11"/>
      <c r="I905" s="15" t="str">
        <f aca="false">IF($F905="","",$F905-IF($H905="",0,$H905))</f>
        <v/>
      </c>
      <c r="J905" s="16" t="str">
        <f aca="true">IF(OR($A905="",$I905="",$I905&lt;=0),"",TODAY()-$A905)</f>
        <v/>
      </c>
      <c r="K905" s="10"/>
    </row>
    <row r="906" customFormat="false" ht="15" hidden="false" customHeight="true" outlineLevel="0" collapsed="false">
      <c r="A906" s="13"/>
      <c r="B906" s="10"/>
      <c r="C906" s="10"/>
      <c r="D906" s="14"/>
      <c r="E906" s="11"/>
      <c r="F906" s="15" t="str">
        <f aca="false">IF($B906="","",IF(AND($D906="",$E906=""),"",IF(OR($D906="",$E906=""),0,ROUND($D906*$E906,0))))</f>
        <v/>
      </c>
      <c r="G906" s="13"/>
      <c r="H906" s="11"/>
      <c r="I906" s="15" t="str">
        <f aca="false">IF($F906="","",$F906-IF($H906="",0,$H906))</f>
        <v/>
      </c>
      <c r="J906" s="16" t="str">
        <f aca="true">IF(OR($A906="",$I906="",$I906&lt;=0),"",TODAY()-$A906)</f>
        <v/>
      </c>
      <c r="K906" s="10"/>
    </row>
    <row r="907" customFormat="false" ht="15" hidden="false" customHeight="true" outlineLevel="0" collapsed="false">
      <c r="A907" s="13"/>
      <c r="B907" s="10"/>
      <c r="C907" s="10"/>
      <c r="D907" s="14"/>
      <c r="E907" s="11"/>
      <c r="F907" s="15" t="str">
        <f aca="false">IF($B907="","",IF(AND($D907="",$E907=""),"",IF(OR($D907="",$E907=""),0,ROUND($D907*$E907,0))))</f>
        <v/>
      </c>
      <c r="G907" s="13"/>
      <c r="H907" s="11"/>
      <c r="I907" s="15" t="str">
        <f aca="false">IF($F907="","",$F907-IF($H907="",0,$H907))</f>
        <v/>
      </c>
      <c r="J907" s="16" t="str">
        <f aca="true">IF(OR($A907="",$I907="",$I907&lt;=0),"",TODAY()-$A907)</f>
        <v/>
      </c>
      <c r="K907" s="10"/>
    </row>
    <row r="908" customFormat="false" ht="15" hidden="false" customHeight="true" outlineLevel="0" collapsed="false">
      <c r="A908" s="13"/>
      <c r="B908" s="10"/>
      <c r="C908" s="10"/>
      <c r="D908" s="14"/>
      <c r="E908" s="11"/>
      <c r="F908" s="15" t="str">
        <f aca="false">IF($B908="","",IF(AND($D908="",$E908=""),"",IF(OR($D908="",$E908=""),0,ROUND($D908*$E908,0))))</f>
        <v/>
      </c>
      <c r="G908" s="13"/>
      <c r="H908" s="11"/>
      <c r="I908" s="15" t="str">
        <f aca="false">IF($F908="","",$F908-IF($H908="",0,$H908))</f>
        <v/>
      </c>
      <c r="J908" s="16" t="str">
        <f aca="true">IF(OR($A908="",$I908="",$I908&lt;=0),"",TODAY()-$A908)</f>
        <v/>
      </c>
      <c r="K908" s="10"/>
    </row>
    <row r="909" customFormat="false" ht="15" hidden="false" customHeight="true" outlineLevel="0" collapsed="false">
      <c r="A909" s="13"/>
      <c r="B909" s="10"/>
      <c r="C909" s="10"/>
      <c r="D909" s="14"/>
      <c r="E909" s="11"/>
      <c r="F909" s="15" t="str">
        <f aca="false">IF($B909="","",IF(AND($D909="",$E909=""),"",IF(OR($D909="",$E909=""),0,ROUND($D909*$E909,0))))</f>
        <v/>
      </c>
      <c r="G909" s="13"/>
      <c r="H909" s="11"/>
      <c r="I909" s="15" t="str">
        <f aca="false">IF($F909="","",$F909-IF($H909="",0,$H909))</f>
        <v/>
      </c>
      <c r="J909" s="16" t="str">
        <f aca="true">IF(OR($A909="",$I909="",$I909&lt;=0),"",TODAY()-$A909)</f>
        <v/>
      </c>
      <c r="K909" s="10"/>
    </row>
    <row r="910" customFormat="false" ht="15" hidden="false" customHeight="true" outlineLevel="0" collapsed="false">
      <c r="A910" s="13"/>
      <c r="B910" s="10"/>
      <c r="C910" s="10"/>
      <c r="D910" s="14"/>
      <c r="E910" s="11"/>
      <c r="F910" s="15" t="str">
        <f aca="false">IF($B910="","",IF(AND($D910="",$E910=""),"",IF(OR($D910="",$E910=""),0,ROUND($D910*$E910,0))))</f>
        <v/>
      </c>
      <c r="G910" s="13"/>
      <c r="H910" s="11"/>
      <c r="I910" s="15" t="str">
        <f aca="false">IF($F910="","",$F910-IF($H910="",0,$H910))</f>
        <v/>
      </c>
      <c r="J910" s="16" t="str">
        <f aca="true">IF(OR($A910="",$I910="",$I910&lt;=0),"",TODAY()-$A910)</f>
        <v/>
      </c>
      <c r="K910" s="10"/>
    </row>
    <row r="911" customFormat="false" ht="15" hidden="false" customHeight="true" outlineLevel="0" collapsed="false">
      <c r="A911" s="13"/>
      <c r="B911" s="10"/>
      <c r="C911" s="10"/>
      <c r="D911" s="14"/>
      <c r="E911" s="11"/>
      <c r="F911" s="15" t="str">
        <f aca="false">IF($B911="","",IF(AND($D911="",$E911=""),"",IF(OR($D911="",$E911=""),0,ROUND($D911*$E911,0))))</f>
        <v/>
      </c>
      <c r="G911" s="13"/>
      <c r="H911" s="11"/>
      <c r="I911" s="15" t="str">
        <f aca="false">IF($F911="","",$F911-IF($H911="",0,$H911))</f>
        <v/>
      </c>
      <c r="J911" s="16" t="str">
        <f aca="true">IF(OR($A911="",$I911="",$I911&lt;=0),"",TODAY()-$A911)</f>
        <v/>
      </c>
      <c r="K911" s="10"/>
    </row>
    <row r="912" customFormat="false" ht="15" hidden="false" customHeight="true" outlineLevel="0" collapsed="false">
      <c r="A912" s="13"/>
      <c r="B912" s="10"/>
      <c r="C912" s="10"/>
      <c r="D912" s="14"/>
      <c r="E912" s="11"/>
      <c r="F912" s="15" t="str">
        <f aca="false">IF($B912="","",IF(AND($D912="",$E912=""),"",IF(OR($D912="",$E912=""),0,ROUND($D912*$E912,0))))</f>
        <v/>
      </c>
      <c r="G912" s="13"/>
      <c r="H912" s="11"/>
      <c r="I912" s="15" t="str">
        <f aca="false">IF($F912="","",$F912-IF($H912="",0,$H912))</f>
        <v/>
      </c>
      <c r="J912" s="16" t="str">
        <f aca="true">IF(OR($A912="",$I912="",$I912&lt;=0),"",TODAY()-$A912)</f>
        <v/>
      </c>
      <c r="K912" s="10"/>
    </row>
    <row r="913" customFormat="false" ht="15" hidden="false" customHeight="true" outlineLevel="0" collapsed="false">
      <c r="A913" s="13"/>
      <c r="B913" s="10"/>
      <c r="C913" s="10"/>
      <c r="D913" s="14"/>
      <c r="E913" s="11"/>
      <c r="F913" s="15" t="str">
        <f aca="false">IF($B913="","",IF(AND($D913="",$E913=""),"",IF(OR($D913="",$E913=""),0,ROUND($D913*$E913,0))))</f>
        <v/>
      </c>
      <c r="G913" s="13"/>
      <c r="H913" s="11"/>
      <c r="I913" s="15" t="str">
        <f aca="false">IF($F913="","",$F913-IF($H913="",0,$H913))</f>
        <v/>
      </c>
      <c r="J913" s="16" t="str">
        <f aca="true">IF(OR($A913="",$I913="",$I913&lt;=0),"",TODAY()-$A913)</f>
        <v/>
      </c>
      <c r="K913" s="10"/>
    </row>
    <row r="914" customFormat="false" ht="15" hidden="false" customHeight="true" outlineLevel="0" collapsed="false">
      <c r="A914" s="13"/>
      <c r="B914" s="10"/>
      <c r="C914" s="10"/>
      <c r="D914" s="14"/>
      <c r="E914" s="11"/>
      <c r="F914" s="15" t="str">
        <f aca="false">IF($B914="","",IF(AND($D914="",$E914=""),"",IF(OR($D914="",$E914=""),0,ROUND($D914*$E914,0))))</f>
        <v/>
      </c>
      <c r="G914" s="13"/>
      <c r="H914" s="11"/>
      <c r="I914" s="15" t="str">
        <f aca="false">IF($F914="","",$F914-IF($H914="",0,$H914))</f>
        <v/>
      </c>
      <c r="J914" s="16" t="str">
        <f aca="true">IF(OR($A914="",$I914="",$I914&lt;=0),"",TODAY()-$A914)</f>
        <v/>
      </c>
      <c r="K914" s="10"/>
    </row>
    <row r="915" customFormat="false" ht="15" hidden="false" customHeight="true" outlineLevel="0" collapsed="false">
      <c r="A915" s="13"/>
      <c r="B915" s="10"/>
      <c r="C915" s="10"/>
      <c r="D915" s="14"/>
      <c r="E915" s="11"/>
      <c r="F915" s="15" t="str">
        <f aca="false">IF($B915="","",IF(AND($D915="",$E915=""),"",IF(OR($D915="",$E915=""),0,ROUND($D915*$E915,0))))</f>
        <v/>
      </c>
      <c r="G915" s="13"/>
      <c r="H915" s="11"/>
      <c r="I915" s="15" t="str">
        <f aca="false">IF($F915="","",$F915-IF($H915="",0,$H915))</f>
        <v/>
      </c>
      <c r="J915" s="16" t="str">
        <f aca="true">IF(OR($A915="",$I915="",$I915&lt;=0),"",TODAY()-$A915)</f>
        <v/>
      </c>
      <c r="K915" s="10"/>
    </row>
    <row r="916" customFormat="false" ht="15" hidden="false" customHeight="true" outlineLevel="0" collapsed="false">
      <c r="A916" s="13"/>
      <c r="B916" s="10"/>
      <c r="C916" s="10"/>
      <c r="D916" s="14"/>
      <c r="E916" s="11"/>
      <c r="F916" s="15" t="str">
        <f aca="false">IF($B916="","",IF(AND($D916="",$E916=""),"",IF(OR($D916="",$E916=""),0,ROUND($D916*$E916,0))))</f>
        <v/>
      </c>
      <c r="G916" s="13"/>
      <c r="H916" s="11"/>
      <c r="I916" s="15" t="str">
        <f aca="false">IF($F916="","",$F916-IF($H916="",0,$H916))</f>
        <v/>
      </c>
      <c r="J916" s="16" t="str">
        <f aca="true">IF(OR($A916="",$I916="",$I916&lt;=0),"",TODAY()-$A916)</f>
        <v/>
      </c>
      <c r="K916" s="10"/>
    </row>
    <row r="917" customFormat="false" ht="15" hidden="false" customHeight="true" outlineLevel="0" collapsed="false">
      <c r="A917" s="13"/>
      <c r="B917" s="10"/>
      <c r="C917" s="10"/>
      <c r="D917" s="14"/>
      <c r="E917" s="11"/>
      <c r="F917" s="15" t="str">
        <f aca="false">IF($B917="","",IF(AND($D917="",$E917=""),"",IF(OR($D917="",$E917=""),0,ROUND($D917*$E917,0))))</f>
        <v/>
      </c>
      <c r="G917" s="13"/>
      <c r="H917" s="11"/>
      <c r="I917" s="15" t="str">
        <f aca="false">IF($F917="","",$F917-IF($H917="",0,$H917))</f>
        <v/>
      </c>
      <c r="J917" s="16" t="str">
        <f aca="true">IF(OR($A917="",$I917="",$I917&lt;=0),"",TODAY()-$A917)</f>
        <v/>
      </c>
      <c r="K917" s="10"/>
    </row>
    <row r="918" customFormat="false" ht="15" hidden="false" customHeight="true" outlineLevel="0" collapsed="false">
      <c r="A918" s="13"/>
      <c r="B918" s="10"/>
      <c r="C918" s="10"/>
      <c r="D918" s="14"/>
      <c r="E918" s="11"/>
      <c r="F918" s="15" t="str">
        <f aca="false">IF($B918="","",IF(AND($D918="",$E918=""),"",IF(OR($D918="",$E918=""),0,ROUND($D918*$E918,0))))</f>
        <v/>
      </c>
      <c r="G918" s="13"/>
      <c r="H918" s="11"/>
      <c r="I918" s="15" t="str">
        <f aca="false">IF($F918="","",$F918-IF($H918="",0,$H918))</f>
        <v/>
      </c>
      <c r="J918" s="16" t="str">
        <f aca="true">IF(OR($A918="",$I918="",$I918&lt;=0),"",TODAY()-$A918)</f>
        <v/>
      </c>
      <c r="K918" s="10"/>
    </row>
    <row r="919" customFormat="false" ht="15" hidden="false" customHeight="true" outlineLevel="0" collapsed="false">
      <c r="A919" s="13"/>
      <c r="B919" s="10"/>
      <c r="C919" s="10"/>
      <c r="D919" s="14"/>
      <c r="E919" s="11"/>
      <c r="F919" s="15" t="str">
        <f aca="false">IF($B919="","",IF(AND($D919="",$E919=""),"",IF(OR($D919="",$E919=""),0,ROUND($D919*$E919,0))))</f>
        <v/>
      </c>
      <c r="G919" s="13"/>
      <c r="H919" s="11"/>
      <c r="I919" s="15" t="str">
        <f aca="false">IF($F919="","",$F919-IF($H919="",0,$H919))</f>
        <v/>
      </c>
      <c r="J919" s="16" t="str">
        <f aca="true">IF(OR($A919="",$I919="",$I919&lt;=0),"",TODAY()-$A919)</f>
        <v/>
      </c>
      <c r="K919" s="10"/>
    </row>
    <row r="920" customFormat="false" ht="15" hidden="false" customHeight="true" outlineLevel="0" collapsed="false">
      <c r="A920" s="13"/>
      <c r="B920" s="10"/>
      <c r="C920" s="10"/>
      <c r="D920" s="14"/>
      <c r="E920" s="11"/>
      <c r="F920" s="15" t="str">
        <f aca="false">IF($B920="","",IF(AND($D920="",$E920=""),"",IF(OR($D920="",$E920=""),0,ROUND($D920*$E920,0))))</f>
        <v/>
      </c>
      <c r="G920" s="13"/>
      <c r="H920" s="11"/>
      <c r="I920" s="15" t="str">
        <f aca="false">IF($F920="","",$F920-IF($H920="",0,$H920))</f>
        <v/>
      </c>
      <c r="J920" s="16" t="str">
        <f aca="true">IF(OR($A920="",$I920="",$I920&lt;=0),"",TODAY()-$A920)</f>
        <v/>
      </c>
      <c r="K920" s="10"/>
    </row>
    <row r="921" customFormat="false" ht="15" hidden="false" customHeight="true" outlineLevel="0" collapsed="false">
      <c r="A921" s="13"/>
      <c r="B921" s="10"/>
      <c r="C921" s="10"/>
      <c r="D921" s="14"/>
      <c r="E921" s="11"/>
      <c r="F921" s="15" t="str">
        <f aca="false">IF($B921="","",IF(AND($D921="",$E921=""),"",IF(OR($D921="",$E921=""),0,ROUND($D921*$E921,0))))</f>
        <v/>
      </c>
      <c r="G921" s="13"/>
      <c r="H921" s="11"/>
      <c r="I921" s="15" t="str">
        <f aca="false">IF($F921="","",$F921-IF($H921="",0,$H921))</f>
        <v/>
      </c>
      <c r="J921" s="16" t="str">
        <f aca="true">IF(OR($A921="",$I921="",$I921&lt;=0),"",TODAY()-$A921)</f>
        <v/>
      </c>
      <c r="K921" s="10"/>
    </row>
    <row r="922" customFormat="false" ht="15" hidden="false" customHeight="true" outlineLevel="0" collapsed="false">
      <c r="A922" s="13"/>
      <c r="B922" s="10"/>
      <c r="C922" s="10"/>
      <c r="D922" s="14"/>
      <c r="E922" s="11"/>
      <c r="F922" s="15" t="str">
        <f aca="false">IF($B922="","",IF(AND($D922="",$E922=""),"",IF(OR($D922="",$E922=""),0,ROUND($D922*$E922,0))))</f>
        <v/>
      </c>
      <c r="G922" s="13"/>
      <c r="H922" s="11"/>
      <c r="I922" s="15" t="str">
        <f aca="false">IF($F922="","",$F922-IF($H922="",0,$H922))</f>
        <v/>
      </c>
      <c r="J922" s="16" t="str">
        <f aca="true">IF(OR($A922="",$I922="",$I922&lt;=0),"",TODAY()-$A922)</f>
        <v/>
      </c>
      <c r="K922" s="10"/>
    </row>
    <row r="923" customFormat="false" ht="15" hidden="false" customHeight="true" outlineLevel="0" collapsed="false">
      <c r="A923" s="13"/>
      <c r="B923" s="10"/>
      <c r="C923" s="10"/>
      <c r="D923" s="14"/>
      <c r="E923" s="11"/>
      <c r="F923" s="15" t="str">
        <f aca="false">IF($B923="","",IF(AND($D923="",$E923=""),"",IF(OR($D923="",$E923=""),0,ROUND($D923*$E923,0))))</f>
        <v/>
      </c>
      <c r="G923" s="13"/>
      <c r="H923" s="11"/>
      <c r="I923" s="15" t="str">
        <f aca="false">IF($F923="","",$F923-IF($H923="",0,$H923))</f>
        <v/>
      </c>
      <c r="J923" s="16" t="str">
        <f aca="true">IF(OR($A923="",$I923="",$I923&lt;=0),"",TODAY()-$A923)</f>
        <v/>
      </c>
      <c r="K923" s="10"/>
    </row>
    <row r="924" customFormat="false" ht="15" hidden="false" customHeight="true" outlineLevel="0" collapsed="false">
      <c r="A924" s="13"/>
      <c r="B924" s="10"/>
      <c r="C924" s="10"/>
      <c r="D924" s="14"/>
      <c r="E924" s="11"/>
      <c r="F924" s="15" t="str">
        <f aca="false">IF($B924="","",IF(AND($D924="",$E924=""),"",IF(OR($D924="",$E924=""),0,ROUND($D924*$E924,0))))</f>
        <v/>
      </c>
      <c r="G924" s="13"/>
      <c r="H924" s="11"/>
      <c r="I924" s="15" t="str">
        <f aca="false">IF($F924="","",$F924-IF($H924="",0,$H924))</f>
        <v/>
      </c>
      <c r="J924" s="16" t="str">
        <f aca="true">IF(OR($A924="",$I924="",$I924&lt;=0),"",TODAY()-$A924)</f>
        <v/>
      </c>
      <c r="K924" s="10"/>
    </row>
    <row r="925" customFormat="false" ht="15" hidden="false" customHeight="true" outlineLevel="0" collapsed="false">
      <c r="A925" s="13"/>
      <c r="B925" s="10"/>
      <c r="C925" s="10"/>
      <c r="D925" s="14"/>
      <c r="E925" s="11"/>
      <c r="F925" s="15" t="str">
        <f aca="false">IF($B925="","",IF(AND($D925="",$E925=""),"",IF(OR($D925="",$E925=""),0,ROUND($D925*$E925,0))))</f>
        <v/>
      </c>
      <c r="G925" s="13"/>
      <c r="H925" s="11"/>
      <c r="I925" s="15" t="str">
        <f aca="false">IF($F925="","",$F925-IF($H925="",0,$H925))</f>
        <v/>
      </c>
      <c r="J925" s="16" t="str">
        <f aca="true">IF(OR($A925="",$I925="",$I925&lt;=0),"",TODAY()-$A925)</f>
        <v/>
      </c>
      <c r="K925" s="10"/>
    </row>
    <row r="926" customFormat="false" ht="15" hidden="false" customHeight="true" outlineLevel="0" collapsed="false">
      <c r="A926" s="13"/>
      <c r="B926" s="10"/>
      <c r="C926" s="10"/>
      <c r="D926" s="14"/>
      <c r="E926" s="11"/>
      <c r="F926" s="15" t="str">
        <f aca="false">IF($B926="","",IF(AND($D926="",$E926=""),"",IF(OR($D926="",$E926=""),0,ROUND($D926*$E926,0))))</f>
        <v/>
      </c>
      <c r="G926" s="13"/>
      <c r="H926" s="11"/>
      <c r="I926" s="15" t="str">
        <f aca="false">IF($F926="","",$F926-IF($H926="",0,$H926))</f>
        <v/>
      </c>
      <c r="J926" s="16" t="str">
        <f aca="true">IF(OR($A926="",$I926="",$I926&lt;=0),"",TODAY()-$A926)</f>
        <v/>
      </c>
      <c r="K926" s="10"/>
    </row>
    <row r="927" customFormat="false" ht="15" hidden="false" customHeight="true" outlineLevel="0" collapsed="false">
      <c r="A927" s="13"/>
      <c r="B927" s="10"/>
      <c r="C927" s="10"/>
      <c r="D927" s="14"/>
      <c r="E927" s="11"/>
      <c r="F927" s="15" t="str">
        <f aca="false">IF($B927="","",IF(AND($D927="",$E927=""),"",IF(OR($D927="",$E927=""),0,ROUND($D927*$E927,0))))</f>
        <v/>
      </c>
      <c r="G927" s="13"/>
      <c r="H927" s="11"/>
      <c r="I927" s="15" t="str">
        <f aca="false">IF($F927="","",$F927-IF($H927="",0,$H927))</f>
        <v/>
      </c>
      <c r="J927" s="16" t="str">
        <f aca="true">IF(OR($A927="",$I927="",$I927&lt;=0),"",TODAY()-$A927)</f>
        <v/>
      </c>
      <c r="K927" s="10"/>
    </row>
    <row r="928" customFormat="false" ht="15" hidden="false" customHeight="true" outlineLevel="0" collapsed="false">
      <c r="A928" s="13"/>
      <c r="B928" s="10"/>
      <c r="C928" s="10"/>
      <c r="D928" s="14"/>
      <c r="E928" s="11"/>
      <c r="F928" s="15" t="str">
        <f aca="false">IF($B928="","",IF(AND($D928="",$E928=""),"",IF(OR($D928="",$E928=""),0,ROUND($D928*$E928,0))))</f>
        <v/>
      </c>
      <c r="G928" s="13"/>
      <c r="H928" s="11"/>
      <c r="I928" s="15" t="str">
        <f aca="false">IF($F928="","",$F928-IF($H928="",0,$H928))</f>
        <v/>
      </c>
      <c r="J928" s="16" t="str">
        <f aca="true">IF(OR($A928="",$I928="",$I928&lt;=0),"",TODAY()-$A928)</f>
        <v/>
      </c>
      <c r="K928" s="10"/>
    </row>
    <row r="929" customFormat="false" ht="15" hidden="false" customHeight="true" outlineLevel="0" collapsed="false">
      <c r="A929" s="13"/>
      <c r="B929" s="10"/>
      <c r="C929" s="10"/>
      <c r="D929" s="14"/>
      <c r="E929" s="11"/>
      <c r="F929" s="15" t="str">
        <f aca="false">IF($B929="","",IF(AND($D929="",$E929=""),"",IF(OR($D929="",$E929=""),0,ROUND($D929*$E929,0))))</f>
        <v/>
      </c>
      <c r="G929" s="13"/>
      <c r="H929" s="11"/>
      <c r="I929" s="15" t="str">
        <f aca="false">IF($F929="","",$F929-IF($H929="",0,$H929))</f>
        <v/>
      </c>
      <c r="J929" s="16" t="str">
        <f aca="true">IF(OR($A929="",$I929="",$I929&lt;=0),"",TODAY()-$A929)</f>
        <v/>
      </c>
      <c r="K929" s="10"/>
    </row>
    <row r="930" customFormat="false" ht="15" hidden="false" customHeight="true" outlineLevel="0" collapsed="false">
      <c r="A930" s="13"/>
      <c r="B930" s="10"/>
      <c r="C930" s="10"/>
      <c r="D930" s="14"/>
      <c r="E930" s="11"/>
      <c r="F930" s="15" t="str">
        <f aca="false">IF($B930="","",IF(AND($D930="",$E930=""),"",IF(OR($D930="",$E930=""),0,ROUND($D930*$E930,0))))</f>
        <v/>
      </c>
      <c r="G930" s="13"/>
      <c r="H930" s="11"/>
      <c r="I930" s="15" t="str">
        <f aca="false">IF($F930="","",$F930-IF($H930="",0,$H930))</f>
        <v/>
      </c>
      <c r="J930" s="16" t="str">
        <f aca="true">IF(OR($A930="",$I930="",$I930&lt;=0),"",TODAY()-$A930)</f>
        <v/>
      </c>
      <c r="K930" s="10"/>
    </row>
    <row r="931" customFormat="false" ht="15" hidden="false" customHeight="true" outlineLevel="0" collapsed="false">
      <c r="A931" s="13"/>
      <c r="B931" s="10"/>
      <c r="C931" s="10"/>
      <c r="D931" s="14"/>
      <c r="E931" s="11"/>
      <c r="F931" s="15" t="str">
        <f aca="false">IF($B931="","",IF(AND($D931="",$E931=""),"",IF(OR($D931="",$E931=""),0,ROUND($D931*$E931,0))))</f>
        <v/>
      </c>
      <c r="G931" s="13"/>
      <c r="H931" s="11"/>
      <c r="I931" s="15" t="str">
        <f aca="false">IF($F931="","",$F931-IF($H931="",0,$H931))</f>
        <v/>
      </c>
      <c r="J931" s="16" t="str">
        <f aca="true">IF(OR($A931="",$I931="",$I931&lt;=0),"",TODAY()-$A931)</f>
        <v/>
      </c>
      <c r="K931" s="10"/>
    </row>
    <row r="932" customFormat="false" ht="15" hidden="false" customHeight="true" outlineLevel="0" collapsed="false">
      <c r="A932" s="13"/>
      <c r="B932" s="10"/>
      <c r="C932" s="10"/>
      <c r="D932" s="14"/>
      <c r="E932" s="11"/>
      <c r="F932" s="15" t="str">
        <f aca="false">IF($B932="","",IF(AND($D932="",$E932=""),"",IF(OR($D932="",$E932=""),0,ROUND($D932*$E932,0))))</f>
        <v/>
      </c>
      <c r="G932" s="13"/>
      <c r="H932" s="11"/>
      <c r="I932" s="15" t="str">
        <f aca="false">IF($F932="","",$F932-IF($H932="",0,$H932))</f>
        <v/>
      </c>
      <c r="J932" s="16" t="str">
        <f aca="true">IF(OR($A932="",$I932="",$I932&lt;=0),"",TODAY()-$A932)</f>
        <v/>
      </c>
      <c r="K932" s="10"/>
    </row>
    <row r="933" customFormat="false" ht="15" hidden="false" customHeight="true" outlineLevel="0" collapsed="false">
      <c r="A933" s="13"/>
      <c r="B933" s="10"/>
      <c r="C933" s="10"/>
      <c r="D933" s="14"/>
      <c r="E933" s="11"/>
      <c r="F933" s="15" t="str">
        <f aca="false">IF($B933="","",IF(AND($D933="",$E933=""),"",IF(OR($D933="",$E933=""),0,ROUND($D933*$E933,0))))</f>
        <v/>
      </c>
      <c r="G933" s="13"/>
      <c r="H933" s="11"/>
      <c r="I933" s="15" t="str">
        <f aca="false">IF($F933="","",$F933-IF($H933="",0,$H933))</f>
        <v/>
      </c>
      <c r="J933" s="16" t="str">
        <f aca="true">IF(OR($A933="",$I933="",$I933&lt;=0),"",TODAY()-$A933)</f>
        <v/>
      </c>
      <c r="K933" s="10"/>
    </row>
    <row r="934" customFormat="false" ht="15" hidden="false" customHeight="true" outlineLevel="0" collapsed="false">
      <c r="A934" s="13"/>
      <c r="B934" s="10"/>
      <c r="C934" s="10"/>
      <c r="D934" s="14"/>
      <c r="E934" s="11"/>
      <c r="F934" s="15" t="str">
        <f aca="false">IF($B934="","",IF(AND($D934="",$E934=""),"",IF(OR($D934="",$E934=""),0,ROUND($D934*$E934,0))))</f>
        <v/>
      </c>
      <c r="G934" s="13"/>
      <c r="H934" s="11"/>
      <c r="I934" s="15" t="str">
        <f aca="false">IF($F934="","",$F934-IF($H934="",0,$H934))</f>
        <v/>
      </c>
      <c r="J934" s="16" t="str">
        <f aca="true">IF(OR($A934="",$I934="",$I934&lt;=0),"",TODAY()-$A934)</f>
        <v/>
      </c>
      <c r="K934" s="10"/>
    </row>
    <row r="935" customFormat="false" ht="15" hidden="false" customHeight="true" outlineLevel="0" collapsed="false">
      <c r="A935" s="13"/>
      <c r="B935" s="10"/>
      <c r="C935" s="10"/>
      <c r="D935" s="14"/>
      <c r="E935" s="11"/>
      <c r="F935" s="15" t="str">
        <f aca="false">IF($B935="","",IF(AND($D935="",$E935=""),"",IF(OR($D935="",$E935=""),0,ROUND($D935*$E935,0))))</f>
        <v/>
      </c>
      <c r="G935" s="13"/>
      <c r="H935" s="11"/>
      <c r="I935" s="15" t="str">
        <f aca="false">IF($F935="","",$F935-IF($H935="",0,$H935))</f>
        <v/>
      </c>
      <c r="J935" s="16" t="str">
        <f aca="true">IF(OR($A935="",$I935="",$I935&lt;=0),"",TODAY()-$A935)</f>
        <v/>
      </c>
      <c r="K935" s="10"/>
    </row>
    <row r="936" customFormat="false" ht="15" hidden="false" customHeight="true" outlineLevel="0" collapsed="false">
      <c r="A936" s="13"/>
      <c r="B936" s="10"/>
      <c r="C936" s="10"/>
      <c r="D936" s="14"/>
      <c r="E936" s="11"/>
      <c r="F936" s="15" t="str">
        <f aca="false">IF($B936="","",IF(AND($D936="",$E936=""),"",IF(OR($D936="",$E936=""),0,ROUND($D936*$E936,0))))</f>
        <v/>
      </c>
      <c r="G936" s="13"/>
      <c r="H936" s="11"/>
      <c r="I936" s="15" t="str">
        <f aca="false">IF($F936="","",$F936-IF($H936="",0,$H936))</f>
        <v/>
      </c>
      <c r="J936" s="16" t="str">
        <f aca="true">IF(OR($A936="",$I936="",$I936&lt;=0),"",TODAY()-$A936)</f>
        <v/>
      </c>
      <c r="K936" s="10"/>
    </row>
    <row r="937" customFormat="false" ht="15" hidden="false" customHeight="true" outlineLevel="0" collapsed="false">
      <c r="A937" s="13"/>
      <c r="B937" s="10"/>
      <c r="C937" s="10"/>
      <c r="D937" s="14"/>
      <c r="E937" s="11"/>
      <c r="F937" s="15" t="str">
        <f aca="false">IF($B937="","",IF(AND($D937="",$E937=""),"",IF(OR($D937="",$E937=""),0,ROUND($D937*$E937,0))))</f>
        <v/>
      </c>
      <c r="G937" s="13"/>
      <c r="H937" s="11"/>
      <c r="I937" s="15" t="str">
        <f aca="false">IF($F937="","",$F937-IF($H937="",0,$H937))</f>
        <v/>
      </c>
      <c r="J937" s="16" t="str">
        <f aca="true">IF(OR($A937="",$I937="",$I937&lt;=0),"",TODAY()-$A937)</f>
        <v/>
      </c>
      <c r="K937" s="10"/>
    </row>
    <row r="938" customFormat="false" ht="15" hidden="false" customHeight="true" outlineLevel="0" collapsed="false">
      <c r="A938" s="13"/>
      <c r="B938" s="10"/>
      <c r="C938" s="10"/>
      <c r="D938" s="14"/>
      <c r="E938" s="11"/>
      <c r="F938" s="15" t="str">
        <f aca="false">IF($B938="","",IF(AND($D938="",$E938=""),"",IF(OR($D938="",$E938=""),0,ROUND($D938*$E938,0))))</f>
        <v/>
      </c>
      <c r="G938" s="13"/>
      <c r="H938" s="11"/>
      <c r="I938" s="15" t="str">
        <f aca="false">IF($F938="","",$F938-IF($H938="",0,$H938))</f>
        <v/>
      </c>
      <c r="J938" s="16" t="str">
        <f aca="true">IF(OR($A938="",$I938="",$I938&lt;=0),"",TODAY()-$A938)</f>
        <v/>
      </c>
      <c r="K938" s="10"/>
    </row>
    <row r="939" customFormat="false" ht="15" hidden="false" customHeight="true" outlineLevel="0" collapsed="false">
      <c r="A939" s="13"/>
      <c r="B939" s="10"/>
      <c r="C939" s="10"/>
      <c r="D939" s="14"/>
      <c r="E939" s="11"/>
      <c r="F939" s="15" t="str">
        <f aca="false">IF($B939="","",IF(AND($D939="",$E939=""),"",IF(OR($D939="",$E939=""),0,ROUND($D939*$E939,0))))</f>
        <v/>
      </c>
      <c r="G939" s="13"/>
      <c r="H939" s="11"/>
      <c r="I939" s="15" t="str">
        <f aca="false">IF($F939="","",$F939-IF($H939="",0,$H939))</f>
        <v/>
      </c>
      <c r="J939" s="16" t="str">
        <f aca="true">IF(OR($A939="",$I939="",$I939&lt;=0),"",TODAY()-$A939)</f>
        <v/>
      </c>
      <c r="K939" s="10"/>
    </row>
    <row r="940" customFormat="false" ht="15" hidden="false" customHeight="true" outlineLevel="0" collapsed="false">
      <c r="A940" s="13"/>
      <c r="B940" s="10"/>
      <c r="C940" s="10"/>
      <c r="D940" s="14"/>
      <c r="E940" s="11"/>
      <c r="F940" s="15" t="str">
        <f aca="false">IF($B940="","",IF(AND($D940="",$E940=""),"",IF(OR($D940="",$E940=""),0,ROUND($D940*$E940,0))))</f>
        <v/>
      </c>
      <c r="G940" s="13"/>
      <c r="H940" s="11"/>
      <c r="I940" s="15" t="str">
        <f aca="false">IF($F940="","",$F940-IF($H940="",0,$H940))</f>
        <v/>
      </c>
      <c r="J940" s="16" t="str">
        <f aca="true">IF(OR($A940="",$I940="",$I940&lt;=0),"",TODAY()-$A940)</f>
        <v/>
      </c>
      <c r="K940" s="10"/>
    </row>
    <row r="941" customFormat="false" ht="15" hidden="false" customHeight="true" outlineLevel="0" collapsed="false">
      <c r="A941" s="13"/>
      <c r="B941" s="10"/>
      <c r="C941" s="10"/>
      <c r="D941" s="14"/>
      <c r="E941" s="11"/>
      <c r="F941" s="15" t="str">
        <f aca="false">IF($B941="","",IF(AND($D941="",$E941=""),"",IF(OR($D941="",$E941=""),0,ROUND($D941*$E941,0))))</f>
        <v/>
      </c>
      <c r="G941" s="13"/>
      <c r="H941" s="11"/>
      <c r="I941" s="15" t="str">
        <f aca="false">IF($F941="","",$F941-IF($H941="",0,$H941))</f>
        <v/>
      </c>
      <c r="J941" s="16" t="str">
        <f aca="true">IF(OR($A941="",$I941="",$I941&lt;=0),"",TODAY()-$A941)</f>
        <v/>
      </c>
      <c r="K941" s="10"/>
    </row>
    <row r="942" customFormat="false" ht="15" hidden="false" customHeight="true" outlineLevel="0" collapsed="false">
      <c r="A942" s="13"/>
      <c r="B942" s="10"/>
      <c r="C942" s="10"/>
      <c r="D942" s="14"/>
      <c r="E942" s="11"/>
      <c r="F942" s="15" t="str">
        <f aca="false">IF($B942="","",IF(AND($D942="",$E942=""),"",IF(OR($D942="",$E942=""),0,ROUND($D942*$E942,0))))</f>
        <v/>
      </c>
      <c r="G942" s="13"/>
      <c r="H942" s="11"/>
      <c r="I942" s="15" t="str">
        <f aca="false">IF($F942="","",$F942-IF($H942="",0,$H942))</f>
        <v/>
      </c>
      <c r="J942" s="16" t="str">
        <f aca="true">IF(OR($A942="",$I942="",$I942&lt;=0),"",TODAY()-$A942)</f>
        <v/>
      </c>
      <c r="K942" s="10"/>
    </row>
    <row r="943" customFormat="false" ht="15" hidden="false" customHeight="true" outlineLevel="0" collapsed="false">
      <c r="A943" s="13"/>
      <c r="B943" s="10"/>
      <c r="C943" s="10"/>
      <c r="D943" s="14"/>
      <c r="E943" s="11"/>
      <c r="F943" s="15" t="str">
        <f aca="false">IF($B943="","",IF(AND($D943="",$E943=""),"",IF(OR($D943="",$E943=""),0,ROUND($D943*$E943,0))))</f>
        <v/>
      </c>
      <c r="G943" s="13"/>
      <c r="H943" s="11"/>
      <c r="I943" s="15" t="str">
        <f aca="false">IF($F943="","",$F943-IF($H943="",0,$H943))</f>
        <v/>
      </c>
      <c r="J943" s="16" t="str">
        <f aca="true">IF(OR($A943="",$I943="",$I943&lt;=0),"",TODAY()-$A943)</f>
        <v/>
      </c>
      <c r="K943" s="10"/>
    </row>
    <row r="944" customFormat="false" ht="15" hidden="false" customHeight="true" outlineLevel="0" collapsed="false">
      <c r="A944" s="13"/>
      <c r="B944" s="10"/>
      <c r="C944" s="10"/>
      <c r="D944" s="14"/>
      <c r="E944" s="11"/>
      <c r="F944" s="15" t="str">
        <f aca="false">IF($B944="","",IF(AND($D944="",$E944=""),"",IF(OR($D944="",$E944=""),0,ROUND($D944*$E944,0))))</f>
        <v/>
      </c>
      <c r="G944" s="13"/>
      <c r="H944" s="11"/>
      <c r="I944" s="15" t="str">
        <f aca="false">IF($F944="","",$F944-IF($H944="",0,$H944))</f>
        <v/>
      </c>
      <c r="J944" s="16" t="str">
        <f aca="true">IF(OR($A944="",$I944="",$I944&lt;=0),"",TODAY()-$A944)</f>
        <v/>
      </c>
      <c r="K944" s="10"/>
    </row>
    <row r="945" customFormat="false" ht="15" hidden="false" customHeight="true" outlineLevel="0" collapsed="false">
      <c r="A945" s="13"/>
      <c r="B945" s="10"/>
      <c r="C945" s="10"/>
      <c r="D945" s="14"/>
      <c r="E945" s="11"/>
      <c r="F945" s="15" t="str">
        <f aca="false">IF($B945="","",IF(AND($D945="",$E945=""),"",IF(OR($D945="",$E945=""),0,ROUND($D945*$E945,0))))</f>
        <v/>
      </c>
      <c r="G945" s="13"/>
      <c r="H945" s="11"/>
      <c r="I945" s="15" t="str">
        <f aca="false">IF($F945="","",$F945-IF($H945="",0,$H945))</f>
        <v/>
      </c>
      <c r="J945" s="16" t="str">
        <f aca="true">IF(OR($A945="",$I945="",$I945&lt;=0),"",TODAY()-$A945)</f>
        <v/>
      </c>
      <c r="K945" s="10"/>
    </row>
    <row r="946" customFormat="false" ht="15" hidden="false" customHeight="true" outlineLevel="0" collapsed="false">
      <c r="A946" s="13"/>
      <c r="B946" s="10"/>
      <c r="C946" s="10"/>
      <c r="D946" s="14"/>
      <c r="E946" s="11"/>
      <c r="F946" s="15" t="str">
        <f aca="false">IF($B946="","",IF(AND($D946="",$E946=""),"",IF(OR($D946="",$E946=""),0,ROUND($D946*$E946,0))))</f>
        <v/>
      </c>
      <c r="G946" s="13"/>
      <c r="H946" s="11"/>
      <c r="I946" s="15" t="str">
        <f aca="false">IF($F946="","",$F946-IF($H946="",0,$H946))</f>
        <v/>
      </c>
      <c r="J946" s="16" t="str">
        <f aca="true">IF(OR($A946="",$I946="",$I946&lt;=0),"",TODAY()-$A946)</f>
        <v/>
      </c>
      <c r="K946" s="10"/>
    </row>
    <row r="947" customFormat="false" ht="15" hidden="false" customHeight="true" outlineLevel="0" collapsed="false">
      <c r="A947" s="13"/>
      <c r="B947" s="10"/>
      <c r="C947" s="10"/>
      <c r="D947" s="14"/>
      <c r="E947" s="11"/>
      <c r="F947" s="15" t="str">
        <f aca="false">IF($B947="","",IF(AND($D947="",$E947=""),"",IF(OR($D947="",$E947=""),0,ROUND($D947*$E947,0))))</f>
        <v/>
      </c>
      <c r="G947" s="13"/>
      <c r="H947" s="11"/>
      <c r="I947" s="15" t="str">
        <f aca="false">IF($F947="","",$F947-IF($H947="",0,$H947))</f>
        <v/>
      </c>
      <c r="J947" s="16" t="str">
        <f aca="true">IF(OR($A947="",$I947="",$I947&lt;=0),"",TODAY()-$A947)</f>
        <v/>
      </c>
      <c r="K947" s="10"/>
    </row>
    <row r="948" customFormat="false" ht="15" hidden="false" customHeight="true" outlineLevel="0" collapsed="false">
      <c r="A948" s="13"/>
      <c r="B948" s="10"/>
      <c r="C948" s="10"/>
      <c r="D948" s="14"/>
      <c r="E948" s="11"/>
      <c r="F948" s="15" t="str">
        <f aca="false">IF($B948="","",IF(AND($D948="",$E948=""),"",IF(OR($D948="",$E948=""),0,ROUND($D948*$E948,0))))</f>
        <v/>
      </c>
      <c r="G948" s="13"/>
      <c r="H948" s="11"/>
      <c r="I948" s="15" t="str">
        <f aca="false">IF($F948="","",$F948-IF($H948="",0,$H948))</f>
        <v/>
      </c>
      <c r="J948" s="16" t="str">
        <f aca="true">IF(OR($A948="",$I948="",$I948&lt;=0),"",TODAY()-$A948)</f>
        <v/>
      </c>
      <c r="K948" s="10"/>
    </row>
    <row r="949" customFormat="false" ht="15" hidden="false" customHeight="true" outlineLevel="0" collapsed="false">
      <c r="A949" s="13"/>
      <c r="B949" s="10"/>
      <c r="C949" s="10"/>
      <c r="D949" s="14"/>
      <c r="E949" s="11"/>
      <c r="F949" s="15" t="str">
        <f aca="false">IF($B949="","",IF(AND($D949="",$E949=""),"",IF(OR($D949="",$E949=""),0,ROUND($D949*$E949,0))))</f>
        <v/>
      </c>
      <c r="G949" s="13"/>
      <c r="H949" s="11"/>
      <c r="I949" s="15" t="str">
        <f aca="false">IF($F949="","",$F949-IF($H949="",0,$H949))</f>
        <v/>
      </c>
      <c r="J949" s="16" t="str">
        <f aca="true">IF(OR($A949="",$I949="",$I949&lt;=0),"",TODAY()-$A949)</f>
        <v/>
      </c>
      <c r="K949" s="10"/>
    </row>
    <row r="950" customFormat="false" ht="15" hidden="false" customHeight="true" outlineLevel="0" collapsed="false">
      <c r="A950" s="13"/>
      <c r="B950" s="10"/>
      <c r="C950" s="10"/>
      <c r="D950" s="14"/>
      <c r="E950" s="11"/>
      <c r="F950" s="15" t="str">
        <f aca="false">IF($B950="","",IF(AND($D950="",$E950=""),"",IF(OR($D950="",$E950=""),0,ROUND($D950*$E950,0))))</f>
        <v/>
      </c>
      <c r="G950" s="13"/>
      <c r="H950" s="11"/>
      <c r="I950" s="15" t="str">
        <f aca="false">IF($F950="","",$F950-IF($H950="",0,$H950))</f>
        <v/>
      </c>
      <c r="J950" s="16" t="str">
        <f aca="true">IF(OR($A950="",$I950="",$I950&lt;=0),"",TODAY()-$A950)</f>
        <v/>
      </c>
      <c r="K950" s="10"/>
    </row>
    <row r="951" customFormat="false" ht="15" hidden="false" customHeight="true" outlineLevel="0" collapsed="false">
      <c r="A951" s="13"/>
      <c r="B951" s="10"/>
      <c r="C951" s="10"/>
      <c r="D951" s="14"/>
      <c r="E951" s="11"/>
      <c r="F951" s="15" t="str">
        <f aca="false">IF($B951="","",IF(AND($D951="",$E951=""),"",IF(OR($D951="",$E951=""),0,ROUND($D951*$E951,0))))</f>
        <v/>
      </c>
      <c r="G951" s="13"/>
      <c r="H951" s="11"/>
      <c r="I951" s="15" t="str">
        <f aca="false">IF($F951="","",$F951-IF($H951="",0,$H951))</f>
        <v/>
      </c>
      <c r="J951" s="16" t="str">
        <f aca="true">IF(OR($A951="",$I951="",$I951&lt;=0),"",TODAY()-$A951)</f>
        <v/>
      </c>
      <c r="K951" s="10"/>
    </row>
    <row r="952" customFormat="false" ht="15" hidden="false" customHeight="true" outlineLevel="0" collapsed="false">
      <c r="A952" s="13"/>
      <c r="B952" s="10"/>
      <c r="C952" s="10"/>
      <c r="D952" s="14"/>
      <c r="E952" s="11"/>
      <c r="F952" s="15" t="str">
        <f aca="false">IF($B952="","",IF(AND($D952="",$E952=""),"",IF(OR($D952="",$E952=""),0,ROUND($D952*$E952,0))))</f>
        <v/>
      </c>
      <c r="G952" s="13"/>
      <c r="H952" s="11"/>
      <c r="I952" s="15" t="str">
        <f aca="false">IF($F952="","",$F952-IF($H952="",0,$H952))</f>
        <v/>
      </c>
      <c r="J952" s="16" t="str">
        <f aca="true">IF(OR($A952="",$I952="",$I952&lt;=0),"",TODAY()-$A952)</f>
        <v/>
      </c>
      <c r="K952" s="10"/>
    </row>
    <row r="953" customFormat="false" ht="15" hidden="false" customHeight="true" outlineLevel="0" collapsed="false">
      <c r="A953" s="13"/>
      <c r="B953" s="10"/>
      <c r="C953" s="10"/>
      <c r="D953" s="14"/>
      <c r="E953" s="11"/>
      <c r="F953" s="15" t="str">
        <f aca="false">IF($B953="","",IF(AND($D953="",$E953=""),"",IF(OR($D953="",$E953=""),0,ROUND($D953*$E953,0))))</f>
        <v/>
      </c>
      <c r="G953" s="13"/>
      <c r="H953" s="11"/>
      <c r="I953" s="15" t="str">
        <f aca="false">IF($F953="","",$F953-IF($H953="",0,$H953))</f>
        <v/>
      </c>
      <c r="J953" s="16" t="str">
        <f aca="true">IF(OR($A953="",$I953="",$I953&lt;=0),"",TODAY()-$A953)</f>
        <v/>
      </c>
      <c r="K953" s="10"/>
    </row>
    <row r="954" customFormat="false" ht="15" hidden="false" customHeight="true" outlineLevel="0" collapsed="false">
      <c r="A954" s="13"/>
      <c r="B954" s="10"/>
      <c r="C954" s="10"/>
      <c r="D954" s="14"/>
      <c r="E954" s="11"/>
      <c r="F954" s="15" t="str">
        <f aca="false">IF($B954="","",IF(AND($D954="",$E954=""),"",IF(OR($D954="",$E954=""),0,ROUND($D954*$E954,0))))</f>
        <v/>
      </c>
      <c r="G954" s="13"/>
      <c r="H954" s="11"/>
      <c r="I954" s="15" t="str">
        <f aca="false">IF($F954="","",$F954-IF($H954="",0,$H954))</f>
        <v/>
      </c>
      <c r="J954" s="16" t="str">
        <f aca="true">IF(OR($A954="",$I954="",$I954&lt;=0),"",TODAY()-$A954)</f>
        <v/>
      </c>
      <c r="K954" s="10"/>
    </row>
    <row r="955" customFormat="false" ht="15" hidden="false" customHeight="true" outlineLevel="0" collapsed="false">
      <c r="A955" s="13"/>
      <c r="B955" s="10"/>
      <c r="C955" s="10"/>
      <c r="D955" s="14"/>
      <c r="E955" s="11"/>
      <c r="F955" s="15" t="str">
        <f aca="false">IF($B955="","",IF(AND($D955="",$E955=""),"",IF(OR($D955="",$E955=""),0,ROUND($D955*$E955,0))))</f>
        <v/>
      </c>
      <c r="G955" s="13"/>
      <c r="H955" s="11"/>
      <c r="I955" s="15" t="str">
        <f aca="false">IF($F955="","",$F955-IF($H955="",0,$H955))</f>
        <v/>
      </c>
      <c r="J955" s="16" t="str">
        <f aca="true">IF(OR($A955="",$I955="",$I955&lt;=0),"",TODAY()-$A955)</f>
        <v/>
      </c>
      <c r="K955" s="10"/>
    </row>
    <row r="956" customFormat="false" ht="15" hidden="false" customHeight="true" outlineLevel="0" collapsed="false">
      <c r="A956" s="13"/>
      <c r="B956" s="10"/>
      <c r="C956" s="10"/>
      <c r="D956" s="14"/>
      <c r="E956" s="11"/>
      <c r="F956" s="15" t="str">
        <f aca="false">IF($B956="","",IF(AND($D956="",$E956=""),"",IF(OR($D956="",$E956=""),0,ROUND($D956*$E956,0))))</f>
        <v/>
      </c>
      <c r="G956" s="13"/>
      <c r="H956" s="11"/>
      <c r="I956" s="15" t="str">
        <f aca="false">IF($F956="","",$F956-IF($H956="",0,$H956))</f>
        <v/>
      </c>
      <c r="J956" s="16" t="str">
        <f aca="true">IF(OR($A956="",$I956="",$I956&lt;=0),"",TODAY()-$A956)</f>
        <v/>
      </c>
      <c r="K956" s="10"/>
    </row>
    <row r="957" customFormat="false" ht="15" hidden="false" customHeight="true" outlineLevel="0" collapsed="false">
      <c r="A957" s="13"/>
      <c r="B957" s="10"/>
      <c r="C957" s="10"/>
      <c r="D957" s="14"/>
      <c r="E957" s="11"/>
      <c r="F957" s="15" t="str">
        <f aca="false">IF($B957="","",IF(AND($D957="",$E957=""),"",IF(OR($D957="",$E957=""),0,ROUND($D957*$E957,0))))</f>
        <v/>
      </c>
      <c r="G957" s="13"/>
      <c r="H957" s="11"/>
      <c r="I957" s="15" t="str">
        <f aca="false">IF($F957="","",$F957-IF($H957="",0,$H957))</f>
        <v/>
      </c>
      <c r="J957" s="16" t="str">
        <f aca="true">IF(OR($A957="",$I957="",$I957&lt;=0),"",TODAY()-$A957)</f>
        <v/>
      </c>
      <c r="K957" s="10"/>
    </row>
    <row r="958" customFormat="false" ht="15" hidden="false" customHeight="true" outlineLevel="0" collapsed="false">
      <c r="A958" s="13"/>
      <c r="B958" s="10"/>
      <c r="C958" s="10"/>
      <c r="D958" s="14"/>
      <c r="E958" s="11"/>
      <c r="F958" s="15" t="str">
        <f aca="false">IF($B958="","",IF(AND($D958="",$E958=""),"",IF(OR($D958="",$E958=""),0,ROUND($D958*$E958,0))))</f>
        <v/>
      </c>
      <c r="G958" s="13"/>
      <c r="H958" s="11"/>
      <c r="I958" s="15" t="str">
        <f aca="false">IF($F958="","",$F958-IF($H958="",0,$H958))</f>
        <v/>
      </c>
      <c r="J958" s="16" t="str">
        <f aca="true">IF(OR($A958="",$I958="",$I958&lt;=0),"",TODAY()-$A958)</f>
        <v/>
      </c>
      <c r="K958" s="10"/>
    </row>
    <row r="959" customFormat="false" ht="15" hidden="false" customHeight="true" outlineLevel="0" collapsed="false">
      <c r="A959" s="13"/>
      <c r="B959" s="10"/>
      <c r="C959" s="10"/>
      <c r="D959" s="14"/>
      <c r="E959" s="11"/>
      <c r="F959" s="15" t="str">
        <f aca="false">IF($B959="","",IF(AND($D959="",$E959=""),"",IF(OR($D959="",$E959=""),0,ROUND($D959*$E959,0))))</f>
        <v/>
      </c>
      <c r="G959" s="13"/>
      <c r="H959" s="11"/>
      <c r="I959" s="15" t="str">
        <f aca="false">IF($F959="","",$F959-IF($H959="",0,$H959))</f>
        <v/>
      </c>
      <c r="J959" s="16" t="str">
        <f aca="true">IF(OR($A959="",$I959="",$I959&lt;=0),"",TODAY()-$A959)</f>
        <v/>
      </c>
      <c r="K959" s="10"/>
    </row>
    <row r="960" customFormat="false" ht="15" hidden="false" customHeight="true" outlineLevel="0" collapsed="false">
      <c r="A960" s="13"/>
      <c r="B960" s="10"/>
      <c r="C960" s="10"/>
      <c r="D960" s="14"/>
      <c r="E960" s="11"/>
      <c r="F960" s="15" t="str">
        <f aca="false">IF($B960="","",IF(AND($D960="",$E960=""),"",IF(OR($D960="",$E960=""),0,ROUND($D960*$E960,0))))</f>
        <v/>
      </c>
      <c r="G960" s="13"/>
      <c r="H960" s="11"/>
      <c r="I960" s="15" t="str">
        <f aca="false">IF($F960="","",$F960-IF($H960="",0,$H960))</f>
        <v/>
      </c>
      <c r="J960" s="16" t="str">
        <f aca="true">IF(OR($A960="",$I960="",$I960&lt;=0),"",TODAY()-$A960)</f>
        <v/>
      </c>
      <c r="K960" s="10"/>
    </row>
    <row r="961" customFormat="false" ht="15" hidden="false" customHeight="true" outlineLevel="0" collapsed="false">
      <c r="A961" s="13"/>
      <c r="B961" s="10"/>
      <c r="C961" s="10"/>
      <c r="D961" s="14"/>
      <c r="E961" s="11"/>
      <c r="F961" s="15" t="str">
        <f aca="false">IF($B961="","",IF(AND($D961="",$E961=""),"",IF(OR($D961="",$E961=""),0,ROUND($D961*$E961,0))))</f>
        <v/>
      </c>
      <c r="G961" s="13"/>
      <c r="H961" s="11"/>
      <c r="I961" s="15" t="str">
        <f aca="false">IF($F961="","",$F961-IF($H961="",0,$H961))</f>
        <v/>
      </c>
      <c r="J961" s="16" t="str">
        <f aca="true">IF(OR($A961="",$I961="",$I961&lt;=0),"",TODAY()-$A961)</f>
        <v/>
      </c>
      <c r="K961" s="10"/>
    </row>
    <row r="962" customFormat="false" ht="15" hidden="false" customHeight="true" outlineLevel="0" collapsed="false">
      <c r="A962" s="13"/>
      <c r="B962" s="10"/>
      <c r="C962" s="10"/>
      <c r="D962" s="14"/>
      <c r="E962" s="11"/>
      <c r="F962" s="15" t="str">
        <f aca="false">IF($B962="","",IF(AND($D962="",$E962=""),"",IF(OR($D962="",$E962=""),0,ROUND($D962*$E962,0))))</f>
        <v/>
      </c>
      <c r="G962" s="13"/>
      <c r="H962" s="11"/>
      <c r="I962" s="15" t="str">
        <f aca="false">IF($F962="","",$F962-IF($H962="",0,$H962))</f>
        <v/>
      </c>
      <c r="J962" s="16" t="str">
        <f aca="true">IF(OR($A962="",$I962="",$I962&lt;=0),"",TODAY()-$A962)</f>
        <v/>
      </c>
      <c r="K962" s="10"/>
    </row>
    <row r="963" customFormat="false" ht="15" hidden="false" customHeight="true" outlineLevel="0" collapsed="false">
      <c r="A963" s="13"/>
      <c r="B963" s="10"/>
      <c r="C963" s="10"/>
      <c r="D963" s="14"/>
      <c r="E963" s="11"/>
      <c r="F963" s="15" t="str">
        <f aca="false">IF($B963="","",IF(AND($D963="",$E963=""),"",IF(OR($D963="",$E963=""),0,ROUND($D963*$E963,0))))</f>
        <v/>
      </c>
      <c r="G963" s="13"/>
      <c r="H963" s="11"/>
      <c r="I963" s="15" t="str">
        <f aca="false">IF($F963="","",$F963-IF($H963="",0,$H963))</f>
        <v/>
      </c>
      <c r="J963" s="16" t="str">
        <f aca="true">IF(OR($A963="",$I963="",$I963&lt;=0),"",TODAY()-$A963)</f>
        <v/>
      </c>
      <c r="K963" s="10"/>
    </row>
    <row r="964" customFormat="false" ht="15" hidden="false" customHeight="true" outlineLevel="0" collapsed="false">
      <c r="A964" s="13"/>
      <c r="B964" s="10"/>
      <c r="C964" s="10"/>
      <c r="D964" s="14"/>
      <c r="E964" s="11"/>
      <c r="F964" s="15" t="str">
        <f aca="false">IF($B964="","",IF(AND($D964="",$E964=""),"",IF(OR($D964="",$E964=""),0,ROUND($D964*$E964,0))))</f>
        <v/>
      </c>
      <c r="G964" s="13"/>
      <c r="H964" s="11"/>
      <c r="I964" s="15" t="str">
        <f aca="false">IF($F964="","",$F964-IF($H964="",0,$H964))</f>
        <v/>
      </c>
      <c r="J964" s="16" t="str">
        <f aca="true">IF(OR($A964="",$I964="",$I964&lt;=0),"",TODAY()-$A964)</f>
        <v/>
      </c>
      <c r="K964" s="10"/>
    </row>
    <row r="965" customFormat="false" ht="15" hidden="false" customHeight="true" outlineLevel="0" collapsed="false">
      <c r="A965" s="13"/>
      <c r="B965" s="10"/>
      <c r="C965" s="10"/>
      <c r="D965" s="14"/>
      <c r="E965" s="11"/>
      <c r="F965" s="15" t="str">
        <f aca="false">IF($B965="","",IF(AND($D965="",$E965=""),"",IF(OR($D965="",$E965=""),0,ROUND($D965*$E965,0))))</f>
        <v/>
      </c>
      <c r="G965" s="13"/>
      <c r="H965" s="11"/>
      <c r="I965" s="15" t="str">
        <f aca="false">IF($F965="","",$F965-IF($H965="",0,$H965))</f>
        <v/>
      </c>
      <c r="J965" s="16" t="str">
        <f aca="true">IF(OR($A965="",$I965="",$I965&lt;=0),"",TODAY()-$A965)</f>
        <v/>
      </c>
      <c r="K965" s="10"/>
    </row>
    <row r="966" customFormat="false" ht="15" hidden="false" customHeight="true" outlineLevel="0" collapsed="false">
      <c r="A966" s="13"/>
      <c r="B966" s="10"/>
      <c r="C966" s="10"/>
      <c r="D966" s="14"/>
      <c r="E966" s="11"/>
      <c r="F966" s="15" t="str">
        <f aca="false">IF($B966="","",IF(AND($D966="",$E966=""),"",IF(OR($D966="",$E966=""),0,ROUND($D966*$E966,0))))</f>
        <v/>
      </c>
      <c r="G966" s="13"/>
      <c r="H966" s="11"/>
      <c r="I966" s="15" t="str">
        <f aca="false">IF($F966="","",$F966-IF($H966="",0,$H966))</f>
        <v/>
      </c>
      <c r="J966" s="16" t="str">
        <f aca="true">IF(OR($A966="",$I966="",$I966&lt;=0),"",TODAY()-$A966)</f>
        <v/>
      </c>
      <c r="K966" s="10"/>
    </row>
    <row r="967" customFormat="false" ht="15" hidden="false" customHeight="true" outlineLevel="0" collapsed="false">
      <c r="A967" s="13"/>
      <c r="B967" s="10"/>
      <c r="C967" s="10"/>
      <c r="D967" s="14"/>
      <c r="E967" s="11"/>
      <c r="F967" s="15" t="str">
        <f aca="false">IF($B967="","",IF(AND($D967="",$E967=""),"",IF(OR($D967="",$E967=""),0,ROUND($D967*$E967,0))))</f>
        <v/>
      </c>
      <c r="G967" s="13"/>
      <c r="H967" s="11"/>
      <c r="I967" s="15" t="str">
        <f aca="false">IF($F967="","",$F967-IF($H967="",0,$H967))</f>
        <v/>
      </c>
      <c r="J967" s="16" t="str">
        <f aca="true">IF(OR($A967="",$I967="",$I967&lt;=0),"",TODAY()-$A967)</f>
        <v/>
      </c>
      <c r="K967" s="10"/>
    </row>
    <row r="968" customFormat="false" ht="15" hidden="false" customHeight="true" outlineLevel="0" collapsed="false">
      <c r="A968" s="13"/>
      <c r="B968" s="10"/>
      <c r="C968" s="10"/>
      <c r="D968" s="14"/>
      <c r="E968" s="11"/>
      <c r="F968" s="15" t="str">
        <f aca="false">IF($B968="","",IF(AND($D968="",$E968=""),"",IF(OR($D968="",$E968=""),0,ROUND($D968*$E968,0))))</f>
        <v/>
      </c>
      <c r="G968" s="13"/>
      <c r="H968" s="11"/>
      <c r="I968" s="15" t="str">
        <f aca="false">IF($F968="","",$F968-IF($H968="",0,$H968))</f>
        <v/>
      </c>
      <c r="J968" s="16" t="str">
        <f aca="true">IF(OR($A968="",$I968="",$I968&lt;=0),"",TODAY()-$A968)</f>
        <v/>
      </c>
      <c r="K968" s="10"/>
    </row>
    <row r="969" customFormat="false" ht="15" hidden="false" customHeight="true" outlineLevel="0" collapsed="false">
      <c r="A969" s="13"/>
      <c r="B969" s="10"/>
      <c r="C969" s="10"/>
      <c r="D969" s="14"/>
      <c r="E969" s="11"/>
      <c r="F969" s="15" t="str">
        <f aca="false">IF($B969="","",IF(AND($D969="",$E969=""),"",IF(OR($D969="",$E969=""),0,ROUND($D969*$E969,0))))</f>
        <v/>
      </c>
      <c r="G969" s="13"/>
      <c r="H969" s="11"/>
      <c r="I969" s="15" t="str">
        <f aca="false">IF($F969="","",$F969-IF($H969="",0,$H969))</f>
        <v/>
      </c>
      <c r="J969" s="16" t="str">
        <f aca="true">IF(OR($A969="",$I969="",$I969&lt;=0),"",TODAY()-$A969)</f>
        <v/>
      </c>
      <c r="K969" s="10"/>
    </row>
    <row r="970" customFormat="false" ht="15" hidden="false" customHeight="true" outlineLevel="0" collapsed="false">
      <c r="A970" s="13"/>
      <c r="B970" s="10"/>
      <c r="C970" s="10"/>
      <c r="D970" s="14"/>
      <c r="E970" s="11"/>
      <c r="F970" s="15" t="str">
        <f aca="false">IF($B970="","",IF(AND($D970="",$E970=""),"",IF(OR($D970="",$E970=""),0,ROUND($D970*$E970,0))))</f>
        <v/>
      </c>
      <c r="G970" s="13"/>
      <c r="H970" s="11"/>
      <c r="I970" s="15" t="str">
        <f aca="false">IF($F970="","",$F970-IF($H970="",0,$H970))</f>
        <v/>
      </c>
      <c r="J970" s="16" t="str">
        <f aca="true">IF(OR($A970="",$I970="",$I970&lt;=0),"",TODAY()-$A970)</f>
        <v/>
      </c>
      <c r="K970" s="10"/>
    </row>
    <row r="971" customFormat="false" ht="15" hidden="false" customHeight="true" outlineLevel="0" collapsed="false">
      <c r="A971" s="13"/>
      <c r="B971" s="10"/>
      <c r="C971" s="10"/>
      <c r="D971" s="14"/>
      <c r="E971" s="11"/>
      <c r="F971" s="15" t="str">
        <f aca="false">IF($B971="","",IF(AND($D971="",$E971=""),"",IF(OR($D971="",$E971=""),0,ROUND($D971*$E971,0))))</f>
        <v/>
      </c>
      <c r="G971" s="13"/>
      <c r="H971" s="11"/>
      <c r="I971" s="15" t="str">
        <f aca="false">IF($F971="","",$F971-IF($H971="",0,$H971))</f>
        <v/>
      </c>
      <c r="J971" s="16" t="str">
        <f aca="true">IF(OR($A971="",$I971="",$I971&lt;=0),"",TODAY()-$A971)</f>
        <v/>
      </c>
      <c r="K971" s="10"/>
    </row>
    <row r="972" customFormat="false" ht="15" hidden="false" customHeight="true" outlineLevel="0" collapsed="false">
      <c r="A972" s="13"/>
      <c r="B972" s="10"/>
      <c r="C972" s="10"/>
      <c r="D972" s="14"/>
      <c r="E972" s="11"/>
      <c r="F972" s="15" t="str">
        <f aca="false">IF($B972="","",IF(AND($D972="",$E972=""),"",IF(OR($D972="",$E972=""),0,ROUND($D972*$E972,0))))</f>
        <v/>
      </c>
      <c r="G972" s="13"/>
      <c r="H972" s="11"/>
      <c r="I972" s="15" t="str">
        <f aca="false">IF($F972="","",$F972-IF($H972="",0,$H972))</f>
        <v/>
      </c>
      <c r="J972" s="16" t="str">
        <f aca="true">IF(OR($A972="",$I972="",$I972&lt;=0),"",TODAY()-$A972)</f>
        <v/>
      </c>
      <c r="K972" s="10"/>
    </row>
    <row r="973" customFormat="false" ht="15" hidden="false" customHeight="true" outlineLevel="0" collapsed="false">
      <c r="A973" s="13"/>
      <c r="B973" s="10"/>
      <c r="C973" s="10"/>
      <c r="D973" s="14"/>
      <c r="E973" s="11"/>
      <c r="F973" s="15" t="str">
        <f aca="false">IF($B973="","",IF(AND($D973="",$E973=""),"",IF(OR($D973="",$E973=""),0,ROUND($D973*$E973,0))))</f>
        <v/>
      </c>
      <c r="G973" s="13"/>
      <c r="H973" s="11"/>
      <c r="I973" s="15" t="str">
        <f aca="false">IF($F973="","",$F973-IF($H973="",0,$H973))</f>
        <v/>
      </c>
      <c r="J973" s="16" t="str">
        <f aca="true">IF(OR($A973="",$I973="",$I973&lt;=0),"",TODAY()-$A973)</f>
        <v/>
      </c>
      <c r="K973" s="10"/>
    </row>
    <row r="974" customFormat="false" ht="15" hidden="false" customHeight="true" outlineLevel="0" collapsed="false">
      <c r="A974" s="13"/>
      <c r="B974" s="10"/>
      <c r="C974" s="10"/>
      <c r="D974" s="14"/>
      <c r="E974" s="11"/>
      <c r="F974" s="15" t="str">
        <f aca="false">IF($B974="","",IF(AND($D974="",$E974=""),"",IF(OR($D974="",$E974=""),0,ROUND($D974*$E974,0))))</f>
        <v/>
      </c>
      <c r="G974" s="13"/>
      <c r="H974" s="11"/>
      <c r="I974" s="15" t="str">
        <f aca="false">IF($F974="","",$F974-IF($H974="",0,$H974))</f>
        <v/>
      </c>
      <c r="J974" s="16" t="str">
        <f aca="true">IF(OR($A974="",$I974="",$I974&lt;=0),"",TODAY()-$A974)</f>
        <v/>
      </c>
      <c r="K974" s="10"/>
    </row>
    <row r="975" customFormat="false" ht="15" hidden="false" customHeight="true" outlineLevel="0" collapsed="false">
      <c r="A975" s="13"/>
      <c r="B975" s="10"/>
      <c r="C975" s="10"/>
      <c r="D975" s="14"/>
      <c r="E975" s="11"/>
      <c r="F975" s="15" t="str">
        <f aca="false">IF($B975="","",IF(AND($D975="",$E975=""),"",IF(OR($D975="",$E975=""),0,ROUND($D975*$E975,0))))</f>
        <v/>
      </c>
      <c r="G975" s="13"/>
      <c r="H975" s="11"/>
      <c r="I975" s="15" t="str">
        <f aca="false">IF($F975="","",$F975-IF($H975="",0,$H975))</f>
        <v/>
      </c>
      <c r="J975" s="16" t="str">
        <f aca="true">IF(OR($A975="",$I975="",$I975&lt;=0),"",TODAY()-$A975)</f>
        <v/>
      </c>
      <c r="K975" s="10"/>
    </row>
    <row r="976" customFormat="false" ht="15" hidden="false" customHeight="true" outlineLevel="0" collapsed="false">
      <c r="A976" s="13"/>
      <c r="B976" s="10"/>
      <c r="C976" s="10"/>
      <c r="D976" s="14"/>
      <c r="E976" s="11"/>
      <c r="F976" s="15" t="str">
        <f aca="false">IF($B976="","",IF(AND($D976="",$E976=""),"",IF(OR($D976="",$E976=""),0,ROUND($D976*$E976,0))))</f>
        <v/>
      </c>
      <c r="G976" s="13"/>
      <c r="H976" s="11"/>
      <c r="I976" s="15" t="str">
        <f aca="false">IF($F976="","",$F976-IF($H976="",0,$H976))</f>
        <v/>
      </c>
      <c r="J976" s="16" t="str">
        <f aca="true">IF(OR($A976="",$I976="",$I976&lt;=0),"",TODAY()-$A976)</f>
        <v/>
      </c>
      <c r="K976" s="10"/>
    </row>
    <row r="977" customFormat="false" ht="15" hidden="false" customHeight="true" outlineLevel="0" collapsed="false">
      <c r="A977" s="13"/>
      <c r="B977" s="10"/>
      <c r="C977" s="10"/>
      <c r="D977" s="14"/>
      <c r="E977" s="11"/>
      <c r="F977" s="15" t="str">
        <f aca="false">IF($B977="","",IF(AND($D977="",$E977=""),"",IF(OR($D977="",$E977=""),0,ROUND($D977*$E977,0))))</f>
        <v/>
      </c>
      <c r="G977" s="13"/>
      <c r="H977" s="11"/>
      <c r="I977" s="15" t="str">
        <f aca="false">IF($F977="","",$F977-IF($H977="",0,$H977))</f>
        <v/>
      </c>
      <c r="J977" s="16" t="str">
        <f aca="true">IF(OR($A977="",$I977="",$I977&lt;=0),"",TODAY()-$A977)</f>
        <v/>
      </c>
      <c r="K977" s="10"/>
    </row>
    <row r="978" customFormat="false" ht="15" hidden="false" customHeight="true" outlineLevel="0" collapsed="false">
      <c r="A978" s="13"/>
      <c r="B978" s="10"/>
      <c r="C978" s="10"/>
      <c r="D978" s="14"/>
      <c r="E978" s="11"/>
      <c r="F978" s="15" t="str">
        <f aca="false">IF($B978="","",IF(AND($D978="",$E978=""),"",IF(OR($D978="",$E978=""),0,ROUND($D978*$E978,0))))</f>
        <v/>
      </c>
      <c r="G978" s="13"/>
      <c r="H978" s="11"/>
      <c r="I978" s="15" t="str">
        <f aca="false">IF($F978="","",$F978-IF($H978="",0,$H978))</f>
        <v/>
      </c>
      <c r="J978" s="16" t="str">
        <f aca="true">IF(OR($A978="",$I978="",$I978&lt;=0),"",TODAY()-$A978)</f>
        <v/>
      </c>
      <c r="K978" s="10"/>
    </row>
    <row r="979" customFormat="false" ht="15" hidden="false" customHeight="true" outlineLevel="0" collapsed="false">
      <c r="A979" s="13"/>
      <c r="B979" s="10"/>
      <c r="C979" s="10"/>
      <c r="D979" s="14"/>
      <c r="E979" s="11"/>
      <c r="F979" s="15" t="str">
        <f aca="false">IF($B979="","",IF(AND($D979="",$E979=""),"",IF(OR($D979="",$E979=""),0,ROUND($D979*$E979,0))))</f>
        <v/>
      </c>
      <c r="G979" s="13"/>
      <c r="H979" s="11"/>
      <c r="I979" s="15" t="str">
        <f aca="false">IF($F979="","",$F979-IF($H979="",0,$H979))</f>
        <v/>
      </c>
      <c r="J979" s="16" t="str">
        <f aca="true">IF(OR($A979="",$I979="",$I979&lt;=0),"",TODAY()-$A979)</f>
        <v/>
      </c>
      <c r="K979" s="10"/>
    </row>
    <row r="980" customFormat="false" ht="15" hidden="false" customHeight="true" outlineLevel="0" collapsed="false">
      <c r="A980" s="13"/>
      <c r="B980" s="10"/>
      <c r="C980" s="10"/>
      <c r="D980" s="14"/>
      <c r="E980" s="11"/>
      <c r="F980" s="15" t="str">
        <f aca="false">IF($B980="","",IF(AND($D980="",$E980=""),"",IF(OR($D980="",$E980=""),0,ROUND($D980*$E980,0))))</f>
        <v/>
      </c>
      <c r="G980" s="13"/>
      <c r="H980" s="11"/>
      <c r="I980" s="15" t="str">
        <f aca="false">IF($F980="","",$F980-IF($H980="",0,$H980))</f>
        <v/>
      </c>
      <c r="J980" s="16" t="str">
        <f aca="true">IF(OR($A980="",$I980="",$I980&lt;=0),"",TODAY()-$A980)</f>
        <v/>
      </c>
      <c r="K980" s="10"/>
    </row>
    <row r="981" customFormat="false" ht="15" hidden="false" customHeight="true" outlineLevel="0" collapsed="false">
      <c r="A981" s="13"/>
      <c r="B981" s="10"/>
      <c r="C981" s="10"/>
      <c r="D981" s="14"/>
      <c r="E981" s="11"/>
      <c r="F981" s="15" t="str">
        <f aca="false">IF($B981="","",IF(AND($D981="",$E981=""),"",IF(OR($D981="",$E981=""),0,ROUND($D981*$E981,0))))</f>
        <v/>
      </c>
      <c r="G981" s="13"/>
      <c r="H981" s="11"/>
      <c r="I981" s="15" t="str">
        <f aca="false">IF($F981="","",$F981-IF($H981="",0,$H981))</f>
        <v/>
      </c>
      <c r="J981" s="16" t="str">
        <f aca="true">IF(OR($A981="",$I981="",$I981&lt;=0),"",TODAY()-$A981)</f>
        <v/>
      </c>
      <c r="K981" s="10"/>
    </row>
    <row r="982" customFormat="false" ht="15" hidden="false" customHeight="true" outlineLevel="0" collapsed="false">
      <c r="A982" s="13"/>
      <c r="B982" s="10"/>
      <c r="C982" s="10"/>
      <c r="D982" s="14"/>
      <c r="E982" s="11"/>
      <c r="F982" s="15" t="str">
        <f aca="false">IF($B982="","",IF(AND($D982="",$E982=""),"",IF(OR($D982="",$E982=""),0,ROUND($D982*$E982,0))))</f>
        <v/>
      </c>
      <c r="G982" s="13"/>
      <c r="H982" s="11"/>
      <c r="I982" s="15" t="str">
        <f aca="false">IF($F982="","",$F982-IF($H982="",0,$H982))</f>
        <v/>
      </c>
      <c r="J982" s="16" t="str">
        <f aca="true">IF(OR($A982="",$I982="",$I982&lt;=0),"",TODAY()-$A982)</f>
        <v/>
      </c>
      <c r="K982" s="10"/>
    </row>
    <row r="983" customFormat="false" ht="15" hidden="false" customHeight="true" outlineLevel="0" collapsed="false">
      <c r="A983" s="13"/>
      <c r="B983" s="10"/>
      <c r="C983" s="10"/>
      <c r="D983" s="14"/>
      <c r="E983" s="11"/>
      <c r="F983" s="15" t="str">
        <f aca="false">IF($B983="","",IF(AND($D983="",$E983=""),"",IF(OR($D983="",$E983=""),0,ROUND($D983*$E983,0))))</f>
        <v/>
      </c>
      <c r="G983" s="13"/>
      <c r="H983" s="11"/>
      <c r="I983" s="15" t="str">
        <f aca="false">IF($F983="","",$F983-IF($H983="",0,$H983))</f>
        <v/>
      </c>
      <c r="J983" s="16" t="str">
        <f aca="true">IF(OR($A983="",$I983="",$I983&lt;=0),"",TODAY()-$A983)</f>
        <v/>
      </c>
      <c r="K983" s="10"/>
    </row>
    <row r="984" customFormat="false" ht="15" hidden="false" customHeight="true" outlineLevel="0" collapsed="false">
      <c r="A984" s="13"/>
      <c r="B984" s="10"/>
      <c r="C984" s="10"/>
      <c r="D984" s="14"/>
      <c r="E984" s="11"/>
      <c r="F984" s="15" t="str">
        <f aca="false">IF($B984="","",IF(AND($D984="",$E984=""),"",IF(OR($D984="",$E984=""),0,ROUND($D984*$E984,0))))</f>
        <v/>
      </c>
      <c r="G984" s="13"/>
      <c r="H984" s="11"/>
      <c r="I984" s="15" t="str">
        <f aca="false">IF($F984="","",$F984-IF($H984="",0,$H984))</f>
        <v/>
      </c>
      <c r="J984" s="16" t="str">
        <f aca="true">IF(OR($A984="",$I984="",$I984&lt;=0),"",TODAY()-$A984)</f>
        <v/>
      </c>
      <c r="K984" s="10"/>
    </row>
    <row r="985" customFormat="false" ht="15" hidden="false" customHeight="true" outlineLevel="0" collapsed="false">
      <c r="A985" s="13"/>
      <c r="B985" s="10"/>
      <c r="C985" s="10"/>
      <c r="D985" s="14"/>
      <c r="E985" s="11"/>
      <c r="F985" s="15" t="str">
        <f aca="false">IF($B985="","",IF(AND($D985="",$E985=""),"",IF(OR($D985="",$E985=""),0,ROUND($D985*$E985,0))))</f>
        <v/>
      </c>
      <c r="G985" s="13"/>
      <c r="H985" s="11"/>
      <c r="I985" s="15" t="str">
        <f aca="false">IF($F985="","",$F985-IF($H985="",0,$H985))</f>
        <v/>
      </c>
      <c r="J985" s="16" t="str">
        <f aca="true">IF(OR($A985="",$I985="",$I985&lt;=0),"",TODAY()-$A985)</f>
        <v/>
      </c>
      <c r="K985" s="10"/>
    </row>
    <row r="986" customFormat="false" ht="15" hidden="false" customHeight="true" outlineLevel="0" collapsed="false">
      <c r="A986" s="13"/>
      <c r="B986" s="10"/>
      <c r="C986" s="10"/>
      <c r="D986" s="14"/>
      <c r="E986" s="11"/>
      <c r="F986" s="15" t="str">
        <f aca="false">IF($B986="","",IF(AND($D986="",$E986=""),"",IF(OR($D986="",$E986=""),0,ROUND($D986*$E986,0))))</f>
        <v/>
      </c>
      <c r="G986" s="13"/>
      <c r="H986" s="11"/>
      <c r="I986" s="15" t="str">
        <f aca="false">IF($F986="","",$F986-IF($H986="",0,$H986))</f>
        <v/>
      </c>
      <c r="J986" s="16" t="str">
        <f aca="true">IF(OR($A986="",$I986="",$I986&lt;=0),"",TODAY()-$A986)</f>
        <v/>
      </c>
      <c r="K986" s="10"/>
    </row>
    <row r="987" customFormat="false" ht="15" hidden="false" customHeight="true" outlineLevel="0" collapsed="false">
      <c r="A987" s="13"/>
      <c r="B987" s="10"/>
      <c r="C987" s="10"/>
      <c r="D987" s="14"/>
      <c r="E987" s="11"/>
      <c r="F987" s="15" t="str">
        <f aca="false">IF($B987="","",IF(AND($D987="",$E987=""),"",IF(OR($D987="",$E987=""),0,ROUND($D987*$E987,0))))</f>
        <v/>
      </c>
      <c r="G987" s="13"/>
      <c r="H987" s="11"/>
      <c r="I987" s="15" t="str">
        <f aca="false">IF($F987="","",$F987-IF($H987="",0,$H987))</f>
        <v/>
      </c>
      <c r="J987" s="16" t="str">
        <f aca="true">IF(OR($A987="",$I987="",$I987&lt;=0),"",TODAY()-$A987)</f>
        <v/>
      </c>
      <c r="K987" s="10"/>
    </row>
    <row r="988" customFormat="false" ht="15" hidden="false" customHeight="true" outlineLevel="0" collapsed="false">
      <c r="A988" s="13"/>
      <c r="B988" s="10"/>
      <c r="C988" s="10"/>
      <c r="D988" s="14"/>
      <c r="E988" s="11"/>
      <c r="F988" s="15" t="str">
        <f aca="false">IF($B988="","",IF(AND($D988="",$E988=""),"",IF(OR($D988="",$E988=""),0,ROUND($D988*$E988,0))))</f>
        <v/>
      </c>
      <c r="G988" s="13"/>
      <c r="H988" s="11"/>
      <c r="I988" s="15" t="str">
        <f aca="false">IF($F988="","",$F988-IF($H988="",0,$H988))</f>
        <v/>
      </c>
      <c r="J988" s="16" t="str">
        <f aca="true">IF(OR($A988="",$I988="",$I988&lt;=0),"",TODAY()-$A988)</f>
        <v/>
      </c>
      <c r="K988" s="10"/>
    </row>
    <row r="989" customFormat="false" ht="15" hidden="false" customHeight="true" outlineLevel="0" collapsed="false">
      <c r="A989" s="13"/>
      <c r="B989" s="10"/>
      <c r="C989" s="10"/>
      <c r="D989" s="14"/>
      <c r="E989" s="11"/>
      <c r="F989" s="15" t="str">
        <f aca="false">IF($B989="","",IF(AND($D989="",$E989=""),"",IF(OR($D989="",$E989=""),0,ROUND($D989*$E989,0))))</f>
        <v/>
      </c>
      <c r="G989" s="13"/>
      <c r="H989" s="11"/>
      <c r="I989" s="15" t="str">
        <f aca="false">IF($F989="","",$F989-IF($H989="",0,$H989))</f>
        <v/>
      </c>
      <c r="J989" s="16" t="str">
        <f aca="true">IF(OR($A989="",$I989="",$I989&lt;=0),"",TODAY()-$A989)</f>
        <v/>
      </c>
      <c r="K989" s="10"/>
    </row>
    <row r="990" customFormat="false" ht="15" hidden="false" customHeight="true" outlineLevel="0" collapsed="false">
      <c r="A990" s="13"/>
      <c r="B990" s="10"/>
      <c r="C990" s="10"/>
      <c r="D990" s="14"/>
      <c r="E990" s="11"/>
      <c r="F990" s="15" t="str">
        <f aca="false">IF($B990="","",IF(AND($D990="",$E990=""),"",IF(OR($D990="",$E990=""),0,ROUND($D990*$E990,0))))</f>
        <v/>
      </c>
      <c r="G990" s="13"/>
      <c r="H990" s="11"/>
      <c r="I990" s="15" t="str">
        <f aca="false">IF($F990="","",$F990-IF($H990="",0,$H990))</f>
        <v/>
      </c>
      <c r="J990" s="16" t="str">
        <f aca="true">IF(OR($A990="",$I990="",$I990&lt;=0),"",TODAY()-$A990)</f>
        <v/>
      </c>
      <c r="K990" s="10"/>
    </row>
    <row r="991" customFormat="false" ht="15" hidden="false" customHeight="true" outlineLevel="0" collapsed="false">
      <c r="A991" s="13"/>
      <c r="B991" s="10"/>
      <c r="C991" s="10"/>
      <c r="D991" s="14"/>
      <c r="E991" s="11"/>
      <c r="F991" s="15" t="str">
        <f aca="false">IF($B991="","",IF(AND($D991="",$E991=""),"",IF(OR($D991="",$E991=""),0,ROUND($D991*$E991,0))))</f>
        <v/>
      </c>
      <c r="G991" s="13"/>
      <c r="H991" s="11"/>
      <c r="I991" s="15" t="str">
        <f aca="false">IF($F991="","",$F991-IF($H991="",0,$H991))</f>
        <v/>
      </c>
      <c r="J991" s="16" t="str">
        <f aca="true">IF(OR($A991="",$I991="",$I991&lt;=0),"",TODAY()-$A991)</f>
        <v/>
      </c>
      <c r="K991" s="10"/>
    </row>
    <row r="992" customFormat="false" ht="15" hidden="false" customHeight="true" outlineLevel="0" collapsed="false">
      <c r="A992" s="13"/>
      <c r="B992" s="10"/>
      <c r="C992" s="10"/>
      <c r="D992" s="14"/>
      <c r="E992" s="11"/>
      <c r="F992" s="15" t="str">
        <f aca="false">IF($B992="","",IF(AND($D992="",$E992=""),"",IF(OR($D992="",$E992=""),0,ROUND($D992*$E992,0))))</f>
        <v/>
      </c>
      <c r="G992" s="13"/>
      <c r="H992" s="11"/>
      <c r="I992" s="15" t="str">
        <f aca="false">IF($F992="","",$F992-IF($H992="",0,$H992))</f>
        <v/>
      </c>
      <c r="J992" s="16" t="str">
        <f aca="true">IF(OR($A992="",$I992="",$I992&lt;=0),"",TODAY()-$A992)</f>
        <v/>
      </c>
      <c r="K992" s="10"/>
    </row>
    <row r="993" customFormat="false" ht="15" hidden="false" customHeight="true" outlineLevel="0" collapsed="false">
      <c r="A993" s="13"/>
      <c r="B993" s="10"/>
      <c r="C993" s="10"/>
      <c r="D993" s="14"/>
      <c r="E993" s="11"/>
      <c r="F993" s="15" t="str">
        <f aca="false">IF($B993="","",IF(AND($D993="",$E993=""),"",IF(OR($D993="",$E993=""),0,ROUND($D993*$E993,0))))</f>
        <v/>
      </c>
      <c r="G993" s="13"/>
      <c r="H993" s="11"/>
      <c r="I993" s="15" t="str">
        <f aca="false">IF($F993="","",$F993-IF($H993="",0,$H993))</f>
        <v/>
      </c>
      <c r="J993" s="16" t="str">
        <f aca="true">IF(OR($A993="",$I993="",$I993&lt;=0),"",TODAY()-$A993)</f>
        <v/>
      </c>
      <c r="K993" s="10"/>
    </row>
    <row r="994" customFormat="false" ht="15" hidden="false" customHeight="true" outlineLevel="0" collapsed="false">
      <c r="A994" s="13"/>
      <c r="B994" s="10"/>
      <c r="C994" s="10"/>
      <c r="D994" s="14"/>
      <c r="E994" s="11"/>
      <c r="F994" s="15" t="str">
        <f aca="false">IF($B994="","",IF(AND($D994="",$E994=""),"",IF(OR($D994="",$E994=""),0,ROUND($D994*$E994,0))))</f>
        <v/>
      </c>
      <c r="G994" s="13"/>
      <c r="H994" s="11"/>
      <c r="I994" s="15" t="str">
        <f aca="false">IF($F994="","",$F994-IF($H994="",0,$H994))</f>
        <v/>
      </c>
      <c r="J994" s="16" t="str">
        <f aca="true">IF(OR($A994="",$I994="",$I994&lt;=0),"",TODAY()-$A994)</f>
        <v/>
      </c>
      <c r="K994" s="10"/>
    </row>
    <row r="995" customFormat="false" ht="15" hidden="false" customHeight="true" outlineLevel="0" collapsed="false">
      <c r="A995" s="13"/>
      <c r="B995" s="10"/>
      <c r="C995" s="10"/>
      <c r="D995" s="14"/>
      <c r="E995" s="11"/>
      <c r="F995" s="15" t="str">
        <f aca="false">IF($B995="","",IF(AND($D995="",$E995=""),"",IF(OR($D995="",$E995=""),0,ROUND($D995*$E995,0))))</f>
        <v/>
      </c>
      <c r="G995" s="13"/>
      <c r="H995" s="11"/>
      <c r="I995" s="15" t="str">
        <f aca="false">IF($F995="","",$F995-IF($H995="",0,$H995))</f>
        <v/>
      </c>
      <c r="J995" s="16" t="str">
        <f aca="true">IF(OR($A995="",$I995="",$I995&lt;=0),"",TODAY()-$A995)</f>
        <v/>
      </c>
      <c r="K995" s="10"/>
    </row>
    <row r="996" customFormat="false" ht="15" hidden="false" customHeight="true" outlineLevel="0" collapsed="false">
      <c r="A996" s="13"/>
      <c r="B996" s="10"/>
      <c r="C996" s="10"/>
      <c r="D996" s="14"/>
      <c r="E996" s="11"/>
      <c r="F996" s="15" t="str">
        <f aca="false">IF($B996="","",IF(AND($D996="",$E996=""),"",IF(OR($D996="",$E996=""),0,ROUND($D996*$E996,0))))</f>
        <v/>
      </c>
      <c r="G996" s="13"/>
      <c r="H996" s="11"/>
      <c r="I996" s="15" t="str">
        <f aca="false">IF($F996="","",$F996-IF($H996="",0,$H996))</f>
        <v/>
      </c>
      <c r="J996" s="16" t="str">
        <f aca="true">IF(OR($A996="",$I996="",$I996&lt;=0),"",TODAY()-$A996)</f>
        <v/>
      </c>
      <c r="K996" s="10"/>
    </row>
    <row r="997" customFormat="false" ht="15" hidden="false" customHeight="true" outlineLevel="0" collapsed="false">
      <c r="A997" s="13"/>
      <c r="B997" s="10"/>
      <c r="C997" s="10"/>
      <c r="D997" s="14"/>
      <c r="E997" s="11"/>
      <c r="F997" s="15" t="str">
        <f aca="false">IF($B997="","",IF(AND($D997="",$E997=""),"",IF(OR($D997="",$E997=""),0,ROUND($D997*$E997,0))))</f>
        <v/>
      </c>
      <c r="G997" s="13"/>
      <c r="H997" s="11"/>
      <c r="I997" s="15" t="str">
        <f aca="false">IF($F997="","",$F997-IF($H997="",0,$H997))</f>
        <v/>
      </c>
      <c r="J997" s="16" t="str">
        <f aca="true">IF(OR($A997="",$I997="",$I997&lt;=0),"",TODAY()-$A997)</f>
        <v/>
      </c>
      <c r="K997" s="10"/>
    </row>
    <row r="998" customFormat="false" ht="15" hidden="false" customHeight="true" outlineLevel="0" collapsed="false">
      <c r="A998" s="13"/>
      <c r="B998" s="10"/>
      <c r="C998" s="10"/>
      <c r="D998" s="14"/>
      <c r="E998" s="11"/>
      <c r="F998" s="15" t="str">
        <f aca="false">IF($B998="","",IF(AND($D998="",$E998=""),"",IF(OR($D998="",$E998=""),0,ROUND($D998*$E998,0))))</f>
        <v/>
      </c>
      <c r="G998" s="13"/>
      <c r="H998" s="11"/>
      <c r="I998" s="15" t="str">
        <f aca="false">IF($F998="","",$F998-IF($H998="",0,$H998))</f>
        <v/>
      </c>
      <c r="J998" s="16" t="str">
        <f aca="true">IF(OR($A998="",$I998="",$I998&lt;=0),"",TODAY()-$A998)</f>
        <v/>
      </c>
      <c r="K998" s="10"/>
    </row>
    <row r="999" customFormat="false" ht="15" hidden="false" customHeight="true" outlineLevel="0" collapsed="false">
      <c r="A999" s="13"/>
      <c r="B999" s="10"/>
      <c r="C999" s="10"/>
      <c r="D999" s="14"/>
      <c r="E999" s="11"/>
      <c r="F999" s="15" t="str">
        <f aca="false">IF($B999="","",IF(AND($D999="",$E999=""),"",IF(OR($D999="",$E999=""),0,ROUND($D999*$E999,0))))</f>
        <v/>
      </c>
      <c r="G999" s="13"/>
      <c r="H999" s="11"/>
      <c r="I999" s="15" t="str">
        <f aca="false">IF($F999="","",$F999-IF($H999="",0,$H999))</f>
        <v/>
      </c>
      <c r="J999" s="16" t="str">
        <f aca="true">IF(OR($A999="",$I999="",$I999&lt;=0),"",TODAY()-$A999)</f>
        <v/>
      </c>
      <c r="K999" s="10"/>
    </row>
    <row r="1000" customFormat="false" ht="15" hidden="false" customHeight="true" outlineLevel="0" collapsed="false">
      <c r="A1000" s="13"/>
      <c r="B1000" s="10"/>
      <c r="C1000" s="10"/>
      <c r="D1000" s="14"/>
      <c r="E1000" s="11"/>
      <c r="F1000" s="15" t="str">
        <f aca="false">IF($B1000="","",IF(AND($D1000="",$E1000=""),"",IF(OR($D1000="",$E1000=""),0,ROUND($D1000*$E1000,0))))</f>
        <v/>
      </c>
      <c r="G1000" s="13"/>
      <c r="H1000" s="11"/>
      <c r="I1000" s="15" t="str">
        <f aca="false">IF($F1000="","",$F1000-IF($H1000="",0,$H1000))</f>
        <v/>
      </c>
      <c r="J1000" s="16" t="str">
        <f aca="true">IF(OR($A1000="",$I1000="",$I1000&lt;=0),"",TODAY()-$A1000)</f>
        <v/>
      </c>
      <c r="K1000" s="10"/>
    </row>
    <row r="1001" customFormat="false" ht="15" hidden="false" customHeight="true" outlineLevel="0" collapsed="false">
      <c r="A1001" s="13"/>
      <c r="B1001" s="10"/>
      <c r="C1001" s="10"/>
      <c r="D1001" s="14"/>
      <c r="E1001" s="11"/>
      <c r="F1001" s="15" t="str">
        <f aca="false">IF($B1001="","",IF(AND($D1001="",$E1001=""),"",IF(OR($D1001="",$E1001=""),0,ROUND($D1001*$E1001,0))))</f>
        <v/>
      </c>
      <c r="G1001" s="13"/>
      <c r="H1001" s="11"/>
      <c r="I1001" s="15" t="str">
        <f aca="false">IF($F1001="","",$F1001-IF($H1001="",0,$H1001))</f>
        <v/>
      </c>
      <c r="J1001" s="16" t="str">
        <f aca="true">IF(OR($A1001="",$I1001="",$I1001&lt;=0),"",TODAY()-$A1001)</f>
        <v/>
      </c>
      <c r="K1001" s="10"/>
    </row>
    <row r="1002" customFormat="false" ht="15" hidden="false" customHeight="true" outlineLevel="0" collapsed="false">
      <c r="A1002" s="13"/>
      <c r="B1002" s="10"/>
      <c r="C1002" s="10"/>
      <c r="D1002" s="14"/>
      <c r="E1002" s="11"/>
      <c r="F1002" s="15" t="str">
        <f aca="false">IF($B1002="","",IF(AND($D1002="",$E1002=""),"",IF(OR($D1002="",$E1002=""),0,ROUND($D1002*$E1002,0))))</f>
        <v/>
      </c>
      <c r="G1002" s="13"/>
      <c r="H1002" s="11"/>
      <c r="I1002" s="15" t="str">
        <f aca="false">IF($F1002="","",$F1002-IF($H1002="",0,$H1002))</f>
        <v/>
      </c>
      <c r="J1002" s="16" t="str">
        <f aca="true">IF(OR($A1002="",$I1002="",$I1002&lt;=0),"",TODAY()-$A1002)</f>
        <v/>
      </c>
      <c r="K1002" s="10"/>
    </row>
    <row r="1003" customFormat="false" ht="15" hidden="false" customHeight="true" outlineLevel="0" collapsed="false">
      <c r="A1003" s="13"/>
      <c r="B1003" s="10"/>
      <c r="C1003" s="10"/>
      <c r="D1003" s="14"/>
      <c r="E1003" s="11"/>
      <c r="F1003" s="15" t="str">
        <f aca="false">IF($B1003="","",IF(AND($D1003="",$E1003=""),"",IF(OR($D1003="",$E1003=""),0,ROUND($D1003*$E1003,0))))</f>
        <v/>
      </c>
      <c r="G1003" s="13"/>
      <c r="H1003" s="11"/>
      <c r="I1003" s="15" t="str">
        <f aca="false">IF($F1003="","",$F1003-IF($H1003="",0,$H1003))</f>
        <v/>
      </c>
      <c r="J1003" s="16" t="str">
        <f aca="true">IF(OR($A1003="",$I1003="",$I1003&lt;=0),"",TODAY()-$A1003)</f>
        <v/>
      </c>
      <c r="K1003" s="10"/>
    </row>
    <row r="1004" customFormat="false" ht="15" hidden="false" customHeight="true" outlineLevel="0" collapsed="false">
      <c r="A1004" s="13"/>
      <c r="B1004" s="10"/>
      <c r="C1004" s="10"/>
      <c r="D1004" s="14"/>
      <c r="E1004" s="11"/>
      <c r="F1004" s="15" t="str">
        <f aca="false">IF($B1004="","",IF(AND($D1004="",$E1004=""),"",IF(OR($D1004="",$E1004=""),0,ROUND($D1004*$E1004,0))))</f>
        <v/>
      </c>
      <c r="G1004" s="13"/>
      <c r="H1004" s="11"/>
      <c r="I1004" s="15" t="str">
        <f aca="false">IF($F1004="","",$F1004-IF($H1004="",0,$H1004))</f>
        <v/>
      </c>
      <c r="J1004" s="16" t="str">
        <f aca="true">IF(OR($A1004="",$I1004="",$I1004&lt;=0),"",TODAY()-$A1004)</f>
        <v/>
      </c>
      <c r="K1004" s="10"/>
    </row>
    <row r="1005" customFormat="false" ht="15" hidden="false" customHeight="true" outlineLevel="0" collapsed="false">
      <c r="A1005" s="13"/>
      <c r="B1005" s="10"/>
      <c r="C1005" s="10"/>
      <c r="D1005" s="14"/>
      <c r="E1005" s="11"/>
      <c r="F1005" s="15" t="str">
        <f aca="false">IF($B1005="","",IF(AND($D1005="",$E1005=""),"",IF(OR($D1005="",$E1005=""),0,ROUND($D1005*$E1005,0))))</f>
        <v/>
      </c>
      <c r="G1005" s="13"/>
      <c r="H1005" s="11"/>
      <c r="I1005" s="15" t="str">
        <f aca="false">IF($F1005="","",$F1005-IF($H1005="",0,$H1005))</f>
        <v/>
      </c>
      <c r="J1005" s="16" t="str">
        <f aca="true">IF(OR($A1005="",$I1005="",$I1005&lt;=0),"",TODAY()-$A1005)</f>
        <v/>
      </c>
      <c r="K1005" s="10"/>
    </row>
    <row r="1006" customFormat="false" ht="15" hidden="false" customHeight="true" outlineLevel="0" collapsed="false">
      <c r="A1006" s="13"/>
      <c r="B1006" s="10"/>
      <c r="C1006" s="10"/>
      <c r="D1006" s="14"/>
      <c r="E1006" s="11"/>
      <c r="F1006" s="15" t="str">
        <f aca="false">IF($B1006="","",IF(AND($D1006="",$E1006=""),"",IF(OR($D1006="",$E1006=""),0,ROUND($D1006*$E1006,0))))</f>
        <v/>
      </c>
      <c r="G1006" s="13"/>
      <c r="H1006" s="11"/>
      <c r="I1006" s="15" t="str">
        <f aca="false">IF($F1006="","",$F1006-IF($H1006="",0,$H1006))</f>
        <v/>
      </c>
      <c r="J1006" s="16" t="str">
        <f aca="true">IF(OR($A1006="",$I1006="",$I1006&lt;=0),"",TODAY()-$A1006)</f>
        <v/>
      </c>
      <c r="K1006" s="10"/>
    </row>
    <row r="1007" customFormat="false" ht="15" hidden="false" customHeight="true" outlineLevel="0" collapsed="false">
      <c r="A1007" s="13"/>
      <c r="B1007" s="10"/>
      <c r="C1007" s="10"/>
      <c r="D1007" s="14"/>
      <c r="E1007" s="11"/>
      <c r="F1007" s="15" t="str">
        <f aca="false">IF($B1007="","",IF(AND($D1007="",$E1007=""),"",IF(OR($D1007="",$E1007=""),0,ROUND($D1007*$E1007,0))))</f>
        <v/>
      </c>
      <c r="G1007" s="13"/>
      <c r="H1007" s="11"/>
      <c r="I1007" s="15" t="str">
        <f aca="false">IF($F1007="","",$F1007-IF($H1007="",0,$H1007))</f>
        <v/>
      </c>
      <c r="J1007" s="16" t="str">
        <f aca="true">IF(OR($A1007="",$I1007="",$I1007&lt;=0),"",TODAY()-$A1007)</f>
        <v/>
      </c>
      <c r="K1007" s="10"/>
    </row>
    <row r="1008" customFormat="false" ht="15" hidden="false" customHeight="true" outlineLevel="0" collapsed="false">
      <c r="A1008" s="13"/>
      <c r="B1008" s="10"/>
      <c r="C1008" s="10"/>
      <c r="D1008" s="14"/>
      <c r="E1008" s="11"/>
      <c r="F1008" s="15" t="str">
        <f aca="false">IF($B1008="","",IF(AND($D1008="",$E1008=""),"",IF(OR($D1008="",$E1008=""),0,ROUND($D1008*$E1008,0))))</f>
        <v/>
      </c>
      <c r="G1008" s="13"/>
      <c r="H1008" s="11"/>
      <c r="I1008" s="15" t="str">
        <f aca="false">IF($F1008="","",$F1008-IF($H1008="",0,$H1008))</f>
        <v/>
      </c>
      <c r="J1008" s="16" t="str">
        <f aca="true">IF(OR($A1008="",$I1008="",$I1008&lt;=0),"",TODAY()-$A1008)</f>
        <v/>
      </c>
      <c r="K1008" s="10"/>
    </row>
    <row r="1009" customFormat="false" ht="15" hidden="false" customHeight="true" outlineLevel="0" collapsed="false">
      <c r="A1009" s="13"/>
      <c r="B1009" s="10"/>
      <c r="C1009" s="10"/>
      <c r="D1009" s="14"/>
      <c r="E1009" s="11"/>
      <c r="F1009" s="15" t="str">
        <f aca="false">IF($B1009="","",IF(AND($D1009="",$E1009=""),"",IF(OR($D1009="",$E1009=""),0,ROUND($D1009*$E1009,0))))</f>
        <v/>
      </c>
      <c r="G1009" s="13"/>
      <c r="H1009" s="11"/>
      <c r="I1009" s="15" t="str">
        <f aca="false">IF($F1009="","",$F1009-IF($H1009="",0,$H1009))</f>
        <v/>
      </c>
      <c r="J1009" s="16" t="str">
        <f aca="true">IF(OR($A1009="",$I1009="",$I1009&lt;=0),"",TODAY()-$A1009)</f>
        <v/>
      </c>
      <c r="K1009" s="10"/>
    </row>
    <row r="1010" customFormat="false" ht="15" hidden="false" customHeight="true" outlineLevel="0" collapsed="false">
      <c r="A1010" s="13"/>
      <c r="B1010" s="10"/>
      <c r="C1010" s="10"/>
      <c r="D1010" s="14"/>
      <c r="E1010" s="11"/>
      <c r="F1010" s="15" t="str">
        <f aca="false">IF($B1010="","",IF(AND($D1010="",$E1010=""),"",IF(OR($D1010="",$E1010=""),0,ROUND($D1010*$E1010,0))))</f>
        <v/>
      </c>
      <c r="G1010" s="13"/>
      <c r="H1010" s="11"/>
      <c r="I1010" s="15" t="str">
        <f aca="false">IF($F1010="","",$F1010-IF($H1010="",0,$H1010))</f>
        <v/>
      </c>
      <c r="J1010" s="16" t="str">
        <f aca="true">IF(OR($A1010="",$I1010="",$I1010&lt;=0),"",TODAY()-$A1010)</f>
        <v/>
      </c>
      <c r="K1010" s="10"/>
    </row>
    <row r="1011" customFormat="false" ht="15" hidden="false" customHeight="true" outlineLevel="0" collapsed="false">
      <c r="A1011" s="13"/>
      <c r="B1011" s="10"/>
      <c r="C1011" s="10"/>
      <c r="D1011" s="14"/>
      <c r="E1011" s="11"/>
      <c r="F1011" s="15" t="str">
        <f aca="false">IF($B1011="","",IF(AND($D1011="",$E1011=""),"",IF(OR($D1011="",$E1011=""),0,ROUND($D1011*$E1011,0))))</f>
        <v/>
      </c>
      <c r="G1011" s="13"/>
      <c r="H1011" s="11"/>
      <c r="I1011" s="15" t="str">
        <f aca="false">IF($F1011="","",$F1011-IF($H1011="",0,$H1011))</f>
        <v/>
      </c>
      <c r="J1011" s="16" t="str">
        <f aca="true">IF(OR($A1011="",$I1011="",$I1011&lt;=0),"",TODAY()-$A1011)</f>
        <v/>
      </c>
      <c r="K1011" s="10"/>
    </row>
    <row r="1012" customFormat="false" ht="15" hidden="false" customHeight="true" outlineLevel="0" collapsed="false">
      <c r="A1012" s="13"/>
      <c r="B1012" s="10"/>
      <c r="C1012" s="10"/>
      <c r="D1012" s="14"/>
      <c r="E1012" s="11"/>
      <c r="F1012" s="15" t="str">
        <f aca="false">IF($B1012="","",IF(AND($D1012="",$E1012=""),"",IF(OR($D1012="",$E1012=""),0,ROUND($D1012*$E1012,0))))</f>
        <v/>
      </c>
      <c r="G1012" s="13"/>
      <c r="H1012" s="11"/>
      <c r="I1012" s="15" t="str">
        <f aca="false">IF($F1012="","",$F1012-IF($H1012="",0,$H1012))</f>
        <v/>
      </c>
      <c r="J1012" s="16" t="str">
        <f aca="true">IF(OR($A1012="",$I1012="",$I1012&lt;=0),"",TODAY()-$A1012)</f>
        <v/>
      </c>
      <c r="K1012" s="10"/>
    </row>
    <row r="1013" customFormat="false" ht="15" hidden="false" customHeight="true" outlineLevel="0" collapsed="false">
      <c r="A1013" s="13"/>
      <c r="B1013" s="10"/>
      <c r="C1013" s="10"/>
      <c r="D1013" s="14"/>
      <c r="E1013" s="11"/>
      <c r="F1013" s="15" t="str">
        <f aca="false">IF($B1013="","",IF(AND($D1013="",$E1013=""),"",IF(OR($D1013="",$E1013=""),0,ROUND($D1013*$E1013,0))))</f>
        <v/>
      </c>
      <c r="G1013" s="13"/>
      <c r="H1013" s="11"/>
      <c r="I1013" s="15" t="str">
        <f aca="false">IF($F1013="","",$F1013-IF($H1013="",0,$H1013))</f>
        <v/>
      </c>
      <c r="J1013" s="16" t="str">
        <f aca="true">IF(OR($A1013="",$I1013="",$I1013&lt;=0),"",TODAY()-$A1013)</f>
        <v/>
      </c>
      <c r="K1013" s="10"/>
    </row>
    <row r="1014" customFormat="false" ht="15" hidden="false" customHeight="true" outlineLevel="0" collapsed="false">
      <c r="A1014" s="13"/>
      <c r="B1014" s="10"/>
      <c r="C1014" s="10"/>
      <c r="D1014" s="14"/>
      <c r="E1014" s="11"/>
      <c r="F1014" s="15" t="str">
        <f aca="false">IF($B1014="","",IF(AND($D1014="",$E1014=""),"",IF(OR($D1014="",$E1014=""),0,ROUND($D1014*$E1014,0))))</f>
        <v/>
      </c>
      <c r="G1014" s="13"/>
      <c r="H1014" s="11"/>
      <c r="I1014" s="15" t="str">
        <f aca="false">IF($F1014="","",$F1014-IF($H1014="",0,$H1014))</f>
        <v/>
      </c>
      <c r="J1014" s="16" t="str">
        <f aca="true">IF(OR($A1014="",$I1014="",$I1014&lt;=0),"",TODAY()-$A1014)</f>
        <v/>
      </c>
      <c r="K1014" s="10"/>
    </row>
    <row r="1015" customFormat="false" ht="15" hidden="false" customHeight="true" outlineLevel="0" collapsed="false">
      <c r="A1015" s="13"/>
      <c r="B1015" s="10"/>
      <c r="C1015" s="10"/>
      <c r="D1015" s="14"/>
      <c r="E1015" s="11"/>
      <c r="F1015" s="15" t="str">
        <f aca="false">IF($B1015="","",IF(AND($D1015="",$E1015=""),"",IF(OR($D1015="",$E1015=""),0,ROUND($D1015*$E1015,0))))</f>
        <v/>
      </c>
      <c r="G1015" s="13"/>
      <c r="H1015" s="11"/>
      <c r="I1015" s="15" t="str">
        <f aca="false">IF($F1015="","",$F1015-IF($H1015="",0,$H1015))</f>
        <v/>
      </c>
      <c r="J1015" s="16" t="str">
        <f aca="true">IF(OR($A1015="",$I1015="",$I1015&lt;=0),"",TODAY()-$A1015)</f>
        <v/>
      </c>
      <c r="K1015" s="10"/>
    </row>
    <row r="1016" customFormat="false" ht="15" hidden="false" customHeight="true" outlineLevel="0" collapsed="false">
      <c r="A1016" s="13"/>
      <c r="B1016" s="10"/>
      <c r="C1016" s="10"/>
      <c r="D1016" s="14"/>
      <c r="E1016" s="11"/>
      <c r="F1016" s="15" t="str">
        <f aca="false">IF($B1016="","",IF(AND($D1016="",$E1016=""),"",IF(OR($D1016="",$E1016=""),0,ROUND($D1016*$E1016,0))))</f>
        <v/>
      </c>
      <c r="G1016" s="13"/>
      <c r="H1016" s="11"/>
      <c r="I1016" s="15" t="str">
        <f aca="false">IF($F1016="","",$F1016-IF($H1016="",0,$H1016))</f>
        <v/>
      </c>
      <c r="J1016" s="16" t="str">
        <f aca="true">IF(OR($A1016="",$I1016="",$I1016&lt;=0),"",TODAY()-$A1016)</f>
        <v/>
      </c>
      <c r="K1016" s="10"/>
    </row>
    <row r="1017" customFormat="false" ht="15" hidden="false" customHeight="true" outlineLevel="0" collapsed="false">
      <c r="A1017" s="13"/>
      <c r="B1017" s="10"/>
      <c r="C1017" s="10"/>
      <c r="D1017" s="14"/>
      <c r="E1017" s="11"/>
      <c r="F1017" s="15" t="str">
        <f aca="false">IF($B1017="","",IF(AND($D1017="",$E1017=""),"",IF(OR($D1017="",$E1017=""),0,ROUND($D1017*$E1017,0))))</f>
        <v/>
      </c>
      <c r="G1017" s="13"/>
      <c r="H1017" s="11"/>
      <c r="I1017" s="15" t="str">
        <f aca="false">IF($F1017="","",$F1017-IF($H1017="",0,$H1017))</f>
        <v/>
      </c>
      <c r="J1017" s="16" t="str">
        <f aca="true">IF(OR($A1017="",$I1017="",$I1017&lt;=0),"",TODAY()-$A1017)</f>
        <v/>
      </c>
      <c r="K1017" s="10"/>
    </row>
    <row r="1018" customFormat="false" ht="15" hidden="false" customHeight="true" outlineLevel="0" collapsed="false">
      <c r="A1018" s="13"/>
      <c r="B1018" s="10"/>
      <c r="C1018" s="10"/>
      <c r="D1018" s="14"/>
      <c r="E1018" s="11"/>
      <c r="F1018" s="15" t="str">
        <f aca="false">IF($B1018="","",IF(AND($D1018="",$E1018=""),"",IF(OR($D1018="",$E1018=""),0,ROUND($D1018*$E1018,0))))</f>
        <v/>
      </c>
      <c r="G1018" s="13"/>
      <c r="H1018" s="11"/>
      <c r="I1018" s="15" t="str">
        <f aca="false">IF($F1018="","",$F1018-IF($H1018="",0,$H1018))</f>
        <v/>
      </c>
      <c r="J1018" s="16" t="str">
        <f aca="true">IF(OR($A1018="",$I1018="",$I1018&lt;=0),"",TODAY()-$A1018)</f>
        <v/>
      </c>
      <c r="K1018" s="10"/>
    </row>
    <row r="1019" customFormat="false" ht="15" hidden="false" customHeight="true" outlineLevel="0" collapsed="false">
      <c r="A1019" s="13"/>
      <c r="B1019" s="10"/>
      <c r="C1019" s="10"/>
      <c r="D1019" s="14"/>
      <c r="E1019" s="11"/>
      <c r="F1019" s="15" t="str">
        <f aca="false">IF($B1019="","",IF(AND($D1019="",$E1019=""),"",IF(OR($D1019="",$E1019=""),0,ROUND($D1019*$E1019,0))))</f>
        <v/>
      </c>
      <c r="G1019" s="13"/>
      <c r="H1019" s="11"/>
      <c r="I1019" s="15" t="str">
        <f aca="false">IF($F1019="","",$F1019-IF($H1019="",0,$H1019))</f>
        <v/>
      </c>
      <c r="J1019" s="16" t="str">
        <f aca="true">IF(OR($A1019="",$I1019="",$I1019&lt;=0),"",TODAY()-$A1019)</f>
        <v/>
      </c>
      <c r="K1019" s="10"/>
    </row>
    <row r="1020" customFormat="false" ht="15" hidden="false" customHeight="true" outlineLevel="0" collapsed="false">
      <c r="A1020" s="13"/>
      <c r="B1020" s="10"/>
      <c r="C1020" s="10"/>
      <c r="D1020" s="14"/>
      <c r="E1020" s="11"/>
      <c r="F1020" s="15" t="str">
        <f aca="false">IF($B1020="","",IF(AND($D1020="",$E1020=""),"",IF(OR($D1020="",$E1020=""),0,ROUND($D1020*$E1020,0))))</f>
        <v/>
      </c>
      <c r="G1020" s="13"/>
      <c r="H1020" s="11"/>
      <c r="I1020" s="15" t="str">
        <f aca="false">IF($F1020="","",$F1020-IF($H1020="",0,$H1020))</f>
        <v/>
      </c>
      <c r="J1020" s="16" t="str">
        <f aca="true">IF(OR($A1020="",$I1020="",$I1020&lt;=0),"",TODAY()-$A1020)</f>
        <v/>
      </c>
      <c r="K1020" s="10"/>
    </row>
    <row r="1021" customFormat="false" ht="15" hidden="false" customHeight="true" outlineLevel="0" collapsed="false">
      <c r="A1021" s="13"/>
      <c r="B1021" s="10"/>
      <c r="C1021" s="10"/>
      <c r="D1021" s="14"/>
      <c r="E1021" s="11"/>
      <c r="F1021" s="15" t="str">
        <f aca="false">IF($B1021="","",IF(AND($D1021="",$E1021=""),"",IF(OR($D1021="",$E1021=""),0,ROUND($D1021*$E1021,0))))</f>
        <v/>
      </c>
      <c r="G1021" s="13"/>
      <c r="H1021" s="11"/>
      <c r="I1021" s="15" t="str">
        <f aca="false">IF($F1021="","",$F1021-IF($H1021="",0,$H1021))</f>
        <v/>
      </c>
      <c r="J1021" s="16" t="str">
        <f aca="true">IF(OR($A1021="",$I1021="",$I1021&lt;=0),"",TODAY()-$A1021)</f>
        <v/>
      </c>
      <c r="K1021" s="10"/>
    </row>
    <row r="1022" customFormat="false" ht="15" hidden="false" customHeight="true" outlineLevel="0" collapsed="false">
      <c r="A1022" s="13"/>
      <c r="B1022" s="10"/>
      <c r="C1022" s="10"/>
      <c r="D1022" s="14"/>
      <c r="E1022" s="11"/>
      <c r="F1022" s="15" t="str">
        <f aca="false">IF($B1022="","",IF(AND($D1022="",$E1022=""),"",IF(OR($D1022="",$E1022=""),0,ROUND($D1022*$E1022,0))))</f>
        <v/>
      </c>
      <c r="G1022" s="13"/>
      <c r="H1022" s="11"/>
      <c r="I1022" s="15" t="str">
        <f aca="false">IF($F1022="","",$F1022-IF($H1022="",0,$H1022))</f>
        <v/>
      </c>
      <c r="J1022" s="16" t="str">
        <f aca="true">IF(OR($A1022="",$I1022="",$I1022&lt;=0),"",TODAY()-$A1022)</f>
        <v/>
      </c>
      <c r="K1022" s="10"/>
    </row>
    <row r="1023" customFormat="false" ht="15" hidden="false" customHeight="true" outlineLevel="0" collapsed="false">
      <c r="A1023" s="13"/>
      <c r="B1023" s="10"/>
      <c r="C1023" s="10"/>
      <c r="D1023" s="14"/>
      <c r="E1023" s="11"/>
      <c r="F1023" s="15" t="str">
        <f aca="false">IF($B1023="","",IF(AND($D1023="",$E1023=""),"",IF(OR($D1023="",$E1023=""),0,ROUND($D1023*$E1023,0))))</f>
        <v/>
      </c>
      <c r="G1023" s="13"/>
      <c r="H1023" s="11"/>
      <c r="I1023" s="15" t="str">
        <f aca="false">IF($F1023="","",$F1023-IF($H1023="",0,$H1023))</f>
        <v/>
      </c>
      <c r="J1023" s="16" t="str">
        <f aca="true">IF(OR($A1023="",$I1023="",$I1023&lt;=0),"",TODAY()-$A1023)</f>
        <v/>
      </c>
      <c r="K1023" s="10"/>
    </row>
    <row r="1024" customFormat="false" ht="15" hidden="false" customHeight="true" outlineLevel="0" collapsed="false">
      <c r="A1024" s="13"/>
      <c r="B1024" s="10"/>
      <c r="C1024" s="10"/>
      <c r="D1024" s="14"/>
      <c r="E1024" s="11"/>
      <c r="F1024" s="15" t="str">
        <f aca="false">IF($B1024="","",IF(AND($D1024="",$E1024=""),"",IF(OR($D1024="",$E1024=""),0,ROUND($D1024*$E1024,0))))</f>
        <v/>
      </c>
      <c r="G1024" s="13"/>
      <c r="H1024" s="11"/>
      <c r="I1024" s="15" t="str">
        <f aca="false">IF($F1024="","",$F1024-IF($H1024="",0,$H1024))</f>
        <v/>
      </c>
      <c r="J1024" s="16" t="str">
        <f aca="true">IF(OR($A1024="",$I1024="",$I1024&lt;=0),"",TODAY()-$A1024)</f>
        <v/>
      </c>
      <c r="K1024" s="10"/>
    </row>
    <row r="1025" customFormat="false" ht="15" hidden="false" customHeight="true" outlineLevel="0" collapsed="false">
      <c r="A1025" s="13"/>
      <c r="B1025" s="10"/>
      <c r="C1025" s="10"/>
      <c r="D1025" s="14"/>
      <c r="E1025" s="11"/>
      <c r="F1025" s="15" t="str">
        <f aca="false">IF($B1025="","",IF(AND($D1025="",$E1025=""),"",IF(OR($D1025="",$E1025=""),0,ROUND($D1025*$E1025,0))))</f>
        <v/>
      </c>
      <c r="G1025" s="13"/>
      <c r="H1025" s="11"/>
      <c r="I1025" s="15" t="str">
        <f aca="false">IF($F1025="","",$F1025-IF($H1025="",0,$H1025))</f>
        <v/>
      </c>
      <c r="J1025" s="16" t="str">
        <f aca="true">IF(OR($A1025="",$I1025="",$I1025&lt;=0),"",TODAY()-$A1025)</f>
        <v/>
      </c>
      <c r="K1025" s="10"/>
    </row>
    <row r="1026" customFormat="false" ht="15" hidden="false" customHeight="true" outlineLevel="0" collapsed="false">
      <c r="A1026" s="13"/>
      <c r="B1026" s="10"/>
      <c r="C1026" s="10"/>
      <c r="D1026" s="14"/>
      <c r="E1026" s="11"/>
      <c r="F1026" s="15" t="str">
        <f aca="false">IF($B1026="","",IF(AND($D1026="",$E1026=""),"",IF(OR($D1026="",$E1026=""),0,ROUND($D1026*$E1026,0))))</f>
        <v/>
      </c>
      <c r="G1026" s="13"/>
      <c r="H1026" s="11"/>
      <c r="I1026" s="15" t="str">
        <f aca="false">IF($F1026="","",$F1026-IF($H1026="",0,$H1026))</f>
        <v/>
      </c>
      <c r="J1026" s="16" t="str">
        <f aca="true">IF(OR($A1026="",$I1026="",$I1026&lt;=0),"",TODAY()-$A1026)</f>
        <v/>
      </c>
      <c r="K1026" s="10"/>
    </row>
    <row r="1027" customFormat="false" ht="15" hidden="false" customHeight="true" outlineLevel="0" collapsed="false">
      <c r="A1027" s="13"/>
      <c r="B1027" s="10"/>
      <c r="C1027" s="10"/>
      <c r="D1027" s="14"/>
      <c r="E1027" s="11"/>
      <c r="F1027" s="15" t="str">
        <f aca="false">IF($B1027="","",IF(AND($D1027="",$E1027=""),"",IF(OR($D1027="",$E1027=""),0,ROUND($D1027*$E1027,0))))</f>
        <v/>
      </c>
      <c r="G1027" s="13"/>
      <c r="H1027" s="11"/>
      <c r="I1027" s="15" t="str">
        <f aca="false">IF($F1027="","",$F1027-IF($H1027="",0,$H1027))</f>
        <v/>
      </c>
      <c r="J1027" s="16" t="str">
        <f aca="true">IF(OR($A1027="",$I1027="",$I1027&lt;=0),"",TODAY()-$A1027)</f>
        <v/>
      </c>
      <c r="K1027" s="10"/>
    </row>
    <row r="1028" customFormat="false" ht="15" hidden="false" customHeight="true" outlineLevel="0" collapsed="false">
      <c r="A1028" s="13"/>
      <c r="B1028" s="10"/>
      <c r="C1028" s="10"/>
      <c r="D1028" s="14"/>
      <c r="E1028" s="11"/>
      <c r="F1028" s="15" t="str">
        <f aca="false">IF($B1028="","",IF(AND($D1028="",$E1028=""),"",IF(OR($D1028="",$E1028=""),0,ROUND($D1028*$E1028,0))))</f>
        <v/>
      </c>
      <c r="G1028" s="13"/>
      <c r="H1028" s="11"/>
      <c r="I1028" s="15" t="str">
        <f aca="false">IF($F1028="","",$F1028-IF($H1028="",0,$H1028))</f>
        <v/>
      </c>
      <c r="J1028" s="16" t="str">
        <f aca="true">IF(OR($A1028="",$I1028="",$I1028&lt;=0),"",TODAY()-$A1028)</f>
        <v/>
      </c>
      <c r="K1028" s="10"/>
    </row>
    <row r="1029" customFormat="false" ht="15" hidden="false" customHeight="true" outlineLevel="0" collapsed="false">
      <c r="A1029" s="13"/>
      <c r="B1029" s="10"/>
      <c r="C1029" s="10"/>
      <c r="D1029" s="14"/>
      <c r="E1029" s="11"/>
      <c r="F1029" s="15" t="str">
        <f aca="false">IF($B1029="","",IF(AND($D1029="",$E1029=""),"",IF(OR($D1029="",$E1029=""),0,ROUND($D1029*$E1029,0))))</f>
        <v/>
      </c>
      <c r="G1029" s="13"/>
      <c r="H1029" s="11"/>
      <c r="I1029" s="15" t="str">
        <f aca="false">IF($F1029="","",$F1029-IF($H1029="",0,$H1029))</f>
        <v/>
      </c>
      <c r="J1029" s="16" t="str">
        <f aca="true">IF(OR($A1029="",$I1029="",$I1029&lt;=0),"",TODAY()-$A1029)</f>
        <v/>
      </c>
      <c r="K1029" s="10"/>
    </row>
    <row r="1030" customFormat="false" ht="15" hidden="false" customHeight="true" outlineLevel="0" collapsed="false">
      <c r="A1030" s="13"/>
      <c r="B1030" s="10"/>
      <c r="C1030" s="10"/>
      <c r="D1030" s="14"/>
      <c r="E1030" s="11"/>
      <c r="F1030" s="15" t="str">
        <f aca="false">IF($B1030="","",IF(AND($D1030="",$E1030=""),"",IF(OR($D1030="",$E1030=""),0,ROUND($D1030*$E1030,0))))</f>
        <v/>
      </c>
      <c r="G1030" s="13"/>
      <c r="H1030" s="11"/>
      <c r="I1030" s="15" t="str">
        <f aca="false">IF($F1030="","",$F1030-IF($H1030="",0,$H1030))</f>
        <v/>
      </c>
      <c r="J1030" s="16" t="str">
        <f aca="true">IF(OR($A1030="",$I1030="",$I1030&lt;=0),"",TODAY()-$A1030)</f>
        <v/>
      </c>
      <c r="K1030" s="10"/>
    </row>
    <row r="1031" customFormat="false" ht="15" hidden="false" customHeight="true" outlineLevel="0" collapsed="false">
      <c r="A1031" s="13"/>
      <c r="B1031" s="10"/>
      <c r="C1031" s="10"/>
      <c r="D1031" s="14"/>
      <c r="E1031" s="11"/>
      <c r="F1031" s="15" t="str">
        <f aca="false">IF($B1031="","",IF(AND($D1031="",$E1031=""),"",IF(OR($D1031="",$E1031=""),0,ROUND($D1031*$E1031,0))))</f>
        <v/>
      </c>
      <c r="G1031" s="13"/>
      <c r="H1031" s="11"/>
      <c r="I1031" s="15" t="str">
        <f aca="false">IF($F1031="","",$F1031-IF($H1031="",0,$H1031))</f>
        <v/>
      </c>
      <c r="J1031" s="16" t="str">
        <f aca="true">IF(OR($A1031="",$I1031="",$I1031&lt;=0),"",TODAY()-$A1031)</f>
        <v/>
      </c>
      <c r="K1031" s="10"/>
    </row>
    <row r="1032" customFormat="false" ht="15" hidden="false" customHeight="true" outlineLevel="0" collapsed="false">
      <c r="A1032" s="13"/>
      <c r="B1032" s="10"/>
      <c r="C1032" s="10"/>
      <c r="D1032" s="14"/>
      <c r="E1032" s="11"/>
      <c r="F1032" s="15" t="str">
        <f aca="false">IF($B1032="","",IF(AND($D1032="",$E1032=""),"",IF(OR($D1032="",$E1032=""),0,ROUND($D1032*$E1032,0))))</f>
        <v/>
      </c>
      <c r="G1032" s="13"/>
      <c r="H1032" s="11"/>
      <c r="I1032" s="15" t="str">
        <f aca="false">IF($F1032="","",$F1032-IF($H1032="",0,$H1032))</f>
        <v/>
      </c>
      <c r="J1032" s="16" t="str">
        <f aca="true">IF(OR($A1032="",$I1032="",$I1032&lt;=0),"",TODAY()-$A1032)</f>
        <v/>
      </c>
      <c r="K1032" s="10"/>
    </row>
    <row r="1033" customFormat="false" ht="15" hidden="false" customHeight="true" outlineLevel="0" collapsed="false">
      <c r="A1033" s="13"/>
      <c r="B1033" s="10"/>
      <c r="C1033" s="10"/>
      <c r="D1033" s="14"/>
      <c r="E1033" s="11"/>
      <c r="F1033" s="15" t="str">
        <f aca="false">IF($B1033="","",IF(AND($D1033="",$E1033=""),"",IF(OR($D1033="",$E1033=""),0,ROUND($D1033*$E1033,0))))</f>
        <v/>
      </c>
      <c r="G1033" s="13"/>
      <c r="H1033" s="11"/>
      <c r="I1033" s="15" t="str">
        <f aca="false">IF($F1033="","",$F1033-IF($H1033="",0,$H1033))</f>
        <v/>
      </c>
      <c r="J1033" s="16" t="str">
        <f aca="true">IF(OR($A1033="",$I1033="",$I1033&lt;=0),"",TODAY()-$A1033)</f>
        <v/>
      </c>
      <c r="K1033" s="10"/>
    </row>
    <row r="1034" customFormat="false" ht="15" hidden="false" customHeight="true" outlineLevel="0" collapsed="false">
      <c r="A1034" s="13"/>
      <c r="B1034" s="10"/>
      <c r="C1034" s="10"/>
      <c r="D1034" s="14"/>
      <c r="E1034" s="11"/>
      <c r="F1034" s="15" t="str">
        <f aca="false">IF($B1034="","",IF(AND($D1034="",$E1034=""),"",IF(OR($D1034="",$E1034=""),0,ROUND($D1034*$E1034,0))))</f>
        <v/>
      </c>
      <c r="G1034" s="13"/>
      <c r="H1034" s="11"/>
      <c r="I1034" s="15" t="str">
        <f aca="false">IF($F1034="","",$F1034-IF($H1034="",0,$H1034))</f>
        <v/>
      </c>
      <c r="J1034" s="16" t="str">
        <f aca="true">IF(OR($A1034="",$I1034="",$I1034&lt;=0),"",TODAY()-$A1034)</f>
        <v/>
      </c>
      <c r="K1034" s="10"/>
    </row>
    <row r="1035" customFormat="false" ht="15" hidden="false" customHeight="true" outlineLevel="0" collapsed="false">
      <c r="A1035" s="13"/>
      <c r="B1035" s="10"/>
      <c r="C1035" s="10"/>
      <c r="D1035" s="14"/>
      <c r="E1035" s="11"/>
      <c r="F1035" s="15" t="str">
        <f aca="false">IF($B1035="","",IF(AND($D1035="",$E1035=""),"",IF(OR($D1035="",$E1035=""),0,ROUND($D1035*$E1035,0))))</f>
        <v/>
      </c>
      <c r="G1035" s="13"/>
      <c r="H1035" s="11"/>
      <c r="I1035" s="15" t="str">
        <f aca="false">IF($F1035="","",$F1035-IF($H1035="",0,$H1035))</f>
        <v/>
      </c>
      <c r="J1035" s="16" t="str">
        <f aca="true">IF(OR($A1035="",$I1035="",$I1035&lt;=0),"",TODAY()-$A1035)</f>
        <v/>
      </c>
      <c r="K1035" s="10"/>
    </row>
    <row r="1036" customFormat="false" ht="15" hidden="false" customHeight="true" outlineLevel="0" collapsed="false">
      <c r="A1036" s="13"/>
      <c r="B1036" s="10"/>
      <c r="C1036" s="10"/>
      <c r="D1036" s="14"/>
      <c r="E1036" s="11"/>
      <c r="F1036" s="15" t="str">
        <f aca="false">IF($B1036="","",IF(AND($D1036="",$E1036=""),"",IF(OR($D1036="",$E1036=""),0,ROUND($D1036*$E1036,0))))</f>
        <v/>
      </c>
      <c r="G1036" s="13"/>
      <c r="H1036" s="11"/>
      <c r="I1036" s="15" t="str">
        <f aca="false">IF($F1036="","",$F1036-IF($H1036="",0,$H1036))</f>
        <v/>
      </c>
      <c r="J1036" s="16" t="str">
        <f aca="true">IF(OR($A1036="",$I1036="",$I1036&lt;=0),"",TODAY()-$A1036)</f>
        <v/>
      </c>
      <c r="K1036" s="10"/>
    </row>
    <row r="1037" customFormat="false" ht="15" hidden="false" customHeight="true" outlineLevel="0" collapsed="false">
      <c r="A1037" s="13"/>
      <c r="B1037" s="10"/>
      <c r="C1037" s="10"/>
      <c r="D1037" s="14"/>
      <c r="E1037" s="11"/>
      <c r="F1037" s="15" t="str">
        <f aca="false">IF($B1037="","",IF(AND($D1037="",$E1037=""),"",IF(OR($D1037="",$E1037=""),0,ROUND($D1037*$E1037,0))))</f>
        <v/>
      </c>
      <c r="G1037" s="13"/>
      <c r="H1037" s="11"/>
      <c r="I1037" s="15" t="str">
        <f aca="false">IF($F1037="","",$F1037-IF($H1037="",0,$H1037))</f>
        <v/>
      </c>
      <c r="J1037" s="16" t="str">
        <f aca="true">IF(OR($A1037="",$I1037="",$I1037&lt;=0),"",TODAY()-$A1037)</f>
        <v/>
      </c>
      <c r="K1037" s="10"/>
    </row>
    <row r="1038" customFormat="false" ht="15" hidden="false" customHeight="true" outlineLevel="0" collapsed="false">
      <c r="A1038" s="13"/>
      <c r="B1038" s="10"/>
      <c r="C1038" s="10"/>
      <c r="D1038" s="14"/>
      <c r="E1038" s="11"/>
      <c r="F1038" s="15" t="str">
        <f aca="false">IF($B1038="","",IF(AND($D1038="",$E1038=""),"",IF(OR($D1038="",$E1038=""),0,ROUND($D1038*$E1038,0))))</f>
        <v/>
      </c>
      <c r="G1038" s="13"/>
      <c r="H1038" s="11"/>
      <c r="I1038" s="15" t="str">
        <f aca="false">IF($F1038="","",$F1038-IF($H1038="",0,$H1038))</f>
        <v/>
      </c>
      <c r="J1038" s="16" t="str">
        <f aca="true">IF(OR($A1038="",$I1038="",$I1038&lt;=0),"",TODAY()-$A1038)</f>
        <v/>
      </c>
      <c r="K1038" s="10"/>
    </row>
    <row r="1039" customFormat="false" ht="15" hidden="false" customHeight="true" outlineLevel="0" collapsed="false">
      <c r="A1039" s="13"/>
      <c r="B1039" s="10"/>
      <c r="C1039" s="10"/>
      <c r="D1039" s="14"/>
      <c r="E1039" s="11"/>
      <c r="F1039" s="15" t="str">
        <f aca="false">IF($B1039="","",IF(AND($D1039="",$E1039=""),"",IF(OR($D1039="",$E1039=""),0,ROUND($D1039*$E1039,0))))</f>
        <v/>
      </c>
      <c r="G1039" s="13"/>
      <c r="H1039" s="11"/>
      <c r="I1039" s="15" t="str">
        <f aca="false">IF($F1039="","",$F1039-IF($H1039="",0,$H1039))</f>
        <v/>
      </c>
      <c r="J1039" s="16" t="str">
        <f aca="true">IF(OR($A1039="",$I1039="",$I1039&lt;=0),"",TODAY()-$A1039)</f>
        <v/>
      </c>
      <c r="K1039" s="10"/>
    </row>
    <row r="1040" customFormat="false" ht="15" hidden="false" customHeight="true" outlineLevel="0" collapsed="false">
      <c r="A1040" s="13"/>
      <c r="B1040" s="10"/>
      <c r="C1040" s="10"/>
      <c r="D1040" s="14"/>
      <c r="E1040" s="11"/>
      <c r="F1040" s="15" t="str">
        <f aca="false">IF($B1040="","",IF(AND($D1040="",$E1040=""),"",IF(OR($D1040="",$E1040=""),0,ROUND($D1040*$E1040,0))))</f>
        <v/>
      </c>
      <c r="G1040" s="13"/>
      <c r="H1040" s="11"/>
      <c r="I1040" s="15" t="str">
        <f aca="false">IF($F1040="","",$F1040-IF($H1040="",0,$H1040))</f>
        <v/>
      </c>
      <c r="J1040" s="16" t="str">
        <f aca="true">IF(OR($A1040="",$I1040="",$I1040&lt;=0),"",TODAY()-$A1040)</f>
        <v/>
      </c>
      <c r="K1040" s="10"/>
    </row>
    <row r="1041" customFormat="false" ht="15" hidden="false" customHeight="true" outlineLevel="0" collapsed="false">
      <c r="A1041" s="13"/>
      <c r="B1041" s="10"/>
      <c r="C1041" s="10"/>
      <c r="D1041" s="14"/>
      <c r="E1041" s="11"/>
      <c r="F1041" s="15" t="str">
        <f aca="false">IF($B1041="","",IF(AND($D1041="",$E1041=""),"",IF(OR($D1041="",$E1041=""),0,ROUND($D1041*$E1041,0))))</f>
        <v/>
      </c>
      <c r="G1041" s="13"/>
      <c r="H1041" s="11"/>
      <c r="I1041" s="15" t="str">
        <f aca="false">IF($F1041="","",$F1041-IF($H1041="",0,$H1041))</f>
        <v/>
      </c>
      <c r="J1041" s="16" t="str">
        <f aca="true">IF(OR($A1041="",$I1041="",$I1041&lt;=0),"",TODAY()-$A1041)</f>
        <v/>
      </c>
      <c r="K1041" s="10"/>
    </row>
    <row r="1042" customFormat="false" ht="15" hidden="false" customHeight="true" outlineLevel="0" collapsed="false">
      <c r="A1042" s="13"/>
      <c r="B1042" s="10"/>
      <c r="C1042" s="10"/>
      <c r="D1042" s="14"/>
      <c r="E1042" s="11"/>
      <c r="F1042" s="15" t="str">
        <f aca="false">IF($B1042="","",IF(AND($D1042="",$E1042=""),"",IF(OR($D1042="",$E1042=""),0,ROUND($D1042*$E1042,0))))</f>
        <v/>
      </c>
      <c r="G1042" s="13"/>
      <c r="H1042" s="11"/>
      <c r="I1042" s="15" t="str">
        <f aca="false">IF($F1042="","",$F1042-IF($H1042="",0,$H1042))</f>
        <v/>
      </c>
      <c r="J1042" s="16" t="str">
        <f aca="true">IF(OR($A1042="",$I1042="",$I1042&lt;=0),"",TODAY()-$A1042)</f>
        <v/>
      </c>
      <c r="K1042" s="10"/>
    </row>
    <row r="1043" customFormat="false" ht="15" hidden="false" customHeight="true" outlineLevel="0" collapsed="false">
      <c r="A1043" s="13"/>
      <c r="B1043" s="10"/>
      <c r="C1043" s="10"/>
      <c r="D1043" s="14"/>
      <c r="E1043" s="11"/>
      <c r="F1043" s="15" t="str">
        <f aca="false">IF($B1043="","",IF(AND($D1043="",$E1043=""),"",IF(OR($D1043="",$E1043=""),0,ROUND($D1043*$E1043,0))))</f>
        <v/>
      </c>
      <c r="G1043" s="13"/>
      <c r="H1043" s="11"/>
      <c r="I1043" s="15" t="str">
        <f aca="false">IF($F1043="","",$F1043-IF($H1043="",0,$H1043))</f>
        <v/>
      </c>
      <c r="J1043" s="16" t="str">
        <f aca="true">IF(OR($A1043="",$I1043="",$I1043&lt;=0),"",TODAY()-$A1043)</f>
        <v/>
      </c>
      <c r="K1043" s="10"/>
    </row>
    <row r="1044" customFormat="false" ht="15" hidden="false" customHeight="true" outlineLevel="0" collapsed="false">
      <c r="A1044" s="13"/>
      <c r="B1044" s="10"/>
      <c r="C1044" s="10"/>
      <c r="D1044" s="14"/>
      <c r="E1044" s="11"/>
      <c r="F1044" s="15" t="str">
        <f aca="false">IF($B1044="","",IF(AND($D1044="",$E1044=""),"",IF(OR($D1044="",$E1044=""),0,ROUND($D1044*$E1044,0))))</f>
        <v/>
      </c>
      <c r="G1044" s="13"/>
      <c r="H1044" s="11"/>
      <c r="I1044" s="15" t="str">
        <f aca="false">IF($F1044="","",$F1044-IF($H1044="",0,$H1044))</f>
        <v/>
      </c>
      <c r="J1044" s="16" t="str">
        <f aca="true">IF(OR($A1044="",$I1044="",$I1044&lt;=0),"",TODAY()-$A1044)</f>
        <v/>
      </c>
      <c r="K1044" s="10"/>
    </row>
    <row r="1045" customFormat="false" ht="15" hidden="false" customHeight="true" outlineLevel="0" collapsed="false">
      <c r="A1045" s="13"/>
      <c r="B1045" s="10"/>
      <c r="C1045" s="10"/>
      <c r="D1045" s="14"/>
      <c r="E1045" s="11"/>
      <c r="F1045" s="15" t="str">
        <f aca="false">IF($B1045="","",IF(AND($D1045="",$E1045=""),"",IF(OR($D1045="",$E1045=""),0,ROUND($D1045*$E1045,0))))</f>
        <v/>
      </c>
      <c r="G1045" s="13"/>
      <c r="H1045" s="11"/>
      <c r="I1045" s="15" t="str">
        <f aca="false">IF($F1045="","",$F1045-IF($H1045="",0,$H1045))</f>
        <v/>
      </c>
      <c r="J1045" s="16" t="str">
        <f aca="true">IF(OR($A1045="",$I1045="",$I1045&lt;=0),"",TODAY()-$A1045)</f>
        <v/>
      </c>
      <c r="K1045" s="10"/>
    </row>
    <row r="1046" customFormat="false" ht="15" hidden="false" customHeight="true" outlineLevel="0" collapsed="false">
      <c r="A1046" s="13"/>
      <c r="B1046" s="10"/>
      <c r="C1046" s="10"/>
      <c r="D1046" s="14"/>
      <c r="E1046" s="11"/>
      <c r="F1046" s="15" t="str">
        <f aca="false">IF($B1046="","",IF(AND($D1046="",$E1046=""),"",IF(OR($D1046="",$E1046=""),0,ROUND($D1046*$E1046,0))))</f>
        <v/>
      </c>
      <c r="G1046" s="13"/>
      <c r="H1046" s="11"/>
      <c r="I1046" s="15" t="str">
        <f aca="false">IF($F1046="","",$F1046-IF($H1046="",0,$H1046))</f>
        <v/>
      </c>
      <c r="J1046" s="16" t="str">
        <f aca="true">IF(OR($A1046="",$I1046="",$I1046&lt;=0),"",TODAY()-$A1046)</f>
        <v/>
      </c>
      <c r="K1046" s="10"/>
    </row>
    <row r="1047" customFormat="false" ht="15" hidden="false" customHeight="true" outlineLevel="0" collapsed="false">
      <c r="A1047" s="13"/>
      <c r="B1047" s="10"/>
      <c r="C1047" s="10"/>
      <c r="D1047" s="14"/>
      <c r="E1047" s="11"/>
      <c r="F1047" s="15" t="str">
        <f aca="false">IF($B1047="","",IF(AND($D1047="",$E1047=""),"",IF(OR($D1047="",$E1047=""),0,ROUND($D1047*$E1047,0))))</f>
        <v/>
      </c>
      <c r="G1047" s="13"/>
      <c r="H1047" s="11"/>
      <c r="I1047" s="15" t="str">
        <f aca="false">IF($F1047="","",$F1047-IF($H1047="",0,$H1047))</f>
        <v/>
      </c>
      <c r="J1047" s="16" t="str">
        <f aca="true">IF(OR($A1047="",$I1047="",$I1047&lt;=0),"",TODAY()-$A1047)</f>
        <v/>
      </c>
      <c r="K1047" s="10"/>
    </row>
    <row r="1048" customFormat="false" ht="15" hidden="false" customHeight="true" outlineLevel="0" collapsed="false">
      <c r="A1048" s="13"/>
      <c r="B1048" s="10"/>
      <c r="C1048" s="10"/>
      <c r="D1048" s="14"/>
      <c r="E1048" s="11"/>
      <c r="F1048" s="15" t="str">
        <f aca="false">IF($B1048="","",IF(AND($D1048="",$E1048=""),"",IF(OR($D1048="",$E1048=""),0,ROUND($D1048*$E1048,0))))</f>
        <v/>
      </c>
      <c r="G1048" s="13"/>
      <c r="H1048" s="11"/>
      <c r="I1048" s="15" t="str">
        <f aca="false">IF($F1048="","",$F1048-IF($H1048="",0,$H1048))</f>
        <v/>
      </c>
      <c r="J1048" s="16" t="str">
        <f aca="true">IF(OR($A1048="",$I1048="",$I1048&lt;=0),"",TODAY()-$A1048)</f>
        <v/>
      </c>
      <c r="K1048" s="10"/>
    </row>
    <row r="1049" customFormat="false" ht="15" hidden="false" customHeight="true" outlineLevel="0" collapsed="false">
      <c r="A1049" s="13"/>
      <c r="B1049" s="10"/>
      <c r="C1049" s="10"/>
      <c r="D1049" s="14"/>
      <c r="E1049" s="11"/>
      <c r="F1049" s="15" t="str">
        <f aca="false">IF($B1049="","",IF(AND($D1049="",$E1049=""),"",IF(OR($D1049="",$E1049=""),0,ROUND($D1049*$E1049,0))))</f>
        <v/>
      </c>
      <c r="G1049" s="13"/>
      <c r="H1049" s="11"/>
      <c r="I1049" s="15" t="str">
        <f aca="false">IF($F1049="","",$F1049-IF($H1049="",0,$H1049))</f>
        <v/>
      </c>
      <c r="J1049" s="16" t="str">
        <f aca="true">IF(OR($A1049="",$I1049="",$I1049&lt;=0),"",TODAY()-$A1049)</f>
        <v/>
      </c>
      <c r="K1049" s="10"/>
    </row>
    <row r="1050" customFormat="false" ht="15" hidden="false" customHeight="true" outlineLevel="0" collapsed="false">
      <c r="A1050" s="13"/>
      <c r="B1050" s="10"/>
      <c r="C1050" s="10"/>
      <c r="D1050" s="14"/>
      <c r="E1050" s="11"/>
      <c r="F1050" s="15" t="str">
        <f aca="false">IF($B1050="","",IF(AND($D1050="",$E1050=""),"",IF(OR($D1050="",$E1050=""),0,ROUND($D1050*$E1050,0))))</f>
        <v/>
      </c>
      <c r="G1050" s="13"/>
      <c r="H1050" s="11"/>
      <c r="I1050" s="15" t="str">
        <f aca="false">IF($F1050="","",$F1050-IF($H1050="",0,$H1050))</f>
        <v/>
      </c>
      <c r="J1050" s="16" t="str">
        <f aca="true">IF(OR($A1050="",$I1050="",$I1050&lt;=0),"",TODAY()-$A1050)</f>
        <v/>
      </c>
      <c r="K1050" s="10"/>
    </row>
    <row r="1051" customFormat="false" ht="15" hidden="false" customHeight="true" outlineLevel="0" collapsed="false">
      <c r="A1051" s="13"/>
      <c r="B1051" s="10"/>
      <c r="C1051" s="10"/>
      <c r="D1051" s="14"/>
      <c r="E1051" s="11"/>
      <c r="F1051" s="15" t="str">
        <f aca="false">IF($B1051="","",IF(AND($D1051="",$E1051=""),"",IF(OR($D1051="",$E1051=""),0,ROUND($D1051*$E1051,0))))</f>
        <v/>
      </c>
      <c r="G1051" s="13"/>
      <c r="H1051" s="11"/>
      <c r="I1051" s="15" t="str">
        <f aca="false">IF($F1051="","",$F1051-IF($H1051="",0,$H1051))</f>
        <v/>
      </c>
      <c r="J1051" s="16" t="str">
        <f aca="true">IF(OR($A1051="",$I1051="",$I1051&lt;=0),"",TODAY()-$A1051)</f>
        <v/>
      </c>
      <c r="K1051" s="10"/>
    </row>
    <row r="1052" customFormat="false" ht="15" hidden="false" customHeight="true" outlineLevel="0" collapsed="false">
      <c r="A1052" s="13"/>
      <c r="B1052" s="10"/>
      <c r="C1052" s="10"/>
      <c r="D1052" s="14"/>
      <c r="E1052" s="11"/>
      <c r="F1052" s="15" t="str">
        <f aca="false">IF($B1052="","",IF(AND($D1052="",$E1052=""),"",IF(OR($D1052="",$E1052=""),0,ROUND($D1052*$E1052,0))))</f>
        <v/>
      </c>
      <c r="G1052" s="13"/>
      <c r="H1052" s="11"/>
      <c r="I1052" s="15" t="str">
        <f aca="false">IF($F1052="","",$F1052-IF($H1052="",0,$H1052))</f>
        <v/>
      </c>
      <c r="J1052" s="16" t="str">
        <f aca="true">IF(OR($A1052="",$I1052="",$I1052&lt;=0),"",TODAY()-$A1052)</f>
        <v/>
      </c>
      <c r="K1052" s="10"/>
    </row>
    <row r="1053" customFormat="false" ht="15" hidden="false" customHeight="true" outlineLevel="0" collapsed="false">
      <c r="A1053" s="13"/>
      <c r="B1053" s="10"/>
      <c r="C1053" s="10"/>
      <c r="D1053" s="14"/>
      <c r="E1053" s="11"/>
      <c r="F1053" s="15" t="str">
        <f aca="false">IF($B1053="","",IF(AND($D1053="",$E1053=""),"",IF(OR($D1053="",$E1053=""),0,ROUND($D1053*$E1053,0))))</f>
        <v/>
      </c>
      <c r="G1053" s="13"/>
      <c r="H1053" s="11"/>
      <c r="I1053" s="15" t="str">
        <f aca="false">IF($F1053="","",$F1053-IF($H1053="",0,$H1053))</f>
        <v/>
      </c>
      <c r="J1053" s="16" t="str">
        <f aca="true">IF(OR($A1053="",$I1053="",$I1053&lt;=0),"",TODAY()-$A1053)</f>
        <v/>
      </c>
      <c r="K1053" s="10"/>
    </row>
    <row r="1054" customFormat="false" ht="15" hidden="false" customHeight="true" outlineLevel="0" collapsed="false">
      <c r="A1054" s="13"/>
      <c r="B1054" s="10"/>
      <c r="C1054" s="10"/>
      <c r="D1054" s="14"/>
      <c r="E1054" s="11"/>
      <c r="F1054" s="15" t="str">
        <f aca="false">IF($B1054="","",IF(AND($D1054="",$E1054=""),"",IF(OR($D1054="",$E1054=""),0,ROUND($D1054*$E1054,0))))</f>
        <v/>
      </c>
      <c r="G1054" s="13"/>
      <c r="H1054" s="11"/>
      <c r="I1054" s="15" t="str">
        <f aca="false">IF($F1054="","",$F1054-IF($H1054="",0,$H1054))</f>
        <v/>
      </c>
      <c r="J1054" s="16" t="str">
        <f aca="true">IF(OR($A1054="",$I1054="",$I1054&lt;=0),"",TODAY()-$A1054)</f>
        <v/>
      </c>
      <c r="K1054" s="10"/>
    </row>
    <row r="1055" customFormat="false" ht="15" hidden="false" customHeight="true" outlineLevel="0" collapsed="false">
      <c r="A1055" s="13"/>
      <c r="B1055" s="10"/>
      <c r="C1055" s="10"/>
      <c r="D1055" s="14"/>
      <c r="E1055" s="11"/>
      <c r="F1055" s="15" t="str">
        <f aca="false">IF($B1055="","",IF(AND($D1055="",$E1055=""),"",IF(OR($D1055="",$E1055=""),0,ROUND($D1055*$E1055,0))))</f>
        <v/>
      </c>
      <c r="G1055" s="13"/>
      <c r="H1055" s="11"/>
      <c r="I1055" s="15" t="str">
        <f aca="false">IF($F1055="","",$F1055-IF($H1055="",0,$H1055))</f>
        <v/>
      </c>
      <c r="J1055" s="16" t="str">
        <f aca="true">IF(OR($A1055="",$I1055="",$I1055&lt;=0),"",TODAY()-$A1055)</f>
        <v/>
      </c>
      <c r="K1055" s="10"/>
    </row>
    <row r="1056" customFormat="false" ht="15" hidden="false" customHeight="true" outlineLevel="0" collapsed="false">
      <c r="A1056" s="13"/>
      <c r="B1056" s="10"/>
      <c r="C1056" s="10"/>
      <c r="D1056" s="14"/>
      <c r="E1056" s="11"/>
      <c r="F1056" s="15" t="str">
        <f aca="false">IF($B1056="","",IF(AND($D1056="",$E1056=""),"",IF(OR($D1056="",$E1056=""),0,ROUND($D1056*$E1056,0))))</f>
        <v/>
      </c>
      <c r="G1056" s="13"/>
      <c r="H1056" s="11"/>
      <c r="I1056" s="15" t="str">
        <f aca="false">IF($F1056="","",$F1056-IF($H1056="",0,$H1056))</f>
        <v/>
      </c>
      <c r="J1056" s="16" t="str">
        <f aca="true">IF(OR($A1056="",$I1056="",$I1056&lt;=0),"",TODAY()-$A1056)</f>
        <v/>
      </c>
      <c r="K1056" s="10"/>
    </row>
    <row r="1057" customFormat="false" ht="15" hidden="false" customHeight="true" outlineLevel="0" collapsed="false">
      <c r="A1057" s="13"/>
      <c r="B1057" s="10"/>
      <c r="C1057" s="10"/>
      <c r="D1057" s="14"/>
      <c r="E1057" s="11"/>
      <c r="F1057" s="15" t="str">
        <f aca="false">IF($B1057="","",IF(AND($D1057="",$E1057=""),"",IF(OR($D1057="",$E1057=""),0,ROUND($D1057*$E1057,0))))</f>
        <v/>
      </c>
      <c r="G1057" s="13"/>
      <c r="H1057" s="11"/>
      <c r="I1057" s="15" t="str">
        <f aca="false">IF($F1057="","",$F1057-IF($H1057="",0,$H1057))</f>
        <v/>
      </c>
      <c r="J1057" s="16" t="str">
        <f aca="true">IF(OR($A1057="",$I1057="",$I1057&lt;=0),"",TODAY()-$A1057)</f>
        <v/>
      </c>
      <c r="K1057" s="10"/>
    </row>
    <row r="1058" customFormat="false" ht="15" hidden="false" customHeight="true" outlineLevel="0" collapsed="false">
      <c r="A1058" s="13"/>
      <c r="B1058" s="10"/>
      <c r="C1058" s="10"/>
      <c r="D1058" s="14"/>
      <c r="E1058" s="11"/>
      <c r="F1058" s="15" t="str">
        <f aca="false">IF($B1058="","",IF(AND($D1058="",$E1058=""),"",IF(OR($D1058="",$E1058=""),0,ROUND($D1058*$E1058,0))))</f>
        <v/>
      </c>
      <c r="G1058" s="13"/>
      <c r="H1058" s="11"/>
      <c r="I1058" s="15" t="str">
        <f aca="false">IF($F1058="","",$F1058-IF($H1058="",0,$H1058))</f>
        <v/>
      </c>
      <c r="J1058" s="16" t="str">
        <f aca="true">IF(OR($A1058="",$I1058="",$I1058&lt;=0),"",TODAY()-$A1058)</f>
        <v/>
      </c>
      <c r="K1058" s="10"/>
    </row>
    <row r="1059" customFormat="false" ht="15" hidden="false" customHeight="true" outlineLevel="0" collapsed="false">
      <c r="A1059" s="13"/>
      <c r="B1059" s="10"/>
      <c r="C1059" s="10"/>
      <c r="D1059" s="14"/>
      <c r="E1059" s="11"/>
      <c r="F1059" s="15" t="str">
        <f aca="false">IF($B1059="","",IF(AND($D1059="",$E1059=""),"",IF(OR($D1059="",$E1059=""),0,ROUND($D1059*$E1059,0))))</f>
        <v/>
      </c>
      <c r="G1059" s="13"/>
      <c r="H1059" s="11"/>
      <c r="I1059" s="15" t="str">
        <f aca="false">IF($F1059="","",$F1059-IF($H1059="",0,$H1059))</f>
        <v/>
      </c>
      <c r="J1059" s="16" t="str">
        <f aca="true">IF(OR($A1059="",$I1059="",$I1059&lt;=0),"",TODAY()-$A1059)</f>
        <v/>
      </c>
      <c r="K1059" s="10"/>
    </row>
    <row r="1060" customFormat="false" ht="15" hidden="false" customHeight="true" outlineLevel="0" collapsed="false">
      <c r="A1060" s="13"/>
      <c r="B1060" s="10"/>
      <c r="C1060" s="10"/>
      <c r="D1060" s="14"/>
      <c r="E1060" s="11"/>
      <c r="F1060" s="15" t="str">
        <f aca="false">IF($B1060="","",IF(AND($D1060="",$E1060=""),"",IF(OR($D1060="",$E1060=""),0,ROUND($D1060*$E1060,0))))</f>
        <v/>
      </c>
      <c r="G1060" s="13"/>
      <c r="H1060" s="11"/>
      <c r="I1060" s="15" t="str">
        <f aca="false">IF($F1060="","",$F1060-IF($H1060="",0,$H1060))</f>
        <v/>
      </c>
      <c r="J1060" s="16" t="str">
        <f aca="true">IF(OR($A1060="",$I1060="",$I1060&lt;=0),"",TODAY()-$A1060)</f>
        <v/>
      </c>
      <c r="K1060" s="10"/>
    </row>
    <row r="1061" customFormat="false" ht="15" hidden="false" customHeight="true" outlineLevel="0" collapsed="false">
      <c r="A1061" s="13"/>
      <c r="B1061" s="10"/>
      <c r="C1061" s="10"/>
      <c r="D1061" s="14"/>
      <c r="E1061" s="11"/>
      <c r="F1061" s="15" t="str">
        <f aca="false">IF($B1061="","",IF(AND($D1061="",$E1061=""),"",IF(OR($D1061="",$E1061=""),0,ROUND($D1061*$E1061,0))))</f>
        <v/>
      </c>
      <c r="G1061" s="13"/>
      <c r="H1061" s="11"/>
      <c r="I1061" s="15" t="str">
        <f aca="false">IF($F1061="","",$F1061-IF($H1061="",0,$H1061))</f>
        <v/>
      </c>
      <c r="J1061" s="16" t="str">
        <f aca="true">IF(OR($A1061="",$I1061="",$I1061&lt;=0),"",TODAY()-$A1061)</f>
        <v/>
      </c>
      <c r="K1061" s="10"/>
    </row>
    <row r="1062" customFormat="false" ht="15" hidden="false" customHeight="true" outlineLevel="0" collapsed="false">
      <c r="A1062" s="13"/>
      <c r="B1062" s="10"/>
      <c r="C1062" s="10"/>
      <c r="D1062" s="14"/>
      <c r="E1062" s="11"/>
      <c r="F1062" s="15" t="str">
        <f aca="false">IF($B1062="","",IF(AND($D1062="",$E1062=""),"",IF(OR($D1062="",$E1062=""),0,ROUND($D1062*$E1062,0))))</f>
        <v/>
      </c>
      <c r="G1062" s="13"/>
      <c r="H1062" s="11"/>
      <c r="I1062" s="15" t="str">
        <f aca="false">IF($F1062="","",$F1062-IF($H1062="",0,$H1062))</f>
        <v/>
      </c>
      <c r="J1062" s="16" t="str">
        <f aca="true">IF(OR($A1062="",$I1062="",$I1062&lt;=0),"",TODAY()-$A1062)</f>
        <v/>
      </c>
      <c r="K1062" s="10"/>
    </row>
    <row r="1063" customFormat="false" ht="15" hidden="false" customHeight="true" outlineLevel="0" collapsed="false">
      <c r="A1063" s="13"/>
      <c r="B1063" s="10"/>
      <c r="C1063" s="10"/>
      <c r="D1063" s="14"/>
      <c r="E1063" s="11"/>
      <c r="F1063" s="15" t="str">
        <f aca="false">IF($B1063="","",IF(AND($D1063="",$E1063=""),"",IF(OR($D1063="",$E1063=""),0,ROUND($D1063*$E1063,0))))</f>
        <v/>
      </c>
      <c r="G1063" s="13"/>
      <c r="H1063" s="11"/>
      <c r="I1063" s="15" t="str">
        <f aca="false">IF($F1063="","",$F1063-IF($H1063="",0,$H1063))</f>
        <v/>
      </c>
      <c r="J1063" s="16" t="str">
        <f aca="true">IF(OR($A1063="",$I1063="",$I1063&lt;=0),"",TODAY()-$A1063)</f>
        <v/>
      </c>
      <c r="K1063" s="10"/>
    </row>
    <row r="1064" customFormat="false" ht="15" hidden="false" customHeight="true" outlineLevel="0" collapsed="false">
      <c r="A1064" s="13"/>
      <c r="B1064" s="10"/>
      <c r="C1064" s="10"/>
      <c r="D1064" s="14"/>
      <c r="E1064" s="11"/>
      <c r="F1064" s="15" t="str">
        <f aca="false">IF($B1064="","",IF(AND($D1064="",$E1064=""),"",IF(OR($D1064="",$E1064=""),0,ROUND($D1064*$E1064,0))))</f>
        <v/>
      </c>
      <c r="G1064" s="13"/>
      <c r="H1064" s="11"/>
      <c r="I1064" s="15" t="str">
        <f aca="false">IF($F1064="","",$F1064-IF($H1064="",0,$H1064))</f>
        <v/>
      </c>
      <c r="J1064" s="16" t="str">
        <f aca="true">IF(OR($A1064="",$I1064="",$I1064&lt;=0),"",TODAY()-$A1064)</f>
        <v/>
      </c>
      <c r="K1064" s="10"/>
    </row>
    <row r="1065" customFormat="false" ht="15" hidden="false" customHeight="true" outlineLevel="0" collapsed="false">
      <c r="A1065" s="13"/>
      <c r="B1065" s="10"/>
      <c r="C1065" s="10"/>
      <c r="D1065" s="14"/>
      <c r="E1065" s="11"/>
      <c r="F1065" s="15" t="str">
        <f aca="false">IF($B1065="","",IF(AND($D1065="",$E1065=""),"",IF(OR($D1065="",$E1065=""),0,ROUND($D1065*$E1065,0))))</f>
        <v/>
      </c>
      <c r="G1065" s="13"/>
      <c r="H1065" s="11"/>
      <c r="I1065" s="15" t="str">
        <f aca="false">IF($F1065="","",$F1065-IF($H1065="",0,$H1065))</f>
        <v/>
      </c>
      <c r="J1065" s="16" t="str">
        <f aca="true">IF(OR($A1065="",$I1065="",$I1065&lt;=0),"",TODAY()-$A1065)</f>
        <v/>
      </c>
      <c r="K1065" s="10"/>
    </row>
    <row r="1066" customFormat="false" ht="15" hidden="false" customHeight="true" outlineLevel="0" collapsed="false">
      <c r="A1066" s="13"/>
      <c r="B1066" s="10"/>
      <c r="C1066" s="10"/>
      <c r="D1066" s="14"/>
      <c r="E1066" s="11"/>
      <c r="F1066" s="15" t="str">
        <f aca="false">IF($B1066="","",IF(AND($D1066="",$E1066=""),"",IF(OR($D1066="",$E1066=""),0,ROUND($D1066*$E1066,0))))</f>
        <v/>
      </c>
      <c r="G1066" s="13"/>
      <c r="H1066" s="11"/>
      <c r="I1066" s="15" t="str">
        <f aca="false">IF($F1066="","",$F1066-IF($H1066="",0,$H1066))</f>
        <v/>
      </c>
      <c r="J1066" s="16" t="str">
        <f aca="true">IF(OR($A1066="",$I1066="",$I1066&lt;=0),"",TODAY()-$A1066)</f>
        <v/>
      </c>
      <c r="K1066" s="10"/>
    </row>
    <row r="1067" customFormat="false" ht="15" hidden="false" customHeight="true" outlineLevel="0" collapsed="false">
      <c r="A1067" s="13"/>
      <c r="B1067" s="10"/>
      <c r="C1067" s="10"/>
      <c r="D1067" s="14"/>
      <c r="E1067" s="11"/>
      <c r="F1067" s="15" t="str">
        <f aca="false">IF($B1067="","",IF(AND($D1067="",$E1067=""),"",IF(OR($D1067="",$E1067=""),0,ROUND($D1067*$E1067,0))))</f>
        <v/>
      </c>
      <c r="G1067" s="13"/>
      <c r="H1067" s="11"/>
      <c r="I1067" s="15" t="str">
        <f aca="false">IF($F1067="","",$F1067-IF($H1067="",0,$H1067))</f>
        <v/>
      </c>
      <c r="J1067" s="16" t="str">
        <f aca="true">IF(OR($A1067="",$I1067="",$I1067&lt;=0),"",TODAY()-$A1067)</f>
        <v/>
      </c>
      <c r="K1067" s="10"/>
    </row>
    <row r="1068" customFormat="false" ht="15" hidden="false" customHeight="true" outlineLevel="0" collapsed="false">
      <c r="A1068" s="13"/>
      <c r="B1068" s="10"/>
      <c r="C1068" s="10"/>
      <c r="D1068" s="14"/>
      <c r="E1068" s="11"/>
      <c r="F1068" s="15" t="str">
        <f aca="false">IF($B1068="","",IF(AND($D1068="",$E1068=""),"",IF(OR($D1068="",$E1068=""),0,ROUND($D1068*$E1068,0))))</f>
        <v/>
      </c>
      <c r="G1068" s="13"/>
      <c r="H1068" s="11"/>
      <c r="I1068" s="15" t="str">
        <f aca="false">IF($F1068="","",$F1068-IF($H1068="",0,$H1068))</f>
        <v/>
      </c>
      <c r="J1068" s="16" t="str">
        <f aca="true">IF(OR($A1068="",$I1068="",$I1068&lt;=0),"",TODAY()-$A1068)</f>
        <v/>
      </c>
      <c r="K1068" s="10"/>
    </row>
    <row r="1069" customFormat="false" ht="15" hidden="false" customHeight="true" outlineLevel="0" collapsed="false">
      <c r="A1069" s="13"/>
      <c r="B1069" s="10"/>
      <c r="C1069" s="10"/>
      <c r="D1069" s="14"/>
      <c r="E1069" s="11"/>
      <c r="F1069" s="15" t="str">
        <f aca="false">IF($B1069="","",IF(AND($D1069="",$E1069=""),"",IF(OR($D1069="",$E1069=""),0,ROUND($D1069*$E1069,0))))</f>
        <v/>
      </c>
      <c r="G1069" s="13"/>
      <c r="H1069" s="11"/>
      <c r="I1069" s="15" t="str">
        <f aca="false">IF($F1069="","",$F1069-IF($H1069="",0,$H1069))</f>
        <v/>
      </c>
      <c r="J1069" s="16" t="str">
        <f aca="true">IF(OR($A1069="",$I1069="",$I1069&lt;=0),"",TODAY()-$A1069)</f>
        <v/>
      </c>
      <c r="K1069" s="10"/>
    </row>
    <row r="1070" customFormat="false" ht="15" hidden="false" customHeight="true" outlineLevel="0" collapsed="false">
      <c r="A1070" s="13"/>
      <c r="B1070" s="10"/>
      <c r="C1070" s="10"/>
      <c r="D1070" s="14"/>
      <c r="E1070" s="11"/>
      <c r="F1070" s="15" t="str">
        <f aca="false">IF($B1070="","",IF(AND($D1070="",$E1070=""),"",IF(OR($D1070="",$E1070=""),0,ROUND($D1070*$E1070,0))))</f>
        <v/>
      </c>
      <c r="G1070" s="13"/>
      <c r="H1070" s="11"/>
      <c r="I1070" s="15" t="str">
        <f aca="false">IF($F1070="","",$F1070-IF($H1070="",0,$H1070))</f>
        <v/>
      </c>
      <c r="J1070" s="16" t="str">
        <f aca="true">IF(OR($A1070="",$I1070="",$I1070&lt;=0),"",TODAY()-$A1070)</f>
        <v/>
      </c>
      <c r="K1070" s="10"/>
    </row>
    <row r="1071" customFormat="false" ht="15" hidden="false" customHeight="true" outlineLevel="0" collapsed="false">
      <c r="A1071" s="13"/>
      <c r="B1071" s="10"/>
      <c r="C1071" s="10"/>
      <c r="D1071" s="14"/>
      <c r="E1071" s="11"/>
      <c r="F1071" s="15" t="str">
        <f aca="false">IF($B1071="","",IF(AND($D1071="",$E1071=""),"",IF(OR($D1071="",$E1071=""),0,ROUND($D1071*$E1071,0))))</f>
        <v/>
      </c>
      <c r="G1071" s="13"/>
      <c r="H1071" s="11"/>
      <c r="I1071" s="15" t="str">
        <f aca="false">IF($F1071="","",$F1071-IF($H1071="",0,$H1071))</f>
        <v/>
      </c>
      <c r="J1071" s="16" t="str">
        <f aca="true">IF(OR($A1071="",$I1071="",$I1071&lt;=0),"",TODAY()-$A1071)</f>
        <v/>
      </c>
      <c r="K1071" s="10"/>
    </row>
    <row r="1072" customFormat="false" ht="15" hidden="false" customHeight="true" outlineLevel="0" collapsed="false">
      <c r="A1072" s="13"/>
      <c r="B1072" s="10"/>
      <c r="C1072" s="10"/>
      <c r="D1072" s="14"/>
      <c r="E1072" s="11"/>
      <c r="F1072" s="15" t="str">
        <f aca="false">IF($B1072="","",IF(AND($D1072="",$E1072=""),"",IF(OR($D1072="",$E1072=""),0,ROUND($D1072*$E1072,0))))</f>
        <v/>
      </c>
      <c r="G1072" s="13"/>
      <c r="H1072" s="11"/>
      <c r="I1072" s="15" t="str">
        <f aca="false">IF($F1072="","",$F1072-IF($H1072="",0,$H1072))</f>
        <v/>
      </c>
      <c r="J1072" s="16" t="str">
        <f aca="true">IF(OR($A1072="",$I1072="",$I1072&lt;=0),"",TODAY()-$A1072)</f>
        <v/>
      </c>
      <c r="K1072" s="10"/>
    </row>
    <row r="1073" customFormat="false" ht="15" hidden="false" customHeight="true" outlineLevel="0" collapsed="false">
      <c r="A1073" s="13"/>
      <c r="B1073" s="10"/>
      <c r="C1073" s="10"/>
      <c r="D1073" s="14"/>
      <c r="E1073" s="11"/>
      <c r="F1073" s="15" t="str">
        <f aca="false">IF($B1073="","",IF(AND($D1073="",$E1073=""),"",IF(OR($D1073="",$E1073=""),0,ROUND($D1073*$E1073,0))))</f>
        <v/>
      </c>
      <c r="G1073" s="13"/>
      <c r="H1073" s="11"/>
      <c r="I1073" s="15" t="str">
        <f aca="false">IF($F1073="","",$F1073-IF($H1073="",0,$H1073))</f>
        <v/>
      </c>
      <c r="J1073" s="16" t="str">
        <f aca="true">IF(OR($A1073="",$I1073="",$I1073&lt;=0),"",TODAY()-$A1073)</f>
        <v/>
      </c>
      <c r="K1073" s="10"/>
    </row>
    <row r="1074" customFormat="false" ht="15" hidden="false" customHeight="true" outlineLevel="0" collapsed="false">
      <c r="A1074" s="13"/>
      <c r="B1074" s="10"/>
      <c r="C1074" s="10"/>
      <c r="D1074" s="14"/>
      <c r="E1074" s="11"/>
      <c r="F1074" s="15" t="str">
        <f aca="false">IF($B1074="","",IF(AND($D1074="",$E1074=""),"",IF(OR($D1074="",$E1074=""),0,ROUND($D1074*$E1074,0))))</f>
        <v/>
      </c>
      <c r="G1074" s="13"/>
      <c r="H1074" s="11"/>
      <c r="I1074" s="15" t="str">
        <f aca="false">IF($F1074="","",$F1074-IF($H1074="",0,$H1074))</f>
        <v/>
      </c>
      <c r="J1074" s="16" t="str">
        <f aca="true">IF(OR($A1074="",$I1074="",$I1074&lt;=0),"",TODAY()-$A1074)</f>
        <v/>
      </c>
      <c r="K1074" s="10"/>
    </row>
    <row r="1075" customFormat="false" ht="15" hidden="false" customHeight="true" outlineLevel="0" collapsed="false">
      <c r="A1075" s="13"/>
      <c r="B1075" s="10"/>
      <c r="C1075" s="10"/>
      <c r="D1075" s="14"/>
      <c r="E1075" s="11"/>
      <c r="F1075" s="15" t="str">
        <f aca="false">IF($B1075="","",IF(AND($D1075="",$E1075=""),"",IF(OR($D1075="",$E1075=""),0,ROUND($D1075*$E1075,0))))</f>
        <v/>
      </c>
      <c r="G1075" s="13"/>
      <c r="H1075" s="11"/>
      <c r="I1075" s="15" t="str">
        <f aca="false">IF($F1075="","",$F1075-IF($H1075="",0,$H1075))</f>
        <v/>
      </c>
      <c r="J1075" s="16" t="str">
        <f aca="true">IF(OR($A1075="",$I1075="",$I1075&lt;=0),"",TODAY()-$A1075)</f>
        <v/>
      </c>
      <c r="K1075" s="10"/>
    </row>
    <row r="1076" customFormat="false" ht="15" hidden="false" customHeight="true" outlineLevel="0" collapsed="false">
      <c r="A1076" s="13"/>
      <c r="B1076" s="10"/>
      <c r="C1076" s="10"/>
      <c r="D1076" s="14"/>
      <c r="E1076" s="11"/>
      <c r="F1076" s="15" t="str">
        <f aca="false">IF($B1076="","",IF(AND($D1076="",$E1076=""),"",IF(OR($D1076="",$E1076=""),0,ROUND($D1076*$E1076,0))))</f>
        <v/>
      </c>
      <c r="G1076" s="13"/>
      <c r="H1076" s="11"/>
      <c r="I1076" s="15" t="str">
        <f aca="false">IF($F1076="","",$F1076-IF($H1076="",0,$H1076))</f>
        <v/>
      </c>
      <c r="J1076" s="16" t="str">
        <f aca="true">IF(OR($A1076="",$I1076="",$I1076&lt;=0),"",TODAY()-$A1076)</f>
        <v/>
      </c>
      <c r="K1076" s="10"/>
    </row>
    <row r="1077" customFormat="false" ht="15" hidden="false" customHeight="true" outlineLevel="0" collapsed="false">
      <c r="A1077" s="13"/>
      <c r="B1077" s="10"/>
      <c r="C1077" s="10"/>
      <c r="D1077" s="14"/>
      <c r="E1077" s="11"/>
      <c r="F1077" s="15" t="str">
        <f aca="false">IF($B1077="","",IF(AND($D1077="",$E1077=""),"",IF(OR($D1077="",$E1077=""),0,ROUND($D1077*$E1077,0))))</f>
        <v/>
      </c>
      <c r="G1077" s="13"/>
      <c r="H1077" s="11"/>
      <c r="I1077" s="15" t="str">
        <f aca="false">IF($F1077="","",$F1077-IF($H1077="",0,$H1077))</f>
        <v/>
      </c>
      <c r="J1077" s="16" t="str">
        <f aca="true">IF(OR($A1077="",$I1077="",$I1077&lt;=0),"",TODAY()-$A1077)</f>
        <v/>
      </c>
      <c r="K1077" s="10"/>
    </row>
    <row r="1078" customFormat="false" ht="15" hidden="false" customHeight="true" outlineLevel="0" collapsed="false">
      <c r="A1078" s="13"/>
      <c r="B1078" s="10"/>
      <c r="C1078" s="10"/>
      <c r="D1078" s="14"/>
      <c r="E1078" s="11"/>
      <c r="F1078" s="15" t="str">
        <f aca="false">IF($B1078="","",IF(AND($D1078="",$E1078=""),"",IF(OR($D1078="",$E1078=""),0,ROUND($D1078*$E1078,0))))</f>
        <v/>
      </c>
      <c r="G1078" s="13"/>
      <c r="H1078" s="11"/>
      <c r="I1078" s="15" t="str">
        <f aca="false">IF($F1078="","",$F1078-IF($H1078="",0,$H1078))</f>
        <v/>
      </c>
      <c r="J1078" s="16" t="str">
        <f aca="true">IF(OR($A1078="",$I1078="",$I1078&lt;=0),"",TODAY()-$A1078)</f>
        <v/>
      </c>
      <c r="K1078" s="10"/>
    </row>
    <row r="1079" customFormat="false" ht="15" hidden="false" customHeight="true" outlineLevel="0" collapsed="false">
      <c r="A1079" s="13"/>
      <c r="B1079" s="10"/>
      <c r="C1079" s="10"/>
      <c r="D1079" s="14"/>
      <c r="E1079" s="11"/>
      <c r="F1079" s="15" t="str">
        <f aca="false">IF($B1079="","",IF(AND($D1079="",$E1079=""),"",IF(OR($D1079="",$E1079=""),0,ROUND($D1079*$E1079,0))))</f>
        <v/>
      </c>
      <c r="G1079" s="13"/>
      <c r="H1079" s="11"/>
      <c r="I1079" s="15" t="str">
        <f aca="false">IF($F1079="","",$F1079-IF($H1079="",0,$H1079))</f>
        <v/>
      </c>
      <c r="J1079" s="16" t="str">
        <f aca="true">IF(OR($A1079="",$I1079="",$I1079&lt;=0),"",TODAY()-$A1079)</f>
        <v/>
      </c>
      <c r="K1079" s="10"/>
    </row>
    <row r="1080" customFormat="false" ht="15" hidden="false" customHeight="true" outlineLevel="0" collapsed="false">
      <c r="A1080" s="13"/>
      <c r="B1080" s="10"/>
      <c r="C1080" s="10"/>
      <c r="D1080" s="14"/>
      <c r="E1080" s="11"/>
      <c r="F1080" s="15" t="str">
        <f aca="false">IF($B1080="","",IF(AND($D1080="",$E1080=""),"",IF(OR($D1080="",$E1080=""),0,ROUND($D1080*$E1080,0))))</f>
        <v/>
      </c>
      <c r="G1080" s="13"/>
      <c r="H1080" s="11"/>
      <c r="I1080" s="15" t="str">
        <f aca="false">IF($F1080="","",$F1080-IF($H1080="",0,$H1080))</f>
        <v/>
      </c>
      <c r="J1080" s="16" t="str">
        <f aca="true">IF(OR($A1080="",$I1080="",$I1080&lt;=0),"",TODAY()-$A1080)</f>
        <v/>
      </c>
      <c r="K1080" s="10"/>
    </row>
    <row r="1081" customFormat="false" ht="15" hidden="false" customHeight="true" outlineLevel="0" collapsed="false">
      <c r="A1081" s="13"/>
      <c r="B1081" s="10"/>
      <c r="C1081" s="10"/>
      <c r="D1081" s="14"/>
      <c r="E1081" s="11"/>
      <c r="F1081" s="15" t="str">
        <f aca="false">IF($B1081="","",IF(AND($D1081="",$E1081=""),"",IF(OR($D1081="",$E1081=""),0,ROUND($D1081*$E1081,0))))</f>
        <v/>
      </c>
      <c r="G1081" s="13"/>
      <c r="H1081" s="11"/>
      <c r="I1081" s="15" t="str">
        <f aca="false">IF($F1081="","",$F1081-IF($H1081="",0,$H1081))</f>
        <v/>
      </c>
      <c r="J1081" s="16" t="str">
        <f aca="true">IF(OR($A1081="",$I1081="",$I1081&lt;=0),"",TODAY()-$A1081)</f>
        <v/>
      </c>
      <c r="K1081" s="10"/>
    </row>
    <row r="1082" customFormat="false" ht="15" hidden="false" customHeight="true" outlineLevel="0" collapsed="false">
      <c r="A1082" s="13"/>
      <c r="B1082" s="10"/>
      <c r="C1082" s="10"/>
      <c r="D1082" s="14"/>
      <c r="E1082" s="11"/>
      <c r="F1082" s="15" t="str">
        <f aca="false">IF($B1082="","",IF(AND($D1082="",$E1082=""),"",IF(OR($D1082="",$E1082=""),0,ROUND($D1082*$E1082,0))))</f>
        <v/>
      </c>
      <c r="G1082" s="13"/>
      <c r="H1082" s="11"/>
      <c r="I1082" s="15" t="str">
        <f aca="false">IF($F1082="","",$F1082-IF($H1082="",0,$H1082))</f>
        <v/>
      </c>
      <c r="J1082" s="16" t="str">
        <f aca="true">IF(OR($A1082="",$I1082="",$I1082&lt;=0),"",TODAY()-$A1082)</f>
        <v/>
      </c>
      <c r="K1082" s="10"/>
    </row>
    <row r="1083" customFormat="false" ht="15" hidden="false" customHeight="true" outlineLevel="0" collapsed="false">
      <c r="A1083" s="13"/>
      <c r="B1083" s="10"/>
      <c r="C1083" s="10"/>
      <c r="D1083" s="14"/>
      <c r="E1083" s="11"/>
      <c r="F1083" s="15" t="str">
        <f aca="false">IF($B1083="","",IF(AND($D1083="",$E1083=""),"",IF(OR($D1083="",$E1083=""),0,ROUND($D1083*$E1083,0))))</f>
        <v/>
      </c>
      <c r="G1083" s="13"/>
      <c r="H1083" s="11"/>
      <c r="I1083" s="15" t="str">
        <f aca="false">IF($F1083="","",$F1083-IF($H1083="",0,$H1083))</f>
        <v/>
      </c>
      <c r="J1083" s="16" t="str">
        <f aca="true">IF(OR($A1083="",$I1083="",$I1083&lt;=0),"",TODAY()-$A1083)</f>
        <v/>
      </c>
      <c r="K1083" s="10"/>
    </row>
    <row r="1084" customFormat="false" ht="15" hidden="false" customHeight="true" outlineLevel="0" collapsed="false">
      <c r="A1084" s="13"/>
      <c r="B1084" s="10"/>
      <c r="C1084" s="10"/>
      <c r="D1084" s="14"/>
      <c r="E1084" s="11"/>
      <c r="F1084" s="15" t="str">
        <f aca="false">IF($B1084="","",IF(AND($D1084="",$E1084=""),"",IF(OR($D1084="",$E1084=""),0,ROUND($D1084*$E1084,0))))</f>
        <v/>
      </c>
      <c r="G1084" s="13"/>
      <c r="H1084" s="11"/>
      <c r="I1084" s="15" t="str">
        <f aca="false">IF($F1084="","",$F1084-IF($H1084="",0,$H1084))</f>
        <v/>
      </c>
      <c r="J1084" s="16" t="str">
        <f aca="true">IF(OR($A1084="",$I1084="",$I1084&lt;=0),"",TODAY()-$A1084)</f>
        <v/>
      </c>
      <c r="K1084" s="10"/>
    </row>
    <row r="1085" customFormat="false" ht="15" hidden="false" customHeight="true" outlineLevel="0" collapsed="false">
      <c r="A1085" s="13"/>
      <c r="B1085" s="10"/>
      <c r="C1085" s="10"/>
      <c r="D1085" s="14"/>
      <c r="E1085" s="11"/>
      <c r="F1085" s="15" t="str">
        <f aca="false">IF($B1085="","",IF(AND($D1085="",$E1085=""),"",IF(OR($D1085="",$E1085=""),0,ROUND($D1085*$E1085,0))))</f>
        <v/>
      </c>
      <c r="G1085" s="13"/>
      <c r="H1085" s="11"/>
      <c r="I1085" s="15" t="str">
        <f aca="false">IF($F1085="","",$F1085-IF($H1085="",0,$H1085))</f>
        <v/>
      </c>
      <c r="J1085" s="16" t="str">
        <f aca="true">IF(OR($A1085="",$I1085="",$I1085&lt;=0),"",TODAY()-$A1085)</f>
        <v/>
      </c>
      <c r="K1085" s="10"/>
    </row>
    <row r="1086" customFormat="false" ht="15" hidden="false" customHeight="true" outlineLevel="0" collapsed="false">
      <c r="A1086" s="13"/>
      <c r="B1086" s="10"/>
      <c r="C1086" s="10"/>
      <c r="D1086" s="14"/>
      <c r="E1086" s="11"/>
      <c r="F1086" s="15" t="str">
        <f aca="false">IF($B1086="","",IF(AND($D1086="",$E1086=""),"",IF(OR($D1086="",$E1086=""),0,ROUND($D1086*$E1086,0))))</f>
        <v/>
      </c>
      <c r="G1086" s="13"/>
      <c r="H1086" s="11"/>
      <c r="I1086" s="15" t="str">
        <f aca="false">IF($F1086="","",$F1086-IF($H1086="",0,$H1086))</f>
        <v/>
      </c>
      <c r="J1086" s="16" t="str">
        <f aca="true">IF(OR($A1086="",$I1086="",$I1086&lt;=0),"",TODAY()-$A1086)</f>
        <v/>
      </c>
      <c r="K1086" s="10"/>
    </row>
    <row r="1087" customFormat="false" ht="15" hidden="false" customHeight="true" outlineLevel="0" collapsed="false">
      <c r="A1087" s="13"/>
      <c r="B1087" s="10"/>
      <c r="C1087" s="10"/>
      <c r="D1087" s="14"/>
      <c r="E1087" s="11"/>
      <c r="F1087" s="15" t="str">
        <f aca="false">IF($B1087="","",IF(AND($D1087="",$E1087=""),"",IF(OR($D1087="",$E1087=""),0,ROUND($D1087*$E1087,0))))</f>
        <v/>
      </c>
      <c r="G1087" s="13"/>
      <c r="H1087" s="11"/>
      <c r="I1087" s="15" t="str">
        <f aca="false">IF($F1087="","",$F1087-IF($H1087="",0,$H1087))</f>
        <v/>
      </c>
      <c r="J1087" s="16" t="str">
        <f aca="true">IF(OR($A1087="",$I1087="",$I1087&lt;=0),"",TODAY()-$A1087)</f>
        <v/>
      </c>
      <c r="K1087" s="10"/>
    </row>
    <row r="1088" customFormat="false" ht="15" hidden="false" customHeight="true" outlineLevel="0" collapsed="false">
      <c r="A1088" s="13"/>
      <c r="B1088" s="10"/>
      <c r="C1088" s="10"/>
      <c r="D1088" s="14"/>
      <c r="E1088" s="11"/>
      <c r="F1088" s="15" t="str">
        <f aca="false">IF($B1088="","",IF(AND($D1088="",$E1088=""),"",IF(OR($D1088="",$E1088=""),0,ROUND($D1088*$E1088,0))))</f>
        <v/>
      </c>
      <c r="G1088" s="13"/>
      <c r="H1088" s="11"/>
      <c r="I1088" s="15" t="str">
        <f aca="false">IF($F1088="","",$F1088-IF($H1088="",0,$H1088))</f>
        <v/>
      </c>
      <c r="J1088" s="16" t="str">
        <f aca="true">IF(OR($A1088="",$I1088="",$I1088&lt;=0),"",TODAY()-$A1088)</f>
        <v/>
      </c>
      <c r="K1088" s="10"/>
    </row>
    <row r="1089" customFormat="false" ht="15" hidden="false" customHeight="true" outlineLevel="0" collapsed="false">
      <c r="A1089" s="13"/>
      <c r="B1089" s="10"/>
      <c r="C1089" s="10"/>
      <c r="D1089" s="14"/>
      <c r="E1089" s="11"/>
      <c r="F1089" s="15" t="str">
        <f aca="false">IF($B1089="","",IF(AND($D1089="",$E1089=""),"",IF(OR($D1089="",$E1089=""),0,ROUND($D1089*$E1089,0))))</f>
        <v/>
      </c>
      <c r="G1089" s="13"/>
      <c r="H1089" s="11"/>
      <c r="I1089" s="15" t="str">
        <f aca="false">IF($F1089="","",$F1089-IF($H1089="",0,$H1089))</f>
        <v/>
      </c>
      <c r="J1089" s="16" t="str">
        <f aca="true">IF(OR($A1089="",$I1089="",$I1089&lt;=0),"",TODAY()-$A1089)</f>
        <v/>
      </c>
      <c r="K1089" s="10"/>
    </row>
    <row r="1090" customFormat="false" ht="15" hidden="false" customHeight="true" outlineLevel="0" collapsed="false">
      <c r="A1090" s="13"/>
      <c r="B1090" s="10"/>
      <c r="C1090" s="10"/>
      <c r="D1090" s="14"/>
      <c r="E1090" s="11"/>
      <c r="F1090" s="15" t="str">
        <f aca="false">IF($B1090="","",IF(AND($D1090="",$E1090=""),"",IF(OR($D1090="",$E1090=""),0,ROUND($D1090*$E1090,0))))</f>
        <v/>
      </c>
      <c r="G1090" s="13"/>
      <c r="H1090" s="11"/>
      <c r="I1090" s="15" t="str">
        <f aca="false">IF($F1090="","",$F1090-IF($H1090="",0,$H1090))</f>
        <v/>
      </c>
      <c r="J1090" s="16" t="str">
        <f aca="true">IF(OR($A1090="",$I1090="",$I1090&lt;=0),"",TODAY()-$A1090)</f>
        <v/>
      </c>
      <c r="K1090" s="10"/>
    </row>
    <row r="1091" customFormat="false" ht="15" hidden="false" customHeight="true" outlineLevel="0" collapsed="false">
      <c r="A1091" s="13"/>
      <c r="B1091" s="10"/>
      <c r="C1091" s="10"/>
      <c r="D1091" s="14"/>
      <c r="E1091" s="11"/>
      <c r="F1091" s="15" t="str">
        <f aca="false">IF($B1091="","",IF(AND($D1091="",$E1091=""),"",IF(OR($D1091="",$E1091=""),0,ROUND($D1091*$E1091,0))))</f>
        <v/>
      </c>
      <c r="G1091" s="13"/>
      <c r="H1091" s="11"/>
      <c r="I1091" s="15" t="str">
        <f aca="false">IF($F1091="","",$F1091-IF($H1091="",0,$H1091))</f>
        <v/>
      </c>
      <c r="J1091" s="16" t="str">
        <f aca="true">IF(OR($A1091="",$I1091="",$I1091&lt;=0),"",TODAY()-$A1091)</f>
        <v/>
      </c>
      <c r="K1091" s="10"/>
    </row>
    <row r="1092" customFormat="false" ht="15" hidden="false" customHeight="true" outlineLevel="0" collapsed="false">
      <c r="A1092" s="13"/>
      <c r="B1092" s="10"/>
      <c r="C1092" s="10"/>
      <c r="D1092" s="14"/>
      <c r="E1092" s="11"/>
      <c r="F1092" s="15" t="str">
        <f aca="false">IF($B1092="","",IF(AND($D1092="",$E1092=""),"",IF(OR($D1092="",$E1092=""),0,ROUND($D1092*$E1092,0))))</f>
        <v/>
      </c>
      <c r="G1092" s="13"/>
      <c r="H1092" s="11"/>
      <c r="I1092" s="15" t="str">
        <f aca="false">IF($F1092="","",$F1092-IF($H1092="",0,$H1092))</f>
        <v/>
      </c>
      <c r="J1092" s="16" t="str">
        <f aca="true">IF(OR($A1092="",$I1092="",$I1092&lt;=0),"",TODAY()-$A1092)</f>
        <v/>
      </c>
      <c r="K1092" s="10"/>
    </row>
    <row r="1093" customFormat="false" ht="15" hidden="false" customHeight="true" outlineLevel="0" collapsed="false">
      <c r="A1093" s="13"/>
      <c r="B1093" s="10"/>
      <c r="C1093" s="10"/>
      <c r="D1093" s="14"/>
      <c r="E1093" s="11"/>
      <c r="F1093" s="15" t="str">
        <f aca="false">IF($B1093="","",IF(AND($D1093="",$E1093=""),"",IF(OR($D1093="",$E1093=""),0,ROUND($D1093*$E1093,0))))</f>
        <v/>
      </c>
      <c r="G1093" s="13"/>
      <c r="H1093" s="11"/>
      <c r="I1093" s="15" t="str">
        <f aca="false">IF($F1093="","",$F1093-IF($H1093="",0,$H1093))</f>
        <v/>
      </c>
      <c r="J1093" s="16" t="str">
        <f aca="true">IF(OR($A1093="",$I1093="",$I1093&lt;=0),"",TODAY()-$A1093)</f>
        <v/>
      </c>
      <c r="K1093" s="10"/>
    </row>
    <row r="1094" customFormat="false" ht="15" hidden="false" customHeight="true" outlineLevel="0" collapsed="false">
      <c r="A1094" s="13"/>
      <c r="B1094" s="10"/>
      <c r="C1094" s="10"/>
      <c r="D1094" s="14"/>
      <c r="E1094" s="11"/>
      <c r="F1094" s="15" t="str">
        <f aca="false">IF($B1094="","",IF(AND($D1094="",$E1094=""),"",IF(OR($D1094="",$E1094=""),0,ROUND($D1094*$E1094,0))))</f>
        <v/>
      </c>
      <c r="G1094" s="13"/>
      <c r="H1094" s="11"/>
      <c r="I1094" s="15" t="str">
        <f aca="false">IF($F1094="","",$F1094-IF($H1094="",0,$H1094))</f>
        <v/>
      </c>
      <c r="J1094" s="16" t="str">
        <f aca="true">IF(OR($A1094="",$I1094="",$I1094&lt;=0),"",TODAY()-$A1094)</f>
        <v/>
      </c>
      <c r="K1094" s="10"/>
    </row>
    <row r="1095" customFormat="false" ht="15" hidden="false" customHeight="true" outlineLevel="0" collapsed="false">
      <c r="A1095" s="13"/>
      <c r="B1095" s="10"/>
      <c r="C1095" s="10"/>
      <c r="D1095" s="14"/>
      <c r="E1095" s="11"/>
      <c r="F1095" s="15" t="str">
        <f aca="false">IF($B1095="","",IF(AND($D1095="",$E1095=""),"",IF(OR($D1095="",$E1095=""),0,ROUND($D1095*$E1095,0))))</f>
        <v/>
      </c>
      <c r="G1095" s="13"/>
      <c r="H1095" s="11"/>
      <c r="I1095" s="15" t="str">
        <f aca="false">IF($F1095="","",$F1095-IF($H1095="",0,$H1095))</f>
        <v/>
      </c>
      <c r="J1095" s="16" t="str">
        <f aca="true">IF(OR($A1095="",$I1095="",$I1095&lt;=0),"",TODAY()-$A1095)</f>
        <v/>
      </c>
      <c r="K1095" s="10"/>
    </row>
    <row r="1096" customFormat="false" ht="15" hidden="false" customHeight="true" outlineLevel="0" collapsed="false">
      <c r="A1096" s="13"/>
      <c r="B1096" s="10"/>
      <c r="C1096" s="10"/>
      <c r="D1096" s="14"/>
      <c r="E1096" s="11"/>
      <c r="F1096" s="15" t="str">
        <f aca="false">IF($B1096="","",IF(AND($D1096="",$E1096=""),"",IF(OR($D1096="",$E1096=""),0,ROUND($D1096*$E1096,0))))</f>
        <v/>
      </c>
      <c r="G1096" s="13"/>
      <c r="H1096" s="11"/>
      <c r="I1096" s="15" t="str">
        <f aca="false">IF($F1096="","",$F1096-IF($H1096="",0,$H1096))</f>
        <v/>
      </c>
      <c r="J1096" s="16" t="str">
        <f aca="true">IF(OR($A1096="",$I1096="",$I1096&lt;=0),"",TODAY()-$A1096)</f>
        <v/>
      </c>
      <c r="K1096" s="10"/>
    </row>
    <row r="1097" customFormat="false" ht="15" hidden="false" customHeight="true" outlineLevel="0" collapsed="false">
      <c r="A1097" s="13"/>
      <c r="B1097" s="10"/>
      <c r="C1097" s="10"/>
      <c r="D1097" s="14"/>
      <c r="E1097" s="11"/>
      <c r="F1097" s="15" t="str">
        <f aca="false">IF($B1097="","",IF(AND($D1097="",$E1097=""),"",IF(OR($D1097="",$E1097=""),0,ROUND($D1097*$E1097,0))))</f>
        <v/>
      </c>
      <c r="G1097" s="13"/>
      <c r="H1097" s="11"/>
      <c r="I1097" s="15" t="str">
        <f aca="false">IF($F1097="","",$F1097-IF($H1097="",0,$H1097))</f>
        <v/>
      </c>
      <c r="J1097" s="16" t="str">
        <f aca="true">IF(OR($A1097="",$I1097="",$I1097&lt;=0),"",TODAY()-$A1097)</f>
        <v/>
      </c>
      <c r="K1097" s="10"/>
    </row>
    <row r="1098" customFormat="false" ht="15" hidden="false" customHeight="true" outlineLevel="0" collapsed="false">
      <c r="A1098" s="13"/>
      <c r="B1098" s="10"/>
      <c r="C1098" s="10"/>
      <c r="D1098" s="14"/>
      <c r="E1098" s="11"/>
      <c r="F1098" s="15" t="str">
        <f aca="false">IF($B1098="","",IF(AND($D1098="",$E1098=""),"",IF(OR($D1098="",$E1098=""),0,ROUND($D1098*$E1098,0))))</f>
        <v/>
      </c>
      <c r="G1098" s="13"/>
      <c r="H1098" s="11"/>
      <c r="I1098" s="15" t="str">
        <f aca="false">IF($F1098="","",$F1098-IF($H1098="",0,$H1098))</f>
        <v/>
      </c>
      <c r="J1098" s="16" t="str">
        <f aca="true">IF(OR($A1098="",$I1098="",$I1098&lt;=0),"",TODAY()-$A1098)</f>
        <v/>
      </c>
      <c r="K1098" s="10"/>
    </row>
    <row r="1099" customFormat="false" ht="15" hidden="false" customHeight="true" outlineLevel="0" collapsed="false">
      <c r="A1099" s="13"/>
      <c r="B1099" s="10"/>
      <c r="C1099" s="10"/>
      <c r="D1099" s="14"/>
      <c r="E1099" s="11"/>
      <c r="F1099" s="15" t="str">
        <f aca="false">IF($B1099="","",IF(AND($D1099="",$E1099=""),"",IF(OR($D1099="",$E1099=""),0,ROUND($D1099*$E1099,0))))</f>
        <v/>
      </c>
      <c r="G1099" s="13"/>
      <c r="H1099" s="11"/>
      <c r="I1099" s="15" t="str">
        <f aca="false">IF($F1099="","",$F1099-IF($H1099="",0,$H1099))</f>
        <v/>
      </c>
      <c r="J1099" s="16" t="str">
        <f aca="true">IF(OR($A1099="",$I1099="",$I1099&lt;=0),"",TODAY()-$A1099)</f>
        <v/>
      </c>
      <c r="K1099" s="10"/>
    </row>
    <row r="1100" customFormat="false" ht="15" hidden="false" customHeight="true" outlineLevel="0" collapsed="false">
      <c r="A1100" s="13"/>
      <c r="B1100" s="10"/>
      <c r="C1100" s="10"/>
      <c r="D1100" s="14"/>
      <c r="E1100" s="11"/>
      <c r="F1100" s="15" t="str">
        <f aca="false">IF($B1100="","",IF(AND($D1100="",$E1100=""),"",IF(OR($D1100="",$E1100=""),0,ROUND($D1100*$E1100,0))))</f>
        <v/>
      </c>
      <c r="G1100" s="13"/>
      <c r="H1100" s="11"/>
      <c r="I1100" s="15" t="str">
        <f aca="false">IF($F1100="","",$F1100-IF($H1100="",0,$H1100))</f>
        <v/>
      </c>
      <c r="J1100" s="16" t="str">
        <f aca="true">IF(OR($A1100="",$I1100="",$I1100&lt;=0),"",TODAY()-$A1100)</f>
        <v/>
      </c>
      <c r="K1100" s="10"/>
    </row>
    <row r="1101" customFormat="false" ht="15" hidden="false" customHeight="true" outlineLevel="0" collapsed="false">
      <c r="A1101" s="13"/>
      <c r="B1101" s="10"/>
      <c r="C1101" s="10"/>
      <c r="D1101" s="14"/>
      <c r="E1101" s="11"/>
      <c r="F1101" s="15" t="str">
        <f aca="false">IF($B1101="","",IF(AND($D1101="",$E1101=""),"",IF(OR($D1101="",$E1101=""),0,ROUND($D1101*$E1101,0))))</f>
        <v/>
      </c>
      <c r="G1101" s="13"/>
      <c r="H1101" s="11"/>
      <c r="I1101" s="15" t="str">
        <f aca="false">IF($F1101="","",$F1101-IF($H1101="",0,$H1101))</f>
        <v/>
      </c>
      <c r="J1101" s="16" t="str">
        <f aca="true">IF(OR($A1101="",$I1101="",$I1101&lt;=0),"",TODAY()-$A1101)</f>
        <v/>
      </c>
      <c r="K1101" s="10"/>
    </row>
    <row r="1102" customFormat="false" ht="15" hidden="false" customHeight="true" outlineLevel="0" collapsed="false">
      <c r="A1102" s="13"/>
      <c r="B1102" s="10"/>
      <c r="C1102" s="10"/>
      <c r="D1102" s="14"/>
      <c r="E1102" s="11"/>
      <c r="F1102" s="15" t="str">
        <f aca="false">IF($B1102="","",IF(AND($D1102="",$E1102=""),"",IF(OR($D1102="",$E1102=""),0,ROUND($D1102*$E1102,0))))</f>
        <v/>
      </c>
      <c r="G1102" s="13"/>
      <c r="H1102" s="11"/>
      <c r="I1102" s="15" t="str">
        <f aca="false">IF($F1102="","",$F1102-IF($H1102="",0,$H1102))</f>
        <v/>
      </c>
      <c r="J1102" s="16" t="str">
        <f aca="true">IF(OR($A1102="",$I1102="",$I1102&lt;=0),"",TODAY()-$A1102)</f>
        <v/>
      </c>
      <c r="K1102" s="10"/>
    </row>
    <row r="1103" customFormat="false" ht="15" hidden="false" customHeight="true" outlineLevel="0" collapsed="false">
      <c r="A1103" s="13"/>
      <c r="B1103" s="10"/>
      <c r="C1103" s="10"/>
      <c r="D1103" s="14"/>
      <c r="E1103" s="11"/>
      <c r="F1103" s="15" t="str">
        <f aca="false">IF($B1103="","",IF(AND($D1103="",$E1103=""),"",IF(OR($D1103="",$E1103=""),0,ROUND($D1103*$E1103,0))))</f>
        <v/>
      </c>
      <c r="G1103" s="13"/>
      <c r="H1103" s="11"/>
      <c r="I1103" s="15" t="str">
        <f aca="false">IF($F1103="","",$F1103-IF($H1103="",0,$H1103))</f>
        <v/>
      </c>
      <c r="J1103" s="16" t="str">
        <f aca="true">IF(OR($A1103="",$I1103="",$I1103&lt;=0),"",TODAY()-$A1103)</f>
        <v/>
      </c>
      <c r="K1103" s="10"/>
    </row>
    <row r="1104" customFormat="false" ht="15" hidden="false" customHeight="true" outlineLevel="0" collapsed="false">
      <c r="A1104" s="13"/>
      <c r="B1104" s="10"/>
      <c r="C1104" s="10"/>
      <c r="D1104" s="14"/>
      <c r="E1104" s="11"/>
      <c r="F1104" s="15" t="str">
        <f aca="false">IF($B1104="","",IF(AND($D1104="",$E1104=""),"",IF(OR($D1104="",$E1104=""),0,ROUND($D1104*$E1104,0))))</f>
        <v/>
      </c>
      <c r="G1104" s="13"/>
      <c r="H1104" s="11"/>
      <c r="I1104" s="15" t="str">
        <f aca="false">IF($F1104="","",$F1104-IF($H1104="",0,$H1104))</f>
        <v/>
      </c>
      <c r="J1104" s="16" t="str">
        <f aca="true">IF(OR($A1104="",$I1104="",$I1104&lt;=0),"",TODAY()-$A1104)</f>
        <v/>
      </c>
      <c r="K1104" s="10"/>
    </row>
    <row r="1105" customFormat="false" ht="15" hidden="false" customHeight="true" outlineLevel="0" collapsed="false">
      <c r="A1105" s="13"/>
      <c r="B1105" s="10"/>
      <c r="C1105" s="10"/>
      <c r="D1105" s="14"/>
      <c r="E1105" s="11"/>
      <c r="F1105" s="15" t="str">
        <f aca="false">IF($B1105="","",IF(AND($D1105="",$E1105=""),"",IF(OR($D1105="",$E1105=""),0,ROUND($D1105*$E1105,0))))</f>
        <v/>
      </c>
      <c r="G1105" s="13"/>
      <c r="H1105" s="11"/>
      <c r="I1105" s="15" t="str">
        <f aca="false">IF($F1105="","",$F1105-IF($H1105="",0,$H1105))</f>
        <v/>
      </c>
      <c r="J1105" s="16" t="str">
        <f aca="true">IF(OR($A1105="",$I1105="",$I1105&lt;=0),"",TODAY()-$A1105)</f>
        <v/>
      </c>
      <c r="K1105" s="10"/>
    </row>
    <row r="1106" customFormat="false" ht="15" hidden="false" customHeight="true" outlineLevel="0" collapsed="false">
      <c r="A1106" s="13"/>
      <c r="B1106" s="10"/>
      <c r="C1106" s="10"/>
      <c r="D1106" s="14"/>
      <c r="E1106" s="11"/>
      <c r="F1106" s="15" t="str">
        <f aca="false">IF($B1106="","",IF(AND($D1106="",$E1106=""),"",IF(OR($D1106="",$E1106=""),0,ROUND($D1106*$E1106,0))))</f>
        <v/>
      </c>
      <c r="G1106" s="13"/>
      <c r="H1106" s="11"/>
      <c r="I1106" s="15" t="str">
        <f aca="false">IF($F1106="","",$F1106-IF($H1106="",0,$H1106))</f>
        <v/>
      </c>
      <c r="J1106" s="16" t="str">
        <f aca="true">IF(OR($A1106="",$I1106="",$I1106&lt;=0),"",TODAY()-$A1106)</f>
        <v/>
      </c>
      <c r="K1106" s="10"/>
    </row>
    <row r="1107" customFormat="false" ht="15" hidden="false" customHeight="true" outlineLevel="0" collapsed="false">
      <c r="A1107" s="13"/>
      <c r="B1107" s="10"/>
      <c r="C1107" s="10"/>
      <c r="D1107" s="14"/>
      <c r="E1107" s="11"/>
      <c r="F1107" s="15" t="str">
        <f aca="false">IF($B1107="","",IF(AND($D1107="",$E1107=""),"",IF(OR($D1107="",$E1107=""),0,ROUND($D1107*$E1107,0))))</f>
        <v/>
      </c>
      <c r="G1107" s="13"/>
      <c r="H1107" s="11"/>
      <c r="I1107" s="15" t="str">
        <f aca="false">IF($F1107="","",$F1107-IF($H1107="",0,$H1107))</f>
        <v/>
      </c>
      <c r="J1107" s="16" t="str">
        <f aca="true">IF(OR($A1107="",$I1107="",$I1107&lt;=0),"",TODAY()-$A1107)</f>
        <v/>
      </c>
      <c r="K1107" s="10"/>
    </row>
    <row r="1108" customFormat="false" ht="15" hidden="false" customHeight="true" outlineLevel="0" collapsed="false">
      <c r="A1108" s="13"/>
      <c r="B1108" s="10"/>
      <c r="C1108" s="10"/>
      <c r="D1108" s="14"/>
      <c r="E1108" s="11"/>
      <c r="F1108" s="15" t="str">
        <f aca="false">IF($B1108="","",IF(AND($D1108="",$E1108=""),"",IF(OR($D1108="",$E1108=""),0,ROUND($D1108*$E1108,0))))</f>
        <v/>
      </c>
      <c r="G1108" s="13"/>
      <c r="H1108" s="11"/>
      <c r="I1108" s="15" t="str">
        <f aca="false">IF($F1108="","",$F1108-IF($H1108="",0,$H1108))</f>
        <v/>
      </c>
      <c r="J1108" s="16" t="str">
        <f aca="true">IF(OR($A1108="",$I1108="",$I1108&lt;=0),"",TODAY()-$A1108)</f>
        <v/>
      </c>
      <c r="K1108" s="10"/>
    </row>
    <row r="1109" customFormat="false" ht="15" hidden="false" customHeight="true" outlineLevel="0" collapsed="false">
      <c r="A1109" s="13"/>
      <c r="B1109" s="10"/>
      <c r="C1109" s="10"/>
      <c r="D1109" s="14"/>
      <c r="E1109" s="11"/>
      <c r="F1109" s="15" t="str">
        <f aca="false">IF($B1109="","",IF(AND($D1109="",$E1109=""),"",IF(OR($D1109="",$E1109=""),0,ROUND($D1109*$E1109,0))))</f>
        <v/>
      </c>
      <c r="G1109" s="13"/>
      <c r="H1109" s="11"/>
      <c r="I1109" s="15" t="str">
        <f aca="false">IF($F1109="","",$F1109-IF($H1109="",0,$H1109))</f>
        <v/>
      </c>
      <c r="J1109" s="16" t="str">
        <f aca="true">IF(OR($A1109="",$I1109="",$I1109&lt;=0),"",TODAY()-$A1109)</f>
        <v/>
      </c>
      <c r="K1109" s="10"/>
    </row>
    <row r="1110" customFormat="false" ht="15" hidden="false" customHeight="true" outlineLevel="0" collapsed="false">
      <c r="A1110" s="13"/>
      <c r="B1110" s="10"/>
      <c r="C1110" s="10"/>
      <c r="D1110" s="14"/>
      <c r="E1110" s="11"/>
      <c r="F1110" s="15" t="str">
        <f aca="false">IF($B1110="","",IF(AND($D1110="",$E1110=""),"",IF(OR($D1110="",$E1110=""),0,ROUND($D1110*$E1110,0))))</f>
        <v/>
      </c>
      <c r="G1110" s="13"/>
      <c r="H1110" s="11"/>
      <c r="I1110" s="15" t="str">
        <f aca="false">IF($F1110="","",$F1110-IF($H1110="",0,$H1110))</f>
        <v/>
      </c>
      <c r="J1110" s="16" t="str">
        <f aca="true">IF(OR($A1110="",$I1110="",$I1110&lt;=0),"",TODAY()-$A1110)</f>
        <v/>
      </c>
      <c r="K1110" s="10"/>
    </row>
    <row r="1111" customFormat="false" ht="15" hidden="false" customHeight="true" outlineLevel="0" collapsed="false">
      <c r="A1111" s="13"/>
      <c r="B1111" s="10"/>
      <c r="C1111" s="10"/>
      <c r="D1111" s="14"/>
      <c r="E1111" s="11"/>
      <c r="F1111" s="15" t="str">
        <f aca="false">IF($B1111="","",IF(AND($D1111="",$E1111=""),"",IF(OR($D1111="",$E1111=""),0,ROUND($D1111*$E1111,0))))</f>
        <v/>
      </c>
      <c r="G1111" s="13"/>
      <c r="H1111" s="11"/>
      <c r="I1111" s="15" t="str">
        <f aca="false">IF($F1111="","",$F1111-IF($H1111="",0,$H1111))</f>
        <v/>
      </c>
      <c r="J1111" s="16" t="str">
        <f aca="true">IF(OR($A1111="",$I1111="",$I1111&lt;=0),"",TODAY()-$A1111)</f>
        <v/>
      </c>
      <c r="K1111" s="10"/>
    </row>
    <row r="1112" customFormat="false" ht="15" hidden="false" customHeight="true" outlineLevel="0" collapsed="false">
      <c r="A1112" s="13"/>
      <c r="B1112" s="10"/>
      <c r="C1112" s="10"/>
      <c r="D1112" s="14"/>
      <c r="E1112" s="11"/>
      <c r="F1112" s="15" t="str">
        <f aca="false">IF($B1112="","",IF(AND($D1112="",$E1112=""),"",IF(OR($D1112="",$E1112=""),0,ROUND($D1112*$E1112,0))))</f>
        <v/>
      </c>
      <c r="G1112" s="13"/>
      <c r="H1112" s="11"/>
      <c r="I1112" s="15" t="str">
        <f aca="false">IF($F1112="","",$F1112-IF($H1112="",0,$H1112))</f>
        <v/>
      </c>
      <c r="J1112" s="16" t="str">
        <f aca="true">IF(OR($A1112="",$I1112="",$I1112&lt;=0),"",TODAY()-$A1112)</f>
        <v/>
      </c>
      <c r="K1112" s="10"/>
    </row>
    <row r="1113" customFormat="false" ht="15" hidden="false" customHeight="true" outlineLevel="0" collapsed="false">
      <c r="A1113" s="13"/>
      <c r="B1113" s="10"/>
      <c r="C1113" s="10"/>
      <c r="D1113" s="14"/>
      <c r="E1113" s="11"/>
      <c r="F1113" s="15" t="str">
        <f aca="false">IF($B1113="","",IF(AND($D1113="",$E1113=""),"",IF(OR($D1113="",$E1113=""),0,ROUND($D1113*$E1113,0))))</f>
        <v/>
      </c>
      <c r="G1113" s="13"/>
      <c r="H1113" s="11"/>
      <c r="I1113" s="15" t="str">
        <f aca="false">IF($F1113="","",$F1113-IF($H1113="",0,$H1113))</f>
        <v/>
      </c>
      <c r="J1113" s="16" t="str">
        <f aca="true">IF(OR($A1113="",$I1113="",$I1113&lt;=0),"",TODAY()-$A1113)</f>
        <v/>
      </c>
      <c r="K1113" s="10"/>
    </row>
    <row r="1114" customFormat="false" ht="15" hidden="false" customHeight="true" outlineLevel="0" collapsed="false">
      <c r="A1114" s="13"/>
      <c r="B1114" s="10"/>
      <c r="C1114" s="10"/>
      <c r="D1114" s="14"/>
      <c r="E1114" s="11"/>
      <c r="F1114" s="15" t="str">
        <f aca="false">IF($B1114="","",IF(AND($D1114="",$E1114=""),"",IF(OR($D1114="",$E1114=""),0,ROUND($D1114*$E1114,0))))</f>
        <v/>
      </c>
      <c r="G1114" s="13"/>
      <c r="H1114" s="11"/>
      <c r="I1114" s="15" t="str">
        <f aca="false">IF($F1114="","",$F1114-IF($H1114="",0,$H1114))</f>
        <v/>
      </c>
      <c r="J1114" s="16" t="str">
        <f aca="true">IF(OR($A1114="",$I1114="",$I1114&lt;=0),"",TODAY()-$A1114)</f>
        <v/>
      </c>
      <c r="K1114" s="10"/>
    </row>
    <row r="1115" customFormat="false" ht="15" hidden="false" customHeight="true" outlineLevel="0" collapsed="false">
      <c r="A1115" s="13"/>
      <c r="B1115" s="10"/>
      <c r="C1115" s="10"/>
      <c r="D1115" s="14"/>
      <c r="E1115" s="11"/>
      <c r="F1115" s="15" t="str">
        <f aca="false">IF($B1115="","",IF(AND($D1115="",$E1115=""),"",IF(OR($D1115="",$E1115=""),0,ROUND($D1115*$E1115,0))))</f>
        <v/>
      </c>
      <c r="G1115" s="13"/>
      <c r="H1115" s="11"/>
      <c r="I1115" s="15" t="str">
        <f aca="false">IF($F1115="","",$F1115-IF($H1115="",0,$H1115))</f>
        <v/>
      </c>
      <c r="J1115" s="16" t="str">
        <f aca="true">IF(OR($A1115="",$I1115="",$I1115&lt;=0),"",TODAY()-$A1115)</f>
        <v/>
      </c>
      <c r="K1115" s="10"/>
    </row>
    <row r="1116" customFormat="false" ht="15" hidden="false" customHeight="true" outlineLevel="0" collapsed="false">
      <c r="A1116" s="13"/>
      <c r="B1116" s="10"/>
      <c r="C1116" s="10"/>
      <c r="D1116" s="14"/>
      <c r="E1116" s="11"/>
      <c r="F1116" s="15" t="str">
        <f aca="false">IF($B1116="","",IF(AND($D1116="",$E1116=""),"",IF(OR($D1116="",$E1116=""),0,ROUND($D1116*$E1116,0))))</f>
        <v/>
      </c>
      <c r="G1116" s="13"/>
      <c r="H1116" s="11"/>
      <c r="I1116" s="15" t="str">
        <f aca="false">IF($F1116="","",$F1116-IF($H1116="",0,$H1116))</f>
        <v/>
      </c>
      <c r="J1116" s="16" t="str">
        <f aca="true">IF(OR($A1116="",$I1116="",$I1116&lt;=0),"",TODAY()-$A1116)</f>
        <v/>
      </c>
      <c r="K1116" s="10"/>
    </row>
    <row r="1117" customFormat="false" ht="15" hidden="false" customHeight="true" outlineLevel="0" collapsed="false">
      <c r="A1117" s="13"/>
      <c r="B1117" s="10"/>
      <c r="C1117" s="10"/>
      <c r="D1117" s="14"/>
      <c r="E1117" s="11"/>
      <c r="F1117" s="15" t="str">
        <f aca="false">IF($B1117="","",IF(AND($D1117="",$E1117=""),"",IF(OR($D1117="",$E1117=""),0,ROUND($D1117*$E1117,0))))</f>
        <v/>
      </c>
      <c r="G1117" s="13"/>
      <c r="H1117" s="11"/>
      <c r="I1117" s="15" t="str">
        <f aca="false">IF($F1117="","",$F1117-IF($H1117="",0,$H1117))</f>
        <v/>
      </c>
      <c r="J1117" s="16" t="str">
        <f aca="true">IF(OR($A1117="",$I1117="",$I1117&lt;=0),"",TODAY()-$A1117)</f>
        <v/>
      </c>
      <c r="K1117" s="10"/>
    </row>
    <row r="1118" customFormat="false" ht="15" hidden="false" customHeight="true" outlineLevel="0" collapsed="false">
      <c r="A1118" s="13"/>
      <c r="B1118" s="10"/>
      <c r="C1118" s="10"/>
      <c r="D1118" s="14"/>
      <c r="E1118" s="11"/>
      <c r="F1118" s="15" t="str">
        <f aca="false">IF($B1118="","",IF(AND($D1118="",$E1118=""),"",IF(OR($D1118="",$E1118=""),0,ROUND($D1118*$E1118,0))))</f>
        <v/>
      </c>
      <c r="G1118" s="13"/>
      <c r="H1118" s="11"/>
      <c r="I1118" s="15" t="str">
        <f aca="false">IF($F1118="","",$F1118-IF($H1118="",0,$H1118))</f>
        <v/>
      </c>
      <c r="J1118" s="16" t="str">
        <f aca="true">IF(OR($A1118="",$I1118="",$I1118&lt;=0),"",TODAY()-$A1118)</f>
        <v/>
      </c>
      <c r="K1118" s="10"/>
    </row>
    <row r="1119" customFormat="false" ht="15" hidden="false" customHeight="true" outlineLevel="0" collapsed="false">
      <c r="A1119" s="13"/>
      <c r="B1119" s="10"/>
      <c r="C1119" s="10"/>
      <c r="D1119" s="14"/>
      <c r="E1119" s="11"/>
      <c r="F1119" s="15" t="str">
        <f aca="false">IF($B1119="","",IF(AND($D1119="",$E1119=""),"",IF(OR($D1119="",$E1119=""),0,ROUND($D1119*$E1119,0))))</f>
        <v/>
      </c>
      <c r="G1119" s="13"/>
      <c r="H1119" s="11"/>
      <c r="I1119" s="15" t="str">
        <f aca="false">IF($F1119="","",$F1119-IF($H1119="",0,$H1119))</f>
        <v/>
      </c>
      <c r="J1119" s="16" t="str">
        <f aca="true">IF(OR($A1119="",$I1119="",$I1119&lt;=0),"",TODAY()-$A1119)</f>
        <v/>
      </c>
      <c r="K1119" s="10"/>
    </row>
    <row r="1120" customFormat="false" ht="15" hidden="false" customHeight="true" outlineLevel="0" collapsed="false">
      <c r="A1120" s="13"/>
      <c r="B1120" s="10"/>
      <c r="C1120" s="10"/>
      <c r="D1120" s="14"/>
      <c r="E1120" s="11"/>
      <c r="F1120" s="15" t="str">
        <f aca="false">IF($B1120="","",IF(AND($D1120="",$E1120=""),"",IF(OR($D1120="",$E1120=""),0,ROUND($D1120*$E1120,0))))</f>
        <v/>
      </c>
      <c r="G1120" s="13"/>
      <c r="H1120" s="11"/>
      <c r="I1120" s="15" t="str">
        <f aca="false">IF($F1120="","",$F1120-IF($H1120="",0,$H1120))</f>
        <v/>
      </c>
      <c r="J1120" s="16" t="str">
        <f aca="true">IF(OR($A1120="",$I1120="",$I1120&lt;=0),"",TODAY()-$A1120)</f>
        <v/>
      </c>
      <c r="K1120" s="10"/>
    </row>
    <row r="1121" customFormat="false" ht="15" hidden="false" customHeight="true" outlineLevel="0" collapsed="false">
      <c r="A1121" s="13"/>
      <c r="B1121" s="10"/>
      <c r="C1121" s="10"/>
      <c r="D1121" s="14"/>
      <c r="E1121" s="11"/>
      <c r="F1121" s="15" t="str">
        <f aca="false">IF($B1121="","",IF(AND($D1121="",$E1121=""),"",IF(OR($D1121="",$E1121=""),0,ROUND($D1121*$E1121,0))))</f>
        <v/>
      </c>
      <c r="G1121" s="13"/>
      <c r="H1121" s="11"/>
      <c r="I1121" s="15" t="str">
        <f aca="false">IF($F1121="","",$F1121-IF($H1121="",0,$H1121))</f>
        <v/>
      </c>
      <c r="J1121" s="16" t="str">
        <f aca="true">IF(OR($A1121="",$I1121="",$I1121&lt;=0),"",TODAY()-$A1121)</f>
        <v/>
      </c>
      <c r="K1121" s="10"/>
    </row>
    <row r="1122" customFormat="false" ht="15" hidden="false" customHeight="true" outlineLevel="0" collapsed="false">
      <c r="A1122" s="13"/>
      <c r="B1122" s="10"/>
      <c r="C1122" s="10"/>
      <c r="D1122" s="14"/>
      <c r="E1122" s="11"/>
      <c r="F1122" s="15" t="str">
        <f aca="false">IF($B1122="","",IF(AND($D1122="",$E1122=""),"",IF(OR($D1122="",$E1122=""),0,ROUND($D1122*$E1122,0))))</f>
        <v/>
      </c>
      <c r="G1122" s="13"/>
      <c r="H1122" s="11"/>
      <c r="I1122" s="15" t="str">
        <f aca="false">IF($F1122="","",$F1122-IF($H1122="",0,$H1122))</f>
        <v/>
      </c>
      <c r="J1122" s="16" t="str">
        <f aca="true">IF(OR($A1122="",$I1122="",$I1122&lt;=0),"",TODAY()-$A1122)</f>
        <v/>
      </c>
      <c r="K1122" s="10"/>
    </row>
    <row r="1123" customFormat="false" ht="15" hidden="false" customHeight="true" outlineLevel="0" collapsed="false">
      <c r="A1123" s="13"/>
      <c r="B1123" s="10"/>
      <c r="C1123" s="10"/>
      <c r="D1123" s="14"/>
      <c r="E1123" s="11"/>
      <c r="F1123" s="15" t="str">
        <f aca="false">IF($B1123="","",IF(AND($D1123="",$E1123=""),"",IF(OR($D1123="",$E1123=""),0,ROUND($D1123*$E1123,0))))</f>
        <v/>
      </c>
      <c r="G1123" s="13"/>
      <c r="H1123" s="11"/>
      <c r="I1123" s="15" t="str">
        <f aca="false">IF($F1123="","",$F1123-IF($H1123="",0,$H1123))</f>
        <v/>
      </c>
      <c r="J1123" s="16" t="str">
        <f aca="true">IF(OR($A1123="",$I1123="",$I1123&lt;=0),"",TODAY()-$A1123)</f>
        <v/>
      </c>
      <c r="K1123" s="10"/>
    </row>
    <row r="1124" customFormat="false" ht="15" hidden="false" customHeight="true" outlineLevel="0" collapsed="false">
      <c r="A1124" s="13"/>
      <c r="B1124" s="10"/>
      <c r="C1124" s="10"/>
      <c r="D1124" s="14"/>
      <c r="E1124" s="11"/>
      <c r="F1124" s="15" t="str">
        <f aca="false">IF($B1124="","",IF(AND($D1124="",$E1124=""),"",IF(OR($D1124="",$E1124=""),0,ROUND($D1124*$E1124,0))))</f>
        <v/>
      </c>
      <c r="G1124" s="13"/>
      <c r="H1124" s="11"/>
      <c r="I1124" s="15" t="str">
        <f aca="false">IF($F1124="","",$F1124-IF($H1124="",0,$H1124))</f>
        <v/>
      </c>
      <c r="J1124" s="16" t="str">
        <f aca="true">IF(OR($A1124="",$I1124="",$I1124&lt;=0),"",TODAY()-$A1124)</f>
        <v/>
      </c>
      <c r="K1124" s="10"/>
    </row>
    <row r="1125" customFormat="false" ht="15" hidden="false" customHeight="true" outlineLevel="0" collapsed="false">
      <c r="A1125" s="13"/>
      <c r="B1125" s="10"/>
      <c r="C1125" s="10"/>
      <c r="D1125" s="14"/>
      <c r="E1125" s="11"/>
      <c r="F1125" s="15" t="str">
        <f aca="false">IF($B1125="","",IF(AND($D1125="",$E1125=""),"",IF(OR($D1125="",$E1125=""),0,ROUND($D1125*$E1125,0))))</f>
        <v/>
      </c>
      <c r="G1125" s="13"/>
      <c r="H1125" s="11"/>
      <c r="I1125" s="15" t="str">
        <f aca="false">IF($F1125="","",$F1125-IF($H1125="",0,$H1125))</f>
        <v/>
      </c>
      <c r="J1125" s="16" t="str">
        <f aca="true">IF(OR($A1125="",$I1125="",$I1125&lt;=0),"",TODAY()-$A1125)</f>
        <v/>
      </c>
      <c r="K1125" s="10"/>
    </row>
    <row r="1126" customFormat="false" ht="15" hidden="false" customHeight="true" outlineLevel="0" collapsed="false">
      <c r="A1126" s="13"/>
      <c r="B1126" s="10"/>
      <c r="C1126" s="10"/>
      <c r="D1126" s="14"/>
      <c r="E1126" s="11"/>
      <c r="F1126" s="15" t="str">
        <f aca="false">IF($B1126="","",IF(AND($D1126="",$E1126=""),"",IF(OR($D1126="",$E1126=""),0,ROUND($D1126*$E1126,0))))</f>
        <v/>
      </c>
      <c r="G1126" s="13"/>
      <c r="H1126" s="11"/>
      <c r="I1126" s="15" t="str">
        <f aca="false">IF($F1126="","",$F1126-IF($H1126="",0,$H1126))</f>
        <v/>
      </c>
      <c r="J1126" s="16" t="str">
        <f aca="true">IF(OR($A1126="",$I1126="",$I1126&lt;=0),"",TODAY()-$A1126)</f>
        <v/>
      </c>
      <c r="K1126" s="10"/>
    </row>
    <row r="1127" customFormat="false" ht="15" hidden="false" customHeight="true" outlineLevel="0" collapsed="false">
      <c r="A1127" s="13"/>
      <c r="B1127" s="10"/>
      <c r="C1127" s="10"/>
      <c r="D1127" s="14"/>
      <c r="E1127" s="11"/>
      <c r="F1127" s="15" t="str">
        <f aca="false">IF($B1127="","",IF(AND($D1127="",$E1127=""),"",IF(OR($D1127="",$E1127=""),0,ROUND($D1127*$E1127,0))))</f>
        <v/>
      </c>
      <c r="G1127" s="13"/>
      <c r="H1127" s="11"/>
      <c r="I1127" s="15" t="str">
        <f aca="false">IF($F1127="","",$F1127-IF($H1127="",0,$H1127))</f>
        <v/>
      </c>
      <c r="J1127" s="16" t="str">
        <f aca="true">IF(OR($A1127="",$I1127="",$I1127&lt;=0),"",TODAY()-$A1127)</f>
        <v/>
      </c>
      <c r="K1127" s="10"/>
    </row>
    <row r="1128" customFormat="false" ht="15" hidden="false" customHeight="true" outlineLevel="0" collapsed="false">
      <c r="A1128" s="13"/>
      <c r="B1128" s="10"/>
      <c r="C1128" s="10"/>
      <c r="D1128" s="14"/>
      <c r="E1128" s="11"/>
      <c r="F1128" s="15" t="str">
        <f aca="false">IF($B1128="","",IF(AND($D1128="",$E1128=""),"",IF(OR($D1128="",$E1128=""),0,ROUND($D1128*$E1128,0))))</f>
        <v/>
      </c>
      <c r="G1128" s="13"/>
      <c r="H1128" s="11"/>
      <c r="I1128" s="15" t="str">
        <f aca="false">IF($F1128="","",$F1128-IF($H1128="",0,$H1128))</f>
        <v/>
      </c>
      <c r="J1128" s="16" t="str">
        <f aca="true">IF(OR($A1128="",$I1128="",$I1128&lt;=0),"",TODAY()-$A1128)</f>
        <v/>
      </c>
      <c r="K1128" s="10"/>
    </row>
    <row r="1129" customFormat="false" ht="15" hidden="false" customHeight="true" outlineLevel="0" collapsed="false">
      <c r="A1129" s="13"/>
      <c r="B1129" s="10"/>
      <c r="C1129" s="10"/>
      <c r="D1129" s="14"/>
      <c r="E1129" s="11"/>
      <c r="F1129" s="15" t="str">
        <f aca="false">IF($B1129="","",IF(AND($D1129="",$E1129=""),"",IF(OR($D1129="",$E1129=""),0,ROUND($D1129*$E1129,0))))</f>
        <v/>
      </c>
      <c r="G1129" s="13"/>
      <c r="H1129" s="11"/>
      <c r="I1129" s="15" t="str">
        <f aca="false">IF($F1129="","",$F1129-IF($H1129="",0,$H1129))</f>
        <v/>
      </c>
      <c r="J1129" s="16" t="str">
        <f aca="true">IF(OR($A1129="",$I1129="",$I1129&lt;=0),"",TODAY()-$A1129)</f>
        <v/>
      </c>
      <c r="K1129" s="10"/>
    </row>
    <row r="1130" customFormat="false" ht="15" hidden="false" customHeight="true" outlineLevel="0" collapsed="false">
      <c r="A1130" s="13"/>
      <c r="B1130" s="10"/>
      <c r="C1130" s="10"/>
      <c r="D1130" s="14"/>
      <c r="E1130" s="11"/>
      <c r="F1130" s="15" t="str">
        <f aca="false">IF($B1130="","",IF(AND($D1130="",$E1130=""),"",IF(OR($D1130="",$E1130=""),0,ROUND($D1130*$E1130,0))))</f>
        <v/>
      </c>
      <c r="G1130" s="13"/>
      <c r="H1130" s="11"/>
      <c r="I1130" s="15" t="str">
        <f aca="false">IF($F1130="","",$F1130-IF($H1130="",0,$H1130))</f>
        <v/>
      </c>
      <c r="J1130" s="16" t="str">
        <f aca="true">IF(OR($A1130="",$I1130="",$I1130&lt;=0),"",TODAY()-$A1130)</f>
        <v/>
      </c>
      <c r="K1130" s="10"/>
    </row>
    <row r="1131" customFormat="false" ht="15" hidden="false" customHeight="true" outlineLevel="0" collapsed="false">
      <c r="A1131" s="13"/>
      <c r="B1131" s="10"/>
      <c r="C1131" s="10"/>
      <c r="D1131" s="14"/>
      <c r="E1131" s="11"/>
      <c r="F1131" s="15" t="str">
        <f aca="false">IF($B1131="","",IF(AND($D1131="",$E1131=""),"",IF(OR($D1131="",$E1131=""),0,ROUND($D1131*$E1131,0))))</f>
        <v/>
      </c>
      <c r="G1131" s="13"/>
      <c r="H1131" s="11"/>
      <c r="I1131" s="15" t="str">
        <f aca="false">IF($F1131="","",$F1131-IF($H1131="",0,$H1131))</f>
        <v/>
      </c>
      <c r="J1131" s="16" t="str">
        <f aca="true">IF(OR($A1131="",$I1131="",$I1131&lt;=0),"",TODAY()-$A1131)</f>
        <v/>
      </c>
      <c r="K1131" s="10"/>
    </row>
    <row r="1132" customFormat="false" ht="15" hidden="false" customHeight="true" outlineLevel="0" collapsed="false">
      <c r="A1132" s="13"/>
      <c r="B1132" s="10"/>
      <c r="C1132" s="10"/>
      <c r="D1132" s="14"/>
      <c r="E1132" s="11"/>
      <c r="F1132" s="15" t="str">
        <f aca="false">IF($B1132="","",IF(AND($D1132="",$E1132=""),"",IF(OR($D1132="",$E1132=""),0,ROUND($D1132*$E1132,0))))</f>
        <v/>
      </c>
      <c r="G1132" s="13"/>
      <c r="H1132" s="11"/>
      <c r="I1132" s="15" t="str">
        <f aca="false">IF($F1132="","",$F1132-IF($H1132="",0,$H1132))</f>
        <v/>
      </c>
      <c r="J1132" s="16" t="str">
        <f aca="true">IF(OR($A1132="",$I1132="",$I1132&lt;=0),"",TODAY()-$A1132)</f>
        <v/>
      </c>
      <c r="K1132" s="10"/>
    </row>
    <row r="1133" customFormat="false" ht="15" hidden="false" customHeight="true" outlineLevel="0" collapsed="false">
      <c r="A1133" s="13"/>
      <c r="B1133" s="10"/>
      <c r="C1133" s="10"/>
      <c r="D1133" s="14"/>
      <c r="E1133" s="11"/>
      <c r="F1133" s="15" t="str">
        <f aca="false">IF($B1133="","",IF(AND($D1133="",$E1133=""),"",IF(OR($D1133="",$E1133=""),0,ROUND($D1133*$E1133,0))))</f>
        <v/>
      </c>
      <c r="G1133" s="13"/>
      <c r="H1133" s="11"/>
      <c r="I1133" s="15" t="str">
        <f aca="false">IF($F1133="","",$F1133-IF($H1133="",0,$H1133))</f>
        <v/>
      </c>
      <c r="J1133" s="16" t="str">
        <f aca="true">IF(OR($A1133="",$I1133="",$I1133&lt;=0),"",TODAY()-$A1133)</f>
        <v/>
      </c>
      <c r="K1133" s="10"/>
    </row>
    <row r="1134" customFormat="false" ht="15" hidden="false" customHeight="true" outlineLevel="0" collapsed="false">
      <c r="A1134" s="13"/>
      <c r="B1134" s="10"/>
      <c r="C1134" s="10"/>
      <c r="D1134" s="14"/>
      <c r="E1134" s="11"/>
      <c r="F1134" s="15" t="str">
        <f aca="false">IF($B1134="","",IF(AND($D1134="",$E1134=""),"",IF(OR($D1134="",$E1134=""),0,ROUND($D1134*$E1134,0))))</f>
        <v/>
      </c>
      <c r="G1134" s="13"/>
      <c r="H1134" s="11"/>
      <c r="I1134" s="15" t="str">
        <f aca="false">IF($F1134="","",$F1134-IF($H1134="",0,$H1134))</f>
        <v/>
      </c>
      <c r="J1134" s="16" t="str">
        <f aca="true">IF(OR($A1134="",$I1134="",$I1134&lt;=0),"",TODAY()-$A1134)</f>
        <v/>
      </c>
      <c r="K1134" s="10"/>
    </row>
    <row r="1135" customFormat="false" ht="15" hidden="false" customHeight="true" outlineLevel="0" collapsed="false">
      <c r="A1135" s="13"/>
      <c r="B1135" s="10"/>
      <c r="C1135" s="10"/>
      <c r="D1135" s="14"/>
      <c r="E1135" s="11"/>
      <c r="F1135" s="15" t="str">
        <f aca="false">IF($B1135="","",IF(AND($D1135="",$E1135=""),"",IF(OR($D1135="",$E1135=""),0,ROUND($D1135*$E1135,0))))</f>
        <v/>
      </c>
      <c r="G1135" s="13"/>
      <c r="H1135" s="11"/>
      <c r="I1135" s="15" t="str">
        <f aca="false">IF($F1135="","",$F1135-IF($H1135="",0,$H1135))</f>
        <v/>
      </c>
      <c r="J1135" s="16" t="str">
        <f aca="true">IF(OR($A1135="",$I1135="",$I1135&lt;=0),"",TODAY()-$A1135)</f>
        <v/>
      </c>
      <c r="K1135" s="10"/>
    </row>
    <row r="1136" customFormat="false" ht="15" hidden="false" customHeight="true" outlineLevel="0" collapsed="false">
      <c r="A1136" s="13"/>
      <c r="B1136" s="10"/>
      <c r="C1136" s="10"/>
      <c r="D1136" s="14"/>
      <c r="E1136" s="11"/>
      <c r="F1136" s="15" t="str">
        <f aca="false">IF($B1136="","",IF(AND($D1136="",$E1136=""),"",IF(OR($D1136="",$E1136=""),0,ROUND($D1136*$E1136,0))))</f>
        <v/>
      </c>
      <c r="G1136" s="13"/>
      <c r="H1136" s="11"/>
      <c r="I1136" s="15" t="str">
        <f aca="false">IF($F1136="","",$F1136-IF($H1136="",0,$H1136))</f>
        <v/>
      </c>
      <c r="J1136" s="16" t="str">
        <f aca="true">IF(OR($A1136="",$I1136="",$I1136&lt;=0),"",TODAY()-$A1136)</f>
        <v/>
      </c>
      <c r="K1136" s="10"/>
    </row>
    <row r="1137" customFormat="false" ht="15" hidden="false" customHeight="true" outlineLevel="0" collapsed="false">
      <c r="A1137" s="13"/>
      <c r="B1137" s="10"/>
      <c r="C1137" s="10"/>
      <c r="D1137" s="14"/>
      <c r="E1137" s="11"/>
      <c r="F1137" s="15" t="str">
        <f aca="false">IF($B1137="","",IF(AND($D1137="",$E1137=""),"",IF(OR($D1137="",$E1137=""),0,ROUND($D1137*$E1137,0))))</f>
        <v/>
      </c>
      <c r="G1137" s="13"/>
      <c r="H1137" s="11"/>
      <c r="I1137" s="15" t="str">
        <f aca="false">IF($F1137="","",$F1137-IF($H1137="",0,$H1137))</f>
        <v/>
      </c>
      <c r="J1137" s="16" t="str">
        <f aca="true">IF(OR($A1137="",$I1137="",$I1137&lt;=0),"",TODAY()-$A1137)</f>
        <v/>
      </c>
      <c r="K1137" s="10"/>
    </row>
    <row r="1138" customFormat="false" ht="15" hidden="false" customHeight="true" outlineLevel="0" collapsed="false">
      <c r="A1138" s="13"/>
      <c r="B1138" s="10"/>
      <c r="C1138" s="10"/>
      <c r="D1138" s="14"/>
      <c r="E1138" s="11"/>
      <c r="F1138" s="15" t="str">
        <f aca="false">IF($B1138="","",IF(AND($D1138="",$E1138=""),"",IF(OR($D1138="",$E1138=""),0,ROUND($D1138*$E1138,0))))</f>
        <v/>
      </c>
      <c r="G1138" s="13"/>
      <c r="H1138" s="11"/>
      <c r="I1138" s="15" t="str">
        <f aca="false">IF($F1138="","",$F1138-IF($H1138="",0,$H1138))</f>
        <v/>
      </c>
      <c r="J1138" s="16" t="str">
        <f aca="true">IF(OR($A1138="",$I1138="",$I1138&lt;=0),"",TODAY()-$A1138)</f>
        <v/>
      </c>
      <c r="K1138" s="10"/>
    </row>
    <row r="1139" customFormat="false" ht="15" hidden="false" customHeight="true" outlineLevel="0" collapsed="false">
      <c r="A1139" s="13"/>
      <c r="B1139" s="10"/>
      <c r="C1139" s="10"/>
      <c r="D1139" s="14"/>
      <c r="E1139" s="11"/>
      <c r="F1139" s="15" t="str">
        <f aca="false">IF($B1139="","",IF(AND($D1139="",$E1139=""),"",IF(OR($D1139="",$E1139=""),0,ROUND($D1139*$E1139,0))))</f>
        <v/>
      </c>
      <c r="G1139" s="13"/>
      <c r="H1139" s="11"/>
      <c r="I1139" s="15" t="str">
        <f aca="false">IF($F1139="","",$F1139-IF($H1139="",0,$H1139))</f>
        <v/>
      </c>
      <c r="J1139" s="16" t="str">
        <f aca="true">IF(OR($A1139="",$I1139="",$I1139&lt;=0),"",TODAY()-$A1139)</f>
        <v/>
      </c>
      <c r="K1139" s="10"/>
    </row>
    <row r="1140" customFormat="false" ht="15" hidden="false" customHeight="true" outlineLevel="0" collapsed="false">
      <c r="A1140" s="13"/>
      <c r="B1140" s="10"/>
      <c r="C1140" s="10"/>
      <c r="D1140" s="14"/>
      <c r="E1140" s="11"/>
      <c r="F1140" s="15" t="str">
        <f aca="false">IF($B1140="","",IF(AND($D1140="",$E1140=""),"",IF(OR($D1140="",$E1140=""),0,ROUND($D1140*$E1140,0))))</f>
        <v/>
      </c>
      <c r="G1140" s="13"/>
      <c r="H1140" s="11"/>
      <c r="I1140" s="15" t="str">
        <f aca="false">IF($F1140="","",$F1140-IF($H1140="",0,$H1140))</f>
        <v/>
      </c>
      <c r="J1140" s="16" t="str">
        <f aca="true">IF(OR($A1140="",$I1140="",$I1140&lt;=0),"",TODAY()-$A1140)</f>
        <v/>
      </c>
      <c r="K1140" s="10"/>
    </row>
    <row r="1141" customFormat="false" ht="15" hidden="false" customHeight="true" outlineLevel="0" collapsed="false">
      <c r="A1141" s="13"/>
      <c r="B1141" s="10"/>
      <c r="C1141" s="10"/>
      <c r="D1141" s="14"/>
      <c r="E1141" s="11"/>
      <c r="F1141" s="15" t="str">
        <f aca="false">IF($B1141="","",IF(AND($D1141="",$E1141=""),"",IF(OR($D1141="",$E1141=""),0,ROUND($D1141*$E1141,0))))</f>
        <v/>
      </c>
      <c r="G1141" s="13"/>
      <c r="H1141" s="11"/>
      <c r="I1141" s="15" t="str">
        <f aca="false">IF($F1141="","",$F1141-IF($H1141="",0,$H1141))</f>
        <v/>
      </c>
      <c r="J1141" s="16" t="str">
        <f aca="true">IF(OR($A1141="",$I1141="",$I1141&lt;=0),"",TODAY()-$A1141)</f>
        <v/>
      </c>
      <c r="K1141" s="10"/>
    </row>
    <row r="1142" customFormat="false" ht="15" hidden="false" customHeight="true" outlineLevel="0" collapsed="false">
      <c r="A1142" s="13"/>
      <c r="B1142" s="10"/>
      <c r="C1142" s="10"/>
      <c r="D1142" s="14"/>
      <c r="E1142" s="11"/>
      <c r="F1142" s="15" t="str">
        <f aca="false">IF($B1142="","",IF(AND($D1142="",$E1142=""),"",IF(OR($D1142="",$E1142=""),0,ROUND($D1142*$E1142,0))))</f>
        <v/>
      </c>
      <c r="G1142" s="13"/>
      <c r="H1142" s="11"/>
      <c r="I1142" s="15" t="str">
        <f aca="false">IF($F1142="","",$F1142-IF($H1142="",0,$H1142))</f>
        <v/>
      </c>
      <c r="J1142" s="16" t="str">
        <f aca="true">IF(OR($A1142="",$I1142="",$I1142&lt;=0),"",TODAY()-$A1142)</f>
        <v/>
      </c>
      <c r="K1142" s="10"/>
    </row>
    <row r="1143" customFormat="false" ht="15" hidden="false" customHeight="true" outlineLevel="0" collapsed="false">
      <c r="A1143" s="13"/>
      <c r="B1143" s="10"/>
      <c r="C1143" s="10"/>
      <c r="D1143" s="14"/>
      <c r="E1143" s="11"/>
      <c r="F1143" s="15" t="str">
        <f aca="false">IF($B1143="","",IF(AND($D1143="",$E1143=""),"",IF(OR($D1143="",$E1143=""),0,ROUND($D1143*$E1143,0))))</f>
        <v/>
      </c>
      <c r="G1143" s="13"/>
      <c r="H1143" s="11"/>
      <c r="I1143" s="15" t="str">
        <f aca="false">IF($F1143="","",$F1143-IF($H1143="",0,$H1143))</f>
        <v/>
      </c>
      <c r="J1143" s="16" t="str">
        <f aca="true">IF(OR($A1143="",$I1143="",$I1143&lt;=0),"",TODAY()-$A1143)</f>
        <v/>
      </c>
      <c r="K1143" s="10"/>
    </row>
    <row r="1144" customFormat="false" ht="15" hidden="false" customHeight="true" outlineLevel="0" collapsed="false">
      <c r="A1144" s="13"/>
      <c r="B1144" s="10"/>
      <c r="C1144" s="10"/>
      <c r="D1144" s="14"/>
      <c r="E1144" s="11"/>
      <c r="F1144" s="15" t="str">
        <f aca="false">IF($B1144="","",IF(AND($D1144="",$E1144=""),"",IF(OR($D1144="",$E1144=""),0,ROUND($D1144*$E1144,0))))</f>
        <v/>
      </c>
      <c r="G1144" s="13"/>
      <c r="H1144" s="11"/>
      <c r="I1144" s="15" t="str">
        <f aca="false">IF($F1144="","",$F1144-IF($H1144="",0,$H1144))</f>
        <v/>
      </c>
      <c r="J1144" s="16" t="str">
        <f aca="true">IF(OR($A1144="",$I1144="",$I1144&lt;=0),"",TODAY()-$A1144)</f>
        <v/>
      </c>
      <c r="K1144" s="10"/>
    </row>
    <row r="1145" customFormat="false" ht="15" hidden="false" customHeight="true" outlineLevel="0" collapsed="false">
      <c r="A1145" s="13"/>
      <c r="B1145" s="10"/>
      <c r="C1145" s="10"/>
      <c r="D1145" s="14"/>
      <c r="E1145" s="11"/>
      <c r="F1145" s="15" t="str">
        <f aca="false">IF($B1145="","",IF(AND($D1145="",$E1145=""),"",IF(OR($D1145="",$E1145=""),0,ROUND($D1145*$E1145,0))))</f>
        <v/>
      </c>
      <c r="G1145" s="13"/>
      <c r="H1145" s="11"/>
      <c r="I1145" s="15" t="str">
        <f aca="false">IF($F1145="","",$F1145-IF($H1145="",0,$H1145))</f>
        <v/>
      </c>
      <c r="J1145" s="16" t="str">
        <f aca="true">IF(OR($A1145="",$I1145="",$I1145&lt;=0),"",TODAY()-$A1145)</f>
        <v/>
      </c>
      <c r="K1145" s="10"/>
    </row>
    <row r="1146" customFormat="false" ht="15" hidden="false" customHeight="true" outlineLevel="0" collapsed="false">
      <c r="A1146" s="13"/>
      <c r="B1146" s="10"/>
      <c r="C1146" s="10"/>
      <c r="D1146" s="14"/>
      <c r="E1146" s="11"/>
      <c r="F1146" s="15" t="str">
        <f aca="false">IF($B1146="","",IF(AND($D1146="",$E1146=""),"",IF(OR($D1146="",$E1146=""),0,ROUND($D1146*$E1146,0))))</f>
        <v/>
      </c>
      <c r="G1146" s="13"/>
      <c r="H1146" s="11"/>
      <c r="I1146" s="15" t="str">
        <f aca="false">IF($F1146="","",$F1146-IF($H1146="",0,$H1146))</f>
        <v/>
      </c>
      <c r="J1146" s="16" t="str">
        <f aca="true">IF(OR($A1146="",$I1146="",$I1146&lt;=0),"",TODAY()-$A1146)</f>
        <v/>
      </c>
      <c r="K1146" s="10"/>
    </row>
    <row r="1147" customFormat="false" ht="15" hidden="false" customHeight="true" outlineLevel="0" collapsed="false">
      <c r="A1147" s="13"/>
      <c r="B1147" s="10"/>
      <c r="C1147" s="10"/>
      <c r="D1147" s="14"/>
      <c r="E1147" s="11"/>
      <c r="F1147" s="15" t="str">
        <f aca="false">IF($B1147="","",IF(AND($D1147="",$E1147=""),"",IF(OR($D1147="",$E1147=""),0,ROUND($D1147*$E1147,0))))</f>
        <v/>
      </c>
      <c r="G1147" s="13"/>
      <c r="H1147" s="11"/>
      <c r="I1147" s="15" t="str">
        <f aca="false">IF($F1147="","",$F1147-IF($H1147="",0,$H1147))</f>
        <v/>
      </c>
      <c r="J1147" s="16" t="str">
        <f aca="true">IF(OR($A1147="",$I1147="",$I1147&lt;=0),"",TODAY()-$A1147)</f>
        <v/>
      </c>
      <c r="K1147" s="10"/>
    </row>
    <row r="1148" customFormat="false" ht="15" hidden="false" customHeight="true" outlineLevel="0" collapsed="false">
      <c r="A1148" s="13"/>
      <c r="B1148" s="10"/>
      <c r="C1148" s="10"/>
      <c r="D1148" s="14"/>
      <c r="E1148" s="11"/>
      <c r="F1148" s="15" t="str">
        <f aca="false">IF($B1148="","",IF(AND($D1148="",$E1148=""),"",IF(OR($D1148="",$E1148=""),0,ROUND($D1148*$E1148,0))))</f>
        <v/>
      </c>
      <c r="G1148" s="13"/>
      <c r="H1148" s="11"/>
      <c r="I1148" s="15" t="str">
        <f aca="false">IF($F1148="","",$F1148-IF($H1148="",0,$H1148))</f>
        <v/>
      </c>
      <c r="J1148" s="16" t="str">
        <f aca="true">IF(OR($A1148="",$I1148="",$I1148&lt;=0),"",TODAY()-$A1148)</f>
        <v/>
      </c>
      <c r="K1148" s="10"/>
    </row>
    <row r="1149" customFormat="false" ht="15" hidden="false" customHeight="true" outlineLevel="0" collapsed="false">
      <c r="A1149" s="13"/>
      <c r="B1149" s="10"/>
      <c r="C1149" s="10"/>
      <c r="D1149" s="14"/>
      <c r="E1149" s="11"/>
      <c r="F1149" s="15" t="str">
        <f aca="false">IF($B1149="","",IF(AND($D1149="",$E1149=""),"",IF(OR($D1149="",$E1149=""),0,ROUND($D1149*$E1149,0))))</f>
        <v/>
      </c>
      <c r="G1149" s="13"/>
      <c r="H1149" s="11"/>
      <c r="I1149" s="15" t="str">
        <f aca="false">IF($F1149="","",$F1149-IF($H1149="",0,$H1149))</f>
        <v/>
      </c>
      <c r="J1149" s="16" t="str">
        <f aca="true">IF(OR($A1149="",$I1149="",$I1149&lt;=0),"",TODAY()-$A1149)</f>
        <v/>
      </c>
      <c r="K1149" s="10"/>
    </row>
    <row r="1150" customFormat="false" ht="15" hidden="false" customHeight="true" outlineLevel="0" collapsed="false">
      <c r="A1150" s="13"/>
      <c r="B1150" s="10"/>
      <c r="C1150" s="10"/>
      <c r="D1150" s="14"/>
      <c r="E1150" s="11"/>
      <c r="F1150" s="15" t="str">
        <f aca="false">IF($B1150="","",IF(AND($D1150="",$E1150=""),"",IF(OR($D1150="",$E1150=""),0,ROUND($D1150*$E1150,0))))</f>
        <v/>
      </c>
      <c r="G1150" s="13"/>
      <c r="H1150" s="11"/>
      <c r="I1150" s="15" t="str">
        <f aca="false">IF($F1150="","",$F1150-IF($H1150="",0,$H1150))</f>
        <v/>
      </c>
      <c r="J1150" s="16" t="str">
        <f aca="true">IF(OR($A1150="",$I1150="",$I1150&lt;=0),"",TODAY()-$A1150)</f>
        <v/>
      </c>
      <c r="K1150" s="10"/>
    </row>
    <row r="1151" customFormat="false" ht="15" hidden="false" customHeight="true" outlineLevel="0" collapsed="false">
      <c r="A1151" s="13"/>
      <c r="B1151" s="10"/>
      <c r="C1151" s="10"/>
      <c r="D1151" s="14"/>
      <c r="E1151" s="11"/>
      <c r="F1151" s="15" t="str">
        <f aca="false">IF($B1151="","",IF(AND($D1151="",$E1151=""),"",IF(OR($D1151="",$E1151=""),0,ROUND($D1151*$E1151,0))))</f>
        <v/>
      </c>
      <c r="G1151" s="13"/>
      <c r="H1151" s="11"/>
      <c r="I1151" s="15" t="str">
        <f aca="false">IF($F1151="","",$F1151-IF($H1151="",0,$H1151))</f>
        <v/>
      </c>
      <c r="J1151" s="16" t="str">
        <f aca="true">IF(OR($A1151="",$I1151="",$I1151&lt;=0),"",TODAY()-$A1151)</f>
        <v/>
      </c>
      <c r="K1151" s="10"/>
    </row>
    <row r="1152" customFormat="false" ht="15" hidden="false" customHeight="true" outlineLevel="0" collapsed="false">
      <c r="A1152" s="13"/>
      <c r="B1152" s="10"/>
      <c r="C1152" s="10"/>
      <c r="D1152" s="14"/>
      <c r="E1152" s="11"/>
      <c r="F1152" s="15" t="str">
        <f aca="false">IF($B1152="","",IF(AND($D1152="",$E1152=""),"",IF(OR($D1152="",$E1152=""),0,ROUND($D1152*$E1152,0))))</f>
        <v/>
      </c>
      <c r="G1152" s="13"/>
      <c r="H1152" s="11"/>
      <c r="I1152" s="15" t="str">
        <f aca="false">IF($F1152="","",$F1152-IF($H1152="",0,$H1152))</f>
        <v/>
      </c>
      <c r="J1152" s="16" t="str">
        <f aca="true">IF(OR($A1152="",$I1152="",$I1152&lt;=0),"",TODAY()-$A1152)</f>
        <v/>
      </c>
      <c r="K1152" s="10"/>
    </row>
    <row r="1153" customFormat="false" ht="15" hidden="false" customHeight="true" outlineLevel="0" collapsed="false">
      <c r="A1153" s="13"/>
      <c r="B1153" s="10"/>
      <c r="C1153" s="10"/>
      <c r="D1153" s="14"/>
      <c r="E1153" s="11"/>
      <c r="F1153" s="15" t="str">
        <f aca="false">IF($B1153="","",IF(AND($D1153="",$E1153=""),"",IF(OR($D1153="",$E1153=""),0,ROUND($D1153*$E1153,0))))</f>
        <v/>
      </c>
      <c r="G1153" s="13"/>
      <c r="H1153" s="11"/>
      <c r="I1153" s="15" t="str">
        <f aca="false">IF($F1153="","",$F1153-IF($H1153="",0,$H1153))</f>
        <v/>
      </c>
      <c r="J1153" s="16" t="str">
        <f aca="true">IF(OR($A1153="",$I1153="",$I1153&lt;=0),"",TODAY()-$A1153)</f>
        <v/>
      </c>
      <c r="K1153" s="10"/>
    </row>
    <row r="1154" customFormat="false" ht="15" hidden="false" customHeight="true" outlineLevel="0" collapsed="false">
      <c r="A1154" s="13"/>
      <c r="B1154" s="10"/>
      <c r="C1154" s="10"/>
      <c r="D1154" s="14"/>
      <c r="E1154" s="11"/>
      <c r="F1154" s="15" t="str">
        <f aca="false">IF($B1154="","",IF(AND($D1154="",$E1154=""),"",IF(OR($D1154="",$E1154=""),0,ROUND($D1154*$E1154,0))))</f>
        <v/>
      </c>
      <c r="G1154" s="13"/>
      <c r="H1154" s="11"/>
      <c r="I1154" s="15" t="str">
        <f aca="false">IF($F1154="","",$F1154-IF($H1154="",0,$H1154))</f>
        <v/>
      </c>
      <c r="J1154" s="16" t="str">
        <f aca="true">IF(OR($A1154="",$I1154="",$I1154&lt;=0),"",TODAY()-$A1154)</f>
        <v/>
      </c>
      <c r="K1154" s="10"/>
    </row>
    <row r="1155" customFormat="false" ht="15" hidden="false" customHeight="true" outlineLevel="0" collapsed="false">
      <c r="A1155" s="13"/>
      <c r="B1155" s="10"/>
      <c r="C1155" s="10"/>
      <c r="D1155" s="14"/>
      <c r="E1155" s="11"/>
      <c r="F1155" s="15" t="str">
        <f aca="false">IF($B1155="","",IF(AND($D1155="",$E1155=""),"",IF(OR($D1155="",$E1155=""),0,ROUND($D1155*$E1155,0))))</f>
        <v/>
      </c>
      <c r="G1155" s="13"/>
      <c r="H1155" s="11"/>
      <c r="I1155" s="15" t="str">
        <f aca="false">IF($F1155="","",$F1155-IF($H1155="",0,$H1155))</f>
        <v/>
      </c>
      <c r="J1155" s="16" t="str">
        <f aca="true">IF(OR($A1155="",$I1155="",$I1155&lt;=0),"",TODAY()-$A1155)</f>
        <v/>
      </c>
      <c r="K1155" s="10"/>
    </row>
    <row r="1156" customFormat="false" ht="15" hidden="false" customHeight="true" outlineLevel="0" collapsed="false">
      <c r="A1156" s="13"/>
      <c r="B1156" s="10"/>
      <c r="C1156" s="10"/>
      <c r="D1156" s="14"/>
      <c r="E1156" s="11"/>
      <c r="F1156" s="15" t="str">
        <f aca="false">IF($B1156="","",IF(AND($D1156="",$E1156=""),"",IF(OR($D1156="",$E1156=""),0,ROUND($D1156*$E1156,0))))</f>
        <v/>
      </c>
      <c r="G1156" s="13"/>
      <c r="H1156" s="11"/>
      <c r="I1156" s="15" t="str">
        <f aca="false">IF($F1156="","",$F1156-IF($H1156="",0,$H1156))</f>
        <v/>
      </c>
      <c r="J1156" s="16" t="str">
        <f aca="true">IF(OR($A1156="",$I1156="",$I1156&lt;=0),"",TODAY()-$A1156)</f>
        <v/>
      </c>
      <c r="K1156" s="10"/>
    </row>
    <row r="1157" customFormat="false" ht="15" hidden="false" customHeight="true" outlineLevel="0" collapsed="false">
      <c r="A1157" s="13"/>
      <c r="B1157" s="10"/>
      <c r="C1157" s="10"/>
      <c r="D1157" s="14"/>
      <c r="E1157" s="11"/>
      <c r="F1157" s="15" t="str">
        <f aca="false">IF($B1157="","",IF(AND($D1157="",$E1157=""),"",IF(OR($D1157="",$E1157=""),0,ROUND($D1157*$E1157,0))))</f>
        <v/>
      </c>
      <c r="G1157" s="13"/>
      <c r="H1157" s="11"/>
      <c r="I1157" s="15" t="str">
        <f aca="false">IF($F1157="","",$F1157-IF($H1157="",0,$H1157))</f>
        <v/>
      </c>
      <c r="J1157" s="16" t="str">
        <f aca="true">IF(OR($A1157="",$I1157="",$I1157&lt;=0),"",TODAY()-$A1157)</f>
        <v/>
      </c>
      <c r="K1157" s="10"/>
    </row>
    <row r="1158" customFormat="false" ht="15" hidden="false" customHeight="true" outlineLevel="0" collapsed="false">
      <c r="A1158" s="13"/>
      <c r="B1158" s="10"/>
      <c r="C1158" s="10"/>
      <c r="D1158" s="14"/>
      <c r="E1158" s="11"/>
      <c r="F1158" s="15" t="str">
        <f aca="false">IF($B1158="","",IF(AND($D1158="",$E1158=""),"",IF(OR($D1158="",$E1158=""),0,ROUND($D1158*$E1158,0))))</f>
        <v/>
      </c>
      <c r="G1158" s="13"/>
      <c r="H1158" s="11"/>
      <c r="I1158" s="15" t="str">
        <f aca="false">IF($F1158="","",$F1158-IF($H1158="",0,$H1158))</f>
        <v/>
      </c>
      <c r="J1158" s="16" t="str">
        <f aca="true">IF(OR($A1158="",$I1158="",$I1158&lt;=0),"",TODAY()-$A1158)</f>
        <v/>
      </c>
      <c r="K1158" s="10"/>
    </row>
    <row r="1159" customFormat="false" ht="15" hidden="false" customHeight="true" outlineLevel="0" collapsed="false">
      <c r="A1159" s="13"/>
      <c r="B1159" s="10"/>
      <c r="C1159" s="10"/>
      <c r="D1159" s="14"/>
      <c r="E1159" s="11"/>
      <c r="F1159" s="15" t="str">
        <f aca="false">IF($B1159="","",IF(AND($D1159="",$E1159=""),"",IF(OR($D1159="",$E1159=""),0,ROUND($D1159*$E1159,0))))</f>
        <v/>
      </c>
      <c r="G1159" s="13"/>
      <c r="H1159" s="11"/>
      <c r="I1159" s="15" t="str">
        <f aca="false">IF($F1159="","",$F1159-IF($H1159="",0,$H1159))</f>
        <v/>
      </c>
      <c r="J1159" s="16" t="str">
        <f aca="true">IF(OR($A1159="",$I1159="",$I1159&lt;=0),"",TODAY()-$A1159)</f>
        <v/>
      </c>
      <c r="K1159" s="10"/>
    </row>
    <row r="1160" customFormat="false" ht="15" hidden="false" customHeight="true" outlineLevel="0" collapsed="false">
      <c r="A1160" s="13"/>
      <c r="B1160" s="10"/>
      <c r="C1160" s="10"/>
      <c r="D1160" s="14"/>
      <c r="E1160" s="11"/>
      <c r="F1160" s="15" t="str">
        <f aca="false">IF($B1160="","",IF(AND($D1160="",$E1160=""),"",IF(OR($D1160="",$E1160=""),0,ROUND($D1160*$E1160,0))))</f>
        <v/>
      </c>
      <c r="G1160" s="13"/>
      <c r="H1160" s="11"/>
      <c r="I1160" s="15" t="str">
        <f aca="false">IF($F1160="","",$F1160-IF($H1160="",0,$H1160))</f>
        <v/>
      </c>
      <c r="J1160" s="16" t="str">
        <f aca="true">IF(OR($A1160="",$I1160="",$I1160&lt;=0),"",TODAY()-$A1160)</f>
        <v/>
      </c>
      <c r="K1160" s="10"/>
    </row>
    <row r="1161" customFormat="false" ht="15" hidden="false" customHeight="true" outlineLevel="0" collapsed="false">
      <c r="A1161" s="13"/>
      <c r="B1161" s="10"/>
      <c r="C1161" s="10"/>
      <c r="D1161" s="14"/>
      <c r="E1161" s="11"/>
      <c r="F1161" s="15" t="str">
        <f aca="false">IF($B1161="","",IF(AND($D1161="",$E1161=""),"",IF(OR($D1161="",$E1161=""),0,ROUND($D1161*$E1161,0))))</f>
        <v/>
      </c>
      <c r="G1161" s="13"/>
      <c r="H1161" s="11"/>
      <c r="I1161" s="15" t="str">
        <f aca="false">IF($F1161="","",$F1161-IF($H1161="",0,$H1161))</f>
        <v/>
      </c>
      <c r="J1161" s="16" t="str">
        <f aca="true">IF(OR($A1161="",$I1161="",$I1161&lt;=0),"",TODAY()-$A1161)</f>
        <v/>
      </c>
      <c r="K1161" s="10"/>
    </row>
    <row r="1162" customFormat="false" ht="15" hidden="false" customHeight="true" outlineLevel="0" collapsed="false">
      <c r="A1162" s="13"/>
      <c r="B1162" s="10"/>
      <c r="C1162" s="10"/>
      <c r="D1162" s="14"/>
      <c r="E1162" s="11"/>
      <c r="F1162" s="15" t="str">
        <f aca="false">IF($B1162="","",IF(AND($D1162="",$E1162=""),"",IF(OR($D1162="",$E1162=""),0,ROUND($D1162*$E1162,0))))</f>
        <v/>
      </c>
      <c r="G1162" s="13"/>
      <c r="H1162" s="11"/>
      <c r="I1162" s="15" t="str">
        <f aca="false">IF($F1162="","",$F1162-IF($H1162="",0,$H1162))</f>
        <v/>
      </c>
      <c r="J1162" s="16" t="str">
        <f aca="true">IF(OR($A1162="",$I1162="",$I1162&lt;=0),"",TODAY()-$A1162)</f>
        <v/>
      </c>
      <c r="K1162" s="10"/>
    </row>
    <row r="1163" customFormat="false" ht="15" hidden="false" customHeight="true" outlineLevel="0" collapsed="false">
      <c r="A1163" s="13"/>
      <c r="B1163" s="10"/>
      <c r="C1163" s="10"/>
      <c r="D1163" s="14"/>
      <c r="E1163" s="11"/>
      <c r="F1163" s="15" t="str">
        <f aca="false">IF($B1163="","",IF(AND($D1163="",$E1163=""),"",IF(OR($D1163="",$E1163=""),0,ROUND($D1163*$E1163,0))))</f>
        <v/>
      </c>
      <c r="G1163" s="13"/>
      <c r="H1163" s="11"/>
      <c r="I1163" s="15" t="str">
        <f aca="false">IF($F1163="","",$F1163-IF($H1163="",0,$H1163))</f>
        <v/>
      </c>
      <c r="J1163" s="16" t="str">
        <f aca="true">IF(OR($A1163="",$I1163="",$I1163&lt;=0),"",TODAY()-$A1163)</f>
        <v/>
      </c>
      <c r="K1163" s="10"/>
    </row>
    <row r="1164" customFormat="false" ht="15" hidden="false" customHeight="true" outlineLevel="0" collapsed="false">
      <c r="A1164" s="13"/>
      <c r="B1164" s="10"/>
      <c r="C1164" s="10"/>
      <c r="D1164" s="14"/>
      <c r="E1164" s="11"/>
      <c r="F1164" s="15" t="str">
        <f aca="false">IF($B1164="","",IF(AND($D1164="",$E1164=""),"",IF(OR($D1164="",$E1164=""),0,ROUND($D1164*$E1164,0))))</f>
        <v/>
      </c>
      <c r="G1164" s="13"/>
      <c r="H1164" s="11"/>
      <c r="I1164" s="15" t="str">
        <f aca="false">IF($F1164="","",$F1164-IF($H1164="",0,$H1164))</f>
        <v/>
      </c>
      <c r="J1164" s="16" t="str">
        <f aca="true">IF(OR($A1164="",$I1164="",$I1164&lt;=0),"",TODAY()-$A1164)</f>
        <v/>
      </c>
      <c r="K1164" s="10"/>
    </row>
    <row r="1165" customFormat="false" ht="15" hidden="false" customHeight="true" outlineLevel="0" collapsed="false">
      <c r="A1165" s="13"/>
      <c r="B1165" s="10"/>
      <c r="C1165" s="10"/>
      <c r="D1165" s="14"/>
      <c r="E1165" s="11"/>
      <c r="F1165" s="15" t="str">
        <f aca="false">IF($B1165="","",IF(AND($D1165="",$E1165=""),"",IF(OR($D1165="",$E1165=""),0,ROUND($D1165*$E1165,0))))</f>
        <v/>
      </c>
      <c r="G1165" s="13"/>
      <c r="H1165" s="11"/>
      <c r="I1165" s="15" t="str">
        <f aca="false">IF($F1165="","",$F1165-IF($H1165="",0,$H1165))</f>
        <v/>
      </c>
      <c r="J1165" s="16" t="str">
        <f aca="true">IF(OR($A1165="",$I1165="",$I1165&lt;=0),"",TODAY()-$A1165)</f>
        <v/>
      </c>
      <c r="K1165" s="10"/>
    </row>
    <row r="1166" customFormat="false" ht="15" hidden="false" customHeight="true" outlineLevel="0" collapsed="false">
      <c r="A1166" s="13"/>
      <c r="B1166" s="10"/>
      <c r="C1166" s="10"/>
      <c r="D1166" s="14"/>
      <c r="E1166" s="11"/>
      <c r="F1166" s="15" t="str">
        <f aca="false">IF($B1166="","",IF(AND($D1166="",$E1166=""),"",IF(OR($D1166="",$E1166=""),0,ROUND($D1166*$E1166,0))))</f>
        <v/>
      </c>
      <c r="G1166" s="13"/>
      <c r="H1166" s="11"/>
      <c r="I1166" s="15" t="str">
        <f aca="false">IF($F1166="","",$F1166-IF($H1166="",0,$H1166))</f>
        <v/>
      </c>
      <c r="J1166" s="16" t="str">
        <f aca="true">IF(OR($A1166="",$I1166="",$I1166&lt;=0),"",TODAY()-$A1166)</f>
        <v/>
      </c>
      <c r="K1166" s="10"/>
    </row>
    <row r="1167" customFormat="false" ht="15" hidden="false" customHeight="true" outlineLevel="0" collapsed="false">
      <c r="A1167" s="13"/>
      <c r="B1167" s="10"/>
      <c r="C1167" s="10"/>
      <c r="D1167" s="14"/>
      <c r="E1167" s="11"/>
      <c r="F1167" s="15" t="str">
        <f aca="false">IF($B1167="","",IF(AND($D1167="",$E1167=""),"",IF(OR($D1167="",$E1167=""),0,ROUND($D1167*$E1167,0))))</f>
        <v/>
      </c>
      <c r="G1167" s="13"/>
      <c r="H1167" s="11"/>
      <c r="I1167" s="15" t="str">
        <f aca="false">IF($F1167="","",$F1167-IF($H1167="",0,$H1167))</f>
        <v/>
      </c>
      <c r="J1167" s="16" t="str">
        <f aca="true">IF(OR($A1167="",$I1167="",$I1167&lt;=0),"",TODAY()-$A1167)</f>
        <v/>
      </c>
      <c r="K1167" s="10"/>
    </row>
    <row r="1168" customFormat="false" ht="15" hidden="false" customHeight="true" outlineLevel="0" collapsed="false">
      <c r="A1168" s="13"/>
      <c r="B1168" s="10"/>
      <c r="C1168" s="10"/>
      <c r="D1168" s="14"/>
      <c r="E1168" s="11"/>
      <c r="F1168" s="15" t="str">
        <f aca="false">IF($B1168="","",IF(AND($D1168="",$E1168=""),"",IF(OR($D1168="",$E1168=""),0,ROUND($D1168*$E1168,0))))</f>
        <v/>
      </c>
      <c r="G1168" s="13"/>
      <c r="H1168" s="11"/>
      <c r="I1168" s="15" t="str">
        <f aca="false">IF($F1168="","",$F1168-IF($H1168="",0,$H1168))</f>
        <v/>
      </c>
      <c r="J1168" s="16" t="str">
        <f aca="true">IF(OR($A1168="",$I1168="",$I1168&lt;=0),"",TODAY()-$A1168)</f>
        <v/>
      </c>
      <c r="K1168" s="10"/>
    </row>
    <row r="1169" customFormat="false" ht="15" hidden="false" customHeight="true" outlineLevel="0" collapsed="false">
      <c r="A1169" s="13"/>
      <c r="B1169" s="10"/>
      <c r="C1169" s="10"/>
      <c r="D1169" s="14"/>
      <c r="E1169" s="11"/>
      <c r="F1169" s="15" t="str">
        <f aca="false">IF($B1169="","",IF(AND($D1169="",$E1169=""),"",IF(OR($D1169="",$E1169=""),0,ROUND($D1169*$E1169,0))))</f>
        <v/>
      </c>
      <c r="G1169" s="13"/>
      <c r="H1169" s="11"/>
      <c r="I1169" s="15" t="str">
        <f aca="false">IF($F1169="","",$F1169-IF($H1169="",0,$H1169))</f>
        <v/>
      </c>
      <c r="J1169" s="16" t="str">
        <f aca="true">IF(OR($A1169="",$I1169="",$I1169&lt;=0),"",TODAY()-$A1169)</f>
        <v/>
      </c>
      <c r="K1169" s="10"/>
    </row>
    <row r="1170" customFormat="false" ht="15" hidden="false" customHeight="true" outlineLevel="0" collapsed="false">
      <c r="A1170" s="13"/>
      <c r="B1170" s="10"/>
      <c r="C1170" s="10"/>
      <c r="D1170" s="14"/>
      <c r="E1170" s="11"/>
      <c r="F1170" s="15" t="str">
        <f aca="false">IF($B1170="","",IF(AND($D1170="",$E1170=""),"",IF(OR($D1170="",$E1170=""),0,ROUND($D1170*$E1170,0))))</f>
        <v/>
      </c>
      <c r="G1170" s="13"/>
      <c r="H1170" s="11"/>
      <c r="I1170" s="15" t="str">
        <f aca="false">IF($F1170="","",$F1170-IF($H1170="",0,$H1170))</f>
        <v/>
      </c>
      <c r="J1170" s="16" t="str">
        <f aca="true">IF(OR($A1170="",$I1170="",$I1170&lt;=0),"",TODAY()-$A1170)</f>
        <v/>
      </c>
      <c r="K1170" s="10"/>
    </row>
    <row r="1171" customFormat="false" ht="15" hidden="false" customHeight="true" outlineLevel="0" collapsed="false">
      <c r="A1171" s="13"/>
      <c r="B1171" s="10"/>
      <c r="C1171" s="10"/>
      <c r="D1171" s="14"/>
      <c r="E1171" s="11"/>
      <c r="F1171" s="15" t="str">
        <f aca="false">IF($B1171="","",IF(AND($D1171="",$E1171=""),"",IF(OR($D1171="",$E1171=""),0,ROUND($D1171*$E1171,0))))</f>
        <v/>
      </c>
      <c r="G1171" s="13"/>
      <c r="H1171" s="11"/>
      <c r="I1171" s="15" t="str">
        <f aca="false">IF($F1171="","",$F1171-IF($H1171="",0,$H1171))</f>
        <v/>
      </c>
      <c r="J1171" s="16" t="str">
        <f aca="true">IF(OR($A1171="",$I1171="",$I1171&lt;=0),"",TODAY()-$A1171)</f>
        <v/>
      </c>
      <c r="K1171" s="10"/>
    </row>
    <row r="1172" customFormat="false" ht="15" hidden="false" customHeight="true" outlineLevel="0" collapsed="false">
      <c r="A1172" s="13"/>
      <c r="B1172" s="10"/>
      <c r="C1172" s="10"/>
      <c r="D1172" s="14"/>
      <c r="E1172" s="11"/>
      <c r="F1172" s="15" t="str">
        <f aca="false">IF($B1172="","",IF(AND($D1172="",$E1172=""),"",IF(OR($D1172="",$E1172=""),0,ROUND($D1172*$E1172,0))))</f>
        <v/>
      </c>
      <c r="G1172" s="13"/>
      <c r="H1172" s="11"/>
      <c r="I1172" s="15" t="str">
        <f aca="false">IF($F1172="","",$F1172-IF($H1172="",0,$H1172))</f>
        <v/>
      </c>
      <c r="J1172" s="16" t="str">
        <f aca="true">IF(OR($A1172="",$I1172="",$I1172&lt;=0),"",TODAY()-$A1172)</f>
        <v/>
      </c>
      <c r="K1172" s="10"/>
    </row>
    <row r="1173" customFormat="false" ht="15" hidden="false" customHeight="true" outlineLevel="0" collapsed="false">
      <c r="A1173" s="13"/>
      <c r="B1173" s="10"/>
      <c r="C1173" s="10"/>
      <c r="D1173" s="14"/>
      <c r="E1173" s="11"/>
      <c r="F1173" s="15" t="str">
        <f aca="false">IF($B1173="","",IF(AND($D1173="",$E1173=""),"",IF(OR($D1173="",$E1173=""),0,ROUND($D1173*$E1173,0))))</f>
        <v/>
      </c>
      <c r="G1173" s="13"/>
      <c r="H1173" s="11"/>
      <c r="I1173" s="15" t="str">
        <f aca="false">IF($F1173="","",$F1173-IF($H1173="",0,$H1173))</f>
        <v/>
      </c>
      <c r="J1173" s="16" t="str">
        <f aca="true">IF(OR($A1173="",$I1173="",$I1173&lt;=0),"",TODAY()-$A1173)</f>
        <v/>
      </c>
      <c r="K1173" s="10"/>
    </row>
    <row r="1174" customFormat="false" ht="15" hidden="false" customHeight="true" outlineLevel="0" collapsed="false">
      <c r="A1174" s="13"/>
      <c r="B1174" s="10"/>
      <c r="C1174" s="10"/>
      <c r="D1174" s="14"/>
      <c r="E1174" s="11"/>
      <c r="F1174" s="15" t="str">
        <f aca="false">IF($B1174="","",IF(AND($D1174="",$E1174=""),"",IF(OR($D1174="",$E1174=""),0,ROUND($D1174*$E1174,0))))</f>
        <v/>
      </c>
      <c r="G1174" s="13"/>
      <c r="H1174" s="11"/>
      <c r="I1174" s="15" t="str">
        <f aca="false">IF($F1174="","",$F1174-IF($H1174="",0,$H1174))</f>
        <v/>
      </c>
      <c r="J1174" s="16" t="str">
        <f aca="true">IF(OR($A1174="",$I1174="",$I1174&lt;=0),"",TODAY()-$A1174)</f>
        <v/>
      </c>
      <c r="K1174" s="10"/>
    </row>
    <row r="1175" customFormat="false" ht="15" hidden="false" customHeight="true" outlineLevel="0" collapsed="false">
      <c r="A1175" s="13"/>
      <c r="B1175" s="10"/>
      <c r="C1175" s="10"/>
      <c r="D1175" s="14"/>
      <c r="E1175" s="11"/>
      <c r="F1175" s="15" t="str">
        <f aca="false">IF($B1175="","",IF(AND($D1175="",$E1175=""),"",IF(OR($D1175="",$E1175=""),0,ROUND($D1175*$E1175,0))))</f>
        <v/>
      </c>
      <c r="G1175" s="13"/>
      <c r="H1175" s="11"/>
      <c r="I1175" s="15" t="str">
        <f aca="false">IF($F1175="","",$F1175-IF($H1175="",0,$H1175))</f>
        <v/>
      </c>
      <c r="J1175" s="16" t="str">
        <f aca="true">IF(OR($A1175="",$I1175="",$I1175&lt;=0),"",TODAY()-$A1175)</f>
        <v/>
      </c>
      <c r="K1175" s="10"/>
    </row>
    <row r="1176" customFormat="false" ht="15" hidden="false" customHeight="true" outlineLevel="0" collapsed="false">
      <c r="A1176" s="13"/>
      <c r="B1176" s="10"/>
      <c r="C1176" s="10"/>
      <c r="D1176" s="14"/>
      <c r="E1176" s="11"/>
      <c r="F1176" s="15" t="str">
        <f aca="false">IF($B1176="","",IF(AND($D1176="",$E1176=""),"",IF(OR($D1176="",$E1176=""),0,ROUND($D1176*$E1176,0))))</f>
        <v/>
      </c>
      <c r="G1176" s="13"/>
      <c r="H1176" s="11"/>
      <c r="I1176" s="15" t="str">
        <f aca="false">IF($F1176="","",$F1176-IF($H1176="",0,$H1176))</f>
        <v/>
      </c>
      <c r="J1176" s="16" t="str">
        <f aca="true">IF(OR($A1176="",$I1176="",$I1176&lt;=0),"",TODAY()-$A1176)</f>
        <v/>
      </c>
      <c r="K1176" s="10"/>
    </row>
    <row r="1177" customFormat="false" ht="15" hidden="false" customHeight="true" outlineLevel="0" collapsed="false">
      <c r="A1177" s="13"/>
      <c r="B1177" s="10"/>
      <c r="C1177" s="10"/>
      <c r="D1177" s="14"/>
      <c r="E1177" s="11"/>
      <c r="F1177" s="15" t="str">
        <f aca="false">IF($B1177="","",IF(AND($D1177="",$E1177=""),"",IF(OR($D1177="",$E1177=""),0,ROUND($D1177*$E1177,0))))</f>
        <v/>
      </c>
      <c r="G1177" s="13"/>
      <c r="H1177" s="11"/>
      <c r="I1177" s="15" t="str">
        <f aca="false">IF($F1177="","",$F1177-IF($H1177="",0,$H1177))</f>
        <v/>
      </c>
      <c r="J1177" s="16" t="str">
        <f aca="true">IF(OR($A1177="",$I1177="",$I1177&lt;=0),"",TODAY()-$A1177)</f>
        <v/>
      </c>
      <c r="K1177" s="10"/>
    </row>
    <row r="1178" customFormat="false" ht="15" hidden="false" customHeight="true" outlineLevel="0" collapsed="false">
      <c r="A1178" s="13"/>
      <c r="B1178" s="10"/>
      <c r="C1178" s="10"/>
      <c r="D1178" s="14"/>
      <c r="E1178" s="11"/>
      <c r="F1178" s="15" t="str">
        <f aca="false">IF($B1178="","",IF(AND($D1178="",$E1178=""),"",IF(OR($D1178="",$E1178=""),0,ROUND($D1178*$E1178,0))))</f>
        <v/>
      </c>
      <c r="G1178" s="13"/>
      <c r="H1178" s="11"/>
      <c r="I1178" s="15" t="str">
        <f aca="false">IF($F1178="","",$F1178-IF($H1178="",0,$H1178))</f>
        <v/>
      </c>
      <c r="J1178" s="16" t="str">
        <f aca="true">IF(OR($A1178="",$I1178="",$I1178&lt;=0),"",TODAY()-$A1178)</f>
        <v/>
      </c>
      <c r="K1178" s="10"/>
    </row>
    <row r="1179" customFormat="false" ht="15" hidden="false" customHeight="true" outlineLevel="0" collapsed="false">
      <c r="A1179" s="13"/>
      <c r="B1179" s="10"/>
      <c r="C1179" s="10"/>
      <c r="D1179" s="14"/>
      <c r="E1179" s="11"/>
      <c r="F1179" s="15" t="str">
        <f aca="false">IF($B1179="","",IF(AND($D1179="",$E1179=""),"",IF(OR($D1179="",$E1179=""),0,ROUND($D1179*$E1179,0))))</f>
        <v/>
      </c>
      <c r="G1179" s="13"/>
      <c r="H1179" s="11"/>
      <c r="I1179" s="15" t="str">
        <f aca="false">IF($F1179="","",$F1179-IF($H1179="",0,$H1179))</f>
        <v/>
      </c>
      <c r="J1179" s="16" t="str">
        <f aca="true">IF(OR($A1179="",$I1179="",$I1179&lt;=0),"",TODAY()-$A1179)</f>
        <v/>
      </c>
      <c r="K1179" s="10"/>
    </row>
    <row r="1180" customFormat="false" ht="15" hidden="false" customHeight="true" outlineLevel="0" collapsed="false">
      <c r="A1180" s="13"/>
      <c r="B1180" s="10"/>
      <c r="C1180" s="10"/>
      <c r="D1180" s="14"/>
      <c r="E1180" s="11"/>
      <c r="F1180" s="15" t="str">
        <f aca="false">IF($B1180="","",IF(AND($D1180="",$E1180=""),"",IF(OR($D1180="",$E1180=""),0,ROUND($D1180*$E1180,0))))</f>
        <v/>
      </c>
      <c r="G1180" s="13"/>
      <c r="H1180" s="11"/>
      <c r="I1180" s="15" t="str">
        <f aca="false">IF($F1180="","",$F1180-IF($H1180="",0,$H1180))</f>
        <v/>
      </c>
      <c r="J1180" s="16" t="str">
        <f aca="true">IF(OR($A1180="",$I1180="",$I1180&lt;=0),"",TODAY()-$A1180)</f>
        <v/>
      </c>
      <c r="K1180" s="10"/>
    </row>
    <row r="1181" customFormat="false" ht="15" hidden="false" customHeight="true" outlineLevel="0" collapsed="false">
      <c r="A1181" s="13"/>
      <c r="B1181" s="10"/>
      <c r="C1181" s="10"/>
      <c r="D1181" s="14"/>
      <c r="E1181" s="11"/>
      <c r="F1181" s="15" t="str">
        <f aca="false">IF($B1181="","",IF(AND($D1181="",$E1181=""),"",IF(OR($D1181="",$E1181=""),0,ROUND($D1181*$E1181,0))))</f>
        <v/>
      </c>
      <c r="G1181" s="13"/>
      <c r="H1181" s="11"/>
      <c r="I1181" s="15" t="str">
        <f aca="false">IF($F1181="","",$F1181-IF($H1181="",0,$H1181))</f>
        <v/>
      </c>
      <c r="J1181" s="16" t="str">
        <f aca="true">IF(OR($A1181="",$I1181="",$I1181&lt;=0),"",TODAY()-$A1181)</f>
        <v/>
      </c>
      <c r="K1181" s="10"/>
    </row>
    <row r="1182" customFormat="false" ht="15" hidden="false" customHeight="true" outlineLevel="0" collapsed="false">
      <c r="A1182" s="13"/>
      <c r="B1182" s="10"/>
      <c r="C1182" s="10"/>
      <c r="D1182" s="14"/>
      <c r="E1182" s="11"/>
      <c r="F1182" s="15" t="str">
        <f aca="false">IF($B1182="","",IF(AND($D1182="",$E1182=""),"",IF(OR($D1182="",$E1182=""),0,ROUND($D1182*$E1182,0))))</f>
        <v/>
      </c>
      <c r="G1182" s="13"/>
      <c r="H1182" s="11"/>
      <c r="I1182" s="15" t="str">
        <f aca="false">IF($F1182="","",$F1182-IF($H1182="",0,$H1182))</f>
        <v/>
      </c>
      <c r="J1182" s="16" t="str">
        <f aca="true">IF(OR($A1182="",$I1182="",$I1182&lt;=0),"",TODAY()-$A1182)</f>
        <v/>
      </c>
      <c r="K1182" s="10"/>
    </row>
    <row r="1183" customFormat="false" ht="15" hidden="false" customHeight="true" outlineLevel="0" collapsed="false">
      <c r="A1183" s="13"/>
      <c r="B1183" s="10"/>
      <c r="C1183" s="10"/>
      <c r="D1183" s="14"/>
      <c r="E1183" s="11"/>
      <c r="F1183" s="15" t="str">
        <f aca="false">IF($B1183="","",IF(AND($D1183="",$E1183=""),"",IF(OR($D1183="",$E1183=""),0,ROUND($D1183*$E1183,0))))</f>
        <v/>
      </c>
      <c r="G1183" s="13"/>
      <c r="H1183" s="11"/>
      <c r="I1183" s="15" t="str">
        <f aca="false">IF($F1183="","",$F1183-IF($H1183="",0,$H1183))</f>
        <v/>
      </c>
      <c r="J1183" s="16" t="str">
        <f aca="true">IF(OR($A1183="",$I1183="",$I1183&lt;=0),"",TODAY()-$A1183)</f>
        <v/>
      </c>
      <c r="K1183" s="10"/>
    </row>
    <row r="1184" customFormat="false" ht="15" hidden="false" customHeight="true" outlineLevel="0" collapsed="false">
      <c r="A1184" s="13"/>
      <c r="B1184" s="10"/>
      <c r="C1184" s="10"/>
      <c r="D1184" s="14"/>
      <c r="E1184" s="11"/>
      <c r="F1184" s="15" t="str">
        <f aca="false">IF($B1184="","",IF(AND($D1184="",$E1184=""),"",IF(OR($D1184="",$E1184=""),0,ROUND($D1184*$E1184,0))))</f>
        <v/>
      </c>
      <c r="G1184" s="13"/>
      <c r="H1184" s="11"/>
      <c r="I1184" s="15" t="str">
        <f aca="false">IF($F1184="","",$F1184-IF($H1184="",0,$H1184))</f>
        <v/>
      </c>
      <c r="J1184" s="16" t="str">
        <f aca="true">IF(OR($A1184="",$I1184="",$I1184&lt;=0),"",TODAY()-$A1184)</f>
        <v/>
      </c>
      <c r="K1184" s="10"/>
    </row>
    <row r="1185" customFormat="false" ht="15" hidden="false" customHeight="true" outlineLevel="0" collapsed="false">
      <c r="A1185" s="13"/>
      <c r="B1185" s="10"/>
      <c r="C1185" s="10"/>
      <c r="D1185" s="14"/>
      <c r="E1185" s="11"/>
      <c r="F1185" s="15" t="str">
        <f aca="false">IF($B1185="","",IF(AND($D1185="",$E1185=""),"",IF(OR($D1185="",$E1185=""),0,ROUND($D1185*$E1185,0))))</f>
        <v/>
      </c>
      <c r="G1185" s="13"/>
      <c r="H1185" s="11"/>
      <c r="I1185" s="15" t="str">
        <f aca="false">IF($F1185="","",$F1185-IF($H1185="",0,$H1185))</f>
        <v/>
      </c>
      <c r="J1185" s="16" t="str">
        <f aca="true">IF(OR($A1185="",$I1185="",$I1185&lt;=0),"",TODAY()-$A1185)</f>
        <v/>
      </c>
      <c r="K1185" s="10"/>
    </row>
    <row r="1186" customFormat="false" ht="15" hidden="false" customHeight="true" outlineLevel="0" collapsed="false">
      <c r="A1186" s="13"/>
      <c r="B1186" s="10"/>
      <c r="C1186" s="10"/>
      <c r="D1186" s="14"/>
      <c r="E1186" s="11"/>
      <c r="F1186" s="15" t="str">
        <f aca="false">IF($B1186="","",IF(AND($D1186="",$E1186=""),"",IF(OR($D1186="",$E1186=""),0,ROUND($D1186*$E1186,0))))</f>
        <v/>
      </c>
      <c r="G1186" s="13"/>
      <c r="H1186" s="11"/>
      <c r="I1186" s="15" t="str">
        <f aca="false">IF($F1186="","",$F1186-IF($H1186="",0,$H1186))</f>
        <v/>
      </c>
      <c r="J1186" s="16" t="str">
        <f aca="true">IF(OR($A1186="",$I1186="",$I1186&lt;=0),"",TODAY()-$A1186)</f>
        <v/>
      </c>
      <c r="K1186" s="10"/>
    </row>
    <row r="1187" customFormat="false" ht="15" hidden="false" customHeight="true" outlineLevel="0" collapsed="false">
      <c r="A1187" s="13"/>
      <c r="B1187" s="10"/>
      <c r="C1187" s="10"/>
      <c r="D1187" s="14"/>
      <c r="E1187" s="11"/>
      <c r="F1187" s="15" t="str">
        <f aca="false">IF($B1187="","",IF(AND($D1187="",$E1187=""),"",IF(OR($D1187="",$E1187=""),0,ROUND($D1187*$E1187,0))))</f>
        <v/>
      </c>
      <c r="G1187" s="13"/>
      <c r="H1187" s="11"/>
      <c r="I1187" s="15" t="str">
        <f aca="false">IF($F1187="","",$F1187-IF($H1187="",0,$H1187))</f>
        <v/>
      </c>
      <c r="J1187" s="16" t="str">
        <f aca="true">IF(OR($A1187="",$I1187="",$I1187&lt;=0),"",TODAY()-$A1187)</f>
        <v/>
      </c>
      <c r="K1187" s="10"/>
    </row>
    <row r="1188" customFormat="false" ht="15" hidden="false" customHeight="true" outlineLevel="0" collapsed="false">
      <c r="A1188" s="13"/>
      <c r="B1188" s="10"/>
      <c r="C1188" s="10"/>
      <c r="D1188" s="14"/>
      <c r="E1188" s="11"/>
      <c r="F1188" s="15" t="str">
        <f aca="false">IF($B1188="","",IF(AND($D1188="",$E1188=""),"",IF(OR($D1188="",$E1188=""),0,ROUND($D1188*$E1188,0))))</f>
        <v/>
      </c>
      <c r="G1188" s="13"/>
      <c r="H1188" s="11"/>
      <c r="I1188" s="15" t="str">
        <f aca="false">IF($F1188="","",$F1188-IF($H1188="",0,$H1188))</f>
        <v/>
      </c>
      <c r="J1188" s="16" t="str">
        <f aca="true">IF(OR($A1188="",$I1188="",$I1188&lt;=0),"",TODAY()-$A1188)</f>
        <v/>
      </c>
      <c r="K1188" s="10"/>
    </row>
    <row r="1189" customFormat="false" ht="15" hidden="false" customHeight="true" outlineLevel="0" collapsed="false">
      <c r="A1189" s="13"/>
      <c r="B1189" s="10"/>
      <c r="C1189" s="10"/>
      <c r="D1189" s="14"/>
      <c r="E1189" s="11"/>
      <c r="F1189" s="15" t="str">
        <f aca="false">IF($B1189="","",IF(AND($D1189="",$E1189=""),"",IF(OR($D1189="",$E1189=""),0,ROUND($D1189*$E1189,0))))</f>
        <v/>
      </c>
      <c r="G1189" s="13"/>
      <c r="H1189" s="11"/>
      <c r="I1189" s="15" t="str">
        <f aca="false">IF($F1189="","",$F1189-IF($H1189="",0,$H1189))</f>
        <v/>
      </c>
      <c r="J1189" s="16" t="str">
        <f aca="true">IF(OR($A1189="",$I1189="",$I1189&lt;=0),"",TODAY()-$A1189)</f>
        <v/>
      </c>
      <c r="K1189" s="10"/>
    </row>
    <row r="1190" customFormat="false" ht="15" hidden="false" customHeight="true" outlineLevel="0" collapsed="false">
      <c r="A1190" s="13"/>
      <c r="B1190" s="10"/>
      <c r="C1190" s="10"/>
      <c r="D1190" s="14"/>
      <c r="E1190" s="11"/>
      <c r="F1190" s="15" t="str">
        <f aca="false">IF($B1190="","",IF(AND($D1190="",$E1190=""),"",IF(OR($D1190="",$E1190=""),0,ROUND($D1190*$E1190,0))))</f>
        <v/>
      </c>
      <c r="G1190" s="13"/>
      <c r="H1190" s="11"/>
      <c r="I1190" s="15" t="str">
        <f aca="false">IF($F1190="","",$F1190-IF($H1190="",0,$H1190))</f>
        <v/>
      </c>
      <c r="J1190" s="16" t="str">
        <f aca="true">IF(OR($A1190="",$I1190="",$I1190&lt;=0),"",TODAY()-$A1190)</f>
        <v/>
      </c>
      <c r="K1190" s="10"/>
    </row>
    <row r="1191" customFormat="false" ht="15" hidden="false" customHeight="true" outlineLevel="0" collapsed="false">
      <c r="A1191" s="13"/>
      <c r="B1191" s="10"/>
      <c r="C1191" s="10"/>
      <c r="D1191" s="14"/>
      <c r="E1191" s="11"/>
      <c r="F1191" s="15" t="str">
        <f aca="false">IF($B1191="","",IF(AND($D1191="",$E1191=""),"",IF(OR($D1191="",$E1191=""),0,ROUND($D1191*$E1191,0))))</f>
        <v/>
      </c>
      <c r="G1191" s="13"/>
      <c r="H1191" s="11"/>
      <c r="I1191" s="15" t="str">
        <f aca="false">IF($F1191="","",$F1191-IF($H1191="",0,$H1191))</f>
        <v/>
      </c>
      <c r="J1191" s="16" t="str">
        <f aca="true">IF(OR($A1191="",$I1191="",$I1191&lt;=0),"",TODAY()-$A1191)</f>
        <v/>
      </c>
      <c r="K1191" s="10"/>
    </row>
    <row r="1192" customFormat="false" ht="15" hidden="false" customHeight="true" outlineLevel="0" collapsed="false">
      <c r="A1192" s="13"/>
      <c r="B1192" s="10"/>
      <c r="C1192" s="10"/>
      <c r="D1192" s="14"/>
      <c r="E1192" s="11"/>
      <c r="F1192" s="15" t="str">
        <f aca="false">IF($B1192="","",IF(AND($D1192="",$E1192=""),"",IF(OR($D1192="",$E1192=""),0,ROUND($D1192*$E1192,0))))</f>
        <v/>
      </c>
      <c r="G1192" s="13"/>
      <c r="H1192" s="11"/>
      <c r="I1192" s="15" t="str">
        <f aca="false">IF($F1192="","",$F1192-IF($H1192="",0,$H1192))</f>
        <v/>
      </c>
      <c r="J1192" s="16" t="str">
        <f aca="true">IF(OR($A1192="",$I1192="",$I1192&lt;=0),"",TODAY()-$A1192)</f>
        <v/>
      </c>
      <c r="K1192" s="10"/>
    </row>
    <row r="1193" customFormat="false" ht="15" hidden="false" customHeight="true" outlineLevel="0" collapsed="false">
      <c r="A1193" s="13"/>
      <c r="B1193" s="10"/>
      <c r="C1193" s="10"/>
      <c r="D1193" s="14"/>
      <c r="E1193" s="11"/>
      <c r="F1193" s="15" t="str">
        <f aca="false">IF($B1193="","",IF(AND($D1193="",$E1193=""),"",IF(OR($D1193="",$E1193=""),0,ROUND($D1193*$E1193,0))))</f>
        <v/>
      </c>
      <c r="G1193" s="13"/>
      <c r="H1193" s="11"/>
      <c r="I1193" s="15" t="str">
        <f aca="false">IF($F1193="","",$F1193-IF($H1193="",0,$H1193))</f>
        <v/>
      </c>
      <c r="J1193" s="16" t="str">
        <f aca="true">IF(OR($A1193="",$I1193="",$I1193&lt;=0),"",TODAY()-$A1193)</f>
        <v/>
      </c>
      <c r="K1193" s="10"/>
    </row>
    <row r="1194" customFormat="false" ht="15" hidden="false" customHeight="true" outlineLevel="0" collapsed="false">
      <c r="A1194" s="13"/>
      <c r="B1194" s="10"/>
      <c r="C1194" s="10"/>
      <c r="D1194" s="14"/>
      <c r="E1194" s="11"/>
      <c r="F1194" s="15" t="str">
        <f aca="false">IF($B1194="","",IF(AND($D1194="",$E1194=""),"",IF(OR($D1194="",$E1194=""),0,ROUND($D1194*$E1194,0))))</f>
        <v/>
      </c>
      <c r="G1194" s="13"/>
      <c r="H1194" s="11"/>
      <c r="I1194" s="15" t="str">
        <f aca="false">IF($F1194="","",$F1194-IF($H1194="",0,$H1194))</f>
        <v/>
      </c>
      <c r="J1194" s="16" t="str">
        <f aca="true">IF(OR($A1194="",$I1194="",$I1194&lt;=0),"",TODAY()-$A1194)</f>
        <v/>
      </c>
      <c r="K1194" s="10"/>
    </row>
    <row r="1195" customFormat="false" ht="15" hidden="false" customHeight="true" outlineLevel="0" collapsed="false">
      <c r="A1195" s="13"/>
      <c r="B1195" s="10"/>
      <c r="C1195" s="10"/>
      <c r="D1195" s="14"/>
      <c r="E1195" s="11"/>
      <c r="F1195" s="15" t="str">
        <f aca="false">IF($B1195="","",IF(AND($D1195="",$E1195=""),"",IF(OR($D1195="",$E1195=""),0,ROUND($D1195*$E1195,0))))</f>
        <v/>
      </c>
      <c r="G1195" s="13"/>
      <c r="H1195" s="11"/>
      <c r="I1195" s="15" t="str">
        <f aca="false">IF($F1195="","",$F1195-IF($H1195="",0,$H1195))</f>
        <v/>
      </c>
      <c r="J1195" s="16" t="str">
        <f aca="true">IF(OR($A1195="",$I1195="",$I1195&lt;=0),"",TODAY()-$A1195)</f>
        <v/>
      </c>
      <c r="K1195" s="10"/>
    </row>
    <row r="1196" customFormat="false" ht="15" hidden="false" customHeight="true" outlineLevel="0" collapsed="false">
      <c r="A1196" s="13"/>
      <c r="B1196" s="10"/>
      <c r="C1196" s="10"/>
      <c r="D1196" s="14"/>
      <c r="E1196" s="11"/>
      <c r="F1196" s="15" t="str">
        <f aca="false">IF($B1196="","",IF(AND($D1196="",$E1196=""),"",IF(OR($D1196="",$E1196=""),0,ROUND($D1196*$E1196,0))))</f>
        <v/>
      </c>
      <c r="G1196" s="13"/>
      <c r="H1196" s="11"/>
      <c r="I1196" s="15" t="str">
        <f aca="false">IF($F1196="","",$F1196-IF($H1196="",0,$H1196))</f>
        <v/>
      </c>
      <c r="J1196" s="16" t="str">
        <f aca="true">IF(OR($A1196="",$I1196="",$I1196&lt;=0),"",TODAY()-$A1196)</f>
        <v/>
      </c>
      <c r="K1196" s="10"/>
    </row>
    <row r="1197" customFormat="false" ht="15" hidden="false" customHeight="true" outlineLevel="0" collapsed="false">
      <c r="A1197" s="13"/>
      <c r="B1197" s="10"/>
      <c r="C1197" s="10"/>
      <c r="D1197" s="14"/>
      <c r="E1197" s="11"/>
      <c r="F1197" s="15" t="str">
        <f aca="false">IF($B1197="","",IF(AND($D1197="",$E1197=""),"",IF(OR($D1197="",$E1197=""),0,ROUND($D1197*$E1197,0))))</f>
        <v/>
      </c>
      <c r="G1197" s="13"/>
      <c r="H1197" s="11"/>
      <c r="I1197" s="15" t="str">
        <f aca="false">IF($F1197="","",$F1197-IF($H1197="",0,$H1197))</f>
        <v/>
      </c>
      <c r="J1197" s="16" t="str">
        <f aca="true">IF(OR($A1197="",$I1197="",$I1197&lt;=0),"",TODAY()-$A1197)</f>
        <v/>
      </c>
      <c r="K1197" s="10"/>
    </row>
    <row r="1198" customFormat="false" ht="15" hidden="false" customHeight="true" outlineLevel="0" collapsed="false">
      <c r="A1198" s="13"/>
      <c r="B1198" s="10"/>
      <c r="C1198" s="10"/>
      <c r="D1198" s="14"/>
      <c r="E1198" s="11"/>
      <c r="F1198" s="15" t="str">
        <f aca="false">IF($B1198="","",IF(AND($D1198="",$E1198=""),"",IF(OR($D1198="",$E1198=""),0,ROUND($D1198*$E1198,0))))</f>
        <v/>
      </c>
      <c r="G1198" s="13"/>
      <c r="H1198" s="11"/>
      <c r="I1198" s="15" t="str">
        <f aca="false">IF($F1198="","",$F1198-IF($H1198="",0,$H1198))</f>
        <v/>
      </c>
      <c r="J1198" s="16" t="str">
        <f aca="true">IF(OR($A1198="",$I1198="",$I1198&lt;=0),"",TODAY()-$A1198)</f>
        <v/>
      </c>
      <c r="K1198" s="10"/>
    </row>
    <row r="1199" customFormat="false" ht="15" hidden="false" customHeight="true" outlineLevel="0" collapsed="false">
      <c r="A1199" s="13"/>
      <c r="B1199" s="10"/>
      <c r="C1199" s="10"/>
      <c r="D1199" s="14"/>
      <c r="E1199" s="11"/>
      <c r="F1199" s="15" t="str">
        <f aca="false">IF($B1199="","",IF(AND($D1199="",$E1199=""),"",IF(OR($D1199="",$E1199=""),0,ROUND($D1199*$E1199,0))))</f>
        <v/>
      </c>
      <c r="G1199" s="13"/>
      <c r="H1199" s="11"/>
      <c r="I1199" s="15" t="str">
        <f aca="false">IF($F1199="","",$F1199-IF($H1199="",0,$H1199))</f>
        <v/>
      </c>
      <c r="J1199" s="16" t="str">
        <f aca="true">IF(OR($A1199="",$I1199="",$I1199&lt;=0),"",TODAY()-$A1199)</f>
        <v/>
      </c>
      <c r="K1199" s="10"/>
    </row>
    <row r="1200" customFormat="false" ht="15" hidden="false" customHeight="true" outlineLevel="0" collapsed="false">
      <c r="A1200" s="13"/>
      <c r="B1200" s="10"/>
      <c r="C1200" s="10"/>
      <c r="D1200" s="14"/>
      <c r="E1200" s="11"/>
      <c r="F1200" s="15" t="str">
        <f aca="false">IF($B1200="","",IF(AND($D1200="",$E1200=""),"",IF(OR($D1200="",$E1200=""),0,ROUND($D1200*$E1200,0))))</f>
        <v/>
      </c>
      <c r="G1200" s="13"/>
      <c r="H1200" s="11"/>
      <c r="I1200" s="15" t="str">
        <f aca="false">IF($F1200="","",$F1200-IF($H1200="",0,$H1200))</f>
        <v/>
      </c>
      <c r="J1200" s="16" t="str">
        <f aca="true">IF(OR($A1200="",$I1200="",$I1200&lt;=0),"",TODAY()-$A1200)</f>
        <v/>
      </c>
      <c r="K1200" s="10"/>
    </row>
    <row r="1201" customFormat="false" ht="15" hidden="false" customHeight="true" outlineLevel="0" collapsed="false">
      <c r="A1201" s="13"/>
      <c r="B1201" s="10"/>
      <c r="C1201" s="10"/>
      <c r="D1201" s="14"/>
      <c r="E1201" s="11"/>
      <c r="F1201" s="15" t="str">
        <f aca="false">IF($B1201="","",IF(AND($D1201="",$E1201=""),"",IF(OR($D1201="",$E1201=""),0,ROUND($D1201*$E1201,0))))</f>
        <v/>
      </c>
      <c r="G1201" s="13"/>
      <c r="H1201" s="11"/>
      <c r="I1201" s="15" t="str">
        <f aca="false">IF($F1201="","",$F1201-IF($H1201="",0,$H1201))</f>
        <v/>
      </c>
      <c r="J1201" s="16" t="str">
        <f aca="true">IF(OR($A1201="",$I1201="",$I1201&lt;=0),"",TODAY()-$A1201)</f>
        <v/>
      </c>
      <c r="K1201" s="10"/>
    </row>
    <row r="1202" customFormat="false" ht="15" hidden="false" customHeight="true" outlineLevel="0" collapsed="false">
      <c r="A1202" s="13"/>
      <c r="B1202" s="10"/>
      <c r="C1202" s="10"/>
      <c r="D1202" s="14"/>
      <c r="E1202" s="11"/>
      <c r="F1202" s="15" t="str">
        <f aca="false">IF($B1202="","",IF(AND($D1202="",$E1202=""),"",IF(OR($D1202="",$E1202=""),0,ROUND($D1202*$E1202,0))))</f>
        <v/>
      </c>
      <c r="G1202" s="13"/>
      <c r="H1202" s="11"/>
      <c r="I1202" s="15" t="str">
        <f aca="false">IF($F1202="","",$F1202-IF($H1202="",0,$H1202))</f>
        <v/>
      </c>
      <c r="J1202" s="16" t="str">
        <f aca="true">IF(OR($A1202="",$I1202="",$I1202&lt;=0),"",TODAY()-$A1202)</f>
        <v/>
      </c>
      <c r="K1202" s="10"/>
    </row>
    <row r="1203" customFormat="false" ht="15" hidden="false" customHeight="true" outlineLevel="0" collapsed="false">
      <c r="A1203" s="13"/>
      <c r="B1203" s="10"/>
      <c r="C1203" s="10"/>
      <c r="D1203" s="14"/>
      <c r="E1203" s="11"/>
      <c r="F1203" s="15" t="str">
        <f aca="false">IF($B1203="","",IF(AND($D1203="",$E1203=""),"",IF(OR($D1203="",$E1203=""),0,ROUND($D1203*$E1203,0))))</f>
        <v/>
      </c>
      <c r="G1203" s="13"/>
      <c r="H1203" s="11"/>
      <c r="I1203" s="15" t="str">
        <f aca="false">IF($F1203="","",$F1203-IF($H1203="",0,$H1203))</f>
        <v/>
      </c>
      <c r="J1203" s="16" t="str">
        <f aca="true">IF(OR($A1203="",$I1203="",$I1203&lt;=0),"",TODAY()-$A1203)</f>
        <v/>
      </c>
      <c r="K1203" s="10"/>
    </row>
    <row r="1204" customFormat="false" ht="15" hidden="false" customHeight="true" outlineLevel="0" collapsed="false">
      <c r="A1204" s="13"/>
      <c r="B1204" s="10"/>
      <c r="C1204" s="10"/>
      <c r="D1204" s="14"/>
      <c r="E1204" s="11"/>
      <c r="F1204" s="15" t="str">
        <f aca="false">IF($B1204="","",IF(AND($D1204="",$E1204=""),"",IF(OR($D1204="",$E1204=""),0,ROUND($D1204*$E1204,0))))</f>
        <v/>
      </c>
      <c r="G1204" s="13"/>
      <c r="H1204" s="11"/>
      <c r="I1204" s="15" t="str">
        <f aca="false">IF($F1204="","",$F1204-IF($H1204="",0,$H1204))</f>
        <v/>
      </c>
      <c r="J1204" s="16" t="str">
        <f aca="true">IF(OR($A1204="",$I1204="",$I1204&lt;=0),"",TODAY()-$A1204)</f>
        <v/>
      </c>
      <c r="K1204" s="10"/>
    </row>
    <row r="1205" customFormat="false" ht="15" hidden="false" customHeight="true" outlineLevel="0" collapsed="false">
      <c r="A1205" s="13"/>
      <c r="B1205" s="10"/>
      <c r="C1205" s="10"/>
      <c r="D1205" s="14"/>
      <c r="E1205" s="11"/>
      <c r="F1205" s="15" t="str">
        <f aca="false">IF($B1205="","",IF(AND($D1205="",$E1205=""),"",IF(OR($D1205="",$E1205=""),0,ROUND($D1205*$E1205,0))))</f>
        <v/>
      </c>
      <c r="G1205" s="13"/>
      <c r="H1205" s="11"/>
      <c r="I1205" s="15" t="str">
        <f aca="false">IF($F1205="","",$F1205-IF($H1205="",0,$H1205))</f>
        <v/>
      </c>
      <c r="J1205" s="16" t="str">
        <f aca="true">IF(OR($A1205="",$I1205="",$I1205&lt;=0),"",TODAY()-$A1205)</f>
        <v/>
      </c>
      <c r="K1205" s="10"/>
    </row>
    <row r="1206" customFormat="false" ht="15" hidden="false" customHeight="true" outlineLevel="0" collapsed="false">
      <c r="A1206" s="13"/>
      <c r="B1206" s="10"/>
      <c r="C1206" s="10"/>
      <c r="D1206" s="14"/>
      <c r="E1206" s="11"/>
      <c r="F1206" s="15" t="str">
        <f aca="false">IF($B1206="","",IF(AND($D1206="",$E1206=""),"",IF(OR($D1206="",$E1206=""),0,ROUND($D1206*$E1206,0))))</f>
        <v/>
      </c>
      <c r="G1206" s="13"/>
      <c r="H1206" s="11"/>
      <c r="I1206" s="15" t="str">
        <f aca="false">IF($F1206="","",$F1206-IF($H1206="",0,$H1206))</f>
        <v/>
      </c>
      <c r="J1206" s="16" t="str">
        <f aca="true">IF(OR($A1206="",$I1206="",$I1206&lt;=0),"",TODAY()-$A1206)</f>
        <v/>
      </c>
      <c r="K1206" s="10"/>
    </row>
    <row r="1207" customFormat="false" ht="15" hidden="false" customHeight="true" outlineLevel="0" collapsed="false">
      <c r="A1207" s="13"/>
      <c r="B1207" s="10"/>
      <c r="C1207" s="10"/>
      <c r="D1207" s="14"/>
      <c r="E1207" s="11"/>
      <c r="F1207" s="15" t="str">
        <f aca="false">IF($B1207="","",IF(AND($D1207="",$E1207=""),"",IF(OR($D1207="",$E1207=""),0,ROUND($D1207*$E1207,0))))</f>
        <v/>
      </c>
      <c r="G1207" s="13"/>
      <c r="H1207" s="11"/>
      <c r="I1207" s="15" t="str">
        <f aca="false">IF($F1207="","",$F1207-IF($H1207="",0,$H1207))</f>
        <v/>
      </c>
      <c r="J1207" s="16" t="str">
        <f aca="true">IF(OR($A1207="",$I1207="",$I1207&lt;=0),"",TODAY()-$A1207)</f>
        <v/>
      </c>
      <c r="K1207" s="10"/>
    </row>
    <row r="1208" customFormat="false" ht="15" hidden="false" customHeight="true" outlineLevel="0" collapsed="false">
      <c r="A1208" s="13"/>
      <c r="B1208" s="10"/>
      <c r="C1208" s="10"/>
      <c r="D1208" s="14"/>
      <c r="E1208" s="11"/>
      <c r="F1208" s="15" t="str">
        <f aca="false">IF($B1208="","",IF(AND($D1208="",$E1208=""),"",IF(OR($D1208="",$E1208=""),0,ROUND($D1208*$E1208,0))))</f>
        <v/>
      </c>
      <c r="G1208" s="13"/>
      <c r="H1208" s="11"/>
      <c r="I1208" s="15" t="str">
        <f aca="false">IF($F1208="","",$F1208-IF($H1208="",0,$H1208))</f>
        <v/>
      </c>
      <c r="J1208" s="16" t="str">
        <f aca="true">IF(OR($A1208="",$I1208="",$I1208&lt;=0),"",TODAY()-$A1208)</f>
        <v/>
      </c>
      <c r="K1208" s="10"/>
    </row>
    <row r="1209" customFormat="false" ht="15" hidden="false" customHeight="true" outlineLevel="0" collapsed="false">
      <c r="A1209" s="13"/>
      <c r="B1209" s="10"/>
      <c r="C1209" s="10"/>
      <c r="D1209" s="14"/>
      <c r="E1209" s="11"/>
      <c r="F1209" s="15" t="str">
        <f aca="false">IF($B1209="","",IF(AND($D1209="",$E1209=""),"",IF(OR($D1209="",$E1209=""),0,ROUND($D1209*$E1209,0))))</f>
        <v/>
      </c>
      <c r="G1209" s="13"/>
      <c r="H1209" s="11"/>
      <c r="I1209" s="15" t="str">
        <f aca="false">IF($F1209="","",$F1209-IF($H1209="",0,$H1209))</f>
        <v/>
      </c>
      <c r="J1209" s="16" t="str">
        <f aca="true">IF(OR($A1209="",$I1209="",$I1209&lt;=0),"",TODAY()-$A1209)</f>
        <v/>
      </c>
      <c r="K1209" s="10"/>
    </row>
    <row r="1210" customFormat="false" ht="15" hidden="false" customHeight="true" outlineLevel="0" collapsed="false">
      <c r="A1210" s="13"/>
      <c r="B1210" s="10"/>
      <c r="C1210" s="10"/>
      <c r="D1210" s="14"/>
      <c r="E1210" s="11"/>
      <c r="F1210" s="15" t="str">
        <f aca="false">IF($B1210="","",IF(AND($D1210="",$E1210=""),"",IF(OR($D1210="",$E1210=""),0,ROUND($D1210*$E1210,0))))</f>
        <v/>
      </c>
      <c r="G1210" s="13"/>
      <c r="H1210" s="11"/>
      <c r="I1210" s="15" t="str">
        <f aca="false">IF($F1210="","",$F1210-IF($H1210="",0,$H1210))</f>
        <v/>
      </c>
      <c r="J1210" s="16" t="str">
        <f aca="true">IF(OR($A1210="",$I1210="",$I1210&lt;=0),"",TODAY()-$A1210)</f>
        <v/>
      </c>
      <c r="K1210" s="10"/>
    </row>
    <row r="1211" customFormat="false" ht="15" hidden="false" customHeight="true" outlineLevel="0" collapsed="false">
      <c r="A1211" s="13"/>
      <c r="B1211" s="10"/>
      <c r="C1211" s="10"/>
      <c r="D1211" s="14"/>
      <c r="E1211" s="11"/>
      <c r="F1211" s="15" t="str">
        <f aca="false">IF($B1211="","",IF(AND($D1211="",$E1211=""),"",IF(OR($D1211="",$E1211=""),0,ROUND($D1211*$E1211,0))))</f>
        <v/>
      </c>
      <c r="G1211" s="13"/>
      <c r="H1211" s="11"/>
      <c r="I1211" s="15" t="str">
        <f aca="false">IF($F1211="","",$F1211-IF($H1211="",0,$H1211))</f>
        <v/>
      </c>
      <c r="J1211" s="16" t="str">
        <f aca="true">IF(OR($A1211="",$I1211="",$I1211&lt;=0),"",TODAY()-$A1211)</f>
        <v/>
      </c>
      <c r="K1211" s="10"/>
    </row>
    <row r="1212" customFormat="false" ht="15" hidden="false" customHeight="true" outlineLevel="0" collapsed="false">
      <c r="A1212" s="13"/>
      <c r="B1212" s="10"/>
      <c r="C1212" s="10"/>
      <c r="D1212" s="14"/>
      <c r="E1212" s="11"/>
      <c r="F1212" s="15" t="str">
        <f aca="false">IF($B1212="","",IF(AND($D1212="",$E1212=""),"",IF(OR($D1212="",$E1212=""),0,ROUND($D1212*$E1212,0))))</f>
        <v/>
      </c>
      <c r="G1212" s="13"/>
      <c r="H1212" s="11"/>
      <c r="I1212" s="15" t="str">
        <f aca="false">IF($F1212="","",$F1212-IF($H1212="",0,$H1212))</f>
        <v/>
      </c>
      <c r="J1212" s="16" t="str">
        <f aca="true">IF(OR($A1212="",$I1212="",$I1212&lt;=0),"",TODAY()-$A1212)</f>
        <v/>
      </c>
      <c r="K1212" s="10"/>
    </row>
    <row r="1213" customFormat="false" ht="15" hidden="false" customHeight="true" outlineLevel="0" collapsed="false">
      <c r="A1213" s="13"/>
      <c r="B1213" s="10"/>
      <c r="C1213" s="10"/>
      <c r="D1213" s="14"/>
      <c r="E1213" s="11"/>
      <c r="F1213" s="15" t="str">
        <f aca="false">IF($B1213="","",IF(AND($D1213="",$E1213=""),"",IF(OR($D1213="",$E1213=""),0,ROUND($D1213*$E1213,0))))</f>
        <v/>
      </c>
      <c r="G1213" s="13"/>
      <c r="H1213" s="11"/>
      <c r="I1213" s="15" t="str">
        <f aca="false">IF($F1213="","",$F1213-IF($H1213="",0,$H1213))</f>
        <v/>
      </c>
      <c r="J1213" s="16" t="str">
        <f aca="true">IF(OR($A1213="",$I1213="",$I1213&lt;=0),"",TODAY()-$A1213)</f>
        <v/>
      </c>
      <c r="K1213" s="10"/>
    </row>
    <row r="1214" customFormat="false" ht="15" hidden="false" customHeight="true" outlineLevel="0" collapsed="false">
      <c r="A1214" s="13"/>
      <c r="B1214" s="10"/>
      <c r="C1214" s="10"/>
      <c r="D1214" s="14"/>
      <c r="E1214" s="11"/>
      <c r="F1214" s="15" t="str">
        <f aca="false">IF($B1214="","",IF(AND($D1214="",$E1214=""),"",IF(OR($D1214="",$E1214=""),0,ROUND($D1214*$E1214,0))))</f>
        <v/>
      </c>
      <c r="G1214" s="13"/>
      <c r="H1214" s="11"/>
      <c r="I1214" s="15" t="str">
        <f aca="false">IF($F1214="","",$F1214-IF($H1214="",0,$H1214))</f>
        <v/>
      </c>
      <c r="J1214" s="16" t="str">
        <f aca="true">IF(OR($A1214="",$I1214="",$I1214&lt;=0),"",TODAY()-$A1214)</f>
        <v/>
      </c>
      <c r="K1214" s="10"/>
    </row>
    <row r="1215" customFormat="false" ht="15" hidden="false" customHeight="true" outlineLevel="0" collapsed="false">
      <c r="A1215" s="13"/>
      <c r="B1215" s="10"/>
      <c r="C1215" s="10"/>
      <c r="D1215" s="14"/>
      <c r="E1215" s="11"/>
      <c r="F1215" s="15" t="str">
        <f aca="false">IF($B1215="","",IF(AND($D1215="",$E1215=""),"",IF(OR($D1215="",$E1215=""),0,ROUND($D1215*$E1215,0))))</f>
        <v/>
      </c>
      <c r="G1215" s="13"/>
      <c r="H1215" s="11"/>
      <c r="I1215" s="15" t="str">
        <f aca="false">IF($F1215="","",$F1215-IF($H1215="",0,$H1215))</f>
        <v/>
      </c>
      <c r="J1215" s="16" t="str">
        <f aca="true">IF(OR($A1215="",$I1215="",$I1215&lt;=0),"",TODAY()-$A1215)</f>
        <v/>
      </c>
      <c r="K1215" s="10"/>
    </row>
    <row r="1216" customFormat="false" ht="15" hidden="false" customHeight="true" outlineLevel="0" collapsed="false">
      <c r="A1216" s="13"/>
      <c r="B1216" s="10"/>
      <c r="C1216" s="10"/>
      <c r="D1216" s="14"/>
      <c r="E1216" s="11"/>
      <c r="F1216" s="15" t="str">
        <f aca="false">IF($B1216="","",IF(AND($D1216="",$E1216=""),"",IF(OR($D1216="",$E1216=""),0,ROUND($D1216*$E1216,0))))</f>
        <v/>
      </c>
      <c r="G1216" s="13"/>
      <c r="H1216" s="11"/>
      <c r="I1216" s="15" t="str">
        <f aca="false">IF($F1216="","",$F1216-IF($H1216="",0,$H1216))</f>
        <v/>
      </c>
      <c r="J1216" s="16" t="str">
        <f aca="true">IF(OR($A1216="",$I1216="",$I1216&lt;=0),"",TODAY()-$A1216)</f>
        <v/>
      </c>
      <c r="K1216" s="10"/>
    </row>
    <row r="1217" customFormat="false" ht="15" hidden="false" customHeight="true" outlineLevel="0" collapsed="false">
      <c r="A1217" s="13"/>
      <c r="B1217" s="10"/>
      <c r="C1217" s="10"/>
      <c r="D1217" s="14"/>
      <c r="E1217" s="11"/>
      <c r="F1217" s="15" t="str">
        <f aca="false">IF($B1217="","",IF(AND($D1217="",$E1217=""),"",IF(OR($D1217="",$E1217=""),0,ROUND($D1217*$E1217,0))))</f>
        <v/>
      </c>
      <c r="G1217" s="13"/>
      <c r="H1217" s="11"/>
      <c r="I1217" s="15" t="str">
        <f aca="false">IF($F1217="","",$F1217-IF($H1217="",0,$H1217))</f>
        <v/>
      </c>
      <c r="J1217" s="16" t="str">
        <f aca="true">IF(OR($A1217="",$I1217="",$I1217&lt;=0),"",TODAY()-$A1217)</f>
        <v/>
      </c>
      <c r="K1217" s="10"/>
    </row>
    <row r="1218" customFormat="false" ht="15" hidden="false" customHeight="true" outlineLevel="0" collapsed="false">
      <c r="A1218" s="13"/>
      <c r="B1218" s="10"/>
      <c r="C1218" s="10"/>
      <c r="D1218" s="14"/>
      <c r="E1218" s="11"/>
      <c r="F1218" s="15" t="str">
        <f aca="false">IF($B1218="","",IF(AND($D1218="",$E1218=""),"",IF(OR($D1218="",$E1218=""),0,ROUND($D1218*$E1218,0))))</f>
        <v/>
      </c>
      <c r="G1218" s="13"/>
      <c r="H1218" s="11"/>
      <c r="I1218" s="15" t="str">
        <f aca="false">IF($F1218="","",$F1218-IF($H1218="",0,$H1218))</f>
        <v/>
      </c>
      <c r="J1218" s="16" t="str">
        <f aca="true">IF(OR($A1218="",$I1218="",$I1218&lt;=0),"",TODAY()-$A1218)</f>
        <v/>
      </c>
      <c r="K1218" s="10"/>
    </row>
    <row r="1219" customFormat="false" ht="15" hidden="false" customHeight="true" outlineLevel="0" collapsed="false">
      <c r="A1219" s="13"/>
      <c r="B1219" s="10"/>
      <c r="C1219" s="10"/>
      <c r="D1219" s="14"/>
      <c r="E1219" s="11"/>
      <c r="F1219" s="15" t="str">
        <f aca="false">IF($B1219="","",IF(AND($D1219="",$E1219=""),"",IF(OR($D1219="",$E1219=""),0,ROUND($D1219*$E1219,0))))</f>
        <v/>
      </c>
      <c r="G1219" s="13"/>
      <c r="H1219" s="11"/>
      <c r="I1219" s="15" t="str">
        <f aca="false">IF($F1219="","",$F1219-IF($H1219="",0,$H1219))</f>
        <v/>
      </c>
      <c r="J1219" s="16" t="str">
        <f aca="true">IF(OR($A1219="",$I1219="",$I1219&lt;=0),"",TODAY()-$A1219)</f>
        <v/>
      </c>
      <c r="K1219" s="10"/>
    </row>
    <row r="1220" customFormat="false" ht="15" hidden="false" customHeight="true" outlineLevel="0" collapsed="false">
      <c r="A1220" s="13"/>
      <c r="B1220" s="10"/>
      <c r="C1220" s="10"/>
      <c r="D1220" s="14"/>
      <c r="E1220" s="11"/>
      <c r="F1220" s="15" t="str">
        <f aca="false">IF($B1220="","",IF(AND($D1220="",$E1220=""),"",IF(OR($D1220="",$E1220=""),0,ROUND($D1220*$E1220,0))))</f>
        <v/>
      </c>
      <c r="G1220" s="13"/>
      <c r="H1220" s="11"/>
      <c r="I1220" s="15" t="str">
        <f aca="false">IF($F1220="","",$F1220-IF($H1220="",0,$H1220))</f>
        <v/>
      </c>
      <c r="J1220" s="16" t="str">
        <f aca="true">IF(OR($A1220="",$I1220="",$I1220&lt;=0),"",TODAY()-$A1220)</f>
        <v/>
      </c>
      <c r="K1220" s="10"/>
    </row>
    <row r="1221" customFormat="false" ht="15" hidden="false" customHeight="true" outlineLevel="0" collapsed="false">
      <c r="A1221" s="13"/>
      <c r="B1221" s="10"/>
      <c r="C1221" s="10"/>
      <c r="D1221" s="14"/>
      <c r="E1221" s="11"/>
      <c r="F1221" s="15" t="str">
        <f aca="false">IF($B1221="","",IF(AND($D1221="",$E1221=""),"",IF(OR($D1221="",$E1221=""),0,ROUND($D1221*$E1221,0))))</f>
        <v/>
      </c>
      <c r="G1221" s="13"/>
      <c r="H1221" s="11"/>
      <c r="I1221" s="15" t="str">
        <f aca="false">IF($F1221="","",$F1221-IF($H1221="",0,$H1221))</f>
        <v/>
      </c>
      <c r="J1221" s="16" t="str">
        <f aca="true">IF(OR($A1221="",$I1221="",$I1221&lt;=0),"",TODAY()-$A1221)</f>
        <v/>
      </c>
      <c r="K1221" s="10"/>
    </row>
    <row r="1222" customFormat="false" ht="15" hidden="false" customHeight="true" outlineLevel="0" collapsed="false">
      <c r="A1222" s="13"/>
      <c r="B1222" s="10"/>
      <c r="C1222" s="10"/>
      <c r="D1222" s="14"/>
      <c r="E1222" s="11"/>
      <c r="F1222" s="15" t="str">
        <f aca="false">IF($B1222="","",IF(AND($D1222="",$E1222=""),"",IF(OR($D1222="",$E1222=""),0,ROUND($D1222*$E1222,0))))</f>
        <v/>
      </c>
      <c r="G1222" s="13"/>
      <c r="H1222" s="11"/>
      <c r="I1222" s="15" t="str">
        <f aca="false">IF($F1222="","",$F1222-IF($H1222="",0,$H1222))</f>
        <v/>
      </c>
      <c r="J1222" s="16" t="str">
        <f aca="true">IF(OR($A1222="",$I1222="",$I1222&lt;=0),"",TODAY()-$A1222)</f>
        <v/>
      </c>
      <c r="K1222" s="10"/>
    </row>
    <row r="1223" customFormat="false" ht="15" hidden="false" customHeight="true" outlineLevel="0" collapsed="false">
      <c r="A1223" s="13"/>
      <c r="B1223" s="10"/>
      <c r="C1223" s="10"/>
      <c r="D1223" s="14"/>
      <c r="E1223" s="11"/>
      <c r="F1223" s="15" t="str">
        <f aca="false">IF($B1223="","",IF(AND($D1223="",$E1223=""),"",IF(OR($D1223="",$E1223=""),0,ROUND($D1223*$E1223,0))))</f>
        <v/>
      </c>
      <c r="G1223" s="13"/>
      <c r="H1223" s="11"/>
      <c r="I1223" s="15" t="str">
        <f aca="false">IF($F1223="","",$F1223-IF($H1223="",0,$H1223))</f>
        <v/>
      </c>
      <c r="J1223" s="16" t="str">
        <f aca="true">IF(OR($A1223="",$I1223="",$I1223&lt;=0),"",TODAY()-$A1223)</f>
        <v/>
      </c>
      <c r="K1223" s="10"/>
    </row>
    <row r="1224" customFormat="false" ht="15" hidden="false" customHeight="true" outlineLevel="0" collapsed="false">
      <c r="A1224" s="13"/>
      <c r="B1224" s="10"/>
      <c r="C1224" s="10"/>
      <c r="D1224" s="14"/>
      <c r="E1224" s="11"/>
      <c r="F1224" s="15" t="str">
        <f aca="false">IF($B1224="","",IF(AND($D1224="",$E1224=""),"",IF(OR($D1224="",$E1224=""),0,ROUND($D1224*$E1224,0))))</f>
        <v/>
      </c>
      <c r="G1224" s="13"/>
      <c r="H1224" s="11"/>
      <c r="I1224" s="15" t="str">
        <f aca="false">IF($F1224="","",$F1224-IF($H1224="",0,$H1224))</f>
        <v/>
      </c>
      <c r="J1224" s="16" t="str">
        <f aca="true">IF(OR($A1224="",$I1224="",$I1224&lt;=0),"",TODAY()-$A1224)</f>
        <v/>
      </c>
      <c r="K1224" s="10"/>
    </row>
    <row r="1225" customFormat="false" ht="15" hidden="false" customHeight="true" outlineLevel="0" collapsed="false">
      <c r="A1225" s="13"/>
      <c r="B1225" s="10"/>
      <c r="C1225" s="10"/>
      <c r="D1225" s="14"/>
      <c r="E1225" s="11"/>
      <c r="F1225" s="15" t="str">
        <f aca="false">IF($B1225="","",IF(AND($D1225="",$E1225=""),"",IF(OR($D1225="",$E1225=""),0,ROUND($D1225*$E1225,0))))</f>
        <v/>
      </c>
      <c r="G1225" s="13"/>
      <c r="H1225" s="11"/>
      <c r="I1225" s="15" t="str">
        <f aca="false">IF($F1225="","",$F1225-IF($H1225="",0,$H1225))</f>
        <v/>
      </c>
      <c r="J1225" s="16" t="str">
        <f aca="true">IF(OR($A1225="",$I1225="",$I1225&lt;=0),"",TODAY()-$A1225)</f>
        <v/>
      </c>
      <c r="K1225" s="10"/>
    </row>
    <row r="1226" customFormat="false" ht="15" hidden="false" customHeight="true" outlineLevel="0" collapsed="false">
      <c r="A1226" s="13"/>
      <c r="B1226" s="10"/>
      <c r="C1226" s="10"/>
      <c r="D1226" s="14"/>
      <c r="E1226" s="11"/>
      <c r="F1226" s="15" t="str">
        <f aca="false">IF($B1226="","",IF(AND($D1226="",$E1226=""),"",IF(OR($D1226="",$E1226=""),0,ROUND($D1226*$E1226,0))))</f>
        <v/>
      </c>
      <c r="G1226" s="13"/>
      <c r="H1226" s="11"/>
      <c r="I1226" s="15" t="str">
        <f aca="false">IF($F1226="","",$F1226-IF($H1226="",0,$H1226))</f>
        <v/>
      </c>
      <c r="J1226" s="16" t="str">
        <f aca="true">IF(OR($A1226="",$I1226="",$I1226&lt;=0),"",TODAY()-$A1226)</f>
        <v/>
      </c>
      <c r="K1226" s="10"/>
    </row>
    <row r="1227" customFormat="false" ht="15" hidden="false" customHeight="true" outlineLevel="0" collapsed="false">
      <c r="A1227" s="13"/>
      <c r="B1227" s="10"/>
      <c r="C1227" s="10"/>
      <c r="D1227" s="14"/>
      <c r="E1227" s="11"/>
      <c r="F1227" s="15" t="str">
        <f aca="false">IF($B1227="","",IF(AND($D1227="",$E1227=""),"",IF(OR($D1227="",$E1227=""),0,ROUND($D1227*$E1227,0))))</f>
        <v/>
      </c>
      <c r="G1227" s="13"/>
      <c r="H1227" s="11"/>
      <c r="I1227" s="15" t="str">
        <f aca="false">IF($F1227="","",$F1227-IF($H1227="",0,$H1227))</f>
        <v/>
      </c>
      <c r="J1227" s="16" t="str">
        <f aca="true">IF(OR($A1227="",$I1227="",$I1227&lt;=0),"",TODAY()-$A1227)</f>
        <v/>
      </c>
      <c r="K1227" s="10"/>
    </row>
    <row r="1228" customFormat="false" ht="15" hidden="false" customHeight="true" outlineLevel="0" collapsed="false">
      <c r="A1228" s="13"/>
      <c r="B1228" s="10"/>
      <c r="C1228" s="10"/>
      <c r="D1228" s="14"/>
      <c r="E1228" s="11"/>
      <c r="F1228" s="15" t="str">
        <f aca="false">IF($B1228="","",IF(AND($D1228="",$E1228=""),"",IF(OR($D1228="",$E1228=""),0,ROUND($D1228*$E1228,0))))</f>
        <v/>
      </c>
      <c r="G1228" s="13"/>
      <c r="H1228" s="11"/>
      <c r="I1228" s="15" t="str">
        <f aca="false">IF($F1228="","",$F1228-IF($H1228="",0,$H1228))</f>
        <v/>
      </c>
      <c r="J1228" s="16" t="str">
        <f aca="true">IF(OR($A1228="",$I1228="",$I1228&lt;=0),"",TODAY()-$A1228)</f>
        <v/>
      </c>
      <c r="K1228" s="10"/>
    </row>
    <row r="1229" customFormat="false" ht="15" hidden="false" customHeight="true" outlineLevel="0" collapsed="false">
      <c r="A1229" s="13"/>
      <c r="B1229" s="10"/>
      <c r="C1229" s="10"/>
      <c r="D1229" s="14"/>
      <c r="E1229" s="11"/>
      <c r="F1229" s="15" t="str">
        <f aca="false">IF($B1229="","",IF(AND($D1229="",$E1229=""),"",IF(OR($D1229="",$E1229=""),0,ROUND($D1229*$E1229,0))))</f>
        <v/>
      </c>
      <c r="G1229" s="13"/>
      <c r="H1229" s="11"/>
      <c r="I1229" s="15" t="str">
        <f aca="false">IF($F1229="","",$F1229-IF($H1229="",0,$H1229))</f>
        <v/>
      </c>
      <c r="J1229" s="16" t="str">
        <f aca="true">IF(OR($A1229="",$I1229="",$I1229&lt;=0),"",TODAY()-$A1229)</f>
        <v/>
      </c>
      <c r="K1229" s="10"/>
    </row>
    <row r="1230" customFormat="false" ht="15" hidden="false" customHeight="true" outlineLevel="0" collapsed="false">
      <c r="A1230" s="13"/>
      <c r="B1230" s="10"/>
      <c r="C1230" s="10"/>
      <c r="D1230" s="14"/>
      <c r="E1230" s="11"/>
      <c r="F1230" s="15" t="str">
        <f aca="false">IF($B1230="","",IF(AND($D1230="",$E1230=""),"",IF(OR($D1230="",$E1230=""),0,ROUND($D1230*$E1230,0))))</f>
        <v/>
      </c>
      <c r="G1230" s="13"/>
      <c r="H1230" s="11"/>
      <c r="I1230" s="15" t="str">
        <f aca="false">IF($F1230="","",$F1230-IF($H1230="",0,$H1230))</f>
        <v/>
      </c>
      <c r="J1230" s="16" t="str">
        <f aca="true">IF(OR($A1230="",$I1230="",$I1230&lt;=0),"",TODAY()-$A1230)</f>
        <v/>
      </c>
      <c r="K1230" s="10"/>
    </row>
    <row r="1231" customFormat="false" ht="15" hidden="false" customHeight="true" outlineLevel="0" collapsed="false">
      <c r="A1231" s="13"/>
      <c r="B1231" s="10"/>
      <c r="C1231" s="10"/>
      <c r="D1231" s="14"/>
      <c r="E1231" s="11"/>
      <c r="F1231" s="15" t="str">
        <f aca="false">IF($B1231="","",IF(AND($D1231="",$E1231=""),"",IF(OR($D1231="",$E1231=""),0,ROUND($D1231*$E1231,0))))</f>
        <v/>
      </c>
      <c r="G1231" s="13"/>
      <c r="H1231" s="11"/>
      <c r="I1231" s="15" t="str">
        <f aca="false">IF($F1231="","",$F1231-IF($H1231="",0,$H1231))</f>
        <v/>
      </c>
      <c r="J1231" s="16" t="str">
        <f aca="true">IF(OR($A1231="",$I1231="",$I1231&lt;=0),"",TODAY()-$A1231)</f>
        <v/>
      </c>
      <c r="K1231" s="10"/>
    </row>
    <row r="1232" customFormat="false" ht="15" hidden="false" customHeight="true" outlineLevel="0" collapsed="false">
      <c r="A1232" s="13"/>
      <c r="B1232" s="10"/>
      <c r="C1232" s="10"/>
      <c r="D1232" s="14"/>
      <c r="E1232" s="11"/>
      <c r="F1232" s="15" t="str">
        <f aca="false">IF($B1232="","",IF(AND($D1232="",$E1232=""),"",IF(OR($D1232="",$E1232=""),0,ROUND($D1232*$E1232,0))))</f>
        <v/>
      </c>
      <c r="G1232" s="13"/>
      <c r="H1232" s="11"/>
      <c r="I1232" s="15" t="str">
        <f aca="false">IF($F1232="","",$F1232-IF($H1232="",0,$H1232))</f>
        <v/>
      </c>
      <c r="J1232" s="16" t="str">
        <f aca="true">IF(OR($A1232="",$I1232="",$I1232&lt;=0),"",TODAY()-$A1232)</f>
        <v/>
      </c>
      <c r="K1232" s="10"/>
    </row>
    <row r="1233" customFormat="false" ht="15" hidden="false" customHeight="true" outlineLevel="0" collapsed="false">
      <c r="A1233" s="13"/>
      <c r="B1233" s="10"/>
      <c r="C1233" s="10"/>
      <c r="D1233" s="14"/>
      <c r="E1233" s="11"/>
      <c r="F1233" s="15" t="str">
        <f aca="false">IF($B1233="","",IF(AND($D1233="",$E1233=""),"",IF(OR($D1233="",$E1233=""),0,ROUND($D1233*$E1233,0))))</f>
        <v/>
      </c>
      <c r="G1233" s="13"/>
      <c r="H1233" s="11"/>
      <c r="I1233" s="15" t="str">
        <f aca="false">IF($F1233="","",$F1233-IF($H1233="",0,$H1233))</f>
        <v/>
      </c>
      <c r="J1233" s="16" t="str">
        <f aca="true">IF(OR($A1233="",$I1233="",$I1233&lt;=0),"",TODAY()-$A1233)</f>
        <v/>
      </c>
      <c r="K1233" s="10"/>
    </row>
    <row r="1234" customFormat="false" ht="15" hidden="false" customHeight="true" outlineLevel="0" collapsed="false">
      <c r="A1234" s="13"/>
      <c r="B1234" s="10"/>
      <c r="C1234" s="10"/>
      <c r="D1234" s="14"/>
      <c r="E1234" s="11"/>
      <c r="F1234" s="15" t="str">
        <f aca="false">IF($B1234="","",IF(AND($D1234="",$E1234=""),"",IF(OR($D1234="",$E1234=""),0,ROUND($D1234*$E1234,0))))</f>
        <v/>
      </c>
      <c r="G1234" s="13"/>
      <c r="H1234" s="11"/>
      <c r="I1234" s="15" t="str">
        <f aca="false">IF($F1234="","",$F1234-IF($H1234="",0,$H1234))</f>
        <v/>
      </c>
      <c r="J1234" s="16" t="str">
        <f aca="true">IF(OR($A1234="",$I1234="",$I1234&lt;=0),"",TODAY()-$A1234)</f>
        <v/>
      </c>
      <c r="K1234" s="10"/>
    </row>
    <row r="1235" customFormat="false" ht="15" hidden="false" customHeight="true" outlineLevel="0" collapsed="false">
      <c r="A1235" s="13"/>
      <c r="B1235" s="10"/>
      <c r="C1235" s="10"/>
      <c r="D1235" s="14"/>
      <c r="E1235" s="11"/>
      <c r="F1235" s="15" t="str">
        <f aca="false">IF($B1235="","",IF(AND($D1235="",$E1235=""),"",IF(OR($D1235="",$E1235=""),0,ROUND($D1235*$E1235,0))))</f>
        <v/>
      </c>
      <c r="G1235" s="13"/>
      <c r="H1235" s="11"/>
      <c r="I1235" s="15" t="str">
        <f aca="false">IF($F1235="","",$F1235-IF($H1235="",0,$H1235))</f>
        <v/>
      </c>
      <c r="J1235" s="16" t="str">
        <f aca="true">IF(OR($A1235="",$I1235="",$I1235&lt;=0),"",TODAY()-$A1235)</f>
        <v/>
      </c>
      <c r="K1235" s="10"/>
    </row>
    <row r="1236" customFormat="false" ht="15" hidden="false" customHeight="true" outlineLevel="0" collapsed="false">
      <c r="A1236" s="13"/>
      <c r="B1236" s="10"/>
      <c r="C1236" s="10"/>
      <c r="D1236" s="14"/>
      <c r="E1236" s="11"/>
      <c r="F1236" s="15" t="str">
        <f aca="false">IF($B1236="","",IF(AND($D1236="",$E1236=""),"",IF(OR($D1236="",$E1236=""),0,ROUND($D1236*$E1236,0))))</f>
        <v/>
      </c>
      <c r="G1236" s="13"/>
      <c r="H1236" s="11"/>
      <c r="I1236" s="15" t="str">
        <f aca="false">IF($F1236="","",$F1236-IF($H1236="",0,$H1236))</f>
        <v/>
      </c>
      <c r="J1236" s="16" t="str">
        <f aca="true">IF(OR($A1236="",$I1236="",$I1236&lt;=0),"",TODAY()-$A1236)</f>
        <v/>
      </c>
      <c r="K1236" s="10"/>
    </row>
    <row r="1237" customFormat="false" ht="15" hidden="false" customHeight="true" outlineLevel="0" collapsed="false">
      <c r="A1237" s="13"/>
      <c r="B1237" s="10"/>
      <c r="C1237" s="10"/>
      <c r="D1237" s="14"/>
      <c r="E1237" s="11"/>
      <c r="F1237" s="15" t="str">
        <f aca="false">IF($B1237="","",IF(AND($D1237="",$E1237=""),"",IF(OR($D1237="",$E1237=""),0,ROUND($D1237*$E1237,0))))</f>
        <v/>
      </c>
      <c r="G1237" s="13"/>
      <c r="H1237" s="11"/>
      <c r="I1237" s="15" t="str">
        <f aca="false">IF($F1237="","",$F1237-IF($H1237="",0,$H1237))</f>
        <v/>
      </c>
      <c r="J1237" s="16" t="str">
        <f aca="true">IF(OR($A1237="",$I1237="",$I1237&lt;=0),"",TODAY()-$A1237)</f>
        <v/>
      </c>
      <c r="K1237" s="10"/>
    </row>
    <row r="1238" customFormat="false" ht="15" hidden="false" customHeight="true" outlineLevel="0" collapsed="false">
      <c r="A1238" s="13"/>
      <c r="B1238" s="10"/>
      <c r="C1238" s="10"/>
      <c r="D1238" s="14"/>
      <c r="E1238" s="11"/>
      <c r="F1238" s="15" t="str">
        <f aca="false">IF($B1238="","",IF(AND($D1238="",$E1238=""),"",IF(OR($D1238="",$E1238=""),0,ROUND($D1238*$E1238,0))))</f>
        <v/>
      </c>
      <c r="G1238" s="13"/>
      <c r="H1238" s="11"/>
      <c r="I1238" s="15" t="str">
        <f aca="false">IF($F1238="","",$F1238-IF($H1238="",0,$H1238))</f>
        <v/>
      </c>
      <c r="J1238" s="16" t="str">
        <f aca="true">IF(OR($A1238="",$I1238="",$I1238&lt;=0),"",TODAY()-$A1238)</f>
        <v/>
      </c>
      <c r="K1238" s="10"/>
    </row>
    <row r="1239" customFormat="false" ht="15" hidden="false" customHeight="true" outlineLevel="0" collapsed="false">
      <c r="A1239" s="13"/>
      <c r="B1239" s="10"/>
      <c r="C1239" s="10"/>
      <c r="D1239" s="14"/>
      <c r="E1239" s="11"/>
      <c r="F1239" s="15" t="str">
        <f aca="false">IF($B1239="","",IF(AND($D1239="",$E1239=""),"",IF(OR($D1239="",$E1239=""),0,ROUND($D1239*$E1239,0))))</f>
        <v/>
      </c>
      <c r="G1239" s="13"/>
      <c r="H1239" s="11"/>
      <c r="I1239" s="15" t="str">
        <f aca="false">IF($F1239="","",$F1239-IF($H1239="",0,$H1239))</f>
        <v/>
      </c>
      <c r="J1239" s="16" t="str">
        <f aca="true">IF(OR($A1239="",$I1239="",$I1239&lt;=0),"",TODAY()-$A1239)</f>
        <v/>
      </c>
      <c r="K1239" s="10"/>
    </row>
    <row r="1240" customFormat="false" ht="15" hidden="false" customHeight="true" outlineLevel="0" collapsed="false">
      <c r="A1240" s="13"/>
      <c r="B1240" s="10"/>
      <c r="C1240" s="10"/>
      <c r="D1240" s="14"/>
      <c r="E1240" s="11"/>
      <c r="F1240" s="15" t="str">
        <f aca="false">IF($B1240="","",IF(AND($D1240="",$E1240=""),"",IF(OR($D1240="",$E1240=""),0,ROUND($D1240*$E1240,0))))</f>
        <v/>
      </c>
      <c r="G1240" s="13"/>
      <c r="H1240" s="11"/>
      <c r="I1240" s="15" t="str">
        <f aca="false">IF($F1240="","",$F1240-IF($H1240="",0,$H1240))</f>
        <v/>
      </c>
      <c r="J1240" s="16" t="str">
        <f aca="true">IF(OR($A1240="",$I1240="",$I1240&lt;=0),"",TODAY()-$A1240)</f>
        <v/>
      </c>
      <c r="K1240" s="10"/>
    </row>
    <row r="1241" customFormat="false" ht="15" hidden="false" customHeight="true" outlineLevel="0" collapsed="false">
      <c r="A1241" s="13"/>
      <c r="B1241" s="10"/>
      <c r="C1241" s="10"/>
      <c r="D1241" s="14"/>
      <c r="E1241" s="11"/>
      <c r="F1241" s="15" t="str">
        <f aca="false">IF($B1241="","",IF(AND($D1241="",$E1241=""),"",IF(OR($D1241="",$E1241=""),0,ROUND($D1241*$E1241,0))))</f>
        <v/>
      </c>
      <c r="G1241" s="13"/>
      <c r="H1241" s="11"/>
      <c r="I1241" s="15" t="str">
        <f aca="false">IF($F1241="","",$F1241-IF($H1241="",0,$H1241))</f>
        <v/>
      </c>
      <c r="J1241" s="16" t="str">
        <f aca="true">IF(OR($A1241="",$I1241="",$I1241&lt;=0),"",TODAY()-$A1241)</f>
        <v/>
      </c>
      <c r="K1241" s="10"/>
    </row>
    <row r="1242" customFormat="false" ht="15" hidden="false" customHeight="true" outlineLevel="0" collapsed="false">
      <c r="A1242" s="13"/>
      <c r="B1242" s="10"/>
      <c r="C1242" s="10"/>
      <c r="D1242" s="14"/>
      <c r="E1242" s="11"/>
      <c r="F1242" s="15" t="str">
        <f aca="false">IF($B1242="","",IF(AND($D1242="",$E1242=""),"",IF(OR($D1242="",$E1242=""),0,ROUND($D1242*$E1242,0))))</f>
        <v/>
      </c>
      <c r="G1242" s="13"/>
      <c r="H1242" s="11"/>
      <c r="I1242" s="15" t="str">
        <f aca="false">IF($F1242="","",$F1242-IF($H1242="",0,$H1242))</f>
        <v/>
      </c>
      <c r="J1242" s="16" t="str">
        <f aca="true">IF(OR($A1242="",$I1242="",$I1242&lt;=0),"",TODAY()-$A1242)</f>
        <v/>
      </c>
      <c r="K1242" s="10"/>
    </row>
    <row r="1243" customFormat="false" ht="15" hidden="false" customHeight="true" outlineLevel="0" collapsed="false">
      <c r="A1243" s="13"/>
      <c r="B1243" s="10"/>
      <c r="C1243" s="10"/>
      <c r="D1243" s="14"/>
      <c r="E1243" s="11"/>
      <c r="F1243" s="15" t="str">
        <f aca="false">IF($B1243="","",IF(AND($D1243="",$E1243=""),"",IF(OR($D1243="",$E1243=""),0,ROUND($D1243*$E1243,0))))</f>
        <v/>
      </c>
      <c r="G1243" s="13"/>
      <c r="H1243" s="11"/>
      <c r="I1243" s="15" t="str">
        <f aca="false">IF($F1243="","",$F1243-IF($H1243="",0,$H1243))</f>
        <v/>
      </c>
      <c r="J1243" s="16" t="str">
        <f aca="true">IF(OR($A1243="",$I1243="",$I1243&lt;=0),"",TODAY()-$A1243)</f>
        <v/>
      </c>
      <c r="K1243" s="10"/>
    </row>
    <row r="1244" customFormat="false" ht="15" hidden="false" customHeight="true" outlineLevel="0" collapsed="false">
      <c r="A1244" s="13"/>
      <c r="B1244" s="10"/>
      <c r="C1244" s="10"/>
      <c r="D1244" s="14"/>
      <c r="E1244" s="11"/>
      <c r="F1244" s="15" t="str">
        <f aca="false">IF($B1244="","",IF(AND($D1244="",$E1244=""),"",IF(OR($D1244="",$E1244=""),0,ROUND($D1244*$E1244,0))))</f>
        <v/>
      </c>
      <c r="G1244" s="13"/>
      <c r="H1244" s="11"/>
      <c r="I1244" s="15" t="str">
        <f aca="false">IF($F1244="","",$F1244-IF($H1244="",0,$H1244))</f>
        <v/>
      </c>
      <c r="J1244" s="16" t="str">
        <f aca="true">IF(OR($A1244="",$I1244="",$I1244&lt;=0),"",TODAY()-$A1244)</f>
        <v/>
      </c>
      <c r="K1244" s="10"/>
    </row>
    <row r="1245" customFormat="false" ht="15" hidden="false" customHeight="true" outlineLevel="0" collapsed="false">
      <c r="A1245" s="13"/>
      <c r="B1245" s="10"/>
      <c r="C1245" s="10"/>
      <c r="D1245" s="14"/>
      <c r="E1245" s="11"/>
      <c r="F1245" s="15" t="str">
        <f aca="false">IF($B1245="","",IF(AND($D1245="",$E1245=""),"",IF(OR($D1245="",$E1245=""),0,ROUND($D1245*$E1245,0))))</f>
        <v/>
      </c>
      <c r="G1245" s="13"/>
      <c r="H1245" s="11"/>
      <c r="I1245" s="15" t="str">
        <f aca="false">IF($F1245="","",$F1245-IF($H1245="",0,$H1245))</f>
        <v/>
      </c>
      <c r="J1245" s="16" t="str">
        <f aca="true">IF(OR($A1245="",$I1245="",$I1245&lt;=0),"",TODAY()-$A1245)</f>
        <v/>
      </c>
      <c r="K1245" s="10"/>
    </row>
    <row r="1246" customFormat="false" ht="15" hidden="false" customHeight="true" outlineLevel="0" collapsed="false">
      <c r="A1246" s="13"/>
      <c r="B1246" s="10"/>
      <c r="C1246" s="10"/>
      <c r="D1246" s="14"/>
      <c r="E1246" s="11"/>
      <c r="F1246" s="15" t="str">
        <f aca="false">IF($B1246="","",IF(AND($D1246="",$E1246=""),"",IF(OR($D1246="",$E1246=""),0,ROUND($D1246*$E1246,0))))</f>
        <v/>
      </c>
      <c r="G1246" s="13"/>
      <c r="H1246" s="11"/>
      <c r="I1246" s="15" t="str">
        <f aca="false">IF($F1246="","",$F1246-IF($H1246="",0,$H1246))</f>
        <v/>
      </c>
      <c r="J1246" s="16" t="str">
        <f aca="true">IF(OR($A1246="",$I1246="",$I1246&lt;=0),"",TODAY()-$A1246)</f>
        <v/>
      </c>
      <c r="K1246" s="10"/>
    </row>
    <row r="1247" customFormat="false" ht="15" hidden="false" customHeight="true" outlineLevel="0" collapsed="false">
      <c r="A1247" s="13"/>
      <c r="B1247" s="10"/>
      <c r="C1247" s="10"/>
      <c r="D1247" s="14"/>
      <c r="E1247" s="11"/>
      <c r="F1247" s="15" t="str">
        <f aca="false">IF($B1247="","",IF(AND($D1247="",$E1247=""),"",IF(OR($D1247="",$E1247=""),0,ROUND($D1247*$E1247,0))))</f>
        <v/>
      </c>
      <c r="G1247" s="13"/>
      <c r="H1247" s="11"/>
      <c r="I1247" s="15" t="str">
        <f aca="false">IF($F1247="","",$F1247-IF($H1247="",0,$H1247))</f>
        <v/>
      </c>
      <c r="J1247" s="16" t="str">
        <f aca="true">IF(OR($A1247="",$I1247="",$I1247&lt;=0),"",TODAY()-$A1247)</f>
        <v/>
      </c>
      <c r="K1247" s="10"/>
    </row>
    <row r="1248" customFormat="false" ht="15" hidden="false" customHeight="true" outlineLevel="0" collapsed="false">
      <c r="A1248" s="13"/>
      <c r="B1248" s="10"/>
      <c r="C1248" s="10"/>
      <c r="D1248" s="14"/>
      <c r="E1248" s="11"/>
      <c r="F1248" s="15" t="str">
        <f aca="false">IF($B1248="","",IF(AND($D1248="",$E1248=""),"",IF(OR($D1248="",$E1248=""),0,ROUND($D1248*$E1248,0))))</f>
        <v/>
      </c>
      <c r="G1248" s="13"/>
      <c r="H1248" s="11"/>
      <c r="I1248" s="15" t="str">
        <f aca="false">IF($F1248="","",$F1248-IF($H1248="",0,$H1248))</f>
        <v/>
      </c>
      <c r="J1248" s="16" t="str">
        <f aca="true">IF(OR($A1248="",$I1248="",$I1248&lt;=0),"",TODAY()-$A1248)</f>
        <v/>
      </c>
      <c r="K1248" s="10"/>
    </row>
    <row r="1249" customFormat="false" ht="15" hidden="false" customHeight="true" outlineLevel="0" collapsed="false">
      <c r="A1249" s="13"/>
      <c r="B1249" s="10"/>
      <c r="C1249" s="10"/>
      <c r="D1249" s="14"/>
      <c r="E1249" s="11"/>
      <c r="F1249" s="15" t="str">
        <f aca="false">IF($B1249="","",IF(AND($D1249="",$E1249=""),"",IF(OR($D1249="",$E1249=""),0,ROUND($D1249*$E1249,0))))</f>
        <v/>
      </c>
      <c r="G1249" s="13"/>
      <c r="H1249" s="11"/>
      <c r="I1249" s="15" t="str">
        <f aca="false">IF($F1249="","",$F1249-IF($H1249="",0,$H1249))</f>
        <v/>
      </c>
      <c r="J1249" s="16" t="str">
        <f aca="true">IF(OR($A1249="",$I1249="",$I1249&lt;=0),"",TODAY()-$A1249)</f>
        <v/>
      </c>
      <c r="K1249" s="10"/>
    </row>
    <row r="1250" customFormat="false" ht="15" hidden="false" customHeight="true" outlineLevel="0" collapsed="false">
      <c r="A1250" s="13"/>
      <c r="B1250" s="10"/>
      <c r="C1250" s="10"/>
      <c r="D1250" s="14"/>
      <c r="E1250" s="11"/>
      <c r="F1250" s="15" t="str">
        <f aca="false">IF($B1250="","",IF(AND($D1250="",$E1250=""),"",IF(OR($D1250="",$E1250=""),0,ROUND($D1250*$E1250,0))))</f>
        <v/>
      </c>
      <c r="G1250" s="13"/>
      <c r="H1250" s="11"/>
      <c r="I1250" s="15" t="str">
        <f aca="false">IF($F1250="","",$F1250-IF($H1250="",0,$H1250))</f>
        <v/>
      </c>
      <c r="J1250" s="16" t="str">
        <f aca="true">IF(OR($A1250="",$I1250="",$I1250&lt;=0),"",TODAY()-$A1250)</f>
        <v/>
      </c>
      <c r="K1250" s="10"/>
    </row>
    <row r="1251" customFormat="false" ht="15" hidden="false" customHeight="true" outlineLevel="0" collapsed="false">
      <c r="A1251" s="13"/>
      <c r="B1251" s="10"/>
      <c r="C1251" s="10"/>
      <c r="D1251" s="14"/>
      <c r="E1251" s="11"/>
      <c r="F1251" s="15" t="str">
        <f aca="false">IF($B1251="","",IF(AND($D1251="",$E1251=""),"",IF(OR($D1251="",$E1251=""),0,ROUND($D1251*$E1251,0))))</f>
        <v/>
      </c>
      <c r="G1251" s="13"/>
      <c r="H1251" s="11"/>
      <c r="I1251" s="15" t="str">
        <f aca="false">IF($F1251="","",$F1251-IF($H1251="",0,$H1251))</f>
        <v/>
      </c>
      <c r="J1251" s="16" t="str">
        <f aca="true">IF(OR($A1251="",$I1251="",$I1251&lt;=0),"",TODAY()-$A1251)</f>
        <v/>
      </c>
      <c r="K1251" s="10"/>
    </row>
    <row r="1252" customFormat="false" ht="15" hidden="false" customHeight="true" outlineLevel="0" collapsed="false">
      <c r="A1252" s="13"/>
      <c r="B1252" s="10"/>
      <c r="C1252" s="10"/>
      <c r="D1252" s="14"/>
      <c r="E1252" s="11"/>
      <c r="F1252" s="15" t="str">
        <f aca="false">IF($B1252="","",IF(AND($D1252="",$E1252=""),"",IF(OR($D1252="",$E1252=""),0,ROUND($D1252*$E1252,0))))</f>
        <v/>
      </c>
      <c r="G1252" s="13"/>
      <c r="H1252" s="11"/>
      <c r="I1252" s="15" t="str">
        <f aca="false">IF($F1252="","",$F1252-IF($H1252="",0,$H1252))</f>
        <v/>
      </c>
      <c r="J1252" s="16" t="str">
        <f aca="true">IF(OR($A1252="",$I1252="",$I1252&lt;=0),"",TODAY()-$A1252)</f>
        <v/>
      </c>
      <c r="K1252" s="10"/>
    </row>
    <row r="1253" customFormat="false" ht="15" hidden="false" customHeight="true" outlineLevel="0" collapsed="false">
      <c r="A1253" s="13"/>
      <c r="B1253" s="10"/>
      <c r="C1253" s="10"/>
      <c r="D1253" s="14"/>
      <c r="E1253" s="11"/>
      <c r="F1253" s="15" t="str">
        <f aca="false">IF($B1253="","",IF(AND($D1253="",$E1253=""),"",IF(OR($D1253="",$E1253=""),0,ROUND($D1253*$E1253,0))))</f>
        <v/>
      </c>
      <c r="G1253" s="13"/>
      <c r="H1253" s="11"/>
      <c r="I1253" s="15" t="str">
        <f aca="false">IF($F1253="","",$F1253-IF($H1253="",0,$H1253))</f>
        <v/>
      </c>
      <c r="J1253" s="16" t="str">
        <f aca="true">IF(OR($A1253="",$I1253="",$I1253&lt;=0),"",TODAY()-$A1253)</f>
        <v/>
      </c>
      <c r="K1253" s="10"/>
    </row>
    <row r="1254" customFormat="false" ht="15" hidden="false" customHeight="true" outlineLevel="0" collapsed="false">
      <c r="A1254" s="13"/>
      <c r="B1254" s="10"/>
      <c r="C1254" s="10"/>
      <c r="D1254" s="14"/>
      <c r="E1254" s="11"/>
      <c r="F1254" s="15" t="str">
        <f aca="false">IF($B1254="","",IF(AND($D1254="",$E1254=""),"",IF(OR($D1254="",$E1254=""),0,ROUND($D1254*$E1254,0))))</f>
        <v/>
      </c>
      <c r="G1254" s="13"/>
      <c r="H1254" s="11"/>
      <c r="I1254" s="15" t="str">
        <f aca="false">IF($F1254="","",$F1254-IF($H1254="",0,$H1254))</f>
        <v/>
      </c>
      <c r="J1254" s="16" t="str">
        <f aca="true">IF(OR($A1254="",$I1254="",$I1254&lt;=0),"",TODAY()-$A1254)</f>
        <v/>
      </c>
      <c r="K1254" s="10"/>
    </row>
    <row r="1255" customFormat="false" ht="15" hidden="false" customHeight="true" outlineLevel="0" collapsed="false">
      <c r="A1255" s="13"/>
      <c r="B1255" s="10"/>
      <c r="C1255" s="10"/>
      <c r="D1255" s="14"/>
      <c r="E1255" s="11"/>
      <c r="F1255" s="15" t="str">
        <f aca="false">IF($B1255="","",IF(AND($D1255="",$E1255=""),"",IF(OR($D1255="",$E1255=""),0,ROUND($D1255*$E1255,0))))</f>
        <v/>
      </c>
      <c r="G1255" s="13"/>
      <c r="H1255" s="11"/>
      <c r="I1255" s="15" t="str">
        <f aca="false">IF($F1255="","",$F1255-IF($H1255="",0,$H1255))</f>
        <v/>
      </c>
      <c r="J1255" s="16" t="str">
        <f aca="true">IF(OR($A1255="",$I1255="",$I1255&lt;=0),"",TODAY()-$A1255)</f>
        <v/>
      </c>
      <c r="K1255" s="10"/>
    </row>
    <row r="1256" customFormat="false" ht="15" hidden="false" customHeight="true" outlineLevel="0" collapsed="false">
      <c r="A1256" s="13"/>
      <c r="B1256" s="10"/>
      <c r="C1256" s="10"/>
      <c r="D1256" s="14"/>
      <c r="E1256" s="11"/>
      <c r="F1256" s="15" t="str">
        <f aca="false">IF($B1256="","",IF(AND($D1256="",$E1256=""),"",IF(OR($D1256="",$E1256=""),0,ROUND($D1256*$E1256,0))))</f>
        <v/>
      </c>
      <c r="G1256" s="13"/>
      <c r="H1256" s="11"/>
      <c r="I1256" s="15" t="str">
        <f aca="false">IF($F1256="","",$F1256-IF($H1256="",0,$H1256))</f>
        <v/>
      </c>
      <c r="J1256" s="16" t="str">
        <f aca="true">IF(OR($A1256="",$I1256="",$I1256&lt;=0),"",TODAY()-$A1256)</f>
        <v/>
      </c>
      <c r="K1256" s="10"/>
    </row>
    <row r="1257" customFormat="false" ht="15" hidden="false" customHeight="true" outlineLevel="0" collapsed="false">
      <c r="A1257" s="13"/>
      <c r="B1257" s="10"/>
      <c r="C1257" s="10"/>
      <c r="D1257" s="14"/>
      <c r="E1257" s="11"/>
      <c r="F1257" s="15" t="str">
        <f aca="false">IF($B1257="","",IF(AND($D1257="",$E1257=""),"",IF(OR($D1257="",$E1257=""),0,ROUND($D1257*$E1257,0))))</f>
        <v/>
      </c>
      <c r="G1257" s="13"/>
      <c r="H1257" s="11"/>
      <c r="I1257" s="15" t="str">
        <f aca="false">IF($F1257="","",$F1257-IF($H1257="",0,$H1257))</f>
        <v/>
      </c>
      <c r="J1257" s="16" t="str">
        <f aca="true">IF(OR($A1257="",$I1257="",$I1257&lt;=0),"",TODAY()-$A1257)</f>
        <v/>
      </c>
      <c r="K1257" s="10"/>
    </row>
    <row r="1258" customFormat="false" ht="15" hidden="false" customHeight="true" outlineLevel="0" collapsed="false">
      <c r="A1258" s="13"/>
      <c r="B1258" s="10"/>
      <c r="C1258" s="10"/>
      <c r="D1258" s="14"/>
      <c r="E1258" s="11"/>
      <c r="F1258" s="15" t="str">
        <f aca="false">IF($B1258="","",IF(AND($D1258="",$E1258=""),"",IF(OR($D1258="",$E1258=""),0,ROUND($D1258*$E1258,0))))</f>
        <v/>
      </c>
      <c r="G1258" s="13"/>
      <c r="H1258" s="11"/>
      <c r="I1258" s="15" t="str">
        <f aca="false">IF($F1258="","",$F1258-IF($H1258="",0,$H1258))</f>
        <v/>
      </c>
      <c r="J1258" s="16" t="str">
        <f aca="true">IF(OR($A1258="",$I1258="",$I1258&lt;=0),"",TODAY()-$A1258)</f>
        <v/>
      </c>
      <c r="K1258" s="10"/>
    </row>
    <row r="1259" customFormat="false" ht="15" hidden="false" customHeight="true" outlineLevel="0" collapsed="false">
      <c r="A1259" s="13"/>
      <c r="B1259" s="10"/>
      <c r="C1259" s="10"/>
      <c r="D1259" s="14"/>
      <c r="E1259" s="11"/>
      <c r="F1259" s="15" t="str">
        <f aca="false">IF($B1259="","",IF(AND($D1259="",$E1259=""),"",IF(OR($D1259="",$E1259=""),0,ROUND($D1259*$E1259,0))))</f>
        <v/>
      </c>
      <c r="G1259" s="13"/>
      <c r="H1259" s="11"/>
      <c r="I1259" s="15" t="str">
        <f aca="false">IF($F1259="","",$F1259-IF($H1259="",0,$H1259))</f>
        <v/>
      </c>
      <c r="J1259" s="16" t="str">
        <f aca="true">IF(OR($A1259="",$I1259="",$I1259&lt;=0),"",TODAY()-$A1259)</f>
        <v/>
      </c>
      <c r="K1259" s="10"/>
    </row>
    <row r="1260" customFormat="false" ht="15" hidden="false" customHeight="true" outlineLevel="0" collapsed="false">
      <c r="A1260" s="13"/>
      <c r="B1260" s="10"/>
      <c r="C1260" s="10"/>
      <c r="D1260" s="14"/>
      <c r="E1260" s="11"/>
      <c r="F1260" s="15" t="str">
        <f aca="false">IF($B1260="","",IF(AND($D1260="",$E1260=""),"",IF(OR($D1260="",$E1260=""),0,ROUND($D1260*$E1260,0))))</f>
        <v/>
      </c>
      <c r="G1260" s="13"/>
      <c r="H1260" s="11"/>
      <c r="I1260" s="15" t="str">
        <f aca="false">IF($F1260="","",$F1260-IF($H1260="",0,$H1260))</f>
        <v/>
      </c>
      <c r="J1260" s="16" t="str">
        <f aca="true">IF(OR($A1260="",$I1260="",$I1260&lt;=0),"",TODAY()-$A1260)</f>
        <v/>
      </c>
      <c r="K1260" s="10"/>
    </row>
    <row r="1261" customFormat="false" ht="15" hidden="false" customHeight="true" outlineLevel="0" collapsed="false">
      <c r="A1261" s="13"/>
      <c r="B1261" s="10"/>
      <c r="C1261" s="10"/>
      <c r="D1261" s="14"/>
      <c r="E1261" s="11"/>
      <c r="F1261" s="15" t="str">
        <f aca="false">IF($B1261="","",IF(AND($D1261="",$E1261=""),"",IF(OR($D1261="",$E1261=""),0,ROUND($D1261*$E1261,0))))</f>
        <v/>
      </c>
      <c r="G1261" s="13"/>
      <c r="H1261" s="11"/>
      <c r="I1261" s="15" t="str">
        <f aca="false">IF($F1261="","",$F1261-IF($H1261="",0,$H1261))</f>
        <v/>
      </c>
      <c r="J1261" s="16" t="str">
        <f aca="true">IF(OR($A1261="",$I1261="",$I1261&lt;=0),"",TODAY()-$A1261)</f>
        <v/>
      </c>
      <c r="K1261" s="10"/>
    </row>
    <row r="1262" customFormat="false" ht="15" hidden="false" customHeight="true" outlineLevel="0" collapsed="false">
      <c r="A1262" s="13"/>
      <c r="B1262" s="10"/>
      <c r="C1262" s="10"/>
      <c r="D1262" s="14"/>
      <c r="E1262" s="11"/>
      <c r="F1262" s="15" t="str">
        <f aca="false">IF($B1262="","",IF(AND($D1262="",$E1262=""),"",IF(OR($D1262="",$E1262=""),0,ROUND($D1262*$E1262,0))))</f>
        <v/>
      </c>
      <c r="G1262" s="13"/>
      <c r="H1262" s="11"/>
      <c r="I1262" s="15" t="str">
        <f aca="false">IF($F1262="","",$F1262-IF($H1262="",0,$H1262))</f>
        <v/>
      </c>
      <c r="J1262" s="16" t="str">
        <f aca="true">IF(OR($A1262="",$I1262="",$I1262&lt;=0),"",TODAY()-$A1262)</f>
        <v/>
      </c>
      <c r="K1262" s="10"/>
    </row>
    <row r="1263" customFormat="false" ht="15" hidden="false" customHeight="true" outlineLevel="0" collapsed="false">
      <c r="A1263" s="13"/>
      <c r="B1263" s="10"/>
      <c r="C1263" s="10"/>
      <c r="D1263" s="14"/>
      <c r="E1263" s="11"/>
      <c r="F1263" s="15" t="str">
        <f aca="false">IF($B1263="","",IF(AND($D1263="",$E1263=""),"",IF(OR($D1263="",$E1263=""),0,ROUND($D1263*$E1263,0))))</f>
        <v/>
      </c>
      <c r="G1263" s="13"/>
      <c r="H1263" s="11"/>
      <c r="I1263" s="15" t="str">
        <f aca="false">IF($F1263="","",$F1263-IF($H1263="",0,$H1263))</f>
        <v/>
      </c>
      <c r="J1263" s="16" t="str">
        <f aca="true">IF(OR($A1263="",$I1263="",$I1263&lt;=0),"",TODAY()-$A1263)</f>
        <v/>
      </c>
      <c r="K1263" s="10"/>
    </row>
    <row r="1264" customFormat="false" ht="15" hidden="false" customHeight="true" outlineLevel="0" collapsed="false">
      <c r="A1264" s="13"/>
      <c r="B1264" s="10"/>
      <c r="C1264" s="10"/>
      <c r="D1264" s="14"/>
      <c r="E1264" s="11"/>
      <c r="F1264" s="15" t="str">
        <f aca="false">IF($B1264="","",IF(AND($D1264="",$E1264=""),"",IF(OR($D1264="",$E1264=""),0,ROUND($D1264*$E1264,0))))</f>
        <v/>
      </c>
      <c r="G1264" s="13"/>
      <c r="H1264" s="11"/>
      <c r="I1264" s="15" t="str">
        <f aca="false">IF($F1264="","",$F1264-IF($H1264="",0,$H1264))</f>
        <v/>
      </c>
      <c r="J1264" s="16" t="str">
        <f aca="true">IF(OR($A1264="",$I1264="",$I1264&lt;=0),"",TODAY()-$A1264)</f>
        <v/>
      </c>
      <c r="K1264" s="10"/>
    </row>
    <row r="1265" customFormat="false" ht="15" hidden="false" customHeight="true" outlineLevel="0" collapsed="false">
      <c r="A1265" s="13"/>
      <c r="B1265" s="10"/>
      <c r="C1265" s="10"/>
      <c r="D1265" s="14"/>
      <c r="E1265" s="11"/>
      <c r="F1265" s="15" t="str">
        <f aca="false">IF($B1265="","",IF(AND($D1265="",$E1265=""),"",IF(OR($D1265="",$E1265=""),0,ROUND($D1265*$E1265,0))))</f>
        <v/>
      </c>
      <c r="G1265" s="13"/>
      <c r="H1265" s="11"/>
      <c r="I1265" s="15" t="str">
        <f aca="false">IF($F1265="","",$F1265-IF($H1265="",0,$H1265))</f>
        <v/>
      </c>
      <c r="J1265" s="16" t="str">
        <f aca="true">IF(OR($A1265="",$I1265="",$I1265&lt;=0),"",TODAY()-$A1265)</f>
        <v/>
      </c>
      <c r="K1265" s="10"/>
    </row>
    <row r="1266" customFormat="false" ht="15" hidden="false" customHeight="true" outlineLevel="0" collapsed="false">
      <c r="A1266" s="13"/>
      <c r="B1266" s="10"/>
      <c r="C1266" s="10"/>
      <c r="D1266" s="14"/>
      <c r="E1266" s="11"/>
      <c r="F1266" s="15" t="str">
        <f aca="false">IF($B1266="","",IF(AND($D1266="",$E1266=""),"",IF(OR($D1266="",$E1266=""),0,ROUND($D1266*$E1266,0))))</f>
        <v/>
      </c>
      <c r="G1266" s="13"/>
      <c r="H1266" s="11"/>
      <c r="I1266" s="15" t="str">
        <f aca="false">IF($F1266="","",$F1266-IF($H1266="",0,$H1266))</f>
        <v/>
      </c>
      <c r="J1266" s="16" t="str">
        <f aca="true">IF(OR($A1266="",$I1266="",$I1266&lt;=0),"",TODAY()-$A1266)</f>
        <v/>
      </c>
      <c r="K1266" s="10"/>
    </row>
    <row r="1267" customFormat="false" ht="15" hidden="false" customHeight="true" outlineLevel="0" collapsed="false">
      <c r="A1267" s="13"/>
      <c r="B1267" s="10"/>
      <c r="C1267" s="10"/>
      <c r="D1267" s="14"/>
      <c r="E1267" s="11"/>
      <c r="F1267" s="15" t="str">
        <f aca="false">IF($B1267="","",IF(AND($D1267="",$E1267=""),"",IF(OR($D1267="",$E1267=""),0,ROUND($D1267*$E1267,0))))</f>
        <v/>
      </c>
      <c r="G1267" s="13"/>
      <c r="H1267" s="11"/>
      <c r="I1267" s="15" t="str">
        <f aca="false">IF($F1267="","",$F1267-IF($H1267="",0,$H1267))</f>
        <v/>
      </c>
      <c r="J1267" s="16" t="str">
        <f aca="true">IF(OR($A1267="",$I1267="",$I1267&lt;=0),"",TODAY()-$A1267)</f>
        <v/>
      </c>
      <c r="K1267" s="10"/>
    </row>
    <row r="1268" customFormat="false" ht="15" hidden="false" customHeight="true" outlineLevel="0" collapsed="false">
      <c r="A1268" s="13"/>
      <c r="B1268" s="10"/>
      <c r="C1268" s="10"/>
      <c r="D1268" s="14"/>
      <c r="E1268" s="11"/>
      <c r="F1268" s="15" t="str">
        <f aca="false">IF($B1268="","",IF(AND($D1268="",$E1268=""),"",IF(OR($D1268="",$E1268=""),0,ROUND($D1268*$E1268,0))))</f>
        <v/>
      </c>
      <c r="G1268" s="13"/>
      <c r="H1268" s="11"/>
      <c r="I1268" s="15" t="str">
        <f aca="false">IF($F1268="","",$F1268-IF($H1268="",0,$H1268))</f>
        <v/>
      </c>
      <c r="J1268" s="16" t="str">
        <f aca="true">IF(OR($A1268="",$I1268="",$I1268&lt;=0),"",TODAY()-$A1268)</f>
        <v/>
      </c>
      <c r="K1268" s="10"/>
    </row>
    <row r="1269" customFormat="false" ht="15" hidden="false" customHeight="true" outlineLevel="0" collapsed="false">
      <c r="A1269" s="13"/>
      <c r="B1269" s="10"/>
      <c r="C1269" s="10"/>
      <c r="D1269" s="14"/>
      <c r="E1269" s="11"/>
      <c r="F1269" s="15" t="str">
        <f aca="false">IF($B1269="","",IF(AND($D1269="",$E1269=""),"",IF(OR($D1269="",$E1269=""),0,ROUND($D1269*$E1269,0))))</f>
        <v/>
      </c>
      <c r="G1269" s="13"/>
      <c r="H1269" s="11"/>
      <c r="I1269" s="15" t="str">
        <f aca="false">IF($F1269="","",$F1269-IF($H1269="",0,$H1269))</f>
        <v/>
      </c>
      <c r="J1269" s="16" t="str">
        <f aca="true">IF(OR($A1269="",$I1269="",$I1269&lt;=0),"",TODAY()-$A1269)</f>
        <v/>
      </c>
      <c r="K1269" s="10"/>
    </row>
    <row r="1270" customFormat="false" ht="15" hidden="false" customHeight="true" outlineLevel="0" collapsed="false">
      <c r="A1270" s="13"/>
      <c r="B1270" s="10"/>
      <c r="C1270" s="10"/>
      <c r="D1270" s="14"/>
      <c r="E1270" s="11"/>
      <c r="F1270" s="15" t="str">
        <f aca="false">IF($B1270="","",IF(AND($D1270="",$E1270=""),"",IF(OR($D1270="",$E1270=""),0,ROUND($D1270*$E1270,0))))</f>
        <v/>
      </c>
      <c r="G1270" s="13"/>
      <c r="H1270" s="11"/>
      <c r="I1270" s="15" t="str">
        <f aca="false">IF($F1270="","",$F1270-IF($H1270="",0,$H1270))</f>
        <v/>
      </c>
      <c r="J1270" s="16" t="str">
        <f aca="true">IF(OR($A1270="",$I1270="",$I1270&lt;=0),"",TODAY()-$A1270)</f>
        <v/>
      </c>
      <c r="K1270" s="10"/>
    </row>
    <row r="1271" customFormat="false" ht="15" hidden="false" customHeight="true" outlineLevel="0" collapsed="false">
      <c r="A1271" s="13"/>
      <c r="B1271" s="10"/>
      <c r="C1271" s="10"/>
      <c r="D1271" s="14"/>
      <c r="E1271" s="11"/>
      <c r="F1271" s="15" t="str">
        <f aca="false">IF($B1271="","",IF(AND($D1271="",$E1271=""),"",IF(OR($D1271="",$E1271=""),0,ROUND($D1271*$E1271,0))))</f>
        <v/>
      </c>
      <c r="G1271" s="13"/>
      <c r="H1271" s="11"/>
      <c r="I1271" s="15" t="str">
        <f aca="false">IF($F1271="","",$F1271-IF($H1271="",0,$H1271))</f>
        <v/>
      </c>
      <c r="J1271" s="16" t="str">
        <f aca="true">IF(OR($A1271="",$I1271="",$I1271&lt;=0),"",TODAY()-$A1271)</f>
        <v/>
      </c>
      <c r="K1271" s="10"/>
    </row>
    <row r="1272" customFormat="false" ht="15" hidden="false" customHeight="true" outlineLevel="0" collapsed="false">
      <c r="A1272" s="13"/>
      <c r="B1272" s="10"/>
      <c r="C1272" s="10"/>
      <c r="D1272" s="14"/>
      <c r="E1272" s="11"/>
      <c r="F1272" s="15" t="str">
        <f aca="false">IF($B1272="","",IF(AND($D1272="",$E1272=""),"",IF(OR($D1272="",$E1272=""),0,ROUND($D1272*$E1272,0))))</f>
        <v/>
      </c>
      <c r="G1272" s="13"/>
      <c r="H1272" s="11"/>
      <c r="I1272" s="15" t="str">
        <f aca="false">IF($F1272="","",$F1272-IF($H1272="",0,$H1272))</f>
        <v/>
      </c>
      <c r="J1272" s="16" t="str">
        <f aca="true">IF(OR($A1272="",$I1272="",$I1272&lt;=0),"",TODAY()-$A1272)</f>
        <v/>
      </c>
      <c r="K1272" s="10"/>
    </row>
    <row r="1273" customFormat="false" ht="15" hidden="false" customHeight="true" outlineLevel="0" collapsed="false">
      <c r="A1273" s="13"/>
      <c r="B1273" s="10"/>
      <c r="C1273" s="10"/>
      <c r="D1273" s="14"/>
      <c r="E1273" s="11"/>
      <c r="F1273" s="15" t="str">
        <f aca="false">IF($B1273="","",IF(AND($D1273="",$E1273=""),"",IF(OR($D1273="",$E1273=""),0,ROUND($D1273*$E1273,0))))</f>
        <v/>
      </c>
      <c r="G1273" s="13"/>
      <c r="H1273" s="11"/>
      <c r="I1273" s="15" t="str">
        <f aca="false">IF($F1273="","",$F1273-IF($H1273="",0,$H1273))</f>
        <v/>
      </c>
      <c r="J1273" s="16" t="str">
        <f aca="true">IF(OR($A1273="",$I1273="",$I1273&lt;=0),"",TODAY()-$A1273)</f>
        <v/>
      </c>
      <c r="K1273" s="10"/>
    </row>
    <row r="1274" customFormat="false" ht="15" hidden="false" customHeight="true" outlineLevel="0" collapsed="false">
      <c r="A1274" s="13"/>
      <c r="B1274" s="10"/>
      <c r="C1274" s="10"/>
      <c r="D1274" s="14"/>
      <c r="E1274" s="11"/>
      <c r="F1274" s="15" t="str">
        <f aca="false">IF($B1274="","",IF(AND($D1274="",$E1274=""),"",IF(OR($D1274="",$E1274=""),0,ROUND($D1274*$E1274,0))))</f>
        <v/>
      </c>
      <c r="G1274" s="13"/>
      <c r="H1274" s="11"/>
      <c r="I1274" s="15" t="str">
        <f aca="false">IF($F1274="","",$F1274-IF($H1274="",0,$H1274))</f>
        <v/>
      </c>
      <c r="J1274" s="16" t="str">
        <f aca="true">IF(OR($A1274="",$I1274="",$I1274&lt;=0),"",TODAY()-$A1274)</f>
        <v/>
      </c>
      <c r="K1274" s="10"/>
    </row>
    <row r="1275" customFormat="false" ht="15" hidden="false" customHeight="true" outlineLevel="0" collapsed="false">
      <c r="A1275" s="13"/>
      <c r="B1275" s="10"/>
      <c r="C1275" s="10"/>
      <c r="D1275" s="14"/>
      <c r="E1275" s="11"/>
      <c r="F1275" s="15" t="str">
        <f aca="false">IF($B1275="","",IF(AND($D1275="",$E1275=""),"",IF(OR($D1275="",$E1275=""),0,ROUND($D1275*$E1275,0))))</f>
        <v/>
      </c>
      <c r="G1275" s="13"/>
      <c r="H1275" s="11"/>
      <c r="I1275" s="15" t="str">
        <f aca="false">IF($F1275="","",$F1275-IF($H1275="",0,$H1275))</f>
        <v/>
      </c>
      <c r="J1275" s="16" t="str">
        <f aca="true">IF(OR($A1275="",$I1275="",$I1275&lt;=0),"",TODAY()-$A1275)</f>
        <v/>
      </c>
      <c r="K1275" s="10"/>
    </row>
    <row r="1276" customFormat="false" ht="15" hidden="false" customHeight="true" outlineLevel="0" collapsed="false">
      <c r="A1276" s="13"/>
      <c r="B1276" s="10"/>
      <c r="C1276" s="10"/>
      <c r="D1276" s="14"/>
      <c r="E1276" s="11"/>
      <c r="F1276" s="15" t="str">
        <f aca="false">IF($B1276="","",IF(AND($D1276="",$E1276=""),"",IF(OR($D1276="",$E1276=""),0,ROUND($D1276*$E1276,0))))</f>
        <v/>
      </c>
      <c r="G1276" s="13"/>
      <c r="H1276" s="11"/>
      <c r="I1276" s="15" t="str">
        <f aca="false">IF($F1276="","",$F1276-IF($H1276="",0,$H1276))</f>
        <v/>
      </c>
      <c r="J1276" s="16" t="str">
        <f aca="true">IF(OR($A1276="",$I1276="",$I1276&lt;=0),"",TODAY()-$A1276)</f>
        <v/>
      </c>
      <c r="K1276" s="10"/>
    </row>
    <row r="1277" customFormat="false" ht="15" hidden="false" customHeight="true" outlineLevel="0" collapsed="false">
      <c r="A1277" s="13"/>
      <c r="B1277" s="10"/>
      <c r="C1277" s="10"/>
      <c r="D1277" s="14"/>
      <c r="E1277" s="11"/>
      <c r="F1277" s="15" t="str">
        <f aca="false">IF($B1277="","",IF(AND($D1277="",$E1277=""),"",IF(OR($D1277="",$E1277=""),0,ROUND($D1277*$E1277,0))))</f>
        <v/>
      </c>
      <c r="G1277" s="13"/>
      <c r="H1277" s="11"/>
      <c r="I1277" s="15" t="str">
        <f aca="false">IF($F1277="","",$F1277-IF($H1277="",0,$H1277))</f>
        <v/>
      </c>
      <c r="J1277" s="16" t="str">
        <f aca="true">IF(OR($A1277="",$I1277="",$I1277&lt;=0),"",TODAY()-$A1277)</f>
        <v/>
      </c>
      <c r="K1277" s="10"/>
    </row>
    <row r="1278" customFormat="false" ht="15" hidden="false" customHeight="true" outlineLevel="0" collapsed="false">
      <c r="A1278" s="13"/>
      <c r="B1278" s="10"/>
      <c r="C1278" s="10"/>
      <c r="D1278" s="14"/>
      <c r="E1278" s="11"/>
      <c r="F1278" s="15" t="str">
        <f aca="false">IF($B1278="","",IF(AND($D1278="",$E1278=""),"",IF(OR($D1278="",$E1278=""),0,ROUND($D1278*$E1278,0))))</f>
        <v/>
      </c>
      <c r="G1278" s="13"/>
      <c r="H1278" s="11"/>
      <c r="I1278" s="15" t="str">
        <f aca="false">IF($F1278="","",$F1278-IF($H1278="",0,$H1278))</f>
        <v/>
      </c>
      <c r="J1278" s="16" t="str">
        <f aca="true">IF(OR($A1278="",$I1278="",$I1278&lt;=0),"",TODAY()-$A1278)</f>
        <v/>
      </c>
      <c r="K1278" s="10"/>
    </row>
    <row r="1279" customFormat="false" ht="15" hidden="false" customHeight="true" outlineLevel="0" collapsed="false">
      <c r="A1279" s="13"/>
      <c r="B1279" s="10"/>
      <c r="C1279" s="10"/>
      <c r="D1279" s="14"/>
      <c r="E1279" s="11"/>
      <c r="F1279" s="15" t="str">
        <f aca="false">IF($B1279="","",IF(AND($D1279="",$E1279=""),"",IF(OR($D1279="",$E1279=""),0,ROUND($D1279*$E1279,0))))</f>
        <v/>
      </c>
      <c r="G1279" s="13"/>
      <c r="H1279" s="11"/>
      <c r="I1279" s="15" t="str">
        <f aca="false">IF($F1279="","",$F1279-IF($H1279="",0,$H1279))</f>
        <v/>
      </c>
      <c r="J1279" s="16" t="str">
        <f aca="true">IF(OR($A1279="",$I1279="",$I1279&lt;=0),"",TODAY()-$A1279)</f>
        <v/>
      </c>
      <c r="K1279" s="10"/>
    </row>
    <row r="1280" customFormat="false" ht="15" hidden="false" customHeight="true" outlineLevel="0" collapsed="false">
      <c r="A1280" s="13"/>
      <c r="B1280" s="10"/>
      <c r="C1280" s="10"/>
      <c r="D1280" s="14"/>
      <c r="E1280" s="11"/>
      <c r="F1280" s="15" t="str">
        <f aca="false">IF($B1280="","",IF(AND($D1280="",$E1280=""),"",IF(OR($D1280="",$E1280=""),0,ROUND($D1280*$E1280,0))))</f>
        <v/>
      </c>
      <c r="G1280" s="13"/>
      <c r="H1280" s="11"/>
      <c r="I1280" s="15" t="str">
        <f aca="false">IF($F1280="","",$F1280-IF($H1280="",0,$H1280))</f>
        <v/>
      </c>
      <c r="J1280" s="16" t="str">
        <f aca="true">IF(OR($A1280="",$I1280="",$I1280&lt;=0),"",TODAY()-$A1280)</f>
        <v/>
      </c>
      <c r="K1280" s="10"/>
    </row>
    <row r="1281" customFormat="false" ht="15" hidden="false" customHeight="true" outlineLevel="0" collapsed="false">
      <c r="A1281" s="13"/>
      <c r="B1281" s="10"/>
      <c r="C1281" s="10"/>
      <c r="D1281" s="14"/>
      <c r="E1281" s="11"/>
      <c r="F1281" s="15" t="str">
        <f aca="false">IF($B1281="","",IF(AND($D1281="",$E1281=""),"",IF(OR($D1281="",$E1281=""),0,ROUND($D1281*$E1281,0))))</f>
        <v/>
      </c>
      <c r="G1281" s="13"/>
      <c r="H1281" s="11"/>
      <c r="I1281" s="15" t="str">
        <f aca="false">IF($F1281="","",$F1281-IF($H1281="",0,$H1281))</f>
        <v/>
      </c>
      <c r="J1281" s="16" t="str">
        <f aca="true">IF(OR($A1281="",$I1281="",$I1281&lt;=0),"",TODAY()-$A1281)</f>
        <v/>
      </c>
      <c r="K1281" s="10"/>
    </row>
    <row r="1282" customFormat="false" ht="15" hidden="false" customHeight="true" outlineLevel="0" collapsed="false">
      <c r="A1282" s="13"/>
      <c r="B1282" s="10"/>
      <c r="C1282" s="10"/>
      <c r="D1282" s="14"/>
      <c r="E1282" s="11"/>
      <c r="F1282" s="15" t="str">
        <f aca="false">IF($B1282="","",IF(AND($D1282="",$E1282=""),"",IF(OR($D1282="",$E1282=""),0,ROUND($D1282*$E1282,0))))</f>
        <v/>
      </c>
      <c r="G1282" s="13"/>
      <c r="H1282" s="11"/>
      <c r="I1282" s="15" t="str">
        <f aca="false">IF($F1282="","",$F1282-IF($H1282="",0,$H1282))</f>
        <v/>
      </c>
      <c r="J1282" s="16" t="str">
        <f aca="true">IF(OR($A1282="",$I1282="",$I1282&lt;=0),"",TODAY()-$A1282)</f>
        <v/>
      </c>
      <c r="K1282" s="10"/>
    </row>
    <row r="1283" customFormat="false" ht="15" hidden="false" customHeight="true" outlineLevel="0" collapsed="false">
      <c r="A1283" s="13"/>
      <c r="B1283" s="10"/>
      <c r="C1283" s="10"/>
      <c r="D1283" s="14"/>
      <c r="E1283" s="11"/>
      <c r="F1283" s="15" t="str">
        <f aca="false">IF($B1283="","",IF(AND($D1283="",$E1283=""),"",IF(OR($D1283="",$E1283=""),0,ROUND($D1283*$E1283,0))))</f>
        <v/>
      </c>
      <c r="G1283" s="13"/>
      <c r="H1283" s="11"/>
      <c r="I1283" s="15" t="str">
        <f aca="false">IF($F1283="","",$F1283-IF($H1283="",0,$H1283))</f>
        <v/>
      </c>
      <c r="J1283" s="16" t="str">
        <f aca="true">IF(OR($A1283="",$I1283="",$I1283&lt;=0),"",TODAY()-$A1283)</f>
        <v/>
      </c>
      <c r="K1283" s="10"/>
    </row>
    <row r="1284" customFormat="false" ht="15" hidden="false" customHeight="true" outlineLevel="0" collapsed="false">
      <c r="A1284" s="13"/>
      <c r="B1284" s="10"/>
      <c r="C1284" s="10"/>
      <c r="D1284" s="14"/>
      <c r="E1284" s="11"/>
      <c r="F1284" s="15" t="str">
        <f aca="false">IF($B1284="","",IF(AND($D1284="",$E1284=""),"",IF(OR($D1284="",$E1284=""),0,ROUND($D1284*$E1284,0))))</f>
        <v/>
      </c>
      <c r="G1284" s="13"/>
      <c r="H1284" s="11"/>
      <c r="I1284" s="15" t="str">
        <f aca="false">IF($F1284="","",$F1284-IF($H1284="",0,$H1284))</f>
        <v/>
      </c>
      <c r="J1284" s="16" t="str">
        <f aca="true">IF(OR($A1284="",$I1284="",$I1284&lt;=0),"",TODAY()-$A1284)</f>
        <v/>
      </c>
      <c r="K1284" s="10"/>
    </row>
    <row r="1285" customFormat="false" ht="15" hidden="false" customHeight="true" outlineLevel="0" collapsed="false">
      <c r="A1285" s="13"/>
      <c r="B1285" s="10"/>
      <c r="C1285" s="10"/>
      <c r="D1285" s="14"/>
      <c r="E1285" s="11"/>
      <c r="F1285" s="15" t="str">
        <f aca="false">IF($B1285="","",IF(AND($D1285="",$E1285=""),"",IF(OR($D1285="",$E1285=""),0,ROUND($D1285*$E1285,0))))</f>
        <v/>
      </c>
      <c r="G1285" s="13"/>
      <c r="H1285" s="11"/>
      <c r="I1285" s="15" t="str">
        <f aca="false">IF($F1285="","",$F1285-IF($H1285="",0,$H1285))</f>
        <v/>
      </c>
      <c r="J1285" s="16" t="str">
        <f aca="true">IF(OR($A1285="",$I1285="",$I1285&lt;=0),"",TODAY()-$A1285)</f>
        <v/>
      </c>
      <c r="K1285" s="10"/>
    </row>
    <row r="1286" customFormat="false" ht="15" hidden="false" customHeight="true" outlineLevel="0" collapsed="false">
      <c r="A1286" s="13"/>
      <c r="B1286" s="10"/>
      <c r="C1286" s="10"/>
      <c r="D1286" s="14"/>
      <c r="E1286" s="11"/>
      <c r="F1286" s="15" t="str">
        <f aca="false">IF($B1286="","",IF(AND($D1286="",$E1286=""),"",IF(OR($D1286="",$E1286=""),0,ROUND($D1286*$E1286,0))))</f>
        <v/>
      </c>
      <c r="G1286" s="13"/>
      <c r="H1286" s="11"/>
      <c r="I1286" s="15" t="str">
        <f aca="false">IF($F1286="","",$F1286-IF($H1286="",0,$H1286))</f>
        <v/>
      </c>
      <c r="J1286" s="16" t="str">
        <f aca="true">IF(OR($A1286="",$I1286="",$I1286&lt;=0),"",TODAY()-$A1286)</f>
        <v/>
      </c>
      <c r="K1286" s="10"/>
    </row>
    <row r="1287" customFormat="false" ht="15" hidden="false" customHeight="true" outlineLevel="0" collapsed="false">
      <c r="A1287" s="13"/>
      <c r="B1287" s="10"/>
      <c r="C1287" s="10"/>
      <c r="D1287" s="14"/>
      <c r="E1287" s="11"/>
      <c r="F1287" s="15" t="str">
        <f aca="false">IF($B1287="","",IF(AND($D1287="",$E1287=""),"",IF(OR($D1287="",$E1287=""),0,ROUND($D1287*$E1287,0))))</f>
        <v/>
      </c>
      <c r="G1287" s="13"/>
      <c r="H1287" s="11"/>
      <c r="I1287" s="15" t="str">
        <f aca="false">IF($F1287="","",$F1287-IF($H1287="",0,$H1287))</f>
        <v/>
      </c>
      <c r="J1287" s="16" t="str">
        <f aca="true">IF(OR($A1287="",$I1287="",$I1287&lt;=0),"",TODAY()-$A1287)</f>
        <v/>
      </c>
      <c r="K1287" s="10"/>
    </row>
    <row r="1288" customFormat="false" ht="15" hidden="false" customHeight="true" outlineLevel="0" collapsed="false">
      <c r="A1288" s="13"/>
      <c r="B1288" s="10"/>
      <c r="C1288" s="10"/>
      <c r="D1288" s="14"/>
      <c r="E1288" s="11"/>
      <c r="F1288" s="15" t="str">
        <f aca="false">IF($B1288="","",IF(AND($D1288="",$E1288=""),"",IF(OR($D1288="",$E1288=""),0,ROUND($D1288*$E1288,0))))</f>
        <v/>
      </c>
      <c r="G1288" s="13"/>
      <c r="H1288" s="11"/>
      <c r="I1288" s="15" t="str">
        <f aca="false">IF($F1288="","",$F1288-IF($H1288="",0,$H1288))</f>
        <v/>
      </c>
      <c r="J1288" s="16" t="str">
        <f aca="true">IF(OR($A1288="",$I1288="",$I1288&lt;=0),"",TODAY()-$A1288)</f>
        <v/>
      </c>
      <c r="K1288" s="10"/>
    </row>
    <row r="1289" customFormat="false" ht="15" hidden="false" customHeight="true" outlineLevel="0" collapsed="false">
      <c r="A1289" s="13"/>
      <c r="B1289" s="10"/>
      <c r="C1289" s="10"/>
      <c r="D1289" s="14"/>
      <c r="E1289" s="11"/>
      <c r="F1289" s="15" t="str">
        <f aca="false">IF($B1289="","",IF(AND($D1289="",$E1289=""),"",IF(OR($D1289="",$E1289=""),0,ROUND($D1289*$E1289,0))))</f>
        <v/>
      </c>
      <c r="G1289" s="13"/>
      <c r="H1289" s="11"/>
      <c r="I1289" s="15" t="str">
        <f aca="false">IF($F1289="","",$F1289-IF($H1289="",0,$H1289))</f>
        <v/>
      </c>
      <c r="J1289" s="16" t="str">
        <f aca="true">IF(OR($A1289="",$I1289="",$I1289&lt;=0),"",TODAY()-$A1289)</f>
        <v/>
      </c>
      <c r="K1289" s="10"/>
    </row>
    <row r="1290" customFormat="false" ht="15" hidden="false" customHeight="true" outlineLevel="0" collapsed="false">
      <c r="A1290" s="13"/>
      <c r="B1290" s="10"/>
      <c r="C1290" s="10"/>
      <c r="D1290" s="14"/>
      <c r="E1290" s="11"/>
      <c r="F1290" s="15" t="str">
        <f aca="false">IF($B1290="","",IF(AND($D1290="",$E1290=""),"",IF(OR($D1290="",$E1290=""),0,ROUND($D1290*$E1290,0))))</f>
        <v/>
      </c>
      <c r="G1290" s="13"/>
      <c r="H1290" s="11"/>
      <c r="I1290" s="15" t="str">
        <f aca="false">IF($F1290="","",$F1290-IF($H1290="",0,$H1290))</f>
        <v/>
      </c>
      <c r="J1290" s="16" t="str">
        <f aca="true">IF(OR($A1290="",$I1290="",$I1290&lt;=0),"",TODAY()-$A1290)</f>
        <v/>
      </c>
      <c r="K1290" s="10"/>
    </row>
    <row r="1291" customFormat="false" ht="15" hidden="false" customHeight="true" outlineLevel="0" collapsed="false">
      <c r="A1291" s="13"/>
      <c r="B1291" s="10"/>
      <c r="C1291" s="10"/>
      <c r="D1291" s="14"/>
      <c r="E1291" s="11"/>
      <c r="F1291" s="15" t="str">
        <f aca="false">IF($B1291="","",IF(AND($D1291="",$E1291=""),"",IF(OR($D1291="",$E1291=""),0,ROUND($D1291*$E1291,0))))</f>
        <v/>
      </c>
      <c r="G1291" s="13"/>
      <c r="H1291" s="11"/>
      <c r="I1291" s="15" t="str">
        <f aca="false">IF($F1291="","",$F1291-IF($H1291="",0,$H1291))</f>
        <v/>
      </c>
      <c r="J1291" s="16" t="str">
        <f aca="true">IF(OR($A1291="",$I1291="",$I1291&lt;=0),"",TODAY()-$A1291)</f>
        <v/>
      </c>
      <c r="K1291" s="10"/>
    </row>
    <row r="1292" customFormat="false" ht="15" hidden="false" customHeight="true" outlineLevel="0" collapsed="false">
      <c r="A1292" s="13"/>
      <c r="B1292" s="10"/>
      <c r="C1292" s="10"/>
      <c r="D1292" s="14"/>
      <c r="E1292" s="11"/>
      <c r="F1292" s="15" t="str">
        <f aca="false">IF($B1292="","",IF(AND($D1292="",$E1292=""),"",IF(OR($D1292="",$E1292=""),0,ROUND($D1292*$E1292,0))))</f>
        <v/>
      </c>
      <c r="G1292" s="13"/>
      <c r="H1292" s="11"/>
      <c r="I1292" s="15" t="str">
        <f aca="false">IF($F1292="","",$F1292-IF($H1292="",0,$H1292))</f>
        <v/>
      </c>
      <c r="J1292" s="16" t="str">
        <f aca="true">IF(OR($A1292="",$I1292="",$I1292&lt;=0),"",TODAY()-$A1292)</f>
        <v/>
      </c>
      <c r="K1292" s="10"/>
    </row>
    <row r="1293" customFormat="false" ht="15" hidden="false" customHeight="true" outlineLevel="0" collapsed="false">
      <c r="A1293" s="13"/>
      <c r="B1293" s="10"/>
      <c r="C1293" s="10"/>
      <c r="D1293" s="14"/>
      <c r="E1293" s="11"/>
      <c r="F1293" s="15" t="str">
        <f aca="false">IF($B1293="","",IF(AND($D1293="",$E1293=""),"",IF(OR($D1293="",$E1293=""),0,ROUND($D1293*$E1293,0))))</f>
        <v/>
      </c>
      <c r="G1293" s="13"/>
      <c r="H1293" s="11"/>
      <c r="I1293" s="15" t="str">
        <f aca="false">IF($F1293="","",$F1293-IF($H1293="",0,$H1293))</f>
        <v/>
      </c>
      <c r="J1293" s="16" t="str">
        <f aca="true">IF(OR($A1293="",$I1293="",$I1293&lt;=0),"",TODAY()-$A1293)</f>
        <v/>
      </c>
      <c r="K1293" s="10"/>
    </row>
    <row r="1294" customFormat="false" ht="15" hidden="false" customHeight="true" outlineLevel="0" collapsed="false">
      <c r="A1294" s="13"/>
      <c r="B1294" s="10"/>
      <c r="C1294" s="10"/>
      <c r="D1294" s="14"/>
      <c r="E1294" s="11"/>
      <c r="F1294" s="15" t="str">
        <f aca="false">IF($B1294="","",IF(AND($D1294="",$E1294=""),"",IF(OR($D1294="",$E1294=""),0,ROUND($D1294*$E1294,0))))</f>
        <v/>
      </c>
      <c r="G1294" s="13"/>
      <c r="H1294" s="11"/>
      <c r="I1294" s="15" t="str">
        <f aca="false">IF($F1294="","",$F1294-IF($H1294="",0,$H1294))</f>
        <v/>
      </c>
      <c r="J1294" s="16" t="str">
        <f aca="true">IF(OR($A1294="",$I1294="",$I1294&lt;=0),"",TODAY()-$A1294)</f>
        <v/>
      </c>
      <c r="K1294" s="10"/>
    </row>
    <row r="1295" customFormat="false" ht="15" hidden="false" customHeight="true" outlineLevel="0" collapsed="false">
      <c r="A1295" s="13"/>
      <c r="B1295" s="10"/>
      <c r="C1295" s="10"/>
      <c r="D1295" s="14"/>
      <c r="E1295" s="11"/>
      <c r="F1295" s="15" t="str">
        <f aca="false">IF($B1295="","",IF(AND($D1295="",$E1295=""),"",IF(OR($D1295="",$E1295=""),0,ROUND($D1295*$E1295,0))))</f>
        <v/>
      </c>
      <c r="G1295" s="13"/>
      <c r="H1295" s="11"/>
      <c r="I1295" s="15" t="str">
        <f aca="false">IF($F1295="","",$F1295-IF($H1295="",0,$H1295))</f>
        <v/>
      </c>
      <c r="J1295" s="16" t="str">
        <f aca="true">IF(OR($A1295="",$I1295="",$I1295&lt;=0),"",TODAY()-$A1295)</f>
        <v/>
      </c>
      <c r="K1295" s="10"/>
    </row>
    <row r="1296" customFormat="false" ht="15" hidden="false" customHeight="true" outlineLevel="0" collapsed="false">
      <c r="A1296" s="13"/>
      <c r="B1296" s="10"/>
      <c r="C1296" s="10"/>
      <c r="D1296" s="14"/>
      <c r="E1296" s="11"/>
      <c r="F1296" s="15" t="str">
        <f aca="false">IF($B1296="","",IF(AND($D1296="",$E1296=""),"",IF(OR($D1296="",$E1296=""),0,ROUND($D1296*$E1296,0))))</f>
        <v/>
      </c>
      <c r="G1296" s="13"/>
      <c r="H1296" s="11"/>
      <c r="I1296" s="15" t="str">
        <f aca="false">IF($F1296="","",$F1296-IF($H1296="",0,$H1296))</f>
        <v/>
      </c>
      <c r="J1296" s="16" t="str">
        <f aca="true">IF(OR($A1296="",$I1296="",$I1296&lt;=0),"",TODAY()-$A1296)</f>
        <v/>
      </c>
      <c r="K1296" s="10"/>
    </row>
    <row r="1297" customFormat="false" ht="15" hidden="false" customHeight="true" outlineLevel="0" collapsed="false">
      <c r="A1297" s="13"/>
      <c r="B1297" s="10"/>
      <c r="C1297" s="10"/>
      <c r="D1297" s="14"/>
      <c r="E1297" s="11"/>
      <c r="F1297" s="15" t="str">
        <f aca="false">IF($B1297="","",IF(AND($D1297="",$E1297=""),"",IF(OR($D1297="",$E1297=""),0,ROUND($D1297*$E1297,0))))</f>
        <v/>
      </c>
      <c r="G1297" s="13"/>
      <c r="H1297" s="11"/>
      <c r="I1297" s="15" t="str">
        <f aca="false">IF($F1297="","",$F1297-IF($H1297="",0,$H1297))</f>
        <v/>
      </c>
      <c r="J1297" s="16" t="str">
        <f aca="true">IF(OR($A1297="",$I1297="",$I1297&lt;=0),"",TODAY()-$A1297)</f>
        <v/>
      </c>
      <c r="K1297" s="10"/>
    </row>
    <row r="1298" customFormat="false" ht="15" hidden="false" customHeight="true" outlineLevel="0" collapsed="false">
      <c r="A1298" s="13"/>
      <c r="B1298" s="10"/>
      <c r="C1298" s="10"/>
      <c r="D1298" s="14"/>
      <c r="E1298" s="11"/>
      <c r="F1298" s="15" t="str">
        <f aca="false">IF($B1298="","",IF(AND($D1298="",$E1298=""),"",IF(OR($D1298="",$E1298=""),0,ROUND($D1298*$E1298,0))))</f>
        <v/>
      </c>
      <c r="G1298" s="13"/>
      <c r="H1298" s="11"/>
      <c r="I1298" s="15" t="str">
        <f aca="false">IF($F1298="","",$F1298-IF($H1298="",0,$H1298))</f>
        <v/>
      </c>
      <c r="J1298" s="16" t="str">
        <f aca="true">IF(OR($A1298="",$I1298="",$I1298&lt;=0),"",TODAY()-$A1298)</f>
        <v/>
      </c>
      <c r="K1298" s="10"/>
    </row>
    <row r="1299" customFormat="false" ht="15" hidden="false" customHeight="true" outlineLevel="0" collapsed="false">
      <c r="A1299" s="13"/>
      <c r="B1299" s="10"/>
      <c r="C1299" s="10"/>
      <c r="D1299" s="14"/>
      <c r="E1299" s="11"/>
      <c r="F1299" s="15" t="str">
        <f aca="false">IF($B1299="","",IF(AND($D1299="",$E1299=""),"",IF(OR($D1299="",$E1299=""),0,ROUND($D1299*$E1299,0))))</f>
        <v/>
      </c>
      <c r="G1299" s="13"/>
      <c r="H1299" s="11"/>
      <c r="I1299" s="15" t="str">
        <f aca="false">IF($F1299="","",$F1299-IF($H1299="",0,$H1299))</f>
        <v/>
      </c>
      <c r="J1299" s="16" t="str">
        <f aca="true">IF(OR($A1299="",$I1299="",$I1299&lt;=0),"",TODAY()-$A1299)</f>
        <v/>
      </c>
      <c r="K1299" s="10"/>
    </row>
    <row r="1300" customFormat="false" ht="15" hidden="false" customHeight="true" outlineLevel="0" collapsed="false">
      <c r="A1300" s="13"/>
      <c r="B1300" s="10"/>
      <c r="C1300" s="10"/>
      <c r="D1300" s="14"/>
      <c r="E1300" s="11"/>
      <c r="F1300" s="15" t="str">
        <f aca="false">IF($B1300="","",IF(AND($D1300="",$E1300=""),"",IF(OR($D1300="",$E1300=""),0,ROUND($D1300*$E1300,0))))</f>
        <v/>
      </c>
      <c r="G1300" s="13"/>
      <c r="H1300" s="11"/>
      <c r="I1300" s="15" t="str">
        <f aca="false">IF($F1300="","",$F1300-IF($H1300="",0,$H1300))</f>
        <v/>
      </c>
      <c r="J1300" s="16" t="str">
        <f aca="true">IF(OR($A1300="",$I1300="",$I1300&lt;=0),"",TODAY()-$A1300)</f>
        <v/>
      </c>
      <c r="K1300" s="10"/>
    </row>
    <row r="1301" customFormat="false" ht="15" hidden="false" customHeight="true" outlineLevel="0" collapsed="false">
      <c r="A1301" s="13"/>
      <c r="B1301" s="10"/>
      <c r="C1301" s="10"/>
      <c r="D1301" s="14"/>
      <c r="E1301" s="11"/>
      <c r="F1301" s="15" t="str">
        <f aca="false">IF($B1301="","",IF(AND($D1301="",$E1301=""),"",IF(OR($D1301="",$E1301=""),0,ROUND($D1301*$E1301,0))))</f>
        <v/>
      </c>
      <c r="G1301" s="13"/>
      <c r="H1301" s="11"/>
      <c r="I1301" s="15" t="str">
        <f aca="false">IF($F1301="","",$F1301-IF($H1301="",0,$H1301))</f>
        <v/>
      </c>
      <c r="J1301" s="16" t="str">
        <f aca="true">IF(OR($A1301="",$I1301="",$I1301&lt;=0),"",TODAY()-$A1301)</f>
        <v/>
      </c>
      <c r="K1301" s="10"/>
    </row>
    <row r="1302" customFormat="false" ht="15" hidden="false" customHeight="true" outlineLevel="0" collapsed="false">
      <c r="A1302" s="13"/>
      <c r="B1302" s="10"/>
      <c r="C1302" s="10"/>
      <c r="D1302" s="14"/>
      <c r="E1302" s="11"/>
      <c r="F1302" s="15" t="str">
        <f aca="false">IF($B1302="","",IF(AND($D1302="",$E1302=""),"",IF(OR($D1302="",$E1302=""),0,ROUND($D1302*$E1302,0))))</f>
        <v/>
      </c>
      <c r="G1302" s="13"/>
      <c r="H1302" s="11"/>
      <c r="I1302" s="15" t="str">
        <f aca="false">IF($F1302="","",$F1302-IF($H1302="",0,$H1302))</f>
        <v/>
      </c>
      <c r="J1302" s="16" t="str">
        <f aca="true">IF(OR($A1302="",$I1302="",$I1302&lt;=0),"",TODAY()-$A1302)</f>
        <v/>
      </c>
      <c r="K1302" s="10"/>
    </row>
    <row r="1303" customFormat="false" ht="15" hidden="false" customHeight="true" outlineLevel="0" collapsed="false">
      <c r="A1303" s="13"/>
      <c r="B1303" s="10"/>
      <c r="C1303" s="10"/>
      <c r="D1303" s="14"/>
      <c r="E1303" s="11"/>
      <c r="F1303" s="15" t="str">
        <f aca="false">IF($B1303="","",IF(AND($D1303="",$E1303=""),"",IF(OR($D1303="",$E1303=""),0,ROUND($D1303*$E1303,0))))</f>
        <v/>
      </c>
      <c r="G1303" s="13"/>
      <c r="H1303" s="11"/>
      <c r="I1303" s="15" t="str">
        <f aca="false">IF($F1303="","",$F1303-IF($H1303="",0,$H1303))</f>
        <v/>
      </c>
      <c r="J1303" s="16" t="str">
        <f aca="true">IF(OR($A1303="",$I1303="",$I1303&lt;=0),"",TODAY()-$A1303)</f>
        <v/>
      </c>
      <c r="K1303" s="10"/>
    </row>
    <row r="1304" customFormat="false" ht="15" hidden="false" customHeight="true" outlineLevel="0" collapsed="false">
      <c r="A1304" s="13"/>
      <c r="B1304" s="10"/>
      <c r="C1304" s="10"/>
      <c r="D1304" s="14"/>
      <c r="E1304" s="11"/>
      <c r="F1304" s="15" t="str">
        <f aca="false">IF($B1304="","",IF(AND($D1304="",$E1304=""),"",IF(OR($D1304="",$E1304=""),0,ROUND($D1304*$E1304,0))))</f>
        <v/>
      </c>
      <c r="G1304" s="13"/>
      <c r="H1304" s="11"/>
      <c r="I1304" s="15" t="str">
        <f aca="false">IF($F1304="","",$F1304-IF($H1304="",0,$H1304))</f>
        <v/>
      </c>
      <c r="J1304" s="16" t="str">
        <f aca="true">IF(OR($A1304="",$I1304="",$I1304&lt;=0),"",TODAY()-$A1304)</f>
        <v/>
      </c>
      <c r="K1304" s="10"/>
    </row>
    <row r="1305" customFormat="false" ht="15" hidden="false" customHeight="true" outlineLevel="0" collapsed="false">
      <c r="A1305" s="13"/>
      <c r="B1305" s="10"/>
      <c r="C1305" s="10"/>
      <c r="D1305" s="14"/>
      <c r="E1305" s="11"/>
      <c r="F1305" s="15" t="str">
        <f aca="false">IF($B1305="","",IF(AND($D1305="",$E1305=""),"",IF(OR($D1305="",$E1305=""),0,ROUND($D1305*$E1305,0))))</f>
        <v/>
      </c>
      <c r="G1305" s="13"/>
      <c r="H1305" s="11"/>
      <c r="I1305" s="15" t="str">
        <f aca="false">IF($F1305="","",$F1305-IF($H1305="",0,$H1305))</f>
        <v/>
      </c>
      <c r="J1305" s="16" t="str">
        <f aca="true">IF(OR($A1305="",$I1305="",$I1305&lt;=0),"",TODAY()-$A1305)</f>
        <v/>
      </c>
      <c r="K1305" s="10"/>
    </row>
    <row r="1306" customFormat="false" ht="15" hidden="false" customHeight="true" outlineLevel="0" collapsed="false">
      <c r="A1306" s="13"/>
      <c r="B1306" s="10"/>
      <c r="C1306" s="10"/>
      <c r="D1306" s="14"/>
      <c r="E1306" s="11"/>
      <c r="F1306" s="15" t="str">
        <f aca="false">IF($B1306="","",IF(AND($D1306="",$E1306=""),"",IF(OR($D1306="",$E1306=""),0,ROUND($D1306*$E1306,0))))</f>
        <v/>
      </c>
      <c r="G1306" s="13"/>
      <c r="H1306" s="11"/>
      <c r="I1306" s="15" t="str">
        <f aca="false">IF($F1306="","",$F1306-IF($H1306="",0,$H1306))</f>
        <v/>
      </c>
      <c r="J1306" s="16" t="str">
        <f aca="true">IF(OR($A1306="",$I1306="",$I1306&lt;=0),"",TODAY()-$A1306)</f>
        <v/>
      </c>
      <c r="K1306" s="10"/>
    </row>
    <row r="1307" customFormat="false" ht="15" hidden="false" customHeight="true" outlineLevel="0" collapsed="false">
      <c r="A1307" s="13"/>
      <c r="B1307" s="10"/>
      <c r="C1307" s="10"/>
      <c r="D1307" s="14"/>
      <c r="E1307" s="11"/>
      <c r="F1307" s="15" t="str">
        <f aca="false">IF($B1307="","",IF(AND($D1307="",$E1307=""),"",IF(OR($D1307="",$E1307=""),0,ROUND($D1307*$E1307,0))))</f>
        <v/>
      </c>
      <c r="G1307" s="13"/>
      <c r="H1307" s="11"/>
      <c r="I1307" s="15" t="str">
        <f aca="false">IF($F1307="","",$F1307-IF($H1307="",0,$H1307))</f>
        <v/>
      </c>
      <c r="J1307" s="16" t="str">
        <f aca="true">IF(OR($A1307="",$I1307="",$I1307&lt;=0),"",TODAY()-$A1307)</f>
        <v/>
      </c>
      <c r="K1307" s="10"/>
    </row>
    <row r="1308" customFormat="false" ht="15" hidden="false" customHeight="true" outlineLevel="0" collapsed="false">
      <c r="A1308" s="13"/>
      <c r="B1308" s="10"/>
      <c r="C1308" s="10"/>
      <c r="D1308" s="14"/>
      <c r="E1308" s="11"/>
      <c r="F1308" s="15" t="str">
        <f aca="false">IF($B1308="","",IF(AND($D1308="",$E1308=""),"",IF(OR($D1308="",$E1308=""),0,ROUND($D1308*$E1308,0))))</f>
        <v/>
      </c>
      <c r="G1308" s="13"/>
      <c r="H1308" s="11"/>
      <c r="I1308" s="15" t="str">
        <f aca="false">IF($F1308="","",$F1308-IF($H1308="",0,$H1308))</f>
        <v/>
      </c>
      <c r="J1308" s="16" t="str">
        <f aca="true">IF(OR($A1308="",$I1308="",$I1308&lt;=0),"",TODAY()-$A1308)</f>
        <v/>
      </c>
      <c r="K1308" s="10"/>
    </row>
    <row r="1309" customFormat="false" ht="15" hidden="false" customHeight="true" outlineLevel="0" collapsed="false">
      <c r="A1309" s="13"/>
      <c r="B1309" s="10"/>
      <c r="C1309" s="10"/>
      <c r="D1309" s="14"/>
      <c r="E1309" s="11"/>
      <c r="F1309" s="15" t="str">
        <f aca="false">IF($B1309="","",IF(AND($D1309="",$E1309=""),"",IF(OR($D1309="",$E1309=""),0,ROUND($D1309*$E1309,0))))</f>
        <v/>
      </c>
      <c r="G1309" s="13"/>
      <c r="H1309" s="11"/>
      <c r="I1309" s="15" t="str">
        <f aca="false">IF($F1309="","",$F1309-IF($H1309="",0,$H1309))</f>
        <v/>
      </c>
      <c r="J1309" s="16" t="str">
        <f aca="true">IF(OR($A1309="",$I1309="",$I1309&lt;=0),"",TODAY()-$A1309)</f>
        <v/>
      </c>
      <c r="K1309" s="10"/>
    </row>
    <row r="1310" customFormat="false" ht="15" hidden="false" customHeight="true" outlineLevel="0" collapsed="false">
      <c r="A1310" s="13"/>
      <c r="B1310" s="10"/>
      <c r="C1310" s="10"/>
      <c r="D1310" s="14"/>
      <c r="E1310" s="11"/>
      <c r="F1310" s="15" t="str">
        <f aca="false">IF($B1310="","",IF(AND($D1310="",$E1310=""),"",IF(OR($D1310="",$E1310=""),0,ROUND($D1310*$E1310,0))))</f>
        <v/>
      </c>
      <c r="G1310" s="13"/>
      <c r="H1310" s="11"/>
      <c r="I1310" s="15" t="str">
        <f aca="false">IF($F1310="","",$F1310-IF($H1310="",0,$H1310))</f>
        <v/>
      </c>
      <c r="J1310" s="16" t="str">
        <f aca="true">IF(OR($A1310="",$I1310="",$I1310&lt;=0),"",TODAY()-$A1310)</f>
        <v/>
      </c>
      <c r="K1310" s="10"/>
    </row>
    <row r="1311" customFormat="false" ht="15" hidden="false" customHeight="true" outlineLevel="0" collapsed="false">
      <c r="A1311" s="13"/>
      <c r="B1311" s="10"/>
      <c r="C1311" s="10"/>
      <c r="D1311" s="14"/>
      <c r="E1311" s="11"/>
      <c r="F1311" s="15" t="str">
        <f aca="false">IF($B1311="","",IF(AND($D1311="",$E1311=""),"",IF(OR($D1311="",$E1311=""),0,ROUND($D1311*$E1311,0))))</f>
        <v/>
      </c>
      <c r="G1311" s="13"/>
      <c r="H1311" s="11"/>
      <c r="I1311" s="15" t="str">
        <f aca="false">IF($F1311="","",$F1311-IF($H1311="",0,$H1311))</f>
        <v/>
      </c>
      <c r="J1311" s="16" t="str">
        <f aca="true">IF(OR($A1311="",$I1311="",$I1311&lt;=0),"",TODAY()-$A1311)</f>
        <v/>
      </c>
      <c r="K1311" s="10"/>
    </row>
    <row r="1312" customFormat="false" ht="15" hidden="false" customHeight="true" outlineLevel="0" collapsed="false">
      <c r="A1312" s="13"/>
      <c r="B1312" s="10"/>
      <c r="C1312" s="10"/>
      <c r="D1312" s="14"/>
      <c r="E1312" s="11"/>
      <c r="F1312" s="15" t="str">
        <f aca="false">IF($B1312="","",IF(AND($D1312="",$E1312=""),"",IF(OR($D1312="",$E1312=""),0,ROUND($D1312*$E1312,0))))</f>
        <v/>
      </c>
      <c r="G1312" s="13"/>
      <c r="H1312" s="11"/>
      <c r="I1312" s="15" t="str">
        <f aca="false">IF($F1312="","",$F1312-IF($H1312="",0,$H1312))</f>
        <v/>
      </c>
      <c r="J1312" s="16" t="str">
        <f aca="true">IF(OR($A1312="",$I1312="",$I1312&lt;=0),"",TODAY()-$A1312)</f>
        <v/>
      </c>
      <c r="K1312" s="10"/>
    </row>
    <row r="1313" customFormat="false" ht="15" hidden="false" customHeight="true" outlineLevel="0" collapsed="false">
      <c r="A1313" s="13"/>
      <c r="B1313" s="10"/>
      <c r="C1313" s="10"/>
      <c r="D1313" s="14"/>
      <c r="E1313" s="11"/>
      <c r="F1313" s="15" t="str">
        <f aca="false">IF($B1313="","",IF(AND($D1313="",$E1313=""),"",IF(OR($D1313="",$E1313=""),0,ROUND($D1313*$E1313,0))))</f>
        <v/>
      </c>
      <c r="G1313" s="13"/>
      <c r="H1313" s="11"/>
      <c r="I1313" s="15" t="str">
        <f aca="false">IF($F1313="","",$F1313-IF($H1313="",0,$H1313))</f>
        <v/>
      </c>
      <c r="J1313" s="16" t="str">
        <f aca="true">IF(OR($A1313="",$I1313="",$I1313&lt;=0),"",TODAY()-$A1313)</f>
        <v/>
      </c>
      <c r="K1313" s="10"/>
    </row>
    <row r="1314" customFormat="false" ht="15" hidden="false" customHeight="true" outlineLevel="0" collapsed="false">
      <c r="A1314" s="13"/>
      <c r="B1314" s="10"/>
      <c r="C1314" s="10"/>
      <c r="D1314" s="14"/>
      <c r="E1314" s="11"/>
      <c r="F1314" s="15" t="str">
        <f aca="false">IF($B1314="","",IF(AND($D1314="",$E1314=""),"",IF(OR($D1314="",$E1314=""),0,ROUND($D1314*$E1314,0))))</f>
        <v/>
      </c>
      <c r="G1314" s="13"/>
      <c r="H1314" s="11"/>
      <c r="I1314" s="15" t="str">
        <f aca="false">IF($F1314="","",$F1314-IF($H1314="",0,$H1314))</f>
        <v/>
      </c>
      <c r="J1314" s="16" t="str">
        <f aca="true">IF(OR($A1314="",$I1314="",$I1314&lt;=0),"",TODAY()-$A1314)</f>
        <v/>
      </c>
      <c r="K1314" s="10"/>
    </row>
    <row r="1315" customFormat="false" ht="15" hidden="false" customHeight="true" outlineLevel="0" collapsed="false">
      <c r="A1315" s="13"/>
      <c r="B1315" s="10"/>
      <c r="C1315" s="10"/>
      <c r="D1315" s="14"/>
      <c r="E1315" s="11"/>
      <c r="F1315" s="15" t="str">
        <f aca="false">IF($B1315="","",IF(AND($D1315="",$E1315=""),"",IF(OR($D1315="",$E1315=""),0,ROUND($D1315*$E1315,0))))</f>
        <v/>
      </c>
      <c r="G1315" s="13"/>
      <c r="H1315" s="11"/>
      <c r="I1315" s="15" t="str">
        <f aca="false">IF($F1315="","",$F1315-IF($H1315="",0,$H1315))</f>
        <v/>
      </c>
      <c r="J1315" s="16" t="str">
        <f aca="true">IF(OR($A1315="",$I1315="",$I1315&lt;=0),"",TODAY()-$A1315)</f>
        <v/>
      </c>
      <c r="K1315" s="10"/>
    </row>
    <row r="1316" customFormat="false" ht="15" hidden="false" customHeight="true" outlineLevel="0" collapsed="false">
      <c r="A1316" s="13"/>
      <c r="B1316" s="10"/>
      <c r="C1316" s="10"/>
      <c r="D1316" s="14"/>
      <c r="E1316" s="11"/>
      <c r="F1316" s="15" t="str">
        <f aca="false">IF($B1316="","",IF(AND($D1316="",$E1316=""),"",IF(OR($D1316="",$E1316=""),0,ROUND($D1316*$E1316,0))))</f>
        <v/>
      </c>
      <c r="G1316" s="13"/>
      <c r="H1316" s="11"/>
      <c r="I1316" s="15" t="str">
        <f aca="false">IF($F1316="","",$F1316-IF($H1316="",0,$H1316))</f>
        <v/>
      </c>
      <c r="J1316" s="16" t="str">
        <f aca="true">IF(OR($A1316="",$I1316="",$I1316&lt;=0),"",TODAY()-$A1316)</f>
        <v/>
      </c>
      <c r="K1316" s="10"/>
    </row>
    <row r="1317" customFormat="false" ht="15" hidden="false" customHeight="true" outlineLevel="0" collapsed="false">
      <c r="A1317" s="13"/>
      <c r="B1317" s="10"/>
      <c r="C1317" s="10"/>
      <c r="D1317" s="14"/>
      <c r="E1317" s="11"/>
      <c r="F1317" s="15" t="str">
        <f aca="false">IF($B1317="","",IF(AND($D1317="",$E1317=""),"",IF(OR($D1317="",$E1317=""),0,ROUND($D1317*$E1317,0))))</f>
        <v/>
      </c>
      <c r="G1317" s="13"/>
      <c r="H1317" s="11"/>
      <c r="I1317" s="15" t="str">
        <f aca="false">IF($F1317="","",$F1317-IF($H1317="",0,$H1317))</f>
        <v/>
      </c>
      <c r="J1317" s="16" t="str">
        <f aca="true">IF(OR($A1317="",$I1317="",$I1317&lt;=0),"",TODAY()-$A1317)</f>
        <v/>
      </c>
      <c r="K1317" s="10"/>
    </row>
    <row r="1318" customFormat="false" ht="15" hidden="false" customHeight="true" outlineLevel="0" collapsed="false">
      <c r="A1318" s="13"/>
      <c r="B1318" s="10"/>
      <c r="C1318" s="10"/>
      <c r="D1318" s="14"/>
      <c r="E1318" s="11"/>
      <c r="F1318" s="15" t="str">
        <f aca="false">IF($B1318="","",IF(AND($D1318="",$E1318=""),"",IF(OR($D1318="",$E1318=""),0,ROUND($D1318*$E1318,0))))</f>
        <v/>
      </c>
      <c r="G1318" s="13"/>
      <c r="H1318" s="11"/>
      <c r="I1318" s="15" t="str">
        <f aca="false">IF($F1318="","",$F1318-IF($H1318="",0,$H1318))</f>
        <v/>
      </c>
      <c r="J1318" s="16" t="str">
        <f aca="true">IF(OR($A1318="",$I1318="",$I1318&lt;=0),"",TODAY()-$A1318)</f>
        <v/>
      </c>
      <c r="K1318" s="10"/>
    </row>
    <row r="1319" customFormat="false" ht="15" hidden="false" customHeight="true" outlineLevel="0" collapsed="false">
      <c r="A1319" s="13"/>
      <c r="B1319" s="10"/>
      <c r="C1319" s="10"/>
      <c r="D1319" s="14"/>
      <c r="E1319" s="11"/>
      <c r="F1319" s="15" t="str">
        <f aca="false">IF($B1319="","",IF(AND($D1319="",$E1319=""),"",IF(OR($D1319="",$E1319=""),0,ROUND($D1319*$E1319,0))))</f>
        <v/>
      </c>
      <c r="G1319" s="13"/>
      <c r="H1319" s="11"/>
      <c r="I1319" s="15" t="str">
        <f aca="false">IF($F1319="","",$F1319-IF($H1319="",0,$H1319))</f>
        <v/>
      </c>
      <c r="J1319" s="16" t="str">
        <f aca="true">IF(OR($A1319="",$I1319="",$I1319&lt;=0),"",TODAY()-$A1319)</f>
        <v/>
      </c>
      <c r="K1319" s="10"/>
    </row>
    <row r="1320" customFormat="false" ht="15" hidden="false" customHeight="true" outlineLevel="0" collapsed="false">
      <c r="A1320" s="13"/>
      <c r="B1320" s="10"/>
      <c r="C1320" s="10"/>
      <c r="D1320" s="14"/>
      <c r="E1320" s="11"/>
      <c r="F1320" s="15" t="str">
        <f aca="false">IF($B1320="","",IF(AND($D1320="",$E1320=""),"",IF(OR($D1320="",$E1320=""),0,ROUND($D1320*$E1320,0))))</f>
        <v/>
      </c>
      <c r="G1320" s="13"/>
      <c r="H1320" s="11"/>
      <c r="I1320" s="15" t="str">
        <f aca="false">IF($F1320="","",$F1320-IF($H1320="",0,$H1320))</f>
        <v/>
      </c>
      <c r="J1320" s="16" t="str">
        <f aca="true">IF(OR($A1320="",$I1320="",$I1320&lt;=0),"",TODAY()-$A1320)</f>
        <v/>
      </c>
      <c r="K1320" s="10"/>
    </row>
    <row r="1321" customFormat="false" ht="15" hidden="false" customHeight="true" outlineLevel="0" collapsed="false">
      <c r="A1321" s="13"/>
      <c r="B1321" s="10"/>
      <c r="C1321" s="10"/>
      <c r="D1321" s="14"/>
      <c r="E1321" s="11"/>
      <c r="F1321" s="15" t="str">
        <f aca="false">IF($B1321="","",IF(AND($D1321="",$E1321=""),"",IF(OR($D1321="",$E1321=""),0,ROUND($D1321*$E1321,0))))</f>
        <v/>
      </c>
      <c r="G1321" s="13"/>
      <c r="H1321" s="11"/>
      <c r="I1321" s="15" t="str">
        <f aca="false">IF($F1321="","",$F1321-IF($H1321="",0,$H1321))</f>
        <v/>
      </c>
      <c r="J1321" s="16" t="str">
        <f aca="true">IF(OR($A1321="",$I1321="",$I1321&lt;=0),"",TODAY()-$A1321)</f>
        <v/>
      </c>
      <c r="K1321" s="10"/>
    </row>
    <row r="1322" customFormat="false" ht="15" hidden="false" customHeight="true" outlineLevel="0" collapsed="false">
      <c r="A1322" s="13"/>
      <c r="B1322" s="10"/>
      <c r="C1322" s="10"/>
      <c r="D1322" s="14"/>
      <c r="E1322" s="11"/>
      <c r="F1322" s="15" t="str">
        <f aca="false">IF($B1322="","",IF(AND($D1322="",$E1322=""),"",IF(OR($D1322="",$E1322=""),0,ROUND($D1322*$E1322,0))))</f>
        <v/>
      </c>
      <c r="G1322" s="13"/>
      <c r="H1322" s="11"/>
      <c r="I1322" s="15" t="str">
        <f aca="false">IF($F1322="","",$F1322-IF($H1322="",0,$H1322))</f>
        <v/>
      </c>
      <c r="J1322" s="16" t="str">
        <f aca="true">IF(OR($A1322="",$I1322="",$I1322&lt;=0),"",TODAY()-$A1322)</f>
        <v/>
      </c>
      <c r="K1322" s="10"/>
    </row>
    <row r="1323" customFormat="false" ht="15" hidden="false" customHeight="true" outlineLevel="0" collapsed="false">
      <c r="A1323" s="13"/>
      <c r="B1323" s="10"/>
      <c r="C1323" s="10"/>
      <c r="D1323" s="14"/>
      <c r="E1323" s="11"/>
      <c r="F1323" s="15" t="str">
        <f aca="false">IF($B1323="","",IF(AND($D1323="",$E1323=""),"",IF(OR($D1323="",$E1323=""),0,ROUND($D1323*$E1323,0))))</f>
        <v/>
      </c>
      <c r="G1323" s="13"/>
      <c r="H1323" s="11"/>
      <c r="I1323" s="15" t="str">
        <f aca="false">IF($F1323="","",$F1323-IF($H1323="",0,$H1323))</f>
        <v/>
      </c>
      <c r="J1323" s="16" t="str">
        <f aca="true">IF(OR($A1323="",$I1323="",$I1323&lt;=0),"",TODAY()-$A1323)</f>
        <v/>
      </c>
      <c r="K1323" s="10"/>
    </row>
    <row r="1324" customFormat="false" ht="15" hidden="false" customHeight="true" outlineLevel="0" collapsed="false">
      <c r="A1324" s="13"/>
      <c r="B1324" s="10"/>
      <c r="C1324" s="10"/>
      <c r="D1324" s="14"/>
      <c r="E1324" s="11"/>
      <c r="F1324" s="15" t="str">
        <f aca="false">IF($B1324="","",IF(AND($D1324="",$E1324=""),"",IF(OR($D1324="",$E1324=""),0,ROUND($D1324*$E1324,0))))</f>
        <v/>
      </c>
      <c r="G1324" s="13"/>
      <c r="H1324" s="11"/>
      <c r="I1324" s="15" t="str">
        <f aca="false">IF($F1324="","",$F1324-IF($H1324="",0,$H1324))</f>
        <v/>
      </c>
      <c r="J1324" s="16" t="str">
        <f aca="true">IF(OR($A1324="",$I1324="",$I1324&lt;=0),"",TODAY()-$A1324)</f>
        <v/>
      </c>
      <c r="K1324" s="10"/>
    </row>
    <row r="1325" customFormat="false" ht="15" hidden="false" customHeight="true" outlineLevel="0" collapsed="false">
      <c r="A1325" s="13"/>
      <c r="B1325" s="10"/>
      <c r="C1325" s="10"/>
      <c r="D1325" s="14"/>
      <c r="E1325" s="11"/>
      <c r="F1325" s="15" t="str">
        <f aca="false">IF($B1325="","",IF(AND($D1325="",$E1325=""),"",IF(OR($D1325="",$E1325=""),0,ROUND($D1325*$E1325,0))))</f>
        <v/>
      </c>
      <c r="G1325" s="13"/>
      <c r="H1325" s="11"/>
      <c r="I1325" s="15" t="str">
        <f aca="false">IF($F1325="","",$F1325-IF($H1325="",0,$H1325))</f>
        <v/>
      </c>
      <c r="J1325" s="16" t="str">
        <f aca="true">IF(OR($A1325="",$I1325="",$I1325&lt;=0),"",TODAY()-$A1325)</f>
        <v/>
      </c>
      <c r="K1325" s="10"/>
    </row>
    <row r="1326" customFormat="false" ht="15" hidden="false" customHeight="true" outlineLevel="0" collapsed="false">
      <c r="A1326" s="13"/>
      <c r="B1326" s="10"/>
      <c r="C1326" s="10"/>
      <c r="D1326" s="14"/>
      <c r="E1326" s="11"/>
      <c r="F1326" s="15" t="str">
        <f aca="false">IF($B1326="","",IF(AND($D1326="",$E1326=""),"",IF(OR($D1326="",$E1326=""),0,ROUND($D1326*$E1326,0))))</f>
        <v/>
      </c>
      <c r="G1326" s="13"/>
      <c r="H1326" s="11"/>
      <c r="I1326" s="15" t="str">
        <f aca="false">IF($F1326="","",$F1326-IF($H1326="",0,$H1326))</f>
        <v/>
      </c>
      <c r="J1326" s="16" t="str">
        <f aca="true">IF(OR($A1326="",$I1326="",$I1326&lt;=0),"",TODAY()-$A1326)</f>
        <v/>
      </c>
      <c r="K1326" s="10"/>
    </row>
    <row r="1327" customFormat="false" ht="15" hidden="false" customHeight="true" outlineLevel="0" collapsed="false">
      <c r="A1327" s="13"/>
      <c r="B1327" s="10"/>
      <c r="C1327" s="10"/>
      <c r="D1327" s="14"/>
      <c r="E1327" s="11"/>
      <c r="F1327" s="15" t="str">
        <f aca="false">IF($B1327="","",IF(AND($D1327="",$E1327=""),"",IF(OR($D1327="",$E1327=""),0,ROUND($D1327*$E1327,0))))</f>
        <v/>
      </c>
      <c r="G1327" s="13"/>
      <c r="H1327" s="11"/>
      <c r="I1327" s="15" t="str">
        <f aca="false">IF($F1327="","",$F1327-IF($H1327="",0,$H1327))</f>
        <v/>
      </c>
      <c r="J1327" s="16" t="str">
        <f aca="true">IF(OR($A1327="",$I1327="",$I1327&lt;=0),"",TODAY()-$A1327)</f>
        <v/>
      </c>
      <c r="K1327" s="10"/>
    </row>
    <row r="1328" customFormat="false" ht="15" hidden="false" customHeight="true" outlineLevel="0" collapsed="false">
      <c r="A1328" s="13"/>
      <c r="B1328" s="10"/>
      <c r="C1328" s="10"/>
      <c r="D1328" s="14"/>
      <c r="E1328" s="11"/>
      <c r="F1328" s="15" t="str">
        <f aca="false">IF($B1328="","",IF(AND($D1328="",$E1328=""),"",IF(OR($D1328="",$E1328=""),0,ROUND($D1328*$E1328,0))))</f>
        <v/>
      </c>
      <c r="G1328" s="13"/>
      <c r="H1328" s="11"/>
      <c r="I1328" s="15" t="str">
        <f aca="false">IF($F1328="","",$F1328-IF($H1328="",0,$H1328))</f>
        <v/>
      </c>
      <c r="J1328" s="16" t="str">
        <f aca="true">IF(OR($A1328="",$I1328="",$I1328&lt;=0),"",TODAY()-$A1328)</f>
        <v/>
      </c>
      <c r="K1328" s="10"/>
    </row>
    <row r="1329" customFormat="false" ht="15" hidden="false" customHeight="true" outlineLevel="0" collapsed="false">
      <c r="A1329" s="13"/>
      <c r="B1329" s="10"/>
      <c r="C1329" s="10"/>
      <c r="D1329" s="14"/>
      <c r="E1329" s="11"/>
      <c r="F1329" s="15" t="str">
        <f aca="false">IF($B1329="","",IF(AND($D1329="",$E1329=""),"",IF(OR($D1329="",$E1329=""),0,ROUND($D1329*$E1329,0))))</f>
        <v/>
      </c>
      <c r="G1329" s="13"/>
      <c r="H1329" s="11"/>
      <c r="I1329" s="15" t="str">
        <f aca="false">IF($F1329="","",$F1329-IF($H1329="",0,$H1329))</f>
        <v/>
      </c>
      <c r="J1329" s="16" t="str">
        <f aca="true">IF(OR($A1329="",$I1329="",$I1329&lt;=0),"",TODAY()-$A1329)</f>
        <v/>
      </c>
      <c r="K1329" s="10"/>
    </row>
    <row r="1330" customFormat="false" ht="15" hidden="false" customHeight="true" outlineLevel="0" collapsed="false">
      <c r="A1330" s="13"/>
      <c r="B1330" s="10"/>
      <c r="C1330" s="10"/>
      <c r="D1330" s="14"/>
      <c r="E1330" s="11"/>
      <c r="F1330" s="15" t="str">
        <f aca="false">IF($B1330="","",IF(AND($D1330="",$E1330=""),"",IF(OR($D1330="",$E1330=""),0,ROUND($D1330*$E1330,0))))</f>
        <v/>
      </c>
      <c r="G1330" s="13"/>
      <c r="H1330" s="11"/>
      <c r="I1330" s="15" t="str">
        <f aca="false">IF($F1330="","",$F1330-IF($H1330="",0,$H1330))</f>
        <v/>
      </c>
      <c r="J1330" s="16" t="str">
        <f aca="true">IF(OR($A1330="",$I1330="",$I1330&lt;=0),"",TODAY()-$A1330)</f>
        <v/>
      </c>
      <c r="K1330" s="10"/>
    </row>
    <row r="1331" customFormat="false" ht="15" hidden="false" customHeight="true" outlineLevel="0" collapsed="false">
      <c r="A1331" s="13"/>
      <c r="B1331" s="10"/>
      <c r="C1331" s="10"/>
      <c r="D1331" s="14"/>
      <c r="E1331" s="11"/>
      <c r="F1331" s="15" t="str">
        <f aca="false">IF($B1331="","",IF(AND($D1331="",$E1331=""),"",IF(OR($D1331="",$E1331=""),0,ROUND($D1331*$E1331,0))))</f>
        <v/>
      </c>
      <c r="G1331" s="13"/>
      <c r="H1331" s="11"/>
      <c r="I1331" s="15" t="str">
        <f aca="false">IF($F1331="","",$F1331-IF($H1331="",0,$H1331))</f>
        <v/>
      </c>
      <c r="J1331" s="16" t="str">
        <f aca="true">IF(OR($A1331="",$I1331="",$I1331&lt;=0),"",TODAY()-$A1331)</f>
        <v/>
      </c>
      <c r="K1331" s="10"/>
    </row>
    <row r="1332" customFormat="false" ht="15" hidden="false" customHeight="true" outlineLevel="0" collapsed="false">
      <c r="A1332" s="13"/>
      <c r="B1332" s="10"/>
      <c r="C1332" s="10"/>
      <c r="D1332" s="14"/>
      <c r="E1332" s="11"/>
      <c r="F1332" s="15" t="str">
        <f aca="false">IF($B1332="","",IF(AND($D1332="",$E1332=""),"",IF(OR($D1332="",$E1332=""),0,ROUND($D1332*$E1332,0))))</f>
        <v/>
      </c>
      <c r="G1332" s="13"/>
      <c r="H1332" s="11"/>
      <c r="I1332" s="15" t="str">
        <f aca="false">IF($F1332="","",$F1332-IF($H1332="",0,$H1332))</f>
        <v/>
      </c>
      <c r="J1332" s="16" t="str">
        <f aca="true">IF(OR($A1332="",$I1332="",$I1332&lt;=0),"",TODAY()-$A1332)</f>
        <v/>
      </c>
      <c r="K1332" s="10"/>
    </row>
    <row r="1333" customFormat="false" ht="15" hidden="false" customHeight="true" outlineLevel="0" collapsed="false">
      <c r="A1333" s="13"/>
      <c r="B1333" s="10"/>
      <c r="C1333" s="10"/>
      <c r="D1333" s="14"/>
      <c r="E1333" s="11"/>
      <c r="F1333" s="15" t="str">
        <f aca="false">IF($B1333="","",IF(AND($D1333="",$E1333=""),"",IF(OR($D1333="",$E1333=""),0,ROUND($D1333*$E1333,0))))</f>
        <v/>
      </c>
      <c r="G1333" s="13"/>
      <c r="H1333" s="11"/>
      <c r="I1333" s="15" t="str">
        <f aca="false">IF($F1333="","",$F1333-IF($H1333="",0,$H1333))</f>
        <v/>
      </c>
      <c r="J1333" s="16" t="str">
        <f aca="true">IF(OR($A1333="",$I1333="",$I1333&lt;=0),"",TODAY()-$A1333)</f>
        <v/>
      </c>
      <c r="K1333" s="10"/>
    </row>
    <row r="1334" customFormat="false" ht="15" hidden="false" customHeight="true" outlineLevel="0" collapsed="false">
      <c r="A1334" s="13"/>
      <c r="B1334" s="10"/>
      <c r="C1334" s="10"/>
      <c r="D1334" s="14"/>
      <c r="E1334" s="11"/>
      <c r="F1334" s="15" t="str">
        <f aca="false">IF($B1334="","",IF(AND($D1334="",$E1334=""),"",IF(OR($D1334="",$E1334=""),0,ROUND($D1334*$E1334,0))))</f>
        <v/>
      </c>
      <c r="G1334" s="13"/>
      <c r="H1334" s="11"/>
      <c r="I1334" s="15" t="str">
        <f aca="false">IF($F1334="","",$F1334-IF($H1334="",0,$H1334))</f>
        <v/>
      </c>
      <c r="J1334" s="16" t="str">
        <f aca="true">IF(OR($A1334="",$I1334="",$I1334&lt;=0),"",TODAY()-$A1334)</f>
        <v/>
      </c>
      <c r="K1334" s="10"/>
    </row>
    <row r="1335" customFormat="false" ht="15" hidden="false" customHeight="true" outlineLevel="0" collapsed="false">
      <c r="A1335" s="13"/>
      <c r="B1335" s="10"/>
      <c r="C1335" s="10"/>
      <c r="D1335" s="14"/>
      <c r="E1335" s="11"/>
      <c r="F1335" s="15" t="str">
        <f aca="false">IF($B1335="","",IF(AND($D1335="",$E1335=""),"",IF(OR($D1335="",$E1335=""),0,ROUND($D1335*$E1335,0))))</f>
        <v/>
      </c>
      <c r="G1335" s="13"/>
      <c r="H1335" s="11"/>
      <c r="I1335" s="15" t="str">
        <f aca="false">IF($F1335="","",$F1335-IF($H1335="",0,$H1335))</f>
        <v/>
      </c>
      <c r="J1335" s="16" t="str">
        <f aca="true">IF(OR($A1335="",$I1335="",$I1335&lt;=0),"",TODAY()-$A1335)</f>
        <v/>
      </c>
      <c r="K1335" s="10"/>
    </row>
    <row r="1336" customFormat="false" ht="15" hidden="false" customHeight="true" outlineLevel="0" collapsed="false">
      <c r="A1336" s="13"/>
      <c r="B1336" s="10"/>
      <c r="C1336" s="10"/>
      <c r="D1336" s="14"/>
      <c r="E1336" s="11"/>
      <c r="F1336" s="15" t="str">
        <f aca="false">IF($B1336="","",IF(AND($D1336="",$E1336=""),"",IF(OR($D1336="",$E1336=""),0,ROUND($D1336*$E1336,0))))</f>
        <v/>
      </c>
      <c r="G1336" s="13"/>
      <c r="H1336" s="11"/>
      <c r="I1336" s="15" t="str">
        <f aca="false">IF($F1336="","",$F1336-IF($H1336="",0,$H1336))</f>
        <v/>
      </c>
      <c r="J1336" s="16" t="str">
        <f aca="true">IF(OR($A1336="",$I1336="",$I1336&lt;=0),"",TODAY()-$A1336)</f>
        <v/>
      </c>
      <c r="K1336" s="10"/>
    </row>
    <row r="1337" customFormat="false" ht="15" hidden="false" customHeight="true" outlineLevel="0" collapsed="false">
      <c r="A1337" s="13"/>
      <c r="B1337" s="10"/>
      <c r="C1337" s="10"/>
      <c r="D1337" s="14"/>
      <c r="E1337" s="11"/>
      <c r="F1337" s="15" t="str">
        <f aca="false">IF($B1337="","",IF(AND($D1337="",$E1337=""),"",IF(OR($D1337="",$E1337=""),0,ROUND($D1337*$E1337,0))))</f>
        <v/>
      </c>
      <c r="G1337" s="13"/>
      <c r="H1337" s="11"/>
      <c r="I1337" s="15" t="str">
        <f aca="false">IF($F1337="","",$F1337-IF($H1337="",0,$H1337))</f>
        <v/>
      </c>
      <c r="J1337" s="16" t="str">
        <f aca="true">IF(OR($A1337="",$I1337="",$I1337&lt;=0),"",TODAY()-$A1337)</f>
        <v/>
      </c>
      <c r="K1337" s="10"/>
    </row>
    <row r="1338" customFormat="false" ht="15" hidden="false" customHeight="true" outlineLevel="0" collapsed="false">
      <c r="A1338" s="13"/>
      <c r="B1338" s="10"/>
      <c r="C1338" s="10"/>
      <c r="D1338" s="14"/>
      <c r="E1338" s="11"/>
      <c r="F1338" s="15" t="str">
        <f aca="false">IF($B1338="","",IF(AND($D1338="",$E1338=""),"",IF(OR($D1338="",$E1338=""),0,ROUND($D1338*$E1338,0))))</f>
        <v/>
      </c>
      <c r="G1338" s="13"/>
      <c r="H1338" s="11"/>
      <c r="I1338" s="15" t="str">
        <f aca="false">IF($F1338="","",$F1338-IF($H1338="",0,$H1338))</f>
        <v/>
      </c>
      <c r="J1338" s="16" t="str">
        <f aca="true">IF(OR($A1338="",$I1338="",$I1338&lt;=0),"",TODAY()-$A1338)</f>
        <v/>
      </c>
      <c r="K1338" s="10"/>
    </row>
    <row r="1339" customFormat="false" ht="15" hidden="false" customHeight="true" outlineLevel="0" collapsed="false">
      <c r="A1339" s="13"/>
      <c r="B1339" s="10"/>
      <c r="C1339" s="10"/>
      <c r="D1339" s="14"/>
      <c r="E1339" s="11"/>
      <c r="F1339" s="15" t="str">
        <f aca="false">IF($B1339="","",IF(AND($D1339="",$E1339=""),"",IF(OR($D1339="",$E1339=""),0,ROUND($D1339*$E1339,0))))</f>
        <v/>
      </c>
      <c r="G1339" s="13"/>
      <c r="H1339" s="11"/>
      <c r="I1339" s="15" t="str">
        <f aca="false">IF($F1339="","",$F1339-IF($H1339="",0,$H1339))</f>
        <v/>
      </c>
      <c r="J1339" s="16" t="str">
        <f aca="true">IF(OR($A1339="",$I1339="",$I1339&lt;=0),"",TODAY()-$A1339)</f>
        <v/>
      </c>
      <c r="K1339" s="10"/>
    </row>
    <row r="1340" customFormat="false" ht="15" hidden="false" customHeight="true" outlineLevel="0" collapsed="false">
      <c r="A1340" s="13"/>
      <c r="B1340" s="10"/>
      <c r="C1340" s="10"/>
      <c r="D1340" s="14"/>
      <c r="E1340" s="11"/>
      <c r="F1340" s="15" t="str">
        <f aca="false">IF($B1340="","",IF(AND($D1340="",$E1340=""),"",IF(OR($D1340="",$E1340=""),0,ROUND($D1340*$E1340,0))))</f>
        <v/>
      </c>
      <c r="G1340" s="13"/>
      <c r="H1340" s="11"/>
      <c r="I1340" s="15" t="str">
        <f aca="false">IF($F1340="","",$F1340-IF($H1340="",0,$H1340))</f>
        <v/>
      </c>
      <c r="J1340" s="16" t="str">
        <f aca="true">IF(OR($A1340="",$I1340="",$I1340&lt;=0),"",TODAY()-$A1340)</f>
        <v/>
      </c>
      <c r="K1340" s="10"/>
    </row>
    <row r="1341" customFormat="false" ht="15" hidden="false" customHeight="true" outlineLevel="0" collapsed="false">
      <c r="A1341" s="13"/>
      <c r="B1341" s="10"/>
      <c r="C1341" s="10"/>
      <c r="D1341" s="14"/>
      <c r="E1341" s="11"/>
      <c r="F1341" s="15" t="str">
        <f aca="false">IF($B1341="","",IF(AND($D1341="",$E1341=""),"",IF(OR($D1341="",$E1341=""),0,ROUND($D1341*$E1341,0))))</f>
        <v/>
      </c>
      <c r="G1341" s="13"/>
      <c r="H1341" s="11"/>
      <c r="I1341" s="15" t="str">
        <f aca="false">IF($F1341="","",$F1341-IF($H1341="",0,$H1341))</f>
        <v/>
      </c>
      <c r="J1341" s="16" t="str">
        <f aca="true">IF(OR($A1341="",$I1341="",$I1341&lt;=0),"",TODAY()-$A1341)</f>
        <v/>
      </c>
      <c r="K1341" s="10"/>
    </row>
    <row r="1342" customFormat="false" ht="15" hidden="false" customHeight="true" outlineLevel="0" collapsed="false">
      <c r="A1342" s="13"/>
      <c r="B1342" s="10"/>
      <c r="C1342" s="10"/>
      <c r="D1342" s="14"/>
      <c r="E1342" s="11"/>
      <c r="F1342" s="15" t="str">
        <f aca="false">IF($B1342="","",IF(AND($D1342="",$E1342=""),"",IF(OR($D1342="",$E1342=""),0,ROUND($D1342*$E1342,0))))</f>
        <v/>
      </c>
      <c r="G1342" s="13"/>
      <c r="H1342" s="11"/>
      <c r="I1342" s="15" t="str">
        <f aca="false">IF($F1342="","",$F1342-IF($H1342="",0,$H1342))</f>
        <v/>
      </c>
      <c r="J1342" s="16" t="str">
        <f aca="true">IF(OR($A1342="",$I1342="",$I1342&lt;=0),"",TODAY()-$A1342)</f>
        <v/>
      </c>
      <c r="K1342" s="10"/>
    </row>
    <row r="1343" customFormat="false" ht="15" hidden="false" customHeight="true" outlineLevel="0" collapsed="false">
      <c r="A1343" s="13"/>
      <c r="B1343" s="10"/>
      <c r="C1343" s="10"/>
      <c r="D1343" s="14"/>
      <c r="E1343" s="11"/>
      <c r="F1343" s="15" t="str">
        <f aca="false">IF($B1343="","",IF(AND($D1343="",$E1343=""),"",IF(OR($D1343="",$E1343=""),0,ROUND($D1343*$E1343,0))))</f>
        <v/>
      </c>
      <c r="G1343" s="13"/>
      <c r="H1343" s="11"/>
      <c r="I1343" s="15" t="str">
        <f aca="false">IF($F1343="","",$F1343-IF($H1343="",0,$H1343))</f>
        <v/>
      </c>
      <c r="J1343" s="16" t="str">
        <f aca="true">IF(OR($A1343="",$I1343="",$I1343&lt;=0),"",TODAY()-$A1343)</f>
        <v/>
      </c>
      <c r="K1343" s="10"/>
    </row>
    <row r="1344" customFormat="false" ht="15" hidden="false" customHeight="true" outlineLevel="0" collapsed="false">
      <c r="A1344" s="13"/>
      <c r="B1344" s="10"/>
      <c r="C1344" s="10"/>
      <c r="D1344" s="14"/>
      <c r="E1344" s="11"/>
      <c r="F1344" s="15" t="str">
        <f aca="false">IF($B1344="","",IF(AND($D1344="",$E1344=""),"",IF(OR($D1344="",$E1344=""),0,ROUND($D1344*$E1344,0))))</f>
        <v/>
      </c>
      <c r="G1344" s="13"/>
      <c r="H1344" s="11"/>
      <c r="I1344" s="15" t="str">
        <f aca="false">IF($F1344="","",$F1344-IF($H1344="",0,$H1344))</f>
        <v/>
      </c>
      <c r="J1344" s="16" t="str">
        <f aca="true">IF(OR($A1344="",$I1344="",$I1344&lt;=0),"",TODAY()-$A1344)</f>
        <v/>
      </c>
      <c r="K1344" s="10"/>
    </row>
    <row r="1345" customFormat="false" ht="15" hidden="false" customHeight="true" outlineLevel="0" collapsed="false">
      <c r="A1345" s="13"/>
      <c r="B1345" s="10"/>
      <c r="C1345" s="10"/>
      <c r="D1345" s="14"/>
      <c r="E1345" s="11"/>
      <c r="F1345" s="15" t="str">
        <f aca="false">IF($B1345="","",IF(AND($D1345="",$E1345=""),"",IF(OR($D1345="",$E1345=""),0,ROUND($D1345*$E1345,0))))</f>
        <v/>
      </c>
      <c r="G1345" s="13"/>
      <c r="H1345" s="11"/>
      <c r="I1345" s="15" t="str">
        <f aca="false">IF($F1345="","",$F1345-IF($H1345="",0,$H1345))</f>
        <v/>
      </c>
      <c r="J1345" s="16" t="str">
        <f aca="true">IF(OR($A1345="",$I1345="",$I1345&lt;=0),"",TODAY()-$A1345)</f>
        <v/>
      </c>
      <c r="K1345" s="10"/>
    </row>
    <row r="1346" customFormat="false" ht="15" hidden="false" customHeight="true" outlineLevel="0" collapsed="false">
      <c r="A1346" s="13"/>
      <c r="B1346" s="10"/>
      <c r="C1346" s="10"/>
      <c r="D1346" s="14"/>
      <c r="E1346" s="11"/>
      <c r="F1346" s="15" t="str">
        <f aca="false">IF($B1346="","",IF(AND($D1346="",$E1346=""),"",IF(OR($D1346="",$E1346=""),0,ROUND($D1346*$E1346,0))))</f>
        <v/>
      </c>
      <c r="G1346" s="13"/>
      <c r="H1346" s="11"/>
      <c r="I1346" s="15" t="str">
        <f aca="false">IF($F1346="","",$F1346-IF($H1346="",0,$H1346))</f>
        <v/>
      </c>
      <c r="J1346" s="16" t="str">
        <f aca="true">IF(OR($A1346="",$I1346="",$I1346&lt;=0),"",TODAY()-$A1346)</f>
        <v/>
      </c>
      <c r="K1346" s="10"/>
    </row>
    <row r="1347" customFormat="false" ht="15" hidden="false" customHeight="true" outlineLevel="0" collapsed="false">
      <c r="A1347" s="13"/>
      <c r="B1347" s="10"/>
      <c r="C1347" s="10"/>
      <c r="D1347" s="14"/>
      <c r="E1347" s="11"/>
      <c r="F1347" s="15" t="str">
        <f aca="false">IF($B1347="","",IF(AND($D1347="",$E1347=""),"",IF(OR($D1347="",$E1347=""),0,ROUND($D1347*$E1347,0))))</f>
        <v/>
      </c>
      <c r="G1347" s="13"/>
      <c r="H1347" s="11"/>
      <c r="I1347" s="15" t="str">
        <f aca="false">IF($F1347="","",$F1347-IF($H1347="",0,$H1347))</f>
        <v/>
      </c>
      <c r="J1347" s="16" t="str">
        <f aca="true">IF(OR($A1347="",$I1347="",$I1347&lt;=0),"",TODAY()-$A1347)</f>
        <v/>
      </c>
      <c r="K1347" s="10"/>
    </row>
    <row r="1348" customFormat="false" ht="15" hidden="false" customHeight="true" outlineLevel="0" collapsed="false">
      <c r="A1348" s="13"/>
      <c r="B1348" s="10"/>
      <c r="C1348" s="10"/>
      <c r="D1348" s="14"/>
      <c r="E1348" s="11"/>
      <c r="F1348" s="15" t="str">
        <f aca="false">IF($B1348="","",IF(AND($D1348="",$E1348=""),"",IF(OR($D1348="",$E1348=""),0,ROUND($D1348*$E1348,0))))</f>
        <v/>
      </c>
      <c r="G1348" s="13"/>
      <c r="H1348" s="11"/>
      <c r="I1348" s="15" t="str">
        <f aca="false">IF($F1348="","",$F1348-IF($H1348="",0,$H1348))</f>
        <v/>
      </c>
      <c r="J1348" s="16" t="str">
        <f aca="true">IF(OR($A1348="",$I1348="",$I1348&lt;=0),"",TODAY()-$A1348)</f>
        <v/>
      </c>
      <c r="K1348" s="10"/>
    </row>
    <row r="1349" customFormat="false" ht="15" hidden="false" customHeight="true" outlineLevel="0" collapsed="false">
      <c r="A1349" s="13"/>
      <c r="B1349" s="10"/>
      <c r="C1349" s="10"/>
      <c r="D1349" s="14"/>
      <c r="E1349" s="11"/>
      <c r="F1349" s="15" t="str">
        <f aca="false">IF($B1349="","",IF(AND($D1349="",$E1349=""),"",IF(OR($D1349="",$E1349=""),0,ROUND($D1349*$E1349,0))))</f>
        <v/>
      </c>
      <c r="G1349" s="13"/>
      <c r="H1349" s="11"/>
      <c r="I1349" s="15" t="str">
        <f aca="false">IF($F1349="","",$F1349-IF($H1349="",0,$H1349))</f>
        <v/>
      </c>
      <c r="J1349" s="16" t="str">
        <f aca="true">IF(OR($A1349="",$I1349="",$I1349&lt;=0),"",TODAY()-$A1349)</f>
        <v/>
      </c>
      <c r="K1349" s="10"/>
    </row>
    <row r="1350" customFormat="false" ht="15" hidden="false" customHeight="true" outlineLevel="0" collapsed="false">
      <c r="A1350" s="13"/>
      <c r="B1350" s="10"/>
      <c r="C1350" s="10"/>
      <c r="D1350" s="14"/>
      <c r="E1350" s="11"/>
      <c r="F1350" s="15" t="str">
        <f aca="false">IF($B1350="","",IF(AND($D1350="",$E1350=""),"",IF(OR($D1350="",$E1350=""),0,ROUND($D1350*$E1350,0))))</f>
        <v/>
      </c>
      <c r="G1350" s="13"/>
      <c r="H1350" s="11"/>
      <c r="I1350" s="15" t="str">
        <f aca="false">IF($F1350="","",$F1350-IF($H1350="",0,$H1350))</f>
        <v/>
      </c>
      <c r="J1350" s="16" t="str">
        <f aca="true">IF(OR($A1350="",$I1350="",$I1350&lt;=0),"",TODAY()-$A1350)</f>
        <v/>
      </c>
      <c r="K1350" s="10"/>
    </row>
    <row r="1351" customFormat="false" ht="15" hidden="false" customHeight="true" outlineLevel="0" collapsed="false">
      <c r="A1351" s="13"/>
      <c r="B1351" s="10"/>
      <c r="C1351" s="10"/>
      <c r="D1351" s="14"/>
      <c r="E1351" s="11"/>
      <c r="F1351" s="15" t="str">
        <f aca="false">IF($B1351="","",IF(AND($D1351="",$E1351=""),"",IF(OR($D1351="",$E1351=""),0,ROUND($D1351*$E1351,0))))</f>
        <v/>
      </c>
      <c r="G1351" s="13"/>
      <c r="H1351" s="11"/>
      <c r="I1351" s="15" t="str">
        <f aca="false">IF($F1351="","",$F1351-IF($H1351="",0,$H1351))</f>
        <v/>
      </c>
      <c r="J1351" s="16" t="str">
        <f aca="true">IF(OR($A1351="",$I1351="",$I1351&lt;=0),"",TODAY()-$A1351)</f>
        <v/>
      </c>
      <c r="K1351" s="10"/>
    </row>
    <row r="1352" customFormat="false" ht="15" hidden="false" customHeight="true" outlineLevel="0" collapsed="false">
      <c r="A1352" s="13"/>
      <c r="B1352" s="10"/>
      <c r="C1352" s="10"/>
      <c r="D1352" s="14"/>
      <c r="E1352" s="11"/>
      <c r="F1352" s="15" t="str">
        <f aca="false">IF($B1352="","",IF(AND($D1352="",$E1352=""),"",IF(OR($D1352="",$E1352=""),0,ROUND($D1352*$E1352,0))))</f>
        <v/>
      </c>
      <c r="G1352" s="13"/>
      <c r="H1352" s="11"/>
      <c r="I1352" s="15" t="str">
        <f aca="false">IF($F1352="","",$F1352-IF($H1352="",0,$H1352))</f>
        <v/>
      </c>
      <c r="J1352" s="16" t="str">
        <f aca="true">IF(OR($A1352="",$I1352="",$I1352&lt;=0),"",TODAY()-$A1352)</f>
        <v/>
      </c>
      <c r="K1352" s="10"/>
    </row>
    <row r="1353" customFormat="false" ht="15" hidden="false" customHeight="true" outlineLevel="0" collapsed="false">
      <c r="A1353" s="13"/>
      <c r="B1353" s="10"/>
      <c r="C1353" s="10"/>
      <c r="D1353" s="14"/>
      <c r="E1353" s="11"/>
      <c r="F1353" s="15" t="str">
        <f aca="false">IF($B1353="","",IF(AND($D1353="",$E1353=""),"",IF(OR($D1353="",$E1353=""),0,ROUND($D1353*$E1353,0))))</f>
        <v/>
      </c>
      <c r="G1353" s="13"/>
      <c r="H1353" s="11"/>
      <c r="I1353" s="15" t="str">
        <f aca="false">IF($F1353="","",$F1353-IF($H1353="",0,$H1353))</f>
        <v/>
      </c>
      <c r="J1353" s="16" t="str">
        <f aca="true">IF(OR($A1353="",$I1353="",$I1353&lt;=0),"",TODAY()-$A1353)</f>
        <v/>
      </c>
      <c r="K1353" s="10"/>
    </row>
    <row r="1354" customFormat="false" ht="15" hidden="false" customHeight="true" outlineLevel="0" collapsed="false">
      <c r="A1354" s="13"/>
      <c r="B1354" s="10"/>
      <c r="C1354" s="10"/>
      <c r="D1354" s="14"/>
      <c r="E1354" s="11"/>
      <c r="F1354" s="15" t="str">
        <f aca="false">IF($B1354="","",IF(AND($D1354="",$E1354=""),"",IF(OR($D1354="",$E1354=""),0,ROUND($D1354*$E1354,0))))</f>
        <v/>
      </c>
      <c r="G1354" s="13"/>
      <c r="H1354" s="11"/>
      <c r="I1354" s="15" t="str">
        <f aca="false">IF($F1354="","",$F1354-IF($H1354="",0,$H1354))</f>
        <v/>
      </c>
      <c r="J1354" s="16" t="str">
        <f aca="true">IF(OR($A1354="",$I1354="",$I1354&lt;=0),"",TODAY()-$A1354)</f>
        <v/>
      </c>
      <c r="K1354" s="10"/>
    </row>
    <row r="1355" customFormat="false" ht="15" hidden="false" customHeight="true" outlineLevel="0" collapsed="false">
      <c r="A1355" s="13"/>
      <c r="B1355" s="10"/>
      <c r="C1355" s="10"/>
      <c r="D1355" s="14"/>
      <c r="E1355" s="11"/>
      <c r="F1355" s="15" t="str">
        <f aca="false">IF($B1355="","",IF(AND($D1355="",$E1355=""),"",IF(OR($D1355="",$E1355=""),0,ROUND($D1355*$E1355,0))))</f>
        <v/>
      </c>
      <c r="G1355" s="13"/>
      <c r="H1355" s="11"/>
      <c r="I1355" s="15" t="str">
        <f aca="false">IF($F1355="","",$F1355-IF($H1355="",0,$H1355))</f>
        <v/>
      </c>
      <c r="J1355" s="16" t="str">
        <f aca="true">IF(OR($A1355="",$I1355="",$I1355&lt;=0),"",TODAY()-$A1355)</f>
        <v/>
      </c>
      <c r="K1355" s="10"/>
    </row>
    <row r="1356" customFormat="false" ht="15" hidden="false" customHeight="true" outlineLevel="0" collapsed="false">
      <c r="A1356" s="13"/>
      <c r="B1356" s="10"/>
      <c r="C1356" s="10"/>
      <c r="D1356" s="14"/>
      <c r="E1356" s="11"/>
      <c r="F1356" s="15" t="str">
        <f aca="false">IF($B1356="","",IF(AND($D1356="",$E1356=""),"",IF(OR($D1356="",$E1356=""),0,ROUND($D1356*$E1356,0))))</f>
        <v/>
      </c>
      <c r="G1356" s="13"/>
      <c r="H1356" s="11"/>
      <c r="I1356" s="15" t="str">
        <f aca="false">IF($F1356="","",$F1356-IF($H1356="",0,$H1356))</f>
        <v/>
      </c>
      <c r="J1356" s="16" t="str">
        <f aca="true">IF(OR($A1356="",$I1356="",$I1356&lt;=0),"",TODAY()-$A1356)</f>
        <v/>
      </c>
      <c r="K1356" s="10"/>
    </row>
    <row r="1357" customFormat="false" ht="15" hidden="false" customHeight="true" outlineLevel="0" collapsed="false">
      <c r="A1357" s="13"/>
      <c r="B1357" s="10"/>
      <c r="C1357" s="10"/>
      <c r="D1357" s="14"/>
      <c r="E1357" s="11"/>
      <c r="F1357" s="15" t="str">
        <f aca="false">IF($B1357="","",IF(AND($D1357="",$E1357=""),"",IF(OR($D1357="",$E1357=""),0,ROUND($D1357*$E1357,0))))</f>
        <v/>
      </c>
      <c r="G1357" s="13"/>
      <c r="H1357" s="11"/>
      <c r="I1357" s="15" t="str">
        <f aca="false">IF($F1357="","",$F1357-IF($H1357="",0,$H1357))</f>
        <v/>
      </c>
      <c r="J1357" s="16" t="str">
        <f aca="true">IF(OR($A1357="",$I1357="",$I1357&lt;=0),"",TODAY()-$A1357)</f>
        <v/>
      </c>
      <c r="K1357" s="10"/>
    </row>
    <row r="1358" customFormat="false" ht="15" hidden="false" customHeight="true" outlineLevel="0" collapsed="false">
      <c r="A1358" s="13"/>
      <c r="B1358" s="10"/>
      <c r="C1358" s="10"/>
      <c r="D1358" s="14"/>
      <c r="E1358" s="11"/>
      <c r="F1358" s="15" t="str">
        <f aca="false">IF($B1358="","",IF(AND($D1358="",$E1358=""),"",IF(OR($D1358="",$E1358=""),0,ROUND($D1358*$E1358,0))))</f>
        <v/>
      </c>
      <c r="G1358" s="13"/>
      <c r="H1358" s="11"/>
      <c r="I1358" s="15" t="str">
        <f aca="false">IF($F1358="","",$F1358-IF($H1358="",0,$H1358))</f>
        <v/>
      </c>
      <c r="J1358" s="16" t="str">
        <f aca="true">IF(OR($A1358="",$I1358="",$I1358&lt;=0),"",TODAY()-$A1358)</f>
        <v/>
      </c>
      <c r="K1358" s="10"/>
    </row>
    <row r="1359" customFormat="false" ht="15" hidden="false" customHeight="true" outlineLevel="0" collapsed="false">
      <c r="A1359" s="13"/>
      <c r="B1359" s="10"/>
      <c r="C1359" s="10"/>
      <c r="D1359" s="14"/>
      <c r="E1359" s="11"/>
      <c r="F1359" s="15" t="str">
        <f aca="false">IF($B1359="","",IF(AND($D1359="",$E1359=""),"",IF(OR($D1359="",$E1359=""),0,ROUND($D1359*$E1359,0))))</f>
        <v/>
      </c>
      <c r="G1359" s="13"/>
      <c r="H1359" s="11"/>
      <c r="I1359" s="15" t="str">
        <f aca="false">IF($F1359="","",$F1359-IF($H1359="",0,$H1359))</f>
        <v/>
      </c>
      <c r="J1359" s="16" t="str">
        <f aca="true">IF(OR($A1359="",$I1359="",$I1359&lt;=0),"",TODAY()-$A1359)</f>
        <v/>
      </c>
      <c r="K1359" s="10"/>
    </row>
    <row r="1360" customFormat="false" ht="15" hidden="false" customHeight="true" outlineLevel="0" collapsed="false">
      <c r="A1360" s="13"/>
      <c r="B1360" s="10"/>
      <c r="C1360" s="10"/>
      <c r="D1360" s="14"/>
      <c r="E1360" s="11"/>
      <c r="F1360" s="15" t="str">
        <f aca="false">IF($B1360="","",IF(AND($D1360="",$E1360=""),"",IF(OR($D1360="",$E1360=""),0,ROUND($D1360*$E1360,0))))</f>
        <v/>
      </c>
      <c r="G1360" s="13"/>
      <c r="H1360" s="11"/>
      <c r="I1360" s="15" t="str">
        <f aca="false">IF($F1360="","",$F1360-IF($H1360="",0,$H1360))</f>
        <v/>
      </c>
      <c r="J1360" s="16" t="str">
        <f aca="true">IF(OR($A1360="",$I1360="",$I1360&lt;=0),"",TODAY()-$A1360)</f>
        <v/>
      </c>
      <c r="K1360" s="10"/>
    </row>
    <row r="1361" customFormat="false" ht="15" hidden="false" customHeight="true" outlineLevel="0" collapsed="false">
      <c r="A1361" s="13"/>
      <c r="B1361" s="10"/>
      <c r="C1361" s="10"/>
      <c r="D1361" s="14"/>
      <c r="E1361" s="11"/>
      <c r="F1361" s="15" t="str">
        <f aca="false">IF($B1361="","",IF(AND($D1361="",$E1361=""),"",IF(OR($D1361="",$E1361=""),0,ROUND($D1361*$E1361,0))))</f>
        <v/>
      </c>
      <c r="G1361" s="13"/>
      <c r="H1361" s="11"/>
      <c r="I1361" s="15" t="str">
        <f aca="false">IF($F1361="","",$F1361-IF($H1361="",0,$H1361))</f>
        <v/>
      </c>
      <c r="J1361" s="16" t="str">
        <f aca="true">IF(OR($A1361="",$I1361="",$I1361&lt;=0),"",TODAY()-$A1361)</f>
        <v/>
      </c>
      <c r="K1361" s="10"/>
    </row>
    <row r="1362" customFormat="false" ht="15" hidden="false" customHeight="true" outlineLevel="0" collapsed="false">
      <c r="A1362" s="13"/>
      <c r="B1362" s="10"/>
      <c r="C1362" s="10"/>
      <c r="D1362" s="14"/>
      <c r="E1362" s="11"/>
      <c r="F1362" s="15" t="str">
        <f aca="false">IF($B1362="","",IF(AND($D1362="",$E1362=""),"",IF(OR($D1362="",$E1362=""),0,ROUND($D1362*$E1362,0))))</f>
        <v/>
      </c>
      <c r="G1362" s="13"/>
      <c r="H1362" s="11"/>
      <c r="I1362" s="15" t="str">
        <f aca="false">IF($F1362="","",$F1362-IF($H1362="",0,$H1362))</f>
        <v/>
      </c>
      <c r="J1362" s="16" t="str">
        <f aca="true">IF(OR($A1362="",$I1362="",$I1362&lt;=0),"",TODAY()-$A1362)</f>
        <v/>
      </c>
      <c r="K1362" s="10"/>
    </row>
    <row r="1363" customFormat="false" ht="15" hidden="false" customHeight="true" outlineLevel="0" collapsed="false">
      <c r="A1363" s="13"/>
      <c r="B1363" s="10"/>
      <c r="C1363" s="10"/>
      <c r="D1363" s="14"/>
      <c r="E1363" s="11"/>
      <c r="F1363" s="15" t="str">
        <f aca="false">IF($B1363="","",IF(AND($D1363="",$E1363=""),"",IF(OR($D1363="",$E1363=""),0,ROUND($D1363*$E1363,0))))</f>
        <v/>
      </c>
      <c r="G1363" s="13"/>
      <c r="H1363" s="11"/>
      <c r="I1363" s="15" t="str">
        <f aca="false">IF($F1363="","",$F1363-IF($H1363="",0,$H1363))</f>
        <v/>
      </c>
      <c r="J1363" s="16" t="str">
        <f aca="true">IF(OR($A1363="",$I1363="",$I1363&lt;=0),"",TODAY()-$A1363)</f>
        <v/>
      </c>
      <c r="K1363" s="10"/>
    </row>
    <row r="1364" customFormat="false" ht="15" hidden="false" customHeight="true" outlineLevel="0" collapsed="false">
      <c r="A1364" s="13"/>
      <c r="B1364" s="10"/>
      <c r="C1364" s="10"/>
      <c r="D1364" s="14"/>
      <c r="E1364" s="11"/>
      <c r="F1364" s="15" t="str">
        <f aca="false">IF($B1364="","",IF(AND($D1364="",$E1364=""),"",IF(OR($D1364="",$E1364=""),0,ROUND($D1364*$E1364,0))))</f>
        <v/>
      </c>
      <c r="G1364" s="13"/>
      <c r="H1364" s="11"/>
      <c r="I1364" s="15" t="str">
        <f aca="false">IF($F1364="","",$F1364-IF($H1364="",0,$H1364))</f>
        <v/>
      </c>
      <c r="J1364" s="16" t="str">
        <f aca="true">IF(OR($A1364="",$I1364="",$I1364&lt;=0),"",TODAY()-$A1364)</f>
        <v/>
      </c>
      <c r="K1364" s="10"/>
    </row>
    <row r="1365" customFormat="false" ht="15" hidden="false" customHeight="true" outlineLevel="0" collapsed="false">
      <c r="A1365" s="13"/>
      <c r="B1365" s="10"/>
      <c r="C1365" s="10"/>
      <c r="D1365" s="14"/>
      <c r="E1365" s="11"/>
      <c r="F1365" s="15" t="str">
        <f aca="false">IF($B1365="","",IF(AND($D1365="",$E1365=""),"",IF(OR($D1365="",$E1365=""),0,ROUND($D1365*$E1365,0))))</f>
        <v/>
      </c>
      <c r="G1365" s="13"/>
      <c r="H1365" s="11"/>
      <c r="I1365" s="15" t="str">
        <f aca="false">IF($F1365="","",$F1365-IF($H1365="",0,$H1365))</f>
        <v/>
      </c>
      <c r="J1365" s="16" t="str">
        <f aca="true">IF(OR($A1365="",$I1365="",$I1365&lt;=0),"",TODAY()-$A1365)</f>
        <v/>
      </c>
      <c r="K1365" s="10"/>
    </row>
    <row r="1366" customFormat="false" ht="15" hidden="false" customHeight="true" outlineLevel="0" collapsed="false">
      <c r="A1366" s="13"/>
      <c r="B1366" s="10"/>
      <c r="C1366" s="10"/>
      <c r="D1366" s="14"/>
      <c r="E1366" s="11"/>
      <c r="F1366" s="15" t="str">
        <f aca="false">IF($B1366="","",IF(AND($D1366="",$E1366=""),"",IF(OR($D1366="",$E1366=""),0,ROUND($D1366*$E1366,0))))</f>
        <v/>
      </c>
      <c r="G1366" s="13"/>
      <c r="H1366" s="11"/>
      <c r="I1366" s="15" t="str">
        <f aca="false">IF($F1366="","",$F1366-IF($H1366="",0,$H1366))</f>
        <v/>
      </c>
      <c r="J1366" s="16" t="str">
        <f aca="true">IF(OR($A1366="",$I1366="",$I1366&lt;=0),"",TODAY()-$A1366)</f>
        <v/>
      </c>
      <c r="K1366" s="10"/>
    </row>
    <row r="1367" customFormat="false" ht="15" hidden="false" customHeight="true" outlineLevel="0" collapsed="false">
      <c r="A1367" s="13"/>
      <c r="B1367" s="10"/>
      <c r="C1367" s="10"/>
      <c r="D1367" s="14"/>
      <c r="E1367" s="11"/>
      <c r="F1367" s="15" t="str">
        <f aca="false">IF($B1367="","",IF(AND($D1367="",$E1367=""),"",IF(OR($D1367="",$E1367=""),0,ROUND($D1367*$E1367,0))))</f>
        <v/>
      </c>
      <c r="G1367" s="13"/>
      <c r="H1367" s="11"/>
      <c r="I1367" s="15" t="str">
        <f aca="false">IF($F1367="","",$F1367-IF($H1367="",0,$H1367))</f>
        <v/>
      </c>
      <c r="J1367" s="16" t="str">
        <f aca="true">IF(OR($A1367="",$I1367="",$I1367&lt;=0),"",TODAY()-$A1367)</f>
        <v/>
      </c>
      <c r="K1367" s="10"/>
    </row>
    <row r="1368" customFormat="false" ht="15" hidden="false" customHeight="true" outlineLevel="0" collapsed="false">
      <c r="A1368" s="13"/>
      <c r="B1368" s="10"/>
      <c r="C1368" s="10"/>
      <c r="D1368" s="14"/>
      <c r="E1368" s="11"/>
      <c r="F1368" s="15" t="str">
        <f aca="false">IF($B1368="","",IF(AND($D1368="",$E1368=""),"",IF(OR($D1368="",$E1368=""),0,ROUND($D1368*$E1368,0))))</f>
        <v/>
      </c>
      <c r="G1368" s="13"/>
      <c r="H1368" s="11"/>
      <c r="I1368" s="15" t="str">
        <f aca="false">IF($F1368="","",$F1368-IF($H1368="",0,$H1368))</f>
        <v/>
      </c>
      <c r="J1368" s="16" t="str">
        <f aca="true">IF(OR($A1368="",$I1368="",$I1368&lt;=0),"",TODAY()-$A1368)</f>
        <v/>
      </c>
      <c r="K1368" s="10"/>
    </row>
    <row r="1369" customFormat="false" ht="15" hidden="false" customHeight="true" outlineLevel="0" collapsed="false">
      <c r="A1369" s="13"/>
      <c r="B1369" s="10"/>
      <c r="C1369" s="10"/>
      <c r="D1369" s="14"/>
      <c r="E1369" s="11"/>
      <c r="F1369" s="15" t="str">
        <f aca="false">IF($B1369="","",IF(AND($D1369="",$E1369=""),"",IF(OR($D1369="",$E1369=""),0,ROUND($D1369*$E1369,0))))</f>
        <v/>
      </c>
      <c r="G1369" s="13"/>
      <c r="H1369" s="11"/>
      <c r="I1369" s="15" t="str">
        <f aca="false">IF($F1369="","",$F1369-IF($H1369="",0,$H1369))</f>
        <v/>
      </c>
      <c r="J1369" s="16" t="str">
        <f aca="true">IF(OR($A1369="",$I1369="",$I1369&lt;=0),"",TODAY()-$A1369)</f>
        <v/>
      </c>
      <c r="K1369" s="10"/>
    </row>
    <row r="1370" customFormat="false" ht="15" hidden="false" customHeight="true" outlineLevel="0" collapsed="false">
      <c r="A1370" s="13"/>
      <c r="B1370" s="10"/>
      <c r="C1370" s="10"/>
      <c r="D1370" s="14"/>
      <c r="E1370" s="11"/>
      <c r="F1370" s="15" t="str">
        <f aca="false">IF($B1370="","",IF(AND($D1370="",$E1370=""),"",IF(OR($D1370="",$E1370=""),0,ROUND($D1370*$E1370,0))))</f>
        <v/>
      </c>
      <c r="G1370" s="13"/>
      <c r="H1370" s="11"/>
      <c r="I1370" s="15" t="str">
        <f aca="false">IF($F1370="","",$F1370-IF($H1370="",0,$H1370))</f>
        <v/>
      </c>
      <c r="J1370" s="16" t="str">
        <f aca="true">IF(OR($A1370="",$I1370="",$I1370&lt;=0),"",TODAY()-$A1370)</f>
        <v/>
      </c>
      <c r="K1370" s="10"/>
    </row>
    <row r="1371" customFormat="false" ht="15" hidden="false" customHeight="true" outlineLevel="0" collapsed="false">
      <c r="A1371" s="13"/>
      <c r="B1371" s="10"/>
      <c r="C1371" s="10"/>
      <c r="D1371" s="14"/>
      <c r="E1371" s="11"/>
      <c r="F1371" s="15" t="str">
        <f aca="false">IF($B1371="","",IF(AND($D1371="",$E1371=""),"",IF(OR($D1371="",$E1371=""),0,ROUND($D1371*$E1371,0))))</f>
        <v/>
      </c>
      <c r="G1371" s="13"/>
      <c r="H1371" s="11"/>
      <c r="I1371" s="15" t="str">
        <f aca="false">IF($F1371="","",$F1371-IF($H1371="",0,$H1371))</f>
        <v/>
      </c>
      <c r="J1371" s="16" t="str">
        <f aca="true">IF(OR($A1371="",$I1371="",$I1371&lt;=0),"",TODAY()-$A1371)</f>
        <v/>
      </c>
      <c r="K1371" s="10"/>
    </row>
    <row r="1372" customFormat="false" ht="15" hidden="false" customHeight="true" outlineLevel="0" collapsed="false">
      <c r="A1372" s="13"/>
      <c r="B1372" s="10"/>
      <c r="C1372" s="10"/>
      <c r="D1372" s="14"/>
      <c r="E1372" s="11"/>
      <c r="F1372" s="15" t="str">
        <f aca="false">IF($B1372="","",IF(AND($D1372="",$E1372=""),"",IF(OR($D1372="",$E1372=""),0,ROUND($D1372*$E1372,0))))</f>
        <v/>
      </c>
      <c r="G1372" s="13"/>
      <c r="H1372" s="11"/>
      <c r="I1372" s="15" t="str">
        <f aca="false">IF($F1372="","",$F1372-IF($H1372="",0,$H1372))</f>
        <v/>
      </c>
      <c r="J1372" s="16" t="str">
        <f aca="true">IF(OR($A1372="",$I1372="",$I1372&lt;=0),"",TODAY()-$A1372)</f>
        <v/>
      </c>
      <c r="K1372" s="10"/>
    </row>
    <row r="1373" customFormat="false" ht="15" hidden="false" customHeight="true" outlineLevel="0" collapsed="false">
      <c r="A1373" s="13"/>
      <c r="B1373" s="10"/>
      <c r="C1373" s="10"/>
      <c r="D1373" s="14"/>
      <c r="E1373" s="11"/>
      <c r="F1373" s="15" t="str">
        <f aca="false">IF($B1373="","",IF(AND($D1373="",$E1373=""),"",IF(OR($D1373="",$E1373=""),0,ROUND($D1373*$E1373,0))))</f>
        <v/>
      </c>
      <c r="G1373" s="13"/>
      <c r="H1373" s="11"/>
      <c r="I1373" s="15" t="str">
        <f aca="false">IF($F1373="","",$F1373-IF($H1373="",0,$H1373))</f>
        <v/>
      </c>
      <c r="J1373" s="16" t="str">
        <f aca="true">IF(OR($A1373="",$I1373="",$I1373&lt;=0),"",TODAY()-$A1373)</f>
        <v/>
      </c>
      <c r="K1373" s="10"/>
    </row>
    <row r="1374" customFormat="false" ht="15" hidden="false" customHeight="true" outlineLevel="0" collapsed="false">
      <c r="A1374" s="13"/>
      <c r="B1374" s="10"/>
      <c r="C1374" s="10"/>
      <c r="D1374" s="14"/>
      <c r="E1374" s="11"/>
      <c r="F1374" s="15" t="str">
        <f aca="false">IF($B1374="","",IF(AND($D1374="",$E1374=""),"",IF(OR($D1374="",$E1374=""),0,ROUND($D1374*$E1374,0))))</f>
        <v/>
      </c>
      <c r="G1374" s="13"/>
      <c r="H1374" s="11"/>
      <c r="I1374" s="15" t="str">
        <f aca="false">IF($F1374="","",$F1374-IF($H1374="",0,$H1374))</f>
        <v/>
      </c>
      <c r="J1374" s="16" t="str">
        <f aca="true">IF(OR($A1374="",$I1374="",$I1374&lt;=0),"",TODAY()-$A1374)</f>
        <v/>
      </c>
      <c r="K1374" s="10"/>
    </row>
    <row r="1375" customFormat="false" ht="15" hidden="false" customHeight="true" outlineLevel="0" collapsed="false">
      <c r="A1375" s="13"/>
      <c r="B1375" s="10"/>
      <c r="C1375" s="10"/>
      <c r="D1375" s="14"/>
      <c r="E1375" s="11"/>
      <c r="F1375" s="15" t="str">
        <f aca="false">IF($B1375="","",IF(AND($D1375="",$E1375=""),"",IF(OR($D1375="",$E1375=""),0,ROUND($D1375*$E1375,0))))</f>
        <v/>
      </c>
      <c r="G1375" s="13"/>
      <c r="H1375" s="11"/>
      <c r="I1375" s="15" t="str">
        <f aca="false">IF($F1375="","",$F1375-IF($H1375="",0,$H1375))</f>
        <v/>
      </c>
      <c r="J1375" s="16" t="str">
        <f aca="true">IF(OR($A1375="",$I1375="",$I1375&lt;=0),"",TODAY()-$A1375)</f>
        <v/>
      </c>
      <c r="K1375" s="10"/>
    </row>
    <row r="1376" customFormat="false" ht="15" hidden="false" customHeight="true" outlineLevel="0" collapsed="false">
      <c r="A1376" s="13"/>
      <c r="B1376" s="10"/>
      <c r="C1376" s="10"/>
      <c r="D1376" s="14"/>
      <c r="E1376" s="11"/>
      <c r="F1376" s="15" t="str">
        <f aca="false">IF($B1376="","",IF(AND($D1376="",$E1376=""),"",IF(OR($D1376="",$E1376=""),0,ROUND($D1376*$E1376,0))))</f>
        <v/>
      </c>
      <c r="G1376" s="13"/>
      <c r="H1376" s="11"/>
      <c r="I1376" s="15" t="str">
        <f aca="false">IF($F1376="","",$F1376-IF($H1376="",0,$H1376))</f>
        <v/>
      </c>
      <c r="J1376" s="16" t="str">
        <f aca="true">IF(OR($A1376="",$I1376="",$I1376&lt;=0),"",TODAY()-$A1376)</f>
        <v/>
      </c>
      <c r="K1376" s="10"/>
    </row>
    <row r="1377" customFormat="false" ht="15" hidden="false" customHeight="true" outlineLevel="0" collapsed="false">
      <c r="A1377" s="13"/>
      <c r="B1377" s="10"/>
      <c r="C1377" s="10"/>
      <c r="D1377" s="14"/>
      <c r="E1377" s="11"/>
      <c r="F1377" s="15" t="str">
        <f aca="false">IF($B1377="","",IF(AND($D1377="",$E1377=""),"",IF(OR($D1377="",$E1377=""),0,ROUND($D1377*$E1377,0))))</f>
        <v/>
      </c>
      <c r="G1377" s="13"/>
      <c r="H1377" s="11"/>
      <c r="I1377" s="15" t="str">
        <f aca="false">IF($F1377="","",$F1377-IF($H1377="",0,$H1377))</f>
        <v/>
      </c>
      <c r="J1377" s="16" t="str">
        <f aca="true">IF(OR($A1377="",$I1377="",$I1377&lt;=0),"",TODAY()-$A1377)</f>
        <v/>
      </c>
      <c r="K1377" s="10"/>
    </row>
    <row r="1378" customFormat="false" ht="15" hidden="false" customHeight="true" outlineLevel="0" collapsed="false">
      <c r="A1378" s="13"/>
      <c r="B1378" s="10"/>
      <c r="C1378" s="10"/>
      <c r="D1378" s="14"/>
      <c r="E1378" s="11"/>
      <c r="F1378" s="15" t="str">
        <f aca="false">IF($B1378="","",IF(AND($D1378="",$E1378=""),"",IF(OR($D1378="",$E1378=""),0,ROUND($D1378*$E1378,0))))</f>
        <v/>
      </c>
      <c r="G1378" s="13"/>
      <c r="H1378" s="11"/>
      <c r="I1378" s="15" t="str">
        <f aca="false">IF($F1378="","",$F1378-IF($H1378="",0,$H1378))</f>
        <v/>
      </c>
      <c r="J1378" s="16" t="str">
        <f aca="true">IF(OR($A1378="",$I1378="",$I1378&lt;=0),"",TODAY()-$A1378)</f>
        <v/>
      </c>
      <c r="K1378" s="10"/>
    </row>
    <row r="1379" customFormat="false" ht="15" hidden="false" customHeight="true" outlineLevel="0" collapsed="false">
      <c r="A1379" s="13"/>
      <c r="B1379" s="10"/>
      <c r="C1379" s="10"/>
      <c r="D1379" s="14"/>
      <c r="E1379" s="11"/>
      <c r="F1379" s="15" t="str">
        <f aca="false">IF($B1379="","",IF(AND($D1379="",$E1379=""),"",IF(OR($D1379="",$E1379=""),0,ROUND($D1379*$E1379,0))))</f>
        <v/>
      </c>
      <c r="G1379" s="13"/>
      <c r="H1379" s="11"/>
      <c r="I1379" s="15" t="str">
        <f aca="false">IF($F1379="","",$F1379-IF($H1379="",0,$H1379))</f>
        <v/>
      </c>
      <c r="J1379" s="16" t="str">
        <f aca="true">IF(OR($A1379="",$I1379="",$I1379&lt;=0),"",TODAY()-$A1379)</f>
        <v/>
      </c>
      <c r="K1379" s="10"/>
    </row>
    <row r="1380" customFormat="false" ht="15" hidden="false" customHeight="true" outlineLevel="0" collapsed="false">
      <c r="A1380" s="13"/>
      <c r="B1380" s="10"/>
      <c r="C1380" s="10"/>
      <c r="D1380" s="14"/>
      <c r="E1380" s="11"/>
      <c r="F1380" s="15" t="str">
        <f aca="false">IF($B1380="","",IF(AND($D1380="",$E1380=""),"",IF(OR($D1380="",$E1380=""),0,ROUND($D1380*$E1380,0))))</f>
        <v/>
      </c>
      <c r="G1380" s="13"/>
      <c r="H1380" s="11"/>
      <c r="I1380" s="15" t="str">
        <f aca="false">IF($F1380="","",$F1380-IF($H1380="",0,$H1380))</f>
        <v/>
      </c>
      <c r="J1380" s="16" t="str">
        <f aca="true">IF(OR($A1380="",$I1380="",$I1380&lt;=0),"",TODAY()-$A1380)</f>
        <v/>
      </c>
      <c r="K1380" s="10"/>
    </row>
    <row r="1381" customFormat="false" ht="15" hidden="false" customHeight="true" outlineLevel="0" collapsed="false">
      <c r="A1381" s="13"/>
      <c r="B1381" s="10"/>
      <c r="C1381" s="10"/>
      <c r="D1381" s="14"/>
      <c r="E1381" s="11"/>
      <c r="F1381" s="15" t="str">
        <f aca="false">IF($B1381="","",IF(AND($D1381="",$E1381=""),"",IF(OR($D1381="",$E1381=""),0,ROUND($D1381*$E1381,0))))</f>
        <v/>
      </c>
      <c r="G1381" s="13"/>
      <c r="H1381" s="11"/>
      <c r="I1381" s="15" t="str">
        <f aca="false">IF($F1381="","",$F1381-IF($H1381="",0,$H1381))</f>
        <v/>
      </c>
      <c r="J1381" s="16" t="str">
        <f aca="true">IF(OR($A1381="",$I1381="",$I1381&lt;=0),"",TODAY()-$A1381)</f>
        <v/>
      </c>
      <c r="K1381" s="10"/>
    </row>
    <row r="1382" customFormat="false" ht="15" hidden="false" customHeight="true" outlineLevel="0" collapsed="false">
      <c r="A1382" s="13"/>
      <c r="B1382" s="10"/>
      <c r="C1382" s="10"/>
      <c r="D1382" s="14"/>
      <c r="E1382" s="11"/>
      <c r="F1382" s="15" t="str">
        <f aca="false">IF($B1382="","",IF(AND($D1382="",$E1382=""),"",IF(OR($D1382="",$E1382=""),0,ROUND($D1382*$E1382,0))))</f>
        <v/>
      </c>
      <c r="G1382" s="13"/>
      <c r="H1382" s="11"/>
      <c r="I1382" s="15" t="str">
        <f aca="false">IF($F1382="","",$F1382-IF($H1382="",0,$H1382))</f>
        <v/>
      </c>
      <c r="J1382" s="16" t="str">
        <f aca="true">IF(OR($A1382="",$I1382="",$I1382&lt;=0),"",TODAY()-$A1382)</f>
        <v/>
      </c>
      <c r="K1382" s="10"/>
    </row>
    <row r="1383" customFormat="false" ht="15" hidden="false" customHeight="true" outlineLevel="0" collapsed="false">
      <c r="A1383" s="13"/>
      <c r="B1383" s="10"/>
      <c r="C1383" s="10"/>
      <c r="D1383" s="14"/>
      <c r="E1383" s="11"/>
      <c r="F1383" s="15" t="str">
        <f aca="false">IF($B1383="","",IF(AND($D1383="",$E1383=""),"",IF(OR($D1383="",$E1383=""),0,ROUND($D1383*$E1383,0))))</f>
        <v/>
      </c>
      <c r="G1383" s="13"/>
      <c r="H1383" s="11"/>
      <c r="I1383" s="15" t="str">
        <f aca="false">IF($F1383="","",$F1383-IF($H1383="",0,$H1383))</f>
        <v/>
      </c>
      <c r="J1383" s="16" t="str">
        <f aca="true">IF(OR($A1383="",$I1383="",$I1383&lt;=0),"",TODAY()-$A1383)</f>
        <v/>
      </c>
      <c r="K1383" s="10"/>
    </row>
    <row r="1384" customFormat="false" ht="15" hidden="false" customHeight="true" outlineLevel="0" collapsed="false">
      <c r="A1384" s="13"/>
      <c r="B1384" s="10"/>
      <c r="C1384" s="10"/>
      <c r="D1384" s="14"/>
      <c r="E1384" s="11"/>
      <c r="F1384" s="15" t="str">
        <f aca="false">IF($B1384="","",IF(AND($D1384="",$E1384=""),"",IF(OR($D1384="",$E1384=""),0,ROUND($D1384*$E1384,0))))</f>
        <v/>
      </c>
      <c r="G1384" s="13"/>
      <c r="H1384" s="11"/>
      <c r="I1384" s="15" t="str">
        <f aca="false">IF($F1384="","",$F1384-IF($H1384="",0,$H1384))</f>
        <v/>
      </c>
      <c r="J1384" s="16" t="str">
        <f aca="true">IF(OR($A1384="",$I1384="",$I1384&lt;=0),"",TODAY()-$A1384)</f>
        <v/>
      </c>
      <c r="K1384" s="10"/>
    </row>
    <row r="1385" customFormat="false" ht="15" hidden="false" customHeight="true" outlineLevel="0" collapsed="false">
      <c r="A1385" s="13"/>
      <c r="B1385" s="10"/>
      <c r="C1385" s="10"/>
      <c r="D1385" s="14"/>
      <c r="E1385" s="11"/>
      <c r="F1385" s="15" t="str">
        <f aca="false">IF($B1385="","",IF(AND($D1385="",$E1385=""),"",IF(OR($D1385="",$E1385=""),0,ROUND($D1385*$E1385,0))))</f>
        <v/>
      </c>
      <c r="G1385" s="13"/>
      <c r="H1385" s="11"/>
      <c r="I1385" s="15" t="str">
        <f aca="false">IF($F1385="","",$F1385-IF($H1385="",0,$H1385))</f>
        <v/>
      </c>
      <c r="J1385" s="16" t="str">
        <f aca="true">IF(OR($A1385="",$I1385="",$I1385&lt;=0),"",TODAY()-$A1385)</f>
        <v/>
      </c>
      <c r="K1385" s="10"/>
    </row>
    <row r="1386" customFormat="false" ht="15" hidden="false" customHeight="true" outlineLevel="0" collapsed="false">
      <c r="A1386" s="13"/>
      <c r="B1386" s="10"/>
      <c r="C1386" s="10"/>
      <c r="D1386" s="14"/>
      <c r="E1386" s="11"/>
      <c r="F1386" s="15" t="str">
        <f aca="false">IF($B1386="","",IF(AND($D1386="",$E1386=""),"",IF(OR($D1386="",$E1386=""),0,ROUND($D1386*$E1386,0))))</f>
        <v/>
      </c>
      <c r="G1386" s="13"/>
      <c r="H1386" s="11"/>
      <c r="I1386" s="15" t="str">
        <f aca="false">IF($F1386="","",$F1386-IF($H1386="",0,$H1386))</f>
        <v/>
      </c>
      <c r="J1386" s="16" t="str">
        <f aca="true">IF(OR($A1386="",$I1386="",$I1386&lt;=0),"",TODAY()-$A1386)</f>
        <v/>
      </c>
      <c r="K1386" s="10"/>
    </row>
    <row r="1387" customFormat="false" ht="15" hidden="false" customHeight="true" outlineLevel="0" collapsed="false">
      <c r="A1387" s="13"/>
      <c r="B1387" s="10"/>
      <c r="C1387" s="10"/>
      <c r="D1387" s="14"/>
      <c r="E1387" s="11"/>
      <c r="F1387" s="15" t="str">
        <f aca="false">IF($B1387="","",IF(AND($D1387="",$E1387=""),"",IF(OR($D1387="",$E1387=""),0,ROUND($D1387*$E1387,0))))</f>
        <v/>
      </c>
      <c r="G1387" s="13"/>
      <c r="H1387" s="11"/>
      <c r="I1387" s="15" t="str">
        <f aca="false">IF($F1387="","",$F1387-IF($H1387="",0,$H1387))</f>
        <v/>
      </c>
      <c r="J1387" s="16" t="str">
        <f aca="true">IF(OR($A1387="",$I1387="",$I1387&lt;=0),"",TODAY()-$A1387)</f>
        <v/>
      </c>
      <c r="K1387" s="10"/>
    </row>
    <row r="1388" customFormat="false" ht="15" hidden="false" customHeight="true" outlineLevel="0" collapsed="false">
      <c r="A1388" s="13"/>
      <c r="B1388" s="10"/>
      <c r="C1388" s="10"/>
      <c r="D1388" s="14"/>
      <c r="E1388" s="11"/>
      <c r="F1388" s="15" t="str">
        <f aca="false">IF($B1388="","",IF(AND($D1388="",$E1388=""),"",IF(OR($D1388="",$E1388=""),0,ROUND($D1388*$E1388,0))))</f>
        <v/>
      </c>
      <c r="G1388" s="13"/>
      <c r="H1388" s="11"/>
      <c r="I1388" s="15" t="str">
        <f aca="false">IF($F1388="","",$F1388-IF($H1388="",0,$H1388))</f>
        <v/>
      </c>
      <c r="J1388" s="16" t="str">
        <f aca="true">IF(OR($A1388="",$I1388="",$I1388&lt;=0),"",TODAY()-$A1388)</f>
        <v/>
      </c>
      <c r="K1388" s="10"/>
    </row>
    <row r="1389" customFormat="false" ht="15" hidden="false" customHeight="true" outlineLevel="0" collapsed="false">
      <c r="A1389" s="13"/>
      <c r="B1389" s="10"/>
      <c r="C1389" s="10"/>
      <c r="D1389" s="14"/>
      <c r="E1389" s="11"/>
      <c r="F1389" s="15" t="str">
        <f aca="false">IF($B1389="","",IF(AND($D1389="",$E1389=""),"",IF(OR($D1389="",$E1389=""),0,ROUND($D1389*$E1389,0))))</f>
        <v/>
      </c>
      <c r="G1389" s="13"/>
      <c r="H1389" s="11"/>
      <c r="I1389" s="15" t="str">
        <f aca="false">IF($F1389="","",$F1389-IF($H1389="",0,$H1389))</f>
        <v/>
      </c>
      <c r="J1389" s="16" t="str">
        <f aca="true">IF(OR($A1389="",$I1389="",$I1389&lt;=0),"",TODAY()-$A1389)</f>
        <v/>
      </c>
      <c r="K1389" s="10"/>
    </row>
    <row r="1390" customFormat="false" ht="15" hidden="false" customHeight="true" outlineLevel="0" collapsed="false">
      <c r="A1390" s="13"/>
      <c r="B1390" s="10"/>
      <c r="C1390" s="10"/>
      <c r="D1390" s="14"/>
      <c r="E1390" s="11"/>
      <c r="F1390" s="15" t="str">
        <f aca="false">IF($B1390="","",IF(AND($D1390="",$E1390=""),"",IF(OR($D1390="",$E1390=""),0,ROUND($D1390*$E1390,0))))</f>
        <v/>
      </c>
      <c r="G1390" s="13"/>
      <c r="H1390" s="11"/>
      <c r="I1390" s="15" t="str">
        <f aca="false">IF($F1390="","",$F1390-IF($H1390="",0,$H1390))</f>
        <v/>
      </c>
      <c r="J1390" s="16" t="str">
        <f aca="true">IF(OR($A1390="",$I1390="",$I1390&lt;=0),"",TODAY()-$A1390)</f>
        <v/>
      </c>
      <c r="K1390" s="10"/>
    </row>
    <row r="1391" customFormat="false" ht="15" hidden="false" customHeight="true" outlineLevel="0" collapsed="false">
      <c r="A1391" s="13"/>
      <c r="B1391" s="10"/>
      <c r="C1391" s="10"/>
      <c r="D1391" s="14"/>
      <c r="E1391" s="11"/>
      <c r="F1391" s="15" t="str">
        <f aca="false">IF($B1391="","",IF(AND($D1391="",$E1391=""),"",IF(OR($D1391="",$E1391=""),0,ROUND($D1391*$E1391,0))))</f>
        <v/>
      </c>
      <c r="G1391" s="13"/>
      <c r="H1391" s="11"/>
      <c r="I1391" s="15" t="str">
        <f aca="false">IF($F1391="","",$F1391-IF($H1391="",0,$H1391))</f>
        <v/>
      </c>
      <c r="J1391" s="16" t="str">
        <f aca="true">IF(OR($A1391="",$I1391="",$I1391&lt;=0),"",TODAY()-$A1391)</f>
        <v/>
      </c>
      <c r="K1391" s="10"/>
    </row>
    <row r="1392" customFormat="false" ht="15" hidden="false" customHeight="true" outlineLevel="0" collapsed="false">
      <c r="A1392" s="13"/>
      <c r="B1392" s="10"/>
      <c r="C1392" s="10"/>
      <c r="D1392" s="14"/>
      <c r="E1392" s="11"/>
      <c r="F1392" s="15" t="str">
        <f aca="false">IF($B1392="","",IF(AND($D1392="",$E1392=""),"",IF(OR($D1392="",$E1392=""),0,ROUND($D1392*$E1392,0))))</f>
        <v/>
      </c>
      <c r="G1392" s="13"/>
      <c r="H1392" s="11"/>
      <c r="I1392" s="15" t="str">
        <f aca="false">IF($F1392="","",$F1392-IF($H1392="",0,$H1392))</f>
        <v/>
      </c>
      <c r="J1392" s="16" t="str">
        <f aca="true">IF(OR($A1392="",$I1392="",$I1392&lt;=0),"",TODAY()-$A1392)</f>
        <v/>
      </c>
      <c r="K1392" s="10"/>
    </row>
    <row r="1393" customFormat="false" ht="15" hidden="false" customHeight="true" outlineLevel="0" collapsed="false">
      <c r="A1393" s="13"/>
      <c r="B1393" s="10"/>
      <c r="C1393" s="10"/>
      <c r="D1393" s="14"/>
      <c r="E1393" s="11"/>
      <c r="F1393" s="15" t="str">
        <f aca="false">IF($B1393="","",IF(AND($D1393="",$E1393=""),"",IF(OR($D1393="",$E1393=""),0,ROUND($D1393*$E1393,0))))</f>
        <v/>
      </c>
      <c r="G1393" s="13"/>
      <c r="H1393" s="11"/>
      <c r="I1393" s="15" t="str">
        <f aca="false">IF($F1393="","",$F1393-IF($H1393="",0,$H1393))</f>
        <v/>
      </c>
      <c r="J1393" s="16" t="str">
        <f aca="true">IF(OR($A1393="",$I1393="",$I1393&lt;=0),"",TODAY()-$A1393)</f>
        <v/>
      </c>
      <c r="K1393" s="10"/>
    </row>
    <row r="1394" customFormat="false" ht="15" hidden="false" customHeight="true" outlineLevel="0" collapsed="false">
      <c r="A1394" s="13"/>
      <c r="B1394" s="10"/>
      <c r="C1394" s="10"/>
      <c r="D1394" s="14"/>
      <c r="E1394" s="11"/>
      <c r="F1394" s="15" t="str">
        <f aca="false">IF($B1394="","",IF(AND($D1394="",$E1394=""),"",IF(OR($D1394="",$E1394=""),0,ROUND($D1394*$E1394,0))))</f>
        <v/>
      </c>
      <c r="G1394" s="13"/>
      <c r="H1394" s="11"/>
      <c r="I1394" s="15" t="str">
        <f aca="false">IF($F1394="","",$F1394-IF($H1394="",0,$H1394))</f>
        <v/>
      </c>
      <c r="J1394" s="16" t="str">
        <f aca="true">IF(OR($A1394="",$I1394="",$I1394&lt;=0),"",TODAY()-$A1394)</f>
        <v/>
      </c>
      <c r="K1394" s="10"/>
    </row>
    <row r="1395" customFormat="false" ht="15" hidden="false" customHeight="true" outlineLevel="0" collapsed="false">
      <c r="A1395" s="13"/>
      <c r="B1395" s="10"/>
      <c r="C1395" s="10"/>
      <c r="D1395" s="14"/>
      <c r="E1395" s="11"/>
      <c r="F1395" s="15" t="str">
        <f aca="false">IF($B1395="","",IF(AND($D1395="",$E1395=""),"",IF(OR($D1395="",$E1395=""),0,ROUND($D1395*$E1395,0))))</f>
        <v/>
      </c>
      <c r="G1395" s="13"/>
      <c r="H1395" s="11"/>
      <c r="I1395" s="15" t="str">
        <f aca="false">IF($F1395="","",$F1395-IF($H1395="",0,$H1395))</f>
        <v/>
      </c>
      <c r="J1395" s="16" t="str">
        <f aca="true">IF(OR($A1395="",$I1395="",$I1395&lt;=0),"",TODAY()-$A1395)</f>
        <v/>
      </c>
      <c r="K1395" s="10"/>
    </row>
    <row r="1396" customFormat="false" ht="15" hidden="false" customHeight="true" outlineLevel="0" collapsed="false">
      <c r="A1396" s="13"/>
      <c r="B1396" s="10"/>
      <c r="C1396" s="10"/>
      <c r="D1396" s="14"/>
      <c r="E1396" s="11"/>
      <c r="F1396" s="15" t="str">
        <f aca="false">IF($B1396="","",IF(AND($D1396="",$E1396=""),"",IF(OR($D1396="",$E1396=""),0,ROUND($D1396*$E1396,0))))</f>
        <v/>
      </c>
      <c r="G1396" s="13"/>
      <c r="H1396" s="11"/>
      <c r="I1396" s="15" t="str">
        <f aca="false">IF($F1396="","",$F1396-IF($H1396="",0,$H1396))</f>
        <v/>
      </c>
      <c r="J1396" s="16" t="str">
        <f aca="true">IF(OR($A1396="",$I1396="",$I1396&lt;=0),"",TODAY()-$A1396)</f>
        <v/>
      </c>
      <c r="K1396" s="10"/>
    </row>
    <row r="1397" customFormat="false" ht="15" hidden="false" customHeight="true" outlineLevel="0" collapsed="false">
      <c r="A1397" s="13"/>
      <c r="B1397" s="10"/>
      <c r="C1397" s="10"/>
      <c r="D1397" s="14"/>
      <c r="E1397" s="11"/>
      <c r="F1397" s="15" t="str">
        <f aca="false">IF($B1397="","",IF(AND($D1397="",$E1397=""),"",IF(OR($D1397="",$E1397=""),0,ROUND($D1397*$E1397,0))))</f>
        <v/>
      </c>
      <c r="G1397" s="13"/>
      <c r="H1397" s="11"/>
      <c r="I1397" s="15" t="str">
        <f aca="false">IF($F1397="","",$F1397-IF($H1397="",0,$H1397))</f>
        <v/>
      </c>
      <c r="J1397" s="16" t="str">
        <f aca="true">IF(OR($A1397="",$I1397="",$I1397&lt;=0),"",TODAY()-$A1397)</f>
        <v/>
      </c>
      <c r="K1397" s="10"/>
    </row>
    <row r="1398" customFormat="false" ht="15" hidden="false" customHeight="true" outlineLevel="0" collapsed="false">
      <c r="A1398" s="13"/>
      <c r="B1398" s="10"/>
      <c r="C1398" s="10"/>
      <c r="D1398" s="14"/>
      <c r="E1398" s="11"/>
      <c r="F1398" s="15" t="str">
        <f aca="false">IF($B1398="","",IF(AND($D1398="",$E1398=""),"",IF(OR($D1398="",$E1398=""),0,ROUND($D1398*$E1398,0))))</f>
        <v/>
      </c>
      <c r="G1398" s="13"/>
      <c r="H1398" s="11"/>
      <c r="I1398" s="15" t="str">
        <f aca="false">IF($F1398="","",$F1398-IF($H1398="",0,$H1398))</f>
        <v/>
      </c>
      <c r="J1398" s="16" t="str">
        <f aca="true">IF(OR($A1398="",$I1398="",$I1398&lt;=0),"",TODAY()-$A1398)</f>
        <v/>
      </c>
      <c r="K1398" s="10"/>
    </row>
    <row r="1399" customFormat="false" ht="15" hidden="false" customHeight="true" outlineLevel="0" collapsed="false">
      <c r="A1399" s="13"/>
      <c r="B1399" s="10"/>
      <c r="C1399" s="10"/>
      <c r="D1399" s="14"/>
      <c r="E1399" s="11"/>
      <c r="F1399" s="15" t="str">
        <f aca="false">IF($B1399="","",IF(AND($D1399="",$E1399=""),"",IF(OR($D1399="",$E1399=""),0,ROUND($D1399*$E1399,0))))</f>
        <v/>
      </c>
      <c r="G1399" s="13"/>
      <c r="H1399" s="11"/>
      <c r="I1399" s="15" t="str">
        <f aca="false">IF($F1399="","",$F1399-IF($H1399="",0,$H1399))</f>
        <v/>
      </c>
      <c r="J1399" s="16" t="str">
        <f aca="true">IF(OR($A1399="",$I1399="",$I1399&lt;=0),"",TODAY()-$A1399)</f>
        <v/>
      </c>
      <c r="K1399" s="10"/>
    </row>
    <row r="1400" customFormat="false" ht="15" hidden="false" customHeight="true" outlineLevel="0" collapsed="false">
      <c r="A1400" s="13"/>
      <c r="B1400" s="10"/>
      <c r="C1400" s="10"/>
      <c r="D1400" s="14"/>
      <c r="E1400" s="11"/>
      <c r="F1400" s="15" t="str">
        <f aca="false">IF($B1400="","",IF(AND($D1400="",$E1400=""),"",IF(OR($D1400="",$E1400=""),0,ROUND($D1400*$E1400,0))))</f>
        <v/>
      </c>
      <c r="G1400" s="13"/>
      <c r="H1400" s="11"/>
      <c r="I1400" s="15" t="str">
        <f aca="false">IF($F1400="","",$F1400-IF($H1400="",0,$H1400))</f>
        <v/>
      </c>
      <c r="J1400" s="16" t="str">
        <f aca="true">IF(OR($A1400="",$I1400="",$I1400&lt;=0),"",TODAY()-$A1400)</f>
        <v/>
      </c>
      <c r="K1400" s="10"/>
    </row>
    <row r="1401" customFormat="false" ht="15" hidden="false" customHeight="true" outlineLevel="0" collapsed="false">
      <c r="A1401" s="13"/>
      <c r="B1401" s="10"/>
      <c r="C1401" s="10"/>
      <c r="D1401" s="14"/>
      <c r="E1401" s="11"/>
      <c r="F1401" s="15" t="str">
        <f aca="false">IF($B1401="","",IF(AND($D1401="",$E1401=""),"",IF(OR($D1401="",$E1401=""),0,ROUND($D1401*$E1401,0))))</f>
        <v/>
      </c>
      <c r="G1401" s="13"/>
      <c r="H1401" s="11"/>
      <c r="I1401" s="15" t="str">
        <f aca="false">IF($F1401="","",$F1401-IF($H1401="",0,$H1401))</f>
        <v/>
      </c>
      <c r="J1401" s="16" t="str">
        <f aca="true">IF(OR($A1401="",$I1401="",$I1401&lt;=0),"",TODAY()-$A1401)</f>
        <v/>
      </c>
      <c r="K1401" s="10"/>
    </row>
    <row r="1402" customFormat="false" ht="15" hidden="false" customHeight="true" outlineLevel="0" collapsed="false">
      <c r="A1402" s="13"/>
      <c r="B1402" s="10"/>
      <c r="C1402" s="10"/>
      <c r="D1402" s="14"/>
      <c r="E1402" s="11"/>
      <c r="F1402" s="15" t="str">
        <f aca="false">IF($B1402="","",IF(AND($D1402="",$E1402=""),"",IF(OR($D1402="",$E1402=""),0,ROUND($D1402*$E1402,0))))</f>
        <v/>
      </c>
      <c r="G1402" s="13"/>
      <c r="H1402" s="11"/>
      <c r="I1402" s="15" t="str">
        <f aca="false">IF($F1402="","",$F1402-IF($H1402="",0,$H1402))</f>
        <v/>
      </c>
      <c r="J1402" s="16" t="str">
        <f aca="true">IF(OR($A1402="",$I1402="",$I1402&lt;=0),"",TODAY()-$A1402)</f>
        <v/>
      </c>
      <c r="K1402" s="10"/>
    </row>
    <row r="1403" customFormat="false" ht="15" hidden="false" customHeight="true" outlineLevel="0" collapsed="false">
      <c r="A1403" s="13"/>
      <c r="B1403" s="10"/>
      <c r="C1403" s="10"/>
      <c r="D1403" s="14"/>
      <c r="E1403" s="11"/>
      <c r="F1403" s="15" t="str">
        <f aca="false">IF($B1403="","",IF(AND($D1403="",$E1403=""),"",IF(OR($D1403="",$E1403=""),0,ROUND($D1403*$E1403,0))))</f>
        <v/>
      </c>
      <c r="G1403" s="13"/>
      <c r="H1403" s="11"/>
      <c r="I1403" s="15" t="str">
        <f aca="false">IF($F1403="","",$F1403-IF($H1403="",0,$H1403))</f>
        <v/>
      </c>
      <c r="J1403" s="16" t="str">
        <f aca="true">IF(OR($A1403="",$I1403="",$I1403&lt;=0),"",TODAY()-$A1403)</f>
        <v/>
      </c>
      <c r="K1403" s="10"/>
    </row>
    <row r="1404" customFormat="false" ht="15" hidden="false" customHeight="true" outlineLevel="0" collapsed="false">
      <c r="A1404" s="13"/>
      <c r="B1404" s="10"/>
      <c r="C1404" s="10"/>
      <c r="D1404" s="14"/>
      <c r="E1404" s="11"/>
      <c r="F1404" s="15" t="str">
        <f aca="false">IF($B1404="","",IF(AND($D1404="",$E1404=""),"",IF(OR($D1404="",$E1404=""),0,ROUND($D1404*$E1404,0))))</f>
        <v/>
      </c>
      <c r="G1404" s="13"/>
      <c r="H1404" s="11"/>
      <c r="I1404" s="15" t="str">
        <f aca="false">IF($F1404="","",$F1404-IF($H1404="",0,$H1404))</f>
        <v/>
      </c>
      <c r="J1404" s="16" t="str">
        <f aca="true">IF(OR($A1404="",$I1404="",$I1404&lt;=0),"",TODAY()-$A1404)</f>
        <v/>
      </c>
      <c r="K1404" s="10"/>
    </row>
    <row r="1405" customFormat="false" ht="15" hidden="false" customHeight="true" outlineLevel="0" collapsed="false">
      <c r="A1405" s="13"/>
      <c r="B1405" s="10"/>
      <c r="C1405" s="10"/>
      <c r="D1405" s="14"/>
      <c r="E1405" s="11"/>
      <c r="F1405" s="15" t="str">
        <f aca="false">IF($B1405="","",IF(AND($D1405="",$E1405=""),"",IF(OR($D1405="",$E1405=""),0,ROUND($D1405*$E1405,0))))</f>
        <v/>
      </c>
      <c r="G1405" s="13"/>
      <c r="H1405" s="11"/>
      <c r="I1405" s="15" t="str">
        <f aca="false">IF($F1405="","",$F1405-IF($H1405="",0,$H1405))</f>
        <v/>
      </c>
      <c r="J1405" s="16" t="str">
        <f aca="true">IF(OR($A1405="",$I1405="",$I1405&lt;=0),"",TODAY()-$A1405)</f>
        <v/>
      </c>
      <c r="K1405" s="10"/>
    </row>
    <row r="1406" customFormat="false" ht="15" hidden="false" customHeight="true" outlineLevel="0" collapsed="false">
      <c r="A1406" s="13"/>
      <c r="B1406" s="10"/>
      <c r="C1406" s="10"/>
      <c r="D1406" s="14"/>
      <c r="E1406" s="11"/>
      <c r="F1406" s="15" t="str">
        <f aca="false">IF($B1406="","",IF(AND($D1406="",$E1406=""),"",IF(OR($D1406="",$E1406=""),0,ROUND($D1406*$E1406,0))))</f>
        <v/>
      </c>
      <c r="G1406" s="13"/>
      <c r="H1406" s="11"/>
      <c r="I1406" s="15" t="str">
        <f aca="false">IF($F1406="","",$F1406-IF($H1406="",0,$H1406))</f>
        <v/>
      </c>
      <c r="J1406" s="16" t="str">
        <f aca="true">IF(OR($A1406="",$I1406="",$I1406&lt;=0),"",TODAY()-$A1406)</f>
        <v/>
      </c>
      <c r="K1406" s="10"/>
    </row>
    <row r="1407" customFormat="false" ht="15" hidden="false" customHeight="true" outlineLevel="0" collapsed="false">
      <c r="A1407" s="13"/>
      <c r="B1407" s="10"/>
      <c r="C1407" s="10"/>
      <c r="D1407" s="14"/>
      <c r="E1407" s="11"/>
      <c r="F1407" s="15" t="str">
        <f aca="false">IF($B1407="","",IF(AND($D1407="",$E1407=""),"",IF(OR($D1407="",$E1407=""),0,ROUND($D1407*$E1407,0))))</f>
        <v/>
      </c>
      <c r="G1407" s="13"/>
      <c r="H1407" s="11"/>
      <c r="I1407" s="15" t="str">
        <f aca="false">IF($F1407="","",$F1407-IF($H1407="",0,$H1407))</f>
        <v/>
      </c>
      <c r="J1407" s="16" t="str">
        <f aca="true">IF(OR($A1407="",$I1407="",$I1407&lt;=0),"",TODAY()-$A1407)</f>
        <v/>
      </c>
      <c r="K1407" s="10"/>
    </row>
    <row r="1408" customFormat="false" ht="15" hidden="false" customHeight="true" outlineLevel="0" collapsed="false">
      <c r="A1408" s="13"/>
      <c r="B1408" s="10"/>
      <c r="C1408" s="10"/>
      <c r="D1408" s="14"/>
      <c r="E1408" s="11"/>
      <c r="F1408" s="15" t="str">
        <f aca="false">IF($B1408="","",IF(AND($D1408="",$E1408=""),"",IF(OR($D1408="",$E1408=""),0,ROUND($D1408*$E1408,0))))</f>
        <v/>
      </c>
      <c r="G1408" s="13"/>
      <c r="H1408" s="11"/>
      <c r="I1408" s="15" t="str">
        <f aca="false">IF($F1408="","",$F1408-IF($H1408="",0,$H1408))</f>
        <v/>
      </c>
      <c r="J1408" s="16" t="str">
        <f aca="true">IF(OR($A1408="",$I1408="",$I1408&lt;=0),"",TODAY()-$A1408)</f>
        <v/>
      </c>
      <c r="K1408" s="10"/>
    </row>
    <row r="1409" customFormat="false" ht="15" hidden="false" customHeight="true" outlineLevel="0" collapsed="false">
      <c r="A1409" s="13"/>
      <c r="B1409" s="10"/>
      <c r="C1409" s="10"/>
      <c r="D1409" s="14"/>
      <c r="E1409" s="11"/>
      <c r="F1409" s="15" t="str">
        <f aca="false">IF($B1409="","",IF(AND($D1409="",$E1409=""),"",IF(OR($D1409="",$E1409=""),0,ROUND($D1409*$E1409,0))))</f>
        <v/>
      </c>
      <c r="G1409" s="13"/>
      <c r="H1409" s="11"/>
      <c r="I1409" s="15" t="str">
        <f aca="false">IF($F1409="","",$F1409-IF($H1409="",0,$H1409))</f>
        <v/>
      </c>
      <c r="J1409" s="16" t="str">
        <f aca="true">IF(OR($A1409="",$I1409="",$I1409&lt;=0),"",TODAY()-$A1409)</f>
        <v/>
      </c>
      <c r="K1409" s="10"/>
    </row>
    <row r="1410" customFormat="false" ht="15" hidden="false" customHeight="true" outlineLevel="0" collapsed="false">
      <c r="A1410" s="13"/>
      <c r="B1410" s="10"/>
      <c r="C1410" s="10"/>
      <c r="D1410" s="14"/>
      <c r="E1410" s="11"/>
      <c r="F1410" s="15" t="str">
        <f aca="false">IF($B1410="","",IF(AND($D1410="",$E1410=""),"",IF(OR($D1410="",$E1410=""),0,ROUND($D1410*$E1410,0))))</f>
        <v/>
      </c>
      <c r="G1410" s="13"/>
      <c r="H1410" s="11"/>
      <c r="I1410" s="15" t="str">
        <f aca="false">IF($F1410="","",$F1410-IF($H1410="",0,$H1410))</f>
        <v/>
      </c>
      <c r="J1410" s="16" t="str">
        <f aca="true">IF(OR($A1410="",$I1410="",$I1410&lt;=0),"",TODAY()-$A1410)</f>
        <v/>
      </c>
      <c r="K1410" s="10"/>
    </row>
    <row r="1411" customFormat="false" ht="15" hidden="false" customHeight="true" outlineLevel="0" collapsed="false">
      <c r="A1411" s="13"/>
      <c r="B1411" s="10"/>
      <c r="C1411" s="10"/>
      <c r="D1411" s="14"/>
      <c r="E1411" s="11"/>
      <c r="F1411" s="15" t="str">
        <f aca="false">IF($B1411="","",IF(AND($D1411="",$E1411=""),"",IF(OR($D1411="",$E1411=""),0,ROUND($D1411*$E1411,0))))</f>
        <v/>
      </c>
      <c r="G1411" s="13"/>
      <c r="H1411" s="11"/>
      <c r="I1411" s="15" t="str">
        <f aca="false">IF($F1411="","",$F1411-IF($H1411="",0,$H1411))</f>
        <v/>
      </c>
      <c r="J1411" s="16" t="str">
        <f aca="true">IF(OR($A1411="",$I1411="",$I1411&lt;=0),"",TODAY()-$A1411)</f>
        <v/>
      </c>
      <c r="K1411" s="10"/>
    </row>
    <row r="1412" customFormat="false" ht="15" hidden="false" customHeight="true" outlineLevel="0" collapsed="false">
      <c r="A1412" s="13"/>
      <c r="B1412" s="10"/>
      <c r="C1412" s="10"/>
      <c r="D1412" s="14"/>
      <c r="E1412" s="11"/>
      <c r="F1412" s="15" t="str">
        <f aca="false">IF($B1412="","",IF(AND($D1412="",$E1412=""),"",IF(OR($D1412="",$E1412=""),0,ROUND($D1412*$E1412,0))))</f>
        <v/>
      </c>
      <c r="G1412" s="13"/>
      <c r="H1412" s="11"/>
      <c r="I1412" s="15" t="str">
        <f aca="false">IF($F1412="","",$F1412-IF($H1412="",0,$H1412))</f>
        <v/>
      </c>
      <c r="J1412" s="16" t="str">
        <f aca="true">IF(OR($A1412="",$I1412="",$I1412&lt;=0),"",TODAY()-$A1412)</f>
        <v/>
      </c>
      <c r="K1412" s="10"/>
    </row>
    <row r="1413" customFormat="false" ht="15" hidden="false" customHeight="true" outlineLevel="0" collapsed="false">
      <c r="A1413" s="13"/>
      <c r="B1413" s="10"/>
      <c r="C1413" s="10"/>
      <c r="D1413" s="14"/>
      <c r="E1413" s="11"/>
      <c r="F1413" s="15" t="str">
        <f aca="false">IF($B1413="","",IF(AND($D1413="",$E1413=""),"",IF(OR($D1413="",$E1413=""),0,ROUND($D1413*$E1413,0))))</f>
        <v/>
      </c>
      <c r="G1413" s="13"/>
      <c r="H1413" s="11"/>
      <c r="I1413" s="15" t="str">
        <f aca="false">IF($F1413="","",$F1413-IF($H1413="",0,$H1413))</f>
        <v/>
      </c>
      <c r="J1413" s="16" t="str">
        <f aca="true">IF(OR($A1413="",$I1413="",$I1413&lt;=0),"",TODAY()-$A1413)</f>
        <v/>
      </c>
      <c r="K1413" s="10"/>
    </row>
    <row r="1414" customFormat="false" ht="15" hidden="false" customHeight="true" outlineLevel="0" collapsed="false">
      <c r="A1414" s="13"/>
      <c r="B1414" s="10"/>
      <c r="C1414" s="10"/>
      <c r="D1414" s="14"/>
      <c r="E1414" s="11"/>
      <c r="F1414" s="15" t="str">
        <f aca="false">IF($B1414="","",IF(AND($D1414="",$E1414=""),"",IF(OR($D1414="",$E1414=""),0,ROUND($D1414*$E1414,0))))</f>
        <v/>
      </c>
      <c r="G1414" s="13"/>
      <c r="H1414" s="11"/>
      <c r="I1414" s="15" t="str">
        <f aca="false">IF($F1414="","",$F1414-IF($H1414="",0,$H1414))</f>
        <v/>
      </c>
      <c r="J1414" s="16" t="str">
        <f aca="true">IF(OR($A1414="",$I1414="",$I1414&lt;=0),"",TODAY()-$A1414)</f>
        <v/>
      </c>
      <c r="K1414" s="10"/>
    </row>
    <row r="1415" customFormat="false" ht="15" hidden="false" customHeight="true" outlineLevel="0" collapsed="false">
      <c r="A1415" s="13"/>
      <c r="B1415" s="10"/>
      <c r="C1415" s="10"/>
      <c r="D1415" s="14"/>
      <c r="E1415" s="11"/>
      <c r="F1415" s="15" t="str">
        <f aca="false">IF($B1415="","",IF(AND($D1415="",$E1415=""),"",IF(OR($D1415="",$E1415=""),0,ROUND($D1415*$E1415,0))))</f>
        <v/>
      </c>
      <c r="G1415" s="13"/>
      <c r="H1415" s="11"/>
      <c r="I1415" s="15" t="str">
        <f aca="false">IF($F1415="","",$F1415-IF($H1415="",0,$H1415))</f>
        <v/>
      </c>
      <c r="J1415" s="16" t="str">
        <f aca="true">IF(OR($A1415="",$I1415="",$I1415&lt;=0),"",TODAY()-$A1415)</f>
        <v/>
      </c>
      <c r="K1415" s="10"/>
    </row>
    <row r="1416" customFormat="false" ht="15" hidden="false" customHeight="true" outlineLevel="0" collapsed="false">
      <c r="A1416" s="13"/>
      <c r="B1416" s="10"/>
      <c r="C1416" s="10"/>
      <c r="D1416" s="14"/>
      <c r="E1416" s="11"/>
      <c r="F1416" s="15" t="str">
        <f aca="false">IF($B1416="","",IF(AND($D1416="",$E1416=""),"",IF(OR($D1416="",$E1416=""),0,ROUND($D1416*$E1416,0))))</f>
        <v/>
      </c>
      <c r="G1416" s="13"/>
      <c r="H1416" s="11"/>
      <c r="I1416" s="15" t="str">
        <f aca="false">IF($F1416="","",$F1416-IF($H1416="",0,$H1416))</f>
        <v/>
      </c>
      <c r="J1416" s="16" t="str">
        <f aca="true">IF(OR($A1416="",$I1416="",$I1416&lt;=0),"",TODAY()-$A1416)</f>
        <v/>
      </c>
      <c r="K1416" s="10"/>
    </row>
    <row r="1417" customFormat="false" ht="15" hidden="false" customHeight="true" outlineLevel="0" collapsed="false">
      <c r="A1417" s="13"/>
      <c r="B1417" s="10"/>
      <c r="C1417" s="10"/>
      <c r="D1417" s="14"/>
      <c r="E1417" s="11"/>
      <c r="F1417" s="15" t="str">
        <f aca="false">IF($B1417="","",IF(AND($D1417="",$E1417=""),"",IF(OR($D1417="",$E1417=""),0,ROUND($D1417*$E1417,0))))</f>
        <v/>
      </c>
      <c r="G1417" s="13"/>
      <c r="H1417" s="11"/>
      <c r="I1417" s="15" t="str">
        <f aca="false">IF($F1417="","",$F1417-IF($H1417="",0,$H1417))</f>
        <v/>
      </c>
      <c r="J1417" s="16" t="str">
        <f aca="true">IF(OR($A1417="",$I1417="",$I1417&lt;=0),"",TODAY()-$A1417)</f>
        <v/>
      </c>
      <c r="K1417" s="10"/>
    </row>
    <row r="1418" customFormat="false" ht="15" hidden="false" customHeight="true" outlineLevel="0" collapsed="false">
      <c r="A1418" s="13"/>
      <c r="B1418" s="10"/>
      <c r="C1418" s="10"/>
      <c r="D1418" s="14"/>
      <c r="E1418" s="11"/>
      <c r="F1418" s="15" t="str">
        <f aca="false">IF($B1418="","",IF(AND($D1418="",$E1418=""),"",IF(OR($D1418="",$E1418=""),0,ROUND($D1418*$E1418,0))))</f>
        <v/>
      </c>
      <c r="G1418" s="13"/>
      <c r="H1418" s="11"/>
      <c r="I1418" s="15" t="str">
        <f aca="false">IF($F1418="","",$F1418-IF($H1418="",0,$H1418))</f>
        <v/>
      </c>
      <c r="J1418" s="16" t="str">
        <f aca="true">IF(OR($A1418="",$I1418="",$I1418&lt;=0),"",TODAY()-$A1418)</f>
        <v/>
      </c>
      <c r="K1418" s="10"/>
    </row>
    <row r="1419" customFormat="false" ht="15" hidden="false" customHeight="true" outlineLevel="0" collapsed="false">
      <c r="A1419" s="13"/>
      <c r="B1419" s="10"/>
      <c r="C1419" s="10"/>
      <c r="D1419" s="14"/>
      <c r="E1419" s="11"/>
      <c r="F1419" s="15" t="str">
        <f aca="false">IF($B1419="","",IF(AND($D1419="",$E1419=""),"",IF(OR($D1419="",$E1419=""),0,ROUND($D1419*$E1419,0))))</f>
        <v/>
      </c>
      <c r="G1419" s="13"/>
      <c r="H1419" s="11"/>
      <c r="I1419" s="15" t="str">
        <f aca="false">IF($F1419="","",$F1419-IF($H1419="",0,$H1419))</f>
        <v/>
      </c>
      <c r="J1419" s="16" t="str">
        <f aca="true">IF(OR($A1419="",$I1419="",$I1419&lt;=0),"",TODAY()-$A1419)</f>
        <v/>
      </c>
      <c r="K1419" s="10"/>
    </row>
    <row r="1420" customFormat="false" ht="15" hidden="false" customHeight="true" outlineLevel="0" collapsed="false">
      <c r="A1420" s="13"/>
      <c r="B1420" s="10"/>
      <c r="C1420" s="10"/>
      <c r="D1420" s="14"/>
      <c r="E1420" s="11"/>
      <c r="F1420" s="15" t="str">
        <f aca="false">IF($B1420="","",IF(AND($D1420="",$E1420=""),"",IF(OR($D1420="",$E1420=""),0,ROUND($D1420*$E1420,0))))</f>
        <v/>
      </c>
      <c r="G1420" s="13"/>
      <c r="H1420" s="11"/>
      <c r="I1420" s="15" t="str">
        <f aca="false">IF($F1420="","",$F1420-IF($H1420="",0,$H1420))</f>
        <v/>
      </c>
      <c r="J1420" s="16" t="str">
        <f aca="true">IF(OR($A1420="",$I1420="",$I1420&lt;=0),"",TODAY()-$A1420)</f>
        <v/>
      </c>
      <c r="K1420" s="10"/>
    </row>
    <row r="1421" customFormat="false" ht="15" hidden="false" customHeight="true" outlineLevel="0" collapsed="false">
      <c r="A1421" s="13"/>
      <c r="B1421" s="10"/>
      <c r="C1421" s="10"/>
      <c r="D1421" s="14"/>
      <c r="E1421" s="11"/>
      <c r="F1421" s="15" t="str">
        <f aca="false">IF($B1421="","",IF(AND($D1421="",$E1421=""),"",IF(OR($D1421="",$E1421=""),0,ROUND($D1421*$E1421,0))))</f>
        <v/>
      </c>
      <c r="G1421" s="13"/>
      <c r="H1421" s="11"/>
      <c r="I1421" s="15" t="str">
        <f aca="false">IF($F1421="","",$F1421-IF($H1421="",0,$H1421))</f>
        <v/>
      </c>
      <c r="J1421" s="16" t="str">
        <f aca="true">IF(OR($A1421="",$I1421="",$I1421&lt;=0),"",TODAY()-$A1421)</f>
        <v/>
      </c>
      <c r="K1421" s="10"/>
    </row>
    <row r="1422" customFormat="false" ht="15" hidden="false" customHeight="true" outlineLevel="0" collapsed="false">
      <c r="A1422" s="13"/>
      <c r="B1422" s="10"/>
      <c r="C1422" s="10"/>
      <c r="D1422" s="14"/>
      <c r="E1422" s="11"/>
      <c r="F1422" s="15" t="str">
        <f aca="false">IF($B1422="","",IF(AND($D1422="",$E1422=""),"",IF(OR($D1422="",$E1422=""),0,ROUND($D1422*$E1422,0))))</f>
        <v/>
      </c>
      <c r="G1422" s="13"/>
      <c r="H1422" s="11"/>
      <c r="I1422" s="15" t="str">
        <f aca="false">IF($F1422="","",$F1422-IF($H1422="",0,$H1422))</f>
        <v/>
      </c>
      <c r="J1422" s="16" t="str">
        <f aca="true">IF(OR($A1422="",$I1422="",$I1422&lt;=0),"",TODAY()-$A1422)</f>
        <v/>
      </c>
      <c r="K1422" s="10"/>
    </row>
    <row r="1423" customFormat="false" ht="15" hidden="false" customHeight="true" outlineLevel="0" collapsed="false">
      <c r="A1423" s="13"/>
      <c r="B1423" s="10"/>
      <c r="C1423" s="10"/>
      <c r="D1423" s="14"/>
      <c r="E1423" s="11"/>
      <c r="F1423" s="15" t="str">
        <f aca="false">IF($B1423="","",IF(AND($D1423="",$E1423=""),"",IF(OR($D1423="",$E1423=""),0,ROUND($D1423*$E1423,0))))</f>
        <v/>
      </c>
      <c r="G1423" s="13"/>
      <c r="H1423" s="11"/>
      <c r="I1423" s="15" t="str">
        <f aca="false">IF($F1423="","",$F1423-IF($H1423="",0,$H1423))</f>
        <v/>
      </c>
      <c r="J1423" s="16" t="str">
        <f aca="true">IF(OR($A1423="",$I1423="",$I1423&lt;=0),"",TODAY()-$A1423)</f>
        <v/>
      </c>
      <c r="K1423" s="10"/>
    </row>
    <row r="1424" customFormat="false" ht="15" hidden="false" customHeight="true" outlineLevel="0" collapsed="false">
      <c r="A1424" s="13"/>
      <c r="B1424" s="10"/>
      <c r="C1424" s="10"/>
      <c r="D1424" s="14"/>
      <c r="E1424" s="11"/>
      <c r="F1424" s="15" t="str">
        <f aca="false">IF($B1424="","",IF(AND($D1424="",$E1424=""),"",IF(OR($D1424="",$E1424=""),0,ROUND($D1424*$E1424,0))))</f>
        <v/>
      </c>
      <c r="G1424" s="13"/>
      <c r="H1424" s="11"/>
      <c r="I1424" s="15" t="str">
        <f aca="false">IF($F1424="","",$F1424-IF($H1424="",0,$H1424))</f>
        <v/>
      </c>
      <c r="J1424" s="16" t="str">
        <f aca="true">IF(OR($A1424="",$I1424="",$I1424&lt;=0),"",TODAY()-$A1424)</f>
        <v/>
      </c>
      <c r="K1424" s="10"/>
    </row>
    <row r="1425" customFormat="false" ht="15" hidden="false" customHeight="true" outlineLevel="0" collapsed="false">
      <c r="A1425" s="13"/>
      <c r="B1425" s="10"/>
      <c r="C1425" s="10"/>
      <c r="D1425" s="14"/>
      <c r="E1425" s="11"/>
      <c r="F1425" s="15" t="str">
        <f aca="false">IF($B1425="","",IF(AND($D1425="",$E1425=""),"",IF(OR($D1425="",$E1425=""),0,ROUND($D1425*$E1425,0))))</f>
        <v/>
      </c>
      <c r="G1425" s="13"/>
      <c r="H1425" s="11"/>
      <c r="I1425" s="15" t="str">
        <f aca="false">IF($F1425="","",$F1425-IF($H1425="",0,$H1425))</f>
        <v/>
      </c>
      <c r="J1425" s="16" t="str">
        <f aca="true">IF(OR($A1425="",$I1425="",$I1425&lt;=0),"",TODAY()-$A1425)</f>
        <v/>
      </c>
      <c r="K1425" s="10"/>
    </row>
    <row r="1426" customFormat="false" ht="15" hidden="false" customHeight="true" outlineLevel="0" collapsed="false">
      <c r="A1426" s="13"/>
      <c r="B1426" s="10"/>
      <c r="C1426" s="10"/>
      <c r="D1426" s="14"/>
      <c r="E1426" s="11"/>
      <c r="F1426" s="15" t="str">
        <f aca="false">IF($B1426="","",IF(AND($D1426="",$E1426=""),"",IF(OR($D1426="",$E1426=""),0,ROUND($D1426*$E1426,0))))</f>
        <v/>
      </c>
      <c r="G1426" s="13"/>
      <c r="H1426" s="11"/>
      <c r="I1426" s="15" t="str">
        <f aca="false">IF($F1426="","",$F1426-IF($H1426="",0,$H1426))</f>
        <v/>
      </c>
      <c r="J1426" s="16" t="str">
        <f aca="true">IF(OR($A1426="",$I1426="",$I1426&lt;=0),"",TODAY()-$A1426)</f>
        <v/>
      </c>
      <c r="K1426" s="10"/>
    </row>
    <row r="1427" customFormat="false" ht="15" hidden="false" customHeight="true" outlineLevel="0" collapsed="false">
      <c r="A1427" s="13"/>
      <c r="B1427" s="10"/>
      <c r="C1427" s="10"/>
      <c r="D1427" s="14"/>
      <c r="E1427" s="11"/>
      <c r="F1427" s="15" t="str">
        <f aca="false">IF($B1427="","",IF(AND($D1427="",$E1427=""),"",IF(OR($D1427="",$E1427=""),0,ROUND($D1427*$E1427,0))))</f>
        <v/>
      </c>
      <c r="G1427" s="13"/>
      <c r="H1427" s="11"/>
      <c r="I1427" s="15" t="str">
        <f aca="false">IF($F1427="","",$F1427-IF($H1427="",0,$H1427))</f>
        <v/>
      </c>
      <c r="J1427" s="16" t="str">
        <f aca="true">IF(OR($A1427="",$I1427="",$I1427&lt;=0),"",TODAY()-$A1427)</f>
        <v/>
      </c>
      <c r="K1427" s="10"/>
    </row>
    <row r="1428" customFormat="false" ht="15" hidden="false" customHeight="true" outlineLevel="0" collapsed="false">
      <c r="A1428" s="13"/>
      <c r="B1428" s="10"/>
      <c r="C1428" s="10"/>
      <c r="D1428" s="14"/>
      <c r="E1428" s="11"/>
      <c r="F1428" s="15" t="str">
        <f aca="false">IF($B1428="","",IF(AND($D1428="",$E1428=""),"",IF(OR($D1428="",$E1428=""),0,ROUND($D1428*$E1428,0))))</f>
        <v/>
      </c>
      <c r="G1428" s="13"/>
      <c r="H1428" s="11"/>
      <c r="I1428" s="15" t="str">
        <f aca="false">IF($F1428="","",$F1428-IF($H1428="",0,$H1428))</f>
        <v/>
      </c>
      <c r="J1428" s="16" t="str">
        <f aca="true">IF(OR($A1428="",$I1428="",$I1428&lt;=0),"",TODAY()-$A1428)</f>
        <v/>
      </c>
      <c r="K1428" s="10"/>
    </row>
    <row r="1429" customFormat="false" ht="15" hidden="false" customHeight="true" outlineLevel="0" collapsed="false">
      <c r="A1429" s="13"/>
      <c r="B1429" s="10"/>
      <c r="C1429" s="10"/>
      <c r="D1429" s="14"/>
      <c r="E1429" s="11"/>
      <c r="F1429" s="15" t="str">
        <f aca="false">IF($B1429="","",IF(AND($D1429="",$E1429=""),"",IF(OR($D1429="",$E1429=""),0,ROUND($D1429*$E1429,0))))</f>
        <v/>
      </c>
      <c r="G1429" s="13"/>
      <c r="H1429" s="11"/>
      <c r="I1429" s="15" t="str">
        <f aca="false">IF($F1429="","",$F1429-IF($H1429="",0,$H1429))</f>
        <v/>
      </c>
      <c r="J1429" s="16" t="str">
        <f aca="true">IF(OR($A1429="",$I1429="",$I1429&lt;=0),"",TODAY()-$A1429)</f>
        <v/>
      </c>
      <c r="K1429" s="10"/>
    </row>
    <row r="1430" customFormat="false" ht="15" hidden="false" customHeight="true" outlineLevel="0" collapsed="false">
      <c r="A1430" s="13"/>
      <c r="B1430" s="10"/>
      <c r="C1430" s="10"/>
      <c r="D1430" s="14"/>
      <c r="E1430" s="11"/>
      <c r="F1430" s="15" t="str">
        <f aca="false">IF($B1430="","",IF(AND($D1430="",$E1430=""),"",IF(OR($D1430="",$E1430=""),0,ROUND($D1430*$E1430,0))))</f>
        <v/>
      </c>
      <c r="G1430" s="13"/>
      <c r="H1430" s="11"/>
      <c r="I1430" s="15" t="str">
        <f aca="false">IF($F1430="","",$F1430-IF($H1430="",0,$H1430))</f>
        <v/>
      </c>
      <c r="J1430" s="16" t="str">
        <f aca="true">IF(OR($A1430="",$I1430="",$I1430&lt;=0),"",TODAY()-$A1430)</f>
        <v/>
      </c>
      <c r="K1430" s="10"/>
    </row>
    <row r="1431" customFormat="false" ht="15" hidden="false" customHeight="true" outlineLevel="0" collapsed="false">
      <c r="A1431" s="13"/>
      <c r="B1431" s="10"/>
      <c r="C1431" s="10"/>
      <c r="D1431" s="14"/>
      <c r="E1431" s="11"/>
      <c r="F1431" s="15" t="str">
        <f aca="false">IF($B1431="","",IF(AND($D1431="",$E1431=""),"",IF(OR($D1431="",$E1431=""),0,ROUND($D1431*$E1431,0))))</f>
        <v/>
      </c>
      <c r="G1431" s="13"/>
      <c r="H1431" s="11"/>
      <c r="I1431" s="15" t="str">
        <f aca="false">IF($F1431="","",$F1431-IF($H1431="",0,$H1431))</f>
        <v/>
      </c>
      <c r="J1431" s="16" t="str">
        <f aca="true">IF(OR($A1431="",$I1431="",$I1431&lt;=0),"",TODAY()-$A1431)</f>
        <v/>
      </c>
      <c r="K1431" s="10"/>
    </row>
    <row r="1432" customFormat="false" ht="15" hidden="false" customHeight="true" outlineLevel="0" collapsed="false">
      <c r="A1432" s="13"/>
      <c r="B1432" s="10"/>
      <c r="C1432" s="10"/>
      <c r="D1432" s="14"/>
      <c r="E1432" s="11"/>
      <c r="F1432" s="15" t="str">
        <f aca="false">IF($B1432="","",IF(AND($D1432="",$E1432=""),"",IF(OR($D1432="",$E1432=""),0,ROUND($D1432*$E1432,0))))</f>
        <v/>
      </c>
      <c r="G1432" s="13"/>
      <c r="H1432" s="11"/>
      <c r="I1432" s="15" t="str">
        <f aca="false">IF($F1432="","",$F1432-IF($H1432="",0,$H1432))</f>
        <v/>
      </c>
      <c r="J1432" s="16" t="str">
        <f aca="true">IF(OR($A1432="",$I1432="",$I1432&lt;=0),"",TODAY()-$A1432)</f>
        <v/>
      </c>
      <c r="K1432" s="10"/>
    </row>
    <row r="1433" customFormat="false" ht="15" hidden="false" customHeight="true" outlineLevel="0" collapsed="false">
      <c r="A1433" s="13"/>
      <c r="B1433" s="10"/>
      <c r="C1433" s="10"/>
      <c r="D1433" s="14"/>
      <c r="E1433" s="11"/>
      <c r="F1433" s="15" t="str">
        <f aca="false">IF($B1433="","",IF(AND($D1433="",$E1433=""),"",IF(OR($D1433="",$E1433=""),0,ROUND($D1433*$E1433,0))))</f>
        <v/>
      </c>
      <c r="G1433" s="13"/>
      <c r="H1433" s="11"/>
      <c r="I1433" s="15" t="str">
        <f aca="false">IF($F1433="","",$F1433-IF($H1433="",0,$H1433))</f>
        <v/>
      </c>
      <c r="J1433" s="16" t="str">
        <f aca="true">IF(OR($A1433="",$I1433="",$I1433&lt;=0),"",TODAY()-$A1433)</f>
        <v/>
      </c>
      <c r="K1433" s="10"/>
    </row>
    <row r="1434" customFormat="false" ht="15" hidden="false" customHeight="true" outlineLevel="0" collapsed="false">
      <c r="A1434" s="13"/>
      <c r="B1434" s="10"/>
      <c r="C1434" s="10"/>
      <c r="D1434" s="14"/>
      <c r="E1434" s="11"/>
      <c r="F1434" s="15" t="str">
        <f aca="false">IF($B1434="","",IF(AND($D1434="",$E1434=""),"",IF(OR($D1434="",$E1434=""),0,ROUND($D1434*$E1434,0))))</f>
        <v/>
      </c>
      <c r="G1434" s="13"/>
      <c r="H1434" s="11"/>
      <c r="I1434" s="15" t="str">
        <f aca="false">IF($F1434="","",$F1434-IF($H1434="",0,$H1434))</f>
        <v/>
      </c>
      <c r="J1434" s="16" t="str">
        <f aca="true">IF(OR($A1434="",$I1434="",$I1434&lt;=0),"",TODAY()-$A1434)</f>
        <v/>
      </c>
      <c r="K1434" s="10"/>
    </row>
    <row r="1435" customFormat="false" ht="15" hidden="false" customHeight="true" outlineLevel="0" collapsed="false">
      <c r="A1435" s="13"/>
      <c r="B1435" s="10"/>
      <c r="C1435" s="10"/>
      <c r="D1435" s="14"/>
      <c r="E1435" s="11"/>
      <c r="F1435" s="15" t="str">
        <f aca="false">IF($B1435="","",IF(AND($D1435="",$E1435=""),"",IF(OR($D1435="",$E1435=""),0,ROUND($D1435*$E1435,0))))</f>
        <v/>
      </c>
      <c r="G1435" s="13"/>
      <c r="H1435" s="11"/>
      <c r="I1435" s="15" t="str">
        <f aca="false">IF($F1435="","",$F1435-IF($H1435="",0,$H1435))</f>
        <v/>
      </c>
      <c r="J1435" s="16" t="str">
        <f aca="true">IF(OR($A1435="",$I1435="",$I1435&lt;=0),"",TODAY()-$A1435)</f>
        <v/>
      </c>
      <c r="K1435" s="10"/>
    </row>
    <row r="1436" customFormat="false" ht="15" hidden="false" customHeight="true" outlineLevel="0" collapsed="false">
      <c r="A1436" s="13"/>
      <c r="B1436" s="10"/>
      <c r="C1436" s="10"/>
      <c r="D1436" s="14"/>
      <c r="E1436" s="11"/>
      <c r="F1436" s="15" t="str">
        <f aca="false">IF($B1436="","",IF(AND($D1436="",$E1436=""),"",IF(OR($D1436="",$E1436=""),0,ROUND($D1436*$E1436,0))))</f>
        <v/>
      </c>
      <c r="G1436" s="13"/>
      <c r="H1436" s="11"/>
      <c r="I1436" s="15" t="str">
        <f aca="false">IF($F1436="","",$F1436-IF($H1436="",0,$H1436))</f>
        <v/>
      </c>
      <c r="J1436" s="16" t="str">
        <f aca="true">IF(OR($A1436="",$I1436="",$I1436&lt;=0),"",TODAY()-$A1436)</f>
        <v/>
      </c>
      <c r="K1436" s="10"/>
    </row>
    <row r="1437" customFormat="false" ht="15" hidden="false" customHeight="true" outlineLevel="0" collapsed="false">
      <c r="A1437" s="13"/>
      <c r="B1437" s="10"/>
      <c r="C1437" s="10"/>
      <c r="D1437" s="14"/>
      <c r="E1437" s="11"/>
      <c r="F1437" s="15" t="str">
        <f aca="false">IF($B1437="","",IF(AND($D1437="",$E1437=""),"",IF(OR($D1437="",$E1437=""),0,ROUND($D1437*$E1437,0))))</f>
        <v/>
      </c>
      <c r="G1437" s="13"/>
      <c r="H1437" s="11"/>
      <c r="I1437" s="15" t="str">
        <f aca="false">IF($F1437="","",$F1437-IF($H1437="",0,$H1437))</f>
        <v/>
      </c>
      <c r="J1437" s="16" t="str">
        <f aca="true">IF(OR($A1437="",$I1437="",$I1437&lt;=0),"",TODAY()-$A1437)</f>
        <v/>
      </c>
      <c r="K1437" s="10"/>
    </row>
    <row r="1438" customFormat="false" ht="15" hidden="false" customHeight="true" outlineLevel="0" collapsed="false">
      <c r="A1438" s="13"/>
      <c r="B1438" s="10"/>
      <c r="C1438" s="10"/>
      <c r="D1438" s="14"/>
      <c r="E1438" s="11"/>
      <c r="F1438" s="15" t="str">
        <f aca="false">IF($B1438="","",IF(AND($D1438="",$E1438=""),"",IF(OR($D1438="",$E1438=""),0,ROUND($D1438*$E1438,0))))</f>
        <v/>
      </c>
      <c r="G1438" s="13"/>
      <c r="H1438" s="11"/>
      <c r="I1438" s="15" t="str">
        <f aca="false">IF($F1438="","",$F1438-IF($H1438="",0,$H1438))</f>
        <v/>
      </c>
      <c r="J1438" s="16" t="str">
        <f aca="true">IF(OR($A1438="",$I1438="",$I1438&lt;=0),"",TODAY()-$A1438)</f>
        <v/>
      </c>
      <c r="K1438" s="10"/>
    </row>
    <row r="1439" customFormat="false" ht="15" hidden="false" customHeight="true" outlineLevel="0" collapsed="false">
      <c r="A1439" s="13"/>
      <c r="B1439" s="10"/>
      <c r="C1439" s="10"/>
      <c r="D1439" s="14"/>
      <c r="E1439" s="11"/>
      <c r="F1439" s="15" t="str">
        <f aca="false">IF($B1439="","",IF(AND($D1439="",$E1439=""),"",IF(OR($D1439="",$E1439=""),0,ROUND($D1439*$E1439,0))))</f>
        <v/>
      </c>
      <c r="G1439" s="13"/>
      <c r="H1439" s="11"/>
      <c r="I1439" s="15" t="str">
        <f aca="false">IF($F1439="","",$F1439-IF($H1439="",0,$H1439))</f>
        <v/>
      </c>
      <c r="J1439" s="16" t="str">
        <f aca="true">IF(OR($A1439="",$I1439="",$I1439&lt;=0),"",TODAY()-$A1439)</f>
        <v/>
      </c>
      <c r="K1439" s="10"/>
    </row>
    <row r="1440" customFormat="false" ht="15" hidden="false" customHeight="true" outlineLevel="0" collapsed="false">
      <c r="A1440" s="13"/>
      <c r="B1440" s="10"/>
      <c r="C1440" s="10"/>
      <c r="D1440" s="14"/>
      <c r="E1440" s="11"/>
      <c r="F1440" s="15" t="str">
        <f aca="false">IF($B1440="","",IF(AND($D1440="",$E1440=""),"",IF(OR($D1440="",$E1440=""),0,ROUND($D1440*$E1440,0))))</f>
        <v/>
      </c>
      <c r="G1440" s="13"/>
      <c r="H1440" s="11"/>
      <c r="I1440" s="15" t="str">
        <f aca="false">IF($F1440="","",$F1440-IF($H1440="",0,$H1440))</f>
        <v/>
      </c>
      <c r="J1440" s="16" t="str">
        <f aca="true">IF(OR($A1440="",$I1440="",$I1440&lt;=0),"",TODAY()-$A1440)</f>
        <v/>
      </c>
      <c r="K1440" s="10"/>
    </row>
    <row r="1441" customFormat="false" ht="15" hidden="false" customHeight="true" outlineLevel="0" collapsed="false">
      <c r="A1441" s="13"/>
      <c r="B1441" s="10"/>
      <c r="C1441" s="10"/>
      <c r="D1441" s="14"/>
      <c r="E1441" s="11"/>
      <c r="F1441" s="15" t="str">
        <f aca="false">IF($B1441="","",IF(AND($D1441="",$E1441=""),"",IF(OR($D1441="",$E1441=""),0,ROUND($D1441*$E1441,0))))</f>
        <v/>
      </c>
      <c r="G1441" s="13"/>
      <c r="H1441" s="11"/>
      <c r="I1441" s="15" t="str">
        <f aca="false">IF($F1441="","",$F1441-IF($H1441="",0,$H1441))</f>
        <v/>
      </c>
      <c r="J1441" s="16" t="str">
        <f aca="true">IF(OR($A1441="",$I1441="",$I1441&lt;=0),"",TODAY()-$A1441)</f>
        <v/>
      </c>
      <c r="K1441" s="10"/>
    </row>
    <row r="1442" customFormat="false" ht="15" hidden="false" customHeight="true" outlineLevel="0" collapsed="false">
      <c r="A1442" s="13"/>
      <c r="B1442" s="10"/>
      <c r="C1442" s="10"/>
      <c r="D1442" s="14"/>
      <c r="E1442" s="11"/>
      <c r="F1442" s="15" t="str">
        <f aca="false">IF($B1442="","",IF(AND($D1442="",$E1442=""),"",IF(OR($D1442="",$E1442=""),0,ROUND($D1442*$E1442,0))))</f>
        <v/>
      </c>
      <c r="G1442" s="13"/>
      <c r="H1442" s="11"/>
      <c r="I1442" s="15" t="str">
        <f aca="false">IF($F1442="","",$F1442-IF($H1442="",0,$H1442))</f>
        <v/>
      </c>
      <c r="J1442" s="16" t="str">
        <f aca="true">IF(OR($A1442="",$I1442="",$I1442&lt;=0),"",TODAY()-$A1442)</f>
        <v/>
      </c>
      <c r="K1442" s="10"/>
    </row>
    <row r="1443" customFormat="false" ht="15" hidden="false" customHeight="true" outlineLevel="0" collapsed="false">
      <c r="A1443" s="13"/>
      <c r="B1443" s="10"/>
      <c r="C1443" s="10"/>
      <c r="D1443" s="14"/>
      <c r="E1443" s="11"/>
      <c r="F1443" s="15" t="str">
        <f aca="false">IF($B1443="","",IF(AND($D1443="",$E1443=""),"",IF(OR($D1443="",$E1443=""),0,ROUND($D1443*$E1443,0))))</f>
        <v/>
      </c>
      <c r="G1443" s="13"/>
      <c r="H1443" s="11"/>
      <c r="I1443" s="15" t="str">
        <f aca="false">IF($F1443="","",$F1443-IF($H1443="",0,$H1443))</f>
        <v/>
      </c>
      <c r="J1443" s="16" t="str">
        <f aca="true">IF(OR($A1443="",$I1443="",$I1443&lt;=0),"",TODAY()-$A1443)</f>
        <v/>
      </c>
      <c r="K1443" s="10"/>
    </row>
    <row r="1444" customFormat="false" ht="15" hidden="false" customHeight="true" outlineLevel="0" collapsed="false">
      <c r="A1444" s="13"/>
      <c r="B1444" s="10"/>
      <c r="C1444" s="10"/>
      <c r="D1444" s="14"/>
      <c r="E1444" s="11"/>
      <c r="F1444" s="15" t="str">
        <f aca="false">IF($B1444="","",IF(AND($D1444="",$E1444=""),"",IF(OR($D1444="",$E1444=""),0,ROUND($D1444*$E1444,0))))</f>
        <v/>
      </c>
      <c r="G1444" s="13"/>
      <c r="H1444" s="11"/>
      <c r="I1444" s="15" t="str">
        <f aca="false">IF($F1444="","",$F1444-IF($H1444="",0,$H1444))</f>
        <v/>
      </c>
      <c r="J1444" s="16" t="str">
        <f aca="true">IF(OR($A1444="",$I1444="",$I1444&lt;=0),"",TODAY()-$A1444)</f>
        <v/>
      </c>
      <c r="K1444" s="10"/>
    </row>
    <row r="1445" customFormat="false" ht="15" hidden="false" customHeight="true" outlineLevel="0" collapsed="false">
      <c r="A1445" s="13"/>
      <c r="B1445" s="10"/>
      <c r="C1445" s="10"/>
      <c r="D1445" s="14"/>
      <c r="E1445" s="11"/>
      <c r="F1445" s="15" t="str">
        <f aca="false">IF($B1445="","",IF(AND($D1445="",$E1445=""),"",IF(OR($D1445="",$E1445=""),0,ROUND($D1445*$E1445,0))))</f>
        <v/>
      </c>
      <c r="G1445" s="13"/>
      <c r="H1445" s="11"/>
      <c r="I1445" s="15" t="str">
        <f aca="false">IF($F1445="","",$F1445-IF($H1445="",0,$H1445))</f>
        <v/>
      </c>
      <c r="J1445" s="16" t="str">
        <f aca="true">IF(OR($A1445="",$I1445="",$I1445&lt;=0),"",TODAY()-$A1445)</f>
        <v/>
      </c>
      <c r="K1445" s="10"/>
    </row>
    <row r="1446" customFormat="false" ht="15" hidden="false" customHeight="true" outlineLevel="0" collapsed="false">
      <c r="A1446" s="13"/>
      <c r="B1446" s="10"/>
      <c r="C1446" s="10"/>
      <c r="D1446" s="14"/>
      <c r="E1446" s="11"/>
      <c r="F1446" s="15" t="str">
        <f aca="false">IF($B1446="","",IF(AND($D1446="",$E1446=""),"",IF(OR($D1446="",$E1446=""),0,ROUND($D1446*$E1446,0))))</f>
        <v/>
      </c>
      <c r="G1446" s="13"/>
      <c r="H1446" s="11"/>
      <c r="I1446" s="15" t="str">
        <f aca="false">IF($F1446="","",$F1446-IF($H1446="",0,$H1446))</f>
        <v/>
      </c>
      <c r="J1446" s="16" t="str">
        <f aca="true">IF(OR($A1446="",$I1446="",$I1446&lt;=0),"",TODAY()-$A1446)</f>
        <v/>
      </c>
      <c r="K1446" s="10"/>
    </row>
    <row r="1447" customFormat="false" ht="15" hidden="false" customHeight="true" outlineLevel="0" collapsed="false">
      <c r="A1447" s="13"/>
      <c r="B1447" s="10"/>
      <c r="C1447" s="10"/>
      <c r="D1447" s="14"/>
      <c r="E1447" s="11"/>
      <c r="F1447" s="15" t="str">
        <f aca="false">IF($B1447="","",IF(AND($D1447="",$E1447=""),"",IF(OR($D1447="",$E1447=""),0,ROUND($D1447*$E1447,0))))</f>
        <v/>
      </c>
      <c r="G1447" s="13"/>
      <c r="H1447" s="11"/>
      <c r="I1447" s="15" t="str">
        <f aca="false">IF($F1447="","",$F1447-IF($H1447="",0,$H1447))</f>
        <v/>
      </c>
      <c r="J1447" s="16" t="str">
        <f aca="true">IF(OR($A1447="",$I1447="",$I1447&lt;=0),"",TODAY()-$A1447)</f>
        <v/>
      </c>
      <c r="K1447" s="10"/>
    </row>
    <row r="1448" customFormat="false" ht="15" hidden="false" customHeight="true" outlineLevel="0" collapsed="false">
      <c r="A1448" s="13"/>
      <c r="B1448" s="10"/>
      <c r="C1448" s="10"/>
      <c r="D1448" s="14"/>
      <c r="E1448" s="11"/>
      <c r="F1448" s="15" t="str">
        <f aca="false">IF($B1448="","",IF(AND($D1448="",$E1448=""),"",IF(OR($D1448="",$E1448=""),0,ROUND($D1448*$E1448,0))))</f>
        <v/>
      </c>
      <c r="G1448" s="13"/>
      <c r="H1448" s="11"/>
      <c r="I1448" s="15" t="str">
        <f aca="false">IF($F1448="","",$F1448-IF($H1448="",0,$H1448))</f>
        <v/>
      </c>
      <c r="J1448" s="16" t="str">
        <f aca="true">IF(OR($A1448="",$I1448="",$I1448&lt;=0),"",TODAY()-$A1448)</f>
        <v/>
      </c>
      <c r="K1448" s="10"/>
    </row>
    <row r="1449" customFormat="false" ht="15" hidden="false" customHeight="true" outlineLevel="0" collapsed="false">
      <c r="A1449" s="13"/>
      <c r="B1449" s="10"/>
      <c r="C1449" s="10"/>
      <c r="D1449" s="14"/>
      <c r="E1449" s="11"/>
      <c r="F1449" s="15" t="str">
        <f aca="false">IF($B1449="","",IF(AND($D1449="",$E1449=""),"",IF(OR($D1449="",$E1449=""),0,ROUND($D1449*$E1449,0))))</f>
        <v/>
      </c>
      <c r="G1449" s="13"/>
      <c r="H1449" s="11"/>
      <c r="I1449" s="15" t="str">
        <f aca="false">IF($F1449="","",$F1449-IF($H1449="",0,$H1449))</f>
        <v/>
      </c>
      <c r="J1449" s="16" t="str">
        <f aca="true">IF(OR($A1449="",$I1449="",$I1449&lt;=0),"",TODAY()-$A1449)</f>
        <v/>
      </c>
      <c r="K1449" s="10"/>
    </row>
    <row r="1450" customFormat="false" ht="15" hidden="false" customHeight="true" outlineLevel="0" collapsed="false">
      <c r="A1450" s="13"/>
      <c r="B1450" s="10"/>
      <c r="C1450" s="10"/>
      <c r="D1450" s="14"/>
      <c r="E1450" s="11"/>
      <c r="F1450" s="15" t="str">
        <f aca="false">IF($B1450="","",IF(AND($D1450="",$E1450=""),"",IF(OR($D1450="",$E1450=""),0,ROUND($D1450*$E1450,0))))</f>
        <v/>
      </c>
      <c r="G1450" s="13"/>
      <c r="H1450" s="11"/>
      <c r="I1450" s="15" t="str">
        <f aca="false">IF($F1450="","",$F1450-IF($H1450="",0,$H1450))</f>
        <v/>
      </c>
      <c r="J1450" s="16" t="str">
        <f aca="true">IF(OR($A1450="",$I1450="",$I1450&lt;=0),"",TODAY()-$A1450)</f>
        <v/>
      </c>
      <c r="K1450" s="10"/>
    </row>
    <row r="1451" customFormat="false" ht="15" hidden="false" customHeight="true" outlineLevel="0" collapsed="false">
      <c r="A1451" s="13"/>
      <c r="B1451" s="10"/>
      <c r="C1451" s="10"/>
      <c r="D1451" s="14"/>
      <c r="E1451" s="11"/>
      <c r="F1451" s="15" t="str">
        <f aca="false">IF($B1451="","",IF(AND($D1451="",$E1451=""),"",IF(OR($D1451="",$E1451=""),0,ROUND($D1451*$E1451,0))))</f>
        <v/>
      </c>
      <c r="G1451" s="13"/>
      <c r="H1451" s="11"/>
      <c r="I1451" s="15" t="str">
        <f aca="false">IF($F1451="","",$F1451-IF($H1451="",0,$H1451))</f>
        <v/>
      </c>
      <c r="J1451" s="16" t="str">
        <f aca="true">IF(OR($A1451="",$I1451="",$I1451&lt;=0),"",TODAY()-$A1451)</f>
        <v/>
      </c>
      <c r="K1451" s="10"/>
    </row>
    <row r="1452" customFormat="false" ht="15" hidden="false" customHeight="true" outlineLevel="0" collapsed="false">
      <c r="A1452" s="13"/>
      <c r="B1452" s="10"/>
      <c r="C1452" s="10"/>
      <c r="D1452" s="14"/>
      <c r="E1452" s="11"/>
      <c r="F1452" s="15" t="str">
        <f aca="false">IF($B1452="","",IF(AND($D1452="",$E1452=""),"",IF(OR($D1452="",$E1452=""),0,ROUND($D1452*$E1452,0))))</f>
        <v/>
      </c>
      <c r="G1452" s="13"/>
      <c r="H1452" s="11"/>
      <c r="I1452" s="15" t="str">
        <f aca="false">IF($F1452="","",$F1452-IF($H1452="",0,$H1452))</f>
        <v/>
      </c>
      <c r="J1452" s="16" t="str">
        <f aca="true">IF(OR($A1452="",$I1452="",$I1452&lt;=0),"",TODAY()-$A1452)</f>
        <v/>
      </c>
      <c r="K1452" s="10"/>
    </row>
    <row r="1453" customFormat="false" ht="15" hidden="false" customHeight="true" outlineLevel="0" collapsed="false">
      <c r="A1453" s="13"/>
      <c r="B1453" s="10"/>
      <c r="C1453" s="10"/>
      <c r="D1453" s="14"/>
      <c r="E1453" s="11"/>
      <c r="F1453" s="15" t="str">
        <f aca="false">IF($B1453="","",IF(AND($D1453="",$E1453=""),"",IF(OR($D1453="",$E1453=""),0,ROUND($D1453*$E1453,0))))</f>
        <v/>
      </c>
      <c r="G1453" s="13"/>
      <c r="H1453" s="11"/>
      <c r="I1453" s="15" t="str">
        <f aca="false">IF($F1453="","",$F1453-IF($H1453="",0,$H1453))</f>
        <v/>
      </c>
      <c r="J1453" s="16" t="str">
        <f aca="true">IF(OR($A1453="",$I1453="",$I1453&lt;=0),"",TODAY()-$A1453)</f>
        <v/>
      </c>
      <c r="K1453" s="10"/>
    </row>
    <row r="1454" customFormat="false" ht="15" hidden="false" customHeight="true" outlineLevel="0" collapsed="false">
      <c r="A1454" s="13"/>
      <c r="B1454" s="10"/>
      <c r="C1454" s="10"/>
      <c r="D1454" s="14"/>
      <c r="E1454" s="11"/>
      <c r="F1454" s="15" t="str">
        <f aca="false">IF($B1454="","",IF(AND($D1454="",$E1454=""),"",IF(OR($D1454="",$E1454=""),0,ROUND($D1454*$E1454,0))))</f>
        <v/>
      </c>
      <c r="G1454" s="13"/>
      <c r="H1454" s="11"/>
      <c r="I1454" s="15" t="str">
        <f aca="false">IF($F1454="","",$F1454-IF($H1454="",0,$H1454))</f>
        <v/>
      </c>
      <c r="J1454" s="16" t="str">
        <f aca="true">IF(OR($A1454="",$I1454="",$I1454&lt;=0),"",TODAY()-$A1454)</f>
        <v/>
      </c>
      <c r="K1454" s="10"/>
    </row>
    <row r="1455" customFormat="false" ht="15" hidden="false" customHeight="true" outlineLevel="0" collapsed="false">
      <c r="A1455" s="13"/>
      <c r="B1455" s="10"/>
      <c r="C1455" s="10"/>
      <c r="D1455" s="14"/>
      <c r="E1455" s="11"/>
      <c r="F1455" s="15" t="str">
        <f aca="false">IF($B1455="","",IF(AND($D1455="",$E1455=""),"",IF(OR($D1455="",$E1455=""),0,ROUND($D1455*$E1455,0))))</f>
        <v/>
      </c>
      <c r="G1455" s="13"/>
      <c r="H1455" s="11"/>
      <c r="I1455" s="15" t="str">
        <f aca="false">IF($F1455="","",$F1455-IF($H1455="",0,$H1455))</f>
        <v/>
      </c>
      <c r="J1455" s="16" t="str">
        <f aca="true">IF(OR($A1455="",$I1455="",$I1455&lt;=0),"",TODAY()-$A1455)</f>
        <v/>
      </c>
      <c r="K1455" s="10"/>
    </row>
    <row r="1456" customFormat="false" ht="15" hidden="false" customHeight="true" outlineLevel="0" collapsed="false">
      <c r="A1456" s="13"/>
      <c r="B1456" s="10"/>
      <c r="C1456" s="10"/>
      <c r="D1456" s="14"/>
      <c r="E1456" s="11"/>
      <c r="F1456" s="15" t="str">
        <f aca="false">IF($B1456="","",IF(AND($D1456="",$E1456=""),"",IF(OR($D1456="",$E1456=""),0,ROUND($D1456*$E1456,0))))</f>
        <v/>
      </c>
      <c r="G1456" s="13"/>
      <c r="H1456" s="11"/>
      <c r="I1456" s="15" t="str">
        <f aca="false">IF($F1456="","",$F1456-IF($H1456="",0,$H1456))</f>
        <v/>
      </c>
      <c r="J1456" s="16" t="str">
        <f aca="true">IF(OR($A1456="",$I1456="",$I1456&lt;=0),"",TODAY()-$A1456)</f>
        <v/>
      </c>
      <c r="K1456" s="10"/>
    </row>
    <row r="1457" customFormat="false" ht="15" hidden="false" customHeight="true" outlineLevel="0" collapsed="false">
      <c r="A1457" s="13"/>
      <c r="B1457" s="10"/>
      <c r="C1457" s="10"/>
      <c r="D1457" s="14"/>
      <c r="E1457" s="11"/>
      <c r="F1457" s="15" t="str">
        <f aca="false">IF($B1457="","",IF(AND($D1457="",$E1457=""),"",IF(OR($D1457="",$E1457=""),0,ROUND($D1457*$E1457,0))))</f>
        <v/>
      </c>
      <c r="G1457" s="13"/>
      <c r="H1457" s="11"/>
      <c r="I1457" s="15" t="str">
        <f aca="false">IF($F1457="","",$F1457-IF($H1457="",0,$H1457))</f>
        <v/>
      </c>
      <c r="J1457" s="16" t="str">
        <f aca="true">IF(OR($A1457="",$I1457="",$I1457&lt;=0),"",TODAY()-$A1457)</f>
        <v/>
      </c>
      <c r="K1457" s="10"/>
    </row>
    <row r="1458" customFormat="false" ht="15" hidden="false" customHeight="true" outlineLevel="0" collapsed="false">
      <c r="A1458" s="13"/>
      <c r="B1458" s="10"/>
      <c r="C1458" s="10"/>
      <c r="D1458" s="14"/>
      <c r="E1458" s="11"/>
      <c r="F1458" s="15" t="str">
        <f aca="false">IF($B1458="","",IF(AND($D1458="",$E1458=""),"",IF(OR($D1458="",$E1458=""),0,ROUND($D1458*$E1458,0))))</f>
        <v/>
      </c>
      <c r="G1458" s="13"/>
      <c r="H1458" s="11"/>
      <c r="I1458" s="15" t="str">
        <f aca="false">IF($F1458="","",$F1458-IF($H1458="",0,$H1458))</f>
        <v/>
      </c>
      <c r="J1458" s="16" t="str">
        <f aca="true">IF(OR($A1458="",$I1458="",$I1458&lt;=0),"",TODAY()-$A1458)</f>
        <v/>
      </c>
      <c r="K1458" s="10"/>
    </row>
    <row r="1459" customFormat="false" ht="15" hidden="false" customHeight="true" outlineLevel="0" collapsed="false">
      <c r="A1459" s="13"/>
      <c r="B1459" s="10"/>
      <c r="C1459" s="10"/>
      <c r="D1459" s="14"/>
      <c r="E1459" s="11"/>
      <c r="F1459" s="15" t="str">
        <f aca="false">IF($B1459="","",IF(AND($D1459="",$E1459=""),"",IF(OR($D1459="",$E1459=""),0,ROUND($D1459*$E1459,0))))</f>
        <v/>
      </c>
      <c r="G1459" s="13"/>
      <c r="H1459" s="11"/>
      <c r="I1459" s="15" t="str">
        <f aca="false">IF($F1459="","",$F1459-IF($H1459="",0,$H1459))</f>
        <v/>
      </c>
      <c r="J1459" s="16" t="str">
        <f aca="true">IF(OR($A1459="",$I1459="",$I1459&lt;=0),"",TODAY()-$A1459)</f>
        <v/>
      </c>
      <c r="K1459" s="10"/>
    </row>
    <row r="1460" customFormat="false" ht="15" hidden="false" customHeight="true" outlineLevel="0" collapsed="false">
      <c r="A1460" s="13"/>
      <c r="B1460" s="10"/>
      <c r="C1460" s="10"/>
      <c r="D1460" s="14"/>
      <c r="E1460" s="11"/>
      <c r="F1460" s="15" t="str">
        <f aca="false">IF($B1460="","",IF(AND($D1460="",$E1460=""),"",IF(OR($D1460="",$E1460=""),0,ROUND($D1460*$E1460,0))))</f>
        <v/>
      </c>
      <c r="G1460" s="13"/>
      <c r="H1460" s="11"/>
      <c r="I1460" s="15" t="str">
        <f aca="false">IF($F1460="","",$F1460-IF($H1460="",0,$H1460))</f>
        <v/>
      </c>
      <c r="J1460" s="16" t="str">
        <f aca="true">IF(OR($A1460="",$I1460="",$I1460&lt;=0),"",TODAY()-$A1460)</f>
        <v/>
      </c>
      <c r="K1460" s="10"/>
    </row>
    <row r="1461" customFormat="false" ht="15" hidden="false" customHeight="true" outlineLevel="0" collapsed="false">
      <c r="A1461" s="13"/>
      <c r="B1461" s="10"/>
      <c r="C1461" s="10"/>
      <c r="D1461" s="14"/>
      <c r="E1461" s="11"/>
      <c r="F1461" s="15" t="str">
        <f aca="false">IF($B1461="","",IF(AND($D1461="",$E1461=""),"",IF(OR($D1461="",$E1461=""),0,ROUND($D1461*$E1461,0))))</f>
        <v/>
      </c>
      <c r="G1461" s="13"/>
      <c r="H1461" s="11"/>
      <c r="I1461" s="15" t="str">
        <f aca="false">IF($F1461="","",$F1461-IF($H1461="",0,$H1461))</f>
        <v/>
      </c>
      <c r="J1461" s="16" t="str">
        <f aca="true">IF(OR($A1461="",$I1461="",$I1461&lt;=0),"",TODAY()-$A1461)</f>
        <v/>
      </c>
      <c r="K1461" s="10"/>
    </row>
    <row r="1462" customFormat="false" ht="15" hidden="false" customHeight="true" outlineLevel="0" collapsed="false">
      <c r="A1462" s="13"/>
      <c r="B1462" s="10"/>
      <c r="C1462" s="10"/>
      <c r="D1462" s="14"/>
      <c r="E1462" s="11"/>
      <c r="F1462" s="15" t="str">
        <f aca="false">IF($B1462="","",IF(AND($D1462="",$E1462=""),"",IF(OR($D1462="",$E1462=""),0,ROUND($D1462*$E1462,0))))</f>
        <v/>
      </c>
      <c r="G1462" s="13"/>
      <c r="H1462" s="11"/>
      <c r="I1462" s="15" t="str">
        <f aca="false">IF($F1462="","",$F1462-IF($H1462="",0,$H1462))</f>
        <v/>
      </c>
      <c r="J1462" s="16" t="str">
        <f aca="true">IF(OR($A1462="",$I1462="",$I1462&lt;=0),"",TODAY()-$A1462)</f>
        <v/>
      </c>
      <c r="K1462" s="10"/>
    </row>
    <row r="1463" customFormat="false" ht="15" hidden="false" customHeight="true" outlineLevel="0" collapsed="false">
      <c r="A1463" s="13"/>
      <c r="B1463" s="10"/>
      <c r="C1463" s="10"/>
      <c r="D1463" s="14"/>
      <c r="E1463" s="11"/>
      <c r="F1463" s="15" t="str">
        <f aca="false">IF($B1463="","",IF(AND($D1463="",$E1463=""),"",IF(OR($D1463="",$E1463=""),0,ROUND($D1463*$E1463,0))))</f>
        <v/>
      </c>
      <c r="G1463" s="13"/>
      <c r="H1463" s="11"/>
      <c r="I1463" s="15" t="str">
        <f aca="false">IF($F1463="","",$F1463-IF($H1463="",0,$H1463))</f>
        <v/>
      </c>
      <c r="J1463" s="16" t="str">
        <f aca="true">IF(OR($A1463="",$I1463="",$I1463&lt;=0),"",TODAY()-$A1463)</f>
        <v/>
      </c>
      <c r="K1463" s="10"/>
    </row>
    <row r="1464" customFormat="false" ht="15" hidden="false" customHeight="true" outlineLevel="0" collapsed="false">
      <c r="A1464" s="13"/>
      <c r="B1464" s="10"/>
      <c r="C1464" s="10"/>
      <c r="D1464" s="14"/>
      <c r="E1464" s="11"/>
      <c r="F1464" s="15" t="str">
        <f aca="false">IF($B1464="","",IF(AND($D1464="",$E1464=""),"",IF(OR($D1464="",$E1464=""),0,ROUND($D1464*$E1464,0))))</f>
        <v/>
      </c>
      <c r="G1464" s="13"/>
      <c r="H1464" s="11"/>
      <c r="I1464" s="15" t="str">
        <f aca="false">IF($F1464="","",$F1464-IF($H1464="",0,$H1464))</f>
        <v/>
      </c>
      <c r="J1464" s="16" t="str">
        <f aca="true">IF(OR($A1464="",$I1464="",$I1464&lt;=0),"",TODAY()-$A1464)</f>
        <v/>
      </c>
      <c r="K1464" s="10"/>
    </row>
    <row r="1465" customFormat="false" ht="15" hidden="false" customHeight="true" outlineLevel="0" collapsed="false">
      <c r="A1465" s="13"/>
      <c r="B1465" s="10"/>
      <c r="C1465" s="10"/>
      <c r="D1465" s="14"/>
      <c r="E1465" s="11"/>
      <c r="F1465" s="15" t="str">
        <f aca="false">IF($B1465="","",IF(AND($D1465="",$E1465=""),"",IF(OR($D1465="",$E1465=""),0,ROUND($D1465*$E1465,0))))</f>
        <v/>
      </c>
      <c r="G1465" s="13"/>
      <c r="H1465" s="11"/>
      <c r="I1465" s="15" t="str">
        <f aca="false">IF($F1465="","",$F1465-IF($H1465="",0,$H1465))</f>
        <v/>
      </c>
      <c r="J1465" s="16" t="str">
        <f aca="true">IF(OR($A1465="",$I1465="",$I1465&lt;=0),"",TODAY()-$A1465)</f>
        <v/>
      </c>
      <c r="K1465" s="10"/>
    </row>
    <row r="1466" customFormat="false" ht="15" hidden="false" customHeight="true" outlineLevel="0" collapsed="false">
      <c r="A1466" s="13"/>
      <c r="B1466" s="10"/>
      <c r="C1466" s="10"/>
      <c r="D1466" s="14"/>
      <c r="E1466" s="11"/>
      <c r="F1466" s="15" t="str">
        <f aca="false">IF($B1466="","",IF(AND($D1466="",$E1466=""),"",IF(OR($D1466="",$E1466=""),0,ROUND($D1466*$E1466,0))))</f>
        <v/>
      </c>
      <c r="G1466" s="13"/>
      <c r="H1466" s="11"/>
      <c r="I1466" s="15" t="str">
        <f aca="false">IF($F1466="","",$F1466-IF($H1466="",0,$H1466))</f>
        <v/>
      </c>
      <c r="J1466" s="16" t="str">
        <f aca="true">IF(OR($A1466="",$I1466="",$I1466&lt;=0),"",TODAY()-$A1466)</f>
        <v/>
      </c>
      <c r="K1466" s="10"/>
    </row>
    <row r="1467" customFormat="false" ht="15" hidden="false" customHeight="true" outlineLevel="0" collapsed="false">
      <c r="A1467" s="13"/>
      <c r="B1467" s="10"/>
      <c r="C1467" s="10"/>
      <c r="D1467" s="14"/>
      <c r="E1467" s="11"/>
      <c r="F1467" s="15" t="str">
        <f aca="false">IF($B1467="","",IF(AND($D1467="",$E1467=""),"",IF(OR($D1467="",$E1467=""),0,ROUND($D1467*$E1467,0))))</f>
        <v/>
      </c>
      <c r="G1467" s="13"/>
      <c r="H1467" s="11"/>
      <c r="I1467" s="15" t="str">
        <f aca="false">IF($F1467="","",$F1467-IF($H1467="",0,$H1467))</f>
        <v/>
      </c>
      <c r="J1467" s="16" t="str">
        <f aca="true">IF(OR($A1467="",$I1467="",$I1467&lt;=0),"",TODAY()-$A1467)</f>
        <v/>
      </c>
      <c r="K1467" s="10"/>
    </row>
    <row r="1468" customFormat="false" ht="15" hidden="false" customHeight="true" outlineLevel="0" collapsed="false">
      <c r="A1468" s="13"/>
      <c r="B1468" s="10"/>
      <c r="C1468" s="10"/>
      <c r="D1468" s="14"/>
      <c r="E1468" s="11"/>
      <c r="F1468" s="15" t="str">
        <f aca="false">IF($B1468="","",IF(AND($D1468="",$E1468=""),"",IF(OR($D1468="",$E1468=""),0,ROUND($D1468*$E1468,0))))</f>
        <v/>
      </c>
      <c r="G1468" s="13"/>
      <c r="H1468" s="11"/>
      <c r="I1468" s="15" t="str">
        <f aca="false">IF($F1468="","",$F1468-IF($H1468="",0,$H1468))</f>
        <v/>
      </c>
      <c r="J1468" s="16" t="str">
        <f aca="true">IF(OR($A1468="",$I1468="",$I1468&lt;=0),"",TODAY()-$A1468)</f>
        <v/>
      </c>
      <c r="K1468" s="10"/>
    </row>
    <row r="1469" customFormat="false" ht="15" hidden="false" customHeight="true" outlineLevel="0" collapsed="false">
      <c r="A1469" s="13"/>
      <c r="B1469" s="10"/>
      <c r="C1469" s="10"/>
      <c r="D1469" s="14"/>
      <c r="E1469" s="11"/>
      <c r="F1469" s="15" t="str">
        <f aca="false">IF($B1469="","",IF(AND($D1469="",$E1469=""),"",IF(OR($D1469="",$E1469=""),0,ROUND($D1469*$E1469,0))))</f>
        <v/>
      </c>
      <c r="G1469" s="13"/>
      <c r="H1469" s="11"/>
      <c r="I1469" s="15" t="str">
        <f aca="false">IF($F1469="","",$F1469-IF($H1469="",0,$H1469))</f>
        <v/>
      </c>
      <c r="J1469" s="16" t="str">
        <f aca="true">IF(OR($A1469="",$I1469="",$I1469&lt;=0),"",TODAY()-$A1469)</f>
        <v/>
      </c>
      <c r="K1469" s="10"/>
    </row>
    <row r="1470" customFormat="false" ht="15" hidden="false" customHeight="true" outlineLevel="0" collapsed="false">
      <c r="A1470" s="13"/>
      <c r="B1470" s="10"/>
      <c r="C1470" s="10"/>
      <c r="D1470" s="14"/>
      <c r="E1470" s="11"/>
      <c r="F1470" s="15" t="str">
        <f aca="false">IF($B1470="","",IF(AND($D1470="",$E1470=""),"",IF(OR($D1470="",$E1470=""),0,ROUND($D1470*$E1470,0))))</f>
        <v/>
      </c>
      <c r="G1470" s="13"/>
      <c r="H1470" s="11"/>
      <c r="I1470" s="15" t="str">
        <f aca="false">IF($F1470="","",$F1470-IF($H1470="",0,$H1470))</f>
        <v/>
      </c>
      <c r="J1470" s="16" t="str">
        <f aca="true">IF(OR($A1470="",$I1470="",$I1470&lt;=0),"",TODAY()-$A1470)</f>
        <v/>
      </c>
      <c r="K1470" s="10"/>
    </row>
    <row r="1471" customFormat="false" ht="15" hidden="false" customHeight="true" outlineLevel="0" collapsed="false">
      <c r="A1471" s="13"/>
      <c r="B1471" s="10"/>
      <c r="C1471" s="10"/>
      <c r="D1471" s="14"/>
      <c r="E1471" s="11"/>
      <c r="F1471" s="15" t="str">
        <f aca="false">IF($B1471="","",IF(AND($D1471="",$E1471=""),"",IF(OR($D1471="",$E1471=""),0,ROUND($D1471*$E1471,0))))</f>
        <v/>
      </c>
      <c r="G1471" s="13"/>
      <c r="H1471" s="11"/>
      <c r="I1471" s="15" t="str">
        <f aca="false">IF($F1471="","",$F1471-IF($H1471="",0,$H1471))</f>
        <v/>
      </c>
      <c r="J1471" s="16" t="str">
        <f aca="true">IF(OR($A1471="",$I1471="",$I1471&lt;=0),"",TODAY()-$A1471)</f>
        <v/>
      </c>
      <c r="K1471" s="10"/>
    </row>
    <row r="1472" customFormat="false" ht="15" hidden="false" customHeight="true" outlineLevel="0" collapsed="false">
      <c r="A1472" s="13"/>
      <c r="B1472" s="10"/>
      <c r="C1472" s="10"/>
      <c r="D1472" s="14"/>
      <c r="E1472" s="11"/>
      <c r="F1472" s="15" t="str">
        <f aca="false">IF($B1472="","",IF(AND($D1472="",$E1472=""),"",IF(OR($D1472="",$E1472=""),0,ROUND($D1472*$E1472,0))))</f>
        <v/>
      </c>
      <c r="G1472" s="13"/>
      <c r="H1472" s="11"/>
      <c r="I1472" s="15" t="str">
        <f aca="false">IF($F1472="","",$F1472-IF($H1472="",0,$H1472))</f>
        <v/>
      </c>
      <c r="J1472" s="16" t="str">
        <f aca="true">IF(OR($A1472="",$I1472="",$I1472&lt;=0),"",TODAY()-$A1472)</f>
        <v/>
      </c>
      <c r="K1472" s="10"/>
    </row>
    <row r="1473" customFormat="false" ht="15" hidden="false" customHeight="true" outlineLevel="0" collapsed="false">
      <c r="A1473" s="13"/>
      <c r="B1473" s="10"/>
      <c r="C1473" s="10"/>
      <c r="D1473" s="14"/>
      <c r="E1473" s="11"/>
      <c r="F1473" s="15" t="str">
        <f aca="false">IF($B1473="","",IF(AND($D1473="",$E1473=""),"",IF(OR($D1473="",$E1473=""),0,ROUND($D1473*$E1473,0))))</f>
        <v/>
      </c>
      <c r="G1473" s="13"/>
      <c r="H1473" s="11"/>
      <c r="I1473" s="15" t="str">
        <f aca="false">IF($F1473="","",$F1473-IF($H1473="",0,$H1473))</f>
        <v/>
      </c>
      <c r="J1473" s="16" t="str">
        <f aca="true">IF(OR($A1473="",$I1473="",$I1473&lt;=0),"",TODAY()-$A1473)</f>
        <v/>
      </c>
      <c r="K1473" s="10"/>
    </row>
    <row r="1474" customFormat="false" ht="15" hidden="false" customHeight="true" outlineLevel="0" collapsed="false">
      <c r="A1474" s="13"/>
      <c r="B1474" s="10"/>
      <c r="C1474" s="10"/>
      <c r="D1474" s="14"/>
      <c r="E1474" s="11"/>
      <c r="F1474" s="15" t="str">
        <f aca="false">IF($B1474="","",IF(AND($D1474="",$E1474=""),"",IF(OR($D1474="",$E1474=""),0,ROUND($D1474*$E1474,0))))</f>
        <v/>
      </c>
      <c r="G1474" s="13"/>
      <c r="H1474" s="11"/>
      <c r="I1474" s="15" t="str">
        <f aca="false">IF($F1474="","",$F1474-IF($H1474="",0,$H1474))</f>
        <v/>
      </c>
      <c r="J1474" s="16" t="str">
        <f aca="true">IF(OR($A1474="",$I1474="",$I1474&lt;=0),"",TODAY()-$A1474)</f>
        <v/>
      </c>
      <c r="K1474" s="10"/>
    </row>
    <row r="1475" customFormat="false" ht="15" hidden="false" customHeight="true" outlineLevel="0" collapsed="false">
      <c r="A1475" s="13"/>
      <c r="B1475" s="10"/>
      <c r="C1475" s="10"/>
      <c r="D1475" s="14"/>
      <c r="E1475" s="11"/>
      <c r="F1475" s="15" t="str">
        <f aca="false">IF($B1475="","",IF(AND($D1475="",$E1475=""),"",IF(OR($D1475="",$E1475=""),0,ROUND($D1475*$E1475,0))))</f>
        <v/>
      </c>
      <c r="G1475" s="13"/>
      <c r="H1475" s="11"/>
      <c r="I1475" s="15" t="str">
        <f aca="false">IF($F1475="","",$F1475-IF($H1475="",0,$H1475))</f>
        <v/>
      </c>
      <c r="J1475" s="16" t="str">
        <f aca="true">IF(OR($A1475="",$I1475="",$I1475&lt;=0),"",TODAY()-$A1475)</f>
        <v/>
      </c>
      <c r="K1475" s="10"/>
    </row>
    <row r="1476" customFormat="false" ht="15" hidden="false" customHeight="true" outlineLevel="0" collapsed="false">
      <c r="A1476" s="13"/>
      <c r="B1476" s="10"/>
      <c r="C1476" s="10"/>
      <c r="D1476" s="14"/>
      <c r="E1476" s="11"/>
      <c r="F1476" s="15" t="str">
        <f aca="false">IF($B1476="","",IF(AND($D1476="",$E1476=""),"",IF(OR($D1476="",$E1476=""),0,ROUND($D1476*$E1476,0))))</f>
        <v/>
      </c>
      <c r="G1476" s="13"/>
      <c r="H1476" s="11"/>
      <c r="I1476" s="15" t="str">
        <f aca="false">IF($F1476="","",$F1476-IF($H1476="",0,$H1476))</f>
        <v/>
      </c>
      <c r="J1476" s="16" t="str">
        <f aca="true">IF(OR($A1476="",$I1476="",$I1476&lt;=0),"",TODAY()-$A1476)</f>
        <v/>
      </c>
      <c r="K1476" s="10"/>
    </row>
    <row r="1477" customFormat="false" ht="15" hidden="false" customHeight="true" outlineLevel="0" collapsed="false">
      <c r="A1477" s="13"/>
      <c r="B1477" s="10"/>
      <c r="C1477" s="10"/>
      <c r="D1477" s="14"/>
      <c r="E1477" s="11"/>
      <c r="F1477" s="15" t="str">
        <f aca="false">IF($B1477="","",IF(AND($D1477="",$E1477=""),"",IF(OR($D1477="",$E1477=""),0,ROUND($D1477*$E1477,0))))</f>
        <v/>
      </c>
      <c r="G1477" s="13"/>
      <c r="H1477" s="11"/>
      <c r="I1477" s="15" t="str">
        <f aca="false">IF($F1477="","",$F1477-IF($H1477="",0,$H1477))</f>
        <v/>
      </c>
      <c r="J1477" s="16" t="str">
        <f aca="true">IF(OR($A1477="",$I1477="",$I1477&lt;=0),"",TODAY()-$A1477)</f>
        <v/>
      </c>
      <c r="K1477" s="10"/>
    </row>
    <row r="1478" customFormat="false" ht="15" hidden="false" customHeight="true" outlineLevel="0" collapsed="false">
      <c r="A1478" s="13"/>
      <c r="B1478" s="10"/>
      <c r="C1478" s="10"/>
      <c r="D1478" s="14"/>
      <c r="E1478" s="11"/>
      <c r="F1478" s="15" t="str">
        <f aca="false">IF($B1478="","",IF(AND($D1478="",$E1478=""),"",IF(OR($D1478="",$E1478=""),0,ROUND($D1478*$E1478,0))))</f>
        <v/>
      </c>
      <c r="G1478" s="13"/>
      <c r="H1478" s="11"/>
      <c r="I1478" s="15" t="str">
        <f aca="false">IF($F1478="","",$F1478-IF($H1478="",0,$H1478))</f>
        <v/>
      </c>
      <c r="J1478" s="16" t="str">
        <f aca="true">IF(OR($A1478="",$I1478="",$I1478&lt;=0),"",TODAY()-$A1478)</f>
        <v/>
      </c>
      <c r="K1478" s="10"/>
    </row>
    <row r="1479" customFormat="false" ht="15" hidden="false" customHeight="true" outlineLevel="0" collapsed="false">
      <c r="A1479" s="13"/>
      <c r="B1479" s="10"/>
      <c r="C1479" s="10"/>
      <c r="D1479" s="14"/>
      <c r="E1479" s="11"/>
      <c r="F1479" s="15" t="str">
        <f aca="false">IF($B1479="","",IF(AND($D1479="",$E1479=""),"",IF(OR($D1479="",$E1479=""),0,ROUND($D1479*$E1479,0))))</f>
        <v/>
      </c>
      <c r="G1479" s="13"/>
      <c r="H1479" s="11"/>
      <c r="I1479" s="15" t="str">
        <f aca="false">IF($F1479="","",$F1479-IF($H1479="",0,$H1479))</f>
        <v/>
      </c>
      <c r="J1479" s="16" t="str">
        <f aca="true">IF(OR($A1479="",$I1479="",$I1479&lt;=0),"",TODAY()-$A1479)</f>
        <v/>
      </c>
      <c r="K1479" s="10"/>
    </row>
    <row r="1480" customFormat="false" ht="15" hidden="false" customHeight="true" outlineLevel="0" collapsed="false">
      <c r="A1480" s="13"/>
      <c r="B1480" s="10"/>
      <c r="C1480" s="10"/>
      <c r="D1480" s="14"/>
      <c r="E1480" s="11"/>
      <c r="F1480" s="15" t="str">
        <f aca="false">IF($B1480="","",IF(AND($D1480="",$E1480=""),"",IF(OR($D1480="",$E1480=""),0,ROUND($D1480*$E1480,0))))</f>
        <v/>
      </c>
      <c r="G1480" s="13"/>
      <c r="H1480" s="11"/>
      <c r="I1480" s="15" t="str">
        <f aca="false">IF($F1480="","",$F1480-IF($H1480="",0,$H1480))</f>
        <v/>
      </c>
      <c r="J1480" s="16" t="str">
        <f aca="true">IF(OR($A1480="",$I1480="",$I1480&lt;=0),"",TODAY()-$A1480)</f>
        <v/>
      </c>
      <c r="K1480" s="10"/>
    </row>
    <row r="1481" customFormat="false" ht="15" hidden="false" customHeight="true" outlineLevel="0" collapsed="false">
      <c r="A1481" s="13"/>
      <c r="B1481" s="10"/>
      <c r="C1481" s="10"/>
      <c r="D1481" s="14"/>
      <c r="E1481" s="11"/>
      <c r="F1481" s="15" t="str">
        <f aca="false">IF($B1481="","",IF(AND($D1481="",$E1481=""),"",IF(OR($D1481="",$E1481=""),0,ROUND($D1481*$E1481,0))))</f>
        <v/>
      </c>
      <c r="G1481" s="13"/>
      <c r="H1481" s="11"/>
      <c r="I1481" s="15" t="str">
        <f aca="false">IF($F1481="","",$F1481-IF($H1481="",0,$H1481))</f>
        <v/>
      </c>
      <c r="J1481" s="16" t="str">
        <f aca="true">IF(OR($A1481="",$I1481="",$I1481&lt;=0),"",TODAY()-$A1481)</f>
        <v/>
      </c>
      <c r="K1481" s="10"/>
    </row>
    <row r="1482" customFormat="false" ht="15" hidden="false" customHeight="true" outlineLevel="0" collapsed="false">
      <c r="A1482" s="13"/>
      <c r="B1482" s="10"/>
      <c r="C1482" s="10"/>
      <c r="D1482" s="14"/>
      <c r="E1482" s="11"/>
      <c r="F1482" s="15" t="str">
        <f aca="false">IF($B1482="","",IF(AND($D1482="",$E1482=""),"",IF(OR($D1482="",$E1482=""),0,ROUND($D1482*$E1482,0))))</f>
        <v/>
      </c>
      <c r="G1482" s="13"/>
      <c r="H1482" s="11"/>
      <c r="I1482" s="15" t="str">
        <f aca="false">IF($F1482="","",$F1482-IF($H1482="",0,$H1482))</f>
        <v/>
      </c>
      <c r="J1482" s="16" t="str">
        <f aca="true">IF(OR($A1482="",$I1482="",$I1482&lt;=0),"",TODAY()-$A1482)</f>
        <v/>
      </c>
      <c r="K1482" s="10"/>
    </row>
    <row r="1483" customFormat="false" ht="15" hidden="false" customHeight="true" outlineLevel="0" collapsed="false">
      <c r="A1483" s="13"/>
      <c r="B1483" s="10"/>
      <c r="C1483" s="10"/>
      <c r="D1483" s="14"/>
      <c r="E1483" s="11"/>
      <c r="F1483" s="15" t="str">
        <f aca="false">IF($B1483="","",IF(AND($D1483="",$E1483=""),"",IF(OR($D1483="",$E1483=""),0,ROUND($D1483*$E1483,0))))</f>
        <v/>
      </c>
      <c r="G1483" s="13"/>
      <c r="H1483" s="11"/>
      <c r="I1483" s="15" t="str">
        <f aca="false">IF($F1483="","",$F1483-IF($H1483="",0,$H1483))</f>
        <v/>
      </c>
      <c r="J1483" s="16" t="str">
        <f aca="true">IF(OR($A1483="",$I1483="",$I1483&lt;=0),"",TODAY()-$A1483)</f>
        <v/>
      </c>
      <c r="K1483" s="10"/>
    </row>
    <row r="1484" customFormat="false" ht="15" hidden="false" customHeight="true" outlineLevel="0" collapsed="false">
      <c r="A1484" s="13"/>
      <c r="B1484" s="10"/>
      <c r="C1484" s="10"/>
      <c r="D1484" s="14"/>
      <c r="E1484" s="11"/>
      <c r="F1484" s="15" t="str">
        <f aca="false">IF($B1484="","",IF(AND($D1484="",$E1484=""),"",IF(OR($D1484="",$E1484=""),0,ROUND($D1484*$E1484,0))))</f>
        <v/>
      </c>
      <c r="G1484" s="13"/>
      <c r="H1484" s="11"/>
      <c r="I1484" s="15" t="str">
        <f aca="false">IF($F1484="","",$F1484-IF($H1484="",0,$H1484))</f>
        <v/>
      </c>
      <c r="J1484" s="16" t="str">
        <f aca="true">IF(OR($A1484="",$I1484="",$I1484&lt;=0),"",TODAY()-$A1484)</f>
        <v/>
      </c>
      <c r="K1484" s="10"/>
    </row>
    <row r="1485" customFormat="false" ht="15" hidden="false" customHeight="true" outlineLevel="0" collapsed="false">
      <c r="A1485" s="13"/>
      <c r="B1485" s="10"/>
      <c r="C1485" s="10"/>
      <c r="D1485" s="14"/>
      <c r="E1485" s="11"/>
      <c r="F1485" s="15" t="str">
        <f aca="false">IF($B1485="","",IF(AND($D1485="",$E1485=""),"",IF(OR($D1485="",$E1485=""),0,ROUND($D1485*$E1485,0))))</f>
        <v/>
      </c>
      <c r="G1485" s="13"/>
      <c r="H1485" s="11"/>
      <c r="I1485" s="15" t="str">
        <f aca="false">IF($F1485="","",$F1485-IF($H1485="",0,$H1485))</f>
        <v/>
      </c>
      <c r="J1485" s="16" t="str">
        <f aca="true">IF(OR($A1485="",$I1485="",$I1485&lt;=0),"",TODAY()-$A1485)</f>
        <v/>
      </c>
      <c r="K1485" s="10"/>
    </row>
    <row r="1486" customFormat="false" ht="15" hidden="false" customHeight="true" outlineLevel="0" collapsed="false">
      <c r="A1486" s="13"/>
      <c r="B1486" s="10"/>
      <c r="C1486" s="10"/>
      <c r="D1486" s="14"/>
      <c r="E1486" s="11"/>
      <c r="F1486" s="15" t="str">
        <f aca="false">IF($B1486="","",IF(AND($D1486="",$E1486=""),"",IF(OR($D1486="",$E1486=""),0,ROUND($D1486*$E1486,0))))</f>
        <v/>
      </c>
      <c r="G1486" s="13"/>
      <c r="H1486" s="11"/>
      <c r="I1486" s="15" t="str">
        <f aca="false">IF($F1486="","",$F1486-IF($H1486="",0,$H1486))</f>
        <v/>
      </c>
      <c r="J1486" s="16" t="str">
        <f aca="true">IF(OR($A1486="",$I1486="",$I1486&lt;=0),"",TODAY()-$A1486)</f>
        <v/>
      </c>
      <c r="K1486" s="10"/>
    </row>
    <row r="1487" customFormat="false" ht="15" hidden="false" customHeight="true" outlineLevel="0" collapsed="false">
      <c r="A1487" s="13"/>
      <c r="B1487" s="10"/>
      <c r="C1487" s="10"/>
      <c r="D1487" s="14"/>
      <c r="E1487" s="11"/>
      <c r="F1487" s="15" t="str">
        <f aca="false">IF($B1487="","",IF(AND($D1487="",$E1487=""),"",IF(OR($D1487="",$E1487=""),0,ROUND($D1487*$E1487,0))))</f>
        <v/>
      </c>
      <c r="G1487" s="13"/>
      <c r="H1487" s="11"/>
      <c r="I1487" s="15" t="str">
        <f aca="false">IF($F1487="","",$F1487-IF($H1487="",0,$H1487))</f>
        <v/>
      </c>
      <c r="J1487" s="16" t="str">
        <f aca="true">IF(OR($A1487="",$I1487="",$I1487&lt;=0),"",TODAY()-$A1487)</f>
        <v/>
      </c>
      <c r="K1487" s="10"/>
    </row>
    <row r="1488" customFormat="false" ht="15" hidden="false" customHeight="true" outlineLevel="0" collapsed="false">
      <c r="A1488" s="13"/>
      <c r="B1488" s="10"/>
      <c r="C1488" s="10"/>
      <c r="D1488" s="14"/>
      <c r="E1488" s="11"/>
      <c r="F1488" s="15" t="str">
        <f aca="false">IF($B1488="","",IF(AND($D1488="",$E1488=""),"",IF(OR($D1488="",$E1488=""),0,ROUND($D1488*$E1488,0))))</f>
        <v/>
      </c>
      <c r="G1488" s="13"/>
      <c r="H1488" s="11"/>
      <c r="I1488" s="15" t="str">
        <f aca="false">IF($F1488="","",$F1488-IF($H1488="",0,$H1488))</f>
        <v/>
      </c>
      <c r="J1488" s="16" t="str">
        <f aca="true">IF(OR($A1488="",$I1488="",$I1488&lt;=0),"",TODAY()-$A1488)</f>
        <v/>
      </c>
      <c r="K1488" s="10"/>
    </row>
    <row r="1489" customFormat="false" ht="15" hidden="false" customHeight="true" outlineLevel="0" collapsed="false">
      <c r="A1489" s="13"/>
      <c r="B1489" s="10"/>
      <c r="C1489" s="10"/>
      <c r="D1489" s="14"/>
      <c r="E1489" s="11"/>
      <c r="F1489" s="15" t="str">
        <f aca="false">IF($B1489="","",IF(AND($D1489="",$E1489=""),"",IF(OR($D1489="",$E1489=""),0,ROUND($D1489*$E1489,0))))</f>
        <v/>
      </c>
      <c r="G1489" s="13"/>
      <c r="H1489" s="11"/>
      <c r="I1489" s="15" t="str">
        <f aca="false">IF($F1489="","",$F1489-IF($H1489="",0,$H1489))</f>
        <v/>
      </c>
      <c r="J1489" s="16" t="str">
        <f aca="true">IF(OR($A1489="",$I1489="",$I1489&lt;=0),"",TODAY()-$A1489)</f>
        <v/>
      </c>
      <c r="K1489" s="10"/>
    </row>
    <row r="1490" customFormat="false" ht="15" hidden="false" customHeight="true" outlineLevel="0" collapsed="false">
      <c r="A1490" s="13"/>
      <c r="B1490" s="10"/>
      <c r="C1490" s="10"/>
      <c r="D1490" s="14"/>
      <c r="E1490" s="11"/>
      <c r="F1490" s="15" t="str">
        <f aca="false">IF($B1490="","",IF(AND($D1490="",$E1490=""),"",IF(OR($D1490="",$E1490=""),0,ROUND($D1490*$E1490,0))))</f>
        <v/>
      </c>
      <c r="G1490" s="13"/>
      <c r="H1490" s="11"/>
      <c r="I1490" s="15" t="str">
        <f aca="false">IF($F1490="","",$F1490-IF($H1490="",0,$H1490))</f>
        <v/>
      </c>
      <c r="J1490" s="16" t="str">
        <f aca="true">IF(OR($A1490="",$I1490="",$I1490&lt;=0),"",TODAY()-$A1490)</f>
        <v/>
      </c>
      <c r="K1490" s="10"/>
    </row>
    <row r="1491" customFormat="false" ht="15" hidden="false" customHeight="true" outlineLevel="0" collapsed="false">
      <c r="A1491" s="13"/>
      <c r="B1491" s="10"/>
      <c r="C1491" s="10"/>
      <c r="D1491" s="14"/>
      <c r="E1491" s="11"/>
      <c r="F1491" s="15" t="str">
        <f aca="false">IF($B1491="","",IF(AND($D1491="",$E1491=""),"",IF(OR($D1491="",$E1491=""),0,ROUND($D1491*$E1491,0))))</f>
        <v/>
      </c>
      <c r="G1491" s="13"/>
      <c r="H1491" s="11"/>
      <c r="I1491" s="15" t="str">
        <f aca="false">IF($F1491="","",$F1491-IF($H1491="",0,$H1491))</f>
        <v/>
      </c>
      <c r="J1491" s="16" t="str">
        <f aca="true">IF(OR($A1491="",$I1491="",$I1491&lt;=0),"",TODAY()-$A1491)</f>
        <v/>
      </c>
      <c r="K1491" s="10"/>
    </row>
    <row r="1492" customFormat="false" ht="15" hidden="false" customHeight="true" outlineLevel="0" collapsed="false">
      <c r="A1492" s="13"/>
      <c r="B1492" s="10"/>
      <c r="C1492" s="10"/>
      <c r="D1492" s="14"/>
      <c r="E1492" s="11"/>
      <c r="F1492" s="15" t="str">
        <f aca="false">IF($B1492="","",IF(AND($D1492="",$E1492=""),"",IF(OR($D1492="",$E1492=""),0,ROUND($D1492*$E1492,0))))</f>
        <v/>
      </c>
      <c r="G1492" s="13"/>
      <c r="H1492" s="11"/>
      <c r="I1492" s="15" t="str">
        <f aca="false">IF($F1492="","",$F1492-IF($H1492="",0,$H1492))</f>
        <v/>
      </c>
      <c r="J1492" s="16" t="str">
        <f aca="true">IF(OR($A1492="",$I1492="",$I1492&lt;=0),"",TODAY()-$A1492)</f>
        <v/>
      </c>
      <c r="K1492" s="10"/>
    </row>
    <row r="1493" customFormat="false" ht="15" hidden="false" customHeight="true" outlineLevel="0" collapsed="false">
      <c r="A1493" s="13"/>
      <c r="B1493" s="10"/>
      <c r="C1493" s="10"/>
      <c r="D1493" s="14"/>
      <c r="E1493" s="11"/>
      <c r="F1493" s="15" t="str">
        <f aca="false">IF($B1493="","",IF(AND($D1493="",$E1493=""),"",IF(OR($D1493="",$E1493=""),0,ROUND($D1493*$E1493,0))))</f>
        <v/>
      </c>
      <c r="G1493" s="13"/>
      <c r="H1493" s="11"/>
      <c r="I1493" s="15" t="str">
        <f aca="false">IF($F1493="","",$F1493-IF($H1493="",0,$H1493))</f>
        <v/>
      </c>
      <c r="J1493" s="16" t="str">
        <f aca="true">IF(OR($A1493="",$I1493="",$I1493&lt;=0),"",TODAY()-$A1493)</f>
        <v/>
      </c>
      <c r="K1493" s="10"/>
    </row>
    <row r="1494" customFormat="false" ht="15" hidden="false" customHeight="true" outlineLevel="0" collapsed="false">
      <c r="A1494" s="13"/>
      <c r="B1494" s="10"/>
      <c r="C1494" s="10"/>
      <c r="D1494" s="14"/>
      <c r="E1494" s="11"/>
      <c r="F1494" s="15" t="str">
        <f aca="false">IF($B1494="","",IF(AND($D1494="",$E1494=""),"",IF(OR($D1494="",$E1494=""),0,ROUND($D1494*$E1494,0))))</f>
        <v/>
      </c>
      <c r="G1494" s="13"/>
      <c r="H1494" s="11"/>
      <c r="I1494" s="15" t="str">
        <f aca="false">IF($F1494="","",$F1494-IF($H1494="",0,$H1494))</f>
        <v/>
      </c>
      <c r="J1494" s="16" t="str">
        <f aca="true">IF(OR($A1494="",$I1494="",$I1494&lt;=0),"",TODAY()-$A1494)</f>
        <v/>
      </c>
      <c r="K1494" s="10"/>
    </row>
    <row r="1495" customFormat="false" ht="15" hidden="false" customHeight="true" outlineLevel="0" collapsed="false">
      <c r="A1495" s="13"/>
      <c r="B1495" s="10"/>
      <c r="C1495" s="10"/>
      <c r="D1495" s="14"/>
      <c r="E1495" s="11"/>
      <c r="F1495" s="15" t="str">
        <f aca="false">IF($B1495="","",IF(AND($D1495="",$E1495=""),"",IF(OR($D1495="",$E1495=""),0,ROUND($D1495*$E1495,0))))</f>
        <v/>
      </c>
      <c r="G1495" s="13"/>
      <c r="H1495" s="11"/>
      <c r="I1495" s="15" t="str">
        <f aca="false">IF($F1495="","",$F1495-IF($H1495="",0,$H1495))</f>
        <v/>
      </c>
      <c r="J1495" s="16" t="str">
        <f aca="true">IF(OR($A1495="",$I1495="",$I1495&lt;=0),"",TODAY()-$A1495)</f>
        <v/>
      </c>
      <c r="K1495" s="10"/>
    </row>
    <row r="1496" customFormat="false" ht="15" hidden="false" customHeight="true" outlineLevel="0" collapsed="false">
      <c r="A1496" s="13"/>
      <c r="B1496" s="10"/>
      <c r="C1496" s="10"/>
      <c r="D1496" s="14"/>
      <c r="E1496" s="11"/>
      <c r="F1496" s="15" t="str">
        <f aca="false">IF($B1496="","",IF(AND($D1496="",$E1496=""),"",IF(OR($D1496="",$E1496=""),0,ROUND($D1496*$E1496,0))))</f>
        <v/>
      </c>
      <c r="G1496" s="13"/>
      <c r="H1496" s="11"/>
      <c r="I1496" s="15" t="str">
        <f aca="false">IF($F1496="","",$F1496-IF($H1496="",0,$H1496))</f>
        <v/>
      </c>
      <c r="J1496" s="16" t="str">
        <f aca="true">IF(OR($A1496="",$I1496="",$I1496&lt;=0),"",TODAY()-$A1496)</f>
        <v/>
      </c>
      <c r="K1496" s="10"/>
    </row>
    <row r="1497" customFormat="false" ht="15" hidden="false" customHeight="true" outlineLevel="0" collapsed="false">
      <c r="A1497" s="13"/>
      <c r="B1497" s="10"/>
      <c r="C1497" s="10"/>
      <c r="D1497" s="14"/>
      <c r="E1497" s="11"/>
      <c r="F1497" s="15" t="str">
        <f aca="false">IF($B1497="","",IF(AND($D1497="",$E1497=""),"",IF(OR($D1497="",$E1497=""),0,ROUND($D1497*$E1497,0))))</f>
        <v/>
      </c>
      <c r="G1497" s="13"/>
      <c r="H1497" s="11"/>
      <c r="I1497" s="15" t="str">
        <f aca="false">IF($F1497="","",$F1497-IF($H1497="",0,$H1497))</f>
        <v/>
      </c>
      <c r="J1497" s="16" t="str">
        <f aca="true">IF(OR($A1497="",$I1497="",$I1497&lt;=0),"",TODAY()-$A1497)</f>
        <v/>
      </c>
      <c r="K1497" s="10"/>
    </row>
    <row r="1498" customFormat="false" ht="15" hidden="false" customHeight="true" outlineLevel="0" collapsed="false">
      <c r="A1498" s="13"/>
      <c r="B1498" s="10"/>
      <c r="C1498" s="10"/>
      <c r="D1498" s="14"/>
      <c r="E1498" s="11"/>
      <c r="F1498" s="15" t="str">
        <f aca="false">IF($B1498="","",IF(AND($D1498="",$E1498=""),"",IF(OR($D1498="",$E1498=""),0,ROUND($D1498*$E1498,0))))</f>
        <v/>
      </c>
      <c r="G1498" s="13"/>
      <c r="H1498" s="11"/>
      <c r="I1498" s="15" t="str">
        <f aca="false">IF($F1498="","",$F1498-IF($H1498="",0,$H1498))</f>
        <v/>
      </c>
      <c r="J1498" s="16" t="str">
        <f aca="true">IF(OR($A1498="",$I1498="",$I1498&lt;=0),"",TODAY()-$A1498)</f>
        <v/>
      </c>
      <c r="K1498" s="10"/>
    </row>
    <row r="1499" customFormat="false" ht="15" hidden="false" customHeight="true" outlineLevel="0" collapsed="false">
      <c r="A1499" s="13"/>
      <c r="B1499" s="10"/>
      <c r="C1499" s="10"/>
      <c r="D1499" s="14"/>
      <c r="E1499" s="11"/>
      <c r="F1499" s="15" t="str">
        <f aca="false">IF($B1499="","",IF(AND($D1499="",$E1499=""),"",IF(OR($D1499="",$E1499=""),0,ROUND($D1499*$E1499,0))))</f>
        <v/>
      </c>
      <c r="G1499" s="13"/>
      <c r="H1499" s="11"/>
      <c r="I1499" s="15" t="str">
        <f aca="false">IF($F1499="","",$F1499-IF($H1499="",0,$H1499))</f>
        <v/>
      </c>
      <c r="J1499" s="16" t="str">
        <f aca="true">IF(OR($A1499="",$I1499="",$I1499&lt;=0),"",TODAY()-$A1499)</f>
        <v/>
      </c>
      <c r="K1499" s="10"/>
    </row>
    <row r="1500" customFormat="false" ht="15" hidden="false" customHeight="true" outlineLevel="0" collapsed="false">
      <c r="A1500" s="13"/>
      <c r="B1500" s="10"/>
      <c r="C1500" s="10"/>
      <c r="D1500" s="14"/>
      <c r="E1500" s="11"/>
      <c r="F1500" s="15" t="str">
        <f aca="false">IF($B1500="","",IF(AND($D1500="",$E1500=""),"",IF(OR($D1500="",$E1500=""),0,ROUND($D1500*$E1500,0))))</f>
        <v/>
      </c>
      <c r="G1500" s="13"/>
      <c r="H1500" s="11"/>
      <c r="I1500" s="15" t="str">
        <f aca="false">IF($F1500="","",$F1500-IF($H1500="",0,$H1500))</f>
        <v/>
      </c>
      <c r="J1500" s="16" t="str">
        <f aca="true">IF(OR($A1500="",$I1500="",$I1500&lt;=0),"",TODAY()-$A1500)</f>
        <v/>
      </c>
      <c r="K1500" s="10"/>
    </row>
    <row r="1501" customFormat="false" ht="15" hidden="false" customHeight="true" outlineLevel="0" collapsed="false">
      <c r="A1501" s="13"/>
      <c r="B1501" s="10"/>
      <c r="C1501" s="10"/>
      <c r="D1501" s="14"/>
      <c r="E1501" s="11"/>
      <c r="F1501" s="15" t="str">
        <f aca="false">IF($B1501="","",IF(AND($D1501="",$E1501=""),"",IF(OR($D1501="",$E1501=""),0,ROUND($D1501*$E1501,0))))</f>
        <v/>
      </c>
      <c r="G1501" s="13"/>
      <c r="H1501" s="11"/>
      <c r="I1501" s="15" t="str">
        <f aca="false">IF($F1501="","",$F1501-IF($H1501="",0,$H1501))</f>
        <v/>
      </c>
      <c r="J1501" s="16" t="str">
        <f aca="true">IF(OR($A1501="",$I1501="",$I1501&lt;=0),"",TODAY()-$A1501)</f>
        <v/>
      </c>
      <c r="K1501" s="10"/>
    </row>
    <row r="1502" customFormat="false" ht="15" hidden="false" customHeight="true" outlineLevel="0" collapsed="false">
      <c r="A1502" s="13"/>
      <c r="B1502" s="10"/>
      <c r="C1502" s="10"/>
      <c r="D1502" s="14"/>
      <c r="E1502" s="11"/>
      <c r="F1502" s="15" t="str">
        <f aca="false">IF($B1502="","",IF(AND($D1502="",$E1502=""),"",IF(OR($D1502="",$E1502=""),0,ROUND($D1502*$E1502,0))))</f>
        <v/>
      </c>
      <c r="G1502" s="13"/>
      <c r="H1502" s="11"/>
      <c r="I1502" s="15" t="str">
        <f aca="false">IF($F1502="","",$F1502-IF($H1502="",0,$H1502))</f>
        <v/>
      </c>
      <c r="J1502" s="16" t="str">
        <f aca="true">IF(OR($A1502="",$I1502="",$I1502&lt;=0),"",TODAY()-$A1502)</f>
        <v/>
      </c>
      <c r="K1502" s="10"/>
    </row>
    <row r="1503" customFormat="false" ht="15" hidden="false" customHeight="true" outlineLevel="0" collapsed="false">
      <c r="A1503" s="13"/>
      <c r="B1503" s="10"/>
      <c r="C1503" s="10"/>
      <c r="D1503" s="14"/>
      <c r="E1503" s="11"/>
      <c r="F1503" s="15" t="str">
        <f aca="false">IF($B1503="","",IF(AND($D1503="",$E1503=""),"",IF(OR($D1503="",$E1503=""),0,ROUND($D1503*$E1503,0))))</f>
        <v/>
      </c>
      <c r="G1503" s="13"/>
      <c r="H1503" s="11"/>
      <c r="I1503" s="15" t="str">
        <f aca="false">IF($F1503="","",$F1503-IF($H1503="",0,$H1503))</f>
        <v/>
      </c>
      <c r="J1503" s="16" t="str">
        <f aca="true">IF(OR($A1503="",$I1503="",$I1503&lt;=0),"",TODAY()-$A1503)</f>
        <v/>
      </c>
      <c r="K1503" s="10"/>
    </row>
    <row r="1504" customFormat="false" ht="15" hidden="false" customHeight="true" outlineLevel="0" collapsed="false">
      <c r="A1504" s="13"/>
      <c r="B1504" s="10"/>
      <c r="C1504" s="10"/>
      <c r="D1504" s="14"/>
      <c r="E1504" s="11"/>
      <c r="F1504" s="15" t="str">
        <f aca="false">IF($B1504="","",IF(AND($D1504="",$E1504=""),"",IF(OR($D1504="",$E1504=""),0,ROUND($D1504*$E1504,0))))</f>
        <v/>
      </c>
      <c r="G1504" s="13"/>
      <c r="H1504" s="11"/>
      <c r="I1504" s="15" t="str">
        <f aca="false">IF($F1504="","",$F1504-IF($H1504="",0,$H1504))</f>
        <v/>
      </c>
      <c r="J1504" s="16" t="str">
        <f aca="true">IF(OR($A1504="",$I1504="",$I1504&lt;=0),"",TODAY()-$A1504)</f>
        <v/>
      </c>
      <c r="K1504" s="10"/>
    </row>
    <row r="1505" customFormat="false" ht="15" hidden="false" customHeight="true" outlineLevel="0" collapsed="false">
      <c r="A1505" s="13"/>
      <c r="B1505" s="10"/>
      <c r="C1505" s="10"/>
      <c r="D1505" s="14"/>
      <c r="E1505" s="11"/>
      <c r="F1505" s="15" t="str">
        <f aca="false">IF($B1505="","",IF(AND($D1505="",$E1505=""),"",IF(OR($D1505="",$E1505=""),0,ROUND($D1505*$E1505,0))))</f>
        <v/>
      </c>
      <c r="G1505" s="13"/>
      <c r="H1505" s="11"/>
      <c r="I1505" s="15" t="str">
        <f aca="false">IF($F1505="","",$F1505-IF($H1505="",0,$H1505))</f>
        <v/>
      </c>
      <c r="J1505" s="16" t="str">
        <f aca="true">IF(OR($A1505="",$I1505="",$I1505&lt;=0),"",TODAY()-$A1505)</f>
        <v/>
      </c>
      <c r="K1505" s="10"/>
    </row>
    <row r="1506" customFormat="false" ht="15" hidden="false" customHeight="true" outlineLevel="0" collapsed="false">
      <c r="A1506" s="13"/>
      <c r="B1506" s="10"/>
      <c r="C1506" s="10"/>
      <c r="D1506" s="14"/>
      <c r="E1506" s="11"/>
      <c r="F1506" s="15" t="str">
        <f aca="false">IF($B1506="","",IF(AND($D1506="",$E1506=""),"",IF(OR($D1506="",$E1506=""),0,ROUND($D1506*$E1506,0))))</f>
        <v/>
      </c>
      <c r="G1506" s="13"/>
      <c r="H1506" s="11"/>
      <c r="I1506" s="15" t="str">
        <f aca="false">IF($F1506="","",$F1506-IF($H1506="",0,$H1506))</f>
        <v/>
      </c>
      <c r="J1506" s="16" t="str">
        <f aca="true">IF(OR($A1506="",$I1506="",$I1506&lt;=0),"",TODAY()-$A1506)</f>
        <v/>
      </c>
      <c r="K1506" s="10"/>
    </row>
    <row r="1507" customFormat="false" ht="15" hidden="false" customHeight="true" outlineLevel="0" collapsed="false">
      <c r="A1507" s="13"/>
      <c r="B1507" s="10"/>
      <c r="C1507" s="10"/>
      <c r="D1507" s="14"/>
      <c r="E1507" s="11"/>
      <c r="F1507" s="15" t="str">
        <f aca="false">IF($B1507="","",IF(AND($D1507="",$E1507=""),"",IF(OR($D1507="",$E1507=""),0,ROUND($D1507*$E1507,0))))</f>
        <v/>
      </c>
      <c r="G1507" s="13"/>
      <c r="H1507" s="11"/>
      <c r="I1507" s="15" t="str">
        <f aca="false">IF($F1507="","",$F1507-IF($H1507="",0,$H1507))</f>
        <v/>
      </c>
      <c r="J1507" s="16" t="str">
        <f aca="true">IF(OR($A1507="",$I1507="",$I1507&lt;=0),"",TODAY()-$A1507)</f>
        <v/>
      </c>
      <c r="K1507" s="10"/>
    </row>
    <row r="1508" customFormat="false" ht="15" hidden="false" customHeight="true" outlineLevel="0" collapsed="false">
      <c r="A1508" s="13"/>
      <c r="B1508" s="10"/>
      <c r="C1508" s="10"/>
      <c r="D1508" s="14"/>
      <c r="E1508" s="11"/>
      <c r="F1508" s="15" t="str">
        <f aca="false">IF($B1508="","",IF(AND($D1508="",$E1508=""),"",IF(OR($D1508="",$E1508=""),0,ROUND($D1508*$E1508,0))))</f>
        <v/>
      </c>
      <c r="G1508" s="13"/>
      <c r="H1508" s="11"/>
      <c r="I1508" s="15" t="str">
        <f aca="false">IF($F1508="","",$F1508-IF($H1508="",0,$H1508))</f>
        <v/>
      </c>
      <c r="J1508" s="16" t="str">
        <f aca="true">IF(OR($A1508="",$I1508="",$I1508&lt;=0),"",TODAY()-$A1508)</f>
        <v/>
      </c>
      <c r="K1508" s="10"/>
    </row>
    <row r="1509" customFormat="false" ht="15" hidden="false" customHeight="true" outlineLevel="0" collapsed="false">
      <c r="A1509" s="13"/>
      <c r="B1509" s="10"/>
      <c r="C1509" s="10"/>
      <c r="D1509" s="14"/>
      <c r="E1509" s="11"/>
      <c r="F1509" s="15" t="str">
        <f aca="false">IF($B1509="","",IF(AND($D1509="",$E1509=""),"",IF(OR($D1509="",$E1509=""),0,ROUND($D1509*$E1509,0))))</f>
        <v/>
      </c>
      <c r="G1509" s="13"/>
      <c r="H1509" s="11"/>
      <c r="I1509" s="15" t="str">
        <f aca="false">IF($F1509="","",$F1509-IF($H1509="",0,$H1509))</f>
        <v/>
      </c>
      <c r="J1509" s="16" t="str">
        <f aca="true">IF(OR($A1509="",$I1509="",$I1509&lt;=0),"",TODAY()-$A1509)</f>
        <v/>
      </c>
      <c r="K1509" s="10"/>
    </row>
    <row r="1510" customFormat="false" ht="15" hidden="false" customHeight="true" outlineLevel="0" collapsed="false">
      <c r="A1510" s="13"/>
      <c r="B1510" s="10"/>
      <c r="C1510" s="10"/>
      <c r="D1510" s="14"/>
      <c r="E1510" s="11"/>
      <c r="F1510" s="15" t="str">
        <f aca="false">IF($B1510="","",IF(AND($D1510="",$E1510=""),"",IF(OR($D1510="",$E1510=""),0,ROUND($D1510*$E1510,0))))</f>
        <v/>
      </c>
      <c r="G1510" s="13"/>
      <c r="H1510" s="11"/>
      <c r="I1510" s="15" t="str">
        <f aca="false">IF($F1510="","",$F1510-IF($H1510="",0,$H1510))</f>
        <v/>
      </c>
      <c r="J1510" s="16" t="str">
        <f aca="true">IF(OR($A1510="",$I1510="",$I1510&lt;=0),"",TODAY()-$A1510)</f>
        <v/>
      </c>
      <c r="K1510" s="10"/>
    </row>
    <row r="1511" customFormat="false" ht="15" hidden="false" customHeight="true" outlineLevel="0" collapsed="false">
      <c r="A1511" s="13"/>
      <c r="B1511" s="10"/>
      <c r="C1511" s="10"/>
      <c r="D1511" s="14"/>
      <c r="E1511" s="11"/>
      <c r="F1511" s="15" t="str">
        <f aca="false">IF($B1511="","",IF(AND($D1511="",$E1511=""),"",IF(OR($D1511="",$E1511=""),0,ROUND($D1511*$E1511,0))))</f>
        <v/>
      </c>
      <c r="G1511" s="13"/>
      <c r="H1511" s="11"/>
      <c r="I1511" s="15" t="str">
        <f aca="false">IF($F1511="","",$F1511-IF($H1511="",0,$H1511))</f>
        <v/>
      </c>
      <c r="J1511" s="16" t="str">
        <f aca="true">IF(OR($A1511="",$I1511="",$I1511&lt;=0),"",TODAY()-$A1511)</f>
        <v/>
      </c>
      <c r="K1511" s="10"/>
    </row>
    <row r="1512" customFormat="false" ht="15" hidden="false" customHeight="true" outlineLevel="0" collapsed="false">
      <c r="A1512" s="13"/>
      <c r="B1512" s="10"/>
      <c r="C1512" s="10"/>
      <c r="D1512" s="14"/>
      <c r="E1512" s="11"/>
      <c r="F1512" s="15" t="str">
        <f aca="false">IF($B1512="","",IF(AND($D1512="",$E1512=""),"",IF(OR($D1512="",$E1512=""),0,ROUND($D1512*$E1512,0))))</f>
        <v/>
      </c>
      <c r="G1512" s="13"/>
      <c r="H1512" s="11"/>
      <c r="I1512" s="15" t="str">
        <f aca="false">IF($F1512="","",$F1512-IF($H1512="",0,$H1512))</f>
        <v/>
      </c>
      <c r="J1512" s="16" t="str">
        <f aca="true">IF(OR($A1512="",$I1512="",$I1512&lt;=0),"",TODAY()-$A1512)</f>
        <v/>
      </c>
      <c r="K1512" s="10"/>
    </row>
    <row r="1513" customFormat="false" ht="15" hidden="false" customHeight="true" outlineLevel="0" collapsed="false">
      <c r="A1513" s="13"/>
      <c r="B1513" s="10"/>
      <c r="C1513" s="10"/>
      <c r="D1513" s="14"/>
      <c r="E1513" s="11"/>
      <c r="F1513" s="15" t="str">
        <f aca="false">IF($B1513="","",IF(AND($D1513="",$E1513=""),"",IF(OR($D1513="",$E1513=""),0,ROUND($D1513*$E1513,0))))</f>
        <v/>
      </c>
      <c r="G1513" s="13"/>
      <c r="H1513" s="11"/>
      <c r="I1513" s="15" t="str">
        <f aca="false">IF($F1513="","",$F1513-IF($H1513="",0,$H1513))</f>
        <v/>
      </c>
      <c r="J1513" s="16" t="str">
        <f aca="true">IF(OR($A1513="",$I1513="",$I1513&lt;=0),"",TODAY()-$A1513)</f>
        <v/>
      </c>
      <c r="K1513" s="10"/>
    </row>
    <row r="1514" customFormat="false" ht="15" hidden="false" customHeight="true" outlineLevel="0" collapsed="false">
      <c r="A1514" s="13"/>
      <c r="B1514" s="10"/>
      <c r="C1514" s="10"/>
      <c r="D1514" s="14"/>
      <c r="E1514" s="11"/>
      <c r="F1514" s="15" t="str">
        <f aca="false">IF($B1514="","",IF(AND($D1514="",$E1514=""),"",IF(OR($D1514="",$E1514=""),0,ROUND($D1514*$E1514,0))))</f>
        <v/>
      </c>
      <c r="G1514" s="13"/>
      <c r="H1514" s="11"/>
      <c r="I1514" s="15" t="str">
        <f aca="false">IF($F1514="","",$F1514-IF($H1514="",0,$H1514))</f>
        <v/>
      </c>
      <c r="J1514" s="16" t="str">
        <f aca="true">IF(OR($A1514="",$I1514="",$I1514&lt;=0),"",TODAY()-$A1514)</f>
        <v/>
      </c>
      <c r="K1514" s="10"/>
    </row>
    <row r="1515" customFormat="false" ht="15" hidden="false" customHeight="true" outlineLevel="0" collapsed="false">
      <c r="A1515" s="13"/>
      <c r="B1515" s="10"/>
      <c r="C1515" s="10"/>
      <c r="D1515" s="14"/>
      <c r="E1515" s="11"/>
      <c r="F1515" s="15" t="str">
        <f aca="false">IF($B1515="","",IF(AND($D1515="",$E1515=""),"",IF(OR($D1515="",$E1515=""),0,ROUND($D1515*$E1515,0))))</f>
        <v/>
      </c>
      <c r="G1515" s="13"/>
      <c r="H1515" s="11"/>
      <c r="I1515" s="15" t="str">
        <f aca="false">IF($F1515="","",$F1515-IF($H1515="",0,$H1515))</f>
        <v/>
      </c>
      <c r="J1515" s="16" t="str">
        <f aca="true">IF(OR($A1515="",$I1515="",$I1515&lt;=0),"",TODAY()-$A1515)</f>
        <v/>
      </c>
      <c r="K1515" s="10"/>
    </row>
    <row r="1516" customFormat="false" ht="15" hidden="false" customHeight="true" outlineLevel="0" collapsed="false">
      <c r="A1516" s="13"/>
      <c r="B1516" s="10"/>
      <c r="C1516" s="10"/>
      <c r="D1516" s="14"/>
      <c r="E1516" s="11"/>
      <c r="F1516" s="15" t="str">
        <f aca="false">IF($B1516="","",IF(AND($D1516="",$E1516=""),"",IF(OR($D1516="",$E1516=""),0,ROUND($D1516*$E1516,0))))</f>
        <v/>
      </c>
      <c r="G1516" s="13"/>
      <c r="H1516" s="11"/>
      <c r="I1516" s="15" t="str">
        <f aca="false">IF($F1516="","",$F1516-IF($H1516="",0,$H1516))</f>
        <v/>
      </c>
      <c r="J1516" s="16" t="str">
        <f aca="true">IF(OR($A1516="",$I1516="",$I1516&lt;=0),"",TODAY()-$A1516)</f>
        <v/>
      </c>
      <c r="K1516" s="10"/>
    </row>
    <row r="1517" customFormat="false" ht="15" hidden="false" customHeight="true" outlineLevel="0" collapsed="false">
      <c r="A1517" s="13"/>
      <c r="B1517" s="10"/>
      <c r="C1517" s="10"/>
      <c r="D1517" s="14"/>
      <c r="E1517" s="11"/>
      <c r="F1517" s="15" t="str">
        <f aca="false">IF($B1517="","",IF(AND($D1517="",$E1517=""),"",IF(OR($D1517="",$E1517=""),0,ROUND($D1517*$E1517,0))))</f>
        <v/>
      </c>
      <c r="G1517" s="13"/>
      <c r="H1517" s="11"/>
      <c r="I1517" s="15" t="str">
        <f aca="false">IF($F1517="","",$F1517-IF($H1517="",0,$H1517))</f>
        <v/>
      </c>
      <c r="J1517" s="16" t="str">
        <f aca="true">IF(OR($A1517="",$I1517="",$I1517&lt;=0),"",TODAY()-$A1517)</f>
        <v/>
      </c>
      <c r="K1517" s="10"/>
    </row>
    <row r="1518" customFormat="false" ht="15" hidden="false" customHeight="true" outlineLevel="0" collapsed="false">
      <c r="A1518" s="13"/>
      <c r="B1518" s="10"/>
      <c r="C1518" s="10"/>
      <c r="D1518" s="14"/>
      <c r="E1518" s="11"/>
      <c r="F1518" s="15" t="str">
        <f aca="false">IF($B1518="","",IF(AND($D1518="",$E1518=""),"",IF(OR($D1518="",$E1518=""),0,ROUND($D1518*$E1518,0))))</f>
        <v/>
      </c>
      <c r="G1518" s="13"/>
      <c r="H1518" s="11"/>
      <c r="I1518" s="15" t="str">
        <f aca="false">IF($F1518="","",$F1518-IF($H1518="",0,$H1518))</f>
        <v/>
      </c>
      <c r="J1518" s="16" t="str">
        <f aca="true">IF(OR($A1518="",$I1518="",$I1518&lt;=0),"",TODAY()-$A1518)</f>
        <v/>
      </c>
      <c r="K1518" s="10"/>
    </row>
    <row r="1519" customFormat="false" ht="15" hidden="false" customHeight="true" outlineLevel="0" collapsed="false">
      <c r="A1519" s="13"/>
      <c r="B1519" s="10"/>
      <c r="C1519" s="10"/>
      <c r="D1519" s="14"/>
      <c r="E1519" s="11"/>
      <c r="F1519" s="15" t="str">
        <f aca="false">IF($B1519="","",IF(AND($D1519="",$E1519=""),"",IF(OR($D1519="",$E1519=""),0,ROUND($D1519*$E1519,0))))</f>
        <v/>
      </c>
      <c r="G1519" s="13"/>
      <c r="H1519" s="11"/>
      <c r="I1519" s="15" t="str">
        <f aca="false">IF($F1519="","",$F1519-IF($H1519="",0,$H1519))</f>
        <v/>
      </c>
      <c r="J1519" s="16" t="str">
        <f aca="true">IF(OR($A1519="",$I1519="",$I1519&lt;=0),"",TODAY()-$A1519)</f>
        <v/>
      </c>
      <c r="K1519" s="10"/>
    </row>
    <row r="1520" customFormat="false" ht="15" hidden="false" customHeight="true" outlineLevel="0" collapsed="false">
      <c r="A1520" s="13"/>
      <c r="B1520" s="10"/>
      <c r="C1520" s="10"/>
      <c r="D1520" s="14"/>
      <c r="E1520" s="11"/>
      <c r="F1520" s="15" t="str">
        <f aca="false">IF($B1520="","",IF(AND($D1520="",$E1520=""),"",IF(OR($D1520="",$E1520=""),0,ROUND($D1520*$E1520,0))))</f>
        <v/>
      </c>
      <c r="G1520" s="13"/>
      <c r="H1520" s="11"/>
      <c r="I1520" s="15" t="str">
        <f aca="false">IF($F1520="","",$F1520-IF($H1520="",0,$H1520))</f>
        <v/>
      </c>
      <c r="J1520" s="16" t="str">
        <f aca="true">IF(OR($A1520="",$I1520="",$I1520&lt;=0),"",TODAY()-$A1520)</f>
        <v/>
      </c>
      <c r="K1520" s="10"/>
    </row>
    <row r="1521" customFormat="false" ht="15" hidden="false" customHeight="true" outlineLevel="0" collapsed="false">
      <c r="A1521" s="13"/>
      <c r="B1521" s="10"/>
      <c r="C1521" s="10"/>
      <c r="D1521" s="14"/>
      <c r="E1521" s="11"/>
      <c r="F1521" s="15" t="str">
        <f aca="false">IF($B1521="","",IF(AND($D1521="",$E1521=""),"",IF(OR($D1521="",$E1521=""),0,ROUND($D1521*$E1521,0))))</f>
        <v/>
      </c>
      <c r="G1521" s="13"/>
      <c r="H1521" s="11"/>
      <c r="I1521" s="15" t="str">
        <f aca="false">IF($F1521="","",$F1521-IF($H1521="",0,$H1521))</f>
        <v/>
      </c>
      <c r="J1521" s="16" t="str">
        <f aca="true">IF(OR($A1521="",$I1521="",$I1521&lt;=0),"",TODAY()-$A1521)</f>
        <v/>
      </c>
      <c r="K1521" s="10"/>
    </row>
    <row r="1522" customFormat="false" ht="15" hidden="false" customHeight="true" outlineLevel="0" collapsed="false">
      <c r="A1522" s="13"/>
      <c r="B1522" s="10"/>
      <c r="C1522" s="10"/>
      <c r="D1522" s="14"/>
      <c r="E1522" s="11"/>
      <c r="F1522" s="15" t="str">
        <f aca="false">IF($B1522="","",IF(AND($D1522="",$E1522=""),"",IF(OR($D1522="",$E1522=""),0,ROUND($D1522*$E1522,0))))</f>
        <v/>
      </c>
      <c r="G1522" s="13"/>
      <c r="H1522" s="11"/>
      <c r="I1522" s="15" t="str">
        <f aca="false">IF($F1522="","",$F1522-IF($H1522="",0,$H1522))</f>
        <v/>
      </c>
      <c r="J1522" s="16" t="str">
        <f aca="true">IF(OR($A1522="",$I1522="",$I1522&lt;=0),"",TODAY()-$A1522)</f>
        <v/>
      </c>
      <c r="K1522" s="10"/>
    </row>
    <row r="1523" customFormat="false" ht="15" hidden="false" customHeight="true" outlineLevel="0" collapsed="false">
      <c r="A1523" s="13"/>
      <c r="B1523" s="10"/>
      <c r="C1523" s="10"/>
      <c r="D1523" s="14"/>
      <c r="E1523" s="11"/>
      <c r="F1523" s="15" t="str">
        <f aca="false">IF($B1523="","",IF(AND($D1523="",$E1523=""),"",IF(OR($D1523="",$E1523=""),0,ROUND($D1523*$E1523,0))))</f>
        <v/>
      </c>
      <c r="G1523" s="13"/>
      <c r="H1523" s="11"/>
      <c r="I1523" s="15" t="str">
        <f aca="false">IF($F1523="","",$F1523-IF($H1523="",0,$H1523))</f>
        <v/>
      </c>
      <c r="J1523" s="16" t="str">
        <f aca="true">IF(OR($A1523="",$I1523="",$I1523&lt;=0),"",TODAY()-$A1523)</f>
        <v/>
      </c>
      <c r="K1523" s="10"/>
    </row>
    <row r="1524" customFormat="false" ht="15" hidden="false" customHeight="true" outlineLevel="0" collapsed="false">
      <c r="A1524" s="13"/>
      <c r="B1524" s="10"/>
      <c r="C1524" s="10"/>
      <c r="D1524" s="14"/>
      <c r="E1524" s="11"/>
      <c r="F1524" s="15" t="str">
        <f aca="false">IF($B1524="","",IF(AND($D1524="",$E1524=""),"",IF(OR($D1524="",$E1524=""),0,ROUND($D1524*$E1524,0))))</f>
        <v/>
      </c>
      <c r="G1524" s="13"/>
      <c r="H1524" s="11"/>
      <c r="I1524" s="15" t="str">
        <f aca="false">IF($F1524="","",$F1524-IF($H1524="",0,$H1524))</f>
        <v/>
      </c>
      <c r="J1524" s="16" t="str">
        <f aca="true">IF(OR($A1524="",$I1524="",$I1524&lt;=0),"",TODAY()-$A1524)</f>
        <v/>
      </c>
      <c r="K1524" s="10"/>
    </row>
    <row r="1525" customFormat="false" ht="15" hidden="false" customHeight="true" outlineLevel="0" collapsed="false">
      <c r="A1525" s="13"/>
      <c r="B1525" s="10"/>
      <c r="C1525" s="10"/>
      <c r="D1525" s="14"/>
      <c r="E1525" s="11"/>
      <c r="F1525" s="15" t="str">
        <f aca="false">IF($B1525="","",IF(AND($D1525="",$E1525=""),"",IF(OR($D1525="",$E1525=""),0,ROUND($D1525*$E1525,0))))</f>
        <v/>
      </c>
      <c r="G1525" s="13"/>
      <c r="H1525" s="11"/>
      <c r="I1525" s="15" t="str">
        <f aca="false">IF($F1525="","",$F1525-IF($H1525="",0,$H1525))</f>
        <v/>
      </c>
      <c r="J1525" s="16" t="str">
        <f aca="true">IF(OR($A1525="",$I1525="",$I1525&lt;=0),"",TODAY()-$A1525)</f>
        <v/>
      </c>
      <c r="K1525" s="10"/>
    </row>
    <row r="1526" customFormat="false" ht="15" hidden="false" customHeight="true" outlineLevel="0" collapsed="false">
      <c r="A1526" s="13"/>
      <c r="B1526" s="10"/>
      <c r="C1526" s="10"/>
      <c r="D1526" s="14"/>
      <c r="E1526" s="11"/>
      <c r="F1526" s="15" t="str">
        <f aca="false">IF($B1526="","",IF(AND($D1526="",$E1526=""),"",IF(OR($D1526="",$E1526=""),0,ROUND($D1526*$E1526,0))))</f>
        <v/>
      </c>
      <c r="G1526" s="13"/>
      <c r="H1526" s="11"/>
      <c r="I1526" s="15" t="str">
        <f aca="false">IF($F1526="","",$F1526-IF($H1526="",0,$H1526))</f>
        <v/>
      </c>
      <c r="J1526" s="16" t="str">
        <f aca="true">IF(OR($A1526="",$I1526="",$I1526&lt;=0),"",TODAY()-$A1526)</f>
        <v/>
      </c>
      <c r="K1526" s="10"/>
    </row>
    <row r="1527" customFormat="false" ht="15" hidden="false" customHeight="true" outlineLevel="0" collapsed="false">
      <c r="A1527" s="13"/>
      <c r="B1527" s="10"/>
      <c r="C1527" s="10"/>
      <c r="D1527" s="14"/>
      <c r="E1527" s="11"/>
      <c r="F1527" s="15" t="str">
        <f aca="false">IF($B1527="","",IF(AND($D1527="",$E1527=""),"",IF(OR($D1527="",$E1527=""),0,ROUND($D1527*$E1527,0))))</f>
        <v/>
      </c>
      <c r="G1527" s="13"/>
      <c r="H1527" s="11"/>
      <c r="I1527" s="15" t="str">
        <f aca="false">IF($F1527="","",$F1527-IF($H1527="",0,$H1527))</f>
        <v/>
      </c>
      <c r="J1527" s="16" t="str">
        <f aca="true">IF(OR($A1527="",$I1527="",$I1527&lt;=0),"",TODAY()-$A1527)</f>
        <v/>
      </c>
      <c r="K1527" s="10"/>
    </row>
    <row r="1528" customFormat="false" ht="15" hidden="false" customHeight="true" outlineLevel="0" collapsed="false">
      <c r="A1528" s="13"/>
      <c r="B1528" s="10"/>
      <c r="C1528" s="10"/>
      <c r="D1528" s="14"/>
      <c r="E1528" s="11"/>
      <c r="F1528" s="15" t="str">
        <f aca="false">IF($B1528="","",IF(AND($D1528="",$E1528=""),"",IF(OR($D1528="",$E1528=""),0,ROUND($D1528*$E1528,0))))</f>
        <v/>
      </c>
      <c r="G1528" s="13"/>
      <c r="H1528" s="11"/>
      <c r="I1528" s="15" t="str">
        <f aca="false">IF($F1528="","",$F1528-IF($H1528="",0,$H1528))</f>
        <v/>
      </c>
      <c r="J1528" s="16" t="str">
        <f aca="true">IF(OR($A1528="",$I1528="",$I1528&lt;=0),"",TODAY()-$A1528)</f>
        <v/>
      </c>
      <c r="K1528" s="10"/>
    </row>
    <row r="1529" customFormat="false" ht="15" hidden="false" customHeight="true" outlineLevel="0" collapsed="false">
      <c r="A1529" s="13"/>
      <c r="B1529" s="10"/>
      <c r="C1529" s="10"/>
      <c r="D1529" s="14"/>
      <c r="E1529" s="11"/>
      <c r="F1529" s="15" t="str">
        <f aca="false">IF($B1529="","",IF(AND($D1529="",$E1529=""),"",IF(OR($D1529="",$E1529=""),0,ROUND($D1529*$E1529,0))))</f>
        <v/>
      </c>
      <c r="G1529" s="13"/>
      <c r="H1529" s="11"/>
      <c r="I1529" s="15" t="str">
        <f aca="false">IF($F1529="","",$F1529-IF($H1529="",0,$H1529))</f>
        <v/>
      </c>
      <c r="J1529" s="16" t="str">
        <f aca="true">IF(OR($A1529="",$I1529="",$I1529&lt;=0),"",TODAY()-$A1529)</f>
        <v/>
      </c>
      <c r="K1529" s="10"/>
    </row>
    <row r="1530" customFormat="false" ht="15" hidden="false" customHeight="true" outlineLevel="0" collapsed="false">
      <c r="A1530" s="13"/>
      <c r="B1530" s="10"/>
      <c r="C1530" s="10"/>
      <c r="D1530" s="14"/>
      <c r="E1530" s="11"/>
      <c r="F1530" s="15" t="str">
        <f aca="false">IF($B1530="","",IF(AND($D1530="",$E1530=""),"",IF(OR($D1530="",$E1530=""),0,ROUND($D1530*$E1530,0))))</f>
        <v/>
      </c>
      <c r="G1530" s="13"/>
      <c r="H1530" s="11"/>
      <c r="I1530" s="15" t="str">
        <f aca="false">IF($F1530="","",$F1530-IF($H1530="",0,$H1530))</f>
        <v/>
      </c>
      <c r="J1530" s="16" t="str">
        <f aca="true">IF(OR($A1530="",$I1530="",$I1530&lt;=0),"",TODAY()-$A1530)</f>
        <v/>
      </c>
      <c r="K1530" s="10"/>
    </row>
    <row r="1531" customFormat="false" ht="15" hidden="false" customHeight="true" outlineLevel="0" collapsed="false">
      <c r="A1531" s="13"/>
      <c r="B1531" s="10"/>
      <c r="C1531" s="10"/>
      <c r="D1531" s="14"/>
      <c r="E1531" s="11"/>
      <c r="F1531" s="15" t="str">
        <f aca="false">IF($B1531="","",IF(AND($D1531="",$E1531=""),"",IF(OR($D1531="",$E1531=""),0,ROUND($D1531*$E1531,0))))</f>
        <v/>
      </c>
      <c r="G1531" s="13"/>
      <c r="H1531" s="11"/>
      <c r="I1531" s="15" t="str">
        <f aca="false">IF($F1531="","",$F1531-IF($H1531="",0,$H1531))</f>
        <v/>
      </c>
      <c r="J1531" s="16" t="str">
        <f aca="true">IF(OR($A1531="",$I1531="",$I1531&lt;=0),"",TODAY()-$A1531)</f>
        <v/>
      </c>
      <c r="K1531" s="10"/>
    </row>
    <row r="1532" customFormat="false" ht="15" hidden="false" customHeight="true" outlineLevel="0" collapsed="false">
      <c r="A1532" s="13"/>
      <c r="B1532" s="10"/>
      <c r="C1532" s="10"/>
      <c r="D1532" s="14"/>
      <c r="E1532" s="11"/>
      <c r="F1532" s="15" t="str">
        <f aca="false">IF($B1532="","",IF(AND($D1532="",$E1532=""),"",IF(OR($D1532="",$E1532=""),0,ROUND($D1532*$E1532,0))))</f>
        <v/>
      </c>
      <c r="G1532" s="13"/>
      <c r="H1532" s="11"/>
      <c r="I1532" s="15" t="str">
        <f aca="false">IF($F1532="","",$F1532-IF($H1532="",0,$H1532))</f>
        <v/>
      </c>
      <c r="J1532" s="16" t="str">
        <f aca="true">IF(OR($A1532="",$I1532="",$I1532&lt;=0),"",TODAY()-$A1532)</f>
        <v/>
      </c>
      <c r="K1532" s="10"/>
    </row>
    <row r="1533" customFormat="false" ht="15" hidden="false" customHeight="true" outlineLevel="0" collapsed="false">
      <c r="A1533" s="13"/>
      <c r="B1533" s="10"/>
      <c r="C1533" s="10"/>
      <c r="D1533" s="14"/>
      <c r="E1533" s="11"/>
      <c r="F1533" s="15" t="str">
        <f aca="false">IF($B1533="","",IF(AND($D1533="",$E1533=""),"",IF(OR($D1533="",$E1533=""),0,ROUND($D1533*$E1533,0))))</f>
        <v/>
      </c>
      <c r="G1533" s="13"/>
      <c r="H1533" s="11"/>
      <c r="I1533" s="15" t="str">
        <f aca="false">IF($F1533="","",$F1533-IF($H1533="",0,$H1533))</f>
        <v/>
      </c>
      <c r="J1533" s="16" t="str">
        <f aca="true">IF(OR($A1533="",$I1533="",$I1533&lt;=0),"",TODAY()-$A1533)</f>
        <v/>
      </c>
      <c r="K1533" s="10"/>
    </row>
    <row r="1534" customFormat="false" ht="15" hidden="false" customHeight="true" outlineLevel="0" collapsed="false">
      <c r="A1534" s="13"/>
      <c r="B1534" s="10"/>
      <c r="C1534" s="10"/>
      <c r="D1534" s="14"/>
      <c r="E1534" s="11"/>
      <c r="F1534" s="15" t="str">
        <f aca="false">IF($B1534="","",IF(AND($D1534="",$E1534=""),"",IF(OR($D1534="",$E1534=""),0,ROUND($D1534*$E1534,0))))</f>
        <v/>
      </c>
      <c r="G1534" s="13"/>
      <c r="H1534" s="11"/>
      <c r="I1534" s="15" t="str">
        <f aca="false">IF($F1534="","",$F1534-IF($H1534="",0,$H1534))</f>
        <v/>
      </c>
      <c r="J1534" s="16" t="str">
        <f aca="true">IF(OR($A1534="",$I1534="",$I1534&lt;=0),"",TODAY()-$A1534)</f>
        <v/>
      </c>
      <c r="K1534" s="10"/>
    </row>
    <row r="1535" customFormat="false" ht="15" hidden="false" customHeight="true" outlineLevel="0" collapsed="false">
      <c r="A1535" s="13"/>
      <c r="B1535" s="10"/>
      <c r="C1535" s="10"/>
      <c r="D1535" s="14"/>
      <c r="E1535" s="11"/>
      <c r="F1535" s="15" t="str">
        <f aca="false">IF($B1535="","",IF(AND($D1535="",$E1535=""),"",IF(OR($D1535="",$E1535=""),0,ROUND($D1535*$E1535,0))))</f>
        <v/>
      </c>
      <c r="G1535" s="13"/>
      <c r="H1535" s="11"/>
      <c r="I1535" s="15" t="str">
        <f aca="false">IF($F1535="","",$F1535-IF($H1535="",0,$H1535))</f>
        <v/>
      </c>
      <c r="J1535" s="16" t="str">
        <f aca="true">IF(OR($A1535="",$I1535="",$I1535&lt;=0),"",TODAY()-$A1535)</f>
        <v/>
      </c>
      <c r="K1535" s="10"/>
    </row>
    <row r="1536" customFormat="false" ht="15" hidden="false" customHeight="true" outlineLevel="0" collapsed="false">
      <c r="A1536" s="13"/>
      <c r="B1536" s="10"/>
      <c r="C1536" s="10"/>
      <c r="D1536" s="14"/>
      <c r="E1536" s="11"/>
      <c r="F1536" s="15" t="str">
        <f aca="false">IF($B1536="","",IF(AND($D1536="",$E1536=""),"",IF(OR($D1536="",$E1536=""),0,ROUND($D1536*$E1536,0))))</f>
        <v/>
      </c>
      <c r="G1536" s="13"/>
      <c r="H1536" s="11"/>
      <c r="I1536" s="15" t="str">
        <f aca="false">IF($F1536="","",$F1536-IF($H1536="",0,$H1536))</f>
        <v/>
      </c>
      <c r="J1536" s="16" t="str">
        <f aca="true">IF(OR($A1536="",$I1536="",$I1536&lt;=0),"",TODAY()-$A1536)</f>
        <v/>
      </c>
      <c r="K1536" s="10"/>
    </row>
    <row r="1537" customFormat="false" ht="15" hidden="false" customHeight="true" outlineLevel="0" collapsed="false">
      <c r="A1537" s="13"/>
      <c r="B1537" s="10"/>
      <c r="C1537" s="10"/>
      <c r="D1537" s="14"/>
      <c r="E1537" s="11"/>
      <c r="F1537" s="15" t="str">
        <f aca="false">IF($B1537="","",IF(AND($D1537="",$E1537=""),"",IF(OR($D1537="",$E1537=""),0,ROUND($D1537*$E1537,0))))</f>
        <v/>
      </c>
      <c r="G1537" s="13"/>
      <c r="H1537" s="11"/>
      <c r="I1537" s="15" t="str">
        <f aca="false">IF($F1537="","",$F1537-IF($H1537="",0,$H1537))</f>
        <v/>
      </c>
      <c r="J1537" s="16" t="str">
        <f aca="true">IF(OR($A1537="",$I1537="",$I1537&lt;=0),"",TODAY()-$A1537)</f>
        <v/>
      </c>
      <c r="K1537" s="10"/>
    </row>
    <row r="1538" customFormat="false" ht="15" hidden="false" customHeight="true" outlineLevel="0" collapsed="false">
      <c r="A1538" s="13"/>
      <c r="B1538" s="10"/>
      <c r="C1538" s="10"/>
      <c r="D1538" s="14"/>
      <c r="E1538" s="11"/>
      <c r="F1538" s="15" t="str">
        <f aca="false">IF($B1538="","",IF(AND($D1538="",$E1538=""),"",IF(OR($D1538="",$E1538=""),0,ROUND($D1538*$E1538,0))))</f>
        <v/>
      </c>
      <c r="G1538" s="13"/>
      <c r="H1538" s="11"/>
      <c r="I1538" s="15" t="str">
        <f aca="false">IF($F1538="","",$F1538-IF($H1538="",0,$H1538))</f>
        <v/>
      </c>
      <c r="J1538" s="16" t="str">
        <f aca="true">IF(OR($A1538="",$I1538="",$I1538&lt;=0),"",TODAY()-$A1538)</f>
        <v/>
      </c>
      <c r="K1538" s="10"/>
    </row>
    <row r="1539" customFormat="false" ht="15" hidden="false" customHeight="true" outlineLevel="0" collapsed="false">
      <c r="A1539" s="13"/>
      <c r="B1539" s="10"/>
      <c r="C1539" s="10"/>
      <c r="D1539" s="14"/>
      <c r="E1539" s="11"/>
      <c r="F1539" s="15" t="str">
        <f aca="false">IF($B1539="","",IF(AND($D1539="",$E1539=""),"",IF(OR($D1539="",$E1539=""),0,ROUND($D1539*$E1539,0))))</f>
        <v/>
      </c>
      <c r="G1539" s="13"/>
      <c r="H1539" s="11"/>
      <c r="I1539" s="15" t="str">
        <f aca="false">IF($F1539="","",$F1539-IF($H1539="",0,$H1539))</f>
        <v/>
      </c>
      <c r="J1539" s="16" t="str">
        <f aca="true">IF(OR($A1539="",$I1539="",$I1539&lt;=0),"",TODAY()-$A1539)</f>
        <v/>
      </c>
      <c r="K1539" s="10"/>
    </row>
    <row r="1540" customFormat="false" ht="15" hidden="false" customHeight="true" outlineLevel="0" collapsed="false">
      <c r="A1540" s="13"/>
      <c r="B1540" s="10"/>
      <c r="C1540" s="10"/>
      <c r="D1540" s="14"/>
      <c r="E1540" s="11"/>
      <c r="F1540" s="15" t="str">
        <f aca="false">IF($B1540="","",IF(AND($D1540="",$E1540=""),"",IF(OR($D1540="",$E1540=""),0,ROUND($D1540*$E1540,0))))</f>
        <v/>
      </c>
      <c r="G1540" s="13"/>
      <c r="H1540" s="11"/>
      <c r="I1540" s="15" t="str">
        <f aca="false">IF($F1540="","",$F1540-IF($H1540="",0,$H1540))</f>
        <v/>
      </c>
      <c r="J1540" s="16" t="str">
        <f aca="true">IF(OR($A1540="",$I1540="",$I1540&lt;=0),"",TODAY()-$A1540)</f>
        <v/>
      </c>
      <c r="K1540" s="10"/>
    </row>
    <row r="1541" customFormat="false" ht="15" hidden="false" customHeight="true" outlineLevel="0" collapsed="false">
      <c r="A1541" s="13"/>
      <c r="B1541" s="10"/>
      <c r="C1541" s="10"/>
      <c r="D1541" s="14"/>
      <c r="E1541" s="11"/>
      <c r="F1541" s="15" t="str">
        <f aca="false">IF($B1541="","",IF(AND($D1541="",$E1541=""),"",IF(OR($D1541="",$E1541=""),0,ROUND($D1541*$E1541,0))))</f>
        <v/>
      </c>
      <c r="G1541" s="13"/>
      <c r="H1541" s="11"/>
      <c r="I1541" s="15" t="str">
        <f aca="false">IF($F1541="","",$F1541-IF($H1541="",0,$H1541))</f>
        <v/>
      </c>
      <c r="J1541" s="16" t="str">
        <f aca="true">IF(OR($A1541="",$I1541="",$I1541&lt;=0),"",TODAY()-$A1541)</f>
        <v/>
      </c>
      <c r="K1541" s="10"/>
    </row>
    <row r="1542" customFormat="false" ht="15" hidden="false" customHeight="true" outlineLevel="0" collapsed="false">
      <c r="A1542" s="13"/>
      <c r="B1542" s="10"/>
      <c r="C1542" s="10"/>
      <c r="D1542" s="14"/>
      <c r="E1542" s="11"/>
      <c r="F1542" s="15" t="str">
        <f aca="false">IF($B1542="","",IF(AND($D1542="",$E1542=""),"",IF(OR($D1542="",$E1542=""),0,ROUND($D1542*$E1542,0))))</f>
        <v/>
      </c>
      <c r="G1542" s="13"/>
      <c r="H1542" s="11"/>
      <c r="I1542" s="15" t="str">
        <f aca="false">IF($F1542="","",$F1542-IF($H1542="",0,$H1542))</f>
        <v/>
      </c>
      <c r="J1542" s="16" t="str">
        <f aca="true">IF(OR($A1542="",$I1542="",$I1542&lt;=0),"",TODAY()-$A1542)</f>
        <v/>
      </c>
      <c r="K1542" s="10"/>
    </row>
    <row r="1543" customFormat="false" ht="15" hidden="false" customHeight="true" outlineLevel="0" collapsed="false">
      <c r="A1543" s="13"/>
      <c r="B1543" s="10"/>
      <c r="C1543" s="10"/>
      <c r="D1543" s="14"/>
      <c r="E1543" s="11"/>
      <c r="F1543" s="15" t="str">
        <f aca="false">IF($B1543="","",IF(AND($D1543="",$E1543=""),"",IF(OR($D1543="",$E1543=""),0,ROUND($D1543*$E1543,0))))</f>
        <v/>
      </c>
      <c r="G1543" s="13"/>
      <c r="H1543" s="11"/>
      <c r="I1543" s="15" t="str">
        <f aca="false">IF($F1543="","",$F1543-IF($H1543="",0,$H1543))</f>
        <v/>
      </c>
      <c r="J1543" s="16" t="str">
        <f aca="true">IF(OR($A1543="",$I1543="",$I1543&lt;=0),"",TODAY()-$A1543)</f>
        <v/>
      </c>
      <c r="K1543" s="10"/>
    </row>
    <row r="1544" customFormat="false" ht="15" hidden="false" customHeight="true" outlineLevel="0" collapsed="false">
      <c r="A1544" s="13"/>
      <c r="B1544" s="10"/>
      <c r="C1544" s="10"/>
      <c r="D1544" s="14"/>
      <c r="E1544" s="11"/>
      <c r="F1544" s="15" t="str">
        <f aca="false">IF($B1544="","",IF(AND($D1544="",$E1544=""),"",IF(OR($D1544="",$E1544=""),0,ROUND($D1544*$E1544,0))))</f>
        <v/>
      </c>
      <c r="G1544" s="13"/>
      <c r="H1544" s="11"/>
      <c r="I1544" s="15" t="str">
        <f aca="false">IF($F1544="","",$F1544-IF($H1544="",0,$H1544))</f>
        <v/>
      </c>
      <c r="J1544" s="16" t="str">
        <f aca="true">IF(OR($A1544="",$I1544="",$I1544&lt;=0),"",TODAY()-$A1544)</f>
        <v/>
      </c>
      <c r="K1544" s="10"/>
    </row>
    <row r="1545" customFormat="false" ht="15" hidden="false" customHeight="true" outlineLevel="0" collapsed="false">
      <c r="A1545" s="13"/>
      <c r="B1545" s="10"/>
      <c r="C1545" s="10"/>
      <c r="D1545" s="14"/>
      <c r="E1545" s="11"/>
      <c r="F1545" s="15" t="str">
        <f aca="false">IF($B1545="","",IF(AND($D1545="",$E1545=""),"",IF(OR($D1545="",$E1545=""),0,ROUND($D1545*$E1545,0))))</f>
        <v/>
      </c>
      <c r="G1545" s="13"/>
      <c r="H1545" s="11"/>
      <c r="I1545" s="15" t="str">
        <f aca="false">IF($F1545="","",$F1545-IF($H1545="",0,$H1545))</f>
        <v/>
      </c>
      <c r="J1545" s="16" t="str">
        <f aca="true">IF(OR($A1545="",$I1545="",$I1545&lt;=0),"",TODAY()-$A1545)</f>
        <v/>
      </c>
      <c r="K1545" s="10"/>
    </row>
    <row r="1546" customFormat="false" ht="15" hidden="false" customHeight="true" outlineLevel="0" collapsed="false">
      <c r="A1546" s="13"/>
      <c r="B1546" s="10"/>
      <c r="C1546" s="10"/>
      <c r="D1546" s="14"/>
      <c r="E1546" s="11"/>
      <c r="F1546" s="15" t="str">
        <f aca="false">IF($B1546="","",IF(AND($D1546="",$E1546=""),"",IF(OR($D1546="",$E1546=""),0,ROUND($D1546*$E1546,0))))</f>
        <v/>
      </c>
      <c r="G1546" s="13"/>
      <c r="H1546" s="11"/>
      <c r="I1546" s="15" t="str">
        <f aca="false">IF($F1546="","",$F1546-IF($H1546="",0,$H1546))</f>
        <v/>
      </c>
      <c r="J1546" s="16" t="str">
        <f aca="true">IF(OR($A1546="",$I1546="",$I1546&lt;=0),"",TODAY()-$A1546)</f>
        <v/>
      </c>
      <c r="K1546" s="10"/>
    </row>
    <row r="1547" customFormat="false" ht="15" hidden="false" customHeight="true" outlineLevel="0" collapsed="false">
      <c r="A1547" s="13"/>
      <c r="B1547" s="10"/>
      <c r="C1547" s="10"/>
      <c r="D1547" s="14"/>
      <c r="E1547" s="11"/>
      <c r="F1547" s="15" t="str">
        <f aca="false">IF($B1547="","",IF(AND($D1547="",$E1547=""),"",IF(OR($D1547="",$E1547=""),0,ROUND($D1547*$E1547,0))))</f>
        <v/>
      </c>
      <c r="G1547" s="13"/>
      <c r="H1547" s="11"/>
      <c r="I1547" s="15" t="str">
        <f aca="false">IF($F1547="","",$F1547-IF($H1547="",0,$H1547))</f>
        <v/>
      </c>
      <c r="J1547" s="16" t="str">
        <f aca="true">IF(OR($A1547="",$I1547="",$I1547&lt;=0),"",TODAY()-$A1547)</f>
        <v/>
      </c>
      <c r="K1547" s="10"/>
    </row>
    <row r="1548" customFormat="false" ht="15" hidden="false" customHeight="true" outlineLevel="0" collapsed="false">
      <c r="A1548" s="13"/>
      <c r="B1548" s="10"/>
      <c r="C1548" s="10"/>
      <c r="D1548" s="14"/>
      <c r="E1548" s="11"/>
      <c r="F1548" s="15" t="str">
        <f aca="false">IF($B1548="","",IF(AND($D1548="",$E1548=""),"",IF(OR($D1548="",$E1548=""),0,ROUND($D1548*$E1548,0))))</f>
        <v/>
      </c>
      <c r="G1548" s="13"/>
      <c r="H1548" s="11"/>
      <c r="I1548" s="15" t="str">
        <f aca="false">IF($F1548="","",$F1548-IF($H1548="",0,$H1548))</f>
        <v/>
      </c>
      <c r="J1548" s="16" t="str">
        <f aca="true">IF(OR($A1548="",$I1548="",$I1548&lt;=0),"",TODAY()-$A1548)</f>
        <v/>
      </c>
      <c r="K1548" s="10"/>
    </row>
    <row r="1549" customFormat="false" ht="15" hidden="false" customHeight="true" outlineLevel="0" collapsed="false">
      <c r="A1549" s="13"/>
      <c r="B1549" s="10"/>
      <c r="C1549" s="10"/>
      <c r="D1549" s="14"/>
      <c r="E1549" s="11"/>
      <c r="F1549" s="15" t="str">
        <f aca="false">IF($B1549="","",IF(AND($D1549="",$E1549=""),"",IF(OR($D1549="",$E1549=""),0,ROUND($D1549*$E1549,0))))</f>
        <v/>
      </c>
      <c r="G1549" s="13"/>
      <c r="H1549" s="11"/>
      <c r="I1549" s="15" t="str">
        <f aca="false">IF($F1549="","",$F1549-IF($H1549="",0,$H1549))</f>
        <v/>
      </c>
      <c r="J1549" s="16" t="str">
        <f aca="true">IF(OR($A1549="",$I1549="",$I1549&lt;=0),"",TODAY()-$A1549)</f>
        <v/>
      </c>
      <c r="K1549" s="10"/>
    </row>
    <row r="1550" customFormat="false" ht="15" hidden="false" customHeight="true" outlineLevel="0" collapsed="false">
      <c r="A1550" s="13"/>
      <c r="B1550" s="10"/>
      <c r="C1550" s="10"/>
      <c r="D1550" s="14"/>
      <c r="E1550" s="11"/>
      <c r="F1550" s="15" t="str">
        <f aca="false">IF($B1550="","",IF(AND($D1550="",$E1550=""),"",IF(OR($D1550="",$E1550=""),0,ROUND($D1550*$E1550,0))))</f>
        <v/>
      </c>
      <c r="G1550" s="13"/>
      <c r="H1550" s="11"/>
      <c r="I1550" s="15" t="str">
        <f aca="false">IF($F1550="","",$F1550-IF($H1550="",0,$H1550))</f>
        <v/>
      </c>
      <c r="J1550" s="16" t="str">
        <f aca="true">IF(OR($A1550="",$I1550="",$I1550&lt;=0),"",TODAY()-$A1550)</f>
        <v/>
      </c>
      <c r="K1550" s="10"/>
    </row>
    <row r="1551" customFormat="false" ht="15" hidden="false" customHeight="true" outlineLevel="0" collapsed="false">
      <c r="A1551" s="13"/>
      <c r="B1551" s="10"/>
      <c r="C1551" s="10"/>
      <c r="D1551" s="14"/>
      <c r="E1551" s="11"/>
      <c r="F1551" s="15" t="str">
        <f aca="false">IF($B1551="","",IF(AND($D1551="",$E1551=""),"",IF(OR($D1551="",$E1551=""),0,ROUND($D1551*$E1551,0))))</f>
        <v/>
      </c>
      <c r="G1551" s="13"/>
      <c r="H1551" s="11"/>
      <c r="I1551" s="15" t="str">
        <f aca="false">IF($F1551="","",$F1551-IF($H1551="",0,$H1551))</f>
        <v/>
      </c>
      <c r="J1551" s="16" t="str">
        <f aca="true">IF(OR($A1551="",$I1551="",$I1551&lt;=0),"",TODAY()-$A1551)</f>
        <v/>
      </c>
      <c r="K1551" s="10"/>
    </row>
    <row r="1552" customFormat="false" ht="15" hidden="false" customHeight="true" outlineLevel="0" collapsed="false">
      <c r="A1552" s="13"/>
      <c r="B1552" s="10"/>
      <c r="C1552" s="10"/>
      <c r="D1552" s="14"/>
      <c r="E1552" s="11"/>
      <c r="F1552" s="15" t="str">
        <f aca="false">IF($B1552="","",IF(AND($D1552="",$E1552=""),"",IF(OR($D1552="",$E1552=""),0,ROUND($D1552*$E1552,0))))</f>
        <v/>
      </c>
      <c r="G1552" s="13"/>
      <c r="H1552" s="11"/>
      <c r="I1552" s="15" t="str">
        <f aca="false">IF($F1552="","",$F1552-IF($H1552="",0,$H1552))</f>
        <v/>
      </c>
      <c r="J1552" s="16" t="str">
        <f aca="true">IF(OR($A1552="",$I1552="",$I1552&lt;=0),"",TODAY()-$A1552)</f>
        <v/>
      </c>
      <c r="K1552" s="10"/>
    </row>
    <row r="1553" customFormat="false" ht="15" hidden="false" customHeight="true" outlineLevel="0" collapsed="false">
      <c r="A1553" s="13"/>
      <c r="B1553" s="10"/>
      <c r="C1553" s="10"/>
      <c r="D1553" s="14"/>
      <c r="E1553" s="11"/>
      <c r="F1553" s="15" t="str">
        <f aca="false">IF($B1553="","",IF(AND($D1553="",$E1553=""),"",IF(OR($D1553="",$E1553=""),0,ROUND($D1553*$E1553,0))))</f>
        <v/>
      </c>
      <c r="G1553" s="13"/>
      <c r="H1553" s="11"/>
      <c r="I1553" s="15" t="str">
        <f aca="false">IF($F1553="","",$F1553-IF($H1553="",0,$H1553))</f>
        <v/>
      </c>
      <c r="J1553" s="16" t="str">
        <f aca="true">IF(OR($A1553="",$I1553="",$I1553&lt;=0),"",TODAY()-$A1553)</f>
        <v/>
      </c>
      <c r="K1553" s="10"/>
    </row>
    <row r="1554" customFormat="false" ht="15" hidden="false" customHeight="true" outlineLevel="0" collapsed="false">
      <c r="A1554" s="13"/>
      <c r="B1554" s="10"/>
      <c r="C1554" s="10"/>
      <c r="D1554" s="14"/>
      <c r="E1554" s="11"/>
      <c r="F1554" s="15" t="str">
        <f aca="false">IF($B1554="","",IF(AND($D1554="",$E1554=""),"",IF(OR($D1554="",$E1554=""),0,ROUND($D1554*$E1554,0))))</f>
        <v/>
      </c>
      <c r="G1554" s="13"/>
      <c r="H1554" s="11"/>
      <c r="I1554" s="15" t="str">
        <f aca="false">IF($F1554="","",$F1554-IF($H1554="",0,$H1554))</f>
        <v/>
      </c>
      <c r="J1554" s="16" t="str">
        <f aca="true">IF(OR($A1554="",$I1554="",$I1554&lt;=0),"",TODAY()-$A1554)</f>
        <v/>
      </c>
      <c r="K1554" s="10"/>
    </row>
    <row r="1555" customFormat="false" ht="15" hidden="false" customHeight="true" outlineLevel="0" collapsed="false">
      <c r="A1555" s="13"/>
      <c r="B1555" s="10"/>
      <c r="C1555" s="10"/>
      <c r="D1555" s="14"/>
      <c r="E1555" s="11"/>
      <c r="F1555" s="15" t="str">
        <f aca="false">IF($B1555="","",IF(AND($D1555="",$E1555=""),"",IF(OR($D1555="",$E1555=""),0,ROUND($D1555*$E1555,0))))</f>
        <v/>
      </c>
      <c r="G1555" s="13"/>
      <c r="H1555" s="11"/>
      <c r="I1555" s="15" t="str">
        <f aca="false">IF($F1555="","",$F1555-IF($H1555="",0,$H1555))</f>
        <v/>
      </c>
      <c r="J1555" s="16" t="str">
        <f aca="true">IF(OR($A1555="",$I1555="",$I1555&lt;=0),"",TODAY()-$A1555)</f>
        <v/>
      </c>
      <c r="K1555" s="10"/>
    </row>
    <row r="1556" customFormat="false" ht="15" hidden="false" customHeight="true" outlineLevel="0" collapsed="false">
      <c r="A1556" s="13"/>
      <c r="B1556" s="10"/>
      <c r="C1556" s="10"/>
      <c r="D1556" s="14"/>
      <c r="E1556" s="11"/>
      <c r="F1556" s="15" t="str">
        <f aca="false">IF($B1556="","",IF(AND($D1556="",$E1556=""),"",IF(OR($D1556="",$E1556=""),0,ROUND($D1556*$E1556,0))))</f>
        <v/>
      </c>
      <c r="G1556" s="13"/>
      <c r="H1556" s="11"/>
      <c r="I1556" s="15" t="str">
        <f aca="false">IF($F1556="","",$F1556-IF($H1556="",0,$H1556))</f>
        <v/>
      </c>
      <c r="J1556" s="16" t="str">
        <f aca="true">IF(OR($A1556="",$I1556="",$I1556&lt;=0),"",TODAY()-$A1556)</f>
        <v/>
      </c>
      <c r="K1556" s="10"/>
    </row>
    <row r="1557" customFormat="false" ht="15" hidden="false" customHeight="true" outlineLevel="0" collapsed="false">
      <c r="A1557" s="13"/>
      <c r="B1557" s="10"/>
      <c r="C1557" s="10"/>
      <c r="D1557" s="14"/>
      <c r="E1557" s="11"/>
      <c r="F1557" s="15" t="str">
        <f aca="false">IF($B1557="","",IF(AND($D1557="",$E1557=""),"",IF(OR($D1557="",$E1557=""),0,ROUND($D1557*$E1557,0))))</f>
        <v/>
      </c>
      <c r="G1557" s="13"/>
      <c r="H1557" s="11"/>
      <c r="I1557" s="15" t="str">
        <f aca="false">IF($F1557="","",$F1557-IF($H1557="",0,$H1557))</f>
        <v/>
      </c>
      <c r="J1557" s="16" t="str">
        <f aca="true">IF(OR($A1557="",$I1557="",$I1557&lt;=0),"",TODAY()-$A1557)</f>
        <v/>
      </c>
      <c r="K1557" s="10"/>
    </row>
    <row r="1558" customFormat="false" ht="15" hidden="false" customHeight="true" outlineLevel="0" collapsed="false">
      <c r="A1558" s="13"/>
      <c r="B1558" s="10"/>
      <c r="C1558" s="10"/>
      <c r="D1558" s="14"/>
      <c r="E1558" s="11"/>
      <c r="F1558" s="15" t="str">
        <f aca="false">IF($B1558="","",IF(AND($D1558="",$E1558=""),"",IF(OR($D1558="",$E1558=""),0,ROUND($D1558*$E1558,0))))</f>
        <v/>
      </c>
      <c r="G1558" s="13"/>
      <c r="H1558" s="11"/>
      <c r="I1558" s="15" t="str">
        <f aca="false">IF($F1558="","",$F1558-IF($H1558="",0,$H1558))</f>
        <v/>
      </c>
      <c r="J1558" s="16" t="str">
        <f aca="true">IF(OR($A1558="",$I1558="",$I1558&lt;=0),"",TODAY()-$A1558)</f>
        <v/>
      </c>
      <c r="K1558" s="10"/>
    </row>
    <row r="1559" customFormat="false" ht="15" hidden="false" customHeight="true" outlineLevel="0" collapsed="false">
      <c r="A1559" s="13"/>
      <c r="B1559" s="10"/>
      <c r="C1559" s="10"/>
      <c r="D1559" s="14"/>
      <c r="E1559" s="11"/>
      <c r="F1559" s="15" t="str">
        <f aca="false">IF($B1559="","",IF(AND($D1559="",$E1559=""),"",IF(OR($D1559="",$E1559=""),0,ROUND($D1559*$E1559,0))))</f>
        <v/>
      </c>
      <c r="G1559" s="13"/>
      <c r="H1559" s="11"/>
      <c r="I1559" s="15" t="str">
        <f aca="false">IF($F1559="","",$F1559-IF($H1559="",0,$H1559))</f>
        <v/>
      </c>
      <c r="J1559" s="16" t="str">
        <f aca="true">IF(OR($A1559="",$I1559="",$I1559&lt;=0),"",TODAY()-$A1559)</f>
        <v/>
      </c>
      <c r="K1559" s="10"/>
    </row>
    <row r="1560" customFormat="false" ht="15" hidden="false" customHeight="true" outlineLevel="0" collapsed="false">
      <c r="A1560" s="13"/>
      <c r="B1560" s="10"/>
      <c r="C1560" s="10"/>
      <c r="D1560" s="14"/>
      <c r="E1560" s="11"/>
      <c r="F1560" s="15" t="str">
        <f aca="false">IF($B1560="","",IF(AND($D1560="",$E1560=""),"",IF(OR($D1560="",$E1560=""),0,ROUND($D1560*$E1560,0))))</f>
        <v/>
      </c>
      <c r="G1560" s="13"/>
      <c r="H1560" s="11"/>
      <c r="I1560" s="15" t="str">
        <f aca="false">IF($F1560="","",$F1560-IF($H1560="",0,$H1560))</f>
        <v/>
      </c>
      <c r="J1560" s="16" t="str">
        <f aca="true">IF(OR($A1560="",$I1560="",$I1560&lt;=0),"",TODAY()-$A1560)</f>
        <v/>
      </c>
      <c r="K1560" s="10"/>
    </row>
    <row r="1561" customFormat="false" ht="15" hidden="false" customHeight="true" outlineLevel="0" collapsed="false">
      <c r="A1561" s="13"/>
      <c r="B1561" s="10"/>
      <c r="C1561" s="10"/>
      <c r="D1561" s="14"/>
      <c r="E1561" s="11"/>
      <c r="F1561" s="15" t="str">
        <f aca="false">IF($B1561="","",IF(AND($D1561="",$E1561=""),"",IF(OR($D1561="",$E1561=""),0,ROUND($D1561*$E1561,0))))</f>
        <v/>
      </c>
      <c r="G1561" s="13"/>
      <c r="H1561" s="11"/>
      <c r="I1561" s="15" t="str">
        <f aca="false">IF($F1561="","",$F1561-IF($H1561="",0,$H1561))</f>
        <v/>
      </c>
      <c r="J1561" s="16" t="str">
        <f aca="true">IF(OR($A1561="",$I1561="",$I1561&lt;=0),"",TODAY()-$A1561)</f>
        <v/>
      </c>
      <c r="K1561" s="10"/>
    </row>
    <row r="1562" customFormat="false" ht="15" hidden="false" customHeight="true" outlineLevel="0" collapsed="false">
      <c r="A1562" s="13"/>
      <c r="B1562" s="10"/>
      <c r="C1562" s="10"/>
      <c r="D1562" s="14"/>
      <c r="E1562" s="11"/>
      <c r="F1562" s="15" t="str">
        <f aca="false">IF($B1562="","",IF(AND($D1562="",$E1562=""),"",IF(OR($D1562="",$E1562=""),0,ROUND($D1562*$E1562,0))))</f>
        <v/>
      </c>
      <c r="G1562" s="13"/>
      <c r="H1562" s="11"/>
      <c r="I1562" s="15" t="str">
        <f aca="false">IF($F1562="","",$F1562-IF($H1562="",0,$H1562))</f>
        <v/>
      </c>
      <c r="J1562" s="16" t="str">
        <f aca="true">IF(OR($A1562="",$I1562="",$I1562&lt;=0),"",TODAY()-$A1562)</f>
        <v/>
      </c>
      <c r="K1562" s="10"/>
    </row>
    <row r="1563" customFormat="false" ht="15" hidden="false" customHeight="true" outlineLevel="0" collapsed="false">
      <c r="A1563" s="13"/>
      <c r="B1563" s="10"/>
      <c r="C1563" s="10"/>
      <c r="D1563" s="14"/>
      <c r="E1563" s="11"/>
      <c r="F1563" s="15" t="str">
        <f aca="false">IF($B1563="","",IF(AND($D1563="",$E1563=""),"",IF(OR($D1563="",$E1563=""),0,ROUND($D1563*$E1563,0))))</f>
        <v/>
      </c>
      <c r="G1563" s="13"/>
      <c r="H1563" s="11"/>
      <c r="I1563" s="15" t="str">
        <f aca="false">IF($F1563="","",$F1563-IF($H1563="",0,$H1563))</f>
        <v/>
      </c>
      <c r="J1563" s="16" t="str">
        <f aca="true">IF(OR($A1563="",$I1563="",$I1563&lt;=0),"",TODAY()-$A1563)</f>
        <v/>
      </c>
      <c r="K1563" s="10"/>
    </row>
    <row r="1564" customFormat="false" ht="15" hidden="false" customHeight="true" outlineLevel="0" collapsed="false">
      <c r="A1564" s="13"/>
      <c r="B1564" s="10"/>
      <c r="C1564" s="10"/>
      <c r="D1564" s="14"/>
      <c r="E1564" s="11"/>
      <c r="F1564" s="15" t="str">
        <f aca="false">IF($B1564="","",IF(AND($D1564="",$E1564=""),"",IF(OR($D1564="",$E1564=""),0,ROUND($D1564*$E1564,0))))</f>
        <v/>
      </c>
      <c r="G1564" s="13"/>
      <c r="H1564" s="11"/>
      <c r="I1564" s="15" t="str">
        <f aca="false">IF($F1564="","",$F1564-IF($H1564="",0,$H1564))</f>
        <v/>
      </c>
      <c r="J1564" s="16" t="str">
        <f aca="true">IF(OR($A1564="",$I1564="",$I1564&lt;=0),"",TODAY()-$A1564)</f>
        <v/>
      </c>
      <c r="K1564" s="10"/>
    </row>
    <row r="1565" customFormat="false" ht="15" hidden="false" customHeight="true" outlineLevel="0" collapsed="false">
      <c r="A1565" s="13"/>
      <c r="B1565" s="10"/>
      <c r="C1565" s="10"/>
      <c r="D1565" s="14"/>
      <c r="E1565" s="11"/>
      <c r="F1565" s="15" t="str">
        <f aca="false">IF($B1565="","",IF(AND($D1565="",$E1565=""),"",IF(OR($D1565="",$E1565=""),0,ROUND($D1565*$E1565,0))))</f>
        <v/>
      </c>
      <c r="G1565" s="13"/>
      <c r="H1565" s="11"/>
      <c r="I1565" s="15" t="str">
        <f aca="false">IF($F1565="","",$F1565-IF($H1565="",0,$H1565))</f>
        <v/>
      </c>
      <c r="J1565" s="16" t="str">
        <f aca="true">IF(OR($A1565="",$I1565="",$I1565&lt;=0),"",TODAY()-$A1565)</f>
        <v/>
      </c>
      <c r="K1565" s="10"/>
    </row>
    <row r="1566" customFormat="false" ht="15" hidden="false" customHeight="true" outlineLevel="0" collapsed="false">
      <c r="A1566" s="13"/>
      <c r="B1566" s="10"/>
      <c r="C1566" s="10"/>
      <c r="D1566" s="14"/>
      <c r="E1566" s="11"/>
      <c r="F1566" s="15" t="str">
        <f aca="false">IF($B1566="","",IF(AND($D1566="",$E1566=""),"",IF(OR($D1566="",$E1566=""),0,ROUND($D1566*$E1566,0))))</f>
        <v/>
      </c>
      <c r="G1566" s="13"/>
      <c r="H1566" s="11"/>
      <c r="I1566" s="15" t="str">
        <f aca="false">IF($F1566="","",$F1566-IF($H1566="",0,$H1566))</f>
        <v/>
      </c>
      <c r="J1566" s="16" t="str">
        <f aca="true">IF(OR($A1566="",$I1566="",$I1566&lt;=0),"",TODAY()-$A1566)</f>
        <v/>
      </c>
      <c r="K1566" s="10"/>
    </row>
    <row r="1567" customFormat="false" ht="15" hidden="false" customHeight="true" outlineLevel="0" collapsed="false">
      <c r="A1567" s="13"/>
      <c r="B1567" s="10"/>
      <c r="C1567" s="10"/>
      <c r="D1567" s="14"/>
      <c r="E1567" s="11"/>
      <c r="F1567" s="15" t="str">
        <f aca="false">IF($B1567="","",IF(AND($D1567="",$E1567=""),"",IF(OR($D1567="",$E1567=""),0,ROUND($D1567*$E1567,0))))</f>
        <v/>
      </c>
      <c r="G1567" s="13"/>
      <c r="H1567" s="11"/>
      <c r="I1567" s="15" t="str">
        <f aca="false">IF($F1567="","",$F1567-IF($H1567="",0,$H1567))</f>
        <v/>
      </c>
      <c r="J1567" s="16" t="str">
        <f aca="true">IF(OR($A1567="",$I1567="",$I1567&lt;=0),"",TODAY()-$A1567)</f>
        <v/>
      </c>
      <c r="K1567" s="10"/>
    </row>
    <row r="1568" customFormat="false" ht="15" hidden="false" customHeight="true" outlineLevel="0" collapsed="false">
      <c r="A1568" s="13"/>
      <c r="B1568" s="10"/>
      <c r="C1568" s="10"/>
      <c r="D1568" s="14"/>
      <c r="E1568" s="11"/>
      <c r="F1568" s="15" t="str">
        <f aca="false">IF($B1568="","",IF(AND($D1568="",$E1568=""),"",IF(OR($D1568="",$E1568=""),0,ROUND($D1568*$E1568,0))))</f>
        <v/>
      </c>
      <c r="G1568" s="13"/>
      <c r="H1568" s="11"/>
      <c r="I1568" s="15" t="str">
        <f aca="false">IF($F1568="","",$F1568-IF($H1568="",0,$H1568))</f>
        <v/>
      </c>
      <c r="J1568" s="16" t="str">
        <f aca="true">IF(OR($A1568="",$I1568="",$I1568&lt;=0),"",TODAY()-$A1568)</f>
        <v/>
      </c>
      <c r="K1568" s="10"/>
    </row>
    <row r="1569" customFormat="false" ht="15" hidden="false" customHeight="true" outlineLevel="0" collapsed="false">
      <c r="A1569" s="13"/>
      <c r="B1569" s="10"/>
      <c r="C1569" s="10"/>
      <c r="D1569" s="14"/>
      <c r="E1569" s="11"/>
      <c r="F1569" s="15" t="str">
        <f aca="false">IF($B1569="","",IF(AND($D1569="",$E1569=""),"",IF(OR($D1569="",$E1569=""),0,ROUND($D1569*$E1569,0))))</f>
        <v/>
      </c>
      <c r="G1569" s="13"/>
      <c r="H1569" s="11"/>
      <c r="I1569" s="15" t="str">
        <f aca="false">IF($F1569="","",$F1569-IF($H1569="",0,$H1569))</f>
        <v/>
      </c>
      <c r="J1569" s="16" t="str">
        <f aca="true">IF(OR($A1569="",$I1569="",$I1569&lt;=0),"",TODAY()-$A1569)</f>
        <v/>
      </c>
      <c r="K1569" s="10"/>
    </row>
    <row r="1570" customFormat="false" ht="15" hidden="false" customHeight="true" outlineLevel="0" collapsed="false">
      <c r="A1570" s="13"/>
      <c r="B1570" s="10"/>
      <c r="C1570" s="10"/>
      <c r="D1570" s="14"/>
      <c r="E1570" s="11"/>
      <c r="F1570" s="15" t="str">
        <f aca="false">IF($B1570="","",IF(AND($D1570="",$E1570=""),"",IF(OR($D1570="",$E1570=""),0,ROUND($D1570*$E1570,0))))</f>
        <v/>
      </c>
      <c r="G1570" s="13"/>
      <c r="H1570" s="11"/>
      <c r="I1570" s="15" t="str">
        <f aca="false">IF($F1570="","",$F1570-IF($H1570="",0,$H1570))</f>
        <v/>
      </c>
      <c r="J1570" s="16" t="str">
        <f aca="true">IF(OR($A1570="",$I1570="",$I1570&lt;=0),"",TODAY()-$A1570)</f>
        <v/>
      </c>
      <c r="K1570" s="10"/>
    </row>
    <row r="1571" customFormat="false" ht="15" hidden="false" customHeight="true" outlineLevel="0" collapsed="false">
      <c r="A1571" s="13"/>
      <c r="B1571" s="10"/>
      <c r="C1571" s="10"/>
      <c r="D1571" s="14"/>
      <c r="E1571" s="11"/>
      <c r="F1571" s="15" t="str">
        <f aca="false">IF($B1571="","",IF(AND($D1571="",$E1571=""),"",IF(OR($D1571="",$E1571=""),0,ROUND($D1571*$E1571,0))))</f>
        <v/>
      </c>
      <c r="G1571" s="13"/>
      <c r="H1571" s="11"/>
      <c r="I1571" s="15" t="str">
        <f aca="false">IF($F1571="","",$F1571-IF($H1571="",0,$H1571))</f>
        <v/>
      </c>
      <c r="J1571" s="16" t="str">
        <f aca="true">IF(OR($A1571="",$I1571="",$I1571&lt;=0),"",TODAY()-$A1571)</f>
        <v/>
      </c>
      <c r="K1571" s="10"/>
    </row>
    <row r="1572" customFormat="false" ht="15" hidden="false" customHeight="true" outlineLevel="0" collapsed="false">
      <c r="A1572" s="13"/>
      <c r="B1572" s="10"/>
      <c r="C1572" s="10"/>
      <c r="D1572" s="14"/>
      <c r="E1572" s="11"/>
      <c r="F1572" s="15" t="str">
        <f aca="false">IF($B1572="","",IF(AND($D1572="",$E1572=""),"",IF(OR($D1572="",$E1572=""),0,ROUND($D1572*$E1572,0))))</f>
        <v/>
      </c>
      <c r="G1572" s="13"/>
      <c r="H1572" s="11"/>
      <c r="I1572" s="15" t="str">
        <f aca="false">IF($F1572="","",$F1572-IF($H1572="",0,$H1572))</f>
        <v/>
      </c>
      <c r="J1572" s="16" t="str">
        <f aca="true">IF(OR($A1572="",$I1572="",$I1572&lt;=0),"",TODAY()-$A1572)</f>
        <v/>
      </c>
      <c r="K1572" s="10"/>
    </row>
    <row r="1573" customFormat="false" ht="15" hidden="false" customHeight="true" outlineLevel="0" collapsed="false">
      <c r="A1573" s="13"/>
      <c r="B1573" s="10"/>
      <c r="C1573" s="10"/>
      <c r="D1573" s="14"/>
      <c r="E1573" s="11"/>
      <c r="F1573" s="15" t="str">
        <f aca="false">IF($B1573="","",IF(AND($D1573="",$E1573=""),"",IF(OR($D1573="",$E1573=""),0,ROUND($D1573*$E1573,0))))</f>
        <v/>
      </c>
      <c r="G1573" s="13"/>
      <c r="H1573" s="11"/>
      <c r="I1573" s="15" t="str">
        <f aca="false">IF($F1573="","",$F1573-IF($H1573="",0,$H1573))</f>
        <v/>
      </c>
      <c r="J1573" s="16" t="str">
        <f aca="true">IF(OR($A1573="",$I1573="",$I1573&lt;=0),"",TODAY()-$A1573)</f>
        <v/>
      </c>
      <c r="K1573" s="10"/>
    </row>
    <row r="1574" customFormat="false" ht="15" hidden="false" customHeight="true" outlineLevel="0" collapsed="false">
      <c r="A1574" s="13"/>
      <c r="B1574" s="10"/>
      <c r="C1574" s="10"/>
      <c r="D1574" s="14"/>
      <c r="E1574" s="11"/>
      <c r="F1574" s="15" t="str">
        <f aca="false">IF($B1574="","",IF(AND($D1574="",$E1574=""),"",IF(OR($D1574="",$E1574=""),0,ROUND($D1574*$E1574,0))))</f>
        <v/>
      </c>
      <c r="G1574" s="13"/>
      <c r="H1574" s="11"/>
      <c r="I1574" s="15" t="str">
        <f aca="false">IF($F1574="","",$F1574-IF($H1574="",0,$H1574))</f>
        <v/>
      </c>
      <c r="J1574" s="16" t="str">
        <f aca="true">IF(OR($A1574="",$I1574="",$I1574&lt;=0),"",TODAY()-$A1574)</f>
        <v/>
      </c>
      <c r="K1574" s="10"/>
    </row>
    <row r="1575" customFormat="false" ht="15" hidden="false" customHeight="true" outlineLevel="0" collapsed="false">
      <c r="A1575" s="13"/>
      <c r="B1575" s="10"/>
      <c r="C1575" s="10"/>
      <c r="D1575" s="14"/>
      <c r="E1575" s="11"/>
      <c r="F1575" s="15" t="str">
        <f aca="false">IF($B1575="","",IF(AND($D1575="",$E1575=""),"",IF(OR($D1575="",$E1575=""),0,ROUND($D1575*$E1575,0))))</f>
        <v/>
      </c>
      <c r="G1575" s="13"/>
      <c r="H1575" s="11"/>
      <c r="I1575" s="15" t="str">
        <f aca="false">IF($F1575="","",$F1575-IF($H1575="",0,$H1575))</f>
        <v/>
      </c>
      <c r="J1575" s="16" t="str">
        <f aca="true">IF(OR($A1575="",$I1575="",$I1575&lt;=0),"",TODAY()-$A1575)</f>
        <v/>
      </c>
      <c r="K1575" s="10"/>
    </row>
    <row r="1576" customFormat="false" ht="15" hidden="false" customHeight="true" outlineLevel="0" collapsed="false">
      <c r="A1576" s="13"/>
      <c r="B1576" s="10"/>
      <c r="C1576" s="10"/>
      <c r="D1576" s="14"/>
      <c r="E1576" s="11"/>
      <c r="F1576" s="15" t="str">
        <f aca="false">IF($B1576="","",IF(AND($D1576="",$E1576=""),"",IF(OR($D1576="",$E1576=""),0,ROUND($D1576*$E1576,0))))</f>
        <v/>
      </c>
      <c r="G1576" s="13"/>
      <c r="H1576" s="11"/>
      <c r="I1576" s="15" t="str">
        <f aca="false">IF($F1576="","",$F1576-IF($H1576="",0,$H1576))</f>
        <v/>
      </c>
      <c r="J1576" s="16" t="str">
        <f aca="true">IF(OR($A1576="",$I1576="",$I1576&lt;=0),"",TODAY()-$A1576)</f>
        <v/>
      </c>
      <c r="K1576" s="10"/>
    </row>
    <row r="1577" customFormat="false" ht="15" hidden="false" customHeight="true" outlineLevel="0" collapsed="false">
      <c r="A1577" s="13"/>
      <c r="B1577" s="10"/>
      <c r="C1577" s="10"/>
      <c r="D1577" s="14"/>
      <c r="E1577" s="11"/>
      <c r="F1577" s="15" t="str">
        <f aca="false">IF($B1577="","",IF(AND($D1577="",$E1577=""),"",IF(OR($D1577="",$E1577=""),0,ROUND($D1577*$E1577,0))))</f>
        <v/>
      </c>
      <c r="G1577" s="13"/>
      <c r="H1577" s="11"/>
      <c r="I1577" s="15" t="str">
        <f aca="false">IF($F1577="","",$F1577-IF($H1577="",0,$H1577))</f>
        <v/>
      </c>
      <c r="J1577" s="16" t="str">
        <f aca="true">IF(OR($A1577="",$I1577="",$I1577&lt;=0),"",TODAY()-$A1577)</f>
        <v/>
      </c>
      <c r="K1577" s="10"/>
    </row>
    <row r="1578" customFormat="false" ht="15" hidden="false" customHeight="true" outlineLevel="0" collapsed="false">
      <c r="A1578" s="13"/>
      <c r="B1578" s="10"/>
      <c r="C1578" s="10"/>
      <c r="D1578" s="14"/>
      <c r="E1578" s="11"/>
      <c r="F1578" s="15" t="str">
        <f aca="false">IF($B1578="","",IF(AND($D1578="",$E1578=""),"",IF(OR($D1578="",$E1578=""),0,ROUND($D1578*$E1578,0))))</f>
        <v/>
      </c>
      <c r="G1578" s="13"/>
      <c r="H1578" s="11"/>
      <c r="I1578" s="15" t="str">
        <f aca="false">IF($F1578="","",$F1578-IF($H1578="",0,$H1578))</f>
        <v/>
      </c>
      <c r="J1578" s="16" t="str">
        <f aca="true">IF(OR($A1578="",$I1578="",$I1578&lt;=0),"",TODAY()-$A1578)</f>
        <v/>
      </c>
      <c r="K1578" s="10"/>
    </row>
    <row r="1579" customFormat="false" ht="15" hidden="false" customHeight="true" outlineLevel="0" collapsed="false">
      <c r="A1579" s="13"/>
      <c r="B1579" s="10"/>
      <c r="C1579" s="10"/>
      <c r="D1579" s="14"/>
      <c r="E1579" s="11"/>
      <c r="F1579" s="15" t="str">
        <f aca="false">IF($B1579="","",IF(AND($D1579="",$E1579=""),"",IF(OR($D1579="",$E1579=""),0,ROUND($D1579*$E1579,0))))</f>
        <v/>
      </c>
      <c r="G1579" s="13"/>
      <c r="H1579" s="11"/>
      <c r="I1579" s="15" t="str">
        <f aca="false">IF($F1579="","",$F1579-IF($H1579="",0,$H1579))</f>
        <v/>
      </c>
      <c r="J1579" s="16" t="str">
        <f aca="true">IF(OR($A1579="",$I1579="",$I1579&lt;=0),"",TODAY()-$A1579)</f>
        <v/>
      </c>
      <c r="K1579" s="10"/>
    </row>
    <row r="1580" customFormat="false" ht="15" hidden="false" customHeight="true" outlineLevel="0" collapsed="false">
      <c r="A1580" s="13"/>
      <c r="B1580" s="10"/>
      <c r="C1580" s="10"/>
      <c r="D1580" s="14"/>
      <c r="E1580" s="11"/>
      <c r="F1580" s="15" t="str">
        <f aca="false">IF($B1580="","",IF(AND($D1580="",$E1580=""),"",IF(OR($D1580="",$E1580=""),0,ROUND($D1580*$E1580,0))))</f>
        <v/>
      </c>
      <c r="G1580" s="13"/>
      <c r="H1580" s="11"/>
      <c r="I1580" s="15" t="str">
        <f aca="false">IF($F1580="","",$F1580-IF($H1580="",0,$H1580))</f>
        <v/>
      </c>
      <c r="J1580" s="16" t="str">
        <f aca="true">IF(OR($A1580="",$I1580="",$I1580&lt;=0),"",TODAY()-$A1580)</f>
        <v/>
      </c>
      <c r="K1580" s="10"/>
    </row>
    <row r="1581" customFormat="false" ht="15" hidden="false" customHeight="true" outlineLevel="0" collapsed="false">
      <c r="A1581" s="13"/>
      <c r="B1581" s="10"/>
      <c r="C1581" s="10"/>
      <c r="D1581" s="14"/>
      <c r="E1581" s="11"/>
      <c r="F1581" s="15" t="str">
        <f aca="false">IF($B1581="","",IF(AND($D1581="",$E1581=""),"",IF(OR($D1581="",$E1581=""),0,ROUND($D1581*$E1581,0))))</f>
        <v/>
      </c>
      <c r="G1581" s="13"/>
      <c r="H1581" s="11"/>
      <c r="I1581" s="15" t="str">
        <f aca="false">IF($F1581="","",$F1581-IF($H1581="",0,$H1581))</f>
        <v/>
      </c>
      <c r="J1581" s="16" t="str">
        <f aca="true">IF(OR($A1581="",$I1581="",$I1581&lt;=0),"",TODAY()-$A1581)</f>
        <v/>
      </c>
      <c r="K1581" s="10"/>
    </row>
    <row r="1582" customFormat="false" ht="15" hidden="false" customHeight="true" outlineLevel="0" collapsed="false">
      <c r="A1582" s="13"/>
      <c r="B1582" s="10"/>
      <c r="C1582" s="10"/>
      <c r="D1582" s="14"/>
      <c r="E1582" s="11"/>
      <c r="F1582" s="15" t="str">
        <f aca="false">IF($B1582="","",IF(AND($D1582="",$E1582=""),"",IF(OR($D1582="",$E1582=""),0,ROUND($D1582*$E1582,0))))</f>
        <v/>
      </c>
      <c r="G1582" s="13"/>
      <c r="H1582" s="11"/>
      <c r="I1582" s="15" t="str">
        <f aca="false">IF($F1582="","",$F1582-IF($H1582="",0,$H1582))</f>
        <v/>
      </c>
      <c r="J1582" s="16" t="str">
        <f aca="true">IF(OR($A1582="",$I1582="",$I1582&lt;=0),"",TODAY()-$A1582)</f>
        <v/>
      </c>
      <c r="K1582" s="10"/>
    </row>
    <row r="1583" customFormat="false" ht="15" hidden="false" customHeight="true" outlineLevel="0" collapsed="false">
      <c r="A1583" s="13"/>
      <c r="B1583" s="10"/>
      <c r="C1583" s="10"/>
      <c r="D1583" s="14"/>
      <c r="E1583" s="11"/>
      <c r="F1583" s="15" t="str">
        <f aca="false">IF($B1583="","",IF(AND($D1583="",$E1583=""),"",IF(OR($D1583="",$E1583=""),0,ROUND($D1583*$E1583,0))))</f>
        <v/>
      </c>
      <c r="G1583" s="13"/>
      <c r="H1583" s="11"/>
      <c r="I1583" s="15" t="str">
        <f aca="false">IF($F1583="","",$F1583-IF($H1583="",0,$H1583))</f>
        <v/>
      </c>
      <c r="J1583" s="16" t="str">
        <f aca="true">IF(OR($A1583="",$I1583="",$I1583&lt;=0),"",TODAY()-$A1583)</f>
        <v/>
      </c>
      <c r="K1583" s="10"/>
    </row>
    <row r="1584" customFormat="false" ht="15" hidden="false" customHeight="true" outlineLevel="0" collapsed="false">
      <c r="A1584" s="13"/>
      <c r="B1584" s="10"/>
      <c r="C1584" s="10"/>
      <c r="D1584" s="14"/>
      <c r="E1584" s="11"/>
      <c r="F1584" s="15" t="str">
        <f aca="false">IF($B1584="","",IF(AND($D1584="",$E1584=""),"",IF(OR($D1584="",$E1584=""),0,ROUND($D1584*$E1584,0))))</f>
        <v/>
      </c>
      <c r="G1584" s="13"/>
      <c r="H1584" s="11"/>
      <c r="I1584" s="15" t="str">
        <f aca="false">IF($F1584="","",$F1584-IF($H1584="",0,$H1584))</f>
        <v/>
      </c>
      <c r="J1584" s="16" t="str">
        <f aca="true">IF(OR($A1584="",$I1584="",$I1584&lt;=0),"",TODAY()-$A1584)</f>
        <v/>
      </c>
      <c r="K1584" s="10"/>
    </row>
    <row r="1585" customFormat="false" ht="15" hidden="false" customHeight="true" outlineLevel="0" collapsed="false">
      <c r="A1585" s="13"/>
      <c r="B1585" s="10"/>
      <c r="C1585" s="10"/>
      <c r="D1585" s="14"/>
      <c r="E1585" s="11"/>
      <c r="F1585" s="15" t="str">
        <f aca="false">IF($B1585="","",IF(AND($D1585="",$E1585=""),"",IF(OR($D1585="",$E1585=""),0,ROUND($D1585*$E1585,0))))</f>
        <v/>
      </c>
      <c r="G1585" s="13"/>
      <c r="H1585" s="11"/>
      <c r="I1585" s="15" t="str">
        <f aca="false">IF($F1585="","",$F1585-IF($H1585="",0,$H1585))</f>
        <v/>
      </c>
      <c r="J1585" s="16" t="str">
        <f aca="true">IF(OR($A1585="",$I1585="",$I1585&lt;=0),"",TODAY()-$A1585)</f>
        <v/>
      </c>
      <c r="K1585" s="10"/>
    </row>
    <row r="1586" customFormat="false" ht="15" hidden="false" customHeight="true" outlineLevel="0" collapsed="false">
      <c r="A1586" s="13"/>
      <c r="B1586" s="10"/>
      <c r="C1586" s="10"/>
      <c r="D1586" s="14"/>
      <c r="E1586" s="11"/>
      <c r="F1586" s="15" t="str">
        <f aca="false">IF($B1586="","",IF(AND($D1586="",$E1586=""),"",IF(OR($D1586="",$E1586=""),0,ROUND($D1586*$E1586,0))))</f>
        <v/>
      </c>
      <c r="G1586" s="13"/>
      <c r="H1586" s="11"/>
      <c r="I1586" s="15" t="str">
        <f aca="false">IF($F1586="","",$F1586-IF($H1586="",0,$H1586))</f>
        <v/>
      </c>
      <c r="J1586" s="16" t="str">
        <f aca="true">IF(OR($A1586="",$I1586="",$I1586&lt;=0),"",TODAY()-$A1586)</f>
        <v/>
      </c>
      <c r="K1586" s="10"/>
    </row>
    <row r="1587" customFormat="false" ht="15" hidden="false" customHeight="true" outlineLevel="0" collapsed="false">
      <c r="A1587" s="13"/>
      <c r="B1587" s="10"/>
      <c r="C1587" s="10"/>
      <c r="D1587" s="14"/>
      <c r="E1587" s="11"/>
      <c r="F1587" s="15" t="str">
        <f aca="false">IF($B1587="","",IF(AND($D1587="",$E1587=""),"",IF(OR($D1587="",$E1587=""),0,ROUND($D1587*$E1587,0))))</f>
        <v/>
      </c>
      <c r="G1587" s="13"/>
      <c r="H1587" s="11"/>
      <c r="I1587" s="15" t="str">
        <f aca="false">IF($F1587="","",$F1587-IF($H1587="",0,$H1587))</f>
        <v/>
      </c>
      <c r="J1587" s="16" t="str">
        <f aca="true">IF(OR($A1587="",$I1587="",$I1587&lt;=0),"",TODAY()-$A1587)</f>
        <v/>
      </c>
      <c r="K1587" s="10"/>
    </row>
    <row r="1588" customFormat="false" ht="15" hidden="false" customHeight="true" outlineLevel="0" collapsed="false">
      <c r="A1588" s="13"/>
      <c r="B1588" s="10"/>
      <c r="C1588" s="10"/>
      <c r="D1588" s="14"/>
      <c r="E1588" s="11"/>
      <c r="F1588" s="15" t="str">
        <f aca="false">IF($B1588="","",IF(AND($D1588="",$E1588=""),"",IF(OR($D1588="",$E1588=""),0,ROUND($D1588*$E1588,0))))</f>
        <v/>
      </c>
      <c r="G1588" s="13"/>
      <c r="H1588" s="11"/>
      <c r="I1588" s="15" t="str">
        <f aca="false">IF($F1588="","",$F1588-IF($H1588="",0,$H1588))</f>
        <v/>
      </c>
      <c r="J1588" s="16" t="str">
        <f aca="true">IF(OR($A1588="",$I1588="",$I1588&lt;=0),"",TODAY()-$A1588)</f>
        <v/>
      </c>
      <c r="K1588" s="10"/>
    </row>
    <row r="1589" customFormat="false" ht="15" hidden="false" customHeight="true" outlineLevel="0" collapsed="false">
      <c r="A1589" s="13"/>
      <c r="B1589" s="10"/>
      <c r="C1589" s="10"/>
      <c r="D1589" s="14"/>
      <c r="E1589" s="11"/>
      <c r="F1589" s="15" t="str">
        <f aca="false">IF($B1589="","",IF(AND($D1589="",$E1589=""),"",IF(OR($D1589="",$E1589=""),0,ROUND($D1589*$E1589,0))))</f>
        <v/>
      </c>
      <c r="G1589" s="13"/>
      <c r="H1589" s="11"/>
      <c r="I1589" s="15" t="str">
        <f aca="false">IF($F1589="","",$F1589-IF($H1589="",0,$H1589))</f>
        <v/>
      </c>
      <c r="J1589" s="16" t="str">
        <f aca="true">IF(OR($A1589="",$I1589="",$I1589&lt;=0),"",TODAY()-$A1589)</f>
        <v/>
      </c>
      <c r="K1589" s="10"/>
    </row>
    <row r="1590" customFormat="false" ht="15" hidden="false" customHeight="true" outlineLevel="0" collapsed="false">
      <c r="A1590" s="13"/>
      <c r="B1590" s="10"/>
      <c r="C1590" s="10"/>
      <c r="D1590" s="14"/>
      <c r="E1590" s="11"/>
      <c r="F1590" s="15" t="str">
        <f aca="false">IF($B1590="","",IF(AND($D1590="",$E1590=""),"",IF(OR($D1590="",$E1590=""),0,ROUND($D1590*$E1590,0))))</f>
        <v/>
      </c>
      <c r="G1590" s="13"/>
      <c r="H1590" s="11"/>
      <c r="I1590" s="15" t="str">
        <f aca="false">IF($F1590="","",$F1590-IF($H1590="",0,$H1590))</f>
        <v/>
      </c>
      <c r="J1590" s="16" t="str">
        <f aca="true">IF(OR($A1590="",$I1590="",$I1590&lt;=0),"",TODAY()-$A1590)</f>
        <v/>
      </c>
      <c r="K1590" s="10"/>
    </row>
    <row r="1591" customFormat="false" ht="15" hidden="false" customHeight="true" outlineLevel="0" collapsed="false">
      <c r="A1591" s="13"/>
      <c r="B1591" s="10"/>
      <c r="C1591" s="10"/>
      <c r="D1591" s="14"/>
      <c r="E1591" s="11"/>
      <c r="F1591" s="15" t="str">
        <f aca="false">IF($B1591="","",IF(AND($D1591="",$E1591=""),"",IF(OR($D1591="",$E1591=""),0,ROUND($D1591*$E1591,0))))</f>
        <v/>
      </c>
      <c r="G1591" s="13"/>
      <c r="H1591" s="11"/>
      <c r="I1591" s="15" t="str">
        <f aca="false">IF($F1591="","",$F1591-IF($H1591="",0,$H1591))</f>
        <v/>
      </c>
      <c r="J1591" s="16" t="str">
        <f aca="true">IF(OR($A1591="",$I1591="",$I1591&lt;=0),"",TODAY()-$A1591)</f>
        <v/>
      </c>
      <c r="K1591" s="10"/>
    </row>
    <row r="1592" customFormat="false" ht="15" hidden="false" customHeight="true" outlineLevel="0" collapsed="false">
      <c r="A1592" s="13"/>
      <c r="B1592" s="10"/>
      <c r="C1592" s="10"/>
      <c r="D1592" s="14"/>
      <c r="E1592" s="11"/>
      <c r="F1592" s="15" t="str">
        <f aca="false">IF($B1592="","",IF(AND($D1592="",$E1592=""),"",IF(OR($D1592="",$E1592=""),0,ROUND($D1592*$E1592,0))))</f>
        <v/>
      </c>
      <c r="G1592" s="13"/>
      <c r="H1592" s="11"/>
      <c r="I1592" s="15" t="str">
        <f aca="false">IF($F1592="","",$F1592-IF($H1592="",0,$H1592))</f>
        <v/>
      </c>
      <c r="J1592" s="16" t="str">
        <f aca="true">IF(OR($A1592="",$I1592="",$I1592&lt;=0),"",TODAY()-$A1592)</f>
        <v/>
      </c>
      <c r="K1592" s="10"/>
    </row>
    <row r="1593" customFormat="false" ht="15" hidden="false" customHeight="true" outlineLevel="0" collapsed="false">
      <c r="A1593" s="13"/>
      <c r="B1593" s="10"/>
      <c r="C1593" s="10"/>
      <c r="D1593" s="14"/>
      <c r="E1593" s="11"/>
      <c r="F1593" s="15" t="str">
        <f aca="false">IF($B1593="","",IF(AND($D1593="",$E1593=""),"",IF(OR($D1593="",$E1593=""),0,ROUND($D1593*$E1593,0))))</f>
        <v/>
      </c>
      <c r="G1593" s="13"/>
      <c r="H1593" s="11"/>
      <c r="I1593" s="15" t="str">
        <f aca="false">IF($F1593="","",$F1593-IF($H1593="",0,$H1593))</f>
        <v/>
      </c>
      <c r="J1593" s="16" t="str">
        <f aca="true">IF(OR($A1593="",$I1593="",$I1593&lt;=0),"",TODAY()-$A1593)</f>
        <v/>
      </c>
      <c r="K1593" s="10"/>
    </row>
    <row r="1594" customFormat="false" ht="15" hidden="false" customHeight="true" outlineLevel="0" collapsed="false">
      <c r="A1594" s="13"/>
      <c r="B1594" s="10"/>
      <c r="C1594" s="10"/>
      <c r="D1594" s="14"/>
      <c r="E1594" s="11"/>
      <c r="F1594" s="15" t="str">
        <f aca="false">IF($B1594="","",IF(AND($D1594="",$E1594=""),"",IF(OR($D1594="",$E1594=""),0,ROUND($D1594*$E1594,0))))</f>
        <v/>
      </c>
      <c r="G1594" s="13"/>
      <c r="H1594" s="11"/>
      <c r="I1594" s="15" t="str">
        <f aca="false">IF($F1594="","",$F1594-IF($H1594="",0,$H1594))</f>
        <v/>
      </c>
      <c r="J1594" s="16" t="str">
        <f aca="true">IF(OR($A1594="",$I1594="",$I1594&lt;=0),"",TODAY()-$A1594)</f>
        <v/>
      </c>
      <c r="K1594" s="10"/>
    </row>
    <row r="1595" customFormat="false" ht="15" hidden="false" customHeight="true" outlineLevel="0" collapsed="false">
      <c r="A1595" s="13"/>
      <c r="B1595" s="10"/>
      <c r="C1595" s="10"/>
      <c r="D1595" s="14"/>
      <c r="E1595" s="11"/>
      <c r="F1595" s="15" t="str">
        <f aca="false">IF($B1595="","",IF(AND($D1595="",$E1595=""),"",IF(OR($D1595="",$E1595=""),0,ROUND($D1595*$E1595,0))))</f>
        <v/>
      </c>
      <c r="G1595" s="13"/>
      <c r="H1595" s="11"/>
      <c r="I1595" s="15" t="str">
        <f aca="false">IF($F1595="","",$F1595-IF($H1595="",0,$H1595))</f>
        <v/>
      </c>
      <c r="J1595" s="16" t="str">
        <f aca="true">IF(OR($A1595="",$I1595="",$I1595&lt;=0),"",TODAY()-$A1595)</f>
        <v/>
      </c>
      <c r="K1595" s="10"/>
    </row>
    <row r="1596" customFormat="false" ht="15" hidden="false" customHeight="true" outlineLevel="0" collapsed="false">
      <c r="A1596" s="13"/>
      <c r="B1596" s="10"/>
      <c r="C1596" s="10"/>
      <c r="D1596" s="14"/>
      <c r="E1596" s="11"/>
      <c r="F1596" s="15" t="str">
        <f aca="false">IF($B1596="","",IF(AND($D1596="",$E1596=""),"",IF(OR($D1596="",$E1596=""),0,ROUND($D1596*$E1596,0))))</f>
        <v/>
      </c>
      <c r="G1596" s="13"/>
      <c r="H1596" s="11"/>
      <c r="I1596" s="15" t="str">
        <f aca="false">IF($F1596="","",$F1596-IF($H1596="",0,$H1596))</f>
        <v/>
      </c>
      <c r="J1596" s="16" t="str">
        <f aca="true">IF(OR($A1596="",$I1596="",$I1596&lt;=0),"",TODAY()-$A1596)</f>
        <v/>
      </c>
      <c r="K1596" s="10"/>
    </row>
    <row r="1597" customFormat="false" ht="15" hidden="false" customHeight="true" outlineLevel="0" collapsed="false">
      <c r="A1597" s="13"/>
      <c r="B1597" s="10"/>
      <c r="C1597" s="10"/>
      <c r="D1597" s="14"/>
      <c r="E1597" s="11"/>
      <c r="F1597" s="15" t="str">
        <f aca="false">IF($B1597="","",IF(AND($D1597="",$E1597=""),"",IF(OR($D1597="",$E1597=""),0,ROUND($D1597*$E1597,0))))</f>
        <v/>
      </c>
      <c r="G1597" s="13"/>
      <c r="H1597" s="11"/>
      <c r="I1597" s="15" t="str">
        <f aca="false">IF($F1597="","",$F1597-IF($H1597="",0,$H1597))</f>
        <v/>
      </c>
      <c r="J1597" s="16" t="str">
        <f aca="true">IF(OR($A1597="",$I1597="",$I1597&lt;=0),"",TODAY()-$A1597)</f>
        <v/>
      </c>
      <c r="K1597" s="10"/>
    </row>
    <row r="1598" customFormat="false" ht="15" hidden="false" customHeight="true" outlineLevel="0" collapsed="false">
      <c r="A1598" s="13"/>
      <c r="B1598" s="10"/>
      <c r="C1598" s="10"/>
      <c r="D1598" s="14"/>
      <c r="E1598" s="11"/>
      <c r="F1598" s="15" t="str">
        <f aca="false">IF($B1598="","",IF(AND($D1598="",$E1598=""),"",IF(OR($D1598="",$E1598=""),0,ROUND($D1598*$E1598,0))))</f>
        <v/>
      </c>
      <c r="G1598" s="13"/>
      <c r="H1598" s="11"/>
      <c r="I1598" s="15" t="str">
        <f aca="false">IF($F1598="","",$F1598-IF($H1598="",0,$H1598))</f>
        <v/>
      </c>
      <c r="J1598" s="16" t="str">
        <f aca="true">IF(OR($A1598="",$I1598="",$I1598&lt;=0),"",TODAY()-$A1598)</f>
        <v/>
      </c>
      <c r="K1598" s="10"/>
    </row>
    <row r="1599" customFormat="false" ht="15" hidden="false" customHeight="true" outlineLevel="0" collapsed="false">
      <c r="A1599" s="13"/>
      <c r="B1599" s="10"/>
      <c r="C1599" s="10"/>
      <c r="D1599" s="14"/>
      <c r="E1599" s="11"/>
      <c r="F1599" s="15" t="str">
        <f aca="false">IF($B1599="","",IF(AND($D1599="",$E1599=""),"",IF(OR($D1599="",$E1599=""),0,ROUND($D1599*$E1599,0))))</f>
        <v/>
      </c>
      <c r="G1599" s="13"/>
      <c r="H1599" s="11"/>
      <c r="I1599" s="15" t="str">
        <f aca="false">IF($F1599="","",$F1599-IF($H1599="",0,$H1599))</f>
        <v/>
      </c>
      <c r="J1599" s="16" t="str">
        <f aca="true">IF(OR($A1599="",$I1599="",$I1599&lt;=0),"",TODAY()-$A1599)</f>
        <v/>
      </c>
      <c r="K1599" s="10"/>
    </row>
    <row r="1600" customFormat="false" ht="15" hidden="false" customHeight="true" outlineLevel="0" collapsed="false">
      <c r="A1600" s="13"/>
      <c r="B1600" s="10"/>
      <c r="C1600" s="10"/>
      <c r="D1600" s="14"/>
      <c r="E1600" s="11"/>
      <c r="F1600" s="15" t="str">
        <f aca="false">IF($B1600="","",IF(AND($D1600="",$E1600=""),"",IF(OR($D1600="",$E1600=""),0,ROUND($D1600*$E1600,0))))</f>
        <v/>
      </c>
      <c r="G1600" s="13"/>
      <c r="H1600" s="11"/>
      <c r="I1600" s="15" t="str">
        <f aca="false">IF($F1600="","",$F1600-IF($H1600="",0,$H1600))</f>
        <v/>
      </c>
      <c r="J1600" s="16" t="str">
        <f aca="true">IF(OR($A1600="",$I1600="",$I1600&lt;=0),"",TODAY()-$A1600)</f>
        <v/>
      </c>
      <c r="K1600" s="10"/>
    </row>
    <row r="1601" customFormat="false" ht="15" hidden="false" customHeight="true" outlineLevel="0" collapsed="false">
      <c r="A1601" s="13"/>
      <c r="B1601" s="10"/>
      <c r="C1601" s="10"/>
      <c r="D1601" s="14"/>
      <c r="E1601" s="11"/>
      <c r="F1601" s="15" t="str">
        <f aca="false">IF($B1601="","",IF(AND($D1601="",$E1601=""),"",IF(OR($D1601="",$E1601=""),0,ROUND($D1601*$E1601,0))))</f>
        <v/>
      </c>
      <c r="G1601" s="13"/>
      <c r="H1601" s="11"/>
      <c r="I1601" s="15" t="str">
        <f aca="false">IF($F1601="","",$F1601-IF($H1601="",0,$H1601))</f>
        <v/>
      </c>
      <c r="J1601" s="16" t="str">
        <f aca="true">IF(OR($A1601="",$I1601="",$I1601&lt;=0),"",TODAY()-$A1601)</f>
        <v/>
      </c>
      <c r="K1601" s="10"/>
    </row>
    <row r="1602" customFormat="false" ht="15" hidden="false" customHeight="true" outlineLevel="0" collapsed="false">
      <c r="A1602" s="13"/>
      <c r="B1602" s="10"/>
      <c r="C1602" s="10"/>
      <c r="D1602" s="14"/>
      <c r="E1602" s="11"/>
      <c r="F1602" s="15" t="str">
        <f aca="false">IF($B1602="","",IF(AND($D1602="",$E1602=""),"",IF(OR($D1602="",$E1602=""),0,ROUND($D1602*$E1602,0))))</f>
        <v/>
      </c>
      <c r="G1602" s="13"/>
      <c r="H1602" s="11"/>
      <c r="I1602" s="15" t="str">
        <f aca="false">IF($F1602="","",$F1602-IF($H1602="",0,$H1602))</f>
        <v/>
      </c>
      <c r="J1602" s="16" t="str">
        <f aca="true">IF(OR($A1602="",$I1602="",$I1602&lt;=0),"",TODAY()-$A1602)</f>
        <v/>
      </c>
      <c r="K1602" s="10"/>
    </row>
    <row r="1603" customFormat="false" ht="15" hidden="false" customHeight="true" outlineLevel="0" collapsed="false">
      <c r="A1603" s="13"/>
      <c r="B1603" s="10"/>
      <c r="C1603" s="10"/>
      <c r="D1603" s="14"/>
      <c r="E1603" s="11"/>
      <c r="F1603" s="15" t="str">
        <f aca="false">IF($B1603="","",IF(AND($D1603="",$E1603=""),"",IF(OR($D1603="",$E1603=""),0,ROUND($D1603*$E1603,0))))</f>
        <v/>
      </c>
      <c r="G1603" s="13"/>
      <c r="H1603" s="11"/>
      <c r="I1603" s="15" t="str">
        <f aca="false">IF($F1603="","",$F1603-IF($H1603="",0,$H1603))</f>
        <v/>
      </c>
      <c r="J1603" s="16" t="str">
        <f aca="true">IF(OR($A1603="",$I1603="",$I1603&lt;=0),"",TODAY()-$A1603)</f>
        <v/>
      </c>
      <c r="K1603" s="10"/>
    </row>
    <row r="1604" customFormat="false" ht="15" hidden="false" customHeight="true" outlineLevel="0" collapsed="false">
      <c r="A1604" s="13"/>
      <c r="B1604" s="10"/>
      <c r="C1604" s="10"/>
      <c r="D1604" s="14"/>
      <c r="E1604" s="11"/>
      <c r="F1604" s="15" t="str">
        <f aca="false">IF($B1604="","",IF(AND($D1604="",$E1604=""),"",IF(OR($D1604="",$E1604=""),0,ROUND($D1604*$E1604,0))))</f>
        <v/>
      </c>
      <c r="G1604" s="13"/>
      <c r="H1604" s="11"/>
      <c r="I1604" s="15" t="str">
        <f aca="false">IF($F1604="","",$F1604-IF($H1604="",0,$H1604))</f>
        <v/>
      </c>
      <c r="J1604" s="16" t="str">
        <f aca="true">IF(OR($A1604="",$I1604="",$I1604&lt;=0),"",TODAY()-$A1604)</f>
        <v/>
      </c>
      <c r="K1604" s="10"/>
    </row>
    <row r="1605" customFormat="false" ht="15" hidden="false" customHeight="true" outlineLevel="0" collapsed="false">
      <c r="A1605" s="13"/>
      <c r="B1605" s="10"/>
      <c r="C1605" s="10"/>
      <c r="D1605" s="14"/>
      <c r="E1605" s="11"/>
      <c r="F1605" s="15" t="str">
        <f aca="false">IF($B1605="","",IF(AND($D1605="",$E1605=""),"",IF(OR($D1605="",$E1605=""),0,ROUND($D1605*$E1605,0))))</f>
        <v/>
      </c>
      <c r="G1605" s="13"/>
      <c r="H1605" s="11"/>
      <c r="I1605" s="15" t="str">
        <f aca="false">IF($F1605="","",$F1605-IF($H1605="",0,$H1605))</f>
        <v/>
      </c>
      <c r="J1605" s="16" t="str">
        <f aca="true">IF(OR($A1605="",$I1605="",$I1605&lt;=0),"",TODAY()-$A1605)</f>
        <v/>
      </c>
      <c r="K1605" s="10"/>
    </row>
    <row r="1606" customFormat="false" ht="15" hidden="false" customHeight="true" outlineLevel="0" collapsed="false">
      <c r="A1606" s="13"/>
      <c r="B1606" s="10"/>
      <c r="C1606" s="10"/>
      <c r="D1606" s="14"/>
      <c r="E1606" s="11"/>
      <c r="F1606" s="15" t="str">
        <f aca="false">IF($B1606="","",IF(AND($D1606="",$E1606=""),"",IF(OR($D1606="",$E1606=""),0,ROUND($D1606*$E1606,0))))</f>
        <v/>
      </c>
      <c r="G1606" s="13"/>
      <c r="H1606" s="11"/>
      <c r="I1606" s="15" t="str">
        <f aca="false">IF($F1606="","",$F1606-IF($H1606="",0,$H1606))</f>
        <v/>
      </c>
      <c r="J1606" s="16" t="str">
        <f aca="true">IF(OR($A1606="",$I1606="",$I1606&lt;=0),"",TODAY()-$A1606)</f>
        <v/>
      </c>
      <c r="K1606" s="10"/>
    </row>
    <row r="1607" customFormat="false" ht="15" hidden="false" customHeight="true" outlineLevel="0" collapsed="false">
      <c r="A1607" s="13"/>
      <c r="B1607" s="10"/>
      <c r="C1607" s="10"/>
      <c r="D1607" s="14"/>
      <c r="E1607" s="11"/>
      <c r="F1607" s="15" t="str">
        <f aca="false">IF($B1607="","",IF(AND($D1607="",$E1607=""),"",IF(OR($D1607="",$E1607=""),0,ROUND($D1607*$E1607,0))))</f>
        <v/>
      </c>
      <c r="G1607" s="13"/>
      <c r="H1607" s="11"/>
      <c r="I1607" s="15" t="str">
        <f aca="false">IF($F1607="","",$F1607-IF($H1607="",0,$H1607))</f>
        <v/>
      </c>
      <c r="J1607" s="16" t="str">
        <f aca="true">IF(OR($A1607="",$I1607="",$I1607&lt;=0),"",TODAY()-$A1607)</f>
        <v/>
      </c>
      <c r="K1607" s="10"/>
    </row>
    <row r="1608" customFormat="false" ht="15" hidden="false" customHeight="true" outlineLevel="0" collapsed="false">
      <c r="A1608" s="13"/>
      <c r="B1608" s="10"/>
      <c r="C1608" s="10"/>
      <c r="D1608" s="14"/>
      <c r="E1608" s="11"/>
      <c r="F1608" s="15" t="str">
        <f aca="false">IF($B1608="","",IF(AND($D1608="",$E1608=""),"",IF(OR($D1608="",$E1608=""),0,ROUND($D1608*$E1608,0))))</f>
        <v/>
      </c>
      <c r="G1608" s="13"/>
      <c r="H1608" s="11"/>
      <c r="I1608" s="15" t="str">
        <f aca="false">IF($F1608="","",$F1608-IF($H1608="",0,$H1608))</f>
        <v/>
      </c>
      <c r="J1608" s="16" t="str">
        <f aca="true">IF(OR($A1608="",$I1608="",$I1608&lt;=0),"",TODAY()-$A1608)</f>
        <v/>
      </c>
      <c r="K1608" s="10"/>
    </row>
    <row r="1609" customFormat="false" ht="15" hidden="false" customHeight="true" outlineLevel="0" collapsed="false">
      <c r="A1609" s="13"/>
      <c r="B1609" s="10"/>
      <c r="C1609" s="10"/>
      <c r="D1609" s="14"/>
      <c r="E1609" s="11"/>
      <c r="F1609" s="15" t="str">
        <f aca="false">IF($B1609="","",IF(AND($D1609="",$E1609=""),"",IF(OR($D1609="",$E1609=""),0,ROUND($D1609*$E1609,0))))</f>
        <v/>
      </c>
      <c r="G1609" s="13"/>
      <c r="H1609" s="11"/>
      <c r="I1609" s="15" t="str">
        <f aca="false">IF($F1609="","",$F1609-IF($H1609="",0,$H1609))</f>
        <v/>
      </c>
      <c r="J1609" s="16" t="str">
        <f aca="true">IF(OR($A1609="",$I1609="",$I1609&lt;=0),"",TODAY()-$A1609)</f>
        <v/>
      </c>
      <c r="K1609" s="10"/>
    </row>
    <row r="1610" customFormat="false" ht="15" hidden="false" customHeight="true" outlineLevel="0" collapsed="false">
      <c r="A1610" s="13"/>
      <c r="B1610" s="10"/>
      <c r="C1610" s="10"/>
      <c r="D1610" s="14"/>
      <c r="E1610" s="11"/>
      <c r="F1610" s="15" t="str">
        <f aca="false">IF($B1610="","",IF(AND($D1610="",$E1610=""),"",IF(OR($D1610="",$E1610=""),0,ROUND($D1610*$E1610,0))))</f>
        <v/>
      </c>
      <c r="G1610" s="13"/>
      <c r="H1610" s="11"/>
      <c r="I1610" s="15" t="str">
        <f aca="false">IF($F1610="","",$F1610-IF($H1610="",0,$H1610))</f>
        <v/>
      </c>
      <c r="J1610" s="16" t="str">
        <f aca="true">IF(OR($A1610="",$I1610="",$I1610&lt;=0),"",TODAY()-$A1610)</f>
        <v/>
      </c>
      <c r="K1610" s="10"/>
    </row>
    <row r="1611" customFormat="false" ht="15" hidden="false" customHeight="true" outlineLevel="0" collapsed="false">
      <c r="A1611" s="13"/>
      <c r="B1611" s="10"/>
      <c r="C1611" s="10"/>
      <c r="D1611" s="14"/>
      <c r="E1611" s="11"/>
      <c r="F1611" s="15" t="str">
        <f aca="false">IF($B1611="","",IF(AND($D1611="",$E1611=""),"",IF(OR($D1611="",$E1611=""),0,ROUND($D1611*$E1611,0))))</f>
        <v/>
      </c>
      <c r="G1611" s="13"/>
      <c r="H1611" s="11"/>
      <c r="I1611" s="15" t="str">
        <f aca="false">IF($F1611="","",$F1611-IF($H1611="",0,$H1611))</f>
        <v/>
      </c>
      <c r="J1611" s="16" t="str">
        <f aca="true">IF(OR($A1611="",$I1611="",$I1611&lt;=0),"",TODAY()-$A1611)</f>
        <v/>
      </c>
      <c r="K1611" s="10"/>
    </row>
    <row r="1612" customFormat="false" ht="15" hidden="false" customHeight="true" outlineLevel="0" collapsed="false">
      <c r="A1612" s="13"/>
      <c r="B1612" s="10"/>
      <c r="C1612" s="10"/>
      <c r="D1612" s="14"/>
      <c r="E1612" s="11"/>
      <c r="F1612" s="15" t="str">
        <f aca="false">IF($B1612="","",IF(AND($D1612="",$E1612=""),"",IF(OR($D1612="",$E1612=""),0,ROUND($D1612*$E1612,0))))</f>
        <v/>
      </c>
      <c r="G1612" s="13"/>
      <c r="H1612" s="11"/>
      <c r="I1612" s="15" t="str">
        <f aca="false">IF($F1612="","",$F1612-IF($H1612="",0,$H1612))</f>
        <v/>
      </c>
      <c r="J1612" s="16" t="str">
        <f aca="true">IF(OR($A1612="",$I1612="",$I1612&lt;=0),"",TODAY()-$A1612)</f>
        <v/>
      </c>
      <c r="K1612" s="10"/>
    </row>
    <row r="1613" customFormat="false" ht="15" hidden="false" customHeight="true" outlineLevel="0" collapsed="false">
      <c r="A1613" s="13"/>
      <c r="B1613" s="10"/>
      <c r="C1613" s="10"/>
      <c r="D1613" s="14"/>
      <c r="E1613" s="11"/>
      <c r="F1613" s="15" t="str">
        <f aca="false">IF($B1613="","",IF(AND($D1613="",$E1613=""),"",IF(OR($D1613="",$E1613=""),0,ROUND($D1613*$E1613,0))))</f>
        <v/>
      </c>
      <c r="G1613" s="13"/>
      <c r="H1613" s="11"/>
      <c r="I1613" s="15" t="str">
        <f aca="false">IF($F1613="","",$F1613-IF($H1613="",0,$H1613))</f>
        <v/>
      </c>
      <c r="J1613" s="16" t="str">
        <f aca="true">IF(OR($A1613="",$I1613="",$I1613&lt;=0),"",TODAY()-$A1613)</f>
        <v/>
      </c>
      <c r="K1613" s="10"/>
    </row>
    <row r="1614" customFormat="false" ht="15" hidden="false" customHeight="true" outlineLevel="0" collapsed="false">
      <c r="A1614" s="13"/>
      <c r="B1614" s="10"/>
      <c r="C1614" s="10"/>
      <c r="D1614" s="14"/>
      <c r="E1614" s="11"/>
      <c r="F1614" s="15" t="str">
        <f aca="false">IF($B1614="","",IF(AND($D1614="",$E1614=""),"",IF(OR($D1614="",$E1614=""),0,ROUND($D1614*$E1614,0))))</f>
        <v/>
      </c>
      <c r="G1614" s="13"/>
      <c r="H1614" s="11"/>
      <c r="I1614" s="15" t="str">
        <f aca="false">IF($F1614="","",$F1614-IF($H1614="",0,$H1614))</f>
        <v/>
      </c>
      <c r="J1614" s="16" t="str">
        <f aca="true">IF(OR($A1614="",$I1614="",$I1614&lt;=0),"",TODAY()-$A1614)</f>
        <v/>
      </c>
      <c r="K1614" s="10"/>
    </row>
    <row r="1615" customFormat="false" ht="15" hidden="false" customHeight="true" outlineLevel="0" collapsed="false">
      <c r="A1615" s="13"/>
      <c r="B1615" s="10"/>
      <c r="C1615" s="10"/>
      <c r="D1615" s="14"/>
      <c r="E1615" s="11"/>
      <c r="F1615" s="15" t="str">
        <f aca="false">IF($B1615="","",IF(AND($D1615="",$E1615=""),"",IF(OR($D1615="",$E1615=""),0,ROUND($D1615*$E1615,0))))</f>
        <v/>
      </c>
      <c r="G1615" s="13"/>
      <c r="H1615" s="11"/>
      <c r="I1615" s="15" t="str">
        <f aca="false">IF($F1615="","",$F1615-IF($H1615="",0,$H1615))</f>
        <v/>
      </c>
      <c r="J1615" s="16" t="str">
        <f aca="true">IF(OR($A1615="",$I1615="",$I1615&lt;=0),"",TODAY()-$A1615)</f>
        <v/>
      </c>
      <c r="K1615" s="10"/>
    </row>
    <row r="1616" customFormat="false" ht="15" hidden="false" customHeight="true" outlineLevel="0" collapsed="false">
      <c r="A1616" s="13"/>
      <c r="B1616" s="10"/>
      <c r="C1616" s="10"/>
      <c r="D1616" s="14"/>
      <c r="E1616" s="11"/>
      <c r="F1616" s="15" t="str">
        <f aca="false">IF($B1616="","",IF(AND($D1616="",$E1616=""),"",IF(OR($D1616="",$E1616=""),0,ROUND($D1616*$E1616,0))))</f>
        <v/>
      </c>
      <c r="G1616" s="13"/>
      <c r="H1616" s="11"/>
      <c r="I1616" s="15" t="str">
        <f aca="false">IF($F1616="","",$F1616-IF($H1616="",0,$H1616))</f>
        <v/>
      </c>
      <c r="J1616" s="16" t="str">
        <f aca="true">IF(OR($A1616="",$I1616="",$I1616&lt;=0),"",TODAY()-$A1616)</f>
        <v/>
      </c>
      <c r="K1616" s="10"/>
    </row>
    <row r="1617" customFormat="false" ht="15" hidden="false" customHeight="true" outlineLevel="0" collapsed="false">
      <c r="A1617" s="13"/>
      <c r="B1617" s="10"/>
      <c r="C1617" s="10"/>
      <c r="D1617" s="14"/>
      <c r="E1617" s="11"/>
      <c r="F1617" s="15" t="str">
        <f aca="false">IF($B1617="","",IF(AND($D1617="",$E1617=""),"",IF(OR($D1617="",$E1617=""),0,ROUND($D1617*$E1617,0))))</f>
        <v/>
      </c>
      <c r="G1617" s="13"/>
      <c r="H1617" s="11"/>
      <c r="I1617" s="15" t="str">
        <f aca="false">IF($F1617="","",$F1617-IF($H1617="",0,$H1617))</f>
        <v/>
      </c>
      <c r="J1617" s="16" t="str">
        <f aca="true">IF(OR($A1617="",$I1617="",$I1617&lt;=0),"",TODAY()-$A1617)</f>
        <v/>
      </c>
      <c r="K1617" s="10"/>
    </row>
    <row r="1618" customFormat="false" ht="15" hidden="false" customHeight="true" outlineLevel="0" collapsed="false">
      <c r="A1618" s="13"/>
      <c r="B1618" s="10"/>
      <c r="C1618" s="10"/>
      <c r="D1618" s="14"/>
      <c r="E1618" s="11"/>
      <c r="F1618" s="15" t="str">
        <f aca="false">IF($B1618="","",IF(AND($D1618="",$E1618=""),"",IF(OR($D1618="",$E1618=""),0,ROUND($D1618*$E1618,0))))</f>
        <v/>
      </c>
      <c r="G1618" s="13"/>
      <c r="H1618" s="11"/>
      <c r="I1618" s="15" t="str">
        <f aca="false">IF($F1618="","",$F1618-IF($H1618="",0,$H1618))</f>
        <v/>
      </c>
      <c r="J1618" s="16" t="str">
        <f aca="true">IF(OR($A1618="",$I1618="",$I1618&lt;=0),"",TODAY()-$A1618)</f>
        <v/>
      </c>
      <c r="K1618" s="10"/>
    </row>
    <row r="1619" customFormat="false" ht="15" hidden="false" customHeight="true" outlineLevel="0" collapsed="false">
      <c r="A1619" s="13"/>
      <c r="B1619" s="10"/>
      <c r="C1619" s="10"/>
      <c r="D1619" s="14"/>
      <c r="E1619" s="11"/>
      <c r="F1619" s="15" t="str">
        <f aca="false">IF($B1619="","",IF(AND($D1619="",$E1619=""),"",IF(OR($D1619="",$E1619=""),0,ROUND($D1619*$E1619,0))))</f>
        <v/>
      </c>
      <c r="G1619" s="13"/>
      <c r="H1619" s="11"/>
      <c r="I1619" s="15" t="str">
        <f aca="false">IF($F1619="","",$F1619-IF($H1619="",0,$H1619))</f>
        <v/>
      </c>
      <c r="J1619" s="16" t="str">
        <f aca="true">IF(OR($A1619="",$I1619="",$I1619&lt;=0),"",TODAY()-$A1619)</f>
        <v/>
      </c>
      <c r="K1619" s="10"/>
    </row>
    <row r="1620" customFormat="false" ht="15" hidden="false" customHeight="true" outlineLevel="0" collapsed="false">
      <c r="A1620" s="13"/>
      <c r="B1620" s="10"/>
      <c r="C1620" s="10"/>
      <c r="D1620" s="14"/>
      <c r="E1620" s="11"/>
      <c r="F1620" s="15" t="str">
        <f aca="false">IF($B1620="","",IF(AND($D1620="",$E1620=""),"",IF(OR($D1620="",$E1620=""),0,ROUND($D1620*$E1620,0))))</f>
        <v/>
      </c>
      <c r="G1620" s="13"/>
      <c r="H1620" s="11"/>
      <c r="I1620" s="15" t="str">
        <f aca="false">IF($F1620="","",$F1620-IF($H1620="",0,$H1620))</f>
        <v/>
      </c>
      <c r="J1620" s="16" t="str">
        <f aca="true">IF(OR($A1620="",$I1620="",$I1620&lt;=0),"",TODAY()-$A1620)</f>
        <v/>
      </c>
      <c r="K1620" s="10"/>
    </row>
    <row r="1621" customFormat="false" ht="15" hidden="false" customHeight="true" outlineLevel="0" collapsed="false">
      <c r="A1621" s="13"/>
      <c r="B1621" s="10"/>
      <c r="C1621" s="10"/>
      <c r="D1621" s="14"/>
      <c r="E1621" s="11"/>
      <c r="F1621" s="15" t="str">
        <f aca="false">IF($B1621="","",IF(AND($D1621="",$E1621=""),"",IF(OR($D1621="",$E1621=""),0,ROUND($D1621*$E1621,0))))</f>
        <v/>
      </c>
      <c r="G1621" s="13"/>
      <c r="H1621" s="11"/>
      <c r="I1621" s="15" t="str">
        <f aca="false">IF($F1621="","",$F1621-IF($H1621="",0,$H1621))</f>
        <v/>
      </c>
      <c r="J1621" s="16" t="str">
        <f aca="true">IF(OR($A1621="",$I1621="",$I1621&lt;=0),"",TODAY()-$A1621)</f>
        <v/>
      </c>
      <c r="K1621" s="10"/>
    </row>
    <row r="1622" customFormat="false" ht="15" hidden="false" customHeight="true" outlineLevel="0" collapsed="false">
      <c r="A1622" s="13"/>
      <c r="B1622" s="10"/>
      <c r="C1622" s="10"/>
      <c r="D1622" s="14"/>
      <c r="E1622" s="11"/>
      <c r="F1622" s="15" t="str">
        <f aca="false">IF($B1622="","",IF(AND($D1622="",$E1622=""),"",IF(OR($D1622="",$E1622=""),0,ROUND($D1622*$E1622,0))))</f>
        <v/>
      </c>
      <c r="G1622" s="13"/>
      <c r="H1622" s="11"/>
      <c r="I1622" s="15" t="str">
        <f aca="false">IF($F1622="","",$F1622-IF($H1622="",0,$H1622))</f>
        <v/>
      </c>
      <c r="J1622" s="16" t="str">
        <f aca="true">IF(OR($A1622="",$I1622="",$I1622&lt;=0),"",TODAY()-$A1622)</f>
        <v/>
      </c>
      <c r="K1622" s="10"/>
    </row>
    <row r="1623" customFormat="false" ht="15" hidden="false" customHeight="true" outlineLevel="0" collapsed="false">
      <c r="A1623" s="13"/>
      <c r="B1623" s="10"/>
      <c r="C1623" s="10"/>
      <c r="D1623" s="14"/>
      <c r="E1623" s="11"/>
      <c r="F1623" s="15" t="str">
        <f aca="false">IF($B1623="","",IF(AND($D1623="",$E1623=""),"",IF(OR($D1623="",$E1623=""),0,ROUND($D1623*$E1623,0))))</f>
        <v/>
      </c>
      <c r="G1623" s="13"/>
      <c r="H1623" s="11"/>
      <c r="I1623" s="15" t="str">
        <f aca="false">IF($F1623="","",$F1623-IF($H1623="",0,$H1623))</f>
        <v/>
      </c>
      <c r="J1623" s="16" t="str">
        <f aca="true">IF(OR($A1623="",$I1623="",$I1623&lt;=0),"",TODAY()-$A1623)</f>
        <v/>
      </c>
      <c r="K1623" s="10"/>
    </row>
    <row r="1624" customFormat="false" ht="15" hidden="false" customHeight="true" outlineLevel="0" collapsed="false">
      <c r="A1624" s="13"/>
      <c r="B1624" s="10"/>
      <c r="C1624" s="10"/>
      <c r="D1624" s="14"/>
      <c r="E1624" s="11"/>
      <c r="F1624" s="15" t="str">
        <f aca="false">IF($B1624="","",IF(AND($D1624="",$E1624=""),"",IF(OR($D1624="",$E1624=""),0,ROUND($D1624*$E1624,0))))</f>
        <v/>
      </c>
      <c r="G1624" s="13"/>
      <c r="H1624" s="11"/>
      <c r="I1624" s="15" t="str">
        <f aca="false">IF($F1624="","",$F1624-IF($H1624="",0,$H1624))</f>
        <v/>
      </c>
      <c r="J1624" s="16" t="str">
        <f aca="true">IF(OR($A1624="",$I1624="",$I1624&lt;=0),"",TODAY()-$A1624)</f>
        <v/>
      </c>
      <c r="K1624" s="10"/>
    </row>
    <row r="1625" customFormat="false" ht="15" hidden="false" customHeight="true" outlineLevel="0" collapsed="false">
      <c r="A1625" s="13"/>
      <c r="B1625" s="10"/>
      <c r="C1625" s="10"/>
      <c r="D1625" s="14"/>
      <c r="E1625" s="11"/>
      <c r="F1625" s="15" t="str">
        <f aca="false">IF($B1625="","",IF(AND($D1625="",$E1625=""),"",IF(OR($D1625="",$E1625=""),0,ROUND($D1625*$E1625,0))))</f>
        <v/>
      </c>
      <c r="G1625" s="13"/>
      <c r="H1625" s="11"/>
      <c r="I1625" s="15" t="str">
        <f aca="false">IF($F1625="","",$F1625-IF($H1625="",0,$H1625))</f>
        <v/>
      </c>
      <c r="J1625" s="16" t="str">
        <f aca="true">IF(OR($A1625="",$I1625="",$I1625&lt;=0),"",TODAY()-$A1625)</f>
        <v/>
      </c>
      <c r="K1625" s="10"/>
    </row>
    <row r="1626" customFormat="false" ht="15" hidden="false" customHeight="true" outlineLevel="0" collapsed="false">
      <c r="A1626" s="13"/>
      <c r="B1626" s="10"/>
      <c r="C1626" s="10"/>
      <c r="D1626" s="14"/>
      <c r="E1626" s="11"/>
      <c r="F1626" s="15" t="str">
        <f aca="false">IF($B1626="","",IF(AND($D1626="",$E1626=""),"",IF(OR($D1626="",$E1626=""),0,ROUND($D1626*$E1626,0))))</f>
        <v/>
      </c>
      <c r="G1626" s="13"/>
      <c r="H1626" s="11"/>
      <c r="I1626" s="15" t="str">
        <f aca="false">IF($F1626="","",$F1626-IF($H1626="",0,$H1626))</f>
        <v/>
      </c>
      <c r="J1626" s="16" t="str">
        <f aca="true">IF(OR($A1626="",$I1626="",$I1626&lt;=0),"",TODAY()-$A1626)</f>
        <v/>
      </c>
      <c r="K1626" s="10"/>
    </row>
    <row r="1627" customFormat="false" ht="15" hidden="false" customHeight="true" outlineLevel="0" collapsed="false">
      <c r="A1627" s="13"/>
      <c r="B1627" s="10"/>
      <c r="C1627" s="10"/>
      <c r="D1627" s="14"/>
      <c r="E1627" s="11"/>
      <c r="F1627" s="15" t="str">
        <f aca="false">IF($B1627="","",IF(AND($D1627="",$E1627=""),"",IF(OR($D1627="",$E1627=""),0,ROUND($D1627*$E1627,0))))</f>
        <v/>
      </c>
      <c r="G1627" s="13"/>
      <c r="H1627" s="11"/>
      <c r="I1627" s="15" t="str">
        <f aca="false">IF($F1627="","",$F1627-IF($H1627="",0,$H1627))</f>
        <v/>
      </c>
      <c r="J1627" s="16" t="str">
        <f aca="true">IF(OR($A1627="",$I1627="",$I1627&lt;=0),"",TODAY()-$A1627)</f>
        <v/>
      </c>
      <c r="K1627" s="10"/>
    </row>
    <row r="1628" customFormat="false" ht="15" hidden="false" customHeight="true" outlineLevel="0" collapsed="false">
      <c r="A1628" s="13"/>
      <c r="B1628" s="10"/>
      <c r="C1628" s="10"/>
      <c r="D1628" s="14"/>
      <c r="E1628" s="11"/>
      <c r="F1628" s="15" t="str">
        <f aca="false">IF($B1628="","",IF(AND($D1628="",$E1628=""),"",IF(OR($D1628="",$E1628=""),0,ROUND($D1628*$E1628,0))))</f>
        <v/>
      </c>
      <c r="G1628" s="13"/>
      <c r="H1628" s="11"/>
      <c r="I1628" s="15" t="str">
        <f aca="false">IF($F1628="","",$F1628-IF($H1628="",0,$H1628))</f>
        <v/>
      </c>
      <c r="J1628" s="16" t="str">
        <f aca="true">IF(OR($A1628="",$I1628="",$I1628&lt;=0),"",TODAY()-$A1628)</f>
        <v/>
      </c>
      <c r="K1628" s="10"/>
    </row>
    <row r="1629" customFormat="false" ht="15" hidden="false" customHeight="true" outlineLevel="0" collapsed="false">
      <c r="A1629" s="13"/>
      <c r="B1629" s="10"/>
      <c r="C1629" s="10"/>
      <c r="D1629" s="14"/>
      <c r="E1629" s="11"/>
      <c r="F1629" s="15" t="str">
        <f aca="false">IF($B1629="","",IF(AND($D1629="",$E1629=""),"",IF(OR($D1629="",$E1629=""),0,ROUND($D1629*$E1629,0))))</f>
        <v/>
      </c>
      <c r="G1629" s="13"/>
      <c r="H1629" s="11"/>
      <c r="I1629" s="15" t="str">
        <f aca="false">IF($F1629="","",$F1629-IF($H1629="",0,$H1629))</f>
        <v/>
      </c>
      <c r="J1629" s="16" t="str">
        <f aca="true">IF(OR($A1629="",$I1629="",$I1629&lt;=0),"",TODAY()-$A1629)</f>
        <v/>
      </c>
      <c r="K1629" s="10"/>
    </row>
    <row r="1630" customFormat="false" ht="15" hidden="false" customHeight="true" outlineLevel="0" collapsed="false">
      <c r="A1630" s="13"/>
      <c r="B1630" s="10"/>
      <c r="C1630" s="10"/>
      <c r="D1630" s="14"/>
      <c r="E1630" s="11"/>
      <c r="F1630" s="15" t="str">
        <f aca="false">IF($B1630="","",IF(AND($D1630="",$E1630=""),"",IF(OR($D1630="",$E1630=""),0,ROUND($D1630*$E1630,0))))</f>
        <v/>
      </c>
      <c r="G1630" s="13"/>
      <c r="H1630" s="11"/>
      <c r="I1630" s="15" t="str">
        <f aca="false">IF($F1630="","",$F1630-IF($H1630="",0,$H1630))</f>
        <v/>
      </c>
      <c r="J1630" s="16" t="str">
        <f aca="true">IF(OR($A1630="",$I1630="",$I1630&lt;=0),"",TODAY()-$A1630)</f>
        <v/>
      </c>
      <c r="K1630" s="10"/>
    </row>
    <row r="1631" customFormat="false" ht="15" hidden="false" customHeight="true" outlineLevel="0" collapsed="false">
      <c r="A1631" s="13"/>
      <c r="B1631" s="10"/>
      <c r="C1631" s="10"/>
      <c r="D1631" s="14"/>
      <c r="E1631" s="11"/>
      <c r="F1631" s="15" t="str">
        <f aca="false">IF($B1631="","",IF(AND($D1631="",$E1631=""),"",IF(OR($D1631="",$E1631=""),0,ROUND($D1631*$E1631,0))))</f>
        <v/>
      </c>
      <c r="G1631" s="13"/>
      <c r="H1631" s="11"/>
      <c r="I1631" s="15" t="str">
        <f aca="false">IF($F1631="","",$F1631-IF($H1631="",0,$H1631))</f>
        <v/>
      </c>
      <c r="J1631" s="16" t="str">
        <f aca="true">IF(OR($A1631="",$I1631="",$I1631&lt;=0),"",TODAY()-$A1631)</f>
        <v/>
      </c>
      <c r="K1631" s="10"/>
    </row>
    <row r="1632" customFormat="false" ht="15" hidden="false" customHeight="true" outlineLevel="0" collapsed="false">
      <c r="A1632" s="13"/>
      <c r="B1632" s="10"/>
      <c r="C1632" s="10"/>
      <c r="D1632" s="14"/>
      <c r="E1632" s="11"/>
      <c r="F1632" s="15" t="str">
        <f aca="false">IF($B1632="","",IF(AND($D1632="",$E1632=""),"",IF(OR($D1632="",$E1632=""),0,ROUND($D1632*$E1632,0))))</f>
        <v/>
      </c>
      <c r="G1632" s="13"/>
      <c r="H1632" s="11"/>
      <c r="I1632" s="15" t="str">
        <f aca="false">IF($F1632="","",$F1632-IF($H1632="",0,$H1632))</f>
        <v/>
      </c>
      <c r="J1632" s="16" t="str">
        <f aca="true">IF(OR($A1632="",$I1632="",$I1632&lt;=0),"",TODAY()-$A1632)</f>
        <v/>
      </c>
      <c r="K1632" s="10"/>
    </row>
    <row r="1633" customFormat="false" ht="15" hidden="false" customHeight="true" outlineLevel="0" collapsed="false">
      <c r="A1633" s="13"/>
      <c r="B1633" s="10"/>
      <c r="C1633" s="10"/>
      <c r="D1633" s="14"/>
      <c r="E1633" s="11"/>
      <c r="F1633" s="15" t="str">
        <f aca="false">IF($B1633="","",IF(AND($D1633="",$E1633=""),"",IF(OR($D1633="",$E1633=""),0,ROUND($D1633*$E1633,0))))</f>
        <v/>
      </c>
      <c r="G1633" s="13"/>
      <c r="H1633" s="11"/>
      <c r="I1633" s="15" t="str">
        <f aca="false">IF($F1633="","",$F1633-IF($H1633="",0,$H1633))</f>
        <v/>
      </c>
      <c r="J1633" s="16" t="str">
        <f aca="true">IF(OR($A1633="",$I1633="",$I1633&lt;=0),"",TODAY()-$A1633)</f>
        <v/>
      </c>
      <c r="K1633" s="10"/>
    </row>
    <row r="1634" customFormat="false" ht="15" hidden="false" customHeight="true" outlineLevel="0" collapsed="false">
      <c r="A1634" s="13"/>
      <c r="B1634" s="10"/>
      <c r="C1634" s="10"/>
      <c r="D1634" s="14"/>
      <c r="E1634" s="11"/>
      <c r="F1634" s="15" t="str">
        <f aca="false">IF($B1634="","",IF(AND($D1634="",$E1634=""),"",IF(OR($D1634="",$E1634=""),0,ROUND($D1634*$E1634,0))))</f>
        <v/>
      </c>
      <c r="G1634" s="13"/>
      <c r="H1634" s="11"/>
      <c r="I1634" s="15" t="str">
        <f aca="false">IF($F1634="","",$F1634-IF($H1634="",0,$H1634))</f>
        <v/>
      </c>
      <c r="J1634" s="16" t="str">
        <f aca="true">IF(OR($A1634="",$I1634="",$I1634&lt;=0),"",TODAY()-$A1634)</f>
        <v/>
      </c>
      <c r="K1634" s="10"/>
    </row>
    <row r="1635" customFormat="false" ht="15" hidden="false" customHeight="true" outlineLevel="0" collapsed="false">
      <c r="A1635" s="13"/>
      <c r="B1635" s="10"/>
      <c r="C1635" s="10"/>
      <c r="D1635" s="14"/>
      <c r="E1635" s="11"/>
      <c r="F1635" s="15" t="str">
        <f aca="false">IF($B1635="","",IF(AND($D1635="",$E1635=""),"",IF(OR($D1635="",$E1635=""),0,ROUND($D1635*$E1635,0))))</f>
        <v/>
      </c>
      <c r="G1635" s="13"/>
      <c r="H1635" s="11"/>
      <c r="I1635" s="15" t="str">
        <f aca="false">IF($F1635="","",$F1635-IF($H1635="",0,$H1635))</f>
        <v/>
      </c>
      <c r="J1635" s="16" t="str">
        <f aca="true">IF(OR($A1635="",$I1635="",$I1635&lt;=0),"",TODAY()-$A1635)</f>
        <v/>
      </c>
      <c r="K1635" s="10"/>
    </row>
    <row r="1636" customFormat="false" ht="15" hidden="false" customHeight="true" outlineLevel="0" collapsed="false">
      <c r="A1636" s="13"/>
      <c r="B1636" s="10"/>
      <c r="C1636" s="10"/>
      <c r="D1636" s="14"/>
      <c r="E1636" s="11"/>
      <c r="F1636" s="15" t="str">
        <f aca="false">IF($B1636="","",IF(AND($D1636="",$E1636=""),"",IF(OR($D1636="",$E1636=""),0,ROUND($D1636*$E1636,0))))</f>
        <v/>
      </c>
      <c r="G1636" s="13"/>
      <c r="H1636" s="11"/>
      <c r="I1636" s="15" t="str">
        <f aca="false">IF($F1636="","",$F1636-IF($H1636="",0,$H1636))</f>
        <v/>
      </c>
      <c r="J1636" s="16" t="str">
        <f aca="true">IF(OR($A1636="",$I1636="",$I1636&lt;=0),"",TODAY()-$A1636)</f>
        <v/>
      </c>
      <c r="K1636" s="10"/>
    </row>
    <row r="1637" customFormat="false" ht="15" hidden="false" customHeight="true" outlineLevel="0" collapsed="false">
      <c r="A1637" s="13"/>
      <c r="B1637" s="10"/>
      <c r="C1637" s="10"/>
      <c r="D1637" s="14"/>
      <c r="E1637" s="11"/>
      <c r="F1637" s="15" t="str">
        <f aca="false">IF($B1637="","",IF(AND($D1637="",$E1637=""),"",IF(OR($D1637="",$E1637=""),0,ROUND($D1637*$E1637,0))))</f>
        <v/>
      </c>
      <c r="G1637" s="13"/>
      <c r="H1637" s="11"/>
      <c r="I1637" s="15" t="str">
        <f aca="false">IF($F1637="","",$F1637-IF($H1637="",0,$H1637))</f>
        <v/>
      </c>
      <c r="J1637" s="16" t="str">
        <f aca="true">IF(OR($A1637="",$I1637="",$I1637&lt;=0),"",TODAY()-$A1637)</f>
        <v/>
      </c>
      <c r="K1637" s="10"/>
    </row>
    <row r="1638" customFormat="false" ht="15" hidden="false" customHeight="true" outlineLevel="0" collapsed="false">
      <c r="A1638" s="13"/>
      <c r="B1638" s="10"/>
      <c r="C1638" s="10"/>
      <c r="D1638" s="14"/>
      <c r="E1638" s="11"/>
      <c r="F1638" s="15" t="str">
        <f aca="false">IF($B1638="","",IF(AND($D1638="",$E1638=""),"",IF(OR($D1638="",$E1638=""),0,ROUND($D1638*$E1638,0))))</f>
        <v/>
      </c>
      <c r="G1638" s="13"/>
      <c r="H1638" s="11"/>
      <c r="I1638" s="15" t="str">
        <f aca="false">IF($F1638="","",$F1638-IF($H1638="",0,$H1638))</f>
        <v/>
      </c>
      <c r="J1638" s="16" t="str">
        <f aca="true">IF(OR($A1638="",$I1638="",$I1638&lt;=0),"",TODAY()-$A1638)</f>
        <v/>
      </c>
      <c r="K1638" s="10"/>
    </row>
    <row r="1639" customFormat="false" ht="15" hidden="false" customHeight="true" outlineLevel="0" collapsed="false">
      <c r="A1639" s="13"/>
      <c r="B1639" s="10"/>
      <c r="C1639" s="10"/>
      <c r="D1639" s="14"/>
      <c r="E1639" s="11"/>
      <c r="F1639" s="15" t="str">
        <f aca="false">IF($B1639="","",IF(AND($D1639="",$E1639=""),"",IF(OR($D1639="",$E1639=""),0,ROUND($D1639*$E1639,0))))</f>
        <v/>
      </c>
      <c r="G1639" s="13"/>
      <c r="H1639" s="11"/>
      <c r="I1639" s="15" t="str">
        <f aca="false">IF($F1639="","",$F1639-IF($H1639="",0,$H1639))</f>
        <v/>
      </c>
      <c r="J1639" s="16" t="str">
        <f aca="true">IF(OR($A1639="",$I1639="",$I1639&lt;=0),"",TODAY()-$A1639)</f>
        <v/>
      </c>
      <c r="K1639" s="10"/>
    </row>
    <row r="1640" customFormat="false" ht="15" hidden="false" customHeight="true" outlineLevel="0" collapsed="false">
      <c r="A1640" s="13"/>
      <c r="B1640" s="10"/>
      <c r="C1640" s="10"/>
      <c r="D1640" s="14"/>
      <c r="E1640" s="11"/>
      <c r="F1640" s="15" t="str">
        <f aca="false">IF($B1640="","",IF(AND($D1640="",$E1640=""),"",IF(OR($D1640="",$E1640=""),0,ROUND($D1640*$E1640,0))))</f>
        <v/>
      </c>
      <c r="G1640" s="13"/>
      <c r="H1640" s="11"/>
      <c r="I1640" s="15" t="str">
        <f aca="false">IF($F1640="","",$F1640-IF($H1640="",0,$H1640))</f>
        <v/>
      </c>
      <c r="J1640" s="16" t="str">
        <f aca="true">IF(OR($A1640="",$I1640="",$I1640&lt;=0),"",TODAY()-$A1640)</f>
        <v/>
      </c>
      <c r="K1640" s="10"/>
    </row>
    <row r="1641" customFormat="false" ht="15" hidden="false" customHeight="true" outlineLevel="0" collapsed="false">
      <c r="A1641" s="13"/>
      <c r="B1641" s="10"/>
      <c r="C1641" s="10"/>
      <c r="D1641" s="14"/>
      <c r="E1641" s="11"/>
      <c r="F1641" s="15" t="str">
        <f aca="false">IF($B1641="","",IF(AND($D1641="",$E1641=""),"",IF(OR($D1641="",$E1641=""),0,ROUND($D1641*$E1641,0))))</f>
        <v/>
      </c>
      <c r="G1641" s="13"/>
      <c r="H1641" s="11"/>
      <c r="I1641" s="15" t="str">
        <f aca="false">IF($F1641="","",$F1641-IF($H1641="",0,$H1641))</f>
        <v/>
      </c>
      <c r="J1641" s="16" t="str">
        <f aca="true">IF(OR($A1641="",$I1641="",$I1641&lt;=0),"",TODAY()-$A1641)</f>
        <v/>
      </c>
      <c r="K1641" s="10"/>
    </row>
    <row r="1642" customFormat="false" ht="15" hidden="false" customHeight="true" outlineLevel="0" collapsed="false">
      <c r="A1642" s="13"/>
      <c r="B1642" s="10"/>
      <c r="C1642" s="10"/>
      <c r="D1642" s="14"/>
      <c r="E1642" s="11"/>
      <c r="F1642" s="15" t="str">
        <f aca="false">IF($B1642="","",IF(AND($D1642="",$E1642=""),"",IF(OR($D1642="",$E1642=""),0,ROUND($D1642*$E1642,0))))</f>
        <v/>
      </c>
      <c r="G1642" s="13"/>
      <c r="H1642" s="11"/>
      <c r="I1642" s="15" t="str">
        <f aca="false">IF($F1642="","",$F1642-IF($H1642="",0,$H1642))</f>
        <v/>
      </c>
      <c r="J1642" s="16" t="str">
        <f aca="true">IF(OR($A1642="",$I1642="",$I1642&lt;=0),"",TODAY()-$A1642)</f>
        <v/>
      </c>
      <c r="K1642" s="10"/>
    </row>
    <row r="1643" customFormat="false" ht="15" hidden="false" customHeight="true" outlineLevel="0" collapsed="false">
      <c r="A1643" s="13"/>
      <c r="B1643" s="10"/>
      <c r="C1643" s="10"/>
      <c r="D1643" s="14"/>
      <c r="E1643" s="11"/>
      <c r="F1643" s="15" t="str">
        <f aca="false">IF($B1643="","",IF(AND($D1643="",$E1643=""),"",IF(OR($D1643="",$E1643=""),0,ROUND($D1643*$E1643,0))))</f>
        <v/>
      </c>
      <c r="G1643" s="13"/>
      <c r="H1643" s="11"/>
      <c r="I1643" s="15" t="str">
        <f aca="false">IF($F1643="","",$F1643-IF($H1643="",0,$H1643))</f>
        <v/>
      </c>
      <c r="J1643" s="16" t="str">
        <f aca="true">IF(OR($A1643="",$I1643="",$I1643&lt;=0),"",TODAY()-$A1643)</f>
        <v/>
      </c>
      <c r="K1643" s="10"/>
    </row>
    <row r="1644" customFormat="false" ht="15" hidden="false" customHeight="true" outlineLevel="0" collapsed="false">
      <c r="A1644" s="13"/>
      <c r="B1644" s="10"/>
      <c r="C1644" s="10"/>
      <c r="D1644" s="14"/>
      <c r="E1644" s="11"/>
      <c r="F1644" s="15" t="str">
        <f aca="false">IF($B1644="","",IF(AND($D1644="",$E1644=""),"",IF(OR($D1644="",$E1644=""),0,ROUND($D1644*$E1644,0))))</f>
        <v/>
      </c>
      <c r="G1644" s="13"/>
      <c r="H1644" s="11"/>
      <c r="I1644" s="15" t="str">
        <f aca="false">IF($F1644="","",$F1644-IF($H1644="",0,$H1644))</f>
        <v/>
      </c>
      <c r="J1644" s="16" t="str">
        <f aca="true">IF(OR($A1644="",$I1644="",$I1644&lt;=0),"",TODAY()-$A1644)</f>
        <v/>
      </c>
      <c r="K1644" s="10"/>
    </row>
    <row r="1645" customFormat="false" ht="15" hidden="false" customHeight="true" outlineLevel="0" collapsed="false">
      <c r="A1645" s="13"/>
      <c r="B1645" s="10"/>
      <c r="C1645" s="10"/>
      <c r="D1645" s="14"/>
      <c r="E1645" s="11"/>
      <c r="F1645" s="15" t="str">
        <f aca="false">IF($B1645="","",IF(AND($D1645="",$E1645=""),"",IF(OR($D1645="",$E1645=""),0,ROUND($D1645*$E1645,0))))</f>
        <v/>
      </c>
      <c r="G1645" s="13"/>
      <c r="H1645" s="11"/>
      <c r="I1645" s="15" t="str">
        <f aca="false">IF($F1645="","",$F1645-IF($H1645="",0,$H1645))</f>
        <v/>
      </c>
      <c r="J1645" s="16" t="str">
        <f aca="true">IF(OR($A1645="",$I1645="",$I1645&lt;=0),"",TODAY()-$A1645)</f>
        <v/>
      </c>
      <c r="K1645" s="10"/>
    </row>
    <row r="1646" customFormat="false" ht="15" hidden="false" customHeight="true" outlineLevel="0" collapsed="false">
      <c r="A1646" s="13"/>
      <c r="B1646" s="10"/>
      <c r="C1646" s="10"/>
      <c r="D1646" s="14"/>
      <c r="E1646" s="11"/>
      <c r="F1646" s="15" t="str">
        <f aca="false">IF($B1646="","",IF(AND($D1646="",$E1646=""),"",IF(OR($D1646="",$E1646=""),0,ROUND($D1646*$E1646,0))))</f>
        <v/>
      </c>
      <c r="G1646" s="13"/>
      <c r="H1646" s="11"/>
      <c r="I1646" s="15" t="str">
        <f aca="false">IF($F1646="","",$F1646-IF($H1646="",0,$H1646))</f>
        <v/>
      </c>
      <c r="J1646" s="16" t="str">
        <f aca="true">IF(OR($A1646="",$I1646="",$I1646&lt;=0),"",TODAY()-$A1646)</f>
        <v/>
      </c>
      <c r="K1646" s="10"/>
    </row>
    <row r="1647" customFormat="false" ht="15" hidden="false" customHeight="true" outlineLevel="0" collapsed="false">
      <c r="A1647" s="13"/>
      <c r="B1647" s="10"/>
      <c r="C1647" s="10"/>
      <c r="D1647" s="14"/>
      <c r="E1647" s="11"/>
      <c r="F1647" s="15" t="str">
        <f aca="false">IF($B1647="","",IF(AND($D1647="",$E1647=""),"",IF(OR($D1647="",$E1647=""),0,ROUND($D1647*$E1647,0))))</f>
        <v/>
      </c>
      <c r="G1647" s="13"/>
      <c r="H1647" s="11"/>
      <c r="I1647" s="15" t="str">
        <f aca="false">IF($F1647="","",$F1647-IF($H1647="",0,$H1647))</f>
        <v/>
      </c>
      <c r="J1647" s="16" t="str">
        <f aca="true">IF(OR($A1647="",$I1647="",$I1647&lt;=0),"",TODAY()-$A1647)</f>
        <v/>
      </c>
      <c r="K1647" s="10"/>
    </row>
    <row r="1648" customFormat="false" ht="15" hidden="false" customHeight="true" outlineLevel="0" collapsed="false">
      <c r="A1648" s="13"/>
      <c r="B1648" s="10"/>
      <c r="C1648" s="10"/>
      <c r="D1648" s="14"/>
      <c r="E1648" s="11"/>
      <c r="F1648" s="15" t="str">
        <f aca="false">IF($B1648="","",IF(AND($D1648="",$E1648=""),"",IF(OR($D1648="",$E1648=""),0,ROUND($D1648*$E1648,0))))</f>
        <v/>
      </c>
      <c r="G1648" s="13"/>
      <c r="H1648" s="11"/>
      <c r="I1648" s="15" t="str">
        <f aca="false">IF($F1648="","",$F1648-IF($H1648="",0,$H1648))</f>
        <v/>
      </c>
      <c r="J1648" s="16" t="str">
        <f aca="true">IF(OR($A1648="",$I1648="",$I1648&lt;=0),"",TODAY()-$A1648)</f>
        <v/>
      </c>
      <c r="K1648" s="10"/>
    </row>
    <row r="1649" customFormat="false" ht="15" hidden="false" customHeight="true" outlineLevel="0" collapsed="false">
      <c r="A1649" s="13"/>
      <c r="B1649" s="10"/>
      <c r="C1649" s="10"/>
      <c r="D1649" s="14"/>
      <c r="E1649" s="11"/>
      <c r="F1649" s="15" t="str">
        <f aca="false">IF($B1649="","",IF(AND($D1649="",$E1649=""),"",IF(OR($D1649="",$E1649=""),0,ROUND($D1649*$E1649,0))))</f>
        <v/>
      </c>
      <c r="G1649" s="13"/>
      <c r="H1649" s="11"/>
      <c r="I1649" s="15" t="str">
        <f aca="false">IF($F1649="","",$F1649-IF($H1649="",0,$H1649))</f>
        <v/>
      </c>
      <c r="J1649" s="16" t="str">
        <f aca="true">IF(OR($A1649="",$I1649="",$I1649&lt;=0),"",TODAY()-$A1649)</f>
        <v/>
      </c>
      <c r="K1649" s="10"/>
    </row>
    <row r="1650" customFormat="false" ht="15" hidden="false" customHeight="true" outlineLevel="0" collapsed="false">
      <c r="A1650" s="13"/>
      <c r="B1650" s="10"/>
      <c r="C1650" s="10"/>
      <c r="D1650" s="14"/>
      <c r="E1650" s="11"/>
      <c r="F1650" s="15" t="str">
        <f aca="false">IF($B1650="","",IF(AND($D1650="",$E1650=""),"",IF(OR($D1650="",$E1650=""),0,ROUND($D1650*$E1650,0))))</f>
        <v/>
      </c>
      <c r="G1650" s="13"/>
      <c r="H1650" s="11"/>
      <c r="I1650" s="15" t="str">
        <f aca="false">IF($F1650="","",$F1650-IF($H1650="",0,$H1650))</f>
        <v/>
      </c>
      <c r="J1650" s="16" t="str">
        <f aca="true">IF(OR($A1650="",$I1650="",$I1650&lt;=0),"",TODAY()-$A1650)</f>
        <v/>
      </c>
      <c r="K1650" s="10"/>
    </row>
    <row r="1651" customFormat="false" ht="15" hidden="false" customHeight="true" outlineLevel="0" collapsed="false">
      <c r="A1651" s="13"/>
      <c r="B1651" s="10"/>
      <c r="C1651" s="10"/>
      <c r="D1651" s="14"/>
      <c r="E1651" s="11"/>
      <c r="F1651" s="15" t="str">
        <f aca="false">IF($B1651="","",IF(AND($D1651="",$E1651=""),"",IF(OR($D1651="",$E1651=""),0,ROUND($D1651*$E1651,0))))</f>
        <v/>
      </c>
      <c r="G1651" s="13"/>
      <c r="H1651" s="11"/>
      <c r="I1651" s="15" t="str">
        <f aca="false">IF($F1651="","",$F1651-IF($H1651="",0,$H1651))</f>
        <v/>
      </c>
      <c r="J1651" s="16" t="str">
        <f aca="true">IF(OR($A1651="",$I1651="",$I1651&lt;=0),"",TODAY()-$A1651)</f>
        <v/>
      </c>
      <c r="K1651" s="10"/>
    </row>
    <row r="1652" customFormat="false" ht="15" hidden="false" customHeight="true" outlineLevel="0" collapsed="false">
      <c r="A1652" s="13"/>
      <c r="B1652" s="10"/>
      <c r="C1652" s="10"/>
      <c r="D1652" s="14"/>
      <c r="E1652" s="11"/>
      <c r="F1652" s="15" t="str">
        <f aca="false">IF($B1652="","",IF(AND($D1652="",$E1652=""),"",IF(OR($D1652="",$E1652=""),0,ROUND($D1652*$E1652,0))))</f>
        <v/>
      </c>
      <c r="G1652" s="13"/>
      <c r="H1652" s="11"/>
      <c r="I1652" s="15" t="str">
        <f aca="false">IF($F1652="","",$F1652-IF($H1652="",0,$H1652))</f>
        <v/>
      </c>
      <c r="J1652" s="16" t="str">
        <f aca="true">IF(OR($A1652="",$I1652="",$I1652&lt;=0),"",TODAY()-$A1652)</f>
        <v/>
      </c>
      <c r="K1652" s="10"/>
    </row>
    <row r="1653" customFormat="false" ht="15" hidden="false" customHeight="true" outlineLevel="0" collapsed="false">
      <c r="A1653" s="13"/>
      <c r="B1653" s="10"/>
      <c r="C1653" s="10"/>
      <c r="D1653" s="14"/>
      <c r="E1653" s="11"/>
      <c r="F1653" s="15" t="str">
        <f aca="false">IF($B1653="","",IF(AND($D1653="",$E1653=""),"",IF(OR($D1653="",$E1653=""),0,ROUND($D1653*$E1653,0))))</f>
        <v/>
      </c>
      <c r="G1653" s="13"/>
      <c r="H1653" s="11"/>
      <c r="I1653" s="15" t="str">
        <f aca="false">IF($F1653="","",$F1653-IF($H1653="",0,$H1653))</f>
        <v/>
      </c>
      <c r="J1653" s="16" t="str">
        <f aca="true">IF(OR($A1653="",$I1653="",$I1653&lt;=0),"",TODAY()-$A1653)</f>
        <v/>
      </c>
      <c r="K1653" s="10"/>
    </row>
    <row r="1654" customFormat="false" ht="15" hidden="false" customHeight="true" outlineLevel="0" collapsed="false">
      <c r="A1654" s="13"/>
      <c r="B1654" s="10"/>
      <c r="C1654" s="10"/>
      <c r="D1654" s="14"/>
      <c r="E1654" s="11"/>
      <c r="F1654" s="15" t="str">
        <f aca="false">IF($B1654="","",IF(AND($D1654="",$E1654=""),"",IF(OR($D1654="",$E1654=""),0,ROUND($D1654*$E1654,0))))</f>
        <v/>
      </c>
      <c r="G1654" s="13"/>
      <c r="H1654" s="11"/>
      <c r="I1654" s="15" t="str">
        <f aca="false">IF($F1654="","",$F1654-IF($H1654="",0,$H1654))</f>
        <v/>
      </c>
      <c r="J1654" s="16" t="str">
        <f aca="true">IF(OR($A1654="",$I1654="",$I1654&lt;=0),"",TODAY()-$A1654)</f>
        <v/>
      </c>
      <c r="K1654" s="10"/>
    </row>
    <row r="1655" customFormat="false" ht="15" hidden="false" customHeight="true" outlineLevel="0" collapsed="false">
      <c r="A1655" s="13"/>
      <c r="B1655" s="10"/>
      <c r="C1655" s="10"/>
      <c r="D1655" s="14"/>
      <c r="E1655" s="11"/>
      <c r="F1655" s="15" t="str">
        <f aca="false">IF($B1655="","",IF(AND($D1655="",$E1655=""),"",IF(OR($D1655="",$E1655=""),0,ROUND($D1655*$E1655,0))))</f>
        <v/>
      </c>
      <c r="G1655" s="13"/>
      <c r="H1655" s="11"/>
      <c r="I1655" s="15" t="str">
        <f aca="false">IF($F1655="","",$F1655-IF($H1655="",0,$H1655))</f>
        <v/>
      </c>
      <c r="J1655" s="16" t="str">
        <f aca="true">IF(OR($A1655="",$I1655="",$I1655&lt;=0),"",TODAY()-$A1655)</f>
        <v/>
      </c>
      <c r="K1655" s="10"/>
    </row>
    <row r="1656" customFormat="false" ht="15" hidden="false" customHeight="true" outlineLevel="0" collapsed="false">
      <c r="A1656" s="13"/>
      <c r="B1656" s="10"/>
      <c r="C1656" s="10"/>
      <c r="D1656" s="14"/>
      <c r="E1656" s="11"/>
      <c r="F1656" s="15" t="str">
        <f aca="false">IF($B1656="","",IF(AND($D1656="",$E1656=""),"",IF(OR($D1656="",$E1656=""),0,ROUND($D1656*$E1656,0))))</f>
        <v/>
      </c>
      <c r="G1656" s="13"/>
      <c r="H1656" s="11"/>
      <c r="I1656" s="15" t="str">
        <f aca="false">IF($F1656="","",$F1656-IF($H1656="",0,$H1656))</f>
        <v/>
      </c>
      <c r="J1656" s="16" t="str">
        <f aca="true">IF(OR($A1656="",$I1656="",$I1656&lt;=0),"",TODAY()-$A1656)</f>
        <v/>
      </c>
      <c r="K1656" s="10"/>
    </row>
    <row r="1657" customFormat="false" ht="15" hidden="false" customHeight="true" outlineLevel="0" collapsed="false">
      <c r="A1657" s="13"/>
      <c r="B1657" s="10"/>
      <c r="C1657" s="10"/>
      <c r="D1657" s="14"/>
      <c r="E1657" s="11"/>
      <c r="F1657" s="15" t="str">
        <f aca="false">IF($B1657="","",IF(AND($D1657="",$E1657=""),"",IF(OR($D1657="",$E1657=""),0,ROUND($D1657*$E1657,0))))</f>
        <v/>
      </c>
      <c r="G1657" s="13"/>
      <c r="H1657" s="11"/>
      <c r="I1657" s="15" t="str">
        <f aca="false">IF($F1657="","",$F1657-IF($H1657="",0,$H1657))</f>
        <v/>
      </c>
      <c r="J1657" s="16" t="str">
        <f aca="true">IF(OR($A1657="",$I1657="",$I1657&lt;=0),"",TODAY()-$A1657)</f>
        <v/>
      </c>
      <c r="K1657" s="10"/>
    </row>
    <row r="1658" customFormat="false" ht="15" hidden="false" customHeight="true" outlineLevel="0" collapsed="false">
      <c r="A1658" s="13"/>
      <c r="B1658" s="10"/>
      <c r="C1658" s="10"/>
      <c r="D1658" s="14"/>
      <c r="E1658" s="11"/>
      <c r="F1658" s="15" t="str">
        <f aca="false">IF($B1658="","",IF(AND($D1658="",$E1658=""),"",IF(OR($D1658="",$E1658=""),0,ROUND($D1658*$E1658,0))))</f>
        <v/>
      </c>
      <c r="G1658" s="13"/>
      <c r="H1658" s="11"/>
      <c r="I1658" s="15" t="str">
        <f aca="false">IF($F1658="","",$F1658-IF($H1658="",0,$H1658))</f>
        <v/>
      </c>
      <c r="J1658" s="16" t="str">
        <f aca="true">IF(OR($A1658="",$I1658="",$I1658&lt;=0),"",TODAY()-$A1658)</f>
        <v/>
      </c>
      <c r="K1658" s="10"/>
    </row>
    <row r="1659" customFormat="false" ht="15" hidden="false" customHeight="true" outlineLevel="0" collapsed="false">
      <c r="A1659" s="13"/>
      <c r="B1659" s="10"/>
      <c r="C1659" s="10"/>
      <c r="D1659" s="14"/>
      <c r="E1659" s="11"/>
      <c r="F1659" s="15" t="str">
        <f aca="false">IF($B1659="","",IF(AND($D1659="",$E1659=""),"",IF(OR($D1659="",$E1659=""),0,ROUND($D1659*$E1659,0))))</f>
        <v/>
      </c>
      <c r="G1659" s="13"/>
      <c r="H1659" s="11"/>
      <c r="I1659" s="15" t="str">
        <f aca="false">IF($F1659="","",$F1659-IF($H1659="",0,$H1659))</f>
        <v/>
      </c>
      <c r="J1659" s="16" t="str">
        <f aca="true">IF(OR($A1659="",$I1659="",$I1659&lt;=0),"",TODAY()-$A1659)</f>
        <v/>
      </c>
      <c r="K1659" s="10"/>
    </row>
    <row r="1660" customFormat="false" ht="15" hidden="false" customHeight="true" outlineLevel="0" collapsed="false">
      <c r="A1660" s="13"/>
      <c r="B1660" s="10"/>
      <c r="C1660" s="10"/>
      <c r="D1660" s="14"/>
      <c r="E1660" s="11"/>
      <c r="F1660" s="15" t="str">
        <f aca="false">IF($B1660="","",IF(AND($D1660="",$E1660=""),"",IF(OR($D1660="",$E1660=""),0,ROUND($D1660*$E1660,0))))</f>
        <v/>
      </c>
      <c r="G1660" s="13"/>
      <c r="H1660" s="11"/>
      <c r="I1660" s="15" t="str">
        <f aca="false">IF($F1660="","",$F1660-IF($H1660="",0,$H1660))</f>
        <v/>
      </c>
      <c r="J1660" s="16" t="str">
        <f aca="true">IF(OR($A1660="",$I1660="",$I1660&lt;=0),"",TODAY()-$A1660)</f>
        <v/>
      </c>
      <c r="K1660" s="10"/>
    </row>
    <row r="1661" customFormat="false" ht="15" hidden="false" customHeight="true" outlineLevel="0" collapsed="false">
      <c r="A1661" s="13"/>
      <c r="B1661" s="10"/>
      <c r="C1661" s="10"/>
      <c r="D1661" s="14"/>
      <c r="E1661" s="11"/>
      <c r="F1661" s="15" t="str">
        <f aca="false">IF($B1661="","",IF(AND($D1661="",$E1661=""),"",IF(OR($D1661="",$E1661=""),0,ROUND($D1661*$E1661,0))))</f>
        <v/>
      </c>
      <c r="G1661" s="13"/>
      <c r="H1661" s="11"/>
      <c r="I1661" s="15" t="str">
        <f aca="false">IF($F1661="","",$F1661-IF($H1661="",0,$H1661))</f>
        <v/>
      </c>
      <c r="J1661" s="16" t="str">
        <f aca="true">IF(OR($A1661="",$I1661="",$I1661&lt;=0),"",TODAY()-$A1661)</f>
        <v/>
      </c>
      <c r="K1661" s="10"/>
    </row>
    <row r="1662" customFormat="false" ht="15" hidden="false" customHeight="true" outlineLevel="0" collapsed="false">
      <c r="A1662" s="13"/>
      <c r="B1662" s="10"/>
      <c r="C1662" s="10"/>
      <c r="D1662" s="14"/>
      <c r="E1662" s="11"/>
      <c r="F1662" s="15" t="str">
        <f aca="false">IF($B1662="","",IF(AND($D1662="",$E1662=""),"",IF(OR($D1662="",$E1662=""),0,ROUND($D1662*$E1662,0))))</f>
        <v/>
      </c>
      <c r="G1662" s="13"/>
      <c r="H1662" s="11"/>
      <c r="I1662" s="15" t="str">
        <f aca="false">IF($F1662="","",$F1662-IF($H1662="",0,$H1662))</f>
        <v/>
      </c>
      <c r="J1662" s="16" t="str">
        <f aca="true">IF(OR($A1662="",$I1662="",$I1662&lt;=0),"",TODAY()-$A1662)</f>
        <v/>
      </c>
      <c r="K1662" s="10"/>
    </row>
    <row r="1663" customFormat="false" ht="15" hidden="false" customHeight="true" outlineLevel="0" collapsed="false">
      <c r="A1663" s="13"/>
      <c r="B1663" s="10"/>
      <c r="C1663" s="10"/>
      <c r="D1663" s="14"/>
      <c r="E1663" s="11"/>
      <c r="F1663" s="15" t="str">
        <f aca="false">IF($B1663="","",IF(AND($D1663="",$E1663=""),"",IF(OR($D1663="",$E1663=""),0,ROUND($D1663*$E1663,0))))</f>
        <v/>
      </c>
      <c r="G1663" s="13"/>
      <c r="H1663" s="11"/>
      <c r="I1663" s="15" t="str">
        <f aca="false">IF($F1663="","",$F1663-IF($H1663="",0,$H1663))</f>
        <v/>
      </c>
      <c r="J1663" s="16" t="str">
        <f aca="true">IF(OR($A1663="",$I1663="",$I1663&lt;=0),"",TODAY()-$A1663)</f>
        <v/>
      </c>
      <c r="K1663" s="10"/>
    </row>
    <row r="1664" customFormat="false" ht="15" hidden="false" customHeight="true" outlineLevel="0" collapsed="false">
      <c r="A1664" s="13"/>
      <c r="B1664" s="10"/>
      <c r="C1664" s="10"/>
      <c r="D1664" s="14"/>
      <c r="E1664" s="11"/>
      <c r="F1664" s="15" t="str">
        <f aca="false">IF($B1664="","",IF(AND($D1664="",$E1664=""),"",IF(OR($D1664="",$E1664=""),0,ROUND($D1664*$E1664,0))))</f>
        <v/>
      </c>
      <c r="G1664" s="13"/>
      <c r="H1664" s="11"/>
      <c r="I1664" s="15" t="str">
        <f aca="false">IF($F1664="","",$F1664-IF($H1664="",0,$H1664))</f>
        <v/>
      </c>
      <c r="J1664" s="16" t="str">
        <f aca="true">IF(OR($A1664="",$I1664="",$I1664&lt;=0),"",TODAY()-$A1664)</f>
        <v/>
      </c>
      <c r="K1664" s="10"/>
    </row>
    <row r="1665" customFormat="false" ht="15" hidden="false" customHeight="true" outlineLevel="0" collapsed="false">
      <c r="A1665" s="13"/>
      <c r="B1665" s="10"/>
      <c r="C1665" s="10"/>
      <c r="D1665" s="14"/>
      <c r="E1665" s="11"/>
      <c r="F1665" s="15" t="str">
        <f aca="false">IF($B1665="","",IF(AND($D1665="",$E1665=""),"",IF(OR($D1665="",$E1665=""),0,ROUND($D1665*$E1665,0))))</f>
        <v/>
      </c>
      <c r="G1665" s="13"/>
      <c r="H1665" s="11"/>
      <c r="I1665" s="15" t="str">
        <f aca="false">IF($F1665="","",$F1665-IF($H1665="",0,$H1665))</f>
        <v/>
      </c>
      <c r="J1665" s="16" t="str">
        <f aca="true">IF(OR($A1665="",$I1665="",$I1665&lt;=0),"",TODAY()-$A1665)</f>
        <v/>
      </c>
      <c r="K1665" s="10"/>
    </row>
    <row r="1666" customFormat="false" ht="15" hidden="false" customHeight="true" outlineLevel="0" collapsed="false">
      <c r="A1666" s="13"/>
      <c r="B1666" s="10"/>
      <c r="C1666" s="10"/>
      <c r="D1666" s="14"/>
      <c r="E1666" s="11"/>
      <c r="F1666" s="15" t="str">
        <f aca="false">IF($B1666="","",IF(AND($D1666="",$E1666=""),"",IF(OR($D1666="",$E1666=""),0,ROUND($D1666*$E1666,0))))</f>
        <v/>
      </c>
      <c r="G1666" s="13"/>
      <c r="H1666" s="11"/>
      <c r="I1666" s="15" t="str">
        <f aca="false">IF($F1666="","",$F1666-IF($H1666="",0,$H1666))</f>
        <v/>
      </c>
      <c r="J1666" s="16" t="str">
        <f aca="true">IF(OR($A1666="",$I1666="",$I1666&lt;=0),"",TODAY()-$A1666)</f>
        <v/>
      </c>
      <c r="K1666" s="10"/>
    </row>
    <row r="1667" customFormat="false" ht="15" hidden="false" customHeight="true" outlineLevel="0" collapsed="false">
      <c r="A1667" s="13"/>
      <c r="B1667" s="10"/>
      <c r="C1667" s="10"/>
      <c r="D1667" s="14"/>
      <c r="E1667" s="11"/>
      <c r="F1667" s="15" t="str">
        <f aca="false">IF($B1667="","",IF(AND($D1667="",$E1667=""),"",IF(OR($D1667="",$E1667=""),0,ROUND($D1667*$E1667,0))))</f>
        <v/>
      </c>
      <c r="G1667" s="13"/>
      <c r="H1667" s="11"/>
      <c r="I1667" s="15" t="str">
        <f aca="false">IF($F1667="","",$F1667-IF($H1667="",0,$H1667))</f>
        <v/>
      </c>
      <c r="J1667" s="16" t="str">
        <f aca="true">IF(OR($A1667="",$I1667="",$I1667&lt;=0),"",TODAY()-$A1667)</f>
        <v/>
      </c>
      <c r="K1667" s="10"/>
    </row>
    <row r="1668" customFormat="false" ht="15" hidden="false" customHeight="true" outlineLevel="0" collapsed="false">
      <c r="A1668" s="13"/>
      <c r="B1668" s="10"/>
      <c r="C1668" s="10"/>
      <c r="D1668" s="14"/>
      <c r="E1668" s="11"/>
      <c r="F1668" s="15" t="str">
        <f aca="false">IF($B1668="","",IF(AND($D1668="",$E1668=""),"",IF(OR($D1668="",$E1668=""),0,ROUND($D1668*$E1668,0))))</f>
        <v/>
      </c>
      <c r="G1668" s="13"/>
      <c r="H1668" s="11"/>
      <c r="I1668" s="15" t="str">
        <f aca="false">IF($F1668="","",$F1668-IF($H1668="",0,$H1668))</f>
        <v/>
      </c>
      <c r="J1668" s="16" t="str">
        <f aca="true">IF(OR($A1668="",$I1668="",$I1668&lt;=0),"",TODAY()-$A1668)</f>
        <v/>
      </c>
      <c r="K1668" s="10"/>
    </row>
    <row r="1669" customFormat="false" ht="15" hidden="false" customHeight="true" outlineLevel="0" collapsed="false">
      <c r="A1669" s="13"/>
      <c r="B1669" s="10"/>
      <c r="C1669" s="10"/>
      <c r="D1669" s="14"/>
      <c r="E1669" s="11"/>
      <c r="F1669" s="15" t="str">
        <f aca="false">IF($B1669="","",IF(AND($D1669="",$E1669=""),"",IF(OR($D1669="",$E1669=""),0,ROUND($D1669*$E1669,0))))</f>
        <v/>
      </c>
      <c r="G1669" s="13"/>
      <c r="H1669" s="11"/>
      <c r="I1669" s="15" t="str">
        <f aca="false">IF($F1669="","",$F1669-IF($H1669="",0,$H1669))</f>
        <v/>
      </c>
      <c r="J1669" s="16" t="str">
        <f aca="true">IF(OR($A1669="",$I1669="",$I1669&lt;=0),"",TODAY()-$A1669)</f>
        <v/>
      </c>
      <c r="K1669" s="10"/>
    </row>
    <row r="1670" customFormat="false" ht="15" hidden="false" customHeight="true" outlineLevel="0" collapsed="false">
      <c r="A1670" s="13"/>
      <c r="B1670" s="10"/>
      <c r="C1670" s="10"/>
      <c r="D1670" s="14"/>
      <c r="E1670" s="11"/>
      <c r="F1670" s="15" t="str">
        <f aca="false">IF($B1670="","",IF(AND($D1670="",$E1670=""),"",IF(OR($D1670="",$E1670=""),0,ROUND($D1670*$E1670,0))))</f>
        <v/>
      </c>
      <c r="G1670" s="13"/>
      <c r="H1670" s="11"/>
      <c r="I1670" s="15" t="str">
        <f aca="false">IF($F1670="","",$F1670-IF($H1670="",0,$H1670))</f>
        <v/>
      </c>
      <c r="J1670" s="16" t="str">
        <f aca="true">IF(OR($A1670="",$I1670="",$I1670&lt;=0),"",TODAY()-$A1670)</f>
        <v/>
      </c>
      <c r="K1670" s="10"/>
    </row>
    <row r="1671" customFormat="false" ht="15" hidden="false" customHeight="true" outlineLevel="0" collapsed="false">
      <c r="A1671" s="13"/>
      <c r="B1671" s="10"/>
      <c r="C1671" s="10"/>
      <c r="D1671" s="14"/>
      <c r="E1671" s="11"/>
      <c r="F1671" s="15" t="str">
        <f aca="false">IF($B1671="","",IF(AND($D1671="",$E1671=""),"",IF(OR($D1671="",$E1671=""),0,ROUND($D1671*$E1671,0))))</f>
        <v/>
      </c>
      <c r="G1671" s="13"/>
      <c r="H1671" s="11"/>
      <c r="I1671" s="15" t="str">
        <f aca="false">IF($F1671="","",$F1671-IF($H1671="",0,$H1671))</f>
        <v/>
      </c>
      <c r="J1671" s="16" t="str">
        <f aca="true">IF(OR($A1671="",$I1671="",$I1671&lt;=0),"",TODAY()-$A1671)</f>
        <v/>
      </c>
      <c r="K1671" s="10"/>
    </row>
    <row r="1672" customFormat="false" ht="15" hidden="false" customHeight="true" outlineLevel="0" collapsed="false">
      <c r="A1672" s="13"/>
      <c r="B1672" s="10"/>
      <c r="C1672" s="10"/>
      <c r="D1672" s="14"/>
      <c r="E1672" s="11"/>
      <c r="F1672" s="15" t="str">
        <f aca="false">IF($B1672="","",IF(AND($D1672="",$E1672=""),"",IF(OR($D1672="",$E1672=""),0,ROUND($D1672*$E1672,0))))</f>
        <v/>
      </c>
      <c r="G1672" s="13"/>
      <c r="H1672" s="11"/>
      <c r="I1672" s="15" t="str">
        <f aca="false">IF($F1672="","",$F1672-IF($H1672="",0,$H1672))</f>
        <v/>
      </c>
      <c r="J1672" s="16" t="str">
        <f aca="true">IF(OR($A1672="",$I1672="",$I1672&lt;=0),"",TODAY()-$A1672)</f>
        <v/>
      </c>
      <c r="K1672" s="10"/>
    </row>
    <row r="1673" customFormat="false" ht="15" hidden="false" customHeight="true" outlineLevel="0" collapsed="false">
      <c r="A1673" s="13"/>
      <c r="B1673" s="10"/>
      <c r="C1673" s="10"/>
      <c r="D1673" s="14"/>
      <c r="E1673" s="11"/>
      <c r="F1673" s="15" t="str">
        <f aca="false">IF($B1673="","",IF(AND($D1673="",$E1673=""),"",IF(OR($D1673="",$E1673=""),0,ROUND($D1673*$E1673,0))))</f>
        <v/>
      </c>
      <c r="G1673" s="13"/>
      <c r="H1673" s="11"/>
      <c r="I1673" s="15" t="str">
        <f aca="false">IF($F1673="","",$F1673-IF($H1673="",0,$H1673))</f>
        <v/>
      </c>
      <c r="J1673" s="16" t="str">
        <f aca="true">IF(OR($A1673="",$I1673="",$I1673&lt;=0),"",TODAY()-$A1673)</f>
        <v/>
      </c>
      <c r="K1673" s="10"/>
    </row>
    <row r="1674" customFormat="false" ht="15" hidden="false" customHeight="true" outlineLevel="0" collapsed="false">
      <c r="A1674" s="13"/>
      <c r="B1674" s="10"/>
      <c r="C1674" s="10"/>
      <c r="D1674" s="14"/>
      <c r="E1674" s="11"/>
      <c r="F1674" s="15" t="str">
        <f aca="false">IF($B1674="","",IF(AND($D1674="",$E1674=""),"",IF(OR($D1674="",$E1674=""),0,ROUND($D1674*$E1674,0))))</f>
        <v/>
      </c>
      <c r="G1674" s="13"/>
      <c r="H1674" s="11"/>
      <c r="I1674" s="15" t="str">
        <f aca="false">IF($F1674="","",$F1674-IF($H1674="",0,$H1674))</f>
        <v/>
      </c>
      <c r="J1674" s="16" t="str">
        <f aca="true">IF(OR($A1674="",$I1674="",$I1674&lt;=0),"",TODAY()-$A1674)</f>
        <v/>
      </c>
      <c r="K1674" s="10"/>
    </row>
    <row r="1675" customFormat="false" ht="15" hidden="false" customHeight="true" outlineLevel="0" collapsed="false">
      <c r="A1675" s="13"/>
      <c r="B1675" s="10"/>
      <c r="C1675" s="10"/>
      <c r="D1675" s="14"/>
      <c r="E1675" s="11"/>
      <c r="F1675" s="15" t="str">
        <f aca="false">IF($B1675="","",IF(AND($D1675="",$E1675=""),"",IF(OR($D1675="",$E1675=""),0,ROUND($D1675*$E1675,0))))</f>
        <v/>
      </c>
      <c r="G1675" s="13"/>
      <c r="H1675" s="11"/>
      <c r="I1675" s="15" t="str">
        <f aca="false">IF($F1675="","",$F1675-IF($H1675="",0,$H1675))</f>
        <v/>
      </c>
      <c r="J1675" s="16" t="str">
        <f aca="true">IF(OR($A1675="",$I1675="",$I1675&lt;=0),"",TODAY()-$A1675)</f>
        <v/>
      </c>
      <c r="K1675" s="10"/>
    </row>
    <row r="1676" customFormat="false" ht="15" hidden="false" customHeight="true" outlineLevel="0" collapsed="false">
      <c r="A1676" s="13"/>
      <c r="B1676" s="10"/>
      <c r="C1676" s="10"/>
      <c r="D1676" s="14"/>
      <c r="E1676" s="11"/>
      <c r="F1676" s="15" t="str">
        <f aca="false">IF($B1676="","",IF(AND($D1676="",$E1676=""),"",IF(OR($D1676="",$E1676=""),0,ROUND($D1676*$E1676,0))))</f>
        <v/>
      </c>
      <c r="G1676" s="13"/>
      <c r="H1676" s="11"/>
      <c r="I1676" s="15" t="str">
        <f aca="false">IF($F1676="","",$F1676-IF($H1676="",0,$H1676))</f>
        <v/>
      </c>
      <c r="J1676" s="16" t="str">
        <f aca="true">IF(OR($A1676="",$I1676="",$I1676&lt;=0),"",TODAY()-$A1676)</f>
        <v/>
      </c>
      <c r="K1676" s="10"/>
    </row>
    <row r="1677" customFormat="false" ht="15" hidden="false" customHeight="true" outlineLevel="0" collapsed="false">
      <c r="A1677" s="13"/>
      <c r="B1677" s="10"/>
      <c r="C1677" s="10"/>
      <c r="D1677" s="14"/>
      <c r="E1677" s="11"/>
      <c r="F1677" s="15" t="str">
        <f aca="false">IF($B1677="","",IF(AND($D1677="",$E1677=""),"",IF(OR($D1677="",$E1677=""),0,ROUND($D1677*$E1677,0))))</f>
        <v/>
      </c>
      <c r="G1677" s="13"/>
      <c r="H1677" s="11"/>
      <c r="I1677" s="15" t="str">
        <f aca="false">IF($F1677="","",$F1677-IF($H1677="",0,$H1677))</f>
        <v/>
      </c>
      <c r="J1677" s="16" t="str">
        <f aca="true">IF(OR($A1677="",$I1677="",$I1677&lt;=0),"",TODAY()-$A1677)</f>
        <v/>
      </c>
      <c r="K1677" s="10"/>
    </row>
    <row r="1678" customFormat="false" ht="15" hidden="false" customHeight="true" outlineLevel="0" collapsed="false">
      <c r="A1678" s="13"/>
      <c r="B1678" s="10"/>
      <c r="C1678" s="10"/>
      <c r="D1678" s="14"/>
      <c r="E1678" s="11"/>
      <c r="F1678" s="15" t="str">
        <f aca="false">IF($B1678="","",IF(AND($D1678="",$E1678=""),"",IF(OR($D1678="",$E1678=""),0,ROUND($D1678*$E1678,0))))</f>
        <v/>
      </c>
      <c r="G1678" s="13"/>
      <c r="H1678" s="11"/>
      <c r="I1678" s="15" t="str">
        <f aca="false">IF($F1678="","",$F1678-IF($H1678="",0,$H1678))</f>
        <v/>
      </c>
      <c r="J1678" s="16" t="str">
        <f aca="true">IF(OR($A1678="",$I1678="",$I1678&lt;=0),"",TODAY()-$A1678)</f>
        <v/>
      </c>
      <c r="K1678" s="10"/>
    </row>
    <row r="1679" customFormat="false" ht="15" hidden="false" customHeight="true" outlineLevel="0" collapsed="false">
      <c r="A1679" s="13"/>
      <c r="B1679" s="10"/>
      <c r="C1679" s="10"/>
      <c r="D1679" s="14"/>
      <c r="E1679" s="11"/>
      <c r="F1679" s="15" t="str">
        <f aca="false">IF($B1679="","",IF(AND($D1679="",$E1679=""),"",IF(OR($D1679="",$E1679=""),0,ROUND($D1679*$E1679,0))))</f>
        <v/>
      </c>
      <c r="G1679" s="13"/>
      <c r="H1679" s="11"/>
      <c r="I1679" s="15" t="str">
        <f aca="false">IF($F1679="","",$F1679-IF($H1679="",0,$H1679))</f>
        <v/>
      </c>
      <c r="J1679" s="16" t="str">
        <f aca="true">IF(OR($A1679="",$I1679="",$I1679&lt;=0),"",TODAY()-$A1679)</f>
        <v/>
      </c>
      <c r="K1679" s="10"/>
    </row>
    <row r="1680" customFormat="false" ht="15" hidden="false" customHeight="true" outlineLevel="0" collapsed="false">
      <c r="A1680" s="13"/>
      <c r="B1680" s="10"/>
      <c r="C1680" s="10"/>
      <c r="D1680" s="14"/>
      <c r="E1680" s="11"/>
      <c r="F1680" s="15" t="str">
        <f aca="false">IF($B1680="","",IF(AND($D1680="",$E1680=""),"",IF(OR($D1680="",$E1680=""),0,ROUND($D1680*$E1680,0))))</f>
        <v/>
      </c>
      <c r="G1680" s="13"/>
      <c r="H1680" s="11"/>
      <c r="I1680" s="15" t="str">
        <f aca="false">IF($F1680="","",$F1680-IF($H1680="",0,$H1680))</f>
        <v/>
      </c>
      <c r="J1680" s="16" t="str">
        <f aca="true">IF(OR($A1680="",$I1680="",$I1680&lt;=0),"",TODAY()-$A1680)</f>
        <v/>
      </c>
      <c r="K1680" s="10"/>
    </row>
    <row r="1681" customFormat="false" ht="15" hidden="false" customHeight="true" outlineLevel="0" collapsed="false">
      <c r="A1681" s="13"/>
      <c r="B1681" s="10"/>
      <c r="C1681" s="10"/>
      <c r="D1681" s="14"/>
      <c r="E1681" s="11"/>
      <c r="F1681" s="15" t="str">
        <f aca="false">IF($B1681="","",IF(AND($D1681="",$E1681=""),"",IF(OR($D1681="",$E1681=""),0,ROUND($D1681*$E1681,0))))</f>
        <v/>
      </c>
      <c r="G1681" s="13"/>
      <c r="H1681" s="11"/>
      <c r="I1681" s="15" t="str">
        <f aca="false">IF($F1681="","",$F1681-IF($H1681="",0,$H1681))</f>
        <v/>
      </c>
      <c r="J1681" s="16" t="str">
        <f aca="true">IF(OR($A1681="",$I1681="",$I1681&lt;=0),"",TODAY()-$A1681)</f>
        <v/>
      </c>
      <c r="K1681" s="10"/>
    </row>
    <row r="1682" customFormat="false" ht="15" hidden="false" customHeight="true" outlineLevel="0" collapsed="false">
      <c r="A1682" s="13"/>
      <c r="B1682" s="10"/>
      <c r="C1682" s="10"/>
      <c r="D1682" s="14"/>
      <c r="E1682" s="11"/>
      <c r="F1682" s="15" t="str">
        <f aca="false">IF($B1682="","",IF(AND($D1682="",$E1682=""),"",IF(OR($D1682="",$E1682=""),0,ROUND($D1682*$E1682,0))))</f>
        <v/>
      </c>
      <c r="G1682" s="13"/>
      <c r="H1682" s="11"/>
      <c r="I1682" s="15" t="str">
        <f aca="false">IF($F1682="","",$F1682-IF($H1682="",0,$H1682))</f>
        <v/>
      </c>
      <c r="J1682" s="16" t="str">
        <f aca="true">IF(OR($A1682="",$I1682="",$I1682&lt;=0),"",TODAY()-$A1682)</f>
        <v/>
      </c>
      <c r="K1682" s="10"/>
    </row>
    <row r="1683" customFormat="false" ht="15" hidden="false" customHeight="true" outlineLevel="0" collapsed="false">
      <c r="A1683" s="13"/>
      <c r="B1683" s="10"/>
      <c r="C1683" s="10"/>
      <c r="D1683" s="14"/>
      <c r="E1683" s="11"/>
      <c r="F1683" s="15" t="str">
        <f aca="false">IF($B1683="","",IF(AND($D1683="",$E1683=""),"",IF(OR($D1683="",$E1683=""),0,ROUND($D1683*$E1683,0))))</f>
        <v/>
      </c>
      <c r="G1683" s="13"/>
      <c r="H1683" s="11"/>
      <c r="I1683" s="15" t="str">
        <f aca="false">IF($F1683="","",$F1683-IF($H1683="",0,$H1683))</f>
        <v/>
      </c>
      <c r="J1683" s="16" t="str">
        <f aca="true">IF(OR($A1683="",$I1683="",$I1683&lt;=0),"",TODAY()-$A1683)</f>
        <v/>
      </c>
      <c r="K1683" s="10"/>
    </row>
    <row r="1684" customFormat="false" ht="15" hidden="false" customHeight="true" outlineLevel="0" collapsed="false">
      <c r="A1684" s="13"/>
      <c r="B1684" s="10"/>
      <c r="C1684" s="10"/>
      <c r="D1684" s="14"/>
      <c r="E1684" s="11"/>
      <c r="F1684" s="15" t="str">
        <f aca="false">IF($B1684="","",IF(AND($D1684="",$E1684=""),"",IF(OR($D1684="",$E1684=""),0,ROUND($D1684*$E1684,0))))</f>
        <v/>
      </c>
      <c r="G1684" s="13"/>
      <c r="H1684" s="11"/>
      <c r="I1684" s="15" t="str">
        <f aca="false">IF($F1684="","",$F1684-IF($H1684="",0,$H1684))</f>
        <v/>
      </c>
      <c r="J1684" s="16" t="str">
        <f aca="true">IF(OR($A1684="",$I1684="",$I1684&lt;=0),"",TODAY()-$A1684)</f>
        <v/>
      </c>
      <c r="K1684" s="10"/>
    </row>
    <row r="1685" customFormat="false" ht="15" hidden="false" customHeight="true" outlineLevel="0" collapsed="false">
      <c r="A1685" s="13"/>
      <c r="B1685" s="10"/>
      <c r="C1685" s="10"/>
      <c r="D1685" s="14"/>
      <c r="E1685" s="11"/>
      <c r="F1685" s="15" t="str">
        <f aca="false">IF($B1685="","",IF(AND($D1685="",$E1685=""),"",IF(OR($D1685="",$E1685=""),0,ROUND($D1685*$E1685,0))))</f>
        <v/>
      </c>
      <c r="G1685" s="13"/>
      <c r="H1685" s="11"/>
      <c r="I1685" s="15" t="str">
        <f aca="false">IF($F1685="","",$F1685-IF($H1685="",0,$H1685))</f>
        <v/>
      </c>
      <c r="J1685" s="16" t="str">
        <f aca="true">IF(OR($A1685="",$I1685="",$I1685&lt;=0),"",TODAY()-$A1685)</f>
        <v/>
      </c>
      <c r="K1685" s="10"/>
    </row>
    <row r="1686" customFormat="false" ht="15" hidden="false" customHeight="true" outlineLevel="0" collapsed="false">
      <c r="A1686" s="13"/>
      <c r="B1686" s="10"/>
      <c r="C1686" s="10"/>
      <c r="D1686" s="14"/>
      <c r="E1686" s="11"/>
      <c r="F1686" s="15" t="str">
        <f aca="false">IF($B1686="","",IF(AND($D1686="",$E1686=""),"",IF(OR($D1686="",$E1686=""),0,ROUND($D1686*$E1686,0))))</f>
        <v/>
      </c>
      <c r="G1686" s="13"/>
      <c r="H1686" s="11"/>
      <c r="I1686" s="15" t="str">
        <f aca="false">IF($F1686="","",$F1686-IF($H1686="",0,$H1686))</f>
        <v/>
      </c>
      <c r="J1686" s="16" t="str">
        <f aca="true">IF(OR($A1686="",$I1686="",$I1686&lt;=0),"",TODAY()-$A1686)</f>
        <v/>
      </c>
      <c r="K1686" s="10"/>
    </row>
    <row r="1687" customFormat="false" ht="15" hidden="false" customHeight="true" outlineLevel="0" collapsed="false">
      <c r="A1687" s="13"/>
      <c r="B1687" s="10"/>
      <c r="C1687" s="10"/>
      <c r="D1687" s="14"/>
      <c r="E1687" s="11"/>
      <c r="F1687" s="15" t="str">
        <f aca="false">IF($B1687="","",IF(AND($D1687="",$E1687=""),"",IF(OR($D1687="",$E1687=""),0,ROUND($D1687*$E1687,0))))</f>
        <v/>
      </c>
      <c r="G1687" s="13"/>
      <c r="H1687" s="11"/>
      <c r="I1687" s="15" t="str">
        <f aca="false">IF($F1687="","",$F1687-IF($H1687="",0,$H1687))</f>
        <v/>
      </c>
      <c r="J1687" s="16" t="str">
        <f aca="true">IF(OR($A1687="",$I1687="",$I1687&lt;=0),"",TODAY()-$A1687)</f>
        <v/>
      </c>
      <c r="K1687" s="10"/>
    </row>
    <row r="1688" customFormat="false" ht="15" hidden="false" customHeight="true" outlineLevel="0" collapsed="false">
      <c r="A1688" s="13"/>
      <c r="B1688" s="10"/>
      <c r="C1688" s="10"/>
      <c r="D1688" s="14"/>
      <c r="E1688" s="11"/>
      <c r="F1688" s="15" t="str">
        <f aca="false">IF($B1688="","",IF(AND($D1688="",$E1688=""),"",IF(OR($D1688="",$E1688=""),0,ROUND($D1688*$E1688,0))))</f>
        <v/>
      </c>
      <c r="G1688" s="13"/>
      <c r="H1688" s="11"/>
      <c r="I1688" s="15" t="str">
        <f aca="false">IF($F1688="","",$F1688-IF($H1688="",0,$H1688))</f>
        <v/>
      </c>
      <c r="J1688" s="16" t="str">
        <f aca="true">IF(OR($A1688="",$I1688="",$I1688&lt;=0),"",TODAY()-$A1688)</f>
        <v/>
      </c>
      <c r="K1688" s="10"/>
    </row>
    <row r="1689" customFormat="false" ht="15" hidden="false" customHeight="true" outlineLevel="0" collapsed="false">
      <c r="A1689" s="13"/>
      <c r="B1689" s="10"/>
      <c r="C1689" s="10"/>
      <c r="D1689" s="14"/>
      <c r="E1689" s="11"/>
      <c r="F1689" s="15" t="str">
        <f aca="false">IF($B1689="","",IF(AND($D1689="",$E1689=""),"",IF(OR($D1689="",$E1689=""),0,ROUND($D1689*$E1689,0))))</f>
        <v/>
      </c>
      <c r="G1689" s="13"/>
      <c r="H1689" s="11"/>
      <c r="I1689" s="15" t="str">
        <f aca="false">IF($F1689="","",$F1689-IF($H1689="",0,$H1689))</f>
        <v/>
      </c>
      <c r="J1689" s="16" t="str">
        <f aca="true">IF(OR($A1689="",$I1689="",$I1689&lt;=0),"",TODAY()-$A1689)</f>
        <v/>
      </c>
      <c r="K1689" s="10"/>
    </row>
    <row r="1690" customFormat="false" ht="15" hidden="false" customHeight="true" outlineLevel="0" collapsed="false">
      <c r="A1690" s="13"/>
      <c r="B1690" s="10"/>
      <c r="C1690" s="10"/>
      <c r="D1690" s="14"/>
      <c r="E1690" s="11"/>
      <c r="F1690" s="15" t="str">
        <f aca="false">IF($B1690="","",IF(AND($D1690="",$E1690=""),"",IF(OR($D1690="",$E1690=""),0,ROUND($D1690*$E1690,0))))</f>
        <v/>
      </c>
      <c r="G1690" s="13"/>
      <c r="H1690" s="11"/>
      <c r="I1690" s="15" t="str">
        <f aca="false">IF($F1690="","",$F1690-IF($H1690="",0,$H1690))</f>
        <v/>
      </c>
      <c r="J1690" s="16" t="str">
        <f aca="true">IF(OR($A1690="",$I1690="",$I1690&lt;=0),"",TODAY()-$A1690)</f>
        <v/>
      </c>
      <c r="K1690" s="10"/>
    </row>
    <row r="1691" customFormat="false" ht="15" hidden="false" customHeight="true" outlineLevel="0" collapsed="false">
      <c r="A1691" s="13"/>
      <c r="B1691" s="10"/>
      <c r="C1691" s="10"/>
      <c r="D1691" s="14"/>
      <c r="E1691" s="11"/>
      <c r="F1691" s="15" t="str">
        <f aca="false">IF($B1691="","",IF(AND($D1691="",$E1691=""),"",IF(OR($D1691="",$E1691=""),0,ROUND($D1691*$E1691,0))))</f>
        <v/>
      </c>
      <c r="G1691" s="13"/>
      <c r="H1691" s="11"/>
      <c r="I1691" s="15" t="str">
        <f aca="false">IF($F1691="","",$F1691-IF($H1691="",0,$H1691))</f>
        <v/>
      </c>
      <c r="J1691" s="16" t="str">
        <f aca="true">IF(OR($A1691="",$I1691="",$I1691&lt;=0),"",TODAY()-$A1691)</f>
        <v/>
      </c>
      <c r="K1691" s="10"/>
    </row>
    <row r="1692" customFormat="false" ht="15" hidden="false" customHeight="true" outlineLevel="0" collapsed="false">
      <c r="A1692" s="13"/>
      <c r="B1692" s="10"/>
      <c r="C1692" s="10"/>
      <c r="D1692" s="14"/>
      <c r="E1692" s="11"/>
      <c r="F1692" s="15" t="str">
        <f aca="false">IF($B1692="","",IF(AND($D1692="",$E1692=""),"",IF(OR($D1692="",$E1692=""),0,ROUND($D1692*$E1692,0))))</f>
        <v/>
      </c>
      <c r="G1692" s="13"/>
      <c r="H1692" s="11"/>
      <c r="I1692" s="15" t="str">
        <f aca="false">IF($F1692="","",$F1692-IF($H1692="",0,$H1692))</f>
        <v/>
      </c>
      <c r="J1692" s="16" t="str">
        <f aca="true">IF(OR($A1692="",$I1692="",$I1692&lt;=0),"",TODAY()-$A1692)</f>
        <v/>
      </c>
      <c r="K1692" s="10"/>
    </row>
    <row r="1693" customFormat="false" ht="15" hidden="false" customHeight="true" outlineLevel="0" collapsed="false">
      <c r="A1693" s="13"/>
      <c r="B1693" s="10"/>
      <c r="C1693" s="10"/>
      <c r="D1693" s="14"/>
      <c r="E1693" s="11"/>
      <c r="F1693" s="15" t="str">
        <f aca="false">IF($B1693="","",IF(AND($D1693="",$E1693=""),"",IF(OR($D1693="",$E1693=""),0,ROUND($D1693*$E1693,0))))</f>
        <v/>
      </c>
      <c r="G1693" s="13"/>
      <c r="H1693" s="11"/>
      <c r="I1693" s="15" t="str">
        <f aca="false">IF($F1693="","",$F1693-IF($H1693="",0,$H1693))</f>
        <v/>
      </c>
      <c r="J1693" s="16" t="str">
        <f aca="true">IF(OR($A1693="",$I1693="",$I1693&lt;=0),"",TODAY()-$A1693)</f>
        <v/>
      </c>
      <c r="K1693" s="10"/>
    </row>
    <row r="1694" customFormat="false" ht="15" hidden="false" customHeight="true" outlineLevel="0" collapsed="false">
      <c r="A1694" s="13"/>
      <c r="B1694" s="10"/>
      <c r="C1694" s="10"/>
      <c r="D1694" s="14"/>
      <c r="E1694" s="11"/>
      <c r="F1694" s="15" t="str">
        <f aca="false">IF($B1694="","",IF(AND($D1694="",$E1694=""),"",IF(OR($D1694="",$E1694=""),0,ROUND($D1694*$E1694,0))))</f>
        <v/>
      </c>
      <c r="G1694" s="13"/>
      <c r="H1694" s="11"/>
      <c r="I1694" s="15" t="str">
        <f aca="false">IF($F1694="","",$F1694-IF($H1694="",0,$H1694))</f>
        <v/>
      </c>
      <c r="J1694" s="16" t="str">
        <f aca="true">IF(OR($A1694="",$I1694="",$I1694&lt;=0),"",TODAY()-$A1694)</f>
        <v/>
      </c>
      <c r="K1694" s="10"/>
    </row>
    <row r="1695" customFormat="false" ht="15" hidden="false" customHeight="true" outlineLevel="0" collapsed="false">
      <c r="A1695" s="13"/>
      <c r="B1695" s="10"/>
      <c r="C1695" s="10"/>
      <c r="D1695" s="14"/>
      <c r="E1695" s="11"/>
      <c r="F1695" s="15" t="str">
        <f aca="false">IF($B1695="","",IF(AND($D1695="",$E1695=""),"",IF(OR($D1695="",$E1695=""),0,ROUND($D1695*$E1695,0))))</f>
        <v/>
      </c>
      <c r="G1695" s="13"/>
      <c r="H1695" s="11"/>
      <c r="I1695" s="15" t="str">
        <f aca="false">IF($F1695="","",$F1695-IF($H1695="",0,$H1695))</f>
        <v/>
      </c>
      <c r="J1695" s="16" t="str">
        <f aca="true">IF(OR($A1695="",$I1695="",$I1695&lt;=0),"",TODAY()-$A1695)</f>
        <v/>
      </c>
      <c r="K1695" s="10"/>
    </row>
    <row r="1696" customFormat="false" ht="15" hidden="false" customHeight="true" outlineLevel="0" collapsed="false">
      <c r="A1696" s="13"/>
      <c r="B1696" s="10"/>
      <c r="C1696" s="10"/>
      <c r="D1696" s="14"/>
      <c r="E1696" s="11"/>
      <c r="F1696" s="15" t="str">
        <f aca="false">IF($B1696="","",IF(AND($D1696="",$E1696=""),"",IF(OR($D1696="",$E1696=""),0,ROUND($D1696*$E1696,0))))</f>
        <v/>
      </c>
      <c r="G1696" s="13"/>
      <c r="H1696" s="11"/>
      <c r="I1696" s="15" t="str">
        <f aca="false">IF($F1696="","",$F1696-IF($H1696="",0,$H1696))</f>
        <v/>
      </c>
      <c r="J1696" s="16" t="str">
        <f aca="true">IF(OR($A1696="",$I1696="",$I1696&lt;=0),"",TODAY()-$A1696)</f>
        <v/>
      </c>
      <c r="K1696" s="10"/>
    </row>
    <row r="1697" customFormat="false" ht="15" hidden="false" customHeight="true" outlineLevel="0" collapsed="false">
      <c r="A1697" s="13"/>
      <c r="B1697" s="10"/>
      <c r="C1697" s="10"/>
      <c r="D1697" s="14"/>
      <c r="E1697" s="11"/>
      <c r="F1697" s="15" t="str">
        <f aca="false">IF($B1697="","",IF(AND($D1697="",$E1697=""),"",IF(OR($D1697="",$E1697=""),0,ROUND($D1697*$E1697,0))))</f>
        <v/>
      </c>
      <c r="G1697" s="13"/>
      <c r="H1697" s="11"/>
      <c r="I1697" s="15" t="str">
        <f aca="false">IF($F1697="","",$F1697-IF($H1697="",0,$H1697))</f>
        <v/>
      </c>
      <c r="J1697" s="16" t="str">
        <f aca="true">IF(OR($A1697="",$I1697="",$I1697&lt;=0),"",TODAY()-$A1697)</f>
        <v/>
      </c>
      <c r="K1697" s="10"/>
    </row>
    <row r="1698" customFormat="false" ht="15" hidden="false" customHeight="true" outlineLevel="0" collapsed="false">
      <c r="A1698" s="13"/>
      <c r="B1698" s="10"/>
      <c r="C1698" s="10"/>
      <c r="D1698" s="14"/>
      <c r="E1698" s="11"/>
      <c r="F1698" s="15" t="str">
        <f aca="false">IF($B1698="","",IF(AND($D1698="",$E1698=""),"",IF(OR($D1698="",$E1698=""),0,ROUND($D1698*$E1698,0))))</f>
        <v/>
      </c>
      <c r="G1698" s="13"/>
      <c r="H1698" s="11"/>
      <c r="I1698" s="15" t="str">
        <f aca="false">IF($F1698="","",$F1698-IF($H1698="",0,$H1698))</f>
        <v/>
      </c>
      <c r="J1698" s="16" t="str">
        <f aca="true">IF(OR($A1698="",$I1698="",$I1698&lt;=0),"",TODAY()-$A1698)</f>
        <v/>
      </c>
      <c r="K1698" s="10"/>
    </row>
    <row r="1699" customFormat="false" ht="15" hidden="false" customHeight="true" outlineLevel="0" collapsed="false">
      <c r="A1699" s="13"/>
      <c r="B1699" s="10"/>
      <c r="C1699" s="10"/>
      <c r="D1699" s="14"/>
      <c r="E1699" s="11"/>
      <c r="F1699" s="15" t="str">
        <f aca="false">IF($B1699="","",IF(AND($D1699="",$E1699=""),"",IF(OR($D1699="",$E1699=""),0,ROUND($D1699*$E1699,0))))</f>
        <v/>
      </c>
      <c r="G1699" s="13"/>
      <c r="H1699" s="11"/>
      <c r="I1699" s="15" t="str">
        <f aca="false">IF($F1699="","",$F1699-IF($H1699="",0,$H1699))</f>
        <v/>
      </c>
      <c r="J1699" s="16" t="str">
        <f aca="true">IF(OR($A1699="",$I1699="",$I1699&lt;=0),"",TODAY()-$A1699)</f>
        <v/>
      </c>
      <c r="K1699" s="10"/>
    </row>
    <row r="1700" customFormat="false" ht="15" hidden="false" customHeight="true" outlineLevel="0" collapsed="false">
      <c r="A1700" s="13"/>
      <c r="B1700" s="10"/>
      <c r="C1700" s="10"/>
      <c r="D1700" s="14"/>
      <c r="E1700" s="11"/>
      <c r="F1700" s="15" t="str">
        <f aca="false">IF($B1700="","",IF(AND($D1700="",$E1700=""),"",IF(OR($D1700="",$E1700=""),0,ROUND($D1700*$E1700,0))))</f>
        <v/>
      </c>
      <c r="G1700" s="13"/>
      <c r="H1700" s="11"/>
      <c r="I1700" s="15" t="str">
        <f aca="false">IF($F1700="","",$F1700-IF($H1700="",0,$H1700))</f>
        <v/>
      </c>
      <c r="J1700" s="16" t="str">
        <f aca="true">IF(OR($A1700="",$I1700="",$I1700&lt;=0),"",TODAY()-$A1700)</f>
        <v/>
      </c>
      <c r="K1700" s="10"/>
    </row>
    <row r="1701" customFormat="false" ht="15" hidden="false" customHeight="true" outlineLevel="0" collapsed="false">
      <c r="A1701" s="13"/>
      <c r="B1701" s="10"/>
      <c r="C1701" s="10"/>
      <c r="D1701" s="14"/>
      <c r="E1701" s="11"/>
      <c r="F1701" s="15" t="str">
        <f aca="false">IF($B1701="","",IF(AND($D1701="",$E1701=""),"",IF(OR($D1701="",$E1701=""),0,ROUND($D1701*$E1701,0))))</f>
        <v/>
      </c>
      <c r="G1701" s="13"/>
      <c r="H1701" s="11"/>
      <c r="I1701" s="15" t="str">
        <f aca="false">IF($F1701="","",$F1701-IF($H1701="",0,$H1701))</f>
        <v/>
      </c>
      <c r="J1701" s="16" t="str">
        <f aca="true">IF(OR($A1701="",$I1701="",$I1701&lt;=0),"",TODAY()-$A1701)</f>
        <v/>
      </c>
      <c r="K1701" s="10"/>
    </row>
    <row r="1702" customFormat="false" ht="15" hidden="false" customHeight="true" outlineLevel="0" collapsed="false">
      <c r="A1702" s="13"/>
      <c r="B1702" s="10"/>
      <c r="C1702" s="10"/>
      <c r="D1702" s="14"/>
      <c r="E1702" s="11"/>
      <c r="F1702" s="15" t="str">
        <f aca="false">IF($B1702="","",IF(AND($D1702="",$E1702=""),"",IF(OR($D1702="",$E1702=""),0,ROUND($D1702*$E1702,0))))</f>
        <v/>
      </c>
      <c r="G1702" s="13"/>
      <c r="H1702" s="11"/>
      <c r="I1702" s="15" t="str">
        <f aca="false">IF($F1702="","",$F1702-IF($H1702="",0,$H1702))</f>
        <v/>
      </c>
      <c r="J1702" s="16" t="str">
        <f aca="true">IF(OR($A1702="",$I1702="",$I1702&lt;=0),"",TODAY()-$A1702)</f>
        <v/>
      </c>
      <c r="K1702" s="10"/>
    </row>
    <row r="1703" customFormat="false" ht="15" hidden="false" customHeight="true" outlineLevel="0" collapsed="false">
      <c r="A1703" s="13"/>
      <c r="B1703" s="10"/>
      <c r="C1703" s="10"/>
      <c r="D1703" s="14"/>
      <c r="E1703" s="11"/>
      <c r="F1703" s="15" t="str">
        <f aca="false">IF($B1703="","",IF(AND($D1703="",$E1703=""),"",IF(OR($D1703="",$E1703=""),0,ROUND($D1703*$E1703,0))))</f>
        <v/>
      </c>
      <c r="G1703" s="13"/>
      <c r="H1703" s="11"/>
      <c r="I1703" s="15" t="str">
        <f aca="false">IF($F1703="","",$F1703-IF($H1703="",0,$H1703))</f>
        <v/>
      </c>
      <c r="J1703" s="16" t="str">
        <f aca="true">IF(OR($A1703="",$I1703="",$I1703&lt;=0),"",TODAY()-$A1703)</f>
        <v/>
      </c>
      <c r="K1703" s="10"/>
    </row>
    <row r="1704" customFormat="false" ht="15" hidden="false" customHeight="true" outlineLevel="0" collapsed="false">
      <c r="A1704" s="13"/>
      <c r="B1704" s="10"/>
      <c r="C1704" s="10"/>
      <c r="D1704" s="14"/>
      <c r="E1704" s="11"/>
      <c r="F1704" s="15" t="str">
        <f aca="false">IF($B1704="","",IF(AND($D1704="",$E1704=""),"",IF(OR($D1704="",$E1704=""),0,ROUND($D1704*$E1704,0))))</f>
        <v/>
      </c>
      <c r="G1704" s="13"/>
      <c r="H1704" s="11"/>
      <c r="I1704" s="15" t="str">
        <f aca="false">IF($F1704="","",$F1704-IF($H1704="",0,$H1704))</f>
        <v/>
      </c>
      <c r="J1704" s="16" t="str">
        <f aca="true">IF(OR($A1704="",$I1704="",$I1704&lt;=0),"",TODAY()-$A1704)</f>
        <v/>
      </c>
      <c r="K1704" s="10"/>
    </row>
    <row r="1705" customFormat="false" ht="15" hidden="false" customHeight="true" outlineLevel="0" collapsed="false">
      <c r="A1705" s="13"/>
      <c r="B1705" s="10"/>
      <c r="C1705" s="10"/>
      <c r="D1705" s="14"/>
      <c r="E1705" s="11"/>
      <c r="F1705" s="15" t="str">
        <f aca="false">IF($B1705="","",IF(AND($D1705="",$E1705=""),"",IF(OR($D1705="",$E1705=""),0,ROUND($D1705*$E1705,0))))</f>
        <v/>
      </c>
      <c r="G1705" s="13"/>
      <c r="H1705" s="11"/>
      <c r="I1705" s="15" t="str">
        <f aca="false">IF($F1705="","",$F1705-IF($H1705="",0,$H1705))</f>
        <v/>
      </c>
      <c r="J1705" s="16" t="str">
        <f aca="true">IF(OR($A1705="",$I1705="",$I1705&lt;=0),"",TODAY()-$A1705)</f>
        <v/>
      </c>
      <c r="K1705" s="10"/>
    </row>
    <row r="1706" customFormat="false" ht="15" hidden="false" customHeight="true" outlineLevel="0" collapsed="false">
      <c r="A1706" s="13"/>
      <c r="B1706" s="10"/>
      <c r="C1706" s="10"/>
      <c r="D1706" s="14"/>
      <c r="E1706" s="11"/>
      <c r="F1706" s="15" t="str">
        <f aca="false">IF($B1706="","",IF(AND($D1706="",$E1706=""),"",IF(OR($D1706="",$E1706=""),0,ROUND($D1706*$E1706,0))))</f>
        <v/>
      </c>
      <c r="G1706" s="13"/>
      <c r="H1706" s="11"/>
      <c r="I1706" s="15" t="str">
        <f aca="false">IF($F1706="","",$F1706-IF($H1706="",0,$H1706))</f>
        <v/>
      </c>
      <c r="J1706" s="16" t="str">
        <f aca="true">IF(OR($A1706="",$I1706="",$I1706&lt;=0),"",TODAY()-$A1706)</f>
        <v/>
      </c>
      <c r="K1706" s="10"/>
    </row>
    <row r="1707" customFormat="false" ht="15" hidden="false" customHeight="true" outlineLevel="0" collapsed="false">
      <c r="A1707" s="13"/>
      <c r="B1707" s="10"/>
      <c r="C1707" s="10"/>
      <c r="D1707" s="14"/>
      <c r="E1707" s="11"/>
      <c r="F1707" s="15" t="str">
        <f aca="false">IF($B1707="","",IF(AND($D1707="",$E1707=""),"",IF(OR($D1707="",$E1707=""),0,ROUND($D1707*$E1707,0))))</f>
        <v/>
      </c>
      <c r="G1707" s="13"/>
      <c r="H1707" s="11"/>
      <c r="I1707" s="15" t="str">
        <f aca="false">IF($F1707="","",$F1707-IF($H1707="",0,$H1707))</f>
        <v/>
      </c>
      <c r="J1707" s="16" t="str">
        <f aca="true">IF(OR($A1707="",$I1707="",$I1707&lt;=0),"",TODAY()-$A1707)</f>
        <v/>
      </c>
      <c r="K1707" s="10"/>
    </row>
    <row r="1708" customFormat="false" ht="15" hidden="false" customHeight="true" outlineLevel="0" collapsed="false">
      <c r="A1708" s="13"/>
      <c r="B1708" s="10"/>
      <c r="C1708" s="10"/>
      <c r="D1708" s="14"/>
      <c r="E1708" s="11"/>
      <c r="F1708" s="15" t="str">
        <f aca="false">IF($B1708="","",IF(AND($D1708="",$E1708=""),"",IF(OR($D1708="",$E1708=""),0,ROUND($D1708*$E1708,0))))</f>
        <v/>
      </c>
      <c r="G1708" s="13"/>
      <c r="H1708" s="11"/>
      <c r="I1708" s="15" t="str">
        <f aca="false">IF($F1708="","",$F1708-IF($H1708="",0,$H1708))</f>
        <v/>
      </c>
      <c r="J1708" s="16" t="str">
        <f aca="true">IF(OR($A1708="",$I1708="",$I1708&lt;=0),"",TODAY()-$A1708)</f>
        <v/>
      </c>
      <c r="K1708" s="10"/>
    </row>
    <row r="1709" customFormat="false" ht="15" hidden="false" customHeight="true" outlineLevel="0" collapsed="false">
      <c r="A1709" s="13"/>
      <c r="B1709" s="10"/>
      <c r="C1709" s="10"/>
      <c r="D1709" s="14"/>
      <c r="E1709" s="11"/>
      <c r="F1709" s="15" t="str">
        <f aca="false">IF($B1709="","",IF(AND($D1709="",$E1709=""),"",IF(OR($D1709="",$E1709=""),0,ROUND($D1709*$E1709,0))))</f>
        <v/>
      </c>
      <c r="G1709" s="13"/>
      <c r="H1709" s="11"/>
      <c r="I1709" s="15" t="str">
        <f aca="false">IF($F1709="","",$F1709-IF($H1709="",0,$H1709))</f>
        <v/>
      </c>
      <c r="J1709" s="16" t="str">
        <f aca="true">IF(OR($A1709="",$I1709="",$I1709&lt;=0),"",TODAY()-$A1709)</f>
        <v/>
      </c>
      <c r="K1709" s="10"/>
    </row>
    <row r="1710" customFormat="false" ht="15" hidden="false" customHeight="true" outlineLevel="0" collapsed="false">
      <c r="A1710" s="13"/>
      <c r="B1710" s="10"/>
      <c r="C1710" s="10"/>
      <c r="D1710" s="14"/>
      <c r="E1710" s="11"/>
      <c r="F1710" s="15" t="str">
        <f aca="false">IF($B1710="","",IF(AND($D1710="",$E1710=""),"",IF(OR($D1710="",$E1710=""),0,ROUND($D1710*$E1710,0))))</f>
        <v/>
      </c>
      <c r="G1710" s="13"/>
      <c r="H1710" s="11"/>
      <c r="I1710" s="15" t="str">
        <f aca="false">IF($F1710="","",$F1710-IF($H1710="",0,$H1710))</f>
        <v/>
      </c>
      <c r="J1710" s="16" t="str">
        <f aca="true">IF(OR($A1710="",$I1710="",$I1710&lt;=0),"",TODAY()-$A1710)</f>
        <v/>
      </c>
      <c r="K1710" s="10"/>
    </row>
    <row r="1711" customFormat="false" ht="15" hidden="false" customHeight="true" outlineLevel="0" collapsed="false">
      <c r="A1711" s="13"/>
      <c r="B1711" s="10"/>
      <c r="C1711" s="10"/>
      <c r="D1711" s="14"/>
      <c r="E1711" s="11"/>
      <c r="F1711" s="15" t="str">
        <f aca="false">IF($B1711="","",IF(AND($D1711="",$E1711=""),"",IF(OR($D1711="",$E1711=""),0,ROUND($D1711*$E1711,0))))</f>
        <v/>
      </c>
      <c r="G1711" s="13"/>
      <c r="H1711" s="11"/>
      <c r="I1711" s="15" t="str">
        <f aca="false">IF($F1711="","",$F1711-IF($H1711="",0,$H1711))</f>
        <v/>
      </c>
      <c r="J1711" s="16" t="str">
        <f aca="true">IF(OR($A1711="",$I1711="",$I1711&lt;=0),"",TODAY()-$A1711)</f>
        <v/>
      </c>
      <c r="K1711" s="10"/>
    </row>
    <row r="1712" customFormat="false" ht="15" hidden="false" customHeight="true" outlineLevel="0" collapsed="false">
      <c r="A1712" s="13"/>
      <c r="B1712" s="10"/>
      <c r="C1712" s="10"/>
      <c r="D1712" s="14"/>
      <c r="E1712" s="11"/>
      <c r="F1712" s="15" t="str">
        <f aca="false">IF($B1712="","",IF(AND($D1712="",$E1712=""),"",IF(OR($D1712="",$E1712=""),0,ROUND($D1712*$E1712,0))))</f>
        <v/>
      </c>
      <c r="G1712" s="13"/>
      <c r="H1712" s="11"/>
      <c r="I1712" s="15" t="str">
        <f aca="false">IF($F1712="","",$F1712-IF($H1712="",0,$H1712))</f>
        <v/>
      </c>
      <c r="J1712" s="16" t="str">
        <f aca="true">IF(OR($A1712="",$I1712="",$I1712&lt;=0),"",TODAY()-$A1712)</f>
        <v/>
      </c>
      <c r="K1712" s="10"/>
    </row>
    <row r="1713" customFormat="false" ht="15" hidden="false" customHeight="true" outlineLevel="0" collapsed="false">
      <c r="A1713" s="13"/>
      <c r="B1713" s="10"/>
      <c r="C1713" s="10"/>
      <c r="D1713" s="14"/>
      <c r="E1713" s="11"/>
      <c r="F1713" s="15" t="str">
        <f aca="false">IF($B1713="","",IF(AND($D1713="",$E1713=""),"",IF(OR($D1713="",$E1713=""),0,ROUND($D1713*$E1713,0))))</f>
        <v/>
      </c>
      <c r="G1713" s="13"/>
      <c r="H1713" s="11"/>
      <c r="I1713" s="15" t="str">
        <f aca="false">IF($F1713="","",$F1713-IF($H1713="",0,$H1713))</f>
        <v/>
      </c>
      <c r="J1713" s="16" t="str">
        <f aca="true">IF(OR($A1713="",$I1713="",$I1713&lt;=0),"",TODAY()-$A1713)</f>
        <v/>
      </c>
      <c r="K1713" s="10"/>
    </row>
    <row r="1714" customFormat="false" ht="15" hidden="false" customHeight="true" outlineLevel="0" collapsed="false">
      <c r="A1714" s="13"/>
      <c r="B1714" s="10"/>
      <c r="C1714" s="10"/>
      <c r="D1714" s="14"/>
      <c r="E1714" s="11"/>
      <c r="F1714" s="15" t="str">
        <f aca="false">IF($B1714="","",IF(AND($D1714="",$E1714=""),"",IF(OR($D1714="",$E1714=""),0,ROUND($D1714*$E1714,0))))</f>
        <v/>
      </c>
      <c r="G1714" s="13"/>
      <c r="H1714" s="11"/>
      <c r="I1714" s="15" t="str">
        <f aca="false">IF($F1714="","",$F1714-IF($H1714="",0,$H1714))</f>
        <v/>
      </c>
      <c r="J1714" s="16" t="str">
        <f aca="true">IF(OR($A1714="",$I1714="",$I1714&lt;=0),"",TODAY()-$A1714)</f>
        <v/>
      </c>
      <c r="K1714" s="10"/>
    </row>
    <row r="1715" customFormat="false" ht="15" hidden="false" customHeight="true" outlineLevel="0" collapsed="false">
      <c r="A1715" s="13"/>
      <c r="B1715" s="10"/>
      <c r="C1715" s="10"/>
      <c r="D1715" s="14"/>
      <c r="E1715" s="11"/>
      <c r="F1715" s="15" t="str">
        <f aca="false">IF($B1715="","",IF(AND($D1715="",$E1715=""),"",IF(OR($D1715="",$E1715=""),0,ROUND($D1715*$E1715,0))))</f>
        <v/>
      </c>
      <c r="G1715" s="13"/>
      <c r="H1715" s="11"/>
      <c r="I1715" s="15" t="str">
        <f aca="false">IF($F1715="","",$F1715-IF($H1715="",0,$H1715))</f>
        <v/>
      </c>
      <c r="J1715" s="16" t="str">
        <f aca="true">IF(OR($A1715="",$I1715="",$I1715&lt;=0),"",TODAY()-$A1715)</f>
        <v/>
      </c>
      <c r="K1715" s="10"/>
    </row>
    <row r="1716" customFormat="false" ht="15" hidden="false" customHeight="true" outlineLevel="0" collapsed="false">
      <c r="A1716" s="13"/>
      <c r="B1716" s="10"/>
      <c r="C1716" s="10"/>
      <c r="D1716" s="14"/>
      <c r="E1716" s="11"/>
      <c r="F1716" s="15" t="str">
        <f aca="false">IF($B1716="","",IF(AND($D1716="",$E1716=""),"",IF(OR($D1716="",$E1716=""),0,ROUND($D1716*$E1716,0))))</f>
        <v/>
      </c>
      <c r="G1716" s="13"/>
      <c r="H1716" s="11"/>
      <c r="I1716" s="15" t="str">
        <f aca="false">IF($F1716="","",$F1716-IF($H1716="",0,$H1716))</f>
        <v/>
      </c>
      <c r="J1716" s="16" t="str">
        <f aca="true">IF(OR($A1716="",$I1716="",$I1716&lt;=0),"",TODAY()-$A1716)</f>
        <v/>
      </c>
      <c r="K1716" s="10"/>
    </row>
    <row r="1717" customFormat="false" ht="15" hidden="false" customHeight="true" outlineLevel="0" collapsed="false">
      <c r="A1717" s="13"/>
      <c r="B1717" s="10"/>
      <c r="C1717" s="10"/>
      <c r="D1717" s="14"/>
      <c r="E1717" s="11"/>
      <c r="F1717" s="15" t="str">
        <f aca="false">IF($B1717="","",IF(AND($D1717="",$E1717=""),"",IF(OR($D1717="",$E1717=""),0,ROUND($D1717*$E1717,0))))</f>
        <v/>
      </c>
      <c r="G1717" s="13"/>
      <c r="H1717" s="11"/>
      <c r="I1717" s="15" t="str">
        <f aca="false">IF($F1717="","",$F1717-IF($H1717="",0,$H1717))</f>
        <v/>
      </c>
      <c r="J1717" s="16" t="str">
        <f aca="true">IF(OR($A1717="",$I1717="",$I1717&lt;=0),"",TODAY()-$A1717)</f>
        <v/>
      </c>
      <c r="K1717" s="10"/>
    </row>
    <row r="1718" customFormat="false" ht="15" hidden="false" customHeight="true" outlineLevel="0" collapsed="false">
      <c r="A1718" s="13"/>
      <c r="B1718" s="10"/>
      <c r="C1718" s="10"/>
      <c r="D1718" s="14"/>
      <c r="E1718" s="11"/>
      <c r="F1718" s="15" t="str">
        <f aca="false">IF($B1718="","",IF(AND($D1718="",$E1718=""),"",IF(OR($D1718="",$E1718=""),0,ROUND($D1718*$E1718,0))))</f>
        <v/>
      </c>
      <c r="G1718" s="13"/>
      <c r="H1718" s="11"/>
      <c r="I1718" s="15" t="str">
        <f aca="false">IF($F1718="","",$F1718-IF($H1718="",0,$H1718))</f>
        <v/>
      </c>
      <c r="J1718" s="16" t="str">
        <f aca="true">IF(OR($A1718="",$I1718="",$I1718&lt;=0),"",TODAY()-$A1718)</f>
        <v/>
      </c>
      <c r="K1718" s="10"/>
    </row>
    <row r="1719" customFormat="false" ht="15" hidden="false" customHeight="true" outlineLevel="0" collapsed="false">
      <c r="A1719" s="13"/>
      <c r="B1719" s="10"/>
      <c r="C1719" s="10"/>
      <c r="D1719" s="14"/>
      <c r="E1719" s="11"/>
      <c r="F1719" s="15" t="str">
        <f aca="false">IF($B1719="","",IF(AND($D1719="",$E1719=""),"",IF(OR($D1719="",$E1719=""),0,ROUND($D1719*$E1719,0))))</f>
        <v/>
      </c>
      <c r="G1719" s="13"/>
      <c r="H1719" s="11"/>
      <c r="I1719" s="15" t="str">
        <f aca="false">IF($F1719="","",$F1719-IF($H1719="",0,$H1719))</f>
        <v/>
      </c>
      <c r="J1719" s="16" t="str">
        <f aca="true">IF(OR($A1719="",$I1719="",$I1719&lt;=0),"",TODAY()-$A1719)</f>
        <v/>
      </c>
      <c r="K1719" s="10"/>
    </row>
    <row r="1720" customFormat="false" ht="15" hidden="false" customHeight="true" outlineLevel="0" collapsed="false">
      <c r="A1720" s="13"/>
      <c r="B1720" s="10"/>
      <c r="C1720" s="10"/>
      <c r="D1720" s="14"/>
      <c r="E1720" s="11"/>
      <c r="F1720" s="15" t="str">
        <f aca="false">IF($B1720="","",IF(AND($D1720="",$E1720=""),"",IF(OR($D1720="",$E1720=""),0,ROUND($D1720*$E1720,0))))</f>
        <v/>
      </c>
      <c r="G1720" s="13"/>
      <c r="H1720" s="11"/>
      <c r="I1720" s="15" t="str">
        <f aca="false">IF($F1720="","",$F1720-IF($H1720="",0,$H1720))</f>
        <v/>
      </c>
      <c r="J1720" s="16" t="str">
        <f aca="true">IF(OR($A1720="",$I1720="",$I1720&lt;=0),"",TODAY()-$A1720)</f>
        <v/>
      </c>
      <c r="K1720" s="10"/>
    </row>
    <row r="1721" customFormat="false" ht="15" hidden="false" customHeight="true" outlineLevel="0" collapsed="false">
      <c r="A1721" s="13"/>
      <c r="B1721" s="10"/>
      <c r="C1721" s="10"/>
      <c r="D1721" s="14"/>
      <c r="E1721" s="11"/>
      <c r="F1721" s="15" t="str">
        <f aca="false">IF($B1721="","",IF(AND($D1721="",$E1721=""),"",IF(OR($D1721="",$E1721=""),0,ROUND($D1721*$E1721,0))))</f>
        <v/>
      </c>
      <c r="G1721" s="13"/>
      <c r="H1721" s="11"/>
      <c r="I1721" s="15" t="str">
        <f aca="false">IF($F1721="","",$F1721-IF($H1721="",0,$H1721))</f>
        <v/>
      </c>
      <c r="J1721" s="16" t="str">
        <f aca="true">IF(OR($A1721="",$I1721="",$I1721&lt;=0),"",TODAY()-$A1721)</f>
        <v/>
      </c>
      <c r="K1721" s="10"/>
    </row>
    <row r="1722" customFormat="false" ht="15" hidden="false" customHeight="true" outlineLevel="0" collapsed="false">
      <c r="A1722" s="13"/>
      <c r="B1722" s="10"/>
      <c r="C1722" s="10"/>
      <c r="D1722" s="14"/>
      <c r="E1722" s="11"/>
      <c r="F1722" s="15" t="str">
        <f aca="false">IF($B1722="","",IF(AND($D1722="",$E1722=""),"",IF(OR($D1722="",$E1722=""),0,ROUND($D1722*$E1722,0))))</f>
        <v/>
      </c>
      <c r="G1722" s="13"/>
      <c r="H1722" s="11"/>
      <c r="I1722" s="15" t="str">
        <f aca="false">IF($F1722="","",$F1722-IF($H1722="",0,$H1722))</f>
        <v/>
      </c>
      <c r="J1722" s="16" t="str">
        <f aca="true">IF(OR($A1722="",$I1722="",$I1722&lt;=0),"",TODAY()-$A1722)</f>
        <v/>
      </c>
      <c r="K1722" s="10"/>
    </row>
    <row r="1723" customFormat="false" ht="15" hidden="false" customHeight="true" outlineLevel="0" collapsed="false">
      <c r="A1723" s="13"/>
      <c r="B1723" s="10"/>
      <c r="C1723" s="10"/>
      <c r="D1723" s="14"/>
      <c r="E1723" s="11"/>
      <c r="F1723" s="15" t="str">
        <f aca="false">IF($B1723="","",IF(AND($D1723="",$E1723=""),"",IF(OR($D1723="",$E1723=""),0,ROUND($D1723*$E1723,0))))</f>
        <v/>
      </c>
      <c r="G1723" s="13"/>
      <c r="H1723" s="11"/>
      <c r="I1723" s="15" t="str">
        <f aca="false">IF($F1723="","",$F1723-IF($H1723="",0,$H1723))</f>
        <v/>
      </c>
      <c r="J1723" s="16" t="str">
        <f aca="true">IF(OR($A1723="",$I1723="",$I1723&lt;=0),"",TODAY()-$A1723)</f>
        <v/>
      </c>
      <c r="K1723" s="10"/>
    </row>
    <row r="1724" customFormat="false" ht="15" hidden="false" customHeight="true" outlineLevel="0" collapsed="false">
      <c r="A1724" s="13"/>
      <c r="B1724" s="10"/>
      <c r="C1724" s="10"/>
      <c r="D1724" s="14"/>
      <c r="E1724" s="11"/>
      <c r="F1724" s="15" t="str">
        <f aca="false">IF($B1724="","",IF(AND($D1724="",$E1724=""),"",IF(OR($D1724="",$E1724=""),0,ROUND($D1724*$E1724,0))))</f>
        <v/>
      </c>
      <c r="G1724" s="13"/>
      <c r="H1724" s="11"/>
      <c r="I1724" s="15" t="str">
        <f aca="false">IF($F1724="","",$F1724-IF($H1724="",0,$H1724))</f>
        <v/>
      </c>
      <c r="J1724" s="16" t="str">
        <f aca="true">IF(OR($A1724="",$I1724="",$I1724&lt;=0),"",TODAY()-$A1724)</f>
        <v/>
      </c>
      <c r="K1724" s="10"/>
    </row>
    <row r="1725" customFormat="false" ht="15" hidden="false" customHeight="true" outlineLevel="0" collapsed="false">
      <c r="A1725" s="13"/>
      <c r="B1725" s="10"/>
      <c r="C1725" s="10"/>
      <c r="D1725" s="14"/>
      <c r="E1725" s="11"/>
      <c r="F1725" s="15" t="str">
        <f aca="false">IF($B1725="","",IF(AND($D1725="",$E1725=""),"",IF(OR($D1725="",$E1725=""),0,ROUND($D1725*$E1725,0))))</f>
        <v/>
      </c>
      <c r="G1725" s="13"/>
      <c r="H1725" s="11"/>
      <c r="I1725" s="15" t="str">
        <f aca="false">IF($F1725="","",$F1725-IF($H1725="",0,$H1725))</f>
        <v/>
      </c>
      <c r="J1725" s="16" t="str">
        <f aca="true">IF(OR($A1725="",$I1725="",$I1725&lt;=0),"",TODAY()-$A1725)</f>
        <v/>
      </c>
      <c r="K1725" s="10"/>
    </row>
    <row r="1726" customFormat="false" ht="15" hidden="false" customHeight="true" outlineLevel="0" collapsed="false">
      <c r="A1726" s="13"/>
      <c r="B1726" s="10"/>
      <c r="C1726" s="10"/>
      <c r="D1726" s="14"/>
      <c r="E1726" s="11"/>
      <c r="F1726" s="15" t="str">
        <f aca="false">IF($B1726="","",IF(AND($D1726="",$E1726=""),"",IF(OR($D1726="",$E1726=""),0,ROUND($D1726*$E1726,0))))</f>
        <v/>
      </c>
      <c r="G1726" s="13"/>
      <c r="H1726" s="11"/>
      <c r="I1726" s="15" t="str">
        <f aca="false">IF($F1726="","",$F1726-IF($H1726="",0,$H1726))</f>
        <v/>
      </c>
      <c r="J1726" s="16" t="str">
        <f aca="true">IF(OR($A1726="",$I1726="",$I1726&lt;=0),"",TODAY()-$A1726)</f>
        <v/>
      </c>
      <c r="K1726" s="10"/>
    </row>
    <row r="1727" customFormat="false" ht="15" hidden="false" customHeight="true" outlineLevel="0" collapsed="false">
      <c r="A1727" s="13"/>
      <c r="B1727" s="10"/>
      <c r="C1727" s="10"/>
      <c r="D1727" s="14"/>
      <c r="E1727" s="11"/>
      <c r="F1727" s="15" t="str">
        <f aca="false">IF($B1727="","",IF(AND($D1727="",$E1727=""),"",IF(OR($D1727="",$E1727=""),0,ROUND($D1727*$E1727,0))))</f>
        <v/>
      </c>
      <c r="G1727" s="13"/>
      <c r="H1727" s="11"/>
      <c r="I1727" s="15" t="str">
        <f aca="false">IF($F1727="","",$F1727-IF($H1727="",0,$H1727))</f>
        <v/>
      </c>
      <c r="J1727" s="16" t="str">
        <f aca="true">IF(OR($A1727="",$I1727="",$I1727&lt;=0),"",TODAY()-$A1727)</f>
        <v/>
      </c>
      <c r="K1727" s="10"/>
    </row>
    <row r="1728" customFormat="false" ht="15" hidden="false" customHeight="true" outlineLevel="0" collapsed="false">
      <c r="A1728" s="13"/>
      <c r="B1728" s="10"/>
      <c r="C1728" s="10"/>
      <c r="D1728" s="14"/>
      <c r="E1728" s="11"/>
      <c r="F1728" s="15" t="str">
        <f aca="false">IF($B1728="","",IF(AND($D1728="",$E1728=""),"",IF(OR($D1728="",$E1728=""),0,ROUND($D1728*$E1728,0))))</f>
        <v/>
      </c>
      <c r="G1728" s="13"/>
      <c r="H1728" s="11"/>
      <c r="I1728" s="15" t="str">
        <f aca="false">IF($F1728="","",$F1728-IF($H1728="",0,$H1728))</f>
        <v/>
      </c>
      <c r="J1728" s="16" t="str">
        <f aca="true">IF(OR($A1728="",$I1728="",$I1728&lt;=0),"",TODAY()-$A1728)</f>
        <v/>
      </c>
      <c r="K1728" s="10"/>
    </row>
    <row r="1729" customFormat="false" ht="15" hidden="false" customHeight="true" outlineLevel="0" collapsed="false">
      <c r="A1729" s="13"/>
      <c r="B1729" s="10"/>
      <c r="C1729" s="10"/>
      <c r="D1729" s="14"/>
      <c r="E1729" s="11"/>
      <c r="F1729" s="15" t="str">
        <f aca="false">IF($B1729="","",IF(AND($D1729="",$E1729=""),"",IF(OR($D1729="",$E1729=""),0,ROUND($D1729*$E1729,0))))</f>
        <v/>
      </c>
      <c r="G1729" s="13"/>
      <c r="H1729" s="11"/>
      <c r="I1729" s="15" t="str">
        <f aca="false">IF($F1729="","",$F1729-IF($H1729="",0,$H1729))</f>
        <v/>
      </c>
      <c r="J1729" s="16" t="str">
        <f aca="true">IF(OR($A1729="",$I1729="",$I1729&lt;=0),"",TODAY()-$A1729)</f>
        <v/>
      </c>
      <c r="K1729" s="10"/>
    </row>
    <row r="1730" customFormat="false" ht="15" hidden="false" customHeight="true" outlineLevel="0" collapsed="false">
      <c r="A1730" s="13"/>
      <c r="B1730" s="10"/>
      <c r="C1730" s="10"/>
      <c r="D1730" s="14"/>
      <c r="E1730" s="11"/>
      <c r="F1730" s="15" t="str">
        <f aca="false">IF($B1730="","",IF(AND($D1730="",$E1730=""),"",IF(OR($D1730="",$E1730=""),0,ROUND($D1730*$E1730,0))))</f>
        <v/>
      </c>
      <c r="G1730" s="13"/>
      <c r="H1730" s="11"/>
      <c r="I1730" s="15" t="str">
        <f aca="false">IF($F1730="","",$F1730-IF($H1730="",0,$H1730))</f>
        <v/>
      </c>
      <c r="J1730" s="16" t="str">
        <f aca="true">IF(OR($A1730="",$I1730="",$I1730&lt;=0),"",TODAY()-$A1730)</f>
        <v/>
      </c>
      <c r="K1730" s="10"/>
    </row>
    <row r="1731" customFormat="false" ht="15" hidden="false" customHeight="true" outlineLevel="0" collapsed="false">
      <c r="A1731" s="13"/>
      <c r="B1731" s="10"/>
      <c r="C1731" s="10"/>
      <c r="D1731" s="14"/>
      <c r="E1731" s="11"/>
      <c r="F1731" s="15" t="str">
        <f aca="false">IF($B1731="","",IF(AND($D1731="",$E1731=""),"",IF(OR($D1731="",$E1731=""),0,ROUND($D1731*$E1731,0))))</f>
        <v/>
      </c>
      <c r="G1731" s="13"/>
      <c r="H1731" s="11"/>
      <c r="I1731" s="15" t="str">
        <f aca="false">IF($F1731="","",$F1731-IF($H1731="",0,$H1731))</f>
        <v/>
      </c>
      <c r="J1731" s="16" t="str">
        <f aca="true">IF(OR($A1731="",$I1731="",$I1731&lt;=0),"",TODAY()-$A1731)</f>
        <v/>
      </c>
      <c r="K1731" s="10"/>
    </row>
    <row r="1732" customFormat="false" ht="15" hidden="false" customHeight="true" outlineLevel="0" collapsed="false">
      <c r="A1732" s="13"/>
      <c r="B1732" s="10"/>
      <c r="C1732" s="10"/>
      <c r="D1732" s="14"/>
      <c r="E1732" s="11"/>
      <c r="F1732" s="15" t="str">
        <f aca="false">IF($B1732="","",IF(AND($D1732="",$E1732=""),"",IF(OR($D1732="",$E1732=""),0,ROUND($D1732*$E1732,0))))</f>
        <v/>
      </c>
      <c r="G1732" s="13"/>
      <c r="H1732" s="11"/>
      <c r="I1732" s="15" t="str">
        <f aca="false">IF($F1732="","",$F1732-IF($H1732="",0,$H1732))</f>
        <v/>
      </c>
      <c r="J1732" s="16" t="str">
        <f aca="true">IF(OR($A1732="",$I1732="",$I1732&lt;=0),"",TODAY()-$A1732)</f>
        <v/>
      </c>
      <c r="K1732" s="10"/>
    </row>
    <row r="1733" customFormat="false" ht="15" hidden="false" customHeight="true" outlineLevel="0" collapsed="false">
      <c r="A1733" s="13"/>
      <c r="B1733" s="10"/>
      <c r="C1733" s="10"/>
      <c r="D1733" s="14"/>
      <c r="E1733" s="11"/>
      <c r="F1733" s="15" t="str">
        <f aca="false">IF($B1733="","",IF(AND($D1733="",$E1733=""),"",IF(OR($D1733="",$E1733=""),0,ROUND($D1733*$E1733,0))))</f>
        <v/>
      </c>
      <c r="G1733" s="13"/>
      <c r="H1733" s="11"/>
      <c r="I1733" s="15" t="str">
        <f aca="false">IF($F1733="","",$F1733-IF($H1733="",0,$H1733))</f>
        <v/>
      </c>
      <c r="J1733" s="16" t="str">
        <f aca="true">IF(OR($A1733="",$I1733="",$I1733&lt;=0),"",TODAY()-$A1733)</f>
        <v/>
      </c>
      <c r="K1733" s="10"/>
    </row>
    <row r="1734" customFormat="false" ht="15" hidden="false" customHeight="true" outlineLevel="0" collapsed="false">
      <c r="A1734" s="13"/>
      <c r="B1734" s="10"/>
      <c r="C1734" s="10"/>
      <c r="D1734" s="14"/>
      <c r="E1734" s="11"/>
      <c r="F1734" s="15" t="str">
        <f aca="false">IF($B1734="","",IF(AND($D1734="",$E1734=""),"",IF(OR($D1734="",$E1734=""),0,ROUND($D1734*$E1734,0))))</f>
        <v/>
      </c>
      <c r="G1734" s="13"/>
      <c r="H1734" s="11"/>
      <c r="I1734" s="15" t="str">
        <f aca="false">IF($F1734="","",$F1734-IF($H1734="",0,$H1734))</f>
        <v/>
      </c>
      <c r="J1734" s="16" t="str">
        <f aca="true">IF(OR($A1734="",$I1734="",$I1734&lt;=0),"",TODAY()-$A1734)</f>
        <v/>
      </c>
      <c r="K1734" s="10"/>
    </row>
    <row r="1735" customFormat="false" ht="15" hidden="false" customHeight="true" outlineLevel="0" collapsed="false">
      <c r="A1735" s="13"/>
      <c r="B1735" s="10"/>
      <c r="C1735" s="10"/>
      <c r="D1735" s="14"/>
      <c r="E1735" s="11"/>
      <c r="F1735" s="15" t="str">
        <f aca="false">IF($B1735="","",IF(AND($D1735="",$E1735=""),"",IF(OR($D1735="",$E1735=""),0,ROUND($D1735*$E1735,0))))</f>
        <v/>
      </c>
      <c r="G1735" s="13"/>
      <c r="H1735" s="11"/>
      <c r="I1735" s="15" t="str">
        <f aca="false">IF($F1735="","",$F1735-IF($H1735="",0,$H1735))</f>
        <v/>
      </c>
      <c r="J1735" s="16" t="str">
        <f aca="true">IF(OR($A1735="",$I1735="",$I1735&lt;=0),"",TODAY()-$A1735)</f>
        <v/>
      </c>
      <c r="K1735" s="10"/>
    </row>
    <row r="1736" customFormat="false" ht="15" hidden="false" customHeight="true" outlineLevel="0" collapsed="false">
      <c r="A1736" s="13"/>
      <c r="B1736" s="10"/>
      <c r="C1736" s="10"/>
      <c r="D1736" s="14"/>
      <c r="E1736" s="11"/>
      <c r="F1736" s="15" t="str">
        <f aca="false">IF($B1736="","",IF(AND($D1736="",$E1736=""),"",IF(OR($D1736="",$E1736=""),0,ROUND($D1736*$E1736,0))))</f>
        <v/>
      </c>
      <c r="G1736" s="13"/>
      <c r="H1736" s="11"/>
      <c r="I1736" s="15" t="str">
        <f aca="false">IF($F1736="","",$F1736-IF($H1736="",0,$H1736))</f>
        <v/>
      </c>
      <c r="J1736" s="16" t="str">
        <f aca="true">IF(OR($A1736="",$I1736="",$I1736&lt;=0),"",TODAY()-$A1736)</f>
        <v/>
      </c>
      <c r="K1736" s="10"/>
    </row>
    <row r="1737" customFormat="false" ht="15" hidden="false" customHeight="true" outlineLevel="0" collapsed="false">
      <c r="A1737" s="13"/>
      <c r="B1737" s="10"/>
      <c r="C1737" s="10"/>
      <c r="D1737" s="14"/>
      <c r="E1737" s="11"/>
      <c r="F1737" s="15" t="str">
        <f aca="false">IF($B1737="","",IF(AND($D1737="",$E1737=""),"",IF(OR($D1737="",$E1737=""),0,ROUND($D1737*$E1737,0))))</f>
        <v/>
      </c>
      <c r="G1737" s="13"/>
      <c r="H1737" s="11"/>
      <c r="I1737" s="15" t="str">
        <f aca="false">IF($F1737="","",$F1737-IF($H1737="",0,$H1737))</f>
        <v/>
      </c>
      <c r="J1737" s="16" t="str">
        <f aca="true">IF(OR($A1737="",$I1737="",$I1737&lt;=0),"",TODAY()-$A1737)</f>
        <v/>
      </c>
      <c r="K1737" s="10"/>
    </row>
    <row r="1738" customFormat="false" ht="15" hidden="false" customHeight="true" outlineLevel="0" collapsed="false">
      <c r="A1738" s="13"/>
      <c r="B1738" s="10"/>
      <c r="C1738" s="10"/>
      <c r="D1738" s="14"/>
      <c r="E1738" s="11"/>
      <c r="F1738" s="15" t="str">
        <f aca="false">IF($B1738="","",IF(AND($D1738="",$E1738=""),"",IF(OR($D1738="",$E1738=""),0,ROUND($D1738*$E1738,0))))</f>
        <v/>
      </c>
      <c r="G1738" s="13"/>
      <c r="H1738" s="11"/>
      <c r="I1738" s="15" t="str">
        <f aca="false">IF($F1738="","",$F1738-IF($H1738="",0,$H1738))</f>
        <v/>
      </c>
      <c r="J1738" s="16" t="str">
        <f aca="true">IF(OR($A1738="",$I1738="",$I1738&lt;=0),"",TODAY()-$A1738)</f>
        <v/>
      </c>
      <c r="K1738" s="10"/>
    </row>
    <row r="1739" customFormat="false" ht="15" hidden="false" customHeight="true" outlineLevel="0" collapsed="false">
      <c r="A1739" s="13"/>
      <c r="B1739" s="10"/>
      <c r="C1739" s="10"/>
      <c r="D1739" s="14"/>
      <c r="E1739" s="11"/>
      <c r="F1739" s="15" t="str">
        <f aca="false">IF($B1739="","",IF(AND($D1739="",$E1739=""),"",IF(OR($D1739="",$E1739=""),0,ROUND($D1739*$E1739,0))))</f>
        <v/>
      </c>
      <c r="G1739" s="13"/>
      <c r="H1739" s="11"/>
      <c r="I1739" s="15" t="str">
        <f aca="false">IF($F1739="","",$F1739-IF($H1739="",0,$H1739))</f>
        <v/>
      </c>
      <c r="J1739" s="16" t="str">
        <f aca="true">IF(OR($A1739="",$I1739="",$I1739&lt;=0),"",TODAY()-$A1739)</f>
        <v/>
      </c>
      <c r="K1739" s="10"/>
    </row>
    <row r="1740" customFormat="false" ht="15" hidden="false" customHeight="true" outlineLevel="0" collapsed="false">
      <c r="A1740" s="13"/>
      <c r="B1740" s="10"/>
      <c r="C1740" s="10"/>
      <c r="D1740" s="14"/>
      <c r="E1740" s="11"/>
      <c r="F1740" s="15" t="str">
        <f aca="false">IF($B1740="","",IF(AND($D1740="",$E1740=""),"",IF(OR($D1740="",$E1740=""),0,ROUND($D1740*$E1740,0))))</f>
        <v/>
      </c>
      <c r="G1740" s="13"/>
      <c r="H1740" s="11"/>
      <c r="I1740" s="15" t="str">
        <f aca="false">IF($F1740="","",$F1740-IF($H1740="",0,$H1740))</f>
        <v/>
      </c>
      <c r="J1740" s="16" t="str">
        <f aca="true">IF(OR($A1740="",$I1740="",$I1740&lt;=0),"",TODAY()-$A1740)</f>
        <v/>
      </c>
      <c r="K1740" s="10"/>
    </row>
    <row r="1741" customFormat="false" ht="15" hidden="false" customHeight="true" outlineLevel="0" collapsed="false">
      <c r="A1741" s="13"/>
      <c r="B1741" s="10"/>
      <c r="C1741" s="10"/>
      <c r="D1741" s="14"/>
      <c r="E1741" s="11"/>
      <c r="F1741" s="15" t="str">
        <f aca="false">IF($B1741="","",IF(AND($D1741="",$E1741=""),"",IF(OR($D1741="",$E1741=""),0,ROUND($D1741*$E1741,0))))</f>
        <v/>
      </c>
      <c r="G1741" s="13"/>
      <c r="H1741" s="11"/>
      <c r="I1741" s="15" t="str">
        <f aca="false">IF($F1741="","",$F1741-IF($H1741="",0,$H1741))</f>
        <v/>
      </c>
      <c r="J1741" s="16" t="str">
        <f aca="true">IF(OR($A1741="",$I1741="",$I1741&lt;=0),"",TODAY()-$A1741)</f>
        <v/>
      </c>
      <c r="K1741" s="10"/>
    </row>
    <row r="1742" customFormat="false" ht="15" hidden="false" customHeight="true" outlineLevel="0" collapsed="false">
      <c r="A1742" s="13"/>
      <c r="B1742" s="10"/>
      <c r="C1742" s="10"/>
      <c r="D1742" s="14"/>
      <c r="E1742" s="11"/>
      <c r="F1742" s="15" t="str">
        <f aca="false">IF($B1742="","",IF(AND($D1742="",$E1742=""),"",IF(OR($D1742="",$E1742=""),0,ROUND($D1742*$E1742,0))))</f>
        <v/>
      </c>
      <c r="G1742" s="13"/>
      <c r="H1742" s="11"/>
      <c r="I1742" s="15" t="str">
        <f aca="false">IF($F1742="","",$F1742-IF($H1742="",0,$H1742))</f>
        <v/>
      </c>
      <c r="J1742" s="16" t="str">
        <f aca="true">IF(OR($A1742="",$I1742="",$I1742&lt;=0),"",TODAY()-$A1742)</f>
        <v/>
      </c>
      <c r="K1742" s="10"/>
    </row>
    <row r="1743" customFormat="false" ht="15" hidden="false" customHeight="true" outlineLevel="0" collapsed="false">
      <c r="A1743" s="13"/>
      <c r="B1743" s="10"/>
      <c r="C1743" s="10"/>
      <c r="D1743" s="14"/>
      <c r="E1743" s="11"/>
      <c r="F1743" s="15" t="str">
        <f aca="false">IF($B1743="","",IF(AND($D1743="",$E1743=""),"",IF(OR($D1743="",$E1743=""),0,ROUND($D1743*$E1743,0))))</f>
        <v/>
      </c>
      <c r="G1743" s="13"/>
      <c r="H1743" s="11"/>
      <c r="I1743" s="15" t="str">
        <f aca="false">IF($F1743="","",$F1743-IF($H1743="",0,$H1743))</f>
        <v/>
      </c>
      <c r="J1743" s="16" t="str">
        <f aca="true">IF(OR($A1743="",$I1743="",$I1743&lt;=0),"",TODAY()-$A1743)</f>
        <v/>
      </c>
      <c r="K1743" s="10"/>
    </row>
    <row r="1744" customFormat="false" ht="15" hidden="false" customHeight="true" outlineLevel="0" collapsed="false">
      <c r="A1744" s="13"/>
      <c r="B1744" s="10"/>
      <c r="C1744" s="10"/>
      <c r="D1744" s="14"/>
      <c r="E1744" s="11"/>
      <c r="F1744" s="15" t="str">
        <f aca="false">IF($B1744="","",IF(AND($D1744="",$E1744=""),"",IF(OR($D1744="",$E1744=""),0,ROUND($D1744*$E1744,0))))</f>
        <v/>
      </c>
      <c r="G1744" s="13"/>
      <c r="H1744" s="11"/>
      <c r="I1744" s="15" t="str">
        <f aca="false">IF($F1744="","",$F1744-IF($H1744="",0,$H1744))</f>
        <v/>
      </c>
      <c r="J1744" s="16" t="str">
        <f aca="true">IF(OR($A1744="",$I1744="",$I1744&lt;=0),"",TODAY()-$A1744)</f>
        <v/>
      </c>
      <c r="K1744" s="10"/>
    </row>
    <row r="1745" customFormat="false" ht="15" hidden="false" customHeight="true" outlineLevel="0" collapsed="false">
      <c r="A1745" s="13"/>
      <c r="B1745" s="10"/>
      <c r="C1745" s="10"/>
      <c r="D1745" s="14"/>
      <c r="E1745" s="11"/>
      <c r="F1745" s="15" t="str">
        <f aca="false">IF($B1745="","",IF(AND($D1745="",$E1745=""),"",IF(OR($D1745="",$E1745=""),0,ROUND($D1745*$E1745,0))))</f>
        <v/>
      </c>
      <c r="G1745" s="13"/>
      <c r="H1745" s="11"/>
      <c r="I1745" s="15" t="str">
        <f aca="false">IF($F1745="","",$F1745-IF($H1745="",0,$H1745))</f>
        <v/>
      </c>
      <c r="J1745" s="16" t="str">
        <f aca="true">IF(OR($A1745="",$I1745="",$I1745&lt;=0),"",TODAY()-$A1745)</f>
        <v/>
      </c>
      <c r="K1745" s="10"/>
    </row>
    <row r="1746" customFormat="false" ht="15" hidden="false" customHeight="true" outlineLevel="0" collapsed="false">
      <c r="A1746" s="13"/>
      <c r="B1746" s="10"/>
      <c r="C1746" s="10"/>
      <c r="D1746" s="14"/>
      <c r="E1746" s="11"/>
      <c r="F1746" s="15" t="str">
        <f aca="false">IF($B1746="","",IF(AND($D1746="",$E1746=""),"",IF(OR($D1746="",$E1746=""),0,ROUND($D1746*$E1746,0))))</f>
        <v/>
      </c>
      <c r="G1746" s="13"/>
      <c r="H1746" s="11"/>
      <c r="I1746" s="15" t="str">
        <f aca="false">IF($F1746="","",$F1746-IF($H1746="",0,$H1746))</f>
        <v/>
      </c>
      <c r="J1746" s="16" t="str">
        <f aca="true">IF(OR($A1746="",$I1746="",$I1746&lt;=0),"",TODAY()-$A1746)</f>
        <v/>
      </c>
      <c r="K1746" s="10"/>
    </row>
    <row r="1747" customFormat="false" ht="15" hidden="false" customHeight="true" outlineLevel="0" collapsed="false">
      <c r="A1747" s="13"/>
      <c r="B1747" s="10"/>
      <c r="C1747" s="10"/>
      <c r="D1747" s="14"/>
      <c r="E1747" s="11"/>
      <c r="F1747" s="15" t="str">
        <f aca="false">IF($B1747="","",IF(AND($D1747="",$E1747=""),"",IF(OR($D1747="",$E1747=""),0,ROUND($D1747*$E1747,0))))</f>
        <v/>
      </c>
      <c r="G1747" s="13"/>
      <c r="H1747" s="11"/>
      <c r="I1747" s="15" t="str">
        <f aca="false">IF($F1747="","",$F1747-IF($H1747="",0,$H1747))</f>
        <v/>
      </c>
      <c r="J1747" s="16" t="str">
        <f aca="true">IF(OR($A1747="",$I1747="",$I1747&lt;=0),"",TODAY()-$A1747)</f>
        <v/>
      </c>
      <c r="K1747" s="10"/>
    </row>
    <row r="1748" customFormat="false" ht="15" hidden="false" customHeight="true" outlineLevel="0" collapsed="false">
      <c r="A1748" s="13"/>
      <c r="B1748" s="10"/>
      <c r="C1748" s="10"/>
      <c r="D1748" s="14"/>
      <c r="E1748" s="11"/>
      <c r="F1748" s="15" t="str">
        <f aca="false">IF($B1748="","",IF(AND($D1748="",$E1748=""),"",IF(OR($D1748="",$E1748=""),0,ROUND($D1748*$E1748,0))))</f>
        <v/>
      </c>
      <c r="G1748" s="13"/>
      <c r="H1748" s="11"/>
      <c r="I1748" s="15" t="str">
        <f aca="false">IF($F1748="","",$F1748-IF($H1748="",0,$H1748))</f>
        <v/>
      </c>
      <c r="J1748" s="16" t="str">
        <f aca="true">IF(OR($A1748="",$I1748="",$I1748&lt;=0),"",TODAY()-$A1748)</f>
        <v/>
      </c>
      <c r="K1748" s="10"/>
    </row>
    <row r="1749" customFormat="false" ht="15" hidden="false" customHeight="true" outlineLevel="0" collapsed="false">
      <c r="A1749" s="13"/>
      <c r="B1749" s="10"/>
      <c r="C1749" s="10"/>
      <c r="D1749" s="14"/>
      <c r="E1749" s="11"/>
      <c r="F1749" s="15" t="str">
        <f aca="false">IF($B1749="","",IF(AND($D1749="",$E1749=""),"",IF(OR($D1749="",$E1749=""),0,ROUND($D1749*$E1749,0))))</f>
        <v/>
      </c>
      <c r="G1749" s="13"/>
      <c r="H1749" s="11"/>
      <c r="I1749" s="15" t="str">
        <f aca="false">IF($F1749="","",$F1749-IF($H1749="",0,$H1749))</f>
        <v/>
      </c>
      <c r="J1749" s="16" t="str">
        <f aca="true">IF(OR($A1749="",$I1749="",$I1749&lt;=0),"",TODAY()-$A1749)</f>
        <v/>
      </c>
      <c r="K1749" s="10"/>
    </row>
    <row r="1750" customFormat="false" ht="15" hidden="false" customHeight="true" outlineLevel="0" collapsed="false">
      <c r="A1750" s="13"/>
      <c r="B1750" s="10"/>
      <c r="C1750" s="10"/>
      <c r="D1750" s="14"/>
      <c r="E1750" s="11"/>
      <c r="F1750" s="15" t="str">
        <f aca="false">IF($B1750="","",IF(AND($D1750="",$E1750=""),"",IF(OR($D1750="",$E1750=""),0,ROUND($D1750*$E1750,0))))</f>
        <v/>
      </c>
      <c r="G1750" s="13"/>
      <c r="H1750" s="11"/>
      <c r="I1750" s="15" t="str">
        <f aca="false">IF($F1750="","",$F1750-IF($H1750="",0,$H1750))</f>
        <v/>
      </c>
      <c r="J1750" s="16" t="str">
        <f aca="true">IF(OR($A1750="",$I1750="",$I1750&lt;=0),"",TODAY()-$A1750)</f>
        <v/>
      </c>
      <c r="K1750" s="10"/>
    </row>
    <row r="1751" customFormat="false" ht="15" hidden="false" customHeight="true" outlineLevel="0" collapsed="false">
      <c r="A1751" s="13"/>
      <c r="B1751" s="10"/>
      <c r="C1751" s="10"/>
      <c r="D1751" s="14"/>
      <c r="E1751" s="11"/>
      <c r="F1751" s="15" t="str">
        <f aca="false">IF($B1751="","",IF(AND($D1751="",$E1751=""),"",IF(OR($D1751="",$E1751=""),0,ROUND($D1751*$E1751,0))))</f>
        <v/>
      </c>
      <c r="G1751" s="13"/>
      <c r="H1751" s="11"/>
      <c r="I1751" s="15" t="str">
        <f aca="false">IF($F1751="","",$F1751-IF($H1751="",0,$H1751))</f>
        <v/>
      </c>
      <c r="J1751" s="16" t="str">
        <f aca="true">IF(OR($A1751="",$I1751="",$I1751&lt;=0),"",TODAY()-$A1751)</f>
        <v/>
      </c>
      <c r="K1751" s="10"/>
    </row>
    <row r="1752" customFormat="false" ht="15" hidden="false" customHeight="true" outlineLevel="0" collapsed="false">
      <c r="A1752" s="13"/>
      <c r="B1752" s="10"/>
      <c r="C1752" s="10"/>
      <c r="D1752" s="14"/>
      <c r="E1752" s="11"/>
      <c r="F1752" s="15" t="str">
        <f aca="false">IF($B1752="","",IF(AND($D1752="",$E1752=""),"",IF(OR($D1752="",$E1752=""),0,ROUND($D1752*$E1752,0))))</f>
        <v/>
      </c>
      <c r="G1752" s="13"/>
      <c r="H1752" s="11"/>
      <c r="I1752" s="15" t="str">
        <f aca="false">IF($F1752="","",$F1752-IF($H1752="",0,$H1752))</f>
        <v/>
      </c>
      <c r="J1752" s="16" t="str">
        <f aca="true">IF(OR($A1752="",$I1752="",$I1752&lt;=0),"",TODAY()-$A1752)</f>
        <v/>
      </c>
      <c r="K1752" s="10"/>
    </row>
    <row r="1753" customFormat="false" ht="15" hidden="false" customHeight="true" outlineLevel="0" collapsed="false">
      <c r="A1753" s="13"/>
      <c r="B1753" s="10"/>
      <c r="C1753" s="10"/>
      <c r="D1753" s="14"/>
      <c r="E1753" s="11"/>
      <c r="F1753" s="15" t="str">
        <f aca="false">IF($B1753="","",IF(AND($D1753="",$E1753=""),"",IF(OR($D1753="",$E1753=""),0,ROUND($D1753*$E1753,0))))</f>
        <v/>
      </c>
      <c r="G1753" s="13"/>
      <c r="H1753" s="11"/>
      <c r="I1753" s="15" t="str">
        <f aca="false">IF($F1753="","",$F1753-IF($H1753="",0,$H1753))</f>
        <v/>
      </c>
      <c r="J1753" s="16" t="str">
        <f aca="true">IF(OR($A1753="",$I1753="",$I1753&lt;=0),"",TODAY()-$A1753)</f>
        <v/>
      </c>
      <c r="K1753" s="10"/>
    </row>
    <row r="1754" customFormat="false" ht="15" hidden="false" customHeight="true" outlineLevel="0" collapsed="false">
      <c r="A1754" s="13"/>
      <c r="B1754" s="10"/>
      <c r="C1754" s="10"/>
      <c r="D1754" s="14"/>
      <c r="E1754" s="11"/>
      <c r="F1754" s="15" t="str">
        <f aca="false">IF($B1754="","",IF(AND($D1754="",$E1754=""),"",IF(OR($D1754="",$E1754=""),0,ROUND($D1754*$E1754,0))))</f>
        <v/>
      </c>
      <c r="G1754" s="13"/>
      <c r="H1754" s="11"/>
      <c r="I1754" s="15" t="str">
        <f aca="false">IF($F1754="","",$F1754-IF($H1754="",0,$H1754))</f>
        <v/>
      </c>
      <c r="J1754" s="16" t="str">
        <f aca="true">IF(OR($A1754="",$I1754="",$I1754&lt;=0),"",TODAY()-$A1754)</f>
        <v/>
      </c>
      <c r="K1754" s="10"/>
    </row>
    <row r="1755" customFormat="false" ht="15" hidden="false" customHeight="true" outlineLevel="0" collapsed="false">
      <c r="A1755" s="13"/>
      <c r="B1755" s="10"/>
      <c r="C1755" s="10"/>
      <c r="D1755" s="14"/>
      <c r="E1755" s="11"/>
      <c r="F1755" s="15" t="str">
        <f aca="false">IF($B1755="","",IF(AND($D1755="",$E1755=""),"",IF(OR($D1755="",$E1755=""),0,ROUND($D1755*$E1755,0))))</f>
        <v/>
      </c>
      <c r="G1755" s="13"/>
      <c r="H1755" s="11"/>
      <c r="I1755" s="15" t="str">
        <f aca="false">IF($F1755="","",$F1755-IF($H1755="",0,$H1755))</f>
        <v/>
      </c>
      <c r="J1755" s="16" t="str">
        <f aca="true">IF(OR($A1755="",$I1755="",$I1755&lt;=0),"",TODAY()-$A1755)</f>
        <v/>
      </c>
      <c r="K1755" s="10"/>
    </row>
    <row r="1756" customFormat="false" ht="15" hidden="false" customHeight="true" outlineLevel="0" collapsed="false">
      <c r="A1756" s="13"/>
      <c r="B1756" s="10"/>
      <c r="C1756" s="10"/>
      <c r="D1756" s="14"/>
      <c r="E1756" s="11"/>
      <c r="F1756" s="15" t="str">
        <f aca="false">IF($B1756="","",IF(AND($D1756="",$E1756=""),"",IF(OR($D1756="",$E1756=""),0,ROUND($D1756*$E1756,0))))</f>
        <v/>
      </c>
      <c r="G1756" s="13"/>
      <c r="H1756" s="11"/>
      <c r="I1756" s="15" t="str">
        <f aca="false">IF($F1756="","",$F1756-IF($H1756="",0,$H1756))</f>
        <v/>
      </c>
      <c r="J1756" s="16" t="str">
        <f aca="true">IF(OR($A1756="",$I1756="",$I1756&lt;=0),"",TODAY()-$A1756)</f>
        <v/>
      </c>
      <c r="K1756" s="10"/>
    </row>
    <row r="1757" customFormat="false" ht="15" hidden="false" customHeight="true" outlineLevel="0" collapsed="false">
      <c r="A1757" s="13"/>
      <c r="B1757" s="10"/>
      <c r="C1757" s="10"/>
      <c r="D1757" s="14"/>
      <c r="E1757" s="11"/>
      <c r="F1757" s="15" t="str">
        <f aca="false">IF($B1757="","",IF(AND($D1757="",$E1757=""),"",IF(OR($D1757="",$E1757=""),0,ROUND($D1757*$E1757,0))))</f>
        <v/>
      </c>
      <c r="G1757" s="13"/>
      <c r="H1757" s="11"/>
      <c r="I1757" s="15" t="str">
        <f aca="false">IF($F1757="","",$F1757-IF($H1757="",0,$H1757))</f>
        <v/>
      </c>
      <c r="J1757" s="16" t="str">
        <f aca="true">IF(OR($A1757="",$I1757="",$I1757&lt;=0),"",TODAY()-$A1757)</f>
        <v/>
      </c>
      <c r="K1757" s="10"/>
    </row>
    <row r="1758" customFormat="false" ht="15" hidden="false" customHeight="true" outlineLevel="0" collapsed="false">
      <c r="A1758" s="13"/>
      <c r="B1758" s="10"/>
      <c r="C1758" s="10"/>
      <c r="D1758" s="14"/>
      <c r="E1758" s="11"/>
      <c r="F1758" s="15" t="str">
        <f aca="false">IF($B1758="","",IF(AND($D1758="",$E1758=""),"",IF(OR($D1758="",$E1758=""),0,ROUND($D1758*$E1758,0))))</f>
        <v/>
      </c>
      <c r="G1758" s="13"/>
      <c r="H1758" s="11"/>
      <c r="I1758" s="15" t="str">
        <f aca="false">IF($F1758="","",$F1758-IF($H1758="",0,$H1758))</f>
        <v/>
      </c>
      <c r="J1758" s="16" t="str">
        <f aca="true">IF(OR($A1758="",$I1758="",$I1758&lt;=0),"",TODAY()-$A1758)</f>
        <v/>
      </c>
      <c r="K1758" s="10"/>
    </row>
    <row r="1759" customFormat="false" ht="15" hidden="false" customHeight="true" outlineLevel="0" collapsed="false">
      <c r="A1759" s="13"/>
      <c r="B1759" s="10"/>
      <c r="C1759" s="10"/>
      <c r="D1759" s="14"/>
      <c r="E1759" s="11"/>
      <c r="F1759" s="15" t="str">
        <f aca="false">IF($B1759="","",IF(AND($D1759="",$E1759=""),"",IF(OR($D1759="",$E1759=""),0,ROUND($D1759*$E1759,0))))</f>
        <v/>
      </c>
      <c r="G1759" s="13"/>
      <c r="H1759" s="11"/>
      <c r="I1759" s="15" t="str">
        <f aca="false">IF($F1759="","",$F1759-IF($H1759="",0,$H1759))</f>
        <v/>
      </c>
      <c r="J1759" s="16" t="str">
        <f aca="true">IF(OR($A1759="",$I1759="",$I1759&lt;=0),"",TODAY()-$A1759)</f>
        <v/>
      </c>
      <c r="K1759" s="10"/>
    </row>
    <row r="1760" customFormat="false" ht="15" hidden="false" customHeight="true" outlineLevel="0" collapsed="false">
      <c r="A1760" s="13"/>
      <c r="B1760" s="10"/>
      <c r="C1760" s="10"/>
      <c r="D1760" s="14"/>
      <c r="E1760" s="11"/>
      <c r="F1760" s="15" t="str">
        <f aca="false">IF($B1760="","",IF(AND($D1760="",$E1760=""),"",IF(OR($D1760="",$E1760=""),0,ROUND($D1760*$E1760,0))))</f>
        <v/>
      </c>
      <c r="G1760" s="13"/>
      <c r="H1760" s="11"/>
      <c r="I1760" s="15" t="str">
        <f aca="false">IF($F1760="","",$F1760-IF($H1760="",0,$H1760))</f>
        <v/>
      </c>
      <c r="J1760" s="16" t="str">
        <f aca="true">IF(OR($A1760="",$I1760="",$I1760&lt;=0),"",TODAY()-$A1760)</f>
        <v/>
      </c>
      <c r="K1760" s="10"/>
    </row>
    <row r="1761" customFormat="false" ht="15" hidden="false" customHeight="true" outlineLevel="0" collapsed="false">
      <c r="A1761" s="13"/>
      <c r="B1761" s="10"/>
      <c r="C1761" s="10"/>
      <c r="D1761" s="14"/>
      <c r="E1761" s="11"/>
      <c r="F1761" s="15" t="str">
        <f aca="false">IF($B1761="","",IF(AND($D1761="",$E1761=""),"",IF(OR($D1761="",$E1761=""),0,ROUND($D1761*$E1761,0))))</f>
        <v/>
      </c>
      <c r="G1761" s="13"/>
      <c r="H1761" s="11"/>
      <c r="I1761" s="15" t="str">
        <f aca="false">IF($F1761="","",$F1761-IF($H1761="",0,$H1761))</f>
        <v/>
      </c>
      <c r="J1761" s="16" t="str">
        <f aca="true">IF(OR($A1761="",$I1761="",$I1761&lt;=0),"",TODAY()-$A1761)</f>
        <v/>
      </c>
      <c r="K1761" s="10"/>
    </row>
    <row r="1762" customFormat="false" ht="15" hidden="false" customHeight="true" outlineLevel="0" collapsed="false">
      <c r="A1762" s="13"/>
      <c r="B1762" s="10"/>
      <c r="C1762" s="10"/>
      <c r="D1762" s="14"/>
      <c r="E1762" s="11"/>
      <c r="F1762" s="15" t="str">
        <f aca="false">IF($B1762="","",IF(AND($D1762="",$E1762=""),"",IF(OR($D1762="",$E1762=""),0,ROUND($D1762*$E1762,0))))</f>
        <v/>
      </c>
      <c r="G1762" s="13"/>
      <c r="H1762" s="11"/>
      <c r="I1762" s="15" t="str">
        <f aca="false">IF($F1762="","",$F1762-IF($H1762="",0,$H1762))</f>
        <v/>
      </c>
      <c r="J1762" s="16" t="str">
        <f aca="true">IF(OR($A1762="",$I1762="",$I1762&lt;=0),"",TODAY()-$A1762)</f>
        <v/>
      </c>
      <c r="K1762" s="10"/>
    </row>
    <row r="1763" customFormat="false" ht="15" hidden="false" customHeight="true" outlineLevel="0" collapsed="false">
      <c r="A1763" s="13"/>
      <c r="B1763" s="10"/>
      <c r="C1763" s="10"/>
      <c r="D1763" s="14"/>
      <c r="E1763" s="11"/>
      <c r="F1763" s="15" t="str">
        <f aca="false">IF($B1763="","",IF(AND($D1763="",$E1763=""),"",IF(OR($D1763="",$E1763=""),0,ROUND($D1763*$E1763,0))))</f>
        <v/>
      </c>
      <c r="G1763" s="13"/>
      <c r="H1763" s="11"/>
      <c r="I1763" s="15" t="str">
        <f aca="false">IF($F1763="","",$F1763-IF($H1763="",0,$H1763))</f>
        <v/>
      </c>
      <c r="J1763" s="16" t="str">
        <f aca="true">IF(OR($A1763="",$I1763="",$I1763&lt;=0),"",TODAY()-$A1763)</f>
        <v/>
      </c>
      <c r="K1763" s="10"/>
    </row>
    <row r="1764" customFormat="false" ht="15" hidden="false" customHeight="true" outlineLevel="0" collapsed="false">
      <c r="A1764" s="13"/>
      <c r="B1764" s="10"/>
      <c r="C1764" s="10"/>
      <c r="D1764" s="14"/>
      <c r="E1764" s="11"/>
      <c r="F1764" s="15" t="str">
        <f aca="false">IF($B1764="","",IF(AND($D1764="",$E1764=""),"",IF(OR($D1764="",$E1764=""),0,ROUND($D1764*$E1764,0))))</f>
        <v/>
      </c>
      <c r="G1764" s="13"/>
      <c r="H1764" s="11"/>
      <c r="I1764" s="15" t="str">
        <f aca="false">IF($F1764="","",$F1764-IF($H1764="",0,$H1764))</f>
        <v/>
      </c>
      <c r="J1764" s="16" t="str">
        <f aca="true">IF(OR($A1764="",$I1764="",$I1764&lt;=0),"",TODAY()-$A1764)</f>
        <v/>
      </c>
      <c r="K1764" s="10"/>
    </row>
    <row r="1765" customFormat="false" ht="15" hidden="false" customHeight="true" outlineLevel="0" collapsed="false">
      <c r="A1765" s="13"/>
      <c r="B1765" s="10"/>
      <c r="C1765" s="10"/>
      <c r="D1765" s="14"/>
      <c r="E1765" s="11"/>
      <c r="F1765" s="15" t="str">
        <f aca="false">IF($B1765="","",IF(AND($D1765="",$E1765=""),"",IF(OR($D1765="",$E1765=""),0,ROUND($D1765*$E1765,0))))</f>
        <v/>
      </c>
      <c r="G1765" s="13"/>
      <c r="H1765" s="11"/>
      <c r="I1765" s="15" t="str">
        <f aca="false">IF($F1765="","",$F1765-IF($H1765="",0,$H1765))</f>
        <v/>
      </c>
      <c r="J1765" s="16" t="str">
        <f aca="true">IF(OR($A1765="",$I1765="",$I1765&lt;=0),"",TODAY()-$A1765)</f>
        <v/>
      </c>
      <c r="K1765" s="10"/>
    </row>
    <row r="1766" customFormat="false" ht="15" hidden="false" customHeight="true" outlineLevel="0" collapsed="false">
      <c r="A1766" s="13"/>
      <c r="B1766" s="10"/>
      <c r="C1766" s="10"/>
      <c r="D1766" s="14"/>
      <c r="E1766" s="11"/>
      <c r="F1766" s="15" t="str">
        <f aca="false">IF($B1766="","",IF(AND($D1766="",$E1766=""),"",IF(OR($D1766="",$E1766=""),0,ROUND($D1766*$E1766,0))))</f>
        <v/>
      </c>
      <c r="G1766" s="13"/>
      <c r="H1766" s="11"/>
      <c r="I1766" s="15" t="str">
        <f aca="false">IF($F1766="","",$F1766-IF($H1766="",0,$H1766))</f>
        <v/>
      </c>
      <c r="J1766" s="16" t="str">
        <f aca="true">IF(OR($A1766="",$I1766="",$I1766&lt;=0),"",TODAY()-$A1766)</f>
        <v/>
      </c>
      <c r="K1766" s="10"/>
    </row>
    <row r="1767" customFormat="false" ht="15" hidden="false" customHeight="true" outlineLevel="0" collapsed="false">
      <c r="A1767" s="13"/>
      <c r="B1767" s="10"/>
      <c r="C1767" s="10"/>
      <c r="D1767" s="14"/>
      <c r="E1767" s="11"/>
      <c r="F1767" s="15" t="str">
        <f aca="false">IF($B1767="","",IF(AND($D1767="",$E1767=""),"",IF(OR($D1767="",$E1767=""),0,ROUND($D1767*$E1767,0))))</f>
        <v/>
      </c>
      <c r="G1767" s="13"/>
      <c r="H1767" s="11"/>
      <c r="I1767" s="15" t="str">
        <f aca="false">IF($F1767="","",$F1767-IF($H1767="",0,$H1767))</f>
        <v/>
      </c>
      <c r="J1767" s="16" t="str">
        <f aca="true">IF(OR($A1767="",$I1767="",$I1767&lt;=0),"",TODAY()-$A1767)</f>
        <v/>
      </c>
      <c r="K1767" s="10"/>
    </row>
    <row r="1768" customFormat="false" ht="15" hidden="false" customHeight="true" outlineLevel="0" collapsed="false">
      <c r="A1768" s="13"/>
      <c r="B1768" s="10"/>
      <c r="C1768" s="10"/>
      <c r="D1768" s="14"/>
      <c r="E1768" s="11"/>
      <c r="F1768" s="15" t="str">
        <f aca="false">IF($B1768="","",IF(AND($D1768="",$E1768=""),"",IF(OR($D1768="",$E1768=""),0,ROUND($D1768*$E1768,0))))</f>
        <v/>
      </c>
      <c r="G1768" s="13"/>
      <c r="H1768" s="11"/>
      <c r="I1768" s="15" t="str">
        <f aca="false">IF($F1768="","",$F1768-IF($H1768="",0,$H1768))</f>
        <v/>
      </c>
      <c r="J1768" s="16" t="str">
        <f aca="true">IF(OR($A1768="",$I1768="",$I1768&lt;=0),"",TODAY()-$A1768)</f>
        <v/>
      </c>
      <c r="K1768" s="10"/>
    </row>
    <row r="1769" customFormat="false" ht="15" hidden="false" customHeight="true" outlineLevel="0" collapsed="false">
      <c r="A1769" s="13"/>
      <c r="B1769" s="10"/>
      <c r="C1769" s="10"/>
      <c r="D1769" s="14"/>
      <c r="E1769" s="11"/>
      <c r="F1769" s="15" t="str">
        <f aca="false">IF($B1769="","",IF(AND($D1769="",$E1769=""),"",IF(OR($D1769="",$E1769=""),0,ROUND($D1769*$E1769,0))))</f>
        <v/>
      </c>
      <c r="G1769" s="13"/>
      <c r="H1769" s="11"/>
      <c r="I1769" s="15" t="str">
        <f aca="false">IF($F1769="","",$F1769-IF($H1769="",0,$H1769))</f>
        <v/>
      </c>
      <c r="J1769" s="16" t="str">
        <f aca="true">IF(OR($A1769="",$I1769="",$I1769&lt;=0),"",TODAY()-$A1769)</f>
        <v/>
      </c>
      <c r="K1769" s="10"/>
    </row>
    <row r="1770" customFormat="false" ht="15" hidden="false" customHeight="true" outlineLevel="0" collapsed="false">
      <c r="A1770" s="13"/>
      <c r="B1770" s="10"/>
      <c r="C1770" s="10"/>
      <c r="D1770" s="14"/>
      <c r="E1770" s="11"/>
      <c r="F1770" s="15" t="str">
        <f aca="false">IF($B1770="","",IF(AND($D1770="",$E1770=""),"",IF(OR($D1770="",$E1770=""),0,ROUND($D1770*$E1770,0))))</f>
        <v/>
      </c>
      <c r="G1770" s="13"/>
      <c r="H1770" s="11"/>
      <c r="I1770" s="15" t="str">
        <f aca="false">IF($F1770="","",$F1770-IF($H1770="",0,$H1770))</f>
        <v/>
      </c>
      <c r="J1770" s="16" t="str">
        <f aca="true">IF(OR($A1770="",$I1770="",$I1770&lt;=0),"",TODAY()-$A1770)</f>
        <v/>
      </c>
      <c r="K1770" s="10"/>
    </row>
    <row r="1771" customFormat="false" ht="15" hidden="false" customHeight="true" outlineLevel="0" collapsed="false">
      <c r="A1771" s="13"/>
      <c r="B1771" s="10"/>
      <c r="C1771" s="10"/>
      <c r="D1771" s="14"/>
      <c r="E1771" s="11"/>
      <c r="F1771" s="15" t="str">
        <f aca="false">IF($B1771="","",IF(AND($D1771="",$E1771=""),"",IF(OR($D1771="",$E1771=""),0,ROUND($D1771*$E1771,0))))</f>
        <v/>
      </c>
      <c r="G1771" s="13"/>
      <c r="H1771" s="11"/>
      <c r="I1771" s="15" t="str">
        <f aca="false">IF($F1771="","",$F1771-IF($H1771="",0,$H1771))</f>
        <v/>
      </c>
      <c r="J1771" s="16" t="str">
        <f aca="true">IF(OR($A1771="",$I1771="",$I1771&lt;=0),"",TODAY()-$A1771)</f>
        <v/>
      </c>
      <c r="K1771" s="10"/>
    </row>
    <row r="1772" customFormat="false" ht="15" hidden="false" customHeight="true" outlineLevel="0" collapsed="false">
      <c r="A1772" s="13"/>
      <c r="B1772" s="10"/>
      <c r="C1772" s="10"/>
      <c r="D1772" s="14"/>
      <c r="E1772" s="11"/>
      <c r="F1772" s="15" t="str">
        <f aca="false">IF($B1772="","",IF(AND($D1772="",$E1772=""),"",IF(OR($D1772="",$E1772=""),0,ROUND($D1772*$E1772,0))))</f>
        <v/>
      </c>
      <c r="G1772" s="13"/>
      <c r="H1772" s="11"/>
      <c r="I1772" s="15" t="str">
        <f aca="false">IF($F1772="","",$F1772-IF($H1772="",0,$H1772))</f>
        <v/>
      </c>
      <c r="J1772" s="16" t="str">
        <f aca="true">IF(OR($A1772="",$I1772="",$I1772&lt;=0),"",TODAY()-$A1772)</f>
        <v/>
      </c>
      <c r="K1772" s="10"/>
    </row>
    <row r="1773" customFormat="false" ht="15" hidden="false" customHeight="true" outlineLevel="0" collapsed="false">
      <c r="A1773" s="13"/>
      <c r="B1773" s="10"/>
      <c r="C1773" s="10"/>
      <c r="D1773" s="14"/>
      <c r="E1773" s="11"/>
      <c r="F1773" s="15" t="str">
        <f aca="false">IF($B1773="","",IF(AND($D1773="",$E1773=""),"",IF(OR($D1773="",$E1773=""),0,ROUND($D1773*$E1773,0))))</f>
        <v/>
      </c>
      <c r="G1773" s="13"/>
      <c r="H1773" s="11"/>
      <c r="I1773" s="15" t="str">
        <f aca="false">IF($F1773="","",$F1773-IF($H1773="",0,$H1773))</f>
        <v/>
      </c>
      <c r="J1773" s="16" t="str">
        <f aca="true">IF(OR($A1773="",$I1773="",$I1773&lt;=0),"",TODAY()-$A1773)</f>
        <v/>
      </c>
      <c r="K1773" s="10"/>
    </row>
    <row r="1774" customFormat="false" ht="15" hidden="false" customHeight="true" outlineLevel="0" collapsed="false">
      <c r="A1774" s="13"/>
      <c r="B1774" s="10"/>
      <c r="C1774" s="10"/>
      <c r="D1774" s="14"/>
      <c r="E1774" s="11"/>
      <c r="F1774" s="15" t="str">
        <f aca="false">IF($B1774="","",IF(AND($D1774="",$E1774=""),"",IF(OR($D1774="",$E1774=""),0,ROUND($D1774*$E1774,0))))</f>
        <v/>
      </c>
      <c r="G1774" s="13"/>
      <c r="H1774" s="11"/>
      <c r="I1774" s="15" t="str">
        <f aca="false">IF($F1774="","",$F1774-IF($H1774="",0,$H1774))</f>
        <v/>
      </c>
      <c r="J1774" s="16" t="str">
        <f aca="true">IF(OR($A1774="",$I1774="",$I1774&lt;=0),"",TODAY()-$A1774)</f>
        <v/>
      </c>
      <c r="K1774" s="10"/>
    </row>
    <row r="1775" customFormat="false" ht="15" hidden="false" customHeight="true" outlineLevel="0" collapsed="false">
      <c r="A1775" s="13"/>
      <c r="B1775" s="10"/>
      <c r="C1775" s="10"/>
      <c r="D1775" s="14"/>
      <c r="E1775" s="11"/>
      <c r="F1775" s="15" t="str">
        <f aca="false">IF($B1775="","",IF(AND($D1775="",$E1775=""),"",IF(OR($D1775="",$E1775=""),0,ROUND($D1775*$E1775,0))))</f>
        <v/>
      </c>
      <c r="G1775" s="13"/>
      <c r="H1775" s="11"/>
      <c r="I1775" s="15" t="str">
        <f aca="false">IF($F1775="","",$F1775-IF($H1775="",0,$H1775))</f>
        <v/>
      </c>
      <c r="J1775" s="16" t="str">
        <f aca="true">IF(OR($A1775="",$I1775="",$I1775&lt;=0),"",TODAY()-$A1775)</f>
        <v/>
      </c>
      <c r="K1775" s="10"/>
    </row>
    <row r="1776" customFormat="false" ht="15" hidden="false" customHeight="true" outlineLevel="0" collapsed="false">
      <c r="A1776" s="13"/>
      <c r="B1776" s="10"/>
      <c r="C1776" s="10"/>
      <c r="D1776" s="14"/>
      <c r="E1776" s="11"/>
      <c r="F1776" s="15" t="str">
        <f aca="false">IF($B1776="","",IF(AND($D1776="",$E1776=""),"",IF(OR($D1776="",$E1776=""),0,ROUND($D1776*$E1776,0))))</f>
        <v/>
      </c>
      <c r="G1776" s="13"/>
      <c r="H1776" s="11"/>
      <c r="I1776" s="15" t="str">
        <f aca="false">IF($F1776="","",$F1776-IF($H1776="",0,$H1776))</f>
        <v/>
      </c>
      <c r="J1776" s="16" t="str">
        <f aca="true">IF(OR($A1776="",$I1776="",$I1776&lt;=0),"",TODAY()-$A1776)</f>
        <v/>
      </c>
      <c r="K1776" s="10"/>
    </row>
    <row r="1777" customFormat="false" ht="15" hidden="false" customHeight="true" outlineLevel="0" collapsed="false">
      <c r="A1777" s="13"/>
      <c r="B1777" s="10"/>
      <c r="C1777" s="10"/>
      <c r="D1777" s="14"/>
      <c r="E1777" s="11"/>
      <c r="F1777" s="15" t="str">
        <f aca="false">IF($B1777="","",IF(AND($D1777="",$E1777=""),"",IF(OR($D1777="",$E1777=""),0,ROUND($D1777*$E1777,0))))</f>
        <v/>
      </c>
      <c r="G1777" s="13"/>
      <c r="H1777" s="11"/>
      <c r="I1777" s="15" t="str">
        <f aca="false">IF($F1777="","",$F1777-IF($H1777="",0,$H1777))</f>
        <v/>
      </c>
      <c r="J1777" s="16" t="str">
        <f aca="true">IF(OR($A1777="",$I1777="",$I1777&lt;=0),"",TODAY()-$A1777)</f>
        <v/>
      </c>
      <c r="K1777" s="10"/>
    </row>
    <row r="1778" customFormat="false" ht="15" hidden="false" customHeight="true" outlineLevel="0" collapsed="false">
      <c r="A1778" s="13"/>
      <c r="B1778" s="10"/>
      <c r="C1778" s="10"/>
      <c r="D1778" s="14"/>
      <c r="E1778" s="11"/>
      <c r="F1778" s="15" t="str">
        <f aca="false">IF($B1778="","",IF(AND($D1778="",$E1778=""),"",IF(OR($D1778="",$E1778=""),0,ROUND($D1778*$E1778,0))))</f>
        <v/>
      </c>
      <c r="G1778" s="13"/>
      <c r="H1778" s="11"/>
      <c r="I1778" s="15" t="str">
        <f aca="false">IF($F1778="","",$F1778-IF($H1778="",0,$H1778))</f>
        <v/>
      </c>
      <c r="J1778" s="16" t="str">
        <f aca="true">IF(OR($A1778="",$I1778="",$I1778&lt;=0),"",TODAY()-$A1778)</f>
        <v/>
      </c>
      <c r="K1778" s="10"/>
    </row>
    <row r="1779" customFormat="false" ht="15" hidden="false" customHeight="true" outlineLevel="0" collapsed="false">
      <c r="A1779" s="13"/>
      <c r="B1779" s="10"/>
      <c r="C1779" s="10"/>
      <c r="D1779" s="14"/>
      <c r="E1779" s="11"/>
      <c r="F1779" s="15" t="str">
        <f aca="false">IF($B1779="","",IF(AND($D1779="",$E1779=""),"",IF(OR($D1779="",$E1779=""),0,ROUND($D1779*$E1779,0))))</f>
        <v/>
      </c>
      <c r="G1779" s="13"/>
      <c r="H1779" s="11"/>
      <c r="I1779" s="15" t="str">
        <f aca="false">IF($F1779="","",$F1779-IF($H1779="",0,$H1779))</f>
        <v/>
      </c>
      <c r="J1779" s="16" t="str">
        <f aca="true">IF(OR($A1779="",$I1779="",$I1779&lt;=0),"",TODAY()-$A1779)</f>
        <v/>
      </c>
      <c r="K1779" s="10"/>
    </row>
    <row r="1780" customFormat="false" ht="15" hidden="false" customHeight="true" outlineLevel="0" collapsed="false">
      <c r="A1780" s="13"/>
      <c r="B1780" s="10"/>
      <c r="C1780" s="10"/>
      <c r="D1780" s="14"/>
      <c r="E1780" s="11"/>
      <c r="F1780" s="15" t="str">
        <f aca="false">IF($B1780="","",IF(AND($D1780="",$E1780=""),"",IF(OR($D1780="",$E1780=""),0,ROUND($D1780*$E1780,0))))</f>
        <v/>
      </c>
      <c r="G1780" s="13"/>
      <c r="H1780" s="11"/>
      <c r="I1780" s="15" t="str">
        <f aca="false">IF($F1780="","",$F1780-IF($H1780="",0,$H1780))</f>
        <v/>
      </c>
      <c r="J1780" s="16" t="str">
        <f aca="true">IF(OR($A1780="",$I1780="",$I1780&lt;=0),"",TODAY()-$A1780)</f>
        <v/>
      </c>
      <c r="K1780" s="10"/>
    </row>
    <row r="1781" customFormat="false" ht="15" hidden="false" customHeight="true" outlineLevel="0" collapsed="false">
      <c r="A1781" s="13"/>
      <c r="B1781" s="10"/>
      <c r="C1781" s="10"/>
      <c r="D1781" s="14"/>
      <c r="E1781" s="11"/>
      <c r="F1781" s="15" t="str">
        <f aca="false">IF($B1781="","",IF(AND($D1781="",$E1781=""),"",IF(OR($D1781="",$E1781=""),0,ROUND($D1781*$E1781,0))))</f>
        <v/>
      </c>
      <c r="G1781" s="13"/>
      <c r="H1781" s="11"/>
      <c r="I1781" s="15" t="str">
        <f aca="false">IF($F1781="","",$F1781-IF($H1781="",0,$H1781))</f>
        <v/>
      </c>
      <c r="J1781" s="16" t="str">
        <f aca="true">IF(OR($A1781="",$I1781="",$I1781&lt;=0),"",TODAY()-$A1781)</f>
        <v/>
      </c>
      <c r="K1781" s="10"/>
    </row>
    <row r="1782" customFormat="false" ht="15" hidden="false" customHeight="true" outlineLevel="0" collapsed="false">
      <c r="A1782" s="13"/>
      <c r="B1782" s="10"/>
      <c r="C1782" s="10"/>
      <c r="D1782" s="14"/>
      <c r="E1782" s="11"/>
      <c r="F1782" s="15" t="str">
        <f aca="false">IF($B1782="","",IF(AND($D1782="",$E1782=""),"",IF(OR($D1782="",$E1782=""),0,ROUND($D1782*$E1782,0))))</f>
        <v/>
      </c>
      <c r="G1782" s="13"/>
      <c r="H1782" s="11"/>
      <c r="I1782" s="15" t="str">
        <f aca="false">IF($F1782="","",$F1782-IF($H1782="",0,$H1782))</f>
        <v/>
      </c>
      <c r="J1782" s="16" t="str">
        <f aca="true">IF(OR($A1782="",$I1782="",$I1782&lt;=0),"",TODAY()-$A1782)</f>
        <v/>
      </c>
      <c r="K1782" s="10"/>
    </row>
    <row r="1783" customFormat="false" ht="15" hidden="false" customHeight="true" outlineLevel="0" collapsed="false">
      <c r="A1783" s="13"/>
      <c r="B1783" s="10"/>
      <c r="C1783" s="10"/>
      <c r="D1783" s="14"/>
      <c r="E1783" s="11"/>
      <c r="F1783" s="15" t="str">
        <f aca="false">IF($B1783="","",IF(AND($D1783="",$E1783=""),"",IF(OR($D1783="",$E1783=""),0,ROUND($D1783*$E1783,0))))</f>
        <v/>
      </c>
      <c r="G1783" s="13"/>
      <c r="H1783" s="11"/>
      <c r="I1783" s="15" t="str">
        <f aca="false">IF($F1783="","",$F1783-IF($H1783="",0,$H1783))</f>
        <v/>
      </c>
      <c r="J1783" s="16" t="str">
        <f aca="true">IF(OR($A1783="",$I1783="",$I1783&lt;=0),"",TODAY()-$A1783)</f>
        <v/>
      </c>
      <c r="K1783" s="10"/>
    </row>
    <row r="1784" customFormat="false" ht="15" hidden="false" customHeight="true" outlineLevel="0" collapsed="false">
      <c r="A1784" s="13"/>
      <c r="B1784" s="10"/>
      <c r="C1784" s="10"/>
      <c r="D1784" s="14"/>
      <c r="E1784" s="11"/>
      <c r="F1784" s="15" t="str">
        <f aca="false">IF($B1784="","",IF(AND($D1784="",$E1784=""),"",IF(OR($D1784="",$E1784=""),0,ROUND($D1784*$E1784,0))))</f>
        <v/>
      </c>
      <c r="G1784" s="13"/>
      <c r="H1784" s="11"/>
      <c r="I1784" s="15" t="str">
        <f aca="false">IF($F1784="","",$F1784-IF($H1784="",0,$H1784))</f>
        <v/>
      </c>
      <c r="J1784" s="16" t="str">
        <f aca="true">IF(OR($A1784="",$I1784="",$I1784&lt;=0),"",TODAY()-$A1784)</f>
        <v/>
      </c>
      <c r="K1784" s="10"/>
    </row>
    <row r="1785" customFormat="false" ht="15" hidden="false" customHeight="true" outlineLevel="0" collapsed="false">
      <c r="A1785" s="13"/>
      <c r="B1785" s="10"/>
      <c r="C1785" s="10"/>
      <c r="D1785" s="14"/>
      <c r="E1785" s="11"/>
      <c r="F1785" s="15" t="str">
        <f aca="false">IF($B1785="","",IF(AND($D1785="",$E1785=""),"",IF(OR($D1785="",$E1785=""),0,ROUND($D1785*$E1785,0))))</f>
        <v/>
      </c>
      <c r="G1785" s="13"/>
      <c r="H1785" s="11"/>
      <c r="I1785" s="15" t="str">
        <f aca="false">IF($F1785="","",$F1785-IF($H1785="",0,$H1785))</f>
        <v/>
      </c>
      <c r="J1785" s="16" t="str">
        <f aca="true">IF(OR($A1785="",$I1785="",$I1785&lt;=0),"",TODAY()-$A1785)</f>
        <v/>
      </c>
      <c r="K1785" s="10"/>
    </row>
    <row r="1786" customFormat="false" ht="15" hidden="false" customHeight="true" outlineLevel="0" collapsed="false">
      <c r="A1786" s="13"/>
      <c r="B1786" s="10"/>
      <c r="C1786" s="10"/>
      <c r="D1786" s="14"/>
      <c r="E1786" s="11"/>
      <c r="F1786" s="15" t="str">
        <f aca="false">IF($B1786="","",IF(AND($D1786="",$E1786=""),"",IF(OR($D1786="",$E1786=""),0,ROUND($D1786*$E1786,0))))</f>
        <v/>
      </c>
      <c r="G1786" s="13"/>
      <c r="H1786" s="11"/>
      <c r="I1786" s="15" t="str">
        <f aca="false">IF($F1786="","",$F1786-IF($H1786="",0,$H1786))</f>
        <v/>
      </c>
      <c r="J1786" s="16" t="str">
        <f aca="true">IF(OR($A1786="",$I1786="",$I1786&lt;=0),"",TODAY()-$A1786)</f>
        <v/>
      </c>
      <c r="K1786" s="10"/>
    </row>
    <row r="1787" customFormat="false" ht="15" hidden="false" customHeight="true" outlineLevel="0" collapsed="false">
      <c r="A1787" s="13"/>
      <c r="B1787" s="10"/>
      <c r="C1787" s="10"/>
      <c r="D1787" s="14"/>
      <c r="E1787" s="11"/>
      <c r="F1787" s="15" t="str">
        <f aca="false">IF($B1787="","",IF(AND($D1787="",$E1787=""),"",IF(OR($D1787="",$E1787=""),0,ROUND($D1787*$E1787,0))))</f>
        <v/>
      </c>
      <c r="G1787" s="13"/>
      <c r="H1787" s="11"/>
      <c r="I1787" s="15" t="str">
        <f aca="false">IF($F1787="","",$F1787-IF($H1787="",0,$H1787))</f>
        <v/>
      </c>
      <c r="J1787" s="16" t="str">
        <f aca="true">IF(OR($A1787="",$I1787="",$I1787&lt;=0),"",TODAY()-$A1787)</f>
        <v/>
      </c>
      <c r="K1787" s="10"/>
    </row>
    <row r="1788" customFormat="false" ht="15" hidden="false" customHeight="true" outlineLevel="0" collapsed="false">
      <c r="A1788" s="13"/>
      <c r="B1788" s="10"/>
      <c r="C1788" s="10"/>
      <c r="D1788" s="14"/>
      <c r="E1788" s="11"/>
      <c r="F1788" s="15" t="str">
        <f aca="false">IF($B1788="","",IF(AND($D1788="",$E1788=""),"",IF(OR($D1788="",$E1788=""),0,ROUND($D1788*$E1788,0))))</f>
        <v/>
      </c>
      <c r="G1788" s="13"/>
      <c r="H1788" s="11"/>
      <c r="I1788" s="15" t="str">
        <f aca="false">IF($F1788="","",$F1788-IF($H1788="",0,$H1788))</f>
        <v/>
      </c>
      <c r="J1788" s="16" t="str">
        <f aca="true">IF(OR($A1788="",$I1788="",$I1788&lt;=0),"",TODAY()-$A1788)</f>
        <v/>
      </c>
      <c r="K1788" s="10"/>
    </row>
    <row r="1789" customFormat="false" ht="15" hidden="false" customHeight="true" outlineLevel="0" collapsed="false">
      <c r="A1789" s="13"/>
      <c r="B1789" s="10"/>
      <c r="C1789" s="10"/>
      <c r="D1789" s="14"/>
      <c r="E1789" s="11"/>
      <c r="F1789" s="15" t="str">
        <f aca="false">IF($B1789="","",IF(AND($D1789="",$E1789=""),"",IF(OR($D1789="",$E1789=""),0,ROUND($D1789*$E1789,0))))</f>
        <v/>
      </c>
      <c r="G1789" s="13"/>
      <c r="H1789" s="11"/>
      <c r="I1789" s="15" t="str">
        <f aca="false">IF($F1789="","",$F1789-IF($H1789="",0,$H1789))</f>
        <v/>
      </c>
      <c r="J1789" s="16" t="str">
        <f aca="true">IF(OR($A1789="",$I1789="",$I1789&lt;=0),"",TODAY()-$A1789)</f>
        <v/>
      </c>
      <c r="K1789" s="10"/>
    </row>
    <row r="1790" customFormat="false" ht="15" hidden="false" customHeight="true" outlineLevel="0" collapsed="false">
      <c r="A1790" s="13"/>
      <c r="B1790" s="10"/>
      <c r="C1790" s="10"/>
      <c r="D1790" s="14"/>
      <c r="E1790" s="11"/>
      <c r="F1790" s="15" t="str">
        <f aca="false">IF($B1790="","",IF(AND($D1790="",$E1790=""),"",IF(OR($D1790="",$E1790=""),0,ROUND($D1790*$E1790,0))))</f>
        <v/>
      </c>
      <c r="G1790" s="13"/>
      <c r="H1790" s="11"/>
      <c r="I1790" s="15" t="str">
        <f aca="false">IF($F1790="","",$F1790-IF($H1790="",0,$H1790))</f>
        <v/>
      </c>
      <c r="J1790" s="16" t="str">
        <f aca="true">IF(OR($A1790="",$I1790="",$I1790&lt;=0),"",TODAY()-$A1790)</f>
        <v/>
      </c>
      <c r="K1790" s="10"/>
    </row>
    <row r="1791" customFormat="false" ht="15" hidden="false" customHeight="true" outlineLevel="0" collapsed="false">
      <c r="A1791" s="13"/>
      <c r="B1791" s="10"/>
      <c r="C1791" s="10"/>
      <c r="D1791" s="14"/>
      <c r="E1791" s="11"/>
      <c r="F1791" s="15" t="str">
        <f aca="false">IF($B1791="","",IF(AND($D1791="",$E1791=""),"",IF(OR($D1791="",$E1791=""),0,ROUND($D1791*$E1791,0))))</f>
        <v/>
      </c>
      <c r="G1791" s="13"/>
      <c r="H1791" s="11"/>
      <c r="I1791" s="15" t="str">
        <f aca="false">IF($F1791="","",$F1791-IF($H1791="",0,$H1791))</f>
        <v/>
      </c>
      <c r="J1791" s="16" t="str">
        <f aca="true">IF(OR($A1791="",$I1791="",$I1791&lt;=0),"",TODAY()-$A1791)</f>
        <v/>
      </c>
      <c r="K1791" s="10"/>
    </row>
    <row r="1792" customFormat="false" ht="15" hidden="false" customHeight="true" outlineLevel="0" collapsed="false">
      <c r="A1792" s="13"/>
      <c r="B1792" s="10"/>
      <c r="C1792" s="10"/>
      <c r="D1792" s="14"/>
      <c r="E1792" s="11"/>
      <c r="F1792" s="15" t="str">
        <f aca="false">IF($B1792="","",IF(AND($D1792="",$E1792=""),"",IF(OR($D1792="",$E1792=""),0,ROUND($D1792*$E1792,0))))</f>
        <v/>
      </c>
      <c r="G1792" s="13"/>
      <c r="H1792" s="11"/>
      <c r="I1792" s="15" t="str">
        <f aca="false">IF($F1792="","",$F1792-IF($H1792="",0,$H1792))</f>
        <v/>
      </c>
      <c r="J1792" s="16" t="str">
        <f aca="true">IF(OR($A1792="",$I1792="",$I1792&lt;=0),"",TODAY()-$A1792)</f>
        <v/>
      </c>
      <c r="K1792" s="10"/>
    </row>
    <row r="1793" customFormat="false" ht="15" hidden="false" customHeight="true" outlineLevel="0" collapsed="false">
      <c r="A1793" s="13"/>
      <c r="B1793" s="10"/>
      <c r="C1793" s="10"/>
      <c r="D1793" s="14"/>
      <c r="E1793" s="11"/>
      <c r="F1793" s="15" t="str">
        <f aca="false">IF($B1793="","",IF(AND($D1793="",$E1793=""),"",IF(OR($D1793="",$E1793=""),0,ROUND($D1793*$E1793,0))))</f>
        <v/>
      </c>
      <c r="G1793" s="13"/>
      <c r="H1793" s="11"/>
      <c r="I1793" s="15" t="str">
        <f aca="false">IF($F1793="","",$F1793-IF($H1793="",0,$H1793))</f>
        <v/>
      </c>
      <c r="J1793" s="16" t="str">
        <f aca="true">IF(OR($A1793="",$I1793="",$I1793&lt;=0),"",TODAY()-$A1793)</f>
        <v/>
      </c>
      <c r="K1793" s="10"/>
    </row>
    <row r="1794" customFormat="false" ht="15" hidden="false" customHeight="true" outlineLevel="0" collapsed="false">
      <c r="A1794" s="13"/>
      <c r="B1794" s="10"/>
      <c r="C1794" s="10"/>
      <c r="D1794" s="14"/>
      <c r="E1794" s="11"/>
      <c r="F1794" s="15" t="str">
        <f aca="false">IF($B1794="","",IF(AND($D1794="",$E1794=""),"",IF(OR($D1794="",$E1794=""),0,ROUND($D1794*$E1794,0))))</f>
        <v/>
      </c>
      <c r="G1794" s="13"/>
      <c r="H1794" s="11"/>
      <c r="I1794" s="15" t="str">
        <f aca="false">IF($F1794="","",$F1794-IF($H1794="",0,$H1794))</f>
        <v/>
      </c>
      <c r="J1794" s="16" t="str">
        <f aca="true">IF(OR($A1794="",$I1794="",$I1794&lt;=0),"",TODAY()-$A1794)</f>
        <v/>
      </c>
      <c r="K1794" s="10"/>
    </row>
    <row r="1795" customFormat="false" ht="15" hidden="false" customHeight="true" outlineLevel="0" collapsed="false">
      <c r="A1795" s="13"/>
      <c r="B1795" s="10"/>
      <c r="C1795" s="10"/>
      <c r="D1795" s="14"/>
      <c r="E1795" s="11"/>
      <c r="F1795" s="15" t="str">
        <f aca="false">IF($B1795="","",IF(AND($D1795="",$E1795=""),"",IF(OR($D1795="",$E1795=""),0,ROUND($D1795*$E1795,0))))</f>
        <v/>
      </c>
      <c r="G1795" s="13"/>
      <c r="H1795" s="11"/>
      <c r="I1795" s="15" t="str">
        <f aca="false">IF($F1795="","",$F1795-IF($H1795="",0,$H1795))</f>
        <v/>
      </c>
      <c r="J1795" s="16" t="str">
        <f aca="true">IF(OR($A1795="",$I1795="",$I1795&lt;=0),"",TODAY()-$A1795)</f>
        <v/>
      </c>
      <c r="K1795" s="10"/>
    </row>
    <row r="1796" customFormat="false" ht="15" hidden="false" customHeight="true" outlineLevel="0" collapsed="false">
      <c r="A1796" s="13"/>
      <c r="B1796" s="10"/>
      <c r="C1796" s="10"/>
      <c r="D1796" s="14"/>
      <c r="E1796" s="11"/>
      <c r="F1796" s="15" t="str">
        <f aca="false">IF($B1796="","",IF(AND($D1796="",$E1796=""),"",IF(OR($D1796="",$E1796=""),0,ROUND($D1796*$E1796,0))))</f>
        <v/>
      </c>
      <c r="G1796" s="13"/>
      <c r="H1796" s="11"/>
      <c r="I1796" s="15" t="str">
        <f aca="false">IF($F1796="","",$F1796-IF($H1796="",0,$H1796))</f>
        <v/>
      </c>
      <c r="J1796" s="16" t="str">
        <f aca="true">IF(OR($A1796="",$I1796="",$I1796&lt;=0),"",TODAY()-$A1796)</f>
        <v/>
      </c>
      <c r="K1796" s="10"/>
    </row>
    <row r="1797" customFormat="false" ht="15" hidden="false" customHeight="true" outlineLevel="0" collapsed="false">
      <c r="A1797" s="13"/>
      <c r="B1797" s="10"/>
      <c r="C1797" s="10"/>
      <c r="D1797" s="14"/>
      <c r="E1797" s="11"/>
      <c r="F1797" s="15" t="str">
        <f aca="false">IF($B1797="","",IF(AND($D1797="",$E1797=""),"",IF(OR($D1797="",$E1797=""),0,ROUND($D1797*$E1797,0))))</f>
        <v/>
      </c>
      <c r="G1797" s="13"/>
      <c r="H1797" s="11"/>
      <c r="I1797" s="15" t="str">
        <f aca="false">IF($F1797="","",$F1797-IF($H1797="",0,$H1797))</f>
        <v/>
      </c>
      <c r="J1797" s="16" t="str">
        <f aca="true">IF(OR($A1797="",$I1797="",$I1797&lt;=0),"",TODAY()-$A1797)</f>
        <v/>
      </c>
      <c r="K1797" s="10"/>
    </row>
    <row r="1798" customFormat="false" ht="15" hidden="false" customHeight="true" outlineLevel="0" collapsed="false">
      <c r="A1798" s="13"/>
      <c r="B1798" s="10"/>
      <c r="C1798" s="10"/>
      <c r="D1798" s="14"/>
      <c r="E1798" s="11"/>
      <c r="F1798" s="15" t="str">
        <f aca="false">IF($B1798="","",IF(AND($D1798="",$E1798=""),"",IF(OR($D1798="",$E1798=""),0,ROUND($D1798*$E1798,0))))</f>
        <v/>
      </c>
      <c r="G1798" s="13"/>
      <c r="H1798" s="11"/>
      <c r="I1798" s="15" t="str">
        <f aca="false">IF($F1798="","",$F1798-IF($H1798="",0,$H1798))</f>
        <v/>
      </c>
      <c r="J1798" s="16" t="str">
        <f aca="true">IF(OR($A1798="",$I1798="",$I1798&lt;=0),"",TODAY()-$A1798)</f>
        <v/>
      </c>
      <c r="K1798" s="10"/>
    </row>
    <row r="1799" customFormat="false" ht="15" hidden="false" customHeight="true" outlineLevel="0" collapsed="false">
      <c r="A1799" s="13"/>
      <c r="B1799" s="10"/>
      <c r="C1799" s="10"/>
      <c r="D1799" s="14"/>
      <c r="E1799" s="11"/>
      <c r="F1799" s="15" t="str">
        <f aca="false">IF($B1799="","",IF(AND($D1799="",$E1799=""),"",IF(OR($D1799="",$E1799=""),0,ROUND($D1799*$E1799,0))))</f>
        <v/>
      </c>
      <c r="G1799" s="13"/>
      <c r="H1799" s="11"/>
      <c r="I1799" s="15" t="str">
        <f aca="false">IF($F1799="","",$F1799-IF($H1799="",0,$H1799))</f>
        <v/>
      </c>
      <c r="J1799" s="16" t="str">
        <f aca="true">IF(OR($A1799="",$I1799="",$I1799&lt;=0),"",TODAY()-$A1799)</f>
        <v/>
      </c>
      <c r="K1799" s="10"/>
    </row>
    <row r="1800" customFormat="false" ht="15" hidden="false" customHeight="true" outlineLevel="0" collapsed="false">
      <c r="A1800" s="13"/>
      <c r="B1800" s="10"/>
      <c r="C1800" s="10"/>
      <c r="D1800" s="14"/>
      <c r="E1800" s="11"/>
      <c r="F1800" s="15" t="str">
        <f aca="false">IF($B1800="","",IF(AND($D1800="",$E1800=""),"",IF(OR($D1800="",$E1800=""),0,ROUND($D1800*$E1800,0))))</f>
        <v/>
      </c>
      <c r="G1800" s="13"/>
      <c r="H1800" s="11"/>
      <c r="I1800" s="15" t="str">
        <f aca="false">IF($F1800="","",$F1800-IF($H1800="",0,$H1800))</f>
        <v/>
      </c>
      <c r="J1800" s="16" t="str">
        <f aca="true">IF(OR($A1800="",$I1800="",$I1800&lt;=0),"",TODAY()-$A1800)</f>
        <v/>
      </c>
      <c r="K1800" s="10"/>
    </row>
    <row r="1801" customFormat="false" ht="15" hidden="false" customHeight="true" outlineLevel="0" collapsed="false">
      <c r="A1801" s="13"/>
      <c r="B1801" s="10"/>
      <c r="C1801" s="10"/>
      <c r="D1801" s="14"/>
      <c r="E1801" s="11"/>
      <c r="F1801" s="15" t="str">
        <f aca="false">IF($B1801="","",IF(AND($D1801="",$E1801=""),"",IF(OR($D1801="",$E1801=""),0,ROUND($D1801*$E1801,0))))</f>
        <v/>
      </c>
      <c r="G1801" s="13"/>
      <c r="H1801" s="11"/>
      <c r="I1801" s="15" t="str">
        <f aca="false">IF($F1801="","",$F1801-IF($H1801="",0,$H1801))</f>
        <v/>
      </c>
      <c r="J1801" s="16" t="str">
        <f aca="true">IF(OR($A1801="",$I1801="",$I1801&lt;=0),"",TODAY()-$A1801)</f>
        <v/>
      </c>
      <c r="K1801" s="10"/>
    </row>
    <row r="1802" customFormat="false" ht="15" hidden="false" customHeight="true" outlineLevel="0" collapsed="false">
      <c r="A1802" s="13"/>
      <c r="B1802" s="10"/>
      <c r="C1802" s="10"/>
      <c r="D1802" s="14"/>
      <c r="E1802" s="11"/>
      <c r="F1802" s="15" t="str">
        <f aca="false">IF($B1802="","",IF(AND($D1802="",$E1802=""),"",IF(OR($D1802="",$E1802=""),0,ROUND($D1802*$E1802,0))))</f>
        <v/>
      </c>
      <c r="G1802" s="13"/>
      <c r="H1802" s="11"/>
      <c r="I1802" s="15" t="str">
        <f aca="false">IF($F1802="","",$F1802-IF($H1802="",0,$H1802))</f>
        <v/>
      </c>
      <c r="J1802" s="16" t="str">
        <f aca="true">IF(OR($A1802="",$I1802="",$I1802&lt;=0),"",TODAY()-$A1802)</f>
        <v/>
      </c>
      <c r="K1802" s="10"/>
    </row>
    <row r="1803" customFormat="false" ht="15" hidden="false" customHeight="true" outlineLevel="0" collapsed="false">
      <c r="A1803" s="13"/>
      <c r="B1803" s="10"/>
      <c r="C1803" s="10"/>
      <c r="D1803" s="14"/>
      <c r="E1803" s="11"/>
      <c r="F1803" s="15" t="str">
        <f aca="false">IF($B1803="","",IF(AND($D1803="",$E1803=""),"",IF(OR($D1803="",$E1803=""),0,ROUND($D1803*$E1803,0))))</f>
        <v/>
      </c>
      <c r="G1803" s="13"/>
      <c r="H1803" s="11"/>
      <c r="I1803" s="15" t="str">
        <f aca="false">IF($F1803="","",$F1803-IF($H1803="",0,$H1803))</f>
        <v/>
      </c>
      <c r="J1803" s="16" t="str">
        <f aca="true">IF(OR($A1803="",$I1803="",$I1803&lt;=0),"",TODAY()-$A1803)</f>
        <v/>
      </c>
      <c r="K1803" s="10"/>
    </row>
    <row r="1804" customFormat="false" ht="15" hidden="false" customHeight="true" outlineLevel="0" collapsed="false">
      <c r="A1804" s="13"/>
      <c r="B1804" s="10"/>
      <c r="C1804" s="10"/>
      <c r="D1804" s="14"/>
      <c r="E1804" s="11"/>
      <c r="F1804" s="15" t="str">
        <f aca="false">IF($B1804="","",IF(AND($D1804="",$E1804=""),"",IF(OR($D1804="",$E1804=""),0,ROUND($D1804*$E1804,0))))</f>
        <v/>
      </c>
      <c r="G1804" s="13"/>
      <c r="H1804" s="11"/>
      <c r="I1804" s="15" t="str">
        <f aca="false">IF($F1804="","",$F1804-IF($H1804="",0,$H1804))</f>
        <v/>
      </c>
      <c r="J1804" s="16" t="str">
        <f aca="true">IF(OR($A1804="",$I1804="",$I1804&lt;=0),"",TODAY()-$A1804)</f>
        <v/>
      </c>
      <c r="K1804" s="10"/>
    </row>
    <row r="1805" customFormat="false" ht="15" hidden="false" customHeight="true" outlineLevel="0" collapsed="false">
      <c r="A1805" s="13"/>
      <c r="B1805" s="10"/>
      <c r="C1805" s="10"/>
      <c r="D1805" s="14"/>
      <c r="E1805" s="11"/>
      <c r="F1805" s="15" t="str">
        <f aca="false">IF($B1805="","",IF(AND($D1805="",$E1805=""),"",IF(OR($D1805="",$E1805=""),0,ROUND($D1805*$E1805,0))))</f>
        <v/>
      </c>
      <c r="G1805" s="13"/>
      <c r="H1805" s="11"/>
      <c r="I1805" s="15" t="str">
        <f aca="false">IF($F1805="","",$F1805-IF($H1805="",0,$H1805))</f>
        <v/>
      </c>
      <c r="J1805" s="16" t="str">
        <f aca="true">IF(OR($A1805="",$I1805="",$I1805&lt;=0),"",TODAY()-$A1805)</f>
        <v/>
      </c>
      <c r="K1805" s="10"/>
    </row>
    <row r="1806" customFormat="false" ht="15" hidden="false" customHeight="true" outlineLevel="0" collapsed="false">
      <c r="A1806" s="13"/>
      <c r="B1806" s="10"/>
      <c r="C1806" s="10"/>
      <c r="D1806" s="14"/>
      <c r="E1806" s="11"/>
      <c r="F1806" s="15" t="str">
        <f aca="false">IF($B1806="","",IF(AND($D1806="",$E1806=""),"",IF(OR($D1806="",$E1806=""),0,ROUND($D1806*$E1806,0))))</f>
        <v/>
      </c>
      <c r="G1806" s="13"/>
      <c r="H1806" s="11"/>
      <c r="I1806" s="15" t="str">
        <f aca="false">IF($F1806="","",$F1806-IF($H1806="",0,$H1806))</f>
        <v/>
      </c>
      <c r="J1806" s="16" t="str">
        <f aca="true">IF(OR($A1806="",$I1806="",$I1806&lt;=0),"",TODAY()-$A1806)</f>
        <v/>
      </c>
      <c r="K1806" s="10"/>
    </row>
    <row r="1807" customFormat="false" ht="15" hidden="false" customHeight="true" outlineLevel="0" collapsed="false">
      <c r="A1807" s="13"/>
      <c r="B1807" s="10"/>
      <c r="C1807" s="10"/>
      <c r="D1807" s="14"/>
      <c r="E1807" s="11"/>
      <c r="F1807" s="15" t="str">
        <f aca="false">IF($B1807="","",IF(AND($D1807="",$E1807=""),"",IF(OR($D1807="",$E1807=""),0,ROUND($D1807*$E1807,0))))</f>
        <v/>
      </c>
      <c r="G1807" s="13"/>
      <c r="H1807" s="11"/>
      <c r="I1807" s="15" t="str">
        <f aca="false">IF($F1807="","",$F1807-IF($H1807="",0,$H1807))</f>
        <v/>
      </c>
      <c r="J1807" s="16" t="str">
        <f aca="true">IF(OR($A1807="",$I1807="",$I1807&lt;=0),"",TODAY()-$A1807)</f>
        <v/>
      </c>
      <c r="K1807" s="10"/>
    </row>
    <row r="1808" customFormat="false" ht="15" hidden="false" customHeight="true" outlineLevel="0" collapsed="false">
      <c r="A1808" s="13"/>
      <c r="B1808" s="10"/>
      <c r="C1808" s="10"/>
      <c r="D1808" s="14"/>
      <c r="E1808" s="11"/>
      <c r="F1808" s="15" t="str">
        <f aca="false">IF($B1808="","",IF(AND($D1808="",$E1808=""),"",IF(OR($D1808="",$E1808=""),0,ROUND($D1808*$E1808,0))))</f>
        <v/>
      </c>
      <c r="G1808" s="13"/>
      <c r="H1808" s="11"/>
      <c r="I1808" s="15" t="str">
        <f aca="false">IF($F1808="","",$F1808-IF($H1808="",0,$H1808))</f>
        <v/>
      </c>
      <c r="J1808" s="16" t="str">
        <f aca="true">IF(OR($A1808="",$I1808="",$I1808&lt;=0),"",TODAY()-$A1808)</f>
        <v/>
      </c>
      <c r="K1808" s="10"/>
    </row>
    <row r="1809" customFormat="false" ht="15" hidden="false" customHeight="true" outlineLevel="0" collapsed="false">
      <c r="A1809" s="13"/>
      <c r="B1809" s="10"/>
      <c r="C1809" s="10"/>
      <c r="D1809" s="14"/>
      <c r="E1809" s="11"/>
      <c r="F1809" s="15" t="str">
        <f aca="false">IF($B1809="","",IF(AND($D1809="",$E1809=""),"",IF(OR($D1809="",$E1809=""),0,ROUND($D1809*$E1809,0))))</f>
        <v/>
      </c>
      <c r="G1809" s="13"/>
      <c r="H1809" s="11"/>
      <c r="I1809" s="15" t="str">
        <f aca="false">IF($F1809="","",$F1809-IF($H1809="",0,$H1809))</f>
        <v/>
      </c>
      <c r="J1809" s="16" t="str">
        <f aca="true">IF(OR($A1809="",$I1809="",$I1809&lt;=0),"",TODAY()-$A1809)</f>
        <v/>
      </c>
      <c r="K1809" s="10"/>
    </row>
    <row r="1810" customFormat="false" ht="15" hidden="false" customHeight="true" outlineLevel="0" collapsed="false">
      <c r="A1810" s="13"/>
      <c r="B1810" s="10"/>
      <c r="C1810" s="10"/>
      <c r="D1810" s="14"/>
      <c r="E1810" s="11"/>
      <c r="F1810" s="15" t="str">
        <f aca="false">IF($B1810="","",IF(AND($D1810="",$E1810=""),"",IF(OR($D1810="",$E1810=""),0,ROUND($D1810*$E1810,0))))</f>
        <v/>
      </c>
      <c r="G1810" s="13"/>
      <c r="H1810" s="11"/>
      <c r="I1810" s="15" t="str">
        <f aca="false">IF($F1810="","",$F1810-IF($H1810="",0,$H1810))</f>
        <v/>
      </c>
      <c r="J1810" s="16" t="str">
        <f aca="true">IF(OR($A1810="",$I1810="",$I1810&lt;=0),"",TODAY()-$A1810)</f>
        <v/>
      </c>
      <c r="K1810" s="10"/>
    </row>
    <row r="1811" customFormat="false" ht="15" hidden="false" customHeight="true" outlineLevel="0" collapsed="false">
      <c r="A1811" s="13"/>
      <c r="B1811" s="10"/>
      <c r="C1811" s="10"/>
      <c r="D1811" s="14"/>
      <c r="E1811" s="11"/>
      <c r="F1811" s="15" t="str">
        <f aca="false">IF($B1811="","",IF(AND($D1811="",$E1811=""),"",IF(OR($D1811="",$E1811=""),0,ROUND($D1811*$E1811,0))))</f>
        <v/>
      </c>
      <c r="G1811" s="13"/>
      <c r="H1811" s="11"/>
      <c r="I1811" s="15" t="str">
        <f aca="false">IF($F1811="","",$F1811-IF($H1811="",0,$H1811))</f>
        <v/>
      </c>
      <c r="J1811" s="16" t="str">
        <f aca="true">IF(OR($A1811="",$I1811="",$I1811&lt;=0),"",TODAY()-$A1811)</f>
        <v/>
      </c>
      <c r="K1811" s="10"/>
    </row>
    <row r="1812" customFormat="false" ht="15" hidden="false" customHeight="true" outlineLevel="0" collapsed="false">
      <c r="A1812" s="13"/>
      <c r="B1812" s="10"/>
      <c r="C1812" s="10"/>
      <c r="D1812" s="14"/>
      <c r="E1812" s="11"/>
      <c r="F1812" s="15" t="str">
        <f aca="false">IF($B1812="","",IF(AND($D1812="",$E1812=""),"",IF(OR($D1812="",$E1812=""),0,ROUND($D1812*$E1812,0))))</f>
        <v/>
      </c>
      <c r="G1812" s="13"/>
      <c r="H1812" s="11"/>
      <c r="I1812" s="15" t="str">
        <f aca="false">IF($F1812="","",$F1812-IF($H1812="",0,$H1812))</f>
        <v/>
      </c>
      <c r="J1812" s="16" t="str">
        <f aca="true">IF(OR($A1812="",$I1812="",$I1812&lt;=0),"",TODAY()-$A1812)</f>
        <v/>
      </c>
      <c r="K1812" s="10"/>
    </row>
    <row r="1813" customFormat="false" ht="15" hidden="false" customHeight="true" outlineLevel="0" collapsed="false">
      <c r="A1813" s="13"/>
      <c r="B1813" s="10"/>
      <c r="C1813" s="10"/>
      <c r="D1813" s="14"/>
      <c r="E1813" s="11"/>
      <c r="F1813" s="15" t="str">
        <f aca="false">IF($B1813="","",IF(AND($D1813="",$E1813=""),"",IF(OR($D1813="",$E1813=""),0,ROUND($D1813*$E1813,0))))</f>
        <v/>
      </c>
      <c r="G1813" s="13"/>
      <c r="H1813" s="11"/>
      <c r="I1813" s="15" t="str">
        <f aca="false">IF($F1813="","",$F1813-IF($H1813="",0,$H1813))</f>
        <v/>
      </c>
      <c r="J1813" s="16" t="str">
        <f aca="true">IF(OR($A1813="",$I1813="",$I1813&lt;=0),"",TODAY()-$A1813)</f>
        <v/>
      </c>
      <c r="K1813" s="10"/>
    </row>
    <row r="1814" customFormat="false" ht="15" hidden="false" customHeight="true" outlineLevel="0" collapsed="false">
      <c r="A1814" s="13"/>
      <c r="B1814" s="10"/>
      <c r="C1814" s="10"/>
      <c r="D1814" s="14"/>
      <c r="E1814" s="11"/>
      <c r="F1814" s="15" t="str">
        <f aca="false">IF($B1814="","",IF(AND($D1814="",$E1814=""),"",IF(OR($D1814="",$E1814=""),0,ROUND($D1814*$E1814,0))))</f>
        <v/>
      </c>
      <c r="G1814" s="13"/>
      <c r="H1814" s="11"/>
      <c r="I1814" s="15" t="str">
        <f aca="false">IF($F1814="","",$F1814-IF($H1814="",0,$H1814))</f>
        <v/>
      </c>
      <c r="J1814" s="16" t="str">
        <f aca="true">IF(OR($A1814="",$I1814="",$I1814&lt;=0),"",TODAY()-$A1814)</f>
        <v/>
      </c>
      <c r="K1814" s="10"/>
    </row>
    <row r="1815" customFormat="false" ht="15" hidden="false" customHeight="true" outlineLevel="0" collapsed="false">
      <c r="A1815" s="13"/>
      <c r="B1815" s="10"/>
      <c r="C1815" s="10"/>
      <c r="D1815" s="14"/>
      <c r="E1815" s="11"/>
      <c r="F1815" s="15" t="str">
        <f aca="false">IF($B1815="","",IF(AND($D1815="",$E1815=""),"",IF(OR($D1815="",$E1815=""),0,ROUND($D1815*$E1815,0))))</f>
        <v/>
      </c>
      <c r="G1815" s="13"/>
      <c r="H1815" s="11"/>
      <c r="I1815" s="15" t="str">
        <f aca="false">IF($F1815="","",$F1815-IF($H1815="",0,$H1815))</f>
        <v/>
      </c>
      <c r="J1815" s="16" t="str">
        <f aca="true">IF(OR($A1815="",$I1815="",$I1815&lt;=0),"",TODAY()-$A1815)</f>
        <v/>
      </c>
      <c r="K1815" s="10"/>
    </row>
    <row r="1816" customFormat="false" ht="15" hidden="false" customHeight="true" outlineLevel="0" collapsed="false">
      <c r="A1816" s="13"/>
      <c r="B1816" s="10"/>
      <c r="C1816" s="10"/>
      <c r="D1816" s="14"/>
      <c r="E1816" s="11"/>
      <c r="F1816" s="15" t="str">
        <f aca="false">IF($B1816="","",IF(AND($D1816="",$E1816=""),"",IF(OR($D1816="",$E1816=""),0,ROUND($D1816*$E1816,0))))</f>
        <v/>
      </c>
      <c r="G1816" s="13"/>
      <c r="H1816" s="11"/>
      <c r="I1816" s="15" t="str">
        <f aca="false">IF($F1816="","",$F1816-IF($H1816="",0,$H1816))</f>
        <v/>
      </c>
      <c r="J1816" s="16" t="str">
        <f aca="true">IF(OR($A1816="",$I1816="",$I1816&lt;=0),"",TODAY()-$A1816)</f>
        <v/>
      </c>
      <c r="K1816" s="10"/>
    </row>
    <row r="1817" customFormat="false" ht="15" hidden="false" customHeight="true" outlineLevel="0" collapsed="false">
      <c r="A1817" s="13"/>
      <c r="B1817" s="10"/>
      <c r="C1817" s="10"/>
      <c r="D1817" s="14"/>
      <c r="E1817" s="11"/>
      <c r="F1817" s="15" t="str">
        <f aca="false">IF($B1817="","",IF(AND($D1817="",$E1817=""),"",IF(OR($D1817="",$E1817=""),0,ROUND($D1817*$E1817,0))))</f>
        <v/>
      </c>
      <c r="G1817" s="13"/>
      <c r="H1817" s="11"/>
      <c r="I1817" s="15" t="str">
        <f aca="false">IF($F1817="","",$F1817-IF($H1817="",0,$H1817))</f>
        <v/>
      </c>
      <c r="J1817" s="16" t="str">
        <f aca="true">IF(OR($A1817="",$I1817="",$I1817&lt;=0),"",TODAY()-$A1817)</f>
        <v/>
      </c>
      <c r="K1817" s="10"/>
    </row>
    <row r="1818" customFormat="false" ht="15" hidden="false" customHeight="true" outlineLevel="0" collapsed="false">
      <c r="A1818" s="13"/>
      <c r="B1818" s="10"/>
      <c r="C1818" s="10"/>
      <c r="D1818" s="14"/>
      <c r="E1818" s="11"/>
      <c r="F1818" s="15" t="str">
        <f aca="false">IF($B1818="","",IF(AND($D1818="",$E1818=""),"",IF(OR($D1818="",$E1818=""),0,ROUND($D1818*$E1818,0))))</f>
        <v/>
      </c>
      <c r="G1818" s="13"/>
      <c r="H1818" s="11"/>
      <c r="I1818" s="15" t="str">
        <f aca="false">IF($F1818="","",$F1818-IF($H1818="",0,$H1818))</f>
        <v/>
      </c>
      <c r="J1818" s="16" t="str">
        <f aca="true">IF(OR($A1818="",$I1818="",$I1818&lt;=0),"",TODAY()-$A1818)</f>
        <v/>
      </c>
      <c r="K1818" s="10"/>
    </row>
    <row r="1819" customFormat="false" ht="15" hidden="false" customHeight="true" outlineLevel="0" collapsed="false">
      <c r="A1819" s="13"/>
      <c r="B1819" s="10"/>
      <c r="C1819" s="10"/>
      <c r="D1819" s="14"/>
      <c r="E1819" s="11"/>
      <c r="F1819" s="15" t="str">
        <f aca="false">IF($B1819="","",IF(AND($D1819="",$E1819=""),"",IF(OR($D1819="",$E1819=""),0,ROUND($D1819*$E1819,0))))</f>
        <v/>
      </c>
      <c r="G1819" s="13"/>
      <c r="H1819" s="11"/>
      <c r="I1819" s="15" t="str">
        <f aca="false">IF($F1819="","",$F1819-IF($H1819="",0,$H1819))</f>
        <v/>
      </c>
      <c r="J1819" s="16" t="str">
        <f aca="true">IF(OR($A1819="",$I1819="",$I1819&lt;=0),"",TODAY()-$A1819)</f>
        <v/>
      </c>
      <c r="K1819" s="10"/>
    </row>
    <row r="1820" customFormat="false" ht="15" hidden="false" customHeight="true" outlineLevel="0" collapsed="false">
      <c r="A1820" s="13"/>
      <c r="B1820" s="10"/>
      <c r="C1820" s="10"/>
      <c r="D1820" s="14"/>
      <c r="E1820" s="11"/>
      <c r="F1820" s="15" t="str">
        <f aca="false">IF($B1820="","",IF(AND($D1820="",$E1820=""),"",IF(OR($D1820="",$E1820=""),0,ROUND($D1820*$E1820,0))))</f>
        <v/>
      </c>
      <c r="G1820" s="13"/>
      <c r="H1820" s="11"/>
      <c r="I1820" s="15" t="str">
        <f aca="false">IF($F1820="","",$F1820-IF($H1820="",0,$H1820))</f>
        <v/>
      </c>
      <c r="J1820" s="16" t="str">
        <f aca="true">IF(OR($A1820="",$I1820="",$I1820&lt;=0),"",TODAY()-$A1820)</f>
        <v/>
      </c>
      <c r="K1820" s="10"/>
    </row>
    <row r="1821" customFormat="false" ht="15" hidden="false" customHeight="true" outlineLevel="0" collapsed="false">
      <c r="A1821" s="13"/>
      <c r="B1821" s="10"/>
      <c r="C1821" s="10"/>
      <c r="D1821" s="14"/>
      <c r="E1821" s="11"/>
      <c r="F1821" s="15" t="str">
        <f aca="false">IF($B1821="","",IF(AND($D1821="",$E1821=""),"",IF(OR($D1821="",$E1821=""),0,ROUND($D1821*$E1821,0))))</f>
        <v/>
      </c>
      <c r="G1821" s="13"/>
      <c r="H1821" s="11"/>
      <c r="I1821" s="15" t="str">
        <f aca="false">IF($F1821="","",$F1821-IF($H1821="",0,$H1821))</f>
        <v/>
      </c>
      <c r="J1821" s="16" t="str">
        <f aca="true">IF(OR($A1821="",$I1821="",$I1821&lt;=0),"",TODAY()-$A1821)</f>
        <v/>
      </c>
      <c r="K1821" s="10"/>
    </row>
    <row r="1822" customFormat="false" ht="15" hidden="false" customHeight="true" outlineLevel="0" collapsed="false">
      <c r="A1822" s="13"/>
      <c r="B1822" s="10"/>
      <c r="C1822" s="10"/>
      <c r="D1822" s="14"/>
      <c r="E1822" s="11"/>
      <c r="F1822" s="15" t="str">
        <f aca="false">IF($B1822="","",IF(AND($D1822="",$E1822=""),"",IF(OR($D1822="",$E1822=""),0,ROUND($D1822*$E1822,0))))</f>
        <v/>
      </c>
      <c r="G1822" s="13"/>
      <c r="H1822" s="11"/>
      <c r="I1822" s="15" t="str">
        <f aca="false">IF($F1822="","",$F1822-IF($H1822="",0,$H1822))</f>
        <v/>
      </c>
      <c r="J1822" s="16" t="str">
        <f aca="true">IF(OR($A1822="",$I1822="",$I1822&lt;=0),"",TODAY()-$A1822)</f>
        <v/>
      </c>
      <c r="K1822" s="10"/>
    </row>
    <row r="1823" customFormat="false" ht="15" hidden="false" customHeight="true" outlineLevel="0" collapsed="false">
      <c r="A1823" s="13"/>
      <c r="B1823" s="10"/>
      <c r="C1823" s="10"/>
      <c r="D1823" s="14"/>
      <c r="E1823" s="11"/>
      <c r="F1823" s="15" t="str">
        <f aca="false">IF($B1823="","",IF(AND($D1823="",$E1823=""),"",IF(OR($D1823="",$E1823=""),0,ROUND($D1823*$E1823,0))))</f>
        <v/>
      </c>
      <c r="G1823" s="13"/>
      <c r="H1823" s="11"/>
      <c r="I1823" s="15" t="str">
        <f aca="false">IF($F1823="","",$F1823-IF($H1823="",0,$H1823))</f>
        <v/>
      </c>
      <c r="J1823" s="16" t="str">
        <f aca="true">IF(OR($A1823="",$I1823="",$I1823&lt;=0),"",TODAY()-$A1823)</f>
        <v/>
      </c>
      <c r="K1823" s="10"/>
    </row>
    <row r="1824" customFormat="false" ht="15" hidden="false" customHeight="true" outlineLevel="0" collapsed="false">
      <c r="A1824" s="13"/>
      <c r="B1824" s="10"/>
      <c r="C1824" s="10"/>
      <c r="D1824" s="14"/>
      <c r="E1824" s="11"/>
      <c r="F1824" s="15" t="str">
        <f aca="false">IF($B1824="","",IF(AND($D1824="",$E1824=""),"",IF(OR($D1824="",$E1824=""),0,ROUND($D1824*$E1824,0))))</f>
        <v/>
      </c>
      <c r="G1824" s="13"/>
      <c r="H1824" s="11"/>
      <c r="I1824" s="15" t="str">
        <f aca="false">IF($F1824="","",$F1824-IF($H1824="",0,$H1824))</f>
        <v/>
      </c>
      <c r="J1824" s="16" t="str">
        <f aca="true">IF(OR($A1824="",$I1824="",$I1824&lt;=0),"",TODAY()-$A1824)</f>
        <v/>
      </c>
      <c r="K1824" s="10"/>
    </row>
    <row r="1825" customFormat="false" ht="15" hidden="false" customHeight="true" outlineLevel="0" collapsed="false">
      <c r="A1825" s="13"/>
      <c r="B1825" s="10"/>
      <c r="C1825" s="10"/>
      <c r="D1825" s="14"/>
      <c r="E1825" s="11"/>
      <c r="F1825" s="15" t="str">
        <f aca="false">IF($B1825="","",IF(AND($D1825="",$E1825=""),"",IF(OR($D1825="",$E1825=""),0,ROUND($D1825*$E1825,0))))</f>
        <v/>
      </c>
      <c r="G1825" s="13"/>
      <c r="H1825" s="11"/>
      <c r="I1825" s="15" t="str">
        <f aca="false">IF($F1825="","",$F1825-IF($H1825="",0,$H1825))</f>
        <v/>
      </c>
      <c r="J1825" s="16" t="str">
        <f aca="true">IF(OR($A1825="",$I1825="",$I1825&lt;=0),"",TODAY()-$A1825)</f>
        <v/>
      </c>
      <c r="K1825" s="10"/>
    </row>
    <row r="1826" customFormat="false" ht="15" hidden="false" customHeight="true" outlineLevel="0" collapsed="false">
      <c r="A1826" s="13"/>
      <c r="B1826" s="10"/>
      <c r="C1826" s="10"/>
      <c r="D1826" s="14"/>
      <c r="E1826" s="11"/>
      <c r="F1826" s="15" t="str">
        <f aca="false">IF($B1826="","",IF(AND($D1826="",$E1826=""),"",IF(OR($D1826="",$E1826=""),0,ROUND($D1826*$E1826,0))))</f>
        <v/>
      </c>
      <c r="G1826" s="13"/>
      <c r="H1826" s="11"/>
      <c r="I1826" s="15" t="str">
        <f aca="false">IF($F1826="","",$F1826-IF($H1826="",0,$H1826))</f>
        <v/>
      </c>
      <c r="J1826" s="16" t="str">
        <f aca="true">IF(OR($A1826="",$I1826="",$I1826&lt;=0),"",TODAY()-$A1826)</f>
        <v/>
      </c>
      <c r="K1826" s="10"/>
    </row>
    <row r="1827" customFormat="false" ht="15" hidden="false" customHeight="true" outlineLevel="0" collapsed="false">
      <c r="A1827" s="13"/>
      <c r="B1827" s="10"/>
      <c r="C1827" s="10"/>
      <c r="D1827" s="14"/>
      <c r="E1827" s="11"/>
      <c r="F1827" s="15" t="str">
        <f aca="false">IF($B1827="","",IF(AND($D1827="",$E1827=""),"",IF(OR($D1827="",$E1827=""),0,ROUND($D1827*$E1827,0))))</f>
        <v/>
      </c>
      <c r="G1827" s="13"/>
      <c r="H1827" s="11"/>
      <c r="I1827" s="15" t="str">
        <f aca="false">IF($F1827="","",$F1827-IF($H1827="",0,$H1827))</f>
        <v/>
      </c>
      <c r="J1827" s="16" t="str">
        <f aca="true">IF(OR($A1827="",$I1827="",$I1827&lt;=0),"",TODAY()-$A1827)</f>
        <v/>
      </c>
      <c r="K1827" s="10"/>
    </row>
    <row r="1828" customFormat="false" ht="15" hidden="false" customHeight="true" outlineLevel="0" collapsed="false">
      <c r="A1828" s="13"/>
      <c r="B1828" s="10"/>
      <c r="C1828" s="10"/>
      <c r="D1828" s="14"/>
      <c r="E1828" s="11"/>
      <c r="F1828" s="15" t="str">
        <f aca="false">IF($B1828="","",IF(AND($D1828="",$E1828=""),"",IF(OR($D1828="",$E1828=""),0,ROUND($D1828*$E1828,0))))</f>
        <v/>
      </c>
      <c r="G1828" s="13"/>
      <c r="H1828" s="11"/>
      <c r="I1828" s="15" t="str">
        <f aca="false">IF($F1828="","",$F1828-IF($H1828="",0,$H1828))</f>
        <v/>
      </c>
      <c r="J1828" s="16" t="str">
        <f aca="true">IF(OR($A1828="",$I1828="",$I1828&lt;=0),"",TODAY()-$A1828)</f>
        <v/>
      </c>
      <c r="K1828" s="10"/>
    </row>
    <row r="1829" customFormat="false" ht="15" hidden="false" customHeight="true" outlineLevel="0" collapsed="false">
      <c r="A1829" s="13"/>
      <c r="B1829" s="10"/>
      <c r="C1829" s="10"/>
      <c r="D1829" s="14"/>
      <c r="E1829" s="11"/>
      <c r="F1829" s="15" t="str">
        <f aca="false">IF($B1829="","",IF(AND($D1829="",$E1829=""),"",IF(OR($D1829="",$E1829=""),0,ROUND($D1829*$E1829,0))))</f>
        <v/>
      </c>
      <c r="G1829" s="13"/>
      <c r="H1829" s="11"/>
      <c r="I1829" s="15" t="str">
        <f aca="false">IF($F1829="","",$F1829-IF($H1829="",0,$H1829))</f>
        <v/>
      </c>
      <c r="J1829" s="16" t="str">
        <f aca="true">IF(OR($A1829="",$I1829="",$I1829&lt;=0),"",TODAY()-$A1829)</f>
        <v/>
      </c>
      <c r="K1829" s="10"/>
    </row>
    <row r="1830" customFormat="false" ht="15" hidden="false" customHeight="true" outlineLevel="0" collapsed="false">
      <c r="A1830" s="13"/>
      <c r="B1830" s="10"/>
      <c r="C1830" s="10"/>
      <c r="D1830" s="14"/>
      <c r="E1830" s="11"/>
      <c r="F1830" s="15" t="str">
        <f aca="false">IF($B1830="","",IF(AND($D1830="",$E1830=""),"",IF(OR($D1830="",$E1830=""),0,ROUND($D1830*$E1830,0))))</f>
        <v/>
      </c>
      <c r="G1830" s="13"/>
      <c r="H1830" s="11"/>
      <c r="I1830" s="15" t="str">
        <f aca="false">IF($F1830="","",$F1830-IF($H1830="",0,$H1830))</f>
        <v/>
      </c>
      <c r="J1830" s="16" t="str">
        <f aca="true">IF(OR($A1830="",$I1830="",$I1830&lt;=0),"",TODAY()-$A1830)</f>
        <v/>
      </c>
      <c r="K1830" s="10"/>
    </row>
    <row r="1831" customFormat="false" ht="15" hidden="false" customHeight="true" outlineLevel="0" collapsed="false">
      <c r="A1831" s="13"/>
      <c r="B1831" s="10"/>
      <c r="C1831" s="10"/>
      <c r="D1831" s="14"/>
      <c r="E1831" s="11"/>
      <c r="F1831" s="15" t="str">
        <f aca="false">IF($B1831="","",IF(AND($D1831="",$E1831=""),"",IF(OR($D1831="",$E1831=""),0,ROUND($D1831*$E1831,0))))</f>
        <v/>
      </c>
      <c r="G1831" s="13"/>
      <c r="H1831" s="11"/>
      <c r="I1831" s="15" t="str">
        <f aca="false">IF($F1831="","",$F1831-IF($H1831="",0,$H1831))</f>
        <v/>
      </c>
      <c r="J1831" s="16" t="str">
        <f aca="true">IF(OR($A1831="",$I1831="",$I1831&lt;=0),"",TODAY()-$A1831)</f>
        <v/>
      </c>
      <c r="K1831" s="10"/>
    </row>
    <row r="1832" customFormat="false" ht="15" hidden="false" customHeight="true" outlineLevel="0" collapsed="false">
      <c r="A1832" s="13"/>
      <c r="B1832" s="10"/>
      <c r="C1832" s="10"/>
      <c r="D1832" s="14"/>
      <c r="E1832" s="11"/>
      <c r="F1832" s="15" t="str">
        <f aca="false">IF($B1832="","",IF(AND($D1832="",$E1832=""),"",IF(OR($D1832="",$E1832=""),0,ROUND($D1832*$E1832,0))))</f>
        <v/>
      </c>
      <c r="G1832" s="13"/>
      <c r="H1832" s="11"/>
      <c r="I1832" s="15" t="str">
        <f aca="false">IF($F1832="","",$F1832-IF($H1832="",0,$H1832))</f>
        <v/>
      </c>
      <c r="J1832" s="16" t="str">
        <f aca="true">IF(OR($A1832="",$I1832="",$I1832&lt;=0),"",TODAY()-$A1832)</f>
        <v/>
      </c>
      <c r="K1832" s="10"/>
    </row>
    <row r="1833" customFormat="false" ht="15" hidden="false" customHeight="true" outlineLevel="0" collapsed="false">
      <c r="A1833" s="13"/>
      <c r="B1833" s="10"/>
      <c r="C1833" s="10"/>
      <c r="D1833" s="14"/>
      <c r="E1833" s="11"/>
      <c r="F1833" s="15" t="str">
        <f aca="false">IF($B1833="","",IF(AND($D1833="",$E1833=""),"",IF(OR($D1833="",$E1833=""),0,ROUND($D1833*$E1833,0))))</f>
        <v/>
      </c>
      <c r="G1833" s="13"/>
      <c r="H1833" s="11"/>
      <c r="I1833" s="15" t="str">
        <f aca="false">IF($F1833="","",$F1833-IF($H1833="",0,$H1833))</f>
        <v/>
      </c>
      <c r="J1833" s="16" t="str">
        <f aca="true">IF(OR($A1833="",$I1833="",$I1833&lt;=0),"",TODAY()-$A1833)</f>
        <v/>
      </c>
      <c r="K1833" s="10"/>
    </row>
    <row r="1834" customFormat="false" ht="15" hidden="false" customHeight="true" outlineLevel="0" collapsed="false">
      <c r="A1834" s="13"/>
      <c r="B1834" s="10"/>
      <c r="C1834" s="10"/>
      <c r="D1834" s="14"/>
      <c r="E1834" s="11"/>
      <c r="F1834" s="15" t="str">
        <f aca="false">IF($B1834="","",IF(AND($D1834="",$E1834=""),"",IF(OR($D1834="",$E1834=""),0,ROUND($D1834*$E1834,0))))</f>
        <v/>
      </c>
      <c r="G1834" s="13"/>
      <c r="H1834" s="11"/>
      <c r="I1834" s="15" t="str">
        <f aca="false">IF($F1834="","",$F1834-IF($H1834="",0,$H1834))</f>
        <v/>
      </c>
      <c r="J1834" s="16" t="str">
        <f aca="true">IF(OR($A1834="",$I1834="",$I1834&lt;=0),"",TODAY()-$A1834)</f>
        <v/>
      </c>
      <c r="K1834" s="10"/>
    </row>
    <row r="1835" customFormat="false" ht="15" hidden="false" customHeight="true" outlineLevel="0" collapsed="false">
      <c r="A1835" s="13"/>
      <c r="B1835" s="10"/>
      <c r="C1835" s="10"/>
      <c r="D1835" s="14"/>
      <c r="E1835" s="11"/>
      <c r="F1835" s="15" t="str">
        <f aca="false">IF($B1835="","",IF(AND($D1835="",$E1835=""),"",IF(OR($D1835="",$E1835=""),0,ROUND($D1835*$E1835,0))))</f>
        <v/>
      </c>
      <c r="G1835" s="13"/>
      <c r="H1835" s="11"/>
      <c r="I1835" s="15" t="str">
        <f aca="false">IF($F1835="","",$F1835-IF($H1835="",0,$H1835))</f>
        <v/>
      </c>
      <c r="J1835" s="16" t="str">
        <f aca="true">IF(OR($A1835="",$I1835="",$I1835&lt;=0),"",TODAY()-$A1835)</f>
        <v/>
      </c>
      <c r="K1835" s="10"/>
    </row>
    <row r="1836" customFormat="false" ht="15" hidden="false" customHeight="true" outlineLevel="0" collapsed="false">
      <c r="A1836" s="13"/>
      <c r="B1836" s="10"/>
      <c r="C1836" s="10"/>
      <c r="D1836" s="14"/>
      <c r="E1836" s="11"/>
      <c r="F1836" s="15" t="str">
        <f aca="false">IF($B1836="","",IF(AND($D1836="",$E1836=""),"",IF(OR($D1836="",$E1836=""),0,ROUND($D1836*$E1836,0))))</f>
        <v/>
      </c>
      <c r="G1836" s="13"/>
      <c r="H1836" s="11"/>
      <c r="I1836" s="15" t="str">
        <f aca="false">IF($F1836="","",$F1836-IF($H1836="",0,$H1836))</f>
        <v/>
      </c>
      <c r="J1836" s="16" t="str">
        <f aca="true">IF(OR($A1836="",$I1836="",$I1836&lt;=0),"",TODAY()-$A1836)</f>
        <v/>
      </c>
      <c r="K1836" s="10"/>
    </row>
    <row r="1837" customFormat="false" ht="15" hidden="false" customHeight="true" outlineLevel="0" collapsed="false">
      <c r="A1837" s="13"/>
      <c r="B1837" s="10"/>
      <c r="C1837" s="10"/>
      <c r="D1837" s="14"/>
      <c r="E1837" s="11"/>
      <c r="F1837" s="15" t="str">
        <f aca="false">IF($B1837="","",IF(AND($D1837="",$E1837=""),"",IF(OR($D1837="",$E1837=""),0,ROUND($D1837*$E1837,0))))</f>
        <v/>
      </c>
      <c r="G1837" s="13"/>
      <c r="H1837" s="11"/>
      <c r="I1837" s="15" t="str">
        <f aca="false">IF($F1837="","",$F1837-IF($H1837="",0,$H1837))</f>
        <v/>
      </c>
      <c r="J1837" s="16" t="str">
        <f aca="true">IF(OR($A1837="",$I1837="",$I1837&lt;=0),"",TODAY()-$A1837)</f>
        <v/>
      </c>
      <c r="K1837" s="10"/>
    </row>
    <row r="1838" customFormat="false" ht="15" hidden="false" customHeight="true" outlineLevel="0" collapsed="false">
      <c r="A1838" s="13"/>
      <c r="B1838" s="10"/>
      <c r="C1838" s="10"/>
      <c r="D1838" s="14"/>
      <c r="E1838" s="11"/>
      <c r="F1838" s="15" t="str">
        <f aca="false">IF($B1838="","",IF(AND($D1838="",$E1838=""),"",IF(OR($D1838="",$E1838=""),0,ROUND($D1838*$E1838,0))))</f>
        <v/>
      </c>
      <c r="G1838" s="13"/>
      <c r="H1838" s="11"/>
      <c r="I1838" s="15" t="str">
        <f aca="false">IF($F1838="","",$F1838-IF($H1838="",0,$H1838))</f>
        <v/>
      </c>
      <c r="J1838" s="16" t="str">
        <f aca="true">IF(OR($A1838="",$I1838="",$I1838&lt;=0),"",TODAY()-$A1838)</f>
        <v/>
      </c>
      <c r="K1838" s="10"/>
    </row>
    <row r="1839" customFormat="false" ht="15" hidden="false" customHeight="true" outlineLevel="0" collapsed="false">
      <c r="A1839" s="13"/>
      <c r="B1839" s="10"/>
      <c r="C1839" s="10"/>
      <c r="D1839" s="14"/>
      <c r="E1839" s="11"/>
      <c r="F1839" s="15" t="str">
        <f aca="false">IF($B1839="","",IF(AND($D1839="",$E1839=""),"",IF(OR($D1839="",$E1839=""),0,ROUND($D1839*$E1839,0))))</f>
        <v/>
      </c>
      <c r="G1839" s="13"/>
      <c r="H1839" s="11"/>
      <c r="I1839" s="15" t="str">
        <f aca="false">IF($F1839="","",$F1839-IF($H1839="",0,$H1839))</f>
        <v/>
      </c>
      <c r="J1839" s="16" t="str">
        <f aca="true">IF(OR($A1839="",$I1839="",$I1839&lt;=0),"",TODAY()-$A1839)</f>
        <v/>
      </c>
      <c r="K1839" s="10"/>
    </row>
    <row r="1840" customFormat="false" ht="15" hidden="false" customHeight="true" outlineLevel="0" collapsed="false">
      <c r="A1840" s="13"/>
      <c r="B1840" s="10"/>
      <c r="C1840" s="10"/>
      <c r="D1840" s="14"/>
      <c r="E1840" s="11"/>
      <c r="F1840" s="15" t="str">
        <f aca="false">IF($B1840="","",IF(AND($D1840="",$E1840=""),"",IF(OR($D1840="",$E1840=""),0,ROUND($D1840*$E1840,0))))</f>
        <v/>
      </c>
      <c r="G1840" s="13"/>
      <c r="H1840" s="11"/>
      <c r="I1840" s="15" t="str">
        <f aca="false">IF($F1840="","",$F1840-IF($H1840="",0,$H1840))</f>
        <v/>
      </c>
      <c r="J1840" s="16" t="str">
        <f aca="true">IF(OR($A1840="",$I1840="",$I1840&lt;=0),"",TODAY()-$A1840)</f>
        <v/>
      </c>
      <c r="K1840" s="10"/>
    </row>
    <row r="1841" customFormat="false" ht="15" hidden="false" customHeight="true" outlineLevel="0" collapsed="false">
      <c r="A1841" s="13"/>
      <c r="B1841" s="10"/>
      <c r="C1841" s="10"/>
      <c r="D1841" s="14"/>
      <c r="E1841" s="11"/>
      <c r="F1841" s="15" t="str">
        <f aca="false">IF($B1841="","",IF(AND($D1841="",$E1841=""),"",IF(OR($D1841="",$E1841=""),0,ROUND($D1841*$E1841,0))))</f>
        <v/>
      </c>
      <c r="G1841" s="13"/>
      <c r="H1841" s="11"/>
      <c r="I1841" s="15" t="str">
        <f aca="false">IF($F1841="","",$F1841-IF($H1841="",0,$H1841))</f>
        <v/>
      </c>
      <c r="J1841" s="16" t="str">
        <f aca="true">IF(OR($A1841="",$I1841="",$I1841&lt;=0),"",TODAY()-$A1841)</f>
        <v/>
      </c>
      <c r="K1841" s="10"/>
    </row>
    <row r="1842" customFormat="false" ht="15" hidden="false" customHeight="true" outlineLevel="0" collapsed="false">
      <c r="A1842" s="13"/>
      <c r="B1842" s="10"/>
      <c r="C1842" s="10"/>
      <c r="D1842" s="14"/>
      <c r="E1842" s="11"/>
      <c r="F1842" s="15" t="str">
        <f aca="false">IF($B1842="","",IF(AND($D1842="",$E1842=""),"",IF(OR($D1842="",$E1842=""),0,ROUND($D1842*$E1842,0))))</f>
        <v/>
      </c>
      <c r="G1842" s="13"/>
      <c r="H1842" s="11"/>
      <c r="I1842" s="15" t="str">
        <f aca="false">IF($F1842="","",$F1842-IF($H1842="",0,$H1842))</f>
        <v/>
      </c>
      <c r="J1842" s="16" t="str">
        <f aca="true">IF(OR($A1842="",$I1842="",$I1842&lt;=0),"",TODAY()-$A1842)</f>
        <v/>
      </c>
      <c r="K1842" s="10"/>
    </row>
    <row r="1843" customFormat="false" ht="15" hidden="false" customHeight="true" outlineLevel="0" collapsed="false">
      <c r="A1843" s="13"/>
      <c r="B1843" s="10"/>
      <c r="C1843" s="10"/>
      <c r="D1843" s="14"/>
      <c r="E1843" s="11"/>
      <c r="F1843" s="15" t="str">
        <f aca="false">IF($B1843="","",IF(AND($D1843="",$E1843=""),"",IF(OR($D1843="",$E1843=""),0,ROUND($D1843*$E1843,0))))</f>
        <v/>
      </c>
      <c r="G1843" s="13"/>
      <c r="H1843" s="11"/>
      <c r="I1843" s="15" t="str">
        <f aca="false">IF($F1843="","",$F1843-IF($H1843="",0,$H1843))</f>
        <v/>
      </c>
      <c r="J1843" s="16" t="str">
        <f aca="true">IF(OR($A1843="",$I1843="",$I1843&lt;=0),"",TODAY()-$A1843)</f>
        <v/>
      </c>
      <c r="K1843" s="10"/>
    </row>
    <row r="1844" customFormat="false" ht="15" hidden="false" customHeight="true" outlineLevel="0" collapsed="false">
      <c r="A1844" s="13"/>
      <c r="B1844" s="10"/>
      <c r="C1844" s="10"/>
      <c r="D1844" s="14"/>
      <c r="E1844" s="11"/>
      <c r="F1844" s="15" t="str">
        <f aca="false">IF($B1844="","",IF(AND($D1844="",$E1844=""),"",IF(OR($D1844="",$E1844=""),0,ROUND($D1844*$E1844,0))))</f>
        <v/>
      </c>
      <c r="G1844" s="13"/>
      <c r="H1844" s="11"/>
      <c r="I1844" s="15" t="str">
        <f aca="false">IF($F1844="","",$F1844-IF($H1844="",0,$H1844))</f>
        <v/>
      </c>
      <c r="J1844" s="16" t="str">
        <f aca="true">IF(OR($A1844="",$I1844="",$I1844&lt;=0),"",TODAY()-$A1844)</f>
        <v/>
      </c>
      <c r="K1844" s="10"/>
    </row>
    <row r="1845" customFormat="false" ht="15" hidden="false" customHeight="true" outlineLevel="0" collapsed="false">
      <c r="A1845" s="13"/>
      <c r="B1845" s="10"/>
      <c r="C1845" s="10"/>
      <c r="D1845" s="14"/>
      <c r="E1845" s="11"/>
      <c r="F1845" s="15" t="str">
        <f aca="false">IF($B1845="","",IF(AND($D1845="",$E1845=""),"",IF(OR($D1845="",$E1845=""),0,ROUND($D1845*$E1845,0))))</f>
        <v/>
      </c>
      <c r="G1845" s="13"/>
      <c r="H1845" s="11"/>
      <c r="I1845" s="15" t="str">
        <f aca="false">IF($F1845="","",$F1845-IF($H1845="",0,$H1845))</f>
        <v/>
      </c>
      <c r="J1845" s="16" t="str">
        <f aca="true">IF(OR($A1845="",$I1845="",$I1845&lt;=0),"",TODAY()-$A1845)</f>
        <v/>
      </c>
      <c r="K1845" s="10"/>
    </row>
    <row r="1846" customFormat="false" ht="15" hidden="false" customHeight="true" outlineLevel="0" collapsed="false">
      <c r="A1846" s="13"/>
      <c r="B1846" s="10"/>
      <c r="C1846" s="10"/>
      <c r="D1846" s="14"/>
      <c r="E1846" s="11"/>
      <c r="F1846" s="15" t="str">
        <f aca="false">IF($B1846="","",IF(AND($D1846="",$E1846=""),"",IF(OR($D1846="",$E1846=""),0,ROUND($D1846*$E1846,0))))</f>
        <v/>
      </c>
      <c r="G1846" s="13"/>
      <c r="H1846" s="11"/>
      <c r="I1846" s="15" t="str">
        <f aca="false">IF($F1846="","",$F1846-IF($H1846="",0,$H1846))</f>
        <v/>
      </c>
      <c r="J1846" s="16" t="str">
        <f aca="true">IF(OR($A1846="",$I1846="",$I1846&lt;=0),"",TODAY()-$A1846)</f>
        <v/>
      </c>
      <c r="K1846" s="10"/>
    </row>
    <row r="1847" customFormat="false" ht="15" hidden="false" customHeight="true" outlineLevel="0" collapsed="false">
      <c r="A1847" s="13"/>
      <c r="B1847" s="10"/>
      <c r="C1847" s="10"/>
      <c r="D1847" s="14"/>
      <c r="E1847" s="11"/>
      <c r="F1847" s="15" t="str">
        <f aca="false">IF($B1847="","",IF(AND($D1847="",$E1847=""),"",IF(OR($D1847="",$E1847=""),0,ROUND($D1847*$E1847,0))))</f>
        <v/>
      </c>
      <c r="G1847" s="13"/>
      <c r="H1847" s="11"/>
      <c r="I1847" s="15" t="str">
        <f aca="false">IF($F1847="","",$F1847-IF($H1847="",0,$H1847))</f>
        <v/>
      </c>
      <c r="J1847" s="16" t="str">
        <f aca="true">IF(OR($A1847="",$I1847="",$I1847&lt;=0),"",TODAY()-$A1847)</f>
        <v/>
      </c>
      <c r="K1847" s="10"/>
    </row>
    <row r="1848" customFormat="false" ht="15" hidden="false" customHeight="true" outlineLevel="0" collapsed="false">
      <c r="A1848" s="13"/>
      <c r="B1848" s="10"/>
      <c r="C1848" s="10"/>
      <c r="D1848" s="14"/>
      <c r="E1848" s="11"/>
      <c r="F1848" s="15" t="str">
        <f aca="false">IF($B1848="","",IF(AND($D1848="",$E1848=""),"",IF(OR($D1848="",$E1848=""),0,ROUND($D1848*$E1848,0))))</f>
        <v/>
      </c>
      <c r="G1848" s="13"/>
      <c r="H1848" s="11"/>
      <c r="I1848" s="15" t="str">
        <f aca="false">IF($F1848="","",$F1848-IF($H1848="",0,$H1848))</f>
        <v/>
      </c>
      <c r="J1848" s="16" t="str">
        <f aca="true">IF(OR($A1848="",$I1848="",$I1848&lt;=0),"",TODAY()-$A1848)</f>
        <v/>
      </c>
      <c r="K1848" s="10"/>
    </row>
    <row r="1849" customFormat="false" ht="15" hidden="false" customHeight="true" outlineLevel="0" collapsed="false">
      <c r="A1849" s="13"/>
      <c r="B1849" s="10"/>
      <c r="C1849" s="10"/>
      <c r="D1849" s="14"/>
      <c r="E1849" s="11"/>
      <c r="F1849" s="15" t="str">
        <f aca="false">IF($B1849="","",IF(AND($D1849="",$E1849=""),"",IF(OR($D1849="",$E1849=""),0,ROUND($D1849*$E1849,0))))</f>
        <v/>
      </c>
      <c r="G1849" s="13"/>
      <c r="H1849" s="11"/>
      <c r="I1849" s="15" t="str">
        <f aca="false">IF($F1849="","",$F1849-IF($H1849="",0,$H1849))</f>
        <v/>
      </c>
      <c r="J1849" s="16" t="str">
        <f aca="true">IF(OR($A1849="",$I1849="",$I1849&lt;=0),"",TODAY()-$A1849)</f>
        <v/>
      </c>
      <c r="K1849" s="10"/>
    </row>
    <row r="1850" customFormat="false" ht="15" hidden="false" customHeight="true" outlineLevel="0" collapsed="false">
      <c r="A1850" s="13"/>
      <c r="B1850" s="10"/>
      <c r="C1850" s="10"/>
      <c r="D1850" s="14"/>
      <c r="E1850" s="11"/>
      <c r="F1850" s="15" t="str">
        <f aca="false">IF($B1850="","",IF(AND($D1850="",$E1850=""),"",IF(OR($D1850="",$E1850=""),0,ROUND($D1850*$E1850,0))))</f>
        <v/>
      </c>
      <c r="G1850" s="13"/>
      <c r="H1850" s="11"/>
      <c r="I1850" s="15" t="str">
        <f aca="false">IF($F1850="","",$F1850-IF($H1850="",0,$H1850))</f>
        <v/>
      </c>
      <c r="J1850" s="16" t="str">
        <f aca="true">IF(OR($A1850="",$I1850="",$I1850&lt;=0),"",TODAY()-$A1850)</f>
        <v/>
      </c>
      <c r="K1850" s="10"/>
    </row>
    <row r="1851" customFormat="false" ht="15" hidden="false" customHeight="true" outlineLevel="0" collapsed="false">
      <c r="A1851" s="13"/>
      <c r="B1851" s="10"/>
      <c r="C1851" s="10"/>
      <c r="D1851" s="14"/>
      <c r="E1851" s="11"/>
      <c r="F1851" s="15" t="str">
        <f aca="false">IF($B1851="","",IF(AND($D1851="",$E1851=""),"",IF(OR($D1851="",$E1851=""),0,ROUND($D1851*$E1851,0))))</f>
        <v/>
      </c>
      <c r="G1851" s="13"/>
      <c r="H1851" s="11"/>
      <c r="I1851" s="15" t="str">
        <f aca="false">IF($F1851="","",$F1851-IF($H1851="",0,$H1851))</f>
        <v/>
      </c>
      <c r="J1851" s="16" t="str">
        <f aca="true">IF(OR($A1851="",$I1851="",$I1851&lt;=0),"",TODAY()-$A1851)</f>
        <v/>
      </c>
      <c r="K1851" s="10"/>
    </row>
    <row r="1852" customFormat="false" ht="15" hidden="false" customHeight="true" outlineLevel="0" collapsed="false">
      <c r="A1852" s="13"/>
      <c r="B1852" s="10"/>
      <c r="C1852" s="10"/>
      <c r="D1852" s="14"/>
      <c r="E1852" s="11"/>
      <c r="F1852" s="15" t="str">
        <f aca="false">IF($B1852="","",IF(AND($D1852="",$E1852=""),"",IF(OR($D1852="",$E1852=""),0,ROUND($D1852*$E1852,0))))</f>
        <v/>
      </c>
      <c r="G1852" s="13"/>
      <c r="H1852" s="11"/>
      <c r="I1852" s="15" t="str">
        <f aca="false">IF($F1852="","",$F1852-IF($H1852="",0,$H1852))</f>
        <v/>
      </c>
      <c r="J1852" s="16" t="str">
        <f aca="true">IF(OR($A1852="",$I1852="",$I1852&lt;=0),"",TODAY()-$A1852)</f>
        <v/>
      </c>
      <c r="K1852" s="10"/>
    </row>
    <row r="1853" customFormat="false" ht="15" hidden="false" customHeight="true" outlineLevel="0" collapsed="false">
      <c r="A1853" s="13"/>
      <c r="B1853" s="10"/>
      <c r="C1853" s="10"/>
      <c r="D1853" s="14"/>
      <c r="E1853" s="11"/>
      <c r="F1853" s="15" t="str">
        <f aca="false">IF($B1853="","",IF(AND($D1853="",$E1853=""),"",IF(OR($D1853="",$E1853=""),0,ROUND($D1853*$E1853,0))))</f>
        <v/>
      </c>
      <c r="G1853" s="13"/>
      <c r="H1853" s="11"/>
      <c r="I1853" s="15" t="str">
        <f aca="false">IF($F1853="","",$F1853-IF($H1853="",0,$H1853))</f>
        <v/>
      </c>
      <c r="J1853" s="16" t="str">
        <f aca="true">IF(OR($A1853="",$I1853="",$I1853&lt;=0),"",TODAY()-$A1853)</f>
        <v/>
      </c>
      <c r="K1853" s="10"/>
    </row>
    <row r="1854" customFormat="false" ht="15" hidden="false" customHeight="true" outlineLevel="0" collapsed="false">
      <c r="A1854" s="13"/>
      <c r="B1854" s="10"/>
      <c r="C1854" s="10"/>
      <c r="D1854" s="14"/>
      <c r="E1854" s="11"/>
      <c r="F1854" s="15" t="str">
        <f aca="false">IF($B1854="","",IF(AND($D1854="",$E1854=""),"",IF(OR($D1854="",$E1854=""),0,ROUND($D1854*$E1854,0))))</f>
        <v/>
      </c>
      <c r="G1854" s="13"/>
      <c r="H1854" s="11"/>
      <c r="I1854" s="15" t="str">
        <f aca="false">IF($F1854="","",$F1854-IF($H1854="",0,$H1854))</f>
        <v/>
      </c>
      <c r="J1854" s="16" t="str">
        <f aca="true">IF(OR($A1854="",$I1854="",$I1854&lt;=0),"",TODAY()-$A1854)</f>
        <v/>
      </c>
      <c r="K1854" s="10"/>
    </row>
    <row r="1855" customFormat="false" ht="15" hidden="false" customHeight="true" outlineLevel="0" collapsed="false">
      <c r="A1855" s="13"/>
      <c r="B1855" s="10"/>
      <c r="C1855" s="10"/>
      <c r="D1855" s="14"/>
      <c r="E1855" s="11"/>
      <c r="F1855" s="15" t="str">
        <f aca="false">IF($B1855="","",IF(AND($D1855="",$E1855=""),"",IF(OR($D1855="",$E1855=""),0,ROUND($D1855*$E1855,0))))</f>
        <v/>
      </c>
      <c r="G1855" s="13"/>
      <c r="H1855" s="11"/>
      <c r="I1855" s="15" t="str">
        <f aca="false">IF($F1855="","",$F1855-IF($H1855="",0,$H1855))</f>
        <v/>
      </c>
      <c r="J1855" s="16" t="str">
        <f aca="true">IF(OR($A1855="",$I1855="",$I1855&lt;=0),"",TODAY()-$A1855)</f>
        <v/>
      </c>
      <c r="K1855" s="10"/>
    </row>
    <row r="1856" customFormat="false" ht="15" hidden="false" customHeight="true" outlineLevel="0" collapsed="false">
      <c r="A1856" s="13"/>
      <c r="B1856" s="10"/>
      <c r="C1856" s="10"/>
      <c r="D1856" s="14"/>
      <c r="E1856" s="11"/>
      <c r="F1856" s="15" t="str">
        <f aca="false">IF($B1856="","",IF(AND($D1856="",$E1856=""),"",IF(OR($D1856="",$E1856=""),0,ROUND($D1856*$E1856,0))))</f>
        <v/>
      </c>
      <c r="G1856" s="13"/>
      <c r="H1856" s="11"/>
      <c r="I1856" s="15" t="str">
        <f aca="false">IF($F1856="","",$F1856-IF($H1856="",0,$H1856))</f>
        <v/>
      </c>
      <c r="J1856" s="16" t="str">
        <f aca="true">IF(OR($A1856="",$I1856="",$I1856&lt;=0),"",TODAY()-$A1856)</f>
        <v/>
      </c>
      <c r="K1856" s="10"/>
    </row>
    <row r="1857" customFormat="false" ht="15" hidden="false" customHeight="true" outlineLevel="0" collapsed="false">
      <c r="A1857" s="13"/>
      <c r="B1857" s="10"/>
      <c r="C1857" s="10"/>
      <c r="D1857" s="14"/>
      <c r="E1857" s="11"/>
      <c r="F1857" s="15" t="str">
        <f aca="false">IF($B1857="","",IF(AND($D1857="",$E1857=""),"",IF(OR($D1857="",$E1857=""),0,ROUND($D1857*$E1857,0))))</f>
        <v/>
      </c>
      <c r="G1857" s="13"/>
      <c r="H1857" s="11"/>
      <c r="I1857" s="15" t="str">
        <f aca="false">IF($F1857="","",$F1857-IF($H1857="",0,$H1857))</f>
        <v/>
      </c>
      <c r="J1857" s="16" t="str">
        <f aca="true">IF(OR($A1857="",$I1857="",$I1857&lt;=0),"",TODAY()-$A1857)</f>
        <v/>
      </c>
      <c r="K1857" s="10"/>
    </row>
    <row r="1858" customFormat="false" ht="15" hidden="false" customHeight="true" outlineLevel="0" collapsed="false">
      <c r="A1858" s="13"/>
      <c r="B1858" s="10"/>
      <c r="C1858" s="10"/>
      <c r="D1858" s="14"/>
      <c r="E1858" s="11"/>
      <c r="F1858" s="15" t="str">
        <f aca="false">IF($B1858="","",IF(AND($D1858="",$E1858=""),"",IF(OR($D1858="",$E1858=""),0,ROUND($D1858*$E1858,0))))</f>
        <v/>
      </c>
      <c r="G1858" s="13"/>
      <c r="H1858" s="11"/>
      <c r="I1858" s="15" t="str">
        <f aca="false">IF($F1858="","",$F1858-IF($H1858="",0,$H1858))</f>
        <v/>
      </c>
      <c r="J1858" s="16" t="str">
        <f aca="true">IF(OR($A1858="",$I1858="",$I1858&lt;=0),"",TODAY()-$A1858)</f>
        <v/>
      </c>
      <c r="K1858" s="10"/>
    </row>
    <row r="1859" customFormat="false" ht="15" hidden="false" customHeight="true" outlineLevel="0" collapsed="false">
      <c r="A1859" s="13"/>
      <c r="B1859" s="10"/>
      <c r="C1859" s="10"/>
      <c r="D1859" s="14"/>
      <c r="E1859" s="11"/>
      <c r="F1859" s="15" t="str">
        <f aca="false">IF($B1859="","",IF(AND($D1859="",$E1859=""),"",IF(OR($D1859="",$E1859=""),0,ROUND($D1859*$E1859,0))))</f>
        <v/>
      </c>
      <c r="G1859" s="13"/>
      <c r="H1859" s="11"/>
      <c r="I1859" s="15" t="str">
        <f aca="false">IF($F1859="","",$F1859-IF($H1859="",0,$H1859))</f>
        <v/>
      </c>
      <c r="J1859" s="16" t="str">
        <f aca="true">IF(OR($A1859="",$I1859="",$I1859&lt;=0),"",TODAY()-$A1859)</f>
        <v/>
      </c>
      <c r="K1859" s="10"/>
    </row>
    <row r="1860" customFormat="false" ht="15" hidden="false" customHeight="true" outlineLevel="0" collapsed="false">
      <c r="A1860" s="13"/>
      <c r="B1860" s="10"/>
      <c r="C1860" s="10"/>
      <c r="D1860" s="14"/>
      <c r="E1860" s="11"/>
      <c r="F1860" s="15" t="str">
        <f aca="false">IF($B1860="","",IF(AND($D1860="",$E1860=""),"",IF(OR($D1860="",$E1860=""),0,ROUND($D1860*$E1860,0))))</f>
        <v/>
      </c>
      <c r="G1860" s="13"/>
      <c r="H1860" s="11"/>
      <c r="I1860" s="15" t="str">
        <f aca="false">IF($F1860="","",$F1860-IF($H1860="",0,$H1860))</f>
        <v/>
      </c>
      <c r="J1860" s="16" t="str">
        <f aca="true">IF(OR($A1860="",$I1860="",$I1860&lt;=0),"",TODAY()-$A1860)</f>
        <v/>
      </c>
      <c r="K1860" s="10"/>
    </row>
    <row r="1861" customFormat="false" ht="15" hidden="false" customHeight="true" outlineLevel="0" collapsed="false">
      <c r="A1861" s="13"/>
      <c r="B1861" s="10"/>
      <c r="C1861" s="10"/>
      <c r="D1861" s="14"/>
      <c r="E1861" s="11"/>
      <c r="F1861" s="15" t="str">
        <f aca="false">IF($B1861="","",IF(AND($D1861="",$E1861=""),"",IF(OR($D1861="",$E1861=""),0,ROUND($D1861*$E1861,0))))</f>
        <v/>
      </c>
      <c r="G1861" s="13"/>
      <c r="H1861" s="11"/>
      <c r="I1861" s="15" t="str">
        <f aca="false">IF($F1861="","",$F1861-IF($H1861="",0,$H1861))</f>
        <v/>
      </c>
      <c r="J1861" s="16" t="str">
        <f aca="true">IF(OR($A1861="",$I1861="",$I1861&lt;=0),"",TODAY()-$A1861)</f>
        <v/>
      </c>
      <c r="K1861" s="10"/>
    </row>
    <row r="1862" customFormat="false" ht="15" hidden="false" customHeight="true" outlineLevel="0" collapsed="false">
      <c r="A1862" s="13"/>
      <c r="B1862" s="10"/>
      <c r="C1862" s="10"/>
      <c r="D1862" s="14"/>
      <c r="E1862" s="11"/>
      <c r="F1862" s="15" t="str">
        <f aca="false">IF($B1862="","",IF(AND($D1862="",$E1862=""),"",IF(OR($D1862="",$E1862=""),0,ROUND($D1862*$E1862,0))))</f>
        <v/>
      </c>
      <c r="G1862" s="13"/>
      <c r="H1862" s="11"/>
      <c r="I1862" s="15" t="str">
        <f aca="false">IF($F1862="","",$F1862-IF($H1862="",0,$H1862))</f>
        <v/>
      </c>
      <c r="J1862" s="16" t="str">
        <f aca="true">IF(OR($A1862="",$I1862="",$I1862&lt;=0),"",TODAY()-$A1862)</f>
        <v/>
      </c>
      <c r="K1862" s="10"/>
    </row>
    <row r="1863" customFormat="false" ht="15" hidden="false" customHeight="true" outlineLevel="0" collapsed="false">
      <c r="A1863" s="13"/>
      <c r="B1863" s="10"/>
      <c r="C1863" s="10"/>
      <c r="D1863" s="14"/>
      <c r="E1863" s="11"/>
      <c r="F1863" s="15" t="str">
        <f aca="false">IF($B1863="","",IF(AND($D1863="",$E1863=""),"",IF(OR($D1863="",$E1863=""),0,ROUND($D1863*$E1863,0))))</f>
        <v/>
      </c>
      <c r="G1863" s="13"/>
      <c r="H1863" s="11"/>
      <c r="I1863" s="15" t="str">
        <f aca="false">IF($F1863="","",$F1863-IF($H1863="",0,$H1863))</f>
        <v/>
      </c>
      <c r="J1863" s="16" t="str">
        <f aca="true">IF(OR($A1863="",$I1863="",$I1863&lt;=0),"",TODAY()-$A1863)</f>
        <v/>
      </c>
      <c r="K1863" s="10"/>
    </row>
    <row r="1864" customFormat="false" ht="15" hidden="false" customHeight="true" outlineLevel="0" collapsed="false">
      <c r="A1864" s="13"/>
      <c r="B1864" s="10"/>
      <c r="C1864" s="10"/>
      <c r="D1864" s="14"/>
      <c r="E1864" s="11"/>
      <c r="F1864" s="15" t="str">
        <f aca="false">IF($B1864="","",IF(AND($D1864="",$E1864=""),"",IF(OR($D1864="",$E1864=""),0,ROUND($D1864*$E1864,0))))</f>
        <v/>
      </c>
      <c r="G1864" s="13"/>
      <c r="H1864" s="11"/>
      <c r="I1864" s="15" t="str">
        <f aca="false">IF($F1864="","",$F1864-IF($H1864="",0,$H1864))</f>
        <v/>
      </c>
      <c r="J1864" s="16" t="str">
        <f aca="true">IF(OR($A1864="",$I1864="",$I1864&lt;=0),"",TODAY()-$A1864)</f>
        <v/>
      </c>
      <c r="K1864" s="10"/>
    </row>
    <row r="1865" customFormat="false" ht="15" hidden="false" customHeight="true" outlineLevel="0" collapsed="false">
      <c r="A1865" s="13"/>
      <c r="B1865" s="10"/>
      <c r="C1865" s="10"/>
      <c r="D1865" s="14"/>
      <c r="E1865" s="11"/>
      <c r="F1865" s="15" t="str">
        <f aca="false">IF($B1865="","",IF(AND($D1865="",$E1865=""),"",IF(OR($D1865="",$E1865=""),0,ROUND($D1865*$E1865,0))))</f>
        <v/>
      </c>
      <c r="G1865" s="13"/>
      <c r="H1865" s="11"/>
      <c r="I1865" s="15" t="str">
        <f aca="false">IF($F1865="","",$F1865-IF($H1865="",0,$H1865))</f>
        <v/>
      </c>
      <c r="J1865" s="16" t="str">
        <f aca="true">IF(OR($A1865="",$I1865="",$I1865&lt;=0),"",TODAY()-$A1865)</f>
        <v/>
      </c>
      <c r="K1865" s="10"/>
    </row>
    <row r="1866" customFormat="false" ht="15" hidden="false" customHeight="true" outlineLevel="0" collapsed="false">
      <c r="A1866" s="13"/>
      <c r="B1866" s="10"/>
      <c r="C1866" s="10"/>
      <c r="D1866" s="14"/>
      <c r="E1866" s="11"/>
      <c r="F1866" s="15" t="str">
        <f aca="false">IF($B1866="","",IF(AND($D1866="",$E1866=""),"",IF(OR($D1866="",$E1866=""),0,ROUND($D1866*$E1866,0))))</f>
        <v/>
      </c>
      <c r="G1866" s="13"/>
      <c r="H1866" s="11"/>
      <c r="I1866" s="15" t="str">
        <f aca="false">IF($F1866="","",$F1866-IF($H1866="",0,$H1866))</f>
        <v/>
      </c>
      <c r="J1866" s="16" t="str">
        <f aca="true">IF(OR($A1866="",$I1866="",$I1866&lt;=0),"",TODAY()-$A1866)</f>
        <v/>
      </c>
      <c r="K1866" s="10"/>
    </row>
    <row r="1867" customFormat="false" ht="15" hidden="false" customHeight="true" outlineLevel="0" collapsed="false">
      <c r="A1867" s="13"/>
      <c r="B1867" s="10"/>
      <c r="C1867" s="10"/>
      <c r="D1867" s="14"/>
      <c r="E1867" s="11"/>
      <c r="F1867" s="15" t="str">
        <f aca="false">IF($B1867="","",IF(AND($D1867="",$E1867=""),"",IF(OR($D1867="",$E1867=""),0,ROUND($D1867*$E1867,0))))</f>
        <v/>
      </c>
      <c r="G1867" s="13"/>
      <c r="H1867" s="11"/>
      <c r="I1867" s="15" t="str">
        <f aca="false">IF($F1867="","",$F1867-IF($H1867="",0,$H1867))</f>
        <v/>
      </c>
      <c r="J1867" s="16" t="str">
        <f aca="true">IF(OR($A1867="",$I1867="",$I1867&lt;=0),"",TODAY()-$A1867)</f>
        <v/>
      </c>
      <c r="K1867" s="10"/>
    </row>
    <row r="1868" customFormat="false" ht="15" hidden="false" customHeight="true" outlineLevel="0" collapsed="false">
      <c r="A1868" s="13"/>
      <c r="B1868" s="10"/>
      <c r="C1868" s="10"/>
      <c r="D1868" s="14"/>
      <c r="E1868" s="11"/>
      <c r="F1868" s="15" t="str">
        <f aca="false">IF($B1868="","",IF(AND($D1868="",$E1868=""),"",IF(OR($D1868="",$E1868=""),0,ROUND($D1868*$E1868,0))))</f>
        <v/>
      </c>
      <c r="G1868" s="13"/>
      <c r="H1868" s="11"/>
      <c r="I1868" s="15" t="str">
        <f aca="false">IF($F1868="","",$F1868-IF($H1868="",0,$H1868))</f>
        <v/>
      </c>
      <c r="J1868" s="16" t="str">
        <f aca="true">IF(OR($A1868="",$I1868="",$I1868&lt;=0),"",TODAY()-$A1868)</f>
        <v/>
      </c>
      <c r="K1868" s="10"/>
    </row>
    <row r="1869" customFormat="false" ht="15" hidden="false" customHeight="true" outlineLevel="0" collapsed="false">
      <c r="A1869" s="13"/>
      <c r="B1869" s="10"/>
      <c r="C1869" s="10"/>
      <c r="D1869" s="14"/>
      <c r="E1869" s="11"/>
      <c r="F1869" s="15" t="str">
        <f aca="false">IF($B1869="","",IF(AND($D1869="",$E1869=""),"",IF(OR($D1869="",$E1869=""),0,ROUND($D1869*$E1869,0))))</f>
        <v/>
      </c>
      <c r="G1869" s="13"/>
      <c r="H1869" s="11"/>
      <c r="I1869" s="15" t="str">
        <f aca="false">IF($F1869="","",$F1869-IF($H1869="",0,$H1869))</f>
        <v/>
      </c>
      <c r="J1869" s="16" t="str">
        <f aca="true">IF(OR($A1869="",$I1869="",$I1869&lt;=0),"",TODAY()-$A1869)</f>
        <v/>
      </c>
      <c r="K1869" s="10"/>
    </row>
    <row r="1870" customFormat="false" ht="15" hidden="false" customHeight="true" outlineLevel="0" collapsed="false">
      <c r="A1870" s="13"/>
      <c r="B1870" s="10"/>
      <c r="C1870" s="10"/>
      <c r="D1870" s="14"/>
      <c r="E1870" s="11"/>
      <c r="F1870" s="15" t="str">
        <f aca="false">IF($B1870="","",IF(AND($D1870="",$E1870=""),"",IF(OR($D1870="",$E1870=""),0,ROUND($D1870*$E1870,0))))</f>
        <v/>
      </c>
      <c r="G1870" s="13"/>
      <c r="H1870" s="11"/>
      <c r="I1870" s="15" t="str">
        <f aca="false">IF($F1870="","",$F1870-IF($H1870="",0,$H1870))</f>
        <v/>
      </c>
      <c r="J1870" s="16" t="str">
        <f aca="true">IF(OR($A1870="",$I1870="",$I1870&lt;=0),"",TODAY()-$A1870)</f>
        <v/>
      </c>
      <c r="K1870" s="10"/>
    </row>
    <row r="1871" customFormat="false" ht="15" hidden="false" customHeight="true" outlineLevel="0" collapsed="false">
      <c r="A1871" s="13"/>
      <c r="B1871" s="10"/>
      <c r="C1871" s="10"/>
      <c r="D1871" s="14"/>
      <c r="E1871" s="11"/>
      <c r="F1871" s="15" t="str">
        <f aca="false">IF($B1871="","",IF(AND($D1871="",$E1871=""),"",IF(OR($D1871="",$E1871=""),0,ROUND($D1871*$E1871,0))))</f>
        <v/>
      </c>
      <c r="G1871" s="13"/>
      <c r="H1871" s="11"/>
      <c r="I1871" s="15" t="str">
        <f aca="false">IF($F1871="","",$F1871-IF($H1871="",0,$H1871))</f>
        <v/>
      </c>
      <c r="J1871" s="16" t="str">
        <f aca="true">IF(OR($A1871="",$I1871="",$I1871&lt;=0),"",TODAY()-$A1871)</f>
        <v/>
      </c>
      <c r="K1871" s="10"/>
    </row>
    <row r="1872" customFormat="false" ht="15" hidden="false" customHeight="true" outlineLevel="0" collapsed="false">
      <c r="A1872" s="13"/>
      <c r="B1872" s="10"/>
      <c r="C1872" s="10"/>
      <c r="D1872" s="14"/>
      <c r="E1872" s="11"/>
      <c r="F1872" s="15" t="str">
        <f aca="false">IF($B1872="","",IF(AND($D1872="",$E1872=""),"",IF(OR($D1872="",$E1872=""),0,ROUND($D1872*$E1872,0))))</f>
        <v/>
      </c>
      <c r="G1872" s="13"/>
      <c r="H1872" s="11"/>
      <c r="I1872" s="15" t="str">
        <f aca="false">IF($F1872="","",$F1872-IF($H1872="",0,$H1872))</f>
        <v/>
      </c>
      <c r="J1872" s="16" t="str">
        <f aca="true">IF(OR($A1872="",$I1872="",$I1872&lt;=0),"",TODAY()-$A1872)</f>
        <v/>
      </c>
      <c r="K1872" s="10"/>
    </row>
    <row r="1873" customFormat="false" ht="15" hidden="false" customHeight="true" outlineLevel="0" collapsed="false">
      <c r="A1873" s="13"/>
      <c r="B1873" s="10"/>
      <c r="C1873" s="10"/>
      <c r="D1873" s="14"/>
      <c r="E1873" s="11"/>
      <c r="F1873" s="15" t="str">
        <f aca="false">IF($B1873="","",IF(AND($D1873="",$E1873=""),"",IF(OR($D1873="",$E1873=""),0,ROUND($D1873*$E1873,0))))</f>
        <v/>
      </c>
      <c r="G1873" s="13"/>
      <c r="H1873" s="11"/>
      <c r="I1873" s="15" t="str">
        <f aca="false">IF($F1873="","",$F1873-IF($H1873="",0,$H1873))</f>
        <v/>
      </c>
      <c r="J1873" s="16" t="str">
        <f aca="true">IF(OR($A1873="",$I1873="",$I1873&lt;=0),"",TODAY()-$A1873)</f>
        <v/>
      </c>
      <c r="K1873" s="10"/>
    </row>
    <row r="1874" customFormat="false" ht="15" hidden="false" customHeight="true" outlineLevel="0" collapsed="false">
      <c r="A1874" s="13"/>
      <c r="B1874" s="10"/>
      <c r="C1874" s="10"/>
      <c r="D1874" s="14"/>
      <c r="E1874" s="11"/>
      <c r="F1874" s="15" t="str">
        <f aca="false">IF($B1874="","",IF(AND($D1874="",$E1874=""),"",IF(OR($D1874="",$E1874=""),0,ROUND($D1874*$E1874,0))))</f>
        <v/>
      </c>
      <c r="G1874" s="13"/>
      <c r="H1874" s="11"/>
      <c r="I1874" s="15" t="str">
        <f aca="false">IF($F1874="","",$F1874-IF($H1874="",0,$H1874))</f>
        <v/>
      </c>
      <c r="J1874" s="16" t="str">
        <f aca="true">IF(OR($A1874="",$I1874="",$I1874&lt;=0),"",TODAY()-$A1874)</f>
        <v/>
      </c>
      <c r="K1874" s="10"/>
    </row>
    <row r="1875" customFormat="false" ht="15" hidden="false" customHeight="true" outlineLevel="0" collapsed="false">
      <c r="A1875" s="13"/>
      <c r="B1875" s="10"/>
      <c r="C1875" s="10"/>
      <c r="D1875" s="14"/>
      <c r="E1875" s="11"/>
      <c r="F1875" s="15" t="str">
        <f aca="false">IF($B1875="","",IF(AND($D1875="",$E1875=""),"",IF(OR($D1875="",$E1875=""),0,ROUND($D1875*$E1875,0))))</f>
        <v/>
      </c>
      <c r="G1875" s="13"/>
      <c r="H1875" s="11"/>
      <c r="I1875" s="15" t="str">
        <f aca="false">IF($F1875="","",$F1875-IF($H1875="",0,$H1875))</f>
        <v/>
      </c>
      <c r="J1875" s="16" t="str">
        <f aca="true">IF(OR($A1875="",$I1875="",$I1875&lt;=0),"",TODAY()-$A1875)</f>
        <v/>
      </c>
      <c r="K1875" s="10"/>
    </row>
    <row r="1876" customFormat="false" ht="15" hidden="false" customHeight="true" outlineLevel="0" collapsed="false">
      <c r="A1876" s="13"/>
      <c r="B1876" s="10"/>
      <c r="C1876" s="10"/>
      <c r="D1876" s="14"/>
      <c r="E1876" s="11"/>
      <c r="F1876" s="15" t="str">
        <f aca="false">IF($B1876="","",IF(AND($D1876="",$E1876=""),"",IF(OR($D1876="",$E1876=""),0,ROUND($D1876*$E1876,0))))</f>
        <v/>
      </c>
      <c r="G1876" s="13"/>
      <c r="H1876" s="11"/>
      <c r="I1876" s="15" t="str">
        <f aca="false">IF($F1876="","",$F1876-IF($H1876="",0,$H1876))</f>
        <v/>
      </c>
      <c r="J1876" s="16" t="str">
        <f aca="true">IF(OR($A1876="",$I1876="",$I1876&lt;=0),"",TODAY()-$A1876)</f>
        <v/>
      </c>
      <c r="K1876" s="10"/>
    </row>
    <row r="1877" customFormat="false" ht="15" hidden="false" customHeight="true" outlineLevel="0" collapsed="false">
      <c r="A1877" s="13"/>
      <c r="B1877" s="10"/>
      <c r="C1877" s="10"/>
      <c r="D1877" s="14"/>
      <c r="E1877" s="11"/>
      <c r="F1877" s="15" t="str">
        <f aca="false">IF($B1877="","",IF(AND($D1877="",$E1877=""),"",IF(OR($D1877="",$E1877=""),0,ROUND($D1877*$E1877,0))))</f>
        <v/>
      </c>
      <c r="G1877" s="13"/>
      <c r="H1877" s="11"/>
      <c r="I1877" s="15" t="str">
        <f aca="false">IF($F1877="","",$F1877-IF($H1877="",0,$H1877))</f>
        <v/>
      </c>
      <c r="J1877" s="16" t="str">
        <f aca="true">IF(OR($A1877="",$I1877="",$I1877&lt;=0),"",TODAY()-$A1877)</f>
        <v/>
      </c>
      <c r="K1877" s="10"/>
    </row>
    <row r="1878" customFormat="false" ht="15" hidden="false" customHeight="true" outlineLevel="0" collapsed="false">
      <c r="A1878" s="13"/>
      <c r="B1878" s="10"/>
      <c r="C1878" s="10"/>
      <c r="D1878" s="14"/>
      <c r="E1878" s="11"/>
      <c r="F1878" s="15" t="str">
        <f aca="false">IF($B1878="","",IF(AND($D1878="",$E1878=""),"",IF(OR($D1878="",$E1878=""),0,ROUND($D1878*$E1878,0))))</f>
        <v/>
      </c>
      <c r="G1878" s="13"/>
      <c r="H1878" s="11"/>
      <c r="I1878" s="15" t="str">
        <f aca="false">IF($F1878="","",$F1878-IF($H1878="",0,$H1878))</f>
        <v/>
      </c>
      <c r="J1878" s="16" t="str">
        <f aca="true">IF(OR($A1878="",$I1878="",$I1878&lt;=0),"",TODAY()-$A1878)</f>
        <v/>
      </c>
      <c r="K1878" s="10"/>
    </row>
    <row r="1879" customFormat="false" ht="15" hidden="false" customHeight="true" outlineLevel="0" collapsed="false">
      <c r="A1879" s="13"/>
      <c r="B1879" s="10"/>
      <c r="C1879" s="10"/>
      <c r="D1879" s="14"/>
      <c r="E1879" s="11"/>
      <c r="F1879" s="15" t="str">
        <f aca="false">IF($B1879="","",IF(AND($D1879="",$E1879=""),"",IF(OR($D1879="",$E1879=""),0,ROUND($D1879*$E1879,0))))</f>
        <v/>
      </c>
      <c r="G1879" s="13"/>
      <c r="H1879" s="11"/>
      <c r="I1879" s="15" t="str">
        <f aca="false">IF($F1879="","",$F1879-IF($H1879="",0,$H1879))</f>
        <v/>
      </c>
      <c r="J1879" s="16" t="str">
        <f aca="true">IF(OR($A1879="",$I1879="",$I1879&lt;=0),"",TODAY()-$A1879)</f>
        <v/>
      </c>
      <c r="K1879" s="10"/>
    </row>
    <row r="1880" customFormat="false" ht="15" hidden="false" customHeight="true" outlineLevel="0" collapsed="false">
      <c r="A1880" s="13"/>
      <c r="B1880" s="10"/>
      <c r="C1880" s="10"/>
      <c r="D1880" s="14"/>
      <c r="E1880" s="11"/>
      <c r="F1880" s="15" t="str">
        <f aca="false">IF($B1880="","",IF(AND($D1880="",$E1880=""),"",IF(OR($D1880="",$E1880=""),0,ROUND($D1880*$E1880,0))))</f>
        <v/>
      </c>
      <c r="G1880" s="13"/>
      <c r="H1880" s="11"/>
      <c r="I1880" s="15" t="str">
        <f aca="false">IF($F1880="","",$F1880-IF($H1880="",0,$H1880))</f>
        <v/>
      </c>
      <c r="J1880" s="16" t="str">
        <f aca="true">IF(OR($A1880="",$I1880="",$I1880&lt;=0),"",TODAY()-$A1880)</f>
        <v/>
      </c>
      <c r="K1880" s="10"/>
    </row>
    <row r="1881" customFormat="false" ht="15" hidden="false" customHeight="true" outlineLevel="0" collapsed="false">
      <c r="A1881" s="13"/>
      <c r="B1881" s="10"/>
      <c r="C1881" s="10"/>
      <c r="D1881" s="14"/>
      <c r="E1881" s="11"/>
      <c r="F1881" s="15" t="str">
        <f aca="false">IF($B1881="","",IF(AND($D1881="",$E1881=""),"",IF(OR($D1881="",$E1881=""),0,ROUND($D1881*$E1881,0))))</f>
        <v/>
      </c>
      <c r="G1881" s="13"/>
      <c r="H1881" s="11"/>
      <c r="I1881" s="15" t="str">
        <f aca="false">IF($F1881="","",$F1881-IF($H1881="",0,$H1881))</f>
        <v/>
      </c>
      <c r="J1881" s="16" t="str">
        <f aca="true">IF(OR($A1881="",$I1881="",$I1881&lt;=0),"",TODAY()-$A1881)</f>
        <v/>
      </c>
      <c r="K1881" s="10"/>
    </row>
    <row r="1882" customFormat="false" ht="15" hidden="false" customHeight="true" outlineLevel="0" collapsed="false">
      <c r="A1882" s="13"/>
      <c r="B1882" s="10"/>
      <c r="C1882" s="10"/>
      <c r="D1882" s="14"/>
      <c r="E1882" s="11"/>
      <c r="F1882" s="15" t="str">
        <f aca="false">IF($B1882="","",IF(AND($D1882="",$E1882=""),"",IF(OR($D1882="",$E1882=""),0,ROUND($D1882*$E1882,0))))</f>
        <v/>
      </c>
      <c r="G1882" s="13"/>
      <c r="H1882" s="11"/>
      <c r="I1882" s="15" t="str">
        <f aca="false">IF($F1882="","",$F1882-IF($H1882="",0,$H1882))</f>
        <v/>
      </c>
      <c r="J1882" s="16" t="str">
        <f aca="true">IF(OR($A1882="",$I1882="",$I1882&lt;=0),"",TODAY()-$A1882)</f>
        <v/>
      </c>
      <c r="K1882" s="10"/>
    </row>
    <row r="1883" customFormat="false" ht="15" hidden="false" customHeight="true" outlineLevel="0" collapsed="false">
      <c r="A1883" s="13"/>
      <c r="B1883" s="10"/>
      <c r="C1883" s="10"/>
      <c r="D1883" s="14"/>
      <c r="E1883" s="11"/>
      <c r="F1883" s="15" t="str">
        <f aca="false">IF($B1883="","",IF(AND($D1883="",$E1883=""),"",IF(OR($D1883="",$E1883=""),0,ROUND($D1883*$E1883,0))))</f>
        <v/>
      </c>
      <c r="G1883" s="13"/>
      <c r="H1883" s="11"/>
      <c r="I1883" s="15" t="str">
        <f aca="false">IF($F1883="","",$F1883-IF($H1883="",0,$H1883))</f>
        <v/>
      </c>
      <c r="J1883" s="16" t="str">
        <f aca="true">IF(OR($A1883="",$I1883="",$I1883&lt;=0),"",TODAY()-$A1883)</f>
        <v/>
      </c>
      <c r="K1883" s="10"/>
    </row>
    <row r="1884" customFormat="false" ht="15" hidden="false" customHeight="true" outlineLevel="0" collapsed="false">
      <c r="A1884" s="13"/>
      <c r="B1884" s="10"/>
      <c r="C1884" s="10"/>
      <c r="D1884" s="14"/>
      <c r="E1884" s="11"/>
      <c r="F1884" s="15" t="str">
        <f aca="false">IF($B1884="","",IF(AND($D1884="",$E1884=""),"",IF(OR($D1884="",$E1884=""),0,ROUND($D1884*$E1884,0))))</f>
        <v/>
      </c>
      <c r="G1884" s="13"/>
      <c r="H1884" s="11"/>
      <c r="I1884" s="15" t="str">
        <f aca="false">IF($F1884="","",$F1884-IF($H1884="",0,$H1884))</f>
        <v/>
      </c>
      <c r="J1884" s="16" t="str">
        <f aca="true">IF(OR($A1884="",$I1884="",$I1884&lt;=0),"",TODAY()-$A1884)</f>
        <v/>
      </c>
      <c r="K1884" s="10"/>
    </row>
    <row r="1885" customFormat="false" ht="15" hidden="false" customHeight="true" outlineLevel="0" collapsed="false">
      <c r="A1885" s="13"/>
      <c r="B1885" s="10"/>
      <c r="C1885" s="10"/>
      <c r="D1885" s="14"/>
      <c r="E1885" s="11"/>
      <c r="F1885" s="15" t="str">
        <f aca="false">IF($B1885="","",IF(AND($D1885="",$E1885=""),"",IF(OR($D1885="",$E1885=""),0,ROUND($D1885*$E1885,0))))</f>
        <v/>
      </c>
      <c r="G1885" s="13"/>
      <c r="H1885" s="11"/>
      <c r="I1885" s="15" t="str">
        <f aca="false">IF($F1885="","",$F1885-IF($H1885="",0,$H1885))</f>
        <v/>
      </c>
      <c r="J1885" s="16" t="str">
        <f aca="true">IF(OR($A1885="",$I1885="",$I1885&lt;=0),"",TODAY()-$A1885)</f>
        <v/>
      </c>
      <c r="K1885" s="10"/>
    </row>
    <row r="1886" customFormat="false" ht="15" hidden="false" customHeight="true" outlineLevel="0" collapsed="false">
      <c r="A1886" s="13"/>
      <c r="B1886" s="10"/>
      <c r="C1886" s="10"/>
      <c r="D1886" s="14"/>
      <c r="E1886" s="11"/>
      <c r="F1886" s="15" t="str">
        <f aca="false">IF($B1886="","",IF(AND($D1886="",$E1886=""),"",IF(OR($D1886="",$E1886=""),0,ROUND($D1886*$E1886,0))))</f>
        <v/>
      </c>
      <c r="G1886" s="13"/>
      <c r="H1886" s="11"/>
      <c r="I1886" s="15" t="str">
        <f aca="false">IF($F1886="","",$F1886-IF($H1886="",0,$H1886))</f>
        <v/>
      </c>
      <c r="J1886" s="16" t="str">
        <f aca="true">IF(OR($A1886="",$I1886="",$I1886&lt;=0),"",TODAY()-$A1886)</f>
        <v/>
      </c>
      <c r="K1886" s="10"/>
    </row>
    <row r="1887" customFormat="false" ht="15" hidden="false" customHeight="true" outlineLevel="0" collapsed="false">
      <c r="A1887" s="13"/>
      <c r="B1887" s="10"/>
      <c r="C1887" s="10"/>
      <c r="D1887" s="14"/>
      <c r="E1887" s="11"/>
      <c r="F1887" s="15" t="str">
        <f aca="false">IF($B1887="","",IF(AND($D1887="",$E1887=""),"",IF(OR($D1887="",$E1887=""),0,ROUND($D1887*$E1887,0))))</f>
        <v/>
      </c>
      <c r="G1887" s="13"/>
      <c r="H1887" s="11"/>
      <c r="I1887" s="15" t="str">
        <f aca="false">IF($F1887="","",$F1887-IF($H1887="",0,$H1887))</f>
        <v/>
      </c>
      <c r="J1887" s="16" t="str">
        <f aca="true">IF(OR($A1887="",$I1887="",$I1887&lt;=0),"",TODAY()-$A1887)</f>
        <v/>
      </c>
      <c r="K1887" s="10"/>
    </row>
    <row r="1888" customFormat="false" ht="15" hidden="false" customHeight="true" outlineLevel="0" collapsed="false">
      <c r="A1888" s="13"/>
      <c r="B1888" s="10"/>
      <c r="C1888" s="10"/>
      <c r="D1888" s="14"/>
      <c r="E1888" s="11"/>
      <c r="F1888" s="15" t="str">
        <f aca="false">IF($B1888="","",IF(AND($D1888="",$E1888=""),"",IF(OR($D1888="",$E1888=""),0,ROUND($D1888*$E1888,0))))</f>
        <v/>
      </c>
      <c r="G1888" s="13"/>
      <c r="H1888" s="11"/>
      <c r="I1888" s="15" t="str">
        <f aca="false">IF($F1888="","",$F1888-IF($H1888="",0,$H1888))</f>
        <v/>
      </c>
      <c r="J1888" s="16" t="str">
        <f aca="true">IF(OR($A1888="",$I1888="",$I1888&lt;=0),"",TODAY()-$A1888)</f>
        <v/>
      </c>
      <c r="K1888" s="10"/>
    </row>
    <row r="1889" customFormat="false" ht="15" hidden="false" customHeight="true" outlineLevel="0" collapsed="false">
      <c r="A1889" s="13"/>
      <c r="B1889" s="10"/>
      <c r="C1889" s="10"/>
      <c r="D1889" s="14"/>
      <c r="E1889" s="11"/>
      <c r="F1889" s="15" t="str">
        <f aca="false">IF($B1889="","",IF(AND($D1889="",$E1889=""),"",IF(OR($D1889="",$E1889=""),0,ROUND($D1889*$E1889,0))))</f>
        <v/>
      </c>
      <c r="G1889" s="13"/>
      <c r="H1889" s="11"/>
      <c r="I1889" s="15" t="str">
        <f aca="false">IF($F1889="","",$F1889-IF($H1889="",0,$H1889))</f>
        <v/>
      </c>
      <c r="J1889" s="16" t="str">
        <f aca="true">IF(OR($A1889="",$I1889="",$I1889&lt;=0),"",TODAY()-$A1889)</f>
        <v/>
      </c>
      <c r="K1889" s="10"/>
    </row>
    <row r="1890" customFormat="false" ht="15" hidden="false" customHeight="true" outlineLevel="0" collapsed="false">
      <c r="A1890" s="13"/>
      <c r="B1890" s="10"/>
      <c r="C1890" s="10"/>
      <c r="D1890" s="14"/>
      <c r="E1890" s="11"/>
      <c r="F1890" s="15" t="str">
        <f aca="false">IF($B1890="","",IF(AND($D1890="",$E1890=""),"",IF(OR($D1890="",$E1890=""),0,ROUND($D1890*$E1890,0))))</f>
        <v/>
      </c>
      <c r="G1890" s="13"/>
      <c r="H1890" s="11"/>
      <c r="I1890" s="15" t="str">
        <f aca="false">IF($F1890="","",$F1890-IF($H1890="",0,$H1890))</f>
        <v/>
      </c>
      <c r="J1890" s="16" t="str">
        <f aca="true">IF(OR($A1890="",$I1890="",$I1890&lt;=0),"",TODAY()-$A1890)</f>
        <v/>
      </c>
      <c r="K1890" s="10"/>
    </row>
    <row r="1891" customFormat="false" ht="15" hidden="false" customHeight="true" outlineLevel="0" collapsed="false">
      <c r="A1891" s="13"/>
      <c r="B1891" s="10"/>
      <c r="C1891" s="10"/>
      <c r="D1891" s="14"/>
      <c r="E1891" s="11"/>
      <c r="F1891" s="15" t="str">
        <f aca="false">IF($B1891="","",IF(AND($D1891="",$E1891=""),"",IF(OR($D1891="",$E1891=""),0,ROUND($D1891*$E1891,0))))</f>
        <v/>
      </c>
      <c r="G1891" s="13"/>
      <c r="H1891" s="11"/>
      <c r="I1891" s="15" t="str">
        <f aca="false">IF($F1891="","",$F1891-IF($H1891="",0,$H1891))</f>
        <v/>
      </c>
      <c r="J1891" s="16" t="str">
        <f aca="true">IF(OR($A1891="",$I1891="",$I1891&lt;=0),"",TODAY()-$A1891)</f>
        <v/>
      </c>
      <c r="K1891" s="10"/>
    </row>
    <row r="1892" customFormat="false" ht="15" hidden="false" customHeight="true" outlineLevel="0" collapsed="false">
      <c r="A1892" s="13"/>
      <c r="B1892" s="10"/>
      <c r="C1892" s="10"/>
      <c r="D1892" s="14"/>
      <c r="E1892" s="11"/>
      <c r="F1892" s="15" t="str">
        <f aca="false">IF($B1892="","",IF(AND($D1892="",$E1892=""),"",IF(OR($D1892="",$E1892=""),0,ROUND($D1892*$E1892,0))))</f>
        <v/>
      </c>
      <c r="G1892" s="13"/>
      <c r="H1892" s="11"/>
      <c r="I1892" s="15" t="str">
        <f aca="false">IF($F1892="","",$F1892-IF($H1892="",0,$H1892))</f>
        <v/>
      </c>
      <c r="J1892" s="16" t="str">
        <f aca="true">IF(OR($A1892="",$I1892="",$I1892&lt;=0),"",TODAY()-$A1892)</f>
        <v/>
      </c>
      <c r="K1892" s="10"/>
    </row>
    <row r="1893" customFormat="false" ht="15" hidden="false" customHeight="true" outlineLevel="0" collapsed="false">
      <c r="A1893" s="13"/>
      <c r="B1893" s="10"/>
      <c r="C1893" s="10"/>
      <c r="D1893" s="14"/>
      <c r="E1893" s="11"/>
      <c r="F1893" s="15" t="str">
        <f aca="false">IF($B1893="","",IF(AND($D1893="",$E1893=""),"",IF(OR($D1893="",$E1893=""),0,ROUND($D1893*$E1893,0))))</f>
        <v/>
      </c>
      <c r="G1893" s="13"/>
      <c r="H1893" s="11"/>
      <c r="I1893" s="15" t="str">
        <f aca="false">IF($F1893="","",$F1893-IF($H1893="",0,$H1893))</f>
        <v/>
      </c>
      <c r="J1893" s="16" t="str">
        <f aca="true">IF(OR($A1893="",$I1893="",$I1893&lt;=0),"",TODAY()-$A1893)</f>
        <v/>
      </c>
      <c r="K1893" s="10"/>
    </row>
    <row r="1894" customFormat="false" ht="15" hidden="false" customHeight="true" outlineLevel="0" collapsed="false">
      <c r="A1894" s="13"/>
      <c r="B1894" s="10"/>
      <c r="C1894" s="10"/>
      <c r="D1894" s="14"/>
      <c r="E1894" s="11"/>
      <c r="F1894" s="15" t="str">
        <f aca="false">IF($B1894="","",IF(AND($D1894="",$E1894=""),"",IF(OR($D1894="",$E1894=""),0,ROUND($D1894*$E1894,0))))</f>
        <v/>
      </c>
      <c r="G1894" s="13"/>
      <c r="H1894" s="11"/>
      <c r="I1894" s="15" t="str">
        <f aca="false">IF($F1894="","",$F1894-IF($H1894="",0,$H1894))</f>
        <v/>
      </c>
      <c r="J1894" s="16" t="str">
        <f aca="true">IF(OR($A1894="",$I1894="",$I1894&lt;=0),"",TODAY()-$A1894)</f>
        <v/>
      </c>
      <c r="K1894" s="10"/>
    </row>
    <row r="1895" customFormat="false" ht="15" hidden="false" customHeight="true" outlineLevel="0" collapsed="false">
      <c r="A1895" s="13"/>
      <c r="B1895" s="10"/>
      <c r="C1895" s="10"/>
      <c r="D1895" s="14"/>
      <c r="E1895" s="11"/>
      <c r="F1895" s="15" t="str">
        <f aca="false">IF($B1895="","",IF(AND($D1895="",$E1895=""),"",IF(OR($D1895="",$E1895=""),0,ROUND($D1895*$E1895,0))))</f>
        <v/>
      </c>
      <c r="G1895" s="13"/>
      <c r="H1895" s="11"/>
      <c r="I1895" s="15" t="str">
        <f aca="false">IF($F1895="","",$F1895-IF($H1895="",0,$H1895))</f>
        <v/>
      </c>
      <c r="J1895" s="16" t="str">
        <f aca="true">IF(OR($A1895="",$I1895="",$I1895&lt;=0),"",TODAY()-$A1895)</f>
        <v/>
      </c>
      <c r="K1895" s="10"/>
    </row>
    <row r="1896" customFormat="false" ht="15" hidden="false" customHeight="true" outlineLevel="0" collapsed="false">
      <c r="A1896" s="13"/>
      <c r="B1896" s="10"/>
      <c r="C1896" s="10"/>
      <c r="D1896" s="14"/>
      <c r="E1896" s="11"/>
      <c r="F1896" s="15" t="str">
        <f aca="false">IF($B1896="","",IF(AND($D1896="",$E1896=""),"",IF(OR($D1896="",$E1896=""),0,ROUND($D1896*$E1896,0))))</f>
        <v/>
      </c>
      <c r="G1896" s="13"/>
      <c r="H1896" s="11"/>
      <c r="I1896" s="15" t="str">
        <f aca="false">IF($F1896="","",$F1896-IF($H1896="",0,$H1896))</f>
        <v/>
      </c>
      <c r="J1896" s="16" t="str">
        <f aca="true">IF(OR($A1896="",$I1896="",$I1896&lt;=0),"",TODAY()-$A1896)</f>
        <v/>
      </c>
      <c r="K1896" s="10"/>
    </row>
    <row r="1897" customFormat="false" ht="15" hidden="false" customHeight="true" outlineLevel="0" collapsed="false">
      <c r="A1897" s="13"/>
      <c r="B1897" s="10"/>
      <c r="C1897" s="10"/>
      <c r="D1897" s="14"/>
      <c r="E1897" s="11"/>
      <c r="F1897" s="15" t="str">
        <f aca="false">IF($B1897="","",IF(AND($D1897="",$E1897=""),"",IF(OR($D1897="",$E1897=""),0,ROUND($D1897*$E1897,0))))</f>
        <v/>
      </c>
      <c r="G1897" s="13"/>
      <c r="H1897" s="11"/>
      <c r="I1897" s="15" t="str">
        <f aca="false">IF($F1897="","",$F1897-IF($H1897="",0,$H1897))</f>
        <v/>
      </c>
      <c r="J1897" s="16" t="str">
        <f aca="true">IF(OR($A1897="",$I1897="",$I1897&lt;=0),"",TODAY()-$A1897)</f>
        <v/>
      </c>
      <c r="K1897" s="10"/>
    </row>
    <row r="1898" customFormat="false" ht="15" hidden="false" customHeight="true" outlineLevel="0" collapsed="false">
      <c r="A1898" s="13"/>
      <c r="B1898" s="10"/>
      <c r="C1898" s="10"/>
      <c r="D1898" s="14"/>
      <c r="E1898" s="11"/>
      <c r="F1898" s="15" t="str">
        <f aca="false">IF($B1898="","",IF(AND($D1898="",$E1898=""),"",IF(OR($D1898="",$E1898=""),0,ROUND($D1898*$E1898,0))))</f>
        <v/>
      </c>
      <c r="G1898" s="13"/>
      <c r="H1898" s="11"/>
      <c r="I1898" s="15" t="str">
        <f aca="false">IF($F1898="","",$F1898-IF($H1898="",0,$H1898))</f>
        <v/>
      </c>
      <c r="J1898" s="16" t="str">
        <f aca="true">IF(OR($A1898="",$I1898="",$I1898&lt;=0),"",TODAY()-$A1898)</f>
        <v/>
      </c>
      <c r="K1898" s="10"/>
    </row>
    <row r="1899" customFormat="false" ht="15" hidden="false" customHeight="true" outlineLevel="0" collapsed="false">
      <c r="A1899" s="13"/>
      <c r="B1899" s="10"/>
      <c r="C1899" s="10"/>
      <c r="D1899" s="14"/>
      <c r="E1899" s="11"/>
      <c r="F1899" s="15" t="str">
        <f aca="false">IF($B1899="","",IF(AND($D1899="",$E1899=""),"",IF(OR($D1899="",$E1899=""),0,ROUND($D1899*$E1899,0))))</f>
        <v/>
      </c>
      <c r="G1899" s="13"/>
      <c r="H1899" s="11"/>
      <c r="I1899" s="15" t="str">
        <f aca="false">IF($F1899="","",$F1899-IF($H1899="",0,$H1899))</f>
        <v/>
      </c>
      <c r="J1899" s="16" t="str">
        <f aca="true">IF(OR($A1899="",$I1899="",$I1899&lt;=0),"",TODAY()-$A1899)</f>
        <v/>
      </c>
      <c r="K1899" s="10"/>
    </row>
    <row r="1900" customFormat="false" ht="15" hidden="false" customHeight="true" outlineLevel="0" collapsed="false">
      <c r="A1900" s="13"/>
      <c r="B1900" s="10"/>
      <c r="C1900" s="10"/>
      <c r="D1900" s="14"/>
      <c r="E1900" s="11"/>
      <c r="F1900" s="15" t="str">
        <f aca="false">IF($B1900="","",IF(AND($D1900="",$E1900=""),"",IF(OR($D1900="",$E1900=""),0,ROUND($D1900*$E1900,0))))</f>
        <v/>
      </c>
      <c r="G1900" s="13"/>
      <c r="H1900" s="11"/>
      <c r="I1900" s="15" t="str">
        <f aca="false">IF($F1900="","",$F1900-IF($H1900="",0,$H1900))</f>
        <v/>
      </c>
      <c r="J1900" s="16" t="str">
        <f aca="true">IF(OR($A1900="",$I1900="",$I1900&lt;=0),"",TODAY()-$A1900)</f>
        <v/>
      </c>
      <c r="K1900" s="10"/>
    </row>
    <row r="1901" customFormat="false" ht="15" hidden="false" customHeight="true" outlineLevel="0" collapsed="false">
      <c r="A1901" s="13"/>
      <c r="B1901" s="10"/>
      <c r="C1901" s="10"/>
      <c r="D1901" s="14"/>
      <c r="E1901" s="11"/>
      <c r="F1901" s="15" t="str">
        <f aca="false">IF($B1901="","",IF(AND($D1901="",$E1901=""),"",IF(OR($D1901="",$E1901=""),0,ROUND($D1901*$E1901,0))))</f>
        <v/>
      </c>
      <c r="G1901" s="13"/>
      <c r="H1901" s="11"/>
      <c r="I1901" s="15" t="str">
        <f aca="false">IF($F1901="","",$F1901-IF($H1901="",0,$H1901))</f>
        <v/>
      </c>
      <c r="J1901" s="16" t="str">
        <f aca="true">IF(OR($A1901="",$I1901="",$I1901&lt;=0),"",TODAY()-$A1901)</f>
        <v/>
      </c>
      <c r="K1901" s="10"/>
    </row>
    <row r="1902" customFormat="false" ht="15" hidden="false" customHeight="true" outlineLevel="0" collapsed="false">
      <c r="A1902" s="13"/>
      <c r="B1902" s="10"/>
      <c r="C1902" s="10"/>
      <c r="D1902" s="14"/>
      <c r="E1902" s="11"/>
      <c r="F1902" s="15" t="str">
        <f aca="false">IF($B1902="","",IF(AND($D1902="",$E1902=""),"",IF(OR($D1902="",$E1902=""),0,ROUND($D1902*$E1902,0))))</f>
        <v/>
      </c>
      <c r="G1902" s="13"/>
      <c r="H1902" s="11"/>
      <c r="I1902" s="15" t="str">
        <f aca="false">IF($F1902="","",$F1902-IF($H1902="",0,$H1902))</f>
        <v/>
      </c>
      <c r="J1902" s="16" t="str">
        <f aca="true">IF(OR($A1902="",$I1902="",$I1902&lt;=0),"",TODAY()-$A1902)</f>
        <v/>
      </c>
      <c r="K1902" s="10"/>
    </row>
    <row r="1903" customFormat="false" ht="15" hidden="false" customHeight="true" outlineLevel="0" collapsed="false">
      <c r="A1903" s="13"/>
      <c r="B1903" s="10"/>
      <c r="C1903" s="10"/>
      <c r="D1903" s="14"/>
      <c r="E1903" s="11"/>
      <c r="F1903" s="15" t="str">
        <f aca="false">IF($B1903="","",IF(AND($D1903="",$E1903=""),"",IF(OR($D1903="",$E1903=""),0,ROUND($D1903*$E1903,0))))</f>
        <v/>
      </c>
      <c r="G1903" s="13"/>
      <c r="H1903" s="11"/>
      <c r="I1903" s="15" t="str">
        <f aca="false">IF($F1903="","",$F1903-IF($H1903="",0,$H1903))</f>
        <v/>
      </c>
      <c r="J1903" s="16" t="str">
        <f aca="true">IF(OR($A1903="",$I1903="",$I1903&lt;=0),"",TODAY()-$A1903)</f>
        <v/>
      </c>
      <c r="K1903" s="10"/>
    </row>
    <row r="1904" customFormat="false" ht="15" hidden="false" customHeight="true" outlineLevel="0" collapsed="false">
      <c r="A1904" s="13"/>
      <c r="B1904" s="10"/>
      <c r="C1904" s="10"/>
      <c r="D1904" s="14"/>
      <c r="E1904" s="11"/>
      <c r="F1904" s="15" t="str">
        <f aca="false">IF($B1904="","",IF(AND($D1904="",$E1904=""),"",IF(OR($D1904="",$E1904=""),0,ROUND($D1904*$E1904,0))))</f>
        <v/>
      </c>
      <c r="G1904" s="13"/>
      <c r="H1904" s="11"/>
      <c r="I1904" s="15" t="str">
        <f aca="false">IF($F1904="","",$F1904-IF($H1904="",0,$H1904))</f>
        <v/>
      </c>
      <c r="J1904" s="16" t="str">
        <f aca="true">IF(OR($A1904="",$I1904="",$I1904&lt;=0),"",TODAY()-$A1904)</f>
        <v/>
      </c>
      <c r="K1904" s="10"/>
    </row>
    <row r="1905" customFormat="false" ht="15" hidden="false" customHeight="true" outlineLevel="0" collapsed="false">
      <c r="A1905" s="13"/>
      <c r="B1905" s="10"/>
      <c r="C1905" s="10"/>
      <c r="D1905" s="14"/>
      <c r="E1905" s="11"/>
      <c r="F1905" s="15" t="str">
        <f aca="false">IF($B1905="","",IF(AND($D1905="",$E1905=""),"",IF(OR($D1905="",$E1905=""),0,ROUND($D1905*$E1905,0))))</f>
        <v/>
      </c>
      <c r="G1905" s="13"/>
      <c r="H1905" s="11"/>
      <c r="I1905" s="15" t="str">
        <f aca="false">IF($F1905="","",$F1905-IF($H1905="",0,$H1905))</f>
        <v/>
      </c>
      <c r="J1905" s="16" t="str">
        <f aca="true">IF(OR($A1905="",$I1905="",$I1905&lt;=0),"",TODAY()-$A1905)</f>
        <v/>
      </c>
      <c r="K1905" s="10"/>
    </row>
    <row r="1906" customFormat="false" ht="15" hidden="false" customHeight="true" outlineLevel="0" collapsed="false">
      <c r="A1906" s="13"/>
      <c r="B1906" s="10"/>
      <c r="C1906" s="10"/>
      <c r="D1906" s="14"/>
      <c r="E1906" s="11"/>
      <c r="F1906" s="15" t="str">
        <f aca="false">IF($B1906="","",IF(AND($D1906="",$E1906=""),"",IF(OR($D1906="",$E1906=""),0,ROUND($D1906*$E1906,0))))</f>
        <v/>
      </c>
      <c r="G1906" s="13"/>
      <c r="H1906" s="11"/>
      <c r="I1906" s="15" t="str">
        <f aca="false">IF($F1906="","",$F1906-IF($H1906="",0,$H1906))</f>
        <v/>
      </c>
      <c r="J1906" s="16" t="str">
        <f aca="true">IF(OR($A1906="",$I1906="",$I1906&lt;=0),"",TODAY()-$A1906)</f>
        <v/>
      </c>
      <c r="K1906" s="10"/>
    </row>
    <row r="1907" customFormat="false" ht="15" hidden="false" customHeight="true" outlineLevel="0" collapsed="false">
      <c r="A1907" s="13"/>
      <c r="B1907" s="10"/>
      <c r="C1907" s="10"/>
      <c r="D1907" s="14"/>
      <c r="E1907" s="11"/>
      <c r="F1907" s="15" t="str">
        <f aca="false">IF($B1907="","",IF(AND($D1907="",$E1907=""),"",IF(OR($D1907="",$E1907=""),0,ROUND($D1907*$E1907,0))))</f>
        <v/>
      </c>
      <c r="G1907" s="13"/>
      <c r="H1907" s="11"/>
      <c r="I1907" s="15" t="str">
        <f aca="false">IF($F1907="","",$F1907-IF($H1907="",0,$H1907))</f>
        <v/>
      </c>
      <c r="J1907" s="16" t="str">
        <f aca="true">IF(OR($A1907="",$I1907="",$I1907&lt;=0),"",TODAY()-$A1907)</f>
        <v/>
      </c>
      <c r="K1907" s="10"/>
    </row>
    <row r="1908" customFormat="false" ht="15" hidden="false" customHeight="true" outlineLevel="0" collapsed="false">
      <c r="A1908" s="13"/>
      <c r="B1908" s="10"/>
      <c r="C1908" s="10"/>
      <c r="D1908" s="14"/>
      <c r="E1908" s="11"/>
      <c r="F1908" s="15" t="str">
        <f aca="false">IF($B1908="","",IF(AND($D1908="",$E1908=""),"",IF(OR($D1908="",$E1908=""),0,ROUND($D1908*$E1908,0))))</f>
        <v/>
      </c>
      <c r="G1908" s="13"/>
      <c r="H1908" s="11"/>
      <c r="I1908" s="15" t="str">
        <f aca="false">IF($F1908="","",$F1908-IF($H1908="",0,$H1908))</f>
        <v/>
      </c>
      <c r="J1908" s="16" t="str">
        <f aca="true">IF(OR($A1908="",$I1908="",$I1908&lt;=0),"",TODAY()-$A1908)</f>
        <v/>
      </c>
      <c r="K1908" s="10"/>
    </row>
    <row r="1909" customFormat="false" ht="15" hidden="false" customHeight="true" outlineLevel="0" collapsed="false">
      <c r="A1909" s="13"/>
      <c r="B1909" s="10"/>
      <c r="C1909" s="10"/>
      <c r="D1909" s="14"/>
      <c r="E1909" s="11"/>
      <c r="F1909" s="15" t="str">
        <f aca="false">IF($B1909="","",IF(AND($D1909="",$E1909=""),"",IF(OR($D1909="",$E1909=""),0,ROUND($D1909*$E1909,0))))</f>
        <v/>
      </c>
      <c r="G1909" s="13"/>
      <c r="H1909" s="11"/>
      <c r="I1909" s="15" t="str">
        <f aca="false">IF($F1909="","",$F1909-IF($H1909="",0,$H1909))</f>
        <v/>
      </c>
      <c r="J1909" s="16" t="str">
        <f aca="true">IF(OR($A1909="",$I1909="",$I1909&lt;=0),"",TODAY()-$A1909)</f>
        <v/>
      </c>
      <c r="K1909" s="10"/>
    </row>
    <row r="1910" customFormat="false" ht="15" hidden="false" customHeight="true" outlineLevel="0" collapsed="false">
      <c r="A1910" s="13"/>
      <c r="B1910" s="10"/>
      <c r="C1910" s="10"/>
      <c r="D1910" s="14"/>
      <c r="E1910" s="11"/>
      <c r="F1910" s="15" t="str">
        <f aca="false">IF($B1910="","",IF(AND($D1910="",$E1910=""),"",IF(OR($D1910="",$E1910=""),0,ROUND($D1910*$E1910,0))))</f>
        <v/>
      </c>
      <c r="G1910" s="13"/>
      <c r="H1910" s="11"/>
      <c r="I1910" s="15" t="str">
        <f aca="false">IF($F1910="","",$F1910-IF($H1910="",0,$H1910))</f>
        <v/>
      </c>
      <c r="J1910" s="16" t="str">
        <f aca="true">IF(OR($A1910="",$I1910="",$I1910&lt;=0),"",TODAY()-$A1910)</f>
        <v/>
      </c>
      <c r="K1910" s="10"/>
    </row>
    <row r="1911" customFormat="false" ht="15" hidden="false" customHeight="true" outlineLevel="0" collapsed="false">
      <c r="A1911" s="13"/>
      <c r="B1911" s="10"/>
      <c r="C1911" s="10"/>
      <c r="D1911" s="14"/>
      <c r="E1911" s="11"/>
      <c r="F1911" s="15" t="str">
        <f aca="false">IF($B1911="","",IF(AND($D1911="",$E1911=""),"",IF(OR($D1911="",$E1911=""),0,ROUND($D1911*$E1911,0))))</f>
        <v/>
      </c>
      <c r="G1911" s="13"/>
      <c r="H1911" s="11"/>
      <c r="I1911" s="15" t="str">
        <f aca="false">IF($F1911="","",$F1911-IF($H1911="",0,$H1911))</f>
        <v/>
      </c>
      <c r="J1911" s="16" t="str">
        <f aca="true">IF(OR($A1911="",$I1911="",$I1911&lt;=0),"",TODAY()-$A1911)</f>
        <v/>
      </c>
      <c r="K1911" s="10"/>
    </row>
    <row r="1912" customFormat="false" ht="15" hidden="false" customHeight="true" outlineLevel="0" collapsed="false">
      <c r="A1912" s="13"/>
      <c r="B1912" s="10"/>
      <c r="C1912" s="10"/>
      <c r="D1912" s="14"/>
      <c r="E1912" s="11"/>
      <c r="F1912" s="15" t="str">
        <f aca="false">IF($B1912="","",IF(AND($D1912="",$E1912=""),"",IF(OR($D1912="",$E1912=""),0,ROUND($D1912*$E1912,0))))</f>
        <v/>
      </c>
      <c r="G1912" s="13"/>
      <c r="H1912" s="11"/>
      <c r="I1912" s="15" t="str">
        <f aca="false">IF($F1912="","",$F1912-IF($H1912="",0,$H1912))</f>
        <v/>
      </c>
      <c r="J1912" s="16" t="str">
        <f aca="true">IF(OR($A1912="",$I1912="",$I1912&lt;=0),"",TODAY()-$A1912)</f>
        <v/>
      </c>
      <c r="K1912" s="10"/>
    </row>
    <row r="1913" customFormat="false" ht="15" hidden="false" customHeight="true" outlineLevel="0" collapsed="false">
      <c r="A1913" s="13"/>
      <c r="B1913" s="10"/>
      <c r="C1913" s="10"/>
      <c r="D1913" s="14"/>
      <c r="E1913" s="11"/>
      <c r="F1913" s="15" t="str">
        <f aca="false">IF($B1913="","",IF(AND($D1913="",$E1913=""),"",IF(OR($D1913="",$E1913=""),0,ROUND($D1913*$E1913,0))))</f>
        <v/>
      </c>
      <c r="G1913" s="13"/>
      <c r="H1913" s="11"/>
      <c r="I1913" s="15" t="str">
        <f aca="false">IF($F1913="","",$F1913-IF($H1913="",0,$H1913))</f>
        <v/>
      </c>
      <c r="J1913" s="16" t="str">
        <f aca="true">IF(OR($A1913="",$I1913="",$I1913&lt;=0),"",TODAY()-$A1913)</f>
        <v/>
      </c>
      <c r="K1913" s="10"/>
    </row>
    <row r="1914" customFormat="false" ht="15" hidden="false" customHeight="true" outlineLevel="0" collapsed="false">
      <c r="A1914" s="13"/>
      <c r="B1914" s="10"/>
      <c r="C1914" s="10"/>
      <c r="D1914" s="14"/>
      <c r="E1914" s="11"/>
      <c r="F1914" s="15" t="str">
        <f aca="false">IF($B1914="","",IF(AND($D1914="",$E1914=""),"",IF(OR($D1914="",$E1914=""),0,ROUND($D1914*$E1914,0))))</f>
        <v/>
      </c>
      <c r="G1914" s="13"/>
      <c r="H1914" s="11"/>
      <c r="I1914" s="15" t="str">
        <f aca="false">IF($F1914="","",$F1914-IF($H1914="",0,$H1914))</f>
        <v/>
      </c>
      <c r="J1914" s="16" t="str">
        <f aca="true">IF(OR($A1914="",$I1914="",$I1914&lt;=0),"",TODAY()-$A1914)</f>
        <v/>
      </c>
      <c r="K1914" s="10"/>
    </row>
    <row r="1915" customFormat="false" ht="15" hidden="false" customHeight="true" outlineLevel="0" collapsed="false">
      <c r="A1915" s="13"/>
      <c r="B1915" s="10"/>
      <c r="C1915" s="10"/>
      <c r="D1915" s="14"/>
      <c r="E1915" s="11"/>
      <c r="F1915" s="15" t="str">
        <f aca="false">IF($B1915="","",IF(AND($D1915="",$E1915=""),"",IF(OR($D1915="",$E1915=""),0,ROUND($D1915*$E1915,0))))</f>
        <v/>
      </c>
      <c r="G1915" s="13"/>
      <c r="H1915" s="11"/>
      <c r="I1915" s="15" t="str">
        <f aca="false">IF($F1915="","",$F1915-IF($H1915="",0,$H1915))</f>
        <v/>
      </c>
      <c r="J1915" s="16" t="str">
        <f aca="true">IF(OR($A1915="",$I1915="",$I1915&lt;=0),"",TODAY()-$A1915)</f>
        <v/>
      </c>
      <c r="K1915" s="10"/>
    </row>
    <row r="1916" customFormat="false" ht="15" hidden="false" customHeight="true" outlineLevel="0" collapsed="false">
      <c r="A1916" s="13"/>
      <c r="B1916" s="10"/>
      <c r="C1916" s="10"/>
      <c r="D1916" s="14"/>
      <c r="E1916" s="11"/>
      <c r="F1916" s="15" t="str">
        <f aca="false">IF($B1916="","",IF(AND($D1916="",$E1916=""),"",IF(OR($D1916="",$E1916=""),0,ROUND($D1916*$E1916,0))))</f>
        <v/>
      </c>
      <c r="G1916" s="13"/>
      <c r="H1916" s="11"/>
      <c r="I1916" s="15" t="str">
        <f aca="false">IF($F1916="","",$F1916-IF($H1916="",0,$H1916))</f>
        <v/>
      </c>
      <c r="J1916" s="16" t="str">
        <f aca="true">IF(OR($A1916="",$I1916="",$I1916&lt;=0),"",TODAY()-$A1916)</f>
        <v/>
      </c>
      <c r="K1916" s="10"/>
    </row>
    <row r="1917" customFormat="false" ht="15" hidden="false" customHeight="true" outlineLevel="0" collapsed="false">
      <c r="A1917" s="13"/>
      <c r="B1917" s="10"/>
      <c r="C1917" s="10"/>
      <c r="D1917" s="14"/>
      <c r="E1917" s="11"/>
      <c r="F1917" s="15" t="str">
        <f aca="false">IF($B1917="","",IF(AND($D1917="",$E1917=""),"",IF(OR($D1917="",$E1917=""),0,ROUND($D1917*$E1917,0))))</f>
        <v/>
      </c>
      <c r="G1917" s="13"/>
      <c r="H1917" s="11"/>
      <c r="I1917" s="15" t="str">
        <f aca="false">IF($F1917="","",$F1917-IF($H1917="",0,$H1917))</f>
        <v/>
      </c>
      <c r="J1917" s="16" t="str">
        <f aca="true">IF(OR($A1917="",$I1917="",$I1917&lt;=0),"",TODAY()-$A1917)</f>
        <v/>
      </c>
      <c r="K1917" s="10"/>
    </row>
    <row r="1918" customFormat="false" ht="15" hidden="false" customHeight="true" outlineLevel="0" collapsed="false">
      <c r="A1918" s="13"/>
      <c r="B1918" s="10"/>
      <c r="C1918" s="10"/>
      <c r="D1918" s="14"/>
      <c r="E1918" s="11"/>
      <c r="F1918" s="15" t="str">
        <f aca="false">IF($B1918="","",IF(AND($D1918="",$E1918=""),"",IF(OR($D1918="",$E1918=""),0,ROUND($D1918*$E1918,0))))</f>
        <v/>
      </c>
      <c r="G1918" s="13"/>
      <c r="H1918" s="11"/>
      <c r="I1918" s="15" t="str">
        <f aca="false">IF($F1918="","",$F1918-IF($H1918="",0,$H1918))</f>
        <v/>
      </c>
      <c r="J1918" s="16" t="str">
        <f aca="true">IF(OR($A1918="",$I1918="",$I1918&lt;=0),"",TODAY()-$A1918)</f>
        <v/>
      </c>
      <c r="K1918" s="10"/>
    </row>
    <row r="1919" customFormat="false" ht="15" hidden="false" customHeight="true" outlineLevel="0" collapsed="false">
      <c r="A1919" s="13"/>
      <c r="B1919" s="10"/>
      <c r="C1919" s="10"/>
      <c r="D1919" s="14"/>
      <c r="E1919" s="11"/>
      <c r="F1919" s="15" t="str">
        <f aca="false">IF($B1919="","",IF(AND($D1919="",$E1919=""),"",IF(OR($D1919="",$E1919=""),0,ROUND($D1919*$E1919,0))))</f>
        <v/>
      </c>
      <c r="G1919" s="13"/>
      <c r="H1919" s="11"/>
      <c r="I1919" s="15" t="str">
        <f aca="false">IF($F1919="","",$F1919-IF($H1919="",0,$H1919))</f>
        <v/>
      </c>
      <c r="J1919" s="16" t="str">
        <f aca="true">IF(OR($A1919="",$I1919="",$I1919&lt;=0),"",TODAY()-$A1919)</f>
        <v/>
      </c>
      <c r="K1919" s="10"/>
    </row>
    <row r="1920" customFormat="false" ht="15" hidden="false" customHeight="true" outlineLevel="0" collapsed="false">
      <c r="A1920" s="13"/>
      <c r="B1920" s="10"/>
      <c r="C1920" s="10"/>
      <c r="D1920" s="14"/>
      <c r="E1920" s="11"/>
      <c r="F1920" s="15" t="str">
        <f aca="false">IF($B1920="","",IF(AND($D1920="",$E1920=""),"",IF(OR($D1920="",$E1920=""),0,ROUND($D1920*$E1920,0))))</f>
        <v/>
      </c>
      <c r="G1920" s="13"/>
      <c r="H1920" s="11"/>
      <c r="I1920" s="15" t="str">
        <f aca="false">IF($F1920="","",$F1920-IF($H1920="",0,$H1920))</f>
        <v/>
      </c>
      <c r="J1920" s="16" t="str">
        <f aca="true">IF(OR($A1920="",$I1920="",$I1920&lt;=0),"",TODAY()-$A1920)</f>
        <v/>
      </c>
      <c r="K1920" s="10"/>
    </row>
    <row r="1921" customFormat="false" ht="15" hidden="false" customHeight="true" outlineLevel="0" collapsed="false">
      <c r="A1921" s="13"/>
      <c r="B1921" s="10"/>
      <c r="C1921" s="10"/>
      <c r="D1921" s="14"/>
      <c r="E1921" s="11"/>
      <c r="F1921" s="15" t="str">
        <f aca="false">IF($B1921="","",IF(AND($D1921="",$E1921=""),"",IF(OR($D1921="",$E1921=""),0,ROUND($D1921*$E1921,0))))</f>
        <v/>
      </c>
      <c r="G1921" s="13"/>
      <c r="H1921" s="11"/>
      <c r="I1921" s="15" t="str">
        <f aca="false">IF($F1921="","",$F1921-IF($H1921="",0,$H1921))</f>
        <v/>
      </c>
      <c r="J1921" s="16" t="str">
        <f aca="true">IF(OR($A1921="",$I1921="",$I1921&lt;=0),"",TODAY()-$A1921)</f>
        <v/>
      </c>
      <c r="K1921" s="10"/>
    </row>
    <row r="1922" customFormat="false" ht="15" hidden="false" customHeight="true" outlineLevel="0" collapsed="false">
      <c r="A1922" s="13"/>
      <c r="B1922" s="10"/>
      <c r="C1922" s="10"/>
      <c r="D1922" s="14"/>
      <c r="E1922" s="11"/>
      <c r="F1922" s="15" t="str">
        <f aca="false">IF($B1922="","",IF(AND($D1922="",$E1922=""),"",IF(OR($D1922="",$E1922=""),0,ROUND($D1922*$E1922,0))))</f>
        <v/>
      </c>
      <c r="G1922" s="13"/>
      <c r="H1922" s="11"/>
      <c r="I1922" s="15" t="str">
        <f aca="false">IF($F1922="","",$F1922-IF($H1922="",0,$H1922))</f>
        <v/>
      </c>
      <c r="J1922" s="16" t="str">
        <f aca="true">IF(OR($A1922="",$I1922="",$I1922&lt;=0),"",TODAY()-$A1922)</f>
        <v/>
      </c>
      <c r="K1922" s="10"/>
    </row>
    <row r="1923" customFormat="false" ht="15" hidden="false" customHeight="true" outlineLevel="0" collapsed="false">
      <c r="A1923" s="13"/>
      <c r="B1923" s="10"/>
      <c r="C1923" s="10"/>
      <c r="D1923" s="14"/>
      <c r="E1923" s="11"/>
      <c r="F1923" s="15" t="str">
        <f aca="false">IF($B1923="","",IF(AND($D1923="",$E1923=""),"",IF(OR($D1923="",$E1923=""),0,ROUND($D1923*$E1923,0))))</f>
        <v/>
      </c>
      <c r="G1923" s="13"/>
      <c r="H1923" s="11"/>
      <c r="I1923" s="15" t="str">
        <f aca="false">IF($F1923="","",$F1923-IF($H1923="",0,$H1923))</f>
        <v/>
      </c>
      <c r="J1923" s="16" t="str">
        <f aca="true">IF(OR($A1923="",$I1923="",$I1923&lt;=0),"",TODAY()-$A1923)</f>
        <v/>
      </c>
      <c r="K1923" s="10"/>
    </row>
    <row r="1924" customFormat="false" ht="15" hidden="false" customHeight="true" outlineLevel="0" collapsed="false">
      <c r="A1924" s="13"/>
      <c r="B1924" s="10"/>
      <c r="C1924" s="10"/>
      <c r="D1924" s="14"/>
      <c r="E1924" s="11"/>
      <c r="F1924" s="15" t="str">
        <f aca="false">IF($B1924="","",IF(AND($D1924="",$E1924=""),"",IF(OR($D1924="",$E1924=""),0,ROUND($D1924*$E1924,0))))</f>
        <v/>
      </c>
      <c r="G1924" s="13"/>
      <c r="H1924" s="11"/>
      <c r="I1924" s="15" t="str">
        <f aca="false">IF($F1924="","",$F1924-IF($H1924="",0,$H1924))</f>
        <v/>
      </c>
      <c r="J1924" s="16" t="str">
        <f aca="true">IF(OR($A1924="",$I1924="",$I1924&lt;=0),"",TODAY()-$A1924)</f>
        <v/>
      </c>
      <c r="K1924" s="10"/>
    </row>
    <row r="1925" customFormat="false" ht="15" hidden="false" customHeight="true" outlineLevel="0" collapsed="false">
      <c r="A1925" s="13"/>
      <c r="B1925" s="10"/>
      <c r="C1925" s="10"/>
      <c r="D1925" s="14"/>
      <c r="E1925" s="11"/>
      <c r="F1925" s="15" t="str">
        <f aca="false">IF($B1925="","",IF(AND($D1925="",$E1925=""),"",IF(OR($D1925="",$E1925=""),0,ROUND($D1925*$E1925,0))))</f>
        <v/>
      </c>
      <c r="G1925" s="13"/>
      <c r="H1925" s="11"/>
      <c r="I1925" s="15" t="str">
        <f aca="false">IF($F1925="","",$F1925-IF($H1925="",0,$H1925))</f>
        <v/>
      </c>
      <c r="J1925" s="16" t="str">
        <f aca="true">IF(OR($A1925="",$I1925="",$I1925&lt;=0),"",TODAY()-$A1925)</f>
        <v/>
      </c>
      <c r="K1925" s="10"/>
    </row>
    <row r="1926" customFormat="false" ht="15" hidden="false" customHeight="true" outlineLevel="0" collapsed="false">
      <c r="A1926" s="13"/>
      <c r="B1926" s="10"/>
      <c r="C1926" s="10"/>
      <c r="D1926" s="14"/>
      <c r="E1926" s="11"/>
      <c r="F1926" s="15" t="str">
        <f aca="false">IF($B1926="","",IF(AND($D1926="",$E1926=""),"",IF(OR($D1926="",$E1926=""),0,ROUND($D1926*$E1926,0))))</f>
        <v/>
      </c>
      <c r="G1926" s="13"/>
      <c r="H1926" s="11"/>
      <c r="I1926" s="15" t="str">
        <f aca="false">IF($F1926="","",$F1926-IF($H1926="",0,$H1926))</f>
        <v/>
      </c>
      <c r="J1926" s="16" t="str">
        <f aca="true">IF(OR($A1926="",$I1926="",$I1926&lt;=0),"",TODAY()-$A1926)</f>
        <v/>
      </c>
      <c r="K1926" s="10"/>
    </row>
    <row r="1927" customFormat="false" ht="15" hidden="false" customHeight="true" outlineLevel="0" collapsed="false">
      <c r="A1927" s="13"/>
      <c r="B1927" s="10"/>
      <c r="C1927" s="10"/>
      <c r="D1927" s="14"/>
      <c r="E1927" s="11"/>
      <c r="F1927" s="15" t="str">
        <f aca="false">IF($B1927="","",IF(AND($D1927="",$E1927=""),"",IF(OR($D1927="",$E1927=""),0,ROUND($D1927*$E1927,0))))</f>
        <v/>
      </c>
      <c r="G1927" s="13"/>
      <c r="H1927" s="11"/>
      <c r="I1927" s="15" t="str">
        <f aca="false">IF($F1927="","",$F1927-IF($H1927="",0,$H1927))</f>
        <v/>
      </c>
      <c r="J1927" s="16" t="str">
        <f aca="true">IF(OR($A1927="",$I1927="",$I1927&lt;=0),"",TODAY()-$A1927)</f>
        <v/>
      </c>
      <c r="K1927" s="10"/>
    </row>
    <row r="1928" customFormat="false" ht="15" hidden="false" customHeight="true" outlineLevel="0" collapsed="false">
      <c r="A1928" s="13"/>
      <c r="B1928" s="10"/>
      <c r="C1928" s="10"/>
      <c r="D1928" s="14"/>
      <c r="E1928" s="11"/>
      <c r="F1928" s="15" t="str">
        <f aca="false">IF($B1928="","",IF(AND($D1928="",$E1928=""),"",IF(OR($D1928="",$E1928=""),0,ROUND($D1928*$E1928,0))))</f>
        <v/>
      </c>
      <c r="G1928" s="13"/>
      <c r="H1928" s="11"/>
      <c r="I1928" s="15" t="str">
        <f aca="false">IF($F1928="","",$F1928-IF($H1928="",0,$H1928))</f>
        <v/>
      </c>
      <c r="J1928" s="16" t="str">
        <f aca="true">IF(OR($A1928="",$I1928="",$I1928&lt;=0),"",TODAY()-$A1928)</f>
        <v/>
      </c>
      <c r="K1928" s="10"/>
    </row>
    <row r="1929" customFormat="false" ht="15" hidden="false" customHeight="true" outlineLevel="0" collapsed="false">
      <c r="A1929" s="13"/>
      <c r="B1929" s="10"/>
      <c r="C1929" s="10"/>
      <c r="D1929" s="14"/>
      <c r="E1929" s="11"/>
      <c r="F1929" s="15" t="str">
        <f aca="false">IF($B1929="","",IF(AND($D1929="",$E1929=""),"",IF(OR($D1929="",$E1929=""),0,ROUND($D1929*$E1929,0))))</f>
        <v/>
      </c>
      <c r="G1929" s="13"/>
      <c r="H1929" s="11"/>
      <c r="I1929" s="15" t="str">
        <f aca="false">IF($F1929="","",$F1929-IF($H1929="",0,$H1929))</f>
        <v/>
      </c>
      <c r="J1929" s="16" t="str">
        <f aca="true">IF(OR($A1929="",$I1929="",$I1929&lt;=0),"",TODAY()-$A1929)</f>
        <v/>
      </c>
      <c r="K1929" s="10"/>
    </row>
    <row r="1930" customFormat="false" ht="15" hidden="false" customHeight="true" outlineLevel="0" collapsed="false">
      <c r="A1930" s="13"/>
      <c r="B1930" s="10"/>
      <c r="C1930" s="10"/>
      <c r="D1930" s="14"/>
      <c r="E1930" s="11"/>
      <c r="F1930" s="15" t="str">
        <f aca="false">IF($B1930="","",IF(AND($D1930="",$E1930=""),"",IF(OR($D1930="",$E1930=""),0,ROUND($D1930*$E1930,0))))</f>
        <v/>
      </c>
      <c r="G1930" s="13"/>
      <c r="H1930" s="11"/>
      <c r="I1930" s="15" t="str">
        <f aca="false">IF($F1930="","",$F1930-IF($H1930="",0,$H1930))</f>
        <v/>
      </c>
      <c r="J1930" s="16" t="str">
        <f aca="true">IF(OR($A1930="",$I1930="",$I1930&lt;=0),"",TODAY()-$A1930)</f>
        <v/>
      </c>
      <c r="K1930" s="10"/>
    </row>
    <row r="1931" customFormat="false" ht="15" hidden="false" customHeight="true" outlineLevel="0" collapsed="false">
      <c r="A1931" s="13"/>
      <c r="B1931" s="10"/>
      <c r="C1931" s="10"/>
      <c r="D1931" s="14"/>
      <c r="E1931" s="11"/>
      <c r="F1931" s="15" t="str">
        <f aca="false">IF($B1931="","",IF(AND($D1931="",$E1931=""),"",IF(OR($D1931="",$E1931=""),0,ROUND($D1931*$E1931,0))))</f>
        <v/>
      </c>
      <c r="G1931" s="13"/>
      <c r="H1931" s="11"/>
      <c r="I1931" s="15" t="str">
        <f aca="false">IF($F1931="","",$F1931-IF($H1931="",0,$H1931))</f>
        <v/>
      </c>
      <c r="J1931" s="16" t="str">
        <f aca="true">IF(OR($A1931="",$I1931="",$I1931&lt;=0),"",TODAY()-$A1931)</f>
        <v/>
      </c>
      <c r="K1931" s="10"/>
    </row>
    <row r="1932" customFormat="false" ht="15" hidden="false" customHeight="true" outlineLevel="0" collapsed="false">
      <c r="A1932" s="13"/>
      <c r="B1932" s="10"/>
      <c r="C1932" s="10"/>
      <c r="D1932" s="14"/>
      <c r="E1932" s="11"/>
      <c r="F1932" s="15" t="str">
        <f aca="false">IF($B1932="","",IF(AND($D1932="",$E1932=""),"",IF(OR($D1932="",$E1932=""),0,ROUND($D1932*$E1932,0))))</f>
        <v/>
      </c>
      <c r="G1932" s="13"/>
      <c r="H1932" s="11"/>
      <c r="I1932" s="15" t="str">
        <f aca="false">IF($F1932="","",$F1932-IF($H1932="",0,$H1932))</f>
        <v/>
      </c>
      <c r="J1932" s="16" t="str">
        <f aca="true">IF(OR($A1932="",$I1932="",$I1932&lt;=0),"",TODAY()-$A1932)</f>
        <v/>
      </c>
      <c r="K1932" s="10"/>
    </row>
    <row r="1933" customFormat="false" ht="15" hidden="false" customHeight="true" outlineLevel="0" collapsed="false">
      <c r="A1933" s="13"/>
      <c r="B1933" s="10"/>
      <c r="C1933" s="10"/>
      <c r="D1933" s="14"/>
      <c r="E1933" s="11"/>
      <c r="F1933" s="15" t="str">
        <f aca="false">IF($B1933="","",IF(AND($D1933="",$E1933=""),"",IF(OR($D1933="",$E1933=""),0,ROUND($D1933*$E1933,0))))</f>
        <v/>
      </c>
      <c r="G1933" s="13"/>
      <c r="H1933" s="11"/>
      <c r="I1933" s="15" t="str">
        <f aca="false">IF($F1933="","",$F1933-IF($H1933="",0,$H1933))</f>
        <v/>
      </c>
      <c r="J1933" s="16" t="str">
        <f aca="true">IF(OR($A1933="",$I1933="",$I1933&lt;=0),"",TODAY()-$A1933)</f>
        <v/>
      </c>
      <c r="K1933" s="10"/>
    </row>
    <row r="1934" customFormat="false" ht="15" hidden="false" customHeight="true" outlineLevel="0" collapsed="false">
      <c r="A1934" s="13"/>
      <c r="B1934" s="10"/>
      <c r="C1934" s="10"/>
      <c r="D1934" s="14"/>
      <c r="E1934" s="11"/>
      <c r="F1934" s="15" t="str">
        <f aca="false">IF($B1934="","",IF(AND($D1934="",$E1934=""),"",IF(OR($D1934="",$E1934=""),0,ROUND($D1934*$E1934,0))))</f>
        <v/>
      </c>
      <c r="G1934" s="13"/>
      <c r="H1934" s="11"/>
      <c r="I1934" s="15" t="str">
        <f aca="false">IF($F1934="","",$F1934-IF($H1934="",0,$H1934))</f>
        <v/>
      </c>
      <c r="J1934" s="16" t="str">
        <f aca="true">IF(OR($A1934="",$I1934="",$I1934&lt;=0),"",TODAY()-$A1934)</f>
        <v/>
      </c>
      <c r="K1934" s="10"/>
    </row>
    <row r="1935" customFormat="false" ht="15" hidden="false" customHeight="true" outlineLevel="0" collapsed="false">
      <c r="A1935" s="13"/>
      <c r="B1935" s="10"/>
      <c r="C1935" s="10"/>
      <c r="D1935" s="14"/>
      <c r="E1935" s="11"/>
      <c r="F1935" s="15" t="str">
        <f aca="false">IF($B1935="","",IF(AND($D1935="",$E1935=""),"",IF(OR($D1935="",$E1935=""),0,ROUND($D1935*$E1935,0))))</f>
        <v/>
      </c>
      <c r="G1935" s="13"/>
      <c r="H1935" s="11"/>
      <c r="I1935" s="15" t="str">
        <f aca="false">IF($F1935="","",$F1935-IF($H1935="",0,$H1935))</f>
        <v/>
      </c>
      <c r="J1935" s="16" t="str">
        <f aca="true">IF(OR($A1935="",$I1935="",$I1935&lt;=0),"",TODAY()-$A1935)</f>
        <v/>
      </c>
      <c r="K1935" s="10"/>
    </row>
    <row r="1936" customFormat="false" ht="15" hidden="false" customHeight="true" outlineLevel="0" collapsed="false">
      <c r="A1936" s="13"/>
      <c r="B1936" s="10"/>
      <c r="C1936" s="10"/>
      <c r="D1936" s="14"/>
      <c r="E1936" s="11"/>
      <c r="F1936" s="15" t="str">
        <f aca="false">IF($B1936="","",IF(AND($D1936="",$E1936=""),"",IF(OR($D1936="",$E1936=""),0,ROUND($D1936*$E1936,0))))</f>
        <v/>
      </c>
      <c r="G1936" s="13"/>
      <c r="H1936" s="11"/>
      <c r="I1936" s="15" t="str">
        <f aca="false">IF($F1936="","",$F1936-IF($H1936="",0,$H1936))</f>
        <v/>
      </c>
      <c r="J1936" s="16" t="str">
        <f aca="true">IF(OR($A1936="",$I1936="",$I1936&lt;=0),"",TODAY()-$A1936)</f>
        <v/>
      </c>
      <c r="K1936" s="10"/>
    </row>
    <row r="1937" customFormat="false" ht="15" hidden="false" customHeight="true" outlineLevel="0" collapsed="false">
      <c r="A1937" s="13"/>
      <c r="B1937" s="10"/>
      <c r="C1937" s="10"/>
      <c r="D1937" s="14"/>
      <c r="E1937" s="11"/>
      <c r="F1937" s="15" t="str">
        <f aca="false">IF($B1937="","",IF(AND($D1937="",$E1937=""),"",IF(OR($D1937="",$E1937=""),0,ROUND($D1937*$E1937,0))))</f>
        <v/>
      </c>
      <c r="G1937" s="13"/>
      <c r="H1937" s="11"/>
      <c r="I1937" s="15" t="str">
        <f aca="false">IF($F1937="","",$F1937-IF($H1937="",0,$H1937))</f>
        <v/>
      </c>
      <c r="J1937" s="16" t="str">
        <f aca="true">IF(OR($A1937="",$I1937="",$I1937&lt;=0),"",TODAY()-$A1937)</f>
        <v/>
      </c>
      <c r="K1937" s="10"/>
    </row>
    <row r="1938" customFormat="false" ht="15" hidden="false" customHeight="true" outlineLevel="0" collapsed="false">
      <c r="A1938" s="13"/>
      <c r="B1938" s="10"/>
      <c r="C1938" s="10"/>
      <c r="D1938" s="14"/>
      <c r="E1938" s="11"/>
      <c r="F1938" s="15" t="str">
        <f aca="false">IF($B1938="","",IF(AND($D1938="",$E1938=""),"",IF(OR($D1938="",$E1938=""),0,ROUND($D1938*$E1938,0))))</f>
        <v/>
      </c>
      <c r="G1938" s="13"/>
      <c r="H1938" s="11"/>
      <c r="I1938" s="15" t="str">
        <f aca="false">IF($F1938="","",$F1938-IF($H1938="",0,$H1938))</f>
        <v/>
      </c>
      <c r="J1938" s="16" t="str">
        <f aca="true">IF(OR($A1938="",$I1938="",$I1938&lt;=0),"",TODAY()-$A1938)</f>
        <v/>
      </c>
      <c r="K1938" s="10"/>
    </row>
    <row r="1939" customFormat="false" ht="15" hidden="false" customHeight="true" outlineLevel="0" collapsed="false">
      <c r="A1939" s="13"/>
      <c r="B1939" s="10"/>
      <c r="C1939" s="10"/>
      <c r="D1939" s="14"/>
      <c r="E1939" s="11"/>
      <c r="F1939" s="15" t="str">
        <f aca="false">IF($B1939="","",IF(AND($D1939="",$E1939=""),"",IF(OR($D1939="",$E1939=""),0,ROUND($D1939*$E1939,0))))</f>
        <v/>
      </c>
      <c r="G1939" s="13"/>
      <c r="H1939" s="11"/>
      <c r="I1939" s="15" t="str">
        <f aca="false">IF($F1939="","",$F1939-IF($H1939="",0,$H1939))</f>
        <v/>
      </c>
      <c r="J1939" s="16" t="str">
        <f aca="true">IF(OR($A1939="",$I1939="",$I1939&lt;=0),"",TODAY()-$A1939)</f>
        <v/>
      </c>
      <c r="K1939" s="10"/>
    </row>
    <row r="1940" customFormat="false" ht="15" hidden="false" customHeight="true" outlineLevel="0" collapsed="false">
      <c r="A1940" s="13"/>
      <c r="B1940" s="10"/>
      <c r="C1940" s="10"/>
      <c r="D1940" s="14"/>
      <c r="E1940" s="11"/>
      <c r="F1940" s="15" t="str">
        <f aca="false">IF($B1940="","",IF(AND($D1940="",$E1940=""),"",IF(OR($D1940="",$E1940=""),0,ROUND($D1940*$E1940,0))))</f>
        <v/>
      </c>
      <c r="G1940" s="13"/>
      <c r="H1940" s="11"/>
      <c r="I1940" s="15" t="str">
        <f aca="false">IF($F1940="","",$F1940-IF($H1940="",0,$H1940))</f>
        <v/>
      </c>
      <c r="J1940" s="16" t="str">
        <f aca="true">IF(OR($A1940="",$I1940="",$I1940&lt;=0),"",TODAY()-$A1940)</f>
        <v/>
      </c>
      <c r="K1940" s="10"/>
    </row>
    <row r="1941" customFormat="false" ht="15" hidden="false" customHeight="true" outlineLevel="0" collapsed="false">
      <c r="A1941" s="13"/>
      <c r="B1941" s="10"/>
      <c r="C1941" s="10"/>
      <c r="D1941" s="14"/>
      <c r="E1941" s="11"/>
      <c r="F1941" s="15" t="str">
        <f aca="false">IF($B1941="","",IF(AND($D1941="",$E1941=""),"",IF(OR($D1941="",$E1941=""),0,ROUND($D1941*$E1941,0))))</f>
        <v/>
      </c>
      <c r="G1941" s="13"/>
      <c r="H1941" s="11"/>
      <c r="I1941" s="15" t="str">
        <f aca="false">IF($F1941="","",$F1941-IF($H1941="",0,$H1941))</f>
        <v/>
      </c>
      <c r="J1941" s="16" t="str">
        <f aca="true">IF(OR($A1941="",$I1941="",$I1941&lt;=0),"",TODAY()-$A1941)</f>
        <v/>
      </c>
      <c r="K1941" s="10"/>
    </row>
    <row r="1942" customFormat="false" ht="15" hidden="false" customHeight="true" outlineLevel="0" collapsed="false">
      <c r="A1942" s="13"/>
      <c r="B1942" s="10"/>
      <c r="C1942" s="10"/>
      <c r="D1942" s="14"/>
      <c r="E1942" s="11"/>
      <c r="F1942" s="15" t="str">
        <f aca="false">IF($B1942="","",IF(AND($D1942="",$E1942=""),"",IF(OR($D1942="",$E1942=""),0,ROUND($D1942*$E1942,0))))</f>
        <v/>
      </c>
      <c r="G1942" s="13"/>
      <c r="H1942" s="11"/>
      <c r="I1942" s="15" t="str">
        <f aca="false">IF($F1942="","",$F1942-IF($H1942="",0,$H1942))</f>
        <v/>
      </c>
      <c r="J1942" s="16" t="str">
        <f aca="true">IF(OR($A1942="",$I1942="",$I1942&lt;=0),"",TODAY()-$A1942)</f>
        <v/>
      </c>
      <c r="K1942" s="10"/>
    </row>
    <row r="1943" customFormat="false" ht="15" hidden="false" customHeight="true" outlineLevel="0" collapsed="false">
      <c r="A1943" s="13"/>
      <c r="B1943" s="10"/>
      <c r="C1943" s="10"/>
      <c r="D1943" s="14"/>
      <c r="E1943" s="11"/>
      <c r="F1943" s="15" t="str">
        <f aca="false">IF($B1943="","",IF(AND($D1943="",$E1943=""),"",IF(OR($D1943="",$E1943=""),0,ROUND($D1943*$E1943,0))))</f>
        <v/>
      </c>
      <c r="G1943" s="13"/>
      <c r="H1943" s="11"/>
      <c r="I1943" s="15" t="str">
        <f aca="false">IF($F1943="","",$F1943-IF($H1943="",0,$H1943))</f>
        <v/>
      </c>
      <c r="J1943" s="16" t="str">
        <f aca="true">IF(OR($A1943="",$I1943="",$I1943&lt;=0),"",TODAY()-$A1943)</f>
        <v/>
      </c>
      <c r="K1943" s="10"/>
    </row>
    <row r="1944" customFormat="false" ht="15" hidden="false" customHeight="true" outlineLevel="0" collapsed="false">
      <c r="A1944" s="13"/>
      <c r="B1944" s="10"/>
      <c r="C1944" s="10"/>
      <c r="D1944" s="14"/>
      <c r="E1944" s="11"/>
      <c r="F1944" s="15" t="str">
        <f aca="false">IF($B1944="","",IF(AND($D1944="",$E1944=""),"",IF(OR($D1944="",$E1944=""),0,ROUND($D1944*$E1944,0))))</f>
        <v/>
      </c>
      <c r="G1944" s="13"/>
      <c r="H1944" s="11"/>
      <c r="I1944" s="15" t="str">
        <f aca="false">IF($F1944="","",$F1944-IF($H1944="",0,$H1944))</f>
        <v/>
      </c>
      <c r="J1944" s="16" t="str">
        <f aca="true">IF(OR($A1944="",$I1944="",$I1944&lt;=0),"",TODAY()-$A1944)</f>
        <v/>
      </c>
      <c r="K1944" s="10"/>
    </row>
    <row r="1945" customFormat="false" ht="15" hidden="false" customHeight="true" outlineLevel="0" collapsed="false">
      <c r="A1945" s="13"/>
      <c r="B1945" s="10"/>
      <c r="C1945" s="10"/>
      <c r="D1945" s="14"/>
      <c r="E1945" s="11"/>
      <c r="F1945" s="15" t="str">
        <f aca="false">IF($B1945="","",IF(AND($D1945="",$E1945=""),"",IF(OR($D1945="",$E1945=""),0,ROUND($D1945*$E1945,0))))</f>
        <v/>
      </c>
      <c r="G1945" s="13"/>
      <c r="H1945" s="11"/>
      <c r="I1945" s="15" t="str">
        <f aca="false">IF($F1945="","",$F1945-IF($H1945="",0,$H1945))</f>
        <v/>
      </c>
      <c r="J1945" s="16" t="str">
        <f aca="true">IF(OR($A1945="",$I1945="",$I1945&lt;=0),"",TODAY()-$A1945)</f>
        <v/>
      </c>
      <c r="K1945" s="10"/>
    </row>
    <row r="1946" customFormat="false" ht="15" hidden="false" customHeight="true" outlineLevel="0" collapsed="false">
      <c r="A1946" s="13"/>
      <c r="B1946" s="10"/>
      <c r="C1946" s="10"/>
      <c r="D1946" s="14"/>
      <c r="E1946" s="11"/>
      <c r="F1946" s="15" t="str">
        <f aca="false">IF($B1946="","",IF(AND($D1946="",$E1946=""),"",IF(OR($D1946="",$E1946=""),0,ROUND($D1946*$E1946,0))))</f>
        <v/>
      </c>
      <c r="G1946" s="13"/>
      <c r="H1946" s="11"/>
      <c r="I1946" s="15" t="str">
        <f aca="false">IF($F1946="","",$F1946-IF($H1946="",0,$H1946))</f>
        <v/>
      </c>
      <c r="J1946" s="16" t="str">
        <f aca="true">IF(OR($A1946="",$I1946="",$I1946&lt;=0),"",TODAY()-$A1946)</f>
        <v/>
      </c>
      <c r="K1946" s="10"/>
    </row>
    <row r="1947" customFormat="false" ht="15" hidden="false" customHeight="true" outlineLevel="0" collapsed="false">
      <c r="A1947" s="13"/>
      <c r="B1947" s="10"/>
      <c r="C1947" s="10"/>
      <c r="D1947" s="14"/>
      <c r="E1947" s="11"/>
      <c r="F1947" s="15" t="str">
        <f aca="false">IF($B1947="","",IF(AND($D1947="",$E1947=""),"",IF(OR($D1947="",$E1947=""),0,ROUND($D1947*$E1947,0))))</f>
        <v/>
      </c>
      <c r="G1947" s="13"/>
      <c r="H1947" s="11"/>
      <c r="I1947" s="15" t="str">
        <f aca="false">IF($F1947="","",$F1947-IF($H1947="",0,$H1947))</f>
        <v/>
      </c>
      <c r="J1947" s="16" t="str">
        <f aca="true">IF(OR($A1947="",$I1947="",$I1947&lt;=0),"",TODAY()-$A1947)</f>
        <v/>
      </c>
      <c r="K1947" s="10"/>
    </row>
    <row r="1948" customFormat="false" ht="15" hidden="false" customHeight="true" outlineLevel="0" collapsed="false">
      <c r="A1948" s="13"/>
      <c r="B1948" s="10"/>
      <c r="C1948" s="10"/>
      <c r="D1948" s="14"/>
      <c r="E1948" s="11"/>
      <c r="F1948" s="15" t="str">
        <f aca="false">IF($B1948="","",IF(AND($D1948="",$E1948=""),"",IF(OR($D1948="",$E1948=""),0,ROUND($D1948*$E1948,0))))</f>
        <v/>
      </c>
      <c r="G1948" s="13"/>
      <c r="H1948" s="11"/>
      <c r="I1948" s="15" t="str">
        <f aca="false">IF($F1948="","",$F1948-IF($H1948="",0,$H1948))</f>
        <v/>
      </c>
      <c r="J1948" s="16" t="str">
        <f aca="true">IF(OR($A1948="",$I1948="",$I1948&lt;=0),"",TODAY()-$A1948)</f>
        <v/>
      </c>
      <c r="K1948" s="10"/>
    </row>
    <row r="1949" customFormat="false" ht="15" hidden="false" customHeight="true" outlineLevel="0" collapsed="false">
      <c r="A1949" s="13"/>
      <c r="B1949" s="10"/>
      <c r="C1949" s="10"/>
      <c r="D1949" s="14"/>
      <c r="E1949" s="11"/>
      <c r="F1949" s="15" t="str">
        <f aca="false">IF($B1949="","",IF(AND($D1949="",$E1949=""),"",IF(OR($D1949="",$E1949=""),0,ROUND($D1949*$E1949,0))))</f>
        <v/>
      </c>
      <c r="G1949" s="13"/>
      <c r="H1949" s="11"/>
      <c r="I1949" s="15" t="str">
        <f aca="false">IF($F1949="","",$F1949-IF($H1949="",0,$H1949))</f>
        <v/>
      </c>
      <c r="J1949" s="16" t="str">
        <f aca="true">IF(OR($A1949="",$I1949="",$I1949&lt;=0),"",TODAY()-$A1949)</f>
        <v/>
      </c>
      <c r="K1949" s="10"/>
    </row>
    <row r="1950" customFormat="false" ht="15" hidden="false" customHeight="true" outlineLevel="0" collapsed="false">
      <c r="A1950" s="13"/>
      <c r="B1950" s="10"/>
      <c r="C1950" s="10"/>
      <c r="D1950" s="14"/>
      <c r="E1950" s="11"/>
      <c r="F1950" s="15" t="str">
        <f aca="false">IF($B1950="","",IF(AND($D1950="",$E1950=""),"",IF(OR($D1950="",$E1950=""),0,ROUND($D1950*$E1950,0))))</f>
        <v/>
      </c>
      <c r="G1950" s="13"/>
      <c r="H1950" s="11"/>
      <c r="I1950" s="15" t="str">
        <f aca="false">IF($F1950="","",$F1950-IF($H1950="",0,$H1950))</f>
        <v/>
      </c>
      <c r="J1950" s="16" t="str">
        <f aca="true">IF(OR($A1950="",$I1950="",$I1950&lt;=0),"",TODAY()-$A1950)</f>
        <v/>
      </c>
      <c r="K1950" s="10"/>
    </row>
    <row r="1951" customFormat="false" ht="15" hidden="false" customHeight="true" outlineLevel="0" collapsed="false">
      <c r="A1951" s="13"/>
      <c r="B1951" s="10"/>
      <c r="C1951" s="10"/>
      <c r="D1951" s="14"/>
      <c r="E1951" s="11"/>
      <c r="F1951" s="15" t="str">
        <f aca="false">IF($B1951="","",IF(AND($D1951="",$E1951=""),"",IF(OR($D1951="",$E1951=""),0,ROUND($D1951*$E1951,0))))</f>
        <v/>
      </c>
      <c r="G1951" s="13"/>
      <c r="H1951" s="11"/>
      <c r="I1951" s="15" t="str">
        <f aca="false">IF($F1951="","",$F1951-IF($H1951="",0,$H1951))</f>
        <v/>
      </c>
      <c r="J1951" s="16" t="str">
        <f aca="true">IF(OR($A1951="",$I1951="",$I1951&lt;=0),"",TODAY()-$A1951)</f>
        <v/>
      </c>
      <c r="K1951" s="10"/>
    </row>
    <row r="1952" customFormat="false" ht="15" hidden="false" customHeight="true" outlineLevel="0" collapsed="false">
      <c r="A1952" s="13"/>
      <c r="B1952" s="10"/>
      <c r="C1952" s="10"/>
      <c r="D1952" s="14"/>
      <c r="E1952" s="11"/>
      <c r="F1952" s="15" t="str">
        <f aca="false">IF($B1952="","",IF(AND($D1952="",$E1952=""),"",IF(OR($D1952="",$E1952=""),0,ROUND($D1952*$E1952,0))))</f>
        <v/>
      </c>
      <c r="G1952" s="13"/>
      <c r="H1952" s="11"/>
      <c r="I1952" s="15" t="str">
        <f aca="false">IF($F1952="","",$F1952-IF($H1952="",0,$H1952))</f>
        <v/>
      </c>
      <c r="J1952" s="16" t="str">
        <f aca="true">IF(OR($A1952="",$I1952="",$I1952&lt;=0),"",TODAY()-$A1952)</f>
        <v/>
      </c>
      <c r="K1952" s="10"/>
    </row>
    <row r="1953" customFormat="false" ht="15" hidden="false" customHeight="true" outlineLevel="0" collapsed="false">
      <c r="A1953" s="13"/>
      <c r="B1953" s="10"/>
      <c r="C1953" s="10"/>
      <c r="D1953" s="14"/>
      <c r="E1953" s="11"/>
      <c r="F1953" s="15" t="str">
        <f aca="false">IF($B1953="","",IF(AND($D1953="",$E1953=""),"",IF(OR($D1953="",$E1953=""),0,ROUND($D1953*$E1953,0))))</f>
        <v/>
      </c>
      <c r="G1953" s="13"/>
      <c r="H1953" s="11"/>
      <c r="I1953" s="15" t="str">
        <f aca="false">IF($F1953="","",$F1953-IF($H1953="",0,$H1953))</f>
        <v/>
      </c>
      <c r="J1953" s="16" t="str">
        <f aca="true">IF(OR($A1953="",$I1953="",$I1953&lt;=0),"",TODAY()-$A1953)</f>
        <v/>
      </c>
      <c r="K1953" s="10"/>
    </row>
    <row r="1954" customFormat="false" ht="15" hidden="false" customHeight="true" outlineLevel="0" collapsed="false">
      <c r="A1954" s="13"/>
      <c r="B1954" s="10"/>
      <c r="C1954" s="10"/>
      <c r="D1954" s="14"/>
      <c r="E1954" s="11"/>
      <c r="F1954" s="15" t="str">
        <f aca="false">IF($B1954="","",IF(AND($D1954="",$E1954=""),"",IF(OR($D1954="",$E1954=""),0,ROUND($D1954*$E1954,0))))</f>
        <v/>
      </c>
      <c r="G1954" s="13"/>
      <c r="H1954" s="11"/>
      <c r="I1954" s="15" t="str">
        <f aca="false">IF($F1954="","",$F1954-IF($H1954="",0,$H1954))</f>
        <v/>
      </c>
      <c r="J1954" s="16" t="str">
        <f aca="true">IF(OR($A1954="",$I1954="",$I1954&lt;=0),"",TODAY()-$A1954)</f>
        <v/>
      </c>
      <c r="K1954" s="10"/>
    </row>
    <row r="1955" customFormat="false" ht="15" hidden="false" customHeight="true" outlineLevel="0" collapsed="false">
      <c r="A1955" s="13"/>
      <c r="B1955" s="10"/>
      <c r="C1955" s="10"/>
      <c r="D1955" s="14"/>
      <c r="E1955" s="11"/>
      <c r="F1955" s="15" t="str">
        <f aca="false">IF($B1955="","",IF(AND($D1955="",$E1955=""),"",IF(OR($D1955="",$E1955=""),0,ROUND($D1955*$E1955,0))))</f>
        <v/>
      </c>
      <c r="G1955" s="13"/>
      <c r="H1955" s="11"/>
      <c r="I1955" s="15" t="str">
        <f aca="false">IF($F1955="","",$F1955-IF($H1955="",0,$H1955))</f>
        <v/>
      </c>
      <c r="J1955" s="16" t="str">
        <f aca="true">IF(OR($A1955="",$I1955="",$I1955&lt;=0),"",TODAY()-$A1955)</f>
        <v/>
      </c>
      <c r="K1955" s="10"/>
    </row>
    <row r="1956" customFormat="false" ht="15" hidden="false" customHeight="true" outlineLevel="0" collapsed="false">
      <c r="A1956" s="13"/>
      <c r="B1956" s="10"/>
      <c r="C1956" s="10"/>
      <c r="D1956" s="14"/>
      <c r="E1956" s="11"/>
      <c r="F1956" s="15" t="str">
        <f aca="false">IF($B1956="","",IF(AND($D1956="",$E1956=""),"",IF(OR($D1956="",$E1956=""),0,ROUND($D1956*$E1956,0))))</f>
        <v/>
      </c>
      <c r="G1956" s="13"/>
      <c r="H1956" s="11"/>
      <c r="I1956" s="15" t="str">
        <f aca="false">IF($F1956="","",$F1956-IF($H1956="",0,$H1956))</f>
        <v/>
      </c>
      <c r="J1956" s="16" t="str">
        <f aca="true">IF(OR($A1956="",$I1956="",$I1956&lt;=0),"",TODAY()-$A1956)</f>
        <v/>
      </c>
      <c r="K1956" s="10"/>
    </row>
    <row r="1957" customFormat="false" ht="15" hidden="false" customHeight="true" outlineLevel="0" collapsed="false">
      <c r="A1957" s="13"/>
      <c r="B1957" s="10"/>
      <c r="C1957" s="10"/>
      <c r="D1957" s="14"/>
      <c r="E1957" s="11"/>
      <c r="F1957" s="15" t="str">
        <f aca="false">IF($B1957="","",IF(AND($D1957="",$E1957=""),"",IF(OR($D1957="",$E1957=""),0,ROUND($D1957*$E1957,0))))</f>
        <v/>
      </c>
      <c r="G1957" s="13"/>
      <c r="H1957" s="11"/>
      <c r="I1957" s="15" t="str">
        <f aca="false">IF($F1957="","",$F1957-IF($H1957="",0,$H1957))</f>
        <v/>
      </c>
      <c r="J1957" s="16" t="str">
        <f aca="true">IF(OR($A1957="",$I1957="",$I1957&lt;=0),"",TODAY()-$A1957)</f>
        <v/>
      </c>
      <c r="K1957" s="10"/>
    </row>
    <row r="1958" customFormat="false" ht="15" hidden="false" customHeight="true" outlineLevel="0" collapsed="false">
      <c r="A1958" s="13"/>
      <c r="B1958" s="10"/>
      <c r="C1958" s="10"/>
      <c r="D1958" s="14"/>
      <c r="E1958" s="11"/>
      <c r="F1958" s="15" t="str">
        <f aca="false">IF($B1958="","",IF(AND($D1958="",$E1958=""),"",IF(OR($D1958="",$E1958=""),0,ROUND($D1958*$E1958,0))))</f>
        <v/>
      </c>
      <c r="G1958" s="13"/>
      <c r="H1958" s="11"/>
      <c r="I1958" s="15" t="str">
        <f aca="false">IF($F1958="","",$F1958-IF($H1958="",0,$H1958))</f>
        <v/>
      </c>
      <c r="J1958" s="16" t="str">
        <f aca="true">IF(OR($A1958="",$I1958="",$I1958&lt;=0),"",TODAY()-$A1958)</f>
        <v/>
      </c>
      <c r="K1958" s="10"/>
    </row>
    <row r="1959" customFormat="false" ht="15" hidden="false" customHeight="true" outlineLevel="0" collapsed="false">
      <c r="A1959" s="13"/>
      <c r="B1959" s="10"/>
      <c r="C1959" s="10"/>
      <c r="D1959" s="14"/>
      <c r="E1959" s="11"/>
      <c r="F1959" s="15" t="str">
        <f aca="false">IF($B1959="","",IF(AND($D1959="",$E1959=""),"",IF(OR($D1959="",$E1959=""),0,ROUND($D1959*$E1959,0))))</f>
        <v/>
      </c>
      <c r="G1959" s="13"/>
      <c r="H1959" s="11"/>
      <c r="I1959" s="15" t="str">
        <f aca="false">IF($F1959="","",$F1959-IF($H1959="",0,$H1959))</f>
        <v/>
      </c>
      <c r="J1959" s="16" t="str">
        <f aca="true">IF(OR($A1959="",$I1959="",$I1959&lt;=0),"",TODAY()-$A1959)</f>
        <v/>
      </c>
      <c r="K1959" s="10"/>
    </row>
    <row r="1960" customFormat="false" ht="15" hidden="false" customHeight="true" outlineLevel="0" collapsed="false">
      <c r="A1960" s="13"/>
      <c r="B1960" s="10"/>
      <c r="C1960" s="10"/>
      <c r="D1960" s="14"/>
      <c r="E1960" s="11"/>
      <c r="F1960" s="15" t="str">
        <f aca="false">IF($B1960="","",IF(AND($D1960="",$E1960=""),"",IF(OR($D1960="",$E1960=""),0,ROUND($D1960*$E1960,0))))</f>
        <v/>
      </c>
      <c r="G1960" s="13"/>
      <c r="H1960" s="11"/>
      <c r="I1960" s="15" t="str">
        <f aca="false">IF($F1960="","",$F1960-IF($H1960="",0,$H1960))</f>
        <v/>
      </c>
      <c r="J1960" s="16" t="str">
        <f aca="true">IF(OR($A1960="",$I1960="",$I1960&lt;=0),"",TODAY()-$A1960)</f>
        <v/>
      </c>
      <c r="K1960" s="10"/>
    </row>
    <row r="1961" customFormat="false" ht="15" hidden="false" customHeight="true" outlineLevel="0" collapsed="false">
      <c r="A1961" s="13"/>
      <c r="B1961" s="10"/>
      <c r="C1961" s="10"/>
      <c r="D1961" s="14"/>
      <c r="E1961" s="11"/>
      <c r="F1961" s="15" t="str">
        <f aca="false">IF($B1961="","",IF(AND($D1961="",$E1961=""),"",IF(OR($D1961="",$E1961=""),0,ROUND($D1961*$E1961,0))))</f>
        <v/>
      </c>
      <c r="G1961" s="13"/>
      <c r="H1961" s="11"/>
      <c r="I1961" s="15" t="str">
        <f aca="false">IF($F1961="","",$F1961-IF($H1961="",0,$H1961))</f>
        <v/>
      </c>
      <c r="J1961" s="16" t="str">
        <f aca="true">IF(OR($A1961="",$I1961="",$I1961&lt;=0),"",TODAY()-$A1961)</f>
        <v/>
      </c>
      <c r="K1961" s="10"/>
    </row>
    <row r="1962" customFormat="false" ht="15" hidden="false" customHeight="true" outlineLevel="0" collapsed="false">
      <c r="A1962" s="13"/>
      <c r="B1962" s="10"/>
      <c r="C1962" s="10"/>
      <c r="D1962" s="14"/>
      <c r="E1962" s="11"/>
      <c r="F1962" s="15" t="str">
        <f aca="false">IF($B1962="","",IF(AND($D1962="",$E1962=""),"",IF(OR($D1962="",$E1962=""),0,ROUND($D1962*$E1962,0))))</f>
        <v/>
      </c>
      <c r="G1962" s="13"/>
      <c r="H1962" s="11"/>
      <c r="I1962" s="15" t="str">
        <f aca="false">IF($F1962="","",$F1962-IF($H1962="",0,$H1962))</f>
        <v/>
      </c>
      <c r="J1962" s="16" t="str">
        <f aca="true">IF(OR($A1962="",$I1962="",$I1962&lt;=0),"",TODAY()-$A1962)</f>
        <v/>
      </c>
      <c r="K1962" s="10"/>
    </row>
    <row r="1963" customFormat="false" ht="15" hidden="false" customHeight="true" outlineLevel="0" collapsed="false">
      <c r="A1963" s="13"/>
      <c r="B1963" s="10"/>
      <c r="C1963" s="10"/>
      <c r="D1963" s="14"/>
      <c r="E1963" s="11"/>
      <c r="F1963" s="15" t="str">
        <f aca="false">IF($B1963="","",IF(AND($D1963="",$E1963=""),"",IF(OR($D1963="",$E1963=""),0,ROUND($D1963*$E1963,0))))</f>
        <v/>
      </c>
      <c r="G1963" s="13"/>
      <c r="H1963" s="11"/>
      <c r="I1963" s="15" t="str">
        <f aca="false">IF($F1963="","",$F1963-IF($H1963="",0,$H1963))</f>
        <v/>
      </c>
      <c r="J1963" s="16" t="str">
        <f aca="true">IF(OR($A1963="",$I1963="",$I1963&lt;=0),"",TODAY()-$A1963)</f>
        <v/>
      </c>
      <c r="K1963" s="10"/>
    </row>
    <row r="1964" customFormat="false" ht="15" hidden="false" customHeight="true" outlineLevel="0" collapsed="false">
      <c r="A1964" s="13"/>
      <c r="B1964" s="10"/>
      <c r="C1964" s="10"/>
      <c r="D1964" s="14"/>
      <c r="E1964" s="11"/>
      <c r="F1964" s="15" t="str">
        <f aca="false">IF($B1964="","",IF(AND($D1964="",$E1964=""),"",IF(OR($D1964="",$E1964=""),0,ROUND($D1964*$E1964,0))))</f>
        <v/>
      </c>
      <c r="G1964" s="13"/>
      <c r="H1964" s="11"/>
      <c r="I1964" s="15" t="str">
        <f aca="false">IF($F1964="","",$F1964-IF($H1964="",0,$H1964))</f>
        <v/>
      </c>
      <c r="J1964" s="16" t="str">
        <f aca="true">IF(OR($A1964="",$I1964="",$I1964&lt;=0),"",TODAY()-$A1964)</f>
        <v/>
      </c>
      <c r="K1964" s="10"/>
    </row>
    <row r="1965" customFormat="false" ht="15" hidden="false" customHeight="true" outlineLevel="0" collapsed="false">
      <c r="A1965" s="13"/>
      <c r="B1965" s="10"/>
      <c r="C1965" s="10"/>
      <c r="D1965" s="14"/>
      <c r="E1965" s="11"/>
      <c r="F1965" s="15" t="str">
        <f aca="false">IF($B1965="","",IF(AND($D1965="",$E1965=""),"",IF(OR($D1965="",$E1965=""),0,ROUND($D1965*$E1965,0))))</f>
        <v/>
      </c>
      <c r="G1965" s="13"/>
      <c r="H1965" s="11"/>
      <c r="I1965" s="15" t="str">
        <f aca="false">IF($F1965="","",$F1965-IF($H1965="",0,$H1965))</f>
        <v/>
      </c>
      <c r="J1965" s="16" t="str">
        <f aca="true">IF(OR($A1965="",$I1965="",$I1965&lt;=0),"",TODAY()-$A1965)</f>
        <v/>
      </c>
      <c r="K1965" s="10"/>
    </row>
    <row r="1966" customFormat="false" ht="15" hidden="false" customHeight="true" outlineLevel="0" collapsed="false">
      <c r="A1966" s="13"/>
      <c r="B1966" s="10"/>
      <c r="C1966" s="10"/>
      <c r="D1966" s="14"/>
      <c r="E1966" s="11"/>
      <c r="F1966" s="15" t="str">
        <f aca="false">IF($B1966="","",IF(AND($D1966="",$E1966=""),"",IF(OR($D1966="",$E1966=""),0,ROUND($D1966*$E1966,0))))</f>
        <v/>
      </c>
      <c r="G1966" s="13"/>
      <c r="H1966" s="11"/>
      <c r="I1966" s="15" t="str">
        <f aca="false">IF($F1966="","",$F1966-IF($H1966="",0,$H1966))</f>
        <v/>
      </c>
      <c r="J1966" s="16" t="str">
        <f aca="true">IF(OR($A1966="",$I1966="",$I1966&lt;=0),"",TODAY()-$A1966)</f>
        <v/>
      </c>
      <c r="K1966" s="10"/>
    </row>
    <row r="1967" customFormat="false" ht="15" hidden="false" customHeight="true" outlineLevel="0" collapsed="false">
      <c r="A1967" s="13"/>
      <c r="B1967" s="10"/>
      <c r="C1967" s="10"/>
      <c r="D1967" s="14"/>
      <c r="E1967" s="11"/>
      <c r="F1967" s="15" t="str">
        <f aca="false">IF($B1967="","",IF(AND($D1967="",$E1967=""),"",IF(OR($D1967="",$E1967=""),0,ROUND($D1967*$E1967,0))))</f>
        <v/>
      </c>
      <c r="G1967" s="13"/>
      <c r="H1967" s="11"/>
      <c r="I1967" s="15" t="str">
        <f aca="false">IF($F1967="","",$F1967-IF($H1967="",0,$H1967))</f>
        <v/>
      </c>
      <c r="J1967" s="16" t="str">
        <f aca="true">IF(OR($A1967="",$I1967="",$I1967&lt;=0),"",TODAY()-$A1967)</f>
        <v/>
      </c>
      <c r="K1967" s="10"/>
    </row>
    <row r="1968" customFormat="false" ht="15" hidden="false" customHeight="true" outlineLevel="0" collapsed="false">
      <c r="A1968" s="13"/>
      <c r="B1968" s="10"/>
      <c r="C1968" s="10"/>
      <c r="D1968" s="14"/>
      <c r="E1968" s="11"/>
      <c r="F1968" s="15" t="str">
        <f aca="false">IF($B1968="","",IF(AND($D1968="",$E1968=""),"",IF(OR($D1968="",$E1968=""),0,ROUND($D1968*$E1968,0))))</f>
        <v/>
      </c>
      <c r="G1968" s="13"/>
      <c r="H1968" s="11"/>
      <c r="I1968" s="15" t="str">
        <f aca="false">IF($F1968="","",$F1968-IF($H1968="",0,$H1968))</f>
        <v/>
      </c>
      <c r="J1968" s="16" t="str">
        <f aca="true">IF(OR($A1968="",$I1968="",$I1968&lt;=0),"",TODAY()-$A1968)</f>
        <v/>
      </c>
      <c r="K1968" s="10"/>
    </row>
    <row r="1969" customFormat="false" ht="15" hidden="false" customHeight="true" outlineLevel="0" collapsed="false">
      <c r="A1969" s="13"/>
      <c r="B1969" s="10"/>
      <c r="C1969" s="10"/>
      <c r="D1969" s="14"/>
      <c r="E1969" s="11"/>
      <c r="F1969" s="15" t="str">
        <f aca="false">IF($B1969="","",IF(AND($D1969="",$E1969=""),"",IF(OR($D1969="",$E1969=""),0,ROUND($D1969*$E1969,0))))</f>
        <v/>
      </c>
      <c r="G1969" s="13"/>
      <c r="H1969" s="11"/>
      <c r="I1969" s="15" t="str">
        <f aca="false">IF($F1969="","",$F1969-IF($H1969="",0,$H1969))</f>
        <v/>
      </c>
      <c r="J1969" s="16" t="str">
        <f aca="true">IF(OR($A1969="",$I1969="",$I1969&lt;=0),"",TODAY()-$A1969)</f>
        <v/>
      </c>
      <c r="K1969" s="10"/>
    </row>
    <row r="1970" customFormat="false" ht="15" hidden="false" customHeight="true" outlineLevel="0" collapsed="false">
      <c r="A1970" s="13"/>
      <c r="B1970" s="10"/>
      <c r="C1970" s="10"/>
      <c r="D1970" s="14"/>
      <c r="E1970" s="11"/>
      <c r="F1970" s="15" t="str">
        <f aca="false">IF($B1970="","",IF(AND($D1970="",$E1970=""),"",IF(OR($D1970="",$E1970=""),0,ROUND($D1970*$E1970,0))))</f>
        <v/>
      </c>
      <c r="G1970" s="13"/>
      <c r="H1970" s="11"/>
      <c r="I1970" s="15" t="str">
        <f aca="false">IF($F1970="","",$F1970-IF($H1970="",0,$H1970))</f>
        <v/>
      </c>
      <c r="J1970" s="16" t="str">
        <f aca="true">IF(OR($A1970="",$I1970="",$I1970&lt;=0),"",TODAY()-$A1970)</f>
        <v/>
      </c>
      <c r="K1970" s="10"/>
    </row>
    <row r="1971" customFormat="false" ht="15" hidden="false" customHeight="true" outlineLevel="0" collapsed="false">
      <c r="A1971" s="13"/>
      <c r="B1971" s="10"/>
      <c r="C1971" s="10"/>
      <c r="D1971" s="14"/>
      <c r="E1971" s="11"/>
      <c r="F1971" s="15" t="str">
        <f aca="false">IF($B1971="","",IF(AND($D1971="",$E1971=""),"",IF(OR($D1971="",$E1971=""),0,ROUND($D1971*$E1971,0))))</f>
        <v/>
      </c>
      <c r="G1971" s="13"/>
      <c r="H1971" s="11"/>
      <c r="I1971" s="15" t="str">
        <f aca="false">IF($F1971="","",$F1971-IF($H1971="",0,$H1971))</f>
        <v/>
      </c>
      <c r="J1971" s="16" t="str">
        <f aca="true">IF(OR($A1971="",$I1971="",$I1971&lt;=0),"",TODAY()-$A1971)</f>
        <v/>
      </c>
      <c r="K1971" s="10"/>
    </row>
    <row r="1972" customFormat="false" ht="15" hidden="false" customHeight="true" outlineLevel="0" collapsed="false">
      <c r="A1972" s="13"/>
      <c r="B1972" s="10"/>
      <c r="C1972" s="10"/>
      <c r="D1972" s="14"/>
      <c r="E1972" s="11"/>
      <c r="F1972" s="15" t="str">
        <f aca="false">IF($B1972="","",IF(AND($D1972="",$E1972=""),"",IF(OR($D1972="",$E1972=""),0,ROUND($D1972*$E1972,0))))</f>
        <v/>
      </c>
      <c r="G1972" s="13"/>
      <c r="H1972" s="11"/>
      <c r="I1972" s="15" t="str">
        <f aca="false">IF($F1972="","",$F1972-IF($H1972="",0,$H1972))</f>
        <v/>
      </c>
      <c r="J1972" s="16" t="str">
        <f aca="true">IF(OR($A1972="",$I1972="",$I1972&lt;=0),"",TODAY()-$A1972)</f>
        <v/>
      </c>
      <c r="K1972" s="10"/>
    </row>
    <row r="1973" customFormat="false" ht="15" hidden="false" customHeight="true" outlineLevel="0" collapsed="false">
      <c r="A1973" s="13"/>
      <c r="B1973" s="10"/>
      <c r="C1973" s="10"/>
      <c r="D1973" s="14"/>
      <c r="E1973" s="11"/>
      <c r="F1973" s="15" t="str">
        <f aca="false">IF($B1973="","",IF(AND($D1973="",$E1973=""),"",IF(OR($D1973="",$E1973=""),0,ROUND($D1973*$E1973,0))))</f>
        <v/>
      </c>
      <c r="G1973" s="13"/>
      <c r="H1973" s="11"/>
      <c r="I1973" s="15" t="str">
        <f aca="false">IF($F1973="","",$F1973-IF($H1973="",0,$H1973))</f>
        <v/>
      </c>
      <c r="J1973" s="16" t="str">
        <f aca="true">IF(OR($A1973="",$I1973="",$I1973&lt;=0),"",TODAY()-$A1973)</f>
        <v/>
      </c>
      <c r="K1973" s="10"/>
    </row>
    <row r="1974" customFormat="false" ht="15" hidden="false" customHeight="true" outlineLevel="0" collapsed="false">
      <c r="A1974" s="13"/>
      <c r="B1974" s="10"/>
      <c r="C1974" s="10"/>
      <c r="D1974" s="14"/>
      <c r="E1974" s="11"/>
      <c r="F1974" s="15" t="str">
        <f aca="false">IF($B1974="","",IF(AND($D1974="",$E1974=""),"",IF(OR($D1974="",$E1974=""),0,ROUND($D1974*$E1974,0))))</f>
        <v/>
      </c>
      <c r="G1974" s="13"/>
      <c r="H1974" s="11"/>
      <c r="I1974" s="15" t="str">
        <f aca="false">IF($F1974="","",$F1974-IF($H1974="",0,$H1974))</f>
        <v/>
      </c>
      <c r="J1974" s="16" t="str">
        <f aca="true">IF(OR($A1974="",$I1974="",$I1974&lt;=0),"",TODAY()-$A1974)</f>
        <v/>
      </c>
      <c r="K1974" s="10"/>
    </row>
    <row r="1975" customFormat="false" ht="15" hidden="false" customHeight="true" outlineLevel="0" collapsed="false">
      <c r="A1975" s="13"/>
      <c r="B1975" s="10"/>
      <c r="C1975" s="10"/>
      <c r="D1975" s="14"/>
      <c r="E1975" s="11"/>
      <c r="F1975" s="15" t="str">
        <f aca="false">IF($B1975="","",IF(AND($D1975="",$E1975=""),"",IF(OR($D1975="",$E1975=""),0,ROUND($D1975*$E1975,0))))</f>
        <v/>
      </c>
      <c r="G1975" s="13"/>
      <c r="H1975" s="11"/>
      <c r="I1975" s="15" t="str">
        <f aca="false">IF($F1975="","",$F1975-IF($H1975="",0,$H1975))</f>
        <v/>
      </c>
      <c r="J1975" s="16" t="str">
        <f aca="true">IF(OR($A1975="",$I1975="",$I1975&lt;=0),"",TODAY()-$A1975)</f>
        <v/>
      </c>
      <c r="K1975" s="10"/>
    </row>
    <row r="1976" customFormat="false" ht="15" hidden="false" customHeight="true" outlineLevel="0" collapsed="false">
      <c r="A1976" s="13"/>
      <c r="B1976" s="10"/>
      <c r="C1976" s="10"/>
      <c r="D1976" s="14"/>
      <c r="E1976" s="11"/>
      <c r="F1976" s="15" t="str">
        <f aca="false">IF($B1976="","",IF(AND($D1976="",$E1976=""),"",IF(OR($D1976="",$E1976=""),0,ROUND($D1976*$E1976,0))))</f>
        <v/>
      </c>
      <c r="G1976" s="13"/>
      <c r="H1976" s="11"/>
      <c r="I1976" s="15" t="str">
        <f aca="false">IF($F1976="","",$F1976-IF($H1976="",0,$H1976))</f>
        <v/>
      </c>
      <c r="J1976" s="16" t="str">
        <f aca="true">IF(OR($A1976="",$I1976="",$I1976&lt;=0),"",TODAY()-$A1976)</f>
        <v/>
      </c>
      <c r="K1976" s="10"/>
    </row>
    <row r="1977" customFormat="false" ht="15" hidden="false" customHeight="true" outlineLevel="0" collapsed="false">
      <c r="A1977" s="13"/>
      <c r="B1977" s="10"/>
      <c r="C1977" s="10"/>
      <c r="D1977" s="14"/>
      <c r="E1977" s="11"/>
      <c r="F1977" s="15" t="str">
        <f aca="false">IF($B1977="","",IF(AND($D1977="",$E1977=""),"",IF(OR($D1977="",$E1977=""),0,ROUND($D1977*$E1977,0))))</f>
        <v/>
      </c>
      <c r="G1977" s="13"/>
      <c r="H1977" s="11"/>
      <c r="I1977" s="15" t="str">
        <f aca="false">IF($F1977="","",$F1977-IF($H1977="",0,$H1977))</f>
        <v/>
      </c>
      <c r="J1977" s="16" t="str">
        <f aca="true">IF(OR($A1977="",$I1977="",$I1977&lt;=0),"",TODAY()-$A1977)</f>
        <v/>
      </c>
      <c r="K1977" s="10"/>
    </row>
    <row r="1978" customFormat="false" ht="15" hidden="false" customHeight="true" outlineLevel="0" collapsed="false">
      <c r="A1978" s="13"/>
      <c r="B1978" s="10"/>
      <c r="C1978" s="10"/>
      <c r="D1978" s="14"/>
      <c r="E1978" s="11"/>
      <c r="F1978" s="15" t="str">
        <f aca="false">IF($B1978="","",IF(AND($D1978="",$E1978=""),"",IF(OR($D1978="",$E1978=""),0,ROUND($D1978*$E1978,0))))</f>
        <v/>
      </c>
      <c r="G1978" s="13"/>
      <c r="H1978" s="11"/>
      <c r="I1978" s="15" t="str">
        <f aca="false">IF($F1978="","",$F1978-IF($H1978="",0,$H1978))</f>
        <v/>
      </c>
      <c r="J1978" s="16" t="str">
        <f aca="true">IF(OR($A1978="",$I1978="",$I1978&lt;=0),"",TODAY()-$A1978)</f>
        <v/>
      </c>
      <c r="K1978" s="10"/>
    </row>
    <row r="1979" customFormat="false" ht="15" hidden="false" customHeight="true" outlineLevel="0" collapsed="false">
      <c r="A1979" s="13"/>
      <c r="B1979" s="10"/>
      <c r="C1979" s="10"/>
      <c r="D1979" s="14"/>
      <c r="E1979" s="11"/>
      <c r="F1979" s="15" t="str">
        <f aca="false">IF($B1979="","",IF(AND($D1979="",$E1979=""),"",IF(OR($D1979="",$E1979=""),0,ROUND($D1979*$E1979,0))))</f>
        <v/>
      </c>
      <c r="G1979" s="13"/>
      <c r="H1979" s="11"/>
      <c r="I1979" s="15" t="str">
        <f aca="false">IF($F1979="","",$F1979-IF($H1979="",0,$H1979))</f>
        <v/>
      </c>
      <c r="J1979" s="16" t="str">
        <f aca="true">IF(OR($A1979="",$I1979="",$I1979&lt;=0),"",TODAY()-$A1979)</f>
        <v/>
      </c>
      <c r="K1979" s="10"/>
    </row>
    <row r="1980" customFormat="false" ht="15" hidden="false" customHeight="true" outlineLevel="0" collapsed="false">
      <c r="A1980" s="13"/>
      <c r="B1980" s="10"/>
      <c r="C1980" s="10"/>
      <c r="D1980" s="14"/>
      <c r="E1980" s="11"/>
      <c r="F1980" s="15" t="str">
        <f aca="false">IF($B1980="","",IF(AND($D1980="",$E1980=""),"",IF(OR($D1980="",$E1980=""),0,ROUND($D1980*$E1980,0))))</f>
        <v/>
      </c>
      <c r="G1980" s="13"/>
      <c r="H1980" s="11"/>
      <c r="I1980" s="15" t="str">
        <f aca="false">IF($F1980="","",$F1980-IF($H1980="",0,$H1980))</f>
        <v/>
      </c>
      <c r="J1980" s="16" t="str">
        <f aca="true">IF(OR($A1980="",$I1980="",$I1980&lt;=0),"",TODAY()-$A1980)</f>
        <v/>
      </c>
      <c r="K1980" s="10"/>
    </row>
    <row r="1981" customFormat="false" ht="15" hidden="false" customHeight="true" outlineLevel="0" collapsed="false">
      <c r="A1981" s="13"/>
      <c r="B1981" s="10"/>
      <c r="C1981" s="10"/>
      <c r="D1981" s="14"/>
      <c r="E1981" s="11"/>
      <c r="F1981" s="15" t="str">
        <f aca="false">IF($B1981="","",IF(AND($D1981="",$E1981=""),"",IF(OR($D1981="",$E1981=""),0,ROUND($D1981*$E1981,0))))</f>
        <v/>
      </c>
      <c r="G1981" s="13"/>
      <c r="H1981" s="11"/>
      <c r="I1981" s="15" t="str">
        <f aca="false">IF($F1981="","",$F1981-IF($H1981="",0,$H1981))</f>
        <v/>
      </c>
      <c r="J1981" s="16" t="str">
        <f aca="true">IF(OR($A1981="",$I1981="",$I1981&lt;=0),"",TODAY()-$A1981)</f>
        <v/>
      </c>
      <c r="K1981" s="10"/>
    </row>
    <row r="1982" customFormat="false" ht="15" hidden="false" customHeight="true" outlineLevel="0" collapsed="false">
      <c r="A1982" s="13"/>
      <c r="B1982" s="10"/>
      <c r="C1982" s="10"/>
      <c r="D1982" s="14"/>
      <c r="E1982" s="11"/>
      <c r="F1982" s="15" t="str">
        <f aca="false">IF($B1982="","",IF(AND($D1982="",$E1982=""),"",IF(OR($D1982="",$E1982=""),0,ROUND($D1982*$E1982,0))))</f>
        <v/>
      </c>
      <c r="G1982" s="13"/>
      <c r="H1982" s="11"/>
      <c r="I1982" s="15" t="str">
        <f aca="false">IF($F1982="","",$F1982-IF($H1982="",0,$H1982))</f>
        <v/>
      </c>
      <c r="J1982" s="16" t="str">
        <f aca="true">IF(OR($A1982="",$I1982="",$I1982&lt;=0),"",TODAY()-$A1982)</f>
        <v/>
      </c>
      <c r="K1982" s="10"/>
    </row>
    <row r="1983" customFormat="false" ht="15" hidden="false" customHeight="true" outlineLevel="0" collapsed="false">
      <c r="A1983" s="13"/>
      <c r="B1983" s="10"/>
      <c r="C1983" s="10"/>
      <c r="D1983" s="14"/>
      <c r="E1983" s="11"/>
      <c r="F1983" s="15" t="str">
        <f aca="false">IF($B1983="","",IF(AND($D1983="",$E1983=""),"",IF(OR($D1983="",$E1983=""),0,ROUND($D1983*$E1983,0))))</f>
        <v/>
      </c>
      <c r="G1983" s="13"/>
      <c r="H1983" s="11"/>
      <c r="I1983" s="15" t="str">
        <f aca="false">IF($F1983="","",$F1983-IF($H1983="",0,$H1983))</f>
        <v/>
      </c>
      <c r="J1983" s="16" t="str">
        <f aca="true">IF(OR($A1983="",$I1983="",$I1983&lt;=0),"",TODAY()-$A1983)</f>
        <v/>
      </c>
      <c r="K1983" s="10"/>
    </row>
    <row r="1984" customFormat="false" ht="15" hidden="false" customHeight="true" outlineLevel="0" collapsed="false">
      <c r="A1984" s="13"/>
      <c r="B1984" s="10"/>
      <c r="C1984" s="10"/>
      <c r="D1984" s="14"/>
      <c r="E1984" s="11"/>
      <c r="F1984" s="15" t="str">
        <f aca="false">IF($B1984="","",IF(AND($D1984="",$E1984=""),"",IF(OR($D1984="",$E1984=""),0,ROUND($D1984*$E1984,0))))</f>
        <v/>
      </c>
      <c r="G1984" s="13"/>
      <c r="H1984" s="11"/>
      <c r="I1984" s="15" t="str">
        <f aca="false">IF($F1984="","",$F1984-IF($H1984="",0,$H1984))</f>
        <v/>
      </c>
      <c r="J1984" s="16" t="str">
        <f aca="true">IF(OR($A1984="",$I1984="",$I1984&lt;=0),"",TODAY()-$A1984)</f>
        <v/>
      </c>
      <c r="K1984" s="10"/>
    </row>
    <row r="1985" customFormat="false" ht="15" hidden="false" customHeight="true" outlineLevel="0" collapsed="false">
      <c r="A1985" s="13"/>
      <c r="B1985" s="10"/>
      <c r="C1985" s="10"/>
      <c r="D1985" s="14"/>
      <c r="E1985" s="11"/>
      <c r="F1985" s="15" t="str">
        <f aca="false">IF($B1985="","",IF(AND($D1985="",$E1985=""),"",IF(OR($D1985="",$E1985=""),0,ROUND($D1985*$E1985,0))))</f>
        <v/>
      </c>
      <c r="G1985" s="13"/>
      <c r="H1985" s="11"/>
      <c r="I1985" s="15" t="str">
        <f aca="false">IF($F1985="","",$F1985-IF($H1985="",0,$H1985))</f>
        <v/>
      </c>
      <c r="J1985" s="16" t="str">
        <f aca="true">IF(OR($A1985="",$I1985="",$I1985&lt;=0),"",TODAY()-$A1985)</f>
        <v/>
      </c>
      <c r="K1985" s="10"/>
    </row>
    <row r="1986" customFormat="false" ht="15" hidden="false" customHeight="true" outlineLevel="0" collapsed="false">
      <c r="A1986" s="13"/>
      <c r="B1986" s="10"/>
      <c r="C1986" s="10"/>
      <c r="D1986" s="14"/>
      <c r="E1986" s="11"/>
      <c r="F1986" s="15" t="str">
        <f aca="false">IF($B1986="","",IF(AND($D1986="",$E1986=""),"",IF(OR($D1986="",$E1986=""),0,ROUND($D1986*$E1986,0))))</f>
        <v/>
      </c>
      <c r="G1986" s="13"/>
      <c r="H1986" s="11"/>
      <c r="I1986" s="15" t="str">
        <f aca="false">IF($F1986="","",$F1986-IF($H1986="",0,$H1986))</f>
        <v/>
      </c>
      <c r="J1986" s="16" t="str">
        <f aca="true">IF(OR($A1986="",$I1986="",$I1986&lt;=0),"",TODAY()-$A1986)</f>
        <v/>
      </c>
      <c r="K1986" s="10"/>
    </row>
    <row r="1987" customFormat="false" ht="15" hidden="false" customHeight="true" outlineLevel="0" collapsed="false">
      <c r="A1987" s="13"/>
      <c r="B1987" s="10"/>
      <c r="C1987" s="10"/>
      <c r="D1987" s="14"/>
      <c r="E1987" s="11"/>
      <c r="F1987" s="15" t="str">
        <f aca="false">IF($B1987="","",IF(AND($D1987="",$E1987=""),"",IF(OR($D1987="",$E1987=""),0,ROUND($D1987*$E1987,0))))</f>
        <v/>
      </c>
      <c r="G1987" s="13"/>
      <c r="H1987" s="11"/>
      <c r="I1987" s="15" t="str">
        <f aca="false">IF($F1987="","",$F1987-IF($H1987="",0,$H1987))</f>
        <v/>
      </c>
      <c r="J1987" s="16" t="str">
        <f aca="true">IF(OR($A1987="",$I1987="",$I1987&lt;=0),"",TODAY()-$A1987)</f>
        <v/>
      </c>
      <c r="K1987" s="10"/>
    </row>
    <row r="1988" customFormat="false" ht="15" hidden="false" customHeight="true" outlineLevel="0" collapsed="false">
      <c r="A1988" s="13"/>
      <c r="B1988" s="10"/>
      <c r="C1988" s="10"/>
      <c r="D1988" s="14"/>
      <c r="E1988" s="11"/>
      <c r="F1988" s="15" t="str">
        <f aca="false">IF($B1988="","",IF(AND($D1988="",$E1988=""),"",IF(OR($D1988="",$E1988=""),0,ROUND($D1988*$E1988,0))))</f>
        <v/>
      </c>
      <c r="G1988" s="13"/>
      <c r="H1988" s="11"/>
      <c r="I1988" s="15" t="str">
        <f aca="false">IF($F1988="","",$F1988-IF($H1988="",0,$H1988))</f>
        <v/>
      </c>
      <c r="J1988" s="16" t="str">
        <f aca="true">IF(OR($A1988="",$I1988="",$I1988&lt;=0),"",TODAY()-$A1988)</f>
        <v/>
      </c>
      <c r="K1988" s="10"/>
    </row>
    <row r="1989" customFormat="false" ht="15" hidden="false" customHeight="true" outlineLevel="0" collapsed="false">
      <c r="A1989" s="13"/>
      <c r="B1989" s="10"/>
      <c r="C1989" s="10"/>
      <c r="D1989" s="14"/>
      <c r="E1989" s="11"/>
      <c r="F1989" s="15" t="str">
        <f aca="false">IF($B1989="","",IF(AND($D1989="",$E1989=""),"",IF(OR($D1989="",$E1989=""),0,ROUND($D1989*$E1989,0))))</f>
        <v/>
      </c>
      <c r="G1989" s="13"/>
      <c r="H1989" s="11"/>
      <c r="I1989" s="15" t="str">
        <f aca="false">IF($F1989="","",$F1989-IF($H1989="",0,$H1989))</f>
        <v/>
      </c>
      <c r="J1989" s="16" t="str">
        <f aca="true">IF(OR($A1989="",$I1989="",$I1989&lt;=0),"",TODAY()-$A1989)</f>
        <v/>
      </c>
      <c r="K1989" s="10"/>
    </row>
    <row r="1990" customFormat="false" ht="15" hidden="false" customHeight="true" outlineLevel="0" collapsed="false">
      <c r="A1990" s="13"/>
      <c r="B1990" s="10"/>
      <c r="C1990" s="10"/>
      <c r="D1990" s="14"/>
      <c r="E1990" s="11"/>
      <c r="F1990" s="15" t="str">
        <f aca="false">IF($B1990="","",IF(AND($D1990="",$E1990=""),"",IF(OR($D1990="",$E1990=""),0,ROUND($D1990*$E1990,0))))</f>
        <v/>
      </c>
      <c r="G1990" s="13"/>
      <c r="H1990" s="11"/>
      <c r="I1990" s="15" t="str">
        <f aca="false">IF($F1990="","",$F1990-IF($H1990="",0,$H1990))</f>
        <v/>
      </c>
      <c r="J1990" s="16" t="str">
        <f aca="true">IF(OR($A1990="",$I1990="",$I1990&lt;=0),"",TODAY()-$A1990)</f>
        <v/>
      </c>
      <c r="K1990" s="10"/>
    </row>
    <row r="1991" customFormat="false" ht="15" hidden="false" customHeight="true" outlineLevel="0" collapsed="false">
      <c r="A1991" s="13"/>
      <c r="B1991" s="10"/>
      <c r="C1991" s="10"/>
      <c r="D1991" s="14"/>
      <c r="E1991" s="11"/>
      <c r="F1991" s="15" t="str">
        <f aca="false">IF($B1991="","",IF(AND($D1991="",$E1991=""),"",IF(OR($D1991="",$E1991=""),0,ROUND($D1991*$E1991,0))))</f>
        <v/>
      </c>
      <c r="G1991" s="13"/>
      <c r="H1991" s="11"/>
      <c r="I1991" s="15" t="str">
        <f aca="false">IF($F1991="","",$F1991-IF($H1991="",0,$H1991))</f>
        <v/>
      </c>
      <c r="J1991" s="16" t="str">
        <f aca="true">IF(OR($A1991="",$I1991="",$I1991&lt;=0),"",TODAY()-$A1991)</f>
        <v/>
      </c>
      <c r="K1991" s="10"/>
    </row>
    <row r="1992" customFormat="false" ht="15" hidden="false" customHeight="true" outlineLevel="0" collapsed="false">
      <c r="A1992" s="13"/>
      <c r="B1992" s="10"/>
      <c r="C1992" s="10"/>
      <c r="D1992" s="14"/>
      <c r="E1992" s="11"/>
      <c r="F1992" s="15" t="str">
        <f aca="false">IF($B1992="","",IF(AND($D1992="",$E1992=""),"",IF(OR($D1992="",$E1992=""),0,ROUND($D1992*$E1992,0))))</f>
        <v/>
      </c>
      <c r="G1992" s="13"/>
      <c r="H1992" s="11"/>
      <c r="I1992" s="15" t="str">
        <f aca="false">IF($F1992="","",$F1992-IF($H1992="",0,$H1992))</f>
        <v/>
      </c>
      <c r="J1992" s="16" t="str">
        <f aca="true">IF(OR($A1992="",$I1992="",$I1992&lt;=0),"",TODAY()-$A1992)</f>
        <v/>
      </c>
      <c r="K1992" s="10"/>
    </row>
    <row r="1993" customFormat="false" ht="15" hidden="false" customHeight="true" outlineLevel="0" collapsed="false">
      <c r="A1993" s="13"/>
      <c r="B1993" s="10"/>
      <c r="C1993" s="10"/>
      <c r="D1993" s="14"/>
      <c r="E1993" s="11"/>
      <c r="F1993" s="15" t="str">
        <f aca="false">IF($B1993="","",IF(AND($D1993="",$E1993=""),"",IF(OR($D1993="",$E1993=""),0,ROUND($D1993*$E1993,0))))</f>
        <v/>
      </c>
      <c r="G1993" s="13"/>
      <c r="H1993" s="11"/>
      <c r="I1993" s="15" t="str">
        <f aca="false">IF($F1993="","",$F1993-IF($H1993="",0,$H1993))</f>
        <v/>
      </c>
      <c r="J1993" s="16" t="str">
        <f aca="true">IF(OR($A1993="",$I1993="",$I1993&lt;=0),"",TODAY()-$A1993)</f>
        <v/>
      </c>
      <c r="K1993" s="10"/>
    </row>
    <row r="1994" customFormat="false" ht="15" hidden="false" customHeight="true" outlineLevel="0" collapsed="false">
      <c r="A1994" s="13"/>
      <c r="B1994" s="10"/>
      <c r="C1994" s="10"/>
      <c r="D1994" s="14"/>
      <c r="E1994" s="11"/>
      <c r="F1994" s="15" t="str">
        <f aca="false">IF($B1994="","",IF(AND($D1994="",$E1994=""),"",IF(OR($D1994="",$E1994=""),0,ROUND($D1994*$E1994,0))))</f>
        <v/>
      </c>
      <c r="G1994" s="13"/>
      <c r="H1994" s="11"/>
      <c r="I1994" s="15" t="str">
        <f aca="false">IF($F1994="","",$F1994-IF($H1994="",0,$H1994))</f>
        <v/>
      </c>
      <c r="J1994" s="16" t="str">
        <f aca="true">IF(OR($A1994="",$I1994="",$I1994&lt;=0),"",TODAY()-$A1994)</f>
        <v/>
      </c>
      <c r="K1994" s="10"/>
    </row>
    <row r="1995" customFormat="false" ht="15" hidden="false" customHeight="true" outlineLevel="0" collapsed="false">
      <c r="A1995" s="13"/>
      <c r="B1995" s="10"/>
      <c r="C1995" s="10"/>
      <c r="D1995" s="14"/>
      <c r="E1995" s="11"/>
      <c r="F1995" s="15" t="str">
        <f aca="false">IF($B1995="","",IF(AND($D1995="",$E1995=""),"",IF(OR($D1995="",$E1995=""),0,ROUND($D1995*$E1995,0))))</f>
        <v/>
      </c>
      <c r="G1995" s="13"/>
      <c r="H1995" s="11"/>
      <c r="I1995" s="15" t="str">
        <f aca="false">IF($F1995="","",$F1995-IF($H1995="",0,$H1995))</f>
        <v/>
      </c>
      <c r="J1995" s="16" t="str">
        <f aca="true">IF(OR($A1995="",$I1995="",$I1995&lt;=0),"",TODAY()-$A1995)</f>
        <v/>
      </c>
      <c r="K1995" s="10"/>
    </row>
    <row r="1996" customFormat="false" ht="15" hidden="false" customHeight="true" outlineLevel="0" collapsed="false">
      <c r="A1996" s="13"/>
      <c r="B1996" s="10"/>
      <c r="C1996" s="10"/>
      <c r="D1996" s="14"/>
      <c r="E1996" s="11"/>
      <c r="F1996" s="15" t="str">
        <f aca="false">IF($B1996="","",IF(AND($D1996="",$E1996=""),"",IF(OR($D1996="",$E1996=""),0,ROUND($D1996*$E1996,0))))</f>
        <v/>
      </c>
      <c r="G1996" s="13"/>
      <c r="H1996" s="11"/>
      <c r="I1996" s="15" t="str">
        <f aca="false">IF($F1996="","",$F1996-IF($H1996="",0,$H1996))</f>
        <v/>
      </c>
      <c r="J1996" s="16" t="str">
        <f aca="true">IF(OR($A1996="",$I1996="",$I1996&lt;=0),"",TODAY()-$A1996)</f>
        <v/>
      </c>
      <c r="K1996" s="10"/>
    </row>
    <row r="1997" customFormat="false" ht="15" hidden="false" customHeight="true" outlineLevel="0" collapsed="false">
      <c r="A1997" s="13"/>
      <c r="B1997" s="10"/>
      <c r="C1997" s="10"/>
      <c r="D1997" s="14"/>
      <c r="E1997" s="11"/>
      <c r="F1997" s="15" t="str">
        <f aca="false">IF($B1997="","",IF(AND($D1997="",$E1997=""),"",IF(OR($D1997="",$E1997=""),0,ROUND($D1997*$E1997,0))))</f>
        <v/>
      </c>
      <c r="G1997" s="13"/>
      <c r="H1997" s="11"/>
      <c r="I1997" s="15" t="str">
        <f aca="false">IF($F1997="","",$F1997-IF($H1997="",0,$H1997))</f>
        <v/>
      </c>
      <c r="J1997" s="16" t="str">
        <f aca="true">IF(OR($A1997="",$I1997="",$I1997&lt;=0),"",TODAY()-$A1997)</f>
        <v/>
      </c>
      <c r="K1997" s="10"/>
    </row>
    <row r="1998" customFormat="false" ht="15" hidden="false" customHeight="true" outlineLevel="0" collapsed="false">
      <c r="A1998" s="13"/>
      <c r="B1998" s="10"/>
      <c r="C1998" s="10"/>
      <c r="D1998" s="14"/>
      <c r="E1998" s="11"/>
      <c r="F1998" s="15" t="str">
        <f aca="false">IF($B1998="","",IF(AND($D1998="",$E1998=""),"",IF(OR($D1998="",$E1998=""),0,ROUND($D1998*$E1998,0))))</f>
        <v/>
      </c>
      <c r="G1998" s="13"/>
      <c r="H1998" s="11"/>
      <c r="I1998" s="15" t="str">
        <f aca="false">IF($F1998="","",$F1998-IF($H1998="",0,$H1998))</f>
        <v/>
      </c>
      <c r="J1998" s="16" t="str">
        <f aca="true">IF(OR($A1998="",$I1998="",$I1998&lt;=0),"",TODAY()-$A1998)</f>
        <v/>
      </c>
      <c r="K1998" s="10"/>
    </row>
    <row r="1999" customFormat="false" ht="15" hidden="false" customHeight="true" outlineLevel="0" collapsed="false">
      <c r="A1999" s="13"/>
      <c r="B1999" s="10"/>
      <c r="C1999" s="10"/>
      <c r="D1999" s="14"/>
      <c r="E1999" s="11"/>
      <c r="F1999" s="15" t="str">
        <f aca="false">IF($B1999="","",IF(AND($D1999="",$E1999=""),"",IF(OR($D1999="",$E1999=""),0,ROUND($D1999*$E1999,0))))</f>
        <v/>
      </c>
      <c r="G1999" s="13"/>
      <c r="H1999" s="11"/>
      <c r="I1999" s="15" t="str">
        <f aca="false">IF($F1999="","",$F1999-IF($H1999="",0,$H1999))</f>
        <v/>
      </c>
      <c r="J1999" s="16" t="str">
        <f aca="true">IF(OR($A1999="",$I1999="",$I1999&lt;=0),"",TODAY()-$A1999)</f>
        <v/>
      </c>
      <c r="K1999" s="10"/>
    </row>
    <row r="2000" customFormat="false" ht="15" hidden="false" customHeight="true" outlineLevel="0" collapsed="false">
      <c r="A2000" s="13"/>
      <c r="B2000" s="10"/>
      <c r="C2000" s="10"/>
      <c r="D2000" s="14"/>
      <c r="E2000" s="11"/>
      <c r="F2000" s="15" t="str">
        <f aca="false">IF($B2000="","",IF(AND($D2000="",$E2000=""),"",IF(OR($D2000="",$E2000=""),0,ROUND($D2000*$E2000,0))))</f>
        <v/>
      </c>
      <c r="G2000" s="13"/>
      <c r="H2000" s="11"/>
      <c r="I2000" s="15" t="str">
        <f aca="false">IF($F2000="","",$F2000-IF($H2000="",0,$H2000))</f>
        <v/>
      </c>
      <c r="J2000" s="16" t="str">
        <f aca="true">IF(OR($A2000="",$I2000="",$I2000&lt;=0),"",TODAY()-$A2000)</f>
        <v/>
      </c>
      <c r="K2000" s="10"/>
    </row>
    <row r="2001" customFormat="false" ht="15" hidden="false" customHeight="true" outlineLevel="0" collapsed="false">
      <c r="A2001" s="13"/>
      <c r="B2001" s="10"/>
      <c r="C2001" s="10"/>
      <c r="D2001" s="14"/>
      <c r="E2001" s="11"/>
      <c r="F2001" s="15" t="str">
        <f aca="false">IF($B2001="","",IF(AND($D2001="",$E2001=""),"",IF(OR($D2001="",$E2001=""),0,ROUND($D2001*$E2001,0))))</f>
        <v/>
      </c>
      <c r="G2001" s="13"/>
      <c r="H2001" s="11"/>
      <c r="I2001" s="15" t="str">
        <f aca="false">IF($F2001="","",$F2001-IF($H2001="",0,$H2001))</f>
        <v/>
      </c>
      <c r="J2001" s="16" t="str">
        <f aca="true">IF(OR($A2001="",$I2001="",$I2001&lt;=0),"",TODAY()-$A2001)</f>
        <v/>
      </c>
      <c r="K2001" s="10"/>
    </row>
    <row r="2002" customFormat="false" ht="15" hidden="false" customHeight="true" outlineLevel="0" collapsed="false">
      <c r="A2002" s="13"/>
      <c r="B2002" s="10"/>
      <c r="C2002" s="10"/>
      <c r="D2002" s="14"/>
      <c r="E2002" s="11"/>
      <c r="F2002" s="15" t="str">
        <f aca="false">IF($B2002="","",IF(AND($D2002="",$E2002=""),"",IF(OR($D2002="",$E2002=""),0,ROUND($D2002*$E2002,0))))</f>
        <v/>
      </c>
      <c r="G2002" s="13"/>
      <c r="H2002" s="11"/>
      <c r="I2002" s="15" t="str">
        <f aca="false">IF($F2002="","",$F2002-IF($H2002="",0,$H2002))</f>
        <v/>
      </c>
      <c r="J2002" s="16" t="str">
        <f aca="true">IF(OR($A2002="",$I2002="",$I2002&lt;=0),"",TODAY()-$A2002)</f>
        <v/>
      </c>
      <c r="K2002" s="10"/>
    </row>
    <row r="2003" customFormat="false" ht="15" hidden="false" customHeight="true" outlineLevel="0" collapsed="false">
      <c r="A2003" s="13"/>
      <c r="B2003" s="10"/>
      <c r="C2003" s="10"/>
      <c r="D2003" s="14"/>
      <c r="E2003" s="11"/>
      <c r="F2003" s="15" t="str">
        <f aca="false">IF($B2003="","",IF(AND($D2003="",$E2003=""),"",IF(OR($D2003="",$E2003=""),0,ROUND($D2003*$E2003,0))))</f>
        <v/>
      </c>
      <c r="G2003" s="13"/>
      <c r="H2003" s="11"/>
      <c r="I2003" s="15" t="str">
        <f aca="false">IF($F2003="","",$F2003-IF($H2003="",0,$H2003))</f>
        <v/>
      </c>
      <c r="J2003" s="16" t="str">
        <f aca="true">IF(OR($A2003="",$I2003="",$I2003&lt;=0),"",TODAY()-$A2003)</f>
        <v/>
      </c>
      <c r="K2003" s="10"/>
    </row>
    <row r="2004" customFormat="false" ht="15" hidden="false" customHeight="true" outlineLevel="0" collapsed="false">
      <c r="A2004" s="13"/>
      <c r="B2004" s="10"/>
      <c r="C2004" s="10"/>
      <c r="D2004" s="14"/>
      <c r="E2004" s="11"/>
      <c r="F2004" s="15" t="str">
        <f aca="false">IF($B2004="","",IF(AND($D2004="",$E2004=""),"",IF(OR($D2004="",$E2004=""),0,ROUND($D2004*$E2004,0))))</f>
        <v/>
      </c>
      <c r="G2004" s="13"/>
      <c r="H2004" s="11"/>
      <c r="I2004" s="15" t="str">
        <f aca="false">IF($F2004="","",$F2004-IF($H2004="",0,$H2004))</f>
        <v/>
      </c>
      <c r="J2004" s="16" t="str">
        <f aca="true">IF(OR($A2004="",$I2004="",$I2004&lt;=0),"",TODAY()-$A2004)</f>
        <v/>
      </c>
      <c r="K2004" s="10"/>
    </row>
    <row r="2005" customFormat="false" ht="15" hidden="false" customHeight="true" outlineLevel="0" collapsed="false">
      <c r="A2005" s="13"/>
      <c r="B2005" s="10"/>
      <c r="C2005" s="10"/>
      <c r="D2005" s="14"/>
      <c r="E2005" s="11"/>
      <c r="F2005" s="15" t="str">
        <f aca="false">IF($B2005="","",IF(AND($D2005="",$E2005=""),"",IF(OR($D2005="",$E2005=""),0,ROUND($D2005*$E2005,0))))</f>
        <v/>
      </c>
      <c r="G2005" s="13"/>
      <c r="H2005" s="11"/>
      <c r="I2005" s="15" t="str">
        <f aca="false">IF($F2005="","",$F2005-IF($H2005="",0,$H2005))</f>
        <v/>
      </c>
      <c r="J2005" s="16" t="str">
        <f aca="true">IF(OR($A2005="",$I2005="",$I2005&lt;=0),"",TODAY()-$A2005)</f>
        <v/>
      </c>
      <c r="K2005" s="10"/>
    </row>
    <row r="2006" customFormat="false" ht="15" hidden="false" customHeight="true" outlineLevel="0" collapsed="false">
      <c r="A2006" s="13"/>
      <c r="B2006" s="10"/>
      <c r="C2006" s="10"/>
      <c r="D2006" s="14"/>
      <c r="E2006" s="11"/>
      <c r="F2006" s="15" t="str">
        <f aca="false">IF($B2006="","",IF(AND($D2006="",$E2006=""),"",IF(OR($D2006="",$E2006=""),0,ROUND($D2006*$E2006,0))))</f>
        <v/>
      </c>
      <c r="G2006" s="13"/>
      <c r="H2006" s="11"/>
      <c r="I2006" s="15" t="str">
        <f aca="false">IF($F2006="","",$F2006-IF($H2006="",0,$H2006))</f>
        <v/>
      </c>
      <c r="J2006" s="16" t="str">
        <f aca="true">IF(OR($A2006="",$I2006="",$I2006&lt;=0),"",TODAY()-$A2006)</f>
        <v/>
      </c>
      <c r="K2006" s="10"/>
    </row>
    <row r="2007" customFormat="false" ht="15" hidden="false" customHeight="true" outlineLevel="0" collapsed="false">
      <c r="A2007" s="13"/>
      <c r="B2007" s="10"/>
      <c r="C2007" s="10"/>
      <c r="D2007" s="14"/>
      <c r="E2007" s="11"/>
      <c r="F2007" s="15" t="str">
        <f aca="false">IF($B2007="","",IF(AND($D2007="",$E2007=""),"",IF(OR($D2007="",$E2007=""),0,ROUND($D2007*$E2007,0))))</f>
        <v/>
      </c>
      <c r="G2007" s="13"/>
      <c r="H2007" s="11"/>
      <c r="I2007" s="15" t="str">
        <f aca="false">IF($F2007="","",$F2007-IF($H2007="",0,$H2007))</f>
        <v/>
      </c>
      <c r="J2007" s="16" t="str">
        <f aca="true">IF(OR($A2007="",$I2007="",$I2007&lt;=0),"",TODAY()-$A2007)</f>
        <v/>
      </c>
      <c r="K2007" s="10"/>
    </row>
    <row r="2008" customFormat="false" ht="15" hidden="false" customHeight="true" outlineLevel="0" collapsed="false">
      <c r="A2008" s="13"/>
      <c r="B2008" s="10"/>
      <c r="C2008" s="10"/>
      <c r="D2008" s="14"/>
      <c r="E2008" s="11"/>
      <c r="F2008" s="15" t="str">
        <f aca="false">IF($B2008="","",IF(AND($D2008="",$E2008=""),"",IF(OR($D2008="",$E2008=""),0,ROUND($D2008*$E2008,0))))</f>
        <v/>
      </c>
      <c r="G2008" s="13"/>
      <c r="H2008" s="11"/>
      <c r="I2008" s="15" t="str">
        <f aca="false">IF($F2008="","",$F2008-IF($H2008="",0,$H2008))</f>
        <v/>
      </c>
      <c r="J2008" s="16" t="str">
        <f aca="true">IF(OR($A2008="",$I2008="",$I2008&lt;=0),"",TODAY()-$A2008)</f>
        <v/>
      </c>
      <c r="K2008" s="10"/>
    </row>
    <row r="2009" customFormat="false" ht="15" hidden="false" customHeight="true" outlineLevel="0" collapsed="false">
      <c r="A2009" s="13"/>
      <c r="B2009" s="10"/>
      <c r="C2009" s="10"/>
      <c r="D2009" s="14"/>
      <c r="E2009" s="11"/>
      <c r="F2009" s="15" t="str">
        <f aca="false">IF($B2009="","",IF(AND($D2009="",$E2009=""),"",IF(OR($D2009="",$E2009=""),0,ROUND($D2009*$E2009,0))))</f>
        <v/>
      </c>
      <c r="G2009" s="13"/>
      <c r="H2009" s="11"/>
      <c r="I2009" s="15" t="str">
        <f aca="false">IF($F2009="","",$F2009-IF($H2009="",0,$H2009))</f>
        <v/>
      </c>
      <c r="J2009" s="16" t="str">
        <f aca="true">IF(OR($A2009="",$I2009="",$I2009&lt;=0),"",TODAY()-$A2009)</f>
        <v/>
      </c>
      <c r="K2009" s="10"/>
    </row>
    <row r="2010" customFormat="false" ht="15" hidden="false" customHeight="true" outlineLevel="0" collapsed="false">
      <c r="A2010" s="13"/>
      <c r="B2010" s="10"/>
      <c r="C2010" s="10"/>
      <c r="D2010" s="14"/>
      <c r="E2010" s="11"/>
      <c r="F2010" s="15" t="str">
        <f aca="false">IF($B2010="","",IF(AND($D2010="",$E2010=""),"",IF(OR($D2010="",$E2010=""),0,ROUND($D2010*$E2010,0))))</f>
        <v/>
      </c>
      <c r="G2010" s="13"/>
      <c r="H2010" s="11"/>
      <c r="I2010" s="15" t="str">
        <f aca="false">IF($F2010="","",$F2010-IF($H2010="",0,$H2010))</f>
        <v/>
      </c>
      <c r="J2010" s="16" t="str">
        <f aca="true">IF(OR($A2010="",$I2010="",$I2010&lt;=0),"",TODAY()-$A2010)</f>
        <v/>
      </c>
      <c r="K2010" s="10"/>
    </row>
    <row r="2011" customFormat="false" ht="15" hidden="false" customHeight="true" outlineLevel="0" collapsed="false">
      <c r="A2011" s="13"/>
      <c r="B2011" s="10"/>
      <c r="C2011" s="10"/>
      <c r="D2011" s="14"/>
      <c r="E2011" s="11"/>
      <c r="F2011" s="15" t="str">
        <f aca="false">IF($B2011="","",IF(AND($D2011="",$E2011=""),"",IF(OR($D2011="",$E2011=""),0,ROUND($D2011*$E2011,0))))</f>
        <v/>
      </c>
      <c r="G2011" s="13"/>
      <c r="H2011" s="11"/>
      <c r="I2011" s="15" t="str">
        <f aca="false">IF($F2011="","",$F2011-IF($H2011="",0,$H2011))</f>
        <v/>
      </c>
      <c r="J2011" s="16" t="str">
        <f aca="true">IF(OR($A2011="",$I2011="",$I2011&lt;=0),"",TODAY()-$A2011)</f>
        <v/>
      </c>
      <c r="K2011" s="10"/>
    </row>
    <row r="2012" customFormat="false" ht="15" hidden="false" customHeight="true" outlineLevel="0" collapsed="false">
      <c r="A2012" s="13"/>
      <c r="B2012" s="10"/>
      <c r="C2012" s="10"/>
      <c r="D2012" s="14"/>
      <c r="E2012" s="11"/>
      <c r="F2012" s="15" t="str">
        <f aca="false">IF($B2012="","",IF(AND($D2012="",$E2012=""),"",IF(OR($D2012="",$E2012=""),0,ROUND($D2012*$E2012,0))))</f>
        <v/>
      </c>
      <c r="G2012" s="13"/>
      <c r="H2012" s="11"/>
      <c r="I2012" s="15" t="str">
        <f aca="false">IF($F2012="","",$F2012-IF($H2012="",0,$H2012))</f>
        <v/>
      </c>
      <c r="J2012" s="16" t="str">
        <f aca="true">IF(OR($A2012="",$I2012="",$I2012&lt;=0),"",TODAY()-$A2012)</f>
        <v/>
      </c>
      <c r="K2012" s="10"/>
    </row>
    <row r="2013" customFormat="false" ht="15" hidden="false" customHeight="true" outlineLevel="0" collapsed="false">
      <c r="A2013" s="13"/>
      <c r="B2013" s="10"/>
      <c r="C2013" s="10"/>
      <c r="D2013" s="14"/>
      <c r="E2013" s="11"/>
      <c r="F2013" s="15" t="str">
        <f aca="false">IF($B2013="","",IF(AND($D2013="",$E2013=""),"",IF(OR($D2013="",$E2013=""),0,ROUND($D2013*$E2013,0))))</f>
        <v/>
      </c>
      <c r="G2013" s="13"/>
      <c r="H2013" s="11"/>
      <c r="I2013" s="15" t="str">
        <f aca="false">IF($F2013="","",$F2013-IF($H2013="",0,$H2013))</f>
        <v/>
      </c>
      <c r="J2013" s="16" t="str">
        <f aca="true">IF(OR($A2013="",$I2013="",$I2013&lt;=0),"",TODAY()-$A2013)</f>
        <v/>
      </c>
      <c r="K2013" s="10"/>
    </row>
    <row r="2014" customFormat="false" ht="15" hidden="false" customHeight="true" outlineLevel="0" collapsed="false">
      <c r="A2014" s="13"/>
      <c r="B2014" s="10"/>
      <c r="C2014" s="10"/>
      <c r="D2014" s="14"/>
      <c r="E2014" s="11"/>
      <c r="F2014" s="15" t="str">
        <f aca="false">IF($B2014="","",IF(AND($D2014="",$E2014=""),"",IF(OR($D2014="",$E2014=""),0,ROUND($D2014*$E2014,0))))</f>
        <v/>
      </c>
      <c r="G2014" s="13"/>
      <c r="H2014" s="11"/>
      <c r="I2014" s="15" t="str">
        <f aca="false">IF($F2014="","",$F2014-IF($H2014="",0,$H2014))</f>
        <v/>
      </c>
      <c r="J2014" s="16" t="str">
        <f aca="true">IF(OR($A2014="",$I2014="",$I2014&lt;=0),"",TODAY()-$A2014)</f>
        <v/>
      </c>
      <c r="K2014" s="10"/>
    </row>
    <row r="2015" customFormat="false" ht="15" hidden="false" customHeight="true" outlineLevel="0" collapsed="false">
      <c r="A2015" s="13"/>
      <c r="B2015" s="10"/>
      <c r="C2015" s="10"/>
      <c r="D2015" s="14"/>
      <c r="E2015" s="11"/>
      <c r="F2015" s="15" t="str">
        <f aca="false">IF($B2015="","",IF(AND($D2015="",$E2015=""),"",IF(OR($D2015="",$E2015=""),0,ROUND($D2015*$E2015,0))))</f>
        <v/>
      </c>
      <c r="G2015" s="13"/>
      <c r="H2015" s="11"/>
      <c r="I2015" s="15" t="str">
        <f aca="false">IF($F2015="","",$F2015-IF($H2015="",0,$H2015))</f>
        <v/>
      </c>
      <c r="J2015" s="16" t="str">
        <f aca="true">IF(OR($A2015="",$I2015="",$I2015&lt;=0),"",TODAY()-$A2015)</f>
        <v/>
      </c>
      <c r="K2015" s="10"/>
    </row>
    <row r="2016" customFormat="false" ht="15" hidden="false" customHeight="true" outlineLevel="0" collapsed="false">
      <c r="A2016" s="13"/>
      <c r="B2016" s="10"/>
      <c r="C2016" s="10"/>
      <c r="D2016" s="14"/>
      <c r="E2016" s="11"/>
      <c r="F2016" s="15" t="str">
        <f aca="false">IF($B2016="","",IF(AND($D2016="",$E2016=""),"",IF(OR($D2016="",$E2016=""),0,ROUND($D2016*$E2016,0))))</f>
        <v/>
      </c>
      <c r="G2016" s="13"/>
      <c r="H2016" s="11"/>
      <c r="I2016" s="15" t="str">
        <f aca="false">IF($F2016="","",$F2016-IF($H2016="",0,$H2016))</f>
        <v/>
      </c>
      <c r="J2016" s="16" t="str">
        <f aca="true">IF(OR($A2016="",$I2016="",$I2016&lt;=0),"",TODAY()-$A2016)</f>
        <v/>
      </c>
      <c r="K2016" s="10"/>
    </row>
    <row r="2017" customFormat="false" ht="15" hidden="false" customHeight="true" outlineLevel="0" collapsed="false">
      <c r="A2017" s="13"/>
      <c r="B2017" s="10"/>
      <c r="C2017" s="10"/>
      <c r="D2017" s="14"/>
      <c r="E2017" s="11"/>
      <c r="F2017" s="15" t="str">
        <f aca="false">IF($B2017="","",IF(AND($D2017="",$E2017=""),"",IF(OR($D2017="",$E2017=""),0,ROUND($D2017*$E2017,0))))</f>
        <v/>
      </c>
      <c r="G2017" s="13"/>
      <c r="H2017" s="11"/>
      <c r="I2017" s="15" t="str">
        <f aca="false">IF($F2017="","",$F2017-IF($H2017="",0,$H2017))</f>
        <v/>
      </c>
      <c r="J2017" s="16" t="str">
        <f aca="true">IF(OR($A2017="",$I2017="",$I2017&lt;=0),"",TODAY()-$A2017)</f>
        <v/>
      </c>
      <c r="K2017" s="10"/>
    </row>
    <row r="2018" customFormat="false" ht="15" hidden="false" customHeight="true" outlineLevel="0" collapsed="false">
      <c r="A2018" s="13"/>
      <c r="B2018" s="10"/>
      <c r="C2018" s="10"/>
      <c r="D2018" s="14"/>
      <c r="E2018" s="11"/>
      <c r="F2018" s="15" t="str">
        <f aca="false">IF($B2018="","",IF(AND($D2018="",$E2018=""),"",IF(OR($D2018="",$E2018=""),0,ROUND($D2018*$E2018,0))))</f>
        <v/>
      </c>
      <c r="G2018" s="13"/>
      <c r="H2018" s="11"/>
      <c r="I2018" s="15" t="str">
        <f aca="false">IF($F2018="","",$F2018-IF($H2018="",0,$H2018))</f>
        <v/>
      </c>
      <c r="J2018" s="16" t="str">
        <f aca="true">IF(OR($A2018="",$I2018="",$I2018&lt;=0),"",TODAY()-$A2018)</f>
        <v/>
      </c>
      <c r="K2018" s="10"/>
    </row>
    <row r="2019" customFormat="false" ht="15" hidden="false" customHeight="true" outlineLevel="0" collapsed="false">
      <c r="A2019" s="13"/>
      <c r="B2019" s="10"/>
      <c r="C2019" s="10"/>
      <c r="D2019" s="14"/>
      <c r="E2019" s="11"/>
      <c r="F2019" s="15" t="str">
        <f aca="false">IF($B2019="","",IF(AND($D2019="",$E2019=""),"",IF(OR($D2019="",$E2019=""),0,ROUND($D2019*$E2019,0))))</f>
        <v/>
      </c>
      <c r="G2019" s="13"/>
      <c r="H2019" s="11"/>
      <c r="I2019" s="15" t="str">
        <f aca="false">IF($F2019="","",$F2019-IF($H2019="",0,$H2019))</f>
        <v/>
      </c>
      <c r="J2019" s="16" t="str">
        <f aca="true">IF(OR($A2019="",$I2019="",$I2019&lt;=0),"",TODAY()-$A2019)</f>
        <v/>
      </c>
      <c r="K2019" s="10"/>
    </row>
    <row r="2020" customFormat="false" ht="15" hidden="false" customHeight="true" outlineLevel="0" collapsed="false">
      <c r="A2020" s="13"/>
      <c r="B2020" s="10"/>
      <c r="C2020" s="10"/>
      <c r="D2020" s="14"/>
      <c r="E2020" s="11"/>
      <c r="F2020" s="15" t="str">
        <f aca="false">IF($B2020="","",IF(AND($D2020="",$E2020=""),"",IF(OR($D2020="",$E2020=""),0,ROUND($D2020*$E2020,0))))</f>
        <v/>
      </c>
      <c r="G2020" s="13"/>
      <c r="H2020" s="11"/>
      <c r="I2020" s="15" t="str">
        <f aca="false">IF($F2020="","",$F2020-IF($H2020="",0,$H2020))</f>
        <v/>
      </c>
      <c r="J2020" s="16" t="str">
        <f aca="true">IF(OR($A2020="",$I2020="",$I2020&lt;=0),"",TODAY()-$A2020)</f>
        <v/>
      </c>
      <c r="K2020" s="10"/>
    </row>
    <row r="2021" customFormat="false" ht="15" hidden="false" customHeight="true" outlineLevel="0" collapsed="false">
      <c r="A2021" s="13"/>
      <c r="B2021" s="10"/>
      <c r="C2021" s="10"/>
      <c r="D2021" s="14"/>
      <c r="E2021" s="11"/>
      <c r="F2021" s="15" t="str">
        <f aca="false">IF($B2021="","",IF(AND($D2021="",$E2021=""),"",IF(OR($D2021="",$E2021=""),0,ROUND($D2021*$E2021,0))))</f>
        <v/>
      </c>
      <c r="G2021" s="13"/>
      <c r="H2021" s="11"/>
      <c r="I2021" s="15" t="str">
        <f aca="false">IF($F2021="","",$F2021-IF($H2021="",0,$H2021))</f>
        <v/>
      </c>
      <c r="J2021" s="16" t="str">
        <f aca="true">IF(OR($A2021="",$I2021="",$I2021&lt;=0),"",TODAY()-$A2021)</f>
        <v/>
      </c>
      <c r="K2021" s="10"/>
    </row>
    <row r="2022" customFormat="false" ht="15" hidden="false" customHeight="true" outlineLevel="0" collapsed="false">
      <c r="A2022" s="13"/>
      <c r="B2022" s="10"/>
      <c r="C2022" s="10"/>
      <c r="D2022" s="14"/>
      <c r="E2022" s="11"/>
      <c r="F2022" s="15" t="str">
        <f aca="false">IF($B2022="","",IF(AND($D2022="",$E2022=""),"",IF(OR($D2022="",$E2022=""),0,ROUND($D2022*$E2022,0))))</f>
        <v/>
      </c>
      <c r="G2022" s="13"/>
      <c r="H2022" s="11"/>
      <c r="I2022" s="15" t="str">
        <f aca="false">IF($F2022="","",$F2022-IF($H2022="",0,$H2022))</f>
        <v/>
      </c>
      <c r="J2022" s="16" t="str">
        <f aca="true">IF(OR($A2022="",$I2022="",$I2022&lt;=0),"",TODAY()-$A2022)</f>
        <v/>
      </c>
      <c r="K2022" s="10"/>
    </row>
    <row r="2023" customFormat="false" ht="15" hidden="false" customHeight="true" outlineLevel="0" collapsed="false">
      <c r="A2023" s="13"/>
      <c r="B2023" s="10"/>
      <c r="C2023" s="10"/>
      <c r="D2023" s="14"/>
      <c r="E2023" s="11"/>
      <c r="F2023" s="15" t="str">
        <f aca="false">IF($B2023="","",IF(AND($D2023="",$E2023=""),"",IF(OR($D2023="",$E2023=""),0,ROUND($D2023*$E2023,0))))</f>
        <v/>
      </c>
      <c r="G2023" s="13"/>
      <c r="H2023" s="11"/>
      <c r="I2023" s="15" t="str">
        <f aca="false">IF($F2023="","",$F2023-IF($H2023="",0,$H2023))</f>
        <v/>
      </c>
      <c r="J2023" s="16" t="str">
        <f aca="true">IF(OR($A2023="",$I2023="",$I2023&lt;=0),"",TODAY()-$A2023)</f>
        <v/>
      </c>
      <c r="K2023" s="10"/>
    </row>
    <row r="2024" customFormat="false" ht="15" hidden="false" customHeight="true" outlineLevel="0" collapsed="false">
      <c r="A2024" s="13"/>
      <c r="B2024" s="10"/>
      <c r="C2024" s="10"/>
      <c r="D2024" s="14"/>
      <c r="E2024" s="11"/>
      <c r="F2024" s="15" t="str">
        <f aca="false">IF($B2024="","",IF(AND($D2024="",$E2024=""),"",IF(OR($D2024="",$E2024=""),0,ROUND($D2024*$E2024,0))))</f>
        <v/>
      </c>
      <c r="G2024" s="13"/>
      <c r="H2024" s="11"/>
      <c r="I2024" s="15" t="str">
        <f aca="false">IF($F2024="","",$F2024-IF($H2024="",0,$H2024))</f>
        <v/>
      </c>
      <c r="J2024" s="16" t="str">
        <f aca="true">IF(OR($A2024="",$I2024="",$I2024&lt;=0),"",TODAY()-$A2024)</f>
        <v/>
      </c>
      <c r="K2024" s="10"/>
    </row>
    <row r="2025" customFormat="false" ht="15" hidden="false" customHeight="true" outlineLevel="0" collapsed="false">
      <c r="A2025" s="13"/>
      <c r="B2025" s="10"/>
      <c r="C2025" s="10"/>
      <c r="D2025" s="14"/>
      <c r="E2025" s="11"/>
      <c r="F2025" s="15" t="str">
        <f aca="false">IF($B2025="","",IF(AND($D2025="",$E2025=""),"",IF(OR($D2025="",$E2025=""),0,ROUND($D2025*$E2025,0))))</f>
        <v/>
      </c>
      <c r="G2025" s="13"/>
      <c r="H2025" s="11"/>
      <c r="I2025" s="15" t="str">
        <f aca="false">IF($F2025="","",$F2025-IF($H2025="",0,$H2025))</f>
        <v/>
      </c>
      <c r="J2025" s="16" t="str">
        <f aca="true">IF(OR($A2025="",$I2025="",$I2025&lt;=0),"",TODAY()-$A2025)</f>
        <v/>
      </c>
      <c r="K2025" s="10"/>
    </row>
    <row r="2026" customFormat="false" ht="15" hidden="false" customHeight="true" outlineLevel="0" collapsed="false">
      <c r="A2026" s="13"/>
      <c r="B2026" s="10"/>
      <c r="C2026" s="10"/>
      <c r="D2026" s="14"/>
      <c r="E2026" s="11"/>
      <c r="F2026" s="15" t="str">
        <f aca="false">IF($B2026="","",IF(AND($D2026="",$E2026=""),"",IF(OR($D2026="",$E2026=""),0,ROUND($D2026*$E2026,0))))</f>
        <v/>
      </c>
      <c r="G2026" s="13"/>
      <c r="H2026" s="11"/>
      <c r="I2026" s="15" t="str">
        <f aca="false">IF($F2026="","",$F2026-IF($H2026="",0,$H2026))</f>
        <v/>
      </c>
      <c r="J2026" s="16" t="str">
        <f aca="true">IF(OR($A2026="",$I2026="",$I2026&lt;=0),"",TODAY()-$A2026)</f>
        <v/>
      </c>
      <c r="K2026" s="10"/>
    </row>
    <row r="2027" customFormat="false" ht="15" hidden="false" customHeight="true" outlineLevel="0" collapsed="false">
      <c r="A2027" s="13"/>
      <c r="B2027" s="10"/>
      <c r="C2027" s="10"/>
      <c r="D2027" s="14"/>
      <c r="E2027" s="11"/>
      <c r="F2027" s="15" t="str">
        <f aca="false">IF($B2027="","",IF(AND($D2027="",$E2027=""),"",IF(OR($D2027="",$E2027=""),0,ROUND($D2027*$E2027,0))))</f>
        <v/>
      </c>
      <c r="G2027" s="13"/>
      <c r="H2027" s="11"/>
      <c r="I2027" s="15" t="str">
        <f aca="false">IF($F2027="","",$F2027-IF($H2027="",0,$H2027))</f>
        <v/>
      </c>
      <c r="J2027" s="16" t="str">
        <f aca="true">IF(OR($A2027="",$I2027="",$I2027&lt;=0),"",TODAY()-$A2027)</f>
        <v/>
      </c>
      <c r="K2027" s="10"/>
    </row>
    <row r="2028" customFormat="false" ht="15" hidden="false" customHeight="true" outlineLevel="0" collapsed="false">
      <c r="A2028" s="13"/>
      <c r="B2028" s="10"/>
      <c r="C2028" s="10"/>
      <c r="D2028" s="14"/>
      <c r="E2028" s="11"/>
      <c r="F2028" s="15" t="str">
        <f aca="false">IF($B2028="","",IF(AND($D2028="",$E2028=""),"",IF(OR($D2028="",$E2028=""),0,ROUND($D2028*$E2028,0))))</f>
        <v/>
      </c>
      <c r="G2028" s="13"/>
      <c r="H2028" s="11"/>
      <c r="I2028" s="15" t="str">
        <f aca="false">IF($F2028="","",$F2028-IF($H2028="",0,$H2028))</f>
        <v/>
      </c>
      <c r="J2028" s="16" t="str">
        <f aca="true">IF(OR($A2028="",$I2028="",$I2028&lt;=0),"",TODAY()-$A2028)</f>
        <v/>
      </c>
      <c r="K2028" s="10"/>
    </row>
    <row r="2029" customFormat="false" ht="15" hidden="false" customHeight="true" outlineLevel="0" collapsed="false">
      <c r="A2029" s="13"/>
      <c r="B2029" s="10"/>
      <c r="C2029" s="10"/>
      <c r="D2029" s="14"/>
      <c r="E2029" s="11"/>
      <c r="F2029" s="15" t="str">
        <f aca="false">IF($B2029="","",IF(AND($D2029="",$E2029=""),"",IF(OR($D2029="",$E2029=""),0,ROUND($D2029*$E2029,0))))</f>
        <v/>
      </c>
      <c r="G2029" s="13"/>
      <c r="H2029" s="11"/>
      <c r="I2029" s="15" t="str">
        <f aca="false">IF($F2029="","",$F2029-IF($H2029="",0,$H2029))</f>
        <v/>
      </c>
      <c r="J2029" s="16" t="str">
        <f aca="true">IF(OR($A2029="",$I2029="",$I2029&lt;=0),"",TODAY()-$A2029)</f>
        <v/>
      </c>
      <c r="K2029" s="10"/>
    </row>
    <row r="2030" customFormat="false" ht="15" hidden="false" customHeight="true" outlineLevel="0" collapsed="false">
      <c r="A2030" s="13"/>
      <c r="B2030" s="10"/>
      <c r="C2030" s="10"/>
      <c r="D2030" s="14"/>
      <c r="E2030" s="11"/>
      <c r="F2030" s="15" t="str">
        <f aca="false">IF($B2030="","",IF(AND($D2030="",$E2030=""),"",IF(OR($D2030="",$E2030=""),0,ROUND($D2030*$E2030,0))))</f>
        <v/>
      </c>
      <c r="G2030" s="13"/>
      <c r="H2030" s="11"/>
      <c r="I2030" s="15" t="str">
        <f aca="false">IF($F2030="","",$F2030-IF($H2030="",0,$H2030))</f>
        <v/>
      </c>
      <c r="J2030" s="16" t="str">
        <f aca="true">IF(OR($A2030="",$I2030="",$I2030&lt;=0),"",TODAY()-$A2030)</f>
        <v/>
      </c>
      <c r="K2030" s="10"/>
    </row>
    <row r="2031" customFormat="false" ht="15" hidden="false" customHeight="true" outlineLevel="0" collapsed="false">
      <c r="A2031" s="13"/>
      <c r="B2031" s="10"/>
      <c r="C2031" s="10"/>
      <c r="D2031" s="14"/>
      <c r="E2031" s="11"/>
      <c r="F2031" s="15" t="str">
        <f aca="false">IF($B2031="","",IF(AND($D2031="",$E2031=""),"",IF(OR($D2031="",$E2031=""),0,ROUND($D2031*$E2031,0))))</f>
        <v/>
      </c>
      <c r="G2031" s="13"/>
      <c r="H2031" s="11"/>
      <c r="I2031" s="15" t="str">
        <f aca="false">IF($F2031="","",$F2031-IF($H2031="",0,$H2031))</f>
        <v/>
      </c>
      <c r="J2031" s="16" t="str">
        <f aca="true">IF(OR($A2031="",$I2031="",$I2031&lt;=0),"",TODAY()-$A2031)</f>
        <v/>
      </c>
      <c r="K2031" s="10"/>
    </row>
    <row r="2032" customFormat="false" ht="15" hidden="false" customHeight="true" outlineLevel="0" collapsed="false">
      <c r="A2032" s="13"/>
      <c r="B2032" s="10"/>
      <c r="C2032" s="10"/>
      <c r="D2032" s="14"/>
      <c r="E2032" s="11"/>
      <c r="F2032" s="15" t="str">
        <f aca="false">IF($B2032="","",IF(AND($D2032="",$E2032=""),"",IF(OR($D2032="",$E2032=""),0,ROUND($D2032*$E2032,0))))</f>
        <v/>
      </c>
      <c r="G2032" s="13"/>
      <c r="H2032" s="11"/>
      <c r="I2032" s="15" t="str">
        <f aca="false">IF($F2032="","",$F2032-IF($H2032="",0,$H2032))</f>
        <v/>
      </c>
      <c r="J2032" s="16" t="str">
        <f aca="true">IF(OR($A2032="",$I2032="",$I2032&lt;=0),"",TODAY()-$A2032)</f>
        <v/>
      </c>
      <c r="K2032" s="10"/>
    </row>
    <row r="2033" customFormat="false" ht="15" hidden="false" customHeight="true" outlineLevel="0" collapsed="false">
      <c r="A2033" s="13"/>
      <c r="B2033" s="10"/>
      <c r="C2033" s="10"/>
      <c r="D2033" s="14"/>
      <c r="E2033" s="11"/>
      <c r="F2033" s="15" t="str">
        <f aca="false">IF($B2033="","",IF(AND($D2033="",$E2033=""),"",IF(OR($D2033="",$E2033=""),0,ROUND($D2033*$E2033,0))))</f>
        <v/>
      </c>
      <c r="G2033" s="13"/>
      <c r="H2033" s="11"/>
      <c r="I2033" s="15" t="str">
        <f aca="false">IF($F2033="","",$F2033-IF($H2033="",0,$H2033))</f>
        <v/>
      </c>
      <c r="J2033" s="16" t="str">
        <f aca="true">IF(OR($A2033="",$I2033="",$I2033&lt;=0),"",TODAY()-$A2033)</f>
        <v/>
      </c>
      <c r="K2033" s="10"/>
    </row>
    <row r="2034" customFormat="false" ht="15" hidden="false" customHeight="true" outlineLevel="0" collapsed="false">
      <c r="A2034" s="13"/>
      <c r="B2034" s="10"/>
      <c r="C2034" s="10"/>
      <c r="D2034" s="14"/>
      <c r="E2034" s="11"/>
      <c r="F2034" s="15" t="str">
        <f aca="false">IF($B2034="","",IF(AND($D2034="",$E2034=""),"",IF(OR($D2034="",$E2034=""),0,ROUND($D2034*$E2034,0))))</f>
        <v/>
      </c>
      <c r="G2034" s="13"/>
      <c r="H2034" s="11"/>
      <c r="I2034" s="15" t="str">
        <f aca="false">IF($F2034="","",$F2034-IF($H2034="",0,$H2034))</f>
        <v/>
      </c>
      <c r="J2034" s="16" t="str">
        <f aca="true">IF(OR($A2034="",$I2034="",$I2034&lt;=0),"",TODAY()-$A2034)</f>
        <v/>
      </c>
      <c r="K2034" s="10"/>
    </row>
    <row r="2035" customFormat="false" ht="15" hidden="false" customHeight="true" outlineLevel="0" collapsed="false">
      <c r="A2035" s="13"/>
      <c r="B2035" s="10"/>
      <c r="C2035" s="10"/>
      <c r="D2035" s="14"/>
      <c r="E2035" s="11"/>
      <c r="F2035" s="15" t="str">
        <f aca="false">IF($B2035="","",IF(AND($D2035="",$E2035=""),"",IF(OR($D2035="",$E2035=""),0,ROUND($D2035*$E2035,0))))</f>
        <v/>
      </c>
      <c r="G2035" s="13"/>
      <c r="H2035" s="11"/>
      <c r="I2035" s="15" t="str">
        <f aca="false">IF($F2035="","",$F2035-IF($H2035="",0,$H2035))</f>
        <v/>
      </c>
      <c r="J2035" s="16" t="str">
        <f aca="true">IF(OR($A2035="",$I2035="",$I2035&lt;=0),"",TODAY()-$A2035)</f>
        <v/>
      </c>
      <c r="K2035" s="10"/>
    </row>
    <row r="2036" customFormat="false" ht="15" hidden="false" customHeight="true" outlineLevel="0" collapsed="false">
      <c r="A2036" s="13"/>
      <c r="B2036" s="10"/>
      <c r="C2036" s="10"/>
      <c r="D2036" s="14"/>
      <c r="E2036" s="11"/>
      <c r="F2036" s="15" t="str">
        <f aca="false">IF($B2036="","",IF(AND($D2036="",$E2036=""),"",IF(OR($D2036="",$E2036=""),0,ROUND($D2036*$E2036,0))))</f>
        <v/>
      </c>
      <c r="G2036" s="13"/>
      <c r="H2036" s="11"/>
      <c r="I2036" s="15" t="str">
        <f aca="false">IF($F2036="","",$F2036-IF($H2036="",0,$H2036))</f>
        <v/>
      </c>
      <c r="J2036" s="16" t="str">
        <f aca="true">IF(OR($A2036="",$I2036="",$I2036&lt;=0),"",TODAY()-$A2036)</f>
        <v/>
      </c>
      <c r="K2036" s="10"/>
    </row>
    <row r="2037" customFormat="false" ht="15" hidden="false" customHeight="true" outlineLevel="0" collapsed="false">
      <c r="A2037" s="13"/>
      <c r="B2037" s="10"/>
      <c r="C2037" s="10"/>
      <c r="D2037" s="14"/>
      <c r="E2037" s="11"/>
      <c r="F2037" s="15" t="str">
        <f aca="false">IF($B2037="","",IF(AND($D2037="",$E2037=""),"",IF(OR($D2037="",$E2037=""),0,ROUND($D2037*$E2037,0))))</f>
        <v/>
      </c>
      <c r="G2037" s="13"/>
      <c r="H2037" s="11"/>
      <c r="I2037" s="15" t="str">
        <f aca="false">IF($F2037="","",$F2037-IF($H2037="",0,$H2037))</f>
        <v/>
      </c>
      <c r="J2037" s="16" t="str">
        <f aca="true">IF(OR($A2037="",$I2037="",$I2037&lt;=0),"",TODAY()-$A2037)</f>
        <v/>
      </c>
      <c r="K2037" s="10"/>
    </row>
    <row r="2038" customFormat="false" ht="15" hidden="false" customHeight="true" outlineLevel="0" collapsed="false">
      <c r="A2038" s="13"/>
      <c r="B2038" s="10"/>
      <c r="C2038" s="10"/>
      <c r="D2038" s="14"/>
      <c r="E2038" s="11"/>
      <c r="F2038" s="15" t="str">
        <f aca="false">IF($B2038="","",IF(AND($D2038="",$E2038=""),"",IF(OR($D2038="",$E2038=""),0,ROUND($D2038*$E2038,0))))</f>
        <v/>
      </c>
      <c r="G2038" s="13"/>
      <c r="H2038" s="11"/>
      <c r="I2038" s="15" t="str">
        <f aca="false">IF($F2038="","",$F2038-IF($H2038="",0,$H2038))</f>
        <v/>
      </c>
      <c r="J2038" s="16" t="str">
        <f aca="true">IF(OR($A2038="",$I2038="",$I2038&lt;=0),"",TODAY()-$A2038)</f>
        <v/>
      </c>
      <c r="K2038" s="10"/>
    </row>
    <row r="2039" customFormat="false" ht="15" hidden="false" customHeight="true" outlineLevel="0" collapsed="false">
      <c r="A2039" s="13"/>
      <c r="B2039" s="10"/>
      <c r="C2039" s="10"/>
      <c r="D2039" s="14"/>
      <c r="E2039" s="11"/>
      <c r="F2039" s="15" t="str">
        <f aca="false">IF($B2039="","",IF(AND($D2039="",$E2039=""),"",IF(OR($D2039="",$E2039=""),0,ROUND($D2039*$E2039,0))))</f>
        <v/>
      </c>
      <c r="G2039" s="13"/>
      <c r="H2039" s="11"/>
      <c r="I2039" s="15" t="str">
        <f aca="false">IF($F2039="","",$F2039-IF($H2039="",0,$H2039))</f>
        <v/>
      </c>
      <c r="J2039" s="16" t="str">
        <f aca="true">IF(OR($A2039="",$I2039="",$I2039&lt;=0),"",TODAY()-$A2039)</f>
        <v/>
      </c>
      <c r="K2039" s="10"/>
    </row>
    <row r="2040" customFormat="false" ht="15" hidden="false" customHeight="true" outlineLevel="0" collapsed="false">
      <c r="A2040" s="13"/>
      <c r="B2040" s="10"/>
      <c r="C2040" s="10"/>
      <c r="D2040" s="14"/>
      <c r="E2040" s="11"/>
      <c r="F2040" s="15" t="str">
        <f aca="false">IF($B2040="","",IF(AND($D2040="",$E2040=""),"",IF(OR($D2040="",$E2040=""),0,ROUND($D2040*$E2040,0))))</f>
        <v/>
      </c>
      <c r="G2040" s="13"/>
      <c r="H2040" s="11"/>
      <c r="I2040" s="15" t="str">
        <f aca="false">IF($F2040="","",$F2040-IF($H2040="",0,$H2040))</f>
        <v/>
      </c>
      <c r="J2040" s="16" t="str">
        <f aca="true">IF(OR($A2040="",$I2040="",$I2040&lt;=0),"",TODAY()-$A2040)</f>
        <v/>
      </c>
      <c r="K2040" s="10"/>
    </row>
    <row r="2041" customFormat="false" ht="15" hidden="false" customHeight="true" outlineLevel="0" collapsed="false">
      <c r="A2041" s="13"/>
      <c r="B2041" s="10"/>
      <c r="C2041" s="10"/>
      <c r="D2041" s="14"/>
      <c r="E2041" s="11"/>
      <c r="F2041" s="15" t="str">
        <f aca="false">IF($B2041="","",IF(AND($D2041="",$E2041=""),"",IF(OR($D2041="",$E2041=""),0,ROUND($D2041*$E2041,0))))</f>
        <v/>
      </c>
      <c r="G2041" s="13"/>
      <c r="H2041" s="11"/>
      <c r="I2041" s="15" t="str">
        <f aca="false">IF($F2041="","",$F2041-IF($H2041="",0,$H2041))</f>
        <v/>
      </c>
      <c r="J2041" s="16" t="str">
        <f aca="true">IF(OR($A2041="",$I2041="",$I2041&lt;=0),"",TODAY()-$A2041)</f>
        <v/>
      </c>
      <c r="K2041" s="10"/>
    </row>
    <row r="2042" customFormat="false" ht="15" hidden="false" customHeight="true" outlineLevel="0" collapsed="false">
      <c r="A2042" s="13"/>
      <c r="B2042" s="10"/>
      <c r="C2042" s="10"/>
      <c r="D2042" s="14"/>
      <c r="E2042" s="11"/>
      <c r="F2042" s="15" t="str">
        <f aca="false">IF($B2042="","",IF(AND($D2042="",$E2042=""),"",IF(OR($D2042="",$E2042=""),0,ROUND($D2042*$E2042,0))))</f>
        <v/>
      </c>
      <c r="G2042" s="13"/>
      <c r="H2042" s="11"/>
      <c r="I2042" s="15" t="str">
        <f aca="false">IF($F2042="","",$F2042-IF($H2042="",0,$H2042))</f>
        <v/>
      </c>
      <c r="J2042" s="16" t="str">
        <f aca="true">IF(OR($A2042="",$I2042="",$I2042&lt;=0),"",TODAY()-$A2042)</f>
        <v/>
      </c>
      <c r="K2042" s="10"/>
    </row>
    <row r="2043" customFormat="false" ht="15" hidden="false" customHeight="true" outlineLevel="0" collapsed="false">
      <c r="A2043" s="13"/>
      <c r="B2043" s="10"/>
      <c r="C2043" s="10"/>
      <c r="D2043" s="14"/>
      <c r="E2043" s="11"/>
      <c r="F2043" s="15" t="str">
        <f aca="false">IF($B2043="","",IF(AND($D2043="",$E2043=""),"",IF(OR($D2043="",$E2043=""),0,ROUND($D2043*$E2043,0))))</f>
        <v/>
      </c>
      <c r="G2043" s="13"/>
      <c r="H2043" s="11"/>
      <c r="I2043" s="15" t="str">
        <f aca="false">IF($F2043="","",$F2043-IF($H2043="",0,$H2043))</f>
        <v/>
      </c>
      <c r="J2043" s="16" t="str">
        <f aca="true">IF(OR($A2043="",$I2043="",$I2043&lt;=0),"",TODAY()-$A2043)</f>
        <v/>
      </c>
      <c r="K2043" s="10"/>
    </row>
    <row r="2044" customFormat="false" ht="15" hidden="false" customHeight="true" outlineLevel="0" collapsed="false">
      <c r="A2044" s="13"/>
      <c r="B2044" s="10"/>
      <c r="C2044" s="10"/>
      <c r="D2044" s="14"/>
      <c r="E2044" s="11"/>
      <c r="F2044" s="15" t="str">
        <f aca="false">IF($B2044="","",IF(AND($D2044="",$E2044=""),"",IF(OR($D2044="",$E2044=""),0,ROUND($D2044*$E2044,0))))</f>
        <v/>
      </c>
      <c r="G2044" s="13"/>
      <c r="H2044" s="11"/>
      <c r="I2044" s="15" t="str">
        <f aca="false">IF($F2044="","",$F2044-IF($H2044="",0,$H2044))</f>
        <v/>
      </c>
      <c r="J2044" s="16" t="str">
        <f aca="true">IF(OR($A2044="",$I2044="",$I2044&lt;=0),"",TODAY()-$A2044)</f>
        <v/>
      </c>
      <c r="K2044" s="10"/>
    </row>
    <row r="2045" customFormat="false" ht="15" hidden="false" customHeight="true" outlineLevel="0" collapsed="false">
      <c r="A2045" s="13"/>
      <c r="B2045" s="10"/>
      <c r="C2045" s="10"/>
      <c r="D2045" s="14"/>
      <c r="E2045" s="11"/>
      <c r="F2045" s="15" t="str">
        <f aca="false">IF($B2045="","",IF(AND($D2045="",$E2045=""),"",IF(OR($D2045="",$E2045=""),0,ROUND($D2045*$E2045,0))))</f>
        <v/>
      </c>
      <c r="G2045" s="13"/>
      <c r="H2045" s="11"/>
      <c r="I2045" s="15" t="str">
        <f aca="false">IF($F2045="","",$F2045-IF($H2045="",0,$H2045))</f>
        <v/>
      </c>
      <c r="J2045" s="16" t="str">
        <f aca="true">IF(OR($A2045="",$I2045="",$I2045&lt;=0),"",TODAY()-$A2045)</f>
        <v/>
      </c>
      <c r="K2045" s="10"/>
    </row>
    <row r="2046" customFormat="false" ht="15" hidden="false" customHeight="true" outlineLevel="0" collapsed="false">
      <c r="A2046" s="13"/>
      <c r="B2046" s="10"/>
      <c r="C2046" s="10"/>
      <c r="D2046" s="14"/>
      <c r="E2046" s="11"/>
      <c r="F2046" s="15" t="str">
        <f aca="false">IF($B2046="","",IF(AND($D2046="",$E2046=""),"",IF(OR($D2046="",$E2046=""),0,ROUND($D2046*$E2046,0))))</f>
        <v/>
      </c>
      <c r="G2046" s="13"/>
      <c r="H2046" s="11"/>
      <c r="I2046" s="15" t="str">
        <f aca="false">IF($F2046="","",$F2046-IF($H2046="",0,$H2046))</f>
        <v/>
      </c>
      <c r="J2046" s="16" t="str">
        <f aca="true">IF(OR($A2046="",$I2046="",$I2046&lt;=0),"",TODAY()-$A2046)</f>
        <v/>
      </c>
      <c r="K2046" s="10"/>
    </row>
    <row r="2047" customFormat="false" ht="15" hidden="false" customHeight="true" outlineLevel="0" collapsed="false">
      <c r="A2047" s="13"/>
      <c r="B2047" s="10"/>
      <c r="C2047" s="10"/>
      <c r="D2047" s="14"/>
      <c r="E2047" s="11"/>
      <c r="F2047" s="15" t="str">
        <f aca="false">IF($B2047="","",IF(AND($D2047="",$E2047=""),"",IF(OR($D2047="",$E2047=""),0,ROUND($D2047*$E2047,0))))</f>
        <v/>
      </c>
      <c r="G2047" s="13"/>
      <c r="H2047" s="11"/>
      <c r="I2047" s="15" t="str">
        <f aca="false">IF($F2047="","",$F2047-IF($H2047="",0,$H2047))</f>
        <v/>
      </c>
      <c r="J2047" s="16" t="str">
        <f aca="true">IF(OR($A2047="",$I2047="",$I2047&lt;=0),"",TODAY()-$A2047)</f>
        <v/>
      </c>
      <c r="K2047" s="10"/>
    </row>
    <row r="2048" customFormat="false" ht="15" hidden="false" customHeight="true" outlineLevel="0" collapsed="false">
      <c r="A2048" s="13"/>
      <c r="B2048" s="10"/>
      <c r="C2048" s="10"/>
      <c r="D2048" s="14"/>
      <c r="E2048" s="11"/>
      <c r="F2048" s="15" t="str">
        <f aca="false">IF($B2048="","",IF(AND($D2048="",$E2048=""),"",IF(OR($D2048="",$E2048=""),0,ROUND($D2048*$E2048,0))))</f>
        <v/>
      </c>
      <c r="G2048" s="13"/>
      <c r="H2048" s="11"/>
      <c r="I2048" s="15" t="str">
        <f aca="false">IF($F2048="","",$F2048-IF($H2048="",0,$H2048))</f>
        <v/>
      </c>
      <c r="J2048" s="16" t="str">
        <f aca="true">IF(OR($A2048="",$I2048="",$I2048&lt;=0),"",TODAY()-$A2048)</f>
        <v/>
      </c>
      <c r="K2048" s="10"/>
    </row>
    <row r="2049" customFormat="false" ht="15" hidden="false" customHeight="true" outlineLevel="0" collapsed="false">
      <c r="A2049" s="13"/>
      <c r="B2049" s="10"/>
      <c r="C2049" s="10"/>
      <c r="D2049" s="14"/>
      <c r="E2049" s="11"/>
      <c r="F2049" s="15" t="str">
        <f aca="false">IF($B2049="","",IF(AND($D2049="",$E2049=""),"",IF(OR($D2049="",$E2049=""),0,ROUND($D2049*$E2049,0))))</f>
        <v/>
      </c>
      <c r="G2049" s="13"/>
      <c r="H2049" s="11"/>
      <c r="I2049" s="15" t="str">
        <f aca="false">IF($F2049="","",$F2049-IF($H2049="",0,$H2049))</f>
        <v/>
      </c>
      <c r="J2049" s="16" t="str">
        <f aca="true">IF(OR($A2049="",$I2049="",$I2049&lt;=0),"",TODAY()-$A2049)</f>
        <v/>
      </c>
      <c r="K2049" s="10"/>
    </row>
    <row r="2050" customFormat="false" ht="15" hidden="false" customHeight="true" outlineLevel="0" collapsed="false">
      <c r="A2050" s="13"/>
      <c r="B2050" s="10"/>
      <c r="C2050" s="10"/>
      <c r="D2050" s="14"/>
      <c r="E2050" s="11"/>
      <c r="F2050" s="15" t="str">
        <f aca="false">IF($B2050="","",IF(AND($D2050="",$E2050=""),"",IF(OR($D2050="",$E2050=""),0,ROUND($D2050*$E2050,0))))</f>
        <v/>
      </c>
      <c r="G2050" s="13"/>
      <c r="H2050" s="11"/>
      <c r="I2050" s="15" t="str">
        <f aca="false">IF($F2050="","",$F2050-IF($H2050="",0,$H2050))</f>
        <v/>
      </c>
      <c r="J2050" s="16" t="str">
        <f aca="true">IF(OR($A2050="",$I2050="",$I2050&lt;=0),"",TODAY()-$A2050)</f>
        <v/>
      </c>
      <c r="K2050" s="10"/>
    </row>
    <row r="2051" customFormat="false" ht="15" hidden="false" customHeight="true" outlineLevel="0" collapsed="false">
      <c r="A2051" s="13"/>
      <c r="B2051" s="10"/>
      <c r="C2051" s="10"/>
      <c r="D2051" s="14"/>
      <c r="E2051" s="11"/>
      <c r="F2051" s="15" t="str">
        <f aca="false">IF($B2051="","",IF(AND($D2051="",$E2051=""),"",IF(OR($D2051="",$E2051=""),0,ROUND($D2051*$E2051,0))))</f>
        <v/>
      </c>
      <c r="G2051" s="13"/>
      <c r="H2051" s="11"/>
      <c r="I2051" s="15" t="str">
        <f aca="false">IF($F2051="","",$F2051-IF($H2051="",0,$H2051))</f>
        <v/>
      </c>
      <c r="J2051" s="16" t="str">
        <f aca="true">IF(OR($A2051="",$I2051="",$I2051&lt;=0),"",TODAY()-$A2051)</f>
        <v/>
      </c>
      <c r="K2051" s="10"/>
    </row>
    <row r="2052" customFormat="false" ht="15" hidden="false" customHeight="true" outlineLevel="0" collapsed="false">
      <c r="A2052" s="13"/>
      <c r="B2052" s="10"/>
      <c r="C2052" s="10"/>
      <c r="D2052" s="14"/>
      <c r="E2052" s="11"/>
      <c r="F2052" s="15" t="str">
        <f aca="false">IF($B2052="","",IF(AND($D2052="",$E2052=""),"",IF(OR($D2052="",$E2052=""),0,ROUND($D2052*$E2052,0))))</f>
        <v/>
      </c>
      <c r="G2052" s="13"/>
      <c r="H2052" s="11"/>
      <c r="I2052" s="15" t="str">
        <f aca="false">IF($F2052="","",$F2052-IF($H2052="",0,$H2052))</f>
        <v/>
      </c>
      <c r="J2052" s="16" t="str">
        <f aca="true">IF(OR($A2052="",$I2052="",$I2052&lt;=0),"",TODAY()-$A2052)</f>
        <v/>
      </c>
      <c r="K2052" s="10"/>
    </row>
    <row r="2053" customFormat="false" ht="15" hidden="false" customHeight="true" outlineLevel="0" collapsed="false">
      <c r="A2053" s="13"/>
      <c r="B2053" s="10"/>
      <c r="C2053" s="10"/>
      <c r="D2053" s="14"/>
      <c r="E2053" s="11"/>
      <c r="F2053" s="15" t="str">
        <f aca="false">IF($B2053="","",IF(AND($D2053="",$E2053=""),"",IF(OR($D2053="",$E2053=""),0,ROUND($D2053*$E2053,0))))</f>
        <v/>
      </c>
      <c r="G2053" s="13"/>
      <c r="H2053" s="11"/>
      <c r="I2053" s="15" t="str">
        <f aca="false">IF($F2053="","",$F2053-IF($H2053="",0,$H2053))</f>
        <v/>
      </c>
      <c r="J2053" s="16" t="str">
        <f aca="true">IF(OR($A2053="",$I2053="",$I2053&lt;=0),"",TODAY()-$A2053)</f>
        <v/>
      </c>
      <c r="K2053" s="10"/>
    </row>
    <row r="2054" customFormat="false" ht="15" hidden="false" customHeight="true" outlineLevel="0" collapsed="false">
      <c r="A2054" s="13"/>
      <c r="B2054" s="10"/>
      <c r="C2054" s="10"/>
      <c r="D2054" s="14"/>
      <c r="E2054" s="11"/>
      <c r="F2054" s="15" t="str">
        <f aca="false">IF($B2054="","",IF(AND($D2054="",$E2054=""),"",IF(OR($D2054="",$E2054=""),0,ROUND($D2054*$E2054,0))))</f>
        <v/>
      </c>
      <c r="G2054" s="13"/>
      <c r="H2054" s="11"/>
      <c r="I2054" s="15" t="str">
        <f aca="false">IF($F2054="","",$F2054-IF($H2054="",0,$H2054))</f>
        <v/>
      </c>
      <c r="J2054" s="16" t="str">
        <f aca="true">IF(OR($A2054="",$I2054="",$I2054&lt;=0),"",TODAY()-$A2054)</f>
        <v/>
      </c>
      <c r="K2054" s="10"/>
    </row>
    <row r="2055" customFormat="false" ht="15" hidden="false" customHeight="true" outlineLevel="0" collapsed="false">
      <c r="A2055" s="13"/>
      <c r="B2055" s="10"/>
      <c r="C2055" s="10"/>
      <c r="D2055" s="14"/>
      <c r="E2055" s="11"/>
      <c r="F2055" s="15" t="str">
        <f aca="false">IF($B2055="","",IF(AND($D2055="",$E2055=""),"",IF(OR($D2055="",$E2055=""),0,ROUND($D2055*$E2055,0))))</f>
        <v/>
      </c>
      <c r="G2055" s="13"/>
      <c r="H2055" s="11"/>
      <c r="I2055" s="15" t="str">
        <f aca="false">IF($F2055="","",$F2055-IF($H2055="",0,$H2055))</f>
        <v/>
      </c>
      <c r="J2055" s="16" t="str">
        <f aca="true">IF(OR($A2055="",$I2055="",$I2055&lt;=0),"",TODAY()-$A2055)</f>
        <v/>
      </c>
      <c r="K2055" s="10"/>
    </row>
    <row r="2056" customFormat="false" ht="15" hidden="false" customHeight="true" outlineLevel="0" collapsed="false">
      <c r="A2056" s="13"/>
      <c r="B2056" s="10"/>
      <c r="C2056" s="10"/>
      <c r="D2056" s="14"/>
      <c r="E2056" s="11"/>
      <c r="F2056" s="15" t="str">
        <f aca="false">IF($B2056="","",IF(AND($D2056="",$E2056=""),"",IF(OR($D2056="",$E2056=""),0,ROUND($D2056*$E2056,0))))</f>
        <v/>
      </c>
      <c r="G2056" s="13"/>
      <c r="H2056" s="11"/>
      <c r="I2056" s="15" t="str">
        <f aca="false">IF($F2056="","",$F2056-IF($H2056="",0,$H2056))</f>
        <v/>
      </c>
      <c r="J2056" s="16" t="str">
        <f aca="true">IF(OR($A2056="",$I2056="",$I2056&lt;=0),"",TODAY()-$A2056)</f>
        <v/>
      </c>
      <c r="K2056" s="10"/>
    </row>
    <row r="2057" customFormat="false" ht="15" hidden="false" customHeight="true" outlineLevel="0" collapsed="false">
      <c r="A2057" s="13"/>
      <c r="B2057" s="10"/>
      <c r="C2057" s="10"/>
      <c r="D2057" s="14"/>
      <c r="E2057" s="11"/>
      <c r="F2057" s="15" t="str">
        <f aca="false">IF($B2057="","",IF(AND($D2057="",$E2057=""),"",IF(OR($D2057="",$E2057=""),0,ROUND($D2057*$E2057,0))))</f>
        <v/>
      </c>
      <c r="G2057" s="13"/>
      <c r="H2057" s="11"/>
      <c r="I2057" s="15" t="str">
        <f aca="false">IF($F2057="","",$F2057-IF($H2057="",0,$H2057))</f>
        <v/>
      </c>
      <c r="J2057" s="16" t="str">
        <f aca="true">IF(OR($A2057="",$I2057="",$I2057&lt;=0),"",TODAY()-$A2057)</f>
        <v/>
      </c>
      <c r="K2057" s="10"/>
    </row>
    <row r="2058" customFormat="false" ht="15" hidden="false" customHeight="true" outlineLevel="0" collapsed="false">
      <c r="A2058" s="13"/>
      <c r="B2058" s="10"/>
      <c r="C2058" s="10"/>
      <c r="D2058" s="14"/>
      <c r="E2058" s="11"/>
      <c r="F2058" s="15" t="str">
        <f aca="false">IF($B2058="","",IF(AND($D2058="",$E2058=""),"",IF(OR($D2058="",$E2058=""),0,ROUND($D2058*$E2058,0))))</f>
        <v/>
      </c>
      <c r="G2058" s="13"/>
      <c r="H2058" s="11"/>
      <c r="I2058" s="15" t="str">
        <f aca="false">IF($F2058="","",$F2058-IF($H2058="",0,$H2058))</f>
        <v/>
      </c>
      <c r="J2058" s="16" t="str">
        <f aca="true">IF(OR($A2058="",$I2058="",$I2058&lt;=0),"",TODAY()-$A2058)</f>
        <v/>
      </c>
      <c r="K2058" s="10"/>
    </row>
    <row r="2059" customFormat="false" ht="15" hidden="false" customHeight="true" outlineLevel="0" collapsed="false">
      <c r="A2059" s="13"/>
      <c r="B2059" s="10"/>
      <c r="C2059" s="10"/>
      <c r="D2059" s="14"/>
      <c r="E2059" s="11"/>
      <c r="F2059" s="15" t="str">
        <f aca="false">IF($B2059="","",IF(AND($D2059="",$E2059=""),"",IF(OR($D2059="",$E2059=""),0,ROUND($D2059*$E2059,0))))</f>
        <v/>
      </c>
      <c r="G2059" s="13"/>
      <c r="H2059" s="11"/>
      <c r="I2059" s="15" t="str">
        <f aca="false">IF($F2059="","",$F2059-IF($H2059="",0,$H2059))</f>
        <v/>
      </c>
      <c r="J2059" s="16" t="str">
        <f aca="true">IF(OR($A2059="",$I2059="",$I2059&lt;=0),"",TODAY()-$A2059)</f>
        <v/>
      </c>
      <c r="K2059" s="10"/>
    </row>
    <row r="2060" customFormat="false" ht="15" hidden="false" customHeight="true" outlineLevel="0" collapsed="false">
      <c r="A2060" s="13"/>
      <c r="B2060" s="10"/>
      <c r="C2060" s="10"/>
      <c r="D2060" s="14"/>
      <c r="E2060" s="11"/>
      <c r="F2060" s="15" t="str">
        <f aca="false">IF($B2060="","",IF(AND($D2060="",$E2060=""),"",IF(OR($D2060="",$E2060=""),0,ROUND($D2060*$E2060,0))))</f>
        <v/>
      </c>
      <c r="G2060" s="13"/>
      <c r="H2060" s="11"/>
      <c r="I2060" s="15" t="str">
        <f aca="false">IF($F2060="","",$F2060-IF($H2060="",0,$H2060))</f>
        <v/>
      </c>
      <c r="J2060" s="16" t="str">
        <f aca="true">IF(OR($A2060="",$I2060="",$I2060&lt;=0),"",TODAY()-$A2060)</f>
        <v/>
      </c>
      <c r="K2060" s="10"/>
    </row>
    <row r="2061" customFormat="false" ht="15" hidden="false" customHeight="true" outlineLevel="0" collapsed="false">
      <c r="A2061" s="13"/>
      <c r="B2061" s="10"/>
      <c r="C2061" s="10"/>
      <c r="D2061" s="14"/>
      <c r="E2061" s="11"/>
      <c r="F2061" s="15" t="str">
        <f aca="false">IF($B2061="","",IF(AND($D2061="",$E2061=""),"",IF(OR($D2061="",$E2061=""),0,ROUND($D2061*$E2061,0))))</f>
        <v/>
      </c>
      <c r="G2061" s="13"/>
      <c r="H2061" s="11"/>
      <c r="I2061" s="15" t="str">
        <f aca="false">IF($F2061="","",$F2061-IF($H2061="",0,$H2061))</f>
        <v/>
      </c>
      <c r="J2061" s="16" t="str">
        <f aca="true">IF(OR($A2061="",$I2061="",$I2061&lt;=0),"",TODAY()-$A2061)</f>
        <v/>
      </c>
      <c r="K2061" s="10"/>
    </row>
    <row r="2062" customFormat="false" ht="15" hidden="false" customHeight="true" outlineLevel="0" collapsed="false">
      <c r="A2062" s="13"/>
      <c r="B2062" s="10"/>
      <c r="C2062" s="10"/>
      <c r="D2062" s="14"/>
      <c r="E2062" s="11"/>
      <c r="F2062" s="15" t="str">
        <f aca="false">IF($B2062="","",IF(AND($D2062="",$E2062=""),"",IF(OR($D2062="",$E2062=""),0,ROUND($D2062*$E2062,0))))</f>
        <v/>
      </c>
      <c r="G2062" s="13"/>
      <c r="H2062" s="11"/>
      <c r="I2062" s="15" t="str">
        <f aca="false">IF($F2062="","",$F2062-IF($H2062="",0,$H2062))</f>
        <v/>
      </c>
      <c r="J2062" s="16" t="str">
        <f aca="true">IF(OR($A2062="",$I2062="",$I2062&lt;=0),"",TODAY()-$A2062)</f>
        <v/>
      </c>
      <c r="K2062" s="10"/>
    </row>
    <row r="2063" customFormat="false" ht="15" hidden="false" customHeight="true" outlineLevel="0" collapsed="false">
      <c r="A2063" s="13"/>
      <c r="B2063" s="10"/>
      <c r="C2063" s="10"/>
      <c r="D2063" s="14"/>
      <c r="E2063" s="11"/>
      <c r="F2063" s="15" t="str">
        <f aca="false">IF($B2063="","",IF(AND($D2063="",$E2063=""),"",IF(OR($D2063="",$E2063=""),0,ROUND($D2063*$E2063,0))))</f>
        <v/>
      </c>
      <c r="G2063" s="13"/>
      <c r="H2063" s="11"/>
      <c r="I2063" s="15" t="str">
        <f aca="false">IF($F2063="","",$F2063-IF($H2063="",0,$H2063))</f>
        <v/>
      </c>
      <c r="J2063" s="16" t="str">
        <f aca="true">IF(OR($A2063="",$I2063="",$I2063&lt;=0),"",TODAY()-$A2063)</f>
        <v/>
      </c>
      <c r="K2063" s="10"/>
    </row>
    <row r="2064" customFormat="false" ht="15" hidden="false" customHeight="true" outlineLevel="0" collapsed="false">
      <c r="A2064" s="13"/>
      <c r="B2064" s="10"/>
      <c r="C2064" s="10"/>
      <c r="D2064" s="14"/>
      <c r="E2064" s="11"/>
      <c r="F2064" s="15" t="str">
        <f aca="false">IF($B2064="","",IF(AND($D2064="",$E2064=""),"",IF(OR($D2064="",$E2064=""),0,ROUND($D2064*$E2064,0))))</f>
        <v/>
      </c>
      <c r="G2064" s="13"/>
      <c r="H2064" s="11"/>
      <c r="I2064" s="15" t="str">
        <f aca="false">IF($F2064="","",$F2064-IF($H2064="",0,$H2064))</f>
        <v/>
      </c>
      <c r="J2064" s="16" t="str">
        <f aca="true">IF(OR($A2064="",$I2064="",$I2064&lt;=0),"",TODAY()-$A2064)</f>
        <v/>
      </c>
      <c r="K2064" s="10"/>
    </row>
    <row r="2065" customFormat="false" ht="15" hidden="false" customHeight="true" outlineLevel="0" collapsed="false">
      <c r="A2065" s="13"/>
      <c r="B2065" s="10"/>
      <c r="C2065" s="10"/>
      <c r="D2065" s="14"/>
      <c r="E2065" s="11"/>
      <c r="F2065" s="15" t="str">
        <f aca="false">IF($B2065="","",IF(AND($D2065="",$E2065=""),"",IF(OR($D2065="",$E2065=""),0,ROUND($D2065*$E2065,0))))</f>
        <v/>
      </c>
      <c r="G2065" s="13"/>
      <c r="H2065" s="11"/>
      <c r="I2065" s="15" t="str">
        <f aca="false">IF($F2065="","",$F2065-IF($H2065="",0,$H2065))</f>
        <v/>
      </c>
      <c r="J2065" s="16" t="str">
        <f aca="true">IF(OR($A2065="",$I2065="",$I2065&lt;=0),"",TODAY()-$A2065)</f>
        <v/>
      </c>
      <c r="K2065" s="10"/>
    </row>
    <row r="2066" customFormat="false" ht="15" hidden="false" customHeight="true" outlineLevel="0" collapsed="false">
      <c r="A2066" s="13"/>
      <c r="B2066" s="10"/>
      <c r="C2066" s="10"/>
      <c r="D2066" s="14"/>
      <c r="E2066" s="11"/>
      <c r="F2066" s="15" t="str">
        <f aca="false">IF($B2066="","",IF(AND($D2066="",$E2066=""),"",IF(OR($D2066="",$E2066=""),0,ROUND($D2066*$E2066,0))))</f>
        <v/>
      </c>
      <c r="G2066" s="13"/>
      <c r="H2066" s="11"/>
      <c r="I2066" s="15" t="str">
        <f aca="false">IF($F2066="","",$F2066-IF($H2066="",0,$H2066))</f>
        <v/>
      </c>
      <c r="J2066" s="16" t="str">
        <f aca="true">IF(OR($A2066="",$I2066="",$I2066&lt;=0),"",TODAY()-$A2066)</f>
        <v/>
      </c>
      <c r="K2066" s="10"/>
    </row>
    <row r="2067" customFormat="false" ht="15" hidden="false" customHeight="true" outlineLevel="0" collapsed="false">
      <c r="A2067" s="13"/>
      <c r="B2067" s="10"/>
      <c r="C2067" s="10"/>
      <c r="D2067" s="14"/>
      <c r="E2067" s="11"/>
      <c r="F2067" s="15" t="str">
        <f aca="false">IF($B2067="","",IF(AND($D2067="",$E2067=""),"",IF(OR($D2067="",$E2067=""),0,ROUND($D2067*$E2067,0))))</f>
        <v/>
      </c>
      <c r="G2067" s="13"/>
      <c r="H2067" s="11"/>
      <c r="I2067" s="15" t="str">
        <f aca="false">IF($F2067="","",$F2067-IF($H2067="",0,$H2067))</f>
        <v/>
      </c>
      <c r="J2067" s="16" t="str">
        <f aca="true">IF(OR($A2067="",$I2067="",$I2067&lt;=0),"",TODAY()-$A2067)</f>
        <v/>
      </c>
      <c r="K2067" s="10"/>
    </row>
    <row r="2068" customFormat="false" ht="15" hidden="false" customHeight="true" outlineLevel="0" collapsed="false">
      <c r="A2068" s="13"/>
      <c r="B2068" s="10"/>
      <c r="C2068" s="10"/>
      <c r="D2068" s="14"/>
      <c r="E2068" s="11"/>
      <c r="F2068" s="15" t="str">
        <f aca="false">IF($B2068="","",IF(AND($D2068="",$E2068=""),"",IF(OR($D2068="",$E2068=""),0,ROUND($D2068*$E2068,0))))</f>
        <v/>
      </c>
      <c r="G2068" s="13"/>
      <c r="H2068" s="11"/>
      <c r="I2068" s="15" t="str">
        <f aca="false">IF($F2068="","",$F2068-IF($H2068="",0,$H2068))</f>
        <v/>
      </c>
      <c r="J2068" s="16" t="str">
        <f aca="true">IF(OR($A2068="",$I2068="",$I2068&lt;=0),"",TODAY()-$A2068)</f>
        <v/>
      </c>
      <c r="K2068" s="10"/>
    </row>
    <row r="2069" customFormat="false" ht="15" hidden="false" customHeight="true" outlineLevel="0" collapsed="false">
      <c r="A2069" s="13"/>
      <c r="B2069" s="10"/>
      <c r="C2069" s="10"/>
      <c r="D2069" s="14"/>
      <c r="E2069" s="11"/>
      <c r="F2069" s="15" t="str">
        <f aca="false">IF($B2069="","",IF(AND($D2069="",$E2069=""),"",IF(OR($D2069="",$E2069=""),0,ROUND($D2069*$E2069,0))))</f>
        <v/>
      </c>
      <c r="G2069" s="13"/>
      <c r="H2069" s="11"/>
      <c r="I2069" s="15" t="str">
        <f aca="false">IF($F2069="","",$F2069-IF($H2069="",0,$H2069))</f>
        <v/>
      </c>
      <c r="J2069" s="16" t="str">
        <f aca="true">IF(OR($A2069="",$I2069="",$I2069&lt;=0),"",TODAY()-$A2069)</f>
        <v/>
      </c>
      <c r="K2069" s="10"/>
    </row>
    <row r="2070" customFormat="false" ht="15" hidden="false" customHeight="true" outlineLevel="0" collapsed="false">
      <c r="A2070" s="13"/>
      <c r="B2070" s="10"/>
      <c r="C2070" s="10"/>
      <c r="D2070" s="14"/>
      <c r="E2070" s="11"/>
      <c r="F2070" s="15" t="str">
        <f aca="false">IF($B2070="","",IF(AND($D2070="",$E2070=""),"",IF(OR($D2070="",$E2070=""),0,ROUND($D2070*$E2070,0))))</f>
        <v/>
      </c>
      <c r="G2070" s="13"/>
      <c r="H2070" s="11"/>
      <c r="I2070" s="15" t="str">
        <f aca="false">IF($F2070="","",$F2070-IF($H2070="",0,$H2070))</f>
        <v/>
      </c>
      <c r="J2070" s="16" t="str">
        <f aca="true">IF(OR($A2070="",$I2070="",$I2070&lt;=0),"",TODAY()-$A2070)</f>
        <v/>
      </c>
      <c r="K2070" s="10"/>
    </row>
    <row r="2071" customFormat="false" ht="15" hidden="false" customHeight="true" outlineLevel="0" collapsed="false">
      <c r="A2071" s="13"/>
      <c r="B2071" s="10"/>
      <c r="C2071" s="10"/>
      <c r="D2071" s="14"/>
      <c r="E2071" s="11"/>
      <c r="F2071" s="15" t="str">
        <f aca="false">IF($B2071="","",IF(AND($D2071="",$E2071=""),"",IF(OR($D2071="",$E2071=""),0,ROUND($D2071*$E2071,0))))</f>
        <v/>
      </c>
      <c r="G2071" s="13"/>
      <c r="H2071" s="11"/>
      <c r="I2071" s="15" t="str">
        <f aca="false">IF($F2071="","",$F2071-IF($H2071="",0,$H2071))</f>
        <v/>
      </c>
      <c r="J2071" s="16" t="str">
        <f aca="true">IF(OR($A2071="",$I2071="",$I2071&lt;=0),"",TODAY()-$A2071)</f>
        <v/>
      </c>
      <c r="K2071" s="10"/>
    </row>
    <row r="2072" customFormat="false" ht="15" hidden="false" customHeight="true" outlineLevel="0" collapsed="false">
      <c r="A2072" s="13"/>
      <c r="B2072" s="10"/>
      <c r="C2072" s="10"/>
      <c r="D2072" s="14"/>
      <c r="E2072" s="11"/>
      <c r="F2072" s="15" t="str">
        <f aca="false">IF($B2072="","",IF(AND($D2072="",$E2072=""),"",IF(OR($D2072="",$E2072=""),0,ROUND($D2072*$E2072,0))))</f>
        <v/>
      </c>
      <c r="G2072" s="13"/>
      <c r="H2072" s="11"/>
      <c r="I2072" s="15" t="str">
        <f aca="false">IF($F2072="","",$F2072-IF($H2072="",0,$H2072))</f>
        <v/>
      </c>
      <c r="J2072" s="16" t="str">
        <f aca="true">IF(OR($A2072="",$I2072="",$I2072&lt;=0),"",TODAY()-$A2072)</f>
        <v/>
      </c>
      <c r="K2072" s="10"/>
    </row>
    <row r="2073" customFormat="false" ht="15" hidden="false" customHeight="true" outlineLevel="0" collapsed="false">
      <c r="A2073" s="13"/>
      <c r="B2073" s="10"/>
      <c r="C2073" s="10"/>
      <c r="D2073" s="14"/>
      <c r="E2073" s="11"/>
      <c r="F2073" s="15" t="str">
        <f aca="false">IF($B2073="","",IF(AND($D2073="",$E2073=""),"",IF(OR($D2073="",$E2073=""),0,ROUND($D2073*$E2073,0))))</f>
        <v/>
      </c>
      <c r="G2073" s="13"/>
      <c r="H2073" s="11"/>
      <c r="I2073" s="15" t="str">
        <f aca="false">IF($F2073="","",$F2073-IF($H2073="",0,$H2073))</f>
        <v/>
      </c>
      <c r="J2073" s="16" t="str">
        <f aca="true">IF(OR($A2073="",$I2073="",$I2073&lt;=0),"",TODAY()-$A2073)</f>
        <v/>
      </c>
      <c r="K2073" s="10"/>
    </row>
    <row r="2074" customFormat="false" ht="15" hidden="false" customHeight="true" outlineLevel="0" collapsed="false">
      <c r="A2074" s="13"/>
      <c r="B2074" s="10"/>
      <c r="C2074" s="10"/>
      <c r="D2074" s="14"/>
      <c r="E2074" s="11"/>
      <c r="F2074" s="15" t="str">
        <f aca="false">IF($B2074="","",IF(AND($D2074="",$E2074=""),"",IF(OR($D2074="",$E2074=""),0,ROUND($D2074*$E2074,0))))</f>
        <v/>
      </c>
      <c r="G2074" s="13"/>
      <c r="H2074" s="11"/>
      <c r="I2074" s="15" t="str">
        <f aca="false">IF($F2074="","",$F2074-IF($H2074="",0,$H2074))</f>
        <v/>
      </c>
      <c r="J2074" s="16" t="str">
        <f aca="true">IF(OR($A2074="",$I2074="",$I2074&lt;=0),"",TODAY()-$A2074)</f>
        <v/>
      </c>
      <c r="K2074" s="10"/>
    </row>
    <row r="2075" customFormat="false" ht="15" hidden="false" customHeight="true" outlineLevel="0" collapsed="false">
      <c r="A2075" s="13"/>
      <c r="B2075" s="10"/>
      <c r="C2075" s="10"/>
      <c r="D2075" s="14"/>
      <c r="E2075" s="11"/>
      <c r="F2075" s="15" t="str">
        <f aca="false">IF($B2075="","",IF(AND($D2075="",$E2075=""),"",IF(OR($D2075="",$E2075=""),0,ROUND($D2075*$E2075,0))))</f>
        <v/>
      </c>
      <c r="G2075" s="13"/>
      <c r="H2075" s="11"/>
      <c r="I2075" s="15" t="str">
        <f aca="false">IF($F2075="","",$F2075-IF($H2075="",0,$H2075))</f>
        <v/>
      </c>
      <c r="J2075" s="16" t="str">
        <f aca="true">IF(OR($A2075="",$I2075="",$I2075&lt;=0),"",TODAY()-$A2075)</f>
        <v/>
      </c>
      <c r="K2075" s="10"/>
    </row>
    <row r="2076" customFormat="false" ht="15" hidden="false" customHeight="true" outlineLevel="0" collapsed="false">
      <c r="A2076" s="13"/>
      <c r="B2076" s="10"/>
      <c r="C2076" s="10"/>
      <c r="D2076" s="14"/>
      <c r="E2076" s="11"/>
      <c r="F2076" s="15" t="str">
        <f aca="false">IF($B2076="","",IF(AND($D2076="",$E2076=""),"",IF(OR($D2076="",$E2076=""),0,ROUND($D2076*$E2076,0))))</f>
        <v/>
      </c>
      <c r="G2076" s="13"/>
      <c r="H2076" s="11"/>
      <c r="I2076" s="15" t="str">
        <f aca="false">IF($F2076="","",$F2076-IF($H2076="",0,$H2076))</f>
        <v/>
      </c>
      <c r="J2076" s="16" t="str">
        <f aca="true">IF(OR($A2076="",$I2076="",$I2076&lt;=0),"",TODAY()-$A2076)</f>
        <v/>
      </c>
      <c r="K2076" s="10"/>
    </row>
    <row r="2077" customFormat="false" ht="15" hidden="false" customHeight="true" outlineLevel="0" collapsed="false">
      <c r="A2077" s="13"/>
      <c r="B2077" s="10"/>
      <c r="C2077" s="10"/>
      <c r="D2077" s="14"/>
      <c r="E2077" s="11"/>
      <c r="F2077" s="15" t="str">
        <f aca="false">IF($B2077="","",IF(AND($D2077="",$E2077=""),"",IF(OR($D2077="",$E2077=""),0,ROUND($D2077*$E2077,0))))</f>
        <v/>
      </c>
      <c r="G2077" s="13"/>
      <c r="H2077" s="11"/>
      <c r="I2077" s="15" t="str">
        <f aca="false">IF($F2077="","",$F2077-IF($H2077="",0,$H2077))</f>
        <v/>
      </c>
      <c r="J2077" s="16" t="str">
        <f aca="true">IF(OR($A2077="",$I2077="",$I2077&lt;=0),"",TODAY()-$A2077)</f>
        <v/>
      </c>
      <c r="K2077" s="10"/>
    </row>
    <row r="2078" customFormat="false" ht="15" hidden="false" customHeight="true" outlineLevel="0" collapsed="false">
      <c r="A2078" s="13"/>
      <c r="B2078" s="10"/>
      <c r="C2078" s="10"/>
      <c r="D2078" s="14"/>
      <c r="E2078" s="11"/>
      <c r="F2078" s="15" t="str">
        <f aca="false">IF($B2078="","",IF(AND($D2078="",$E2078=""),"",IF(OR($D2078="",$E2078=""),0,ROUND($D2078*$E2078,0))))</f>
        <v/>
      </c>
      <c r="G2078" s="13"/>
      <c r="H2078" s="11"/>
      <c r="I2078" s="15" t="str">
        <f aca="false">IF($F2078="","",$F2078-IF($H2078="",0,$H2078))</f>
        <v/>
      </c>
      <c r="J2078" s="16" t="str">
        <f aca="true">IF(OR($A2078="",$I2078="",$I2078&lt;=0),"",TODAY()-$A2078)</f>
        <v/>
      </c>
      <c r="K2078" s="10"/>
    </row>
    <row r="2079" customFormat="false" ht="15" hidden="false" customHeight="true" outlineLevel="0" collapsed="false">
      <c r="A2079" s="13"/>
      <c r="B2079" s="10"/>
      <c r="C2079" s="10"/>
      <c r="D2079" s="14"/>
      <c r="E2079" s="11"/>
      <c r="F2079" s="15" t="str">
        <f aca="false">IF($B2079="","",IF(AND($D2079="",$E2079=""),"",IF(OR($D2079="",$E2079=""),0,ROUND($D2079*$E2079,0))))</f>
        <v/>
      </c>
      <c r="G2079" s="13"/>
      <c r="H2079" s="11"/>
      <c r="I2079" s="15" t="str">
        <f aca="false">IF($F2079="","",$F2079-IF($H2079="",0,$H2079))</f>
        <v/>
      </c>
      <c r="J2079" s="16" t="str">
        <f aca="true">IF(OR($A2079="",$I2079="",$I2079&lt;=0),"",TODAY()-$A2079)</f>
        <v/>
      </c>
      <c r="K2079" s="10"/>
    </row>
    <row r="2080" customFormat="false" ht="15" hidden="false" customHeight="true" outlineLevel="0" collapsed="false">
      <c r="A2080" s="13"/>
      <c r="B2080" s="10"/>
      <c r="C2080" s="10"/>
      <c r="D2080" s="14"/>
      <c r="E2080" s="11"/>
      <c r="F2080" s="15" t="str">
        <f aca="false">IF($B2080="","",IF(AND($D2080="",$E2080=""),"",IF(OR($D2080="",$E2080=""),0,ROUND($D2080*$E2080,0))))</f>
        <v/>
      </c>
      <c r="G2080" s="13"/>
      <c r="H2080" s="11"/>
      <c r="I2080" s="15" t="str">
        <f aca="false">IF($F2080="","",$F2080-IF($H2080="",0,$H2080))</f>
        <v/>
      </c>
      <c r="J2080" s="16" t="str">
        <f aca="true">IF(OR($A2080="",$I2080="",$I2080&lt;=0),"",TODAY()-$A2080)</f>
        <v/>
      </c>
      <c r="K2080" s="10"/>
    </row>
    <row r="2081" customFormat="false" ht="15" hidden="false" customHeight="true" outlineLevel="0" collapsed="false">
      <c r="A2081" s="13"/>
      <c r="B2081" s="10"/>
      <c r="C2081" s="10"/>
      <c r="D2081" s="14"/>
      <c r="E2081" s="11"/>
      <c r="F2081" s="15" t="str">
        <f aca="false">IF($B2081="","",IF(AND($D2081="",$E2081=""),"",IF(OR($D2081="",$E2081=""),0,ROUND($D2081*$E2081,0))))</f>
        <v/>
      </c>
      <c r="G2081" s="13"/>
      <c r="H2081" s="11"/>
      <c r="I2081" s="15" t="str">
        <f aca="false">IF($F2081="","",$F2081-IF($H2081="",0,$H2081))</f>
        <v/>
      </c>
      <c r="J2081" s="16" t="str">
        <f aca="true">IF(OR($A2081="",$I2081="",$I2081&lt;=0),"",TODAY()-$A2081)</f>
        <v/>
      </c>
      <c r="K2081" s="10"/>
    </row>
    <row r="2082" customFormat="false" ht="15" hidden="false" customHeight="true" outlineLevel="0" collapsed="false">
      <c r="A2082" s="13"/>
      <c r="B2082" s="10"/>
      <c r="C2082" s="10"/>
      <c r="D2082" s="14"/>
      <c r="E2082" s="11"/>
      <c r="F2082" s="15" t="str">
        <f aca="false">IF($B2082="","",IF(AND($D2082="",$E2082=""),"",IF(OR($D2082="",$E2082=""),0,ROUND($D2082*$E2082,0))))</f>
        <v/>
      </c>
      <c r="G2082" s="13"/>
      <c r="H2082" s="11"/>
      <c r="I2082" s="15" t="str">
        <f aca="false">IF($F2082="","",$F2082-IF($H2082="",0,$H2082))</f>
        <v/>
      </c>
      <c r="J2082" s="16" t="str">
        <f aca="true">IF(OR($A2082="",$I2082="",$I2082&lt;=0),"",TODAY()-$A2082)</f>
        <v/>
      </c>
      <c r="K2082" s="10"/>
    </row>
    <row r="2083" customFormat="false" ht="15" hidden="false" customHeight="true" outlineLevel="0" collapsed="false">
      <c r="A2083" s="13"/>
      <c r="B2083" s="10"/>
      <c r="C2083" s="10"/>
      <c r="D2083" s="14"/>
      <c r="E2083" s="11"/>
      <c r="F2083" s="15" t="str">
        <f aca="false">IF($B2083="","",IF(AND($D2083="",$E2083=""),"",IF(OR($D2083="",$E2083=""),0,ROUND($D2083*$E2083,0))))</f>
        <v/>
      </c>
      <c r="G2083" s="13"/>
      <c r="H2083" s="11"/>
      <c r="I2083" s="15" t="str">
        <f aca="false">IF($F2083="","",$F2083-IF($H2083="",0,$H2083))</f>
        <v/>
      </c>
      <c r="J2083" s="16" t="str">
        <f aca="true">IF(OR($A2083="",$I2083="",$I2083&lt;=0),"",TODAY()-$A2083)</f>
        <v/>
      </c>
      <c r="K2083" s="10"/>
    </row>
    <row r="2084" customFormat="false" ht="15" hidden="false" customHeight="true" outlineLevel="0" collapsed="false">
      <c r="A2084" s="13"/>
      <c r="B2084" s="10"/>
      <c r="C2084" s="10"/>
      <c r="D2084" s="14"/>
      <c r="E2084" s="11"/>
      <c r="F2084" s="15" t="str">
        <f aca="false">IF($B2084="","",IF(AND($D2084="",$E2084=""),"",IF(OR($D2084="",$E2084=""),0,ROUND($D2084*$E2084,0))))</f>
        <v/>
      </c>
      <c r="G2084" s="13"/>
      <c r="H2084" s="11"/>
      <c r="I2084" s="15" t="str">
        <f aca="false">IF($F2084="","",$F2084-IF($H2084="",0,$H2084))</f>
        <v/>
      </c>
      <c r="J2084" s="16" t="str">
        <f aca="true">IF(OR($A2084="",$I2084="",$I2084&lt;=0),"",TODAY()-$A2084)</f>
        <v/>
      </c>
      <c r="K2084" s="10"/>
    </row>
    <row r="2085" customFormat="false" ht="15" hidden="false" customHeight="true" outlineLevel="0" collapsed="false">
      <c r="A2085" s="13"/>
      <c r="B2085" s="10"/>
      <c r="C2085" s="10"/>
      <c r="D2085" s="14"/>
      <c r="E2085" s="11"/>
      <c r="F2085" s="15" t="str">
        <f aca="false">IF($B2085="","",IF(AND($D2085="",$E2085=""),"",IF(OR($D2085="",$E2085=""),0,ROUND($D2085*$E2085,0))))</f>
        <v/>
      </c>
      <c r="G2085" s="13"/>
      <c r="H2085" s="11"/>
      <c r="I2085" s="15" t="str">
        <f aca="false">IF($F2085="","",$F2085-IF($H2085="",0,$H2085))</f>
        <v/>
      </c>
      <c r="J2085" s="16" t="str">
        <f aca="true">IF(OR($A2085="",$I2085="",$I2085&lt;=0),"",TODAY()-$A2085)</f>
        <v/>
      </c>
      <c r="K2085" s="10"/>
    </row>
    <row r="2086" customFormat="false" ht="15" hidden="false" customHeight="true" outlineLevel="0" collapsed="false">
      <c r="A2086" s="13"/>
      <c r="B2086" s="10"/>
      <c r="C2086" s="10"/>
      <c r="D2086" s="14"/>
      <c r="E2086" s="11"/>
      <c r="F2086" s="15" t="str">
        <f aca="false">IF($B2086="","",IF(AND($D2086="",$E2086=""),"",IF(OR($D2086="",$E2086=""),0,ROUND($D2086*$E2086,0))))</f>
        <v/>
      </c>
      <c r="G2086" s="13"/>
      <c r="H2086" s="11"/>
      <c r="I2086" s="15" t="str">
        <f aca="false">IF($F2086="","",$F2086-IF($H2086="",0,$H2086))</f>
        <v/>
      </c>
      <c r="J2086" s="16" t="str">
        <f aca="true">IF(OR($A2086="",$I2086="",$I2086&lt;=0),"",TODAY()-$A2086)</f>
        <v/>
      </c>
      <c r="K2086" s="10"/>
    </row>
    <row r="2087" customFormat="false" ht="15" hidden="false" customHeight="true" outlineLevel="0" collapsed="false">
      <c r="A2087" s="13"/>
      <c r="B2087" s="10"/>
      <c r="C2087" s="10"/>
      <c r="D2087" s="14"/>
      <c r="E2087" s="11"/>
      <c r="F2087" s="15" t="str">
        <f aca="false">IF($B2087="","",IF(AND($D2087="",$E2087=""),"",IF(OR($D2087="",$E2087=""),0,ROUND($D2087*$E2087,0))))</f>
        <v/>
      </c>
      <c r="G2087" s="13"/>
      <c r="H2087" s="11"/>
      <c r="I2087" s="15" t="str">
        <f aca="false">IF($F2087="","",$F2087-IF($H2087="",0,$H2087))</f>
        <v/>
      </c>
      <c r="J2087" s="16" t="str">
        <f aca="true">IF(OR($A2087="",$I2087="",$I2087&lt;=0),"",TODAY()-$A2087)</f>
        <v/>
      </c>
      <c r="K2087" s="10"/>
    </row>
    <row r="2088" customFormat="false" ht="15" hidden="false" customHeight="true" outlineLevel="0" collapsed="false">
      <c r="A2088" s="13"/>
      <c r="B2088" s="10"/>
      <c r="C2088" s="10"/>
      <c r="D2088" s="14"/>
      <c r="E2088" s="11"/>
      <c r="F2088" s="15" t="str">
        <f aca="false">IF($B2088="","",IF(AND($D2088="",$E2088=""),"",IF(OR($D2088="",$E2088=""),0,ROUND($D2088*$E2088,0))))</f>
        <v/>
      </c>
      <c r="G2088" s="13"/>
      <c r="H2088" s="11"/>
      <c r="I2088" s="15" t="str">
        <f aca="false">IF($F2088="","",$F2088-IF($H2088="",0,$H2088))</f>
        <v/>
      </c>
      <c r="J2088" s="16" t="str">
        <f aca="true">IF(OR($A2088="",$I2088="",$I2088&lt;=0),"",TODAY()-$A2088)</f>
        <v/>
      </c>
      <c r="K2088" s="10"/>
    </row>
    <row r="2089" customFormat="false" ht="15" hidden="false" customHeight="true" outlineLevel="0" collapsed="false">
      <c r="A2089" s="13"/>
      <c r="B2089" s="10"/>
      <c r="C2089" s="10"/>
      <c r="D2089" s="14"/>
      <c r="E2089" s="11"/>
      <c r="F2089" s="15" t="str">
        <f aca="false">IF($B2089="","",IF(AND($D2089="",$E2089=""),"",IF(OR($D2089="",$E2089=""),0,ROUND($D2089*$E2089,0))))</f>
        <v/>
      </c>
      <c r="G2089" s="13"/>
      <c r="H2089" s="11"/>
      <c r="I2089" s="15" t="str">
        <f aca="false">IF($F2089="","",$F2089-IF($H2089="",0,$H2089))</f>
        <v/>
      </c>
      <c r="J2089" s="16" t="str">
        <f aca="true">IF(OR($A2089="",$I2089="",$I2089&lt;=0),"",TODAY()-$A2089)</f>
        <v/>
      </c>
      <c r="K2089" s="10"/>
    </row>
    <row r="2090" customFormat="false" ht="15" hidden="false" customHeight="true" outlineLevel="0" collapsed="false">
      <c r="A2090" s="13"/>
      <c r="B2090" s="10"/>
      <c r="C2090" s="10"/>
      <c r="D2090" s="14"/>
      <c r="E2090" s="11"/>
      <c r="F2090" s="15" t="str">
        <f aca="false">IF($B2090="","",IF(AND($D2090="",$E2090=""),"",IF(OR($D2090="",$E2090=""),0,ROUND($D2090*$E2090,0))))</f>
        <v/>
      </c>
      <c r="G2090" s="13"/>
      <c r="H2090" s="11"/>
      <c r="I2090" s="15" t="str">
        <f aca="false">IF($F2090="","",$F2090-IF($H2090="",0,$H2090))</f>
        <v/>
      </c>
      <c r="J2090" s="16" t="str">
        <f aca="true">IF(OR($A2090="",$I2090="",$I2090&lt;=0),"",TODAY()-$A2090)</f>
        <v/>
      </c>
      <c r="K2090" s="10"/>
    </row>
    <row r="2091" customFormat="false" ht="15" hidden="false" customHeight="true" outlineLevel="0" collapsed="false">
      <c r="A2091" s="13"/>
      <c r="B2091" s="10"/>
      <c r="C2091" s="10"/>
      <c r="D2091" s="14"/>
      <c r="E2091" s="11"/>
      <c r="F2091" s="15" t="str">
        <f aca="false">IF($B2091="","",IF(AND($D2091="",$E2091=""),"",IF(OR($D2091="",$E2091=""),0,ROUND($D2091*$E2091,0))))</f>
        <v/>
      </c>
      <c r="G2091" s="13"/>
      <c r="H2091" s="11"/>
      <c r="I2091" s="15" t="str">
        <f aca="false">IF($F2091="","",$F2091-IF($H2091="",0,$H2091))</f>
        <v/>
      </c>
      <c r="J2091" s="16" t="str">
        <f aca="true">IF(OR($A2091="",$I2091="",$I2091&lt;=0),"",TODAY()-$A2091)</f>
        <v/>
      </c>
      <c r="K2091" s="10"/>
    </row>
    <row r="2092" customFormat="false" ht="15" hidden="false" customHeight="true" outlineLevel="0" collapsed="false">
      <c r="A2092" s="13"/>
      <c r="B2092" s="10"/>
      <c r="C2092" s="10"/>
      <c r="D2092" s="14"/>
      <c r="E2092" s="11"/>
      <c r="F2092" s="15" t="str">
        <f aca="false">IF($B2092="","",IF(AND($D2092="",$E2092=""),"",IF(OR($D2092="",$E2092=""),0,ROUND($D2092*$E2092,0))))</f>
        <v/>
      </c>
      <c r="G2092" s="13"/>
      <c r="H2092" s="11"/>
      <c r="I2092" s="15" t="str">
        <f aca="false">IF($F2092="","",$F2092-IF($H2092="",0,$H2092))</f>
        <v/>
      </c>
      <c r="J2092" s="16" t="str">
        <f aca="true">IF(OR($A2092="",$I2092="",$I2092&lt;=0),"",TODAY()-$A2092)</f>
        <v/>
      </c>
      <c r="K2092" s="10"/>
    </row>
    <row r="2093" customFormat="false" ht="15" hidden="false" customHeight="true" outlineLevel="0" collapsed="false">
      <c r="A2093" s="13"/>
      <c r="B2093" s="10"/>
      <c r="C2093" s="10"/>
      <c r="D2093" s="14"/>
      <c r="E2093" s="11"/>
      <c r="F2093" s="15" t="str">
        <f aca="false">IF($B2093="","",IF(AND($D2093="",$E2093=""),"",IF(OR($D2093="",$E2093=""),0,ROUND($D2093*$E2093,0))))</f>
        <v/>
      </c>
      <c r="G2093" s="13"/>
      <c r="H2093" s="11"/>
      <c r="I2093" s="15" t="str">
        <f aca="false">IF($F2093="","",$F2093-IF($H2093="",0,$H2093))</f>
        <v/>
      </c>
      <c r="J2093" s="16" t="str">
        <f aca="true">IF(OR($A2093="",$I2093="",$I2093&lt;=0),"",TODAY()-$A2093)</f>
        <v/>
      </c>
      <c r="K2093" s="10"/>
    </row>
    <row r="2094" customFormat="false" ht="15" hidden="false" customHeight="true" outlineLevel="0" collapsed="false">
      <c r="A2094" s="13"/>
      <c r="B2094" s="10"/>
      <c r="C2094" s="10"/>
      <c r="D2094" s="14"/>
      <c r="E2094" s="11"/>
      <c r="F2094" s="15" t="str">
        <f aca="false">IF($B2094="","",IF(AND($D2094="",$E2094=""),"",IF(OR($D2094="",$E2094=""),0,ROUND($D2094*$E2094,0))))</f>
        <v/>
      </c>
      <c r="G2094" s="13"/>
      <c r="H2094" s="11"/>
      <c r="I2094" s="15" t="str">
        <f aca="false">IF($F2094="","",$F2094-IF($H2094="",0,$H2094))</f>
        <v/>
      </c>
      <c r="J2094" s="16" t="str">
        <f aca="true">IF(OR($A2094="",$I2094="",$I2094&lt;=0),"",TODAY()-$A2094)</f>
        <v/>
      </c>
      <c r="K2094" s="10"/>
    </row>
    <row r="2095" customFormat="false" ht="15" hidden="false" customHeight="true" outlineLevel="0" collapsed="false">
      <c r="A2095" s="13"/>
      <c r="B2095" s="10"/>
      <c r="C2095" s="10"/>
      <c r="D2095" s="14"/>
      <c r="E2095" s="11"/>
      <c r="F2095" s="15" t="str">
        <f aca="false">IF($B2095="","",IF(AND($D2095="",$E2095=""),"",IF(OR($D2095="",$E2095=""),0,ROUND($D2095*$E2095,0))))</f>
        <v/>
      </c>
      <c r="G2095" s="13"/>
      <c r="H2095" s="11"/>
      <c r="I2095" s="15" t="str">
        <f aca="false">IF($F2095="","",$F2095-IF($H2095="",0,$H2095))</f>
        <v/>
      </c>
      <c r="J2095" s="16" t="str">
        <f aca="true">IF(OR($A2095="",$I2095="",$I2095&lt;=0),"",TODAY()-$A2095)</f>
        <v/>
      </c>
      <c r="K2095" s="10"/>
    </row>
    <row r="2096" customFormat="false" ht="15" hidden="false" customHeight="true" outlineLevel="0" collapsed="false">
      <c r="A2096" s="13"/>
      <c r="B2096" s="10"/>
      <c r="C2096" s="10"/>
      <c r="D2096" s="14"/>
      <c r="E2096" s="11"/>
      <c r="F2096" s="15" t="str">
        <f aca="false">IF($B2096="","",IF(AND($D2096="",$E2096=""),"",IF(OR($D2096="",$E2096=""),0,ROUND($D2096*$E2096,0))))</f>
        <v/>
      </c>
      <c r="G2096" s="13"/>
      <c r="H2096" s="11"/>
      <c r="I2096" s="15" t="str">
        <f aca="false">IF($F2096="","",$F2096-IF($H2096="",0,$H2096))</f>
        <v/>
      </c>
      <c r="J2096" s="16" t="str">
        <f aca="true">IF(OR($A2096="",$I2096="",$I2096&lt;=0),"",TODAY()-$A2096)</f>
        <v/>
      </c>
      <c r="K2096" s="10"/>
    </row>
    <row r="2097" customFormat="false" ht="15" hidden="false" customHeight="true" outlineLevel="0" collapsed="false">
      <c r="A2097" s="13"/>
      <c r="B2097" s="10"/>
      <c r="C2097" s="10"/>
      <c r="D2097" s="14"/>
      <c r="E2097" s="11"/>
      <c r="F2097" s="15" t="str">
        <f aca="false">IF($B2097="","",IF(AND($D2097="",$E2097=""),"",IF(OR($D2097="",$E2097=""),0,ROUND($D2097*$E2097,0))))</f>
        <v/>
      </c>
      <c r="G2097" s="13"/>
      <c r="H2097" s="11"/>
      <c r="I2097" s="15" t="str">
        <f aca="false">IF($F2097="","",$F2097-IF($H2097="",0,$H2097))</f>
        <v/>
      </c>
      <c r="J2097" s="16" t="str">
        <f aca="true">IF(OR($A2097="",$I2097="",$I2097&lt;=0),"",TODAY()-$A2097)</f>
        <v/>
      </c>
      <c r="K2097" s="10"/>
    </row>
    <row r="2098" customFormat="false" ht="15" hidden="false" customHeight="true" outlineLevel="0" collapsed="false">
      <c r="A2098" s="13"/>
      <c r="B2098" s="10"/>
      <c r="C2098" s="10"/>
      <c r="D2098" s="14"/>
      <c r="E2098" s="11"/>
      <c r="F2098" s="15" t="str">
        <f aca="false">IF($B2098="","",IF(AND($D2098="",$E2098=""),"",IF(OR($D2098="",$E2098=""),0,ROUND($D2098*$E2098,0))))</f>
        <v/>
      </c>
      <c r="G2098" s="13"/>
      <c r="H2098" s="11"/>
      <c r="I2098" s="15" t="str">
        <f aca="false">IF($F2098="","",$F2098-IF($H2098="",0,$H2098))</f>
        <v/>
      </c>
      <c r="J2098" s="16" t="str">
        <f aca="true">IF(OR($A2098="",$I2098="",$I2098&lt;=0),"",TODAY()-$A2098)</f>
        <v/>
      </c>
      <c r="K2098" s="10"/>
    </row>
    <row r="2099" customFormat="false" ht="15" hidden="false" customHeight="true" outlineLevel="0" collapsed="false">
      <c r="A2099" s="13"/>
      <c r="B2099" s="10"/>
      <c r="C2099" s="10"/>
      <c r="D2099" s="14"/>
      <c r="E2099" s="11"/>
      <c r="F2099" s="15" t="str">
        <f aca="false">IF($B2099="","",IF(AND($D2099="",$E2099=""),"",IF(OR($D2099="",$E2099=""),0,ROUND($D2099*$E2099,0))))</f>
        <v/>
      </c>
      <c r="G2099" s="13"/>
      <c r="H2099" s="11"/>
      <c r="I2099" s="15" t="str">
        <f aca="false">IF($F2099="","",$F2099-IF($H2099="",0,$H2099))</f>
        <v/>
      </c>
      <c r="J2099" s="16" t="str">
        <f aca="true">IF(OR($A2099="",$I2099="",$I2099&lt;=0),"",TODAY()-$A2099)</f>
        <v/>
      </c>
      <c r="K2099" s="10"/>
    </row>
    <row r="2100" customFormat="false" ht="15" hidden="false" customHeight="true" outlineLevel="0" collapsed="false">
      <c r="A2100" s="13"/>
      <c r="B2100" s="10"/>
      <c r="C2100" s="10"/>
      <c r="D2100" s="14"/>
      <c r="E2100" s="11"/>
      <c r="F2100" s="15" t="str">
        <f aca="false">IF($B2100="","",IF(AND($D2100="",$E2100=""),"",IF(OR($D2100="",$E2100=""),0,ROUND($D2100*$E2100,0))))</f>
        <v/>
      </c>
      <c r="G2100" s="13"/>
      <c r="H2100" s="11"/>
      <c r="I2100" s="15" t="str">
        <f aca="false">IF($F2100="","",$F2100-IF($H2100="",0,$H2100))</f>
        <v/>
      </c>
      <c r="J2100" s="16" t="str">
        <f aca="true">IF(OR($A2100="",$I2100="",$I2100&lt;=0),"",TODAY()-$A2100)</f>
        <v/>
      </c>
      <c r="K2100" s="10"/>
    </row>
    <row r="2101" customFormat="false" ht="15" hidden="false" customHeight="true" outlineLevel="0" collapsed="false">
      <c r="A2101" s="13"/>
      <c r="B2101" s="10"/>
      <c r="C2101" s="10"/>
      <c r="D2101" s="14"/>
      <c r="E2101" s="11"/>
      <c r="F2101" s="15" t="str">
        <f aca="false">IF($B2101="","",IF(AND($D2101="",$E2101=""),"",IF(OR($D2101="",$E2101=""),0,ROUND($D2101*$E2101,0))))</f>
        <v/>
      </c>
      <c r="G2101" s="13"/>
      <c r="H2101" s="11"/>
      <c r="I2101" s="15" t="str">
        <f aca="false">IF($F2101="","",$F2101-IF($H2101="",0,$H2101))</f>
        <v/>
      </c>
      <c r="J2101" s="16" t="str">
        <f aca="true">IF(OR($A2101="",$I2101="",$I2101&lt;=0),"",TODAY()-$A2101)</f>
        <v/>
      </c>
      <c r="K2101" s="10"/>
    </row>
    <row r="2102" customFormat="false" ht="15" hidden="false" customHeight="true" outlineLevel="0" collapsed="false">
      <c r="A2102" s="13"/>
      <c r="B2102" s="10"/>
      <c r="C2102" s="10"/>
      <c r="D2102" s="14"/>
      <c r="E2102" s="11"/>
      <c r="F2102" s="15" t="str">
        <f aca="false">IF($B2102="","",IF(AND($D2102="",$E2102=""),"",IF(OR($D2102="",$E2102=""),0,ROUND($D2102*$E2102,0))))</f>
        <v/>
      </c>
      <c r="G2102" s="13"/>
      <c r="H2102" s="11"/>
      <c r="I2102" s="15" t="str">
        <f aca="false">IF($F2102="","",$F2102-IF($H2102="",0,$H2102))</f>
        <v/>
      </c>
      <c r="J2102" s="16" t="str">
        <f aca="true">IF(OR($A2102="",$I2102="",$I2102&lt;=0),"",TODAY()-$A2102)</f>
        <v/>
      </c>
      <c r="K2102" s="10"/>
    </row>
    <row r="2103" customFormat="false" ht="15" hidden="false" customHeight="true" outlineLevel="0" collapsed="false">
      <c r="A2103" s="13"/>
      <c r="B2103" s="10"/>
      <c r="C2103" s="10"/>
      <c r="D2103" s="14"/>
      <c r="E2103" s="11"/>
      <c r="F2103" s="15" t="str">
        <f aca="false">IF($B2103="","",IF(AND($D2103="",$E2103=""),"",IF(OR($D2103="",$E2103=""),0,ROUND($D2103*$E2103,0))))</f>
        <v/>
      </c>
      <c r="G2103" s="13"/>
      <c r="H2103" s="11"/>
      <c r="I2103" s="15" t="str">
        <f aca="false">IF($F2103="","",$F2103-IF($H2103="",0,$H2103))</f>
        <v/>
      </c>
      <c r="J2103" s="16" t="str">
        <f aca="true">IF(OR($A2103="",$I2103="",$I2103&lt;=0),"",TODAY()-$A2103)</f>
        <v/>
      </c>
      <c r="K2103" s="10"/>
    </row>
    <row r="2104" customFormat="false" ht="15" hidden="false" customHeight="true" outlineLevel="0" collapsed="false">
      <c r="A2104" s="13"/>
      <c r="B2104" s="10"/>
      <c r="C2104" s="10"/>
      <c r="D2104" s="14"/>
      <c r="E2104" s="11"/>
      <c r="F2104" s="15" t="str">
        <f aca="false">IF($B2104="","",IF(AND($D2104="",$E2104=""),"",IF(OR($D2104="",$E2104=""),0,ROUND($D2104*$E2104,0))))</f>
        <v/>
      </c>
      <c r="G2104" s="13"/>
      <c r="H2104" s="11"/>
      <c r="I2104" s="15" t="str">
        <f aca="false">IF($F2104="","",$F2104-IF($H2104="",0,$H2104))</f>
        <v/>
      </c>
      <c r="J2104" s="16" t="str">
        <f aca="true">IF(OR($A2104="",$I2104="",$I2104&lt;=0),"",TODAY()-$A2104)</f>
        <v/>
      </c>
      <c r="K2104" s="10"/>
    </row>
    <row r="2105" customFormat="false" ht="15" hidden="false" customHeight="true" outlineLevel="0" collapsed="false">
      <c r="A2105" s="13"/>
      <c r="B2105" s="10"/>
      <c r="C2105" s="10"/>
      <c r="D2105" s="14"/>
      <c r="E2105" s="11"/>
      <c r="F2105" s="15" t="str">
        <f aca="false">IF($B2105="","",IF(AND($D2105="",$E2105=""),"",IF(OR($D2105="",$E2105=""),0,ROUND($D2105*$E2105,0))))</f>
        <v/>
      </c>
      <c r="G2105" s="13"/>
      <c r="H2105" s="11"/>
      <c r="I2105" s="15" t="str">
        <f aca="false">IF($F2105="","",$F2105-IF($H2105="",0,$H2105))</f>
        <v/>
      </c>
      <c r="J2105" s="16" t="str">
        <f aca="true">IF(OR($A2105="",$I2105="",$I2105&lt;=0),"",TODAY()-$A2105)</f>
        <v/>
      </c>
      <c r="K2105" s="10"/>
    </row>
    <row r="2106" customFormat="false" ht="15" hidden="false" customHeight="true" outlineLevel="0" collapsed="false">
      <c r="A2106" s="13"/>
      <c r="B2106" s="10"/>
      <c r="C2106" s="10"/>
      <c r="D2106" s="14"/>
      <c r="E2106" s="11"/>
      <c r="F2106" s="15" t="str">
        <f aca="false">IF($B2106="","",IF(AND($D2106="",$E2106=""),"",IF(OR($D2106="",$E2106=""),0,ROUND($D2106*$E2106,0))))</f>
        <v/>
      </c>
      <c r="G2106" s="13"/>
      <c r="H2106" s="11"/>
      <c r="I2106" s="15" t="str">
        <f aca="false">IF($F2106="","",$F2106-IF($H2106="",0,$H2106))</f>
        <v/>
      </c>
      <c r="J2106" s="16" t="str">
        <f aca="true">IF(OR($A2106="",$I2106="",$I2106&lt;=0),"",TODAY()-$A2106)</f>
        <v/>
      </c>
      <c r="K2106" s="10"/>
    </row>
    <row r="2107" customFormat="false" ht="15" hidden="false" customHeight="true" outlineLevel="0" collapsed="false">
      <c r="A2107" s="13"/>
      <c r="B2107" s="10"/>
      <c r="C2107" s="10"/>
      <c r="D2107" s="14"/>
      <c r="E2107" s="11"/>
      <c r="F2107" s="15" t="str">
        <f aca="false">IF($B2107="","",IF(AND($D2107="",$E2107=""),"",IF(OR($D2107="",$E2107=""),0,ROUND($D2107*$E2107,0))))</f>
        <v/>
      </c>
      <c r="G2107" s="13"/>
      <c r="H2107" s="11"/>
      <c r="I2107" s="15" t="str">
        <f aca="false">IF($F2107="","",$F2107-IF($H2107="",0,$H2107))</f>
        <v/>
      </c>
      <c r="J2107" s="16" t="str">
        <f aca="true">IF(OR($A2107="",$I2107="",$I2107&lt;=0),"",TODAY()-$A2107)</f>
        <v/>
      </c>
      <c r="K2107" s="10"/>
    </row>
    <row r="2108" customFormat="false" ht="15" hidden="false" customHeight="true" outlineLevel="0" collapsed="false">
      <c r="A2108" s="13"/>
      <c r="B2108" s="10"/>
      <c r="C2108" s="10"/>
      <c r="D2108" s="14"/>
      <c r="E2108" s="11"/>
      <c r="F2108" s="15" t="str">
        <f aca="false">IF($B2108="","",IF(AND($D2108="",$E2108=""),"",IF(OR($D2108="",$E2108=""),0,ROUND($D2108*$E2108,0))))</f>
        <v/>
      </c>
      <c r="G2108" s="13"/>
      <c r="H2108" s="11"/>
      <c r="I2108" s="15" t="str">
        <f aca="false">IF($F2108="","",$F2108-IF($H2108="",0,$H2108))</f>
        <v/>
      </c>
      <c r="J2108" s="16" t="str">
        <f aca="true">IF(OR($A2108="",$I2108="",$I2108&lt;=0),"",TODAY()-$A2108)</f>
        <v/>
      </c>
      <c r="K2108" s="10"/>
    </row>
    <row r="2109" customFormat="false" ht="15" hidden="false" customHeight="true" outlineLevel="0" collapsed="false">
      <c r="A2109" s="13"/>
      <c r="B2109" s="10"/>
      <c r="C2109" s="10"/>
      <c r="D2109" s="14"/>
      <c r="E2109" s="11"/>
      <c r="F2109" s="15" t="str">
        <f aca="false">IF($B2109="","",IF(AND($D2109="",$E2109=""),"",IF(OR($D2109="",$E2109=""),0,ROUND($D2109*$E2109,0))))</f>
        <v/>
      </c>
      <c r="G2109" s="13"/>
      <c r="H2109" s="11"/>
      <c r="I2109" s="15" t="str">
        <f aca="false">IF($F2109="","",$F2109-IF($H2109="",0,$H2109))</f>
        <v/>
      </c>
      <c r="J2109" s="16" t="str">
        <f aca="true">IF(OR($A2109="",$I2109="",$I2109&lt;=0),"",TODAY()-$A2109)</f>
        <v/>
      </c>
      <c r="K2109" s="10"/>
    </row>
    <row r="2110" customFormat="false" ht="15" hidden="false" customHeight="true" outlineLevel="0" collapsed="false">
      <c r="A2110" s="13"/>
      <c r="B2110" s="10"/>
      <c r="C2110" s="10"/>
      <c r="D2110" s="14"/>
      <c r="E2110" s="11"/>
      <c r="F2110" s="15" t="str">
        <f aca="false">IF($B2110="","",IF(AND($D2110="",$E2110=""),"",IF(OR($D2110="",$E2110=""),0,ROUND($D2110*$E2110,0))))</f>
        <v/>
      </c>
      <c r="G2110" s="13"/>
      <c r="H2110" s="11"/>
      <c r="I2110" s="15" t="str">
        <f aca="false">IF($F2110="","",$F2110-IF($H2110="",0,$H2110))</f>
        <v/>
      </c>
      <c r="J2110" s="16" t="str">
        <f aca="true">IF(OR($A2110="",$I2110="",$I2110&lt;=0),"",TODAY()-$A2110)</f>
        <v/>
      </c>
      <c r="K2110" s="10"/>
    </row>
    <row r="2111" customFormat="false" ht="15" hidden="false" customHeight="true" outlineLevel="0" collapsed="false">
      <c r="A2111" s="13"/>
      <c r="B2111" s="10"/>
      <c r="C2111" s="10"/>
      <c r="D2111" s="14"/>
      <c r="E2111" s="11"/>
      <c r="F2111" s="15" t="str">
        <f aca="false">IF($B2111="","",IF(AND($D2111="",$E2111=""),"",IF(OR($D2111="",$E2111=""),0,ROUND($D2111*$E2111,0))))</f>
        <v/>
      </c>
      <c r="G2111" s="13"/>
      <c r="H2111" s="11"/>
      <c r="I2111" s="15" t="str">
        <f aca="false">IF($F2111="","",$F2111-IF($H2111="",0,$H2111))</f>
        <v/>
      </c>
      <c r="J2111" s="16" t="str">
        <f aca="true">IF(OR($A2111="",$I2111="",$I2111&lt;=0),"",TODAY()-$A2111)</f>
        <v/>
      </c>
      <c r="K2111" s="10"/>
    </row>
    <row r="2112" customFormat="false" ht="15" hidden="false" customHeight="true" outlineLevel="0" collapsed="false">
      <c r="A2112" s="13"/>
      <c r="B2112" s="10"/>
      <c r="C2112" s="10"/>
      <c r="D2112" s="14"/>
      <c r="E2112" s="11"/>
      <c r="F2112" s="15" t="str">
        <f aca="false">IF($B2112="","",IF(AND($D2112="",$E2112=""),"",IF(OR($D2112="",$E2112=""),0,ROUND($D2112*$E2112,0))))</f>
        <v/>
      </c>
      <c r="G2112" s="13"/>
      <c r="H2112" s="11"/>
      <c r="I2112" s="15" t="str">
        <f aca="false">IF($F2112="","",$F2112-IF($H2112="",0,$H2112))</f>
        <v/>
      </c>
      <c r="J2112" s="16" t="str">
        <f aca="true">IF(OR($A2112="",$I2112="",$I2112&lt;=0),"",TODAY()-$A2112)</f>
        <v/>
      </c>
      <c r="K2112" s="10"/>
    </row>
    <row r="2113" customFormat="false" ht="15" hidden="false" customHeight="true" outlineLevel="0" collapsed="false">
      <c r="A2113" s="13"/>
      <c r="B2113" s="10"/>
      <c r="C2113" s="10"/>
      <c r="D2113" s="14"/>
      <c r="E2113" s="11"/>
      <c r="F2113" s="15" t="str">
        <f aca="false">IF($B2113="","",IF(AND($D2113="",$E2113=""),"",IF(OR($D2113="",$E2113=""),0,ROUND($D2113*$E2113,0))))</f>
        <v/>
      </c>
      <c r="G2113" s="13"/>
      <c r="H2113" s="11"/>
      <c r="I2113" s="15" t="str">
        <f aca="false">IF($F2113="","",$F2113-IF($H2113="",0,$H2113))</f>
        <v/>
      </c>
      <c r="J2113" s="16" t="str">
        <f aca="true">IF(OR($A2113="",$I2113="",$I2113&lt;=0),"",TODAY()-$A2113)</f>
        <v/>
      </c>
      <c r="K2113" s="10"/>
    </row>
    <row r="2114" customFormat="false" ht="15" hidden="false" customHeight="true" outlineLevel="0" collapsed="false">
      <c r="A2114" s="13"/>
      <c r="B2114" s="10"/>
      <c r="C2114" s="10"/>
      <c r="D2114" s="14"/>
      <c r="E2114" s="11"/>
      <c r="F2114" s="15" t="str">
        <f aca="false">IF($B2114="","",IF(AND($D2114="",$E2114=""),"",IF(OR($D2114="",$E2114=""),0,ROUND($D2114*$E2114,0))))</f>
        <v/>
      </c>
      <c r="G2114" s="13"/>
      <c r="H2114" s="11"/>
      <c r="I2114" s="15" t="str">
        <f aca="false">IF($F2114="","",$F2114-IF($H2114="",0,$H2114))</f>
        <v/>
      </c>
      <c r="J2114" s="16" t="str">
        <f aca="true">IF(OR($A2114="",$I2114="",$I2114&lt;=0),"",TODAY()-$A2114)</f>
        <v/>
      </c>
      <c r="K2114" s="10"/>
    </row>
    <row r="2115" customFormat="false" ht="15" hidden="false" customHeight="true" outlineLevel="0" collapsed="false">
      <c r="A2115" s="13"/>
      <c r="B2115" s="10"/>
      <c r="C2115" s="10"/>
      <c r="D2115" s="14"/>
      <c r="E2115" s="11"/>
      <c r="F2115" s="15" t="str">
        <f aca="false">IF($B2115="","",IF(AND($D2115="",$E2115=""),"",IF(OR($D2115="",$E2115=""),0,ROUND($D2115*$E2115,0))))</f>
        <v/>
      </c>
      <c r="G2115" s="13"/>
      <c r="H2115" s="11"/>
      <c r="I2115" s="15" t="str">
        <f aca="false">IF($F2115="","",$F2115-IF($H2115="",0,$H2115))</f>
        <v/>
      </c>
      <c r="J2115" s="16" t="str">
        <f aca="true">IF(OR($A2115="",$I2115="",$I2115&lt;=0),"",TODAY()-$A2115)</f>
        <v/>
      </c>
      <c r="K2115" s="10"/>
    </row>
    <row r="2116" customFormat="false" ht="15" hidden="false" customHeight="true" outlineLevel="0" collapsed="false">
      <c r="A2116" s="13"/>
      <c r="B2116" s="10"/>
      <c r="C2116" s="10"/>
      <c r="D2116" s="14"/>
      <c r="E2116" s="11"/>
      <c r="F2116" s="15" t="str">
        <f aca="false">IF($B2116="","",IF(AND($D2116="",$E2116=""),"",IF(OR($D2116="",$E2116=""),0,ROUND($D2116*$E2116,0))))</f>
        <v/>
      </c>
      <c r="G2116" s="13"/>
      <c r="H2116" s="11"/>
      <c r="I2116" s="15" t="str">
        <f aca="false">IF($F2116="","",$F2116-IF($H2116="",0,$H2116))</f>
        <v/>
      </c>
      <c r="J2116" s="16" t="str">
        <f aca="true">IF(OR($A2116="",$I2116="",$I2116&lt;=0),"",TODAY()-$A2116)</f>
        <v/>
      </c>
      <c r="K2116" s="10"/>
    </row>
    <row r="2117" customFormat="false" ht="15" hidden="false" customHeight="true" outlineLevel="0" collapsed="false">
      <c r="A2117" s="13"/>
      <c r="B2117" s="10"/>
      <c r="C2117" s="10"/>
      <c r="D2117" s="14"/>
      <c r="E2117" s="11"/>
      <c r="F2117" s="15" t="str">
        <f aca="false">IF($B2117="","",IF(AND($D2117="",$E2117=""),"",IF(OR($D2117="",$E2117=""),0,ROUND($D2117*$E2117,0))))</f>
        <v/>
      </c>
      <c r="G2117" s="13"/>
      <c r="H2117" s="11"/>
      <c r="I2117" s="15" t="str">
        <f aca="false">IF($F2117="","",$F2117-IF($H2117="",0,$H2117))</f>
        <v/>
      </c>
      <c r="J2117" s="16" t="str">
        <f aca="true">IF(OR($A2117="",$I2117="",$I2117&lt;=0),"",TODAY()-$A2117)</f>
        <v/>
      </c>
      <c r="K2117" s="10"/>
    </row>
    <row r="2118" customFormat="false" ht="15" hidden="false" customHeight="true" outlineLevel="0" collapsed="false">
      <c r="A2118" s="13"/>
      <c r="B2118" s="10"/>
      <c r="C2118" s="10"/>
      <c r="D2118" s="14"/>
      <c r="E2118" s="11"/>
      <c r="F2118" s="15" t="str">
        <f aca="false">IF($B2118="","",IF(AND($D2118="",$E2118=""),"",IF(OR($D2118="",$E2118=""),0,ROUND($D2118*$E2118,0))))</f>
        <v/>
      </c>
      <c r="G2118" s="13"/>
      <c r="H2118" s="11"/>
      <c r="I2118" s="15" t="str">
        <f aca="false">IF($F2118="","",$F2118-IF($H2118="",0,$H2118))</f>
        <v/>
      </c>
      <c r="J2118" s="16" t="str">
        <f aca="true">IF(OR($A2118="",$I2118="",$I2118&lt;=0),"",TODAY()-$A2118)</f>
        <v/>
      </c>
      <c r="K2118" s="10"/>
    </row>
    <row r="2119" customFormat="false" ht="15" hidden="false" customHeight="true" outlineLevel="0" collapsed="false">
      <c r="A2119" s="13"/>
      <c r="B2119" s="10"/>
      <c r="C2119" s="10"/>
      <c r="D2119" s="14"/>
      <c r="E2119" s="11"/>
      <c r="F2119" s="15" t="str">
        <f aca="false">IF($B2119="","",IF(AND($D2119="",$E2119=""),"",IF(OR($D2119="",$E2119=""),0,ROUND($D2119*$E2119,0))))</f>
        <v/>
      </c>
      <c r="G2119" s="13"/>
      <c r="H2119" s="11"/>
      <c r="I2119" s="15" t="str">
        <f aca="false">IF($F2119="","",$F2119-IF($H2119="",0,$H2119))</f>
        <v/>
      </c>
      <c r="J2119" s="16" t="str">
        <f aca="true">IF(OR($A2119="",$I2119="",$I2119&lt;=0),"",TODAY()-$A2119)</f>
        <v/>
      </c>
      <c r="K2119" s="10"/>
    </row>
    <row r="2120" customFormat="false" ht="15" hidden="false" customHeight="true" outlineLevel="0" collapsed="false">
      <c r="A2120" s="13"/>
      <c r="B2120" s="10"/>
      <c r="C2120" s="10"/>
      <c r="D2120" s="14"/>
      <c r="E2120" s="11"/>
      <c r="F2120" s="15" t="str">
        <f aca="false">IF($B2120="","",IF(AND($D2120="",$E2120=""),"",IF(OR($D2120="",$E2120=""),0,ROUND($D2120*$E2120,0))))</f>
        <v/>
      </c>
      <c r="G2120" s="13"/>
      <c r="H2120" s="11"/>
      <c r="I2120" s="15" t="str">
        <f aca="false">IF($F2120="","",$F2120-IF($H2120="",0,$H2120))</f>
        <v/>
      </c>
      <c r="J2120" s="16" t="str">
        <f aca="true">IF(OR($A2120="",$I2120="",$I2120&lt;=0),"",TODAY()-$A2120)</f>
        <v/>
      </c>
      <c r="K2120" s="10"/>
    </row>
    <row r="2121" customFormat="false" ht="15" hidden="false" customHeight="true" outlineLevel="0" collapsed="false">
      <c r="A2121" s="13"/>
      <c r="B2121" s="10"/>
      <c r="C2121" s="10"/>
      <c r="D2121" s="14"/>
      <c r="E2121" s="11"/>
      <c r="F2121" s="15" t="str">
        <f aca="false">IF($B2121="","",IF(AND($D2121="",$E2121=""),"",IF(OR($D2121="",$E2121=""),0,ROUND($D2121*$E2121,0))))</f>
        <v/>
      </c>
      <c r="G2121" s="13"/>
      <c r="H2121" s="11"/>
      <c r="I2121" s="15" t="str">
        <f aca="false">IF($F2121="","",$F2121-IF($H2121="",0,$H2121))</f>
        <v/>
      </c>
      <c r="J2121" s="16" t="str">
        <f aca="true">IF(OR($A2121="",$I2121="",$I2121&lt;=0),"",TODAY()-$A2121)</f>
        <v/>
      </c>
      <c r="K2121" s="10"/>
    </row>
    <row r="2122" customFormat="false" ht="15" hidden="false" customHeight="true" outlineLevel="0" collapsed="false">
      <c r="A2122" s="13"/>
      <c r="B2122" s="10"/>
      <c r="C2122" s="10"/>
      <c r="D2122" s="14"/>
      <c r="E2122" s="11"/>
      <c r="F2122" s="15" t="str">
        <f aca="false">IF($B2122="","",IF(AND($D2122="",$E2122=""),"",IF(OR($D2122="",$E2122=""),0,ROUND($D2122*$E2122,0))))</f>
        <v/>
      </c>
      <c r="G2122" s="13"/>
      <c r="H2122" s="11"/>
      <c r="I2122" s="15" t="str">
        <f aca="false">IF($F2122="","",$F2122-IF($H2122="",0,$H2122))</f>
        <v/>
      </c>
      <c r="J2122" s="16" t="str">
        <f aca="true">IF(OR($A2122="",$I2122="",$I2122&lt;=0),"",TODAY()-$A2122)</f>
        <v/>
      </c>
      <c r="K2122" s="10"/>
    </row>
    <row r="2123" customFormat="false" ht="15" hidden="false" customHeight="true" outlineLevel="0" collapsed="false">
      <c r="A2123" s="13"/>
      <c r="B2123" s="10"/>
      <c r="C2123" s="10"/>
      <c r="D2123" s="14"/>
      <c r="E2123" s="11"/>
      <c r="F2123" s="15" t="str">
        <f aca="false">IF($B2123="","",IF(AND($D2123="",$E2123=""),"",IF(OR($D2123="",$E2123=""),0,ROUND($D2123*$E2123,0))))</f>
        <v/>
      </c>
      <c r="G2123" s="13"/>
      <c r="H2123" s="11"/>
      <c r="I2123" s="15" t="str">
        <f aca="false">IF($F2123="","",$F2123-IF($H2123="",0,$H2123))</f>
        <v/>
      </c>
      <c r="J2123" s="16" t="str">
        <f aca="true">IF(OR($A2123="",$I2123="",$I2123&lt;=0),"",TODAY()-$A2123)</f>
        <v/>
      </c>
      <c r="K2123" s="10"/>
    </row>
    <row r="2124" customFormat="false" ht="15" hidden="false" customHeight="true" outlineLevel="0" collapsed="false">
      <c r="A2124" s="13"/>
      <c r="B2124" s="10"/>
      <c r="C2124" s="10"/>
      <c r="D2124" s="14"/>
      <c r="E2124" s="11"/>
      <c r="F2124" s="15" t="str">
        <f aca="false">IF($B2124="","",IF(AND($D2124="",$E2124=""),"",IF(OR($D2124="",$E2124=""),0,ROUND($D2124*$E2124,0))))</f>
        <v/>
      </c>
      <c r="G2124" s="13"/>
      <c r="H2124" s="11"/>
      <c r="I2124" s="15" t="str">
        <f aca="false">IF($F2124="","",$F2124-IF($H2124="",0,$H2124))</f>
        <v/>
      </c>
      <c r="J2124" s="16" t="str">
        <f aca="true">IF(OR($A2124="",$I2124="",$I2124&lt;=0),"",TODAY()-$A2124)</f>
        <v/>
      </c>
      <c r="K2124" s="10"/>
    </row>
    <row r="2125" customFormat="false" ht="15" hidden="false" customHeight="true" outlineLevel="0" collapsed="false">
      <c r="A2125" s="13"/>
      <c r="B2125" s="10"/>
      <c r="C2125" s="10"/>
      <c r="D2125" s="14"/>
      <c r="E2125" s="11"/>
      <c r="F2125" s="15" t="str">
        <f aca="false">IF($B2125="","",IF(AND($D2125="",$E2125=""),"",IF(OR($D2125="",$E2125=""),0,ROUND($D2125*$E2125,0))))</f>
        <v/>
      </c>
      <c r="G2125" s="13"/>
      <c r="H2125" s="11"/>
      <c r="I2125" s="15" t="str">
        <f aca="false">IF($F2125="","",$F2125-IF($H2125="",0,$H2125))</f>
        <v/>
      </c>
      <c r="J2125" s="16" t="str">
        <f aca="true">IF(OR($A2125="",$I2125="",$I2125&lt;=0),"",TODAY()-$A2125)</f>
        <v/>
      </c>
      <c r="K2125" s="10"/>
    </row>
    <row r="2126" customFormat="false" ht="15" hidden="false" customHeight="true" outlineLevel="0" collapsed="false">
      <c r="A2126" s="13"/>
      <c r="B2126" s="10"/>
      <c r="C2126" s="10"/>
      <c r="D2126" s="14"/>
      <c r="E2126" s="11"/>
      <c r="F2126" s="15" t="str">
        <f aca="false">IF($B2126="","",IF(AND($D2126="",$E2126=""),"",IF(OR($D2126="",$E2126=""),0,ROUND($D2126*$E2126,0))))</f>
        <v/>
      </c>
      <c r="G2126" s="13"/>
      <c r="H2126" s="11"/>
      <c r="I2126" s="15" t="str">
        <f aca="false">IF($F2126="","",$F2126-IF($H2126="",0,$H2126))</f>
        <v/>
      </c>
      <c r="J2126" s="16" t="str">
        <f aca="true">IF(OR($A2126="",$I2126="",$I2126&lt;=0),"",TODAY()-$A2126)</f>
        <v/>
      </c>
      <c r="K2126" s="10"/>
    </row>
    <row r="2127" customFormat="false" ht="15" hidden="false" customHeight="true" outlineLevel="0" collapsed="false">
      <c r="A2127" s="13"/>
      <c r="B2127" s="10"/>
      <c r="C2127" s="10"/>
      <c r="D2127" s="14"/>
      <c r="E2127" s="11"/>
      <c r="F2127" s="15" t="str">
        <f aca="false">IF($B2127="","",IF(AND($D2127="",$E2127=""),"",IF(OR($D2127="",$E2127=""),0,ROUND($D2127*$E2127,0))))</f>
        <v/>
      </c>
      <c r="G2127" s="13"/>
      <c r="H2127" s="11"/>
      <c r="I2127" s="15" t="str">
        <f aca="false">IF($F2127="","",$F2127-IF($H2127="",0,$H2127))</f>
        <v/>
      </c>
      <c r="J2127" s="16" t="str">
        <f aca="true">IF(OR($A2127="",$I2127="",$I2127&lt;=0),"",TODAY()-$A2127)</f>
        <v/>
      </c>
      <c r="K2127" s="10"/>
    </row>
    <row r="2128" customFormat="false" ht="15" hidden="false" customHeight="true" outlineLevel="0" collapsed="false">
      <c r="A2128" s="13"/>
      <c r="B2128" s="10"/>
      <c r="C2128" s="10"/>
      <c r="D2128" s="14"/>
      <c r="E2128" s="11"/>
      <c r="F2128" s="15" t="str">
        <f aca="false">IF($B2128="","",IF(AND($D2128="",$E2128=""),"",IF(OR($D2128="",$E2128=""),0,ROUND($D2128*$E2128,0))))</f>
        <v/>
      </c>
      <c r="G2128" s="13"/>
      <c r="H2128" s="11"/>
      <c r="I2128" s="15" t="str">
        <f aca="false">IF($F2128="","",$F2128-IF($H2128="",0,$H2128))</f>
        <v/>
      </c>
      <c r="J2128" s="16" t="str">
        <f aca="true">IF(OR($A2128="",$I2128="",$I2128&lt;=0),"",TODAY()-$A2128)</f>
        <v/>
      </c>
      <c r="K2128" s="10"/>
    </row>
    <row r="2129" customFormat="false" ht="15" hidden="false" customHeight="true" outlineLevel="0" collapsed="false">
      <c r="A2129" s="13"/>
      <c r="B2129" s="10"/>
      <c r="C2129" s="10"/>
      <c r="D2129" s="14"/>
      <c r="E2129" s="11"/>
      <c r="F2129" s="15" t="str">
        <f aca="false">IF($B2129="","",IF(AND($D2129="",$E2129=""),"",IF(OR($D2129="",$E2129=""),0,ROUND($D2129*$E2129,0))))</f>
        <v/>
      </c>
      <c r="G2129" s="13"/>
      <c r="H2129" s="11"/>
      <c r="I2129" s="15" t="str">
        <f aca="false">IF($F2129="","",$F2129-IF($H2129="",0,$H2129))</f>
        <v/>
      </c>
      <c r="J2129" s="16" t="str">
        <f aca="true">IF(OR($A2129="",$I2129="",$I2129&lt;=0),"",TODAY()-$A2129)</f>
        <v/>
      </c>
      <c r="K2129" s="10"/>
    </row>
    <row r="2130" customFormat="false" ht="15" hidden="false" customHeight="true" outlineLevel="0" collapsed="false">
      <c r="A2130" s="13"/>
      <c r="B2130" s="10"/>
      <c r="C2130" s="10"/>
      <c r="D2130" s="14"/>
      <c r="E2130" s="11"/>
      <c r="F2130" s="15" t="str">
        <f aca="false">IF($B2130="","",IF(AND($D2130="",$E2130=""),"",IF(OR($D2130="",$E2130=""),0,ROUND($D2130*$E2130,0))))</f>
        <v/>
      </c>
      <c r="G2130" s="13"/>
      <c r="H2130" s="11"/>
      <c r="I2130" s="15" t="str">
        <f aca="false">IF($F2130="","",$F2130-IF($H2130="",0,$H2130))</f>
        <v/>
      </c>
      <c r="J2130" s="16" t="str">
        <f aca="true">IF(OR($A2130="",$I2130="",$I2130&lt;=0),"",TODAY()-$A2130)</f>
        <v/>
      </c>
      <c r="K2130" s="10"/>
    </row>
    <row r="2131" customFormat="false" ht="15" hidden="false" customHeight="true" outlineLevel="0" collapsed="false">
      <c r="A2131" s="13"/>
      <c r="B2131" s="10"/>
      <c r="C2131" s="10"/>
      <c r="D2131" s="14"/>
      <c r="E2131" s="11"/>
      <c r="F2131" s="15" t="str">
        <f aca="false">IF($B2131="","",IF(AND($D2131="",$E2131=""),"",IF(OR($D2131="",$E2131=""),0,ROUND($D2131*$E2131,0))))</f>
        <v/>
      </c>
      <c r="G2131" s="13"/>
      <c r="H2131" s="11"/>
      <c r="I2131" s="15" t="str">
        <f aca="false">IF($F2131="","",$F2131-IF($H2131="",0,$H2131))</f>
        <v/>
      </c>
      <c r="J2131" s="16" t="str">
        <f aca="true">IF(OR($A2131="",$I2131="",$I2131&lt;=0),"",TODAY()-$A2131)</f>
        <v/>
      </c>
      <c r="K2131" s="10"/>
    </row>
    <row r="2132" customFormat="false" ht="15" hidden="false" customHeight="true" outlineLevel="0" collapsed="false">
      <c r="A2132" s="13"/>
      <c r="B2132" s="10"/>
      <c r="C2132" s="10"/>
      <c r="D2132" s="14"/>
      <c r="E2132" s="11"/>
      <c r="F2132" s="15" t="str">
        <f aca="false">IF($B2132="","",IF(AND($D2132="",$E2132=""),"",IF(OR($D2132="",$E2132=""),0,ROUND($D2132*$E2132,0))))</f>
        <v/>
      </c>
      <c r="G2132" s="13"/>
      <c r="H2132" s="11"/>
      <c r="I2132" s="15" t="str">
        <f aca="false">IF($F2132="","",$F2132-IF($H2132="",0,$H2132))</f>
        <v/>
      </c>
      <c r="J2132" s="16" t="str">
        <f aca="true">IF(OR($A2132="",$I2132="",$I2132&lt;=0),"",TODAY()-$A2132)</f>
        <v/>
      </c>
      <c r="K2132" s="10"/>
    </row>
    <row r="2133" customFormat="false" ht="15" hidden="false" customHeight="true" outlineLevel="0" collapsed="false">
      <c r="A2133" s="13"/>
      <c r="B2133" s="10"/>
      <c r="C2133" s="10"/>
      <c r="D2133" s="14"/>
      <c r="E2133" s="11"/>
      <c r="F2133" s="15" t="str">
        <f aca="false">IF($B2133="","",IF(AND($D2133="",$E2133=""),"",IF(OR($D2133="",$E2133=""),0,ROUND($D2133*$E2133,0))))</f>
        <v/>
      </c>
      <c r="G2133" s="13"/>
      <c r="H2133" s="11"/>
      <c r="I2133" s="15" t="str">
        <f aca="false">IF($F2133="","",$F2133-IF($H2133="",0,$H2133))</f>
        <v/>
      </c>
      <c r="J2133" s="16" t="str">
        <f aca="true">IF(OR($A2133="",$I2133="",$I2133&lt;=0),"",TODAY()-$A2133)</f>
        <v/>
      </c>
      <c r="K2133" s="10"/>
    </row>
    <row r="2134" customFormat="false" ht="15" hidden="false" customHeight="true" outlineLevel="0" collapsed="false">
      <c r="A2134" s="13"/>
      <c r="B2134" s="10"/>
      <c r="C2134" s="10"/>
      <c r="D2134" s="14"/>
      <c r="E2134" s="11"/>
      <c r="F2134" s="15" t="str">
        <f aca="false">IF($B2134="","",IF(AND($D2134="",$E2134=""),"",IF(OR($D2134="",$E2134=""),0,ROUND($D2134*$E2134,0))))</f>
        <v/>
      </c>
      <c r="G2134" s="13"/>
      <c r="H2134" s="11"/>
      <c r="I2134" s="15" t="str">
        <f aca="false">IF($F2134="","",$F2134-IF($H2134="",0,$H2134))</f>
        <v/>
      </c>
      <c r="J2134" s="16" t="str">
        <f aca="true">IF(OR($A2134="",$I2134="",$I2134&lt;=0),"",TODAY()-$A2134)</f>
        <v/>
      </c>
      <c r="K2134" s="10"/>
    </row>
    <row r="2135" customFormat="false" ht="15" hidden="false" customHeight="true" outlineLevel="0" collapsed="false">
      <c r="A2135" s="13"/>
      <c r="B2135" s="10"/>
      <c r="C2135" s="10"/>
      <c r="D2135" s="14"/>
      <c r="E2135" s="11"/>
      <c r="F2135" s="15" t="str">
        <f aca="false">IF($B2135="","",IF(AND($D2135="",$E2135=""),"",IF(OR($D2135="",$E2135=""),0,ROUND($D2135*$E2135,0))))</f>
        <v/>
      </c>
      <c r="G2135" s="13"/>
      <c r="H2135" s="11"/>
      <c r="I2135" s="15" t="str">
        <f aca="false">IF($F2135="","",$F2135-IF($H2135="",0,$H2135))</f>
        <v/>
      </c>
      <c r="J2135" s="16" t="str">
        <f aca="true">IF(OR($A2135="",$I2135="",$I2135&lt;=0),"",TODAY()-$A2135)</f>
        <v/>
      </c>
      <c r="K2135" s="10"/>
    </row>
    <row r="2136" customFormat="false" ht="15" hidden="false" customHeight="true" outlineLevel="0" collapsed="false">
      <c r="A2136" s="13"/>
      <c r="B2136" s="10"/>
      <c r="C2136" s="10"/>
      <c r="D2136" s="14"/>
      <c r="E2136" s="11"/>
      <c r="F2136" s="15" t="str">
        <f aca="false">IF($B2136="","",IF(AND($D2136="",$E2136=""),"",IF(OR($D2136="",$E2136=""),0,ROUND($D2136*$E2136,0))))</f>
        <v/>
      </c>
      <c r="G2136" s="13"/>
      <c r="H2136" s="11"/>
      <c r="I2136" s="15" t="str">
        <f aca="false">IF($F2136="","",$F2136-IF($H2136="",0,$H2136))</f>
        <v/>
      </c>
      <c r="J2136" s="16" t="str">
        <f aca="true">IF(OR($A2136="",$I2136="",$I2136&lt;=0),"",TODAY()-$A2136)</f>
        <v/>
      </c>
      <c r="K2136" s="10"/>
    </row>
    <row r="2137" customFormat="false" ht="15" hidden="false" customHeight="true" outlineLevel="0" collapsed="false">
      <c r="A2137" s="13"/>
      <c r="B2137" s="10"/>
      <c r="C2137" s="10"/>
      <c r="D2137" s="14"/>
      <c r="E2137" s="11"/>
      <c r="F2137" s="15" t="str">
        <f aca="false">IF($B2137="","",IF(AND($D2137="",$E2137=""),"",IF(OR($D2137="",$E2137=""),0,ROUND($D2137*$E2137,0))))</f>
        <v/>
      </c>
      <c r="G2137" s="13"/>
      <c r="H2137" s="11"/>
      <c r="I2137" s="15" t="str">
        <f aca="false">IF($F2137="","",$F2137-IF($H2137="",0,$H2137))</f>
        <v/>
      </c>
      <c r="J2137" s="16" t="str">
        <f aca="true">IF(OR($A2137="",$I2137="",$I2137&lt;=0),"",TODAY()-$A2137)</f>
        <v/>
      </c>
      <c r="K2137" s="10"/>
    </row>
    <row r="2138" customFormat="false" ht="15" hidden="false" customHeight="true" outlineLevel="0" collapsed="false">
      <c r="A2138" s="13"/>
      <c r="B2138" s="10"/>
      <c r="C2138" s="10"/>
      <c r="D2138" s="14"/>
      <c r="E2138" s="11"/>
      <c r="F2138" s="15" t="str">
        <f aca="false">IF($B2138="","",IF(AND($D2138="",$E2138=""),"",IF(OR($D2138="",$E2138=""),0,ROUND($D2138*$E2138,0))))</f>
        <v/>
      </c>
      <c r="G2138" s="13"/>
      <c r="H2138" s="11"/>
      <c r="I2138" s="15" t="str">
        <f aca="false">IF($F2138="","",$F2138-IF($H2138="",0,$H2138))</f>
        <v/>
      </c>
      <c r="J2138" s="16" t="str">
        <f aca="true">IF(OR($A2138="",$I2138="",$I2138&lt;=0),"",TODAY()-$A2138)</f>
        <v/>
      </c>
      <c r="K2138" s="10"/>
    </row>
    <row r="2139" customFormat="false" ht="15" hidden="false" customHeight="true" outlineLevel="0" collapsed="false">
      <c r="A2139" s="13"/>
      <c r="B2139" s="10"/>
      <c r="C2139" s="10"/>
      <c r="D2139" s="14"/>
      <c r="E2139" s="11"/>
      <c r="F2139" s="15" t="str">
        <f aca="false">IF($B2139="","",IF(AND($D2139="",$E2139=""),"",IF(OR($D2139="",$E2139=""),0,ROUND($D2139*$E2139,0))))</f>
        <v/>
      </c>
      <c r="G2139" s="13"/>
      <c r="H2139" s="11"/>
      <c r="I2139" s="15" t="str">
        <f aca="false">IF($F2139="","",$F2139-IF($H2139="",0,$H2139))</f>
        <v/>
      </c>
      <c r="J2139" s="16" t="str">
        <f aca="true">IF(OR($A2139="",$I2139="",$I2139&lt;=0),"",TODAY()-$A2139)</f>
        <v/>
      </c>
      <c r="K2139" s="10"/>
    </row>
    <row r="2140" customFormat="false" ht="15" hidden="false" customHeight="true" outlineLevel="0" collapsed="false">
      <c r="A2140" s="13"/>
      <c r="B2140" s="10"/>
      <c r="C2140" s="10"/>
      <c r="D2140" s="14"/>
      <c r="E2140" s="11"/>
      <c r="F2140" s="15" t="str">
        <f aca="false">IF($B2140="","",IF(AND($D2140="",$E2140=""),"",IF(OR($D2140="",$E2140=""),0,ROUND($D2140*$E2140,0))))</f>
        <v/>
      </c>
      <c r="G2140" s="13"/>
      <c r="H2140" s="11"/>
      <c r="I2140" s="15" t="str">
        <f aca="false">IF($F2140="","",$F2140-IF($H2140="",0,$H2140))</f>
        <v/>
      </c>
      <c r="J2140" s="16" t="str">
        <f aca="true">IF(OR($A2140="",$I2140="",$I2140&lt;=0),"",TODAY()-$A2140)</f>
        <v/>
      </c>
      <c r="K2140" s="10"/>
    </row>
    <row r="2141" customFormat="false" ht="15" hidden="false" customHeight="true" outlineLevel="0" collapsed="false">
      <c r="A2141" s="13"/>
      <c r="B2141" s="10"/>
      <c r="C2141" s="10"/>
      <c r="D2141" s="14"/>
      <c r="E2141" s="11"/>
      <c r="F2141" s="15" t="str">
        <f aca="false">IF($B2141="","",IF(AND($D2141="",$E2141=""),"",IF(OR($D2141="",$E2141=""),0,ROUND($D2141*$E2141,0))))</f>
        <v/>
      </c>
      <c r="G2141" s="13"/>
      <c r="H2141" s="11"/>
      <c r="I2141" s="15" t="str">
        <f aca="false">IF($F2141="","",$F2141-IF($H2141="",0,$H2141))</f>
        <v/>
      </c>
      <c r="J2141" s="16" t="str">
        <f aca="true">IF(OR($A2141="",$I2141="",$I2141&lt;=0),"",TODAY()-$A2141)</f>
        <v/>
      </c>
      <c r="K2141" s="10"/>
    </row>
    <row r="2142" customFormat="false" ht="15" hidden="false" customHeight="true" outlineLevel="0" collapsed="false">
      <c r="A2142" s="13"/>
      <c r="B2142" s="10"/>
      <c r="C2142" s="10"/>
      <c r="D2142" s="14"/>
      <c r="E2142" s="11"/>
      <c r="F2142" s="15" t="str">
        <f aca="false">IF($B2142="","",IF(AND($D2142="",$E2142=""),"",IF(OR($D2142="",$E2142=""),0,ROUND($D2142*$E2142,0))))</f>
        <v/>
      </c>
      <c r="G2142" s="13"/>
      <c r="H2142" s="11"/>
      <c r="I2142" s="15" t="str">
        <f aca="false">IF($F2142="","",$F2142-IF($H2142="",0,$H2142))</f>
        <v/>
      </c>
      <c r="J2142" s="16" t="str">
        <f aca="true">IF(OR($A2142="",$I2142="",$I2142&lt;=0),"",TODAY()-$A2142)</f>
        <v/>
      </c>
      <c r="K2142" s="10"/>
    </row>
    <row r="2143" customFormat="false" ht="15" hidden="false" customHeight="true" outlineLevel="0" collapsed="false">
      <c r="A2143" s="13"/>
      <c r="B2143" s="10"/>
      <c r="C2143" s="10"/>
      <c r="D2143" s="14"/>
      <c r="E2143" s="11"/>
      <c r="F2143" s="15" t="str">
        <f aca="false">IF($B2143="","",IF(AND($D2143="",$E2143=""),"",IF(OR($D2143="",$E2143=""),0,ROUND($D2143*$E2143,0))))</f>
        <v/>
      </c>
      <c r="G2143" s="13"/>
      <c r="H2143" s="11"/>
      <c r="I2143" s="15" t="str">
        <f aca="false">IF($F2143="","",$F2143-IF($H2143="",0,$H2143))</f>
        <v/>
      </c>
      <c r="J2143" s="16" t="str">
        <f aca="true">IF(OR($A2143="",$I2143="",$I2143&lt;=0),"",TODAY()-$A2143)</f>
        <v/>
      </c>
      <c r="K2143" s="10"/>
    </row>
    <row r="2144" customFormat="false" ht="15" hidden="false" customHeight="true" outlineLevel="0" collapsed="false">
      <c r="A2144" s="13"/>
      <c r="B2144" s="10"/>
      <c r="C2144" s="10"/>
      <c r="D2144" s="14"/>
      <c r="E2144" s="11"/>
      <c r="F2144" s="15" t="str">
        <f aca="false">IF($B2144="","",IF(AND($D2144="",$E2144=""),"",IF(OR($D2144="",$E2144=""),0,ROUND($D2144*$E2144,0))))</f>
        <v/>
      </c>
      <c r="G2144" s="13"/>
      <c r="H2144" s="11"/>
      <c r="I2144" s="15" t="str">
        <f aca="false">IF($F2144="","",$F2144-IF($H2144="",0,$H2144))</f>
        <v/>
      </c>
      <c r="J2144" s="16" t="str">
        <f aca="true">IF(OR($A2144="",$I2144="",$I2144&lt;=0),"",TODAY()-$A2144)</f>
        <v/>
      </c>
      <c r="K2144" s="10"/>
    </row>
    <row r="2145" customFormat="false" ht="15" hidden="false" customHeight="true" outlineLevel="0" collapsed="false">
      <c r="A2145" s="13"/>
      <c r="B2145" s="10"/>
      <c r="C2145" s="10"/>
      <c r="D2145" s="14"/>
      <c r="E2145" s="11"/>
      <c r="F2145" s="15" t="str">
        <f aca="false">IF($B2145="","",IF(AND($D2145="",$E2145=""),"",IF(OR($D2145="",$E2145=""),0,ROUND($D2145*$E2145,0))))</f>
        <v/>
      </c>
      <c r="G2145" s="13"/>
      <c r="H2145" s="11"/>
      <c r="I2145" s="15" t="str">
        <f aca="false">IF($F2145="","",$F2145-IF($H2145="",0,$H2145))</f>
        <v/>
      </c>
      <c r="J2145" s="16" t="str">
        <f aca="true">IF(OR($A2145="",$I2145="",$I2145&lt;=0),"",TODAY()-$A2145)</f>
        <v/>
      </c>
      <c r="K2145" s="10"/>
    </row>
    <row r="2146" customFormat="false" ht="15" hidden="false" customHeight="true" outlineLevel="0" collapsed="false">
      <c r="A2146" s="13"/>
      <c r="B2146" s="10"/>
      <c r="C2146" s="10"/>
      <c r="D2146" s="14"/>
      <c r="E2146" s="11"/>
      <c r="F2146" s="15" t="str">
        <f aca="false">IF($B2146="","",IF(AND($D2146="",$E2146=""),"",IF(OR($D2146="",$E2146=""),0,ROUND($D2146*$E2146,0))))</f>
        <v/>
      </c>
      <c r="G2146" s="13"/>
      <c r="H2146" s="11"/>
      <c r="I2146" s="15" t="str">
        <f aca="false">IF($F2146="","",$F2146-IF($H2146="",0,$H2146))</f>
        <v/>
      </c>
      <c r="J2146" s="16" t="str">
        <f aca="true">IF(OR($A2146="",$I2146="",$I2146&lt;=0),"",TODAY()-$A2146)</f>
        <v/>
      </c>
      <c r="K2146" s="10"/>
    </row>
    <row r="2147" customFormat="false" ht="15" hidden="false" customHeight="true" outlineLevel="0" collapsed="false">
      <c r="A2147" s="13"/>
      <c r="B2147" s="10"/>
      <c r="C2147" s="10"/>
      <c r="D2147" s="14"/>
      <c r="E2147" s="11"/>
      <c r="F2147" s="15" t="str">
        <f aca="false">IF($B2147="","",IF(AND($D2147="",$E2147=""),"",IF(OR($D2147="",$E2147=""),0,ROUND($D2147*$E2147,0))))</f>
        <v/>
      </c>
      <c r="G2147" s="13"/>
      <c r="H2147" s="11"/>
      <c r="I2147" s="15" t="str">
        <f aca="false">IF($F2147="","",$F2147-IF($H2147="",0,$H2147))</f>
        <v/>
      </c>
      <c r="J2147" s="16" t="str">
        <f aca="true">IF(OR($A2147="",$I2147="",$I2147&lt;=0),"",TODAY()-$A2147)</f>
        <v/>
      </c>
      <c r="K2147" s="10"/>
    </row>
    <row r="2148" customFormat="false" ht="15" hidden="false" customHeight="true" outlineLevel="0" collapsed="false">
      <c r="A2148" s="13"/>
      <c r="B2148" s="10"/>
      <c r="C2148" s="10"/>
      <c r="D2148" s="14"/>
      <c r="E2148" s="11"/>
      <c r="F2148" s="15" t="str">
        <f aca="false">IF($B2148="","",IF(AND($D2148="",$E2148=""),"",IF(OR($D2148="",$E2148=""),0,ROUND($D2148*$E2148,0))))</f>
        <v/>
      </c>
      <c r="G2148" s="13"/>
      <c r="H2148" s="11"/>
      <c r="I2148" s="15" t="str">
        <f aca="false">IF($F2148="","",$F2148-IF($H2148="",0,$H2148))</f>
        <v/>
      </c>
      <c r="J2148" s="16" t="str">
        <f aca="true">IF(OR($A2148="",$I2148="",$I2148&lt;=0),"",TODAY()-$A2148)</f>
        <v/>
      </c>
      <c r="K2148" s="10"/>
    </row>
    <row r="2149" customFormat="false" ht="15" hidden="false" customHeight="true" outlineLevel="0" collapsed="false">
      <c r="A2149" s="13"/>
      <c r="B2149" s="10"/>
      <c r="C2149" s="10"/>
      <c r="D2149" s="14"/>
      <c r="E2149" s="11"/>
      <c r="F2149" s="15" t="str">
        <f aca="false">IF($B2149="","",IF(AND($D2149="",$E2149=""),"",IF(OR($D2149="",$E2149=""),0,ROUND($D2149*$E2149,0))))</f>
        <v/>
      </c>
      <c r="G2149" s="13"/>
      <c r="H2149" s="11"/>
      <c r="I2149" s="15" t="str">
        <f aca="false">IF($F2149="","",$F2149-IF($H2149="",0,$H2149))</f>
        <v/>
      </c>
      <c r="J2149" s="16" t="str">
        <f aca="true">IF(OR($A2149="",$I2149="",$I2149&lt;=0),"",TODAY()-$A2149)</f>
        <v/>
      </c>
      <c r="K2149" s="10"/>
    </row>
    <row r="2150" customFormat="false" ht="15" hidden="false" customHeight="true" outlineLevel="0" collapsed="false">
      <c r="A2150" s="13"/>
      <c r="B2150" s="10"/>
      <c r="C2150" s="10"/>
      <c r="D2150" s="14"/>
      <c r="E2150" s="11"/>
      <c r="F2150" s="15" t="str">
        <f aca="false">IF($B2150="","",IF(AND($D2150="",$E2150=""),"",IF(OR($D2150="",$E2150=""),0,ROUND($D2150*$E2150,0))))</f>
        <v/>
      </c>
      <c r="G2150" s="13"/>
      <c r="H2150" s="11"/>
      <c r="I2150" s="15" t="str">
        <f aca="false">IF($F2150="","",$F2150-IF($H2150="",0,$H2150))</f>
        <v/>
      </c>
      <c r="J2150" s="16" t="str">
        <f aca="true">IF(OR($A2150="",$I2150="",$I2150&lt;=0),"",TODAY()-$A2150)</f>
        <v/>
      </c>
      <c r="K2150" s="10"/>
    </row>
    <row r="2151" customFormat="false" ht="15" hidden="false" customHeight="true" outlineLevel="0" collapsed="false">
      <c r="A2151" s="13"/>
      <c r="B2151" s="10"/>
      <c r="C2151" s="10"/>
      <c r="D2151" s="14"/>
      <c r="E2151" s="11"/>
      <c r="F2151" s="15" t="str">
        <f aca="false">IF($B2151="","",IF(AND($D2151="",$E2151=""),"",IF(OR($D2151="",$E2151=""),0,ROUND($D2151*$E2151,0))))</f>
        <v/>
      </c>
      <c r="G2151" s="13"/>
      <c r="H2151" s="11"/>
      <c r="I2151" s="15" t="str">
        <f aca="false">IF($F2151="","",$F2151-IF($H2151="",0,$H2151))</f>
        <v/>
      </c>
      <c r="J2151" s="16" t="str">
        <f aca="true">IF(OR($A2151="",$I2151="",$I2151&lt;=0),"",TODAY()-$A2151)</f>
        <v/>
      </c>
      <c r="K2151" s="10"/>
    </row>
    <row r="2152" customFormat="false" ht="15" hidden="false" customHeight="true" outlineLevel="0" collapsed="false">
      <c r="A2152" s="13"/>
      <c r="B2152" s="10"/>
      <c r="C2152" s="10"/>
      <c r="D2152" s="14"/>
      <c r="E2152" s="11"/>
      <c r="F2152" s="15" t="str">
        <f aca="false">IF($B2152="","",IF(AND($D2152="",$E2152=""),"",IF(OR($D2152="",$E2152=""),0,ROUND($D2152*$E2152,0))))</f>
        <v/>
      </c>
      <c r="G2152" s="13"/>
      <c r="H2152" s="11"/>
      <c r="I2152" s="15" t="str">
        <f aca="false">IF($F2152="","",$F2152-IF($H2152="",0,$H2152))</f>
        <v/>
      </c>
      <c r="J2152" s="16" t="str">
        <f aca="true">IF(OR($A2152="",$I2152="",$I2152&lt;=0),"",TODAY()-$A2152)</f>
        <v/>
      </c>
      <c r="K2152" s="10"/>
    </row>
    <row r="2153" customFormat="false" ht="15" hidden="false" customHeight="true" outlineLevel="0" collapsed="false">
      <c r="A2153" s="13"/>
      <c r="B2153" s="10"/>
      <c r="C2153" s="10"/>
      <c r="D2153" s="14"/>
      <c r="E2153" s="11"/>
      <c r="F2153" s="15" t="str">
        <f aca="false">IF($B2153="","",IF(AND($D2153="",$E2153=""),"",IF(OR($D2153="",$E2153=""),0,ROUND($D2153*$E2153,0))))</f>
        <v/>
      </c>
      <c r="G2153" s="13"/>
      <c r="H2153" s="11"/>
      <c r="I2153" s="15" t="str">
        <f aca="false">IF($F2153="","",$F2153-IF($H2153="",0,$H2153))</f>
        <v/>
      </c>
      <c r="J2153" s="16" t="str">
        <f aca="true">IF(OR($A2153="",$I2153="",$I2153&lt;=0),"",TODAY()-$A2153)</f>
        <v/>
      </c>
      <c r="K2153" s="10"/>
    </row>
    <row r="2154" customFormat="false" ht="15" hidden="false" customHeight="true" outlineLevel="0" collapsed="false">
      <c r="A2154" s="13"/>
      <c r="B2154" s="10"/>
      <c r="C2154" s="10"/>
      <c r="D2154" s="14"/>
      <c r="E2154" s="11"/>
      <c r="F2154" s="15" t="str">
        <f aca="false">IF($B2154="","",IF(AND($D2154="",$E2154=""),"",IF(OR($D2154="",$E2154=""),0,ROUND($D2154*$E2154,0))))</f>
        <v/>
      </c>
      <c r="G2154" s="13"/>
      <c r="H2154" s="11"/>
      <c r="I2154" s="15" t="str">
        <f aca="false">IF($F2154="","",$F2154-IF($H2154="",0,$H2154))</f>
        <v/>
      </c>
      <c r="J2154" s="16" t="str">
        <f aca="true">IF(OR($A2154="",$I2154="",$I2154&lt;=0),"",TODAY()-$A2154)</f>
        <v/>
      </c>
      <c r="K2154" s="10"/>
    </row>
    <row r="2155" customFormat="false" ht="15" hidden="false" customHeight="true" outlineLevel="0" collapsed="false">
      <c r="A2155" s="13"/>
      <c r="B2155" s="10"/>
      <c r="C2155" s="10"/>
      <c r="D2155" s="14"/>
      <c r="E2155" s="11"/>
      <c r="F2155" s="15" t="str">
        <f aca="false">IF($B2155="","",IF(AND($D2155="",$E2155=""),"",IF(OR($D2155="",$E2155=""),0,ROUND($D2155*$E2155,0))))</f>
        <v/>
      </c>
      <c r="G2155" s="13"/>
      <c r="H2155" s="11"/>
      <c r="I2155" s="15" t="str">
        <f aca="false">IF($F2155="","",$F2155-IF($H2155="",0,$H2155))</f>
        <v/>
      </c>
      <c r="J2155" s="16" t="str">
        <f aca="true">IF(OR($A2155="",$I2155="",$I2155&lt;=0),"",TODAY()-$A2155)</f>
        <v/>
      </c>
      <c r="K2155" s="10"/>
    </row>
    <row r="2156" customFormat="false" ht="15" hidden="false" customHeight="true" outlineLevel="0" collapsed="false">
      <c r="A2156" s="13"/>
      <c r="B2156" s="10"/>
      <c r="C2156" s="10"/>
      <c r="D2156" s="14"/>
      <c r="E2156" s="11"/>
      <c r="F2156" s="15" t="str">
        <f aca="false">IF($B2156="","",IF(AND($D2156="",$E2156=""),"",IF(OR($D2156="",$E2156=""),0,ROUND($D2156*$E2156,0))))</f>
        <v/>
      </c>
      <c r="G2156" s="13"/>
      <c r="H2156" s="11"/>
      <c r="I2156" s="15" t="str">
        <f aca="false">IF($F2156="","",$F2156-IF($H2156="",0,$H2156))</f>
        <v/>
      </c>
      <c r="J2156" s="16" t="str">
        <f aca="true">IF(OR($A2156="",$I2156="",$I2156&lt;=0),"",TODAY()-$A2156)</f>
        <v/>
      </c>
      <c r="K2156" s="10"/>
    </row>
    <row r="2157" customFormat="false" ht="15" hidden="false" customHeight="true" outlineLevel="0" collapsed="false">
      <c r="A2157" s="13"/>
      <c r="B2157" s="10"/>
      <c r="C2157" s="10"/>
      <c r="D2157" s="14"/>
      <c r="E2157" s="11"/>
      <c r="F2157" s="15" t="str">
        <f aca="false">IF($B2157="","",IF(AND($D2157="",$E2157=""),"",IF(OR($D2157="",$E2157=""),0,ROUND($D2157*$E2157,0))))</f>
        <v/>
      </c>
      <c r="G2157" s="13"/>
      <c r="H2157" s="11"/>
      <c r="I2157" s="15" t="str">
        <f aca="false">IF($F2157="","",$F2157-IF($H2157="",0,$H2157))</f>
        <v/>
      </c>
      <c r="J2157" s="16" t="str">
        <f aca="true">IF(OR($A2157="",$I2157="",$I2157&lt;=0),"",TODAY()-$A2157)</f>
        <v/>
      </c>
      <c r="K2157" s="10"/>
    </row>
    <row r="2158" customFormat="false" ht="15" hidden="false" customHeight="true" outlineLevel="0" collapsed="false">
      <c r="A2158" s="13"/>
      <c r="B2158" s="10"/>
      <c r="C2158" s="10"/>
      <c r="D2158" s="14"/>
      <c r="E2158" s="11"/>
      <c r="F2158" s="15" t="str">
        <f aca="false">IF($B2158="","",IF(AND($D2158="",$E2158=""),"",IF(OR($D2158="",$E2158=""),0,ROUND($D2158*$E2158,0))))</f>
        <v/>
      </c>
      <c r="G2158" s="13"/>
      <c r="H2158" s="11"/>
      <c r="I2158" s="15" t="str">
        <f aca="false">IF($F2158="","",$F2158-IF($H2158="",0,$H2158))</f>
        <v/>
      </c>
      <c r="J2158" s="16" t="str">
        <f aca="true">IF(OR($A2158="",$I2158="",$I2158&lt;=0),"",TODAY()-$A2158)</f>
        <v/>
      </c>
      <c r="K2158" s="10"/>
    </row>
    <row r="2159" customFormat="false" ht="15" hidden="false" customHeight="true" outlineLevel="0" collapsed="false">
      <c r="A2159" s="13"/>
      <c r="B2159" s="10"/>
      <c r="C2159" s="10"/>
      <c r="D2159" s="14"/>
      <c r="E2159" s="11"/>
      <c r="F2159" s="15" t="str">
        <f aca="false">IF($B2159="","",IF(AND($D2159="",$E2159=""),"",IF(OR($D2159="",$E2159=""),0,ROUND($D2159*$E2159,0))))</f>
        <v/>
      </c>
      <c r="G2159" s="13"/>
      <c r="H2159" s="11"/>
      <c r="I2159" s="15" t="str">
        <f aca="false">IF($F2159="","",$F2159-IF($H2159="",0,$H2159))</f>
        <v/>
      </c>
      <c r="J2159" s="16" t="str">
        <f aca="true">IF(OR($A2159="",$I2159="",$I2159&lt;=0),"",TODAY()-$A2159)</f>
        <v/>
      </c>
      <c r="K2159" s="10"/>
    </row>
    <row r="2160" customFormat="false" ht="15" hidden="false" customHeight="true" outlineLevel="0" collapsed="false">
      <c r="A2160" s="13"/>
      <c r="B2160" s="10"/>
      <c r="C2160" s="10"/>
      <c r="D2160" s="14"/>
      <c r="E2160" s="11"/>
      <c r="F2160" s="15" t="str">
        <f aca="false">IF($B2160="","",IF(AND($D2160="",$E2160=""),"",IF(OR($D2160="",$E2160=""),0,ROUND($D2160*$E2160,0))))</f>
        <v/>
      </c>
      <c r="G2160" s="13"/>
      <c r="H2160" s="11"/>
      <c r="I2160" s="15" t="str">
        <f aca="false">IF($F2160="","",$F2160-IF($H2160="",0,$H2160))</f>
        <v/>
      </c>
      <c r="J2160" s="16" t="str">
        <f aca="true">IF(OR($A2160="",$I2160="",$I2160&lt;=0),"",TODAY()-$A2160)</f>
        <v/>
      </c>
      <c r="K2160" s="10"/>
    </row>
    <row r="2161" customFormat="false" ht="15" hidden="false" customHeight="true" outlineLevel="0" collapsed="false">
      <c r="A2161" s="13"/>
      <c r="B2161" s="10"/>
      <c r="C2161" s="10"/>
      <c r="D2161" s="14"/>
      <c r="E2161" s="11"/>
      <c r="F2161" s="15" t="str">
        <f aca="false">IF($B2161="","",IF(AND($D2161="",$E2161=""),"",IF(OR($D2161="",$E2161=""),0,ROUND($D2161*$E2161,0))))</f>
        <v/>
      </c>
      <c r="G2161" s="13"/>
      <c r="H2161" s="11"/>
      <c r="I2161" s="15" t="str">
        <f aca="false">IF($F2161="","",$F2161-IF($H2161="",0,$H2161))</f>
        <v/>
      </c>
      <c r="J2161" s="16" t="str">
        <f aca="true">IF(OR($A2161="",$I2161="",$I2161&lt;=0),"",TODAY()-$A2161)</f>
        <v/>
      </c>
      <c r="K2161" s="10"/>
    </row>
    <row r="2162" customFormat="false" ht="15" hidden="false" customHeight="true" outlineLevel="0" collapsed="false">
      <c r="A2162" s="13"/>
      <c r="B2162" s="10"/>
      <c r="C2162" s="10"/>
      <c r="D2162" s="14"/>
      <c r="E2162" s="11"/>
      <c r="F2162" s="15" t="str">
        <f aca="false">IF($B2162="","",IF(AND($D2162="",$E2162=""),"",IF(OR($D2162="",$E2162=""),0,ROUND($D2162*$E2162,0))))</f>
        <v/>
      </c>
      <c r="G2162" s="13"/>
      <c r="H2162" s="11"/>
      <c r="I2162" s="15" t="str">
        <f aca="false">IF($F2162="","",$F2162-IF($H2162="",0,$H2162))</f>
        <v/>
      </c>
      <c r="J2162" s="16" t="str">
        <f aca="true">IF(OR($A2162="",$I2162="",$I2162&lt;=0),"",TODAY()-$A2162)</f>
        <v/>
      </c>
      <c r="K2162" s="10"/>
    </row>
    <row r="2163" customFormat="false" ht="15" hidden="false" customHeight="true" outlineLevel="0" collapsed="false">
      <c r="A2163" s="13"/>
      <c r="B2163" s="10"/>
      <c r="C2163" s="10"/>
      <c r="D2163" s="14"/>
      <c r="E2163" s="11"/>
      <c r="F2163" s="15" t="str">
        <f aca="false">IF($B2163="","",IF(AND($D2163="",$E2163=""),"",IF(OR($D2163="",$E2163=""),0,ROUND($D2163*$E2163,0))))</f>
        <v/>
      </c>
      <c r="G2163" s="13"/>
      <c r="H2163" s="11"/>
      <c r="I2163" s="15" t="str">
        <f aca="false">IF($F2163="","",$F2163-IF($H2163="",0,$H2163))</f>
        <v/>
      </c>
      <c r="J2163" s="16" t="str">
        <f aca="true">IF(OR($A2163="",$I2163="",$I2163&lt;=0),"",TODAY()-$A2163)</f>
        <v/>
      </c>
      <c r="K2163" s="10"/>
    </row>
    <row r="2164" customFormat="false" ht="15" hidden="false" customHeight="true" outlineLevel="0" collapsed="false">
      <c r="A2164" s="13"/>
      <c r="B2164" s="10"/>
      <c r="C2164" s="10"/>
      <c r="D2164" s="14"/>
      <c r="E2164" s="11"/>
      <c r="F2164" s="15" t="str">
        <f aca="false">IF($B2164="","",IF(AND($D2164="",$E2164=""),"",IF(OR($D2164="",$E2164=""),0,ROUND($D2164*$E2164,0))))</f>
        <v/>
      </c>
      <c r="G2164" s="13"/>
      <c r="H2164" s="11"/>
      <c r="I2164" s="15" t="str">
        <f aca="false">IF($F2164="","",$F2164-IF($H2164="",0,$H2164))</f>
        <v/>
      </c>
      <c r="J2164" s="16" t="str">
        <f aca="true">IF(OR($A2164="",$I2164="",$I2164&lt;=0),"",TODAY()-$A2164)</f>
        <v/>
      </c>
      <c r="K2164" s="10"/>
    </row>
    <row r="2165" customFormat="false" ht="15" hidden="false" customHeight="true" outlineLevel="0" collapsed="false">
      <c r="A2165" s="13"/>
      <c r="B2165" s="10"/>
      <c r="C2165" s="10"/>
      <c r="D2165" s="14"/>
      <c r="E2165" s="11"/>
      <c r="F2165" s="15" t="str">
        <f aca="false">IF($B2165="","",IF(AND($D2165="",$E2165=""),"",IF(OR($D2165="",$E2165=""),0,ROUND($D2165*$E2165,0))))</f>
        <v/>
      </c>
      <c r="G2165" s="13"/>
      <c r="H2165" s="11"/>
      <c r="I2165" s="15" t="str">
        <f aca="false">IF($F2165="","",$F2165-IF($H2165="",0,$H2165))</f>
        <v/>
      </c>
      <c r="J2165" s="16" t="str">
        <f aca="true">IF(OR($A2165="",$I2165="",$I2165&lt;=0),"",TODAY()-$A2165)</f>
        <v/>
      </c>
      <c r="K2165" s="10"/>
    </row>
    <row r="2166" customFormat="false" ht="15" hidden="false" customHeight="true" outlineLevel="0" collapsed="false">
      <c r="A2166" s="13"/>
      <c r="B2166" s="10"/>
      <c r="C2166" s="10"/>
      <c r="D2166" s="14"/>
      <c r="E2166" s="11"/>
      <c r="F2166" s="15" t="str">
        <f aca="false">IF($B2166="","",IF(AND($D2166="",$E2166=""),"",IF(OR($D2166="",$E2166=""),0,ROUND($D2166*$E2166,0))))</f>
        <v/>
      </c>
      <c r="G2166" s="13"/>
      <c r="H2166" s="11"/>
      <c r="I2166" s="15" t="str">
        <f aca="false">IF($F2166="","",$F2166-IF($H2166="",0,$H2166))</f>
        <v/>
      </c>
      <c r="J2166" s="16" t="str">
        <f aca="true">IF(OR($A2166="",$I2166="",$I2166&lt;=0),"",TODAY()-$A2166)</f>
        <v/>
      </c>
      <c r="K2166" s="10"/>
    </row>
    <row r="2167" customFormat="false" ht="15" hidden="false" customHeight="true" outlineLevel="0" collapsed="false">
      <c r="A2167" s="13"/>
      <c r="B2167" s="10"/>
      <c r="C2167" s="10"/>
      <c r="D2167" s="14"/>
      <c r="E2167" s="11"/>
      <c r="F2167" s="15" t="str">
        <f aca="false">IF($B2167="","",IF(AND($D2167="",$E2167=""),"",IF(OR($D2167="",$E2167=""),0,ROUND($D2167*$E2167,0))))</f>
        <v/>
      </c>
      <c r="G2167" s="13"/>
      <c r="H2167" s="11"/>
      <c r="I2167" s="15" t="str">
        <f aca="false">IF($F2167="","",$F2167-IF($H2167="",0,$H2167))</f>
        <v/>
      </c>
      <c r="J2167" s="16" t="str">
        <f aca="true">IF(OR($A2167="",$I2167="",$I2167&lt;=0),"",TODAY()-$A2167)</f>
        <v/>
      </c>
      <c r="K2167" s="10"/>
    </row>
    <row r="2168" customFormat="false" ht="15" hidden="false" customHeight="true" outlineLevel="0" collapsed="false">
      <c r="A2168" s="13"/>
      <c r="B2168" s="10"/>
      <c r="C2168" s="10"/>
      <c r="D2168" s="14"/>
      <c r="E2168" s="11"/>
      <c r="F2168" s="15" t="str">
        <f aca="false">IF($B2168="","",IF(AND($D2168="",$E2168=""),"",IF(OR($D2168="",$E2168=""),0,ROUND($D2168*$E2168,0))))</f>
        <v/>
      </c>
      <c r="G2168" s="13"/>
      <c r="H2168" s="11"/>
      <c r="I2168" s="15" t="str">
        <f aca="false">IF($F2168="","",$F2168-IF($H2168="",0,$H2168))</f>
        <v/>
      </c>
      <c r="J2168" s="16" t="str">
        <f aca="true">IF(OR($A2168="",$I2168="",$I2168&lt;=0),"",TODAY()-$A2168)</f>
        <v/>
      </c>
      <c r="K2168" s="10"/>
    </row>
    <row r="2169" customFormat="false" ht="15" hidden="false" customHeight="true" outlineLevel="0" collapsed="false">
      <c r="A2169" s="13"/>
      <c r="B2169" s="10"/>
      <c r="C2169" s="10"/>
      <c r="D2169" s="14"/>
      <c r="E2169" s="11"/>
      <c r="F2169" s="15" t="str">
        <f aca="false">IF($B2169="","",IF(AND($D2169="",$E2169=""),"",IF(OR($D2169="",$E2169=""),0,ROUND($D2169*$E2169,0))))</f>
        <v/>
      </c>
      <c r="G2169" s="13"/>
      <c r="H2169" s="11"/>
      <c r="I2169" s="15" t="str">
        <f aca="false">IF($F2169="","",$F2169-IF($H2169="",0,$H2169))</f>
        <v/>
      </c>
      <c r="J2169" s="16" t="str">
        <f aca="true">IF(OR($A2169="",$I2169="",$I2169&lt;=0),"",TODAY()-$A2169)</f>
        <v/>
      </c>
      <c r="K2169" s="10"/>
    </row>
    <row r="2170" customFormat="false" ht="15" hidden="false" customHeight="true" outlineLevel="0" collapsed="false">
      <c r="A2170" s="13"/>
      <c r="B2170" s="10"/>
      <c r="C2170" s="10"/>
      <c r="D2170" s="14"/>
      <c r="E2170" s="11"/>
      <c r="F2170" s="15" t="str">
        <f aca="false">IF($B2170="","",IF(AND($D2170="",$E2170=""),"",IF(OR($D2170="",$E2170=""),0,ROUND($D2170*$E2170,0))))</f>
        <v/>
      </c>
      <c r="G2170" s="13"/>
      <c r="H2170" s="11"/>
      <c r="I2170" s="15" t="str">
        <f aca="false">IF($F2170="","",$F2170-IF($H2170="",0,$H2170))</f>
        <v/>
      </c>
      <c r="J2170" s="16" t="str">
        <f aca="true">IF(OR($A2170="",$I2170="",$I2170&lt;=0),"",TODAY()-$A2170)</f>
        <v/>
      </c>
      <c r="K2170" s="10"/>
    </row>
    <row r="2171" customFormat="false" ht="15" hidden="false" customHeight="true" outlineLevel="0" collapsed="false">
      <c r="A2171" s="13"/>
      <c r="B2171" s="10"/>
      <c r="C2171" s="10"/>
      <c r="D2171" s="14"/>
      <c r="E2171" s="11"/>
      <c r="F2171" s="15" t="str">
        <f aca="false">IF($B2171="","",IF(AND($D2171="",$E2171=""),"",IF(OR($D2171="",$E2171=""),0,ROUND($D2171*$E2171,0))))</f>
        <v/>
      </c>
      <c r="G2171" s="13"/>
      <c r="H2171" s="11"/>
      <c r="I2171" s="15" t="str">
        <f aca="false">IF($F2171="","",$F2171-IF($H2171="",0,$H2171))</f>
        <v/>
      </c>
      <c r="J2171" s="16" t="str">
        <f aca="true">IF(OR($A2171="",$I2171="",$I2171&lt;=0),"",TODAY()-$A2171)</f>
        <v/>
      </c>
      <c r="K2171" s="10"/>
    </row>
    <row r="2172" customFormat="false" ht="15" hidden="false" customHeight="true" outlineLevel="0" collapsed="false">
      <c r="A2172" s="13"/>
      <c r="B2172" s="10"/>
      <c r="C2172" s="10"/>
      <c r="D2172" s="14"/>
      <c r="E2172" s="11"/>
      <c r="F2172" s="15" t="str">
        <f aca="false">IF($B2172="","",IF(AND($D2172="",$E2172=""),"",IF(OR($D2172="",$E2172=""),0,ROUND($D2172*$E2172,0))))</f>
        <v/>
      </c>
      <c r="G2172" s="13"/>
      <c r="H2172" s="11"/>
      <c r="I2172" s="15" t="str">
        <f aca="false">IF($F2172="","",$F2172-IF($H2172="",0,$H2172))</f>
        <v/>
      </c>
      <c r="J2172" s="16" t="str">
        <f aca="true">IF(OR($A2172="",$I2172="",$I2172&lt;=0),"",TODAY()-$A2172)</f>
        <v/>
      </c>
      <c r="K2172" s="10"/>
    </row>
    <row r="2173" customFormat="false" ht="15" hidden="false" customHeight="true" outlineLevel="0" collapsed="false">
      <c r="A2173" s="13"/>
      <c r="B2173" s="10"/>
      <c r="C2173" s="10"/>
      <c r="D2173" s="14"/>
      <c r="E2173" s="11"/>
      <c r="F2173" s="15" t="str">
        <f aca="false">IF($B2173="","",IF(AND($D2173="",$E2173=""),"",IF(OR($D2173="",$E2173=""),0,ROUND($D2173*$E2173,0))))</f>
        <v/>
      </c>
      <c r="G2173" s="13"/>
      <c r="H2173" s="11"/>
      <c r="I2173" s="15" t="str">
        <f aca="false">IF($F2173="","",$F2173-IF($H2173="",0,$H2173))</f>
        <v/>
      </c>
      <c r="J2173" s="16" t="str">
        <f aca="true">IF(OR($A2173="",$I2173="",$I2173&lt;=0),"",TODAY()-$A2173)</f>
        <v/>
      </c>
      <c r="K2173" s="10"/>
    </row>
    <row r="2174" customFormat="false" ht="15" hidden="false" customHeight="true" outlineLevel="0" collapsed="false">
      <c r="A2174" s="13"/>
      <c r="B2174" s="10"/>
      <c r="C2174" s="10"/>
      <c r="D2174" s="14"/>
      <c r="E2174" s="11"/>
      <c r="F2174" s="15" t="str">
        <f aca="false">IF($B2174="","",IF(AND($D2174="",$E2174=""),"",IF(OR($D2174="",$E2174=""),0,ROUND($D2174*$E2174,0))))</f>
        <v/>
      </c>
      <c r="G2174" s="13"/>
      <c r="H2174" s="11"/>
      <c r="I2174" s="15" t="str">
        <f aca="false">IF($F2174="","",$F2174-IF($H2174="",0,$H2174))</f>
        <v/>
      </c>
      <c r="J2174" s="16" t="str">
        <f aca="true">IF(OR($A2174="",$I2174="",$I2174&lt;=0),"",TODAY()-$A2174)</f>
        <v/>
      </c>
      <c r="K2174" s="10"/>
    </row>
    <row r="2175" customFormat="false" ht="15" hidden="false" customHeight="true" outlineLevel="0" collapsed="false">
      <c r="A2175" s="13"/>
      <c r="B2175" s="10"/>
      <c r="C2175" s="10"/>
      <c r="D2175" s="14"/>
      <c r="E2175" s="11"/>
      <c r="F2175" s="15" t="str">
        <f aca="false">IF($B2175="","",IF(AND($D2175="",$E2175=""),"",IF(OR($D2175="",$E2175=""),0,ROUND($D2175*$E2175,0))))</f>
        <v/>
      </c>
      <c r="G2175" s="13"/>
      <c r="H2175" s="11"/>
      <c r="I2175" s="15" t="str">
        <f aca="false">IF($F2175="","",$F2175-IF($H2175="",0,$H2175))</f>
        <v/>
      </c>
      <c r="J2175" s="16" t="str">
        <f aca="true">IF(OR($A2175="",$I2175="",$I2175&lt;=0),"",TODAY()-$A2175)</f>
        <v/>
      </c>
      <c r="K2175" s="10"/>
    </row>
    <row r="2176" customFormat="false" ht="15" hidden="false" customHeight="true" outlineLevel="0" collapsed="false">
      <c r="A2176" s="13"/>
      <c r="B2176" s="10"/>
      <c r="C2176" s="10"/>
      <c r="D2176" s="14"/>
      <c r="E2176" s="11"/>
      <c r="F2176" s="15" t="str">
        <f aca="false">IF($B2176="","",IF(AND($D2176="",$E2176=""),"",IF(OR($D2176="",$E2176=""),0,ROUND($D2176*$E2176,0))))</f>
        <v/>
      </c>
      <c r="G2176" s="13"/>
      <c r="H2176" s="11"/>
      <c r="I2176" s="15" t="str">
        <f aca="false">IF($F2176="","",$F2176-IF($H2176="",0,$H2176))</f>
        <v/>
      </c>
      <c r="J2176" s="16" t="str">
        <f aca="true">IF(OR($A2176="",$I2176="",$I2176&lt;=0),"",TODAY()-$A2176)</f>
        <v/>
      </c>
      <c r="K2176" s="10"/>
    </row>
    <row r="2177" customFormat="false" ht="15" hidden="false" customHeight="true" outlineLevel="0" collapsed="false">
      <c r="A2177" s="13"/>
      <c r="B2177" s="10"/>
      <c r="C2177" s="10"/>
      <c r="D2177" s="14"/>
      <c r="E2177" s="11"/>
      <c r="F2177" s="15" t="str">
        <f aca="false">IF($B2177="","",IF(AND($D2177="",$E2177=""),"",IF(OR($D2177="",$E2177=""),0,ROUND($D2177*$E2177,0))))</f>
        <v/>
      </c>
      <c r="G2177" s="13"/>
      <c r="H2177" s="11"/>
      <c r="I2177" s="15" t="str">
        <f aca="false">IF($F2177="","",$F2177-IF($H2177="",0,$H2177))</f>
        <v/>
      </c>
      <c r="J2177" s="16" t="str">
        <f aca="true">IF(OR($A2177="",$I2177="",$I2177&lt;=0),"",TODAY()-$A2177)</f>
        <v/>
      </c>
      <c r="K2177" s="10"/>
    </row>
    <row r="2178" customFormat="false" ht="15" hidden="false" customHeight="true" outlineLevel="0" collapsed="false">
      <c r="A2178" s="13"/>
      <c r="B2178" s="10"/>
      <c r="C2178" s="10"/>
      <c r="D2178" s="14"/>
      <c r="E2178" s="11"/>
      <c r="F2178" s="15" t="str">
        <f aca="false">IF($B2178="","",IF(AND($D2178="",$E2178=""),"",IF(OR($D2178="",$E2178=""),0,ROUND($D2178*$E2178,0))))</f>
        <v/>
      </c>
      <c r="G2178" s="13"/>
      <c r="H2178" s="11"/>
      <c r="I2178" s="15" t="str">
        <f aca="false">IF($F2178="","",$F2178-IF($H2178="",0,$H2178))</f>
        <v/>
      </c>
      <c r="J2178" s="16" t="str">
        <f aca="true">IF(OR($A2178="",$I2178="",$I2178&lt;=0),"",TODAY()-$A2178)</f>
        <v/>
      </c>
      <c r="K2178" s="10"/>
    </row>
    <row r="2179" customFormat="false" ht="15" hidden="false" customHeight="true" outlineLevel="0" collapsed="false">
      <c r="A2179" s="13"/>
      <c r="B2179" s="10"/>
      <c r="C2179" s="10"/>
      <c r="D2179" s="14"/>
      <c r="E2179" s="11"/>
      <c r="F2179" s="15" t="str">
        <f aca="false">IF($B2179="","",IF(AND($D2179="",$E2179=""),"",IF(OR($D2179="",$E2179=""),0,ROUND($D2179*$E2179,0))))</f>
        <v/>
      </c>
      <c r="G2179" s="13"/>
      <c r="H2179" s="11"/>
      <c r="I2179" s="15" t="str">
        <f aca="false">IF($F2179="","",$F2179-IF($H2179="",0,$H2179))</f>
        <v/>
      </c>
      <c r="J2179" s="16" t="str">
        <f aca="true">IF(OR($A2179="",$I2179="",$I2179&lt;=0),"",TODAY()-$A2179)</f>
        <v/>
      </c>
      <c r="K2179" s="10"/>
    </row>
    <row r="2180" customFormat="false" ht="15" hidden="false" customHeight="true" outlineLevel="0" collapsed="false">
      <c r="A2180" s="13"/>
      <c r="B2180" s="10"/>
      <c r="C2180" s="10"/>
      <c r="D2180" s="14"/>
      <c r="E2180" s="11"/>
      <c r="F2180" s="15" t="str">
        <f aca="false">IF($B2180="","",IF(AND($D2180="",$E2180=""),"",IF(OR($D2180="",$E2180=""),0,ROUND($D2180*$E2180,0))))</f>
        <v/>
      </c>
      <c r="G2180" s="13"/>
      <c r="H2180" s="11"/>
      <c r="I2180" s="15" t="str">
        <f aca="false">IF($F2180="","",$F2180-IF($H2180="",0,$H2180))</f>
        <v/>
      </c>
      <c r="J2180" s="16" t="str">
        <f aca="true">IF(OR($A2180="",$I2180="",$I2180&lt;=0),"",TODAY()-$A2180)</f>
        <v/>
      </c>
      <c r="K2180" s="10"/>
    </row>
    <row r="2181" customFormat="false" ht="15" hidden="false" customHeight="true" outlineLevel="0" collapsed="false">
      <c r="A2181" s="13"/>
      <c r="B2181" s="10"/>
      <c r="C2181" s="10"/>
      <c r="D2181" s="14"/>
      <c r="E2181" s="11"/>
      <c r="F2181" s="15" t="str">
        <f aca="false">IF($B2181="","",IF(AND($D2181="",$E2181=""),"",IF(OR($D2181="",$E2181=""),0,ROUND($D2181*$E2181,0))))</f>
        <v/>
      </c>
      <c r="G2181" s="13"/>
      <c r="H2181" s="11"/>
      <c r="I2181" s="15" t="str">
        <f aca="false">IF($F2181="","",$F2181-IF($H2181="",0,$H2181))</f>
        <v/>
      </c>
      <c r="J2181" s="16" t="str">
        <f aca="true">IF(OR($A2181="",$I2181="",$I2181&lt;=0),"",TODAY()-$A2181)</f>
        <v/>
      </c>
      <c r="K2181" s="10"/>
    </row>
    <row r="2182" customFormat="false" ht="15" hidden="false" customHeight="true" outlineLevel="0" collapsed="false">
      <c r="A2182" s="13"/>
      <c r="B2182" s="10"/>
      <c r="C2182" s="10"/>
      <c r="D2182" s="14"/>
      <c r="E2182" s="11"/>
      <c r="F2182" s="15" t="str">
        <f aca="false">IF($B2182="","",IF(AND($D2182="",$E2182=""),"",IF(OR($D2182="",$E2182=""),0,ROUND($D2182*$E2182,0))))</f>
        <v/>
      </c>
      <c r="G2182" s="13"/>
      <c r="H2182" s="11"/>
      <c r="I2182" s="15" t="str">
        <f aca="false">IF($F2182="","",$F2182-IF($H2182="",0,$H2182))</f>
        <v/>
      </c>
      <c r="J2182" s="16" t="str">
        <f aca="true">IF(OR($A2182="",$I2182="",$I2182&lt;=0),"",TODAY()-$A2182)</f>
        <v/>
      </c>
      <c r="K2182" s="10"/>
    </row>
    <row r="2183" customFormat="false" ht="15" hidden="false" customHeight="true" outlineLevel="0" collapsed="false">
      <c r="A2183" s="13"/>
      <c r="B2183" s="10"/>
      <c r="C2183" s="10"/>
      <c r="D2183" s="14"/>
      <c r="E2183" s="11"/>
      <c r="F2183" s="15" t="str">
        <f aca="false">IF($B2183="","",IF(AND($D2183="",$E2183=""),"",IF(OR($D2183="",$E2183=""),0,ROUND($D2183*$E2183,0))))</f>
        <v/>
      </c>
      <c r="G2183" s="13"/>
      <c r="H2183" s="11"/>
      <c r="I2183" s="15" t="str">
        <f aca="false">IF($F2183="","",$F2183-IF($H2183="",0,$H2183))</f>
        <v/>
      </c>
      <c r="J2183" s="16" t="str">
        <f aca="true">IF(OR($A2183="",$I2183="",$I2183&lt;=0),"",TODAY()-$A2183)</f>
        <v/>
      </c>
      <c r="K2183" s="10"/>
    </row>
    <row r="2184" customFormat="false" ht="15" hidden="false" customHeight="true" outlineLevel="0" collapsed="false">
      <c r="A2184" s="13"/>
      <c r="B2184" s="10"/>
      <c r="C2184" s="10"/>
      <c r="D2184" s="14"/>
      <c r="E2184" s="11"/>
      <c r="F2184" s="15" t="str">
        <f aca="false">IF($B2184="","",IF(AND($D2184="",$E2184=""),"",IF(OR($D2184="",$E2184=""),0,ROUND($D2184*$E2184,0))))</f>
        <v/>
      </c>
      <c r="G2184" s="13"/>
      <c r="H2184" s="11"/>
      <c r="I2184" s="15" t="str">
        <f aca="false">IF($F2184="","",$F2184-IF($H2184="",0,$H2184))</f>
        <v/>
      </c>
      <c r="J2184" s="16" t="str">
        <f aca="true">IF(OR($A2184="",$I2184="",$I2184&lt;=0),"",TODAY()-$A2184)</f>
        <v/>
      </c>
      <c r="K2184" s="10"/>
    </row>
    <row r="2185" customFormat="false" ht="15" hidden="false" customHeight="true" outlineLevel="0" collapsed="false">
      <c r="A2185" s="13"/>
      <c r="B2185" s="10"/>
      <c r="C2185" s="10"/>
      <c r="D2185" s="14"/>
      <c r="E2185" s="11"/>
      <c r="F2185" s="15" t="str">
        <f aca="false">IF($B2185="","",IF(AND($D2185="",$E2185=""),"",IF(OR($D2185="",$E2185=""),0,ROUND($D2185*$E2185,0))))</f>
        <v/>
      </c>
      <c r="G2185" s="13"/>
      <c r="H2185" s="11"/>
      <c r="I2185" s="15" t="str">
        <f aca="false">IF($F2185="","",$F2185-IF($H2185="",0,$H2185))</f>
        <v/>
      </c>
      <c r="J2185" s="16" t="str">
        <f aca="true">IF(OR($A2185="",$I2185="",$I2185&lt;=0),"",TODAY()-$A2185)</f>
        <v/>
      </c>
      <c r="K2185" s="10"/>
    </row>
    <row r="2186" customFormat="false" ht="15" hidden="false" customHeight="true" outlineLevel="0" collapsed="false">
      <c r="A2186" s="13"/>
      <c r="B2186" s="10"/>
      <c r="C2186" s="10"/>
      <c r="D2186" s="14"/>
      <c r="E2186" s="11"/>
      <c r="F2186" s="15" t="str">
        <f aca="false">IF($B2186="","",IF(AND($D2186="",$E2186=""),"",IF(OR($D2186="",$E2186=""),0,ROUND($D2186*$E2186,0))))</f>
        <v/>
      </c>
      <c r="G2186" s="13"/>
      <c r="H2186" s="11"/>
      <c r="I2186" s="15" t="str">
        <f aca="false">IF($F2186="","",$F2186-IF($H2186="",0,$H2186))</f>
        <v/>
      </c>
      <c r="J2186" s="16" t="str">
        <f aca="true">IF(OR($A2186="",$I2186="",$I2186&lt;=0),"",TODAY()-$A2186)</f>
        <v/>
      </c>
      <c r="K2186" s="10"/>
    </row>
    <row r="2187" customFormat="false" ht="15" hidden="false" customHeight="true" outlineLevel="0" collapsed="false">
      <c r="A2187" s="13"/>
      <c r="B2187" s="10"/>
      <c r="C2187" s="10"/>
      <c r="D2187" s="14"/>
      <c r="E2187" s="11"/>
      <c r="F2187" s="15" t="str">
        <f aca="false">IF($B2187="","",IF(AND($D2187="",$E2187=""),"",IF(OR($D2187="",$E2187=""),0,ROUND($D2187*$E2187,0))))</f>
        <v/>
      </c>
      <c r="G2187" s="13"/>
      <c r="H2187" s="11"/>
      <c r="I2187" s="15" t="str">
        <f aca="false">IF($F2187="","",$F2187-IF($H2187="",0,$H2187))</f>
        <v/>
      </c>
      <c r="J2187" s="16" t="str">
        <f aca="true">IF(OR($A2187="",$I2187="",$I2187&lt;=0),"",TODAY()-$A2187)</f>
        <v/>
      </c>
      <c r="K2187" s="10"/>
    </row>
    <row r="2188" customFormat="false" ht="15" hidden="false" customHeight="true" outlineLevel="0" collapsed="false">
      <c r="A2188" s="13"/>
      <c r="B2188" s="10"/>
      <c r="C2188" s="10"/>
      <c r="D2188" s="14"/>
      <c r="E2188" s="11"/>
      <c r="F2188" s="15" t="str">
        <f aca="false">IF($B2188="","",IF(AND($D2188="",$E2188=""),"",IF(OR($D2188="",$E2188=""),0,ROUND($D2188*$E2188,0))))</f>
        <v/>
      </c>
      <c r="G2188" s="13"/>
      <c r="H2188" s="11"/>
      <c r="I2188" s="15" t="str">
        <f aca="false">IF($F2188="","",$F2188-IF($H2188="",0,$H2188))</f>
        <v/>
      </c>
      <c r="J2188" s="16" t="str">
        <f aca="true">IF(OR($A2188="",$I2188="",$I2188&lt;=0),"",TODAY()-$A2188)</f>
        <v/>
      </c>
      <c r="K2188" s="10"/>
    </row>
    <row r="2189" customFormat="false" ht="15" hidden="false" customHeight="true" outlineLevel="0" collapsed="false">
      <c r="A2189" s="13"/>
      <c r="B2189" s="10"/>
      <c r="C2189" s="10"/>
      <c r="D2189" s="14"/>
      <c r="E2189" s="11"/>
      <c r="F2189" s="15" t="str">
        <f aca="false">IF($B2189="","",IF(AND($D2189="",$E2189=""),"",IF(OR($D2189="",$E2189=""),0,ROUND($D2189*$E2189,0))))</f>
        <v/>
      </c>
      <c r="G2189" s="13"/>
      <c r="H2189" s="11"/>
      <c r="I2189" s="15" t="str">
        <f aca="false">IF($F2189="","",$F2189-IF($H2189="",0,$H2189))</f>
        <v/>
      </c>
      <c r="J2189" s="16" t="str">
        <f aca="true">IF(OR($A2189="",$I2189="",$I2189&lt;=0),"",TODAY()-$A2189)</f>
        <v/>
      </c>
      <c r="K2189" s="10"/>
    </row>
    <row r="2190" customFormat="false" ht="15" hidden="false" customHeight="true" outlineLevel="0" collapsed="false">
      <c r="A2190" s="13"/>
      <c r="B2190" s="10"/>
      <c r="C2190" s="10"/>
      <c r="D2190" s="14"/>
      <c r="E2190" s="11"/>
      <c r="F2190" s="15" t="str">
        <f aca="false">IF($B2190="","",IF(AND($D2190="",$E2190=""),"",IF(OR($D2190="",$E2190=""),0,ROUND($D2190*$E2190,0))))</f>
        <v/>
      </c>
      <c r="G2190" s="13"/>
      <c r="H2190" s="11"/>
      <c r="I2190" s="15" t="str">
        <f aca="false">IF($F2190="","",$F2190-IF($H2190="",0,$H2190))</f>
        <v/>
      </c>
      <c r="J2190" s="16" t="str">
        <f aca="true">IF(OR($A2190="",$I2190="",$I2190&lt;=0),"",TODAY()-$A2190)</f>
        <v/>
      </c>
      <c r="K2190" s="10"/>
    </row>
    <row r="2191" customFormat="false" ht="15" hidden="false" customHeight="true" outlineLevel="0" collapsed="false">
      <c r="A2191" s="13"/>
      <c r="B2191" s="10"/>
      <c r="C2191" s="10"/>
      <c r="D2191" s="14"/>
      <c r="E2191" s="11"/>
      <c r="F2191" s="15" t="str">
        <f aca="false">IF($B2191="","",IF(AND($D2191="",$E2191=""),"",IF(OR($D2191="",$E2191=""),0,ROUND($D2191*$E2191,0))))</f>
        <v/>
      </c>
      <c r="G2191" s="13"/>
      <c r="H2191" s="11"/>
      <c r="I2191" s="15" t="str">
        <f aca="false">IF($F2191="","",$F2191-IF($H2191="",0,$H2191))</f>
        <v/>
      </c>
      <c r="J2191" s="16" t="str">
        <f aca="true">IF(OR($A2191="",$I2191="",$I2191&lt;=0),"",TODAY()-$A2191)</f>
        <v/>
      </c>
      <c r="K2191" s="10"/>
    </row>
    <row r="2192" customFormat="false" ht="15" hidden="false" customHeight="true" outlineLevel="0" collapsed="false">
      <c r="A2192" s="13"/>
      <c r="B2192" s="10"/>
      <c r="C2192" s="10"/>
      <c r="D2192" s="14"/>
      <c r="E2192" s="11"/>
      <c r="F2192" s="15" t="str">
        <f aca="false">IF($B2192="","",IF(AND($D2192="",$E2192=""),"",IF(OR($D2192="",$E2192=""),0,ROUND($D2192*$E2192,0))))</f>
        <v/>
      </c>
      <c r="G2192" s="13"/>
      <c r="H2192" s="11"/>
      <c r="I2192" s="15" t="str">
        <f aca="false">IF($F2192="","",$F2192-IF($H2192="",0,$H2192))</f>
        <v/>
      </c>
      <c r="J2192" s="16" t="str">
        <f aca="true">IF(OR($A2192="",$I2192="",$I2192&lt;=0),"",TODAY()-$A2192)</f>
        <v/>
      </c>
      <c r="K2192" s="10"/>
    </row>
    <row r="2193" customFormat="false" ht="15" hidden="false" customHeight="true" outlineLevel="0" collapsed="false">
      <c r="A2193" s="13"/>
      <c r="B2193" s="10"/>
      <c r="C2193" s="10"/>
      <c r="D2193" s="14"/>
      <c r="E2193" s="11"/>
      <c r="F2193" s="15" t="str">
        <f aca="false">IF($B2193="","",IF(AND($D2193="",$E2193=""),"",IF(OR($D2193="",$E2193=""),0,ROUND($D2193*$E2193,0))))</f>
        <v/>
      </c>
      <c r="G2193" s="13"/>
      <c r="H2193" s="11"/>
      <c r="I2193" s="15" t="str">
        <f aca="false">IF($F2193="","",$F2193-IF($H2193="",0,$H2193))</f>
        <v/>
      </c>
      <c r="J2193" s="16" t="str">
        <f aca="true">IF(OR($A2193="",$I2193="",$I2193&lt;=0),"",TODAY()-$A2193)</f>
        <v/>
      </c>
      <c r="K2193" s="10"/>
    </row>
    <row r="2194" customFormat="false" ht="15" hidden="false" customHeight="true" outlineLevel="0" collapsed="false">
      <c r="A2194" s="13"/>
      <c r="B2194" s="10"/>
      <c r="C2194" s="10"/>
      <c r="D2194" s="14"/>
      <c r="E2194" s="11"/>
      <c r="F2194" s="15" t="str">
        <f aca="false">IF($B2194="","",IF(AND($D2194="",$E2194=""),"",IF(OR($D2194="",$E2194=""),0,ROUND($D2194*$E2194,0))))</f>
        <v/>
      </c>
      <c r="G2194" s="13"/>
      <c r="H2194" s="11"/>
      <c r="I2194" s="15" t="str">
        <f aca="false">IF($F2194="","",$F2194-IF($H2194="",0,$H2194))</f>
        <v/>
      </c>
      <c r="J2194" s="16" t="str">
        <f aca="true">IF(OR($A2194="",$I2194="",$I2194&lt;=0),"",TODAY()-$A2194)</f>
        <v/>
      </c>
      <c r="K2194" s="10"/>
    </row>
    <row r="2195" customFormat="false" ht="15" hidden="false" customHeight="true" outlineLevel="0" collapsed="false">
      <c r="A2195" s="13"/>
      <c r="B2195" s="10"/>
      <c r="C2195" s="10"/>
      <c r="D2195" s="14"/>
      <c r="E2195" s="11"/>
      <c r="F2195" s="15" t="str">
        <f aca="false">IF($B2195="","",IF(AND($D2195="",$E2195=""),"",IF(OR($D2195="",$E2195=""),0,ROUND($D2195*$E2195,0))))</f>
        <v/>
      </c>
      <c r="G2195" s="13"/>
      <c r="H2195" s="11"/>
      <c r="I2195" s="15" t="str">
        <f aca="false">IF($F2195="","",$F2195-IF($H2195="",0,$H2195))</f>
        <v/>
      </c>
      <c r="J2195" s="16" t="str">
        <f aca="true">IF(OR($A2195="",$I2195="",$I2195&lt;=0),"",TODAY()-$A2195)</f>
        <v/>
      </c>
      <c r="K2195" s="10"/>
    </row>
    <row r="2196" customFormat="false" ht="15" hidden="false" customHeight="true" outlineLevel="0" collapsed="false">
      <c r="A2196" s="13"/>
      <c r="B2196" s="10"/>
      <c r="C2196" s="10"/>
      <c r="D2196" s="14"/>
      <c r="E2196" s="11"/>
      <c r="F2196" s="15" t="str">
        <f aca="false">IF($B2196="","",IF(AND($D2196="",$E2196=""),"",IF(OR($D2196="",$E2196=""),0,ROUND($D2196*$E2196,0))))</f>
        <v/>
      </c>
      <c r="G2196" s="13"/>
      <c r="H2196" s="11"/>
      <c r="I2196" s="15" t="str">
        <f aca="false">IF($F2196="","",$F2196-IF($H2196="",0,$H2196))</f>
        <v/>
      </c>
      <c r="J2196" s="16" t="str">
        <f aca="true">IF(OR($A2196="",$I2196="",$I2196&lt;=0),"",TODAY()-$A2196)</f>
        <v/>
      </c>
      <c r="K2196" s="10"/>
    </row>
    <row r="2197" customFormat="false" ht="15" hidden="false" customHeight="true" outlineLevel="0" collapsed="false">
      <c r="A2197" s="13"/>
      <c r="B2197" s="10"/>
      <c r="C2197" s="10"/>
      <c r="D2197" s="14"/>
      <c r="E2197" s="11"/>
      <c r="F2197" s="15" t="str">
        <f aca="false">IF($B2197="","",IF(AND($D2197="",$E2197=""),"",IF(OR($D2197="",$E2197=""),0,ROUND($D2197*$E2197,0))))</f>
        <v/>
      </c>
      <c r="G2197" s="13"/>
      <c r="H2197" s="11"/>
      <c r="I2197" s="15" t="str">
        <f aca="false">IF($F2197="","",$F2197-IF($H2197="",0,$H2197))</f>
        <v/>
      </c>
      <c r="J2197" s="16" t="str">
        <f aca="true">IF(OR($A2197="",$I2197="",$I2197&lt;=0),"",TODAY()-$A2197)</f>
        <v/>
      </c>
      <c r="K2197" s="10"/>
    </row>
    <row r="2198" customFormat="false" ht="15" hidden="false" customHeight="true" outlineLevel="0" collapsed="false">
      <c r="A2198" s="13"/>
      <c r="B2198" s="10"/>
      <c r="C2198" s="10"/>
      <c r="D2198" s="14"/>
      <c r="E2198" s="11"/>
      <c r="F2198" s="15" t="str">
        <f aca="false">IF($B2198="","",IF(AND($D2198="",$E2198=""),"",IF(OR($D2198="",$E2198=""),0,ROUND($D2198*$E2198,0))))</f>
        <v/>
      </c>
      <c r="G2198" s="13"/>
      <c r="H2198" s="11"/>
      <c r="I2198" s="15" t="str">
        <f aca="false">IF($F2198="","",$F2198-IF($H2198="",0,$H2198))</f>
        <v/>
      </c>
      <c r="J2198" s="16" t="str">
        <f aca="true">IF(OR($A2198="",$I2198="",$I2198&lt;=0),"",TODAY()-$A2198)</f>
        <v/>
      </c>
      <c r="K2198" s="10"/>
    </row>
    <row r="2199" customFormat="false" ht="15" hidden="false" customHeight="true" outlineLevel="0" collapsed="false">
      <c r="A2199" s="13"/>
      <c r="B2199" s="10"/>
      <c r="C2199" s="10"/>
      <c r="D2199" s="14"/>
      <c r="E2199" s="11"/>
      <c r="F2199" s="15" t="str">
        <f aca="false">IF($B2199="","",IF(AND($D2199="",$E2199=""),"",IF(OR($D2199="",$E2199=""),0,ROUND($D2199*$E2199,0))))</f>
        <v/>
      </c>
      <c r="G2199" s="13"/>
      <c r="H2199" s="11"/>
      <c r="I2199" s="15" t="str">
        <f aca="false">IF($F2199="","",$F2199-IF($H2199="",0,$H2199))</f>
        <v/>
      </c>
      <c r="J2199" s="16" t="str">
        <f aca="true">IF(OR($A2199="",$I2199="",$I2199&lt;=0),"",TODAY()-$A2199)</f>
        <v/>
      </c>
      <c r="K2199" s="10"/>
    </row>
    <row r="2200" customFormat="false" ht="15" hidden="false" customHeight="true" outlineLevel="0" collapsed="false">
      <c r="A2200" s="13"/>
      <c r="B2200" s="10"/>
      <c r="C2200" s="10"/>
      <c r="D2200" s="14"/>
      <c r="E2200" s="11"/>
      <c r="F2200" s="15" t="str">
        <f aca="false">IF($B2200="","",IF(AND($D2200="",$E2200=""),"",IF(OR($D2200="",$E2200=""),0,ROUND($D2200*$E2200,0))))</f>
        <v/>
      </c>
      <c r="G2200" s="13"/>
      <c r="H2200" s="11"/>
      <c r="I2200" s="15" t="str">
        <f aca="false">IF($F2200="","",$F2200-IF($H2200="",0,$H2200))</f>
        <v/>
      </c>
      <c r="J2200" s="16" t="str">
        <f aca="true">IF(OR($A2200="",$I2200="",$I2200&lt;=0),"",TODAY()-$A2200)</f>
        <v/>
      </c>
      <c r="K2200" s="10"/>
    </row>
    <row r="2201" customFormat="false" ht="15" hidden="false" customHeight="true" outlineLevel="0" collapsed="false">
      <c r="A2201" s="13"/>
      <c r="B2201" s="10"/>
      <c r="C2201" s="10"/>
      <c r="D2201" s="14"/>
      <c r="E2201" s="11"/>
      <c r="F2201" s="15" t="str">
        <f aca="false">IF($B2201="","",IF(AND($D2201="",$E2201=""),"",IF(OR($D2201="",$E2201=""),0,ROUND($D2201*$E2201,0))))</f>
        <v/>
      </c>
      <c r="G2201" s="13"/>
      <c r="H2201" s="11"/>
      <c r="I2201" s="15" t="str">
        <f aca="false">IF($F2201="","",$F2201-IF($H2201="",0,$H2201))</f>
        <v/>
      </c>
      <c r="J2201" s="16" t="str">
        <f aca="true">IF(OR($A2201="",$I2201="",$I2201&lt;=0),"",TODAY()-$A2201)</f>
        <v/>
      </c>
      <c r="K2201" s="10"/>
    </row>
    <row r="2202" customFormat="false" ht="15" hidden="false" customHeight="true" outlineLevel="0" collapsed="false">
      <c r="A2202" s="13"/>
      <c r="B2202" s="10"/>
      <c r="C2202" s="10"/>
      <c r="D2202" s="14"/>
      <c r="E2202" s="11"/>
      <c r="F2202" s="15" t="str">
        <f aca="false">IF($B2202="","",IF(AND($D2202="",$E2202=""),"",IF(OR($D2202="",$E2202=""),0,ROUND($D2202*$E2202,0))))</f>
        <v/>
      </c>
      <c r="G2202" s="13"/>
      <c r="H2202" s="11"/>
      <c r="I2202" s="15" t="str">
        <f aca="false">IF($F2202="","",$F2202-IF($H2202="",0,$H2202))</f>
        <v/>
      </c>
      <c r="J2202" s="16" t="str">
        <f aca="true">IF(OR($A2202="",$I2202="",$I2202&lt;=0),"",TODAY()-$A2202)</f>
        <v/>
      </c>
      <c r="K2202" s="10"/>
    </row>
    <row r="2203" customFormat="false" ht="15" hidden="false" customHeight="true" outlineLevel="0" collapsed="false">
      <c r="A2203" s="13"/>
      <c r="B2203" s="10"/>
      <c r="C2203" s="10"/>
      <c r="D2203" s="14"/>
      <c r="E2203" s="11"/>
      <c r="F2203" s="15" t="str">
        <f aca="false">IF($B2203="","",IF(AND($D2203="",$E2203=""),"",IF(OR($D2203="",$E2203=""),0,ROUND($D2203*$E2203,0))))</f>
        <v/>
      </c>
      <c r="G2203" s="13"/>
      <c r="H2203" s="11"/>
      <c r="I2203" s="15" t="str">
        <f aca="false">IF($F2203="","",$F2203-IF($H2203="",0,$H2203))</f>
        <v/>
      </c>
      <c r="J2203" s="16" t="str">
        <f aca="true">IF(OR($A2203="",$I2203="",$I2203&lt;=0),"",TODAY()-$A2203)</f>
        <v/>
      </c>
      <c r="K2203" s="10"/>
    </row>
    <row r="2204" customFormat="false" ht="15" hidden="false" customHeight="true" outlineLevel="0" collapsed="false">
      <c r="A2204" s="13"/>
      <c r="B2204" s="10"/>
      <c r="C2204" s="10"/>
      <c r="D2204" s="14"/>
      <c r="E2204" s="11"/>
      <c r="F2204" s="15" t="str">
        <f aca="false">IF($B2204="","",IF(AND($D2204="",$E2204=""),"",IF(OR($D2204="",$E2204=""),0,ROUND($D2204*$E2204,0))))</f>
        <v/>
      </c>
      <c r="G2204" s="13"/>
      <c r="H2204" s="11"/>
      <c r="I2204" s="15" t="str">
        <f aca="false">IF($F2204="","",$F2204-IF($H2204="",0,$H2204))</f>
        <v/>
      </c>
      <c r="J2204" s="16" t="str">
        <f aca="true">IF(OR($A2204="",$I2204="",$I2204&lt;=0),"",TODAY()-$A2204)</f>
        <v/>
      </c>
      <c r="K2204" s="10"/>
    </row>
    <row r="2205" customFormat="false" ht="15" hidden="false" customHeight="true" outlineLevel="0" collapsed="false">
      <c r="A2205" s="13"/>
      <c r="B2205" s="10"/>
      <c r="C2205" s="10"/>
      <c r="D2205" s="14"/>
      <c r="E2205" s="11"/>
      <c r="F2205" s="15" t="str">
        <f aca="false">IF($B2205="","",IF(AND($D2205="",$E2205=""),"",IF(OR($D2205="",$E2205=""),0,ROUND($D2205*$E2205,0))))</f>
        <v/>
      </c>
      <c r="G2205" s="13"/>
      <c r="H2205" s="11"/>
      <c r="I2205" s="15" t="str">
        <f aca="false">IF($F2205="","",$F2205-IF($H2205="",0,$H2205))</f>
        <v/>
      </c>
      <c r="J2205" s="16" t="str">
        <f aca="true">IF(OR($A2205="",$I2205="",$I2205&lt;=0),"",TODAY()-$A2205)</f>
        <v/>
      </c>
      <c r="K2205" s="10"/>
    </row>
    <row r="2206" customFormat="false" ht="15" hidden="false" customHeight="true" outlineLevel="0" collapsed="false">
      <c r="A2206" s="13"/>
      <c r="B2206" s="10"/>
      <c r="C2206" s="10"/>
      <c r="D2206" s="14"/>
      <c r="E2206" s="11"/>
      <c r="F2206" s="15" t="str">
        <f aca="false">IF($B2206="","",IF(AND($D2206="",$E2206=""),"",IF(OR($D2206="",$E2206=""),0,ROUND($D2206*$E2206,0))))</f>
        <v/>
      </c>
      <c r="G2206" s="13"/>
      <c r="H2206" s="11"/>
      <c r="I2206" s="15" t="str">
        <f aca="false">IF($F2206="","",$F2206-IF($H2206="",0,$H2206))</f>
        <v/>
      </c>
      <c r="J2206" s="16" t="str">
        <f aca="true">IF(OR($A2206="",$I2206="",$I2206&lt;=0),"",TODAY()-$A2206)</f>
        <v/>
      </c>
      <c r="K2206" s="10"/>
    </row>
    <row r="2207" customFormat="false" ht="15" hidden="false" customHeight="true" outlineLevel="0" collapsed="false">
      <c r="A2207" s="13"/>
      <c r="B2207" s="10"/>
      <c r="C2207" s="10"/>
      <c r="D2207" s="14"/>
      <c r="E2207" s="11"/>
      <c r="F2207" s="15" t="str">
        <f aca="false">IF($B2207="","",IF(AND($D2207="",$E2207=""),"",IF(OR($D2207="",$E2207=""),0,ROUND($D2207*$E2207,0))))</f>
        <v/>
      </c>
      <c r="G2207" s="13"/>
      <c r="H2207" s="11"/>
      <c r="I2207" s="15" t="str">
        <f aca="false">IF($F2207="","",$F2207-IF($H2207="",0,$H2207))</f>
        <v/>
      </c>
      <c r="J2207" s="16" t="str">
        <f aca="true">IF(OR($A2207="",$I2207="",$I2207&lt;=0),"",TODAY()-$A2207)</f>
        <v/>
      </c>
      <c r="K2207" s="10"/>
    </row>
    <row r="2208" customFormat="false" ht="15" hidden="false" customHeight="true" outlineLevel="0" collapsed="false">
      <c r="A2208" s="13"/>
      <c r="B2208" s="10"/>
      <c r="C2208" s="10"/>
      <c r="D2208" s="14"/>
      <c r="E2208" s="11"/>
      <c r="F2208" s="15" t="str">
        <f aca="false">IF($B2208="","",IF(AND($D2208="",$E2208=""),"",IF(OR($D2208="",$E2208=""),0,ROUND($D2208*$E2208,0))))</f>
        <v/>
      </c>
      <c r="G2208" s="13"/>
      <c r="H2208" s="11"/>
      <c r="I2208" s="15" t="str">
        <f aca="false">IF($F2208="","",$F2208-IF($H2208="",0,$H2208))</f>
        <v/>
      </c>
      <c r="J2208" s="16" t="str">
        <f aca="true">IF(OR($A2208="",$I2208="",$I2208&lt;=0),"",TODAY()-$A2208)</f>
        <v/>
      </c>
      <c r="K2208" s="10"/>
    </row>
    <row r="2209" customFormat="false" ht="15" hidden="false" customHeight="true" outlineLevel="0" collapsed="false">
      <c r="A2209" s="13"/>
      <c r="B2209" s="10"/>
      <c r="C2209" s="10"/>
      <c r="D2209" s="14"/>
      <c r="E2209" s="11"/>
      <c r="F2209" s="15" t="str">
        <f aca="false">IF($B2209="","",IF(AND($D2209="",$E2209=""),"",IF(OR($D2209="",$E2209=""),0,ROUND($D2209*$E2209,0))))</f>
        <v/>
      </c>
      <c r="G2209" s="13"/>
      <c r="H2209" s="11"/>
      <c r="I2209" s="15" t="str">
        <f aca="false">IF($F2209="","",$F2209-IF($H2209="",0,$H2209))</f>
        <v/>
      </c>
      <c r="J2209" s="16" t="str">
        <f aca="true">IF(OR($A2209="",$I2209="",$I2209&lt;=0),"",TODAY()-$A2209)</f>
        <v/>
      </c>
      <c r="K2209" s="10"/>
    </row>
    <row r="2210" customFormat="false" ht="15" hidden="false" customHeight="true" outlineLevel="0" collapsed="false">
      <c r="A2210" s="13"/>
      <c r="B2210" s="10"/>
      <c r="C2210" s="10"/>
      <c r="D2210" s="14"/>
      <c r="E2210" s="11"/>
      <c r="F2210" s="15" t="str">
        <f aca="false">IF($B2210="","",IF(AND($D2210="",$E2210=""),"",IF(OR($D2210="",$E2210=""),0,ROUND($D2210*$E2210,0))))</f>
        <v/>
      </c>
      <c r="G2210" s="13"/>
      <c r="H2210" s="11"/>
      <c r="I2210" s="15" t="str">
        <f aca="false">IF($F2210="","",$F2210-IF($H2210="",0,$H2210))</f>
        <v/>
      </c>
      <c r="J2210" s="16" t="str">
        <f aca="true">IF(OR($A2210="",$I2210="",$I2210&lt;=0),"",TODAY()-$A2210)</f>
        <v/>
      </c>
      <c r="K2210" s="10"/>
    </row>
    <row r="2211" customFormat="false" ht="15" hidden="false" customHeight="true" outlineLevel="0" collapsed="false">
      <c r="A2211" s="13"/>
      <c r="B2211" s="10"/>
      <c r="C2211" s="10"/>
      <c r="D2211" s="14"/>
      <c r="E2211" s="11"/>
      <c r="F2211" s="15" t="str">
        <f aca="false">IF($B2211="","",IF(AND($D2211="",$E2211=""),"",IF(OR($D2211="",$E2211=""),0,ROUND($D2211*$E2211,0))))</f>
        <v/>
      </c>
      <c r="G2211" s="13"/>
      <c r="H2211" s="11"/>
      <c r="I2211" s="15" t="str">
        <f aca="false">IF($F2211="","",$F2211-IF($H2211="",0,$H2211))</f>
        <v/>
      </c>
      <c r="J2211" s="16" t="str">
        <f aca="true">IF(OR($A2211="",$I2211="",$I2211&lt;=0),"",TODAY()-$A2211)</f>
        <v/>
      </c>
      <c r="K2211" s="10"/>
    </row>
    <row r="2212" customFormat="false" ht="15" hidden="false" customHeight="true" outlineLevel="0" collapsed="false">
      <c r="A2212" s="13"/>
      <c r="B2212" s="10"/>
      <c r="C2212" s="10"/>
      <c r="D2212" s="14"/>
      <c r="E2212" s="11"/>
      <c r="F2212" s="15" t="str">
        <f aca="false">IF($B2212="","",IF(AND($D2212="",$E2212=""),"",IF(OR($D2212="",$E2212=""),0,ROUND($D2212*$E2212,0))))</f>
        <v/>
      </c>
      <c r="G2212" s="13"/>
      <c r="H2212" s="11"/>
      <c r="I2212" s="15" t="str">
        <f aca="false">IF($F2212="","",$F2212-IF($H2212="",0,$H2212))</f>
        <v/>
      </c>
      <c r="J2212" s="16" t="str">
        <f aca="true">IF(OR($A2212="",$I2212="",$I2212&lt;=0),"",TODAY()-$A2212)</f>
        <v/>
      </c>
      <c r="K2212" s="10"/>
    </row>
    <row r="2213" customFormat="false" ht="15" hidden="false" customHeight="true" outlineLevel="0" collapsed="false">
      <c r="A2213" s="13"/>
      <c r="B2213" s="10"/>
      <c r="C2213" s="10"/>
      <c r="D2213" s="14"/>
      <c r="E2213" s="11"/>
      <c r="F2213" s="15" t="str">
        <f aca="false">IF($B2213="","",IF(AND($D2213="",$E2213=""),"",IF(OR($D2213="",$E2213=""),0,ROUND($D2213*$E2213,0))))</f>
        <v/>
      </c>
      <c r="G2213" s="13"/>
      <c r="H2213" s="11"/>
      <c r="I2213" s="15" t="str">
        <f aca="false">IF($F2213="","",$F2213-IF($H2213="",0,$H2213))</f>
        <v/>
      </c>
      <c r="J2213" s="16" t="str">
        <f aca="true">IF(OR($A2213="",$I2213="",$I2213&lt;=0),"",TODAY()-$A2213)</f>
        <v/>
      </c>
      <c r="K2213" s="10"/>
    </row>
    <row r="2214" customFormat="false" ht="15" hidden="false" customHeight="true" outlineLevel="0" collapsed="false">
      <c r="A2214" s="13"/>
      <c r="B2214" s="10"/>
      <c r="C2214" s="10"/>
      <c r="D2214" s="14"/>
      <c r="E2214" s="11"/>
      <c r="F2214" s="15" t="str">
        <f aca="false">IF($B2214="","",IF(AND($D2214="",$E2214=""),"",IF(OR($D2214="",$E2214=""),0,ROUND($D2214*$E2214,0))))</f>
        <v/>
      </c>
      <c r="G2214" s="13"/>
      <c r="H2214" s="11"/>
      <c r="I2214" s="15" t="str">
        <f aca="false">IF($F2214="","",$F2214-IF($H2214="",0,$H2214))</f>
        <v/>
      </c>
      <c r="J2214" s="16" t="str">
        <f aca="true">IF(OR($A2214="",$I2214="",$I2214&lt;=0),"",TODAY()-$A2214)</f>
        <v/>
      </c>
      <c r="K2214" s="10"/>
    </row>
    <row r="2215" customFormat="false" ht="15" hidden="false" customHeight="true" outlineLevel="0" collapsed="false">
      <c r="A2215" s="13"/>
      <c r="B2215" s="10"/>
      <c r="C2215" s="10"/>
      <c r="D2215" s="14"/>
      <c r="E2215" s="11"/>
      <c r="F2215" s="15" t="str">
        <f aca="false">IF($B2215="","",IF(AND($D2215="",$E2215=""),"",IF(OR($D2215="",$E2215=""),0,ROUND($D2215*$E2215,0))))</f>
        <v/>
      </c>
      <c r="G2215" s="13"/>
      <c r="H2215" s="11"/>
      <c r="I2215" s="15" t="str">
        <f aca="false">IF($F2215="","",$F2215-IF($H2215="",0,$H2215))</f>
        <v/>
      </c>
      <c r="J2215" s="16" t="str">
        <f aca="true">IF(OR($A2215="",$I2215="",$I2215&lt;=0),"",TODAY()-$A2215)</f>
        <v/>
      </c>
      <c r="K2215" s="10"/>
    </row>
    <row r="2216" customFormat="false" ht="15" hidden="false" customHeight="true" outlineLevel="0" collapsed="false">
      <c r="A2216" s="13"/>
      <c r="B2216" s="10"/>
      <c r="C2216" s="10"/>
      <c r="D2216" s="14"/>
      <c r="E2216" s="11"/>
      <c r="F2216" s="15" t="str">
        <f aca="false">IF($B2216="","",IF(AND($D2216="",$E2216=""),"",IF(OR($D2216="",$E2216=""),0,ROUND($D2216*$E2216,0))))</f>
        <v/>
      </c>
      <c r="G2216" s="13"/>
      <c r="H2216" s="11"/>
      <c r="I2216" s="15" t="str">
        <f aca="false">IF($F2216="","",$F2216-IF($H2216="",0,$H2216))</f>
        <v/>
      </c>
      <c r="J2216" s="16" t="str">
        <f aca="true">IF(OR($A2216="",$I2216="",$I2216&lt;=0),"",TODAY()-$A2216)</f>
        <v/>
      </c>
      <c r="K2216" s="10"/>
    </row>
    <row r="2217" customFormat="false" ht="15" hidden="false" customHeight="true" outlineLevel="0" collapsed="false">
      <c r="A2217" s="13"/>
      <c r="B2217" s="10"/>
      <c r="C2217" s="10"/>
      <c r="D2217" s="14"/>
      <c r="E2217" s="11"/>
      <c r="F2217" s="15" t="str">
        <f aca="false">IF($B2217="","",IF(AND($D2217="",$E2217=""),"",IF(OR($D2217="",$E2217=""),0,ROUND($D2217*$E2217,0))))</f>
        <v/>
      </c>
      <c r="G2217" s="13"/>
      <c r="H2217" s="11"/>
      <c r="I2217" s="15" t="str">
        <f aca="false">IF($F2217="","",$F2217-IF($H2217="",0,$H2217))</f>
        <v/>
      </c>
      <c r="J2217" s="16" t="str">
        <f aca="true">IF(OR($A2217="",$I2217="",$I2217&lt;=0),"",TODAY()-$A2217)</f>
        <v/>
      </c>
      <c r="K2217" s="10"/>
    </row>
    <row r="2218" customFormat="false" ht="15" hidden="false" customHeight="true" outlineLevel="0" collapsed="false">
      <c r="A2218" s="13"/>
      <c r="B2218" s="10"/>
      <c r="C2218" s="10"/>
      <c r="D2218" s="14"/>
      <c r="E2218" s="11"/>
      <c r="F2218" s="15" t="str">
        <f aca="false">IF($B2218="","",IF(AND($D2218="",$E2218=""),"",IF(OR($D2218="",$E2218=""),0,ROUND($D2218*$E2218,0))))</f>
        <v/>
      </c>
      <c r="G2218" s="13"/>
      <c r="H2218" s="11"/>
      <c r="I2218" s="15" t="str">
        <f aca="false">IF($F2218="","",$F2218-IF($H2218="",0,$H2218))</f>
        <v/>
      </c>
      <c r="J2218" s="16" t="str">
        <f aca="true">IF(OR($A2218="",$I2218="",$I2218&lt;=0),"",TODAY()-$A2218)</f>
        <v/>
      </c>
      <c r="K2218" s="10"/>
    </row>
    <row r="2219" customFormat="false" ht="15" hidden="false" customHeight="true" outlineLevel="0" collapsed="false">
      <c r="A2219" s="13"/>
      <c r="B2219" s="10"/>
      <c r="C2219" s="10"/>
      <c r="D2219" s="14"/>
      <c r="E2219" s="11"/>
      <c r="F2219" s="15" t="str">
        <f aca="false">IF($B2219="","",IF(AND($D2219="",$E2219=""),"",IF(OR($D2219="",$E2219=""),0,ROUND($D2219*$E2219,0))))</f>
        <v/>
      </c>
      <c r="G2219" s="13"/>
      <c r="H2219" s="11"/>
      <c r="I2219" s="15" t="str">
        <f aca="false">IF($F2219="","",$F2219-IF($H2219="",0,$H2219))</f>
        <v/>
      </c>
      <c r="J2219" s="16" t="str">
        <f aca="true">IF(OR($A2219="",$I2219="",$I2219&lt;=0),"",TODAY()-$A2219)</f>
        <v/>
      </c>
      <c r="K2219" s="10"/>
    </row>
    <row r="2220" customFormat="false" ht="15" hidden="false" customHeight="true" outlineLevel="0" collapsed="false">
      <c r="A2220" s="13"/>
      <c r="B2220" s="10"/>
      <c r="C2220" s="10"/>
      <c r="D2220" s="14"/>
      <c r="E2220" s="11"/>
      <c r="F2220" s="15" t="str">
        <f aca="false">IF($B2220="","",IF(AND($D2220="",$E2220=""),"",IF(OR($D2220="",$E2220=""),0,ROUND($D2220*$E2220,0))))</f>
        <v/>
      </c>
      <c r="G2220" s="13"/>
      <c r="H2220" s="11"/>
      <c r="I2220" s="15" t="str">
        <f aca="false">IF($F2220="","",$F2220-IF($H2220="",0,$H2220))</f>
        <v/>
      </c>
      <c r="J2220" s="16" t="str">
        <f aca="true">IF(OR($A2220="",$I2220="",$I2220&lt;=0),"",TODAY()-$A2220)</f>
        <v/>
      </c>
      <c r="K2220" s="10"/>
    </row>
    <row r="2221" customFormat="false" ht="15" hidden="false" customHeight="true" outlineLevel="0" collapsed="false">
      <c r="A2221" s="13"/>
      <c r="B2221" s="10"/>
      <c r="C2221" s="10"/>
      <c r="D2221" s="14"/>
      <c r="E2221" s="11"/>
      <c r="F2221" s="15" t="str">
        <f aca="false">IF($B2221="","",IF(AND($D2221="",$E2221=""),"",IF(OR($D2221="",$E2221=""),0,ROUND($D2221*$E2221,0))))</f>
        <v/>
      </c>
      <c r="G2221" s="13"/>
      <c r="H2221" s="11"/>
      <c r="I2221" s="15" t="str">
        <f aca="false">IF($F2221="","",$F2221-IF($H2221="",0,$H2221))</f>
        <v/>
      </c>
      <c r="J2221" s="16" t="str">
        <f aca="true">IF(OR($A2221="",$I2221="",$I2221&lt;=0),"",TODAY()-$A2221)</f>
        <v/>
      </c>
      <c r="K2221" s="10"/>
    </row>
    <row r="2222" customFormat="false" ht="15" hidden="false" customHeight="true" outlineLevel="0" collapsed="false">
      <c r="A2222" s="13"/>
      <c r="B2222" s="10"/>
      <c r="C2222" s="10"/>
      <c r="D2222" s="14"/>
      <c r="E2222" s="11"/>
      <c r="F2222" s="15" t="str">
        <f aca="false">IF($B2222="","",IF(AND($D2222="",$E2222=""),"",IF(OR($D2222="",$E2222=""),0,ROUND($D2222*$E2222,0))))</f>
        <v/>
      </c>
      <c r="G2222" s="13"/>
      <c r="H2222" s="11"/>
      <c r="I2222" s="15" t="str">
        <f aca="false">IF($F2222="","",$F2222-IF($H2222="",0,$H2222))</f>
        <v/>
      </c>
      <c r="J2222" s="16" t="str">
        <f aca="true">IF(OR($A2222="",$I2222="",$I2222&lt;=0),"",TODAY()-$A2222)</f>
        <v/>
      </c>
      <c r="K2222" s="10"/>
    </row>
    <row r="2223" customFormat="false" ht="15" hidden="false" customHeight="true" outlineLevel="0" collapsed="false">
      <c r="A2223" s="13"/>
      <c r="B2223" s="10"/>
      <c r="C2223" s="10"/>
      <c r="D2223" s="14"/>
      <c r="E2223" s="11"/>
      <c r="F2223" s="15" t="str">
        <f aca="false">IF($B2223="","",IF(AND($D2223="",$E2223=""),"",IF(OR($D2223="",$E2223=""),0,ROUND($D2223*$E2223,0))))</f>
        <v/>
      </c>
      <c r="G2223" s="13"/>
      <c r="H2223" s="11"/>
      <c r="I2223" s="15" t="str">
        <f aca="false">IF($F2223="","",$F2223-IF($H2223="",0,$H2223))</f>
        <v/>
      </c>
      <c r="J2223" s="16" t="str">
        <f aca="true">IF(OR($A2223="",$I2223="",$I2223&lt;=0),"",TODAY()-$A2223)</f>
        <v/>
      </c>
      <c r="K2223" s="10"/>
    </row>
    <row r="2224" customFormat="false" ht="15" hidden="false" customHeight="true" outlineLevel="0" collapsed="false">
      <c r="A2224" s="13"/>
      <c r="B2224" s="10"/>
      <c r="C2224" s="10"/>
      <c r="D2224" s="14"/>
      <c r="E2224" s="11"/>
      <c r="F2224" s="15" t="str">
        <f aca="false">IF($B2224="","",IF(AND($D2224="",$E2224=""),"",IF(OR($D2224="",$E2224=""),0,ROUND($D2224*$E2224,0))))</f>
        <v/>
      </c>
      <c r="G2224" s="13"/>
      <c r="H2224" s="11"/>
      <c r="I2224" s="15" t="str">
        <f aca="false">IF($F2224="","",$F2224-IF($H2224="",0,$H2224))</f>
        <v/>
      </c>
      <c r="J2224" s="16" t="str">
        <f aca="true">IF(OR($A2224="",$I2224="",$I2224&lt;=0),"",TODAY()-$A2224)</f>
        <v/>
      </c>
      <c r="K2224" s="10"/>
    </row>
    <row r="2225" customFormat="false" ht="15" hidden="false" customHeight="true" outlineLevel="0" collapsed="false">
      <c r="A2225" s="13"/>
      <c r="B2225" s="10"/>
      <c r="C2225" s="10"/>
      <c r="D2225" s="14"/>
      <c r="E2225" s="11"/>
      <c r="F2225" s="15" t="str">
        <f aca="false">IF($B2225="","",IF(AND($D2225="",$E2225=""),"",IF(OR($D2225="",$E2225=""),0,ROUND($D2225*$E2225,0))))</f>
        <v/>
      </c>
      <c r="G2225" s="13"/>
      <c r="H2225" s="11"/>
      <c r="I2225" s="15" t="str">
        <f aca="false">IF($F2225="","",$F2225-IF($H2225="",0,$H2225))</f>
        <v/>
      </c>
      <c r="J2225" s="16" t="str">
        <f aca="true">IF(OR($A2225="",$I2225="",$I2225&lt;=0),"",TODAY()-$A2225)</f>
        <v/>
      </c>
      <c r="K2225" s="10"/>
    </row>
    <row r="2226" customFormat="false" ht="15" hidden="false" customHeight="true" outlineLevel="0" collapsed="false">
      <c r="A2226" s="13"/>
      <c r="B2226" s="10"/>
      <c r="C2226" s="10"/>
      <c r="D2226" s="14"/>
      <c r="E2226" s="11"/>
      <c r="F2226" s="15" t="str">
        <f aca="false">IF($B2226="","",IF(AND($D2226="",$E2226=""),"",IF(OR($D2226="",$E2226=""),0,ROUND($D2226*$E2226,0))))</f>
        <v/>
      </c>
      <c r="G2226" s="13"/>
      <c r="H2226" s="11"/>
      <c r="I2226" s="15" t="str">
        <f aca="false">IF($F2226="","",$F2226-IF($H2226="",0,$H2226))</f>
        <v/>
      </c>
      <c r="J2226" s="16" t="str">
        <f aca="true">IF(OR($A2226="",$I2226="",$I2226&lt;=0),"",TODAY()-$A2226)</f>
        <v/>
      </c>
      <c r="K2226" s="10"/>
    </row>
    <row r="2227" customFormat="false" ht="15" hidden="false" customHeight="true" outlineLevel="0" collapsed="false">
      <c r="A2227" s="13"/>
      <c r="B2227" s="10"/>
      <c r="C2227" s="10"/>
      <c r="D2227" s="14"/>
      <c r="E2227" s="11"/>
      <c r="F2227" s="15" t="str">
        <f aca="false">IF($B2227="","",IF(AND($D2227="",$E2227=""),"",IF(OR($D2227="",$E2227=""),0,ROUND($D2227*$E2227,0))))</f>
        <v/>
      </c>
      <c r="G2227" s="13"/>
      <c r="H2227" s="11"/>
      <c r="I2227" s="15" t="str">
        <f aca="false">IF($F2227="","",$F2227-IF($H2227="",0,$H2227))</f>
        <v/>
      </c>
      <c r="J2227" s="16" t="str">
        <f aca="true">IF(OR($A2227="",$I2227="",$I2227&lt;=0),"",TODAY()-$A2227)</f>
        <v/>
      </c>
      <c r="K2227" s="10"/>
    </row>
    <row r="2228" customFormat="false" ht="15" hidden="false" customHeight="true" outlineLevel="0" collapsed="false">
      <c r="A2228" s="13"/>
      <c r="B2228" s="10"/>
      <c r="C2228" s="10"/>
      <c r="D2228" s="14"/>
      <c r="E2228" s="11"/>
      <c r="F2228" s="15" t="str">
        <f aca="false">IF($B2228="","",IF(AND($D2228="",$E2228=""),"",IF(OR($D2228="",$E2228=""),0,ROUND($D2228*$E2228,0))))</f>
        <v/>
      </c>
      <c r="G2228" s="13"/>
      <c r="H2228" s="11"/>
      <c r="I2228" s="15" t="str">
        <f aca="false">IF($F2228="","",$F2228-IF($H2228="",0,$H2228))</f>
        <v/>
      </c>
      <c r="J2228" s="16" t="str">
        <f aca="true">IF(OR($A2228="",$I2228="",$I2228&lt;=0),"",TODAY()-$A2228)</f>
        <v/>
      </c>
      <c r="K2228" s="10"/>
    </row>
    <row r="2229" customFormat="false" ht="15" hidden="false" customHeight="true" outlineLevel="0" collapsed="false">
      <c r="A2229" s="13"/>
      <c r="B2229" s="10"/>
      <c r="C2229" s="10"/>
      <c r="D2229" s="14"/>
      <c r="E2229" s="11"/>
      <c r="F2229" s="15" t="str">
        <f aca="false">IF($B2229="","",IF(AND($D2229="",$E2229=""),"",IF(OR($D2229="",$E2229=""),0,ROUND($D2229*$E2229,0))))</f>
        <v/>
      </c>
      <c r="G2229" s="13"/>
      <c r="H2229" s="11"/>
      <c r="I2229" s="15" t="str">
        <f aca="false">IF($F2229="","",$F2229-IF($H2229="",0,$H2229))</f>
        <v/>
      </c>
      <c r="J2229" s="16" t="str">
        <f aca="true">IF(OR($A2229="",$I2229="",$I2229&lt;=0),"",TODAY()-$A2229)</f>
        <v/>
      </c>
      <c r="K2229" s="10"/>
    </row>
    <row r="2230" customFormat="false" ht="15" hidden="false" customHeight="true" outlineLevel="0" collapsed="false">
      <c r="A2230" s="13"/>
      <c r="B2230" s="10"/>
      <c r="C2230" s="10"/>
      <c r="D2230" s="14"/>
      <c r="E2230" s="11"/>
      <c r="F2230" s="15" t="str">
        <f aca="false">IF($B2230="","",IF(AND($D2230="",$E2230=""),"",IF(OR($D2230="",$E2230=""),0,ROUND($D2230*$E2230,0))))</f>
        <v/>
      </c>
      <c r="G2230" s="13"/>
      <c r="H2230" s="11"/>
      <c r="I2230" s="15" t="str">
        <f aca="false">IF($F2230="","",$F2230-IF($H2230="",0,$H2230))</f>
        <v/>
      </c>
      <c r="J2230" s="16" t="str">
        <f aca="true">IF(OR($A2230="",$I2230="",$I2230&lt;=0),"",TODAY()-$A2230)</f>
        <v/>
      </c>
      <c r="K2230" s="10"/>
    </row>
    <row r="2231" customFormat="false" ht="15" hidden="false" customHeight="true" outlineLevel="0" collapsed="false">
      <c r="A2231" s="13"/>
      <c r="B2231" s="10"/>
      <c r="C2231" s="10"/>
      <c r="D2231" s="14"/>
      <c r="E2231" s="11"/>
      <c r="F2231" s="15" t="str">
        <f aca="false">IF($B2231="","",IF(AND($D2231="",$E2231=""),"",IF(OR($D2231="",$E2231=""),0,ROUND($D2231*$E2231,0))))</f>
        <v/>
      </c>
      <c r="G2231" s="13"/>
      <c r="H2231" s="11"/>
      <c r="I2231" s="15" t="str">
        <f aca="false">IF($F2231="","",$F2231-IF($H2231="",0,$H2231))</f>
        <v/>
      </c>
      <c r="J2231" s="16" t="str">
        <f aca="true">IF(OR($A2231="",$I2231="",$I2231&lt;=0),"",TODAY()-$A2231)</f>
        <v/>
      </c>
      <c r="K2231" s="10"/>
    </row>
    <row r="2232" customFormat="false" ht="15" hidden="false" customHeight="true" outlineLevel="0" collapsed="false">
      <c r="A2232" s="13"/>
      <c r="B2232" s="10"/>
      <c r="C2232" s="10"/>
      <c r="D2232" s="14"/>
      <c r="E2232" s="11"/>
      <c r="F2232" s="15" t="str">
        <f aca="false">IF($B2232="","",IF(AND($D2232="",$E2232=""),"",IF(OR($D2232="",$E2232=""),0,ROUND($D2232*$E2232,0))))</f>
        <v/>
      </c>
      <c r="G2232" s="13"/>
      <c r="H2232" s="11"/>
      <c r="I2232" s="15" t="str">
        <f aca="false">IF($F2232="","",$F2232-IF($H2232="",0,$H2232))</f>
        <v/>
      </c>
      <c r="J2232" s="16" t="str">
        <f aca="true">IF(OR($A2232="",$I2232="",$I2232&lt;=0),"",TODAY()-$A2232)</f>
        <v/>
      </c>
      <c r="K2232" s="10"/>
    </row>
    <row r="2233" customFormat="false" ht="15" hidden="false" customHeight="true" outlineLevel="0" collapsed="false">
      <c r="A2233" s="13"/>
      <c r="B2233" s="10"/>
      <c r="C2233" s="10"/>
      <c r="D2233" s="14"/>
      <c r="E2233" s="11"/>
      <c r="F2233" s="15" t="str">
        <f aca="false">IF($B2233="","",IF(AND($D2233="",$E2233=""),"",IF(OR($D2233="",$E2233=""),0,ROUND($D2233*$E2233,0))))</f>
        <v/>
      </c>
      <c r="G2233" s="13"/>
      <c r="H2233" s="11"/>
      <c r="I2233" s="15" t="str">
        <f aca="false">IF($F2233="","",$F2233-IF($H2233="",0,$H2233))</f>
        <v/>
      </c>
      <c r="J2233" s="16" t="str">
        <f aca="true">IF(OR($A2233="",$I2233="",$I2233&lt;=0),"",TODAY()-$A2233)</f>
        <v/>
      </c>
      <c r="K2233" s="10"/>
    </row>
    <row r="2234" customFormat="false" ht="15" hidden="false" customHeight="true" outlineLevel="0" collapsed="false">
      <c r="A2234" s="13"/>
      <c r="B2234" s="10"/>
      <c r="C2234" s="10"/>
      <c r="D2234" s="14"/>
      <c r="E2234" s="11"/>
      <c r="F2234" s="15" t="str">
        <f aca="false">IF($B2234="","",IF(AND($D2234="",$E2234=""),"",IF(OR($D2234="",$E2234=""),0,ROUND($D2234*$E2234,0))))</f>
        <v/>
      </c>
      <c r="G2234" s="13"/>
      <c r="H2234" s="11"/>
      <c r="I2234" s="15" t="str">
        <f aca="false">IF($F2234="","",$F2234-IF($H2234="",0,$H2234))</f>
        <v/>
      </c>
      <c r="J2234" s="16" t="str">
        <f aca="true">IF(OR($A2234="",$I2234="",$I2234&lt;=0),"",TODAY()-$A2234)</f>
        <v/>
      </c>
      <c r="K2234" s="10"/>
    </row>
    <row r="2235" customFormat="false" ht="15" hidden="false" customHeight="true" outlineLevel="0" collapsed="false">
      <c r="A2235" s="13"/>
      <c r="B2235" s="10"/>
      <c r="C2235" s="10"/>
      <c r="D2235" s="14"/>
      <c r="E2235" s="11"/>
      <c r="F2235" s="15" t="str">
        <f aca="false">IF($B2235="","",IF(AND($D2235="",$E2235=""),"",IF(OR($D2235="",$E2235=""),0,ROUND($D2235*$E2235,0))))</f>
        <v/>
      </c>
      <c r="G2235" s="13"/>
      <c r="H2235" s="11"/>
      <c r="I2235" s="15" t="str">
        <f aca="false">IF($F2235="","",$F2235-IF($H2235="",0,$H2235))</f>
        <v/>
      </c>
      <c r="J2235" s="16" t="str">
        <f aca="true">IF(OR($A2235="",$I2235="",$I2235&lt;=0),"",TODAY()-$A2235)</f>
        <v/>
      </c>
      <c r="K2235" s="10"/>
    </row>
    <row r="2236" customFormat="false" ht="15" hidden="false" customHeight="true" outlineLevel="0" collapsed="false">
      <c r="A2236" s="13"/>
      <c r="B2236" s="10"/>
      <c r="C2236" s="10"/>
      <c r="D2236" s="14"/>
      <c r="E2236" s="11"/>
      <c r="F2236" s="15" t="str">
        <f aca="false">IF($B2236="","",IF(AND($D2236="",$E2236=""),"",IF(OR($D2236="",$E2236=""),0,ROUND($D2236*$E2236,0))))</f>
        <v/>
      </c>
      <c r="G2236" s="13"/>
      <c r="H2236" s="11"/>
      <c r="I2236" s="15" t="str">
        <f aca="false">IF($F2236="","",$F2236-IF($H2236="",0,$H2236))</f>
        <v/>
      </c>
      <c r="J2236" s="16" t="str">
        <f aca="true">IF(OR($A2236="",$I2236="",$I2236&lt;=0),"",TODAY()-$A2236)</f>
        <v/>
      </c>
      <c r="K2236" s="10"/>
    </row>
    <row r="2237" customFormat="false" ht="15" hidden="false" customHeight="true" outlineLevel="0" collapsed="false">
      <c r="A2237" s="13"/>
      <c r="B2237" s="10"/>
      <c r="C2237" s="10"/>
      <c r="D2237" s="14"/>
      <c r="E2237" s="11"/>
      <c r="F2237" s="15" t="str">
        <f aca="false">IF($B2237="","",IF(AND($D2237="",$E2237=""),"",IF(OR($D2237="",$E2237=""),0,ROUND($D2237*$E2237,0))))</f>
        <v/>
      </c>
      <c r="G2237" s="13"/>
      <c r="H2237" s="11"/>
      <c r="I2237" s="15" t="str">
        <f aca="false">IF($F2237="","",$F2237-IF($H2237="",0,$H2237))</f>
        <v/>
      </c>
      <c r="J2237" s="16" t="str">
        <f aca="true">IF(OR($A2237="",$I2237="",$I2237&lt;=0),"",TODAY()-$A2237)</f>
        <v/>
      </c>
      <c r="K2237" s="10"/>
    </row>
    <row r="2238" customFormat="false" ht="15" hidden="false" customHeight="true" outlineLevel="0" collapsed="false">
      <c r="A2238" s="13"/>
      <c r="B2238" s="10"/>
      <c r="C2238" s="10"/>
      <c r="D2238" s="14"/>
      <c r="E2238" s="11"/>
      <c r="F2238" s="15" t="str">
        <f aca="false">IF($B2238="","",IF(AND($D2238="",$E2238=""),"",IF(OR($D2238="",$E2238=""),0,ROUND($D2238*$E2238,0))))</f>
        <v/>
      </c>
      <c r="G2238" s="13"/>
      <c r="H2238" s="11"/>
      <c r="I2238" s="15" t="str">
        <f aca="false">IF($F2238="","",$F2238-IF($H2238="",0,$H2238))</f>
        <v/>
      </c>
      <c r="J2238" s="16" t="str">
        <f aca="true">IF(OR($A2238="",$I2238="",$I2238&lt;=0),"",TODAY()-$A2238)</f>
        <v/>
      </c>
      <c r="K2238" s="10"/>
    </row>
    <row r="2239" customFormat="false" ht="15" hidden="false" customHeight="true" outlineLevel="0" collapsed="false">
      <c r="A2239" s="13"/>
      <c r="B2239" s="10"/>
      <c r="C2239" s="10"/>
      <c r="D2239" s="14"/>
      <c r="E2239" s="11"/>
      <c r="F2239" s="15" t="str">
        <f aca="false">IF($B2239="","",IF(AND($D2239="",$E2239=""),"",IF(OR($D2239="",$E2239=""),0,ROUND($D2239*$E2239,0))))</f>
        <v/>
      </c>
      <c r="G2239" s="13"/>
      <c r="H2239" s="11"/>
      <c r="I2239" s="15" t="str">
        <f aca="false">IF($F2239="","",$F2239-IF($H2239="",0,$H2239))</f>
        <v/>
      </c>
      <c r="J2239" s="16" t="str">
        <f aca="true">IF(OR($A2239="",$I2239="",$I2239&lt;=0),"",TODAY()-$A2239)</f>
        <v/>
      </c>
      <c r="K2239" s="10"/>
    </row>
    <row r="2240" customFormat="false" ht="15" hidden="false" customHeight="true" outlineLevel="0" collapsed="false">
      <c r="A2240" s="13"/>
      <c r="B2240" s="10"/>
      <c r="C2240" s="10"/>
      <c r="D2240" s="14"/>
      <c r="E2240" s="11"/>
      <c r="F2240" s="15" t="str">
        <f aca="false">IF($B2240="","",IF(AND($D2240="",$E2240=""),"",IF(OR($D2240="",$E2240=""),0,ROUND($D2240*$E2240,0))))</f>
        <v/>
      </c>
      <c r="G2240" s="13"/>
      <c r="H2240" s="11"/>
      <c r="I2240" s="15" t="str">
        <f aca="false">IF($F2240="","",$F2240-IF($H2240="",0,$H2240))</f>
        <v/>
      </c>
      <c r="J2240" s="16" t="str">
        <f aca="true">IF(OR($A2240="",$I2240="",$I2240&lt;=0),"",TODAY()-$A2240)</f>
        <v/>
      </c>
      <c r="K2240" s="10"/>
    </row>
    <row r="2241" customFormat="false" ht="15" hidden="false" customHeight="true" outlineLevel="0" collapsed="false">
      <c r="A2241" s="13"/>
      <c r="B2241" s="10"/>
      <c r="C2241" s="10"/>
      <c r="D2241" s="14"/>
      <c r="E2241" s="11"/>
      <c r="F2241" s="15" t="str">
        <f aca="false">IF($B2241="","",IF(AND($D2241="",$E2241=""),"",IF(OR($D2241="",$E2241=""),0,ROUND($D2241*$E2241,0))))</f>
        <v/>
      </c>
      <c r="G2241" s="13"/>
      <c r="H2241" s="11"/>
      <c r="I2241" s="15" t="str">
        <f aca="false">IF($F2241="","",$F2241-IF($H2241="",0,$H2241))</f>
        <v/>
      </c>
      <c r="J2241" s="16" t="str">
        <f aca="true">IF(OR($A2241="",$I2241="",$I2241&lt;=0),"",TODAY()-$A2241)</f>
        <v/>
      </c>
      <c r="K2241" s="10"/>
    </row>
    <row r="2242" customFormat="false" ht="15" hidden="false" customHeight="true" outlineLevel="0" collapsed="false">
      <c r="A2242" s="13"/>
      <c r="B2242" s="10"/>
      <c r="C2242" s="10"/>
      <c r="D2242" s="14"/>
      <c r="E2242" s="11"/>
      <c r="F2242" s="15" t="str">
        <f aca="false">IF($B2242="","",IF(AND($D2242="",$E2242=""),"",IF(OR($D2242="",$E2242=""),0,ROUND($D2242*$E2242,0))))</f>
        <v/>
      </c>
      <c r="G2242" s="13"/>
      <c r="H2242" s="11"/>
      <c r="I2242" s="15" t="str">
        <f aca="false">IF($F2242="","",$F2242-IF($H2242="",0,$H2242))</f>
        <v/>
      </c>
      <c r="J2242" s="16" t="str">
        <f aca="true">IF(OR($A2242="",$I2242="",$I2242&lt;=0),"",TODAY()-$A2242)</f>
        <v/>
      </c>
      <c r="K2242" s="10"/>
    </row>
    <row r="2243" customFormat="false" ht="15" hidden="false" customHeight="true" outlineLevel="0" collapsed="false">
      <c r="A2243" s="13"/>
      <c r="B2243" s="10"/>
      <c r="C2243" s="10"/>
      <c r="D2243" s="14"/>
      <c r="E2243" s="11"/>
      <c r="F2243" s="15" t="str">
        <f aca="false">IF($B2243="","",IF(AND($D2243="",$E2243=""),"",IF(OR($D2243="",$E2243=""),0,ROUND($D2243*$E2243,0))))</f>
        <v/>
      </c>
      <c r="G2243" s="13"/>
      <c r="H2243" s="11"/>
      <c r="I2243" s="15" t="str">
        <f aca="false">IF($F2243="","",$F2243-IF($H2243="",0,$H2243))</f>
        <v/>
      </c>
      <c r="J2243" s="16" t="str">
        <f aca="true">IF(OR($A2243="",$I2243="",$I2243&lt;=0),"",TODAY()-$A2243)</f>
        <v/>
      </c>
      <c r="K2243" s="10"/>
    </row>
    <row r="2244" customFormat="false" ht="15" hidden="false" customHeight="true" outlineLevel="0" collapsed="false">
      <c r="A2244" s="13"/>
      <c r="B2244" s="10"/>
      <c r="C2244" s="10"/>
      <c r="D2244" s="14"/>
      <c r="E2244" s="11"/>
      <c r="F2244" s="15" t="str">
        <f aca="false">IF($B2244="","",IF(AND($D2244="",$E2244=""),"",IF(OR($D2244="",$E2244=""),0,ROUND($D2244*$E2244,0))))</f>
        <v/>
      </c>
      <c r="G2244" s="13"/>
      <c r="H2244" s="11"/>
      <c r="I2244" s="15" t="str">
        <f aca="false">IF($F2244="","",$F2244-IF($H2244="",0,$H2244))</f>
        <v/>
      </c>
      <c r="J2244" s="16" t="str">
        <f aca="true">IF(OR($A2244="",$I2244="",$I2244&lt;=0),"",TODAY()-$A2244)</f>
        <v/>
      </c>
      <c r="K2244" s="10"/>
    </row>
    <row r="2245" customFormat="false" ht="15" hidden="false" customHeight="true" outlineLevel="0" collapsed="false">
      <c r="A2245" s="13"/>
      <c r="B2245" s="10"/>
      <c r="C2245" s="10"/>
      <c r="D2245" s="14"/>
      <c r="E2245" s="11"/>
      <c r="F2245" s="15" t="str">
        <f aca="false">IF($B2245="","",IF(AND($D2245="",$E2245=""),"",IF(OR($D2245="",$E2245=""),0,ROUND($D2245*$E2245,0))))</f>
        <v/>
      </c>
      <c r="G2245" s="13"/>
      <c r="H2245" s="11"/>
      <c r="I2245" s="15" t="str">
        <f aca="false">IF($F2245="","",$F2245-IF($H2245="",0,$H2245))</f>
        <v/>
      </c>
      <c r="J2245" s="16" t="str">
        <f aca="true">IF(OR($A2245="",$I2245="",$I2245&lt;=0),"",TODAY()-$A2245)</f>
        <v/>
      </c>
      <c r="K2245" s="10"/>
    </row>
    <row r="2246" customFormat="false" ht="15" hidden="false" customHeight="true" outlineLevel="0" collapsed="false">
      <c r="A2246" s="13"/>
      <c r="B2246" s="10"/>
      <c r="C2246" s="10"/>
      <c r="D2246" s="14"/>
      <c r="E2246" s="11"/>
      <c r="F2246" s="15" t="str">
        <f aca="false">IF($B2246="","",IF(AND($D2246="",$E2246=""),"",IF(OR($D2246="",$E2246=""),0,ROUND($D2246*$E2246,0))))</f>
        <v/>
      </c>
      <c r="G2246" s="13"/>
      <c r="H2246" s="11"/>
      <c r="I2246" s="15" t="str">
        <f aca="false">IF($F2246="","",$F2246-IF($H2246="",0,$H2246))</f>
        <v/>
      </c>
      <c r="J2246" s="16" t="str">
        <f aca="true">IF(OR($A2246="",$I2246="",$I2246&lt;=0),"",TODAY()-$A2246)</f>
        <v/>
      </c>
      <c r="K2246" s="10"/>
    </row>
    <row r="2247" customFormat="false" ht="15" hidden="false" customHeight="true" outlineLevel="0" collapsed="false">
      <c r="A2247" s="13"/>
      <c r="B2247" s="10"/>
      <c r="C2247" s="10"/>
      <c r="D2247" s="14"/>
      <c r="E2247" s="11"/>
      <c r="F2247" s="15" t="str">
        <f aca="false">IF($B2247="","",IF(AND($D2247="",$E2247=""),"",IF(OR($D2247="",$E2247=""),0,ROUND($D2247*$E2247,0))))</f>
        <v/>
      </c>
      <c r="G2247" s="13"/>
      <c r="H2247" s="11"/>
      <c r="I2247" s="15" t="str">
        <f aca="false">IF($F2247="","",$F2247-IF($H2247="",0,$H2247))</f>
        <v/>
      </c>
      <c r="J2247" s="16" t="str">
        <f aca="true">IF(OR($A2247="",$I2247="",$I2247&lt;=0),"",TODAY()-$A2247)</f>
        <v/>
      </c>
      <c r="K2247" s="10"/>
    </row>
    <row r="2248" customFormat="false" ht="15" hidden="false" customHeight="true" outlineLevel="0" collapsed="false">
      <c r="A2248" s="13"/>
      <c r="B2248" s="10"/>
      <c r="C2248" s="10"/>
      <c r="D2248" s="14"/>
      <c r="E2248" s="11"/>
      <c r="F2248" s="15" t="str">
        <f aca="false">IF($B2248="","",IF(AND($D2248="",$E2248=""),"",IF(OR($D2248="",$E2248=""),0,ROUND($D2248*$E2248,0))))</f>
        <v/>
      </c>
      <c r="G2248" s="13"/>
      <c r="H2248" s="11"/>
      <c r="I2248" s="15" t="str">
        <f aca="false">IF($F2248="","",$F2248-IF($H2248="",0,$H2248))</f>
        <v/>
      </c>
      <c r="J2248" s="16" t="str">
        <f aca="true">IF(OR($A2248="",$I2248="",$I2248&lt;=0),"",TODAY()-$A2248)</f>
        <v/>
      </c>
      <c r="K2248" s="10"/>
    </row>
    <row r="2249" customFormat="false" ht="15" hidden="false" customHeight="true" outlineLevel="0" collapsed="false">
      <c r="A2249" s="13"/>
      <c r="B2249" s="10"/>
      <c r="C2249" s="10"/>
      <c r="D2249" s="14"/>
      <c r="E2249" s="11"/>
      <c r="F2249" s="15" t="str">
        <f aca="false">IF($B2249="","",IF(AND($D2249="",$E2249=""),"",IF(OR($D2249="",$E2249=""),0,ROUND($D2249*$E2249,0))))</f>
        <v/>
      </c>
      <c r="G2249" s="13"/>
      <c r="H2249" s="11"/>
      <c r="I2249" s="15" t="str">
        <f aca="false">IF($F2249="","",$F2249-IF($H2249="",0,$H2249))</f>
        <v/>
      </c>
      <c r="J2249" s="16" t="str">
        <f aca="true">IF(OR($A2249="",$I2249="",$I2249&lt;=0),"",TODAY()-$A2249)</f>
        <v/>
      </c>
      <c r="K2249" s="10"/>
    </row>
    <row r="2250" customFormat="false" ht="15" hidden="false" customHeight="true" outlineLevel="0" collapsed="false">
      <c r="A2250" s="13"/>
      <c r="B2250" s="10"/>
      <c r="C2250" s="10"/>
      <c r="D2250" s="14"/>
      <c r="E2250" s="11"/>
      <c r="F2250" s="15" t="str">
        <f aca="false">IF($B2250="","",IF(AND($D2250="",$E2250=""),"",IF(OR($D2250="",$E2250=""),0,ROUND($D2250*$E2250,0))))</f>
        <v/>
      </c>
      <c r="G2250" s="13"/>
      <c r="H2250" s="11"/>
      <c r="I2250" s="15" t="str">
        <f aca="false">IF($F2250="","",$F2250-IF($H2250="",0,$H2250))</f>
        <v/>
      </c>
      <c r="J2250" s="16" t="str">
        <f aca="true">IF(OR($A2250="",$I2250="",$I2250&lt;=0),"",TODAY()-$A2250)</f>
        <v/>
      </c>
      <c r="K2250" s="10"/>
    </row>
    <row r="2251" customFormat="false" ht="15" hidden="false" customHeight="true" outlineLevel="0" collapsed="false">
      <c r="A2251" s="13"/>
      <c r="B2251" s="10"/>
      <c r="C2251" s="10"/>
      <c r="D2251" s="14"/>
      <c r="E2251" s="11"/>
      <c r="F2251" s="15" t="str">
        <f aca="false">IF($B2251="","",IF(AND($D2251="",$E2251=""),"",IF(OR($D2251="",$E2251=""),0,ROUND($D2251*$E2251,0))))</f>
        <v/>
      </c>
      <c r="G2251" s="13"/>
      <c r="H2251" s="11"/>
      <c r="I2251" s="15" t="str">
        <f aca="false">IF($F2251="","",$F2251-IF($H2251="",0,$H2251))</f>
        <v/>
      </c>
      <c r="J2251" s="16" t="str">
        <f aca="true">IF(OR($A2251="",$I2251="",$I2251&lt;=0),"",TODAY()-$A2251)</f>
        <v/>
      </c>
      <c r="K2251" s="10"/>
    </row>
    <row r="2252" customFormat="false" ht="15" hidden="false" customHeight="true" outlineLevel="0" collapsed="false">
      <c r="A2252" s="13"/>
      <c r="B2252" s="10"/>
      <c r="C2252" s="10"/>
      <c r="D2252" s="14"/>
      <c r="E2252" s="11"/>
      <c r="F2252" s="15" t="str">
        <f aca="false">IF($B2252="","",IF(AND($D2252="",$E2252=""),"",IF(OR($D2252="",$E2252=""),0,ROUND($D2252*$E2252,0))))</f>
        <v/>
      </c>
      <c r="G2252" s="13"/>
      <c r="H2252" s="11"/>
      <c r="I2252" s="15" t="str">
        <f aca="false">IF($F2252="","",$F2252-IF($H2252="",0,$H2252))</f>
        <v/>
      </c>
      <c r="J2252" s="16" t="str">
        <f aca="true">IF(OR($A2252="",$I2252="",$I2252&lt;=0),"",TODAY()-$A2252)</f>
        <v/>
      </c>
      <c r="K2252" s="10"/>
    </row>
    <row r="2253" customFormat="false" ht="15" hidden="false" customHeight="true" outlineLevel="0" collapsed="false">
      <c r="A2253" s="13"/>
      <c r="B2253" s="10"/>
      <c r="C2253" s="10"/>
      <c r="D2253" s="14"/>
      <c r="E2253" s="11"/>
      <c r="F2253" s="15" t="str">
        <f aca="false">IF($B2253="","",IF(AND($D2253="",$E2253=""),"",IF(OR($D2253="",$E2253=""),0,ROUND($D2253*$E2253,0))))</f>
        <v/>
      </c>
      <c r="G2253" s="13"/>
      <c r="H2253" s="11"/>
      <c r="I2253" s="15" t="str">
        <f aca="false">IF($F2253="","",$F2253-IF($H2253="",0,$H2253))</f>
        <v/>
      </c>
      <c r="J2253" s="16" t="str">
        <f aca="true">IF(OR($A2253="",$I2253="",$I2253&lt;=0),"",TODAY()-$A2253)</f>
        <v/>
      </c>
      <c r="K2253" s="10"/>
    </row>
    <row r="2254" customFormat="false" ht="15" hidden="false" customHeight="true" outlineLevel="0" collapsed="false">
      <c r="A2254" s="13"/>
      <c r="B2254" s="10"/>
      <c r="C2254" s="10"/>
      <c r="D2254" s="14"/>
      <c r="E2254" s="11"/>
      <c r="F2254" s="15" t="str">
        <f aca="false">IF($B2254="","",IF(AND($D2254="",$E2254=""),"",IF(OR($D2254="",$E2254=""),0,ROUND($D2254*$E2254,0))))</f>
        <v/>
      </c>
      <c r="G2254" s="13"/>
      <c r="H2254" s="11"/>
      <c r="I2254" s="15" t="str">
        <f aca="false">IF($F2254="","",$F2254-IF($H2254="",0,$H2254))</f>
        <v/>
      </c>
      <c r="J2254" s="16" t="str">
        <f aca="true">IF(OR($A2254="",$I2254="",$I2254&lt;=0),"",TODAY()-$A2254)</f>
        <v/>
      </c>
      <c r="K2254" s="10"/>
    </row>
    <row r="2255" customFormat="false" ht="15" hidden="false" customHeight="true" outlineLevel="0" collapsed="false">
      <c r="A2255" s="13"/>
      <c r="B2255" s="10"/>
      <c r="C2255" s="10"/>
      <c r="D2255" s="14"/>
      <c r="E2255" s="11"/>
      <c r="F2255" s="15" t="str">
        <f aca="false">IF($B2255="","",IF(AND($D2255="",$E2255=""),"",IF(OR($D2255="",$E2255=""),0,ROUND($D2255*$E2255,0))))</f>
        <v/>
      </c>
      <c r="G2255" s="13"/>
      <c r="H2255" s="11"/>
      <c r="I2255" s="15" t="str">
        <f aca="false">IF($F2255="","",$F2255-IF($H2255="",0,$H2255))</f>
        <v/>
      </c>
      <c r="J2255" s="16" t="str">
        <f aca="true">IF(OR($A2255="",$I2255="",$I2255&lt;=0),"",TODAY()-$A2255)</f>
        <v/>
      </c>
      <c r="K2255" s="10"/>
    </row>
    <row r="2256" customFormat="false" ht="15" hidden="false" customHeight="true" outlineLevel="0" collapsed="false">
      <c r="A2256" s="13"/>
      <c r="B2256" s="10"/>
      <c r="C2256" s="10"/>
      <c r="D2256" s="14"/>
      <c r="E2256" s="11"/>
      <c r="F2256" s="15" t="str">
        <f aca="false">IF($B2256="","",IF(AND($D2256="",$E2256=""),"",IF(OR($D2256="",$E2256=""),0,ROUND($D2256*$E2256,0))))</f>
        <v/>
      </c>
      <c r="G2256" s="13"/>
      <c r="H2256" s="11"/>
      <c r="I2256" s="15" t="str">
        <f aca="false">IF($F2256="","",$F2256-IF($H2256="",0,$H2256))</f>
        <v/>
      </c>
      <c r="J2256" s="16" t="str">
        <f aca="true">IF(OR($A2256="",$I2256="",$I2256&lt;=0),"",TODAY()-$A2256)</f>
        <v/>
      </c>
      <c r="K2256" s="10"/>
    </row>
    <row r="2257" customFormat="false" ht="15" hidden="false" customHeight="true" outlineLevel="0" collapsed="false">
      <c r="A2257" s="13"/>
      <c r="B2257" s="10"/>
      <c r="C2257" s="10"/>
      <c r="D2257" s="14"/>
      <c r="E2257" s="11"/>
      <c r="F2257" s="15" t="str">
        <f aca="false">IF($B2257="","",IF(AND($D2257="",$E2257=""),"",IF(OR($D2257="",$E2257=""),0,ROUND($D2257*$E2257,0))))</f>
        <v/>
      </c>
      <c r="G2257" s="13"/>
      <c r="H2257" s="11"/>
      <c r="I2257" s="15" t="str">
        <f aca="false">IF($F2257="","",$F2257-IF($H2257="",0,$H2257))</f>
        <v/>
      </c>
      <c r="J2257" s="16" t="str">
        <f aca="true">IF(OR($A2257="",$I2257="",$I2257&lt;=0),"",TODAY()-$A2257)</f>
        <v/>
      </c>
      <c r="K2257" s="10"/>
    </row>
    <row r="2258" customFormat="false" ht="15" hidden="false" customHeight="true" outlineLevel="0" collapsed="false">
      <c r="A2258" s="13"/>
      <c r="B2258" s="10"/>
      <c r="C2258" s="10"/>
      <c r="D2258" s="14"/>
      <c r="E2258" s="11"/>
      <c r="F2258" s="15" t="str">
        <f aca="false">IF($B2258="","",IF(AND($D2258="",$E2258=""),"",IF(OR($D2258="",$E2258=""),0,ROUND($D2258*$E2258,0))))</f>
        <v/>
      </c>
      <c r="G2258" s="13"/>
      <c r="H2258" s="11"/>
      <c r="I2258" s="15" t="str">
        <f aca="false">IF($F2258="","",$F2258-IF($H2258="",0,$H2258))</f>
        <v/>
      </c>
      <c r="J2258" s="16" t="str">
        <f aca="true">IF(OR($A2258="",$I2258="",$I2258&lt;=0),"",TODAY()-$A2258)</f>
        <v/>
      </c>
      <c r="K2258" s="10"/>
    </row>
    <row r="2259" customFormat="false" ht="15" hidden="false" customHeight="true" outlineLevel="0" collapsed="false">
      <c r="A2259" s="13"/>
      <c r="B2259" s="10"/>
      <c r="C2259" s="10"/>
      <c r="D2259" s="14"/>
      <c r="E2259" s="11"/>
      <c r="F2259" s="15" t="str">
        <f aca="false">IF($B2259="","",IF(AND($D2259="",$E2259=""),"",IF(OR($D2259="",$E2259=""),0,ROUND($D2259*$E2259,0))))</f>
        <v/>
      </c>
      <c r="G2259" s="13"/>
      <c r="H2259" s="11"/>
      <c r="I2259" s="15" t="str">
        <f aca="false">IF($F2259="","",$F2259-IF($H2259="",0,$H2259))</f>
        <v/>
      </c>
      <c r="J2259" s="16" t="str">
        <f aca="true">IF(OR($A2259="",$I2259="",$I2259&lt;=0),"",TODAY()-$A2259)</f>
        <v/>
      </c>
      <c r="K2259" s="10"/>
    </row>
    <row r="2260" customFormat="false" ht="15" hidden="false" customHeight="true" outlineLevel="0" collapsed="false">
      <c r="A2260" s="13"/>
      <c r="B2260" s="10"/>
      <c r="C2260" s="10"/>
      <c r="D2260" s="14"/>
      <c r="E2260" s="11"/>
      <c r="F2260" s="15" t="str">
        <f aca="false">IF($B2260="","",IF(AND($D2260="",$E2260=""),"",IF(OR($D2260="",$E2260=""),0,ROUND($D2260*$E2260,0))))</f>
        <v/>
      </c>
      <c r="G2260" s="13"/>
      <c r="H2260" s="11"/>
      <c r="I2260" s="15" t="str">
        <f aca="false">IF($F2260="","",$F2260-IF($H2260="",0,$H2260))</f>
        <v/>
      </c>
      <c r="J2260" s="16" t="str">
        <f aca="true">IF(OR($A2260="",$I2260="",$I2260&lt;=0),"",TODAY()-$A2260)</f>
        <v/>
      </c>
      <c r="K2260" s="10"/>
    </row>
    <row r="2261" customFormat="false" ht="15" hidden="false" customHeight="true" outlineLevel="0" collapsed="false">
      <c r="A2261" s="13"/>
      <c r="B2261" s="10"/>
      <c r="C2261" s="10"/>
      <c r="D2261" s="14"/>
      <c r="E2261" s="11"/>
      <c r="F2261" s="15" t="str">
        <f aca="false">IF($B2261="","",IF(AND($D2261="",$E2261=""),"",IF(OR($D2261="",$E2261=""),0,ROUND($D2261*$E2261,0))))</f>
        <v/>
      </c>
      <c r="G2261" s="13"/>
      <c r="H2261" s="11"/>
      <c r="I2261" s="15" t="str">
        <f aca="false">IF($F2261="","",$F2261-IF($H2261="",0,$H2261))</f>
        <v/>
      </c>
      <c r="J2261" s="16" t="str">
        <f aca="true">IF(OR($A2261="",$I2261="",$I2261&lt;=0),"",TODAY()-$A2261)</f>
        <v/>
      </c>
      <c r="K2261" s="10"/>
    </row>
    <row r="2262" customFormat="false" ht="15" hidden="false" customHeight="true" outlineLevel="0" collapsed="false">
      <c r="A2262" s="13"/>
      <c r="B2262" s="10"/>
      <c r="C2262" s="10"/>
      <c r="D2262" s="14"/>
      <c r="E2262" s="11"/>
      <c r="F2262" s="15" t="str">
        <f aca="false">IF($B2262="","",IF(AND($D2262="",$E2262=""),"",IF(OR($D2262="",$E2262=""),0,ROUND($D2262*$E2262,0))))</f>
        <v/>
      </c>
      <c r="G2262" s="13"/>
      <c r="H2262" s="11"/>
      <c r="I2262" s="15" t="str">
        <f aca="false">IF($F2262="","",$F2262-IF($H2262="",0,$H2262))</f>
        <v/>
      </c>
      <c r="J2262" s="16" t="str">
        <f aca="true">IF(OR($A2262="",$I2262="",$I2262&lt;=0),"",TODAY()-$A2262)</f>
        <v/>
      </c>
      <c r="K2262" s="10"/>
    </row>
    <row r="2263" customFormat="false" ht="15" hidden="false" customHeight="true" outlineLevel="0" collapsed="false">
      <c r="A2263" s="13"/>
      <c r="B2263" s="10"/>
      <c r="C2263" s="10"/>
      <c r="D2263" s="14"/>
      <c r="E2263" s="11"/>
      <c r="F2263" s="15" t="str">
        <f aca="false">IF($B2263="","",IF(AND($D2263="",$E2263=""),"",IF(OR($D2263="",$E2263=""),0,ROUND($D2263*$E2263,0))))</f>
        <v/>
      </c>
      <c r="G2263" s="13"/>
      <c r="H2263" s="11"/>
      <c r="I2263" s="15" t="str">
        <f aca="false">IF($F2263="","",$F2263-IF($H2263="",0,$H2263))</f>
        <v/>
      </c>
      <c r="J2263" s="16" t="str">
        <f aca="true">IF(OR($A2263="",$I2263="",$I2263&lt;=0),"",TODAY()-$A2263)</f>
        <v/>
      </c>
      <c r="K2263" s="10"/>
    </row>
    <row r="2264" customFormat="false" ht="15" hidden="false" customHeight="true" outlineLevel="0" collapsed="false">
      <c r="A2264" s="13"/>
      <c r="B2264" s="10"/>
      <c r="C2264" s="10"/>
      <c r="D2264" s="14"/>
      <c r="E2264" s="11"/>
      <c r="F2264" s="15" t="str">
        <f aca="false">IF($B2264="","",IF(AND($D2264="",$E2264=""),"",IF(OR($D2264="",$E2264=""),0,ROUND($D2264*$E2264,0))))</f>
        <v/>
      </c>
      <c r="G2264" s="13"/>
      <c r="H2264" s="11"/>
      <c r="I2264" s="15" t="str">
        <f aca="false">IF($F2264="","",$F2264-IF($H2264="",0,$H2264))</f>
        <v/>
      </c>
      <c r="J2264" s="16" t="str">
        <f aca="true">IF(OR($A2264="",$I2264="",$I2264&lt;=0),"",TODAY()-$A2264)</f>
        <v/>
      </c>
      <c r="K2264" s="10"/>
    </row>
    <row r="2265" customFormat="false" ht="15" hidden="false" customHeight="true" outlineLevel="0" collapsed="false">
      <c r="A2265" s="13"/>
      <c r="B2265" s="10"/>
      <c r="C2265" s="10"/>
      <c r="D2265" s="14"/>
      <c r="E2265" s="11"/>
      <c r="F2265" s="15" t="str">
        <f aca="false">IF($B2265="","",IF(AND($D2265="",$E2265=""),"",IF(OR($D2265="",$E2265=""),0,ROUND($D2265*$E2265,0))))</f>
        <v/>
      </c>
      <c r="G2265" s="13"/>
      <c r="H2265" s="11"/>
      <c r="I2265" s="15" t="str">
        <f aca="false">IF($F2265="","",$F2265-IF($H2265="",0,$H2265))</f>
        <v/>
      </c>
      <c r="J2265" s="16" t="str">
        <f aca="true">IF(OR($A2265="",$I2265="",$I2265&lt;=0),"",TODAY()-$A2265)</f>
        <v/>
      </c>
      <c r="K2265" s="10"/>
    </row>
    <row r="2266" customFormat="false" ht="15" hidden="false" customHeight="true" outlineLevel="0" collapsed="false">
      <c r="A2266" s="13"/>
      <c r="B2266" s="10"/>
      <c r="C2266" s="10"/>
      <c r="D2266" s="14"/>
      <c r="E2266" s="11"/>
      <c r="F2266" s="15" t="str">
        <f aca="false">IF($B2266="","",IF(AND($D2266="",$E2266=""),"",IF(OR($D2266="",$E2266=""),0,ROUND($D2266*$E2266,0))))</f>
        <v/>
      </c>
      <c r="G2266" s="13"/>
      <c r="H2266" s="11"/>
      <c r="I2266" s="15" t="str">
        <f aca="false">IF($F2266="","",$F2266-IF($H2266="",0,$H2266))</f>
        <v/>
      </c>
      <c r="J2266" s="16" t="str">
        <f aca="true">IF(OR($A2266="",$I2266="",$I2266&lt;=0),"",TODAY()-$A2266)</f>
        <v/>
      </c>
      <c r="K2266" s="10"/>
    </row>
    <row r="2267" customFormat="false" ht="15" hidden="false" customHeight="true" outlineLevel="0" collapsed="false">
      <c r="A2267" s="13"/>
      <c r="B2267" s="10"/>
      <c r="C2267" s="10"/>
      <c r="D2267" s="14"/>
      <c r="E2267" s="11"/>
      <c r="F2267" s="15" t="str">
        <f aca="false">IF($B2267="","",IF(AND($D2267="",$E2267=""),"",IF(OR($D2267="",$E2267=""),0,ROUND($D2267*$E2267,0))))</f>
        <v/>
      </c>
      <c r="G2267" s="13"/>
      <c r="H2267" s="11"/>
      <c r="I2267" s="15" t="str">
        <f aca="false">IF($F2267="","",$F2267-IF($H2267="",0,$H2267))</f>
        <v/>
      </c>
      <c r="J2267" s="16" t="str">
        <f aca="true">IF(OR($A2267="",$I2267="",$I2267&lt;=0),"",TODAY()-$A2267)</f>
        <v/>
      </c>
      <c r="K2267" s="10"/>
    </row>
    <row r="2268" customFormat="false" ht="15" hidden="false" customHeight="true" outlineLevel="0" collapsed="false">
      <c r="A2268" s="13"/>
      <c r="B2268" s="10"/>
      <c r="C2268" s="10"/>
      <c r="D2268" s="14"/>
      <c r="E2268" s="11"/>
      <c r="F2268" s="15" t="str">
        <f aca="false">IF($B2268="","",IF(AND($D2268="",$E2268=""),"",IF(OR($D2268="",$E2268=""),0,ROUND($D2268*$E2268,0))))</f>
        <v/>
      </c>
      <c r="G2268" s="13"/>
      <c r="H2268" s="11"/>
      <c r="I2268" s="15" t="str">
        <f aca="false">IF($F2268="","",$F2268-IF($H2268="",0,$H2268))</f>
        <v/>
      </c>
      <c r="J2268" s="16" t="str">
        <f aca="true">IF(OR($A2268="",$I2268="",$I2268&lt;=0),"",TODAY()-$A2268)</f>
        <v/>
      </c>
      <c r="K2268" s="10"/>
    </row>
    <row r="2269" customFormat="false" ht="15" hidden="false" customHeight="true" outlineLevel="0" collapsed="false">
      <c r="A2269" s="13"/>
      <c r="B2269" s="10"/>
      <c r="C2269" s="10"/>
      <c r="D2269" s="14"/>
      <c r="E2269" s="11"/>
      <c r="F2269" s="15" t="str">
        <f aca="false">IF($B2269="","",IF(AND($D2269="",$E2269=""),"",IF(OR($D2269="",$E2269=""),0,ROUND($D2269*$E2269,0))))</f>
        <v/>
      </c>
      <c r="G2269" s="13"/>
      <c r="H2269" s="11"/>
      <c r="I2269" s="15" t="str">
        <f aca="false">IF($F2269="","",$F2269-IF($H2269="",0,$H2269))</f>
        <v/>
      </c>
      <c r="J2269" s="16" t="str">
        <f aca="true">IF(OR($A2269="",$I2269="",$I2269&lt;=0),"",TODAY()-$A2269)</f>
        <v/>
      </c>
      <c r="K2269" s="10"/>
    </row>
    <row r="2270" customFormat="false" ht="15" hidden="false" customHeight="true" outlineLevel="0" collapsed="false">
      <c r="A2270" s="13"/>
      <c r="B2270" s="10"/>
      <c r="C2270" s="10"/>
      <c r="D2270" s="14"/>
      <c r="E2270" s="11"/>
      <c r="F2270" s="15" t="str">
        <f aca="false">IF($B2270="","",IF(AND($D2270="",$E2270=""),"",IF(OR($D2270="",$E2270=""),0,ROUND($D2270*$E2270,0))))</f>
        <v/>
      </c>
      <c r="G2270" s="13"/>
      <c r="H2270" s="11"/>
      <c r="I2270" s="15" t="str">
        <f aca="false">IF($F2270="","",$F2270-IF($H2270="",0,$H2270))</f>
        <v/>
      </c>
      <c r="J2270" s="16" t="str">
        <f aca="true">IF(OR($A2270="",$I2270="",$I2270&lt;=0),"",TODAY()-$A2270)</f>
        <v/>
      </c>
      <c r="K2270" s="10"/>
    </row>
    <row r="2271" customFormat="false" ht="15" hidden="false" customHeight="true" outlineLevel="0" collapsed="false">
      <c r="A2271" s="13"/>
      <c r="B2271" s="10"/>
      <c r="C2271" s="10"/>
      <c r="D2271" s="14"/>
      <c r="E2271" s="11"/>
      <c r="F2271" s="15" t="str">
        <f aca="false">IF($B2271="","",IF(AND($D2271="",$E2271=""),"",IF(OR($D2271="",$E2271=""),0,ROUND($D2271*$E2271,0))))</f>
        <v/>
      </c>
      <c r="G2271" s="13"/>
      <c r="H2271" s="11"/>
      <c r="I2271" s="15" t="str">
        <f aca="false">IF($F2271="","",$F2271-IF($H2271="",0,$H2271))</f>
        <v/>
      </c>
      <c r="J2271" s="16" t="str">
        <f aca="true">IF(OR($A2271="",$I2271="",$I2271&lt;=0),"",TODAY()-$A2271)</f>
        <v/>
      </c>
      <c r="K2271" s="10"/>
    </row>
    <row r="2272" customFormat="false" ht="15" hidden="false" customHeight="true" outlineLevel="0" collapsed="false">
      <c r="A2272" s="13"/>
      <c r="B2272" s="10"/>
      <c r="C2272" s="10"/>
      <c r="D2272" s="14"/>
      <c r="E2272" s="11"/>
      <c r="F2272" s="15" t="str">
        <f aca="false">IF($B2272="","",IF(AND($D2272="",$E2272=""),"",IF(OR($D2272="",$E2272=""),0,ROUND($D2272*$E2272,0))))</f>
        <v/>
      </c>
      <c r="G2272" s="13"/>
      <c r="H2272" s="11"/>
      <c r="I2272" s="15" t="str">
        <f aca="false">IF($F2272="","",$F2272-IF($H2272="",0,$H2272))</f>
        <v/>
      </c>
      <c r="J2272" s="16" t="str">
        <f aca="true">IF(OR($A2272="",$I2272="",$I2272&lt;=0),"",TODAY()-$A2272)</f>
        <v/>
      </c>
      <c r="K2272" s="10"/>
    </row>
    <row r="2273" customFormat="false" ht="15" hidden="false" customHeight="true" outlineLevel="0" collapsed="false">
      <c r="A2273" s="13"/>
      <c r="B2273" s="10"/>
      <c r="C2273" s="10"/>
      <c r="D2273" s="14"/>
      <c r="E2273" s="11"/>
      <c r="F2273" s="15" t="str">
        <f aca="false">IF($B2273="","",IF(AND($D2273="",$E2273=""),"",IF(OR($D2273="",$E2273=""),0,ROUND($D2273*$E2273,0))))</f>
        <v/>
      </c>
      <c r="G2273" s="13"/>
      <c r="H2273" s="11"/>
      <c r="I2273" s="15" t="str">
        <f aca="false">IF($F2273="","",$F2273-IF($H2273="",0,$H2273))</f>
        <v/>
      </c>
      <c r="J2273" s="16" t="str">
        <f aca="true">IF(OR($A2273="",$I2273="",$I2273&lt;=0),"",TODAY()-$A2273)</f>
        <v/>
      </c>
      <c r="K2273" s="10"/>
    </row>
    <row r="2274" customFormat="false" ht="15" hidden="false" customHeight="true" outlineLevel="0" collapsed="false">
      <c r="A2274" s="13"/>
      <c r="B2274" s="10"/>
      <c r="C2274" s="10"/>
      <c r="D2274" s="14"/>
      <c r="E2274" s="11"/>
      <c r="F2274" s="15" t="str">
        <f aca="false">IF($B2274="","",IF(AND($D2274="",$E2274=""),"",IF(OR($D2274="",$E2274=""),0,ROUND($D2274*$E2274,0))))</f>
        <v/>
      </c>
      <c r="G2274" s="13"/>
      <c r="H2274" s="11"/>
      <c r="I2274" s="15" t="str">
        <f aca="false">IF($F2274="","",$F2274-IF($H2274="",0,$H2274))</f>
        <v/>
      </c>
      <c r="J2274" s="16" t="str">
        <f aca="true">IF(OR($A2274="",$I2274="",$I2274&lt;=0),"",TODAY()-$A2274)</f>
        <v/>
      </c>
      <c r="K2274" s="10"/>
    </row>
    <row r="2275" customFormat="false" ht="15" hidden="false" customHeight="true" outlineLevel="0" collapsed="false">
      <c r="A2275" s="13"/>
      <c r="B2275" s="10"/>
      <c r="C2275" s="10"/>
      <c r="D2275" s="14"/>
      <c r="E2275" s="11"/>
      <c r="F2275" s="15" t="str">
        <f aca="false">IF($B2275="","",IF(AND($D2275="",$E2275=""),"",IF(OR($D2275="",$E2275=""),0,ROUND($D2275*$E2275,0))))</f>
        <v/>
      </c>
      <c r="G2275" s="13"/>
      <c r="H2275" s="11"/>
      <c r="I2275" s="15" t="str">
        <f aca="false">IF($F2275="","",$F2275-IF($H2275="",0,$H2275))</f>
        <v/>
      </c>
      <c r="J2275" s="16" t="str">
        <f aca="true">IF(OR($A2275="",$I2275="",$I2275&lt;=0),"",TODAY()-$A2275)</f>
        <v/>
      </c>
      <c r="K2275" s="10"/>
    </row>
    <row r="2276" customFormat="false" ht="15" hidden="false" customHeight="true" outlineLevel="0" collapsed="false">
      <c r="A2276" s="13"/>
      <c r="B2276" s="10"/>
      <c r="C2276" s="10"/>
      <c r="D2276" s="14"/>
      <c r="E2276" s="11"/>
      <c r="F2276" s="15" t="str">
        <f aca="false">IF($B2276="","",IF(AND($D2276="",$E2276=""),"",IF(OR($D2276="",$E2276=""),0,ROUND($D2276*$E2276,0))))</f>
        <v/>
      </c>
      <c r="G2276" s="13"/>
      <c r="H2276" s="11"/>
      <c r="I2276" s="15" t="str">
        <f aca="false">IF($F2276="","",$F2276-IF($H2276="",0,$H2276))</f>
        <v/>
      </c>
      <c r="J2276" s="16" t="str">
        <f aca="true">IF(OR($A2276="",$I2276="",$I2276&lt;=0),"",TODAY()-$A2276)</f>
        <v/>
      </c>
      <c r="K2276" s="10"/>
    </row>
    <row r="2277" customFormat="false" ht="15" hidden="false" customHeight="true" outlineLevel="0" collapsed="false">
      <c r="A2277" s="13"/>
      <c r="B2277" s="10"/>
      <c r="C2277" s="10"/>
      <c r="D2277" s="14"/>
      <c r="E2277" s="11"/>
      <c r="F2277" s="15" t="str">
        <f aca="false">IF($B2277="","",IF(AND($D2277="",$E2277=""),"",IF(OR($D2277="",$E2277=""),0,ROUND($D2277*$E2277,0))))</f>
        <v/>
      </c>
      <c r="G2277" s="13"/>
      <c r="H2277" s="11"/>
      <c r="I2277" s="15" t="str">
        <f aca="false">IF($F2277="","",$F2277-IF($H2277="",0,$H2277))</f>
        <v/>
      </c>
      <c r="J2277" s="16" t="str">
        <f aca="true">IF(OR($A2277="",$I2277="",$I2277&lt;=0),"",TODAY()-$A2277)</f>
        <v/>
      </c>
      <c r="K2277" s="10"/>
    </row>
    <row r="2278" customFormat="false" ht="15" hidden="false" customHeight="true" outlineLevel="0" collapsed="false">
      <c r="A2278" s="13"/>
      <c r="B2278" s="10"/>
      <c r="C2278" s="10"/>
      <c r="D2278" s="14"/>
      <c r="E2278" s="11"/>
      <c r="F2278" s="15" t="str">
        <f aca="false">IF($B2278="","",IF(AND($D2278="",$E2278=""),"",IF(OR($D2278="",$E2278=""),0,ROUND($D2278*$E2278,0))))</f>
        <v/>
      </c>
      <c r="G2278" s="13"/>
      <c r="H2278" s="11"/>
      <c r="I2278" s="15" t="str">
        <f aca="false">IF($F2278="","",$F2278-IF($H2278="",0,$H2278))</f>
        <v/>
      </c>
      <c r="J2278" s="16" t="str">
        <f aca="true">IF(OR($A2278="",$I2278="",$I2278&lt;=0),"",TODAY()-$A2278)</f>
        <v/>
      </c>
      <c r="K2278" s="10"/>
    </row>
    <row r="2279" customFormat="false" ht="15" hidden="false" customHeight="true" outlineLevel="0" collapsed="false">
      <c r="A2279" s="13"/>
      <c r="B2279" s="10"/>
      <c r="C2279" s="10"/>
      <c r="D2279" s="14"/>
      <c r="E2279" s="11"/>
      <c r="F2279" s="15" t="str">
        <f aca="false">IF($B2279="","",IF(AND($D2279="",$E2279=""),"",IF(OR($D2279="",$E2279=""),0,ROUND($D2279*$E2279,0))))</f>
        <v/>
      </c>
      <c r="G2279" s="13"/>
      <c r="H2279" s="11"/>
      <c r="I2279" s="15" t="str">
        <f aca="false">IF($F2279="","",$F2279-IF($H2279="",0,$H2279))</f>
        <v/>
      </c>
      <c r="J2279" s="16" t="str">
        <f aca="true">IF(OR($A2279="",$I2279="",$I2279&lt;=0),"",TODAY()-$A2279)</f>
        <v/>
      </c>
      <c r="K2279" s="10"/>
    </row>
    <row r="2280" customFormat="false" ht="15" hidden="false" customHeight="true" outlineLevel="0" collapsed="false">
      <c r="A2280" s="13"/>
      <c r="B2280" s="10"/>
      <c r="C2280" s="10"/>
      <c r="D2280" s="14"/>
      <c r="E2280" s="11"/>
      <c r="F2280" s="15" t="str">
        <f aca="false">IF($B2280="","",IF(AND($D2280="",$E2280=""),"",IF(OR($D2280="",$E2280=""),0,ROUND($D2280*$E2280,0))))</f>
        <v/>
      </c>
      <c r="G2280" s="13"/>
      <c r="H2280" s="11"/>
      <c r="I2280" s="15" t="str">
        <f aca="false">IF($F2280="","",$F2280-IF($H2280="",0,$H2280))</f>
        <v/>
      </c>
      <c r="J2280" s="16" t="str">
        <f aca="true">IF(OR($A2280="",$I2280="",$I2280&lt;=0),"",TODAY()-$A2280)</f>
        <v/>
      </c>
      <c r="K2280" s="10"/>
    </row>
    <row r="2281" customFormat="false" ht="15" hidden="false" customHeight="true" outlineLevel="0" collapsed="false">
      <c r="A2281" s="13"/>
      <c r="B2281" s="10"/>
      <c r="C2281" s="10"/>
      <c r="D2281" s="14"/>
      <c r="E2281" s="11"/>
      <c r="F2281" s="15" t="str">
        <f aca="false">IF($B2281="","",IF(AND($D2281="",$E2281=""),"",IF(OR($D2281="",$E2281=""),0,ROUND($D2281*$E2281,0))))</f>
        <v/>
      </c>
      <c r="G2281" s="13"/>
      <c r="H2281" s="11"/>
      <c r="I2281" s="15" t="str">
        <f aca="false">IF($F2281="","",$F2281-IF($H2281="",0,$H2281))</f>
        <v/>
      </c>
      <c r="J2281" s="16" t="str">
        <f aca="true">IF(OR($A2281="",$I2281="",$I2281&lt;=0),"",TODAY()-$A2281)</f>
        <v/>
      </c>
      <c r="K2281" s="10"/>
    </row>
    <row r="2282" customFormat="false" ht="15" hidden="false" customHeight="true" outlineLevel="0" collapsed="false">
      <c r="A2282" s="13"/>
      <c r="B2282" s="10"/>
      <c r="C2282" s="10"/>
      <c r="D2282" s="14"/>
      <c r="E2282" s="11"/>
      <c r="F2282" s="15" t="str">
        <f aca="false">IF($B2282="","",IF(AND($D2282="",$E2282=""),"",IF(OR($D2282="",$E2282=""),0,ROUND($D2282*$E2282,0))))</f>
        <v/>
      </c>
      <c r="G2282" s="13"/>
      <c r="H2282" s="11"/>
      <c r="I2282" s="15" t="str">
        <f aca="false">IF($F2282="","",$F2282-IF($H2282="",0,$H2282))</f>
        <v/>
      </c>
      <c r="J2282" s="16" t="str">
        <f aca="true">IF(OR($A2282="",$I2282="",$I2282&lt;=0),"",TODAY()-$A2282)</f>
        <v/>
      </c>
      <c r="K2282" s="10"/>
    </row>
    <row r="2283" customFormat="false" ht="15" hidden="false" customHeight="true" outlineLevel="0" collapsed="false">
      <c r="A2283" s="13"/>
      <c r="B2283" s="10"/>
      <c r="C2283" s="10"/>
      <c r="D2283" s="14"/>
      <c r="E2283" s="11"/>
      <c r="F2283" s="15" t="str">
        <f aca="false">IF($B2283="","",IF(AND($D2283="",$E2283=""),"",IF(OR($D2283="",$E2283=""),0,ROUND($D2283*$E2283,0))))</f>
        <v/>
      </c>
      <c r="G2283" s="13"/>
      <c r="H2283" s="11"/>
      <c r="I2283" s="15" t="str">
        <f aca="false">IF($F2283="","",$F2283-IF($H2283="",0,$H2283))</f>
        <v/>
      </c>
      <c r="J2283" s="16" t="str">
        <f aca="true">IF(OR($A2283="",$I2283="",$I2283&lt;=0),"",TODAY()-$A2283)</f>
        <v/>
      </c>
      <c r="K2283" s="10"/>
    </row>
    <row r="2284" customFormat="false" ht="15" hidden="false" customHeight="true" outlineLevel="0" collapsed="false">
      <c r="A2284" s="13"/>
      <c r="B2284" s="10"/>
      <c r="C2284" s="10"/>
      <c r="D2284" s="14"/>
      <c r="E2284" s="11"/>
      <c r="F2284" s="15" t="str">
        <f aca="false">IF($B2284="","",IF(AND($D2284="",$E2284=""),"",IF(OR($D2284="",$E2284=""),0,ROUND($D2284*$E2284,0))))</f>
        <v/>
      </c>
      <c r="G2284" s="13"/>
      <c r="H2284" s="11"/>
      <c r="I2284" s="15" t="str">
        <f aca="false">IF($F2284="","",$F2284-IF($H2284="",0,$H2284))</f>
        <v/>
      </c>
      <c r="J2284" s="16" t="str">
        <f aca="true">IF(OR($A2284="",$I2284="",$I2284&lt;=0),"",TODAY()-$A2284)</f>
        <v/>
      </c>
      <c r="K2284" s="10"/>
    </row>
    <row r="2285" customFormat="false" ht="15" hidden="false" customHeight="true" outlineLevel="0" collapsed="false">
      <c r="A2285" s="13"/>
      <c r="B2285" s="10"/>
      <c r="C2285" s="10"/>
      <c r="D2285" s="14"/>
      <c r="E2285" s="11"/>
      <c r="F2285" s="15" t="str">
        <f aca="false">IF($B2285="","",IF(AND($D2285="",$E2285=""),"",IF(OR($D2285="",$E2285=""),0,ROUND($D2285*$E2285,0))))</f>
        <v/>
      </c>
      <c r="G2285" s="13"/>
      <c r="H2285" s="11"/>
      <c r="I2285" s="15" t="str">
        <f aca="false">IF($F2285="","",$F2285-IF($H2285="",0,$H2285))</f>
        <v/>
      </c>
      <c r="J2285" s="16" t="str">
        <f aca="true">IF(OR($A2285="",$I2285="",$I2285&lt;=0),"",TODAY()-$A2285)</f>
        <v/>
      </c>
      <c r="K2285" s="10"/>
    </row>
    <row r="2286" customFormat="false" ht="15" hidden="false" customHeight="true" outlineLevel="0" collapsed="false">
      <c r="A2286" s="13"/>
      <c r="B2286" s="10"/>
      <c r="C2286" s="10"/>
      <c r="D2286" s="14"/>
      <c r="E2286" s="11"/>
      <c r="F2286" s="15" t="str">
        <f aca="false">IF($B2286="","",IF(AND($D2286="",$E2286=""),"",IF(OR($D2286="",$E2286=""),0,ROUND($D2286*$E2286,0))))</f>
        <v/>
      </c>
      <c r="G2286" s="13"/>
      <c r="H2286" s="11"/>
      <c r="I2286" s="15" t="str">
        <f aca="false">IF($F2286="","",$F2286-IF($H2286="",0,$H2286))</f>
        <v/>
      </c>
      <c r="J2286" s="16" t="str">
        <f aca="true">IF(OR($A2286="",$I2286="",$I2286&lt;=0),"",TODAY()-$A2286)</f>
        <v/>
      </c>
      <c r="K2286" s="10"/>
    </row>
    <row r="2287" customFormat="false" ht="15" hidden="false" customHeight="true" outlineLevel="0" collapsed="false">
      <c r="A2287" s="13"/>
      <c r="B2287" s="10"/>
      <c r="C2287" s="10"/>
      <c r="D2287" s="14"/>
      <c r="E2287" s="11"/>
      <c r="F2287" s="15" t="str">
        <f aca="false">IF($B2287="","",IF(AND($D2287="",$E2287=""),"",IF(OR($D2287="",$E2287=""),0,ROUND($D2287*$E2287,0))))</f>
        <v/>
      </c>
      <c r="G2287" s="13"/>
      <c r="H2287" s="11"/>
      <c r="I2287" s="15" t="str">
        <f aca="false">IF($F2287="","",$F2287-IF($H2287="",0,$H2287))</f>
        <v/>
      </c>
      <c r="J2287" s="16" t="str">
        <f aca="true">IF(OR($A2287="",$I2287="",$I2287&lt;=0),"",TODAY()-$A2287)</f>
        <v/>
      </c>
      <c r="K2287" s="10"/>
    </row>
    <row r="2288" customFormat="false" ht="15" hidden="false" customHeight="true" outlineLevel="0" collapsed="false">
      <c r="A2288" s="13"/>
      <c r="B2288" s="10"/>
      <c r="C2288" s="10"/>
      <c r="D2288" s="14"/>
      <c r="E2288" s="11"/>
      <c r="F2288" s="15" t="str">
        <f aca="false">IF($B2288="","",IF(AND($D2288="",$E2288=""),"",IF(OR($D2288="",$E2288=""),0,ROUND($D2288*$E2288,0))))</f>
        <v/>
      </c>
      <c r="G2288" s="13"/>
      <c r="H2288" s="11"/>
      <c r="I2288" s="15" t="str">
        <f aca="false">IF($F2288="","",$F2288-IF($H2288="",0,$H2288))</f>
        <v/>
      </c>
      <c r="J2288" s="16" t="str">
        <f aca="true">IF(OR($A2288="",$I2288="",$I2288&lt;=0),"",TODAY()-$A2288)</f>
        <v/>
      </c>
      <c r="K2288" s="10"/>
    </row>
    <row r="2289" customFormat="false" ht="15" hidden="false" customHeight="true" outlineLevel="0" collapsed="false">
      <c r="A2289" s="13"/>
      <c r="B2289" s="10"/>
      <c r="C2289" s="10"/>
      <c r="D2289" s="14"/>
      <c r="E2289" s="11"/>
      <c r="F2289" s="15" t="str">
        <f aca="false">IF($B2289="","",IF(AND($D2289="",$E2289=""),"",IF(OR($D2289="",$E2289=""),0,ROUND($D2289*$E2289,0))))</f>
        <v/>
      </c>
      <c r="G2289" s="13"/>
      <c r="H2289" s="11"/>
      <c r="I2289" s="15" t="str">
        <f aca="false">IF($F2289="","",$F2289-IF($H2289="",0,$H2289))</f>
        <v/>
      </c>
      <c r="J2289" s="16" t="str">
        <f aca="true">IF(OR($A2289="",$I2289="",$I2289&lt;=0),"",TODAY()-$A2289)</f>
        <v/>
      </c>
      <c r="K2289" s="10"/>
    </row>
    <row r="2290" customFormat="false" ht="15" hidden="false" customHeight="true" outlineLevel="0" collapsed="false">
      <c r="A2290" s="13"/>
      <c r="B2290" s="10"/>
      <c r="C2290" s="10"/>
      <c r="D2290" s="14"/>
      <c r="E2290" s="11"/>
      <c r="F2290" s="15" t="str">
        <f aca="false">IF($B2290="","",IF(AND($D2290="",$E2290=""),"",IF(OR($D2290="",$E2290=""),0,ROUND($D2290*$E2290,0))))</f>
        <v/>
      </c>
      <c r="G2290" s="13"/>
      <c r="H2290" s="11"/>
      <c r="I2290" s="15" t="str">
        <f aca="false">IF($F2290="","",$F2290-IF($H2290="",0,$H2290))</f>
        <v/>
      </c>
      <c r="J2290" s="16" t="str">
        <f aca="true">IF(OR($A2290="",$I2290="",$I2290&lt;=0),"",TODAY()-$A2290)</f>
        <v/>
      </c>
      <c r="K2290" s="10"/>
    </row>
    <row r="2291" customFormat="false" ht="15" hidden="false" customHeight="true" outlineLevel="0" collapsed="false">
      <c r="A2291" s="13"/>
      <c r="B2291" s="10"/>
      <c r="C2291" s="10"/>
      <c r="D2291" s="14"/>
      <c r="E2291" s="11"/>
      <c r="F2291" s="15" t="str">
        <f aca="false">IF($B2291="","",IF(AND($D2291="",$E2291=""),"",IF(OR($D2291="",$E2291=""),0,ROUND($D2291*$E2291,0))))</f>
        <v/>
      </c>
      <c r="G2291" s="13"/>
      <c r="H2291" s="11"/>
      <c r="I2291" s="15" t="str">
        <f aca="false">IF($F2291="","",$F2291-IF($H2291="",0,$H2291))</f>
        <v/>
      </c>
      <c r="J2291" s="16" t="str">
        <f aca="true">IF(OR($A2291="",$I2291="",$I2291&lt;=0),"",TODAY()-$A2291)</f>
        <v/>
      </c>
      <c r="K2291" s="10"/>
    </row>
    <row r="2292" customFormat="false" ht="15" hidden="false" customHeight="true" outlineLevel="0" collapsed="false">
      <c r="A2292" s="13"/>
      <c r="B2292" s="10"/>
      <c r="C2292" s="10"/>
      <c r="D2292" s="14"/>
      <c r="E2292" s="11"/>
      <c r="F2292" s="15" t="str">
        <f aca="false">IF($B2292="","",IF(AND($D2292="",$E2292=""),"",IF(OR($D2292="",$E2292=""),0,ROUND($D2292*$E2292,0))))</f>
        <v/>
      </c>
      <c r="G2292" s="13"/>
      <c r="H2292" s="11"/>
      <c r="I2292" s="15" t="str">
        <f aca="false">IF($F2292="","",$F2292-IF($H2292="",0,$H2292))</f>
        <v/>
      </c>
      <c r="J2292" s="16" t="str">
        <f aca="true">IF(OR($A2292="",$I2292="",$I2292&lt;=0),"",TODAY()-$A2292)</f>
        <v/>
      </c>
      <c r="K2292" s="10"/>
    </row>
    <row r="2293" customFormat="false" ht="15" hidden="false" customHeight="true" outlineLevel="0" collapsed="false">
      <c r="A2293" s="13"/>
      <c r="B2293" s="10"/>
      <c r="C2293" s="10"/>
      <c r="D2293" s="14"/>
      <c r="E2293" s="11"/>
      <c r="F2293" s="15" t="str">
        <f aca="false">IF($B2293="","",IF(AND($D2293="",$E2293=""),"",IF(OR($D2293="",$E2293=""),0,ROUND($D2293*$E2293,0))))</f>
        <v/>
      </c>
      <c r="G2293" s="13"/>
      <c r="H2293" s="11"/>
      <c r="I2293" s="15" t="str">
        <f aca="false">IF($F2293="","",$F2293-IF($H2293="",0,$H2293))</f>
        <v/>
      </c>
      <c r="J2293" s="16" t="str">
        <f aca="true">IF(OR($A2293="",$I2293="",$I2293&lt;=0),"",TODAY()-$A2293)</f>
        <v/>
      </c>
      <c r="K2293" s="10"/>
    </row>
    <row r="2294" customFormat="false" ht="15" hidden="false" customHeight="true" outlineLevel="0" collapsed="false">
      <c r="A2294" s="13"/>
      <c r="B2294" s="10"/>
      <c r="C2294" s="10"/>
      <c r="D2294" s="14"/>
      <c r="E2294" s="11"/>
      <c r="F2294" s="15" t="str">
        <f aca="false">IF($B2294="","",IF(AND($D2294="",$E2294=""),"",IF(OR($D2294="",$E2294=""),0,ROUND($D2294*$E2294,0))))</f>
        <v/>
      </c>
      <c r="G2294" s="13"/>
      <c r="H2294" s="11"/>
      <c r="I2294" s="15" t="str">
        <f aca="false">IF($F2294="","",$F2294-IF($H2294="",0,$H2294))</f>
        <v/>
      </c>
      <c r="J2294" s="16" t="str">
        <f aca="true">IF(OR($A2294="",$I2294="",$I2294&lt;=0),"",TODAY()-$A2294)</f>
        <v/>
      </c>
      <c r="K2294" s="10"/>
    </row>
    <row r="2295" customFormat="false" ht="15" hidden="false" customHeight="true" outlineLevel="0" collapsed="false">
      <c r="A2295" s="13"/>
      <c r="B2295" s="10"/>
      <c r="C2295" s="10"/>
      <c r="D2295" s="14"/>
      <c r="E2295" s="11"/>
      <c r="F2295" s="15" t="str">
        <f aca="false">IF($B2295="","",IF(AND($D2295="",$E2295=""),"",IF(OR($D2295="",$E2295=""),0,ROUND($D2295*$E2295,0))))</f>
        <v/>
      </c>
      <c r="G2295" s="13"/>
      <c r="H2295" s="11"/>
      <c r="I2295" s="15" t="str">
        <f aca="false">IF($F2295="","",$F2295-IF($H2295="",0,$H2295))</f>
        <v/>
      </c>
      <c r="J2295" s="16" t="str">
        <f aca="true">IF(OR($A2295="",$I2295="",$I2295&lt;=0),"",TODAY()-$A2295)</f>
        <v/>
      </c>
      <c r="K2295" s="10"/>
    </row>
    <row r="2296" customFormat="false" ht="15" hidden="false" customHeight="true" outlineLevel="0" collapsed="false">
      <c r="A2296" s="13"/>
      <c r="B2296" s="10"/>
      <c r="C2296" s="10"/>
      <c r="D2296" s="14"/>
      <c r="E2296" s="11"/>
      <c r="F2296" s="15" t="str">
        <f aca="false">IF($B2296="","",IF(AND($D2296="",$E2296=""),"",IF(OR($D2296="",$E2296=""),0,ROUND($D2296*$E2296,0))))</f>
        <v/>
      </c>
      <c r="G2296" s="13"/>
      <c r="H2296" s="11"/>
      <c r="I2296" s="15" t="str">
        <f aca="false">IF($F2296="","",$F2296-IF($H2296="",0,$H2296))</f>
        <v/>
      </c>
      <c r="J2296" s="16" t="str">
        <f aca="true">IF(OR($A2296="",$I2296="",$I2296&lt;=0),"",TODAY()-$A2296)</f>
        <v/>
      </c>
      <c r="K2296" s="10"/>
    </row>
    <row r="2297" customFormat="false" ht="15" hidden="false" customHeight="true" outlineLevel="0" collapsed="false">
      <c r="A2297" s="13"/>
      <c r="B2297" s="10"/>
      <c r="C2297" s="10"/>
      <c r="D2297" s="14"/>
      <c r="E2297" s="11"/>
      <c r="F2297" s="15" t="str">
        <f aca="false">IF($B2297="","",IF(AND($D2297="",$E2297=""),"",IF(OR($D2297="",$E2297=""),0,ROUND($D2297*$E2297,0))))</f>
        <v/>
      </c>
      <c r="G2297" s="13"/>
      <c r="H2297" s="11"/>
      <c r="I2297" s="15" t="str">
        <f aca="false">IF($F2297="","",$F2297-IF($H2297="",0,$H2297))</f>
        <v/>
      </c>
      <c r="J2297" s="16" t="str">
        <f aca="true">IF(OR($A2297="",$I2297="",$I2297&lt;=0),"",TODAY()-$A2297)</f>
        <v/>
      </c>
      <c r="K2297" s="10"/>
    </row>
    <row r="2298" customFormat="false" ht="15" hidden="false" customHeight="true" outlineLevel="0" collapsed="false">
      <c r="A2298" s="13"/>
      <c r="B2298" s="10"/>
      <c r="C2298" s="10"/>
      <c r="D2298" s="14"/>
      <c r="E2298" s="11"/>
      <c r="F2298" s="15" t="str">
        <f aca="false">IF($B2298="","",IF(AND($D2298="",$E2298=""),"",IF(OR($D2298="",$E2298=""),0,ROUND($D2298*$E2298,0))))</f>
        <v/>
      </c>
      <c r="G2298" s="13"/>
      <c r="H2298" s="11"/>
      <c r="I2298" s="15" t="str">
        <f aca="false">IF($F2298="","",$F2298-IF($H2298="",0,$H2298))</f>
        <v/>
      </c>
      <c r="J2298" s="16" t="str">
        <f aca="true">IF(OR($A2298="",$I2298="",$I2298&lt;=0),"",TODAY()-$A2298)</f>
        <v/>
      </c>
      <c r="K2298" s="10"/>
    </row>
    <row r="2299" customFormat="false" ht="15" hidden="false" customHeight="true" outlineLevel="0" collapsed="false">
      <c r="A2299" s="13"/>
      <c r="B2299" s="10"/>
      <c r="C2299" s="10"/>
      <c r="D2299" s="14"/>
      <c r="E2299" s="11"/>
      <c r="F2299" s="15" t="str">
        <f aca="false">IF($B2299="","",IF(AND($D2299="",$E2299=""),"",IF(OR($D2299="",$E2299=""),0,ROUND($D2299*$E2299,0))))</f>
        <v/>
      </c>
      <c r="G2299" s="13"/>
      <c r="H2299" s="11"/>
      <c r="I2299" s="15" t="str">
        <f aca="false">IF($F2299="","",$F2299-IF($H2299="",0,$H2299))</f>
        <v/>
      </c>
      <c r="J2299" s="16" t="str">
        <f aca="true">IF(OR($A2299="",$I2299="",$I2299&lt;=0),"",TODAY()-$A2299)</f>
        <v/>
      </c>
      <c r="K2299" s="10"/>
    </row>
    <row r="2300" customFormat="false" ht="15" hidden="false" customHeight="true" outlineLevel="0" collapsed="false">
      <c r="A2300" s="13"/>
      <c r="B2300" s="10"/>
      <c r="C2300" s="10"/>
      <c r="D2300" s="14"/>
      <c r="E2300" s="11"/>
      <c r="F2300" s="15" t="str">
        <f aca="false">IF($B2300="","",IF(AND($D2300="",$E2300=""),"",IF(OR($D2300="",$E2300=""),0,ROUND($D2300*$E2300,0))))</f>
        <v/>
      </c>
      <c r="G2300" s="13"/>
      <c r="H2300" s="11"/>
      <c r="I2300" s="15" t="str">
        <f aca="false">IF($F2300="","",$F2300-IF($H2300="",0,$H2300))</f>
        <v/>
      </c>
      <c r="J2300" s="16" t="str">
        <f aca="true">IF(OR($A2300="",$I2300="",$I2300&lt;=0),"",TODAY()-$A2300)</f>
        <v/>
      </c>
      <c r="K2300" s="10"/>
    </row>
    <row r="2301" customFormat="false" ht="15" hidden="false" customHeight="true" outlineLevel="0" collapsed="false">
      <c r="A2301" s="13"/>
      <c r="B2301" s="10"/>
      <c r="C2301" s="10"/>
      <c r="D2301" s="14"/>
      <c r="E2301" s="11"/>
      <c r="F2301" s="15" t="str">
        <f aca="false">IF($B2301="","",IF(AND($D2301="",$E2301=""),"",IF(OR($D2301="",$E2301=""),0,ROUND($D2301*$E2301,0))))</f>
        <v/>
      </c>
      <c r="G2301" s="13"/>
      <c r="H2301" s="11"/>
      <c r="I2301" s="15" t="str">
        <f aca="false">IF($F2301="","",$F2301-IF($H2301="",0,$H2301))</f>
        <v/>
      </c>
      <c r="J2301" s="16" t="str">
        <f aca="true">IF(OR($A2301="",$I2301="",$I2301&lt;=0),"",TODAY()-$A2301)</f>
        <v/>
      </c>
      <c r="K2301" s="10"/>
    </row>
    <row r="2302" customFormat="false" ht="15" hidden="false" customHeight="true" outlineLevel="0" collapsed="false">
      <c r="A2302" s="13"/>
      <c r="B2302" s="10"/>
      <c r="C2302" s="10"/>
      <c r="D2302" s="14"/>
      <c r="E2302" s="11"/>
      <c r="F2302" s="15" t="str">
        <f aca="false">IF($B2302="","",IF(AND($D2302="",$E2302=""),"",IF(OR($D2302="",$E2302=""),0,ROUND($D2302*$E2302,0))))</f>
        <v/>
      </c>
      <c r="G2302" s="13"/>
      <c r="H2302" s="11"/>
      <c r="I2302" s="15" t="str">
        <f aca="false">IF($F2302="","",$F2302-IF($H2302="",0,$H2302))</f>
        <v/>
      </c>
      <c r="J2302" s="16" t="str">
        <f aca="true">IF(OR($A2302="",$I2302="",$I2302&lt;=0),"",TODAY()-$A2302)</f>
        <v/>
      </c>
      <c r="K2302" s="10"/>
    </row>
    <row r="2303" customFormat="false" ht="15" hidden="false" customHeight="true" outlineLevel="0" collapsed="false">
      <c r="A2303" s="13"/>
      <c r="B2303" s="10"/>
      <c r="C2303" s="10"/>
      <c r="D2303" s="14"/>
      <c r="E2303" s="11"/>
      <c r="F2303" s="15" t="str">
        <f aca="false">IF($B2303="","",IF(AND($D2303="",$E2303=""),"",IF(OR($D2303="",$E2303=""),0,ROUND($D2303*$E2303,0))))</f>
        <v/>
      </c>
      <c r="G2303" s="13"/>
      <c r="H2303" s="11"/>
      <c r="I2303" s="15" t="str">
        <f aca="false">IF($F2303="","",$F2303-IF($H2303="",0,$H2303))</f>
        <v/>
      </c>
      <c r="J2303" s="16" t="str">
        <f aca="true">IF(OR($A2303="",$I2303="",$I2303&lt;=0),"",TODAY()-$A2303)</f>
        <v/>
      </c>
      <c r="K2303" s="10"/>
    </row>
    <row r="2304" customFormat="false" ht="15" hidden="false" customHeight="true" outlineLevel="0" collapsed="false">
      <c r="A2304" s="13"/>
      <c r="B2304" s="10"/>
      <c r="C2304" s="10"/>
      <c r="D2304" s="14"/>
      <c r="E2304" s="11"/>
      <c r="F2304" s="15" t="str">
        <f aca="false">IF($B2304="","",IF(AND($D2304="",$E2304=""),"",IF(OR($D2304="",$E2304=""),0,ROUND($D2304*$E2304,0))))</f>
        <v/>
      </c>
      <c r="G2304" s="13"/>
      <c r="H2304" s="11"/>
      <c r="I2304" s="15" t="str">
        <f aca="false">IF($F2304="","",$F2304-IF($H2304="",0,$H2304))</f>
        <v/>
      </c>
      <c r="J2304" s="16" t="str">
        <f aca="true">IF(OR($A2304="",$I2304="",$I2304&lt;=0),"",TODAY()-$A2304)</f>
        <v/>
      </c>
      <c r="K2304" s="10"/>
    </row>
    <row r="2305" customFormat="false" ht="15" hidden="false" customHeight="true" outlineLevel="0" collapsed="false">
      <c r="A2305" s="13"/>
      <c r="B2305" s="10"/>
      <c r="C2305" s="10"/>
      <c r="D2305" s="14"/>
      <c r="E2305" s="11"/>
      <c r="F2305" s="15" t="str">
        <f aca="false">IF($B2305="","",IF(AND($D2305="",$E2305=""),"",IF(OR($D2305="",$E2305=""),0,ROUND($D2305*$E2305,0))))</f>
        <v/>
      </c>
      <c r="G2305" s="13"/>
      <c r="H2305" s="11"/>
      <c r="I2305" s="15" t="str">
        <f aca="false">IF($F2305="","",$F2305-IF($H2305="",0,$H2305))</f>
        <v/>
      </c>
      <c r="J2305" s="16" t="str">
        <f aca="true">IF(OR($A2305="",$I2305="",$I2305&lt;=0),"",TODAY()-$A2305)</f>
        <v/>
      </c>
      <c r="K2305" s="10"/>
    </row>
    <row r="2306" customFormat="false" ht="15" hidden="false" customHeight="true" outlineLevel="0" collapsed="false">
      <c r="A2306" s="13"/>
      <c r="B2306" s="10"/>
      <c r="C2306" s="10"/>
      <c r="D2306" s="14"/>
      <c r="E2306" s="11"/>
      <c r="F2306" s="15" t="str">
        <f aca="false">IF($B2306="","",IF(AND($D2306="",$E2306=""),"",IF(OR($D2306="",$E2306=""),0,ROUND($D2306*$E2306,0))))</f>
        <v/>
      </c>
      <c r="G2306" s="13"/>
      <c r="H2306" s="11"/>
      <c r="I2306" s="15" t="str">
        <f aca="false">IF($F2306="","",$F2306-IF($H2306="",0,$H2306))</f>
        <v/>
      </c>
      <c r="J2306" s="16" t="str">
        <f aca="true">IF(OR($A2306="",$I2306="",$I2306&lt;=0),"",TODAY()-$A2306)</f>
        <v/>
      </c>
      <c r="K2306" s="10"/>
    </row>
    <row r="2307" customFormat="false" ht="15" hidden="false" customHeight="true" outlineLevel="0" collapsed="false">
      <c r="A2307" s="13"/>
      <c r="B2307" s="10"/>
      <c r="C2307" s="10"/>
      <c r="D2307" s="14"/>
      <c r="E2307" s="11"/>
      <c r="F2307" s="15" t="str">
        <f aca="false">IF($B2307="","",IF(AND($D2307="",$E2307=""),"",IF(OR($D2307="",$E2307=""),0,ROUND($D2307*$E2307,0))))</f>
        <v/>
      </c>
      <c r="G2307" s="13"/>
      <c r="H2307" s="11"/>
      <c r="I2307" s="15" t="str">
        <f aca="false">IF($F2307="","",$F2307-IF($H2307="",0,$H2307))</f>
        <v/>
      </c>
      <c r="J2307" s="16" t="str">
        <f aca="true">IF(OR($A2307="",$I2307="",$I2307&lt;=0),"",TODAY()-$A2307)</f>
        <v/>
      </c>
      <c r="K2307" s="10"/>
    </row>
    <row r="2308" customFormat="false" ht="15" hidden="false" customHeight="true" outlineLevel="0" collapsed="false">
      <c r="A2308" s="13"/>
      <c r="B2308" s="10"/>
      <c r="C2308" s="10"/>
      <c r="D2308" s="14"/>
      <c r="E2308" s="11"/>
      <c r="F2308" s="15" t="str">
        <f aca="false">IF($B2308="","",IF(AND($D2308="",$E2308=""),"",IF(OR($D2308="",$E2308=""),0,ROUND($D2308*$E2308,0))))</f>
        <v/>
      </c>
      <c r="G2308" s="13"/>
      <c r="H2308" s="11"/>
      <c r="I2308" s="15" t="str">
        <f aca="false">IF($F2308="","",$F2308-IF($H2308="",0,$H2308))</f>
        <v/>
      </c>
      <c r="J2308" s="16" t="str">
        <f aca="true">IF(OR($A2308="",$I2308="",$I2308&lt;=0),"",TODAY()-$A2308)</f>
        <v/>
      </c>
      <c r="K2308" s="10"/>
    </row>
    <row r="2309" customFormat="false" ht="15" hidden="false" customHeight="true" outlineLevel="0" collapsed="false">
      <c r="A2309" s="13"/>
      <c r="B2309" s="10"/>
      <c r="C2309" s="10"/>
      <c r="D2309" s="14"/>
      <c r="E2309" s="11"/>
      <c r="F2309" s="15" t="str">
        <f aca="false">IF($B2309="","",IF(AND($D2309="",$E2309=""),"",IF(OR($D2309="",$E2309=""),0,ROUND($D2309*$E2309,0))))</f>
        <v/>
      </c>
      <c r="G2309" s="13"/>
      <c r="H2309" s="11"/>
      <c r="I2309" s="15" t="str">
        <f aca="false">IF($F2309="","",$F2309-IF($H2309="",0,$H2309))</f>
        <v/>
      </c>
      <c r="J2309" s="16" t="str">
        <f aca="true">IF(OR($A2309="",$I2309="",$I2309&lt;=0),"",TODAY()-$A2309)</f>
        <v/>
      </c>
      <c r="K2309" s="10"/>
    </row>
    <row r="2310" customFormat="false" ht="15" hidden="false" customHeight="true" outlineLevel="0" collapsed="false">
      <c r="A2310" s="13"/>
      <c r="B2310" s="10"/>
      <c r="C2310" s="10"/>
      <c r="D2310" s="14"/>
      <c r="E2310" s="11"/>
      <c r="F2310" s="15" t="str">
        <f aca="false">IF($B2310="","",IF(AND($D2310="",$E2310=""),"",IF(OR($D2310="",$E2310=""),0,ROUND($D2310*$E2310,0))))</f>
        <v/>
      </c>
      <c r="G2310" s="13"/>
      <c r="H2310" s="11"/>
      <c r="I2310" s="15" t="str">
        <f aca="false">IF($F2310="","",$F2310-IF($H2310="",0,$H2310))</f>
        <v/>
      </c>
      <c r="J2310" s="16" t="str">
        <f aca="true">IF(OR($A2310="",$I2310="",$I2310&lt;=0),"",TODAY()-$A2310)</f>
        <v/>
      </c>
      <c r="K2310" s="10"/>
    </row>
    <row r="2311" customFormat="false" ht="15" hidden="false" customHeight="true" outlineLevel="0" collapsed="false">
      <c r="A2311" s="13"/>
      <c r="B2311" s="10"/>
      <c r="C2311" s="10"/>
      <c r="D2311" s="14"/>
      <c r="E2311" s="11"/>
      <c r="F2311" s="15" t="str">
        <f aca="false">IF($B2311="","",IF(AND($D2311="",$E2311=""),"",IF(OR($D2311="",$E2311=""),0,ROUND($D2311*$E2311,0))))</f>
        <v/>
      </c>
      <c r="G2311" s="13"/>
      <c r="H2311" s="11"/>
      <c r="I2311" s="15" t="str">
        <f aca="false">IF($F2311="","",$F2311-IF($H2311="",0,$H2311))</f>
        <v/>
      </c>
      <c r="J2311" s="16" t="str">
        <f aca="true">IF(OR($A2311="",$I2311="",$I2311&lt;=0),"",TODAY()-$A2311)</f>
        <v/>
      </c>
      <c r="K2311" s="10"/>
    </row>
    <row r="2312" customFormat="false" ht="15" hidden="false" customHeight="true" outlineLevel="0" collapsed="false">
      <c r="A2312" s="13"/>
      <c r="B2312" s="10"/>
      <c r="C2312" s="10"/>
      <c r="D2312" s="14"/>
      <c r="E2312" s="11"/>
      <c r="F2312" s="15" t="str">
        <f aca="false">IF($B2312="","",IF(AND($D2312="",$E2312=""),"",IF(OR($D2312="",$E2312=""),0,ROUND($D2312*$E2312,0))))</f>
        <v/>
      </c>
      <c r="G2312" s="13"/>
      <c r="H2312" s="11"/>
      <c r="I2312" s="15" t="str">
        <f aca="false">IF($F2312="","",$F2312-IF($H2312="",0,$H2312))</f>
        <v/>
      </c>
      <c r="J2312" s="16" t="str">
        <f aca="true">IF(OR($A2312="",$I2312="",$I2312&lt;=0),"",TODAY()-$A2312)</f>
        <v/>
      </c>
      <c r="K2312" s="10"/>
    </row>
    <row r="2313" customFormat="false" ht="15" hidden="false" customHeight="true" outlineLevel="0" collapsed="false">
      <c r="A2313" s="13"/>
      <c r="B2313" s="10"/>
      <c r="C2313" s="10"/>
      <c r="D2313" s="14"/>
      <c r="E2313" s="11"/>
      <c r="F2313" s="15" t="str">
        <f aca="false">IF($B2313="","",IF(AND($D2313="",$E2313=""),"",IF(OR($D2313="",$E2313=""),0,ROUND($D2313*$E2313,0))))</f>
        <v/>
      </c>
      <c r="G2313" s="13"/>
      <c r="H2313" s="11"/>
      <c r="I2313" s="15" t="str">
        <f aca="false">IF($F2313="","",$F2313-IF($H2313="",0,$H2313))</f>
        <v/>
      </c>
      <c r="J2313" s="16" t="str">
        <f aca="true">IF(OR($A2313="",$I2313="",$I2313&lt;=0),"",TODAY()-$A2313)</f>
        <v/>
      </c>
      <c r="K2313" s="10"/>
    </row>
    <row r="2314" customFormat="false" ht="15" hidden="false" customHeight="true" outlineLevel="0" collapsed="false">
      <c r="A2314" s="13"/>
      <c r="B2314" s="10"/>
      <c r="C2314" s="10"/>
      <c r="D2314" s="14"/>
      <c r="E2314" s="11"/>
      <c r="F2314" s="15" t="str">
        <f aca="false">IF($B2314="","",IF(AND($D2314="",$E2314=""),"",IF(OR($D2314="",$E2314=""),0,ROUND($D2314*$E2314,0))))</f>
        <v/>
      </c>
      <c r="G2314" s="13"/>
      <c r="H2314" s="11"/>
      <c r="I2314" s="15" t="str">
        <f aca="false">IF($F2314="","",$F2314-IF($H2314="",0,$H2314))</f>
        <v/>
      </c>
      <c r="J2314" s="16" t="str">
        <f aca="true">IF(OR($A2314="",$I2314="",$I2314&lt;=0),"",TODAY()-$A2314)</f>
        <v/>
      </c>
      <c r="K2314" s="10"/>
    </row>
    <row r="2315" customFormat="false" ht="15" hidden="false" customHeight="true" outlineLevel="0" collapsed="false">
      <c r="A2315" s="13"/>
      <c r="B2315" s="10"/>
      <c r="C2315" s="10"/>
      <c r="D2315" s="14"/>
      <c r="E2315" s="11"/>
      <c r="F2315" s="15" t="str">
        <f aca="false">IF($B2315="","",IF(AND($D2315="",$E2315=""),"",IF(OR($D2315="",$E2315=""),0,ROUND($D2315*$E2315,0))))</f>
        <v/>
      </c>
      <c r="G2315" s="13"/>
      <c r="H2315" s="11"/>
      <c r="I2315" s="15" t="str">
        <f aca="false">IF($F2315="","",$F2315-IF($H2315="",0,$H2315))</f>
        <v/>
      </c>
      <c r="J2315" s="16" t="str">
        <f aca="true">IF(OR($A2315="",$I2315="",$I2315&lt;=0),"",TODAY()-$A2315)</f>
        <v/>
      </c>
      <c r="K2315" s="10"/>
    </row>
    <row r="2316" customFormat="false" ht="15" hidden="false" customHeight="true" outlineLevel="0" collapsed="false">
      <c r="A2316" s="13"/>
      <c r="B2316" s="10"/>
      <c r="C2316" s="10"/>
      <c r="D2316" s="14"/>
      <c r="E2316" s="11"/>
      <c r="F2316" s="15" t="str">
        <f aca="false">IF($B2316="","",IF(AND($D2316="",$E2316=""),"",IF(OR($D2316="",$E2316=""),0,ROUND($D2316*$E2316,0))))</f>
        <v/>
      </c>
      <c r="G2316" s="13"/>
      <c r="H2316" s="11"/>
      <c r="I2316" s="15" t="str">
        <f aca="false">IF($F2316="","",$F2316-IF($H2316="",0,$H2316))</f>
        <v/>
      </c>
      <c r="J2316" s="16" t="str">
        <f aca="true">IF(OR($A2316="",$I2316="",$I2316&lt;=0),"",TODAY()-$A2316)</f>
        <v/>
      </c>
      <c r="K2316" s="10"/>
    </row>
    <row r="2317" customFormat="false" ht="15" hidden="false" customHeight="true" outlineLevel="0" collapsed="false">
      <c r="A2317" s="13"/>
      <c r="B2317" s="10"/>
      <c r="C2317" s="10"/>
      <c r="D2317" s="14"/>
      <c r="E2317" s="11"/>
      <c r="F2317" s="15" t="str">
        <f aca="false">IF($B2317="","",IF(AND($D2317="",$E2317=""),"",IF(OR($D2317="",$E2317=""),0,ROUND($D2317*$E2317,0))))</f>
        <v/>
      </c>
      <c r="G2317" s="13"/>
      <c r="H2317" s="11"/>
      <c r="I2317" s="15" t="str">
        <f aca="false">IF($F2317="","",$F2317-IF($H2317="",0,$H2317))</f>
        <v/>
      </c>
      <c r="J2317" s="16" t="str">
        <f aca="true">IF(OR($A2317="",$I2317="",$I2317&lt;=0),"",TODAY()-$A2317)</f>
        <v/>
      </c>
      <c r="K2317" s="10"/>
    </row>
    <row r="2318" customFormat="false" ht="15" hidden="false" customHeight="true" outlineLevel="0" collapsed="false">
      <c r="A2318" s="13"/>
      <c r="B2318" s="10"/>
      <c r="C2318" s="10"/>
      <c r="D2318" s="14"/>
      <c r="E2318" s="11"/>
      <c r="F2318" s="15" t="str">
        <f aca="false">IF($B2318="","",IF(AND($D2318="",$E2318=""),"",IF(OR($D2318="",$E2318=""),0,ROUND($D2318*$E2318,0))))</f>
        <v/>
      </c>
      <c r="G2318" s="13"/>
      <c r="H2318" s="11"/>
      <c r="I2318" s="15" t="str">
        <f aca="false">IF($F2318="","",$F2318-IF($H2318="",0,$H2318))</f>
        <v/>
      </c>
      <c r="J2318" s="16" t="str">
        <f aca="true">IF(OR($A2318="",$I2318="",$I2318&lt;=0),"",TODAY()-$A2318)</f>
        <v/>
      </c>
      <c r="K2318" s="10"/>
    </row>
    <row r="2319" customFormat="false" ht="15" hidden="false" customHeight="true" outlineLevel="0" collapsed="false">
      <c r="A2319" s="13"/>
      <c r="B2319" s="10"/>
      <c r="C2319" s="10"/>
      <c r="D2319" s="14"/>
      <c r="E2319" s="11"/>
      <c r="F2319" s="15" t="str">
        <f aca="false">IF($B2319="","",IF(AND($D2319="",$E2319=""),"",IF(OR($D2319="",$E2319=""),0,ROUND($D2319*$E2319,0))))</f>
        <v/>
      </c>
      <c r="G2319" s="13"/>
      <c r="H2319" s="11"/>
      <c r="I2319" s="15" t="str">
        <f aca="false">IF($F2319="","",$F2319-IF($H2319="",0,$H2319))</f>
        <v/>
      </c>
      <c r="J2319" s="16" t="str">
        <f aca="true">IF(OR($A2319="",$I2319="",$I2319&lt;=0),"",TODAY()-$A2319)</f>
        <v/>
      </c>
      <c r="K2319" s="10"/>
    </row>
    <row r="2320" customFormat="false" ht="15" hidden="false" customHeight="true" outlineLevel="0" collapsed="false">
      <c r="A2320" s="13"/>
      <c r="B2320" s="10"/>
      <c r="C2320" s="10"/>
      <c r="D2320" s="14"/>
      <c r="E2320" s="11"/>
      <c r="F2320" s="15" t="str">
        <f aca="false">IF($B2320="","",IF(AND($D2320="",$E2320=""),"",IF(OR($D2320="",$E2320=""),0,ROUND($D2320*$E2320,0))))</f>
        <v/>
      </c>
      <c r="G2320" s="13"/>
      <c r="H2320" s="11"/>
      <c r="I2320" s="15" t="str">
        <f aca="false">IF($F2320="","",$F2320-IF($H2320="",0,$H2320))</f>
        <v/>
      </c>
      <c r="J2320" s="16" t="str">
        <f aca="true">IF(OR($A2320="",$I2320="",$I2320&lt;=0),"",TODAY()-$A2320)</f>
        <v/>
      </c>
      <c r="K2320" s="10"/>
    </row>
    <row r="2321" customFormat="false" ht="15" hidden="false" customHeight="true" outlineLevel="0" collapsed="false">
      <c r="A2321" s="13"/>
      <c r="B2321" s="10"/>
      <c r="C2321" s="10"/>
      <c r="D2321" s="14"/>
      <c r="E2321" s="11"/>
      <c r="F2321" s="15" t="str">
        <f aca="false">IF($B2321="","",IF(AND($D2321="",$E2321=""),"",IF(OR($D2321="",$E2321=""),0,ROUND($D2321*$E2321,0))))</f>
        <v/>
      </c>
      <c r="G2321" s="13"/>
      <c r="H2321" s="11"/>
      <c r="I2321" s="15" t="str">
        <f aca="false">IF($F2321="","",$F2321-IF($H2321="",0,$H2321))</f>
        <v/>
      </c>
      <c r="J2321" s="16" t="str">
        <f aca="true">IF(OR($A2321="",$I2321="",$I2321&lt;=0),"",TODAY()-$A2321)</f>
        <v/>
      </c>
      <c r="K2321" s="10"/>
    </row>
    <row r="2322" customFormat="false" ht="15" hidden="false" customHeight="true" outlineLevel="0" collapsed="false">
      <c r="A2322" s="13"/>
      <c r="B2322" s="10"/>
      <c r="C2322" s="10"/>
      <c r="D2322" s="14"/>
      <c r="E2322" s="11"/>
      <c r="F2322" s="15" t="str">
        <f aca="false">IF($B2322="","",IF(AND($D2322="",$E2322=""),"",IF(OR($D2322="",$E2322=""),0,ROUND($D2322*$E2322,0))))</f>
        <v/>
      </c>
      <c r="G2322" s="13"/>
      <c r="H2322" s="11"/>
      <c r="I2322" s="15" t="str">
        <f aca="false">IF($F2322="","",$F2322-IF($H2322="",0,$H2322))</f>
        <v/>
      </c>
      <c r="J2322" s="16" t="str">
        <f aca="true">IF(OR($A2322="",$I2322="",$I2322&lt;=0),"",TODAY()-$A2322)</f>
        <v/>
      </c>
      <c r="K2322" s="10"/>
    </row>
    <row r="2323" customFormat="false" ht="15" hidden="false" customHeight="true" outlineLevel="0" collapsed="false">
      <c r="A2323" s="13"/>
      <c r="B2323" s="10"/>
      <c r="C2323" s="10"/>
      <c r="D2323" s="14"/>
      <c r="E2323" s="11"/>
      <c r="F2323" s="15" t="str">
        <f aca="false">IF($B2323="","",IF(AND($D2323="",$E2323=""),"",IF(OR($D2323="",$E2323=""),0,ROUND($D2323*$E2323,0))))</f>
        <v/>
      </c>
      <c r="G2323" s="13"/>
      <c r="H2323" s="11"/>
      <c r="I2323" s="15" t="str">
        <f aca="false">IF($F2323="","",$F2323-IF($H2323="",0,$H2323))</f>
        <v/>
      </c>
      <c r="J2323" s="16" t="str">
        <f aca="true">IF(OR($A2323="",$I2323="",$I2323&lt;=0),"",TODAY()-$A2323)</f>
        <v/>
      </c>
      <c r="K2323" s="10"/>
    </row>
    <row r="2324" customFormat="false" ht="15" hidden="false" customHeight="true" outlineLevel="0" collapsed="false">
      <c r="A2324" s="13"/>
      <c r="B2324" s="10"/>
      <c r="C2324" s="10"/>
      <c r="D2324" s="14"/>
      <c r="E2324" s="11"/>
      <c r="F2324" s="15" t="str">
        <f aca="false">IF($B2324="","",IF(AND($D2324="",$E2324=""),"",IF(OR($D2324="",$E2324=""),0,ROUND($D2324*$E2324,0))))</f>
        <v/>
      </c>
      <c r="G2324" s="13"/>
      <c r="H2324" s="11"/>
      <c r="I2324" s="15" t="str">
        <f aca="false">IF($F2324="","",$F2324-IF($H2324="",0,$H2324))</f>
        <v/>
      </c>
      <c r="J2324" s="16" t="str">
        <f aca="true">IF(OR($A2324="",$I2324="",$I2324&lt;=0),"",TODAY()-$A2324)</f>
        <v/>
      </c>
      <c r="K2324" s="10"/>
    </row>
    <row r="2325" customFormat="false" ht="15" hidden="false" customHeight="true" outlineLevel="0" collapsed="false">
      <c r="A2325" s="13"/>
      <c r="B2325" s="10"/>
      <c r="C2325" s="10"/>
      <c r="D2325" s="14"/>
      <c r="E2325" s="11"/>
      <c r="F2325" s="15" t="str">
        <f aca="false">IF($B2325="","",IF(AND($D2325="",$E2325=""),"",IF(OR($D2325="",$E2325=""),0,ROUND($D2325*$E2325,0))))</f>
        <v/>
      </c>
      <c r="G2325" s="13"/>
      <c r="H2325" s="11"/>
      <c r="I2325" s="15" t="str">
        <f aca="false">IF($F2325="","",$F2325-IF($H2325="",0,$H2325))</f>
        <v/>
      </c>
      <c r="J2325" s="16" t="str">
        <f aca="true">IF(OR($A2325="",$I2325="",$I2325&lt;=0),"",TODAY()-$A2325)</f>
        <v/>
      </c>
      <c r="K2325" s="10"/>
    </row>
    <row r="2326" customFormat="false" ht="15" hidden="false" customHeight="true" outlineLevel="0" collapsed="false">
      <c r="A2326" s="13"/>
      <c r="B2326" s="10"/>
      <c r="C2326" s="10"/>
      <c r="D2326" s="14"/>
      <c r="E2326" s="11"/>
      <c r="F2326" s="15" t="str">
        <f aca="false">IF($B2326="","",IF(AND($D2326="",$E2326=""),"",IF(OR($D2326="",$E2326=""),0,ROUND($D2326*$E2326,0))))</f>
        <v/>
      </c>
      <c r="G2326" s="13"/>
      <c r="H2326" s="11"/>
      <c r="I2326" s="15" t="str">
        <f aca="false">IF($F2326="","",$F2326-IF($H2326="",0,$H2326))</f>
        <v/>
      </c>
      <c r="J2326" s="16" t="str">
        <f aca="true">IF(OR($A2326="",$I2326="",$I2326&lt;=0),"",TODAY()-$A2326)</f>
        <v/>
      </c>
      <c r="K2326" s="10"/>
    </row>
    <row r="2327" customFormat="false" ht="15" hidden="false" customHeight="true" outlineLevel="0" collapsed="false">
      <c r="A2327" s="13"/>
      <c r="B2327" s="10"/>
      <c r="C2327" s="10"/>
      <c r="D2327" s="14"/>
      <c r="E2327" s="11"/>
      <c r="F2327" s="15" t="str">
        <f aca="false">IF($B2327="","",IF(AND($D2327="",$E2327=""),"",IF(OR($D2327="",$E2327=""),0,ROUND($D2327*$E2327,0))))</f>
        <v/>
      </c>
      <c r="G2327" s="13"/>
      <c r="H2327" s="11"/>
      <c r="I2327" s="15" t="str">
        <f aca="false">IF($F2327="","",$F2327-IF($H2327="",0,$H2327))</f>
        <v/>
      </c>
      <c r="J2327" s="16" t="str">
        <f aca="true">IF(OR($A2327="",$I2327="",$I2327&lt;=0),"",TODAY()-$A2327)</f>
        <v/>
      </c>
      <c r="K2327" s="10"/>
    </row>
    <row r="2328" customFormat="false" ht="15" hidden="false" customHeight="true" outlineLevel="0" collapsed="false">
      <c r="A2328" s="13"/>
      <c r="B2328" s="10"/>
      <c r="C2328" s="10"/>
      <c r="D2328" s="14"/>
      <c r="E2328" s="11"/>
      <c r="F2328" s="15" t="str">
        <f aca="false">IF($B2328="","",IF(AND($D2328="",$E2328=""),"",IF(OR($D2328="",$E2328=""),0,ROUND($D2328*$E2328,0))))</f>
        <v/>
      </c>
      <c r="G2328" s="13"/>
      <c r="H2328" s="11"/>
      <c r="I2328" s="15" t="str">
        <f aca="false">IF($F2328="","",$F2328-IF($H2328="",0,$H2328))</f>
        <v/>
      </c>
      <c r="J2328" s="16" t="str">
        <f aca="true">IF(OR($A2328="",$I2328="",$I2328&lt;=0),"",TODAY()-$A2328)</f>
        <v/>
      </c>
      <c r="K2328" s="10"/>
    </row>
    <row r="2329" customFormat="false" ht="15" hidden="false" customHeight="true" outlineLevel="0" collapsed="false">
      <c r="A2329" s="13"/>
      <c r="B2329" s="10"/>
      <c r="C2329" s="10"/>
      <c r="D2329" s="14"/>
      <c r="E2329" s="11"/>
      <c r="F2329" s="15" t="str">
        <f aca="false">IF($B2329="","",IF(AND($D2329="",$E2329=""),"",IF(OR($D2329="",$E2329=""),0,ROUND($D2329*$E2329,0))))</f>
        <v/>
      </c>
      <c r="G2329" s="13"/>
      <c r="H2329" s="11"/>
      <c r="I2329" s="15" t="str">
        <f aca="false">IF($F2329="","",$F2329-IF($H2329="",0,$H2329))</f>
        <v/>
      </c>
      <c r="J2329" s="16" t="str">
        <f aca="true">IF(OR($A2329="",$I2329="",$I2329&lt;=0),"",TODAY()-$A2329)</f>
        <v/>
      </c>
      <c r="K2329" s="10"/>
    </row>
    <row r="2330" customFormat="false" ht="15" hidden="false" customHeight="true" outlineLevel="0" collapsed="false">
      <c r="A2330" s="13"/>
      <c r="B2330" s="10"/>
      <c r="C2330" s="10"/>
      <c r="D2330" s="14"/>
      <c r="E2330" s="11"/>
      <c r="F2330" s="15" t="str">
        <f aca="false">IF($B2330="","",IF(AND($D2330="",$E2330=""),"",IF(OR($D2330="",$E2330=""),0,ROUND($D2330*$E2330,0))))</f>
        <v/>
      </c>
      <c r="G2330" s="13"/>
      <c r="H2330" s="11"/>
      <c r="I2330" s="15" t="str">
        <f aca="false">IF($F2330="","",$F2330-IF($H2330="",0,$H2330))</f>
        <v/>
      </c>
      <c r="J2330" s="16" t="str">
        <f aca="true">IF(OR($A2330="",$I2330="",$I2330&lt;=0),"",TODAY()-$A2330)</f>
        <v/>
      </c>
      <c r="K2330" s="10"/>
    </row>
    <row r="2331" customFormat="false" ht="15" hidden="false" customHeight="true" outlineLevel="0" collapsed="false">
      <c r="A2331" s="13"/>
      <c r="B2331" s="10"/>
      <c r="C2331" s="10"/>
      <c r="D2331" s="14"/>
      <c r="E2331" s="11"/>
      <c r="F2331" s="15" t="str">
        <f aca="false">IF($B2331="","",IF(AND($D2331="",$E2331=""),"",IF(OR($D2331="",$E2331=""),0,ROUND($D2331*$E2331,0))))</f>
        <v/>
      </c>
      <c r="G2331" s="13"/>
      <c r="H2331" s="11"/>
      <c r="I2331" s="15" t="str">
        <f aca="false">IF($F2331="","",$F2331-IF($H2331="",0,$H2331))</f>
        <v/>
      </c>
      <c r="J2331" s="16" t="str">
        <f aca="true">IF(OR($A2331="",$I2331="",$I2331&lt;=0),"",TODAY()-$A2331)</f>
        <v/>
      </c>
      <c r="K2331" s="10"/>
    </row>
    <row r="2332" customFormat="false" ht="15" hidden="false" customHeight="true" outlineLevel="0" collapsed="false">
      <c r="A2332" s="13"/>
      <c r="B2332" s="10"/>
      <c r="C2332" s="10"/>
      <c r="D2332" s="14"/>
      <c r="E2332" s="11"/>
      <c r="F2332" s="15" t="str">
        <f aca="false">IF($B2332="","",IF(AND($D2332="",$E2332=""),"",IF(OR($D2332="",$E2332=""),0,ROUND($D2332*$E2332,0))))</f>
        <v/>
      </c>
      <c r="G2332" s="13"/>
      <c r="H2332" s="11"/>
      <c r="I2332" s="15" t="str">
        <f aca="false">IF($F2332="","",$F2332-IF($H2332="",0,$H2332))</f>
        <v/>
      </c>
      <c r="J2332" s="16" t="str">
        <f aca="true">IF(OR($A2332="",$I2332="",$I2332&lt;=0),"",TODAY()-$A2332)</f>
        <v/>
      </c>
      <c r="K2332" s="10"/>
    </row>
    <row r="2333" customFormat="false" ht="15" hidden="false" customHeight="true" outlineLevel="0" collapsed="false">
      <c r="A2333" s="13"/>
      <c r="B2333" s="10"/>
      <c r="C2333" s="10"/>
      <c r="D2333" s="14"/>
      <c r="E2333" s="11"/>
      <c r="F2333" s="15" t="str">
        <f aca="false">IF($B2333="","",IF(AND($D2333="",$E2333=""),"",IF(OR($D2333="",$E2333=""),0,ROUND($D2333*$E2333,0))))</f>
        <v/>
      </c>
      <c r="G2333" s="13"/>
      <c r="H2333" s="11"/>
      <c r="I2333" s="15" t="str">
        <f aca="false">IF($F2333="","",$F2333-IF($H2333="",0,$H2333))</f>
        <v/>
      </c>
      <c r="J2333" s="16" t="str">
        <f aca="true">IF(OR($A2333="",$I2333="",$I2333&lt;=0),"",TODAY()-$A2333)</f>
        <v/>
      </c>
      <c r="K2333" s="10"/>
    </row>
    <row r="2334" customFormat="false" ht="15" hidden="false" customHeight="true" outlineLevel="0" collapsed="false">
      <c r="A2334" s="13"/>
      <c r="B2334" s="10"/>
      <c r="C2334" s="10"/>
      <c r="D2334" s="14"/>
      <c r="E2334" s="11"/>
      <c r="F2334" s="15" t="str">
        <f aca="false">IF($B2334="","",IF(AND($D2334="",$E2334=""),"",IF(OR($D2334="",$E2334=""),0,ROUND($D2334*$E2334,0))))</f>
        <v/>
      </c>
      <c r="G2334" s="13"/>
      <c r="H2334" s="11"/>
      <c r="I2334" s="15" t="str">
        <f aca="false">IF($F2334="","",$F2334-IF($H2334="",0,$H2334))</f>
        <v/>
      </c>
      <c r="J2334" s="16" t="str">
        <f aca="true">IF(OR($A2334="",$I2334="",$I2334&lt;=0),"",TODAY()-$A2334)</f>
        <v/>
      </c>
      <c r="K2334" s="10"/>
    </row>
    <row r="2335" customFormat="false" ht="15" hidden="false" customHeight="true" outlineLevel="0" collapsed="false">
      <c r="A2335" s="13"/>
      <c r="B2335" s="10"/>
      <c r="C2335" s="10"/>
      <c r="D2335" s="14"/>
      <c r="E2335" s="11"/>
      <c r="F2335" s="15" t="str">
        <f aca="false">IF($B2335="","",IF(AND($D2335="",$E2335=""),"",IF(OR($D2335="",$E2335=""),0,ROUND($D2335*$E2335,0))))</f>
        <v/>
      </c>
      <c r="G2335" s="13"/>
      <c r="H2335" s="11"/>
      <c r="I2335" s="15" t="str">
        <f aca="false">IF($F2335="","",$F2335-IF($H2335="",0,$H2335))</f>
        <v/>
      </c>
      <c r="J2335" s="16" t="str">
        <f aca="true">IF(OR($A2335="",$I2335="",$I2335&lt;=0),"",TODAY()-$A2335)</f>
        <v/>
      </c>
      <c r="K2335" s="10"/>
    </row>
    <row r="2336" customFormat="false" ht="15" hidden="false" customHeight="true" outlineLevel="0" collapsed="false">
      <c r="A2336" s="13"/>
      <c r="B2336" s="10"/>
      <c r="C2336" s="10"/>
      <c r="D2336" s="14"/>
      <c r="E2336" s="11"/>
      <c r="F2336" s="15" t="str">
        <f aca="false">IF($B2336="","",IF(AND($D2336="",$E2336=""),"",IF(OR($D2336="",$E2336=""),0,ROUND($D2336*$E2336,0))))</f>
        <v/>
      </c>
      <c r="G2336" s="13"/>
      <c r="H2336" s="11"/>
      <c r="I2336" s="15" t="str">
        <f aca="false">IF($F2336="","",$F2336-IF($H2336="",0,$H2336))</f>
        <v/>
      </c>
      <c r="J2336" s="16" t="str">
        <f aca="true">IF(OR($A2336="",$I2336="",$I2336&lt;=0),"",TODAY()-$A2336)</f>
        <v/>
      </c>
      <c r="K2336" s="10"/>
    </row>
    <row r="2337" customFormat="false" ht="15" hidden="false" customHeight="true" outlineLevel="0" collapsed="false">
      <c r="A2337" s="13"/>
      <c r="B2337" s="10"/>
      <c r="C2337" s="10"/>
      <c r="D2337" s="14"/>
      <c r="E2337" s="11"/>
      <c r="F2337" s="15" t="str">
        <f aca="false">IF($B2337="","",IF(AND($D2337="",$E2337=""),"",IF(OR($D2337="",$E2337=""),0,ROUND($D2337*$E2337,0))))</f>
        <v/>
      </c>
      <c r="G2337" s="13"/>
      <c r="H2337" s="11"/>
      <c r="I2337" s="15" t="str">
        <f aca="false">IF($F2337="","",$F2337-IF($H2337="",0,$H2337))</f>
        <v/>
      </c>
      <c r="J2337" s="16" t="str">
        <f aca="true">IF(OR($A2337="",$I2337="",$I2337&lt;=0),"",TODAY()-$A2337)</f>
        <v/>
      </c>
      <c r="K2337" s="10"/>
    </row>
    <row r="2338" customFormat="false" ht="15" hidden="false" customHeight="true" outlineLevel="0" collapsed="false">
      <c r="A2338" s="13"/>
      <c r="B2338" s="10"/>
      <c r="C2338" s="10"/>
      <c r="D2338" s="14"/>
      <c r="E2338" s="11"/>
      <c r="F2338" s="15" t="str">
        <f aca="false">IF($B2338="","",IF(AND($D2338="",$E2338=""),"",IF(OR($D2338="",$E2338=""),0,ROUND($D2338*$E2338,0))))</f>
        <v/>
      </c>
      <c r="G2338" s="13"/>
      <c r="H2338" s="11"/>
      <c r="I2338" s="15" t="str">
        <f aca="false">IF($F2338="","",$F2338-IF($H2338="",0,$H2338))</f>
        <v/>
      </c>
      <c r="J2338" s="16" t="str">
        <f aca="true">IF(OR($A2338="",$I2338="",$I2338&lt;=0),"",TODAY()-$A2338)</f>
        <v/>
      </c>
      <c r="K2338" s="10"/>
    </row>
    <row r="2339" customFormat="false" ht="15" hidden="false" customHeight="true" outlineLevel="0" collapsed="false">
      <c r="A2339" s="13"/>
      <c r="B2339" s="10"/>
      <c r="C2339" s="10"/>
      <c r="D2339" s="14"/>
      <c r="E2339" s="11"/>
      <c r="F2339" s="15" t="str">
        <f aca="false">IF($B2339="","",IF(AND($D2339="",$E2339=""),"",IF(OR($D2339="",$E2339=""),0,ROUND($D2339*$E2339,0))))</f>
        <v/>
      </c>
      <c r="G2339" s="13"/>
      <c r="H2339" s="11"/>
      <c r="I2339" s="15" t="str">
        <f aca="false">IF($F2339="","",$F2339-IF($H2339="",0,$H2339))</f>
        <v/>
      </c>
      <c r="J2339" s="16" t="str">
        <f aca="true">IF(OR($A2339="",$I2339="",$I2339&lt;=0),"",TODAY()-$A2339)</f>
        <v/>
      </c>
      <c r="K2339" s="10"/>
    </row>
    <row r="2340" customFormat="false" ht="15" hidden="false" customHeight="true" outlineLevel="0" collapsed="false">
      <c r="A2340" s="13"/>
      <c r="B2340" s="10"/>
      <c r="C2340" s="10"/>
      <c r="D2340" s="14"/>
      <c r="E2340" s="11"/>
      <c r="F2340" s="15" t="str">
        <f aca="false">IF($B2340="","",IF(AND($D2340="",$E2340=""),"",IF(OR($D2340="",$E2340=""),0,ROUND($D2340*$E2340,0))))</f>
        <v/>
      </c>
      <c r="G2340" s="13"/>
      <c r="H2340" s="11"/>
      <c r="I2340" s="15" t="str">
        <f aca="false">IF($F2340="","",$F2340-IF($H2340="",0,$H2340))</f>
        <v/>
      </c>
      <c r="J2340" s="16" t="str">
        <f aca="true">IF(OR($A2340="",$I2340="",$I2340&lt;=0),"",TODAY()-$A2340)</f>
        <v/>
      </c>
      <c r="K2340" s="10"/>
    </row>
    <row r="2341" customFormat="false" ht="15" hidden="false" customHeight="true" outlineLevel="0" collapsed="false">
      <c r="A2341" s="13"/>
      <c r="B2341" s="10"/>
      <c r="C2341" s="10"/>
      <c r="D2341" s="14"/>
      <c r="E2341" s="11"/>
      <c r="F2341" s="15" t="str">
        <f aca="false">IF($B2341="","",IF(AND($D2341="",$E2341=""),"",IF(OR($D2341="",$E2341=""),0,ROUND($D2341*$E2341,0))))</f>
        <v/>
      </c>
      <c r="G2341" s="13"/>
      <c r="H2341" s="11"/>
      <c r="I2341" s="15" t="str">
        <f aca="false">IF($F2341="","",$F2341-IF($H2341="",0,$H2341))</f>
        <v/>
      </c>
      <c r="J2341" s="16" t="str">
        <f aca="true">IF(OR($A2341="",$I2341="",$I2341&lt;=0),"",TODAY()-$A2341)</f>
        <v/>
      </c>
      <c r="K2341" s="10"/>
    </row>
    <row r="2342" customFormat="false" ht="15" hidden="false" customHeight="true" outlineLevel="0" collapsed="false">
      <c r="A2342" s="13"/>
      <c r="B2342" s="10"/>
      <c r="C2342" s="10"/>
      <c r="D2342" s="14"/>
      <c r="E2342" s="11"/>
      <c r="F2342" s="15" t="str">
        <f aca="false">IF($B2342="","",IF(AND($D2342="",$E2342=""),"",IF(OR($D2342="",$E2342=""),0,ROUND($D2342*$E2342,0))))</f>
        <v/>
      </c>
      <c r="G2342" s="13"/>
      <c r="H2342" s="11"/>
      <c r="I2342" s="15" t="str">
        <f aca="false">IF($F2342="","",$F2342-IF($H2342="",0,$H2342))</f>
        <v/>
      </c>
      <c r="J2342" s="16" t="str">
        <f aca="true">IF(OR($A2342="",$I2342="",$I2342&lt;=0),"",TODAY()-$A2342)</f>
        <v/>
      </c>
      <c r="K2342" s="10"/>
    </row>
    <row r="2343" customFormat="false" ht="15" hidden="false" customHeight="true" outlineLevel="0" collapsed="false">
      <c r="A2343" s="13"/>
      <c r="B2343" s="10"/>
      <c r="C2343" s="10"/>
      <c r="D2343" s="14"/>
      <c r="E2343" s="11"/>
      <c r="F2343" s="15" t="str">
        <f aca="false">IF($B2343="","",IF(AND($D2343="",$E2343=""),"",IF(OR($D2343="",$E2343=""),0,ROUND($D2343*$E2343,0))))</f>
        <v/>
      </c>
      <c r="G2343" s="13"/>
      <c r="H2343" s="11"/>
      <c r="I2343" s="15" t="str">
        <f aca="false">IF($F2343="","",$F2343-IF($H2343="",0,$H2343))</f>
        <v/>
      </c>
      <c r="J2343" s="16" t="str">
        <f aca="true">IF(OR($A2343="",$I2343="",$I2343&lt;=0),"",TODAY()-$A2343)</f>
        <v/>
      </c>
      <c r="K2343" s="10"/>
    </row>
    <row r="2344" customFormat="false" ht="15" hidden="false" customHeight="true" outlineLevel="0" collapsed="false">
      <c r="A2344" s="13"/>
      <c r="B2344" s="10"/>
      <c r="C2344" s="10"/>
      <c r="D2344" s="14"/>
      <c r="E2344" s="11"/>
      <c r="F2344" s="15" t="str">
        <f aca="false">IF($B2344="","",IF(AND($D2344="",$E2344=""),"",IF(OR($D2344="",$E2344=""),0,ROUND($D2344*$E2344,0))))</f>
        <v/>
      </c>
      <c r="G2344" s="13"/>
      <c r="H2344" s="11"/>
      <c r="I2344" s="15" t="str">
        <f aca="false">IF($F2344="","",$F2344-IF($H2344="",0,$H2344))</f>
        <v/>
      </c>
      <c r="J2344" s="16" t="str">
        <f aca="true">IF(OR($A2344="",$I2344="",$I2344&lt;=0),"",TODAY()-$A2344)</f>
        <v/>
      </c>
      <c r="K2344" s="10"/>
    </row>
    <row r="2345" customFormat="false" ht="15" hidden="false" customHeight="true" outlineLevel="0" collapsed="false">
      <c r="A2345" s="13"/>
      <c r="B2345" s="10"/>
      <c r="C2345" s="10"/>
      <c r="D2345" s="14"/>
      <c r="E2345" s="11"/>
      <c r="F2345" s="15" t="str">
        <f aca="false">IF($B2345="","",IF(AND($D2345="",$E2345=""),"",IF(OR($D2345="",$E2345=""),0,ROUND($D2345*$E2345,0))))</f>
        <v/>
      </c>
      <c r="G2345" s="13"/>
      <c r="H2345" s="11"/>
      <c r="I2345" s="15" t="str">
        <f aca="false">IF($F2345="","",$F2345-IF($H2345="",0,$H2345))</f>
        <v/>
      </c>
      <c r="J2345" s="16" t="str">
        <f aca="true">IF(OR($A2345="",$I2345="",$I2345&lt;=0),"",TODAY()-$A2345)</f>
        <v/>
      </c>
      <c r="K2345" s="10"/>
    </row>
    <row r="2346" customFormat="false" ht="15" hidden="false" customHeight="true" outlineLevel="0" collapsed="false">
      <c r="A2346" s="13"/>
      <c r="B2346" s="10"/>
      <c r="C2346" s="10"/>
      <c r="D2346" s="14"/>
      <c r="E2346" s="11"/>
      <c r="F2346" s="15" t="str">
        <f aca="false">IF($B2346="","",IF(AND($D2346="",$E2346=""),"",IF(OR($D2346="",$E2346=""),0,ROUND($D2346*$E2346,0))))</f>
        <v/>
      </c>
      <c r="G2346" s="13"/>
      <c r="H2346" s="11"/>
      <c r="I2346" s="15" t="str">
        <f aca="false">IF($F2346="","",$F2346-IF($H2346="",0,$H2346))</f>
        <v/>
      </c>
      <c r="J2346" s="16" t="str">
        <f aca="true">IF(OR($A2346="",$I2346="",$I2346&lt;=0),"",TODAY()-$A2346)</f>
        <v/>
      </c>
      <c r="K2346" s="10"/>
    </row>
    <row r="2347" customFormat="false" ht="15" hidden="false" customHeight="true" outlineLevel="0" collapsed="false">
      <c r="A2347" s="13"/>
      <c r="B2347" s="10"/>
      <c r="C2347" s="10"/>
      <c r="D2347" s="14"/>
      <c r="E2347" s="11"/>
      <c r="F2347" s="15" t="str">
        <f aca="false">IF($B2347="","",IF(AND($D2347="",$E2347=""),"",IF(OR($D2347="",$E2347=""),0,ROUND($D2347*$E2347,0))))</f>
        <v/>
      </c>
      <c r="G2347" s="13"/>
      <c r="H2347" s="11"/>
      <c r="I2347" s="15" t="str">
        <f aca="false">IF($F2347="","",$F2347-IF($H2347="",0,$H2347))</f>
        <v/>
      </c>
      <c r="J2347" s="16" t="str">
        <f aca="true">IF(OR($A2347="",$I2347="",$I2347&lt;=0),"",TODAY()-$A2347)</f>
        <v/>
      </c>
      <c r="K2347" s="10"/>
    </row>
    <row r="2348" customFormat="false" ht="15" hidden="false" customHeight="true" outlineLevel="0" collapsed="false">
      <c r="A2348" s="13"/>
      <c r="B2348" s="10"/>
      <c r="C2348" s="10"/>
      <c r="D2348" s="14"/>
      <c r="E2348" s="11"/>
      <c r="F2348" s="15" t="str">
        <f aca="false">IF($B2348="","",IF(AND($D2348="",$E2348=""),"",IF(OR($D2348="",$E2348=""),0,ROUND($D2348*$E2348,0))))</f>
        <v/>
      </c>
      <c r="G2348" s="13"/>
      <c r="H2348" s="11"/>
      <c r="I2348" s="15" t="str">
        <f aca="false">IF($F2348="","",$F2348-IF($H2348="",0,$H2348))</f>
        <v/>
      </c>
      <c r="J2348" s="16" t="str">
        <f aca="true">IF(OR($A2348="",$I2348="",$I2348&lt;=0),"",TODAY()-$A2348)</f>
        <v/>
      </c>
      <c r="K2348" s="10"/>
    </row>
    <row r="2349" customFormat="false" ht="15" hidden="false" customHeight="true" outlineLevel="0" collapsed="false">
      <c r="A2349" s="13"/>
      <c r="B2349" s="10"/>
      <c r="C2349" s="10"/>
      <c r="D2349" s="14"/>
      <c r="E2349" s="11"/>
      <c r="F2349" s="15" t="str">
        <f aca="false">IF($B2349="","",IF(AND($D2349="",$E2349=""),"",IF(OR($D2349="",$E2349=""),0,ROUND($D2349*$E2349,0))))</f>
        <v/>
      </c>
      <c r="G2349" s="13"/>
      <c r="H2349" s="11"/>
      <c r="I2349" s="15" t="str">
        <f aca="false">IF($F2349="","",$F2349-IF($H2349="",0,$H2349))</f>
        <v/>
      </c>
      <c r="J2349" s="16" t="str">
        <f aca="true">IF(OR($A2349="",$I2349="",$I2349&lt;=0),"",TODAY()-$A2349)</f>
        <v/>
      </c>
      <c r="K2349" s="10"/>
    </row>
    <row r="2350" customFormat="false" ht="15" hidden="false" customHeight="true" outlineLevel="0" collapsed="false">
      <c r="A2350" s="13"/>
      <c r="B2350" s="10"/>
      <c r="C2350" s="10"/>
      <c r="D2350" s="14"/>
      <c r="E2350" s="11"/>
      <c r="F2350" s="15" t="str">
        <f aca="false">IF($B2350="","",IF(AND($D2350="",$E2350=""),"",IF(OR($D2350="",$E2350=""),0,ROUND($D2350*$E2350,0))))</f>
        <v/>
      </c>
      <c r="G2350" s="13"/>
      <c r="H2350" s="11"/>
      <c r="I2350" s="15" t="str">
        <f aca="false">IF($F2350="","",$F2350-IF($H2350="",0,$H2350))</f>
        <v/>
      </c>
      <c r="J2350" s="16" t="str">
        <f aca="true">IF(OR($A2350="",$I2350="",$I2350&lt;=0),"",TODAY()-$A2350)</f>
        <v/>
      </c>
      <c r="K2350" s="10"/>
    </row>
    <row r="2351" customFormat="false" ht="15" hidden="false" customHeight="true" outlineLevel="0" collapsed="false">
      <c r="A2351" s="13"/>
      <c r="B2351" s="10"/>
      <c r="C2351" s="10"/>
      <c r="D2351" s="14"/>
      <c r="E2351" s="11"/>
      <c r="F2351" s="15" t="str">
        <f aca="false">IF($B2351="","",IF(AND($D2351="",$E2351=""),"",IF(OR($D2351="",$E2351=""),0,ROUND($D2351*$E2351,0))))</f>
        <v/>
      </c>
      <c r="G2351" s="13"/>
      <c r="H2351" s="11"/>
      <c r="I2351" s="15" t="str">
        <f aca="false">IF($F2351="","",$F2351-IF($H2351="",0,$H2351))</f>
        <v/>
      </c>
      <c r="J2351" s="16" t="str">
        <f aca="true">IF(OR($A2351="",$I2351="",$I2351&lt;=0),"",TODAY()-$A2351)</f>
        <v/>
      </c>
      <c r="K2351" s="10"/>
    </row>
    <row r="2352" customFormat="false" ht="15" hidden="false" customHeight="true" outlineLevel="0" collapsed="false">
      <c r="A2352" s="13"/>
      <c r="B2352" s="10"/>
      <c r="C2352" s="10"/>
      <c r="D2352" s="14"/>
      <c r="E2352" s="11"/>
      <c r="F2352" s="15" t="str">
        <f aca="false">IF($B2352="","",IF(AND($D2352="",$E2352=""),"",IF(OR($D2352="",$E2352=""),0,ROUND($D2352*$E2352,0))))</f>
        <v/>
      </c>
      <c r="G2352" s="13"/>
      <c r="H2352" s="11"/>
      <c r="I2352" s="15" t="str">
        <f aca="false">IF($F2352="","",$F2352-IF($H2352="",0,$H2352))</f>
        <v/>
      </c>
      <c r="J2352" s="16" t="str">
        <f aca="true">IF(OR($A2352="",$I2352="",$I2352&lt;=0),"",TODAY()-$A2352)</f>
        <v/>
      </c>
      <c r="K2352" s="10"/>
    </row>
    <row r="2353" customFormat="false" ht="15" hidden="false" customHeight="true" outlineLevel="0" collapsed="false">
      <c r="A2353" s="13"/>
      <c r="B2353" s="10"/>
      <c r="C2353" s="10"/>
      <c r="D2353" s="14"/>
      <c r="E2353" s="11"/>
      <c r="F2353" s="15" t="str">
        <f aca="false">IF($B2353="","",IF(AND($D2353="",$E2353=""),"",IF(OR($D2353="",$E2353=""),0,ROUND($D2353*$E2353,0))))</f>
        <v/>
      </c>
      <c r="G2353" s="13"/>
      <c r="H2353" s="11"/>
      <c r="I2353" s="15" t="str">
        <f aca="false">IF($F2353="","",$F2353-IF($H2353="",0,$H2353))</f>
        <v/>
      </c>
      <c r="J2353" s="16" t="str">
        <f aca="true">IF(OR($A2353="",$I2353="",$I2353&lt;=0),"",TODAY()-$A2353)</f>
        <v/>
      </c>
      <c r="K2353" s="10"/>
    </row>
    <row r="2354" customFormat="false" ht="15" hidden="false" customHeight="true" outlineLevel="0" collapsed="false">
      <c r="A2354" s="13"/>
      <c r="B2354" s="10"/>
      <c r="C2354" s="10"/>
      <c r="D2354" s="14"/>
      <c r="E2354" s="11"/>
      <c r="F2354" s="15" t="str">
        <f aca="false">IF($B2354="","",IF(AND($D2354="",$E2354=""),"",IF(OR($D2354="",$E2354=""),0,ROUND($D2354*$E2354,0))))</f>
        <v/>
      </c>
      <c r="G2354" s="13"/>
      <c r="H2354" s="11"/>
      <c r="I2354" s="15" t="str">
        <f aca="false">IF($F2354="","",$F2354-IF($H2354="",0,$H2354))</f>
        <v/>
      </c>
      <c r="J2354" s="16" t="str">
        <f aca="true">IF(OR($A2354="",$I2354="",$I2354&lt;=0),"",TODAY()-$A2354)</f>
        <v/>
      </c>
      <c r="K2354" s="10"/>
    </row>
    <row r="2355" customFormat="false" ht="15" hidden="false" customHeight="true" outlineLevel="0" collapsed="false">
      <c r="A2355" s="13"/>
      <c r="B2355" s="10"/>
      <c r="C2355" s="10"/>
      <c r="D2355" s="14"/>
      <c r="E2355" s="11"/>
      <c r="F2355" s="15" t="str">
        <f aca="false">IF($B2355="","",IF(AND($D2355="",$E2355=""),"",IF(OR($D2355="",$E2355=""),0,ROUND($D2355*$E2355,0))))</f>
        <v/>
      </c>
      <c r="G2355" s="13"/>
      <c r="H2355" s="11"/>
      <c r="I2355" s="15" t="str">
        <f aca="false">IF($F2355="","",$F2355-IF($H2355="",0,$H2355))</f>
        <v/>
      </c>
      <c r="J2355" s="16" t="str">
        <f aca="true">IF(OR($A2355="",$I2355="",$I2355&lt;=0),"",TODAY()-$A2355)</f>
        <v/>
      </c>
      <c r="K2355" s="10"/>
    </row>
    <row r="2356" customFormat="false" ht="15" hidden="false" customHeight="true" outlineLevel="0" collapsed="false">
      <c r="A2356" s="13"/>
      <c r="B2356" s="10"/>
      <c r="C2356" s="10"/>
      <c r="D2356" s="14"/>
      <c r="E2356" s="11"/>
      <c r="F2356" s="15" t="str">
        <f aca="false">IF($B2356="","",IF(AND($D2356="",$E2356=""),"",IF(OR($D2356="",$E2356=""),0,ROUND($D2356*$E2356,0))))</f>
        <v/>
      </c>
      <c r="G2356" s="13"/>
      <c r="H2356" s="11"/>
      <c r="I2356" s="15" t="str">
        <f aca="false">IF($F2356="","",$F2356-IF($H2356="",0,$H2356))</f>
        <v/>
      </c>
      <c r="J2356" s="16" t="str">
        <f aca="true">IF(OR($A2356="",$I2356="",$I2356&lt;=0),"",TODAY()-$A2356)</f>
        <v/>
      </c>
      <c r="K2356" s="10"/>
    </row>
    <row r="2357" customFormat="false" ht="15" hidden="false" customHeight="true" outlineLevel="0" collapsed="false">
      <c r="A2357" s="13"/>
      <c r="B2357" s="10"/>
      <c r="C2357" s="10"/>
      <c r="D2357" s="14"/>
      <c r="E2357" s="11"/>
      <c r="F2357" s="15" t="str">
        <f aca="false">IF($B2357="","",IF(AND($D2357="",$E2357=""),"",IF(OR($D2357="",$E2357=""),0,ROUND($D2357*$E2357,0))))</f>
        <v/>
      </c>
      <c r="G2357" s="13"/>
      <c r="H2357" s="11"/>
      <c r="I2357" s="15" t="str">
        <f aca="false">IF($F2357="","",$F2357-IF($H2357="",0,$H2357))</f>
        <v/>
      </c>
      <c r="J2357" s="16" t="str">
        <f aca="true">IF(OR($A2357="",$I2357="",$I2357&lt;=0),"",TODAY()-$A2357)</f>
        <v/>
      </c>
      <c r="K2357" s="10"/>
    </row>
    <row r="2358" customFormat="false" ht="15" hidden="false" customHeight="true" outlineLevel="0" collapsed="false">
      <c r="A2358" s="13"/>
      <c r="B2358" s="10"/>
      <c r="C2358" s="10"/>
      <c r="D2358" s="14"/>
      <c r="E2358" s="11"/>
      <c r="F2358" s="15" t="str">
        <f aca="false">IF($B2358="","",IF(AND($D2358="",$E2358=""),"",IF(OR($D2358="",$E2358=""),0,ROUND($D2358*$E2358,0))))</f>
        <v/>
      </c>
      <c r="G2358" s="13"/>
      <c r="H2358" s="11"/>
      <c r="I2358" s="15" t="str">
        <f aca="false">IF($F2358="","",$F2358-IF($H2358="",0,$H2358))</f>
        <v/>
      </c>
      <c r="J2358" s="16" t="str">
        <f aca="true">IF(OR($A2358="",$I2358="",$I2358&lt;=0),"",TODAY()-$A2358)</f>
        <v/>
      </c>
      <c r="K2358" s="10"/>
    </row>
    <row r="2359" customFormat="false" ht="15" hidden="false" customHeight="true" outlineLevel="0" collapsed="false">
      <c r="A2359" s="13"/>
      <c r="B2359" s="10"/>
      <c r="C2359" s="10"/>
      <c r="D2359" s="14"/>
      <c r="E2359" s="11"/>
      <c r="F2359" s="15" t="str">
        <f aca="false">IF($B2359="","",IF(AND($D2359="",$E2359=""),"",IF(OR($D2359="",$E2359=""),0,ROUND($D2359*$E2359,0))))</f>
        <v/>
      </c>
      <c r="G2359" s="13"/>
      <c r="H2359" s="11"/>
      <c r="I2359" s="15" t="str">
        <f aca="false">IF($F2359="","",$F2359-IF($H2359="",0,$H2359))</f>
        <v/>
      </c>
      <c r="J2359" s="16" t="str">
        <f aca="true">IF(OR($A2359="",$I2359="",$I2359&lt;=0),"",TODAY()-$A2359)</f>
        <v/>
      </c>
      <c r="K2359" s="10"/>
    </row>
    <row r="2360" customFormat="false" ht="15" hidden="false" customHeight="true" outlineLevel="0" collapsed="false">
      <c r="A2360" s="13"/>
      <c r="B2360" s="10"/>
      <c r="C2360" s="10"/>
      <c r="D2360" s="14"/>
      <c r="E2360" s="11"/>
      <c r="F2360" s="15" t="str">
        <f aca="false">IF($B2360="","",IF(AND($D2360="",$E2360=""),"",IF(OR($D2360="",$E2360=""),0,ROUND($D2360*$E2360,0))))</f>
        <v/>
      </c>
      <c r="G2360" s="13"/>
      <c r="H2360" s="11"/>
      <c r="I2360" s="15" t="str">
        <f aca="false">IF($F2360="","",$F2360-IF($H2360="",0,$H2360))</f>
        <v/>
      </c>
      <c r="J2360" s="16" t="str">
        <f aca="true">IF(OR($A2360="",$I2360="",$I2360&lt;=0),"",TODAY()-$A2360)</f>
        <v/>
      </c>
      <c r="K2360" s="10"/>
    </row>
    <row r="2361" customFormat="false" ht="15" hidden="false" customHeight="true" outlineLevel="0" collapsed="false">
      <c r="A2361" s="13"/>
      <c r="B2361" s="10"/>
      <c r="C2361" s="10"/>
      <c r="D2361" s="14"/>
      <c r="E2361" s="11"/>
      <c r="F2361" s="15" t="str">
        <f aca="false">IF($B2361="","",IF(AND($D2361="",$E2361=""),"",IF(OR($D2361="",$E2361=""),0,ROUND($D2361*$E2361,0))))</f>
        <v/>
      </c>
      <c r="G2361" s="13"/>
      <c r="H2361" s="11"/>
      <c r="I2361" s="15" t="str">
        <f aca="false">IF($F2361="","",$F2361-IF($H2361="",0,$H2361))</f>
        <v/>
      </c>
      <c r="J2361" s="16" t="str">
        <f aca="true">IF(OR($A2361="",$I2361="",$I2361&lt;=0),"",TODAY()-$A2361)</f>
        <v/>
      </c>
      <c r="K2361" s="10"/>
    </row>
    <row r="2362" customFormat="false" ht="15" hidden="false" customHeight="true" outlineLevel="0" collapsed="false">
      <c r="A2362" s="13"/>
      <c r="B2362" s="10"/>
      <c r="C2362" s="10"/>
      <c r="D2362" s="14"/>
      <c r="E2362" s="11"/>
      <c r="F2362" s="15" t="str">
        <f aca="false">IF($B2362="","",IF(AND($D2362="",$E2362=""),"",IF(OR($D2362="",$E2362=""),0,ROUND($D2362*$E2362,0))))</f>
        <v/>
      </c>
      <c r="G2362" s="13"/>
      <c r="H2362" s="11"/>
      <c r="I2362" s="15" t="str">
        <f aca="false">IF($F2362="","",$F2362-IF($H2362="",0,$H2362))</f>
        <v/>
      </c>
      <c r="J2362" s="16" t="str">
        <f aca="true">IF(OR($A2362="",$I2362="",$I2362&lt;=0),"",TODAY()-$A2362)</f>
        <v/>
      </c>
      <c r="K2362" s="10"/>
    </row>
    <row r="2363" customFormat="false" ht="15" hidden="false" customHeight="true" outlineLevel="0" collapsed="false">
      <c r="A2363" s="13"/>
      <c r="B2363" s="10"/>
      <c r="C2363" s="10"/>
      <c r="D2363" s="14"/>
      <c r="E2363" s="11"/>
      <c r="F2363" s="15" t="str">
        <f aca="false">IF($B2363="","",IF(AND($D2363="",$E2363=""),"",IF(OR($D2363="",$E2363=""),0,ROUND($D2363*$E2363,0))))</f>
        <v/>
      </c>
      <c r="G2363" s="13"/>
      <c r="H2363" s="11"/>
      <c r="I2363" s="15" t="str">
        <f aca="false">IF($F2363="","",$F2363-IF($H2363="",0,$H2363))</f>
        <v/>
      </c>
      <c r="J2363" s="16" t="str">
        <f aca="true">IF(OR($A2363="",$I2363="",$I2363&lt;=0),"",TODAY()-$A2363)</f>
        <v/>
      </c>
      <c r="K2363" s="10"/>
    </row>
    <row r="2364" customFormat="false" ht="15" hidden="false" customHeight="true" outlineLevel="0" collapsed="false">
      <c r="A2364" s="13"/>
      <c r="B2364" s="10"/>
      <c r="C2364" s="10"/>
      <c r="D2364" s="14"/>
      <c r="E2364" s="11"/>
      <c r="F2364" s="15" t="str">
        <f aca="false">IF($B2364="","",IF(AND($D2364="",$E2364=""),"",IF(OR($D2364="",$E2364=""),0,ROUND($D2364*$E2364,0))))</f>
        <v/>
      </c>
      <c r="G2364" s="13"/>
      <c r="H2364" s="11"/>
      <c r="I2364" s="15" t="str">
        <f aca="false">IF($F2364="","",$F2364-IF($H2364="",0,$H2364))</f>
        <v/>
      </c>
      <c r="J2364" s="16" t="str">
        <f aca="true">IF(OR($A2364="",$I2364="",$I2364&lt;=0),"",TODAY()-$A2364)</f>
        <v/>
      </c>
      <c r="K2364" s="10"/>
    </row>
    <row r="2365" customFormat="false" ht="15" hidden="false" customHeight="true" outlineLevel="0" collapsed="false">
      <c r="A2365" s="13"/>
      <c r="B2365" s="10"/>
      <c r="C2365" s="10"/>
      <c r="D2365" s="14"/>
      <c r="E2365" s="11"/>
      <c r="F2365" s="15" t="str">
        <f aca="false">IF($B2365="","",IF(AND($D2365="",$E2365=""),"",IF(OR($D2365="",$E2365=""),0,ROUND($D2365*$E2365,0))))</f>
        <v/>
      </c>
      <c r="G2365" s="13"/>
      <c r="H2365" s="11"/>
      <c r="I2365" s="15" t="str">
        <f aca="false">IF($F2365="","",$F2365-IF($H2365="",0,$H2365))</f>
        <v/>
      </c>
      <c r="J2365" s="16" t="str">
        <f aca="true">IF(OR($A2365="",$I2365="",$I2365&lt;=0),"",TODAY()-$A2365)</f>
        <v/>
      </c>
      <c r="K2365" s="10"/>
    </row>
    <row r="2366" customFormat="false" ht="15" hidden="false" customHeight="true" outlineLevel="0" collapsed="false">
      <c r="A2366" s="13"/>
      <c r="B2366" s="10"/>
      <c r="C2366" s="10"/>
      <c r="D2366" s="14"/>
      <c r="E2366" s="11"/>
      <c r="F2366" s="15" t="str">
        <f aca="false">IF($B2366="","",IF(AND($D2366="",$E2366=""),"",IF(OR($D2366="",$E2366=""),0,ROUND($D2366*$E2366,0))))</f>
        <v/>
      </c>
      <c r="G2366" s="13"/>
      <c r="H2366" s="11"/>
      <c r="I2366" s="15" t="str">
        <f aca="false">IF($F2366="","",$F2366-IF($H2366="",0,$H2366))</f>
        <v/>
      </c>
      <c r="J2366" s="16" t="str">
        <f aca="true">IF(OR($A2366="",$I2366="",$I2366&lt;=0),"",TODAY()-$A2366)</f>
        <v/>
      </c>
      <c r="K2366" s="10"/>
    </row>
    <row r="2367" customFormat="false" ht="15" hidden="false" customHeight="true" outlineLevel="0" collapsed="false">
      <c r="A2367" s="13"/>
      <c r="B2367" s="10"/>
      <c r="C2367" s="10"/>
      <c r="D2367" s="14"/>
      <c r="E2367" s="11"/>
      <c r="F2367" s="15" t="str">
        <f aca="false">IF($B2367="","",IF(AND($D2367="",$E2367=""),"",IF(OR($D2367="",$E2367=""),0,ROUND($D2367*$E2367,0))))</f>
        <v/>
      </c>
      <c r="G2367" s="13"/>
      <c r="H2367" s="11"/>
      <c r="I2367" s="15" t="str">
        <f aca="false">IF($F2367="","",$F2367-IF($H2367="",0,$H2367))</f>
        <v/>
      </c>
      <c r="J2367" s="16" t="str">
        <f aca="true">IF(OR($A2367="",$I2367="",$I2367&lt;=0),"",TODAY()-$A2367)</f>
        <v/>
      </c>
      <c r="K2367" s="10"/>
    </row>
    <row r="2368" customFormat="false" ht="15" hidden="false" customHeight="true" outlineLevel="0" collapsed="false">
      <c r="A2368" s="13"/>
      <c r="B2368" s="10"/>
      <c r="C2368" s="10"/>
      <c r="D2368" s="14"/>
      <c r="E2368" s="11"/>
      <c r="F2368" s="15" t="str">
        <f aca="false">IF($B2368="","",IF(AND($D2368="",$E2368=""),"",IF(OR($D2368="",$E2368=""),0,ROUND($D2368*$E2368,0))))</f>
        <v/>
      </c>
      <c r="G2368" s="13"/>
      <c r="H2368" s="11"/>
      <c r="I2368" s="15" t="str">
        <f aca="false">IF($F2368="","",$F2368-IF($H2368="",0,$H2368))</f>
        <v/>
      </c>
      <c r="J2368" s="16" t="str">
        <f aca="true">IF(OR($A2368="",$I2368="",$I2368&lt;=0),"",TODAY()-$A2368)</f>
        <v/>
      </c>
      <c r="K2368" s="10"/>
    </row>
    <row r="2369" customFormat="false" ht="15" hidden="false" customHeight="true" outlineLevel="0" collapsed="false">
      <c r="A2369" s="13"/>
      <c r="B2369" s="10"/>
      <c r="C2369" s="10"/>
      <c r="D2369" s="14"/>
      <c r="E2369" s="11"/>
      <c r="F2369" s="15" t="str">
        <f aca="false">IF($B2369="","",IF(AND($D2369="",$E2369=""),"",IF(OR($D2369="",$E2369=""),0,ROUND($D2369*$E2369,0))))</f>
        <v/>
      </c>
      <c r="G2369" s="13"/>
      <c r="H2369" s="11"/>
      <c r="I2369" s="15" t="str">
        <f aca="false">IF($F2369="","",$F2369-IF($H2369="",0,$H2369))</f>
        <v/>
      </c>
      <c r="J2369" s="16" t="str">
        <f aca="true">IF(OR($A2369="",$I2369="",$I2369&lt;=0),"",TODAY()-$A2369)</f>
        <v/>
      </c>
      <c r="K2369" s="10"/>
    </row>
    <row r="2370" customFormat="false" ht="15" hidden="false" customHeight="true" outlineLevel="0" collapsed="false">
      <c r="A2370" s="13"/>
      <c r="B2370" s="10"/>
      <c r="C2370" s="10"/>
      <c r="D2370" s="14"/>
      <c r="E2370" s="11"/>
      <c r="F2370" s="15" t="str">
        <f aca="false">IF($B2370="","",IF(AND($D2370="",$E2370=""),"",IF(OR($D2370="",$E2370=""),0,ROUND($D2370*$E2370,0))))</f>
        <v/>
      </c>
      <c r="G2370" s="13"/>
      <c r="H2370" s="11"/>
      <c r="I2370" s="15" t="str">
        <f aca="false">IF($F2370="","",$F2370-IF($H2370="",0,$H2370))</f>
        <v/>
      </c>
      <c r="J2370" s="16" t="str">
        <f aca="true">IF(OR($A2370="",$I2370="",$I2370&lt;=0),"",TODAY()-$A2370)</f>
        <v/>
      </c>
      <c r="K2370" s="10"/>
    </row>
    <row r="2371" customFormat="false" ht="15" hidden="false" customHeight="true" outlineLevel="0" collapsed="false">
      <c r="A2371" s="13"/>
      <c r="B2371" s="10"/>
      <c r="C2371" s="10"/>
      <c r="D2371" s="14"/>
      <c r="E2371" s="11"/>
      <c r="F2371" s="15" t="str">
        <f aca="false">IF($B2371="","",IF(AND($D2371="",$E2371=""),"",IF(OR($D2371="",$E2371=""),0,ROUND($D2371*$E2371,0))))</f>
        <v/>
      </c>
      <c r="G2371" s="13"/>
      <c r="H2371" s="11"/>
      <c r="I2371" s="15" t="str">
        <f aca="false">IF($F2371="","",$F2371-IF($H2371="",0,$H2371))</f>
        <v/>
      </c>
      <c r="J2371" s="16" t="str">
        <f aca="true">IF(OR($A2371="",$I2371="",$I2371&lt;=0),"",TODAY()-$A2371)</f>
        <v/>
      </c>
      <c r="K2371" s="10"/>
    </row>
    <row r="2372" customFormat="false" ht="15" hidden="false" customHeight="true" outlineLevel="0" collapsed="false">
      <c r="A2372" s="13"/>
      <c r="B2372" s="10"/>
      <c r="C2372" s="10"/>
      <c r="D2372" s="14"/>
      <c r="E2372" s="11"/>
      <c r="F2372" s="15" t="str">
        <f aca="false">IF($B2372="","",IF(AND($D2372="",$E2372=""),"",IF(OR($D2372="",$E2372=""),0,ROUND($D2372*$E2372,0))))</f>
        <v/>
      </c>
      <c r="G2372" s="13"/>
      <c r="H2372" s="11"/>
      <c r="I2372" s="15" t="str">
        <f aca="false">IF($F2372="","",$F2372-IF($H2372="",0,$H2372))</f>
        <v/>
      </c>
      <c r="J2372" s="16" t="str">
        <f aca="true">IF(OR($A2372="",$I2372="",$I2372&lt;=0),"",TODAY()-$A2372)</f>
        <v/>
      </c>
      <c r="K2372" s="10"/>
    </row>
    <row r="2373" customFormat="false" ht="15" hidden="false" customHeight="true" outlineLevel="0" collapsed="false">
      <c r="A2373" s="13"/>
      <c r="B2373" s="10"/>
      <c r="C2373" s="10"/>
      <c r="D2373" s="14"/>
      <c r="E2373" s="11"/>
      <c r="F2373" s="15" t="str">
        <f aca="false">IF($B2373="","",IF(AND($D2373="",$E2373=""),"",IF(OR($D2373="",$E2373=""),0,ROUND($D2373*$E2373,0))))</f>
        <v/>
      </c>
      <c r="G2373" s="13"/>
      <c r="H2373" s="11"/>
      <c r="I2373" s="15" t="str">
        <f aca="false">IF($F2373="","",$F2373-IF($H2373="",0,$H2373))</f>
        <v/>
      </c>
      <c r="J2373" s="16" t="str">
        <f aca="true">IF(OR($A2373="",$I2373="",$I2373&lt;=0),"",TODAY()-$A2373)</f>
        <v/>
      </c>
      <c r="K2373" s="10"/>
    </row>
    <row r="2374" customFormat="false" ht="15" hidden="false" customHeight="true" outlineLevel="0" collapsed="false">
      <c r="A2374" s="13"/>
      <c r="B2374" s="10"/>
      <c r="C2374" s="10"/>
      <c r="D2374" s="14"/>
      <c r="E2374" s="11"/>
      <c r="F2374" s="15" t="str">
        <f aca="false">IF($B2374="","",IF(AND($D2374="",$E2374=""),"",IF(OR($D2374="",$E2374=""),0,ROUND($D2374*$E2374,0))))</f>
        <v/>
      </c>
      <c r="G2374" s="13"/>
      <c r="H2374" s="11"/>
      <c r="I2374" s="15" t="str">
        <f aca="false">IF($F2374="","",$F2374-IF($H2374="",0,$H2374))</f>
        <v/>
      </c>
      <c r="J2374" s="16" t="str">
        <f aca="true">IF(OR($A2374="",$I2374="",$I2374&lt;=0),"",TODAY()-$A2374)</f>
        <v/>
      </c>
      <c r="K2374" s="10"/>
    </row>
    <row r="2375" customFormat="false" ht="15" hidden="false" customHeight="true" outlineLevel="0" collapsed="false">
      <c r="A2375" s="13"/>
      <c r="B2375" s="10"/>
      <c r="C2375" s="10"/>
      <c r="D2375" s="14"/>
      <c r="E2375" s="11"/>
      <c r="F2375" s="15" t="str">
        <f aca="false">IF($B2375="","",IF(AND($D2375="",$E2375=""),"",IF(OR($D2375="",$E2375=""),0,ROUND($D2375*$E2375,0))))</f>
        <v/>
      </c>
      <c r="G2375" s="13"/>
      <c r="H2375" s="11"/>
      <c r="I2375" s="15" t="str">
        <f aca="false">IF($F2375="","",$F2375-IF($H2375="",0,$H2375))</f>
        <v/>
      </c>
      <c r="J2375" s="16" t="str">
        <f aca="true">IF(OR($A2375="",$I2375="",$I2375&lt;=0),"",TODAY()-$A2375)</f>
        <v/>
      </c>
      <c r="K2375" s="10"/>
    </row>
    <row r="2376" customFormat="false" ht="15" hidden="false" customHeight="true" outlineLevel="0" collapsed="false">
      <c r="A2376" s="13"/>
      <c r="B2376" s="10"/>
      <c r="C2376" s="10"/>
      <c r="D2376" s="14"/>
      <c r="E2376" s="11"/>
      <c r="F2376" s="15" t="str">
        <f aca="false">IF($B2376="","",IF(AND($D2376="",$E2376=""),"",IF(OR($D2376="",$E2376=""),0,ROUND($D2376*$E2376,0))))</f>
        <v/>
      </c>
      <c r="G2376" s="13"/>
      <c r="H2376" s="11"/>
      <c r="I2376" s="15" t="str">
        <f aca="false">IF($F2376="","",$F2376-IF($H2376="",0,$H2376))</f>
        <v/>
      </c>
      <c r="J2376" s="16" t="str">
        <f aca="true">IF(OR($A2376="",$I2376="",$I2376&lt;=0),"",TODAY()-$A2376)</f>
        <v/>
      </c>
      <c r="K2376" s="10"/>
    </row>
    <row r="2377" customFormat="false" ht="15" hidden="false" customHeight="true" outlineLevel="0" collapsed="false">
      <c r="A2377" s="13"/>
      <c r="B2377" s="10"/>
      <c r="C2377" s="10"/>
      <c r="D2377" s="14"/>
      <c r="E2377" s="11"/>
      <c r="F2377" s="15" t="str">
        <f aca="false">IF($B2377="","",IF(AND($D2377="",$E2377=""),"",IF(OR($D2377="",$E2377=""),0,ROUND($D2377*$E2377,0))))</f>
        <v/>
      </c>
      <c r="G2377" s="13"/>
      <c r="H2377" s="11"/>
      <c r="I2377" s="15" t="str">
        <f aca="false">IF($F2377="","",$F2377-IF($H2377="",0,$H2377))</f>
        <v/>
      </c>
      <c r="J2377" s="16" t="str">
        <f aca="true">IF(OR($A2377="",$I2377="",$I2377&lt;=0),"",TODAY()-$A2377)</f>
        <v/>
      </c>
      <c r="K2377" s="10"/>
    </row>
    <row r="2378" customFormat="false" ht="15" hidden="false" customHeight="true" outlineLevel="0" collapsed="false">
      <c r="A2378" s="13"/>
      <c r="B2378" s="10"/>
      <c r="C2378" s="10"/>
      <c r="D2378" s="14"/>
      <c r="E2378" s="11"/>
      <c r="F2378" s="15" t="str">
        <f aca="false">IF($B2378="","",IF(AND($D2378="",$E2378=""),"",IF(OR($D2378="",$E2378=""),0,ROUND($D2378*$E2378,0))))</f>
        <v/>
      </c>
      <c r="G2378" s="13"/>
      <c r="H2378" s="11"/>
      <c r="I2378" s="15" t="str">
        <f aca="false">IF($F2378="","",$F2378-IF($H2378="",0,$H2378))</f>
        <v/>
      </c>
      <c r="J2378" s="16" t="str">
        <f aca="true">IF(OR($A2378="",$I2378="",$I2378&lt;=0),"",TODAY()-$A2378)</f>
        <v/>
      </c>
      <c r="K2378" s="10"/>
    </row>
    <row r="2379" customFormat="false" ht="15" hidden="false" customHeight="true" outlineLevel="0" collapsed="false">
      <c r="A2379" s="13"/>
      <c r="B2379" s="10"/>
      <c r="C2379" s="10"/>
      <c r="D2379" s="14"/>
      <c r="E2379" s="11"/>
      <c r="F2379" s="15" t="str">
        <f aca="false">IF($B2379="","",IF(AND($D2379="",$E2379=""),"",IF(OR($D2379="",$E2379=""),0,ROUND($D2379*$E2379,0))))</f>
        <v/>
      </c>
      <c r="G2379" s="13"/>
      <c r="H2379" s="11"/>
      <c r="I2379" s="15" t="str">
        <f aca="false">IF($F2379="","",$F2379-IF($H2379="",0,$H2379))</f>
        <v/>
      </c>
      <c r="J2379" s="16" t="str">
        <f aca="true">IF(OR($A2379="",$I2379="",$I2379&lt;=0),"",TODAY()-$A2379)</f>
        <v/>
      </c>
      <c r="K2379" s="10"/>
    </row>
    <row r="2380" customFormat="false" ht="15" hidden="false" customHeight="true" outlineLevel="0" collapsed="false">
      <c r="A2380" s="13"/>
      <c r="B2380" s="10"/>
      <c r="C2380" s="10"/>
      <c r="D2380" s="14"/>
      <c r="E2380" s="11"/>
      <c r="F2380" s="15" t="str">
        <f aca="false">IF($B2380="","",IF(AND($D2380="",$E2380=""),"",IF(OR($D2380="",$E2380=""),0,ROUND($D2380*$E2380,0))))</f>
        <v/>
      </c>
      <c r="G2380" s="13"/>
      <c r="H2380" s="11"/>
      <c r="I2380" s="15" t="str">
        <f aca="false">IF($F2380="","",$F2380-IF($H2380="",0,$H2380))</f>
        <v/>
      </c>
      <c r="J2380" s="16" t="str">
        <f aca="true">IF(OR($A2380="",$I2380="",$I2380&lt;=0),"",TODAY()-$A2380)</f>
        <v/>
      </c>
      <c r="K2380" s="10"/>
    </row>
    <row r="2381" customFormat="false" ht="15" hidden="false" customHeight="true" outlineLevel="0" collapsed="false">
      <c r="A2381" s="13"/>
      <c r="B2381" s="10"/>
      <c r="C2381" s="10"/>
      <c r="D2381" s="14"/>
      <c r="E2381" s="11"/>
      <c r="F2381" s="15" t="str">
        <f aca="false">IF($B2381="","",IF(AND($D2381="",$E2381=""),"",IF(OR($D2381="",$E2381=""),0,ROUND($D2381*$E2381,0))))</f>
        <v/>
      </c>
      <c r="G2381" s="13"/>
      <c r="H2381" s="11"/>
      <c r="I2381" s="15" t="str">
        <f aca="false">IF($F2381="","",$F2381-IF($H2381="",0,$H2381))</f>
        <v/>
      </c>
      <c r="J2381" s="16" t="str">
        <f aca="true">IF(OR($A2381="",$I2381="",$I2381&lt;=0),"",TODAY()-$A2381)</f>
        <v/>
      </c>
      <c r="K2381" s="10"/>
    </row>
    <row r="2382" customFormat="false" ht="15" hidden="false" customHeight="true" outlineLevel="0" collapsed="false">
      <c r="A2382" s="13"/>
      <c r="B2382" s="10"/>
      <c r="C2382" s="10"/>
      <c r="D2382" s="14"/>
      <c r="E2382" s="11"/>
      <c r="F2382" s="15" t="str">
        <f aca="false">IF($B2382="","",IF(AND($D2382="",$E2382=""),"",IF(OR($D2382="",$E2382=""),0,ROUND($D2382*$E2382,0))))</f>
        <v/>
      </c>
      <c r="G2382" s="13"/>
      <c r="H2382" s="11"/>
      <c r="I2382" s="15" t="str">
        <f aca="false">IF($F2382="","",$F2382-IF($H2382="",0,$H2382))</f>
        <v/>
      </c>
      <c r="J2382" s="16" t="str">
        <f aca="true">IF(OR($A2382="",$I2382="",$I2382&lt;=0),"",TODAY()-$A2382)</f>
        <v/>
      </c>
      <c r="K2382" s="10"/>
    </row>
    <row r="2383" customFormat="false" ht="15" hidden="false" customHeight="true" outlineLevel="0" collapsed="false">
      <c r="A2383" s="13"/>
      <c r="B2383" s="10"/>
      <c r="C2383" s="10"/>
      <c r="D2383" s="14"/>
      <c r="E2383" s="11"/>
      <c r="F2383" s="15" t="str">
        <f aca="false">IF($B2383="","",IF(AND($D2383="",$E2383=""),"",IF(OR($D2383="",$E2383=""),0,ROUND($D2383*$E2383,0))))</f>
        <v/>
      </c>
      <c r="G2383" s="13"/>
      <c r="H2383" s="11"/>
      <c r="I2383" s="15" t="str">
        <f aca="false">IF($F2383="","",$F2383-IF($H2383="",0,$H2383))</f>
        <v/>
      </c>
      <c r="J2383" s="16" t="str">
        <f aca="true">IF(OR($A2383="",$I2383="",$I2383&lt;=0),"",TODAY()-$A2383)</f>
        <v/>
      </c>
      <c r="K2383" s="10"/>
    </row>
    <row r="2384" customFormat="false" ht="15" hidden="false" customHeight="true" outlineLevel="0" collapsed="false">
      <c r="A2384" s="13"/>
      <c r="B2384" s="10"/>
      <c r="C2384" s="10"/>
      <c r="D2384" s="14"/>
      <c r="E2384" s="11"/>
      <c r="F2384" s="15" t="str">
        <f aca="false">IF($B2384="","",IF(AND($D2384="",$E2384=""),"",IF(OR($D2384="",$E2384=""),0,ROUND($D2384*$E2384,0))))</f>
        <v/>
      </c>
      <c r="G2384" s="13"/>
      <c r="H2384" s="11"/>
      <c r="I2384" s="15" t="str">
        <f aca="false">IF($F2384="","",$F2384-IF($H2384="",0,$H2384))</f>
        <v/>
      </c>
      <c r="J2384" s="16" t="str">
        <f aca="true">IF(OR($A2384="",$I2384="",$I2384&lt;=0),"",TODAY()-$A2384)</f>
        <v/>
      </c>
      <c r="K2384" s="10"/>
    </row>
    <row r="2385" customFormat="false" ht="15" hidden="false" customHeight="true" outlineLevel="0" collapsed="false">
      <c r="A2385" s="13"/>
      <c r="B2385" s="10"/>
      <c r="C2385" s="10"/>
      <c r="D2385" s="14"/>
      <c r="E2385" s="11"/>
      <c r="F2385" s="15" t="str">
        <f aca="false">IF($B2385="","",IF(AND($D2385="",$E2385=""),"",IF(OR($D2385="",$E2385=""),0,ROUND($D2385*$E2385,0))))</f>
        <v/>
      </c>
      <c r="G2385" s="13"/>
      <c r="H2385" s="11"/>
      <c r="I2385" s="15" t="str">
        <f aca="false">IF($F2385="","",$F2385-IF($H2385="",0,$H2385))</f>
        <v/>
      </c>
      <c r="J2385" s="16" t="str">
        <f aca="true">IF(OR($A2385="",$I2385="",$I2385&lt;=0),"",TODAY()-$A2385)</f>
        <v/>
      </c>
      <c r="K2385" s="10"/>
    </row>
    <row r="2386" customFormat="false" ht="15" hidden="false" customHeight="true" outlineLevel="0" collapsed="false">
      <c r="A2386" s="13"/>
      <c r="B2386" s="10"/>
      <c r="C2386" s="10"/>
      <c r="D2386" s="14"/>
      <c r="E2386" s="11"/>
      <c r="F2386" s="15" t="str">
        <f aca="false">IF($B2386="","",IF(AND($D2386="",$E2386=""),"",IF(OR($D2386="",$E2386=""),0,ROUND($D2386*$E2386,0))))</f>
        <v/>
      </c>
      <c r="G2386" s="13"/>
      <c r="H2386" s="11"/>
      <c r="I2386" s="15" t="str">
        <f aca="false">IF($F2386="","",$F2386-IF($H2386="",0,$H2386))</f>
        <v/>
      </c>
      <c r="J2386" s="16" t="str">
        <f aca="true">IF(OR($A2386="",$I2386="",$I2386&lt;=0),"",TODAY()-$A2386)</f>
        <v/>
      </c>
      <c r="K2386" s="10"/>
    </row>
    <row r="2387" customFormat="false" ht="15" hidden="false" customHeight="true" outlineLevel="0" collapsed="false">
      <c r="A2387" s="13"/>
      <c r="B2387" s="10"/>
      <c r="C2387" s="10"/>
      <c r="D2387" s="14"/>
      <c r="E2387" s="11"/>
      <c r="F2387" s="15" t="str">
        <f aca="false">IF($B2387="","",IF(AND($D2387="",$E2387=""),"",IF(OR($D2387="",$E2387=""),0,ROUND($D2387*$E2387,0))))</f>
        <v/>
      </c>
      <c r="G2387" s="13"/>
      <c r="H2387" s="11"/>
      <c r="I2387" s="15" t="str">
        <f aca="false">IF($F2387="","",$F2387-IF($H2387="",0,$H2387))</f>
        <v/>
      </c>
      <c r="J2387" s="16" t="str">
        <f aca="true">IF(OR($A2387="",$I2387="",$I2387&lt;=0),"",TODAY()-$A2387)</f>
        <v/>
      </c>
      <c r="K2387" s="10"/>
    </row>
    <row r="2388" customFormat="false" ht="15" hidden="false" customHeight="true" outlineLevel="0" collapsed="false">
      <c r="A2388" s="13"/>
      <c r="B2388" s="10"/>
      <c r="C2388" s="10"/>
      <c r="D2388" s="14"/>
      <c r="E2388" s="11"/>
      <c r="F2388" s="15" t="str">
        <f aca="false">IF($B2388="","",IF(AND($D2388="",$E2388=""),"",IF(OR($D2388="",$E2388=""),0,ROUND($D2388*$E2388,0))))</f>
        <v/>
      </c>
      <c r="G2388" s="13"/>
      <c r="H2388" s="11"/>
      <c r="I2388" s="15" t="str">
        <f aca="false">IF($F2388="","",$F2388-IF($H2388="",0,$H2388))</f>
        <v/>
      </c>
      <c r="J2388" s="16" t="str">
        <f aca="true">IF(OR($A2388="",$I2388="",$I2388&lt;=0),"",TODAY()-$A2388)</f>
        <v/>
      </c>
      <c r="K2388" s="10"/>
    </row>
    <row r="2389" customFormat="false" ht="15" hidden="false" customHeight="true" outlineLevel="0" collapsed="false">
      <c r="A2389" s="13"/>
      <c r="B2389" s="10"/>
      <c r="C2389" s="10"/>
      <c r="D2389" s="14"/>
      <c r="E2389" s="11"/>
      <c r="F2389" s="15" t="str">
        <f aca="false">IF($B2389="","",IF(AND($D2389="",$E2389=""),"",IF(OR($D2389="",$E2389=""),0,ROUND($D2389*$E2389,0))))</f>
        <v/>
      </c>
      <c r="G2389" s="13"/>
      <c r="H2389" s="11"/>
      <c r="I2389" s="15" t="str">
        <f aca="false">IF($F2389="","",$F2389-IF($H2389="",0,$H2389))</f>
        <v/>
      </c>
      <c r="J2389" s="16" t="str">
        <f aca="true">IF(OR($A2389="",$I2389="",$I2389&lt;=0),"",TODAY()-$A2389)</f>
        <v/>
      </c>
      <c r="K2389" s="10"/>
    </row>
    <row r="2390" customFormat="false" ht="15" hidden="false" customHeight="true" outlineLevel="0" collapsed="false">
      <c r="A2390" s="13"/>
      <c r="B2390" s="10"/>
      <c r="C2390" s="10"/>
      <c r="D2390" s="14"/>
      <c r="E2390" s="11"/>
      <c r="F2390" s="15" t="str">
        <f aca="false">IF($B2390="","",IF(AND($D2390="",$E2390=""),"",IF(OR($D2390="",$E2390=""),0,ROUND($D2390*$E2390,0))))</f>
        <v/>
      </c>
      <c r="G2390" s="13"/>
      <c r="H2390" s="11"/>
      <c r="I2390" s="15" t="str">
        <f aca="false">IF($F2390="","",$F2390-IF($H2390="",0,$H2390))</f>
        <v/>
      </c>
      <c r="J2390" s="16" t="str">
        <f aca="true">IF(OR($A2390="",$I2390="",$I2390&lt;=0),"",TODAY()-$A2390)</f>
        <v/>
      </c>
      <c r="K2390" s="10"/>
    </row>
    <row r="2391" customFormat="false" ht="15" hidden="false" customHeight="true" outlineLevel="0" collapsed="false">
      <c r="A2391" s="13"/>
      <c r="B2391" s="10"/>
      <c r="C2391" s="10"/>
      <c r="D2391" s="14"/>
      <c r="E2391" s="11"/>
      <c r="F2391" s="15" t="str">
        <f aca="false">IF($B2391="","",IF(AND($D2391="",$E2391=""),"",IF(OR($D2391="",$E2391=""),0,ROUND($D2391*$E2391,0))))</f>
        <v/>
      </c>
      <c r="G2391" s="13"/>
      <c r="H2391" s="11"/>
      <c r="I2391" s="15" t="str">
        <f aca="false">IF($F2391="","",$F2391-IF($H2391="",0,$H2391))</f>
        <v/>
      </c>
      <c r="J2391" s="16" t="str">
        <f aca="true">IF(OR($A2391="",$I2391="",$I2391&lt;=0),"",TODAY()-$A2391)</f>
        <v/>
      </c>
      <c r="K2391" s="10"/>
    </row>
    <row r="2392" customFormat="false" ht="15" hidden="false" customHeight="true" outlineLevel="0" collapsed="false">
      <c r="A2392" s="13"/>
      <c r="B2392" s="10"/>
      <c r="C2392" s="10"/>
      <c r="D2392" s="14"/>
      <c r="E2392" s="11"/>
      <c r="F2392" s="15" t="str">
        <f aca="false">IF($B2392="","",IF(AND($D2392="",$E2392=""),"",IF(OR($D2392="",$E2392=""),0,ROUND($D2392*$E2392,0))))</f>
        <v/>
      </c>
      <c r="G2392" s="13"/>
      <c r="H2392" s="11"/>
      <c r="I2392" s="15" t="str">
        <f aca="false">IF($F2392="","",$F2392-IF($H2392="",0,$H2392))</f>
        <v/>
      </c>
      <c r="J2392" s="16" t="str">
        <f aca="true">IF(OR($A2392="",$I2392="",$I2392&lt;=0),"",TODAY()-$A2392)</f>
        <v/>
      </c>
      <c r="K2392" s="10"/>
    </row>
    <row r="2393" customFormat="false" ht="15" hidden="false" customHeight="true" outlineLevel="0" collapsed="false">
      <c r="A2393" s="13"/>
      <c r="B2393" s="10"/>
      <c r="C2393" s="10"/>
      <c r="D2393" s="14"/>
      <c r="E2393" s="11"/>
      <c r="F2393" s="15" t="str">
        <f aca="false">IF($B2393="","",IF(AND($D2393="",$E2393=""),"",IF(OR($D2393="",$E2393=""),0,ROUND($D2393*$E2393,0))))</f>
        <v/>
      </c>
      <c r="G2393" s="13"/>
      <c r="H2393" s="11"/>
      <c r="I2393" s="15" t="str">
        <f aca="false">IF($F2393="","",$F2393-IF($H2393="",0,$H2393))</f>
        <v/>
      </c>
      <c r="J2393" s="16" t="str">
        <f aca="true">IF(OR($A2393="",$I2393="",$I2393&lt;=0),"",TODAY()-$A2393)</f>
        <v/>
      </c>
      <c r="K2393" s="10"/>
    </row>
    <row r="2394" customFormat="false" ht="15" hidden="false" customHeight="true" outlineLevel="0" collapsed="false">
      <c r="A2394" s="13"/>
      <c r="B2394" s="10"/>
      <c r="C2394" s="10"/>
      <c r="D2394" s="14"/>
      <c r="E2394" s="11"/>
      <c r="F2394" s="15" t="str">
        <f aca="false">IF($B2394="","",IF(AND($D2394="",$E2394=""),"",IF(OR($D2394="",$E2394=""),0,ROUND($D2394*$E2394,0))))</f>
        <v/>
      </c>
      <c r="G2394" s="13"/>
      <c r="H2394" s="11"/>
      <c r="I2394" s="15" t="str">
        <f aca="false">IF($F2394="","",$F2394-IF($H2394="",0,$H2394))</f>
        <v/>
      </c>
      <c r="J2394" s="16" t="str">
        <f aca="true">IF(OR($A2394="",$I2394="",$I2394&lt;=0),"",TODAY()-$A2394)</f>
        <v/>
      </c>
      <c r="K2394" s="10"/>
    </row>
    <row r="2395" customFormat="false" ht="15" hidden="false" customHeight="true" outlineLevel="0" collapsed="false">
      <c r="A2395" s="13"/>
      <c r="B2395" s="10"/>
      <c r="C2395" s="10"/>
      <c r="D2395" s="14"/>
      <c r="E2395" s="11"/>
      <c r="F2395" s="15" t="str">
        <f aca="false">IF($B2395="","",IF(AND($D2395="",$E2395=""),"",IF(OR($D2395="",$E2395=""),0,ROUND($D2395*$E2395,0))))</f>
        <v/>
      </c>
      <c r="G2395" s="13"/>
      <c r="H2395" s="11"/>
      <c r="I2395" s="15" t="str">
        <f aca="false">IF($F2395="","",$F2395-IF($H2395="",0,$H2395))</f>
        <v/>
      </c>
      <c r="J2395" s="16" t="str">
        <f aca="true">IF(OR($A2395="",$I2395="",$I2395&lt;=0),"",TODAY()-$A2395)</f>
        <v/>
      </c>
      <c r="K2395" s="10"/>
    </row>
    <row r="2396" customFormat="false" ht="15" hidden="false" customHeight="true" outlineLevel="0" collapsed="false">
      <c r="A2396" s="13"/>
      <c r="B2396" s="10"/>
      <c r="C2396" s="10"/>
      <c r="D2396" s="14"/>
      <c r="E2396" s="11"/>
      <c r="F2396" s="15" t="str">
        <f aca="false">IF($B2396="","",IF(AND($D2396="",$E2396=""),"",IF(OR($D2396="",$E2396=""),0,ROUND($D2396*$E2396,0))))</f>
        <v/>
      </c>
      <c r="G2396" s="13"/>
      <c r="H2396" s="11"/>
      <c r="I2396" s="15" t="str">
        <f aca="false">IF($F2396="","",$F2396-IF($H2396="",0,$H2396))</f>
        <v/>
      </c>
      <c r="J2396" s="16" t="str">
        <f aca="true">IF(OR($A2396="",$I2396="",$I2396&lt;=0),"",TODAY()-$A2396)</f>
        <v/>
      </c>
      <c r="K2396" s="10"/>
    </row>
    <row r="2397" customFormat="false" ht="15" hidden="false" customHeight="true" outlineLevel="0" collapsed="false">
      <c r="A2397" s="13"/>
      <c r="B2397" s="10"/>
      <c r="C2397" s="10"/>
      <c r="D2397" s="14"/>
      <c r="E2397" s="11"/>
      <c r="F2397" s="15" t="str">
        <f aca="false">IF($B2397="","",IF(AND($D2397="",$E2397=""),"",IF(OR($D2397="",$E2397=""),0,ROUND($D2397*$E2397,0))))</f>
        <v/>
      </c>
      <c r="G2397" s="13"/>
      <c r="H2397" s="11"/>
      <c r="I2397" s="15" t="str">
        <f aca="false">IF($F2397="","",$F2397-IF($H2397="",0,$H2397))</f>
        <v/>
      </c>
      <c r="J2397" s="16" t="str">
        <f aca="true">IF(OR($A2397="",$I2397="",$I2397&lt;=0),"",TODAY()-$A2397)</f>
        <v/>
      </c>
      <c r="K2397" s="10"/>
    </row>
    <row r="2398" customFormat="false" ht="15" hidden="false" customHeight="true" outlineLevel="0" collapsed="false">
      <c r="A2398" s="13"/>
      <c r="B2398" s="10"/>
      <c r="C2398" s="10"/>
      <c r="D2398" s="14"/>
      <c r="E2398" s="11"/>
      <c r="F2398" s="15" t="str">
        <f aca="false">IF($B2398="","",IF(AND($D2398="",$E2398=""),"",IF(OR($D2398="",$E2398=""),0,ROUND($D2398*$E2398,0))))</f>
        <v/>
      </c>
      <c r="G2398" s="13"/>
      <c r="H2398" s="11"/>
      <c r="I2398" s="15" t="str">
        <f aca="false">IF($F2398="","",$F2398-IF($H2398="",0,$H2398))</f>
        <v/>
      </c>
      <c r="J2398" s="16" t="str">
        <f aca="true">IF(OR($A2398="",$I2398="",$I2398&lt;=0),"",TODAY()-$A2398)</f>
        <v/>
      </c>
      <c r="K2398" s="10"/>
    </row>
    <row r="2399" customFormat="false" ht="15" hidden="false" customHeight="true" outlineLevel="0" collapsed="false">
      <c r="A2399" s="13"/>
      <c r="B2399" s="10"/>
      <c r="C2399" s="10"/>
      <c r="D2399" s="14"/>
      <c r="E2399" s="11"/>
      <c r="F2399" s="15" t="str">
        <f aca="false">IF($B2399="","",IF(AND($D2399="",$E2399=""),"",IF(OR($D2399="",$E2399=""),0,ROUND($D2399*$E2399,0))))</f>
        <v/>
      </c>
      <c r="G2399" s="13"/>
      <c r="H2399" s="11"/>
      <c r="I2399" s="15" t="str">
        <f aca="false">IF($F2399="","",$F2399-IF($H2399="",0,$H2399))</f>
        <v/>
      </c>
      <c r="J2399" s="16" t="str">
        <f aca="true">IF(OR($A2399="",$I2399="",$I2399&lt;=0),"",TODAY()-$A2399)</f>
        <v/>
      </c>
      <c r="K2399" s="10"/>
    </row>
    <row r="2400" customFormat="false" ht="15" hidden="false" customHeight="true" outlineLevel="0" collapsed="false">
      <c r="A2400" s="13"/>
      <c r="B2400" s="10"/>
      <c r="C2400" s="10"/>
      <c r="D2400" s="14"/>
      <c r="E2400" s="11"/>
      <c r="F2400" s="15" t="str">
        <f aca="false">IF($B2400="","",IF(AND($D2400="",$E2400=""),"",IF(OR($D2400="",$E2400=""),0,ROUND($D2400*$E2400,0))))</f>
        <v/>
      </c>
      <c r="G2400" s="13"/>
      <c r="H2400" s="11"/>
      <c r="I2400" s="15" t="str">
        <f aca="false">IF($F2400="","",$F2400-IF($H2400="",0,$H2400))</f>
        <v/>
      </c>
      <c r="J2400" s="16" t="str">
        <f aca="true">IF(OR($A2400="",$I2400="",$I2400&lt;=0),"",TODAY()-$A2400)</f>
        <v/>
      </c>
      <c r="K2400" s="10"/>
    </row>
    <row r="2401" customFormat="false" ht="15" hidden="false" customHeight="true" outlineLevel="0" collapsed="false">
      <c r="A2401" s="13"/>
      <c r="B2401" s="10"/>
      <c r="C2401" s="10"/>
      <c r="D2401" s="14"/>
      <c r="E2401" s="11"/>
      <c r="F2401" s="15" t="str">
        <f aca="false">IF($B2401="","",IF(AND($D2401="",$E2401=""),"",IF(OR($D2401="",$E2401=""),0,ROUND($D2401*$E2401,0))))</f>
        <v/>
      </c>
      <c r="G2401" s="13"/>
      <c r="H2401" s="11"/>
      <c r="I2401" s="15" t="str">
        <f aca="false">IF($F2401="","",$F2401-IF($H2401="",0,$H2401))</f>
        <v/>
      </c>
      <c r="J2401" s="16" t="str">
        <f aca="true">IF(OR($A2401="",$I2401="",$I2401&lt;=0),"",TODAY()-$A2401)</f>
        <v/>
      </c>
      <c r="K2401" s="10"/>
    </row>
    <row r="2402" customFormat="false" ht="15" hidden="false" customHeight="true" outlineLevel="0" collapsed="false">
      <c r="A2402" s="13"/>
      <c r="B2402" s="10"/>
      <c r="C2402" s="10"/>
      <c r="D2402" s="14"/>
      <c r="E2402" s="11"/>
      <c r="F2402" s="15" t="str">
        <f aca="false">IF($B2402="","",IF(AND($D2402="",$E2402=""),"",IF(OR($D2402="",$E2402=""),0,ROUND($D2402*$E2402,0))))</f>
        <v/>
      </c>
      <c r="G2402" s="13"/>
      <c r="H2402" s="11"/>
      <c r="I2402" s="15" t="str">
        <f aca="false">IF($F2402="","",$F2402-IF($H2402="",0,$H2402))</f>
        <v/>
      </c>
      <c r="J2402" s="16" t="str">
        <f aca="true">IF(OR($A2402="",$I2402="",$I2402&lt;=0),"",TODAY()-$A2402)</f>
        <v/>
      </c>
      <c r="K2402" s="10"/>
    </row>
    <row r="2403" customFormat="false" ht="15" hidden="false" customHeight="true" outlineLevel="0" collapsed="false">
      <c r="A2403" s="13"/>
      <c r="B2403" s="10"/>
      <c r="C2403" s="10"/>
      <c r="D2403" s="14"/>
      <c r="E2403" s="11"/>
      <c r="F2403" s="15" t="str">
        <f aca="false">IF($B2403="","",IF(AND($D2403="",$E2403=""),"",IF(OR($D2403="",$E2403=""),0,ROUND($D2403*$E2403,0))))</f>
        <v/>
      </c>
      <c r="G2403" s="13"/>
      <c r="H2403" s="11"/>
      <c r="I2403" s="15" t="str">
        <f aca="false">IF($F2403="","",$F2403-IF($H2403="",0,$H2403))</f>
        <v/>
      </c>
      <c r="J2403" s="16" t="str">
        <f aca="true">IF(OR($A2403="",$I2403="",$I2403&lt;=0),"",TODAY()-$A2403)</f>
        <v/>
      </c>
      <c r="K2403" s="10"/>
    </row>
    <row r="2404" customFormat="false" ht="15" hidden="false" customHeight="true" outlineLevel="0" collapsed="false">
      <c r="A2404" s="13"/>
      <c r="B2404" s="10"/>
      <c r="C2404" s="10"/>
      <c r="D2404" s="14"/>
      <c r="E2404" s="11"/>
      <c r="F2404" s="15" t="str">
        <f aca="false">IF($B2404="","",IF(AND($D2404="",$E2404=""),"",IF(OR($D2404="",$E2404=""),0,ROUND($D2404*$E2404,0))))</f>
        <v/>
      </c>
      <c r="G2404" s="13"/>
      <c r="H2404" s="11"/>
      <c r="I2404" s="15" t="str">
        <f aca="false">IF($F2404="","",$F2404-IF($H2404="",0,$H2404))</f>
        <v/>
      </c>
      <c r="J2404" s="16" t="str">
        <f aca="true">IF(OR($A2404="",$I2404="",$I2404&lt;=0),"",TODAY()-$A2404)</f>
        <v/>
      </c>
      <c r="K2404" s="10"/>
    </row>
    <row r="2405" customFormat="false" ht="15" hidden="false" customHeight="true" outlineLevel="0" collapsed="false">
      <c r="A2405" s="13"/>
      <c r="B2405" s="10"/>
      <c r="C2405" s="10"/>
      <c r="D2405" s="14"/>
      <c r="E2405" s="11"/>
      <c r="F2405" s="15" t="str">
        <f aca="false">IF($B2405="","",IF(AND($D2405="",$E2405=""),"",IF(OR($D2405="",$E2405=""),0,ROUND($D2405*$E2405,0))))</f>
        <v/>
      </c>
      <c r="G2405" s="13"/>
      <c r="H2405" s="11"/>
      <c r="I2405" s="15" t="str">
        <f aca="false">IF($F2405="","",$F2405-IF($H2405="",0,$H2405))</f>
        <v/>
      </c>
      <c r="J2405" s="16" t="str">
        <f aca="true">IF(OR($A2405="",$I2405="",$I2405&lt;=0),"",TODAY()-$A2405)</f>
        <v/>
      </c>
      <c r="K2405" s="10"/>
    </row>
    <row r="2406" customFormat="false" ht="15" hidden="false" customHeight="true" outlineLevel="0" collapsed="false">
      <c r="A2406" s="13"/>
      <c r="B2406" s="10"/>
      <c r="C2406" s="10"/>
      <c r="D2406" s="14"/>
      <c r="E2406" s="11"/>
      <c r="F2406" s="15" t="str">
        <f aca="false">IF($B2406="","",IF(AND($D2406="",$E2406=""),"",IF(OR($D2406="",$E2406=""),0,ROUND($D2406*$E2406,0))))</f>
        <v/>
      </c>
      <c r="G2406" s="13"/>
      <c r="H2406" s="11"/>
      <c r="I2406" s="15" t="str">
        <f aca="false">IF($F2406="","",$F2406-IF($H2406="",0,$H2406))</f>
        <v/>
      </c>
      <c r="J2406" s="16" t="str">
        <f aca="true">IF(OR($A2406="",$I2406="",$I2406&lt;=0),"",TODAY()-$A2406)</f>
        <v/>
      </c>
      <c r="K2406" s="10"/>
    </row>
    <row r="2407" customFormat="false" ht="15" hidden="false" customHeight="true" outlineLevel="0" collapsed="false">
      <c r="A2407" s="13"/>
      <c r="B2407" s="10"/>
      <c r="C2407" s="10"/>
      <c r="D2407" s="14"/>
      <c r="E2407" s="11"/>
      <c r="F2407" s="15" t="str">
        <f aca="false">IF($B2407="","",IF(AND($D2407="",$E2407=""),"",IF(OR($D2407="",$E2407=""),0,ROUND($D2407*$E2407,0))))</f>
        <v/>
      </c>
      <c r="G2407" s="13"/>
      <c r="H2407" s="11"/>
      <c r="I2407" s="15" t="str">
        <f aca="false">IF($F2407="","",$F2407-IF($H2407="",0,$H2407))</f>
        <v/>
      </c>
      <c r="J2407" s="16" t="str">
        <f aca="true">IF(OR($A2407="",$I2407="",$I2407&lt;=0),"",TODAY()-$A2407)</f>
        <v/>
      </c>
      <c r="K2407" s="10"/>
    </row>
    <row r="2408" customFormat="false" ht="15" hidden="false" customHeight="true" outlineLevel="0" collapsed="false">
      <c r="A2408" s="13"/>
      <c r="B2408" s="10"/>
      <c r="C2408" s="10"/>
      <c r="D2408" s="14"/>
      <c r="E2408" s="11"/>
      <c r="F2408" s="15" t="str">
        <f aca="false">IF($B2408="","",IF(AND($D2408="",$E2408=""),"",IF(OR($D2408="",$E2408=""),0,ROUND($D2408*$E2408,0))))</f>
        <v/>
      </c>
      <c r="G2408" s="13"/>
      <c r="H2408" s="11"/>
      <c r="I2408" s="15" t="str">
        <f aca="false">IF($F2408="","",$F2408-IF($H2408="",0,$H2408))</f>
        <v/>
      </c>
      <c r="J2408" s="16" t="str">
        <f aca="true">IF(OR($A2408="",$I2408="",$I2408&lt;=0),"",TODAY()-$A2408)</f>
        <v/>
      </c>
      <c r="K2408" s="10"/>
    </row>
    <row r="2409" customFormat="false" ht="15" hidden="false" customHeight="true" outlineLevel="0" collapsed="false">
      <c r="A2409" s="13"/>
      <c r="B2409" s="10"/>
      <c r="C2409" s="10"/>
      <c r="D2409" s="14"/>
      <c r="E2409" s="11"/>
      <c r="F2409" s="15" t="str">
        <f aca="false">IF($B2409="","",IF(AND($D2409="",$E2409=""),"",IF(OR($D2409="",$E2409=""),0,ROUND($D2409*$E2409,0))))</f>
        <v/>
      </c>
      <c r="G2409" s="13"/>
      <c r="H2409" s="11"/>
      <c r="I2409" s="15" t="str">
        <f aca="false">IF($F2409="","",$F2409-IF($H2409="",0,$H2409))</f>
        <v/>
      </c>
      <c r="J2409" s="16" t="str">
        <f aca="true">IF(OR($A2409="",$I2409="",$I2409&lt;=0),"",TODAY()-$A2409)</f>
        <v/>
      </c>
      <c r="K2409" s="10"/>
    </row>
    <row r="2410" customFormat="false" ht="15" hidden="false" customHeight="true" outlineLevel="0" collapsed="false">
      <c r="A2410" s="13"/>
      <c r="B2410" s="10"/>
      <c r="C2410" s="10"/>
      <c r="D2410" s="14"/>
      <c r="E2410" s="11"/>
      <c r="F2410" s="15" t="str">
        <f aca="false">IF($B2410="","",IF(AND($D2410="",$E2410=""),"",IF(OR($D2410="",$E2410=""),0,ROUND($D2410*$E2410,0))))</f>
        <v/>
      </c>
      <c r="G2410" s="13"/>
      <c r="H2410" s="11"/>
      <c r="I2410" s="15" t="str">
        <f aca="false">IF($F2410="","",$F2410-IF($H2410="",0,$H2410))</f>
        <v/>
      </c>
      <c r="J2410" s="16" t="str">
        <f aca="true">IF(OR($A2410="",$I2410="",$I2410&lt;=0),"",TODAY()-$A2410)</f>
        <v/>
      </c>
      <c r="K2410" s="10"/>
    </row>
    <row r="2411" customFormat="false" ht="15" hidden="false" customHeight="true" outlineLevel="0" collapsed="false">
      <c r="A2411" s="13"/>
      <c r="B2411" s="10"/>
      <c r="C2411" s="10"/>
      <c r="D2411" s="14"/>
      <c r="E2411" s="11"/>
      <c r="F2411" s="15" t="str">
        <f aca="false">IF($B2411="","",IF(AND($D2411="",$E2411=""),"",IF(OR($D2411="",$E2411=""),0,ROUND($D2411*$E2411,0))))</f>
        <v/>
      </c>
      <c r="G2411" s="13"/>
      <c r="H2411" s="11"/>
      <c r="I2411" s="15" t="str">
        <f aca="false">IF($F2411="","",$F2411-IF($H2411="",0,$H2411))</f>
        <v/>
      </c>
      <c r="J2411" s="16" t="str">
        <f aca="true">IF(OR($A2411="",$I2411="",$I2411&lt;=0),"",TODAY()-$A2411)</f>
        <v/>
      </c>
      <c r="K2411" s="10"/>
    </row>
    <row r="2412" customFormat="false" ht="15" hidden="false" customHeight="true" outlineLevel="0" collapsed="false">
      <c r="A2412" s="13"/>
      <c r="B2412" s="10"/>
      <c r="C2412" s="10"/>
      <c r="D2412" s="14"/>
      <c r="E2412" s="11"/>
      <c r="F2412" s="15" t="str">
        <f aca="false">IF($B2412="","",IF(AND($D2412="",$E2412=""),"",IF(OR($D2412="",$E2412=""),0,ROUND($D2412*$E2412,0))))</f>
        <v/>
      </c>
      <c r="G2412" s="13"/>
      <c r="H2412" s="11"/>
      <c r="I2412" s="15" t="str">
        <f aca="false">IF($F2412="","",$F2412-IF($H2412="",0,$H2412))</f>
        <v/>
      </c>
      <c r="J2412" s="16" t="str">
        <f aca="true">IF(OR($A2412="",$I2412="",$I2412&lt;=0),"",TODAY()-$A2412)</f>
        <v/>
      </c>
      <c r="K2412" s="10"/>
    </row>
    <row r="2413" customFormat="false" ht="15" hidden="false" customHeight="true" outlineLevel="0" collapsed="false">
      <c r="A2413" s="13"/>
      <c r="B2413" s="10"/>
      <c r="C2413" s="10"/>
      <c r="D2413" s="14"/>
      <c r="E2413" s="11"/>
      <c r="F2413" s="15" t="str">
        <f aca="false">IF($B2413="","",IF(AND($D2413="",$E2413=""),"",IF(OR($D2413="",$E2413=""),0,ROUND($D2413*$E2413,0))))</f>
        <v/>
      </c>
      <c r="G2413" s="13"/>
      <c r="H2413" s="11"/>
      <c r="I2413" s="15" t="str">
        <f aca="false">IF($F2413="","",$F2413-IF($H2413="",0,$H2413))</f>
        <v/>
      </c>
      <c r="J2413" s="16" t="str">
        <f aca="true">IF(OR($A2413="",$I2413="",$I2413&lt;=0),"",TODAY()-$A2413)</f>
        <v/>
      </c>
      <c r="K2413" s="10"/>
    </row>
    <row r="2414" customFormat="false" ht="15" hidden="false" customHeight="true" outlineLevel="0" collapsed="false">
      <c r="A2414" s="13"/>
      <c r="B2414" s="10"/>
      <c r="C2414" s="10"/>
      <c r="D2414" s="14"/>
      <c r="E2414" s="11"/>
      <c r="F2414" s="15" t="str">
        <f aca="false">IF($B2414="","",IF(AND($D2414="",$E2414=""),"",IF(OR($D2414="",$E2414=""),0,ROUND($D2414*$E2414,0))))</f>
        <v/>
      </c>
      <c r="G2414" s="13"/>
      <c r="H2414" s="11"/>
      <c r="I2414" s="15" t="str">
        <f aca="false">IF($F2414="","",$F2414-IF($H2414="",0,$H2414))</f>
        <v/>
      </c>
      <c r="J2414" s="16" t="str">
        <f aca="true">IF(OR($A2414="",$I2414="",$I2414&lt;=0),"",TODAY()-$A2414)</f>
        <v/>
      </c>
      <c r="K2414" s="10"/>
    </row>
    <row r="2415" customFormat="false" ht="15" hidden="false" customHeight="true" outlineLevel="0" collapsed="false">
      <c r="A2415" s="13"/>
      <c r="B2415" s="10"/>
      <c r="C2415" s="10"/>
      <c r="D2415" s="14"/>
      <c r="E2415" s="11"/>
      <c r="F2415" s="15" t="str">
        <f aca="false">IF($B2415="","",IF(AND($D2415="",$E2415=""),"",IF(OR($D2415="",$E2415=""),0,ROUND($D2415*$E2415,0))))</f>
        <v/>
      </c>
      <c r="G2415" s="13"/>
      <c r="H2415" s="11"/>
      <c r="I2415" s="15" t="str">
        <f aca="false">IF($F2415="","",$F2415-IF($H2415="",0,$H2415))</f>
        <v/>
      </c>
      <c r="J2415" s="16" t="str">
        <f aca="true">IF(OR($A2415="",$I2415="",$I2415&lt;=0),"",TODAY()-$A2415)</f>
        <v/>
      </c>
      <c r="K2415" s="10"/>
    </row>
    <row r="2416" customFormat="false" ht="15" hidden="false" customHeight="true" outlineLevel="0" collapsed="false">
      <c r="A2416" s="13"/>
      <c r="B2416" s="10"/>
      <c r="C2416" s="10"/>
      <c r="D2416" s="14"/>
      <c r="E2416" s="11"/>
      <c r="F2416" s="15" t="str">
        <f aca="false">IF($B2416="","",IF(AND($D2416="",$E2416=""),"",IF(OR($D2416="",$E2416=""),0,ROUND($D2416*$E2416,0))))</f>
        <v/>
      </c>
      <c r="G2416" s="13"/>
      <c r="H2416" s="11"/>
      <c r="I2416" s="15" t="str">
        <f aca="false">IF($F2416="","",$F2416-IF($H2416="",0,$H2416))</f>
        <v/>
      </c>
      <c r="J2416" s="16" t="str">
        <f aca="true">IF(OR($A2416="",$I2416="",$I2416&lt;=0),"",TODAY()-$A2416)</f>
        <v/>
      </c>
      <c r="K2416" s="10"/>
    </row>
    <row r="2417" customFormat="false" ht="15" hidden="false" customHeight="true" outlineLevel="0" collapsed="false">
      <c r="A2417" s="13"/>
      <c r="B2417" s="10"/>
      <c r="C2417" s="10"/>
      <c r="D2417" s="14"/>
      <c r="E2417" s="11"/>
      <c r="F2417" s="15" t="str">
        <f aca="false">IF($B2417="","",IF(AND($D2417="",$E2417=""),"",IF(OR($D2417="",$E2417=""),0,ROUND($D2417*$E2417,0))))</f>
        <v/>
      </c>
      <c r="G2417" s="13"/>
      <c r="H2417" s="11"/>
      <c r="I2417" s="15" t="str">
        <f aca="false">IF($F2417="","",$F2417-IF($H2417="",0,$H2417))</f>
        <v/>
      </c>
      <c r="J2417" s="16" t="str">
        <f aca="true">IF(OR($A2417="",$I2417="",$I2417&lt;=0),"",TODAY()-$A2417)</f>
        <v/>
      </c>
      <c r="K2417" s="10"/>
    </row>
    <row r="2418" customFormat="false" ht="15" hidden="false" customHeight="true" outlineLevel="0" collapsed="false">
      <c r="A2418" s="13"/>
      <c r="B2418" s="10"/>
      <c r="C2418" s="10"/>
      <c r="D2418" s="14"/>
      <c r="E2418" s="11"/>
      <c r="F2418" s="15" t="str">
        <f aca="false">IF($B2418="","",IF(AND($D2418="",$E2418=""),"",IF(OR($D2418="",$E2418=""),0,ROUND($D2418*$E2418,0))))</f>
        <v/>
      </c>
      <c r="G2418" s="13"/>
      <c r="H2418" s="11"/>
      <c r="I2418" s="15" t="str">
        <f aca="false">IF($F2418="","",$F2418-IF($H2418="",0,$H2418))</f>
        <v/>
      </c>
      <c r="J2418" s="16" t="str">
        <f aca="true">IF(OR($A2418="",$I2418="",$I2418&lt;=0),"",TODAY()-$A2418)</f>
        <v/>
      </c>
      <c r="K2418" s="10"/>
    </row>
    <row r="2419" customFormat="false" ht="15" hidden="false" customHeight="true" outlineLevel="0" collapsed="false">
      <c r="A2419" s="13"/>
      <c r="B2419" s="10"/>
      <c r="C2419" s="10"/>
      <c r="D2419" s="14"/>
      <c r="E2419" s="11"/>
      <c r="F2419" s="15" t="str">
        <f aca="false">IF($B2419="","",IF(AND($D2419="",$E2419=""),"",IF(OR($D2419="",$E2419=""),0,ROUND($D2419*$E2419,0))))</f>
        <v/>
      </c>
      <c r="G2419" s="13"/>
      <c r="H2419" s="11"/>
      <c r="I2419" s="15" t="str">
        <f aca="false">IF($F2419="","",$F2419-IF($H2419="",0,$H2419))</f>
        <v/>
      </c>
      <c r="J2419" s="16" t="str">
        <f aca="true">IF(OR($A2419="",$I2419="",$I2419&lt;=0),"",TODAY()-$A2419)</f>
        <v/>
      </c>
      <c r="K2419" s="10"/>
    </row>
    <row r="2420" customFormat="false" ht="15" hidden="false" customHeight="true" outlineLevel="0" collapsed="false">
      <c r="A2420" s="13"/>
      <c r="B2420" s="10"/>
      <c r="C2420" s="10"/>
      <c r="D2420" s="14"/>
      <c r="E2420" s="11"/>
      <c r="F2420" s="15" t="str">
        <f aca="false">IF($B2420="","",IF(AND($D2420="",$E2420=""),"",IF(OR($D2420="",$E2420=""),0,ROUND($D2420*$E2420,0))))</f>
        <v/>
      </c>
      <c r="G2420" s="13"/>
      <c r="H2420" s="11"/>
      <c r="I2420" s="15" t="str">
        <f aca="false">IF($F2420="","",$F2420-IF($H2420="",0,$H2420))</f>
        <v/>
      </c>
      <c r="J2420" s="16" t="str">
        <f aca="true">IF(OR($A2420="",$I2420="",$I2420&lt;=0),"",TODAY()-$A2420)</f>
        <v/>
      </c>
      <c r="K2420" s="10"/>
    </row>
    <row r="2421" customFormat="false" ht="15" hidden="false" customHeight="true" outlineLevel="0" collapsed="false">
      <c r="A2421" s="13"/>
      <c r="B2421" s="10"/>
      <c r="C2421" s="10"/>
      <c r="D2421" s="14"/>
      <c r="E2421" s="11"/>
      <c r="F2421" s="15" t="str">
        <f aca="false">IF($B2421="","",IF(AND($D2421="",$E2421=""),"",IF(OR($D2421="",$E2421=""),0,ROUND($D2421*$E2421,0))))</f>
        <v/>
      </c>
      <c r="G2421" s="13"/>
      <c r="H2421" s="11"/>
      <c r="I2421" s="15" t="str">
        <f aca="false">IF($F2421="","",$F2421-IF($H2421="",0,$H2421))</f>
        <v/>
      </c>
      <c r="J2421" s="16" t="str">
        <f aca="true">IF(OR($A2421="",$I2421="",$I2421&lt;=0),"",TODAY()-$A2421)</f>
        <v/>
      </c>
      <c r="K2421" s="10"/>
    </row>
    <row r="2422" customFormat="false" ht="15" hidden="false" customHeight="true" outlineLevel="0" collapsed="false">
      <c r="A2422" s="13"/>
      <c r="B2422" s="10"/>
      <c r="C2422" s="10"/>
      <c r="D2422" s="14"/>
      <c r="E2422" s="11"/>
      <c r="F2422" s="15" t="str">
        <f aca="false">IF($B2422="","",IF(AND($D2422="",$E2422=""),"",IF(OR($D2422="",$E2422=""),0,ROUND($D2422*$E2422,0))))</f>
        <v/>
      </c>
      <c r="G2422" s="13"/>
      <c r="H2422" s="11"/>
      <c r="I2422" s="15" t="str">
        <f aca="false">IF($F2422="","",$F2422-IF($H2422="",0,$H2422))</f>
        <v/>
      </c>
      <c r="J2422" s="16" t="str">
        <f aca="true">IF(OR($A2422="",$I2422="",$I2422&lt;=0),"",TODAY()-$A2422)</f>
        <v/>
      </c>
      <c r="K2422" s="10"/>
    </row>
    <row r="2423" customFormat="false" ht="15" hidden="false" customHeight="true" outlineLevel="0" collapsed="false">
      <c r="A2423" s="13"/>
      <c r="B2423" s="10"/>
      <c r="C2423" s="10"/>
      <c r="D2423" s="14"/>
      <c r="E2423" s="11"/>
      <c r="F2423" s="15" t="str">
        <f aca="false">IF($B2423="","",IF(AND($D2423="",$E2423=""),"",IF(OR($D2423="",$E2423=""),0,ROUND($D2423*$E2423,0))))</f>
        <v/>
      </c>
      <c r="G2423" s="13"/>
      <c r="H2423" s="11"/>
      <c r="I2423" s="15" t="str">
        <f aca="false">IF($F2423="","",$F2423-IF($H2423="",0,$H2423))</f>
        <v/>
      </c>
      <c r="J2423" s="16" t="str">
        <f aca="true">IF(OR($A2423="",$I2423="",$I2423&lt;=0),"",TODAY()-$A2423)</f>
        <v/>
      </c>
      <c r="K2423" s="10"/>
    </row>
    <row r="2424" customFormat="false" ht="15" hidden="false" customHeight="true" outlineLevel="0" collapsed="false">
      <c r="A2424" s="13"/>
      <c r="B2424" s="10"/>
      <c r="C2424" s="10"/>
      <c r="D2424" s="14"/>
      <c r="E2424" s="11"/>
      <c r="F2424" s="15" t="str">
        <f aca="false">IF($B2424="","",IF(AND($D2424="",$E2424=""),"",IF(OR($D2424="",$E2424=""),0,ROUND($D2424*$E2424,0))))</f>
        <v/>
      </c>
      <c r="G2424" s="13"/>
      <c r="H2424" s="11"/>
      <c r="I2424" s="15" t="str">
        <f aca="false">IF($F2424="","",$F2424-IF($H2424="",0,$H2424))</f>
        <v/>
      </c>
      <c r="J2424" s="16" t="str">
        <f aca="true">IF(OR($A2424="",$I2424="",$I2424&lt;=0),"",TODAY()-$A2424)</f>
        <v/>
      </c>
      <c r="K2424" s="10"/>
    </row>
    <row r="2425" customFormat="false" ht="15" hidden="false" customHeight="true" outlineLevel="0" collapsed="false">
      <c r="A2425" s="13"/>
      <c r="B2425" s="10"/>
      <c r="C2425" s="10"/>
      <c r="D2425" s="14"/>
      <c r="E2425" s="11"/>
      <c r="F2425" s="15" t="str">
        <f aca="false">IF($B2425="","",IF(AND($D2425="",$E2425=""),"",IF(OR($D2425="",$E2425=""),0,ROUND($D2425*$E2425,0))))</f>
        <v/>
      </c>
      <c r="G2425" s="13"/>
      <c r="H2425" s="11"/>
      <c r="I2425" s="15" t="str">
        <f aca="false">IF($F2425="","",$F2425-IF($H2425="",0,$H2425))</f>
        <v/>
      </c>
      <c r="J2425" s="16" t="str">
        <f aca="true">IF(OR($A2425="",$I2425="",$I2425&lt;=0),"",TODAY()-$A2425)</f>
        <v/>
      </c>
      <c r="K2425" s="10"/>
    </row>
    <row r="2426" customFormat="false" ht="15" hidden="false" customHeight="true" outlineLevel="0" collapsed="false">
      <c r="A2426" s="13"/>
      <c r="B2426" s="10"/>
      <c r="C2426" s="10"/>
      <c r="D2426" s="14"/>
      <c r="E2426" s="11"/>
      <c r="F2426" s="15" t="str">
        <f aca="false">IF($B2426="","",IF(AND($D2426="",$E2426=""),"",IF(OR($D2426="",$E2426=""),0,ROUND($D2426*$E2426,0))))</f>
        <v/>
      </c>
      <c r="G2426" s="13"/>
      <c r="H2426" s="11"/>
      <c r="I2426" s="15" t="str">
        <f aca="false">IF($F2426="","",$F2426-IF($H2426="",0,$H2426))</f>
        <v/>
      </c>
      <c r="J2426" s="16" t="str">
        <f aca="true">IF(OR($A2426="",$I2426="",$I2426&lt;=0),"",TODAY()-$A2426)</f>
        <v/>
      </c>
      <c r="K2426" s="10"/>
    </row>
    <row r="2427" customFormat="false" ht="15" hidden="false" customHeight="true" outlineLevel="0" collapsed="false">
      <c r="A2427" s="13"/>
      <c r="B2427" s="10"/>
      <c r="C2427" s="10"/>
      <c r="D2427" s="14"/>
      <c r="E2427" s="11"/>
      <c r="F2427" s="15" t="str">
        <f aca="false">IF($B2427="","",IF(AND($D2427="",$E2427=""),"",IF(OR($D2427="",$E2427=""),0,ROUND($D2427*$E2427,0))))</f>
        <v/>
      </c>
      <c r="G2427" s="13"/>
      <c r="H2427" s="11"/>
      <c r="I2427" s="15" t="str">
        <f aca="false">IF($F2427="","",$F2427-IF($H2427="",0,$H2427))</f>
        <v/>
      </c>
      <c r="J2427" s="16" t="str">
        <f aca="true">IF(OR($A2427="",$I2427="",$I2427&lt;=0),"",TODAY()-$A2427)</f>
        <v/>
      </c>
      <c r="K2427" s="10"/>
    </row>
    <row r="2428" customFormat="false" ht="15" hidden="false" customHeight="true" outlineLevel="0" collapsed="false">
      <c r="A2428" s="13"/>
      <c r="B2428" s="10"/>
      <c r="C2428" s="10"/>
      <c r="D2428" s="14"/>
      <c r="E2428" s="11"/>
      <c r="F2428" s="15" t="str">
        <f aca="false">IF($B2428="","",IF(AND($D2428="",$E2428=""),"",IF(OR($D2428="",$E2428=""),0,ROUND($D2428*$E2428,0))))</f>
        <v/>
      </c>
      <c r="G2428" s="13"/>
      <c r="H2428" s="11"/>
      <c r="I2428" s="15" t="str">
        <f aca="false">IF($F2428="","",$F2428-IF($H2428="",0,$H2428))</f>
        <v/>
      </c>
      <c r="J2428" s="16" t="str">
        <f aca="true">IF(OR($A2428="",$I2428="",$I2428&lt;=0),"",TODAY()-$A2428)</f>
        <v/>
      </c>
      <c r="K2428" s="10"/>
    </row>
    <row r="2429" customFormat="false" ht="15" hidden="false" customHeight="true" outlineLevel="0" collapsed="false">
      <c r="A2429" s="13"/>
      <c r="B2429" s="10"/>
      <c r="C2429" s="10"/>
      <c r="D2429" s="14"/>
      <c r="E2429" s="11"/>
      <c r="F2429" s="15" t="str">
        <f aca="false">IF($B2429="","",IF(AND($D2429="",$E2429=""),"",IF(OR($D2429="",$E2429=""),0,ROUND($D2429*$E2429,0))))</f>
        <v/>
      </c>
      <c r="G2429" s="13"/>
      <c r="H2429" s="11"/>
      <c r="I2429" s="15" t="str">
        <f aca="false">IF($F2429="","",$F2429-IF($H2429="",0,$H2429))</f>
        <v/>
      </c>
      <c r="J2429" s="16" t="str">
        <f aca="true">IF(OR($A2429="",$I2429="",$I2429&lt;=0),"",TODAY()-$A2429)</f>
        <v/>
      </c>
      <c r="K2429" s="10"/>
    </row>
    <row r="2430" customFormat="false" ht="15" hidden="false" customHeight="true" outlineLevel="0" collapsed="false">
      <c r="A2430" s="13"/>
      <c r="B2430" s="10"/>
      <c r="C2430" s="10"/>
      <c r="D2430" s="14"/>
      <c r="E2430" s="11"/>
      <c r="F2430" s="15" t="str">
        <f aca="false">IF($B2430="","",IF(AND($D2430="",$E2430=""),"",IF(OR($D2430="",$E2430=""),0,ROUND($D2430*$E2430,0))))</f>
        <v/>
      </c>
      <c r="G2430" s="13"/>
      <c r="H2430" s="11"/>
      <c r="I2430" s="15" t="str">
        <f aca="false">IF($F2430="","",$F2430-IF($H2430="",0,$H2430))</f>
        <v/>
      </c>
      <c r="J2430" s="16" t="str">
        <f aca="true">IF(OR($A2430="",$I2430="",$I2430&lt;=0),"",TODAY()-$A2430)</f>
        <v/>
      </c>
      <c r="K2430" s="10"/>
    </row>
    <row r="2431" customFormat="false" ht="15" hidden="false" customHeight="true" outlineLevel="0" collapsed="false">
      <c r="A2431" s="13"/>
      <c r="B2431" s="10"/>
      <c r="C2431" s="10"/>
      <c r="D2431" s="14"/>
      <c r="E2431" s="11"/>
      <c r="F2431" s="15" t="str">
        <f aca="false">IF($B2431="","",IF(AND($D2431="",$E2431=""),"",IF(OR($D2431="",$E2431=""),0,ROUND($D2431*$E2431,0))))</f>
        <v/>
      </c>
      <c r="G2431" s="13"/>
      <c r="H2431" s="11"/>
      <c r="I2431" s="15" t="str">
        <f aca="false">IF($F2431="","",$F2431-IF($H2431="",0,$H2431))</f>
        <v/>
      </c>
      <c r="J2431" s="16" t="str">
        <f aca="true">IF(OR($A2431="",$I2431="",$I2431&lt;=0),"",TODAY()-$A2431)</f>
        <v/>
      </c>
      <c r="K2431" s="10"/>
    </row>
    <row r="2432" customFormat="false" ht="15" hidden="false" customHeight="true" outlineLevel="0" collapsed="false">
      <c r="A2432" s="13"/>
      <c r="B2432" s="10"/>
      <c r="C2432" s="10"/>
      <c r="D2432" s="14"/>
      <c r="E2432" s="11"/>
      <c r="F2432" s="15" t="str">
        <f aca="false">IF($B2432="","",IF(AND($D2432="",$E2432=""),"",IF(OR($D2432="",$E2432=""),0,ROUND($D2432*$E2432,0))))</f>
        <v/>
      </c>
      <c r="G2432" s="13"/>
      <c r="H2432" s="11"/>
      <c r="I2432" s="15" t="str">
        <f aca="false">IF($F2432="","",$F2432-IF($H2432="",0,$H2432))</f>
        <v/>
      </c>
      <c r="J2432" s="16" t="str">
        <f aca="true">IF(OR($A2432="",$I2432="",$I2432&lt;=0),"",TODAY()-$A2432)</f>
        <v/>
      </c>
      <c r="K2432" s="10"/>
    </row>
    <row r="2433" customFormat="false" ht="15" hidden="false" customHeight="true" outlineLevel="0" collapsed="false">
      <c r="A2433" s="13"/>
      <c r="B2433" s="10"/>
      <c r="C2433" s="10"/>
      <c r="D2433" s="14"/>
      <c r="E2433" s="11"/>
      <c r="F2433" s="15" t="str">
        <f aca="false">IF($B2433="","",IF(AND($D2433="",$E2433=""),"",IF(OR($D2433="",$E2433=""),0,ROUND($D2433*$E2433,0))))</f>
        <v/>
      </c>
      <c r="G2433" s="13"/>
      <c r="H2433" s="11"/>
      <c r="I2433" s="15" t="str">
        <f aca="false">IF($F2433="","",$F2433-IF($H2433="",0,$H2433))</f>
        <v/>
      </c>
      <c r="J2433" s="16" t="str">
        <f aca="true">IF(OR($A2433="",$I2433="",$I2433&lt;=0),"",TODAY()-$A2433)</f>
        <v/>
      </c>
      <c r="K2433" s="10"/>
    </row>
    <row r="2434" customFormat="false" ht="15" hidden="false" customHeight="true" outlineLevel="0" collapsed="false">
      <c r="A2434" s="13"/>
      <c r="B2434" s="10"/>
      <c r="C2434" s="10"/>
      <c r="D2434" s="14"/>
      <c r="E2434" s="11"/>
      <c r="F2434" s="15" t="str">
        <f aca="false">IF($B2434="","",IF(AND($D2434="",$E2434=""),"",IF(OR($D2434="",$E2434=""),0,ROUND($D2434*$E2434,0))))</f>
        <v/>
      </c>
      <c r="G2434" s="13"/>
      <c r="H2434" s="11"/>
      <c r="I2434" s="15" t="str">
        <f aca="false">IF($F2434="","",$F2434-IF($H2434="",0,$H2434))</f>
        <v/>
      </c>
      <c r="J2434" s="16" t="str">
        <f aca="true">IF(OR($A2434="",$I2434="",$I2434&lt;=0),"",TODAY()-$A2434)</f>
        <v/>
      </c>
      <c r="K2434" s="10"/>
    </row>
    <row r="2435" customFormat="false" ht="15" hidden="false" customHeight="true" outlineLevel="0" collapsed="false">
      <c r="A2435" s="13"/>
      <c r="B2435" s="10"/>
      <c r="C2435" s="10"/>
      <c r="D2435" s="14"/>
      <c r="E2435" s="11"/>
      <c r="F2435" s="15" t="str">
        <f aca="false">IF($B2435="","",IF(AND($D2435="",$E2435=""),"",IF(OR($D2435="",$E2435=""),0,ROUND($D2435*$E2435,0))))</f>
        <v/>
      </c>
      <c r="G2435" s="13"/>
      <c r="H2435" s="11"/>
      <c r="I2435" s="15" t="str">
        <f aca="false">IF($F2435="","",$F2435-IF($H2435="",0,$H2435))</f>
        <v/>
      </c>
      <c r="J2435" s="16" t="str">
        <f aca="true">IF(OR($A2435="",$I2435="",$I2435&lt;=0),"",TODAY()-$A2435)</f>
        <v/>
      </c>
      <c r="K2435" s="10"/>
    </row>
    <row r="2436" customFormat="false" ht="15" hidden="false" customHeight="true" outlineLevel="0" collapsed="false">
      <c r="A2436" s="13"/>
      <c r="B2436" s="10"/>
      <c r="C2436" s="10"/>
      <c r="D2436" s="14"/>
      <c r="E2436" s="11"/>
      <c r="F2436" s="15" t="str">
        <f aca="false">IF($B2436="","",IF(AND($D2436="",$E2436=""),"",IF(OR($D2436="",$E2436=""),0,ROUND($D2436*$E2436,0))))</f>
        <v/>
      </c>
      <c r="G2436" s="13"/>
      <c r="H2436" s="11"/>
      <c r="I2436" s="15" t="str">
        <f aca="false">IF($F2436="","",$F2436-IF($H2436="",0,$H2436))</f>
        <v/>
      </c>
      <c r="J2436" s="16" t="str">
        <f aca="true">IF(OR($A2436="",$I2436="",$I2436&lt;=0),"",TODAY()-$A2436)</f>
        <v/>
      </c>
      <c r="K2436" s="10"/>
    </row>
    <row r="2437" customFormat="false" ht="15" hidden="false" customHeight="true" outlineLevel="0" collapsed="false">
      <c r="A2437" s="13"/>
      <c r="B2437" s="10"/>
      <c r="C2437" s="10"/>
      <c r="D2437" s="14"/>
      <c r="E2437" s="11"/>
      <c r="F2437" s="15" t="str">
        <f aca="false">IF($B2437="","",IF(AND($D2437="",$E2437=""),"",IF(OR($D2437="",$E2437=""),0,ROUND($D2437*$E2437,0))))</f>
        <v/>
      </c>
      <c r="G2437" s="13"/>
      <c r="H2437" s="11"/>
      <c r="I2437" s="15" t="str">
        <f aca="false">IF($F2437="","",$F2437-IF($H2437="",0,$H2437))</f>
        <v/>
      </c>
      <c r="J2437" s="16" t="str">
        <f aca="true">IF(OR($A2437="",$I2437="",$I2437&lt;=0),"",TODAY()-$A2437)</f>
        <v/>
      </c>
      <c r="K2437" s="10"/>
    </row>
    <row r="2438" customFormat="false" ht="15" hidden="false" customHeight="true" outlineLevel="0" collapsed="false">
      <c r="A2438" s="13"/>
      <c r="B2438" s="10"/>
      <c r="C2438" s="10"/>
      <c r="D2438" s="14"/>
      <c r="E2438" s="11"/>
      <c r="F2438" s="15" t="str">
        <f aca="false">IF($B2438="","",IF(AND($D2438="",$E2438=""),"",IF(OR($D2438="",$E2438=""),0,ROUND($D2438*$E2438,0))))</f>
        <v/>
      </c>
      <c r="G2438" s="13"/>
      <c r="H2438" s="11"/>
      <c r="I2438" s="15" t="str">
        <f aca="false">IF($F2438="","",$F2438-IF($H2438="",0,$H2438))</f>
        <v/>
      </c>
      <c r="J2438" s="16" t="str">
        <f aca="true">IF(OR($A2438="",$I2438="",$I2438&lt;=0),"",TODAY()-$A2438)</f>
        <v/>
      </c>
      <c r="K2438" s="10"/>
    </row>
    <row r="2439" customFormat="false" ht="15" hidden="false" customHeight="true" outlineLevel="0" collapsed="false">
      <c r="A2439" s="13"/>
      <c r="B2439" s="10"/>
      <c r="C2439" s="10"/>
      <c r="D2439" s="14"/>
      <c r="E2439" s="11"/>
      <c r="F2439" s="15" t="str">
        <f aca="false">IF($B2439="","",IF(AND($D2439="",$E2439=""),"",IF(OR($D2439="",$E2439=""),0,ROUND($D2439*$E2439,0))))</f>
        <v/>
      </c>
      <c r="G2439" s="13"/>
      <c r="H2439" s="11"/>
      <c r="I2439" s="15" t="str">
        <f aca="false">IF($F2439="","",$F2439-IF($H2439="",0,$H2439))</f>
        <v/>
      </c>
      <c r="J2439" s="16" t="str">
        <f aca="true">IF(OR($A2439="",$I2439="",$I2439&lt;=0),"",TODAY()-$A2439)</f>
        <v/>
      </c>
      <c r="K2439" s="10"/>
    </row>
    <row r="2440" customFormat="false" ht="15" hidden="false" customHeight="true" outlineLevel="0" collapsed="false">
      <c r="A2440" s="13"/>
      <c r="B2440" s="10"/>
      <c r="C2440" s="10"/>
      <c r="D2440" s="14"/>
      <c r="E2440" s="11"/>
      <c r="F2440" s="15" t="str">
        <f aca="false">IF($B2440="","",IF(AND($D2440="",$E2440=""),"",IF(OR($D2440="",$E2440=""),0,ROUND($D2440*$E2440,0))))</f>
        <v/>
      </c>
      <c r="G2440" s="13"/>
      <c r="H2440" s="11"/>
      <c r="I2440" s="15" t="str">
        <f aca="false">IF($F2440="","",$F2440-IF($H2440="",0,$H2440))</f>
        <v/>
      </c>
      <c r="J2440" s="16" t="str">
        <f aca="true">IF(OR($A2440="",$I2440="",$I2440&lt;=0),"",TODAY()-$A2440)</f>
        <v/>
      </c>
      <c r="K2440" s="10"/>
    </row>
    <row r="2441" customFormat="false" ht="15" hidden="false" customHeight="true" outlineLevel="0" collapsed="false">
      <c r="A2441" s="13"/>
      <c r="B2441" s="10"/>
      <c r="C2441" s="10"/>
      <c r="D2441" s="14"/>
      <c r="E2441" s="11"/>
      <c r="F2441" s="15" t="str">
        <f aca="false">IF($B2441="","",IF(AND($D2441="",$E2441=""),"",IF(OR($D2441="",$E2441=""),0,ROUND($D2441*$E2441,0))))</f>
        <v/>
      </c>
      <c r="G2441" s="13"/>
      <c r="H2441" s="11"/>
      <c r="I2441" s="15" t="str">
        <f aca="false">IF($F2441="","",$F2441-IF($H2441="",0,$H2441))</f>
        <v/>
      </c>
      <c r="J2441" s="16" t="str">
        <f aca="true">IF(OR($A2441="",$I2441="",$I2441&lt;=0),"",TODAY()-$A2441)</f>
        <v/>
      </c>
      <c r="K2441" s="10"/>
    </row>
    <row r="2442" customFormat="false" ht="15" hidden="false" customHeight="true" outlineLevel="0" collapsed="false">
      <c r="A2442" s="13"/>
      <c r="B2442" s="10"/>
      <c r="C2442" s="10"/>
      <c r="D2442" s="14"/>
      <c r="E2442" s="11"/>
      <c r="F2442" s="15" t="str">
        <f aca="false">IF($B2442="","",IF(AND($D2442="",$E2442=""),"",IF(OR($D2442="",$E2442=""),0,ROUND($D2442*$E2442,0))))</f>
        <v/>
      </c>
      <c r="G2442" s="13"/>
      <c r="H2442" s="11"/>
      <c r="I2442" s="15" t="str">
        <f aca="false">IF($F2442="","",$F2442-IF($H2442="",0,$H2442))</f>
        <v/>
      </c>
      <c r="J2442" s="16" t="str">
        <f aca="true">IF(OR($A2442="",$I2442="",$I2442&lt;=0),"",TODAY()-$A2442)</f>
        <v/>
      </c>
      <c r="K2442" s="10"/>
    </row>
    <row r="2443" customFormat="false" ht="15" hidden="false" customHeight="true" outlineLevel="0" collapsed="false">
      <c r="A2443" s="13"/>
      <c r="B2443" s="10"/>
      <c r="C2443" s="10"/>
      <c r="D2443" s="14"/>
      <c r="E2443" s="11"/>
      <c r="F2443" s="15" t="str">
        <f aca="false">IF($B2443="","",IF(AND($D2443="",$E2443=""),"",IF(OR($D2443="",$E2443=""),0,ROUND($D2443*$E2443,0))))</f>
        <v/>
      </c>
      <c r="G2443" s="13"/>
      <c r="H2443" s="11"/>
      <c r="I2443" s="15" t="str">
        <f aca="false">IF($F2443="","",$F2443-IF($H2443="",0,$H2443))</f>
        <v/>
      </c>
      <c r="J2443" s="16" t="str">
        <f aca="true">IF(OR($A2443="",$I2443="",$I2443&lt;=0),"",TODAY()-$A2443)</f>
        <v/>
      </c>
      <c r="K2443" s="10"/>
    </row>
    <row r="2444" customFormat="false" ht="15" hidden="false" customHeight="true" outlineLevel="0" collapsed="false">
      <c r="A2444" s="13"/>
      <c r="B2444" s="10"/>
      <c r="C2444" s="10"/>
      <c r="D2444" s="14"/>
      <c r="E2444" s="11"/>
      <c r="F2444" s="15" t="str">
        <f aca="false">IF($B2444="","",IF(AND($D2444="",$E2444=""),"",IF(OR($D2444="",$E2444=""),0,ROUND($D2444*$E2444,0))))</f>
        <v/>
      </c>
      <c r="G2444" s="13"/>
      <c r="H2444" s="11"/>
      <c r="I2444" s="15" t="str">
        <f aca="false">IF($F2444="","",$F2444-IF($H2444="",0,$H2444))</f>
        <v/>
      </c>
      <c r="J2444" s="16" t="str">
        <f aca="true">IF(OR($A2444="",$I2444="",$I2444&lt;=0),"",TODAY()-$A2444)</f>
        <v/>
      </c>
      <c r="K2444" s="10"/>
    </row>
    <row r="2445" customFormat="false" ht="15" hidden="false" customHeight="true" outlineLevel="0" collapsed="false">
      <c r="A2445" s="13"/>
      <c r="B2445" s="10"/>
      <c r="C2445" s="10"/>
      <c r="D2445" s="14"/>
      <c r="E2445" s="11"/>
      <c r="F2445" s="15" t="str">
        <f aca="false">IF($B2445="","",IF(AND($D2445="",$E2445=""),"",IF(OR($D2445="",$E2445=""),0,ROUND($D2445*$E2445,0))))</f>
        <v/>
      </c>
      <c r="G2445" s="13"/>
      <c r="H2445" s="11"/>
      <c r="I2445" s="15" t="str">
        <f aca="false">IF($F2445="","",$F2445-IF($H2445="",0,$H2445))</f>
        <v/>
      </c>
      <c r="J2445" s="16" t="str">
        <f aca="true">IF(OR($A2445="",$I2445="",$I2445&lt;=0),"",TODAY()-$A2445)</f>
        <v/>
      </c>
      <c r="K2445" s="10"/>
    </row>
    <row r="2446" customFormat="false" ht="15" hidden="false" customHeight="true" outlineLevel="0" collapsed="false">
      <c r="A2446" s="13"/>
      <c r="B2446" s="10"/>
      <c r="C2446" s="10"/>
      <c r="D2446" s="14"/>
      <c r="E2446" s="11"/>
      <c r="F2446" s="15" t="str">
        <f aca="false">IF($B2446="","",IF(AND($D2446="",$E2446=""),"",IF(OR($D2446="",$E2446=""),0,ROUND($D2446*$E2446,0))))</f>
        <v/>
      </c>
      <c r="G2446" s="13"/>
      <c r="H2446" s="11"/>
      <c r="I2446" s="15" t="str">
        <f aca="false">IF($F2446="","",$F2446-IF($H2446="",0,$H2446))</f>
        <v/>
      </c>
      <c r="J2446" s="16" t="str">
        <f aca="true">IF(OR($A2446="",$I2446="",$I2446&lt;=0),"",TODAY()-$A2446)</f>
        <v/>
      </c>
      <c r="K2446" s="10"/>
    </row>
    <row r="2447" customFormat="false" ht="15" hidden="false" customHeight="true" outlineLevel="0" collapsed="false">
      <c r="A2447" s="13"/>
      <c r="B2447" s="10"/>
      <c r="C2447" s="10"/>
      <c r="D2447" s="14"/>
      <c r="E2447" s="11"/>
      <c r="F2447" s="15" t="str">
        <f aca="false">IF($B2447="","",IF(AND($D2447="",$E2447=""),"",IF(OR($D2447="",$E2447=""),0,ROUND($D2447*$E2447,0))))</f>
        <v/>
      </c>
      <c r="G2447" s="13"/>
      <c r="H2447" s="11"/>
      <c r="I2447" s="15" t="str">
        <f aca="false">IF($F2447="","",$F2447-IF($H2447="",0,$H2447))</f>
        <v/>
      </c>
      <c r="J2447" s="16" t="str">
        <f aca="true">IF(OR($A2447="",$I2447="",$I2447&lt;=0),"",TODAY()-$A2447)</f>
        <v/>
      </c>
      <c r="K2447" s="10"/>
    </row>
    <row r="2448" customFormat="false" ht="15" hidden="false" customHeight="true" outlineLevel="0" collapsed="false">
      <c r="A2448" s="13"/>
      <c r="B2448" s="10"/>
      <c r="C2448" s="10"/>
      <c r="D2448" s="14"/>
      <c r="E2448" s="11"/>
      <c r="F2448" s="15" t="str">
        <f aca="false">IF($B2448="","",IF(AND($D2448="",$E2448=""),"",IF(OR($D2448="",$E2448=""),0,ROUND($D2448*$E2448,0))))</f>
        <v/>
      </c>
      <c r="G2448" s="13"/>
      <c r="H2448" s="11"/>
      <c r="I2448" s="15" t="str">
        <f aca="false">IF($F2448="","",$F2448-IF($H2448="",0,$H2448))</f>
        <v/>
      </c>
      <c r="J2448" s="16" t="str">
        <f aca="true">IF(OR($A2448="",$I2448="",$I2448&lt;=0),"",TODAY()-$A2448)</f>
        <v/>
      </c>
      <c r="K2448" s="10"/>
    </row>
    <row r="2449" customFormat="false" ht="15" hidden="false" customHeight="true" outlineLevel="0" collapsed="false">
      <c r="A2449" s="13"/>
      <c r="B2449" s="10"/>
      <c r="C2449" s="10"/>
      <c r="D2449" s="14"/>
      <c r="E2449" s="11"/>
      <c r="F2449" s="15" t="str">
        <f aca="false">IF($B2449="","",IF(AND($D2449="",$E2449=""),"",IF(OR($D2449="",$E2449=""),0,ROUND($D2449*$E2449,0))))</f>
        <v/>
      </c>
      <c r="G2449" s="13"/>
      <c r="H2449" s="11"/>
      <c r="I2449" s="15" t="str">
        <f aca="false">IF($F2449="","",$F2449-IF($H2449="",0,$H2449))</f>
        <v/>
      </c>
      <c r="J2449" s="16" t="str">
        <f aca="true">IF(OR($A2449="",$I2449="",$I2449&lt;=0),"",TODAY()-$A2449)</f>
        <v/>
      </c>
      <c r="K2449" s="10"/>
    </row>
    <row r="2450" customFormat="false" ht="15" hidden="false" customHeight="true" outlineLevel="0" collapsed="false">
      <c r="A2450" s="13"/>
      <c r="B2450" s="10"/>
      <c r="C2450" s="10"/>
      <c r="D2450" s="14"/>
      <c r="E2450" s="11"/>
      <c r="F2450" s="15" t="str">
        <f aca="false">IF($B2450="","",IF(AND($D2450="",$E2450=""),"",IF(OR($D2450="",$E2450=""),0,ROUND($D2450*$E2450,0))))</f>
        <v/>
      </c>
      <c r="G2450" s="13"/>
      <c r="H2450" s="11"/>
      <c r="I2450" s="15" t="str">
        <f aca="false">IF($F2450="","",$F2450-IF($H2450="",0,$H2450))</f>
        <v/>
      </c>
      <c r="J2450" s="16" t="str">
        <f aca="true">IF(OR($A2450="",$I2450="",$I2450&lt;=0),"",TODAY()-$A2450)</f>
        <v/>
      </c>
      <c r="K2450" s="10"/>
    </row>
    <row r="2451" customFormat="false" ht="15" hidden="false" customHeight="true" outlineLevel="0" collapsed="false">
      <c r="A2451" s="13"/>
      <c r="B2451" s="10"/>
      <c r="C2451" s="10"/>
      <c r="D2451" s="14"/>
      <c r="E2451" s="11"/>
      <c r="F2451" s="15" t="str">
        <f aca="false">IF($B2451="","",IF(AND($D2451="",$E2451=""),"",IF(OR($D2451="",$E2451=""),0,ROUND($D2451*$E2451,0))))</f>
        <v/>
      </c>
      <c r="G2451" s="13"/>
      <c r="H2451" s="11"/>
      <c r="I2451" s="15" t="str">
        <f aca="false">IF($F2451="","",$F2451-IF($H2451="",0,$H2451))</f>
        <v/>
      </c>
      <c r="J2451" s="16" t="str">
        <f aca="true">IF(OR($A2451="",$I2451="",$I2451&lt;=0),"",TODAY()-$A2451)</f>
        <v/>
      </c>
      <c r="K2451" s="10"/>
    </row>
    <row r="2452" customFormat="false" ht="15" hidden="false" customHeight="true" outlineLevel="0" collapsed="false">
      <c r="A2452" s="13"/>
      <c r="B2452" s="10"/>
      <c r="C2452" s="10"/>
      <c r="D2452" s="14"/>
      <c r="E2452" s="11"/>
      <c r="F2452" s="15" t="str">
        <f aca="false">IF($B2452="","",IF(AND($D2452="",$E2452=""),"",IF(OR($D2452="",$E2452=""),0,ROUND($D2452*$E2452,0))))</f>
        <v/>
      </c>
      <c r="G2452" s="13"/>
      <c r="H2452" s="11"/>
      <c r="I2452" s="15" t="str">
        <f aca="false">IF($F2452="","",$F2452-IF($H2452="",0,$H2452))</f>
        <v/>
      </c>
      <c r="J2452" s="16" t="str">
        <f aca="true">IF(OR($A2452="",$I2452="",$I2452&lt;=0),"",TODAY()-$A2452)</f>
        <v/>
      </c>
      <c r="K2452" s="10"/>
    </row>
    <row r="2453" customFormat="false" ht="15" hidden="false" customHeight="true" outlineLevel="0" collapsed="false">
      <c r="A2453" s="13"/>
      <c r="B2453" s="10"/>
      <c r="C2453" s="10"/>
      <c r="D2453" s="14"/>
      <c r="E2453" s="11"/>
      <c r="F2453" s="15" t="str">
        <f aca="false">IF($B2453="","",IF(AND($D2453="",$E2453=""),"",IF(OR($D2453="",$E2453=""),0,ROUND($D2453*$E2453,0))))</f>
        <v/>
      </c>
      <c r="G2453" s="13"/>
      <c r="H2453" s="11"/>
      <c r="I2453" s="15" t="str">
        <f aca="false">IF($F2453="","",$F2453-IF($H2453="",0,$H2453))</f>
        <v/>
      </c>
      <c r="J2453" s="16" t="str">
        <f aca="true">IF(OR($A2453="",$I2453="",$I2453&lt;=0),"",TODAY()-$A2453)</f>
        <v/>
      </c>
      <c r="K2453" s="10"/>
    </row>
    <row r="2454" customFormat="false" ht="15" hidden="false" customHeight="true" outlineLevel="0" collapsed="false">
      <c r="A2454" s="13"/>
      <c r="B2454" s="10"/>
      <c r="C2454" s="10"/>
      <c r="D2454" s="14"/>
      <c r="E2454" s="11"/>
      <c r="F2454" s="15" t="str">
        <f aca="false">IF($B2454="","",IF(AND($D2454="",$E2454=""),"",IF(OR($D2454="",$E2454=""),0,ROUND($D2454*$E2454,0))))</f>
        <v/>
      </c>
      <c r="G2454" s="13"/>
      <c r="H2454" s="11"/>
      <c r="I2454" s="15" t="str">
        <f aca="false">IF($F2454="","",$F2454-IF($H2454="",0,$H2454))</f>
        <v/>
      </c>
      <c r="J2454" s="16" t="str">
        <f aca="true">IF(OR($A2454="",$I2454="",$I2454&lt;=0),"",TODAY()-$A2454)</f>
        <v/>
      </c>
      <c r="K2454" s="10"/>
    </row>
    <row r="2455" customFormat="false" ht="15" hidden="false" customHeight="true" outlineLevel="0" collapsed="false">
      <c r="A2455" s="13"/>
      <c r="B2455" s="10"/>
      <c r="C2455" s="10"/>
      <c r="D2455" s="14"/>
      <c r="E2455" s="11"/>
      <c r="F2455" s="15" t="str">
        <f aca="false">IF($B2455="","",IF(AND($D2455="",$E2455=""),"",IF(OR($D2455="",$E2455=""),0,ROUND($D2455*$E2455,0))))</f>
        <v/>
      </c>
      <c r="G2455" s="13"/>
      <c r="H2455" s="11"/>
      <c r="I2455" s="15" t="str">
        <f aca="false">IF($F2455="","",$F2455-IF($H2455="",0,$H2455))</f>
        <v/>
      </c>
      <c r="J2455" s="16" t="str">
        <f aca="true">IF(OR($A2455="",$I2455="",$I2455&lt;=0),"",TODAY()-$A2455)</f>
        <v/>
      </c>
      <c r="K2455" s="10"/>
    </row>
    <row r="2456" customFormat="false" ht="15" hidden="false" customHeight="true" outlineLevel="0" collapsed="false">
      <c r="A2456" s="13"/>
      <c r="B2456" s="10"/>
      <c r="C2456" s="10"/>
      <c r="D2456" s="14"/>
      <c r="E2456" s="11"/>
      <c r="F2456" s="15" t="str">
        <f aca="false">IF($B2456="","",IF(AND($D2456="",$E2456=""),"",IF(OR($D2456="",$E2456=""),0,ROUND($D2456*$E2456,0))))</f>
        <v/>
      </c>
      <c r="G2456" s="13"/>
      <c r="H2456" s="11"/>
      <c r="I2456" s="15" t="str">
        <f aca="false">IF($F2456="","",$F2456-IF($H2456="",0,$H2456))</f>
        <v/>
      </c>
      <c r="J2456" s="16" t="str">
        <f aca="true">IF(OR($A2456="",$I2456="",$I2456&lt;=0),"",TODAY()-$A2456)</f>
        <v/>
      </c>
      <c r="K2456" s="10"/>
    </row>
    <row r="2457" customFormat="false" ht="15" hidden="false" customHeight="true" outlineLevel="0" collapsed="false">
      <c r="A2457" s="13"/>
      <c r="B2457" s="10"/>
      <c r="C2457" s="10"/>
      <c r="D2457" s="14"/>
      <c r="E2457" s="11"/>
      <c r="F2457" s="15" t="str">
        <f aca="false">IF($B2457="","",IF(AND($D2457="",$E2457=""),"",IF(OR($D2457="",$E2457=""),0,ROUND($D2457*$E2457,0))))</f>
        <v/>
      </c>
      <c r="G2457" s="13"/>
      <c r="H2457" s="11"/>
      <c r="I2457" s="15" t="str">
        <f aca="false">IF($F2457="","",$F2457-IF($H2457="",0,$H2457))</f>
        <v/>
      </c>
      <c r="J2457" s="16" t="str">
        <f aca="true">IF(OR($A2457="",$I2457="",$I2457&lt;=0),"",TODAY()-$A2457)</f>
        <v/>
      </c>
      <c r="K2457" s="10"/>
    </row>
    <row r="2458" customFormat="false" ht="15" hidden="false" customHeight="true" outlineLevel="0" collapsed="false">
      <c r="A2458" s="13"/>
      <c r="B2458" s="10"/>
      <c r="C2458" s="10"/>
      <c r="D2458" s="14"/>
      <c r="E2458" s="11"/>
      <c r="F2458" s="15" t="str">
        <f aca="false">IF($B2458="","",IF(AND($D2458="",$E2458=""),"",IF(OR($D2458="",$E2458=""),0,ROUND($D2458*$E2458,0))))</f>
        <v/>
      </c>
      <c r="G2458" s="13"/>
      <c r="H2458" s="11"/>
      <c r="I2458" s="15" t="str">
        <f aca="false">IF($F2458="","",$F2458-IF($H2458="",0,$H2458))</f>
        <v/>
      </c>
      <c r="J2458" s="16" t="str">
        <f aca="true">IF(OR($A2458="",$I2458="",$I2458&lt;=0),"",TODAY()-$A2458)</f>
        <v/>
      </c>
      <c r="K2458" s="10"/>
    </row>
    <row r="2459" customFormat="false" ht="15" hidden="false" customHeight="true" outlineLevel="0" collapsed="false">
      <c r="A2459" s="13"/>
      <c r="B2459" s="10"/>
      <c r="C2459" s="10"/>
      <c r="D2459" s="14"/>
      <c r="E2459" s="11"/>
      <c r="F2459" s="15" t="str">
        <f aca="false">IF($B2459="","",IF(AND($D2459="",$E2459=""),"",IF(OR($D2459="",$E2459=""),0,ROUND($D2459*$E2459,0))))</f>
        <v/>
      </c>
      <c r="G2459" s="13"/>
      <c r="H2459" s="11"/>
      <c r="I2459" s="15" t="str">
        <f aca="false">IF($F2459="","",$F2459-IF($H2459="",0,$H2459))</f>
        <v/>
      </c>
      <c r="J2459" s="16" t="str">
        <f aca="true">IF(OR($A2459="",$I2459="",$I2459&lt;=0),"",TODAY()-$A2459)</f>
        <v/>
      </c>
      <c r="K2459" s="10"/>
    </row>
    <row r="2460" customFormat="false" ht="15" hidden="false" customHeight="true" outlineLevel="0" collapsed="false">
      <c r="A2460" s="13"/>
      <c r="B2460" s="10"/>
      <c r="C2460" s="10"/>
      <c r="D2460" s="14"/>
      <c r="E2460" s="11"/>
      <c r="F2460" s="15" t="str">
        <f aca="false">IF($B2460="","",IF(AND($D2460="",$E2460=""),"",IF(OR($D2460="",$E2460=""),0,ROUND($D2460*$E2460,0))))</f>
        <v/>
      </c>
      <c r="G2460" s="13"/>
      <c r="H2460" s="11"/>
      <c r="I2460" s="15" t="str">
        <f aca="false">IF($F2460="","",$F2460-IF($H2460="",0,$H2460))</f>
        <v/>
      </c>
      <c r="J2460" s="16" t="str">
        <f aca="true">IF(OR($A2460="",$I2460="",$I2460&lt;=0),"",TODAY()-$A2460)</f>
        <v/>
      </c>
      <c r="K2460" s="10"/>
    </row>
    <row r="2461" customFormat="false" ht="15" hidden="false" customHeight="true" outlineLevel="0" collapsed="false">
      <c r="A2461" s="13"/>
      <c r="B2461" s="10"/>
      <c r="C2461" s="10"/>
      <c r="D2461" s="14"/>
      <c r="E2461" s="11"/>
      <c r="F2461" s="15" t="str">
        <f aca="false">IF($B2461="","",IF(AND($D2461="",$E2461=""),"",IF(OR($D2461="",$E2461=""),0,ROUND($D2461*$E2461,0))))</f>
        <v/>
      </c>
      <c r="G2461" s="13"/>
      <c r="H2461" s="11"/>
      <c r="I2461" s="15" t="str">
        <f aca="false">IF($F2461="","",$F2461-IF($H2461="",0,$H2461))</f>
        <v/>
      </c>
      <c r="J2461" s="16" t="str">
        <f aca="true">IF(OR($A2461="",$I2461="",$I2461&lt;=0),"",TODAY()-$A2461)</f>
        <v/>
      </c>
      <c r="K2461" s="10"/>
    </row>
    <row r="2462" customFormat="false" ht="15" hidden="false" customHeight="true" outlineLevel="0" collapsed="false">
      <c r="A2462" s="13"/>
      <c r="B2462" s="10"/>
      <c r="C2462" s="10"/>
      <c r="D2462" s="14"/>
      <c r="E2462" s="11"/>
      <c r="F2462" s="15" t="str">
        <f aca="false">IF($B2462="","",IF(AND($D2462="",$E2462=""),"",IF(OR($D2462="",$E2462=""),0,ROUND($D2462*$E2462,0))))</f>
        <v/>
      </c>
      <c r="G2462" s="13"/>
      <c r="H2462" s="11"/>
      <c r="I2462" s="15" t="str">
        <f aca="false">IF($F2462="","",$F2462-IF($H2462="",0,$H2462))</f>
        <v/>
      </c>
      <c r="J2462" s="16" t="str">
        <f aca="true">IF(OR($A2462="",$I2462="",$I2462&lt;=0),"",TODAY()-$A2462)</f>
        <v/>
      </c>
      <c r="K2462" s="10"/>
    </row>
    <row r="2463" customFormat="false" ht="15" hidden="false" customHeight="true" outlineLevel="0" collapsed="false">
      <c r="A2463" s="13"/>
      <c r="B2463" s="10"/>
      <c r="C2463" s="10"/>
      <c r="D2463" s="14"/>
      <c r="E2463" s="11"/>
      <c r="F2463" s="15" t="str">
        <f aca="false">IF($B2463="","",IF(AND($D2463="",$E2463=""),"",IF(OR($D2463="",$E2463=""),0,ROUND($D2463*$E2463,0))))</f>
        <v/>
      </c>
      <c r="G2463" s="13"/>
      <c r="H2463" s="11"/>
      <c r="I2463" s="15" t="str">
        <f aca="false">IF($F2463="","",$F2463-IF($H2463="",0,$H2463))</f>
        <v/>
      </c>
      <c r="J2463" s="16" t="str">
        <f aca="true">IF(OR($A2463="",$I2463="",$I2463&lt;=0),"",TODAY()-$A2463)</f>
        <v/>
      </c>
      <c r="K2463" s="10"/>
    </row>
    <row r="2464" customFormat="false" ht="15" hidden="false" customHeight="true" outlineLevel="0" collapsed="false">
      <c r="A2464" s="13"/>
      <c r="B2464" s="10"/>
      <c r="C2464" s="10"/>
      <c r="D2464" s="14"/>
      <c r="E2464" s="11"/>
      <c r="F2464" s="15" t="str">
        <f aca="false">IF($B2464="","",IF(AND($D2464="",$E2464=""),"",IF(OR($D2464="",$E2464=""),0,ROUND($D2464*$E2464,0))))</f>
        <v/>
      </c>
      <c r="G2464" s="13"/>
      <c r="H2464" s="11"/>
      <c r="I2464" s="15" t="str">
        <f aca="false">IF($F2464="","",$F2464-IF($H2464="",0,$H2464))</f>
        <v/>
      </c>
      <c r="J2464" s="16" t="str">
        <f aca="true">IF(OR($A2464="",$I2464="",$I2464&lt;=0),"",TODAY()-$A2464)</f>
        <v/>
      </c>
      <c r="K2464" s="10"/>
    </row>
    <row r="2465" customFormat="false" ht="15" hidden="false" customHeight="true" outlineLevel="0" collapsed="false">
      <c r="A2465" s="13"/>
      <c r="B2465" s="10"/>
      <c r="C2465" s="10"/>
      <c r="D2465" s="14"/>
      <c r="E2465" s="11"/>
      <c r="F2465" s="15" t="str">
        <f aca="false">IF($B2465="","",IF(AND($D2465="",$E2465=""),"",IF(OR($D2465="",$E2465=""),0,ROUND($D2465*$E2465,0))))</f>
        <v/>
      </c>
      <c r="G2465" s="13"/>
      <c r="H2465" s="11"/>
      <c r="I2465" s="15" t="str">
        <f aca="false">IF($F2465="","",$F2465-IF($H2465="",0,$H2465))</f>
        <v/>
      </c>
      <c r="J2465" s="16" t="str">
        <f aca="true">IF(OR($A2465="",$I2465="",$I2465&lt;=0),"",TODAY()-$A2465)</f>
        <v/>
      </c>
      <c r="K2465" s="10"/>
    </row>
    <row r="2466" customFormat="false" ht="15" hidden="false" customHeight="true" outlineLevel="0" collapsed="false">
      <c r="A2466" s="13"/>
      <c r="B2466" s="10"/>
      <c r="C2466" s="10"/>
      <c r="D2466" s="14"/>
      <c r="E2466" s="11"/>
      <c r="F2466" s="15" t="str">
        <f aca="false">IF($B2466="","",IF(AND($D2466="",$E2466=""),"",IF(OR($D2466="",$E2466=""),0,ROUND($D2466*$E2466,0))))</f>
        <v/>
      </c>
      <c r="G2466" s="13"/>
      <c r="H2466" s="11"/>
      <c r="I2466" s="15" t="str">
        <f aca="false">IF($F2466="","",$F2466-IF($H2466="",0,$H2466))</f>
        <v/>
      </c>
      <c r="J2466" s="16" t="str">
        <f aca="true">IF(OR($A2466="",$I2466="",$I2466&lt;=0),"",TODAY()-$A2466)</f>
        <v/>
      </c>
      <c r="K2466" s="10"/>
    </row>
    <row r="2467" customFormat="false" ht="15" hidden="false" customHeight="true" outlineLevel="0" collapsed="false">
      <c r="A2467" s="13"/>
      <c r="B2467" s="10"/>
      <c r="C2467" s="10"/>
      <c r="D2467" s="14"/>
      <c r="E2467" s="11"/>
      <c r="F2467" s="15" t="str">
        <f aca="false">IF($B2467="","",IF(AND($D2467="",$E2467=""),"",IF(OR($D2467="",$E2467=""),0,ROUND($D2467*$E2467,0))))</f>
        <v/>
      </c>
      <c r="G2467" s="13"/>
      <c r="H2467" s="11"/>
      <c r="I2467" s="15" t="str">
        <f aca="false">IF($F2467="","",$F2467-IF($H2467="",0,$H2467))</f>
        <v/>
      </c>
      <c r="J2467" s="16" t="str">
        <f aca="true">IF(OR($A2467="",$I2467="",$I2467&lt;=0),"",TODAY()-$A2467)</f>
        <v/>
      </c>
      <c r="K2467" s="10"/>
    </row>
    <row r="2468" customFormat="false" ht="15" hidden="false" customHeight="true" outlineLevel="0" collapsed="false">
      <c r="A2468" s="13"/>
      <c r="B2468" s="10"/>
      <c r="C2468" s="10"/>
      <c r="D2468" s="14"/>
      <c r="E2468" s="11"/>
      <c r="F2468" s="15" t="str">
        <f aca="false">IF($B2468="","",IF(AND($D2468="",$E2468=""),"",IF(OR($D2468="",$E2468=""),0,ROUND($D2468*$E2468,0))))</f>
        <v/>
      </c>
      <c r="G2468" s="13"/>
      <c r="H2468" s="11"/>
      <c r="I2468" s="15" t="str">
        <f aca="false">IF($F2468="","",$F2468-IF($H2468="",0,$H2468))</f>
        <v/>
      </c>
      <c r="J2468" s="16" t="str">
        <f aca="true">IF(OR($A2468="",$I2468="",$I2468&lt;=0),"",TODAY()-$A2468)</f>
        <v/>
      </c>
      <c r="K2468" s="10"/>
    </row>
    <row r="2469" customFormat="false" ht="15" hidden="false" customHeight="true" outlineLevel="0" collapsed="false">
      <c r="A2469" s="13"/>
      <c r="B2469" s="10"/>
      <c r="C2469" s="10"/>
      <c r="D2469" s="14"/>
      <c r="E2469" s="11"/>
      <c r="F2469" s="15" t="str">
        <f aca="false">IF($B2469="","",IF(AND($D2469="",$E2469=""),"",IF(OR($D2469="",$E2469=""),0,ROUND($D2469*$E2469,0))))</f>
        <v/>
      </c>
      <c r="G2469" s="13"/>
      <c r="H2469" s="11"/>
      <c r="I2469" s="15" t="str">
        <f aca="false">IF($F2469="","",$F2469-IF($H2469="",0,$H2469))</f>
        <v/>
      </c>
      <c r="J2469" s="16" t="str">
        <f aca="true">IF(OR($A2469="",$I2469="",$I2469&lt;=0),"",TODAY()-$A2469)</f>
        <v/>
      </c>
      <c r="K2469" s="10"/>
    </row>
    <row r="2470" customFormat="false" ht="15" hidden="false" customHeight="true" outlineLevel="0" collapsed="false">
      <c r="A2470" s="13"/>
      <c r="B2470" s="10"/>
      <c r="C2470" s="10"/>
      <c r="D2470" s="14"/>
      <c r="E2470" s="11"/>
      <c r="F2470" s="15" t="str">
        <f aca="false">IF($B2470="","",IF(AND($D2470="",$E2470=""),"",IF(OR($D2470="",$E2470=""),0,ROUND($D2470*$E2470,0))))</f>
        <v/>
      </c>
      <c r="G2470" s="13"/>
      <c r="H2470" s="11"/>
      <c r="I2470" s="15" t="str">
        <f aca="false">IF($F2470="","",$F2470-IF($H2470="",0,$H2470))</f>
        <v/>
      </c>
      <c r="J2470" s="16" t="str">
        <f aca="true">IF(OR($A2470="",$I2470="",$I2470&lt;=0),"",TODAY()-$A2470)</f>
        <v/>
      </c>
      <c r="K2470" s="10"/>
    </row>
    <row r="2471" customFormat="false" ht="15" hidden="false" customHeight="true" outlineLevel="0" collapsed="false">
      <c r="A2471" s="13"/>
      <c r="B2471" s="10"/>
      <c r="C2471" s="10"/>
      <c r="D2471" s="14"/>
      <c r="E2471" s="11"/>
      <c r="F2471" s="15" t="str">
        <f aca="false">IF($B2471="","",IF(AND($D2471="",$E2471=""),"",IF(OR($D2471="",$E2471=""),0,ROUND($D2471*$E2471,0))))</f>
        <v/>
      </c>
      <c r="G2471" s="13"/>
      <c r="H2471" s="11"/>
      <c r="I2471" s="15" t="str">
        <f aca="false">IF($F2471="","",$F2471-IF($H2471="",0,$H2471))</f>
        <v/>
      </c>
      <c r="J2471" s="16" t="str">
        <f aca="true">IF(OR($A2471="",$I2471="",$I2471&lt;=0),"",TODAY()-$A2471)</f>
        <v/>
      </c>
      <c r="K2471" s="10"/>
    </row>
    <row r="2472" customFormat="false" ht="15" hidden="false" customHeight="true" outlineLevel="0" collapsed="false">
      <c r="A2472" s="13"/>
      <c r="B2472" s="10"/>
      <c r="C2472" s="10"/>
      <c r="D2472" s="14"/>
      <c r="E2472" s="11"/>
      <c r="F2472" s="15" t="str">
        <f aca="false">IF($B2472="","",IF(AND($D2472="",$E2472=""),"",IF(OR($D2472="",$E2472=""),0,ROUND($D2472*$E2472,0))))</f>
        <v/>
      </c>
      <c r="G2472" s="13"/>
      <c r="H2472" s="11"/>
      <c r="I2472" s="15" t="str">
        <f aca="false">IF($F2472="","",$F2472-IF($H2472="",0,$H2472))</f>
        <v/>
      </c>
      <c r="J2472" s="16" t="str">
        <f aca="true">IF(OR($A2472="",$I2472="",$I2472&lt;=0),"",TODAY()-$A2472)</f>
        <v/>
      </c>
      <c r="K2472" s="10"/>
    </row>
    <row r="2473" customFormat="false" ht="15" hidden="false" customHeight="true" outlineLevel="0" collapsed="false">
      <c r="A2473" s="13"/>
      <c r="B2473" s="10"/>
      <c r="C2473" s="10"/>
      <c r="D2473" s="14"/>
      <c r="E2473" s="11"/>
      <c r="F2473" s="15" t="str">
        <f aca="false">IF($B2473="","",IF(AND($D2473="",$E2473=""),"",IF(OR($D2473="",$E2473=""),0,ROUND($D2473*$E2473,0))))</f>
        <v/>
      </c>
      <c r="G2473" s="13"/>
      <c r="H2473" s="11"/>
      <c r="I2473" s="15" t="str">
        <f aca="false">IF($F2473="","",$F2473-IF($H2473="",0,$H2473))</f>
        <v/>
      </c>
      <c r="J2473" s="16" t="str">
        <f aca="true">IF(OR($A2473="",$I2473="",$I2473&lt;=0),"",TODAY()-$A2473)</f>
        <v/>
      </c>
      <c r="K2473" s="10"/>
    </row>
    <row r="2474" customFormat="false" ht="15" hidden="false" customHeight="true" outlineLevel="0" collapsed="false">
      <c r="A2474" s="13"/>
      <c r="B2474" s="10"/>
      <c r="C2474" s="10"/>
      <c r="D2474" s="14"/>
      <c r="E2474" s="11"/>
      <c r="F2474" s="15" t="str">
        <f aca="false">IF($B2474="","",IF(AND($D2474="",$E2474=""),"",IF(OR($D2474="",$E2474=""),0,ROUND($D2474*$E2474,0))))</f>
        <v/>
      </c>
      <c r="G2474" s="13"/>
      <c r="H2474" s="11"/>
      <c r="I2474" s="15" t="str">
        <f aca="false">IF($F2474="","",$F2474-IF($H2474="",0,$H2474))</f>
        <v/>
      </c>
      <c r="J2474" s="16" t="str">
        <f aca="true">IF(OR($A2474="",$I2474="",$I2474&lt;=0),"",TODAY()-$A2474)</f>
        <v/>
      </c>
      <c r="K2474" s="10"/>
    </row>
    <row r="2475" customFormat="false" ht="15" hidden="false" customHeight="true" outlineLevel="0" collapsed="false">
      <c r="A2475" s="13"/>
      <c r="B2475" s="10"/>
      <c r="C2475" s="10"/>
      <c r="D2475" s="14"/>
      <c r="E2475" s="11"/>
      <c r="F2475" s="15" t="str">
        <f aca="false">IF($B2475="","",IF(AND($D2475="",$E2475=""),"",IF(OR($D2475="",$E2475=""),0,ROUND($D2475*$E2475,0))))</f>
        <v/>
      </c>
      <c r="G2475" s="13"/>
      <c r="H2475" s="11"/>
      <c r="I2475" s="15" t="str">
        <f aca="false">IF($F2475="","",$F2475-IF($H2475="",0,$H2475))</f>
        <v/>
      </c>
      <c r="J2475" s="16" t="str">
        <f aca="true">IF(OR($A2475="",$I2475="",$I2475&lt;=0),"",TODAY()-$A2475)</f>
        <v/>
      </c>
      <c r="K2475" s="10"/>
    </row>
    <row r="2476" customFormat="false" ht="15" hidden="false" customHeight="true" outlineLevel="0" collapsed="false">
      <c r="A2476" s="13"/>
      <c r="B2476" s="10"/>
      <c r="C2476" s="10"/>
      <c r="D2476" s="14"/>
      <c r="E2476" s="11"/>
      <c r="F2476" s="15" t="str">
        <f aca="false">IF($B2476="","",IF(AND($D2476="",$E2476=""),"",IF(OR($D2476="",$E2476=""),0,ROUND($D2476*$E2476,0))))</f>
        <v/>
      </c>
      <c r="G2476" s="13"/>
      <c r="H2476" s="11"/>
      <c r="I2476" s="15" t="str">
        <f aca="false">IF($F2476="","",$F2476-IF($H2476="",0,$H2476))</f>
        <v/>
      </c>
      <c r="J2476" s="16" t="str">
        <f aca="true">IF(OR($A2476="",$I2476="",$I2476&lt;=0),"",TODAY()-$A2476)</f>
        <v/>
      </c>
      <c r="K2476" s="10"/>
    </row>
    <row r="2477" customFormat="false" ht="15" hidden="false" customHeight="true" outlineLevel="0" collapsed="false">
      <c r="A2477" s="13"/>
      <c r="B2477" s="10"/>
      <c r="C2477" s="10"/>
      <c r="D2477" s="14"/>
      <c r="E2477" s="11"/>
      <c r="F2477" s="15" t="str">
        <f aca="false">IF($B2477="","",IF(AND($D2477="",$E2477=""),"",IF(OR($D2477="",$E2477=""),0,ROUND($D2477*$E2477,0))))</f>
        <v/>
      </c>
      <c r="G2477" s="13"/>
      <c r="H2477" s="11"/>
      <c r="I2477" s="15" t="str">
        <f aca="false">IF($F2477="","",$F2477-IF($H2477="",0,$H2477))</f>
        <v/>
      </c>
      <c r="J2477" s="16" t="str">
        <f aca="true">IF(OR($A2477="",$I2477="",$I2477&lt;=0),"",TODAY()-$A2477)</f>
        <v/>
      </c>
      <c r="K2477" s="10"/>
    </row>
    <row r="2478" customFormat="false" ht="15" hidden="false" customHeight="true" outlineLevel="0" collapsed="false">
      <c r="A2478" s="13"/>
      <c r="B2478" s="10"/>
      <c r="C2478" s="10"/>
      <c r="D2478" s="14"/>
      <c r="E2478" s="11"/>
      <c r="F2478" s="15" t="str">
        <f aca="false">IF($B2478="","",IF(AND($D2478="",$E2478=""),"",IF(OR($D2478="",$E2478=""),0,ROUND($D2478*$E2478,0))))</f>
        <v/>
      </c>
      <c r="G2478" s="13"/>
      <c r="H2478" s="11"/>
      <c r="I2478" s="15" t="str">
        <f aca="false">IF($F2478="","",$F2478-IF($H2478="",0,$H2478))</f>
        <v/>
      </c>
      <c r="J2478" s="16" t="str">
        <f aca="true">IF(OR($A2478="",$I2478="",$I2478&lt;=0),"",TODAY()-$A2478)</f>
        <v/>
      </c>
      <c r="K2478" s="10"/>
    </row>
    <row r="2479" customFormat="false" ht="15" hidden="false" customHeight="true" outlineLevel="0" collapsed="false">
      <c r="A2479" s="13"/>
      <c r="B2479" s="10"/>
      <c r="C2479" s="10"/>
      <c r="D2479" s="14"/>
      <c r="E2479" s="11"/>
      <c r="F2479" s="15" t="str">
        <f aca="false">IF($B2479="","",IF(AND($D2479="",$E2479=""),"",IF(OR($D2479="",$E2479=""),0,ROUND($D2479*$E2479,0))))</f>
        <v/>
      </c>
      <c r="G2479" s="13"/>
      <c r="H2479" s="11"/>
      <c r="I2479" s="15" t="str">
        <f aca="false">IF($F2479="","",$F2479-IF($H2479="",0,$H2479))</f>
        <v/>
      </c>
      <c r="J2479" s="16" t="str">
        <f aca="true">IF(OR($A2479="",$I2479="",$I2479&lt;=0),"",TODAY()-$A2479)</f>
        <v/>
      </c>
      <c r="K2479" s="10"/>
    </row>
    <row r="2480" customFormat="false" ht="15" hidden="false" customHeight="true" outlineLevel="0" collapsed="false">
      <c r="A2480" s="13"/>
      <c r="B2480" s="10"/>
      <c r="C2480" s="10"/>
      <c r="D2480" s="14"/>
      <c r="E2480" s="11"/>
      <c r="F2480" s="15" t="str">
        <f aca="false">IF($B2480="","",IF(AND($D2480="",$E2480=""),"",IF(OR($D2480="",$E2480=""),0,ROUND($D2480*$E2480,0))))</f>
        <v/>
      </c>
      <c r="G2480" s="13"/>
      <c r="H2480" s="11"/>
      <c r="I2480" s="15" t="str">
        <f aca="false">IF($F2480="","",$F2480-IF($H2480="",0,$H2480))</f>
        <v/>
      </c>
      <c r="J2480" s="16" t="str">
        <f aca="true">IF(OR($A2480="",$I2480="",$I2480&lt;=0),"",TODAY()-$A2480)</f>
        <v/>
      </c>
      <c r="K2480" s="10"/>
    </row>
    <row r="2481" customFormat="false" ht="15" hidden="false" customHeight="true" outlineLevel="0" collapsed="false">
      <c r="A2481" s="13"/>
      <c r="B2481" s="10"/>
      <c r="C2481" s="10"/>
      <c r="D2481" s="14"/>
      <c r="E2481" s="11"/>
      <c r="F2481" s="15" t="str">
        <f aca="false">IF($B2481="","",IF(AND($D2481="",$E2481=""),"",IF(OR($D2481="",$E2481=""),0,ROUND($D2481*$E2481,0))))</f>
        <v/>
      </c>
      <c r="G2481" s="13"/>
      <c r="H2481" s="11"/>
      <c r="I2481" s="15" t="str">
        <f aca="false">IF($F2481="","",$F2481-IF($H2481="",0,$H2481))</f>
        <v/>
      </c>
      <c r="J2481" s="16" t="str">
        <f aca="true">IF(OR($A2481="",$I2481="",$I2481&lt;=0),"",TODAY()-$A2481)</f>
        <v/>
      </c>
      <c r="K2481" s="10"/>
    </row>
    <row r="2482" customFormat="false" ht="15" hidden="false" customHeight="true" outlineLevel="0" collapsed="false">
      <c r="A2482" s="13"/>
      <c r="B2482" s="10"/>
      <c r="C2482" s="10"/>
      <c r="D2482" s="14"/>
      <c r="E2482" s="11"/>
      <c r="F2482" s="15" t="str">
        <f aca="false">IF($B2482="","",IF(AND($D2482="",$E2482=""),"",IF(OR($D2482="",$E2482=""),0,ROUND($D2482*$E2482,0))))</f>
        <v/>
      </c>
      <c r="G2482" s="13"/>
      <c r="H2482" s="11"/>
      <c r="I2482" s="15" t="str">
        <f aca="false">IF($F2482="","",$F2482-IF($H2482="",0,$H2482))</f>
        <v/>
      </c>
      <c r="J2482" s="16" t="str">
        <f aca="true">IF(OR($A2482="",$I2482="",$I2482&lt;=0),"",TODAY()-$A2482)</f>
        <v/>
      </c>
      <c r="K2482" s="10"/>
    </row>
    <row r="2483" customFormat="false" ht="15" hidden="false" customHeight="true" outlineLevel="0" collapsed="false">
      <c r="A2483" s="13"/>
      <c r="B2483" s="10"/>
      <c r="C2483" s="10"/>
      <c r="D2483" s="14"/>
      <c r="E2483" s="11"/>
      <c r="F2483" s="15" t="str">
        <f aca="false">IF($B2483="","",IF(AND($D2483="",$E2483=""),"",IF(OR($D2483="",$E2483=""),0,ROUND($D2483*$E2483,0))))</f>
        <v/>
      </c>
      <c r="G2483" s="13"/>
      <c r="H2483" s="11"/>
      <c r="I2483" s="15" t="str">
        <f aca="false">IF($F2483="","",$F2483-IF($H2483="",0,$H2483))</f>
        <v/>
      </c>
      <c r="J2483" s="16" t="str">
        <f aca="true">IF(OR($A2483="",$I2483="",$I2483&lt;=0),"",TODAY()-$A2483)</f>
        <v/>
      </c>
      <c r="K2483" s="10"/>
    </row>
    <row r="2484" customFormat="false" ht="15" hidden="false" customHeight="true" outlineLevel="0" collapsed="false">
      <c r="A2484" s="13"/>
      <c r="B2484" s="10"/>
      <c r="C2484" s="10"/>
      <c r="D2484" s="14"/>
      <c r="E2484" s="11"/>
      <c r="F2484" s="15" t="str">
        <f aca="false">IF($B2484="","",IF(AND($D2484="",$E2484=""),"",IF(OR($D2484="",$E2484=""),0,ROUND($D2484*$E2484,0))))</f>
        <v/>
      </c>
      <c r="G2484" s="13"/>
      <c r="H2484" s="11"/>
      <c r="I2484" s="15" t="str">
        <f aca="false">IF($F2484="","",$F2484-IF($H2484="",0,$H2484))</f>
        <v/>
      </c>
      <c r="J2484" s="16" t="str">
        <f aca="true">IF(OR($A2484="",$I2484="",$I2484&lt;=0),"",TODAY()-$A2484)</f>
        <v/>
      </c>
      <c r="K2484" s="10"/>
    </row>
    <row r="2485" customFormat="false" ht="15" hidden="false" customHeight="true" outlineLevel="0" collapsed="false">
      <c r="A2485" s="13"/>
      <c r="B2485" s="10"/>
      <c r="C2485" s="10"/>
      <c r="D2485" s="14"/>
      <c r="E2485" s="11"/>
      <c r="F2485" s="15" t="str">
        <f aca="false">IF($B2485="","",IF(AND($D2485="",$E2485=""),"",IF(OR($D2485="",$E2485=""),0,ROUND($D2485*$E2485,0))))</f>
        <v/>
      </c>
      <c r="G2485" s="13"/>
      <c r="H2485" s="11"/>
      <c r="I2485" s="15" t="str">
        <f aca="false">IF($F2485="","",$F2485-IF($H2485="",0,$H2485))</f>
        <v/>
      </c>
      <c r="J2485" s="16" t="str">
        <f aca="true">IF(OR($A2485="",$I2485="",$I2485&lt;=0),"",TODAY()-$A2485)</f>
        <v/>
      </c>
      <c r="K2485" s="10"/>
    </row>
    <row r="2486" customFormat="false" ht="15" hidden="false" customHeight="true" outlineLevel="0" collapsed="false">
      <c r="A2486" s="13"/>
      <c r="B2486" s="10"/>
      <c r="C2486" s="10"/>
      <c r="D2486" s="14"/>
      <c r="E2486" s="11"/>
      <c r="F2486" s="15" t="str">
        <f aca="false">IF($B2486="","",IF(AND($D2486="",$E2486=""),"",IF(OR($D2486="",$E2486=""),0,ROUND($D2486*$E2486,0))))</f>
        <v/>
      </c>
      <c r="G2486" s="13"/>
      <c r="H2486" s="11"/>
      <c r="I2486" s="15" t="str">
        <f aca="false">IF($F2486="","",$F2486-IF($H2486="",0,$H2486))</f>
        <v/>
      </c>
      <c r="J2486" s="16" t="str">
        <f aca="true">IF(OR($A2486="",$I2486="",$I2486&lt;=0),"",TODAY()-$A2486)</f>
        <v/>
      </c>
      <c r="K2486" s="10"/>
    </row>
    <row r="2487" customFormat="false" ht="15" hidden="false" customHeight="true" outlineLevel="0" collapsed="false">
      <c r="A2487" s="13"/>
      <c r="B2487" s="10"/>
      <c r="C2487" s="10"/>
      <c r="D2487" s="14"/>
      <c r="E2487" s="11"/>
      <c r="F2487" s="15" t="str">
        <f aca="false">IF($B2487="","",IF(AND($D2487="",$E2487=""),"",IF(OR($D2487="",$E2487=""),0,ROUND($D2487*$E2487,0))))</f>
        <v/>
      </c>
      <c r="G2487" s="13"/>
      <c r="H2487" s="11"/>
      <c r="I2487" s="15" t="str">
        <f aca="false">IF($F2487="","",$F2487-IF($H2487="",0,$H2487))</f>
        <v/>
      </c>
      <c r="J2487" s="16" t="str">
        <f aca="true">IF(OR($A2487="",$I2487="",$I2487&lt;=0),"",TODAY()-$A2487)</f>
        <v/>
      </c>
      <c r="K2487" s="10"/>
    </row>
    <row r="2488" customFormat="false" ht="15" hidden="false" customHeight="true" outlineLevel="0" collapsed="false">
      <c r="A2488" s="13"/>
      <c r="B2488" s="10"/>
      <c r="C2488" s="10"/>
      <c r="D2488" s="14"/>
      <c r="E2488" s="11"/>
      <c r="F2488" s="15" t="str">
        <f aca="false">IF($B2488="","",IF(AND($D2488="",$E2488=""),"",IF(OR($D2488="",$E2488=""),0,ROUND($D2488*$E2488,0))))</f>
        <v/>
      </c>
      <c r="G2488" s="13"/>
      <c r="H2488" s="11"/>
      <c r="I2488" s="15" t="str">
        <f aca="false">IF($F2488="","",$F2488-IF($H2488="",0,$H2488))</f>
        <v/>
      </c>
      <c r="J2488" s="16" t="str">
        <f aca="true">IF(OR($A2488="",$I2488="",$I2488&lt;=0),"",TODAY()-$A2488)</f>
        <v/>
      </c>
      <c r="K2488" s="10"/>
    </row>
    <row r="2489" customFormat="false" ht="15" hidden="false" customHeight="true" outlineLevel="0" collapsed="false">
      <c r="A2489" s="13"/>
      <c r="B2489" s="10"/>
      <c r="C2489" s="10"/>
      <c r="D2489" s="14"/>
      <c r="E2489" s="11"/>
      <c r="F2489" s="15" t="str">
        <f aca="false">IF($B2489="","",IF(AND($D2489="",$E2489=""),"",IF(OR($D2489="",$E2489=""),0,ROUND($D2489*$E2489,0))))</f>
        <v/>
      </c>
      <c r="G2489" s="13"/>
      <c r="H2489" s="11"/>
      <c r="I2489" s="15" t="str">
        <f aca="false">IF($F2489="","",$F2489-IF($H2489="",0,$H2489))</f>
        <v/>
      </c>
      <c r="J2489" s="16" t="str">
        <f aca="true">IF(OR($A2489="",$I2489="",$I2489&lt;=0),"",TODAY()-$A2489)</f>
        <v/>
      </c>
      <c r="K2489" s="10"/>
    </row>
    <row r="2490" customFormat="false" ht="15" hidden="false" customHeight="true" outlineLevel="0" collapsed="false">
      <c r="A2490" s="13"/>
      <c r="B2490" s="10"/>
      <c r="C2490" s="10"/>
      <c r="D2490" s="14"/>
      <c r="E2490" s="11"/>
      <c r="F2490" s="15" t="str">
        <f aca="false">IF($B2490="","",IF(AND($D2490="",$E2490=""),"",IF(OR($D2490="",$E2490=""),0,ROUND($D2490*$E2490,0))))</f>
        <v/>
      </c>
      <c r="G2490" s="13"/>
      <c r="H2490" s="11"/>
      <c r="I2490" s="15" t="str">
        <f aca="false">IF($F2490="","",$F2490-IF($H2490="",0,$H2490))</f>
        <v/>
      </c>
      <c r="J2490" s="16" t="str">
        <f aca="true">IF(OR($A2490="",$I2490="",$I2490&lt;=0),"",TODAY()-$A2490)</f>
        <v/>
      </c>
      <c r="K2490" s="10"/>
    </row>
    <row r="2491" customFormat="false" ht="15" hidden="false" customHeight="true" outlineLevel="0" collapsed="false">
      <c r="A2491" s="13"/>
      <c r="B2491" s="10"/>
      <c r="C2491" s="10"/>
      <c r="D2491" s="14"/>
      <c r="E2491" s="11"/>
      <c r="F2491" s="15" t="str">
        <f aca="false">IF($B2491="","",IF(AND($D2491="",$E2491=""),"",IF(OR($D2491="",$E2491=""),0,ROUND($D2491*$E2491,0))))</f>
        <v/>
      </c>
      <c r="G2491" s="13"/>
      <c r="H2491" s="11"/>
      <c r="I2491" s="15" t="str">
        <f aca="false">IF($F2491="","",$F2491-IF($H2491="",0,$H2491))</f>
        <v/>
      </c>
      <c r="J2491" s="16" t="str">
        <f aca="true">IF(OR($A2491="",$I2491="",$I2491&lt;=0),"",TODAY()-$A2491)</f>
        <v/>
      </c>
      <c r="K2491" s="10"/>
    </row>
    <row r="2492" customFormat="false" ht="15" hidden="false" customHeight="true" outlineLevel="0" collapsed="false">
      <c r="A2492" s="13"/>
      <c r="B2492" s="10"/>
      <c r="C2492" s="10"/>
      <c r="D2492" s="14"/>
      <c r="E2492" s="11"/>
      <c r="F2492" s="15" t="str">
        <f aca="false">IF($B2492="","",IF(AND($D2492="",$E2492=""),"",IF(OR($D2492="",$E2492=""),0,ROUND($D2492*$E2492,0))))</f>
        <v/>
      </c>
      <c r="G2492" s="13"/>
      <c r="H2492" s="11"/>
      <c r="I2492" s="15" t="str">
        <f aca="false">IF($F2492="","",$F2492-IF($H2492="",0,$H2492))</f>
        <v/>
      </c>
      <c r="J2492" s="16" t="str">
        <f aca="true">IF(OR($A2492="",$I2492="",$I2492&lt;=0),"",TODAY()-$A2492)</f>
        <v/>
      </c>
      <c r="K2492" s="10"/>
    </row>
    <row r="2493" customFormat="false" ht="15" hidden="false" customHeight="true" outlineLevel="0" collapsed="false">
      <c r="A2493" s="13"/>
      <c r="B2493" s="10"/>
      <c r="C2493" s="10"/>
      <c r="D2493" s="14"/>
      <c r="E2493" s="11"/>
      <c r="F2493" s="15" t="str">
        <f aca="false">IF($B2493="","",IF(AND($D2493="",$E2493=""),"",IF(OR($D2493="",$E2493=""),0,ROUND($D2493*$E2493,0))))</f>
        <v/>
      </c>
      <c r="G2493" s="13"/>
      <c r="H2493" s="11"/>
      <c r="I2493" s="15" t="str">
        <f aca="false">IF($F2493="","",$F2493-IF($H2493="",0,$H2493))</f>
        <v/>
      </c>
      <c r="J2493" s="16" t="str">
        <f aca="true">IF(OR($A2493="",$I2493="",$I2493&lt;=0),"",TODAY()-$A2493)</f>
        <v/>
      </c>
      <c r="K2493" s="10"/>
    </row>
    <row r="2494" customFormat="false" ht="15" hidden="false" customHeight="true" outlineLevel="0" collapsed="false">
      <c r="A2494" s="13"/>
      <c r="B2494" s="10"/>
      <c r="C2494" s="10"/>
      <c r="D2494" s="14"/>
      <c r="E2494" s="11"/>
      <c r="F2494" s="15" t="str">
        <f aca="false">IF($B2494="","",IF(AND($D2494="",$E2494=""),"",IF(OR($D2494="",$E2494=""),0,ROUND($D2494*$E2494,0))))</f>
        <v/>
      </c>
      <c r="G2494" s="13"/>
      <c r="H2494" s="11"/>
      <c r="I2494" s="15" t="str">
        <f aca="false">IF($F2494="","",$F2494-IF($H2494="",0,$H2494))</f>
        <v/>
      </c>
      <c r="J2494" s="16" t="str">
        <f aca="true">IF(OR($A2494="",$I2494="",$I2494&lt;=0),"",TODAY()-$A2494)</f>
        <v/>
      </c>
      <c r="K2494" s="10"/>
    </row>
    <row r="2495" customFormat="false" ht="15" hidden="false" customHeight="true" outlineLevel="0" collapsed="false">
      <c r="A2495" s="13"/>
      <c r="B2495" s="10"/>
      <c r="C2495" s="10"/>
      <c r="D2495" s="14"/>
      <c r="E2495" s="11"/>
      <c r="F2495" s="15" t="str">
        <f aca="false">IF($B2495="","",IF(AND($D2495="",$E2495=""),"",IF(OR($D2495="",$E2495=""),0,ROUND($D2495*$E2495,0))))</f>
        <v/>
      </c>
      <c r="G2495" s="13"/>
      <c r="H2495" s="11"/>
      <c r="I2495" s="15" t="str">
        <f aca="false">IF($F2495="","",$F2495-IF($H2495="",0,$H2495))</f>
        <v/>
      </c>
      <c r="J2495" s="16" t="str">
        <f aca="true">IF(OR($A2495="",$I2495="",$I2495&lt;=0),"",TODAY()-$A2495)</f>
        <v/>
      </c>
      <c r="K2495" s="10"/>
    </row>
    <row r="2496" customFormat="false" ht="15" hidden="false" customHeight="true" outlineLevel="0" collapsed="false">
      <c r="A2496" s="13"/>
      <c r="B2496" s="10"/>
      <c r="C2496" s="10"/>
      <c r="D2496" s="14"/>
      <c r="E2496" s="11"/>
      <c r="F2496" s="15" t="str">
        <f aca="false">IF($B2496="","",IF(AND($D2496="",$E2496=""),"",IF(OR($D2496="",$E2496=""),0,ROUND($D2496*$E2496,0))))</f>
        <v/>
      </c>
      <c r="G2496" s="13"/>
      <c r="H2496" s="11"/>
      <c r="I2496" s="15" t="str">
        <f aca="false">IF($F2496="","",$F2496-IF($H2496="",0,$H2496))</f>
        <v/>
      </c>
      <c r="J2496" s="16" t="str">
        <f aca="true">IF(OR($A2496="",$I2496="",$I2496&lt;=0),"",TODAY()-$A2496)</f>
        <v/>
      </c>
      <c r="K2496" s="10"/>
    </row>
    <row r="2497" customFormat="false" ht="15" hidden="false" customHeight="true" outlineLevel="0" collapsed="false">
      <c r="A2497" s="13"/>
      <c r="B2497" s="10"/>
      <c r="C2497" s="10"/>
      <c r="D2497" s="14"/>
      <c r="E2497" s="11"/>
      <c r="F2497" s="15" t="str">
        <f aca="false">IF($B2497="","",IF(AND($D2497="",$E2497=""),"",IF(OR($D2497="",$E2497=""),0,ROUND($D2497*$E2497,0))))</f>
        <v/>
      </c>
      <c r="G2497" s="13"/>
      <c r="H2497" s="11"/>
      <c r="I2497" s="15" t="str">
        <f aca="false">IF($F2497="","",$F2497-IF($H2497="",0,$H2497))</f>
        <v/>
      </c>
      <c r="J2497" s="16" t="str">
        <f aca="true">IF(OR($A2497="",$I2497="",$I2497&lt;=0),"",TODAY()-$A2497)</f>
        <v/>
      </c>
      <c r="K2497" s="10"/>
    </row>
    <row r="2498" customFormat="false" ht="15" hidden="false" customHeight="true" outlineLevel="0" collapsed="false">
      <c r="A2498" s="13"/>
      <c r="B2498" s="10"/>
      <c r="C2498" s="10"/>
      <c r="D2498" s="14"/>
      <c r="E2498" s="11"/>
      <c r="F2498" s="15" t="str">
        <f aca="false">IF($B2498="","",IF(AND($D2498="",$E2498=""),"",IF(OR($D2498="",$E2498=""),0,ROUND($D2498*$E2498,0))))</f>
        <v/>
      </c>
      <c r="G2498" s="13"/>
      <c r="H2498" s="11"/>
      <c r="I2498" s="15" t="str">
        <f aca="false">IF($F2498="","",$F2498-IF($H2498="",0,$H2498))</f>
        <v/>
      </c>
      <c r="J2498" s="16" t="str">
        <f aca="true">IF(OR($A2498="",$I2498="",$I2498&lt;=0),"",TODAY()-$A2498)</f>
        <v/>
      </c>
      <c r="K2498" s="10"/>
    </row>
    <row r="2499" customFormat="false" ht="15" hidden="false" customHeight="true" outlineLevel="0" collapsed="false">
      <c r="A2499" s="13"/>
      <c r="B2499" s="10"/>
      <c r="C2499" s="10"/>
      <c r="D2499" s="14"/>
      <c r="E2499" s="11"/>
      <c r="F2499" s="15" t="str">
        <f aca="false">IF($B2499="","",IF(AND($D2499="",$E2499=""),"",IF(OR($D2499="",$E2499=""),0,ROUND($D2499*$E2499,0))))</f>
        <v/>
      </c>
      <c r="G2499" s="13"/>
      <c r="H2499" s="11"/>
      <c r="I2499" s="15" t="str">
        <f aca="false">IF($F2499="","",$F2499-IF($H2499="",0,$H2499))</f>
        <v/>
      </c>
      <c r="J2499" s="16" t="str">
        <f aca="true">IF(OR($A2499="",$I2499="",$I2499&lt;=0),"",TODAY()-$A2499)</f>
        <v/>
      </c>
      <c r="K2499" s="10"/>
    </row>
    <row r="2500" customFormat="false" ht="15" hidden="false" customHeight="true" outlineLevel="0" collapsed="false">
      <c r="A2500" s="13"/>
      <c r="B2500" s="10"/>
      <c r="C2500" s="10"/>
      <c r="D2500" s="14"/>
      <c r="E2500" s="11"/>
      <c r="F2500" s="15" t="str">
        <f aca="false">IF($B2500="","",IF(AND($D2500="",$E2500=""),"",IF(OR($D2500="",$E2500=""),0,ROUND($D2500*$E2500,0))))</f>
        <v/>
      </c>
      <c r="G2500" s="13"/>
      <c r="H2500" s="11"/>
      <c r="I2500" s="15" t="str">
        <f aca="false">IF($F2500="","",$F2500-IF($H2500="",0,$H2500))</f>
        <v/>
      </c>
      <c r="J2500" s="16" t="str">
        <f aca="true">IF(OR($A2500="",$I2500="",$I2500&lt;=0),"",TODAY()-$A2500)</f>
        <v/>
      </c>
      <c r="K2500" s="10"/>
    </row>
    <row r="2501" customFormat="false" ht="15" hidden="false" customHeight="true" outlineLevel="0" collapsed="false">
      <c r="A2501" s="13"/>
      <c r="B2501" s="10"/>
      <c r="C2501" s="10"/>
      <c r="D2501" s="14"/>
      <c r="E2501" s="11"/>
      <c r="F2501" s="15" t="str">
        <f aca="false">IF($B2501="","",IF(AND($D2501="",$E2501=""),"",IF(OR($D2501="",$E2501=""),0,ROUND($D2501*$E2501,0))))</f>
        <v/>
      </c>
      <c r="G2501" s="13"/>
      <c r="H2501" s="11"/>
      <c r="I2501" s="15" t="str">
        <f aca="false">IF($F2501="","",$F2501-IF($H2501="",0,$H2501))</f>
        <v/>
      </c>
      <c r="J2501" s="16" t="str">
        <f aca="true">IF(OR($A2501="",$I2501="",$I2501&lt;=0),"",TODAY()-$A2501)</f>
        <v/>
      </c>
      <c r="K2501" s="10"/>
    </row>
    <row r="2502" customFormat="false" ht="15" hidden="false" customHeight="true" outlineLevel="0" collapsed="false">
      <c r="A2502" s="13"/>
      <c r="B2502" s="10"/>
      <c r="C2502" s="10"/>
      <c r="D2502" s="14"/>
      <c r="E2502" s="11"/>
      <c r="F2502" s="15" t="str">
        <f aca="false">IF($B2502="","",IF(AND($D2502="",$E2502=""),"",IF(OR($D2502="",$E2502=""),0,ROUND($D2502*$E2502,0))))</f>
        <v/>
      </c>
      <c r="G2502" s="13"/>
      <c r="H2502" s="11"/>
      <c r="I2502" s="15" t="str">
        <f aca="false">IF($F2502="","",$F2502-IF($H2502="",0,$H2502))</f>
        <v/>
      </c>
      <c r="J2502" s="16" t="str">
        <f aca="true">IF(OR($A2502="",$I2502="",$I2502&lt;=0),"",TODAY()-$A2502)</f>
        <v/>
      </c>
      <c r="K2502" s="10"/>
    </row>
    <row r="2503" customFormat="false" ht="15" hidden="false" customHeight="true" outlineLevel="0" collapsed="false">
      <c r="A2503" s="13"/>
      <c r="B2503" s="10"/>
      <c r="C2503" s="10"/>
      <c r="D2503" s="14"/>
      <c r="E2503" s="11"/>
      <c r="F2503" s="15" t="str">
        <f aca="false">IF($B2503="","",IF(AND($D2503="",$E2503=""),"",IF(OR($D2503="",$E2503=""),0,ROUND($D2503*$E2503,0))))</f>
        <v/>
      </c>
      <c r="G2503" s="13"/>
      <c r="H2503" s="11"/>
      <c r="I2503" s="15" t="str">
        <f aca="false">IF($F2503="","",$F2503-IF($H2503="",0,$H2503))</f>
        <v/>
      </c>
      <c r="J2503" s="16" t="str">
        <f aca="true">IF(OR($A2503="",$I2503="",$I2503&lt;=0),"",TODAY()-$A2503)</f>
        <v/>
      </c>
      <c r="K2503" s="10"/>
    </row>
    <row r="2504" customFormat="false" ht="15" hidden="false" customHeight="true" outlineLevel="0" collapsed="false">
      <c r="A2504" s="13"/>
      <c r="B2504" s="10"/>
      <c r="C2504" s="10"/>
      <c r="D2504" s="14"/>
      <c r="E2504" s="11"/>
      <c r="F2504" s="15" t="str">
        <f aca="false">IF($B2504="","",IF(AND($D2504="",$E2504=""),"",IF(OR($D2504="",$E2504=""),0,ROUND($D2504*$E2504,0))))</f>
        <v/>
      </c>
      <c r="G2504" s="13"/>
      <c r="H2504" s="11"/>
      <c r="I2504" s="15" t="str">
        <f aca="false">IF($F2504="","",$F2504-IF($H2504="",0,$H2504))</f>
        <v/>
      </c>
      <c r="J2504" s="16" t="str">
        <f aca="true">IF(OR($A2504="",$I2504="",$I2504&lt;=0),"",TODAY()-$A2504)</f>
        <v/>
      </c>
      <c r="K2504" s="10"/>
    </row>
    <row r="2505" customFormat="false" ht="15" hidden="false" customHeight="true" outlineLevel="0" collapsed="false">
      <c r="A2505" s="13"/>
      <c r="B2505" s="10"/>
      <c r="C2505" s="10"/>
      <c r="D2505" s="14"/>
      <c r="E2505" s="11"/>
      <c r="F2505" s="15" t="str">
        <f aca="false">IF($B2505="","",IF(AND($D2505="",$E2505=""),"",IF(OR($D2505="",$E2505=""),0,ROUND($D2505*$E2505,0))))</f>
        <v/>
      </c>
      <c r="G2505" s="13"/>
      <c r="H2505" s="11"/>
      <c r="I2505" s="15" t="str">
        <f aca="false">IF($F2505="","",$F2505-IF($H2505="",0,$H2505))</f>
        <v/>
      </c>
      <c r="J2505" s="16" t="str">
        <f aca="true">IF(OR($A2505="",$I2505="",$I2505&lt;=0),"",TODAY()-$A2505)</f>
        <v/>
      </c>
      <c r="K2505" s="10"/>
    </row>
    <row r="2506" customFormat="false" ht="15" hidden="false" customHeight="true" outlineLevel="0" collapsed="false">
      <c r="A2506" s="13"/>
      <c r="B2506" s="10"/>
      <c r="C2506" s="10"/>
      <c r="D2506" s="14"/>
      <c r="E2506" s="11"/>
      <c r="F2506" s="15" t="str">
        <f aca="false">IF($B2506="","",IF(AND($D2506="",$E2506=""),"",IF(OR($D2506="",$E2506=""),0,ROUND($D2506*$E2506,0))))</f>
        <v/>
      </c>
      <c r="G2506" s="13"/>
      <c r="H2506" s="11"/>
      <c r="I2506" s="15" t="str">
        <f aca="false">IF($F2506="","",$F2506-IF($H2506="",0,$H2506))</f>
        <v/>
      </c>
      <c r="J2506" s="16" t="str">
        <f aca="true">IF(OR($A2506="",$I2506="",$I2506&lt;=0),"",TODAY()-$A2506)</f>
        <v/>
      </c>
      <c r="K2506" s="10"/>
    </row>
    <row r="2507" customFormat="false" ht="15" hidden="false" customHeight="true" outlineLevel="0" collapsed="false">
      <c r="A2507" s="13"/>
      <c r="B2507" s="10"/>
      <c r="C2507" s="10"/>
      <c r="D2507" s="14"/>
      <c r="E2507" s="11"/>
      <c r="F2507" s="15" t="str">
        <f aca="false">IF($B2507="","",IF(AND($D2507="",$E2507=""),"",IF(OR($D2507="",$E2507=""),0,ROUND($D2507*$E2507,0))))</f>
        <v/>
      </c>
      <c r="G2507" s="13"/>
      <c r="H2507" s="11"/>
      <c r="I2507" s="15" t="str">
        <f aca="false">IF($F2507="","",$F2507-IF($H2507="",0,$H2507))</f>
        <v/>
      </c>
      <c r="J2507" s="16" t="str">
        <f aca="true">IF(OR($A2507="",$I2507="",$I2507&lt;=0),"",TODAY()-$A2507)</f>
        <v/>
      </c>
      <c r="K2507" s="10"/>
    </row>
    <row r="2508" customFormat="false" ht="15" hidden="false" customHeight="true" outlineLevel="0" collapsed="false">
      <c r="A2508" s="13"/>
      <c r="B2508" s="10"/>
      <c r="C2508" s="10"/>
      <c r="D2508" s="14"/>
      <c r="E2508" s="11"/>
      <c r="F2508" s="15" t="str">
        <f aca="false">IF($B2508="","",IF(AND($D2508="",$E2508=""),"",IF(OR($D2508="",$E2508=""),0,ROUND($D2508*$E2508,0))))</f>
        <v/>
      </c>
      <c r="G2508" s="13"/>
      <c r="H2508" s="11"/>
      <c r="I2508" s="15" t="str">
        <f aca="false">IF($F2508="","",$F2508-IF($H2508="",0,$H2508))</f>
        <v/>
      </c>
      <c r="J2508" s="16" t="str">
        <f aca="true">IF(OR($A2508="",$I2508="",$I2508&lt;=0),"",TODAY()-$A2508)</f>
        <v/>
      </c>
      <c r="K2508" s="10"/>
    </row>
    <row r="2509" customFormat="false" ht="15" hidden="false" customHeight="true" outlineLevel="0" collapsed="false">
      <c r="A2509" s="13"/>
      <c r="B2509" s="10"/>
      <c r="C2509" s="10"/>
      <c r="D2509" s="14"/>
      <c r="E2509" s="11"/>
      <c r="F2509" s="15" t="str">
        <f aca="false">IF($B2509="","",IF(AND($D2509="",$E2509=""),"",IF(OR($D2509="",$E2509=""),0,ROUND($D2509*$E2509,0))))</f>
        <v/>
      </c>
      <c r="G2509" s="13"/>
      <c r="H2509" s="11"/>
      <c r="I2509" s="15" t="str">
        <f aca="false">IF($F2509="","",$F2509-IF($H2509="",0,$H2509))</f>
        <v/>
      </c>
      <c r="J2509" s="16" t="str">
        <f aca="true">IF(OR($A2509="",$I2509="",$I2509&lt;=0),"",TODAY()-$A2509)</f>
        <v/>
      </c>
      <c r="K2509" s="10"/>
    </row>
    <row r="2510" customFormat="false" ht="15" hidden="false" customHeight="true" outlineLevel="0" collapsed="false">
      <c r="A2510" s="13"/>
      <c r="B2510" s="10"/>
      <c r="C2510" s="10"/>
      <c r="D2510" s="14"/>
      <c r="E2510" s="11"/>
      <c r="F2510" s="15" t="str">
        <f aca="false">IF($B2510="","",IF(AND($D2510="",$E2510=""),"",IF(OR($D2510="",$E2510=""),0,ROUND($D2510*$E2510,0))))</f>
        <v/>
      </c>
      <c r="G2510" s="13"/>
      <c r="H2510" s="11"/>
      <c r="I2510" s="15" t="str">
        <f aca="false">IF($F2510="","",$F2510-IF($H2510="",0,$H2510))</f>
        <v/>
      </c>
      <c r="J2510" s="16" t="str">
        <f aca="true">IF(OR($A2510="",$I2510="",$I2510&lt;=0),"",TODAY()-$A2510)</f>
        <v/>
      </c>
      <c r="K2510" s="10"/>
    </row>
    <row r="2511" customFormat="false" ht="15" hidden="false" customHeight="true" outlineLevel="0" collapsed="false">
      <c r="A2511" s="13"/>
      <c r="B2511" s="10"/>
      <c r="C2511" s="10"/>
      <c r="D2511" s="14"/>
      <c r="E2511" s="11"/>
      <c r="F2511" s="15" t="str">
        <f aca="false">IF($B2511="","",IF(AND($D2511="",$E2511=""),"",IF(OR($D2511="",$E2511=""),0,ROUND($D2511*$E2511,0))))</f>
        <v/>
      </c>
      <c r="G2511" s="13"/>
      <c r="H2511" s="11"/>
      <c r="I2511" s="15" t="str">
        <f aca="false">IF($F2511="","",$F2511-IF($H2511="",0,$H2511))</f>
        <v/>
      </c>
      <c r="J2511" s="16" t="str">
        <f aca="true">IF(OR($A2511="",$I2511="",$I2511&lt;=0),"",TODAY()-$A2511)</f>
        <v/>
      </c>
      <c r="K2511" s="10"/>
    </row>
    <row r="2512" customFormat="false" ht="15" hidden="false" customHeight="true" outlineLevel="0" collapsed="false">
      <c r="A2512" s="13"/>
      <c r="B2512" s="10"/>
      <c r="C2512" s="10"/>
      <c r="D2512" s="14"/>
      <c r="E2512" s="11"/>
      <c r="F2512" s="15" t="str">
        <f aca="false">IF($B2512="","",IF(AND($D2512="",$E2512=""),"",IF(OR($D2512="",$E2512=""),0,ROUND($D2512*$E2512,0))))</f>
        <v/>
      </c>
      <c r="G2512" s="13"/>
      <c r="H2512" s="11"/>
      <c r="I2512" s="15" t="str">
        <f aca="false">IF($F2512="","",$F2512-IF($H2512="",0,$H2512))</f>
        <v/>
      </c>
      <c r="J2512" s="16" t="str">
        <f aca="true">IF(OR($A2512="",$I2512="",$I2512&lt;=0),"",TODAY()-$A2512)</f>
        <v/>
      </c>
      <c r="K2512" s="10"/>
    </row>
    <row r="2513" customFormat="false" ht="15" hidden="false" customHeight="true" outlineLevel="0" collapsed="false">
      <c r="A2513" s="13"/>
      <c r="B2513" s="10"/>
      <c r="C2513" s="10"/>
      <c r="D2513" s="14"/>
      <c r="E2513" s="11"/>
      <c r="F2513" s="15" t="str">
        <f aca="false">IF($B2513="","",IF(AND($D2513="",$E2513=""),"",IF(OR($D2513="",$E2513=""),0,ROUND($D2513*$E2513,0))))</f>
        <v/>
      </c>
      <c r="G2513" s="13"/>
      <c r="H2513" s="11"/>
      <c r="I2513" s="15" t="str">
        <f aca="false">IF($F2513="","",$F2513-IF($H2513="",0,$H2513))</f>
        <v/>
      </c>
      <c r="J2513" s="16" t="str">
        <f aca="true">IF(OR($A2513="",$I2513="",$I2513&lt;=0),"",TODAY()-$A2513)</f>
        <v/>
      </c>
      <c r="K2513" s="10"/>
    </row>
    <row r="2514" customFormat="false" ht="15" hidden="false" customHeight="true" outlineLevel="0" collapsed="false">
      <c r="A2514" s="13"/>
      <c r="B2514" s="10"/>
      <c r="C2514" s="10"/>
      <c r="D2514" s="14"/>
      <c r="E2514" s="11"/>
      <c r="F2514" s="15" t="str">
        <f aca="false">IF($B2514="","",IF(AND($D2514="",$E2514=""),"",IF(OR($D2514="",$E2514=""),0,ROUND($D2514*$E2514,0))))</f>
        <v/>
      </c>
      <c r="G2514" s="13"/>
      <c r="H2514" s="11"/>
      <c r="I2514" s="15" t="str">
        <f aca="false">IF($F2514="","",$F2514-IF($H2514="",0,$H2514))</f>
        <v/>
      </c>
      <c r="J2514" s="16" t="str">
        <f aca="true">IF(OR($A2514="",$I2514="",$I2514&lt;=0),"",TODAY()-$A2514)</f>
        <v/>
      </c>
      <c r="K2514" s="10"/>
    </row>
    <row r="2515" customFormat="false" ht="15" hidden="false" customHeight="true" outlineLevel="0" collapsed="false">
      <c r="A2515" s="13"/>
      <c r="B2515" s="10"/>
      <c r="C2515" s="10"/>
      <c r="D2515" s="14"/>
      <c r="E2515" s="11"/>
      <c r="F2515" s="15" t="str">
        <f aca="false">IF($B2515="","",IF(AND($D2515="",$E2515=""),"",IF(OR($D2515="",$E2515=""),0,ROUND($D2515*$E2515,0))))</f>
        <v/>
      </c>
      <c r="G2515" s="13"/>
      <c r="H2515" s="11"/>
      <c r="I2515" s="15" t="str">
        <f aca="false">IF($F2515="","",$F2515-IF($H2515="",0,$H2515))</f>
        <v/>
      </c>
      <c r="J2515" s="16" t="str">
        <f aca="true">IF(OR($A2515="",$I2515="",$I2515&lt;=0),"",TODAY()-$A2515)</f>
        <v/>
      </c>
      <c r="K2515" s="10"/>
    </row>
    <row r="2516" customFormat="false" ht="15" hidden="false" customHeight="true" outlineLevel="0" collapsed="false">
      <c r="A2516" s="13"/>
      <c r="B2516" s="10"/>
      <c r="C2516" s="10"/>
      <c r="D2516" s="14"/>
      <c r="E2516" s="11"/>
      <c r="F2516" s="15" t="str">
        <f aca="false">IF($B2516="","",IF(AND($D2516="",$E2516=""),"",IF(OR($D2516="",$E2516=""),0,ROUND($D2516*$E2516,0))))</f>
        <v/>
      </c>
      <c r="G2516" s="13"/>
      <c r="H2516" s="11"/>
      <c r="I2516" s="15" t="str">
        <f aca="false">IF($F2516="","",$F2516-IF($H2516="",0,$H2516))</f>
        <v/>
      </c>
      <c r="J2516" s="16" t="str">
        <f aca="true">IF(OR($A2516="",$I2516="",$I2516&lt;=0),"",TODAY()-$A2516)</f>
        <v/>
      </c>
      <c r="K2516" s="10"/>
    </row>
    <row r="2517" customFormat="false" ht="15" hidden="false" customHeight="true" outlineLevel="0" collapsed="false">
      <c r="A2517" s="13"/>
      <c r="B2517" s="10"/>
      <c r="C2517" s="10"/>
      <c r="D2517" s="14"/>
      <c r="E2517" s="11"/>
      <c r="F2517" s="15" t="str">
        <f aca="false">IF($B2517="","",IF(AND($D2517="",$E2517=""),"",IF(OR($D2517="",$E2517=""),0,ROUND($D2517*$E2517,0))))</f>
        <v/>
      </c>
      <c r="G2517" s="13"/>
      <c r="H2517" s="11"/>
      <c r="I2517" s="15" t="str">
        <f aca="false">IF($F2517="","",$F2517-IF($H2517="",0,$H2517))</f>
        <v/>
      </c>
      <c r="J2517" s="16" t="str">
        <f aca="true">IF(OR($A2517="",$I2517="",$I2517&lt;=0),"",TODAY()-$A2517)</f>
        <v/>
      </c>
      <c r="K2517" s="10"/>
    </row>
    <row r="2518" customFormat="false" ht="15" hidden="false" customHeight="true" outlineLevel="0" collapsed="false">
      <c r="A2518" s="13"/>
      <c r="B2518" s="10"/>
      <c r="C2518" s="10"/>
      <c r="D2518" s="14"/>
      <c r="E2518" s="11"/>
      <c r="F2518" s="15" t="str">
        <f aca="false">IF($B2518="","",IF(AND($D2518="",$E2518=""),"",IF(OR($D2518="",$E2518=""),0,ROUND($D2518*$E2518,0))))</f>
        <v/>
      </c>
      <c r="G2518" s="13"/>
      <c r="H2518" s="11"/>
      <c r="I2518" s="15" t="str">
        <f aca="false">IF($F2518="","",$F2518-IF($H2518="",0,$H2518))</f>
        <v/>
      </c>
      <c r="J2518" s="16" t="str">
        <f aca="true">IF(OR($A2518="",$I2518="",$I2518&lt;=0),"",TODAY()-$A2518)</f>
        <v/>
      </c>
      <c r="K2518" s="10"/>
    </row>
    <row r="2519" customFormat="false" ht="15" hidden="false" customHeight="true" outlineLevel="0" collapsed="false">
      <c r="A2519" s="13"/>
      <c r="B2519" s="10"/>
      <c r="C2519" s="10"/>
      <c r="D2519" s="14"/>
      <c r="E2519" s="11"/>
      <c r="F2519" s="15" t="str">
        <f aca="false">IF($B2519="","",IF(AND($D2519="",$E2519=""),"",IF(OR($D2519="",$E2519=""),0,ROUND($D2519*$E2519,0))))</f>
        <v/>
      </c>
      <c r="G2519" s="13"/>
      <c r="H2519" s="11"/>
      <c r="I2519" s="15" t="str">
        <f aca="false">IF($F2519="","",$F2519-IF($H2519="",0,$H2519))</f>
        <v/>
      </c>
      <c r="J2519" s="16" t="str">
        <f aca="true">IF(OR($A2519="",$I2519="",$I2519&lt;=0),"",TODAY()-$A2519)</f>
        <v/>
      </c>
      <c r="K2519" s="10"/>
    </row>
    <row r="2520" customFormat="false" ht="15" hidden="false" customHeight="true" outlineLevel="0" collapsed="false">
      <c r="A2520" s="13"/>
      <c r="B2520" s="10"/>
      <c r="C2520" s="10"/>
      <c r="D2520" s="14"/>
      <c r="E2520" s="11"/>
      <c r="F2520" s="15" t="str">
        <f aca="false">IF($B2520="","",IF(AND($D2520="",$E2520=""),"",IF(OR($D2520="",$E2520=""),0,ROUND($D2520*$E2520,0))))</f>
        <v/>
      </c>
      <c r="G2520" s="13"/>
      <c r="H2520" s="11"/>
      <c r="I2520" s="15" t="str">
        <f aca="false">IF($F2520="","",$F2520-IF($H2520="",0,$H2520))</f>
        <v/>
      </c>
      <c r="J2520" s="16" t="str">
        <f aca="true">IF(OR($A2520="",$I2520="",$I2520&lt;=0),"",TODAY()-$A2520)</f>
        <v/>
      </c>
      <c r="K2520" s="10"/>
    </row>
    <row r="2521" customFormat="false" ht="15" hidden="false" customHeight="true" outlineLevel="0" collapsed="false">
      <c r="A2521" s="13"/>
      <c r="B2521" s="10"/>
      <c r="C2521" s="10"/>
      <c r="D2521" s="14"/>
      <c r="E2521" s="11"/>
      <c r="F2521" s="15" t="str">
        <f aca="false">IF($B2521="","",IF(AND($D2521="",$E2521=""),"",IF(OR($D2521="",$E2521=""),0,ROUND($D2521*$E2521,0))))</f>
        <v/>
      </c>
      <c r="G2521" s="13"/>
      <c r="H2521" s="11"/>
      <c r="I2521" s="15" t="str">
        <f aca="false">IF($F2521="","",$F2521-IF($H2521="",0,$H2521))</f>
        <v/>
      </c>
      <c r="J2521" s="16" t="str">
        <f aca="true">IF(OR($A2521="",$I2521="",$I2521&lt;=0),"",TODAY()-$A2521)</f>
        <v/>
      </c>
      <c r="K2521" s="10"/>
    </row>
    <row r="2522" customFormat="false" ht="15" hidden="false" customHeight="true" outlineLevel="0" collapsed="false">
      <c r="A2522" s="13"/>
      <c r="B2522" s="10"/>
      <c r="C2522" s="10"/>
      <c r="D2522" s="14"/>
      <c r="E2522" s="11"/>
      <c r="F2522" s="15" t="str">
        <f aca="false">IF($B2522="","",IF(AND($D2522="",$E2522=""),"",IF(OR($D2522="",$E2522=""),0,ROUND($D2522*$E2522,0))))</f>
        <v/>
      </c>
      <c r="G2522" s="13"/>
      <c r="H2522" s="11"/>
      <c r="I2522" s="15" t="str">
        <f aca="false">IF($F2522="","",$F2522-IF($H2522="",0,$H2522))</f>
        <v/>
      </c>
      <c r="J2522" s="16" t="str">
        <f aca="true">IF(OR($A2522="",$I2522="",$I2522&lt;=0),"",TODAY()-$A2522)</f>
        <v/>
      </c>
      <c r="K2522" s="10"/>
    </row>
    <row r="2523" customFormat="false" ht="15" hidden="false" customHeight="true" outlineLevel="0" collapsed="false">
      <c r="A2523" s="13"/>
      <c r="B2523" s="10"/>
      <c r="C2523" s="10"/>
      <c r="D2523" s="14"/>
      <c r="E2523" s="11"/>
      <c r="F2523" s="15" t="str">
        <f aca="false">IF($B2523="","",IF(AND($D2523="",$E2523=""),"",IF(OR($D2523="",$E2523=""),0,ROUND($D2523*$E2523,0))))</f>
        <v/>
      </c>
      <c r="G2523" s="13"/>
      <c r="H2523" s="11"/>
      <c r="I2523" s="15" t="str">
        <f aca="false">IF($F2523="","",$F2523-IF($H2523="",0,$H2523))</f>
        <v/>
      </c>
      <c r="J2523" s="16" t="str">
        <f aca="true">IF(OR($A2523="",$I2523="",$I2523&lt;=0),"",TODAY()-$A2523)</f>
        <v/>
      </c>
      <c r="K2523" s="10"/>
    </row>
    <row r="2524" customFormat="false" ht="15" hidden="false" customHeight="true" outlineLevel="0" collapsed="false">
      <c r="A2524" s="13"/>
      <c r="B2524" s="10"/>
      <c r="C2524" s="10"/>
      <c r="D2524" s="14"/>
      <c r="E2524" s="11"/>
      <c r="F2524" s="15" t="str">
        <f aca="false">IF($B2524="","",IF(AND($D2524="",$E2524=""),"",IF(OR($D2524="",$E2524=""),0,ROUND($D2524*$E2524,0))))</f>
        <v/>
      </c>
      <c r="G2524" s="13"/>
      <c r="H2524" s="11"/>
      <c r="I2524" s="15" t="str">
        <f aca="false">IF($F2524="","",$F2524-IF($H2524="",0,$H2524))</f>
        <v/>
      </c>
      <c r="J2524" s="16" t="str">
        <f aca="true">IF(OR($A2524="",$I2524="",$I2524&lt;=0),"",TODAY()-$A2524)</f>
        <v/>
      </c>
      <c r="K2524" s="10"/>
    </row>
    <row r="2525" customFormat="false" ht="15" hidden="false" customHeight="true" outlineLevel="0" collapsed="false">
      <c r="A2525" s="13"/>
      <c r="B2525" s="10"/>
      <c r="C2525" s="10"/>
      <c r="D2525" s="14"/>
      <c r="E2525" s="11"/>
      <c r="F2525" s="15" t="str">
        <f aca="false">IF($B2525="","",IF(AND($D2525="",$E2525=""),"",IF(OR($D2525="",$E2525=""),0,ROUND($D2525*$E2525,0))))</f>
        <v/>
      </c>
      <c r="G2525" s="13"/>
      <c r="H2525" s="11"/>
      <c r="I2525" s="15" t="str">
        <f aca="false">IF($F2525="","",$F2525-IF($H2525="",0,$H2525))</f>
        <v/>
      </c>
      <c r="J2525" s="16" t="str">
        <f aca="true">IF(OR($A2525="",$I2525="",$I2525&lt;=0),"",TODAY()-$A2525)</f>
        <v/>
      </c>
      <c r="K2525" s="10"/>
    </row>
    <row r="2526" customFormat="false" ht="15" hidden="false" customHeight="true" outlineLevel="0" collapsed="false">
      <c r="A2526" s="13"/>
      <c r="B2526" s="10"/>
      <c r="C2526" s="10"/>
      <c r="D2526" s="14"/>
      <c r="E2526" s="11"/>
      <c r="F2526" s="15" t="str">
        <f aca="false">IF($B2526="","",IF(AND($D2526="",$E2526=""),"",IF(OR($D2526="",$E2526=""),0,ROUND($D2526*$E2526,0))))</f>
        <v/>
      </c>
      <c r="G2526" s="13"/>
      <c r="H2526" s="11"/>
      <c r="I2526" s="15" t="str">
        <f aca="false">IF($F2526="","",$F2526-IF($H2526="",0,$H2526))</f>
        <v/>
      </c>
      <c r="J2526" s="16" t="str">
        <f aca="true">IF(OR($A2526="",$I2526="",$I2526&lt;=0),"",TODAY()-$A2526)</f>
        <v/>
      </c>
      <c r="K2526" s="10"/>
    </row>
    <row r="2527" customFormat="false" ht="15" hidden="false" customHeight="true" outlineLevel="0" collapsed="false">
      <c r="A2527" s="13"/>
      <c r="B2527" s="10"/>
      <c r="C2527" s="10"/>
      <c r="D2527" s="14"/>
      <c r="E2527" s="11"/>
      <c r="F2527" s="15" t="str">
        <f aca="false">IF($B2527="","",IF(AND($D2527="",$E2527=""),"",IF(OR($D2527="",$E2527=""),0,ROUND($D2527*$E2527,0))))</f>
        <v/>
      </c>
      <c r="G2527" s="13"/>
      <c r="H2527" s="11"/>
      <c r="I2527" s="15" t="str">
        <f aca="false">IF($F2527="","",$F2527-IF($H2527="",0,$H2527))</f>
        <v/>
      </c>
      <c r="J2527" s="16" t="str">
        <f aca="true">IF(OR($A2527="",$I2527="",$I2527&lt;=0),"",TODAY()-$A2527)</f>
        <v/>
      </c>
      <c r="K2527" s="10"/>
    </row>
    <row r="2528" customFormat="false" ht="15" hidden="false" customHeight="true" outlineLevel="0" collapsed="false">
      <c r="A2528" s="13"/>
      <c r="B2528" s="10"/>
      <c r="C2528" s="10"/>
      <c r="D2528" s="14"/>
      <c r="E2528" s="11"/>
      <c r="F2528" s="15" t="str">
        <f aca="false">IF($B2528="","",IF(AND($D2528="",$E2528=""),"",IF(OR($D2528="",$E2528=""),0,ROUND($D2528*$E2528,0))))</f>
        <v/>
      </c>
      <c r="G2528" s="13"/>
      <c r="H2528" s="11"/>
      <c r="I2528" s="15" t="str">
        <f aca="false">IF($F2528="","",$F2528-IF($H2528="",0,$H2528))</f>
        <v/>
      </c>
      <c r="J2528" s="16" t="str">
        <f aca="true">IF(OR($A2528="",$I2528="",$I2528&lt;=0),"",TODAY()-$A2528)</f>
        <v/>
      </c>
      <c r="K2528" s="10"/>
    </row>
    <row r="2529" customFormat="false" ht="15" hidden="false" customHeight="true" outlineLevel="0" collapsed="false">
      <c r="A2529" s="13"/>
      <c r="B2529" s="10"/>
      <c r="C2529" s="10"/>
      <c r="D2529" s="14"/>
      <c r="E2529" s="11"/>
      <c r="F2529" s="15" t="str">
        <f aca="false">IF($B2529="","",IF(AND($D2529="",$E2529=""),"",IF(OR($D2529="",$E2529=""),0,ROUND($D2529*$E2529,0))))</f>
        <v/>
      </c>
      <c r="G2529" s="13"/>
      <c r="H2529" s="11"/>
      <c r="I2529" s="15" t="str">
        <f aca="false">IF($F2529="","",$F2529-IF($H2529="",0,$H2529))</f>
        <v/>
      </c>
      <c r="J2529" s="16" t="str">
        <f aca="true">IF(OR($A2529="",$I2529="",$I2529&lt;=0),"",TODAY()-$A2529)</f>
        <v/>
      </c>
      <c r="K2529" s="10"/>
    </row>
    <row r="2530" customFormat="false" ht="15" hidden="false" customHeight="true" outlineLevel="0" collapsed="false">
      <c r="A2530" s="13"/>
      <c r="B2530" s="10"/>
      <c r="C2530" s="10"/>
      <c r="D2530" s="14"/>
      <c r="E2530" s="11"/>
      <c r="F2530" s="15" t="str">
        <f aca="false">IF($B2530="","",IF(AND($D2530="",$E2530=""),"",IF(OR($D2530="",$E2530=""),0,ROUND($D2530*$E2530,0))))</f>
        <v/>
      </c>
      <c r="G2530" s="13"/>
      <c r="H2530" s="11"/>
      <c r="I2530" s="15" t="str">
        <f aca="false">IF($F2530="","",$F2530-IF($H2530="",0,$H2530))</f>
        <v/>
      </c>
      <c r="J2530" s="16" t="str">
        <f aca="true">IF(OR($A2530="",$I2530="",$I2530&lt;=0),"",TODAY()-$A2530)</f>
        <v/>
      </c>
      <c r="K2530" s="10"/>
    </row>
    <row r="2531" customFormat="false" ht="15" hidden="false" customHeight="true" outlineLevel="0" collapsed="false">
      <c r="A2531" s="13"/>
      <c r="B2531" s="10"/>
      <c r="C2531" s="10"/>
      <c r="D2531" s="14"/>
      <c r="E2531" s="11"/>
      <c r="F2531" s="15" t="str">
        <f aca="false">IF($B2531="","",IF(AND($D2531="",$E2531=""),"",IF(OR($D2531="",$E2531=""),0,ROUND($D2531*$E2531,0))))</f>
        <v/>
      </c>
      <c r="G2531" s="13"/>
      <c r="H2531" s="11"/>
      <c r="I2531" s="15" t="str">
        <f aca="false">IF($F2531="","",$F2531-IF($H2531="",0,$H2531))</f>
        <v/>
      </c>
      <c r="J2531" s="16" t="str">
        <f aca="true">IF(OR($A2531="",$I2531="",$I2531&lt;=0),"",TODAY()-$A2531)</f>
        <v/>
      </c>
      <c r="K2531" s="10"/>
    </row>
    <row r="2532" customFormat="false" ht="15" hidden="false" customHeight="true" outlineLevel="0" collapsed="false">
      <c r="A2532" s="13"/>
      <c r="B2532" s="10"/>
      <c r="C2532" s="10"/>
      <c r="D2532" s="14"/>
      <c r="E2532" s="11"/>
      <c r="F2532" s="15" t="str">
        <f aca="false">IF($B2532="","",IF(AND($D2532="",$E2532=""),"",IF(OR($D2532="",$E2532=""),0,ROUND($D2532*$E2532,0))))</f>
        <v/>
      </c>
      <c r="G2532" s="13"/>
      <c r="H2532" s="11"/>
      <c r="I2532" s="15" t="str">
        <f aca="false">IF($F2532="","",$F2532-IF($H2532="",0,$H2532))</f>
        <v/>
      </c>
      <c r="J2532" s="16" t="str">
        <f aca="true">IF(OR($A2532="",$I2532="",$I2532&lt;=0),"",TODAY()-$A2532)</f>
        <v/>
      </c>
      <c r="K2532" s="10"/>
    </row>
    <row r="2533" customFormat="false" ht="15" hidden="false" customHeight="true" outlineLevel="0" collapsed="false">
      <c r="A2533" s="13"/>
      <c r="B2533" s="10"/>
      <c r="C2533" s="10"/>
      <c r="D2533" s="14"/>
      <c r="E2533" s="11"/>
      <c r="F2533" s="15" t="str">
        <f aca="false">IF($B2533="","",IF(AND($D2533="",$E2533=""),"",IF(OR($D2533="",$E2533=""),0,ROUND($D2533*$E2533,0))))</f>
        <v/>
      </c>
      <c r="G2533" s="13"/>
      <c r="H2533" s="11"/>
      <c r="I2533" s="15" t="str">
        <f aca="false">IF($F2533="","",$F2533-IF($H2533="",0,$H2533))</f>
        <v/>
      </c>
      <c r="J2533" s="16" t="str">
        <f aca="true">IF(OR($A2533="",$I2533="",$I2533&lt;=0),"",TODAY()-$A2533)</f>
        <v/>
      </c>
      <c r="K2533" s="10"/>
    </row>
    <row r="2534" customFormat="false" ht="15" hidden="false" customHeight="true" outlineLevel="0" collapsed="false">
      <c r="A2534" s="13"/>
      <c r="B2534" s="10"/>
      <c r="C2534" s="10"/>
      <c r="D2534" s="14"/>
      <c r="E2534" s="11"/>
      <c r="F2534" s="15" t="str">
        <f aca="false">IF($B2534="","",IF(AND($D2534="",$E2534=""),"",IF(OR($D2534="",$E2534=""),0,ROUND($D2534*$E2534,0))))</f>
        <v/>
      </c>
      <c r="G2534" s="13"/>
      <c r="H2534" s="11"/>
      <c r="I2534" s="15" t="str">
        <f aca="false">IF($F2534="","",$F2534-IF($H2534="",0,$H2534))</f>
        <v/>
      </c>
      <c r="J2534" s="16" t="str">
        <f aca="true">IF(OR($A2534="",$I2534="",$I2534&lt;=0),"",TODAY()-$A2534)</f>
        <v/>
      </c>
      <c r="K2534" s="10"/>
    </row>
    <row r="2535" customFormat="false" ht="15" hidden="false" customHeight="true" outlineLevel="0" collapsed="false">
      <c r="A2535" s="13"/>
      <c r="B2535" s="10"/>
      <c r="C2535" s="10"/>
      <c r="D2535" s="14"/>
      <c r="E2535" s="11"/>
      <c r="F2535" s="15" t="str">
        <f aca="false">IF($B2535="","",IF(AND($D2535="",$E2535=""),"",IF(OR($D2535="",$E2535=""),0,ROUND($D2535*$E2535,0))))</f>
        <v/>
      </c>
      <c r="G2535" s="13"/>
      <c r="H2535" s="11"/>
      <c r="I2535" s="15" t="str">
        <f aca="false">IF($F2535="","",$F2535-IF($H2535="",0,$H2535))</f>
        <v/>
      </c>
      <c r="J2535" s="16" t="str">
        <f aca="true">IF(OR($A2535="",$I2535="",$I2535&lt;=0),"",TODAY()-$A2535)</f>
        <v/>
      </c>
      <c r="K2535" s="10"/>
    </row>
    <row r="2536" customFormat="false" ht="15" hidden="false" customHeight="true" outlineLevel="0" collapsed="false">
      <c r="A2536" s="13"/>
      <c r="B2536" s="10"/>
      <c r="C2536" s="10"/>
      <c r="D2536" s="14"/>
      <c r="E2536" s="11"/>
      <c r="F2536" s="15" t="str">
        <f aca="false">IF($B2536="","",IF(AND($D2536="",$E2536=""),"",IF(OR($D2536="",$E2536=""),0,ROUND($D2536*$E2536,0))))</f>
        <v/>
      </c>
      <c r="G2536" s="13"/>
      <c r="H2536" s="11"/>
      <c r="I2536" s="15" t="str">
        <f aca="false">IF($F2536="","",$F2536-IF($H2536="",0,$H2536))</f>
        <v/>
      </c>
      <c r="J2536" s="16" t="str">
        <f aca="true">IF(OR($A2536="",$I2536="",$I2536&lt;=0),"",TODAY()-$A2536)</f>
        <v/>
      </c>
      <c r="K2536" s="10"/>
    </row>
    <row r="2537" customFormat="false" ht="15" hidden="false" customHeight="true" outlineLevel="0" collapsed="false">
      <c r="A2537" s="13"/>
      <c r="B2537" s="10"/>
      <c r="C2537" s="10"/>
      <c r="D2537" s="14"/>
      <c r="E2537" s="11"/>
      <c r="F2537" s="15" t="str">
        <f aca="false">IF($B2537="","",IF(AND($D2537="",$E2537=""),"",IF(OR($D2537="",$E2537=""),0,ROUND($D2537*$E2537,0))))</f>
        <v/>
      </c>
      <c r="G2537" s="13"/>
      <c r="H2537" s="11"/>
      <c r="I2537" s="15" t="str">
        <f aca="false">IF($F2537="","",$F2537-IF($H2537="",0,$H2537))</f>
        <v/>
      </c>
      <c r="J2537" s="16" t="str">
        <f aca="true">IF(OR($A2537="",$I2537="",$I2537&lt;=0),"",TODAY()-$A2537)</f>
        <v/>
      </c>
      <c r="K2537" s="10"/>
    </row>
    <row r="2538" customFormat="false" ht="15" hidden="false" customHeight="true" outlineLevel="0" collapsed="false">
      <c r="A2538" s="13"/>
      <c r="B2538" s="10"/>
      <c r="C2538" s="10"/>
      <c r="D2538" s="14"/>
      <c r="E2538" s="11"/>
      <c r="F2538" s="15" t="str">
        <f aca="false">IF($B2538="","",IF(AND($D2538="",$E2538=""),"",IF(OR($D2538="",$E2538=""),0,ROUND($D2538*$E2538,0))))</f>
        <v/>
      </c>
      <c r="G2538" s="13"/>
      <c r="H2538" s="11"/>
      <c r="I2538" s="15" t="str">
        <f aca="false">IF($F2538="","",$F2538-IF($H2538="",0,$H2538))</f>
        <v/>
      </c>
      <c r="J2538" s="16" t="str">
        <f aca="true">IF(OR($A2538="",$I2538="",$I2538&lt;=0),"",TODAY()-$A2538)</f>
        <v/>
      </c>
      <c r="K2538" s="10"/>
    </row>
    <row r="2539" customFormat="false" ht="15" hidden="false" customHeight="true" outlineLevel="0" collapsed="false">
      <c r="A2539" s="13"/>
      <c r="B2539" s="10"/>
      <c r="C2539" s="10"/>
      <c r="D2539" s="14"/>
      <c r="E2539" s="11"/>
      <c r="F2539" s="15" t="str">
        <f aca="false">IF($B2539="","",IF(AND($D2539="",$E2539=""),"",IF(OR($D2539="",$E2539=""),0,ROUND($D2539*$E2539,0))))</f>
        <v/>
      </c>
      <c r="G2539" s="13"/>
      <c r="H2539" s="11"/>
      <c r="I2539" s="15" t="str">
        <f aca="false">IF($F2539="","",$F2539-IF($H2539="",0,$H2539))</f>
        <v/>
      </c>
      <c r="J2539" s="16" t="str">
        <f aca="true">IF(OR($A2539="",$I2539="",$I2539&lt;=0),"",TODAY()-$A2539)</f>
        <v/>
      </c>
      <c r="K2539" s="10"/>
    </row>
    <row r="2540" customFormat="false" ht="15" hidden="false" customHeight="true" outlineLevel="0" collapsed="false">
      <c r="A2540" s="13"/>
      <c r="B2540" s="10"/>
      <c r="C2540" s="10"/>
      <c r="D2540" s="14"/>
      <c r="E2540" s="11"/>
      <c r="F2540" s="15" t="str">
        <f aca="false">IF($B2540="","",IF(AND($D2540="",$E2540=""),"",IF(OR($D2540="",$E2540=""),0,ROUND($D2540*$E2540,0))))</f>
        <v/>
      </c>
      <c r="G2540" s="13"/>
      <c r="H2540" s="11"/>
      <c r="I2540" s="15" t="str">
        <f aca="false">IF($F2540="","",$F2540-IF($H2540="",0,$H2540))</f>
        <v/>
      </c>
      <c r="J2540" s="16" t="str">
        <f aca="true">IF(OR($A2540="",$I2540="",$I2540&lt;=0),"",TODAY()-$A2540)</f>
        <v/>
      </c>
      <c r="K2540" s="10"/>
    </row>
    <row r="2541" customFormat="false" ht="15" hidden="false" customHeight="true" outlineLevel="0" collapsed="false">
      <c r="A2541" s="13"/>
      <c r="B2541" s="10"/>
      <c r="C2541" s="10"/>
      <c r="D2541" s="14"/>
      <c r="E2541" s="11"/>
      <c r="F2541" s="15" t="str">
        <f aca="false">IF($B2541="","",IF(AND($D2541="",$E2541=""),"",IF(OR($D2541="",$E2541=""),0,ROUND($D2541*$E2541,0))))</f>
        <v/>
      </c>
      <c r="G2541" s="13"/>
      <c r="H2541" s="11"/>
      <c r="I2541" s="15" t="str">
        <f aca="false">IF($F2541="","",$F2541-IF($H2541="",0,$H2541))</f>
        <v/>
      </c>
      <c r="J2541" s="16" t="str">
        <f aca="true">IF(OR($A2541="",$I2541="",$I2541&lt;=0),"",TODAY()-$A2541)</f>
        <v/>
      </c>
      <c r="K2541" s="10"/>
    </row>
    <row r="2542" customFormat="false" ht="15" hidden="false" customHeight="true" outlineLevel="0" collapsed="false">
      <c r="A2542" s="13"/>
      <c r="B2542" s="10"/>
      <c r="C2542" s="10"/>
      <c r="D2542" s="14"/>
      <c r="E2542" s="11"/>
      <c r="F2542" s="15" t="str">
        <f aca="false">IF($B2542="","",IF(AND($D2542="",$E2542=""),"",IF(OR($D2542="",$E2542=""),0,ROUND($D2542*$E2542,0))))</f>
        <v/>
      </c>
      <c r="G2542" s="13"/>
      <c r="H2542" s="11"/>
      <c r="I2542" s="15" t="str">
        <f aca="false">IF($F2542="","",$F2542-IF($H2542="",0,$H2542))</f>
        <v/>
      </c>
      <c r="J2542" s="16" t="str">
        <f aca="true">IF(OR($A2542="",$I2542="",$I2542&lt;=0),"",TODAY()-$A2542)</f>
        <v/>
      </c>
      <c r="K2542" s="10"/>
    </row>
    <row r="2543" customFormat="false" ht="15" hidden="false" customHeight="true" outlineLevel="0" collapsed="false">
      <c r="A2543" s="13"/>
      <c r="B2543" s="10"/>
      <c r="C2543" s="10"/>
      <c r="D2543" s="14"/>
      <c r="E2543" s="11"/>
      <c r="F2543" s="15" t="str">
        <f aca="false">IF($B2543="","",IF(AND($D2543="",$E2543=""),"",IF(OR($D2543="",$E2543=""),0,ROUND($D2543*$E2543,0))))</f>
        <v/>
      </c>
      <c r="G2543" s="13"/>
      <c r="H2543" s="11"/>
      <c r="I2543" s="15" t="str">
        <f aca="false">IF($F2543="","",$F2543-IF($H2543="",0,$H2543))</f>
        <v/>
      </c>
      <c r="J2543" s="16" t="str">
        <f aca="true">IF(OR($A2543="",$I2543="",$I2543&lt;=0),"",TODAY()-$A2543)</f>
        <v/>
      </c>
      <c r="K2543" s="10"/>
    </row>
    <row r="2544" customFormat="false" ht="15" hidden="false" customHeight="true" outlineLevel="0" collapsed="false">
      <c r="A2544" s="13"/>
      <c r="B2544" s="10"/>
      <c r="C2544" s="10"/>
      <c r="D2544" s="14"/>
      <c r="E2544" s="11"/>
      <c r="F2544" s="15" t="str">
        <f aca="false">IF($B2544="","",IF(AND($D2544="",$E2544=""),"",IF(OR($D2544="",$E2544=""),0,ROUND($D2544*$E2544,0))))</f>
        <v/>
      </c>
      <c r="G2544" s="13"/>
      <c r="H2544" s="11"/>
      <c r="I2544" s="15" t="str">
        <f aca="false">IF($F2544="","",$F2544-IF($H2544="",0,$H2544))</f>
        <v/>
      </c>
      <c r="J2544" s="16" t="str">
        <f aca="true">IF(OR($A2544="",$I2544="",$I2544&lt;=0),"",TODAY()-$A2544)</f>
        <v/>
      </c>
      <c r="K2544" s="10"/>
    </row>
    <row r="2545" customFormat="false" ht="15" hidden="false" customHeight="true" outlineLevel="0" collapsed="false">
      <c r="A2545" s="13"/>
      <c r="B2545" s="10"/>
      <c r="C2545" s="10"/>
      <c r="D2545" s="14"/>
      <c r="E2545" s="11"/>
      <c r="F2545" s="15" t="str">
        <f aca="false">IF($B2545="","",IF(AND($D2545="",$E2545=""),"",IF(OR($D2545="",$E2545=""),0,ROUND($D2545*$E2545,0))))</f>
        <v/>
      </c>
      <c r="G2545" s="13"/>
      <c r="H2545" s="11"/>
      <c r="I2545" s="15" t="str">
        <f aca="false">IF($F2545="","",$F2545-IF($H2545="",0,$H2545))</f>
        <v/>
      </c>
      <c r="J2545" s="16" t="str">
        <f aca="true">IF(OR($A2545="",$I2545="",$I2545&lt;=0),"",TODAY()-$A2545)</f>
        <v/>
      </c>
      <c r="K2545" s="10"/>
    </row>
    <row r="2546" customFormat="false" ht="15" hidden="false" customHeight="true" outlineLevel="0" collapsed="false">
      <c r="A2546" s="13"/>
      <c r="B2546" s="10"/>
      <c r="C2546" s="10"/>
      <c r="D2546" s="14"/>
      <c r="E2546" s="11"/>
      <c r="F2546" s="15" t="str">
        <f aca="false">IF($B2546="","",IF(AND($D2546="",$E2546=""),"",IF(OR($D2546="",$E2546=""),0,ROUND($D2546*$E2546,0))))</f>
        <v/>
      </c>
      <c r="G2546" s="13"/>
      <c r="H2546" s="11"/>
      <c r="I2546" s="15" t="str">
        <f aca="false">IF($F2546="","",$F2546-IF($H2546="",0,$H2546))</f>
        <v/>
      </c>
      <c r="J2546" s="16" t="str">
        <f aca="true">IF(OR($A2546="",$I2546="",$I2546&lt;=0),"",TODAY()-$A2546)</f>
        <v/>
      </c>
      <c r="K2546" s="10"/>
    </row>
    <row r="2547" customFormat="false" ht="15" hidden="false" customHeight="true" outlineLevel="0" collapsed="false">
      <c r="A2547" s="13"/>
      <c r="B2547" s="10"/>
      <c r="C2547" s="10"/>
      <c r="D2547" s="14"/>
      <c r="E2547" s="11"/>
      <c r="F2547" s="15" t="str">
        <f aca="false">IF($B2547="","",IF(AND($D2547="",$E2547=""),"",IF(OR($D2547="",$E2547=""),0,ROUND($D2547*$E2547,0))))</f>
        <v/>
      </c>
      <c r="G2547" s="13"/>
      <c r="H2547" s="11"/>
      <c r="I2547" s="15" t="str">
        <f aca="false">IF($F2547="","",$F2547-IF($H2547="",0,$H2547))</f>
        <v/>
      </c>
      <c r="J2547" s="16" t="str">
        <f aca="true">IF(OR($A2547="",$I2547="",$I2547&lt;=0),"",TODAY()-$A2547)</f>
        <v/>
      </c>
      <c r="K2547" s="10"/>
    </row>
    <row r="2548" customFormat="false" ht="15" hidden="false" customHeight="true" outlineLevel="0" collapsed="false">
      <c r="A2548" s="13"/>
      <c r="B2548" s="10"/>
      <c r="C2548" s="10"/>
      <c r="D2548" s="14"/>
      <c r="E2548" s="11"/>
      <c r="F2548" s="15" t="str">
        <f aca="false">IF($B2548="","",IF(AND($D2548="",$E2548=""),"",IF(OR($D2548="",$E2548=""),0,ROUND($D2548*$E2548,0))))</f>
        <v/>
      </c>
      <c r="G2548" s="13"/>
      <c r="H2548" s="11"/>
      <c r="I2548" s="15" t="str">
        <f aca="false">IF($F2548="","",$F2548-IF($H2548="",0,$H2548))</f>
        <v/>
      </c>
      <c r="J2548" s="16" t="str">
        <f aca="true">IF(OR($A2548="",$I2548="",$I2548&lt;=0),"",TODAY()-$A2548)</f>
        <v/>
      </c>
      <c r="K2548" s="10"/>
    </row>
    <row r="2549" customFormat="false" ht="15" hidden="false" customHeight="true" outlineLevel="0" collapsed="false">
      <c r="A2549" s="13"/>
      <c r="B2549" s="10"/>
      <c r="C2549" s="10"/>
      <c r="D2549" s="14"/>
      <c r="E2549" s="11"/>
      <c r="F2549" s="15" t="str">
        <f aca="false">IF($B2549="","",IF(AND($D2549="",$E2549=""),"",IF(OR($D2549="",$E2549=""),0,ROUND($D2549*$E2549,0))))</f>
        <v/>
      </c>
      <c r="G2549" s="13"/>
      <c r="H2549" s="11"/>
      <c r="I2549" s="15" t="str">
        <f aca="false">IF($F2549="","",$F2549-IF($H2549="",0,$H2549))</f>
        <v/>
      </c>
      <c r="J2549" s="16" t="str">
        <f aca="true">IF(OR($A2549="",$I2549="",$I2549&lt;=0),"",TODAY()-$A2549)</f>
        <v/>
      </c>
      <c r="K2549" s="10"/>
    </row>
    <row r="2550" customFormat="false" ht="15" hidden="false" customHeight="true" outlineLevel="0" collapsed="false">
      <c r="A2550" s="13"/>
      <c r="B2550" s="10"/>
      <c r="C2550" s="10"/>
      <c r="D2550" s="14"/>
      <c r="E2550" s="11"/>
      <c r="F2550" s="15" t="str">
        <f aca="false">IF($B2550="","",IF(AND($D2550="",$E2550=""),"",IF(OR($D2550="",$E2550=""),0,ROUND($D2550*$E2550,0))))</f>
        <v/>
      </c>
      <c r="G2550" s="13"/>
      <c r="H2550" s="11"/>
      <c r="I2550" s="15" t="str">
        <f aca="false">IF($F2550="","",$F2550-IF($H2550="",0,$H2550))</f>
        <v/>
      </c>
      <c r="J2550" s="16" t="str">
        <f aca="true">IF(OR($A2550="",$I2550="",$I2550&lt;=0),"",TODAY()-$A2550)</f>
        <v/>
      </c>
      <c r="K2550" s="10"/>
    </row>
    <row r="2551" customFormat="false" ht="15" hidden="false" customHeight="true" outlineLevel="0" collapsed="false">
      <c r="A2551" s="13"/>
      <c r="B2551" s="10"/>
      <c r="C2551" s="10"/>
      <c r="D2551" s="14"/>
      <c r="E2551" s="11"/>
      <c r="F2551" s="15" t="str">
        <f aca="false">IF($B2551="","",IF(AND($D2551="",$E2551=""),"",IF(OR($D2551="",$E2551=""),0,ROUND($D2551*$E2551,0))))</f>
        <v/>
      </c>
      <c r="G2551" s="13"/>
      <c r="H2551" s="11"/>
      <c r="I2551" s="15" t="str">
        <f aca="false">IF($F2551="","",$F2551-IF($H2551="",0,$H2551))</f>
        <v/>
      </c>
      <c r="J2551" s="16" t="str">
        <f aca="true">IF(OR($A2551="",$I2551="",$I2551&lt;=0),"",TODAY()-$A2551)</f>
        <v/>
      </c>
      <c r="K2551" s="10"/>
    </row>
    <row r="2552" customFormat="false" ht="15" hidden="false" customHeight="true" outlineLevel="0" collapsed="false">
      <c r="A2552" s="13"/>
      <c r="B2552" s="10"/>
      <c r="C2552" s="10"/>
      <c r="D2552" s="14"/>
      <c r="E2552" s="11"/>
      <c r="F2552" s="15" t="str">
        <f aca="false">IF($B2552="","",IF(AND($D2552="",$E2552=""),"",IF(OR($D2552="",$E2552=""),0,ROUND($D2552*$E2552,0))))</f>
        <v/>
      </c>
      <c r="G2552" s="13"/>
      <c r="H2552" s="11"/>
      <c r="I2552" s="15" t="str">
        <f aca="false">IF($F2552="","",$F2552-IF($H2552="",0,$H2552))</f>
        <v/>
      </c>
      <c r="J2552" s="16" t="str">
        <f aca="true">IF(OR($A2552="",$I2552="",$I2552&lt;=0),"",TODAY()-$A2552)</f>
        <v/>
      </c>
      <c r="K2552" s="10"/>
    </row>
    <row r="2553" customFormat="false" ht="15" hidden="false" customHeight="true" outlineLevel="0" collapsed="false">
      <c r="A2553" s="13"/>
      <c r="B2553" s="10"/>
      <c r="C2553" s="10"/>
      <c r="D2553" s="14"/>
      <c r="E2553" s="11"/>
      <c r="F2553" s="15" t="str">
        <f aca="false">IF($B2553="","",IF(AND($D2553="",$E2553=""),"",IF(OR($D2553="",$E2553=""),0,ROUND($D2553*$E2553,0))))</f>
        <v/>
      </c>
      <c r="G2553" s="13"/>
      <c r="H2553" s="11"/>
      <c r="I2553" s="15" t="str">
        <f aca="false">IF($F2553="","",$F2553-IF($H2553="",0,$H2553))</f>
        <v/>
      </c>
      <c r="J2553" s="16" t="str">
        <f aca="true">IF(OR($A2553="",$I2553="",$I2553&lt;=0),"",TODAY()-$A2553)</f>
        <v/>
      </c>
      <c r="K2553" s="10"/>
    </row>
    <row r="2554" customFormat="false" ht="15" hidden="false" customHeight="true" outlineLevel="0" collapsed="false">
      <c r="A2554" s="13"/>
      <c r="B2554" s="10"/>
      <c r="C2554" s="10"/>
      <c r="D2554" s="14"/>
      <c r="E2554" s="11"/>
      <c r="F2554" s="15" t="str">
        <f aca="false">IF($B2554="","",IF(AND($D2554="",$E2554=""),"",IF(OR($D2554="",$E2554=""),0,ROUND($D2554*$E2554,0))))</f>
        <v/>
      </c>
      <c r="G2554" s="13"/>
      <c r="H2554" s="11"/>
      <c r="I2554" s="15" t="str">
        <f aca="false">IF($F2554="","",$F2554-IF($H2554="",0,$H2554))</f>
        <v/>
      </c>
      <c r="J2554" s="16" t="str">
        <f aca="true">IF(OR($A2554="",$I2554="",$I2554&lt;=0),"",TODAY()-$A2554)</f>
        <v/>
      </c>
      <c r="K2554" s="10"/>
    </row>
    <row r="2555" customFormat="false" ht="15" hidden="false" customHeight="true" outlineLevel="0" collapsed="false">
      <c r="A2555" s="13"/>
      <c r="B2555" s="10"/>
      <c r="C2555" s="10"/>
      <c r="D2555" s="14"/>
      <c r="E2555" s="11"/>
      <c r="F2555" s="15" t="str">
        <f aca="false">IF($B2555="","",IF(AND($D2555="",$E2555=""),"",IF(OR($D2555="",$E2555=""),0,ROUND($D2555*$E2555,0))))</f>
        <v/>
      </c>
      <c r="G2555" s="13"/>
      <c r="H2555" s="11"/>
      <c r="I2555" s="15" t="str">
        <f aca="false">IF($F2555="","",$F2555-IF($H2555="",0,$H2555))</f>
        <v/>
      </c>
      <c r="J2555" s="16" t="str">
        <f aca="true">IF(OR($A2555="",$I2555="",$I2555&lt;=0),"",TODAY()-$A2555)</f>
        <v/>
      </c>
      <c r="K2555" s="10"/>
    </row>
    <row r="2556" customFormat="false" ht="15" hidden="false" customHeight="true" outlineLevel="0" collapsed="false">
      <c r="A2556" s="13"/>
      <c r="B2556" s="10"/>
      <c r="C2556" s="10"/>
      <c r="D2556" s="14"/>
      <c r="E2556" s="11"/>
      <c r="F2556" s="15" t="str">
        <f aca="false">IF($B2556="","",IF(AND($D2556="",$E2556=""),"",IF(OR($D2556="",$E2556=""),0,ROUND($D2556*$E2556,0))))</f>
        <v/>
      </c>
      <c r="G2556" s="13"/>
      <c r="H2556" s="11"/>
      <c r="I2556" s="15" t="str">
        <f aca="false">IF($F2556="","",$F2556-IF($H2556="",0,$H2556))</f>
        <v/>
      </c>
      <c r="J2556" s="16" t="str">
        <f aca="true">IF(OR($A2556="",$I2556="",$I2556&lt;=0),"",TODAY()-$A2556)</f>
        <v/>
      </c>
      <c r="K2556" s="10"/>
    </row>
    <row r="2557" customFormat="false" ht="15" hidden="false" customHeight="true" outlineLevel="0" collapsed="false">
      <c r="A2557" s="13"/>
      <c r="B2557" s="10"/>
      <c r="C2557" s="10"/>
      <c r="D2557" s="14"/>
      <c r="E2557" s="11"/>
      <c r="F2557" s="15" t="str">
        <f aca="false">IF($B2557="","",IF(AND($D2557="",$E2557=""),"",IF(OR($D2557="",$E2557=""),0,ROUND($D2557*$E2557,0))))</f>
        <v/>
      </c>
      <c r="G2557" s="13"/>
      <c r="H2557" s="11"/>
      <c r="I2557" s="15" t="str">
        <f aca="false">IF($F2557="","",$F2557-IF($H2557="",0,$H2557))</f>
        <v/>
      </c>
      <c r="J2557" s="16" t="str">
        <f aca="true">IF(OR($A2557="",$I2557="",$I2557&lt;=0),"",TODAY()-$A2557)</f>
        <v/>
      </c>
      <c r="K2557" s="10"/>
    </row>
    <row r="2558" customFormat="false" ht="15" hidden="false" customHeight="true" outlineLevel="0" collapsed="false">
      <c r="A2558" s="13"/>
      <c r="B2558" s="10"/>
      <c r="C2558" s="10"/>
      <c r="D2558" s="14"/>
      <c r="E2558" s="11"/>
      <c r="F2558" s="15" t="str">
        <f aca="false">IF($B2558="","",IF(AND($D2558="",$E2558=""),"",IF(OR($D2558="",$E2558=""),0,ROUND($D2558*$E2558,0))))</f>
        <v/>
      </c>
      <c r="G2558" s="13"/>
      <c r="H2558" s="11"/>
      <c r="I2558" s="15" t="str">
        <f aca="false">IF($F2558="","",$F2558-IF($H2558="",0,$H2558))</f>
        <v/>
      </c>
      <c r="J2558" s="16" t="str">
        <f aca="true">IF(OR($A2558="",$I2558="",$I2558&lt;=0),"",TODAY()-$A2558)</f>
        <v/>
      </c>
      <c r="K2558" s="10"/>
    </row>
    <row r="2559" customFormat="false" ht="15" hidden="false" customHeight="true" outlineLevel="0" collapsed="false">
      <c r="A2559" s="13"/>
      <c r="B2559" s="10"/>
      <c r="C2559" s="10"/>
      <c r="D2559" s="14"/>
      <c r="E2559" s="11"/>
      <c r="F2559" s="15" t="str">
        <f aca="false">IF($B2559="","",IF(AND($D2559="",$E2559=""),"",IF(OR($D2559="",$E2559=""),0,ROUND($D2559*$E2559,0))))</f>
        <v/>
      </c>
      <c r="G2559" s="13"/>
      <c r="H2559" s="11"/>
      <c r="I2559" s="15" t="str">
        <f aca="false">IF($F2559="","",$F2559-IF($H2559="",0,$H2559))</f>
        <v/>
      </c>
      <c r="J2559" s="16" t="str">
        <f aca="true">IF(OR($A2559="",$I2559="",$I2559&lt;=0),"",TODAY()-$A2559)</f>
        <v/>
      </c>
      <c r="K2559" s="10"/>
    </row>
    <row r="2560" customFormat="false" ht="15" hidden="false" customHeight="true" outlineLevel="0" collapsed="false">
      <c r="A2560" s="13"/>
      <c r="B2560" s="10"/>
      <c r="C2560" s="10"/>
      <c r="D2560" s="14"/>
      <c r="E2560" s="11"/>
      <c r="F2560" s="15" t="str">
        <f aca="false">IF($B2560="","",IF(AND($D2560="",$E2560=""),"",IF(OR($D2560="",$E2560=""),0,ROUND($D2560*$E2560,0))))</f>
        <v/>
      </c>
      <c r="G2560" s="13"/>
      <c r="H2560" s="11"/>
      <c r="I2560" s="15" t="str">
        <f aca="false">IF($F2560="","",$F2560-IF($H2560="",0,$H2560))</f>
        <v/>
      </c>
      <c r="J2560" s="16" t="str">
        <f aca="true">IF(OR($A2560="",$I2560="",$I2560&lt;=0),"",TODAY()-$A2560)</f>
        <v/>
      </c>
      <c r="K2560" s="10"/>
    </row>
    <row r="2561" customFormat="false" ht="15" hidden="false" customHeight="true" outlineLevel="0" collapsed="false">
      <c r="A2561" s="13"/>
      <c r="B2561" s="10"/>
      <c r="C2561" s="10"/>
      <c r="D2561" s="14"/>
      <c r="E2561" s="11"/>
      <c r="F2561" s="15" t="str">
        <f aca="false">IF($B2561="","",IF(AND($D2561="",$E2561=""),"",IF(OR($D2561="",$E2561=""),0,ROUND($D2561*$E2561,0))))</f>
        <v/>
      </c>
      <c r="G2561" s="13"/>
      <c r="H2561" s="11"/>
      <c r="I2561" s="15" t="str">
        <f aca="false">IF($F2561="","",$F2561-IF($H2561="",0,$H2561))</f>
        <v/>
      </c>
      <c r="J2561" s="16" t="str">
        <f aca="true">IF(OR($A2561="",$I2561="",$I2561&lt;=0),"",TODAY()-$A2561)</f>
        <v/>
      </c>
      <c r="K2561" s="10"/>
    </row>
    <row r="2562" customFormat="false" ht="15" hidden="false" customHeight="true" outlineLevel="0" collapsed="false">
      <c r="A2562" s="13"/>
      <c r="B2562" s="10"/>
      <c r="C2562" s="10"/>
      <c r="D2562" s="14"/>
      <c r="E2562" s="11"/>
      <c r="F2562" s="15" t="str">
        <f aca="false">IF($B2562="","",IF(AND($D2562="",$E2562=""),"",IF(OR($D2562="",$E2562=""),0,ROUND($D2562*$E2562,0))))</f>
        <v/>
      </c>
      <c r="G2562" s="13"/>
      <c r="H2562" s="11"/>
      <c r="I2562" s="15" t="str">
        <f aca="false">IF($F2562="","",$F2562-IF($H2562="",0,$H2562))</f>
        <v/>
      </c>
      <c r="J2562" s="16" t="str">
        <f aca="true">IF(OR($A2562="",$I2562="",$I2562&lt;=0),"",TODAY()-$A2562)</f>
        <v/>
      </c>
      <c r="K2562" s="10"/>
    </row>
    <row r="2563" customFormat="false" ht="15" hidden="false" customHeight="true" outlineLevel="0" collapsed="false">
      <c r="A2563" s="13"/>
      <c r="B2563" s="10"/>
      <c r="C2563" s="10"/>
      <c r="D2563" s="14"/>
      <c r="E2563" s="11"/>
      <c r="F2563" s="15" t="str">
        <f aca="false">IF($B2563="","",IF(AND($D2563="",$E2563=""),"",IF(OR($D2563="",$E2563=""),0,ROUND($D2563*$E2563,0))))</f>
        <v/>
      </c>
      <c r="G2563" s="13"/>
      <c r="H2563" s="11"/>
      <c r="I2563" s="15" t="str">
        <f aca="false">IF($F2563="","",$F2563-IF($H2563="",0,$H2563))</f>
        <v/>
      </c>
      <c r="J2563" s="16" t="str">
        <f aca="true">IF(OR($A2563="",$I2563="",$I2563&lt;=0),"",TODAY()-$A2563)</f>
        <v/>
      </c>
      <c r="K2563" s="10"/>
    </row>
    <row r="2564" customFormat="false" ht="15" hidden="false" customHeight="true" outlineLevel="0" collapsed="false">
      <c r="A2564" s="13"/>
      <c r="B2564" s="10"/>
      <c r="C2564" s="10"/>
      <c r="D2564" s="14"/>
      <c r="E2564" s="11"/>
      <c r="F2564" s="15" t="str">
        <f aca="false">IF($B2564="","",IF(AND($D2564="",$E2564=""),"",IF(OR($D2564="",$E2564=""),0,ROUND($D2564*$E2564,0))))</f>
        <v/>
      </c>
      <c r="G2564" s="13"/>
      <c r="H2564" s="11"/>
      <c r="I2564" s="15" t="str">
        <f aca="false">IF($F2564="","",$F2564-IF($H2564="",0,$H2564))</f>
        <v/>
      </c>
      <c r="J2564" s="16" t="str">
        <f aca="true">IF(OR($A2564="",$I2564="",$I2564&lt;=0),"",TODAY()-$A2564)</f>
        <v/>
      </c>
      <c r="K2564" s="10"/>
    </row>
    <row r="2565" customFormat="false" ht="15" hidden="false" customHeight="true" outlineLevel="0" collapsed="false">
      <c r="A2565" s="13"/>
      <c r="B2565" s="10"/>
      <c r="C2565" s="10"/>
      <c r="D2565" s="14"/>
      <c r="E2565" s="11"/>
      <c r="F2565" s="15" t="str">
        <f aca="false">IF($B2565="","",IF(AND($D2565="",$E2565=""),"",IF(OR($D2565="",$E2565=""),0,ROUND($D2565*$E2565,0))))</f>
        <v/>
      </c>
      <c r="G2565" s="13"/>
      <c r="H2565" s="11"/>
      <c r="I2565" s="15" t="str">
        <f aca="false">IF($F2565="","",$F2565-IF($H2565="",0,$H2565))</f>
        <v/>
      </c>
      <c r="J2565" s="16" t="str">
        <f aca="true">IF(OR($A2565="",$I2565="",$I2565&lt;=0),"",TODAY()-$A2565)</f>
        <v/>
      </c>
      <c r="K2565" s="10"/>
    </row>
    <row r="2566" customFormat="false" ht="15" hidden="false" customHeight="true" outlineLevel="0" collapsed="false">
      <c r="A2566" s="13"/>
      <c r="B2566" s="10"/>
      <c r="C2566" s="10"/>
      <c r="D2566" s="14"/>
      <c r="E2566" s="11"/>
      <c r="F2566" s="15" t="str">
        <f aca="false">IF($B2566="","",IF(AND($D2566="",$E2566=""),"",IF(OR($D2566="",$E2566=""),0,ROUND($D2566*$E2566,0))))</f>
        <v/>
      </c>
      <c r="G2566" s="13"/>
      <c r="H2566" s="11"/>
      <c r="I2566" s="15" t="str">
        <f aca="false">IF($F2566="","",$F2566-IF($H2566="",0,$H2566))</f>
        <v/>
      </c>
      <c r="J2566" s="16" t="str">
        <f aca="true">IF(OR($A2566="",$I2566="",$I2566&lt;=0),"",TODAY()-$A2566)</f>
        <v/>
      </c>
      <c r="K2566" s="10"/>
    </row>
    <row r="2567" customFormat="false" ht="15" hidden="false" customHeight="true" outlineLevel="0" collapsed="false">
      <c r="A2567" s="13"/>
      <c r="B2567" s="10"/>
      <c r="C2567" s="10"/>
      <c r="D2567" s="14"/>
      <c r="E2567" s="11"/>
      <c r="F2567" s="15" t="str">
        <f aca="false">IF($B2567="","",IF(AND($D2567="",$E2567=""),"",IF(OR($D2567="",$E2567=""),0,ROUND($D2567*$E2567,0))))</f>
        <v/>
      </c>
      <c r="G2567" s="13"/>
      <c r="H2567" s="11"/>
      <c r="I2567" s="15" t="str">
        <f aca="false">IF($F2567="","",$F2567-IF($H2567="",0,$H2567))</f>
        <v/>
      </c>
      <c r="J2567" s="16" t="str">
        <f aca="true">IF(OR($A2567="",$I2567="",$I2567&lt;=0),"",TODAY()-$A2567)</f>
        <v/>
      </c>
      <c r="K2567" s="10"/>
    </row>
    <row r="2568" customFormat="false" ht="15" hidden="false" customHeight="true" outlineLevel="0" collapsed="false">
      <c r="A2568" s="13"/>
      <c r="B2568" s="10"/>
      <c r="C2568" s="10"/>
      <c r="D2568" s="14"/>
      <c r="E2568" s="11"/>
      <c r="F2568" s="15" t="str">
        <f aca="false">IF($B2568="","",IF(AND($D2568="",$E2568=""),"",IF(OR($D2568="",$E2568=""),0,ROUND($D2568*$E2568,0))))</f>
        <v/>
      </c>
      <c r="G2568" s="13"/>
      <c r="H2568" s="11"/>
      <c r="I2568" s="15" t="str">
        <f aca="false">IF($F2568="","",$F2568-IF($H2568="",0,$H2568))</f>
        <v/>
      </c>
      <c r="J2568" s="16" t="str">
        <f aca="true">IF(OR($A2568="",$I2568="",$I2568&lt;=0),"",TODAY()-$A2568)</f>
        <v/>
      </c>
      <c r="K2568" s="10"/>
    </row>
    <row r="2569" customFormat="false" ht="15" hidden="false" customHeight="true" outlineLevel="0" collapsed="false">
      <c r="A2569" s="13"/>
      <c r="B2569" s="10"/>
      <c r="C2569" s="10"/>
      <c r="D2569" s="14"/>
      <c r="E2569" s="11"/>
      <c r="F2569" s="15" t="str">
        <f aca="false">IF($B2569="","",IF(AND($D2569="",$E2569=""),"",IF(OR($D2569="",$E2569=""),0,ROUND($D2569*$E2569,0))))</f>
        <v/>
      </c>
      <c r="G2569" s="13"/>
      <c r="H2569" s="11"/>
      <c r="I2569" s="15" t="str">
        <f aca="false">IF($F2569="","",$F2569-IF($H2569="",0,$H2569))</f>
        <v/>
      </c>
      <c r="J2569" s="16" t="str">
        <f aca="true">IF(OR($A2569="",$I2569="",$I2569&lt;=0),"",TODAY()-$A2569)</f>
        <v/>
      </c>
      <c r="K2569" s="10"/>
    </row>
    <row r="2570" customFormat="false" ht="15" hidden="false" customHeight="true" outlineLevel="0" collapsed="false">
      <c r="A2570" s="13"/>
      <c r="B2570" s="10"/>
      <c r="C2570" s="10"/>
      <c r="D2570" s="14"/>
      <c r="E2570" s="11"/>
      <c r="F2570" s="15" t="str">
        <f aca="false">IF($B2570="","",IF(AND($D2570="",$E2570=""),"",IF(OR($D2570="",$E2570=""),0,ROUND($D2570*$E2570,0))))</f>
        <v/>
      </c>
      <c r="G2570" s="13"/>
      <c r="H2570" s="11"/>
      <c r="I2570" s="15" t="str">
        <f aca="false">IF($F2570="","",$F2570-IF($H2570="",0,$H2570))</f>
        <v/>
      </c>
      <c r="J2570" s="16" t="str">
        <f aca="true">IF(OR($A2570="",$I2570="",$I2570&lt;=0),"",TODAY()-$A2570)</f>
        <v/>
      </c>
      <c r="K2570" s="10"/>
    </row>
    <row r="2571" customFormat="false" ht="15" hidden="false" customHeight="true" outlineLevel="0" collapsed="false">
      <c r="A2571" s="13"/>
      <c r="B2571" s="10"/>
      <c r="C2571" s="10"/>
      <c r="D2571" s="14"/>
      <c r="E2571" s="11"/>
      <c r="F2571" s="15" t="str">
        <f aca="false">IF($B2571="","",IF(AND($D2571="",$E2571=""),"",IF(OR($D2571="",$E2571=""),0,ROUND($D2571*$E2571,0))))</f>
        <v/>
      </c>
      <c r="G2571" s="13"/>
      <c r="H2571" s="11"/>
      <c r="I2571" s="15" t="str">
        <f aca="false">IF($F2571="","",$F2571-IF($H2571="",0,$H2571))</f>
        <v/>
      </c>
      <c r="J2571" s="16" t="str">
        <f aca="true">IF(OR($A2571="",$I2571="",$I2571&lt;=0),"",TODAY()-$A2571)</f>
        <v/>
      </c>
      <c r="K2571" s="10"/>
    </row>
    <row r="2572" customFormat="false" ht="15" hidden="false" customHeight="true" outlineLevel="0" collapsed="false">
      <c r="A2572" s="13"/>
      <c r="B2572" s="10"/>
      <c r="C2572" s="10"/>
      <c r="D2572" s="14"/>
      <c r="E2572" s="11"/>
      <c r="F2572" s="15" t="str">
        <f aca="false">IF($B2572="","",IF(AND($D2572="",$E2572=""),"",IF(OR($D2572="",$E2572=""),0,ROUND($D2572*$E2572,0))))</f>
        <v/>
      </c>
      <c r="G2572" s="13"/>
      <c r="H2572" s="11"/>
      <c r="I2572" s="15" t="str">
        <f aca="false">IF($F2572="","",$F2572-IF($H2572="",0,$H2572))</f>
        <v/>
      </c>
      <c r="J2572" s="16" t="str">
        <f aca="true">IF(OR($A2572="",$I2572="",$I2572&lt;=0),"",TODAY()-$A2572)</f>
        <v/>
      </c>
      <c r="K2572" s="10"/>
    </row>
    <row r="2573" customFormat="false" ht="15" hidden="false" customHeight="true" outlineLevel="0" collapsed="false">
      <c r="A2573" s="13"/>
      <c r="B2573" s="10"/>
      <c r="C2573" s="10"/>
      <c r="D2573" s="14"/>
      <c r="E2573" s="11"/>
      <c r="F2573" s="15" t="str">
        <f aca="false">IF($B2573="","",IF(AND($D2573="",$E2573=""),"",IF(OR($D2573="",$E2573=""),0,ROUND($D2573*$E2573,0))))</f>
        <v/>
      </c>
      <c r="G2573" s="13"/>
      <c r="H2573" s="11"/>
      <c r="I2573" s="15" t="str">
        <f aca="false">IF($F2573="","",$F2573-IF($H2573="",0,$H2573))</f>
        <v/>
      </c>
      <c r="J2573" s="16" t="str">
        <f aca="true">IF(OR($A2573="",$I2573="",$I2573&lt;=0),"",TODAY()-$A2573)</f>
        <v/>
      </c>
      <c r="K2573" s="10"/>
    </row>
    <row r="2574" customFormat="false" ht="15" hidden="false" customHeight="true" outlineLevel="0" collapsed="false">
      <c r="A2574" s="13"/>
      <c r="B2574" s="10"/>
      <c r="C2574" s="10"/>
      <c r="D2574" s="14"/>
      <c r="E2574" s="11"/>
      <c r="F2574" s="15" t="str">
        <f aca="false">IF($B2574="","",IF(AND($D2574="",$E2574=""),"",IF(OR($D2574="",$E2574=""),0,ROUND($D2574*$E2574,0))))</f>
        <v/>
      </c>
      <c r="G2574" s="13"/>
      <c r="H2574" s="11"/>
      <c r="I2574" s="15" t="str">
        <f aca="false">IF($F2574="","",$F2574-IF($H2574="",0,$H2574))</f>
        <v/>
      </c>
      <c r="J2574" s="16" t="str">
        <f aca="true">IF(OR($A2574="",$I2574="",$I2574&lt;=0),"",TODAY()-$A2574)</f>
        <v/>
      </c>
      <c r="K2574" s="10"/>
    </row>
    <row r="2575" customFormat="false" ht="15" hidden="false" customHeight="true" outlineLevel="0" collapsed="false">
      <c r="A2575" s="13"/>
      <c r="B2575" s="10"/>
      <c r="C2575" s="10"/>
      <c r="D2575" s="14"/>
      <c r="E2575" s="11"/>
      <c r="F2575" s="15" t="str">
        <f aca="false">IF($B2575="","",IF(AND($D2575="",$E2575=""),"",IF(OR($D2575="",$E2575=""),0,ROUND($D2575*$E2575,0))))</f>
        <v/>
      </c>
      <c r="G2575" s="13"/>
      <c r="H2575" s="11"/>
      <c r="I2575" s="15" t="str">
        <f aca="false">IF($F2575="","",$F2575-IF($H2575="",0,$H2575))</f>
        <v/>
      </c>
      <c r="J2575" s="16" t="str">
        <f aca="true">IF(OR($A2575="",$I2575="",$I2575&lt;=0),"",TODAY()-$A2575)</f>
        <v/>
      </c>
      <c r="K2575" s="10"/>
    </row>
    <row r="2576" customFormat="false" ht="15" hidden="false" customHeight="true" outlineLevel="0" collapsed="false">
      <c r="A2576" s="13"/>
      <c r="B2576" s="10"/>
      <c r="C2576" s="10"/>
      <c r="D2576" s="14"/>
      <c r="E2576" s="11"/>
      <c r="F2576" s="15" t="str">
        <f aca="false">IF($B2576="","",IF(AND($D2576="",$E2576=""),"",IF(OR($D2576="",$E2576=""),0,ROUND($D2576*$E2576,0))))</f>
        <v/>
      </c>
      <c r="G2576" s="13"/>
      <c r="H2576" s="11"/>
      <c r="I2576" s="15" t="str">
        <f aca="false">IF($F2576="","",$F2576-IF($H2576="",0,$H2576))</f>
        <v/>
      </c>
      <c r="J2576" s="16" t="str">
        <f aca="true">IF(OR($A2576="",$I2576="",$I2576&lt;=0),"",TODAY()-$A2576)</f>
        <v/>
      </c>
      <c r="K2576" s="10"/>
    </row>
    <row r="2577" customFormat="false" ht="15" hidden="false" customHeight="true" outlineLevel="0" collapsed="false">
      <c r="A2577" s="13"/>
      <c r="B2577" s="10"/>
      <c r="C2577" s="10"/>
      <c r="D2577" s="14"/>
      <c r="E2577" s="11"/>
      <c r="F2577" s="15" t="str">
        <f aca="false">IF($B2577="","",IF(AND($D2577="",$E2577=""),"",IF(OR($D2577="",$E2577=""),0,ROUND($D2577*$E2577,0))))</f>
        <v/>
      </c>
      <c r="G2577" s="13"/>
      <c r="H2577" s="11"/>
      <c r="I2577" s="15" t="str">
        <f aca="false">IF($F2577="","",$F2577-IF($H2577="",0,$H2577))</f>
        <v/>
      </c>
      <c r="J2577" s="16" t="str">
        <f aca="true">IF(OR($A2577="",$I2577="",$I2577&lt;=0),"",TODAY()-$A2577)</f>
        <v/>
      </c>
      <c r="K2577" s="10"/>
    </row>
    <row r="2578" customFormat="false" ht="15" hidden="false" customHeight="true" outlineLevel="0" collapsed="false">
      <c r="A2578" s="13"/>
      <c r="B2578" s="10"/>
      <c r="C2578" s="10"/>
      <c r="D2578" s="14"/>
      <c r="E2578" s="11"/>
      <c r="F2578" s="15" t="str">
        <f aca="false">IF($B2578="","",IF(AND($D2578="",$E2578=""),"",IF(OR($D2578="",$E2578=""),0,ROUND($D2578*$E2578,0))))</f>
        <v/>
      </c>
      <c r="G2578" s="13"/>
      <c r="H2578" s="11"/>
      <c r="I2578" s="15" t="str">
        <f aca="false">IF($F2578="","",$F2578-IF($H2578="",0,$H2578))</f>
        <v/>
      </c>
      <c r="J2578" s="16" t="str">
        <f aca="true">IF(OR($A2578="",$I2578="",$I2578&lt;=0),"",TODAY()-$A2578)</f>
        <v/>
      </c>
      <c r="K2578" s="10"/>
    </row>
    <row r="2579" customFormat="false" ht="15" hidden="false" customHeight="true" outlineLevel="0" collapsed="false">
      <c r="A2579" s="13"/>
      <c r="B2579" s="10"/>
      <c r="C2579" s="10"/>
      <c r="D2579" s="14"/>
      <c r="E2579" s="11"/>
      <c r="F2579" s="15" t="str">
        <f aca="false">IF($B2579="","",IF(AND($D2579="",$E2579=""),"",IF(OR($D2579="",$E2579=""),0,ROUND($D2579*$E2579,0))))</f>
        <v/>
      </c>
      <c r="G2579" s="13"/>
      <c r="H2579" s="11"/>
      <c r="I2579" s="15" t="str">
        <f aca="false">IF($F2579="","",$F2579-IF($H2579="",0,$H2579))</f>
        <v/>
      </c>
      <c r="J2579" s="16" t="str">
        <f aca="true">IF(OR($A2579="",$I2579="",$I2579&lt;=0),"",TODAY()-$A2579)</f>
        <v/>
      </c>
      <c r="K2579" s="10"/>
    </row>
    <row r="2580" customFormat="false" ht="15" hidden="false" customHeight="true" outlineLevel="0" collapsed="false">
      <c r="A2580" s="13"/>
      <c r="B2580" s="10"/>
      <c r="C2580" s="10"/>
      <c r="D2580" s="14"/>
      <c r="E2580" s="11"/>
      <c r="F2580" s="15" t="str">
        <f aca="false">IF($B2580="","",IF(AND($D2580="",$E2580=""),"",IF(OR($D2580="",$E2580=""),0,ROUND($D2580*$E2580,0))))</f>
        <v/>
      </c>
      <c r="G2580" s="13"/>
      <c r="H2580" s="11"/>
      <c r="I2580" s="15" t="str">
        <f aca="false">IF($F2580="","",$F2580-IF($H2580="",0,$H2580))</f>
        <v/>
      </c>
      <c r="J2580" s="16" t="str">
        <f aca="true">IF(OR($A2580="",$I2580="",$I2580&lt;=0),"",TODAY()-$A2580)</f>
        <v/>
      </c>
      <c r="K2580" s="10"/>
    </row>
    <row r="2581" customFormat="false" ht="15" hidden="false" customHeight="true" outlineLevel="0" collapsed="false">
      <c r="A2581" s="13"/>
      <c r="B2581" s="10"/>
      <c r="C2581" s="10"/>
      <c r="D2581" s="14"/>
      <c r="E2581" s="11"/>
      <c r="F2581" s="15" t="str">
        <f aca="false">IF($B2581="","",IF(AND($D2581="",$E2581=""),"",IF(OR($D2581="",$E2581=""),0,ROUND($D2581*$E2581,0))))</f>
        <v/>
      </c>
      <c r="G2581" s="13"/>
      <c r="H2581" s="11"/>
      <c r="I2581" s="15" t="str">
        <f aca="false">IF($F2581="","",$F2581-IF($H2581="",0,$H2581))</f>
        <v/>
      </c>
      <c r="J2581" s="16" t="str">
        <f aca="true">IF(OR($A2581="",$I2581="",$I2581&lt;=0),"",TODAY()-$A2581)</f>
        <v/>
      </c>
      <c r="K2581" s="10"/>
    </row>
    <row r="2582" customFormat="false" ht="15" hidden="false" customHeight="true" outlineLevel="0" collapsed="false">
      <c r="A2582" s="13"/>
      <c r="B2582" s="10"/>
      <c r="C2582" s="10"/>
      <c r="D2582" s="14"/>
      <c r="E2582" s="11"/>
      <c r="F2582" s="15" t="str">
        <f aca="false">IF($B2582="","",IF(AND($D2582="",$E2582=""),"",IF(OR($D2582="",$E2582=""),0,ROUND($D2582*$E2582,0))))</f>
        <v/>
      </c>
      <c r="G2582" s="13"/>
      <c r="H2582" s="11"/>
      <c r="I2582" s="15" t="str">
        <f aca="false">IF($F2582="","",$F2582-IF($H2582="",0,$H2582))</f>
        <v/>
      </c>
      <c r="J2582" s="16" t="str">
        <f aca="true">IF(OR($A2582="",$I2582="",$I2582&lt;=0),"",TODAY()-$A2582)</f>
        <v/>
      </c>
      <c r="K2582" s="10"/>
    </row>
    <row r="2583" customFormat="false" ht="15" hidden="false" customHeight="true" outlineLevel="0" collapsed="false">
      <c r="A2583" s="13"/>
      <c r="B2583" s="10"/>
      <c r="C2583" s="10"/>
      <c r="D2583" s="14"/>
      <c r="E2583" s="11"/>
      <c r="F2583" s="15" t="str">
        <f aca="false">IF($B2583="","",IF(AND($D2583="",$E2583=""),"",IF(OR($D2583="",$E2583=""),0,ROUND($D2583*$E2583,0))))</f>
        <v/>
      </c>
      <c r="G2583" s="13"/>
      <c r="H2583" s="11"/>
      <c r="I2583" s="15" t="str">
        <f aca="false">IF($F2583="","",$F2583-IF($H2583="",0,$H2583))</f>
        <v/>
      </c>
      <c r="J2583" s="16" t="str">
        <f aca="true">IF(OR($A2583="",$I2583="",$I2583&lt;=0),"",TODAY()-$A2583)</f>
        <v/>
      </c>
      <c r="K2583" s="10"/>
    </row>
    <row r="2584" customFormat="false" ht="15" hidden="false" customHeight="true" outlineLevel="0" collapsed="false">
      <c r="A2584" s="13"/>
      <c r="B2584" s="10"/>
      <c r="C2584" s="10"/>
      <c r="D2584" s="14"/>
      <c r="E2584" s="11"/>
      <c r="F2584" s="15" t="str">
        <f aca="false">IF($B2584="","",IF(AND($D2584="",$E2584=""),"",IF(OR($D2584="",$E2584=""),0,ROUND($D2584*$E2584,0))))</f>
        <v/>
      </c>
      <c r="G2584" s="13"/>
      <c r="H2584" s="11"/>
      <c r="I2584" s="15" t="str">
        <f aca="false">IF($F2584="","",$F2584-IF($H2584="",0,$H2584))</f>
        <v/>
      </c>
      <c r="J2584" s="16" t="str">
        <f aca="true">IF(OR($A2584="",$I2584="",$I2584&lt;=0),"",TODAY()-$A2584)</f>
        <v/>
      </c>
      <c r="K2584" s="10"/>
    </row>
    <row r="2585" customFormat="false" ht="15" hidden="false" customHeight="true" outlineLevel="0" collapsed="false">
      <c r="A2585" s="13"/>
      <c r="B2585" s="10"/>
      <c r="C2585" s="10"/>
      <c r="D2585" s="14"/>
      <c r="E2585" s="11"/>
      <c r="F2585" s="15" t="str">
        <f aca="false">IF($B2585="","",IF(AND($D2585="",$E2585=""),"",IF(OR($D2585="",$E2585=""),0,ROUND($D2585*$E2585,0))))</f>
        <v/>
      </c>
      <c r="G2585" s="13"/>
      <c r="H2585" s="11"/>
      <c r="I2585" s="15" t="str">
        <f aca="false">IF($F2585="","",$F2585-IF($H2585="",0,$H2585))</f>
        <v/>
      </c>
      <c r="J2585" s="16" t="str">
        <f aca="true">IF(OR($A2585="",$I2585="",$I2585&lt;=0),"",TODAY()-$A2585)</f>
        <v/>
      </c>
      <c r="K2585" s="10"/>
    </row>
    <row r="2586" customFormat="false" ht="15" hidden="false" customHeight="true" outlineLevel="0" collapsed="false">
      <c r="A2586" s="13"/>
      <c r="B2586" s="10"/>
      <c r="C2586" s="10"/>
      <c r="D2586" s="14"/>
      <c r="E2586" s="11"/>
      <c r="F2586" s="15" t="str">
        <f aca="false">IF($B2586="","",IF(AND($D2586="",$E2586=""),"",IF(OR($D2586="",$E2586=""),0,ROUND($D2586*$E2586,0))))</f>
        <v/>
      </c>
      <c r="G2586" s="13"/>
      <c r="H2586" s="11"/>
      <c r="I2586" s="15" t="str">
        <f aca="false">IF($F2586="","",$F2586-IF($H2586="",0,$H2586))</f>
        <v/>
      </c>
      <c r="J2586" s="16" t="str">
        <f aca="true">IF(OR($A2586="",$I2586="",$I2586&lt;=0),"",TODAY()-$A2586)</f>
        <v/>
      </c>
      <c r="K2586" s="10"/>
    </row>
    <row r="2587" customFormat="false" ht="15" hidden="false" customHeight="true" outlineLevel="0" collapsed="false">
      <c r="A2587" s="13"/>
      <c r="B2587" s="10"/>
      <c r="C2587" s="10"/>
      <c r="D2587" s="14"/>
      <c r="E2587" s="11"/>
      <c r="F2587" s="15" t="str">
        <f aca="false">IF($B2587="","",IF(AND($D2587="",$E2587=""),"",IF(OR($D2587="",$E2587=""),0,ROUND($D2587*$E2587,0))))</f>
        <v/>
      </c>
      <c r="G2587" s="13"/>
      <c r="H2587" s="11"/>
      <c r="I2587" s="15" t="str">
        <f aca="false">IF($F2587="","",$F2587-IF($H2587="",0,$H2587))</f>
        <v/>
      </c>
      <c r="J2587" s="16" t="str">
        <f aca="true">IF(OR($A2587="",$I2587="",$I2587&lt;=0),"",TODAY()-$A2587)</f>
        <v/>
      </c>
      <c r="K2587" s="10"/>
    </row>
    <row r="2588" customFormat="false" ht="15" hidden="false" customHeight="true" outlineLevel="0" collapsed="false">
      <c r="A2588" s="13"/>
      <c r="B2588" s="10"/>
      <c r="C2588" s="10"/>
      <c r="D2588" s="14"/>
      <c r="E2588" s="11"/>
      <c r="F2588" s="15" t="str">
        <f aca="false">IF($B2588="","",IF(AND($D2588="",$E2588=""),"",IF(OR($D2588="",$E2588=""),0,ROUND($D2588*$E2588,0))))</f>
        <v/>
      </c>
      <c r="G2588" s="13"/>
      <c r="H2588" s="11"/>
      <c r="I2588" s="15" t="str">
        <f aca="false">IF($F2588="","",$F2588-IF($H2588="",0,$H2588))</f>
        <v/>
      </c>
      <c r="J2588" s="16" t="str">
        <f aca="true">IF(OR($A2588="",$I2588="",$I2588&lt;=0),"",TODAY()-$A2588)</f>
        <v/>
      </c>
      <c r="K2588" s="10"/>
    </row>
    <row r="2589" customFormat="false" ht="15" hidden="false" customHeight="true" outlineLevel="0" collapsed="false">
      <c r="A2589" s="13"/>
      <c r="B2589" s="10"/>
      <c r="C2589" s="10"/>
      <c r="D2589" s="14"/>
      <c r="E2589" s="11"/>
      <c r="F2589" s="15" t="str">
        <f aca="false">IF($B2589="","",IF(AND($D2589="",$E2589=""),"",IF(OR($D2589="",$E2589=""),0,ROUND($D2589*$E2589,0))))</f>
        <v/>
      </c>
      <c r="G2589" s="13"/>
      <c r="H2589" s="11"/>
      <c r="I2589" s="15" t="str">
        <f aca="false">IF($F2589="","",$F2589-IF($H2589="",0,$H2589))</f>
        <v/>
      </c>
      <c r="J2589" s="16" t="str">
        <f aca="true">IF(OR($A2589="",$I2589="",$I2589&lt;=0),"",TODAY()-$A2589)</f>
        <v/>
      </c>
      <c r="K2589" s="10"/>
    </row>
    <row r="2590" customFormat="false" ht="15" hidden="false" customHeight="true" outlineLevel="0" collapsed="false">
      <c r="A2590" s="13"/>
      <c r="B2590" s="10"/>
      <c r="C2590" s="10"/>
      <c r="D2590" s="14"/>
      <c r="E2590" s="11"/>
      <c r="F2590" s="15" t="str">
        <f aca="false">IF($B2590="","",IF(AND($D2590="",$E2590=""),"",IF(OR($D2590="",$E2590=""),0,ROUND($D2590*$E2590,0))))</f>
        <v/>
      </c>
      <c r="G2590" s="13"/>
      <c r="H2590" s="11"/>
      <c r="I2590" s="15" t="str">
        <f aca="false">IF($F2590="","",$F2590-IF($H2590="",0,$H2590))</f>
        <v/>
      </c>
      <c r="J2590" s="16" t="str">
        <f aca="true">IF(OR($A2590="",$I2590="",$I2590&lt;=0),"",TODAY()-$A2590)</f>
        <v/>
      </c>
      <c r="K2590" s="10"/>
    </row>
    <row r="2591" customFormat="false" ht="15" hidden="false" customHeight="true" outlineLevel="0" collapsed="false">
      <c r="A2591" s="13"/>
      <c r="B2591" s="10"/>
      <c r="C2591" s="10"/>
      <c r="D2591" s="14"/>
      <c r="E2591" s="11"/>
      <c r="F2591" s="15" t="str">
        <f aca="false">IF($B2591="","",IF(AND($D2591="",$E2591=""),"",IF(OR($D2591="",$E2591=""),0,ROUND($D2591*$E2591,0))))</f>
        <v/>
      </c>
      <c r="G2591" s="13"/>
      <c r="H2591" s="11"/>
      <c r="I2591" s="15" t="str">
        <f aca="false">IF($F2591="","",$F2591-IF($H2591="",0,$H2591))</f>
        <v/>
      </c>
      <c r="J2591" s="16" t="str">
        <f aca="true">IF(OR($A2591="",$I2591="",$I2591&lt;=0),"",TODAY()-$A2591)</f>
        <v/>
      </c>
      <c r="K2591" s="10"/>
    </row>
    <row r="2592" customFormat="false" ht="15" hidden="false" customHeight="true" outlineLevel="0" collapsed="false">
      <c r="A2592" s="13"/>
      <c r="B2592" s="10"/>
      <c r="C2592" s="10"/>
      <c r="D2592" s="14"/>
      <c r="E2592" s="11"/>
      <c r="F2592" s="15" t="str">
        <f aca="false">IF($B2592="","",IF(AND($D2592="",$E2592=""),"",IF(OR($D2592="",$E2592=""),0,ROUND($D2592*$E2592,0))))</f>
        <v/>
      </c>
      <c r="G2592" s="13"/>
      <c r="H2592" s="11"/>
      <c r="I2592" s="15" t="str">
        <f aca="false">IF($F2592="","",$F2592-IF($H2592="",0,$H2592))</f>
        <v/>
      </c>
      <c r="J2592" s="16" t="str">
        <f aca="true">IF(OR($A2592="",$I2592="",$I2592&lt;=0),"",TODAY()-$A2592)</f>
        <v/>
      </c>
      <c r="K2592" s="10"/>
    </row>
    <row r="2593" customFormat="false" ht="15" hidden="false" customHeight="true" outlineLevel="0" collapsed="false">
      <c r="A2593" s="13"/>
      <c r="B2593" s="10"/>
      <c r="C2593" s="10"/>
      <c r="D2593" s="14"/>
      <c r="E2593" s="11"/>
      <c r="F2593" s="15" t="str">
        <f aca="false">IF($B2593="","",IF(AND($D2593="",$E2593=""),"",IF(OR($D2593="",$E2593=""),0,ROUND($D2593*$E2593,0))))</f>
        <v/>
      </c>
      <c r="G2593" s="13"/>
      <c r="H2593" s="11"/>
      <c r="I2593" s="15" t="str">
        <f aca="false">IF($F2593="","",$F2593-IF($H2593="",0,$H2593))</f>
        <v/>
      </c>
      <c r="J2593" s="16" t="str">
        <f aca="true">IF(OR($A2593="",$I2593="",$I2593&lt;=0),"",TODAY()-$A2593)</f>
        <v/>
      </c>
      <c r="K2593" s="10"/>
    </row>
    <row r="2594" customFormat="false" ht="15" hidden="false" customHeight="true" outlineLevel="0" collapsed="false">
      <c r="A2594" s="13"/>
      <c r="B2594" s="10"/>
      <c r="C2594" s="10"/>
      <c r="D2594" s="14"/>
      <c r="E2594" s="11"/>
      <c r="F2594" s="15" t="str">
        <f aca="false">IF($B2594="","",IF(AND($D2594="",$E2594=""),"",IF(OR($D2594="",$E2594=""),0,ROUND($D2594*$E2594,0))))</f>
        <v/>
      </c>
      <c r="G2594" s="13"/>
      <c r="H2594" s="11"/>
      <c r="I2594" s="15" t="str">
        <f aca="false">IF($F2594="","",$F2594-IF($H2594="",0,$H2594))</f>
        <v/>
      </c>
      <c r="J2594" s="16" t="str">
        <f aca="true">IF(OR($A2594="",$I2594="",$I2594&lt;=0),"",TODAY()-$A2594)</f>
        <v/>
      </c>
      <c r="K2594" s="10"/>
    </row>
    <row r="2595" customFormat="false" ht="15" hidden="false" customHeight="true" outlineLevel="0" collapsed="false">
      <c r="A2595" s="13"/>
      <c r="B2595" s="10"/>
      <c r="C2595" s="10"/>
      <c r="D2595" s="14"/>
      <c r="E2595" s="11"/>
      <c r="F2595" s="15" t="str">
        <f aca="false">IF($B2595="","",IF(AND($D2595="",$E2595=""),"",IF(OR($D2595="",$E2595=""),0,ROUND($D2595*$E2595,0))))</f>
        <v/>
      </c>
      <c r="G2595" s="13"/>
      <c r="H2595" s="11"/>
      <c r="I2595" s="15" t="str">
        <f aca="false">IF($F2595="","",$F2595-IF($H2595="",0,$H2595))</f>
        <v/>
      </c>
      <c r="J2595" s="16" t="str">
        <f aca="true">IF(OR($A2595="",$I2595="",$I2595&lt;=0),"",TODAY()-$A2595)</f>
        <v/>
      </c>
      <c r="K2595" s="10"/>
    </row>
    <row r="2596" customFormat="false" ht="15" hidden="false" customHeight="true" outlineLevel="0" collapsed="false">
      <c r="A2596" s="13"/>
      <c r="B2596" s="10"/>
      <c r="C2596" s="10"/>
      <c r="D2596" s="14"/>
      <c r="E2596" s="11"/>
      <c r="F2596" s="15" t="str">
        <f aca="false">IF($B2596="","",IF(AND($D2596="",$E2596=""),"",IF(OR($D2596="",$E2596=""),0,ROUND($D2596*$E2596,0))))</f>
        <v/>
      </c>
      <c r="G2596" s="13"/>
      <c r="H2596" s="11"/>
      <c r="I2596" s="15" t="str">
        <f aca="false">IF($F2596="","",$F2596-IF($H2596="",0,$H2596))</f>
        <v/>
      </c>
      <c r="J2596" s="16" t="str">
        <f aca="true">IF(OR($A2596="",$I2596="",$I2596&lt;=0),"",TODAY()-$A2596)</f>
        <v/>
      </c>
      <c r="K2596" s="10"/>
    </row>
    <row r="2597" customFormat="false" ht="15" hidden="false" customHeight="true" outlineLevel="0" collapsed="false">
      <c r="A2597" s="13"/>
      <c r="B2597" s="10"/>
      <c r="C2597" s="10"/>
      <c r="D2597" s="14"/>
      <c r="E2597" s="11"/>
      <c r="F2597" s="15" t="str">
        <f aca="false">IF($B2597="","",IF(AND($D2597="",$E2597=""),"",IF(OR($D2597="",$E2597=""),0,ROUND($D2597*$E2597,0))))</f>
        <v/>
      </c>
      <c r="G2597" s="13"/>
      <c r="H2597" s="11"/>
      <c r="I2597" s="15" t="str">
        <f aca="false">IF($F2597="","",$F2597-IF($H2597="",0,$H2597))</f>
        <v/>
      </c>
      <c r="J2597" s="16" t="str">
        <f aca="true">IF(OR($A2597="",$I2597="",$I2597&lt;=0),"",TODAY()-$A2597)</f>
        <v/>
      </c>
      <c r="K2597" s="10"/>
    </row>
    <row r="2598" customFormat="false" ht="15" hidden="false" customHeight="true" outlineLevel="0" collapsed="false">
      <c r="A2598" s="13"/>
      <c r="B2598" s="10"/>
      <c r="C2598" s="10"/>
      <c r="D2598" s="14"/>
      <c r="E2598" s="11"/>
      <c r="F2598" s="15" t="str">
        <f aca="false">IF($B2598="","",IF(AND($D2598="",$E2598=""),"",IF(OR($D2598="",$E2598=""),0,ROUND($D2598*$E2598,0))))</f>
        <v/>
      </c>
      <c r="G2598" s="13"/>
      <c r="H2598" s="11"/>
      <c r="I2598" s="15" t="str">
        <f aca="false">IF($F2598="","",$F2598-IF($H2598="",0,$H2598))</f>
        <v/>
      </c>
      <c r="J2598" s="16" t="str">
        <f aca="true">IF(OR($A2598="",$I2598="",$I2598&lt;=0),"",TODAY()-$A2598)</f>
        <v/>
      </c>
      <c r="K2598" s="10"/>
    </row>
    <row r="2599" customFormat="false" ht="15" hidden="false" customHeight="true" outlineLevel="0" collapsed="false">
      <c r="A2599" s="13"/>
      <c r="B2599" s="10"/>
      <c r="C2599" s="10"/>
      <c r="D2599" s="14"/>
      <c r="E2599" s="11"/>
      <c r="F2599" s="15" t="str">
        <f aca="false">IF($B2599="","",IF(AND($D2599="",$E2599=""),"",IF(OR($D2599="",$E2599=""),0,ROUND($D2599*$E2599,0))))</f>
        <v/>
      </c>
      <c r="G2599" s="13"/>
      <c r="H2599" s="11"/>
      <c r="I2599" s="15" t="str">
        <f aca="false">IF($F2599="","",$F2599-IF($H2599="",0,$H2599))</f>
        <v/>
      </c>
      <c r="J2599" s="16" t="str">
        <f aca="true">IF(OR($A2599="",$I2599="",$I2599&lt;=0),"",TODAY()-$A2599)</f>
        <v/>
      </c>
      <c r="K2599" s="10"/>
    </row>
    <row r="2600" customFormat="false" ht="15" hidden="false" customHeight="true" outlineLevel="0" collapsed="false">
      <c r="A2600" s="13"/>
      <c r="B2600" s="10"/>
      <c r="C2600" s="10"/>
      <c r="D2600" s="14"/>
      <c r="E2600" s="11"/>
      <c r="F2600" s="15" t="str">
        <f aca="false">IF($B2600="","",IF(AND($D2600="",$E2600=""),"",IF(OR($D2600="",$E2600=""),0,ROUND($D2600*$E2600,0))))</f>
        <v/>
      </c>
      <c r="G2600" s="13"/>
      <c r="H2600" s="11"/>
      <c r="I2600" s="15" t="str">
        <f aca="false">IF($F2600="","",$F2600-IF($H2600="",0,$H2600))</f>
        <v/>
      </c>
      <c r="J2600" s="16" t="str">
        <f aca="true">IF(OR($A2600="",$I2600="",$I2600&lt;=0),"",TODAY()-$A2600)</f>
        <v/>
      </c>
      <c r="K2600" s="10"/>
    </row>
    <row r="2601" customFormat="false" ht="15" hidden="false" customHeight="true" outlineLevel="0" collapsed="false">
      <c r="A2601" s="13"/>
      <c r="B2601" s="10"/>
      <c r="C2601" s="10"/>
      <c r="D2601" s="14"/>
      <c r="E2601" s="11"/>
      <c r="F2601" s="15" t="str">
        <f aca="false">IF($B2601="","",IF(AND($D2601="",$E2601=""),"",IF(OR($D2601="",$E2601=""),0,ROUND($D2601*$E2601,0))))</f>
        <v/>
      </c>
      <c r="G2601" s="13"/>
      <c r="H2601" s="11"/>
      <c r="I2601" s="15" t="str">
        <f aca="false">IF($F2601="","",$F2601-IF($H2601="",0,$H2601))</f>
        <v/>
      </c>
      <c r="J2601" s="16" t="str">
        <f aca="true">IF(OR($A2601="",$I2601="",$I2601&lt;=0),"",TODAY()-$A2601)</f>
        <v/>
      </c>
      <c r="K2601" s="10"/>
    </row>
    <row r="2602" customFormat="false" ht="15" hidden="false" customHeight="true" outlineLevel="0" collapsed="false">
      <c r="A2602" s="13"/>
      <c r="B2602" s="10"/>
      <c r="C2602" s="10"/>
      <c r="D2602" s="14"/>
      <c r="E2602" s="11"/>
      <c r="F2602" s="15" t="str">
        <f aca="false">IF($B2602="","",IF(AND($D2602="",$E2602=""),"",IF(OR($D2602="",$E2602=""),0,ROUND($D2602*$E2602,0))))</f>
        <v/>
      </c>
      <c r="G2602" s="13"/>
      <c r="H2602" s="11"/>
      <c r="I2602" s="15" t="str">
        <f aca="false">IF($F2602="","",$F2602-IF($H2602="",0,$H2602))</f>
        <v/>
      </c>
      <c r="J2602" s="16" t="str">
        <f aca="true">IF(OR($A2602="",$I2602="",$I2602&lt;=0),"",TODAY()-$A2602)</f>
        <v/>
      </c>
      <c r="K2602" s="10"/>
    </row>
    <row r="2603" customFormat="false" ht="15" hidden="false" customHeight="true" outlineLevel="0" collapsed="false">
      <c r="A2603" s="13"/>
      <c r="B2603" s="10"/>
      <c r="C2603" s="10"/>
      <c r="D2603" s="14"/>
      <c r="E2603" s="11"/>
      <c r="F2603" s="15" t="str">
        <f aca="false">IF($B2603="","",IF(AND($D2603="",$E2603=""),"",IF(OR($D2603="",$E2603=""),0,ROUND($D2603*$E2603,0))))</f>
        <v/>
      </c>
      <c r="G2603" s="13"/>
      <c r="H2603" s="11"/>
      <c r="I2603" s="15" t="str">
        <f aca="false">IF($F2603="","",$F2603-IF($H2603="",0,$H2603))</f>
        <v/>
      </c>
      <c r="J2603" s="16" t="str">
        <f aca="true">IF(OR($A2603="",$I2603="",$I2603&lt;=0),"",TODAY()-$A2603)</f>
        <v/>
      </c>
      <c r="K2603" s="10"/>
    </row>
    <row r="2604" customFormat="false" ht="15" hidden="false" customHeight="true" outlineLevel="0" collapsed="false">
      <c r="A2604" s="13"/>
      <c r="B2604" s="10"/>
      <c r="C2604" s="10"/>
      <c r="D2604" s="14"/>
      <c r="E2604" s="11"/>
      <c r="F2604" s="15" t="str">
        <f aca="false">IF($B2604="","",IF(AND($D2604="",$E2604=""),"",IF(OR($D2604="",$E2604=""),0,ROUND($D2604*$E2604,0))))</f>
        <v/>
      </c>
      <c r="G2604" s="13"/>
      <c r="H2604" s="11"/>
      <c r="I2604" s="15" t="str">
        <f aca="false">IF($F2604="","",$F2604-IF($H2604="",0,$H2604))</f>
        <v/>
      </c>
      <c r="J2604" s="16" t="str">
        <f aca="true">IF(OR($A2604="",$I2604="",$I2604&lt;=0),"",TODAY()-$A2604)</f>
        <v/>
      </c>
      <c r="K2604" s="10"/>
    </row>
    <row r="2605" customFormat="false" ht="15" hidden="false" customHeight="true" outlineLevel="0" collapsed="false">
      <c r="A2605" s="13"/>
      <c r="B2605" s="10"/>
      <c r="C2605" s="10"/>
      <c r="D2605" s="14"/>
      <c r="E2605" s="11"/>
      <c r="F2605" s="15" t="str">
        <f aca="false">IF($B2605="","",IF(AND($D2605="",$E2605=""),"",IF(OR($D2605="",$E2605=""),0,ROUND($D2605*$E2605,0))))</f>
        <v/>
      </c>
      <c r="G2605" s="13"/>
      <c r="H2605" s="11"/>
      <c r="I2605" s="15" t="str">
        <f aca="false">IF($F2605="","",$F2605-IF($H2605="",0,$H2605))</f>
        <v/>
      </c>
      <c r="J2605" s="16" t="str">
        <f aca="true">IF(OR($A2605="",$I2605="",$I2605&lt;=0),"",TODAY()-$A2605)</f>
        <v/>
      </c>
      <c r="K2605" s="10"/>
    </row>
    <row r="2606" customFormat="false" ht="15" hidden="false" customHeight="true" outlineLevel="0" collapsed="false">
      <c r="A2606" s="13"/>
      <c r="B2606" s="10"/>
      <c r="C2606" s="10"/>
      <c r="D2606" s="14"/>
      <c r="E2606" s="11"/>
      <c r="F2606" s="15" t="str">
        <f aca="false">IF($B2606="","",IF(AND($D2606="",$E2606=""),"",IF(OR($D2606="",$E2606=""),0,ROUND($D2606*$E2606,0))))</f>
        <v/>
      </c>
      <c r="G2606" s="13"/>
      <c r="H2606" s="11"/>
      <c r="I2606" s="15" t="str">
        <f aca="false">IF($F2606="","",$F2606-IF($H2606="",0,$H2606))</f>
        <v/>
      </c>
      <c r="J2606" s="16" t="str">
        <f aca="true">IF(OR($A2606="",$I2606="",$I2606&lt;=0),"",TODAY()-$A2606)</f>
        <v/>
      </c>
      <c r="K2606" s="10"/>
    </row>
    <row r="2607" customFormat="false" ht="15" hidden="false" customHeight="true" outlineLevel="0" collapsed="false">
      <c r="A2607" s="13"/>
      <c r="B2607" s="10"/>
      <c r="C2607" s="10"/>
      <c r="D2607" s="14"/>
      <c r="E2607" s="11"/>
      <c r="F2607" s="15" t="str">
        <f aca="false">IF($B2607="","",IF(AND($D2607="",$E2607=""),"",IF(OR($D2607="",$E2607=""),0,ROUND($D2607*$E2607,0))))</f>
        <v/>
      </c>
      <c r="G2607" s="13"/>
      <c r="H2607" s="11"/>
      <c r="I2607" s="15" t="str">
        <f aca="false">IF($F2607="","",$F2607-IF($H2607="",0,$H2607))</f>
        <v/>
      </c>
      <c r="J2607" s="16" t="str">
        <f aca="true">IF(OR($A2607="",$I2607="",$I2607&lt;=0),"",TODAY()-$A2607)</f>
        <v/>
      </c>
      <c r="K2607" s="10"/>
    </row>
    <row r="2608" customFormat="false" ht="15" hidden="false" customHeight="true" outlineLevel="0" collapsed="false">
      <c r="A2608" s="13"/>
      <c r="B2608" s="10"/>
      <c r="C2608" s="10"/>
      <c r="D2608" s="14"/>
      <c r="E2608" s="11"/>
      <c r="F2608" s="15" t="str">
        <f aca="false">IF($B2608="","",IF(AND($D2608="",$E2608=""),"",IF(OR($D2608="",$E2608=""),0,ROUND($D2608*$E2608,0))))</f>
        <v/>
      </c>
      <c r="G2608" s="13"/>
      <c r="H2608" s="11"/>
      <c r="I2608" s="15" t="str">
        <f aca="false">IF($F2608="","",$F2608-IF($H2608="",0,$H2608))</f>
        <v/>
      </c>
      <c r="J2608" s="16" t="str">
        <f aca="true">IF(OR($A2608="",$I2608="",$I2608&lt;=0),"",TODAY()-$A2608)</f>
        <v/>
      </c>
      <c r="K2608" s="10"/>
    </row>
    <row r="2609" customFormat="false" ht="15" hidden="false" customHeight="true" outlineLevel="0" collapsed="false">
      <c r="A2609" s="13"/>
      <c r="B2609" s="10"/>
      <c r="C2609" s="10"/>
      <c r="D2609" s="14"/>
      <c r="E2609" s="11"/>
      <c r="F2609" s="15" t="str">
        <f aca="false">IF($B2609="","",IF(AND($D2609="",$E2609=""),"",IF(OR($D2609="",$E2609=""),0,ROUND($D2609*$E2609,0))))</f>
        <v/>
      </c>
      <c r="G2609" s="13"/>
      <c r="H2609" s="11"/>
      <c r="I2609" s="15" t="str">
        <f aca="false">IF($F2609="","",$F2609-IF($H2609="",0,$H2609))</f>
        <v/>
      </c>
      <c r="J2609" s="16" t="str">
        <f aca="true">IF(OR($A2609="",$I2609="",$I2609&lt;=0),"",TODAY()-$A2609)</f>
        <v/>
      </c>
      <c r="K2609" s="10"/>
    </row>
    <row r="2610" customFormat="false" ht="15" hidden="false" customHeight="true" outlineLevel="0" collapsed="false">
      <c r="A2610" s="13"/>
      <c r="B2610" s="10"/>
      <c r="C2610" s="10"/>
      <c r="D2610" s="14"/>
      <c r="E2610" s="11"/>
      <c r="F2610" s="15" t="str">
        <f aca="false">IF($B2610="","",IF(AND($D2610="",$E2610=""),"",IF(OR($D2610="",$E2610=""),0,ROUND($D2610*$E2610,0))))</f>
        <v/>
      </c>
      <c r="G2610" s="13"/>
      <c r="H2610" s="11"/>
      <c r="I2610" s="15" t="str">
        <f aca="false">IF($F2610="","",$F2610-IF($H2610="",0,$H2610))</f>
        <v/>
      </c>
      <c r="J2610" s="16" t="str">
        <f aca="true">IF(OR($A2610="",$I2610="",$I2610&lt;=0),"",TODAY()-$A2610)</f>
        <v/>
      </c>
      <c r="K2610" s="10"/>
    </row>
    <row r="2611" customFormat="false" ht="15" hidden="false" customHeight="true" outlineLevel="0" collapsed="false">
      <c r="A2611" s="13"/>
      <c r="B2611" s="10"/>
      <c r="C2611" s="10"/>
      <c r="D2611" s="14"/>
      <c r="E2611" s="11"/>
      <c r="F2611" s="15" t="str">
        <f aca="false">IF($B2611="","",IF(AND($D2611="",$E2611=""),"",IF(OR($D2611="",$E2611=""),0,ROUND($D2611*$E2611,0))))</f>
        <v/>
      </c>
      <c r="G2611" s="13"/>
      <c r="H2611" s="11"/>
      <c r="I2611" s="15" t="str">
        <f aca="false">IF($F2611="","",$F2611-IF($H2611="",0,$H2611))</f>
        <v/>
      </c>
      <c r="J2611" s="16" t="str">
        <f aca="true">IF(OR($A2611="",$I2611="",$I2611&lt;=0),"",TODAY()-$A2611)</f>
        <v/>
      </c>
      <c r="K2611" s="10"/>
    </row>
    <row r="2612" customFormat="false" ht="15" hidden="false" customHeight="true" outlineLevel="0" collapsed="false">
      <c r="A2612" s="13"/>
      <c r="B2612" s="10"/>
      <c r="C2612" s="10"/>
      <c r="D2612" s="14"/>
      <c r="E2612" s="11"/>
      <c r="F2612" s="15" t="str">
        <f aca="false">IF($B2612="","",IF(AND($D2612="",$E2612=""),"",IF(OR($D2612="",$E2612=""),0,ROUND($D2612*$E2612,0))))</f>
        <v/>
      </c>
      <c r="G2612" s="13"/>
      <c r="H2612" s="11"/>
      <c r="I2612" s="15" t="str">
        <f aca="false">IF($F2612="","",$F2612-IF($H2612="",0,$H2612))</f>
        <v/>
      </c>
      <c r="J2612" s="16" t="str">
        <f aca="true">IF(OR($A2612="",$I2612="",$I2612&lt;=0),"",TODAY()-$A2612)</f>
        <v/>
      </c>
      <c r="K2612" s="10"/>
    </row>
    <row r="2613" customFormat="false" ht="15" hidden="false" customHeight="true" outlineLevel="0" collapsed="false">
      <c r="A2613" s="13"/>
      <c r="B2613" s="10"/>
      <c r="C2613" s="10"/>
      <c r="D2613" s="14"/>
      <c r="E2613" s="11"/>
      <c r="F2613" s="15" t="str">
        <f aca="false">IF($B2613="","",IF(AND($D2613="",$E2613=""),"",IF(OR($D2613="",$E2613=""),0,ROUND($D2613*$E2613,0))))</f>
        <v/>
      </c>
      <c r="G2613" s="13"/>
      <c r="H2613" s="11"/>
      <c r="I2613" s="15" t="str">
        <f aca="false">IF($F2613="","",$F2613-IF($H2613="",0,$H2613))</f>
        <v/>
      </c>
      <c r="J2613" s="16" t="str">
        <f aca="true">IF(OR($A2613="",$I2613="",$I2613&lt;=0),"",TODAY()-$A2613)</f>
        <v/>
      </c>
      <c r="K2613" s="10"/>
    </row>
    <row r="2614" customFormat="false" ht="15" hidden="false" customHeight="true" outlineLevel="0" collapsed="false">
      <c r="A2614" s="13"/>
      <c r="B2614" s="10"/>
      <c r="C2614" s="10"/>
      <c r="D2614" s="14"/>
      <c r="E2614" s="11"/>
      <c r="F2614" s="15" t="str">
        <f aca="false">IF($B2614="","",IF(AND($D2614="",$E2614=""),"",IF(OR($D2614="",$E2614=""),0,ROUND($D2614*$E2614,0))))</f>
        <v/>
      </c>
      <c r="G2614" s="13"/>
      <c r="H2614" s="11"/>
      <c r="I2614" s="15" t="str">
        <f aca="false">IF($F2614="","",$F2614-IF($H2614="",0,$H2614))</f>
        <v/>
      </c>
      <c r="J2614" s="16" t="str">
        <f aca="true">IF(OR($A2614="",$I2614="",$I2614&lt;=0),"",TODAY()-$A2614)</f>
        <v/>
      </c>
      <c r="K2614" s="10"/>
    </row>
    <row r="2615" customFormat="false" ht="15" hidden="false" customHeight="true" outlineLevel="0" collapsed="false">
      <c r="A2615" s="13"/>
      <c r="B2615" s="10"/>
      <c r="C2615" s="10"/>
      <c r="D2615" s="14"/>
      <c r="E2615" s="11"/>
      <c r="F2615" s="15" t="str">
        <f aca="false">IF($B2615="","",IF(AND($D2615="",$E2615=""),"",IF(OR($D2615="",$E2615=""),0,ROUND($D2615*$E2615,0))))</f>
        <v/>
      </c>
      <c r="G2615" s="13"/>
      <c r="H2615" s="11"/>
      <c r="I2615" s="15" t="str">
        <f aca="false">IF($F2615="","",$F2615-IF($H2615="",0,$H2615))</f>
        <v/>
      </c>
      <c r="J2615" s="16" t="str">
        <f aca="true">IF(OR($A2615="",$I2615="",$I2615&lt;=0),"",TODAY()-$A2615)</f>
        <v/>
      </c>
      <c r="K2615" s="10"/>
    </row>
    <row r="2616" customFormat="false" ht="15" hidden="false" customHeight="true" outlineLevel="0" collapsed="false">
      <c r="A2616" s="13"/>
      <c r="B2616" s="10"/>
      <c r="C2616" s="10"/>
      <c r="D2616" s="14"/>
      <c r="E2616" s="11"/>
      <c r="F2616" s="15" t="str">
        <f aca="false">IF($B2616="","",IF(AND($D2616="",$E2616=""),"",IF(OR($D2616="",$E2616=""),0,ROUND($D2616*$E2616,0))))</f>
        <v/>
      </c>
      <c r="G2616" s="13"/>
      <c r="H2616" s="11"/>
      <c r="I2616" s="15" t="str">
        <f aca="false">IF($F2616="","",$F2616-IF($H2616="",0,$H2616))</f>
        <v/>
      </c>
      <c r="J2616" s="16" t="str">
        <f aca="true">IF(OR($A2616="",$I2616="",$I2616&lt;=0),"",TODAY()-$A2616)</f>
        <v/>
      </c>
      <c r="K2616" s="10"/>
    </row>
    <row r="2617" customFormat="false" ht="15" hidden="false" customHeight="true" outlineLevel="0" collapsed="false">
      <c r="A2617" s="13"/>
      <c r="B2617" s="10"/>
      <c r="C2617" s="10"/>
      <c r="D2617" s="14"/>
      <c r="E2617" s="11"/>
      <c r="F2617" s="15" t="str">
        <f aca="false">IF($B2617="","",IF(AND($D2617="",$E2617=""),"",IF(OR($D2617="",$E2617=""),0,ROUND($D2617*$E2617,0))))</f>
        <v/>
      </c>
      <c r="G2617" s="13"/>
      <c r="H2617" s="11"/>
      <c r="I2617" s="15" t="str">
        <f aca="false">IF($F2617="","",$F2617-IF($H2617="",0,$H2617))</f>
        <v/>
      </c>
      <c r="J2617" s="16" t="str">
        <f aca="true">IF(OR($A2617="",$I2617="",$I2617&lt;=0),"",TODAY()-$A2617)</f>
        <v/>
      </c>
      <c r="K2617" s="10"/>
    </row>
    <row r="2618" customFormat="false" ht="15" hidden="false" customHeight="true" outlineLevel="0" collapsed="false">
      <c r="A2618" s="13"/>
      <c r="B2618" s="10"/>
      <c r="C2618" s="10"/>
      <c r="D2618" s="14"/>
      <c r="E2618" s="11"/>
      <c r="F2618" s="15" t="str">
        <f aca="false">IF($B2618="","",IF(AND($D2618="",$E2618=""),"",IF(OR($D2618="",$E2618=""),0,ROUND($D2618*$E2618,0))))</f>
        <v/>
      </c>
      <c r="G2618" s="13"/>
      <c r="H2618" s="11"/>
      <c r="I2618" s="15" t="str">
        <f aca="false">IF($F2618="","",$F2618-IF($H2618="",0,$H2618))</f>
        <v/>
      </c>
      <c r="J2618" s="16" t="str">
        <f aca="true">IF(OR($A2618="",$I2618="",$I2618&lt;=0),"",TODAY()-$A2618)</f>
        <v/>
      </c>
      <c r="K2618" s="10"/>
    </row>
    <row r="2619" customFormat="false" ht="15" hidden="false" customHeight="true" outlineLevel="0" collapsed="false">
      <c r="A2619" s="13"/>
      <c r="B2619" s="10"/>
      <c r="C2619" s="10"/>
      <c r="D2619" s="14"/>
      <c r="E2619" s="11"/>
      <c r="F2619" s="15" t="str">
        <f aca="false">IF($B2619="","",IF(AND($D2619="",$E2619=""),"",IF(OR($D2619="",$E2619=""),0,ROUND($D2619*$E2619,0))))</f>
        <v/>
      </c>
      <c r="G2619" s="13"/>
      <c r="H2619" s="11"/>
      <c r="I2619" s="15" t="str">
        <f aca="false">IF($F2619="","",$F2619-IF($H2619="",0,$H2619))</f>
        <v/>
      </c>
      <c r="J2619" s="16" t="str">
        <f aca="true">IF(OR($A2619="",$I2619="",$I2619&lt;=0),"",TODAY()-$A2619)</f>
        <v/>
      </c>
      <c r="K2619" s="10"/>
    </row>
    <row r="2620" customFormat="false" ht="15" hidden="false" customHeight="true" outlineLevel="0" collapsed="false">
      <c r="A2620" s="13"/>
      <c r="B2620" s="10"/>
      <c r="C2620" s="10"/>
      <c r="D2620" s="14"/>
      <c r="E2620" s="11"/>
      <c r="F2620" s="15" t="str">
        <f aca="false">IF($B2620="","",IF(AND($D2620="",$E2620=""),"",IF(OR($D2620="",$E2620=""),0,ROUND($D2620*$E2620,0))))</f>
        <v/>
      </c>
      <c r="G2620" s="13"/>
      <c r="H2620" s="11"/>
      <c r="I2620" s="15" t="str">
        <f aca="false">IF($F2620="","",$F2620-IF($H2620="",0,$H2620))</f>
        <v/>
      </c>
      <c r="J2620" s="16" t="str">
        <f aca="true">IF(OR($A2620="",$I2620="",$I2620&lt;=0),"",TODAY()-$A2620)</f>
        <v/>
      </c>
      <c r="K2620" s="10"/>
    </row>
    <row r="2621" customFormat="false" ht="15" hidden="false" customHeight="true" outlineLevel="0" collapsed="false">
      <c r="A2621" s="13"/>
      <c r="B2621" s="10"/>
      <c r="C2621" s="10"/>
      <c r="D2621" s="14"/>
      <c r="E2621" s="11"/>
      <c r="F2621" s="15" t="str">
        <f aca="false">IF($B2621="","",IF(AND($D2621="",$E2621=""),"",IF(OR($D2621="",$E2621=""),0,ROUND($D2621*$E2621,0))))</f>
        <v/>
      </c>
      <c r="G2621" s="13"/>
      <c r="H2621" s="11"/>
      <c r="I2621" s="15" t="str">
        <f aca="false">IF($F2621="","",$F2621-IF($H2621="",0,$H2621))</f>
        <v/>
      </c>
      <c r="J2621" s="16" t="str">
        <f aca="true">IF(OR($A2621="",$I2621="",$I2621&lt;=0),"",TODAY()-$A2621)</f>
        <v/>
      </c>
      <c r="K2621" s="10"/>
    </row>
    <row r="2622" customFormat="false" ht="15" hidden="false" customHeight="true" outlineLevel="0" collapsed="false">
      <c r="A2622" s="13"/>
      <c r="B2622" s="10"/>
      <c r="C2622" s="10"/>
      <c r="D2622" s="14"/>
      <c r="E2622" s="11"/>
      <c r="F2622" s="15" t="str">
        <f aca="false">IF($B2622="","",IF(AND($D2622="",$E2622=""),"",IF(OR($D2622="",$E2622=""),0,ROUND($D2622*$E2622,0))))</f>
        <v/>
      </c>
      <c r="G2622" s="13"/>
      <c r="H2622" s="11"/>
      <c r="I2622" s="15" t="str">
        <f aca="false">IF($F2622="","",$F2622-IF($H2622="",0,$H2622))</f>
        <v/>
      </c>
      <c r="J2622" s="16" t="str">
        <f aca="true">IF(OR($A2622="",$I2622="",$I2622&lt;=0),"",TODAY()-$A2622)</f>
        <v/>
      </c>
      <c r="K2622" s="10"/>
    </row>
    <row r="2623" customFormat="false" ht="15" hidden="false" customHeight="true" outlineLevel="0" collapsed="false">
      <c r="A2623" s="13"/>
      <c r="B2623" s="10"/>
      <c r="C2623" s="10"/>
      <c r="D2623" s="14"/>
      <c r="E2623" s="11"/>
      <c r="F2623" s="15" t="str">
        <f aca="false">IF($B2623="","",IF(AND($D2623="",$E2623=""),"",IF(OR($D2623="",$E2623=""),0,ROUND($D2623*$E2623,0))))</f>
        <v/>
      </c>
      <c r="G2623" s="13"/>
      <c r="H2623" s="11"/>
      <c r="I2623" s="15" t="str">
        <f aca="false">IF($F2623="","",$F2623-IF($H2623="",0,$H2623))</f>
        <v/>
      </c>
      <c r="J2623" s="16" t="str">
        <f aca="true">IF(OR($A2623="",$I2623="",$I2623&lt;=0),"",TODAY()-$A2623)</f>
        <v/>
      </c>
      <c r="K2623" s="10"/>
    </row>
    <row r="2624" customFormat="false" ht="15" hidden="false" customHeight="true" outlineLevel="0" collapsed="false">
      <c r="A2624" s="13"/>
      <c r="B2624" s="10"/>
      <c r="C2624" s="10"/>
      <c r="D2624" s="14"/>
      <c r="E2624" s="11"/>
      <c r="F2624" s="15" t="str">
        <f aca="false">IF($B2624="","",IF(AND($D2624="",$E2624=""),"",IF(OR($D2624="",$E2624=""),0,ROUND($D2624*$E2624,0))))</f>
        <v/>
      </c>
      <c r="G2624" s="13"/>
      <c r="H2624" s="11"/>
      <c r="I2624" s="15" t="str">
        <f aca="false">IF($F2624="","",$F2624-IF($H2624="",0,$H2624))</f>
        <v/>
      </c>
      <c r="J2624" s="16" t="str">
        <f aca="true">IF(OR($A2624="",$I2624="",$I2624&lt;=0),"",TODAY()-$A2624)</f>
        <v/>
      </c>
      <c r="K2624" s="10"/>
    </row>
    <row r="2625" customFormat="false" ht="15" hidden="false" customHeight="true" outlineLevel="0" collapsed="false">
      <c r="A2625" s="13"/>
      <c r="B2625" s="10"/>
      <c r="C2625" s="10"/>
      <c r="D2625" s="14"/>
      <c r="E2625" s="11"/>
      <c r="F2625" s="15" t="str">
        <f aca="false">IF($B2625="","",IF(AND($D2625="",$E2625=""),"",IF(OR($D2625="",$E2625=""),0,ROUND($D2625*$E2625,0))))</f>
        <v/>
      </c>
      <c r="G2625" s="13"/>
      <c r="H2625" s="11"/>
      <c r="I2625" s="15" t="str">
        <f aca="false">IF($F2625="","",$F2625-IF($H2625="",0,$H2625))</f>
        <v/>
      </c>
      <c r="J2625" s="16" t="str">
        <f aca="true">IF(OR($A2625="",$I2625="",$I2625&lt;=0),"",TODAY()-$A2625)</f>
        <v/>
      </c>
      <c r="K2625" s="10"/>
    </row>
    <row r="2626" customFormat="false" ht="15" hidden="false" customHeight="true" outlineLevel="0" collapsed="false">
      <c r="A2626" s="13"/>
      <c r="B2626" s="10"/>
      <c r="C2626" s="10"/>
      <c r="D2626" s="14"/>
      <c r="E2626" s="11"/>
      <c r="F2626" s="15" t="str">
        <f aca="false">IF($B2626="","",IF(AND($D2626="",$E2626=""),"",IF(OR($D2626="",$E2626=""),0,ROUND($D2626*$E2626,0))))</f>
        <v/>
      </c>
      <c r="G2626" s="13"/>
      <c r="H2626" s="11"/>
      <c r="I2626" s="15" t="str">
        <f aca="false">IF($F2626="","",$F2626-IF($H2626="",0,$H2626))</f>
        <v/>
      </c>
      <c r="J2626" s="16" t="str">
        <f aca="true">IF(OR($A2626="",$I2626="",$I2626&lt;=0),"",TODAY()-$A2626)</f>
        <v/>
      </c>
      <c r="K2626" s="10"/>
    </row>
    <row r="2627" customFormat="false" ht="15" hidden="false" customHeight="true" outlineLevel="0" collapsed="false">
      <c r="A2627" s="13"/>
      <c r="B2627" s="10"/>
      <c r="C2627" s="10"/>
      <c r="D2627" s="14"/>
      <c r="E2627" s="11"/>
      <c r="F2627" s="15" t="str">
        <f aca="false">IF($B2627="","",IF(AND($D2627="",$E2627=""),"",IF(OR($D2627="",$E2627=""),0,ROUND($D2627*$E2627,0))))</f>
        <v/>
      </c>
      <c r="G2627" s="13"/>
      <c r="H2627" s="11"/>
      <c r="I2627" s="15" t="str">
        <f aca="false">IF($F2627="","",$F2627-IF($H2627="",0,$H2627))</f>
        <v/>
      </c>
      <c r="J2627" s="16" t="str">
        <f aca="true">IF(OR($A2627="",$I2627="",$I2627&lt;=0),"",TODAY()-$A2627)</f>
        <v/>
      </c>
      <c r="K2627" s="10"/>
    </row>
    <row r="2628" customFormat="false" ht="15" hidden="false" customHeight="true" outlineLevel="0" collapsed="false">
      <c r="A2628" s="13"/>
      <c r="B2628" s="10"/>
      <c r="C2628" s="10"/>
      <c r="D2628" s="14"/>
      <c r="E2628" s="11"/>
      <c r="F2628" s="15" t="str">
        <f aca="false">IF($B2628="","",IF(AND($D2628="",$E2628=""),"",IF(OR($D2628="",$E2628=""),0,ROUND($D2628*$E2628,0))))</f>
        <v/>
      </c>
      <c r="G2628" s="13"/>
      <c r="H2628" s="11"/>
      <c r="I2628" s="15" t="str">
        <f aca="false">IF($F2628="","",$F2628-IF($H2628="",0,$H2628))</f>
        <v/>
      </c>
      <c r="J2628" s="16" t="str">
        <f aca="true">IF(OR($A2628="",$I2628="",$I2628&lt;=0),"",TODAY()-$A2628)</f>
        <v/>
      </c>
      <c r="K2628" s="10"/>
    </row>
    <row r="2629" customFormat="false" ht="15" hidden="false" customHeight="true" outlineLevel="0" collapsed="false">
      <c r="A2629" s="13"/>
      <c r="B2629" s="10"/>
      <c r="C2629" s="10"/>
      <c r="D2629" s="14"/>
      <c r="E2629" s="11"/>
      <c r="F2629" s="15" t="str">
        <f aca="false">IF($B2629="","",IF(AND($D2629="",$E2629=""),"",IF(OR($D2629="",$E2629=""),0,ROUND($D2629*$E2629,0))))</f>
        <v/>
      </c>
      <c r="G2629" s="13"/>
      <c r="H2629" s="11"/>
      <c r="I2629" s="15" t="str">
        <f aca="false">IF($F2629="","",$F2629-IF($H2629="",0,$H2629))</f>
        <v/>
      </c>
      <c r="J2629" s="16" t="str">
        <f aca="true">IF(OR($A2629="",$I2629="",$I2629&lt;=0),"",TODAY()-$A2629)</f>
        <v/>
      </c>
      <c r="K2629" s="10"/>
    </row>
    <row r="2630" customFormat="false" ht="15" hidden="false" customHeight="true" outlineLevel="0" collapsed="false">
      <c r="A2630" s="13"/>
      <c r="B2630" s="10"/>
      <c r="C2630" s="10"/>
      <c r="D2630" s="14"/>
      <c r="E2630" s="11"/>
      <c r="F2630" s="15" t="str">
        <f aca="false">IF($B2630="","",IF(AND($D2630="",$E2630=""),"",IF(OR($D2630="",$E2630=""),0,ROUND($D2630*$E2630,0))))</f>
        <v/>
      </c>
      <c r="G2630" s="13"/>
      <c r="H2630" s="11"/>
      <c r="I2630" s="15" t="str">
        <f aca="false">IF($F2630="","",$F2630-IF($H2630="",0,$H2630))</f>
        <v/>
      </c>
      <c r="J2630" s="16" t="str">
        <f aca="true">IF(OR($A2630="",$I2630="",$I2630&lt;=0),"",TODAY()-$A2630)</f>
        <v/>
      </c>
      <c r="K2630" s="10"/>
    </row>
    <row r="2631" customFormat="false" ht="15" hidden="false" customHeight="true" outlineLevel="0" collapsed="false">
      <c r="A2631" s="13"/>
      <c r="B2631" s="10"/>
      <c r="C2631" s="10"/>
      <c r="D2631" s="14"/>
      <c r="E2631" s="11"/>
      <c r="F2631" s="15" t="str">
        <f aca="false">IF($B2631="","",IF(AND($D2631="",$E2631=""),"",IF(OR($D2631="",$E2631=""),0,ROUND($D2631*$E2631,0))))</f>
        <v/>
      </c>
      <c r="G2631" s="13"/>
      <c r="H2631" s="11"/>
      <c r="I2631" s="15" t="str">
        <f aca="false">IF($F2631="","",$F2631-IF($H2631="",0,$H2631))</f>
        <v/>
      </c>
      <c r="J2631" s="16" t="str">
        <f aca="true">IF(OR($A2631="",$I2631="",$I2631&lt;=0),"",TODAY()-$A2631)</f>
        <v/>
      </c>
      <c r="K2631" s="10"/>
    </row>
    <row r="2632" customFormat="false" ht="15" hidden="false" customHeight="true" outlineLevel="0" collapsed="false">
      <c r="A2632" s="13"/>
      <c r="B2632" s="10"/>
      <c r="C2632" s="10"/>
      <c r="D2632" s="14"/>
      <c r="E2632" s="11"/>
      <c r="F2632" s="15" t="str">
        <f aca="false">IF($B2632="","",IF(AND($D2632="",$E2632=""),"",IF(OR($D2632="",$E2632=""),0,ROUND($D2632*$E2632,0))))</f>
        <v/>
      </c>
      <c r="G2632" s="13"/>
      <c r="H2632" s="11"/>
      <c r="I2632" s="15" t="str">
        <f aca="false">IF($F2632="","",$F2632-IF($H2632="",0,$H2632))</f>
        <v/>
      </c>
      <c r="J2632" s="16" t="str">
        <f aca="true">IF(OR($A2632="",$I2632="",$I2632&lt;=0),"",TODAY()-$A2632)</f>
        <v/>
      </c>
      <c r="K2632" s="10"/>
    </row>
    <row r="2633" customFormat="false" ht="15" hidden="false" customHeight="true" outlineLevel="0" collapsed="false">
      <c r="A2633" s="13"/>
      <c r="B2633" s="10"/>
      <c r="C2633" s="10"/>
      <c r="D2633" s="14"/>
      <c r="E2633" s="11"/>
      <c r="F2633" s="15" t="str">
        <f aca="false">IF($B2633="","",IF(AND($D2633="",$E2633=""),"",IF(OR($D2633="",$E2633=""),0,ROUND($D2633*$E2633,0))))</f>
        <v/>
      </c>
      <c r="G2633" s="13"/>
      <c r="H2633" s="11"/>
      <c r="I2633" s="15" t="str">
        <f aca="false">IF($F2633="","",$F2633-IF($H2633="",0,$H2633))</f>
        <v/>
      </c>
      <c r="J2633" s="16" t="str">
        <f aca="true">IF(OR($A2633="",$I2633="",$I2633&lt;=0),"",TODAY()-$A2633)</f>
        <v/>
      </c>
      <c r="K2633" s="10"/>
    </row>
    <row r="2634" customFormat="false" ht="15" hidden="false" customHeight="true" outlineLevel="0" collapsed="false">
      <c r="A2634" s="13"/>
      <c r="B2634" s="10"/>
      <c r="C2634" s="10"/>
      <c r="D2634" s="14"/>
      <c r="E2634" s="11"/>
      <c r="F2634" s="15" t="str">
        <f aca="false">IF($B2634="","",IF(AND($D2634="",$E2634=""),"",IF(OR($D2634="",$E2634=""),0,ROUND($D2634*$E2634,0))))</f>
        <v/>
      </c>
      <c r="G2634" s="13"/>
      <c r="H2634" s="11"/>
      <c r="I2634" s="15" t="str">
        <f aca="false">IF($F2634="","",$F2634-IF($H2634="",0,$H2634))</f>
        <v/>
      </c>
      <c r="J2634" s="16" t="str">
        <f aca="true">IF(OR($A2634="",$I2634="",$I2634&lt;=0),"",TODAY()-$A2634)</f>
        <v/>
      </c>
      <c r="K2634" s="10"/>
    </row>
    <row r="2635" customFormat="false" ht="15" hidden="false" customHeight="true" outlineLevel="0" collapsed="false">
      <c r="A2635" s="13"/>
      <c r="B2635" s="10"/>
      <c r="C2635" s="10"/>
      <c r="D2635" s="14"/>
      <c r="E2635" s="11"/>
      <c r="F2635" s="15" t="str">
        <f aca="false">IF($B2635="","",IF(AND($D2635="",$E2635=""),"",IF(OR($D2635="",$E2635=""),0,ROUND($D2635*$E2635,0))))</f>
        <v/>
      </c>
      <c r="G2635" s="13"/>
      <c r="H2635" s="11"/>
      <c r="I2635" s="15" t="str">
        <f aca="false">IF($F2635="","",$F2635-IF($H2635="",0,$H2635))</f>
        <v/>
      </c>
      <c r="J2635" s="16" t="str">
        <f aca="true">IF(OR($A2635="",$I2635="",$I2635&lt;=0),"",TODAY()-$A2635)</f>
        <v/>
      </c>
      <c r="K2635" s="10"/>
    </row>
    <row r="2636" customFormat="false" ht="15" hidden="false" customHeight="true" outlineLevel="0" collapsed="false">
      <c r="A2636" s="13"/>
      <c r="B2636" s="10"/>
      <c r="C2636" s="10"/>
      <c r="D2636" s="14"/>
      <c r="E2636" s="11"/>
      <c r="F2636" s="15" t="str">
        <f aca="false">IF($B2636="","",IF(AND($D2636="",$E2636=""),"",IF(OR($D2636="",$E2636=""),0,ROUND($D2636*$E2636,0))))</f>
        <v/>
      </c>
      <c r="G2636" s="13"/>
      <c r="H2636" s="11"/>
      <c r="I2636" s="15" t="str">
        <f aca="false">IF($F2636="","",$F2636-IF($H2636="",0,$H2636))</f>
        <v/>
      </c>
      <c r="J2636" s="16" t="str">
        <f aca="true">IF(OR($A2636="",$I2636="",$I2636&lt;=0),"",TODAY()-$A2636)</f>
        <v/>
      </c>
      <c r="K2636" s="10"/>
    </row>
    <row r="2637" customFormat="false" ht="15" hidden="false" customHeight="true" outlineLevel="0" collapsed="false">
      <c r="A2637" s="13"/>
      <c r="B2637" s="10"/>
      <c r="C2637" s="10"/>
      <c r="D2637" s="14"/>
      <c r="E2637" s="11"/>
      <c r="F2637" s="15" t="str">
        <f aca="false">IF($B2637="","",IF(AND($D2637="",$E2637=""),"",IF(OR($D2637="",$E2637=""),0,ROUND($D2637*$E2637,0))))</f>
        <v/>
      </c>
      <c r="G2637" s="13"/>
      <c r="H2637" s="11"/>
      <c r="I2637" s="15" t="str">
        <f aca="false">IF($F2637="","",$F2637-IF($H2637="",0,$H2637))</f>
        <v/>
      </c>
      <c r="J2637" s="16" t="str">
        <f aca="true">IF(OR($A2637="",$I2637="",$I2637&lt;=0),"",TODAY()-$A2637)</f>
        <v/>
      </c>
      <c r="K2637" s="10"/>
    </row>
    <row r="2638" customFormat="false" ht="15" hidden="false" customHeight="true" outlineLevel="0" collapsed="false">
      <c r="A2638" s="13"/>
      <c r="B2638" s="10"/>
      <c r="C2638" s="10"/>
      <c r="D2638" s="14"/>
      <c r="E2638" s="11"/>
      <c r="F2638" s="15" t="str">
        <f aca="false">IF($B2638="","",IF(AND($D2638="",$E2638=""),"",IF(OR($D2638="",$E2638=""),0,ROUND($D2638*$E2638,0))))</f>
        <v/>
      </c>
      <c r="G2638" s="13"/>
      <c r="H2638" s="11"/>
      <c r="I2638" s="15" t="str">
        <f aca="false">IF($F2638="","",$F2638-IF($H2638="",0,$H2638))</f>
        <v/>
      </c>
      <c r="J2638" s="16" t="str">
        <f aca="true">IF(OR($A2638="",$I2638="",$I2638&lt;=0),"",TODAY()-$A2638)</f>
        <v/>
      </c>
      <c r="K2638" s="10"/>
    </row>
    <row r="2639" customFormat="false" ht="15" hidden="false" customHeight="true" outlineLevel="0" collapsed="false">
      <c r="A2639" s="13"/>
      <c r="B2639" s="10"/>
      <c r="C2639" s="10"/>
      <c r="D2639" s="14"/>
      <c r="E2639" s="11"/>
      <c r="F2639" s="15" t="str">
        <f aca="false">IF($B2639="","",IF(AND($D2639="",$E2639=""),"",IF(OR($D2639="",$E2639=""),0,ROUND($D2639*$E2639,0))))</f>
        <v/>
      </c>
      <c r="G2639" s="13"/>
      <c r="H2639" s="11"/>
      <c r="I2639" s="15" t="str">
        <f aca="false">IF($F2639="","",$F2639-IF($H2639="",0,$H2639))</f>
        <v/>
      </c>
      <c r="J2639" s="16" t="str">
        <f aca="true">IF(OR($A2639="",$I2639="",$I2639&lt;=0),"",TODAY()-$A2639)</f>
        <v/>
      </c>
      <c r="K2639" s="10"/>
    </row>
    <row r="2640" customFormat="false" ht="15" hidden="false" customHeight="true" outlineLevel="0" collapsed="false">
      <c r="A2640" s="13"/>
      <c r="B2640" s="10"/>
      <c r="C2640" s="10"/>
      <c r="D2640" s="14"/>
      <c r="E2640" s="11"/>
      <c r="F2640" s="15" t="str">
        <f aca="false">IF($B2640="","",IF(AND($D2640="",$E2640=""),"",IF(OR($D2640="",$E2640=""),0,ROUND($D2640*$E2640,0))))</f>
        <v/>
      </c>
      <c r="G2640" s="13"/>
      <c r="H2640" s="11"/>
      <c r="I2640" s="15" t="str">
        <f aca="false">IF($F2640="","",$F2640-IF($H2640="",0,$H2640))</f>
        <v/>
      </c>
      <c r="J2640" s="16" t="str">
        <f aca="true">IF(OR($A2640="",$I2640="",$I2640&lt;=0),"",TODAY()-$A2640)</f>
        <v/>
      </c>
      <c r="K2640" s="10"/>
    </row>
    <row r="2641" customFormat="false" ht="15" hidden="false" customHeight="true" outlineLevel="0" collapsed="false">
      <c r="A2641" s="13"/>
      <c r="B2641" s="10"/>
      <c r="C2641" s="10"/>
      <c r="D2641" s="14"/>
      <c r="E2641" s="11"/>
      <c r="F2641" s="15" t="str">
        <f aca="false">IF($B2641="","",IF(AND($D2641="",$E2641=""),"",IF(OR($D2641="",$E2641=""),0,ROUND($D2641*$E2641,0))))</f>
        <v/>
      </c>
      <c r="G2641" s="13"/>
      <c r="H2641" s="11"/>
      <c r="I2641" s="15" t="str">
        <f aca="false">IF($F2641="","",$F2641-IF($H2641="",0,$H2641))</f>
        <v/>
      </c>
      <c r="J2641" s="16" t="str">
        <f aca="true">IF(OR($A2641="",$I2641="",$I2641&lt;=0),"",TODAY()-$A2641)</f>
        <v/>
      </c>
      <c r="K2641" s="10"/>
    </row>
    <row r="2642" customFormat="false" ht="15" hidden="false" customHeight="true" outlineLevel="0" collapsed="false">
      <c r="A2642" s="13"/>
      <c r="B2642" s="10"/>
      <c r="C2642" s="10"/>
      <c r="D2642" s="14"/>
      <c r="E2642" s="11"/>
      <c r="F2642" s="15" t="str">
        <f aca="false">IF($B2642="","",IF(AND($D2642="",$E2642=""),"",IF(OR($D2642="",$E2642=""),0,ROUND($D2642*$E2642,0))))</f>
        <v/>
      </c>
      <c r="G2642" s="13"/>
      <c r="H2642" s="11"/>
      <c r="I2642" s="15" t="str">
        <f aca="false">IF($F2642="","",$F2642-IF($H2642="",0,$H2642))</f>
        <v/>
      </c>
      <c r="J2642" s="16" t="str">
        <f aca="true">IF(OR($A2642="",$I2642="",$I2642&lt;=0),"",TODAY()-$A2642)</f>
        <v/>
      </c>
      <c r="K2642" s="10"/>
    </row>
    <row r="2643" customFormat="false" ht="15" hidden="false" customHeight="true" outlineLevel="0" collapsed="false">
      <c r="A2643" s="13"/>
      <c r="B2643" s="10"/>
      <c r="C2643" s="10"/>
      <c r="D2643" s="14"/>
      <c r="E2643" s="11"/>
      <c r="F2643" s="15" t="str">
        <f aca="false">IF($B2643="","",IF(AND($D2643="",$E2643=""),"",IF(OR($D2643="",$E2643=""),0,ROUND($D2643*$E2643,0))))</f>
        <v/>
      </c>
      <c r="G2643" s="13"/>
      <c r="H2643" s="11"/>
      <c r="I2643" s="15" t="str">
        <f aca="false">IF($F2643="","",$F2643-IF($H2643="",0,$H2643))</f>
        <v/>
      </c>
      <c r="J2643" s="16" t="str">
        <f aca="true">IF(OR($A2643="",$I2643="",$I2643&lt;=0),"",TODAY()-$A2643)</f>
        <v/>
      </c>
      <c r="K2643" s="10"/>
    </row>
    <row r="2644" customFormat="false" ht="15" hidden="false" customHeight="true" outlineLevel="0" collapsed="false">
      <c r="A2644" s="13"/>
      <c r="B2644" s="10"/>
      <c r="C2644" s="10"/>
      <c r="D2644" s="14"/>
      <c r="E2644" s="11"/>
      <c r="F2644" s="15" t="str">
        <f aca="false">IF($B2644="","",IF(AND($D2644="",$E2644=""),"",IF(OR($D2644="",$E2644=""),0,ROUND($D2644*$E2644,0))))</f>
        <v/>
      </c>
      <c r="G2644" s="13"/>
      <c r="H2644" s="11"/>
      <c r="I2644" s="15" t="str">
        <f aca="false">IF($F2644="","",$F2644-IF($H2644="",0,$H2644))</f>
        <v/>
      </c>
      <c r="J2644" s="16" t="str">
        <f aca="true">IF(OR($A2644="",$I2644="",$I2644&lt;=0),"",TODAY()-$A2644)</f>
        <v/>
      </c>
      <c r="K2644" s="10"/>
    </row>
    <row r="2645" customFormat="false" ht="15" hidden="false" customHeight="true" outlineLevel="0" collapsed="false">
      <c r="A2645" s="13"/>
      <c r="B2645" s="10"/>
      <c r="C2645" s="10"/>
      <c r="D2645" s="14"/>
      <c r="E2645" s="11"/>
      <c r="F2645" s="15" t="str">
        <f aca="false">IF($B2645="","",IF(AND($D2645="",$E2645=""),"",IF(OR($D2645="",$E2645=""),0,ROUND($D2645*$E2645,0))))</f>
        <v/>
      </c>
      <c r="G2645" s="13"/>
      <c r="H2645" s="11"/>
      <c r="I2645" s="15" t="str">
        <f aca="false">IF($F2645="","",$F2645-IF($H2645="",0,$H2645))</f>
        <v/>
      </c>
      <c r="J2645" s="16" t="str">
        <f aca="true">IF(OR($A2645="",$I2645="",$I2645&lt;=0),"",TODAY()-$A2645)</f>
        <v/>
      </c>
      <c r="K2645" s="10"/>
    </row>
    <row r="2646" customFormat="false" ht="15" hidden="false" customHeight="true" outlineLevel="0" collapsed="false">
      <c r="A2646" s="13"/>
      <c r="B2646" s="10"/>
      <c r="C2646" s="10"/>
      <c r="D2646" s="14"/>
      <c r="E2646" s="11"/>
      <c r="F2646" s="15" t="str">
        <f aca="false">IF($B2646="","",IF(AND($D2646="",$E2646=""),"",IF(OR($D2646="",$E2646=""),0,ROUND($D2646*$E2646,0))))</f>
        <v/>
      </c>
      <c r="G2646" s="13"/>
      <c r="H2646" s="11"/>
      <c r="I2646" s="15" t="str">
        <f aca="false">IF($F2646="","",$F2646-IF($H2646="",0,$H2646))</f>
        <v/>
      </c>
      <c r="J2646" s="16" t="str">
        <f aca="true">IF(OR($A2646="",$I2646="",$I2646&lt;=0),"",TODAY()-$A2646)</f>
        <v/>
      </c>
      <c r="K2646" s="10"/>
    </row>
    <row r="2647" customFormat="false" ht="15" hidden="false" customHeight="true" outlineLevel="0" collapsed="false">
      <c r="A2647" s="13"/>
      <c r="B2647" s="10"/>
      <c r="C2647" s="10"/>
      <c r="D2647" s="14"/>
      <c r="E2647" s="11"/>
      <c r="F2647" s="15" t="str">
        <f aca="false">IF($B2647="","",IF(AND($D2647="",$E2647=""),"",IF(OR($D2647="",$E2647=""),0,ROUND($D2647*$E2647,0))))</f>
        <v/>
      </c>
      <c r="G2647" s="13"/>
      <c r="H2647" s="11"/>
      <c r="I2647" s="15" t="str">
        <f aca="false">IF($F2647="","",$F2647-IF($H2647="",0,$H2647))</f>
        <v/>
      </c>
      <c r="J2647" s="16" t="str">
        <f aca="true">IF(OR($A2647="",$I2647="",$I2647&lt;=0),"",TODAY()-$A2647)</f>
        <v/>
      </c>
      <c r="K2647" s="10"/>
    </row>
    <row r="2648" customFormat="false" ht="15" hidden="false" customHeight="true" outlineLevel="0" collapsed="false">
      <c r="A2648" s="13"/>
      <c r="B2648" s="10"/>
      <c r="C2648" s="10"/>
      <c r="D2648" s="14"/>
      <c r="E2648" s="11"/>
      <c r="F2648" s="15" t="str">
        <f aca="false">IF($B2648="","",IF(AND($D2648="",$E2648=""),"",IF(OR($D2648="",$E2648=""),0,ROUND($D2648*$E2648,0))))</f>
        <v/>
      </c>
      <c r="G2648" s="13"/>
      <c r="H2648" s="11"/>
      <c r="I2648" s="15" t="str">
        <f aca="false">IF($F2648="","",$F2648-IF($H2648="",0,$H2648))</f>
        <v/>
      </c>
      <c r="J2648" s="16" t="str">
        <f aca="true">IF(OR($A2648="",$I2648="",$I2648&lt;=0),"",TODAY()-$A2648)</f>
        <v/>
      </c>
      <c r="K2648" s="10"/>
    </row>
    <row r="2649" customFormat="false" ht="15" hidden="false" customHeight="true" outlineLevel="0" collapsed="false">
      <c r="A2649" s="13"/>
      <c r="B2649" s="10"/>
      <c r="C2649" s="10"/>
      <c r="D2649" s="14"/>
      <c r="E2649" s="11"/>
      <c r="F2649" s="15" t="str">
        <f aca="false">IF($B2649="","",IF(AND($D2649="",$E2649=""),"",IF(OR($D2649="",$E2649=""),0,ROUND($D2649*$E2649,0))))</f>
        <v/>
      </c>
      <c r="G2649" s="13"/>
      <c r="H2649" s="11"/>
      <c r="I2649" s="15" t="str">
        <f aca="false">IF($F2649="","",$F2649-IF($H2649="",0,$H2649))</f>
        <v/>
      </c>
      <c r="J2649" s="16" t="str">
        <f aca="true">IF(OR($A2649="",$I2649="",$I2649&lt;=0),"",TODAY()-$A2649)</f>
        <v/>
      </c>
      <c r="K2649" s="10"/>
    </row>
    <row r="2650" customFormat="false" ht="15" hidden="false" customHeight="true" outlineLevel="0" collapsed="false">
      <c r="A2650" s="13"/>
      <c r="B2650" s="10"/>
      <c r="C2650" s="10"/>
      <c r="D2650" s="14"/>
      <c r="E2650" s="11"/>
      <c r="F2650" s="15" t="str">
        <f aca="false">IF($B2650="","",IF(AND($D2650="",$E2650=""),"",IF(OR($D2650="",$E2650=""),0,ROUND($D2650*$E2650,0))))</f>
        <v/>
      </c>
      <c r="G2650" s="13"/>
      <c r="H2650" s="11"/>
      <c r="I2650" s="15" t="str">
        <f aca="false">IF($F2650="","",$F2650-IF($H2650="",0,$H2650))</f>
        <v/>
      </c>
      <c r="J2650" s="16" t="str">
        <f aca="true">IF(OR($A2650="",$I2650="",$I2650&lt;=0),"",TODAY()-$A2650)</f>
        <v/>
      </c>
      <c r="K2650" s="10"/>
    </row>
    <row r="2651" customFormat="false" ht="15" hidden="false" customHeight="true" outlineLevel="0" collapsed="false">
      <c r="A2651" s="13"/>
      <c r="B2651" s="10"/>
      <c r="C2651" s="10"/>
      <c r="D2651" s="14"/>
      <c r="E2651" s="11"/>
      <c r="F2651" s="15" t="str">
        <f aca="false">IF($B2651="","",IF(AND($D2651="",$E2651=""),"",IF(OR($D2651="",$E2651=""),0,ROUND($D2651*$E2651,0))))</f>
        <v/>
      </c>
      <c r="G2651" s="13"/>
      <c r="H2651" s="11"/>
      <c r="I2651" s="15" t="str">
        <f aca="false">IF($F2651="","",$F2651-IF($H2651="",0,$H2651))</f>
        <v/>
      </c>
      <c r="J2651" s="16" t="str">
        <f aca="true">IF(OR($A2651="",$I2651="",$I2651&lt;=0),"",TODAY()-$A2651)</f>
        <v/>
      </c>
      <c r="K2651" s="10"/>
    </row>
    <row r="2652" customFormat="false" ht="15" hidden="false" customHeight="true" outlineLevel="0" collapsed="false">
      <c r="A2652" s="13"/>
      <c r="B2652" s="10"/>
      <c r="C2652" s="10"/>
      <c r="D2652" s="14"/>
      <c r="E2652" s="11"/>
      <c r="F2652" s="15" t="str">
        <f aca="false">IF($B2652="","",IF(AND($D2652="",$E2652=""),"",IF(OR($D2652="",$E2652=""),0,ROUND($D2652*$E2652,0))))</f>
        <v/>
      </c>
      <c r="G2652" s="13"/>
      <c r="H2652" s="11"/>
      <c r="I2652" s="15" t="str">
        <f aca="false">IF($F2652="","",$F2652-IF($H2652="",0,$H2652))</f>
        <v/>
      </c>
      <c r="J2652" s="16" t="str">
        <f aca="true">IF(OR($A2652="",$I2652="",$I2652&lt;=0),"",TODAY()-$A2652)</f>
        <v/>
      </c>
      <c r="K2652" s="10"/>
    </row>
    <row r="2653" customFormat="false" ht="15" hidden="false" customHeight="true" outlineLevel="0" collapsed="false">
      <c r="A2653" s="13"/>
      <c r="B2653" s="10"/>
      <c r="C2653" s="10"/>
      <c r="D2653" s="14"/>
      <c r="E2653" s="11"/>
      <c r="F2653" s="15" t="str">
        <f aca="false">IF($B2653="","",IF(AND($D2653="",$E2653=""),"",IF(OR($D2653="",$E2653=""),0,ROUND($D2653*$E2653,0))))</f>
        <v/>
      </c>
      <c r="G2653" s="13"/>
      <c r="H2653" s="11"/>
      <c r="I2653" s="15" t="str">
        <f aca="false">IF($F2653="","",$F2653-IF($H2653="",0,$H2653))</f>
        <v/>
      </c>
      <c r="J2653" s="16" t="str">
        <f aca="true">IF(OR($A2653="",$I2653="",$I2653&lt;=0),"",TODAY()-$A2653)</f>
        <v/>
      </c>
      <c r="K2653" s="10"/>
    </row>
    <row r="2654" customFormat="false" ht="15" hidden="false" customHeight="true" outlineLevel="0" collapsed="false">
      <c r="A2654" s="13"/>
      <c r="B2654" s="10"/>
      <c r="C2654" s="10"/>
      <c r="D2654" s="14"/>
      <c r="E2654" s="11"/>
      <c r="F2654" s="15" t="str">
        <f aca="false">IF($B2654="","",IF(AND($D2654="",$E2654=""),"",IF(OR($D2654="",$E2654=""),0,ROUND($D2654*$E2654,0))))</f>
        <v/>
      </c>
      <c r="G2654" s="13"/>
      <c r="H2654" s="11"/>
      <c r="I2654" s="15" t="str">
        <f aca="false">IF($F2654="","",$F2654-IF($H2654="",0,$H2654))</f>
        <v/>
      </c>
      <c r="J2654" s="16" t="str">
        <f aca="true">IF(OR($A2654="",$I2654="",$I2654&lt;=0),"",TODAY()-$A2654)</f>
        <v/>
      </c>
      <c r="K2654" s="10"/>
    </row>
    <row r="2655" customFormat="false" ht="15" hidden="false" customHeight="true" outlineLevel="0" collapsed="false">
      <c r="A2655" s="13"/>
      <c r="B2655" s="10"/>
      <c r="C2655" s="10"/>
      <c r="D2655" s="14"/>
      <c r="E2655" s="11"/>
      <c r="F2655" s="15" t="str">
        <f aca="false">IF($B2655="","",IF(AND($D2655="",$E2655=""),"",IF(OR($D2655="",$E2655=""),0,ROUND($D2655*$E2655,0))))</f>
        <v/>
      </c>
      <c r="G2655" s="13"/>
      <c r="H2655" s="11"/>
      <c r="I2655" s="15" t="str">
        <f aca="false">IF($F2655="","",$F2655-IF($H2655="",0,$H2655))</f>
        <v/>
      </c>
      <c r="J2655" s="16" t="str">
        <f aca="true">IF(OR($A2655="",$I2655="",$I2655&lt;=0),"",TODAY()-$A2655)</f>
        <v/>
      </c>
      <c r="K2655" s="10"/>
    </row>
    <row r="2656" customFormat="false" ht="15" hidden="false" customHeight="true" outlineLevel="0" collapsed="false">
      <c r="A2656" s="13"/>
      <c r="B2656" s="10"/>
      <c r="C2656" s="10"/>
      <c r="D2656" s="14"/>
      <c r="E2656" s="11"/>
      <c r="F2656" s="15" t="str">
        <f aca="false">IF($B2656="","",IF(AND($D2656="",$E2656=""),"",IF(OR($D2656="",$E2656=""),0,ROUND($D2656*$E2656,0))))</f>
        <v/>
      </c>
      <c r="G2656" s="13"/>
      <c r="H2656" s="11"/>
      <c r="I2656" s="15" t="str">
        <f aca="false">IF($F2656="","",$F2656-IF($H2656="",0,$H2656))</f>
        <v/>
      </c>
      <c r="J2656" s="16" t="str">
        <f aca="true">IF(OR($A2656="",$I2656="",$I2656&lt;=0),"",TODAY()-$A2656)</f>
        <v/>
      </c>
      <c r="K2656" s="10"/>
    </row>
    <row r="2657" customFormat="false" ht="15" hidden="false" customHeight="true" outlineLevel="0" collapsed="false">
      <c r="A2657" s="13"/>
      <c r="B2657" s="10"/>
      <c r="C2657" s="10"/>
      <c r="D2657" s="14"/>
      <c r="E2657" s="11"/>
      <c r="F2657" s="15" t="str">
        <f aca="false">IF($B2657="","",IF(AND($D2657="",$E2657=""),"",IF(OR($D2657="",$E2657=""),0,ROUND($D2657*$E2657,0))))</f>
        <v/>
      </c>
      <c r="G2657" s="13"/>
      <c r="H2657" s="11"/>
      <c r="I2657" s="15" t="str">
        <f aca="false">IF($F2657="","",$F2657-IF($H2657="",0,$H2657))</f>
        <v/>
      </c>
      <c r="J2657" s="16" t="str">
        <f aca="true">IF(OR($A2657="",$I2657="",$I2657&lt;=0),"",TODAY()-$A2657)</f>
        <v/>
      </c>
      <c r="K2657" s="10"/>
    </row>
    <row r="2658" customFormat="false" ht="15" hidden="false" customHeight="true" outlineLevel="0" collapsed="false">
      <c r="A2658" s="13"/>
      <c r="B2658" s="10"/>
      <c r="C2658" s="10"/>
      <c r="D2658" s="14"/>
      <c r="E2658" s="11"/>
      <c r="F2658" s="15" t="str">
        <f aca="false">IF($B2658="","",IF(AND($D2658="",$E2658=""),"",IF(OR($D2658="",$E2658=""),0,ROUND($D2658*$E2658,0))))</f>
        <v/>
      </c>
      <c r="G2658" s="13"/>
      <c r="H2658" s="11"/>
      <c r="I2658" s="15" t="str">
        <f aca="false">IF($F2658="","",$F2658-IF($H2658="",0,$H2658))</f>
        <v/>
      </c>
      <c r="J2658" s="16" t="str">
        <f aca="true">IF(OR($A2658="",$I2658="",$I2658&lt;=0),"",TODAY()-$A2658)</f>
        <v/>
      </c>
      <c r="K2658" s="10"/>
    </row>
    <row r="2659" customFormat="false" ht="15" hidden="false" customHeight="true" outlineLevel="0" collapsed="false">
      <c r="A2659" s="13"/>
      <c r="B2659" s="10"/>
      <c r="C2659" s="10"/>
      <c r="D2659" s="14"/>
      <c r="E2659" s="11"/>
      <c r="F2659" s="15" t="str">
        <f aca="false">IF($B2659="","",IF(AND($D2659="",$E2659=""),"",IF(OR($D2659="",$E2659=""),0,ROUND($D2659*$E2659,0))))</f>
        <v/>
      </c>
      <c r="G2659" s="13"/>
      <c r="H2659" s="11"/>
      <c r="I2659" s="15" t="str">
        <f aca="false">IF($F2659="","",$F2659-IF($H2659="",0,$H2659))</f>
        <v/>
      </c>
      <c r="J2659" s="16" t="str">
        <f aca="true">IF(OR($A2659="",$I2659="",$I2659&lt;=0),"",TODAY()-$A2659)</f>
        <v/>
      </c>
      <c r="K2659" s="10"/>
    </row>
    <row r="2660" customFormat="false" ht="15" hidden="false" customHeight="true" outlineLevel="0" collapsed="false">
      <c r="A2660" s="13"/>
      <c r="B2660" s="10"/>
      <c r="C2660" s="10"/>
      <c r="D2660" s="14"/>
      <c r="E2660" s="11"/>
      <c r="F2660" s="15" t="str">
        <f aca="false">IF($B2660="","",IF(AND($D2660="",$E2660=""),"",IF(OR($D2660="",$E2660=""),0,ROUND($D2660*$E2660,0))))</f>
        <v/>
      </c>
      <c r="G2660" s="13"/>
      <c r="H2660" s="11"/>
      <c r="I2660" s="15" t="str">
        <f aca="false">IF($F2660="","",$F2660-IF($H2660="",0,$H2660))</f>
        <v/>
      </c>
      <c r="J2660" s="16" t="str">
        <f aca="true">IF(OR($A2660="",$I2660="",$I2660&lt;=0),"",TODAY()-$A2660)</f>
        <v/>
      </c>
      <c r="K2660" s="10"/>
    </row>
    <row r="2661" customFormat="false" ht="15" hidden="false" customHeight="true" outlineLevel="0" collapsed="false">
      <c r="A2661" s="13"/>
      <c r="B2661" s="10"/>
      <c r="C2661" s="10"/>
      <c r="D2661" s="14"/>
      <c r="E2661" s="11"/>
      <c r="F2661" s="15" t="str">
        <f aca="false">IF($B2661="","",IF(AND($D2661="",$E2661=""),"",IF(OR($D2661="",$E2661=""),0,ROUND($D2661*$E2661,0))))</f>
        <v/>
      </c>
      <c r="G2661" s="13"/>
      <c r="H2661" s="11"/>
      <c r="I2661" s="15" t="str">
        <f aca="false">IF($F2661="","",$F2661-IF($H2661="",0,$H2661))</f>
        <v/>
      </c>
      <c r="J2661" s="16" t="str">
        <f aca="true">IF(OR($A2661="",$I2661="",$I2661&lt;=0),"",TODAY()-$A2661)</f>
        <v/>
      </c>
      <c r="K2661" s="10"/>
    </row>
    <row r="2662" customFormat="false" ht="15" hidden="false" customHeight="true" outlineLevel="0" collapsed="false">
      <c r="A2662" s="13"/>
      <c r="B2662" s="10"/>
      <c r="C2662" s="10"/>
      <c r="D2662" s="14"/>
      <c r="E2662" s="11"/>
      <c r="F2662" s="15" t="str">
        <f aca="false">IF($B2662="","",IF(AND($D2662="",$E2662=""),"",IF(OR($D2662="",$E2662=""),0,ROUND($D2662*$E2662,0))))</f>
        <v/>
      </c>
      <c r="G2662" s="13"/>
      <c r="H2662" s="11"/>
      <c r="I2662" s="15" t="str">
        <f aca="false">IF($F2662="","",$F2662-IF($H2662="",0,$H2662))</f>
        <v/>
      </c>
      <c r="J2662" s="16" t="str">
        <f aca="true">IF(OR($A2662="",$I2662="",$I2662&lt;=0),"",TODAY()-$A2662)</f>
        <v/>
      </c>
      <c r="K2662" s="10"/>
    </row>
    <row r="2663" customFormat="false" ht="15" hidden="false" customHeight="true" outlineLevel="0" collapsed="false">
      <c r="A2663" s="13"/>
      <c r="B2663" s="10"/>
      <c r="C2663" s="10"/>
      <c r="D2663" s="14"/>
      <c r="E2663" s="11"/>
      <c r="F2663" s="15" t="str">
        <f aca="false">IF($B2663="","",IF(AND($D2663="",$E2663=""),"",IF(OR($D2663="",$E2663=""),0,ROUND($D2663*$E2663,0))))</f>
        <v/>
      </c>
      <c r="G2663" s="13"/>
      <c r="H2663" s="11"/>
      <c r="I2663" s="15" t="str">
        <f aca="false">IF($F2663="","",$F2663-IF($H2663="",0,$H2663))</f>
        <v/>
      </c>
      <c r="J2663" s="16" t="str">
        <f aca="true">IF(OR($A2663="",$I2663="",$I2663&lt;=0),"",TODAY()-$A2663)</f>
        <v/>
      </c>
      <c r="K2663" s="10"/>
    </row>
    <row r="2664" customFormat="false" ht="15" hidden="false" customHeight="true" outlineLevel="0" collapsed="false">
      <c r="A2664" s="13"/>
      <c r="B2664" s="10"/>
      <c r="C2664" s="10"/>
      <c r="D2664" s="14"/>
      <c r="E2664" s="11"/>
      <c r="F2664" s="15" t="str">
        <f aca="false">IF($B2664="","",IF(AND($D2664="",$E2664=""),"",IF(OR($D2664="",$E2664=""),0,ROUND($D2664*$E2664,0))))</f>
        <v/>
      </c>
      <c r="G2664" s="13"/>
      <c r="H2664" s="11"/>
      <c r="I2664" s="15" t="str">
        <f aca="false">IF($F2664="","",$F2664-IF($H2664="",0,$H2664))</f>
        <v/>
      </c>
      <c r="J2664" s="16" t="str">
        <f aca="true">IF(OR($A2664="",$I2664="",$I2664&lt;=0),"",TODAY()-$A2664)</f>
        <v/>
      </c>
      <c r="K2664" s="10"/>
    </row>
    <row r="2665" customFormat="false" ht="15" hidden="false" customHeight="true" outlineLevel="0" collapsed="false">
      <c r="A2665" s="13"/>
      <c r="B2665" s="10"/>
      <c r="C2665" s="10"/>
      <c r="D2665" s="14"/>
      <c r="E2665" s="11"/>
      <c r="F2665" s="15" t="str">
        <f aca="false">IF($B2665="","",IF(AND($D2665="",$E2665=""),"",IF(OR($D2665="",$E2665=""),0,ROUND($D2665*$E2665,0))))</f>
        <v/>
      </c>
      <c r="G2665" s="13"/>
      <c r="H2665" s="11"/>
      <c r="I2665" s="15" t="str">
        <f aca="false">IF($F2665="","",$F2665-IF($H2665="",0,$H2665))</f>
        <v/>
      </c>
      <c r="J2665" s="16" t="str">
        <f aca="true">IF(OR($A2665="",$I2665="",$I2665&lt;=0),"",TODAY()-$A2665)</f>
        <v/>
      </c>
      <c r="K2665" s="10"/>
    </row>
    <row r="2666" customFormat="false" ht="15" hidden="false" customHeight="true" outlineLevel="0" collapsed="false">
      <c r="A2666" s="13"/>
      <c r="B2666" s="10"/>
      <c r="C2666" s="10"/>
      <c r="D2666" s="14"/>
      <c r="E2666" s="11"/>
      <c r="F2666" s="15" t="str">
        <f aca="false">IF($B2666="","",IF(AND($D2666="",$E2666=""),"",IF(OR($D2666="",$E2666=""),0,ROUND($D2666*$E2666,0))))</f>
        <v/>
      </c>
      <c r="G2666" s="13"/>
      <c r="H2666" s="11"/>
      <c r="I2666" s="15" t="str">
        <f aca="false">IF($F2666="","",$F2666-IF($H2666="",0,$H2666))</f>
        <v/>
      </c>
      <c r="J2666" s="16" t="str">
        <f aca="true">IF(OR($A2666="",$I2666="",$I2666&lt;=0),"",TODAY()-$A2666)</f>
        <v/>
      </c>
      <c r="K2666" s="10"/>
    </row>
    <row r="2667" customFormat="false" ht="15" hidden="false" customHeight="true" outlineLevel="0" collapsed="false">
      <c r="A2667" s="13"/>
      <c r="B2667" s="10"/>
      <c r="C2667" s="10"/>
      <c r="D2667" s="14"/>
      <c r="E2667" s="11"/>
      <c r="F2667" s="15" t="str">
        <f aca="false">IF($B2667="","",IF(AND($D2667="",$E2667=""),"",IF(OR($D2667="",$E2667=""),0,ROUND($D2667*$E2667,0))))</f>
        <v/>
      </c>
      <c r="G2667" s="13"/>
      <c r="H2667" s="11"/>
      <c r="I2667" s="15" t="str">
        <f aca="false">IF($F2667="","",$F2667-IF($H2667="",0,$H2667))</f>
        <v/>
      </c>
      <c r="J2667" s="16" t="str">
        <f aca="true">IF(OR($A2667="",$I2667="",$I2667&lt;=0),"",TODAY()-$A2667)</f>
        <v/>
      </c>
      <c r="K2667" s="10"/>
    </row>
    <row r="2668" customFormat="false" ht="15" hidden="false" customHeight="true" outlineLevel="0" collapsed="false">
      <c r="A2668" s="13"/>
      <c r="B2668" s="10"/>
      <c r="C2668" s="10"/>
      <c r="D2668" s="14"/>
      <c r="E2668" s="11"/>
      <c r="F2668" s="15" t="str">
        <f aca="false">IF($B2668="","",IF(AND($D2668="",$E2668=""),"",IF(OR($D2668="",$E2668=""),0,ROUND($D2668*$E2668,0))))</f>
        <v/>
      </c>
      <c r="G2668" s="13"/>
      <c r="H2668" s="11"/>
      <c r="I2668" s="15" t="str">
        <f aca="false">IF($F2668="","",$F2668-IF($H2668="",0,$H2668))</f>
        <v/>
      </c>
      <c r="J2668" s="16" t="str">
        <f aca="true">IF(OR($A2668="",$I2668="",$I2668&lt;=0),"",TODAY()-$A2668)</f>
        <v/>
      </c>
      <c r="K2668" s="10"/>
    </row>
    <row r="2669" customFormat="false" ht="15" hidden="false" customHeight="true" outlineLevel="0" collapsed="false">
      <c r="A2669" s="13"/>
      <c r="B2669" s="10"/>
      <c r="C2669" s="10"/>
      <c r="D2669" s="14"/>
      <c r="E2669" s="11"/>
      <c r="F2669" s="15" t="str">
        <f aca="false">IF($B2669="","",IF(AND($D2669="",$E2669=""),"",IF(OR($D2669="",$E2669=""),0,ROUND($D2669*$E2669,0))))</f>
        <v/>
      </c>
      <c r="G2669" s="13"/>
      <c r="H2669" s="11"/>
      <c r="I2669" s="15" t="str">
        <f aca="false">IF($F2669="","",$F2669-IF($H2669="",0,$H2669))</f>
        <v/>
      </c>
      <c r="J2669" s="16" t="str">
        <f aca="true">IF(OR($A2669="",$I2669="",$I2669&lt;=0),"",TODAY()-$A2669)</f>
        <v/>
      </c>
      <c r="K2669" s="10"/>
    </row>
    <row r="2670" customFormat="false" ht="15" hidden="false" customHeight="true" outlineLevel="0" collapsed="false">
      <c r="A2670" s="13"/>
      <c r="B2670" s="10"/>
      <c r="C2670" s="10"/>
      <c r="D2670" s="14"/>
      <c r="E2670" s="11"/>
      <c r="F2670" s="15" t="str">
        <f aca="false">IF($B2670="","",IF(AND($D2670="",$E2670=""),"",IF(OR($D2670="",$E2670=""),0,ROUND($D2670*$E2670,0))))</f>
        <v/>
      </c>
      <c r="G2670" s="13"/>
      <c r="H2670" s="11"/>
      <c r="I2670" s="15" t="str">
        <f aca="false">IF($F2670="","",$F2670-IF($H2670="",0,$H2670))</f>
        <v/>
      </c>
      <c r="J2670" s="16" t="str">
        <f aca="true">IF(OR($A2670="",$I2670="",$I2670&lt;=0),"",TODAY()-$A2670)</f>
        <v/>
      </c>
      <c r="K2670" s="10"/>
    </row>
    <row r="2671" customFormat="false" ht="15" hidden="false" customHeight="true" outlineLevel="0" collapsed="false">
      <c r="A2671" s="13"/>
      <c r="B2671" s="10"/>
      <c r="C2671" s="10"/>
      <c r="D2671" s="14"/>
      <c r="E2671" s="11"/>
      <c r="F2671" s="15" t="str">
        <f aca="false">IF($B2671="","",IF(AND($D2671="",$E2671=""),"",IF(OR($D2671="",$E2671=""),0,ROUND($D2671*$E2671,0))))</f>
        <v/>
      </c>
      <c r="G2671" s="13"/>
      <c r="H2671" s="11"/>
      <c r="I2671" s="15" t="str">
        <f aca="false">IF($F2671="","",$F2671-IF($H2671="",0,$H2671))</f>
        <v/>
      </c>
      <c r="J2671" s="16" t="str">
        <f aca="true">IF(OR($A2671="",$I2671="",$I2671&lt;=0),"",TODAY()-$A2671)</f>
        <v/>
      </c>
      <c r="K2671" s="10"/>
    </row>
    <row r="2672" customFormat="false" ht="15" hidden="false" customHeight="true" outlineLevel="0" collapsed="false">
      <c r="A2672" s="13"/>
      <c r="B2672" s="10"/>
      <c r="C2672" s="10"/>
      <c r="D2672" s="14"/>
      <c r="E2672" s="11"/>
      <c r="F2672" s="15" t="str">
        <f aca="false">IF($B2672="","",IF(AND($D2672="",$E2672=""),"",IF(OR($D2672="",$E2672=""),0,ROUND($D2672*$E2672,0))))</f>
        <v/>
      </c>
      <c r="G2672" s="13"/>
      <c r="H2672" s="11"/>
      <c r="I2672" s="15" t="str">
        <f aca="false">IF($F2672="","",$F2672-IF($H2672="",0,$H2672))</f>
        <v/>
      </c>
      <c r="J2672" s="16" t="str">
        <f aca="true">IF(OR($A2672="",$I2672="",$I2672&lt;=0),"",TODAY()-$A2672)</f>
        <v/>
      </c>
      <c r="K2672" s="10"/>
    </row>
    <row r="2673" customFormat="false" ht="15" hidden="false" customHeight="true" outlineLevel="0" collapsed="false">
      <c r="A2673" s="13"/>
      <c r="B2673" s="10"/>
      <c r="C2673" s="10"/>
      <c r="D2673" s="14"/>
      <c r="E2673" s="11"/>
      <c r="F2673" s="15" t="str">
        <f aca="false">IF($B2673="","",IF(AND($D2673="",$E2673=""),"",IF(OR($D2673="",$E2673=""),0,ROUND($D2673*$E2673,0))))</f>
        <v/>
      </c>
      <c r="G2673" s="13"/>
      <c r="H2673" s="11"/>
      <c r="I2673" s="15" t="str">
        <f aca="false">IF($F2673="","",$F2673-IF($H2673="",0,$H2673))</f>
        <v/>
      </c>
      <c r="J2673" s="16" t="str">
        <f aca="true">IF(OR($A2673="",$I2673="",$I2673&lt;=0),"",TODAY()-$A2673)</f>
        <v/>
      </c>
      <c r="K2673" s="10"/>
    </row>
    <row r="2674" customFormat="false" ht="15" hidden="false" customHeight="true" outlineLevel="0" collapsed="false">
      <c r="A2674" s="13"/>
      <c r="B2674" s="10"/>
      <c r="C2674" s="10"/>
      <c r="D2674" s="14"/>
      <c r="E2674" s="11"/>
      <c r="F2674" s="15" t="str">
        <f aca="false">IF($B2674="","",IF(AND($D2674="",$E2674=""),"",IF(OR($D2674="",$E2674=""),0,ROUND($D2674*$E2674,0))))</f>
        <v/>
      </c>
      <c r="G2674" s="13"/>
      <c r="H2674" s="11"/>
      <c r="I2674" s="15" t="str">
        <f aca="false">IF($F2674="","",$F2674-IF($H2674="",0,$H2674))</f>
        <v/>
      </c>
      <c r="J2674" s="16" t="str">
        <f aca="true">IF(OR($A2674="",$I2674="",$I2674&lt;=0),"",TODAY()-$A2674)</f>
        <v/>
      </c>
      <c r="K2674" s="10"/>
    </row>
    <row r="2675" customFormat="false" ht="15" hidden="false" customHeight="true" outlineLevel="0" collapsed="false">
      <c r="A2675" s="13"/>
      <c r="B2675" s="10"/>
      <c r="C2675" s="10"/>
      <c r="D2675" s="14"/>
      <c r="E2675" s="11"/>
      <c r="F2675" s="15" t="str">
        <f aca="false">IF($B2675="","",IF(AND($D2675="",$E2675=""),"",IF(OR($D2675="",$E2675=""),0,ROUND($D2675*$E2675,0))))</f>
        <v/>
      </c>
      <c r="G2675" s="13"/>
      <c r="H2675" s="11"/>
      <c r="I2675" s="15" t="str">
        <f aca="false">IF($F2675="","",$F2675-IF($H2675="",0,$H2675))</f>
        <v/>
      </c>
      <c r="J2675" s="16" t="str">
        <f aca="true">IF(OR($A2675="",$I2675="",$I2675&lt;=0),"",TODAY()-$A2675)</f>
        <v/>
      </c>
      <c r="K2675" s="10"/>
    </row>
    <row r="2676" customFormat="false" ht="15" hidden="false" customHeight="true" outlineLevel="0" collapsed="false">
      <c r="A2676" s="13"/>
      <c r="B2676" s="10"/>
      <c r="C2676" s="10"/>
      <c r="D2676" s="14"/>
      <c r="E2676" s="11"/>
      <c r="F2676" s="15" t="str">
        <f aca="false">IF($B2676="","",IF(AND($D2676="",$E2676=""),"",IF(OR($D2676="",$E2676=""),0,ROUND($D2676*$E2676,0))))</f>
        <v/>
      </c>
      <c r="G2676" s="13"/>
      <c r="H2676" s="11"/>
      <c r="I2676" s="15" t="str">
        <f aca="false">IF($F2676="","",$F2676-IF($H2676="",0,$H2676))</f>
        <v/>
      </c>
      <c r="J2676" s="16" t="str">
        <f aca="true">IF(OR($A2676="",$I2676="",$I2676&lt;=0),"",TODAY()-$A2676)</f>
        <v/>
      </c>
      <c r="K2676" s="10"/>
    </row>
    <row r="2677" customFormat="false" ht="15" hidden="false" customHeight="true" outlineLevel="0" collapsed="false">
      <c r="A2677" s="13"/>
      <c r="B2677" s="10"/>
      <c r="C2677" s="10"/>
      <c r="D2677" s="14"/>
      <c r="E2677" s="11"/>
      <c r="F2677" s="15" t="str">
        <f aca="false">IF($B2677="","",IF(AND($D2677="",$E2677=""),"",IF(OR($D2677="",$E2677=""),0,ROUND($D2677*$E2677,0))))</f>
        <v/>
      </c>
      <c r="G2677" s="13"/>
      <c r="H2677" s="11"/>
      <c r="I2677" s="15" t="str">
        <f aca="false">IF($F2677="","",$F2677-IF($H2677="",0,$H2677))</f>
        <v/>
      </c>
      <c r="J2677" s="16" t="str">
        <f aca="true">IF(OR($A2677="",$I2677="",$I2677&lt;=0),"",TODAY()-$A2677)</f>
        <v/>
      </c>
      <c r="K2677" s="10"/>
    </row>
    <row r="2678" customFormat="false" ht="15" hidden="false" customHeight="true" outlineLevel="0" collapsed="false">
      <c r="A2678" s="13"/>
      <c r="B2678" s="10"/>
      <c r="C2678" s="10"/>
      <c r="D2678" s="14"/>
      <c r="E2678" s="11"/>
      <c r="F2678" s="15" t="str">
        <f aca="false">IF($B2678="","",IF(AND($D2678="",$E2678=""),"",IF(OR($D2678="",$E2678=""),0,ROUND($D2678*$E2678,0))))</f>
        <v/>
      </c>
      <c r="G2678" s="13"/>
      <c r="H2678" s="11"/>
      <c r="I2678" s="15" t="str">
        <f aca="false">IF($F2678="","",$F2678-IF($H2678="",0,$H2678))</f>
        <v/>
      </c>
      <c r="J2678" s="16" t="str">
        <f aca="true">IF(OR($A2678="",$I2678="",$I2678&lt;=0),"",TODAY()-$A2678)</f>
        <v/>
      </c>
      <c r="K2678" s="10"/>
    </row>
    <row r="2679" customFormat="false" ht="15" hidden="false" customHeight="true" outlineLevel="0" collapsed="false">
      <c r="A2679" s="13"/>
      <c r="B2679" s="10"/>
      <c r="C2679" s="10"/>
      <c r="D2679" s="14"/>
      <c r="E2679" s="11"/>
      <c r="F2679" s="15" t="str">
        <f aca="false">IF($B2679="","",IF(AND($D2679="",$E2679=""),"",IF(OR($D2679="",$E2679=""),0,ROUND($D2679*$E2679,0))))</f>
        <v/>
      </c>
      <c r="G2679" s="13"/>
      <c r="H2679" s="11"/>
      <c r="I2679" s="15" t="str">
        <f aca="false">IF($F2679="","",$F2679-IF($H2679="",0,$H2679))</f>
        <v/>
      </c>
      <c r="J2679" s="16" t="str">
        <f aca="true">IF(OR($A2679="",$I2679="",$I2679&lt;=0),"",TODAY()-$A2679)</f>
        <v/>
      </c>
      <c r="K2679" s="10"/>
    </row>
    <row r="2680" customFormat="false" ht="15" hidden="false" customHeight="true" outlineLevel="0" collapsed="false">
      <c r="A2680" s="13"/>
      <c r="B2680" s="10"/>
      <c r="C2680" s="10"/>
      <c r="D2680" s="14"/>
      <c r="E2680" s="11"/>
      <c r="F2680" s="15" t="str">
        <f aca="false">IF($B2680="","",IF(AND($D2680="",$E2680=""),"",IF(OR($D2680="",$E2680=""),0,ROUND($D2680*$E2680,0))))</f>
        <v/>
      </c>
      <c r="G2680" s="13"/>
      <c r="H2680" s="11"/>
      <c r="I2680" s="15" t="str">
        <f aca="false">IF($F2680="","",$F2680-IF($H2680="",0,$H2680))</f>
        <v/>
      </c>
      <c r="J2680" s="16" t="str">
        <f aca="true">IF(OR($A2680="",$I2680="",$I2680&lt;=0),"",TODAY()-$A2680)</f>
        <v/>
      </c>
      <c r="K2680" s="10"/>
    </row>
    <row r="2681" customFormat="false" ht="15" hidden="false" customHeight="true" outlineLevel="0" collapsed="false">
      <c r="A2681" s="13"/>
      <c r="B2681" s="10"/>
      <c r="C2681" s="10"/>
      <c r="D2681" s="14"/>
      <c r="E2681" s="11"/>
      <c r="F2681" s="15" t="str">
        <f aca="false">IF($B2681="","",IF(AND($D2681="",$E2681=""),"",IF(OR($D2681="",$E2681=""),0,ROUND($D2681*$E2681,0))))</f>
        <v/>
      </c>
      <c r="G2681" s="13"/>
      <c r="H2681" s="11"/>
      <c r="I2681" s="15" t="str">
        <f aca="false">IF($F2681="","",$F2681-IF($H2681="",0,$H2681))</f>
        <v/>
      </c>
      <c r="J2681" s="16" t="str">
        <f aca="true">IF(OR($A2681="",$I2681="",$I2681&lt;=0),"",TODAY()-$A2681)</f>
        <v/>
      </c>
      <c r="K2681" s="10"/>
    </row>
    <row r="2682" customFormat="false" ht="15" hidden="false" customHeight="true" outlineLevel="0" collapsed="false">
      <c r="A2682" s="13"/>
      <c r="B2682" s="10"/>
      <c r="C2682" s="10"/>
      <c r="D2682" s="14"/>
      <c r="E2682" s="11"/>
      <c r="F2682" s="15" t="str">
        <f aca="false">IF($B2682="","",IF(AND($D2682="",$E2682=""),"",IF(OR($D2682="",$E2682=""),0,ROUND($D2682*$E2682,0))))</f>
        <v/>
      </c>
      <c r="G2682" s="13"/>
      <c r="H2682" s="11"/>
      <c r="I2682" s="15" t="str">
        <f aca="false">IF($F2682="","",$F2682-IF($H2682="",0,$H2682))</f>
        <v/>
      </c>
      <c r="J2682" s="16" t="str">
        <f aca="true">IF(OR($A2682="",$I2682="",$I2682&lt;=0),"",TODAY()-$A2682)</f>
        <v/>
      </c>
      <c r="K2682" s="10"/>
    </row>
    <row r="2683" customFormat="false" ht="15" hidden="false" customHeight="true" outlineLevel="0" collapsed="false">
      <c r="A2683" s="13"/>
      <c r="B2683" s="10"/>
      <c r="C2683" s="10"/>
      <c r="D2683" s="14"/>
      <c r="E2683" s="11"/>
      <c r="F2683" s="15" t="str">
        <f aca="false">IF($B2683="","",IF(AND($D2683="",$E2683=""),"",IF(OR($D2683="",$E2683=""),0,ROUND($D2683*$E2683,0))))</f>
        <v/>
      </c>
      <c r="G2683" s="13"/>
      <c r="H2683" s="11"/>
      <c r="I2683" s="15" t="str">
        <f aca="false">IF($F2683="","",$F2683-IF($H2683="",0,$H2683))</f>
        <v/>
      </c>
      <c r="J2683" s="16" t="str">
        <f aca="true">IF(OR($A2683="",$I2683="",$I2683&lt;=0),"",TODAY()-$A2683)</f>
        <v/>
      </c>
      <c r="K2683" s="10"/>
    </row>
    <row r="2684" customFormat="false" ht="15" hidden="false" customHeight="true" outlineLevel="0" collapsed="false">
      <c r="A2684" s="13"/>
      <c r="B2684" s="10"/>
      <c r="C2684" s="10"/>
      <c r="D2684" s="14"/>
      <c r="E2684" s="11"/>
      <c r="F2684" s="15" t="str">
        <f aca="false">IF($B2684="","",IF(AND($D2684="",$E2684=""),"",IF(OR($D2684="",$E2684=""),0,ROUND($D2684*$E2684,0))))</f>
        <v/>
      </c>
      <c r="G2684" s="13"/>
      <c r="H2684" s="11"/>
      <c r="I2684" s="15" t="str">
        <f aca="false">IF($F2684="","",$F2684-IF($H2684="",0,$H2684))</f>
        <v/>
      </c>
      <c r="J2684" s="16" t="str">
        <f aca="true">IF(OR($A2684="",$I2684="",$I2684&lt;=0),"",TODAY()-$A2684)</f>
        <v/>
      </c>
      <c r="K2684" s="10"/>
    </row>
    <row r="2685" customFormat="false" ht="15" hidden="false" customHeight="true" outlineLevel="0" collapsed="false">
      <c r="A2685" s="13"/>
      <c r="B2685" s="10"/>
      <c r="C2685" s="10"/>
      <c r="D2685" s="14"/>
      <c r="E2685" s="11"/>
      <c r="F2685" s="15" t="str">
        <f aca="false">IF($B2685="","",IF(AND($D2685="",$E2685=""),"",IF(OR($D2685="",$E2685=""),0,ROUND($D2685*$E2685,0))))</f>
        <v/>
      </c>
      <c r="G2685" s="13"/>
      <c r="H2685" s="11"/>
      <c r="I2685" s="15" t="str">
        <f aca="false">IF($F2685="","",$F2685-IF($H2685="",0,$H2685))</f>
        <v/>
      </c>
      <c r="J2685" s="16" t="str">
        <f aca="true">IF(OR($A2685="",$I2685="",$I2685&lt;=0),"",TODAY()-$A2685)</f>
        <v/>
      </c>
      <c r="K2685" s="10"/>
    </row>
    <row r="2686" customFormat="false" ht="15" hidden="false" customHeight="true" outlineLevel="0" collapsed="false">
      <c r="A2686" s="13"/>
      <c r="B2686" s="10"/>
      <c r="C2686" s="10"/>
      <c r="D2686" s="14"/>
      <c r="E2686" s="11"/>
      <c r="F2686" s="15" t="str">
        <f aca="false">IF($B2686="","",IF(AND($D2686="",$E2686=""),"",IF(OR($D2686="",$E2686=""),0,ROUND($D2686*$E2686,0))))</f>
        <v/>
      </c>
      <c r="G2686" s="13"/>
      <c r="H2686" s="11"/>
      <c r="I2686" s="15" t="str">
        <f aca="false">IF($F2686="","",$F2686-IF($H2686="",0,$H2686))</f>
        <v/>
      </c>
      <c r="J2686" s="16" t="str">
        <f aca="true">IF(OR($A2686="",$I2686="",$I2686&lt;=0),"",TODAY()-$A2686)</f>
        <v/>
      </c>
      <c r="K2686" s="10"/>
    </row>
    <row r="2687" customFormat="false" ht="15" hidden="false" customHeight="true" outlineLevel="0" collapsed="false">
      <c r="A2687" s="13"/>
      <c r="B2687" s="10"/>
      <c r="C2687" s="10"/>
      <c r="D2687" s="14"/>
      <c r="E2687" s="11"/>
      <c r="F2687" s="15" t="str">
        <f aca="false">IF($B2687="","",IF(AND($D2687="",$E2687=""),"",IF(OR($D2687="",$E2687=""),0,ROUND($D2687*$E2687,0))))</f>
        <v/>
      </c>
      <c r="G2687" s="13"/>
      <c r="H2687" s="11"/>
      <c r="I2687" s="15" t="str">
        <f aca="false">IF($F2687="","",$F2687-IF($H2687="",0,$H2687))</f>
        <v/>
      </c>
      <c r="J2687" s="16" t="str">
        <f aca="true">IF(OR($A2687="",$I2687="",$I2687&lt;=0),"",TODAY()-$A2687)</f>
        <v/>
      </c>
      <c r="K2687" s="10"/>
    </row>
    <row r="2688" customFormat="false" ht="15" hidden="false" customHeight="true" outlineLevel="0" collapsed="false">
      <c r="A2688" s="13"/>
      <c r="B2688" s="10"/>
      <c r="C2688" s="10"/>
      <c r="D2688" s="14"/>
      <c r="E2688" s="11"/>
      <c r="F2688" s="15" t="str">
        <f aca="false">IF($B2688="","",IF(AND($D2688="",$E2688=""),"",IF(OR($D2688="",$E2688=""),0,ROUND($D2688*$E2688,0))))</f>
        <v/>
      </c>
      <c r="G2688" s="13"/>
      <c r="H2688" s="11"/>
      <c r="I2688" s="15" t="str">
        <f aca="false">IF($F2688="","",$F2688-IF($H2688="",0,$H2688))</f>
        <v/>
      </c>
      <c r="J2688" s="16" t="str">
        <f aca="true">IF(OR($A2688="",$I2688="",$I2688&lt;=0),"",TODAY()-$A2688)</f>
        <v/>
      </c>
      <c r="K2688" s="10"/>
    </row>
    <row r="2689" customFormat="false" ht="15" hidden="false" customHeight="true" outlineLevel="0" collapsed="false">
      <c r="A2689" s="13"/>
      <c r="B2689" s="10"/>
      <c r="C2689" s="10"/>
      <c r="D2689" s="14"/>
      <c r="E2689" s="11"/>
      <c r="F2689" s="15" t="str">
        <f aca="false">IF($B2689="","",IF(AND($D2689="",$E2689=""),"",IF(OR($D2689="",$E2689=""),0,ROUND($D2689*$E2689,0))))</f>
        <v/>
      </c>
      <c r="G2689" s="13"/>
      <c r="H2689" s="11"/>
      <c r="I2689" s="15" t="str">
        <f aca="false">IF($F2689="","",$F2689-IF($H2689="",0,$H2689))</f>
        <v/>
      </c>
      <c r="J2689" s="16" t="str">
        <f aca="true">IF(OR($A2689="",$I2689="",$I2689&lt;=0),"",TODAY()-$A2689)</f>
        <v/>
      </c>
      <c r="K2689" s="10"/>
    </row>
    <row r="2690" customFormat="false" ht="15" hidden="false" customHeight="true" outlineLevel="0" collapsed="false">
      <c r="A2690" s="13"/>
      <c r="B2690" s="10"/>
      <c r="C2690" s="10"/>
      <c r="D2690" s="14"/>
      <c r="E2690" s="11"/>
      <c r="F2690" s="15" t="str">
        <f aca="false">IF($B2690="","",IF(AND($D2690="",$E2690=""),"",IF(OR($D2690="",$E2690=""),0,ROUND($D2690*$E2690,0))))</f>
        <v/>
      </c>
      <c r="G2690" s="13"/>
      <c r="H2690" s="11"/>
      <c r="I2690" s="15" t="str">
        <f aca="false">IF($F2690="","",$F2690-IF($H2690="",0,$H2690))</f>
        <v/>
      </c>
      <c r="J2690" s="16" t="str">
        <f aca="true">IF(OR($A2690="",$I2690="",$I2690&lt;=0),"",TODAY()-$A2690)</f>
        <v/>
      </c>
      <c r="K2690" s="10"/>
    </row>
    <row r="2691" customFormat="false" ht="15" hidden="false" customHeight="true" outlineLevel="0" collapsed="false">
      <c r="A2691" s="13"/>
      <c r="B2691" s="10"/>
      <c r="C2691" s="10"/>
      <c r="D2691" s="14"/>
      <c r="E2691" s="11"/>
      <c r="F2691" s="15" t="str">
        <f aca="false">IF($B2691="","",IF(AND($D2691="",$E2691=""),"",IF(OR($D2691="",$E2691=""),0,ROUND($D2691*$E2691,0))))</f>
        <v/>
      </c>
      <c r="G2691" s="13"/>
      <c r="H2691" s="11"/>
      <c r="I2691" s="15" t="str">
        <f aca="false">IF($F2691="","",$F2691-IF($H2691="",0,$H2691))</f>
        <v/>
      </c>
      <c r="J2691" s="16" t="str">
        <f aca="true">IF(OR($A2691="",$I2691="",$I2691&lt;=0),"",TODAY()-$A2691)</f>
        <v/>
      </c>
      <c r="K2691" s="10"/>
    </row>
    <row r="2692" customFormat="false" ht="15" hidden="false" customHeight="true" outlineLevel="0" collapsed="false">
      <c r="A2692" s="13"/>
      <c r="B2692" s="10"/>
      <c r="C2692" s="10"/>
      <c r="D2692" s="14"/>
      <c r="E2692" s="11"/>
      <c r="F2692" s="15" t="str">
        <f aca="false">IF($B2692="","",IF(AND($D2692="",$E2692=""),"",IF(OR($D2692="",$E2692=""),0,ROUND($D2692*$E2692,0))))</f>
        <v/>
      </c>
      <c r="G2692" s="13"/>
      <c r="H2692" s="11"/>
      <c r="I2692" s="15" t="str">
        <f aca="false">IF($F2692="","",$F2692-IF($H2692="",0,$H2692))</f>
        <v/>
      </c>
      <c r="J2692" s="16" t="str">
        <f aca="true">IF(OR($A2692="",$I2692="",$I2692&lt;=0),"",TODAY()-$A2692)</f>
        <v/>
      </c>
      <c r="K2692" s="10"/>
    </row>
    <row r="2693" customFormat="false" ht="15" hidden="false" customHeight="true" outlineLevel="0" collapsed="false">
      <c r="A2693" s="13"/>
      <c r="B2693" s="10"/>
      <c r="C2693" s="10"/>
      <c r="D2693" s="14"/>
      <c r="E2693" s="11"/>
      <c r="F2693" s="15" t="str">
        <f aca="false">IF($B2693="","",IF(AND($D2693="",$E2693=""),"",IF(OR($D2693="",$E2693=""),0,ROUND($D2693*$E2693,0))))</f>
        <v/>
      </c>
      <c r="G2693" s="13"/>
      <c r="H2693" s="11"/>
      <c r="I2693" s="15" t="str">
        <f aca="false">IF($F2693="","",$F2693-IF($H2693="",0,$H2693))</f>
        <v/>
      </c>
      <c r="J2693" s="16" t="str">
        <f aca="true">IF(OR($A2693="",$I2693="",$I2693&lt;=0),"",TODAY()-$A2693)</f>
        <v/>
      </c>
      <c r="K2693" s="10"/>
    </row>
    <row r="2694" customFormat="false" ht="15" hidden="false" customHeight="true" outlineLevel="0" collapsed="false">
      <c r="A2694" s="13"/>
      <c r="B2694" s="10"/>
      <c r="C2694" s="10"/>
      <c r="D2694" s="14"/>
      <c r="E2694" s="11"/>
      <c r="F2694" s="15" t="str">
        <f aca="false">IF($B2694="","",IF(AND($D2694="",$E2694=""),"",IF(OR($D2694="",$E2694=""),0,ROUND($D2694*$E2694,0))))</f>
        <v/>
      </c>
      <c r="G2694" s="13"/>
      <c r="H2694" s="11"/>
      <c r="I2694" s="15" t="str">
        <f aca="false">IF($F2694="","",$F2694-IF($H2694="",0,$H2694))</f>
        <v/>
      </c>
      <c r="J2694" s="16" t="str">
        <f aca="true">IF(OR($A2694="",$I2694="",$I2694&lt;=0),"",TODAY()-$A2694)</f>
        <v/>
      </c>
      <c r="K2694" s="10"/>
    </row>
    <row r="2695" customFormat="false" ht="15" hidden="false" customHeight="true" outlineLevel="0" collapsed="false">
      <c r="A2695" s="13"/>
      <c r="B2695" s="10"/>
      <c r="C2695" s="10"/>
      <c r="D2695" s="14"/>
      <c r="E2695" s="11"/>
      <c r="F2695" s="15" t="str">
        <f aca="false">IF($B2695="","",IF(AND($D2695="",$E2695=""),"",IF(OR($D2695="",$E2695=""),0,ROUND($D2695*$E2695,0))))</f>
        <v/>
      </c>
      <c r="G2695" s="13"/>
      <c r="H2695" s="11"/>
      <c r="I2695" s="15" t="str">
        <f aca="false">IF($F2695="","",$F2695-IF($H2695="",0,$H2695))</f>
        <v/>
      </c>
      <c r="J2695" s="16" t="str">
        <f aca="true">IF(OR($A2695="",$I2695="",$I2695&lt;=0),"",TODAY()-$A2695)</f>
        <v/>
      </c>
      <c r="K2695" s="10"/>
    </row>
    <row r="2696" customFormat="false" ht="15" hidden="false" customHeight="true" outlineLevel="0" collapsed="false">
      <c r="A2696" s="13"/>
      <c r="B2696" s="10"/>
      <c r="C2696" s="10"/>
      <c r="D2696" s="14"/>
      <c r="E2696" s="11"/>
      <c r="F2696" s="15" t="str">
        <f aca="false">IF($B2696="","",IF(AND($D2696="",$E2696=""),"",IF(OR($D2696="",$E2696=""),0,ROUND($D2696*$E2696,0))))</f>
        <v/>
      </c>
      <c r="G2696" s="13"/>
      <c r="H2696" s="11"/>
      <c r="I2696" s="15" t="str">
        <f aca="false">IF($F2696="","",$F2696-IF($H2696="",0,$H2696))</f>
        <v/>
      </c>
      <c r="J2696" s="16" t="str">
        <f aca="true">IF(OR($A2696="",$I2696="",$I2696&lt;=0),"",TODAY()-$A2696)</f>
        <v/>
      </c>
      <c r="K2696" s="10"/>
    </row>
    <row r="2697" customFormat="false" ht="15" hidden="false" customHeight="true" outlineLevel="0" collapsed="false">
      <c r="A2697" s="13"/>
      <c r="B2697" s="10"/>
      <c r="C2697" s="10"/>
      <c r="D2697" s="14"/>
      <c r="E2697" s="11"/>
      <c r="F2697" s="15" t="str">
        <f aca="false">IF($B2697="","",IF(AND($D2697="",$E2697=""),"",IF(OR($D2697="",$E2697=""),0,ROUND($D2697*$E2697,0))))</f>
        <v/>
      </c>
      <c r="G2697" s="13"/>
      <c r="H2697" s="11"/>
      <c r="I2697" s="15" t="str">
        <f aca="false">IF($F2697="","",$F2697-IF($H2697="",0,$H2697))</f>
        <v/>
      </c>
      <c r="J2697" s="16" t="str">
        <f aca="true">IF(OR($A2697="",$I2697="",$I2697&lt;=0),"",TODAY()-$A2697)</f>
        <v/>
      </c>
      <c r="K2697" s="10"/>
    </row>
    <row r="2698" customFormat="false" ht="15" hidden="false" customHeight="true" outlineLevel="0" collapsed="false">
      <c r="A2698" s="13"/>
      <c r="B2698" s="10"/>
      <c r="C2698" s="10"/>
      <c r="D2698" s="14"/>
      <c r="E2698" s="11"/>
      <c r="F2698" s="15" t="str">
        <f aca="false">IF($B2698="","",IF(AND($D2698="",$E2698=""),"",IF(OR($D2698="",$E2698=""),0,ROUND($D2698*$E2698,0))))</f>
        <v/>
      </c>
      <c r="G2698" s="13"/>
      <c r="H2698" s="11"/>
      <c r="I2698" s="15" t="str">
        <f aca="false">IF($F2698="","",$F2698-IF($H2698="",0,$H2698))</f>
        <v/>
      </c>
      <c r="J2698" s="16" t="str">
        <f aca="true">IF(OR($A2698="",$I2698="",$I2698&lt;=0),"",TODAY()-$A2698)</f>
        <v/>
      </c>
      <c r="K2698" s="10"/>
    </row>
    <row r="2699" customFormat="false" ht="15" hidden="false" customHeight="true" outlineLevel="0" collapsed="false">
      <c r="A2699" s="13"/>
      <c r="B2699" s="10"/>
      <c r="C2699" s="10"/>
      <c r="D2699" s="14"/>
      <c r="E2699" s="11"/>
      <c r="F2699" s="15" t="str">
        <f aca="false">IF($B2699="","",IF(AND($D2699="",$E2699=""),"",IF(OR($D2699="",$E2699=""),0,ROUND($D2699*$E2699,0))))</f>
        <v/>
      </c>
      <c r="G2699" s="13"/>
      <c r="H2699" s="11"/>
      <c r="I2699" s="15" t="str">
        <f aca="false">IF($F2699="","",$F2699-IF($H2699="",0,$H2699))</f>
        <v/>
      </c>
      <c r="J2699" s="16" t="str">
        <f aca="true">IF(OR($A2699="",$I2699="",$I2699&lt;=0),"",TODAY()-$A2699)</f>
        <v/>
      </c>
      <c r="K2699" s="10"/>
    </row>
    <row r="2700" customFormat="false" ht="15" hidden="false" customHeight="true" outlineLevel="0" collapsed="false">
      <c r="A2700" s="13"/>
      <c r="B2700" s="10"/>
      <c r="C2700" s="10"/>
      <c r="D2700" s="14"/>
      <c r="E2700" s="11"/>
      <c r="F2700" s="15" t="str">
        <f aca="false">IF($B2700="","",IF(AND($D2700="",$E2700=""),"",IF(OR($D2700="",$E2700=""),0,ROUND($D2700*$E2700,0))))</f>
        <v/>
      </c>
      <c r="G2700" s="13"/>
      <c r="H2700" s="11"/>
      <c r="I2700" s="15" t="str">
        <f aca="false">IF($F2700="","",$F2700-IF($H2700="",0,$H2700))</f>
        <v/>
      </c>
      <c r="J2700" s="16" t="str">
        <f aca="true">IF(OR($A2700="",$I2700="",$I2700&lt;=0),"",TODAY()-$A2700)</f>
        <v/>
      </c>
      <c r="K2700" s="10"/>
    </row>
    <row r="2701" customFormat="false" ht="15" hidden="false" customHeight="true" outlineLevel="0" collapsed="false">
      <c r="A2701" s="13"/>
      <c r="B2701" s="10"/>
      <c r="C2701" s="10"/>
      <c r="D2701" s="14"/>
      <c r="E2701" s="11"/>
      <c r="F2701" s="15" t="str">
        <f aca="false">IF($B2701="","",IF(AND($D2701="",$E2701=""),"",IF(OR($D2701="",$E2701=""),0,ROUND($D2701*$E2701,0))))</f>
        <v/>
      </c>
      <c r="G2701" s="13"/>
      <c r="H2701" s="11"/>
      <c r="I2701" s="15" t="str">
        <f aca="false">IF($F2701="","",$F2701-IF($H2701="",0,$H2701))</f>
        <v/>
      </c>
      <c r="J2701" s="16" t="str">
        <f aca="true">IF(OR($A2701="",$I2701="",$I2701&lt;=0),"",TODAY()-$A2701)</f>
        <v/>
      </c>
      <c r="K2701" s="10"/>
    </row>
    <row r="2702" customFormat="false" ht="15" hidden="false" customHeight="true" outlineLevel="0" collapsed="false">
      <c r="A2702" s="13"/>
      <c r="B2702" s="10"/>
      <c r="C2702" s="10"/>
      <c r="D2702" s="14"/>
      <c r="E2702" s="11"/>
      <c r="F2702" s="15" t="str">
        <f aca="false">IF($B2702="","",IF(AND($D2702="",$E2702=""),"",IF(OR($D2702="",$E2702=""),0,ROUND($D2702*$E2702,0))))</f>
        <v/>
      </c>
      <c r="G2702" s="13"/>
      <c r="H2702" s="11"/>
      <c r="I2702" s="15" t="str">
        <f aca="false">IF($F2702="","",$F2702-IF($H2702="",0,$H2702))</f>
        <v/>
      </c>
      <c r="J2702" s="16" t="str">
        <f aca="true">IF(OR($A2702="",$I2702="",$I2702&lt;=0),"",TODAY()-$A2702)</f>
        <v/>
      </c>
      <c r="K2702" s="10"/>
    </row>
    <row r="2703" customFormat="false" ht="15" hidden="false" customHeight="true" outlineLevel="0" collapsed="false">
      <c r="A2703" s="13"/>
      <c r="B2703" s="10"/>
      <c r="C2703" s="10"/>
      <c r="D2703" s="14"/>
      <c r="E2703" s="11"/>
      <c r="F2703" s="15" t="str">
        <f aca="false">IF($B2703="","",IF(AND($D2703="",$E2703=""),"",IF(OR($D2703="",$E2703=""),0,ROUND($D2703*$E2703,0))))</f>
        <v/>
      </c>
      <c r="G2703" s="13"/>
      <c r="H2703" s="11"/>
      <c r="I2703" s="15" t="str">
        <f aca="false">IF($F2703="","",$F2703-IF($H2703="",0,$H2703))</f>
        <v/>
      </c>
      <c r="J2703" s="16" t="str">
        <f aca="true">IF(OR($A2703="",$I2703="",$I2703&lt;=0),"",TODAY()-$A2703)</f>
        <v/>
      </c>
      <c r="K2703" s="10"/>
    </row>
    <row r="2704" customFormat="false" ht="15" hidden="false" customHeight="true" outlineLevel="0" collapsed="false">
      <c r="A2704" s="13"/>
      <c r="B2704" s="10"/>
      <c r="C2704" s="10"/>
      <c r="D2704" s="14"/>
      <c r="E2704" s="11"/>
      <c r="F2704" s="15" t="str">
        <f aca="false">IF($B2704="","",IF(AND($D2704="",$E2704=""),"",IF(OR($D2704="",$E2704=""),0,ROUND($D2704*$E2704,0))))</f>
        <v/>
      </c>
      <c r="G2704" s="13"/>
      <c r="H2704" s="11"/>
      <c r="I2704" s="15" t="str">
        <f aca="false">IF($F2704="","",$F2704-IF($H2704="",0,$H2704))</f>
        <v/>
      </c>
      <c r="J2704" s="16" t="str">
        <f aca="true">IF(OR($A2704="",$I2704="",$I2704&lt;=0),"",TODAY()-$A2704)</f>
        <v/>
      </c>
      <c r="K2704" s="10"/>
    </row>
    <row r="2705" customFormat="false" ht="15" hidden="false" customHeight="true" outlineLevel="0" collapsed="false">
      <c r="A2705" s="13"/>
      <c r="B2705" s="10"/>
      <c r="C2705" s="10"/>
      <c r="D2705" s="14"/>
      <c r="E2705" s="11"/>
      <c r="F2705" s="15" t="str">
        <f aca="false">IF($B2705="","",IF(AND($D2705="",$E2705=""),"",IF(OR($D2705="",$E2705=""),0,ROUND($D2705*$E2705,0))))</f>
        <v/>
      </c>
      <c r="G2705" s="13"/>
      <c r="H2705" s="11"/>
      <c r="I2705" s="15" t="str">
        <f aca="false">IF($F2705="","",$F2705-IF($H2705="",0,$H2705))</f>
        <v/>
      </c>
      <c r="J2705" s="16" t="str">
        <f aca="true">IF(OR($A2705="",$I2705="",$I2705&lt;=0),"",TODAY()-$A2705)</f>
        <v/>
      </c>
      <c r="K2705" s="10"/>
    </row>
    <row r="2706" customFormat="false" ht="15" hidden="false" customHeight="true" outlineLevel="0" collapsed="false">
      <c r="A2706" s="13"/>
      <c r="B2706" s="10"/>
      <c r="C2706" s="10"/>
      <c r="D2706" s="14"/>
      <c r="E2706" s="11"/>
      <c r="F2706" s="15" t="str">
        <f aca="false">IF($B2706="","",IF(AND($D2706="",$E2706=""),"",IF(OR($D2706="",$E2706=""),0,ROUND($D2706*$E2706,0))))</f>
        <v/>
      </c>
      <c r="G2706" s="13"/>
      <c r="H2706" s="11"/>
      <c r="I2706" s="15" t="str">
        <f aca="false">IF($F2706="","",$F2706-IF($H2706="",0,$H2706))</f>
        <v/>
      </c>
      <c r="J2706" s="16" t="str">
        <f aca="true">IF(OR($A2706="",$I2706="",$I2706&lt;=0),"",TODAY()-$A2706)</f>
        <v/>
      </c>
      <c r="K2706" s="10"/>
    </row>
    <row r="2707" customFormat="false" ht="15" hidden="false" customHeight="true" outlineLevel="0" collapsed="false">
      <c r="A2707" s="13"/>
      <c r="B2707" s="10"/>
      <c r="C2707" s="10"/>
      <c r="D2707" s="14"/>
      <c r="E2707" s="11"/>
      <c r="F2707" s="15" t="str">
        <f aca="false">IF($B2707="","",IF(AND($D2707="",$E2707=""),"",IF(OR($D2707="",$E2707=""),0,ROUND($D2707*$E2707,0))))</f>
        <v/>
      </c>
      <c r="G2707" s="13"/>
      <c r="H2707" s="11"/>
      <c r="I2707" s="15" t="str">
        <f aca="false">IF($F2707="","",$F2707-IF($H2707="",0,$H2707))</f>
        <v/>
      </c>
      <c r="J2707" s="16" t="str">
        <f aca="true">IF(OR($A2707="",$I2707="",$I2707&lt;=0),"",TODAY()-$A2707)</f>
        <v/>
      </c>
      <c r="K2707" s="10"/>
    </row>
    <row r="2708" customFormat="false" ht="15" hidden="false" customHeight="true" outlineLevel="0" collapsed="false">
      <c r="A2708" s="13"/>
      <c r="B2708" s="10"/>
      <c r="C2708" s="10"/>
      <c r="D2708" s="14"/>
      <c r="E2708" s="11"/>
      <c r="F2708" s="15" t="str">
        <f aca="false">IF($B2708="","",IF(AND($D2708="",$E2708=""),"",IF(OR($D2708="",$E2708=""),0,ROUND($D2708*$E2708,0))))</f>
        <v/>
      </c>
      <c r="G2708" s="13"/>
      <c r="H2708" s="11"/>
      <c r="I2708" s="15" t="str">
        <f aca="false">IF($F2708="","",$F2708-IF($H2708="",0,$H2708))</f>
        <v/>
      </c>
      <c r="J2708" s="16" t="str">
        <f aca="true">IF(OR($A2708="",$I2708="",$I2708&lt;=0),"",TODAY()-$A2708)</f>
        <v/>
      </c>
      <c r="K2708" s="10"/>
    </row>
    <row r="2709" customFormat="false" ht="15" hidden="false" customHeight="true" outlineLevel="0" collapsed="false">
      <c r="A2709" s="13"/>
      <c r="B2709" s="10"/>
      <c r="C2709" s="10"/>
      <c r="D2709" s="14"/>
      <c r="E2709" s="11"/>
      <c r="F2709" s="15" t="str">
        <f aca="false">IF($B2709="","",IF(AND($D2709="",$E2709=""),"",IF(OR($D2709="",$E2709=""),0,ROUND($D2709*$E2709,0))))</f>
        <v/>
      </c>
      <c r="G2709" s="13"/>
      <c r="H2709" s="11"/>
      <c r="I2709" s="15" t="str">
        <f aca="false">IF($F2709="","",$F2709-IF($H2709="",0,$H2709))</f>
        <v/>
      </c>
      <c r="J2709" s="16" t="str">
        <f aca="true">IF(OR($A2709="",$I2709="",$I2709&lt;=0),"",TODAY()-$A2709)</f>
        <v/>
      </c>
      <c r="K2709" s="10"/>
    </row>
    <row r="2710" customFormat="false" ht="15" hidden="false" customHeight="true" outlineLevel="0" collapsed="false">
      <c r="A2710" s="13"/>
      <c r="B2710" s="10"/>
      <c r="C2710" s="10"/>
      <c r="D2710" s="14"/>
      <c r="E2710" s="11"/>
      <c r="F2710" s="15" t="str">
        <f aca="false">IF($B2710="","",IF(AND($D2710="",$E2710=""),"",IF(OR($D2710="",$E2710=""),0,ROUND($D2710*$E2710,0))))</f>
        <v/>
      </c>
      <c r="G2710" s="13"/>
      <c r="H2710" s="11"/>
      <c r="I2710" s="15" t="str">
        <f aca="false">IF($F2710="","",$F2710-IF($H2710="",0,$H2710))</f>
        <v/>
      </c>
      <c r="J2710" s="16" t="str">
        <f aca="true">IF(OR($A2710="",$I2710="",$I2710&lt;=0),"",TODAY()-$A2710)</f>
        <v/>
      </c>
      <c r="K2710" s="10"/>
    </row>
    <row r="2711" customFormat="false" ht="15" hidden="false" customHeight="true" outlineLevel="0" collapsed="false">
      <c r="A2711" s="13"/>
      <c r="B2711" s="10"/>
      <c r="C2711" s="10"/>
      <c r="D2711" s="14"/>
      <c r="E2711" s="11"/>
      <c r="F2711" s="15" t="str">
        <f aca="false">IF($B2711="","",IF(AND($D2711="",$E2711=""),"",IF(OR($D2711="",$E2711=""),0,ROUND($D2711*$E2711,0))))</f>
        <v/>
      </c>
      <c r="G2711" s="13"/>
      <c r="H2711" s="11"/>
      <c r="I2711" s="15" t="str">
        <f aca="false">IF($F2711="","",$F2711-IF($H2711="",0,$H2711))</f>
        <v/>
      </c>
      <c r="J2711" s="16" t="str">
        <f aca="true">IF(OR($A2711="",$I2711="",$I2711&lt;=0),"",TODAY()-$A2711)</f>
        <v/>
      </c>
      <c r="K2711" s="10"/>
    </row>
    <row r="2712" customFormat="false" ht="15" hidden="false" customHeight="true" outlineLevel="0" collapsed="false">
      <c r="A2712" s="13"/>
      <c r="B2712" s="10"/>
      <c r="C2712" s="10"/>
      <c r="D2712" s="14"/>
      <c r="E2712" s="11"/>
      <c r="F2712" s="15" t="str">
        <f aca="false">IF($B2712="","",IF(AND($D2712="",$E2712=""),"",IF(OR($D2712="",$E2712=""),0,ROUND($D2712*$E2712,0))))</f>
        <v/>
      </c>
      <c r="G2712" s="13"/>
      <c r="H2712" s="11"/>
      <c r="I2712" s="15" t="str">
        <f aca="false">IF($F2712="","",$F2712-IF($H2712="",0,$H2712))</f>
        <v/>
      </c>
      <c r="J2712" s="16" t="str">
        <f aca="true">IF(OR($A2712="",$I2712="",$I2712&lt;=0),"",TODAY()-$A2712)</f>
        <v/>
      </c>
      <c r="K2712" s="10"/>
    </row>
    <row r="2713" customFormat="false" ht="15" hidden="false" customHeight="true" outlineLevel="0" collapsed="false">
      <c r="A2713" s="13"/>
      <c r="B2713" s="10"/>
      <c r="C2713" s="10"/>
      <c r="D2713" s="14"/>
      <c r="E2713" s="11"/>
      <c r="F2713" s="15" t="str">
        <f aca="false">IF($B2713="","",IF(AND($D2713="",$E2713=""),"",IF(OR($D2713="",$E2713=""),0,ROUND($D2713*$E2713,0))))</f>
        <v/>
      </c>
      <c r="G2713" s="13"/>
      <c r="H2713" s="11"/>
      <c r="I2713" s="15" t="str">
        <f aca="false">IF($F2713="","",$F2713-IF($H2713="",0,$H2713))</f>
        <v/>
      </c>
      <c r="J2713" s="16" t="str">
        <f aca="true">IF(OR($A2713="",$I2713="",$I2713&lt;=0),"",TODAY()-$A2713)</f>
        <v/>
      </c>
      <c r="K2713" s="10"/>
    </row>
    <row r="2714" customFormat="false" ht="15" hidden="false" customHeight="true" outlineLevel="0" collapsed="false">
      <c r="A2714" s="13"/>
      <c r="B2714" s="10"/>
      <c r="C2714" s="10"/>
      <c r="D2714" s="14"/>
      <c r="E2714" s="11"/>
      <c r="F2714" s="15" t="str">
        <f aca="false">IF($B2714="","",IF(AND($D2714="",$E2714=""),"",IF(OR($D2714="",$E2714=""),0,ROUND($D2714*$E2714,0))))</f>
        <v/>
      </c>
      <c r="G2714" s="13"/>
      <c r="H2714" s="11"/>
      <c r="I2714" s="15" t="str">
        <f aca="false">IF($F2714="","",$F2714-IF($H2714="",0,$H2714))</f>
        <v/>
      </c>
      <c r="J2714" s="16" t="str">
        <f aca="true">IF(OR($A2714="",$I2714="",$I2714&lt;=0),"",TODAY()-$A2714)</f>
        <v/>
      </c>
      <c r="K2714" s="10"/>
    </row>
    <row r="2715" customFormat="false" ht="15" hidden="false" customHeight="true" outlineLevel="0" collapsed="false">
      <c r="A2715" s="13"/>
      <c r="B2715" s="10"/>
      <c r="C2715" s="10"/>
      <c r="D2715" s="14"/>
      <c r="E2715" s="11"/>
      <c r="F2715" s="15" t="str">
        <f aca="false">IF($B2715="","",IF(AND($D2715="",$E2715=""),"",IF(OR($D2715="",$E2715=""),0,ROUND($D2715*$E2715,0))))</f>
        <v/>
      </c>
      <c r="G2715" s="13"/>
      <c r="H2715" s="11"/>
      <c r="I2715" s="15" t="str">
        <f aca="false">IF($F2715="","",$F2715-IF($H2715="",0,$H2715))</f>
        <v/>
      </c>
      <c r="J2715" s="16" t="str">
        <f aca="true">IF(OR($A2715="",$I2715="",$I2715&lt;=0),"",TODAY()-$A2715)</f>
        <v/>
      </c>
      <c r="K2715" s="10"/>
    </row>
    <row r="2716" customFormat="false" ht="15" hidden="false" customHeight="true" outlineLevel="0" collapsed="false">
      <c r="A2716" s="13"/>
      <c r="B2716" s="10"/>
      <c r="C2716" s="10"/>
      <c r="D2716" s="14"/>
      <c r="E2716" s="11"/>
      <c r="F2716" s="15" t="str">
        <f aca="false">IF($B2716="","",IF(AND($D2716="",$E2716=""),"",IF(OR($D2716="",$E2716=""),0,ROUND($D2716*$E2716,0))))</f>
        <v/>
      </c>
      <c r="G2716" s="13"/>
      <c r="H2716" s="11"/>
      <c r="I2716" s="15" t="str">
        <f aca="false">IF($F2716="","",$F2716-IF($H2716="",0,$H2716))</f>
        <v/>
      </c>
      <c r="J2716" s="16" t="str">
        <f aca="true">IF(OR($A2716="",$I2716="",$I2716&lt;=0),"",TODAY()-$A2716)</f>
        <v/>
      </c>
      <c r="K2716" s="10"/>
    </row>
    <row r="2717" customFormat="false" ht="15" hidden="false" customHeight="true" outlineLevel="0" collapsed="false">
      <c r="A2717" s="13"/>
      <c r="B2717" s="10"/>
      <c r="C2717" s="10"/>
      <c r="D2717" s="14"/>
      <c r="E2717" s="11"/>
      <c r="F2717" s="15" t="str">
        <f aca="false">IF($B2717="","",IF(AND($D2717="",$E2717=""),"",IF(OR($D2717="",$E2717=""),0,ROUND($D2717*$E2717,0))))</f>
        <v/>
      </c>
      <c r="G2717" s="13"/>
      <c r="H2717" s="11"/>
      <c r="I2717" s="15" t="str">
        <f aca="false">IF($F2717="","",$F2717-IF($H2717="",0,$H2717))</f>
        <v/>
      </c>
      <c r="J2717" s="16" t="str">
        <f aca="true">IF(OR($A2717="",$I2717="",$I2717&lt;=0),"",TODAY()-$A2717)</f>
        <v/>
      </c>
      <c r="K2717" s="10"/>
    </row>
    <row r="2718" customFormat="false" ht="15" hidden="false" customHeight="true" outlineLevel="0" collapsed="false">
      <c r="A2718" s="13"/>
      <c r="B2718" s="10"/>
      <c r="C2718" s="10"/>
      <c r="D2718" s="14"/>
      <c r="E2718" s="11"/>
      <c r="F2718" s="15" t="str">
        <f aca="false">IF($B2718="","",IF(AND($D2718="",$E2718=""),"",IF(OR($D2718="",$E2718=""),0,ROUND($D2718*$E2718,0))))</f>
        <v/>
      </c>
      <c r="G2718" s="13"/>
      <c r="H2718" s="11"/>
      <c r="I2718" s="15" t="str">
        <f aca="false">IF($F2718="","",$F2718-IF($H2718="",0,$H2718))</f>
        <v/>
      </c>
      <c r="J2718" s="16" t="str">
        <f aca="true">IF(OR($A2718="",$I2718="",$I2718&lt;=0),"",TODAY()-$A2718)</f>
        <v/>
      </c>
      <c r="K2718" s="10"/>
    </row>
    <row r="2719" customFormat="false" ht="15" hidden="false" customHeight="true" outlineLevel="0" collapsed="false">
      <c r="A2719" s="13"/>
      <c r="B2719" s="10"/>
      <c r="C2719" s="10"/>
      <c r="D2719" s="14"/>
      <c r="E2719" s="11"/>
      <c r="F2719" s="15" t="str">
        <f aca="false">IF($B2719="","",IF(AND($D2719="",$E2719=""),"",IF(OR($D2719="",$E2719=""),0,ROUND($D2719*$E2719,0))))</f>
        <v/>
      </c>
      <c r="G2719" s="13"/>
      <c r="H2719" s="11"/>
      <c r="I2719" s="15" t="str">
        <f aca="false">IF($F2719="","",$F2719-IF($H2719="",0,$H2719))</f>
        <v/>
      </c>
      <c r="J2719" s="16" t="str">
        <f aca="true">IF(OR($A2719="",$I2719="",$I2719&lt;=0),"",TODAY()-$A2719)</f>
        <v/>
      </c>
      <c r="K2719" s="10"/>
    </row>
    <row r="2720" customFormat="false" ht="15" hidden="false" customHeight="true" outlineLevel="0" collapsed="false">
      <c r="A2720" s="13"/>
      <c r="B2720" s="10"/>
      <c r="C2720" s="10"/>
      <c r="D2720" s="14"/>
      <c r="E2720" s="11"/>
      <c r="F2720" s="15" t="str">
        <f aca="false">IF($B2720="","",IF(AND($D2720="",$E2720=""),"",IF(OR($D2720="",$E2720=""),0,ROUND($D2720*$E2720,0))))</f>
        <v/>
      </c>
      <c r="G2720" s="13"/>
      <c r="H2720" s="11"/>
      <c r="I2720" s="15" t="str">
        <f aca="false">IF($F2720="","",$F2720-IF($H2720="",0,$H2720))</f>
        <v/>
      </c>
      <c r="J2720" s="16" t="str">
        <f aca="true">IF(OR($A2720="",$I2720="",$I2720&lt;=0),"",TODAY()-$A2720)</f>
        <v/>
      </c>
      <c r="K2720" s="10"/>
    </row>
    <row r="2721" customFormat="false" ht="15" hidden="false" customHeight="true" outlineLevel="0" collapsed="false">
      <c r="A2721" s="13"/>
      <c r="B2721" s="10"/>
      <c r="C2721" s="10"/>
      <c r="D2721" s="14"/>
      <c r="E2721" s="11"/>
      <c r="F2721" s="15" t="str">
        <f aca="false">IF($B2721="","",IF(AND($D2721="",$E2721=""),"",IF(OR($D2721="",$E2721=""),0,ROUND($D2721*$E2721,0))))</f>
        <v/>
      </c>
      <c r="G2721" s="13"/>
      <c r="H2721" s="11"/>
      <c r="I2721" s="15" t="str">
        <f aca="false">IF($F2721="","",$F2721-IF($H2721="",0,$H2721))</f>
        <v/>
      </c>
      <c r="J2721" s="16" t="str">
        <f aca="true">IF(OR($A2721="",$I2721="",$I2721&lt;=0),"",TODAY()-$A2721)</f>
        <v/>
      </c>
      <c r="K2721" s="10"/>
    </row>
    <row r="2722" customFormat="false" ht="15" hidden="false" customHeight="true" outlineLevel="0" collapsed="false">
      <c r="A2722" s="13"/>
      <c r="B2722" s="10"/>
      <c r="C2722" s="10"/>
      <c r="D2722" s="14"/>
      <c r="E2722" s="11"/>
      <c r="F2722" s="15" t="str">
        <f aca="false">IF($B2722="","",IF(AND($D2722="",$E2722=""),"",IF(OR($D2722="",$E2722=""),0,ROUND($D2722*$E2722,0))))</f>
        <v/>
      </c>
      <c r="G2722" s="13"/>
      <c r="H2722" s="11"/>
      <c r="I2722" s="15" t="str">
        <f aca="false">IF($F2722="","",$F2722-IF($H2722="",0,$H2722))</f>
        <v/>
      </c>
      <c r="J2722" s="16" t="str">
        <f aca="true">IF(OR($A2722="",$I2722="",$I2722&lt;=0),"",TODAY()-$A2722)</f>
        <v/>
      </c>
      <c r="K2722" s="10"/>
    </row>
    <row r="2723" customFormat="false" ht="15" hidden="false" customHeight="true" outlineLevel="0" collapsed="false">
      <c r="A2723" s="13"/>
      <c r="B2723" s="10"/>
      <c r="C2723" s="10"/>
      <c r="D2723" s="14"/>
      <c r="E2723" s="11"/>
      <c r="F2723" s="15" t="str">
        <f aca="false">IF($B2723="","",IF(AND($D2723="",$E2723=""),"",IF(OR($D2723="",$E2723=""),0,ROUND($D2723*$E2723,0))))</f>
        <v/>
      </c>
      <c r="G2723" s="13"/>
      <c r="H2723" s="11"/>
      <c r="I2723" s="15" t="str">
        <f aca="false">IF($F2723="","",$F2723-IF($H2723="",0,$H2723))</f>
        <v/>
      </c>
      <c r="J2723" s="16" t="str">
        <f aca="true">IF(OR($A2723="",$I2723="",$I2723&lt;=0),"",TODAY()-$A2723)</f>
        <v/>
      </c>
      <c r="K2723" s="10"/>
    </row>
    <row r="2724" customFormat="false" ht="15" hidden="false" customHeight="true" outlineLevel="0" collapsed="false">
      <c r="A2724" s="13"/>
      <c r="B2724" s="10"/>
      <c r="C2724" s="10"/>
      <c r="D2724" s="14"/>
      <c r="E2724" s="11"/>
      <c r="F2724" s="15" t="str">
        <f aca="false">IF($B2724="","",IF(AND($D2724="",$E2724=""),"",IF(OR($D2724="",$E2724=""),0,ROUND($D2724*$E2724,0))))</f>
        <v/>
      </c>
      <c r="G2724" s="13"/>
      <c r="H2724" s="11"/>
      <c r="I2724" s="15" t="str">
        <f aca="false">IF($F2724="","",$F2724-IF($H2724="",0,$H2724))</f>
        <v/>
      </c>
      <c r="J2724" s="16" t="str">
        <f aca="true">IF(OR($A2724="",$I2724="",$I2724&lt;=0),"",TODAY()-$A2724)</f>
        <v/>
      </c>
      <c r="K2724" s="10"/>
    </row>
    <row r="2725" customFormat="false" ht="15" hidden="false" customHeight="true" outlineLevel="0" collapsed="false">
      <c r="A2725" s="13"/>
      <c r="B2725" s="10"/>
      <c r="C2725" s="10"/>
      <c r="D2725" s="14"/>
      <c r="E2725" s="11"/>
      <c r="F2725" s="15" t="str">
        <f aca="false">IF($B2725="","",IF(AND($D2725="",$E2725=""),"",IF(OR($D2725="",$E2725=""),0,ROUND($D2725*$E2725,0))))</f>
        <v/>
      </c>
      <c r="G2725" s="13"/>
      <c r="H2725" s="11"/>
      <c r="I2725" s="15" t="str">
        <f aca="false">IF($F2725="","",$F2725-IF($H2725="",0,$H2725))</f>
        <v/>
      </c>
      <c r="J2725" s="16" t="str">
        <f aca="true">IF(OR($A2725="",$I2725="",$I2725&lt;=0),"",TODAY()-$A2725)</f>
        <v/>
      </c>
      <c r="K2725" s="10"/>
    </row>
    <row r="2726" customFormat="false" ht="15" hidden="false" customHeight="true" outlineLevel="0" collapsed="false">
      <c r="A2726" s="13"/>
      <c r="B2726" s="10"/>
      <c r="C2726" s="10"/>
      <c r="D2726" s="14"/>
      <c r="E2726" s="11"/>
      <c r="F2726" s="15" t="str">
        <f aca="false">IF($B2726="","",IF(AND($D2726="",$E2726=""),"",IF(OR($D2726="",$E2726=""),0,ROUND($D2726*$E2726,0))))</f>
        <v/>
      </c>
      <c r="G2726" s="13"/>
      <c r="H2726" s="11"/>
      <c r="I2726" s="15" t="str">
        <f aca="false">IF($F2726="","",$F2726-IF($H2726="",0,$H2726))</f>
        <v/>
      </c>
      <c r="J2726" s="16" t="str">
        <f aca="true">IF(OR($A2726="",$I2726="",$I2726&lt;=0),"",TODAY()-$A2726)</f>
        <v/>
      </c>
      <c r="K2726" s="10"/>
    </row>
    <row r="2727" customFormat="false" ht="15" hidden="false" customHeight="true" outlineLevel="0" collapsed="false">
      <c r="A2727" s="13"/>
      <c r="B2727" s="10"/>
      <c r="C2727" s="10"/>
      <c r="D2727" s="14"/>
      <c r="E2727" s="11"/>
      <c r="F2727" s="15" t="str">
        <f aca="false">IF($B2727="","",IF(AND($D2727="",$E2727=""),"",IF(OR($D2727="",$E2727=""),0,ROUND($D2727*$E2727,0))))</f>
        <v/>
      </c>
      <c r="G2727" s="13"/>
      <c r="H2727" s="11"/>
      <c r="I2727" s="15" t="str">
        <f aca="false">IF($F2727="","",$F2727-IF($H2727="",0,$H2727))</f>
        <v/>
      </c>
      <c r="J2727" s="16" t="str">
        <f aca="true">IF(OR($A2727="",$I2727="",$I2727&lt;=0),"",TODAY()-$A2727)</f>
        <v/>
      </c>
      <c r="K2727" s="10"/>
    </row>
    <row r="2728" customFormat="false" ht="15" hidden="false" customHeight="true" outlineLevel="0" collapsed="false">
      <c r="A2728" s="13"/>
      <c r="B2728" s="10"/>
      <c r="C2728" s="10"/>
      <c r="D2728" s="14"/>
      <c r="E2728" s="11"/>
      <c r="F2728" s="15" t="str">
        <f aca="false">IF($B2728="","",IF(AND($D2728="",$E2728=""),"",IF(OR($D2728="",$E2728=""),0,ROUND($D2728*$E2728,0))))</f>
        <v/>
      </c>
      <c r="G2728" s="13"/>
      <c r="H2728" s="11"/>
      <c r="I2728" s="15" t="str">
        <f aca="false">IF($F2728="","",$F2728-IF($H2728="",0,$H2728))</f>
        <v/>
      </c>
      <c r="J2728" s="16" t="str">
        <f aca="true">IF(OR($A2728="",$I2728="",$I2728&lt;=0),"",TODAY()-$A2728)</f>
        <v/>
      </c>
      <c r="K2728" s="10"/>
    </row>
    <row r="2729" customFormat="false" ht="15" hidden="false" customHeight="true" outlineLevel="0" collapsed="false">
      <c r="A2729" s="13"/>
      <c r="B2729" s="10"/>
      <c r="C2729" s="10"/>
      <c r="D2729" s="14"/>
      <c r="E2729" s="11"/>
      <c r="F2729" s="15" t="str">
        <f aca="false">IF($B2729="","",IF(AND($D2729="",$E2729=""),"",IF(OR($D2729="",$E2729=""),0,ROUND($D2729*$E2729,0))))</f>
        <v/>
      </c>
      <c r="G2729" s="13"/>
      <c r="H2729" s="11"/>
      <c r="I2729" s="15" t="str">
        <f aca="false">IF($F2729="","",$F2729-IF($H2729="",0,$H2729))</f>
        <v/>
      </c>
      <c r="J2729" s="16" t="str">
        <f aca="true">IF(OR($A2729="",$I2729="",$I2729&lt;=0),"",TODAY()-$A2729)</f>
        <v/>
      </c>
      <c r="K2729" s="10"/>
    </row>
    <row r="2730" customFormat="false" ht="15" hidden="false" customHeight="true" outlineLevel="0" collapsed="false">
      <c r="A2730" s="13"/>
      <c r="B2730" s="10"/>
      <c r="C2730" s="10"/>
      <c r="D2730" s="14"/>
      <c r="E2730" s="11"/>
      <c r="F2730" s="15" t="str">
        <f aca="false">IF($B2730="","",IF(AND($D2730="",$E2730=""),"",IF(OR($D2730="",$E2730=""),0,ROUND($D2730*$E2730,0))))</f>
        <v/>
      </c>
      <c r="G2730" s="13"/>
      <c r="H2730" s="11"/>
      <c r="I2730" s="15" t="str">
        <f aca="false">IF($F2730="","",$F2730-IF($H2730="",0,$H2730))</f>
        <v/>
      </c>
      <c r="J2730" s="16" t="str">
        <f aca="true">IF(OR($A2730="",$I2730="",$I2730&lt;=0),"",TODAY()-$A2730)</f>
        <v/>
      </c>
      <c r="K2730" s="10"/>
    </row>
    <row r="2731" customFormat="false" ht="15" hidden="false" customHeight="true" outlineLevel="0" collapsed="false">
      <c r="A2731" s="13"/>
      <c r="B2731" s="10"/>
      <c r="C2731" s="10"/>
      <c r="D2731" s="14"/>
      <c r="E2731" s="11"/>
      <c r="F2731" s="15" t="str">
        <f aca="false">IF($B2731="","",IF(AND($D2731="",$E2731=""),"",IF(OR($D2731="",$E2731=""),0,ROUND($D2731*$E2731,0))))</f>
        <v/>
      </c>
      <c r="G2731" s="13"/>
      <c r="H2731" s="11"/>
      <c r="I2731" s="15" t="str">
        <f aca="false">IF($F2731="","",$F2731-IF($H2731="",0,$H2731))</f>
        <v/>
      </c>
      <c r="J2731" s="16" t="str">
        <f aca="true">IF(OR($A2731="",$I2731="",$I2731&lt;=0),"",TODAY()-$A2731)</f>
        <v/>
      </c>
      <c r="K2731" s="10"/>
    </row>
    <row r="2732" customFormat="false" ht="15" hidden="false" customHeight="true" outlineLevel="0" collapsed="false">
      <c r="A2732" s="13"/>
      <c r="B2732" s="10"/>
      <c r="C2732" s="10"/>
      <c r="D2732" s="14"/>
      <c r="E2732" s="11"/>
      <c r="F2732" s="15" t="str">
        <f aca="false">IF($B2732="","",IF(AND($D2732="",$E2732=""),"",IF(OR($D2732="",$E2732=""),0,ROUND($D2732*$E2732,0))))</f>
        <v/>
      </c>
      <c r="G2732" s="13"/>
      <c r="H2732" s="11"/>
      <c r="I2732" s="15" t="str">
        <f aca="false">IF($F2732="","",$F2732-IF($H2732="",0,$H2732))</f>
        <v/>
      </c>
      <c r="J2732" s="16" t="str">
        <f aca="true">IF(OR($A2732="",$I2732="",$I2732&lt;=0),"",TODAY()-$A2732)</f>
        <v/>
      </c>
      <c r="K2732" s="10"/>
    </row>
    <row r="2733" customFormat="false" ht="15" hidden="false" customHeight="true" outlineLevel="0" collapsed="false">
      <c r="A2733" s="13"/>
      <c r="B2733" s="10"/>
      <c r="C2733" s="10"/>
      <c r="D2733" s="14"/>
      <c r="E2733" s="11"/>
      <c r="F2733" s="15" t="str">
        <f aca="false">IF($B2733="","",IF(AND($D2733="",$E2733=""),"",IF(OR($D2733="",$E2733=""),0,ROUND($D2733*$E2733,0))))</f>
        <v/>
      </c>
      <c r="G2733" s="13"/>
      <c r="H2733" s="11"/>
      <c r="I2733" s="15" t="str">
        <f aca="false">IF($F2733="","",$F2733-IF($H2733="",0,$H2733))</f>
        <v/>
      </c>
      <c r="J2733" s="16" t="str">
        <f aca="true">IF(OR($A2733="",$I2733="",$I2733&lt;=0),"",TODAY()-$A2733)</f>
        <v/>
      </c>
      <c r="K2733" s="10"/>
    </row>
    <row r="2734" customFormat="false" ht="15" hidden="false" customHeight="true" outlineLevel="0" collapsed="false">
      <c r="A2734" s="13"/>
      <c r="B2734" s="10"/>
      <c r="C2734" s="10"/>
      <c r="D2734" s="14"/>
      <c r="E2734" s="11"/>
      <c r="F2734" s="15" t="str">
        <f aca="false">IF($B2734="","",IF(AND($D2734="",$E2734=""),"",IF(OR($D2734="",$E2734=""),0,ROUND($D2734*$E2734,0))))</f>
        <v/>
      </c>
      <c r="G2734" s="13"/>
      <c r="H2734" s="11"/>
      <c r="I2734" s="15" t="str">
        <f aca="false">IF($F2734="","",$F2734-IF($H2734="",0,$H2734))</f>
        <v/>
      </c>
      <c r="J2734" s="16" t="str">
        <f aca="true">IF(OR($A2734="",$I2734="",$I2734&lt;=0),"",TODAY()-$A2734)</f>
        <v/>
      </c>
      <c r="K2734" s="10"/>
    </row>
    <row r="2735" customFormat="false" ht="15" hidden="false" customHeight="true" outlineLevel="0" collapsed="false">
      <c r="A2735" s="13"/>
      <c r="B2735" s="10"/>
      <c r="C2735" s="10"/>
      <c r="D2735" s="14"/>
      <c r="E2735" s="11"/>
      <c r="F2735" s="15" t="str">
        <f aca="false">IF($B2735="","",IF(AND($D2735="",$E2735=""),"",IF(OR($D2735="",$E2735=""),0,ROUND($D2735*$E2735,0))))</f>
        <v/>
      </c>
      <c r="G2735" s="13"/>
      <c r="H2735" s="11"/>
      <c r="I2735" s="15" t="str">
        <f aca="false">IF($F2735="","",$F2735-IF($H2735="",0,$H2735))</f>
        <v/>
      </c>
      <c r="J2735" s="16" t="str">
        <f aca="true">IF(OR($A2735="",$I2735="",$I2735&lt;=0),"",TODAY()-$A2735)</f>
        <v/>
      </c>
      <c r="K2735" s="10"/>
    </row>
    <row r="2736" customFormat="false" ht="15" hidden="false" customHeight="true" outlineLevel="0" collapsed="false">
      <c r="A2736" s="13"/>
      <c r="B2736" s="10"/>
      <c r="C2736" s="10"/>
      <c r="D2736" s="14"/>
      <c r="E2736" s="11"/>
      <c r="F2736" s="15" t="str">
        <f aca="false">IF($B2736="","",IF(AND($D2736="",$E2736=""),"",IF(OR($D2736="",$E2736=""),0,ROUND($D2736*$E2736,0))))</f>
        <v/>
      </c>
      <c r="G2736" s="13"/>
      <c r="H2736" s="11"/>
      <c r="I2736" s="15" t="str">
        <f aca="false">IF($F2736="","",$F2736-IF($H2736="",0,$H2736))</f>
        <v/>
      </c>
      <c r="J2736" s="16" t="str">
        <f aca="true">IF(OR($A2736="",$I2736="",$I2736&lt;=0),"",TODAY()-$A2736)</f>
        <v/>
      </c>
      <c r="K2736" s="10"/>
    </row>
    <row r="2737" customFormat="false" ht="15" hidden="false" customHeight="true" outlineLevel="0" collapsed="false">
      <c r="A2737" s="13"/>
      <c r="B2737" s="10"/>
      <c r="C2737" s="10"/>
      <c r="D2737" s="14"/>
      <c r="E2737" s="11"/>
      <c r="F2737" s="15" t="str">
        <f aca="false">IF($B2737="","",IF(AND($D2737="",$E2737=""),"",IF(OR($D2737="",$E2737=""),0,ROUND($D2737*$E2737,0))))</f>
        <v/>
      </c>
      <c r="G2737" s="13"/>
      <c r="H2737" s="11"/>
      <c r="I2737" s="15" t="str">
        <f aca="false">IF($F2737="","",$F2737-IF($H2737="",0,$H2737))</f>
        <v/>
      </c>
      <c r="J2737" s="16" t="str">
        <f aca="true">IF(OR($A2737="",$I2737="",$I2737&lt;=0),"",TODAY()-$A2737)</f>
        <v/>
      </c>
      <c r="K2737" s="10"/>
    </row>
    <row r="2738" customFormat="false" ht="15" hidden="false" customHeight="true" outlineLevel="0" collapsed="false">
      <c r="A2738" s="13"/>
      <c r="B2738" s="10"/>
      <c r="C2738" s="10"/>
      <c r="D2738" s="14"/>
      <c r="E2738" s="11"/>
      <c r="F2738" s="15" t="str">
        <f aca="false">IF($B2738="","",IF(AND($D2738="",$E2738=""),"",IF(OR($D2738="",$E2738=""),0,ROUND($D2738*$E2738,0))))</f>
        <v/>
      </c>
      <c r="G2738" s="13"/>
      <c r="H2738" s="11"/>
      <c r="I2738" s="15" t="str">
        <f aca="false">IF($F2738="","",$F2738-IF($H2738="",0,$H2738))</f>
        <v/>
      </c>
      <c r="J2738" s="16" t="str">
        <f aca="true">IF(OR($A2738="",$I2738="",$I2738&lt;=0),"",TODAY()-$A2738)</f>
        <v/>
      </c>
      <c r="K2738" s="10"/>
    </row>
    <row r="2739" customFormat="false" ht="15" hidden="false" customHeight="true" outlineLevel="0" collapsed="false">
      <c r="A2739" s="13"/>
      <c r="B2739" s="10"/>
      <c r="C2739" s="10"/>
      <c r="D2739" s="14"/>
      <c r="E2739" s="11"/>
      <c r="F2739" s="15" t="str">
        <f aca="false">IF($B2739="","",IF(AND($D2739="",$E2739=""),"",IF(OR($D2739="",$E2739=""),0,ROUND($D2739*$E2739,0))))</f>
        <v/>
      </c>
      <c r="G2739" s="13"/>
      <c r="H2739" s="11"/>
      <c r="I2739" s="15" t="str">
        <f aca="false">IF($F2739="","",$F2739-IF($H2739="",0,$H2739))</f>
        <v/>
      </c>
      <c r="J2739" s="16" t="str">
        <f aca="true">IF(OR($A2739="",$I2739="",$I2739&lt;=0),"",TODAY()-$A2739)</f>
        <v/>
      </c>
      <c r="K2739" s="10"/>
    </row>
    <row r="2740" customFormat="false" ht="15" hidden="false" customHeight="true" outlineLevel="0" collapsed="false">
      <c r="A2740" s="13"/>
      <c r="B2740" s="10"/>
      <c r="C2740" s="10"/>
      <c r="D2740" s="14"/>
      <c r="E2740" s="11"/>
      <c r="F2740" s="15" t="str">
        <f aca="false">IF($B2740="","",IF(AND($D2740="",$E2740=""),"",IF(OR($D2740="",$E2740=""),0,ROUND($D2740*$E2740,0))))</f>
        <v/>
      </c>
      <c r="G2740" s="13"/>
      <c r="H2740" s="11"/>
      <c r="I2740" s="15" t="str">
        <f aca="false">IF($F2740="","",$F2740-IF($H2740="",0,$H2740))</f>
        <v/>
      </c>
      <c r="J2740" s="16" t="str">
        <f aca="true">IF(OR($A2740="",$I2740="",$I2740&lt;=0),"",TODAY()-$A2740)</f>
        <v/>
      </c>
      <c r="K2740" s="10"/>
    </row>
    <row r="2741" customFormat="false" ht="15" hidden="false" customHeight="true" outlineLevel="0" collapsed="false">
      <c r="A2741" s="13"/>
      <c r="B2741" s="10"/>
      <c r="C2741" s="10"/>
      <c r="D2741" s="14"/>
      <c r="E2741" s="11"/>
      <c r="F2741" s="15" t="str">
        <f aca="false">IF($B2741="","",IF(AND($D2741="",$E2741=""),"",IF(OR($D2741="",$E2741=""),0,ROUND($D2741*$E2741,0))))</f>
        <v/>
      </c>
      <c r="G2741" s="13"/>
      <c r="H2741" s="11"/>
      <c r="I2741" s="15" t="str">
        <f aca="false">IF($F2741="","",$F2741-IF($H2741="",0,$H2741))</f>
        <v/>
      </c>
      <c r="J2741" s="16" t="str">
        <f aca="true">IF(OR($A2741="",$I2741="",$I2741&lt;=0),"",TODAY()-$A2741)</f>
        <v/>
      </c>
      <c r="K2741" s="10"/>
    </row>
    <row r="2742" customFormat="false" ht="15" hidden="false" customHeight="true" outlineLevel="0" collapsed="false">
      <c r="A2742" s="13"/>
      <c r="B2742" s="10"/>
      <c r="C2742" s="10"/>
      <c r="D2742" s="14"/>
      <c r="E2742" s="11"/>
      <c r="F2742" s="15" t="str">
        <f aca="false">IF($B2742="","",IF(AND($D2742="",$E2742=""),"",IF(OR($D2742="",$E2742=""),0,ROUND($D2742*$E2742,0))))</f>
        <v/>
      </c>
      <c r="G2742" s="13"/>
      <c r="H2742" s="11"/>
      <c r="I2742" s="15" t="str">
        <f aca="false">IF($F2742="","",$F2742-IF($H2742="",0,$H2742))</f>
        <v/>
      </c>
      <c r="J2742" s="16" t="str">
        <f aca="true">IF(OR($A2742="",$I2742="",$I2742&lt;=0),"",TODAY()-$A2742)</f>
        <v/>
      </c>
      <c r="K2742" s="10"/>
    </row>
    <row r="2743" customFormat="false" ht="15" hidden="false" customHeight="true" outlineLevel="0" collapsed="false">
      <c r="A2743" s="13"/>
      <c r="B2743" s="10"/>
      <c r="C2743" s="10"/>
      <c r="D2743" s="14"/>
      <c r="E2743" s="11"/>
      <c r="F2743" s="15" t="str">
        <f aca="false">IF($B2743="","",IF(AND($D2743="",$E2743=""),"",IF(OR($D2743="",$E2743=""),0,ROUND($D2743*$E2743,0))))</f>
        <v/>
      </c>
      <c r="G2743" s="13"/>
      <c r="H2743" s="11"/>
      <c r="I2743" s="15" t="str">
        <f aca="false">IF($F2743="","",$F2743-IF($H2743="",0,$H2743))</f>
        <v/>
      </c>
      <c r="J2743" s="16" t="str">
        <f aca="true">IF(OR($A2743="",$I2743="",$I2743&lt;=0),"",TODAY()-$A2743)</f>
        <v/>
      </c>
      <c r="K2743" s="10"/>
    </row>
    <row r="2744" customFormat="false" ht="15" hidden="false" customHeight="true" outlineLevel="0" collapsed="false">
      <c r="A2744" s="13"/>
      <c r="B2744" s="10"/>
      <c r="C2744" s="10"/>
      <c r="D2744" s="14"/>
      <c r="E2744" s="11"/>
      <c r="F2744" s="15" t="str">
        <f aca="false">IF($B2744="","",IF(AND($D2744="",$E2744=""),"",IF(OR($D2744="",$E2744=""),0,ROUND($D2744*$E2744,0))))</f>
        <v/>
      </c>
      <c r="G2744" s="13"/>
      <c r="H2744" s="11"/>
      <c r="I2744" s="15" t="str">
        <f aca="false">IF($F2744="","",$F2744-IF($H2744="",0,$H2744))</f>
        <v/>
      </c>
      <c r="J2744" s="16" t="str">
        <f aca="true">IF(OR($A2744="",$I2744="",$I2744&lt;=0),"",TODAY()-$A2744)</f>
        <v/>
      </c>
      <c r="K2744" s="10"/>
    </row>
    <row r="2745" customFormat="false" ht="15" hidden="false" customHeight="true" outlineLevel="0" collapsed="false">
      <c r="A2745" s="13"/>
      <c r="B2745" s="10"/>
      <c r="C2745" s="10"/>
      <c r="D2745" s="14"/>
      <c r="E2745" s="11"/>
      <c r="F2745" s="15" t="str">
        <f aca="false">IF($B2745="","",IF(AND($D2745="",$E2745=""),"",IF(OR($D2745="",$E2745=""),0,ROUND($D2745*$E2745,0))))</f>
        <v/>
      </c>
      <c r="G2745" s="13"/>
      <c r="H2745" s="11"/>
      <c r="I2745" s="15" t="str">
        <f aca="false">IF($F2745="","",$F2745-IF($H2745="",0,$H2745))</f>
        <v/>
      </c>
      <c r="J2745" s="16" t="str">
        <f aca="true">IF(OR($A2745="",$I2745="",$I2745&lt;=0),"",TODAY()-$A2745)</f>
        <v/>
      </c>
      <c r="K2745" s="10"/>
    </row>
    <row r="2746" customFormat="false" ht="15" hidden="false" customHeight="true" outlineLevel="0" collapsed="false">
      <c r="A2746" s="13"/>
      <c r="B2746" s="10"/>
      <c r="C2746" s="10"/>
      <c r="D2746" s="14"/>
      <c r="E2746" s="11"/>
      <c r="F2746" s="15" t="str">
        <f aca="false">IF($B2746="","",IF(AND($D2746="",$E2746=""),"",IF(OR($D2746="",$E2746=""),0,ROUND($D2746*$E2746,0))))</f>
        <v/>
      </c>
      <c r="G2746" s="13"/>
      <c r="H2746" s="11"/>
      <c r="I2746" s="15" t="str">
        <f aca="false">IF($F2746="","",$F2746-IF($H2746="",0,$H2746))</f>
        <v/>
      </c>
      <c r="J2746" s="16" t="str">
        <f aca="true">IF(OR($A2746="",$I2746="",$I2746&lt;=0),"",TODAY()-$A2746)</f>
        <v/>
      </c>
      <c r="K2746" s="10"/>
    </row>
    <row r="2747" customFormat="false" ht="15" hidden="false" customHeight="true" outlineLevel="0" collapsed="false">
      <c r="A2747" s="13"/>
      <c r="B2747" s="10"/>
      <c r="C2747" s="10"/>
      <c r="D2747" s="14"/>
      <c r="E2747" s="11"/>
      <c r="F2747" s="15" t="str">
        <f aca="false">IF($B2747="","",IF(AND($D2747="",$E2747=""),"",IF(OR($D2747="",$E2747=""),0,ROUND($D2747*$E2747,0))))</f>
        <v/>
      </c>
      <c r="G2747" s="13"/>
      <c r="H2747" s="11"/>
      <c r="I2747" s="15" t="str">
        <f aca="false">IF($F2747="","",$F2747-IF($H2747="",0,$H2747))</f>
        <v/>
      </c>
      <c r="J2747" s="16" t="str">
        <f aca="true">IF(OR($A2747="",$I2747="",$I2747&lt;=0),"",TODAY()-$A2747)</f>
        <v/>
      </c>
      <c r="K2747" s="10"/>
    </row>
    <row r="2748" customFormat="false" ht="15" hidden="false" customHeight="true" outlineLevel="0" collapsed="false">
      <c r="A2748" s="13"/>
      <c r="B2748" s="10"/>
      <c r="C2748" s="10"/>
      <c r="D2748" s="14"/>
      <c r="E2748" s="11"/>
      <c r="F2748" s="15" t="str">
        <f aca="false">IF($B2748="","",IF(AND($D2748="",$E2748=""),"",IF(OR($D2748="",$E2748=""),0,ROUND($D2748*$E2748,0))))</f>
        <v/>
      </c>
      <c r="G2748" s="13"/>
      <c r="H2748" s="11"/>
      <c r="I2748" s="15" t="str">
        <f aca="false">IF($F2748="","",$F2748-IF($H2748="",0,$H2748))</f>
        <v/>
      </c>
      <c r="J2748" s="16" t="str">
        <f aca="true">IF(OR($A2748="",$I2748="",$I2748&lt;=0),"",TODAY()-$A2748)</f>
        <v/>
      </c>
      <c r="K2748" s="10"/>
    </row>
    <row r="2749" customFormat="false" ht="15" hidden="false" customHeight="true" outlineLevel="0" collapsed="false">
      <c r="A2749" s="13"/>
      <c r="B2749" s="10"/>
      <c r="C2749" s="10"/>
      <c r="D2749" s="14"/>
      <c r="E2749" s="11"/>
      <c r="F2749" s="15" t="str">
        <f aca="false">IF($B2749="","",IF(AND($D2749="",$E2749=""),"",IF(OR($D2749="",$E2749=""),0,ROUND($D2749*$E2749,0))))</f>
        <v/>
      </c>
      <c r="G2749" s="13"/>
      <c r="H2749" s="11"/>
      <c r="I2749" s="15" t="str">
        <f aca="false">IF($F2749="","",$F2749-IF($H2749="",0,$H2749))</f>
        <v/>
      </c>
      <c r="J2749" s="16" t="str">
        <f aca="true">IF(OR($A2749="",$I2749="",$I2749&lt;=0),"",TODAY()-$A2749)</f>
        <v/>
      </c>
      <c r="K2749" s="10"/>
    </row>
    <row r="2750" customFormat="false" ht="15" hidden="false" customHeight="true" outlineLevel="0" collapsed="false">
      <c r="A2750" s="13"/>
      <c r="B2750" s="10"/>
      <c r="C2750" s="10"/>
      <c r="D2750" s="14"/>
      <c r="E2750" s="11"/>
      <c r="F2750" s="15" t="str">
        <f aca="false">IF($B2750="","",IF(AND($D2750="",$E2750=""),"",IF(OR($D2750="",$E2750=""),0,ROUND($D2750*$E2750,0))))</f>
        <v/>
      </c>
      <c r="G2750" s="13"/>
      <c r="H2750" s="11"/>
      <c r="I2750" s="15" t="str">
        <f aca="false">IF($F2750="","",$F2750-IF($H2750="",0,$H2750))</f>
        <v/>
      </c>
      <c r="J2750" s="16" t="str">
        <f aca="true">IF(OR($A2750="",$I2750="",$I2750&lt;=0),"",TODAY()-$A2750)</f>
        <v/>
      </c>
      <c r="K2750" s="10"/>
    </row>
    <row r="2751" customFormat="false" ht="15" hidden="false" customHeight="true" outlineLevel="0" collapsed="false">
      <c r="A2751" s="13"/>
      <c r="B2751" s="10"/>
      <c r="C2751" s="10"/>
      <c r="D2751" s="14"/>
      <c r="E2751" s="11"/>
      <c r="F2751" s="15" t="str">
        <f aca="false">IF($B2751="","",IF(AND($D2751="",$E2751=""),"",IF(OR($D2751="",$E2751=""),0,ROUND($D2751*$E2751,0))))</f>
        <v/>
      </c>
      <c r="G2751" s="13"/>
      <c r="H2751" s="11"/>
      <c r="I2751" s="15" t="str">
        <f aca="false">IF($F2751="","",$F2751-IF($H2751="",0,$H2751))</f>
        <v/>
      </c>
      <c r="J2751" s="16" t="str">
        <f aca="true">IF(OR($A2751="",$I2751="",$I2751&lt;=0),"",TODAY()-$A2751)</f>
        <v/>
      </c>
      <c r="K2751" s="10"/>
    </row>
    <row r="2752" customFormat="false" ht="15" hidden="false" customHeight="true" outlineLevel="0" collapsed="false">
      <c r="A2752" s="13"/>
      <c r="B2752" s="10"/>
      <c r="C2752" s="10"/>
      <c r="D2752" s="14"/>
      <c r="E2752" s="11"/>
      <c r="F2752" s="15" t="str">
        <f aca="false">IF($B2752="","",IF(AND($D2752="",$E2752=""),"",IF(OR($D2752="",$E2752=""),0,ROUND($D2752*$E2752,0))))</f>
        <v/>
      </c>
      <c r="G2752" s="13"/>
      <c r="H2752" s="11"/>
      <c r="I2752" s="15" t="str">
        <f aca="false">IF($F2752="","",$F2752-IF($H2752="",0,$H2752))</f>
        <v/>
      </c>
      <c r="J2752" s="16" t="str">
        <f aca="true">IF(OR($A2752="",$I2752="",$I2752&lt;=0),"",TODAY()-$A2752)</f>
        <v/>
      </c>
      <c r="K2752" s="10"/>
    </row>
    <row r="2753" customFormat="false" ht="15" hidden="false" customHeight="true" outlineLevel="0" collapsed="false">
      <c r="A2753" s="13"/>
      <c r="B2753" s="10"/>
      <c r="C2753" s="10"/>
      <c r="D2753" s="14"/>
      <c r="E2753" s="11"/>
      <c r="F2753" s="15" t="str">
        <f aca="false">IF($B2753="","",IF(AND($D2753="",$E2753=""),"",IF(OR($D2753="",$E2753=""),0,ROUND($D2753*$E2753,0))))</f>
        <v/>
      </c>
      <c r="G2753" s="13"/>
      <c r="H2753" s="11"/>
      <c r="I2753" s="15" t="str">
        <f aca="false">IF($F2753="","",$F2753-IF($H2753="",0,$H2753))</f>
        <v/>
      </c>
      <c r="J2753" s="16" t="str">
        <f aca="true">IF(OR($A2753="",$I2753="",$I2753&lt;=0),"",TODAY()-$A2753)</f>
        <v/>
      </c>
      <c r="K2753" s="10"/>
    </row>
    <row r="2754" customFormat="false" ht="15" hidden="false" customHeight="true" outlineLevel="0" collapsed="false">
      <c r="A2754" s="13"/>
      <c r="B2754" s="10"/>
      <c r="C2754" s="10"/>
      <c r="D2754" s="14"/>
      <c r="E2754" s="11"/>
      <c r="F2754" s="15" t="str">
        <f aca="false">IF($B2754="","",IF(AND($D2754="",$E2754=""),"",IF(OR($D2754="",$E2754=""),0,ROUND($D2754*$E2754,0))))</f>
        <v/>
      </c>
      <c r="G2754" s="13"/>
      <c r="H2754" s="11"/>
      <c r="I2754" s="15" t="str">
        <f aca="false">IF($F2754="","",$F2754-IF($H2754="",0,$H2754))</f>
        <v/>
      </c>
      <c r="J2754" s="16" t="str">
        <f aca="true">IF(OR($A2754="",$I2754="",$I2754&lt;=0),"",TODAY()-$A2754)</f>
        <v/>
      </c>
      <c r="K2754" s="10"/>
    </row>
    <row r="2755" customFormat="false" ht="15" hidden="false" customHeight="true" outlineLevel="0" collapsed="false">
      <c r="A2755" s="13"/>
      <c r="B2755" s="10"/>
      <c r="C2755" s="10"/>
      <c r="D2755" s="14"/>
      <c r="E2755" s="11"/>
      <c r="F2755" s="15" t="str">
        <f aca="false">IF($B2755="","",IF(AND($D2755="",$E2755=""),"",IF(OR($D2755="",$E2755=""),0,ROUND($D2755*$E2755,0))))</f>
        <v/>
      </c>
      <c r="G2755" s="13"/>
      <c r="H2755" s="11"/>
      <c r="I2755" s="15" t="str">
        <f aca="false">IF($F2755="","",$F2755-IF($H2755="",0,$H2755))</f>
        <v/>
      </c>
      <c r="J2755" s="16" t="str">
        <f aca="true">IF(OR($A2755="",$I2755="",$I2755&lt;=0),"",TODAY()-$A2755)</f>
        <v/>
      </c>
      <c r="K2755" s="10"/>
    </row>
    <row r="2756" customFormat="false" ht="15" hidden="false" customHeight="true" outlineLevel="0" collapsed="false">
      <c r="A2756" s="13"/>
      <c r="B2756" s="10"/>
      <c r="C2756" s="10"/>
      <c r="D2756" s="14"/>
      <c r="E2756" s="11"/>
      <c r="F2756" s="15" t="str">
        <f aca="false">IF($B2756="","",IF(AND($D2756="",$E2756=""),"",IF(OR($D2756="",$E2756=""),0,ROUND($D2756*$E2756,0))))</f>
        <v/>
      </c>
      <c r="G2756" s="13"/>
      <c r="H2756" s="11"/>
      <c r="I2756" s="15" t="str">
        <f aca="false">IF($F2756="","",$F2756-IF($H2756="",0,$H2756))</f>
        <v/>
      </c>
      <c r="J2756" s="16" t="str">
        <f aca="true">IF(OR($A2756="",$I2756="",$I2756&lt;=0),"",TODAY()-$A2756)</f>
        <v/>
      </c>
      <c r="K2756" s="10"/>
    </row>
    <row r="2757" customFormat="false" ht="15" hidden="false" customHeight="true" outlineLevel="0" collapsed="false">
      <c r="A2757" s="13"/>
      <c r="B2757" s="10"/>
      <c r="C2757" s="10"/>
      <c r="D2757" s="14"/>
      <c r="E2757" s="11"/>
      <c r="F2757" s="15" t="str">
        <f aca="false">IF($B2757="","",IF(AND($D2757="",$E2757=""),"",IF(OR($D2757="",$E2757=""),0,ROUND($D2757*$E2757,0))))</f>
        <v/>
      </c>
      <c r="G2757" s="13"/>
      <c r="H2757" s="11"/>
      <c r="I2757" s="15" t="str">
        <f aca="false">IF($F2757="","",$F2757-IF($H2757="",0,$H2757))</f>
        <v/>
      </c>
      <c r="J2757" s="16" t="str">
        <f aca="true">IF(OR($A2757="",$I2757="",$I2757&lt;=0),"",TODAY()-$A2757)</f>
        <v/>
      </c>
      <c r="K2757" s="10"/>
    </row>
    <row r="2758" customFormat="false" ht="15" hidden="false" customHeight="true" outlineLevel="0" collapsed="false">
      <c r="A2758" s="13"/>
      <c r="B2758" s="10"/>
      <c r="C2758" s="10"/>
      <c r="D2758" s="14"/>
      <c r="E2758" s="11"/>
      <c r="F2758" s="15" t="str">
        <f aca="false">IF($B2758="","",IF(AND($D2758="",$E2758=""),"",IF(OR($D2758="",$E2758=""),0,ROUND($D2758*$E2758,0))))</f>
        <v/>
      </c>
      <c r="G2758" s="13"/>
      <c r="H2758" s="11"/>
      <c r="I2758" s="15" t="str">
        <f aca="false">IF($F2758="","",$F2758-IF($H2758="",0,$H2758))</f>
        <v/>
      </c>
      <c r="J2758" s="16" t="str">
        <f aca="true">IF(OR($A2758="",$I2758="",$I2758&lt;=0),"",TODAY()-$A2758)</f>
        <v/>
      </c>
      <c r="K2758" s="10"/>
    </row>
    <row r="2759" customFormat="false" ht="15" hidden="false" customHeight="true" outlineLevel="0" collapsed="false">
      <c r="A2759" s="13"/>
      <c r="B2759" s="10"/>
      <c r="C2759" s="10"/>
      <c r="D2759" s="14"/>
      <c r="E2759" s="11"/>
      <c r="F2759" s="15" t="str">
        <f aca="false">IF($B2759="","",IF(AND($D2759="",$E2759=""),"",IF(OR($D2759="",$E2759=""),0,ROUND($D2759*$E2759,0))))</f>
        <v/>
      </c>
      <c r="G2759" s="13"/>
      <c r="H2759" s="11"/>
      <c r="I2759" s="15" t="str">
        <f aca="false">IF($F2759="","",$F2759-IF($H2759="",0,$H2759))</f>
        <v/>
      </c>
      <c r="J2759" s="16" t="str">
        <f aca="true">IF(OR($A2759="",$I2759="",$I2759&lt;=0),"",TODAY()-$A2759)</f>
        <v/>
      </c>
      <c r="K2759" s="10"/>
    </row>
    <row r="2760" customFormat="false" ht="15" hidden="false" customHeight="true" outlineLevel="0" collapsed="false">
      <c r="A2760" s="13"/>
      <c r="B2760" s="10"/>
      <c r="C2760" s="10"/>
      <c r="D2760" s="14"/>
      <c r="E2760" s="11"/>
      <c r="F2760" s="15" t="str">
        <f aca="false">IF($B2760="","",IF(AND($D2760="",$E2760=""),"",IF(OR($D2760="",$E2760=""),0,ROUND($D2760*$E2760,0))))</f>
        <v/>
      </c>
      <c r="G2760" s="13"/>
      <c r="H2760" s="11"/>
      <c r="I2760" s="15" t="str">
        <f aca="false">IF($F2760="","",$F2760-IF($H2760="",0,$H2760))</f>
        <v/>
      </c>
      <c r="J2760" s="16" t="str">
        <f aca="true">IF(OR($A2760="",$I2760="",$I2760&lt;=0),"",TODAY()-$A2760)</f>
        <v/>
      </c>
      <c r="K2760" s="10"/>
    </row>
    <row r="2761" customFormat="false" ht="15" hidden="false" customHeight="true" outlineLevel="0" collapsed="false">
      <c r="A2761" s="13"/>
      <c r="B2761" s="10"/>
      <c r="C2761" s="10"/>
      <c r="D2761" s="14"/>
      <c r="E2761" s="11"/>
      <c r="F2761" s="15" t="str">
        <f aca="false">IF($B2761="","",IF(AND($D2761="",$E2761=""),"",IF(OR($D2761="",$E2761=""),0,ROUND($D2761*$E2761,0))))</f>
        <v/>
      </c>
      <c r="G2761" s="13"/>
      <c r="H2761" s="11"/>
      <c r="I2761" s="15" t="str">
        <f aca="false">IF($F2761="","",$F2761-IF($H2761="",0,$H2761))</f>
        <v/>
      </c>
      <c r="J2761" s="16" t="str">
        <f aca="true">IF(OR($A2761="",$I2761="",$I2761&lt;=0),"",TODAY()-$A2761)</f>
        <v/>
      </c>
      <c r="K2761" s="10"/>
    </row>
    <row r="2762" customFormat="false" ht="15" hidden="false" customHeight="true" outlineLevel="0" collapsed="false">
      <c r="A2762" s="13"/>
      <c r="B2762" s="10"/>
      <c r="C2762" s="10"/>
      <c r="D2762" s="14"/>
      <c r="E2762" s="11"/>
      <c r="F2762" s="15" t="str">
        <f aca="false">IF($B2762="","",IF(AND($D2762="",$E2762=""),"",IF(OR($D2762="",$E2762=""),0,ROUND($D2762*$E2762,0))))</f>
        <v/>
      </c>
      <c r="G2762" s="13"/>
      <c r="H2762" s="11"/>
      <c r="I2762" s="15" t="str">
        <f aca="false">IF($F2762="","",$F2762-IF($H2762="",0,$H2762))</f>
        <v/>
      </c>
      <c r="J2762" s="16" t="str">
        <f aca="true">IF(OR($A2762="",$I2762="",$I2762&lt;=0),"",TODAY()-$A2762)</f>
        <v/>
      </c>
      <c r="K2762" s="10"/>
    </row>
    <row r="2763" customFormat="false" ht="15" hidden="false" customHeight="true" outlineLevel="0" collapsed="false">
      <c r="A2763" s="13"/>
      <c r="B2763" s="10"/>
      <c r="C2763" s="10"/>
      <c r="D2763" s="14"/>
      <c r="E2763" s="11"/>
      <c r="F2763" s="15" t="str">
        <f aca="false">IF($B2763="","",IF(AND($D2763="",$E2763=""),"",IF(OR($D2763="",$E2763=""),0,ROUND($D2763*$E2763,0))))</f>
        <v/>
      </c>
      <c r="G2763" s="13"/>
      <c r="H2763" s="11"/>
      <c r="I2763" s="15" t="str">
        <f aca="false">IF($F2763="","",$F2763-IF($H2763="",0,$H2763))</f>
        <v/>
      </c>
      <c r="J2763" s="16" t="str">
        <f aca="true">IF(OR($A2763="",$I2763="",$I2763&lt;=0),"",TODAY()-$A2763)</f>
        <v/>
      </c>
      <c r="K2763" s="10"/>
    </row>
    <row r="2764" customFormat="false" ht="15" hidden="false" customHeight="true" outlineLevel="0" collapsed="false">
      <c r="A2764" s="13"/>
      <c r="B2764" s="10"/>
      <c r="C2764" s="10"/>
      <c r="D2764" s="14"/>
      <c r="E2764" s="11"/>
      <c r="F2764" s="15" t="str">
        <f aca="false">IF($B2764="","",IF(AND($D2764="",$E2764=""),"",IF(OR($D2764="",$E2764=""),0,ROUND($D2764*$E2764,0))))</f>
        <v/>
      </c>
      <c r="G2764" s="13"/>
      <c r="H2764" s="11"/>
      <c r="I2764" s="15" t="str">
        <f aca="false">IF($F2764="","",$F2764-IF($H2764="",0,$H2764))</f>
        <v/>
      </c>
      <c r="J2764" s="16" t="str">
        <f aca="true">IF(OR($A2764="",$I2764="",$I2764&lt;=0),"",TODAY()-$A2764)</f>
        <v/>
      </c>
      <c r="K2764" s="10"/>
    </row>
    <row r="2765" customFormat="false" ht="15" hidden="false" customHeight="true" outlineLevel="0" collapsed="false">
      <c r="A2765" s="13"/>
      <c r="B2765" s="10"/>
      <c r="C2765" s="10"/>
      <c r="D2765" s="14"/>
      <c r="E2765" s="11"/>
      <c r="F2765" s="15" t="str">
        <f aca="false">IF($B2765="","",IF(AND($D2765="",$E2765=""),"",IF(OR($D2765="",$E2765=""),0,ROUND($D2765*$E2765,0))))</f>
        <v/>
      </c>
      <c r="G2765" s="13"/>
      <c r="H2765" s="11"/>
      <c r="I2765" s="15" t="str">
        <f aca="false">IF($F2765="","",$F2765-IF($H2765="",0,$H2765))</f>
        <v/>
      </c>
      <c r="J2765" s="16" t="str">
        <f aca="true">IF(OR($A2765="",$I2765="",$I2765&lt;=0),"",TODAY()-$A2765)</f>
        <v/>
      </c>
      <c r="K2765" s="10"/>
    </row>
    <row r="2766" customFormat="false" ht="15" hidden="false" customHeight="true" outlineLevel="0" collapsed="false">
      <c r="A2766" s="13"/>
      <c r="B2766" s="10"/>
      <c r="C2766" s="10"/>
      <c r="D2766" s="14"/>
      <c r="E2766" s="11"/>
      <c r="F2766" s="15" t="str">
        <f aca="false">IF($B2766="","",IF(AND($D2766="",$E2766=""),"",IF(OR($D2766="",$E2766=""),0,ROUND($D2766*$E2766,0))))</f>
        <v/>
      </c>
      <c r="G2766" s="13"/>
      <c r="H2766" s="11"/>
      <c r="I2766" s="15" t="str">
        <f aca="false">IF($F2766="","",$F2766-IF($H2766="",0,$H2766))</f>
        <v/>
      </c>
      <c r="J2766" s="16" t="str">
        <f aca="true">IF(OR($A2766="",$I2766="",$I2766&lt;=0),"",TODAY()-$A2766)</f>
        <v/>
      </c>
      <c r="K2766" s="10"/>
    </row>
    <row r="2767" customFormat="false" ht="15" hidden="false" customHeight="true" outlineLevel="0" collapsed="false">
      <c r="A2767" s="13"/>
      <c r="B2767" s="10"/>
      <c r="C2767" s="10"/>
      <c r="D2767" s="14"/>
      <c r="E2767" s="11"/>
      <c r="F2767" s="15" t="str">
        <f aca="false">IF($B2767="","",IF(AND($D2767="",$E2767=""),"",IF(OR($D2767="",$E2767=""),0,ROUND($D2767*$E2767,0))))</f>
        <v/>
      </c>
      <c r="G2767" s="13"/>
      <c r="H2767" s="11"/>
      <c r="I2767" s="15" t="str">
        <f aca="false">IF($F2767="","",$F2767-IF($H2767="",0,$H2767))</f>
        <v/>
      </c>
      <c r="J2767" s="16" t="str">
        <f aca="true">IF(OR($A2767="",$I2767="",$I2767&lt;=0),"",TODAY()-$A2767)</f>
        <v/>
      </c>
      <c r="K2767" s="10"/>
    </row>
    <row r="2768" customFormat="false" ht="15" hidden="false" customHeight="true" outlineLevel="0" collapsed="false">
      <c r="A2768" s="13"/>
      <c r="B2768" s="10"/>
      <c r="C2768" s="10"/>
      <c r="D2768" s="14"/>
      <c r="E2768" s="11"/>
      <c r="F2768" s="15" t="str">
        <f aca="false">IF($B2768="","",IF(AND($D2768="",$E2768=""),"",IF(OR($D2768="",$E2768=""),0,ROUND($D2768*$E2768,0))))</f>
        <v/>
      </c>
      <c r="G2768" s="13"/>
      <c r="H2768" s="11"/>
      <c r="I2768" s="15" t="str">
        <f aca="false">IF($F2768="","",$F2768-IF($H2768="",0,$H2768))</f>
        <v/>
      </c>
      <c r="J2768" s="16" t="str">
        <f aca="true">IF(OR($A2768="",$I2768="",$I2768&lt;=0),"",TODAY()-$A2768)</f>
        <v/>
      </c>
      <c r="K2768" s="10"/>
    </row>
    <row r="2769" customFormat="false" ht="15" hidden="false" customHeight="true" outlineLevel="0" collapsed="false">
      <c r="A2769" s="13"/>
      <c r="B2769" s="10"/>
      <c r="C2769" s="10"/>
      <c r="D2769" s="14"/>
      <c r="E2769" s="11"/>
      <c r="F2769" s="15" t="str">
        <f aca="false">IF($B2769="","",IF(AND($D2769="",$E2769=""),"",IF(OR($D2769="",$E2769=""),0,ROUND($D2769*$E2769,0))))</f>
        <v/>
      </c>
      <c r="G2769" s="13"/>
      <c r="H2769" s="11"/>
      <c r="I2769" s="15" t="str">
        <f aca="false">IF($F2769="","",$F2769-IF($H2769="",0,$H2769))</f>
        <v/>
      </c>
      <c r="J2769" s="16" t="str">
        <f aca="true">IF(OR($A2769="",$I2769="",$I2769&lt;=0),"",TODAY()-$A2769)</f>
        <v/>
      </c>
      <c r="K2769" s="10"/>
    </row>
    <row r="2770" customFormat="false" ht="15" hidden="false" customHeight="true" outlineLevel="0" collapsed="false">
      <c r="A2770" s="13"/>
      <c r="B2770" s="10"/>
      <c r="C2770" s="10"/>
      <c r="D2770" s="14"/>
      <c r="E2770" s="11"/>
      <c r="F2770" s="15" t="str">
        <f aca="false">IF($B2770="","",IF(AND($D2770="",$E2770=""),"",IF(OR($D2770="",$E2770=""),0,ROUND($D2770*$E2770,0))))</f>
        <v/>
      </c>
      <c r="G2770" s="13"/>
      <c r="H2770" s="11"/>
      <c r="I2770" s="15" t="str">
        <f aca="false">IF($F2770="","",$F2770-IF($H2770="",0,$H2770))</f>
        <v/>
      </c>
      <c r="J2770" s="16" t="str">
        <f aca="true">IF(OR($A2770="",$I2770="",$I2770&lt;=0),"",TODAY()-$A2770)</f>
        <v/>
      </c>
      <c r="K2770" s="10"/>
    </row>
    <row r="2771" customFormat="false" ht="15" hidden="false" customHeight="true" outlineLevel="0" collapsed="false">
      <c r="A2771" s="13"/>
      <c r="B2771" s="10"/>
      <c r="C2771" s="10"/>
      <c r="D2771" s="14"/>
      <c r="E2771" s="11"/>
      <c r="F2771" s="15" t="str">
        <f aca="false">IF($B2771="","",IF(AND($D2771="",$E2771=""),"",IF(OR($D2771="",$E2771=""),0,ROUND($D2771*$E2771,0))))</f>
        <v/>
      </c>
      <c r="G2771" s="13"/>
      <c r="H2771" s="11"/>
      <c r="I2771" s="15" t="str">
        <f aca="false">IF($F2771="","",$F2771-IF($H2771="",0,$H2771))</f>
        <v/>
      </c>
      <c r="J2771" s="16" t="str">
        <f aca="true">IF(OR($A2771="",$I2771="",$I2771&lt;=0),"",TODAY()-$A2771)</f>
        <v/>
      </c>
      <c r="K2771" s="10"/>
    </row>
    <row r="2772" customFormat="false" ht="15" hidden="false" customHeight="true" outlineLevel="0" collapsed="false">
      <c r="A2772" s="13"/>
      <c r="B2772" s="10"/>
      <c r="C2772" s="10"/>
      <c r="D2772" s="14"/>
      <c r="E2772" s="11"/>
      <c r="F2772" s="15" t="str">
        <f aca="false">IF($B2772="","",IF(AND($D2772="",$E2772=""),"",IF(OR($D2772="",$E2772=""),0,ROUND($D2772*$E2772,0))))</f>
        <v/>
      </c>
      <c r="G2772" s="13"/>
      <c r="H2772" s="11"/>
      <c r="I2772" s="15" t="str">
        <f aca="false">IF($F2772="","",$F2772-IF($H2772="",0,$H2772))</f>
        <v/>
      </c>
      <c r="J2772" s="16" t="str">
        <f aca="true">IF(OR($A2772="",$I2772="",$I2772&lt;=0),"",TODAY()-$A2772)</f>
        <v/>
      </c>
      <c r="K2772" s="10"/>
    </row>
    <row r="2773" customFormat="false" ht="15" hidden="false" customHeight="true" outlineLevel="0" collapsed="false">
      <c r="A2773" s="13"/>
      <c r="B2773" s="10"/>
      <c r="C2773" s="10"/>
      <c r="D2773" s="14"/>
      <c r="E2773" s="11"/>
      <c r="F2773" s="15" t="str">
        <f aca="false">IF($B2773="","",IF(AND($D2773="",$E2773=""),"",IF(OR($D2773="",$E2773=""),0,ROUND($D2773*$E2773,0))))</f>
        <v/>
      </c>
      <c r="G2773" s="13"/>
      <c r="H2773" s="11"/>
      <c r="I2773" s="15" t="str">
        <f aca="false">IF($F2773="","",$F2773-IF($H2773="",0,$H2773))</f>
        <v/>
      </c>
      <c r="J2773" s="16" t="str">
        <f aca="true">IF(OR($A2773="",$I2773="",$I2773&lt;=0),"",TODAY()-$A2773)</f>
        <v/>
      </c>
      <c r="K2773" s="10"/>
    </row>
    <row r="2774" customFormat="false" ht="15" hidden="false" customHeight="true" outlineLevel="0" collapsed="false">
      <c r="A2774" s="13"/>
      <c r="B2774" s="10"/>
      <c r="C2774" s="10"/>
      <c r="D2774" s="14"/>
      <c r="E2774" s="11"/>
      <c r="F2774" s="15" t="str">
        <f aca="false">IF($B2774="","",IF(AND($D2774="",$E2774=""),"",IF(OR($D2774="",$E2774=""),0,ROUND($D2774*$E2774,0))))</f>
        <v/>
      </c>
      <c r="G2774" s="13"/>
      <c r="H2774" s="11"/>
      <c r="I2774" s="15" t="str">
        <f aca="false">IF($F2774="","",$F2774-IF($H2774="",0,$H2774))</f>
        <v/>
      </c>
      <c r="J2774" s="16" t="str">
        <f aca="true">IF(OR($A2774="",$I2774="",$I2774&lt;=0),"",TODAY()-$A2774)</f>
        <v/>
      </c>
      <c r="K2774" s="10"/>
    </row>
    <row r="2775" customFormat="false" ht="15" hidden="false" customHeight="true" outlineLevel="0" collapsed="false">
      <c r="A2775" s="13"/>
      <c r="B2775" s="10"/>
      <c r="C2775" s="10"/>
      <c r="D2775" s="14"/>
      <c r="E2775" s="11"/>
      <c r="F2775" s="15" t="str">
        <f aca="false">IF($B2775="","",IF(AND($D2775="",$E2775=""),"",IF(OR($D2775="",$E2775=""),0,ROUND($D2775*$E2775,0))))</f>
        <v/>
      </c>
      <c r="G2775" s="13"/>
      <c r="H2775" s="11"/>
      <c r="I2775" s="15" t="str">
        <f aca="false">IF($F2775="","",$F2775-IF($H2775="",0,$H2775))</f>
        <v/>
      </c>
      <c r="J2775" s="16" t="str">
        <f aca="true">IF(OR($A2775="",$I2775="",$I2775&lt;=0),"",TODAY()-$A2775)</f>
        <v/>
      </c>
      <c r="K2775" s="10"/>
    </row>
    <row r="2776" customFormat="false" ht="15" hidden="false" customHeight="true" outlineLevel="0" collapsed="false">
      <c r="A2776" s="13"/>
      <c r="B2776" s="10"/>
      <c r="C2776" s="10"/>
      <c r="D2776" s="14"/>
      <c r="E2776" s="11"/>
      <c r="F2776" s="15" t="str">
        <f aca="false">IF($B2776="","",IF(AND($D2776="",$E2776=""),"",IF(OR($D2776="",$E2776=""),0,ROUND($D2776*$E2776,0))))</f>
        <v/>
      </c>
      <c r="G2776" s="13"/>
      <c r="H2776" s="11"/>
      <c r="I2776" s="15" t="str">
        <f aca="false">IF($F2776="","",$F2776-IF($H2776="",0,$H2776))</f>
        <v/>
      </c>
      <c r="J2776" s="16" t="str">
        <f aca="true">IF(OR($A2776="",$I2776="",$I2776&lt;=0),"",TODAY()-$A2776)</f>
        <v/>
      </c>
      <c r="K2776" s="10"/>
    </row>
    <row r="2777" customFormat="false" ht="15" hidden="false" customHeight="true" outlineLevel="0" collapsed="false">
      <c r="A2777" s="13"/>
      <c r="B2777" s="10"/>
      <c r="C2777" s="10"/>
      <c r="D2777" s="14"/>
      <c r="E2777" s="11"/>
      <c r="F2777" s="15" t="str">
        <f aca="false">IF($B2777="","",IF(AND($D2777="",$E2777=""),"",IF(OR($D2777="",$E2777=""),0,ROUND($D2777*$E2777,0))))</f>
        <v/>
      </c>
      <c r="G2777" s="13"/>
      <c r="H2777" s="11"/>
      <c r="I2777" s="15" t="str">
        <f aca="false">IF($F2777="","",$F2777-IF($H2777="",0,$H2777))</f>
        <v/>
      </c>
      <c r="J2777" s="16" t="str">
        <f aca="true">IF(OR($A2777="",$I2777="",$I2777&lt;=0),"",TODAY()-$A2777)</f>
        <v/>
      </c>
      <c r="K2777" s="10"/>
    </row>
    <row r="2778" customFormat="false" ht="15" hidden="false" customHeight="true" outlineLevel="0" collapsed="false">
      <c r="A2778" s="13"/>
      <c r="B2778" s="10"/>
      <c r="C2778" s="10"/>
      <c r="D2778" s="14"/>
      <c r="E2778" s="11"/>
      <c r="F2778" s="15" t="str">
        <f aca="false">IF($B2778="","",IF(AND($D2778="",$E2778=""),"",IF(OR($D2778="",$E2778=""),0,ROUND($D2778*$E2778,0))))</f>
        <v/>
      </c>
      <c r="G2778" s="13"/>
      <c r="H2778" s="11"/>
      <c r="I2778" s="15" t="str">
        <f aca="false">IF($F2778="","",$F2778-IF($H2778="",0,$H2778))</f>
        <v/>
      </c>
      <c r="J2778" s="16" t="str">
        <f aca="true">IF(OR($A2778="",$I2778="",$I2778&lt;=0),"",TODAY()-$A2778)</f>
        <v/>
      </c>
      <c r="K2778" s="10"/>
    </row>
    <row r="2779" customFormat="false" ht="15" hidden="false" customHeight="true" outlineLevel="0" collapsed="false">
      <c r="A2779" s="13"/>
      <c r="B2779" s="10"/>
      <c r="C2779" s="10"/>
      <c r="D2779" s="14"/>
      <c r="E2779" s="11"/>
      <c r="F2779" s="15" t="str">
        <f aca="false">IF($B2779="","",IF(AND($D2779="",$E2779=""),"",IF(OR($D2779="",$E2779=""),0,ROUND($D2779*$E2779,0))))</f>
        <v/>
      </c>
      <c r="G2779" s="13"/>
      <c r="H2779" s="11"/>
      <c r="I2779" s="15" t="str">
        <f aca="false">IF($F2779="","",$F2779-IF($H2779="",0,$H2779))</f>
        <v/>
      </c>
      <c r="J2779" s="16" t="str">
        <f aca="true">IF(OR($A2779="",$I2779="",$I2779&lt;=0),"",TODAY()-$A2779)</f>
        <v/>
      </c>
      <c r="K2779" s="10"/>
    </row>
    <row r="2780" customFormat="false" ht="15" hidden="false" customHeight="true" outlineLevel="0" collapsed="false">
      <c r="A2780" s="13"/>
      <c r="B2780" s="10"/>
      <c r="C2780" s="10"/>
      <c r="D2780" s="14"/>
      <c r="E2780" s="11"/>
      <c r="F2780" s="15" t="str">
        <f aca="false">IF($B2780="","",IF(AND($D2780="",$E2780=""),"",IF(OR($D2780="",$E2780=""),0,ROUND($D2780*$E2780,0))))</f>
        <v/>
      </c>
      <c r="G2780" s="13"/>
      <c r="H2780" s="11"/>
      <c r="I2780" s="15" t="str">
        <f aca="false">IF($F2780="","",$F2780-IF($H2780="",0,$H2780))</f>
        <v/>
      </c>
      <c r="J2780" s="16" t="str">
        <f aca="true">IF(OR($A2780="",$I2780="",$I2780&lt;=0),"",TODAY()-$A2780)</f>
        <v/>
      </c>
      <c r="K2780" s="10"/>
    </row>
    <row r="2781" customFormat="false" ht="15" hidden="false" customHeight="true" outlineLevel="0" collapsed="false">
      <c r="A2781" s="13"/>
      <c r="B2781" s="10"/>
      <c r="C2781" s="10"/>
      <c r="D2781" s="14"/>
      <c r="E2781" s="11"/>
      <c r="F2781" s="15" t="str">
        <f aca="false">IF($B2781="","",IF(AND($D2781="",$E2781=""),"",IF(OR($D2781="",$E2781=""),0,ROUND($D2781*$E2781,0))))</f>
        <v/>
      </c>
      <c r="G2781" s="13"/>
      <c r="H2781" s="11"/>
      <c r="I2781" s="15" t="str">
        <f aca="false">IF($F2781="","",$F2781-IF($H2781="",0,$H2781))</f>
        <v/>
      </c>
      <c r="J2781" s="16" t="str">
        <f aca="true">IF(OR($A2781="",$I2781="",$I2781&lt;=0),"",TODAY()-$A2781)</f>
        <v/>
      </c>
      <c r="K2781" s="10"/>
    </row>
    <row r="2782" customFormat="false" ht="15" hidden="false" customHeight="true" outlineLevel="0" collapsed="false">
      <c r="A2782" s="13"/>
      <c r="B2782" s="10"/>
      <c r="C2782" s="10"/>
      <c r="D2782" s="14"/>
      <c r="E2782" s="11"/>
      <c r="F2782" s="15" t="str">
        <f aca="false">IF($B2782="","",IF(AND($D2782="",$E2782=""),"",IF(OR($D2782="",$E2782=""),0,ROUND($D2782*$E2782,0))))</f>
        <v/>
      </c>
      <c r="G2782" s="13"/>
      <c r="H2782" s="11"/>
      <c r="I2782" s="15" t="str">
        <f aca="false">IF($F2782="","",$F2782-IF($H2782="",0,$H2782))</f>
        <v/>
      </c>
      <c r="J2782" s="16" t="str">
        <f aca="true">IF(OR($A2782="",$I2782="",$I2782&lt;=0),"",TODAY()-$A2782)</f>
        <v/>
      </c>
      <c r="K2782" s="10"/>
    </row>
    <row r="2783" customFormat="false" ht="15" hidden="false" customHeight="true" outlineLevel="0" collapsed="false">
      <c r="A2783" s="13"/>
      <c r="B2783" s="10"/>
      <c r="C2783" s="10"/>
      <c r="D2783" s="14"/>
      <c r="E2783" s="11"/>
      <c r="F2783" s="15" t="str">
        <f aca="false">IF($B2783="","",IF(AND($D2783="",$E2783=""),"",IF(OR($D2783="",$E2783=""),0,ROUND($D2783*$E2783,0))))</f>
        <v/>
      </c>
      <c r="G2783" s="13"/>
      <c r="H2783" s="11"/>
      <c r="I2783" s="15" t="str">
        <f aca="false">IF($F2783="","",$F2783-IF($H2783="",0,$H2783))</f>
        <v/>
      </c>
      <c r="J2783" s="16" t="str">
        <f aca="true">IF(OR($A2783="",$I2783="",$I2783&lt;=0),"",TODAY()-$A2783)</f>
        <v/>
      </c>
      <c r="K2783" s="10"/>
    </row>
    <row r="2784" customFormat="false" ht="15" hidden="false" customHeight="true" outlineLevel="0" collapsed="false">
      <c r="A2784" s="13"/>
      <c r="B2784" s="10"/>
      <c r="C2784" s="10"/>
      <c r="D2784" s="14"/>
      <c r="E2784" s="11"/>
      <c r="F2784" s="15" t="str">
        <f aca="false">IF($B2784="","",IF(AND($D2784="",$E2784=""),"",IF(OR($D2784="",$E2784=""),0,ROUND($D2784*$E2784,0))))</f>
        <v/>
      </c>
      <c r="G2784" s="13"/>
      <c r="H2784" s="11"/>
      <c r="I2784" s="15" t="str">
        <f aca="false">IF($F2784="","",$F2784-IF($H2784="",0,$H2784))</f>
        <v/>
      </c>
      <c r="J2784" s="16" t="str">
        <f aca="true">IF(OR($A2784="",$I2784="",$I2784&lt;=0),"",TODAY()-$A2784)</f>
        <v/>
      </c>
      <c r="K2784" s="10"/>
    </row>
    <row r="2785" customFormat="false" ht="15" hidden="false" customHeight="true" outlineLevel="0" collapsed="false">
      <c r="A2785" s="13"/>
      <c r="B2785" s="10"/>
      <c r="C2785" s="10"/>
      <c r="D2785" s="14"/>
      <c r="E2785" s="11"/>
      <c r="F2785" s="15" t="str">
        <f aca="false">IF($B2785="","",IF(AND($D2785="",$E2785=""),"",IF(OR($D2785="",$E2785=""),0,ROUND($D2785*$E2785,0))))</f>
        <v/>
      </c>
      <c r="G2785" s="13"/>
      <c r="H2785" s="11"/>
      <c r="I2785" s="15" t="str">
        <f aca="false">IF($F2785="","",$F2785-IF($H2785="",0,$H2785))</f>
        <v/>
      </c>
      <c r="J2785" s="16" t="str">
        <f aca="true">IF(OR($A2785="",$I2785="",$I2785&lt;=0),"",TODAY()-$A2785)</f>
        <v/>
      </c>
      <c r="K2785" s="10"/>
    </row>
    <row r="2786" customFormat="false" ht="15" hidden="false" customHeight="true" outlineLevel="0" collapsed="false">
      <c r="A2786" s="13"/>
      <c r="B2786" s="10"/>
      <c r="C2786" s="10"/>
      <c r="D2786" s="14"/>
      <c r="E2786" s="11"/>
      <c r="F2786" s="15" t="str">
        <f aca="false">IF($B2786="","",IF(AND($D2786="",$E2786=""),"",IF(OR($D2786="",$E2786=""),0,ROUND($D2786*$E2786,0))))</f>
        <v/>
      </c>
      <c r="G2786" s="13"/>
      <c r="H2786" s="11"/>
      <c r="I2786" s="15" t="str">
        <f aca="false">IF($F2786="","",$F2786-IF($H2786="",0,$H2786))</f>
        <v/>
      </c>
      <c r="J2786" s="16" t="str">
        <f aca="true">IF(OR($A2786="",$I2786="",$I2786&lt;=0),"",TODAY()-$A2786)</f>
        <v/>
      </c>
      <c r="K2786" s="10"/>
    </row>
    <row r="2787" customFormat="false" ht="15" hidden="false" customHeight="true" outlineLevel="0" collapsed="false">
      <c r="A2787" s="13"/>
      <c r="B2787" s="10"/>
      <c r="C2787" s="10"/>
      <c r="D2787" s="14"/>
      <c r="E2787" s="11"/>
      <c r="F2787" s="15" t="str">
        <f aca="false">IF($B2787="","",IF(AND($D2787="",$E2787=""),"",IF(OR($D2787="",$E2787=""),0,ROUND($D2787*$E2787,0))))</f>
        <v/>
      </c>
      <c r="G2787" s="13"/>
      <c r="H2787" s="11"/>
      <c r="I2787" s="15" t="str">
        <f aca="false">IF($F2787="","",$F2787-IF($H2787="",0,$H2787))</f>
        <v/>
      </c>
      <c r="J2787" s="16" t="str">
        <f aca="true">IF(OR($A2787="",$I2787="",$I2787&lt;=0),"",TODAY()-$A2787)</f>
        <v/>
      </c>
      <c r="K2787" s="10"/>
    </row>
    <row r="2788" customFormat="false" ht="15" hidden="false" customHeight="true" outlineLevel="0" collapsed="false">
      <c r="A2788" s="13"/>
      <c r="B2788" s="10"/>
      <c r="C2788" s="10"/>
      <c r="D2788" s="14"/>
      <c r="E2788" s="11"/>
      <c r="F2788" s="15" t="str">
        <f aca="false">IF($B2788="","",IF(AND($D2788="",$E2788=""),"",IF(OR($D2788="",$E2788=""),0,ROUND($D2788*$E2788,0))))</f>
        <v/>
      </c>
      <c r="G2788" s="13"/>
      <c r="H2788" s="11"/>
      <c r="I2788" s="15" t="str">
        <f aca="false">IF($F2788="","",$F2788-IF($H2788="",0,$H2788))</f>
        <v/>
      </c>
      <c r="J2788" s="16" t="str">
        <f aca="true">IF(OR($A2788="",$I2788="",$I2788&lt;=0),"",TODAY()-$A2788)</f>
        <v/>
      </c>
      <c r="K2788" s="10"/>
    </row>
    <row r="2789" customFormat="false" ht="15" hidden="false" customHeight="true" outlineLevel="0" collapsed="false">
      <c r="A2789" s="13"/>
      <c r="B2789" s="10"/>
      <c r="C2789" s="10"/>
      <c r="D2789" s="14"/>
      <c r="E2789" s="11"/>
      <c r="F2789" s="15" t="str">
        <f aca="false">IF($B2789="","",IF(AND($D2789="",$E2789=""),"",IF(OR($D2789="",$E2789=""),0,ROUND($D2789*$E2789,0))))</f>
        <v/>
      </c>
      <c r="G2789" s="13"/>
      <c r="H2789" s="11"/>
      <c r="I2789" s="15" t="str">
        <f aca="false">IF($F2789="","",$F2789-IF($H2789="",0,$H2789))</f>
        <v/>
      </c>
      <c r="J2789" s="16" t="str">
        <f aca="true">IF(OR($A2789="",$I2789="",$I2789&lt;=0),"",TODAY()-$A2789)</f>
        <v/>
      </c>
      <c r="K2789" s="10"/>
    </row>
    <row r="2790" customFormat="false" ht="15" hidden="false" customHeight="true" outlineLevel="0" collapsed="false">
      <c r="A2790" s="13"/>
      <c r="B2790" s="10"/>
      <c r="C2790" s="10"/>
      <c r="D2790" s="14"/>
      <c r="E2790" s="11"/>
      <c r="F2790" s="15" t="str">
        <f aca="false">IF($B2790="","",IF(AND($D2790="",$E2790=""),"",IF(OR($D2790="",$E2790=""),0,ROUND($D2790*$E2790,0))))</f>
        <v/>
      </c>
      <c r="G2790" s="13"/>
      <c r="H2790" s="11"/>
      <c r="I2790" s="15" t="str">
        <f aca="false">IF($F2790="","",$F2790-IF($H2790="",0,$H2790))</f>
        <v/>
      </c>
      <c r="J2790" s="16" t="str">
        <f aca="true">IF(OR($A2790="",$I2790="",$I2790&lt;=0),"",TODAY()-$A2790)</f>
        <v/>
      </c>
      <c r="K2790" s="10"/>
    </row>
    <row r="2791" customFormat="false" ht="15" hidden="false" customHeight="true" outlineLevel="0" collapsed="false">
      <c r="A2791" s="13"/>
      <c r="B2791" s="10"/>
      <c r="C2791" s="10"/>
      <c r="D2791" s="14"/>
      <c r="E2791" s="11"/>
      <c r="F2791" s="15" t="str">
        <f aca="false">IF($B2791="","",IF(AND($D2791="",$E2791=""),"",IF(OR($D2791="",$E2791=""),0,ROUND($D2791*$E2791,0))))</f>
        <v/>
      </c>
      <c r="G2791" s="13"/>
      <c r="H2791" s="11"/>
      <c r="I2791" s="15" t="str">
        <f aca="false">IF($F2791="","",$F2791-IF($H2791="",0,$H2791))</f>
        <v/>
      </c>
      <c r="J2791" s="16" t="str">
        <f aca="true">IF(OR($A2791="",$I2791="",$I2791&lt;=0),"",TODAY()-$A2791)</f>
        <v/>
      </c>
      <c r="K2791" s="10"/>
    </row>
    <row r="2792" customFormat="false" ht="15" hidden="false" customHeight="true" outlineLevel="0" collapsed="false">
      <c r="A2792" s="13"/>
      <c r="B2792" s="10"/>
      <c r="C2792" s="10"/>
      <c r="D2792" s="14"/>
      <c r="E2792" s="11"/>
      <c r="F2792" s="15" t="str">
        <f aca="false">IF($B2792="","",IF(AND($D2792="",$E2792=""),"",IF(OR($D2792="",$E2792=""),0,ROUND($D2792*$E2792,0))))</f>
        <v/>
      </c>
      <c r="G2792" s="13"/>
      <c r="H2792" s="11"/>
      <c r="I2792" s="15" t="str">
        <f aca="false">IF($F2792="","",$F2792-IF($H2792="",0,$H2792))</f>
        <v/>
      </c>
      <c r="J2792" s="16" t="str">
        <f aca="true">IF(OR($A2792="",$I2792="",$I2792&lt;=0),"",TODAY()-$A2792)</f>
        <v/>
      </c>
      <c r="K2792" s="10"/>
    </row>
    <row r="2793" customFormat="false" ht="15" hidden="false" customHeight="true" outlineLevel="0" collapsed="false">
      <c r="A2793" s="13"/>
      <c r="B2793" s="10"/>
      <c r="C2793" s="10"/>
      <c r="D2793" s="14"/>
      <c r="E2793" s="11"/>
      <c r="F2793" s="15" t="str">
        <f aca="false">IF($B2793="","",IF(AND($D2793="",$E2793=""),"",IF(OR($D2793="",$E2793=""),0,ROUND($D2793*$E2793,0))))</f>
        <v/>
      </c>
      <c r="G2793" s="13"/>
      <c r="H2793" s="11"/>
      <c r="I2793" s="15" t="str">
        <f aca="false">IF($F2793="","",$F2793-IF($H2793="",0,$H2793))</f>
        <v/>
      </c>
      <c r="J2793" s="16" t="str">
        <f aca="true">IF(OR($A2793="",$I2793="",$I2793&lt;=0),"",TODAY()-$A2793)</f>
        <v/>
      </c>
      <c r="K2793" s="10"/>
    </row>
    <row r="2794" customFormat="false" ht="15" hidden="false" customHeight="true" outlineLevel="0" collapsed="false">
      <c r="A2794" s="13"/>
      <c r="B2794" s="10"/>
      <c r="C2794" s="10"/>
      <c r="D2794" s="14"/>
      <c r="E2794" s="11"/>
      <c r="F2794" s="15" t="str">
        <f aca="false">IF($B2794="","",IF(AND($D2794="",$E2794=""),"",IF(OR($D2794="",$E2794=""),0,ROUND($D2794*$E2794,0))))</f>
        <v/>
      </c>
      <c r="G2794" s="13"/>
      <c r="H2794" s="11"/>
      <c r="I2794" s="15" t="str">
        <f aca="false">IF($F2794="","",$F2794-IF($H2794="",0,$H2794))</f>
        <v/>
      </c>
      <c r="J2794" s="16" t="str">
        <f aca="true">IF(OR($A2794="",$I2794="",$I2794&lt;=0),"",TODAY()-$A2794)</f>
        <v/>
      </c>
      <c r="K2794" s="10"/>
    </row>
    <row r="2795" customFormat="false" ht="15" hidden="false" customHeight="true" outlineLevel="0" collapsed="false">
      <c r="A2795" s="13"/>
      <c r="B2795" s="10"/>
      <c r="C2795" s="10"/>
      <c r="D2795" s="14"/>
      <c r="E2795" s="11"/>
      <c r="F2795" s="15" t="str">
        <f aca="false">IF($B2795="","",IF(AND($D2795="",$E2795=""),"",IF(OR($D2795="",$E2795=""),0,ROUND($D2795*$E2795,0))))</f>
        <v/>
      </c>
      <c r="G2795" s="13"/>
      <c r="H2795" s="11"/>
      <c r="I2795" s="15" t="str">
        <f aca="false">IF($F2795="","",$F2795-IF($H2795="",0,$H2795))</f>
        <v/>
      </c>
      <c r="J2795" s="16" t="str">
        <f aca="true">IF(OR($A2795="",$I2795="",$I2795&lt;=0),"",TODAY()-$A2795)</f>
        <v/>
      </c>
      <c r="K2795" s="10"/>
    </row>
    <row r="2796" customFormat="false" ht="15" hidden="false" customHeight="true" outlineLevel="0" collapsed="false">
      <c r="A2796" s="13"/>
      <c r="B2796" s="10"/>
      <c r="C2796" s="10"/>
      <c r="D2796" s="14"/>
      <c r="E2796" s="11"/>
      <c r="F2796" s="15" t="str">
        <f aca="false">IF($B2796="","",IF(AND($D2796="",$E2796=""),"",IF(OR($D2796="",$E2796=""),0,ROUND($D2796*$E2796,0))))</f>
        <v/>
      </c>
      <c r="G2796" s="13"/>
      <c r="H2796" s="11"/>
      <c r="I2796" s="15" t="str">
        <f aca="false">IF($F2796="","",$F2796-IF($H2796="",0,$H2796))</f>
        <v/>
      </c>
      <c r="J2796" s="16" t="str">
        <f aca="true">IF(OR($A2796="",$I2796="",$I2796&lt;=0),"",TODAY()-$A2796)</f>
        <v/>
      </c>
      <c r="K2796" s="10"/>
    </row>
    <row r="2797" customFormat="false" ht="15" hidden="false" customHeight="true" outlineLevel="0" collapsed="false">
      <c r="A2797" s="13"/>
      <c r="B2797" s="10"/>
      <c r="C2797" s="10"/>
      <c r="D2797" s="14"/>
      <c r="E2797" s="11"/>
      <c r="F2797" s="15" t="str">
        <f aca="false">IF($B2797="","",IF(AND($D2797="",$E2797=""),"",IF(OR($D2797="",$E2797=""),0,ROUND($D2797*$E2797,0))))</f>
        <v/>
      </c>
      <c r="G2797" s="13"/>
      <c r="H2797" s="11"/>
      <c r="I2797" s="15" t="str">
        <f aca="false">IF($F2797="","",$F2797-IF($H2797="",0,$H2797))</f>
        <v/>
      </c>
      <c r="J2797" s="16" t="str">
        <f aca="true">IF(OR($A2797="",$I2797="",$I2797&lt;=0),"",TODAY()-$A2797)</f>
        <v/>
      </c>
      <c r="K2797" s="10"/>
    </row>
    <row r="2798" customFormat="false" ht="15" hidden="false" customHeight="true" outlineLevel="0" collapsed="false">
      <c r="A2798" s="13"/>
      <c r="B2798" s="10"/>
      <c r="C2798" s="10"/>
      <c r="D2798" s="14"/>
      <c r="E2798" s="11"/>
      <c r="F2798" s="15" t="str">
        <f aca="false">IF($B2798="","",IF(AND($D2798="",$E2798=""),"",IF(OR($D2798="",$E2798=""),0,ROUND($D2798*$E2798,0))))</f>
        <v/>
      </c>
      <c r="G2798" s="13"/>
      <c r="H2798" s="11"/>
      <c r="I2798" s="15" t="str">
        <f aca="false">IF($F2798="","",$F2798-IF($H2798="",0,$H2798))</f>
        <v/>
      </c>
      <c r="J2798" s="16" t="str">
        <f aca="true">IF(OR($A2798="",$I2798="",$I2798&lt;=0),"",TODAY()-$A2798)</f>
        <v/>
      </c>
      <c r="K2798" s="10"/>
    </row>
    <row r="2799" customFormat="false" ht="15" hidden="false" customHeight="true" outlineLevel="0" collapsed="false">
      <c r="A2799" s="13"/>
      <c r="B2799" s="10"/>
      <c r="C2799" s="10"/>
      <c r="D2799" s="14"/>
      <c r="E2799" s="11"/>
      <c r="F2799" s="15" t="str">
        <f aca="false">IF($B2799="","",IF(AND($D2799="",$E2799=""),"",IF(OR($D2799="",$E2799=""),0,ROUND($D2799*$E2799,0))))</f>
        <v/>
      </c>
      <c r="G2799" s="13"/>
      <c r="H2799" s="11"/>
      <c r="I2799" s="15" t="str">
        <f aca="false">IF($F2799="","",$F2799-IF($H2799="",0,$H2799))</f>
        <v/>
      </c>
      <c r="J2799" s="16" t="str">
        <f aca="true">IF(OR($A2799="",$I2799="",$I2799&lt;=0),"",TODAY()-$A2799)</f>
        <v/>
      </c>
      <c r="K2799" s="10"/>
    </row>
    <row r="2800" customFormat="false" ht="15" hidden="false" customHeight="true" outlineLevel="0" collapsed="false">
      <c r="A2800" s="13"/>
      <c r="B2800" s="10"/>
      <c r="C2800" s="10"/>
      <c r="D2800" s="14"/>
      <c r="E2800" s="11"/>
      <c r="F2800" s="15" t="str">
        <f aca="false">IF($B2800="","",IF(AND($D2800="",$E2800=""),"",IF(OR($D2800="",$E2800=""),0,ROUND($D2800*$E2800,0))))</f>
        <v/>
      </c>
      <c r="G2800" s="13"/>
      <c r="H2800" s="11"/>
      <c r="I2800" s="15" t="str">
        <f aca="false">IF($F2800="","",$F2800-IF($H2800="",0,$H2800))</f>
        <v/>
      </c>
      <c r="J2800" s="16" t="str">
        <f aca="true">IF(OR($A2800="",$I2800="",$I2800&lt;=0),"",TODAY()-$A2800)</f>
        <v/>
      </c>
      <c r="K2800" s="10"/>
    </row>
    <row r="2801" customFormat="false" ht="15" hidden="false" customHeight="true" outlineLevel="0" collapsed="false">
      <c r="A2801" s="13"/>
      <c r="B2801" s="10"/>
      <c r="C2801" s="10"/>
      <c r="D2801" s="14"/>
      <c r="E2801" s="11"/>
      <c r="F2801" s="15" t="str">
        <f aca="false">IF($B2801="","",IF(AND($D2801="",$E2801=""),"",IF(OR($D2801="",$E2801=""),0,ROUND($D2801*$E2801,0))))</f>
        <v/>
      </c>
      <c r="G2801" s="13"/>
      <c r="H2801" s="11"/>
      <c r="I2801" s="15" t="str">
        <f aca="false">IF($F2801="","",$F2801-IF($H2801="",0,$H2801))</f>
        <v/>
      </c>
      <c r="J2801" s="16" t="str">
        <f aca="true">IF(OR($A2801="",$I2801="",$I2801&lt;=0),"",TODAY()-$A2801)</f>
        <v/>
      </c>
      <c r="K2801" s="10"/>
    </row>
    <row r="2802" customFormat="false" ht="15" hidden="false" customHeight="true" outlineLevel="0" collapsed="false">
      <c r="A2802" s="13"/>
      <c r="B2802" s="10"/>
      <c r="C2802" s="10"/>
      <c r="D2802" s="14"/>
      <c r="E2802" s="11"/>
      <c r="F2802" s="15" t="str">
        <f aca="false">IF($B2802="","",IF(AND($D2802="",$E2802=""),"",IF(OR($D2802="",$E2802=""),0,ROUND($D2802*$E2802,0))))</f>
        <v/>
      </c>
      <c r="G2802" s="13"/>
      <c r="H2802" s="11"/>
      <c r="I2802" s="15" t="str">
        <f aca="false">IF($F2802="","",$F2802-IF($H2802="",0,$H2802))</f>
        <v/>
      </c>
      <c r="J2802" s="16" t="str">
        <f aca="true">IF(OR($A2802="",$I2802="",$I2802&lt;=0),"",TODAY()-$A2802)</f>
        <v/>
      </c>
      <c r="K2802" s="10"/>
    </row>
    <row r="2803" customFormat="false" ht="15" hidden="false" customHeight="true" outlineLevel="0" collapsed="false">
      <c r="A2803" s="13"/>
      <c r="B2803" s="10"/>
      <c r="C2803" s="10"/>
      <c r="D2803" s="14"/>
      <c r="E2803" s="11"/>
      <c r="F2803" s="15" t="str">
        <f aca="false">IF($B2803="","",IF(AND($D2803="",$E2803=""),"",IF(OR($D2803="",$E2803=""),0,ROUND($D2803*$E2803,0))))</f>
        <v/>
      </c>
      <c r="G2803" s="13"/>
      <c r="H2803" s="11"/>
      <c r="I2803" s="15" t="str">
        <f aca="false">IF($F2803="","",$F2803-IF($H2803="",0,$H2803))</f>
        <v/>
      </c>
      <c r="J2803" s="16" t="str">
        <f aca="true">IF(OR($A2803="",$I2803="",$I2803&lt;=0),"",TODAY()-$A2803)</f>
        <v/>
      </c>
      <c r="K2803" s="10"/>
    </row>
    <row r="2804" customFormat="false" ht="15" hidden="false" customHeight="true" outlineLevel="0" collapsed="false">
      <c r="A2804" s="13"/>
      <c r="B2804" s="10"/>
      <c r="C2804" s="10"/>
      <c r="D2804" s="14"/>
      <c r="E2804" s="11"/>
      <c r="F2804" s="15" t="str">
        <f aca="false">IF($B2804="","",IF(AND($D2804="",$E2804=""),"",IF(OR($D2804="",$E2804=""),0,ROUND($D2804*$E2804,0))))</f>
        <v/>
      </c>
      <c r="G2804" s="13"/>
      <c r="H2804" s="11"/>
      <c r="I2804" s="15" t="str">
        <f aca="false">IF($F2804="","",$F2804-IF($H2804="",0,$H2804))</f>
        <v/>
      </c>
      <c r="J2804" s="16" t="str">
        <f aca="true">IF(OR($A2804="",$I2804="",$I2804&lt;=0),"",TODAY()-$A2804)</f>
        <v/>
      </c>
      <c r="K2804" s="10"/>
    </row>
    <row r="2805" customFormat="false" ht="15" hidden="false" customHeight="true" outlineLevel="0" collapsed="false">
      <c r="A2805" s="13"/>
      <c r="B2805" s="10"/>
      <c r="C2805" s="10"/>
      <c r="D2805" s="14"/>
      <c r="E2805" s="11"/>
      <c r="F2805" s="15" t="str">
        <f aca="false">IF($B2805="","",IF(AND($D2805="",$E2805=""),"",IF(OR($D2805="",$E2805=""),0,ROUND($D2805*$E2805,0))))</f>
        <v/>
      </c>
      <c r="G2805" s="13"/>
      <c r="H2805" s="11"/>
      <c r="I2805" s="15" t="str">
        <f aca="false">IF($F2805="","",$F2805-IF($H2805="",0,$H2805))</f>
        <v/>
      </c>
      <c r="J2805" s="16" t="str">
        <f aca="true">IF(OR($A2805="",$I2805="",$I2805&lt;=0),"",TODAY()-$A2805)</f>
        <v/>
      </c>
      <c r="K2805" s="10"/>
    </row>
    <row r="2806" customFormat="false" ht="15" hidden="false" customHeight="true" outlineLevel="0" collapsed="false">
      <c r="A2806" s="13"/>
      <c r="B2806" s="10"/>
      <c r="C2806" s="10"/>
      <c r="D2806" s="14"/>
      <c r="E2806" s="11"/>
      <c r="F2806" s="15" t="str">
        <f aca="false">IF($B2806="","",IF(AND($D2806="",$E2806=""),"",IF(OR($D2806="",$E2806=""),0,ROUND($D2806*$E2806,0))))</f>
        <v/>
      </c>
      <c r="G2806" s="13"/>
      <c r="H2806" s="11"/>
      <c r="I2806" s="15" t="str">
        <f aca="false">IF($F2806="","",$F2806-IF($H2806="",0,$H2806))</f>
        <v/>
      </c>
      <c r="J2806" s="16" t="str">
        <f aca="true">IF(OR($A2806="",$I2806="",$I2806&lt;=0),"",TODAY()-$A2806)</f>
        <v/>
      </c>
      <c r="K2806" s="10"/>
    </row>
    <row r="2807" customFormat="false" ht="15" hidden="false" customHeight="true" outlineLevel="0" collapsed="false">
      <c r="A2807" s="13"/>
      <c r="B2807" s="10"/>
      <c r="C2807" s="10"/>
      <c r="D2807" s="14"/>
      <c r="E2807" s="11"/>
      <c r="F2807" s="15" t="str">
        <f aca="false">IF($B2807="","",IF(AND($D2807="",$E2807=""),"",IF(OR($D2807="",$E2807=""),0,ROUND($D2807*$E2807,0))))</f>
        <v/>
      </c>
      <c r="G2807" s="13"/>
      <c r="H2807" s="11"/>
      <c r="I2807" s="15" t="str">
        <f aca="false">IF($F2807="","",$F2807-IF($H2807="",0,$H2807))</f>
        <v/>
      </c>
      <c r="J2807" s="16" t="str">
        <f aca="true">IF(OR($A2807="",$I2807="",$I2807&lt;=0),"",TODAY()-$A2807)</f>
        <v/>
      </c>
      <c r="K2807" s="10"/>
    </row>
    <row r="2808" customFormat="false" ht="15" hidden="false" customHeight="true" outlineLevel="0" collapsed="false">
      <c r="A2808" s="13"/>
      <c r="B2808" s="10"/>
      <c r="C2808" s="10"/>
      <c r="D2808" s="14"/>
      <c r="E2808" s="11"/>
      <c r="F2808" s="15" t="str">
        <f aca="false">IF($B2808="","",IF(AND($D2808="",$E2808=""),"",IF(OR($D2808="",$E2808=""),0,ROUND($D2808*$E2808,0))))</f>
        <v/>
      </c>
      <c r="G2808" s="13"/>
      <c r="H2808" s="11"/>
      <c r="I2808" s="15" t="str">
        <f aca="false">IF($F2808="","",$F2808-IF($H2808="",0,$H2808))</f>
        <v/>
      </c>
      <c r="J2808" s="16" t="str">
        <f aca="true">IF(OR($A2808="",$I2808="",$I2808&lt;=0),"",TODAY()-$A2808)</f>
        <v/>
      </c>
      <c r="K2808" s="10"/>
    </row>
    <row r="2809" customFormat="false" ht="15" hidden="false" customHeight="true" outlineLevel="0" collapsed="false">
      <c r="A2809" s="13"/>
      <c r="B2809" s="10"/>
      <c r="C2809" s="10"/>
      <c r="D2809" s="14"/>
      <c r="E2809" s="11"/>
      <c r="F2809" s="15" t="str">
        <f aca="false">IF($B2809="","",IF(AND($D2809="",$E2809=""),"",IF(OR($D2809="",$E2809=""),0,ROUND($D2809*$E2809,0))))</f>
        <v/>
      </c>
      <c r="G2809" s="13"/>
      <c r="H2809" s="11"/>
      <c r="I2809" s="15" t="str">
        <f aca="false">IF($F2809="","",$F2809-IF($H2809="",0,$H2809))</f>
        <v/>
      </c>
      <c r="J2809" s="16" t="str">
        <f aca="true">IF(OR($A2809="",$I2809="",$I2809&lt;=0),"",TODAY()-$A2809)</f>
        <v/>
      </c>
      <c r="K2809" s="10"/>
    </row>
    <row r="2810" customFormat="false" ht="15" hidden="false" customHeight="true" outlineLevel="0" collapsed="false">
      <c r="A2810" s="13"/>
      <c r="B2810" s="10"/>
      <c r="C2810" s="10"/>
      <c r="D2810" s="14"/>
      <c r="E2810" s="11"/>
      <c r="F2810" s="15" t="str">
        <f aca="false">IF($B2810="","",IF(AND($D2810="",$E2810=""),"",IF(OR($D2810="",$E2810=""),0,ROUND($D2810*$E2810,0))))</f>
        <v/>
      </c>
      <c r="G2810" s="13"/>
      <c r="H2810" s="11"/>
      <c r="I2810" s="15" t="str">
        <f aca="false">IF($F2810="","",$F2810-IF($H2810="",0,$H2810))</f>
        <v/>
      </c>
      <c r="J2810" s="16" t="str">
        <f aca="true">IF(OR($A2810="",$I2810="",$I2810&lt;=0),"",TODAY()-$A2810)</f>
        <v/>
      </c>
      <c r="K2810" s="10"/>
    </row>
    <row r="2811" customFormat="false" ht="15" hidden="false" customHeight="true" outlineLevel="0" collapsed="false">
      <c r="A2811" s="13"/>
      <c r="B2811" s="10"/>
      <c r="C2811" s="10"/>
      <c r="D2811" s="14"/>
      <c r="E2811" s="11"/>
      <c r="F2811" s="15" t="str">
        <f aca="false">IF($B2811="","",IF(AND($D2811="",$E2811=""),"",IF(OR($D2811="",$E2811=""),0,ROUND($D2811*$E2811,0))))</f>
        <v/>
      </c>
      <c r="G2811" s="13"/>
      <c r="H2811" s="11"/>
      <c r="I2811" s="15" t="str">
        <f aca="false">IF($F2811="","",$F2811-IF($H2811="",0,$H2811))</f>
        <v/>
      </c>
      <c r="J2811" s="16" t="str">
        <f aca="true">IF(OR($A2811="",$I2811="",$I2811&lt;=0),"",TODAY()-$A2811)</f>
        <v/>
      </c>
      <c r="K2811" s="10"/>
    </row>
    <row r="2812" customFormat="false" ht="15" hidden="false" customHeight="true" outlineLevel="0" collapsed="false">
      <c r="A2812" s="13"/>
      <c r="B2812" s="10"/>
      <c r="C2812" s="10"/>
      <c r="D2812" s="14"/>
      <c r="E2812" s="11"/>
      <c r="F2812" s="15" t="str">
        <f aca="false">IF($B2812="","",IF(AND($D2812="",$E2812=""),"",IF(OR($D2812="",$E2812=""),0,ROUND($D2812*$E2812,0))))</f>
        <v/>
      </c>
      <c r="G2812" s="13"/>
      <c r="H2812" s="11"/>
      <c r="I2812" s="15" t="str">
        <f aca="false">IF($F2812="","",$F2812-IF($H2812="",0,$H2812))</f>
        <v/>
      </c>
      <c r="J2812" s="16" t="str">
        <f aca="true">IF(OR($A2812="",$I2812="",$I2812&lt;=0),"",TODAY()-$A2812)</f>
        <v/>
      </c>
      <c r="K2812" s="10"/>
    </row>
    <row r="2813" customFormat="false" ht="15" hidden="false" customHeight="true" outlineLevel="0" collapsed="false">
      <c r="A2813" s="13"/>
      <c r="B2813" s="10"/>
      <c r="C2813" s="10"/>
      <c r="D2813" s="14"/>
      <c r="E2813" s="11"/>
      <c r="F2813" s="15" t="str">
        <f aca="false">IF($B2813="","",IF(AND($D2813="",$E2813=""),"",IF(OR($D2813="",$E2813=""),0,ROUND($D2813*$E2813,0))))</f>
        <v/>
      </c>
      <c r="G2813" s="13"/>
      <c r="H2813" s="11"/>
      <c r="I2813" s="15" t="str">
        <f aca="false">IF($F2813="","",$F2813-IF($H2813="",0,$H2813))</f>
        <v/>
      </c>
      <c r="J2813" s="16" t="str">
        <f aca="true">IF(OR($A2813="",$I2813="",$I2813&lt;=0),"",TODAY()-$A2813)</f>
        <v/>
      </c>
      <c r="K2813" s="10"/>
    </row>
    <row r="2814" customFormat="false" ht="15" hidden="false" customHeight="true" outlineLevel="0" collapsed="false">
      <c r="A2814" s="13"/>
      <c r="B2814" s="10"/>
      <c r="C2814" s="10"/>
      <c r="D2814" s="14"/>
      <c r="E2814" s="11"/>
      <c r="F2814" s="15" t="str">
        <f aca="false">IF($B2814="","",IF(AND($D2814="",$E2814=""),"",IF(OR($D2814="",$E2814=""),0,ROUND($D2814*$E2814,0))))</f>
        <v/>
      </c>
      <c r="G2814" s="13"/>
      <c r="H2814" s="11"/>
      <c r="I2814" s="15" t="str">
        <f aca="false">IF($F2814="","",$F2814-IF($H2814="",0,$H2814))</f>
        <v/>
      </c>
      <c r="J2814" s="16" t="str">
        <f aca="true">IF(OR($A2814="",$I2814="",$I2814&lt;=0),"",TODAY()-$A2814)</f>
        <v/>
      </c>
      <c r="K2814" s="10"/>
    </row>
    <row r="2815" customFormat="false" ht="15" hidden="false" customHeight="true" outlineLevel="0" collapsed="false">
      <c r="A2815" s="13"/>
      <c r="B2815" s="10"/>
      <c r="C2815" s="10"/>
      <c r="D2815" s="14"/>
      <c r="E2815" s="11"/>
      <c r="F2815" s="15" t="str">
        <f aca="false">IF($B2815="","",IF(AND($D2815="",$E2815=""),"",IF(OR($D2815="",$E2815=""),0,ROUND($D2815*$E2815,0))))</f>
        <v/>
      </c>
      <c r="G2815" s="13"/>
      <c r="H2815" s="11"/>
      <c r="I2815" s="15" t="str">
        <f aca="false">IF($F2815="","",$F2815-IF($H2815="",0,$H2815))</f>
        <v/>
      </c>
      <c r="J2815" s="16" t="str">
        <f aca="true">IF(OR($A2815="",$I2815="",$I2815&lt;=0),"",TODAY()-$A2815)</f>
        <v/>
      </c>
      <c r="K2815" s="10"/>
    </row>
    <row r="2816" customFormat="false" ht="15" hidden="false" customHeight="true" outlineLevel="0" collapsed="false">
      <c r="A2816" s="13"/>
      <c r="B2816" s="10"/>
      <c r="C2816" s="10"/>
      <c r="D2816" s="14"/>
      <c r="E2816" s="11"/>
      <c r="F2816" s="15" t="str">
        <f aca="false">IF($B2816="","",IF(AND($D2816="",$E2816=""),"",IF(OR($D2816="",$E2816=""),0,ROUND($D2816*$E2816,0))))</f>
        <v/>
      </c>
      <c r="G2816" s="13"/>
      <c r="H2816" s="11"/>
      <c r="I2816" s="15" t="str">
        <f aca="false">IF($F2816="","",$F2816-IF($H2816="",0,$H2816))</f>
        <v/>
      </c>
      <c r="J2816" s="16" t="str">
        <f aca="true">IF(OR($A2816="",$I2816="",$I2816&lt;=0),"",TODAY()-$A2816)</f>
        <v/>
      </c>
      <c r="K2816" s="10"/>
    </row>
    <row r="2817" customFormat="false" ht="15" hidden="false" customHeight="true" outlineLevel="0" collapsed="false">
      <c r="A2817" s="13"/>
      <c r="B2817" s="10"/>
      <c r="C2817" s="10"/>
      <c r="D2817" s="14"/>
      <c r="E2817" s="11"/>
      <c r="F2817" s="15" t="str">
        <f aca="false">IF($B2817="","",IF(AND($D2817="",$E2817=""),"",IF(OR($D2817="",$E2817=""),0,ROUND($D2817*$E2817,0))))</f>
        <v/>
      </c>
      <c r="G2817" s="13"/>
      <c r="H2817" s="11"/>
      <c r="I2817" s="15" t="str">
        <f aca="false">IF($F2817="","",$F2817-IF($H2817="",0,$H2817))</f>
        <v/>
      </c>
      <c r="J2817" s="16" t="str">
        <f aca="true">IF(OR($A2817="",$I2817="",$I2817&lt;=0),"",TODAY()-$A2817)</f>
        <v/>
      </c>
      <c r="K2817" s="10"/>
    </row>
    <row r="2818" customFormat="false" ht="15" hidden="false" customHeight="true" outlineLevel="0" collapsed="false">
      <c r="A2818" s="13"/>
      <c r="B2818" s="10"/>
      <c r="C2818" s="10"/>
      <c r="D2818" s="14"/>
      <c r="E2818" s="11"/>
      <c r="F2818" s="15" t="str">
        <f aca="false">IF($B2818="","",IF(AND($D2818="",$E2818=""),"",IF(OR($D2818="",$E2818=""),0,ROUND($D2818*$E2818,0))))</f>
        <v/>
      </c>
      <c r="G2818" s="13"/>
      <c r="H2818" s="11"/>
      <c r="I2818" s="15" t="str">
        <f aca="false">IF($F2818="","",$F2818-IF($H2818="",0,$H2818))</f>
        <v/>
      </c>
      <c r="J2818" s="16" t="str">
        <f aca="true">IF(OR($A2818="",$I2818="",$I2818&lt;=0),"",TODAY()-$A2818)</f>
        <v/>
      </c>
      <c r="K2818" s="10"/>
    </row>
    <row r="2819" customFormat="false" ht="15" hidden="false" customHeight="true" outlineLevel="0" collapsed="false">
      <c r="A2819" s="13"/>
      <c r="B2819" s="10"/>
      <c r="C2819" s="10"/>
      <c r="D2819" s="14"/>
      <c r="E2819" s="11"/>
      <c r="F2819" s="15" t="str">
        <f aca="false">IF($B2819="","",IF(AND($D2819="",$E2819=""),"",IF(OR($D2819="",$E2819=""),0,ROUND($D2819*$E2819,0))))</f>
        <v/>
      </c>
      <c r="G2819" s="13"/>
      <c r="H2819" s="11"/>
      <c r="I2819" s="15" t="str">
        <f aca="false">IF($F2819="","",$F2819-IF($H2819="",0,$H2819))</f>
        <v/>
      </c>
      <c r="J2819" s="16" t="str">
        <f aca="true">IF(OR($A2819="",$I2819="",$I2819&lt;=0),"",TODAY()-$A2819)</f>
        <v/>
      </c>
      <c r="K2819" s="10"/>
    </row>
    <row r="2820" customFormat="false" ht="15" hidden="false" customHeight="true" outlineLevel="0" collapsed="false">
      <c r="A2820" s="13"/>
      <c r="B2820" s="10"/>
      <c r="C2820" s="10"/>
      <c r="D2820" s="14"/>
      <c r="E2820" s="11"/>
      <c r="F2820" s="15" t="str">
        <f aca="false">IF($B2820="","",IF(AND($D2820="",$E2820=""),"",IF(OR($D2820="",$E2820=""),0,ROUND($D2820*$E2820,0))))</f>
        <v/>
      </c>
      <c r="G2820" s="13"/>
      <c r="H2820" s="11"/>
      <c r="I2820" s="15" t="str">
        <f aca="false">IF($F2820="","",$F2820-IF($H2820="",0,$H2820))</f>
        <v/>
      </c>
      <c r="J2820" s="16" t="str">
        <f aca="true">IF(OR($A2820="",$I2820="",$I2820&lt;=0),"",TODAY()-$A2820)</f>
        <v/>
      </c>
      <c r="K2820" s="10"/>
    </row>
    <row r="2821" customFormat="false" ht="15" hidden="false" customHeight="true" outlineLevel="0" collapsed="false">
      <c r="A2821" s="13"/>
      <c r="B2821" s="10"/>
      <c r="C2821" s="10"/>
      <c r="D2821" s="14"/>
      <c r="E2821" s="11"/>
      <c r="F2821" s="15" t="str">
        <f aca="false">IF($B2821="","",IF(AND($D2821="",$E2821=""),"",IF(OR($D2821="",$E2821=""),0,ROUND($D2821*$E2821,0))))</f>
        <v/>
      </c>
      <c r="G2821" s="13"/>
      <c r="H2821" s="11"/>
      <c r="I2821" s="15" t="str">
        <f aca="false">IF($F2821="","",$F2821-IF($H2821="",0,$H2821))</f>
        <v/>
      </c>
      <c r="J2821" s="16" t="str">
        <f aca="true">IF(OR($A2821="",$I2821="",$I2821&lt;=0),"",TODAY()-$A2821)</f>
        <v/>
      </c>
      <c r="K2821" s="10"/>
    </row>
    <row r="2822" customFormat="false" ht="15" hidden="false" customHeight="true" outlineLevel="0" collapsed="false">
      <c r="A2822" s="13"/>
      <c r="B2822" s="10"/>
      <c r="C2822" s="10"/>
      <c r="D2822" s="14"/>
      <c r="E2822" s="11"/>
      <c r="F2822" s="15" t="str">
        <f aca="false">IF($B2822="","",IF(AND($D2822="",$E2822=""),"",IF(OR($D2822="",$E2822=""),0,ROUND($D2822*$E2822,0))))</f>
        <v/>
      </c>
      <c r="G2822" s="13"/>
      <c r="H2822" s="11"/>
      <c r="I2822" s="15" t="str">
        <f aca="false">IF($F2822="","",$F2822-IF($H2822="",0,$H2822))</f>
        <v/>
      </c>
      <c r="J2822" s="16" t="str">
        <f aca="true">IF(OR($A2822="",$I2822="",$I2822&lt;=0),"",TODAY()-$A2822)</f>
        <v/>
      </c>
      <c r="K2822" s="10"/>
    </row>
    <row r="2823" customFormat="false" ht="15" hidden="false" customHeight="true" outlineLevel="0" collapsed="false">
      <c r="A2823" s="13"/>
      <c r="B2823" s="10"/>
      <c r="C2823" s="10"/>
      <c r="D2823" s="14"/>
      <c r="E2823" s="11"/>
      <c r="F2823" s="15" t="str">
        <f aca="false">IF($B2823="","",IF(AND($D2823="",$E2823=""),"",IF(OR($D2823="",$E2823=""),0,ROUND($D2823*$E2823,0))))</f>
        <v/>
      </c>
      <c r="G2823" s="13"/>
      <c r="H2823" s="11"/>
      <c r="I2823" s="15" t="str">
        <f aca="false">IF($F2823="","",$F2823-IF($H2823="",0,$H2823))</f>
        <v/>
      </c>
      <c r="J2823" s="16" t="str">
        <f aca="true">IF(OR($A2823="",$I2823="",$I2823&lt;=0),"",TODAY()-$A2823)</f>
        <v/>
      </c>
      <c r="K2823" s="10"/>
    </row>
    <row r="2824" customFormat="false" ht="15" hidden="false" customHeight="true" outlineLevel="0" collapsed="false">
      <c r="A2824" s="13"/>
      <c r="B2824" s="10"/>
      <c r="C2824" s="10"/>
      <c r="D2824" s="14"/>
      <c r="E2824" s="11"/>
      <c r="F2824" s="15" t="str">
        <f aca="false">IF($B2824="","",IF(AND($D2824="",$E2824=""),"",IF(OR($D2824="",$E2824=""),0,ROUND($D2824*$E2824,0))))</f>
        <v/>
      </c>
      <c r="G2824" s="13"/>
      <c r="H2824" s="11"/>
      <c r="I2824" s="15" t="str">
        <f aca="false">IF($F2824="","",$F2824-IF($H2824="",0,$H2824))</f>
        <v/>
      </c>
      <c r="J2824" s="16" t="str">
        <f aca="true">IF(OR($A2824="",$I2824="",$I2824&lt;=0),"",TODAY()-$A2824)</f>
        <v/>
      </c>
      <c r="K2824" s="10"/>
    </row>
    <row r="2825" customFormat="false" ht="15" hidden="false" customHeight="true" outlineLevel="0" collapsed="false">
      <c r="A2825" s="13"/>
      <c r="B2825" s="10"/>
      <c r="C2825" s="10"/>
      <c r="D2825" s="14"/>
      <c r="E2825" s="11"/>
      <c r="F2825" s="15" t="str">
        <f aca="false">IF($B2825="","",IF(AND($D2825="",$E2825=""),"",IF(OR($D2825="",$E2825=""),0,ROUND($D2825*$E2825,0))))</f>
        <v/>
      </c>
      <c r="G2825" s="13"/>
      <c r="H2825" s="11"/>
      <c r="I2825" s="15" t="str">
        <f aca="false">IF($F2825="","",$F2825-IF($H2825="",0,$H2825))</f>
        <v/>
      </c>
      <c r="J2825" s="16" t="str">
        <f aca="true">IF(OR($A2825="",$I2825="",$I2825&lt;=0),"",TODAY()-$A2825)</f>
        <v/>
      </c>
      <c r="K2825" s="10"/>
    </row>
    <row r="2826" customFormat="false" ht="15" hidden="false" customHeight="true" outlineLevel="0" collapsed="false">
      <c r="A2826" s="13"/>
      <c r="B2826" s="10"/>
      <c r="C2826" s="10"/>
      <c r="D2826" s="14"/>
      <c r="E2826" s="11"/>
      <c r="F2826" s="15" t="str">
        <f aca="false">IF($B2826="","",IF(AND($D2826="",$E2826=""),"",IF(OR($D2826="",$E2826=""),0,ROUND($D2826*$E2826,0))))</f>
        <v/>
      </c>
      <c r="G2826" s="13"/>
      <c r="H2826" s="11"/>
      <c r="I2826" s="15" t="str">
        <f aca="false">IF($F2826="","",$F2826-IF($H2826="",0,$H2826))</f>
        <v/>
      </c>
      <c r="J2826" s="16" t="str">
        <f aca="true">IF(OR($A2826="",$I2826="",$I2826&lt;=0),"",TODAY()-$A2826)</f>
        <v/>
      </c>
      <c r="K2826" s="10"/>
    </row>
    <row r="2827" customFormat="false" ht="15" hidden="false" customHeight="true" outlineLevel="0" collapsed="false">
      <c r="A2827" s="13"/>
      <c r="B2827" s="10"/>
      <c r="C2827" s="10"/>
      <c r="D2827" s="14"/>
      <c r="E2827" s="11"/>
      <c r="F2827" s="15" t="str">
        <f aca="false">IF($B2827="","",IF(AND($D2827="",$E2827=""),"",IF(OR($D2827="",$E2827=""),0,ROUND($D2827*$E2827,0))))</f>
        <v/>
      </c>
      <c r="G2827" s="13"/>
      <c r="H2827" s="11"/>
      <c r="I2827" s="15" t="str">
        <f aca="false">IF($F2827="","",$F2827-IF($H2827="",0,$H2827))</f>
        <v/>
      </c>
      <c r="J2827" s="16" t="str">
        <f aca="true">IF(OR($A2827="",$I2827="",$I2827&lt;=0),"",TODAY()-$A2827)</f>
        <v/>
      </c>
      <c r="K2827" s="10"/>
    </row>
    <row r="2828" customFormat="false" ht="15" hidden="false" customHeight="true" outlineLevel="0" collapsed="false">
      <c r="A2828" s="13"/>
      <c r="B2828" s="10"/>
      <c r="C2828" s="10"/>
      <c r="D2828" s="14"/>
      <c r="E2828" s="11"/>
      <c r="F2828" s="15" t="str">
        <f aca="false">IF($B2828="","",IF(AND($D2828="",$E2828=""),"",IF(OR($D2828="",$E2828=""),0,ROUND($D2828*$E2828,0))))</f>
        <v/>
      </c>
      <c r="G2828" s="13"/>
      <c r="H2828" s="11"/>
      <c r="I2828" s="15" t="str">
        <f aca="false">IF($F2828="","",$F2828-IF($H2828="",0,$H2828))</f>
        <v/>
      </c>
      <c r="J2828" s="16" t="str">
        <f aca="true">IF(OR($A2828="",$I2828="",$I2828&lt;=0),"",TODAY()-$A2828)</f>
        <v/>
      </c>
      <c r="K2828" s="10"/>
    </row>
    <row r="2829" customFormat="false" ht="15" hidden="false" customHeight="true" outlineLevel="0" collapsed="false">
      <c r="A2829" s="13"/>
      <c r="B2829" s="10"/>
      <c r="C2829" s="10"/>
      <c r="D2829" s="14"/>
      <c r="E2829" s="11"/>
      <c r="F2829" s="15" t="str">
        <f aca="false">IF($B2829="","",IF(AND($D2829="",$E2829=""),"",IF(OR($D2829="",$E2829=""),0,ROUND($D2829*$E2829,0))))</f>
        <v/>
      </c>
      <c r="G2829" s="13"/>
      <c r="H2829" s="11"/>
      <c r="I2829" s="15" t="str">
        <f aca="false">IF($F2829="","",$F2829-IF($H2829="",0,$H2829))</f>
        <v/>
      </c>
      <c r="J2829" s="16" t="str">
        <f aca="true">IF(OR($A2829="",$I2829="",$I2829&lt;=0),"",TODAY()-$A2829)</f>
        <v/>
      </c>
      <c r="K2829" s="10"/>
    </row>
    <row r="2830" customFormat="false" ht="15" hidden="false" customHeight="true" outlineLevel="0" collapsed="false">
      <c r="A2830" s="13"/>
      <c r="B2830" s="10"/>
      <c r="C2830" s="10"/>
      <c r="D2830" s="14"/>
      <c r="E2830" s="11"/>
      <c r="F2830" s="15" t="str">
        <f aca="false">IF($B2830="","",IF(AND($D2830="",$E2830=""),"",IF(OR($D2830="",$E2830=""),0,ROUND($D2830*$E2830,0))))</f>
        <v/>
      </c>
      <c r="G2830" s="13"/>
      <c r="H2830" s="11"/>
      <c r="I2830" s="15" t="str">
        <f aca="false">IF($F2830="","",$F2830-IF($H2830="",0,$H2830))</f>
        <v/>
      </c>
      <c r="J2830" s="16" t="str">
        <f aca="true">IF(OR($A2830="",$I2830="",$I2830&lt;=0),"",TODAY()-$A2830)</f>
        <v/>
      </c>
      <c r="K2830" s="10"/>
    </row>
    <row r="2831" customFormat="false" ht="15" hidden="false" customHeight="true" outlineLevel="0" collapsed="false">
      <c r="A2831" s="13"/>
      <c r="B2831" s="10"/>
      <c r="C2831" s="10"/>
      <c r="D2831" s="14"/>
      <c r="E2831" s="11"/>
      <c r="F2831" s="15" t="str">
        <f aca="false">IF($B2831="","",IF(AND($D2831="",$E2831=""),"",IF(OR($D2831="",$E2831=""),0,ROUND($D2831*$E2831,0))))</f>
        <v/>
      </c>
      <c r="G2831" s="13"/>
      <c r="H2831" s="11"/>
      <c r="I2831" s="15" t="str">
        <f aca="false">IF($F2831="","",$F2831-IF($H2831="",0,$H2831))</f>
        <v/>
      </c>
      <c r="J2831" s="16" t="str">
        <f aca="true">IF(OR($A2831="",$I2831="",$I2831&lt;=0),"",TODAY()-$A2831)</f>
        <v/>
      </c>
      <c r="K2831" s="10"/>
    </row>
    <row r="2832" customFormat="false" ht="15" hidden="false" customHeight="true" outlineLevel="0" collapsed="false">
      <c r="A2832" s="13"/>
      <c r="B2832" s="10"/>
      <c r="C2832" s="10"/>
      <c r="D2832" s="14"/>
      <c r="E2832" s="11"/>
      <c r="F2832" s="15" t="str">
        <f aca="false">IF($B2832="","",IF(AND($D2832="",$E2832=""),"",IF(OR($D2832="",$E2832=""),0,ROUND($D2832*$E2832,0))))</f>
        <v/>
      </c>
      <c r="G2832" s="13"/>
      <c r="H2832" s="11"/>
      <c r="I2832" s="15" t="str">
        <f aca="false">IF($F2832="","",$F2832-IF($H2832="",0,$H2832))</f>
        <v/>
      </c>
      <c r="J2832" s="16" t="str">
        <f aca="true">IF(OR($A2832="",$I2832="",$I2832&lt;=0),"",TODAY()-$A2832)</f>
        <v/>
      </c>
      <c r="K2832" s="10"/>
    </row>
    <row r="2833" customFormat="false" ht="15" hidden="false" customHeight="true" outlineLevel="0" collapsed="false">
      <c r="A2833" s="13"/>
      <c r="B2833" s="10"/>
      <c r="C2833" s="10"/>
      <c r="D2833" s="14"/>
      <c r="E2833" s="11"/>
      <c r="F2833" s="15" t="str">
        <f aca="false">IF($B2833="","",IF(AND($D2833="",$E2833=""),"",IF(OR($D2833="",$E2833=""),0,ROUND($D2833*$E2833,0))))</f>
        <v/>
      </c>
      <c r="G2833" s="13"/>
      <c r="H2833" s="11"/>
      <c r="I2833" s="15" t="str">
        <f aca="false">IF($F2833="","",$F2833-IF($H2833="",0,$H2833))</f>
        <v/>
      </c>
      <c r="J2833" s="16" t="str">
        <f aca="true">IF(OR($A2833="",$I2833="",$I2833&lt;=0),"",TODAY()-$A2833)</f>
        <v/>
      </c>
      <c r="K2833" s="10"/>
    </row>
    <row r="2834" customFormat="false" ht="15" hidden="false" customHeight="true" outlineLevel="0" collapsed="false">
      <c r="A2834" s="13"/>
      <c r="B2834" s="10"/>
      <c r="C2834" s="10"/>
      <c r="D2834" s="14"/>
      <c r="E2834" s="11"/>
      <c r="F2834" s="15" t="str">
        <f aca="false">IF($B2834="","",IF(AND($D2834="",$E2834=""),"",IF(OR($D2834="",$E2834=""),0,ROUND($D2834*$E2834,0))))</f>
        <v/>
      </c>
      <c r="G2834" s="13"/>
      <c r="H2834" s="11"/>
      <c r="I2834" s="15" t="str">
        <f aca="false">IF($F2834="","",$F2834-IF($H2834="",0,$H2834))</f>
        <v/>
      </c>
      <c r="J2834" s="16" t="str">
        <f aca="true">IF(OR($A2834="",$I2834="",$I2834&lt;=0),"",TODAY()-$A2834)</f>
        <v/>
      </c>
      <c r="K2834" s="10"/>
    </row>
    <row r="2835" customFormat="false" ht="15" hidden="false" customHeight="true" outlineLevel="0" collapsed="false">
      <c r="A2835" s="13"/>
      <c r="B2835" s="10"/>
      <c r="C2835" s="10"/>
      <c r="D2835" s="14"/>
      <c r="E2835" s="11"/>
      <c r="F2835" s="15" t="str">
        <f aca="false">IF($B2835="","",IF(AND($D2835="",$E2835=""),"",IF(OR($D2835="",$E2835=""),0,ROUND($D2835*$E2835,0))))</f>
        <v/>
      </c>
      <c r="G2835" s="13"/>
      <c r="H2835" s="11"/>
      <c r="I2835" s="15" t="str">
        <f aca="false">IF($F2835="","",$F2835-IF($H2835="",0,$H2835))</f>
        <v/>
      </c>
      <c r="J2835" s="16" t="str">
        <f aca="true">IF(OR($A2835="",$I2835="",$I2835&lt;=0),"",TODAY()-$A2835)</f>
        <v/>
      </c>
      <c r="K2835" s="10"/>
    </row>
    <row r="2836" customFormat="false" ht="15" hidden="false" customHeight="true" outlineLevel="0" collapsed="false">
      <c r="A2836" s="13"/>
      <c r="B2836" s="10"/>
      <c r="C2836" s="10"/>
      <c r="D2836" s="14"/>
      <c r="E2836" s="11"/>
      <c r="F2836" s="15" t="str">
        <f aca="false">IF($B2836="","",IF(AND($D2836="",$E2836=""),"",IF(OR($D2836="",$E2836=""),0,ROUND($D2836*$E2836,0))))</f>
        <v/>
      </c>
      <c r="G2836" s="13"/>
      <c r="H2836" s="11"/>
      <c r="I2836" s="15" t="str">
        <f aca="false">IF($F2836="","",$F2836-IF($H2836="",0,$H2836))</f>
        <v/>
      </c>
      <c r="J2836" s="16" t="str">
        <f aca="true">IF(OR($A2836="",$I2836="",$I2836&lt;=0),"",TODAY()-$A2836)</f>
        <v/>
      </c>
      <c r="K2836" s="10"/>
    </row>
    <row r="2837" customFormat="false" ht="15" hidden="false" customHeight="true" outlineLevel="0" collapsed="false">
      <c r="A2837" s="13"/>
      <c r="B2837" s="10"/>
      <c r="C2837" s="10"/>
      <c r="D2837" s="14"/>
      <c r="E2837" s="11"/>
      <c r="F2837" s="15" t="str">
        <f aca="false">IF($B2837="","",IF(AND($D2837="",$E2837=""),"",IF(OR($D2837="",$E2837=""),0,ROUND($D2837*$E2837,0))))</f>
        <v/>
      </c>
      <c r="G2837" s="13"/>
      <c r="H2837" s="11"/>
      <c r="I2837" s="15" t="str">
        <f aca="false">IF($F2837="","",$F2837-IF($H2837="",0,$H2837))</f>
        <v/>
      </c>
      <c r="J2837" s="16" t="str">
        <f aca="true">IF(OR($A2837="",$I2837="",$I2837&lt;=0),"",TODAY()-$A2837)</f>
        <v/>
      </c>
      <c r="K2837" s="10"/>
    </row>
    <row r="2838" customFormat="false" ht="15" hidden="false" customHeight="true" outlineLevel="0" collapsed="false">
      <c r="A2838" s="13"/>
      <c r="B2838" s="10"/>
      <c r="C2838" s="10"/>
      <c r="D2838" s="14"/>
      <c r="E2838" s="11"/>
      <c r="F2838" s="15" t="str">
        <f aca="false">IF($B2838="","",IF(AND($D2838="",$E2838=""),"",IF(OR($D2838="",$E2838=""),0,ROUND($D2838*$E2838,0))))</f>
        <v/>
      </c>
      <c r="G2838" s="13"/>
      <c r="H2838" s="11"/>
      <c r="I2838" s="15" t="str">
        <f aca="false">IF($F2838="","",$F2838-IF($H2838="",0,$H2838))</f>
        <v/>
      </c>
      <c r="J2838" s="16" t="str">
        <f aca="true">IF(OR($A2838="",$I2838="",$I2838&lt;=0),"",TODAY()-$A2838)</f>
        <v/>
      </c>
      <c r="K2838" s="10"/>
    </row>
    <row r="2839" customFormat="false" ht="15" hidden="false" customHeight="true" outlineLevel="0" collapsed="false">
      <c r="A2839" s="13"/>
      <c r="B2839" s="10"/>
      <c r="C2839" s="10"/>
      <c r="D2839" s="14"/>
      <c r="E2839" s="11"/>
      <c r="F2839" s="15" t="str">
        <f aca="false">IF($B2839="","",IF(AND($D2839="",$E2839=""),"",IF(OR($D2839="",$E2839=""),0,ROUND($D2839*$E2839,0))))</f>
        <v/>
      </c>
      <c r="G2839" s="13"/>
      <c r="H2839" s="11"/>
      <c r="I2839" s="15" t="str">
        <f aca="false">IF($F2839="","",$F2839-IF($H2839="",0,$H2839))</f>
        <v/>
      </c>
      <c r="J2839" s="16" t="str">
        <f aca="true">IF(OR($A2839="",$I2839="",$I2839&lt;=0),"",TODAY()-$A2839)</f>
        <v/>
      </c>
      <c r="K2839" s="10"/>
    </row>
    <row r="2840" customFormat="false" ht="15" hidden="false" customHeight="true" outlineLevel="0" collapsed="false">
      <c r="A2840" s="13"/>
      <c r="B2840" s="10"/>
      <c r="C2840" s="10"/>
      <c r="D2840" s="14"/>
      <c r="E2840" s="11"/>
      <c r="F2840" s="15" t="str">
        <f aca="false">IF($B2840="","",IF(AND($D2840="",$E2840=""),"",IF(OR($D2840="",$E2840=""),0,ROUND($D2840*$E2840,0))))</f>
        <v/>
      </c>
      <c r="G2840" s="13"/>
      <c r="H2840" s="11"/>
      <c r="I2840" s="15" t="str">
        <f aca="false">IF($F2840="","",$F2840-IF($H2840="",0,$H2840))</f>
        <v/>
      </c>
      <c r="J2840" s="16" t="str">
        <f aca="true">IF(OR($A2840="",$I2840="",$I2840&lt;=0),"",TODAY()-$A2840)</f>
        <v/>
      </c>
      <c r="K2840" s="10"/>
    </row>
    <row r="2841" customFormat="false" ht="15" hidden="false" customHeight="true" outlineLevel="0" collapsed="false">
      <c r="A2841" s="13"/>
      <c r="B2841" s="10"/>
      <c r="C2841" s="10"/>
      <c r="D2841" s="14"/>
      <c r="E2841" s="11"/>
      <c r="F2841" s="15" t="str">
        <f aca="false">IF($B2841="","",IF(AND($D2841="",$E2841=""),"",IF(OR($D2841="",$E2841=""),0,ROUND($D2841*$E2841,0))))</f>
        <v/>
      </c>
      <c r="G2841" s="13"/>
      <c r="H2841" s="11"/>
      <c r="I2841" s="15" t="str">
        <f aca="false">IF($F2841="","",$F2841-IF($H2841="",0,$H2841))</f>
        <v/>
      </c>
      <c r="J2841" s="16" t="str">
        <f aca="true">IF(OR($A2841="",$I2841="",$I2841&lt;=0),"",TODAY()-$A2841)</f>
        <v/>
      </c>
      <c r="K2841" s="10"/>
    </row>
    <row r="2842" customFormat="false" ht="15" hidden="false" customHeight="true" outlineLevel="0" collapsed="false">
      <c r="A2842" s="13"/>
      <c r="B2842" s="10"/>
      <c r="C2842" s="10"/>
      <c r="D2842" s="14"/>
      <c r="E2842" s="11"/>
      <c r="F2842" s="15" t="str">
        <f aca="false">IF($B2842="","",IF(AND($D2842="",$E2842=""),"",IF(OR($D2842="",$E2842=""),0,ROUND($D2842*$E2842,0))))</f>
        <v/>
      </c>
      <c r="G2842" s="13"/>
      <c r="H2842" s="11"/>
      <c r="I2842" s="15" t="str">
        <f aca="false">IF($F2842="","",$F2842-IF($H2842="",0,$H2842))</f>
        <v/>
      </c>
      <c r="J2842" s="16" t="str">
        <f aca="true">IF(OR($A2842="",$I2842="",$I2842&lt;=0),"",TODAY()-$A2842)</f>
        <v/>
      </c>
      <c r="K2842" s="10"/>
    </row>
    <row r="2843" customFormat="false" ht="15" hidden="false" customHeight="true" outlineLevel="0" collapsed="false">
      <c r="A2843" s="13"/>
      <c r="B2843" s="10"/>
      <c r="C2843" s="10"/>
      <c r="D2843" s="14"/>
      <c r="E2843" s="11"/>
      <c r="F2843" s="15" t="str">
        <f aca="false">IF($B2843="","",IF(AND($D2843="",$E2843=""),"",IF(OR($D2843="",$E2843=""),0,ROUND($D2843*$E2843,0))))</f>
        <v/>
      </c>
      <c r="G2843" s="13"/>
      <c r="H2843" s="11"/>
      <c r="I2843" s="15" t="str">
        <f aca="false">IF($F2843="","",$F2843-IF($H2843="",0,$H2843))</f>
        <v/>
      </c>
      <c r="J2843" s="16" t="str">
        <f aca="true">IF(OR($A2843="",$I2843="",$I2843&lt;=0),"",TODAY()-$A2843)</f>
        <v/>
      </c>
      <c r="K2843" s="10"/>
    </row>
    <row r="2844" customFormat="false" ht="15" hidden="false" customHeight="true" outlineLevel="0" collapsed="false">
      <c r="A2844" s="13"/>
      <c r="B2844" s="10"/>
      <c r="C2844" s="10"/>
      <c r="D2844" s="14"/>
      <c r="E2844" s="11"/>
      <c r="F2844" s="15" t="str">
        <f aca="false">IF($B2844="","",IF(AND($D2844="",$E2844=""),"",IF(OR($D2844="",$E2844=""),0,ROUND($D2844*$E2844,0))))</f>
        <v/>
      </c>
      <c r="G2844" s="13"/>
      <c r="H2844" s="11"/>
      <c r="I2844" s="15" t="str">
        <f aca="false">IF($F2844="","",$F2844-IF($H2844="",0,$H2844))</f>
        <v/>
      </c>
      <c r="J2844" s="16" t="str">
        <f aca="true">IF(OR($A2844="",$I2844="",$I2844&lt;=0),"",TODAY()-$A2844)</f>
        <v/>
      </c>
      <c r="K2844" s="10"/>
    </row>
    <row r="2845" customFormat="false" ht="15" hidden="false" customHeight="true" outlineLevel="0" collapsed="false">
      <c r="A2845" s="13"/>
      <c r="B2845" s="10"/>
      <c r="C2845" s="10"/>
      <c r="D2845" s="14"/>
      <c r="E2845" s="11"/>
      <c r="F2845" s="15" t="str">
        <f aca="false">IF($B2845="","",IF(AND($D2845="",$E2845=""),"",IF(OR($D2845="",$E2845=""),0,ROUND($D2845*$E2845,0))))</f>
        <v/>
      </c>
      <c r="G2845" s="13"/>
      <c r="H2845" s="11"/>
      <c r="I2845" s="15" t="str">
        <f aca="false">IF($F2845="","",$F2845-IF($H2845="",0,$H2845))</f>
        <v/>
      </c>
      <c r="J2845" s="16" t="str">
        <f aca="true">IF(OR($A2845="",$I2845="",$I2845&lt;=0),"",TODAY()-$A2845)</f>
        <v/>
      </c>
      <c r="K2845" s="10"/>
    </row>
    <row r="2846" customFormat="false" ht="15" hidden="false" customHeight="true" outlineLevel="0" collapsed="false">
      <c r="A2846" s="13"/>
      <c r="B2846" s="10"/>
      <c r="C2846" s="10"/>
      <c r="D2846" s="14"/>
      <c r="E2846" s="11"/>
      <c r="F2846" s="15" t="str">
        <f aca="false">IF($B2846="","",IF(AND($D2846="",$E2846=""),"",IF(OR($D2846="",$E2846=""),0,ROUND($D2846*$E2846,0))))</f>
        <v/>
      </c>
      <c r="G2846" s="13"/>
      <c r="H2846" s="11"/>
      <c r="I2846" s="15" t="str">
        <f aca="false">IF($F2846="","",$F2846-IF($H2846="",0,$H2846))</f>
        <v/>
      </c>
      <c r="J2846" s="16" t="str">
        <f aca="true">IF(OR($A2846="",$I2846="",$I2846&lt;=0),"",TODAY()-$A2846)</f>
        <v/>
      </c>
      <c r="K2846" s="10"/>
    </row>
    <row r="2847" customFormat="false" ht="15" hidden="false" customHeight="true" outlineLevel="0" collapsed="false">
      <c r="A2847" s="13"/>
      <c r="B2847" s="10"/>
      <c r="C2847" s="10"/>
      <c r="D2847" s="14"/>
      <c r="E2847" s="11"/>
      <c r="F2847" s="15" t="str">
        <f aca="false">IF($B2847="","",IF(AND($D2847="",$E2847=""),"",IF(OR($D2847="",$E2847=""),0,ROUND($D2847*$E2847,0))))</f>
        <v/>
      </c>
      <c r="G2847" s="13"/>
      <c r="H2847" s="11"/>
      <c r="I2847" s="15" t="str">
        <f aca="false">IF($F2847="","",$F2847-IF($H2847="",0,$H2847))</f>
        <v/>
      </c>
      <c r="J2847" s="16" t="str">
        <f aca="true">IF(OR($A2847="",$I2847="",$I2847&lt;=0),"",TODAY()-$A2847)</f>
        <v/>
      </c>
      <c r="K2847" s="10"/>
    </row>
    <row r="2848" customFormat="false" ht="15" hidden="false" customHeight="true" outlineLevel="0" collapsed="false">
      <c r="A2848" s="13"/>
      <c r="B2848" s="10"/>
      <c r="C2848" s="10"/>
      <c r="D2848" s="14"/>
      <c r="E2848" s="11"/>
      <c r="F2848" s="15" t="str">
        <f aca="false">IF($B2848="","",IF(AND($D2848="",$E2848=""),"",IF(OR($D2848="",$E2848=""),0,ROUND($D2848*$E2848,0))))</f>
        <v/>
      </c>
      <c r="G2848" s="13"/>
      <c r="H2848" s="11"/>
      <c r="I2848" s="15" t="str">
        <f aca="false">IF($F2848="","",$F2848-IF($H2848="",0,$H2848))</f>
        <v/>
      </c>
      <c r="J2848" s="16" t="str">
        <f aca="true">IF(OR($A2848="",$I2848="",$I2848&lt;=0),"",TODAY()-$A2848)</f>
        <v/>
      </c>
      <c r="K2848" s="10"/>
    </row>
    <row r="2849" customFormat="false" ht="15" hidden="false" customHeight="true" outlineLevel="0" collapsed="false">
      <c r="A2849" s="13"/>
      <c r="B2849" s="10"/>
      <c r="C2849" s="10"/>
      <c r="D2849" s="14"/>
      <c r="E2849" s="11"/>
      <c r="F2849" s="15" t="str">
        <f aca="false">IF($B2849="","",IF(AND($D2849="",$E2849=""),"",IF(OR($D2849="",$E2849=""),0,ROUND($D2849*$E2849,0))))</f>
        <v/>
      </c>
      <c r="G2849" s="13"/>
      <c r="H2849" s="11"/>
      <c r="I2849" s="15" t="str">
        <f aca="false">IF($F2849="","",$F2849-IF($H2849="",0,$H2849))</f>
        <v/>
      </c>
      <c r="J2849" s="16" t="str">
        <f aca="true">IF(OR($A2849="",$I2849="",$I2849&lt;=0),"",TODAY()-$A2849)</f>
        <v/>
      </c>
      <c r="K2849" s="10"/>
    </row>
    <row r="2850" customFormat="false" ht="15" hidden="false" customHeight="true" outlineLevel="0" collapsed="false">
      <c r="A2850" s="13"/>
      <c r="B2850" s="10"/>
      <c r="C2850" s="10"/>
      <c r="D2850" s="14"/>
      <c r="E2850" s="11"/>
      <c r="F2850" s="15" t="str">
        <f aca="false">IF($B2850="","",IF(AND($D2850="",$E2850=""),"",IF(OR($D2850="",$E2850=""),0,ROUND($D2850*$E2850,0))))</f>
        <v/>
      </c>
      <c r="G2850" s="13"/>
      <c r="H2850" s="11"/>
      <c r="I2850" s="15" t="str">
        <f aca="false">IF($F2850="","",$F2850-IF($H2850="",0,$H2850))</f>
        <v/>
      </c>
      <c r="J2850" s="16" t="str">
        <f aca="true">IF(OR($A2850="",$I2850="",$I2850&lt;=0),"",TODAY()-$A2850)</f>
        <v/>
      </c>
      <c r="K2850" s="10"/>
    </row>
    <row r="2851" customFormat="false" ht="15" hidden="false" customHeight="true" outlineLevel="0" collapsed="false">
      <c r="A2851" s="13"/>
      <c r="B2851" s="10"/>
      <c r="C2851" s="10"/>
      <c r="D2851" s="14"/>
      <c r="E2851" s="11"/>
      <c r="F2851" s="15" t="str">
        <f aca="false">IF($B2851="","",IF(AND($D2851="",$E2851=""),"",IF(OR($D2851="",$E2851=""),0,ROUND($D2851*$E2851,0))))</f>
        <v/>
      </c>
      <c r="G2851" s="13"/>
      <c r="H2851" s="11"/>
      <c r="I2851" s="15" t="str">
        <f aca="false">IF($F2851="","",$F2851-IF($H2851="",0,$H2851))</f>
        <v/>
      </c>
      <c r="J2851" s="16" t="str">
        <f aca="true">IF(OR($A2851="",$I2851="",$I2851&lt;=0),"",TODAY()-$A2851)</f>
        <v/>
      </c>
      <c r="K2851" s="10"/>
    </row>
    <row r="2852" customFormat="false" ht="15" hidden="false" customHeight="true" outlineLevel="0" collapsed="false">
      <c r="A2852" s="13"/>
      <c r="B2852" s="10"/>
      <c r="C2852" s="10"/>
      <c r="D2852" s="14"/>
      <c r="E2852" s="11"/>
      <c r="F2852" s="15" t="str">
        <f aca="false">IF($B2852="","",IF(AND($D2852="",$E2852=""),"",IF(OR($D2852="",$E2852=""),0,ROUND($D2852*$E2852,0))))</f>
        <v/>
      </c>
      <c r="G2852" s="13"/>
      <c r="H2852" s="11"/>
      <c r="I2852" s="15" t="str">
        <f aca="false">IF($F2852="","",$F2852-IF($H2852="",0,$H2852))</f>
        <v/>
      </c>
      <c r="J2852" s="16" t="str">
        <f aca="true">IF(OR($A2852="",$I2852="",$I2852&lt;=0),"",TODAY()-$A2852)</f>
        <v/>
      </c>
      <c r="K2852" s="10"/>
    </row>
    <row r="2853" customFormat="false" ht="15" hidden="false" customHeight="true" outlineLevel="0" collapsed="false">
      <c r="A2853" s="13"/>
      <c r="B2853" s="10"/>
      <c r="C2853" s="10"/>
      <c r="D2853" s="14"/>
      <c r="E2853" s="11"/>
      <c r="F2853" s="15" t="str">
        <f aca="false">IF($B2853="","",IF(AND($D2853="",$E2853=""),"",IF(OR($D2853="",$E2853=""),0,ROUND($D2853*$E2853,0))))</f>
        <v/>
      </c>
      <c r="G2853" s="13"/>
      <c r="H2853" s="11"/>
      <c r="I2853" s="15" t="str">
        <f aca="false">IF($F2853="","",$F2853-IF($H2853="",0,$H2853))</f>
        <v/>
      </c>
      <c r="J2853" s="16" t="str">
        <f aca="true">IF(OR($A2853="",$I2853="",$I2853&lt;=0),"",TODAY()-$A2853)</f>
        <v/>
      </c>
      <c r="K2853" s="10"/>
    </row>
    <row r="2854" customFormat="false" ht="15" hidden="false" customHeight="true" outlineLevel="0" collapsed="false">
      <c r="A2854" s="13"/>
      <c r="B2854" s="10"/>
      <c r="C2854" s="10"/>
      <c r="D2854" s="14"/>
      <c r="E2854" s="11"/>
      <c r="F2854" s="15" t="str">
        <f aca="false">IF($B2854="","",IF(AND($D2854="",$E2854=""),"",IF(OR($D2854="",$E2854=""),0,ROUND($D2854*$E2854,0))))</f>
        <v/>
      </c>
      <c r="G2854" s="13"/>
      <c r="H2854" s="11"/>
      <c r="I2854" s="15" t="str">
        <f aca="false">IF($F2854="","",$F2854-IF($H2854="",0,$H2854))</f>
        <v/>
      </c>
      <c r="J2854" s="16" t="str">
        <f aca="true">IF(OR($A2854="",$I2854="",$I2854&lt;=0),"",TODAY()-$A2854)</f>
        <v/>
      </c>
      <c r="K2854" s="10"/>
    </row>
    <row r="2855" customFormat="false" ht="15" hidden="false" customHeight="true" outlineLevel="0" collapsed="false">
      <c r="A2855" s="13"/>
      <c r="B2855" s="10"/>
      <c r="C2855" s="10"/>
      <c r="D2855" s="14"/>
      <c r="E2855" s="11"/>
      <c r="F2855" s="15" t="str">
        <f aca="false">IF($B2855="","",IF(AND($D2855="",$E2855=""),"",IF(OR($D2855="",$E2855=""),0,ROUND($D2855*$E2855,0))))</f>
        <v/>
      </c>
      <c r="G2855" s="13"/>
      <c r="H2855" s="11"/>
      <c r="I2855" s="15" t="str">
        <f aca="false">IF($F2855="","",$F2855-IF($H2855="",0,$H2855))</f>
        <v/>
      </c>
      <c r="J2855" s="16" t="str">
        <f aca="true">IF(OR($A2855="",$I2855="",$I2855&lt;=0),"",TODAY()-$A2855)</f>
        <v/>
      </c>
      <c r="K2855" s="10"/>
    </row>
    <row r="2856" customFormat="false" ht="15" hidden="false" customHeight="true" outlineLevel="0" collapsed="false">
      <c r="A2856" s="13"/>
      <c r="B2856" s="10"/>
      <c r="C2856" s="10"/>
      <c r="D2856" s="14"/>
      <c r="E2856" s="11"/>
      <c r="F2856" s="15" t="str">
        <f aca="false">IF($B2856="","",IF(AND($D2856="",$E2856=""),"",IF(OR($D2856="",$E2856=""),0,ROUND($D2856*$E2856,0))))</f>
        <v/>
      </c>
      <c r="G2856" s="13"/>
      <c r="H2856" s="11"/>
      <c r="I2856" s="15" t="str">
        <f aca="false">IF($F2856="","",$F2856-IF($H2856="",0,$H2856))</f>
        <v/>
      </c>
      <c r="J2856" s="16" t="str">
        <f aca="true">IF(OR($A2856="",$I2856="",$I2856&lt;=0),"",TODAY()-$A2856)</f>
        <v/>
      </c>
      <c r="K2856" s="10"/>
    </row>
    <row r="2857" customFormat="false" ht="15" hidden="false" customHeight="true" outlineLevel="0" collapsed="false">
      <c r="A2857" s="13"/>
      <c r="B2857" s="10"/>
      <c r="C2857" s="10"/>
      <c r="D2857" s="14"/>
      <c r="E2857" s="11"/>
      <c r="F2857" s="15" t="str">
        <f aca="false">IF($B2857="","",IF(AND($D2857="",$E2857=""),"",IF(OR($D2857="",$E2857=""),0,ROUND($D2857*$E2857,0))))</f>
        <v/>
      </c>
      <c r="G2857" s="13"/>
      <c r="H2857" s="11"/>
      <c r="I2857" s="15" t="str">
        <f aca="false">IF($F2857="","",$F2857-IF($H2857="",0,$H2857))</f>
        <v/>
      </c>
      <c r="J2857" s="16" t="str">
        <f aca="true">IF(OR($A2857="",$I2857="",$I2857&lt;=0),"",TODAY()-$A2857)</f>
        <v/>
      </c>
      <c r="K2857" s="10"/>
    </row>
    <row r="2858" customFormat="false" ht="15" hidden="false" customHeight="true" outlineLevel="0" collapsed="false">
      <c r="A2858" s="13"/>
      <c r="B2858" s="10"/>
      <c r="C2858" s="10"/>
      <c r="D2858" s="14"/>
      <c r="E2858" s="11"/>
      <c r="F2858" s="15" t="str">
        <f aca="false">IF($B2858="","",IF(AND($D2858="",$E2858=""),"",IF(OR($D2858="",$E2858=""),0,ROUND($D2858*$E2858,0))))</f>
        <v/>
      </c>
      <c r="G2858" s="13"/>
      <c r="H2858" s="11"/>
      <c r="I2858" s="15" t="str">
        <f aca="false">IF($F2858="","",$F2858-IF($H2858="",0,$H2858))</f>
        <v/>
      </c>
      <c r="J2858" s="16" t="str">
        <f aca="true">IF(OR($A2858="",$I2858="",$I2858&lt;=0),"",TODAY()-$A2858)</f>
        <v/>
      </c>
      <c r="K2858" s="10"/>
    </row>
    <row r="2859" customFormat="false" ht="15" hidden="false" customHeight="true" outlineLevel="0" collapsed="false">
      <c r="A2859" s="13"/>
      <c r="B2859" s="10"/>
      <c r="C2859" s="10"/>
      <c r="D2859" s="14"/>
      <c r="E2859" s="11"/>
      <c r="F2859" s="15" t="str">
        <f aca="false">IF($B2859="","",IF(AND($D2859="",$E2859=""),"",IF(OR($D2859="",$E2859=""),0,ROUND($D2859*$E2859,0))))</f>
        <v/>
      </c>
      <c r="G2859" s="13"/>
      <c r="H2859" s="11"/>
      <c r="I2859" s="15" t="str">
        <f aca="false">IF($F2859="","",$F2859-IF($H2859="",0,$H2859))</f>
        <v/>
      </c>
      <c r="J2859" s="16" t="str">
        <f aca="true">IF(OR($A2859="",$I2859="",$I2859&lt;=0),"",TODAY()-$A2859)</f>
        <v/>
      </c>
      <c r="K2859" s="10"/>
    </row>
    <row r="2860" customFormat="false" ht="15" hidden="false" customHeight="true" outlineLevel="0" collapsed="false">
      <c r="A2860" s="13"/>
      <c r="B2860" s="10"/>
      <c r="C2860" s="10"/>
      <c r="D2860" s="14"/>
      <c r="E2860" s="11"/>
      <c r="F2860" s="15" t="str">
        <f aca="false">IF($B2860="","",IF(AND($D2860="",$E2860=""),"",IF(OR($D2860="",$E2860=""),0,ROUND($D2860*$E2860,0))))</f>
        <v/>
      </c>
      <c r="G2860" s="13"/>
      <c r="H2860" s="11"/>
      <c r="I2860" s="15" t="str">
        <f aca="false">IF($F2860="","",$F2860-IF($H2860="",0,$H2860))</f>
        <v/>
      </c>
      <c r="J2860" s="16" t="str">
        <f aca="true">IF(OR($A2860="",$I2860="",$I2860&lt;=0),"",TODAY()-$A2860)</f>
        <v/>
      </c>
      <c r="K2860" s="10"/>
    </row>
    <row r="2861" customFormat="false" ht="15" hidden="false" customHeight="true" outlineLevel="0" collapsed="false">
      <c r="A2861" s="13"/>
      <c r="B2861" s="10"/>
      <c r="C2861" s="10"/>
      <c r="D2861" s="14"/>
      <c r="E2861" s="11"/>
      <c r="F2861" s="15" t="str">
        <f aca="false">IF($B2861="","",IF(AND($D2861="",$E2861=""),"",IF(OR($D2861="",$E2861=""),0,ROUND($D2861*$E2861,0))))</f>
        <v/>
      </c>
      <c r="G2861" s="13"/>
      <c r="H2861" s="11"/>
      <c r="I2861" s="15" t="str">
        <f aca="false">IF($F2861="","",$F2861-IF($H2861="",0,$H2861))</f>
        <v/>
      </c>
      <c r="J2861" s="16" t="str">
        <f aca="true">IF(OR($A2861="",$I2861="",$I2861&lt;=0),"",TODAY()-$A2861)</f>
        <v/>
      </c>
      <c r="K2861" s="10"/>
    </row>
    <row r="2862" customFormat="false" ht="15" hidden="false" customHeight="true" outlineLevel="0" collapsed="false">
      <c r="A2862" s="13"/>
      <c r="B2862" s="10"/>
      <c r="C2862" s="10"/>
      <c r="D2862" s="14"/>
      <c r="E2862" s="11"/>
      <c r="F2862" s="15" t="str">
        <f aca="false">IF($B2862="","",IF(AND($D2862="",$E2862=""),"",IF(OR($D2862="",$E2862=""),0,ROUND($D2862*$E2862,0))))</f>
        <v/>
      </c>
      <c r="G2862" s="13"/>
      <c r="H2862" s="11"/>
      <c r="I2862" s="15" t="str">
        <f aca="false">IF($F2862="","",$F2862-IF($H2862="",0,$H2862))</f>
        <v/>
      </c>
      <c r="J2862" s="16" t="str">
        <f aca="true">IF(OR($A2862="",$I2862="",$I2862&lt;=0),"",TODAY()-$A2862)</f>
        <v/>
      </c>
      <c r="K2862" s="10"/>
    </row>
    <row r="2863" customFormat="false" ht="15" hidden="false" customHeight="true" outlineLevel="0" collapsed="false">
      <c r="A2863" s="13"/>
      <c r="B2863" s="10"/>
      <c r="C2863" s="10"/>
      <c r="D2863" s="14"/>
      <c r="E2863" s="11"/>
      <c r="F2863" s="15" t="str">
        <f aca="false">IF($B2863="","",IF(AND($D2863="",$E2863=""),"",IF(OR($D2863="",$E2863=""),0,ROUND($D2863*$E2863,0))))</f>
        <v/>
      </c>
      <c r="G2863" s="13"/>
      <c r="H2863" s="11"/>
      <c r="I2863" s="15" t="str">
        <f aca="false">IF($F2863="","",$F2863-IF($H2863="",0,$H2863))</f>
        <v/>
      </c>
      <c r="J2863" s="16" t="str">
        <f aca="true">IF(OR($A2863="",$I2863="",$I2863&lt;=0),"",TODAY()-$A2863)</f>
        <v/>
      </c>
      <c r="K2863" s="10"/>
    </row>
    <row r="2864" customFormat="false" ht="15" hidden="false" customHeight="true" outlineLevel="0" collapsed="false">
      <c r="A2864" s="13"/>
      <c r="B2864" s="10"/>
      <c r="C2864" s="10"/>
      <c r="D2864" s="14"/>
      <c r="E2864" s="11"/>
      <c r="F2864" s="15" t="str">
        <f aca="false">IF($B2864="","",IF(AND($D2864="",$E2864=""),"",IF(OR($D2864="",$E2864=""),0,ROUND($D2864*$E2864,0))))</f>
        <v/>
      </c>
      <c r="G2864" s="13"/>
      <c r="H2864" s="11"/>
      <c r="I2864" s="15" t="str">
        <f aca="false">IF($F2864="","",$F2864-IF($H2864="",0,$H2864))</f>
        <v/>
      </c>
      <c r="J2864" s="16" t="str">
        <f aca="true">IF(OR($A2864="",$I2864="",$I2864&lt;=0),"",TODAY()-$A2864)</f>
        <v/>
      </c>
      <c r="K2864" s="10"/>
    </row>
    <row r="2865" customFormat="false" ht="15" hidden="false" customHeight="true" outlineLevel="0" collapsed="false">
      <c r="A2865" s="13"/>
      <c r="B2865" s="10"/>
      <c r="C2865" s="10"/>
      <c r="D2865" s="14"/>
      <c r="E2865" s="11"/>
      <c r="F2865" s="15" t="str">
        <f aca="false">IF($B2865="","",IF(AND($D2865="",$E2865=""),"",IF(OR($D2865="",$E2865=""),0,ROUND($D2865*$E2865,0))))</f>
        <v/>
      </c>
      <c r="G2865" s="13"/>
      <c r="H2865" s="11"/>
      <c r="I2865" s="15" t="str">
        <f aca="false">IF($F2865="","",$F2865-IF($H2865="",0,$H2865))</f>
        <v/>
      </c>
      <c r="J2865" s="16" t="str">
        <f aca="true">IF(OR($A2865="",$I2865="",$I2865&lt;=0),"",TODAY()-$A2865)</f>
        <v/>
      </c>
      <c r="K2865" s="10"/>
    </row>
    <row r="2866" customFormat="false" ht="15" hidden="false" customHeight="true" outlineLevel="0" collapsed="false">
      <c r="A2866" s="13"/>
      <c r="B2866" s="10"/>
      <c r="C2866" s="10"/>
      <c r="D2866" s="14"/>
      <c r="E2866" s="11"/>
      <c r="F2866" s="15" t="str">
        <f aca="false">IF($B2866="","",IF(AND($D2866="",$E2866=""),"",IF(OR($D2866="",$E2866=""),0,ROUND($D2866*$E2866,0))))</f>
        <v/>
      </c>
      <c r="G2866" s="13"/>
      <c r="H2866" s="11"/>
      <c r="I2866" s="15" t="str">
        <f aca="false">IF($F2866="","",$F2866-IF($H2866="",0,$H2866))</f>
        <v/>
      </c>
      <c r="J2866" s="16" t="str">
        <f aca="true">IF(OR($A2866="",$I2866="",$I2866&lt;=0),"",TODAY()-$A2866)</f>
        <v/>
      </c>
      <c r="K2866" s="10"/>
    </row>
    <row r="2867" customFormat="false" ht="15" hidden="false" customHeight="true" outlineLevel="0" collapsed="false">
      <c r="A2867" s="13"/>
      <c r="B2867" s="10"/>
      <c r="C2867" s="10"/>
      <c r="D2867" s="14"/>
      <c r="E2867" s="11"/>
      <c r="F2867" s="15" t="str">
        <f aca="false">IF($B2867="","",IF(AND($D2867="",$E2867=""),"",IF(OR($D2867="",$E2867=""),0,ROUND($D2867*$E2867,0))))</f>
        <v/>
      </c>
      <c r="G2867" s="13"/>
      <c r="H2867" s="11"/>
      <c r="I2867" s="15" t="str">
        <f aca="false">IF($F2867="","",$F2867-IF($H2867="",0,$H2867))</f>
        <v/>
      </c>
      <c r="J2867" s="16" t="str">
        <f aca="true">IF(OR($A2867="",$I2867="",$I2867&lt;=0),"",TODAY()-$A2867)</f>
        <v/>
      </c>
      <c r="K2867" s="10"/>
    </row>
    <row r="2868" customFormat="false" ht="15" hidden="false" customHeight="true" outlineLevel="0" collapsed="false">
      <c r="A2868" s="13"/>
      <c r="B2868" s="10"/>
      <c r="C2868" s="10"/>
      <c r="D2868" s="14"/>
      <c r="E2868" s="11"/>
      <c r="F2868" s="15" t="str">
        <f aca="false">IF($B2868="","",IF(AND($D2868="",$E2868=""),"",IF(OR($D2868="",$E2868=""),0,ROUND($D2868*$E2868,0))))</f>
        <v/>
      </c>
      <c r="G2868" s="13"/>
      <c r="H2868" s="11"/>
      <c r="I2868" s="15" t="str">
        <f aca="false">IF($F2868="","",$F2868-IF($H2868="",0,$H2868))</f>
        <v/>
      </c>
      <c r="J2868" s="16" t="str">
        <f aca="true">IF(OR($A2868="",$I2868="",$I2868&lt;=0),"",TODAY()-$A2868)</f>
        <v/>
      </c>
      <c r="K2868" s="10"/>
    </row>
    <row r="2869" customFormat="false" ht="15" hidden="false" customHeight="true" outlineLevel="0" collapsed="false">
      <c r="A2869" s="13"/>
      <c r="B2869" s="10"/>
      <c r="C2869" s="10"/>
      <c r="D2869" s="14"/>
      <c r="E2869" s="11"/>
      <c r="F2869" s="15" t="str">
        <f aca="false">IF($B2869="","",IF(AND($D2869="",$E2869=""),"",IF(OR($D2869="",$E2869=""),0,ROUND($D2869*$E2869,0))))</f>
        <v/>
      </c>
      <c r="G2869" s="13"/>
      <c r="H2869" s="11"/>
      <c r="I2869" s="15" t="str">
        <f aca="false">IF($F2869="","",$F2869-IF($H2869="",0,$H2869))</f>
        <v/>
      </c>
      <c r="J2869" s="16" t="str">
        <f aca="true">IF(OR($A2869="",$I2869="",$I2869&lt;=0),"",TODAY()-$A2869)</f>
        <v/>
      </c>
      <c r="K2869" s="10"/>
    </row>
    <row r="2870" customFormat="false" ht="15" hidden="false" customHeight="true" outlineLevel="0" collapsed="false">
      <c r="A2870" s="13"/>
      <c r="B2870" s="10"/>
      <c r="C2870" s="10"/>
      <c r="D2870" s="14"/>
      <c r="E2870" s="11"/>
      <c r="F2870" s="15" t="str">
        <f aca="false">IF($B2870="","",IF(AND($D2870="",$E2870=""),"",IF(OR($D2870="",$E2870=""),0,ROUND($D2870*$E2870,0))))</f>
        <v/>
      </c>
      <c r="G2870" s="13"/>
      <c r="H2870" s="11"/>
      <c r="I2870" s="15" t="str">
        <f aca="false">IF($F2870="","",$F2870-IF($H2870="",0,$H2870))</f>
        <v/>
      </c>
      <c r="J2870" s="16" t="str">
        <f aca="true">IF(OR($A2870="",$I2870="",$I2870&lt;=0),"",TODAY()-$A2870)</f>
        <v/>
      </c>
      <c r="K2870" s="10"/>
    </row>
    <row r="2871" customFormat="false" ht="15" hidden="false" customHeight="true" outlineLevel="0" collapsed="false">
      <c r="A2871" s="13"/>
      <c r="B2871" s="10"/>
      <c r="C2871" s="10"/>
      <c r="D2871" s="14"/>
      <c r="E2871" s="11"/>
      <c r="F2871" s="15" t="str">
        <f aca="false">IF($B2871="","",IF(AND($D2871="",$E2871=""),"",IF(OR($D2871="",$E2871=""),0,ROUND($D2871*$E2871,0))))</f>
        <v/>
      </c>
      <c r="G2871" s="13"/>
      <c r="H2871" s="11"/>
      <c r="I2871" s="15" t="str">
        <f aca="false">IF($F2871="","",$F2871-IF($H2871="",0,$H2871))</f>
        <v/>
      </c>
      <c r="J2871" s="16" t="str">
        <f aca="true">IF(OR($A2871="",$I2871="",$I2871&lt;=0),"",TODAY()-$A2871)</f>
        <v/>
      </c>
      <c r="K2871" s="10"/>
    </row>
    <row r="2872" customFormat="false" ht="15" hidden="false" customHeight="true" outlineLevel="0" collapsed="false">
      <c r="A2872" s="13"/>
      <c r="B2872" s="10"/>
      <c r="C2872" s="10"/>
      <c r="D2872" s="14"/>
      <c r="E2872" s="11"/>
      <c r="F2872" s="15" t="str">
        <f aca="false">IF($B2872="","",IF(AND($D2872="",$E2872=""),"",IF(OR($D2872="",$E2872=""),0,ROUND($D2872*$E2872,0))))</f>
        <v/>
      </c>
      <c r="G2872" s="13"/>
      <c r="H2872" s="11"/>
      <c r="I2872" s="15" t="str">
        <f aca="false">IF($F2872="","",$F2872-IF($H2872="",0,$H2872))</f>
        <v/>
      </c>
      <c r="J2872" s="16" t="str">
        <f aca="true">IF(OR($A2872="",$I2872="",$I2872&lt;=0),"",TODAY()-$A2872)</f>
        <v/>
      </c>
      <c r="K2872" s="10"/>
    </row>
    <row r="2873" customFormat="false" ht="15" hidden="false" customHeight="true" outlineLevel="0" collapsed="false">
      <c r="A2873" s="13"/>
      <c r="B2873" s="10"/>
      <c r="C2873" s="10"/>
      <c r="D2873" s="14"/>
      <c r="E2873" s="11"/>
      <c r="F2873" s="15" t="str">
        <f aca="false">IF($B2873="","",IF(AND($D2873="",$E2873=""),"",IF(OR($D2873="",$E2873=""),0,ROUND($D2873*$E2873,0))))</f>
        <v/>
      </c>
      <c r="G2873" s="13"/>
      <c r="H2873" s="11"/>
      <c r="I2873" s="15" t="str">
        <f aca="false">IF($F2873="","",$F2873-IF($H2873="",0,$H2873))</f>
        <v/>
      </c>
      <c r="J2873" s="16" t="str">
        <f aca="true">IF(OR($A2873="",$I2873="",$I2873&lt;=0),"",TODAY()-$A2873)</f>
        <v/>
      </c>
      <c r="K2873" s="10"/>
    </row>
    <row r="2874" customFormat="false" ht="15" hidden="false" customHeight="true" outlineLevel="0" collapsed="false">
      <c r="A2874" s="13"/>
      <c r="B2874" s="10"/>
      <c r="C2874" s="10"/>
      <c r="D2874" s="14"/>
      <c r="E2874" s="11"/>
      <c r="F2874" s="15" t="str">
        <f aca="false">IF($B2874="","",IF(AND($D2874="",$E2874=""),"",IF(OR($D2874="",$E2874=""),0,ROUND($D2874*$E2874,0))))</f>
        <v/>
      </c>
      <c r="G2874" s="13"/>
      <c r="H2874" s="11"/>
      <c r="I2874" s="15" t="str">
        <f aca="false">IF($F2874="","",$F2874-IF($H2874="",0,$H2874))</f>
        <v/>
      </c>
      <c r="J2874" s="16" t="str">
        <f aca="true">IF(OR($A2874="",$I2874="",$I2874&lt;=0),"",TODAY()-$A2874)</f>
        <v/>
      </c>
      <c r="K2874" s="10"/>
    </row>
    <row r="2875" customFormat="false" ht="15" hidden="false" customHeight="true" outlineLevel="0" collapsed="false">
      <c r="A2875" s="13"/>
      <c r="B2875" s="10"/>
      <c r="C2875" s="10"/>
      <c r="D2875" s="14"/>
      <c r="E2875" s="11"/>
      <c r="F2875" s="15" t="str">
        <f aca="false">IF($B2875="","",IF(AND($D2875="",$E2875=""),"",IF(OR($D2875="",$E2875=""),0,ROUND($D2875*$E2875,0))))</f>
        <v/>
      </c>
      <c r="G2875" s="13"/>
      <c r="H2875" s="11"/>
      <c r="I2875" s="15" t="str">
        <f aca="false">IF($F2875="","",$F2875-IF($H2875="",0,$H2875))</f>
        <v/>
      </c>
      <c r="J2875" s="16" t="str">
        <f aca="true">IF(OR($A2875="",$I2875="",$I2875&lt;=0),"",TODAY()-$A2875)</f>
        <v/>
      </c>
      <c r="K2875" s="10"/>
    </row>
    <row r="2876" customFormat="false" ht="15" hidden="false" customHeight="true" outlineLevel="0" collapsed="false">
      <c r="A2876" s="13"/>
      <c r="B2876" s="10"/>
      <c r="C2876" s="10"/>
      <c r="D2876" s="14"/>
      <c r="E2876" s="11"/>
      <c r="F2876" s="15" t="str">
        <f aca="false">IF($B2876="","",IF(AND($D2876="",$E2876=""),"",IF(OR($D2876="",$E2876=""),0,ROUND($D2876*$E2876,0))))</f>
        <v/>
      </c>
      <c r="G2876" s="13"/>
      <c r="H2876" s="11"/>
      <c r="I2876" s="15" t="str">
        <f aca="false">IF($F2876="","",$F2876-IF($H2876="",0,$H2876))</f>
        <v/>
      </c>
      <c r="J2876" s="16" t="str">
        <f aca="true">IF(OR($A2876="",$I2876="",$I2876&lt;=0),"",TODAY()-$A2876)</f>
        <v/>
      </c>
      <c r="K2876" s="10"/>
    </row>
    <row r="2877" customFormat="false" ht="15" hidden="false" customHeight="true" outlineLevel="0" collapsed="false">
      <c r="A2877" s="13"/>
      <c r="B2877" s="10"/>
      <c r="C2877" s="10"/>
      <c r="D2877" s="14"/>
      <c r="E2877" s="11"/>
      <c r="F2877" s="15" t="str">
        <f aca="false">IF($B2877="","",IF(AND($D2877="",$E2877=""),"",IF(OR($D2877="",$E2877=""),0,ROUND($D2877*$E2877,0))))</f>
        <v/>
      </c>
      <c r="G2877" s="13"/>
      <c r="H2877" s="11"/>
      <c r="I2877" s="15" t="str">
        <f aca="false">IF($F2877="","",$F2877-IF($H2877="",0,$H2877))</f>
        <v/>
      </c>
      <c r="J2877" s="16" t="str">
        <f aca="true">IF(OR($A2877="",$I2877="",$I2877&lt;=0),"",TODAY()-$A2877)</f>
        <v/>
      </c>
      <c r="K2877" s="10"/>
    </row>
    <row r="2878" customFormat="false" ht="15" hidden="false" customHeight="true" outlineLevel="0" collapsed="false">
      <c r="A2878" s="13"/>
      <c r="B2878" s="10"/>
      <c r="C2878" s="10"/>
      <c r="D2878" s="14"/>
      <c r="E2878" s="11"/>
      <c r="F2878" s="15" t="str">
        <f aca="false">IF($B2878="","",IF(AND($D2878="",$E2878=""),"",IF(OR($D2878="",$E2878=""),0,ROUND($D2878*$E2878,0))))</f>
        <v/>
      </c>
      <c r="G2878" s="13"/>
      <c r="H2878" s="11"/>
      <c r="I2878" s="15" t="str">
        <f aca="false">IF($F2878="","",$F2878-IF($H2878="",0,$H2878))</f>
        <v/>
      </c>
      <c r="J2878" s="16" t="str">
        <f aca="true">IF(OR($A2878="",$I2878="",$I2878&lt;=0),"",TODAY()-$A2878)</f>
        <v/>
      </c>
      <c r="K2878" s="10"/>
    </row>
    <row r="2879" customFormat="false" ht="15" hidden="false" customHeight="true" outlineLevel="0" collapsed="false">
      <c r="A2879" s="13"/>
      <c r="B2879" s="10"/>
      <c r="C2879" s="10"/>
      <c r="D2879" s="14"/>
      <c r="E2879" s="11"/>
      <c r="F2879" s="15" t="str">
        <f aca="false">IF($B2879="","",IF(AND($D2879="",$E2879=""),"",IF(OR($D2879="",$E2879=""),0,ROUND($D2879*$E2879,0))))</f>
        <v/>
      </c>
      <c r="G2879" s="13"/>
      <c r="H2879" s="11"/>
      <c r="I2879" s="15" t="str">
        <f aca="false">IF($F2879="","",$F2879-IF($H2879="",0,$H2879))</f>
        <v/>
      </c>
      <c r="J2879" s="16" t="str">
        <f aca="true">IF(OR($A2879="",$I2879="",$I2879&lt;=0),"",TODAY()-$A2879)</f>
        <v/>
      </c>
      <c r="K2879" s="10"/>
    </row>
    <row r="2880" customFormat="false" ht="15" hidden="false" customHeight="true" outlineLevel="0" collapsed="false">
      <c r="A2880" s="13"/>
      <c r="B2880" s="10"/>
      <c r="C2880" s="10"/>
      <c r="D2880" s="14"/>
      <c r="E2880" s="11"/>
      <c r="F2880" s="15" t="str">
        <f aca="false">IF($B2880="","",IF(AND($D2880="",$E2880=""),"",IF(OR($D2880="",$E2880=""),0,ROUND($D2880*$E2880,0))))</f>
        <v/>
      </c>
      <c r="G2880" s="13"/>
      <c r="H2880" s="11"/>
      <c r="I2880" s="15" t="str">
        <f aca="false">IF($F2880="","",$F2880-IF($H2880="",0,$H2880))</f>
        <v/>
      </c>
      <c r="J2880" s="16" t="str">
        <f aca="true">IF(OR($A2880="",$I2880="",$I2880&lt;=0),"",TODAY()-$A2880)</f>
        <v/>
      </c>
      <c r="K2880" s="10"/>
    </row>
    <row r="2881" customFormat="false" ht="15" hidden="false" customHeight="true" outlineLevel="0" collapsed="false">
      <c r="A2881" s="13"/>
      <c r="B2881" s="10"/>
      <c r="C2881" s="10"/>
      <c r="D2881" s="14"/>
      <c r="E2881" s="11"/>
      <c r="F2881" s="15" t="str">
        <f aca="false">IF($B2881="","",IF(AND($D2881="",$E2881=""),"",IF(OR($D2881="",$E2881=""),0,ROUND($D2881*$E2881,0))))</f>
        <v/>
      </c>
      <c r="G2881" s="13"/>
      <c r="H2881" s="11"/>
      <c r="I2881" s="15" t="str">
        <f aca="false">IF($F2881="","",$F2881-IF($H2881="",0,$H2881))</f>
        <v/>
      </c>
      <c r="J2881" s="16" t="str">
        <f aca="true">IF(OR($A2881="",$I2881="",$I2881&lt;=0),"",TODAY()-$A2881)</f>
        <v/>
      </c>
      <c r="K2881" s="10"/>
    </row>
    <row r="2882" customFormat="false" ht="15" hidden="false" customHeight="true" outlineLevel="0" collapsed="false">
      <c r="A2882" s="13"/>
      <c r="B2882" s="10"/>
      <c r="C2882" s="10"/>
      <c r="D2882" s="14"/>
      <c r="E2882" s="11"/>
      <c r="F2882" s="15" t="str">
        <f aca="false">IF($B2882="","",IF(AND($D2882="",$E2882=""),"",IF(OR($D2882="",$E2882=""),0,ROUND($D2882*$E2882,0))))</f>
        <v/>
      </c>
      <c r="G2882" s="13"/>
      <c r="H2882" s="11"/>
      <c r="I2882" s="15" t="str">
        <f aca="false">IF($F2882="","",$F2882-IF($H2882="",0,$H2882))</f>
        <v/>
      </c>
      <c r="J2882" s="16" t="str">
        <f aca="true">IF(OR($A2882="",$I2882="",$I2882&lt;=0),"",TODAY()-$A2882)</f>
        <v/>
      </c>
      <c r="K2882" s="10"/>
    </row>
    <row r="2883" customFormat="false" ht="15" hidden="false" customHeight="true" outlineLevel="0" collapsed="false">
      <c r="A2883" s="13"/>
      <c r="B2883" s="10"/>
      <c r="C2883" s="10"/>
      <c r="D2883" s="14"/>
      <c r="E2883" s="11"/>
      <c r="F2883" s="15" t="str">
        <f aca="false">IF($B2883="","",IF(AND($D2883="",$E2883=""),"",IF(OR($D2883="",$E2883=""),0,ROUND($D2883*$E2883,0))))</f>
        <v/>
      </c>
      <c r="G2883" s="13"/>
      <c r="H2883" s="11"/>
      <c r="I2883" s="15" t="str">
        <f aca="false">IF($F2883="","",$F2883-IF($H2883="",0,$H2883))</f>
        <v/>
      </c>
      <c r="J2883" s="16" t="str">
        <f aca="true">IF(OR($A2883="",$I2883="",$I2883&lt;=0),"",TODAY()-$A2883)</f>
        <v/>
      </c>
      <c r="K2883" s="10"/>
    </row>
    <row r="2884" customFormat="false" ht="15" hidden="false" customHeight="true" outlineLevel="0" collapsed="false">
      <c r="A2884" s="13"/>
      <c r="B2884" s="10"/>
      <c r="C2884" s="10"/>
      <c r="D2884" s="14"/>
      <c r="E2884" s="11"/>
      <c r="F2884" s="15" t="str">
        <f aca="false">IF($B2884="","",IF(AND($D2884="",$E2884=""),"",IF(OR($D2884="",$E2884=""),0,ROUND($D2884*$E2884,0))))</f>
        <v/>
      </c>
      <c r="G2884" s="13"/>
      <c r="H2884" s="11"/>
      <c r="I2884" s="15" t="str">
        <f aca="false">IF($F2884="","",$F2884-IF($H2884="",0,$H2884))</f>
        <v/>
      </c>
      <c r="J2884" s="16" t="str">
        <f aca="true">IF(OR($A2884="",$I2884="",$I2884&lt;=0),"",TODAY()-$A2884)</f>
        <v/>
      </c>
      <c r="K2884" s="10"/>
    </row>
    <row r="2885" customFormat="false" ht="15" hidden="false" customHeight="true" outlineLevel="0" collapsed="false">
      <c r="A2885" s="13"/>
      <c r="B2885" s="10"/>
      <c r="C2885" s="10"/>
      <c r="D2885" s="14"/>
      <c r="E2885" s="11"/>
      <c r="F2885" s="15" t="str">
        <f aca="false">IF($B2885="","",IF(AND($D2885="",$E2885=""),"",IF(OR($D2885="",$E2885=""),0,ROUND($D2885*$E2885,0))))</f>
        <v/>
      </c>
      <c r="G2885" s="13"/>
      <c r="H2885" s="11"/>
      <c r="I2885" s="15" t="str">
        <f aca="false">IF($F2885="","",$F2885-IF($H2885="",0,$H2885))</f>
        <v/>
      </c>
      <c r="J2885" s="16" t="str">
        <f aca="true">IF(OR($A2885="",$I2885="",$I2885&lt;=0),"",TODAY()-$A2885)</f>
        <v/>
      </c>
      <c r="K2885" s="10"/>
    </row>
    <row r="2886" customFormat="false" ht="15" hidden="false" customHeight="true" outlineLevel="0" collapsed="false">
      <c r="A2886" s="13"/>
      <c r="B2886" s="10"/>
      <c r="C2886" s="10"/>
      <c r="D2886" s="14"/>
      <c r="E2886" s="11"/>
      <c r="F2886" s="15" t="str">
        <f aca="false">IF($B2886="","",IF(AND($D2886="",$E2886=""),"",IF(OR($D2886="",$E2886=""),0,ROUND($D2886*$E2886,0))))</f>
        <v/>
      </c>
      <c r="G2886" s="13"/>
      <c r="H2886" s="11"/>
      <c r="I2886" s="15" t="str">
        <f aca="false">IF($F2886="","",$F2886-IF($H2886="",0,$H2886))</f>
        <v/>
      </c>
      <c r="J2886" s="16" t="str">
        <f aca="true">IF(OR($A2886="",$I2886="",$I2886&lt;=0),"",TODAY()-$A2886)</f>
        <v/>
      </c>
      <c r="K2886" s="10"/>
    </row>
    <row r="2887" customFormat="false" ht="15" hidden="false" customHeight="true" outlineLevel="0" collapsed="false">
      <c r="A2887" s="13"/>
      <c r="B2887" s="10"/>
      <c r="C2887" s="10"/>
      <c r="D2887" s="14"/>
      <c r="E2887" s="11"/>
      <c r="F2887" s="15" t="str">
        <f aca="false">IF($B2887="","",IF(AND($D2887="",$E2887=""),"",IF(OR($D2887="",$E2887=""),0,ROUND($D2887*$E2887,0))))</f>
        <v/>
      </c>
      <c r="G2887" s="13"/>
      <c r="H2887" s="11"/>
      <c r="I2887" s="15" t="str">
        <f aca="false">IF($F2887="","",$F2887-IF($H2887="",0,$H2887))</f>
        <v/>
      </c>
      <c r="J2887" s="16" t="str">
        <f aca="true">IF(OR($A2887="",$I2887="",$I2887&lt;=0),"",TODAY()-$A2887)</f>
        <v/>
      </c>
      <c r="K2887" s="10"/>
    </row>
    <row r="2888" customFormat="false" ht="15" hidden="false" customHeight="true" outlineLevel="0" collapsed="false">
      <c r="A2888" s="13"/>
      <c r="B2888" s="10"/>
      <c r="C2888" s="10"/>
      <c r="D2888" s="14"/>
      <c r="E2888" s="11"/>
      <c r="F2888" s="15" t="str">
        <f aca="false">IF($B2888="","",IF(AND($D2888="",$E2888=""),"",IF(OR($D2888="",$E2888=""),0,ROUND($D2888*$E2888,0))))</f>
        <v/>
      </c>
      <c r="G2888" s="13"/>
      <c r="H2888" s="11"/>
      <c r="I2888" s="15" t="str">
        <f aca="false">IF($F2888="","",$F2888-IF($H2888="",0,$H2888))</f>
        <v/>
      </c>
      <c r="J2888" s="16" t="str">
        <f aca="true">IF(OR($A2888="",$I2888="",$I2888&lt;=0),"",TODAY()-$A2888)</f>
        <v/>
      </c>
      <c r="K2888" s="10"/>
    </row>
    <row r="2889" customFormat="false" ht="15" hidden="false" customHeight="true" outlineLevel="0" collapsed="false">
      <c r="A2889" s="13"/>
      <c r="B2889" s="10"/>
      <c r="C2889" s="10"/>
      <c r="D2889" s="14"/>
      <c r="E2889" s="11"/>
      <c r="F2889" s="15" t="str">
        <f aca="false">IF($B2889="","",IF(AND($D2889="",$E2889=""),"",IF(OR($D2889="",$E2889=""),0,ROUND($D2889*$E2889,0))))</f>
        <v/>
      </c>
      <c r="G2889" s="13"/>
      <c r="H2889" s="11"/>
      <c r="I2889" s="15" t="str">
        <f aca="false">IF($F2889="","",$F2889-IF($H2889="",0,$H2889))</f>
        <v/>
      </c>
      <c r="J2889" s="16" t="str">
        <f aca="true">IF(OR($A2889="",$I2889="",$I2889&lt;=0),"",TODAY()-$A2889)</f>
        <v/>
      </c>
      <c r="K2889" s="10"/>
    </row>
    <row r="2890" customFormat="false" ht="15" hidden="false" customHeight="true" outlineLevel="0" collapsed="false">
      <c r="A2890" s="13"/>
      <c r="B2890" s="10"/>
      <c r="C2890" s="10"/>
      <c r="D2890" s="14"/>
      <c r="E2890" s="11"/>
      <c r="F2890" s="15" t="str">
        <f aca="false">IF($B2890="","",IF(AND($D2890="",$E2890=""),"",IF(OR($D2890="",$E2890=""),0,ROUND($D2890*$E2890,0))))</f>
        <v/>
      </c>
      <c r="G2890" s="13"/>
      <c r="H2890" s="11"/>
      <c r="I2890" s="15" t="str">
        <f aca="false">IF($F2890="","",$F2890-IF($H2890="",0,$H2890))</f>
        <v/>
      </c>
      <c r="J2890" s="16" t="str">
        <f aca="true">IF(OR($A2890="",$I2890="",$I2890&lt;=0),"",TODAY()-$A2890)</f>
        <v/>
      </c>
      <c r="K2890" s="10"/>
    </row>
    <row r="2891" customFormat="false" ht="15" hidden="false" customHeight="true" outlineLevel="0" collapsed="false">
      <c r="A2891" s="13"/>
      <c r="B2891" s="10"/>
      <c r="C2891" s="10"/>
      <c r="D2891" s="14"/>
      <c r="E2891" s="11"/>
      <c r="F2891" s="15" t="str">
        <f aca="false">IF($B2891="","",IF(AND($D2891="",$E2891=""),"",IF(OR($D2891="",$E2891=""),0,ROUND($D2891*$E2891,0))))</f>
        <v/>
      </c>
      <c r="G2891" s="13"/>
      <c r="H2891" s="11"/>
      <c r="I2891" s="15" t="str">
        <f aca="false">IF($F2891="","",$F2891-IF($H2891="",0,$H2891))</f>
        <v/>
      </c>
      <c r="J2891" s="16" t="str">
        <f aca="true">IF(OR($A2891="",$I2891="",$I2891&lt;=0),"",TODAY()-$A2891)</f>
        <v/>
      </c>
      <c r="K2891" s="10"/>
    </row>
    <row r="2892" customFormat="false" ht="15" hidden="false" customHeight="true" outlineLevel="0" collapsed="false">
      <c r="A2892" s="13"/>
      <c r="B2892" s="10"/>
      <c r="C2892" s="10"/>
      <c r="D2892" s="14"/>
      <c r="E2892" s="11"/>
      <c r="F2892" s="15" t="str">
        <f aca="false">IF($B2892="","",IF(AND($D2892="",$E2892=""),"",IF(OR($D2892="",$E2892=""),0,ROUND($D2892*$E2892,0))))</f>
        <v/>
      </c>
      <c r="G2892" s="13"/>
      <c r="H2892" s="11"/>
      <c r="I2892" s="15" t="str">
        <f aca="false">IF($F2892="","",$F2892-IF($H2892="",0,$H2892))</f>
        <v/>
      </c>
      <c r="J2892" s="16" t="str">
        <f aca="true">IF(OR($A2892="",$I2892="",$I2892&lt;=0),"",TODAY()-$A2892)</f>
        <v/>
      </c>
      <c r="K2892" s="10"/>
    </row>
    <row r="2893" customFormat="false" ht="15" hidden="false" customHeight="true" outlineLevel="0" collapsed="false">
      <c r="A2893" s="13"/>
      <c r="B2893" s="10"/>
      <c r="C2893" s="10"/>
      <c r="D2893" s="14"/>
      <c r="E2893" s="11"/>
      <c r="F2893" s="15" t="str">
        <f aca="false">IF($B2893="","",IF(AND($D2893="",$E2893=""),"",IF(OR($D2893="",$E2893=""),0,ROUND($D2893*$E2893,0))))</f>
        <v/>
      </c>
      <c r="G2893" s="13"/>
      <c r="H2893" s="11"/>
      <c r="I2893" s="15" t="str">
        <f aca="false">IF($F2893="","",$F2893-IF($H2893="",0,$H2893))</f>
        <v/>
      </c>
      <c r="J2893" s="16" t="str">
        <f aca="true">IF(OR($A2893="",$I2893="",$I2893&lt;=0),"",TODAY()-$A2893)</f>
        <v/>
      </c>
      <c r="K2893" s="10"/>
    </row>
    <row r="2894" customFormat="false" ht="15" hidden="false" customHeight="true" outlineLevel="0" collapsed="false">
      <c r="A2894" s="13"/>
      <c r="B2894" s="10"/>
      <c r="C2894" s="10"/>
      <c r="D2894" s="14"/>
      <c r="E2894" s="11"/>
      <c r="F2894" s="15" t="str">
        <f aca="false">IF($B2894="","",IF(AND($D2894="",$E2894=""),"",IF(OR($D2894="",$E2894=""),0,ROUND($D2894*$E2894,0))))</f>
        <v/>
      </c>
      <c r="G2894" s="13"/>
      <c r="H2894" s="11"/>
      <c r="I2894" s="15" t="str">
        <f aca="false">IF($F2894="","",$F2894-IF($H2894="",0,$H2894))</f>
        <v/>
      </c>
      <c r="J2894" s="16" t="str">
        <f aca="true">IF(OR($A2894="",$I2894="",$I2894&lt;=0),"",TODAY()-$A2894)</f>
        <v/>
      </c>
      <c r="K2894" s="10"/>
    </row>
    <row r="2895" customFormat="false" ht="15" hidden="false" customHeight="true" outlineLevel="0" collapsed="false">
      <c r="A2895" s="13"/>
      <c r="B2895" s="10"/>
      <c r="C2895" s="10"/>
      <c r="D2895" s="14"/>
      <c r="E2895" s="11"/>
      <c r="F2895" s="15" t="str">
        <f aca="false">IF($B2895="","",IF(AND($D2895="",$E2895=""),"",IF(OR($D2895="",$E2895=""),0,ROUND($D2895*$E2895,0))))</f>
        <v/>
      </c>
      <c r="G2895" s="13"/>
      <c r="H2895" s="11"/>
      <c r="I2895" s="15" t="str">
        <f aca="false">IF($F2895="","",$F2895-IF($H2895="",0,$H2895))</f>
        <v/>
      </c>
      <c r="J2895" s="16" t="str">
        <f aca="true">IF(OR($A2895="",$I2895="",$I2895&lt;=0),"",TODAY()-$A2895)</f>
        <v/>
      </c>
      <c r="K2895" s="10"/>
    </row>
    <row r="2896" customFormat="false" ht="15" hidden="false" customHeight="true" outlineLevel="0" collapsed="false">
      <c r="A2896" s="13"/>
      <c r="B2896" s="10"/>
      <c r="C2896" s="10"/>
      <c r="D2896" s="14"/>
      <c r="E2896" s="11"/>
      <c r="F2896" s="15" t="str">
        <f aca="false">IF($B2896="","",IF(AND($D2896="",$E2896=""),"",IF(OR($D2896="",$E2896=""),0,ROUND($D2896*$E2896,0))))</f>
        <v/>
      </c>
      <c r="G2896" s="13"/>
      <c r="H2896" s="11"/>
      <c r="I2896" s="15" t="str">
        <f aca="false">IF($F2896="","",$F2896-IF($H2896="",0,$H2896))</f>
        <v/>
      </c>
      <c r="J2896" s="16" t="str">
        <f aca="true">IF(OR($A2896="",$I2896="",$I2896&lt;=0),"",TODAY()-$A2896)</f>
        <v/>
      </c>
      <c r="K2896" s="10"/>
    </row>
    <row r="2897" customFormat="false" ht="15" hidden="false" customHeight="true" outlineLevel="0" collapsed="false">
      <c r="A2897" s="13"/>
      <c r="B2897" s="10"/>
      <c r="C2897" s="10"/>
      <c r="D2897" s="14"/>
      <c r="E2897" s="11"/>
      <c r="F2897" s="15" t="str">
        <f aca="false">IF($B2897="","",IF(AND($D2897="",$E2897=""),"",IF(OR($D2897="",$E2897=""),0,ROUND($D2897*$E2897,0))))</f>
        <v/>
      </c>
      <c r="G2897" s="13"/>
      <c r="H2897" s="11"/>
      <c r="I2897" s="15" t="str">
        <f aca="false">IF($F2897="","",$F2897-IF($H2897="",0,$H2897))</f>
        <v/>
      </c>
      <c r="J2897" s="16" t="str">
        <f aca="true">IF(OR($A2897="",$I2897="",$I2897&lt;=0),"",TODAY()-$A2897)</f>
        <v/>
      </c>
      <c r="K2897" s="10"/>
    </row>
    <row r="2898" customFormat="false" ht="15" hidden="false" customHeight="true" outlineLevel="0" collapsed="false">
      <c r="A2898" s="13"/>
      <c r="B2898" s="10"/>
      <c r="C2898" s="10"/>
      <c r="D2898" s="14"/>
      <c r="E2898" s="11"/>
      <c r="F2898" s="15" t="str">
        <f aca="false">IF($B2898="","",IF(AND($D2898="",$E2898=""),"",IF(OR($D2898="",$E2898=""),0,ROUND($D2898*$E2898,0))))</f>
        <v/>
      </c>
      <c r="G2898" s="13"/>
      <c r="H2898" s="11"/>
      <c r="I2898" s="15" t="str">
        <f aca="false">IF($F2898="","",$F2898-IF($H2898="",0,$H2898))</f>
        <v/>
      </c>
      <c r="J2898" s="16" t="str">
        <f aca="true">IF(OR($A2898="",$I2898="",$I2898&lt;=0),"",TODAY()-$A2898)</f>
        <v/>
      </c>
      <c r="K2898" s="10"/>
    </row>
    <row r="2899" customFormat="false" ht="15" hidden="false" customHeight="true" outlineLevel="0" collapsed="false">
      <c r="A2899" s="13"/>
      <c r="B2899" s="10"/>
      <c r="C2899" s="10"/>
      <c r="D2899" s="14"/>
      <c r="E2899" s="11"/>
      <c r="F2899" s="15" t="str">
        <f aca="false">IF($B2899="","",IF(AND($D2899="",$E2899=""),"",IF(OR($D2899="",$E2899=""),0,ROUND($D2899*$E2899,0))))</f>
        <v/>
      </c>
      <c r="G2899" s="13"/>
      <c r="H2899" s="11"/>
      <c r="I2899" s="15" t="str">
        <f aca="false">IF($F2899="","",$F2899-IF($H2899="",0,$H2899))</f>
        <v/>
      </c>
      <c r="J2899" s="16" t="str">
        <f aca="true">IF(OR($A2899="",$I2899="",$I2899&lt;=0),"",TODAY()-$A2899)</f>
        <v/>
      </c>
      <c r="K2899" s="10"/>
    </row>
    <row r="2900" customFormat="false" ht="15" hidden="false" customHeight="true" outlineLevel="0" collapsed="false">
      <c r="A2900" s="13"/>
      <c r="B2900" s="10"/>
      <c r="C2900" s="10"/>
      <c r="D2900" s="14"/>
      <c r="E2900" s="11"/>
      <c r="F2900" s="15" t="str">
        <f aca="false">IF($B2900="","",IF(AND($D2900="",$E2900=""),"",IF(OR($D2900="",$E2900=""),0,ROUND($D2900*$E2900,0))))</f>
        <v/>
      </c>
      <c r="G2900" s="13"/>
      <c r="H2900" s="11"/>
      <c r="I2900" s="15" t="str">
        <f aca="false">IF($F2900="","",$F2900-IF($H2900="",0,$H2900))</f>
        <v/>
      </c>
      <c r="J2900" s="16" t="str">
        <f aca="true">IF(OR($A2900="",$I2900="",$I2900&lt;=0),"",TODAY()-$A2900)</f>
        <v/>
      </c>
      <c r="K2900" s="10"/>
    </row>
    <row r="2901" customFormat="false" ht="15" hidden="false" customHeight="true" outlineLevel="0" collapsed="false">
      <c r="A2901" s="13"/>
      <c r="B2901" s="10"/>
      <c r="C2901" s="10"/>
      <c r="D2901" s="14"/>
      <c r="E2901" s="11"/>
      <c r="F2901" s="15" t="str">
        <f aca="false">IF($B2901="","",IF(AND($D2901="",$E2901=""),"",IF(OR($D2901="",$E2901=""),0,ROUND($D2901*$E2901,0))))</f>
        <v/>
      </c>
      <c r="G2901" s="13"/>
      <c r="H2901" s="11"/>
      <c r="I2901" s="15" t="str">
        <f aca="false">IF($F2901="","",$F2901-IF($H2901="",0,$H2901))</f>
        <v/>
      </c>
      <c r="J2901" s="16" t="str">
        <f aca="true">IF(OR($A2901="",$I2901="",$I2901&lt;=0),"",TODAY()-$A2901)</f>
        <v/>
      </c>
      <c r="K2901" s="10"/>
    </row>
    <row r="2902" customFormat="false" ht="15" hidden="false" customHeight="true" outlineLevel="0" collapsed="false">
      <c r="A2902" s="13"/>
      <c r="B2902" s="10"/>
      <c r="C2902" s="10"/>
      <c r="D2902" s="14"/>
      <c r="E2902" s="11"/>
      <c r="F2902" s="15" t="str">
        <f aca="false">IF($B2902="","",IF(AND($D2902="",$E2902=""),"",IF(OR($D2902="",$E2902=""),0,ROUND($D2902*$E2902,0))))</f>
        <v/>
      </c>
      <c r="G2902" s="13"/>
      <c r="H2902" s="11"/>
      <c r="I2902" s="15" t="str">
        <f aca="false">IF($F2902="","",$F2902-IF($H2902="",0,$H2902))</f>
        <v/>
      </c>
      <c r="J2902" s="16" t="str">
        <f aca="true">IF(OR($A2902="",$I2902="",$I2902&lt;=0),"",TODAY()-$A2902)</f>
        <v/>
      </c>
      <c r="K2902" s="10"/>
    </row>
    <row r="2903" customFormat="false" ht="15" hidden="false" customHeight="true" outlineLevel="0" collapsed="false">
      <c r="A2903" s="13"/>
      <c r="B2903" s="10"/>
      <c r="C2903" s="10"/>
      <c r="D2903" s="14"/>
      <c r="E2903" s="11"/>
      <c r="F2903" s="15" t="str">
        <f aca="false">IF($B2903="","",IF(AND($D2903="",$E2903=""),"",IF(OR($D2903="",$E2903=""),0,ROUND($D2903*$E2903,0))))</f>
        <v/>
      </c>
      <c r="G2903" s="13"/>
      <c r="H2903" s="11"/>
      <c r="I2903" s="15" t="str">
        <f aca="false">IF($F2903="","",$F2903-IF($H2903="",0,$H2903))</f>
        <v/>
      </c>
      <c r="J2903" s="16" t="str">
        <f aca="true">IF(OR($A2903="",$I2903="",$I2903&lt;=0),"",TODAY()-$A2903)</f>
        <v/>
      </c>
      <c r="K2903" s="10"/>
    </row>
    <row r="2904" customFormat="false" ht="15" hidden="false" customHeight="true" outlineLevel="0" collapsed="false">
      <c r="A2904" s="13"/>
      <c r="B2904" s="10"/>
      <c r="C2904" s="10"/>
      <c r="D2904" s="14"/>
      <c r="E2904" s="11"/>
      <c r="F2904" s="15" t="str">
        <f aca="false">IF($B2904="","",IF(AND($D2904="",$E2904=""),"",IF(OR($D2904="",$E2904=""),0,ROUND($D2904*$E2904,0))))</f>
        <v/>
      </c>
      <c r="G2904" s="13"/>
      <c r="H2904" s="11"/>
      <c r="I2904" s="15" t="str">
        <f aca="false">IF($F2904="","",$F2904-IF($H2904="",0,$H2904))</f>
        <v/>
      </c>
      <c r="J2904" s="16" t="str">
        <f aca="true">IF(OR($A2904="",$I2904="",$I2904&lt;=0),"",TODAY()-$A2904)</f>
        <v/>
      </c>
      <c r="K2904" s="10"/>
    </row>
    <row r="2905" customFormat="false" ht="15" hidden="false" customHeight="true" outlineLevel="0" collapsed="false">
      <c r="A2905" s="13"/>
      <c r="B2905" s="10"/>
      <c r="C2905" s="10"/>
      <c r="D2905" s="14"/>
      <c r="E2905" s="11"/>
      <c r="F2905" s="15" t="str">
        <f aca="false">IF($B2905="","",IF(AND($D2905="",$E2905=""),"",IF(OR($D2905="",$E2905=""),0,ROUND($D2905*$E2905,0))))</f>
        <v/>
      </c>
      <c r="G2905" s="13"/>
      <c r="H2905" s="11"/>
      <c r="I2905" s="15" t="str">
        <f aca="false">IF($F2905="","",$F2905-IF($H2905="",0,$H2905))</f>
        <v/>
      </c>
      <c r="J2905" s="16" t="str">
        <f aca="true">IF(OR($A2905="",$I2905="",$I2905&lt;=0),"",TODAY()-$A2905)</f>
        <v/>
      </c>
      <c r="K2905" s="10"/>
    </row>
    <row r="2906" customFormat="false" ht="15" hidden="false" customHeight="true" outlineLevel="0" collapsed="false">
      <c r="A2906" s="13"/>
      <c r="B2906" s="10"/>
      <c r="C2906" s="10"/>
      <c r="D2906" s="14"/>
      <c r="E2906" s="11"/>
      <c r="F2906" s="15" t="str">
        <f aca="false">IF($B2906="","",IF(AND($D2906="",$E2906=""),"",IF(OR($D2906="",$E2906=""),0,ROUND($D2906*$E2906,0))))</f>
        <v/>
      </c>
      <c r="G2906" s="13"/>
      <c r="H2906" s="11"/>
      <c r="I2906" s="15" t="str">
        <f aca="false">IF($F2906="","",$F2906-IF($H2906="",0,$H2906))</f>
        <v/>
      </c>
      <c r="J2906" s="16" t="str">
        <f aca="true">IF(OR($A2906="",$I2906="",$I2906&lt;=0),"",TODAY()-$A2906)</f>
        <v/>
      </c>
      <c r="K2906" s="10"/>
    </row>
    <row r="2907" customFormat="false" ht="15" hidden="false" customHeight="true" outlineLevel="0" collapsed="false">
      <c r="A2907" s="13"/>
      <c r="B2907" s="10"/>
      <c r="C2907" s="10"/>
      <c r="D2907" s="14"/>
      <c r="E2907" s="11"/>
      <c r="F2907" s="15" t="str">
        <f aca="false">IF($B2907="","",IF(AND($D2907="",$E2907=""),"",IF(OR($D2907="",$E2907=""),0,ROUND($D2907*$E2907,0))))</f>
        <v/>
      </c>
      <c r="G2907" s="13"/>
      <c r="H2907" s="11"/>
      <c r="I2907" s="15" t="str">
        <f aca="false">IF($F2907="","",$F2907-IF($H2907="",0,$H2907))</f>
        <v/>
      </c>
      <c r="J2907" s="16" t="str">
        <f aca="true">IF(OR($A2907="",$I2907="",$I2907&lt;=0),"",TODAY()-$A2907)</f>
        <v/>
      </c>
      <c r="K2907" s="10"/>
    </row>
    <row r="2908" customFormat="false" ht="15" hidden="false" customHeight="true" outlineLevel="0" collapsed="false">
      <c r="A2908" s="13"/>
      <c r="B2908" s="10"/>
      <c r="C2908" s="10"/>
      <c r="D2908" s="14"/>
      <c r="E2908" s="11"/>
      <c r="F2908" s="15" t="str">
        <f aca="false">IF($B2908="","",IF(AND($D2908="",$E2908=""),"",IF(OR($D2908="",$E2908=""),0,ROUND($D2908*$E2908,0))))</f>
        <v/>
      </c>
      <c r="G2908" s="13"/>
      <c r="H2908" s="11"/>
      <c r="I2908" s="15" t="str">
        <f aca="false">IF($F2908="","",$F2908-IF($H2908="",0,$H2908))</f>
        <v/>
      </c>
      <c r="J2908" s="16" t="str">
        <f aca="true">IF(OR($A2908="",$I2908="",$I2908&lt;=0),"",TODAY()-$A2908)</f>
        <v/>
      </c>
      <c r="K2908" s="10"/>
    </row>
    <row r="2909" customFormat="false" ht="15" hidden="false" customHeight="true" outlineLevel="0" collapsed="false">
      <c r="A2909" s="13"/>
      <c r="B2909" s="10"/>
      <c r="C2909" s="10"/>
      <c r="D2909" s="14"/>
      <c r="E2909" s="11"/>
      <c r="F2909" s="15" t="str">
        <f aca="false">IF($B2909="","",IF(AND($D2909="",$E2909=""),"",IF(OR($D2909="",$E2909=""),0,ROUND($D2909*$E2909,0))))</f>
        <v/>
      </c>
      <c r="G2909" s="13"/>
      <c r="H2909" s="11"/>
      <c r="I2909" s="15" t="str">
        <f aca="false">IF($F2909="","",$F2909-IF($H2909="",0,$H2909))</f>
        <v/>
      </c>
      <c r="J2909" s="16" t="str">
        <f aca="true">IF(OR($A2909="",$I2909="",$I2909&lt;=0),"",TODAY()-$A2909)</f>
        <v/>
      </c>
      <c r="K2909" s="10"/>
    </row>
    <row r="2910" customFormat="false" ht="15" hidden="false" customHeight="true" outlineLevel="0" collapsed="false">
      <c r="A2910" s="13"/>
      <c r="B2910" s="10"/>
      <c r="C2910" s="10"/>
      <c r="D2910" s="14"/>
      <c r="E2910" s="11"/>
      <c r="F2910" s="15" t="str">
        <f aca="false">IF($B2910="","",IF(AND($D2910="",$E2910=""),"",IF(OR($D2910="",$E2910=""),0,ROUND($D2910*$E2910,0))))</f>
        <v/>
      </c>
      <c r="G2910" s="13"/>
      <c r="H2910" s="11"/>
      <c r="I2910" s="15" t="str">
        <f aca="false">IF($F2910="","",$F2910-IF($H2910="",0,$H2910))</f>
        <v/>
      </c>
      <c r="J2910" s="16" t="str">
        <f aca="true">IF(OR($A2910="",$I2910="",$I2910&lt;=0),"",TODAY()-$A2910)</f>
        <v/>
      </c>
      <c r="K2910" s="10"/>
    </row>
    <row r="2911" customFormat="false" ht="15" hidden="false" customHeight="true" outlineLevel="0" collapsed="false">
      <c r="A2911" s="13"/>
      <c r="B2911" s="10"/>
      <c r="C2911" s="10"/>
      <c r="D2911" s="14"/>
      <c r="E2911" s="11"/>
      <c r="F2911" s="15" t="str">
        <f aca="false">IF($B2911="","",IF(AND($D2911="",$E2911=""),"",IF(OR($D2911="",$E2911=""),0,ROUND($D2911*$E2911,0))))</f>
        <v/>
      </c>
      <c r="G2911" s="13"/>
      <c r="H2911" s="11"/>
      <c r="I2911" s="15" t="str">
        <f aca="false">IF($F2911="","",$F2911-IF($H2911="",0,$H2911))</f>
        <v/>
      </c>
      <c r="J2911" s="16" t="str">
        <f aca="true">IF(OR($A2911="",$I2911="",$I2911&lt;=0),"",TODAY()-$A2911)</f>
        <v/>
      </c>
      <c r="K2911" s="10"/>
    </row>
    <row r="2912" customFormat="false" ht="15" hidden="false" customHeight="true" outlineLevel="0" collapsed="false">
      <c r="A2912" s="13"/>
      <c r="B2912" s="10"/>
      <c r="C2912" s="10"/>
      <c r="D2912" s="14"/>
      <c r="E2912" s="11"/>
      <c r="F2912" s="15" t="str">
        <f aca="false">IF($B2912="","",IF(AND($D2912="",$E2912=""),"",IF(OR($D2912="",$E2912=""),0,ROUND($D2912*$E2912,0))))</f>
        <v/>
      </c>
      <c r="G2912" s="13"/>
      <c r="H2912" s="11"/>
      <c r="I2912" s="15" t="str">
        <f aca="false">IF($F2912="","",$F2912-IF($H2912="",0,$H2912))</f>
        <v/>
      </c>
      <c r="J2912" s="16" t="str">
        <f aca="true">IF(OR($A2912="",$I2912="",$I2912&lt;=0),"",TODAY()-$A2912)</f>
        <v/>
      </c>
      <c r="K2912" s="10"/>
    </row>
    <row r="2913" customFormat="false" ht="15" hidden="false" customHeight="true" outlineLevel="0" collapsed="false">
      <c r="A2913" s="13"/>
      <c r="B2913" s="10"/>
      <c r="C2913" s="10"/>
      <c r="D2913" s="14"/>
      <c r="E2913" s="11"/>
      <c r="F2913" s="15" t="str">
        <f aca="false">IF($B2913="","",IF(AND($D2913="",$E2913=""),"",IF(OR($D2913="",$E2913=""),0,ROUND($D2913*$E2913,0))))</f>
        <v/>
      </c>
      <c r="G2913" s="13"/>
      <c r="H2913" s="11"/>
      <c r="I2913" s="15" t="str">
        <f aca="false">IF($F2913="","",$F2913-IF($H2913="",0,$H2913))</f>
        <v/>
      </c>
      <c r="J2913" s="16" t="str">
        <f aca="true">IF(OR($A2913="",$I2913="",$I2913&lt;=0),"",TODAY()-$A2913)</f>
        <v/>
      </c>
      <c r="K2913" s="10"/>
    </row>
    <row r="2914" customFormat="false" ht="15" hidden="false" customHeight="true" outlineLevel="0" collapsed="false">
      <c r="A2914" s="13"/>
      <c r="B2914" s="10"/>
      <c r="C2914" s="10"/>
      <c r="D2914" s="14"/>
      <c r="E2914" s="11"/>
      <c r="F2914" s="15" t="str">
        <f aca="false">IF($B2914="","",IF(AND($D2914="",$E2914=""),"",IF(OR($D2914="",$E2914=""),0,ROUND($D2914*$E2914,0))))</f>
        <v/>
      </c>
      <c r="G2914" s="13"/>
      <c r="H2914" s="11"/>
      <c r="I2914" s="15" t="str">
        <f aca="false">IF($F2914="","",$F2914-IF($H2914="",0,$H2914))</f>
        <v/>
      </c>
      <c r="J2914" s="16" t="str">
        <f aca="true">IF(OR($A2914="",$I2914="",$I2914&lt;=0),"",TODAY()-$A2914)</f>
        <v/>
      </c>
      <c r="K2914" s="10"/>
    </row>
    <row r="2915" customFormat="false" ht="15" hidden="false" customHeight="true" outlineLevel="0" collapsed="false">
      <c r="A2915" s="13"/>
      <c r="B2915" s="10"/>
      <c r="C2915" s="10"/>
      <c r="D2915" s="14"/>
      <c r="E2915" s="11"/>
      <c r="F2915" s="15" t="str">
        <f aca="false">IF($B2915="","",IF(AND($D2915="",$E2915=""),"",IF(OR($D2915="",$E2915=""),0,ROUND($D2915*$E2915,0))))</f>
        <v/>
      </c>
      <c r="G2915" s="13"/>
      <c r="H2915" s="11"/>
      <c r="I2915" s="15" t="str">
        <f aca="false">IF($F2915="","",$F2915-IF($H2915="",0,$H2915))</f>
        <v/>
      </c>
      <c r="J2915" s="16" t="str">
        <f aca="true">IF(OR($A2915="",$I2915="",$I2915&lt;=0),"",TODAY()-$A2915)</f>
        <v/>
      </c>
      <c r="K2915" s="10"/>
    </row>
    <row r="2916" customFormat="false" ht="15" hidden="false" customHeight="true" outlineLevel="0" collapsed="false">
      <c r="A2916" s="13"/>
      <c r="B2916" s="10"/>
      <c r="C2916" s="10"/>
      <c r="D2916" s="14"/>
      <c r="E2916" s="11"/>
      <c r="F2916" s="15" t="str">
        <f aca="false">IF($B2916="","",IF(AND($D2916="",$E2916=""),"",IF(OR($D2916="",$E2916=""),0,ROUND($D2916*$E2916,0))))</f>
        <v/>
      </c>
      <c r="G2916" s="13"/>
      <c r="H2916" s="11"/>
      <c r="I2916" s="15" t="str">
        <f aca="false">IF($F2916="","",$F2916-IF($H2916="",0,$H2916))</f>
        <v/>
      </c>
      <c r="J2916" s="16" t="str">
        <f aca="true">IF(OR($A2916="",$I2916="",$I2916&lt;=0),"",TODAY()-$A2916)</f>
        <v/>
      </c>
      <c r="K2916" s="10"/>
    </row>
    <row r="2917" customFormat="false" ht="15" hidden="false" customHeight="true" outlineLevel="0" collapsed="false">
      <c r="A2917" s="13"/>
      <c r="B2917" s="10"/>
      <c r="C2917" s="10"/>
      <c r="D2917" s="14"/>
      <c r="E2917" s="11"/>
      <c r="F2917" s="15" t="str">
        <f aca="false">IF($B2917="","",IF(AND($D2917="",$E2917=""),"",IF(OR($D2917="",$E2917=""),0,ROUND($D2917*$E2917,0))))</f>
        <v/>
      </c>
      <c r="G2917" s="13"/>
      <c r="H2917" s="11"/>
      <c r="I2917" s="15" t="str">
        <f aca="false">IF($F2917="","",$F2917-IF($H2917="",0,$H2917))</f>
        <v/>
      </c>
      <c r="J2917" s="16" t="str">
        <f aca="true">IF(OR($A2917="",$I2917="",$I2917&lt;=0),"",TODAY()-$A2917)</f>
        <v/>
      </c>
      <c r="K2917" s="10"/>
    </row>
    <row r="2918" customFormat="false" ht="15" hidden="false" customHeight="true" outlineLevel="0" collapsed="false">
      <c r="A2918" s="13"/>
      <c r="B2918" s="10"/>
      <c r="C2918" s="10"/>
      <c r="D2918" s="14"/>
      <c r="E2918" s="11"/>
      <c r="F2918" s="15" t="str">
        <f aca="false">IF($B2918="","",IF(AND($D2918="",$E2918=""),"",IF(OR($D2918="",$E2918=""),0,ROUND($D2918*$E2918,0))))</f>
        <v/>
      </c>
      <c r="G2918" s="13"/>
      <c r="H2918" s="11"/>
      <c r="I2918" s="15" t="str">
        <f aca="false">IF($F2918="","",$F2918-IF($H2918="",0,$H2918))</f>
        <v/>
      </c>
      <c r="J2918" s="16" t="str">
        <f aca="true">IF(OR($A2918="",$I2918="",$I2918&lt;=0),"",TODAY()-$A2918)</f>
        <v/>
      </c>
      <c r="K2918" s="10"/>
    </row>
    <row r="2919" customFormat="false" ht="15" hidden="false" customHeight="true" outlineLevel="0" collapsed="false">
      <c r="A2919" s="13"/>
      <c r="B2919" s="10"/>
      <c r="C2919" s="10"/>
      <c r="D2919" s="14"/>
      <c r="E2919" s="11"/>
      <c r="F2919" s="15" t="str">
        <f aca="false">IF($B2919="","",IF(AND($D2919="",$E2919=""),"",IF(OR($D2919="",$E2919=""),0,ROUND($D2919*$E2919,0))))</f>
        <v/>
      </c>
      <c r="G2919" s="13"/>
      <c r="H2919" s="11"/>
      <c r="I2919" s="15" t="str">
        <f aca="false">IF($F2919="","",$F2919-IF($H2919="",0,$H2919))</f>
        <v/>
      </c>
      <c r="J2919" s="16" t="str">
        <f aca="true">IF(OR($A2919="",$I2919="",$I2919&lt;=0),"",TODAY()-$A2919)</f>
        <v/>
      </c>
      <c r="K2919" s="10"/>
    </row>
    <row r="2920" customFormat="false" ht="15" hidden="false" customHeight="true" outlineLevel="0" collapsed="false">
      <c r="A2920" s="13"/>
      <c r="B2920" s="10"/>
      <c r="C2920" s="10"/>
      <c r="D2920" s="14"/>
      <c r="E2920" s="11"/>
      <c r="F2920" s="15" t="str">
        <f aca="false">IF($B2920="","",IF(AND($D2920="",$E2920=""),"",IF(OR($D2920="",$E2920=""),0,ROUND($D2920*$E2920,0))))</f>
        <v/>
      </c>
      <c r="G2920" s="13"/>
      <c r="H2920" s="11"/>
      <c r="I2920" s="15" t="str">
        <f aca="false">IF($F2920="","",$F2920-IF($H2920="",0,$H2920))</f>
        <v/>
      </c>
      <c r="J2920" s="16" t="str">
        <f aca="true">IF(OR($A2920="",$I2920="",$I2920&lt;=0),"",TODAY()-$A2920)</f>
        <v/>
      </c>
      <c r="K2920" s="10"/>
    </row>
    <row r="2921" customFormat="false" ht="15" hidden="false" customHeight="true" outlineLevel="0" collapsed="false">
      <c r="A2921" s="13"/>
      <c r="B2921" s="10"/>
      <c r="C2921" s="10"/>
      <c r="D2921" s="14"/>
      <c r="E2921" s="11"/>
      <c r="F2921" s="15" t="str">
        <f aca="false">IF($B2921="","",IF(AND($D2921="",$E2921=""),"",IF(OR($D2921="",$E2921=""),0,ROUND($D2921*$E2921,0))))</f>
        <v/>
      </c>
      <c r="G2921" s="13"/>
      <c r="H2921" s="11"/>
      <c r="I2921" s="15" t="str">
        <f aca="false">IF($F2921="","",$F2921-IF($H2921="",0,$H2921))</f>
        <v/>
      </c>
      <c r="J2921" s="16" t="str">
        <f aca="true">IF(OR($A2921="",$I2921="",$I2921&lt;=0),"",TODAY()-$A2921)</f>
        <v/>
      </c>
      <c r="K2921" s="10"/>
    </row>
    <row r="2922" customFormat="false" ht="15" hidden="false" customHeight="true" outlineLevel="0" collapsed="false">
      <c r="A2922" s="13"/>
      <c r="B2922" s="10"/>
      <c r="C2922" s="10"/>
      <c r="D2922" s="14"/>
      <c r="E2922" s="11"/>
      <c r="F2922" s="15" t="str">
        <f aca="false">IF($B2922="","",IF(AND($D2922="",$E2922=""),"",IF(OR($D2922="",$E2922=""),0,ROUND($D2922*$E2922,0))))</f>
        <v/>
      </c>
      <c r="G2922" s="13"/>
      <c r="H2922" s="11"/>
      <c r="I2922" s="15" t="str">
        <f aca="false">IF($F2922="","",$F2922-IF($H2922="",0,$H2922))</f>
        <v/>
      </c>
      <c r="J2922" s="16" t="str">
        <f aca="true">IF(OR($A2922="",$I2922="",$I2922&lt;=0),"",TODAY()-$A2922)</f>
        <v/>
      </c>
      <c r="K2922" s="10"/>
    </row>
    <row r="2923" customFormat="false" ht="15" hidden="false" customHeight="true" outlineLevel="0" collapsed="false">
      <c r="A2923" s="13"/>
      <c r="B2923" s="10"/>
      <c r="C2923" s="10"/>
      <c r="D2923" s="14"/>
      <c r="E2923" s="11"/>
      <c r="F2923" s="15" t="str">
        <f aca="false">IF($B2923="","",IF(AND($D2923="",$E2923=""),"",IF(OR($D2923="",$E2923=""),0,ROUND($D2923*$E2923,0))))</f>
        <v/>
      </c>
      <c r="G2923" s="13"/>
      <c r="H2923" s="11"/>
      <c r="I2923" s="15" t="str">
        <f aca="false">IF($F2923="","",$F2923-IF($H2923="",0,$H2923))</f>
        <v/>
      </c>
      <c r="J2923" s="16" t="str">
        <f aca="true">IF(OR($A2923="",$I2923="",$I2923&lt;=0),"",TODAY()-$A2923)</f>
        <v/>
      </c>
      <c r="K2923" s="10"/>
    </row>
    <row r="2924" customFormat="false" ht="15" hidden="false" customHeight="true" outlineLevel="0" collapsed="false">
      <c r="A2924" s="13"/>
      <c r="B2924" s="10"/>
      <c r="C2924" s="10"/>
      <c r="D2924" s="14"/>
      <c r="E2924" s="11"/>
      <c r="F2924" s="15" t="str">
        <f aca="false">IF($B2924="","",IF(AND($D2924="",$E2924=""),"",IF(OR($D2924="",$E2924=""),0,ROUND($D2924*$E2924,0))))</f>
        <v/>
      </c>
      <c r="G2924" s="13"/>
      <c r="H2924" s="11"/>
      <c r="I2924" s="15" t="str">
        <f aca="false">IF($F2924="","",$F2924-IF($H2924="",0,$H2924))</f>
        <v/>
      </c>
      <c r="J2924" s="16" t="str">
        <f aca="true">IF(OR($A2924="",$I2924="",$I2924&lt;=0),"",TODAY()-$A2924)</f>
        <v/>
      </c>
      <c r="K2924" s="10"/>
    </row>
    <row r="2925" customFormat="false" ht="15" hidden="false" customHeight="true" outlineLevel="0" collapsed="false">
      <c r="A2925" s="13"/>
      <c r="B2925" s="10"/>
      <c r="C2925" s="10"/>
      <c r="D2925" s="14"/>
      <c r="E2925" s="11"/>
      <c r="F2925" s="15" t="str">
        <f aca="false">IF($B2925="","",IF(AND($D2925="",$E2925=""),"",IF(OR($D2925="",$E2925=""),0,ROUND($D2925*$E2925,0))))</f>
        <v/>
      </c>
      <c r="G2925" s="13"/>
      <c r="H2925" s="11"/>
      <c r="I2925" s="15" t="str">
        <f aca="false">IF($F2925="","",$F2925-IF($H2925="",0,$H2925))</f>
        <v/>
      </c>
      <c r="J2925" s="16" t="str">
        <f aca="true">IF(OR($A2925="",$I2925="",$I2925&lt;=0),"",TODAY()-$A2925)</f>
        <v/>
      </c>
      <c r="K2925" s="10"/>
    </row>
    <row r="2926" customFormat="false" ht="15" hidden="false" customHeight="true" outlineLevel="0" collapsed="false">
      <c r="A2926" s="13"/>
      <c r="B2926" s="10"/>
      <c r="C2926" s="10"/>
      <c r="D2926" s="14"/>
      <c r="E2926" s="11"/>
      <c r="F2926" s="15" t="str">
        <f aca="false">IF($B2926="","",IF(AND($D2926="",$E2926=""),"",IF(OR($D2926="",$E2926=""),0,ROUND($D2926*$E2926,0))))</f>
        <v/>
      </c>
      <c r="G2926" s="13"/>
      <c r="H2926" s="11"/>
      <c r="I2926" s="15" t="str">
        <f aca="false">IF($F2926="","",$F2926-IF($H2926="",0,$H2926))</f>
        <v/>
      </c>
      <c r="J2926" s="16" t="str">
        <f aca="true">IF(OR($A2926="",$I2926="",$I2926&lt;=0),"",TODAY()-$A2926)</f>
        <v/>
      </c>
      <c r="K2926" s="10"/>
    </row>
    <row r="2927" customFormat="false" ht="15" hidden="false" customHeight="true" outlineLevel="0" collapsed="false">
      <c r="A2927" s="13"/>
      <c r="B2927" s="10"/>
      <c r="C2927" s="10"/>
      <c r="D2927" s="14"/>
      <c r="E2927" s="11"/>
      <c r="F2927" s="15" t="str">
        <f aca="false">IF($B2927="","",IF(AND($D2927="",$E2927=""),"",IF(OR($D2927="",$E2927=""),0,ROUND($D2927*$E2927,0))))</f>
        <v/>
      </c>
      <c r="G2927" s="13"/>
      <c r="H2927" s="11"/>
      <c r="I2927" s="15" t="str">
        <f aca="false">IF($F2927="","",$F2927-IF($H2927="",0,$H2927))</f>
        <v/>
      </c>
      <c r="J2927" s="16" t="str">
        <f aca="true">IF(OR($A2927="",$I2927="",$I2927&lt;=0),"",TODAY()-$A2927)</f>
        <v/>
      </c>
      <c r="K2927" s="10"/>
    </row>
    <row r="2928" customFormat="false" ht="15" hidden="false" customHeight="true" outlineLevel="0" collapsed="false">
      <c r="A2928" s="13"/>
      <c r="B2928" s="10"/>
      <c r="C2928" s="10"/>
      <c r="D2928" s="14"/>
      <c r="E2928" s="11"/>
      <c r="F2928" s="15" t="str">
        <f aca="false">IF($B2928="","",IF(AND($D2928="",$E2928=""),"",IF(OR($D2928="",$E2928=""),0,ROUND($D2928*$E2928,0))))</f>
        <v/>
      </c>
      <c r="G2928" s="13"/>
      <c r="H2928" s="11"/>
      <c r="I2928" s="15" t="str">
        <f aca="false">IF($F2928="","",$F2928-IF($H2928="",0,$H2928))</f>
        <v/>
      </c>
      <c r="J2928" s="16" t="str">
        <f aca="true">IF(OR($A2928="",$I2928="",$I2928&lt;=0),"",TODAY()-$A2928)</f>
        <v/>
      </c>
      <c r="K2928" s="10"/>
    </row>
    <row r="2929" customFormat="false" ht="15" hidden="false" customHeight="true" outlineLevel="0" collapsed="false">
      <c r="A2929" s="13"/>
      <c r="B2929" s="10"/>
      <c r="C2929" s="10"/>
      <c r="D2929" s="14"/>
      <c r="E2929" s="11"/>
      <c r="F2929" s="15" t="str">
        <f aca="false">IF($B2929="","",IF(AND($D2929="",$E2929=""),"",IF(OR($D2929="",$E2929=""),0,ROUND($D2929*$E2929,0))))</f>
        <v/>
      </c>
      <c r="G2929" s="13"/>
      <c r="H2929" s="11"/>
      <c r="I2929" s="15" t="str">
        <f aca="false">IF($F2929="","",$F2929-IF($H2929="",0,$H2929))</f>
        <v/>
      </c>
      <c r="J2929" s="16" t="str">
        <f aca="true">IF(OR($A2929="",$I2929="",$I2929&lt;=0),"",TODAY()-$A2929)</f>
        <v/>
      </c>
      <c r="K2929" s="10"/>
    </row>
    <row r="2930" customFormat="false" ht="15" hidden="false" customHeight="true" outlineLevel="0" collapsed="false">
      <c r="A2930" s="13"/>
      <c r="B2930" s="10"/>
      <c r="C2930" s="10"/>
      <c r="D2930" s="14"/>
      <c r="E2930" s="11"/>
      <c r="F2930" s="15" t="str">
        <f aca="false">IF($B2930="","",IF(AND($D2930="",$E2930=""),"",IF(OR($D2930="",$E2930=""),0,ROUND($D2930*$E2930,0))))</f>
        <v/>
      </c>
      <c r="G2930" s="13"/>
      <c r="H2930" s="11"/>
      <c r="I2930" s="15" t="str">
        <f aca="false">IF($F2930="","",$F2930-IF($H2930="",0,$H2930))</f>
        <v/>
      </c>
      <c r="J2930" s="16" t="str">
        <f aca="true">IF(OR($A2930="",$I2930="",$I2930&lt;=0),"",TODAY()-$A2930)</f>
        <v/>
      </c>
      <c r="K2930" s="10"/>
    </row>
    <row r="2931" customFormat="false" ht="15" hidden="false" customHeight="true" outlineLevel="0" collapsed="false">
      <c r="A2931" s="13"/>
      <c r="B2931" s="10"/>
      <c r="C2931" s="10"/>
      <c r="D2931" s="14"/>
      <c r="E2931" s="11"/>
      <c r="F2931" s="15" t="str">
        <f aca="false">IF($B2931="","",IF(AND($D2931="",$E2931=""),"",IF(OR($D2931="",$E2931=""),0,ROUND($D2931*$E2931,0))))</f>
        <v/>
      </c>
      <c r="G2931" s="13"/>
      <c r="H2931" s="11"/>
      <c r="I2931" s="15" t="str">
        <f aca="false">IF($F2931="","",$F2931-IF($H2931="",0,$H2931))</f>
        <v/>
      </c>
      <c r="J2931" s="16" t="str">
        <f aca="true">IF(OR($A2931="",$I2931="",$I2931&lt;=0),"",TODAY()-$A2931)</f>
        <v/>
      </c>
      <c r="K2931" s="10"/>
    </row>
    <row r="2932" customFormat="false" ht="15" hidden="false" customHeight="true" outlineLevel="0" collapsed="false">
      <c r="A2932" s="13"/>
      <c r="B2932" s="10"/>
      <c r="C2932" s="10"/>
      <c r="D2932" s="14"/>
      <c r="E2932" s="11"/>
      <c r="F2932" s="15" t="str">
        <f aca="false">IF($B2932="","",IF(AND($D2932="",$E2932=""),"",IF(OR($D2932="",$E2932=""),0,ROUND($D2932*$E2932,0))))</f>
        <v/>
      </c>
      <c r="G2932" s="13"/>
      <c r="H2932" s="11"/>
      <c r="I2932" s="15" t="str">
        <f aca="false">IF($F2932="","",$F2932-IF($H2932="",0,$H2932))</f>
        <v/>
      </c>
      <c r="J2932" s="16" t="str">
        <f aca="true">IF(OR($A2932="",$I2932="",$I2932&lt;=0),"",TODAY()-$A2932)</f>
        <v/>
      </c>
      <c r="K2932" s="10"/>
    </row>
    <row r="2933" customFormat="false" ht="15" hidden="false" customHeight="true" outlineLevel="0" collapsed="false">
      <c r="A2933" s="13"/>
      <c r="B2933" s="10"/>
      <c r="C2933" s="10"/>
      <c r="D2933" s="14"/>
      <c r="E2933" s="11"/>
      <c r="F2933" s="15" t="str">
        <f aca="false">IF($B2933="","",IF(AND($D2933="",$E2933=""),"",IF(OR($D2933="",$E2933=""),0,ROUND($D2933*$E2933,0))))</f>
        <v/>
      </c>
      <c r="G2933" s="13"/>
      <c r="H2933" s="11"/>
      <c r="I2933" s="15" t="str">
        <f aca="false">IF($F2933="","",$F2933-IF($H2933="",0,$H2933))</f>
        <v/>
      </c>
      <c r="J2933" s="16" t="str">
        <f aca="true">IF(OR($A2933="",$I2933="",$I2933&lt;=0),"",TODAY()-$A2933)</f>
        <v/>
      </c>
      <c r="K2933" s="10"/>
    </row>
    <row r="2934" customFormat="false" ht="15" hidden="false" customHeight="true" outlineLevel="0" collapsed="false">
      <c r="A2934" s="13"/>
      <c r="B2934" s="10"/>
      <c r="C2934" s="10"/>
      <c r="D2934" s="14"/>
      <c r="E2934" s="11"/>
      <c r="F2934" s="15" t="str">
        <f aca="false">IF($B2934="","",IF(AND($D2934="",$E2934=""),"",IF(OR($D2934="",$E2934=""),0,ROUND($D2934*$E2934,0))))</f>
        <v/>
      </c>
      <c r="G2934" s="13"/>
      <c r="H2934" s="11"/>
      <c r="I2934" s="15" t="str">
        <f aca="false">IF($F2934="","",$F2934-IF($H2934="",0,$H2934))</f>
        <v/>
      </c>
      <c r="J2934" s="16" t="str">
        <f aca="true">IF(OR($A2934="",$I2934="",$I2934&lt;=0),"",TODAY()-$A2934)</f>
        <v/>
      </c>
      <c r="K2934" s="10"/>
    </row>
    <row r="2935" customFormat="false" ht="15" hidden="false" customHeight="true" outlineLevel="0" collapsed="false">
      <c r="A2935" s="13"/>
      <c r="B2935" s="10"/>
      <c r="C2935" s="10"/>
      <c r="D2935" s="14"/>
      <c r="E2935" s="11"/>
      <c r="F2935" s="15" t="str">
        <f aca="false">IF($B2935="","",IF(AND($D2935="",$E2935=""),"",IF(OR($D2935="",$E2935=""),0,ROUND($D2935*$E2935,0))))</f>
        <v/>
      </c>
      <c r="G2935" s="13"/>
      <c r="H2935" s="11"/>
      <c r="I2935" s="15" t="str">
        <f aca="false">IF($F2935="","",$F2935-IF($H2935="",0,$H2935))</f>
        <v/>
      </c>
      <c r="J2935" s="16" t="str">
        <f aca="true">IF(OR($A2935="",$I2935="",$I2935&lt;=0),"",TODAY()-$A2935)</f>
        <v/>
      </c>
      <c r="K2935" s="10"/>
    </row>
    <row r="2936" customFormat="false" ht="15" hidden="false" customHeight="true" outlineLevel="0" collapsed="false">
      <c r="A2936" s="13"/>
      <c r="B2936" s="10"/>
      <c r="C2936" s="10"/>
      <c r="D2936" s="14"/>
      <c r="E2936" s="11"/>
      <c r="F2936" s="15" t="str">
        <f aca="false">IF($B2936="","",IF(AND($D2936="",$E2936=""),"",IF(OR($D2936="",$E2936=""),0,ROUND($D2936*$E2936,0))))</f>
        <v/>
      </c>
      <c r="G2936" s="13"/>
      <c r="H2936" s="11"/>
      <c r="I2936" s="15" t="str">
        <f aca="false">IF($F2936="","",$F2936-IF($H2936="",0,$H2936))</f>
        <v/>
      </c>
      <c r="J2936" s="16" t="str">
        <f aca="true">IF(OR($A2936="",$I2936="",$I2936&lt;=0),"",TODAY()-$A2936)</f>
        <v/>
      </c>
      <c r="K2936" s="10"/>
    </row>
    <row r="2937" customFormat="false" ht="15" hidden="false" customHeight="true" outlineLevel="0" collapsed="false">
      <c r="A2937" s="13"/>
      <c r="B2937" s="10"/>
      <c r="C2937" s="10"/>
      <c r="D2937" s="14"/>
      <c r="E2937" s="11"/>
      <c r="F2937" s="15" t="str">
        <f aca="false">IF($B2937="","",IF(AND($D2937="",$E2937=""),"",IF(OR($D2937="",$E2937=""),0,ROUND($D2937*$E2937,0))))</f>
        <v/>
      </c>
      <c r="G2937" s="13"/>
      <c r="H2937" s="11"/>
      <c r="I2937" s="15" t="str">
        <f aca="false">IF($F2937="","",$F2937-IF($H2937="",0,$H2937))</f>
        <v/>
      </c>
      <c r="J2937" s="16" t="str">
        <f aca="true">IF(OR($A2937="",$I2937="",$I2937&lt;=0),"",TODAY()-$A2937)</f>
        <v/>
      </c>
      <c r="K2937" s="10"/>
    </row>
    <row r="2938" customFormat="false" ht="15" hidden="false" customHeight="true" outlineLevel="0" collapsed="false">
      <c r="A2938" s="13"/>
      <c r="B2938" s="10"/>
      <c r="C2938" s="10"/>
      <c r="D2938" s="14"/>
      <c r="E2938" s="11"/>
      <c r="F2938" s="15" t="str">
        <f aca="false">IF($B2938="","",IF(AND($D2938="",$E2938=""),"",IF(OR($D2938="",$E2938=""),0,ROUND($D2938*$E2938,0))))</f>
        <v/>
      </c>
      <c r="G2938" s="13"/>
      <c r="H2938" s="11"/>
      <c r="I2938" s="15" t="str">
        <f aca="false">IF($F2938="","",$F2938-IF($H2938="",0,$H2938))</f>
        <v/>
      </c>
      <c r="J2938" s="16" t="str">
        <f aca="true">IF(OR($A2938="",$I2938="",$I2938&lt;=0),"",TODAY()-$A2938)</f>
        <v/>
      </c>
      <c r="K2938" s="10"/>
    </row>
    <row r="2939" customFormat="false" ht="15" hidden="false" customHeight="true" outlineLevel="0" collapsed="false">
      <c r="A2939" s="13"/>
      <c r="B2939" s="10"/>
      <c r="C2939" s="10"/>
      <c r="D2939" s="14"/>
      <c r="E2939" s="11"/>
      <c r="F2939" s="15" t="str">
        <f aca="false">IF($B2939="","",IF(AND($D2939="",$E2939=""),"",IF(OR($D2939="",$E2939=""),0,ROUND($D2939*$E2939,0))))</f>
        <v/>
      </c>
      <c r="G2939" s="13"/>
      <c r="H2939" s="11"/>
      <c r="I2939" s="15" t="str">
        <f aca="false">IF($F2939="","",$F2939-IF($H2939="",0,$H2939))</f>
        <v/>
      </c>
      <c r="J2939" s="16" t="str">
        <f aca="true">IF(OR($A2939="",$I2939="",$I2939&lt;=0),"",TODAY()-$A2939)</f>
        <v/>
      </c>
      <c r="K2939" s="10"/>
    </row>
    <row r="2940" customFormat="false" ht="15" hidden="false" customHeight="true" outlineLevel="0" collapsed="false">
      <c r="A2940" s="13"/>
      <c r="B2940" s="10"/>
      <c r="C2940" s="10"/>
      <c r="D2940" s="14"/>
      <c r="E2940" s="11"/>
      <c r="F2940" s="15" t="str">
        <f aca="false">IF($B2940="","",IF(AND($D2940="",$E2940=""),"",IF(OR($D2940="",$E2940=""),0,ROUND($D2940*$E2940,0))))</f>
        <v/>
      </c>
      <c r="G2940" s="13"/>
      <c r="H2940" s="11"/>
      <c r="I2940" s="15" t="str">
        <f aca="false">IF($F2940="","",$F2940-IF($H2940="",0,$H2940))</f>
        <v/>
      </c>
      <c r="J2940" s="16" t="str">
        <f aca="true">IF(OR($A2940="",$I2940="",$I2940&lt;=0),"",TODAY()-$A2940)</f>
        <v/>
      </c>
      <c r="K2940" s="10"/>
    </row>
    <row r="2941" customFormat="false" ht="15" hidden="false" customHeight="true" outlineLevel="0" collapsed="false">
      <c r="A2941" s="13"/>
      <c r="B2941" s="10"/>
      <c r="C2941" s="10"/>
      <c r="D2941" s="14"/>
      <c r="E2941" s="11"/>
      <c r="F2941" s="15" t="str">
        <f aca="false">IF($B2941="","",IF(AND($D2941="",$E2941=""),"",IF(OR($D2941="",$E2941=""),0,ROUND($D2941*$E2941,0))))</f>
        <v/>
      </c>
      <c r="G2941" s="13"/>
      <c r="H2941" s="11"/>
      <c r="I2941" s="15" t="str">
        <f aca="false">IF($F2941="","",$F2941-IF($H2941="",0,$H2941))</f>
        <v/>
      </c>
      <c r="J2941" s="16" t="str">
        <f aca="true">IF(OR($A2941="",$I2941="",$I2941&lt;=0),"",TODAY()-$A2941)</f>
        <v/>
      </c>
      <c r="K2941" s="10"/>
    </row>
    <row r="2942" customFormat="false" ht="15" hidden="false" customHeight="true" outlineLevel="0" collapsed="false">
      <c r="A2942" s="13"/>
      <c r="B2942" s="10"/>
      <c r="C2942" s="10"/>
      <c r="D2942" s="14"/>
      <c r="E2942" s="11"/>
      <c r="F2942" s="15" t="str">
        <f aca="false">IF($B2942="","",IF(AND($D2942="",$E2942=""),"",IF(OR($D2942="",$E2942=""),0,ROUND($D2942*$E2942,0))))</f>
        <v/>
      </c>
      <c r="G2942" s="13"/>
      <c r="H2942" s="11"/>
      <c r="I2942" s="15" t="str">
        <f aca="false">IF($F2942="","",$F2942-IF($H2942="",0,$H2942))</f>
        <v/>
      </c>
      <c r="J2942" s="16" t="str">
        <f aca="true">IF(OR($A2942="",$I2942="",$I2942&lt;=0),"",TODAY()-$A2942)</f>
        <v/>
      </c>
      <c r="K2942" s="10"/>
    </row>
    <row r="2943" customFormat="false" ht="15" hidden="false" customHeight="true" outlineLevel="0" collapsed="false">
      <c r="A2943" s="13"/>
      <c r="B2943" s="10"/>
      <c r="C2943" s="10"/>
      <c r="D2943" s="14"/>
      <c r="E2943" s="11"/>
      <c r="F2943" s="15" t="str">
        <f aca="false">IF($B2943="","",IF(AND($D2943="",$E2943=""),"",IF(OR($D2943="",$E2943=""),0,ROUND($D2943*$E2943,0))))</f>
        <v/>
      </c>
      <c r="G2943" s="13"/>
      <c r="H2943" s="11"/>
      <c r="I2943" s="15" t="str">
        <f aca="false">IF($F2943="","",$F2943-IF($H2943="",0,$H2943))</f>
        <v/>
      </c>
      <c r="J2943" s="16" t="str">
        <f aca="true">IF(OR($A2943="",$I2943="",$I2943&lt;=0),"",TODAY()-$A2943)</f>
        <v/>
      </c>
      <c r="K2943" s="10"/>
    </row>
    <row r="2944" customFormat="false" ht="15" hidden="false" customHeight="true" outlineLevel="0" collapsed="false">
      <c r="A2944" s="13"/>
      <c r="B2944" s="10"/>
      <c r="C2944" s="10"/>
      <c r="D2944" s="14"/>
      <c r="E2944" s="11"/>
      <c r="F2944" s="15" t="str">
        <f aca="false">IF($B2944="","",IF(AND($D2944="",$E2944=""),"",IF(OR($D2944="",$E2944=""),0,ROUND($D2944*$E2944,0))))</f>
        <v/>
      </c>
      <c r="G2944" s="13"/>
      <c r="H2944" s="11"/>
      <c r="I2944" s="15" t="str">
        <f aca="false">IF($F2944="","",$F2944-IF($H2944="",0,$H2944))</f>
        <v/>
      </c>
      <c r="J2944" s="16" t="str">
        <f aca="true">IF(OR($A2944="",$I2944="",$I2944&lt;=0),"",TODAY()-$A2944)</f>
        <v/>
      </c>
      <c r="K2944" s="10"/>
    </row>
    <row r="2945" customFormat="false" ht="15" hidden="false" customHeight="true" outlineLevel="0" collapsed="false">
      <c r="A2945" s="13"/>
      <c r="B2945" s="10"/>
      <c r="C2945" s="10"/>
      <c r="D2945" s="14"/>
      <c r="E2945" s="11"/>
      <c r="F2945" s="15" t="str">
        <f aca="false">IF($B2945="","",IF(AND($D2945="",$E2945=""),"",IF(OR($D2945="",$E2945=""),0,ROUND($D2945*$E2945,0))))</f>
        <v/>
      </c>
      <c r="G2945" s="13"/>
      <c r="H2945" s="11"/>
      <c r="I2945" s="15" t="str">
        <f aca="false">IF($F2945="","",$F2945-IF($H2945="",0,$H2945))</f>
        <v/>
      </c>
      <c r="J2945" s="16" t="str">
        <f aca="true">IF(OR($A2945="",$I2945="",$I2945&lt;=0),"",TODAY()-$A2945)</f>
        <v/>
      </c>
      <c r="K2945" s="10"/>
    </row>
    <row r="2946" customFormat="false" ht="15" hidden="false" customHeight="true" outlineLevel="0" collapsed="false">
      <c r="A2946" s="13"/>
      <c r="B2946" s="10"/>
      <c r="C2946" s="10"/>
      <c r="D2946" s="14"/>
      <c r="E2946" s="11"/>
      <c r="F2946" s="15" t="str">
        <f aca="false">IF($B2946="","",IF(AND($D2946="",$E2946=""),"",IF(OR($D2946="",$E2946=""),0,ROUND($D2946*$E2946,0))))</f>
        <v/>
      </c>
      <c r="G2946" s="13"/>
      <c r="H2946" s="11"/>
      <c r="I2946" s="15" t="str">
        <f aca="false">IF($F2946="","",$F2946-IF($H2946="",0,$H2946))</f>
        <v/>
      </c>
      <c r="J2946" s="16" t="str">
        <f aca="true">IF(OR($A2946="",$I2946="",$I2946&lt;=0),"",TODAY()-$A2946)</f>
        <v/>
      </c>
      <c r="K2946" s="10"/>
    </row>
    <row r="2947" customFormat="false" ht="15" hidden="false" customHeight="true" outlineLevel="0" collapsed="false">
      <c r="A2947" s="13"/>
      <c r="B2947" s="10"/>
      <c r="C2947" s="10"/>
      <c r="D2947" s="14"/>
      <c r="E2947" s="11"/>
      <c r="F2947" s="15" t="str">
        <f aca="false">IF($B2947="","",IF(AND($D2947="",$E2947=""),"",IF(OR($D2947="",$E2947=""),0,ROUND($D2947*$E2947,0))))</f>
        <v/>
      </c>
      <c r="G2947" s="13"/>
      <c r="H2947" s="11"/>
      <c r="I2947" s="15" t="str">
        <f aca="false">IF($F2947="","",$F2947-IF($H2947="",0,$H2947))</f>
        <v/>
      </c>
      <c r="J2947" s="16" t="str">
        <f aca="true">IF(OR($A2947="",$I2947="",$I2947&lt;=0),"",TODAY()-$A2947)</f>
        <v/>
      </c>
      <c r="K2947" s="10"/>
    </row>
    <row r="2948" customFormat="false" ht="15" hidden="false" customHeight="true" outlineLevel="0" collapsed="false">
      <c r="A2948" s="13"/>
      <c r="B2948" s="10"/>
      <c r="C2948" s="10"/>
      <c r="D2948" s="14"/>
      <c r="E2948" s="11"/>
      <c r="F2948" s="15" t="str">
        <f aca="false">IF($B2948="","",IF(AND($D2948="",$E2948=""),"",IF(OR($D2948="",$E2948=""),0,ROUND($D2948*$E2948,0))))</f>
        <v/>
      </c>
      <c r="G2948" s="13"/>
      <c r="H2948" s="11"/>
      <c r="I2948" s="15" t="str">
        <f aca="false">IF($F2948="","",$F2948-IF($H2948="",0,$H2948))</f>
        <v/>
      </c>
      <c r="J2948" s="16" t="str">
        <f aca="true">IF(OR($A2948="",$I2948="",$I2948&lt;=0),"",TODAY()-$A2948)</f>
        <v/>
      </c>
      <c r="K2948" s="10"/>
    </row>
    <row r="2949" customFormat="false" ht="15" hidden="false" customHeight="true" outlineLevel="0" collapsed="false">
      <c r="A2949" s="13"/>
      <c r="B2949" s="10"/>
      <c r="C2949" s="10"/>
      <c r="D2949" s="14"/>
      <c r="E2949" s="11"/>
      <c r="F2949" s="15" t="str">
        <f aca="false">IF($B2949="","",IF(AND($D2949="",$E2949=""),"",IF(OR($D2949="",$E2949=""),0,ROUND($D2949*$E2949,0))))</f>
        <v/>
      </c>
      <c r="G2949" s="13"/>
      <c r="H2949" s="11"/>
      <c r="I2949" s="15" t="str">
        <f aca="false">IF($F2949="","",$F2949-IF($H2949="",0,$H2949))</f>
        <v/>
      </c>
      <c r="J2949" s="16" t="str">
        <f aca="true">IF(OR($A2949="",$I2949="",$I2949&lt;=0),"",TODAY()-$A2949)</f>
        <v/>
      </c>
      <c r="K2949" s="10"/>
    </row>
    <row r="2950" customFormat="false" ht="15" hidden="false" customHeight="true" outlineLevel="0" collapsed="false">
      <c r="A2950" s="13"/>
      <c r="B2950" s="10"/>
      <c r="C2950" s="10"/>
      <c r="D2950" s="14"/>
      <c r="E2950" s="11"/>
      <c r="F2950" s="15" t="str">
        <f aca="false">IF($B2950="","",IF(AND($D2950="",$E2950=""),"",IF(OR($D2950="",$E2950=""),0,ROUND($D2950*$E2950,0))))</f>
        <v/>
      </c>
      <c r="G2950" s="13"/>
      <c r="H2950" s="11"/>
      <c r="I2950" s="15" t="str">
        <f aca="false">IF($F2950="","",$F2950-IF($H2950="",0,$H2950))</f>
        <v/>
      </c>
      <c r="J2950" s="16" t="str">
        <f aca="true">IF(OR($A2950="",$I2950="",$I2950&lt;=0),"",TODAY()-$A2950)</f>
        <v/>
      </c>
      <c r="K2950" s="10"/>
    </row>
    <row r="2951" customFormat="false" ht="15" hidden="false" customHeight="true" outlineLevel="0" collapsed="false">
      <c r="A2951" s="13"/>
      <c r="B2951" s="10"/>
      <c r="C2951" s="10"/>
      <c r="D2951" s="14"/>
      <c r="E2951" s="11"/>
      <c r="F2951" s="15" t="str">
        <f aca="false">IF($B2951="","",IF(AND($D2951="",$E2951=""),"",IF(OR($D2951="",$E2951=""),0,ROUND($D2951*$E2951,0))))</f>
        <v/>
      </c>
      <c r="G2951" s="13"/>
      <c r="H2951" s="11"/>
      <c r="I2951" s="15" t="str">
        <f aca="false">IF($F2951="","",$F2951-IF($H2951="",0,$H2951))</f>
        <v/>
      </c>
      <c r="J2951" s="16" t="str">
        <f aca="true">IF(OR($A2951="",$I2951="",$I2951&lt;=0),"",TODAY()-$A2951)</f>
        <v/>
      </c>
      <c r="K2951" s="10"/>
    </row>
    <row r="2952" customFormat="false" ht="15" hidden="false" customHeight="true" outlineLevel="0" collapsed="false">
      <c r="A2952" s="13"/>
      <c r="B2952" s="10"/>
      <c r="C2952" s="10"/>
      <c r="D2952" s="14"/>
      <c r="E2952" s="11"/>
      <c r="F2952" s="15" t="str">
        <f aca="false">IF($B2952="","",IF(AND($D2952="",$E2952=""),"",IF(OR($D2952="",$E2952=""),0,ROUND($D2952*$E2952,0))))</f>
        <v/>
      </c>
      <c r="G2952" s="13"/>
      <c r="H2952" s="11"/>
      <c r="I2952" s="15" t="str">
        <f aca="false">IF($F2952="","",$F2952-IF($H2952="",0,$H2952))</f>
        <v/>
      </c>
      <c r="J2952" s="16" t="str">
        <f aca="true">IF(OR($A2952="",$I2952="",$I2952&lt;=0),"",TODAY()-$A2952)</f>
        <v/>
      </c>
      <c r="K2952" s="10"/>
    </row>
    <row r="2953" customFormat="false" ht="15" hidden="false" customHeight="true" outlineLevel="0" collapsed="false">
      <c r="A2953" s="13"/>
      <c r="B2953" s="10"/>
      <c r="C2953" s="10"/>
      <c r="D2953" s="14"/>
      <c r="E2953" s="11"/>
      <c r="F2953" s="15" t="str">
        <f aca="false">IF($B2953="","",IF(AND($D2953="",$E2953=""),"",IF(OR($D2953="",$E2953=""),0,ROUND($D2953*$E2953,0))))</f>
        <v/>
      </c>
      <c r="G2953" s="13"/>
      <c r="H2953" s="11"/>
      <c r="I2953" s="15" t="str">
        <f aca="false">IF($F2953="","",$F2953-IF($H2953="",0,$H2953))</f>
        <v/>
      </c>
      <c r="J2953" s="16" t="str">
        <f aca="true">IF(OR($A2953="",$I2953="",$I2953&lt;=0),"",TODAY()-$A2953)</f>
        <v/>
      </c>
      <c r="K2953" s="10"/>
    </row>
    <row r="2954" customFormat="false" ht="15" hidden="false" customHeight="true" outlineLevel="0" collapsed="false">
      <c r="A2954" s="13"/>
      <c r="B2954" s="10"/>
      <c r="C2954" s="10"/>
      <c r="D2954" s="14"/>
      <c r="E2954" s="11"/>
      <c r="F2954" s="15" t="str">
        <f aca="false">IF($B2954="","",IF(AND($D2954="",$E2954=""),"",IF(OR($D2954="",$E2954=""),0,ROUND($D2954*$E2954,0))))</f>
        <v/>
      </c>
      <c r="G2954" s="13"/>
      <c r="H2954" s="11"/>
      <c r="I2954" s="15" t="str">
        <f aca="false">IF($F2954="","",$F2954-IF($H2954="",0,$H2954))</f>
        <v/>
      </c>
      <c r="J2954" s="16" t="str">
        <f aca="true">IF(OR($A2954="",$I2954="",$I2954&lt;=0),"",TODAY()-$A2954)</f>
        <v/>
      </c>
      <c r="K2954" s="10"/>
    </row>
    <row r="2955" customFormat="false" ht="15" hidden="false" customHeight="true" outlineLevel="0" collapsed="false">
      <c r="A2955" s="13"/>
      <c r="B2955" s="10"/>
      <c r="C2955" s="10"/>
      <c r="D2955" s="14"/>
      <c r="E2955" s="11"/>
      <c r="F2955" s="15" t="str">
        <f aca="false">IF($B2955="","",IF(AND($D2955="",$E2955=""),"",IF(OR($D2955="",$E2955=""),0,ROUND($D2955*$E2955,0))))</f>
        <v/>
      </c>
      <c r="G2955" s="13"/>
      <c r="H2955" s="11"/>
      <c r="I2955" s="15" t="str">
        <f aca="false">IF($F2955="","",$F2955-IF($H2955="",0,$H2955))</f>
        <v/>
      </c>
      <c r="J2955" s="16" t="str">
        <f aca="true">IF(OR($A2955="",$I2955="",$I2955&lt;=0),"",TODAY()-$A2955)</f>
        <v/>
      </c>
      <c r="K2955" s="10"/>
    </row>
    <row r="2956" customFormat="false" ht="15" hidden="false" customHeight="true" outlineLevel="0" collapsed="false">
      <c r="A2956" s="13"/>
      <c r="B2956" s="10"/>
      <c r="C2956" s="10"/>
      <c r="D2956" s="14"/>
      <c r="E2956" s="11"/>
      <c r="F2956" s="15" t="str">
        <f aca="false">IF($B2956="","",IF(AND($D2956="",$E2956=""),"",IF(OR($D2956="",$E2956=""),0,ROUND($D2956*$E2956,0))))</f>
        <v/>
      </c>
      <c r="G2956" s="13"/>
      <c r="H2956" s="11"/>
      <c r="I2956" s="15" t="str">
        <f aca="false">IF($F2956="","",$F2956-IF($H2956="",0,$H2956))</f>
        <v/>
      </c>
      <c r="J2956" s="16" t="str">
        <f aca="true">IF(OR($A2956="",$I2956="",$I2956&lt;=0),"",TODAY()-$A2956)</f>
        <v/>
      </c>
      <c r="K2956" s="10"/>
    </row>
    <row r="2957" customFormat="false" ht="15" hidden="false" customHeight="true" outlineLevel="0" collapsed="false">
      <c r="A2957" s="13"/>
      <c r="B2957" s="10"/>
      <c r="C2957" s="10"/>
      <c r="D2957" s="14"/>
      <c r="E2957" s="11"/>
      <c r="F2957" s="15" t="str">
        <f aca="false">IF($B2957="","",IF(AND($D2957="",$E2957=""),"",IF(OR($D2957="",$E2957=""),0,ROUND($D2957*$E2957,0))))</f>
        <v/>
      </c>
      <c r="G2957" s="13"/>
      <c r="H2957" s="11"/>
      <c r="I2957" s="15" t="str">
        <f aca="false">IF($F2957="","",$F2957-IF($H2957="",0,$H2957))</f>
        <v/>
      </c>
      <c r="J2957" s="16" t="str">
        <f aca="true">IF(OR($A2957="",$I2957="",$I2957&lt;=0),"",TODAY()-$A2957)</f>
        <v/>
      </c>
      <c r="K2957" s="10"/>
    </row>
    <row r="2958" customFormat="false" ht="15" hidden="false" customHeight="true" outlineLevel="0" collapsed="false">
      <c r="A2958" s="13"/>
      <c r="B2958" s="10"/>
      <c r="C2958" s="10"/>
      <c r="D2958" s="14"/>
      <c r="E2958" s="11"/>
      <c r="F2958" s="15" t="str">
        <f aca="false">IF($B2958="","",IF(AND($D2958="",$E2958=""),"",IF(OR($D2958="",$E2958=""),0,ROUND($D2958*$E2958,0))))</f>
        <v/>
      </c>
      <c r="G2958" s="13"/>
      <c r="H2958" s="11"/>
      <c r="I2958" s="15" t="str">
        <f aca="false">IF($F2958="","",$F2958-IF($H2958="",0,$H2958))</f>
        <v/>
      </c>
      <c r="J2958" s="16" t="str">
        <f aca="true">IF(OR($A2958="",$I2958="",$I2958&lt;=0),"",TODAY()-$A2958)</f>
        <v/>
      </c>
      <c r="K2958" s="10"/>
    </row>
    <row r="2959" customFormat="false" ht="15" hidden="false" customHeight="true" outlineLevel="0" collapsed="false">
      <c r="A2959" s="13"/>
      <c r="B2959" s="10"/>
      <c r="C2959" s="10"/>
      <c r="D2959" s="14"/>
      <c r="E2959" s="11"/>
      <c r="F2959" s="15" t="str">
        <f aca="false">IF($B2959="","",IF(AND($D2959="",$E2959=""),"",IF(OR($D2959="",$E2959=""),0,ROUND($D2959*$E2959,0))))</f>
        <v/>
      </c>
      <c r="G2959" s="13"/>
      <c r="H2959" s="11"/>
      <c r="I2959" s="15" t="str">
        <f aca="false">IF($F2959="","",$F2959-IF($H2959="",0,$H2959))</f>
        <v/>
      </c>
      <c r="J2959" s="16" t="str">
        <f aca="true">IF(OR($A2959="",$I2959="",$I2959&lt;=0),"",TODAY()-$A2959)</f>
        <v/>
      </c>
      <c r="K2959" s="10"/>
    </row>
    <row r="2960" customFormat="false" ht="15" hidden="false" customHeight="true" outlineLevel="0" collapsed="false">
      <c r="A2960" s="13"/>
      <c r="B2960" s="10"/>
      <c r="C2960" s="10"/>
      <c r="D2960" s="14"/>
      <c r="E2960" s="11"/>
      <c r="F2960" s="15" t="str">
        <f aca="false">IF($B2960="","",IF(AND($D2960="",$E2960=""),"",IF(OR($D2960="",$E2960=""),0,ROUND($D2960*$E2960,0))))</f>
        <v/>
      </c>
      <c r="G2960" s="13"/>
      <c r="H2960" s="11"/>
      <c r="I2960" s="15" t="str">
        <f aca="false">IF($F2960="","",$F2960-IF($H2960="",0,$H2960))</f>
        <v/>
      </c>
      <c r="J2960" s="16" t="str">
        <f aca="true">IF(OR($A2960="",$I2960="",$I2960&lt;=0),"",TODAY()-$A2960)</f>
        <v/>
      </c>
      <c r="K2960" s="10"/>
    </row>
    <row r="2961" customFormat="false" ht="15" hidden="false" customHeight="true" outlineLevel="0" collapsed="false">
      <c r="A2961" s="13"/>
      <c r="B2961" s="10"/>
      <c r="C2961" s="10"/>
      <c r="D2961" s="14"/>
      <c r="E2961" s="11"/>
      <c r="F2961" s="15" t="str">
        <f aca="false">IF($B2961="","",IF(AND($D2961="",$E2961=""),"",IF(OR($D2961="",$E2961=""),0,ROUND($D2961*$E2961,0))))</f>
        <v/>
      </c>
      <c r="G2961" s="13"/>
      <c r="H2961" s="11"/>
      <c r="I2961" s="15" t="str">
        <f aca="false">IF($F2961="","",$F2961-IF($H2961="",0,$H2961))</f>
        <v/>
      </c>
      <c r="J2961" s="16" t="str">
        <f aca="true">IF(OR($A2961="",$I2961="",$I2961&lt;=0),"",TODAY()-$A2961)</f>
        <v/>
      </c>
      <c r="K2961" s="10"/>
    </row>
    <row r="2962" customFormat="false" ht="15" hidden="false" customHeight="true" outlineLevel="0" collapsed="false">
      <c r="A2962" s="13"/>
      <c r="B2962" s="10"/>
      <c r="C2962" s="10"/>
      <c r="D2962" s="14"/>
      <c r="E2962" s="11"/>
      <c r="F2962" s="15" t="str">
        <f aca="false">IF($B2962="","",IF(AND($D2962="",$E2962=""),"",IF(OR($D2962="",$E2962=""),0,ROUND($D2962*$E2962,0))))</f>
        <v/>
      </c>
      <c r="G2962" s="13"/>
      <c r="H2962" s="11"/>
      <c r="I2962" s="15" t="str">
        <f aca="false">IF($F2962="","",$F2962-IF($H2962="",0,$H2962))</f>
        <v/>
      </c>
      <c r="J2962" s="16" t="str">
        <f aca="true">IF(OR($A2962="",$I2962="",$I2962&lt;=0),"",TODAY()-$A2962)</f>
        <v/>
      </c>
      <c r="K2962" s="10"/>
    </row>
    <row r="2963" customFormat="false" ht="15" hidden="false" customHeight="true" outlineLevel="0" collapsed="false">
      <c r="A2963" s="13"/>
      <c r="B2963" s="10"/>
      <c r="C2963" s="10"/>
      <c r="D2963" s="14"/>
      <c r="E2963" s="11"/>
      <c r="F2963" s="15" t="str">
        <f aca="false">IF($B2963="","",IF(AND($D2963="",$E2963=""),"",IF(OR($D2963="",$E2963=""),0,ROUND($D2963*$E2963,0))))</f>
        <v/>
      </c>
      <c r="G2963" s="13"/>
      <c r="H2963" s="11"/>
      <c r="I2963" s="15" t="str">
        <f aca="false">IF($F2963="","",$F2963-IF($H2963="",0,$H2963))</f>
        <v/>
      </c>
      <c r="J2963" s="16" t="str">
        <f aca="true">IF(OR($A2963="",$I2963="",$I2963&lt;=0),"",TODAY()-$A2963)</f>
        <v/>
      </c>
      <c r="K2963" s="10"/>
    </row>
    <row r="2964" customFormat="false" ht="15" hidden="false" customHeight="true" outlineLevel="0" collapsed="false">
      <c r="A2964" s="13"/>
      <c r="B2964" s="10"/>
      <c r="C2964" s="10"/>
      <c r="D2964" s="14"/>
      <c r="E2964" s="11"/>
      <c r="F2964" s="15" t="str">
        <f aca="false">IF($B2964="","",IF(AND($D2964="",$E2964=""),"",IF(OR($D2964="",$E2964=""),0,ROUND($D2964*$E2964,0))))</f>
        <v/>
      </c>
      <c r="G2964" s="13"/>
      <c r="H2964" s="11"/>
      <c r="I2964" s="15" t="str">
        <f aca="false">IF($F2964="","",$F2964-IF($H2964="",0,$H2964))</f>
        <v/>
      </c>
      <c r="J2964" s="16" t="str">
        <f aca="true">IF(OR($A2964="",$I2964="",$I2964&lt;=0),"",TODAY()-$A2964)</f>
        <v/>
      </c>
      <c r="K2964" s="10"/>
    </row>
    <row r="2965" customFormat="false" ht="15" hidden="false" customHeight="true" outlineLevel="0" collapsed="false">
      <c r="A2965" s="13"/>
      <c r="B2965" s="10"/>
      <c r="C2965" s="10"/>
      <c r="D2965" s="14"/>
      <c r="E2965" s="11"/>
      <c r="F2965" s="15" t="str">
        <f aca="false">IF($B2965="","",IF(AND($D2965="",$E2965=""),"",IF(OR($D2965="",$E2965=""),0,ROUND($D2965*$E2965,0))))</f>
        <v/>
      </c>
      <c r="G2965" s="13"/>
      <c r="H2965" s="11"/>
      <c r="I2965" s="15" t="str">
        <f aca="false">IF($F2965="","",$F2965-IF($H2965="",0,$H2965))</f>
        <v/>
      </c>
      <c r="J2965" s="16" t="str">
        <f aca="true">IF(OR($A2965="",$I2965="",$I2965&lt;=0),"",TODAY()-$A2965)</f>
        <v/>
      </c>
      <c r="K2965" s="10"/>
    </row>
    <row r="2966" customFormat="false" ht="15" hidden="false" customHeight="true" outlineLevel="0" collapsed="false">
      <c r="A2966" s="13"/>
      <c r="B2966" s="10"/>
      <c r="C2966" s="10"/>
      <c r="D2966" s="14"/>
      <c r="E2966" s="11"/>
      <c r="F2966" s="15" t="str">
        <f aca="false">IF($B2966="","",IF(AND($D2966="",$E2966=""),"",IF(OR($D2966="",$E2966=""),0,ROUND($D2966*$E2966,0))))</f>
        <v/>
      </c>
      <c r="G2966" s="13"/>
      <c r="H2966" s="11"/>
      <c r="I2966" s="15" t="str">
        <f aca="false">IF($F2966="","",$F2966-IF($H2966="",0,$H2966))</f>
        <v/>
      </c>
      <c r="J2966" s="16" t="str">
        <f aca="true">IF(OR($A2966="",$I2966="",$I2966&lt;=0),"",TODAY()-$A2966)</f>
        <v/>
      </c>
      <c r="K2966" s="10"/>
    </row>
    <row r="2967" customFormat="false" ht="15" hidden="false" customHeight="true" outlineLevel="0" collapsed="false">
      <c r="A2967" s="13"/>
      <c r="B2967" s="10"/>
      <c r="C2967" s="10"/>
      <c r="D2967" s="14"/>
      <c r="E2967" s="11"/>
      <c r="F2967" s="15" t="str">
        <f aca="false">IF($B2967="","",IF(AND($D2967="",$E2967=""),"",IF(OR($D2967="",$E2967=""),0,ROUND($D2967*$E2967,0))))</f>
        <v/>
      </c>
      <c r="G2967" s="13"/>
      <c r="H2967" s="11"/>
      <c r="I2967" s="15" t="str">
        <f aca="false">IF($F2967="","",$F2967-IF($H2967="",0,$H2967))</f>
        <v/>
      </c>
      <c r="J2967" s="16" t="str">
        <f aca="true">IF(OR($A2967="",$I2967="",$I2967&lt;=0),"",TODAY()-$A2967)</f>
        <v/>
      </c>
      <c r="K2967" s="10"/>
    </row>
    <row r="2968" customFormat="false" ht="15" hidden="false" customHeight="true" outlineLevel="0" collapsed="false">
      <c r="A2968" s="13"/>
      <c r="B2968" s="10"/>
      <c r="C2968" s="10"/>
      <c r="D2968" s="14"/>
      <c r="E2968" s="11"/>
      <c r="F2968" s="15" t="str">
        <f aca="false">IF($B2968="","",IF(AND($D2968="",$E2968=""),"",IF(OR($D2968="",$E2968=""),0,ROUND($D2968*$E2968,0))))</f>
        <v/>
      </c>
      <c r="G2968" s="13"/>
      <c r="H2968" s="11"/>
      <c r="I2968" s="15" t="str">
        <f aca="false">IF($F2968="","",$F2968-IF($H2968="",0,$H2968))</f>
        <v/>
      </c>
      <c r="J2968" s="16" t="str">
        <f aca="true">IF(OR($A2968="",$I2968="",$I2968&lt;=0),"",TODAY()-$A2968)</f>
        <v/>
      </c>
      <c r="K2968" s="10"/>
    </row>
    <row r="2969" customFormat="false" ht="15" hidden="false" customHeight="true" outlineLevel="0" collapsed="false">
      <c r="A2969" s="13"/>
      <c r="B2969" s="10"/>
      <c r="C2969" s="10"/>
      <c r="D2969" s="14"/>
      <c r="E2969" s="11"/>
      <c r="F2969" s="15" t="str">
        <f aca="false">IF($B2969="","",IF(AND($D2969="",$E2969=""),"",IF(OR($D2969="",$E2969=""),0,ROUND($D2969*$E2969,0))))</f>
        <v/>
      </c>
      <c r="G2969" s="13"/>
      <c r="H2969" s="11"/>
      <c r="I2969" s="15" t="str">
        <f aca="false">IF($F2969="","",$F2969-IF($H2969="",0,$H2969))</f>
        <v/>
      </c>
      <c r="J2969" s="16" t="str">
        <f aca="true">IF(OR($A2969="",$I2969="",$I2969&lt;=0),"",TODAY()-$A2969)</f>
        <v/>
      </c>
      <c r="K2969" s="10"/>
    </row>
    <row r="2970" customFormat="false" ht="15" hidden="false" customHeight="true" outlineLevel="0" collapsed="false">
      <c r="A2970" s="13"/>
      <c r="B2970" s="10"/>
      <c r="C2970" s="10"/>
      <c r="D2970" s="14"/>
      <c r="E2970" s="11"/>
      <c r="F2970" s="15" t="str">
        <f aca="false">IF($B2970="","",IF(AND($D2970="",$E2970=""),"",IF(OR($D2970="",$E2970=""),0,ROUND($D2970*$E2970,0))))</f>
        <v/>
      </c>
      <c r="G2970" s="13"/>
      <c r="H2970" s="11"/>
      <c r="I2970" s="15" t="str">
        <f aca="false">IF($F2970="","",$F2970-IF($H2970="",0,$H2970))</f>
        <v/>
      </c>
      <c r="J2970" s="16" t="str">
        <f aca="true">IF(OR($A2970="",$I2970="",$I2970&lt;=0),"",TODAY()-$A2970)</f>
        <v/>
      </c>
      <c r="K2970" s="10"/>
    </row>
    <row r="2971" customFormat="false" ht="15" hidden="false" customHeight="true" outlineLevel="0" collapsed="false">
      <c r="A2971" s="13"/>
      <c r="B2971" s="10"/>
      <c r="C2971" s="10"/>
      <c r="D2971" s="14"/>
      <c r="E2971" s="11"/>
      <c r="F2971" s="15" t="str">
        <f aca="false">IF($B2971="","",IF(AND($D2971="",$E2971=""),"",IF(OR($D2971="",$E2971=""),0,ROUND($D2971*$E2971,0))))</f>
        <v/>
      </c>
      <c r="G2971" s="13"/>
      <c r="H2971" s="11"/>
      <c r="I2971" s="15" t="str">
        <f aca="false">IF($F2971="","",$F2971-IF($H2971="",0,$H2971))</f>
        <v/>
      </c>
      <c r="J2971" s="16" t="str">
        <f aca="true">IF(OR($A2971="",$I2971="",$I2971&lt;=0),"",TODAY()-$A2971)</f>
        <v/>
      </c>
      <c r="K2971" s="10"/>
    </row>
    <row r="2972" customFormat="false" ht="15" hidden="false" customHeight="true" outlineLevel="0" collapsed="false">
      <c r="A2972" s="13"/>
      <c r="B2972" s="10"/>
      <c r="C2972" s="10"/>
      <c r="D2972" s="14"/>
      <c r="E2972" s="11"/>
      <c r="F2972" s="15" t="str">
        <f aca="false">IF($B2972="","",IF(AND($D2972="",$E2972=""),"",IF(OR($D2972="",$E2972=""),0,ROUND($D2972*$E2972,0))))</f>
        <v/>
      </c>
      <c r="G2972" s="13"/>
      <c r="H2972" s="11"/>
      <c r="I2972" s="15" t="str">
        <f aca="false">IF($F2972="","",$F2972-IF($H2972="",0,$H2972))</f>
        <v/>
      </c>
      <c r="J2972" s="16" t="str">
        <f aca="true">IF(OR($A2972="",$I2972="",$I2972&lt;=0),"",TODAY()-$A2972)</f>
        <v/>
      </c>
      <c r="K2972" s="10"/>
    </row>
    <row r="2973" customFormat="false" ht="15" hidden="false" customHeight="true" outlineLevel="0" collapsed="false">
      <c r="A2973" s="13"/>
      <c r="B2973" s="10"/>
      <c r="C2973" s="10"/>
      <c r="D2973" s="14"/>
      <c r="E2973" s="11"/>
      <c r="F2973" s="15" t="str">
        <f aca="false">IF($B2973="","",IF(AND($D2973="",$E2973=""),"",IF(OR($D2973="",$E2973=""),0,ROUND($D2973*$E2973,0))))</f>
        <v/>
      </c>
      <c r="G2973" s="13"/>
      <c r="H2973" s="11"/>
      <c r="I2973" s="15" t="str">
        <f aca="false">IF($F2973="","",$F2973-IF($H2973="",0,$H2973))</f>
        <v/>
      </c>
      <c r="J2973" s="16" t="str">
        <f aca="true">IF(OR($A2973="",$I2973="",$I2973&lt;=0),"",TODAY()-$A2973)</f>
        <v/>
      </c>
      <c r="K2973" s="10"/>
    </row>
    <row r="2974" customFormat="false" ht="15" hidden="false" customHeight="true" outlineLevel="0" collapsed="false">
      <c r="A2974" s="13"/>
      <c r="B2974" s="10"/>
      <c r="C2974" s="10"/>
      <c r="D2974" s="14"/>
      <c r="E2974" s="11"/>
      <c r="F2974" s="15" t="str">
        <f aca="false">IF($B2974="","",IF(AND($D2974="",$E2974=""),"",IF(OR($D2974="",$E2974=""),0,ROUND($D2974*$E2974,0))))</f>
        <v/>
      </c>
      <c r="G2974" s="13"/>
      <c r="H2974" s="11"/>
      <c r="I2974" s="15" t="str">
        <f aca="false">IF($F2974="","",$F2974-IF($H2974="",0,$H2974))</f>
        <v/>
      </c>
      <c r="J2974" s="16" t="str">
        <f aca="true">IF(OR($A2974="",$I2974="",$I2974&lt;=0),"",TODAY()-$A2974)</f>
        <v/>
      </c>
      <c r="K2974" s="10"/>
    </row>
    <row r="2975" customFormat="false" ht="15" hidden="false" customHeight="true" outlineLevel="0" collapsed="false">
      <c r="A2975" s="13"/>
      <c r="B2975" s="10"/>
      <c r="C2975" s="10"/>
      <c r="D2975" s="14"/>
      <c r="E2975" s="11"/>
      <c r="F2975" s="15" t="str">
        <f aca="false">IF($B2975="","",IF(AND($D2975="",$E2975=""),"",IF(OR($D2975="",$E2975=""),0,ROUND($D2975*$E2975,0))))</f>
        <v/>
      </c>
      <c r="G2975" s="13"/>
      <c r="H2975" s="11"/>
      <c r="I2975" s="15" t="str">
        <f aca="false">IF($F2975="","",$F2975-IF($H2975="",0,$H2975))</f>
        <v/>
      </c>
      <c r="J2975" s="16" t="str">
        <f aca="true">IF(OR($A2975="",$I2975="",$I2975&lt;=0),"",TODAY()-$A2975)</f>
        <v/>
      </c>
      <c r="K2975" s="10"/>
    </row>
    <row r="2976" customFormat="false" ht="15" hidden="false" customHeight="true" outlineLevel="0" collapsed="false">
      <c r="A2976" s="13"/>
      <c r="B2976" s="10"/>
      <c r="C2976" s="10"/>
      <c r="D2976" s="14"/>
      <c r="E2976" s="11"/>
      <c r="F2976" s="15" t="str">
        <f aca="false">IF($B2976="","",IF(AND($D2976="",$E2976=""),"",IF(OR($D2976="",$E2976=""),0,ROUND($D2976*$E2976,0))))</f>
        <v/>
      </c>
      <c r="G2976" s="13"/>
      <c r="H2976" s="11"/>
      <c r="I2976" s="15" t="str">
        <f aca="false">IF($F2976="","",$F2976-IF($H2976="",0,$H2976))</f>
        <v/>
      </c>
      <c r="J2976" s="16" t="str">
        <f aca="true">IF(OR($A2976="",$I2976="",$I2976&lt;=0),"",TODAY()-$A2976)</f>
        <v/>
      </c>
      <c r="K2976" s="10"/>
    </row>
    <row r="2977" customFormat="false" ht="15" hidden="false" customHeight="true" outlineLevel="0" collapsed="false">
      <c r="A2977" s="13"/>
      <c r="B2977" s="10"/>
      <c r="C2977" s="10"/>
      <c r="D2977" s="14"/>
      <c r="E2977" s="11"/>
      <c r="F2977" s="15" t="str">
        <f aca="false">IF($B2977="","",IF(AND($D2977="",$E2977=""),"",IF(OR($D2977="",$E2977=""),0,ROUND($D2977*$E2977,0))))</f>
        <v/>
      </c>
      <c r="G2977" s="13"/>
      <c r="H2977" s="11"/>
      <c r="I2977" s="15" t="str">
        <f aca="false">IF($F2977="","",$F2977-IF($H2977="",0,$H2977))</f>
        <v/>
      </c>
      <c r="J2977" s="16" t="str">
        <f aca="true">IF(OR($A2977="",$I2977="",$I2977&lt;=0),"",TODAY()-$A2977)</f>
        <v/>
      </c>
      <c r="K2977" s="10"/>
    </row>
    <row r="2978" customFormat="false" ht="15" hidden="false" customHeight="true" outlineLevel="0" collapsed="false">
      <c r="A2978" s="13"/>
      <c r="B2978" s="10"/>
      <c r="C2978" s="10"/>
      <c r="D2978" s="14"/>
      <c r="E2978" s="11"/>
      <c r="F2978" s="15" t="str">
        <f aca="false">IF($B2978="","",IF(AND($D2978="",$E2978=""),"",IF(OR($D2978="",$E2978=""),0,ROUND($D2978*$E2978,0))))</f>
        <v/>
      </c>
      <c r="G2978" s="13"/>
      <c r="H2978" s="11"/>
      <c r="I2978" s="15" t="str">
        <f aca="false">IF($F2978="","",$F2978-IF($H2978="",0,$H2978))</f>
        <v/>
      </c>
      <c r="J2978" s="16" t="str">
        <f aca="true">IF(OR($A2978="",$I2978="",$I2978&lt;=0),"",TODAY()-$A2978)</f>
        <v/>
      </c>
      <c r="K2978" s="10"/>
    </row>
    <row r="2979" customFormat="false" ht="15" hidden="false" customHeight="true" outlineLevel="0" collapsed="false">
      <c r="A2979" s="13"/>
      <c r="B2979" s="10"/>
      <c r="C2979" s="10"/>
      <c r="D2979" s="14"/>
      <c r="E2979" s="11"/>
      <c r="F2979" s="15" t="str">
        <f aca="false">IF($B2979="","",IF(AND($D2979="",$E2979=""),"",IF(OR($D2979="",$E2979=""),0,ROUND($D2979*$E2979,0))))</f>
        <v/>
      </c>
      <c r="G2979" s="13"/>
      <c r="H2979" s="11"/>
      <c r="I2979" s="15" t="str">
        <f aca="false">IF($F2979="","",$F2979-IF($H2979="",0,$H2979))</f>
        <v/>
      </c>
      <c r="J2979" s="16" t="str">
        <f aca="true">IF(OR($A2979="",$I2979="",$I2979&lt;=0),"",TODAY()-$A2979)</f>
        <v/>
      </c>
      <c r="K2979" s="10"/>
    </row>
    <row r="2980" customFormat="false" ht="15" hidden="false" customHeight="true" outlineLevel="0" collapsed="false">
      <c r="A2980" s="13"/>
      <c r="B2980" s="10"/>
      <c r="C2980" s="10"/>
      <c r="D2980" s="14"/>
      <c r="E2980" s="11"/>
      <c r="F2980" s="15" t="str">
        <f aca="false">IF($B2980="","",IF(AND($D2980="",$E2980=""),"",IF(OR($D2980="",$E2980=""),0,ROUND($D2980*$E2980,0))))</f>
        <v/>
      </c>
      <c r="G2980" s="13"/>
      <c r="H2980" s="11"/>
      <c r="I2980" s="15" t="str">
        <f aca="false">IF($F2980="","",$F2980-IF($H2980="",0,$H2980))</f>
        <v/>
      </c>
      <c r="J2980" s="16" t="str">
        <f aca="true">IF(OR($A2980="",$I2980="",$I2980&lt;=0),"",TODAY()-$A2980)</f>
        <v/>
      </c>
      <c r="K2980" s="10"/>
    </row>
    <row r="2981" customFormat="false" ht="15" hidden="false" customHeight="true" outlineLevel="0" collapsed="false">
      <c r="A2981" s="13"/>
      <c r="B2981" s="10"/>
      <c r="C2981" s="10"/>
      <c r="D2981" s="14"/>
      <c r="E2981" s="11"/>
      <c r="F2981" s="15" t="str">
        <f aca="false">IF($B2981="","",IF(AND($D2981="",$E2981=""),"",IF(OR($D2981="",$E2981=""),0,ROUND($D2981*$E2981,0))))</f>
        <v/>
      </c>
      <c r="G2981" s="13"/>
      <c r="H2981" s="11"/>
      <c r="I2981" s="15" t="str">
        <f aca="false">IF($F2981="","",$F2981-IF($H2981="",0,$H2981))</f>
        <v/>
      </c>
      <c r="J2981" s="16" t="str">
        <f aca="true">IF(OR($A2981="",$I2981="",$I2981&lt;=0),"",TODAY()-$A2981)</f>
        <v/>
      </c>
      <c r="K2981" s="10"/>
    </row>
    <row r="2982" customFormat="false" ht="15" hidden="false" customHeight="true" outlineLevel="0" collapsed="false">
      <c r="A2982" s="13"/>
      <c r="B2982" s="10"/>
      <c r="C2982" s="10"/>
      <c r="D2982" s="14"/>
      <c r="E2982" s="11"/>
      <c r="F2982" s="15" t="str">
        <f aca="false">IF($B2982="","",IF(AND($D2982="",$E2982=""),"",IF(OR($D2982="",$E2982=""),0,ROUND($D2982*$E2982,0))))</f>
        <v/>
      </c>
      <c r="G2982" s="13"/>
      <c r="H2982" s="11"/>
      <c r="I2982" s="15" t="str">
        <f aca="false">IF($F2982="","",$F2982-IF($H2982="",0,$H2982))</f>
        <v/>
      </c>
      <c r="J2982" s="16" t="str">
        <f aca="true">IF(OR($A2982="",$I2982="",$I2982&lt;=0),"",TODAY()-$A2982)</f>
        <v/>
      </c>
      <c r="K2982" s="10"/>
    </row>
    <row r="2983" customFormat="false" ht="15" hidden="false" customHeight="true" outlineLevel="0" collapsed="false">
      <c r="A2983" s="13"/>
      <c r="B2983" s="10"/>
      <c r="C2983" s="10"/>
      <c r="D2983" s="14"/>
      <c r="E2983" s="11"/>
      <c r="F2983" s="15" t="str">
        <f aca="false">IF($B2983="","",IF(AND($D2983="",$E2983=""),"",IF(OR($D2983="",$E2983=""),0,ROUND($D2983*$E2983,0))))</f>
        <v/>
      </c>
      <c r="G2983" s="13"/>
      <c r="H2983" s="11"/>
      <c r="I2983" s="15" t="str">
        <f aca="false">IF($F2983="","",$F2983-IF($H2983="",0,$H2983))</f>
        <v/>
      </c>
      <c r="J2983" s="16" t="str">
        <f aca="true">IF(OR($A2983="",$I2983="",$I2983&lt;=0),"",TODAY()-$A2983)</f>
        <v/>
      </c>
      <c r="K2983" s="10"/>
    </row>
    <row r="2984" customFormat="false" ht="15" hidden="false" customHeight="true" outlineLevel="0" collapsed="false">
      <c r="A2984" s="13"/>
      <c r="B2984" s="10"/>
      <c r="C2984" s="10"/>
      <c r="D2984" s="14"/>
      <c r="E2984" s="11"/>
      <c r="F2984" s="15" t="str">
        <f aca="false">IF($B2984="","",IF(AND($D2984="",$E2984=""),"",IF(OR($D2984="",$E2984=""),0,ROUND($D2984*$E2984,0))))</f>
        <v/>
      </c>
      <c r="G2984" s="13"/>
      <c r="H2984" s="11"/>
      <c r="I2984" s="15" t="str">
        <f aca="false">IF($F2984="","",$F2984-IF($H2984="",0,$H2984))</f>
        <v/>
      </c>
      <c r="J2984" s="16" t="str">
        <f aca="true">IF(OR($A2984="",$I2984="",$I2984&lt;=0),"",TODAY()-$A2984)</f>
        <v/>
      </c>
      <c r="K2984" s="10"/>
    </row>
    <row r="2985" customFormat="false" ht="15" hidden="false" customHeight="true" outlineLevel="0" collapsed="false">
      <c r="A2985" s="13"/>
      <c r="B2985" s="10"/>
      <c r="C2985" s="10"/>
      <c r="D2985" s="14"/>
      <c r="E2985" s="11"/>
      <c r="F2985" s="15" t="str">
        <f aca="false">IF($B2985="","",IF(AND($D2985="",$E2985=""),"",IF(OR($D2985="",$E2985=""),0,ROUND($D2985*$E2985,0))))</f>
        <v/>
      </c>
      <c r="G2985" s="13"/>
      <c r="H2985" s="11"/>
      <c r="I2985" s="15" t="str">
        <f aca="false">IF($F2985="","",$F2985-IF($H2985="",0,$H2985))</f>
        <v/>
      </c>
      <c r="J2985" s="16" t="str">
        <f aca="true">IF(OR($A2985="",$I2985="",$I2985&lt;=0),"",TODAY()-$A2985)</f>
        <v/>
      </c>
      <c r="K2985" s="10"/>
    </row>
    <row r="2986" customFormat="false" ht="15" hidden="false" customHeight="true" outlineLevel="0" collapsed="false">
      <c r="A2986" s="13"/>
      <c r="B2986" s="10"/>
      <c r="C2986" s="10"/>
      <c r="D2986" s="14"/>
      <c r="E2986" s="11"/>
      <c r="F2986" s="15" t="str">
        <f aca="false">IF($B2986="","",IF(AND($D2986="",$E2986=""),"",IF(OR($D2986="",$E2986=""),0,ROUND($D2986*$E2986,0))))</f>
        <v/>
      </c>
      <c r="G2986" s="13"/>
      <c r="H2986" s="11"/>
      <c r="I2986" s="15" t="str">
        <f aca="false">IF($F2986="","",$F2986-IF($H2986="",0,$H2986))</f>
        <v/>
      </c>
      <c r="J2986" s="16" t="str">
        <f aca="true">IF(OR($A2986="",$I2986="",$I2986&lt;=0),"",TODAY()-$A2986)</f>
        <v/>
      </c>
      <c r="K2986" s="10"/>
    </row>
    <row r="2987" customFormat="false" ht="15" hidden="false" customHeight="true" outlineLevel="0" collapsed="false">
      <c r="A2987" s="13"/>
      <c r="B2987" s="10"/>
      <c r="C2987" s="10"/>
      <c r="D2987" s="14"/>
      <c r="E2987" s="11"/>
      <c r="F2987" s="15" t="str">
        <f aca="false">IF($B2987="","",IF(AND($D2987="",$E2987=""),"",IF(OR($D2987="",$E2987=""),0,ROUND($D2987*$E2987,0))))</f>
        <v/>
      </c>
      <c r="G2987" s="13"/>
      <c r="H2987" s="11"/>
      <c r="I2987" s="15" t="str">
        <f aca="false">IF($F2987="","",$F2987-IF($H2987="",0,$H2987))</f>
        <v/>
      </c>
      <c r="J2987" s="16" t="str">
        <f aca="true">IF(OR($A2987="",$I2987="",$I2987&lt;=0),"",TODAY()-$A2987)</f>
        <v/>
      </c>
      <c r="K2987" s="10"/>
    </row>
    <row r="2988" customFormat="false" ht="15" hidden="false" customHeight="true" outlineLevel="0" collapsed="false">
      <c r="A2988" s="13"/>
      <c r="B2988" s="10"/>
      <c r="C2988" s="10"/>
      <c r="D2988" s="14"/>
      <c r="E2988" s="11"/>
      <c r="F2988" s="15" t="str">
        <f aca="false">IF($B2988="","",IF(AND($D2988="",$E2988=""),"",IF(OR($D2988="",$E2988=""),0,ROUND($D2988*$E2988,0))))</f>
        <v/>
      </c>
      <c r="G2988" s="13"/>
      <c r="H2988" s="11"/>
      <c r="I2988" s="15" t="str">
        <f aca="false">IF($F2988="","",$F2988-IF($H2988="",0,$H2988))</f>
        <v/>
      </c>
      <c r="J2988" s="16" t="str">
        <f aca="true">IF(OR($A2988="",$I2988="",$I2988&lt;=0),"",TODAY()-$A2988)</f>
        <v/>
      </c>
      <c r="K2988" s="10"/>
    </row>
    <row r="2989" customFormat="false" ht="15" hidden="false" customHeight="true" outlineLevel="0" collapsed="false">
      <c r="A2989" s="13"/>
      <c r="B2989" s="10"/>
      <c r="C2989" s="10"/>
      <c r="D2989" s="14"/>
      <c r="E2989" s="11"/>
      <c r="F2989" s="15" t="str">
        <f aca="false">IF($B2989="","",IF(AND($D2989="",$E2989=""),"",IF(OR($D2989="",$E2989=""),0,ROUND($D2989*$E2989,0))))</f>
        <v/>
      </c>
      <c r="G2989" s="13"/>
      <c r="H2989" s="11"/>
      <c r="I2989" s="15" t="str">
        <f aca="false">IF($F2989="","",$F2989-IF($H2989="",0,$H2989))</f>
        <v/>
      </c>
      <c r="J2989" s="16" t="str">
        <f aca="true">IF(OR($A2989="",$I2989="",$I2989&lt;=0),"",TODAY()-$A2989)</f>
        <v/>
      </c>
      <c r="K2989" s="10"/>
    </row>
    <row r="2990" customFormat="false" ht="15" hidden="false" customHeight="true" outlineLevel="0" collapsed="false">
      <c r="A2990" s="13"/>
      <c r="B2990" s="10"/>
      <c r="C2990" s="10"/>
      <c r="D2990" s="14"/>
      <c r="E2990" s="11"/>
      <c r="F2990" s="15" t="str">
        <f aca="false">IF($B2990="","",IF(AND($D2990="",$E2990=""),"",IF(OR($D2990="",$E2990=""),0,ROUND($D2990*$E2990,0))))</f>
        <v/>
      </c>
      <c r="G2990" s="13"/>
      <c r="H2990" s="11"/>
      <c r="I2990" s="15" t="str">
        <f aca="false">IF($F2990="","",$F2990-IF($H2990="",0,$H2990))</f>
        <v/>
      </c>
      <c r="J2990" s="16" t="str">
        <f aca="true">IF(OR($A2990="",$I2990="",$I2990&lt;=0),"",TODAY()-$A2990)</f>
        <v/>
      </c>
      <c r="K2990" s="10"/>
    </row>
    <row r="2991" customFormat="false" ht="15" hidden="false" customHeight="true" outlineLevel="0" collapsed="false">
      <c r="A2991" s="13"/>
      <c r="B2991" s="10"/>
      <c r="C2991" s="10"/>
      <c r="D2991" s="14"/>
      <c r="E2991" s="11"/>
      <c r="F2991" s="15" t="str">
        <f aca="false">IF($B2991="","",IF(AND($D2991="",$E2991=""),"",IF(OR($D2991="",$E2991=""),0,ROUND($D2991*$E2991,0))))</f>
        <v/>
      </c>
      <c r="G2991" s="13"/>
      <c r="H2991" s="11"/>
      <c r="I2991" s="15" t="str">
        <f aca="false">IF($F2991="","",$F2991-IF($H2991="",0,$H2991))</f>
        <v/>
      </c>
      <c r="J2991" s="16" t="str">
        <f aca="true">IF(OR($A2991="",$I2991="",$I2991&lt;=0),"",TODAY()-$A2991)</f>
        <v/>
      </c>
      <c r="K2991" s="10"/>
    </row>
    <row r="2992" customFormat="false" ht="15" hidden="false" customHeight="true" outlineLevel="0" collapsed="false">
      <c r="A2992" s="13"/>
      <c r="B2992" s="10"/>
      <c r="C2992" s="10"/>
      <c r="D2992" s="14"/>
      <c r="E2992" s="11"/>
      <c r="F2992" s="15" t="str">
        <f aca="false">IF($B2992="","",IF(AND($D2992="",$E2992=""),"",IF(OR($D2992="",$E2992=""),0,ROUND($D2992*$E2992,0))))</f>
        <v/>
      </c>
      <c r="G2992" s="13"/>
      <c r="H2992" s="11"/>
      <c r="I2992" s="15" t="str">
        <f aca="false">IF($F2992="","",$F2992-IF($H2992="",0,$H2992))</f>
        <v/>
      </c>
      <c r="J2992" s="16" t="str">
        <f aca="true">IF(OR($A2992="",$I2992="",$I2992&lt;=0),"",TODAY()-$A2992)</f>
        <v/>
      </c>
      <c r="K2992" s="10"/>
    </row>
    <row r="2993" customFormat="false" ht="15" hidden="false" customHeight="true" outlineLevel="0" collapsed="false">
      <c r="A2993" s="13"/>
      <c r="B2993" s="10"/>
      <c r="C2993" s="10"/>
      <c r="D2993" s="14"/>
      <c r="E2993" s="11"/>
      <c r="F2993" s="15" t="str">
        <f aca="false">IF($B2993="","",IF(AND($D2993="",$E2993=""),"",IF(OR($D2993="",$E2993=""),0,ROUND($D2993*$E2993,0))))</f>
        <v/>
      </c>
      <c r="G2993" s="13"/>
      <c r="H2993" s="11"/>
      <c r="I2993" s="15" t="str">
        <f aca="false">IF($F2993="","",$F2993-IF($H2993="",0,$H2993))</f>
        <v/>
      </c>
      <c r="J2993" s="16" t="str">
        <f aca="true">IF(OR($A2993="",$I2993="",$I2993&lt;=0),"",TODAY()-$A2993)</f>
        <v/>
      </c>
      <c r="K2993" s="10"/>
    </row>
    <row r="2994" customFormat="false" ht="15" hidden="false" customHeight="true" outlineLevel="0" collapsed="false">
      <c r="A2994" s="13"/>
      <c r="B2994" s="10"/>
      <c r="C2994" s="10"/>
      <c r="D2994" s="14"/>
      <c r="E2994" s="11"/>
      <c r="F2994" s="15" t="str">
        <f aca="false">IF($B2994="","",IF(AND($D2994="",$E2994=""),"",IF(OR($D2994="",$E2994=""),0,ROUND($D2994*$E2994,0))))</f>
        <v/>
      </c>
      <c r="G2994" s="13"/>
      <c r="H2994" s="11"/>
      <c r="I2994" s="15" t="str">
        <f aca="false">IF($F2994="","",$F2994-IF($H2994="",0,$H2994))</f>
        <v/>
      </c>
      <c r="J2994" s="16" t="str">
        <f aca="true">IF(OR($A2994="",$I2994="",$I2994&lt;=0),"",TODAY()-$A2994)</f>
        <v/>
      </c>
      <c r="K2994" s="10"/>
    </row>
    <row r="2995" customFormat="false" ht="15" hidden="false" customHeight="true" outlineLevel="0" collapsed="false">
      <c r="A2995" s="13"/>
      <c r="B2995" s="10"/>
      <c r="C2995" s="10"/>
      <c r="D2995" s="14"/>
      <c r="E2995" s="11"/>
      <c r="F2995" s="15" t="str">
        <f aca="false">IF($B2995="","",IF(AND($D2995="",$E2995=""),"",IF(OR($D2995="",$E2995=""),0,ROUND($D2995*$E2995,0))))</f>
        <v/>
      </c>
      <c r="G2995" s="13"/>
      <c r="H2995" s="11"/>
      <c r="I2995" s="15" t="str">
        <f aca="false">IF($F2995="","",$F2995-IF($H2995="",0,$H2995))</f>
        <v/>
      </c>
      <c r="J2995" s="16" t="str">
        <f aca="true">IF(OR($A2995="",$I2995="",$I2995&lt;=0),"",TODAY()-$A2995)</f>
        <v/>
      </c>
      <c r="K2995" s="10"/>
    </row>
    <row r="2996" customFormat="false" ht="15" hidden="false" customHeight="true" outlineLevel="0" collapsed="false">
      <c r="A2996" s="13"/>
      <c r="B2996" s="10"/>
      <c r="C2996" s="10"/>
      <c r="D2996" s="14"/>
      <c r="E2996" s="11"/>
      <c r="F2996" s="15" t="str">
        <f aca="false">IF($B2996="","",IF(AND($D2996="",$E2996=""),"",IF(OR($D2996="",$E2996=""),0,ROUND($D2996*$E2996,0))))</f>
        <v/>
      </c>
      <c r="G2996" s="13"/>
      <c r="H2996" s="11"/>
      <c r="I2996" s="15" t="str">
        <f aca="false">IF($F2996="","",$F2996-IF($H2996="",0,$H2996))</f>
        <v/>
      </c>
      <c r="J2996" s="16" t="str">
        <f aca="true">IF(OR($A2996="",$I2996="",$I2996&lt;=0),"",TODAY()-$A2996)</f>
        <v/>
      </c>
      <c r="K2996" s="10"/>
    </row>
    <row r="2997" customFormat="false" ht="15" hidden="false" customHeight="true" outlineLevel="0" collapsed="false">
      <c r="A2997" s="13"/>
      <c r="B2997" s="10"/>
      <c r="C2997" s="10"/>
      <c r="D2997" s="14"/>
      <c r="E2997" s="11"/>
      <c r="F2997" s="15" t="str">
        <f aca="false">IF($B2997="","",IF(AND($D2997="",$E2997=""),"",IF(OR($D2997="",$E2997=""),0,ROUND($D2997*$E2997,0))))</f>
        <v/>
      </c>
      <c r="G2997" s="13"/>
      <c r="H2997" s="11"/>
      <c r="I2997" s="15" t="str">
        <f aca="false">IF($F2997="","",$F2997-IF($H2997="",0,$H2997))</f>
        <v/>
      </c>
      <c r="J2997" s="16" t="str">
        <f aca="true">IF(OR($A2997="",$I2997="",$I2997&lt;=0),"",TODAY()-$A2997)</f>
        <v/>
      </c>
      <c r="K2997" s="10"/>
    </row>
    <row r="2998" customFormat="false" ht="15" hidden="false" customHeight="true" outlineLevel="0" collapsed="false">
      <c r="A2998" s="13"/>
      <c r="B2998" s="10"/>
      <c r="C2998" s="10"/>
      <c r="D2998" s="14"/>
      <c r="E2998" s="11"/>
      <c r="F2998" s="15" t="str">
        <f aca="false">IF($B2998="","",IF(AND($D2998="",$E2998=""),"",IF(OR($D2998="",$E2998=""),0,ROUND($D2998*$E2998,0))))</f>
        <v/>
      </c>
      <c r="G2998" s="13"/>
      <c r="H2998" s="11"/>
      <c r="I2998" s="15" t="str">
        <f aca="false">IF($F2998="","",$F2998-IF($H2998="",0,$H2998))</f>
        <v/>
      </c>
      <c r="J2998" s="16" t="str">
        <f aca="true">IF(OR($A2998="",$I2998="",$I2998&lt;=0),"",TODAY()-$A2998)</f>
        <v/>
      </c>
      <c r="K2998" s="10"/>
    </row>
    <row r="2999" customFormat="false" ht="15" hidden="false" customHeight="true" outlineLevel="0" collapsed="false">
      <c r="A2999" s="13"/>
      <c r="B2999" s="10"/>
      <c r="C2999" s="10"/>
      <c r="D2999" s="14"/>
      <c r="E2999" s="11"/>
      <c r="F2999" s="15" t="str">
        <f aca="false">IF($B2999="","",IF(AND($D2999="",$E2999=""),"",IF(OR($D2999="",$E2999=""),0,ROUND($D2999*$E2999,0))))</f>
        <v/>
      </c>
      <c r="G2999" s="13"/>
      <c r="H2999" s="11"/>
      <c r="I2999" s="15" t="str">
        <f aca="false">IF($F2999="","",$F2999-IF($H2999="",0,$H2999))</f>
        <v/>
      </c>
      <c r="J2999" s="16" t="str">
        <f aca="true">IF(OR($A2999="",$I2999="",$I2999&lt;=0),"",TODAY()-$A2999)</f>
        <v/>
      </c>
      <c r="K2999" s="10"/>
    </row>
    <row r="3000" customFormat="false" ht="15" hidden="false" customHeight="true" outlineLevel="0" collapsed="false">
      <c r="A3000" s="13"/>
      <c r="B3000" s="10"/>
      <c r="C3000" s="10"/>
      <c r="D3000" s="14"/>
      <c r="E3000" s="11"/>
      <c r="F3000" s="15" t="str">
        <f aca="false">IF($B3000="","",IF(AND($D3000="",$E3000=""),"",IF(OR($D3000="",$E3000=""),0,ROUND($D3000*$E3000,0))))</f>
        <v/>
      </c>
      <c r="G3000" s="13"/>
      <c r="H3000" s="11"/>
      <c r="I3000" s="15" t="str">
        <f aca="false">IF($F3000="","",$F3000-IF($H3000="",0,$H3000))</f>
        <v/>
      </c>
      <c r="J3000" s="16" t="str">
        <f aca="true">IF(OR($A3000="",$I3000="",$I3000&lt;=0),"",TODAY()-$A3000)</f>
        <v/>
      </c>
      <c r="K3000" s="10"/>
    </row>
    <row r="3001" customFormat="false" ht="15" hidden="false" customHeight="true" outlineLevel="0" collapsed="false">
      <c r="A3001" s="13"/>
      <c r="B3001" s="10"/>
      <c r="C3001" s="10"/>
      <c r="D3001" s="14"/>
      <c r="E3001" s="11"/>
      <c r="F3001" s="15" t="str">
        <f aca="false">IF($B3001="","",IF(AND($D3001="",$E3001=""),"",IF(OR($D3001="",$E3001=""),0,ROUND($D3001*$E3001,0))))</f>
        <v/>
      </c>
      <c r="G3001" s="13"/>
      <c r="H3001" s="11"/>
      <c r="I3001" s="15" t="str">
        <f aca="false">IF($F3001="","",$F3001-IF($H3001="",0,$H3001))</f>
        <v/>
      </c>
      <c r="J3001" s="16" t="str">
        <f aca="true">IF(OR($A3001="",$I3001="",$I3001&lt;=0),"",TODAY()-$A3001)</f>
        <v/>
      </c>
      <c r="K3001" s="10"/>
    </row>
    <row r="3002" customFormat="false" ht="15" hidden="false" customHeight="true" outlineLevel="0" collapsed="false">
      <c r="A3002" s="13"/>
      <c r="B3002" s="10"/>
      <c r="C3002" s="10"/>
      <c r="D3002" s="14"/>
      <c r="E3002" s="11"/>
      <c r="F3002" s="15" t="str">
        <f aca="false">IF($B3002="","",IF(AND($D3002="",$E3002=""),"",IF(OR($D3002="",$E3002=""),0,ROUND($D3002*$E3002,0))))</f>
        <v/>
      </c>
      <c r="G3002" s="13"/>
      <c r="H3002" s="11"/>
      <c r="I3002" s="15" t="str">
        <f aca="false">IF($F3002="","",$F3002-IF($H3002="",0,$H3002))</f>
        <v/>
      </c>
      <c r="J3002" s="16" t="str">
        <f aca="true">IF(OR($A3002="",$I3002="",$I3002&lt;=0),"",TODAY()-$A3002)</f>
        <v/>
      </c>
      <c r="K3002" s="10"/>
    </row>
    <row r="3004" customFormat="false" ht="15" hidden="false" customHeight="true" outlineLevel="0" collapsed="false">
      <c r="A3004" s="6" t="s">
        <v>54</v>
      </c>
    </row>
    <row r="3005" customFormat="false" ht="15" hidden="false" customHeight="true" outlineLevel="0" collapsed="false">
      <c r="A3005" s="6" t="s">
        <v>55</v>
      </c>
    </row>
  </sheetData>
  <mergeCells count="1">
    <mergeCell ref="A1:K1"/>
  </mergeCells>
  <conditionalFormatting sqref="A3:K3002">
    <cfRule type="expression" priority="2" aboveAverage="0" equalAverage="0" bottom="0" percent="0" rank="0" text="" dxfId="0">
      <formula>AND($J3&lt;&gt;"",$J3&gt;사용안내!$C$17)</formula>
    </cfRule>
    <cfRule type="expression" priority="3" aboveAverage="0" equalAverage="0" bottom="0" percent="0" rank="0" text="" dxfId="1">
      <formula>AND($I3&lt;&gt;"",$I3&lt;=0,$F3&lt;&gt;"")</formula>
    </cfRule>
  </conditionalFormatting>
  <dataValidations count="1">
    <dataValidation allowBlank="true" errorStyle="stop" operator="between" showDropDown="false" showErrorMessage="false" showInputMessage="false" sqref="B3:B3002" type="list">
      <formula1>거래처목록!$A$3:$A$302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5" min="3" style="1" width="17"/>
    <col collapsed="false" customWidth="true" hidden="false" outlineLevel="0" max="6" min="6" style="1" width="12"/>
    <col collapsed="false" customWidth="true" hidden="false" outlineLevel="0" max="8" min="7" style="1" width="14"/>
    <col collapsed="false" customWidth="true" hidden="false" outlineLevel="0" max="9" min="9" style="1" width="16"/>
  </cols>
  <sheetData>
    <row r="1" customFormat="false" ht="25.5" hidden="false" customHeight="true" outlineLevel="0" collapsed="false">
      <c r="A1" s="2" t="s">
        <v>56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3" t="s">
        <v>57</v>
      </c>
      <c r="B3" s="17" t="n">
        <f aca="false">SUM($E$6:$E$305)</f>
        <v>12550000</v>
      </c>
      <c r="D3" s="3" t="s">
        <v>58</v>
      </c>
      <c r="E3" s="18" t="n">
        <f aca="false">SUMPRODUCT(($A$6:$A$305&lt;&gt;"")*($H$6:$H$305="한도초과"))</f>
        <v>1</v>
      </c>
    </row>
    <row r="5" customFormat="false" ht="15" hidden="false" customHeight="true" outlineLevel="0" collapsed="false">
      <c r="A5" s="8" t="s">
        <v>27</v>
      </c>
      <c r="B5" s="8" t="s">
        <v>28</v>
      </c>
      <c r="C5" s="8" t="s">
        <v>59</v>
      </c>
      <c r="D5" s="8" t="s">
        <v>60</v>
      </c>
      <c r="E5" s="8" t="s">
        <v>61</v>
      </c>
      <c r="F5" s="8" t="s">
        <v>62</v>
      </c>
      <c r="G5" s="8" t="s">
        <v>63</v>
      </c>
      <c r="H5" s="8" t="s">
        <v>64</v>
      </c>
      <c r="I5" s="8" t="s">
        <v>20</v>
      </c>
    </row>
    <row r="6" customFormat="false" ht="15" hidden="false" customHeight="true" outlineLevel="0" collapsed="false">
      <c r="A6" s="19" t="str">
        <f aca="false">IF(거래처목록!$A3="","",거래처목록!$A3)</f>
        <v>○○건재</v>
      </c>
      <c r="B6" s="19" t="str">
        <f aca="false">IF($A6="","",거래처목록!$B3)</f>
        <v>김소장</v>
      </c>
      <c r="C6" s="15" t="n">
        <f aca="false">IF($A6="","",SUMIFS(매출내역!$F$3:$F$3002,매출내역!$B$3:$B$3002,$A6))</f>
        <v>7000000</v>
      </c>
      <c r="D6" s="15" t="n">
        <f aca="false">IF($A6="","",SUMIFS(매출내역!$H$3:$H$3002,매출내역!$B$3:$B$3002,$A6))</f>
        <v>4500000</v>
      </c>
      <c r="E6" s="15" t="n">
        <f aca="false">IF($A6="","",$C6-$D6)</f>
        <v>2500000</v>
      </c>
      <c r="F6" s="20" t="n">
        <f aca="false">IF($A6="","",COUNTIFS(매출내역!$B$3:$B$3002,$A6,매출내역!$I$3:$I$3002,"&gt;0"))</f>
        <v>1</v>
      </c>
      <c r="G6" s="21" t="n">
        <f aca="true">IF($A6="","",IF($F6=0,0,TODAY()-_xlfn.MINIFS(매출내역!$A$3:$A$3002,매출내역!$B$3:$B$3002,$A6,매출내역!$I$3:$I$3002,"&gt;0")))</f>
        <v>25</v>
      </c>
      <c r="H6" s="20" t="str">
        <f aca="false">IF($A6="","",IF($I6=0,"한도미설정",IF($E6&gt;$I6,"한도초과","정상")))</f>
        <v>정상</v>
      </c>
      <c r="I6" s="15" t="n">
        <f aca="false">IF($A6="","",IF(거래처목록!$D3="",0,거래처목록!$D3))</f>
        <v>10000000</v>
      </c>
    </row>
    <row r="7" customFormat="false" ht="15" hidden="false" customHeight="true" outlineLevel="0" collapsed="false">
      <c r="A7" s="19" t="str">
        <f aca="false">IF(거래처목록!$A4="","",거래처목록!$A4)</f>
        <v>△△인테리어</v>
      </c>
      <c r="B7" s="19" t="str">
        <f aca="false">IF($A7="","",거래처목록!$B4)</f>
        <v>이소장</v>
      </c>
      <c r="C7" s="15" t="n">
        <f aca="false">IF($A7="","",SUMIFS(매출내역!$F$3:$F$3002,매출내역!$B$3:$B$3002,$A7))</f>
        <v>5550000</v>
      </c>
      <c r="D7" s="15" t="n">
        <f aca="false">IF($A7="","",SUMIFS(매출내역!$H$3:$H$3002,매출내역!$B$3:$B$3002,$A7))</f>
        <v>0</v>
      </c>
      <c r="E7" s="15" t="n">
        <f aca="false">IF($A7="","",$C7-$D7)</f>
        <v>5550000</v>
      </c>
      <c r="F7" s="20" t="n">
        <f aca="false">IF($A7="","",COUNTIFS(매출내역!$B$3:$B$3002,$A7,매출내역!$I$3:$I$3002,"&gt;0"))</f>
        <v>2</v>
      </c>
      <c r="G7" s="21" t="n">
        <f aca="true">IF($A7="","",IF($F7=0,0,TODAY()-_xlfn.MINIFS(매출내역!$A$3:$A$3002,매출내역!$B$3:$B$3002,$A7,매출내역!$I$3:$I$3002,"&gt;0")))</f>
        <v>91</v>
      </c>
      <c r="H7" s="20" t="str">
        <f aca="false">IF($A7="","",IF($I7=0,"한도미설정",IF($E7&gt;$I7,"한도초과","정상")))</f>
        <v>한도초과</v>
      </c>
      <c r="I7" s="15" t="n">
        <f aca="false">IF($A7="","",IF(거래처목록!$D4="",0,거래처목록!$D4))</f>
        <v>5000000</v>
      </c>
    </row>
    <row r="8" customFormat="false" ht="15" hidden="false" customHeight="true" outlineLevel="0" collapsed="false">
      <c r="A8" s="19" t="str">
        <f aca="false">IF(거래처목록!$A5="","",거래처목록!$A5)</f>
        <v>□□산업</v>
      </c>
      <c r="B8" s="19" t="str">
        <f aca="false">IF($A8="","",거래처목록!$B5)</f>
        <v>박부장</v>
      </c>
      <c r="C8" s="15" t="n">
        <f aca="false">IF($A8="","",SUMIFS(매출내역!$F$3:$F$3002,매출내역!$B$3:$B$3002,$A8))</f>
        <v>4500000</v>
      </c>
      <c r="D8" s="15" t="n">
        <f aca="false">IF($A8="","",SUMIFS(매출내역!$H$3:$H$3002,매출내역!$B$3:$B$3002,$A8))</f>
        <v>0</v>
      </c>
      <c r="E8" s="15" t="n">
        <f aca="false">IF($A8="","",$C8-$D8)</f>
        <v>4500000</v>
      </c>
      <c r="F8" s="20" t="n">
        <f aca="false">IF($A8="","",COUNTIFS(매출내역!$B$3:$B$3002,$A8,매출내역!$I$3:$I$3002,"&gt;0"))</f>
        <v>1</v>
      </c>
      <c r="G8" s="21" t="n">
        <f aca="true">IF($A8="","",IF($F8=0,0,TODAY()-_xlfn.MINIFS(매출내역!$A$3:$A$3002,매출내역!$B$3:$B$3002,$A8,매출내역!$I$3:$I$3002,"&gt;0")))</f>
        <v>12</v>
      </c>
      <c r="H8" s="20" t="str">
        <f aca="false">IF($A8="","",IF($I8=0,"한도미설정",IF($E8&gt;$I8,"한도초과","정상")))</f>
        <v>정상</v>
      </c>
      <c r="I8" s="15" t="n">
        <f aca="false">IF($A8="","",IF(거래처목록!$D5="",0,거래처목록!$D5))</f>
        <v>20000000</v>
      </c>
    </row>
    <row r="9" customFormat="false" ht="15" hidden="false" customHeight="true" outlineLevel="0" collapsed="false">
      <c r="A9" s="19" t="str">
        <f aca="false">IF(거래처목록!$A6="","",거래처목록!$A6)</f>
        <v/>
      </c>
      <c r="B9" s="19" t="str">
        <f aca="false">IF($A9="","",거래처목록!$B6)</f>
        <v/>
      </c>
      <c r="C9" s="15" t="str">
        <f aca="false">IF($A9="","",SUMIFS(매출내역!$F$3:$F$3002,매출내역!$B$3:$B$3002,$A9))</f>
        <v/>
      </c>
      <c r="D9" s="15" t="str">
        <f aca="false">IF($A9="","",SUMIFS(매출내역!$H$3:$H$3002,매출내역!$B$3:$B$3002,$A9))</f>
        <v/>
      </c>
      <c r="E9" s="15" t="str">
        <f aca="false">IF($A9="","",$C9-$D9)</f>
        <v/>
      </c>
      <c r="F9" s="20" t="str">
        <f aca="false">IF($A9="","",COUNTIFS(매출내역!$B$3:$B$3002,$A9,매출내역!$I$3:$I$3002,"&gt;0"))</f>
        <v/>
      </c>
      <c r="G9" s="21" t="str">
        <f aca="true">IF($A9="","",IF($F9=0,0,TODAY()-_xlfn.MINIFS(매출내역!$A$3:$A$3002,매출내역!$B$3:$B$3002,$A9,매출내역!$I$3:$I$3002,"&gt;0")))</f>
        <v/>
      </c>
      <c r="H9" s="20" t="str">
        <f aca="false">IF($A9="","",IF($I9=0,"한도미설정",IF($E9&gt;$I9,"한도초과","정상")))</f>
        <v/>
      </c>
      <c r="I9" s="15" t="str">
        <f aca="false">IF($A9="","",IF(거래처목록!$D6="",0,거래처목록!$D6))</f>
        <v/>
      </c>
    </row>
    <row r="10" customFormat="false" ht="15" hidden="false" customHeight="true" outlineLevel="0" collapsed="false">
      <c r="A10" s="19" t="str">
        <f aca="false">IF(거래처목록!$A7="","",거래처목록!$A7)</f>
        <v/>
      </c>
      <c r="B10" s="19" t="str">
        <f aca="false">IF($A10="","",거래처목록!$B7)</f>
        <v/>
      </c>
      <c r="C10" s="15" t="str">
        <f aca="false">IF($A10="","",SUMIFS(매출내역!$F$3:$F$3002,매출내역!$B$3:$B$3002,$A10))</f>
        <v/>
      </c>
      <c r="D10" s="15" t="str">
        <f aca="false">IF($A10="","",SUMIFS(매출내역!$H$3:$H$3002,매출내역!$B$3:$B$3002,$A10))</f>
        <v/>
      </c>
      <c r="E10" s="15" t="str">
        <f aca="false">IF($A10="","",$C10-$D10)</f>
        <v/>
      </c>
      <c r="F10" s="20" t="str">
        <f aca="false">IF($A10="","",COUNTIFS(매출내역!$B$3:$B$3002,$A10,매출내역!$I$3:$I$3002,"&gt;0"))</f>
        <v/>
      </c>
      <c r="G10" s="21" t="str">
        <f aca="true">IF($A10="","",IF($F10=0,0,TODAY()-_xlfn.MINIFS(매출내역!$A$3:$A$3002,매출내역!$B$3:$B$3002,$A10,매출내역!$I$3:$I$3002,"&gt;0")))</f>
        <v/>
      </c>
      <c r="H10" s="20" t="str">
        <f aca="false">IF($A10="","",IF($I10=0,"한도미설정",IF($E10&gt;$I10,"한도초과","정상")))</f>
        <v/>
      </c>
      <c r="I10" s="15" t="str">
        <f aca="false">IF($A10="","",IF(거래처목록!$D7="",0,거래처목록!$D7))</f>
        <v/>
      </c>
    </row>
    <row r="11" customFormat="false" ht="15" hidden="false" customHeight="true" outlineLevel="0" collapsed="false">
      <c r="A11" s="19" t="str">
        <f aca="false">IF(거래처목록!$A8="","",거래처목록!$A8)</f>
        <v/>
      </c>
      <c r="B11" s="19" t="str">
        <f aca="false">IF($A11="","",거래처목록!$B8)</f>
        <v/>
      </c>
      <c r="C11" s="15" t="str">
        <f aca="false">IF($A11="","",SUMIFS(매출내역!$F$3:$F$3002,매출내역!$B$3:$B$3002,$A11))</f>
        <v/>
      </c>
      <c r="D11" s="15" t="str">
        <f aca="false">IF($A11="","",SUMIFS(매출내역!$H$3:$H$3002,매출내역!$B$3:$B$3002,$A11))</f>
        <v/>
      </c>
      <c r="E11" s="15" t="str">
        <f aca="false">IF($A11="","",$C11-$D11)</f>
        <v/>
      </c>
      <c r="F11" s="20" t="str">
        <f aca="false">IF($A11="","",COUNTIFS(매출내역!$B$3:$B$3002,$A11,매출내역!$I$3:$I$3002,"&gt;0"))</f>
        <v/>
      </c>
      <c r="G11" s="21" t="str">
        <f aca="true">IF($A11="","",IF($F11=0,0,TODAY()-_xlfn.MINIFS(매출내역!$A$3:$A$3002,매출내역!$B$3:$B$3002,$A11,매출내역!$I$3:$I$3002,"&gt;0")))</f>
        <v/>
      </c>
      <c r="H11" s="20" t="str">
        <f aca="false">IF($A11="","",IF($I11=0,"한도미설정",IF($E11&gt;$I11,"한도초과","정상")))</f>
        <v/>
      </c>
      <c r="I11" s="15" t="str">
        <f aca="false">IF($A11="","",IF(거래처목록!$D8="",0,거래처목록!$D8))</f>
        <v/>
      </c>
    </row>
    <row r="12" customFormat="false" ht="15" hidden="false" customHeight="true" outlineLevel="0" collapsed="false">
      <c r="A12" s="19" t="str">
        <f aca="false">IF(거래처목록!$A9="","",거래처목록!$A9)</f>
        <v/>
      </c>
      <c r="B12" s="19" t="str">
        <f aca="false">IF($A12="","",거래처목록!$B9)</f>
        <v/>
      </c>
      <c r="C12" s="15" t="str">
        <f aca="false">IF($A12="","",SUMIFS(매출내역!$F$3:$F$3002,매출내역!$B$3:$B$3002,$A12))</f>
        <v/>
      </c>
      <c r="D12" s="15" t="str">
        <f aca="false">IF($A12="","",SUMIFS(매출내역!$H$3:$H$3002,매출내역!$B$3:$B$3002,$A12))</f>
        <v/>
      </c>
      <c r="E12" s="15" t="str">
        <f aca="false">IF($A12="","",$C12-$D12)</f>
        <v/>
      </c>
      <c r="F12" s="20" t="str">
        <f aca="false">IF($A12="","",COUNTIFS(매출내역!$B$3:$B$3002,$A12,매출내역!$I$3:$I$3002,"&gt;0"))</f>
        <v/>
      </c>
      <c r="G12" s="21" t="str">
        <f aca="true">IF($A12="","",IF($F12=0,0,TODAY()-_xlfn.MINIFS(매출내역!$A$3:$A$3002,매출내역!$B$3:$B$3002,$A12,매출내역!$I$3:$I$3002,"&gt;0")))</f>
        <v/>
      </c>
      <c r="H12" s="20" t="str">
        <f aca="false">IF($A12="","",IF($I12=0,"한도미설정",IF($E12&gt;$I12,"한도초과","정상")))</f>
        <v/>
      </c>
      <c r="I12" s="15" t="str">
        <f aca="false">IF($A12="","",IF(거래처목록!$D9="",0,거래처목록!$D9))</f>
        <v/>
      </c>
    </row>
    <row r="13" customFormat="false" ht="15" hidden="false" customHeight="true" outlineLevel="0" collapsed="false">
      <c r="A13" s="19" t="str">
        <f aca="false">IF(거래처목록!$A10="","",거래처목록!$A10)</f>
        <v/>
      </c>
      <c r="B13" s="19" t="str">
        <f aca="false">IF($A13="","",거래처목록!$B10)</f>
        <v/>
      </c>
      <c r="C13" s="15" t="str">
        <f aca="false">IF($A13="","",SUMIFS(매출내역!$F$3:$F$3002,매출내역!$B$3:$B$3002,$A13))</f>
        <v/>
      </c>
      <c r="D13" s="15" t="str">
        <f aca="false">IF($A13="","",SUMIFS(매출내역!$H$3:$H$3002,매출내역!$B$3:$B$3002,$A13))</f>
        <v/>
      </c>
      <c r="E13" s="15" t="str">
        <f aca="false">IF($A13="","",$C13-$D13)</f>
        <v/>
      </c>
      <c r="F13" s="20" t="str">
        <f aca="false">IF($A13="","",COUNTIFS(매출내역!$B$3:$B$3002,$A13,매출내역!$I$3:$I$3002,"&gt;0"))</f>
        <v/>
      </c>
      <c r="G13" s="21" t="str">
        <f aca="true">IF($A13="","",IF($F13=0,0,TODAY()-_xlfn.MINIFS(매출내역!$A$3:$A$3002,매출내역!$B$3:$B$3002,$A13,매출내역!$I$3:$I$3002,"&gt;0")))</f>
        <v/>
      </c>
      <c r="H13" s="20" t="str">
        <f aca="false">IF($A13="","",IF($I13=0,"한도미설정",IF($E13&gt;$I13,"한도초과","정상")))</f>
        <v/>
      </c>
      <c r="I13" s="15" t="str">
        <f aca="false">IF($A13="","",IF(거래처목록!$D10="",0,거래처목록!$D10))</f>
        <v/>
      </c>
    </row>
    <row r="14" customFormat="false" ht="15" hidden="false" customHeight="true" outlineLevel="0" collapsed="false">
      <c r="A14" s="19" t="str">
        <f aca="false">IF(거래처목록!$A11="","",거래처목록!$A11)</f>
        <v/>
      </c>
      <c r="B14" s="19" t="str">
        <f aca="false">IF($A14="","",거래처목록!$B11)</f>
        <v/>
      </c>
      <c r="C14" s="15" t="str">
        <f aca="false">IF($A14="","",SUMIFS(매출내역!$F$3:$F$3002,매출내역!$B$3:$B$3002,$A14))</f>
        <v/>
      </c>
      <c r="D14" s="15" t="str">
        <f aca="false">IF($A14="","",SUMIFS(매출내역!$H$3:$H$3002,매출내역!$B$3:$B$3002,$A14))</f>
        <v/>
      </c>
      <c r="E14" s="15" t="str">
        <f aca="false">IF($A14="","",$C14-$D14)</f>
        <v/>
      </c>
      <c r="F14" s="20" t="str">
        <f aca="false">IF($A14="","",COUNTIFS(매출내역!$B$3:$B$3002,$A14,매출내역!$I$3:$I$3002,"&gt;0"))</f>
        <v/>
      </c>
      <c r="G14" s="21" t="str">
        <f aca="true">IF($A14="","",IF($F14=0,0,TODAY()-_xlfn.MINIFS(매출내역!$A$3:$A$3002,매출내역!$B$3:$B$3002,$A14,매출내역!$I$3:$I$3002,"&gt;0")))</f>
        <v/>
      </c>
      <c r="H14" s="20" t="str">
        <f aca="false">IF($A14="","",IF($I14=0,"한도미설정",IF($E14&gt;$I14,"한도초과","정상")))</f>
        <v/>
      </c>
      <c r="I14" s="15" t="str">
        <f aca="false">IF($A14="","",IF(거래처목록!$D11="",0,거래처목록!$D11))</f>
        <v/>
      </c>
    </row>
    <row r="15" customFormat="false" ht="15" hidden="false" customHeight="true" outlineLevel="0" collapsed="false">
      <c r="A15" s="19" t="str">
        <f aca="false">IF(거래처목록!$A12="","",거래처목록!$A12)</f>
        <v/>
      </c>
      <c r="B15" s="19" t="str">
        <f aca="false">IF($A15="","",거래처목록!$B12)</f>
        <v/>
      </c>
      <c r="C15" s="15" t="str">
        <f aca="false">IF($A15="","",SUMIFS(매출내역!$F$3:$F$3002,매출내역!$B$3:$B$3002,$A15))</f>
        <v/>
      </c>
      <c r="D15" s="15" t="str">
        <f aca="false">IF($A15="","",SUMIFS(매출내역!$H$3:$H$3002,매출내역!$B$3:$B$3002,$A15))</f>
        <v/>
      </c>
      <c r="E15" s="15" t="str">
        <f aca="false">IF($A15="","",$C15-$D15)</f>
        <v/>
      </c>
      <c r="F15" s="20" t="str">
        <f aca="false">IF($A15="","",COUNTIFS(매출내역!$B$3:$B$3002,$A15,매출내역!$I$3:$I$3002,"&gt;0"))</f>
        <v/>
      </c>
      <c r="G15" s="21" t="str">
        <f aca="true">IF($A15="","",IF($F15=0,0,TODAY()-_xlfn.MINIFS(매출내역!$A$3:$A$3002,매출내역!$B$3:$B$3002,$A15,매출내역!$I$3:$I$3002,"&gt;0")))</f>
        <v/>
      </c>
      <c r="H15" s="20" t="str">
        <f aca="false">IF($A15="","",IF($I15=0,"한도미설정",IF($E15&gt;$I15,"한도초과","정상")))</f>
        <v/>
      </c>
      <c r="I15" s="15" t="str">
        <f aca="false">IF($A15="","",IF(거래처목록!$D12="",0,거래처목록!$D12))</f>
        <v/>
      </c>
    </row>
    <row r="16" customFormat="false" ht="15" hidden="false" customHeight="true" outlineLevel="0" collapsed="false">
      <c r="A16" s="19" t="str">
        <f aca="false">IF(거래처목록!$A13="","",거래처목록!$A13)</f>
        <v/>
      </c>
      <c r="B16" s="19" t="str">
        <f aca="false">IF($A16="","",거래처목록!$B13)</f>
        <v/>
      </c>
      <c r="C16" s="15" t="str">
        <f aca="false">IF($A16="","",SUMIFS(매출내역!$F$3:$F$3002,매출내역!$B$3:$B$3002,$A16))</f>
        <v/>
      </c>
      <c r="D16" s="15" t="str">
        <f aca="false">IF($A16="","",SUMIFS(매출내역!$H$3:$H$3002,매출내역!$B$3:$B$3002,$A16))</f>
        <v/>
      </c>
      <c r="E16" s="15" t="str">
        <f aca="false">IF($A16="","",$C16-$D16)</f>
        <v/>
      </c>
      <c r="F16" s="20" t="str">
        <f aca="false">IF($A16="","",COUNTIFS(매출내역!$B$3:$B$3002,$A16,매출내역!$I$3:$I$3002,"&gt;0"))</f>
        <v/>
      </c>
      <c r="G16" s="21" t="str">
        <f aca="true">IF($A16="","",IF($F16=0,0,TODAY()-_xlfn.MINIFS(매출내역!$A$3:$A$3002,매출내역!$B$3:$B$3002,$A16,매출내역!$I$3:$I$3002,"&gt;0")))</f>
        <v/>
      </c>
      <c r="H16" s="20" t="str">
        <f aca="false">IF($A16="","",IF($I16=0,"한도미설정",IF($E16&gt;$I16,"한도초과","정상")))</f>
        <v/>
      </c>
      <c r="I16" s="15" t="str">
        <f aca="false">IF($A16="","",IF(거래처목록!$D13="",0,거래처목록!$D13))</f>
        <v/>
      </c>
    </row>
    <row r="17" customFormat="false" ht="15" hidden="false" customHeight="true" outlineLevel="0" collapsed="false">
      <c r="A17" s="19" t="str">
        <f aca="false">IF(거래처목록!$A14="","",거래처목록!$A14)</f>
        <v/>
      </c>
      <c r="B17" s="19" t="str">
        <f aca="false">IF($A17="","",거래처목록!$B14)</f>
        <v/>
      </c>
      <c r="C17" s="15" t="str">
        <f aca="false">IF($A17="","",SUMIFS(매출내역!$F$3:$F$3002,매출내역!$B$3:$B$3002,$A17))</f>
        <v/>
      </c>
      <c r="D17" s="15" t="str">
        <f aca="false">IF($A17="","",SUMIFS(매출내역!$H$3:$H$3002,매출내역!$B$3:$B$3002,$A17))</f>
        <v/>
      </c>
      <c r="E17" s="15" t="str">
        <f aca="false">IF($A17="","",$C17-$D17)</f>
        <v/>
      </c>
      <c r="F17" s="20" t="str">
        <f aca="false">IF($A17="","",COUNTIFS(매출내역!$B$3:$B$3002,$A17,매출내역!$I$3:$I$3002,"&gt;0"))</f>
        <v/>
      </c>
      <c r="G17" s="21" t="str">
        <f aca="true">IF($A17="","",IF($F17=0,0,TODAY()-_xlfn.MINIFS(매출내역!$A$3:$A$3002,매출내역!$B$3:$B$3002,$A17,매출내역!$I$3:$I$3002,"&gt;0")))</f>
        <v/>
      </c>
      <c r="H17" s="20" t="str">
        <f aca="false">IF($A17="","",IF($I17=0,"한도미설정",IF($E17&gt;$I17,"한도초과","정상")))</f>
        <v/>
      </c>
      <c r="I17" s="15" t="str">
        <f aca="false">IF($A17="","",IF(거래처목록!$D14="",0,거래처목록!$D14))</f>
        <v/>
      </c>
    </row>
    <row r="18" customFormat="false" ht="15" hidden="false" customHeight="true" outlineLevel="0" collapsed="false">
      <c r="A18" s="19" t="str">
        <f aca="false">IF(거래처목록!$A15="","",거래처목록!$A15)</f>
        <v/>
      </c>
      <c r="B18" s="19" t="str">
        <f aca="false">IF($A18="","",거래처목록!$B15)</f>
        <v/>
      </c>
      <c r="C18" s="15" t="str">
        <f aca="false">IF($A18="","",SUMIFS(매출내역!$F$3:$F$3002,매출내역!$B$3:$B$3002,$A18))</f>
        <v/>
      </c>
      <c r="D18" s="15" t="str">
        <f aca="false">IF($A18="","",SUMIFS(매출내역!$H$3:$H$3002,매출내역!$B$3:$B$3002,$A18))</f>
        <v/>
      </c>
      <c r="E18" s="15" t="str">
        <f aca="false">IF($A18="","",$C18-$D18)</f>
        <v/>
      </c>
      <c r="F18" s="20" t="str">
        <f aca="false">IF($A18="","",COUNTIFS(매출내역!$B$3:$B$3002,$A18,매출내역!$I$3:$I$3002,"&gt;0"))</f>
        <v/>
      </c>
      <c r="G18" s="21" t="str">
        <f aca="true">IF($A18="","",IF($F18=0,0,TODAY()-_xlfn.MINIFS(매출내역!$A$3:$A$3002,매출내역!$B$3:$B$3002,$A18,매출내역!$I$3:$I$3002,"&gt;0")))</f>
        <v/>
      </c>
      <c r="H18" s="20" t="str">
        <f aca="false">IF($A18="","",IF($I18=0,"한도미설정",IF($E18&gt;$I18,"한도초과","정상")))</f>
        <v/>
      </c>
      <c r="I18" s="15" t="str">
        <f aca="false">IF($A18="","",IF(거래처목록!$D15="",0,거래처목록!$D15))</f>
        <v/>
      </c>
    </row>
    <row r="19" customFormat="false" ht="15" hidden="false" customHeight="true" outlineLevel="0" collapsed="false">
      <c r="A19" s="19" t="str">
        <f aca="false">IF(거래처목록!$A16="","",거래처목록!$A16)</f>
        <v/>
      </c>
      <c r="B19" s="19" t="str">
        <f aca="false">IF($A19="","",거래처목록!$B16)</f>
        <v/>
      </c>
      <c r="C19" s="15" t="str">
        <f aca="false">IF($A19="","",SUMIFS(매출내역!$F$3:$F$3002,매출내역!$B$3:$B$3002,$A19))</f>
        <v/>
      </c>
      <c r="D19" s="15" t="str">
        <f aca="false">IF($A19="","",SUMIFS(매출내역!$H$3:$H$3002,매출내역!$B$3:$B$3002,$A19))</f>
        <v/>
      </c>
      <c r="E19" s="15" t="str">
        <f aca="false">IF($A19="","",$C19-$D19)</f>
        <v/>
      </c>
      <c r="F19" s="20" t="str">
        <f aca="false">IF($A19="","",COUNTIFS(매출내역!$B$3:$B$3002,$A19,매출내역!$I$3:$I$3002,"&gt;0"))</f>
        <v/>
      </c>
      <c r="G19" s="21" t="str">
        <f aca="true">IF($A19="","",IF($F19=0,0,TODAY()-_xlfn.MINIFS(매출내역!$A$3:$A$3002,매출내역!$B$3:$B$3002,$A19,매출내역!$I$3:$I$3002,"&gt;0")))</f>
        <v/>
      </c>
      <c r="H19" s="20" t="str">
        <f aca="false">IF($A19="","",IF($I19=0,"한도미설정",IF($E19&gt;$I19,"한도초과","정상")))</f>
        <v/>
      </c>
      <c r="I19" s="15" t="str">
        <f aca="false">IF($A19="","",IF(거래처목록!$D16="",0,거래처목록!$D16))</f>
        <v/>
      </c>
    </row>
    <row r="20" customFormat="false" ht="15" hidden="false" customHeight="true" outlineLevel="0" collapsed="false">
      <c r="A20" s="19" t="str">
        <f aca="false">IF(거래처목록!$A17="","",거래처목록!$A17)</f>
        <v/>
      </c>
      <c r="B20" s="19" t="str">
        <f aca="false">IF($A20="","",거래처목록!$B17)</f>
        <v/>
      </c>
      <c r="C20" s="15" t="str">
        <f aca="false">IF($A20="","",SUMIFS(매출내역!$F$3:$F$3002,매출내역!$B$3:$B$3002,$A20))</f>
        <v/>
      </c>
      <c r="D20" s="15" t="str">
        <f aca="false">IF($A20="","",SUMIFS(매출내역!$H$3:$H$3002,매출내역!$B$3:$B$3002,$A20))</f>
        <v/>
      </c>
      <c r="E20" s="15" t="str">
        <f aca="false">IF($A20="","",$C20-$D20)</f>
        <v/>
      </c>
      <c r="F20" s="20" t="str">
        <f aca="false">IF($A20="","",COUNTIFS(매출내역!$B$3:$B$3002,$A20,매출내역!$I$3:$I$3002,"&gt;0"))</f>
        <v/>
      </c>
      <c r="G20" s="21" t="str">
        <f aca="true">IF($A20="","",IF($F20=0,0,TODAY()-_xlfn.MINIFS(매출내역!$A$3:$A$3002,매출내역!$B$3:$B$3002,$A20,매출내역!$I$3:$I$3002,"&gt;0")))</f>
        <v/>
      </c>
      <c r="H20" s="20" t="str">
        <f aca="false">IF($A20="","",IF($I20=0,"한도미설정",IF($E20&gt;$I20,"한도초과","정상")))</f>
        <v/>
      </c>
      <c r="I20" s="15" t="str">
        <f aca="false">IF($A20="","",IF(거래처목록!$D17="",0,거래처목록!$D17))</f>
        <v/>
      </c>
    </row>
    <row r="21" customFormat="false" ht="15" hidden="false" customHeight="true" outlineLevel="0" collapsed="false">
      <c r="A21" s="19" t="str">
        <f aca="false">IF(거래처목록!$A18="","",거래처목록!$A18)</f>
        <v/>
      </c>
      <c r="B21" s="19" t="str">
        <f aca="false">IF($A21="","",거래처목록!$B18)</f>
        <v/>
      </c>
      <c r="C21" s="15" t="str">
        <f aca="false">IF($A21="","",SUMIFS(매출내역!$F$3:$F$3002,매출내역!$B$3:$B$3002,$A21))</f>
        <v/>
      </c>
      <c r="D21" s="15" t="str">
        <f aca="false">IF($A21="","",SUMIFS(매출내역!$H$3:$H$3002,매출내역!$B$3:$B$3002,$A21))</f>
        <v/>
      </c>
      <c r="E21" s="15" t="str">
        <f aca="false">IF($A21="","",$C21-$D21)</f>
        <v/>
      </c>
      <c r="F21" s="20" t="str">
        <f aca="false">IF($A21="","",COUNTIFS(매출내역!$B$3:$B$3002,$A21,매출내역!$I$3:$I$3002,"&gt;0"))</f>
        <v/>
      </c>
      <c r="G21" s="21" t="str">
        <f aca="true">IF($A21="","",IF($F21=0,0,TODAY()-_xlfn.MINIFS(매출내역!$A$3:$A$3002,매출내역!$B$3:$B$3002,$A21,매출내역!$I$3:$I$3002,"&gt;0")))</f>
        <v/>
      </c>
      <c r="H21" s="20" t="str">
        <f aca="false">IF($A21="","",IF($I21=0,"한도미설정",IF($E21&gt;$I21,"한도초과","정상")))</f>
        <v/>
      </c>
      <c r="I21" s="15" t="str">
        <f aca="false">IF($A21="","",IF(거래처목록!$D18="",0,거래처목록!$D18))</f>
        <v/>
      </c>
    </row>
    <row r="22" customFormat="false" ht="15" hidden="false" customHeight="true" outlineLevel="0" collapsed="false">
      <c r="A22" s="19" t="str">
        <f aca="false">IF(거래처목록!$A19="","",거래처목록!$A19)</f>
        <v/>
      </c>
      <c r="B22" s="19" t="str">
        <f aca="false">IF($A22="","",거래처목록!$B19)</f>
        <v/>
      </c>
      <c r="C22" s="15" t="str">
        <f aca="false">IF($A22="","",SUMIFS(매출내역!$F$3:$F$3002,매출내역!$B$3:$B$3002,$A22))</f>
        <v/>
      </c>
      <c r="D22" s="15" t="str">
        <f aca="false">IF($A22="","",SUMIFS(매출내역!$H$3:$H$3002,매출내역!$B$3:$B$3002,$A22))</f>
        <v/>
      </c>
      <c r="E22" s="15" t="str">
        <f aca="false">IF($A22="","",$C22-$D22)</f>
        <v/>
      </c>
      <c r="F22" s="20" t="str">
        <f aca="false">IF($A22="","",COUNTIFS(매출내역!$B$3:$B$3002,$A22,매출내역!$I$3:$I$3002,"&gt;0"))</f>
        <v/>
      </c>
      <c r="G22" s="21" t="str">
        <f aca="true">IF($A22="","",IF($F22=0,0,TODAY()-_xlfn.MINIFS(매출내역!$A$3:$A$3002,매출내역!$B$3:$B$3002,$A22,매출내역!$I$3:$I$3002,"&gt;0")))</f>
        <v/>
      </c>
      <c r="H22" s="20" t="str">
        <f aca="false">IF($A22="","",IF($I22=0,"한도미설정",IF($E22&gt;$I22,"한도초과","정상")))</f>
        <v/>
      </c>
      <c r="I22" s="15" t="str">
        <f aca="false">IF($A22="","",IF(거래처목록!$D19="",0,거래처목록!$D19))</f>
        <v/>
      </c>
    </row>
    <row r="23" customFormat="false" ht="15" hidden="false" customHeight="true" outlineLevel="0" collapsed="false">
      <c r="A23" s="19" t="str">
        <f aca="false">IF(거래처목록!$A20="","",거래처목록!$A20)</f>
        <v/>
      </c>
      <c r="B23" s="19" t="str">
        <f aca="false">IF($A23="","",거래처목록!$B20)</f>
        <v/>
      </c>
      <c r="C23" s="15" t="str">
        <f aca="false">IF($A23="","",SUMIFS(매출내역!$F$3:$F$3002,매출내역!$B$3:$B$3002,$A23))</f>
        <v/>
      </c>
      <c r="D23" s="15" t="str">
        <f aca="false">IF($A23="","",SUMIFS(매출내역!$H$3:$H$3002,매출내역!$B$3:$B$3002,$A23))</f>
        <v/>
      </c>
      <c r="E23" s="15" t="str">
        <f aca="false">IF($A23="","",$C23-$D23)</f>
        <v/>
      </c>
      <c r="F23" s="20" t="str">
        <f aca="false">IF($A23="","",COUNTIFS(매출내역!$B$3:$B$3002,$A23,매출내역!$I$3:$I$3002,"&gt;0"))</f>
        <v/>
      </c>
      <c r="G23" s="21" t="str">
        <f aca="true">IF($A23="","",IF($F23=0,0,TODAY()-_xlfn.MINIFS(매출내역!$A$3:$A$3002,매출내역!$B$3:$B$3002,$A23,매출내역!$I$3:$I$3002,"&gt;0")))</f>
        <v/>
      </c>
      <c r="H23" s="20" t="str">
        <f aca="false">IF($A23="","",IF($I23=0,"한도미설정",IF($E23&gt;$I23,"한도초과","정상")))</f>
        <v/>
      </c>
      <c r="I23" s="15" t="str">
        <f aca="false">IF($A23="","",IF(거래처목록!$D20="",0,거래처목록!$D20))</f>
        <v/>
      </c>
    </row>
    <row r="24" customFormat="false" ht="15" hidden="false" customHeight="true" outlineLevel="0" collapsed="false">
      <c r="A24" s="19" t="str">
        <f aca="false">IF(거래처목록!$A21="","",거래처목록!$A21)</f>
        <v/>
      </c>
      <c r="B24" s="19" t="str">
        <f aca="false">IF($A24="","",거래처목록!$B21)</f>
        <v/>
      </c>
      <c r="C24" s="15" t="str">
        <f aca="false">IF($A24="","",SUMIFS(매출내역!$F$3:$F$3002,매출내역!$B$3:$B$3002,$A24))</f>
        <v/>
      </c>
      <c r="D24" s="15" t="str">
        <f aca="false">IF($A24="","",SUMIFS(매출내역!$H$3:$H$3002,매출내역!$B$3:$B$3002,$A24))</f>
        <v/>
      </c>
      <c r="E24" s="15" t="str">
        <f aca="false">IF($A24="","",$C24-$D24)</f>
        <v/>
      </c>
      <c r="F24" s="20" t="str">
        <f aca="false">IF($A24="","",COUNTIFS(매출내역!$B$3:$B$3002,$A24,매출내역!$I$3:$I$3002,"&gt;0"))</f>
        <v/>
      </c>
      <c r="G24" s="21" t="str">
        <f aca="true">IF($A24="","",IF($F24=0,0,TODAY()-_xlfn.MINIFS(매출내역!$A$3:$A$3002,매출내역!$B$3:$B$3002,$A24,매출내역!$I$3:$I$3002,"&gt;0")))</f>
        <v/>
      </c>
      <c r="H24" s="20" t="str">
        <f aca="false">IF($A24="","",IF($I24=0,"한도미설정",IF($E24&gt;$I24,"한도초과","정상")))</f>
        <v/>
      </c>
      <c r="I24" s="15" t="str">
        <f aca="false">IF($A24="","",IF(거래처목록!$D21="",0,거래처목록!$D21))</f>
        <v/>
      </c>
    </row>
    <row r="25" customFormat="false" ht="15" hidden="false" customHeight="true" outlineLevel="0" collapsed="false">
      <c r="A25" s="19" t="str">
        <f aca="false">IF(거래처목록!$A22="","",거래처목록!$A22)</f>
        <v/>
      </c>
      <c r="B25" s="19" t="str">
        <f aca="false">IF($A25="","",거래처목록!$B22)</f>
        <v/>
      </c>
      <c r="C25" s="15" t="str">
        <f aca="false">IF($A25="","",SUMIFS(매출내역!$F$3:$F$3002,매출내역!$B$3:$B$3002,$A25))</f>
        <v/>
      </c>
      <c r="D25" s="15" t="str">
        <f aca="false">IF($A25="","",SUMIFS(매출내역!$H$3:$H$3002,매출내역!$B$3:$B$3002,$A25))</f>
        <v/>
      </c>
      <c r="E25" s="15" t="str">
        <f aca="false">IF($A25="","",$C25-$D25)</f>
        <v/>
      </c>
      <c r="F25" s="20" t="str">
        <f aca="false">IF($A25="","",COUNTIFS(매출내역!$B$3:$B$3002,$A25,매출내역!$I$3:$I$3002,"&gt;0"))</f>
        <v/>
      </c>
      <c r="G25" s="21" t="str">
        <f aca="true">IF($A25="","",IF($F25=0,0,TODAY()-_xlfn.MINIFS(매출내역!$A$3:$A$3002,매출내역!$B$3:$B$3002,$A25,매출내역!$I$3:$I$3002,"&gt;0")))</f>
        <v/>
      </c>
      <c r="H25" s="20" t="str">
        <f aca="false">IF($A25="","",IF($I25=0,"한도미설정",IF($E25&gt;$I25,"한도초과","정상")))</f>
        <v/>
      </c>
      <c r="I25" s="15" t="str">
        <f aca="false">IF($A25="","",IF(거래처목록!$D22="",0,거래처목록!$D22))</f>
        <v/>
      </c>
    </row>
    <row r="26" customFormat="false" ht="15" hidden="false" customHeight="true" outlineLevel="0" collapsed="false">
      <c r="A26" s="19" t="str">
        <f aca="false">IF(거래처목록!$A23="","",거래처목록!$A23)</f>
        <v/>
      </c>
      <c r="B26" s="19" t="str">
        <f aca="false">IF($A26="","",거래처목록!$B23)</f>
        <v/>
      </c>
      <c r="C26" s="15" t="str">
        <f aca="false">IF($A26="","",SUMIFS(매출내역!$F$3:$F$3002,매출내역!$B$3:$B$3002,$A26))</f>
        <v/>
      </c>
      <c r="D26" s="15" t="str">
        <f aca="false">IF($A26="","",SUMIFS(매출내역!$H$3:$H$3002,매출내역!$B$3:$B$3002,$A26))</f>
        <v/>
      </c>
      <c r="E26" s="15" t="str">
        <f aca="false">IF($A26="","",$C26-$D26)</f>
        <v/>
      </c>
      <c r="F26" s="20" t="str">
        <f aca="false">IF($A26="","",COUNTIFS(매출내역!$B$3:$B$3002,$A26,매출내역!$I$3:$I$3002,"&gt;0"))</f>
        <v/>
      </c>
      <c r="G26" s="21" t="str">
        <f aca="true">IF($A26="","",IF($F26=0,0,TODAY()-_xlfn.MINIFS(매출내역!$A$3:$A$3002,매출내역!$B$3:$B$3002,$A26,매출내역!$I$3:$I$3002,"&gt;0")))</f>
        <v/>
      </c>
      <c r="H26" s="20" t="str">
        <f aca="false">IF($A26="","",IF($I26=0,"한도미설정",IF($E26&gt;$I26,"한도초과","정상")))</f>
        <v/>
      </c>
      <c r="I26" s="15" t="str">
        <f aca="false">IF($A26="","",IF(거래처목록!$D23="",0,거래처목록!$D23))</f>
        <v/>
      </c>
    </row>
    <row r="27" customFormat="false" ht="15" hidden="false" customHeight="true" outlineLevel="0" collapsed="false">
      <c r="A27" s="19" t="str">
        <f aca="false">IF(거래처목록!$A24="","",거래처목록!$A24)</f>
        <v/>
      </c>
      <c r="B27" s="19" t="str">
        <f aca="false">IF($A27="","",거래처목록!$B24)</f>
        <v/>
      </c>
      <c r="C27" s="15" t="str">
        <f aca="false">IF($A27="","",SUMIFS(매출내역!$F$3:$F$3002,매출내역!$B$3:$B$3002,$A27))</f>
        <v/>
      </c>
      <c r="D27" s="15" t="str">
        <f aca="false">IF($A27="","",SUMIFS(매출내역!$H$3:$H$3002,매출내역!$B$3:$B$3002,$A27))</f>
        <v/>
      </c>
      <c r="E27" s="15" t="str">
        <f aca="false">IF($A27="","",$C27-$D27)</f>
        <v/>
      </c>
      <c r="F27" s="20" t="str">
        <f aca="false">IF($A27="","",COUNTIFS(매출내역!$B$3:$B$3002,$A27,매출내역!$I$3:$I$3002,"&gt;0"))</f>
        <v/>
      </c>
      <c r="G27" s="21" t="str">
        <f aca="true">IF($A27="","",IF($F27=0,0,TODAY()-_xlfn.MINIFS(매출내역!$A$3:$A$3002,매출내역!$B$3:$B$3002,$A27,매출내역!$I$3:$I$3002,"&gt;0")))</f>
        <v/>
      </c>
      <c r="H27" s="20" t="str">
        <f aca="false">IF($A27="","",IF($I27=0,"한도미설정",IF($E27&gt;$I27,"한도초과","정상")))</f>
        <v/>
      </c>
      <c r="I27" s="15" t="str">
        <f aca="false">IF($A27="","",IF(거래처목록!$D24="",0,거래처목록!$D24))</f>
        <v/>
      </c>
    </row>
    <row r="28" customFormat="false" ht="15" hidden="false" customHeight="true" outlineLevel="0" collapsed="false">
      <c r="A28" s="19" t="str">
        <f aca="false">IF(거래처목록!$A25="","",거래처목록!$A25)</f>
        <v/>
      </c>
      <c r="B28" s="19" t="str">
        <f aca="false">IF($A28="","",거래처목록!$B25)</f>
        <v/>
      </c>
      <c r="C28" s="15" t="str">
        <f aca="false">IF($A28="","",SUMIFS(매출내역!$F$3:$F$3002,매출내역!$B$3:$B$3002,$A28))</f>
        <v/>
      </c>
      <c r="D28" s="15" t="str">
        <f aca="false">IF($A28="","",SUMIFS(매출내역!$H$3:$H$3002,매출내역!$B$3:$B$3002,$A28))</f>
        <v/>
      </c>
      <c r="E28" s="15" t="str">
        <f aca="false">IF($A28="","",$C28-$D28)</f>
        <v/>
      </c>
      <c r="F28" s="20" t="str">
        <f aca="false">IF($A28="","",COUNTIFS(매출내역!$B$3:$B$3002,$A28,매출내역!$I$3:$I$3002,"&gt;0"))</f>
        <v/>
      </c>
      <c r="G28" s="21" t="str">
        <f aca="true">IF($A28="","",IF($F28=0,0,TODAY()-_xlfn.MINIFS(매출내역!$A$3:$A$3002,매출내역!$B$3:$B$3002,$A28,매출내역!$I$3:$I$3002,"&gt;0")))</f>
        <v/>
      </c>
      <c r="H28" s="20" t="str">
        <f aca="false">IF($A28="","",IF($I28=0,"한도미설정",IF($E28&gt;$I28,"한도초과","정상")))</f>
        <v/>
      </c>
      <c r="I28" s="15" t="str">
        <f aca="false">IF($A28="","",IF(거래처목록!$D25="",0,거래처목록!$D25))</f>
        <v/>
      </c>
    </row>
    <row r="29" customFormat="false" ht="15" hidden="false" customHeight="true" outlineLevel="0" collapsed="false">
      <c r="A29" s="19" t="str">
        <f aca="false">IF(거래처목록!$A26="","",거래처목록!$A26)</f>
        <v/>
      </c>
      <c r="B29" s="19" t="str">
        <f aca="false">IF($A29="","",거래처목록!$B26)</f>
        <v/>
      </c>
      <c r="C29" s="15" t="str">
        <f aca="false">IF($A29="","",SUMIFS(매출내역!$F$3:$F$3002,매출내역!$B$3:$B$3002,$A29))</f>
        <v/>
      </c>
      <c r="D29" s="15" t="str">
        <f aca="false">IF($A29="","",SUMIFS(매출내역!$H$3:$H$3002,매출내역!$B$3:$B$3002,$A29))</f>
        <v/>
      </c>
      <c r="E29" s="15" t="str">
        <f aca="false">IF($A29="","",$C29-$D29)</f>
        <v/>
      </c>
      <c r="F29" s="20" t="str">
        <f aca="false">IF($A29="","",COUNTIFS(매출내역!$B$3:$B$3002,$A29,매출내역!$I$3:$I$3002,"&gt;0"))</f>
        <v/>
      </c>
      <c r="G29" s="21" t="str">
        <f aca="true">IF($A29="","",IF($F29=0,0,TODAY()-_xlfn.MINIFS(매출내역!$A$3:$A$3002,매출내역!$B$3:$B$3002,$A29,매출내역!$I$3:$I$3002,"&gt;0")))</f>
        <v/>
      </c>
      <c r="H29" s="20" t="str">
        <f aca="false">IF($A29="","",IF($I29=0,"한도미설정",IF($E29&gt;$I29,"한도초과","정상")))</f>
        <v/>
      </c>
      <c r="I29" s="15" t="str">
        <f aca="false">IF($A29="","",IF(거래처목록!$D26="",0,거래처목록!$D26))</f>
        <v/>
      </c>
    </row>
    <row r="30" customFormat="false" ht="15" hidden="false" customHeight="true" outlineLevel="0" collapsed="false">
      <c r="A30" s="19" t="str">
        <f aca="false">IF(거래처목록!$A27="","",거래처목록!$A27)</f>
        <v/>
      </c>
      <c r="B30" s="19" t="str">
        <f aca="false">IF($A30="","",거래처목록!$B27)</f>
        <v/>
      </c>
      <c r="C30" s="15" t="str">
        <f aca="false">IF($A30="","",SUMIFS(매출내역!$F$3:$F$3002,매출내역!$B$3:$B$3002,$A30))</f>
        <v/>
      </c>
      <c r="D30" s="15" t="str">
        <f aca="false">IF($A30="","",SUMIFS(매출내역!$H$3:$H$3002,매출내역!$B$3:$B$3002,$A30))</f>
        <v/>
      </c>
      <c r="E30" s="15" t="str">
        <f aca="false">IF($A30="","",$C30-$D30)</f>
        <v/>
      </c>
      <c r="F30" s="20" t="str">
        <f aca="false">IF($A30="","",COUNTIFS(매출내역!$B$3:$B$3002,$A30,매출내역!$I$3:$I$3002,"&gt;0"))</f>
        <v/>
      </c>
      <c r="G30" s="21" t="str">
        <f aca="true">IF($A30="","",IF($F30=0,0,TODAY()-_xlfn.MINIFS(매출내역!$A$3:$A$3002,매출내역!$B$3:$B$3002,$A30,매출내역!$I$3:$I$3002,"&gt;0")))</f>
        <v/>
      </c>
      <c r="H30" s="20" t="str">
        <f aca="false">IF($A30="","",IF($I30=0,"한도미설정",IF($E30&gt;$I30,"한도초과","정상")))</f>
        <v/>
      </c>
      <c r="I30" s="15" t="str">
        <f aca="false">IF($A30="","",IF(거래처목록!$D27="",0,거래처목록!$D27))</f>
        <v/>
      </c>
    </row>
    <row r="31" customFormat="false" ht="15" hidden="false" customHeight="true" outlineLevel="0" collapsed="false">
      <c r="A31" s="19" t="str">
        <f aca="false">IF(거래처목록!$A28="","",거래처목록!$A28)</f>
        <v/>
      </c>
      <c r="B31" s="19" t="str">
        <f aca="false">IF($A31="","",거래처목록!$B28)</f>
        <v/>
      </c>
      <c r="C31" s="15" t="str">
        <f aca="false">IF($A31="","",SUMIFS(매출내역!$F$3:$F$3002,매출내역!$B$3:$B$3002,$A31))</f>
        <v/>
      </c>
      <c r="D31" s="15" t="str">
        <f aca="false">IF($A31="","",SUMIFS(매출내역!$H$3:$H$3002,매출내역!$B$3:$B$3002,$A31))</f>
        <v/>
      </c>
      <c r="E31" s="15" t="str">
        <f aca="false">IF($A31="","",$C31-$D31)</f>
        <v/>
      </c>
      <c r="F31" s="20" t="str">
        <f aca="false">IF($A31="","",COUNTIFS(매출내역!$B$3:$B$3002,$A31,매출내역!$I$3:$I$3002,"&gt;0"))</f>
        <v/>
      </c>
      <c r="G31" s="21" t="str">
        <f aca="true">IF($A31="","",IF($F31=0,0,TODAY()-_xlfn.MINIFS(매출내역!$A$3:$A$3002,매출내역!$B$3:$B$3002,$A31,매출내역!$I$3:$I$3002,"&gt;0")))</f>
        <v/>
      </c>
      <c r="H31" s="20" t="str">
        <f aca="false">IF($A31="","",IF($I31=0,"한도미설정",IF($E31&gt;$I31,"한도초과","정상")))</f>
        <v/>
      </c>
      <c r="I31" s="15" t="str">
        <f aca="false">IF($A31="","",IF(거래처목록!$D28="",0,거래처목록!$D28))</f>
        <v/>
      </c>
    </row>
    <row r="32" customFormat="false" ht="15" hidden="false" customHeight="true" outlineLevel="0" collapsed="false">
      <c r="A32" s="19" t="str">
        <f aca="false">IF(거래처목록!$A29="","",거래처목록!$A29)</f>
        <v/>
      </c>
      <c r="B32" s="19" t="str">
        <f aca="false">IF($A32="","",거래처목록!$B29)</f>
        <v/>
      </c>
      <c r="C32" s="15" t="str">
        <f aca="false">IF($A32="","",SUMIFS(매출내역!$F$3:$F$3002,매출내역!$B$3:$B$3002,$A32))</f>
        <v/>
      </c>
      <c r="D32" s="15" t="str">
        <f aca="false">IF($A32="","",SUMIFS(매출내역!$H$3:$H$3002,매출내역!$B$3:$B$3002,$A32))</f>
        <v/>
      </c>
      <c r="E32" s="15" t="str">
        <f aca="false">IF($A32="","",$C32-$D32)</f>
        <v/>
      </c>
      <c r="F32" s="20" t="str">
        <f aca="false">IF($A32="","",COUNTIFS(매출내역!$B$3:$B$3002,$A32,매출내역!$I$3:$I$3002,"&gt;0"))</f>
        <v/>
      </c>
      <c r="G32" s="21" t="str">
        <f aca="true">IF($A32="","",IF($F32=0,0,TODAY()-_xlfn.MINIFS(매출내역!$A$3:$A$3002,매출내역!$B$3:$B$3002,$A32,매출내역!$I$3:$I$3002,"&gt;0")))</f>
        <v/>
      </c>
      <c r="H32" s="20" t="str">
        <f aca="false">IF($A32="","",IF($I32=0,"한도미설정",IF($E32&gt;$I32,"한도초과","정상")))</f>
        <v/>
      </c>
      <c r="I32" s="15" t="str">
        <f aca="false">IF($A32="","",IF(거래처목록!$D29="",0,거래처목록!$D29))</f>
        <v/>
      </c>
    </row>
    <row r="33" customFormat="false" ht="15" hidden="false" customHeight="true" outlineLevel="0" collapsed="false">
      <c r="A33" s="19" t="str">
        <f aca="false">IF(거래처목록!$A30="","",거래처목록!$A30)</f>
        <v/>
      </c>
      <c r="B33" s="19" t="str">
        <f aca="false">IF($A33="","",거래처목록!$B30)</f>
        <v/>
      </c>
      <c r="C33" s="15" t="str">
        <f aca="false">IF($A33="","",SUMIFS(매출내역!$F$3:$F$3002,매출내역!$B$3:$B$3002,$A33))</f>
        <v/>
      </c>
      <c r="D33" s="15" t="str">
        <f aca="false">IF($A33="","",SUMIFS(매출내역!$H$3:$H$3002,매출내역!$B$3:$B$3002,$A33))</f>
        <v/>
      </c>
      <c r="E33" s="15" t="str">
        <f aca="false">IF($A33="","",$C33-$D33)</f>
        <v/>
      </c>
      <c r="F33" s="20" t="str">
        <f aca="false">IF($A33="","",COUNTIFS(매출내역!$B$3:$B$3002,$A33,매출내역!$I$3:$I$3002,"&gt;0"))</f>
        <v/>
      </c>
      <c r="G33" s="21" t="str">
        <f aca="true">IF($A33="","",IF($F33=0,0,TODAY()-_xlfn.MINIFS(매출내역!$A$3:$A$3002,매출내역!$B$3:$B$3002,$A33,매출내역!$I$3:$I$3002,"&gt;0")))</f>
        <v/>
      </c>
      <c r="H33" s="20" t="str">
        <f aca="false">IF($A33="","",IF($I33=0,"한도미설정",IF($E33&gt;$I33,"한도초과","정상")))</f>
        <v/>
      </c>
      <c r="I33" s="15" t="str">
        <f aca="false">IF($A33="","",IF(거래처목록!$D30="",0,거래처목록!$D30))</f>
        <v/>
      </c>
    </row>
    <row r="34" customFormat="false" ht="15" hidden="false" customHeight="true" outlineLevel="0" collapsed="false">
      <c r="A34" s="19" t="str">
        <f aca="false">IF(거래처목록!$A31="","",거래처목록!$A31)</f>
        <v/>
      </c>
      <c r="B34" s="19" t="str">
        <f aca="false">IF($A34="","",거래처목록!$B31)</f>
        <v/>
      </c>
      <c r="C34" s="15" t="str">
        <f aca="false">IF($A34="","",SUMIFS(매출내역!$F$3:$F$3002,매출내역!$B$3:$B$3002,$A34))</f>
        <v/>
      </c>
      <c r="D34" s="15" t="str">
        <f aca="false">IF($A34="","",SUMIFS(매출내역!$H$3:$H$3002,매출내역!$B$3:$B$3002,$A34))</f>
        <v/>
      </c>
      <c r="E34" s="15" t="str">
        <f aca="false">IF($A34="","",$C34-$D34)</f>
        <v/>
      </c>
      <c r="F34" s="20" t="str">
        <f aca="false">IF($A34="","",COUNTIFS(매출내역!$B$3:$B$3002,$A34,매출내역!$I$3:$I$3002,"&gt;0"))</f>
        <v/>
      </c>
      <c r="G34" s="21" t="str">
        <f aca="true">IF($A34="","",IF($F34=0,0,TODAY()-_xlfn.MINIFS(매출내역!$A$3:$A$3002,매출내역!$B$3:$B$3002,$A34,매출내역!$I$3:$I$3002,"&gt;0")))</f>
        <v/>
      </c>
      <c r="H34" s="20" t="str">
        <f aca="false">IF($A34="","",IF($I34=0,"한도미설정",IF($E34&gt;$I34,"한도초과","정상")))</f>
        <v/>
      </c>
      <c r="I34" s="15" t="str">
        <f aca="false">IF($A34="","",IF(거래처목록!$D31="",0,거래처목록!$D31))</f>
        <v/>
      </c>
    </row>
    <row r="35" customFormat="false" ht="15" hidden="false" customHeight="true" outlineLevel="0" collapsed="false">
      <c r="A35" s="19" t="str">
        <f aca="false">IF(거래처목록!$A32="","",거래처목록!$A32)</f>
        <v/>
      </c>
      <c r="B35" s="19" t="str">
        <f aca="false">IF($A35="","",거래처목록!$B32)</f>
        <v/>
      </c>
      <c r="C35" s="15" t="str">
        <f aca="false">IF($A35="","",SUMIFS(매출내역!$F$3:$F$3002,매출내역!$B$3:$B$3002,$A35))</f>
        <v/>
      </c>
      <c r="D35" s="15" t="str">
        <f aca="false">IF($A35="","",SUMIFS(매출내역!$H$3:$H$3002,매출내역!$B$3:$B$3002,$A35))</f>
        <v/>
      </c>
      <c r="E35" s="15" t="str">
        <f aca="false">IF($A35="","",$C35-$D35)</f>
        <v/>
      </c>
      <c r="F35" s="20" t="str">
        <f aca="false">IF($A35="","",COUNTIFS(매출내역!$B$3:$B$3002,$A35,매출내역!$I$3:$I$3002,"&gt;0"))</f>
        <v/>
      </c>
      <c r="G35" s="21" t="str">
        <f aca="true">IF($A35="","",IF($F35=0,0,TODAY()-_xlfn.MINIFS(매출내역!$A$3:$A$3002,매출내역!$B$3:$B$3002,$A35,매출내역!$I$3:$I$3002,"&gt;0")))</f>
        <v/>
      </c>
      <c r="H35" s="20" t="str">
        <f aca="false">IF($A35="","",IF($I35=0,"한도미설정",IF($E35&gt;$I35,"한도초과","정상")))</f>
        <v/>
      </c>
      <c r="I35" s="15" t="str">
        <f aca="false">IF($A35="","",IF(거래처목록!$D32="",0,거래처목록!$D32))</f>
        <v/>
      </c>
    </row>
    <row r="36" customFormat="false" ht="15" hidden="false" customHeight="true" outlineLevel="0" collapsed="false">
      <c r="A36" s="19" t="str">
        <f aca="false">IF(거래처목록!$A33="","",거래처목록!$A33)</f>
        <v/>
      </c>
      <c r="B36" s="19" t="str">
        <f aca="false">IF($A36="","",거래처목록!$B33)</f>
        <v/>
      </c>
      <c r="C36" s="15" t="str">
        <f aca="false">IF($A36="","",SUMIFS(매출내역!$F$3:$F$3002,매출내역!$B$3:$B$3002,$A36))</f>
        <v/>
      </c>
      <c r="D36" s="15" t="str">
        <f aca="false">IF($A36="","",SUMIFS(매출내역!$H$3:$H$3002,매출내역!$B$3:$B$3002,$A36))</f>
        <v/>
      </c>
      <c r="E36" s="15" t="str">
        <f aca="false">IF($A36="","",$C36-$D36)</f>
        <v/>
      </c>
      <c r="F36" s="20" t="str">
        <f aca="false">IF($A36="","",COUNTIFS(매출내역!$B$3:$B$3002,$A36,매출내역!$I$3:$I$3002,"&gt;0"))</f>
        <v/>
      </c>
      <c r="G36" s="21" t="str">
        <f aca="true">IF($A36="","",IF($F36=0,0,TODAY()-_xlfn.MINIFS(매출내역!$A$3:$A$3002,매출내역!$B$3:$B$3002,$A36,매출내역!$I$3:$I$3002,"&gt;0")))</f>
        <v/>
      </c>
      <c r="H36" s="20" t="str">
        <f aca="false">IF($A36="","",IF($I36=0,"한도미설정",IF($E36&gt;$I36,"한도초과","정상")))</f>
        <v/>
      </c>
      <c r="I36" s="15" t="str">
        <f aca="false">IF($A36="","",IF(거래처목록!$D33="",0,거래처목록!$D33))</f>
        <v/>
      </c>
    </row>
    <row r="37" customFormat="false" ht="15" hidden="false" customHeight="true" outlineLevel="0" collapsed="false">
      <c r="A37" s="19" t="str">
        <f aca="false">IF(거래처목록!$A34="","",거래처목록!$A34)</f>
        <v/>
      </c>
      <c r="B37" s="19" t="str">
        <f aca="false">IF($A37="","",거래처목록!$B34)</f>
        <v/>
      </c>
      <c r="C37" s="15" t="str">
        <f aca="false">IF($A37="","",SUMIFS(매출내역!$F$3:$F$3002,매출내역!$B$3:$B$3002,$A37))</f>
        <v/>
      </c>
      <c r="D37" s="15" t="str">
        <f aca="false">IF($A37="","",SUMIFS(매출내역!$H$3:$H$3002,매출내역!$B$3:$B$3002,$A37))</f>
        <v/>
      </c>
      <c r="E37" s="15" t="str">
        <f aca="false">IF($A37="","",$C37-$D37)</f>
        <v/>
      </c>
      <c r="F37" s="20" t="str">
        <f aca="false">IF($A37="","",COUNTIFS(매출내역!$B$3:$B$3002,$A37,매출내역!$I$3:$I$3002,"&gt;0"))</f>
        <v/>
      </c>
      <c r="G37" s="21" t="str">
        <f aca="true">IF($A37="","",IF($F37=0,0,TODAY()-_xlfn.MINIFS(매출내역!$A$3:$A$3002,매출내역!$B$3:$B$3002,$A37,매출내역!$I$3:$I$3002,"&gt;0")))</f>
        <v/>
      </c>
      <c r="H37" s="20" t="str">
        <f aca="false">IF($A37="","",IF($I37=0,"한도미설정",IF($E37&gt;$I37,"한도초과","정상")))</f>
        <v/>
      </c>
      <c r="I37" s="15" t="str">
        <f aca="false">IF($A37="","",IF(거래처목록!$D34="",0,거래처목록!$D34))</f>
        <v/>
      </c>
    </row>
    <row r="38" customFormat="false" ht="15" hidden="false" customHeight="true" outlineLevel="0" collapsed="false">
      <c r="A38" s="19" t="str">
        <f aca="false">IF(거래처목록!$A35="","",거래처목록!$A35)</f>
        <v/>
      </c>
      <c r="B38" s="19" t="str">
        <f aca="false">IF($A38="","",거래처목록!$B35)</f>
        <v/>
      </c>
      <c r="C38" s="15" t="str">
        <f aca="false">IF($A38="","",SUMIFS(매출내역!$F$3:$F$3002,매출내역!$B$3:$B$3002,$A38))</f>
        <v/>
      </c>
      <c r="D38" s="15" t="str">
        <f aca="false">IF($A38="","",SUMIFS(매출내역!$H$3:$H$3002,매출내역!$B$3:$B$3002,$A38))</f>
        <v/>
      </c>
      <c r="E38" s="15" t="str">
        <f aca="false">IF($A38="","",$C38-$D38)</f>
        <v/>
      </c>
      <c r="F38" s="20" t="str">
        <f aca="false">IF($A38="","",COUNTIFS(매출내역!$B$3:$B$3002,$A38,매출내역!$I$3:$I$3002,"&gt;0"))</f>
        <v/>
      </c>
      <c r="G38" s="21" t="str">
        <f aca="true">IF($A38="","",IF($F38=0,0,TODAY()-_xlfn.MINIFS(매출내역!$A$3:$A$3002,매출내역!$B$3:$B$3002,$A38,매출내역!$I$3:$I$3002,"&gt;0")))</f>
        <v/>
      </c>
      <c r="H38" s="20" t="str">
        <f aca="false">IF($A38="","",IF($I38=0,"한도미설정",IF($E38&gt;$I38,"한도초과","정상")))</f>
        <v/>
      </c>
      <c r="I38" s="15" t="str">
        <f aca="false">IF($A38="","",IF(거래처목록!$D35="",0,거래처목록!$D35))</f>
        <v/>
      </c>
    </row>
    <row r="39" customFormat="false" ht="15" hidden="false" customHeight="true" outlineLevel="0" collapsed="false">
      <c r="A39" s="19" t="str">
        <f aca="false">IF(거래처목록!$A36="","",거래처목록!$A36)</f>
        <v/>
      </c>
      <c r="B39" s="19" t="str">
        <f aca="false">IF($A39="","",거래처목록!$B36)</f>
        <v/>
      </c>
      <c r="C39" s="15" t="str">
        <f aca="false">IF($A39="","",SUMIFS(매출내역!$F$3:$F$3002,매출내역!$B$3:$B$3002,$A39))</f>
        <v/>
      </c>
      <c r="D39" s="15" t="str">
        <f aca="false">IF($A39="","",SUMIFS(매출내역!$H$3:$H$3002,매출내역!$B$3:$B$3002,$A39))</f>
        <v/>
      </c>
      <c r="E39" s="15" t="str">
        <f aca="false">IF($A39="","",$C39-$D39)</f>
        <v/>
      </c>
      <c r="F39" s="20" t="str">
        <f aca="false">IF($A39="","",COUNTIFS(매출내역!$B$3:$B$3002,$A39,매출내역!$I$3:$I$3002,"&gt;0"))</f>
        <v/>
      </c>
      <c r="G39" s="21" t="str">
        <f aca="true">IF($A39="","",IF($F39=0,0,TODAY()-_xlfn.MINIFS(매출내역!$A$3:$A$3002,매출내역!$B$3:$B$3002,$A39,매출내역!$I$3:$I$3002,"&gt;0")))</f>
        <v/>
      </c>
      <c r="H39" s="20" t="str">
        <f aca="false">IF($A39="","",IF($I39=0,"한도미설정",IF($E39&gt;$I39,"한도초과","정상")))</f>
        <v/>
      </c>
      <c r="I39" s="15" t="str">
        <f aca="false">IF($A39="","",IF(거래처목록!$D36="",0,거래처목록!$D36))</f>
        <v/>
      </c>
    </row>
    <row r="40" customFormat="false" ht="15" hidden="false" customHeight="true" outlineLevel="0" collapsed="false">
      <c r="A40" s="19" t="str">
        <f aca="false">IF(거래처목록!$A37="","",거래처목록!$A37)</f>
        <v/>
      </c>
      <c r="B40" s="19" t="str">
        <f aca="false">IF($A40="","",거래처목록!$B37)</f>
        <v/>
      </c>
      <c r="C40" s="15" t="str">
        <f aca="false">IF($A40="","",SUMIFS(매출내역!$F$3:$F$3002,매출내역!$B$3:$B$3002,$A40))</f>
        <v/>
      </c>
      <c r="D40" s="15" t="str">
        <f aca="false">IF($A40="","",SUMIFS(매출내역!$H$3:$H$3002,매출내역!$B$3:$B$3002,$A40))</f>
        <v/>
      </c>
      <c r="E40" s="15" t="str">
        <f aca="false">IF($A40="","",$C40-$D40)</f>
        <v/>
      </c>
      <c r="F40" s="20" t="str">
        <f aca="false">IF($A40="","",COUNTIFS(매출내역!$B$3:$B$3002,$A40,매출내역!$I$3:$I$3002,"&gt;0"))</f>
        <v/>
      </c>
      <c r="G40" s="21" t="str">
        <f aca="true">IF($A40="","",IF($F40=0,0,TODAY()-_xlfn.MINIFS(매출내역!$A$3:$A$3002,매출내역!$B$3:$B$3002,$A40,매출내역!$I$3:$I$3002,"&gt;0")))</f>
        <v/>
      </c>
      <c r="H40" s="20" t="str">
        <f aca="false">IF($A40="","",IF($I40=0,"한도미설정",IF($E40&gt;$I40,"한도초과","정상")))</f>
        <v/>
      </c>
      <c r="I40" s="15" t="str">
        <f aca="false">IF($A40="","",IF(거래처목록!$D37="",0,거래처목록!$D37))</f>
        <v/>
      </c>
    </row>
    <row r="41" customFormat="false" ht="15" hidden="false" customHeight="true" outlineLevel="0" collapsed="false">
      <c r="A41" s="19" t="str">
        <f aca="false">IF(거래처목록!$A38="","",거래처목록!$A38)</f>
        <v/>
      </c>
      <c r="B41" s="19" t="str">
        <f aca="false">IF($A41="","",거래처목록!$B38)</f>
        <v/>
      </c>
      <c r="C41" s="15" t="str">
        <f aca="false">IF($A41="","",SUMIFS(매출내역!$F$3:$F$3002,매출내역!$B$3:$B$3002,$A41))</f>
        <v/>
      </c>
      <c r="D41" s="15" t="str">
        <f aca="false">IF($A41="","",SUMIFS(매출내역!$H$3:$H$3002,매출내역!$B$3:$B$3002,$A41))</f>
        <v/>
      </c>
      <c r="E41" s="15" t="str">
        <f aca="false">IF($A41="","",$C41-$D41)</f>
        <v/>
      </c>
      <c r="F41" s="20" t="str">
        <f aca="false">IF($A41="","",COUNTIFS(매출내역!$B$3:$B$3002,$A41,매출내역!$I$3:$I$3002,"&gt;0"))</f>
        <v/>
      </c>
      <c r="G41" s="21" t="str">
        <f aca="true">IF($A41="","",IF($F41=0,0,TODAY()-_xlfn.MINIFS(매출내역!$A$3:$A$3002,매출내역!$B$3:$B$3002,$A41,매출내역!$I$3:$I$3002,"&gt;0")))</f>
        <v/>
      </c>
      <c r="H41" s="20" t="str">
        <f aca="false">IF($A41="","",IF($I41=0,"한도미설정",IF($E41&gt;$I41,"한도초과","정상")))</f>
        <v/>
      </c>
      <c r="I41" s="15" t="str">
        <f aca="false">IF($A41="","",IF(거래처목록!$D38="",0,거래처목록!$D38))</f>
        <v/>
      </c>
    </row>
    <row r="42" customFormat="false" ht="15" hidden="false" customHeight="true" outlineLevel="0" collapsed="false">
      <c r="A42" s="19" t="str">
        <f aca="false">IF(거래처목록!$A39="","",거래처목록!$A39)</f>
        <v/>
      </c>
      <c r="B42" s="19" t="str">
        <f aca="false">IF($A42="","",거래처목록!$B39)</f>
        <v/>
      </c>
      <c r="C42" s="15" t="str">
        <f aca="false">IF($A42="","",SUMIFS(매출내역!$F$3:$F$3002,매출내역!$B$3:$B$3002,$A42))</f>
        <v/>
      </c>
      <c r="D42" s="15" t="str">
        <f aca="false">IF($A42="","",SUMIFS(매출내역!$H$3:$H$3002,매출내역!$B$3:$B$3002,$A42))</f>
        <v/>
      </c>
      <c r="E42" s="15" t="str">
        <f aca="false">IF($A42="","",$C42-$D42)</f>
        <v/>
      </c>
      <c r="F42" s="20" t="str">
        <f aca="false">IF($A42="","",COUNTIFS(매출내역!$B$3:$B$3002,$A42,매출내역!$I$3:$I$3002,"&gt;0"))</f>
        <v/>
      </c>
      <c r="G42" s="21" t="str">
        <f aca="true">IF($A42="","",IF($F42=0,0,TODAY()-_xlfn.MINIFS(매출내역!$A$3:$A$3002,매출내역!$B$3:$B$3002,$A42,매출내역!$I$3:$I$3002,"&gt;0")))</f>
        <v/>
      </c>
      <c r="H42" s="20" t="str">
        <f aca="false">IF($A42="","",IF($I42=0,"한도미설정",IF($E42&gt;$I42,"한도초과","정상")))</f>
        <v/>
      </c>
      <c r="I42" s="15" t="str">
        <f aca="false">IF($A42="","",IF(거래처목록!$D39="",0,거래처목록!$D39))</f>
        <v/>
      </c>
    </row>
    <row r="43" customFormat="false" ht="15" hidden="false" customHeight="true" outlineLevel="0" collapsed="false">
      <c r="A43" s="19" t="str">
        <f aca="false">IF(거래처목록!$A40="","",거래처목록!$A40)</f>
        <v/>
      </c>
      <c r="B43" s="19" t="str">
        <f aca="false">IF($A43="","",거래처목록!$B40)</f>
        <v/>
      </c>
      <c r="C43" s="15" t="str">
        <f aca="false">IF($A43="","",SUMIFS(매출내역!$F$3:$F$3002,매출내역!$B$3:$B$3002,$A43))</f>
        <v/>
      </c>
      <c r="D43" s="15" t="str">
        <f aca="false">IF($A43="","",SUMIFS(매출내역!$H$3:$H$3002,매출내역!$B$3:$B$3002,$A43))</f>
        <v/>
      </c>
      <c r="E43" s="15" t="str">
        <f aca="false">IF($A43="","",$C43-$D43)</f>
        <v/>
      </c>
      <c r="F43" s="20" t="str">
        <f aca="false">IF($A43="","",COUNTIFS(매출내역!$B$3:$B$3002,$A43,매출내역!$I$3:$I$3002,"&gt;0"))</f>
        <v/>
      </c>
      <c r="G43" s="21" t="str">
        <f aca="true">IF($A43="","",IF($F43=0,0,TODAY()-_xlfn.MINIFS(매출내역!$A$3:$A$3002,매출내역!$B$3:$B$3002,$A43,매출내역!$I$3:$I$3002,"&gt;0")))</f>
        <v/>
      </c>
      <c r="H43" s="20" t="str">
        <f aca="false">IF($A43="","",IF($I43=0,"한도미설정",IF($E43&gt;$I43,"한도초과","정상")))</f>
        <v/>
      </c>
      <c r="I43" s="15" t="str">
        <f aca="false">IF($A43="","",IF(거래처목록!$D40="",0,거래처목록!$D40))</f>
        <v/>
      </c>
    </row>
    <row r="44" customFormat="false" ht="15" hidden="false" customHeight="true" outlineLevel="0" collapsed="false">
      <c r="A44" s="19" t="str">
        <f aca="false">IF(거래처목록!$A41="","",거래처목록!$A41)</f>
        <v/>
      </c>
      <c r="B44" s="19" t="str">
        <f aca="false">IF($A44="","",거래처목록!$B41)</f>
        <v/>
      </c>
      <c r="C44" s="15" t="str">
        <f aca="false">IF($A44="","",SUMIFS(매출내역!$F$3:$F$3002,매출내역!$B$3:$B$3002,$A44))</f>
        <v/>
      </c>
      <c r="D44" s="15" t="str">
        <f aca="false">IF($A44="","",SUMIFS(매출내역!$H$3:$H$3002,매출내역!$B$3:$B$3002,$A44))</f>
        <v/>
      </c>
      <c r="E44" s="15" t="str">
        <f aca="false">IF($A44="","",$C44-$D44)</f>
        <v/>
      </c>
      <c r="F44" s="20" t="str">
        <f aca="false">IF($A44="","",COUNTIFS(매출내역!$B$3:$B$3002,$A44,매출내역!$I$3:$I$3002,"&gt;0"))</f>
        <v/>
      </c>
      <c r="G44" s="21" t="str">
        <f aca="true">IF($A44="","",IF($F44=0,0,TODAY()-_xlfn.MINIFS(매출내역!$A$3:$A$3002,매출내역!$B$3:$B$3002,$A44,매출내역!$I$3:$I$3002,"&gt;0")))</f>
        <v/>
      </c>
      <c r="H44" s="20" t="str">
        <f aca="false">IF($A44="","",IF($I44=0,"한도미설정",IF($E44&gt;$I44,"한도초과","정상")))</f>
        <v/>
      </c>
      <c r="I44" s="15" t="str">
        <f aca="false">IF($A44="","",IF(거래처목록!$D41="",0,거래처목록!$D41))</f>
        <v/>
      </c>
    </row>
    <row r="45" customFormat="false" ht="15" hidden="false" customHeight="true" outlineLevel="0" collapsed="false">
      <c r="A45" s="19" t="str">
        <f aca="false">IF(거래처목록!$A42="","",거래처목록!$A42)</f>
        <v/>
      </c>
      <c r="B45" s="19" t="str">
        <f aca="false">IF($A45="","",거래처목록!$B42)</f>
        <v/>
      </c>
      <c r="C45" s="15" t="str">
        <f aca="false">IF($A45="","",SUMIFS(매출내역!$F$3:$F$3002,매출내역!$B$3:$B$3002,$A45))</f>
        <v/>
      </c>
      <c r="D45" s="15" t="str">
        <f aca="false">IF($A45="","",SUMIFS(매출내역!$H$3:$H$3002,매출내역!$B$3:$B$3002,$A45))</f>
        <v/>
      </c>
      <c r="E45" s="15" t="str">
        <f aca="false">IF($A45="","",$C45-$D45)</f>
        <v/>
      </c>
      <c r="F45" s="20" t="str">
        <f aca="false">IF($A45="","",COUNTIFS(매출내역!$B$3:$B$3002,$A45,매출내역!$I$3:$I$3002,"&gt;0"))</f>
        <v/>
      </c>
      <c r="G45" s="21" t="str">
        <f aca="true">IF($A45="","",IF($F45=0,0,TODAY()-_xlfn.MINIFS(매출내역!$A$3:$A$3002,매출내역!$B$3:$B$3002,$A45,매출내역!$I$3:$I$3002,"&gt;0")))</f>
        <v/>
      </c>
      <c r="H45" s="20" t="str">
        <f aca="false">IF($A45="","",IF($I45=0,"한도미설정",IF($E45&gt;$I45,"한도초과","정상")))</f>
        <v/>
      </c>
      <c r="I45" s="15" t="str">
        <f aca="false">IF($A45="","",IF(거래처목록!$D42="",0,거래처목록!$D42))</f>
        <v/>
      </c>
    </row>
    <row r="46" customFormat="false" ht="15" hidden="false" customHeight="true" outlineLevel="0" collapsed="false">
      <c r="A46" s="19" t="str">
        <f aca="false">IF(거래처목록!$A43="","",거래처목록!$A43)</f>
        <v/>
      </c>
      <c r="B46" s="19" t="str">
        <f aca="false">IF($A46="","",거래처목록!$B43)</f>
        <v/>
      </c>
      <c r="C46" s="15" t="str">
        <f aca="false">IF($A46="","",SUMIFS(매출내역!$F$3:$F$3002,매출내역!$B$3:$B$3002,$A46))</f>
        <v/>
      </c>
      <c r="D46" s="15" t="str">
        <f aca="false">IF($A46="","",SUMIFS(매출내역!$H$3:$H$3002,매출내역!$B$3:$B$3002,$A46))</f>
        <v/>
      </c>
      <c r="E46" s="15" t="str">
        <f aca="false">IF($A46="","",$C46-$D46)</f>
        <v/>
      </c>
      <c r="F46" s="20" t="str">
        <f aca="false">IF($A46="","",COUNTIFS(매출내역!$B$3:$B$3002,$A46,매출내역!$I$3:$I$3002,"&gt;0"))</f>
        <v/>
      </c>
      <c r="G46" s="21" t="str">
        <f aca="true">IF($A46="","",IF($F46=0,0,TODAY()-_xlfn.MINIFS(매출내역!$A$3:$A$3002,매출내역!$B$3:$B$3002,$A46,매출내역!$I$3:$I$3002,"&gt;0")))</f>
        <v/>
      </c>
      <c r="H46" s="20" t="str">
        <f aca="false">IF($A46="","",IF($I46=0,"한도미설정",IF($E46&gt;$I46,"한도초과","정상")))</f>
        <v/>
      </c>
      <c r="I46" s="15" t="str">
        <f aca="false">IF($A46="","",IF(거래처목록!$D43="",0,거래처목록!$D43))</f>
        <v/>
      </c>
    </row>
    <row r="47" customFormat="false" ht="15" hidden="false" customHeight="true" outlineLevel="0" collapsed="false">
      <c r="A47" s="19" t="str">
        <f aca="false">IF(거래처목록!$A44="","",거래처목록!$A44)</f>
        <v/>
      </c>
      <c r="B47" s="19" t="str">
        <f aca="false">IF($A47="","",거래처목록!$B44)</f>
        <v/>
      </c>
      <c r="C47" s="15" t="str">
        <f aca="false">IF($A47="","",SUMIFS(매출내역!$F$3:$F$3002,매출내역!$B$3:$B$3002,$A47))</f>
        <v/>
      </c>
      <c r="D47" s="15" t="str">
        <f aca="false">IF($A47="","",SUMIFS(매출내역!$H$3:$H$3002,매출내역!$B$3:$B$3002,$A47))</f>
        <v/>
      </c>
      <c r="E47" s="15" t="str">
        <f aca="false">IF($A47="","",$C47-$D47)</f>
        <v/>
      </c>
      <c r="F47" s="20" t="str">
        <f aca="false">IF($A47="","",COUNTIFS(매출내역!$B$3:$B$3002,$A47,매출내역!$I$3:$I$3002,"&gt;0"))</f>
        <v/>
      </c>
      <c r="G47" s="21" t="str">
        <f aca="true">IF($A47="","",IF($F47=0,0,TODAY()-_xlfn.MINIFS(매출내역!$A$3:$A$3002,매출내역!$B$3:$B$3002,$A47,매출내역!$I$3:$I$3002,"&gt;0")))</f>
        <v/>
      </c>
      <c r="H47" s="20" t="str">
        <f aca="false">IF($A47="","",IF($I47=0,"한도미설정",IF($E47&gt;$I47,"한도초과","정상")))</f>
        <v/>
      </c>
      <c r="I47" s="15" t="str">
        <f aca="false">IF($A47="","",IF(거래처목록!$D44="",0,거래처목록!$D44))</f>
        <v/>
      </c>
    </row>
    <row r="48" customFormat="false" ht="15" hidden="false" customHeight="true" outlineLevel="0" collapsed="false">
      <c r="A48" s="19" t="str">
        <f aca="false">IF(거래처목록!$A45="","",거래처목록!$A45)</f>
        <v/>
      </c>
      <c r="B48" s="19" t="str">
        <f aca="false">IF($A48="","",거래처목록!$B45)</f>
        <v/>
      </c>
      <c r="C48" s="15" t="str">
        <f aca="false">IF($A48="","",SUMIFS(매출내역!$F$3:$F$3002,매출내역!$B$3:$B$3002,$A48))</f>
        <v/>
      </c>
      <c r="D48" s="15" t="str">
        <f aca="false">IF($A48="","",SUMIFS(매출내역!$H$3:$H$3002,매출내역!$B$3:$B$3002,$A48))</f>
        <v/>
      </c>
      <c r="E48" s="15" t="str">
        <f aca="false">IF($A48="","",$C48-$D48)</f>
        <v/>
      </c>
      <c r="F48" s="20" t="str">
        <f aca="false">IF($A48="","",COUNTIFS(매출내역!$B$3:$B$3002,$A48,매출내역!$I$3:$I$3002,"&gt;0"))</f>
        <v/>
      </c>
      <c r="G48" s="21" t="str">
        <f aca="true">IF($A48="","",IF($F48=0,0,TODAY()-_xlfn.MINIFS(매출내역!$A$3:$A$3002,매출내역!$B$3:$B$3002,$A48,매출내역!$I$3:$I$3002,"&gt;0")))</f>
        <v/>
      </c>
      <c r="H48" s="20" t="str">
        <f aca="false">IF($A48="","",IF($I48=0,"한도미설정",IF($E48&gt;$I48,"한도초과","정상")))</f>
        <v/>
      </c>
      <c r="I48" s="15" t="str">
        <f aca="false">IF($A48="","",IF(거래처목록!$D45="",0,거래처목록!$D45))</f>
        <v/>
      </c>
    </row>
    <row r="49" customFormat="false" ht="15" hidden="false" customHeight="true" outlineLevel="0" collapsed="false">
      <c r="A49" s="19" t="str">
        <f aca="false">IF(거래처목록!$A46="","",거래처목록!$A46)</f>
        <v/>
      </c>
      <c r="B49" s="19" t="str">
        <f aca="false">IF($A49="","",거래처목록!$B46)</f>
        <v/>
      </c>
      <c r="C49" s="15" t="str">
        <f aca="false">IF($A49="","",SUMIFS(매출내역!$F$3:$F$3002,매출내역!$B$3:$B$3002,$A49))</f>
        <v/>
      </c>
      <c r="D49" s="15" t="str">
        <f aca="false">IF($A49="","",SUMIFS(매출내역!$H$3:$H$3002,매출내역!$B$3:$B$3002,$A49))</f>
        <v/>
      </c>
      <c r="E49" s="15" t="str">
        <f aca="false">IF($A49="","",$C49-$D49)</f>
        <v/>
      </c>
      <c r="F49" s="20" t="str">
        <f aca="false">IF($A49="","",COUNTIFS(매출내역!$B$3:$B$3002,$A49,매출내역!$I$3:$I$3002,"&gt;0"))</f>
        <v/>
      </c>
      <c r="G49" s="21" t="str">
        <f aca="true">IF($A49="","",IF($F49=0,0,TODAY()-_xlfn.MINIFS(매출내역!$A$3:$A$3002,매출내역!$B$3:$B$3002,$A49,매출내역!$I$3:$I$3002,"&gt;0")))</f>
        <v/>
      </c>
      <c r="H49" s="20" t="str">
        <f aca="false">IF($A49="","",IF($I49=0,"한도미설정",IF($E49&gt;$I49,"한도초과","정상")))</f>
        <v/>
      </c>
      <c r="I49" s="15" t="str">
        <f aca="false">IF($A49="","",IF(거래처목록!$D46="",0,거래처목록!$D46))</f>
        <v/>
      </c>
    </row>
    <row r="50" customFormat="false" ht="15" hidden="false" customHeight="true" outlineLevel="0" collapsed="false">
      <c r="A50" s="19" t="str">
        <f aca="false">IF(거래처목록!$A47="","",거래처목록!$A47)</f>
        <v/>
      </c>
      <c r="B50" s="19" t="str">
        <f aca="false">IF($A50="","",거래처목록!$B47)</f>
        <v/>
      </c>
      <c r="C50" s="15" t="str">
        <f aca="false">IF($A50="","",SUMIFS(매출내역!$F$3:$F$3002,매출내역!$B$3:$B$3002,$A50))</f>
        <v/>
      </c>
      <c r="D50" s="15" t="str">
        <f aca="false">IF($A50="","",SUMIFS(매출내역!$H$3:$H$3002,매출내역!$B$3:$B$3002,$A50))</f>
        <v/>
      </c>
      <c r="E50" s="15" t="str">
        <f aca="false">IF($A50="","",$C50-$D50)</f>
        <v/>
      </c>
      <c r="F50" s="20" t="str">
        <f aca="false">IF($A50="","",COUNTIFS(매출내역!$B$3:$B$3002,$A50,매출내역!$I$3:$I$3002,"&gt;0"))</f>
        <v/>
      </c>
      <c r="G50" s="21" t="str">
        <f aca="true">IF($A50="","",IF($F50=0,0,TODAY()-_xlfn.MINIFS(매출내역!$A$3:$A$3002,매출내역!$B$3:$B$3002,$A50,매출내역!$I$3:$I$3002,"&gt;0")))</f>
        <v/>
      </c>
      <c r="H50" s="20" t="str">
        <f aca="false">IF($A50="","",IF($I50=0,"한도미설정",IF($E50&gt;$I50,"한도초과","정상")))</f>
        <v/>
      </c>
      <c r="I50" s="15" t="str">
        <f aca="false">IF($A50="","",IF(거래처목록!$D47="",0,거래처목록!$D47))</f>
        <v/>
      </c>
    </row>
    <row r="51" customFormat="false" ht="15" hidden="false" customHeight="true" outlineLevel="0" collapsed="false">
      <c r="A51" s="19" t="str">
        <f aca="false">IF(거래처목록!$A48="","",거래처목록!$A48)</f>
        <v/>
      </c>
      <c r="B51" s="19" t="str">
        <f aca="false">IF($A51="","",거래처목록!$B48)</f>
        <v/>
      </c>
      <c r="C51" s="15" t="str">
        <f aca="false">IF($A51="","",SUMIFS(매출내역!$F$3:$F$3002,매출내역!$B$3:$B$3002,$A51))</f>
        <v/>
      </c>
      <c r="D51" s="15" t="str">
        <f aca="false">IF($A51="","",SUMIFS(매출내역!$H$3:$H$3002,매출내역!$B$3:$B$3002,$A51))</f>
        <v/>
      </c>
      <c r="E51" s="15" t="str">
        <f aca="false">IF($A51="","",$C51-$D51)</f>
        <v/>
      </c>
      <c r="F51" s="20" t="str">
        <f aca="false">IF($A51="","",COUNTIFS(매출내역!$B$3:$B$3002,$A51,매출내역!$I$3:$I$3002,"&gt;0"))</f>
        <v/>
      </c>
      <c r="G51" s="21" t="str">
        <f aca="true">IF($A51="","",IF($F51=0,0,TODAY()-_xlfn.MINIFS(매출내역!$A$3:$A$3002,매출내역!$B$3:$B$3002,$A51,매출내역!$I$3:$I$3002,"&gt;0")))</f>
        <v/>
      </c>
      <c r="H51" s="20" t="str">
        <f aca="false">IF($A51="","",IF($I51=0,"한도미설정",IF($E51&gt;$I51,"한도초과","정상")))</f>
        <v/>
      </c>
      <c r="I51" s="15" t="str">
        <f aca="false">IF($A51="","",IF(거래처목록!$D48="",0,거래처목록!$D48))</f>
        <v/>
      </c>
    </row>
    <row r="52" customFormat="false" ht="15" hidden="false" customHeight="true" outlineLevel="0" collapsed="false">
      <c r="A52" s="19" t="str">
        <f aca="false">IF(거래처목록!$A49="","",거래처목록!$A49)</f>
        <v/>
      </c>
      <c r="B52" s="19" t="str">
        <f aca="false">IF($A52="","",거래처목록!$B49)</f>
        <v/>
      </c>
      <c r="C52" s="15" t="str">
        <f aca="false">IF($A52="","",SUMIFS(매출내역!$F$3:$F$3002,매출내역!$B$3:$B$3002,$A52))</f>
        <v/>
      </c>
      <c r="D52" s="15" t="str">
        <f aca="false">IF($A52="","",SUMIFS(매출내역!$H$3:$H$3002,매출내역!$B$3:$B$3002,$A52))</f>
        <v/>
      </c>
      <c r="E52" s="15" t="str">
        <f aca="false">IF($A52="","",$C52-$D52)</f>
        <v/>
      </c>
      <c r="F52" s="20" t="str">
        <f aca="false">IF($A52="","",COUNTIFS(매출내역!$B$3:$B$3002,$A52,매출내역!$I$3:$I$3002,"&gt;0"))</f>
        <v/>
      </c>
      <c r="G52" s="21" t="str">
        <f aca="true">IF($A52="","",IF($F52=0,0,TODAY()-_xlfn.MINIFS(매출내역!$A$3:$A$3002,매출내역!$B$3:$B$3002,$A52,매출내역!$I$3:$I$3002,"&gt;0")))</f>
        <v/>
      </c>
      <c r="H52" s="20" t="str">
        <f aca="false">IF($A52="","",IF($I52=0,"한도미설정",IF($E52&gt;$I52,"한도초과","정상")))</f>
        <v/>
      </c>
      <c r="I52" s="15" t="str">
        <f aca="false">IF($A52="","",IF(거래처목록!$D49="",0,거래처목록!$D49))</f>
        <v/>
      </c>
    </row>
    <row r="53" customFormat="false" ht="15" hidden="false" customHeight="true" outlineLevel="0" collapsed="false">
      <c r="A53" s="19" t="str">
        <f aca="false">IF(거래처목록!$A50="","",거래처목록!$A50)</f>
        <v/>
      </c>
      <c r="B53" s="19" t="str">
        <f aca="false">IF($A53="","",거래처목록!$B50)</f>
        <v/>
      </c>
      <c r="C53" s="15" t="str">
        <f aca="false">IF($A53="","",SUMIFS(매출내역!$F$3:$F$3002,매출내역!$B$3:$B$3002,$A53))</f>
        <v/>
      </c>
      <c r="D53" s="15" t="str">
        <f aca="false">IF($A53="","",SUMIFS(매출내역!$H$3:$H$3002,매출내역!$B$3:$B$3002,$A53))</f>
        <v/>
      </c>
      <c r="E53" s="15" t="str">
        <f aca="false">IF($A53="","",$C53-$D53)</f>
        <v/>
      </c>
      <c r="F53" s="20" t="str">
        <f aca="false">IF($A53="","",COUNTIFS(매출내역!$B$3:$B$3002,$A53,매출내역!$I$3:$I$3002,"&gt;0"))</f>
        <v/>
      </c>
      <c r="G53" s="21" t="str">
        <f aca="true">IF($A53="","",IF($F53=0,0,TODAY()-_xlfn.MINIFS(매출내역!$A$3:$A$3002,매출내역!$B$3:$B$3002,$A53,매출내역!$I$3:$I$3002,"&gt;0")))</f>
        <v/>
      </c>
      <c r="H53" s="20" t="str">
        <f aca="false">IF($A53="","",IF($I53=0,"한도미설정",IF($E53&gt;$I53,"한도초과","정상")))</f>
        <v/>
      </c>
      <c r="I53" s="15" t="str">
        <f aca="false">IF($A53="","",IF(거래처목록!$D50="",0,거래처목록!$D50))</f>
        <v/>
      </c>
    </row>
    <row r="54" customFormat="false" ht="15" hidden="false" customHeight="true" outlineLevel="0" collapsed="false">
      <c r="A54" s="19" t="str">
        <f aca="false">IF(거래처목록!$A51="","",거래처목록!$A51)</f>
        <v/>
      </c>
      <c r="B54" s="19" t="str">
        <f aca="false">IF($A54="","",거래처목록!$B51)</f>
        <v/>
      </c>
      <c r="C54" s="15" t="str">
        <f aca="false">IF($A54="","",SUMIFS(매출내역!$F$3:$F$3002,매출내역!$B$3:$B$3002,$A54))</f>
        <v/>
      </c>
      <c r="D54" s="15" t="str">
        <f aca="false">IF($A54="","",SUMIFS(매출내역!$H$3:$H$3002,매출내역!$B$3:$B$3002,$A54))</f>
        <v/>
      </c>
      <c r="E54" s="15" t="str">
        <f aca="false">IF($A54="","",$C54-$D54)</f>
        <v/>
      </c>
      <c r="F54" s="20" t="str">
        <f aca="false">IF($A54="","",COUNTIFS(매출내역!$B$3:$B$3002,$A54,매출내역!$I$3:$I$3002,"&gt;0"))</f>
        <v/>
      </c>
      <c r="G54" s="21" t="str">
        <f aca="true">IF($A54="","",IF($F54=0,0,TODAY()-_xlfn.MINIFS(매출내역!$A$3:$A$3002,매출내역!$B$3:$B$3002,$A54,매출내역!$I$3:$I$3002,"&gt;0")))</f>
        <v/>
      </c>
      <c r="H54" s="20" t="str">
        <f aca="false">IF($A54="","",IF($I54=0,"한도미설정",IF($E54&gt;$I54,"한도초과","정상")))</f>
        <v/>
      </c>
      <c r="I54" s="15" t="str">
        <f aca="false">IF($A54="","",IF(거래처목록!$D51="",0,거래처목록!$D51))</f>
        <v/>
      </c>
    </row>
    <row r="55" customFormat="false" ht="15" hidden="false" customHeight="true" outlineLevel="0" collapsed="false">
      <c r="A55" s="19" t="str">
        <f aca="false">IF(거래처목록!$A52="","",거래처목록!$A52)</f>
        <v/>
      </c>
      <c r="B55" s="19" t="str">
        <f aca="false">IF($A55="","",거래처목록!$B52)</f>
        <v/>
      </c>
      <c r="C55" s="15" t="str">
        <f aca="false">IF($A55="","",SUMIFS(매출내역!$F$3:$F$3002,매출내역!$B$3:$B$3002,$A55))</f>
        <v/>
      </c>
      <c r="D55" s="15" t="str">
        <f aca="false">IF($A55="","",SUMIFS(매출내역!$H$3:$H$3002,매출내역!$B$3:$B$3002,$A55))</f>
        <v/>
      </c>
      <c r="E55" s="15" t="str">
        <f aca="false">IF($A55="","",$C55-$D55)</f>
        <v/>
      </c>
      <c r="F55" s="20" t="str">
        <f aca="false">IF($A55="","",COUNTIFS(매출내역!$B$3:$B$3002,$A55,매출내역!$I$3:$I$3002,"&gt;0"))</f>
        <v/>
      </c>
      <c r="G55" s="21" t="str">
        <f aca="true">IF($A55="","",IF($F55=0,0,TODAY()-_xlfn.MINIFS(매출내역!$A$3:$A$3002,매출내역!$B$3:$B$3002,$A55,매출내역!$I$3:$I$3002,"&gt;0")))</f>
        <v/>
      </c>
      <c r="H55" s="20" t="str">
        <f aca="false">IF($A55="","",IF($I55=0,"한도미설정",IF($E55&gt;$I55,"한도초과","정상")))</f>
        <v/>
      </c>
      <c r="I55" s="15" t="str">
        <f aca="false">IF($A55="","",IF(거래처목록!$D52="",0,거래처목록!$D52))</f>
        <v/>
      </c>
    </row>
    <row r="56" customFormat="false" ht="15" hidden="false" customHeight="true" outlineLevel="0" collapsed="false">
      <c r="A56" s="19" t="str">
        <f aca="false">IF(거래처목록!$A53="","",거래처목록!$A53)</f>
        <v/>
      </c>
      <c r="B56" s="19" t="str">
        <f aca="false">IF($A56="","",거래처목록!$B53)</f>
        <v/>
      </c>
      <c r="C56" s="15" t="str">
        <f aca="false">IF($A56="","",SUMIFS(매출내역!$F$3:$F$3002,매출내역!$B$3:$B$3002,$A56))</f>
        <v/>
      </c>
      <c r="D56" s="15" t="str">
        <f aca="false">IF($A56="","",SUMIFS(매출내역!$H$3:$H$3002,매출내역!$B$3:$B$3002,$A56))</f>
        <v/>
      </c>
      <c r="E56" s="15" t="str">
        <f aca="false">IF($A56="","",$C56-$D56)</f>
        <v/>
      </c>
      <c r="F56" s="20" t="str">
        <f aca="false">IF($A56="","",COUNTIFS(매출내역!$B$3:$B$3002,$A56,매출내역!$I$3:$I$3002,"&gt;0"))</f>
        <v/>
      </c>
      <c r="G56" s="21" t="str">
        <f aca="true">IF($A56="","",IF($F56=0,0,TODAY()-_xlfn.MINIFS(매출내역!$A$3:$A$3002,매출내역!$B$3:$B$3002,$A56,매출내역!$I$3:$I$3002,"&gt;0")))</f>
        <v/>
      </c>
      <c r="H56" s="20" t="str">
        <f aca="false">IF($A56="","",IF($I56=0,"한도미설정",IF($E56&gt;$I56,"한도초과","정상")))</f>
        <v/>
      </c>
      <c r="I56" s="15" t="str">
        <f aca="false">IF($A56="","",IF(거래처목록!$D53="",0,거래처목록!$D53))</f>
        <v/>
      </c>
    </row>
    <row r="57" customFormat="false" ht="15" hidden="false" customHeight="true" outlineLevel="0" collapsed="false">
      <c r="A57" s="19" t="str">
        <f aca="false">IF(거래처목록!$A54="","",거래처목록!$A54)</f>
        <v/>
      </c>
      <c r="B57" s="19" t="str">
        <f aca="false">IF($A57="","",거래처목록!$B54)</f>
        <v/>
      </c>
      <c r="C57" s="15" t="str">
        <f aca="false">IF($A57="","",SUMIFS(매출내역!$F$3:$F$3002,매출내역!$B$3:$B$3002,$A57))</f>
        <v/>
      </c>
      <c r="D57" s="15" t="str">
        <f aca="false">IF($A57="","",SUMIFS(매출내역!$H$3:$H$3002,매출내역!$B$3:$B$3002,$A57))</f>
        <v/>
      </c>
      <c r="E57" s="15" t="str">
        <f aca="false">IF($A57="","",$C57-$D57)</f>
        <v/>
      </c>
      <c r="F57" s="20" t="str">
        <f aca="false">IF($A57="","",COUNTIFS(매출내역!$B$3:$B$3002,$A57,매출내역!$I$3:$I$3002,"&gt;0"))</f>
        <v/>
      </c>
      <c r="G57" s="21" t="str">
        <f aca="true">IF($A57="","",IF($F57=0,0,TODAY()-_xlfn.MINIFS(매출내역!$A$3:$A$3002,매출내역!$B$3:$B$3002,$A57,매출내역!$I$3:$I$3002,"&gt;0")))</f>
        <v/>
      </c>
      <c r="H57" s="20" t="str">
        <f aca="false">IF($A57="","",IF($I57=0,"한도미설정",IF($E57&gt;$I57,"한도초과","정상")))</f>
        <v/>
      </c>
      <c r="I57" s="15" t="str">
        <f aca="false">IF($A57="","",IF(거래처목록!$D54="",0,거래처목록!$D54))</f>
        <v/>
      </c>
    </row>
    <row r="58" customFormat="false" ht="15" hidden="false" customHeight="true" outlineLevel="0" collapsed="false">
      <c r="A58" s="19" t="str">
        <f aca="false">IF(거래처목록!$A55="","",거래처목록!$A55)</f>
        <v/>
      </c>
      <c r="B58" s="19" t="str">
        <f aca="false">IF($A58="","",거래처목록!$B55)</f>
        <v/>
      </c>
      <c r="C58" s="15" t="str">
        <f aca="false">IF($A58="","",SUMIFS(매출내역!$F$3:$F$3002,매출내역!$B$3:$B$3002,$A58))</f>
        <v/>
      </c>
      <c r="D58" s="15" t="str">
        <f aca="false">IF($A58="","",SUMIFS(매출내역!$H$3:$H$3002,매출내역!$B$3:$B$3002,$A58))</f>
        <v/>
      </c>
      <c r="E58" s="15" t="str">
        <f aca="false">IF($A58="","",$C58-$D58)</f>
        <v/>
      </c>
      <c r="F58" s="20" t="str">
        <f aca="false">IF($A58="","",COUNTIFS(매출내역!$B$3:$B$3002,$A58,매출내역!$I$3:$I$3002,"&gt;0"))</f>
        <v/>
      </c>
      <c r="G58" s="21" t="str">
        <f aca="true">IF($A58="","",IF($F58=0,0,TODAY()-_xlfn.MINIFS(매출내역!$A$3:$A$3002,매출내역!$B$3:$B$3002,$A58,매출내역!$I$3:$I$3002,"&gt;0")))</f>
        <v/>
      </c>
      <c r="H58" s="20" t="str">
        <f aca="false">IF($A58="","",IF($I58=0,"한도미설정",IF($E58&gt;$I58,"한도초과","정상")))</f>
        <v/>
      </c>
      <c r="I58" s="15" t="str">
        <f aca="false">IF($A58="","",IF(거래처목록!$D55="",0,거래처목록!$D55))</f>
        <v/>
      </c>
    </row>
    <row r="59" customFormat="false" ht="15" hidden="false" customHeight="true" outlineLevel="0" collapsed="false">
      <c r="A59" s="19" t="str">
        <f aca="false">IF(거래처목록!$A56="","",거래처목록!$A56)</f>
        <v/>
      </c>
      <c r="B59" s="19" t="str">
        <f aca="false">IF($A59="","",거래처목록!$B56)</f>
        <v/>
      </c>
      <c r="C59" s="15" t="str">
        <f aca="false">IF($A59="","",SUMIFS(매출내역!$F$3:$F$3002,매출내역!$B$3:$B$3002,$A59))</f>
        <v/>
      </c>
      <c r="D59" s="15" t="str">
        <f aca="false">IF($A59="","",SUMIFS(매출내역!$H$3:$H$3002,매출내역!$B$3:$B$3002,$A59))</f>
        <v/>
      </c>
      <c r="E59" s="15" t="str">
        <f aca="false">IF($A59="","",$C59-$D59)</f>
        <v/>
      </c>
      <c r="F59" s="20" t="str">
        <f aca="false">IF($A59="","",COUNTIFS(매출내역!$B$3:$B$3002,$A59,매출내역!$I$3:$I$3002,"&gt;0"))</f>
        <v/>
      </c>
      <c r="G59" s="21" t="str">
        <f aca="true">IF($A59="","",IF($F59=0,0,TODAY()-_xlfn.MINIFS(매출내역!$A$3:$A$3002,매출내역!$B$3:$B$3002,$A59,매출내역!$I$3:$I$3002,"&gt;0")))</f>
        <v/>
      </c>
      <c r="H59" s="20" t="str">
        <f aca="false">IF($A59="","",IF($I59=0,"한도미설정",IF($E59&gt;$I59,"한도초과","정상")))</f>
        <v/>
      </c>
      <c r="I59" s="15" t="str">
        <f aca="false">IF($A59="","",IF(거래처목록!$D56="",0,거래처목록!$D56))</f>
        <v/>
      </c>
    </row>
    <row r="60" customFormat="false" ht="15" hidden="false" customHeight="true" outlineLevel="0" collapsed="false">
      <c r="A60" s="19" t="str">
        <f aca="false">IF(거래처목록!$A57="","",거래처목록!$A57)</f>
        <v/>
      </c>
      <c r="B60" s="19" t="str">
        <f aca="false">IF($A60="","",거래처목록!$B57)</f>
        <v/>
      </c>
      <c r="C60" s="15" t="str">
        <f aca="false">IF($A60="","",SUMIFS(매출내역!$F$3:$F$3002,매출내역!$B$3:$B$3002,$A60))</f>
        <v/>
      </c>
      <c r="D60" s="15" t="str">
        <f aca="false">IF($A60="","",SUMIFS(매출내역!$H$3:$H$3002,매출내역!$B$3:$B$3002,$A60))</f>
        <v/>
      </c>
      <c r="E60" s="15" t="str">
        <f aca="false">IF($A60="","",$C60-$D60)</f>
        <v/>
      </c>
      <c r="F60" s="20" t="str">
        <f aca="false">IF($A60="","",COUNTIFS(매출내역!$B$3:$B$3002,$A60,매출내역!$I$3:$I$3002,"&gt;0"))</f>
        <v/>
      </c>
      <c r="G60" s="21" t="str">
        <f aca="true">IF($A60="","",IF($F60=0,0,TODAY()-_xlfn.MINIFS(매출내역!$A$3:$A$3002,매출내역!$B$3:$B$3002,$A60,매출내역!$I$3:$I$3002,"&gt;0")))</f>
        <v/>
      </c>
      <c r="H60" s="20" t="str">
        <f aca="false">IF($A60="","",IF($I60=0,"한도미설정",IF($E60&gt;$I60,"한도초과","정상")))</f>
        <v/>
      </c>
      <c r="I60" s="15" t="str">
        <f aca="false">IF($A60="","",IF(거래처목록!$D57="",0,거래처목록!$D57))</f>
        <v/>
      </c>
    </row>
    <row r="61" customFormat="false" ht="15" hidden="false" customHeight="true" outlineLevel="0" collapsed="false">
      <c r="A61" s="19" t="str">
        <f aca="false">IF(거래처목록!$A58="","",거래처목록!$A58)</f>
        <v/>
      </c>
      <c r="B61" s="19" t="str">
        <f aca="false">IF($A61="","",거래처목록!$B58)</f>
        <v/>
      </c>
      <c r="C61" s="15" t="str">
        <f aca="false">IF($A61="","",SUMIFS(매출내역!$F$3:$F$3002,매출내역!$B$3:$B$3002,$A61))</f>
        <v/>
      </c>
      <c r="D61" s="15" t="str">
        <f aca="false">IF($A61="","",SUMIFS(매출내역!$H$3:$H$3002,매출내역!$B$3:$B$3002,$A61))</f>
        <v/>
      </c>
      <c r="E61" s="15" t="str">
        <f aca="false">IF($A61="","",$C61-$D61)</f>
        <v/>
      </c>
      <c r="F61" s="20" t="str">
        <f aca="false">IF($A61="","",COUNTIFS(매출내역!$B$3:$B$3002,$A61,매출내역!$I$3:$I$3002,"&gt;0"))</f>
        <v/>
      </c>
      <c r="G61" s="21" t="str">
        <f aca="true">IF($A61="","",IF($F61=0,0,TODAY()-_xlfn.MINIFS(매출내역!$A$3:$A$3002,매출내역!$B$3:$B$3002,$A61,매출내역!$I$3:$I$3002,"&gt;0")))</f>
        <v/>
      </c>
      <c r="H61" s="20" t="str">
        <f aca="false">IF($A61="","",IF($I61=0,"한도미설정",IF($E61&gt;$I61,"한도초과","정상")))</f>
        <v/>
      </c>
      <c r="I61" s="15" t="str">
        <f aca="false">IF($A61="","",IF(거래처목록!$D58="",0,거래처목록!$D58))</f>
        <v/>
      </c>
    </row>
    <row r="62" customFormat="false" ht="15" hidden="false" customHeight="true" outlineLevel="0" collapsed="false">
      <c r="A62" s="19" t="str">
        <f aca="false">IF(거래처목록!$A59="","",거래처목록!$A59)</f>
        <v/>
      </c>
      <c r="B62" s="19" t="str">
        <f aca="false">IF($A62="","",거래처목록!$B59)</f>
        <v/>
      </c>
      <c r="C62" s="15" t="str">
        <f aca="false">IF($A62="","",SUMIFS(매출내역!$F$3:$F$3002,매출내역!$B$3:$B$3002,$A62))</f>
        <v/>
      </c>
      <c r="D62" s="15" t="str">
        <f aca="false">IF($A62="","",SUMIFS(매출내역!$H$3:$H$3002,매출내역!$B$3:$B$3002,$A62))</f>
        <v/>
      </c>
      <c r="E62" s="15" t="str">
        <f aca="false">IF($A62="","",$C62-$D62)</f>
        <v/>
      </c>
      <c r="F62" s="20" t="str">
        <f aca="false">IF($A62="","",COUNTIFS(매출내역!$B$3:$B$3002,$A62,매출내역!$I$3:$I$3002,"&gt;0"))</f>
        <v/>
      </c>
      <c r="G62" s="21" t="str">
        <f aca="true">IF($A62="","",IF($F62=0,0,TODAY()-_xlfn.MINIFS(매출내역!$A$3:$A$3002,매출내역!$B$3:$B$3002,$A62,매출내역!$I$3:$I$3002,"&gt;0")))</f>
        <v/>
      </c>
      <c r="H62" s="20" t="str">
        <f aca="false">IF($A62="","",IF($I62=0,"한도미설정",IF($E62&gt;$I62,"한도초과","정상")))</f>
        <v/>
      </c>
      <c r="I62" s="15" t="str">
        <f aca="false">IF($A62="","",IF(거래처목록!$D59="",0,거래처목록!$D59))</f>
        <v/>
      </c>
    </row>
    <row r="63" customFormat="false" ht="15" hidden="false" customHeight="true" outlineLevel="0" collapsed="false">
      <c r="A63" s="19" t="str">
        <f aca="false">IF(거래처목록!$A60="","",거래처목록!$A60)</f>
        <v/>
      </c>
      <c r="B63" s="19" t="str">
        <f aca="false">IF($A63="","",거래처목록!$B60)</f>
        <v/>
      </c>
      <c r="C63" s="15" t="str">
        <f aca="false">IF($A63="","",SUMIFS(매출내역!$F$3:$F$3002,매출내역!$B$3:$B$3002,$A63))</f>
        <v/>
      </c>
      <c r="D63" s="15" t="str">
        <f aca="false">IF($A63="","",SUMIFS(매출내역!$H$3:$H$3002,매출내역!$B$3:$B$3002,$A63))</f>
        <v/>
      </c>
      <c r="E63" s="15" t="str">
        <f aca="false">IF($A63="","",$C63-$D63)</f>
        <v/>
      </c>
      <c r="F63" s="20" t="str">
        <f aca="false">IF($A63="","",COUNTIFS(매출내역!$B$3:$B$3002,$A63,매출내역!$I$3:$I$3002,"&gt;0"))</f>
        <v/>
      </c>
      <c r="G63" s="21" t="str">
        <f aca="true">IF($A63="","",IF($F63=0,0,TODAY()-_xlfn.MINIFS(매출내역!$A$3:$A$3002,매출내역!$B$3:$B$3002,$A63,매출내역!$I$3:$I$3002,"&gt;0")))</f>
        <v/>
      </c>
      <c r="H63" s="20" t="str">
        <f aca="false">IF($A63="","",IF($I63=0,"한도미설정",IF($E63&gt;$I63,"한도초과","정상")))</f>
        <v/>
      </c>
      <c r="I63" s="15" t="str">
        <f aca="false">IF($A63="","",IF(거래처목록!$D60="",0,거래처목록!$D60))</f>
        <v/>
      </c>
    </row>
    <row r="64" customFormat="false" ht="15" hidden="false" customHeight="true" outlineLevel="0" collapsed="false">
      <c r="A64" s="19" t="str">
        <f aca="false">IF(거래처목록!$A61="","",거래처목록!$A61)</f>
        <v/>
      </c>
      <c r="B64" s="19" t="str">
        <f aca="false">IF($A64="","",거래처목록!$B61)</f>
        <v/>
      </c>
      <c r="C64" s="15" t="str">
        <f aca="false">IF($A64="","",SUMIFS(매출내역!$F$3:$F$3002,매출내역!$B$3:$B$3002,$A64))</f>
        <v/>
      </c>
      <c r="D64" s="15" t="str">
        <f aca="false">IF($A64="","",SUMIFS(매출내역!$H$3:$H$3002,매출내역!$B$3:$B$3002,$A64))</f>
        <v/>
      </c>
      <c r="E64" s="15" t="str">
        <f aca="false">IF($A64="","",$C64-$D64)</f>
        <v/>
      </c>
      <c r="F64" s="20" t="str">
        <f aca="false">IF($A64="","",COUNTIFS(매출내역!$B$3:$B$3002,$A64,매출내역!$I$3:$I$3002,"&gt;0"))</f>
        <v/>
      </c>
      <c r="G64" s="21" t="str">
        <f aca="true">IF($A64="","",IF($F64=0,0,TODAY()-_xlfn.MINIFS(매출내역!$A$3:$A$3002,매출내역!$B$3:$B$3002,$A64,매출내역!$I$3:$I$3002,"&gt;0")))</f>
        <v/>
      </c>
      <c r="H64" s="20" t="str">
        <f aca="false">IF($A64="","",IF($I64=0,"한도미설정",IF($E64&gt;$I64,"한도초과","정상")))</f>
        <v/>
      </c>
      <c r="I64" s="15" t="str">
        <f aca="false">IF($A64="","",IF(거래처목록!$D61="",0,거래처목록!$D61))</f>
        <v/>
      </c>
    </row>
    <row r="65" customFormat="false" ht="15" hidden="false" customHeight="true" outlineLevel="0" collapsed="false">
      <c r="A65" s="19" t="str">
        <f aca="false">IF(거래처목록!$A62="","",거래처목록!$A62)</f>
        <v/>
      </c>
      <c r="B65" s="19" t="str">
        <f aca="false">IF($A65="","",거래처목록!$B62)</f>
        <v/>
      </c>
      <c r="C65" s="15" t="str">
        <f aca="false">IF($A65="","",SUMIFS(매출내역!$F$3:$F$3002,매출내역!$B$3:$B$3002,$A65))</f>
        <v/>
      </c>
      <c r="D65" s="15" t="str">
        <f aca="false">IF($A65="","",SUMIFS(매출내역!$H$3:$H$3002,매출내역!$B$3:$B$3002,$A65))</f>
        <v/>
      </c>
      <c r="E65" s="15" t="str">
        <f aca="false">IF($A65="","",$C65-$D65)</f>
        <v/>
      </c>
      <c r="F65" s="20" t="str">
        <f aca="false">IF($A65="","",COUNTIFS(매출내역!$B$3:$B$3002,$A65,매출내역!$I$3:$I$3002,"&gt;0"))</f>
        <v/>
      </c>
      <c r="G65" s="21" t="str">
        <f aca="true">IF($A65="","",IF($F65=0,0,TODAY()-_xlfn.MINIFS(매출내역!$A$3:$A$3002,매출내역!$B$3:$B$3002,$A65,매출내역!$I$3:$I$3002,"&gt;0")))</f>
        <v/>
      </c>
      <c r="H65" s="20" t="str">
        <f aca="false">IF($A65="","",IF($I65=0,"한도미설정",IF($E65&gt;$I65,"한도초과","정상")))</f>
        <v/>
      </c>
      <c r="I65" s="15" t="str">
        <f aca="false">IF($A65="","",IF(거래처목록!$D62="",0,거래처목록!$D62))</f>
        <v/>
      </c>
    </row>
    <row r="66" customFormat="false" ht="15" hidden="false" customHeight="true" outlineLevel="0" collapsed="false">
      <c r="A66" s="19" t="str">
        <f aca="false">IF(거래처목록!$A63="","",거래처목록!$A63)</f>
        <v/>
      </c>
      <c r="B66" s="19" t="str">
        <f aca="false">IF($A66="","",거래처목록!$B63)</f>
        <v/>
      </c>
      <c r="C66" s="15" t="str">
        <f aca="false">IF($A66="","",SUMIFS(매출내역!$F$3:$F$3002,매출내역!$B$3:$B$3002,$A66))</f>
        <v/>
      </c>
      <c r="D66" s="15" t="str">
        <f aca="false">IF($A66="","",SUMIFS(매출내역!$H$3:$H$3002,매출내역!$B$3:$B$3002,$A66))</f>
        <v/>
      </c>
      <c r="E66" s="15" t="str">
        <f aca="false">IF($A66="","",$C66-$D66)</f>
        <v/>
      </c>
      <c r="F66" s="20" t="str">
        <f aca="false">IF($A66="","",COUNTIFS(매출내역!$B$3:$B$3002,$A66,매출내역!$I$3:$I$3002,"&gt;0"))</f>
        <v/>
      </c>
      <c r="G66" s="21" t="str">
        <f aca="true">IF($A66="","",IF($F66=0,0,TODAY()-_xlfn.MINIFS(매출내역!$A$3:$A$3002,매출내역!$B$3:$B$3002,$A66,매출내역!$I$3:$I$3002,"&gt;0")))</f>
        <v/>
      </c>
      <c r="H66" s="20" t="str">
        <f aca="false">IF($A66="","",IF($I66=0,"한도미설정",IF($E66&gt;$I66,"한도초과","정상")))</f>
        <v/>
      </c>
      <c r="I66" s="15" t="str">
        <f aca="false">IF($A66="","",IF(거래처목록!$D63="",0,거래처목록!$D63))</f>
        <v/>
      </c>
    </row>
    <row r="67" customFormat="false" ht="15" hidden="false" customHeight="true" outlineLevel="0" collapsed="false">
      <c r="A67" s="19" t="str">
        <f aca="false">IF(거래처목록!$A64="","",거래처목록!$A64)</f>
        <v/>
      </c>
      <c r="B67" s="19" t="str">
        <f aca="false">IF($A67="","",거래처목록!$B64)</f>
        <v/>
      </c>
      <c r="C67" s="15" t="str">
        <f aca="false">IF($A67="","",SUMIFS(매출내역!$F$3:$F$3002,매출내역!$B$3:$B$3002,$A67))</f>
        <v/>
      </c>
      <c r="D67" s="15" t="str">
        <f aca="false">IF($A67="","",SUMIFS(매출내역!$H$3:$H$3002,매출내역!$B$3:$B$3002,$A67))</f>
        <v/>
      </c>
      <c r="E67" s="15" t="str">
        <f aca="false">IF($A67="","",$C67-$D67)</f>
        <v/>
      </c>
      <c r="F67" s="20" t="str">
        <f aca="false">IF($A67="","",COUNTIFS(매출내역!$B$3:$B$3002,$A67,매출내역!$I$3:$I$3002,"&gt;0"))</f>
        <v/>
      </c>
      <c r="G67" s="21" t="str">
        <f aca="true">IF($A67="","",IF($F67=0,0,TODAY()-_xlfn.MINIFS(매출내역!$A$3:$A$3002,매출내역!$B$3:$B$3002,$A67,매출내역!$I$3:$I$3002,"&gt;0")))</f>
        <v/>
      </c>
      <c r="H67" s="20" t="str">
        <f aca="false">IF($A67="","",IF($I67=0,"한도미설정",IF($E67&gt;$I67,"한도초과","정상")))</f>
        <v/>
      </c>
      <c r="I67" s="15" t="str">
        <f aca="false">IF($A67="","",IF(거래처목록!$D64="",0,거래처목록!$D64))</f>
        <v/>
      </c>
    </row>
    <row r="68" customFormat="false" ht="15" hidden="false" customHeight="true" outlineLevel="0" collapsed="false">
      <c r="A68" s="19" t="str">
        <f aca="false">IF(거래처목록!$A65="","",거래처목록!$A65)</f>
        <v/>
      </c>
      <c r="B68" s="19" t="str">
        <f aca="false">IF($A68="","",거래처목록!$B65)</f>
        <v/>
      </c>
      <c r="C68" s="15" t="str">
        <f aca="false">IF($A68="","",SUMIFS(매출내역!$F$3:$F$3002,매출내역!$B$3:$B$3002,$A68))</f>
        <v/>
      </c>
      <c r="D68" s="15" t="str">
        <f aca="false">IF($A68="","",SUMIFS(매출내역!$H$3:$H$3002,매출내역!$B$3:$B$3002,$A68))</f>
        <v/>
      </c>
      <c r="E68" s="15" t="str">
        <f aca="false">IF($A68="","",$C68-$D68)</f>
        <v/>
      </c>
      <c r="F68" s="20" t="str">
        <f aca="false">IF($A68="","",COUNTIFS(매출내역!$B$3:$B$3002,$A68,매출내역!$I$3:$I$3002,"&gt;0"))</f>
        <v/>
      </c>
      <c r="G68" s="21" t="str">
        <f aca="true">IF($A68="","",IF($F68=0,0,TODAY()-_xlfn.MINIFS(매출내역!$A$3:$A$3002,매출내역!$B$3:$B$3002,$A68,매출내역!$I$3:$I$3002,"&gt;0")))</f>
        <v/>
      </c>
      <c r="H68" s="20" t="str">
        <f aca="false">IF($A68="","",IF($I68=0,"한도미설정",IF($E68&gt;$I68,"한도초과","정상")))</f>
        <v/>
      </c>
      <c r="I68" s="15" t="str">
        <f aca="false">IF($A68="","",IF(거래처목록!$D65="",0,거래처목록!$D65))</f>
        <v/>
      </c>
    </row>
    <row r="69" customFormat="false" ht="15" hidden="false" customHeight="true" outlineLevel="0" collapsed="false">
      <c r="A69" s="19" t="str">
        <f aca="false">IF(거래처목록!$A66="","",거래처목록!$A66)</f>
        <v/>
      </c>
      <c r="B69" s="19" t="str">
        <f aca="false">IF($A69="","",거래처목록!$B66)</f>
        <v/>
      </c>
      <c r="C69" s="15" t="str">
        <f aca="false">IF($A69="","",SUMIFS(매출내역!$F$3:$F$3002,매출내역!$B$3:$B$3002,$A69))</f>
        <v/>
      </c>
      <c r="D69" s="15" t="str">
        <f aca="false">IF($A69="","",SUMIFS(매출내역!$H$3:$H$3002,매출내역!$B$3:$B$3002,$A69))</f>
        <v/>
      </c>
      <c r="E69" s="15" t="str">
        <f aca="false">IF($A69="","",$C69-$D69)</f>
        <v/>
      </c>
      <c r="F69" s="20" t="str">
        <f aca="false">IF($A69="","",COUNTIFS(매출내역!$B$3:$B$3002,$A69,매출내역!$I$3:$I$3002,"&gt;0"))</f>
        <v/>
      </c>
      <c r="G69" s="21" t="str">
        <f aca="true">IF($A69="","",IF($F69=0,0,TODAY()-_xlfn.MINIFS(매출내역!$A$3:$A$3002,매출내역!$B$3:$B$3002,$A69,매출내역!$I$3:$I$3002,"&gt;0")))</f>
        <v/>
      </c>
      <c r="H69" s="20" t="str">
        <f aca="false">IF($A69="","",IF($I69=0,"한도미설정",IF($E69&gt;$I69,"한도초과","정상")))</f>
        <v/>
      </c>
      <c r="I69" s="15" t="str">
        <f aca="false">IF($A69="","",IF(거래처목록!$D66="",0,거래처목록!$D66))</f>
        <v/>
      </c>
    </row>
    <row r="70" customFormat="false" ht="15" hidden="false" customHeight="true" outlineLevel="0" collapsed="false">
      <c r="A70" s="19" t="str">
        <f aca="false">IF(거래처목록!$A67="","",거래처목록!$A67)</f>
        <v/>
      </c>
      <c r="B70" s="19" t="str">
        <f aca="false">IF($A70="","",거래처목록!$B67)</f>
        <v/>
      </c>
      <c r="C70" s="15" t="str">
        <f aca="false">IF($A70="","",SUMIFS(매출내역!$F$3:$F$3002,매출내역!$B$3:$B$3002,$A70))</f>
        <v/>
      </c>
      <c r="D70" s="15" t="str">
        <f aca="false">IF($A70="","",SUMIFS(매출내역!$H$3:$H$3002,매출내역!$B$3:$B$3002,$A70))</f>
        <v/>
      </c>
      <c r="E70" s="15" t="str">
        <f aca="false">IF($A70="","",$C70-$D70)</f>
        <v/>
      </c>
      <c r="F70" s="20" t="str">
        <f aca="false">IF($A70="","",COUNTIFS(매출내역!$B$3:$B$3002,$A70,매출내역!$I$3:$I$3002,"&gt;0"))</f>
        <v/>
      </c>
      <c r="G70" s="21" t="str">
        <f aca="true">IF($A70="","",IF($F70=0,0,TODAY()-_xlfn.MINIFS(매출내역!$A$3:$A$3002,매출내역!$B$3:$B$3002,$A70,매출내역!$I$3:$I$3002,"&gt;0")))</f>
        <v/>
      </c>
      <c r="H70" s="20" t="str">
        <f aca="false">IF($A70="","",IF($I70=0,"한도미설정",IF($E70&gt;$I70,"한도초과","정상")))</f>
        <v/>
      </c>
      <c r="I70" s="15" t="str">
        <f aca="false">IF($A70="","",IF(거래처목록!$D67="",0,거래처목록!$D67))</f>
        <v/>
      </c>
    </row>
    <row r="71" customFormat="false" ht="15" hidden="false" customHeight="true" outlineLevel="0" collapsed="false">
      <c r="A71" s="19" t="str">
        <f aca="false">IF(거래처목록!$A68="","",거래처목록!$A68)</f>
        <v/>
      </c>
      <c r="B71" s="19" t="str">
        <f aca="false">IF($A71="","",거래처목록!$B68)</f>
        <v/>
      </c>
      <c r="C71" s="15" t="str">
        <f aca="false">IF($A71="","",SUMIFS(매출내역!$F$3:$F$3002,매출내역!$B$3:$B$3002,$A71))</f>
        <v/>
      </c>
      <c r="D71" s="15" t="str">
        <f aca="false">IF($A71="","",SUMIFS(매출내역!$H$3:$H$3002,매출내역!$B$3:$B$3002,$A71))</f>
        <v/>
      </c>
      <c r="E71" s="15" t="str">
        <f aca="false">IF($A71="","",$C71-$D71)</f>
        <v/>
      </c>
      <c r="F71" s="20" t="str">
        <f aca="false">IF($A71="","",COUNTIFS(매출내역!$B$3:$B$3002,$A71,매출내역!$I$3:$I$3002,"&gt;0"))</f>
        <v/>
      </c>
      <c r="G71" s="21" t="str">
        <f aca="true">IF($A71="","",IF($F71=0,0,TODAY()-_xlfn.MINIFS(매출내역!$A$3:$A$3002,매출내역!$B$3:$B$3002,$A71,매출내역!$I$3:$I$3002,"&gt;0")))</f>
        <v/>
      </c>
      <c r="H71" s="20" t="str">
        <f aca="false">IF($A71="","",IF($I71=0,"한도미설정",IF($E71&gt;$I71,"한도초과","정상")))</f>
        <v/>
      </c>
      <c r="I71" s="15" t="str">
        <f aca="false">IF($A71="","",IF(거래처목록!$D68="",0,거래처목록!$D68))</f>
        <v/>
      </c>
    </row>
    <row r="72" customFormat="false" ht="15" hidden="false" customHeight="true" outlineLevel="0" collapsed="false">
      <c r="A72" s="19" t="str">
        <f aca="false">IF(거래처목록!$A69="","",거래처목록!$A69)</f>
        <v/>
      </c>
      <c r="B72" s="19" t="str">
        <f aca="false">IF($A72="","",거래처목록!$B69)</f>
        <v/>
      </c>
      <c r="C72" s="15" t="str">
        <f aca="false">IF($A72="","",SUMIFS(매출내역!$F$3:$F$3002,매출내역!$B$3:$B$3002,$A72))</f>
        <v/>
      </c>
      <c r="D72" s="15" t="str">
        <f aca="false">IF($A72="","",SUMIFS(매출내역!$H$3:$H$3002,매출내역!$B$3:$B$3002,$A72))</f>
        <v/>
      </c>
      <c r="E72" s="15" t="str">
        <f aca="false">IF($A72="","",$C72-$D72)</f>
        <v/>
      </c>
      <c r="F72" s="20" t="str">
        <f aca="false">IF($A72="","",COUNTIFS(매출내역!$B$3:$B$3002,$A72,매출내역!$I$3:$I$3002,"&gt;0"))</f>
        <v/>
      </c>
      <c r="G72" s="21" t="str">
        <f aca="true">IF($A72="","",IF($F72=0,0,TODAY()-_xlfn.MINIFS(매출내역!$A$3:$A$3002,매출내역!$B$3:$B$3002,$A72,매출내역!$I$3:$I$3002,"&gt;0")))</f>
        <v/>
      </c>
      <c r="H72" s="20" t="str">
        <f aca="false">IF($A72="","",IF($I72=0,"한도미설정",IF($E72&gt;$I72,"한도초과","정상")))</f>
        <v/>
      </c>
      <c r="I72" s="15" t="str">
        <f aca="false">IF($A72="","",IF(거래처목록!$D69="",0,거래처목록!$D69))</f>
        <v/>
      </c>
    </row>
    <row r="73" customFormat="false" ht="15" hidden="false" customHeight="true" outlineLevel="0" collapsed="false">
      <c r="A73" s="19" t="str">
        <f aca="false">IF(거래처목록!$A70="","",거래처목록!$A70)</f>
        <v/>
      </c>
      <c r="B73" s="19" t="str">
        <f aca="false">IF($A73="","",거래처목록!$B70)</f>
        <v/>
      </c>
      <c r="C73" s="15" t="str">
        <f aca="false">IF($A73="","",SUMIFS(매출내역!$F$3:$F$3002,매출내역!$B$3:$B$3002,$A73))</f>
        <v/>
      </c>
      <c r="D73" s="15" t="str">
        <f aca="false">IF($A73="","",SUMIFS(매출내역!$H$3:$H$3002,매출내역!$B$3:$B$3002,$A73))</f>
        <v/>
      </c>
      <c r="E73" s="15" t="str">
        <f aca="false">IF($A73="","",$C73-$D73)</f>
        <v/>
      </c>
      <c r="F73" s="20" t="str">
        <f aca="false">IF($A73="","",COUNTIFS(매출내역!$B$3:$B$3002,$A73,매출내역!$I$3:$I$3002,"&gt;0"))</f>
        <v/>
      </c>
      <c r="G73" s="21" t="str">
        <f aca="true">IF($A73="","",IF($F73=0,0,TODAY()-_xlfn.MINIFS(매출내역!$A$3:$A$3002,매출내역!$B$3:$B$3002,$A73,매출내역!$I$3:$I$3002,"&gt;0")))</f>
        <v/>
      </c>
      <c r="H73" s="20" t="str">
        <f aca="false">IF($A73="","",IF($I73=0,"한도미설정",IF($E73&gt;$I73,"한도초과","정상")))</f>
        <v/>
      </c>
      <c r="I73" s="15" t="str">
        <f aca="false">IF($A73="","",IF(거래처목록!$D70="",0,거래처목록!$D70))</f>
        <v/>
      </c>
    </row>
    <row r="74" customFormat="false" ht="15" hidden="false" customHeight="true" outlineLevel="0" collapsed="false">
      <c r="A74" s="19" t="str">
        <f aca="false">IF(거래처목록!$A71="","",거래처목록!$A71)</f>
        <v/>
      </c>
      <c r="B74" s="19" t="str">
        <f aca="false">IF($A74="","",거래처목록!$B71)</f>
        <v/>
      </c>
      <c r="C74" s="15" t="str">
        <f aca="false">IF($A74="","",SUMIFS(매출내역!$F$3:$F$3002,매출내역!$B$3:$B$3002,$A74))</f>
        <v/>
      </c>
      <c r="D74" s="15" t="str">
        <f aca="false">IF($A74="","",SUMIFS(매출내역!$H$3:$H$3002,매출내역!$B$3:$B$3002,$A74))</f>
        <v/>
      </c>
      <c r="E74" s="15" t="str">
        <f aca="false">IF($A74="","",$C74-$D74)</f>
        <v/>
      </c>
      <c r="F74" s="20" t="str">
        <f aca="false">IF($A74="","",COUNTIFS(매출내역!$B$3:$B$3002,$A74,매출내역!$I$3:$I$3002,"&gt;0"))</f>
        <v/>
      </c>
      <c r="G74" s="21" t="str">
        <f aca="true">IF($A74="","",IF($F74=0,0,TODAY()-_xlfn.MINIFS(매출내역!$A$3:$A$3002,매출내역!$B$3:$B$3002,$A74,매출내역!$I$3:$I$3002,"&gt;0")))</f>
        <v/>
      </c>
      <c r="H74" s="20" t="str">
        <f aca="false">IF($A74="","",IF($I74=0,"한도미설정",IF($E74&gt;$I74,"한도초과","정상")))</f>
        <v/>
      </c>
      <c r="I74" s="15" t="str">
        <f aca="false">IF($A74="","",IF(거래처목록!$D71="",0,거래처목록!$D71))</f>
        <v/>
      </c>
    </row>
    <row r="75" customFormat="false" ht="15" hidden="false" customHeight="true" outlineLevel="0" collapsed="false">
      <c r="A75" s="19" t="str">
        <f aca="false">IF(거래처목록!$A72="","",거래처목록!$A72)</f>
        <v/>
      </c>
      <c r="B75" s="19" t="str">
        <f aca="false">IF($A75="","",거래처목록!$B72)</f>
        <v/>
      </c>
      <c r="C75" s="15" t="str">
        <f aca="false">IF($A75="","",SUMIFS(매출내역!$F$3:$F$3002,매출내역!$B$3:$B$3002,$A75))</f>
        <v/>
      </c>
      <c r="D75" s="15" t="str">
        <f aca="false">IF($A75="","",SUMIFS(매출내역!$H$3:$H$3002,매출내역!$B$3:$B$3002,$A75))</f>
        <v/>
      </c>
      <c r="E75" s="15" t="str">
        <f aca="false">IF($A75="","",$C75-$D75)</f>
        <v/>
      </c>
      <c r="F75" s="20" t="str">
        <f aca="false">IF($A75="","",COUNTIFS(매출내역!$B$3:$B$3002,$A75,매출내역!$I$3:$I$3002,"&gt;0"))</f>
        <v/>
      </c>
      <c r="G75" s="21" t="str">
        <f aca="true">IF($A75="","",IF($F75=0,0,TODAY()-_xlfn.MINIFS(매출내역!$A$3:$A$3002,매출내역!$B$3:$B$3002,$A75,매출내역!$I$3:$I$3002,"&gt;0")))</f>
        <v/>
      </c>
      <c r="H75" s="20" t="str">
        <f aca="false">IF($A75="","",IF($I75=0,"한도미설정",IF($E75&gt;$I75,"한도초과","정상")))</f>
        <v/>
      </c>
      <c r="I75" s="15" t="str">
        <f aca="false">IF($A75="","",IF(거래처목록!$D72="",0,거래처목록!$D72))</f>
        <v/>
      </c>
    </row>
    <row r="76" customFormat="false" ht="15" hidden="false" customHeight="true" outlineLevel="0" collapsed="false">
      <c r="A76" s="19" t="str">
        <f aca="false">IF(거래처목록!$A73="","",거래처목록!$A73)</f>
        <v/>
      </c>
      <c r="B76" s="19" t="str">
        <f aca="false">IF($A76="","",거래처목록!$B73)</f>
        <v/>
      </c>
      <c r="C76" s="15" t="str">
        <f aca="false">IF($A76="","",SUMIFS(매출내역!$F$3:$F$3002,매출내역!$B$3:$B$3002,$A76))</f>
        <v/>
      </c>
      <c r="D76" s="15" t="str">
        <f aca="false">IF($A76="","",SUMIFS(매출내역!$H$3:$H$3002,매출내역!$B$3:$B$3002,$A76))</f>
        <v/>
      </c>
      <c r="E76" s="15" t="str">
        <f aca="false">IF($A76="","",$C76-$D76)</f>
        <v/>
      </c>
      <c r="F76" s="20" t="str">
        <f aca="false">IF($A76="","",COUNTIFS(매출내역!$B$3:$B$3002,$A76,매출내역!$I$3:$I$3002,"&gt;0"))</f>
        <v/>
      </c>
      <c r="G76" s="21" t="str">
        <f aca="true">IF($A76="","",IF($F76=0,0,TODAY()-_xlfn.MINIFS(매출내역!$A$3:$A$3002,매출내역!$B$3:$B$3002,$A76,매출내역!$I$3:$I$3002,"&gt;0")))</f>
        <v/>
      </c>
      <c r="H76" s="20" t="str">
        <f aca="false">IF($A76="","",IF($I76=0,"한도미설정",IF($E76&gt;$I76,"한도초과","정상")))</f>
        <v/>
      </c>
      <c r="I76" s="15" t="str">
        <f aca="false">IF($A76="","",IF(거래처목록!$D73="",0,거래처목록!$D73))</f>
        <v/>
      </c>
    </row>
    <row r="77" customFormat="false" ht="15" hidden="false" customHeight="true" outlineLevel="0" collapsed="false">
      <c r="A77" s="19" t="str">
        <f aca="false">IF(거래처목록!$A74="","",거래처목록!$A74)</f>
        <v/>
      </c>
      <c r="B77" s="19" t="str">
        <f aca="false">IF($A77="","",거래처목록!$B74)</f>
        <v/>
      </c>
      <c r="C77" s="15" t="str">
        <f aca="false">IF($A77="","",SUMIFS(매출내역!$F$3:$F$3002,매출내역!$B$3:$B$3002,$A77))</f>
        <v/>
      </c>
      <c r="D77" s="15" t="str">
        <f aca="false">IF($A77="","",SUMIFS(매출내역!$H$3:$H$3002,매출내역!$B$3:$B$3002,$A77))</f>
        <v/>
      </c>
      <c r="E77" s="15" t="str">
        <f aca="false">IF($A77="","",$C77-$D77)</f>
        <v/>
      </c>
      <c r="F77" s="20" t="str">
        <f aca="false">IF($A77="","",COUNTIFS(매출내역!$B$3:$B$3002,$A77,매출내역!$I$3:$I$3002,"&gt;0"))</f>
        <v/>
      </c>
      <c r="G77" s="21" t="str">
        <f aca="true">IF($A77="","",IF($F77=0,0,TODAY()-_xlfn.MINIFS(매출내역!$A$3:$A$3002,매출내역!$B$3:$B$3002,$A77,매출내역!$I$3:$I$3002,"&gt;0")))</f>
        <v/>
      </c>
      <c r="H77" s="20" t="str">
        <f aca="false">IF($A77="","",IF($I77=0,"한도미설정",IF($E77&gt;$I77,"한도초과","정상")))</f>
        <v/>
      </c>
      <c r="I77" s="15" t="str">
        <f aca="false">IF($A77="","",IF(거래처목록!$D74="",0,거래처목록!$D74))</f>
        <v/>
      </c>
    </row>
    <row r="78" customFormat="false" ht="15" hidden="false" customHeight="true" outlineLevel="0" collapsed="false">
      <c r="A78" s="19" t="str">
        <f aca="false">IF(거래처목록!$A75="","",거래처목록!$A75)</f>
        <v/>
      </c>
      <c r="B78" s="19" t="str">
        <f aca="false">IF($A78="","",거래처목록!$B75)</f>
        <v/>
      </c>
      <c r="C78" s="15" t="str">
        <f aca="false">IF($A78="","",SUMIFS(매출내역!$F$3:$F$3002,매출내역!$B$3:$B$3002,$A78))</f>
        <v/>
      </c>
      <c r="D78" s="15" t="str">
        <f aca="false">IF($A78="","",SUMIFS(매출내역!$H$3:$H$3002,매출내역!$B$3:$B$3002,$A78))</f>
        <v/>
      </c>
      <c r="E78" s="15" t="str">
        <f aca="false">IF($A78="","",$C78-$D78)</f>
        <v/>
      </c>
      <c r="F78" s="20" t="str">
        <f aca="false">IF($A78="","",COUNTIFS(매출내역!$B$3:$B$3002,$A78,매출내역!$I$3:$I$3002,"&gt;0"))</f>
        <v/>
      </c>
      <c r="G78" s="21" t="str">
        <f aca="true">IF($A78="","",IF($F78=0,0,TODAY()-_xlfn.MINIFS(매출내역!$A$3:$A$3002,매출내역!$B$3:$B$3002,$A78,매출내역!$I$3:$I$3002,"&gt;0")))</f>
        <v/>
      </c>
      <c r="H78" s="20" t="str">
        <f aca="false">IF($A78="","",IF($I78=0,"한도미설정",IF($E78&gt;$I78,"한도초과","정상")))</f>
        <v/>
      </c>
      <c r="I78" s="15" t="str">
        <f aca="false">IF($A78="","",IF(거래처목록!$D75="",0,거래처목록!$D75))</f>
        <v/>
      </c>
    </row>
    <row r="79" customFormat="false" ht="15" hidden="false" customHeight="true" outlineLevel="0" collapsed="false">
      <c r="A79" s="19" t="str">
        <f aca="false">IF(거래처목록!$A76="","",거래처목록!$A76)</f>
        <v/>
      </c>
      <c r="B79" s="19" t="str">
        <f aca="false">IF($A79="","",거래처목록!$B76)</f>
        <v/>
      </c>
      <c r="C79" s="15" t="str">
        <f aca="false">IF($A79="","",SUMIFS(매출내역!$F$3:$F$3002,매출내역!$B$3:$B$3002,$A79))</f>
        <v/>
      </c>
      <c r="D79" s="15" t="str">
        <f aca="false">IF($A79="","",SUMIFS(매출내역!$H$3:$H$3002,매출내역!$B$3:$B$3002,$A79))</f>
        <v/>
      </c>
      <c r="E79" s="15" t="str">
        <f aca="false">IF($A79="","",$C79-$D79)</f>
        <v/>
      </c>
      <c r="F79" s="20" t="str">
        <f aca="false">IF($A79="","",COUNTIFS(매출내역!$B$3:$B$3002,$A79,매출내역!$I$3:$I$3002,"&gt;0"))</f>
        <v/>
      </c>
      <c r="G79" s="21" t="str">
        <f aca="true">IF($A79="","",IF($F79=0,0,TODAY()-_xlfn.MINIFS(매출내역!$A$3:$A$3002,매출내역!$B$3:$B$3002,$A79,매출내역!$I$3:$I$3002,"&gt;0")))</f>
        <v/>
      </c>
      <c r="H79" s="20" t="str">
        <f aca="false">IF($A79="","",IF($I79=0,"한도미설정",IF($E79&gt;$I79,"한도초과","정상")))</f>
        <v/>
      </c>
      <c r="I79" s="15" t="str">
        <f aca="false">IF($A79="","",IF(거래처목록!$D76="",0,거래처목록!$D76))</f>
        <v/>
      </c>
    </row>
    <row r="80" customFormat="false" ht="15" hidden="false" customHeight="true" outlineLevel="0" collapsed="false">
      <c r="A80" s="19" t="str">
        <f aca="false">IF(거래처목록!$A77="","",거래처목록!$A77)</f>
        <v/>
      </c>
      <c r="B80" s="19" t="str">
        <f aca="false">IF($A80="","",거래처목록!$B77)</f>
        <v/>
      </c>
      <c r="C80" s="15" t="str">
        <f aca="false">IF($A80="","",SUMIFS(매출내역!$F$3:$F$3002,매출내역!$B$3:$B$3002,$A80))</f>
        <v/>
      </c>
      <c r="D80" s="15" t="str">
        <f aca="false">IF($A80="","",SUMIFS(매출내역!$H$3:$H$3002,매출내역!$B$3:$B$3002,$A80))</f>
        <v/>
      </c>
      <c r="E80" s="15" t="str">
        <f aca="false">IF($A80="","",$C80-$D80)</f>
        <v/>
      </c>
      <c r="F80" s="20" t="str">
        <f aca="false">IF($A80="","",COUNTIFS(매출내역!$B$3:$B$3002,$A80,매출내역!$I$3:$I$3002,"&gt;0"))</f>
        <v/>
      </c>
      <c r="G80" s="21" t="str">
        <f aca="true">IF($A80="","",IF($F80=0,0,TODAY()-_xlfn.MINIFS(매출내역!$A$3:$A$3002,매출내역!$B$3:$B$3002,$A80,매출내역!$I$3:$I$3002,"&gt;0")))</f>
        <v/>
      </c>
      <c r="H80" s="20" t="str">
        <f aca="false">IF($A80="","",IF($I80=0,"한도미설정",IF($E80&gt;$I80,"한도초과","정상")))</f>
        <v/>
      </c>
      <c r="I80" s="15" t="str">
        <f aca="false">IF($A80="","",IF(거래처목록!$D77="",0,거래처목록!$D77))</f>
        <v/>
      </c>
    </row>
    <row r="81" customFormat="false" ht="15" hidden="false" customHeight="true" outlineLevel="0" collapsed="false">
      <c r="A81" s="19" t="str">
        <f aca="false">IF(거래처목록!$A78="","",거래처목록!$A78)</f>
        <v/>
      </c>
      <c r="B81" s="19" t="str">
        <f aca="false">IF($A81="","",거래처목록!$B78)</f>
        <v/>
      </c>
      <c r="C81" s="15" t="str">
        <f aca="false">IF($A81="","",SUMIFS(매출내역!$F$3:$F$3002,매출내역!$B$3:$B$3002,$A81))</f>
        <v/>
      </c>
      <c r="D81" s="15" t="str">
        <f aca="false">IF($A81="","",SUMIFS(매출내역!$H$3:$H$3002,매출내역!$B$3:$B$3002,$A81))</f>
        <v/>
      </c>
      <c r="E81" s="15" t="str">
        <f aca="false">IF($A81="","",$C81-$D81)</f>
        <v/>
      </c>
      <c r="F81" s="20" t="str">
        <f aca="false">IF($A81="","",COUNTIFS(매출내역!$B$3:$B$3002,$A81,매출내역!$I$3:$I$3002,"&gt;0"))</f>
        <v/>
      </c>
      <c r="G81" s="21" t="str">
        <f aca="true">IF($A81="","",IF($F81=0,0,TODAY()-_xlfn.MINIFS(매출내역!$A$3:$A$3002,매출내역!$B$3:$B$3002,$A81,매출내역!$I$3:$I$3002,"&gt;0")))</f>
        <v/>
      </c>
      <c r="H81" s="20" t="str">
        <f aca="false">IF($A81="","",IF($I81=0,"한도미설정",IF($E81&gt;$I81,"한도초과","정상")))</f>
        <v/>
      </c>
      <c r="I81" s="15" t="str">
        <f aca="false">IF($A81="","",IF(거래처목록!$D78="",0,거래처목록!$D78))</f>
        <v/>
      </c>
    </row>
    <row r="82" customFormat="false" ht="15" hidden="false" customHeight="true" outlineLevel="0" collapsed="false">
      <c r="A82" s="19" t="str">
        <f aca="false">IF(거래처목록!$A79="","",거래처목록!$A79)</f>
        <v/>
      </c>
      <c r="B82" s="19" t="str">
        <f aca="false">IF($A82="","",거래처목록!$B79)</f>
        <v/>
      </c>
      <c r="C82" s="15" t="str">
        <f aca="false">IF($A82="","",SUMIFS(매출내역!$F$3:$F$3002,매출내역!$B$3:$B$3002,$A82))</f>
        <v/>
      </c>
      <c r="D82" s="15" t="str">
        <f aca="false">IF($A82="","",SUMIFS(매출내역!$H$3:$H$3002,매출내역!$B$3:$B$3002,$A82))</f>
        <v/>
      </c>
      <c r="E82" s="15" t="str">
        <f aca="false">IF($A82="","",$C82-$D82)</f>
        <v/>
      </c>
      <c r="F82" s="20" t="str">
        <f aca="false">IF($A82="","",COUNTIFS(매출내역!$B$3:$B$3002,$A82,매출내역!$I$3:$I$3002,"&gt;0"))</f>
        <v/>
      </c>
      <c r="G82" s="21" t="str">
        <f aca="true">IF($A82="","",IF($F82=0,0,TODAY()-_xlfn.MINIFS(매출내역!$A$3:$A$3002,매출내역!$B$3:$B$3002,$A82,매출내역!$I$3:$I$3002,"&gt;0")))</f>
        <v/>
      </c>
      <c r="H82" s="20" t="str">
        <f aca="false">IF($A82="","",IF($I82=0,"한도미설정",IF($E82&gt;$I82,"한도초과","정상")))</f>
        <v/>
      </c>
      <c r="I82" s="15" t="str">
        <f aca="false">IF($A82="","",IF(거래처목록!$D79="",0,거래처목록!$D79))</f>
        <v/>
      </c>
    </row>
    <row r="83" customFormat="false" ht="15" hidden="false" customHeight="true" outlineLevel="0" collapsed="false">
      <c r="A83" s="19" t="str">
        <f aca="false">IF(거래처목록!$A80="","",거래처목록!$A80)</f>
        <v/>
      </c>
      <c r="B83" s="19" t="str">
        <f aca="false">IF($A83="","",거래처목록!$B80)</f>
        <v/>
      </c>
      <c r="C83" s="15" t="str">
        <f aca="false">IF($A83="","",SUMIFS(매출내역!$F$3:$F$3002,매출내역!$B$3:$B$3002,$A83))</f>
        <v/>
      </c>
      <c r="D83" s="15" t="str">
        <f aca="false">IF($A83="","",SUMIFS(매출내역!$H$3:$H$3002,매출내역!$B$3:$B$3002,$A83))</f>
        <v/>
      </c>
      <c r="E83" s="15" t="str">
        <f aca="false">IF($A83="","",$C83-$D83)</f>
        <v/>
      </c>
      <c r="F83" s="20" t="str">
        <f aca="false">IF($A83="","",COUNTIFS(매출내역!$B$3:$B$3002,$A83,매출내역!$I$3:$I$3002,"&gt;0"))</f>
        <v/>
      </c>
      <c r="G83" s="21" t="str">
        <f aca="true">IF($A83="","",IF($F83=0,0,TODAY()-_xlfn.MINIFS(매출내역!$A$3:$A$3002,매출내역!$B$3:$B$3002,$A83,매출내역!$I$3:$I$3002,"&gt;0")))</f>
        <v/>
      </c>
      <c r="H83" s="20" t="str">
        <f aca="false">IF($A83="","",IF($I83=0,"한도미설정",IF($E83&gt;$I83,"한도초과","정상")))</f>
        <v/>
      </c>
      <c r="I83" s="15" t="str">
        <f aca="false">IF($A83="","",IF(거래처목록!$D80="",0,거래처목록!$D80))</f>
        <v/>
      </c>
    </row>
    <row r="84" customFormat="false" ht="15" hidden="false" customHeight="true" outlineLevel="0" collapsed="false">
      <c r="A84" s="19" t="str">
        <f aca="false">IF(거래처목록!$A81="","",거래처목록!$A81)</f>
        <v/>
      </c>
      <c r="B84" s="19" t="str">
        <f aca="false">IF($A84="","",거래처목록!$B81)</f>
        <v/>
      </c>
      <c r="C84" s="15" t="str">
        <f aca="false">IF($A84="","",SUMIFS(매출내역!$F$3:$F$3002,매출내역!$B$3:$B$3002,$A84))</f>
        <v/>
      </c>
      <c r="D84" s="15" t="str">
        <f aca="false">IF($A84="","",SUMIFS(매출내역!$H$3:$H$3002,매출내역!$B$3:$B$3002,$A84))</f>
        <v/>
      </c>
      <c r="E84" s="15" t="str">
        <f aca="false">IF($A84="","",$C84-$D84)</f>
        <v/>
      </c>
      <c r="F84" s="20" t="str">
        <f aca="false">IF($A84="","",COUNTIFS(매출내역!$B$3:$B$3002,$A84,매출내역!$I$3:$I$3002,"&gt;0"))</f>
        <v/>
      </c>
      <c r="G84" s="21" t="str">
        <f aca="true">IF($A84="","",IF($F84=0,0,TODAY()-_xlfn.MINIFS(매출내역!$A$3:$A$3002,매출내역!$B$3:$B$3002,$A84,매출내역!$I$3:$I$3002,"&gt;0")))</f>
        <v/>
      </c>
      <c r="H84" s="20" t="str">
        <f aca="false">IF($A84="","",IF($I84=0,"한도미설정",IF($E84&gt;$I84,"한도초과","정상")))</f>
        <v/>
      </c>
      <c r="I84" s="15" t="str">
        <f aca="false">IF($A84="","",IF(거래처목록!$D81="",0,거래처목록!$D81))</f>
        <v/>
      </c>
    </row>
    <row r="85" customFormat="false" ht="15" hidden="false" customHeight="true" outlineLevel="0" collapsed="false">
      <c r="A85" s="19" t="str">
        <f aca="false">IF(거래처목록!$A82="","",거래처목록!$A82)</f>
        <v/>
      </c>
      <c r="B85" s="19" t="str">
        <f aca="false">IF($A85="","",거래처목록!$B82)</f>
        <v/>
      </c>
      <c r="C85" s="15" t="str">
        <f aca="false">IF($A85="","",SUMIFS(매출내역!$F$3:$F$3002,매출내역!$B$3:$B$3002,$A85))</f>
        <v/>
      </c>
      <c r="D85" s="15" t="str">
        <f aca="false">IF($A85="","",SUMIFS(매출내역!$H$3:$H$3002,매출내역!$B$3:$B$3002,$A85))</f>
        <v/>
      </c>
      <c r="E85" s="15" t="str">
        <f aca="false">IF($A85="","",$C85-$D85)</f>
        <v/>
      </c>
      <c r="F85" s="20" t="str">
        <f aca="false">IF($A85="","",COUNTIFS(매출내역!$B$3:$B$3002,$A85,매출내역!$I$3:$I$3002,"&gt;0"))</f>
        <v/>
      </c>
      <c r="G85" s="21" t="str">
        <f aca="true">IF($A85="","",IF($F85=0,0,TODAY()-_xlfn.MINIFS(매출내역!$A$3:$A$3002,매출내역!$B$3:$B$3002,$A85,매출내역!$I$3:$I$3002,"&gt;0")))</f>
        <v/>
      </c>
      <c r="H85" s="20" t="str">
        <f aca="false">IF($A85="","",IF($I85=0,"한도미설정",IF($E85&gt;$I85,"한도초과","정상")))</f>
        <v/>
      </c>
      <c r="I85" s="15" t="str">
        <f aca="false">IF($A85="","",IF(거래처목록!$D82="",0,거래처목록!$D82))</f>
        <v/>
      </c>
    </row>
    <row r="86" customFormat="false" ht="15" hidden="false" customHeight="true" outlineLevel="0" collapsed="false">
      <c r="A86" s="19" t="str">
        <f aca="false">IF(거래처목록!$A83="","",거래처목록!$A83)</f>
        <v/>
      </c>
      <c r="B86" s="19" t="str">
        <f aca="false">IF($A86="","",거래처목록!$B83)</f>
        <v/>
      </c>
      <c r="C86" s="15" t="str">
        <f aca="false">IF($A86="","",SUMIFS(매출내역!$F$3:$F$3002,매출내역!$B$3:$B$3002,$A86))</f>
        <v/>
      </c>
      <c r="D86" s="15" t="str">
        <f aca="false">IF($A86="","",SUMIFS(매출내역!$H$3:$H$3002,매출내역!$B$3:$B$3002,$A86))</f>
        <v/>
      </c>
      <c r="E86" s="15" t="str">
        <f aca="false">IF($A86="","",$C86-$D86)</f>
        <v/>
      </c>
      <c r="F86" s="20" t="str">
        <f aca="false">IF($A86="","",COUNTIFS(매출내역!$B$3:$B$3002,$A86,매출내역!$I$3:$I$3002,"&gt;0"))</f>
        <v/>
      </c>
      <c r="G86" s="21" t="str">
        <f aca="true">IF($A86="","",IF($F86=0,0,TODAY()-_xlfn.MINIFS(매출내역!$A$3:$A$3002,매출내역!$B$3:$B$3002,$A86,매출내역!$I$3:$I$3002,"&gt;0")))</f>
        <v/>
      </c>
      <c r="H86" s="20" t="str">
        <f aca="false">IF($A86="","",IF($I86=0,"한도미설정",IF($E86&gt;$I86,"한도초과","정상")))</f>
        <v/>
      </c>
      <c r="I86" s="15" t="str">
        <f aca="false">IF($A86="","",IF(거래처목록!$D83="",0,거래처목록!$D83))</f>
        <v/>
      </c>
    </row>
    <row r="87" customFormat="false" ht="15" hidden="false" customHeight="true" outlineLevel="0" collapsed="false">
      <c r="A87" s="19" t="str">
        <f aca="false">IF(거래처목록!$A84="","",거래처목록!$A84)</f>
        <v/>
      </c>
      <c r="B87" s="19" t="str">
        <f aca="false">IF($A87="","",거래처목록!$B84)</f>
        <v/>
      </c>
      <c r="C87" s="15" t="str">
        <f aca="false">IF($A87="","",SUMIFS(매출내역!$F$3:$F$3002,매출내역!$B$3:$B$3002,$A87))</f>
        <v/>
      </c>
      <c r="D87" s="15" t="str">
        <f aca="false">IF($A87="","",SUMIFS(매출내역!$H$3:$H$3002,매출내역!$B$3:$B$3002,$A87))</f>
        <v/>
      </c>
      <c r="E87" s="15" t="str">
        <f aca="false">IF($A87="","",$C87-$D87)</f>
        <v/>
      </c>
      <c r="F87" s="20" t="str">
        <f aca="false">IF($A87="","",COUNTIFS(매출내역!$B$3:$B$3002,$A87,매출내역!$I$3:$I$3002,"&gt;0"))</f>
        <v/>
      </c>
      <c r="G87" s="21" t="str">
        <f aca="true">IF($A87="","",IF($F87=0,0,TODAY()-_xlfn.MINIFS(매출내역!$A$3:$A$3002,매출내역!$B$3:$B$3002,$A87,매출내역!$I$3:$I$3002,"&gt;0")))</f>
        <v/>
      </c>
      <c r="H87" s="20" t="str">
        <f aca="false">IF($A87="","",IF($I87=0,"한도미설정",IF($E87&gt;$I87,"한도초과","정상")))</f>
        <v/>
      </c>
      <c r="I87" s="15" t="str">
        <f aca="false">IF($A87="","",IF(거래처목록!$D84="",0,거래처목록!$D84))</f>
        <v/>
      </c>
    </row>
    <row r="88" customFormat="false" ht="15" hidden="false" customHeight="true" outlineLevel="0" collapsed="false">
      <c r="A88" s="19" t="str">
        <f aca="false">IF(거래처목록!$A85="","",거래처목록!$A85)</f>
        <v/>
      </c>
      <c r="B88" s="19" t="str">
        <f aca="false">IF($A88="","",거래처목록!$B85)</f>
        <v/>
      </c>
      <c r="C88" s="15" t="str">
        <f aca="false">IF($A88="","",SUMIFS(매출내역!$F$3:$F$3002,매출내역!$B$3:$B$3002,$A88))</f>
        <v/>
      </c>
      <c r="D88" s="15" t="str">
        <f aca="false">IF($A88="","",SUMIFS(매출내역!$H$3:$H$3002,매출내역!$B$3:$B$3002,$A88))</f>
        <v/>
      </c>
      <c r="E88" s="15" t="str">
        <f aca="false">IF($A88="","",$C88-$D88)</f>
        <v/>
      </c>
      <c r="F88" s="20" t="str">
        <f aca="false">IF($A88="","",COUNTIFS(매출내역!$B$3:$B$3002,$A88,매출내역!$I$3:$I$3002,"&gt;0"))</f>
        <v/>
      </c>
      <c r="G88" s="21" t="str">
        <f aca="true">IF($A88="","",IF($F88=0,0,TODAY()-_xlfn.MINIFS(매출내역!$A$3:$A$3002,매출내역!$B$3:$B$3002,$A88,매출내역!$I$3:$I$3002,"&gt;0")))</f>
        <v/>
      </c>
      <c r="H88" s="20" t="str">
        <f aca="false">IF($A88="","",IF($I88=0,"한도미설정",IF($E88&gt;$I88,"한도초과","정상")))</f>
        <v/>
      </c>
      <c r="I88" s="15" t="str">
        <f aca="false">IF($A88="","",IF(거래처목록!$D85="",0,거래처목록!$D85))</f>
        <v/>
      </c>
    </row>
    <row r="89" customFormat="false" ht="15" hidden="false" customHeight="true" outlineLevel="0" collapsed="false">
      <c r="A89" s="19" t="str">
        <f aca="false">IF(거래처목록!$A86="","",거래처목록!$A86)</f>
        <v/>
      </c>
      <c r="B89" s="19" t="str">
        <f aca="false">IF($A89="","",거래처목록!$B86)</f>
        <v/>
      </c>
      <c r="C89" s="15" t="str">
        <f aca="false">IF($A89="","",SUMIFS(매출내역!$F$3:$F$3002,매출내역!$B$3:$B$3002,$A89))</f>
        <v/>
      </c>
      <c r="D89" s="15" t="str">
        <f aca="false">IF($A89="","",SUMIFS(매출내역!$H$3:$H$3002,매출내역!$B$3:$B$3002,$A89))</f>
        <v/>
      </c>
      <c r="E89" s="15" t="str">
        <f aca="false">IF($A89="","",$C89-$D89)</f>
        <v/>
      </c>
      <c r="F89" s="20" t="str">
        <f aca="false">IF($A89="","",COUNTIFS(매출내역!$B$3:$B$3002,$A89,매출내역!$I$3:$I$3002,"&gt;0"))</f>
        <v/>
      </c>
      <c r="G89" s="21" t="str">
        <f aca="true">IF($A89="","",IF($F89=0,0,TODAY()-_xlfn.MINIFS(매출내역!$A$3:$A$3002,매출내역!$B$3:$B$3002,$A89,매출내역!$I$3:$I$3002,"&gt;0")))</f>
        <v/>
      </c>
      <c r="H89" s="20" t="str">
        <f aca="false">IF($A89="","",IF($I89=0,"한도미설정",IF($E89&gt;$I89,"한도초과","정상")))</f>
        <v/>
      </c>
      <c r="I89" s="15" t="str">
        <f aca="false">IF($A89="","",IF(거래처목록!$D86="",0,거래처목록!$D86))</f>
        <v/>
      </c>
    </row>
    <row r="90" customFormat="false" ht="15" hidden="false" customHeight="true" outlineLevel="0" collapsed="false">
      <c r="A90" s="19" t="str">
        <f aca="false">IF(거래처목록!$A87="","",거래처목록!$A87)</f>
        <v/>
      </c>
      <c r="B90" s="19" t="str">
        <f aca="false">IF($A90="","",거래처목록!$B87)</f>
        <v/>
      </c>
      <c r="C90" s="15" t="str">
        <f aca="false">IF($A90="","",SUMIFS(매출내역!$F$3:$F$3002,매출내역!$B$3:$B$3002,$A90))</f>
        <v/>
      </c>
      <c r="D90" s="15" t="str">
        <f aca="false">IF($A90="","",SUMIFS(매출내역!$H$3:$H$3002,매출내역!$B$3:$B$3002,$A90))</f>
        <v/>
      </c>
      <c r="E90" s="15" t="str">
        <f aca="false">IF($A90="","",$C90-$D90)</f>
        <v/>
      </c>
      <c r="F90" s="20" t="str">
        <f aca="false">IF($A90="","",COUNTIFS(매출내역!$B$3:$B$3002,$A90,매출내역!$I$3:$I$3002,"&gt;0"))</f>
        <v/>
      </c>
      <c r="G90" s="21" t="str">
        <f aca="true">IF($A90="","",IF($F90=0,0,TODAY()-_xlfn.MINIFS(매출내역!$A$3:$A$3002,매출내역!$B$3:$B$3002,$A90,매출내역!$I$3:$I$3002,"&gt;0")))</f>
        <v/>
      </c>
      <c r="H90" s="20" t="str">
        <f aca="false">IF($A90="","",IF($I90=0,"한도미설정",IF($E90&gt;$I90,"한도초과","정상")))</f>
        <v/>
      </c>
      <c r="I90" s="15" t="str">
        <f aca="false">IF($A90="","",IF(거래처목록!$D87="",0,거래처목록!$D87))</f>
        <v/>
      </c>
    </row>
    <row r="91" customFormat="false" ht="15" hidden="false" customHeight="true" outlineLevel="0" collapsed="false">
      <c r="A91" s="19" t="str">
        <f aca="false">IF(거래처목록!$A88="","",거래처목록!$A88)</f>
        <v/>
      </c>
      <c r="B91" s="19" t="str">
        <f aca="false">IF($A91="","",거래처목록!$B88)</f>
        <v/>
      </c>
      <c r="C91" s="15" t="str">
        <f aca="false">IF($A91="","",SUMIFS(매출내역!$F$3:$F$3002,매출내역!$B$3:$B$3002,$A91))</f>
        <v/>
      </c>
      <c r="D91" s="15" t="str">
        <f aca="false">IF($A91="","",SUMIFS(매출내역!$H$3:$H$3002,매출내역!$B$3:$B$3002,$A91))</f>
        <v/>
      </c>
      <c r="E91" s="15" t="str">
        <f aca="false">IF($A91="","",$C91-$D91)</f>
        <v/>
      </c>
      <c r="F91" s="20" t="str">
        <f aca="false">IF($A91="","",COUNTIFS(매출내역!$B$3:$B$3002,$A91,매출내역!$I$3:$I$3002,"&gt;0"))</f>
        <v/>
      </c>
      <c r="G91" s="21" t="str">
        <f aca="true">IF($A91="","",IF($F91=0,0,TODAY()-_xlfn.MINIFS(매출내역!$A$3:$A$3002,매출내역!$B$3:$B$3002,$A91,매출내역!$I$3:$I$3002,"&gt;0")))</f>
        <v/>
      </c>
      <c r="H91" s="20" t="str">
        <f aca="false">IF($A91="","",IF($I91=0,"한도미설정",IF($E91&gt;$I91,"한도초과","정상")))</f>
        <v/>
      </c>
      <c r="I91" s="15" t="str">
        <f aca="false">IF($A91="","",IF(거래처목록!$D88="",0,거래처목록!$D88))</f>
        <v/>
      </c>
    </row>
    <row r="92" customFormat="false" ht="15" hidden="false" customHeight="true" outlineLevel="0" collapsed="false">
      <c r="A92" s="19" t="str">
        <f aca="false">IF(거래처목록!$A89="","",거래처목록!$A89)</f>
        <v/>
      </c>
      <c r="B92" s="19" t="str">
        <f aca="false">IF($A92="","",거래처목록!$B89)</f>
        <v/>
      </c>
      <c r="C92" s="15" t="str">
        <f aca="false">IF($A92="","",SUMIFS(매출내역!$F$3:$F$3002,매출내역!$B$3:$B$3002,$A92))</f>
        <v/>
      </c>
      <c r="D92" s="15" t="str">
        <f aca="false">IF($A92="","",SUMIFS(매출내역!$H$3:$H$3002,매출내역!$B$3:$B$3002,$A92))</f>
        <v/>
      </c>
      <c r="E92" s="15" t="str">
        <f aca="false">IF($A92="","",$C92-$D92)</f>
        <v/>
      </c>
      <c r="F92" s="20" t="str">
        <f aca="false">IF($A92="","",COUNTIFS(매출내역!$B$3:$B$3002,$A92,매출내역!$I$3:$I$3002,"&gt;0"))</f>
        <v/>
      </c>
      <c r="G92" s="21" t="str">
        <f aca="true">IF($A92="","",IF($F92=0,0,TODAY()-_xlfn.MINIFS(매출내역!$A$3:$A$3002,매출내역!$B$3:$B$3002,$A92,매출내역!$I$3:$I$3002,"&gt;0")))</f>
        <v/>
      </c>
      <c r="H92" s="20" t="str">
        <f aca="false">IF($A92="","",IF($I92=0,"한도미설정",IF($E92&gt;$I92,"한도초과","정상")))</f>
        <v/>
      </c>
      <c r="I92" s="15" t="str">
        <f aca="false">IF($A92="","",IF(거래처목록!$D89="",0,거래처목록!$D89))</f>
        <v/>
      </c>
    </row>
    <row r="93" customFormat="false" ht="15" hidden="false" customHeight="true" outlineLevel="0" collapsed="false">
      <c r="A93" s="19" t="str">
        <f aca="false">IF(거래처목록!$A90="","",거래처목록!$A90)</f>
        <v/>
      </c>
      <c r="B93" s="19" t="str">
        <f aca="false">IF($A93="","",거래처목록!$B90)</f>
        <v/>
      </c>
      <c r="C93" s="15" t="str">
        <f aca="false">IF($A93="","",SUMIFS(매출내역!$F$3:$F$3002,매출내역!$B$3:$B$3002,$A93))</f>
        <v/>
      </c>
      <c r="D93" s="15" t="str">
        <f aca="false">IF($A93="","",SUMIFS(매출내역!$H$3:$H$3002,매출내역!$B$3:$B$3002,$A93))</f>
        <v/>
      </c>
      <c r="E93" s="15" t="str">
        <f aca="false">IF($A93="","",$C93-$D93)</f>
        <v/>
      </c>
      <c r="F93" s="20" t="str">
        <f aca="false">IF($A93="","",COUNTIFS(매출내역!$B$3:$B$3002,$A93,매출내역!$I$3:$I$3002,"&gt;0"))</f>
        <v/>
      </c>
      <c r="G93" s="21" t="str">
        <f aca="true">IF($A93="","",IF($F93=0,0,TODAY()-_xlfn.MINIFS(매출내역!$A$3:$A$3002,매출내역!$B$3:$B$3002,$A93,매출내역!$I$3:$I$3002,"&gt;0")))</f>
        <v/>
      </c>
      <c r="H93" s="20" t="str">
        <f aca="false">IF($A93="","",IF($I93=0,"한도미설정",IF($E93&gt;$I93,"한도초과","정상")))</f>
        <v/>
      </c>
      <c r="I93" s="15" t="str">
        <f aca="false">IF($A93="","",IF(거래처목록!$D90="",0,거래처목록!$D90))</f>
        <v/>
      </c>
    </row>
    <row r="94" customFormat="false" ht="15" hidden="false" customHeight="true" outlineLevel="0" collapsed="false">
      <c r="A94" s="19" t="str">
        <f aca="false">IF(거래처목록!$A91="","",거래처목록!$A91)</f>
        <v/>
      </c>
      <c r="B94" s="19" t="str">
        <f aca="false">IF($A94="","",거래처목록!$B91)</f>
        <v/>
      </c>
      <c r="C94" s="15" t="str">
        <f aca="false">IF($A94="","",SUMIFS(매출내역!$F$3:$F$3002,매출내역!$B$3:$B$3002,$A94))</f>
        <v/>
      </c>
      <c r="D94" s="15" t="str">
        <f aca="false">IF($A94="","",SUMIFS(매출내역!$H$3:$H$3002,매출내역!$B$3:$B$3002,$A94))</f>
        <v/>
      </c>
      <c r="E94" s="15" t="str">
        <f aca="false">IF($A94="","",$C94-$D94)</f>
        <v/>
      </c>
      <c r="F94" s="20" t="str">
        <f aca="false">IF($A94="","",COUNTIFS(매출내역!$B$3:$B$3002,$A94,매출내역!$I$3:$I$3002,"&gt;0"))</f>
        <v/>
      </c>
      <c r="G94" s="21" t="str">
        <f aca="true">IF($A94="","",IF($F94=0,0,TODAY()-_xlfn.MINIFS(매출내역!$A$3:$A$3002,매출내역!$B$3:$B$3002,$A94,매출내역!$I$3:$I$3002,"&gt;0")))</f>
        <v/>
      </c>
      <c r="H94" s="20" t="str">
        <f aca="false">IF($A94="","",IF($I94=0,"한도미설정",IF($E94&gt;$I94,"한도초과","정상")))</f>
        <v/>
      </c>
      <c r="I94" s="15" t="str">
        <f aca="false">IF($A94="","",IF(거래처목록!$D91="",0,거래처목록!$D91))</f>
        <v/>
      </c>
    </row>
    <row r="95" customFormat="false" ht="15" hidden="false" customHeight="true" outlineLevel="0" collapsed="false">
      <c r="A95" s="19" t="str">
        <f aca="false">IF(거래처목록!$A92="","",거래처목록!$A92)</f>
        <v/>
      </c>
      <c r="B95" s="19" t="str">
        <f aca="false">IF($A95="","",거래처목록!$B92)</f>
        <v/>
      </c>
      <c r="C95" s="15" t="str">
        <f aca="false">IF($A95="","",SUMIFS(매출내역!$F$3:$F$3002,매출내역!$B$3:$B$3002,$A95))</f>
        <v/>
      </c>
      <c r="D95" s="15" t="str">
        <f aca="false">IF($A95="","",SUMIFS(매출내역!$H$3:$H$3002,매출내역!$B$3:$B$3002,$A95))</f>
        <v/>
      </c>
      <c r="E95" s="15" t="str">
        <f aca="false">IF($A95="","",$C95-$D95)</f>
        <v/>
      </c>
      <c r="F95" s="20" t="str">
        <f aca="false">IF($A95="","",COUNTIFS(매출내역!$B$3:$B$3002,$A95,매출내역!$I$3:$I$3002,"&gt;0"))</f>
        <v/>
      </c>
      <c r="G95" s="21" t="str">
        <f aca="true">IF($A95="","",IF($F95=0,0,TODAY()-_xlfn.MINIFS(매출내역!$A$3:$A$3002,매출내역!$B$3:$B$3002,$A95,매출내역!$I$3:$I$3002,"&gt;0")))</f>
        <v/>
      </c>
      <c r="H95" s="20" t="str">
        <f aca="false">IF($A95="","",IF($I95=0,"한도미설정",IF($E95&gt;$I95,"한도초과","정상")))</f>
        <v/>
      </c>
      <c r="I95" s="15" t="str">
        <f aca="false">IF($A95="","",IF(거래처목록!$D92="",0,거래처목록!$D92))</f>
        <v/>
      </c>
    </row>
    <row r="96" customFormat="false" ht="15" hidden="false" customHeight="true" outlineLevel="0" collapsed="false">
      <c r="A96" s="19" t="str">
        <f aca="false">IF(거래처목록!$A93="","",거래처목록!$A93)</f>
        <v/>
      </c>
      <c r="B96" s="19" t="str">
        <f aca="false">IF($A96="","",거래처목록!$B93)</f>
        <v/>
      </c>
      <c r="C96" s="15" t="str">
        <f aca="false">IF($A96="","",SUMIFS(매출내역!$F$3:$F$3002,매출내역!$B$3:$B$3002,$A96))</f>
        <v/>
      </c>
      <c r="D96" s="15" t="str">
        <f aca="false">IF($A96="","",SUMIFS(매출내역!$H$3:$H$3002,매출내역!$B$3:$B$3002,$A96))</f>
        <v/>
      </c>
      <c r="E96" s="15" t="str">
        <f aca="false">IF($A96="","",$C96-$D96)</f>
        <v/>
      </c>
      <c r="F96" s="20" t="str">
        <f aca="false">IF($A96="","",COUNTIFS(매출내역!$B$3:$B$3002,$A96,매출내역!$I$3:$I$3002,"&gt;0"))</f>
        <v/>
      </c>
      <c r="G96" s="21" t="str">
        <f aca="true">IF($A96="","",IF($F96=0,0,TODAY()-_xlfn.MINIFS(매출내역!$A$3:$A$3002,매출내역!$B$3:$B$3002,$A96,매출내역!$I$3:$I$3002,"&gt;0")))</f>
        <v/>
      </c>
      <c r="H96" s="20" t="str">
        <f aca="false">IF($A96="","",IF($I96=0,"한도미설정",IF($E96&gt;$I96,"한도초과","정상")))</f>
        <v/>
      </c>
      <c r="I96" s="15" t="str">
        <f aca="false">IF($A96="","",IF(거래처목록!$D93="",0,거래처목록!$D93))</f>
        <v/>
      </c>
    </row>
    <row r="97" customFormat="false" ht="15" hidden="false" customHeight="true" outlineLevel="0" collapsed="false">
      <c r="A97" s="19" t="str">
        <f aca="false">IF(거래처목록!$A94="","",거래처목록!$A94)</f>
        <v/>
      </c>
      <c r="B97" s="19" t="str">
        <f aca="false">IF($A97="","",거래처목록!$B94)</f>
        <v/>
      </c>
      <c r="C97" s="15" t="str">
        <f aca="false">IF($A97="","",SUMIFS(매출내역!$F$3:$F$3002,매출내역!$B$3:$B$3002,$A97))</f>
        <v/>
      </c>
      <c r="D97" s="15" t="str">
        <f aca="false">IF($A97="","",SUMIFS(매출내역!$H$3:$H$3002,매출내역!$B$3:$B$3002,$A97))</f>
        <v/>
      </c>
      <c r="E97" s="15" t="str">
        <f aca="false">IF($A97="","",$C97-$D97)</f>
        <v/>
      </c>
      <c r="F97" s="20" t="str">
        <f aca="false">IF($A97="","",COUNTIFS(매출내역!$B$3:$B$3002,$A97,매출내역!$I$3:$I$3002,"&gt;0"))</f>
        <v/>
      </c>
      <c r="G97" s="21" t="str">
        <f aca="true">IF($A97="","",IF($F97=0,0,TODAY()-_xlfn.MINIFS(매출내역!$A$3:$A$3002,매출내역!$B$3:$B$3002,$A97,매출내역!$I$3:$I$3002,"&gt;0")))</f>
        <v/>
      </c>
      <c r="H97" s="20" t="str">
        <f aca="false">IF($A97="","",IF($I97=0,"한도미설정",IF($E97&gt;$I97,"한도초과","정상")))</f>
        <v/>
      </c>
      <c r="I97" s="15" t="str">
        <f aca="false">IF($A97="","",IF(거래처목록!$D94="",0,거래처목록!$D94))</f>
        <v/>
      </c>
    </row>
    <row r="98" customFormat="false" ht="15" hidden="false" customHeight="true" outlineLevel="0" collapsed="false">
      <c r="A98" s="19" t="str">
        <f aca="false">IF(거래처목록!$A95="","",거래처목록!$A95)</f>
        <v/>
      </c>
      <c r="B98" s="19" t="str">
        <f aca="false">IF($A98="","",거래처목록!$B95)</f>
        <v/>
      </c>
      <c r="C98" s="15" t="str">
        <f aca="false">IF($A98="","",SUMIFS(매출내역!$F$3:$F$3002,매출내역!$B$3:$B$3002,$A98))</f>
        <v/>
      </c>
      <c r="D98" s="15" t="str">
        <f aca="false">IF($A98="","",SUMIFS(매출내역!$H$3:$H$3002,매출내역!$B$3:$B$3002,$A98))</f>
        <v/>
      </c>
      <c r="E98" s="15" t="str">
        <f aca="false">IF($A98="","",$C98-$D98)</f>
        <v/>
      </c>
      <c r="F98" s="20" t="str">
        <f aca="false">IF($A98="","",COUNTIFS(매출내역!$B$3:$B$3002,$A98,매출내역!$I$3:$I$3002,"&gt;0"))</f>
        <v/>
      </c>
      <c r="G98" s="21" t="str">
        <f aca="true">IF($A98="","",IF($F98=0,0,TODAY()-_xlfn.MINIFS(매출내역!$A$3:$A$3002,매출내역!$B$3:$B$3002,$A98,매출내역!$I$3:$I$3002,"&gt;0")))</f>
        <v/>
      </c>
      <c r="H98" s="20" t="str">
        <f aca="false">IF($A98="","",IF($I98=0,"한도미설정",IF($E98&gt;$I98,"한도초과","정상")))</f>
        <v/>
      </c>
      <c r="I98" s="15" t="str">
        <f aca="false">IF($A98="","",IF(거래처목록!$D95="",0,거래처목록!$D95))</f>
        <v/>
      </c>
    </row>
    <row r="99" customFormat="false" ht="15" hidden="false" customHeight="true" outlineLevel="0" collapsed="false">
      <c r="A99" s="19" t="str">
        <f aca="false">IF(거래처목록!$A96="","",거래처목록!$A96)</f>
        <v/>
      </c>
      <c r="B99" s="19" t="str">
        <f aca="false">IF($A99="","",거래처목록!$B96)</f>
        <v/>
      </c>
      <c r="C99" s="15" t="str">
        <f aca="false">IF($A99="","",SUMIFS(매출내역!$F$3:$F$3002,매출내역!$B$3:$B$3002,$A99))</f>
        <v/>
      </c>
      <c r="D99" s="15" t="str">
        <f aca="false">IF($A99="","",SUMIFS(매출내역!$H$3:$H$3002,매출내역!$B$3:$B$3002,$A99))</f>
        <v/>
      </c>
      <c r="E99" s="15" t="str">
        <f aca="false">IF($A99="","",$C99-$D99)</f>
        <v/>
      </c>
      <c r="F99" s="20" t="str">
        <f aca="false">IF($A99="","",COUNTIFS(매출내역!$B$3:$B$3002,$A99,매출내역!$I$3:$I$3002,"&gt;0"))</f>
        <v/>
      </c>
      <c r="G99" s="21" t="str">
        <f aca="true">IF($A99="","",IF($F99=0,0,TODAY()-_xlfn.MINIFS(매출내역!$A$3:$A$3002,매출내역!$B$3:$B$3002,$A99,매출내역!$I$3:$I$3002,"&gt;0")))</f>
        <v/>
      </c>
      <c r="H99" s="20" t="str">
        <f aca="false">IF($A99="","",IF($I99=0,"한도미설정",IF($E99&gt;$I99,"한도초과","정상")))</f>
        <v/>
      </c>
      <c r="I99" s="15" t="str">
        <f aca="false">IF($A99="","",IF(거래처목록!$D96="",0,거래처목록!$D96))</f>
        <v/>
      </c>
    </row>
    <row r="100" customFormat="false" ht="15" hidden="false" customHeight="true" outlineLevel="0" collapsed="false">
      <c r="A100" s="19" t="str">
        <f aca="false">IF(거래처목록!$A97="","",거래처목록!$A97)</f>
        <v/>
      </c>
      <c r="B100" s="19" t="str">
        <f aca="false">IF($A100="","",거래처목록!$B97)</f>
        <v/>
      </c>
      <c r="C100" s="15" t="str">
        <f aca="false">IF($A100="","",SUMIFS(매출내역!$F$3:$F$3002,매출내역!$B$3:$B$3002,$A100))</f>
        <v/>
      </c>
      <c r="D100" s="15" t="str">
        <f aca="false">IF($A100="","",SUMIFS(매출내역!$H$3:$H$3002,매출내역!$B$3:$B$3002,$A100))</f>
        <v/>
      </c>
      <c r="E100" s="15" t="str">
        <f aca="false">IF($A100="","",$C100-$D100)</f>
        <v/>
      </c>
      <c r="F100" s="20" t="str">
        <f aca="false">IF($A100="","",COUNTIFS(매출내역!$B$3:$B$3002,$A100,매출내역!$I$3:$I$3002,"&gt;0"))</f>
        <v/>
      </c>
      <c r="G100" s="21" t="str">
        <f aca="true">IF($A100="","",IF($F100=0,0,TODAY()-_xlfn.MINIFS(매출내역!$A$3:$A$3002,매출내역!$B$3:$B$3002,$A100,매출내역!$I$3:$I$3002,"&gt;0")))</f>
        <v/>
      </c>
      <c r="H100" s="20" t="str">
        <f aca="false">IF($A100="","",IF($I100=0,"한도미설정",IF($E100&gt;$I100,"한도초과","정상")))</f>
        <v/>
      </c>
      <c r="I100" s="15" t="str">
        <f aca="false">IF($A100="","",IF(거래처목록!$D97="",0,거래처목록!$D97))</f>
        <v/>
      </c>
    </row>
    <row r="101" customFormat="false" ht="15" hidden="false" customHeight="true" outlineLevel="0" collapsed="false">
      <c r="A101" s="19" t="str">
        <f aca="false">IF(거래처목록!$A98="","",거래처목록!$A98)</f>
        <v/>
      </c>
      <c r="B101" s="19" t="str">
        <f aca="false">IF($A101="","",거래처목록!$B98)</f>
        <v/>
      </c>
      <c r="C101" s="15" t="str">
        <f aca="false">IF($A101="","",SUMIFS(매출내역!$F$3:$F$3002,매출내역!$B$3:$B$3002,$A101))</f>
        <v/>
      </c>
      <c r="D101" s="15" t="str">
        <f aca="false">IF($A101="","",SUMIFS(매출내역!$H$3:$H$3002,매출내역!$B$3:$B$3002,$A101))</f>
        <v/>
      </c>
      <c r="E101" s="15" t="str">
        <f aca="false">IF($A101="","",$C101-$D101)</f>
        <v/>
      </c>
      <c r="F101" s="20" t="str">
        <f aca="false">IF($A101="","",COUNTIFS(매출내역!$B$3:$B$3002,$A101,매출내역!$I$3:$I$3002,"&gt;0"))</f>
        <v/>
      </c>
      <c r="G101" s="21" t="str">
        <f aca="true">IF($A101="","",IF($F101=0,0,TODAY()-_xlfn.MINIFS(매출내역!$A$3:$A$3002,매출내역!$B$3:$B$3002,$A101,매출내역!$I$3:$I$3002,"&gt;0")))</f>
        <v/>
      </c>
      <c r="H101" s="20" t="str">
        <f aca="false">IF($A101="","",IF($I101=0,"한도미설정",IF($E101&gt;$I101,"한도초과","정상")))</f>
        <v/>
      </c>
      <c r="I101" s="15" t="str">
        <f aca="false">IF($A101="","",IF(거래처목록!$D98="",0,거래처목록!$D98))</f>
        <v/>
      </c>
    </row>
    <row r="102" customFormat="false" ht="15" hidden="false" customHeight="true" outlineLevel="0" collapsed="false">
      <c r="A102" s="19" t="str">
        <f aca="false">IF(거래처목록!$A99="","",거래처목록!$A99)</f>
        <v/>
      </c>
      <c r="B102" s="19" t="str">
        <f aca="false">IF($A102="","",거래처목록!$B99)</f>
        <v/>
      </c>
      <c r="C102" s="15" t="str">
        <f aca="false">IF($A102="","",SUMIFS(매출내역!$F$3:$F$3002,매출내역!$B$3:$B$3002,$A102))</f>
        <v/>
      </c>
      <c r="D102" s="15" t="str">
        <f aca="false">IF($A102="","",SUMIFS(매출내역!$H$3:$H$3002,매출내역!$B$3:$B$3002,$A102))</f>
        <v/>
      </c>
      <c r="E102" s="15" t="str">
        <f aca="false">IF($A102="","",$C102-$D102)</f>
        <v/>
      </c>
      <c r="F102" s="20" t="str">
        <f aca="false">IF($A102="","",COUNTIFS(매출내역!$B$3:$B$3002,$A102,매출내역!$I$3:$I$3002,"&gt;0"))</f>
        <v/>
      </c>
      <c r="G102" s="21" t="str">
        <f aca="true">IF($A102="","",IF($F102=0,0,TODAY()-_xlfn.MINIFS(매출내역!$A$3:$A$3002,매출내역!$B$3:$B$3002,$A102,매출내역!$I$3:$I$3002,"&gt;0")))</f>
        <v/>
      </c>
      <c r="H102" s="20" t="str">
        <f aca="false">IF($A102="","",IF($I102=0,"한도미설정",IF($E102&gt;$I102,"한도초과","정상")))</f>
        <v/>
      </c>
      <c r="I102" s="15" t="str">
        <f aca="false">IF($A102="","",IF(거래처목록!$D99="",0,거래처목록!$D99))</f>
        <v/>
      </c>
    </row>
    <row r="103" customFormat="false" ht="15" hidden="false" customHeight="true" outlineLevel="0" collapsed="false">
      <c r="A103" s="19" t="str">
        <f aca="false">IF(거래처목록!$A100="","",거래처목록!$A100)</f>
        <v/>
      </c>
      <c r="B103" s="19" t="str">
        <f aca="false">IF($A103="","",거래처목록!$B100)</f>
        <v/>
      </c>
      <c r="C103" s="15" t="str">
        <f aca="false">IF($A103="","",SUMIFS(매출내역!$F$3:$F$3002,매출내역!$B$3:$B$3002,$A103))</f>
        <v/>
      </c>
      <c r="D103" s="15" t="str">
        <f aca="false">IF($A103="","",SUMIFS(매출내역!$H$3:$H$3002,매출내역!$B$3:$B$3002,$A103))</f>
        <v/>
      </c>
      <c r="E103" s="15" t="str">
        <f aca="false">IF($A103="","",$C103-$D103)</f>
        <v/>
      </c>
      <c r="F103" s="20" t="str">
        <f aca="false">IF($A103="","",COUNTIFS(매출내역!$B$3:$B$3002,$A103,매출내역!$I$3:$I$3002,"&gt;0"))</f>
        <v/>
      </c>
      <c r="G103" s="21" t="str">
        <f aca="true">IF($A103="","",IF($F103=0,0,TODAY()-_xlfn.MINIFS(매출내역!$A$3:$A$3002,매출내역!$B$3:$B$3002,$A103,매출내역!$I$3:$I$3002,"&gt;0")))</f>
        <v/>
      </c>
      <c r="H103" s="20" t="str">
        <f aca="false">IF($A103="","",IF($I103=0,"한도미설정",IF($E103&gt;$I103,"한도초과","정상")))</f>
        <v/>
      </c>
      <c r="I103" s="15" t="str">
        <f aca="false">IF($A103="","",IF(거래처목록!$D100="",0,거래처목록!$D100))</f>
        <v/>
      </c>
    </row>
    <row r="104" customFormat="false" ht="15" hidden="false" customHeight="true" outlineLevel="0" collapsed="false">
      <c r="A104" s="19" t="str">
        <f aca="false">IF(거래처목록!$A101="","",거래처목록!$A101)</f>
        <v/>
      </c>
      <c r="B104" s="19" t="str">
        <f aca="false">IF($A104="","",거래처목록!$B101)</f>
        <v/>
      </c>
      <c r="C104" s="15" t="str">
        <f aca="false">IF($A104="","",SUMIFS(매출내역!$F$3:$F$3002,매출내역!$B$3:$B$3002,$A104))</f>
        <v/>
      </c>
      <c r="D104" s="15" t="str">
        <f aca="false">IF($A104="","",SUMIFS(매출내역!$H$3:$H$3002,매출내역!$B$3:$B$3002,$A104))</f>
        <v/>
      </c>
      <c r="E104" s="15" t="str">
        <f aca="false">IF($A104="","",$C104-$D104)</f>
        <v/>
      </c>
      <c r="F104" s="20" t="str">
        <f aca="false">IF($A104="","",COUNTIFS(매출내역!$B$3:$B$3002,$A104,매출내역!$I$3:$I$3002,"&gt;0"))</f>
        <v/>
      </c>
      <c r="G104" s="21" t="str">
        <f aca="true">IF($A104="","",IF($F104=0,0,TODAY()-_xlfn.MINIFS(매출내역!$A$3:$A$3002,매출내역!$B$3:$B$3002,$A104,매출내역!$I$3:$I$3002,"&gt;0")))</f>
        <v/>
      </c>
      <c r="H104" s="20" t="str">
        <f aca="false">IF($A104="","",IF($I104=0,"한도미설정",IF($E104&gt;$I104,"한도초과","정상")))</f>
        <v/>
      </c>
      <c r="I104" s="15" t="str">
        <f aca="false">IF($A104="","",IF(거래처목록!$D101="",0,거래처목록!$D101))</f>
        <v/>
      </c>
    </row>
    <row r="105" customFormat="false" ht="15" hidden="false" customHeight="true" outlineLevel="0" collapsed="false">
      <c r="A105" s="19" t="str">
        <f aca="false">IF(거래처목록!$A102="","",거래처목록!$A102)</f>
        <v/>
      </c>
      <c r="B105" s="19" t="str">
        <f aca="false">IF($A105="","",거래처목록!$B102)</f>
        <v/>
      </c>
      <c r="C105" s="15" t="str">
        <f aca="false">IF($A105="","",SUMIFS(매출내역!$F$3:$F$3002,매출내역!$B$3:$B$3002,$A105))</f>
        <v/>
      </c>
      <c r="D105" s="15" t="str">
        <f aca="false">IF($A105="","",SUMIFS(매출내역!$H$3:$H$3002,매출내역!$B$3:$B$3002,$A105))</f>
        <v/>
      </c>
      <c r="E105" s="15" t="str">
        <f aca="false">IF($A105="","",$C105-$D105)</f>
        <v/>
      </c>
      <c r="F105" s="20" t="str">
        <f aca="false">IF($A105="","",COUNTIFS(매출내역!$B$3:$B$3002,$A105,매출내역!$I$3:$I$3002,"&gt;0"))</f>
        <v/>
      </c>
      <c r="G105" s="21" t="str">
        <f aca="true">IF($A105="","",IF($F105=0,0,TODAY()-_xlfn.MINIFS(매출내역!$A$3:$A$3002,매출내역!$B$3:$B$3002,$A105,매출내역!$I$3:$I$3002,"&gt;0")))</f>
        <v/>
      </c>
      <c r="H105" s="20" t="str">
        <f aca="false">IF($A105="","",IF($I105=0,"한도미설정",IF($E105&gt;$I105,"한도초과","정상")))</f>
        <v/>
      </c>
      <c r="I105" s="15" t="str">
        <f aca="false">IF($A105="","",IF(거래처목록!$D102="",0,거래처목록!$D102))</f>
        <v/>
      </c>
    </row>
    <row r="106" customFormat="false" ht="15" hidden="false" customHeight="true" outlineLevel="0" collapsed="false">
      <c r="A106" s="19" t="str">
        <f aca="false">IF(거래처목록!$A103="","",거래처목록!$A103)</f>
        <v/>
      </c>
      <c r="B106" s="19" t="str">
        <f aca="false">IF($A106="","",거래처목록!$B103)</f>
        <v/>
      </c>
      <c r="C106" s="15" t="str">
        <f aca="false">IF($A106="","",SUMIFS(매출내역!$F$3:$F$3002,매출내역!$B$3:$B$3002,$A106))</f>
        <v/>
      </c>
      <c r="D106" s="15" t="str">
        <f aca="false">IF($A106="","",SUMIFS(매출내역!$H$3:$H$3002,매출내역!$B$3:$B$3002,$A106))</f>
        <v/>
      </c>
      <c r="E106" s="15" t="str">
        <f aca="false">IF($A106="","",$C106-$D106)</f>
        <v/>
      </c>
      <c r="F106" s="20" t="str">
        <f aca="false">IF($A106="","",COUNTIFS(매출내역!$B$3:$B$3002,$A106,매출내역!$I$3:$I$3002,"&gt;0"))</f>
        <v/>
      </c>
      <c r="G106" s="21" t="str">
        <f aca="true">IF($A106="","",IF($F106=0,0,TODAY()-_xlfn.MINIFS(매출내역!$A$3:$A$3002,매출내역!$B$3:$B$3002,$A106,매출내역!$I$3:$I$3002,"&gt;0")))</f>
        <v/>
      </c>
      <c r="H106" s="20" t="str">
        <f aca="false">IF($A106="","",IF($I106=0,"한도미설정",IF($E106&gt;$I106,"한도초과","정상")))</f>
        <v/>
      </c>
      <c r="I106" s="15" t="str">
        <f aca="false">IF($A106="","",IF(거래처목록!$D103="",0,거래처목록!$D103))</f>
        <v/>
      </c>
    </row>
    <row r="107" customFormat="false" ht="15" hidden="false" customHeight="true" outlineLevel="0" collapsed="false">
      <c r="A107" s="19" t="str">
        <f aca="false">IF(거래처목록!$A104="","",거래처목록!$A104)</f>
        <v/>
      </c>
      <c r="B107" s="19" t="str">
        <f aca="false">IF($A107="","",거래처목록!$B104)</f>
        <v/>
      </c>
      <c r="C107" s="15" t="str">
        <f aca="false">IF($A107="","",SUMIFS(매출내역!$F$3:$F$3002,매출내역!$B$3:$B$3002,$A107))</f>
        <v/>
      </c>
      <c r="D107" s="15" t="str">
        <f aca="false">IF($A107="","",SUMIFS(매출내역!$H$3:$H$3002,매출내역!$B$3:$B$3002,$A107))</f>
        <v/>
      </c>
      <c r="E107" s="15" t="str">
        <f aca="false">IF($A107="","",$C107-$D107)</f>
        <v/>
      </c>
      <c r="F107" s="20" t="str">
        <f aca="false">IF($A107="","",COUNTIFS(매출내역!$B$3:$B$3002,$A107,매출내역!$I$3:$I$3002,"&gt;0"))</f>
        <v/>
      </c>
      <c r="G107" s="21" t="str">
        <f aca="true">IF($A107="","",IF($F107=0,0,TODAY()-_xlfn.MINIFS(매출내역!$A$3:$A$3002,매출내역!$B$3:$B$3002,$A107,매출내역!$I$3:$I$3002,"&gt;0")))</f>
        <v/>
      </c>
      <c r="H107" s="20" t="str">
        <f aca="false">IF($A107="","",IF($I107=0,"한도미설정",IF($E107&gt;$I107,"한도초과","정상")))</f>
        <v/>
      </c>
      <c r="I107" s="15" t="str">
        <f aca="false">IF($A107="","",IF(거래처목록!$D104="",0,거래처목록!$D104))</f>
        <v/>
      </c>
    </row>
    <row r="108" customFormat="false" ht="15" hidden="false" customHeight="true" outlineLevel="0" collapsed="false">
      <c r="A108" s="19" t="str">
        <f aca="false">IF(거래처목록!$A105="","",거래처목록!$A105)</f>
        <v/>
      </c>
      <c r="B108" s="19" t="str">
        <f aca="false">IF($A108="","",거래처목록!$B105)</f>
        <v/>
      </c>
      <c r="C108" s="15" t="str">
        <f aca="false">IF($A108="","",SUMIFS(매출내역!$F$3:$F$3002,매출내역!$B$3:$B$3002,$A108))</f>
        <v/>
      </c>
      <c r="D108" s="15" t="str">
        <f aca="false">IF($A108="","",SUMIFS(매출내역!$H$3:$H$3002,매출내역!$B$3:$B$3002,$A108))</f>
        <v/>
      </c>
      <c r="E108" s="15" t="str">
        <f aca="false">IF($A108="","",$C108-$D108)</f>
        <v/>
      </c>
      <c r="F108" s="20" t="str">
        <f aca="false">IF($A108="","",COUNTIFS(매출내역!$B$3:$B$3002,$A108,매출내역!$I$3:$I$3002,"&gt;0"))</f>
        <v/>
      </c>
      <c r="G108" s="21" t="str">
        <f aca="true">IF($A108="","",IF($F108=0,0,TODAY()-_xlfn.MINIFS(매출내역!$A$3:$A$3002,매출내역!$B$3:$B$3002,$A108,매출내역!$I$3:$I$3002,"&gt;0")))</f>
        <v/>
      </c>
      <c r="H108" s="20" t="str">
        <f aca="false">IF($A108="","",IF($I108=0,"한도미설정",IF($E108&gt;$I108,"한도초과","정상")))</f>
        <v/>
      </c>
      <c r="I108" s="15" t="str">
        <f aca="false">IF($A108="","",IF(거래처목록!$D105="",0,거래처목록!$D105))</f>
        <v/>
      </c>
    </row>
    <row r="109" customFormat="false" ht="15" hidden="false" customHeight="true" outlineLevel="0" collapsed="false">
      <c r="A109" s="19" t="str">
        <f aca="false">IF(거래처목록!$A106="","",거래처목록!$A106)</f>
        <v/>
      </c>
      <c r="B109" s="19" t="str">
        <f aca="false">IF($A109="","",거래처목록!$B106)</f>
        <v/>
      </c>
      <c r="C109" s="15" t="str">
        <f aca="false">IF($A109="","",SUMIFS(매출내역!$F$3:$F$3002,매출내역!$B$3:$B$3002,$A109))</f>
        <v/>
      </c>
      <c r="D109" s="15" t="str">
        <f aca="false">IF($A109="","",SUMIFS(매출내역!$H$3:$H$3002,매출내역!$B$3:$B$3002,$A109))</f>
        <v/>
      </c>
      <c r="E109" s="15" t="str">
        <f aca="false">IF($A109="","",$C109-$D109)</f>
        <v/>
      </c>
      <c r="F109" s="20" t="str">
        <f aca="false">IF($A109="","",COUNTIFS(매출내역!$B$3:$B$3002,$A109,매출내역!$I$3:$I$3002,"&gt;0"))</f>
        <v/>
      </c>
      <c r="G109" s="21" t="str">
        <f aca="true">IF($A109="","",IF($F109=0,0,TODAY()-_xlfn.MINIFS(매출내역!$A$3:$A$3002,매출내역!$B$3:$B$3002,$A109,매출내역!$I$3:$I$3002,"&gt;0")))</f>
        <v/>
      </c>
      <c r="H109" s="20" t="str">
        <f aca="false">IF($A109="","",IF($I109=0,"한도미설정",IF($E109&gt;$I109,"한도초과","정상")))</f>
        <v/>
      </c>
      <c r="I109" s="15" t="str">
        <f aca="false">IF($A109="","",IF(거래처목록!$D106="",0,거래처목록!$D106))</f>
        <v/>
      </c>
    </row>
    <row r="110" customFormat="false" ht="15" hidden="false" customHeight="true" outlineLevel="0" collapsed="false">
      <c r="A110" s="19" t="str">
        <f aca="false">IF(거래처목록!$A107="","",거래처목록!$A107)</f>
        <v/>
      </c>
      <c r="B110" s="19" t="str">
        <f aca="false">IF($A110="","",거래처목록!$B107)</f>
        <v/>
      </c>
      <c r="C110" s="15" t="str">
        <f aca="false">IF($A110="","",SUMIFS(매출내역!$F$3:$F$3002,매출내역!$B$3:$B$3002,$A110))</f>
        <v/>
      </c>
      <c r="D110" s="15" t="str">
        <f aca="false">IF($A110="","",SUMIFS(매출내역!$H$3:$H$3002,매출내역!$B$3:$B$3002,$A110))</f>
        <v/>
      </c>
      <c r="E110" s="15" t="str">
        <f aca="false">IF($A110="","",$C110-$D110)</f>
        <v/>
      </c>
      <c r="F110" s="20" t="str">
        <f aca="false">IF($A110="","",COUNTIFS(매출내역!$B$3:$B$3002,$A110,매출내역!$I$3:$I$3002,"&gt;0"))</f>
        <v/>
      </c>
      <c r="G110" s="21" t="str">
        <f aca="true">IF($A110="","",IF($F110=0,0,TODAY()-_xlfn.MINIFS(매출내역!$A$3:$A$3002,매출내역!$B$3:$B$3002,$A110,매출내역!$I$3:$I$3002,"&gt;0")))</f>
        <v/>
      </c>
      <c r="H110" s="20" t="str">
        <f aca="false">IF($A110="","",IF($I110=0,"한도미설정",IF($E110&gt;$I110,"한도초과","정상")))</f>
        <v/>
      </c>
      <c r="I110" s="15" t="str">
        <f aca="false">IF($A110="","",IF(거래처목록!$D107="",0,거래처목록!$D107))</f>
        <v/>
      </c>
    </row>
    <row r="111" customFormat="false" ht="15" hidden="false" customHeight="true" outlineLevel="0" collapsed="false">
      <c r="A111" s="19" t="str">
        <f aca="false">IF(거래처목록!$A108="","",거래처목록!$A108)</f>
        <v/>
      </c>
      <c r="B111" s="19" t="str">
        <f aca="false">IF($A111="","",거래처목록!$B108)</f>
        <v/>
      </c>
      <c r="C111" s="15" t="str">
        <f aca="false">IF($A111="","",SUMIFS(매출내역!$F$3:$F$3002,매출내역!$B$3:$B$3002,$A111))</f>
        <v/>
      </c>
      <c r="D111" s="15" t="str">
        <f aca="false">IF($A111="","",SUMIFS(매출내역!$H$3:$H$3002,매출내역!$B$3:$B$3002,$A111))</f>
        <v/>
      </c>
      <c r="E111" s="15" t="str">
        <f aca="false">IF($A111="","",$C111-$D111)</f>
        <v/>
      </c>
      <c r="F111" s="20" t="str">
        <f aca="false">IF($A111="","",COUNTIFS(매출내역!$B$3:$B$3002,$A111,매출내역!$I$3:$I$3002,"&gt;0"))</f>
        <v/>
      </c>
      <c r="G111" s="21" t="str">
        <f aca="true">IF($A111="","",IF($F111=0,0,TODAY()-_xlfn.MINIFS(매출내역!$A$3:$A$3002,매출내역!$B$3:$B$3002,$A111,매출내역!$I$3:$I$3002,"&gt;0")))</f>
        <v/>
      </c>
      <c r="H111" s="20" t="str">
        <f aca="false">IF($A111="","",IF($I111=0,"한도미설정",IF($E111&gt;$I111,"한도초과","정상")))</f>
        <v/>
      </c>
      <c r="I111" s="15" t="str">
        <f aca="false">IF($A111="","",IF(거래처목록!$D108="",0,거래처목록!$D108))</f>
        <v/>
      </c>
    </row>
    <row r="112" customFormat="false" ht="15" hidden="false" customHeight="true" outlineLevel="0" collapsed="false">
      <c r="A112" s="19" t="str">
        <f aca="false">IF(거래처목록!$A109="","",거래처목록!$A109)</f>
        <v/>
      </c>
      <c r="B112" s="19" t="str">
        <f aca="false">IF($A112="","",거래처목록!$B109)</f>
        <v/>
      </c>
      <c r="C112" s="15" t="str">
        <f aca="false">IF($A112="","",SUMIFS(매출내역!$F$3:$F$3002,매출내역!$B$3:$B$3002,$A112))</f>
        <v/>
      </c>
      <c r="D112" s="15" t="str">
        <f aca="false">IF($A112="","",SUMIFS(매출내역!$H$3:$H$3002,매출내역!$B$3:$B$3002,$A112))</f>
        <v/>
      </c>
      <c r="E112" s="15" t="str">
        <f aca="false">IF($A112="","",$C112-$D112)</f>
        <v/>
      </c>
      <c r="F112" s="20" t="str">
        <f aca="false">IF($A112="","",COUNTIFS(매출내역!$B$3:$B$3002,$A112,매출내역!$I$3:$I$3002,"&gt;0"))</f>
        <v/>
      </c>
      <c r="G112" s="21" t="str">
        <f aca="true">IF($A112="","",IF($F112=0,0,TODAY()-_xlfn.MINIFS(매출내역!$A$3:$A$3002,매출내역!$B$3:$B$3002,$A112,매출내역!$I$3:$I$3002,"&gt;0")))</f>
        <v/>
      </c>
      <c r="H112" s="20" t="str">
        <f aca="false">IF($A112="","",IF($I112=0,"한도미설정",IF($E112&gt;$I112,"한도초과","정상")))</f>
        <v/>
      </c>
      <c r="I112" s="15" t="str">
        <f aca="false">IF($A112="","",IF(거래처목록!$D109="",0,거래처목록!$D109))</f>
        <v/>
      </c>
    </row>
    <row r="113" customFormat="false" ht="15" hidden="false" customHeight="true" outlineLevel="0" collapsed="false">
      <c r="A113" s="19" t="str">
        <f aca="false">IF(거래처목록!$A110="","",거래처목록!$A110)</f>
        <v/>
      </c>
      <c r="B113" s="19" t="str">
        <f aca="false">IF($A113="","",거래처목록!$B110)</f>
        <v/>
      </c>
      <c r="C113" s="15" t="str">
        <f aca="false">IF($A113="","",SUMIFS(매출내역!$F$3:$F$3002,매출내역!$B$3:$B$3002,$A113))</f>
        <v/>
      </c>
      <c r="D113" s="15" t="str">
        <f aca="false">IF($A113="","",SUMIFS(매출내역!$H$3:$H$3002,매출내역!$B$3:$B$3002,$A113))</f>
        <v/>
      </c>
      <c r="E113" s="15" t="str">
        <f aca="false">IF($A113="","",$C113-$D113)</f>
        <v/>
      </c>
      <c r="F113" s="20" t="str">
        <f aca="false">IF($A113="","",COUNTIFS(매출내역!$B$3:$B$3002,$A113,매출내역!$I$3:$I$3002,"&gt;0"))</f>
        <v/>
      </c>
      <c r="G113" s="21" t="str">
        <f aca="true">IF($A113="","",IF($F113=0,0,TODAY()-_xlfn.MINIFS(매출내역!$A$3:$A$3002,매출내역!$B$3:$B$3002,$A113,매출내역!$I$3:$I$3002,"&gt;0")))</f>
        <v/>
      </c>
      <c r="H113" s="20" t="str">
        <f aca="false">IF($A113="","",IF($I113=0,"한도미설정",IF($E113&gt;$I113,"한도초과","정상")))</f>
        <v/>
      </c>
      <c r="I113" s="15" t="str">
        <f aca="false">IF($A113="","",IF(거래처목록!$D110="",0,거래처목록!$D110))</f>
        <v/>
      </c>
    </row>
    <row r="114" customFormat="false" ht="15" hidden="false" customHeight="true" outlineLevel="0" collapsed="false">
      <c r="A114" s="19" t="str">
        <f aca="false">IF(거래처목록!$A111="","",거래처목록!$A111)</f>
        <v/>
      </c>
      <c r="B114" s="19" t="str">
        <f aca="false">IF($A114="","",거래처목록!$B111)</f>
        <v/>
      </c>
      <c r="C114" s="15" t="str">
        <f aca="false">IF($A114="","",SUMIFS(매출내역!$F$3:$F$3002,매출내역!$B$3:$B$3002,$A114))</f>
        <v/>
      </c>
      <c r="D114" s="15" t="str">
        <f aca="false">IF($A114="","",SUMIFS(매출내역!$H$3:$H$3002,매출내역!$B$3:$B$3002,$A114))</f>
        <v/>
      </c>
      <c r="E114" s="15" t="str">
        <f aca="false">IF($A114="","",$C114-$D114)</f>
        <v/>
      </c>
      <c r="F114" s="20" t="str">
        <f aca="false">IF($A114="","",COUNTIFS(매출내역!$B$3:$B$3002,$A114,매출내역!$I$3:$I$3002,"&gt;0"))</f>
        <v/>
      </c>
      <c r="G114" s="21" t="str">
        <f aca="true">IF($A114="","",IF($F114=0,0,TODAY()-_xlfn.MINIFS(매출내역!$A$3:$A$3002,매출내역!$B$3:$B$3002,$A114,매출내역!$I$3:$I$3002,"&gt;0")))</f>
        <v/>
      </c>
      <c r="H114" s="20" t="str">
        <f aca="false">IF($A114="","",IF($I114=0,"한도미설정",IF($E114&gt;$I114,"한도초과","정상")))</f>
        <v/>
      </c>
      <c r="I114" s="15" t="str">
        <f aca="false">IF($A114="","",IF(거래처목록!$D111="",0,거래처목록!$D111))</f>
        <v/>
      </c>
    </row>
    <row r="115" customFormat="false" ht="15" hidden="false" customHeight="true" outlineLevel="0" collapsed="false">
      <c r="A115" s="19" t="str">
        <f aca="false">IF(거래처목록!$A112="","",거래처목록!$A112)</f>
        <v/>
      </c>
      <c r="B115" s="19" t="str">
        <f aca="false">IF($A115="","",거래처목록!$B112)</f>
        <v/>
      </c>
      <c r="C115" s="15" t="str">
        <f aca="false">IF($A115="","",SUMIFS(매출내역!$F$3:$F$3002,매출내역!$B$3:$B$3002,$A115))</f>
        <v/>
      </c>
      <c r="D115" s="15" t="str">
        <f aca="false">IF($A115="","",SUMIFS(매출내역!$H$3:$H$3002,매출내역!$B$3:$B$3002,$A115))</f>
        <v/>
      </c>
      <c r="E115" s="15" t="str">
        <f aca="false">IF($A115="","",$C115-$D115)</f>
        <v/>
      </c>
      <c r="F115" s="20" t="str">
        <f aca="false">IF($A115="","",COUNTIFS(매출내역!$B$3:$B$3002,$A115,매출내역!$I$3:$I$3002,"&gt;0"))</f>
        <v/>
      </c>
      <c r="G115" s="21" t="str">
        <f aca="true">IF($A115="","",IF($F115=0,0,TODAY()-_xlfn.MINIFS(매출내역!$A$3:$A$3002,매출내역!$B$3:$B$3002,$A115,매출내역!$I$3:$I$3002,"&gt;0")))</f>
        <v/>
      </c>
      <c r="H115" s="20" t="str">
        <f aca="false">IF($A115="","",IF($I115=0,"한도미설정",IF($E115&gt;$I115,"한도초과","정상")))</f>
        <v/>
      </c>
      <c r="I115" s="15" t="str">
        <f aca="false">IF($A115="","",IF(거래처목록!$D112="",0,거래처목록!$D112))</f>
        <v/>
      </c>
    </row>
    <row r="116" customFormat="false" ht="15" hidden="false" customHeight="true" outlineLevel="0" collapsed="false">
      <c r="A116" s="19" t="str">
        <f aca="false">IF(거래처목록!$A113="","",거래처목록!$A113)</f>
        <v/>
      </c>
      <c r="B116" s="19" t="str">
        <f aca="false">IF($A116="","",거래처목록!$B113)</f>
        <v/>
      </c>
      <c r="C116" s="15" t="str">
        <f aca="false">IF($A116="","",SUMIFS(매출내역!$F$3:$F$3002,매출내역!$B$3:$B$3002,$A116))</f>
        <v/>
      </c>
      <c r="D116" s="15" t="str">
        <f aca="false">IF($A116="","",SUMIFS(매출내역!$H$3:$H$3002,매출내역!$B$3:$B$3002,$A116))</f>
        <v/>
      </c>
      <c r="E116" s="15" t="str">
        <f aca="false">IF($A116="","",$C116-$D116)</f>
        <v/>
      </c>
      <c r="F116" s="20" t="str">
        <f aca="false">IF($A116="","",COUNTIFS(매출내역!$B$3:$B$3002,$A116,매출내역!$I$3:$I$3002,"&gt;0"))</f>
        <v/>
      </c>
      <c r="G116" s="21" t="str">
        <f aca="true">IF($A116="","",IF($F116=0,0,TODAY()-_xlfn.MINIFS(매출내역!$A$3:$A$3002,매출내역!$B$3:$B$3002,$A116,매출내역!$I$3:$I$3002,"&gt;0")))</f>
        <v/>
      </c>
      <c r="H116" s="20" t="str">
        <f aca="false">IF($A116="","",IF($I116=0,"한도미설정",IF($E116&gt;$I116,"한도초과","정상")))</f>
        <v/>
      </c>
      <c r="I116" s="15" t="str">
        <f aca="false">IF($A116="","",IF(거래처목록!$D113="",0,거래처목록!$D113))</f>
        <v/>
      </c>
    </row>
    <row r="117" customFormat="false" ht="15" hidden="false" customHeight="true" outlineLevel="0" collapsed="false">
      <c r="A117" s="19" t="str">
        <f aca="false">IF(거래처목록!$A114="","",거래처목록!$A114)</f>
        <v/>
      </c>
      <c r="B117" s="19" t="str">
        <f aca="false">IF($A117="","",거래처목록!$B114)</f>
        <v/>
      </c>
      <c r="C117" s="15" t="str">
        <f aca="false">IF($A117="","",SUMIFS(매출내역!$F$3:$F$3002,매출내역!$B$3:$B$3002,$A117))</f>
        <v/>
      </c>
      <c r="D117" s="15" t="str">
        <f aca="false">IF($A117="","",SUMIFS(매출내역!$H$3:$H$3002,매출내역!$B$3:$B$3002,$A117))</f>
        <v/>
      </c>
      <c r="E117" s="15" t="str">
        <f aca="false">IF($A117="","",$C117-$D117)</f>
        <v/>
      </c>
      <c r="F117" s="20" t="str">
        <f aca="false">IF($A117="","",COUNTIFS(매출내역!$B$3:$B$3002,$A117,매출내역!$I$3:$I$3002,"&gt;0"))</f>
        <v/>
      </c>
      <c r="G117" s="21" t="str">
        <f aca="true">IF($A117="","",IF($F117=0,0,TODAY()-_xlfn.MINIFS(매출내역!$A$3:$A$3002,매출내역!$B$3:$B$3002,$A117,매출내역!$I$3:$I$3002,"&gt;0")))</f>
        <v/>
      </c>
      <c r="H117" s="20" t="str">
        <f aca="false">IF($A117="","",IF($I117=0,"한도미설정",IF($E117&gt;$I117,"한도초과","정상")))</f>
        <v/>
      </c>
      <c r="I117" s="15" t="str">
        <f aca="false">IF($A117="","",IF(거래처목록!$D114="",0,거래처목록!$D114))</f>
        <v/>
      </c>
    </row>
    <row r="118" customFormat="false" ht="15" hidden="false" customHeight="true" outlineLevel="0" collapsed="false">
      <c r="A118" s="19" t="str">
        <f aca="false">IF(거래처목록!$A115="","",거래처목록!$A115)</f>
        <v/>
      </c>
      <c r="B118" s="19" t="str">
        <f aca="false">IF($A118="","",거래처목록!$B115)</f>
        <v/>
      </c>
      <c r="C118" s="15" t="str">
        <f aca="false">IF($A118="","",SUMIFS(매출내역!$F$3:$F$3002,매출내역!$B$3:$B$3002,$A118))</f>
        <v/>
      </c>
      <c r="D118" s="15" t="str">
        <f aca="false">IF($A118="","",SUMIFS(매출내역!$H$3:$H$3002,매출내역!$B$3:$B$3002,$A118))</f>
        <v/>
      </c>
      <c r="E118" s="15" t="str">
        <f aca="false">IF($A118="","",$C118-$D118)</f>
        <v/>
      </c>
      <c r="F118" s="20" t="str">
        <f aca="false">IF($A118="","",COUNTIFS(매출내역!$B$3:$B$3002,$A118,매출내역!$I$3:$I$3002,"&gt;0"))</f>
        <v/>
      </c>
      <c r="G118" s="21" t="str">
        <f aca="true">IF($A118="","",IF($F118=0,0,TODAY()-_xlfn.MINIFS(매출내역!$A$3:$A$3002,매출내역!$B$3:$B$3002,$A118,매출내역!$I$3:$I$3002,"&gt;0")))</f>
        <v/>
      </c>
      <c r="H118" s="20" t="str">
        <f aca="false">IF($A118="","",IF($I118=0,"한도미설정",IF($E118&gt;$I118,"한도초과","정상")))</f>
        <v/>
      </c>
      <c r="I118" s="15" t="str">
        <f aca="false">IF($A118="","",IF(거래처목록!$D115="",0,거래처목록!$D115))</f>
        <v/>
      </c>
    </row>
    <row r="119" customFormat="false" ht="15" hidden="false" customHeight="true" outlineLevel="0" collapsed="false">
      <c r="A119" s="19" t="str">
        <f aca="false">IF(거래처목록!$A116="","",거래처목록!$A116)</f>
        <v/>
      </c>
      <c r="B119" s="19" t="str">
        <f aca="false">IF($A119="","",거래처목록!$B116)</f>
        <v/>
      </c>
      <c r="C119" s="15" t="str">
        <f aca="false">IF($A119="","",SUMIFS(매출내역!$F$3:$F$3002,매출내역!$B$3:$B$3002,$A119))</f>
        <v/>
      </c>
      <c r="D119" s="15" t="str">
        <f aca="false">IF($A119="","",SUMIFS(매출내역!$H$3:$H$3002,매출내역!$B$3:$B$3002,$A119))</f>
        <v/>
      </c>
      <c r="E119" s="15" t="str">
        <f aca="false">IF($A119="","",$C119-$D119)</f>
        <v/>
      </c>
      <c r="F119" s="20" t="str">
        <f aca="false">IF($A119="","",COUNTIFS(매출내역!$B$3:$B$3002,$A119,매출내역!$I$3:$I$3002,"&gt;0"))</f>
        <v/>
      </c>
      <c r="G119" s="21" t="str">
        <f aca="true">IF($A119="","",IF($F119=0,0,TODAY()-_xlfn.MINIFS(매출내역!$A$3:$A$3002,매출내역!$B$3:$B$3002,$A119,매출내역!$I$3:$I$3002,"&gt;0")))</f>
        <v/>
      </c>
      <c r="H119" s="20" t="str">
        <f aca="false">IF($A119="","",IF($I119=0,"한도미설정",IF($E119&gt;$I119,"한도초과","정상")))</f>
        <v/>
      </c>
      <c r="I119" s="15" t="str">
        <f aca="false">IF($A119="","",IF(거래처목록!$D116="",0,거래처목록!$D116))</f>
        <v/>
      </c>
    </row>
    <row r="120" customFormat="false" ht="15" hidden="false" customHeight="true" outlineLevel="0" collapsed="false">
      <c r="A120" s="19" t="str">
        <f aca="false">IF(거래처목록!$A117="","",거래처목록!$A117)</f>
        <v/>
      </c>
      <c r="B120" s="19" t="str">
        <f aca="false">IF($A120="","",거래처목록!$B117)</f>
        <v/>
      </c>
      <c r="C120" s="15" t="str">
        <f aca="false">IF($A120="","",SUMIFS(매출내역!$F$3:$F$3002,매출내역!$B$3:$B$3002,$A120))</f>
        <v/>
      </c>
      <c r="D120" s="15" t="str">
        <f aca="false">IF($A120="","",SUMIFS(매출내역!$H$3:$H$3002,매출내역!$B$3:$B$3002,$A120))</f>
        <v/>
      </c>
      <c r="E120" s="15" t="str">
        <f aca="false">IF($A120="","",$C120-$D120)</f>
        <v/>
      </c>
      <c r="F120" s="20" t="str">
        <f aca="false">IF($A120="","",COUNTIFS(매출내역!$B$3:$B$3002,$A120,매출내역!$I$3:$I$3002,"&gt;0"))</f>
        <v/>
      </c>
      <c r="G120" s="21" t="str">
        <f aca="true">IF($A120="","",IF($F120=0,0,TODAY()-_xlfn.MINIFS(매출내역!$A$3:$A$3002,매출내역!$B$3:$B$3002,$A120,매출내역!$I$3:$I$3002,"&gt;0")))</f>
        <v/>
      </c>
      <c r="H120" s="20" t="str">
        <f aca="false">IF($A120="","",IF($I120=0,"한도미설정",IF($E120&gt;$I120,"한도초과","정상")))</f>
        <v/>
      </c>
      <c r="I120" s="15" t="str">
        <f aca="false">IF($A120="","",IF(거래처목록!$D117="",0,거래처목록!$D117))</f>
        <v/>
      </c>
    </row>
    <row r="121" customFormat="false" ht="15" hidden="false" customHeight="true" outlineLevel="0" collapsed="false">
      <c r="A121" s="19" t="str">
        <f aca="false">IF(거래처목록!$A118="","",거래처목록!$A118)</f>
        <v/>
      </c>
      <c r="B121" s="19" t="str">
        <f aca="false">IF($A121="","",거래처목록!$B118)</f>
        <v/>
      </c>
      <c r="C121" s="15" t="str">
        <f aca="false">IF($A121="","",SUMIFS(매출내역!$F$3:$F$3002,매출내역!$B$3:$B$3002,$A121))</f>
        <v/>
      </c>
      <c r="D121" s="15" t="str">
        <f aca="false">IF($A121="","",SUMIFS(매출내역!$H$3:$H$3002,매출내역!$B$3:$B$3002,$A121))</f>
        <v/>
      </c>
      <c r="E121" s="15" t="str">
        <f aca="false">IF($A121="","",$C121-$D121)</f>
        <v/>
      </c>
      <c r="F121" s="20" t="str">
        <f aca="false">IF($A121="","",COUNTIFS(매출내역!$B$3:$B$3002,$A121,매출내역!$I$3:$I$3002,"&gt;0"))</f>
        <v/>
      </c>
      <c r="G121" s="21" t="str">
        <f aca="true">IF($A121="","",IF($F121=0,0,TODAY()-_xlfn.MINIFS(매출내역!$A$3:$A$3002,매출내역!$B$3:$B$3002,$A121,매출내역!$I$3:$I$3002,"&gt;0")))</f>
        <v/>
      </c>
      <c r="H121" s="20" t="str">
        <f aca="false">IF($A121="","",IF($I121=0,"한도미설정",IF($E121&gt;$I121,"한도초과","정상")))</f>
        <v/>
      </c>
      <c r="I121" s="15" t="str">
        <f aca="false">IF($A121="","",IF(거래처목록!$D118="",0,거래처목록!$D118))</f>
        <v/>
      </c>
    </row>
    <row r="122" customFormat="false" ht="15" hidden="false" customHeight="true" outlineLevel="0" collapsed="false">
      <c r="A122" s="19" t="str">
        <f aca="false">IF(거래처목록!$A119="","",거래처목록!$A119)</f>
        <v/>
      </c>
      <c r="B122" s="19" t="str">
        <f aca="false">IF($A122="","",거래처목록!$B119)</f>
        <v/>
      </c>
      <c r="C122" s="15" t="str">
        <f aca="false">IF($A122="","",SUMIFS(매출내역!$F$3:$F$3002,매출내역!$B$3:$B$3002,$A122))</f>
        <v/>
      </c>
      <c r="D122" s="15" t="str">
        <f aca="false">IF($A122="","",SUMIFS(매출내역!$H$3:$H$3002,매출내역!$B$3:$B$3002,$A122))</f>
        <v/>
      </c>
      <c r="E122" s="15" t="str">
        <f aca="false">IF($A122="","",$C122-$D122)</f>
        <v/>
      </c>
      <c r="F122" s="20" t="str">
        <f aca="false">IF($A122="","",COUNTIFS(매출내역!$B$3:$B$3002,$A122,매출내역!$I$3:$I$3002,"&gt;0"))</f>
        <v/>
      </c>
      <c r="G122" s="21" t="str">
        <f aca="true">IF($A122="","",IF($F122=0,0,TODAY()-_xlfn.MINIFS(매출내역!$A$3:$A$3002,매출내역!$B$3:$B$3002,$A122,매출내역!$I$3:$I$3002,"&gt;0")))</f>
        <v/>
      </c>
      <c r="H122" s="20" t="str">
        <f aca="false">IF($A122="","",IF($I122=0,"한도미설정",IF($E122&gt;$I122,"한도초과","정상")))</f>
        <v/>
      </c>
      <c r="I122" s="15" t="str">
        <f aca="false">IF($A122="","",IF(거래처목록!$D119="",0,거래처목록!$D119))</f>
        <v/>
      </c>
    </row>
    <row r="123" customFormat="false" ht="15" hidden="false" customHeight="true" outlineLevel="0" collapsed="false">
      <c r="A123" s="19" t="str">
        <f aca="false">IF(거래처목록!$A120="","",거래처목록!$A120)</f>
        <v/>
      </c>
      <c r="B123" s="19" t="str">
        <f aca="false">IF($A123="","",거래처목록!$B120)</f>
        <v/>
      </c>
      <c r="C123" s="15" t="str">
        <f aca="false">IF($A123="","",SUMIFS(매출내역!$F$3:$F$3002,매출내역!$B$3:$B$3002,$A123))</f>
        <v/>
      </c>
      <c r="D123" s="15" t="str">
        <f aca="false">IF($A123="","",SUMIFS(매출내역!$H$3:$H$3002,매출내역!$B$3:$B$3002,$A123))</f>
        <v/>
      </c>
      <c r="E123" s="15" t="str">
        <f aca="false">IF($A123="","",$C123-$D123)</f>
        <v/>
      </c>
      <c r="F123" s="20" t="str">
        <f aca="false">IF($A123="","",COUNTIFS(매출내역!$B$3:$B$3002,$A123,매출내역!$I$3:$I$3002,"&gt;0"))</f>
        <v/>
      </c>
      <c r="G123" s="21" t="str">
        <f aca="true">IF($A123="","",IF($F123=0,0,TODAY()-_xlfn.MINIFS(매출내역!$A$3:$A$3002,매출내역!$B$3:$B$3002,$A123,매출내역!$I$3:$I$3002,"&gt;0")))</f>
        <v/>
      </c>
      <c r="H123" s="20" t="str">
        <f aca="false">IF($A123="","",IF($I123=0,"한도미설정",IF($E123&gt;$I123,"한도초과","정상")))</f>
        <v/>
      </c>
      <c r="I123" s="15" t="str">
        <f aca="false">IF($A123="","",IF(거래처목록!$D120="",0,거래처목록!$D120))</f>
        <v/>
      </c>
    </row>
    <row r="124" customFormat="false" ht="15" hidden="false" customHeight="true" outlineLevel="0" collapsed="false">
      <c r="A124" s="19" t="str">
        <f aca="false">IF(거래처목록!$A121="","",거래처목록!$A121)</f>
        <v/>
      </c>
      <c r="B124" s="19" t="str">
        <f aca="false">IF($A124="","",거래처목록!$B121)</f>
        <v/>
      </c>
      <c r="C124" s="15" t="str">
        <f aca="false">IF($A124="","",SUMIFS(매출내역!$F$3:$F$3002,매출내역!$B$3:$B$3002,$A124))</f>
        <v/>
      </c>
      <c r="D124" s="15" t="str">
        <f aca="false">IF($A124="","",SUMIFS(매출내역!$H$3:$H$3002,매출내역!$B$3:$B$3002,$A124))</f>
        <v/>
      </c>
      <c r="E124" s="15" t="str">
        <f aca="false">IF($A124="","",$C124-$D124)</f>
        <v/>
      </c>
      <c r="F124" s="20" t="str">
        <f aca="false">IF($A124="","",COUNTIFS(매출내역!$B$3:$B$3002,$A124,매출내역!$I$3:$I$3002,"&gt;0"))</f>
        <v/>
      </c>
      <c r="G124" s="21" t="str">
        <f aca="true">IF($A124="","",IF($F124=0,0,TODAY()-_xlfn.MINIFS(매출내역!$A$3:$A$3002,매출내역!$B$3:$B$3002,$A124,매출내역!$I$3:$I$3002,"&gt;0")))</f>
        <v/>
      </c>
      <c r="H124" s="20" t="str">
        <f aca="false">IF($A124="","",IF($I124=0,"한도미설정",IF($E124&gt;$I124,"한도초과","정상")))</f>
        <v/>
      </c>
      <c r="I124" s="15" t="str">
        <f aca="false">IF($A124="","",IF(거래처목록!$D121="",0,거래처목록!$D121))</f>
        <v/>
      </c>
    </row>
    <row r="125" customFormat="false" ht="15" hidden="false" customHeight="true" outlineLevel="0" collapsed="false">
      <c r="A125" s="19" t="str">
        <f aca="false">IF(거래처목록!$A122="","",거래처목록!$A122)</f>
        <v/>
      </c>
      <c r="B125" s="19" t="str">
        <f aca="false">IF($A125="","",거래처목록!$B122)</f>
        <v/>
      </c>
      <c r="C125" s="15" t="str">
        <f aca="false">IF($A125="","",SUMIFS(매출내역!$F$3:$F$3002,매출내역!$B$3:$B$3002,$A125))</f>
        <v/>
      </c>
      <c r="D125" s="15" t="str">
        <f aca="false">IF($A125="","",SUMIFS(매출내역!$H$3:$H$3002,매출내역!$B$3:$B$3002,$A125))</f>
        <v/>
      </c>
      <c r="E125" s="15" t="str">
        <f aca="false">IF($A125="","",$C125-$D125)</f>
        <v/>
      </c>
      <c r="F125" s="20" t="str">
        <f aca="false">IF($A125="","",COUNTIFS(매출내역!$B$3:$B$3002,$A125,매출내역!$I$3:$I$3002,"&gt;0"))</f>
        <v/>
      </c>
      <c r="G125" s="21" t="str">
        <f aca="true">IF($A125="","",IF($F125=0,0,TODAY()-_xlfn.MINIFS(매출내역!$A$3:$A$3002,매출내역!$B$3:$B$3002,$A125,매출내역!$I$3:$I$3002,"&gt;0")))</f>
        <v/>
      </c>
      <c r="H125" s="20" t="str">
        <f aca="false">IF($A125="","",IF($I125=0,"한도미설정",IF($E125&gt;$I125,"한도초과","정상")))</f>
        <v/>
      </c>
      <c r="I125" s="15" t="str">
        <f aca="false">IF($A125="","",IF(거래처목록!$D122="",0,거래처목록!$D122))</f>
        <v/>
      </c>
    </row>
    <row r="126" customFormat="false" ht="15" hidden="false" customHeight="true" outlineLevel="0" collapsed="false">
      <c r="A126" s="19" t="str">
        <f aca="false">IF(거래처목록!$A123="","",거래처목록!$A123)</f>
        <v/>
      </c>
      <c r="B126" s="19" t="str">
        <f aca="false">IF($A126="","",거래처목록!$B123)</f>
        <v/>
      </c>
      <c r="C126" s="15" t="str">
        <f aca="false">IF($A126="","",SUMIFS(매출내역!$F$3:$F$3002,매출내역!$B$3:$B$3002,$A126))</f>
        <v/>
      </c>
      <c r="D126" s="15" t="str">
        <f aca="false">IF($A126="","",SUMIFS(매출내역!$H$3:$H$3002,매출내역!$B$3:$B$3002,$A126))</f>
        <v/>
      </c>
      <c r="E126" s="15" t="str">
        <f aca="false">IF($A126="","",$C126-$D126)</f>
        <v/>
      </c>
      <c r="F126" s="20" t="str">
        <f aca="false">IF($A126="","",COUNTIFS(매출내역!$B$3:$B$3002,$A126,매출내역!$I$3:$I$3002,"&gt;0"))</f>
        <v/>
      </c>
      <c r="G126" s="21" t="str">
        <f aca="true">IF($A126="","",IF($F126=0,0,TODAY()-_xlfn.MINIFS(매출내역!$A$3:$A$3002,매출내역!$B$3:$B$3002,$A126,매출내역!$I$3:$I$3002,"&gt;0")))</f>
        <v/>
      </c>
      <c r="H126" s="20" t="str">
        <f aca="false">IF($A126="","",IF($I126=0,"한도미설정",IF($E126&gt;$I126,"한도초과","정상")))</f>
        <v/>
      </c>
      <c r="I126" s="15" t="str">
        <f aca="false">IF($A126="","",IF(거래처목록!$D123="",0,거래처목록!$D123))</f>
        <v/>
      </c>
    </row>
    <row r="127" customFormat="false" ht="15" hidden="false" customHeight="true" outlineLevel="0" collapsed="false">
      <c r="A127" s="19" t="str">
        <f aca="false">IF(거래처목록!$A124="","",거래처목록!$A124)</f>
        <v/>
      </c>
      <c r="B127" s="19" t="str">
        <f aca="false">IF($A127="","",거래처목록!$B124)</f>
        <v/>
      </c>
      <c r="C127" s="15" t="str">
        <f aca="false">IF($A127="","",SUMIFS(매출내역!$F$3:$F$3002,매출내역!$B$3:$B$3002,$A127))</f>
        <v/>
      </c>
      <c r="D127" s="15" t="str">
        <f aca="false">IF($A127="","",SUMIFS(매출내역!$H$3:$H$3002,매출내역!$B$3:$B$3002,$A127))</f>
        <v/>
      </c>
      <c r="E127" s="15" t="str">
        <f aca="false">IF($A127="","",$C127-$D127)</f>
        <v/>
      </c>
      <c r="F127" s="20" t="str">
        <f aca="false">IF($A127="","",COUNTIFS(매출내역!$B$3:$B$3002,$A127,매출내역!$I$3:$I$3002,"&gt;0"))</f>
        <v/>
      </c>
      <c r="G127" s="21" t="str">
        <f aca="true">IF($A127="","",IF($F127=0,0,TODAY()-_xlfn.MINIFS(매출내역!$A$3:$A$3002,매출내역!$B$3:$B$3002,$A127,매출내역!$I$3:$I$3002,"&gt;0")))</f>
        <v/>
      </c>
      <c r="H127" s="20" t="str">
        <f aca="false">IF($A127="","",IF($I127=0,"한도미설정",IF($E127&gt;$I127,"한도초과","정상")))</f>
        <v/>
      </c>
      <c r="I127" s="15" t="str">
        <f aca="false">IF($A127="","",IF(거래처목록!$D124="",0,거래처목록!$D124))</f>
        <v/>
      </c>
    </row>
    <row r="128" customFormat="false" ht="15" hidden="false" customHeight="true" outlineLevel="0" collapsed="false">
      <c r="A128" s="19" t="str">
        <f aca="false">IF(거래처목록!$A125="","",거래처목록!$A125)</f>
        <v/>
      </c>
      <c r="B128" s="19" t="str">
        <f aca="false">IF($A128="","",거래처목록!$B125)</f>
        <v/>
      </c>
      <c r="C128" s="15" t="str">
        <f aca="false">IF($A128="","",SUMIFS(매출내역!$F$3:$F$3002,매출내역!$B$3:$B$3002,$A128))</f>
        <v/>
      </c>
      <c r="D128" s="15" t="str">
        <f aca="false">IF($A128="","",SUMIFS(매출내역!$H$3:$H$3002,매출내역!$B$3:$B$3002,$A128))</f>
        <v/>
      </c>
      <c r="E128" s="15" t="str">
        <f aca="false">IF($A128="","",$C128-$D128)</f>
        <v/>
      </c>
      <c r="F128" s="20" t="str">
        <f aca="false">IF($A128="","",COUNTIFS(매출내역!$B$3:$B$3002,$A128,매출내역!$I$3:$I$3002,"&gt;0"))</f>
        <v/>
      </c>
      <c r="G128" s="21" t="str">
        <f aca="true">IF($A128="","",IF($F128=0,0,TODAY()-_xlfn.MINIFS(매출내역!$A$3:$A$3002,매출내역!$B$3:$B$3002,$A128,매출내역!$I$3:$I$3002,"&gt;0")))</f>
        <v/>
      </c>
      <c r="H128" s="20" t="str">
        <f aca="false">IF($A128="","",IF($I128=0,"한도미설정",IF($E128&gt;$I128,"한도초과","정상")))</f>
        <v/>
      </c>
      <c r="I128" s="15" t="str">
        <f aca="false">IF($A128="","",IF(거래처목록!$D125="",0,거래처목록!$D125))</f>
        <v/>
      </c>
    </row>
    <row r="129" customFormat="false" ht="15" hidden="false" customHeight="true" outlineLevel="0" collapsed="false">
      <c r="A129" s="19" t="str">
        <f aca="false">IF(거래처목록!$A126="","",거래처목록!$A126)</f>
        <v/>
      </c>
      <c r="B129" s="19" t="str">
        <f aca="false">IF($A129="","",거래처목록!$B126)</f>
        <v/>
      </c>
      <c r="C129" s="15" t="str">
        <f aca="false">IF($A129="","",SUMIFS(매출내역!$F$3:$F$3002,매출내역!$B$3:$B$3002,$A129))</f>
        <v/>
      </c>
      <c r="D129" s="15" t="str">
        <f aca="false">IF($A129="","",SUMIFS(매출내역!$H$3:$H$3002,매출내역!$B$3:$B$3002,$A129))</f>
        <v/>
      </c>
      <c r="E129" s="15" t="str">
        <f aca="false">IF($A129="","",$C129-$D129)</f>
        <v/>
      </c>
      <c r="F129" s="20" t="str">
        <f aca="false">IF($A129="","",COUNTIFS(매출내역!$B$3:$B$3002,$A129,매출내역!$I$3:$I$3002,"&gt;0"))</f>
        <v/>
      </c>
      <c r="G129" s="21" t="str">
        <f aca="true">IF($A129="","",IF($F129=0,0,TODAY()-_xlfn.MINIFS(매출내역!$A$3:$A$3002,매출내역!$B$3:$B$3002,$A129,매출내역!$I$3:$I$3002,"&gt;0")))</f>
        <v/>
      </c>
      <c r="H129" s="20" t="str">
        <f aca="false">IF($A129="","",IF($I129=0,"한도미설정",IF($E129&gt;$I129,"한도초과","정상")))</f>
        <v/>
      </c>
      <c r="I129" s="15" t="str">
        <f aca="false">IF($A129="","",IF(거래처목록!$D126="",0,거래처목록!$D126))</f>
        <v/>
      </c>
    </row>
    <row r="130" customFormat="false" ht="15" hidden="false" customHeight="true" outlineLevel="0" collapsed="false">
      <c r="A130" s="19" t="str">
        <f aca="false">IF(거래처목록!$A127="","",거래처목록!$A127)</f>
        <v/>
      </c>
      <c r="B130" s="19" t="str">
        <f aca="false">IF($A130="","",거래처목록!$B127)</f>
        <v/>
      </c>
      <c r="C130" s="15" t="str">
        <f aca="false">IF($A130="","",SUMIFS(매출내역!$F$3:$F$3002,매출내역!$B$3:$B$3002,$A130))</f>
        <v/>
      </c>
      <c r="D130" s="15" t="str">
        <f aca="false">IF($A130="","",SUMIFS(매출내역!$H$3:$H$3002,매출내역!$B$3:$B$3002,$A130))</f>
        <v/>
      </c>
      <c r="E130" s="15" t="str">
        <f aca="false">IF($A130="","",$C130-$D130)</f>
        <v/>
      </c>
      <c r="F130" s="20" t="str">
        <f aca="false">IF($A130="","",COUNTIFS(매출내역!$B$3:$B$3002,$A130,매출내역!$I$3:$I$3002,"&gt;0"))</f>
        <v/>
      </c>
      <c r="G130" s="21" t="str">
        <f aca="true">IF($A130="","",IF($F130=0,0,TODAY()-_xlfn.MINIFS(매출내역!$A$3:$A$3002,매출내역!$B$3:$B$3002,$A130,매출내역!$I$3:$I$3002,"&gt;0")))</f>
        <v/>
      </c>
      <c r="H130" s="20" t="str">
        <f aca="false">IF($A130="","",IF($I130=0,"한도미설정",IF($E130&gt;$I130,"한도초과","정상")))</f>
        <v/>
      </c>
      <c r="I130" s="15" t="str">
        <f aca="false">IF($A130="","",IF(거래처목록!$D127="",0,거래처목록!$D127))</f>
        <v/>
      </c>
    </row>
    <row r="131" customFormat="false" ht="15" hidden="false" customHeight="true" outlineLevel="0" collapsed="false">
      <c r="A131" s="19" t="str">
        <f aca="false">IF(거래처목록!$A128="","",거래처목록!$A128)</f>
        <v/>
      </c>
      <c r="B131" s="19" t="str">
        <f aca="false">IF($A131="","",거래처목록!$B128)</f>
        <v/>
      </c>
      <c r="C131" s="15" t="str">
        <f aca="false">IF($A131="","",SUMIFS(매출내역!$F$3:$F$3002,매출내역!$B$3:$B$3002,$A131))</f>
        <v/>
      </c>
      <c r="D131" s="15" t="str">
        <f aca="false">IF($A131="","",SUMIFS(매출내역!$H$3:$H$3002,매출내역!$B$3:$B$3002,$A131))</f>
        <v/>
      </c>
      <c r="E131" s="15" t="str">
        <f aca="false">IF($A131="","",$C131-$D131)</f>
        <v/>
      </c>
      <c r="F131" s="20" t="str">
        <f aca="false">IF($A131="","",COUNTIFS(매출내역!$B$3:$B$3002,$A131,매출내역!$I$3:$I$3002,"&gt;0"))</f>
        <v/>
      </c>
      <c r="G131" s="21" t="str">
        <f aca="true">IF($A131="","",IF($F131=0,0,TODAY()-_xlfn.MINIFS(매출내역!$A$3:$A$3002,매출내역!$B$3:$B$3002,$A131,매출내역!$I$3:$I$3002,"&gt;0")))</f>
        <v/>
      </c>
      <c r="H131" s="20" t="str">
        <f aca="false">IF($A131="","",IF($I131=0,"한도미설정",IF($E131&gt;$I131,"한도초과","정상")))</f>
        <v/>
      </c>
      <c r="I131" s="15" t="str">
        <f aca="false">IF($A131="","",IF(거래처목록!$D128="",0,거래처목록!$D128))</f>
        <v/>
      </c>
    </row>
    <row r="132" customFormat="false" ht="15" hidden="false" customHeight="true" outlineLevel="0" collapsed="false">
      <c r="A132" s="19" t="str">
        <f aca="false">IF(거래처목록!$A129="","",거래처목록!$A129)</f>
        <v/>
      </c>
      <c r="B132" s="19" t="str">
        <f aca="false">IF($A132="","",거래처목록!$B129)</f>
        <v/>
      </c>
      <c r="C132" s="15" t="str">
        <f aca="false">IF($A132="","",SUMIFS(매출내역!$F$3:$F$3002,매출내역!$B$3:$B$3002,$A132))</f>
        <v/>
      </c>
      <c r="D132" s="15" t="str">
        <f aca="false">IF($A132="","",SUMIFS(매출내역!$H$3:$H$3002,매출내역!$B$3:$B$3002,$A132))</f>
        <v/>
      </c>
      <c r="E132" s="15" t="str">
        <f aca="false">IF($A132="","",$C132-$D132)</f>
        <v/>
      </c>
      <c r="F132" s="20" t="str">
        <f aca="false">IF($A132="","",COUNTIFS(매출내역!$B$3:$B$3002,$A132,매출내역!$I$3:$I$3002,"&gt;0"))</f>
        <v/>
      </c>
      <c r="G132" s="21" t="str">
        <f aca="true">IF($A132="","",IF($F132=0,0,TODAY()-_xlfn.MINIFS(매출내역!$A$3:$A$3002,매출내역!$B$3:$B$3002,$A132,매출내역!$I$3:$I$3002,"&gt;0")))</f>
        <v/>
      </c>
      <c r="H132" s="20" t="str">
        <f aca="false">IF($A132="","",IF($I132=0,"한도미설정",IF($E132&gt;$I132,"한도초과","정상")))</f>
        <v/>
      </c>
      <c r="I132" s="15" t="str">
        <f aca="false">IF($A132="","",IF(거래처목록!$D129="",0,거래처목록!$D129))</f>
        <v/>
      </c>
    </row>
    <row r="133" customFormat="false" ht="15" hidden="false" customHeight="true" outlineLevel="0" collapsed="false">
      <c r="A133" s="19" t="str">
        <f aca="false">IF(거래처목록!$A130="","",거래처목록!$A130)</f>
        <v/>
      </c>
      <c r="B133" s="19" t="str">
        <f aca="false">IF($A133="","",거래처목록!$B130)</f>
        <v/>
      </c>
      <c r="C133" s="15" t="str">
        <f aca="false">IF($A133="","",SUMIFS(매출내역!$F$3:$F$3002,매출내역!$B$3:$B$3002,$A133))</f>
        <v/>
      </c>
      <c r="D133" s="15" t="str">
        <f aca="false">IF($A133="","",SUMIFS(매출내역!$H$3:$H$3002,매출내역!$B$3:$B$3002,$A133))</f>
        <v/>
      </c>
      <c r="E133" s="15" t="str">
        <f aca="false">IF($A133="","",$C133-$D133)</f>
        <v/>
      </c>
      <c r="F133" s="20" t="str">
        <f aca="false">IF($A133="","",COUNTIFS(매출내역!$B$3:$B$3002,$A133,매출내역!$I$3:$I$3002,"&gt;0"))</f>
        <v/>
      </c>
      <c r="G133" s="21" t="str">
        <f aca="true">IF($A133="","",IF($F133=0,0,TODAY()-_xlfn.MINIFS(매출내역!$A$3:$A$3002,매출내역!$B$3:$B$3002,$A133,매출내역!$I$3:$I$3002,"&gt;0")))</f>
        <v/>
      </c>
      <c r="H133" s="20" t="str">
        <f aca="false">IF($A133="","",IF($I133=0,"한도미설정",IF($E133&gt;$I133,"한도초과","정상")))</f>
        <v/>
      </c>
      <c r="I133" s="15" t="str">
        <f aca="false">IF($A133="","",IF(거래처목록!$D130="",0,거래처목록!$D130))</f>
        <v/>
      </c>
    </row>
    <row r="134" customFormat="false" ht="15" hidden="false" customHeight="true" outlineLevel="0" collapsed="false">
      <c r="A134" s="19" t="str">
        <f aca="false">IF(거래처목록!$A131="","",거래처목록!$A131)</f>
        <v/>
      </c>
      <c r="B134" s="19" t="str">
        <f aca="false">IF($A134="","",거래처목록!$B131)</f>
        <v/>
      </c>
      <c r="C134" s="15" t="str">
        <f aca="false">IF($A134="","",SUMIFS(매출내역!$F$3:$F$3002,매출내역!$B$3:$B$3002,$A134))</f>
        <v/>
      </c>
      <c r="D134" s="15" t="str">
        <f aca="false">IF($A134="","",SUMIFS(매출내역!$H$3:$H$3002,매출내역!$B$3:$B$3002,$A134))</f>
        <v/>
      </c>
      <c r="E134" s="15" t="str">
        <f aca="false">IF($A134="","",$C134-$D134)</f>
        <v/>
      </c>
      <c r="F134" s="20" t="str">
        <f aca="false">IF($A134="","",COUNTIFS(매출내역!$B$3:$B$3002,$A134,매출내역!$I$3:$I$3002,"&gt;0"))</f>
        <v/>
      </c>
      <c r="G134" s="21" t="str">
        <f aca="true">IF($A134="","",IF($F134=0,0,TODAY()-_xlfn.MINIFS(매출내역!$A$3:$A$3002,매출내역!$B$3:$B$3002,$A134,매출내역!$I$3:$I$3002,"&gt;0")))</f>
        <v/>
      </c>
      <c r="H134" s="20" t="str">
        <f aca="false">IF($A134="","",IF($I134=0,"한도미설정",IF($E134&gt;$I134,"한도초과","정상")))</f>
        <v/>
      </c>
      <c r="I134" s="15" t="str">
        <f aca="false">IF($A134="","",IF(거래처목록!$D131="",0,거래처목록!$D131))</f>
        <v/>
      </c>
    </row>
    <row r="135" customFormat="false" ht="15" hidden="false" customHeight="true" outlineLevel="0" collapsed="false">
      <c r="A135" s="19" t="str">
        <f aca="false">IF(거래처목록!$A132="","",거래처목록!$A132)</f>
        <v/>
      </c>
      <c r="B135" s="19" t="str">
        <f aca="false">IF($A135="","",거래처목록!$B132)</f>
        <v/>
      </c>
      <c r="C135" s="15" t="str">
        <f aca="false">IF($A135="","",SUMIFS(매출내역!$F$3:$F$3002,매출내역!$B$3:$B$3002,$A135))</f>
        <v/>
      </c>
      <c r="D135" s="15" t="str">
        <f aca="false">IF($A135="","",SUMIFS(매출내역!$H$3:$H$3002,매출내역!$B$3:$B$3002,$A135))</f>
        <v/>
      </c>
      <c r="E135" s="15" t="str">
        <f aca="false">IF($A135="","",$C135-$D135)</f>
        <v/>
      </c>
      <c r="F135" s="20" t="str">
        <f aca="false">IF($A135="","",COUNTIFS(매출내역!$B$3:$B$3002,$A135,매출내역!$I$3:$I$3002,"&gt;0"))</f>
        <v/>
      </c>
      <c r="G135" s="21" t="str">
        <f aca="true">IF($A135="","",IF($F135=0,0,TODAY()-_xlfn.MINIFS(매출내역!$A$3:$A$3002,매출내역!$B$3:$B$3002,$A135,매출내역!$I$3:$I$3002,"&gt;0")))</f>
        <v/>
      </c>
      <c r="H135" s="20" t="str">
        <f aca="false">IF($A135="","",IF($I135=0,"한도미설정",IF($E135&gt;$I135,"한도초과","정상")))</f>
        <v/>
      </c>
      <c r="I135" s="15" t="str">
        <f aca="false">IF($A135="","",IF(거래처목록!$D132="",0,거래처목록!$D132))</f>
        <v/>
      </c>
    </row>
    <row r="136" customFormat="false" ht="15" hidden="false" customHeight="true" outlineLevel="0" collapsed="false">
      <c r="A136" s="19" t="str">
        <f aca="false">IF(거래처목록!$A133="","",거래처목록!$A133)</f>
        <v/>
      </c>
      <c r="B136" s="19" t="str">
        <f aca="false">IF($A136="","",거래처목록!$B133)</f>
        <v/>
      </c>
      <c r="C136" s="15" t="str">
        <f aca="false">IF($A136="","",SUMIFS(매출내역!$F$3:$F$3002,매출내역!$B$3:$B$3002,$A136))</f>
        <v/>
      </c>
      <c r="D136" s="15" t="str">
        <f aca="false">IF($A136="","",SUMIFS(매출내역!$H$3:$H$3002,매출내역!$B$3:$B$3002,$A136))</f>
        <v/>
      </c>
      <c r="E136" s="15" t="str">
        <f aca="false">IF($A136="","",$C136-$D136)</f>
        <v/>
      </c>
      <c r="F136" s="20" t="str">
        <f aca="false">IF($A136="","",COUNTIFS(매출내역!$B$3:$B$3002,$A136,매출내역!$I$3:$I$3002,"&gt;0"))</f>
        <v/>
      </c>
      <c r="G136" s="21" t="str">
        <f aca="true">IF($A136="","",IF($F136=0,0,TODAY()-_xlfn.MINIFS(매출내역!$A$3:$A$3002,매출내역!$B$3:$B$3002,$A136,매출내역!$I$3:$I$3002,"&gt;0")))</f>
        <v/>
      </c>
      <c r="H136" s="20" t="str">
        <f aca="false">IF($A136="","",IF($I136=0,"한도미설정",IF($E136&gt;$I136,"한도초과","정상")))</f>
        <v/>
      </c>
      <c r="I136" s="15" t="str">
        <f aca="false">IF($A136="","",IF(거래처목록!$D133="",0,거래처목록!$D133))</f>
        <v/>
      </c>
    </row>
    <row r="137" customFormat="false" ht="15" hidden="false" customHeight="true" outlineLevel="0" collapsed="false">
      <c r="A137" s="19" t="str">
        <f aca="false">IF(거래처목록!$A134="","",거래처목록!$A134)</f>
        <v/>
      </c>
      <c r="B137" s="19" t="str">
        <f aca="false">IF($A137="","",거래처목록!$B134)</f>
        <v/>
      </c>
      <c r="C137" s="15" t="str">
        <f aca="false">IF($A137="","",SUMIFS(매출내역!$F$3:$F$3002,매출내역!$B$3:$B$3002,$A137))</f>
        <v/>
      </c>
      <c r="D137" s="15" t="str">
        <f aca="false">IF($A137="","",SUMIFS(매출내역!$H$3:$H$3002,매출내역!$B$3:$B$3002,$A137))</f>
        <v/>
      </c>
      <c r="E137" s="15" t="str">
        <f aca="false">IF($A137="","",$C137-$D137)</f>
        <v/>
      </c>
      <c r="F137" s="20" t="str">
        <f aca="false">IF($A137="","",COUNTIFS(매출내역!$B$3:$B$3002,$A137,매출내역!$I$3:$I$3002,"&gt;0"))</f>
        <v/>
      </c>
      <c r="G137" s="21" t="str">
        <f aca="true">IF($A137="","",IF($F137=0,0,TODAY()-_xlfn.MINIFS(매출내역!$A$3:$A$3002,매출내역!$B$3:$B$3002,$A137,매출내역!$I$3:$I$3002,"&gt;0")))</f>
        <v/>
      </c>
      <c r="H137" s="20" t="str">
        <f aca="false">IF($A137="","",IF($I137=0,"한도미설정",IF($E137&gt;$I137,"한도초과","정상")))</f>
        <v/>
      </c>
      <c r="I137" s="15" t="str">
        <f aca="false">IF($A137="","",IF(거래처목록!$D134="",0,거래처목록!$D134))</f>
        <v/>
      </c>
    </row>
    <row r="138" customFormat="false" ht="15" hidden="false" customHeight="true" outlineLevel="0" collapsed="false">
      <c r="A138" s="19" t="str">
        <f aca="false">IF(거래처목록!$A135="","",거래처목록!$A135)</f>
        <v/>
      </c>
      <c r="B138" s="19" t="str">
        <f aca="false">IF($A138="","",거래처목록!$B135)</f>
        <v/>
      </c>
      <c r="C138" s="15" t="str">
        <f aca="false">IF($A138="","",SUMIFS(매출내역!$F$3:$F$3002,매출내역!$B$3:$B$3002,$A138))</f>
        <v/>
      </c>
      <c r="D138" s="15" t="str">
        <f aca="false">IF($A138="","",SUMIFS(매출내역!$H$3:$H$3002,매출내역!$B$3:$B$3002,$A138))</f>
        <v/>
      </c>
      <c r="E138" s="15" t="str">
        <f aca="false">IF($A138="","",$C138-$D138)</f>
        <v/>
      </c>
      <c r="F138" s="20" t="str">
        <f aca="false">IF($A138="","",COUNTIFS(매출내역!$B$3:$B$3002,$A138,매출내역!$I$3:$I$3002,"&gt;0"))</f>
        <v/>
      </c>
      <c r="G138" s="21" t="str">
        <f aca="true">IF($A138="","",IF($F138=0,0,TODAY()-_xlfn.MINIFS(매출내역!$A$3:$A$3002,매출내역!$B$3:$B$3002,$A138,매출내역!$I$3:$I$3002,"&gt;0")))</f>
        <v/>
      </c>
      <c r="H138" s="20" t="str">
        <f aca="false">IF($A138="","",IF($I138=0,"한도미설정",IF($E138&gt;$I138,"한도초과","정상")))</f>
        <v/>
      </c>
      <c r="I138" s="15" t="str">
        <f aca="false">IF($A138="","",IF(거래처목록!$D135="",0,거래처목록!$D135))</f>
        <v/>
      </c>
    </row>
    <row r="139" customFormat="false" ht="15" hidden="false" customHeight="true" outlineLevel="0" collapsed="false">
      <c r="A139" s="19" t="str">
        <f aca="false">IF(거래처목록!$A136="","",거래처목록!$A136)</f>
        <v/>
      </c>
      <c r="B139" s="19" t="str">
        <f aca="false">IF($A139="","",거래처목록!$B136)</f>
        <v/>
      </c>
      <c r="C139" s="15" t="str">
        <f aca="false">IF($A139="","",SUMIFS(매출내역!$F$3:$F$3002,매출내역!$B$3:$B$3002,$A139))</f>
        <v/>
      </c>
      <c r="D139" s="15" t="str">
        <f aca="false">IF($A139="","",SUMIFS(매출내역!$H$3:$H$3002,매출내역!$B$3:$B$3002,$A139))</f>
        <v/>
      </c>
      <c r="E139" s="15" t="str">
        <f aca="false">IF($A139="","",$C139-$D139)</f>
        <v/>
      </c>
      <c r="F139" s="20" t="str">
        <f aca="false">IF($A139="","",COUNTIFS(매출내역!$B$3:$B$3002,$A139,매출내역!$I$3:$I$3002,"&gt;0"))</f>
        <v/>
      </c>
      <c r="G139" s="21" t="str">
        <f aca="true">IF($A139="","",IF($F139=0,0,TODAY()-_xlfn.MINIFS(매출내역!$A$3:$A$3002,매출내역!$B$3:$B$3002,$A139,매출내역!$I$3:$I$3002,"&gt;0")))</f>
        <v/>
      </c>
      <c r="H139" s="20" t="str">
        <f aca="false">IF($A139="","",IF($I139=0,"한도미설정",IF($E139&gt;$I139,"한도초과","정상")))</f>
        <v/>
      </c>
      <c r="I139" s="15" t="str">
        <f aca="false">IF($A139="","",IF(거래처목록!$D136="",0,거래처목록!$D136))</f>
        <v/>
      </c>
    </row>
    <row r="140" customFormat="false" ht="15" hidden="false" customHeight="true" outlineLevel="0" collapsed="false">
      <c r="A140" s="19" t="str">
        <f aca="false">IF(거래처목록!$A137="","",거래처목록!$A137)</f>
        <v/>
      </c>
      <c r="B140" s="19" t="str">
        <f aca="false">IF($A140="","",거래처목록!$B137)</f>
        <v/>
      </c>
      <c r="C140" s="15" t="str">
        <f aca="false">IF($A140="","",SUMIFS(매출내역!$F$3:$F$3002,매출내역!$B$3:$B$3002,$A140))</f>
        <v/>
      </c>
      <c r="D140" s="15" t="str">
        <f aca="false">IF($A140="","",SUMIFS(매출내역!$H$3:$H$3002,매출내역!$B$3:$B$3002,$A140))</f>
        <v/>
      </c>
      <c r="E140" s="15" t="str">
        <f aca="false">IF($A140="","",$C140-$D140)</f>
        <v/>
      </c>
      <c r="F140" s="20" t="str">
        <f aca="false">IF($A140="","",COUNTIFS(매출내역!$B$3:$B$3002,$A140,매출내역!$I$3:$I$3002,"&gt;0"))</f>
        <v/>
      </c>
      <c r="G140" s="21" t="str">
        <f aca="true">IF($A140="","",IF($F140=0,0,TODAY()-_xlfn.MINIFS(매출내역!$A$3:$A$3002,매출내역!$B$3:$B$3002,$A140,매출내역!$I$3:$I$3002,"&gt;0")))</f>
        <v/>
      </c>
      <c r="H140" s="20" t="str">
        <f aca="false">IF($A140="","",IF($I140=0,"한도미설정",IF($E140&gt;$I140,"한도초과","정상")))</f>
        <v/>
      </c>
      <c r="I140" s="15" t="str">
        <f aca="false">IF($A140="","",IF(거래처목록!$D137="",0,거래처목록!$D137))</f>
        <v/>
      </c>
    </row>
    <row r="141" customFormat="false" ht="15" hidden="false" customHeight="true" outlineLevel="0" collapsed="false">
      <c r="A141" s="19" t="str">
        <f aca="false">IF(거래처목록!$A138="","",거래처목록!$A138)</f>
        <v/>
      </c>
      <c r="B141" s="19" t="str">
        <f aca="false">IF($A141="","",거래처목록!$B138)</f>
        <v/>
      </c>
      <c r="C141" s="15" t="str">
        <f aca="false">IF($A141="","",SUMIFS(매출내역!$F$3:$F$3002,매출내역!$B$3:$B$3002,$A141))</f>
        <v/>
      </c>
      <c r="D141" s="15" t="str">
        <f aca="false">IF($A141="","",SUMIFS(매출내역!$H$3:$H$3002,매출내역!$B$3:$B$3002,$A141))</f>
        <v/>
      </c>
      <c r="E141" s="15" t="str">
        <f aca="false">IF($A141="","",$C141-$D141)</f>
        <v/>
      </c>
      <c r="F141" s="20" t="str">
        <f aca="false">IF($A141="","",COUNTIFS(매출내역!$B$3:$B$3002,$A141,매출내역!$I$3:$I$3002,"&gt;0"))</f>
        <v/>
      </c>
      <c r="G141" s="21" t="str">
        <f aca="true">IF($A141="","",IF($F141=0,0,TODAY()-_xlfn.MINIFS(매출내역!$A$3:$A$3002,매출내역!$B$3:$B$3002,$A141,매출내역!$I$3:$I$3002,"&gt;0")))</f>
        <v/>
      </c>
      <c r="H141" s="20" t="str">
        <f aca="false">IF($A141="","",IF($I141=0,"한도미설정",IF($E141&gt;$I141,"한도초과","정상")))</f>
        <v/>
      </c>
      <c r="I141" s="15" t="str">
        <f aca="false">IF($A141="","",IF(거래처목록!$D138="",0,거래처목록!$D138))</f>
        <v/>
      </c>
    </row>
    <row r="142" customFormat="false" ht="15" hidden="false" customHeight="true" outlineLevel="0" collapsed="false">
      <c r="A142" s="19" t="str">
        <f aca="false">IF(거래처목록!$A139="","",거래처목록!$A139)</f>
        <v/>
      </c>
      <c r="B142" s="19" t="str">
        <f aca="false">IF($A142="","",거래처목록!$B139)</f>
        <v/>
      </c>
      <c r="C142" s="15" t="str">
        <f aca="false">IF($A142="","",SUMIFS(매출내역!$F$3:$F$3002,매출내역!$B$3:$B$3002,$A142))</f>
        <v/>
      </c>
      <c r="D142" s="15" t="str">
        <f aca="false">IF($A142="","",SUMIFS(매출내역!$H$3:$H$3002,매출내역!$B$3:$B$3002,$A142))</f>
        <v/>
      </c>
      <c r="E142" s="15" t="str">
        <f aca="false">IF($A142="","",$C142-$D142)</f>
        <v/>
      </c>
      <c r="F142" s="20" t="str">
        <f aca="false">IF($A142="","",COUNTIFS(매출내역!$B$3:$B$3002,$A142,매출내역!$I$3:$I$3002,"&gt;0"))</f>
        <v/>
      </c>
      <c r="G142" s="21" t="str">
        <f aca="true">IF($A142="","",IF($F142=0,0,TODAY()-_xlfn.MINIFS(매출내역!$A$3:$A$3002,매출내역!$B$3:$B$3002,$A142,매출내역!$I$3:$I$3002,"&gt;0")))</f>
        <v/>
      </c>
      <c r="H142" s="20" t="str">
        <f aca="false">IF($A142="","",IF($I142=0,"한도미설정",IF($E142&gt;$I142,"한도초과","정상")))</f>
        <v/>
      </c>
      <c r="I142" s="15" t="str">
        <f aca="false">IF($A142="","",IF(거래처목록!$D139="",0,거래처목록!$D139))</f>
        <v/>
      </c>
    </row>
    <row r="143" customFormat="false" ht="15" hidden="false" customHeight="true" outlineLevel="0" collapsed="false">
      <c r="A143" s="19" t="str">
        <f aca="false">IF(거래처목록!$A140="","",거래처목록!$A140)</f>
        <v/>
      </c>
      <c r="B143" s="19" t="str">
        <f aca="false">IF($A143="","",거래처목록!$B140)</f>
        <v/>
      </c>
      <c r="C143" s="15" t="str">
        <f aca="false">IF($A143="","",SUMIFS(매출내역!$F$3:$F$3002,매출내역!$B$3:$B$3002,$A143))</f>
        <v/>
      </c>
      <c r="D143" s="15" t="str">
        <f aca="false">IF($A143="","",SUMIFS(매출내역!$H$3:$H$3002,매출내역!$B$3:$B$3002,$A143))</f>
        <v/>
      </c>
      <c r="E143" s="15" t="str">
        <f aca="false">IF($A143="","",$C143-$D143)</f>
        <v/>
      </c>
      <c r="F143" s="20" t="str">
        <f aca="false">IF($A143="","",COUNTIFS(매출내역!$B$3:$B$3002,$A143,매출내역!$I$3:$I$3002,"&gt;0"))</f>
        <v/>
      </c>
      <c r="G143" s="21" t="str">
        <f aca="true">IF($A143="","",IF($F143=0,0,TODAY()-_xlfn.MINIFS(매출내역!$A$3:$A$3002,매출내역!$B$3:$B$3002,$A143,매출내역!$I$3:$I$3002,"&gt;0")))</f>
        <v/>
      </c>
      <c r="H143" s="20" t="str">
        <f aca="false">IF($A143="","",IF($I143=0,"한도미설정",IF($E143&gt;$I143,"한도초과","정상")))</f>
        <v/>
      </c>
      <c r="I143" s="15" t="str">
        <f aca="false">IF($A143="","",IF(거래처목록!$D140="",0,거래처목록!$D140))</f>
        <v/>
      </c>
    </row>
    <row r="144" customFormat="false" ht="15" hidden="false" customHeight="true" outlineLevel="0" collapsed="false">
      <c r="A144" s="19" t="str">
        <f aca="false">IF(거래처목록!$A141="","",거래처목록!$A141)</f>
        <v/>
      </c>
      <c r="B144" s="19" t="str">
        <f aca="false">IF($A144="","",거래처목록!$B141)</f>
        <v/>
      </c>
      <c r="C144" s="15" t="str">
        <f aca="false">IF($A144="","",SUMIFS(매출내역!$F$3:$F$3002,매출내역!$B$3:$B$3002,$A144))</f>
        <v/>
      </c>
      <c r="D144" s="15" t="str">
        <f aca="false">IF($A144="","",SUMIFS(매출내역!$H$3:$H$3002,매출내역!$B$3:$B$3002,$A144))</f>
        <v/>
      </c>
      <c r="E144" s="15" t="str">
        <f aca="false">IF($A144="","",$C144-$D144)</f>
        <v/>
      </c>
      <c r="F144" s="20" t="str">
        <f aca="false">IF($A144="","",COUNTIFS(매출내역!$B$3:$B$3002,$A144,매출내역!$I$3:$I$3002,"&gt;0"))</f>
        <v/>
      </c>
      <c r="G144" s="21" t="str">
        <f aca="true">IF($A144="","",IF($F144=0,0,TODAY()-_xlfn.MINIFS(매출내역!$A$3:$A$3002,매출내역!$B$3:$B$3002,$A144,매출내역!$I$3:$I$3002,"&gt;0")))</f>
        <v/>
      </c>
      <c r="H144" s="20" t="str">
        <f aca="false">IF($A144="","",IF($I144=0,"한도미설정",IF($E144&gt;$I144,"한도초과","정상")))</f>
        <v/>
      </c>
      <c r="I144" s="15" t="str">
        <f aca="false">IF($A144="","",IF(거래처목록!$D141="",0,거래처목록!$D141))</f>
        <v/>
      </c>
    </row>
    <row r="145" customFormat="false" ht="15" hidden="false" customHeight="true" outlineLevel="0" collapsed="false">
      <c r="A145" s="19" t="str">
        <f aca="false">IF(거래처목록!$A142="","",거래처목록!$A142)</f>
        <v/>
      </c>
      <c r="B145" s="19" t="str">
        <f aca="false">IF($A145="","",거래처목록!$B142)</f>
        <v/>
      </c>
      <c r="C145" s="15" t="str">
        <f aca="false">IF($A145="","",SUMIFS(매출내역!$F$3:$F$3002,매출내역!$B$3:$B$3002,$A145))</f>
        <v/>
      </c>
      <c r="D145" s="15" t="str">
        <f aca="false">IF($A145="","",SUMIFS(매출내역!$H$3:$H$3002,매출내역!$B$3:$B$3002,$A145))</f>
        <v/>
      </c>
      <c r="E145" s="15" t="str">
        <f aca="false">IF($A145="","",$C145-$D145)</f>
        <v/>
      </c>
      <c r="F145" s="20" t="str">
        <f aca="false">IF($A145="","",COUNTIFS(매출내역!$B$3:$B$3002,$A145,매출내역!$I$3:$I$3002,"&gt;0"))</f>
        <v/>
      </c>
      <c r="G145" s="21" t="str">
        <f aca="true">IF($A145="","",IF($F145=0,0,TODAY()-_xlfn.MINIFS(매출내역!$A$3:$A$3002,매출내역!$B$3:$B$3002,$A145,매출내역!$I$3:$I$3002,"&gt;0")))</f>
        <v/>
      </c>
      <c r="H145" s="20" t="str">
        <f aca="false">IF($A145="","",IF($I145=0,"한도미설정",IF($E145&gt;$I145,"한도초과","정상")))</f>
        <v/>
      </c>
      <c r="I145" s="15" t="str">
        <f aca="false">IF($A145="","",IF(거래처목록!$D142="",0,거래처목록!$D142))</f>
        <v/>
      </c>
    </row>
    <row r="146" customFormat="false" ht="15" hidden="false" customHeight="true" outlineLevel="0" collapsed="false">
      <c r="A146" s="19" t="str">
        <f aca="false">IF(거래처목록!$A143="","",거래처목록!$A143)</f>
        <v/>
      </c>
      <c r="B146" s="19" t="str">
        <f aca="false">IF($A146="","",거래처목록!$B143)</f>
        <v/>
      </c>
      <c r="C146" s="15" t="str">
        <f aca="false">IF($A146="","",SUMIFS(매출내역!$F$3:$F$3002,매출내역!$B$3:$B$3002,$A146))</f>
        <v/>
      </c>
      <c r="D146" s="15" t="str">
        <f aca="false">IF($A146="","",SUMIFS(매출내역!$H$3:$H$3002,매출내역!$B$3:$B$3002,$A146))</f>
        <v/>
      </c>
      <c r="E146" s="15" t="str">
        <f aca="false">IF($A146="","",$C146-$D146)</f>
        <v/>
      </c>
      <c r="F146" s="20" t="str">
        <f aca="false">IF($A146="","",COUNTIFS(매출내역!$B$3:$B$3002,$A146,매출내역!$I$3:$I$3002,"&gt;0"))</f>
        <v/>
      </c>
      <c r="G146" s="21" t="str">
        <f aca="true">IF($A146="","",IF($F146=0,0,TODAY()-_xlfn.MINIFS(매출내역!$A$3:$A$3002,매출내역!$B$3:$B$3002,$A146,매출내역!$I$3:$I$3002,"&gt;0")))</f>
        <v/>
      </c>
      <c r="H146" s="20" t="str">
        <f aca="false">IF($A146="","",IF($I146=0,"한도미설정",IF($E146&gt;$I146,"한도초과","정상")))</f>
        <v/>
      </c>
      <c r="I146" s="15" t="str">
        <f aca="false">IF($A146="","",IF(거래처목록!$D143="",0,거래처목록!$D143))</f>
        <v/>
      </c>
    </row>
    <row r="147" customFormat="false" ht="15" hidden="false" customHeight="true" outlineLevel="0" collapsed="false">
      <c r="A147" s="19" t="str">
        <f aca="false">IF(거래처목록!$A144="","",거래처목록!$A144)</f>
        <v/>
      </c>
      <c r="B147" s="19" t="str">
        <f aca="false">IF($A147="","",거래처목록!$B144)</f>
        <v/>
      </c>
      <c r="C147" s="15" t="str">
        <f aca="false">IF($A147="","",SUMIFS(매출내역!$F$3:$F$3002,매출내역!$B$3:$B$3002,$A147))</f>
        <v/>
      </c>
      <c r="D147" s="15" t="str">
        <f aca="false">IF($A147="","",SUMIFS(매출내역!$H$3:$H$3002,매출내역!$B$3:$B$3002,$A147))</f>
        <v/>
      </c>
      <c r="E147" s="15" t="str">
        <f aca="false">IF($A147="","",$C147-$D147)</f>
        <v/>
      </c>
      <c r="F147" s="20" t="str">
        <f aca="false">IF($A147="","",COUNTIFS(매출내역!$B$3:$B$3002,$A147,매출내역!$I$3:$I$3002,"&gt;0"))</f>
        <v/>
      </c>
      <c r="G147" s="21" t="str">
        <f aca="true">IF($A147="","",IF($F147=0,0,TODAY()-_xlfn.MINIFS(매출내역!$A$3:$A$3002,매출내역!$B$3:$B$3002,$A147,매출내역!$I$3:$I$3002,"&gt;0")))</f>
        <v/>
      </c>
      <c r="H147" s="20" t="str">
        <f aca="false">IF($A147="","",IF($I147=0,"한도미설정",IF($E147&gt;$I147,"한도초과","정상")))</f>
        <v/>
      </c>
      <c r="I147" s="15" t="str">
        <f aca="false">IF($A147="","",IF(거래처목록!$D144="",0,거래처목록!$D144))</f>
        <v/>
      </c>
    </row>
    <row r="148" customFormat="false" ht="15" hidden="false" customHeight="true" outlineLevel="0" collapsed="false">
      <c r="A148" s="19" t="str">
        <f aca="false">IF(거래처목록!$A145="","",거래처목록!$A145)</f>
        <v/>
      </c>
      <c r="B148" s="19" t="str">
        <f aca="false">IF($A148="","",거래처목록!$B145)</f>
        <v/>
      </c>
      <c r="C148" s="15" t="str">
        <f aca="false">IF($A148="","",SUMIFS(매출내역!$F$3:$F$3002,매출내역!$B$3:$B$3002,$A148))</f>
        <v/>
      </c>
      <c r="D148" s="15" t="str">
        <f aca="false">IF($A148="","",SUMIFS(매출내역!$H$3:$H$3002,매출내역!$B$3:$B$3002,$A148))</f>
        <v/>
      </c>
      <c r="E148" s="15" t="str">
        <f aca="false">IF($A148="","",$C148-$D148)</f>
        <v/>
      </c>
      <c r="F148" s="20" t="str">
        <f aca="false">IF($A148="","",COUNTIFS(매출내역!$B$3:$B$3002,$A148,매출내역!$I$3:$I$3002,"&gt;0"))</f>
        <v/>
      </c>
      <c r="G148" s="21" t="str">
        <f aca="true">IF($A148="","",IF($F148=0,0,TODAY()-_xlfn.MINIFS(매출내역!$A$3:$A$3002,매출내역!$B$3:$B$3002,$A148,매출내역!$I$3:$I$3002,"&gt;0")))</f>
        <v/>
      </c>
      <c r="H148" s="20" t="str">
        <f aca="false">IF($A148="","",IF($I148=0,"한도미설정",IF($E148&gt;$I148,"한도초과","정상")))</f>
        <v/>
      </c>
      <c r="I148" s="15" t="str">
        <f aca="false">IF($A148="","",IF(거래처목록!$D145="",0,거래처목록!$D145))</f>
        <v/>
      </c>
    </row>
    <row r="149" customFormat="false" ht="15" hidden="false" customHeight="true" outlineLevel="0" collapsed="false">
      <c r="A149" s="19" t="str">
        <f aca="false">IF(거래처목록!$A146="","",거래처목록!$A146)</f>
        <v/>
      </c>
      <c r="B149" s="19" t="str">
        <f aca="false">IF($A149="","",거래처목록!$B146)</f>
        <v/>
      </c>
      <c r="C149" s="15" t="str">
        <f aca="false">IF($A149="","",SUMIFS(매출내역!$F$3:$F$3002,매출내역!$B$3:$B$3002,$A149))</f>
        <v/>
      </c>
      <c r="D149" s="15" t="str">
        <f aca="false">IF($A149="","",SUMIFS(매출내역!$H$3:$H$3002,매출내역!$B$3:$B$3002,$A149))</f>
        <v/>
      </c>
      <c r="E149" s="15" t="str">
        <f aca="false">IF($A149="","",$C149-$D149)</f>
        <v/>
      </c>
      <c r="F149" s="20" t="str">
        <f aca="false">IF($A149="","",COUNTIFS(매출내역!$B$3:$B$3002,$A149,매출내역!$I$3:$I$3002,"&gt;0"))</f>
        <v/>
      </c>
      <c r="G149" s="21" t="str">
        <f aca="true">IF($A149="","",IF($F149=0,0,TODAY()-_xlfn.MINIFS(매출내역!$A$3:$A$3002,매출내역!$B$3:$B$3002,$A149,매출내역!$I$3:$I$3002,"&gt;0")))</f>
        <v/>
      </c>
      <c r="H149" s="20" t="str">
        <f aca="false">IF($A149="","",IF($I149=0,"한도미설정",IF($E149&gt;$I149,"한도초과","정상")))</f>
        <v/>
      </c>
      <c r="I149" s="15" t="str">
        <f aca="false">IF($A149="","",IF(거래처목록!$D146="",0,거래처목록!$D146))</f>
        <v/>
      </c>
    </row>
    <row r="150" customFormat="false" ht="15" hidden="false" customHeight="true" outlineLevel="0" collapsed="false">
      <c r="A150" s="19" t="str">
        <f aca="false">IF(거래처목록!$A147="","",거래처목록!$A147)</f>
        <v/>
      </c>
      <c r="B150" s="19" t="str">
        <f aca="false">IF($A150="","",거래처목록!$B147)</f>
        <v/>
      </c>
      <c r="C150" s="15" t="str">
        <f aca="false">IF($A150="","",SUMIFS(매출내역!$F$3:$F$3002,매출내역!$B$3:$B$3002,$A150))</f>
        <v/>
      </c>
      <c r="D150" s="15" t="str">
        <f aca="false">IF($A150="","",SUMIFS(매출내역!$H$3:$H$3002,매출내역!$B$3:$B$3002,$A150))</f>
        <v/>
      </c>
      <c r="E150" s="15" t="str">
        <f aca="false">IF($A150="","",$C150-$D150)</f>
        <v/>
      </c>
      <c r="F150" s="20" t="str">
        <f aca="false">IF($A150="","",COUNTIFS(매출내역!$B$3:$B$3002,$A150,매출내역!$I$3:$I$3002,"&gt;0"))</f>
        <v/>
      </c>
      <c r="G150" s="21" t="str">
        <f aca="true">IF($A150="","",IF($F150=0,0,TODAY()-_xlfn.MINIFS(매출내역!$A$3:$A$3002,매출내역!$B$3:$B$3002,$A150,매출내역!$I$3:$I$3002,"&gt;0")))</f>
        <v/>
      </c>
      <c r="H150" s="20" t="str">
        <f aca="false">IF($A150="","",IF($I150=0,"한도미설정",IF($E150&gt;$I150,"한도초과","정상")))</f>
        <v/>
      </c>
      <c r="I150" s="15" t="str">
        <f aca="false">IF($A150="","",IF(거래처목록!$D147="",0,거래처목록!$D147))</f>
        <v/>
      </c>
    </row>
    <row r="151" customFormat="false" ht="15" hidden="false" customHeight="true" outlineLevel="0" collapsed="false">
      <c r="A151" s="19" t="str">
        <f aca="false">IF(거래처목록!$A148="","",거래처목록!$A148)</f>
        <v/>
      </c>
      <c r="B151" s="19" t="str">
        <f aca="false">IF($A151="","",거래처목록!$B148)</f>
        <v/>
      </c>
      <c r="C151" s="15" t="str">
        <f aca="false">IF($A151="","",SUMIFS(매출내역!$F$3:$F$3002,매출내역!$B$3:$B$3002,$A151))</f>
        <v/>
      </c>
      <c r="D151" s="15" t="str">
        <f aca="false">IF($A151="","",SUMIFS(매출내역!$H$3:$H$3002,매출내역!$B$3:$B$3002,$A151))</f>
        <v/>
      </c>
      <c r="E151" s="15" t="str">
        <f aca="false">IF($A151="","",$C151-$D151)</f>
        <v/>
      </c>
      <c r="F151" s="20" t="str">
        <f aca="false">IF($A151="","",COUNTIFS(매출내역!$B$3:$B$3002,$A151,매출내역!$I$3:$I$3002,"&gt;0"))</f>
        <v/>
      </c>
      <c r="G151" s="21" t="str">
        <f aca="true">IF($A151="","",IF($F151=0,0,TODAY()-_xlfn.MINIFS(매출내역!$A$3:$A$3002,매출내역!$B$3:$B$3002,$A151,매출내역!$I$3:$I$3002,"&gt;0")))</f>
        <v/>
      </c>
      <c r="H151" s="20" t="str">
        <f aca="false">IF($A151="","",IF($I151=0,"한도미설정",IF($E151&gt;$I151,"한도초과","정상")))</f>
        <v/>
      </c>
      <c r="I151" s="15" t="str">
        <f aca="false">IF($A151="","",IF(거래처목록!$D148="",0,거래처목록!$D148))</f>
        <v/>
      </c>
    </row>
    <row r="152" customFormat="false" ht="15" hidden="false" customHeight="true" outlineLevel="0" collapsed="false">
      <c r="A152" s="19" t="str">
        <f aca="false">IF(거래처목록!$A149="","",거래처목록!$A149)</f>
        <v/>
      </c>
      <c r="B152" s="19" t="str">
        <f aca="false">IF($A152="","",거래처목록!$B149)</f>
        <v/>
      </c>
      <c r="C152" s="15" t="str">
        <f aca="false">IF($A152="","",SUMIFS(매출내역!$F$3:$F$3002,매출내역!$B$3:$B$3002,$A152))</f>
        <v/>
      </c>
      <c r="D152" s="15" t="str">
        <f aca="false">IF($A152="","",SUMIFS(매출내역!$H$3:$H$3002,매출내역!$B$3:$B$3002,$A152))</f>
        <v/>
      </c>
      <c r="E152" s="15" t="str">
        <f aca="false">IF($A152="","",$C152-$D152)</f>
        <v/>
      </c>
      <c r="F152" s="20" t="str">
        <f aca="false">IF($A152="","",COUNTIFS(매출내역!$B$3:$B$3002,$A152,매출내역!$I$3:$I$3002,"&gt;0"))</f>
        <v/>
      </c>
      <c r="G152" s="21" t="str">
        <f aca="true">IF($A152="","",IF($F152=0,0,TODAY()-_xlfn.MINIFS(매출내역!$A$3:$A$3002,매출내역!$B$3:$B$3002,$A152,매출내역!$I$3:$I$3002,"&gt;0")))</f>
        <v/>
      </c>
      <c r="H152" s="20" t="str">
        <f aca="false">IF($A152="","",IF($I152=0,"한도미설정",IF($E152&gt;$I152,"한도초과","정상")))</f>
        <v/>
      </c>
      <c r="I152" s="15" t="str">
        <f aca="false">IF($A152="","",IF(거래처목록!$D149="",0,거래처목록!$D149))</f>
        <v/>
      </c>
    </row>
    <row r="153" customFormat="false" ht="15" hidden="false" customHeight="true" outlineLevel="0" collapsed="false">
      <c r="A153" s="19" t="str">
        <f aca="false">IF(거래처목록!$A150="","",거래처목록!$A150)</f>
        <v/>
      </c>
      <c r="B153" s="19" t="str">
        <f aca="false">IF($A153="","",거래처목록!$B150)</f>
        <v/>
      </c>
      <c r="C153" s="15" t="str">
        <f aca="false">IF($A153="","",SUMIFS(매출내역!$F$3:$F$3002,매출내역!$B$3:$B$3002,$A153))</f>
        <v/>
      </c>
      <c r="D153" s="15" t="str">
        <f aca="false">IF($A153="","",SUMIFS(매출내역!$H$3:$H$3002,매출내역!$B$3:$B$3002,$A153))</f>
        <v/>
      </c>
      <c r="E153" s="15" t="str">
        <f aca="false">IF($A153="","",$C153-$D153)</f>
        <v/>
      </c>
      <c r="F153" s="20" t="str">
        <f aca="false">IF($A153="","",COUNTIFS(매출내역!$B$3:$B$3002,$A153,매출내역!$I$3:$I$3002,"&gt;0"))</f>
        <v/>
      </c>
      <c r="G153" s="21" t="str">
        <f aca="true">IF($A153="","",IF($F153=0,0,TODAY()-_xlfn.MINIFS(매출내역!$A$3:$A$3002,매출내역!$B$3:$B$3002,$A153,매출내역!$I$3:$I$3002,"&gt;0")))</f>
        <v/>
      </c>
      <c r="H153" s="20" t="str">
        <f aca="false">IF($A153="","",IF($I153=0,"한도미설정",IF($E153&gt;$I153,"한도초과","정상")))</f>
        <v/>
      </c>
      <c r="I153" s="15" t="str">
        <f aca="false">IF($A153="","",IF(거래처목록!$D150="",0,거래처목록!$D150))</f>
        <v/>
      </c>
    </row>
    <row r="154" customFormat="false" ht="15" hidden="false" customHeight="true" outlineLevel="0" collapsed="false">
      <c r="A154" s="19" t="str">
        <f aca="false">IF(거래처목록!$A151="","",거래처목록!$A151)</f>
        <v/>
      </c>
      <c r="B154" s="19" t="str">
        <f aca="false">IF($A154="","",거래처목록!$B151)</f>
        <v/>
      </c>
      <c r="C154" s="15" t="str">
        <f aca="false">IF($A154="","",SUMIFS(매출내역!$F$3:$F$3002,매출내역!$B$3:$B$3002,$A154))</f>
        <v/>
      </c>
      <c r="D154" s="15" t="str">
        <f aca="false">IF($A154="","",SUMIFS(매출내역!$H$3:$H$3002,매출내역!$B$3:$B$3002,$A154))</f>
        <v/>
      </c>
      <c r="E154" s="15" t="str">
        <f aca="false">IF($A154="","",$C154-$D154)</f>
        <v/>
      </c>
      <c r="F154" s="20" t="str">
        <f aca="false">IF($A154="","",COUNTIFS(매출내역!$B$3:$B$3002,$A154,매출내역!$I$3:$I$3002,"&gt;0"))</f>
        <v/>
      </c>
      <c r="G154" s="21" t="str">
        <f aca="true">IF($A154="","",IF($F154=0,0,TODAY()-_xlfn.MINIFS(매출내역!$A$3:$A$3002,매출내역!$B$3:$B$3002,$A154,매출내역!$I$3:$I$3002,"&gt;0")))</f>
        <v/>
      </c>
      <c r="H154" s="20" t="str">
        <f aca="false">IF($A154="","",IF($I154=0,"한도미설정",IF($E154&gt;$I154,"한도초과","정상")))</f>
        <v/>
      </c>
      <c r="I154" s="15" t="str">
        <f aca="false">IF($A154="","",IF(거래처목록!$D151="",0,거래처목록!$D151))</f>
        <v/>
      </c>
    </row>
    <row r="155" customFormat="false" ht="15" hidden="false" customHeight="true" outlineLevel="0" collapsed="false">
      <c r="A155" s="19" t="str">
        <f aca="false">IF(거래처목록!$A152="","",거래처목록!$A152)</f>
        <v/>
      </c>
      <c r="B155" s="19" t="str">
        <f aca="false">IF($A155="","",거래처목록!$B152)</f>
        <v/>
      </c>
      <c r="C155" s="15" t="str">
        <f aca="false">IF($A155="","",SUMIFS(매출내역!$F$3:$F$3002,매출내역!$B$3:$B$3002,$A155))</f>
        <v/>
      </c>
      <c r="D155" s="15" t="str">
        <f aca="false">IF($A155="","",SUMIFS(매출내역!$H$3:$H$3002,매출내역!$B$3:$B$3002,$A155))</f>
        <v/>
      </c>
      <c r="E155" s="15" t="str">
        <f aca="false">IF($A155="","",$C155-$D155)</f>
        <v/>
      </c>
      <c r="F155" s="20" t="str">
        <f aca="false">IF($A155="","",COUNTIFS(매출내역!$B$3:$B$3002,$A155,매출내역!$I$3:$I$3002,"&gt;0"))</f>
        <v/>
      </c>
      <c r="G155" s="21" t="str">
        <f aca="true">IF($A155="","",IF($F155=0,0,TODAY()-_xlfn.MINIFS(매출내역!$A$3:$A$3002,매출내역!$B$3:$B$3002,$A155,매출내역!$I$3:$I$3002,"&gt;0")))</f>
        <v/>
      </c>
      <c r="H155" s="20" t="str">
        <f aca="false">IF($A155="","",IF($I155=0,"한도미설정",IF($E155&gt;$I155,"한도초과","정상")))</f>
        <v/>
      </c>
      <c r="I155" s="15" t="str">
        <f aca="false">IF($A155="","",IF(거래처목록!$D152="",0,거래처목록!$D152))</f>
        <v/>
      </c>
    </row>
    <row r="156" customFormat="false" ht="15" hidden="false" customHeight="true" outlineLevel="0" collapsed="false">
      <c r="A156" s="19" t="str">
        <f aca="false">IF(거래처목록!$A153="","",거래처목록!$A153)</f>
        <v/>
      </c>
      <c r="B156" s="19" t="str">
        <f aca="false">IF($A156="","",거래처목록!$B153)</f>
        <v/>
      </c>
      <c r="C156" s="15" t="str">
        <f aca="false">IF($A156="","",SUMIFS(매출내역!$F$3:$F$3002,매출내역!$B$3:$B$3002,$A156))</f>
        <v/>
      </c>
      <c r="D156" s="15" t="str">
        <f aca="false">IF($A156="","",SUMIFS(매출내역!$H$3:$H$3002,매출내역!$B$3:$B$3002,$A156))</f>
        <v/>
      </c>
      <c r="E156" s="15" t="str">
        <f aca="false">IF($A156="","",$C156-$D156)</f>
        <v/>
      </c>
      <c r="F156" s="20" t="str">
        <f aca="false">IF($A156="","",COUNTIFS(매출내역!$B$3:$B$3002,$A156,매출내역!$I$3:$I$3002,"&gt;0"))</f>
        <v/>
      </c>
      <c r="G156" s="21" t="str">
        <f aca="true">IF($A156="","",IF($F156=0,0,TODAY()-_xlfn.MINIFS(매출내역!$A$3:$A$3002,매출내역!$B$3:$B$3002,$A156,매출내역!$I$3:$I$3002,"&gt;0")))</f>
        <v/>
      </c>
      <c r="H156" s="20" t="str">
        <f aca="false">IF($A156="","",IF($I156=0,"한도미설정",IF($E156&gt;$I156,"한도초과","정상")))</f>
        <v/>
      </c>
      <c r="I156" s="15" t="str">
        <f aca="false">IF($A156="","",IF(거래처목록!$D153="",0,거래처목록!$D153))</f>
        <v/>
      </c>
    </row>
    <row r="157" customFormat="false" ht="15" hidden="false" customHeight="true" outlineLevel="0" collapsed="false">
      <c r="A157" s="19" t="str">
        <f aca="false">IF(거래처목록!$A154="","",거래처목록!$A154)</f>
        <v/>
      </c>
      <c r="B157" s="19" t="str">
        <f aca="false">IF($A157="","",거래처목록!$B154)</f>
        <v/>
      </c>
      <c r="C157" s="15" t="str">
        <f aca="false">IF($A157="","",SUMIFS(매출내역!$F$3:$F$3002,매출내역!$B$3:$B$3002,$A157))</f>
        <v/>
      </c>
      <c r="D157" s="15" t="str">
        <f aca="false">IF($A157="","",SUMIFS(매출내역!$H$3:$H$3002,매출내역!$B$3:$B$3002,$A157))</f>
        <v/>
      </c>
      <c r="E157" s="15" t="str">
        <f aca="false">IF($A157="","",$C157-$D157)</f>
        <v/>
      </c>
      <c r="F157" s="20" t="str">
        <f aca="false">IF($A157="","",COUNTIFS(매출내역!$B$3:$B$3002,$A157,매출내역!$I$3:$I$3002,"&gt;0"))</f>
        <v/>
      </c>
      <c r="G157" s="21" t="str">
        <f aca="true">IF($A157="","",IF($F157=0,0,TODAY()-_xlfn.MINIFS(매출내역!$A$3:$A$3002,매출내역!$B$3:$B$3002,$A157,매출내역!$I$3:$I$3002,"&gt;0")))</f>
        <v/>
      </c>
      <c r="H157" s="20" t="str">
        <f aca="false">IF($A157="","",IF($I157=0,"한도미설정",IF($E157&gt;$I157,"한도초과","정상")))</f>
        <v/>
      </c>
      <c r="I157" s="15" t="str">
        <f aca="false">IF($A157="","",IF(거래처목록!$D154="",0,거래처목록!$D154))</f>
        <v/>
      </c>
    </row>
    <row r="158" customFormat="false" ht="15" hidden="false" customHeight="true" outlineLevel="0" collapsed="false">
      <c r="A158" s="19" t="str">
        <f aca="false">IF(거래처목록!$A155="","",거래처목록!$A155)</f>
        <v/>
      </c>
      <c r="B158" s="19" t="str">
        <f aca="false">IF($A158="","",거래처목록!$B155)</f>
        <v/>
      </c>
      <c r="C158" s="15" t="str">
        <f aca="false">IF($A158="","",SUMIFS(매출내역!$F$3:$F$3002,매출내역!$B$3:$B$3002,$A158))</f>
        <v/>
      </c>
      <c r="D158" s="15" t="str">
        <f aca="false">IF($A158="","",SUMIFS(매출내역!$H$3:$H$3002,매출내역!$B$3:$B$3002,$A158))</f>
        <v/>
      </c>
      <c r="E158" s="15" t="str">
        <f aca="false">IF($A158="","",$C158-$D158)</f>
        <v/>
      </c>
      <c r="F158" s="20" t="str">
        <f aca="false">IF($A158="","",COUNTIFS(매출내역!$B$3:$B$3002,$A158,매출내역!$I$3:$I$3002,"&gt;0"))</f>
        <v/>
      </c>
      <c r="G158" s="21" t="str">
        <f aca="true">IF($A158="","",IF($F158=0,0,TODAY()-_xlfn.MINIFS(매출내역!$A$3:$A$3002,매출내역!$B$3:$B$3002,$A158,매출내역!$I$3:$I$3002,"&gt;0")))</f>
        <v/>
      </c>
      <c r="H158" s="20" t="str">
        <f aca="false">IF($A158="","",IF($I158=0,"한도미설정",IF($E158&gt;$I158,"한도초과","정상")))</f>
        <v/>
      </c>
      <c r="I158" s="15" t="str">
        <f aca="false">IF($A158="","",IF(거래처목록!$D155="",0,거래처목록!$D155))</f>
        <v/>
      </c>
    </row>
    <row r="159" customFormat="false" ht="15" hidden="false" customHeight="true" outlineLevel="0" collapsed="false">
      <c r="A159" s="19" t="str">
        <f aca="false">IF(거래처목록!$A156="","",거래처목록!$A156)</f>
        <v/>
      </c>
      <c r="B159" s="19" t="str">
        <f aca="false">IF($A159="","",거래처목록!$B156)</f>
        <v/>
      </c>
      <c r="C159" s="15" t="str">
        <f aca="false">IF($A159="","",SUMIFS(매출내역!$F$3:$F$3002,매출내역!$B$3:$B$3002,$A159))</f>
        <v/>
      </c>
      <c r="D159" s="15" t="str">
        <f aca="false">IF($A159="","",SUMIFS(매출내역!$H$3:$H$3002,매출내역!$B$3:$B$3002,$A159))</f>
        <v/>
      </c>
      <c r="E159" s="15" t="str">
        <f aca="false">IF($A159="","",$C159-$D159)</f>
        <v/>
      </c>
      <c r="F159" s="20" t="str">
        <f aca="false">IF($A159="","",COUNTIFS(매출내역!$B$3:$B$3002,$A159,매출내역!$I$3:$I$3002,"&gt;0"))</f>
        <v/>
      </c>
      <c r="G159" s="21" t="str">
        <f aca="true">IF($A159="","",IF($F159=0,0,TODAY()-_xlfn.MINIFS(매출내역!$A$3:$A$3002,매출내역!$B$3:$B$3002,$A159,매출내역!$I$3:$I$3002,"&gt;0")))</f>
        <v/>
      </c>
      <c r="H159" s="20" t="str">
        <f aca="false">IF($A159="","",IF($I159=0,"한도미설정",IF($E159&gt;$I159,"한도초과","정상")))</f>
        <v/>
      </c>
      <c r="I159" s="15" t="str">
        <f aca="false">IF($A159="","",IF(거래처목록!$D156="",0,거래처목록!$D156))</f>
        <v/>
      </c>
    </row>
    <row r="160" customFormat="false" ht="15" hidden="false" customHeight="true" outlineLevel="0" collapsed="false">
      <c r="A160" s="19" t="str">
        <f aca="false">IF(거래처목록!$A157="","",거래처목록!$A157)</f>
        <v/>
      </c>
      <c r="B160" s="19" t="str">
        <f aca="false">IF($A160="","",거래처목록!$B157)</f>
        <v/>
      </c>
      <c r="C160" s="15" t="str">
        <f aca="false">IF($A160="","",SUMIFS(매출내역!$F$3:$F$3002,매출내역!$B$3:$B$3002,$A160))</f>
        <v/>
      </c>
      <c r="D160" s="15" t="str">
        <f aca="false">IF($A160="","",SUMIFS(매출내역!$H$3:$H$3002,매출내역!$B$3:$B$3002,$A160))</f>
        <v/>
      </c>
      <c r="E160" s="15" t="str">
        <f aca="false">IF($A160="","",$C160-$D160)</f>
        <v/>
      </c>
      <c r="F160" s="20" t="str">
        <f aca="false">IF($A160="","",COUNTIFS(매출내역!$B$3:$B$3002,$A160,매출내역!$I$3:$I$3002,"&gt;0"))</f>
        <v/>
      </c>
      <c r="G160" s="21" t="str">
        <f aca="true">IF($A160="","",IF($F160=0,0,TODAY()-_xlfn.MINIFS(매출내역!$A$3:$A$3002,매출내역!$B$3:$B$3002,$A160,매출내역!$I$3:$I$3002,"&gt;0")))</f>
        <v/>
      </c>
      <c r="H160" s="20" t="str">
        <f aca="false">IF($A160="","",IF($I160=0,"한도미설정",IF($E160&gt;$I160,"한도초과","정상")))</f>
        <v/>
      </c>
      <c r="I160" s="15" t="str">
        <f aca="false">IF($A160="","",IF(거래처목록!$D157="",0,거래처목록!$D157))</f>
        <v/>
      </c>
    </row>
    <row r="161" customFormat="false" ht="15" hidden="false" customHeight="true" outlineLevel="0" collapsed="false">
      <c r="A161" s="19" t="str">
        <f aca="false">IF(거래처목록!$A158="","",거래처목록!$A158)</f>
        <v/>
      </c>
      <c r="B161" s="19" t="str">
        <f aca="false">IF($A161="","",거래처목록!$B158)</f>
        <v/>
      </c>
      <c r="C161" s="15" t="str">
        <f aca="false">IF($A161="","",SUMIFS(매출내역!$F$3:$F$3002,매출내역!$B$3:$B$3002,$A161))</f>
        <v/>
      </c>
      <c r="D161" s="15" t="str">
        <f aca="false">IF($A161="","",SUMIFS(매출내역!$H$3:$H$3002,매출내역!$B$3:$B$3002,$A161))</f>
        <v/>
      </c>
      <c r="E161" s="15" t="str">
        <f aca="false">IF($A161="","",$C161-$D161)</f>
        <v/>
      </c>
      <c r="F161" s="20" t="str">
        <f aca="false">IF($A161="","",COUNTIFS(매출내역!$B$3:$B$3002,$A161,매출내역!$I$3:$I$3002,"&gt;0"))</f>
        <v/>
      </c>
      <c r="G161" s="21" t="str">
        <f aca="true">IF($A161="","",IF($F161=0,0,TODAY()-_xlfn.MINIFS(매출내역!$A$3:$A$3002,매출내역!$B$3:$B$3002,$A161,매출내역!$I$3:$I$3002,"&gt;0")))</f>
        <v/>
      </c>
      <c r="H161" s="20" t="str">
        <f aca="false">IF($A161="","",IF($I161=0,"한도미설정",IF($E161&gt;$I161,"한도초과","정상")))</f>
        <v/>
      </c>
      <c r="I161" s="15" t="str">
        <f aca="false">IF($A161="","",IF(거래처목록!$D158="",0,거래처목록!$D158))</f>
        <v/>
      </c>
    </row>
    <row r="162" customFormat="false" ht="15" hidden="false" customHeight="true" outlineLevel="0" collapsed="false">
      <c r="A162" s="19" t="str">
        <f aca="false">IF(거래처목록!$A159="","",거래처목록!$A159)</f>
        <v/>
      </c>
      <c r="B162" s="19" t="str">
        <f aca="false">IF($A162="","",거래처목록!$B159)</f>
        <v/>
      </c>
      <c r="C162" s="15" t="str">
        <f aca="false">IF($A162="","",SUMIFS(매출내역!$F$3:$F$3002,매출내역!$B$3:$B$3002,$A162))</f>
        <v/>
      </c>
      <c r="D162" s="15" t="str">
        <f aca="false">IF($A162="","",SUMIFS(매출내역!$H$3:$H$3002,매출내역!$B$3:$B$3002,$A162))</f>
        <v/>
      </c>
      <c r="E162" s="15" t="str">
        <f aca="false">IF($A162="","",$C162-$D162)</f>
        <v/>
      </c>
      <c r="F162" s="20" t="str">
        <f aca="false">IF($A162="","",COUNTIFS(매출내역!$B$3:$B$3002,$A162,매출내역!$I$3:$I$3002,"&gt;0"))</f>
        <v/>
      </c>
      <c r="G162" s="21" t="str">
        <f aca="true">IF($A162="","",IF($F162=0,0,TODAY()-_xlfn.MINIFS(매출내역!$A$3:$A$3002,매출내역!$B$3:$B$3002,$A162,매출내역!$I$3:$I$3002,"&gt;0")))</f>
        <v/>
      </c>
      <c r="H162" s="20" t="str">
        <f aca="false">IF($A162="","",IF($I162=0,"한도미설정",IF($E162&gt;$I162,"한도초과","정상")))</f>
        <v/>
      </c>
      <c r="I162" s="15" t="str">
        <f aca="false">IF($A162="","",IF(거래처목록!$D159="",0,거래처목록!$D159))</f>
        <v/>
      </c>
    </row>
    <row r="163" customFormat="false" ht="15" hidden="false" customHeight="true" outlineLevel="0" collapsed="false">
      <c r="A163" s="19" t="str">
        <f aca="false">IF(거래처목록!$A160="","",거래처목록!$A160)</f>
        <v/>
      </c>
      <c r="B163" s="19" t="str">
        <f aca="false">IF($A163="","",거래처목록!$B160)</f>
        <v/>
      </c>
      <c r="C163" s="15" t="str">
        <f aca="false">IF($A163="","",SUMIFS(매출내역!$F$3:$F$3002,매출내역!$B$3:$B$3002,$A163))</f>
        <v/>
      </c>
      <c r="D163" s="15" t="str">
        <f aca="false">IF($A163="","",SUMIFS(매출내역!$H$3:$H$3002,매출내역!$B$3:$B$3002,$A163))</f>
        <v/>
      </c>
      <c r="E163" s="15" t="str">
        <f aca="false">IF($A163="","",$C163-$D163)</f>
        <v/>
      </c>
      <c r="F163" s="20" t="str">
        <f aca="false">IF($A163="","",COUNTIFS(매출내역!$B$3:$B$3002,$A163,매출내역!$I$3:$I$3002,"&gt;0"))</f>
        <v/>
      </c>
      <c r="G163" s="21" t="str">
        <f aca="true">IF($A163="","",IF($F163=0,0,TODAY()-_xlfn.MINIFS(매출내역!$A$3:$A$3002,매출내역!$B$3:$B$3002,$A163,매출내역!$I$3:$I$3002,"&gt;0")))</f>
        <v/>
      </c>
      <c r="H163" s="20" t="str">
        <f aca="false">IF($A163="","",IF($I163=0,"한도미설정",IF($E163&gt;$I163,"한도초과","정상")))</f>
        <v/>
      </c>
      <c r="I163" s="15" t="str">
        <f aca="false">IF($A163="","",IF(거래처목록!$D160="",0,거래처목록!$D160))</f>
        <v/>
      </c>
    </row>
    <row r="164" customFormat="false" ht="15" hidden="false" customHeight="true" outlineLevel="0" collapsed="false">
      <c r="A164" s="19" t="str">
        <f aca="false">IF(거래처목록!$A161="","",거래처목록!$A161)</f>
        <v/>
      </c>
      <c r="B164" s="19" t="str">
        <f aca="false">IF($A164="","",거래처목록!$B161)</f>
        <v/>
      </c>
      <c r="C164" s="15" t="str">
        <f aca="false">IF($A164="","",SUMIFS(매출내역!$F$3:$F$3002,매출내역!$B$3:$B$3002,$A164))</f>
        <v/>
      </c>
      <c r="D164" s="15" t="str">
        <f aca="false">IF($A164="","",SUMIFS(매출내역!$H$3:$H$3002,매출내역!$B$3:$B$3002,$A164))</f>
        <v/>
      </c>
      <c r="E164" s="15" t="str">
        <f aca="false">IF($A164="","",$C164-$D164)</f>
        <v/>
      </c>
      <c r="F164" s="20" t="str">
        <f aca="false">IF($A164="","",COUNTIFS(매출내역!$B$3:$B$3002,$A164,매출내역!$I$3:$I$3002,"&gt;0"))</f>
        <v/>
      </c>
      <c r="G164" s="21" t="str">
        <f aca="true">IF($A164="","",IF($F164=0,0,TODAY()-_xlfn.MINIFS(매출내역!$A$3:$A$3002,매출내역!$B$3:$B$3002,$A164,매출내역!$I$3:$I$3002,"&gt;0")))</f>
        <v/>
      </c>
      <c r="H164" s="20" t="str">
        <f aca="false">IF($A164="","",IF($I164=0,"한도미설정",IF($E164&gt;$I164,"한도초과","정상")))</f>
        <v/>
      </c>
      <c r="I164" s="15" t="str">
        <f aca="false">IF($A164="","",IF(거래처목록!$D161="",0,거래처목록!$D161))</f>
        <v/>
      </c>
    </row>
    <row r="165" customFormat="false" ht="15" hidden="false" customHeight="true" outlineLevel="0" collapsed="false">
      <c r="A165" s="19" t="str">
        <f aca="false">IF(거래처목록!$A162="","",거래처목록!$A162)</f>
        <v/>
      </c>
      <c r="B165" s="19" t="str">
        <f aca="false">IF($A165="","",거래처목록!$B162)</f>
        <v/>
      </c>
      <c r="C165" s="15" t="str">
        <f aca="false">IF($A165="","",SUMIFS(매출내역!$F$3:$F$3002,매출내역!$B$3:$B$3002,$A165))</f>
        <v/>
      </c>
      <c r="D165" s="15" t="str">
        <f aca="false">IF($A165="","",SUMIFS(매출내역!$H$3:$H$3002,매출내역!$B$3:$B$3002,$A165))</f>
        <v/>
      </c>
      <c r="E165" s="15" t="str">
        <f aca="false">IF($A165="","",$C165-$D165)</f>
        <v/>
      </c>
      <c r="F165" s="20" t="str">
        <f aca="false">IF($A165="","",COUNTIFS(매출내역!$B$3:$B$3002,$A165,매출내역!$I$3:$I$3002,"&gt;0"))</f>
        <v/>
      </c>
      <c r="G165" s="21" t="str">
        <f aca="true">IF($A165="","",IF($F165=0,0,TODAY()-_xlfn.MINIFS(매출내역!$A$3:$A$3002,매출내역!$B$3:$B$3002,$A165,매출내역!$I$3:$I$3002,"&gt;0")))</f>
        <v/>
      </c>
      <c r="H165" s="20" t="str">
        <f aca="false">IF($A165="","",IF($I165=0,"한도미설정",IF($E165&gt;$I165,"한도초과","정상")))</f>
        <v/>
      </c>
      <c r="I165" s="15" t="str">
        <f aca="false">IF($A165="","",IF(거래처목록!$D162="",0,거래처목록!$D162))</f>
        <v/>
      </c>
    </row>
    <row r="166" customFormat="false" ht="15" hidden="false" customHeight="true" outlineLevel="0" collapsed="false">
      <c r="A166" s="19" t="str">
        <f aca="false">IF(거래처목록!$A163="","",거래처목록!$A163)</f>
        <v/>
      </c>
      <c r="B166" s="19" t="str">
        <f aca="false">IF($A166="","",거래처목록!$B163)</f>
        <v/>
      </c>
      <c r="C166" s="15" t="str">
        <f aca="false">IF($A166="","",SUMIFS(매출내역!$F$3:$F$3002,매출내역!$B$3:$B$3002,$A166))</f>
        <v/>
      </c>
      <c r="D166" s="15" t="str">
        <f aca="false">IF($A166="","",SUMIFS(매출내역!$H$3:$H$3002,매출내역!$B$3:$B$3002,$A166))</f>
        <v/>
      </c>
      <c r="E166" s="15" t="str">
        <f aca="false">IF($A166="","",$C166-$D166)</f>
        <v/>
      </c>
      <c r="F166" s="20" t="str">
        <f aca="false">IF($A166="","",COUNTIFS(매출내역!$B$3:$B$3002,$A166,매출내역!$I$3:$I$3002,"&gt;0"))</f>
        <v/>
      </c>
      <c r="G166" s="21" t="str">
        <f aca="true">IF($A166="","",IF($F166=0,0,TODAY()-_xlfn.MINIFS(매출내역!$A$3:$A$3002,매출내역!$B$3:$B$3002,$A166,매출내역!$I$3:$I$3002,"&gt;0")))</f>
        <v/>
      </c>
      <c r="H166" s="20" t="str">
        <f aca="false">IF($A166="","",IF($I166=0,"한도미설정",IF($E166&gt;$I166,"한도초과","정상")))</f>
        <v/>
      </c>
      <c r="I166" s="15" t="str">
        <f aca="false">IF($A166="","",IF(거래처목록!$D163="",0,거래처목록!$D163))</f>
        <v/>
      </c>
    </row>
    <row r="167" customFormat="false" ht="15" hidden="false" customHeight="true" outlineLevel="0" collapsed="false">
      <c r="A167" s="19" t="str">
        <f aca="false">IF(거래처목록!$A164="","",거래처목록!$A164)</f>
        <v/>
      </c>
      <c r="B167" s="19" t="str">
        <f aca="false">IF($A167="","",거래처목록!$B164)</f>
        <v/>
      </c>
      <c r="C167" s="15" t="str">
        <f aca="false">IF($A167="","",SUMIFS(매출내역!$F$3:$F$3002,매출내역!$B$3:$B$3002,$A167))</f>
        <v/>
      </c>
      <c r="D167" s="15" t="str">
        <f aca="false">IF($A167="","",SUMIFS(매출내역!$H$3:$H$3002,매출내역!$B$3:$B$3002,$A167))</f>
        <v/>
      </c>
      <c r="E167" s="15" t="str">
        <f aca="false">IF($A167="","",$C167-$D167)</f>
        <v/>
      </c>
      <c r="F167" s="20" t="str">
        <f aca="false">IF($A167="","",COUNTIFS(매출내역!$B$3:$B$3002,$A167,매출내역!$I$3:$I$3002,"&gt;0"))</f>
        <v/>
      </c>
      <c r="G167" s="21" t="str">
        <f aca="true">IF($A167="","",IF($F167=0,0,TODAY()-_xlfn.MINIFS(매출내역!$A$3:$A$3002,매출내역!$B$3:$B$3002,$A167,매출내역!$I$3:$I$3002,"&gt;0")))</f>
        <v/>
      </c>
      <c r="H167" s="20" t="str">
        <f aca="false">IF($A167="","",IF($I167=0,"한도미설정",IF($E167&gt;$I167,"한도초과","정상")))</f>
        <v/>
      </c>
      <c r="I167" s="15" t="str">
        <f aca="false">IF($A167="","",IF(거래처목록!$D164="",0,거래처목록!$D164))</f>
        <v/>
      </c>
    </row>
    <row r="168" customFormat="false" ht="15" hidden="false" customHeight="true" outlineLevel="0" collapsed="false">
      <c r="A168" s="19" t="str">
        <f aca="false">IF(거래처목록!$A165="","",거래처목록!$A165)</f>
        <v/>
      </c>
      <c r="B168" s="19" t="str">
        <f aca="false">IF($A168="","",거래처목록!$B165)</f>
        <v/>
      </c>
      <c r="C168" s="15" t="str">
        <f aca="false">IF($A168="","",SUMIFS(매출내역!$F$3:$F$3002,매출내역!$B$3:$B$3002,$A168))</f>
        <v/>
      </c>
      <c r="D168" s="15" t="str">
        <f aca="false">IF($A168="","",SUMIFS(매출내역!$H$3:$H$3002,매출내역!$B$3:$B$3002,$A168))</f>
        <v/>
      </c>
      <c r="E168" s="15" t="str">
        <f aca="false">IF($A168="","",$C168-$D168)</f>
        <v/>
      </c>
      <c r="F168" s="20" t="str">
        <f aca="false">IF($A168="","",COUNTIFS(매출내역!$B$3:$B$3002,$A168,매출내역!$I$3:$I$3002,"&gt;0"))</f>
        <v/>
      </c>
      <c r="G168" s="21" t="str">
        <f aca="true">IF($A168="","",IF($F168=0,0,TODAY()-_xlfn.MINIFS(매출내역!$A$3:$A$3002,매출내역!$B$3:$B$3002,$A168,매출내역!$I$3:$I$3002,"&gt;0")))</f>
        <v/>
      </c>
      <c r="H168" s="20" t="str">
        <f aca="false">IF($A168="","",IF($I168=0,"한도미설정",IF($E168&gt;$I168,"한도초과","정상")))</f>
        <v/>
      </c>
      <c r="I168" s="15" t="str">
        <f aca="false">IF($A168="","",IF(거래처목록!$D165="",0,거래처목록!$D165))</f>
        <v/>
      </c>
    </row>
    <row r="169" customFormat="false" ht="15" hidden="false" customHeight="true" outlineLevel="0" collapsed="false">
      <c r="A169" s="19" t="str">
        <f aca="false">IF(거래처목록!$A166="","",거래처목록!$A166)</f>
        <v/>
      </c>
      <c r="B169" s="19" t="str">
        <f aca="false">IF($A169="","",거래처목록!$B166)</f>
        <v/>
      </c>
      <c r="C169" s="15" t="str">
        <f aca="false">IF($A169="","",SUMIFS(매출내역!$F$3:$F$3002,매출내역!$B$3:$B$3002,$A169))</f>
        <v/>
      </c>
      <c r="D169" s="15" t="str">
        <f aca="false">IF($A169="","",SUMIFS(매출내역!$H$3:$H$3002,매출내역!$B$3:$B$3002,$A169))</f>
        <v/>
      </c>
      <c r="E169" s="15" t="str">
        <f aca="false">IF($A169="","",$C169-$D169)</f>
        <v/>
      </c>
      <c r="F169" s="20" t="str">
        <f aca="false">IF($A169="","",COUNTIFS(매출내역!$B$3:$B$3002,$A169,매출내역!$I$3:$I$3002,"&gt;0"))</f>
        <v/>
      </c>
      <c r="G169" s="21" t="str">
        <f aca="true">IF($A169="","",IF($F169=0,0,TODAY()-_xlfn.MINIFS(매출내역!$A$3:$A$3002,매출내역!$B$3:$B$3002,$A169,매출내역!$I$3:$I$3002,"&gt;0")))</f>
        <v/>
      </c>
      <c r="H169" s="20" t="str">
        <f aca="false">IF($A169="","",IF($I169=0,"한도미설정",IF($E169&gt;$I169,"한도초과","정상")))</f>
        <v/>
      </c>
      <c r="I169" s="15" t="str">
        <f aca="false">IF($A169="","",IF(거래처목록!$D166="",0,거래처목록!$D166))</f>
        <v/>
      </c>
    </row>
    <row r="170" customFormat="false" ht="15" hidden="false" customHeight="true" outlineLevel="0" collapsed="false">
      <c r="A170" s="19" t="str">
        <f aca="false">IF(거래처목록!$A167="","",거래처목록!$A167)</f>
        <v/>
      </c>
      <c r="B170" s="19" t="str">
        <f aca="false">IF($A170="","",거래처목록!$B167)</f>
        <v/>
      </c>
      <c r="C170" s="15" t="str">
        <f aca="false">IF($A170="","",SUMIFS(매출내역!$F$3:$F$3002,매출내역!$B$3:$B$3002,$A170))</f>
        <v/>
      </c>
      <c r="D170" s="15" t="str">
        <f aca="false">IF($A170="","",SUMIFS(매출내역!$H$3:$H$3002,매출내역!$B$3:$B$3002,$A170))</f>
        <v/>
      </c>
      <c r="E170" s="15" t="str">
        <f aca="false">IF($A170="","",$C170-$D170)</f>
        <v/>
      </c>
      <c r="F170" s="20" t="str">
        <f aca="false">IF($A170="","",COUNTIFS(매출내역!$B$3:$B$3002,$A170,매출내역!$I$3:$I$3002,"&gt;0"))</f>
        <v/>
      </c>
      <c r="G170" s="21" t="str">
        <f aca="true">IF($A170="","",IF($F170=0,0,TODAY()-_xlfn.MINIFS(매출내역!$A$3:$A$3002,매출내역!$B$3:$B$3002,$A170,매출내역!$I$3:$I$3002,"&gt;0")))</f>
        <v/>
      </c>
      <c r="H170" s="20" t="str">
        <f aca="false">IF($A170="","",IF($I170=0,"한도미설정",IF($E170&gt;$I170,"한도초과","정상")))</f>
        <v/>
      </c>
      <c r="I170" s="15" t="str">
        <f aca="false">IF($A170="","",IF(거래처목록!$D167="",0,거래처목록!$D167))</f>
        <v/>
      </c>
    </row>
    <row r="171" customFormat="false" ht="15" hidden="false" customHeight="true" outlineLevel="0" collapsed="false">
      <c r="A171" s="19" t="str">
        <f aca="false">IF(거래처목록!$A168="","",거래처목록!$A168)</f>
        <v/>
      </c>
      <c r="B171" s="19" t="str">
        <f aca="false">IF($A171="","",거래처목록!$B168)</f>
        <v/>
      </c>
      <c r="C171" s="15" t="str">
        <f aca="false">IF($A171="","",SUMIFS(매출내역!$F$3:$F$3002,매출내역!$B$3:$B$3002,$A171))</f>
        <v/>
      </c>
      <c r="D171" s="15" t="str">
        <f aca="false">IF($A171="","",SUMIFS(매출내역!$H$3:$H$3002,매출내역!$B$3:$B$3002,$A171))</f>
        <v/>
      </c>
      <c r="E171" s="15" t="str">
        <f aca="false">IF($A171="","",$C171-$D171)</f>
        <v/>
      </c>
      <c r="F171" s="20" t="str">
        <f aca="false">IF($A171="","",COUNTIFS(매출내역!$B$3:$B$3002,$A171,매출내역!$I$3:$I$3002,"&gt;0"))</f>
        <v/>
      </c>
      <c r="G171" s="21" t="str">
        <f aca="true">IF($A171="","",IF($F171=0,0,TODAY()-_xlfn.MINIFS(매출내역!$A$3:$A$3002,매출내역!$B$3:$B$3002,$A171,매출내역!$I$3:$I$3002,"&gt;0")))</f>
        <v/>
      </c>
      <c r="H171" s="20" t="str">
        <f aca="false">IF($A171="","",IF($I171=0,"한도미설정",IF($E171&gt;$I171,"한도초과","정상")))</f>
        <v/>
      </c>
      <c r="I171" s="15" t="str">
        <f aca="false">IF($A171="","",IF(거래처목록!$D168="",0,거래처목록!$D168))</f>
        <v/>
      </c>
    </row>
    <row r="172" customFormat="false" ht="15" hidden="false" customHeight="true" outlineLevel="0" collapsed="false">
      <c r="A172" s="19" t="str">
        <f aca="false">IF(거래처목록!$A169="","",거래처목록!$A169)</f>
        <v/>
      </c>
      <c r="B172" s="19" t="str">
        <f aca="false">IF($A172="","",거래처목록!$B169)</f>
        <v/>
      </c>
      <c r="C172" s="15" t="str">
        <f aca="false">IF($A172="","",SUMIFS(매출내역!$F$3:$F$3002,매출내역!$B$3:$B$3002,$A172))</f>
        <v/>
      </c>
      <c r="D172" s="15" t="str">
        <f aca="false">IF($A172="","",SUMIFS(매출내역!$H$3:$H$3002,매출내역!$B$3:$B$3002,$A172))</f>
        <v/>
      </c>
      <c r="E172" s="15" t="str">
        <f aca="false">IF($A172="","",$C172-$D172)</f>
        <v/>
      </c>
      <c r="F172" s="20" t="str">
        <f aca="false">IF($A172="","",COUNTIFS(매출내역!$B$3:$B$3002,$A172,매출내역!$I$3:$I$3002,"&gt;0"))</f>
        <v/>
      </c>
      <c r="G172" s="21" t="str">
        <f aca="true">IF($A172="","",IF($F172=0,0,TODAY()-_xlfn.MINIFS(매출내역!$A$3:$A$3002,매출내역!$B$3:$B$3002,$A172,매출내역!$I$3:$I$3002,"&gt;0")))</f>
        <v/>
      </c>
      <c r="H172" s="20" t="str">
        <f aca="false">IF($A172="","",IF($I172=0,"한도미설정",IF($E172&gt;$I172,"한도초과","정상")))</f>
        <v/>
      </c>
      <c r="I172" s="15" t="str">
        <f aca="false">IF($A172="","",IF(거래처목록!$D169="",0,거래처목록!$D169))</f>
        <v/>
      </c>
    </row>
    <row r="173" customFormat="false" ht="15" hidden="false" customHeight="true" outlineLevel="0" collapsed="false">
      <c r="A173" s="19" t="str">
        <f aca="false">IF(거래처목록!$A170="","",거래처목록!$A170)</f>
        <v/>
      </c>
      <c r="B173" s="19" t="str">
        <f aca="false">IF($A173="","",거래처목록!$B170)</f>
        <v/>
      </c>
      <c r="C173" s="15" t="str">
        <f aca="false">IF($A173="","",SUMIFS(매출내역!$F$3:$F$3002,매출내역!$B$3:$B$3002,$A173))</f>
        <v/>
      </c>
      <c r="D173" s="15" t="str">
        <f aca="false">IF($A173="","",SUMIFS(매출내역!$H$3:$H$3002,매출내역!$B$3:$B$3002,$A173))</f>
        <v/>
      </c>
      <c r="E173" s="15" t="str">
        <f aca="false">IF($A173="","",$C173-$D173)</f>
        <v/>
      </c>
      <c r="F173" s="20" t="str">
        <f aca="false">IF($A173="","",COUNTIFS(매출내역!$B$3:$B$3002,$A173,매출내역!$I$3:$I$3002,"&gt;0"))</f>
        <v/>
      </c>
      <c r="G173" s="21" t="str">
        <f aca="true">IF($A173="","",IF($F173=0,0,TODAY()-_xlfn.MINIFS(매출내역!$A$3:$A$3002,매출내역!$B$3:$B$3002,$A173,매출내역!$I$3:$I$3002,"&gt;0")))</f>
        <v/>
      </c>
      <c r="H173" s="20" t="str">
        <f aca="false">IF($A173="","",IF($I173=0,"한도미설정",IF($E173&gt;$I173,"한도초과","정상")))</f>
        <v/>
      </c>
      <c r="I173" s="15" t="str">
        <f aca="false">IF($A173="","",IF(거래처목록!$D170="",0,거래처목록!$D170))</f>
        <v/>
      </c>
    </row>
    <row r="174" customFormat="false" ht="15" hidden="false" customHeight="true" outlineLevel="0" collapsed="false">
      <c r="A174" s="19" t="str">
        <f aca="false">IF(거래처목록!$A171="","",거래처목록!$A171)</f>
        <v/>
      </c>
      <c r="B174" s="19" t="str">
        <f aca="false">IF($A174="","",거래처목록!$B171)</f>
        <v/>
      </c>
      <c r="C174" s="15" t="str">
        <f aca="false">IF($A174="","",SUMIFS(매출내역!$F$3:$F$3002,매출내역!$B$3:$B$3002,$A174))</f>
        <v/>
      </c>
      <c r="D174" s="15" t="str">
        <f aca="false">IF($A174="","",SUMIFS(매출내역!$H$3:$H$3002,매출내역!$B$3:$B$3002,$A174))</f>
        <v/>
      </c>
      <c r="E174" s="15" t="str">
        <f aca="false">IF($A174="","",$C174-$D174)</f>
        <v/>
      </c>
      <c r="F174" s="20" t="str">
        <f aca="false">IF($A174="","",COUNTIFS(매출내역!$B$3:$B$3002,$A174,매출내역!$I$3:$I$3002,"&gt;0"))</f>
        <v/>
      </c>
      <c r="G174" s="21" t="str">
        <f aca="true">IF($A174="","",IF($F174=0,0,TODAY()-_xlfn.MINIFS(매출내역!$A$3:$A$3002,매출내역!$B$3:$B$3002,$A174,매출내역!$I$3:$I$3002,"&gt;0")))</f>
        <v/>
      </c>
      <c r="H174" s="20" t="str">
        <f aca="false">IF($A174="","",IF($I174=0,"한도미설정",IF($E174&gt;$I174,"한도초과","정상")))</f>
        <v/>
      </c>
      <c r="I174" s="15" t="str">
        <f aca="false">IF($A174="","",IF(거래처목록!$D171="",0,거래처목록!$D171))</f>
        <v/>
      </c>
    </row>
    <row r="175" customFormat="false" ht="15" hidden="false" customHeight="true" outlineLevel="0" collapsed="false">
      <c r="A175" s="19" t="str">
        <f aca="false">IF(거래처목록!$A172="","",거래처목록!$A172)</f>
        <v/>
      </c>
      <c r="B175" s="19" t="str">
        <f aca="false">IF($A175="","",거래처목록!$B172)</f>
        <v/>
      </c>
      <c r="C175" s="15" t="str">
        <f aca="false">IF($A175="","",SUMIFS(매출내역!$F$3:$F$3002,매출내역!$B$3:$B$3002,$A175))</f>
        <v/>
      </c>
      <c r="D175" s="15" t="str">
        <f aca="false">IF($A175="","",SUMIFS(매출내역!$H$3:$H$3002,매출내역!$B$3:$B$3002,$A175))</f>
        <v/>
      </c>
      <c r="E175" s="15" t="str">
        <f aca="false">IF($A175="","",$C175-$D175)</f>
        <v/>
      </c>
      <c r="F175" s="20" t="str">
        <f aca="false">IF($A175="","",COUNTIFS(매출내역!$B$3:$B$3002,$A175,매출내역!$I$3:$I$3002,"&gt;0"))</f>
        <v/>
      </c>
      <c r="G175" s="21" t="str">
        <f aca="true">IF($A175="","",IF($F175=0,0,TODAY()-_xlfn.MINIFS(매출내역!$A$3:$A$3002,매출내역!$B$3:$B$3002,$A175,매출내역!$I$3:$I$3002,"&gt;0")))</f>
        <v/>
      </c>
      <c r="H175" s="20" t="str">
        <f aca="false">IF($A175="","",IF($I175=0,"한도미설정",IF($E175&gt;$I175,"한도초과","정상")))</f>
        <v/>
      </c>
      <c r="I175" s="15" t="str">
        <f aca="false">IF($A175="","",IF(거래처목록!$D172="",0,거래처목록!$D172))</f>
        <v/>
      </c>
    </row>
    <row r="176" customFormat="false" ht="15" hidden="false" customHeight="true" outlineLevel="0" collapsed="false">
      <c r="A176" s="19" t="str">
        <f aca="false">IF(거래처목록!$A173="","",거래처목록!$A173)</f>
        <v/>
      </c>
      <c r="B176" s="19" t="str">
        <f aca="false">IF($A176="","",거래처목록!$B173)</f>
        <v/>
      </c>
      <c r="C176" s="15" t="str">
        <f aca="false">IF($A176="","",SUMIFS(매출내역!$F$3:$F$3002,매출내역!$B$3:$B$3002,$A176))</f>
        <v/>
      </c>
      <c r="D176" s="15" t="str">
        <f aca="false">IF($A176="","",SUMIFS(매출내역!$H$3:$H$3002,매출내역!$B$3:$B$3002,$A176))</f>
        <v/>
      </c>
      <c r="E176" s="15" t="str">
        <f aca="false">IF($A176="","",$C176-$D176)</f>
        <v/>
      </c>
      <c r="F176" s="20" t="str">
        <f aca="false">IF($A176="","",COUNTIFS(매출내역!$B$3:$B$3002,$A176,매출내역!$I$3:$I$3002,"&gt;0"))</f>
        <v/>
      </c>
      <c r="G176" s="21" t="str">
        <f aca="true">IF($A176="","",IF($F176=0,0,TODAY()-_xlfn.MINIFS(매출내역!$A$3:$A$3002,매출내역!$B$3:$B$3002,$A176,매출내역!$I$3:$I$3002,"&gt;0")))</f>
        <v/>
      </c>
      <c r="H176" s="20" t="str">
        <f aca="false">IF($A176="","",IF($I176=0,"한도미설정",IF($E176&gt;$I176,"한도초과","정상")))</f>
        <v/>
      </c>
      <c r="I176" s="15" t="str">
        <f aca="false">IF($A176="","",IF(거래처목록!$D173="",0,거래처목록!$D173))</f>
        <v/>
      </c>
    </row>
    <row r="177" customFormat="false" ht="15" hidden="false" customHeight="true" outlineLevel="0" collapsed="false">
      <c r="A177" s="19" t="str">
        <f aca="false">IF(거래처목록!$A174="","",거래처목록!$A174)</f>
        <v/>
      </c>
      <c r="B177" s="19" t="str">
        <f aca="false">IF($A177="","",거래처목록!$B174)</f>
        <v/>
      </c>
      <c r="C177" s="15" t="str">
        <f aca="false">IF($A177="","",SUMIFS(매출내역!$F$3:$F$3002,매출내역!$B$3:$B$3002,$A177))</f>
        <v/>
      </c>
      <c r="D177" s="15" t="str">
        <f aca="false">IF($A177="","",SUMIFS(매출내역!$H$3:$H$3002,매출내역!$B$3:$B$3002,$A177))</f>
        <v/>
      </c>
      <c r="E177" s="15" t="str">
        <f aca="false">IF($A177="","",$C177-$D177)</f>
        <v/>
      </c>
      <c r="F177" s="20" t="str">
        <f aca="false">IF($A177="","",COUNTIFS(매출내역!$B$3:$B$3002,$A177,매출내역!$I$3:$I$3002,"&gt;0"))</f>
        <v/>
      </c>
      <c r="G177" s="21" t="str">
        <f aca="true">IF($A177="","",IF($F177=0,0,TODAY()-_xlfn.MINIFS(매출내역!$A$3:$A$3002,매출내역!$B$3:$B$3002,$A177,매출내역!$I$3:$I$3002,"&gt;0")))</f>
        <v/>
      </c>
      <c r="H177" s="20" t="str">
        <f aca="false">IF($A177="","",IF($I177=0,"한도미설정",IF($E177&gt;$I177,"한도초과","정상")))</f>
        <v/>
      </c>
      <c r="I177" s="15" t="str">
        <f aca="false">IF($A177="","",IF(거래처목록!$D174="",0,거래처목록!$D174))</f>
        <v/>
      </c>
    </row>
    <row r="178" customFormat="false" ht="15" hidden="false" customHeight="true" outlineLevel="0" collapsed="false">
      <c r="A178" s="19" t="str">
        <f aca="false">IF(거래처목록!$A175="","",거래처목록!$A175)</f>
        <v/>
      </c>
      <c r="B178" s="19" t="str">
        <f aca="false">IF($A178="","",거래처목록!$B175)</f>
        <v/>
      </c>
      <c r="C178" s="15" t="str">
        <f aca="false">IF($A178="","",SUMIFS(매출내역!$F$3:$F$3002,매출내역!$B$3:$B$3002,$A178))</f>
        <v/>
      </c>
      <c r="D178" s="15" t="str">
        <f aca="false">IF($A178="","",SUMIFS(매출내역!$H$3:$H$3002,매출내역!$B$3:$B$3002,$A178))</f>
        <v/>
      </c>
      <c r="E178" s="15" t="str">
        <f aca="false">IF($A178="","",$C178-$D178)</f>
        <v/>
      </c>
      <c r="F178" s="20" t="str">
        <f aca="false">IF($A178="","",COUNTIFS(매출내역!$B$3:$B$3002,$A178,매출내역!$I$3:$I$3002,"&gt;0"))</f>
        <v/>
      </c>
      <c r="G178" s="21" t="str">
        <f aca="true">IF($A178="","",IF($F178=0,0,TODAY()-_xlfn.MINIFS(매출내역!$A$3:$A$3002,매출내역!$B$3:$B$3002,$A178,매출내역!$I$3:$I$3002,"&gt;0")))</f>
        <v/>
      </c>
      <c r="H178" s="20" t="str">
        <f aca="false">IF($A178="","",IF($I178=0,"한도미설정",IF($E178&gt;$I178,"한도초과","정상")))</f>
        <v/>
      </c>
      <c r="I178" s="15" t="str">
        <f aca="false">IF($A178="","",IF(거래처목록!$D175="",0,거래처목록!$D175))</f>
        <v/>
      </c>
    </row>
    <row r="179" customFormat="false" ht="15" hidden="false" customHeight="true" outlineLevel="0" collapsed="false">
      <c r="A179" s="19" t="str">
        <f aca="false">IF(거래처목록!$A176="","",거래처목록!$A176)</f>
        <v/>
      </c>
      <c r="B179" s="19" t="str">
        <f aca="false">IF($A179="","",거래처목록!$B176)</f>
        <v/>
      </c>
      <c r="C179" s="15" t="str">
        <f aca="false">IF($A179="","",SUMIFS(매출내역!$F$3:$F$3002,매출내역!$B$3:$B$3002,$A179))</f>
        <v/>
      </c>
      <c r="D179" s="15" t="str">
        <f aca="false">IF($A179="","",SUMIFS(매출내역!$H$3:$H$3002,매출내역!$B$3:$B$3002,$A179))</f>
        <v/>
      </c>
      <c r="E179" s="15" t="str">
        <f aca="false">IF($A179="","",$C179-$D179)</f>
        <v/>
      </c>
      <c r="F179" s="20" t="str">
        <f aca="false">IF($A179="","",COUNTIFS(매출내역!$B$3:$B$3002,$A179,매출내역!$I$3:$I$3002,"&gt;0"))</f>
        <v/>
      </c>
      <c r="G179" s="21" t="str">
        <f aca="true">IF($A179="","",IF($F179=0,0,TODAY()-_xlfn.MINIFS(매출내역!$A$3:$A$3002,매출내역!$B$3:$B$3002,$A179,매출내역!$I$3:$I$3002,"&gt;0")))</f>
        <v/>
      </c>
      <c r="H179" s="20" t="str">
        <f aca="false">IF($A179="","",IF($I179=0,"한도미설정",IF($E179&gt;$I179,"한도초과","정상")))</f>
        <v/>
      </c>
      <c r="I179" s="15" t="str">
        <f aca="false">IF($A179="","",IF(거래처목록!$D176="",0,거래처목록!$D176))</f>
        <v/>
      </c>
    </row>
    <row r="180" customFormat="false" ht="15" hidden="false" customHeight="true" outlineLevel="0" collapsed="false">
      <c r="A180" s="19" t="str">
        <f aca="false">IF(거래처목록!$A177="","",거래처목록!$A177)</f>
        <v/>
      </c>
      <c r="B180" s="19" t="str">
        <f aca="false">IF($A180="","",거래처목록!$B177)</f>
        <v/>
      </c>
      <c r="C180" s="15" t="str">
        <f aca="false">IF($A180="","",SUMIFS(매출내역!$F$3:$F$3002,매출내역!$B$3:$B$3002,$A180))</f>
        <v/>
      </c>
      <c r="D180" s="15" t="str">
        <f aca="false">IF($A180="","",SUMIFS(매출내역!$H$3:$H$3002,매출내역!$B$3:$B$3002,$A180))</f>
        <v/>
      </c>
      <c r="E180" s="15" t="str">
        <f aca="false">IF($A180="","",$C180-$D180)</f>
        <v/>
      </c>
      <c r="F180" s="20" t="str">
        <f aca="false">IF($A180="","",COUNTIFS(매출내역!$B$3:$B$3002,$A180,매출내역!$I$3:$I$3002,"&gt;0"))</f>
        <v/>
      </c>
      <c r="G180" s="21" t="str">
        <f aca="true">IF($A180="","",IF($F180=0,0,TODAY()-_xlfn.MINIFS(매출내역!$A$3:$A$3002,매출내역!$B$3:$B$3002,$A180,매출내역!$I$3:$I$3002,"&gt;0")))</f>
        <v/>
      </c>
      <c r="H180" s="20" t="str">
        <f aca="false">IF($A180="","",IF($I180=0,"한도미설정",IF($E180&gt;$I180,"한도초과","정상")))</f>
        <v/>
      </c>
      <c r="I180" s="15" t="str">
        <f aca="false">IF($A180="","",IF(거래처목록!$D177="",0,거래처목록!$D177))</f>
        <v/>
      </c>
    </row>
    <row r="181" customFormat="false" ht="15" hidden="false" customHeight="true" outlineLevel="0" collapsed="false">
      <c r="A181" s="19" t="str">
        <f aca="false">IF(거래처목록!$A178="","",거래처목록!$A178)</f>
        <v/>
      </c>
      <c r="B181" s="19" t="str">
        <f aca="false">IF($A181="","",거래처목록!$B178)</f>
        <v/>
      </c>
      <c r="C181" s="15" t="str">
        <f aca="false">IF($A181="","",SUMIFS(매출내역!$F$3:$F$3002,매출내역!$B$3:$B$3002,$A181))</f>
        <v/>
      </c>
      <c r="D181" s="15" t="str">
        <f aca="false">IF($A181="","",SUMIFS(매출내역!$H$3:$H$3002,매출내역!$B$3:$B$3002,$A181))</f>
        <v/>
      </c>
      <c r="E181" s="15" t="str">
        <f aca="false">IF($A181="","",$C181-$D181)</f>
        <v/>
      </c>
      <c r="F181" s="20" t="str">
        <f aca="false">IF($A181="","",COUNTIFS(매출내역!$B$3:$B$3002,$A181,매출내역!$I$3:$I$3002,"&gt;0"))</f>
        <v/>
      </c>
      <c r="G181" s="21" t="str">
        <f aca="true">IF($A181="","",IF($F181=0,0,TODAY()-_xlfn.MINIFS(매출내역!$A$3:$A$3002,매출내역!$B$3:$B$3002,$A181,매출내역!$I$3:$I$3002,"&gt;0")))</f>
        <v/>
      </c>
      <c r="H181" s="20" t="str">
        <f aca="false">IF($A181="","",IF($I181=0,"한도미설정",IF($E181&gt;$I181,"한도초과","정상")))</f>
        <v/>
      </c>
      <c r="I181" s="15" t="str">
        <f aca="false">IF($A181="","",IF(거래처목록!$D178="",0,거래처목록!$D178))</f>
        <v/>
      </c>
    </row>
    <row r="182" customFormat="false" ht="15" hidden="false" customHeight="true" outlineLevel="0" collapsed="false">
      <c r="A182" s="19" t="str">
        <f aca="false">IF(거래처목록!$A179="","",거래처목록!$A179)</f>
        <v/>
      </c>
      <c r="B182" s="19" t="str">
        <f aca="false">IF($A182="","",거래처목록!$B179)</f>
        <v/>
      </c>
      <c r="C182" s="15" t="str">
        <f aca="false">IF($A182="","",SUMIFS(매출내역!$F$3:$F$3002,매출내역!$B$3:$B$3002,$A182))</f>
        <v/>
      </c>
      <c r="D182" s="15" t="str">
        <f aca="false">IF($A182="","",SUMIFS(매출내역!$H$3:$H$3002,매출내역!$B$3:$B$3002,$A182))</f>
        <v/>
      </c>
      <c r="E182" s="15" t="str">
        <f aca="false">IF($A182="","",$C182-$D182)</f>
        <v/>
      </c>
      <c r="F182" s="20" t="str">
        <f aca="false">IF($A182="","",COUNTIFS(매출내역!$B$3:$B$3002,$A182,매출내역!$I$3:$I$3002,"&gt;0"))</f>
        <v/>
      </c>
      <c r="G182" s="21" t="str">
        <f aca="true">IF($A182="","",IF($F182=0,0,TODAY()-_xlfn.MINIFS(매출내역!$A$3:$A$3002,매출내역!$B$3:$B$3002,$A182,매출내역!$I$3:$I$3002,"&gt;0")))</f>
        <v/>
      </c>
      <c r="H182" s="20" t="str">
        <f aca="false">IF($A182="","",IF($I182=0,"한도미설정",IF($E182&gt;$I182,"한도초과","정상")))</f>
        <v/>
      </c>
      <c r="I182" s="15" t="str">
        <f aca="false">IF($A182="","",IF(거래처목록!$D179="",0,거래처목록!$D179))</f>
        <v/>
      </c>
    </row>
    <row r="183" customFormat="false" ht="15" hidden="false" customHeight="true" outlineLevel="0" collapsed="false">
      <c r="A183" s="19" t="str">
        <f aca="false">IF(거래처목록!$A180="","",거래처목록!$A180)</f>
        <v/>
      </c>
      <c r="B183" s="19" t="str">
        <f aca="false">IF($A183="","",거래처목록!$B180)</f>
        <v/>
      </c>
      <c r="C183" s="15" t="str">
        <f aca="false">IF($A183="","",SUMIFS(매출내역!$F$3:$F$3002,매출내역!$B$3:$B$3002,$A183))</f>
        <v/>
      </c>
      <c r="D183" s="15" t="str">
        <f aca="false">IF($A183="","",SUMIFS(매출내역!$H$3:$H$3002,매출내역!$B$3:$B$3002,$A183))</f>
        <v/>
      </c>
      <c r="E183" s="15" t="str">
        <f aca="false">IF($A183="","",$C183-$D183)</f>
        <v/>
      </c>
      <c r="F183" s="20" t="str">
        <f aca="false">IF($A183="","",COUNTIFS(매출내역!$B$3:$B$3002,$A183,매출내역!$I$3:$I$3002,"&gt;0"))</f>
        <v/>
      </c>
      <c r="G183" s="21" t="str">
        <f aca="true">IF($A183="","",IF($F183=0,0,TODAY()-_xlfn.MINIFS(매출내역!$A$3:$A$3002,매출내역!$B$3:$B$3002,$A183,매출내역!$I$3:$I$3002,"&gt;0")))</f>
        <v/>
      </c>
      <c r="H183" s="20" t="str">
        <f aca="false">IF($A183="","",IF($I183=0,"한도미설정",IF($E183&gt;$I183,"한도초과","정상")))</f>
        <v/>
      </c>
      <c r="I183" s="15" t="str">
        <f aca="false">IF($A183="","",IF(거래처목록!$D180="",0,거래처목록!$D180))</f>
        <v/>
      </c>
    </row>
    <row r="184" customFormat="false" ht="15" hidden="false" customHeight="true" outlineLevel="0" collapsed="false">
      <c r="A184" s="19" t="str">
        <f aca="false">IF(거래처목록!$A181="","",거래처목록!$A181)</f>
        <v/>
      </c>
      <c r="B184" s="19" t="str">
        <f aca="false">IF($A184="","",거래처목록!$B181)</f>
        <v/>
      </c>
      <c r="C184" s="15" t="str">
        <f aca="false">IF($A184="","",SUMIFS(매출내역!$F$3:$F$3002,매출내역!$B$3:$B$3002,$A184))</f>
        <v/>
      </c>
      <c r="D184" s="15" t="str">
        <f aca="false">IF($A184="","",SUMIFS(매출내역!$H$3:$H$3002,매출내역!$B$3:$B$3002,$A184))</f>
        <v/>
      </c>
      <c r="E184" s="15" t="str">
        <f aca="false">IF($A184="","",$C184-$D184)</f>
        <v/>
      </c>
      <c r="F184" s="20" t="str">
        <f aca="false">IF($A184="","",COUNTIFS(매출내역!$B$3:$B$3002,$A184,매출내역!$I$3:$I$3002,"&gt;0"))</f>
        <v/>
      </c>
      <c r="G184" s="21" t="str">
        <f aca="true">IF($A184="","",IF($F184=0,0,TODAY()-_xlfn.MINIFS(매출내역!$A$3:$A$3002,매출내역!$B$3:$B$3002,$A184,매출내역!$I$3:$I$3002,"&gt;0")))</f>
        <v/>
      </c>
      <c r="H184" s="20" t="str">
        <f aca="false">IF($A184="","",IF($I184=0,"한도미설정",IF($E184&gt;$I184,"한도초과","정상")))</f>
        <v/>
      </c>
      <c r="I184" s="15" t="str">
        <f aca="false">IF($A184="","",IF(거래처목록!$D181="",0,거래처목록!$D181))</f>
        <v/>
      </c>
    </row>
    <row r="185" customFormat="false" ht="15" hidden="false" customHeight="true" outlineLevel="0" collapsed="false">
      <c r="A185" s="19" t="str">
        <f aca="false">IF(거래처목록!$A182="","",거래처목록!$A182)</f>
        <v/>
      </c>
      <c r="B185" s="19" t="str">
        <f aca="false">IF($A185="","",거래처목록!$B182)</f>
        <v/>
      </c>
      <c r="C185" s="15" t="str">
        <f aca="false">IF($A185="","",SUMIFS(매출내역!$F$3:$F$3002,매출내역!$B$3:$B$3002,$A185))</f>
        <v/>
      </c>
      <c r="D185" s="15" t="str">
        <f aca="false">IF($A185="","",SUMIFS(매출내역!$H$3:$H$3002,매출내역!$B$3:$B$3002,$A185))</f>
        <v/>
      </c>
      <c r="E185" s="15" t="str">
        <f aca="false">IF($A185="","",$C185-$D185)</f>
        <v/>
      </c>
      <c r="F185" s="20" t="str">
        <f aca="false">IF($A185="","",COUNTIFS(매출내역!$B$3:$B$3002,$A185,매출내역!$I$3:$I$3002,"&gt;0"))</f>
        <v/>
      </c>
      <c r="G185" s="21" t="str">
        <f aca="true">IF($A185="","",IF($F185=0,0,TODAY()-_xlfn.MINIFS(매출내역!$A$3:$A$3002,매출내역!$B$3:$B$3002,$A185,매출내역!$I$3:$I$3002,"&gt;0")))</f>
        <v/>
      </c>
      <c r="H185" s="20" t="str">
        <f aca="false">IF($A185="","",IF($I185=0,"한도미설정",IF($E185&gt;$I185,"한도초과","정상")))</f>
        <v/>
      </c>
      <c r="I185" s="15" t="str">
        <f aca="false">IF($A185="","",IF(거래처목록!$D182="",0,거래처목록!$D182))</f>
        <v/>
      </c>
    </row>
    <row r="186" customFormat="false" ht="15" hidden="false" customHeight="true" outlineLevel="0" collapsed="false">
      <c r="A186" s="19" t="str">
        <f aca="false">IF(거래처목록!$A183="","",거래처목록!$A183)</f>
        <v/>
      </c>
      <c r="B186" s="19" t="str">
        <f aca="false">IF($A186="","",거래처목록!$B183)</f>
        <v/>
      </c>
      <c r="C186" s="15" t="str">
        <f aca="false">IF($A186="","",SUMIFS(매출내역!$F$3:$F$3002,매출내역!$B$3:$B$3002,$A186))</f>
        <v/>
      </c>
      <c r="D186" s="15" t="str">
        <f aca="false">IF($A186="","",SUMIFS(매출내역!$H$3:$H$3002,매출내역!$B$3:$B$3002,$A186))</f>
        <v/>
      </c>
      <c r="E186" s="15" t="str">
        <f aca="false">IF($A186="","",$C186-$D186)</f>
        <v/>
      </c>
      <c r="F186" s="20" t="str">
        <f aca="false">IF($A186="","",COUNTIFS(매출내역!$B$3:$B$3002,$A186,매출내역!$I$3:$I$3002,"&gt;0"))</f>
        <v/>
      </c>
      <c r="G186" s="21" t="str">
        <f aca="true">IF($A186="","",IF($F186=0,0,TODAY()-_xlfn.MINIFS(매출내역!$A$3:$A$3002,매출내역!$B$3:$B$3002,$A186,매출내역!$I$3:$I$3002,"&gt;0")))</f>
        <v/>
      </c>
      <c r="H186" s="20" t="str">
        <f aca="false">IF($A186="","",IF($I186=0,"한도미설정",IF($E186&gt;$I186,"한도초과","정상")))</f>
        <v/>
      </c>
      <c r="I186" s="15" t="str">
        <f aca="false">IF($A186="","",IF(거래처목록!$D183="",0,거래처목록!$D183))</f>
        <v/>
      </c>
    </row>
    <row r="187" customFormat="false" ht="15" hidden="false" customHeight="true" outlineLevel="0" collapsed="false">
      <c r="A187" s="19" t="str">
        <f aca="false">IF(거래처목록!$A184="","",거래처목록!$A184)</f>
        <v/>
      </c>
      <c r="B187" s="19" t="str">
        <f aca="false">IF($A187="","",거래처목록!$B184)</f>
        <v/>
      </c>
      <c r="C187" s="15" t="str">
        <f aca="false">IF($A187="","",SUMIFS(매출내역!$F$3:$F$3002,매출내역!$B$3:$B$3002,$A187))</f>
        <v/>
      </c>
      <c r="D187" s="15" t="str">
        <f aca="false">IF($A187="","",SUMIFS(매출내역!$H$3:$H$3002,매출내역!$B$3:$B$3002,$A187))</f>
        <v/>
      </c>
      <c r="E187" s="15" t="str">
        <f aca="false">IF($A187="","",$C187-$D187)</f>
        <v/>
      </c>
      <c r="F187" s="20" t="str">
        <f aca="false">IF($A187="","",COUNTIFS(매출내역!$B$3:$B$3002,$A187,매출내역!$I$3:$I$3002,"&gt;0"))</f>
        <v/>
      </c>
      <c r="G187" s="21" t="str">
        <f aca="true">IF($A187="","",IF($F187=0,0,TODAY()-_xlfn.MINIFS(매출내역!$A$3:$A$3002,매출내역!$B$3:$B$3002,$A187,매출내역!$I$3:$I$3002,"&gt;0")))</f>
        <v/>
      </c>
      <c r="H187" s="20" t="str">
        <f aca="false">IF($A187="","",IF($I187=0,"한도미설정",IF($E187&gt;$I187,"한도초과","정상")))</f>
        <v/>
      </c>
      <c r="I187" s="15" t="str">
        <f aca="false">IF($A187="","",IF(거래처목록!$D184="",0,거래처목록!$D184))</f>
        <v/>
      </c>
    </row>
    <row r="188" customFormat="false" ht="15" hidden="false" customHeight="true" outlineLevel="0" collapsed="false">
      <c r="A188" s="19" t="str">
        <f aca="false">IF(거래처목록!$A185="","",거래처목록!$A185)</f>
        <v/>
      </c>
      <c r="B188" s="19" t="str">
        <f aca="false">IF($A188="","",거래처목록!$B185)</f>
        <v/>
      </c>
      <c r="C188" s="15" t="str">
        <f aca="false">IF($A188="","",SUMIFS(매출내역!$F$3:$F$3002,매출내역!$B$3:$B$3002,$A188))</f>
        <v/>
      </c>
      <c r="D188" s="15" t="str">
        <f aca="false">IF($A188="","",SUMIFS(매출내역!$H$3:$H$3002,매출내역!$B$3:$B$3002,$A188))</f>
        <v/>
      </c>
      <c r="E188" s="15" t="str">
        <f aca="false">IF($A188="","",$C188-$D188)</f>
        <v/>
      </c>
      <c r="F188" s="20" t="str">
        <f aca="false">IF($A188="","",COUNTIFS(매출내역!$B$3:$B$3002,$A188,매출내역!$I$3:$I$3002,"&gt;0"))</f>
        <v/>
      </c>
      <c r="G188" s="21" t="str">
        <f aca="true">IF($A188="","",IF($F188=0,0,TODAY()-_xlfn.MINIFS(매출내역!$A$3:$A$3002,매출내역!$B$3:$B$3002,$A188,매출내역!$I$3:$I$3002,"&gt;0")))</f>
        <v/>
      </c>
      <c r="H188" s="20" t="str">
        <f aca="false">IF($A188="","",IF($I188=0,"한도미설정",IF($E188&gt;$I188,"한도초과","정상")))</f>
        <v/>
      </c>
      <c r="I188" s="15" t="str">
        <f aca="false">IF($A188="","",IF(거래처목록!$D185="",0,거래처목록!$D185))</f>
        <v/>
      </c>
    </row>
    <row r="189" customFormat="false" ht="15" hidden="false" customHeight="true" outlineLevel="0" collapsed="false">
      <c r="A189" s="19" t="str">
        <f aca="false">IF(거래처목록!$A186="","",거래처목록!$A186)</f>
        <v/>
      </c>
      <c r="B189" s="19" t="str">
        <f aca="false">IF($A189="","",거래처목록!$B186)</f>
        <v/>
      </c>
      <c r="C189" s="15" t="str">
        <f aca="false">IF($A189="","",SUMIFS(매출내역!$F$3:$F$3002,매출내역!$B$3:$B$3002,$A189))</f>
        <v/>
      </c>
      <c r="D189" s="15" t="str">
        <f aca="false">IF($A189="","",SUMIFS(매출내역!$H$3:$H$3002,매출내역!$B$3:$B$3002,$A189))</f>
        <v/>
      </c>
      <c r="E189" s="15" t="str">
        <f aca="false">IF($A189="","",$C189-$D189)</f>
        <v/>
      </c>
      <c r="F189" s="20" t="str">
        <f aca="false">IF($A189="","",COUNTIFS(매출내역!$B$3:$B$3002,$A189,매출내역!$I$3:$I$3002,"&gt;0"))</f>
        <v/>
      </c>
      <c r="G189" s="21" t="str">
        <f aca="true">IF($A189="","",IF($F189=0,0,TODAY()-_xlfn.MINIFS(매출내역!$A$3:$A$3002,매출내역!$B$3:$B$3002,$A189,매출내역!$I$3:$I$3002,"&gt;0")))</f>
        <v/>
      </c>
      <c r="H189" s="20" t="str">
        <f aca="false">IF($A189="","",IF($I189=0,"한도미설정",IF($E189&gt;$I189,"한도초과","정상")))</f>
        <v/>
      </c>
      <c r="I189" s="15" t="str">
        <f aca="false">IF($A189="","",IF(거래처목록!$D186="",0,거래처목록!$D186))</f>
        <v/>
      </c>
    </row>
    <row r="190" customFormat="false" ht="15" hidden="false" customHeight="true" outlineLevel="0" collapsed="false">
      <c r="A190" s="19" t="str">
        <f aca="false">IF(거래처목록!$A187="","",거래처목록!$A187)</f>
        <v/>
      </c>
      <c r="B190" s="19" t="str">
        <f aca="false">IF($A190="","",거래처목록!$B187)</f>
        <v/>
      </c>
      <c r="C190" s="15" t="str">
        <f aca="false">IF($A190="","",SUMIFS(매출내역!$F$3:$F$3002,매출내역!$B$3:$B$3002,$A190))</f>
        <v/>
      </c>
      <c r="D190" s="15" t="str">
        <f aca="false">IF($A190="","",SUMIFS(매출내역!$H$3:$H$3002,매출내역!$B$3:$B$3002,$A190))</f>
        <v/>
      </c>
      <c r="E190" s="15" t="str">
        <f aca="false">IF($A190="","",$C190-$D190)</f>
        <v/>
      </c>
      <c r="F190" s="20" t="str">
        <f aca="false">IF($A190="","",COUNTIFS(매출내역!$B$3:$B$3002,$A190,매출내역!$I$3:$I$3002,"&gt;0"))</f>
        <v/>
      </c>
      <c r="G190" s="21" t="str">
        <f aca="true">IF($A190="","",IF($F190=0,0,TODAY()-_xlfn.MINIFS(매출내역!$A$3:$A$3002,매출내역!$B$3:$B$3002,$A190,매출내역!$I$3:$I$3002,"&gt;0")))</f>
        <v/>
      </c>
      <c r="H190" s="20" t="str">
        <f aca="false">IF($A190="","",IF($I190=0,"한도미설정",IF($E190&gt;$I190,"한도초과","정상")))</f>
        <v/>
      </c>
      <c r="I190" s="15" t="str">
        <f aca="false">IF($A190="","",IF(거래처목록!$D187="",0,거래처목록!$D187))</f>
        <v/>
      </c>
    </row>
    <row r="191" customFormat="false" ht="15" hidden="false" customHeight="true" outlineLevel="0" collapsed="false">
      <c r="A191" s="19" t="str">
        <f aca="false">IF(거래처목록!$A188="","",거래처목록!$A188)</f>
        <v/>
      </c>
      <c r="B191" s="19" t="str">
        <f aca="false">IF($A191="","",거래처목록!$B188)</f>
        <v/>
      </c>
      <c r="C191" s="15" t="str">
        <f aca="false">IF($A191="","",SUMIFS(매출내역!$F$3:$F$3002,매출내역!$B$3:$B$3002,$A191))</f>
        <v/>
      </c>
      <c r="D191" s="15" t="str">
        <f aca="false">IF($A191="","",SUMIFS(매출내역!$H$3:$H$3002,매출내역!$B$3:$B$3002,$A191))</f>
        <v/>
      </c>
      <c r="E191" s="15" t="str">
        <f aca="false">IF($A191="","",$C191-$D191)</f>
        <v/>
      </c>
      <c r="F191" s="20" t="str">
        <f aca="false">IF($A191="","",COUNTIFS(매출내역!$B$3:$B$3002,$A191,매출내역!$I$3:$I$3002,"&gt;0"))</f>
        <v/>
      </c>
      <c r="G191" s="21" t="str">
        <f aca="true">IF($A191="","",IF($F191=0,0,TODAY()-_xlfn.MINIFS(매출내역!$A$3:$A$3002,매출내역!$B$3:$B$3002,$A191,매출내역!$I$3:$I$3002,"&gt;0")))</f>
        <v/>
      </c>
      <c r="H191" s="20" t="str">
        <f aca="false">IF($A191="","",IF($I191=0,"한도미설정",IF($E191&gt;$I191,"한도초과","정상")))</f>
        <v/>
      </c>
      <c r="I191" s="15" t="str">
        <f aca="false">IF($A191="","",IF(거래처목록!$D188="",0,거래처목록!$D188))</f>
        <v/>
      </c>
    </row>
    <row r="192" customFormat="false" ht="15" hidden="false" customHeight="true" outlineLevel="0" collapsed="false">
      <c r="A192" s="19" t="str">
        <f aca="false">IF(거래처목록!$A189="","",거래처목록!$A189)</f>
        <v/>
      </c>
      <c r="B192" s="19" t="str">
        <f aca="false">IF($A192="","",거래처목록!$B189)</f>
        <v/>
      </c>
      <c r="C192" s="15" t="str">
        <f aca="false">IF($A192="","",SUMIFS(매출내역!$F$3:$F$3002,매출내역!$B$3:$B$3002,$A192))</f>
        <v/>
      </c>
      <c r="D192" s="15" t="str">
        <f aca="false">IF($A192="","",SUMIFS(매출내역!$H$3:$H$3002,매출내역!$B$3:$B$3002,$A192))</f>
        <v/>
      </c>
      <c r="E192" s="15" t="str">
        <f aca="false">IF($A192="","",$C192-$D192)</f>
        <v/>
      </c>
      <c r="F192" s="20" t="str">
        <f aca="false">IF($A192="","",COUNTIFS(매출내역!$B$3:$B$3002,$A192,매출내역!$I$3:$I$3002,"&gt;0"))</f>
        <v/>
      </c>
      <c r="G192" s="21" t="str">
        <f aca="true">IF($A192="","",IF($F192=0,0,TODAY()-_xlfn.MINIFS(매출내역!$A$3:$A$3002,매출내역!$B$3:$B$3002,$A192,매출내역!$I$3:$I$3002,"&gt;0")))</f>
        <v/>
      </c>
      <c r="H192" s="20" t="str">
        <f aca="false">IF($A192="","",IF($I192=0,"한도미설정",IF($E192&gt;$I192,"한도초과","정상")))</f>
        <v/>
      </c>
      <c r="I192" s="15" t="str">
        <f aca="false">IF($A192="","",IF(거래처목록!$D189="",0,거래처목록!$D189))</f>
        <v/>
      </c>
    </row>
    <row r="193" customFormat="false" ht="15" hidden="false" customHeight="true" outlineLevel="0" collapsed="false">
      <c r="A193" s="19" t="str">
        <f aca="false">IF(거래처목록!$A190="","",거래처목록!$A190)</f>
        <v/>
      </c>
      <c r="B193" s="19" t="str">
        <f aca="false">IF($A193="","",거래처목록!$B190)</f>
        <v/>
      </c>
      <c r="C193" s="15" t="str">
        <f aca="false">IF($A193="","",SUMIFS(매출내역!$F$3:$F$3002,매출내역!$B$3:$B$3002,$A193))</f>
        <v/>
      </c>
      <c r="D193" s="15" t="str">
        <f aca="false">IF($A193="","",SUMIFS(매출내역!$H$3:$H$3002,매출내역!$B$3:$B$3002,$A193))</f>
        <v/>
      </c>
      <c r="E193" s="15" t="str">
        <f aca="false">IF($A193="","",$C193-$D193)</f>
        <v/>
      </c>
      <c r="F193" s="20" t="str">
        <f aca="false">IF($A193="","",COUNTIFS(매출내역!$B$3:$B$3002,$A193,매출내역!$I$3:$I$3002,"&gt;0"))</f>
        <v/>
      </c>
      <c r="G193" s="21" t="str">
        <f aca="true">IF($A193="","",IF($F193=0,0,TODAY()-_xlfn.MINIFS(매출내역!$A$3:$A$3002,매출내역!$B$3:$B$3002,$A193,매출내역!$I$3:$I$3002,"&gt;0")))</f>
        <v/>
      </c>
      <c r="H193" s="20" t="str">
        <f aca="false">IF($A193="","",IF($I193=0,"한도미설정",IF($E193&gt;$I193,"한도초과","정상")))</f>
        <v/>
      </c>
      <c r="I193" s="15" t="str">
        <f aca="false">IF($A193="","",IF(거래처목록!$D190="",0,거래처목록!$D190))</f>
        <v/>
      </c>
    </row>
    <row r="194" customFormat="false" ht="15" hidden="false" customHeight="true" outlineLevel="0" collapsed="false">
      <c r="A194" s="19" t="str">
        <f aca="false">IF(거래처목록!$A191="","",거래처목록!$A191)</f>
        <v/>
      </c>
      <c r="B194" s="19" t="str">
        <f aca="false">IF($A194="","",거래처목록!$B191)</f>
        <v/>
      </c>
      <c r="C194" s="15" t="str">
        <f aca="false">IF($A194="","",SUMIFS(매출내역!$F$3:$F$3002,매출내역!$B$3:$B$3002,$A194))</f>
        <v/>
      </c>
      <c r="D194" s="15" t="str">
        <f aca="false">IF($A194="","",SUMIFS(매출내역!$H$3:$H$3002,매출내역!$B$3:$B$3002,$A194))</f>
        <v/>
      </c>
      <c r="E194" s="15" t="str">
        <f aca="false">IF($A194="","",$C194-$D194)</f>
        <v/>
      </c>
      <c r="F194" s="20" t="str">
        <f aca="false">IF($A194="","",COUNTIFS(매출내역!$B$3:$B$3002,$A194,매출내역!$I$3:$I$3002,"&gt;0"))</f>
        <v/>
      </c>
      <c r="G194" s="21" t="str">
        <f aca="true">IF($A194="","",IF($F194=0,0,TODAY()-_xlfn.MINIFS(매출내역!$A$3:$A$3002,매출내역!$B$3:$B$3002,$A194,매출내역!$I$3:$I$3002,"&gt;0")))</f>
        <v/>
      </c>
      <c r="H194" s="20" t="str">
        <f aca="false">IF($A194="","",IF($I194=0,"한도미설정",IF($E194&gt;$I194,"한도초과","정상")))</f>
        <v/>
      </c>
      <c r="I194" s="15" t="str">
        <f aca="false">IF($A194="","",IF(거래처목록!$D191="",0,거래처목록!$D191))</f>
        <v/>
      </c>
    </row>
    <row r="195" customFormat="false" ht="15" hidden="false" customHeight="true" outlineLevel="0" collapsed="false">
      <c r="A195" s="19" t="str">
        <f aca="false">IF(거래처목록!$A192="","",거래처목록!$A192)</f>
        <v/>
      </c>
      <c r="B195" s="19" t="str">
        <f aca="false">IF($A195="","",거래처목록!$B192)</f>
        <v/>
      </c>
      <c r="C195" s="15" t="str">
        <f aca="false">IF($A195="","",SUMIFS(매출내역!$F$3:$F$3002,매출내역!$B$3:$B$3002,$A195))</f>
        <v/>
      </c>
      <c r="D195" s="15" t="str">
        <f aca="false">IF($A195="","",SUMIFS(매출내역!$H$3:$H$3002,매출내역!$B$3:$B$3002,$A195))</f>
        <v/>
      </c>
      <c r="E195" s="15" t="str">
        <f aca="false">IF($A195="","",$C195-$D195)</f>
        <v/>
      </c>
      <c r="F195" s="20" t="str">
        <f aca="false">IF($A195="","",COUNTIFS(매출내역!$B$3:$B$3002,$A195,매출내역!$I$3:$I$3002,"&gt;0"))</f>
        <v/>
      </c>
      <c r="G195" s="21" t="str">
        <f aca="true">IF($A195="","",IF($F195=0,0,TODAY()-_xlfn.MINIFS(매출내역!$A$3:$A$3002,매출내역!$B$3:$B$3002,$A195,매출내역!$I$3:$I$3002,"&gt;0")))</f>
        <v/>
      </c>
      <c r="H195" s="20" t="str">
        <f aca="false">IF($A195="","",IF($I195=0,"한도미설정",IF($E195&gt;$I195,"한도초과","정상")))</f>
        <v/>
      </c>
      <c r="I195" s="15" t="str">
        <f aca="false">IF($A195="","",IF(거래처목록!$D192="",0,거래처목록!$D192))</f>
        <v/>
      </c>
    </row>
    <row r="196" customFormat="false" ht="15" hidden="false" customHeight="true" outlineLevel="0" collapsed="false">
      <c r="A196" s="19" t="str">
        <f aca="false">IF(거래처목록!$A193="","",거래처목록!$A193)</f>
        <v/>
      </c>
      <c r="B196" s="19" t="str">
        <f aca="false">IF($A196="","",거래처목록!$B193)</f>
        <v/>
      </c>
      <c r="C196" s="15" t="str">
        <f aca="false">IF($A196="","",SUMIFS(매출내역!$F$3:$F$3002,매출내역!$B$3:$B$3002,$A196))</f>
        <v/>
      </c>
      <c r="D196" s="15" t="str">
        <f aca="false">IF($A196="","",SUMIFS(매출내역!$H$3:$H$3002,매출내역!$B$3:$B$3002,$A196))</f>
        <v/>
      </c>
      <c r="E196" s="15" t="str">
        <f aca="false">IF($A196="","",$C196-$D196)</f>
        <v/>
      </c>
      <c r="F196" s="20" t="str">
        <f aca="false">IF($A196="","",COUNTIFS(매출내역!$B$3:$B$3002,$A196,매출내역!$I$3:$I$3002,"&gt;0"))</f>
        <v/>
      </c>
      <c r="G196" s="21" t="str">
        <f aca="true">IF($A196="","",IF($F196=0,0,TODAY()-_xlfn.MINIFS(매출내역!$A$3:$A$3002,매출내역!$B$3:$B$3002,$A196,매출내역!$I$3:$I$3002,"&gt;0")))</f>
        <v/>
      </c>
      <c r="H196" s="20" t="str">
        <f aca="false">IF($A196="","",IF($I196=0,"한도미설정",IF($E196&gt;$I196,"한도초과","정상")))</f>
        <v/>
      </c>
      <c r="I196" s="15" t="str">
        <f aca="false">IF($A196="","",IF(거래처목록!$D193="",0,거래처목록!$D193))</f>
        <v/>
      </c>
    </row>
    <row r="197" customFormat="false" ht="15" hidden="false" customHeight="true" outlineLevel="0" collapsed="false">
      <c r="A197" s="19" t="str">
        <f aca="false">IF(거래처목록!$A194="","",거래처목록!$A194)</f>
        <v/>
      </c>
      <c r="B197" s="19" t="str">
        <f aca="false">IF($A197="","",거래처목록!$B194)</f>
        <v/>
      </c>
      <c r="C197" s="15" t="str">
        <f aca="false">IF($A197="","",SUMIFS(매출내역!$F$3:$F$3002,매출내역!$B$3:$B$3002,$A197))</f>
        <v/>
      </c>
      <c r="D197" s="15" t="str">
        <f aca="false">IF($A197="","",SUMIFS(매출내역!$H$3:$H$3002,매출내역!$B$3:$B$3002,$A197))</f>
        <v/>
      </c>
      <c r="E197" s="15" t="str">
        <f aca="false">IF($A197="","",$C197-$D197)</f>
        <v/>
      </c>
      <c r="F197" s="20" t="str">
        <f aca="false">IF($A197="","",COUNTIFS(매출내역!$B$3:$B$3002,$A197,매출내역!$I$3:$I$3002,"&gt;0"))</f>
        <v/>
      </c>
      <c r="G197" s="21" t="str">
        <f aca="true">IF($A197="","",IF($F197=0,0,TODAY()-_xlfn.MINIFS(매출내역!$A$3:$A$3002,매출내역!$B$3:$B$3002,$A197,매출내역!$I$3:$I$3002,"&gt;0")))</f>
        <v/>
      </c>
      <c r="H197" s="20" t="str">
        <f aca="false">IF($A197="","",IF($I197=0,"한도미설정",IF($E197&gt;$I197,"한도초과","정상")))</f>
        <v/>
      </c>
      <c r="I197" s="15" t="str">
        <f aca="false">IF($A197="","",IF(거래처목록!$D194="",0,거래처목록!$D194))</f>
        <v/>
      </c>
    </row>
    <row r="198" customFormat="false" ht="15" hidden="false" customHeight="true" outlineLevel="0" collapsed="false">
      <c r="A198" s="19" t="str">
        <f aca="false">IF(거래처목록!$A195="","",거래처목록!$A195)</f>
        <v/>
      </c>
      <c r="B198" s="19" t="str">
        <f aca="false">IF($A198="","",거래처목록!$B195)</f>
        <v/>
      </c>
      <c r="C198" s="15" t="str">
        <f aca="false">IF($A198="","",SUMIFS(매출내역!$F$3:$F$3002,매출내역!$B$3:$B$3002,$A198))</f>
        <v/>
      </c>
      <c r="D198" s="15" t="str">
        <f aca="false">IF($A198="","",SUMIFS(매출내역!$H$3:$H$3002,매출내역!$B$3:$B$3002,$A198))</f>
        <v/>
      </c>
      <c r="E198" s="15" t="str">
        <f aca="false">IF($A198="","",$C198-$D198)</f>
        <v/>
      </c>
      <c r="F198" s="20" t="str">
        <f aca="false">IF($A198="","",COUNTIFS(매출내역!$B$3:$B$3002,$A198,매출내역!$I$3:$I$3002,"&gt;0"))</f>
        <v/>
      </c>
      <c r="G198" s="21" t="str">
        <f aca="true">IF($A198="","",IF($F198=0,0,TODAY()-_xlfn.MINIFS(매출내역!$A$3:$A$3002,매출내역!$B$3:$B$3002,$A198,매출내역!$I$3:$I$3002,"&gt;0")))</f>
        <v/>
      </c>
      <c r="H198" s="20" t="str">
        <f aca="false">IF($A198="","",IF($I198=0,"한도미설정",IF($E198&gt;$I198,"한도초과","정상")))</f>
        <v/>
      </c>
      <c r="I198" s="15" t="str">
        <f aca="false">IF($A198="","",IF(거래처목록!$D195="",0,거래처목록!$D195))</f>
        <v/>
      </c>
    </row>
    <row r="199" customFormat="false" ht="15" hidden="false" customHeight="true" outlineLevel="0" collapsed="false">
      <c r="A199" s="19" t="str">
        <f aca="false">IF(거래처목록!$A196="","",거래처목록!$A196)</f>
        <v/>
      </c>
      <c r="B199" s="19" t="str">
        <f aca="false">IF($A199="","",거래처목록!$B196)</f>
        <v/>
      </c>
      <c r="C199" s="15" t="str">
        <f aca="false">IF($A199="","",SUMIFS(매출내역!$F$3:$F$3002,매출내역!$B$3:$B$3002,$A199))</f>
        <v/>
      </c>
      <c r="D199" s="15" t="str">
        <f aca="false">IF($A199="","",SUMIFS(매출내역!$H$3:$H$3002,매출내역!$B$3:$B$3002,$A199))</f>
        <v/>
      </c>
      <c r="E199" s="15" t="str">
        <f aca="false">IF($A199="","",$C199-$D199)</f>
        <v/>
      </c>
      <c r="F199" s="20" t="str">
        <f aca="false">IF($A199="","",COUNTIFS(매출내역!$B$3:$B$3002,$A199,매출내역!$I$3:$I$3002,"&gt;0"))</f>
        <v/>
      </c>
      <c r="G199" s="21" t="str">
        <f aca="true">IF($A199="","",IF($F199=0,0,TODAY()-_xlfn.MINIFS(매출내역!$A$3:$A$3002,매출내역!$B$3:$B$3002,$A199,매출내역!$I$3:$I$3002,"&gt;0")))</f>
        <v/>
      </c>
      <c r="H199" s="20" t="str">
        <f aca="false">IF($A199="","",IF($I199=0,"한도미설정",IF($E199&gt;$I199,"한도초과","정상")))</f>
        <v/>
      </c>
      <c r="I199" s="15" t="str">
        <f aca="false">IF($A199="","",IF(거래처목록!$D196="",0,거래처목록!$D196))</f>
        <v/>
      </c>
    </row>
    <row r="200" customFormat="false" ht="15" hidden="false" customHeight="true" outlineLevel="0" collapsed="false">
      <c r="A200" s="19" t="str">
        <f aca="false">IF(거래처목록!$A197="","",거래처목록!$A197)</f>
        <v/>
      </c>
      <c r="B200" s="19" t="str">
        <f aca="false">IF($A200="","",거래처목록!$B197)</f>
        <v/>
      </c>
      <c r="C200" s="15" t="str">
        <f aca="false">IF($A200="","",SUMIFS(매출내역!$F$3:$F$3002,매출내역!$B$3:$B$3002,$A200))</f>
        <v/>
      </c>
      <c r="D200" s="15" t="str">
        <f aca="false">IF($A200="","",SUMIFS(매출내역!$H$3:$H$3002,매출내역!$B$3:$B$3002,$A200))</f>
        <v/>
      </c>
      <c r="E200" s="15" t="str">
        <f aca="false">IF($A200="","",$C200-$D200)</f>
        <v/>
      </c>
      <c r="F200" s="20" t="str">
        <f aca="false">IF($A200="","",COUNTIFS(매출내역!$B$3:$B$3002,$A200,매출내역!$I$3:$I$3002,"&gt;0"))</f>
        <v/>
      </c>
      <c r="G200" s="21" t="str">
        <f aca="true">IF($A200="","",IF($F200=0,0,TODAY()-_xlfn.MINIFS(매출내역!$A$3:$A$3002,매출내역!$B$3:$B$3002,$A200,매출내역!$I$3:$I$3002,"&gt;0")))</f>
        <v/>
      </c>
      <c r="H200" s="20" t="str">
        <f aca="false">IF($A200="","",IF($I200=0,"한도미설정",IF($E200&gt;$I200,"한도초과","정상")))</f>
        <v/>
      </c>
      <c r="I200" s="15" t="str">
        <f aca="false">IF($A200="","",IF(거래처목록!$D197="",0,거래처목록!$D197))</f>
        <v/>
      </c>
    </row>
    <row r="201" customFormat="false" ht="15" hidden="false" customHeight="true" outlineLevel="0" collapsed="false">
      <c r="A201" s="19" t="str">
        <f aca="false">IF(거래처목록!$A198="","",거래처목록!$A198)</f>
        <v/>
      </c>
      <c r="B201" s="19" t="str">
        <f aca="false">IF($A201="","",거래처목록!$B198)</f>
        <v/>
      </c>
      <c r="C201" s="15" t="str">
        <f aca="false">IF($A201="","",SUMIFS(매출내역!$F$3:$F$3002,매출내역!$B$3:$B$3002,$A201))</f>
        <v/>
      </c>
      <c r="D201" s="15" t="str">
        <f aca="false">IF($A201="","",SUMIFS(매출내역!$H$3:$H$3002,매출내역!$B$3:$B$3002,$A201))</f>
        <v/>
      </c>
      <c r="E201" s="15" t="str">
        <f aca="false">IF($A201="","",$C201-$D201)</f>
        <v/>
      </c>
      <c r="F201" s="20" t="str">
        <f aca="false">IF($A201="","",COUNTIFS(매출내역!$B$3:$B$3002,$A201,매출내역!$I$3:$I$3002,"&gt;0"))</f>
        <v/>
      </c>
      <c r="G201" s="21" t="str">
        <f aca="true">IF($A201="","",IF($F201=0,0,TODAY()-_xlfn.MINIFS(매출내역!$A$3:$A$3002,매출내역!$B$3:$B$3002,$A201,매출내역!$I$3:$I$3002,"&gt;0")))</f>
        <v/>
      </c>
      <c r="H201" s="20" t="str">
        <f aca="false">IF($A201="","",IF($I201=0,"한도미설정",IF($E201&gt;$I201,"한도초과","정상")))</f>
        <v/>
      </c>
      <c r="I201" s="15" t="str">
        <f aca="false">IF($A201="","",IF(거래처목록!$D198="",0,거래처목록!$D198))</f>
        <v/>
      </c>
    </row>
    <row r="202" customFormat="false" ht="15" hidden="false" customHeight="true" outlineLevel="0" collapsed="false">
      <c r="A202" s="19" t="str">
        <f aca="false">IF(거래처목록!$A199="","",거래처목록!$A199)</f>
        <v/>
      </c>
      <c r="B202" s="19" t="str">
        <f aca="false">IF($A202="","",거래처목록!$B199)</f>
        <v/>
      </c>
      <c r="C202" s="15" t="str">
        <f aca="false">IF($A202="","",SUMIFS(매출내역!$F$3:$F$3002,매출내역!$B$3:$B$3002,$A202))</f>
        <v/>
      </c>
      <c r="D202" s="15" t="str">
        <f aca="false">IF($A202="","",SUMIFS(매출내역!$H$3:$H$3002,매출내역!$B$3:$B$3002,$A202))</f>
        <v/>
      </c>
      <c r="E202" s="15" t="str">
        <f aca="false">IF($A202="","",$C202-$D202)</f>
        <v/>
      </c>
      <c r="F202" s="20" t="str">
        <f aca="false">IF($A202="","",COUNTIFS(매출내역!$B$3:$B$3002,$A202,매출내역!$I$3:$I$3002,"&gt;0"))</f>
        <v/>
      </c>
      <c r="G202" s="21" t="str">
        <f aca="true">IF($A202="","",IF($F202=0,0,TODAY()-_xlfn.MINIFS(매출내역!$A$3:$A$3002,매출내역!$B$3:$B$3002,$A202,매출내역!$I$3:$I$3002,"&gt;0")))</f>
        <v/>
      </c>
      <c r="H202" s="20" t="str">
        <f aca="false">IF($A202="","",IF($I202=0,"한도미설정",IF($E202&gt;$I202,"한도초과","정상")))</f>
        <v/>
      </c>
      <c r="I202" s="15" t="str">
        <f aca="false">IF($A202="","",IF(거래처목록!$D199="",0,거래처목록!$D199))</f>
        <v/>
      </c>
    </row>
    <row r="203" customFormat="false" ht="15" hidden="false" customHeight="true" outlineLevel="0" collapsed="false">
      <c r="A203" s="19" t="str">
        <f aca="false">IF(거래처목록!$A200="","",거래처목록!$A200)</f>
        <v/>
      </c>
      <c r="B203" s="19" t="str">
        <f aca="false">IF($A203="","",거래처목록!$B200)</f>
        <v/>
      </c>
      <c r="C203" s="15" t="str">
        <f aca="false">IF($A203="","",SUMIFS(매출내역!$F$3:$F$3002,매출내역!$B$3:$B$3002,$A203))</f>
        <v/>
      </c>
      <c r="D203" s="15" t="str">
        <f aca="false">IF($A203="","",SUMIFS(매출내역!$H$3:$H$3002,매출내역!$B$3:$B$3002,$A203))</f>
        <v/>
      </c>
      <c r="E203" s="15" t="str">
        <f aca="false">IF($A203="","",$C203-$D203)</f>
        <v/>
      </c>
      <c r="F203" s="20" t="str">
        <f aca="false">IF($A203="","",COUNTIFS(매출내역!$B$3:$B$3002,$A203,매출내역!$I$3:$I$3002,"&gt;0"))</f>
        <v/>
      </c>
      <c r="G203" s="21" t="str">
        <f aca="true">IF($A203="","",IF($F203=0,0,TODAY()-_xlfn.MINIFS(매출내역!$A$3:$A$3002,매출내역!$B$3:$B$3002,$A203,매출내역!$I$3:$I$3002,"&gt;0")))</f>
        <v/>
      </c>
      <c r="H203" s="20" t="str">
        <f aca="false">IF($A203="","",IF($I203=0,"한도미설정",IF($E203&gt;$I203,"한도초과","정상")))</f>
        <v/>
      </c>
      <c r="I203" s="15" t="str">
        <f aca="false">IF($A203="","",IF(거래처목록!$D200="",0,거래처목록!$D200))</f>
        <v/>
      </c>
    </row>
    <row r="204" customFormat="false" ht="15" hidden="false" customHeight="true" outlineLevel="0" collapsed="false">
      <c r="A204" s="19" t="str">
        <f aca="false">IF(거래처목록!$A201="","",거래처목록!$A201)</f>
        <v/>
      </c>
      <c r="B204" s="19" t="str">
        <f aca="false">IF($A204="","",거래처목록!$B201)</f>
        <v/>
      </c>
      <c r="C204" s="15" t="str">
        <f aca="false">IF($A204="","",SUMIFS(매출내역!$F$3:$F$3002,매출내역!$B$3:$B$3002,$A204))</f>
        <v/>
      </c>
      <c r="D204" s="15" t="str">
        <f aca="false">IF($A204="","",SUMIFS(매출내역!$H$3:$H$3002,매출내역!$B$3:$B$3002,$A204))</f>
        <v/>
      </c>
      <c r="E204" s="15" t="str">
        <f aca="false">IF($A204="","",$C204-$D204)</f>
        <v/>
      </c>
      <c r="F204" s="20" t="str">
        <f aca="false">IF($A204="","",COUNTIFS(매출내역!$B$3:$B$3002,$A204,매출내역!$I$3:$I$3002,"&gt;0"))</f>
        <v/>
      </c>
      <c r="G204" s="21" t="str">
        <f aca="true">IF($A204="","",IF($F204=0,0,TODAY()-_xlfn.MINIFS(매출내역!$A$3:$A$3002,매출내역!$B$3:$B$3002,$A204,매출내역!$I$3:$I$3002,"&gt;0")))</f>
        <v/>
      </c>
      <c r="H204" s="20" t="str">
        <f aca="false">IF($A204="","",IF($I204=0,"한도미설정",IF($E204&gt;$I204,"한도초과","정상")))</f>
        <v/>
      </c>
      <c r="I204" s="15" t="str">
        <f aca="false">IF($A204="","",IF(거래처목록!$D201="",0,거래처목록!$D201))</f>
        <v/>
      </c>
    </row>
    <row r="205" customFormat="false" ht="15" hidden="false" customHeight="true" outlineLevel="0" collapsed="false">
      <c r="A205" s="19" t="str">
        <f aca="false">IF(거래처목록!$A202="","",거래처목록!$A202)</f>
        <v/>
      </c>
      <c r="B205" s="19" t="str">
        <f aca="false">IF($A205="","",거래처목록!$B202)</f>
        <v/>
      </c>
      <c r="C205" s="15" t="str">
        <f aca="false">IF($A205="","",SUMIFS(매출내역!$F$3:$F$3002,매출내역!$B$3:$B$3002,$A205))</f>
        <v/>
      </c>
      <c r="D205" s="15" t="str">
        <f aca="false">IF($A205="","",SUMIFS(매출내역!$H$3:$H$3002,매출내역!$B$3:$B$3002,$A205))</f>
        <v/>
      </c>
      <c r="E205" s="15" t="str">
        <f aca="false">IF($A205="","",$C205-$D205)</f>
        <v/>
      </c>
      <c r="F205" s="20" t="str">
        <f aca="false">IF($A205="","",COUNTIFS(매출내역!$B$3:$B$3002,$A205,매출내역!$I$3:$I$3002,"&gt;0"))</f>
        <v/>
      </c>
      <c r="G205" s="21" t="str">
        <f aca="true">IF($A205="","",IF($F205=0,0,TODAY()-_xlfn.MINIFS(매출내역!$A$3:$A$3002,매출내역!$B$3:$B$3002,$A205,매출내역!$I$3:$I$3002,"&gt;0")))</f>
        <v/>
      </c>
      <c r="H205" s="20" t="str">
        <f aca="false">IF($A205="","",IF($I205=0,"한도미설정",IF($E205&gt;$I205,"한도초과","정상")))</f>
        <v/>
      </c>
      <c r="I205" s="15" t="str">
        <f aca="false">IF($A205="","",IF(거래처목록!$D202="",0,거래처목록!$D202))</f>
        <v/>
      </c>
    </row>
    <row r="206" customFormat="false" ht="15" hidden="false" customHeight="true" outlineLevel="0" collapsed="false">
      <c r="A206" s="19" t="str">
        <f aca="false">IF(거래처목록!$A203="","",거래처목록!$A203)</f>
        <v/>
      </c>
      <c r="B206" s="19" t="str">
        <f aca="false">IF($A206="","",거래처목록!$B203)</f>
        <v/>
      </c>
      <c r="C206" s="15" t="str">
        <f aca="false">IF($A206="","",SUMIFS(매출내역!$F$3:$F$3002,매출내역!$B$3:$B$3002,$A206))</f>
        <v/>
      </c>
      <c r="D206" s="15" t="str">
        <f aca="false">IF($A206="","",SUMIFS(매출내역!$H$3:$H$3002,매출내역!$B$3:$B$3002,$A206))</f>
        <v/>
      </c>
      <c r="E206" s="15" t="str">
        <f aca="false">IF($A206="","",$C206-$D206)</f>
        <v/>
      </c>
      <c r="F206" s="20" t="str">
        <f aca="false">IF($A206="","",COUNTIFS(매출내역!$B$3:$B$3002,$A206,매출내역!$I$3:$I$3002,"&gt;0"))</f>
        <v/>
      </c>
      <c r="G206" s="21" t="str">
        <f aca="true">IF($A206="","",IF($F206=0,0,TODAY()-_xlfn.MINIFS(매출내역!$A$3:$A$3002,매출내역!$B$3:$B$3002,$A206,매출내역!$I$3:$I$3002,"&gt;0")))</f>
        <v/>
      </c>
      <c r="H206" s="20" t="str">
        <f aca="false">IF($A206="","",IF($I206=0,"한도미설정",IF($E206&gt;$I206,"한도초과","정상")))</f>
        <v/>
      </c>
      <c r="I206" s="15" t="str">
        <f aca="false">IF($A206="","",IF(거래처목록!$D203="",0,거래처목록!$D203))</f>
        <v/>
      </c>
    </row>
    <row r="207" customFormat="false" ht="15" hidden="false" customHeight="true" outlineLevel="0" collapsed="false">
      <c r="A207" s="19" t="str">
        <f aca="false">IF(거래처목록!$A204="","",거래처목록!$A204)</f>
        <v/>
      </c>
      <c r="B207" s="19" t="str">
        <f aca="false">IF($A207="","",거래처목록!$B204)</f>
        <v/>
      </c>
      <c r="C207" s="15" t="str">
        <f aca="false">IF($A207="","",SUMIFS(매출내역!$F$3:$F$3002,매출내역!$B$3:$B$3002,$A207))</f>
        <v/>
      </c>
      <c r="D207" s="15" t="str">
        <f aca="false">IF($A207="","",SUMIFS(매출내역!$H$3:$H$3002,매출내역!$B$3:$B$3002,$A207))</f>
        <v/>
      </c>
      <c r="E207" s="15" t="str">
        <f aca="false">IF($A207="","",$C207-$D207)</f>
        <v/>
      </c>
      <c r="F207" s="20" t="str">
        <f aca="false">IF($A207="","",COUNTIFS(매출내역!$B$3:$B$3002,$A207,매출내역!$I$3:$I$3002,"&gt;0"))</f>
        <v/>
      </c>
      <c r="G207" s="21" t="str">
        <f aca="true">IF($A207="","",IF($F207=0,0,TODAY()-_xlfn.MINIFS(매출내역!$A$3:$A$3002,매출내역!$B$3:$B$3002,$A207,매출내역!$I$3:$I$3002,"&gt;0")))</f>
        <v/>
      </c>
      <c r="H207" s="20" t="str">
        <f aca="false">IF($A207="","",IF($I207=0,"한도미설정",IF($E207&gt;$I207,"한도초과","정상")))</f>
        <v/>
      </c>
      <c r="I207" s="15" t="str">
        <f aca="false">IF($A207="","",IF(거래처목록!$D204="",0,거래처목록!$D204))</f>
        <v/>
      </c>
    </row>
    <row r="208" customFormat="false" ht="15" hidden="false" customHeight="true" outlineLevel="0" collapsed="false">
      <c r="A208" s="19" t="str">
        <f aca="false">IF(거래처목록!$A205="","",거래처목록!$A205)</f>
        <v/>
      </c>
      <c r="B208" s="19" t="str">
        <f aca="false">IF($A208="","",거래처목록!$B205)</f>
        <v/>
      </c>
      <c r="C208" s="15" t="str">
        <f aca="false">IF($A208="","",SUMIFS(매출내역!$F$3:$F$3002,매출내역!$B$3:$B$3002,$A208))</f>
        <v/>
      </c>
      <c r="D208" s="15" t="str">
        <f aca="false">IF($A208="","",SUMIFS(매출내역!$H$3:$H$3002,매출내역!$B$3:$B$3002,$A208))</f>
        <v/>
      </c>
      <c r="E208" s="15" t="str">
        <f aca="false">IF($A208="","",$C208-$D208)</f>
        <v/>
      </c>
      <c r="F208" s="20" t="str">
        <f aca="false">IF($A208="","",COUNTIFS(매출내역!$B$3:$B$3002,$A208,매출내역!$I$3:$I$3002,"&gt;0"))</f>
        <v/>
      </c>
      <c r="G208" s="21" t="str">
        <f aca="true">IF($A208="","",IF($F208=0,0,TODAY()-_xlfn.MINIFS(매출내역!$A$3:$A$3002,매출내역!$B$3:$B$3002,$A208,매출내역!$I$3:$I$3002,"&gt;0")))</f>
        <v/>
      </c>
      <c r="H208" s="20" t="str">
        <f aca="false">IF($A208="","",IF($I208=0,"한도미설정",IF($E208&gt;$I208,"한도초과","정상")))</f>
        <v/>
      </c>
      <c r="I208" s="15" t="str">
        <f aca="false">IF($A208="","",IF(거래처목록!$D205="",0,거래처목록!$D205))</f>
        <v/>
      </c>
    </row>
    <row r="209" customFormat="false" ht="15" hidden="false" customHeight="true" outlineLevel="0" collapsed="false">
      <c r="A209" s="19" t="str">
        <f aca="false">IF(거래처목록!$A206="","",거래처목록!$A206)</f>
        <v/>
      </c>
      <c r="B209" s="19" t="str">
        <f aca="false">IF($A209="","",거래처목록!$B206)</f>
        <v/>
      </c>
      <c r="C209" s="15" t="str">
        <f aca="false">IF($A209="","",SUMIFS(매출내역!$F$3:$F$3002,매출내역!$B$3:$B$3002,$A209))</f>
        <v/>
      </c>
      <c r="D209" s="15" t="str">
        <f aca="false">IF($A209="","",SUMIFS(매출내역!$H$3:$H$3002,매출내역!$B$3:$B$3002,$A209))</f>
        <v/>
      </c>
      <c r="E209" s="15" t="str">
        <f aca="false">IF($A209="","",$C209-$D209)</f>
        <v/>
      </c>
      <c r="F209" s="20" t="str">
        <f aca="false">IF($A209="","",COUNTIFS(매출내역!$B$3:$B$3002,$A209,매출내역!$I$3:$I$3002,"&gt;0"))</f>
        <v/>
      </c>
      <c r="G209" s="21" t="str">
        <f aca="true">IF($A209="","",IF($F209=0,0,TODAY()-_xlfn.MINIFS(매출내역!$A$3:$A$3002,매출내역!$B$3:$B$3002,$A209,매출내역!$I$3:$I$3002,"&gt;0")))</f>
        <v/>
      </c>
      <c r="H209" s="20" t="str">
        <f aca="false">IF($A209="","",IF($I209=0,"한도미설정",IF($E209&gt;$I209,"한도초과","정상")))</f>
        <v/>
      </c>
      <c r="I209" s="15" t="str">
        <f aca="false">IF($A209="","",IF(거래처목록!$D206="",0,거래처목록!$D206))</f>
        <v/>
      </c>
    </row>
    <row r="210" customFormat="false" ht="15" hidden="false" customHeight="true" outlineLevel="0" collapsed="false">
      <c r="A210" s="19" t="str">
        <f aca="false">IF(거래처목록!$A207="","",거래처목록!$A207)</f>
        <v/>
      </c>
      <c r="B210" s="19" t="str">
        <f aca="false">IF($A210="","",거래처목록!$B207)</f>
        <v/>
      </c>
      <c r="C210" s="15" t="str">
        <f aca="false">IF($A210="","",SUMIFS(매출내역!$F$3:$F$3002,매출내역!$B$3:$B$3002,$A210))</f>
        <v/>
      </c>
      <c r="D210" s="15" t="str">
        <f aca="false">IF($A210="","",SUMIFS(매출내역!$H$3:$H$3002,매출내역!$B$3:$B$3002,$A210))</f>
        <v/>
      </c>
      <c r="E210" s="15" t="str">
        <f aca="false">IF($A210="","",$C210-$D210)</f>
        <v/>
      </c>
      <c r="F210" s="20" t="str">
        <f aca="false">IF($A210="","",COUNTIFS(매출내역!$B$3:$B$3002,$A210,매출내역!$I$3:$I$3002,"&gt;0"))</f>
        <v/>
      </c>
      <c r="G210" s="21" t="str">
        <f aca="true">IF($A210="","",IF($F210=0,0,TODAY()-_xlfn.MINIFS(매출내역!$A$3:$A$3002,매출내역!$B$3:$B$3002,$A210,매출내역!$I$3:$I$3002,"&gt;0")))</f>
        <v/>
      </c>
      <c r="H210" s="20" t="str">
        <f aca="false">IF($A210="","",IF($I210=0,"한도미설정",IF($E210&gt;$I210,"한도초과","정상")))</f>
        <v/>
      </c>
      <c r="I210" s="15" t="str">
        <f aca="false">IF($A210="","",IF(거래처목록!$D207="",0,거래처목록!$D207))</f>
        <v/>
      </c>
    </row>
    <row r="211" customFormat="false" ht="15" hidden="false" customHeight="true" outlineLevel="0" collapsed="false">
      <c r="A211" s="19" t="str">
        <f aca="false">IF(거래처목록!$A208="","",거래처목록!$A208)</f>
        <v/>
      </c>
      <c r="B211" s="19" t="str">
        <f aca="false">IF($A211="","",거래처목록!$B208)</f>
        <v/>
      </c>
      <c r="C211" s="15" t="str">
        <f aca="false">IF($A211="","",SUMIFS(매출내역!$F$3:$F$3002,매출내역!$B$3:$B$3002,$A211))</f>
        <v/>
      </c>
      <c r="D211" s="15" t="str">
        <f aca="false">IF($A211="","",SUMIFS(매출내역!$H$3:$H$3002,매출내역!$B$3:$B$3002,$A211))</f>
        <v/>
      </c>
      <c r="E211" s="15" t="str">
        <f aca="false">IF($A211="","",$C211-$D211)</f>
        <v/>
      </c>
      <c r="F211" s="20" t="str">
        <f aca="false">IF($A211="","",COUNTIFS(매출내역!$B$3:$B$3002,$A211,매출내역!$I$3:$I$3002,"&gt;0"))</f>
        <v/>
      </c>
      <c r="G211" s="21" t="str">
        <f aca="true">IF($A211="","",IF($F211=0,0,TODAY()-_xlfn.MINIFS(매출내역!$A$3:$A$3002,매출내역!$B$3:$B$3002,$A211,매출내역!$I$3:$I$3002,"&gt;0")))</f>
        <v/>
      </c>
      <c r="H211" s="20" t="str">
        <f aca="false">IF($A211="","",IF($I211=0,"한도미설정",IF($E211&gt;$I211,"한도초과","정상")))</f>
        <v/>
      </c>
      <c r="I211" s="15" t="str">
        <f aca="false">IF($A211="","",IF(거래처목록!$D208="",0,거래처목록!$D208))</f>
        <v/>
      </c>
    </row>
    <row r="212" customFormat="false" ht="15" hidden="false" customHeight="true" outlineLevel="0" collapsed="false">
      <c r="A212" s="19" t="str">
        <f aca="false">IF(거래처목록!$A209="","",거래처목록!$A209)</f>
        <v/>
      </c>
      <c r="B212" s="19" t="str">
        <f aca="false">IF($A212="","",거래처목록!$B209)</f>
        <v/>
      </c>
      <c r="C212" s="15" t="str">
        <f aca="false">IF($A212="","",SUMIFS(매출내역!$F$3:$F$3002,매출내역!$B$3:$B$3002,$A212))</f>
        <v/>
      </c>
      <c r="D212" s="15" t="str">
        <f aca="false">IF($A212="","",SUMIFS(매출내역!$H$3:$H$3002,매출내역!$B$3:$B$3002,$A212))</f>
        <v/>
      </c>
      <c r="E212" s="15" t="str">
        <f aca="false">IF($A212="","",$C212-$D212)</f>
        <v/>
      </c>
      <c r="F212" s="20" t="str">
        <f aca="false">IF($A212="","",COUNTIFS(매출내역!$B$3:$B$3002,$A212,매출내역!$I$3:$I$3002,"&gt;0"))</f>
        <v/>
      </c>
      <c r="G212" s="21" t="str">
        <f aca="true">IF($A212="","",IF($F212=0,0,TODAY()-_xlfn.MINIFS(매출내역!$A$3:$A$3002,매출내역!$B$3:$B$3002,$A212,매출내역!$I$3:$I$3002,"&gt;0")))</f>
        <v/>
      </c>
      <c r="H212" s="20" t="str">
        <f aca="false">IF($A212="","",IF($I212=0,"한도미설정",IF($E212&gt;$I212,"한도초과","정상")))</f>
        <v/>
      </c>
      <c r="I212" s="15" t="str">
        <f aca="false">IF($A212="","",IF(거래처목록!$D209="",0,거래처목록!$D209))</f>
        <v/>
      </c>
    </row>
    <row r="213" customFormat="false" ht="15" hidden="false" customHeight="true" outlineLevel="0" collapsed="false">
      <c r="A213" s="19" t="str">
        <f aca="false">IF(거래처목록!$A210="","",거래처목록!$A210)</f>
        <v/>
      </c>
      <c r="B213" s="19" t="str">
        <f aca="false">IF($A213="","",거래처목록!$B210)</f>
        <v/>
      </c>
      <c r="C213" s="15" t="str">
        <f aca="false">IF($A213="","",SUMIFS(매출내역!$F$3:$F$3002,매출내역!$B$3:$B$3002,$A213))</f>
        <v/>
      </c>
      <c r="D213" s="15" t="str">
        <f aca="false">IF($A213="","",SUMIFS(매출내역!$H$3:$H$3002,매출내역!$B$3:$B$3002,$A213))</f>
        <v/>
      </c>
      <c r="E213" s="15" t="str">
        <f aca="false">IF($A213="","",$C213-$D213)</f>
        <v/>
      </c>
      <c r="F213" s="20" t="str">
        <f aca="false">IF($A213="","",COUNTIFS(매출내역!$B$3:$B$3002,$A213,매출내역!$I$3:$I$3002,"&gt;0"))</f>
        <v/>
      </c>
      <c r="G213" s="21" t="str">
        <f aca="true">IF($A213="","",IF($F213=0,0,TODAY()-_xlfn.MINIFS(매출내역!$A$3:$A$3002,매출내역!$B$3:$B$3002,$A213,매출내역!$I$3:$I$3002,"&gt;0")))</f>
        <v/>
      </c>
      <c r="H213" s="20" t="str">
        <f aca="false">IF($A213="","",IF($I213=0,"한도미설정",IF($E213&gt;$I213,"한도초과","정상")))</f>
        <v/>
      </c>
      <c r="I213" s="15" t="str">
        <f aca="false">IF($A213="","",IF(거래처목록!$D210="",0,거래처목록!$D210))</f>
        <v/>
      </c>
    </row>
    <row r="214" customFormat="false" ht="15" hidden="false" customHeight="true" outlineLevel="0" collapsed="false">
      <c r="A214" s="19" t="str">
        <f aca="false">IF(거래처목록!$A211="","",거래처목록!$A211)</f>
        <v/>
      </c>
      <c r="B214" s="19" t="str">
        <f aca="false">IF($A214="","",거래처목록!$B211)</f>
        <v/>
      </c>
      <c r="C214" s="15" t="str">
        <f aca="false">IF($A214="","",SUMIFS(매출내역!$F$3:$F$3002,매출내역!$B$3:$B$3002,$A214))</f>
        <v/>
      </c>
      <c r="D214" s="15" t="str">
        <f aca="false">IF($A214="","",SUMIFS(매출내역!$H$3:$H$3002,매출내역!$B$3:$B$3002,$A214))</f>
        <v/>
      </c>
      <c r="E214" s="15" t="str">
        <f aca="false">IF($A214="","",$C214-$D214)</f>
        <v/>
      </c>
      <c r="F214" s="20" t="str">
        <f aca="false">IF($A214="","",COUNTIFS(매출내역!$B$3:$B$3002,$A214,매출내역!$I$3:$I$3002,"&gt;0"))</f>
        <v/>
      </c>
      <c r="G214" s="21" t="str">
        <f aca="true">IF($A214="","",IF($F214=0,0,TODAY()-_xlfn.MINIFS(매출내역!$A$3:$A$3002,매출내역!$B$3:$B$3002,$A214,매출내역!$I$3:$I$3002,"&gt;0")))</f>
        <v/>
      </c>
      <c r="H214" s="20" t="str">
        <f aca="false">IF($A214="","",IF($I214=0,"한도미설정",IF($E214&gt;$I214,"한도초과","정상")))</f>
        <v/>
      </c>
      <c r="I214" s="15" t="str">
        <f aca="false">IF($A214="","",IF(거래처목록!$D211="",0,거래처목록!$D211))</f>
        <v/>
      </c>
    </row>
    <row r="215" customFormat="false" ht="15" hidden="false" customHeight="true" outlineLevel="0" collapsed="false">
      <c r="A215" s="19" t="str">
        <f aca="false">IF(거래처목록!$A212="","",거래처목록!$A212)</f>
        <v/>
      </c>
      <c r="B215" s="19" t="str">
        <f aca="false">IF($A215="","",거래처목록!$B212)</f>
        <v/>
      </c>
      <c r="C215" s="15" t="str">
        <f aca="false">IF($A215="","",SUMIFS(매출내역!$F$3:$F$3002,매출내역!$B$3:$B$3002,$A215))</f>
        <v/>
      </c>
      <c r="D215" s="15" t="str">
        <f aca="false">IF($A215="","",SUMIFS(매출내역!$H$3:$H$3002,매출내역!$B$3:$B$3002,$A215))</f>
        <v/>
      </c>
      <c r="E215" s="15" t="str">
        <f aca="false">IF($A215="","",$C215-$D215)</f>
        <v/>
      </c>
      <c r="F215" s="20" t="str">
        <f aca="false">IF($A215="","",COUNTIFS(매출내역!$B$3:$B$3002,$A215,매출내역!$I$3:$I$3002,"&gt;0"))</f>
        <v/>
      </c>
      <c r="G215" s="21" t="str">
        <f aca="true">IF($A215="","",IF($F215=0,0,TODAY()-_xlfn.MINIFS(매출내역!$A$3:$A$3002,매출내역!$B$3:$B$3002,$A215,매출내역!$I$3:$I$3002,"&gt;0")))</f>
        <v/>
      </c>
      <c r="H215" s="20" t="str">
        <f aca="false">IF($A215="","",IF($I215=0,"한도미설정",IF($E215&gt;$I215,"한도초과","정상")))</f>
        <v/>
      </c>
      <c r="I215" s="15" t="str">
        <f aca="false">IF($A215="","",IF(거래처목록!$D212="",0,거래처목록!$D212))</f>
        <v/>
      </c>
    </row>
    <row r="216" customFormat="false" ht="15" hidden="false" customHeight="true" outlineLevel="0" collapsed="false">
      <c r="A216" s="19" t="str">
        <f aca="false">IF(거래처목록!$A213="","",거래처목록!$A213)</f>
        <v/>
      </c>
      <c r="B216" s="19" t="str">
        <f aca="false">IF($A216="","",거래처목록!$B213)</f>
        <v/>
      </c>
      <c r="C216" s="15" t="str">
        <f aca="false">IF($A216="","",SUMIFS(매출내역!$F$3:$F$3002,매출내역!$B$3:$B$3002,$A216))</f>
        <v/>
      </c>
      <c r="D216" s="15" t="str">
        <f aca="false">IF($A216="","",SUMIFS(매출내역!$H$3:$H$3002,매출내역!$B$3:$B$3002,$A216))</f>
        <v/>
      </c>
      <c r="E216" s="15" t="str">
        <f aca="false">IF($A216="","",$C216-$D216)</f>
        <v/>
      </c>
      <c r="F216" s="20" t="str">
        <f aca="false">IF($A216="","",COUNTIFS(매출내역!$B$3:$B$3002,$A216,매출내역!$I$3:$I$3002,"&gt;0"))</f>
        <v/>
      </c>
      <c r="G216" s="21" t="str">
        <f aca="true">IF($A216="","",IF($F216=0,0,TODAY()-_xlfn.MINIFS(매출내역!$A$3:$A$3002,매출내역!$B$3:$B$3002,$A216,매출내역!$I$3:$I$3002,"&gt;0")))</f>
        <v/>
      </c>
      <c r="H216" s="20" t="str">
        <f aca="false">IF($A216="","",IF($I216=0,"한도미설정",IF($E216&gt;$I216,"한도초과","정상")))</f>
        <v/>
      </c>
      <c r="I216" s="15" t="str">
        <f aca="false">IF($A216="","",IF(거래처목록!$D213="",0,거래처목록!$D213))</f>
        <v/>
      </c>
    </row>
    <row r="217" customFormat="false" ht="15" hidden="false" customHeight="true" outlineLevel="0" collapsed="false">
      <c r="A217" s="19" t="str">
        <f aca="false">IF(거래처목록!$A214="","",거래처목록!$A214)</f>
        <v/>
      </c>
      <c r="B217" s="19" t="str">
        <f aca="false">IF($A217="","",거래처목록!$B214)</f>
        <v/>
      </c>
      <c r="C217" s="15" t="str">
        <f aca="false">IF($A217="","",SUMIFS(매출내역!$F$3:$F$3002,매출내역!$B$3:$B$3002,$A217))</f>
        <v/>
      </c>
      <c r="D217" s="15" t="str">
        <f aca="false">IF($A217="","",SUMIFS(매출내역!$H$3:$H$3002,매출내역!$B$3:$B$3002,$A217))</f>
        <v/>
      </c>
      <c r="E217" s="15" t="str">
        <f aca="false">IF($A217="","",$C217-$D217)</f>
        <v/>
      </c>
      <c r="F217" s="20" t="str">
        <f aca="false">IF($A217="","",COUNTIFS(매출내역!$B$3:$B$3002,$A217,매출내역!$I$3:$I$3002,"&gt;0"))</f>
        <v/>
      </c>
      <c r="G217" s="21" t="str">
        <f aca="true">IF($A217="","",IF($F217=0,0,TODAY()-_xlfn.MINIFS(매출내역!$A$3:$A$3002,매출내역!$B$3:$B$3002,$A217,매출내역!$I$3:$I$3002,"&gt;0")))</f>
        <v/>
      </c>
      <c r="H217" s="20" t="str">
        <f aca="false">IF($A217="","",IF($I217=0,"한도미설정",IF($E217&gt;$I217,"한도초과","정상")))</f>
        <v/>
      </c>
      <c r="I217" s="15" t="str">
        <f aca="false">IF($A217="","",IF(거래처목록!$D214="",0,거래처목록!$D214))</f>
        <v/>
      </c>
    </row>
    <row r="218" customFormat="false" ht="15" hidden="false" customHeight="true" outlineLevel="0" collapsed="false">
      <c r="A218" s="19" t="str">
        <f aca="false">IF(거래처목록!$A215="","",거래처목록!$A215)</f>
        <v/>
      </c>
      <c r="B218" s="19" t="str">
        <f aca="false">IF($A218="","",거래처목록!$B215)</f>
        <v/>
      </c>
      <c r="C218" s="15" t="str">
        <f aca="false">IF($A218="","",SUMIFS(매출내역!$F$3:$F$3002,매출내역!$B$3:$B$3002,$A218))</f>
        <v/>
      </c>
      <c r="D218" s="15" t="str">
        <f aca="false">IF($A218="","",SUMIFS(매출내역!$H$3:$H$3002,매출내역!$B$3:$B$3002,$A218))</f>
        <v/>
      </c>
      <c r="E218" s="15" t="str">
        <f aca="false">IF($A218="","",$C218-$D218)</f>
        <v/>
      </c>
      <c r="F218" s="20" t="str">
        <f aca="false">IF($A218="","",COUNTIFS(매출내역!$B$3:$B$3002,$A218,매출내역!$I$3:$I$3002,"&gt;0"))</f>
        <v/>
      </c>
      <c r="G218" s="21" t="str">
        <f aca="true">IF($A218="","",IF($F218=0,0,TODAY()-_xlfn.MINIFS(매출내역!$A$3:$A$3002,매출내역!$B$3:$B$3002,$A218,매출내역!$I$3:$I$3002,"&gt;0")))</f>
        <v/>
      </c>
      <c r="H218" s="20" t="str">
        <f aca="false">IF($A218="","",IF($I218=0,"한도미설정",IF($E218&gt;$I218,"한도초과","정상")))</f>
        <v/>
      </c>
      <c r="I218" s="15" t="str">
        <f aca="false">IF($A218="","",IF(거래처목록!$D215="",0,거래처목록!$D215))</f>
        <v/>
      </c>
    </row>
    <row r="219" customFormat="false" ht="15" hidden="false" customHeight="true" outlineLevel="0" collapsed="false">
      <c r="A219" s="19" t="str">
        <f aca="false">IF(거래처목록!$A216="","",거래처목록!$A216)</f>
        <v/>
      </c>
      <c r="B219" s="19" t="str">
        <f aca="false">IF($A219="","",거래처목록!$B216)</f>
        <v/>
      </c>
      <c r="C219" s="15" t="str">
        <f aca="false">IF($A219="","",SUMIFS(매출내역!$F$3:$F$3002,매출내역!$B$3:$B$3002,$A219))</f>
        <v/>
      </c>
      <c r="D219" s="15" t="str">
        <f aca="false">IF($A219="","",SUMIFS(매출내역!$H$3:$H$3002,매출내역!$B$3:$B$3002,$A219))</f>
        <v/>
      </c>
      <c r="E219" s="15" t="str">
        <f aca="false">IF($A219="","",$C219-$D219)</f>
        <v/>
      </c>
      <c r="F219" s="20" t="str">
        <f aca="false">IF($A219="","",COUNTIFS(매출내역!$B$3:$B$3002,$A219,매출내역!$I$3:$I$3002,"&gt;0"))</f>
        <v/>
      </c>
      <c r="G219" s="21" t="str">
        <f aca="true">IF($A219="","",IF($F219=0,0,TODAY()-_xlfn.MINIFS(매출내역!$A$3:$A$3002,매출내역!$B$3:$B$3002,$A219,매출내역!$I$3:$I$3002,"&gt;0")))</f>
        <v/>
      </c>
      <c r="H219" s="20" t="str">
        <f aca="false">IF($A219="","",IF($I219=0,"한도미설정",IF($E219&gt;$I219,"한도초과","정상")))</f>
        <v/>
      </c>
      <c r="I219" s="15" t="str">
        <f aca="false">IF($A219="","",IF(거래처목록!$D216="",0,거래처목록!$D216))</f>
        <v/>
      </c>
    </row>
    <row r="220" customFormat="false" ht="15" hidden="false" customHeight="true" outlineLevel="0" collapsed="false">
      <c r="A220" s="19" t="str">
        <f aca="false">IF(거래처목록!$A217="","",거래처목록!$A217)</f>
        <v/>
      </c>
      <c r="B220" s="19" t="str">
        <f aca="false">IF($A220="","",거래처목록!$B217)</f>
        <v/>
      </c>
      <c r="C220" s="15" t="str">
        <f aca="false">IF($A220="","",SUMIFS(매출내역!$F$3:$F$3002,매출내역!$B$3:$B$3002,$A220))</f>
        <v/>
      </c>
      <c r="D220" s="15" t="str">
        <f aca="false">IF($A220="","",SUMIFS(매출내역!$H$3:$H$3002,매출내역!$B$3:$B$3002,$A220))</f>
        <v/>
      </c>
      <c r="E220" s="15" t="str">
        <f aca="false">IF($A220="","",$C220-$D220)</f>
        <v/>
      </c>
      <c r="F220" s="20" t="str">
        <f aca="false">IF($A220="","",COUNTIFS(매출내역!$B$3:$B$3002,$A220,매출내역!$I$3:$I$3002,"&gt;0"))</f>
        <v/>
      </c>
      <c r="G220" s="21" t="str">
        <f aca="true">IF($A220="","",IF($F220=0,0,TODAY()-_xlfn.MINIFS(매출내역!$A$3:$A$3002,매출내역!$B$3:$B$3002,$A220,매출내역!$I$3:$I$3002,"&gt;0")))</f>
        <v/>
      </c>
      <c r="H220" s="20" t="str">
        <f aca="false">IF($A220="","",IF($I220=0,"한도미설정",IF($E220&gt;$I220,"한도초과","정상")))</f>
        <v/>
      </c>
      <c r="I220" s="15" t="str">
        <f aca="false">IF($A220="","",IF(거래처목록!$D217="",0,거래처목록!$D217))</f>
        <v/>
      </c>
    </row>
    <row r="221" customFormat="false" ht="15" hidden="false" customHeight="true" outlineLevel="0" collapsed="false">
      <c r="A221" s="19" t="str">
        <f aca="false">IF(거래처목록!$A218="","",거래처목록!$A218)</f>
        <v/>
      </c>
      <c r="B221" s="19" t="str">
        <f aca="false">IF($A221="","",거래처목록!$B218)</f>
        <v/>
      </c>
      <c r="C221" s="15" t="str">
        <f aca="false">IF($A221="","",SUMIFS(매출내역!$F$3:$F$3002,매출내역!$B$3:$B$3002,$A221))</f>
        <v/>
      </c>
      <c r="D221" s="15" t="str">
        <f aca="false">IF($A221="","",SUMIFS(매출내역!$H$3:$H$3002,매출내역!$B$3:$B$3002,$A221))</f>
        <v/>
      </c>
      <c r="E221" s="15" t="str">
        <f aca="false">IF($A221="","",$C221-$D221)</f>
        <v/>
      </c>
      <c r="F221" s="20" t="str">
        <f aca="false">IF($A221="","",COUNTIFS(매출내역!$B$3:$B$3002,$A221,매출내역!$I$3:$I$3002,"&gt;0"))</f>
        <v/>
      </c>
      <c r="G221" s="21" t="str">
        <f aca="true">IF($A221="","",IF($F221=0,0,TODAY()-_xlfn.MINIFS(매출내역!$A$3:$A$3002,매출내역!$B$3:$B$3002,$A221,매출내역!$I$3:$I$3002,"&gt;0")))</f>
        <v/>
      </c>
      <c r="H221" s="20" t="str">
        <f aca="false">IF($A221="","",IF($I221=0,"한도미설정",IF($E221&gt;$I221,"한도초과","정상")))</f>
        <v/>
      </c>
      <c r="I221" s="15" t="str">
        <f aca="false">IF($A221="","",IF(거래처목록!$D218="",0,거래처목록!$D218))</f>
        <v/>
      </c>
    </row>
    <row r="222" customFormat="false" ht="15" hidden="false" customHeight="true" outlineLevel="0" collapsed="false">
      <c r="A222" s="19" t="str">
        <f aca="false">IF(거래처목록!$A219="","",거래처목록!$A219)</f>
        <v/>
      </c>
      <c r="B222" s="19" t="str">
        <f aca="false">IF($A222="","",거래처목록!$B219)</f>
        <v/>
      </c>
      <c r="C222" s="15" t="str">
        <f aca="false">IF($A222="","",SUMIFS(매출내역!$F$3:$F$3002,매출내역!$B$3:$B$3002,$A222))</f>
        <v/>
      </c>
      <c r="D222" s="15" t="str">
        <f aca="false">IF($A222="","",SUMIFS(매출내역!$H$3:$H$3002,매출내역!$B$3:$B$3002,$A222))</f>
        <v/>
      </c>
      <c r="E222" s="15" t="str">
        <f aca="false">IF($A222="","",$C222-$D222)</f>
        <v/>
      </c>
      <c r="F222" s="20" t="str">
        <f aca="false">IF($A222="","",COUNTIFS(매출내역!$B$3:$B$3002,$A222,매출내역!$I$3:$I$3002,"&gt;0"))</f>
        <v/>
      </c>
      <c r="G222" s="21" t="str">
        <f aca="true">IF($A222="","",IF($F222=0,0,TODAY()-_xlfn.MINIFS(매출내역!$A$3:$A$3002,매출내역!$B$3:$B$3002,$A222,매출내역!$I$3:$I$3002,"&gt;0")))</f>
        <v/>
      </c>
      <c r="H222" s="20" t="str">
        <f aca="false">IF($A222="","",IF($I222=0,"한도미설정",IF($E222&gt;$I222,"한도초과","정상")))</f>
        <v/>
      </c>
      <c r="I222" s="15" t="str">
        <f aca="false">IF($A222="","",IF(거래처목록!$D219="",0,거래처목록!$D219))</f>
        <v/>
      </c>
    </row>
    <row r="223" customFormat="false" ht="15" hidden="false" customHeight="true" outlineLevel="0" collapsed="false">
      <c r="A223" s="19" t="str">
        <f aca="false">IF(거래처목록!$A220="","",거래처목록!$A220)</f>
        <v/>
      </c>
      <c r="B223" s="19" t="str">
        <f aca="false">IF($A223="","",거래처목록!$B220)</f>
        <v/>
      </c>
      <c r="C223" s="15" t="str">
        <f aca="false">IF($A223="","",SUMIFS(매출내역!$F$3:$F$3002,매출내역!$B$3:$B$3002,$A223))</f>
        <v/>
      </c>
      <c r="D223" s="15" t="str">
        <f aca="false">IF($A223="","",SUMIFS(매출내역!$H$3:$H$3002,매출내역!$B$3:$B$3002,$A223))</f>
        <v/>
      </c>
      <c r="E223" s="15" t="str">
        <f aca="false">IF($A223="","",$C223-$D223)</f>
        <v/>
      </c>
      <c r="F223" s="20" t="str">
        <f aca="false">IF($A223="","",COUNTIFS(매출내역!$B$3:$B$3002,$A223,매출내역!$I$3:$I$3002,"&gt;0"))</f>
        <v/>
      </c>
      <c r="G223" s="21" t="str">
        <f aca="true">IF($A223="","",IF($F223=0,0,TODAY()-_xlfn.MINIFS(매출내역!$A$3:$A$3002,매출내역!$B$3:$B$3002,$A223,매출내역!$I$3:$I$3002,"&gt;0")))</f>
        <v/>
      </c>
      <c r="H223" s="20" t="str">
        <f aca="false">IF($A223="","",IF($I223=0,"한도미설정",IF($E223&gt;$I223,"한도초과","정상")))</f>
        <v/>
      </c>
      <c r="I223" s="15" t="str">
        <f aca="false">IF($A223="","",IF(거래처목록!$D220="",0,거래처목록!$D220))</f>
        <v/>
      </c>
    </row>
    <row r="224" customFormat="false" ht="15" hidden="false" customHeight="true" outlineLevel="0" collapsed="false">
      <c r="A224" s="19" t="str">
        <f aca="false">IF(거래처목록!$A221="","",거래처목록!$A221)</f>
        <v/>
      </c>
      <c r="B224" s="19" t="str">
        <f aca="false">IF($A224="","",거래처목록!$B221)</f>
        <v/>
      </c>
      <c r="C224" s="15" t="str">
        <f aca="false">IF($A224="","",SUMIFS(매출내역!$F$3:$F$3002,매출내역!$B$3:$B$3002,$A224))</f>
        <v/>
      </c>
      <c r="D224" s="15" t="str">
        <f aca="false">IF($A224="","",SUMIFS(매출내역!$H$3:$H$3002,매출내역!$B$3:$B$3002,$A224))</f>
        <v/>
      </c>
      <c r="E224" s="15" t="str">
        <f aca="false">IF($A224="","",$C224-$D224)</f>
        <v/>
      </c>
      <c r="F224" s="20" t="str">
        <f aca="false">IF($A224="","",COUNTIFS(매출내역!$B$3:$B$3002,$A224,매출내역!$I$3:$I$3002,"&gt;0"))</f>
        <v/>
      </c>
      <c r="G224" s="21" t="str">
        <f aca="true">IF($A224="","",IF($F224=0,0,TODAY()-_xlfn.MINIFS(매출내역!$A$3:$A$3002,매출내역!$B$3:$B$3002,$A224,매출내역!$I$3:$I$3002,"&gt;0")))</f>
        <v/>
      </c>
      <c r="H224" s="20" t="str">
        <f aca="false">IF($A224="","",IF($I224=0,"한도미설정",IF($E224&gt;$I224,"한도초과","정상")))</f>
        <v/>
      </c>
      <c r="I224" s="15" t="str">
        <f aca="false">IF($A224="","",IF(거래처목록!$D221="",0,거래처목록!$D221))</f>
        <v/>
      </c>
    </row>
    <row r="225" customFormat="false" ht="15" hidden="false" customHeight="true" outlineLevel="0" collapsed="false">
      <c r="A225" s="19" t="str">
        <f aca="false">IF(거래처목록!$A222="","",거래처목록!$A222)</f>
        <v/>
      </c>
      <c r="B225" s="19" t="str">
        <f aca="false">IF($A225="","",거래처목록!$B222)</f>
        <v/>
      </c>
      <c r="C225" s="15" t="str">
        <f aca="false">IF($A225="","",SUMIFS(매출내역!$F$3:$F$3002,매출내역!$B$3:$B$3002,$A225))</f>
        <v/>
      </c>
      <c r="D225" s="15" t="str">
        <f aca="false">IF($A225="","",SUMIFS(매출내역!$H$3:$H$3002,매출내역!$B$3:$B$3002,$A225))</f>
        <v/>
      </c>
      <c r="E225" s="15" t="str">
        <f aca="false">IF($A225="","",$C225-$D225)</f>
        <v/>
      </c>
      <c r="F225" s="20" t="str">
        <f aca="false">IF($A225="","",COUNTIFS(매출내역!$B$3:$B$3002,$A225,매출내역!$I$3:$I$3002,"&gt;0"))</f>
        <v/>
      </c>
      <c r="G225" s="21" t="str">
        <f aca="true">IF($A225="","",IF($F225=0,0,TODAY()-_xlfn.MINIFS(매출내역!$A$3:$A$3002,매출내역!$B$3:$B$3002,$A225,매출내역!$I$3:$I$3002,"&gt;0")))</f>
        <v/>
      </c>
      <c r="H225" s="20" t="str">
        <f aca="false">IF($A225="","",IF($I225=0,"한도미설정",IF($E225&gt;$I225,"한도초과","정상")))</f>
        <v/>
      </c>
      <c r="I225" s="15" t="str">
        <f aca="false">IF($A225="","",IF(거래처목록!$D222="",0,거래처목록!$D222))</f>
        <v/>
      </c>
    </row>
    <row r="226" customFormat="false" ht="15" hidden="false" customHeight="true" outlineLevel="0" collapsed="false">
      <c r="A226" s="19" t="str">
        <f aca="false">IF(거래처목록!$A223="","",거래처목록!$A223)</f>
        <v/>
      </c>
      <c r="B226" s="19" t="str">
        <f aca="false">IF($A226="","",거래처목록!$B223)</f>
        <v/>
      </c>
      <c r="C226" s="15" t="str">
        <f aca="false">IF($A226="","",SUMIFS(매출내역!$F$3:$F$3002,매출내역!$B$3:$B$3002,$A226))</f>
        <v/>
      </c>
      <c r="D226" s="15" t="str">
        <f aca="false">IF($A226="","",SUMIFS(매출내역!$H$3:$H$3002,매출내역!$B$3:$B$3002,$A226))</f>
        <v/>
      </c>
      <c r="E226" s="15" t="str">
        <f aca="false">IF($A226="","",$C226-$D226)</f>
        <v/>
      </c>
      <c r="F226" s="20" t="str">
        <f aca="false">IF($A226="","",COUNTIFS(매출내역!$B$3:$B$3002,$A226,매출내역!$I$3:$I$3002,"&gt;0"))</f>
        <v/>
      </c>
      <c r="G226" s="21" t="str">
        <f aca="true">IF($A226="","",IF($F226=0,0,TODAY()-_xlfn.MINIFS(매출내역!$A$3:$A$3002,매출내역!$B$3:$B$3002,$A226,매출내역!$I$3:$I$3002,"&gt;0")))</f>
        <v/>
      </c>
      <c r="H226" s="20" t="str">
        <f aca="false">IF($A226="","",IF($I226=0,"한도미설정",IF($E226&gt;$I226,"한도초과","정상")))</f>
        <v/>
      </c>
      <c r="I226" s="15" t="str">
        <f aca="false">IF($A226="","",IF(거래처목록!$D223="",0,거래처목록!$D223))</f>
        <v/>
      </c>
    </row>
    <row r="227" customFormat="false" ht="15" hidden="false" customHeight="true" outlineLevel="0" collapsed="false">
      <c r="A227" s="19" t="str">
        <f aca="false">IF(거래처목록!$A224="","",거래처목록!$A224)</f>
        <v/>
      </c>
      <c r="B227" s="19" t="str">
        <f aca="false">IF($A227="","",거래처목록!$B224)</f>
        <v/>
      </c>
      <c r="C227" s="15" t="str">
        <f aca="false">IF($A227="","",SUMIFS(매출내역!$F$3:$F$3002,매출내역!$B$3:$B$3002,$A227))</f>
        <v/>
      </c>
      <c r="D227" s="15" t="str">
        <f aca="false">IF($A227="","",SUMIFS(매출내역!$H$3:$H$3002,매출내역!$B$3:$B$3002,$A227))</f>
        <v/>
      </c>
      <c r="E227" s="15" t="str">
        <f aca="false">IF($A227="","",$C227-$D227)</f>
        <v/>
      </c>
      <c r="F227" s="20" t="str">
        <f aca="false">IF($A227="","",COUNTIFS(매출내역!$B$3:$B$3002,$A227,매출내역!$I$3:$I$3002,"&gt;0"))</f>
        <v/>
      </c>
      <c r="G227" s="21" t="str">
        <f aca="true">IF($A227="","",IF($F227=0,0,TODAY()-_xlfn.MINIFS(매출내역!$A$3:$A$3002,매출내역!$B$3:$B$3002,$A227,매출내역!$I$3:$I$3002,"&gt;0")))</f>
        <v/>
      </c>
      <c r="H227" s="20" t="str">
        <f aca="false">IF($A227="","",IF($I227=0,"한도미설정",IF($E227&gt;$I227,"한도초과","정상")))</f>
        <v/>
      </c>
      <c r="I227" s="15" t="str">
        <f aca="false">IF($A227="","",IF(거래처목록!$D224="",0,거래처목록!$D224))</f>
        <v/>
      </c>
    </row>
    <row r="228" customFormat="false" ht="15" hidden="false" customHeight="true" outlineLevel="0" collapsed="false">
      <c r="A228" s="19" t="str">
        <f aca="false">IF(거래처목록!$A225="","",거래처목록!$A225)</f>
        <v/>
      </c>
      <c r="B228" s="19" t="str">
        <f aca="false">IF($A228="","",거래처목록!$B225)</f>
        <v/>
      </c>
      <c r="C228" s="15" t="str">
        <f aca="false">IF($A228="","",SUMIFS(매출내역!$F$3:$F$3002,매출내역!$B$3:$B$3002,$A228))</f>
        <v/>
      </c>
      <c r="D228" s="15" t="str">
        <f aca="false">IF($A228="","",SUMIFS(매출내역!$H$3:$H$3002,매출내역!$B$3:$B$3002,$A228))</f>
        <v/>
      </c>
      <c r="E228" s="15" t="str">
        <f aca="false">IF($A228="","",$C228-$D228)</f>
        <v/>
      </c>
      <c r="F228" s="20" t="str">
        <f aca="false">IF($A228="","",COUNTIFS(매출내역!$B$3:$B$3002,$A228,매출내역!$I$3:$I$3002,"&gt;0"))</f>
        <v/>
      </c>
      <c r="G228" s="21" t="str">
        <f aca="true">IF($A228="","",IF($F228=0,0,TODAY()-_xlfn.MINIFS(매출내역!$A$3:$A$3002,매출내역!$B$3:$B$3002,$A228,매출내역!$I$3:$I$3002,"&gt;0")))</f>
        <v/>
      </c>
      <c r="H228" s="20" t="str">
        <f aca="false">IF($A228="","",IF($I228=0,"한도미설정",IF($E228&gt;$I228,"한도초과","정상")))</f>
        <v/>
      </c>
      <c r="I228" s="15" t="str">
        <f aca="false">IF($A228="","",IF(거래처목록!$D225="",0,거래처목록!$D225))</f>
        <v/>
      </c>
    </row>
    <row r="229" customFormat="false" ht="15" hidden="false" customHeight="true" outlineLevel="0" collapsed="false">
      <c r="A229" s="19" t="str">
        <f aca="false">IF(거래처목록!$A226="","",거래처목록!$A226)</f>
        <v/>
      </c>
      <c r="B229" s="19" t="str">
        <f aca="false">IF($A229="","",거래처목록!$B226)</f>
        <v/>
      </c>
      <c r="C229" s="15" t="str">
        <f aca="false">IF($A229="","",SUMIFS(매출내역!$F$3:$F$3002,매출내역!$B$3:$B$3002,$A229))</f>
        <v/>
      </c>
      <c r="D229" s="15" t="str">
        <f aca="false">IF($A229="","",SUMIFS(매출내역!$H$3:$H$3002,매출내역!$B$3:$B$3002,$A229))</f>
        <v/>
      </c>
      <c r="E229" s="15" t="str">
        <f aca="false">IF($A229="","",$C229-$D229)</f>
        <v/>
      </c>
      <c r="F229" s="20" t="str">
        <f aca="false">IF($A229="","",COUNTIFS(매출내역!$B$3:$B$3002,$A229,매출내역!$I$3:$I$3002,"&gt;0"))</f>
        <v/>
      </c>
      <c r="G229" s="21" t="str">
        <f aca="true">IF($A229="","",IF($F229=0,0,TODAY()-_xlfn.MINIFS(매출내역!$A$3:$A$3002,매출내역!$B$3:$B$3002,$A229,매출내역!$I$3:$I$3002,"&gt;0")))</f>
        <v/>
      </c>
      <c r="H229" s="20" t="str">
        <f aca="false">IF($A229="","",IF($I229=0,"한도미설정",IF($E229&gt;$I229,"한도초과","정상")))</f>
        <v/>
      </c>
      <c r="I229" s="15" t="str">
        <f aca="false">IF($A229="","",IF(거래처목록!$D226="",0,거래처목록!$D226))</f>
        <v/>
      </c>
    </row>
    <row r="230" customFormat="false" ht="15" hidden="false" customHeight="true" outlineLevel="0" collapsed="false">
      <c r="A230" s="19" t="str">
        <f aca="false">IF(거래처목록!$A227="","",거래처목록!$A227)</f>
        <v/>
      </c>
      <c r="B230" s="19" t="str">
        <f aca="false">IF($A230="","",거래처목록!$B227)</f>
        <v/>
      </c>
      <c r="C230" s="15" t="str">
        <f aca="false">IF($A230="","",SUMIFS(매출내역!$F$3:$F$3002,매출내역!$B$3:$B$3002,$A230))</f>
        <v/>
      </c>
      <c r="D230" s="15" t="str">
        <f aca="false">IF($A230="","",SUMIFS(매출내역!$H$3:$H$3002,매출내역!$B$3:$B$3002,$A230))</f>
        <v/>
      </c>
      <c r="E230" s="15" t="str">
        <f aca="false">IF($A230="","",$C230-$D230)</f>
        <v/>
      </c>
      <c r="F230" s="20" t="str">
        <f aca="false">IF($A230="","",COUNTIFS(매출내역!$B$3:$B$3002,$A230,매출내역!$I$3:$I$3002,"&gt;0"))</f>
        <v/>
      </c>
      <c r="G230" s="21" t="str">
        <f aca="true">IF($A230="","",IF($F230=0,0,TODAY()-_xlfn.MINIFS(매출내역!$A$3:$A$3002,매출내역!$B$3:$B$3002,$A230,매출내역!$I$3:$I$3002,"&gt;0")))</f>
        <v/>
      </c>
      <c r="H230" s="20" t="str">
        <f aca="false">IF($A230="","",IF($I230=0,"한도미설정",IF($E230&gt;$I230,"한도초과","정상")))</f>
        <v/>
      </c>
      <c r="I230" s="15" t="str">
        <f aca="false">IF($A230="","",IF(거래처목록!$D227="",0,거래처목록!$D227))</f>
        <v/>
      </c>
    </row>
    <row r="231" customFormat="false" ht="15" hidden="false" customHeight="true" outlineLevel="0" collapsed="false">
      <c r="A231" s="19" t="str">
        <f aca="false">IF(거래처목록!$A228="","",거래처목록!$A228)</f>
        <v/>
      </c>
      <c r="B231" s="19" t="str">
        <f aca="false">IF($A231="","",거래처목록!$B228)</f>
        <v/>
      </c>
      <c r="C231" s="15" t="str">
        <f aca="false">IF($A231="","",SUMIFS(매출내역!$F$3:$F$3002,매출내역!$B$3:$B$3002,$A231))</f>
        <v/>
      </c>
      <c r="D231" s="15" t="str">
        <f aca="false">IF($A231="","",SUMIFS(매출내역!$H$3:$H$3002,매출내역!$B$3:$B$3002,$A231))</f>
        <v/>
      </c>
      <c r="E231" s="15" t="str">
        <f aca="false">IF($A231="","",$C231-$D231)</f>
        <v/>
      </c>
      <c r="F231" s="20" t="str">
        <f aca="false">IF($A231="","",COUNTIFS(매출내역!$B$3:$B$3002,$A231,매출내역!$I$3:$I$3002,"&gt;0"))</f>
        <v/>
      </c>
      <c r="G231" s="21" t="str">
        <f aca="true">IF($A231="","",IF($F231=0,0,TODAY()-_xlfn.MINIFS(매출내역!$A$3:$A$3002,매출내역!$B$3:$B$3002,$A231,매출내역!$I$3:$I$3002,"&gt;0")))</f>
        <v/>
      </c>
      <c r="H231" s="20" t="str">
        <f aca="false">IF($A231="","",IF($I231=0,"한도미설정",IF($E231&gt;$I231,"한도초과","정상")))</f>
        <v/>
      </c>
      <c r="I231" s="15" t="str">
        <f aca="false">IF($A231="","",IF(거래처목록!$D228="",0,거래처목록!$D228))</f>
        <v/>
      </c>
    </row>
    <row r="232" customFormat="false" ht="15" hidden="false" customHeight="true" outlineLevel="0" collapsed="false">
      <c r="A232" s="19" t="str">
        <f aca="false">IF(거래처목록!$A229="","",거래처목록!$A229)</f>
        <v/>
      </c>
      <c r="B232" s="19" t="str">
        <f aca="false">IF($A232="","",거래처목록!$B229)</f>
        <v/>
      </c>
      <c r="C232" s="15" t="str">
        <f aca="false">IF($A232="","",SUMIFS(매출내역!$F$3:$F$3002,매출내역!$B$3:$B$3002,$A232))</f>
        <v/>
      </c>
      <c r="D232" s="15" t="str">
        <f aca="false">IF($A232="","",SUMIFS(매출내역!$H$3:$H$3002,매출내역!$B$3:$B$3002,$A232))</f>
        <v/>
      </c>
      <c r="E232" s="15" t="str">
        <f aca="false">IF($A232="","",$C232-$D232)</f>
        <v/>
      </c>
      <c r="F232" s="20" t="str">
        <f aca="false">IF($A232="","",COUNTIFS(매출내역!$B$3:$B$3002,$A232,매출내역!$I$3:$I$3002,"&gt;0"))</f>
        <v/>
      </c>
      <c r="G232" s="21" t="str">
        <f aca="true">IF($A232="","",IF($F232=0,0,TODAY()-_xlfn.MINIFS(매출내역!$A$3:$A$3002,매출내역!$B$3:$B$3002,$A232,매출내역!$I$3:$I$3002,"&gt;0")))</f>
        <v/>
      </c>
      <c r="H232" s="20" t="str">
        <f aca="false">IF($A232="","",IF($I232=0,"한도미설정",IF($E232&gt;$I232,"한도초과","정상")))</f>
        <v/>
      </c>
      <c r="I232" s="15" t="str">
        <f aca="false">IF($A232="","",IF(거래처목록!$D229="",0,거래처목록!$D229))</f>
        <v/>
      </c>
    </row>
    <row r="233" customFormat="false" ht="15" hidden="false" customHeight="true" outlineLevel="0" collapsed="false">
      <c r="A233" s="19" t="str">
        <f aca="false">IF(거래처목록!$A230="","",거래처목록!$A230)</f>
        <v/>
      </c>
      <c r="B233" s="19" t="str">
        <f aca="false">IF($A233="","",거래처목록!$B230)</f>
        <v/>
      </c>
      <c r="C233" s="15" t="str">
        <f aca="false">IF($A233="","",SUMIFS(매출내역!$F$3:$F$3002,매출내역!$B$3:$B$3002,$A233))</f>
        <v/>
      </c>
      <c r="D233" s="15" t="str">
        <f aca="false">IF($A233="","",SUMIFS(매출내역!$H$3:$H$3002,매출내역!$B$3:$B$3002,$A233))</f>
        <v/>
      </c>
      <c r="E233" s="15" t="str">
        <f aca="false">IF($A233="","",$C233-$D233)</f>
        <v/>
      </c>
      <c r="F233" s="20" t="str">
        <f aca="false">IF($A233="","",COUNTIFS(매출내역!$B$3:$B$3002,$A233,매출내역!$I$3:$I$3002,"&gt;0"))</f>
        <v/>
      </c>
      <c r="G233" s="21" t="str">
        <f aca="true">IF($A233="","",IF($F233=0,0,TODAY()-_xlfn.MINIFS(매출내역!$A$3:$A$3002,매출내역!$B$3:$B$3002,$A233,매출내역!$I$3:$I$3002,"&gt;0")))</f>
        <v/>
      </c>
      <c r="H233" s="20" t="str">
        <f aca="false">IF($A233="","",IF($I233=0,"한도미설정",IF($E233&gt;$I233,"한도초과","정상")))</f>
        <v/>
      </c>
      <c r="I233" s="15" t="str">
        <f aca="false">IF($A233="","",IF(거래처목록!$D230="",0,거래처목록!$D230))</f>
        <v/>
      </c>
    </row>
    <row r="234" customFormat="false" ht="15" hidden="false" customHeight="true" outlineLevel="0" collapsed="false">
      <c r="A234" s="19" t="str">
        <f aca="false">IF(거래처목록!$A231="","",거래처목록!$A231)</f>
        <v/>
      </c>
      <c r="B234" s="19" t="str">
        <f aca="false">IF($A234="","",거래처목록!$B231)</f>
        <v/>
      </c>
      <c r="C234" s="15" t="str">
        <f aca="false">IF($A234="","",SUMIFS(매출내역!$F$3:$F$3002,매출내역!$B$3:$B$3002,$A234))</f>
        <v/>
      </c>
      <c r="D234" s="15" t="str">
        <f aca="false">IF($A234="","",SUMIFS(매출내역!$H$3:$H$3002,매출내역!$B$3:$B$3002,$A234))</f>
        <v/>
      </c>
      <c r="E234" s="15" t="str">
        <f aca="false">IF($A234="","",$C234-$D234)</f>
        <v/>
      </c>
      <c r="F234" s="20" t="str">
        <f aca="false">IF($A234="","",COUNTIFS(매출내역!$B$3:$B$3002,$A234,매출내역!$I$3:$I$3002,"&gt;0"))</f>
        <v/>
      </c>
      <c r="G234" s="21" t="str">
        <f aca="true">IF($A234="","",IF($F234=0,0,TODAY()-_xlfn.MINIFS(매출내역!$A$3:$A$3002,매출내역!$B$3:$B$3002,$A234,매출내역!$I$3:$I$3002,"&gt;0")))</f>
        <v/>
      </c>
      <c r="H234" s="20" t="str">
        <f aca="false">IF($A234="","",IF($I234=0,"한도미설정",IF($E234&gt;$I234,"한도초과","정상")))</f>
        <v/>
      </c>
      <c r="I234" s="15" t="str">
        <f aca="false">IF($A234="","",IF(거래처목록!$D231="",0,거래처목록!$D231))</f>
        <v/>
      </c>
    </row>
    <row r="235" customFormat="false" ht="15" hidden="false" customHeight="true" outlineLevel="0" collapsed="false">
      <c r="A235" s="19" t="str">
        <f aca="false">IF(거래처목록!$A232="","",거래처목록!$A232)</f>
        <v/>
      </c>
      <c r="B235" s="19" t="str">
        <f aca="false">IF($A235="","",거래처목록!$B232)</f>
        <v/>
      </c>
      <c r="C235" s="15" t="str">
        <f aca="false">IF($A235="","",SUMIFS(매출내역!$F$3:$F$3002,매출내역!$B$3:$B$3002,$A235))</f>
        <v/>
      </c>
      <c r="D235" s="15" t="str">
        <f aca="false">IF($A235="","",SUMIFS(매출내역!$H$3:$H$3002,매출내역!$B$3:$B$3002,$A235))</f>
        <v/>
      </c>
      <c r="E235" s="15" t="str">
        <f aca="false">IF($A235="","",$C235-$D235)</f>
        <v/>
      </c>
      <c r="F235" s="20" t="str">
        <f aca="false">IF($A235="","",COUNTIFS(매출내역!$B$3:$B$3002,$A235,매출내역!$I$3:$I$3002,"&gt;0"))</f>
        <v/>
      </c>
      <c r="G235" s="21" t="str">
        <f aca="true">IF($A235="","",IF($F235=0,0,TODAY()-_xlfn.MINIFS(매출내역!$A$3:$A$3002,매출내역!$B$3:$B$3002,$A235,매출내역!$I$3:$I$3002,"&gt;0")))</f>
        <v/>
      </c>
      <c r="H235" s="20" t="str">
        <f aca="false">IF($A235="","",IF($I235=0,"한도미설정",IF($E235&gt;$I235,"한도초과","정상")))</f>
        <v/>
      </c>
      <c r="I235" s="15" t="str">
        <f aca="false">IF($A235="","",IF(거래처목록!$D232="",0,거래처목록!$D232))</f>
        <v/>
      </c>
    </row>
    <row r="236" customFormat="false" ht="15" hidden="false" customHeight="true" outlineLevel="0" collapsed="false">
      <c r="A236" s="19" t="str">
        <f aca="false">IF(거래처목록!$A233="","",거래처목록!$A233)</f>
        <v/>
      </c>
      <c r="B236" s="19" t="str">
        <f aca="false">IF($A236="","",거래처목록!$B233)</f>
        <v/>
      </c>
      <c r="C236" s="15" t="str">
        <f aca="false">IF($A236="","",SUMIFS(매출내역!$F$3:$F$3002,매출내역!$B$3:$B$3002,$A236))</f>
        <v/>
      </c>
      <c r="D236" s="15" t="str">
        <f aca="false">IF($A236="","",SUMIFS(매출내역!$H$3:$H$3002,매출내역!$B$3:$B$3002,$A236))</f>
        <v/>
      </c>
      <c r="E236" s="15" t="str">
        <f aca="false">IF($A236="","",$C236-$D236)</f>
        <v/>
      </c>
      <c r="F236" s="20" t="str">
        <f aca="false">IF($A236="","",COUNTIFS(매출내역!$B$3:$B$3002,$A236,매출내역!$I$3:$I$3002,"&gt;0"))</f>
        <v/>
      </c>
      <c r="G236" s="21" t="str">
        <f aca="true">IF($A236="","",IF($F236=0,0,TODAY()-_xlfn.MINIFS(매출내역!$A$3:$A$3002,매출내역!$B$3:$B$3002,$A236,매출내역!$I$3:$I$3002,"&gt;0")))</f>
        <v/>
      </c>
      <c r="H236" s="20" t="str">
        <f aca="false">IF($A236="","",IF($I236=0,"한도미설정",IF($E236&gt;$I236,"한도초과","정상")))</f>
        <v/>
      </c>
      <c r="I236" s="15" t="str">
        <f aca="false">IF($A236="","",IF(거래처목록!$D233="",0,거래처목록!$D233))</f>
        <v/>
      </c>
    </row>
    <row r="237" customFormat="false" ht="15" hidden="false" customHeight="true" outlineLevel="0" collapsed="false">
      <c r="A237" s="19" t="str">
        <f aca="false">IF(거래처목록!$A234="","",거래처목록!$A234)</f>
        <v/>
      </c>
      <c r="B237" s="19" t="str">
        <f aca="false">IF($A237="","",거래처목록!$B234)</f>
        <v/>
      </c>
      <c r="C237" s="15" t="str">
        <f aca="false">IF($A237="","",SUMIFS(매출내역!$F$3:$F$3002,매출내역!$B$3:$B$3002,$A237))</f>
        <v/>
      </c>
      <c r="D237" s="15" t="str">
        <f aca="false">IF($A237="","",SUMIFS(매출내역!$H$3:$H$3002,매출내역!$B$3:$B$3002,$A237))</f>
        <v/>
      </c>
      <c r="E237" s="15" t="str">
        <f aca="false">IF($A237="","",$C237-$D237)</f>
        <v/>
      </c>
      <c r="F237" s="20" t="str">
        <f aca="false">IF($A237="","",COUNTIFS(매출내역!$B$3:$B$3002,$A237,매출내역!$I$3:$I$3002,"&gt;0"))</f>
        <v/>
      </c>
      <c r="G237" s="21" t="str">
        <f aca="true">IF($A237="","",IF($F237=0,0,TODAY()-_xlfn.MINIFS(매출내역!$A$3:$A$3002,매출내역!$B$3:$B$3002,$A237,매출내역!$I$3:$I$3002,"&gt;0")))</f>
        <v/>
      </c>
      <c r="H237" s="20" t="str">
        <f aca="false">IF($A237="","",IF($I237=0,"한도미설정",IF($E237&gt;$I237,"한도초과","정상")))</f>
        <v/>
      </c>
      <c r="I237" s="15" t="str">
        <f aca="false">IF($A237="","",IF(거래처목록!$D234="",0,거래처목록!$D234))</f>
        <v/>
      </c>
    </row>
    <row r="238" customFormat="false" ht="15" hidden="false" customHeight="true" outlineLevel="0" collapsed="false">
      <c r="A238" s="19" t="str">
        <f aca="false">IF(거래처목록!$A235="","",거래처목록!$A235)</f>
        <v/>
      </c>
      <c r="B238" s="19" t="str">
        <f aca="false">IF($A238="","",거래처목록!$B235)</f>
        <v/>
      </c>
      <c r="C238" s="15" t="str">
        <f aca="false">IF($A238="","",SUMIFS(매출내역!$F$3:$F$3002,매출내역!$B$3:$B$3002,$A238))</f>
        <v/>
      </c>
      <c r="D238" s="15" t="str">
        <f aca="false">IF($A238="","",SUMIFS(매출내역!$H$3:$H$3002,매출내역!$B$3:$B$3002,$A238))</f>
        <v/>
      </c>
      <c r="E238" s="15" t="str">
        <f aca="false">IF($A238="","",$C238-$D238)</f>
        <v/>
      </c>
      <c r="F238" s="20" t="str">
        <f aca="false">IF($A238="","",COUNTIFS(매출내역!$B$3:$B$3002,$A238,매출내역!$I$3:$I$3002,"&gt;0"))</f>
        <v/>
      </c>
      <c r="G238" s="21" t="str">
        <f aca="true">IF($A238="","",IF($F238=0,0,TODAY()-_xlfn.MINIFS(매출내역!$A$3:$A$3002,매출내역!$B$3:$B$3002,$A238,매출내역!$I$3:$I$3002,"&gt;0")))</f>
        <v/>
      </c>
      <c r="H238" s="20" t="str">
        <f aca="false">IF($A238="","",IF($I238=0,"한도미설정",IF($E238&gt;$I238,"한도초과","정상")))</f>
        <v/>
      </c>
      <c r="I238" s="15" t="str">
        <f aca="false">IF($A238="","",IF(거래처목록!$D235="",0,거래처목록!$D235))</f>
        <v/>
      </c>
    </row>
    <row r="239" customFormat="false" ht="15" hidden="false" customHeight="true" outlineLevel="0" collapsed="false">
      <c r="A239" s="19" t="str">
        <f aca="false">IF(거래처목록!$A236="","",거래처목록!$A236)</f>
        <v/>
      </c>
      <c r="B239" s="19" t="str">
        <f aca="false">IF($A239="","",거래처목록!$B236)</f>
        <v/>
      </c>
      <c r="C239" s="15" t="str">
        <f aca="false">IF($A239="","",SUMIFS(매출내역!$F$3:$F$3002,매출내역!$B$3:$B$3002,$A239))</f>
        <v/>
      </c>
      <c r="D239" s="15" t="str">
        <f aca="false">IF($A239="","",SUMIFS(매출내역!$H$3:$H$3002,매출내역!$B$3:$B$3002,$A239))</f>
        <v/>
      </c>
      <c r="E239" s="15" t="str">
        <f aca="false">IF($A239="","",$C239-$D239)</f>
        <v/>
      </c>
      <c r="F239" s="20" t="str">
        <f aca="false">IF($A239="","",COUNTIFS(매출내역!$B$3:$B$3002,$A239,매출내역!$I$3:$I$3002,"&gt;0"))</f>
        <v/>
      </c>
      <c r="G239" s="21" t="str">
        <f aca="true">IF($A239="","",IF($F239=0,0,TODAY()-_xlfn.MINIFS(매출내역!$A$3:$A$3002,매출내역!$B$3:$B$3002,$A239,매출내역!$I$3:$I$3002,"&gt;0")))</f>
        <v/>
      </c>
      <c r="H239" s="20" t="str">
        <f aca="false">IF($A239="","",IF($I239=0,"한도미설정",IF($E239&gt;$I239,"한도초과","정상")))</f>
        <v/>
      </c>
      <c r="I239" s="15" t="str">
        <f aca="false">IF($A239="","",IF(거래처목록!$D236="",0,거래처목록!$D236))</f>
        <v/>
      </c>
    </row>
    <row r="240" customFormat="false" ht="15" hidden="false" customHeight="true" outlineLevel="0" collapsed="false">
      <c r="A240" s="19" t="str">
        <f aca="false">IF(거래처목록!$A237="","",거래처목록!$A237)</f>
        <v/>
      </c>
      <c r="B240" s="19" t="str">
        <f aca="false">IF($A240="","",거래처목록!$B237)</f>
        <v/>
      </c>
      <c r="C240" s="15" t="str">
        <f aca="false">IF($A240="","",SUMIFS(매출내역!$F$3:$F$3002,매출내역!$B$3:$B$3002,$A240))</f>
        <v/>
      </c>
      <c r="D240" s="15" t="str">
        <f aca="false">IF($A240="","",SUMIFS(매출내역!$H$3:$H$3002,매출내역!$B$3:$B$3002,$A240))</f>
        <v/>
      </c>
      <c r="E240" s="15" t="str">
        <f aca="false">IF($A240="","",$C240-$D240)</f>
        <v/>
      </c>
      <c r="F240" s="20" t="str">
        <f aca="false">IF($A240="","",COUNTIFS(매출내역!$B$3:$B$3002,$A240,매출내역!$I$3:$I$3002,"&gt;0"))</f>
        <v/>
      </c>
      <c r="G240" s="21" t="str">
        <f aca="true">IF($A240="","",IF($F240=0,0,TODAY()-_xlfn.MINIFS(매출내역!$A$3:$A$3002,매출내역!$B$3:$B$3002,$A240,매출내역!$I$3:$I$3002,"&gt;0")))</f>
        <v/>
      </c>
      <c r="H240" s="20" t="str">
        <f aca="false">IF($A240="","",IF($I240=0,"한도미설정",IF($E240&gt;$I240,"한도초과","정상")))</f>
        <v/>
      </c>
      <c r="I240" s="15" t="str">
        <f aca="false">IF($A240="","",IF(거래처목록!$D237="",0,거래처목록!$D237))</f>
        <v/>
      </c>
    </row>
    <row r="241" customFormat="false" ht="15" hidden="false" customHeight="true" outlineLevel="0" collapsed="false">
      <c r="A241" s="19" t="str">
        <f aca="false">IF(거래처목록!$A238="","",거래처목록!$A238)</f>
        <v/>
      </c>
      <c r="B241" s="19" t="str">
        <f aca="false">IF($A241="","",거래처목록!$B238)</f>
        <v/>
      </c>
      <c r="C241" s="15" t="str">
        <f aca="false">IF($A241="","",SUMIFS(매출내역!$F$3:$F$3002,매출내역!$B$3:$B$3002,$A241))</f>
        <v/>
      </c>
      <c r="D241" s="15" t="str">
        <f aca="false">IF($A241="","",SUMIFS(매출내역!$H$3:$H$3002,매출내역!$B$3:$B$3002,$A241))</f>
        <v/>
      </c>
      <c r="E241" s="15" t="str">
        <f aca="false">IF($A241="","",$C241-$D241)</f>
        <v/>
      </c>
      <c r="F241" s="20" t="str">
        <f aca="false">IF($A241="","",COUNTIFS(매출내역!$B$3:$B$3002,$A241,매출내역!$I$3:$I$3002,"&gt;0"))</f>
        <v/>
      </c>
      <c r="G241" s="21" t="str">
        <f aca="true">IF($A241="","",IF($F241=0,0,TODAY()-_xlfn.MINIFS(매출내역!$A$3:$A$3002,매출내역!$B$3:$B$3002,$A241,매출내역!$I$3:$I$3002,"&gt;0")))</f>
        <v/>
      </c>
      <c r="H241" s="20" t="str">
        <f aca="false">IF($A241="","",IF($I241=0,"한도미설정",IF($E241&gt;$I241,"한도초과","정상")))</f>
        <v/>
      </c>
      <c r="I241" s="15" t="str">
        <f aca="false">IF($A241="","",IF(거래처목록!$D238="",0,거래처목록!$D238))</f>
        <v/>
      </c>
    </row>
    <row r="242" customFormat="false" ht="15" hidden="false" customHeight="true" outlineLevel="0" collapsed="false">
      <c r="A242" s="19" t="str">
        <f aca="false">IF(거래처목록!$A239="","",거래처목록!$A239)</f>
        <v/>
      </c>
      <c r="B242" s="19" t="str">
        <f aca="false">IF($A242="","",거래처목록!$B239)</f>
        <v/>
      </c>
      <c r="C242" s="15" t="str">
        <f aca="false">IF($A242="","",SUMIFS(매출내역!$F$3:$F$3002,매출내역!$B$3:$B$3002,$A242))</f>
        <v/>
      </c>
      <c r="D242" s="15" t="str">
        <f aca="false">IF($A242="","",SUMIFS(매출내역!$H$3:$H$3002,매출내역!$B$3:$B$3002,$A242))</f>
        <v/>
      </c>
      <c r="E242" s="15" t="str">
        <f aca="false">IF($A242="","",$C242-$D242)</f>
        <v/>
      </c>
      <c r="F242" s="20" t="str">
        <f aca="false">IF($A242="","",COUNTIFS(매출내역!$B$3:$B$3002,$A242,매출내역!$I$3:$I$3002,"&gt;0"))</f>
        <v/>
      </c>
      <c r="G242" s="21" t="str">
        <f aca="true">IF($A242="","",IF($F242=0,0,TODAY()-_xlfn.MINIFS(매출내역!$A$3:$A$3002,매출내역!$B$3:$B$3002,$A242,매출내역!$I$3:$I$3002,"&gt;0")))</f>
        <v/>
      </c>
      <c r="H242" s="20" t="str">
        <f aca="false">IF($A242="","",IF($I242=0,"한도미설정",IF($E242&gt;$I242,"한도초과","정상")))</f>
        <v/>
      </c>
      <c r="I242" s="15" t="str">
        <f aca="false">IF($A242="","",IF(거래처목록!$D239="",0,거래처목록!$D239))</f>
        <v/>
      </c>
    </row>
    <row r="243" customFormat="false" ht="15" hidden="false" customHeight="true" outlineLevel="0" collapsed="false">
      <c r="A243" s="19" t="str">
        <f aca="false">IF(거래처목록!$A240="","",거래처목록!$A240)</f>
        <v/>
      </c>
      <c r="B243" s="19" t="str">
        <f aca="false">IF($A243="","",거래처목록!$B240)</f>
        <v/>
      </c>
      <c r="C243" s="15" t="str">
        <f aca="false">IF($A243="","",SUMIFS(매출내역!$F$3:$F$3002,매출내역!$B$3:$B$3002,$A243))</f>
        <v/>
      </c>
      <c r="D243" s="15" t="str">
        <f aca="false">IF($A243="","",SUMIFS(매출내역!$H$3:$H$3002,매출내역!$B$3:$B$3002,$A243))</f>
        <v/>
      </c>
      <c r="E243" s="15" t="str">
        <f aca="false">IF($A243="","",$C243-$D243)</f>
        <v/>
      </c>
      <c r="F243" s="20" t="str">
        <f aca="false">IF($A243="","",COUNTIFS(매출내역!$B$3:$B$3002,$A243,매출내역!$I$3:$I$3002,"&gt;0"))</f>
        <v/>
      </c>
      <c r="G243" s="21" t="str">
        <f aca="true">IF($A243="","",IF($F243=0,0,TODAY()-_xlfn.MINIFS(매출내역!$A$3:$A$3002,매출내역!$B$3:$B$3002,$A243,매출내역!$I$3:$I$3002,"&gt;0")))</f>
        <v/>
      </c>
      <c r="H243" s="20" t="str">
        <f aca="false">IF($A243="","",IF($I243=0,"한도미설정",IF($E243&gt;$I243,"한도초과","정상")))</f>
        <v/>
      </c>
      <c r="I243" s="15" t="str">
        <f aca="false">IF($A243="","",IF(거래처목록!$D240="",0,거래처목록!$D240))</f>
        <v/>
      </c>
    </row>
    <row r="244" customFormat="false" ht="15" hidden="false" customHeight="true" outlineLevel="0" collapsed="false">
      <c r="A244" s="19" t="str">
        <f aca="false">IF(거래처목록!$A241="","",거래처목록!$A241)</f>
        <v/>
      </c>
      <c r="B244" s="19" t="str">
        <f aca="false">IF($A244="","",거래처목록!$B241)</f>
        <v/>
      </c>
      <c r="C244" s="15" t="str">
        <f aca="false">IF($A244="","",SUMIFS(매출내역!$F$3:$F$3002,매출내역!$B$3:$B$3002,$A244))</f>
        <v/>
      </c>
      <c r="D244" s="15" t="str">
        <f aca="false">IF($A244="","",SUMIFS(매출내역!$H$3:$H$3002,매출내역!$B$3:$B$3002,$A244))</f>
        <v/>
      </c>
      <c r="E244" s="15" t="str">
        <f aca="false">IF($A244="","",$C244-$D244)</f>
        <v/>
      </c>
      <c r="F244" s="20" t="str">
        <f aca="false">IF($A244="","",COUNTIFS(매출내역!$B$3:$B$3002,$A244,매출내역!$I$3:$I$3002,"&gt;0"))</f>
        <v/>
      </c>
      <c r="G244" s="21" t="str">
        <f aca="true">IF($A244="","",IF($F244=0,0,TODAY()-_xlfn.MINIFS(매출내역!$A$3:$A$3002,매출내역!$B$3:$B$3002,$A244,매출내역!$I$3:$I$3002,"&gt;0")))</f>
        <v/>
      </c>
      <c r="H244" s="20" t="str">
        <f aca="false">IF($A244="","",IF($I244=0,"한도미설정",IF($E244&gt;$I244,"한도초과","정상")))</f>
        <v/>
      </c>
      <c r="I244" s="15" t="str">
        <f aca="false">IF($A244="","",IF(거래처목록!$D241="",0,거래처목록!$D241))</f>
        <v/>
      </c>
    </row>
    <row r="245" customFormat="false" ht="15" hidden="false" customHeight="true" outlineLevel="0" collapsed="false">
      <c r="A245" s="19" t="str">
        <f aca="false">IF(거래처목록!$A242="","",거래처목록!$A242)</f>
        <v/>
      </c>
      <c r="B245" s="19" t="str">
        <f aca="false">IF($A245="","",거래처목록!$B242)</f>
        <v/>
      </c>
      <c r="C245" s="15" t="str">
        <f aca="false">IF($A245="","",SUMIFS(매출내역!$F$3:$F$3002,매출내역!$B$3:$B$3002,$A245))</f>
        <v/>
      </c>
      <c r="D245" s="15" t="str">
        <f aca="false">IF($A245="","",SUMIFS(매출내역!$H$3:$H$3002,매출내역!$B$3:$B$3002,$A245))</f>
        <v/>
      </c>
      <c r="E245" s="15" t="str">
        <f aca="false">IF($A245="","",$C245-$D245)</f>
        <v/>
      </c>
      <c r="F245" s="20" t="str">
        <f aca="false">IF($A245="","",COUNTIFS(매출내역!$B$3:$B$3002,$A245,매출내역!$I$3:$I$3002,"&gt;0"))</f>
        <v/>
      </c>
      <c r="G245" s="21" t="str">
        <f aca="true">IF($A245="","",IF($F245=0,0,TODAY()-_xlfn.MINIFS(매출내역!$A$3:$A$3002,매출내역!$B$3:$B$3002,$A245,매출내역!$I$3:$I$3002,"&gt;0")))</f>
        <v/>
      </c>
      <c r="H245" s="20" t="str">
        <f aca="false">IF($A245="","",IF($I245=0,"한도미설정",IF($E245&gt;$I245,"한도초과","정상")))</f>
        <v/>
      </c>
      <c r="I245" s="15" t="str">
        <f aca="false">IF($A245="","",IF(거래처목록!$D242="",0,거래처목록!$D242))</f>
        <v/>
      </c>
    </row>
    <row r="246" customFormat="false" ht="15" hidden="false" customHeight="true" outlineLevel="0" collapsed="false">
      <c r="A246" s="19" t="str">
        <f aca="false">IF(거래처목록!$A243="","",거래처목록!$A243)</f>
        <v/>
      </c>
      <c r="B246" s="19" t="str">
        <f aca="false">IF($A246="","",거래처목록!$B243)</f>
        <v/>
      </c>
      <c r="C246" s="15" t="str">
        <f aca="false">IF($A246="","",SUMIFS(매출내역!$F$3:$F$3002,매출내역!$B$3:$B$3002,$A246))</f>
        <v/>
      </c>
      <c r="D246" s="15" t="str">
        <f aca="false">IF($A246="","",SUMIFS(매출내역!$H$3:$H$3002,매출내역!$B$3:$B$3002,$A246))</f>
        <v/>
      </c>
      <c r="E246" s="15" t="str">
        <f aca="false">IF($A246="","",$C246-$D246)</f>
        <v/>
      </c>
      <c r="F246" s="20" t="str">
        <f aca="false">IF($A246="","",COUNTIFS(매출내역!$B$3:$B$3002,$A246,매출내역!$I$3:$I$3002,"&gt;0"))</f>
        <v/>
      </c>
      <c r="G246" s="21" t="str">
        <f aca="true">IF($A246="","",IF($F246=0,0,TODAY()-_xlfn.MINIFS(매출내역!$A$3:$A$3002,매출내역!$B$3:$B$3002,$A246,매출내역!$I$3:$I$3002,"&gt;0")))</f>
        <v/>
      </c>
      <c r="H246" s="20" t="str">
        <f aca="false">IF($A246="","",IF($I246=0,"한도미설정",IF($E246&gt;$I246,"한도초과","정상")))</f>
        <v/>
      </c>
      <c r="I246" s="15" t="str">
        <f aca="false">IF($A246="","",IF(거래처목록!$D243="",0,거래처목록!$D243))</f>
        <v/>
      </c>
    </row>
    <row r="247" customFormat="false" ht="15" hidden="false" customHeight="true" outlineLevel="0" collapsed="false">
      <c r="A247" s="19" t="str">
        <f aca="false">IF(거래처목록!$A244="","",거래처목록!$A244)</f>
        <v/>
      </c>
      <c r="B247" s="19" t="str">
        <f aca="false">IF($A247="","",거래처목록!$B244)</f>
        <v/>
      </c>
      <c r="C247" s="15" t="str">
        <f aca="false">IF($A247="","",SUMIFS(매출내역!$F$3:$F$3002,매출내역!$B$3:$B$3002,$A247))</f>
        <v/>
      </c>
      <c r="D247" s="15" t="str">
        <f aca="false">IF($A247="","",SUMIFS(매출내역!$H$3:$H$3002,매출내역!$B$3:$B$3002,$A247))</f>
        <v/>
      </c>
      <c r="E247" s="15" t="str">
        <f aca="false">IF($A247="","",$C247-$D247)</f>
        <v/>
      </c>
      <c r="F247" s="20" t="str">
        <f aca="false">IF($A247="","",COUNTIFS(매출내역!$B$3:$B$3002,$A247,매출내역!$I$3:$I$3002,"&gt;0"))</f>
        <v/>
      </c>
      <c r="G247" s="21" t="str">
        <f aca="true">IF($A247="","",IF($F247=0,0,TODAY()-_xlfn.MINIFS(매출내역!$A$3:$A$3002,매출내역!$B$3:$B$3002,$A247,매출내역!$I$3:$I$3002,"&gt;0")))</f>
        <v/>
      </c>
      <c r="H247" s="20" t="str">
        <f aca="false">IF($A247="","",IF($I247=0,"한도미설정",IF($E247&gt;$I247,"한도초과","정상")))</f>
        <v/>
      </c>
      <c r="I247" s="15" t="str">
        <f aca="false">IF($A247="","",IF(거래처목록!$D244="",0,거래처목록!$D244))</f>
        <v/>
      </c>
    </row>
    <row r="248" customFormat="false" ht="15" hidden="false" customHeight="true" outlineLevel="0" collapsed="false">
      <c r="A248" s="19" t="str">
        <f aca="false">IF(거래처목록!$A245="","",거래처목록!$A245)</f>
        <v/>
      </c>
      <c r="B248" s="19" t="str">
        <f aca="false">IF($A248="","",거래처목록!$B245)</f>
        <v/>
      </c>
      <c r="C248" s="15" t="str">
        <f aca="false">IF($A248="","",SUMIFS(매출내역!$F$3:$F$3002,매출내역!$B$3:$B$3002,$A248))</f>
        <v/>
      </c>
      <c r="D248" s="15" t="str">
        <f aca="false">IF($A248="","",SUMIFS(매출내역!$H$3:$H$3002,매출내역!$B$3:$B$3002,$A248))</f>
        <v/>
      </c>
      <c r="E248" s="15" t="str">
        <f aca="false">IF($A248="","",$C248-$D248)</f>
        <v/>
      </c>
      <c r="F248" s="20" t="str">
        <f aca="false">IF($A248="","",COUNTIFS(매출내역!$B$3:$B$3002,$A248,매출내역!$I$3:$I$3002,"&gt;0"))</f>
        <v/>
      </c>
      <c r="G248" s="21" t="str">
        <f aca="true">IF($A248="","",IF($F248=0,0,TODAY()-_xlfn.MINIFS(매출내역!$A$3:$A$3002,매출내역!$B$3:$B$3002,$A248,매출내역!$I$3:$I$3002,"&gt;0")))</f>
        <v/>
      </c>
      <c r="H248" s="20" t="str">
        <f aca="false">IF($A248="","",IF($I248=0,"한도미설정",IF($E248&gt;$I248,"한도초과","정상")))</f>
        <v/>
      </c>
      <c r="I248" s="15" t="str">
        <f aca="false">IF($A248="","",IF(거래처목록!$D245="",0,거래처목록!$D245))</f>
        <v/>
      </c>
    </row>
    <row r="249" customFormat="false" ht="15" hidden="false" customHeight="true" outlineLevel="0" collapsed="false">
      <c r="A249" s="19" t="str">
        <f aca="false">IF(거래처목록!$A246="","",거래처목록!$A246)</f>
        <v/>
      </c>
      <c r="B249" s="19" t="str">
        <f aca="false">IF($A249="","",거래처목록!$B246)</f>
        <v/>
      </c>
      <c r="C249" s="15" t="str">
        <f aca="false">IF($A249="","",SUMIFS(매출내역!$F$3:$F$3002,매출내역!$B$3:$B$3002,$A249))</f>
        <v/>
      </c>
      <c r="D249" s="15" t="str">
        <f aca="false">IF($A249="","",SUMIFS(매출내역!$H$3:$H$3002,매출내역!$B$3:$B$3002,$A249))</f>
        <v/>
      </c>
      <c r="E249" s="15" t="str">
        <f aca="false">IF($A249="","",$C249-$D249)</f>
        <v/>
      </c>
      <c r="F249" s="20" t="str">
        <f aca="false">IF($A249="","",COUNTIFS(매출내역!$B$3:$B$3002,$A249,매출내역!$I$3:$I$3002,"&gt;0"))</f>
        <v/>
      </c>
      <c r="G249" s="21" t="str">
        <f aca="true">IF($A249="","",IF($F249=0,0,TODAY()-_xlfn.MINIFS(매출내역!$A$3:$A$3002,매출내역!$B$3:$B$3002,$A249,매출내역!$I$3:$I$3002,"&gt;0")))</f>
        <v/>
      </c>
      <c r="H249" s="20" t="str">
        <f aca="false">IF($A249="","",IF($I249=0,"한도미설정",IF($E249&gt;$I249,"한도초과","정상")))</f>
        <v/>
      </c>
      <c r="I249" s="15" t="str">
        <f aca="false">IF($A249="","",IF(거래처목록!$D246="",0,거래처목록!$D246))</f>
        <v/>
      </c>
    </row>
    <row r="250" customFormat="false" ht="15" hidden="false" customHeight="true" outlineLevel="0" collapsed="false">
      <c r="A250" s="19" t="str">
        <f aca="false">IF(거래처목록!$A247="","",거래처목록!$A247)</f>
        <v/>
      </c>
      <c r="B250" s="19" t="str">
        <f aca="false">IF($A250="","",거래처목록!$B247)</f>
        <v/>
      </c>
      <c r="C250" s="15" t="str">
        <f aca="false">IF($A250="","",SUMIFS(매출내역!$F$3:$F$3002,매출내역!$B$3:$B$3002,$A250))</f>
        <v/>
      </c>
      <c r="D250" s="15" t="str">
        <f aca="false">IF($A250="","",SUMIFS(매출내역!$H$3:$H$3002,매출내역!$B$3:$B$3002,$A250))</f>
        <v/>
      </c>
      <c r="E250" s="15" t="str">
        <f aca="false">IF($A250="","",$C250-$D250)</f>
        <v/>
      </c>
      <c r="F250" s="20" t="str">
        <f aca="false">IF($A250="","",COUNTIFS(매출내역!$B$3:$B$3002,$A250,매출내역!$I$3:$I$3002,"&gt;0"))</f>
        <v/>
      </c>
      <c r="G250" s="21" t="str">
        <f aca="true">IF($A250="","",IF($F250=0,0,TODAY()-_xlfn.MINIFS(매출내역!$A$3:$A$3002,매출내역!$B$3:$B$3002,$A250,매출내역!$I$3:$I$3002,"&gt;0")))</f>
        <v/>
      </c>
      <c r="H250" s="20" t="str">
        <f aca="false">IF($A250="","",IF($I250=0,"한도미설정",IF($E250&gt;$I250,"한도초과","정상")))</f>
        <v/>
      </c>
      <c r="I250" s="15" t="str">
        <f aca="false">IF($A250="","",IF(거래처목록!$D247="",0,거래처목록!$D247))</f>
        <v/>
      </c>
    </row>
    <row r="251" customFormat="false" ht="15" hidden="false" customHeight="true" outlineLevel="0" collapsed="false">
      <c r="A251" s="19" t="str">
        <f aca="false">IF(거래처목록!$A248="","",거래처목록!$A248)</f>
        <v/>
      </c>
      <c r="B251" s="19" t="str">
        <f aca="false">IF($A251="","",거래처목록!$B248)</f>
        <v/>
      </c>
      <c r="C251" s="15" t="str">
        <f aca="false">IF($A251="","",SUMIFS(매출내역!$F$3:$F$3002,매출내역!$B$3:$B$3002,$A251))</f>
        <v/>
      </c>
      <c r="D251" s="15" t="str">
        <f aca="false">IF($A251="","",SUMIFS(매출내역!$H$3:$H$3002,매출내역!$B$3:$B$3002,$A251))</f>
        <v/>
      </c>
      <c r="E251" s="15" t="str">
        <f aca="false">IF($A251="","",$C251-$D251)</f>
        <v/>
      </c>
      <c r="F251" s="20" t="str">
        <f aca="false">IF($A251="","",COUNTIFS(매출내역!$B$3:$B$3002,$A251,매출내역!$I$3:$I$3002,"&gt;0"))</f>
        <v/>
      </c>
      <c r="G251" s="21" t="str">
        <f aca="true">IF($A251="","",IF($F251=0,0,TODAY()-_xlfn.MINIFS(매출내역!$A$3:$A$3002,매출내역!$B$3:$B$3002,$A251,매출내역!$I$3:$I$3002,"&gt;0")))</f>
        <v/>
      </c>
      <c r="H251" s="20" t="str">
        <f aca="false">IF($A251="","",IF($I251=0,"한도미설정",IF($E251&gt;$I251,"한도초과","정상")))</f>
        <v/>
      </c>
      <c r="I251" s="15" t="str">
        <f aca="false">IF($A251="","",IF(거래처목록!$D248="",0,거래처목록!$D248))</f>
        <v/>
      </c>
    </row>
    <row r="252" customFormat="false" ht="15" hidden="false" customHeight="true" outlineLevel="0" collapsed="false">
      <c r="A252" s="19" t="str">
        <f aca="false">IF(거래처목록!$A249="","",거래처목록!$A249)</f>
        <v/>
      </c>
      <c r="B252" s="19" t="str">
        <f aca="false">IF($A252="","",거래처목록!$B249)</f>
        <v/>
      </c>
      <c r="C252" s="15" t="str">
        <f aca="false">IF($A252="","",SUMIFS(매출내역!$F$3:$F$3002,매출내역!$B$3:$B$3002,$A252))</f>
        <v/>
      </c>
      <c r="D252" s="15" t="str">
        <f aca="false">IF($A252="","",SUMIFS(매출내역!$H$3:$H$3002,매출내역!$B$3:$B$3002,$A252))</f>
        <v/>
      </c>
      <c r="E252" s="15" t="str">
        <f aca="false">IF($A252="","",$C252-$D252)</f>
        <v/>
      </c>
      <c r="F252" s="20" t="str">
        <f aca="false">IF($A252="","",COUNTIFS(매출내역!$B$3:$B$3002,$A252,매출내역!$I$3:$I$3002,"&gt;0"))</f>
        <v/>
      </c>
      <c r="G252" s="21" t="str">
        <f aca="true">IF($A252="","",IF($F252=0,0,TODAY()-_xlfn.MINIFS(매출내역!$A$3:$A$3002,매출내역!$B$3:$B$3002,$A252,매출내역!$I$3:$I$3002,"&gt;0")))</f>
        <v/>
      </c>
      <c r="H252" s="20" t="str">
        <f aca="false">IF($A252="","",IF($I252=0,"한도미설정",IF($E252&gt;$I252,"한도초과","정상")))</f>
        <v/>
      </c>
      <c r="I252" s="15" t="str">
        <f aca="false">IF($A252="","",IF(거래처목록!$D249="",0,거래처목록!$D249))</f>
        <v/>
      </c>
    </row>
    <row r="253" customFormat="false" ht="15" hidden="false" customHeight="true" outlineLevel="0" collapsed="false">
      <c r="A253" s="19" t="str">
        <f aca="false">IF(거래처목록!$A250="","",거래처목록!$A250)</f>
        <v/>
      </c>
      <c r="B253" s="19" t="str">
        <f aca="false">IF($A253="","",거래처목록!$B250)</f>
        <v/>
      </c>
      <c r="C253" s="15" t="str">
        <f aca="false">IF($A253="","",SUMIFS(매출내역!$F$3:$F$3002,매출내역!$B$3:$B$3002,$A253))</f>
        <v/>
      </c>
      <c r="D253" s="15" t="str">
        <f aca="false">IF($A253="","",SUMIFS(매출내역!$H$3:$H$3002,매출내역!$B$3:$B$3002,$A253))</f>
        <v/>
      </c>
      <c r="E253" s="15" t="str">
        <f aca="false">IF($A253="","",$C253-$D253)</f>
        <v/>
      </c>
      <c r="F253" s="20" t="str">
        <f aca="false">IF($A253="","",COUNTIFS(매출내역!$B$3:$B$3002,$A253,매출내역!$I$3:$I$3002,"&gt;0"))</f>
        <v/>
      </c>
      <c r="G253" s="21" t="str">
        <f aca="true">IF($A253="","",IF($F253=0,0,TODAY()-_xlfn.MINIFS(매출내역!$A$3:$A$3002,매출내역!$B$3:$B$3002,$A253,매출내역!$I$3:$I$3002,"&gt;0")))</f>
        <v/>
      </c>
      <c r="H253" s="20" t="str">
        <f aca="false">IF($A253="","",IF($I253=0,"한도미설정",IF($E253&gt;$I253,"한도초과","정상")))</f>
        <v/>
      </c>
      <c r="I253" s="15" t="str">
        <f aca="false">IF($A253="","",IF(거래처목록!$D250="",0,거래처목록!$D250))</f>
        <v/>
      </c>
    </row>
    <row r="254" customFormat="false" ht="15" hidden="false" customHeight="true" outlineLevel="0" collapsed="false">
      <c r="A254" s="19" t="str">
        <f aca="false">IF(거래처목록!$A251="","",거래처목록!$A251)</f>
        <v/>
      </c>
      <c r="B254" s="19" t="str">
        <f aca="false">IF($A254="","",거래처목록!$B251)</f>
        <v/>
      </c>
      <c r="C254" s="15" t="str">
        <f aca="false">IF($A254="","",SUMIFS(매출내역!$F$3:$F$3002,매출내역!$B$3:$B$3002,$A254))</f>
        <v/>
      </c>
      <c r="D254" s="15" t="str">
        <f aca="false">IF($A254="","",SUMIFS(매출내역!$H$3:$H$3002,매출내역!$B$3:$B$3002,$A254))</f>
        <v/>
      </c>
      <c r="E254" s="15" t="str">
        <f aca="false">IF($A254="","",$C254-$D254)</f>
        <v/>
      </c>
      <c r="F254" s="20" t="str">
        <f aca="false">IF($A254="","",COUNTIFS(매출내역!$B$3:$B$3002,$A254,매출내역!$I$3:$I$3002,"&gt;0"))</f>
        <v/>
      </c>
      <c r="G254" s="21" t="str">
        <f aca="true">IF($A254="","",IF($F254=0,0,TODAY()-_xlfn.MINIFS(매출내역!$A$3:$A$3002,매출내역!$B$3:$B$3002,$A254,매출내역!$I$3:$I$3002,"&gt;0")))</f>
        <v/>
      </c>
      <c r="H254" s="20" t="str">
        <f aca="false">IF($A254="","",IF($I254=0,"한도미설정",IF($E254&gt;$I254,"한도초과","정상")))</f>
        <v/>
      </c>
      <c r="I254" s="15" t="str">
        <f aca="false">IF($A254="","",IF(거래처목록!$D251="",0,거래처목록!$D251))</f>
        <v/>
      </c>
    </row>
    <row r="255" customFormat="false" ht="15" hidden="false" customHeight="true" outlineLevel="0" collapsed="false">
      <c r="A255" s="19" t="str">
        <f aca="false">IF(거래처목록!$A252="","",거래처목록!$A252)</f>
        <v/>
      </c>
      <c r="B255" s="19" t="str">
        <f aca="false">IF($A255="","",거래처목록!$B252)</f>
        <v/>
      </c>
      <c r="C255" s="15" t="str">
        <f aca="false">IF($A255="","",SUMIFS(매출내역!$F$3:$F$3002,매출내역!$B$3:$B$3002,$A255))</f>
        <v/>
      </c>
      <c r="D255" s="15" t="str">
        <f aca="false">IF($A255="","",SUMIFS(매출내역!$H$3:$H$3002,매출내역!$B$3:$B$3002,$A255))</f>
        <v/>
      </c>
      <c r="E255" s="15" t="str">
        <f aca="false">IF($A255="","",$C255-$D255)</f>
        <v/>
      </c>
      <c r="F255" s="20" t="str">
        <f aca="false">IF($A255="","",COUNTIFS(매출내역!$B$3:$B$3002,$A255,매출내역!$I$3:$I$3002,"&gt;0"))</f>
        <v/>
      </c>
      <c r="G255" s="21" t="str">
        <f aca="true">IF($A255="","",IF($F255=0,0,TODAY()-_xlfn.MINIFS(매출내역!$A$3:$A$3002,매출내역!$B$3:$B$3002,$A255,매출내역!$I$3:$I$3002,"&gt;0")))</f>
        <v/>
      </c>
      <c r="H255" s="20" t="str">
        <f aca="false">IF($A255="","",IF($I255=0,"한도미설정",IF($E255&gt;$I255,"한도초과","정상")))</f>
        <v/>
      </c>
      <c r="I255" s="15" t="str">
        <f aca="false">IF($A255="","",IF(거래처목록!$D252="",0,거래처목록!$D252))</f>
        <v/>
      </c>
    </row>
    <row r="256" customFormat="false" ht="15" hidden="false" customHeight="true" outlineLevel="0" collapsed="false">
      <c r="A256" s="19" t="str">
        <f aca="false">IF(거래처목록!$A253="","",거래처목록!$A253)</f>
        <v/>
      </c>
      <c r="B256" s="19" t="str">
        <f aca="false">IF($A256="","",거래처목록!$B253)</f>
        <v/>
      </c>
      <c r="C256" s="15" t="str">
        <f aca="false">IF($A256="","",SUMIFS(매출내역!$F$3:$F$3002,매출내역!$B$3:$B$3002,$A256))</f>
        <v/>
      </c>
      <c r="D256" s="15" t="str">
        <f aca="false">IF($A256="","",SUMIFS(매출내역!$H$3:$H$3002,매출내역!$B$3:$B$3002,$A256))</f>
        <v/>
      </c>
      <c r="E256" s="15" t="str">
        <f aca="false">IF($A256="","",$C256-$D256)</f>
        <v/>
      </c>
      <c r="F256" s="20" t="str">
        <f aca="false">IF($A256="","",COUNTIFS(매출내역!$B$3:$B$3002,$A256,매출내역!$I$3:$I$3002,"&gt;0"))</f>
        <v/>
      </c>
      <c r="G256" s="21" t="str">
        <f aca="true">IF($A256="","",IF($F256=0,0,TODAY()-_xlfn.MINIFS(매출내역!$A$3:$A$3002,매출내역!$B$3:$B$3002,$A256,매출내역!$I$3:$I$3002,"&gt;0")))</f>
        <v/>
      </c>
      <c r="H256" s="20" t="str">
        <f aca="false">IF($A256="","",IF($I256=0,"한도미설정",IF($E256&gt;$I256,"한도초과","정상")))</f>
        <v/>
      </c>
      <c r="I256" s="15" t="str">
        <f aca="false">IF($A256="","",IF(거래처목록!$D253="",0,거래처목록!$D253))</f>
        <v/>
      </c>
    </row>
    <row r="257" customFormat="false" ht="15" hidden="false" customHeight="true" outlineLevel="0" collapsed="false">
      <c r="A257" s="19" t="str">
        <f aca="false">IF(거래처목록!$A254="","",거래처목록!$A254)</f>
        <v/>
      </c>
      <c r="B257" s="19" t="str">
        <f aca="false">IF($A257="","",거래처목록!$B254)</f>
        <v/>
      </c>
      <c r="C257" s="15" t="str">
        <f aca="false">IF($A257="","",SUMIFS(매출내역!$F$3:$F$3002,매출내역!$B$3:$B$3002,$A257))</f>
        <v/>
      </c>
      <c r="D257" s="15" t="str">
        <f aca="false">IF($A257="","",SUMIFS(매출내역!$H$3:$H$3002,매출내역!$B$3:$B$3002,$A257))</f>
        <v/>
      </c>
      <c r="E257" s="15" t="str">
        <f aca="false">IF($A257="","",$C257-$D257)</f>
        <v/>
      </c>
      <c r="F257" s="20" t="str">
        <f aca="false">IF($A257="","",COUNTIFS(매출내역!$B$3:$B$3002,$A257,매출내역!$I$3:$I$3002,"&gt;0"))</f>
        <v/>
      </c>
      <c r="G257" s="21" t="str">
        <f aca="true">IF($A257="","",IF($F257=0,0,TODAY()-_xlfn.MINIFS(매출내역!$A$3:$A$3002,매출내역!$B$3:$B$3002,$A257,매출내역!$I$3:$I$3002,"&gt;0")))</f>
        <v/>
      </c>
      <c r="H257" s="20" t="str">
        <f aca="false">IF($A257="","",IF($I257=0,"한도미설정",IF($E257&gt;$I257,"한도초과","정상")))</f>
        <v/>
      </c>
      <c r="I257" s="15" t="str">
        <f aca="false">IF($A257="","",IF(거래처목록!$D254="",0,거래처목록!$D254))</f>
        <v/>
      </c>
    </row>
    <row r="258" customFormat="false" ht="15" hidden="false" customHeight="true" outlineLevel="0" collapsed="false">
      <c r="A258" s="19" t="str">
        <f aca="false">IF(거래처목록!$A255="","",거래처목록!$A255)</f>
        <v/>
      </c>
      <c r="B258" s="19" t="str">
        <f aca="false">IF($A258="","",거래처목록!$B255)</f>
        <v/>
      </c>
      <c r="C258" s="15" t="str">
        <f aca="false">IF($A258="","",SUMIFS(매출내역!$F$3:$F$3002,매출내역!$B$3:$B$3002,$A258))</f>
        <v/>
      </c>
      <c r="D258" s="15" t="str">
        <f aca="false">IF($A258="","",SUMIFS(매출내역!$H$3:$H$3002,매출내역!$B$3:$B$3002,$A258))</f>
        <v/>
      </c>
      <c r="E258" s="15" t="str">
        <f aca="false">IF($A258="","",$C258-$D258)</f>
        <v/>
      </c>
      <c r="F258" s="20" t="str">
        <f aca="false">IF($A258="","",COUNTIFS(매출내역!$B$3:$B$3002,$A258,매출내역!$I$3:$I$3002,"&gt;0"))</f>
        <v/>
      </c>
      <c r="G258" s="21" t="str">
        <f aca="true">IF($A258="","",IF($F258=0,0,TODAY()-_xlfn.MINIFS(매출내역!$A$3:$A$3002,매출내역!$B$3:$B$3002,$A258,매출내역!$I$3:$I$3002,"&gt;0")))</f>
        <v/>
      </c>
      <c r="H258" s="20" t="str">
        <f aca="false">IF($A258="","",IF($I258=0,"한도미설정",IF($E258&gt;$I258,"한도초과","정상")))</f>
        <v/>
      </c>
      <c r="I258" s="15" t="str">
        <f aca="false">IF($A258="","",IF(거래처목록!$D255="",0,거래처목록!$D255))</f>
        <v/>
      </c>
    </row>
    <row r="259" customFormat="false" ht="15" hidden="false" customHeight="true" outlineLevel="0" collapsed="false">
      <c r="A259" s="19" t="str">
        <f aca="false">IF(거래처목록!$A256="","",거래처목록!$A256)</f>
        <v/>
      </c>
      <c r="B259" s="19" t="str">
        <f aca="false">IF($A259="","",거래처목록!$B256)</f>
        <v/>
      </c>
      <c r="C259" s="15" t="str">
        <f aca="false">IF($A259="","",SUMIFS(매출내역!$F$3:$F$3002,매출내역!$B$3:$B$3002,$A259))</f>
        <v/>
      </c>
      <c r="D259" s="15" t="str">
        <f aca="false">IF($A259="","",SUMIFS(매출내역!$H$3:$H$3002,매출내역!$B$3:$B$3002,$A259))</f>
        <v/>
      </c>
      <c r="E259" s="15" t="str">
        <f aca="false">IF($A259="","",$C259-$D259)</f>
        <v/>
      </c>
      <c r="F259" s="20" t="str">
        <f aca="false">IF($A259="","",COUNTIFS(매출내역!$B$3:$B$3002,$A259,매출내역!$I$3:$I$3002,"&gt;0"))</f>
        <v/>
      </c>
      <c r="G259" s="21" t="str">
        <f aca="true">IF($A259="","",IF($F259=0,0,TODAY()-_xlfn.MINIFS(매출내역!$A$3:$A$3002,매출내역!$B$3:$B$3002,$A259,매출내역!$I$3:$I$3002,"&gt;0")))</f>
        <v/>
      </c>
      <c r="H259" s="20" t="str">
        <f aca="false">IF($A259="","",IF($I259=0,"한도미설정",IF($E259&gt;$I259,"한도초과","정상")))</f>
        <v/>
      </c>
      <c r="I259" s="15" t="str">
        <f aca="false">IF($A259="","",IF(거래처목록!$D256="",0,거래처목록!$D256))</f>
        <v/>
      </c>
    </row>
    <row r="260" customFormat="false" ht="15" hidden="false" customHeight="true" outlineLevel="0" collapsed="false">
      <c r="A260" s="19" t="str">
        <f aca="false">IF(거래처목록!$A257="","",거래처목록!$A257)</f>
        <v/>
      </c>
      <c r="B260" s="19" t="str">
        <f aca="false">IF($A260="","",거래처목록!$B257)</f>
        <v/>
      </c>
      <c r="C260" s="15" t="str">
        <f aca="false">IF($A260="","",SUMIFS(매출내역!$F$3:$F$3002,매출내역!$B$3:$B$3002,$A260))</f>
        <v/>
      </c>
      <c r="D260" s="15" t="str">
        <f aca="false">IF($A260="","",SUMIFS(매출내역!$H$3:$H$3002,매출내역!$B$3:$B$3002,$A260))</f>
        <v/>
      </c>
      <c r="E260" s="15" t="str">
        <f aca="false">IF($A260="","",$C260-$D260)</f>
        <v/>
      </c>
      <c r="F260" s="20" t="str">
        <f aca="false">IF($A260="","",COUNTIFS(매출내역!$B$3:$B$3002,$A260,매출내역!$I$3:$I$3002,"&gt;0"))</f>
        <v/>
      </c>
      <c r="G260" s="21" t="str">
        <f aca="true">IF($A260="","",IF($F260=0,0,TODAY()-_xlfn.MINIFS(매출내역!$A$3:$A$3002,매출내역!$B$3:$B$3002,$A260,매출내역!$I$3:$I$3002,"&gt;0")))</f>
        <v/>
      </c>
      <c r="H260" s="20" t="str">
        <f aca="false">IF($A260="","",IF($I260=0,"한도미설정",IF($E260&gt;$I260,"한도초과","정상")))</f>
        <v/>
      </c>
      <c r="I260" s="15" t="str">
        <f aca="false">IF($A260="","",IF(거래처목록!$D257="",0,거래처목록!$D257))</f>
        <v/>
      </c>
    </row>
    <row r="261" customFormat="false" ht="15" hidden="false" customHeight="true" outlineLevel="0" collapsed="false">
      <c r="A261" s="19" t="str">
        <f aca="false">IF(거래처목록!$A258="","",거래처목록!$A258)</f>
        <v/>
      </c>
      <c r="B261" s="19" t="str">
        <f aca="false">IF($A261="","",거래처목록!$B258)</f>
        <v/>
      </c>
      <c r="C261" s="15" t="str">
        <f aca="false">IF($A261="","",SUMIFS(매출내역!$F$3:$F$3002,매출내역!$B$3:$B$3002,$A261))</f>
        <v/>
      </c>
      <c r="D261" s="15" t="str">
        <f aca="false">IF($A261="","",SUMIFS(매출내역!$H$3:$H$3002,매출내역!$B$3:$B$3002,$A261))</f>
        <v/>
      </c>
      <c r="E261" s="15" t="str">
        <f aca="false">IF($A261="","",$C261-$D261)</f>
        <v/>
      </c>
      <c r="F261" s="20" t="str">
        <f aca="false">IF($A261="","",COUNTIFS(매출내역!$B$3:$B$3002,$A261,매출내역!$I$3:$I$3002,"&gt;0"))</f>
        <v/>
      </c>
      <c r="G261" s="21" t="str">
        <f aca="true">IF($A261="","",IF($F261=0,0,TODAY()-_xlfn.MINIFS(매출내역!$A$3:$A$3002,매출내역!$B$3:$B$3002,$A261,매출내역!$I$3:$I$3002,"&gt;0")))</f>
        <v/>
      </c>
      <c r="H261" s="20" t="str">
        <f aca="false">IF($A261="","",IF($I261=0,"한도미설정",IF($E261&gt;$I261,"한도초과","정상")))</f>
        <v/>
      </c>
      <c r="I261" s="15" t="str">
        <f aca="false">IF($A261="","",IF(거래처목록!$D258="",0,거래처목록!$D258))</f>
        <v/>
      </c>
    </row>
    <row r="262" customFormat="false" ht="15" hidden="false" customHeight="true" outlineLevel="0" collapsed="false">
      <c r="A262" s="19" t="str">
        <f aca="false">IF(거래처목록!$A259="","",거래처목록!$A259)</f>
        <v/>
      </c>
      <c r="B262" s="19" t="str">
        <f aca="false">IF($A262="","",거래처목록!$B259)</f>
        <v/>
      </c>
      <c r="C262" s="15" t="str">
        <f aca="false">IF($A262="","",SUMIFS(매출내역!$F$3:$F$3002,매출내역!$B$3:$B$3002,$A262))</f>
        <v/>
      </c>
      <c r="D262" s="15" t="str">
        <f aca="false">IF($A262="","",SUMIFS(매출내역!$H$3:$H$3002,매출내역!$B$3:$B$3002,$A262))</f>
        <v/>
      </c>
      <c r="E262" s="15" t="str">
        <f aca="false">IF($A262="","",$C262-$D262)</f>
        <v/>
      </c>
      <c r="F262" s="20" t="str">
        <f aca="false">IF($A262="","",COUNTIFS(매출내역!$B$3:$B$3002,$A262,매출내역!$I$3:$I$3002,"&gt;0"))</f>
        <v/>
      </c>
      <c r="G262" s="21" t="str">
        <f aca="true">IF($A262="","",IF($F262=0,0,TODAY()-_xlfn.MINIFS(매출내역!$A$3:$A$3002,매출내역!$B$3:$B$3002,$A262,매출내역!$I$3:$I$3002,"&gt;0")))</f>
        <v/>
      </c>
      <c r="H262" s="20" t="str">
        <f aca="false">IF($A262="","",IF($I262=0,"한도미설정",IF($E262&gt;$I262,"한도초과","정상")))</f>
        <v/>
      </c>
      <c r="I262" s="15" t="str">
        <f aca="false">IF($A262="","",IF(거래처목록!$D259="",0,거래처목록!$D259))</f>
        <v/>
      </c>
    </row>
    <row r="263" customFormat="false" ht="15" hidden="false" customHeight="true" outlineLevel="0" collapsed="false">
      <c r="A263" s="19" t="str">
        <f aca="false">IF(거래처목록!$A260="","",거래처목록!$A260)</f>
        <v/>
      </c>
      <c r="B263" s="19" t="str">
        <f aca="false">IF($A263="","",거래처목록!$B260)</f>
        <v/>
      </c>
      <c r="C263" s="15" t="str">
        <f aca="false">IF($A263="","",SUMIFS(매출내역!$F$3:$F$3002,매출내역!$B$3:$B$3002,$A263))</f>
        <v/>
      </c>
      <c r="D263" s="15" t="str">
        <f aca="false">IF($A263="","",SUMIFS(매출내역!$H$3:$H$3002,매출내역!$B$3:$B$3002,$A263))</f>
        <v/>
      </c>
      <c r="E263" s="15" t="str">
        <f aca="false">IF($A263="","",$C263-$D263)</f>
        <v/>
      </c>
      <c r="F263" s="20" t="str">
        <f aca="false">IF($A263="","",COUNTIFS(매출내역!$B$3:$B$3002,$A263,매출내역!$I$3:$I$3002,"&gt;0"))</f>
        <v/>
      </c>
      <c r="G263" s="21" t="str">
        <f aca="true">IF($A263="","",IF($F263=0,0,TODAY()-_xlfn.MINIFS(매출내역!$A$3:$A$3002,매출내역!$B$3:$B$3002,$A263,매출내역!$I$3:$I$3002,"&gt;0")))</f>
        <v/>
      </c>
      <c r="H263" s="20" t="str">
        <f aca="false">IF($A263="","",IF($I263=0,"한도미설정",IF($E263&gt;$I263,"한도초과","정상")))</f>
        <v/>
      </c>
      <c r="I263" s="15" t="str">
        <f aca="false">IF($A263="","",IF(거래처목록!$D260="",0,거래처목록!$D260))</f>
        <v/>
      </c>
    </row>
    <row r="264" customFormat="false" ht="15" hidden="false" customHeight="true" outlineLevel="0" collapsed="false">
      <c r="A264" s="19" t="str">
        <f aca="false">IF(거래처목록!$A261="","",거래처목록!$A261)</f>
        <v/>
      </c>
      <c r="B264" s="19" t="str">
        <f aca="false">IF($A264="","",거래처목록!$B261)</f>
        <v/>
      </c>
      <c r="C264" s="15" t="str">
        <f aca="false">IF($A264="","",SUMIFS(매출내역!$F$3:$F$3002,매출내역!$B$3:$B$3002,$A264))</f>
        <v/>
      </c>
      <c r="D264" s="15" t="str">
        <f aca="false">IF($A264="","",SUMIFS(매출내역!$H$3:$H$3002,매출내역!$B$3:$B$3002,$A264))</f>
        <v/>
      </c>
      <c r="E264" s="15" t="str">
        <f aca="false">IF($A264="","",$C264-$D264)</f>
        <v/>
      </c>
      <c r="F264" s="20" t="str">
        <f aca="false">IF($A264="","",COUNTIFS(매출내역!$B$3:$B$3002,$A264,매출내역!$I$3:$I$3002,"&gt;0"))</f>
        <v/>
      </c>
      <c r="G264" s="21" t="str">
        <f aca="true">IF($A264="","",IF($F264=0,0,TODAY()-_xlfn.MINIFS(매출내역!$A$3:$A$3002,매출내역!$B$3:$B$3002,$A264,매출내역!$I$3:$I$3002,"&gt;0")))</f>
        <v/>
      </c>
      <c r="H264" s="20" t="str">
        <f aca="false">IF($A264="","",IF($I264=0,"한도미설정",IF($E264&gt;$I264,"한도초과","정상")))</f>
        <v/>
      </c>
      <c r="I264" s="15" t="str">
        <f aca="false">IF($A264="","",IF(거래처목록!$D261="",0,거래처목록!$D261))</f>
        <v/>
      </c>
    </row>
    <row r="265" customFormat="false" ht="15" hidden="false" customHeight="true" outlineLevel="0" collapsed="false">
      <c r="A265" s="19" t="str">
        <f aca="false">IF(거래처목록!$A262="","",거래처목록!$A262)</f>
        <v/>
      </c>
      <c r="B265" s="19" t="str">
        <f aca="false">IF($A265="","",거래처목록!$B262)</f>
        <v/>
      </c>
      <c r="C265" s="15" t="str">
        <f aca="false">IF($A265="","",SUMIFS(매출내역!$F$3:$F$3002,매출내역!$B$3:$B$3002,$A265))</f>
        <v/>
      </c>
      <c r="D265" s="15" t="str">
        <f aca="false">IF($A265="","",SUMIFS(매출내역!$H$3:$H$3002,매출내역!$B$3:$B$3002,$A265))</f>
        <v/>
      </c>
      <c r="E265" s="15" t="str">
        <f aca="false">IF($A265="","",$C265-$D265)</f>
        <v/>
      </c>
      <c r="F265" s="20" t="str">
        <f aca="false">IF($A265="","",COUNTIFS(매출내역!$B$3:$B$3002,$A265,매출내역!$I$3:$I$3002,"&gt;0"))</f>
        <v/>
      </c>
      <c r="G265" s="21" t="str">
        <f aca="true">IF($A265="","",IF($F265=0,0,TODAY()-_xlfn.MINIFS(매출내역!$A$3:$A$3002,매출내역!$B$3:$B$3002,$A265,매출내역!$I$3:$I$3002,"&gt;0")))</f>
        <v/>
      </c>
      <c r="H265" s="20" t="str">
        <f aca="false">IF($A265="","",IF($I265=0,"한도미설정",IF($E265&gt;$I265,"한도초과","정상")))</f>
        <v/>
      </c>
      <c r="I265" s="15" t="str">
        <f aca="false">IF($A265="","",IF(거래처목록!$D262="",0,거래처목록!$D262))</f>
        <v/>
      </c>
    </row>
    <row r="266" customFormat="false" ht="15" hidden="false" customHeight="true" outlineLevel="0" collapsed="false">
      <c r="A266" s="19" t="str">
        <f aca="false">IF(거래처목록!$A263="","",거래처목록!$A263)</f>
        <v/>
      </c>
      <c r="B266" s="19" t="str">
        <f aca="false">IF($A266="","",거래처목록!$B263)</f>
        <v/>
      </c>
      <c r="C266" s="15" t="str">
        <f aca="false">IF($A266="","",SUMIFS(매출내역!$F$3:$F$3002,매출내역!$B$3:$B$3002,$A266))</f>
        <v/>
      </c>
      <c r="D266" s="15" t="str">
        <f aca="false">IF($A266="","",SUMIFS(매출내역!$H$3:$H$3002,매출내역!$B$3:$B$3002,$A266))</f>
        <v/>
      </c>
      <c r="E266" s="15" t="str">
        <f aca="false">IF($A266="","",$C266-$D266)</f>
        <v/>
      </c>
      <c r="F266" s="20" t="str">
        <f aca="false">IF($A266="","",COUNTIFS(매출내역!$B$3:$B$3002,$A266,매출내역!$I$3:$I$3002,"&gt;0"))</f>
        <v/>
      </c>
      <c r="G266" s="21" t="str">
        <f aca="true">IF($A266="","",IF($F266=0,0,TODAY()-_xlfn.MINIFS(매출내역!$A$3:$A$3002,매출내역!$B$3:$B$3002,$A266,매출내역!$I$3:$I$3002,"&gt;0")))</f>
        <v/>
      </c>
      <c r="H266" s="20" t="str">
        <f aca="false">IF($A266="","",IF($I266=0,"한도미설정",IF($E266&gt;$I266,"한도초과","정상")))</f>
        <v/>
      </c>
      <c r="I266" s="15" t="str">
        <f aca="false">IF($A266="","",IF(거래처목록!$D263="",0,거래처목록!$D263))</f>
        <v/>
      </c>
    </row>
    <row r="267" customFormat="false" ht="15" hidden="false" customHeight="true" outlineLevel="0" collapsed="false">
      <c r="A267" s="19" t="str">
        <f aca="false">IF(거래처목록!$A264="","",거래처목록!$A264)</f>
        <v/>
      </c>
      <c r="B267" s="19" t="str">
        <f aca="false">IF($A267="","",거래처목록!$B264)</f>
        <v/>
      </c>
      <c r="C267" s="15" t="str">
        <f aca="false">IF($A267="","",SUMIFS(매출내역!$F$3:$F$3002,매출내역!$B$3:$B$3002,$A267))</f>
        <v/>
      </c>
      <c r="D267" s="15" t="str">
        <f aca="false">IF($A267="","",SUMIFS(매출내역!$H$3:$H$3002,매출내역!$B$3:$B$3002,$A267))</f>
        <v/>
      </c>
      <c r="E267" s="15" t="str">
        <f aca="false">IF($A267="","",$C267-$D267)</f>
        <v/>
      </c>
      <c r="F267" s="20" t="str">
        <f aca="false">IF($A267="","",COUNTIFS(매출내역!$B$3:$B$3002,$A267,매출내역!$I$3:$I$3002,"&gt;0"))</f>
        <v/>
      </c>
      <c r="G267" s="21" t="str">
        <f aca="true">IF($A267="","",IF($F267=0,0,TODAY()-_xlfn.MINIFS(매출내역!$A$3:$A$3002,매출내역!$B$3:$B$3002,$A267,매출내역!$I$3:$I$3002,"&gt;0")))</f>
        <v/>
      </c>
      <c r="H267" s="20" t="str">
        <f aca="false">IF($A267="","",IF($I267=0,"한도미설정",IF($E267&gt;$I267,"한도초과","정상")))</f>
        <v/>
      </c>
      <c r="I267" s="15" t="str">
        <f aca="false">IF($A267="","",IF(거래처목록!$D264="",0,거래처목록!$D264))</f>
        <v/>
      </c>
    </row>
    <row r="268" customFormat="false" ht="15" hidden="false" customHeight="true" outlineLevel="0" collapsed="false">
      <c r="A268" s="19" t="str">
        <f aca="false">IF(거래처목록!$A265="","",거래처목록!$A265)</f>
        <v/>
      </c>
      <c r="B268" s="19" t="str">
        <f aca="false">IF($A268="","",거래처목록!$B265)</f>
        <v/>
      </c>
      <c r="C268" s="15" t="str">
        <f aca="false">IF($A268="","",SUMIFS(매출내역!$F$3:$F$3002,매출내역!$B$3:$B$3002,$A268))</f>
        <v/>
      </c>
      <c r="D268" s="15" t="str">
        <f aca="false">IF($A268="","",SUMIFS(매출내역!$H$3:$H$3002,매출내역!$B$3:$B$3002,$A268))</f>
        <v/>
      </c>
      <c r="E268" s="15" t="str">
        <f aca="false">IF($A268="","",$C268-$D268)</f>
        <v/>
      </c>
      <c r="F268" s="20" t="str">
        <f aca="false">IF($A268="","",COUNTIFS(매출내역!$B$3:$B$3002,$A268,매출내역!$I$3:$I$3002,"&gt;0"))</f>
        <v/>
      </c>
      <c r="G268" s="21" t="str">
        <f aca="true">IF($A268="","",IF($F268=0,0,TODAY()-_xlfn.MINIFS(매출내역!$A$3:$A$3002,매출내역!$B$3:$B$3002,$A268,매출내역!$I$3:$I$3002,"&gt;0")))</f>
        <v/>
      </c>
      <c r="H268" s="20" t="str">
        <f aca="false">IF($A268="","",IF($I268=0,"한도미설정",IF($E268&gt;$I268,"한도초과","정상")))</f>
        <v/>
      </c>
      <c r="I268" s="15" t="str">
        <f aca="false">IF($A268="","",IF(거래처목록!$D265="",0,거래처목록!$D265))</f>
        <v/>
      </c>
    </row>
    <row r="269" customFormat="false" ht="15" hidden="false" customHeight="true" outlineLevel="0" collapsed="false">
      <c r="A269" s="19" t="str">
        <f aca="false">IF(거래처목록!$A266="","",거래처목록!$A266)</f>
        <v/>
      </c>
      <c r="B269" s="19" t="str">
        <f aca="false">IF($A269="","",거래처목록!$B266)</f>
        <v/>
      </c>
      <c r="C269" s="15" t="str">
        <f aca="false">IF($A269="","",SUMIFS(매출내역!$F$3:$F$3002,매출내역!$B$3:$B$3002,$A269))</f>
        <v/>
      </c>
      <c r="D269" s="15" t="str">
        <f aca="false">IF($A269="","",SUMIFS(매출내역!$H$3:$H$3002,매출내역!$B$3:$B$3002,$A269))</f>
        <v/>
      </c>
      <c r="E269" s="15" t="str">
        <f aca="false">IF($A269="","",$C269-$D269)</f>
        <v/>
      </c>
      <c r="F269" s="20" t="str">
        <f aca="false">IF($A269="","",COUNTIFS(매출내역!$B$3:$B$3002,$A269,매출내역!$I$3:$I$3002,"&gt;0"))</f>
        <v/>
      </c>
      <c r="G269" s="21" t="str">
        <f aca="true">IF($A269="","",IF($F269=0,0,TODAY()-_xlfn.MINIFS(매출내역!$A$3:$A$3002,매출내역!$B$3:$B$3002,$A269,매출내역!$I$3:$I$3002,"&gt;0")))</f>
        <v/>
      </c>
      <c r="H269" s="20" t="str">
        <f aca="false">IF($A269="","",IF($I269=0,"한도미설정",IF($E269&gt;$I269,"한도초과","정상")))</f>
        <v/>
      </c>
      <c r="I269" s="15" t="str">
        <f aca="false">IF($A269="","",IF(거래처목록!$D266="",0,거래처목록!$D266))</f>
        <v/>
      </c>
    </row>
    <row r="270" customFormat="false" ht="15" hidden="false" customHeight="true" outlineLevel="0" collapsed="false">
      <c r="A270" s="19" t="str">
        <f aca="false">IF(거래처목록!$A267="","",거래처목록!$A267)</f>
        <v/>
      </c>
      <c r="B270" s="19" t="str">
        <f aca="false">IF($A270="","",거래처목록!$B267)</f>
        <v/>
      </c>
      <c r="C270" s="15" t="str">
        <f aca="false">IF($A270="","",SUMIFS(매출내역!$F$3:$F$3002,매출내역!$B$3:$B$3002,$A270))</f>
        <v/>
      </c>
      <c r="D270" s="15" t="str">
        <f aca="false">IF($A270="","",SUMIFS(매출내역!$H$3:$H$3002,매출내역!$B$3:$B$3002,$A270))</f>
        <v/>
      </c>
      <c r="E270" s="15" t="str">
        <f aca="false">IF($A270="","",$C270-$D270)</f>
        <v/>
      </c>
      <c r="F270" s="20" t="str">
        <f aca="false">IF($A270="","",COUNTIFS(매출내역!$B$3:$B$3002,$A270,매출내역!$I$3:$I$3002,"&gt;0"))</f>
        <v/>
      </c>
      <c r="G270" s="21" t="str">
        <f aca="true">IF($A270="","",IF($F270=0,0,TODAY()-_xlfn.MINIFS(매출내역!$A$3:$A$3002,매출내역!$B$3:$B$3002,$A270,매출내역!$I$3:$I$3002,"&gt;0")))</f>
        <v/>
      </c>
      <c r="H270" s="20" t="str">
        <f aca="false">IF($A270="","",IF($I270=0,"한도미설정",IF($E270&gt;$I270,"한도초과","정상")))</f>
        <v/>
      </c>
      <c r="I270" s="15" t="str">
        <f aca="false">IF($A270="","",IF(거래처목록!$D267="",0,거래처목록!$D267))</f>
        <v/>
      </c>
    </row>
    <row r="271" customFormat="false" ht="15" hidden="false" customHeight="true" outlineLevel="0" collapsed="false">
      <c r="A271" s="19" t="str">
        <f aca="false">IF(거래처목록!$A268="","",거래처목록!$A268)</f>
        <v/>
      </c>
      <c r="B271" s="19" t="str">
        <f aca="false">IF($A271="","",거래처목록!$B268)</f>
        <v/>
      </c>
      <c r="C271" s="15" t="str">
        <f aca="false">IF($A271="","",SUMIFS(매출내역!$F$3:$F$3002,매출내역!$B$3:$B$3002,$A271))</f>
        <v/>
      </c>
      <c r="D271" s="15" t="str">
        <f aca="false">IF($A271="","",SUMIFS(매출내역!$H$3:$H$3002,매출내역!$B$3:$B$3002,$A271))</f>
        <v/>
      </c>
      <c r="E271" s="15" t="str">
        <f aca="false">IF($A271="","",$C271-$D271)</f>
        <v/>
      </c>
      <c r="F271" s="20" t="str">
        <f aca="false">IF($A271="","",COUNTIFS(매출내역!$B$3:$B$3002,$A271,매출내역!$I$3:$I$3002,"&gt;0"))</f>
        <v/>
      </c>
      <c r="G271" s="21" t="str">
        <f aca="true">IF($A271="","",IF($F271=0,0,TODAY()-_xlfn.MINIFS(매출내역!$A$3:$A$3002,매출내역!$B$3:$B$3002,$A271,매출내역!$I$3:$I$3002,"&gt;0")))</f>
        <v/>
      </c>
      <c r="H271" s="20" t="str">
        <f aca="false">IF($A271="","",IF($I271=0,"한도미설정",IF($E271&gt;$I271,"한도초과","정상")))</f>
        <v/>
      </c>
      <c r="I271" s="15" t="str">
        <f aca="false">IF($A271="","",IF(거래처목록!$D268="",0,거래처목록!$D268))</f>
        <v/>
      </c>
    </row>
    <row r="272" customFormat="false" ht="15" hidden="false" customHeight="true" outlineLevel="0" collapsed="false">
      <c r="A272" s="19" t="str">
        <f aca="false">IF(거래처목록!$A269="","",거래처목록!$A269)</f>
        <v/>
      </c>
      <c r="B272" s="19" t="str">
        <f aca="false">IF($A272="","",거래처목록!$B269)</f>
        <v/>
      </c>
      <c r="C272" s="15" t="str">
        <f aca="false">IF($A272="","",SUMIFS(매출내역!$F$3:$F$3002,매출내역!$B$3:$B$3002,$A272))</f>
        <v/>
      </c>
      <c r="D272" s="15" t="str">
        <f aca="false">IF($A272="","",SUMIFS(매출내역!$H$3:$H$3002,매출내역!$B$3:$B$3002,$A272))</f>
        <v/>
      </c>
      <c r="E272" s="15" t="str">
        <f aca="false">IF($A272="","",$C272-$D272)</f>
        <v/>
      </c>
      <c r="F272" s="20" t="str">
        <f aca="false">IF($A272="","",COUNTIFS(매출내역!$B$3:$B$3002,$A272,매출내역!$I$3:$I$3002,"&gt;0"))</f>
        <v/>
      </c>
      <c r="G272" s="21" t="str">
        <f aca="true">IF($A272="","",IF($F272=0,0,TODAY()-_xlfn.MINIFS(매출내역!$A$3:$A$3002,매출내역!$B$3:$B$3002,$A272,매출내역!$I$3:$I$3002,"&gt;0")))</f>
        <v/>
      </c>
      <c r="H272" s="20" t="str">
        <f aca="false">IF($A272="","",IF($I272=0,"한도미설정",IF($E272&gt;$I272,"한도초과","정상")))</f>
        <v/>
      </c>
      <c r="I272" s="15" t="str">
        <f aca="false">IF($A272="","",IF(거래처목록!$D269="",0,거래처목록!$D269))</f>
        <v/>
      </c>
    </row>
    <row r="273" customFormat="false" ht="15" hidden="false" customHeight="true" outlineLevel="0" collapsed="false">
      <c r="A273" s="19" t="str">
        <f aca="false">IF(거래처목록!$A270="","",거래처목록!$A270)</f>
        <v/>
      </c>
      <c r="B273" s="19" t="str">
        <f aca="false">IF($A273="","",거래처목록!$B270)</f>
        <v/>
      </c>
      <c r="C273" s="15" t="str">
        <f aca="false">IF($A273="","",SUMIFS(매출내역!$F$3:$F$3002,매출내역!$B$3:$B$3002,$A273))</f>
        <v/>
      </c>
      <c r="D273" s="15" t="str">
        <f aca="false">IF($A273="","",SUMIFS(매출내역!$H$3:$H$3002,매출내역!$B$3:$B$3002,$A273))</f>
        <v/>
      </c>
      <c r="E273" s="15" t="str">
        <f aca="false">IF($A273="","",$C273-$D273)</f>
        <v/>
      </c>
      <c r="F273" s="20" t="str">
        <f aca="false">IF($A273="","",COUNTIFS(매출내역!$B$3:$B$3002,$A273,매출내역!$I$3:$I$3002,"&gt;0"))</f>
        <v/>
      </c>
      <c r="G273" s="21" t="str">
        <f aca="true">IF($A273="","",IF($F273=0,0,TODAY()-_xlfn.MINIFS(매출내역!$A$3:$A$3002,매출내역!$B$3:$B$3002,$A273,매출내역!$I$3:$I$3002,"&gt;0")))</f>
        <v/>
      </c>
      <c r="H273" s="20" t="str">
        <f aca="false">IF($A273="","",IF($I273=0,"한도미설정",IF($E273&gt;$I273,"한도초과","정상")))</f>
        <v/>
      </c>
      <c r="I273" s="15" t="str">
        <f aca="false">IF($A273="","",IF(거래처목록!$D270="",0,거래처목록!$D270))</f>
        <v/>
      </c>
    </row>
    <row r="274" customFormat="false" ht="15" hidden="false" customHeight="true" outlineLevel="0" collapsed="false">
      <c r="A274" s="19" t="str">
        <f aca="false">IF(거래처목록!$A271="","",거래처목록!$A271)</f>
        <v/>
      </c>
      <c r="B274" s="19" t="str">
        <f aca="false">IF($A274="","",거래처목록!$B271)</f>
        <v/>
      </c>
      <c r="C274" s="15" t="str">
        <f aca="false">IF($A274="","",SUMIFS(매출내역!$F$3:$F$3002,매출내역!$B$3:$B$3002,$A274))</f>
        <v/>
      </c>
      <c r="D274" s="15" t="str">
        <f aca="false">IF($A274="","",SUMIFS(매출내역!$H$3:$H$3002,매출내역!$B$3:$B$3002,$A274))</f>
        <v/>
      </c>
      <c r="E274" s="15" t="str">
        <f aca="false">IF($A274="","",$C274-$D274)</f>
        <v/>
      </c>
      <c r="F274" s="20" t="str">
        <f aca="false">IF($A274="","",COUNTIFS(매출내역!$B$3:$B$3002,$A274,매출내역!$I$3:$I$3002,"&gt;0"))</f>
        <v/>
      </c>
      <c r="G274" s="21" t="str">
        <f aca="true">IF($A274="","",IF($F274=0,0,TODAY()-_xlfn.MINIFS(매출내역!$A$3:$A$3002,매출내역!$B$3:$B$3002,$A274,매출내역!$I$3:$I$3002,"&gt;0")))</f>
        <v/>
      </c>
      <c r="H274" s="20" t="str">
        <f aca="false">IF($A274="","",IF($I274=0,"한도미설정",IF($E274&gt;$I274,"한도초과","정상")))</f>
        <v/>
      </c>
      <c r="I274" s="15" t="str">
        <f aca="false">IF($A274="","",IF(거래처목록!$D271="",0,거래처목록!$D271))</f>
        <v/>
      </c>
    </row>
    <row r="275" customFormat="false" ht="15" hidden="false" customHeight="true" outlineLevel="0" collapsed="false">
      <c r="A275" s="19" t="str">
        <f aca="false">IF(거래처목록!$A272="","",거래처목록!$A272)</f>
        <v/>
      </c>
      <c r="B275" s="19" t="str">
        <f aca="false">IF($A275="","",거래처목록!$B272)</f>
        <v/>
      </c>
      <c r="C275" s="15" t="str">
        <f aca="false">IF($A275="","",SUMIFS(매출내역!$F$3:$F$3002,매출내역!$B$3:$B$3002,$A275))</f>
        <v/>
      </c>
      <c r="D275" s="15" t="str">
        <f aca="false">IF($A275="","",SUMIFS(매출내역!$H$3:$H$3002,매출내역!$B$3:$B$3002,$A275))</f>
        <v/>
      </c>
      <c r="E275" s="15" t="str">
        <f aca="false">IF($A275="","",$C275-$D275)</f>
        <v/>
      </c>
      <c r="F275" s="20" t="str">
        <f aca="false">IF($A275="","",COUNTIFS(매출내역!$B$3:$B$3002,$A275,매출내역!$I$3:$I$3002,"&gt;0"))</f>
        <v/>
      </c>
      <c r="G275" s="21" t="str">
        <f aca="true">IF($A275="","",IF($F275=0,0,TODAY()-_xlfn.MINIFS(매출내역!$A$3:$A$3002,매출내역!$B$3:$B$3002,$A275,매출내역!$I$3:$I$3002,"&gt;0")))</f>
        <v/>
      </c>
      <c r="H275" s="20" t="str">
        <f aca="false">IF($A275="","",IF($I275=0,"한도미설정",IF($E275&gt;$I275,"한도초과","정상")))</f>
        <v/>
      </c>
      <c r="I275" s="15" t="str">
        <f aca="false">IF($A275="","",IF(거래처목록!$D272="",0,거래처목록!$D272))</f>
        <v/>
      </c>
    </row>
    <row r="276" customFormat="false" ht="15" hidden="false" customHeight="true" outlineLevel="0" collapsed="false">
      <c r="A276" s="19" t="str">
        <f aca="false">IF(거래처목록!$A273="","",거래처목록!$A273)</f>
        <v/>
      </c>
      <c r="B276" s="19" t="str">
        <f aca="false">IF($A276="","",거래처목록!$B273)</f>
        <v/>
      </c>
      <c r="C276" s="15" t="str">
        <f aca="false">IF($A276="","",SUMIFS(매출내역!$F$3:$F$3002,매출내역!$B$3:$B$3002,$A276))</f>
        <v/>
      </c>
      <c r="D276" s="15" t="str">
        <f aca="false">IF($A276="","",SUMIFS(매출내역!$H$3:$H$3002,매출내역!$B$3:$B$3002,$A276))</f>
        <v/>
      </c>
      <c r="E276" s="15" t="str">
        <f aca="false">IF($A276="","",$C276-$D276)</f>
        <v/>
      </c>
      <c r="F276" s="20" t="str">
        <f aca="false">IF($A276="","",COUNTIFS(매출내역!$B$3:$B$3002,$A276,매출내역!$I$3:$I$3002,"&gt;0"))</f>
        <v/>
      </c>
      <c r="G276" s="21" t="str">
        <f aca="true">IF($A276="","",IF($F276=0,0,TODAY()-_xlfn.MINIFS(매출내역!$A$3:$A$3002,매출내역!$B$3:$B$3002,$A276,매출내역!$I$3:$I$3002,"&gt;0")))</f>
        <v/>
      </c>
      <c r="H276" s="20" t="str">
        <f aca="false">IF($A276="","",IF($I276=0,"한도미설정",IF($E276&gt;$I276,"한도초과","정상")))</f>
        <v/>
      </c>
      <c r="I276" s="15" t="str">
        <f aca="false">IF($A276="","",IF(거래처목록!$D273="",0,거래처목록!$D273))</f>
        <v/>
      </c>
    </row>
    <row r="277" customFormat="false" ht="15" hidden="false" customHeight="true" outlineLevel="0" collapsed="false">
      <c r="A277" s="19" t="str">
        <f aca="false">IF(거래처목록!$A274="","",거래처목록!$A274)</f>
        <v/>
      </c>
      <c r="B277" s="19" t="str">
        <f aca="false">IF($A277="","",거래처목록!$B274)</f>
        <v/>
      </c>
      <c r="C277" s="15" t="str">
        <f aca="false">IF($A277="","",SUMIFS(매출내역!$F$3:$F$3002,매출내역!$B$3:$B$3002,$A277))</f>
        <v/>
      </c>
      <c r="D277" s="15" t="str">
        <f aca="false">IF($A277="","",SUMIFS(매출내역!$H$3:$H$3002,매출내역!$B$3:$B$3002,$A277))</f>
        <v/>
      </c>
      <c r="E277" s="15" t="str">
        <f aca="false">IF($A277="","",$C277-$D277)</f>
        <v/>
      </c>
      <c r="F277" s="20" t="str">
        <f aca="false">IF($A277="","",COUNTIFS(매출내역!$B$3:$B$3002,$A277,매출내역!$I$3:$I$3002,"&gt;0"))</f>
        <v/>
      </c>
      <c r="G277" s="21" t="str">
        <f aca="true">IF($A277="","",IF($F277=0,0,TODAY()-_xlfn.MINIFS(매출내역!$A$3:$A$3002,매출내역!$B$3:$B$3002,$A277,매출내역!$I$3:$I$3002,"&gt;0")))</f>
        <v/>
      </c>
      <c r="H277" s="20" t="str">
        <f aca="false">IF($A277="","",IF($I277=0,"한도미설정",IF($E277&gt;$I277,"한도초과","정상")))</f>
        <v/>
      </c>
      <c r="I277" s="15" t="str">
        <f aca="false">IF($A277="","",IF(거래처목록!$D274="",0,거래처목록!$D274))</f>
        <v/>
      </c>
    </row>
    <row r="278" customFormat="false" ht="15" hidden="false" customHeight="true" outlineLevel="0" collapsed="false">
      <c r="A278" s="19" t="str">
        <f aca="false">IF(거래처목록!$A275="","",거래처목록!$A275)</f>
        <v/>
      </c>
      <c r="B278" s="19" t="str">
        <f aca="false">IF($A278="","",거래처목록!$B275)</f>
        <v/>
      </c>
      <c r="C278" s="15" t="str">
        <f aca="false">IF($A278="","",SUMIFS(매출내역!$F$3:$F$3002,매출내역!$B$3:$B$3002,$A278))</f>
        <v/>
      </c>
      <c r="D278" s="15" t="str">
        <f aca="false">IF($A278="","",SUMIFS(매출내역!$H$3:$H$3002,매출내역!$B$3:$B$3002,$A278))</f>
        <v/>
      </c>
      <c r="E278" s="15" t="str">
        <f aca="false">IF($A278="","",$C278-$D278)</f>
        <v/>
      </c>
      <c r="F278" s="20" t="str">
        <f aca="false">IF($A278="","",COUNTIFS(매출내역!$B$3:$B$3002,$A278,매출내역!$I$3:$I$3002,"&gt;0"))</f>
        <v/>
      </c>
      <c r="G278" s="21" t="str">
        <f aca="true">IF($A278="","",IF($F278=0,0,TODAY()-_xlfn.MINIFS(매출내역!$A$3:$A$3002,매출내역!$B$3:$B$3002,$A278,매출내역!$I$3:$I$3002,"&gt;0")))</f>
        <v/>
      </c>
      <c r="H278" s="20" t="str">
        <f aca="false">IF($A278="","",IF($I278=0,"한도미설정",IF($E278&gt;$I278,"한도초과","정상")))</f>
        <v/>
      </c>
      <c r="I278" s="15" t="str">
        <f aca="false">IF($A278="","",IF(거래처목록!$D275="",0,거래처목록!$D275))</f>
        <v/>
      </c>
    </row>
    <row r="279" customFormat="false" ht="15" hidden="false" customHeight="true" outlineLevel="0" collapsed="false">
      <c r="A279" s="19" t="str">
        <f aca="false">IF(거래처목록!$A276="","",거래처목록!$A276)</f>
        <v/>
      </c>
      <c r="B279" s="19" t="str">
        <f aca="false">IF($A279="","",거래처목록!$B276)</f>
        <v/>
      </c>
      <c r="C279" s="15" t="str">
        <f aca="false">IF($A279="","",SUMIFS(매출내역!$F$3:$F$3002,매출내역!$B$3:$B$3002,$A279))</f>
        <v/>
      </c>
      <c r="D279" s="15" t="str">
        <f aca="false">IF($A279="","",SUMIFS(매출내역!$H$3:$H$3002,매출내역!$B$3:$B$3002,$A279))</f>
        <v/>
      </c>
      <c r="E279" s="15" t="str">
        <f aca="false">IF($A279="","",$C279-$D279)</f>
        <v/>
      </c>
      <c r="F279" s="20" t="str">
        <f aca="false">IF($A279="","",COUNTIFS(매출내역!$B$3:$B$3002,$A279,매출내역!$I$3:$I$3002,"&gt;0"))</f>
        <v/>
      </c>
      <c r="G279" s="21" t="str">
        <f aca="true">IF($A279="","",IF($F279=0,0,TODAY()-_xlfn.MINIFS(매출내역!$A$3:$A$3002,매출내역!$B$3:$B$3002,$A279,매출내역!$I$3:$I$3002,"&gt;0")))</f>
        <v/>
      </c>
      <c r="H279" s="20" t="str">
        <f aca="false">IF($A279="","",IF($I279=0,"한도미설정",IF($E279&gt;$I279,"한도초과","정상")))</f>
        <v/>
      </c>
      <c r="I279" s="15" t="str">
        <f aca="false">IF($A279="","",IF(거래처목록!$D276="",0,거래처목록!$D276))</f>
        <v/>
      </c>
    </row>
    <row r="280" customFormat="false" ht="15" hidden="false" customHeight="true" outlineLevel="0" collapsed="false">
      <c r="A280" s="19" t="str">
        <f aca="false">IF(거래처목록!$A277="","",거래처목록!$A277)</f>
        <v/>
      </c>
      <c r="B280" s="19" t="str">
        <f aca="false">IF($A280="","",거래처목록!$B277)</f>
        <v/>
      </c>
      <c r="C280" s="15" t="str">
        <f aca="false">IF($A280="","",SUMIFS(매출내역!$F$3:$F$3002,매출내역!$B$3:$B$3002,$A280))</f>
        <v/>
      </c>
      <c r="D280" s="15" t="str">
        <f aca="false">IF($A280="","",SUMIFS(매출내역!$H$3:$H$3002,매출내역!$B$3:$B$3002,$A280))</f>
        <v/>
      </c>
      <c r="E280" s="15" t="str">
        <f aca="false">IF($A280="","",$C280-$D280)</f>
        <v/>
      </c>
      <c r="F280" s="20" t="str">
        <f aca="false">IF($A280="","",COUNTIFS(매출내역!$B$3:$B$3002,$A280,매출내역!$I$3:$I$3002,"&gt;0"))</f>
        <v/>
      </c>
      <c r="G280" s="21" t="str">
        <f aca="true">IF($A280="","",IF($F280=0,0,TODAY()-_xlfn.MINIFS(매출내역!$A$3:$A$3002,매출내역!$B$3:$B$3002,$A280,매출내역!$I$3:$I$3002,"&gt;0")))</f>
        <v/>
      </c>
      <c r="H280" s="20" t="str">
        <f aca="false">IF($A280="","",IF($I280=0,"한도미설정",IF($E280&gt;$I280,"한도초과","정상")))</f>
        <v/>
      </c>
      <c r="I280" s="15" t="str">
        <f aca="false">IF($A280="","",IF(거래처목록!$D277="",0,거래처목록!$D277))</f>
        <v/>
      </c>
    </row>
    <row r="281" customFormat="false" ht="15" hidden="false" customHeight="true" outlineLevel="0" collapsed="false">
      <c r="A281" s="19" t="str">
        <f aca="false">IF(거래처목록!$A278="","",거래처목록!$A278)</f>
        <v/>
      </c>
      <c r="B281" s="19" t="str">
        <f aca="false">IF($A281="","",거래처목록!$B278)</f>
        <v/>
      </c>
      <c r="C281" s="15" t="str">
        <f aca="false">IF($A281="","",SUMIFS(매출내역!$F$3:$F$3002,매출내역!$B$3:$B$3002,$A281))</f>
        <v/>
      </c>
      <c r="D281" s="15" t="str">
        <f aca="false">IF($A281="","",SUMIFS(매출내역!$H$3:$H$3002,매출내역!$B$3:$B$3002,$A281))</f>
        <v/>
      </c>
      <c r="E281" s="15" t="str">
        <f aca="false">IF($A281="","",$C281-$D281)</f>
        <v/>
      </c>
      <c r="F281" s="20" t="str">
        <f aca="false">IF($A281="","",COUNTIFS(매출내역!$B$3:$B$3002,$A281,매출내역!$I$3:$I$3002,"&gt;0"))</f>
        <v/>
      </c>
      <c r="G281" s="21" t="str">
        <f aca="true">IF($A281="","",IF($F281=0,0,TODAY()-_xlfn.MINIFS(매출내역!$A$3:$A$3002,매출내역!$B$3:$B$3002,$A281,매출내역!$I$3:$I$3002,"&gt;0")))</f>
        <v/>
      </c>
      <c r="H281" s="20" t="str">
        <f aca="false">IF($A281="","",IF($I281=0,"한도미설정",IF($E281&gt;$I281,"한도초과","정상")))</f>
        <v/>
      </c>
      <c r="I281" s="15" t="str">
        <f aca="false">IF($A281="","",IF(거래처목록!$D278="",0,거래처목록!$D278))</f>
        <v/>
      </c>
    </row>
    <row r="282" customFormat="false" ht="15" hidden="false" customHeight="true" outlineLevel="0" collapsed="false">
      <c r="A282" s="19" t="str">
        <f aca="false">IF(거래처목록!$A279="","",거래처목록!$A279)</f>
        <v/>
      </c>
      <c r="B282" s="19" t="str">
        <f aca="false">IF($A282="","",거래처목록!$B279)</f>
        <v/>
      </c>
      <c r="C282" s="15" t="str">
        <f aca="false">IF($A282="","",SUMIFS(매출내역!$F$3:$F$3002,매출내역!$B$3:$B$3002,$A282))</f>
        <v/>
      </c>
      <c r="D282" s="15" t="str">
        <f aca="false">IF($A282="","",SUMIFS(매출내역!$H$3:$H$3002,매출내역!$B$3:$B$3002,$A282))</f>
        <v/>
      </c>
      <c r="E282" s="15" t="str">
        <f aca="false">IF($A282="","",$C282-$D282)</f>
        <v/>
      </c>
      <c r="F282" s="20" t="str">
        <f aca="false">IF($A282="","",COUNTIFS(매출내역!$B$3:$B$3002,$A282,매출내역!$I$3:$I$3002,"&gt;0"))</f>
        <v/>
      </c>
      <c r="G282" s="21" t="str">
        <f aca="true">IF($A282="","",IF($F282=0,0,TODAY()-_xlfn.MINIFS(매출내역!$A$3:$A$3002,매출내역!$B$3:$B$3002,$A282,매출내역!$I$3:$I$3002,"&gt;0")))</f>
        <v/>
      </c>
      <c r="H282" s="20" t="str">
        <f aca="false">IF($A282="","",IF($I282=0,"한도미설정",IF($E282&gt;$I282,"한도초과","정상")))</f>
        <v/>
      </c>
      <c r="I282" s="15" t="str">
        <f aca="false">IF($A282="","",IF(거래처목록!$D279="",0,거래처목록!$D279))</f>
        <v/>
      </c>
    </row>
    <row r="283" customFormat="false" ht="15" hidden="false" customHeight="true" outlineLevel="0" collapsed="false">
      <c r="A283" s="19" t="str">
        <f aca="false">IF(거래처목록!$A280="","",거래처목록!$A280)</f>
        <v/>
      </c>
      <c r="B283" s="19" t="str">
        <f aca="false">IF($A283="","",거래처목록!$B280)</f>
        <v/>
      </c>
      <c r="C283" s="15" t="str">
        <f aca="false">IF($A283="","",SUMIFS(매출내역!$F$3:$F$3002,매출내역!$B$3:$B$3002,$A283))</f>
        <v/>
      </c>
      <c r="D283" s="15" t="str">
        <f aca="false">IF($A283="","",SUMIFS(매출내역!$H$3:$H$3002,매출내역!$B$3:$B$3002,$A283))</f>
        <v/>
      </c>
      <c r="E283" s="15" t="str">
        <f aca="false">IF($A283="","",$C283-$D283)</f>
        <v/>
      </c>
      <c r="F283" s="20" t="str">
        <f aca="false">IF($A283="","",COUNTIFS(매출내역!$B$3:$B$3002,$A283,매출내역!$I$3:$I$3002,"&gt;0"))</f>
        <v/>
      </c>
      <c r="G283" s="21" t="str">
        <f aca="true">IF($A283="","",IF($F283=0,0,TODAY()-_xlfn.MINIFS(매출내역!$A$3:$A$3002,매출내역!$B$3:$B$3002,$A283,매출내역!$I$3:$I$3002,"&gt;0")))</f>
        <v/>
      </c>
      <c r="H283" s="20" t="str">
        <f aca="false">IF($A283="","",IF($I283=0,"한도미설정",IF($E283&gt;$I283,"한도초과","정상")))</f>
        <v/>
      </c>
      <c r="I283" s="15" t="str">
        <f aca="false">IF($A283="","",IF(거래처목록!$D280="",0,거래처목록!$D280))</f>
        <v/>
      </c>
    </row>
    <row r="284" customFormat="false" ht="15" hidden="false" customHeight="true" outlineLevel="0" collapsed="false">
      <c r="A284" s="19" t="str">
        <f aca="false">IF(거래처목록!$A281="","",거래처목록!$A281)</f>
        <v/>
      </c>
      <c r="B284" s="19" t="str">
        <f aca="false">IF($A284="","",거래처목록!$B281)</f>
        <v/>
      </c>
      <c r="C284" s="15" t="str">
        <f aca="false">IF($A284="","",SUMIFS(매출내역!$F$3:$F$3002,매출내역!$B$3:$B$3002,$A284))</f>
        <v/>
      </c>
      <c r="D284" s="15" t="str">
        <f aca="false">IF($A284="","",SUMIFS(매출내역!$H$3:$H$3002,매출내역!$B$3:$B$3002,$A284))</f>
        <v/>
      </c>
      <c r="E284" s="15" t="str">
        <f aca="false">IF($A284="","",$C284-$D284)</f>
        <v/>
      </c>
      <c r="F284" s="20" t="str">
        <f aca="false">IF($A284="","",COUNTIFS(매출내역!$B$3:$B$3002,$A284,매출내역!$I$3:$I$3002,"&gt;0"))</f>
        <v/>
      </c>
      <c r="G284" s="21" t="str">
        <f aca="true">IF($A284="","",IF($F284=0,0,TODAY()-_xlfn.MINIFS(매출내역!$A$3:$A$3002,매출내역!$B$3:$B$3002,$A284,매출내역!$I$3:$I$3002,"&gt;0")))</f>
        <v/>
      </c>
      <c r="H284" s="20" t="str">
        <f aca="false">IF($A284="","",IF($I284=0,"한도미설정",IF($E284&gt;$I284,"한도초과","정상")))</f>
        <v/>
      </c>
      <c r="I284" s="15" t="str">
        <f aca="false">IF($A284="","",IF(거래처목록!$D281="",0,거래처목록!$D281))</f>
        <v/>
      </c>
    </row>
    <row r="285" customFormat="false" ht="15" hidden="false" customHeight="true" outlineLevel="0" collapsed="false">
      <c r="A285" s="19" t="str">
        <f aca="false">IF(거래처목록!$A282="","",거래처목록!$A282)</f>
        <v/>
      </c>
      <c r="B285" s="19" t="str">
        <f aca="false">IF($A285="","",거래처목록!$B282)</f>
        <v/>
      </c>
      <c r="C285" s="15" t="str">
        <f aca="false">IF($A285="","",SUMIFS(매출내역!$F$3:$F$3002,매출내역!$B$3:$B$3002,$A285))</f>
        <v/>
      </c>
      <c r="D285" s="15" t="str">
        <f aca="false">IF($A285="","",SUMIFS(매출내역!$H$3:$H$3002,매출내역!$B$3:$B$3002,$A285))</f>
        <v/>
      </c>
      <c r="E285" s="15" t="str">
        <f aca="false">IF($A285="","",$C285-$D285)</f>
        <v/>
      </c>
      <c r="F285" s="20" t="str">
        <f aca="false">IF($A285="","",COUNTIFS(매출내역!$B$3:$B$3002,$A285,매출내역!$I$3:$I$3002,"&gt;0"))</f>
        <v/>
      </c>
      <c r="G285" s="21" t="str">
        <f aca="true">IF($A285="","",IF($F285=0,0,TODAY()-_xlfn.MINIFS(매출내역!$A$3:$A$3002,매출내역!$B$3:$B$3002,$A285,매출내역!$I$3:$I$3002,"&gt;0")))</f>
        <v/>
      </c>
      <c r="H285" s="20" t="str">
        <f aca="false">IF($A285="","",IF($I285=0,"한도미설정",IF($E285&gt;$I285,"한도초과","정상")))</f>
        <v/>
      </c>
      <c r="I285" s="15" t="str">
        <f aca="false">IF($A285="","",IF(거래처목록!$D282="",0,거래처목록!$D282))</f>
        <v/>
      </c>
    </row>
    <row r="286" customFormat="false" ht="15" hidden="false" customHeight="true" outlineLevel="0" collapsed="false">
      <c r="A286" s="19" t="str">
        <f aca="false">IF(거래처목록!$A283="","",거래처목록!$A283)</f>
        <v/>
      </c>
      <c r="B286" s="19" t="str">
        <f aca="false">IF($A286="","",거래처목록!$B283)</f>
        <v/>
      </c>
      <c r="C286" s="15" t="str">
        <f aca="false">IF($A286="","",SUMIFS(매출내역!$F$3:$F$3002,매출내역!$B$3:$B$3002,$A286))</f>
        <v/>
      </c>
      <c r="D286" s="15" t="str">
        <f aca="false">IF($A286="","",SUMIFS(매출내역!$H$3:$H$3002,매출내역!$B$3:$B$3002,$A286))</f>
        <v/>
      </c>
      <c r="E286" s="15" t="str">
        <f aca="false">IF($A286="","",$C286-$D286)</f>
        <v/>
      </c>
      <c r="F286" s="20" t="str">
        <f aca="false">IF($A286="","",COUNTIFS(매출내역!$B$3:$B$3002,$A286,매출내역!$I$3:$I$3002,"&gt;0"))</f>
        <v/>
      </c>
      <c r="G286" s="21" t="str">
        <f aca="true">IF($A286="","",IF($F286=0,0,TODAY()-_xlfn.MINIFS(매출내역!$A$3:$A$3002,매출내역!$B$3:$B$3002,$A286,매출내역!$I$3:$I$3002,"&gt;0")))</f>
        <v/>
      </c>
      <c r="H286" s="20" t="str">
        <f aca="false">IF($A286="","",IF($I286=0,"한도미설정",IF($E286&gt;$I286,"한도초과","정상")))</f>
        <v/>
      </c>
      <c r="I286" s="15" t="str">
        <f aca="false">IF($A286="","",IF(거래처목록!$D283="",0,거래처목록!$D283))</f>
        <v/>
      </c>
    </row>
    <row r="287" customFormat="false" ht="15" hidden="false" customHeight="true" outlineLevel="0" collapsed="false">
      <c r="A287" s="19" t="str">
        <f aca="false">IF(거래처목록!$A284="","",거래처목록!$A284)</f>
        <v/>
      </c>
      <c r="B287" s="19" t="str">
        <f aca="false">IF($A287="","",거래처목록!$B284)</f>
        <v/>
      </c>
      <c r="C287" s="15" t="str">
        <f aca="false">IF($A287="","",SUMIFS(매출내역!$F$3:$F$3002,매출내역!$B$3:$B$3002,$A287))</f>
        <v/>
      </c>
      <c r="D287" s="15" t="str">
        <f aca="false">IF($A287="","",SUMIFS(매출내역!$H$3:$H$3002,매출내역!$B$3:$B$3002,$A287))</f>
        <v/>
      </c>
      <c r="E287" s="15" t="str">
        <f aca="false">IF($A287="","",$C287-$D287)</f>
        <v/>
      </c>
      <c r="F287" s="20" t="str">
        <f aca="false">IF($A287="","",COUNTIFS(매출내역!$B$3:$B$3002,$A287,매출내역!$I$3:$I$3002,"&gt;0"))</f>
        <v/>
      </c>
      <c r="G287" s="21" t="str">
        <f aca="true">IF($A287="","",IF($F287=0,0,TODAY()-_xlfn.MINIFS(매출내역!$A$3:$A$3002,매출내역!$B$3:$B$3002,$A287,매출내역!$I$3:$I$3002,"&gt;0")))</f>
        <v/>
      </c>
      <c r="H287" s="20" t="str">
        <f aca="false">IF($A287="","",IF($I287=0,"한도미설정",IF($E287&gt;$I287,"한도초과","정상")))</f>
        <v/>
      </c>
      <c r="I287" s="15" t="str">
        <f aca="false">IF($A287="","",IF(거래처목록!$D284="",0,거래처목록!$D284))</f>
        <v/>
      </c>
    </row>
    <row r="288" customFormat="false" ht="15" hidden="false" customHeight="true" outlineLevel="0" collapsed="false">
      <c r="A288" s="19" t="str">
        <f aca="false">IF(거래처목록!$A285="","",거래처목록!$A285)</f>
        <v/>
      </c>
      <c r="B288" s="19" t="str">
        <f aca="false">IF($A288="","",거래처목록!$B285)</f>
        <v/>
      </c>
      <c r="C288" s="15" t="str">
        <f aca="false">IF($A288="","",SUMIFS(매출내역!$F$3:$F$3002,매출내역!$B$3:$B$3002,$A288))</f>
        <v/>
      </c>
      <c r="D288" s="15" t="str">
        <f aca="false">IF($A288="","",SUMIFS(매출내역!$H$3:$H$3002,매출내역!$B$3:$B$3002,$A288))</f>
        <v/>
      </c>
      <c r="E288" s="15" t="str">
        <f aca="false">IF($A288="","",$C288-$D288)</f>
        <v/>
      </c>
      <c r="F288" s="20" t="str">
        <f aca="false">IF($A288="","",COUNTIFS(매출내역!$B$3:$B$3002,$A288,매출내역!$I$3:$I$3002,"&gt;0"))</f>
        <v/>
      </c>
      <c r="G288" s="21" t="str">
        <f aca="true">IF($A288="","",IF($F288=0,0,TODAY()-_xlfn.MINIFS(매출내역!$A$3:$A$3002,매출내역!$B$3:$B$3002,$A288,매출내역!$I$3:$I$3002,"&gt;0")))</f>
        <v/>
      </c>
      <c r="H288" s="20" t="str">
        <f aca="false">IF($A288="","",IF($I288=0,"한도미설정",IF($E288&gt;$I288,"한도초과","정상")))</f>
        <v/>
      </c>
      <c r="I288" s="15" t="str">
        <f aca="false">IF($A288="","",IF(거래처목록!$D285="",0,거래처목록!$D285))</f>
        <v/>
      </c>
    </row>
    <row r="289" customFormat="false" ht="15" hidden="false" customHeight="true" outlineLevel="0" collapsed="false">
      <c r="A289" s="19" t="str">
        <f aca="false">IF(거래처목록!$A286="","",거래처목록!$A286)</f>
        <v/>
      </c>
      <c r="B289" s="19" t="str">
        <f aca="false">IF($A289="","",거래처목록!$B286)</f>
        <v/>
      </c>
      <c r="C289" s="15" t="str">
        <f aca="false">IF($A289="","",SUMIFS(매출내역!$F$3:$F$3002,매출내역!$B$3:$B$3002,$A289))</f>
        <v/>
      </c>
      <c r="D289" s="15" t="str">
        <f aca="false">IF($A289="","",SUMIFS(매출내역!$H$3:$H$3002,매출내역!$B$3:$B$3002,$A289))</f>
        <v/>
      </c>
      <c r="E289" s="15" t="str">
        <f aca="false">IF($A289="","",$C289-$D289)</f>
        <v/>
      </c>
      <c r="F289" s="20" t="str">
        <f aca="false">IF($A289="","",COUNTIFS(매출내역!$B$3:$B$3002,$A289,매출내역!$I$3:$I$3002,"&gt;0"))</f>
        <v/>
      </c>
      <c r="G289" s="21" t="str">
        <f aca="true">IF($A289="","",IF($F289=0,0,TODAY()-_xlfn.MINIFS(매출내역!$A$3:$A$3002,매출내역!$B$3:$B$3002,$A289,매출내역!$I$3:$I$3002,"&gt;0")))</f>
        <v/>
      </c>
      <c r="H289" s="20" t="str">
        <f aca="false">IF($A289="","",IF($I289=0,"한도미설정",IF($E289&gt;$I289,"한도초과","정상")))</f>
        <v/>
      </c>
      <c r="I289" s="15" t="str">
        <f aca="false">IF($A289="","",IF(거래처목록!$D286="",0,거래처목록!$D286))</f>
        <v/>
      </c>
    </row>
    <row r="290" customFormat="false" ht="15" hidden="false" customHeight="true" outlineLevel="0" collapsed="false">
      <c r="A290" s="19" t="str">
        <f aca="false">IF(거래처목록!$A287="","",거래처목록!$A287)</f>
        <v/>
      </c>
      <c r="B290" s="19" t="str">
        <f aca="false">IF($A290="","",거래처목록!$B287)</f>
        <v/>
      </c>
      <c r="C290" s="15" t="str">
        <f aca="false">IF($A290="","",SUMIFS(매출내역!$F$3:$F$3002,매출내역!$B$3:$B$3002,$A290))</f>
        <v/>
      </c>
      <c r="D290" s="15" t="str">
        <f aca="false">IF($A290="","",SUMIFS(매출내역!$H$3:$H$3002,매출내역!$B$3:$B$3002,$A290))</f>
        <v/>
      </c>
      <c r="E290" s="15" t="str">
        <f aca="false">IF($A290="","",$C290-$D290)</f>
        <v/>
      </c>
      <c r="F290" s="20" t="str">
        <f aca="false">IF($A290="","",COUNTIFS(매출내역!$B$3:$B$3002,$A290,매출내역!$I$3:$I$3002,"&gt;0"))</f>
        <v/>
      </c>
      <c r="G290" s="21" t="str">
        <f aca="true">IF($A290="","",IF($F290=0,0,TODAY()-_xlfn.MINIFS(매출내역!$A$3:$A$3002,매출내역!$B$3:$B$3002,$A290,매출내역!$I$3:$I$3002,"&gt;0")))</f>
        <v/>
      </c>
      <c r="H290" s="20" t="str">
        <f aca="false">IF($A290="","",IF($I290=0,"한도미설정",IF($E290&gt;$I290,"한도초과","정상")))</f>
        <v/>
      </c>
      <c r="I290" s="15" t="str">
        <f aca="false">IF($A290="","",IF(거래처목록!$D287="",0,거래처목록!$D287))</f>
        <v/>
      </c>
    </row>
    <row r="291" customFormat="false" ht="15" hidden="false" customHeight="true" outlineLevel="0" collapsed="false">
      <c r="A291" s="19" t="str">
        <f aca="false">IF(거래처목록!$A288="","",거래처목록!$A288)</f>
        <v/>
      </c>
      <c r="B291" s="19" t="str">
        <f aca="false">IF($A291="","",거래처목록!$B288)</f>
        <v/>
      </c>
      <c r="C291" s="15" t="str">
        <f aca="false">IF($A291="","",SUMIFS(매출내역!$F$3:$F$3002,매출내역!$B$3:$B$3002,$A291))</f>
        <v/>
      </c>
      <c r="D291" s="15" t="str">
        <f aca="false">IF($A291="","",SUMIFS(매출내역!$H$3:$H$3002,매출내역!$B$3:$B$3002,$A291))</f>
        <v/>
      </c>
      <c r="E291" s="15" t="str">
        <f aca="false">IF($A291="","",$C291-$D291)</f>
        <v/>
      </c>
      <c r="F291" s="20" t="str">
        <f aca="false">IF($A291="","",COUNTIFS(매출내역!$B$3:$B$3002,$A291,매출내역!$I$3:$I$3002,"&gt;0"))</f>
        <v/>
      </c>
      <c r="G291" s="21" t="str">
        <f aca="true">IF($A291="","",IF($F291=0,0,TODAY()-_xlfn.MINIFS(매출내역!$A$3:$A$3002,매출내역!$B$3:$B$3002,$A291,매출내역!$I$3:$I$3002,"&gt;0")))</f>
        <v/>
      </c>
      <c r="H291" s="20" t="str">
        <f aca="false">IF($A291="","",IF($I291=0,"한도미설정",IF($E291&gt;$I291,"한도초과","정상")))</f>
        <v/>
      </c>
      <c r="I291" s="15" t="str">
        <f aca="false">IF($A291="","",IF(거래처목록!$D288="",0,거래처목록!$D288))</f>
        <v/>
      </c>
    </row>
    <row r="292" customFormat="false" ht="15" hidden="false" customHeight="true" outlineLevel="0" collapsed="false">
      <c r="A292" s="19" t="str">
        <f aca="false">IF(거래처목록!$A289="","",거래처목록!$A289)</f>
        <v/>
      </c>
      <c r="B292" s="19" t="str">
        <f aca="false">IF($A292="","",거래처목록!$B289)</f>
        <v/>
      </c>
      <c r="C292" s="15" t="str">
        <f aca="false">IF($A292="","",SUMIFS(매출내역!$F$3:$F$3002,매출내역!$B$3:$B$3002,$A292))</f>
        <v/>
      </c>
      <c r="D292" s="15" t="str">
        <f aca="false">IF($A292="","",SUMIFS(매출내역!$H$3:$H$3002,매출내역!$B$3:$B$3002,$A292))</f>
        <v/>
      </c>
      <c r="E292" s="15" t="str">
        <f aca="false">IF($A292="","",$C292-$D292)</f>
        <v/>
      </c>
      <c r="F292" s="20" t="str">
        <f aca="false">IF($A292="","",COUNTIFS(매출내역!$B$3:$B$3002,$A292,매출내역!$I$3:$I$3002,"&gt;0"))</f>
        <v/>
      </c>
      <c r="G292" s="21" t="str">
        <f aca="true">IF($A292="","",IF($F292=0,0,TODAY()-_xlfn.MINIFS(매출내역!$A$3:$A$3002,매출내역!$B$3:$B$3002,$A292,매출내역!$I$3:$I$3002,"&gt;0")))</f>
        <v/>
      </c>
      <c r="H292" s="20" t="str">
        <f aca="false">IF($A292="","",IF($I292=0,"한도미설정",IF($E292&gt;$I292,"한도초과","정상")))</f>
        <v/>
      </c>
      <c r="I292" s="15" t="str">
        <f aca="false">IF($A292="","",IF(거래처목록!$D289="",0,거래처목록!$D289))</f>
        <v/>
      </c>
    </row>
    <row r="293" customFormat="false" ht="15" hidden="false" customHeight="true" outlineLevel="0" collapsed="false">
      <c r="A293" s="19" t="str">
        <f aca="false">IF(거래처목록!$A290="","",거래처목록!$A290)</f>
        <v/>
      </c>
      <c r="B293" s="19" t="str">
        <f aca="false">IF($A293="","",거래처목록!$B290)</f>
        <v/>
      </c>
      <c r="C293" s="15" t="str">
        <f aca="false">IF($A293="","",SUMIFS(매출내역!$F$3:$F$3002,매출내역!$B$3:$B$3002,$A293))</f>
        <v/>
      </c>
      <c r="D293" s="15" t="str">
        <f aca="false">IF($A293="","",SUMIFS(매출내역!$H$3:$H$3002,매출내역!$B$3:$B$3002,$A293))</f>
        <v/>
      </c>
      <c r="E293" s="15" t="str">
        <f aca="false">IF($A293="","",$C293-$D293)</f>
        <v/>
      </c>
      <c r="F293" s="20" t="str">
        <f aca="false">IF($A293="","",COUNTIFS(매출내역!$B$3:$B$3002,$A293,매출내역!$I$3:$I$3002,"&gt;0"))</f>
        <v/>
      </c>
      <c r="G293" s="21" t="str">
        <f aca="true">IF($A293="","",IF($F293=0,0,TODAY()-_xlfn.MINIFS(매출내역!$A$3:$A$3002,매출내역!$B$3:$B$3002,$A293,매출내역!$I$3:$I$3002,"&gt;0")))</f>
        <v/>
      </c>
      <c r="H293" s="20" t="str">
        <f aca="false">IF($A293="","",IF($I293=0,"한도미설정",IF($E293&gt;$I293,"한도초과","정상")))</f>
        <v/>
      </c>
      <c r="I293" s="15" t="str">
        <f aca="false">IF($A293="","",IF(거래처목록!$D290="",0,거래처목록!$D290))</f>
        <v/>
      </c>
    </row>
    <row r="294" customFormat="false" ht="15" hidden="false" customHeight="true" outlineLevel="0" collapsed="false">
      <c r="A294" s="19" t="str">
        <f aca="false">IF(거래처목록!$A291="","",거래처목록!$A291)</f>
        <v/>
      </c>
      <c r="B294" s="19" t="str">
        <f aca="false">IF($A294="","",거래처목록!$B291)</f>
        <v/>
      </c>
      <c r="C294" s="15" t="str">
        <f aca="false">IF($A294="","",SUMIFS(매출내역!$F$3:$F$3002,매출내역!$B$3:$B$3002,$A294))</f>
        <v/>
      </c>
      <c r="D294" s="15" t="str">
        <f aca="false">IF($A294="","",SUMIFS(매출내역!$H$3:$H$3002,매출내역!$B$3:$B$3002,$A294))</f>
        <v/>
      </c>
      <c r="E294" s="15" t="str">
        <f aca="false">IF($A294="","",$C294-$D294)</f>
        <v/>
      </c>
      <c r="F294" s="20" t="str">
        <f aca="false">IF($A294="","",COUNTIFS(매출내역!$B$3:$B$3002,$A294,매출내역!$I$3:$I$3002,"&gt;0"))</f>
        <v/>
      </c>
      <c r="G294" s="21" t="str">
        <f aca="true">IF($A294="","",IF($F294=0,0,TODAY()-_xlfn.MINIFS(매출내역!$A$3:$A$3002,매출내역!$B$3:$B$3002,$A294,매출내역!$I$3:$I$3002,"&gt;0")))</f>
        <v/>
      </c>
      <c r="H294" s="20" t="str">
        <f aca="false">IF($A294="","",IF($I294=0,"한도미설정",IF($E294&gt;$I294,"한도초과","정상")))</f>
        <v/>
      </c>
      <c r="I294" s="15" t="str">
        <f aca="false">IF($A294="","",IF(거래처목록!$D291="",0,거래처목록!$D291))</f>
        <v/>
      </c>
    </row>
    <row r="295" customFormat="false" ht="15" hidden="false" customHeight="true" outlineLevel="0" collapsed="false">
      <c r="A295" s="19" t="str">
        <f aca="false">IF(거래처목록!$A292="","",거래처목록!$A292)</f>
        <v/>
      </c>
      <c r="B295" s="19" t="str">
        <f aca="false">IF($A295="","",거래처목록!$B292)</f>
        <v/>
      </c>
      <c r="C295" s="15" t="str">
        <f aca="false">IF($A295="","",SUMIFS(매출내역!$F$3:$F$3002,매출내역!$B$3:$B$3002,$A295))</f>
        <v/>
      </c>
      <c r="D295" s="15" t="str">
        <f aca="false">IF($A295="","",SUMIFS(매출내역!$H$3:$H$3002,매출내역!$B$3:$B$3002,$A295))</f>
        <v/>
      </c>
      <c r="E295" s="15" t="str">
        <f aca="false">IF($A295="","",$C295-$D295)</f>
        <v/>
      </c>
      <c r="F295" s="20" t="str">
        <f aca="false">IF($A295="","",COUNTIFS(매출내역!$B$3:$B$3002,$A295,매출내역!$I$3:$I$3002,"&gt;0"))</f>
        <v/>
      </c>
      <c r="G295" s="21" t="str">
        <f aca="true">IF($A295="","",IF($F295=0,0,TODAY()-_xlfn.MINIFS(매출내역!$A$3:$A$3002,매출내역!$B$3:$B$3002,$A295,매출내역!$I$3:$I$3002,"&gt;0")))</f>
        <v/>
      </c>
      <c r="H295" s="20" t="str">
        <f aca="false">IF($A295="","",IF($I295=0,"한도미설정",IF($E295&gt;$I295,"한도초과","정상")))</f>
        <v/>
      </c>
      <c r="I295" s="15" t="str">
        <f aca="false">IF($A295="","",IF(거래처목록!$D292="",0,거래처목록!$D292))</f>
        <v/>
      </c>
    </row>
    <row r="296" customFormat="false" ht="15" hidden="false" customHeight="true" outlineLevel="0" collapsed="false">
      <c r="A296" s="19" t="str">
        <f aca="false">IF(거래처목록!$A293="","",거래처목록!$A293)</f>
        <v/>
      </c>
      <c r="B296" s="19" t="str">
        <f aca="false">IF($A296="","",거래처목록!$B293)</f>
        <v/>
      </c>
      <c r="C296" s="15" t="str">
        <f aca="false">IF($A296="","",SUMIFS(매출내역!$F$3:$F$3002,매출내역!$B$3:$B$3002,$A296))</f>
        <v/>
      </c>
      <c r="D296" s="15" t="str">
        <f aca="false">IF($A296="","",SUMIFS(매출내역!$H$3:$H$3002,매출내역!$B$3:$B$3002,$A296))</f>
        <v/>
      </c>
      <c r="E296" s="15" t="str">
        <f aca="false">IF($A296="","",$C296-$D296)</f>
        <v/>
      </c>
      <c r="F296" s="20" t="str">
        <f aca="false">IF($A296="","",COUNTIFS(매출내역!$B$3:$B$3002,$A296,매출내역!$I$3:$I$3002,"&gt;0"))</f>
        <v/>
      </c>
      <c r="G296" s="21" t="str">
        <f aca="true">IF($A296="","",IF($F296=0,0,TODAY()-_xlfn.MINIFS(매출내역!$A$3:$A$3002,매출내역!$B$3:$B$3002,$A296,매출내역!$I$3:$I$3002,"&gt;0")))</f>
        <v/>
      </c>
      <c r="H296" s="20" t="str">
        <f aca="false">IF($A296="","",IF($I296=0,"한도미설정",IF($E296&gt;$I296,"한도초과","정상")))</f>
        <v/>
      </c>
      <c r="I296" s="15" t="str">
        <f aca="false">IF($A296="","",IF(거래처목록!$D293="",0,거래처목록!$D293))</f>
        <v/>
      </c>
    </row>
    <row r="297" customFormat="false" ht="15" hidden="false" customHeight="true" outlineLevel="0" collapsed="false">
      <c r="A297" s="19" t="str">
        <f aca="false">IF(거래처목록!$A294="","",거래처목록!$A294)</f>
        <v/>
      </c>
      <c r="B297" s="19" t="str">
        <f aca="false">IF($A297="","",거래처목록!$B294)</f>
        <v/>
      </c>
      <c r="C297" s="15" t="str">
        <f aca="false">IF($A297="","",SUMIFS(매출내역!$F$3:$F$3002,매출내역!$B$3:$B$3002,$A297))</f>
        <v/>
      </c>
      <c r="D297" s="15" t="str">
        <f aca="false">IF($A297="","",SUMIFS(매출내역!$H$3:$H$3002,매출내역!$B$3:$B$3002,$A297))</f>
        <v/>
      </c>
      <c r="E297" s="15" t="str">
        <f aca="false">IF($A297="","",$C297-$D297)</f>
        <v/>
      </c>
      <c r="F297" s="20" t="str">
        <f aca="false">IF($A297="","",COUNTIFS(매출내역!$B$3:$B$3002,$A297,매출내역!$I$3:$I$3002,"&gt;0"))</f>
        <v/>
      </c>
      <c r="G297" s="21" t="str">
        <f aca="true">IF($A297="","",IF($F297=0,0,TODAY()-_xlfn.MINIFS(매출내역!$A$3:$A$3002,매출내역!$B$3:$B$3002,$A297,매출내역!$I$3:$I$3002,"&gt;0")))</f>
        <v/>
      </c>
      <c r="H297" s="20" t="str">
        <f aca="false">IF($A297="","",IF($I297=0,"한도미설정",IF($E297&gt;$I297,"한도초과","정상")))</f>
        <v/>
      </c>
      <c r="I297" s="15" t="str">
        <f aca="false">IF($A297="","",IF(거래처목록!$D294="",0,거래처목록!$D294))</f>
        <v/>
      </c>
    </row>
    <row r="298" customFormat="false" ht="15" hidden="false" customHeight="true" outlineLevel="0" collapsed="false">
      <c r="A298" s="19" t="str">
        <f aca="false">IF(거래처목록!$A295="","",거래처목록!$A295)</f>
        <v/>
      </c>
      <c r="B298" s="19" t="str">
        <f aca="false">IF($A298="","",거래처목록!$B295)</f>
        <v/>
      </c>
      <c r="C298" s="15" t="str">
        <f aca="false">IF($A298="","",SUMIFS(매출내역!$F$3:$F$3002,매출내역!$B$3:$B$3002,$A298))</f>
        <v/>
      </c>
      <c r="D298" s="15" t="str">
        <f aca="false">IF($A298="","",SUMIFS(매출내역!$H$3:$H$3002,매출내역!$B$3:$B$3002,$A298))</f>
        <v/>
      </c>
      <c r="E298" s="15" t="str">
        <f aca="false">IF($A298="","",$C298-$D298)</f>
        <v/>
      </c>
      <c r="F298" s="20" t="str">
        <f aca="false">IF($A298="","",COUNTIFS(매출내역!$B$3:$B$3002,$A298,매출내역!$I$3:$I$3002,"&gt;0"))</f>
        <v/>
      </c>
      <c r="G298" s="21" t="str">
        <f aca="true">IF($A298="","",IF($F298=0,0,TODAY()-_xlfn.MINIFS(매출내역!$A$3:$A$3002,매출내역!$B$3:$B$3002,$A298,매출내역!$I$3:$I$3002,"&gt;0")))</f>
        <v/>
      </c>
      <c r="H298" s="20" t="str">
        <f aca="false">IF($A298="","",IF($I298=0,"한도미설정",IF($E298&gt;$I298,"한도초과","정상")))</f>
        <v/>
      </c>
      <c r="I298" s="15" t="str">
        <f aca="false">IF($A298="","",IF(거래처목록!$D295="",0,거래처목록!$D295))</f>
        <v/>
      </c>
    </row>
    <row r="299" customFormat="false" ht="15" hidden="false" customHeight="true" outlineLevel="0" collapsed="false">
      <c r="A299" s="19" t="str">
        <f aca="false">IF(거래처목록!$A296="","",거래처목록!$A296)</f>
        <v/>
      </c>
      <c r="B299" s="19" t="str">
        <f aca="false">IF($A299="","",거래처목록!$B296)</f>
        <v/>
      </c>
      <c r="C299" s="15" t="str">
        <f aca="false">IF($A299="","",SUMIFS(매출내역!$F$3:$F$3002,매출내역!$B$3:$B$3002,$A299))</f>
        <v/>
      </c>
      <c r="D299" s="15" t="str">
        <f aca="false">IF($A299="","",SUMIFS(매출내역!$H$3:$H$3002,매출내역!$B$3:$B$3002,$A299))</f>
        <v/>
      </c>
      <c r="E299" s="15" t="str">
        <f aca="false">IF($A299="","",$C299-$D299)</f>
        <v/>
      </c>
      <c r="F299" s="20" t="str">
        <f aca="false">IF($A299="","",COUNTIFS(매출내역!$B$3:$B$3002,$A299,매출내역!$I$3:$I$3002,"&gt;0"))</f>
        <v/>
      </c>
      <c r="G299" s="21" t="str">
        <f aca="true">IF($A299="","",IF($F299=0,0,TODAY()-_xlfn.MINIFS(매출내역!$A$3:$A$3002,매출내역!$B$3:$B$3002,$A299,매출내역!$I$3:$I$3002,"&gt;0")))</f>
        <v/>
      </c>
      <c r="H299" s="20" t="str">
        <f aca="false">IF($A299="","",IF($I299=0,"한도미설정",IF($E299&gt;$I299,"한도초과","정상")))</f>
        <v/>
      </c>
      <c r="I299" s="15" t="str">
        <f aca="false">IF($A299="","",IF(거래처목록!$D296="",0,거래처목록!$D296))</f>
        <v/>
      </c>
    </row>
    <row r="300" customFormat="false" ht="15" hidden="false" customHeight="true" outlineLevel="0" collapsed="false">
      <c r="A300" s="19" t="str">
        <f aca="false">IF(거래처목록!$A297="","",거래처목록!$A297)</f>
        <v/>
      </c>
      <c r="B300" s="19" t="str">
        <f aca="false">IF($A300="","",거래처목록!$B297)</f>
        <v/>
      </c>
      <c r="C300" s="15" t="str">
        <f aca="false">IF($A300="","",SUMIFS(매출내역!$F$3:$F$3002,매출내역!$B$3:$B$3002,$A300))</f>
        <v/>
      </c>
      <c r="D300" s="15" t="str">
        <f aca="false">IF($A300="","",SUMIFS(매출내역!$H$3:$H$3002,매출내역!$B$3:$B$3002,$A300))</f>
        <v/>
      </c>
      <c r="E300" s="15" t="str">
        <f aca="false">IF($A300="","",$C300-$D300)</f>
        <v/>
      </c>
      <c r="F300" s="20" t="str">
        <f aca="false">IF($A300="","",COUNTIFS(매출내역!$B$3:$B$3002,$A300,매출내역!$I$3:$I$3002,"&gt;0"))</f>
        <v/>
      </c>
      <c r="G300" s="21" t="str">
        <f aca="true">IF($A300="","",IF($F300=0,0,TODAY()-_xlfn.MINIFS(매출내역!$A$3:$A$3002,매출내역!$B$3:$B$3002,$A300,매출내역!$I$3:$I$3002,"&gt;0")))</f>
        <v/>
      </c>
      <c r="H300" s="20" t="str">
        <f aca="false">IF($A300="","",IF($I300=0,"한도미설정",IF($E300&gt;$I300,"한도초과","정상")))</f>
        <v/>
      </c>
      <c r="I300" s="15" t="str">
        <f aca="false">IF($A300="","",IF(거래처목록!$D297="",0,거래처목록!$D297))</f>
        <v/>
      </c>
    </row>
    <row r="301" customFormat="false" ht="15" hidden="false" customHeight="true" outlineLevel="0" collapsed="false">
      <c r="A301" s="19" t="str">
        <f aca="false">IF(거래처목록!$A298="","",거래처목록!$A298)</f>
        <v/>
      </c>
      <c r="B301" s="19" t="str">
        <f aca="false">IF($A301="","",거래처목록!$B298)</f>
        <v/>
      </c>
      <c r="C301" s="15" t="str">
        <f aca="false">IF($A301="","",SUMIFS(매출내역!$F$3:$F$3002,매출내역!$B$3:$B$3002,$A301))</f>
        <v/>
      </c>
      <c r="D301" s="15" t="str">
        <f aca="false">IF($A301="","",SUMIFS(매출내역!$H$3:$H$3002,매출내역!$B$3:$B$3002,$A301))</f>
        <v/>
      </c>
      <c r="E301" s="15" t="str">
        <f aca="false">IF($A301="","",$C301-$D301)</f>
        <v/>
      </c>
      <c r="F301" s="20" t="str">
        <f aca="false">IF($A301="","",COUNTIFS(매출내역!$B$3:$B$3002,$A301,매출내역!$I$3:$I$3002,"&gt;0"))</f>
        <v/>
      </c>
      <c r="G301" s="21" t="str">
        <f aca="true">IF($A301="","",IF($F301=0,0,TODAY()-_xlfn.MINIFS(매출내역!$A$3:$A$3002,매출내역!$B$3:$B$3002,$A301,매출내역!$I$3:$I$3002,"&gt;0")))</f>
        <v/>
      </c>
      <c r="H301" s="20" t="str">
        <f aca="false">IF($A301="","",IF($I301=0,"한도미설정",IF($E301&gt;$I301,"한도초과","정상")))</f>
        <v/>
      </c>
      <c r="I301" s="15" t="str">
        <f aca="false">IF($A301="","",IF(거래처목록!$D298="",0,거래처목록!$D298))</f>
        <v/>
      </c>
    </row>
    <row r="302" customFormat="false" ht="15" hidden="false" customHeight="true" outlineLevel="0" collapsed="false">
      <c r="A302" s="19" t="str">
        <f aca="false">IF(거래처목록!$A299="","",거래처목록!$A299)</f>
        <v/>
      </c>
      <c r="B302" s="19" t="str">
        <f aca="false">IF($A302="","",거래처목록!$B299)</f>
        <v/>
      </c>
      <c r="C302" s="15" t="str">
        <f aca="false">IF($A302="","",SUMIFS(매출내역!$F$3:$F$3002,매출내역!$B$3:$B$3002,$A302))</f>
        <v/>
      </c>
      <c r="D302" s="15" t="str">
        <f aca="false">IF($A302="","",SUMIFS(매출내역!$H$3:$H$3002,매출내역!$B$3:$B$3002,$A302))</f>
        <v/>
      </c>
      <c r="E302" s="15" t="str">
        <f aca="false">IF($A302="","",$C302-$D302)</f>
        <v/>
      </c>
      <c r="F302" s="20" t="str">
        <f aca="false">IF($A302="","",COUNTIFS(매출내역!$B$3:$B$3002,$A302,매출내역!$I$3:$I$3002,"&gt;0"))</f>
        <v/>
      </c>
      <c r="G302" s="21" t="str">
        <f aca="true">IF($A302="","",IF($F302=0,0,TODAY()-_xlfn.MINIFS(매출내역!$A$3:$A$3002,매출내역!$B$3:$B$3002,$A302,매출내역!$I$3:$I$3002,"&gt;0")))</f>
        <v/>
      </c>
      <c r="H302" s="20" t="str">
        <f aca="false">IF($A302="","",IF($I302=0,"한도미설정",IF($E302&gt;$I302,"한도초과","정상")))</f>
        <v/>
      </c>
      <c r="I302" s="15" t="str">
        <f aca="false">IF($A302="","",IF(거래처목록!$D299="",0,거래처목록!$D299))</f>
        <v/>
      </c>
    </row>
    <row r="303" customFormat="false" ht="15" hidden="false" customHeight="true" outlineLevel="0" collapsed="false">
      <c r="A303" s="19" t="str">
        <f aca="false">IF(거래처목록!$A300="","",거래처목록!$A300)</f>
        <v/>
      </c>
      <c r="B303" s="19" t="str">
        <f aca="false">IF($A303="","",거래처목록!$B300)</f>
        <v/>
      </c>
      <c r="C303" s="15" t="str">
        <f aca="false">IF($A303="","",SUMIFS(매출내역!$F$3:$F$3002,매출내역!$B$3:$B$3002,$A303))</f>
        <v/>
      </c>
      <c r="D303" s="15" t="str">
        <f aca="false">IF($A303="","",SUMIFS(매출내역!$H$3:$H$3002,매출내역!$B$3:$B$3002,$A303))</f>
        <v/>
      </c>
      <c r="E303" s="15" t="str">
        <f aca="false">IF($A303="","",$C303-$D303)</f>
        <v/>
      </c>
      <c r="F303" s="20" t="str">
        <f aca="false">IF($A303="","",COUNTIFS(매출내역!$B$3:$B$3002,$A303,매출내역!$I$3:$I$3002,"&gt;0"))</f>
        <v/>
      </c>
      <c r="G303" s="21" t="str">
        <f aca="true">IF($A303="","",IF($F303=0,0,TODAY()-_xlfn.MINIFS(매출내역!$A$3:$A$3002,매출내역!$B$3:$B$3002,$A303,매출내역!$I$3:$I$3002,"&gt;0")))</f>
        <v/>
      </c>
      <c r="H303" s="20" t="str">
        <f aca="false">IF($A303="","",IF($I303=0,"한도미설정",IF($E303&gt;$I303,"한도초과","정상")))</f>
        <v/>
      </c>
      <c r="I303" s="15" t="str">
        <f aca="false">IF($A303="","",IF(거래처목록!$D300="",0,거래처목록!$D300))</f>
        <v/>
      </c>
    </row>
    <row r="304" customFormat="false" ht="15" hidden="false" customHeight="true" outlineLevel="0" collapsed="false">
      <c r="A304" s="19" t="str">
        <f aca="false">IF(거래처목록!$A301="","",거래처목록!$A301)</f>
        <v/>
      </c>
      <c r="B304" s="19" t="str">
        <f aca="false">IF($A304="","",거래처목록!$B301)</f>
        <v/>
      </c>
      <c r="C304" s="15" t="str">
        <f aca="false">IF($A304="","",SUMIFS(매출내역!$F$3:$F$3002,매출내역!$B$3:$B$3002,$A304))</f>
        <v/>
      </c>
      <c r="D304" s="15" t="str">
        <f aca="false">IF($A304="","",SUMIFS(매출내역!$H$3:$H$3002,매출내역!$B$3:$B$3002,$A304))</f>
        <v/>
      </c>
      <c r="E304" s="15" t="str">
        <f aca="false">IF($A304="","",$C304-$D304)</f>
        <v/>
      </c>
      <c r="F304" s="20" t="str">
        <f aca="false">IF($A304="","",COUNTIFS(매출내역!$B$3:$B$3002,$A304,매출내역!$I$3:$I$3002,"&gt;0"))</f>
        <v/>
      </c>
      <c r="G304" s="21" t="str">
        <f aca="true">IF($A304="","",IF($F304=0,0,TODAY()-_xlfn.MINIFS(매출내역!$A$3:$A$3002,매출내역!$B$3:$B$3002,$A304,매출내역!$I$3:$I$3002,"&gt;0")))</f>
        <v/>
      </c>
      <c r="H304" s="20" t="str">
        <f aca="false">IF($A304="","",IF($I304=0,"한도미설정",IF($E304&gt;$I304,"한도초과","정상")))</f>
        <v/>
      </c>
      <c r="I304" s="15" t="str">
        <f aca="false">IF($A304="","",IF(거래처목록!$D301="",0,거래처목록!$D301))</f>
        <v/>
      </c>
    </row>
    <row r="305" customFormat="false" ht="15" hidden="false" customHeight="true" outlineLevel="0" collapsed="false">
      <c r="A305" s="19" t="str">
        <f aca="false">IF(거래처목록!$A302="","",거래처목록!$A302)</f>
        <v/>
      </c>
      <c r="B305" s="19" t="str">
        <f aca="false">IF($A305="","",거래처목록!$B302)</f>
        <v/>
      </c>
      <c r="C305" s="15" t="str">
        <f aca="false">IF($A305="","",SUMIFS(매출내역!$F$3:$F$3002,매출내역!$B$3:$B$3002,$A305))</f>
        <v/>
      </c>
      <c r="D305" s="15" t="str">
        <f aca="false">IF($A305="","",SUMIFS(매출내역!$H$3:$H$3002,매출내역!$B$3:$B$3002,$A305))</f>
        <v/>
      </c>
      <c r="E305" s="15" t="str">
        <f aca="false">IF($A305="","",$C305-$D305)</f>
        <v/>
      </c>
      <c r="F305" s="20" t="str">
        <f aca="false">IF($A305="","",COUNTIFS(매출내역!$B$3:$B$3002,$A305,매출내역!$I$3:$I$3002,"&gt;0"))</f>
        <v/>
      </c>
      <c r="G305" s="21" t="str">
        <f aca="true">IF($A305="","",IF($F305=0,0,TODAY()-_xlfn.MINIFS(매출내역!$A$3:$A$3002,매출내역!$B$3:$B$3002,$A305,매출내역!$I$3:$I$3002,"&gt;0")))</f>
        <v/>
      </c>
      <c r="H305" s="20" t="str">
        <f aca="false">IF($A305="","",IF($I305=0,"한도미설정",IF($E305&gt;$I305,"한도초과","정상")))</f>
        <v/>
      </c>
      <c r="I305" s="15" t="str">
        <f aca="false">IF($A305="","",IF(거래처목록!$D302="",0,거래처목록!$D302))</f>
        <v/>
      </c>
    </row>
    <row r="307" customFormat="false" ht="15" hidden="false" customHeight="true" outlineLevel="0" collapsed="false">
      <c r="B307" s="22" t="s">
        <v>65</v>
      </c>
      <c r="C307" s="23" t="n">
        <f aca="false">SUM(C6:C305)</f>
        <v>17050000</v>
      </c>
      <c r="D307" s="23" t="n">
        <f aca="false">SUM(D6:D305)</f>
        <v>4500000</v>
      </c>
      <c r="E307" s="23" t="n">
        <f aca="false">SUM(E6:E305)</f>
        <v>12550000</v>
      </c>
      <c r="F307" s="23" t="n">
        <f aca="false">SUM(F6:F305)</f>
        <v>4</v>
      </c>
    </row>
    <row r="309" customFormat="false" ht="15" hidden="false" customHeight="true" outlineLevel="0" collapsed="false">
      <c r="A309" s="6" t="s">
        <v>66</v>
      </c>
    </row>
  </sheetData>
  <mergeCells count="1">
    <mergeCell ref="A1:I1"/>
  </mergeCells>
  <conditionalFormatting sqref="A6:I305">
    <cfRule type="expression" priority="2" aboveAverage="0" equalAverage="0" bottom="0" percent="0" rank="0" text="" dxfId="0">
      <formula>$H6="한도초과"</formula>
    </cfRule>
    <cfRule type="expression" priority="3" aboveAverage="0" equalAverage="0" bottom="0" percent="0" rank="0" text="" dxfId="2">
      <formula>AND($G6&lt;&gt;"",$G6&gt;사용안내!$C$17)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5" min="2" style="1" width="16"/>
    <col collapsed="false" customWidth="true" hidden="false" outlineLevel="0" max="6" min="6" style="1" width="17"/>
    <col collapsed="false" customWidth="true" hidden="false" outlineLevel="0" max="7" min="7" style="1" width="11"/>
  </cols>
  <sheetData>
    <row r="1" customFormat="false" ht="25.5" hidden="false" customHeight="true" outlineLevel="0" collapsed="false">
      <c r="A1" s="2" t="s">
        <v>67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68</v>
      </c>
      <c r="B3" s="24" t="n">
        <f aca="true">TODAY()</f>
        <v>46279</v>
      </c>
    </row>
    <row r="5" customFormat="false" ht="15" hidden="false" customHeight="true" outlineLevel="0" collapsed="false">
      <c r="A5" s="8" t="s">
        <v>27</v>
      </c>
      <c r="B5" s="25" t="s">
        <v>69</v>
      </c>
      <c r="C5" s="25" t="s">
        <v>70</v>
      </c>
      <c r="D5" s="25" t="s">
        <v>71</v>
      </c>
      <c r="E5" s="25" t="s">
        <v>72</v>
      </c>
      <c r="F5" s="8" t="s">
        <v>73</v>
      </c>
      <c r="G5" s="8" t="s">
        <v>74</v>
      </c>
    </row>
    <row r="6" customFormat="false" ht="15" hidden="false" customHeight="true" outlineLevel="0" collapsed="false">
      <c r="A6" s="19" t="str">
        <f aca="false">IF(거래처목록!$A3="","",거래처목록!$A3)</f>
        <v>○○건재</v>
      </c>
      <c r="B6" s="15" t="n">
        <f aca="false">IF($A6="","",SUMIFS(매출내역!$I$3:$I$3002,매출내역!$I$3:$I$3002,"&gt;0",매출내역!$B$3:$B$3002,$A6,매출내역!$A$3:$A$3002,"&gt;"&amp;($B$3-30)))</f>
        <v>2500000</v>
      </c>
      <c r="C6" s="15" t="n">
        <f aca="false">IF($A6="","",SUMIFS(매출내역!$I$3:$I$3002,매출내역!$I$3:$I$3002,"&gt;0",매출내역!$B$3:$B$3002,$A6,매출내역!$A$3:$A$3002,"&lt;="&amp;($B$3-30),매출내역!$A$3:$A$3002,"&gt;"&amp;($B$3-60)))</f>
        <v>0</v>
      </c>
      <c r="D6" s="15" t="n">
        <f aca="false">IF($A6="","",SUMIFS(매출내역!$I$3:$I$3002,매출내역!$I$3:$I$3002,"&gt;0",매출내역!$B$3:$B$3002,$A6,매출내역!$A$3:$A$3002,"&lt;="&amp;($B$3-60),매출내역!$A$3:$A$3002,"&gt;"&amp;($B$3-90)))</f>
        <v>0</v>
      </c>
      <c r="E6" s="15" t="n">
        <f aca="false">IF($A6="","",SUMIFS(매출내역!$I$3:$I$3002,매출내역!$I$3:$I$3002,"&gt;0",매출내역!$B$3:$B$3002,$A6,매출내역!$A$3:$A$3002,"&lt;="&amp;($B$3-90)))</f>
        <v>0</v>
      </c>
      <c r="F6" s="15" t="n">
        <f aca="false">IF($A6="","",SUM($B6:$E6))</f>
        <v>2500000</v>
      </c>
      <c r="G6" s="26" t="n">
        <f aca="false">IF($A6="","",IF($F$307=0,"",$F6/$F$307))</f>
        <v>0.199203187250996</v>
      </c>
    </row>
    <row r="7" customFormat="false" ht="15" hidden="false" customHeight="true" outlineLevel="0" collapsed="false">
      <c r="A7" s="19" t="str">
        <f aca="false">IF(거래처목록!$A4="","",거래처목록!$A4)</f>
        <v>△△인테리어</v>
      </c>
      <c r="B7" s="15" t="n">
        <f aca="false">IF($A7="","",SUMIFS(매출내역!$I$3:$I$3002,매출내역!$I$3:$I$3002,"&gt;0",매출내역!$B$3:$B$3002,$A7,매출내역!$A$3:$A$3002,"&gt;"&amp;($B$3-30)))</f>
        <v>0</v>
      </c>
      <c r="C7" s="15" t="n">
        <f aca="false">IF($A7="","",SUMIFS(매출내역!$I$3:$I$3002,매출내역!$I$3:$I$3002,"&gt;0",매출내역!$B$3:$B$3002,$A7,매출내역!$A$3:$A$3002,"&lt;="&amp;($B$3-30),매출내역!$A$3:$A$3002,"&gt;"&amp;($B$3-60)))</f>
        <v>1950000</v>
      </c>
      <c r="D7" s="15" t="n">
        <f aca="false">IF($A7="","",SUMIFS(매출내역!$I$3:$I$3002,매출내역!$I$3:$I$3002,"&gt;0",매출내역!$B$3:$B$3002,$A7,매출내역!$A$3:$A$3002,"&lt;="&amp;($B$3-60),매출내역!$A$3:$A$3002,"&gt;"&amp;($B$3-90)))</f>
        <v>0</v>
      </c>
      <c r="E7" s="15" t="n">
        <f aca="false">IF($A7="","",SUMIFS(매출내역!$I$3:$I$3002,매출내역!$I$3:$I$3002,"&gt;0",매출내역!$B$3:$B$3002,$A7,매출내역!$A$3:$A$3002,"&lt;="&amp;($B$3-90)))</f>
        <v>3600000</v>
      </c>
      <c r="F7" s="15" t="n">
        <f aca="false">IF($A7="","",SUM($B7:$E7))</f>
        <v>5550000</v>
      </c>
      <c r="G7" s="26" t="n">
        <f aca="false">IF($A7="","",IF($F$307=0,"",$F7/$F$307))</f>
        <v>0.442231075697211</v>
      </c>
    </row>
    <row r="8" customFormat="false" ht="15" hidden="false" customHeight="true" outlineLevel="0" collapsed="false">
      <c r="A8" s="19" t="str">
        <f aca="false">IF(거래처목록!$A5="","",거래처목록!$A5)</f>
        <v>□□산업</v>
      </c>
      <c r="B8" s="15" t="n">
        <f aca="false">IF($A8="","",SUMIFS(매출내역!$I$3:$I$3002,매출내역!$I$3:$I$3002,"&gt;0",매출내역!$B$3:$B$3002,$A8,매출내역!$A$3:$A$3002,"&gt;"&amp;($B$3-30)))</f>
        <v>4500000</v>
      </c>
      <c r="C8" s="15" t="n">
        <f aca="false">IF($A8="","",SUMIFS(매출내역!$I$3:$I$3002,매출내역!$I$3:$I$3002,"&gt;0",매출내역!$B$3:$B$3002,$A8,매출내역!$A$3:$A$3002,"&lt;="&amp;($B$3-30),매출내역!$A$3:$A$3002,"&gt;"&amp;($B$3-60)))</f>
        <v>0</v>
      </c>
      <c r="D8" s="15" t="n">
        <f aca="false">IF($A8="","",SUMIFS(매출내역!$I$3:$I$3002,매출내역!$I$3:$I$3002,"&gt;0",매출내역!$B$3:$B$3002,$A8,매출내역!$A$3:$A$3002,"&lt;="&amp;($B$3-60),매출내역!$A$3:$A$3002,"&gt;"&amp;($B$3-90)))</f>
        <v>0</v>
      </c>
      <c r="E8" s="15" t="n">
        <f aca="false">IF($A8="","",SUMIFS(매출내역!$I$3:$I$3002,매출내역!$I$3:$I$3002,"&gt;0",매출내역!$B$3:$B$3002,$A8,매출내역!$A$3:$A$3002,"&lt;="&amp;($B$3-90)))</f>
        <v>0</v>
      </c>
      <c r="F8" s="15" t="n">
        <f aca="false">IF($A8="","",SUM($B8:$E8))</f>
        <v>4500000</v>
      </c>
      <c r="G8" s="26" t="n">
        <f aca="false">IF($A8="","",IF($F$307=0,"",$F8/$F$307))</f>
        <v>0.358565737051793</v>
      </c>
    </row>
    <row r="9" customFormat="false" ht="15" hidden="false" customHeight="true" outlineLevel="0" collapsed="false">
      <c r="A9" s="19" t="str">
        <f aca="false">IF(거래처목록!$A6="","",거래처목록!$A6)</f>
        <v/>
      </c>
      <c r="B9" s="15" t="str">
        <f aca="false">IF($A9="","",SUMIFS(매출내역!$I$3:$I$3002,매출내역!$I$3:$I$3002,"&gt;0",매출내역!$B$3:$B$3002,$A9,매출내역!$A$3:$A$3002,"&gt;"&amp;($B$3-30)))</f>
        <v/>
      </c>
      <c r="C9" s="15" t="str">
        <f aca="false">IF($A9="","",SUMIFS(매출내역!$I$3:$I$3002,매출내역!$I$3:$I$3002,"&gt;0",매출내역!$B$3:$B$3002,$A9,매출내역!$A$3:$A$3002,"&lt;="&amp;($B$3-30),매출내역!$A$3:$A$3002,"&gt;"&amp;($B$3-60)))</f>
        <v/>
      </c>
      <c r="D9" s="15" t="str">
        <f aca="false">IF($A9="","",SUMIFS(매출내역!$I$3:$I$3002,매출내역!$I$3:$I$3002,"&gt;0",매출내역!$B$3:$B$3002,$A9,매출내역!$A$3:$A$3002,"&lt;="&amp;($B$3-60),매출내역!$A$3:$A$3002,"&gt;"&amp;($B$3-90)))</f>
        <v/>
      </c>
      <c r="E9" s="15" t="str">
        <f aca="false">IF($A9="","",SUMIFS(매출내역!$I$3:$I$3002,매출내역!$I$3:$I$3002,"&gt;0",매출내역!$B$3:$B$3002,$A9,매출내역!$A$3:$A$3002,"&lt;="&amp;($B$3-90)))</f>
        <v/>
      </c>
      <c r="F9" s="15" t="str">
        <f aca="false">IF($A9="","",SUM($B9:$E9))</f>
        <v/>
      </c>
      <c r="G9" s="26" t="str">
        <f aca="false">IF($A9="","",IF($F$307=0,"",$F9/$F$307))</f>
        <v/>
      </c>
    </row>
    <row r="10" customFormat="false" ht="15" hidden="false" customHeight="true" outlineLevel="0" collapsed="false">
      <c r="A10" s="19" t="str">
        <f aca="false">IF(거래처목록!$A7="","",거래처목록!$A7)</f>
        <v/>
      </c>
      <c r="B10" s="15" t="str">
        <f aca="false">IF($A10="","",SUMIFS(매출내역!$I$3:$I$3002,매출내역!$I$3:$I$3002,"&gt;0",매출내역!$B$3:$B$3002,$A10,매출내역!$A$3:$A$3002,"&gt;"&amp;($B$3-30)))</f>
        <v/>
      </c>
      <c r="C10" s="15" t="str">
        <f aca="false">IF($A10="","",SUMIFS(매출내역!$I$3:$I$3002,매출내역!$I$3:$I$3002,"&gt;0",매출내역!$B$3:$B$3002,$A10,매출내역!$A$3:$A$3002,"&lt;="&amp;($B$3-30),매출내역!$A$3:$A$3002,"&gt;"&amp;($B$3-60)))</f>
        <v/>
      </c>
      <c r="D10" s="15" t="str">
        <f aca="false">IF($A10="","",SUMIFS(매출내역!$I$3:$I$3002,매출내역!$I$3:$I$3002,"&gt;0",매출내역!$B$3:$B$3002,$A10,매출내역!$A$3:$A$3002,"&lt;="&amp;($B$3-60),매출내역!$A$3:$A$3002,"&gt;"&amp;($B$3-90)))</f>
        <v/>
      </c>
      <c r="E10" s="15" t="str">
        <f aca="false">IF($A10="","",SUMIFS(매출내역!$I$3:$I$3002,매출내역!$I$3:$I$3002,"&gt;0",매출내역!$B$3:$B$3002,$A10,매출내역!$A$3:$A$3002,"&lt;="&amp;($B$3-90)))</f>
        <v/>
      </c>
      <c r="F10" s="15" t="str">
        <f aca="false">IF($A10="","",SUM($B10:$E10))</f>
        <v/>
      </c>
      <c r="G10" s="26" t="str">
        <f aca="false">IF($A10="","",IF($F$307=0,"",$F10/$F$307))</f>
        <v/>
      </c>
    </row>
    <row r="11" customFormat="false" ht="15" hidden="false" customHeight="true" outlineLevel="0" collapsed="false">
      <c r="A11" s="19" t="str">
        <f aca="false">IF(거래처목록!$A8="","",거래처목록!$A8)</f>
        <v/>
      </c>
      <c r="B11" s="15" t="str">
        <f aca="false">IF($A11="","",SUMIFS(매출내역!$I$3:$I$3002,매출내역!$I$3:$I$3002,"&gt;0",매출내역!$B$3:$B$3002,$A11,매출내역!$A$3:$A$3002,"&gt;"&amp;($B$3-30)))</f>
        <v/>
      </c>
      <c r="C11" s="15" t="str">
        <f aca="false">IF($A11="","",SUMIFS(매출내역!$I$3:$I$3002,매출내역!$I$3:$I$3002,"&gt;0",매출내역!$B$3:$B$3002,$A11,매출내역!$A$3:$A$3002,"&lt;="&amp;($B$3-30),매출내역!$A$3:$A$3002,"&gt;"&amp;($B$3-60)))</f>
        <v/>
      </c>
      <c r="D11" s="15" t="str">
        <f aca="false">IF($A11="","",SUMIFS(매출내역!$I$3:$I$3002,매출내역!$I$3:$I$3002,"&gt;0",매출내역!$B$3:$B$3002,$A11,매출내역!$A$3:$A$3002,"&lt;="&amp;($B$3-60),매출내역!$A$3:$A$3002,"&gt;"&amp;($B$3-90)))</f>
        <v/>
      </c>
      <c r="E11" s="15" t="str">
        <f aca="false">IF($A11="","",SUMIFS(매출내역!$I$3:$I$3002,매출내역!$I$3:$I$3002,"&gt;0",매출내역!$B$3:$B$3002,$A11,매출내역!$A$3:$A$3002,"&lt;="&amp;($B$3-90)))</f>
        <v/>
      </c>
      <c r="F11" s="15" t="str">
        <f aca="false">IF($A11="","",SUM($B11:$E11))</f>
        <v/>
      </c>
      <c r="G11" s="26" t="str">
        <f aca="false">IF($A11="","",IF($F$307=0,"",$F11/$F$307))</f>
        <v/>
      </c>
    </row>
    <row r="12" customFormat="false" ht="15" hidden="false" customHeight="true" outlineLevel="0" collapsed="false">
      <c r="A12" s="19" t="str">
        <f aca="false">IF(거래처목록!$A9="","",거래처목록!$A9)</f>
        <v/>
      </c>
      <c r="B12" s="15" t="str">
        <f aca="false">IF($A12="","",SUMIFS(매출내역!$I$3:$I$3002,매출내역!$I$3:$I$3002,"&gt;0",매출내역!$B$3:$B$3002,$A12,매출내역!$A$3:$A$3002,"&gt;"&amp;($B$3-30)))</f>
        <v/>
      </c>
      <c r="C12" s="15" t="str">
        <f aca="false">IF($A12="","",SUMIFS(매출내역!$I$3:$I$3002,매출내역!$I$3:$I$3002,"&gt;0",매출내역!$B$3:$B$3002,$A12,매출내역!$A$3:$A$3002,"&lt;="&amp;($B$3-30),매출내역!$A$3:$A$3002,"&gt;"&amp;($B$3-60)))</f>
        <v/>
      </c>
      <c r="D12" s="15" t="str">
        <f aca="false">IF($A12="","",SUMIFS(매출내역!$I$3:$I$3002,매출내역!$I$3:$I$3002,"&gt;0",매출내역!$B$3:$B$3002,$A12,매출내역!$A$3:$A$3002,"&lt;="&amp;($B$3-60),매출내역!$A$3:$A$3002,"&gt;"&amp;($B$3-90)))</f>
        <v/>
      </c>
      <c r="E12" s="15" t="str">
        <f aca="false">IF($A12="","",SUMIFS(매출내역!$I$3:$I$3002,매출내역!$I$3:$I$3002,"&gt;0",매출내역!$B$3:$B$3002,$A12,매출내역!$A$3:$A$3002,"&lt;="&amp;($B$3-90)))</f>
        <v/>
      </c>
      <c r="F12" s="15" t="str">
        <f aca="false">IF($A12="","",SUM($B12:$E12))</f>
        <v/>
      </c>
      <c r="G12" s="26" t="str">
        <f aca="false">IF($A12="","",IF($F$307=0,"",$F12/$F$307))</f>
        <v/>
      </c>
    </row>
    <row r="13" customFormat="false" ht="15" hidden="false" customHeight="true" outlineLevel="0" collapsed="false">
      <c r="A13" s="19" t="str">
        <f aca="false">IF(거래처목록!$A10="","",거래처목록!$A10)</f>
        <v/>
      </c>
      <c r="B13" s="15" t="str">
        <f aca="false">IF($A13="","",SUMIFS(매출내역!$I$3:$I$3002,매출내역!$I$3:$I$3002,"&gt;0",매출내역!$B$3:$B$3002,$A13,매출내역!$A$3:$A$3002,"&gt;"&amp;($B$3-30)))</f>
        <v/>
      </c>
      <c r="C13" s="15" t="str">
        <f aca="false">IF($A13="","",SUMIFS(매출내역!$I$3:$I$3002,매출내역!$I$3:$I$3002,"&gt;0",매출내역!$B$3:$B$3002,$A13,매출내역!$A$3:$A$3002,"&lt;="&amp;($B$3-30),매출내역!$A$3:$A$3002,"&gt;"&amp;($B$3-60)))</f>
        <v/>
      </c>
      <c r="D13" s="15" t="str">
        <f aca="false">IF($A13="","",SUMIFS(매출내역!$I$3:$I$3002,매출내역!$I$3:$I$3002,"&gt;0",매출내역!$B$3:$B$3002,$A13,매출내역!$A$3:$A$3002,"&lt;="&amp;($B$3-60),매출내역!$A$3:$A$3002,"&gt;"&amp;($B$3-90)))</f>
        <v/>
      </c>
      <c r="E13" s="15" t="str">
        <f aca="false">IF($A13="","",SUMIFS(매출내역!$I$3:$I$3002,매출내역!$I$3:$I$3002,"&gt;0",매출내역!$B$3:$B$3002,$A13,매출내역!$A$3:$A$3002,"&lt;="&amp;($B$3-90)))</f>
        <v/>
      </c>
      <c r="F13" s="15" t="str">
        <f aca="false">IF($A13="","",SUM($B13:$E13))</f>
        <v/>
      </c>
      <c r="G13" s="26" t="str">
        <f aca="false">IF($A13="","",IF($F$307=0,"",$F13/$F$307))</f>
        <v/>
      </c>
    </row>
    <row r="14" customFormat="false" ht="15" hidden="false" customHeight="true" outlineLevel="0" collapsed="false">
      <c r="A14" s="19" t="str">
        <f aca="false">IF(거래처목록!$A11="","",거래처목록!$A11)</f>
        <v/>
      </c>
      <c r="B14" s="15" t="str">
        <f aca="false">IF($A14="","",SUMIFS(매출내역!$I$3:$I$3002,매출내역!$I$3:$I$3002,"&gt;0",매출내역!$B$3:$B$3002,$A14,매출내역!$A$3:$A$3002,"&gt;"&amp;($B$3-30)))</f>
        <v/>
      </c>
      <c r="C14" s="15" t="str">
        <f aca="false">IF($A14="","",SUMIFS(매출내역!$I$3:$I$3002,매출내역!$I$3:$I$3002,"&gt;0",매출내역!$B$3:$B$3002,$A14,매출내역!$A$3:$A$3002,"&lt;="&amp;($B$3-30),매출내역!$A$3:$A$3002,"&gt;"&amp;($B$3-60)))</f>
        <v/>
      </c>
      <c r="D14" s="15" t="str">
        <f aca="false">IF($A14="","",SUMIFS(매출내역!$I$3:$I$3002,매출내역!$I$3:$I$3002,"&gt;0",매출내역!$B$3:$B$3002,$A14,매출내역!$A$3:$A$3002,"&lt;="&amp;($B$3-60),매출내역!$A$3:$A$3002,"&gt;"&amp;($B$3-90)))</f>
        <v/>
      </c>
      <c r="E14" s="15" t="str">
        <f aca="false">IF($A14="","",SUMIFS(매출내역!$I$3:$I$3002,매출내역!$I$3:$I$3002,"&gt;0",매출내역!$B$3:$B$3002,$A14,매출내역!$A$3:$A$3002,"&lt;="&amp;($B$3-90)))</f>
        <v/>
      </c>
      <c r="F14" s="15" t="str">
        <f aca="false">IF($A14="","",SUM($B14:$E14))</f>
        <v/>
      </c>
      <c r="G14" s="26" t="str">
        <f aca="false">IF($A14="","",IF($F$307=0,"",$F14/$F$307))</f>
        <v/>
      </c>
    </row>
    <row r="15" customFormat="false" ht="15" hidden="false" customHeight="true" outlineLevel="0" collapsed="false">
      <c r="A15" s="19" t="str">
        <f aca="false">IF(거래처목록!$A12="","",거래처목록!$A12)</f>
        <v/>
      </c>
      <c r="B15" s="15" t="str">
        <f aca="false">IF($A15="","",SUMIFS(매출내역!$I$3:$I$3002,매출내역!$I$3:$I$3002,"&gt;0",매출내역!$B$3:$B$3002,$A15,매출내역!$A$3:$A$3002,"&gt;"&amp;($B$3-30)))</f>
        <v/>
      </c>
      <c r="C15" s="15" t="str">
        <f aca="false">IF($A15="","",SUMIFS(매출내역!$I$3:$I$3002,매출내역!$I$3:$I$3002,"&gt;0",매출내역!$B$3:$B$3002,$A15,매출내역!$A$3:$A$3002,"&lt;="&amp;($B$3-30),매출내역!$A$3:$A$3002,"&gt;"&amp;($B$3-60)))</f>
        <v/>
      </c>
      <c r="D15" s="15" t="str">
        <f aca="false">IF($A15="","",SUMIFS(매출내역!$I$3:$I$3002,매출내역!$I$3:$I$3002,"&gt;0",매출내역!$B$3:$B$3002,$A15,매출내역!$A$3:$A$3002,"&lt;="&amp;($B$3-60),매출내역!$A$3:$A$3002,"&gt;"&amp;($B$3-90)))</f>
        <v/>
      </c>
      <c r="E15" s="15" t="str">
        <f aca="false">IF($A15="","",SUMIFS(매출내역!$I$3:$I$3002,매출내역!$I$3:$I$3002,"&gt;0",매출내역!$B$3:$B$3002,$A15,매출내역!$A$3:$A$3002,"&lt;="&amp;($B$3-90)))</f>
        <v/>
      </c>
      <c r="F15" s="15" t="str">
        <f aca="false">IF($A15="","",SUM($B15:$E15))</f>
        <v/>
      </c>
      <c r="G15" s="26" t="str">
        <f aca="false">IF($A15="","",IF($F$307=0,"",$F15/$F$307))</f>
        <v/>
      </c>
    </row>
    <row r="16" customFormat="false" ht="15" hidden="false" customHeight="true" outlineLevel="0" collapsed="false">
      <c r="A16" s="19" t="str">
        <f aca="false">IF(거래처목록!$A13="","",거래처목록!$A13)</f>
        <v/>
      </c>
      <c r="B16" s="15" t="str">
        <f aca="false">IF($A16="","",SUMIFS(매출내역!$I$3:$I$3002,매출내역!$I$3:$I$3002,"&gt;0",매출내역!$B$3:$B$3002,$A16,매출내역!$A$3:$A$3002,"&gt;"&amp;($B$3-30)))</f>
        <v/>
      </c>
      <c r="C16" s="15" t="str">
        <f aca="false">IF($A16="","",SUMIFS(매출내역!$I$3:$I$3002,매출내역!$I$3:$I$3002,"&gt;0",매출내역!$B$3:$B$3002,$A16,매출내역!$A$3:$A$3002,"&lt;="&amp;($B$3-30),매출내역!$A$3:$A$3002,"&gt;"&amp;($B$3-60)))</f>
        <v/>
      </c>
      <c r="D16" s="15" t="str">
        <f aca="false">IF($A16="","",SUMIFS(매출내역!$I$3:$I$3002,매출내역!$I$3:$I$3002,"&gt;0",매출내역!$B$3:$B$3002,$A16,매출내역!$A$3:$A$3002,"&lt;="&amp;($B$3-60),매출내역!$A$3:$A$3002,"&gt;"&amp;($B$3-90)))</f>
        <v/>
      </c>
      <c r="E16" s="15" t="str">
        <f aca="false">IF($A16="","",SUMIFS(매출내역!$I$3:$I$3002,매출내역!$I$3:$I$3002,"&gt;0",매출내역!$B$3:$B$3002,$A16,매출내역!$A$3:$A$3002,"&lt;="&amp;($B$3-90)))</f>
        <v/>
      </c>
      <c r="F16" s="15" t="str">
        <f aca="false">IF($A16="","",SUM($B16:$E16))</f>
        <v/>
      </c>
      <c r="G16" s="26" t="str">
        <f aca="false">IF($A16="","",IF($F$307=0,"",$F16/$F$307))</f>
        <v/>
      </c>
    </row>
    <row r="17" customFormat="false" ht="15" hidden="false" customHeight="true" outlineLevel="0" collapsed="false">
      <c r="A17" s="19" t="str">
        <f aca="false">IF(거래처목록!$A14="","",거래처목록!$A14)</f>
        <v/>
      </c>
      <c r="B17" s="15" t="str">
        <f aca="false">IF($A17="","",SUMIFS(매출내역!$I$3:$I$3002,매출내역!$I$3:$I$3002,"&gt;0",매출내역!$B$3:$B$3002,$A17,매출내역!$A$3:$A$3002,"&gt;"&amp;($B$3-30)))</f>
        <v/>
      </c>
      <c r="C17" s="15" t="str">
        <f aca="false">IF($A17="","",SUMIFS(매출내역!$I$3:$I$3002,매출내역!$I$3:$I$3002,"&gt;0",매출내역!$B$3:$B$3002,$A17,매출내역!$A$3:$A$3002,"&lt;="&amp;($B$3-30),매출내역!$A$3:$A$3002,"&gt;"&amp;($B$3-60)))</f>
        <v/>
      </c>
      <c r="D17" s="15" t="str">
        <f aca="false">IF($A17="","",SUMIFS(매출내역!$I$3:$I$3002,매출내역!$I$3:$I$3002,"&gt;0",매출내역!$B$3:$B$3002,$A17,매출내역!$A$3:$A$3002,"&lt;="&amp;($B$3-60),매출내역!$A$3:$A$3002,"&gt;"&amp;($B$3-90)))</f>
        <v/>
      </c>
      <c r="E17" s="15" t="str">
        <f aca="false">IF($A17="","",SUMIFS(매출내역!$I$3:$I$3002,매출내역!$I$3:$I$3002,"&gt;0",매출내역!$B$3:$B$3002,$A17,매출내역!$A$3:$A$3002,"&lt;="&amp;($B$3-90)))</f>
        <v/>
      </c>
      <c r="F17" s="15" t="str">
        <f aca="false">IF($A17="","",SUM($B17:$E17))</f>
        <v/>
      </c>
      <c r="G17" s="26" t="str">
        <f aca="false">IF($A17="","",IF($F$307=0,"",$F17/$F$307))</f>
        <v/>
      </c>
    </row>
    <row r="18" customFormat="false" ht="15" hidden="false" customHeight="true" outlineLevel="0" collapsed="false">
      <c r="A18" s="19" t="str">
        <f aca="false">IF(거래처목록!$A15="","",거래처목록!$A15)</f>
        <v/>
      </c>
      <c r="B18" s="15" t="str">
        <f aca="false">IF($A18="","",SUMIFS(매출내역!$I$3:$I$3002,매출내역!$I$3:$I$3002,"&gt;0",매출내역!$B$3:$B$3002,$A18,매출내역!$A$3:$A$3002,"&gt;"&amp;($B$3-30)))</f>
        <v/>
      </c>
      <c r="C18" s="15" t="str">
        <f aca="false">IF($A18="","",SUMIFS(매출내역!$I$3:$I$3002,매출내역!$I$3:$I$3002,"&gt;0",매출내역!$B$3:$B$3002,$A18,매출내역!$A$3:$A$3002,"&lt;="&amp;($B$3-30),매출내역!$A$3:$A$3002,"&gt;"&amp;($B$3-60)))</f>
        <v/>
      </c>
      <c r="D18" s="15" t="str">
        <f aca="false">IF($A18="","",SUMIFS(매출내역!$I$3:$I$3002,매출내역!$I$3:$I$3002,"&gt;0",매출내역!$B$3:$B$3002,$A18,매출내역!$A$3:$A$3002,"&lt;="&amp;($B$3-60),매출내역!$A$3:$A$3002,"&gt;"&amp;($B$3-90)))</f>
        <v/>
      </c>
      <c r="E18" s="15" t="str">
        <f aca="false">IF($A18="","",SUMIFS(매출내역!$I$3:$I$3002,매출내역!$I$3:$I$3002,"&gt;0",매출내역!$B$3:$B$3002,$A18,매출내역!$A$3:$A$3002,"&lt;="&amp;($B$3-90)))</f>
        <v/>
      </c>
      <c r="F18" s="15" t="str">
        <f aca="false">IF($A18="","",SUM($B18:$E18))</f>
        <v/>
      </c>
      <c r="G18" s="26" t="str">
        <f aca="false">IF($A18="","",IF($F$307=0,"",$F18/$F$307))</f>
        <v/>
      </c>
    </row>
    <row r="19" customFormat="false" ht="15" hidden="false" customHeight="true" outlineLevel="0" collapsed="false">
      <c r="A19" s="19" t="str">
        <f aca="false">IF(거래처목록!$A16="","",거래처목록!$A16)</f>
        <v/>
      </c>
      <c r="B19" s="15" t="str">
        <f aca="false">IF($A19="","",SUMIFS(매출내역!$I$3:$I$3002,매출내역!$I$3:$I$3002,"&gt;0",매출내역!$B$3:$B$3002,$A19,매출내역!$A$3:$A$3002,"&gt;"&amp;($B$3-30)))</f>
        <v/>
      </c>
      <c r="C19" s="15" t="str">
        <f aca="false">IF($A19="","",SUMIFS(매출내역!$I$3:$I$3002,매출내역!$I$3:$I$3002,"&gt;0",매출내역!$B$3:$B$3002,$A19,매출내역!$A$3:$A$3002,"&lt;="&amp;($B$3-30),매출내역!$A$3:$A$3002,"&gt;"&amp;($B$3-60)))</f>
        <v/>
      </c>
      <c r="D19" s="15" t="str">
        <f aca="false">IF($A19="","",SUMIFS(매출내역!$I$3:$I$3002,매출내역!$I$3:$I$3002,"&gt;0",매출내역!$B$3:$B$3002,$A19,매출내역!$A$3:$A$3002,"&lt;="&amp;($B$3-60),매출내역!$A$3:$A$3002,"&gt;"&amp;($B$3-90)))</f>
        <v/>
      </c>
      <c r="E19" s="15" t="str">
        <f aca="false">IF($A19="","",SUMIFS(매출내역!$I$3:$I$3002,매출내역!$I$3:$I$3002,"&gt;0",매출내역!$B$3:$B$3002,$A19,매출내역!$A$3:$A$3002,"&lt;="&amp;($B$3-90)))</f>
        <v/>
      </c>
      <c r="F19" s="15" t="str">
        <f aca="false">IF($A19="","",SUM($B19:$E19))</f>
        <v/>
      </c>
      <c r="G19" s="26" t="str">
        <f aca="false">IF($A19="","",IF($F$307=0,"",$F19/$F$307))</f>
        <v/>
      </c>
    </row>
    <row r="20" customFormat="false" ht="15" hidden="false" customHeight="true" outlineLevel="0" collapsed="false">
      <c r="A20" s="19" t="str">
        <f aca="false">IF(거래처목록!$A17="","",거래처목록!$A17)</f>
        <v/>
      </c>
      <c r="B20" s="15" t="str">
        <f aca="false">IF($A20="","",SUMIFS(매출내역!$I$3:$I$3002,매출내역!$I$3:$I$3002,"&gt;0",매출내역!$B$3:$B$3002,$A20,매출내역!$A$3:$A$3002,"&gt;"&amp;($B$3-30)))</f>
        <v/>
      </c>
      <c r="C20" s="15" t="str">
        <f aca="false">IF($A20="","",SUMIFS(매출내역!$I$3:$I$3002,매출내역!$I$3:$I$3002,"&gt;0",매출내역!$B$3:$B$3002,$A20,매출내역!$A$3:$A$3002,"&lt;="&amp;($B$3-30),매출내역!$A$3:$A$3002,"&gt;"&amp;($B$3-60)))</f>
        <v/>
      </c>
      <c r="D20" s="15" t="str">
        <f aca="false">IF($A20="","",SUMIFS(매출내역!$I$3:$I$3002,매출내역!$I$3:$I$3002,"&gt;0",매출내역!$B$3:$B$3002,$A20,매출내역!$A$3:$A$3002,"&lt;="&amp;($B$3-60),매출내역!$A$3:$A$3002,"&gt;"&amp;($B$3-90)))</f>
        <v/>
      </c>
      <c r="E20" s="15" t="str">
        <f aca="false">IF($A20="","",SUMIFS(매출내역!$I$3:$I$3002,매출내역!$I$3:$I$3002,"&gt;0",매출내역!$B$3:$B$3002,$A20,매출내역!$A$3:$A$3002,"&lt;="&amp;($B$3-90)))</f>
        <v/>
      </c>
      <c r="F20" s="15" t="str">
        <f aca="false">IF($A20="","",SUM($B20:$E20))</f>
        <v/>
      </c>
      <c r="G20" s="26" t="str">
        <f aca="false">IF($A20="","",IF($F$307=0,"",$F20/$F$307))</f>
        <v/>
      </c>
    </row>
    <row r="21" customFormat="false" ht="15" hidden="false" customHeight="true" outlineLevel="0" collapsed="false">
      <c r="A21" s="19" t="str">
        <f aca="false">IF(거래처목록!$A18="","",거래처목록!$A18)</f>
        <v/>
      </c>
      <c r="B21" s="15" t="str">
        <f aca="false">IF($A21="","",SUMIFS(매출내역!$I$3:$I$3002,매출내역!$I$3:$I$3002,"&gt;0",매출내역!$B$3:$B$3002,$A21,매출내역!$A$3:$A$3002,"&gt;"&amp;($B$3-30)))</f>
        <v/>
      </c>
      <c r="C21" s="15" t="str">
        <f aca="false">IF($A21="","",SUMIFS(매출내역!$I$3:$I$3002,매출내역!$I$3:$I$3002,"&gt;0",매출내역!$B$3:$B$3002,$A21,매출내역!$A$3:$A$3002,"&lt;="&amp;($B$3-30),매출내역!$A$3:$A$3002,"&gt;"&amp;($B$3-60)))</f>
        <v/>
      </c>
      <c r="D21" s="15" t="str">
        <f aca="false">IF($A21="","",SUMIFS(매출내역!$I$3:$I$3002,매출내역!$I$3:$I$3002,"&gt;0",매출내역!$B$3:$B$3002,$A21,매출내역!$A$3:$A$3002,"&lt;="&amp;($B$3-60),매출내역!$A$3:$A$3002,"&gt;"&amp;($B$3-90)))</f>
        <v/>
      </c>
      <c r="E21" s="15" t="str">
        <f aca="false">IF($A21="","",SUMIFS(매출내역!$I$3:$I$3002,매출내역!$I$3:$I$3002,"&gt;0",매출내역!$B$3:$B$3002,$A21,매출내역!$A$3:$A$3002,"&lt;="&amp;($B$3-90)))</f>
        <v/>
      </c>
      <c r="F21" s="15" t="str">
        <f aca="false">IF($A21="","",SUM($B21:$E21))</f>
        <v/>
      </c>
      <c r="G21" s="26" t="str">
        <f aca="false">IF($A21="","",IF($F$307=0,"",$F21/$F$307))</f>
        <v/>
      </c>
    </row>
    <row r="22" customFormat="false" ht="15" hidden="false" customHeight="true" outlineLevel="0" collapsed="false">
      <c r="A22" s="19" t="str">
        <f aca="false">IF(거래처목록!$A19="","",거래처목록!$A19)</f>
        <v/>
      </c>
      <c r="B22" s="15" t="str">
        <f aca="false">IF($A22="","",SUMIFS(매출내역!$I$3:$I$3002,매출내역!$I$3:$I$3002,"&gt;0",매출내역!$B$3:$B$3002,$A22,매출내역!$A$3:$A$3002,"&gt;"&amp;($B$3-30)))</f>
        <v/>
      </c>
      <c r="C22" s="15" t="str">
        <f aca="false">IF($A22="","",SUMIFS(매출내역!$I$3:$I$3002,매출내역!$I$3:$I$3002,"&gt;0",매출내역!$B$3:$B$3002,$A22,매출내역!$A$3:$A$3002,"&lt;="&amp;($B$3-30),매출내역!$A$3:$A$3002,"&gt;"&amp;($B$3-60)))</f>
        <v/>
      </c>
      <c r="D22" s="15" t="str">
        <f aca="false">IF($A22="","",SUMIFS(매출내역!$I$3:$I$3002,매출내역!$I$3:$I$3002,"&gt;0",매출내역!$B$3:$B$3002,$A22,매출내역!$A$3:$A$3002,"&lt;="&amp;($B$3-60),매출내역!$A$3:$A$3002,"&gt;"&amp;($B$3-90)))</f>
        <v/>
      </c>
      <c r="E22" s="15" t="str">
        <f aca="false">IF($A22="","",SUMIFS(매출내역!$I$3:$I$3002,매출내역!$I$3:$I$3002,"&gt;0",매출내역!$B$3:$B$3002,$A22,매출내역!$A$3:$A$3002,"&lt;="&amp;($B$3-90)))</f>
        <v/>
      </c>
      <c r="F22" s="15" t="str">
        <f aca="false">IF($A22="","",SUM($B22:$E22))</f>
        <v/>
      </c>
      <c r="G22" s="26" t="str">
        <f aca="false">IF($A22="","",IF($F$307=0,"",$F22/$F$307))</f>
        <v/>
      </c>
    </row>
    <row r="23" customFormat="false" ht="15" hidden="false" customHeight="true" outlineLevel="0" collapsed="false">
      <c r="A23" s="19" t="str">
        <f aca="false">IF(거래처목록!$A20="","",거래처목록!$A20)</f>
        <v/>
      </c>
      <c r="B23" s="15" t="str">
        <f aca="false">IF($A23="","",SUMIFS(매출내역!$I$3:$I$3002,매출내역!$I$3:$I$3002,"&gt;0",매출내역!$B$3:$B$3002,$A23,매출내역!$A$3:$A$3002,"&gt;"&amp;($B$3-30)))</f>
        <v/>
      </c>
      <c r="C23" s="15" t="str">
        <f aca="false">IF($A23="","",SUMIFS(매출내역!$I$3:$I$3002,매출내역!$I$3:$I$3002,"&gt;0",매출내역!$B$3:$B$3002,$A23,매출내역!$A$3:$A$3002,"&lt;="&amp;($B$3-30),매출내역!$A$3:$A$3002,"&gt;"&amp;($B$3-60)))</f>
        <v/>
      </c>
      <c r="D23" s="15" t="str">
        <f aca="false">IF($A23="","",SUMIFS(매출내역!$I$3:$I$3002,매출내역!$I$3:$I$3002,"&gt;0",매출내역!$B$3:$B$3002,$A23,매출내역!$A$3:$A$3002,"&lt;="&amp;($B$3-60),매출내역!$A$3:$A$3002,"&gt;"&amp;($B$3-90)))</f>
        <v/>
      </c>
      <c r="E23" s="15" t="str">
        <f aca="false">IF($A23="","",SUMIFS(매출내역!$I$3:$I$3002,매출내역!$I$3:$I$3002,"&gt;0",매출내역!$B$3:$B$3002,$A23,매출내역!$A$3:$A$3002,"&lt;="&amp;($B$3-90)))</f>
        <v/>
      </c>
      <c r="F23" s="15" t="str">
        <f aca="false">IF($A23="","",SUM($B23:$E23))</f>
        <v/>
      </c>
      <c r="G23" s="26" t="str">
        <f aca="false">IF($A23="","",IF($F$307=0,"",$F23/$F$307))</f>
        <v/>
      </c>
    </row>
    <row r="24" customFormat="false" ht="15" hidden="false" customHeight="true" outlineLevel="0" collapsed="false">
      <c r="A24" s="19" t="str">
        <f aca="false">IF(거래처목록!$A21="","",거래처목록!$A21)</f>
        <v/>
      </c>
      <c r="B24" s="15" t="str">
        <f aca="false">IF($A24="","",SUMIFS(매출내역!$I$3:$I$3002,매출내역!$I$3:$I$3002,"&gt;0",매출내역!$B$3:$B$3002,$A24,매출내역!$A$3:$A$3002,"&gt;"&amp;($B$3-30)))</f>
        <v/>
      </c>
      <c r="C24" s="15" t="str">
        <f aca="false">IF($A24="","",SUMIFS(매출내역!$I$3:$I$3002,매출내역!$I$3:$I$3002,"&gt;0",매출내역!$B$3:$B$3002,$A24,매출내역!$A$3:$A$3002,"&lt;="&amp;($B$3-30),매출내역!$A$3:$A$3002,"&gt;"&amp;($B$3-60)))</f>
        <v/>
      </c>
      <c r="D24" s="15" t="str">
        <f aca="false">IF($A24="","",SUMIFS(매출내역!$I$3:$I$3002,매출내역!$I$3:$I$3002,"&gt;0",매출내역!$B$3:$B$3002,$A24,매출내역!$A$3:$A$3002,"&lt;="&amp;($B$3-60),매출내역!$A$3:$A$3002,"&gt;"&amp;($B$3-90)))</f>
        <v/>
      </c>
      <c r="E24" s="15" t="str">
        <f aca="false">IF($A24="","",SUMIFS(매출내역!$I$3:$I$3002,매출내역!$I$3:$I$3002,"&gt;0",매출내역!$B$3:$B$3002,$A24,매출내역!$A$3:$A$3002,"&lt;="&amp;($B$3-90)))</f>
        <v/>
      </c>
      <c r="F24" s="15" t="str">
        <f aca="false">IF($A24="","",SUM($B24:$E24))</f>
        <v/>
      </c>
      <c r="G24" s="26" t="str">
        <f aca="false">IF($A24="","",IF($F$307=0,"",$F24/$F$307))</f>
        <v/>
      </c>
    </row>
    <row r="25" customFormat="false" ht="15" hidden="false" customHeight="true" outlineLevel="0" collapsed="false">
      <c r="A25" s="19" t="str">
        <f aca="false">IF(거래처목록!$A22="","",거래처목록!$A22)</f>
        <v/>
      </c>
      <c r="B25" s="15" t="str">
        <f aca="false">IF($A25="","",SUMIFS(매출내역!$I$3:$I$3002,매출내역!$I$3:$I$3002,"&gt;0",매출내역!$B$3:$B$3002,$A25,매출내역!$A$3:$A$3002,"&gt;"&amp;($B$3-30)))</f>
        <v/>
      </c>
      <c r="C25" s="15" t="str">
        <f aca="false">IF($A25="","",SUMIFS(매출내역!$I$3:$I$3002,매출내역!$I$3:$I$3002,"&gt;0",매출내역!$B$3:$B$3002,$A25,매출내역!$A$3:$A$3002,"&lt;="&amp;($B$3-30),매출내역!$A$3:$A$3002,"&gt;"&amp;($B$3-60)))</f>
        <v/>
      </c>
      <c r="D25" s="15" t="str">
        <f aca="false">IF($A25="","",SUMIFS(매출내역!$I$3:$I$3002,매출내역!$I$3:$I$3002,"&gt;0",매출내역!$B$3:$B$3002,$A25,매출내역!$A$3:$A$3002,"&lt;="&amp;($B$3-60),매출내역!$A$3:$A$3002,"&gt;"&amp;($B$3-90)))</f>
        <v/>
      </c>
      <c r="E25" s="15" t="str">
        <f aca="false">IF($A25="","",SUMIFS(매출내역!$I$3:$I$3002,매출내역!$I$3:$I$3002,"&gt;0",매출내역!$B$3:$B$3002,$A25,매출내역!$A$3:$A$3002,"&lt;="&amp;($B$3-90)))</f>
        <v/>
      </c>
      <c r="F25" s="15" t="str">
        <f aca="false">IF($A25="","",SUM($B25:$E25))</f>
        <v/>
      </c>
      <c r="G25" s="26" t="str">
        <f aca="false">IF($A25="","",IF($F$307=0,"",$F25/$F$307))</f>
        <v/>
      </c>
    </row>
    <row r="26" customFormat="false" ht="15" hidden="false" customHeight="true" outlineLevel="0" collapsed="false">
      <c r="A26" s="19" t="str">
        <f aca="false">IF(거래처목록!$A23="","",거래처목록!$A23)</f>
        <v/>
      </c>
      <c r="B26" s="15" t="str">
        <f aca="false">IF($A26="","",SUMIFS(매출내역!$I$3:$I$3002,매출내역!$I$3:$I$3002,"&gt;0",매출내역!$B$3:$B$3002,$A26,매출내역!$A$3:$A$3002,"&gt;"&amp;($B$3-30)))</f>
        <v/>
      </c>
      <c r="C26" s="15" t="str">
        <f aca="false">IF($A26="","",SUMIFS(매출내역!$I$3:$I$3002,매출내역!$I$3:$I$3002,"&gt;0",매출내역!$B$3:$B$3002,$A26,매출내역!$A$3:$A$3002,"&lt;="&amp;($B$3-30),매출내역!$A$3:$A$3002,"&gt;"&amp;($B$3-60)))</f>
        <v/>
      </c>
      <c r="D26" s="15" t="str">
        <f aca="false">IF($A26="","",SUMIFS(매출내역!$I$3:$I$3002,매출내역!$I$3:$I$3002,"&gt;0",매출내역!$B$3:$B$3002,$A26,매출내역!$A$3:$A$3002,"&lt;="&amp;($B$3-60),매출내역!$A$3:$A$3002,"&gt;"&amp;($B$3-90)))</f>
        <v/>
      </c>
      <c r="E26" s="15" t="str">
        <f aca="false">IF($A26="","",SUMIFS(매출내역!$I$3:$I$3002,매출내역!$I$3:$I$3002,"&gt;0",매출내역!$B$3:$B$3002,$A26,매출내역!$A$3:$A$3002,"&lt;="&amp;($B$3-90)))</f>
        <v/>
      </c>
      <c r="F26" s="15" t="str">
        <f aca="false">IF($A26="","",SUM($B26:$E26))</f>
        <v/>
      </c>
      <c r="G26" s="26" t="str">
        <f aca="false">IF($A26="","",IF($F$307=0,"",$F26/$F$307))</f>
        <v/>
      </c>
    </row>
    <row r="27" customFormat="false" ht="15" hidden="false" customHeight="true" outlineLevel="0" collapsed="false">
      <c r="A27" s="19" t="str">
        <f aca="false">IF(거래처목록!$A24="","",거래처목록!$A24)</f>
        <v/>
      </c>
      <c r="B27" s="15" t="str">
        <f aca="false">IF($A27="","",SUMIFS(매출내역!$I$3:$I$3002,매출내역!$I$3:$I$3002,"&gt;0",매출내역!$B$3:$B$3002,$A27,매출내역!$A$3:$A$3002,"&gt;"&amp;($B$3-30)))</f>
        <v/>
      </c>
      <c r="C27" s="15" t="str">
        <f aca="false">IF($A27="","",SUMIFS(매출내역!$I$3:$I$3002,매출내역!$I$3:$I$3002,"&gt;0",매출내역!$B$3:$B$3002,$A27,매출내역!$A$3:$A$3002,"&lt;="&amp;($B$3-30),매출내역!$A$3:$A$3002,"&gt;"&amp;($B$3-60)))</f>
        <v/>
      </c>
      <c r="D27" s="15" t="str">
        <f aca="false">IF($A27="","",SUMIFS(매출내역!$I$3:$I$3002,매출내역!$I$3:$I$3002,"&gt;0",매출내역!$B$3:$B$3002,$A27,매출내역!$A$3:$A$3002,"&lt;="&amp;($B$3-60),매출내역!$A$3:$A$3002,"&gt;"&amp;($B$3-90)))</f>
        <v/>
      </c>
      <c r="E27" s="15" t="str">
        <f aca="false">IF($A27="","",SUMIFS(매출내역!$I$3:$I$3002,매출내역!$I$3:$I$3002,"&gt;0",매출내역!$B$3:$B$3002,$A27,매출내역!$A$3:$A$3002,"&lt;="&amp;($B$3-90)))</f>
        <v/>
      </c>
      <c r="F27" s="15" t="str">
        <f aca="false">IF($A27="","",SUM($B27:$E27))</f>
        <v/>
      </c>
      <c r="G27" s="26" t="str">
        <f aca="false">IF($A27="","",IF($F$307=0,"",$F27/$F$307))</f>
        <v/>
      </c>
    </row>
    <row r="28" customFormat="false" ht="15" hidden="false" customHeight="true" outlineLevel="0" collapsed="false">
      <c r="A28" s="19" t="str">
        <f aca="false">IF(거래처목록!$A25="","",거래처목록!$A25)</f>
        <v/>
      </c>
      <c r="B28" s="15" t="str">
        <f aca="false">IF($A28="","",SUMIFS(매출내역!$I$3:$I$3002,매출내역!$I$3:$I$3002,"&gt;0",매출내역!$B$3:$B$3002,$A28,매출내역!$A$3:$A$3002,"&gt;"&amp;($B$3-30)))</f>
        <v/>
      </c>
      <c r="C28" s="15" t="str">
        <f aca="false">IF($A28="","",SUMIFS(매출내역!$I$3:$I$3002,매출내역!$I$3:$I$3002,"&gt;0",매출내역!$B$3:$B$3002,$A28,매출내역!$A$3:$A$3002,"&lt;="&amp;($B$3-30),매출내역!$A$3:$A$3002,"&gt;"&amp;($B$3-60)))</f>
        <v/>
      </c>
      <c r="D28" s="15" t="str">
        <f aca="false">IF($A28="","",SUMIFS(매출내역!$I$3:$I$3002,매출내역!$I$3:$I$3002,"&gt;0",매출내역!$B$3:$B$3002,$A28,매출내역!$A$3:$A$3002,"&lt;="&amp;($B$3-60),매출내역!$A$3:$A$3002,"&gt;"&amp;($B$3-90)))</f>
        <v/>
      </c>
      <c r="E28" s="15" t="str">
        <f aca="false">IF($A28="","",SUMIFS(매출내역!$I$3:$I$3002,매출내역!$I$3:$I$3002,"&gt;0",매출내역!$B$3:$B$3002,$A28,매출내역!$A$3:$A$3002,"&lt;="&amp;($B$3-90)))</f>
        <v/>
      </c>
      <c r="F28" s="15" t="str">
        <f aca="false">IF($A28="","",SUM($B28:$E28))</f>
        <v/>
      </c>
      <c r="G28" s="26" t="str">
        <f aca="false">IF($A28="","",IF($F$307=0,"",$F28/$F$307))</f>
        <v/>
      </c>
    </row>
    <row r="29" customFormat="false" ht="15" hidden="false" customHeight="true" outlineLevel="0" collapsed="false">
      <c r="A29" s="19" t="str">
        <f aca="false">IF(거래처목록!$A26="","",거래처목록!$A26)</f>
        <v/>
      </c>
      <c r="B29" s="15" t="str">
        <f aca="false">IF($A29="","",SUMIFS(매출내역!$I$3:$I$3002,매출내역!$I$3:$I$3002,"&gt;0",매출내역!$B$3:$B$3002,$A29,매출내역!$A$3:$A$3002,"&gt;"&amp;($B$3-30)))</f>
        <v/>
      </c>
      <c r="C29" s="15" t="str">
        <f aca="false">IF($A29="","",SUMIFS(매출내역!$I$3:$I$3002,매출내역!$I$3:$I$3002,"&gt;0",매출내역!$B$3:$B$3002,$A29,매출내역!$A$3:$A$3002,"&lt;="&amp;($B$3-30),매출내역!$A$3:$A$3002,"&gt;"&amp;($B$3-60)))</f>
        <v/>
      </c>
      <c r="D29" s="15" t="str">
        <f aca="false">IF($A29="","",SUMIFS(매출내역!$I$3:$I$3002,매출내역!$I$3:$I$3002,"&gt;0",매출내역!$B$3:$B$3002,$A29,매출내역!$A$3:$A$3002,"&lt;="&amp;($B$3-60),매출내역!$A$3:$A$3002,"&gt;"&amp;($B$3-90)))</f>
        <v/>
      </c>
      <c r="E29" s="15" t="str">
        <f aca="false">IF($A29="","",SUMIFS(매출내역!$I$3:$I$3002,매출내역!$I$3:$I$3002,"&gt;0",매출내역!$B$3:$B$3002,$A29,매출내역!$A$3:$A$3002,"&lt;="&amp;($B$3-90)))</f>
        <v/>
      </c>
      <c r="F29" s="15" t="str">
        <f aca="false">IF($A29="","",SUM($B29:$E29))</f>
        <v/>
      </c>
      <c r="G29" s="26" t="str">
        <f aca="false">IF($A29="","",IF($F$307=0,"",$F29/$F$307))</f>
        <v/>
      </c>
    </row>
    <row r="30" customFormat="false" ht="15" hidden="false" customHeight="true" outlineLevel="0" collapsed="false">
      <c r="A30" s="19" t="str">
        <f aca="false">IF(거래처목록!$A27="","",거래처목록!$A27)</f>
        <v/>
      </c>
      <c r="B30" s="15" t="str">
        <f aca="false">IF($A30="","",SUMIFS(매출내역!$I$3:$I$3002,매출내역!$I$3:$I$3002,"&gt;0",매출내역!$B$3:$B$3002,$A30,매출내역!$A$3:$A$3002,"&gt;"&amp;($B$3-30)))</f>
        <v/>
      </c>
      <c r="C30" s="15" t="str">
        <f aca="false">IF($A30="","",SUMIFS(매출내역!$I$3:$I$3002,매출내역!$I$3:$I$3002,"&gt;0",매출내역!$B$3:$B$3002,$A30,매출내역!$A$3:$A$3002,"&lt;="&amp;($B$3-30),매출내역!$A$3:$A$3002,"&gt;"&amp;($B$3-60)))</f>
        <v/>
      </c>
      <c r="D30" s="15" t="str">
        <f aca="false">IF($A30="","",SUMIFS(매출내역!$I$3:$I$3002,매출내역!$I$3:$I$3002,"&gt;0",매출내역!$B$3:$B$3002,$A30,매출내역!$A$3:$A$3002,"&lt;="&amp;($B$3-60),매출내역!$A$3:$A$3002,"&gt;"&amp;($B$3-90)))</f>
        <v/>
      </c>
      <c r="E30" s="15" t="str">
        <f aca="false">IF($A30="","",SUMIFS(매출내역!$I$3:$I$3002,매출내역!$I$3:$I$3002,"&gt;0",매출내역!$B$3:$B$3002,$A30,매출내역!$A$3:$A$3002,"&lt;="&amp;($B$3-90)))</f>
        <v/>
      </c>
      <c r="F30" s="15" t="str">
        <f aca="false">IF($A30="","",SUM($B30:$E30))</f>
        <v/>
      </c>
      <c r="G30" s="26" t="str">
        <f aca="false">IF($A30="","",IF($F$307=0,"",$F30/$F$307))</f>
        <v/>
      </c>
    </row>
    <row r="31" customFormat="false" ht="15" hidden="false" customHeight="true" outlineLevel="0" collapsed="false">
      <c r="A31" s="19" t="str">
        <f aca="false">IF(거래처목록!$A28="","",거래처목록!$A28)</f>
        <v/>
      </c>
      <c r="B31" s="15" t="str">
        <f aca="false">IF($A31="","",SUMIFS(매출내역!$I$3:$I$3002,매출내역!$I$3:$I$3002,"&gt;0",매출내역!$B$3:$B$3002,$A31,매출내역!$A$3:$A$3002,"&gt;"&amp;($B$3-30)))</f>
        <v/>
      </c>
      <c r="C31" s="15" t="str">
        <f aca="false">IF($A31="","",SUMIFS(매출내역!$I$3:$I$3002,매출내역!$I$3:$I$3002,"&gt;0",매출내역!$B$3:$B$3002,$A31,매출내역!$A$3:$A$3002,"&lt;="&amp;($B$3-30),매출내역!$A$3:$A$3002,"&gt;"&amp;($B$3-60)))</f>
        <v/>
      </c>
      <c r="D31" s="15" t="str">
        <f aca="false">IF($A31="","",SUMIFS(매출내역!$I$3:$I$3002,매출내역!$I$3:$I$3002,"&gt;0",매출내역!$B$3:$B$3002,$A31,매출내역!$A$3:$A$3002,"&lt;="&amp;($B$3-60),매출내역!$A$3:$A$3002,"&gt;"&amp;($B$3-90)))</f>
        <v/>
      </c>
      <c r="E31" s="15" t="str">
        <f aca="false">IF($A31="","",SUMIFS(매출내역!$I$3:$I$3002,매출내역!$I$3:$I$3002,"&gt;0",매출내역!$B$3:$B$3002,$A31,매출내역!$A$3:$A$3002,"&lt;="&amp;($B$3-90)))</f>
        <v/>
      </c>
      <c r="F31" s="15" t="str">
        <f aca="false">IF($A31="","",SUM($B31:$E31))</f>
        <v/>
      </c>
      <c r="G31" s="26" t="str">
        <f aca="false">IF($A31="","",IF($F$307=0,"",$F31/$F$307))</f>
        <v/>
      </c>
    </row>
    <row r="32" customFormat="false" ht="15" hidden="false" customHeight="true" outlineLevel="0" collapsed="false">
      <c r="A32" s="19" t="str">
        <f aca="false">IF(거래처목록!$A29="","",거래처목록!$A29)</f>
        <v/>
      </c>
      <c r="B32" s="15" t="str">
        <f aca="false">IF($A32="","",SUMIFS(매출내역!$I$3:$I$3002,매출내역!$I$3:$I$3002,"&gt;0",매출내역!$B$3:$B$3002,$A32,매출내역!$A$3:$A$3002,"&gt;"&amp;($B$3-30)))</f>
        <v/>
      </c>
      <c r="C32" s="15" t="str">
        <f aca="false">IF($A32="","",SUMIFS(매출내역!$I$3:$I$3002,매출내역!$I$3:$I$3002,"&gt;0",매출내역!$B$3:$B$3002,$A32,매출내역!$A$3:$A$3002,"&lt;="&amp;($B$3-30),매출내역!$A$3:$A$3002,"&gt;"&amp;($B$3-60)))</f>
        <v/>
      </c>
      <c r="D32" s="15" t="str">
        <f aca="false">IF($A32="","",SUMIFS(매출내역!$I$3:$I$3002,매출내역!$I$3:$I$3002,"&gt;0",매출내역!$B$3:$B$3002,$A32,매출내역!$A$3:$A$3002,"&lt;="&amp;($B$3-60),매출내역!$A$3:$A$3002,"&gt;"&amp;($B$3-90)))</f>
        <v/>
      </c>
      <c r="E32" s="15" t="str">
        <f aca="false">IF($A32="","",SUMIFS(매출내역!$I$3:$I$3002,매출내역!$I$3:$I$3002,"&gt;0",매출내역!$B$3:$B$3002,$A32,매출내역!$A$3:$A$3002,"&lt;="&amp;($B$3-90)))</f>
        <v/>
      </c>
      <c r="F32" s="15" t="str">
        <f aca="false">IF($A32="","",SUM($B32:$E32))</f>
        <v/>
      </c>
      <c r="G32" s="26" t="str">
        <f aca="false">IF($A32="","",IF($F$307=0,"",$F32/$F$307))</f>
        <v/>
      </c>
    </row>
    <row r="33" customFormat="false" ht="15" hidden="false" customHeight="true" outlineLevel="0" collapsed="false">
      <c r="A33" s="19" t="str">
        <f aca="false">IF(거래처목록!$A30="","",거래처목록!$A30)</f>
        <v/>
      </c>
      <c r="B33" s="15" t="str">
        <f aca="false">IF($A33="","",SUMIFS(매출내역!$I$3:$I$3002,매출내역!$I$3:$I$3002,"&gt;0",매출내역!$B$3:$B$3002,$A33,매출내역!$A$3:$A$3002,"&gt;"&amp;($B$3-30)))</f>
        <v/>
      </c>
      <c r="C33" s="15" t="str">
        <f aca="false">IF($A33="","",SUMIFS(매출내역!$I$3:$I$3002,매출내역!$I$3:$I$3002,"&gt;0",매출내역!$B$3:$B$3002,$A33,매출내역!$A$3:$A$3002,"&lt;="&amp;($B$3-30),매출내역!$A$3:$A$3002,"&gt;"&amp;($B$3-60)))</f>
        <v/>
      </c>
      <c r="D33" s="15" t="str">
        <f aca="false">IF($A33="","",SUMIFS(매출내역!$I$3:$I$3002,매출내역!$I$3:$I$3002,"&gt;0",매출내역!$B$3:$B$3002,$A33,매출내역!$A$3:$A$3002,"&lt;="&amp;($B$3-60),매출내역!$A$3:$A$3002,"&gt;"&amp;($B$3-90)))</f>
        <v/>
      </c>
      <c r="E33" s="15" t="str">
        <f aca="false">IF($A33="","",SUMIFS(매출내역!$I$3:$I$3002,매출내역!$I$3:$I$3002,"&gt;0",매출내역!$B$3:$B$3002,$A33,매출내역!$A$3:$A$3002,"&lt;="&amp;($B$3-90)))</f>
        <v/>
      </c>
      <c r="F33" s="15" t="str">
        <f aca="false">IF($A33="","",SUM($B33:$E33))</f>
        <v/>
      </c>
      <c r="G33" s="26" t="str">
        <f aca="false">IF($A33="","",IF($F$307=0,"",$F33/$F$307))</f>
        <v/>
      </c>
    </row>
    <row r="34" customFormat="false" ht="15" hidden="false" customHeight="true" outlineLevel="0" collapsed="false">
      <c r="A34" s="19" t="str">
        <f aca="false">IF(거래처목록!$A31="","",거래처목록!$A31)</f>
        <v/>
      </c>
      <c r="B34" s="15" t="str">
        <f aca="false">IF($A34="","",SUMIFS(매출내역!$I$3:$I$3002,매출내역!$I$3:$I$3002,"&gt;0",매출내역!$B$3:$B$3002,$A34,매출내역!$A$3:$A$3002,"&gt;"&amp;($B$3-30)))</f>
        <v/>
      </c>
      <c r="C34" s="15" t="str">
        <f aca="false">IF($A34="","",SUMIFS(매출내역!$I$3:$I$3002,매출내역!$I$3:$I$3002,"&gt;0",매출내역!$B$3:$B$3002,$A34,매출내역!$A$3:$A$3002,"&lt;="&amp;($B$3-30),매출내역!$A$3:$A$3002,"&gt;"&amp;($B$3-60)))</f>
        <v/>
      </c>
      <c r="D34" s="15" t="str">
        <f aca="false">IF($A34="","",SUMIFS(매출내역!$I$3:$I$3002,매출내역!$I$3:$I$3002,"&gt;0",매출내역!$B$3:$B$3002,$A34,매출내역!$A$3:$A$3002,"&lt;="&amp;($B$3-60),매출내역!$A$3:$A$3002,"&gt;"&amp;($B$3-90)))</f>
        <v/>
      </c>
      <c r="E34" s="15" t="str">
        <f aca="false">IF($A34="","",SUMIFS(매출내역!$I$3:$I$3002,매출내역!$I$3:$I$3002,"&gt;0",매출내역!$B$3:$B$3002,$A34,매출내역!$A$3:$A$3002,"&lt;="&amp;($B$3-90)))</f>
        <v/>
      </c>
      <c r="F34" s="15" t="str">
        <f aca="false">IF($A34="","",SUM($B34:$E34))</f>
        <v/>
      </c>
      <c r="G34" s="26" t="str">
        <f aca="false">IF($A34="","",IF($F$307=0,"",$F34/$F$307))</f>
        <v/>
      </c>
    </row>
    <row r="35" customFormat="false" ht="15" hidden="false" customHeight="true" outlineLevel="0" collapsed="false">
      <c r="A35" s="19" t="str">
        <f aca="false">IF(거래처목록!$A32="","",거래처목록!$A32)</f>
        <v/>
      </c>
      <c r="B35" s="15" t="str">
        <f aca="false">IF($A35="","",SUMIFS(매출내역!$I$3:$I$3002,매출내역!$I$3:$I$3002,"&gt;0",매출내역!$B$3:$B$3002,$A35,매출내역!$A$3:$A$3002,"&gt;"&amp;($B$3-30)))</f>
        <v/>
      </c>
      <c r="C35" s="15" t="str">
        <f aca="false">IF($A35="","",SUMIFS(매출내역!$I$3:$I$3002,매출내역!$I$3:$I$3002,"&gt;0",매출내역!$B$3:$B$3002,$A35,매출내역!$A$3:$A$3002,"&lt;="&amp;($B$3-30),매출내역!$A$3:$A$3002,"&gt;"&amp;($B$3-60)))</f>
        <v/>
      </c>
      <c r="D35" s="15" t="str">
        <f aca="false">IF($A35="","",SUMIFS(매출내역!$I$3:$I$3002,매출내역!$I$3:$I$3002,"&gt;0",매출내역!$B$3:$B$3002,$A35,매출내역!$A$3:$A$3002,"&lt;="&amp;($B$3-60),매출내역!$A$3:$A$3002,"&gt;"&amp;($B$3-90)))</f>
        <v/>
      </c>
      <c r="E35" s="15" t="str">
        <f aca="false">IF($A35="","",SUMIFS(매출내역!$I$3:$I$3002,매출내역!$I$3:$I$3002,"&gt;0",매출내역!$B$3:$B$3002,$A35,매출내역!$A$3:$A$3002,"&lt;="&amp;($B$3-90)))</f>
        <v/>
      </c>
      <c r="F35" s="15" t="str">
        <f aca="false">IF($A35="","",SUM($B35:$E35))</f>
        <v/>
      </c>
      <c r="G35" s="26" t="str">
        <f aca="false">IF($A35="","",IF($F$307=0,"",$F35/$F$307))</f>
        <v/>
      </c>
    </row>
    <row r="36" customFormat="false" ht="15" hidden="false" customHeight="true" outlineLevel="0" collapsed="false">
      <c r="A36" s="19" t="str">
        <f aca="false">IF(거래처목록!$A33="","",거래처목록!$A33)</f>
        <v/>
      </c>
      <c r="B36" s="15" t="str">
        <f aca="false">IF($A36="","",SUMIFS(매출내역!$I$3:$I$3002,매출내역!$I$3:$I$3002,"&gt;0",매출내역!$B$3:$B$3002,$A36,매출내역!$A$3:$A$3002,"&gt;"&amp;($B$3-30)))</f>
        <v/>
      </c>
      <c r="C36" s="15" t="str">
        <f aca="false">IF($A36="","",SUMIFS(매출내역!$I$3:$I$3002,매출내역!$I$3:$I$3002,"&gt;0",매출내역!$B$3:$B$3002,$A36,매출내역!$A$3:$A$3002,"&lt;="&amp;($B$3-30),매출내역!$A$3:$A$3002,"&gt;"&amp;($B$3-60)))</f>
        <v/>
      </c>
      <c r="D36" s="15" t="str">
        <f aca="false">IF($A36="","",SUMIFS(매출내역!$I$3:$I$3002,매출내역!$I$3:$I$3002,"&gt;0",매출내역!$B$3:$B$3002,$A36,매출내역!$A$3:$A$3002,"&lt;="&amp;($B$3-60),매출내역!$A$3:$A$3002,"&gt;"&amp;($B$3-90)))</f>
        <v/>
      </c>
      <c r="E36" s="15" t="str">
        <f aca="false">IF($A36="","",SUMIFS(매출내역!$I$3:$I$3002,매출내역!$I$3:$I$3002,"&gt;0",매출내역!$B$3:$B$3002,$A36,매출내역!$A$3:$A$3002,"&lt;="&amp;($B$3-90)))</f>
        <v/>
      </c>
      <c r="F36" s="15" t="str">
        <f aca="false">IF($A36="","",SUM($B36:$E36))</f>
        <v/>
      </c>
      <c r="G36" s="26" t="str">
        <f aca="false">IF($A36="","",IF($F$307=0,"",$F36/$F$307))</f>
        <v/>
      </c>
    </row>
    <row r="37" customFormat="false" ht="15" hidden="false" customHeight="true" outlineLevel="0" collapsed="false">
      <c r="A37" s="19" t="str">
        <f aca="false">IF(거래처목록!$A34="","",거래처목록!$A34)</f>
        <v/>
      </c>
      <c r="B37" s="15" t="str">
        <f aca="false">IF($A37="","",SUMIFS(매출내역!$I$3:$I$3002,매출내역!$I$3:$I$3002,"&gt;0",매출내역!$B$3:$B$3002,$A37,매출내역!$A$3:$A$3002,"&gt;"&amp;($B$3-30)))</f>
        <v/>
      </c>
      <c r="C37" s="15" t="str">
        <f aca="false">IF($A37="","",SUMIFS(매출내역!$I$3:$I$3002,매출내역!$I$3:$I$3002,"&gt;0",매출내역!$B$3:$B$3002,$A37,매출내역!$A$3:$A$3002,"&lt;="&amp;($B$3-30),매출내역!$A$3:$A$3002,"&gt;"&amp;($B$3-60)))</f>
        <v/>
      </c>
      <c r="D37" s="15" t="str">
        <f aca="false">IF($A37="","",SUMIFS(매출내역!$I$3:$I$3002,매출내역!$I$3:$I$3002,"&gt;0",매출내역!$B$3:$B$3002,$A37,매출내역!$A$3:$A$3002,"&lt;="&amp;($B$3-60),매출내역!$A$3:$A$3002,"&gt;"&amp;($B$3-90)))</f>
        <v/>
      </c>
      <c r="E37" s="15" t="str">
        <f aca="false">IF($A37="","",SUMIFS(매출내역!$I$3:$I$3002,매출내역!$I$3:$I$3002,"&gt;0",매출내역!$B$3:$B$3002,$A37,매출내역!$A$3:$A$3002,"&lt;="&amp;($B$3-90)))</f>
        <v/>
      </c>
      <c r="F37" s="15" t="str">
        <f aca="false">IF($A37="","",SUM($B37:$E37))</f>
        <v/>
      </c>
      <c r="G37" s="26" t="str">
        <f aca="false">IF($A37="","",IF($F$307=0,"",$F37/$F$307))</f>
        <v/>
      </c>
    </row>
    <row r="38" customFormat="false" ht="15" hidden="false" customHeight="true" outlineLevel="0" collapsed="false">
      <c r="A38" s="19" t="str">
        <f aca="false">IF(거래처목록!$A35="","",거래처목록!$A35)</f>
        <v/>
      </c>
      <c r="B38" s="15" t="str">
        <f aca="false">IF($A38="","",SUMIFS(매출내역!$I$3:$I$3002,매출내역!$I$3:$I$3002,"&gt;0",매출내역!$B$3:$B$3002,$A38,매출내역!$A$3:$A$3002,"&gt;"&amp;($B$3-30)))</f>
        <v/>
      </c>
      <c r="C38" s="15" t="str">
        <f aca="false">IF($A38="","",SUMIFS(매출내역!$I$3:$I$3002,매출내역!$I$3:$I$3002,"&gt;0",매출내역!$B$3:$B$3002,$A38,매출내역!$A$3:$A$3002,"&lt;="&amp;($B$3-30),매출내역!$A$3:$A$3002,"&gt;"&amp;($B$3-60)))</f>
        <v/>
      </c>
      <c r="D38" s="15" t="str">
        <f aca="false">IF($A38="","",SUMIFS(매출내역!$I$3:$I$3002,매출내역!$I$3:$I$3002,"&gt;0",매출내역!$B$3:$B$3002,$A38,매출내역!$A$3:$A$3002,"&lt;="&amp;($B$3-60),매출내역!$A$3:$A$3002,"&gt;"&amp;($B$3-90)))</f>
        <v/>
      </c>
      <c r="E38" s="15" t="str">
        <f aca="false">IF($A38="","",SUMIFS(매출내역!$I$3:$I$3002,매출내역!$I$3:$I$3002,"&gt;0",매출내역!$B$3:$B$3002,$A38,매출내역!$A$3:$A$3002,"&lt;="&amp;($B$3-90)))</f>
        <v/>
      </c>
      <c r="F38" s="15" t="str">
        <f aca="false">IF($A38="","",SUM($B38:$E38))</f>
        <v/>
      </c>
      <c r="G38" s="26" t="str">
        <f aca="false">IF($A38="","",IF($F$307=0,"",$F38/$F$307))</f>
        <v/>
      </c>
    </row>
    <row r="39" customFormat="false" ht="15" hidden="false" customHeight="true" outlineLevel="0" collapsed="false">
      <c r="A39" s="19" t="str">
        <f aca="false">IF(거래처목록!$A36="","",거래처목록!$A36)</f>
        <v/>
      </c>
      <c r="B39" s="15" t="str">
        <f aca="false">IF($A39="","",SUMIFS(매출내역!$I$3:$I$3002,매출내역!$I$3:$I$3002,"&gt;0",매출내역!$B$3:$B$3002,$A39,매출내역!$A$3:$A$3002,"&gt;"&amp;($B$3-30)))</f>
        <v/>
      </c>
      <c r="C39" s="15" t="str">
        <f aca="false">IF($A39="","",SUMIFS(매출내역!$I$3:$I$3002,매출내역!$I$3:$I$3002,"&gt;0",매출내역!$B$3:$B$3002,$A39,매출내역!$A$3:$A$3002,"&lt;="&amp;($B$3-30),매출내역!$A$3:$A$3002,"&gt;"&amp;($B$3-60)))</f>
        <v/>
      </c>
      <c r="D39" s="15" t="str">
        <f aca="false">IF($A39="","",SUMIFS(매출내역!$I$3:$I$3002,매출내역!$I$3:$I$3002,"&gt;0",매출내역!$B$3:$B$3002,$A39,매출내역!$A$3:$A$3002,"&lt;="&amp;($B$3-60),매출내역!$A$3:$A$3002,"&gt;"&amp;($B$3-90)))</f>
        <v/>
      </c>
      <c r="E39" s="15" t="str">
        <f aca="false">IF($A39="","",SUMIFS(매출내역!$I$3:$I$3002,매출내역!$I$3:$I$3002,"&gt;0",매출내역!$B$3:$B$3002,$A39,매출내역!$A$3:$A$3002,"&lt;="&amp;($B$3-90)))</f>
        <v/>
      </c>
      <c r="F39" s="15" t="str">
        <f aca="false">IF($A39="","",SUM($B39:$E39))</f>
        <v/>
      </c>
      <c r="G39" s="26" t="str">
        <f aca="false">IF($A39="","",IF($F$307=0,"",$F39/$F$307))</f>
        <v/>
      </c>
    </row>
    <row r="40" customFormat="false" ht="15" hidden="false" customHeight="true" outlineLevel="0" collapsed="false">
      <c r="A40" s="19" t="str">
        <f aca="false">IF(거래처목록!$A37="","",거래처목록!$A37)</f>
        <v/>
      </c>
      <c r="B40" s="15" t="str">
        <f aca="false">IF($A40="","",SUMIFS(매출내역!$I$3:$I$3002,매출내역!$I$3:$I$3002,"&gt;0",매출내역!$B$3:$B$3002,$A40,매출내역!$A$3:$A$3002,"&gt;"&amp;($B$3-30)))</f>
        <v/>
      </c>
      <c r="C40" s="15" t="str">
        <f aca="false">IF($A40="","",SUMIFS(매출내역!$I$3:$I$3002,매출내역!$I$3:$I$3002,"&gt;0",매출내역!$B$3:$B$3002,$A40,매출내역!$A$3:$A$3002,"&lt;="&amp;($B$3-30),매출내역!$A$3:$A$3002,"&gt;"&amp;($B$3-60)))</f>
        <v/>
      </c>
      <c r="D40" s="15" t="str">
        <f aca="false">IF($A40="","",SUMIFS(매출내역!$I$3:$I$3002,매출내역!$I$3:$I$3002,"&gt;0",매출내역!$B$3:$B$3002,$A40,매출내역!$A$3:$A$3002,"&lt;="&amp;($B$3-60),매출내역!$A$3:$A$3002,"&gt;"&amp;($B$3-90)))</f>
        <v/>
      </c>
      <c r="E40" s="15" t="str">
        <f aca="false">IF($A40="","",SUMIFS(매출내역!$I$3:$I$3002,매출내역!$I$3:$I$3002,"&gt;0",매출내역!$B$3:$B$3002,$A40,매출내역!$A$3:$A$3002,"&lt;="&amp;($B$3-90)))</f>
        <v/>
      </c>
      <c r="F40" s="15" t="str">
        <f aca="false">IF($A40="","",SUM($B40:$E40))</f>
        <v/>
      </c>
      <c r="G40" s="26" t="str">
        <f aca="false">IF($A40="","",IF($F$307=0,"",$F40/$F$307))</f>
        <v/>
      </c>
    </row>
    <row r="41" customFormat="false" ht="15" hidden="false" customHeight="true" outlineLevel="0" collapsed="false">
      <c r="A41" s="19" t="str">
        <f aca="false">IF(거래처목록!$A38="","",거래처목록!$A38)</f>
        <v/>
      </c>
      <c r="B41" s="15" t="str">
        <f aca="false">IF($A41="","",SUMIFS(매출내역!$I$3:$I$3002,매출내역!$I$3:$I$3002,"&gt;0",매출내역!$B$3:$B$3002,$A41,매출내역!$A$3:$A$3002,"&gt;"&amp;($B$3-30)))</f>
        <v/>
      </c>
      <c r="C41" s="15" t="str">
        <f aca="false">IF($A41="","",SUMIFS(매출내역!$I$3:$I$3002,매출내역!$I$3:$I$3002,"&gt;0",매출내역!$B$3:$B$3002,$A41,매출내역!$A$3:$A$3002,"&lt;="&amp;($B$3-30),매출내역!$A$3:$A$3002,"&gt;"&amp;($B$3-60)))</f>
        <v/>
      </c>
      <c r="D41" s="15" t="str">
        <f aca="false">IF($A41="","",SUMIFS(매출내역!$I$3:$I$3002,매출내역!$I$3:$I$3002,"&gt;0",매출내역!$B$3:$B$3002,$A41,매출내역!$A$3:$A$3002,"&lt;="&amp;($B$3-60),매출내역!$A$3:$A$3002,"&gt;"&amp;($B$3-90)))</f>
        <v/>
      </c>
      <c r="E41" s="15" t="str">
        <f aca="false">IF($A41="","",SUMIFS(매출내역!$I$3:$I$3002,매출내역!$I$3:$I$3002,"&gt;0",매출내역!$B$3:$B$3002,$A41,매출내역!$A$3:$A$3002,"&lt;="&amp;($B$3-90)))</f>
        <v/>
      </c>
      <c r="F41" s="15" t="str">
        <f aca="false">IF($A41="","",SUM($B41:$E41))</f>
        <v/>
      </c>
      <c r="G41" s="26" t="str">
        <f aca="false">IF($A41="","",IF($F$307=0,"",$F41/$F$307))</f>
        <v/>
      </c>
    </row>
    <row r="42" customFormat="false" ht="15" hidden="false" customHeight="true" outlineLevel="0" collapsed="false">
      <c r="A42" s="19" t="str">
        <f aca="false">IF(거래처목록!$A39="","",거래처목록!$A39)</f>
        <v/>
      </c>
      <c r="B42" s="15" t="str">
        <f aca="false">IF($A42="","",SUMIFS(매출내역!$I$3:$I$3002,매출내역!$I$3:$I$3002,"&gt;0",매출내역!$B$3:$B$3002,$A42,매출내역!$A$3:$A$3002,"&gt;"&amp;($B$3-30)))</f>
        <v/>
      </c>
      <c r="C42" s="15" t="str">
        <f aca="false">IF($A42="","",SUMIFS(매출내역!$I$3:$I$3002,매출내역!$I$3:$I$3002,"&gt;0",매출내역!$B$3:$B$3002,$A42,매출내역!$A$3:$A$3002,"&lt;="&amp;($B$3-30),매출내역!$A$3:$A$3002,"&gt;"&amp;($B$3-60)))</f>
        <v/>
      </c>
      <c r="D42" s="15" t="str">
        <f aca="false">IF($A42="","",SUMIFS(매출내역!$I$3:$I$3002,매출내역!$I$3:$I$3002,"&gt;0",매출내역!$B$3:$B$3002,$A42,매출내역!$A$3:$A$3002,"&lt;="&amp;($B$3-60),매출내역!$A$3:$A$3002,"&gt;"&amp;($B$3-90)))</f>
        <v/>
      </c>
      <c r="E42" s="15" t="str">
        <f aca="false">IF($A42="","",SUMIFS(매출내역!$I$3:$I$3002,매출내역!$I$3:$I$3002,"&gt;0",매출내역!$B$3:$B$3002,$A42,매출내역!$A$3:$A$3002,"&lt;="&amp;($B$3-90)))</f>
        <v/>
      </c>
      <c r="F42" s="15" t="str">
        <f aca="false">IF($A42="","",SUM($B42:$E42))</f>
        <v/>
      </c>
      <c r="G42" s="26" t="str">
        <f aca="false">IF($A42="","",IF($F$307=0,"",$F42/$F$307))</f>
        <v/>
      </c>
    </row>
    <row r="43" customFormat="false" ht="15" hidden="false" customHeight="true" outlineLevel="0" collapsed="false">
      <c r="A43" s="19" t="str">
        <f aca="false">IF(거래처목록!$A40="","",거래처목록!$A40)</f>
        <v/>
      </c>
      <c r="B43" s="15" t="str">
        <f aca="false">IF($A43="","",SUMIFS(매출내역!$I$3:$I$3002,매출내역!$I$3:$I$3002,"&gt;0",매출내역!$B$3:$B$3002,$A43,매출내역!$A$3:$A$3002,"&gt;"&amp;($B$3-30)))</f>
        <v/>
      </c>
      <c r="C43" s="15" t="str">
        <f aca="false">IF($A43="","",SUMIFS(매출내역!$I$3:$I$3002,매출내역!$I$3:$I$3002,"&gt;0",매출내역!$B$3:$B$3002,$A43,매출내역!$A$3:$A$3002,"&lt;="&amp;($B$3-30),매출내역!$A$3:$A$3002,"&gt;"&amp;($B$3-60)))</f>
        <v/>
      </c>
      <c r="D43" s="15" t="str">
        <f aca="false">IF($A43="","",SUMIFS(매출내역!$I$3:$I$3002,매출내역!$I$3:$I$3002,"&gt;0",매출내역!$B$3:$B$3002,$A43,매출내역!$A$3:$A$3002,"&lt;="&amp;($B$3-60),매출내역!$A$3:$A$3002,"&gt;"&amp;($B$3-90)))</f>
        <v/>
      </c>
      <c r="E43" s="15" t="str">
        <f aca="false">IF($A43="","",SUMIFS(매출내역!$I$3:$I$3002,매출내역!$I$3:$I$3002,"&gt;0",매출내역!$B$3:$B$3002,$A43,매출내역!$A$3:$A$3002,"&lt;="&amp;($B$3-90)))</f>
        <v/>
      </c>
      <c r="F43" s="15" t="str">
        <f aca="false">IF($A43="","",SUM($B43:$E43))</f>
        <v/>
      </c>
      <c r="G43" s="26" t="str">
        <f aca="false">IF($A43="","",IF($F$307=0,"",$F43/$F$307))</f>
        <v/>
      </c>
    </row>
    <row r="44" customFormat="false" ht="15" hidden="false" customHeight="true" outlineLevel="0" collapsed="false">
      <c r="A44" s="19" t="str">
        <f aca="false">IF(거래처목록!$A41="","",거래처목록!$A41)</f>
        <v/>
      </c>
      <c r="B44" s="15" t="str">
        <f aca="false">IF($A44="","",SUMIFS(매출내역!$I$3:$I$3002,매출내역!$I$3:$I$3002,"&gt;0",매출내역!$B$3:$B$3002,$A44,매출내역!$A$3:$A$3002,"&gt;"&amp;($B$3-30)))</f>
        <v/>
      </c>
      <c r="C44" s="15" t="str">
        <f aca="false">IF($A44="","",SUMIFS(매출내역!$I$3:$I$3002,매출내역!$I$3:$I$3002,"&gt;0",매출내역!$B$3:$B$3002,$A44,매출내역!$A$3:$A$3002,"&lt;="&amp;($B$3-30),매출내역!$A$3:$A$3002,"&gt;"&amp;($B$3-60)))</f>
        <v/>
      </c>
      <c r="D44" s="15" t="str">
        <f aca="false">IF($A44="","",SUMIFS(매출내역!$I$3:$I$3002,매출내역!$I$3:$I$3002,"&gt;0",매출내역!$B$3:$B$3002,$A44,매출내역!$A$3:$A$3002,"&lt;="&amp;($B$3-60),매출내역!$A$3:$A$3002,"&gt;"&amp;($B$3-90)))</f>
        <v/>
      </c>
      <c r="E44" s="15" t="str">
        <f aca="false">IF($A44="","",SUMIFS(매출내역!$I$3:$I$3002,매출내역!$I$3:$I$3002,"&gt;0",매출내역!$B$3:$B$3002,$A44,매출내역!$A$3:$A$3002,"&lt;="&amp;($B$3-90)))</f>
        <v/>
      </c>
      <c r="F44" s="15" t="str">
        <f aca="false">IF($A44="","",SUM($B44:$E44))</f>
        <v/>
      </c>
      <c r="G44" s="26" t="str">
        <f aca="false">IF($A44="","",IF($F$307=0,"",$F44/$F$307))</f>
        <v/>
      </c>
    </row>
    <row r="45" customFormat="false" ht="15" hidden="false" customHeight="true" outlineLevel="0" collapsed="false">
      <c r="A45" s="19" t="str">
        <f aca="false">IF(거래처목록!$A42="","",거래처목록!$A42)</f>
        <v/>
      </c>
      <c r="B45" s="15" t="str">
        <f aca="false">IF($A45="","",SUMIFS(매출내역!$I$3:$I$3002,매출내역!$I$3:$I$3002,"&gt;0",매출내역!$B$3:$B$3002,$A45,매출내역!$A$3:$A$3002,"&gt;"&amp;($B$3-30)))</f>
        <v/>
      </c>
      <c r="C45" s="15" t="str">
        <f aca="false">IF($A45="","",SUMIFS(매출내역!$I$3:$I$3002,매출내역!$I$3:$I$3002,"&gt;0",매출내역!$B$3:$B$3002,$A45,매출내역!$A$3:$A$3002,"&lt;="&amp;($B$3-30),매출내역!$A$3:$A$3002,"&gt;"&amp;($B$3-60)))</f>
        <v/>
      </c>
      <c r="D45" s="15" t="str">
        <f aca="false">IF($A45="","",SUMIFS(매출내역!$I$3:$I$3002,매출내역!$I$3:$I$3002,"&gt;0",매출내역!$B$3:$B$3002,$A45,매출내역!$A$3:$A$3002,"&lt;="&amp;($B$3-60),매출내역!$A$3:$A$3002,"&gt;"&amp;($B$3-90)))</f>
        <v/>
      </c>
      <c r="E45" s="15" t="str">
        <f aca="false">IF($A45="","",SUMIFS(매출내역!$I$3:$I$3002,매출내역!$I$3:$I$3002,"&gt;0",매출내역!$B$3:$B$3002,$A45,매출내역!$A$3:$A$3002,"&lt;="&amp;($B$3-90)))</f>
        <v/>
      </c>
      <c r="F45" s="15" t="str">
        <f aca="false">IF($A45="","",SUM($B45:$E45))</f>
        <v/>
      </c>
      <c r="G45" s="26" t="str">
        <f aca="false">IF($A45="","",IF($F$307=0,"",$F45/$F$307))</f>
        <v/>
      </c>
    </row>
    <row r="46" customFormat="false" ht="15" hidden="false" customHeight="true" outlineLevel="0" collapsed="false">
      <c r="A46" s="19" t="str">
        <f aca="false">IF(거래처목록!$A43="","",거래처목록!$A43)</f>
        <v/>
      </c>
      <c r="B46" s="15" t="str">
        <f aca="false">IF($A46="","",SUMIFS(매출내역!$I$3:$I$3002,매출내역!$I$3:$I$3002,"&gt;0",매출내역!$B$3:$B$3002,$A46,매출내역!$A$3:$A$3002,"&gt;"&amp;($B$3-30)))</f>
        <v/>
      </c>
      <c r="C46" s="15" t="str">
        <f aca="false">IF($A46="","",SUMIFS(매출내역!$I$3:$I$3002,매출내역!$I$3:$I$3002,"&gt;0",매출내역!$B$3:$B$3002,$A46,매출내역!$A$3:$A$3002,"&lt;="&amp;($B$3-30),매출내역!$A$3:$A$3002,"&gt;"&amp;($B$3-60)))</f>
        <v/>
      </c>
      <c r="D46" s="15" t="str">
        <f aca="false">IF($A46="","",SUMIFS(매출내역!$I$3:$I$3002,매출내역!$I$3:$I$3002,"&gt;0",매출내역!$B$3:$B$3002,$A46,매출내역!$A$3:$A$3002,"&lt;="&amp;($B$3-60),매출내역!$A$3:$A$3002,"&gt;"&amp;($B$3-90)))</f>
        <v/>
      </c>
      <c r="E46" s="15" t="str">
        <f aca="false">IF($A46="","",SUMIFS(매출내역!$I$3:$I$3002,매출내역!$I$3:$I$3002,"&gt;0",매출내역!$B$3:$B$3002,$A46,매출내역!$A$3:$A$3002,"&lt;="&amp;($B$3-90)))</f>
        <v/>
      </c>
      <c r="F46" s="15" t="str">
        <f aca="false">IF($A46="","",SUM($B46:$E46))</f>
        <v/>
      </c>
      <c r="G46" s="26" t="str">
        <f aca="false">IF($A46="","",IF($F$307=0,"",$F46/$F$307))</f>
        <v/>
      </c>
    </row>
    <row r="47" customFormat="false" ht="15" hidden="false" customHeight="true" outlineLevel="0" collapsed="false">
      <c r="A47" s="19" t="str">
        <f aca="false">IF(거래처목록!$A44="","",거래처목록!$A44)</f>
        <v/>
      </c>
      <c r="B47" s="15" t="str">
        <f aca="false">IF($A47="","",SUMIFS(매출내역!$I$3:$I$3002,매출내역!$I$3:$I$3002,"&gt;0",매출내역!$B$3:$B$3002,$A47,매출내역!$A$3:$A$3002,"&gt;"&amp;($B$3-30)))</f>
        <v/>
      </c>
      <c r="C47" s="15" t="str">
        <f aca="false">IF($A47="","",SUMIFS(매출내역!$I$3:$I$3002,매출내역!$I$3:$I$3002,"&gt;0",매출내역!$B$3:$B$3002,$A47,매출내역!$A$3:$A$3002,"&lt;="&amp;($B$3-30),매출내역!$A$3:$A$3002,"&gt;"&amp;($B$3-60)))</f>
        <v/>
      </c>
      <c r="D47" s="15" t="str">
        <f aca="false">IF($A47="","",SUMIFS(매출내역!$I$3:$I$3002,매출내역!$I$3:$I$3002,"&gt;0",매출내역!$B$3:$B$3002,$A47,매출내역!$A$3:$A$3002,"&lt;="&amp;($B$3-60),매출내역!$A$3:$A$3002,"&gt;"&amp;($B$3-90)))</f>
        <v/>
      </c>
      <c r="E47" s="15" t="str">
        <f aca="false">IF($A47="","",SUMIFS(매출내역!$I$3:$I$3002,매출내역!$I$3:$I$3002,"&gt;0",매출내역!$B$3:$B$3002,$A47,매출내역!$A$3:$A$3002,"&lt;="&amp;($B$3-90)))</f>
        <v/>
      </c>
      <c r="F47" s="15" t="str">
        <f aca="false">IF($A47="","",SUM($B47:$E47))</f>
        <v/>
      </c>
      <c r="G47" s="26" t="str">
        <f aca="false">IF($A47="","",IF($F$307=0,"",$F47/$F$307))</f>
        <v/>
      </c>
    </row>
    <row r="48" customFormat="false" ht="15" hidden="false" customHeight="true" outlineLevel="0" collapsed="false">
      <c r="A48" s="19" t="str">
        <f aca="false">IF(거래처목록!$A45="","",거래처목록!$A45)</f>
        <v/>
      </c>
      <c r="B48" s="15" t="str">
        <f aca="false">IF($A48="","",SUMIFS(매출내역!$I$3:$I$3002,매출내역!$I$3:$I$3002,"&gt;0",매출내역!$B$3:$B$3002,$A48,매출내역!$A$3:$A$3002,"&gt;"&amp;($B$3-30)))</f>
        <v/>
      </c>
      <c r="C48" s="15" t="str">
        <f aca="false">IF($A48="","",SUMIFS(매출내역!$I$3:$I$3002,매출내역!$I$3:$I$3002,"&gt;0",매출내역!$B$3:$B$3002,$A48,매출내역!$A$3:$A$3002,"&lt;="&amp;($B$3-30),매출내역!$A$3:$A$3002,"&gt;"&amp;($B$3-60)))</f>
        <v/>
      </c>
      <c r="D48" s="15" t="str">
        <f aca="false">IF($A48="","",SUMIFS(매출내역!$I$3:$I$3002,매출내역!$I$3:$I$3002,"&gt;0",매출내역!$B$3:$B$3002,$A48,매출내역!$A$3:$A$3002,"&lt;="&amp;($B$3-60),매출내역!$A$3:$A$3002,"&gt;"&amp;($B$3-90)))</f>
        <v/>
      </c>
      <c r="E48" s="15" t="str">
        <f aca="false">IF($A48="","",SUMIFS(매출내역!$I$3:$I$3002,매출내역!$I$3:$I$3002,"&gt;0",매출내역!$B$3:$B$3002,$A48,매출내역!$A$3:$A$3002,"&lt;="&amp;($B$3-90)))</f>
        <v/>
      </c>
      <c r="F48" s="15" t="str">
        <f aca="false">IF($A48="","",SUM($B48:$E48))</f>
        <v/>
      </c>
      <c r="G48" s="26" t="str">
        <f aca="false">IF($A48="","",IF($F$307=0,"",$F48/$F$307))</f>
        <v/>
      </c>
    </row>
    <row r="49" customFormat="false" ht="15" hidden="false" customHeight="true" outlineLevel="0" collapsed="false">
      <c r="A49" s="19" t="str">
        <f aca="false">IF(거래처목록!$A46="","",거래처목록!$A46)</f>
        <v/>
      </c>
      <c r="B49" s="15" t="str">
        <f aca="false">IF($A49="","",SUMIFS(매출내역!$I$3:$I$3002,매출내역!$I$3:$I$3002,"&gt;0",매출내역!$B$3:$B$3002,$A49,매출내역!$A$3:$A$3002,"&gt;"&amp;($B$3-30)))</f>
        <v/>
      </c>
      <c r="C49" s="15" t="str">
        <f aca="false">IF($A49="","",SUMIFS(매출내역!$I$3:$I$3002,매출내역!$I$3:$I$3002,"&gt;0",매출내역!$B$3:$B$3002,$A49,매출내역!$A$3:$A$3002,"&lt;="&amp;($B$3-30),매출내역!$A$3:$A$3002,"&gt;"&amp;($B$3-60)))</f>
        <v/>
      </c>
      <c r="D49" s="15" t="str">
        <f aca="false">IF($A49="","",SUMIFS(매출내역!$I$3:$I$3002,매출내역!$I$3:$I$3002,"&gt;0",매출내역!$B$3:$B$3002,$A49,매출내역!$A$3:$A$3002,"&lt;="&amp;($B$3-60),매출내역!$A$3:$A$3002,"&gt;"&amp;($B$3-90)))</f>
        <v/>
      </c>
      <c r="E49" s="15" t="str">
        <f aca="false">IF($A49="","",SUMIFS(매출내역!$I$3:$I$3002,매출내역!$I$3:$I$3002,"&gt;0",매출내역!$B$3:$B$3002,$A49,매출내역!$A$3:$A$3002,"&lt;="&amp;($B$3-90)))</f>
        <v/>
      </c>
      <c r="F49" s="15" t="str">
        <f aca="false">IF($A49="","",SUM($B49:$E49))</f>
        <v/>
      </c>
      <c r="G49" s="26" t="str">
        <f aca="false">IF($A49="","",IF($F$307=0,"",$F49/$F$307))</f>
        <v/>
      </c>
    </row>
    <row r="50" customFormat="false" ht="15" hidden="false" customHeight="true" outlineLevel="0" collapsed="false">
      <c r="A50" s="19" t="str">
        <f aca="false">IF(거래처목록!$A47="","",거래처목록!$A47)</f>
        <v/>
      </c>
      <c r="B50" s="15" t="str">
        <f aca="false">IF($A50="","",SUMIFS(매출내역!$I$3:$I$3002,매출내역!$I$3:$I$3002,"&gt;0",매출내역!$B$3:$B$3002,$A50,매출내역!$A$3:$A$3002,"&gt;"&amp;($B$3-30)))</f>
        <v/>
      </c>
      <c r="C50" s="15" t="str">
        <f aca="false">IF($A50="","",SUMIFS(매출내역!$I$3:$I$3002,매출내역!$I$3:$I$3002,"&gt;0",매출내역!$B$3:$B$3002,$A50,매출내역!$A$3:$A$3002,"&lt;="&amp;($B$3-30),매출내역!$A$3:$A$3002,"&gt;"&amp;($B$3-60)))</f>
        <v/>
      </c>
      <c r="D50" s="15" t="str">
        <f aca="false">IF($A50="","",SUMIFS(매출내역!$I$3:$I$3002,매출내역!$I$3:$I$3002,"&gt;0",매출내역!$B$3:$B$3002,$A50,매출내역!$A$3:$A$3002,"&lt;="&amp;($B$3-60),매출내역!$A$3:$A$3002,"&gt;"&amp;($B$3-90)))</f>
        <v/>
      </c>
      <c r="E50" s="15" t="str">
        <f aca="false">IF($A50="","",SUMIFS(매출내역!$I$3:$I$3002,매출내역!$I$3:$I$3002,"&gt;0",매출내역!$B$3:$B$3002,$A50,매출내역!$A$3:$A$3002,"&lt;="&amp;($B$3-90)))</f>
        <v/>
      </c>
      <c r="F50" s="15" t="str">
        <f aca="false">IF($A50="","",SUM($B50:$E50))</f>
        <v/>
      </c>
      <c r="G50" s="26" t="str">
        <f aca="false">IF($A50="","",IF($F$307=0,"",$F50/$F$307))</f>
        <v/>
      </c>
    </row>
    <row r="51" customFormat="false" ht="15" hidden="false" customHeight="true" outlineLevel="0" collapsed="false">
      <c r="A51" s="19" t="str">
        <f aca="false">IF(거래처목록!$A48="","",거래처목록!$A48)</f>
        <v/>
      </c>
      <c r="B51" s="15" t="str">
        <f aca="false">IF($A51="","",SUMIFS(매출내역!$I$3:$I$3002,매출내역!$I$3:$I$3002,"&gt;0",매출내역!$B$3:$B$3002,$A51,매출내역!$A$3:$A$3002,"&gt;"&amp;($B$3-30)))</f>
        <v/>
      </c>
      <c r="C51" s="15" t="str">
        <f aca="false">IF($A51="","",SUMIFS(매출내역!$I$3:$I$3002,매출내역!$I$3:$I$3002,"&gt;0",매출내역!$B$3:$B$3002,$A51,매출내역!$A$3:$A$3002,"&lt;="&amp;($B$3-30),매출내역!$A$3:$A$3002,"&gt;"&amp;($B$3-60)))</f>
        <v/>
      </c>
      <c r="D51" s="15" t="str">
        <f aca="false">IF($A51="","",SUMIFS(매출내역!$I$3:$I$3002,매출내역!$I$3:$I$3002,"&gt;0",매출내역!$B$3:$B$3002,$A51,매출내역!$A$3:$A$3002,"&lt;="&amp;($B$3-60),매출내역!$A$3:$A$3002,"&gt;"&amp;($B$3-90)))</f>
        <v/>
      </c>
      <c r="E51" s="15" t="str">
        <f aca="false">IF($A51="","",SUMIFS(매출내역!$I$3:$I$3002,매출내역!$I$3:$I$3002,"&gt;0",매출내역!$B$3:$B$3002,$A51,매출내역!$A$3:$A$3002,"&lt;="&amp;($B$3-90)))</f>
        <v/>
      </c>
      <c r="F51" s="15" t="str">
        <f aca="false">IF($A51="","",SUM($B51:$E51))</f>
        <v/>
      </c>
      <c r="G51" s="26" t="str">
        <f aca="false">IF($A51="","",IF($F$307=0,"",$F51/$F$307))</f>
        <v/>
      </c>
    </row>
    <row r="52" customFormat="false" ht="15" hidden="false" customHeight="true" outlineLevel="0" collapsed="false">
      <c r="A52" s="19" t="str">
        <f aca="false">IF(거래처목록!$A49="","",거래처목록!$A49)</f>
        <v/>
      </c>
      <c r="B52" s="15" t="str">
        <f aca="false">IF($A52="","",SUMIFS(매출내역!$I$3:$I$3002,매출내역!$I$3:$I$3002,"&gt;0",매출내역!$B$3:$B$3002,$A52,매출내역!$A$3:$A$3002,"&gt;"&amp;($B$3-30)))</f>
        <v/>
      </c>
      <c r="C52" s="15" t="str">
        <f aca="false">IF($A52="","",SUMIFS(매출내역!$I$3:$I$3002,매출내역!$I$3:$I$3002,"&gt;0",매출내역!$B$3:$B$3002,$A52,매출내역!$A$3:$A$3002,"&lt;="&amp;($B$3-30),매출내역!$A$3:$A$3002,"&gt;"&amp;($B$3-60)))</f>
        <v/>
      </c>
      <c r="D52" s="15" t="str">
        <f aca="false">IF($A52="","",SUMIFS(매출내역!$I$3:$I$3002,매출내역!$I$3:$I$3002,"&gt;0",매출내역!$B$3:$B$3002,$A52,매출내역!$A$3:$A$3002,"&lt;="&amp;($B$3-60),매출내역!$A$3:$A$3002,"&gt;"&amp;($B$3-90)))</f>
        <v/>
      </c>
      <c r="E52" s="15" t="str">
        <f aca="false">IF($A52="","",SUMIFS(매출내역!$I$3:$I$3002,매출내역!$I$3:$I$3002,"&gt;0",매출내역!$B$3:$B$3002,$A52,매출내역!$A$3:$A$3002,"&lt;="&amp;($B$3-90)))</f>
        <v/>
      </c>
      <c r="F52" s="15" t="str">
        <f aca="false">IF($A52="","",SUM($B52:$E52))</f>
        <v/>
      </c>
      <c r="G52" s="26" t="str">
        <f aca="false">IF($A52="","",IF($F$307=0,"",$F52/$F$307))</f>
        <v/>
      </c>
    </row>
    <row r="53" customFormat="false" ht="15" hidden="false" customHeight="true" outlineLevel="0" collapsed="false">
      <c r="A53" s="19" t="str">
        <f aca="false">IF(거래처목록!$A50="","",거래처목록!$A50)</f>
        <v/>
      </c>
      <c r="B53" s="15" t="str">
        <f aca="false">IF($A53="","",SUMIFS(매출내역!$I$3:$I$3002,매출내역!$I$3:$I$3002,"&gt;0",매출내역!$B$3:$B$3002,$A53,매출내역!$A$3:$A$3002,"&gt;"&amp;($B$3-30)))</f>
        <v/>
      </c>
      <c r="C53" s="15" t="str">
        <f aca="false">IF($A53="","",SUMIFS(매출내역!$I$3:$I$3002,매출내역!$I$3:$I$3002,"&gt;0",매출내역!$B$3:$B$3002,$A53,매출내역!$A$3:$A$3002,"&lt;="&amp;($B$3-30),매출내역!$A$3:$A$3002,"&gt;"&amp;($B$3-60)))</f>
        <v/>
      </c>
      <c r="D53" s="15" t="str">
        <f aca="false">IF($A53="","",SUMIFS(매출내역!$I$3:$I$3002,매출내역!$I$3:$I$3002,"&gt;0",매출내역!$B$3:$B$3002,$A53,매출내역!$A$3:$A$3002,"&lt;="&amp;($B$3-60),매출내역!$A$3:$A$3002,"&gt;"&amp;($B$3-90)))</f>
        <v/>
      </c>
      <c r="E53" s="15" t="str">
        <f aca="false">IF($A53="","",SUMIFS(매출내역!$I$3:$I$3002,매출내역!$I$3:$I$3002,"&gt;0",매출내역!$B$3:$B$3002,$A53,매출내역!$A$3:$A$3002,"&lt;="&amp;($B$3-90)))</f>
        <v/>
      </c>
      <c r="F53" s="15" t="str">
        <f aca="false">IF($A53="","",SUM($B53:$E53))</f>
        <v/>
      </c>
      <c r="G53" s="26" t="str">
        <f aca="false">IF($A53="","",IF($F$307=0,"",$F53/$F$307))</f>
        <v/>
      </c>
    </row>
    <row r="54" customFormat="false" ht="15" hidden="false" customHeight="true" outlineLevel="0" collapsed="false">
      <c r="A54" s="19" t="str">
        <f aca="false">IF(거래처목록!$A51="","",거래처목록!$A51)</f>
        <v/>
      </c>
      <c r="B54" s="15" t="str">
        <f aca="false">IF($A54="","",SUMIFS(매출내역!$I$3:$I$3002,매출내역!$I$3:$I$3002,"&gt;0",매출내역!$B$3:$B$3002,$A54,매출내역!$A$3:$A$3002,"&gt;"&amp;($B$3-30)))</f>
        <v/>
      </c>
      <c r="C54" s="15" t="str">
        <f aca="false">IF($A54="","",SUMIFS(매출내역!$I$3:$I$3002,매출내역!$I$3:$I$3002,"&gt;0",매출내역!$B$3:$B$3002,$A54,매출내역!$A$3:$A$3002,"&lt;="&amp;($B$3-30),매출내역!$A$3:$A$3002,"&gt;"&amp;($B$3-60)))</f>
        <v/>
      </c>
      <c r="D54" s="15" t="str">
        <f aca="false">IF($A54="","",SUMIFS(매출내역!$I$3:$I$3002,매출내역!$I$3:$I$3002,"&gt;0",매출내역!$B$3:$B$3002,$A54,매출내역!$A$3:$A$3002,"&lt;="&amp;($B$3-60),매출내역!$A$3:$A$3002,"&gt;"&amp;($B$3-90)))</f>
        <v/>
      </c>
      <c r="E54" s="15" t="str">
        <f aca="false">IF($A54="","",SUMIFS(매출내역!$I$3:$I$3002,매출내역!$I$3:$I$3002,"&gt;0",매출내역!$B$3:$B$3002,$A54,매출내역!$A$3:$A$3002,"&lt;="&amp;($B$3-90)))</f>
        <v/>
      </c>
      <c r="F54" s="15" t="str">
        <f aca="false">IF($A54="","",SUM($B54:$E54))</f>
        <v/>
      </c>
      <c r="G54" s="26" t="str">
        <f aca="false">IF($A54="","",IF($F$307=0,"",$F54/$F$307))</f>
        <v/>
      </c>
    </row>
    <row r="55" customFormat="false" ht="15" hidden="false" customHeight="true" outlineLevel="0" collapsed="false">
      <c r="A55" s="19" t="str">
        <f aca="false">IF(거래처목록!$A52="","",거래처목록!$A52)</f>
        <v/>
      </c>
      <c r="B55" s="15" t="str">
        <f aca="false">IF($A55="","",SUMIFS(매출내역!$I$3:$I$3002,매출내역!$I$3:$I$3002,"&gt;0",매출내역!$B$3:$B$3002,$A55,매출내역!$A$3:$A$3002,"&gt;"&amp;($B$3-30)))</f>
        <v/>
      </c>
      <c r="C55" s="15" t="str">
        <f aca="false">IF($A55="","",SUMIFS(매출내역!$I$3:$I$3002,매출내역!$I$3:$I$3002,"&gt;0",매출내역!$B$3:$B$3002,$A55,매출내역!$A$3:$A$3002,"&lt;="&amp;($B$3-30),매출내역!$A$3:$A$3002,"&gt;"&amp;($B$3-60)))</f>
        <v/>
      </c>
      <c r="D55" s="15" t="str">
        <f aca="false">IF($A55="","",SUMIFS(매출내역!$I$3:$I$3002,매출내역!$I$3:$I$3002,"&gt;0",매출내역!$B$3:$B$3002,$A55,매출내역!$A$3:$A$3002,"&lt;="&amp;($B$3-60),매출내역!$A$3:$A$3002,"&gt;"&amp;($B$3-90)))</f>
        <v/>
      </c>
      <c r="E55" s="15" t="str">
        <f aca="false">IF($A55="","",SUMIFS(매출내역!$I$3:$I$3002,매출내역!$I$3:$I$3002,"&gt;0",매출내역!$B$3:$B$3002,$A55,매출내역!$A$3:$A$3002,"&lt;="&amp;($B$3-90)))</f>
        <v/>
      </c>
      <c r="F55" s="15" t="str">
        <f aca="false">IF($A55="","",SUM($B55:$E55))</f>
        <v/>
      </c>
      <c r="G55" s="26" t="str">
        <f aca="false">IF($A55="","",IF($F$307=0,"",$F55/$F$307))</f>
        <v/>
      </c>
    </row>
    <row r="56" customFormat="false" ht="15" hidden="false" customHeight="true" outlineLevel="0" collapsed="false">
      <c r="A56" s="19" t="str">
        <f aca="false">IF(거래처목록!$A53="","",거래처목록!$A53)</f>
        <v/>
      </c>
      <c r="B56" s="15" t="str">
        <f aca="false">IF($A56="","",SUMIFS(매출내역!$I$3:$I$3002,매출내역!$I$3:$I$3002,"&gt;0",매출내역!$B$3:$B$3002,$A56,매출내역!$A$3:$A$3002,"&gt;"&amp;($B$3-30)))</f>
        <v/>
      </c>
      <c r="C56" s="15" t="str">
        <f aca="false">IF($A56="","",SUMIFS(매출내역!$I$3:$I$3002,매출내역!$I$3:$I$3002,"&gt;0",매출내역!$B$3:$B$3002,$A56,매출내역!$A$3:$A$3002,"&lt;="&amp;($B$3-30),매출내역!$A$3:$A$3002,"&gt;"&amp;($B$3-60)))</f>
        <v/>
      </c>
      <c r="D56" s="15" t="str">
        <f aca="false">IF($A56="","",SUMIFS(매출내역!$I$3:$I$3002,매출내역!$I$3:$I$3002,"&gt;0",매출내역!$B$3:$B$3002,$A56,매출내역!$A$3:$A$3002,"&lt;="&amp;($B$3-60),매출내역!$A$3:$A$3002,"&gt;"&amp;($B$3-90)))</f>
        <v/>
      </c>
      <c r="E56" s="15" t="str">
        <f aca="false">IF($A56="","",SUMIFS(매출내역!$I$3:$I$3002,매출내역!$I$3:$I$3002,"&gt;0",매출내역!$B$3:$B$3002,$A56,매출내역!$A$3:$A$3002,"&lt;="&amp;($B$3-90)))</f>
        <v/>
      </c>
      <c r="F56" s="15" t="str">
        <f aca="false">IF($A56="","",SUM($B56:$E56))</f>
        <v/>
      </c>
      <c r="G56" s="26" t="str">
        <f aca="false">IF($A56="","",IF($F$307=0,"",$F56/$F$307))</f>
        <v/>
      </c>
    </row>
    <row r="57" customFormat="false" ht="15" hidden="false" customHeight="true" outlineLevel="0" collapsed="false">
      <c r="A57" s="19" t="str">
        <f aca="false">IF(거래처목록!$A54="","",거래처목록!$A54)</f>
        <v/>
      </c>
      <c r="B57" s="15" t="str">
        <f aca="false">IF($A57="","",SUMIFS(매출내역!$I$3:$I$3002,매출내역!$I$3:$I$3002,"&gt;0",매출내역!$B$3:$B$3002,$A57,매출내역!$A$3:$A$3002,"&gt;"&amp;($B$3-30)))</f>
        <v/>
      </c>
      <c r="C57" s="15" t="str">
        <f aca="false">IF($A57="","",SUMIFS(매출내역!$I$3:$I$3002,매출내역!$I$3:$I$3002,"&gt;0",매출내역!$B$3:$B$3002,$A57,매출내역!$A$3:$A$3002,"&lt;="&amp;($B$3-30),매출내역!$A$3:$A$3002,"&gt;"&amp;($B$3-60)))</f>
        <v/>
      </c>
      <c r="D57" s="15" t="str">
        <f aca="false">IF($A57="","",SUMIFS(매출내역!$I$3:$I$3002,매출내역!$I$3:$I$3002,"&gt;0",매출내역!$B$3:$B$3002,$A57,매출내역!$A$3:$A$3002,"&lt;="&amp;($B$3-60),매출내역!$A$3:$A$3002,"&gt;"&amp;($B$3-90)))</f>
        <v/>
      </c>
      <c r="E57" s="15" t="str">
        <f aca="false">IF($A57="","",SUMIFS(매출내역!$I$3:$I$3002,매출내역!$I$3:$I$3002,"&gt;0",매출내역!$B$3:$B$3002,$A57,매출내역!$A$3:$A$3002,"&lt;="&amp;($B$3-90)))</f>
        <v/>
      </c>
      <c r="F57" s="15" t="str">
        <f aca="false">IF($A57="","",SUM($B57:$E57))</f>
        <v/>
      </c>
      <c r="G57" s="26" t="str">
        <f aca="false">IF($A57="","",IF($F$307=0,"",$F57/$F$307))</f>
        <v/>
      </c>
    </row>
    <row r="58" customFormat="false" ht="15" hidden="false" customHeight="true" outlineLevel="0" collapsed="false">
      <c r="A58" s="19" t="str">
        <f aca="false">IF(거래처목록!$A55="","",거래처목록!$A55)</f>
        <v/>
      </c>
      <c r="B58" s="15" t="str">
        <f aca="false">IF($A58="","",SUMIFS(매출내역!$I$3:$I$3002,매출내역!$I$3:$I$3002,"&gt;0",매출내역!$B$3:$B$3002,$A58,매출내역!$A$3:$A$3002,"&gt;"&amp;($B$3-30)))</f>
        <v/>
      </c>
      <c r="C58" s="15" t="str">
        <f aca="false">IF($A58="","",SUMIFS(매출내역!$I$3:$I$3002,매출내역!$I$3:$I$3002,"&gt;0",매출내역!$B$3:$B$3002,$A58,매출내역!$A$3:$A$3002,"&lt;="&amp;($B$3-30),매출내역!$A$3:$A$3002,"&gt;"&amp;($B$3-60)))</f>
        <v/>
      </c>
      <c r="D58" s="15" t="str">
        <f aca="false">IF($A58="","",SUMIFS(매출내역!$I$3:$I$3002,매출내역!$I$3:$I$3002,"&gt;0",매출내역!$B$3:$B$3002,$A58,매출내역!$A$3:$A$3002,"&lt;="&amp;($B$3-60),매출내역!$A$3:$A$3002,"&gt;"&amp;($B$3-90)))</f>
        <v/>
      </c>
      <c r="E58" s="15" t="str">
        <f aca="false">IF($A58="","",SUMIFS(매출내역!$I$3:$I$3002,매출내역!$I$3:$I$3002,"&gt;0",매출내역!$B$3:$B$3002,$A58,매출내역!$A$3:$A$3002,"&lt;="&amp;($B$3-90)))</f>
        <v/>
      </c>
      <c r="F58" s="15" t="str">
        <f aca="false">IF($A58="","",SUM($B58:$E58))</f>
        <v/>
      </c>
      <c r="G58" s="26" t="str">
        <f aca="false">IF($A58="","",IF($F$307=0,"",$F58/$F$307))</f>
        <v/>
      </c>
    </row>
    <row r="59" customFormat="false" ht="15" hidden="false" customHeight="true" outlineLevel="0" collapsed="false">
      <c r="A59" s="19" t="str">
        <f aca="false">IF(거래처목록!$A56="","",거래처목록!$A56)</f>
        <v/>
      </c>
      <c r="B59" s="15" t="str">
        <f aca="false">IF($A59="","",SUMIFS(매출내역!$I$3:$I$3002,매출내역!$I$3:$I$3002,"&gt;0",매출내역!$B$3:$B$3002,$A59,매출내역!$A$3:$A$3002,"&gt;"&amp;($B$3-30)))</f>
        <v/>
      </c>
      <c r="C59" s="15" t="str">
        <f aca="false">IF($A59="","",SUMIFS(매출내역!$I$3:$I$3002,매출내역!$I$3:$I$3002,"&gt;0",매출내역!$B$3:$B$3002,$A59,매출내역!$A$3:$A$3002,"&lt;="&amp;($B$3-30),매출내역!$A$3:$A$3002,"&gt;"&amp;($B$3-60)))</f>
        <v/>
      </c>
      <c r="D59" s="15" t="str">
        <f aca="false">IF($A59="","",SUMIFS(매출내역!$I$3:$I$3002,매출내역!$I$3:$I$3002,"&gt;0",매출내역!$B$3:$B$3002,$A59,매출내역!$A$3:$A$3002,"&lt;="&amp;($B$3-60),매출내역!$A$3:$A$3002,"&gt;"&amp;($B$3-90)))</f>
        <v/>
      </c>
      <c r="E59" s="15" t="str">
        <f aca="false">IF($A59="","",SUMIFS(매출내역!$I$3:$I$3002,매출내역!$I$3:$I$3002,"&gt;0",매출내역!$B$3:$B$3002,$A59,매출내역!$A$3:$A$3002,"&lt;="&amp;($B$3-90)))</f>
        <v/>
      </c>
      <c r="F59" s="15" t="str">
        <f aca="false">IF($A59="","",SUM($B59:$E59))</f>
        <v/>
      </c>
      <c r="G59" s="26" t="str">
        <f aca="false">IF($A59="","",IF($F$307=0,"",$F59/$F$307))</f>
        <v/>
      </c>
    </row>
    <row r="60" customFormat="false" ht="15" hidden="false" customHeight="true" outlineLevel="0" collapsed="false">
      <c r="A60" s="19" t="str">
        <f aca="false">IF(거래처목록!$A57="","",거래처목록!$A57)</f>
        <v/>
      </c>
      <c r="B60" s="15" t="str">
        <f aca="false">IF($A60="","",SUMIFS(매출내역!$I$3:$I$3002,매출내역!$I$3:$I$3002,"&gt;0",매출내역!$B$3:$B$3002,$A60,매출내역!$A$3:$A$3002,"&gt;"&amp;($B$3-30)))</f>
        <v/>
      </c>
      <c r="C60" s="15" t="str">
        <f aca="false">IF($A60="","",SUMIFS(매출내역!$I$3:$I$3002,매출내역!$I$3:$I$3002,"&gt;0",매출내역!$B$3:$B$3002,$A60,매출내역!$A$3:$A$3002,"&lt;="&amp;($B$3-30),매출내역!$A$3:$A$3002,"&gt;"&amp;($B$3-60)))</f>
        <v/>
      </c>
      <c r="D60" s="15" t="str">
        <f aca="false">IF($A60="","",SUMIFS(매출내역!$I$3:$I$3002,매출내역!$I$3:$I$3002,"&gt;0",매출내역!$B$3:$B$3002,$A60,매출내역!$A$3:$A$3002,"&lt;="&amp;($B$3-60),매출내역!$A$3:$A$3002,"&gt;"&amp;($B$3-90)))</f>
        <v/>
      </c>
      <c r="E60" s="15" t="str">
        <f aca="false">IF($A60="","",SUMIFS(매출내역!$I$3:$I$3002,매출내역!$I$3:$I$3002,"&gt;0",매출내역!$B$3:$B$3002,$A60,매출내역!$A$3:$A$3002,"&lt;="&amp;($B$3-90)))</f>
        <v/>
      </c>
      <c r="F60" s="15" t="str">
        <f aca="false">IF($A60="","",SUM($B60:$E60))</f>
        <v/>
      </c>
      <c r="G60" s="26" t="str">
        <f aca="false">IF($A60="","",IF($F$307=0,"",$F60/$F$307))</f>
        <v/>
      </c>
    </row>
    <row r="61" customFormat="false" ht="15" hidden="false" customHeight="true" outlineLevel="0" collapsed="false">
      <c r="A61" s="19" t="str">
        <f aca="false">IF(거래처목록!$A58="","",거래처목록!$A58)</f>
        <v/>
      </c>
      <c r="B61" s="15" t="str">
        <f aca="false">IF($A61="","",SUMIFS(매출내역!$I$3:$I$3002,매출내역!$I$3:$I$3002,"&gt;0",매출내역!$B$3:$B$3002,$A61,매출내역!$A$3:$A$3002,"&gt;"&amp;($B$3-30)))</f>
        <v/>
      </c>
      <c r="C61" s="15" t="str">
        <f aca="false">IF($A61="","",SUMIFS(매출내역!$I$3:$I$3002,매출내역!$I$3:$I$3002,"&gt;0",매출내역!$B$3:$B$3002,$A61,매출내역!$A$3:$A$3002,"&lt;="&amp;($B$3-30),매출내역!$A$3:$A$3002,"&gt;"&amp;($B$3-60)))</f>
        <v/>
      </c>
      <c r="D61" s="15" t="str">
        <f aca="false">IF($A61="","",SUMIFS(매출내역!$I$3:$I$3002,매출내역!$I$3:$I$3002,"&gt;0",매출내역!$B$3:$B$3002,$A61,매출내역!$A$3:$A$3002,"&lt;="&amp;($B$3-60),매출내역!$A$3:$A$3002,"&gt;"&amp;($B$3-90)))</f>
        <v/>
      </c>
      <c r="E61" s="15" t="str">
        <f aca="false">IF($A61="","",SUMIFS(매출내역!$I$3:$I$3002,매출내역!$I$3:$I$3002,"&gt;0",매출내역!$B$3:$B$3002,$A61,매출내역!$A$3:$A$3002,"&lt;="&amp;($B$3-90)))</f>
        <v/>
      </c>
      <c r="F61" s="15" t="str">
        <f aca="false">IF($A61="","",SUM($B61:$E61))</f>
        <v/>
      </c>
      <c r="G61" s="26" t="str">
        <f aca="false">IF($A61="","",IF($F$307=0,"",$F61/$F$307))</f>
        <v/>
      </c>
    </row>
    <row r="62" customFormat="false" ht="15" hidden="false" customHeight="true" outlineLevel="0" collapsed="false">
      <c r="A62" s="19" t="str">
        <f aca="false">IF(거래처목록!$A59="","",거래처목록!$A59)</f>
        <v/>
      </c>
      <c r="B62" s="15" t="str">
        <f aca="false">IF($A62="","",SUMIFS(매출내역!$I$3:$I$3002,매출내역!$I$3:$I$3002,"&gt;0",매출내역!$B$3:$B$3002,$A62,매출내역!$A$3:$A$3002,"&gt;"&amp;($B$3-30)))</f>
        <v/>
      </c>
      <c r="C62" s="15" t="str">
        <f aca="false">IF($A62="","",SUMIFS(매출내역!$I$3:$I$3002,매출내역!$I$3:$I$3002,"&gt;0",매출내역!$B$3:$B$3002,$A62,매출내역!$A$3:$A$3002,"&lt;="&amp;($B$3-30),매출내역!$A$3:$A$3002,"&gt;"&amp;($B$3-60)))</f>
        <v/>
      </c>
      <c r="D62" s="15" t="str">
        <f aca="false">IF($A62="","",SUMIFS(매출내역!$I$3:$I$3002,매출내역!$I$3:$I$3002,"&gt;0",매출내역!$B$3:$B$3002,$A62,매출내역!$A$3:$A$3002,"&lt;="&amp;($B$3-60),매출내역!$A$3:$A$3002,"&gt;"&amp;($B$3-90)))</f>
        <v/>
      </c>
      <c r="E62" s="15" t="str">
        <f aca="false">IF($A62="","",SUMIFS(매출내역!$I$3:$I$3002,매출내역!$I$3:$I$3002,"&gt;0",매출내역!$B$3:$B$3002,$A62,매출내역!$A$3:$A$3002,"&lt;="&amp;($B$3-90)))</f>
        <v/>
      </c>
      <c r="F62" s="15" t="str">
        <f aca="false">IF($A62="","",SUM($B62:$E62))</f>
        <v/>
      </c>
      <c r="G62" s="26" t="str">
        <f aca="false">IF($A62="","",IF($F$307=0,"",$F62/$F$307))</f>
        <v/>
      </c>
    </row>
    <row r="63" customFormat="false" ht="15" hidden="false" customHeight="true" outlineLevel="0" collapsed="false">
      <c r="A63" s="19" t="str">
        <f aca="false">IF(거래처목록!$A60="","",거래처목록!$A60)</f>
        <v/>
      </c>
      <c r="B63" s="15" t="str">
        <f aca="false">IF($A63="","",SUMIFS(매출내역!$I$3:$I$3002,매출내역!$I$3:$I$3002,"&gt;0",매출내역!$B$3:$B$3002,$A63,매출내역!$A$3:$A$3002,"&gt;"&amp;($B$3-30)))</f>
        <v/>
      </c>
      <c r="C63" s="15" t="str">
        <f aca="false">IF($A63="","",SUMIFS(매출내역!$I$3:$I$3002,매출내역!$I$3:$I$3002,"&gt;0",매출내역!$B$3:$B$3002,$A63,매출내역!$A$3:$A$3002,"&lt;="&amp;($B$3-30),매출내역!$A$3:$A$3002,"&gt;"&amp;($B$3-60)))</f>
        <v/>
      </c>
      <c r="D63" s="15" t="str">
        <f aca="false">IF($A63="","",SUMIFS(매출내역!$I$3:$I$3002,매출내역!$I$3:$I$3002,"&gt;0",매출내역!$B$3:$B$3002,$A63,매출내역!$A$3:$A$3002,"&lt;="&amp;($B$3-60),매출내역!$A$3:$A$3002,"&gt;"&amp;($B$3-90)))</f>
        <v/>
      </c>
      <c r="E63" s="15" t="str">
        <f aca="false">IF($A63="","",SUMIFS(매출내역!$I$3:$I$3002,매출내역!$I$3:$I$3002,"&gt;0",매출내역!$B$3:$B$3002,$A63,매출내역!$A$3:$A$3002,"&lt;="&amp;($B$3-90)))</f>
        <v/>
      </c>
      <c r="F63" s="15" t="str">
        <f aca="false">IF($A63="","",SUM($B63:$E63))</f>
        <v/>
      </c>
      <c r="G63" s="26" t="str">
        <f aca="false">IF($A63="","",IF($F$307=0,"",$F63/$F$307))</f>
        <v/>
      </c>
    </row>
    <row r="64" customFormat="false" ht="15" hidden="false" customHeight="true" outlineLevel="0" collapsed="false">
      <c r="A64" s="19" t="str">
        <f aca="false">IF(거래처목록!$A61="","",거래처목록!$A61)</f>
        <v/>
      </c>
      <c r="B64" s="15" t="str">
        <f aca="false">IF($A64="","",SUMIFS(매출내역!$I$3:$I$3002,매출내역!$I$3:$I$3002,"&gt;0",매출내역!$B$3:$B$3002,$A64,매출내역!$A$3:$A$3002,"&gt;"&amp;($B$3-30)))</f>
        <v/>
      </c>
      <c r="C64" s="15" t="str">
        <f aca="false">IF($A64="","",SUMIFS(매출내역!$I$3:$I$3002,매출내역!$I$3:$I$3002,"&gt;0",매출내역!$B$3:$B$3002,$A64,매출내역!$A$3:$A$3002,"&lt;="&amp;($B$3-30),매출내역!$A$3:$A$3002,"&gt;"&amp;($B$3-60)))</f>
        <v/>
      </c>
      <c r="D64" s="15" t="str">
        <f aca="false">IF($A64="","",SUMIFS(매출내역!$I$3:$I$3002,매출내역!$I$3:$I$3002,"&gt;0",매출내역!$B$3:$B$3002,$A64,매출내역!$A$3:$A$3002,"&lt;="&amp;($B$3-60),매출내역!$A$3:$A$3002,"&gt;"&amp;($B$3-90)))</f>
        <v/>
      </c>
      <c r="E64" s="15" t="str">
        <f aca="false">IF($A64="","",SUMIFS(매출내역!$I$3:$I$3002,매출내역!$I$3:$I$3002,"&gt;0",매출내역!$B$3:$B$3002,$A64,매출내역!$A$3:$A$3002,"&lt;="&amp;($B$3-90)))</f>
        <v/>
      </c>
      <c r="F64" s="15" t="str">
        <f aca="false">IF($A64="","",SUM($B64:$E64))</f>
        <v/>
      </c>
      <c r="G64" s="26" t="str">
        <f aca="false">IF($A64="","",IF($F$307=0,"",$F64/$F$307))</f>
        <v/>
      </c>
    </row>
    <row r="65" customFormat="false" ht="15" hidden="false" customHeight="true" outlineLevel="0" collapsed="false">
      <c r="A65" s="19" t="str">
        <f aca="false">IF(거래처목록!$A62="","",거래처목록!$A62)</f>
        <v/>
      </c>
      <c r="B65" s="15" t="str">
        <f aca="false">IF($A65="","",SUMIFS(매출내역!$I$3:$I$3002,매출내역!$I$3:$I$3002,"&gt;0",매출내역!$B$3:$B$3002,$A65,매출내역!$A$3:$A$3002,"&gt;"&amp;($B$3-30)))</f>
        <v/>
      </c>
      <c r="C65" s="15" t="str">
        <f aca="false">IF($A65="","",SUMIFS(매출내역!$I$3:$I$3002,매출내역!$I$3:$I$3002,"&gt;0",매출내역!$B$3:$B$3002,$A65,매출내역!$A$3:$A$3002,"&lt;="&amp;($B$3-30),매출내역!$A$3:$A$3002,"&gt;"&amp;($B$3-60)))</f>
        <v/>
      </c>
      <c r="D65" s="15" t="str">
        <f aca="false">IF($A65="","",SUMIFS(매출내역!$I$3:$I$3002,매출내역!$I$3:$I$3002,"&gt;0",매출내역!$B$3:$B$3002,$A65,매출내역!$A$3:$A$3002,"&lt;="&amp;($B$3-60),매출내역!$A$3:$A$3002,"&gt;"&amp;($B$3-90)))</f>
        <v/>
      </c>
      <c r="E65" s="15" t="str">
        <f aca="false">IF($A65="","",SUMIFS(매출내역!$I$3:$I$3002,매출내역!$I$3:$I$3002,"&gt;0",매출내역!$B$3:$B$3002,$A65,매출내역!$A$3:$A$3002,"&lt;="&amp;($B$3-90)))</f>
        <v/>
      </c>
      <c r="F65" s="15" t="str">
        <f aca="false">IF($A65="","",SUM($B65:$E65))</f>
        <v/>
      </c>
      <c r="G65" s="26" t="str">
        <f aca="false">IF($A65="","",IF($F$307=0,"",$F65/$F$307))</f>
        <v/>
      </c>
    </row>
    <row r="66" customFormat="false" ht="15" hidden="false" customHeight="true" outlineLevel="0" collapsed="false">
      <c r="A66" s="19" t="str">
        <f aca="false">IF(거래처목록!$A63="","",거래처목록!$A63)</f>
        <v/>
      </c>
      <c r="B66" s="15" t="str">
        <f aca="false">IF($A66="","",SUMIFS(매출내역!$I$3:$I$3002,매출내역!$I$3:$I$3002,"&gt;0",매출내역!$B$3:$B$3002,$A66,매출내역!$A$3:$A$3002,"&gt;"&amp;($B$3-30)))</f>
        <v/>
      </c>
      <c r="C66" s="15" t="str">
        <f aca="false">IF($A66="","",SUMIFS(매출내역!$I$3:$I$3002,매출내역!$I$3:$I$3002,"&gt;0",매출내역!$B$3:$B$3002,$A66,매출내역!$A$3:$A$3002,"&lt;="&amp;($B$3-30),매출내역!$A$3:$A$3002,"&gt;"&amp;($B$3-60)))</f>
        <v/>
      </c>
      <c r="D66" s="15" t="str">
        <f aca="false">IF($A66="","",SUMIFS(매출내역!$I$3:$I$3002,매출내역!$I$3:$I$3002,"&gt;0",매출내역!$B$3:$B$3002,$A66,매출내역!$A$3:$A$3002,"&lt;="&amp;($B$3-60),매출내역!$A$3:$A$3002,"&gt;"&amp;($B$3-90)))</f>
        <v/>
      </c>
      <c r="E66" s="15" t="str">
        <f aca="false">IF($A66="","",SUMIFS(매출내역!$I$3:$I$3002,매출내역!$I$3:$I$3002,"&gt;0",매출내역!$B$3:$B$3002,$A66,매출내역!$A$3:$A$3002,"&lt;="&amp;($B$3-90)))</f>
        <v/>
      </c>
      <c r="F66" s="15" t="str">
        <f aca="false">IF($A66="","",SUM($B66:$E66))</f>
        <v/>
      </c>
      <c r="G66" s="26" t="str">
        <f aca="false">IF($A66="","",IF($F$307=0,"",$F66/$F$307))</f>
        <v/>
      </c>
    </row>
    <row r="67" customFormat="false" ht="15" hidden="false" customHeight="true" outlineLevel="0" collapsed="false">
      <c r="A67" s="19" t="str">
        <f aca="false">IF(거래처목록!$A64="","",거래처목록!$A64)</f>
        <v/>
      </c>
      <c r="B67" s="15" t="str">
        <f aca="false">IF($A67="","",SUMIFS(매출내역!$I$3:$I$3002,매출내역!$I$3:$I$3002,"&gt;0",매출내역!$B$3:$B$3002,$A67,매출내역!$A$3:$A$3002,"&gt;"&amp;($B$3-30)))</f>
        <v/>
      </c>
      <c r="C67" s="15" t="str">
        <f aca="false">IF($A67="","",SUMIFS(매출내역!$I$3:$I$3002,매출내역!$I$3:$I$3002,"&gt;0",매출내역!$B$3:$B$3002,$A67,매출내역!$A$3:$A$3002,"&lt;="&amp;($B$3-30),매출내역!$A$3:$A$3002,"&gt;"&amp;($B$3-60)))</f>
        <v/>
      </c>
      <c r="D67" s="15" t="str">
        <f aca="false">IF($A67="","",SUMIFS(매출내역!$I$3:$I$3002,매출내역!$I$3:$I$3002,"&gt;0",매출내역!$B$3:$B$3002,$A67,매출내역!$A$3:$A$3002,"&lt;="&amp;($B$3-60),매출내역!$A$3:$A$3002,"&gt;"&amp;($B$3-90)))</f>
        <v/>
      </c>
      <c r="E67" s="15" t="str">
        <f aca="false">IF($A67="","",SUMIFS(매출내역!$I$3:$I$3002,매출내역!$I$3:$I$3002,"&gt;0",매출내역!$B$3:$B$3002,$A67,매출내역!$A$3:$A$3002,"&lt;="&amp;($B$3-90)))</f>
        <v/>
      </c>
      <c r="F67" s="15" t="str">
        <f aca="false">IF($A67="","",SUM($B67:$E67))</f>
        <v/>
      </c>
      <c r="G67" s="26" t="str">
        <f aca="false">IF($A67="","",IF($F$307=0,"",$F67/$F$307))</f>
        <v/>
      </c>
    </row>
    <row r="68" customFormat="false" ht="15" hidden="false" customHeight="true" outlineLevel="0" collapsed="false">
      <c r="A68" s="19" t="str">
        <f aca="false">IF(거래처목록!$A65="","",거래처목록!$A65)</f>
        <v/>
      </c>
      <c r="B68" s="15" t="str">
        <f aca="false">IF($A68="","",SUMIFS(매출내역!$I$3:$I$3002,매출내역!$I$3:$I$3002,"&gt;0",매출내역!$B$3:$B$3002,$A68,매출내역!$A$3:$A$3002,"&gt;"&amp;($B$3-30)))</f>
        <v/>
      </c>
      <c r="C68" s="15" t="str">
        <f aca="false">IF($A68="","",SUMIFS(매출내역!$I$3:$I$3002,매출내역!$I$3:$I$3002,"&gt;0",매출내역!$B$3:$B$3002,$A68,매출내역!$A$3:$A$3002,"&lt;="&amp;($B$3-30),매출내역!$A$3:$A$3002,"&gt;"&amp;($B$3-60)))</f>
        <v/>
      </c>
      <c r="D68" s="15" t="str">
        <f aca="false">IF($A68="","",SUMIFS(매출내역!$I$3:$I$3002,매출내역!$I$3:$I$3002,"&gt;0",매출내역!$B$3:$B$3002,$A68,매출내역!$A$3:$A$3002,"&lt;="&amp;($B$3-60),매출내역!$A$3:$A$3002,"&gt;"&amp;($B$3-90)))</f>
        <v/>
      </c>
      <c r="E68" s="15" t="str">
        <f aca="false">IF($A68="","",SUMIFS(매출내역!$I$3:$I$3002,매출내역!$I$3:$I$3002,"&gt;0",매출내역!$B$3:$B$3002,$A68,매출내역!$A$3:$A$3002,"&lt;="&amp;($B$3-90)))</f>
        <v/>
      </c>
      <c r="F68" s="15" t="str">
        <f aca="false">IF($A68="","",SUM($B68:$E68))</f>
        <v/>
      </c>
      <c r="G68" s="26" t="str">
        <f aca="false">IF($A68="","",IF($F$307=0,"",$F68/$F$307))</f>
        <v/>
      </c>
    </row>
    <row r="69" customFormat="false" ht="15" hidden="false" customHeight="true" outlineLevel="0" collapsed="false">
      <c r="A69" s="19" t="str">
        <f aca="false">IF(거래처목록!$A66="","",거래처목록!$A66)</f>
        <v/>
      </c>
      <c r="B69" s="15" t="str">
        <f aca="false">IF($A69="","",SUMIFS(매출내역!$I$3:$I$3002,매출내역!$I$3:$I$3002,"&gt;0",매출내역!$B$3:$B$3002,$A69,매출내역!$A$3:$A$3002,"&gt;"&amp;($B$3-30)))</f>
        <v/>
      </c>
      <c r="C69" s="15" t="str">
        <f aca="false">IF($A69="","",SUMIFS(매출내역!$I$3:$I$3002,매출내역!$I$3:$I$3002,"&gt;0",매출내역!$B$3:$B$3002,$A69,매출내역!$A$3:$A$3002,"&lt;="&amp;($B$3-30),매출내역!$A$3:$A$3002,"&gt;"&amp;($B$3-60)))</f>
        <v/>
      </c>
      <c r="D69" s="15" t="str">
        <f aca="false">IF($A69="","",SUMIFS(매출내역!$I$3:$I$3002,매출내역!$I$3:$I$3002,"&gt;0",매출내역!$B$3:$B$3002,$A69,매출내역!$A$3:$A$3002,"&lt;="&amp;($B$3-60),매출내역!$A$3:$A$3002,"&gt;"&amp;($B$3-90)))</f>
        <v/>
      </c>
      <c r="E69" s="15" t="str">
        <f aca="false">IF($A69="","",SUMIFS(매출내역!$I$3:$I$3002,매출내역!$I$3:$I$3002,"&gt;0",매출내역!$B$3:$B$3002,$A69,매출내역!$A$3:$A$3002,"&lt;="&amp;($B$3-90)))</f>
        <v/>
      </c>
      <c r="F69" s="15" t="str">
        <f aca="false">IF($A69="","",SUM($B69:$E69))</f>
        <v/>
      </c>
      <c r="G69" s="26" t="str">
        <f aca="false">IF($A69="","",IF($F$307=0,"",$F69/$F$307))</f>
        <v/>
      </c>
    </row>
    <row r="70" customFormat="false" ht="15" hidden="false" customHeight="true" outlineLevel="0" collapsed="false">
      <c r="A70" s="19" t="str">
        <f aca="false">IF(거래처목록!$A67="","",거래처목록!$A67)</f>
        <v/>
      </c>
      <c r="B70" s="15" t="str">
        <f aca="false">IF($A70="","",SUMIFS(매출내역!$I$3:$I$3002,매출내역!$I$3:$I$3002,"&gt;0",매출내역!$B$3:$B$3002,$A70,매출내역!$A$3:$A$3002,"&gt;"&amp;($B$3-30)))</f>
        <v/>
      </c>
      <c r="C70" s="15" t="str">
        <f aca="false">IF($A70="","",SUMIFS(매출내역!$I$3:$I$3002,매출내역!$I$3:$I$3002,"&gt;0",매출내역!$B$3:$B$3002,$A70,매출내역!$A$3:$A$3002,"&lt;="&amp;($B$3-30),매출내역!$A$3:$A$3002,"&gt;"&amp;($B$3-60)))</f>
        <v/>
      </c>
      <c r="D70" s="15" t="str">
        <f aca="false">IF($A70="","",SUMIFS(매출내역!$I$3:$I$3002,매출내역!$I$3:$I$3002,"&gt;0",매출내역!$B$3:$B$3002,$A70,매출내역!$A$3:$A$3002,"&lt;="&amp;($B$3-60),매출내역!$A$3:$A$3002,"&gt;"&amp;($B$3-90)))</f>
        <v/>
      </c>
      <c r="E70" s="15" t="str">
        <f aca="false">IF($A70="","",SUMIFS(매출내역!$I$3:$I$3002,매출내역!$I$3:$I$3002,"&gt;0",매출내역!$B$3:$B$3002,$A70,매출내역!$A$3:$A$3002,"&lt;="&amp;($B$3-90)))</f>
        <v/>
      </c>
      <c r="F70" s="15" t="str">
        <f aca="false">IF($A70="","",SUM($B70:$E70))</f>
        <v/>
      </c>
      <c r="G70" s="26" t="str">
        <f aca="false">IF($A70="","",IF($F$307=0,"",$F70/$F$307))</f>
        <v/>
      </c>
    </row>
    <row r="71" customFormat="false" ht="15" hidden="false" customHeight="true" outlineLevel="0" collapsed="false">
      <c r="A71" s="19" t="str">
        <f aca="false">IF(거래처목록!$A68="","",거래처목록!$A68)</f>
        <v/>
      </c>
      <c r="B71" s="15" t="str">
        <f aca="false">IF($A71="","",SUMIFS(매출내역!$I$3:$I$3002,매출내역!$I$3:$I$3002,"&gt;0",매출내역!$B$3:$B$3002,$A71,매출내역!$A$3:$A$3002,"&gt;"&amp;($B$3-30)))</f>
        <v/>
      </c>
      <c r="C71" s="15" t="str">
        <f aca="false">IF($A71="","",SUMIFS(매출내역!$I$3:$I$3002,매출내역!$I$3:$I$3002,"&gt;0",매출내역!$B$3:$B$3002,$A71,매출내역!$A$3:$A$3002,"&lt;="&amp;($B$3-30),매출내역!$A$3:$A$3002,"&gt;"&amp;($B$3-60)))</f>
        <v/>
      </c>
      <c r="D71" s="15" t="str">
        <f aca="false">IF($A71="","",SUMIFS(매출내역!$I$3:$I$3002,매출내역!$I$3:$I$3002,"&gt;0",매출내역!$B$3:$B$3002,$A71,매출내역!$A$3:$A$3002,"&lt;="&amp;($B$3-60),매출내역!$A$3:$A$3002,"&gt;"&amp;($B$3-90)))</f>
        <v/>
      </c>
      <c r="E71" s="15" t="str">
        <f aca="false">IF($A71="","",SUMIFS(매출내역!$I$3:$I$3002,매출내역!$I$3:$I$3002,"&gt;0",매출내역!$B$3:$B$3002,$A71,매출내역!$A$3:$A$3002,"&lt;="&amp;($B$3-90)))</f>
        <v/>
      </c>
      <c r="F71" s="15" t="str">
        <f aca="false">IF($A71="","",SUM($B71:$E71))</f>
        <v/>
      </c>
      <c r="G71" s="26" t="str">
        <f aca="false">IF($A71="","",IF($F$307=0,"",$F71/$F$307))</f>
        <v/>
      </c>
    </row>
    <row r="72" customFormat="false" ht="15" hidden="false" customHeight="true" outlineLevel="0" collapsed="false">
      <c r="A72" s="19" t="str">
        <f aca="false">IF(거래처목록!$A69="","",거래처목록!$A69)</f>
        <v/>
      </c>
      <c r="B72" s="15" t="str">
        <f aca="false">IF($A72="","",SUMIFS(매출내역!$I$3:$I$3002,매출내역!$I$3:$I$3002,"&gt;0",매출내역!$B$3:$B$3002,$A72,매출내역!$A$3:$A$3002,"&gt;"&amp;($B$3-30)))</f>
        <v/>
      </c>
      <c r="C72" s="15" t="str">
        <f aca="false">IF($A72="","",SUMIFS(매출내역!$I$3:$I$3002,매출내역!$I$3:$I$3002,"&gt;0",매출내역!$B$3:$B$3002,$A72,매출내역!$A$3:$A$3002,"&lt;="&amp;($B$3-30),매출내역!$A$3:$A$3002,"&gt;"&amp;($B$3-60)))</f>
        <v/>
      </c>
      <c r="D72" s="15" t="str">
        <f aca="false">IF($A72="","",SUMIFS(매출내역!$I$3:$I$3002,매출내역!$I$3:$I$3002,"&gt;0",매출내역!$B$3:$B$3002,$A72,매출내역!$A$3:$A$3002,"&lt;="&amp;($B$3-60),매출내역!$A$3:$A$3002,"&gt;"&amp;($B$3-90)))</f>
        <v/>
      </c>
      <c r="E72" s="15" t="str">
        <f aca="false">IF($A72="","",SUMIFS(매출내역!$I$3:$I$3002,매출내역!$I$3:$I$3002,"&gt;0",매출내역!$B$3:$B$3002,$A72,매출내역!$A$3:$A$3002,"&lt;="&amp;($B$3-90)))</f>
        <v/>
      </c>
      <c r="F72" s="15" t="str">
        <f aca="false">IF($A72="","",SUM($B72:$E72))</f>
        <v/>
      </c>
      <c r="G72" s="26" t="str">
        <f aca="false">IF($A72="","",IF($F$307=0,"",$F72/$F$307))</f>
        <v/>
      </c>
    </row>
    <row r="73" customFormat="false" ht="15" hidden="false" customHeight="true" outlineLevel="0" collapsed="false">
      <c r="A73" s="19" t="str">
        <f aca="false">IF(거래처목록!$A70="","",거래처목록!$A70)</f>
        <v/>
      </c>
      <c r="B73" s="15" t="str">
        <f aca="false">IF($A73="","",SUMIFS(매출내역!$I$3:$I$3002,매출내역!$I$3:$I$3002,"&gt;0",매출내역!$B$3:$B$3002,$A73,매출내역!$A$3:$A$3002,"&gt;"&amp;($B$3-30)))</f>
        <v/>
      </c>
      <c r="C73" s="15" t="str">
        <f aca="false">IF($A73="","",SUMIFS(매출내역!$I$3:$I$3002,매출내역!$I$3:$I$3002,"&gt;0",매출내역!$B$3:$B$3002,$A73,매출내역!$A$3:$A$3002,"&lt;="&amp;($B$3-30),매출내역!$A$3:$A$3002,"&gt;"&amp;($B$3-60)))</f>
        <v/>
      </c>
      <c r="D73" s="15" t="str">
        <f aca="false">IF($A73="","",SUMIFS(매출내역!$I$3:$I$3002,매출내역!$I$3:$I$3002,"&gt;0",매출내역!$B$3:$B$3002,$A73,매출내역!$A$3:$A$3002,"&lt;="&amp;($B$3-60),매출내역!$A$3:$A$3002,"&gt;"&amp;($B$3-90)))</f>
        <v/>
      </c>
      <c r="E73" s="15" t="str">
        <f aca="false">IF($A73="","",SUMIFS(매출내역!$I$3:$I$3002,매출내역!$I$3:$I$3002,"&gt;0",매출내역!$B$3:$B$3002,$A73,매출내역!$A$3:$A$3002,"&lt;="&amp;($B$3-90)))</f>
        <v/>
      </c>
      <c r="F73" s="15" t="str">
        <f aca="false">IF($A73="","",SUM($B73:$E73))</f>
        <v/>
      </c>
      <c r="G73" s="26" t="str">
        <f aca="false">IF($A73="","",IF($F$307=0,"",$F73/$F$307))</f>
        <v/>
      </c>
    </row>
    <row r="74" customFormat="false" ht="15" hidden="false" customHeight="true" outlineLevel="0" collapsed="false">
      <c r="A74" s="19" t="str">
        <f aca="false">IF(거래처목록!$A71="","",거래처목록!$A71)</f>
        <v/>
      </c>
      <c r="B74" s="15" t="str">
        <f aca="false">IF($A74="","",SUMIFS(매출내역!$I$3:$I$3002,매출내역!$I$3:$I$3002,"&gt;0",매출내역!$B$3:$B$3002,$A74,매출내역!$A$3:$A$3002,"&gt;"&amp;($B$3-30)))</f>
        <v/>
      </c>
      <c r="C74" s="15" t="str">
        <f aca="false">IF($A74="","",SUMIFS(매출내역!$I$3:$I$3002,매출내역!$I$3:$I$3002,"&gt;0",매출내역!$B$3:$B$3002,$A74,매출내역!$A$3:$A$3002,"&lt;="&amp;($B$3-30),매출내역!$A$3:$A$3002,"&gt;"&amp;($B$3-60)))</f>
        <v/>
      </c>
      <c r="D74" s="15" t="str">
        <f aca="false">IF($A74="","",SUMIFS(매출내역!$I$3:$I$3002,매출내역!$I$3:$I$3002,"&gt;0",매출내역!$B$3:$B$3002,$A74,매출내역!$A$3:$A$3002,"&lt;="&amp;($B$3-60),매출내역!$A$3:$A$3002,"&gt;"&amp;($B$3-90)))</f>
        <v/>
      </c>
      <c r="E74" s="15" t="str">
        <f aca="false">IF($A74="","",SUMIFS(매출내역!$I$3:$I$3002,매출내역!$I$3:$I$3002,"&gt;0",매출내역!$B$3:$B$3002,$A74,매출내역!$A$3:$A$3002,"&lt;="&amp;($B$3-90)))</f>
        <v/>
      </c>
      <c r="F74" s="15" t="str">
        <f aca="false">IF($A74="","",SUM($B74:$E74))</f>
        <v/>
      </c>
      <c r="G74" s="26" t="str">
        <f aca="false">IF($A74="","",IF($F$307=0,"",$F74/$F$307))</f>
        <v/>
      </c>
    </row>
    <row r="75" customFormat="false" ht="15" hidden="false" customHeight="true" outlineLevel="0" collapsed="false">
      <c r="A75" s="19" t="str">
        <f aca="false">IF(거래처목록!$A72="","",거래처목록!$A72)</f>
        <v/>
      </c>
      <c r="B75" s="15" t="str">
        <f aca="false">IF($A75="","",SUMIFS(매출내역!$I$3:$I$3002,매출내역!$I$3:$I$3002,"&gt;0",매출내역!$B$3:$B$3002,$A75,매출내역!$A$3:$A$3002,"&gt;"&amp;($B$3-30)))</f>
        <v/>
      </c>
      <c r="C75" s="15" t="str">
        <f aca="false">IF($A75="","",SUMIFS(매출내역!$I$3:$I$3002,매출내역!$I$3:$I$3002,"&gt;0",매출내역!$B$3:$B$3002,$A75,매출내역!$A$3:$A$3002,"&lt;="&amp;($B$3-30),매출내역!$A$3:$A$3002,"&gt;"&amp;($B$3-60)))</f>
        <v/>
      </c>
      <c r="D75" s="15" t="str">
        <f aca="false">IF($A75="","",SUMIFS(매출내역!$I$3:$I$3002,매출내역!$I$3:$I$3002,"&gt;0",매출내역!$B$3:$B$3002,$A75,매출내역!$A$3:$A$3002,"&lt;="&amp;($B$3-60),매출내역!$A$3:$A$3002,"&gt;"&amp;($B$3-90)))</f>
        <v/>
      </c>
      <c r="E75" s="15" t="str">
        <f aca="false">IF($A75="","",SUMIFS(매출내역!$I$3:$I$3002,매출내역!$I$3:$I$3002,"&gt;0",매출내역!$B$3:$B$3002,$A75,매출내역!$A$3:$A$3002,"&lt;="&amp;($B$3-90)))</f>
        <v/>
      </c>
      <c r="F75" s="15" t="str">
        <f aca="false">IF($A75="","",SUM($B75:$E75))</f>
        <v/>
      </c>
      <c r="G75" s="26" t="str">
        <f aca="false">IF($A75="","",IF($F$307=0,"",$F75/$F$307))</f>
        <v/>
      </c>
    </row>
    <row r="76" customFormat="false" ht="15" hidden="false" customHeight="true" outlineLevel="0" collapsed="false">
      <c r="A76" s="19" t="str">
        <f aca="false">IF(거래처목록!$A73="","",거래처목록!$A73)</f>
        <v/>
      </c>
      <c r="B76" s="15" t="str">
        <f aca="false">IF($A76="","",SUMIFS(매출내역!$I$3:$I$3002,매출내역!$I$3:$I$3002,"&gt;0",매출내역!$B$3:$B$3002,$A76,매출내역!$A$3:$A$3002,"&gt;"&amp;($B$3-30)))</f>
        <v/>
      </c>
      <c r="C76" s="15" t="str">
        <f aca="false">IF($A76="","",SUMIFS(매출내역!$I$3:$I$3002,매출내역!$I$3:$I$3002,"&gt;0",매출내역!$B$3:$B$3002,$A76,매출내역!$A$3:$A$3002,"&lt;="&amp;($B$3-30),매출내역!$A$3:$A$3002,"&gt;"&amp;($B$3-60)))</f>
        <v/>
      </c>
      <c r="D76" s="15" t="str">
        <f aca="false">IF($A76="","",SUMIFS(매출내역!$I$3:$I$3002,매출내역!$I$3:$I$3002,"&gt;0",매출내역!$B$3:$B$3002,$A76,매출내역!$A$3:$A$3002,"&lt;="&amp;($B$3-60),매출내역!$A$3:$A$3002,"&gt;"&amp;($B$3-90)))</f>
        <v/>
      </c>
      <c r="E76" s="15" t="str">
        <f aca="false">IF($A76="","",SUMIFS(매출내역!$I$3:$I$3002,매출내역!$I$3:$I$3002,"&gt;0",매출내역!$B$3:$B$3002,$A76,매출내역!$A$3:$A$3002,"&lt;="&amp;($B$3-90)))</f>
        <v/>
      </c>
      <c r="F76" s="15" t="str">
        <f aca="false">IF($A76="","",SUM($B76:$E76))</f>
        <v/>
      </c>
      <c r="G76" s="26" t="str">
        <f aca="false">IF($A76="","",IF($F$307=0,"",$F76/$F$307))</f>
        <v/>
      </c>
    </row>
    <row r="77" customFormat="false" ht="15" hidden="false" customHeight="true" outlineLevel="0" collapsed="false">
      <c r="A77" s="19" t="str">
        <f aca="false">IF(거래처목록!$A74="","",거래처목록!$A74)</f>
        <v/>
      </c>
      <c r="B77" s="15" t="str">
        <f aca="false">IF($A77="","",SUMIFS(매출내역!$I$3:$I$3002,매출내역!$I$3:$I$3002,"&gt;0",매출내역!$B$3:$B$3002,$A77,매출내역!$A$3:$A$3002,"&gt;"&amp;($B$3-30)))</f>
        <v/>
      </c>
      <c r="C77" s="15" t="str">
        <f aca="false">IF($A77="","",SUMIFS(매출내역!$I$3:$I$3002,매출내역!$I$3:$I$3002,"&gt;0",매출내역!$B$3:$B$3002,$A77,매출내역!$A$3:$A$3002,"&lt;="&amp;($B$3-30),매출내역!$A$3:$A$3002,"&gt;"&amp;($B$3-60)))</f>
        <v/>
      </c>
      <c r="D77" s="15" t="str">
        <f aca="false">IF($A77="","",SUMIFS(매출내역!$I$3:$I$3002,매출내역!$I$3:$I$3002,"&gt;0",매출내역!$B$3:$B$3002,$A77,매출내역!$A$3:$A$3002,"&lt;="&amp;($B$3-60),매출내역!$A$3:$A$3002,"&gt;"&amp;($B$3-90)))</f>
        <v/>
      </c>
      <c r="E77" s="15" t="str">
        <f aca="false">IF($A77="","",SUMIFS(매출내역!$I$3:$I$3002,매출내역!$I$3:$I$3002,"&gt;0",매출내역!$B$3:$B$3002,$A77,매출내역!$A$3:$A$3002,"&lt;="&amp;($B$3-90)))</f>
        <v/>
      </c>
      <c r="F77" s="15" t="str">
        <f aca="false">IF($A77="","",SUM($B77:$E77))</f>
        <v/>
      </c>
      <c r="G77" s="26" t="str">
        <f aca="false">IF($A77="","",IF($F$307=0,"",$F77/$F$307))</f>
        <v/>
      </c>
    </row>
    <row r="78" customFormat="false" ht="15" hidden="false" customHeight="true" outlineLevel="0" collapsed="false">
      <c r="A78" s="19" t="str">
        <f aca="false">IF(거래처목록!$A75="","",거래처목록!$A75)</f>
        <v/>
      </c>
      <c r="B78" s="15" t="str">
        <f aca="false">IF($A78="","",SUMIFS(매출내역!$I$3:$I$3002,매출내역!$I$3:$I$3002,"&gt;0",매출내역!$B$3:$B$3002,$A78,매출내역!$A$3:$A$3002,"&gt;"&amp;($B$3-30)))</f>
        <v/>
      </c>
      <c r="C78" s="15" t="str">
        <f aca="false">IF($A78="","",SUMIFS(매출내역!$I$3:$I$3002,매출내역!$I$3:$I$3002,"&gt;0",매출내역!$B$3:$B$3002,$A78,매출내역!$A$3:$A$3002,"&lt;="&amp;($B$3-30),매출내역!$A$3:$A$3002,"&gt;"&amp;($B$3-60)))</f>
        <v/>
      </c>
      <c r="D78" s="15" t="str">
        <f aca="false">IF($A78="","",SUMIFS(매출내역!$I$3:$I$3002,매출내역!$I$3:$I$3002,"&gt;0",매출내역!$B$3:$B$3002,$A78,매출내역!$A$3:$A$3002,"&lt;="&amp;($B$3-60),매출내역!$A$3:$A$3002,"&gt;"&amp;($B$3-90)))</f>
        <v/>
      </c>
      <c r="E78" s="15" t="str">
        <f aca="false">IF($A78="","",SUMIFS(매출내역!$I$3:$I$3002,매출내역!$I$3:$I$3002,"&gt;0",매출내역!$B$3:$B$3002,$A78,매출내역!$A$3:$A$3002,"&lt;="&amp;($B$3-90)))</f>
        <v/>
      </c>
      <c r="F78" s="15" t="str">
        <f aca="false">IF($A78="","",SUM($B78:$E78))</f>
        <v/>
      </c>
      <c r="G78" s="26" t="str">
        <f aca="false">IF($A78="","",IF($F$307=0,"",$F78/$F$307))</f>
        <v/>
      </c>
    </row>
    <row r="79" customFormat="false" ht="15" hidden="false" customHeight="true" outlineLevel="0" collapsed="false">
      <c r="A79" s="19" t="str">
        <f aca="false">IF(거래처목록!$A76="","",거래처목록!$A76)</f>
        <v/>
      </c>
      <c r="B79" s="15" t="str">
        <f aca="false">IF($A79="","",SUMIFS(매출내역!$I$3:$I$3002,매출내역!$I$3:$I$3002,"&gt;0",매출내역!$B$3:$B$3002,$A79,매출내역!$A$3:$A$3002,"&gt;"&amp;($B$3-30)))</f>
        <v/>
      </c>
      <c r="C79" s="15" t="str">
        <f aca="false">IF($A79="","",SUMIFS(매출내역!$I$3:$I$3002,매출내역!$I$3:$I$3002,"&gt;0",매출내역!$B$3:$B$3002,$A79,매출내역!$A$3:$A$3002,"&lt;="&amp;($B$3-30),매출내역!$A$3:$A$3002,"&gt;"&amp;($B$3-60)))</f>
        <v/>
      </c>
      <c r="D79" s="15" t="str">
        <f aca="false">IF($A79="","",SUMIFS(매출내역!$I$3:$I$3002,매출내역!$I$3:$I$3002,"&gt;0",매출내역!$B$3:$B$3002,$A79,매출내역!$A$3:$A$3002,"&lt;="&amp;($B$3-60),매출내역!$A$3:$A$3002,"&gt;"&amp;($B$3-90)))</f>
        <v/>
      </c>
      <c r="E79" s="15" t="str">
        <f aca="false">IF($A79="","",SUMIFS(매출내역!$I$3:$I$3002,매출내역!$I$3:$I$3002,"&gt;0",매출내역!$B$3:$B$3002,$A79,매출내역!$A$3:$A$3002,"&lt;="&amp;($B$3-90)))</f>
        <v/>
      </c>
      <c r="F79" s="15" t="str">
        <f aca="false">IF($A79="","",SUM($B79:$E79))</f>
        <v/>
      </c>
      <c r="G79" s="26" t="str">
        <f aca="false">IF($A79="","",IF($F$307=0,"",$F79/$F$307))</f>
        <v/>
      </c>
    </row>
    <row r="80" customFormat="false" ht="15" hidden="false" customHeight="true" outlineLevel="0" collapsed="false">
      <c r="A80" s="19" t="str">
        <f aca="false">IF(거래처목록!$A77="","",거래처목록!$A77)</f>
        <v/>
      </c>
      <c r="B80" s="15" t="str">
        <f aca="false">IF($A80="","",SUMIFS(매출내역!$I$3:$I$3002,매출내역!$I$3:$I$3002,"&gt;0",매출내역!$B$3:$B$3002,$A80,매출내역!$A$3:$A$3002,"&gt;"&amp;($B$3-30)))</f>
        <v/>
      </c>
      <c r="C80" s="15" t="str">
        <f aca="false">IF($A80="","",SUMIFS(매출내역!$I$3:$I$3002,매출내역!$I$3:$I$3002,"&gt;0",매출내역!$B$3:$B$3002,$A80,매출내역!$A$3:$A$3002,"&lt;="&amp;($B$3-30),매출내역!$A$3:$A$3002,"&gt;"&amp;($B$3-60)))</f>
        <v/>
      </c>
      <c r="D80" s="15" t="str">
        <f aca="false">IF($A80="","",SUMIFS(매출내역!$I$3:$I$3002,매출내역!$I$3:$I$3002,"&gt;0",매출내역!$B$3:$B$3002,$A80,매출내역!$A$3:$A$3002,"&lt;="&amp;($B$3-60),매출내역!$A$3:$A$3002,"&gt;"&amp;($B$3-90)))</f>
        <v/>
      </c>
      <c r="E80" s="15" t="str">
        <f aca="false">IF($A80="","",SUMIFS(매출내역!$I$3:$I$3002,매출내역!$I$3:$I$3002,"&gt;0",매출내역!$B$3:$B$3002,$A80,매출내역!$A$3:$A$3002,"&lt;="&amp;($B$3-90)))</f>
        <v/>
      </c>
      <c r="F80" s="15" t="str">
        <f aca="false">IF($A80="","",SUM($B80:$E80))</f>
        <v/>
      </c>
      <c r="G80" s="26" t="str">
        <f aca="false">IF($A80="","",IF($F$307=0,"",$F80/$F$307))</f>
        <v/>
      </c>
    </row>
    <row r="81" customFormat="false" ht="15" hidden="false" customHeight="true" outlineLevel="0" collapsed="false">
      <c r="A81" s="19" t="str">
        <f aca="false">IF(거래처목록!$A78="","",거래처목록!$A78)</f>
        <v/>
      </c>
      <c r="B81" s="15" t="str">
        <f aca="false">IF($A81="","",SUMIFS(매출내역!$I$3:$I$3002,매출내역!$I$3:$I$3002,"&gt;0",매출내역!$B$3:$B$3002,$A81,매출내역!$A$3:$A$3002,"&gt;"&amp;($B$3-30)))</f>
        <v/>
      </c>
      <c r="C81" s="15" t="str">
        <f aca="false">IF($A81="","",SUMIFS(매출내역!$I$3:$I$3002,매출내역!$I$3:$I$3002,"&gt;0",매출내역!$B$3:$B$3002,$A81,매출내역!$A$3:$A$3002,"&lt;="&amp;($B$3-30),매출내역!$A$3:$A$3002,"&gt;"&amp;($B$3-60)))</f>
        <v/>
      </c>
      <c r="D81" s="15" t="str">
        <f aca="false">IF($A81="","",SUMIFS(매출내역!$I$3:$I$3002,매출내역!$I$3:$I$3002,"&gt;0",매출내역!$B$3:$B$3002,$A81,매출내역!$A$3:$A$3002,"&lt;="&amp;($B$3-60),매출내역!$A$3:$A$3002,"&gt;"&amp;($B$3-90)))</f>
        <v/>
      </c>
      <c r="E81" s="15" t="str">
        <f aca="false">IF($A81="","",SUMIFS(매출내역!$I$3:$I$3002,매출내역!$I$3:$I$3002,"&gt;0",매출내역!$B$3:$B$3002,$A81,매출내역!$A$3:$A$3002,"&lt;="&amp;($B$3-90)))</f>
        <v/>
      </c>
      <c r="F81" s="15" t="str">
        <f aca="false">IF($A81="","",SUM($B81:$E81))</f>
        <v/>
      </c>
      <c r="G81" s="26" t="str">
        <f aca="false">IF($A81="","",IF($F$307=0,"",$F81/$F$307))</f>
        <v/>
      </c>
    </row>
    <row r="82" customFormat="false" ht="15" hidden="false" customHeight="true" outlineLevel="0" collapsed="false">
      <c r="A82" s="19" t="str">
        <f aca="false">IF(거래처목록!$A79="","",거래처목록!$A79)</f>
        <v/>
      </c>
      <c r="B82" s="15" t="str">
        <f aca="false">IF($A82="","",SUMIFS(매출내역!$I$3:$I$3002,매출내역!$I$3:$I$3002,"&gt;0",매출내역!$B$3:$B$3002,$A82,매출내역!$A$3:$A$3002,"&gt;"&amp;($B$3-30)))</f>
        <v/>
      </c>
      <c r="C82" s="15" t="str">
        <f aca="false">IF($A82="","",SUMIFS(매출내역!$I$3:$I$3002,매출내역!$I$3:$I$3002,"&gt;0",매출내역!$B$3:$B$3002,$A82,매출내역!$A$3:$A$3002,"&lt;="&amp;($B$3-30),매출내역!$A$3:$A$3002,"&gt;"&amp;($B$3-60)))</f>
        <v/>
      </c>
      <c r="D82" s="15" t="str">
        <f aca="false">IF($A82="","",SUMIFS(매출내역!$I$3:$I$3002,매출내역!$I$3:$I$3002,"&gt;0",매출내역!$B$3:$B$3002,$A82,매출내역!$A$3:$A$3002,"&lt;="&amp;($B$3-60),매출내역!$A$3:$A$3002,"&gt;"&amp;($B$3-90)))</f>
        <v/>
      </c>
      <c r="E82" s="15" t="str">
        <f aca="false">IF($A82="","",SUMIFS(매출내역!$I$3:$I$3002,매출내역!$I$3:$I$3002,"&gt;0",매출내역!$B$3:$B$3002,$A82,매출내역!$A$3:$A$3002,"&lt;="&amp;($B$3-90)))</f>
        <v/>
      </c>
      <c r="F82" s="15" t="str">
        <f aca="false">IF($A82="","",SUM($B82:$E82))</f>
        <v/>
      </c>
      <c r="G82" s="26" t="str">
        <f aca="false">IF($A82="","",IF($F$307=0,"",$F82/$F$307))</f>
        <v/>
      </c>
    </row>
    <row r="83" customFormat="false" ht="15" hidden="false" customHeight="true" outlineLevel="0" collapsed="false">
      <c r="A83" s="19" t="str">
        <f aca="false">IF(거래처목록!$A80="","",거래처목록!$A80)</f>
        <v/>
      </c>
      <c r="B83" s="15" t="str">
        <f aca="false">IF($A83="","",SUMIFS(매출내역!$I$3:$I$3002,매출내역!$I$3:$I$3002,"&gt;0",매출내역!$B$3:$B$3002,$A83,매출내역!$A$3:$A$3002,"&gt;"&amp;($B$3-30)))</f>
        <v/>
      </c>
      <c r="C83" s="15" t="str">
        <f aca="false">IF($A83="","",SUMIFS(매출내역!$I$3:$I$3002,매출내역!$I$3:$I$3002,"&gt;0",매출내역!$B$3:$B$3002,$A83,매출내역!$A$3:$A$3002,"&lt;="&amp;($B$3-30),매출내역!$A$3:$A$3002,"&gt;"&amp;($B$3-60)))</f>
        <v/>
      </c>
      <c r="D83" s="15" t="str">
        <f aca="false">IF($A83="","",SUMIFS(매출내역!$I$3:$I$3002,매출내역!$I$3:$I$3002,"&gt;0",매출내역!$B$3:$B$3002,$A83,매출내역!$A$3:$A$3002,"&lt;="&amp;($B$3-60),매출내역!$A$3:$A$3002,"&gt;"&amp;($B$3-90)))</f>
        <v/>
      </c>
      <c r="E83" s="15" t="str">
        <f aca="false">IF($A83="","",SUMIFS(매출내역!$I$3:$I$3002,매출내역!$I$3:$I$3002,"&gt;0",매출내역!$B$3:$B$3002,$A83,매출내역!$A$3:$A$3002,"&lt;="&amp;($B$3-90)))</f>
        <v/>
      </c>
      <c r="F83" s="15" t="str">
        <f aca="false">IF($A83="","",SUM($B83:$E83))</f>
        <v/>
      </c>
      <c r="G83" s="26" t="str">
        <f aca="false">IF($A83="","",IF($F$307=0,"",$F83/$F$307))</f>
        <v/>
      </c>
    </row>
    <row r="84" customFormat="false" ht="15" hidden="false" customHeight="true" outlineLevel="0" collapsed="false">
      <c r="A84" s="19" t="str">
        <f aca="false">IF(거래처목록!$A81="","",거래처목록!$A81)</f>
        <v/>
      </c>
      <c r="B84" s="15" t="str">
        <f aca="false">IF($A84="","",SUMIFS(매출내역!$I$3:$I$3002,매출내역!$I$3:$I$3002,"&gt;0",매출내역!$B$3:$B$3002,$A84,매출내역!$A$3:$A$3002,"&gt;"&amp;($B$3-30)))</f>
        <v/>
      </c>
      <c r="C84" s="15" t="str">
        <f aca="false">IF($A84="","",SUMIFS(매출내역!$I$3:$I$3002,매출내역!$I$3:$I$3002,"&gt;0",매출내역!$B$3:$B$3002,$A84,매출내역!$A$3:$A$3002,"&lt;="&amp;($B$3-30),매출내역!$A$3:$A$3002,"&gt;"&amp;($B$3-60)))</f>
        <v/>
      </c>
      <c r="D84" s="15" t="str">
        <f aca="false">IF($A84="","",SUMIFS(매출내역!$I$3:$I$3002,매출내역!$I$3:$I$3002,"&gt;0",매출내역!$B$3:$B$3002,$A84,매출내역!$A$3:$A$3002,"&lt;="&amp;($B$3-60),매출내역!$A$3:$A$3002,"&gt;"&amp;($B$3-90)))</f>
        <v/>
      </c>
      <c r="E84" s="15" t="str">
        <f aca="false">IF($A84="","",SUMIFS(매출내역!$I$3:$I$3002,매출내역!$I$3:$I$3002,"&gt;0",매출내역!$B$3:$B$3002,$A84,매출내역!$A$3:$A$3002,"&lt;="&amp;($B$3-90)))</f>
        <v/>
      </c>
      <c r="F84" s="15" t="str">
        <f aca="false">IF($A84="","",SUM($B84:$E84))</f>
        <v/>
      </c>
      <c r="G84" s="26" t="str">
        <f aca="false">IF($A84="","",IF($F$307=0,"",$F84/$F$307))</f>
        <v/>
      </c>
    </row>
    <row r="85" customFormat="false" ht="15" hidden="false" customHeight="true" outlineLevel="0" collapsed="false">
      <c r="A85" s="19" t="str">
        <f aca="false">IF(거래처목록!$A82="","",거래처목록!$A82)</f>
        <v/>
      </c>
      <c r="B85" s="15" t="str">
        <f aca="false">IF($A85="","",SUMIFS(매출내역!$I$3:$I$3002,매출내역!$I$3:$I$3002,"&gt;0",매출내역!$B$3:$B$3002,$A85,매출내역!$A$3:$A$3002,"&gt;"&amp;($B$3-30)))</f>
        <v/>
      </c>
      <c r="C85" s="15" t="str">
        <f aca="false">IF($A85="","",SUMIFS(매출내역!$I$3:$I$3002,매출내역!$I$3:$I$3002,"&gt;0",매출내역!$B$3:$B$3002,$A85,매출내역!$A$3:$A$3002,"&lt;="&amp;($B$3-30),매출내역!$A$3:$A$3002,"&gt;"&amp;($B$3-60)))</f>
        <v/>
      </c>
      <c r="D85" s="15" t="str">
        <f aca="false">IF($A85="","",SUMIFS(매출내역!$I$3:$I$3002,매출내역!$I$3:$I$3002,"&gt;0",매출내역!$B$3:$B$3002,$A85,매출내역!$A$3:$A$3002,"&lt;="&amp;($B$3-60),매출내역!$A$3:$A$3002,"&gt;"&amp;($B$3-90)))</f>
        <v/>
      </c>
      <c r="E85" s="15" t="str">
        <f aca="false">IF($A85="","",SUMIFS(매출내역!$I$3:$I$3002,매출내역!$I$3:$I$3002,"&gt;0",매출내역!$B$3:$B$3002,$A85,매출내역!$A$3:$A$3002,"&lt;="&amp;($B$3-90)))</f>
        <v/>
      </c>
      <c r="F85" s="15" t="str">
        <f aca="false">IF($A85="","",SUM($B85:$E85))</f>
        <v/>
      </c>
      <c r="G85" s="26" t="str">
        <f aca="false">IF($A85="","",IF($F$307=0,"",$F85/$F$307))</f>
        <v/>
      </c>
    </row>
    <row r="86" customFormat="false" ht="15" hidden="false" customHeight="true" outlineLevel="0" collapsed="false">
      <c r="A86" s="19" t="str">
        <f aca="false">IF(거래처목록!$A83="","",거래처목록!$A83)</f>
        <v/>
      </c>
      <c r="B86" s="15" t="str">
        <f aca="false">IF($A86="","",SUMIFS(매출내역!$I$3:$I$3002,매출내역!$I$3:$I$3002,"&gt;0",매출내역!$B$3:$B$3002,$A86,매출내역!$A$3:$A$3002,"&gt;"&amp;($B$3-30)))</f>
        <v/>
      </c>
      <c r="C86" s="15" t="str">
        <f aca="false">IF($A86="","",SUMIFS(매출내역!$I$3:$I$3002,매출내역!$I$3:$I$3002,"&gt;0",매출내역!$B$3:$B$3002,$A86,매출내역!$A$3:$A$3002,"&lt;="&amp;($B$3-30),매출내역!$A$3:$A$3002,"&gt;"&amp;($B$3-60)))</f>
        <v/>
      </c>
      <c r="D86" s="15" t="str">
        <f aca="false">IF($A86="","",SUMIFS(매출내역!$I$3:$I$3002,매출내역!$I$3:$I$3002,"&gt;0",매출내역!$B$3:$B$3002,$A86,매출내역!$A$3:$A$3002,"&lt;="&amp;($B$3-60),매출내역!$A$3:$A$3002,"&gt;"&amp;($B$3-90)))</f>
        <v/>
      </c>
      <c r="E86" s="15" t="str">
        <f aca="false">IF($A86="","",SUMIFS(매출내역!$I$3:$I$3002,매출내역!$I$3:$I$3002,"&gt;0",매출내역!$B$3:$B$3002,$A86,매출내역!$A$3:$A$3002,"&lt;="&amp;($B$3-90)))</f>
        <v/>
      </c>
      <c r="F86" s="15" t="str">
        <f aca="false">IF($A86="","",SUM($B86:$E86))</f>
        <v/>
      </c>
      <c r="G86" s="26" t="str">
        <f aca="false">IF($A86="","",IF($F$307=0,"",$F86/$F$307))</f>
        <v/>
      </c>
    </row>
    <row r="87" customFormat="false" ht="15" hidden="false" customHeight="true" outlineLevel="0" collapsed="false">
      <c r="A87" s="19" t="str">
        <f aca="false">IF(거래처목록!$A84="","",거래처목록!$A84)</f>
        <v/>
      </c>
      <c r="B87" s="15" t="str">
        <f aca="false">IF($A87="","",SUMIFS(매출내역!$I$3:$I$3002,매출내역!$I$3:$I$3002,"&gt;0",매출내역!$B$3:$B$3002,$A87,매출내역!$A$3:$A$3002,"&gt;"&amp;($B$3-30)))</f>
        <v/>
      </c>
      <c r="C87" s="15" t="str">
        <f aca="false">IF($A87="","",SUMIFS(매출내역!$I$3:$I$3002,매출내역!$I$3:$I$3002,"&gt;0",매출내역!$B$3:$B$3002,$A87,매출내역!$A$3:$A$3002,"&lt;="&amp;($B$3-30),매출내역!$A$3:$A$3002,"&gt;"&amp;($B$3-60)))</f>
        <v/>
      </c>
      <c r="D87" s="15" t="str">
        <f aca="false">IF($A87="","",SUMIFS(매출내역!$I$3:$I$3002,매출내역!$I$3:$I$3002,"&gt;0",매출내역!$B$3:$B$3002,$A87,매출내역!$A$3:$A$3002,"&lt;="&amp;($B$3-60),매출내역!$A$3:$A$3002,"&gt;"&amp;($B$3-90)))</f>
        <v/>
      </c>
      <c r="E87" s="15" t="str">
        <f aca="false">IF($A87="","",SUMIFS(매출내역!$I$3:$I$3002,매출내역!$I$3:$I$3002,"&gt;0",매출내역!$B$3:$B$3002,$A87,매출내역!$A$3:$A$3002,"&lt;="&amp;($B$3-90)))</f>
        <v/>
      </c>
      <c r="F87" s="15" t="str">
        <f aca="false">IF($A87="","",SUM($B87:$E87))</f>
        <v/>
      </c>
      <c r="G87" s="26" t="str">
        <f aca="false">IF($A87="","",IF($F$307=0,"",$F87/$F$307))</f>
        <v/>
      </c>
    </row>
    <row r="88" customFormat="false" ht="15" hidden="false" customHeight="true" outlineLevel="0" collapsed="false">
      <c r="A88" s="19" t="str">
        <f aca="false">IF(거래처목록!$A85="","",거래처목록!$A85)</f>
        <v/>
      </c>
      <c r="B88" s="15" t="str">
        <f aca="false">IF($A88="","",SUMIFS(매출내역!$I$3:$I$3002,매출내역!$I$3:$I$3002,"&gt;0",매출내역!$B$3:$B$3002,$A88,매출내역!$A$3:$A$3002,"&gt;"&amp;($B$3-30)))</f>
        <v/>
      </c>
      <c r="C88" s="15" t="str">
        <f aca="false">IF($A88="","",SUMIFS(매출내역!$I$3:$I$3002,매출내역!$I$3:$I$3002,"&gt;0",매출내역!$B$3:$B$3002,$A88,매출내역!$A$3:$A$3002,"&lt;="&amp;($B$3-30),매출내역!$A$3:$A$3002,"&gt;"&amp;($B$3-60)))</f>
        <v/>
      </c>
      <c r="D88" s="15" t="str">
        <f aca="false">IF($A88="","",SUMIFS(매출내역!$I$3:$I$3002,매출내역!$I$3:$I$3002,"&gt;0",매출내역!$B$3:$B$3002,$A88,매출내역!$A$3:$A$3002,"&lt;="&amp;($B$3-60),매출내역!$A$3:$A$3002,"&gt;"&amp;($B$3-90)))</f>
        <v/>
      </c>
      <c r="E88" s="15" t="str">
        <f aca="false">IF($A88="","",SUMIFS(매출내역!$I$3:$I$3002,매출내역!$I$3:$I$3002,"&gt;0",매출내역!$B$3:$B$3002,$A88,매출내역!$A$3:$A$3002,"&lt;="&amp;($B$3-90)))</f>
        <v/>
      </c>
      <c r="F88" s="15" t="str">
        <f aca="false">IF($A88="","",SUM($B88:$E88))</f>
        <v/>
      </c>
      <c r="G88" s="26" t="str">
        <f aca="false">IF($A88="","",IF($F$307=0,"",$F88/$F$307))</f>
        <v/>
      </c>
    </row>
    <row r="89" customFormat="false" ht="15" hidden="false" customHeight="true" outlineLevel="0" collapsed="false">
      <c r="A89" s="19" t="str">
        <f aca="false">IF(거래처목록!$A86="","",거래처목록!$A86)</f>
        <v/>
      </c>
      <c r="B89" s="15" t="str">
        <f aca="false">IF($A89="","",SUMIFS(매출내역!$I$3:$I$3002,매출내역!$I$3:$I$3002,"&gt;0",매출내역!$B$3:$B$3002,$A89,매출내역!$A$3:$A$3002,"&gt;"&amp;($B$3-30)))</f>
        <v/>
      </c>
      <c r="C89" s="15" t="str">
        <f aca="false">IF($A89="","",SUMIFS(매출내역!$I$3:$I$3002,매출내역!$I$3:$I$3002,"&gt;0",매출내역!$B$3:$B$3002,$A89,매출내역!$A$3:$A$3002,"&lt;="&amp;($B$3-30),매출내역!$A$3:$A$3002,"&gt;"&amp;($B$3-60)))</f>
        <v/>
      </c>
      <c r="D89" s="15" t="str">
        <f aca="false">IF($A89="","",SUMIFS(매출내역!$I$3:$I$3002,매출내역!$I$3:$I$3002,"&gt;0",매출내역!$B$3:$B$3002,$A89,매출내역!$A$3:$A$3002,"&lt;="&amp;($B$3-60),매출내역!$A$3:$A$3002,"&gt;"&amp;($B$3-90)))</f>
        <v/>
      </c>
      <c r="E89" s="15" t="str">
        <f aca="false">IF($A89="","",SUMIFS(매출내역!$I$3:$I$3002,매출내역!$I$3:$I$3002,"&gt;0",매출내역!$B$3:$B$3002,$A89,매출내역!$A$3:$A$3002,"&lt;="&amp;($B$3-90)))</f>
        <v/>
      </c>
      <c r="F89" s="15" t="str">
        <f aca="false">IF($A89="","",SUM($B89:$E89))</f>
        <v/>
      </c>
      <c r="G89" s="26" t="str">
        <f aca="false">IF($A89="","",IF($F$307=0,"",$F89/$F$307))</f>
        <v/>
      </c>
    </row>
    <row r="90" customFormat="false" ht="15" hidden="false" customHeight="true" outlineLevel="0" collapsed="false">
      <c r="A90" s="19" t="str">
        <f aca="false">IF(거래처목록!$A87="","",거래처목록!$A87)</f>
        <v/>
      </c>
      <c r="B90" s="15" t="str">
        <f aca="false">IF($A90="","",SUMIFS(매출내역!$I$3:$I$3002,매출내역!$I$3:$I$3002,"&gt;0",매출내역!$B$3:$B$3002,$A90,매출내역!$A$3:$A$3002,"&gt;"&amp;($B$3-30)))</f>
        <v/>
      </c>
      <c r="C90" s="15" t="str">
        <f aca="false">IF($A90="","",SUMIFS(매출내역!$I$3:$I$3002,매출내역!$I$3:$I$3002,"&gt;0",매출내역!$B$3:$B$3002,$A90,매출내역!$A$3:$A$3002,"&lt;="&amp;($B$3-30),매출내역!$A$3:$A$3002,"&gt;"&amp;($B$3-60)))</f>
        <v/>
      </c>
      <c r="D90" s="15" t="str">
        <f aca="false">IF($A90="","",SUMIFS(매출내역!$I$3:$I$3002,매출내역!$I$3:$I$3002,"&gt;0",매출내역!$B$3:$B$3002,$A90,매출내역!$A$3:$A$3002,"&lt;="&amp;($B$3-60),매출내역!$A$3:$A$3002,"&gt;"&amp;($B$3-90)))</f>
        <v/>
      </c>
      <c r="E90" s="15" t="str">
        <f aca="false">IF($A90="","",SUMIFS(매출내역!$I$3:$I$3002,매출내역!$I$3:$I$3002,"&gt;0",매출내역!$B$3:$B$3002,$A90,매출내역!$A$3:$A$3002,"&lt;="&amp;($B$3-90)))</f>
        <v/>
      </c>
      <c r="F90" s="15" t="str">
        <f aca="false">IF($A90="","",SUM($B90:$E90))</f>
        <v/>
      </c>
      <c r="G90" s="26" t="str">
        <f aca="false">IF($A90="","",IF($F$307=0,"",$F90/$F$307))</f>
        <v/>
      </c>
    </row>
    <row r="91" customFormat="false" ht="15" hidden="false" customHeight="true" outlineLevel="0" collapsed="false">
      <c r="A91" s="19" t="str">
        <f aca="false">IF(거래처목록!$A88="","",거래처목록!$A88)</f>
        <v/>
      </c>
      <c r="B91" s="15" t="str">
        <f aca="false">IF($A91="","",SUMIFS(매출내역!$I$3:$I$3002,매출내역!$I$3:$I$3002,"&gt;0",매출내역!$B$3:$B$3002,$A91,매출내역!$A$3:$A$3002,"&gt;"&amp;($B$3-30)))</f>
        <v/>
      </c>
      <c r="C91" s="15" t="str">
        <f aca="false">IF($A91="","",SUMIFS(매출내역!$I$3:$I$3002,매출내역!$I$3:$I$3002,"&gt;0",매출내역!$B$3:$B$3002,$A91,매출내역!$A$3:$A$3002,"&lt;="&amp;($B$3-30),매출내역!$A$3:$A$3002,"&gt;"&amp;($B$3-60)))</f>
        <v/>
      </c>
      <c r="D91" s="15" t="str">
        <f aca="false">IF($A91="","",SUMIFS(매출내역!$I$3:$I$3002,매출내역!$I$3:$I$3002,"&gt;0",매출내역!$B$3:$B$3002,$A91,매출내역!$A$3:$A$3002,"&lt;="&amp;($B$3-60),매출내역!$A$3:$A$3002,"&gt;"&amp;($B$3-90)))</f>
        <v/>
      </c>
      <c r="E91" s="15" t="str">
        <f aca="false">IF($A91="","",SUMIFS(매출내역!$I$3:$I$3002,매출내역!$I$3:$I$3002,"&gt;0",매출내역!$B$3:$B$3002,$A91,매출내역!$A$3:$A$3002,"&lt;="&amp;($B$3-90)))</f>
        <v/>
      </c>
      <c r="F91" s="15" t="str">
        <f aca="false">IF($A91="","",SUM($B91:$E91))</f>
        <v/>
      </c>
      <c r="G91" s="26" t="str">
        <f aca="false">IF($A91="","",IF($F$307=0,"",$F91/$F$307))</f>
        <v/>
      </c>
    </row>
    <row r="92" customFormat="false" ht="15" hidden="false" customHeight="true" outlineLevel="0" collapsed="false">
      <c r="A92" s="19" t="str">
        <f aca="false">IF(거래처목록!$A89="","",거래처목록!$A89)</f>
        <v/>
      </c>
      <c r="B92" s="15" t="str">
        <f aca="false">IF($A92="","",SUMIFS(매출내역!$I$3:$I$3002,매출내역!$I$3:$I$3002,"&gt;0",매출내역!$B$3:$B$3002,$A92,매출내역!$A$3:$A$3002,"&gt;"&amp;($B$3-30)))</f>
        <v/>
      </c>
      <c r="C92" s="15" t="str">
        <f aca="false">IF($A92="","",SUMIFS(매출내역!$I$3:$I$3002,매출내역!$I$3:$I$3002,"&gt;0",매출내역!$B$3:$B$3002,$A92,매출내역!$A$3:$A$3002,"&lt;="&amp;($B$3-30),매출내역!$A$3:$A$3002,"&gt;"&amp;($B$3-60)))</f>
        <v/>
      </c>
      <c r="D92" s="15" t="str">
        <f aca="false">IF($A92="","",SUMIFS(매출내역!$I$3:$I$3002,매출내역!$I$3:$I$3002,"&gt;0",매출내역!$B$3:$B$3002,$A92,매출내역!$A$3:$A$3002,"&lt;="&amp;($B$3-60),매출내역!$A$3:$A$3002,"&gt;"&amp;($B$3-90)))</f>
        <v/>
      </c>
      <c r="E92" s="15" t="str">
        <f aca="false">IF($A92="","",SUMIFS(매출내역!$I$3:$I$3002,매출내역!$I$3:$I$3002,"&gt;0",매출내역!$B$3:$B$3002,$A92,매출내역!$A$3:$A$3002,"&lt;="&amp;($B$3-90)))</f>
        <v/>
      </c>
      <c r="F92" s="15" t="str">
        <f aca="false">IF($A92="","",SUM($B92:$E92))</f>
        <v/>
      </c>
      <c r="G92" s="26" t="str">
        <f aca="false">IF($A92="","",IF($F$307=0,"",$F92/$F$307))</f>
        <v/>
      </c>
    </row>
    <row r="93" customFormat="false" ht="15" hidden="false" customHeight="true" outlineLevel="0" collapsed="false">
      <c r="A93" s="19" t="str">
        <f aca="false">IF(거래처목록!$A90="","",거래처목록!$A90)</f>
        <v/>
      </c>
      <c r="B93" s="15" t="str">
        <f aca="false">IF($A93="","",SUMIFS(매출내역!$I$3:$I$3002,매출내역!$I$3:$I$3002,"&gt;0",매출내역!$B$3:$B$3002,$A93,매출내역!$A$3:$A$3002,"&gt;"&amp;($B$3-30)))</f>
        <v/>
      </c>
      <c r="C93" s="15" t="str">
        <f aca="false">IF($A93="","",SUMIFS(매출내역!$I$3:$I$3002,매출내역!$I$3:$I$3002,"&gt;0",매출내역!$B$3:$B$3002,$A93,매출내역!$A$3:$A$3002,"&lt;="&amp;($B$3-30),매출내역!$A$3:$A$3002,"&gt;"&amp;($B$3-60)))</f>
        <v/>
      </c>
      <c r="D93" s="15" t="str">
        <f aca="false">IF($A93="","",SUMIFS(매출내역!$I$3:$I$3002,매출내역!$I$3:$I$3002,"&gt;0",매출내역!$B$3:$B$3002,$A93,매출내역!$A$3:$A$3002,"&lt;="&amp;($B$3-60),매출내역!$A$3:$A$3002,"&gt;"&amp;($B$3-90)))</f>
        <v/>
      </c>
      <c r="E93" s="15" t="str">
        <f aca="false">IF($A93="","",SUMIFS(매출내역!$I$3:$I$3002,매출내역!$I$3:$I$3002,"&gt;0",매출내역!$B$3:$B$3002,$A93,매출내역!$A$3:$A$3002,"&lt;="&amp;($B$3-90)))</f>
        <v/>
      </c>
      <c r="F93" s="15" t="str">
        <f aca="false">IF($A93="","",SUM($B93:$E93))</f>
        <v/>
      </c>
      <c r="G93" s="26" t="str">
        <f aca="false">IF($A93="","",IF($F$307=0,"",$F93/$F$307))</f>
        <v/>
      </c>
    </row>
    <row r="94" customFormat="false" ht="15" hidden="false" customHeight="true" outlineLevel="0" collapsed="false">
      <c r="A94" s="19" t="str">
        <f aca="false">IF(거래처목록!$A91="","",거래처목록!$A91)</f>
        <v/>
      </c>
      <c r="B94" s="15" t="str">
        <f aca="false">IF($A94="","",SUMIFS(매출내역!$I$3:$I$3002,매출내역!$I$3:$I$3002,"&gt;0",매출내역!$B$3:$B$3002,$A94,매출내역!$A$3:$A$3002,"&gt;"&amp;($B$3-30)))</f>
        <v/>
      </c>
      <c r="C94" s="15" t="str">
        <f aca="false">IF($A94="","",SUMIFS(매출내역!$I$3:$I$3002,매출내역!$I$3:$I$3002,"&gt;0",매출내역!$B$3:$B$3002,$A94,매출내역!$A$3:$A$3002,"&lt;="&amp;($B$3-30),매출내역!$A$3:$A$3002,"&gt;"&amp;($B$3-60)))</f>
        <v/>
      </c>
      <c r="D94" s="15" t="str">
        <f aca="false">IF($A94="","",SUMIFS(매출내역!$I$3:$I$3002,매출내역!$I$3:$I$3002,"&gt;0",매출내역!$B$3:$B$3002,$A94,매출내역!$A$3:$A$3002,"&lt;="&amp;($B$3-60),매출내역!$A$3:$A$3002,"&gt;"&amp;($B$3-90)))</f>
        <v/>
      </c>
      <c r="E94" s="15" t="str">
        <f aca="false">IF($A94="","",SUMIFS(매출내역!$I$3:$I$3002,매출내역!$I$3:$I$3002,"&gt;0",매출내역!$B$3:$B$3002,$A94,매출내역!$A$3:$A$3002,"&lt;="&amp;($B$3-90)))</f>
        <v/>
      </c>
      <c r="F94" s="15" t="str">
        <f aca="false">IF($A94="","",SUM($B94:$E94))</f>
        <v/>
      </c>
      <c r="G94" s="26" t="str">
        <f aca="false">IF($A94="","",IF($F$307=0,"",$F94/$F$307))</f>
        <v/>
      </c>
    </row>
    <row r="95" customFormat="false" ht="15" hidden="false" customHeight="true" outlineLevel="0" collapsed="false">
      <c r="A95" s="19" t="str">
        <f aca="false">IF(거래처목록!$A92="","",거래처목록!$A92)</f>
        <v/>
      </c>
      <c r="B95" s="15" t="str">
        <f aca="false">IF($A95="","",SUMIFS(매출내역!$I$3:$I$3002,매출내역!$I$3:$I$3002,"&gt;0",매출내역!$B$3:$B$3002,$A95,매출내역!$A$3:$A$3002,"&gt;"&amp;($B$3-30)))</f>
        <v/>
      </c>
      <c r="C95" s="15" t="str">
        <f aca="false">IF($A95="","",SUMIFS(매출내역!$I$3:$I$3002,매출내역!$I$3:$I$3002,"&gt;0",매출내역!$B$3:$B$3002,$A95,매출내역!$A$3:$A$3002,"&lt;="&amp;($B$3-30),매출내역!$A$3:$A$3002,"&gt;"&amp;($B$3-60)))</f>
        <v/>
      </c>
      <c r="D95" s="15" t="str">
        <f aca="false">IF($A95="","",SUMIFS(매출내역!$I$3:$I$3002,매출내역!$I$3:$I$3002,"&gt;0",매출내역!$B$3:$B$3002,$A95,매출내역!$A$3:$A$3002,"&lt;="&amp;($B$3-60),매출내역!$A$3:$A$3002,"&gt;"&amp;($B$3-90)))</f>
        <v/>
      </c>
      <c r="E95" s="15" t="str">
        <f aca="false">IF($A95="","",SUMIFS(매출내역!$I$3:$I$3002,매출내역!$I$3:$I$3002,"&gt;0",매출내역!$B$3:$B$3002,$A95,매출내역!$A$3:$A$3002,"&lt;="&amp;($B$3-90)))</f>
        <v/>
      </c>
      <c r="F95" s="15" t="str">
        <f aca="false">IF($A95="","",SUM($B95:$E95))</f>
        <v/>
      </c>
      <c r="G95" s="26" t="str">
        <f aca="false">IF($A95="","",IF($F$307=0,"",$F95/$F$307))</f>
        <v/>
      </c>
    </row>
    <row r="96" customFormat="false" ht="15" hidden="false" customHeight="true" outlineLevel="0" collapsed="false">
      <c r="A96" s="19" t="str">
        <f aca="false">IF(거래처목록!$A93="","",거래처목록!$A93)</f>
        <v/>
      </c>
      <c r="B96" s="15" t="str">
        <f aca="false">IF($A96="","",SUMIFS(매출내역!$I$3:$I$3002,매출내역!$I$3:$I$3002,"&gt;0",매출내역!$B$3:$B$3002,$A96,매출내역!$A$3:$A$3002,"&gt;"&amp;($B$3-30)))</f>
        <v/>
      </c>
      <c r="C96" s="15" t="str">
        <f aca="false">IF($A96="","",SUMIFS(매출내역!$I$3:$I$3002,매출내역!$I$3:$I$3002,"&gt;0",매출내역!$B$3:$B$3002,$A96,매출내역!$A$3:$A$3002,"&lt;="&amp;($B$3-30),매출내역!$A$3:$A$3002,"&gt;"&amp;($B$3-60)))</f>
        <v/>
      </c>
      <c r="D96" s="15" t="str">
        <f aca="false">IF($A96="","",SUMIFS(매출내역!$I$3:$I$3002,매출내역!$I$3:$I$3002,"&gt;0",매출내역!$B$3:$B$3002,$A96,매출내역!$A$3:$A$3002,"&lt;="&amp;($B$3-60),매출내역!$A$3:$A$3002,"&gt;"&amp;($B$3-90)))</f>
        <v/>
      </c>
      <c r="E96" s="15" t="str">
        <f aca="false">IF($A96="","",SUMIFS(매출내역!$I$3:$I$3002,매출내역!$I$3:$I$3002,"&gt;0",매출내역!$B$3:$B$3002,$A96,매출내역!$A$3:$A$3002,"&lt;="&amp;($B$3-90)))</f>
        <v/>
      </c>
      <c r="F96" s="15" t="str">
        <f aca="false">IF($A96="","",SUM($B96:$E96))</f>
        <v/>
      </c>
      <c r="G96" s="26" t="str">
        <f aca="false">IF($A96="","",IF($F$307=0,"",$F96/$F$307))</f>
        <v/>
      </c>
    </row>
    <row r="97" customFormat="false" ht="15" hidden="false" customHeight="true" outlineLevel="0" collapsed="false">
      <c r="A97" s="19" t="str">
        <f aca="false">IF(거래처목록!$A94="","",거래처목록!$A94)</f>
        <v/>
      </c>
      <c r="B97" s="15" t="str">
        <f aca="false">IF($A97="","",SUMIFS(매출내역!$I$3:$I$3002,매출내역!$I$3:$I$3002,"&gt;0",매출내역!$B$3:$B$3002,$A97,매출내역!$A$3:$A$3002,"&gt;"&amp;($B$3-30)))</f>
        <v/>
      </c>
      <c r="C97" s="15" t="str">
        <f aca="false">IF($A97="","",SUMIFS(매출내역!$I$3:$I$3002,매출내역!$I$3:$I$3002,"&gt;0",매출내역!$B$3:$B$3002,$A97,매출내역!$A$3:$A$3002,"&lt;="&amp;($B$3-30),매출내역!$A$3:$A$3002,"&gt;"&amp;($B$3-60)))</f>
        <v/>
      </c>
      <c r="D97" s="15" t="str">
        <f aca="false">IF($A97="","",SUMIFS(매출내역!$I$3:$I$3002,매출내역!$I$3:$I$3002,"&gt;0",매출내역!$B$3:$B$3002,$A97,매출내역!$A$3:$A$3002,"&lt;="&amp;($B$3-60),매출내역!$A$3:$A$3002,"&gt;"&amp;($B$3-90)))</f>
        <v/>
      </c>
      <c r="E97" s="15" t="str">
        <f aca="false">IF($A97="","",SUMIFS(매출내역!$I$3:$I$3002,매출내역!$I$3:$I$3002,"&gt;0",매출내역!$B$3:$B$3002,$A97,매출내역!$A$3:$A$3002,"&lt;="&amp;($B$3-90)))</f>
        <v/>
      </c>
      <c r="F97" s="15" t="str">
        <f aca="false">IF($A97="","",SUM($B97:$E97))</f>
        <v/>
      </c>
      <c r="G97" s="26" t="str">
        <f aca="false">IF($A97="","",IF($F$307=0,"",$F97/$F$307))</f>
        <v/>
      </c>
    </row>
    <row r="98" customFormat="false" ht="15" hidden="false" customHeight="true" outlineLevel="0" collapsed="false">
      <c r="A98" s="19" t="str">
        <f aca="false">IF(거래처목록!$A95="","",거래처목록!$A95)</f>
        <v/>
      </c>
      <c r="B98" s="15" t="str">
        <f aca="false">IF($A98="","",SUMIFS(매출내역!$I$3:$I$3002,매출내역!$I$3:$I$3002,"&gt;0",매출내역!$B$3:$B$3002,$A98,매출내역!$A$3:$A$3002,"&gt;"&amp;($B$3-30)))</f>
        <v/>
      </c>
      <c r="C98" s="15" t="str">
        <f aca="false">IF($A98="","",SUMIFS(매출내역!$I$3:$I$3002,매출내역!$I$3:$I$3002,"&gt;0",매출내역!$B$3:$B$3002,$A98,매출내역!$A$3:$A$3002,"&lt;="&amp;($B$3-30),매출내역!$A$3:$A$3002,"&gt;"&amp;($B$3-60)))</f>
        <v/>
      </c>
      <c r="D98" s="15" t="str">
        <f aca="false">IF($A98="","",SUMIFS(매출내역!$I$3:$I$3002,매출내역!$I$3:$I$3002,"&gt;0",매출내역!$B$3:$B$3002,$A98,매출내역!$A$3:$A$3002,"&lt;="&amp;($B$3-60),매출내역!$A$3:$A$3002,"&gt;"&amp;($B$3-90)))</f>
        <v/>
      </c>
      <c r="E98" s="15" t="str">
        <f aca="false">IF($A98="","",SUMIFS(매출내역!$I$3:$I$3002,매출내역!$I$3:$I$3002,"&gt;0",매출내역!$B$3:$B$3002,$A98,매출내역!$A$3:$A$3002,"&lt;="&amp;($B$3-90)))</f>
        <v/>
      </c>
      <c r="F98" s="15" t="str">
        <f aca="false">IF($A98="","",SUM($B98:$E98))</f>
        <v/>
      </c>
      <c r="G98" s="26" t="str">
        <f aca="false">IF($A98="","",IF($F$307=0,"",$F98/$F$307))</f>
        <v/>
      </c>
    </row>
    <row r="99" customFormat="false" ht="15" hidden="false" customHeight="true" outlineLevel="0" collapsed="false">
      <c r="A99" s="19" t="str">
        <f aca="false">IF(거래처목록!$A96="","",거래처목록!$A96)</f>
        <v/>
      </c>
      <c r="B99" s="15" t="str">
        <f aca="false">IF($A99="","",SUMIFS(매출내역!$I$3:$I$3002,매출내역!$I$3:$I$3002,"&gt;0",매출내역!$B$3:$B$3002,$A99,매출내역!$A$3:$A$3002,"&gt;"&amp;($B$3-30)))</f>
        <v/>
      </c>
      <c r="C99" s="15" t="str">
        <f aca="false">IF($A99="","",SUMIFS(매출내역!$I$3:$I$3002,매출내역!$I$3:$I$3002,"&gt;0",매출내역!$B$3:$B$3002,$A99,매출내역!$A$3:$A$3002,"&lt;="&amp;($B$3-30),매출내역!$A$3:$A$3002,"&gt;"&amp;($B$3-60)))</f>
        <v/>
      </c>
      <c r="D99" s="15" t="str">
        <f aca="false">IF($A99="","",SUMIFS(매출내역!$I$3:$I$3002,매출내역!$I$3:$I$3002,"&gt;0",매출내역!$B$3:$B$3002,$A99,매출내역!$A$3:$A$3002,"&lt;="&amp;($B$3-60),매출내역!$A$3:$A$3002,"&gt;"&amp;($B$3-90)))</f>
        <v/>
      </c>
      <c r="E99" s="15" t="str">
        <f aca="false">IF($A99="","",SUMIFS(매출내역!$I$3:$I$3002,매출내역!$I$3:$I$3002,"&gt;0",매출내역!$B$3:$B$3002,$A99,매출내역!$A$3:$A$3002,"&lt;="&amp;($B$3-90)))</f>
        <v/>
      </c>
      <c r="F99" s="15" t="str">
        <f aca="false">IF($A99="","",SUM($B99:$E99))</f>
        <v/>
      </c>
      <c r="G99" s="26" t="str">
        <f aca="false">IF($A99="","",IF($F$307=0,"",$F99/$F$307))</f>
        <v/>
      </c>
    </row>
    <row r="100" customFormat="false" ht="15" hidden="false" customHeight="true" outlineLevel="0" collapsed="false">
      <c r="A100" s="19" t="str">
        <f aca="false">IF(거래처목록!$A97="","",거래처목록!$A97)</f>
        <v/>
      </c>
      <c r="B100" s="15" t="str">
        <f aca="false">IF($A100="","",SUMIFS(매출내역!$I$3:$I$3002,매출내역!$I$3:$I$3002,"&gt;0",매출내역!$B$3:$B$3002,$A100,매출내역!$A$3:$A$3002,"&gt;"&amp;($B$3-30)))</f>
        <v/>
      </c>
      <c r="C100" s="15" t="str">
        <f aca="false">IF($A100="","",SUMIFS(매출내역!$I$3:$I$3002,매출내역!$I$3:$I$3002,"&gt;0",매출내역!$B$3:$B$3002,$A100,매출내역!$A$3:$A$3002,"&lt;="&amp;($B$3-30),매출내역!$A$3:$A$3002,"&gt;"&amp;($B$3-60)))</f>
        <v/>
      </c>
      <c r="D100" s="15" t="str">
        <f aca="false">IF($A100="","",SUMIFS(매출내역!$I$3:$I$3002,매출내역!$I$3:$I$3002,"&gt;0",매출내역!$B$3:$B$3002,$A100,매출내역!$A$3:$A$3002,"&lt;="&amp;($B$3-60),매출내역!$A$3:$A$3002,"&gt;"&amp;($B$3-90)))</f>
        <v/>
      </c>
      <c r="E100" s="15" t="str">
        <f aca="false">IF($A100="","",SUMIFS(매출내역!$I$3:$I$3002,매출내역!$I$3:$I$3002,"&gt;0",매출내역!$B$3:$B$3002,$A100,매출내역!$A$3:$A$3002,"&lt;="&amp;($B$3-90)))</f>
        <v/>
      </c>
      <c r="F100" s="15" t="str">
        <f aca="false">IF($A100="","",SUM($B100:$E100))</f>
        <v/>
      </c>
      <c r="G100" s="26" t="str">
        <f aca="false">IF($A100="","",IF($F$307=0,"",$F100/$F$307))</f>
        <v/>
      </c>
    </row>
    <row r="101" customFormat="false" ht="15" hidden="false" customHeight="true" outlineLevel="0" collapsed="false">
      <c r="A101" s="19" t="str">
        <f aca="false">IF(거래처목록!$A98="","",거래처목록!$A98)</f>
        <v/>
      </c>
      <c r="B101" s="15" t="str">
        <f aca="false">IF($A101="","",SUMIFS(매출내역!$I$3:$I$3002,매출내역!$I$3:$I$3002,"&gt;0",매출내역!$B$3:$B$3002,$A101,매출내역!$A$3:$A$3002,"&gt;"&amp;($B$3-30)))</f>
        <v/>
      </c>
      <c r="C101" s="15" t="str">
        <f aca="false">IF($A101="","",SUMIFS(매출내역!$I$3:$I$3002,매출내역!$I$3:$I$3002,"&gt;0",매출내역!$B$3:$B$3002,$A101,매출내역!$A$3:$A$3002,"&lt;="&amp;($B$3-30),매출내역!$A$3:$A$3002,"&gt;"&amp;($B$3-60)))</f>
        <v/>
      </c>
      <c r="D101" s="15" t="str">
        <f aca="false">IF($A101="","",SUMIFS(매출내역!$I$3:$I$3002,매출내역!$I$3:$I$3002,"&gt;0",매출내역!$B$3:$B$3002,$A101,매출내역!$A$3:$A$3002,"&lt;="&amp;($B$3-60),매출내역!$A$3:$A$3002,"&gt;"&amp;($B$3-90)))</f>
        <v/>
      </c>
      <c r="E101" s="15" t="str">
        <f aca="false">IF($A101="","",SUMIFS(매출내역!$I$3:$I$3002,매출내역!$I$3:$I$3002,"&gt;0",매출내역!$B$3:$B$3002,$A101,매출내역!$A$3:$A$3002,"&lt;="&amp;($B$3-90)))</f>
        <v/>
      </c>
      <c r="F101" s="15" t="str">
        <f aca="false">IF($A101="","",SUM($B101:$E101))</f>
        <v/>
      </c>
      <c r="G101" s="26" t="str">
        <f aca="false">IF($A101="","",IF($F$307=0,"",$F101/$F$307))</f>
        <v/>
      </c>
    </row>
    <row r="102" customFormat="false" ht="15" hidden="false" customHeight="true" outlineLevel="0" collapsed="false">
      <c r="A102" s="19" t="str">
        <f aca="false">IF(거래처목록!$A99="","",거래처목록!$A99)</f>
        <v/>
      </c>
      <c r="B102" s="15" t="str">
        <f aca="false">IF($A102="","",SUMIFS(매출내역!$I$3:$I$3002,매출내역!$I$3:$I$3002,"&gt;0",매출내역!$B$3:$B$3002,$A102,매출내역!$A$3:$A$3002,"&gt;"&amp;($B$3-30)))</f>
        <v/>
      </c>
      <c r="C102" s="15" t="str">
        <f aca="false">IF($A102="","",SUMIFS(매출내역!$I$3:$I$3002,매출내역!$I$3:$I$3002,"&gt;0",매출내역!$B$3:$B$3002,$A102,매출내역!$A$3:$A$3002,"&lt;="&amp;($B$3-30),매출내역!$A$3:$A$3002,"&gt;"&amp;($B$3-60)))</f>
        <v/>
      </c>
      <c r="D102" s="15" t="str">
        <f aca="false">IF($A102="","",SUMIFS(매출내역!$I$3:$I$3002,매출내역!$I$3:$I$3002,"&gt;0",매출내역!$B$3:$B$3002,$A102,매출내역!$A$3:$A$3002,"&lt;="&amp;($B$3-60),매출내역!$A$3:$A$3002,"&gt;"&amp;($B$3-90)))</f>
        <v/>
      </c>
      <c r="E102" s="15" t="str">
        <f aca="false">IF($A102="","",SUMIFS(매출내역!$I$3:$I$3002,매출내역!$I$3:$I$3002,"&gt;0",매출내역!$B$3:$B$3002,$A102,매출내역!$A$3:$A$3002,"&lt;="&amp;($B$3-90)))</f>
        <v/>
      </c>
      <c r="F102" s="15" t="str">
        <f aca="false">IF($A102="","",SUM($B102:$E102))</f>
        <v/>
      </c>
      <c r="G102" s="26" t="str">
        <f aca="false">IF($A102="","",IF($F$307=0,"",$F102/$F$307))</f>
        <v/>
      </c>
    </row>
    <row r="103" customFormat="false" ht="15" hidden="false" customHeight="true" outlineLevel="0" collapsed="false">
      <c r="A103" s="19" t="str">
        <f aca="false">IF(거래처목록!$A100="","",거래처목록!$A100)</f>
        <v/>
      </c>
      <c r="B103" s="15" t="str">
        <f aca="false">IF($A103="","",SUMIFS(매출내역!$I$3:$I$3002,매출내역!$I$3:$I$3002,"&gt;0",매출내역!$B$3:$B$3002,$A103,매출내역!$A$3:$A$3002,"&gt;"&amp;($B$3-30)))</f>
        <v/>
      </c>
      <c r="C103" s="15" t="str">
        <f aca="false">IF($A103="","",SUMIFS(매출내역!$I$3:$I$3002,매출내역!$I$3:$I$3002,"&gt;0",매출내역!$B$3:$B$3002,$A103,매출내역!$A$3:$A$3002,"&lt;="&amp;($B$3-30),매출내역!$A$3:$A$3002,"&gt;"&amp;($B$3-60)))</f>
        <v/>
      </c>
      <c r="D103" s="15" t="str">
        <f aca="false">IF($A103="","",SUMIFS(매출내역!$I$3:$I$3002,매출내역!$I$3:$I$3002,"&gt;0",매출내역!$B$3:$B$3002,$A103,매출내역!$A$3:$A$3002,"&lt;="&amp;($B$3-60),매출내역!$A$3:$A$3002,"&gt;"&amp;($B$3-90)))</f>
        <v/>
      </c>
      <c r="E103" s="15" t="str">
        <f aca="false">IF($A103="","",SUMIFS(매출내역!$I$3:$I$3002,매출내역!$I$3:$I$3002,"&gt;0",매출내역!$B$3:$B$3002,$A103,매출내역!$A$3:$A$3002,"&lt;="&amp;($B$3-90)))</f>
        <v/>
      </c>
      <c r="F103" s="15" t="str">
        <f aca="false">IF($A103="","",SUM($B103:$E103))</f>
        <v/>
      </c>
      <c r="G103" s="26" t="str">
        <f aca="false">IF($A103="","",IF($F$307=0,"",$F103/$F$307))</f>
        <v/>
      </c>
    </row>
    <row r="104" customFormat="false" ht="15" hidden="false" customHeight="true" outlineLevel="0" collapsed="false">
      <c r="A104" s="19" t="str">
        <f aca="false">IF(거래처목록!$A101="","",거래처목록!$A101)</f>
        <v/>
      </c>
      <c r="B104" s="15" t="str">
        <f aca="false">IF($A104="","",SUMIFS(매출내역!$I$3:$I$3002,매출내역!$I$3:$I$3002,"&gt;0",매출내역!$B$3:$B$3002,$A104,매출내역!$A$3:$A$3002,"&gt;"&amp;($B$3-30)))</f>
        <v/>
      </c>
      <c r="C104" s="15" t="str">
        <f aca="false">IF($A104="","",SUMIFS(매출내역!$I$3:$I$3002,매출내역!$I$3:$I$3002,"&gt;0",매출내역!$B$3:$B$3002,$A104,매출내역!$A$3:$A$3002,"&lt;="&amp;($B$3-30),매출내역!$A$3:$A$3002,"&gt;"&amp;($B$3-60)))</f>
        <v/>
      </c>
      <c r="D104" s="15" t="str">
        <f aca="false">IF($A104="","",SUMIFS(매출내역!$I$3:$I$3002,매출내역!$I$3:$I$3002,"&gt;0",매출내역!$B$3:$B$3002,$A104,매출내역!$A$3:$A$3002,"&lt;="&amp;($B$3-60),매출내역!$A$3:$A$3002,"&gt;"&amp;($B$3-90)))</f>
        <v/>
      </c>
      <c r="E104" s="15" t="str">
        <f aca="false">IF($A104="","",SUMIFS(매출내역!$I$3:$I$3002,매출내역!$I$3:$I$3002,"&gt;0",매출내역!$B$3:$B$3002,$A104,매출내역!$A$3:$A$3002,"&lt;="&amp;($B$3-90)))</f>
        <v/>
      </c>
      <c r="F104" s="15" t="str">
        <f aca="false">IF($A104="","",SUM($B104:$E104))</f>
        <v/>
      </c>
      <c r="G104" s="26" t="str">
        <f aca="false">IF($A104="","",IF($F$307=0,"",$F104/$F$307))</f>
        <v/>
      </c>
    </row>
    <row r="105" customFormat="false" ht="15" hidden="false" customHeight="true" outlineLevel="0" collapsed="false">
      <c r="A105" s="19" t="str">
        <f aca="false">IF(거래처목록!$A102="","",거래처목록!$A102)</f>
        <v/>
      </c>
      <c r="B105" s="15" t="str">
        <f aca="false">IF($A105="","",SUMIFS(매출내역!$I$3:$I$3002,매출내역!$I$3:$I$3002,"&gt;0",매출내역!$B$3:$B$3002,$A105,매출내역!$A$3:$A$3002,"&gt;"&amp;($B$3-30)))</f>
        <v/>
      </c>
      <c r="C105" s="15" t="str">
        <f aca="false">IF($A105="","",SUMIFS(매출내역!$I$3:$I$3002,매출내역!$I$3:$I$3002,"&gt;0",매출내역!$B$3:$B$3002,$A105,매출내역!$A$3:$A$3002,"&lt;="&amp;($B$3-30),매출내역!$A$3:$A$3002,"&gt;"&amp;($B$3-60)))</f>
        <v/>
      </c>
      <c r="D105" s="15" t="str">
        <f aca="false">IF($A105="","",SUMIFS(매출내역!$I$3:$I$3002,매출내역!$I$3:$I$3002,"&gt;0",매출내역!$B$3:$B$3002,$A105,매출내역!$A$3:$A$3002,"&lt;="&amp;($B$3-60),매출내역!$A$3:$A$3002,"&gt;"&amp;($B$3-90)))</f>
        <v/>
      </c>
      <c r="E105" s="15" t="str">
        <f aca="false">IF($A105="","",SUMIFS(매출내역!$I$3:$I$3002,매출내역!$I$3:$I$3002,"&gt;0",매출내역!$B$3:$B$3002,$A105,매출내역!$A$3:$A$3002,"&lt;="&amp;($B$3-90)))</f>
        <v/>
      </c>
      <c r="F105" s="15" t="str">
        <f aca="false">IF($A105="","",SUM($B105:$E105))</f>
        <v/>
      </c>
      <c r="G105" s="26" t="str">
        <f aca="false">IF($A105="","",IF($F$307=0,"",$F105/$F$307))</f>
        <v/>
      </c>
    </row>
    <row r="106" customFormat="false" ht="15" hidden="false" customHeight="true" outlineLevel="0" collapsed="false">
      <c r="A106" s="19" t="str">
        <f aca="false">IF(거래처목록!$A103="","",거래처목록!$A103)</f>
        <v/>
      </c>
      <c r="B106" s="15" t="str">
        <f aca="false">IF($A106="","",SUMIFS(매출내역!$I$3:$I$3002,매출내역!$I$3:$I$3002,"&gt;0",매출내역!$B$3:$B$3002,$A106,매출내역!$A$3:$A$3002,"&gt;"&amp;($B$3-30)))</f>
        <v/>
      </c>
      <c r="C106" s="15" t="str">
        <f aca="false">IF($A106="","",SUMIFS(매출내역!$I$3:$I$3002,매출내역!$I$3:$I$3002,"&gt;0",매출내역!$B$3:$B$3002,$A106,매출내역!$A$3:$A$3002,"&lt;="&amp;($B$3-30),매출내역!$A$3:$A$3002,"&gt;"&amp;($B$3-60)))</f>
        <v/>
      </c>
      <c r="D106" s="15" t="str">
        <f aca="false">IF($A106="","",SUMIFS(매출내역!$I$3:$I$3002,매출내역!$I$3:$I$3002,"&gt;0",매출내역!$B$3:$B$3002,$A106,매출내역!$A$3:$A$3002,"&lt;="&amp;($B$3-60),매출내역!$A$3:$A$3002,"&gt;"&amp;($B$3-90)))</f>
        <v/>
      </c>
      <c r="E106" s="15" t="str">
        <f aca="false">IF($A106="","",SUMIFS(매출내역!$I$3:$I$3002,매출내역!$I$3:$I$3002,"&gt;0",매출내역!$B$3:$B$3002,$A106,매출내역!$A$3:$A$3002,"&lt;="&amp;($B$3-90)))</f>
        <v/>
      </c>
      <c r="F106" s="15" t="str">
        <f aca="false">IF($A106="","",SUM($B106:$E106))</f>
        <v/>
      </c>
      <c r="G106" s="26" t="str">
        <f aca="false">IF($A106="","",IF($F$307=0,"",$F106/$F$307))</f>
        <v/>
      </c>
    </row>
    <row r="107" customFormat="false" ht="15" hidden="false" customHeight="true" outlineLevel="0" collapsed="false">
      <c r="A107" s="19" t="str">
        <f aca="false">IF(거래처목록!$A104="","",거래처목록!$A104)</f>
        <v/>
      </c>
      <c r="B107" s="15" t="str">
        <f aca="false">IF($A107="","",SUMIFS(매출내역!$I$3:$I$3002,매출내역!$I$3:$I$3002,"&gt;0",매출내역!$B$3:$B$3002,$A107,매출내역!$A$3:$A$3002,"&gt;"&amp;($B$3-30)))</f>
        <v/>
      </c>
      <c r="C107" s="15" t="str">
        <f aca="false">IF($A107="","",SUMIFS(매출내역!$I$3:$I$3002,매출내역!$I$3:$I$3002,"&gt;0",매출내역!$B$3:$B$3002,$A107,매출내역!$A$3:$A$3002,"&lt;="&amp;($B$3-30),매출내역!$A$3:$A$3002,"&gt;"&amp;($B$3-60)))</f>
        <v/>
      </c>
      <c r="D107" s="15" t="str">
        <f aca="false">IF($A107="","",SUMIFS(매출내역!$I$3:$I$3002,매출내역!$I$3:$I$3002,"&gt;0",매출내역!$B$3:$B$3002,$A107,매출내역!$A$3:$A$3002,"&lt;="&amp;($B$3-60),매출내역!$A$3:$A$3002,"&gt;"&amp;($B$3-90)))</f>
        <v/>
      </c>
      <c r="E107" s="15" t="str">
        <f aca="false">IF($A107="","",SUMIFS(매출내역!$I$3:$I$3002,매출내역!$I$3:$I$3002,"&gt;0",매출내역!$B$3:$B$3002,$A107,매출내역!$A$3:$A$3002,"&lt;="&amp;($B$3-90)))</f>
        <v/>
      </c>
      <c r="F107" s="15" t="str">
        <f aca="false">IF($A107="","",SUM($B107:$E107))</f>
        <v/>
      </c>
      <c r="G107" s="26" t="str">
        <f aca="false">IF($A107="","",IF($F$307=0,"",$F107/$F$307))</f>
        <v/>
      </c>
    </row>
    <row r="108" customFormat="false" ht="15" hidden="false" customHeight="true" outlineLevel="0" collapsed="false">
      <c r="A108" s="19" t="str">
        <f aca="false">IF(거래처목록!$A105="","",거래처목록!$A105)</f>
        <v/>
      </c>
      <c r="B108" s="15" t="str">
        <f aca="false">IF($A108="","",SUMIFS(매출내역!$I$3:$I$3002,매출내역!$I$3:$I$3002,"&gt;0",매출내역!$B$3:$B$3002,$A108,매출내역!$A$3:$A$3002,"&gt;"&amp;($B$3-30)))</f>
        <v/>
      </c>
      <c r="C108" s="15" t="str">
        <f aca="false">IF($A108="","",SUMIFS(매출내역!$I$3:$I$3002,매출내역!$I$3:$I$3002,"&gt;0",매출내역!$B$3:$B$3002,$A108,매출내역!$A$3:$A$3002,"&lt;="&amp;($B$3-30),매출내역!$A$3:$A$3002,"&gt;"&amp;($B$3-60)))</f>
        <v/>
      </c>
      <c r="D108" s="15" t="str">
        <f aca="false">IF($A108="","",SUMIFS(매출내역!$I$3:$I$3002,매출내역!$I$3:$I$3002,"&gt;0",매출내역!$B$3:$B$3002,$A108,매출내역!$A$3:$A$3002,"&lt;="&amp;($B$3-60),매출내역!$A$3:$A$3002,"&gt;"&amp;($B$3-90)))</f>
        <v/>
      </c>
      <c r="E108" s="15" t="str">
        <f aca="false">IF($A108="","",SUMIFS(매출내역!$I$3:$I$3002,매출내역!$I$3:$I$3002,"&gt;0",매출내역!$B$3:$B$3002,$A108,매출내역!$A$3:$A$3002,"&lt;="&amp;($B$3-90)))</f>
        <v/>
      </c>
      <c r="F108" s="15" t="str">
        <f aca="false">IF($A108="","",SUM($B108:$E108))</f>
        <v/>
      </c>
      <c r="G108" s="26" t="str">
        <f aca="false">IF($A108="","",IF($F$307=0,"",$F108/$F$307))</f>
        <v/>
      </c>
    </row>
    <row r="109" customFormat="false" ht="15" hidden="false" customHeight="true" outlineLevel="0" collapsed="false">
      <c r="A109" s="19" t="str">
        <f aca="false">IF(거래처목록!$A106="","",거래처목록!$A106)</f>
        <v/>
      </c>
      <c r="B109" s="15" t="str">
        <f aca="false">IF($A109="","",SUMIFS(매출내역!$I$3:$I$3002,매출내역!$I$3:$I$3002,"&gt;0",매출내역!$B$3:$B$3002,$A109,매출내역!$A$3:$A$3002,"&gt;"&amp;($B$3-30)))</f>
        <v/>
      </c>
      <c r="C109" s="15" t="str">
        <f aca="false">IF($A109="","",SUMIFS(매출내역!$I$3:$I$3002,매출내역!$I$3:$I$3002,"&gt;0",매출내역!$B$3:$B$3002,$A109,매출내역!$A$3:$A$3002,"&lt;="&amp;($B$3-30),매출내역!$A$3:$A$3002,"&gt;"&amp;($B$3-60)))</f>
        <v/>
      </c>
      <c r="D109" s="15" t="str">
        <f aca="false">IF($A109="","",SUMIFS(매출내역!$I$3:$I$3002,매출내역!$I$3:$I$3002,"&gt;0",매출내역!$B$3:$B$3002,$A109,매출내역!$A$3:$A$3002,"&lt;="&amp;($B$3-60),매출내역!$A$3:$A$3002,"&gt;"&amp;($B$3-90)))</f>
        <v/>
      </c>
      <c r="E109" s="15" t="str">
        <f aca="false">IF($A109="","",SUMIFS(매출내역!$I$3:$I$3002,매출내역!$I$3:$I$3002,"&gt;0",매출내역!$B$3:$B$3002,$A109,매출내역!$A$3:$A$3002,"&lt;="&amp;($B$3-90)))</f>
        <v/>
      </c>
      <c r="F109" s="15" t="str">
        <f aca="false">IF($A109="","",SUM($B109:$E109))</f>
        <v/>
      </c>
      <c r="G109" s="26" t="str">
        <f aca="false">IF($A109="","",IF($F$307=0,"",$F109/$F$307))</f>
        <v/>
      </c>
    </row>
    <row r="110" customFormat="false" ht="15" hidden="false" customHeight="true" outlineLevel="0" collapsed="false">
      <c r="A110" s="19" t="str">
        <f aca="false">IF(거래처목록!$A107="","",거래처목록!$A107)</f>
        <v/>
      </c>
      <c r="B110" s="15" t="str">
        <f aca="false">IF($A110="","",SUMIFS(매출내역!$I$3:$I$3002,매출내역!$I$3:$I$3002,"&gt;0",매출내역!$B$3:$B$3002,$A110,매출내역!$A$3:$A$3002,"&gt;"&amp;($B$3-30)))</f>
        <v/>
      </c>
      <c r="C110" s="15" t="str">
        <f aca="false">IF($A110="","",SUMIFS(매출내역!$I$3:$I$3002,매출내역!$I$3:$I$3002,"&gt;0",매출내역!$B$3:$B$3002,$A110,매출내역!$A$3:$A$3002,"&lt;="&amp;($B$3-30),매출내역!$A$3:$A$3002,"&gt;"&amp;($B$3-60)))</f>
        <v/>
      </c>
      <c r="D110" s="15" t="str">
        <f aca="false">IF($A110="","",SUMIFS(매출내역!$I$3:$I$3002,매출내역!$I$3:$I$3002,"&gt;0",매출내역!$B$3:$B$3002,$A110,매출내역!$A$3:$A$3002,"&lt;="&amp;($B$3-60),매출내역!$A$3:$A$3002,"&gt;"&amp;($B$3-90)))</f>
        <v/>
      </c>
      <c r="E110" s="15" t="str">
        <f aca="false">IF($A110="","",SUMIFS(매출내역!$I$3:$I$3002,매출내역!$I$3:$I$3002,"&gt;0",매출내역!$B$3:$B$3002,$A110,매출내역!$A$3:$A$3002,"&lt;="&amp;($B$3-90)))</f>
        <v/>
      </c>
      <c r="F110" s="15" t="str">
        <f aca="false">IF($A110="","",SUM($B110:$E110))</f>
        <v/>
      </c>
      <c r="G110" s="26" t="str">
        <f aca="false">IF($A110="","",IF($F$307=0,"",$F110/$F$307))</f>
        <v/>
      </c>
    </row>
    <row r="111" customFormat="false" ht="15" hidden="false" customHeight="true" outlineLevel="0" collapsed="false">
      <c r="A111" s="19" t="str">
        <f aca="false">IF(거래처목록!$A108="","",거래처목록!$A108)</f>
        <v/>
      </c>
      <c r="B111" s="15" t="str">
        <f aca="false">IF($A111="","",SUMIFS(매출내역!$I$3:$I$3002,매출내역!$I$3:$I$3002,"&gt;0",매출내역!$B$3:$B$3002,$A111,매출내역!$A$3:$A$3002,"&gt;"&amp;($B$3-30)))</f>
        <v/>
      </c>
      <c r="C111" s="15" t="str">
        <f aca="false">IF($A111="","",SUMIFS(매출내역!$I$3:$I$3002,매출내역!$I$3:$I$3002,"&gt;0",매출내역!$B$3:$B$3002,$A111,매출내역!$A$3:$A$3002,"&lt;="&amp;($B$3-30),매출내역!$A$3:$A$3002,"&gt;"&amp;($B$3-60)))</f>
        <v/>
      </c>
      <c r="D111" s="15" t="str">
        <f aca="false">IF($A111="","",SUMIFS(매출내역!$I$3:$I$3002,매출내역!$I$3:$I$3002,"&gt;0",매출내역!$B$3:$B$3002,$A111,매출내역!$A$3:$A$3002,"&lt;="&amp;($B$3-60),매출내역!$A$3:$A$3002,"&gt;"&amp;($B$3-90)))</f>
        <v/>
      </c>
      <c r="E111" s="15" t="str">
        <f aca="false">IF($A111="","",SUMIFS(매출내역!$I$3:$I$3002,매출내역!$I$3:$I$3002,"&gt;0",매출내역!$B$3:$B$3002,$A111,매출내역!$A$3:$A$3002,"&lt;="&amp;($B$3-90)))</f>
        <v/>
      </c>
      <c r="F111" s="15" t="str">
        <f aca="false">IF($A111="","",SUM($B111:$E111))</f>
        <v/>
      </c>
      <c r="G111" s="26" t="str">
        <f aca="false">IF($A111="","",IF($F$307=0,"",$F111/$F$307))</f>
        <v/>
      </c>
    </row>
    <row r="112" customFormat="false" ht="15" hidden="false" customHeight="true" outlineLevel="0" collapsed="false">
      <c r="A112" s="19" t="str">
        <f aca="false">IF(거래처목록!$A109="","",거래처목록!$A109)</f>
        <v/>
      </c>
      <c r="B112" s="15" t="str">
        <f aca="false">IF($A112="","",SUMIFS(매출내역!$I$3:$I$3002,매출내역!$I$3:$I$3002,"&gt;0",매출내역!$B$3:$B$3002,$A112,매출내역!$A$3:$A$3002,"&gt;"&amp;($B$3-30)))</f>
        <v/>
      </c>
      <c r="C112" s="15" t="str">
        <f aca="false">IF($A112="","",SUMIFS(매출내역!$I$3:$I$3002,매출내역!$I$3:$I$3002,"&gt;0",매출내역!$B$3:$B$3002,$A112,매출내역!$A$3:$A$3002,"&lt;="&amp;($B$3-30),매출내역!$A$3:$A$3002,"&gt;"&amp;($B$3-60)))</f>
        <v/>
      </c>
      <c r="D112" s="15" t="str">
        <f aca="false">IF($A112="","",SUMIFS(매출내역!$I$3:$I$3002,매출내역!$I$3:$I$3002,"&gt;0",매출내역!$B$3:$B$3002,$A112,매출내역!$A$3:$A$3002,"&lt;="&amp;($B$3-60),매출내역!$A$3:$A$3002,"&gt;"&amp;($B$3-90)))</f>
        <v/>
      </c>
      <c r="E112" s="15" t="str">
        <f aca="false">IF($A112="","",SUMIFS(매출내역!$I$3:$I$3002,매출내역!$I$3:$I$3002,"&gt;0",매출내역!$B$3:$B$3002,$A112,매출내역!$A$3:$A$3002,"&lt;="&amp;($B$3-90)))</f>
        <v/>
      </c>
      <c r="F112" s="15" t="str">
        <f aca="false">IF($A112="","",SUM($B112:$E112))</f>
        <v/>
      </c>
      <c r="G112" s="26" t="str">
        <f aca="false">IF($A112="","",IF($F$307=0,"",$F112/$F$307))</f>
        <v/>
      </c>
    </row>
    <row r="113" customFormat="false" ht="15" hidden="false" customHeight="true" outlineLevel="0" collapsed="false">
      <c r="A113" s="19" t="str">
        <f aca="false">IF(거래처목록!$A110="","",거래처목록!$A110)</f>
        <v/>
      </c>
      <c r="B113" s="15" t="str">
        <f aca="false">IF($A113="","",SUMIFS(매출내역!$I$3:$I$3002,매출내역!$I$3:$I$3002,"&gt;0",매출내역!$B$3:$B$3002,$A113,매출내역!$A$3:$A$3002,"&gt;"&amp;($B$3-30)))</f>
        <v/>
      </c>
      <c r="C113" s="15" t="str">
        <f aca="false">IF($A113="","",SUMIFS(매출내역!$I$3:$I$3002,매출내역!$I$3:$I$3002,"&gt;0",매출내역!$B$3:$B$3002,$A113,매출내역!$A$3:$A$3002,"&lt;="&amp;($B$3-30),매출내역!$A$3:$A$3002,"&gt;"&amp;($B$3-60)))</f>
        <v/>
      </c>
      <c r="D113" s="15" t="str">
        <f aca="false">IF($A113="","",SUMIFS(매출내역!$I$3:$I$3002,매출내역!$I$3:$I$3002,"&gt;0",매출내역!$B$3:$B$3002,$A113,매출내역!$A$3:$A$3002,"&lt;="&amp;($B$3-60),매출내역!$A$3:$A$3002,"&gt;"&amp;($B$3-90)))</f>
        <v/>
      </c>
      <c r="E113" s="15" t="str">
        <f aca="false">IF($A113="","",SUMIFS(매출내역!$I$3:$I$3002,매출내역!$I$3:$I$3002,"&gt;0",매출내역!$B$3:$B$3002,$A113,매출내역!$A$3:$A$3002,"&lt;="&amp;($B$3-90)))</f>
        <v/>
      </c>
      <c r="F113" s="15" t="str">
        <f aca="false">IF($A113="","",SUM($B113:$E113))</f>
        <v/>
      </c>
      <c r="G113" s="26" t="str">
        <f aca="false">IF($A113="","",IF($F$307=0,"",$F113/$F$307))</f>
        <v/>
      </c>
    </row>
    <row r="114" customFormat="false" ht="15" hidden="false" customHeight="true" outlineLevel="0" collapsed="false">
      <c r="A114" s="19" t="str">
        <f aca="false">IF(거래처목록!$A111="","",거래처목록!$A111)</f>
        <v/>
      </c>
      <c r="B114" s="15" t="str">
        <f aca="false">IF($A114="","",SUMIFS(매출내역!$I$3:$I$3002,매출내역!$I$3:$I$3002,"&gt;0",매출내역!$B$3:$B$3002,$A114,매출내역!$A$3:$A$3002,"&gt;"&amp;($B$3-30)))</f>
        <v/>
      </c>
      <c r="C114" s="15" t="str">
        <f aca="false">IF($A114="","",SUMIFS(매출내역!$I$3:$I$3002,매출내역!$I$3:$I$3002,"&gt;0",매출내역!$B$3:$B$3002,$A114,매출내역!$A$3:$A$3002,"&lt;="&amp;($B$3-30),매출내역!$A$3:$A$3002,"&gt;"&amp;($B$3-60)))</f>
        <v/>
      </c>
      <c r="D114" s="15" t="str">
        <f aca="false">IF($A114="","",SUMIFS(매출내역!$I$3:$I$3002,매출내역!$I$3:$I$3002,"&gt;0",매출내역!$B$3:$B$3002,$A114,매출내역!$A$3:$A$3002,"&lt;="&amp;($B$3-60),매출내역!$A$3:$A$3002,"&gt;"&amp;($B$3-90)))</f>
        <v/>
      </c>
      <c r="E114" s="15" t="str">
        <f aca="false">IF($A114="","",SUMIFS(매출내역!$I$3:$I$3002,매출내역!$I$3:$I$3002,"&gt;0",매출내역!$B$3:$B$3002,$A114,매출내역!$A$3:$A$3002,"&lt;="&amp;($B$3-90)))</f>
        <v/>
      </c>
      <c r="F114" s="15" t="str">
        <f aca="false">IF($A114="","",SUM($B114:$E114))</f>
        <v/>
      </c>
      <c r="G114" s="26" t="str">
        <f aca="false">IF($A114="","",IF($F$307=0,"",$F114/$F$307))</f>
        <v/>
      </c>
    </row>
    <row r="115" customFormat="false" ht="15" hidden="false" customHeight="true" outlineLevel="0" collapsed="false">
      <c r="A115" s="19" t="str">
        <f aca="false">IF(거래처목록!$A112="","",거래처목록!$A112)</f>
        <v/>
      </c>
      <c r="B115" s="15" t="str">
        <f aca="false">IF($A115="","",SUMIFS(매출내역!$I$3:$I$3002,매출내역!$I$3:$I$3002,"&gt;0",매출내역!$B$3:$B$3002,$A115,매출내역!$A$3:$A$3002,"&gt;"&amp;($B$3-30)))</f>
        <v/>
      </c>
      <c r="C115" s="15" t="str">
        <f aca="false">IF($A115="","",SUMIFS(매출내역!$I$3:$I$3002,매출내역!$I$3:$I$3002,"&gt;0",매출내역!$B$3:$B$3002,$A115,매출내역!$A$3:$A$3002,"&lt;="&amp;($B$3-30),매출내역!$A$3:$A$3002,"&gt;"&amp;($B$3-60)))</f>
        <v/>
      </c>
      <c r="D115" s="15" t="str">
        <f aca="false">IF($A115="","",SUMIFS(매출내역!$I$3:$I$3002,매출내역!$I$3:$I$3002,"&gt;0",매출내역!$B$3:$B$3002,$A115,매출내역!$A$3:$A$3002,"&lt;="&amp;($B$3-60),매출내역!$A$3:$A$3002,"&gt;"&amp;($B$3-90)))</f>
        <v/>
      </c>
      <c r="E115" s="15" t="str">
        <f aca="false">IF($A115="","",SUMIFS(매출내역!$I$3:$I$3002,매출내역!$I$3:$I$3002,"&gt;0",매출내역!$B$3:$B$3002,$A115,매출내역!$A$3:$A$3002,"&lt;="&amp;($B$3-90)))</f>
        <v/>
      </c>
      <c r="F115" s="15" t="str">
        <f aca="false">IF($A115="","",SUM($B115:$E115))</f>
        <v/>
      </c>
      <c r="G115" s="26" t="str">
        <f aca="false">IF($A115="","",IF($F$307=0,"",$F115/$F$307))</f>
        <v/>
      </c>
    </row>
    <row r="116" customFormat="false" ht="15" hidden="false" customHeight="true" outlineLevel="0" collapsed="false">
      <c r="A116" s="19" t="str">
        <f aca="false">IF(거래처목록!$A113="","",거래처목록!$A113)</f>
        <v/>
      </c>
      <c r="B116" s="15" t="str">
        <f aca="false">IF($A116="","",SUMIFS(매출내역!$I$3:$I$3002,매출내역!$I$3:$I$3002,"&gt;0",매출내역!$B$3:$B$3002,$A116,매출내역!$A$3:$A$3002,"&gt;"&amp;($B$3-30)))</f>
        <v/>
      </c>
      <c r="C116" s="15" t="str">
        <f aca="false">IF($A116="","",SUMIFS(매출내역!$I$3:$I$3002,매출내역!$I$3:$I$3002,"&gt;0",매출내역!$B$3:$B$3002,$A116,매출내역!$A$3:$A$3002,"&lt;="&amp;($B$3-30),매출내역!$A$3:$A$3002,"&gt;"&amp;($B$3-60)))</f>
        <v/>
      </c>
      <c r="D116" s="15" t="str">
        <f aca="false">IF($A116="","",SUMIFS(매출내역!$I$3:$I$3002,매출내역!$I$3:$I$3002,"&gt;0",매출내역!$B$3:$B$3002,$A116,매출내역!$A$3:$A$3002,"&lt;="&amp;($B$3-60),매출내역!$A$3:$A$3002,"&gt;"&amp;($B$3-90)))</f>
        <v/>
      </c>
      <c r="E116" s="15" t="str">
        <f aca="false">IF($A116="","",SUMIFS(매출내역!$I$3:$I$3002,매출내역!$I$3:$I$3002,"&gt;0",매출내역!$B$3:$B$3002,$A116,매출내역!$A$3:$A$3002,"&lt;="&amp;($B$3-90)))</f>
        <v/>
      </c>
      <c r="F116" s="15" t="str">
        <f aca="false">IF($A116="","",SUM($B116:$E116))</f>
        <v/>
      </c>
      <c r="G116" s="26" t="str">
        <f aca="false">IF($A116="","",IF($F$307=0,"",$F116/$F$307))</f>
        <v/>
      </c>
    </row>
    <row r="117" customFormat="false" ht="15" hidden="false" customHeight="true" outlineLevel="0" collapsed="false">
      <c r="A117" s="19" t="str">
        <f aca="false">IF(거래처목록!$A114="","",거래처목록!$A114)</f>
        <v/>
      </c>
      <c r="B117" s="15" t="str">
        <f aca="false">IF($A117="","",SUMIFS(매출내역!$I$3:$I$3002,매출내역!$I$3:$I$3002,"&gt;0",매출내역!$B$3:$B$3002,$A117,매출내역!$A$3:$A$3002,"&gt;"&amp;($B$3-30)))</f>
        <v/>
      </c>
      <c r="C117" s="15" t="str">
        <f aca="false">IF($A117="","",SUMIFS(매출내역!$I$3:$I$3002,매출내역!$I$3:$I$3002,"&gt;0",매출내역!$B$3:$B$3002,$A117,매출내역!$A$3:$A$3002,"&lt;="&amp;($B$3-30),매출내역!$A$3:$A$3002,"&gt;"&amp;($B$3-60)))</f>
        <v/>
      </c>
      <c r="D117" s="15" t="str">
        <f aca="false">IF($A117="","",SUMIFS(매출내역!$I$3:$I$3002,매출내역!$I$3:$I$3002,"&gt;0",매출내역!$B$3:$B$3002,$A117,매출내역!$A$3:$A$3002,"&lt;="&amp;($B$3-60),매출내역!$A$3:$A$3002,"&gt;"&amp;($B$3-90)))</f>
        <v/>
      </c>
      <c r="E117" s="15" t="str">
        <f aca="false">IF($A117="","",SUMIFS(매출내역!$I$3:$I$3002,매출내역!$I$3:$I$3002,"&gt;0",매출내역!$B$3:$B$3002,$A117,매출내역!$A$3:$A$3002,"&lt;="&amp;($B$3-90)))</f>
        <v/>
      </c>
      <c r="F117" s="15" t="str">
        <f aca="false">IF($A117="","",SUM($B117:$E117))</f>
        <v/>
      </c>
      <c r="G117" s="26" t="str">
        <f aca="false">IF($A117="","",IF($F$307=0,"",$F117/$F$307))</f>
        <v/>
      </c>
    </row>
    <row r="118" customFormat="false" ht="15" hidden="false" customHeight="true" outlineLevel="0" collapsed="false">
      <c r="A118" s="19" t="str">
        <f aca="false">IF(거래처목록!$A115="","",거래처목록!$A115)</f>
        <v/>
      </c>
      <c r="B118" s="15" t="str">
        <f aca="false">IF($A118="","",SUMIFS(매출내역!$I$3:$I$3002,매출내역!$I$3:$I$3002,"&gt;0",매출내역!$B$3:$B$3002,$A118,매출내역!$A$3:$A$3002,"&gt;"&amp;($B$3-30)))</f>
        <v/>
      </c>
      <c r="C118" s="15" t="str">
        <f aca="false">IF($A118="","",SUMIFS(매출내역!$I$3:$I$3002,매출내역!$I$3:$I$3002,"&gt;0",매출내역!$B$3:$B$3002,$A118,매출내역!$A$3:$A$3002,"&lt;="&amp;($B$3-30),매출내역!$A$3:$A$3002,"&gt;"&amp;($B$3-60)))</f>
        <v/>
      </c>
      <c r="D118" s="15" t="str">
        <f aca="false">IF($A118="","",SUMIFS(매출내역!$I$3:$I$3002,매출내역!$I$3:$I$3002,"&gt;0",매출내역!$B$3:$B$3002,$A118,매출내역!$A$3:$A$3002,"&lt;="&amp;($B$3-60),매출내역!$A$3:$A$3002,"&gt;"&amp;($B$3-90)))</f>
        <v/>
      </c>
      <c r="E118" s="15" t="str">
        <f aca="false">IF($A118="","",SUMIFS(매출내역!$I$3:$I$3002,매출내역!$I$3:$I$3002,"&gt;0",매출내역!$B$3:$B$3002,$A118,매출내역!$A$3:$A$3002,"&lt;="&amp;($B$3-90)))</f>
        <v/>
      </c>
      <c r="F118" s="15" t="str">
        <f aca="false">IF($A118="","",SUM($B118:$E118))</f>
        <v/>
      </c>
      <c r="G118" s="26" t="str">
        <f aca="false">IF($A118="","",IF($F$307=0,"",$F118/$F$307))</f>
        <v/>
      </c>
    </row>
    <row r="119" customFormat="false" ht="15" hidden="false" customHeight="true" outlineLevel="0" collapsed="false">
      <c r="A119" s="19" t="str">
        <f aca="false">IF(거래처목록!$A116="","",거래처목록!$A116)</f>
        <v/>
      </c>
      <c r="B119" s="15" t="str">
        <f aca="false">IF($A119="","",SUMIFS(매출내역!$I$3:$I$3002,매출내역!$I$3:$I$3002,"&gt;0",매출내역!$B$3:$B$3002,$A119,매출내역!$A$3:$A$3002,"&gt;"&amp;($B$3-30)))</f>
        <v/>
      </c>
      <c r="C119" s="15" t="str">
        <f aca="false">IF($A119="","",SUMIFS(매출내역!$I$3:$I$3002,매출내역!$I$3:$I$3002,"&gt;0",매출내역!$B$3:$B$3002,$A119,매출내역!$A$3:$A$3002,"&lt;="&amp;($B$3-30),매출내역!$A$3:$A$3002,"&gt;"&amp;($B$3-60)))</f>
        <v/>
      </c>
      <c r="D119" s="15" t="str">
        <f aca="false">IF($A119="","",SUMIFS(매출내역!$I$3:$I$3002,매출내역!$I$3:$I$3002,"&gt;0",매출내역!$B$3:$B$3002,$A119,매출내역!$A$3:$A$3002,"&lt;="&amp;($B$3-60),매출내역!$A$3:$A$3002,"&gt;"&amp;($B$3-90)))</f>
        <v/>
      </c>
      <c r="E119" s="15" t="str">
        <f aca="false">IF($A119="","",SUMIFS(매출내역!$I$3:$I$3002,매출내역!$I$3:$I$3002,"&gt;0",매출내역!$B$3:$B$3002,$A119,매출내역!$A$3:$A$3002,"&lt;="&amp;($B$3-90)))</f>
        <v/>
      </c>
      <c r="F119" s="15" t="str">
        <f aca="false">IF($A119="","",SUM($B119:$E119))</f>
        <v/>
      </c>
      <c r="G119" s="26" t="str">
        <f aca="false">IF($A119="","",IF($F$307=0,"",$F119/$F$307))</f>
        <v/>
      </c>
    </row>
    <row r="120" customFormat="false" ht="15" hidden="false" customHeight="true" outlineLevel="0" collapsed="false">
      <c r="A120" s="19" t="str">
        <f aca="false">IF(거래처목록!$A117="","",거래처목록!$A117)</f>
        <v/>
      </c>
      <c r="B120" s="15" t="str">
        <f aca="false">IF($A120="","",SUMIFS(매출내역!$I$3:$I$3002,매출내역!$I$3:$I$3002,"&gt;0",매출내역!$B$3:$B$3002,$A120,매출내역!$A$3:$A$3002,"&gt;"&amp;($B$3-30)))</f>
        <v/>
      </c>
      <c r="C120" s="15" t="str">
        <f aca="false">IF($A120="","",SUMIFS(매출내역!$I$3:$I$3002,매출내역!$I$3:$I$3002,"&gt;0",매출내역!$B$3:$B$3002,$A120,매출내역!$A$3:$A$3002,"&lt;="&amp;($B$3-30),매출내역!$A$3:$A$3002,"&gt;"&amp;($B$3-60)))</f>
        <v/>
      </c>
      <c r="D120" s="15" t="str">
        <f aca="false">IF($A120="","",SUMIFS(매출내역!$I$3:$I$3002,매출내역!$I$3:$I$3002,"&gt;0",매출내역!$B$3:$B$3002,$A120,매출내역!$A$3:$A$3002,"&lt;="&amp;($B$3-60),매출내역!$A$3:$A$3002,"&gt;"&amp;($B$3-90)))</f>
        <v/>
      </c>
      <c r="E120" s="15" t="str">
        <f aca="false">IF($A120="","",SUMIFS(매출내역!$I$3:$I$3002,매출내역!$I$3:$I$3002,"&gt;0",매출내역!$B$3:$B$3002,$A120,매출내역!$A$3:$A$3002,"&lt;="&amp;($B$3-90)))</f>
        <v/>
      </c>
      <c r="F120" s="15" t="str">
        <f aca="false">IF($A120="","",SUM($B120:$E120))</f>
        <v/>
      </c>
      <c r="G120" s="26" t="str">
        <f aca="false">IF($A120="","",IF($F$307=0,"",$F120/$F$307))</f>
        <v/>
      </c>
    </row>
    <row r="121" customFormat="false" ht="15" hidden="false" customHeight="true" outlineLevel="0" collapsed="false">
      <c r="A121" s="19" t="str">
        <f aca="false">IF(거래처목록!$A118="","",거래처목록!$A118)</f>
        <v/>
      </c>
      <c r="B121" s="15" t="str">
        <f aca="false">IF($A121="","",SUMIFS(매출내역!$I$3:$I$3002,매출내역!$I$3:$I$3002,"&gt;0",매출내역!$B$3:$B$3002,$A121,매출내역!$A$3:$A$3002,"&gt;"&amp;($B$3-30)))</f>
        <v/>
      </c>
      <c r="C121" s="15" t="str">
        <f aca="false">IF($A121="","",SUMIFS(매출내역!$I$3:$I$3002,매출내역!$I$3:$I$3002,"&gt;0",매출내역!$B$3:$B$3002,$A121,매출내역!$A$3:$A$3002,"&lt;="&amp;($B$3-30),매출내역!$A$3:$A$3002,"&gt;"&amp;($B$3-60)))</f>
        <v/>
      </c>
      <c r="D121" s="15" t="str">
        <f aca="false">IF($A121="","",SUMIFS(매출내역!$I$3:$I$3002,매출내역!$I$3:$I$3002,"&gt;0",매출내역!$B$3:$B$3002,$A121,매출내역!$A$3:$A$3002,"&lt;="&amp;($B$3-60),매출내역!$A$3:$A$3002,"&gt;"&amp;($B$3-90)))</f>
        <v/>
      </c>
      <c r="E121" s="15" t="str">
        <f aca="false">IF($A121="","",SUMIFS(매출내역!$I$3:$I$3002,매출내역!$I$3:$I$3002,"&gt;0",매출내역!$B$3:$B$3002,$A121,매출내역!$A$3:$A$3002,"&lt;="&amp;($B$3-90)))</f>
        <v/>
      </c>
      <c r="F121" s="15" t="str">
        <f aca="false">IF($A121="","",SUM($B121:$E121))</f>
        <v/>
      </c>
      <c r="G121" s="26" t="str">
        <f aca="false">IF($A121="","",IF($F$307=0,"",$F121/$F$307))</f>
        <v/>
      </c>
    </row>
    <row r="122" customFormat="false" ht="15" hidden="false" customHeight="true" outlineLevel="0" collapsed="false">
      <c r="A122" s="19" t="str">
        <f aca="false">IF(거래처목록!$A119="","",거래처목록!$A119)</f>
        <v/>
      </c>
      <c r="B122" s="15" t="str">
        <f aca="false">IF($A122="","",SUMIFS(매출내역!$I$3:$I$3002,매출내역!$I$3:$I$3002,"&gt;0",매출내역!$B$3:$B$3002,$A122,매출내역!$A$3:$A$3002,"&gt;"&amp;($B$3-30)))</f>
        <v/>
      </c>
      <c r="C122" s="15" t="str">
        <f aca="false">IF($A122="","",SUMIFS(매출내역!$I$3:$I$3002,매출내역!$I$3:$I$3002,"&gt;0",매출내역!$B$3:$B$3002,$A122,매출내역!$A$3:$A$3002,"&lt;="&amp;($B$3-30),매출내역!$A$3:$A$3002,"&gt;"&amp;($B$3-60)))</f>
        <v/>
      </c>
      <c r="D122" s="15" t="str">
        <f aca="false">IF($A122="","",SUMIFS(매출내역!$I$3:$I$3002,매출내역!$I$3:$I$3002,"&gt;0",매출내역!$B$3:$B$3002,$A122,매출내역!$A$3:$A$3002,"&lt;="&amp;($B$3-60),매출내역!$A$3:$A$3002,"&gt;"&amp;($B$3-90)))</f>
        <v/>
      </c>
      <c r="E122" s="15" t="str">
        <f aca="false">IF($A122="","",SUMIFS(매출내역!$I$3:$I$3002,매출내역!$I$3:$I$3002,"&gt;0",매출내역!$B$3:$B$3002,$A122,매출내역!$A$3:$A$3002,"&lt;="&amp;($B$3-90)))</f>
        <v/>
      </c>
      <c r="F122" s="15" t="str">
        <f aca="false">IF($A122="","",SUM($B122:$E122))</f>
        <v/>
      </c>
      <c r="G122" s="26" t="str">
        <f aca="false">IF($A122="","",IF($F$307=0,"",$F122/$F$307))</f>
        <v/>
      </c>
    </row>
    <row r="123" customFormat="false" ht="15" hidden="false" customHeight="true" outlineLevel="0" collapsed="false">
      <c r="A123" s="19" t="str">
        <f aca="false">IF(거래처목록!$A120="","",거래처목록!$A120)</f>
        <v/>
      </c>
      <c r="B123" s="15" t="str">
        <f aca="false">IF($A123="","",SUMIFS(매출내역!$I$3:$I$3002,매출내역!$I$3:$I$3002,"&gt;0",매출내역!$B$3:$B$3002,$A123,매출내역!$A$3:$A$3002,"&gt;"&amp;($B$3-30)))</f>
        <v/>
      </c>
      <c r="C123" s="15" t="str">
        <f aca="false">IF($A123="","",SUMIFS(매출내역!$I$3:$I$3002,매출내역!$I$3:$I$3002,"&gt;0",매출내역!$B$3:$B$3002,$A123,매출내역!$A$3:$A$3002,"&lt;="&amp;($B$3-30),매출내역!$A$3:$A$3002,"&gt;"&amp;($B$3-60)))</f>
        <v/>
      </c>
      <c r="D123" s="15" t="str">
        <f aca="false">IF($A123="","",SUMIFS(매출내역!$I$3:$I$3002,매출내역!$I$3:$I$3002,"&gt;0",매출내역!$B$3:$B$3002,$A123,매출내역!$A$3:$A$3002,"&lt;="&amp;($B$3-60),매출내역!$A$3:$A$3002,"&gt;"&amp;($B$3-90)))</f>
        <v/>
      </c>
      <c r="E123" s="15" t="str">
        <f aca="false">IF($A123="","",SUMIFS(매출내역!$I$3:$I$3002,매출내역!$I$3:$I$3002,"&gt;0",매출내역!$B$3:$B$3002,$A123,매출내역!$A$3:$A$3002,"&lt;="&amp;($B$3-90)))</f>
        <v/>
      </c>
      <c r="F123" s="15" t="str">
        <f aca="false">IF($A123="","",SUM($B123:$E123))</f>
        <v/>
      </c>
      <c r="G123" s="26" t="str">
        <f aca="false">IF($A123="","",IF($F$307=0,"",$F123/$F$307))</f>
        <v/>
      </c>
    </row>
    <row r="124" customFormat="false" ht="15" hidden="false" customHeight="true" outlineLevel="0" collapsed="false">
      <c r="A124" s="19" t="str">
        <f aca="false">IF(거래처목록!$A121="","",거래처목록!$A121)</f>
        <v/>
      </c>
      <c r="B124" s="15" t="str">
        <f aca="false">IF($A124="","",SUMIFS(매출내역!$I$3:$I$3002,매출내역!$I$3:$I$3002,"&gt;0",매출내역!$B$3:$B$3002,$A124,매출내역!$A$3:$A$3002,"&gt;"&amp;($B$3-30)))</f>
        <v/>
      </c>
      <c r="C124" s="15" t="str">
        <f aca="false">IF($A124="","",SUMIFS(매출내역!$I$3:$I$3002,매출내역!$I$3:$I$3002,"&gt;0",매출내역!$B$3:$B$3002,$A124,매출내역!$A$3:$A$3002,"&lt;="&amp;($B$3-30),매출내역!$A$3:$A$3002,"&gt;"&amp;($B$3-60)))</f>
        <v/>
      </c>
      <c r="D124" s="15" t="str">
        <f aca="false">IF($A124="","",SUMIFS(매출내역!$I$3:$I$3002,매출내역!$I$3:$I$3002,"&gt;0",매출내역!$B$3:$B$3002,$A124,매출내역!$A$3:$A$3002,"&lt;="&amp;($B$3-60),매출내역!$A$3:$A$3002,"&gt;"&amp;($B$3-90)))</f>
        <v/>
      </c>
      <c r="E124" s="15" t="str">
        <f aca="false">IF($A124="","",SUMIFS(매출내역!$I$3:$I$3002,매출내역!$I$3:$I$3002,"&gt;0",매출내역!$B$3:$B$3002,$A124,매출내역!$A$3:$A$3002,"&lt;="&amp;($B$3-90)))</f>
        <v/>
      </c>
      <c r="F124" s="15" t="str">
        <f aca="false">IF($A124="","",SUM($B124:$E124))</f>
        <v/>
      </c>
      <c r="G124" s="26" t="str">
        <f aca="false">IF($A124="","",IF($F$307=0,"",$F124/$F$307))</f>
        <v/>
      </c>
    </row>
    <row r="125" customFormat="false" ht="15" hidden="false" customHeight="true" outlineLevel="0" collapsed="false">
      <c r="A125" s="19" t="str">
        <f aca="false">IF(거래처목록!$A122="","",거래처목록!$A122)</f>
        <v/>
      </c>
      <c r="B125" s="15" t="str">
        <f aca="false">IF($A125="","",SUMIFS(매출내역!$I$3:$I$3002,매출내역!$I$3:$I$3002,"&gt;0",매출내역!$B$3:$B$3002,$A125,매출내역!$A$3:$A$3002,"&gt;"&amp;($B$3-30)))</f>
        <v/>
      </c>
      <c r="C125" s="15" t="str">
        <f aca="false">IF($A125="","",SUMIFS(매출내역!$I$3:$I$3002,매출내역!$I$3:$I$3002,"&gt;0",매출내역!$B$3:$B$3002,$A125,매출내역!$A$3:$A$3002,"&lt;="&amp;($B$3-30),매출내역!$A$3:$A$3002,"&gt;"&amp;($B$3-60)))</f>
        <v/>
      </c>
      <c r="D125" s="15" t="str">
        <f aca="false">IF($A125="","",SUMIFS(매출내역!$I$3:$I$3002,매출내역!$I$3:$I$3002,"&gt;0",매출내역!$B$3:$B$3002,$A125,매출내역!$A$3:$A$3002,"&lt;="&amp;($B$3-60),매출내역!$A$3:$A$3002,"&gt;"&amp;($B$3-90)))</f>
        <v/>
      </c>
      <c r="E125" s="15" t="str">
        <f aca="false">IF($A125="","",SUMIFS(매출내역!$I$3:$I$3002,매출내역!$I$3:$I$3002,"&gt;0",매출내역!$B$3:$B$3002,$A125,매출내역!$A$3:$A$3002,"&lt;="&amp;($B$3-90)))</f>
        <v/>
      </c>
      <c r="F125" s="15" t="str">
        <f aca="false">IF($A125="","",SUM($B125:$E125))</f>
        <v/>
      </c>
      <c r="G125" s="26" t="str">
        <f aca="false">IF($A125="","",IF($F$307=0,"",$F125/$F$307))</f>
        <v/>
      </c>
    </row>
    <row r="126" customFormat="false" ht="15" hidden="false" customHeight="true" outlineLevel="0" collapsed="false">
      <c r="A126" s="19" t="str">
        <f aca="false">IF(거래처목록!$A123="","",거래처목록!$A123)</f>
        <v/>
      </c>
      <c r="B126" s="15" t="str">
        <f aca="false">IF($A126="","",SUMIFS(매출내역!$I$3:$I$3002,매출내역!$I$3:$I$3002,"&gt;0",매출내역!$B$3:$B$3002,$A126,매출내역!$A$3:$A$3002,"&gt;"&amp;($B$3-30)))</f>
        <v/>
      </c>
      <c r="C126" s="15" t="str">
        <f aca="false">IF($A126="","",SUMIFS(매출내역!$I$3:$I$3002,매출내역!$I$3:$I$3002,"&gt;0",매출내역!$B$3:$B$3002,$A126,매출내역!$A$3:$A$3002,"&lt;="&amp;($B$3-30),매출내역!$A$3:$A$3002,"&gt;"&amp;($B$3-60)))</f>
        <v/>
      </c>
      <c r="D126" s="15" t="str">
        <f aca="false">IF($A126="","",SUMIFS(매출내역!$I$3:$I$3002,매출내역!$I$3:$I$3002,"&gt;0",매출내역!$B$3:$B$3002,$A126,매출내역!$A$3:$A$3002,"&lt;="&amp;($B$3-60),매출내역!$A$3:$A$3002,"&gt;"&amp;($B$3-90)))</f>
        <v/>
      </c>
      <c r="E126" s="15" t="str">
        <f aca="false">IF($A126="","",SUMIFS(매출내역!$I$3:$I$3002,매출내역!$I$3:$I$3002,"&gt;0",매출내역!$B$3:$B$3002,$A126,매출내역!$A$3:$A$3002,"&lt;="&amp;($B$3-90)))</f>
        <v/>
      </c>
      <c r="F126" s="15" t="str">
        <f aca="false">IF($A126="","",SUM($B126:$E126))</f>
        <v/>
      </c>
      <c r="G126" s="26" t="str">
        <f aca="false">IF($A126="","",IF($F$307=0,"",$F126/$F$307))</f>
        <v/>
      </c>
    </row>
    <row r="127" customFormat="false" ht="15" hidden="false" customHeight="true" outlineLevel="0" collapsed="false">
      <c r="A127" s="19" t="str">
        <f aca="false">IF(거래처목록!$A124="","",거래처목록!$A124)</f>
        <v/>
      </c>
      <c r="B127" s="15" t="str">
        <f aca="false">IF($A127="","",SUMIFS(매출내역!$I$3:$I$3002,매출내역!$I$3:$I$3002,"&gt;0",매출내역!$B$3:$B$3002,$A127,매출내역!$A$3:$A$3002,"&gt;"&amp;($B$3-30)))</f>
        <v/>
      </c>
      <c r="C127" s="15" t="str">
        <f aca="false">IF($A127="","",SUMIFS(매출내역!$I$3:$I$3002,매출내역!$I$3:$I$3002,"&gt;0",매출내역!$B$3:$B$3002,$A127,매출내역!$A$3:$A$3002,"&lt;="&amp;($B$3-30),매출내역!$A$3:$A$3002,"&gt;"&amp;($B$3-60)))</f>
        <v/>
      </c>
      <c r="D127" s="15" t="str">
        <f aca="false">IF($A127="","",SUMIFS(매출내역!$I$3:$I$3002,매출내역!$I$3:$I$3002,"&gt;0",매출내역!$B$3:$B$3002,$A127,매출내역!$A$3:$A$3002,"&lt;="&amp;($B$3-60),매출내역!$A$3:$A$3002,"&gt;"&amp;($B$3-90)))</f>
        <v/>
      </c>
      <c r="E127" s="15" t="str">
        <f aca="false">IF($A127="","",SUMIFS(매출내역!$I$3:$I$3002,매출내역!$I$3:$I$3002,"&gt;0",매출내역!$B$3:$B$3002,$A127,매출내역!$A$3:$A$3002,"&lt;="&amp;($B$3-90)))</f>
        <v/>
      </c>
      <c r="F127" s="15" t="str">
        <f aca="false">IF($A127="","",SUM($B127:$E127))</f>
        <v/>
      </c>
      <c r="G127" s="26" t="str">
        <f aca="false">IF($A127="","",IF($F$307=0,"",$F127/$F$307))</f>
        <v/>
      </c>
    </row>
    <row r="128" customFormat="false" ht="15" hidden="false" customHeight="true" outlineLevel="0" collapsed="false">
      <c r="A128" s="19" t="str">
        <f aca="false">IF(거래처목록!$A125="","",거래처목록!$A125)</f>
        <v/>
      </c>
      <c r="B128" s="15" t="str">
        <f aca="false">IF($A128="","",SUMIFS(매출내역!$I$3:$I$3002,매출내역!$I$3:$I$3002,"&gt;0",매출내역!$B$3:$B$3002,$A128,매출내역!$A$3:$A$3002,"&gt;"&amp;($B$3-30)))</f>
        <v/>
      </c>
      <c r="C128" s="15" t="str">
        <f aca="false">IF($A128="","",SUMIFS(매출내역!$I$3:$I$3002,매출내역!$I$3:$I$3002,"&gt;0",매출내역!$B$3:$B$3002,$A128,매출내역!$A$3:$A$3002,"&lt;="&amp;($B$3-30),매출내역!$A$3:$A$3002,"&gt;"&amp;($B$3-60)))</f>
        <v/>
      </c>
      <c r="D128" s="15" t="str">
        <f aca="false">IF($A128="","",SUMIFS(매출내역!$I$3:$I$3002,매출내역!$I$3:$I$3002,"&gt;0",매출내역!$B$3:$B$3002,$A128,매출내역!$A$3:$A$3002,"&lt;="&amp;($B$3-60),매출내역!$A$3:$A$3002,"&gt;"&amp;($B$3-90)))</f>
        <v/>
      </c>
      <c r="E128" s="15" t="str">
        <f aca="false">IF($A128="","",SUMIFS(매출내역!$I$3:$I$3002,매출내역!$I$3:$I$3002,"&gt;0",매출내역!$B$3:$B$3002,$A128,매출내역!$A$3:$A$3002,"&lt;="&amp;($B$3-90)))</f>
        <v/>
      </c>
      <c r="F128" s="15" t="str">
        <f aca="false">IF($A128="","",SUM($B128:$E128))</f>
        <v/>
      </c>
      <c r="G128" s="26" t="str">
        <f aca="false">IF($A128="","",IF($F$307=0,"",$F128/$F$307))</f>
        <v/>
      </c>
    </row>
    <row r="129" customFormat="false" ht="15" hidden="false" customHeight="true" outlineLevel="0" collapsed="false">
      <c r="A129" s="19" t="str">
        <f aca="false">IF(거래처목록!$A126="","",거래처목록!$A126)</f>
        <v/>
      </c>
      <c r="B129" s="15" t="str">
        <f aca="false">IF($A129="","",SUMIFS(매출내역!$I$3:$I$3002,매출내역!$I$3:$I$3002,"&gt;0",매출내역!$B$3:$B$3002,$A129,매출내역!$A$3:$A$3002,"&gt;"&amp;($B$3-30)))</f>
        <v/>
      </c>
      <c r="C129" s="15" t="str">
        <f aca="false">IF($A129="","",SUMIFS(매출내역!$I$3:$I$3002,매출내역!$I$3:$I$3002,"&gt;0",매출내역!$B$3:$B$3002,$A129,매출내역!$A$3:$A$3002,"&lt;="&amp;($B$3-30),매출내역!$A$3:$A$3002,"&gt;"&amp;($B$3-60)))</f>
        <v/>
      </c>
      <c r="D129" s="15" t="str">
        <f aca="false">IF($A129="","",SUMIFS(매출내역!$I$3:$I$3002,매출내역!$I$3:$I$3002,"&gt;0",매출내역!$B$3:$B$3002,$A129,매출내역!$A$3:$A$3002,"&lt;="&amp;($B$3-60),매출내역!$A$3:$A$3002,"&gt;"&amp;($B$3-90)))</f>
        <v/>
      </c>
      <c r="E129" s="15" t="str">
        <f aca="false">IF($A129="","",SUMIFS(매출내역!$I$3:$I$3002,매출내역!$I$3:$I$3002,"&gt;0",매출내역!$B$3:$B$3002,$A129,매출내역!$A$3:$A$3002,"&lt;="&amp;($B$3-90)))</f>
        <v/>
      </c>
      <c r="F129" s="15" t="str">
        <f aca="false">IF($A129="","",SUM($B129:$E129))</f>
        <v/>
      </c>
      <c r="G129" s="26" t="str">
        <f aca="false">IF($A129="","",IF($F$307=0,"",$F129/$F$307))</f>
        <v/>
      </c>
    </row>
    <row r="130" customFormat="false" ht="15" hidden="false" customHeight="true" outlineLevel="0" collapsed="false">
      <c r="A130" s="19" t="str">
        <f aca="false">IF(거래처목록!$A127="","",거래처목록!$A127)</f>
        <v/>
      </c>
      <c r="B130" s="15" t="str">
        <f aca="false">IF($A130="","",SUMIFS(매출내역!$I$3:$I$3002,매출내역!$I$3:$I$3002,"&gt;0",매출내역!$B$3:$B$3002,$A130,매출내역!$A$3:$A$3002,"&gt;"&amp;($B$3-30)))</f>
        <v/>
      </c>
      <c r="C130" s="15" t="str">
        <f aca="false">IF($A130="","",SUMIFS(매출내역!$I$3:$I$3002,매출내역!$I$3:$I$3002,"&gt;0",매출내역!$B$3:$B$3002,$A130,매출내역!$A$3:$A$3002,"&lt;="&amp;($B$3-30),매출내역!$A$3:$A$3002,"&gt;"&amp;($B$3-60)))</f>
        <v/>
      </c>
      <c r="D130" s="15" t="str">
        <f aca="false">IF($A130="","",SUMIFS(매출내역!$I$3:$I$3002,매출내역!$I$3:$I$3002,"&gt;0",매출내역!$B$3:$B$3002,$A130,매출내역!$A$3:$A$3002,"&lt;="&amp;($B$3-60),매출내역!$A$3:$A$3002,"&gt;"&amp;($B$3-90)))</f>
        <v/>
      </c>
      <c r="E130" s="15" t="str">
        <f aca="false">IF($A130="","",SUMIFS(매출내역!$I$3:$I$3002,매출내역!$I$3:$I$3002,"&gt;0",매출내역!$B$3:$B$3002,$A130,매출내역!$A$3:$A$3002,"&lt;="&amp;($B$3-90)))</f>
        <v/>
      </c>
      <c r="F130" s="15" t="str">
        <f aca="false">IF($A130="","",SUM($B130:$E130))</f>
        <v/>
      </c>
      <c r="G130" s="26" t="str">
        <f aca="false">IF($A130="","",IF($F$307=0,"",$F130/$F$307))</f>
        <v/>
      </c>
    </row>
    <row r="131" customFormat="false" ht="15" hidden="false" customHeight="true" outlineLevel="0" collapsed="false">
      <c r="A131" s="19" t="str">
        <f aca="false">IF(거래처목록!$A128="","",거래처목록!$A128)</f>
        <v/>
      </c>
      <c r="B131" s="15" t="str">
        <f aca="false">IF($A131="","",SUMIFS(매출내역!$I$3:$I$3002,매출내역!$I$3:$I$3002,"&gt;0",매출내역!$B$3:$B$3002,$A131,매출내역!$A$3:$A$3002,"&gt;"&amp;($B$3-30)))</f>
        <v/>
      </c>
      <c r="C131" s="15" t="str">
        <f aca="false">IF($A131="","",SUMIFS(매출내역!$I$3:$I$3002,매출내역!$I$3:$I$3002,"&gt;0",매출내역!$B$3:$B$3002,$A131,매출내역!$A$3:$A$3002,"&lt;="&amp;($B$3-30),매출내역!$A$3:$A$3002,"&gt;"&amp;($B$3-60)))</f>
        <v/>
      </c>
      <c r="D131" s="15" t="str">
        <f aca="false">IF($A131="","",SUMIFS(매출내역!$I$3:$I$3002,매출내역!$I$3:$I$3002,"&gt;0",매출내역!$B$3:$B$3002,$A131,매출내역!$A$3:$A$3002,"&lt;="&amp;($B$3-60),매출내역!$A$3:$A$3002,"&gt;"&amp;($B$3-90)))</f>
        <v/>
      </c>
      <c r="E131" s="15" t="str">
        <f aca="false">IF($A131="","",SUMIFS(매출내역!$I$3:$I$3002,매출내역!$I$3:$I$3002,"&gt;0",매출내역!$B$3:$B$3002,$A131,매출내역!$A$3:$A$3002,"&lt;="&amp;($B$3-90)))</f>
        <v/>
      </c>
      <c r="F131" s="15" t="str">
        <f aca="false">IF($A131="","",SUM($B131:$E131))</f>
        <v/>
      </c>
      <c r="G131" s="26" t="str">
        <f aca="false">IF($A131="","",IF($F$307=0,"",$F131/$F$307))</f>
        <v/>
      </c>
    </row>
    <row r="132" customFormat="false" ht="15" hidden="false" customHeight="true" outlineLevel="0" collapsed="false">
      <c r="A132" s="19" t="str">
        <f aca="false">IF(거래처목록!$A129="","",거래처목록!$A129)</f>
        <v/>
      </c>
      <c r="B132" s="15" t="str">
        <f aca="false">IF($A132="","",SUMIFS(매출내역!$I$3:$I$3002,매출내역!$I$3:$I$3002,"&gt;0",매출내역!$B$3:$B$3002,$A132,매출내역!$A$3:$A$3002,"&gt;"&amp;($B$3-30)))</f>
        <v/>
      </c>
      <c r="C132" s="15" t="str">
        <f aca="false">IF($A132="","",SUMIFS(매출내역!$I$3:$I$3002,매출내역!$I$3:$I$3002,"&gt;0",매출내역!$B$3:$B$3002,$A132,매출내역!$A$3:$A$3002,"&lt;="&amp;($B$3-30),매출내역!$A$3:$A$3002,"&gt;"&amp;($B$3-60)))</f>
        <v/>
      </c>
      <c r="D132" s="15" t="str">
        <f aca="false">IF($A132="","",SUMIFS(매출내역!$I$3:$I$3002,매출내역!$I$3:$I$3002,"&gt;0",매출내역!$B$3:$B$3002,$A132,매출내역!$A$3:$A$3002,"&lt;="&amp;($B$3-60),매출내역!$A$3:$A$3002,"&gt;"&amp;($B$3-90)))</f>
        <v/>
      </c>
      <c r="E132" s="15" t="str">
        <f aca="false">IF($A132="","",SUMIFS(매출내역!$I$3:$I$3002,매출내역!$I$3:$I$3002,"&gt;0",매출내역!$B$3:$B$3002,$A132,매출내역!$A$3:$A$3002,"&lt;="&amp;($B$3-90)))</f>
        <v/>
      </c>
      <c r="F132" s="15" t="str">
        <f aca="false">IF($A132="","",SUM($B132:$E132))</f>
        <v/>
      </c>
      <c r="G132" s="26" t="str">
        <f aca="false">IF($A132="","",IF($F$307=0,"",$F132/$F$307))</f>
        <v/>
      </c>
    </row>
    <row r="133" customFormat="false" ht="15" hidden="false" customHeight="true" outlineLevel="0" collapsed="false">
      <c r="A133" s="19" t="str">
        <f aca="false">IF(거래처목록!$A130="","",거래처목록!$A130)</f>
        <v/>
      </c>
      <c r="B133" s="15" t="str">
        <f aca="false">IF($A133="","",SUMIFS(매출내역!$I$3:$I$3002,매출내역!$I$3:$I$3002,"&gt;0",매출내역!$B$3:$B$3002,$A133,매출내역!$A$3:$A$3002,"&gt;"&amp;($B$3-30)))</f>
        <v/>
      </c>
      <c r="C133" s="15" t="str">
        <f aca="false">IF($A133="","",SUMIFS(매출내역!$I$3:$I$3002,매출내역!$I$3:$I$3002,"&gt;0",매출내역!$B$3:$B$3002,$A133,매출내역!$A$3:$A$3002,"&lt;="&amp;($B$3-30),매출내역!$A$3:$A$3002,"&gt;"&amp;($B$3-60)))</f>
        <v/>
      </c>
      <c r="D133" s="15" t="str">
        <f aca="false">IF($A133="","",SUMIFS(매출내역!$I$3:$I$3002,매출내역!$I$3:$I$3002,"&gt;0",매출내역!$B$3:$B$3002,$A133,매출내역!$A$3:$A$3002,"&lt;="&amp;($B$3-60),매출내역!$A$3:$A$3002,"&gt;"&amp;($B$3-90)))</f>
        <v/>
      </c>
      <c r="E133" s="15" t="str">
        <f aca="false">IF($A133="","",SUMIFS(매출내역!$I$3:$I$3002,매출내역!$I$3:$I$3002,"&gt;0",매출내역!$B$3:$B$3002,$A133,매출내역!$A$3:$A$3002,"&lt;="&amp;($B$3-90)))</f>
        <v/>
      </c>
      <c r="F133" s="15" t="str">
        <f aca="false">IF($A133="","",SUM($B133:$E133))</f>
        <v/>
      </c>
      <c r="G133" s="26" t="str">
        <f aca="false">IF($A133="","",IF($F$307=0,"",$F133/$F$307))</f>
        <v/>
      </c>
    </row>
    <row r="134" customFormat="false" ht="15" hidden="false" customHeight="true" outlineLevel="0" collapsed="false">
      <c r="A134" s="19" t="str">
        <f aca="false">IF(거래처목록!$A131="","",거래처목록!$A131)</f>
        <v/>
      </c>
      <c r="B134" s="15" t="str">
        <f aca="false">IF($A134="","",SUMIFS(매출내역!$I$3:$I$3002,매출내역!$I$3:$I$3002,"&gt;0",매출내역!$B$3:$B$3002,$A134,매출내역!$A$3:$A$3002,"&gt;"&amp;($B$3-30)))</f>
        <v/>
      </c>
      <c r="C134" s="15" t="str">
        <f aca="false">IF($A134="","",SUMIFS(매출내역!$I$3:$I$3002,매출내역!$I$3:$I$3002,"&gt;0",매출내역!$B$3:$B$3002,$A134,매출내역!$A$3:$A$3002,"&lt;="&amp;($B$3-30),매출내역!$A$3:$A$3002,"&gt;"&amp;($B$3-60)))</f>
        <v/>
      </c>
      <c r="D134" s="15" t="str">
        <f aca="false">IF($A134="","",SUMIFS(매출내역!$I$3:$I$3002,매출내역!$I$3:$I$3002,"&gt;0",매출내역!$B$3:$B$3002,$A134,매출내역!$A$3:$A$3002,"&lt;="&amp;($B$3-60),매출내역!$A$3:$A$3002,"&gt;"&amp;($B$3-90)))</f>
        <v/>
      </c>
      <c r="E134" s="15" t="str">
        <f aca="false">IF($A134="","",SUMIFS(매출내역!$I$3:$I$3002,매출내역!$I$3:$I$3002,"&gt;0",매출내역!$B$3:$B$3002,$A134,매출내역!$A$3:$A$3002,"&lt;="&amp;($B$3-90)))</f>
        <v/>
      </c>
      <c r="F134" s="15" t="str">
        <f aca="false">IF($A134="","",SUM($B134:$E134))</f>
        <v/>
      </c>
      <c r="G134" s="26" t="str">
        <f aca="false">IF($A134="","",IF($F$307=0,"",$F134/$F$307))</f>
        <v/>
      </c>
    </row>
    <row r="135" customFormat="false" ht="15" hidden="false" customHeight="true" outlineLevel="0" collapsed="false">
      <c r="A135" s="19" t="str">
        <f aca="false">IF(거래처목록!$A132="","",거래처목록!$A132)</f>
        <v/>
      </c>
      <c r="B135" s="15" t="str">
        <f aca="false">IF($A135="","",SUMIFS(매출내역!$I$3:$I$3002,매출내역!$I$3:$I$3002,"&gt;0",매출내역!$B$3:$B$3002,$A135,매출내역!$A$3:$A$3002,"&gt;"&amp;($B$3-30)))</f>
        <v/>
      </c>
      <c r="C135" s="15" t="str">
        <f aca="false">IF($A135="","",SUMIFS(매출내역!$I$3:$I$3002,매출내역!$I$3:$I$3002,"&gt;0",매출내역!$B$3:$B$3002,$A135,매출내역!$A$3:$A$3002,"&lt;="&amp;($B$3-30),매출내역!$A$3:$A$3002,"&gt;"&amp;($B$3-60)))</f>
        <v/>
      </c>
      <c r="D135" s="15" t="str">
        <f aca="false">IF($A135="","",SUMIFS(매출내역!$I$3:$I$3002,매출내역!$I$3:$I$3002,"&gt;0",매출내역!$B$3:$B$3002,$A135,매출내역!$A$3:$A$3002,"&lt;="&amp;($B$3-60),매출내역!$A$3:$A$3002,"&gt;"&amp;($B$3-90)))</f>
        <v/>
      </c>
      <c r="E135" s="15" t="str">
        <f aca="false">IF($A135="","",SUMIFS(매출내역!$I$3:$I$3002,매출내역!$I$3:$I$3002,"&gt;0",매출내역!$B$3:$B$3002,$A135,매출내역!$A$3:$A$3002,"&lt;="&amp;($B$3-90)))</f>
        <v/>
      </c>
      <c r="F135" s="15" t="str">
        <f aca="false">IF($A135="","",SUM($B135:$E135))</f>
        <v/>
      </c>
      <c r="G135" s="26" t="str">
        <f aca="false">IF($A135="","",IF($F$307=0,"",$F135/$F$307))</f>
        <v/>
      </c>
    </row>
    <row r="136" customFormat="false" ht="15" hidden="false" customHeight="true" outlineLevel="0" collapsed="false">
      <c r="A136" s="19" t="str">
        <f aca="false">IF(거래처목록!$A133="","",거래처목록!$A133)</f>
        <v/>
      </c>
      <c r="B136" s="15" t="str">
        <f aca="false">IF($A136="","",SUMIFS(매출내역!$I$3:$I$3002,매출내역!$I$3:$I$3002,"&gt;0",매출내역!$B$3:$B$3002,$A136,매출내역!$A$3:$A$3002,"&gt;"&amp;($B$3-30)))</f>
        <v/>
      </c>
      <c r="C136" s="15" t="str">
        <f aca="false">IF($A136="","",SUMIFS(매출내역!$I$3:$I$3002,매출내역!$I$3:$I$3002,"&gt;0",매출내역!$B$3:$B$3002,$A136,매출내역!$A$3:$A$3002,"&lt;="&amp;($B$3-30),매출내역!$A$3:$A$3002,"&gt;"&amp;($B$3-60)))</f>
        <v/>
      </c>
      <c r="D136" s="15" t="str">
        <f aca="false">IF($A136="","",SUMIFS(매출내역!$I$3:$I$3002,매출내역!$I$3:$I$3002,"&gt;0",매출내역!$B$3:$B$3002,$A136,매출내역!$A$3:$A$3002,"&lt;="&amp;($B$3-60),매출내역!$A$3:$A$3002,"&gt;"&amp;($B$3-90)))</f>
        <v/>
      </c>
      <c r="E136" s="15" t="str">
        <f aca="false">IF($A136="","",SUMIFS(매출내역!$I$3:$I$3002,매출내역!$I$3:$I$3002,"&gt;0",매출내역!$B$3:$B$3002,$A136,매출내역!$A$3:$A$3002,"&lt;="&amp;($B$3-90)))</f>
        <v/>
      </c>
      <c r="F136" s="15" t="str">
        <f aca="false">IF($A136="","",SUM($B136:$E136))</f>
        <v/>
      </c>
      <c r="G136" s="26" t="str">
        <f aca="false">IF($A136="","",IF($F$307=0,"",$F136/$F$307))</f>
        <v/>
      </c>
    </row>
    <row r="137" customFormat="false" ht="15" hidden="false" customHeight="true" outlineLevel="0" collapsed="false">
      <c r="A137" s="19" t="str">
        <f aca="false">IF(거래처목록!$A134="","",거래처목록!$A134)</f>
        <v/>
      </c>
      <c r="B137" s="15" t="str">
        <f aca="false">IF($A137="","",SUMIFS(매출내역!$I$3:$I$3002,매출내역!$I$3:$I$3002,"&gt;0",매출내역!$B$3:$B$3002,$A137,매출내역!$A$3:$A$3002,"&gt;"&amp;($B$3-30)))</f>
        <v/>
      </c>
      <c r="C137" s="15" t="str">
        <f aca="false">IF($A137="","",SUMIFS(매출내역!$I$3:$I$3002,매출내역!$I$3:$I$3002,"&gt;0",매출내역!$B$3:$B$3002,$A137,매출내역!$A$3:$A$3002,"&lt;="&amp;($B$3-30),매출내역!$A$3:$A$3002,"&gt;"&amp;($B$3-60)))</f>
        <v/>
      </c>
      <c r="D137" s="15" t="str">
        <f aca="false">IF($A137="","",SUMIFS(매출내역!$I$3:$I$3002,매출내역!$I$3:$I$3002,"&gt;0",매출내역!$B$3:$B$3002,$A137,매출내역!$A$3:$A$3002,"&lt;="&amp;($B$3-60),매출내역!$A$3:$A$3002,"&gt;"&amp;($B$3-90)))</f>
        <v/>
      </c>
      <c r="E137" s="15" t="str">
        <f aca="false">IF($A137="","",SUMIFS(매출내역!$I$3:$I$3002,매출내역!$I$3:$I$3002,"&gt;0",매출내역!$B$3:$B$3002,$A137,매출내역!$A$3:$A$3002,"&lt;="&amp;($B$3-90)))</f>
        <v/>
      </c>
      <c r="F137" s="15" t="str">
        <f aca="false">IF($A137="","",SUM($B137:$E137))</f>
        <v/>
      </c>
      <c r="G137" s="26" t="str">
        <f aca="false">IF($A137="","",IF($F$307=0,"",$F137/$F$307))</f>
        <v/>
      </c>
    </row>
    <row r="138" customFormat="false" ht="15" hidden="false" customHeight="true" outlineLevel="0" collapsed="false">
      <c r="A138" s="19" t="str">
        <f aca="false">IF(거래처목록!$A135="","",거래처목록!$A135)</f>
        <v/>
      </c>
      <c r="B138" s="15" t="str">
        <f aca="false">IF($A138="","",SUMIFS(매출내역!$I$3:$I$3002,매출내역!$I$3:$I$3002,"&gt;0",매출내역!$B$3:$B$3002,$A138,매출내역!$A$3:$A$3002,"&gt;"&amp;($B$3-30)))</f>
        <v/>
      </c>
      <c r="C138" s="15" t="str">
        <f aca="false">IF($A138="","",SUMIFS(매출내역!$I$3:$I$3002,매출내역!$I$3:$I$3002,"&gt;0",매출내역!$B$3:$B$3002,$A138,매출내역!$A$3:$A$3002,"&lt;="&amp;($B$3-30),매출내역!$A$3:$A$3002,"&gt;"&amp;($B$3-60)))</f>
        <v/>
      </c>
      <c r="D138" s="15" t="str">
        <f aca="false">IF($A138="","",SUMIFS(매출내역!$I$3:$I$3002,매출내역!$I$3:$I$3002,"&gt;0",매출내역!$B$3:$B$3002,$A138,매출내역!$A$3:$A$3002,"&lt;="&amp;($B$3-60),매출내역!$A$3:$A$3002,"&gt;"&amp;($B$3-90)))</f>
        <v/>
      </c>
      <c r="E138" s="15" t="str">
        <f aca="false">IF($A138="","",SUMIFS(매출내역!$I$3:$I$3002,매출내역!$I$3:$I$3002,"&gt;0",매출내역!$B$3:$B$3002,$A138,매출내역!$A$3:$A$3002,"&lt;="&amp;($B$3-90)))</f>
        <v/>
      </c>
      <c r="F138" s="15" t="str">
        <f aca="false">IF($A138="","",SUM($B138:$E138))</f>
        <v/>
      </c>
      <c r="G138" s="26" t="str">
        <f aca="false">IF($A138="","",IF($F$307=0,"",$F138/$F$307))</f>
        <v/>
      </c>
    </row>
    <row r="139" customFormat="false" ht="15" hidden="false" customHeight="true" outlineLevel="0" collapsed="false">
      <c r="A139" s="19" t="str">
        <f aca="false">IF(거래처목록!$A136="","",거래처목록!$A136)</f>
        <v/>
      </c>
      <c r="B139" s="15" t="str">
        <f aca="false">IF($A139="","",SUMIFS(매출내역!$I$3:$I$3002,매출내역!$I$3:$I$3002,"&gt;0",매출내역!$B$3:$B$3002,$A139,매출내역!$A$3:$A$3002,"&gt;"&amp;($B$3-30)))</f>
        <v/>
      </c>
      <c r="C139" s="15" t="str">
        <f aca="false">IF($A139="","",SUMIFS(매출내역!$I$3:$I$3002,매출내역!$I$3:$I$3002,"&gt;0",매출내역!$B$3:$B$3002,$A139,매출내역!$A$3:$A$3002,"&lt;="&amp;($B$3-30),매출내역!$A$3:$A$3002,"&gt;"&amp;($B$3-60)))</f>
        <v/>
      </c>
      <c r="D139" s="15" t="str">
        <f aca="false">IF($A139="","",SUMIFS(매출내역!$I$3:$I$3002,매출내역!$I$3:$I$3002,"&gt;0",매출내역!$B$3:$B$3002,$A139,매출내역!$A$3:$A$3002,"&lt;="&amp;($B$3-60),매출내역!$A$3:$A$3002,"&gt;"&amp;($B$3-90)))</f>
        <v/>
      </c>
      <c r="E139" s="15" t="str">
        <f aca="false">IF($A139="","",SUMIFS(매출내역!$I$3:$I$3002,매출내역!$I$3:$I$3002,"&gt;0",매출내역!$B$3:$B$3002,$A139,매출내역!$A$3:$A$3002,"&lt;="&amp;($B$3-90)))</f>
        <v/>
      </c>
      <c r="F139" s="15" t="str">
        <f aca="false">IF($A139="","",SUM($B139:$E139))</f>
        <v/>
      </c>
      <c r="G139" s="26" t="str">
        <f aca="false">IF($A139="","",IF($F$307=0,"",$F139/$F$307))</f>
        <v/>
      </c>
    </row>
    <row r="140" customFormat="false" ht="15" hidden="false" customHeight="true" outlineLevel="0" collapsed="false">
      <c r="A140" s="19" t="str">
        <f aca="false">IF(거래처목록!$A137="","",거래처목록!$A137)</f>
        <v/>
      </c>
      <c r="B140" s="15" t="str">
        <f aca="false">IF($A140="","",SUMIFS(매출내역!$I$3:$I$3002,매출내역!$I$3:$I$3002,"&gt;0",매출내역!$B$3:$B$3002,$A140,매출내역!$A$3:$A$3002,"&gt;"&amp;($B$3-30)))</f>
        <v/>
      </c>
      <c r="C140" s="15" t="str">
        <f aca="false">IF($A140="","",SUMIFS(매출내역!$I$3:$I$3002,매출내역!$I$3:$I$3002,"&gt;0",매출내역!$B$3:$B$3002,$A140,매출내역!$A$3:$A$3002,"&lt;="&amp;($B$3-30),매출내역!$A$3:$A$3002,"&gt;"&amp;($B$3-60)))</f>
        <v/>
      </c>
      <c r="D140" s="15" t="str">
        <f aca="false">IF($A140="","",SUMIFS(매출내역!$I$3:$I$3002,매출내역!$I$3:$I$3002,"&gt;0",매출내역!$B$3:$B$3002,$A140,매출내역!$A$3:$A$3002,"&lt;="&amp;($B$3-60),매출내역!$A$3:$A$3002,"&gt;"&amp;($B$3-90)))</f>
        <v/>
      </c>
      <c r="E140" s="15" t="str">
        <f aca="false">IF($A140="","",SUMIFS(매출내역!$I$3:$I$3002,매출내역!$I$3:$I$3002,"&gt;0",매출내역!$B$3:$B$3002,$A140,매출내역!$A$3:$A$3002,"&lt;="&amp;($B$3-90)))</f>
        <v/>
      </c>
      <c r="F140" s="15" t="str">
        <f aca="false">IF($A140="","",SUM($B140:$E140))</f>
        <v/>
      </c>
      <c r="G140" s="26" t="str">
        <f aca="false">IF($A140="","",IF($F$307=0,"",$F140/$F$307))</f>
        <v/>
      </c>
    </row>
    <row r="141" customFormat="false" ht="15" hidden="false" customHeight="true" outlineLevel="0" collapsed="false">
      <c r="A141" s="19" t="str">
        <f aca="false">IF(거래처목록!$A138="","",거래처목록!$A138)</f>
        <v/>
      </c>
      <c r="B141" s="15" t="str">
        <f aca="false">IF($A141="","",SUMIFS(매출내역!$I$3:$I$3002,매출내역!$I$3:$I$3002,"&gt;0",매출내역!$B$3:$B$3002,$A141,매출내역!$A$3:$A$3002,"&gt;"&amp;($B$3-30)))</f>
        <v/>
      </c>
      <c r="C141" s="15" t="str">
        <f aca="false">IF($A141="","",SUMIFS(매출내역!$I$3:$I$3002,매출내역!$I$3:$I$3002,"&gt;0",매출내역!$B$3:$B$3002,$A141,매출내역!$A$3:$A$3002,"&lt;="&amp;($B$3-30),매출내역!$A$3:$A$3002,"&gt;"&amp;($B$3-60)))</f>
        <v/>
      </c>
      <c r="D141" s="15" t="str">
        <f aca="false">IF($A141="","",SUMIFS(매출내역!$I$3:$I$3002,매출내역!$I$3:$I$3002,"&gt;0",매출내역!$B$3:$B$3002,$A141,매출내역!$A$3:$A$3002,"&lt;="&amp;($B$3-60),매출내역!$A$3:$A$3002,"&gt;"&amp;($B$3-90)))</f>
        <v/>
      </c>
      <c r="E141" s="15" t="str">
        <f aca="false">IF($A141="","",SUMIFS(매출내역!$I$3:$I$3002,매출내역!$I$3:$I$3002,"&gt;0",매출내역!$B$3:$B$3002,$A141,매출내역!$A$3:$A$3002,"&lt;="&amp;($B$3-90)))</f>
        <v/>
      </c>
      <c r="F141" s="15" t="str">
        <f aca="false">IF($A141="","",SUM($B141:$E141))</f>
        <v/>
      </c>
      <c r="G141" s="26" t="str">
        <f aca="false">IF($A141="","",IF($F$307=0,"",$F141/$F$307))</f>
        <v/>
      </c>
    </row>
    <row r="142" customFormat="false" ht="15" hidden="false" customHeight="true" outlineLevel="0" collapsed="false">
      <c r="A142" s="19" t="str">
        <f aca="false">IF(거래처목록!$A139="","",거래처목록!$A139)</f>
        <v/>
      </c>
      <c r="B142" s="15" t="str">
        <f aca="false">IF($A142="","",SUMIFS(매출내역!$I$3:$I$3002,매출내역!$I$3:$I$3002,"&gt;0",매출내역!$B$3:$B$3002,$A142,매출내역!$A$3:$A$3002,"&gt;"&amp;($B$3-30)))</f>
        <v/>
      </c>
      <c r="C142" s="15" t="str">
        <f aca="false">IF($A142="","",SUMIFS(매출내역!$I$3:$I$3002,매출내역!$I$3:$I$3002,"&gt;0",매출내역!$B$3:$B$3002,$A142,매출내역!$A$3:$A$3002,"&lt;="&amp;($B$3-30),매출내역!$A$3:$A$3002,"&gt;"&amp;($B$3-60)))</f>
        <v/>
      </c>
      <c r="D142" s="15" t="str">
        <f aca="false">IF($A142="","",SUMIFS(매출내역!$I$3:$I$3002,매출내역!$I$3:$I$3002,"&gt;0",매출내역!$B$3:$B$3002,$A142,매출내역!$A$3:$A$3002,"&lt;="&amp;($B$3-60),매출내역!$A$3:$A$3002,"&gt;"&amp;($B$3-90)))</f>
        <v/>
      </c>
      <c r="E142" s="15" t="str">
        <f aca="false">IF($A142="","",SUMIFS(매출내역!$I$3:$I$3002,매출내역!$I$3:$I$3002,"&gt;0",매출내역!$B$3:$B$3002,$A142,매출내역!$A$3:$A$3002,"&lt;="&amp;($B$3-90)))</f>
        <v/>
      </c>
      <c r="F142" s="15" t="str">
        <f aca="false">IF($A142="","",SUM($B142:$E142))</f>
        <v/>
      </c>
      <c r="G142" s="26" t="str">
        <f aca="false">IF($A142="","",IF($F$307=0,"",$F142/$F$307))</f>
        <v/>
      </c>
    </row>
    <row r="143" customFormat="false" ht="15" hidden="false" customHeight="true" outlineLevel="0" collapsed="false">
      <c r="A143" s="19" t="str">
        <f aca="false">IF(거래처목록!$A140="","",거래처목록!$A140)</f>
        <v/>
      </c>
      <c r="B143" s="15" t="str">
        <f aca="false">IF($A143="","",SUMIFS(매출내역!$I$3:$I$3002,매출내역!$I$3:$I$3002,"&gt;0",매출내역!$B$3:$B$3002,$A143,매출내역!$A$3:$A$3002,"&gt;"&amp;($B$3-30)))</f>
        <v/>
      </c>
      <c r="C143" s="15" t="str">
        <f aca="false">IF($A143="","",SUMIFS(매출내역!$I$3:$I$3002,매출내역!$I$3:$I$3002,"&gt;0",매출내역!$B$3:$B$3002,$A143,매출내역!$A$3:$A$3002,"&lt;="&amp;($B$3-30),매출내역!$A$3:$A$3002,"&gt;"&amp;($B$3-60)))</f>
        <v/>
      </c>
      <c r="D143" s="15" t="str">
        <f aca="false">IF($A143="","",SUMIFS(매출내역!$I$3:$I$3002,매출내역!$I$3:$I$3002,"&gt;0",매출내역!$B$3:$B$3002,$A143,매출내역!$A$3:$A$3002,"&lt;="&amp;($B$3-60),매출내역!$A$3:$A$3002,"&gt;"&amp;($B$3-90)))</f>
        <v/>
      </c>
      <c r="E143" s="15" t="str">
        <f aca="false">IF($A143="","",SUMIFS(매출내역!$I$3:$I$3002,매출내역!$I$3:$I$3002,"&gt;0",매출내역!$B$3:$B$3002,$A143,매출내역!$A$3:$A$3002,"&lt;="&amp;($B$3-90)))</f>
        <v/>
      </c>
      <c r="F143" s="15" t="str">
        <f aca="false">IF($A143="","",SUM($B143:$E143))</f>
        <v/>
      </c>
      <c r="G143" s="26" t="str">
        <f aca="false">IF($A143="","",IF($F$307=0,"",$F143/$F$307))</f>
        <v/>
      </c>
    </row>
    <row r="144" customFormat="false" ht="15" hidden="false" customHeight="true" outlineLevel="0" collapsed="false">
      <c r="A144" s="19" t="str">
        <f aca="false">IF(거래처목록!$A141="","",거래처목록!$A141)</f>
        <v/>
      </c>
      <c r="B144" s="15" t="str">
        <f aca="false">IF($A144="","",SUMIFS(매출내역!$I$3:$I$3002,매출내역!$I$3:$I$3002,"&gt;0",매출내역!$B$3:$B$3002,$A144,매출내역!$A$3:$A$3002,"&gt;"&amp;($B$3-30)))</f>
        <v/>
      </c>
      <c r="C144" s="15" t="str">
        <f aca="false">IF($A144="","",SUMIFS(매출내역!$I$3:$I$3002,매출내역!$I$3:$I$3002,"&gt;0",매출내역!$B$3:$B$3002,$A144,매출내역!$A$3:$A$3002,"&lt;="&amp;($B$3-30),매출내역!$A$3:$A$3002,"&gt;"&amp;($B$3-60)))</f>
        <v/>
      </c>
      <c r="D144" s="15" t="str">
        <f aca="false">IF($A144="","",SUMIFS(매출내역!$I$3:$I$3002,매출내역!$I$3:$I$3002,"&gt;0",매출내역!$B$3:$B$3002,$A144,매출내역!$A$3:$A$3002,"&lt;="&amp;($B$3-60),매출내역!$A$3:$A$3002,"&gt;"&amp;($B$3-90)))</f>
        <v/>
      </c>
      <c r="E144" s="15" t="str">
        <f aca="false">IF($A144="","",SUMIFS(매출내역!$I$3:$I$3002,매출내역!$I$3:$I$3002,"&gt;0",매출내역!$B$3:$B$3002,$A144,매출내역!$A$3:$A$3002,"&lt;="&amp;($B$3-90)))</f>
        <v/>
      </c>
      <c r="F144" s="15" t="str">
        <f aca="false">IF($A144="","",SUM($B144:$E144))</f>
        <v/>
      </c>
      <c r="G144" s="26" t="str">
        <f aca="false">IF($A144="","",IF($F$307=0,"",$F144/$F$307))</f>
        <v/>
      </c>
    </row>
    <row r="145" customFormat="false" ht="15" hidden="false" customHeight="true" outlineLevel="0" collapsed="false">
      <c r="A145" s="19" t="str">
        <f aca="false">IF(거래처목록!$A142="","",거래처목록!$A142)</f>
        <v/>
      </c>
      <c r="B145" s="15" t="str">
        <f aca="false">IF($A145="","",SUMIFS(매출내역!$I$3:$I$3002,매출내역!$I$3:$I$3002,"&gt;0",매출내역!$B$3:$B$3002,$A145,매출내역!$A$3:$A$3002,"&gt;"&amp;($B$3-30)))</f>
        <v/>
      </c>
      <c r="C145" s="15" t="str">
        <f aca="false">IF($A145="","",SUMIFS(매출내역!$I$3:$I$3002,매출내역!$I$3:$I$3002,"&gt;0",매출내역!$B$3:$B$3002,$A145,매출내역!$A$3:$A$3002,"&lt;="&amp;($B$3-30),매출내역!$A$3:$A$3002,"&gt;"&amp;($B$3-60)))</f>
        <v/>
      </c>
      <c r="D145" s="15" t="str">
        <f aca="false">IF($A145="","",SUMIFS(매출내역!$I$3:$I$3002,매출내역!$I$3:$I$3002,"&gt;0",매출내역!$B$3:$B$3002,$A145,매출내역!$A$3:$A$3002,"&lt;="&amp;($B$3-60),매출내역!$A$3:$A$3002,"&gt;"&amp;($B$3-90)))</f>
        <v/>
      </c>
      <c r="E145" s="15" t="str">
        <f aca="false">IF($A145="","",SUMIFS(매출내역!$I$3:$I$3002,매출내역!$I$3:$I$3002,"&gt;0",매출내역!$B$3:$B$3002,$A145,매출내역!$A$3:$A$3002,"&lt;="&amp;($B$3-90)))</f>
        <v/>
      </c>
      <c r="F145" s="15" t="str">
        <f aca="false">IF($A145="","",SUM($B145:$E145))</f>
        <v/>
      </c>
      <c r="G145" s="26" t="str">
        <f aca="false">IF($A145="","",IF($F$307=0,"",$F145/$F$307))</f>
        <v/>
      </c>
    </row>
    <row r="146" customFormat="false" ht="15" hidden="false" customHeight="true" outlineLevel="0" collapsed="false">
      <c r="A146" s="19" t="str">
        <f aca="false">IF(거래처목록!$A143="","",거래처목록!$A143)</f>
        <v/>
      </c>
      <c r="B146" s="15" t="str">
        <f aca="false">IF($A146="","",SUMIFS(매출내역!$I$3:$I$3002,매출내역!$I$3:$I$3002,"&gt;0",매출내역!$B$3:$B$3002,$A146,매출내역!$A$3:$A$3002,"&gt;"&amp;($B$3-30)))</f>
        <v/>
      </c>
      <c r="C146" s="15" t="str">
        <f aca="false">IF($A146="","",SUMIFS(매출내역!$I$3:$I$3002,매출내역!$I$3:$I$3002,"&gt;0",매출내역!$B$3:$B$3002,$A146,매출내역!$A$3:$A$3002,"&lt;="&amp;($B$3-30),매출내역!$A$3:$A$3002,"&gt;"&amp;($B$3-60)))</f>
        <v/>
      </c>
      <c r="D146" s="15" t="str">
        <f aca="false">IF($A146="","",SUMIFS(매출내역!$I$3:$I$3002,매출내역!$I$3:$I$3002,"&gt;0",매출내역!$B$3:$B$3002,$A146,매출내역!$A$3:$A$3002,"&lt;="&amp;($B$3-60),매출내역!$A$3:$A$3002,"&gt;"&amp;($B$3-90)))</f>
        <v/>
      </c>
      <c r="E146" s="15" t="str">
        <f aca="false">IF($A146="","",SUMIFS(매출내역!$I$3:$I$3002,매출내역!$I$3:$I$3002,"&gt;0",매출내역!$B$3:$B$3002,$A146,매출내역!$A$3:$A$3002,"&lt;="&amp;($B$3-90)))</f>
        <v/>
      </c>
      <c r="F146" s="15" t="str">
        <f aca="false">IF($A146="","",SUM($B146:$E146))</f>
        <v/>
      </c>
      <c r="G146" s="26" t="str">
        <f aca="false">IF($A146="","",IF($F$307=0,"",$F146/$F$307))</f>
        <v/>
      </c>
    </row>
    <row r="147" customFormat="false" ht="15" hidden="false" customHeight="true" outlineLevel="0" collapsed="false">
      <c r="A147" s="19" t="str">
        <f aca="false">IF(거래처목록!$A144="","",거래처목록!$A144)</f>
        <v/>
      </c>
      <c r="B147" s="15" t="str">
        <f aca="false">IF($A147="","",SUMIFS(매출내역!$I$3:$I$3002,매출내역!$I$3:$I$3002,"&gt;0",매출내역!$B$3:$B$3002,$A147,매출내역!$A$3:$A$3002,"&gt;"&amp;($B$3-30)))</f>
        <v/>
      </c>
      <c r="C147" s="15" t="str">
        <f aca="false">IF($A147="","",SUMIFS(매출내역!$I$3:$I$3002,매출내역!$I$3:$I$3002,"&gt;0",매출내역!$B$3:$B$3002,$A147,매출내역!$A$3:$A$3002,"&lt;="&amp;($B$3-30),매출내역!$A$3:$A$3002,"&gt;"&amp;($B$3-60)))</f>
        <v/>
      </c>
      <c r="D147" s="15" t="str">
        <f aca="false">IF($A147="","",SUMIFS(매출내역!$I$3:$I$3002,매출내역!$I$3:$I$3002,"&gt;0",매출내역!$B$3:$B$3002,$A147,매출내역!$A$3:$A$3002,"&lt;="&amp;($B$3-60),매출내역!$A$3:$A$3002,"&gt;"&amp;($B$3-90)))</f>
        <v/>
      </c>
      <c r="E147" s="15" t="str">
        <f aca="false">IF($A147="","",SUMIFS(매출내역!$I$3:$I$3002,매출내역!$I$3:$I$3002,"&gt;0",매출내역!$B$3:$B$3002,$A147,매출내역!$A$3:$A$3002,"&lt;="&amp;($B$3-90)))</f>
        <v/>
      </c>
      <c r="F147" s="15" t="str">
        <f aca="false">IF($A147="","",SUM($B147:$E147))</f>
        <v/>
      </c>
      <c r="G147" s="26" t="str">
        <f aca="false">IF($A147="","",IF($F$307=0,"",$F147/$F$307))</f>
        <v/>
      </c>
    </row>
    <row r="148" customFormat="false" ht="15" hidden="false" customHeight="true" outlineLevel="0" collapsed="false">
      <c r="A148" s="19" t="str">
        <f aca="false">IF(거래처목록!$A145="","",거래처목록!$A145)</f>
        <v/>
      </c>
      <c r="B148" s="15" t="str">
        <f aca="false">IF($A148="","",SUMIFS(매출내역!$I$3:$I$3002,매출내역!$I$3:$I$3002,"&gt;0",매출내역!$B$3:$B$3002,$A148,매출내역!$A$3:$A$3002,"&gt;"&amp;($B$3-30)))</f>
        <v/>
      </c>
      <c r="C148" s="15" t="str">
        <f aca="false">IF($A148="","",SUMIFS(매출내역!$I$3:$I$3002,매출내역!$I$3:$I$3002,"&gt;0",매출내역!$B$3:$B$3002,$A148,매출내역!$A$3:$A$3002,"&lt;="&amp;($B$3-30),매출내역!$A$3:$A$3002,"&gt;"&amp;($B$3-60)))</f>
        <v/>
      </c>
      <c r="D148" s="15" t="str">
        <f aca="false">IF($A148="","",SUMIFS(매출내역!$I$3:$I$3002,매출내역!$I$3:$I$3002,"&gt;0",매출내역!$B$3:$B$3002,$A148,매출내역!$A$3:$A$3002,"&lt;="&amp;($B$3-60),매출내역!$A$3:$A$3002,"&gt;"&amp;($B$3-90)))</f>
        <v/>
      </c>
      <c r="E148" s="15" t="str">
        <f aca="false">IF($A148="","",SUMIFS(매출내역!$I$3:$I$3002,매출내역!$I$3:$I$3002,"&gt;0",매출내역!$B$3:$B$3002,$A148,매출내역!$A$3:$A$3002,"&lt;="&amp;($B$3-90)))</f>
        <v/>
      </c>
      <c r="F148" s="15" t="str">
        <f aca="false">IF($A148="","",SUM($B148:$E148))</f>
        <v/>
      </c>
      <c r="G148" s="26" t="str">
        <f aca="false">IF($A148="","",IF($F$307=0,"",$F148/$F$307))</f>
        <v/>
      </c>
    </row>
    <row r="149" customFormat="false" ht="15" hidden="false" customHeight="true" outlineLevel="0" collapsed="false">
      <c r="A149" s="19" t="str">
        <f aca="false">IF(거래처목록!$A146="","",거래처목록!$A146)</f>
        <v/>
      </c>
      <c r="B149" s="15" t="str">
        <f aca="false">IF($A149="","",SUMIFS(매출내역!$I$3:$I$3002,매출내역!$I$3:$I$3002,"&gt;0",매출내역!$B$3:$B$3002,$A149,매출내역!$A$3:$A$3002,"&gt;"&amp;($B$3-30)))</f>
        <v/>
      </c>
      <c r="C149" s="15" t="str">
        <f aca="false">IF($A149="","",SUMIFS(매출내역!$I$3:$I$3002,매출내역!$I$3:$I$3002,"&gt;0",매출내역!$B$3:$B$3002,$A149,매출내역!$A$3:$A$3002,"&lt;="&amp;($B$3-30),매출내역!$A$3:$A$3002,"&gt;"&amp;($B$3-60)))</f>
        <v/>
      </c>
      <c r="D149" s="15" t="str">
        <f aca="false">IF($A149="","",SUMIFS(매출내역!$I$3:$I$3002,매출내역!$I$3:$I$3002,"&gt;0",매출내역!$B$3:$B$3002,$A149,매출내역!$A$3:$A$3002,"&lt;="&amp;($B$3-60),매출내역!$A$3:$A$3002,"&gt;"&amp;($B$3-90)))</f>
        <v/>
      </c>
      <c r="E149" s="15" t="str">
        <f aca="false">IF($A149="","",SUMIFS(매출내역!$I$3:$I$3002,매출내역!$I$3:$I$3002,"&gt;0",매출내역!$B$3:$B$3002,$A149,매출내역!$A$3:$A$3002,"&lt;="&amp;($B$3-90)))</f>
        <v/>
      </c>
      <c r="F149" s="15" t="str">
        <f aca="false">IF($A149="","",SUM($B149:$E149))</f>
        <v/>
      </c>
      <c r="G149" s="26" t="str">
        <f aca="false">IF($A149="","",IF($F$307=0,"",$F149/$F$307))</f>
        <v/>
      </c>
    </row>
    <row r="150" customFormat="false" ht="15" hidden="false" customHeight="true" outlineLevel="0" collapsed="false">
      <c r="A150" s="19" t="str">
        <f aca="false">IF(거래처목록!$A147="","",거래처목록!$A147)</f>
        <v/>
      </c>
      <c r="B150" s="15" t="str">
        <f aca="false">IF($A150="","",SUMIFS(매출내역!$I$3:$I$3002,매출내역!$I$3:$I$3002,"&gt;0",매출내역!$B$3:$B$3002,$A150,매출내역!$A$3:$A$3002,"&gt;"&amp;($B$3-30)))</f>
        <v/>
      </c>
      <c r="C150" s="15" t="str">
        <f aca="false">IF($A150="","",SUMIFS(매출내역!$I$3:$I$3002,매출내역!$I$3:$I$3002,"&gt;0",매출내역!$B$3:$B$3002,$A150,매출내역!$A$3:$A$3002,"&lt;="&amp;($B$3-30),매출내역!$A$3:$A$3002,"&gt;"&amp;($B$3-60)))</f>
        <v/>
      </c>
      <c r="D150" s="15" t="str">
        <f aca="false">IF($A150="","",SUMIFS(매출내역!$I$3:$I$3002,매출내역!$I$3:$I$3002,"&gt;0",매출내역!$B$3:$B$3002,$A150,매출내역!$A$3:$A$3002,"&lt;="&amp;($B$3-60),매출내역!$A$3:$A$3002,"&gt;"&amp;($B$3-90)))</f>
        <v/>
      </c>
      <c r="E150" s="15" t="str">
        <f aca="false">IF($A150="","",SUMIFS(매출내역!$I$3:$I$3002,매출내역!$I$3:$I$3002,"&gt;0",매출내역!$B$3:$B$3002,$A150,매출내역!$A$3:$A$3002,"&lt;="&amp;($B$3-90)))</f>
        <v/>
      </c>
      <c r="F150" s="15" t="str">
        <f aca="false">IF($A150="","",SUM($B150:$E150))</f>
        <v/>
      </c>
      <c r="G150" s="26" t="str">
        <f aca="false">IF($A150="","",IF($F$307=0,"",$F150/$F$307))</f>
        <v/>
      </c>
    </row>
    <row r="151" customFormat="false" ht="15" hidden="false" customHeight="true" outlineLevel="0" collapsed="false">
      <c r="A151" s="19" t="str">
        <f aca="false">IF(거래처목록!$A148="","",거래처목록!$A148)</f>
        <v/>
      </c>
      <c r="B151" s="15" t="str">
        <f aca="false">IF($A151="","",SUMIFS(매출내역!$I$3:$I$3002,매출내역!$I$3:$I$3002,"&gt;0",매출내역!$B$3:$B$3002,$A151,매출내역!$A$3:$A$3002,"&gt;"&amp;($B$3-30)))</f>
        <v/>
      </c>
      <c r="C151" s="15" t="str">
        <f aca="false">IF($A151="","",SUMIFS(매출내역!$I$3:$I$3002,매출내역!$I$3:$I$3002,"&gt;0",매출내역!$B$3:$B$3002,$A151,매출내역!$A$3:$A$3002,"&lt;="&amp;($B$3-30),매출내역!$A$3:$A$3002,"&gt;"&amp;($B$3-60)))</f>
        <v/>
      </c>
      <c r="D151" s="15" t="str">
        <f aca="false">IF($A151="","",SUMIFS(매출내역!$I$3:$I$3002,매출내역!$I$3:$I$3002,"&gt;0",매출내역!$B$3:$B$3002,$A151,매출내역!$A$3:$A$3002,"&lt;="&amp;($B$3-60),매출내역!$A$3:$A$3002,"&gt;"&amp;($B$3-90)))</f>
        <v/>
      </c>
      <c r="E151" s="15" t="str">
        <f aca="false">IF($A151="","",SUMIFS(매출내역!$I$3:$I$3002,매출내역!$I$3:$I$3002,"&gt;0",매출내역!$B$3:$B$3002,$A151,매출내역!$A$3:$A$3002,"&lt;="&amp;($B$3-90)))</f>
        <v/>
      </c>
      <c r="F151" s="15" t="str">
        <f aca="false">IF($A151="","",SUM($B151:$E151))</f>
        <v/>
      </c>
      <c r="G151" s="26" t="str">
        <f aca="false">IF($A151="","",IF($F$307=0,"",$F151/$F$307))</f>
        <v/>
      </c>
    </row>
    <row r="152" customFormat="false" ht="15" hidden="false" customHeight="true" outlineLevel="0" collapsed="false">
      <c r="A152" s="19" t="str">
        <f aca="false">IF(거래처목록!$A149="","",거래처목록!$A149)</f>
        <v/>
      </c>
      <c r="B152" s="15" t="str">
        <f aca="false">IF($A152="","",SUMIFS(매출내역!$I$3:$I$3002,매출내역!$I$3:$I$3002,"&gt;0",매출내역!$B$3:$B$3002,$A152,매출내역!$A$3:$A$3002,"&gt;"&amp;($B$3-30)))</f>
        <v/>
      </c>
      <c r="C152" s="15" t="str">
        <f aca="false">IF($A152="","",SUMIFS(매출내역!$I$3:$I$3002,매출내역!$I$3:$I$3002,"&gt;0",매출내역!$B$3:$B$3002,$A152,매출내역!$A$3:$A$3002,"&lt;="&amp;($B$3-30),매출내역!$A$3:$A$3002,"&gt;"&amp;($B$3-60)))</f>
        <v/>
      </c>
      <c r="D152" s="15" t="str">
        <f aca="false">IF($A152="","",SUMIFS(매출내역!$I$3:$I$3002,매출내역!$I$3:$I$3002,"&gt;0",매출내역!$B$3:$B$3002,$A152,매출내역!$A$3:$A$3002,"&lt;="&amp;($B$3-60),매출내역!$A$3:$A$3002,"&gt;"&amp;($B$3-90)))</f>
        <v/>
      </c>
      <c r="E152" s="15" t="str">
        <f aca="false">IF($A152="","",SUMIFS(매출내역!$I$3:$I$3002,매출내역!$I$3:$I$3002,"&gt;0",매출내역!$B$3:$B$3002,$A152,매출내역!$A$3:$A$3002,"&lt;="&amp;($B$3-90)))</f>
        <v/>
      </c>
      <c r="F152" s="15" t="str">
        <f aca="false">IF($A152="","",SUM($B152:$E152))</f>
        <v/>
      </c>
      <c r="G152" s="26" t="str">
        <f aca="false">IF($A152="","",IF($F$307=0,"",$F152/$F$307))</f>
        <v/>
      </c>
    </row>
    <row r="153" customFormat="false" ht="15" hidden="false" customHeight="true" outlineLevel="0" collapsed="false">
      <c r="A153" s="19" t="str">
        <f aca="false">IF(거래처목록!$A150="","",거래처목록!$A150)</f>
        <v/>
      </c>
      <c r="B153" s="15" t="str">
        <f aca="false">IF($A153="","",SUMIFS(매출내역!$I$3:$I$3002,매출내역!$I$3:$I$3002,"&gt;0",매출내역!$B$3:$B$3002,$A153,매출내역!$A$3:$A$3002,"&gt;"&amp;($B$3-30)))</f>
        <v/>
      </c>
      <c r="C153" s="15" t="str">
        <f aca="false">IF($A153="","",SUMIFS(매출내역!$I$3:$I$3002,매출내역!$I$3:$I$3002,"&gt;0",매출내역!$B$3:$B$3002,$A153,매출내역!$A$3:$A$3002,"&lt;="&amp;($B$3-30),매출내역!$A$3:$A$3002,"&gt;"&amp;($B$3-60)))</f>
        <v/>
      </c>
      <c r="D153" s="15" t="str">
        <f aca="false">IF($A153="","",SUMIFS(매출내역!$I$3:$I$3002,매출내역!$I$3:$I$3002,"&gt;0",매출내역!$B$3:$B$3002,$A153,매출내역!$A$3:$A$3002,"&lt;="&amp;($B$3-60),매출내역!$A$3:$A$3002,"&gt;"&amp;($B$3-90)))</f>
        <v/>
      </c>
      <c r="E153" s="15" t="str">
        <f aca="false">IF($A153="","",SUMIFS(매출내역!$I$3:$I$3002,매출내역!$I$3:$I$3002,"&gt;0",매출내역!$B$3:$B$3002,$A153,매출내역!$A$3:$A$3002,"&lt;="&amp;($B$3-90)))</f>
        <v/>
      </c>
      <c r="F153" s="15" t="str">
        <f aca="false">IF($A153="","",SUM($B153:$E153))</f>
        <v/>
      </c>
      <c r="G153" s="26" t="str">
        <f aca="false">IF($A153="","",IF($F$307=0,"",$F153/$F$307))</f>
        <v/>
      </c>
    </row>
    <row r="154" customFormat="false" ht="15" hidden="false" customHeight="true" outlineLevel="0" collapsed="false">
      <c r="A154" s="19" t="str">
        <f aca="false">IF(거래처목록!$A151="","",거래처목록!$A151)</f>
        <v/>
      </c>
      <c r="B154" s="15" t="str">
        <f aca="false">IF($A154="","",SUMIFS(매출내역!$I$3:$I$3002,매출내역!$I$3:$I$3002,"&gt;0",매출내역!$B$3:$B$3002,$A154,매출내역!$A$3:$A$3002,"&gt;"&amp;($B$3-30)))</f>
        <v/>
      </c>
      <c r="C154" s="15" t="str">
        <f aca="false">IF($A154="","",SUMIFS(매출내역!$I$3:$I$3002,매출내역!$I$3:$I$3002,"&gt;0",매출내역!$B$3:$B$3002,$A154,매출내역!$A$3:$A$3002,"&lt;="&amp;($B$3-30),매출내역!$A$3:$A$3002,"&gt;"&amp;($B$3-60)))</f>
        <v/>
      </c>
      <c r="D154" s="15" t="str">
        <f aca="false">IF($A154="","",SUMIFS(매출내역!$I$3:$I$3002,매출내역!$I$3:$I$3002,"&gt;0",매출내역!$B$3:$B$3002,$A154,매출내역!$A$3:$A$3002,"&lt;="&amp;($B$3-60),매출내역!$A$3:$A$3002,"&gt;"&amp;($B$3-90)))</f>
        <v/>
      </c>
      <c r="E154" s="15" t="str">
        <f aca="false">IF($A154="","",SUMIFS(매출내역!$I$3:$I$3002,매출내역!$I$3:$I$3002,"&gt;0",매출내역!$B$3:$B$3002,$A154,매출내역!$A$3:$A$3002,"&lt;="&amp;($B$3-90)))</f>
        <v/>
      </c>
      <c r="F154" s="15" t="str">
        <f aca="false">IF($A154="","",SUM($B154:$E154))</f>
        <v/>
      </c>
      <c r="G154" s="26" t="str">
        <f aca="false">IF($A154="","",IF($F$307=0,"",$F154/$F$307))</f>
        <v/>
      </c>
    </row>
    <row r="155" customFormat="false" ht="15" hidden="false" customHeight="true" outlineLevel="0" collapsed="false">
      <c r="A155" s="19" t="str">
        <f aca="false">IF(거래처목록!$A152="","",거래처목록!$A152)</f>
        <v/>
      </c>
      <c r="B155" s="15" t="str">
        <f aca="false">IF($A155="","",SUMIFS(매출내역!$I$3:$I$3002,매출내역!$I$3:$I$3002,"&gt;0",매출내역!$B$3:$B$3002,$A155,매출내역!$A$3:$A$3002,"&gt;"&amp;($B$3-30)))</f>
        <v/>
      </c>
      <c r="C155" s="15" t="str">
        <f aca="false">IF($A155="","",SUMIFS(매출내역!$I$3:$I$3002,매출내역!$I$3:$I$3002,"&gt;0",매출내역!$B$3:$B$3002,$A155,매출내역!$A$3:$A$3002,"&lt;="&amp;($B$3-30),매출내역!$A$3:$A$3002,"&gt;"&amp;($B$3-60)))</f>
        <v/>
      </c>
      <c r="D155" s="15" t="str">
        <f aca="false">IF($A155="","",SUMIFS(매출내역!$I$3:$I$3002,매출내역!$I$3:$I$3002,"&gt;0",매출내역!$B$3:$B$3002,$A155,매출내역!$A$3:$A$3002,"&lt;="&amp;($B$3-60),매출내역!$A$3:$A$3002,"&gt;"&amp;($B$3-90)))</f>
        <v/>
      </c>
      <c r="E155" s="15" t="str">
        <f aca="false">IF($A155="","",SUMIFS(매출내역!$I$3:$I$3002,매출내역!$I$3:$I$3002,"&gt;0",매출내역!$B$3:$B$3002,$A155,매출내역!$A$3:$A$3002,"&lt;="&amp;($B$3-90)))</f>
        <v/>
      </c>
      <c r="F155" s="15" t="str">
        <f aca="false">IF($A155="","",SUM($B155:$E155))</f>
        <v/>
      </c>
      <c r="G155" s="26" t="str">
        <f aca="false">IF($A155="","",IF($F$307=0,"",$F155/$F$307))</f>
        <v/>
      </c>
    </row>
    <row r="156" customFormat="false" ht="15" hidden="false" customHeight="true" outlineLevel="0" collapsed="false">
      <c r="A156" s="19" t="str">
        <f aca="false">IF(거래처목록!$A153="","",거래처목록!$A153)</f>
        <v/>
      </c>
      <c r="B156" s="15" t="str">
        <f aca="false">IF($A156="","",SUMIFS(매출내역!$I$3:$I$3002,매출내역!$I$3:$I$3002,"&gt;0",매출내역!$B$3:$B$3002,$A156,매출내역!$A$3:$A$3002,"&gt;"&amp;($B$3-30)))</f>
        <v/>
      </c>
      <c r="C156" s="15" t="str">
        <f aca="false">IF($A156="","",SUMIFS(매출내역!$I$3:$I$3002,매출내역!$I$3:$I$3002,"&gt;0",매출내역!$B$3:$B$3002,$A156,매출내역!$A$3:$A$3002,"&lt;="&amp;($B$3-30),매출내역!$A$3:$A$3002,"&gt;"&amp;($B$3-60)))</f>
        <v/>
      </c>
      <c r="D156" s="15" t="str">
        <f aca="false">IF($A156="","",SUMIFS(매출내역!$I$3:$I$3002,매출내역!$I$3:$I$3002,"&gt;0",매출내역!$B$3:$B$3002,$A156,매출내역!$A$3:$A$3002,"&lt;="&amp;($B$3-60),매출내역!$A$3:$A$3002,"&gt;"&amp;($B$3-90)))</f>
        <v/>
      </c>
      <c r="E156" s="15" t="str">
        <f aca="false">IF($A156="","",SUMIFS(매출내역!$I$3:$I$3002,매출내역!$I$3:$I$3002,"&gt;0",매출내역!$B$3:$B$3002,$A156,매출내역!$A$3:$A$3002,"&lt;="&amp;($B$3-90)))</f>
        <v/>
      </c>
      <c r="F156" s="15" t="str">
        <f aca="false">IF($A156="","",SUM($B156:$E156))</f>
        <v/>
      </c>
      <c r="G156" s="26" t="str">
        <f aca="false">IF($A156="","",IF($F$307=0,"",$F156/$F$307))</f>
        <v/>
      </c>
    </row>
    <row r="157" customFormat="false" ht="15" hidden="false" customHeight="true" outlineLevel="0" collapsed="false">
      <c r="A157" s="19" t="str">
        <f aca="false">IF(거래처목록!$A154="","",거래처목록!$A154)</f>
        <v/>
      </c>
      <c r="B157" s="15" t="str">
        <f aca="false">IF($A157="","",SUMIFS(매출내역!$I$3:$I$3002,매출내역!$I$3:$I$3002,"&gt;0",매출내역!$B$3:$B$3002,$A157,매출내역!$A$3:$A$3002,"&gt;"&amp;($B$3-30)))</f>
        <v/>
      </c>
      <c r="C157" s="15" t="str">
        <f aca="false">IF($A157="","",SUMIFS(매출내역!$I$3:$I$3002,매출내역!$I$3:$I$3002,"&gt;0",매출내역!$B$3:$B$3002,$A157,매출내역!$A$3:$A$3002,"&lt;="&amp;($B$3-30),매출내역!$A$3:$A$3002,"&gt;"&amp;($B$3-60)))</f>
        <v/>
      </c>
      <c r="D157" s="15" t="str">
        <f aca="false">IF($A157="","",SUMIFS(매출내역!$I$3:$I$3002,매출내역!$I$3:$I$3002,"&gt;0",매출내역!$B$3:$B$3002,$A157,매출내역!$A$3:$A$3002,"&lt;="&amp;($B$3-60),매출내역!$A$3:$A$3002,"&gt;"&amp;($B$3-90)))</f>
        <v/>
      </c>
      <c r="E157" s="15" t="str">
        <f aca="false">IF($A157="","",SUMIFS(매출내역!$I$3:$I$3002,매출내역!$I$3:$I$3002,"&gt;0",매출내역!$B$3:$B$3002,$A157,매출내역!$A$3:$A$3002,"&lt;="&amp;($B$3-90)))</f>
        <v/>
      </c>
      <c r="F157" s="15" t="str">
        <f aca="false">IF($A157="","",SUM($B157:$E157))</f>
        <v/>
      </c>
      <c r="G157" s="26" t="str">
        <f aca="false">IF($A157="","",IF($F$307=0,"",$F157/$F$307))</f>
        <v/>
      </c>
    </row>
    <row r="158" customFormat="false" ht="15" hidden="false" customHeight="true" outlineLevel="0" collapsed="false">
      <c r="A158" s="19" t="str">
        <f aca="false">IF(거래처목록!$A155="","",거래처목록!$A155)</f>
        <v/>
      </c>
      <c r="B158" s="15" t="str">
        <f aca="false">IF($A158="","",SUMIFS(매출내역!$I$3:$I$3002,매출내역!$I$3:$I$3002,"&gt;0",매출내역!$B$3:$B$3002,$A158,매출내역!$A$3:$A$3002,"&gt;"&amp;($B$3-30)))</f>
        <v/>
      </c>
      <c r="C158" s="15" t="str">
        <f aca="false">IF($A158="","",SUMIFS(매출내역!$I$3:$I$3002,매출내역!$I$3:$I$3002,"&gt;0",매출내역!$B$3:$B$3002,$A158,매출내역!$A$3:$A$3002,"&lt;="&amp;($B$3-30),매출내역!$A$3:$A$3002,"&gt;"&amp;($B$3-60)))</f>
        <v/>
      </c>
      <c r="D158" s="15" t="str">
        <f aca="false">IF($A158="","",SUMIFS(매출내역!$I$3:$I$3002,매출내역!$I$3:$I$3002,"&gt;0",매출내역!$B$3:$B$3002,$A158,매출내역!$A$3:$A$3002,"&lt;="&amp;($B$3-60),매출내역!$A$3:$A$3002,"&gt;"&amp;($B$3-90)))</f>
        <v/>
      </c>
      <c r="E158" s="15" t="str">
        <f aca="false">IF($A158="","",SUMIFS(매출내역!$I$3:$I$3002,매출내역!$I$3:$I$3002,"&gt;0",매출내역!$B$3:$B$3002,$A158,매출내역!$A$3:$A$3002,"&lt;="&amp;($B$3-90)))</f>
        <v/>
      </c>
      <c r="F158" s="15" t="str">
        <f aca="false">IF($A158="","",SUM($B158:$E158))</f>
        <v/>
      </c>
      <c r="G158" s="26" t="str">
        <f aca="false">IF($A158="","",IF($F$307=0,"",$F158/$F$307))</f>
        <v/>
      </c>
    </row>
    <row r="159" customFormat="false" ht="15" hidden="false" customHeight="true" outlineLevel="0" collapsed="false">
      <c r="A159" s="19" t="str">
        <f aca="false">IF(거래처목록!$A156="","",거래처목록!$A156)</f>
        <v/>
      </c>
      <c r="B159" s="15" t="str">
        <f aca="false">IF($A159="","",SUMIFS(매출내역!$I$3:$I$3002,매출내역!$I$3:$I$3002,"&gt;0",매출내역!$B$3:$B$3002,$A159,매출내역!$A$3:$A$3002,"&gt;"&amp;($B$3-30)))</f>
        <v/>
      </c>
      <c r="C159" s="15" t="str">
        <f aca="false">IF($A159="","",SUMIFS(매출내역!$I$3:$I$3002,매출내역!$I$3:$I$3002,"&gt;0",매출내역!$B$3:$B$3002,$A159,매출내역!$A$3:$A$3002,"&lt;="&amp;($B$3-30),매출내역!$A$3:$A$3002,"&gt;"&amp;($B$3-60)))</f>
        <v/>
      </c>
      <c r="D159" s="15" t="str">
        <f aca="false">IF($A159="","",SUMIFS(매출내역!$I$3:$I$3002,매출내역!$I$3:$I$3002,"&gt;0",매출내역!$B$3:$B$3002,$A159,매출내역!$A$3:$A$3002,"&lt;="&amp;($B$3-60),매출내역!$A$3:$A$3002,"&gt;"&amp;($B$3-90)))</f>
        <v/>
      </c>
      <c r="E159" s="15" t="str">
        <f aca="false">IF($A159="","",SUMIFS(매출내역!$I$3:$I$3002,매출내역!$I$3:$I$3002,"&gt;0",매출내역!$B$3:$B$3002,$A159,매출내역!$A$3:$A$3002,"&lt;="&amp;($B$3-90)))</f>
        <v/>
      </c>
      <c r="F159" s="15" t="str">
        <f aca="false">IF($A159="","",SUM($B159:$E159))</f>
        <v/>
      </c>
      <c r="G159" s="26" t="str">
        <f aca="false">IF($A159="","",IF($F$307=0,"",$F159/$F$307))</f>
        <v/>
      </c>
    </row>
    <row r="160" customFormat="false" ht="15" hidden="false" customHeight="true" outlineLevel="0" collapsed="false">
      <c r="A160" s="19" t="str">
        <f aca="false">IF(거래처목록!$A157="","",거래처목록!$A157)</f>
        <v/>
      </c>
      <c r="B160" s="15" t="str">
        <f aca="false">IF($A160="","",SUMIFS(매출내역!$I$3:$I$3002,매출내역!$I$3:$I$3002,"&gt;0",매출내역!$B$3:$B$3002,$A160,매출내역!$A$3:$A$3002,"&gt;"&amp;($B$3-30)))</f>
        <v/>
      </c>
      <c r="C160" s="15" t="str">
        <f aca="false">IF($A160="","",SUMIFS(매출내역!$I$3:$I$3002,매출내역!$I$3:$I$3002,"&gt;0",매출내역!$B$3:$B$3002,$A160,매출내역!$A$3:$A$3002,"&lt;="&amp;($B$3-30),매출내역!$A$3:$A$3002,"&gt;"&amp;($B$3-60)))</f>
        <v/>
      </c>
      <c r="D160" s="15" t="str">
        <f aca="false">IF($A160="","",SUMIFS(매출내역!$I$3:$I$3002,매출내역!$I$3:$I$3002,"&gt;0",매출내역!$B$3:$B$3002,$A160,매출내역!$A$3:$A$3002,"&lt;="&amp;($B$3-60),매출내역!$A$3:$A$3002,"&gt;"&amp;($B$3-90)))</f>
        <v/>
      </c>
      <c r="E160" s="15" t="str">
        <f aca="false">IF($A160="","",SUMIFS(매출내역!$I$3:$I$3002,매출내역!$I$3:$I$3002,"&gt;0",매출내역!$B$3:$B$3002,$A160,매출내역!$A$3:$A$3002,"&lt;="&amp;($B$3-90)))</f>
        <v/>
      </c>
      <c r="F160" s="15" t="str">
        <f aca="false">IF($A160="","",SUM($B160:$E160))</f>
        <v/>
      </c>
      <c r="G160" s="26" t="str">
        <f aca="false">IF($A160="","",IF($F$307=0,"",$F160/$F$307))</f>
        <v/>
      </c>
    </row>
    <row r="161" customFormat="false" ht="15" hidden="false" customHeight="true" outlineLevel="0" collapsed="false">
      <c r="A161" s="19" t="str">
        <f aca="false">IF(거래처목록!$A158="","",거래처목록!$A158)</f>
        <v/>
      </c>
      <c r="B161" s="15" t="str">
        <f aca="false">IF($A161="","",SUMIFS(매출내역!$I$3:$I$3002,매출내역!$I$3:$I$3002,"&gt;0",매출내역!$B$3:$B$3002,$A161,매출내역!$A$3:$A$3002,"&gt;"&amp;($B$3-30)))</f>
        <v/>
      </c>
      <c r="C161" s="15" t="str">
        <f aca="false">IF($A161="","",SUMIFS(매출내역!$I$3:$I$3002,매출내역!$I$3:$I$3002,"&gt;0",매출내역!$B$3:$B$3002,$A161,매출내역!$A$3:$A$3002,"&lt;="&amp;($B$3-30),매출내역!$A$3:$A$3002,"&gt;"&amp;($B$3-60)))</f>
        <v/>
      </c>
      <c r="D161" s="15" t="str">
        <f aca="false">IF($A161="","",SUMIFS(매출내역!$I$3:$I$3002,매출내역!$I$3:$I$3002,"&gt;0",매출내역!$B$3:$B$3002,$A161,매출내역!$A$3:$A$3002,"&lt;="&amp;($B$3-60),매출내역!$A$3:$A$3002,"&gt;"&amp;($B$3-90)))</f>
        <v/>
      </c>
      <c r="E161" s="15" t="str">
        <f aca="false">IF($A161="","",SUMIFS(매출내역!$I$3:$I$3002,매출내역!$I$3:$I$3002,"&gt;0",매출내역!$B$3:$B$3002,$A161,매출내역!$A$3:$A$3002,"&lt;="&amp;($B$3-90)))</f>
        <v/>
      </c>
      <c r="F161" s="15" t="str">
        <f aca="false">IF($A161="","",SUM($B161:$E161))</f>
        <v/>
      </c>
      <c r="G161" s="26" t="str">
        <f aca="false">IF($A161="","",IF($F$307=0,"",$F161/$F$307))</f>
        <v/>
      </c>
    </row>
    <row r="162" customFormat="false" ht="15" hidden="false" customHeight="true" outlineLevel="0" collapsed="false">
      <c r="A162" s="19" t="str">
        <f aca="false">IF(거래처목록!$A159="","",거래처목록!$A159)</f>
        <v/>
      </c>
      <c r="B162" s="15" t="str">
        <f aca="false">IF($A162="","",SUMIFS(매출내역!$I$3:$I$3002,매출내역!$I$3:$I$3002,"&gt;0",매출내역!$B$3:$B$3002,$A162,매출내역!$A$3:$A$3002,"&gt;"&amp;($B$3-30)))</f>
        <v/>
      </c>
      <c r="C162" s="15" t="str">
        <f aca="false">IF($A162="","",SUMIFS(매출내역!$I$3:$I$3002,매출내역!$I$3:$I$3002,"&gt;0",매출내역!$B$3:$B$3002,$A162,매출내역!$A$3:$A$3002,"&lt;="&amp;($B$3-30),매출내역!$A$3:$A$3002,"&gt;"&amp;($B$3-60)))</f>
        <v/>
      </c>
      <c r="D162" s="15" t="str">
        <f aca="false">IF($A162="","",SUMIFS(매출내역!$I$3:$I$3002,매출내역!$I$3:$I$3002,"&gt;0",매출내역!$B$3:$B$3002,$A162,매출내역!$A$3:$A$3002,"&lt;="&amp;($B$3-60),매출내역!$A$3:$A$3002,"&gt;"&amp;($B$3-90)))</f>
        <v/>
      </c>
      <c r="E162" s="15" t="str">
        <f aca="false">IF($A162="","",SUMIFS(매출내역!$I$3:$I$3002,매출내역!$I$3:$I$3002,"&gt;0",매출내역!$B$3:$B$3002,$A162,매출내역!$A$3:$A$3002,"&lt;="&amp;($B$3-90)))</f>
        <v/>
      </c>
      <c r="F162" s="15" t="str">
        <f aca="false">IF($A162="","",SUM($B162:$E162))</f>
        <v/>
      </c>
      <c r="G162" s="26" t="str">
        <f aca="false">IF($A162="","",IF($F$307=0,"",$F162/$F$307))</f>
        <v/>
      </c>
    </row>
    <row r="163" customFormat="false" ht="15" hidden="false" customHeight="true" outlineLevel="0" collapsed="false">
      <c r="A163" s="19" t="str">
        <f aca="false">IF(거래처목록!$A160="","",거래처목록!$A160)</f>
        <v/>
      </c>
      <c r="B163" s="15" t="str">
        <f aca="false">IF($A163="","",SUMIFS(매출내역!$I$3:$I$3002,매출내역!$I$3:$I$3002,"&gt;0",매출내역!$B$3:$B$3002,$A163,매출내역!$A$3:$A$3002,"&gt;"&amp;($B$3-30)))</f>
        <v/>
      </c>
      <c r="C163" s="15" t="str">
        <f aca="false">IF($A163="","",SUMIFS(매출내역!$I$3:$I$3002,매출내역!$I$3:$I$3002,"&gt;0",매출내역!$B$3:$B$3002,$A163,매출내역!$A$3:$A$3002,"&lt;="&amp;($B$3-30),매출내역!$A$3:$A$3002,"&gt;"&amp;($B$3-60)))</f>
        <v/>
      </c>
      <c r="D163" s="15" t="str">
        <f aca="false">IF($A163="","",SUMIFS(매출내역!$I$3:$I$3002,매출내역!$I$3:$I$3002,"&gt;0",매출내역!$B$3:$B$3002,$A163,매출내역!$A$3:$A$3002,"&lt;="&amp;($B$3-60),매출내역!$A$3:$A$3002,"&gt;"&amp;($B$3-90)))</f>
        <v/>
      </c>
      <c r="E163" s="15" t="str">
        <f aca="false">IF($A163="","",SUMIFS(매출내역!$I$3:$I$3002,매출내역!$I$3:$I$3002,"&gt;0",매출내역!$B$3:$B$3002,$A163,매출내역!$A$3:$A$3002,"&lt;="&amp;($B$3-90)))</f>
        <v/>
      </c>
      <c r="F163" s="15" t="str">
        <f aca="false">IF($A163="","",SUM($B163:$E163))</f>
        <v/>
      </c>
      <c r="G163" s="26" t="str">
        <f aca="false">IF($A163="","",IF($F$307=0,"",$F163/$F$307))</f>
        <v/>
      </c>
    </row>
    <row r="164" customFormat="false" ht="15" hidden="false" customHeight="true" outlineLevel="0" collapsed="false">
      <c r="A164" s="19" t="str">
        <f aca="false">IF(거래처목록!$A161="","",거래처목록!$A161)</f>
        <v/>
      </c>
      <c r="B164" s="15" t="str">
        <f aca="false">IF($A164="","",SUMIFS(매출내역!$I$3:$I$3002,매출내역!$I$3:$I$3002,"&gt;0",매출내역!$B$3:$B$3002,$A164,매출내역!$A$3:$A$3002,"&gt;"&amp;($B$3-30)))</f>
        <v/>
      </c>
      <c r="C164" s="15" t="str">
        <f aca="false">IF($A164="","",SUMIFS(매출내역!$I$3:$I$3002,매출내역!$I$3:$I$3002,"&gt;0",매출내역!$B$3:$B$3002,$A164,매출내역!$A$3:$A$3002,"&lt;="&amp;($B$3-30),매출내역!$A$3:$A$3002,"&gt;"&amp;($B$3-60)))</f>
        <v/>
      </c>
      <c r="D164" s="15" t="str">
        <f aca="false">IF($A164="","",SUMIFS(매출내역!$I$3:$I$3002,매출내역!$I$3:$I$3002,"&gt;0",매출내역!$B$3:$B$3002,$A164,매출내역!$A$3:$A$3002,"&lt;="&amp;($B$3-60),매출내역!$A$3:$A$3002,"&gt;"&amp;($B$3-90)))</f>
        <v/>
      </c>
      <c r="E164" s="15" t="str">
        <f aca="false">IF($A164="","",SUMIFS(매출내역!$I$3:$I$3002,매출내역!$I$3:$I$3002,"&gt;0",매출내역!$B$3:$B$3002,$A164,매출내역!$A$3:$A$3002,"&lt;="&amp;($B$3-90)))</f>
        <v/>
      </c>
      <c r="F164" s="15" t="str">
        <f aca="false">IF($A164="","",SUM($B164:$E164))</f>
        <v/>
      </c>
      <c r="G164" s="26" t="str">
        <f aca="false">IF($A164="","",IF($F$307=0,"",$F164/$F$307))</f>
        <v/>
      </c>
    </row>
    <row r="165" customFormat="false" ht="15" hidden="false" customHeight="true" outlineLevel="0" collapsed="false">
      <c r="A165" s="19" t="str">
        <f aca="false">IF(거래처목록!$A162="","",거래처목록!$A162)</f>
        <v/>
      </c>
      <c r="B165" s="15" t="str">
        <f aca="false">IF($A165="","",SUMIFS(매출내역!$I$3:$I$3002,매출내역!$I$3:$I$3002,"&gt;0",매출내역!$B$3:$B$3002,$A165,매출내역!$A$3:$A$3002,"&gt;"&amp;($B$3-30)))</f>
        <v/>
      </c>
      <c r="C165" s="15" t="str">
        <f aca="false">IF($A165="","",SUMIFS(매출내역!$I$3:$I$3002,매출내역!$I$3:$I$3002,"&gt;0",매출내역!$B$3:$B$3002,$A165,매출내역!$A$3:$A$3002,"&lt;="&amp;($B$3-30),매출내역!$A$3:$A$3002,"&gt;"&amp;($B$3-60)))</f>
        <v/>
      </c>
      <c r="D165" s="15" t="str">
        <f aca="false">IF($A165="","",SUMIFS(매출내역!$I$3:$I$3002,매출내역!$I$3:$I$3002,"&gt;0",매출내역!$B$3:$B$3002,$A165,매출내역!$A$3:$A$3002,"&lt;="&amp;($B$3-60),매출내역!$A$3:$A$3002,"&gt;"&amp;($B$3-90)))</f>
        <v/>
      </c>
      <c r="E165" s="15" t="str">
        <f aca="false">IF($A165="","",SUMIFS(매출내역!$I$3:$I$3002,매출내역!$I$3:$I$3002,"&gt;0",매출내역!$B$3:$B$3002,$A165,매출내역!$A$3:$A$3002,"&lt;="&amp;($B$3-90)))</f>
        <v/>
      </c>
      <c r="F165" s="15" t="str">
        <f aca="false">IF($A165="","",SUM($B165:$E165))</f>
        <v/>
      </c>
      <c r="G165" s="26" t="str">
        <f aca="false">IF($A165="","",IF($F$307=0,"",$F165/$F$307))</f>
        <v/>
      </c>
    </row>
    <row r="166" customFormat="false" ht="15" hidden="false" customHeight="true" outlineLevel="0" collapsed="false">
      <c r="A166" s="19" t="str">
        <f aca="false">IF(거래처목록!$A163="","",거래처목록!$A163)</f>
        <v/>
      </c>
      <c r="B166" s="15" t="str">
        <f aca="false">IF($A166="","",SUMIFS(매출내역!$I$3:$I$3002,매출내역!$I$3:$I$3002,"&gt;0",매출내역!$B$3:$B$3002,$A166,매출내역!$A$3:$A$3002,"&gt;"&amp;($B$3-30)))</f>
        <v/>
      </c>
      <c r="C166" s="15" t="str">
        <f aca="false">IF($A166="","",SUMIFS(매출내역!$I$3:$I$3002,매출내역!$I$3:$I$3002,"&gt;0",매출내역!$B$3:$B$3002,$A166,매출내역!$A$3:$A$3002,"&lt;="&amp;($B$3-30),매출내역!$A$3:$A$3002,"&gt;"&amp;($B$3-60)))</f>
        <v/>
      </c>
      <c r="D166" s="15" t="str">
        <f aca="false">IF($A166="","",SUMIFS(매출내역!$I$3:$I$3002,매출내역!$I$3:$I$3002,"&gt;0",매출내역!$B$3:$B$3002,$A166,매출내역!$A$3:$A$3002,"&lt;="&amp;($B$3-60),매출내역!$A$3:$A$3002,"&gt;"&amp;($B$3-90)))</f>
        <v/>
      </c>
      <c r="E166" s="15" t="str">
        <f aca="false">IF($A166="","",SUMIFS(매출내역!$I$3:$I$3002,매출내역!$I$3:$I$3002,"&gt;0",매출내역!$B$3:$B$3002,$A166,매출내역!$A$3:$A$3002,"&lt;="&amp;($B$3-90)))</f>
        <v/>
      </c>
      <c r="F166" s="15" t="str">
        <f aca="false">IF($A166="","",SUM($B166:$E166))</f>
        <v/>
      </c>
      <c r="G166" s="26" t="str">
        <f aca="false">IF($A166="","",IF($F$307=0,"",$F166/$F$307))</f>
        <v/>
      </c>
    </row>
    <row r="167" customFormat="false" ht="15" hidden="false" customHeight="true" outlineLevel="0" collapsed="false">
      <c r="A167" s="19" t="str">
        <f aca="false">IF(거래처목록!$A164="","",거래처목록!$A164)</f>
        <v/>
      </c>
      <c r="B167" s="15" t="str">
        <f aca="false">IF($A167="","",SUMIFS(매출내역!$I$3:$I$3002,매출내역!$I$3:$I$3002,"&gt;0",매출내역!$B$3:$B$3002,$A167,매출내역!$A$3:$A$3002,"&gt;"&amp;($B$3-30)))</f>
        <v/>
      </c>
      <c r="C167" s="15" t="str">
        <f aca="false">IF($A167="","",SUMIFS(매출내역!$I$3:$I$3002,매출내역!$I$3:$I$3002,"&gt;0",매출내역!$B$3:$B$3002,$A167,매출내역!$A$3:$A$3002,"&lt;="&amp;($B$3-30),매출내역!$A$3:$A$3002,"&gt;"&amp;($B$3-60)))</f>
        <v/>
      </c>
      <c r="D167" s="15" t="str">
        <f aca="false">IF($A167="","",SUMIFS(매출내역!$I$3:$I$3002,매출내역!$I$3:$I$3002,"&gt;0",매출내역!$B$3:$B$3002,$A167,매출내역!$A$3:$A$3002,"&lt;="&amp;($B$3-60),매출내역!$A$3:$A$3002,"&gt;"&amp;($B$3-90)))</f>
        <v/>
      </c>
      <c r="E167" s="15" t="str">
        <f aca="false">IF($A167="","",SUMIFS(매출내역!$I$3:$I$3002,매출내역!$I$3:$I$3002,"&gt;0",매출내역!$B$3:$B$3002,$A167,매출내역!$A$3:$A$3002,"&lt;="&amp;($B$3-90)))</f>
        <v/>
      </c>
      <c r="F167" s="15" t="str">
        <f aca="false">IF($A167="","",SUM($B167:$E167))</f>
        <v/>
      </c>
      <c r="G167" s="26" t="str">
        <f aca="false">IF($A167="","",IF($F$307=0,"",$F167/$F$307))</f>
        <v/>
      </c>
    </row>
    <row r="168" customFormat="false" ht="15" hidden="false" customHeight="true" outlineLevel="0" collapsed="false">
      <c r="A168" s="19" t="str">
        <f aca="false">IF(거래처목록!$A165="","",거래처목록!$A165)</f>
        <v/>
      </c>
      <c r="B168" s="15" t="str">
        <f aca="false">IF($A168="","",SUMIFS(매출내역!$I$3:$I$3002,매출내역!$I$3:$I$3002,"&gt;0",매출내역!$B$3:$B$3002,$A168,매출내역!$A$3:$A$3002,"&gt;"&amp;($B$3-30)))</f>
        <v/>
      </c>
      <c r="C168" s="15" t="str">
        <f aca="false">IF($A168="","",SUMIFS(매출내역!$I$3:$I$3002,매출내역!$I$3:$I$3002,"&gt;0",매출내역!$B$3:$B$3002,$A168,매출내역!$A$3:$A$3002,"&lt;="&amp;($B$3-30),매출내역!$A$3:$A$3002,"&gt;"&amp;($B$3-60)))</f>
        <v/>
      </c>
      <c r="D168" s="15" t="str">
        <f aca="false">IF($A168="","",SUMIFS(매출내역!$I$3:$I$3002,매출내역!$I$3:$I$3002,"&gt;0",매출내역!$B$3:$B$3002,$A168,매출내역!$A$3:$A$3002,"&lt;="&amp;($B$3-60),매출내역!$A$3:$A$3002,"&gt;"&amp;($B$3-90)))</f>
        <v/>
      </c>
      <c r="E168" s="15" t="str">
        <f aca="false">IF($A168="","",SUMIFS(매출내역!$I$3:$I$3002,매출내역!$I$3:$I$3002,"&gt;0",매출내역!$B$3:$B$3002,$A168,매출내역!$A$3:$A$3002,"&lt;="&amp;($B$3-90)))</f>
        <v/>
      </c>
      <c r="F168" s="15" t="str">
        <f aca="false">IF($A168="","",SUM($B168:$E168))</f>
        <v/>
      </c>
      <c r="G168" s="26" t="str">
        <f aca="false">IF($A168="","",IF($F$307=0,"",$F168/$F$307))</f>
        <v/>
      </c>
    </row>
    <row r="169" customFormat="false" ht="15" hidden="false" customHeight="true" outlineLevel="0" collapsed="false">
      <c r="A169" s="19" t="str">
        <f aca="false">IF(거래처목록!$A166="","",거래처목록!$A166)</f>
        <v/>
      </c>
      <c r="B169" s="15" t="str">
        <f aca="false">IF($A169="","",SUMIFS(매출내역!$I$3:$I$3002,매출내역!$I$3:$I$3002,"&gt;0",매출내역!$B$3:$B$3002,$A169,매출내역!$A$3:$A$3002,"&gt;"&amp;($B$3-30)))</f>
        <v/>
      </c>
      <c r="C169" s="15" t="str">
        <f aca="false">IF($A169="","",SUMIFS(매출내역!$I$3:$I$3002,매출내역!$I$3:$I$3002,"&gt;0",매출내역!$B$3:$B$3002,$A169,매출내역!$A$3:$A$3002,"&lt;="&amp;($B$3-30),매출내역!$A$3:$A$3002,"&gt;"&amp;($B$3-60)))</f>
        <v/>
      </c>
      <c r="D169" s="15" t="str">
        <f aca="false">IF($A169="","",SUMIFS(매출내역!$I$3:$I$3002,매출내역!$I$3:$I$3002,"&gt;0",매출내역!$B$3:$B$3002,$A169,매출내역!$A$3:$A$3002,"&lt;="&amp;($B$3-60),매출내역!$A$3:$A$3002,"&gt;"&amp;($B$3-90)))</f>
        <v/>
      </c>
      <c r="E169" s="15" t="str">
        <f aca="false">IF($A169="","",SUMIFS(매출내역!$I$3:$I$3002,매출내역!$I$3:$I$3002,"&gt;0",매출내역!$B$3:$B$3002,$A169,매출내역!$A$3:$A$3002,"&lt;="&amp;($B$3-90)))</f>
        <v/>
      </c>
      <c r="F169" s="15" t="str">
        <f aca="false">IF($A169="","",SUM($B169:$E169))</f>
        <v/>
      </c>
      <c r="G169" s="26" t="str">
        <f aca="false">IF($A169="","",IF($F$307=0,"",$F169/$F$307))</f>
        <v/>
      </c>
    </row>
    <row r="170" customFormat="false" ht="15" hidden="false" customHeight="true" outlineLevel="0" collapsed="false">
      <c r="A170" s="19" t="str">
        <f aca="false">IF(거래처목록!$A167="","",거래처목록!$A167)</f>
        <v/>
      </c>
      <c r="B170" s="15" t="str">
        <f aca="false">IF($A170="","",SUMIFS(매출내역!$I$3:$I$3002,매출내역!$I$3:$I$3002,"&gt;0",매출내역!$B$3:$B$3002,$A170,매출내역!$A$3:$A$3002,"&gt;"&amp;($B$3-30)))</f>
        <v/>
      </c>
      <c r="C170" s="15" t="str">
        <f aca="false">IF($A170="","",SUMIFS(매출내역!$I$3:$I$3002,매출내역!$I$3:$I$3002,"&gt;0",매출내역!$B$3:$B$3002,$A170,매출내역!$A$3:$A$3002,"&lt;="&amp;($B$3-30),매출내역!$A$3:$A$3002,"&gt;"&amp;($B$3-60)))</f>
        <v/>
      </c>
      <c r="D170" s="15" t="str">
        <f aca="false">IF($A170="","",SUMIFS(매출내역!$I$3:$I$3002,매출내역!$I$3:$I$3002,"&gt;0",매출내역!$B$3:$B$3002,$A170,매출내역!$A$3:$A$3002,"&lt;="&amp;($B$3-60),매출내역!$A$3:$A$3002,"&gt;"&amp;($B$3-90)))</f>
        <v/>
      </c>
      <c r="E170" s="15" t="str">
        <f aca="false">IF($A170="","",SUMIFS(매출내역!$I$3:$I$3002,매출내역!$I$3:$I$3002,"&gt;0",매출내역!$B$3:$B$3002,$A170,매출내역!$A$3:$A$3002,"&lt;="&amp;($B$3-90)))</f>
        <v/>
      </c>
      <c r="F170" s="15" t="str">
        <f aca="false">IF($A170="","",SUM($B170:$E170))</f>
        <v/>
      </c>
      <c r="G170" s="26" t="str">
        <f aca="false">IF($A170="","",IF($F$307=0,"",$F170/$F$307))</f>
        <v/>
      </c>
    </row>
    <row r="171" customFormat="false" ht="15" hidden="false" customHeight="true" outlineLevel="0" collapsed="false">
      <c r="A171" s="19" t="str">
        <f aca="false">IF(거래처목록!$A168="","",거래처목록!$A168)</f>
        <v/>
      </c>
      <c r="B171" s="15" t="str">
        <f aca="false">IF($A171="","",SUMIFS(매출내역!$I$3:$I$3002,매출내역!$I$3:$I$3002,"&gt;0",매출내역!$B$3:$B$3002,$A171,매출내역!$A$3:$A$3002,"&gt;"&amp;($B$3-30)))</f>
        <v/>
      </c>
      <c r="C171" s="15" t="str">
        <f aca="false">IF($A171="","",SUMIFS(매출내역!$I$3:$I$3002,매출내역!$I$3:$I$3002,"&gt;0",매출내역!$B$3:$B$3002,$A171,매출내역!$A$3:$A$3002,"&lt;="&amp;($B$3-30),매출내역!$A$3:$A$3002,"&gt;"&amp;($B$3-60)))</f>
        <v/>
      </c>
      <c r="D171" s="15" t="str">
        <f aca="false">IF($A171="","",SUMIFS(매출내역!$I$3:$I$3002,매출내역!$I$3:$I$3002,"&gt;0",매출내역!$B$3:$B$3002,$A171,매출내역!$A$3:$A$3002,"&lt;="&amp;($B$3-60),매출내역!$A$3:$A$3002,"&gt;"&amp;($B$3-90)))</f>
        <v/>
      </c>
      <c r="E171" s="15" t="str">
        <f aca="false">IF($A171="","",SUMIFS(매출내역!$I$3:$I$3002,매출내역!$I$3:$I$3002,"&gt;0",매출내역!$B$3:$B$3002,$A171,매출내역!$A$3:$A$3002,"&lt;="&amp;($B$3-90)))</f>
        <v/>
      </c>
      <c r="F171" s="15" t="str">
        <f aca="false">IF($A171="","",SUM($B171:$E171))</f>
        <v/>
      </c>
      <c r="G171" s="26" t="str">
        <f aca="false">IF($A171="","",IF($F$307=0,"",$F171/$F$307))</f>
        <v/>
      </c>
    </row>
    <row r="172" customFormat="false" ht="15" hidden="false" customHeight="true" outlineLevel="0" collapsed="false">
      <c r="A172" s="19" t="str">
        <f aca="false">IF(거래처목록!$A169="","",거래처목록!$A169)</f>
        <v/>
      </c>
      <c r="B172" s="15" t="str">
        <f aca="false">IF($A172="","",SUMIFS(매출내역!$I$3:$I$3002,매출내역!$I$3:$I$3002,"&gt;0",매출내역!$B$3:$B$3002,$A172,매출내역!$A$3:$A$3002,"&gt;"&amp;($B$3-30)))</f>
        <v/>
      </c>
      <c r="C172" s="15" t="str">
        <f aca="false">IF($A172="","",SUMIFS(매출내역!$I$3:$I$3002,매출내역!$I$3:$I$3002,"&gt;0",매출내역!$B$3:$B$3002,$A172,매출내역!$A$3:$A$3002,"&lt;="&amp;($B$3-30),매출내역!$A$3:$A$3002,"&gt;"&amp;($B$3-60)))</f>
        <v/>
      </c>
      <c r="D172" s="15" t="str">
        <f aca="false">IF($A172="","",SUMIFS(매출내역!$I$3:$I$3002,매출내역!$I$3:$I$3002,"&gt;0",매출내역!$B$3:$B$3002,$A172,매출내역!$A$3:$A$3002,"&lt;="&amp;($B$3-60),매출내역!$A$3:$A$3002,"&gt;"&amp;($B$3-90)))</f>
        <v/>
      </c>
      <c r="E172" s="15" t="str">
        <f aca="false">IF($A172="","",SUMIFS(매출내역!$I$3:$I$3002,매출내역!$I$3:$I$3002,"&gt;0",매출내역!$B$3:$B$3002,$A172,매출내역!$A$3:$A$3002,"&lt;="&amp;($B$3-90)))</f>
        <v/>
      </c>
      <c r="F172" s="15" t="str">
        <f aca="false">IF($A172="","",SUM($B172:$E172))</f>
        <v/>
      </c>
      <c r="G172" s="26" t="str">
        <f aca="false">IF($A172="","",IF($F$307=0,"",$F172/$F$307))</f>
        <v/>
      </c>
    </row>
    <row r="173" customFormat="false" ht="15" hidden="false" customHeight="true" outlineLevel="0" collapsed="false">
      <c r="A173" s="19" t="str">
        <f aca="false">IF(거래처목록!$A170="","",거래처목록!$A170)</f>
        <v/>
      </c>
      <c r="B173" s="15" t="str">
        <f aca="false">IF($A173="","",SUMIFS(매출내역!$I$3:$I$3002,매출내역!$I$3:$I$3002,"&gt;0",매출내역!$B$3:$B$3002,$A173,매출내역!$A$3:$A$3002,"&gt;"&amp;($B$3-30)))</f>
        <v/>
      </c>
      <c r="C173" s="15" t="str">
        <f aca="false">IF($A173="","",SUMIFS(매출내역!$I$3:$I$3002,매출내역!$I$3:$I$3002,"&gt;0",매출내역!$B$3:$B$3002,$A173,매출내역!$A$3:$A$3002,"&lt;="&amp;($B$3-30),매출내역!$A$3:$A$3002,"&gt;"&amp;($B$3-60)))</f>
        <v/>
      </c>
      <c r="D173" s="15" t="str">
        <f aca="false">IF($A173="","",SUMIFS(매출내역!$I$3:$I$3002,매출내역!$I$3:$I$3002,"&gt;0",매출내역!$B$3:$B$3002,$A173,매출내역!$A$3:$A$3002,"&lt;="&amp;($B$3-60),매출내역!$A$3:$A$3002,"&gt;"&amp;($B$3-90)))</f>
        <v/>
      </c>
      <c r="E173" s="15" t="str">
        <f aca="false">IF($A173="","",SUMIFS(매출내역!$I$3:$I$3002,매출내역!$I$3:$I$3002,"&gt;0",매출내역!$B$3:$B$3002,$A173,매출내역!$A$3:$A$3002,"&lt;="&amp;($B$3-90)))</f>
        <v/>
      </c>
      <c r="F173" s="15" t="str">
        <f aca="false">IF($A173="","",SUM($B173:$E173))</f>
        <v/>
      </c>
      <c r="G173" s="26" t="str">
        <f aca="false">IF($A173="","",IF($F$307=0,"",$F173/$F$307))</f>
        <v/>
      </c>
    </row>
    <row r="174" customFormat="false" ht="15" hidden="false" customHeight="true" outlineLevel="0" collapsed="false">
      <c r="A174" s="19" t="str">
        <f aca="false">IF(거래처목록!$A171="","",거래처목록!$A171)</f>
        <v/>
      </c>
      <c r="B174" s="15" t="str">
        <f aca="false">IF($A174="","",SUMIFS(매출내역!$I$3:$I$3002,매출내역!$I$3:$I$3002,"&gt;0",매출내역!$B$3:$B$3002,$A174,매출내역!$A$3:$A$3002,"&gt;"&amp;($B$3-30)))</f>
        <v/>
      </c>
      <c r="C174" s="15" t="str">
        <f aca="false">IF($A174="","",SUMIFS(매출내역!$I$3:$I$3002,매출내역!$I$3:$I$3002,"&gt;0",매출내역!$B$3:$B$3002,$A174,매출내역!$A$3:$A$3002,"&lt;="&amp;($B$3-30),매출내역!$A$3:$A$3002,"&gt;"&amp;($B$3-60)))</f>
        <v/>
      </c>
      <c r="D174" s="15" t="str">
        <f aca="false">IF($A174="","",SUMIFS(매출내역!$I$3:$I$3002,매출내역!$I$3:$I$3002,"&gt;0",매출내역!$B$3:$B$3002,$A174,매출내역!$A$3:$A$3002,"&lt;="&amp;($B$3-60),매출내역!$A$3:$A$3002,"&gt;"&amp;($B$3-90)))</f>
        <v/>
      </c>
      <c r="E174" s="15" t="str">
        <f aca="false">IF($A174="","",SUMIFS(매출내역!$I$3:$I$3002,매출내역!$I$3:$I$3002,"&gt;0",매출내역!$B$3:$B$3002,$A174,매출내역!$A$3:$A$3002,"&lt;="&amp;($B$3-90)))</f>
        <v/>
      </c>
      <c r="F174" s="15" t="str">
        <f aca="false">IF($A174="","",SUM($B174:$E174))</f>
        <v/>
      </c>
      <c r="G174" s="26" t="str">
        <f aca="false">IF($A174="","",IF($F$307=0,"",$F174/$F$307))</f>
        <v/>
      </c>
    </row>
    <row r="175" customFormat="false" ht="15" hidden="false" customHeight="true" outlineLevel="0" collapsed="false">
      <c r="A175" s="19" t="str">
        <f aca="false">IF(거래처목록!$A172="","",거래처목록!$A172)</f>
        <v/>
      </c>
      <c r="B175" s="15" t="str">
        <f aca="false">IF($A175="","",SUMIFS(매출내역!$I$3:$I$3002,매출내역!$I$3:$I$3002,"&gt;0",매출내역!$B$3:$B$3002,$A175,매출내역!$A$3:$A$3002,"&gt;"&amp;($B$3-30)))</f>
        <v/>
      </c>
      <c r="C175" s="15" t="str">
        <f aca="false">IF($A175="","",SUMIFS(매출내역!$I$3:$I$3002,매출내역!$I$3:$I$3002,"&gt;0",매출내역!$B$3:$B$3002,$A175,매출내역!$A$3:$A$3002,"&lt;="&amp;($B$3-30),매출내역!$A$3:$A$3002,"&gt;"&amp;($B$3-60)))</f>
        <v/>
      </c>
      <c r="D175" s="15" t="str">
        <f aca="false">IF($A175="","",SUMIFS(매출내역!$I$3:$I$3002,매출내역!$I$3:$I$3002,"&gt;0",매출내역!$B$3:$B$3002,$A175,매출내역!$A$3:$A$3002,"&lt;="&amp;($B$3-60),매출내역!$A$3:$A$3002,"&gt;"&amp;($B$3-90)))</f>
        <v/>
      </c>
      <c r="E175" s="15" t="str">
        <f aca="false">IF($A175="","",SUMIFS(매출내역!$I$3:$I$3002,매출내역!$I$3:$I$3002,"&gt;0",매출내역!$B$3:$B$3002,$A175,매출내역!$A$3:$A$3002,"&lt;="&amp;($B$3-90)))</f>
        <v/>
      </c>
      <c r="F175" s="15" t="str">
        <f aca="false">IF($A175="","",SUM($B175:$E175))</f>
        <v/>
      </c>
      <c r="G175" s="26" t="str">
        <f aca="false">IF($A175="","",IF($F$307=0,"",$F175/$F$307))</f>
        <v/>
      </c>
    </row>
    <row r="176" customFormat="false" ht="15" hidden="false" customHeight="true" outlineLevel="0" collapsed="false">
      <c r="A176" s="19" t="str">
        <f aca="false">IF(거래처목록!$A173="","",거래처목록!$A173)</f>
        <v/>
      </c>
      <c r="B176" s="15" t="str">
        <f aca="false">IF($A176="","",SUMIFS(매출내역!$I$3:$I$3002,매출내역!$I$3:$I$3002,"&gt;0",매출내역!$B$3:$B$3002,$A176,매출내역!$A$3:$A$3002,"&gt;"&amp;($B$3-30)))</f>
        <v/>
      </c>
      <c r="C176" s="15" t="str">
        <f aca="false">IF($A176="","",SUMIFS(매출내역!$I$3:$I$3002,매출내역!$I$3:$I$3002,"&gt;0",매출내역!$B$3:$B$3002,$A176,매출내역!$A$3:$A$3002,"&lt;="&amp;($B$3-30),매출내역!$A$3:$A$3002,"&gt;"&amp;($B$3-60)))</f>
        <v/>
      </c>
      <c r="D176" s="15" t="str">
        <f aca="false">IF($A176="","",SUMIFS(매출내역!$I$3:$I$3002,매출내역!$I$3:$I$3002,"&gt;0",매출내역!$B$3:$B$3002,$A176,매출내역!$A$3:$A$3002,"&lt;="&amp;($B$3-60),매출내역!$A$3:$A$3002,"&gt;"&amp;($B$3-90)))</f>
        <v/>
      </c>
      <c r="E176" s="15" t="str">
        <f aca="false">IF($A176="","",SUMIFS(매출내역!$I$3:$I$3002,매출내역!$I$3:$I$3002,"&gt;0",매출내역!$B$3:$B$3002,$A176,매출내역!$A$3:$A$3002,"&lt;="&amp;($B$3-90)))</f>
        <v/>
      </c>
      <c r="F176" s="15" t="str">
        <f aca="false">IF($A176="","",SUM($B176:$E176))</f>
        <v/>
      </c>
      <c r="G176" s="26" t="str">
        <f aca="false">IF($A176="","",IF($F$307=0,"",$F176/$F$307))</f>
        <v/>
      </c>
    </row>
    <row r="177" customFormat="false" ht="15" hidden="false" customHeight="true" outlineLevel="0" collapsed="false">
      <c r="A177" s="19" t="str">
        <f aca="false">IF(거래처목록!$A174="","",거래처목록!$A174)</f>
        <v/>
      </c>
      <c r="B177" s="15" t="str">
        <f aca="false">IF($A177="","",SUMIFS(매출내역!$I$3:$I$3002,매출내역!$I$3:$I$3002,"&gt;0",매출내역!$B$3:$B$3002,$A177,매출내역!$A$3:$A$3002,"&gt;"&amp;($B$3-30)))</f>
        <v/>
      </c>
      <c r="C177" s="15" t="str">
        <f aca="false">IF($A177="","",SUMIFS(매출내역!$I$3:$I$3002,매출내역!$I$3:$I$3002,"&gt;0",매출내역!$B$3:$B$3002,$A177,매출내역!$A$3:$A$3002,"&lt;="&amp;($B$3-30),매출내역!$A$3:$A$3002,"&gt;"&amp;($B$3-60)))</f>
        <v/>
      </c>
      <c r="D177" s="15" t="str">
        <f aca="false">IF($A177="","",SUMIFS(매출내역!$I$3:$I$3002,매출내역!$I$3:$I$3002,"&gt;0",매출내역!$B$3:$B$3002,$A177,매출내역!$A$3:$A$3002,"&lt;="&amp;($B$3-60),매출내역!$A$3:$A$3002,"&gt;"&amp;($B$3-90)))</f>
        <v/>
      </c>
      <c r="E177" s="15" t="str">
        <f aca="false">IF($A177="","",SUMIFS(매출내역!$I$3:$I$3002,매출내역!$I$3:$I$3002,"&gt;0",매출내역!$B$3:$B$3002,$A177,매출내역!$A$3:$A$3002,"&lt;="&amp;($B$3-90)))</f>
        <v/>
      </c>
      <c r="F177" s="15" t="str">
        <f aca="false">IF($A177="","",SUM($B177:$E177))</f>
        <v/>
      </c>
      <c r="G177" s="26" t="str">
        <f aca="false">IF($A177="","",IF($F$307=0,"",$F177/$F$307))</f>
        <v/>
      </c>
    </row>
    <row r="178" customFormat="false" ht="15" hidden="false" customHeight="true" outlineLevel="0" collapsed="false">
      <c r="A178" s="19" t="str">
        <f aca="false">IF(거래처목록!$A175="","",거래처목록!$A175)</f>
        <v/>
      </c>
      <c r="B178" s="15" t="str">
        <f aca="false">IF($A178="","",SUMIFS(매출내역!$I$3:$I$3002,매출내역!$I$3:$I$3002,"&gt;0",매출내역!$B$3:$B$3002,$A178,매출내역!$A$3:$A$3002,"&gt;"&amp;($B$3-30)))</f>
        <v/>
      </c>
      <c r="C178" s="15" t="str">
        <f aca="false">IF($A178="","",SUMIFS(매출내역!$I$3:$I$3002,매출내역!$I$3:$I$3002,"&gt;0",매출내역!$B$3:$B$3002,$A178,매출내역!$A$3:$A$3002,"&lt;="&amp;($B$3-30),매출내역!$A$3:$A$3002,"&gt;"&amp;($B$3-60)))</f>
        <v/>
      </c>
      <c r="D178" s="15" t="str">
        <f aca="false">IF($A178="","",SUMIFS(매출내역!$I$3:$I$3002,매출내역!$I$3:$I$3002,"&gt;0",매출내역!$B$3:$B$3002,$A178,매출내역!$A$3:$A$3002,"&lt;="&amp;($B$3-60),매출내역!$A$3:$A$3002,"&gt;"&amp;($B$3-90)))</f>
        <v/>
      </c>
      <c r="E178" s="15" t="str">
        <f aca="false">IF($A178="","",SUMIFS(매출내역!$I$3:$I$3002,매출내역!$I$3:$I$3002,"&gt;0",매출내역!$B$3:$B$3002,$A178,매출내역!$A$3:$A$3002,"&lt;="&amp;($B$3-90)))</f>
        <v/>
      </c>
      <c r="F178" s="15" t="str">
        <f aca="false">IF($A178="","",SUM($B178:$E178))</f>
        <v/>
      </c>
      <c r="G178" s="26" t="str">
        <f aca="false">IF($A178="","",IF($F$307=0,"",$F178/$F$307))</f>
        <v/>
      </c>
    </row>
    <row r="179" customFormat="false" ht="15" hidden="false" customHeight="true" outlineLevel="0" collapsed="false">
      <c r="A179" s="19" t="str">
        <f aca="false">IF(거래처목록!$A176="","",거래처목록!$A176)</f>
        <v/>
      </c>
      <c r="B179" s="15" t="str">
        <f aca="false">IF($A179="","",SUMIFS(매출내역!$I$3:$I$3002,매출내역!$I$3:$I$3002,"&gt;0",매출내역!$B$3:$B$3002,$A179,매출내역!$A$3:$A$3002,"&gt;"&amp;($B$3-30)))</f>
        <v/>
      </c>
      <c r="C179" s="15" t="str">
        <f aca="false">IF($A179="","",SUMIFS(매출내역!$I$3:$I$3002,매출내역!$I$3:$I$3002,"&gt;0",매출내역!$B$3:$B$3002,$A179,매출내역!$A$3:$A$3002,"&lt;="&amp;($B$3-30),매출내역!$A$3:$A$3002,"&gt;"&amp;($B$3-60)))</f>
        <v/>
      </c>
      <c r="D179" s="15" t="str">
        <f aca="false">IF($A179="","",SUMIFS(매출내역!$I$3:$I$3002,매출내역!$I$3:$I$3002,"&gt;0",매출내역!$B$3:$B$3002,$A179,매출내역!$A$3:$A$3002,"&lt;="&amp;($B$3-60),매출내역!$A$3:$A$3002,"&gt;"&amp;($B$3-90)))</f>
        <v/>
      </c>
      <c r="E179" s="15" t="str">
        <f aca="false">IF($A179="","",SUMIFS(매출내역!$I$3:$I$3002,매출내역!$I$3:$I$3002,"&gt;0",매출내역!$B$3:$B$3002,$A179,매출내역!$A$3:$A$3002,"&lt;="&amp;($B$3-90)))</f>
        <v/>
      </c>
      <c r="F179" s="15" t="str">
        <f aca="false">IF($A179="","",SUM($B179:$E179))</f>
        <v/>
      </c>
      <c r="G179" s="26" t="str">
        <f aca="false">IF($A179="","",IF($F$307=0,"",$F179/$F$307))</f>
        <v/>
      </c>
    </row>
    <row r="180" customFormat="false" ht="15" hidden="false" customHeight="true" outlineLevel="0" collapsed="false">
      <c r="A180" s="19" t="str">
        <f aca="false">IF(거래처목록!$A177="","",거래처목록!$A177)</f>
        <v/>
      </c>
      <c r="B180" s="15" t="str">
        <f aca="false">IF($A180="","",SUMIFS(매출내역!$I$3:$I$3002,매출내역!$I$3:$I$3002,"&gt;0",매출내역!$B$3:$B$3002,$A180,매출내역!$A$3:$A$3002,"&gt;"&amp;($B$3-30)))</f>
        <v/>
      </c>
      <c r="C180" s="15" t="str">
        <f aca="false">IF($A180="","",SUMIFS(매출내역!$I$3:$I$3002,매출내역!$I$3:$I$3002,"&gt;0",매출내역!$B$3:$B$3002,$A180,매출내역!$A$3:$A$3002,"&lt;="&amp;($B$3-30),매출내역!$A$3:$A$3002,"&gt;"&amp;($B$3-60)))</f>
        <v/>
      </c>
      <c r="D180" s="15" t="str">
        <f aca="false">IF($A180="","",SUMIFS(매출내역!$I$3:$I$3002,매출내역!$I$3:$I$3002,"&gt;0",매출내역!$B$3:$B$3002,$A180,매출내역!$A$3:$A$3002,"&lt;="&amp;($B$3-60),매출내역!$A$3:$A$3002,"&gt;"&amp;($B$3-90)))</f>
        <v/>
      </c>
      <c r="E180" s="15" t="str">
        <f aca="false">IF($A180="","",SUMIFS(매출내역!$I$3:$I$3002,매출내역!$I$3:$I$3002,"&gt;0",매출내역!$B$3:$B$3002,$A180,매출내역!$A$3:$A$3002,"&lt;="&amp;($B$3-90)))</f>
        <v/>
      </c>
      <c r="F180" s="15" t="str">
        <f aca="false">IF($A180="","",SUM($B180:$E180))</f>
        <v/>
      </c>
      <c r="G180" s="26" t="str">
        <f aca="false">IF($A180="","",IF($F$307=0,"",$F180/$F$307))</f>
        <v/>
      </c>
    </row>
    <row r="181" customFormat="false" ht="15" hidden="false" customHeight="true" outlineLevel="0" collapsed="false">
      <c r="A181" s="19" t="str">
        <f aca="false">IF(거래처목록!$A178="","",거래처목록!$A178)</f>
        <v/>
      </c>
      <c r="B181" s="15" t="str">
        <f aca="false">IF($A181="","",SUMIFS(매출내역!$I$3:$I$3002,매출내역!$I$3:$I$3002,"&gt;0",매출내역!$B$3:$B$3002,$A181,매출내역!$A$3:$A$3002,"&gt;"&amp;($B$3-30)))</f>
        <v/>
      </c>
      <c r="C181" s="15" t="str">
        <f aca="false">IF($A181="","",SUMIFS(매출내역!$I$3:$I$3002,매출내역!$I$3:$I$3002,"&gt;0",매출내역!$B$3:$B$3002,$A181,매출내역!$A$3:$A$3002,"&lt;="&amp;($B$3-30),매출내역!$A$3:$A$3002,"&gt;"&amp;($B$3-60)))</f>
        <v/>
      </c>
      <c r="D181" s="15" t="str">
        <f aca="false">IF($A181="","",SUMIFS(매출내역!$I$3:$I$3002,매출내역!$I$3:$I$3002,"&gt;0",매출내역!$B$3:$B$3002,$A181,매출내역!$A$3:$A$3002,"&lt;="&amp;($B$3-60),매출내역!$A$3:$A$3002,"&gt;"&amp;($B$3-90)))</f>
        <v/>
      </c>
      <c r="E181" s="15" t="str">
        <f aca="false">IF($A181="","",SUMIFS(매출내역!$I$3:$I$3002,매출내역!$I$3:$I$3002,"&gt;0",매출내역!$B$3:$B$3002,$A181,매출내역!$A$3:$A$3002,"&lt;="&amp;($B$3-90)))</f>
        <v/>
      </c>
      <c r="F181" s="15" t="str">
        <f aca="false">IF($A181="","",SUM($B181:$E181))</f>
        <v/>
      </c>
      <c r="G181" s="26" t="str">
        <f aca="false">IF($A181="","",IF($F$307=0,"",$F181/$F$307))</f>
        <v/>
      </c>
    </row>
    <row r="182" customFormat="false" ht="15" hidden="false" customHeight="true" outlineLevel="0" collapsed="false">
      <c r="A182" s="19" t="str">
        <f aca="false">IF(거래처목록!$A179="","",거래처목록!$A179)</f>
        <v/>
      </c>
      <c r="B182" s="15" t="str">
        <f aca="false">IF($A182="","",SUMIFS(매출내역!$I$3:$I$3002,매출내역!$I$3:$I$3002,"&gt;0",매출내역!$B$3:$B$3002,$A182,매출내역!$A$3:$A$3002,"&gt;"&amp;($B$3-30)))</f>
        <v/>
      </c>
      <c r="C182" s="15" t="str">
        <f aca="false">IF($A182="","",SUMIFS(매출내역!$I$3:$I$3002,매출내역!$I$3:$I$3002,"&gt;0",매출내역!$B$3:$B$3002,$A182,매출내역!$A$3:$A$3002,"&lt;="&amp;($B$3-30),매출내역!$A$3:$A$3002,"&gt;"&amp;($B$3-60)))</f>
        <v/>
      </c>
      <c r="D182" s="15" t="str">
        <f aca="false">IF($A182="","",SUMIFS(매출내역!$I$3:$I$3002,매출내역!$I$3:$I$3002,"&gt;0",매출내역!$B$3:$B$3002,$A182,매출내역!$A$3:$A$3002,"&lt;="&amp;($B$3-60),매출내역!$A$3:$A$3002,"&gt;"&amp;($B$3-90)))</f>
        <v/>
      </c>
      <c r="E182" s="15" t="str">
        <f aca="false">IF($A182="","",SUMIFS(매출내역!$I$3:$I$3002,매출내역!$I$3:$I$3002,"&gt;0",매출내역!$B$3:$B$3002,$A182,매출내역!$A$3:$A$3002,"&lt;="&amp;($B$3-90)))</f>
        <v/>
      </c>
      <c r="F182" s="15" t="str">
        <f aca="false">IF($A182="","",SUM($B182:$E182))</f>
        <v/>
      </c>
      <c r="G182" s="26" t="str">
        <f aca="false">IF($A182="","",IF($F$307=0,"",$F182/$F$307))</f>
        <v/>
      </c>
    </row>
    <row r="183" customFormat="false" ht="15" hidden="false" customHeight="true" outlineLevel="0" collapsed="false">
      <c r="A183" s="19" t="str">
        <f aca="false">IF(거래처목록!$A180="","",거래처목록!$A180)</f>
        <v/>
      </c>
      <c r="B183" s="15" t="str">
        <f aca="false">IF($A183="","",SUMIFS(매출내역!$I$3:$I$3002,매출내역!$I$3:$I$3002,"&gt;0",매출내역!$B$3:$B$3002,$A183,매출내역!$A$3:$A$3002,"&gt;"&amp;($B$3-30)))</f>
        <v/>
      </c>
      <c r="C183" s="15" t="str">
        <f aca="false">IF($A183="","",SUMIFS(매출내역!$I$3:$I$3002,매출내역!$I$3:$I$3002,"&gt;0",매출내역!$B$3:$B$3002,$A183,매출내역!$A$3:$A$3002,"&lt;="&amp;($B$3-30),매출내역!$A$3:$A$3002,"&gt;"&amp;($B$3-60)))</f>
        <v/>
      </c>
      <c r="D183" s="15" t="str">
        <f aca="false">IF($A183="","",SUMIFS(매출내역!$I$3:$I$3002,매출내역!$I$3:$I$3002,"&gt;0",매출내역!$B$3:$B$3002,$A183,매출내역!$A$3:$A$3002,"&lt;="&amp;($B$3-60),매출내역!$A$3:$A$3002,"&gt;"&amp;($B$3-90)))</f>
        <v/>
      </c>
      <c r="E183" s="15" t="str">
        <f aca="false">IF($A183="","",SUMIFS(매출내역!$I$3:$I$3002,매출내역!$I$3:$I$3002,"&gt;0",매출내역!$B$3:$B$3002,$A183,매출내역!$A$3:$A$3002,"&lt;="&amp;($B$3-90)))</f>
        <v/>
      </c>
      <c r="F183" s="15" t="str">
        <f aca="false">IF($A183="","",SUM($B183:$E183))</f>
        <v/>
      </c>
      <c r="G183" s="26" t="str">
        <f aca="false">IF($A183="","",IF($F$307=0,"",$F183/$F$307))</f>
        <v/>
      </c>
    </row>
    <row r="184" customFormat="false" ht="15" hidden="false" customHeight="true" outlineLevel="0" collapsed="false">
      <c r="A184" s="19" t="str">
        <f aca="false">IF(거래처목록!$A181="","",거래처목록!$A181)</f>
        <v/>
      </c>
      <c r="B184" s="15" t="str">
        <f aca="false">IF($A184="","",SUMIFS(매출내역!$I$3:$I$3002,매출내역!$I$3:$I$3002,"&gt;0",매출내역!$B$3:$B$3002,$A184,매출내역!$A$3:$A$3002,"&gt;"&amp;($B$3-30)))</f>
        <v/>
      </c>
      <c r="C184" s="15" t="str">
        <f aca="false">IF($A184="","",SUMIFS(매출내역!$I$3:$I$3002,매출내역!$I$3:$I$3002,"&gt;0",매출내역!$B$3:$B$3002,$A184,매출내역!$A$3:$A$3002,"&lt;="&amp;($B$3-30),매출내역!$A$3:$A$3002,"&gt;"&amp;($B$3-60)))</f>
        <v/>
      </c>
      <c r="D184" s="15" t="str">
        <f aca="false">IF($A184="","",SUMIFS(매출내역!$I$3:$I$3002,매출내역!$I$3:$I$3002,"&gt;0",매출내역!$B$3:$B$3002,$A184,매출내역!$A$3:$A$3002,"&lt;="&amp;($B$3-60),매출내역!$A$3:$A$3002,"&gt;"&amp;($B$3-90)))</f>
        <v/>
      </c>
      <c r="E184" s="15" t="str">
        <f aca="false">IF($A184="","",SUMIFS(매출내역!$I$3:$I$3002,매출내역!$I$3:$I$3002,"&gt;0",매출내역!$B$3:$B$3002,$A184,매출내역!$A$3:$A$3002,"&lt;="&amp;($B$3-90)))</f>
        <v/>
      </c>
      <c r="F184" s="15" t="str">
        <f aca="false">IF($A184="","",SUM($B184:$E184))</f>
        <v/>
      </c>
      <c r="G184" s="26" t="str">
        <f aca="false">IF($A184="","",IF($F$307=0,"",$F184/$F$307))</f>
        <v/>
      </c>
    </row>
    <row r="185" customFormat="false" ht="15" hidden="false" customHeight="true" outlineLevel="0" collapsed="false">
      <c r="A185" s="19" t="str">
        <f aca="false">IF(거래처목록!$A182="","",거래처목록!$A182)</f>
        <v/>
      </c>
      <c r="B185" s="15" t="str">
        <f aca="false">IF($A185="","",SUMIFS(매출내역!$I$3:$I$3002,매출내역!$I$3:$I$3002,"&gt;0",매출내역!$B$3:$B$3002,$A185,매출내역!$A$3:$A$3002,"&gt;"&amp;($B$3-30)))</f>
        <v/>
      </c>
      <c r="C185" s="15" t="str">
        <f aca="false">IF($A185="","",SUMIFS(매출내역!$I$3:$I$3002,매출내역!$I$3:$I$3002,"&gt;0",매출내역!$B$3:$B$3002,$A185,매출내역!$A$3:$A$3002,"&lt;="&amp;($B$3-30),매출내역!$A$3:$A$3002,"&gt;"&amp;($B$3-60)))</f>
        <v/>
      </c>
      <c r="D185" s="15" t="str">
        <f aca="false">IF($A185="","",SUMIFS(매출내역!$I$3:$I$3002,매출내역!$I$3:$I$3002,"&gt;0",매출내역!$B$3:$B$3002,$A185,매출내역!$A$3:$A$3002,"&lt;="&amp;($B$3-60),매출내역!$A$3:$A$3002,"&gt;"&amp;($B$3-90)))</f>
        <v/>
      </c>
      <c r="E185" s="15" t="str">
        <f aca="false">IF($A185="","",SUMIFS(매출내역!$I$3:$I$3002,매출내역!$I$3:$I$3002,"&gt;0",매출내역!$B$3:$B$3002,$A185,매출내역!$A$3:$A$3002,"&lt;="&amp;($B$3-90)))</f>
        <v/>
      </c>
      <c r="F185" s="15" t="str">
        <f aca="false">IF($A185="","",SUM($B185:$E185))</f>
        <v/>
      </c>
      <c r="G185" s="26" t="str">
        <f aca="false">IF($A185="","",IF($F$307=0,"",$F185/$F$307))</f>
        <v/>
      </c>
    </row>
    <row r="186" customFormat="false" ht="15" hidden="false" customHeight="true" outlineLevel="0" collapsed="false">
      <c r="A186" s="19" t="str">
        <f aca="false">IF(거래처목록!$A183="","",거래처목록!$A183)</f>
        <v/>
      </c>
      <c r="B186" s="15" t="str">
        <f aca="false">IF($A186="","",SUMIFS(매출내역!$I$3:$I$3002,매출내역!$I$3:$I$3002,"&gt;0",매출내역!$B$3:$B$3002,$A186,매출내역!$A$3:$A$3002,"&gt;"&amp;($B$3-30)))</f>
        <v/>
      </c>
      <c r="C186" s="15" t="str">
        <f aca="false">IF($A186="","",SUMIFS(매출내역!$I$3:$I$3002,매출내역!$I$3:$I$3002,"&gt;0",매출내역!$B$3:$B$3002,$A186,매출내역!$A$3:$A$3002,"&lt;="&amp;($B$3-30),매출내역!$A$3:$A$3002,"&gt;"&amp;($B$3-60)))</f>
        <v/>
      </c>
      <c r="D186" s="15" t="str">
        <f aca="false">IF($A186="","",SUMIFS(매출내역!$I$3:$I$3002,매출내역!$I$3:$I$3002,"&gt;0",매출내역!$B$3:$B$3002,$A186,매출내역!$A$3:$A$3002,"&lt;="&amp;($B$3-60),매출내역!$A$3:$A$3002,"&gt;"&amp;($B$3-90)))</f>
        <v/>
      </c>
      <c r="E186" s="15" t="str">
        <f aca="false">IF($A186="","",SUMIFS(매출내역!$I$3:$I$3002,매출내역!$I$3:$I$3002,"&gt;0",매출내역!$B$3:$B$3002,$A186,매출내역!$A$3:$A$3002,"&lt;="&amp;($B$3-90)))</f>
        <v/>
      </c>
      <c r="F186" s="15" t="str">
        <f aca="false">IF($A186="","",SUM($B186:$E186))</f>
        <v/>
      </c>
      <c r="G186" s="26" t="str">
        <f aca="false">IF($A186="","",IF($F$307=0,"",$F186/$F$307))</f>
        <v/>
      </c>
    </row>
    <row r="187" customFormat="false" ht="15" hidden="false" customHeight="true" outlineLevel="0" collapsed="false">
      <c r="A187" s="19" t="str">
        <f aca="false">IF(거래처목록!$A184="","",거래처목록!$A184)</f>
        <v/>
      </c>
      <c r="B187" s="15" t="str">
        <f aca="false">IF($A187="","",SUMIFS(매출내역!$I$3:$I$3002,매출내역!$I$3:$I$3002,"&gt;0",매출내역!$B$3:$B$3002,$A187,매출내역!$A$3:$A$3002,"&gt;"&amp;($B$3-30)))</f>
        <v/>
      </c>
      <c r="C187" s="15" t="str">
        <f aca="false">IF($A187="","",SUMIFS(매출내역!$I$3:$I$3002,매출내역!$I$3:$I$3002,"&gt;0",매출내역!$B$3:$B$3002,$A187,매출내역!$A$3:$A$3002,"&lt;="&amp;($B$3-30),매출내역!$A$3:$A$3002,"&gt;"&amp;($B$3-60)))</f>
        <v/>
      </c>
      <c r="D187" s="15" t="str">
        <f aca="false">IF($A187="","",SUMIFS(매출내역!$I$3:$I$3002,매출내역!$I$3:$I$3002,"&gt;0",매출내역!$B$3:$B$3002,$A187,매출내역!$A$3:$A$3002,"&lt;="&amp;($B$3-60),매출내역!$A$3:$A$3002,"&gt;"&amp;($B$3-90)))</f>
        <v/>
      </c>
      <c r="E187" s="15" t="str">
        <f aca="false">IF($A187="","",SUMIFS(매출내역!$I$3:$I$3002,매출내역!$I$3:$I$3002,"&gt;0",매출내역!$B$3:$B$3002,$A187,매출내역!$A$3:$A$3002,"&lt;="&amp;($B$3-90)))</f>
        <v/>
      </c>
      <c r="F187" s="15" t="str">
        <f aca="false">IF($A187="","",SUM($B187:$E187))</f>
        <v/>
      </c>
      <c r="G187" s="26" t="str">
        <f aca="false">IF($A187="","",IF($F$307=0,"",$F187/$F$307))</f>
        <v/>
      </c>
    </row>
    <row r="188" customFormat="false" ht="15" hidden="false" customHeight="true" outlineLevel="0" collapsed="false">
      <c r="A188" s="19" t="str">
        <f aca="false">IF(거래처목록!$A185="","",거래처목록!$A185)</f>
        <v/>
      </c>
      <c r="B188" s="15" t="str">
        <f aca="false">IF($A188="","",SUMIFS(매출내역!$I$3:$I$3002,매출내역!$I$3:$I$3002,"&gt;0",매출내역!$B$3:$B$3002,$A188,매출내역!$A$3:$A$3002,"&gt;"&amp;($B$3-30)))</f>
        <v/>
      </c>
      <c r="C188" s="15" t="str">
        <f aca="false">IF($A188="","",SUMIFS(매출내역!$I$3:$I$3002,매출내역!$I$3:$I$3002,"&gt;0",매출내역!$B$3:$B$3002,$A188,매출내역!$A$3:$A$3002,"&lt;="&amp;($B$3-30),매출내역!$A$3:$A$3002,"&gt;"&amp;($B$3-60)))</f>
        <v/>
      </c>
      <c r="D188" s="15" t="str">
        <f aca="false">IF($A188="","",SUMIFS(매출내역!$I$3:$I$3002,매출내역!$I$3:$I$3002,"&gt;0",매출내역!$B$3:$B$3002,$A188,매출내역!$A$3:$A$3002,"&lt;="&amp;($B$3-60),매출내역!$A$3:$A$3002,"&gt;"&amp;($B$3-90)))</f>
        <v/>
      </c>
      <c r="E188" s="15" t="str">
        <f aca="false">IF($A188="","",SUMIFS(매출내역!$I$3:$I$3002,매출내역!$I$3:$I$3002,"&gt;0",매출내역!$B$3:$B$3002,$A188,매출내역!$A$3:$A$3002,"&lt;="&amp;($B$3-90)))</f>
        <v/>
      </c>
      <c r="F188" s="15" t="str">
        <f aca="false">IF($A188="","",SUM($B188:$E188))</f>
        <v/>
      </c>
      <c r="G188" s="26" t="str">
        <f aca="false">IF($A188="","",IF($F$307=0,"",$F188/$F$307))</f>
        <v/>
      </c>
    </row>
    <row r="189" customFormat="false" ht="15" hidden="false" customHeight="true" outlineLevel="0" collapsed="false">
      <c r="A189" s="19" t="str">
        <f aca="false">IF(거래처목록!$A186="","",거래처목록!$A186)</f>
        <v/>
      </c>
      <c r="B189" s="15" t="str">
        <f aca="false">IF($A189="","",SUMIFS(매출내역!$I$3:$I$3002,매출내역!$I$3:$I$3002,"&gt;0",매출내역!$B$3:$B$3002,$A189,매출내역!$A$3:$A$3002,"&gt;"&amp;($B$3-30)))</f>
        <v/>
      </c>
      <c r="C189" s="15" t="str">
        <f aca="false">IF($A189="","",SUMIFS(매출내역!$I$3:$I$3002,매출내역!$I$3:$I$3002,"&gt;0",매출내역!$B$3:$B$3002,$A189,매출내역!$A$3:$A$3002,"&lt;="&amp;($B$3-30),매출내역!$A$3:$A$3002,"&gt;"&amp;($B$3-60)))</f>
        <v/>
      </c>
      <c r="D189" s="15" t="str">
        <f aca="false">IF($A189="","",SUMIFS(매출내역!$I$3:$I$3002,매출내역!$I$3:$I$3002,"&gt;0",매출내역!$B$3:$B$3002,$A189,매출내역!$A$3:$A$3002,"&lt;="&amp;($B$3-60),매출내역!$A$3:$A$3002,"&gt;"&amp;($B$3-90)))</f>
        <v/>
      </c>
      <c r="E189" s="15" t="str">
        <f aca="false">IF($A189="","",SUMIFS(매출내역!$I$3:$I$3002,매출내역!$I$3:$I$3002,"&gt;0",매출내역!$B$3:$B$3002,$A189,매출내역!$A$3:$A$3002,"&lt;="&amp;($B$3-90)))</f>
        <v/>
      </c>
      <c r="F189" s="15" t="str">
        <f aca="false">IF($A189="","",SUM($B189:$E189))</f>
        <v/>
      </c>
      <c r="G189" s="26" t="str">
        <f aca="false">IF($A189="","",IF($F$307=0,"",$F189/$F$307))</f>
        <v/>
      </c>
    </row>
    <row r="190" customFormat="false" ht="15" hidden="false" customHeight="true" outlineLevel="0" collapsed="false">
      <c r="A190" s="19" t="str">
        <f aca="false">IF(거래처목록!$A187="","",거래처목록!$A187)</f>
        <v/>
      </c>
      <c r="B190" s="15" t="str">
        <f aca="false">IF($A190="","",SUMIFS(매출내역!$I$3:$I$3002,매출내역!$I$3:$I$3002,"&gt;0",매출내역!$B$3:$B$3002,$A190,매출내역!$A$3:$A$3002,"&gt;"&amp;($B$3-30)))</f>
        <v/>
      </c>
      <c r="C190" s="15" t="str">
        <f aca="false">IF($A190="","",SUMIFS(매출내역!$I$3:$I$3002,매출내역!$I$3:$I$3002,"&gt;0",매출내역!$B$3:$B$3002,$A190,매출내역!$A$3:$A$3002,"&lt;="&amp;($B$3-30),매출내역!$A$3:$A$3002,"&gt;"&amp;($B$3-60)))</f>
        <v/>
      </c>
      <c r="D190" s="15" t="str">
        <f aca="false">IF($A190="","",SUMIFS(매출내역!$I$3:$I$3002,매출내역!$I$3:$I$3002,"&gt;0",매출내역!$B$3:$B$3002,$A190,매출내역!$A$3:$A$3002,"&lt;="&amp;($B$3-60),매출내역!$A$3:$A$3002,"&gt;"&amp;($B$3-90)))</f>
        <v/>
      </c>
      <c r="E190" s="15" t="str">
        <f aca="false">IF($A190="","",SUMIFS(매출내역!$I$3:$I$3002,매출내역!$I$3:$I$3002,"&gt;0",매출내역!$B$3:$B$3002,$A190,매출내역!$A$3:$A$3002,"&lt;="&amp;($B$3-90)))</f>
        <v/>
      </c>
      <c r="F190" s="15" t="str">
        <f aca="false">IF($A190="","",SUM($B190:$E190))</f>
        <v/>
      </c>
      <c r="G190" s="26" t="str">
        <f aca="false">IF($A190="","",IF($F$307=0,"",$F190/$F$307))</f>
        <v/>
      </c>
    </row>
    <row r="191" customFormat="false" ht="15" hidden="false" customHeight="true" outlineLevel="0" collapsed="false">
      <c r="A191" s="19" t="str">
        <f aca="false">IF(거래처목록!$A188="","",거래처목록!$A188)</f>
        <v/>
      </c>
      <c r="B191" s="15" t="str">
        <f aca="false">IF($A191="","",SUMIFS(매출내역!$I$3:$I$3002,매출내역!$I$3:$I$3002,"&gt;0",매출내역!$B$3:$B$3002,$A191,매출내역!$A$3:$A$3002,"&gt;"&amp;($B$3-30)))</f>
        <v/>
      </c>
      <c r="C191" s="15" t="str">
        <f aca="false">IF($A191="","",SUMIFS(매출내역!$I$3:$I$3002,매출내역!$I$3:$I$3002,"&gt;0",매출내역!$B$3:$B$3002,$A191,매출내역!$A$3:$A$3002,"&lt;="&amp;($B$3-30),매출내역!$A$3:$A$3002,"&gt;"&amp;($B$3-60)))</f>
        <v/>
      </c>
      <c r="D191" s="15" t="str">
        <f aca="false">IF($A191="","",SUMIFS(매출내역!$I$3:$I$3002,매출내역!$I$3:$I$3002,"&gt;0",매출내역!$B$3:$B$3002,$A191,매출내역!$A$3:$A$3002,"&lt;="&amp;($B$3-60),매출내역!$A$3:$A$3002,"&gt;"&amp;($B$3-90)))</f>
        <v/>
      </c>
      <c r="E191" s="15" t="str">
        <f aca="false">IF($A191="","",SUMIFS(매출내역!$I$3:$I$3002,매출내역!$I$3:$I$3002,"&gt;0",매출내역!$B$3:$B$3002,$A191,매출내역!$A$3:$A$3002,"&lt;="&amp;($B$3-90)))</f>
        <v/>
      </c>
      <c r="F191" s="15" t="str">
        <f aca="false">IF($A191="","",SUM($B191:$E191))</f>
        <v/>
      </c>
      <c r="G191" s="26" t="str">
        <f aca="false">IF($A191="","",IF($F$307=0,"",$F191/$F$307))</f>
        <v/>
      </c>
    </row>
    <row r="192" customFormat="false" ht="15" hidden="false" customHeight="true" outlineLevel="0" collapsed="false">
      <c r="A192" s="19" t="str">
        <f aca="false">IF(거래처목록!$A189="","",거래처목록!$A189)</f>
        <v/>
      </c>
      <c r="B192" s="15" t="str">
        <f aca="false">IF($A192="","",SUMIFS(매출내역!$I$3:$I$3002,매출내역!$I$3:$I$3002,"&gt;0",매출내역!$B$3:$B$3002,$A192,매출내역!$A$3:$A$3002,"&gt;"&amp;($B$3-30)))</f>
        <v/>
      </c>
      <c r="C192" s="15" t="str">
        <f aca="false">IF($A192="","",SUMIFS(매출내역!$I$3:$I$3002,매출내역!$I$3:$I$3002,"&gt;0",매출내역!$B$3:$B$3002,$A192,매출내역!$A$3:$A$3002,"&lt;="&amp;($B$3-30),매출내역!$A$3:$A$3002,"&gt;"&amp;($B$3-60)))</f>
        <v/>
      </c>
      <c r="D192" s="15" t="str">
        <f aca="false">IF($A192="","",SUMIFS(매출내역!$I$3:$I$3002,매출내역!$I$3:$I$3002,"&gt;0",매출내역!$B$3:$B$3002,$A192,매출내역!$A$3:$A$3002,"&lt;="&amp;($B$3-60),매출내역!$A$3:$A$3002,"&gt;"&amp;($B$3-90)))</f>
        <v/>
      </c>
      <c r="E192" s="15" t="str">
        <f aca="false">IF($A192="","",SUMIFS(매출내역!$I$3:$I$3002,매출내역!$I$3:$I$3002,"&gt;0",매출내역!$B$3:$B$3002,$A192,매출내역!$A$3:$A$3002,"&lt;="&amp;($B$3-90)))</f>
        <v/>
      </c>
      <c r="F192" s="15" t="str">
        <f aca="false">IF($A192="","",SUM($B192:$E192))</f>
        <v/>
      </c>
      <c r="G192" s="26" t="str">
        <f aca="false">IF($A192="","",IF($F$307=0,"",$F192/$F$307))</f>
        <v/>
      </c>
    </row>
    <row r="193" customFormat="false" ht="15" hidden="false" customHeight="true" outlineLevel="0" collapsed="false">
      <c r="A193" s="19" t="str">
        <f aca="false">IF(거래처목록!$A190="","",거래처목록!$A190)</f>
        <v/>
      </c>
      <c r="B193" s="15" t="str">
        <f aca="false">IF($A193="","",SUMIFS(매출내역!$I$3:$I$3002,매출내역!$I$3:$I$3002,"&gt;0",매출내역!$B$3:$B$3002,$A193,매출내역!$A$3:$A$3002,"&gt;"&amp;($B$3-30)))</f>
        <v/>
      </c>
      <c r="C193" s="15" t="str">
        <f aca="false">IF($A193="","",SUMIFS(매출내역!$I$3:$I$3002,매출내역!$I$3:$I$3002,"&gt;0",매출내역!$B$3:$B$3002,$A193,매출내역!$A$3:$A$3002,"&lt;="&amp;($B$3-30),매출내역!$A$3:$A$3002,"&gt;"&amp;($B$3-60)))</f>
        <v/>
      </c>
      <c r="D193" s="15" t="str">
        <f aca="false">IF($A193="","",SUMIFS(매출내역!$I$3:$I$3002,매출내역!$I$3:$I$3002,"&gt;0",매출내역!$B$3:$B$3002,$A193,매출내역!$A$3:$A$3002,"&lt;="&amp;($B$3-60),매출내역!$A$3:$A$3002,"&gt;"&amp;($B$3-90)))</f>
        <v/>
      </c>
      <c r="E193" s="15" t="str">
        <f aca="false">IF($A193="","",SUMIFS(매출내역!$I$3:$I$3002,매출내역!$I$3:$I$3002,"&gt;0",매출내역!$B$3:$B$3002,$A193,매출내역!$A$3:$A$3002,"&lt;="&amp;($B$3-90)))</f>
        <v/>
      </c>
      <c r="F193" s="15" t="str">
        <f aca="false">IF($A193="","",SUM($B193:$E193))</f>
        <v/>
      </c>
      <c r="G193" s="26" t="str">
        <f aca="false">IF($A193="","",IF($F$307=0,"",$F193/$F$307))</f>
        <v/>
      </c>
    </row>
    <row r="194" customFormat="false" ht="15" hidden="false" customHeight="true" outlineLevel="0" collapsed="false">
      <c r="A194" s="19" t="str">
        <f aca="false">IF(거래처목록!$A191="","",거래처목록!$A191)</f>
        <v/>
      </c>
      <c r="B194" s="15" t="str">
        <f aca="false">IF($A194="","",SUMIFS(매출내역!$I$3:$I$3002,매출내역!$I$3:$I$3002,"&gt;0",매출내역!$B$3:$B$3002,$A194,매출내역!$A$3:$A$3002,"&gt;"&amp;($B$3-30)))</f>
        <v/>
      </c>
      <c r="C194" s="15" t="str">
        <f aca="false">IF($A194="","",SUMIFS(매출내역!$I$3:$I$3002,매출내역!$I$3:$I$3002,"&gt;0",매출내역!$B$3:$B$3002,$A194,매출내역!$A$3:$A$3002,"&lt;="&amp;($B$3-30),매출내역!$A$3:$A$3002,"&gt;"&amp;($B$3-60)))</f>
        <v/>
      </c>
      <c r="D194" s="15" t="str">
        <f aca="false">IF($A194="","",SUMIFS(매출내역!$I$3:$I$3002,매출내역!$I$3:$I$3002,"&gt;0",매출내역!$B$3:$B$3002,$A194,매출내역!$A$3:$A$3002,"&lt;="&amp;($B$3-60),매출내역!$A$3:$A$3002,"&gt;"&amp;($B$3-90)))</f>
        <v/>
      </c>
      <c r="E194" s="15" t="str">
        <f aca="false">IF($A194="","",SUMIFS(매출내역!$I$3:$I$3002,매출내역!$I$3:$I$3002,"&gt;0",매출내역!$B$3:$B$3002,$A194,매출내역!$A$3:$A$3002,"&lt;="&amp;($B$3-90)))</f>
        <v/>
      </c>
      <c r="F194" s="15" t="str">
        <f aca="false">IF($A194="","",SUM($B194:$E194))</f>
        <v/>
      </c>
      <c r="G194" s="26" t="str">
        <f aca="false">IF($A194="","",IF($F$307=0,"",$F194/$F$307))</f>
        <v/>
      </c>
    </row>
    <row r="195" customFormat="false" ht="15" hidden="false" customHeight="true" outlineLevel="0" collapsed="false">
      <c r="A195" s="19" t="str">
        <f aca="false">IF(거래처목록!$A192="","",거래처목록!$A192)</f>
        <v/>
      </c>
      <c r="B195" s="15" t="str">
        <f aca="false">IF($A195="","",SUMIFS(매출내역!$I$3:$I$3002,매출내역!$I$3:$I$3002,"&gt;0",매출내역!$B$3:$B$3002,$A195,매출내역!$A$3:$A$3002,"&gt;"&amp;($B$3-30)))</f>
        <v/>
      </c>
      <c r="C195" s="15" t="str">
        <f aca="false">IF($A195="","",SUMIFS(매출내역!$I$3:$I$3002,매출내역!$I$3:$I$3002,"&gt;0",매출내역!$B$3:$B$3002,$A195,매출내역!$A$3:$A$3002,"&lt;="&amp;($B$3-30),매출내역!$A$3:$A$3002,"&gt;"&amp;($B$3-60)))</f>
        <v/>
      </c>
      <c r="D195" s="15" t="str">
        <f aca="false">IF($A195="","",SUMIFS(매출내역!$I$3:$I$3002,매출내역!$I$3:$I$3002,"&gt;0",매출내역!$B$3:$B$3002,$A195,매출내역!$A$3:$A$3002,"&lt;="&amp;($B$3-60),매출내역!$A$3:$A$3002,"&gt;"&amp;($B$3-90)))</f>
        <v/>
      </c>
      <c r="E195" s="15" t="str">
        <f aca="false">IF($A195="","",SUMIFS(매출내역!$I$3:$I$3002,매출내역!$I$3:$I$3002,"&gt;0",매출내역!$B$3:$B$3002,$A195,매출내역!$A$3:$A$3002,"&lt;="&amp;($B$3-90)))</f>
        <v/>
      </c>
      <c r="F195" s="15" t="str">
        <f aca="false">IF($A195="","",SUM($B195:$E195))</f>
        <v/>
      </c>
      <c r="G195" s="26" t="str">
        <f aca="false">IF($A195="","",IF($F$307=0,"",$F195/$F$307))</f>
        <v/>
      </c>
    </row>
    <row r="196" customFormat="false" ht="15" hidden="false" customHeight="true" outlineLevel="0" collapsed="false">
      <c r="A196" s="19" t="str">
        <f aca="false">IF(거래처목록!$A193="","",거래처목록!$A193)</f>
        <v/>
      </c>
      <c r="B196" s="15" t="str">
        <f aca="false">IF($A196="","",SUMIFS(매출내역!$I$3:$I$3002,매출내역!$I$3:$I$3002,"&gt;0",매출내역!$B$3:$B$3002,$A196,매출내역!$A$3:$A$3002,"&gt;"&amp;($B$3-30)))</f>
        <v/>
      </c>
      <c r="C196" s="15" t="str">
        <f aca="false">IF($A196="","",SUMIFS(매출내역!$I$3:$I$3002,매출내역!$I$3:$I$3002,"&gt;0",매출내역!$B$3:$B$3002,$A196,매출내역!$A$3:$A$3002,"&lt;="&amp;($B$3-30),매출내역!$A$3:$A$3002,"&gt;"&amp;($B$3-60)))</f>
        <v/>
      </c>
      <c r="D196" s="15" t="str">
        <f aca="false">IF($A196="","",SUMIFS(매출내역!$I$3:$I$3002,매출내역!$I$3:$I$3002,"&gt;0",매출내역!$B$3:$B$3002,$A196,매출내역!$A$3:$A$3002,"&lt;="&amp;($B$3-60),매출내역!$A$3:$A$3002,"&gt;"&amp;($B$3-90)))</f>
        <v/>
      </c>
      <c r="E196" s="15" t="str">
        <f aca="false">IF($A196="","",SUMIFS(매출내역!$I$3:$I$3002,매출내역!$I$3:$I$3002,"&gt;0",매출내역!$B$3:$B$3002,$A196,매출내역!$A$3:$A$3002,"&lt;="&amp;($B$3-90)))</f>
        <v/>
      </c>
      <c r="F196" s="15" t="str">
        <f aca="false">IF($A196="","",SUM($B196:$E196))</f>
        <v/>
      </c>
      <c r="G196" s="26" t="str">
        <f aca="false">IF($A196="","",IF($F$307=0,"",$F196/$F$307))</f>
        <v/>
      </c>
    </row>
    <row r="197" customFormat="false" ht="15" hidden="false" customHeight="true" outlineLevel="0" collapsed="false">
      <c r="A197" s="19" t="str">
        <f aca="false">IF(거래처목록!$A194="","",거래처목록!$A194)</f>
        <v/>
      </c>
      <c r="B197" s="15" t="str">
        <f aca="false">IF($A197="","",SUMIFS(매출내역!$I$3:$I$3002,매출내역!$I$3:$I$3002,"&gt;0",매출내역!$B$3:$B$3002,$A197,매출내역!$A$3:$A$3002,"&gt;"&amp;($B$3-30)))</f>
        <v/>
      </c>
      <c r="C197" s="15" t="str">
        <f aca="false">IF($A197="","",SUMIFS(매출내역!$I$3:$I$3002,매출내역!$I$3:$I$3002,"&gt;0",매출내역!$B$3:$B$3002,$A197,매출내역!$A$3:$A$3002,"&lt;="&amp;($B$3-30),매출내역!$A$3:$A$3002,"&gt;"&amp;($B$3-60)))</f>
        <v/>
      </c>
      <c r="D197" s="15" t="str">
        <f aca="false">IF($A197="","",SUMIFS(매출내역!$I$3:$I$3002,매출내역!$I$3:$I$3002,"&gt;0",매출내역!$B$3:$B$3002,$A197,매출내역!$A$3:$A$3002,"&lt;="&amp;($B$3-60),매출내역!$A$3:$A$3002,"&gt;"&amp;($B$3-90)))</f>
        <v/>
      </c>
      <c r="E197" s="15" t="str">
        <f aca="false">IF($A197="","",SUMIFS(매출내역!$I$3:$I$3002,매출내역!$I$3:$I$3002,"&gt;0",매출내역!$B$3:$B$3002,$A197,매출내역!$A$3:$A$3002,"&lt;="&amp;($B$3-90)))</f>
        <v/>
      </c>
      <c r="F197" s="15" t="str">
        <f aca="false">IF($A197="","",SUM($B197:$E197))</f>
        <v/>
      </c>
      <c r="G197" s="26" t="str">
        <f aca="false">IF($A197="","",IF($F$307=0,"",$F197/$F$307))</f>
        <v/>
      </c>
    </row>
    <row r="198" customFormat="false" ht="15" hidden="false" customHeight="true" outlineLevel="0" collapsed="false">
      <c r="A198" s="19" t="str">
        <f aca="false">IF(거래처목록!$A195="","",거래처목록!$A195)</f>
        <v/>
      </c>
      <c r="B198" s="15" t="str">
        <f aca="false">IF($A198="","",SUMIFS(매출내역!$I$3:$I$3002,매출내역!$I$3:$I$3002,"&gt;0",매출내역!$B$3:$B$3002,$A198,매출내역!$A$3:$A$3002,"&gt;"&amp;($B$3-30)))</f>
        <v/>
      </c>
      <c r="C198" s="15" t="str">
        <f aca="false">IF($A198="","",SUMIFS(매출내역!$I$3:$I$3002,매출내역!$I$3:$I$3002,"&gt;0",매출내역!$B$3:$B$3002,$A198,매출내역!$A$3:$A$3002,"&lt;="&amp;($B$3-30),매출내역!$A$3:$A$3002,"&gt;"&amp;($B$3-60)))</f>
        <v/>
      </c>
      <c r="D198" s="15" t="str">
        <f aca="false">IF($A198="","",SUMIFS(매출내역!$I$3:$I$3002,매출내역!$I$3:$I$3002,"&gt;0",매출내역!$B$3:$B$3002,$A198,매출내역!$A$3:$A$3002,"&lt;="&amp;($B$3-60),매출내역!$A$3:$A$3002,"&gt;"&amp;($B$3-90)))</f>
        <v/>
      </c>
      <c r="E198" s="15" t="str">
        <f aca="false">IF($A198="","",SUMIFS(매출내역!$I$3:$I$3002,매출내역!$I$3:$I$3002,"&gt;0",매출내역!$B$3:$B$3002,$A198,매출내역!$A$3:$A$3002,"&lt;="&amp;($B$3-90)))</f>
        <v/>
      </c>
      <c r="F198" s="15" t="str">
        <f aca="false">IF($A198="","",SUM($B198:$E198))</f>
        <v/>
      </c>
      <c r="G198" s="26" t="str">
        <f aca="false">IF($A198="","",IF($F$307=0,"",$F198/$F$307))</f>
        <v/>
      </c>
    </row>
    <row r="199" customFormat="false" ht="15" hidden="false" customHeight="true" outlineLevel="0" collapsed="false">
      <c r="A199" s="19" t="str">
        <f aca="false">IF(거래처목록!$A196="","",거래처목록!$A196)</f>
        <v/>
      </c>
      <c r="B199" s="15" t="str">
        <f aca="false">IF($A199="","",SUMIFS(매출내역!$I$3:$I$3002,매출내역!$I$3:$I$3002,"&gt;0",매출내역!$B$3:$B$3002,$A199,매출내역!$A$3:$A$3002,"&gt;"&amp;($B$3-30)))</f>
        <v/>
      </c>
      <c r="C199" s="15" t="str">
        <f aca="false">IF($A199="","",SUMIFS(매출내역!$I$3:$I$3002,매출내역!$I$3:$I$3002,"&gt;0",매출내역!$B$3:$B$3002,$A199,매출내역!$A$3:$A$3002,"&lt;="&amp;($B$3-30),매출내역!$A$3:$A$3002,"&gt;"&amp;($B$3-60)))</f>
        <v/>
      </c>
      <c r="D199" s="15" t="str">
        <f aca="false">IF($A199="","",SUMIFS(매출내역!$I$3:$I$3002,매출내역!$I$3:$I$3002,"&gt;0",매출내역!$B$3:$B$3002,$A199,매출내역!$A$3:$A$3002,"&lt;="&amp;($B$3-60),매출내역!$A$3:$A$3002,"&gt;"&amp;($B$3-90)))</f>
        <v/>
      </c>
      <c r="E199" s="15" t="str">
        <f aca="false">IF($A199="","",SUMIFS(매출내역!$I$3:$I$3002,매출내역!$I$3:$I$3002,"&gt;0",매출내역!$B$3:$B$3002,$A199,매출내역!$A$3:$A$3002,"&lt;="&amp;($B$3-90)))</f>
        <v/>
      </c>
      <c r="F199" s="15" t="str">
        <f aca="false">IF($A199="","",SUM($B199:$E199))</f>
        <v/>
      </c>
      <c r="G199" s="26" t="str">
        <f aca="false">IF($A199="","",IF($F$307=0,"",$F199/$F$307))</f>
        <v/>
      </c>
    </row>
    <row r="200" customFormat="false" ht="15" hidden="false" customHeight="true" outlineLevel="0" collapsed="false">
      <c r="A200" s="19" t="str">
        <f aca="false">IF(거래처목록!$A197="","",거래처목록!$A197)</f>
        <v/>
      </c>
      <c r="B200" s="15" t="str">
        <f aca="false">IF($A200="","",SUMIFS(매출내역!$I$3:$I$3002,매출내역!$I$3:$I$3002,"&gt;0",매출내역!$B$3:$B$3002,$A200,매출내역!$A$3:$A$3002,"&gt;"&amp;($B$3-30)))</f>
        <v/>
      </c>
      <c r="C200" s="15" t="str">
        <f aca="false">IF($A200="","",SUMIFS(매출내역!$I$3:$I$3002,매출내역!$I$3:$I$3002,"&gt;0",매출내역!$B$3:$B$3002,$A200,매출내역!$A$3:$A$3002,"&lt;="&amp;($B$3-30),매출내역!$A$3:$A$3002,"&gt;"&amp;($B$3-60)))</f>
        <v/>
      </c>
      <c r="D200" s="15" t="str">
        <f aca="false">IF($A200="","",SUMIFS(매출내역!$I$3:$I$3002,매출내역!$I$3:$I$3002,"&gt;0",매출내역!$B$3:$B$3002,$A200,매출내역!$A$3:$A$3002,"&lt;="&amp;($B$3-60),매출내역!$A$3:$A$3002,"&gt;"&amp;($B$3-90)))</f>
        <v/>
      </c>
      <c r="E200" s="15" t="str">
        <f aca="false">IF($A200="","",SUMIFS(매출내역!$I$3:$I$3002,매출내역!$I$3:$I$3002,"&gt;0",매출내역!$B$3:$B$3002,$A200,매출내역!$A$3:$A$3002,"&lt;="&amp;($B$3-90)))</f>
        <v/>
      </c>
      <c r="F200" s="15" t="str">
        <f aca="false">IF($A200="","",SUM($B200:$E200))</f>
        <v/>
      </c>
      <c r="G200" s="26" t="str">
        <f aca="false">IF($A200="","",IF($F$307=0,"",$F200/$F$307))</f>
        <v/>
      </c>
    </row>
    <row r="201" customFormat="false" ht="15" hidden="false" customHeight="true" outlineLevel="0" collapsed="false">
      <c r="A201" s="19" t="str">
        <f aca="false">IF(거래처목록!$A198="","",거래처목록!$A198)</f>
        <v/>
      </c>
      <c r="B201" s="15" t="str">
        <f aca="false">IF($A201="","",SUMIFS(매출내역!$I$3:$I$3002,매출내역!$I$3:$I$3002,"&gt;0",매출내역!$B$3:$B$3002,$A201,매출내역!$A$3:$A$3002,"&gt;"&amp;($B$3-30)))</f>
        <v/>
      </c>
      <c r="C201" s="15" t="str">
        <f aca="false">IF($A201="","",SUMIFS(매출내역!$I$3:$I$3002,매출내역!$I$3:$I$3002,"&gt;0",매출내역!$B$3:$B$3002,$A201,매출내역!$A$3:$A$3002,"&lt;="&amp;($B$3-30),매출내역!$A$3:$A$3002,"&gt;"&amp;($B$3-60)))</f>
        <v/>
      </c>
      <c r="D201" s="15" t="str">
        <f aca="false">IF($A201="","",SUMIFS(매출내역!$I$3:$I$3002,매출내역!$I$3:$I$3002,"&gt;0",매출내역!$B$3:$B$3002,$A201,매출내역!$A$3:$A$3002,"&lt;="&amp;($B$3-60),매출내역!$A$3:$A$3002,"&gt;"&amp;($B$3-90)))</f>
        <v/>
      </c>
      <c r="E201" s="15" t="str">
        <f aca="false">IF($A201="","",SUMIFS(매출내역!$I$3:$I$3002,매출내역!$I$3:$I$3002,"&gt;0",매출내역!$B$3:$B$3002,$A201,매출내역!$A$3:$A$3002,"&lt;="&amp;($B$3-90)))</f>
        <v/>
      </c>
      <c r="F201" s="15" t="str">
        <f aca="false">IF($A201="","",SUM($B201:$E201))</f>
        <v/>
      </c>
      <c r="G201" s="26" t="str">
        <f aca="false">IF($A201="","",IF($F$307=0,"",$F201/$F$307))</f>
        <v/>
      </c>
    </row>
    <row r="202" customFormat="false" ht="15" hidden="false" customHeight="true" outlineLevel="0" collapsed="false">
      <c r="A202" s="19" t="str">
        <f aca="false">IF(거래처목록!$A199="","",거래처목록!$A199)</f>
        <v/>
      </c>
      <c r="B202" s="15" t="str">
        <f aca="false">IF($A202="","",SUMIFS(매출내역!$I$3:$I$3002,매출내역!$I$3:$I$3002,"&gt;0",매출내역!$B$3:$B$3002,$A202,매출내역!$A$3:$A$3002,"&gt;"&amp;($B$3-30)))</f>
        <v/>
      </c>
      <c r="C202" s="15" t="str">
        <f aca="false">IF($A202="","",SUMIFS(매출내역!$I$3:$I$3002,매출내역!$I$3:$I$3002,"&gt;0",매출내역!$B$3:$B$3002,$A202,매출내역!$A$3:$A$3002,"&lt;="&amp;($B$3-30),매출내역!$A$3:$A$3002,"&gt;"&amp;($B$3-60)))</f>
        <v/>
      </c>
      <c r="D202" s="15" t="str">
        <f aca="false">IF($A202="","",SUMIFS(매출내역!$I$3:$I$3002,매출내역!$I$3:$I$3002,"&gt;0",매출내역!$B$3:$B$3002,$A202,매출내역!$A$3:$A$3002,"&lt;="&amp;($B$3-60),매출내역!$A$3:$A$3002,"&gt;"&amp;($B$3-90)))</f>
        <v/>
      </c>
      <c r="E202" s="15" t="str">
        <f aca="false">IF($A202="","",SUMIFS(매출내역!$I$3:$I$3002,매출내역!$I$3:$I$3002,"&gt;0",매출내역!$B$3:$B$3002,$A202,매출내역!$A$3:$A$3002,"&lt;="&amp;($B$3-90)))</f>
        <v/>
      </c>
      <c r="F202" s="15" t="str">
        <f aca="false">IF($A202="","",SUM($B202:$E202))</f>
        <v/>
      </c>
      <c r="G202" s="26" t="str">
        <f aca="false">IF($A202="","",IF($F$307=0,"",$F202/$F$307))</f>
        <v/>
      </c>
    </row>
    <row r="203" customFormat="false" ht="15" hidden="false" customHeight="true" outlineLevel="0" collapsed="false">
      <c r="A203" s="19" t="str">
        <f aca="false">IF(거래처목록!$A200="","",거래처목록!$A200)</f>
        <v/>
      </c>
      <c r="B203" s="15" t="str">
        <f aca="false">IF($A203="","",SUMIFS(매출내역!$I$3:$I$3002,매출내역!$I$3:$I$3002,"&gt;0",매출내역!$B$3:$B$3002,$A203,매출내역!$A$3:$A$3002,"&gt;"&amp;($B$3-30)))</f>
        <v/>
      </c>
      <c r="C203" s="15" t="str">
        <f aca="false">IF($A203="","",SUMIFS(매출내역!$I$3:$I$3002,매출내역!$I$3:$I$3002,"&gt;0",매출내역!$B$3:$B$3002,$A203,매출내역!$A$3:$A$3002,"&lt;="&amp;($B$3-30),매출내역!$A$3:$A$3002,"&gt;"&amp;($B$3-60)))</f>
        <v/>
      </c>
      <c r="D203" s="15" t="str">
        <f aca="false">IF($A203="","",SUMIFS(매출내역!$I$3:$I$3002,매출내역!$I$3:$I$3002,"&gt;0",매출내역!$B$3:$B$3002,$A203,매출내역!$A$3:$A$3002,"&lt;="&amp;($B$3-60),매출내역!$A$3:$A$3002,"&gt;"&amp;($B$3-90)))</f>
        <v/>
      </c>
      <c r="E203" s="15" t="str">
        <f aca="false">IF($A203="","",SUMIFS(매출내역!$I$3:$I$3002,매출내역!$I$3:$I$3002,"&gt;0",매출내역!$B$3:$B$3002,$A203,매출내역!$A$3:$A$3002,"&lt;="&amp;($B$3-90)))</f>
        <v/>
      </c>
      <c r="F203" s="15" t="str">
        <f aca="false">IF($A203="","",SUM($B203:$E203))</f>
        <v/>
      </c>
      <c r="G203" s="26" t="str">
        <f aca="false">IF($A203="","",IF($F$307=0,"",$F203/$F$307))</f>
        <v/>
      </c>
    </row>
    <row r="204" customFormat="false" ht="15" hidden="false" customHeight="true" outlineLevel="0" collapsed="false">
      <c r="A204" s="19" t="str">
        <f aca="false">IF(거래처목록!$A201="","",거래처목록!$A201)</f>
        <v/>
      </c>
      <c r="B204" s="15" t="str">
        <f aca="false">IF($A204="","",SUMIFS(매출내역!$I$3:$I$3002,매출내역!$I$3:$I$3002,"&gt;0",매출내역!$B$3:$B$3002,$A204,매출내역!$A$3:$A$3002,"&gt;"&amp;($B$3-30)))</f>
        <v/>
      </c>
      <c r="C204" s="15" t="str">
        <f aca="false">IF($A204="","",SUMIFS(매출내역!$I$3:$I$3002,매출내역!$I$3:$I$3002,"&gt;0",매출내역!$B$3:$B$3002,$A204,매출내역!$A$3:$A$3002,"&lt;="&amp;($B$3-30),매출내역!$A$3:$A$3002,"&gt;"&amp;($B$3-60)))</f>
        <v/>
      </c>
      <c r="D204" s="15" t="str">
        <f aca="false">IF($A204="","",SUMIFS(매출내역!$I$3:$I$3002,매출내역!$I$3:$I$3002,"&gt;0",매출내역!$B$3:$B$3002,$A204,매출내역!$A$3:$A$3002,"&lt;="&amp;($B$3-60),매출내역!$A$3:$A$3002,"&gt;"&amp;($B$3-90)))</f>
        <v/>
      </c>
      <c r="E204" s="15" t="str">
        <f aca="false">IF($A204="","",SUMIFS(매출내역!$I$3:$I$3002,매출내역!$I$3:$I$3002,"&gt;0",매출내역!$B$3:$B$3002,$A204,매출내역!$A$3:$A$3002,"&lt;="&amp;($B$3-90)))</f>
        <v/>
      </c>
      <c r="F204" s="15" t="str">
        <f aca="false">IF($A204="","",SUM($B204:$E204))</f>
        <v/>
      </c>
      <c r="G204" s="26" t="str">
        <f aca="false">IF($A204="","",IF($F$307=0,"",$F204/$F$307))</f>
        <v/>
      </c>
    </row>
    <row r="205" customFormat="false" ht="15" hidden="false" customHeight="true" outlineLevel="0" collapsed="false">
      <c r="A205" s="19" t="str">
        <f aca="false">IF(거래처목록!$A202="","",거래처목록!$A202)</f>
        <v/>
      </c>
      <c r="B205" s="15" t="str">
        <f aca="false">IF($A205="","",SUMIFS(매출내역!$I$3:$I$3002,매출내역!$I$3:$I$3002,"&gt;0",매출내역!$B$3:$B$3002,$A205,매출내역!$A$3:$A$3002,"&gt;"&amp;($B$3-30)))</f>
        <v/>
      </c>
      <c r="C205" s="15" t="str">
        <f aca="false">IF($A205="","",SUMIFS(매출내역!$I$3:$I$3002,매출내역!$I$3:$I$3002,"&gt;0",매출내역!$B$3:$B$3002,$A205,매출내역!$A$3:$A$3002,"&lt;="&amp;($B$3-30),매출내역!$A$3:$A$3002,"&gt;"&amp;($B$3-60)))</f>
        <v/>
      </c>
      <c r="D205" s="15" t="str">
        <f aca="false">IF($A205="","",SUMIFS(매출내역!$I$3:$I$3002,매출내역!$I$3:$I$3002,"&gt;0",매출내역!$B$3:$B$3002,$A205,매출내역!$A$3:$A$3002,"&lt;="&amp;($B$3-60),매출내역!$A$3:$A$3002,"&gt;"&amp;($B$3-90)))</f>
        <v/>
      </c>
      <c r="E205" s="15" t="str">
        <f aca="false">IF($A205="","",SUMIFS(매출내역!$I$3:$I$3002,매출내역!$I$3:$I$3002,"&gt;0",매출내역!$B$3:$B$3002,$A205,매출내역!$A$3:$A$3002,"&lt;="&amp;($B$3-90)))</f>
        <v/>
      </c>
      <c r="F205" s="15" t="str">
        <f aca="false">IF($A205="","",SUM($B205:$E205))</f>
        <v/>
      </c>
      <c r="G205" s="26" t="str">
        <f aca="false">IF($A205="","",IF($F$307=0,"",$F205/$F$307))</f>
        <v/>
      </c>
    </row>
    <row r="206" customFormat="false" ht="15" hidden="false" customHeight="true" outlineLevel="0" collapsed="false">
      <c r="A206" s="19" t="str">
        <f aca="false">IF(거래처목록!$A203="","",거래처목록!$A203)</f>
        <v/>
      </c>
      <c r="B206" s="15" t="str">
        <f aca="false">IF($A206="","",SUMIFS(매출내역!$I$3:$I$3002,매출내역!$I$3:$I$3002,"&gt;0",매출내역!$B$3:$B$3002,$A206,매출내역!$A$3:$A$3002,"&gt;"&amp;($B$3-30)))</f>
        <v/>
      </c>
      <c r="C206" s="15" t="str">
        <f aca="false">IF($A206="","",SUMIFS(매출내역!$I$3:$I$3002,매출내역!$I$3:$I$3002,"&gt;0",매출내역!$B$3:$B$3002,$A206,매출내역!$A$3:$A$3002,"&lt;="&amp;($B$3-30),매출내역!$A$3:$A$3002,"&gt;"&amp;($B$3-60)))</f>
        <v/>
      </c>
      <c r="D206" s="15" t="str">
        <f aca="false">IF($A206="","",SUMIFS(매출내역!$I$3:$I$3002,매출내역!$I$3:$I$3002,"&gt;0",매출내역!$B$3:$B$3002,$A206,매출내역!$A$3:$A$3002,"&lt;="&amp;($B$3-60),매출내역!$A$3:$A$3002,"&gt;"&amp;($B$3-90)))</f>
        <v/>
      </c>
      <c r="E206" s="15" t="str">
        <f aca="false">IF($A206="","",SUMIFS(매출내역!$I$3:$I$3002,매출내역!$I$3:$I$3002,"&gt;0",매출내역!$B$3:$B$3002,$A206,매출내역!$A$3:$A$3002,"&lt;="&amp;($B$3-90)))</f>
        <v/>
      </c>
      <c r="F206" s="15" t="str">
        <f aca="false">IF($A206="","",SUM($B206:$E206))</f>
        <v/>
      </c>
      <c r="G206" s="26" t="str">
        <f aca="false">IF($A206="","",IF($F$307=0,"",$F206/$F$307))</f>
        <v/>
      </c>
    </row>
    <row r="207" customFormat="false" ht="15" hidden="false" customHeight="true" outlineLevel="0" collapsed="false">
      <c r="A207" s="19" t="str">
        <f aca="false">IF(거래처목록!$A204="","",거래처목록!$A204)</f>
        <v/>
      </c>
      <c r="B207" s="15" t="str">
        <f aca="false">IF($A207="","",SUMIFS(매출내역!$I$3:$I$3002,매출내역!$I$3:$I$3002,"&gt;0",매출내역!$B$3:$B$3002,$A207,매출내역!$A$3:$A$3002,"&gt;"&amp;($B$3-30)))</f>
        <v/>
      </c>
      <c r="C207" s="15" t="str">
        <f aca="false">IF($A207="","",SUMIFS(매출내역!$I$3:$I$3002,매출내역!$I$3:$I$3002,"&gt;0",매출내역!$B$3:$B$3002,$A207,매출내역!$A$3:$A$3002,"&lt;="&amp;($B$3-30),매출내역!$A$3:$A$3002,"&gt;"&amp;($B$3-60)))</f>
        <v/>
      </c>
      <c r="D207" s="15" t="str">
        <f aca="false">IF($A207="","",SUMIFS(매출내역!$I$3:$I$3002,매출내역!$I$3:$I$3002,"&gt;0",매출내역!$B$3:$B$3002,$A207,매출내역!$A$3:$A$3002,"&lt;="&amp;($B$3-60),매출내역!$A$3:$A$3002,"&gt;"&amp;($B$3-90)))</f>
        <v/>
      </c>
      <c r="E207" s="15" t="str">
        <f aca="false">IF($A207="","",SUMIFS(매출내역!$I$3:$I$3002,매출내역!$I$3:$I$3002,"&gt;0",매출내역!$B$3:$B$3002,$A207,매출내역!$A$3:$A$3002,"&lt;="&amp;($B$3-90)))</f>
        <v/>
      </c>
      <c r="F207" s="15" t="str">
        <f aca="false">IF($A207="","",SUM($B207:$E207))</f>
        <v/>
      </c>
      <c r="G207" s="26" t="str">
        <f aca="false">IF($A207="","",IF($F$307=0,"",$F207/$F$307))</f>
        <v/>
      </c>
    </row>
    <row r="208" customFormat="false" ht="15" hidden="false" customHeight="true" outlineLevel="0" collapsed="false">
      <c r="A208" s="19" t="str">
        <f aca="false">IF(거래처목록!$A205="","",거래처목록!$A205)</f>
        <v/>
      </c>
      <c r="B208" s="15" t="str">
        <f aca="false">IF($A208="","",SUMIFS(매출내역!$I$3:$I$3002,매출내역!$I$3:$I$3002,"&gt;0",매출내역!$B$3:$B$3002,$A208,매출내역!$A$3:$A$3002,"&gt;"&amp;($B$3-30)))</f>
        <v/>
      </c>
      <c r="C208" s="15" t="str">
        <f aca="false">IF($A208="","",SUMIFS(매출내역!$I$3:$I$3002,매출내역!$I$3:$I$3002,"&gt;0",매출내역!$B$3:$B$3002,$A208,매출내역!$A$3:$A$3002,"&lt;="&amp;($B$3-30),매출내역!$A$3:$A$3002,"&gt;"&amp;($B$3-60)))</f>
        <v/>
      </c>
      <c r="D208" s="15" t="str">
        <f aca="false">IF($A208="","",SUMIFS(매출내역!$I$3:$I$3002,매출내역!$I$3:$I$3002,"&gt;0",매출내역!$B$3:$B$3002,$A208,매출내역!$A$3:$A$3002,"&lt;="&amp;($B$3-60),매출내역!$A$3:$A$3002,"&gt;"&amp;($B$3-90)))</f>
        <v/>
      </c>
      <c r="E208" s="15" t="str">
        <f aca="false">IF($A208="","",SUMIFS(매출내역!$I$3:$I$3002,매출내역!$I$3:$I$3002,"&gt;0",매출내역!$B$3:$B$3002,$A208,매출내역!$A$3:$A$3002,"&lt;="&amp;($B$3-90)))</f>
        <v/>
      </c>
      <c r="F208" s="15" t="str">
        <f aca="false">IF($A208="","",SUM($B208:$E208))</f>
        <v/>
      </c>
      <c r="G208" s="26" t="str">
        <f aca="false">IF($A208="","",IF($F$307=0,"",$F208/$F$307))</f>
        <v/>
      </c>
    </row>
    <row r="209" customFormat="false" ht="15" hidden="false" customHeight="true" outlineLevel="0" collapsed="false">
      <c r="A209" s="19" t="str">
        <f aca="false">IF(거래처목록!$A206="","",거래처목록!$A206)</f>
        <v/>
      </c>
      <c r="B209" s="15" t="str">
        <f aca="false">IF($A209="","",SUMIFS(매출내역!$I$3:$I$3002,매출내역!$I$3:$I$3002,"&gt;0",매출내역!$B$3:$B$3002,$A209,매출내역!$A$3:$A$3002,"&gt;"&amp;($B$3-30)))</f>
        <v/>
      </c>
      <c r="C209" s="15" t="str">
        <f aca="false">IF($A209="","",SUMIFS(매출내역!$I$3:$I$3002,매출내역!$I$3:$I$3002,"&gt;0",매출내역!$B$3:$B$3002,$A209,매출내역!$A$3:$A$3002,"&lt;="&amp;($B$3-30),매출내역!$A$3:$A$3002,"&gt;"&amp;($B$3-60)))</f>
        <v/>
      </c>
      <c r="D209" s="15" t="str">
        <f aca="false">IF($A209="","",SUMIFS(매출내역!$I$3:$I$3002,매출내역!$I$3:$I$3002,"&gt;0",매출내역!$B$3:$B$3002,$A209,매출내역!$A$3:$A$3002,"&lt;="&amp;($B$3-60),매출내역!$A$3:$A$3002,"&gt;"&amp;($B$3-90)))</f>
        <v/>
      </c>
      <c r="E209" s="15" t="str">
        <f aca="false">IF($A209="","",SUMIFS(매출내역!$I$3:$I$3002,매출내역!$I$3:$I$3002,"&gt;0",매출내역!$B$3:$B$3002,$A209,매출내역!$A$3:$A$3002,"&lt;="&amp;($B$3-90)))</f>
        <v/>
      </c>
      <c r="F209" s="15" t="str">
        <f aca="false">IF($A209="","",SUM($B209:$E209))</f>
        <v/>
      </c>
      <c r="G209" s="26" t="str">
        <f aca="false">IF($A209="","",IF($F$307=0,"",$F209/$F$307))</f>
        <v/>
      </c>
    </row>
    <row r="210" customFormat="false" ht="15" hidden="false" customHeight="true" outlineLevel="0" collapsed="false">
      <c r="A210" s="19" t="str">
        <f aca="false">IF(거래처목록!$A207="","",거래처목록!$A207)</f>
        <v/>
      </c>
      <c r="B210" s="15" t="str">
        <f aca="false">IF($A210="","",SUMIFS(매출내역!$I$3:$I$3002,매출내역!$I$3:$I$3002,"&gt;0",매출내역!$B$3:$B$3002,$A210,매출내역!$A$3:$A$3002,"&gt;"&amp;($B$3-30)))</f>
        <v/>
      </c>
      <c r="C210" s="15" t="str">
        <f aca="false">IF($A210="","",SUMIFS(매출내역!$I$3:$I$3002,매출내역!$I$3:$I$3002,"&gt;0",매출내역!$B$3:$B$3002,$A210,매출내역!$A$3:$A$3002,"&lt;="&amp;($B$3-30),매출내역!$A$3:$A$3002,"&gt;"&amp;($B$3-60)))</f>
        <v/>
      </c>
      <c r="D210" s="15" t="str">
        <f aca="false">IF($A210="","",SUMIFS(매출내역!$I$3:$I$3002,매출내역!$I$3:$I$3002,"&gt;0",매출내역!$B$3:$B$3002,$A210,매출내역!$A$3:$A$3002,"&lt;="&amp;($B$3-60),매출내역!$A$3:$A$3002,"&gt;"&amp;($B$3-90)))</f>
        <v/>
      </c>
      <c r="E210" s="15" t="str">
        <f aca="false">IF($A210="","",SUMIFS(매출내역!$I$3:$I$3002,매출내역!$I$3:$I$3002,"&gt;0",매출내역!$B$3:$B$3002,$A210,매출내역!$A$3:$A$3002,"&lt;="&amp;($B$3-90)))</f>
        <v/>
      </c>
      <c r="F210" s="15" t="str">
        <f aca="false">IF($A210="","",SUM($B210:$E210))</f>
        <v/>
      </c>
      <c r="G210" s="26" t="str">
        <f aca="false">IF($A210="","",IF($F$307=0,"",$F210/$F$307))</f>
        <v/>
      </c>
    </row>
    <row r="211" customFormat="false" ht="15" hidden="false" customHeight="true" outlineLevel="0" collapsed="false">
      <c r="A211" s="19" t="str">
        <f aca="false">IF(거래처목록!$A208="","",거래처목록!$A208)</f>
        <v/>
      </c>
      <c r="B211" s="15" t="str">
        <f aca="false">IF($A211="","",SUMIFS(매출내역!$I$3:$I$3002,매출내역!$I$3:$I$3002,"&gt;0",매출내역!$B$3:$B$3002,$A211,매출내역!$A$3:$A$3002,"&gt;"&amp;($B$3-30)))</f>
        <v/>
      </c>
      <c r="C211" s="15" t="str">
        <f aca="false">IF($A211="","",SUMIFS(매출내역!$I$3:$I$3002,매출내역!$I$3:$I$3002,"&gt;0",매출내역!$B$3:$B$3002,$A211,매출내역!$A$3:$A$3002,"&lt;="&amp;($B$3-30),매출내역!$A$3:$A$3002,"&gt;"&amp;($B$3-60)))</f>
        <v/>
      </c>
      <c r="D211" s="15" t="str">
        <f aca="false">IF($A211="","",SUMIFS(매출내역!$I$3:$I$3002,매출내역!$I$3:$I$3002,"&gt;0",매출내역!$B$3:$B$3002,$A211,매출내역!$A$3:$A$3002,"&lt;="&amp;($B$3-60),매출내역!$A$3:$A$3002,"&gt;"&amp;($B$3-90)))</f>
        <v/>
      </c>
      <c r="E211" s="15" t="str">
        <f aca="false">IF($A211="","",SUMIFS(매출내역!$I$3:$I$3002,매출내역!$I$3:$I$3002,"&gt;0",매출내역!$B$3:$B$3002,$A211,매출내역!$A$3:$A$3002,"&lt;="&amp;($B$3-90)))</f>
        <v/>
      </c>
      <c r="F211" s="15" t="str">
        <f aca="false">IF($A211="","",SUM($B211:$E211))</f>
        <v/>
      </c>
      <c r="G211" s="26" t="str">
        <f aca="false">IF($A211="","",IF($F$307=0,"",$F211/$F$307))</f>
        <v/>
      </c>
    </row>
    <row r="212" customFormat="false" ht="15" hidden="false" customHeight="true" outlineLevel="0" collapsed="false">
      <c r="A212" s="19" t="str">
        <f aca="false">IF(거래처목록!$A209="","",거래처목록!$A209)</f>
        <v/>
      </c>
      <c r="B212" s="15" t="str">
        <f aca="false">IF($A212="","",SUMIFS(매출내역!$I$3:$I$3002,매출내역!$I$3:$I$3002,"&gt;0",매출내역!$B$3:$B$3002,$A212,매출내역!$A$3:$A$3002,"&gt;"&amp;($B$3-30)))</f>
        <v/>
      </c>
      <c r="C212" s="15" t="str">
        <f aca="false">IF($A212="","",SUMIFS(매출내역!$I$3:$I$3002,매출내역!$I$3:$I$3002,"&gt;0",매출내역!$B$3:$B$3002,$A212,매출내역!$A$3:$A$3002,"&lt;="&amp;($B$3-30),매출내역!$A$3:$A$3002,"&gt;"&amp;($B$3-60)))</f>
        <v/>
      </c>
      <c r="D212" s="15" t="str">
        <f aca="false">IF($A212="","",SUMIFS(매출내역!$I$3:$I$3002,매출내역!$I$3:$I$3002,"&gt;0",매출내역!$B$3:$B$3002,$A212,매출내역!$A$3:$A$3002,"&lt;="&amp;($B$3-60),매출내역!$A$3:$A$3002,"&gt;"&amp;($B$3-90)))</f>
        <v/>
      </c>
      <c r="E212" s="15" t="str">
        <f aca="false">IF($A212="","",SUMIFS(매출내역!$I$3:$I$3002,매출내역!$I$3:$I$3002,"&gt;0",매출내역!$B$3:$B$3002,$A212,매출내역!$A$3:$A$3002,"&lt;="&amp;($B$3-90)))</f>
        <v/>
      </c>
      <c r="F212" s="15" t="str">
        <f aca="false">IF($A212="","",SUM($B212:$E212))</f>
        <v/>
      </c>
      <c r="G212" s="26" t="str">
        <f aca="false">IF($A212="","",IF($F$307=0,"",$F212/$F$307))</f>
        <v/>
      </c>
    </row>
    <row r="213" customFormat="false" ht="15" hidden="false" customHeight="true" outlineLevel="0" collapsed="false">
      <c r="A213" s="19" t="str">
        <f aca="false">IF(거래처목록!$A210="","",거래처목록!$A210)</f>
        <v/>
      </c>
      <c r="B213" s="15" t="str">
        <f aca="false">IF($A213="","",SUMIFS(매출내역!$I$3:$I$3002,매출내역!$I$3:$I$3002,"&gt;0",매출내역!$B$3:$B$3002,$A213,매출내역!$A$3:$A$3002,"&gt;"&amp;($B$3-30)))</f>
        <v/>
      </c>
      <c r="C213" s="15" t="str">
        <f aca="false">IF($A213="","",SUMIFS(매출내역!$I$3:$I$3002,매출내역!$I$3:$I$3002,"&gt;0",매출내역!$B$3:$B$3002,$A213,매출내역!$A$3:$A$3002,"&lt;="&amp;($B$3-30),매출내역!$A$3:$A$3002,"&gt;"&amp;($B$3-60)))</f>
        <v/>
      </c>
      <c r="D213" s="15" t="str">
        <f aca="false">IF($A213="","",SUMIFS(매출내역!$I$3:$I$3002,매출내역!$I$3:$I$3002,"&gt;0",매출내역!$B$3:$B$3002,$A213,매출내역!$A$3:$A$3002,"&lt;="&amp;($B$3-60),매출내역!$A$3:$A$3002,"&gt;"&amp;($B$3-90)))</f>
        <v/>
      </c>
      <c r="E213" s="15" t="str">
        <f aca="false">IF($A213="","",SUMIFS(매출내역!$I$3:$I$3002,매출내역!$I$3:$I$3002,"&gt;0",매출내역!$B$3:$B$3002,$A213,매출내역!$A$3:$A$3002,"&lt;="&amp;($B$3-90)))</f>
        <v/>
      </c>
      <c r="F213" s="15" t="str">
        <f aca="false">IF($A213="","",SUM($B213:$E213))</f>
        <v/>
      </c>
      <c r="G213" s="26" t="str">
        <f aca="false">IF($A213="","",IF($F$307=0,"",$F213/$F$307))</f>
        <v/>
      </c>
    </row>
    <row r="214" customFormat="false" ht="15" hidden="false" customHeight="true" outlineLevel="0" collapsed="false">
      <c r="A214" s="19" t="str">
        <f aca="false">IF(거래처목록!$A211="","",거래처목록!$A211)</f>
        <v/>
      </c>
      <c r="B214" s="15" t="str">
        <f aca="false">IF($A214="","",SUMIFS(매출내역!$I$3:$I$3002,매출내역!$I$3:$I$3002,"&gt;0",매출내역!$B$3:$B$3002,$A214,매출내역!$A$3:$A$3002,"&gt;"&amp;($B$3-30)))</f>
        <v/>
      </c>
      <c r="C214" s="15" t="str">
        <f aca="false">IF($A214="","",SUMIFS(매출내역!$I$3:$I$3002,매출내역!$I$3:$I$3002,"&gt;0",매출내역!$B$3:$B$3002,$A214,매출내역!$A$3:$A$3002,"&lt;="&amp;($B$3-30),매출내역!$A$3:$A$3002,"&gt;"&amp;($B$3-60)))</f>
        <v/>
      </c>
      <c r="D214" s="15" t="str">
        <f aca="false">IF($A214="","",SUMIFS(매출내역!$I$3:$I$3002,매출내역!$I$3:$I$3002,"&gt;0",매출내역!$B$3:$B$3002,$A214,매출내역!$A$3:$A$3002,"&lt;="&amp;($B$3-60),매출내역!$A$3:$A$3002,"&gt;"&amp;($B$3-90)))</f>
        <v/>
      </c>
      <c r="E214" s="15" t="str">
        <f aca="false">IF($A214="","",SUMIFS(매출내역!$I$3:$I$3002,매출내역!$I$3:$I$3002,"&gt;0",매출내역!$B$3:$B$3002,$A214,매출내역!$A$3:$A$3002,"&lt;="&amp;($B$3-90)))</f>
        <v/>
      </c>
      <c r="F214" s="15" t="str">
        <f aca="false">IF($A214="","",SUM($B214:$E214))</f>
        <v/>
      </c>
      <c r="G214" s="26" t="str">
        <f aca="false">IF($A214="","",IF($F$307=0,"",$F214/$F$307))</f>
        <v/>
      </c>
    </row>
    <row r="215" customFormat="false" ht="15" hidden="false" customHeight="true" outlineLevel="0" collapsed="false">
      <c r="A215" s="19" t="str">
        <f aca="false">IF(거래처목록!$A212="","",거래처목록!$A212)</f>
        <v/>
      </c>
      <c r="B215" s="15" t="str">
        <f aca="false">IF($A215="","",SUMIFS(매출내역!$I$3:$I$3002,매출내역!$I$3:$I$3002,"&gt;0",매출내역!$B$3:$B$3002,$A215,매출내역!$A$3:$A$3002,"&gt;"&amp;($B$3-30)))</f>
        <v/>
      </c>
      <c r="C215" s="15" t="str">
        <f aca="false">IF($A215="","",SUMIFS(매출내역!$I$3:$I$3002,매출내역!$I$3:$I$3002,"&gt;0",매출내역!$B$3:$B$3002,$A215,매출내역!$A$3:$A$3002,"&lt;="&amp;($B$3-30),매출내역!$A$3:$A$3002,"&gt;"&amp;($B$3-60)))</f>
        <v/>
      </c>
      <c r="D215" s="15" t="str">
        <f aca="false">IF($A215="","",SUMIFS(매출내역!$I$3:$I$3002,매출내역!$I$3:$I$3002,"&gt;0",매출내역!$B$3:$B$3002,$A215,매출내역!$A$3:$A$3002,"&lt;="&amp;($B$3-60),매출내역!$A$3:$A$3002,"&gt;"&amp;($B$3-90)))</f>
        <v/>
      </c>
      <c r="E215" s="15" t="str">
        <f aca="false">IF($A215="","",SUMIFS(매출내역!$I$3:$I$3002,매출내역!$I$3:$I$3002,"&gt;0",매출내역!$B$3:$B$3002,$A215,매출내역!$A$3:$A$3002,"&lt;="&amp;($B$3-90)))</f>
        <v/>
      </c>
      <c r="F215" s="15" t="str">
        <f aca="false">IF($A215="","",SUM($B215:$E215))</f>
        <v/>
      </c>
      <c r="G215" s="26" t="str">
        <f aca="false">IF($A215="","",IF($F$307=0,"",$F215/$F$307))</f>
        <v/>
      </c>
    </row>
    <row r="216" customFormat="false" ht="15" hidden="false" customHeight="true" outlineLevel="0" collapsed="false">
      <c r="A216" s="19" t="str">
        <f aca="false">IF(거래처목록!$A213="","",거래처목록!$A213)</f>
        <v/>
      </c>
      <c r="B216" s="15" t="str">
        <f aca="false">IF($A216="","",SUMIFS(매출내역!$I$3:$I$3002,매출내역!$I$3:$I$3002,"&gt;0",매출내역!$B$3:$B$3002,$A216,매출내역!$A$3:$A$3002,"&gt;"&amp;($B$3-30)))</f>
        <v/>
      </c>
      <c r="C216" s="15" t="str">
        <f aca="false">IF($A216="","",SUMIFS(매출내역!$I$3:$I$3002,매출내역!$I$3:$I$3002,"&gt;0",매출내역!$B$3:$B$3002,$A216,매출내역!$A$3:$A$3002,"&lt;="&amp;($B$3-30),매출내역!$A$3:$A$3002,"&gt;"&amp;($B$3-60)))</f>
        <v/>
      </c>
      <c r="D216" s="15" t="str">
        <f aca="false">IF($A216="","",SUMIFS(매출내역!$I$3:$I$3002,매출내역!$I$3:$I$3002,"&gt;0",매출내역!$B$3:$B$3002,$A216,매출내역!$A$3:$A$3002,"&lt;="&amp;($B$3-60),매출내역!$A$3:$A$3002,"&gt;"&amp;($B$3-90)))</f>
        <v/>
      </c>
      <c r="E216" s="15" t="str">
        <f aca="false">IF($A216="","",SUMIFS(매출내역!$I$3:$I$3002,매출내역!$I$3:$I$3002,"&gt;0",매출내역!$B$3:$B$3002,$A216,매출내역!$A$3:$A$3002,"&lt;="&amp;($B$3-90)))</f>
        <v/>
      </c>
      <c r="F216" s="15" t="str">
        <f aca="false">IF($A216="","",SUM($B216:$E216))</f>
        <v/>
      </c>
      <c r="G216" s="26" t="str">
        <f aca="false">IF($A216="","",IF($F$307=0,"",$F216/$F$307))</f>
        <v/>
      </c>
    </row>
    <row r="217" customFormat="false" ht="15" hidden="false" customHeight="true" outlineLevel="0" collapsed="false">
      <c r="A217" s="19" t="str">
        <f aca="false">IF(거래처목록!$A214="","",거래처목록!$A214)</f>
        <v/>
      </c>
      <c r="B217" s="15" t="str">
        <f aca="false">IF($A217="","",SUMIFS(매출내역!$I$3:$I$3002,매출내역!$I$3:$I$3002,"&gt;0",매출내역!$B$3:$B$3002,$A217,매출내역!$A$3:$A$3002,"&gt;"&amp;($B$3-30)))</f>
        <v/>
      </c>
      <c r="C217" s="15" t="str">
        <f aca="false">IF($A217="","",SUMIFS(매출내역!$I$3:$I$3002,매출내역!$I$3:$I$3002,"&gt;0",매출내역!$B$3:$B$3002,$A217,매출내역!$A$3:$A$3002,"&lt;="&amp;($B$3-30),매출내역!$A$3:$A$3002,"&gt;"&amp;($B$3-60)))</f>
        <v/>
      </c>
      <c r="D217" s="15" t="str">
        <f aca="false">IF($A217="","",SUMIFS(매출내역!$I$3:$I$3002,매출내역!$I$3:$I$3002,"&gt;0",매출내역!$B$3:$B$3002,$A217,매출내역!$A$3:$A$3002,"&lt;="&amp;($B$3-60),매출내역!$A$3:$A$3002,"&gt;"&amp;($B$3-90)))</f>
        <v/>
      </c>
      <c r="E217" s="15" t="str">
        <f aca="false">IF($A217="","",SUMIFS(매출내역!$I$3:$I$3002,매출내역!$I$3:$I$3002,"&gt;0",매출내역!$B$3:$B$3002,$A217,매출내역!$A$3:$A$3002,"&lt;="&amp;($B$3-90)))</f>
        <v/>
      </c>
      <c r="F217" s="15" t="str">
        <f aca="false">IF($A217="","",SUM($B217:$E217))</f>
        <v/>
      </c>
      <c r="G217" s="26" t="str">
        <f aca="false">IF($A217="","",IF($F$307=0,"",$F217/$F$307))</f>
        <v/>
      </c>
    </row>
    <row r="218" customFormat="false" ht="15" hidden="false" customHeight="true" outlineLevel="0" collapsed="false">
      <c r="A218" s="19" t="str">
        <f aca="false">IF(거래처목록!$A215="","",거래처목록!$A215)</f>
        <v/>
      </c>
      <c r="B218" s="15" t="str">
        <f aca="false">IF($A218="","",SUMIFS(매출내역!$I$3:$I$3002,매출내역!$I$3:$I$3002,"&gt;0",매출내역!$B$3:$B$3002,$A218,매출내역!$A$3:$A$3002,"&gt;"&amp;($B$3-30)))</f>
        <v/>
      </c>
      <c r="C218" s="15" t="str">
        <f aca="false">IF($A218="","",SUMIFS(매출내역!$I$3:$I$3002,매출내역!$I$3:$I$3002,"&gt;0",매출내역!$B$3:$B$3002,$A218,매출내역!$A$3:$A$3002,"&lt;="&amp;($B$3-30),매출내역!$A$3:$A$3002,"&gt;"&amp;($B$3-60)))</f>
        <v/>
      </c>
      <c r="D218" s="15" t="str">
        <f aca="false">IF($A218="","",SUMIFS(매출내역!$I$3:$I$3002,매출내역!$I$3:$I$3002,"&gt;0",매출내역!$B$3:$B$3002,$A218,매출내역!$A$3:$A$3002,"&lt;="&amp;($B$3-60),매출내역!$A$3:$A$3002,"&gt;"&amp;($B$3-90)))</f>
        <v/>
      </c>
      <c r="E218" s="15" t="str">
        <f aca="false">IF($A218="","",SUMIFS(매출내역!$I$3:$I$3002,매출내역!$I$3:$I$3002,"&gt;0",매출내역!$B$3:$B$3002,$A218,매출내역!$A$3:$A$3002,"&lt;="&amp;($B$3-90)))</f>
        <v/>
      </c>
      <c r="F218" s="15" t="str">
        <f aca="false">IF($A218="","",SUM($B218:$E218))</f>
        <v/>
      </c>
      <c r="G218" s="26" t="str">
        <f aca="false">IF($A218="","",IF($F$307=0,"",$F218/$F$307))</f>
        <v/>
      </c>
    </row>
    <row r="219" customFormat="false" ht="15" hidden="false" customHeight="true" outlineLevel="0" collapsed="false">
      <c r="A219" s="19" t="str">
        <f aca="false">IF(거래처목록!$A216="","",거래처목록!$A216)</f>
        <v/>
      </c>
      <c r="B219" s="15" t="str">
        <f aca="false">IF($A219="","",SUMIFS(매출내역!$I$3:$I$3002,매출내역!$I$3:$I$3002,"&gt;0",매출내역!$B$3:$B$3002,$A219,매출내역!$A$3:$A$3002,"&gt;"&amp;($B$3-30)))</f>
        <v/>
      </c>
      <c r="C219" s="15" t="str">
        <f aca="false">IF($A219="","",SUMIFS(매출내역!$I$3:$I$3002,매출내역!$I$3:$I$3002,"&gt;0",매출내역!$B$3:$B$3002,$A219,매출내역!$A$3:$A$3002,"&lt;="&amp;($B$3-30),매출내역!$A$3:$A$3002,"&gt;"&amp;($B$3-60)))</f>
        <v/>
      </c>
      <c r="D219" s="15" t="str">
        <f aca="false">IF($A219="","",SUMIFS(매출내역!$I$3:$I$3002,매출내역!$I$3:$I$3002,"&gt;0",매출내역!$B$3:$B$3002,$A219,매출내역!$A$3:$A$3002,"&lt;="&amp;($B$3-60),매출내역!$A$3:$A$3002,"&gt;"&amp;($B$3-90)))</f>
        <v/>
      </c>
      <c r="E219" s="15" t="str">
        <f aca="false">IF($A219="","",SUMIFS(매출내역!$I$3:$I$3002,매출내역!$I$3:$I$3002,"&gt;0",매출내역!$B$3:$B$3002,$A219,매출내역!$A$3:$A$3002,"&lt;="&amp;($B$3-90)))</f>
        <v/>
      </c>
      <c r="F219" s="15" t="str">
        <f aca="false">IF($A219="","",SUM($B219:$E219))</f>
        <v/>
      </c>
      <c r="G219" s="26" t="str">
        <f aca="false">IF($A219="","",IF($F$307=0,"",$F219/$F$307))</f>
        <v/>
      </c>
    </row>
    <row r="220" customFormat="false" ht="15" hidden="false" customHeight="true" outlineLevel="0" collapsed="false">
      <c r="A220" s="19" t="str">
        <f aca="false">IF(거래처목록!$A217="","",거래처목록!$A217)</f>
        <v/>
      </c>
      <c r="B220" s="15" t="str">
        <f aca="false">IF($A220="","",SUMIFS(매출내역!$I$3:$I$3002,매출내역!$I$3:$I$3002,"&gt;0",매출내역!$B$3:$B$3002,$A220,매출내역!$A$3:$A$3002,"&gt;"&amp;($B$3-30)))</f>
        <v/>
      </c>
      <c r="C220" s="15" t="str">
        <f aca="false">IF($A220="","",SUMIFS(매출내역!$I$3:$I$3002,매출내역!$I$3:$I$3002,"&gt;0",매출내역!$B$3:$B$3002,$A220,매출내역!$A$3:$A$3002,"&lt;="&amp;($B$3-30),매출내역!$A$3:$A$3002,"&gt;"&amp;($B$3-60)))</f>
        <v/>
      </c>
      <c r="D220" s="15" t="str">
        <f aca="false">IF($A220="","",SUMIFS(매출내역!$I$3:$I$3002,매출내역!$I$3:$I$3002,"&gt;0",매출내역!$B$3:$B$3002,$A220,매출내역!$A$3:$A$3002,"&lt;="&amp;($B$3-60),매출내역!$A$3:$A$3002,"&gt;"&amp;($B$3-90)))</f>
        <v/>
      </c>
      <c r="E220" s="15" t="str">
        <f aca="false">IF($A220="","",SUMIFS(매출내역!$I$3:$I$3002,매출내역!$I$3:$I$3002,"&gt;0",매출내역!$B$3:$B$3002,$A220,매출내역!$A$3:$A$3002,"&lt;="&amp;($B$3-90)))</f>
        <v/>
      </c>
      <c r="F220" s="15" t="str">
        <f aca="false">IF($A220="","",SUM($B220:$E220))</f>
        <v/>
      </c>
      <c r="G220" s="26" t="str">
        <f aca="false">IF($A220="","",IF($F$307=0,"",$F220/$F$307))</f>
        <v/>
      </c>
    </row>
    <row r="221" customFormat="false" ht="15" hidden="false" customHeight="true" outlineLevel="0" collapsed="false">
      <c r="A221" s="19" t="str">
        <f aca="false">IF(거래처목록!$A218="","",거래처목록!$A218)</f>
        <v/>
      </c>
      <c r="B221" s="15" t="str">
        <f aca="false">IF($A221="","",SUMIFS(매출내역!$I$3:$I$3002,매출내역!$I$3:$I$3002,"&gt;0",매출내역!$B$3:$B$3002,$A221,매출내역!$A$3:$A$3002,"&gt;"&amp;($B$3-30)))</f>
        <v/>
      </c>
      <c r="C221" s="15" t="str">
        <f aca="false">IF($A221="","",SUMIFS(매출내역!$I$3:$I$3002,매출내역!$I$3:$I$3002,"&gt;0",매출내역!$B$3:$B$3002,$A221,매출내역!$A$3:$A$3002,"&lt;="&amp;($B$3-30),매출내역!$A$3:$A$3002,"&gt;"&amp;($B$3-60)))</f>
        <v/>
      </c>
      <c r="D221" s="15" t="str">
        <f aca="false">IF($A221="","",SUMIFS(매출내역!$I$3:$I$3002,매출내역!$I$3:$I$3002,"&gt;0",매출내역!$B$3:$B$3002,$A221,매출내역!$A$3:$A$3002,"&lt;="&amp;($B$3-60),매출내역!$A$3:$A$3002,"&gt;"&amp;($B$3-90)))</f>
        <v/>
      </c>
      <c r="E221" s="15" t="str">
        <f aca="false">IF($A221="","",SUMIFS(매출내역!$I$3:$I$3002,매출내역!$I$3:$I$3002,"&gt;0",매출내역!$B$3:$B$3002,$A221,매출내역!$A$3:$A$3002,"&lt;="&amp;($B$3-90)))</f>
        <v/>
      </c>
      <c r="F221" s="15" t="str">
        <f aca="false">IF($A221="","",SUM($B221:$E221))</f>
        <v/>
      </c>
      <c r="G221" s="26" t="str">
        <f aca="false">IF($A221="","",IF($F$307=0,"",$F221/$F$307))</f>
        <v/>
      </c>
    </row>
    <row r="222" customFormat="false" ht="15" hidden="false" customHeight="true" outlineLevel="0" collapsed="false">
      <c r="A222" s="19" t="str">
        <f aca="false">IF(거래처목록!$A219="","",거래처목록!$A219)</f>
        <v/>
      </c>
      <c r="B222" s="15" t="str">
        <f aca="false">IF($A222="","",SUMIFS(매출내역!$I$3:$I$3002,매출내역!$I$3:$I$3002,"&gt;0",매출내역!$B$3:$B$3002,$A222,매출내역!$A$3:$A$3002,"&gt;"&amp;($B$3-30)))</f>
        <v/>
      </c>
      <c r="C222" s="15" t="str">
        <f aca="false">IF($A222="","",SUMIFS(매출내역!$I$3:$I$3002,매출내역!$I$3:$I$3002,"&gt;0",매출내역!$B$3:$B$3002,$A222,매출내역!$A$3:$A$3002,"&lt;="&amp;($B$3-30),매출내역!$A$3:$A$3002,"&gt;"&amp;($B$3-60)))</f>
        <v/>
      </c>
      <c r="D222" s="15" t="str">
        <f aca="false">IF($A222="","",SUMIFS(매출내역!$I$3:$I$3002,매출내역!$I$3:$I$3002,"&gt;0",매출내역!$B$3:$B$3002,$A222,매출내역!$A$3:$A$3002,"&lt;="&amp;($B$3-60),매출내역!$A$3:$A$3002,"&gt;"&amp;($B$3-90)))</f>
        <v/>
      </c>
      <c r="E222" s="15" t="str">
        <f aca="false">IF($A222="","",SUMIFS(매출내역!$I$3:$I$3002,매출내역!$I$3:$I$3002,"&gt;0",매출내역!$B$3:$B$3002,$A222,매출내역!$A$3:$A$3002,"&lt;="&amp;($B$3-90)))</f>
        <v/>
      </c>
      <c r="F222" s="15" t="str">
        <f aca="false">IF($A222="","",SUM($B222:$E222))</f>
        <v/>
      </c>
      <c r="G222" s="26" t="str">
        <f aca="false">IF($A222="","",IF($F$307=0,"",$F222/$F$307))</f>
        <v/>
      </c>
    </row>
    <row r="223" customFormat="false" ht="15" hidden="false" customHeight="true" outlineLevel="0" collapsed="false">
      <c r="A223" s="19" t="str">
        <f aca="false">IF(거래처목록!$A220="","",거래처목록!$A220)</f>
        <v/>
      </c>
      <c r="B223" s="15" t="str">
        <f aca="false">IF($A223="","",SUMIFS(매출내역!$I$3:$I$3002,매출내역!$I$3:$I$3002,"&gt;0",매출내역!$B$3:$B$3002,$A223,매출내역!$A$3:$A$3002,"&gt;"&amp;($B$3-30)))</f>
        <v/>
      </c>
      <c r="C223" s="15" t="str">
        <f aca="false">IF($A223="","",SUMIFS(매출내역!$I$3:$I$3002,매출내역!$I$3:$I$3002,"&gt;0",매출내역!$B$3:$B$3002,$A223,매출내역!$A$3:$A$3002,"&lt;="&amp;($B$3-30),매출내역!$A$3:$A$3002,"&gt;"&amp;($B$3-60)))</f>
        <v/>
      </c>
      <c r="D223" s="15" t="str">
        <f aca="false">IF($A223="","",SUMIFS(매출내역!$I$3:$I$3002,매출내역!$I$3:$I$3002,"&gt;0",매출내역!$B$3:$B$3002,$A223,매출내역!$A$3:$A$3002,"&lt;="&amp;($B$3-60),매출내역!$A$3:$A$3002,"&gt;"&amp;($B$3-90)))</f>
        <v/>
      </c>
      <c r="E223" s="15" t="str">
        <f aca="false">IF($A223="","",SUMIFS(매출내역!$I$3:$I$3002,매출내역!$I$3:$I$3002,"&gt;0",매출내역!$B$3:$B$3002,$A223,매출내역!$A$3:$A$3002,"&lt;="&amp;($B$3-90)))</f>
        <v/>
      </c>
      <c r="F223" s="15" t="str">
        <f aca="false">IF($A223="","",SUM($B223:$E223))</f>
        <v/>
      </c>
      <c r="G223" s="26" t="str">
        <f aca="false">IF($A223="","",IF($F$307=0,"",$F223/$F$307))</f>
        <v/>
      </c>
    </row>
    <row r="224" customFormat="false" ht="15" hidden="false" customHeight="true" outlineLevel="0" collapsed="false">
      <c r="A224" s="19" t="str">
        <f aca="false">IF(거래처목록!$A221="","",거래처목록!$A221)</f>
        <v/>
      </c>
      <c r="B224" s="15" t="str">
        <f aca="false">IF($A224="","",SUMIFS(매출내역!$I$3:$I$3002,매출내역!$I$3:$I$3002,"&gt;0",매출내역!$B$3:$B$3002,$A224,매출내역!$A$3:$A$3002,"&gt;"&amp;($B$3-30)))</f>
        <v/>
      </c>
      <c r="C224" s="15" t="str">
        <f aca="false">IF($A224="","",SUMIFS(매출내역!$I$3:$I$3002,매출내역!$I$3:$I$3002,"&gt;0",매출내역!$B$3:$B$3002,$A224,매출내역!$A$3:$A$3002,"&lt;="&amp;($B$3-30),매출내역!$A$3:$A$3002,"&gt;"&amp;($B$3-60)))</f>
        <v/>
      </c>
      <c r="D224" s="15" t="str">
        <f aca="false">IF($A224="","",SUMIFS(매출내역!$I$3:$I$3002,매출내역!$I$3:$I$3002,"&gt;0",매출내역!$B$3:$B$3002,$A224,매출내역!$A$3:$A$3002,"&lt;="&amp;($B$3-60),매출내역!$A$3:$A$3002,"&gt;"&amp;($B$3-90)))</f>
        <v/>
      </c>
      <c r="E224" s="15" t="str">
        <f aca="false">IF($A224="","",SUMIFS(매출내역!$I$3:$I$3002,매출내역!$I$3:$I$3002,"&gt;0",매출내역!$B$3:$B$3002,$A224,매출내역!$A$3:$A$3002,"&lt;="&amp;($B$3-90)))</f>
        <v/>
      </c>
      <c r="F224" s="15" t="str">
        <f aca="false">IF($A224="","",SUM($B224:$E224))</f>
        <v/>
      </c>
      <c r="G224" s="26" t="str">
        <f aca="false">IF($A224="","",IF($F$307=0,"",$F224/$F$307))</f>
        <v/>
      </c>
    </row>
    <row r="225" customFormat="false" ht="15" hidden="false" customHeight="true" outlineLevel="0" collapsed="false">
      <c r="A225" s="19" t="str">
        <f aca="false">IF(거래처목록!$A222="","",거래처목록!$A222)</f>
        <v/>
      </c>
      <c r="B225" s="15" t="str">
        <f aca="false">IF($A225="","",SUMIFS(매출내역!$I$3:$I$3002,매출내역!$I$3:$I$3002,"&gt;0",매출내역!$B$3:$B$3002,$A225,매출내역!$A$3:$A$3002,"&gt;"&amp;($B$3-30)))</f>
        <v/>
      </c>
      <c r="C225" s="15" t="str">
        <f aca="false">IF($A225="","",SUMIFS(매출내역!$I$3:$I$3002,매출내역!$I$3:$I$3002,"&gt;0",매출내역!$B$3:$B$3002,$A225,매출내역!$A$3:$A$3002,"&lt;="&amp;($B$3-30),매출내역!$A$3:$A$3002,"&gt;"&amp;($B$3-60)))</f>
        <v/>
      </c>
      <c r="D225" s="15" t="str">
        <f aca="false">IF($A225="","",SUMIFS(매출내역!$I$3:$I$3002,매출내역!$I$3:$I$3002,"&gt;0",매출내역!$B$3:$B$3002,$A225,매출내역!$A$3:$A$3002,"&lt;="&amp;($B$3-60),매출내역!$A$3:$A$3002,"&gt;"&amp;($B$3-90)))</f>
        <v/>
      </c>
      <c r="E225" s="15" t="str">
        <f aca="false">IF($A225="","",SUMIFS(매출내역!$I$3:$I$3002,매출내역!$I$3:$I$3002,"&gt;0",매출내역!$B$3:$B$3002,$A225,매출내역!$A$3:$A$3002,"&lt;="&amp;($B$3-90)))</f>
        <v/>
      </c>
      <c r="F225" s="15" t="str">
        <f aca="false">IF($A225="","",SUM($B225:$E225))</f>
        <v/>
      </c>
      <c r="G225" s="26" t="str">
        <f aca="false">IF($A225="","",IF($F$307=0,"",$F225/$F$307))</f>
        <v/>
      </c>
    </row>
    <row r="226" customFormat="false" ht="15" hidden="false" customHeight="true" outlineLevel="0" collapsed="false">
      <c r="A226" s="19" t="str">
        <f aca="false">IF(거래처목록!$A223="","",거래처목록!$A223)</f>
        <v/>
      </c>
      <c r="B226" s="15" t="str">
        <f aca="false">IF($A226="","",SUMIFS(매출내역!$I$3:$I$3002,매출내역!$I$3:$I$3002,"&gt;0",매출내역!$B$3:$B$3002,$A226,매출내역!$A$3:$A$3002,"&gt;"&amp;($B$3-30)))</f>
        <v/>
      </c>
      <c r="C226" s="15" t="str">
        <f aca="false">IF($A226="","",SUMIFS(매출내역!$I$3:$I$3002,매출내역!$I$3:$I$3002,"&gt;0",매출내역!$B$3:$B$3002,$A226,매출내역!$A$3:$A$3002,"&lt;="&amp;($B$3-30),매출내역!$A$3:$A$3002,"&gt;"&amp;($B$3-60)))</f>
        <v/>
      </c>
      <c r="D226" s="15" t="str">
        <f aca="false">IF($A226="","",SUMIFS(매출내역!$I$3:$I$3002,매출내역!$I$3:$I$3002,"&gt;0",매출내역!$B$3:$B$3002,$A226,매출내역!$A$3:$A$3002,"&lt;="&amp;($B$3-60),매출내역!$A$3:$A$3002,"&gt;"&amp;($B$3-90)))</f>
        <v/>
      </c>
      <c r="E226" s="15" t="str">
        <f aca="false">IF($A226="","",SUMIFS(매출내역!$I$3:$I$3002,매출내역!$I$3:$I$3002,"&gt;0",매출내역!$B$3:$B$3002,$A226,매출내역!$A$3:$A$3002,"&lt;="&amp;($B$3-90)))</f>
        <v/>
      </c>
      <c r="F226" s="15" t="str">
        <f aca="false">IF($A226="","",SUM($B226:$E226))</f>
        <v/>
      </c>
      <c r="G226" s="26" t="str">
        <f aca="false">IF($A226="","",IF($F$307=0,"",$F226/$F$307))</f>
        <v/>
      </c>
    </row>
    <row r="227" customFormat="false" ht="15" hidden="false" customHeight="true" outlineLevel="0" collapsed="false">
      <c r="A227" s="19" t="str">
        <f aca="false">IF(거래처목록!$A224="","",거래처목록!$A224)</f>
        <v/>
      </c>
      <c r="B227" s="15" t="str">
        <f aca="false">IF($A227="","",SUMIFS(매출내역!$I$3:$I$3002,매출내역!$I$3:$I$3002,"&gt;0",매출내역!$B$3:$B$3002,$A227,매출내역!$A$3:$A$3002,"&gt;"&amp;($B$3-30)))</f>
        <v/>
      </c>
      <c r="C227" s="15" t="str">
        <f aca="false">IF($A227="","",SUMIFS(매출내역!$I$3:$I$3002,매출내역!$I$3:$I$3002,"&gt;0",매출내역!$B$3:$B$3002,$A227,매출내역!$A$3:$A$3002,"&lt;="&amp;($B$3-30),매출내역!$A$3:$A$3002,"&gt;"&amp;($B$3-60)))</f>
        <v/>
      </c>
      <c r="D227" s="15" t="str">
        <f aca="false">IF($A227="","",SUMIFS(매출내역!$I$3:$I$3002,매출내역!$I$3:$I$3002,"&gt;0",매출내역!$B$3:$B$3002,$A227,매출내역!$A$3:$A$3002,"&lt;="&amp;($B$3-60),매출내역!$A$3:$A$3002,"&gt;"&amp;($B$3-90)))</f>
        <v/>
      </c>
      <c r="E227" s="15" t="str">
        <f aca="false">IF($A227="","",SUMIFS(매출내역!$I$3:$I$3002,매출내역!$I$3:$I$3002,"&gt;0",매출내역!$B$3:$B$3002,$A227,매출내역!$A$3:$A$3002,"&lt;="&amp;($B$3-90)))</f>
        <v/>
      </c>
      <c r="F227" s="15" t="str">
        <f aca="false">IF($A227="","",SUM($B227:$E227))</f>
        <v/>
      </c>
      <c r="G227" s="26" t="str">
        <f aca="false">IF($A227="","",IF($F$307=0,"",$F227/$F$307))</f>
        <v/>
      </c>
    </row>
    <row r="228" customFormat="false" ht="15" hidden="false" customHeight="true" outlineLevel="0" collapsed="false">
      <c r="A228" s="19" t="str">
        <f aca="false">IF(거래처목록!$A225="","",거래처목록!$A225)</f>
        <v/>
      </c>
      <c r="B228" s="15" t="str">
        <f aca="false">IF($A228="","",SUMIFS(매출내역!$I$3:$I$3002,매출내역!$I$3:$I$3002,"&gt;0",매출내역!$B$3:$B$3002,$A228,매출내역!$A$3:$A$3002,"&gt;"&amp;($B$3-30)))</f>
        <v/>
      </c>
      <c r="C228" s="15" t="str">
        <f aca="false">IF($A228="","",SUMIFS(매출내역!$I$3:$I$3002,매출내역!$I$3:$I$3002,"&gt;0",매출내역!$B$3:$B$3002,$A228,매출내역!$A$3:$A$3002,"&lt;="&amp;($B$3-30),매출내역!$A$3:$A$3002,"&gt;"&amp;($B$3-60)))</f>
        <v/>
      </c>
      <c r="D228" s="15" t="str">
        <f aca="false">IF($A228="","",SUMIFS(매출내역!$I$3:$I$3002,매출내역!$I$3:$I$3002,"&gt;0",매출내역!$B$3:$B$3002,$A228,매출내역!$A$3:$A$3002,"&lt;="&amp;($B$3-60),매출내역!$A$3:$A$3002,"&gt;"&amp;($B$3-90)))</f>
        <v/>
      </c>
      <c r="E228" s="15" t="str">
        <f aca="false">IF($A228="","",SUMIFS(매출내역!$I$3:$I$3002,매출내역!$I$3:$I$3002,"&gt;0",매출내역!$B$3:$B$3002,$A228,매출내역!$A$3:$A$3002,"&lt;="&amp;($B$3-90)))</f>
        <v/>
      </c>
      <c r="F228" s="15" t="str">
        <f aca="false">IF($A228="","",SUM($B228:$E228))</f>
        <v/>
      </c>
      <c r="G228" s="26" t="str">
        <f aca="false">IF($A228="","",IF($F$307=0,"",$F228/$F$307))</f>
        <v/>
      </c>
    </row>
    <row r="229" customFormat="false" ht="15" hidden="false" customHeight="true" outlineLevel="0" collapsed="false">
      <c r="A229" s="19" t="str">
        <f aca="false">IF(거래처목록!$A226="","",거래처목록!$A226)</f>
        <v/>
      </c>
      <c r="B229" s="15" t="str">
        <f aca="false">IF($A229="","",SUMIFS(매출내역!$I$3:$I$3002,매출내역!$I$3:$I$3002,"&gt;0",매출내역!$B$3:$B$3002,$A229,매출내역!$A$3:$A$3002,"&gt;"&amp;($B$3-30)))</f>
        <v/>
      </c>
      <c r="C229" s="15" t="str">
        <f aca="false">IF($A229="","",SUMIFS(매출내역!$I$3:$I$3002,매출내역!$I$3:$I$3002,"&gt;0",매출내역!$B$3:$B$3002,$A229,매출내역!$A$3:$A$3002,"&lt;="&amp;($B$3-30),매출내역!$A$3:$A$3002,"&gt;"&amp;($B$3-60)))</f>
        <v/>
      </c>
      <c r="D229" s="15" t="str">
        <f aca="false">IF($A229="","",SUMIFS(매출내역!$I$3:$I$3002,매출내역!$I$3:$I$3002,"&gt;0",매출내역!$B$3:$B$3002,$A229,매출내역!$A$3:$A$3002,"&lt;="&amp;($B$3-60),매출내역!$A$3:$A$3002,"&gt;"&amp;($B$3-90)))</f>
        <v/>
      </c>
      <c r="E229" s="15" t="str">
        <f aca="false">IF($A229="","",SUMIFS(매출내역!$I$3:$I$3002,매출내역!$I$3:$I$3002,"&gt;0",매출내역!$B$3:$B$3002,$A229,매출내역!$A$3:$A$3002,"&lt;="&amp;($B$3-90)))</f>
        <v/>
      </c>
      <c r="F229" s="15" t="str">
        <f aca="false">IF($A229="","",SUM($B229:$E229))</f>
        <v/>
      </c>
      <c r="G229" s="26" t="str">
        <f aca="false">IF($A229="","",IF($F$307=0,"",$F229/$F$307))</f>
        <v/>
      </c>
    </row>
    <row r="230" customFormat="false" ht="15" hidden="false" customHeight="true" outlineLevel="0" collapsed="false">
      <c r="A230" s="19" t="str">
        <f aca="false">IF(거래처목록!$A227="","",거래처목록!$A227)</f>
        <v/>
      </c>
      <c r="B230" s="15" t="str">
        <f aca="false">IF($A230="","",SUMIFS(매출내역!$I$3:$I$3002,매출내역!$I$3:$I$3002,"&gt;0",매출내역!$B$3:$B$3002,$A230,매출내역!$A$3:$A$3002,"&gt;"&amp;($B$3-30)))</f>
        <v/>
      </c>
      <c r="C230" s="15" t="str">
        <f aca="false">IF($A230="","",SUMIFS(매출내역!$I$3:$I$3002,매출내역!$I$3:$I$3002,"&gt;0",매출내역!$B$3:$B$3002,$A230,매출내역!$A$3:$A$3002,"&lt;="&amp;($B$3-30),매출내역!$A$3:$A$3002,"&gt;"&amp;($B$3-60)))</f>
        <v/>
      </c>
      <c r="D230" s="15" t="str">
        <f aca="false">IF($A230="","",SUMIFS(매출내역!$I$3:$I$3002,매출내역!$I$3:$I$3002,"&gt;0",매출내역!$B$3:$B$3002,$A230,매출내역!$A$3:$A$3002,"&lt;="&amp;($B$3-60),매출내역!$A$3:$A$3002,"&gt;"&amp;($B$3-90)))</f>
        <v/>
      </c>
      <c r="E230" s="15" t="str">
        <f aca="false">IF($A230="","",SUMIFS(매출내역!$I$3:$I$3002,매출내역!$I$3:$I$3002,"&gt;0",매출내역!$B$3:$B$3002,$A230,매출내역!$A$3:$A$3002,"&lt;="&amp;($B$3-90)))</f>
        <v/>
      </c>
      <c r="F230" s="15" t="str">
        <f aca="false">IF($A230="","",SUM($B230:$E230))</f>
        <v/>
      </c>
      <c r="G230" s="26" t="str">
        <f aca="false">IF($A230="","",IF($F$307=0,"",$F230/$F$307))</f>
        <v/>
      </c>
    </row>
    <row r="231" customFormat="false" ht="15" hidden="false" customHeight="true" outlineLevel="0" collapsed="false">
      <c r="A231" s="19" t="str">
        <f aca="false">IF(거래처목록!$A228="","",거래처목록!$A228)</f>
        <v/>
      </c>
      <c r="B231" s="15" t="str">
        <f aca="false">IF($A231="","",SUMIFS(매출내역!$I$3:$I$3002,매출내역!$I$3:$I$3002,"&gt;0",매출내역!$B$3:$B$3002,$A231,매출내역!$A$3:$A$3002,"&gt;"&amp;($B$3-30)))</f>
        <v/>
      </c>
      <c r="C231" s="15" t="str">
        <f aca="false">IF($A231="","",SUMIFS(매출내역!$I$3:$I$3002,매출내역!$I$3:$I$3002,"&gt;0",매출내역!$B$3:$B$3002,$A231,매출내역!$A$3:$A$3002,"&lt;="&amp;($B$3-30),매출내역!$A$3:$A$3002,"&gt;"&amp;($B$3-60)))</f>
        <v/>
      </c>
      <c r="D231" s="15" t="str">
        <f aca="false">IF($A231="","",SUMIFS(매출내역!$I$3:$I$3002,매출내역!$I$3:$I$3002,"&gt;0",매출내역!$B$3:$B$3002,$A231,매출내역!$A$3:$A$3002,"&lt;="&amp;($B$3-60),매출내역!$A$3:$A$3002,"&gt;"&amp;($B$3-90)))</f>
        <v/>
      </c>
      <c r="E231" s="15" t="str">
        <f aca="false">IF($A231="","",SUMIFS(매출내역!$I$3:$I$3002,매출내역!$I$3:$I$3002,"&gt;0",매출내역!$B$3:$B$3002,$A231,매출내역!$A$3:$A$3002,"&lt;="&amp;($B$3-90)))</f>
        <v/>
      </c>
      <c r="F231" s="15" t="str">
        <f aca="false">IF($A231="","",SUM($B231:$E231))</f>
        <v/>
      </c>
      <c r="G231" s="26" t="str">
        <f aca="false">IF($A231="","",IF($F$307=0,"",$F231/$F$307))</f>
        <v/>
      </c>
    </row>
    <row r="232" customFormat="false" ht="15" hidden="false" customHeight="true" outlineLevel="0" collapsed="false">
      <c r="A232" s="19" t="str">
        <f aca="false">IF(거래처목록!$A229="","",거래처목록!$A229)</f>
        <v/>
      </c>
      <c r="B232" s="15" t="str">
        <f aca="false">IF($A232="","",SUMIFS(매출내역!$I$3:$I$3002,매출내역!$I$3:$I$3002,"&gt;0",매출내역!$B$3:$B$3002,$A232,매출내역!$A$3:$A$3002,"&gt;"&amp;($B$3-30)))</f>
        <v/>
      </c>
      <c r="C232" s="15" t="str">
        <f aca="false">IF($A232="","",SUMIFS(매출내역!$I$3:$I$3002,매출내역!$I$3:$I$3002,"&gt;0",매출내역!$B$3:$B$3002,$A232,매출내역!$A$3:$A$3002,"&lt;="&amp;($B$3-30),매출내역!$A$3:$A$3002,"&gt;"&amp;($B$3-60)))</f>
        <v/>
      </c>
      <c r="D232" s="15" t="str">
        <f aca="false">IF($A232="","",SUMIFS(매출내역!$I$3:$I$3002,매출내역!$I$3:$I$3002,"&gt;0",매출내역!$B$3:$B$3002,$A232,매출내역!$A$3:$A$3002,"&lt;="&amp;($B$3-60),매출내역!$A$3:$A$3002,"&gt;"&amp;($B$3-90)))</f>
        <v/>
      </c>
      <c r="E232" s="15" t="str">
        <f aca="false">IF($A232="","",SUMIFS(매출내역!$I$3:$I$3002,매출내역!$I$3:$I$3002,"&gt;0",매출내역!$B$3:$B$3002,$A232,매출내역!$A$3:$A$3002,"&lt;="&amp;($B$3-90)))</f>
        <v/>
      </c>
      <c r="F232" s="15" t="str">
        <f aca="false">IF($A232="","",SUM($B232:$E232))</f>
        <v/>
      </c>
      <c r="G232" s="26" t="str">
        <f aca="false">IF($A232="","",IF($F$307=0,"",$F232/$F$307))</f>
        <v/>
      </c>
    </row>
    <row r="233" customFormat="false" ht="15" hidden="false" customHeight="true" outlineLevel="0" collapsed="false">
      <c r="A233" s="19" t="str">
        <f aca="false">IF(거래처목록!$A230="","",거래처목록!$A230)</f>
        <v/>
      </c>
      <c r="B233" s="15" t="str">
        <f aca="false">IF($A233="","",SUMIFS(매출내역!$I$3:$I$3002,매출내역!$I$3:$I$3002,"&gt;0",매출내역!$B$3:$B$3002,$A233,매출내역!$A$3:$A$3002,"&gt;"&amp;($B$3-30)))</f>
        <v/>
      </c>
      <c r="C233" s="15" t="str">
        <f aca="false">IF($A233="","",SUMIFS(매출내역!$I$3:$I$3002,매출내역!$I$3:$I$3002,"&gt;0",매출내역!$B$3:$B$3002,$A233,매출내역!$A$3:$A$3002,"&lt;="&amp;($B$3-30),매출내역!$A$3:$A$3002,"&gt;"&amp;($B$3-60)))</f>
        <v/>
      </c>
      <c r="D233" s="15" t="str">
        <f aca="false">IF($A233="","",SUMIFS(매출내역!$I$3:$I$3002,매출내역!$I$3:$I$3002,"&gt;0",매출내역!$B$3:$B$3002,$A233,매출내역!$A$3:$A$3002,"&lt;="&amp;($B$3-60),매출내역!$A$3:$A$3002,"&gt;"&amp;($B$3-90)))</f>
        <v/>
      </c>
      <c r="E233" s="15" t="str">
        <f aca="false">IF($A233="","",SUMIFS(매출내역!$I$3:$I$3002,매출내역!$I$3:$I$3002,"&gt;0",매출내역!$B$3:$B$3002,$A233,매출내역!$A$3:$A$3002,"&lt;="&amp;($B$3-90)))</f>
        <v/>
      </c>
      <c r="F233" s="15" t="str">
        <f aca="false">IF($A233="","",SUM($B233:$E233))</f>
        <v/>
      </c>
      <c r="G233" s="26" t="str">
        <f aca="false">IF($A233="","",IF($F$307=0,"",$F233/$F$307))</f>
        <v/>
      </c>
    </row>
    <row r="234" customFormat="false" ht="15" hidden="false" customHeight="true" outlineLevel="0" collapsed="false">
      <c r="A234" s="19" t="str">
        <f aca="false">IF(거래처목록!$A231="","",거래처목록!$A231)</f>
        <v/>
      </c>
      <c r="B234" s="15" t="str">
        <f aca="false">IF($A234="","",SUMIFS(매출내역!$I$3:$I$3002,매출내역!$I$3:$I$3002,"&gt;0",매출내역!$B$3:$B$3002,$A234,매출내역!$A$3:$A$3002,"&gt;"&amp;($B$3-30)))</f>
        <v/>
      </c>
      <c r="C234" s="15" t="str">
        <f aca="false">IF($A234="","",SUMIFS(매출내역!$I$3:$I$3002,매출내역!$I$3:$I$3002,"&gt;0",매출내역!$B$3:$B$3002,$A234,매출내역!$A$3:$A$3002,"&lt;="&amp;($B$3-30),매출내역!$A$3:$A$3002,"&gt;"&amp;($B$3-60)))</f>
        <v/>
      </c>
      <c r="D234" s="15" t="str">
        <f aca="false">IF($A234="","",SUMIFS(매출내역!$I$3:$I$3002,매출내역!$I$3:$I$3002,"&gt;0",매출내역!$B$3:$B$3002,$A234,매출내역!$A$3:$A$3002,"&lt;="&amp;($B$3-60),매출내역!$A$3:$A$3002,"&gt;"&amp;($B$3-90)))</f>
        <v/>
      </c>
      <c r="E234" s="15" t="str">
        <f aca="false">IF($A234="","",SUMIFS(매출내역!$I$3:$I$3002,매출내역!$I$3:$I$3002,"&gt;0",매출내역!$B$3:$B$3002,$A234,매출내역!$A$3:$A$3002,"&lt;="&amp;($B$3-90)))</f>
        <v/>
      </c>
      <c r="F234" s="15" t="str">
        <f aca="false">IF($A234="","",SUM($B234:$E234))</f>
        <v/>
      </c>
      <c r="G234" s="26" t="str">
        <f aca="false">IF($A234="","",IF($F$307=0,"",$F234/$F$307))</f>
        <v/>
      </c>
    </row>
    <row r="235" customFormat="false" ht="15" hidden="false" customHeight="true" outlineLevel="0" collapsed="false">
      <c r="A235" s="19" t="str">
        <f aca="false">IF(거래처목록!$A232="","",거래처목록!$A232)</f>
        <v/>
      </c>
      <c r="B235" s="15" t="str">
        <f aca="false">IF($A235="","",SUMIFS(매출내역!$I$3:$I$3002,매출내역!$I$3:$I$3002,"&gt;0",매출내역!$B$3:$B$3002,$A235,매출내역!$A$3:$A$3002,"&gt;"&amp;($B$3-30)))</f>
        <v/>
      </c>
      <c r="C235" s="15" t="str">
        <f aca="false">IF($A235="","",SUMIFS(매출내역!$I$3:$I$3002,매출내역!$I$3:$I$3002,"&gt;0",매출내역!$B$3:$B$3002,$A235,매출내역!$A$3:$A$3002,"&lt;="&amp;($B$3-30),매출내역!$A$3:$A$3002,"&gt;"&amp;($B$3-60)))</f>
        <v/>
      </c>
      <c r="D235" s="15" t="str">
        <f aca="false">IF($A235="","",SUMIFS(매출내역!$I$3:$I$3002,매출내역!$I$3:$I$3002,"&gt;0",매출내역!$B$3:$B$3002,$A235,매출내역!$A$3:$A$3002,"&lt;="&amp;($B$3-60),매출내역!$A$3:$A$3002,"&gt;"&amp;($B$3-90)))</f>
        <v/>
      </c>
      <c r="E235" s="15" t="str">
        <f aca="false">IF($A235="","",SUMIFS(매출내역!$I$3:$I$3002,매출내역!$I$3:$I$3002,"&gt;0",매출내역!$B$3:$B$3002,$A235,매출내역!$A$3:$A$3002,"&lt;="&amp;($B$3-90)))</f>
        <v/>
      </c>
      <c r="F235" s="15" t="str">
        <f aca="false">IF($A235="","",SUM($B235:$E235))</f>
        <v/>
      </c>
      <c r="G235" s="26" t="str">
        <f aca="false">IF($A235="","",IF($F$307=0,"",$F235/$F$307))</f>
        <v/>
      </c>
    </row>
    <row r="236" customFormat="false" ht="15" hidden="false" customHeight="true" outlineLevel="0" collapsed="false">
      <c r="A236" s="19" t="str">
        <f aca="false">IF(거래처목록!$A233="","",거래처목록!$A233)</f>
        <v/>
      </c>
      <c r="B236" s="15" t="str">
        <f aca="false">IF($A236="","",SUMIFS(매출내역!$I$3:$I$3002,매출내역!$I$3:$I$3002,"&gt;0",매출내역!$B$3:$B$3002,$A236,매출내역!$A$3:$A$3002,"&gt;"&amp;($B$3-30)))</f>
        <v/>
      </c>
      <c r="C236" s="15" t="str">
        <f aca="false">IF($A236="","",SUMIFS(매출내역!$I$3:$I$3002,매출내역!$I$3:$I$3002,"&gt;0",매출내역!$B$3:$B$3002,$A236,매출내역!$A$3:$A$3002,"&lt;="&amp;($B$3-30),매출내역!$A$3:$A$3002,"&gt;"&amp;($B$3-60)))</f>
        <v/>
      </c>
      <c r="D236" s="15" t="str">
        <f aca="false">IF($A236="","",SUMIFS(매출내역!$I$3:$I$3002,매출내역!$I$3:$I$3002,"&gt;0",매출내역!$B$3:$B$3002,$A236,매출내역!$A$3:$A$3002,"&lt;="&amp;($B$3-60),매출내역!$A$3:$A$3002,"&gt;"&amp;($B$3-90)))</f>
        <v/>
      </c>
      <c r="E236" s="15" t="str">
        <f aca="false">IF($A236="","",SUMIFS(매출내역!$I$3:$I$3002,매출내역!$I$3:$I$3002,"&gt;0",매출내역!$B$3:$B$3002,$A236,매출내역!$A$3:$A$3002,"&lt;="&amp;($B$3-90)))</f>
        <v/>
      </c>
      <c r="F236" s="15" t="str">
        <f aca="false">IF($A236="","",SUM($B236:$E236))</f>
        <v/>
      </c>
      <c r="G236" s="26" t="str">
        <f aca="false">IF($A236="","",IF($F$307=0,"",$F236/$F$307))</f>
        <v/>
      </c>
    </row>
    <row r="237" customFormat="false" ht="15" hidden="false" customHeight="true" outlineLevel="0" collapsed="false">
      <c r="A237" s="19" t="str">
        <f aca="false">IF(거래처목록!$A234="","",거래처목록!$A234)</f>
        <v/>
      </c>
      <c r="B237" s="15" t="str">
        <f aca="false">IF($A237="","",SUMIFS(매출내역!$I$3:$I$3002,매출내역!$I$3:$I$3002,"&gt;0",매출내역!$B$3:$B$3002,$A237,매출내역!$A$3:$A$3002,"&gt;"&amp;($B$3-30)))</f>
        <v/>
      </c>
      <c r="C237" s="15" t="str">
        <f aca="false">IF($A237="","",SUMIFS(매출내역!$I$3:$I$3002,매출내역!$I$3:$I$3002,"&gt;0",매출내역!$B$3:$B$3002,$A237,매출내역!$A$3:$A$3002,"&lt;="&amp;($B$3-30),매출내역!$A$3:$A$3002,"&gt;"&amp;($B$3-60)))</f>
        <v/>
      </c>
      <c r="D237" s="15" t="str">
        <f aca="false">IF($A237="","",SUMIFS(매출내역!$I$3:$I$3002,매출내역!$I$3:$I$3002,"&gt;0",매출내역!$B$3:$B$3002,$A237,매출내역!$A$3:$A$3002,"&lt;="&amp;($B$3-60),매출내역!$A$3:$A$3002,"&gt;"&amp;($B$3-90)))</f>
        <v/>
      </c>
      <c r="E237" s="15" t="str">
        <f aca="false">IF($A237="","",SUMIFS(매출내역!$I$3:$I$3002,매출내역!$I$3:$I$3002,"&gt;0",매출내역!$B$3:$B$3002,$A237,매출내역!$A$3:$A$3002,"&lt;="&amp;($B$3-90)))</f>
        <v/>
      </c>
      <c r="F237" s="15" t="str">
        <f aca="false">IF($A237="","",SUM($B237:$E237))</f>
        <v/>
      </c>
      <c r="G237" s="26" t="str">
        <f aca="false">IF($A237="","",IF($F$307=0,"",$F237/$F$307))</f>
        <v/>
      </c>
    </row>
    <row r="238" customFormat="false" ht="15" hidden="false" customHeight="true" outlineLevel="0" collapsed="false">
      <c r="A238" s="19" t="str">
        <f aca="false">IF(거래처목록!$A235="","",거래처목록!$A235)</f>
        <v/>
      </c>
      <c r="B238" s="15" t="str">
        <f aca="false">IF($A238="","",SUMIFS(매출내역!$I$3:$I$3002,매출내역!$I$3:$I$3002,"&gt;0",매출내역!$B$3:$B$3002,$A238,매출내역!$A$3:$A$3002,"&gt;"&amp;($B$3-30)))</f>
        <v/>
      </c>
      <c r="C238" s="15" t="str">
        <f aca="false">IF($A238="","",SUMIFS(매출내역!$I$3:$I$3002,매출내역!$I$3:$I$3002,"&gt;0",매출내역!$B$3:$B$3002,$A238,매출내역!$A$3:$A$3002,"&lt;="&amp;($B$3-30),매출내역!$A$3:$A$3002,"&gt;"&amp;($B$3-60)))</f>
        <v/>
      </c>
      <c r="D238" s="15" t="str">
        <f aca="false">IF($A238="","",SUMIFS(매출내역!$I$3:$I$3002,매출내역!$I$3:$I$3002,"&gt;0",매출내역!$B$3:$B$3002,$A238,매출내역!$A$3:$A$3002,"&lt;="&amp;($B$3-60),매출내역!$A$3:$A$3002,"&gt;"&amp;($B$3-90)))</f>
        <v/>
      </c>
      <c r="E238" s="15" t="str">
        <f aca="false">IF($A238="","",SUMIFS(매출내역!$I$3:$I$3002,매출내역!$I$3:$I$3002,"&gt;0",매출내역!$B$3:$B$3002,$A238,매출내역!$A$3:$A$3002,"&lt;="&amp;($B$3-90)))</f>
        <v/>
      </c>
      <c r="F238" s="15" t="str">
        <f aca="false">IF($A238="","",SUM($B238:$E238))</f>
        <v/>
      </c>
      <c r="G238" s="26" t="str">
        <f aca="false">IF($A238="","",IF($F$307=0,"",$F238/$F$307))</f>
        <v/>
      </c>
    </row>
    <row r="239" customFormat="false" ht="15" hidden="false" customHeight="true" outlineLevel="0" collapsed="false">
      <c r="A239" s="19" t="str">
        <f aca="false">IF(거래처목록!$A236="","",거래처목록!$A236)</f>
        <v/>
      </c>
      <c r="B239" s="15" t="str">
        <f aca="false">IF($A239="","",SUMIFS(매출내역!$I$3:$I$3002,매출내역!$I$3:$I$3002,"&gt;0",매출내역!$B$3:$B$3002,$A239,매출내역!$A$3:$A$3002,"&gt;"&amp;($B$3-30)))</f>
        <v/>
      </c>
      <c r="C239" s="15" t="str">
        <f aca="false">IF($A239="","",SUMIFS(매출내역!$I$3:$I$3002,매출내역!$I$3:$I$3002,"&gt;0",매출내역!$B$3:$B$3002,$A239,매출내역!$A$3:$A$3002,"&lt;="&amp;($B$3-30),매출내역!$A$3:$A$3002,"&gt;"&amp;($B$3-60)))</f>
        <v/>
      </c>
      <c r="D239" s="15" t="str">
        <f aca="false">IF($A239="","",SUMIFS(매출내역!$I$3:$I$3002,매출내역!$I$3:$I$3002,"&gt;0",매출내역!$B$3:$B$3002,$A239,매출내역!$A$3:$A$3002,"&lt;="&amp;($B$3-60),매출내역!$A$3:$A$3002,"&gt;"&amp;($B$3-90)))</f>
        <v/>
      </c>
      <c r="E239" s="15" t="str">
        <f aca="false">IF($A239="","",SUMIFS(매출내역!$I$3:$I$3002,매출내역!$I$3:$I$3002,"&gt;0",매출내역!$B$3:$B$3002,$A239,매출내역!$A$3:$A$3002,"&lt;="&amp;($B$3-90)))</f>
        <v/>
      </c>
      <c r="F239" s="15" t="str">
        <f aca="false">IF($A239="","",SUM($B239:$E239))</f>
        <v/>
      </c>
      <c r="G239" s="26" t="str">
        <f aca="false">IF($A239="","",IF($F$307=0,"",$F239/$F$307))</f>
        <v/>
      </c>
    </row>
    <row r="240" customFormat="false" ht="15" hidden="false" customHeight="true" outlineLevel="0" collapsed="false">
      <c r="A240" s="19" t="str">
        <f aca="false">IF(거래처목록!$A237="","",거래처목록!$A237)</f>
        <v/>
      </c>
      <c r="B240" s="15" t="str">
        <f aca="false">IF($A240="","",SUMIFS(매출내역!$I$3:$I$3002,매출내역!$I$3:$I$3002,"&gt;0",매출내역!$B$3:$B$3002,$A240,매출내역!$A$3:$A$3002,"&gt;"&amp;($B$3-30)))</f>
        <v/>
      </c>
      <c r="C240" s="15" t="str">
        <f aca="false">IF($A240="","",SUMIFS(매출내역!$I$3:$I$3002,매출내역!$I$3:$I$3002,"&gt;0",매출내역!$B$3:$B$3002,$A240,매출내역!$A$3:$A$3002,"&lt;="&amp;($B$3-30),매출내역!$A$3:$A$3002,"&gt;"&amp;($B$3-60)))</f>
        <v/>
      </c>
      <c r="D240" s="15" t="str">
        <f aca="false">IF($A240="","",SUMIFS(매출내역!$I$3:$I$3002,매출내역!$I$3:$I$3002,"&gt;0",매출내역!$B$3:$B$3002,$A240,매출내역!$A$3:$A$3002,"&lt;="&amp;($B$3-60),매출내역!$A$3:$A$3002,"&gt;"&amp;($B$3-90)))</f>
        <v/>
      </c>
      <c r="E240" s="15" t="str">
        <f aca="false">IF($A240="","",SUMIFS(매출내역!$I$3:$I$3002,매출내역!$I$3:$I$3002,"&gt;0",매출내역!$B$3:$B$3002,$A240,매출내역!$A$3:$A$3002,"&lt;="&amp;($B$3-90)))</f>
        <v/>
      </c>
      <c r="F240" s="15" t="str">
        <f aca="false">IF($A240="","",SUM($B240:$E240))</f>
        <v/>
      </c>
      <c r="G240" s="26" t="str">
        <f aca="false">IF($A240="","",IF($F$307=0,"",$F240/$F$307))</f>
        <v/>
      </c>
    </row>
    <row r="241" customFormat="false" ht="15" hidden="false" customHeight="true" outlineLevel="0" collapsed="false">
      <c r="A241" s="19" t="str">
        <f aca="false">IF(거래처목록!$A238="","",거래처목록!$A238)</f>
        <v/>
      </c>
      <c r="B241" s="15" t="str">
        <f aca="false">IF($A241="","",SUMIFS(매출내역!$I$3:$I$3002,매출내역!$I$3:$I$3002,"&gt;0",매출내역!$B$3:$B$3002,$A241,매출내역!$A$3:$A$3002,"&gt;"&amp;($B$3-30)))</f>
        <v/>
      </c>
      <c r="C241" s="15" t="str">
        <f aca="false">IF($A241="","",SUMIFS(매출내역!$I$3:$I$3002,매출내역!$I$3:$I$3002,"&gt;0",매출내역!$B$3:$B$3002,$A241,매출내역!$A$3:$A$3002,"&lt;="&amp;($B$3-30),매출내역!$A$3:$A$3002,"&gt;"&amp;($B$3-60)))</f>
        <v/>
      </c>
      <c r="D241" s="15" t="str">
        <f aca="false">IF($A241="","",SUMIFS(매출내역!$I$3:$I$3002,매출내역!$I$3:$I$3002,"&gt;0",매출내역!$B$3:$B$3002,$A241,매출내역!$A$3:$A$3002,"&lt;="&amp;($B$3-60),매출내역!$A$3:$A$3002,"&gt;"&amp;($B$3-90)))</f>
        <v/>
      </c>
      <c r="E241" s="15" t="str">
        <f aca="false">IF($A241="","",SUMIFS(매출내역!$I$3:$I$3002,매출내역!$I$3:$I$3002,"&gt;0",매출내역!$B$3:$B$3002,$A241,매출내역!$A$3:$A$3002,"&lt;="&amp;($B$3-90)))</f>
        <v/>
      </c>
      <c r="F241" s="15" t="str">
        <f aca="false">IF($A241="","",SUM($B241:$E241))</f>
        <v/>
      </c>
      <c r="G241" s="26" t="str">
        <f aca="false">IF($A241="","",IF($F$307=0,"",$F241/$F$307))</f>
        <v/>
      </c>
    </row>
    <row r="242" customFormat="false" ht="15" hidden="false" customHeight="true" outlineLevel="0" collapsed="false">
      <c r="A242" s="19" t="str">
        <f aca="false">IF(거래처목록!$A239="","",거래처목록!$A239)</f>
        <v/>
      </c>
      <c r="B242" s="15" t="str">
        <f aca="false">IF($A242="","",SUMIFS(매출내역!$I$3:$I$3002,매출내역!$I$3:$I$3002,"&gt;0",매출내역!$B$3:$B$3002,$A242,매출내역!$A$3:$A$3002,"&gt;"&amp;($B$3-30)))</f>
        <v/>
      </c>
      <c r="C242" s="15" t="str">
        <f aca="false">IF($A242="","",SUMIFS(매출내역!$I$3:$I$3002,매출내역!$I$3:$I$3002,"&gt;0",매출내역!$B$3:$B$3002,$A242,매출내역!$A$3:$A$3002,"&lt;="&amp;($B$3-30),매출내역!$A$3:$A$3002,"&gt;"&amp;($B$3-60)))</f>
        <v/>
      </c>
      <c r="D242" s="15" t="str">
        <f aca="false">IF($A242="","",SUMIFS(매출내역!$I$3:$I$3002,매출내역!$I$3:$I$3002,"&gt;0",매출내역!$B$3:$B$3002,$A242,매출내역!$A$3:$A$3002,"&lt;="&amp;($B$3-60),매출내역!$A$3:$A$3002,"&gt;"&amp;($B$3-90)))</f>
        <v/>
      </c>
      <c r="E242" s="15" t="str">
        <f aca="false">IF($A242="","",SUMIFS(매출내역!$I$3:$I$3002,매출내역!$I$3:$I$3002,"&gt;0",매출내역!$B$3:$B$3002,$A242,매출내역!$A$3:$A$3002,"&lt;="&amp;($B$3-90)))</f>
        <v/>
      </c>
      <c r="F242" s="15" t="str">
        <f aca="false">IF($A242="","",SUM($B242:$E242))</f>
        <v/>
      </c>
      <c r="G242" s="26" t="str">
        <f aca="false">IF($A242="","",IF($F$307=0,"",$F242/$F$307))</f>
        <v/>
      </c>
    </row>
    <row r="243" customFormat="false" ht="15" hidden="false" customHeight="true" outlineLevel="0" collapsed="false">
      <c r="A243" s="19" t="str">
        <f aca="false">IF(거래처목록!$A240="","",거래처목록!$A240)</f>
        <v/>
      </c>
      <c r="B243" s="15" t="str">
        <f aca="false">IF($A243="","",SUMIFS(매출내역!$I$3:$I$3002,매출내역!$I$3:$I$3002,"&gt;0",매출내역!$B$3:$B$3002,$A243,매출내역!$A$3:$A$3002,"&gt;"&amp;($B$3-30)))</f>
        <v/>
      </c>
      <c r="C243" s="15" t="str">
        <f aca="false">IF($A243="","",SUMIFS(매출내역!$I$3:$I$3002,매출내역!$I$3:$I$3002,"&gt;0",매출내역!$B$3:$B$3002,$A243,매출내역!$A$3:$A$3002,"&lt;="&amp;($B$3-30),매출내역!$A$3:$A$3002,"&gt;"&amp;($B$3-60)))</f>
        <v/>
      </c>
      <c r="D243" s="15" t="str">
        <f aca="false">IF($A243="","",SUMIFS(매출내역!$I$3:$I$3002,매출내역!$I$3:$I$3002,"&gt;0",매출내역!$B$3:$B$3002,$A243,매출내역!$A$3:$A$3002,"&lt;="&amp;($B$3-60),매출내역!$A$3:$A$3002,"&gt;"&amp;($B$3-90)))</f>
        <v/>
      </c>
      <c r="E243" s="15" t="str">
        <f aca="false">IF($A243="","",SUMIFS(매출내역!$I$3:$I$3002,매출내역!$I$3:$I$3002,"&gt;0",매출내역!$B$3:$B$3002,$A243,매출내역!$A$3:$A$3002,"&lt;="&amp;($B$3-90)))</f>
        <v/>
      </c>
      <c r="F243" s="15" t="str">
        <f aca="false">IF($A243="","",SUM($B243:$E243))</f>
        <v/>
      </c>
      <c r="G243" s="26" t="str">
        <f aca="false">IF($A243="","",IF($F$307=0,"",$F243/$F$307))</f>
        <v/>
      </c>
    </row>
    <row r="244" customFormat="false" ht="15" hidden="false" customHeight="true" outlineLevel="0" collapsed="false">
      <c r="A244" s="19" t="str">
        <f aca="false">IF(거래처목록!$A241="","",거래처목록!$A241)</f>
        <v/>
      </c>
      <c r="B244" s="15" t="str">
        <f aca="false">IF($A244="","",SUMIFS(매출내역!$I$3:$I$3002,매출내역!$I$3:$I$3002,"&gt;0",매출내역!$B$3:$B$3002,$A244,매출내역!$A$3:$A$3002,"&gt;"&amp;($B$3-30)))</f>
        <v/>
      </c>
      <c r="C244" s="15" t="str">
        <f aca="false">IF($A244="","",SUMIFS(매출내역!$I$3:$I$3002,매출내역!$I$3:$I$3002,"&gt;0",매출내역!$B$3:$B$3002,$A244,매출내역!$A$3:$A$3002,"&lt;="&amp;($B$3-30),매출내역!$A$3:$A$3002,"&gt;"&amp;($B$3-60)))</f>
        <v/>
      </c>
      <c r="D244" s="15" t="str">
        <f aca="false">IF($A244="","",SUMIFS(매출내역!$I$3:$I$3002,매출내역!$I$3:$I$3002,"&gt;0",매출내역!$B$3:$B$3002,$A244,매출내역!$A$3:$A$3002,"&lt;="&amp;($B$3-60),매출내역!$A$3:$A$3002,"&gt;"&amp;($B$3-90)))</f>
        <v/>
      </c>
      <c r="E244" s="15" t="str">
        <f aca="false">IF($A244="","",SUMIFS(매출내역!$I$3:$I$3002,매출내역!$I$3:$I$3002,"&gt;0",매출내역!$B$3:$B$3002,$A244,매출내역!$A$3:$A$3002,"&lt;="&amp;($B$3-90)))</f>
        <v/>
      </c>
      <c r="F244" s="15" t="str">
        <f aca="false">IF($A244="","",SUM($B244:$E244))</f>
        <v/>
      </c>
      <c r="G244" s="26" t="str">
        <f aca="false">IF($A244="","",IF($F$307=0,"",$F244/$F$307))</f>
        <v/>
      </c>
    </row>
    <row r="245" customFormat="false" ht="15" hidden="false" customHeight="true" outlineLevel="0" collapsed="false">
      <c r="A245" s="19" t="str">
        <f aca="false">IF(거래처목록!$A242="","",거래처목록!$A242)</f>
        <v/>
      </c>
      <c r="B245" s="15" t="str">
        <f aca="false">IF($A245="","",SUMIFS(매출내역!$I$3:$I$3002,매출내역!$I$3:$I$3002,"&gt;0",매출내역!$B$3:$B$3002,$A245,매출내역!$A$3:$A$3002,"&gt;"&amp;($B$3-30)))</f>
        <v/>
      </c>
      <c r="C245" s="15" t="str">
        <f aca="false">IF($A245="","",SUMIFS(매출내역!$I$3:$I$3002,매출내역!$I$3:$I$3002,"&gt;0",매출내역!$B$3:$B$3002,$A245,매출내역!$A$3:$A$3002,"&lt;="&amp;($B$3-30),매출내역!$A$3:$A$3002,"&gt;"&amp;($B$3-60)))</f>
        <v/>
      </c>
      <c r="D245" s="15" t="str">
        <f aca="false">IF($A245="","",SUMIFS(매출내역!$I$3:$I$3002,매출내역!$I$3:$I$3002,"&gt;0",매출내역!$B$3:$B$3002,$A245,매출내역!$A$3:$A$3002,"&lt;="&amp;($B$3-60),매출내역!$A$3:$A$3002,"&gt;"&amp;($B$3-90)))</f>
        <v/>
      </c>
      <c r="E245" s="15" t="str">
        <f aca="false">IF($A245="","",SUMIFS(매출내역!$I$3:$I$3002,매출내역!$I$3:$I$3002,"&gt;0",매출내역!$B$3:$B$3002,$A245,매출내역!$A$3:$A$3002,"&lt;="&amp;($B$3-90)))</f>
        <v/>
      </c>
      <c r="F245" s="15" t="str">
        <f aca="false">IF($A245="","",SUM($B245:$E245))</f>
        <v/>
      </c>
      <c r="G245" s="26" t="str">
        <f aca="false">IF($A245="","",IF($F$307=0,"",$F245/$F$307))</f>
        <v/>
      </c>
    </row>
    <row r="246" customFormat="false" ht="15" hidden="false" customHeight="true" outlineLevel="0" collapsed="false">
      <c r="A246" s="19" t="str">
        <f aca="false">IF(거래처목록!$A243="","",거래처목록!$A243)</f>
        <v/>
      </c>
      <c r="B246" s="15" t="str">
        <f aca="false">IF($A246="","",SUMIFS(매출내역!$I$3:$I$3002,매출내역!$I$3:$I$3002,"&gt;0",매출내역!$B$3:$B$3002,$A246,매출내역!$A$3:$A$3002,"&gt;"&amp;($B$3-30)))</f>
        <v/>
      </c>
      <c r="C246" s="15" t="str">
        <f aca="false">IF($A246="","",SUMIFS(매출내역!$I$3:$I$3002,매출내역!$I$3:$I$3002,"&gt;0",매출내역!$B$3:$B$3002,$A246,매출내역!$A$3:$A$3002,"&lt;="&amp;($B$3-30),매출내역!$A$3:$A$3002,"&gt;"&amp;($B$3-60)))</f>
        <v/>
      </c>
      <c r="D246" s="15" t="str">
        <f aca="false">IF($A246="","",SUMIFS(매출내역!$I$3:$I$3002,매출내역!$I$3:$I$3002,"&gt;0",매출내역!$B$3:$B$3002,$A246,매출내역!$A$3:$A$3002,"&lt;="&amp;($B$3-60),매출내역!$A$3:$A$3002,"&gt;"&amp;($B$3-90)))</f>
        <v/>
      </c>
      <c r="E246" s="15" t="str">
        <f aca="false">IF($A246="","",SUMIFS(매출내역!$I$3:$I$3002,매출내역!$I$3:$I$3002,"&gt;0",매출내역!$B$3:$B$3002,$A246,매출내역!$A$3:$A$3002,"&lt;="&amp;($B$3-90)))</f>
        <v/>
      </c>
      <c r="F246" s="15" t="str">
        <f aca="false">IF($A246="","",SUM($B246:$E246))</f>
        <v/>
      </c>
      <c r="G246" s="26" t="str">
        <f aca="false">IF($A246="","",IF($F$307=0,"",$F246/$F$307))</f>
        <v/>
      </c>
    </row>
    <row r="247" customFormat="false" ht="15" hidden="false" customHeight="true" outlineLevel="0" collapsed="false">
      <c r="A247" s="19" t="str">
        <f aca="false">IF(거래처목록!$A244="","",거래처목록!$A244)</f>
        <v/>
      </c>
      <c r="B247" s="15" t="str">
        <f aca="false">IF($A247="","",SUMIFS(매출내역!$I$3:$I$3002,매출내역!$I$3:$I$3002,"&gt;0",매출내역!$B$3:$B$3002,$A247,매출내역!$A$3:$A$3002,"&gt;"&amp;($B$3-30)))</f>
        <v/>
      </c>
      <c r="C247" s="15" t="str">
        <f aca="false">IF($A247="","",SUMIFS(매출내역!$I$3:$I$3002,매출내역!$I$3:$I$3002,"&gt;0",매출내역!$B$3:$B$3002,$A247,매출내역!$A$3:$A$3002,"&lt;="&amp;($B$3-30),매출내역!$A$3:$A$3002,"&gt;"&amp;($B$3-60)))</f>
        <v/>
      </c>
      <c r="D247" s="15" t="str">
        <f aca="false">IF($A247="","",SUMIFS(매출내역!$I$3:$I$3002,매출내역!$I$3:$I$3002,"&gt;0",매출내역!$B$3:$B$3002,$A247,매출내역!$A$3:$A$3002,"&lt;="&amp;($B$3-60),매출내역!$A$3:$A$3002,"&gt;"&amp;($B$3-90)))</f>
        <v/>
      </c>
      <c r="E247" s="15" t="str">
        <f aca="false">IF($A247="","",SUMIFS(매출내역!$I$3:$I$3002,매출내역!$I$3:$I$3002,"&gt;0",매출내역!$B$3:$B$3002,$A247,매출내역!$A$3:$A$3002,"&lt;="&amp;($B$3-90)))</f>
        <v/>
      </c>
      <c r="F247" s="15" t="str">
        <f aca="false">IF($A247="","",SUM($B247:$E247))</f>
        <v/>
      </c>
      <c r="G247" s="26" t="str">
        <f aca="false">IF($A247="","",IF($F$307=0,"",$F247/$F$307))</f>
        <v/>
      </c>
    </row>
    <row r="248" customFormat="false" ht="15" hidden="false" customHeight="true" outlineLevel="0" collapsed="false">
      <c r="A248" s="19" t="str">
        <f aca="false">IF(거래처목록!$A245="","",거래처목록!$A245)</f>
        <v/>
      </c>
      <c r="B248" s="15" t="str">
        <f aca="false">IF($A248="","",SUMIFS(매출내역!$I$3:$I$3002,매출내역!$I$3:$I$3002,"&gt;0",매출내역!$B$3:$B$3002,$A248,매출내역!$A$3:$A$3002,"&gt;"&amp;($B$3-30)))</f>
        <v/>
      </c>
      <c r="C248" s="15" t="str">
        <f aca="false">IF($A248="","",SUMIFS(매출내역!$I$3:$I$3002,매출내역!$I$3:$I$3002,"&gt;0",매출내역!$B$3:$B$3002,$A248,매출내역!$A$3:$A$3002,"&lt;="&amp;($B$3-30),매출내역!$A$3:$A$3002,"&gt;"&amp;($B$3-60)))</f>
        <v/>
      </c>
      <c r="D248" s="15" t="str">
        <f aca="false">IF($A248="","",SUMIFS(매출내역!$I$3:$I$3002,매출내역!$I$3:$I$3002,"&gt;0",매출내역!$B$3:$B$3002,$A248,매출내역!$A$3:$A$3002,"&lt;="&amp;($B$3-60),매출내역!$A$3:$A$3002,"&gt;"&amp;($B$3-90)))</f>
        <v/>
      </c>
      <c r="E248" s="15" t="str">
        <f aca="false">IF($A248="","",SUMIFS(매출내역!$I$3:$I$3002,매출내역!$I$3:$I$3002,"&gt;0",매출내역!$B$3:$B$3002,$A248,매출내역!$A$3:$A$3002,"&lt;="&amp;($B$3-90)))</f>
        <v/>
      </c>
      <c r="F248" s="15" t="str">
        <f aca="false">IF($A248="","",SUM($B248:$E248))</f>
        <v/>
      </c>
      <c r="G248" s="26" t="str">
        <f aca="false">IF($A248="","",IF($F$307=0,"",$F248/$F$307))</f>
        <v/>
      </c>
    </row>
    <row r="249" customFormat="false" ht="15" hidden="false" customHeight="true" outlineLevel="0" collapsed="false">
      <c r="A249" s="19" t="str">
        <f aca="false">IF(거래처목록!$A246="","",거래처목록!$A246)</f>
        <v/>
      </c>
      <c r="B249" s="15" t="str">
        <f aca="false">IF($A249="","",SUMIFS(매출내역!$I$3:$I$3002,매출내역!$I$3:$I$3002,"&gt;0",매출내역!$B$3:$B$3002,$A249,매출내역!$A$3:$A$3002,"&gt;"&amp;($B$3-30)))</f>
        <v/>
      </c>
      <c r="C249" s="15" t="str">
        <f aca="false">IF($A249="","",SUMIFS(매출내역!$I$3:$I$3002,매출내역!$I$3:$I$3002,"&gt;0",매출내역!$B$3:$B$3002,$A249,매출내역!$A$3:$A$3002,"&lt;="&amp;($B$3-30),매출내역!$A$3:$A$3002,"&gt;"&amp;($B$3-60)))</f>
        <v/>
      </c>
      <c r="D249" s="15" t="str">
        <f aca="false">IF($A249="","",SUMIFS(매출내역!$I$3:$I$3002,매출내역!$I$3:$I$3002,"&gt;0",매출내역!$B$3:$B$3002,$A249,매출내역!$A$3:$A$3002,"&lt;="&amp;($B$3-60),매출내역!$A$3:$A$3002,"&gt;"&amp;($B$3-90)))</f>
        <v/>
      </c>
      <c r="E249" s="15" t="str">
        <f aca="false">IF($A249="","",SUMIFS(매출내역!$I$3:$I$3002,매출내역!$I$3:$I$3002,"&gt;0",매출내역!$B$3:$B$3002,$A249,매출내역!$A$3:$A$3002,"&lt;="&amp;($B$3-90)))</f>
        <v/>
      </c>
      <c r="F249" s="15" t="str">
        <f aca="false">IF($A249="","",SUM($B249:$E249))</f>
        <v/>
      </c>
      <c r="G249" s="26" t="str">
        <f aca="false">IF($A249="","",IF($F$307=0,"",$F249/$F$307))</f>
        <v/>
      </c>
    </row>
    <row r="250" customFormat="false" ht="15" hidden="false" customHeight="true" outlineLevel="0" collapsed="false">
      <c r="A250" s="19" t="str">
        <f aca="false">IF(거래처목록!$A247="","",거래처목록!$A247)</f>
        <v/>
      </c>
      <c r="B250" s="15" t="str">
        <f aca="false">IF($A250="","",SUMIFS(매출내역!$I$3:$I$3002,매출내역!$I$3:$I$3002,"&gt;0",매출내역!$B$3:$B$3002,$A250,매출내역!$A$3:$A$3002,"&gt;"&amp;($B$3-30)))</f>
        <v/>
      </c>
      <c r="C250" s="15" t="str">
        <f aca="false">IF($A250="","",SUMIFS(매출내역!$I$3:$I$3002,매출내역!$I$3:$I$3002,"&gt;0",매출내역!$B$3:$B$3002,$A250,매출내역!$A$3:$A$3002,"&lt;="&amp;($B$3-30),매출내역!$A$3:$A$3002,"&gt;"&amp;($B$3-60)))</f>
        <v/>
      </c>
      <c r="D250" s="15" t="str">
        <f aca="false">IF($A250="","",SUMIFS(매출내역!$I$3:$I$3002,매출내역!$I$3:$I$3002,"&gt;0",매출내역!$B$3:$B$3002,$A250,매출내역!$A$3:$A$3002,"&lt;="&amp;($B$3-60),매출내역!$A$3:$A$3002,"&gt;"&amp;($B$3-90)))</f>
        <v/>
      </c>
      <c r="E250" s="15" t="str">
        <f aca="false">IF($A250="","",SUMIFS(매출내역!$I$3:$I$3002,매출내역!$I$3:$I$3002,"&gt;0",매출내역!$B$3:$B$3002,$A250,매출내역!$A$3:$A$3002,"&lt;="&amp;($B$3-90)))</f>
        <v/>
      </c>
      <c r="F250" s="15" t="str">
        <f aca="false">IF($A250="","",SUM($B250:$E250))</f>
        <v/>
      </c>
      <c r="G250" s="26" t="str">
        <f aca="false">IF($A250="","",IF($F$307=0,"",$F250/$F$307))</f>
        <v/>
      </c>
    </row>
    <row r="251" customFormat="false" ht="15" hidden="false" customHeight="true" outlineLevel="0" collapsed="false">
      <c r="A251" s="19" t="str">
        <f aca="false">IF(거래처목록!$A248="","",거래처목록!$A248)</f>
        <v/>
      </c>
      <c r="B251" s="15" t="str">
        <f aca="false">IF($A251="","",SUMIFS(매출내역!$I$3:$I$3002,매출내역!$I$3:$I$3002,"&gt;0",매출내역!$B$3:$B$3002,$A251,매출내역!$A$3:$A$3002,"&gt;"&amp;($B$3-30)))</f>
        <v/>
      </c>
      <c r="C251" s="15" t="str">
        <f aca="false">IF($A251="","",SUMIFS(매출내역!$I$3:$I$3002,매출내역!$I$3:$I$3002,"&gt;0",매출내역!$B$3:$B$3002,$A251,매출내역!$A$3:$A$3002,"&lt;="&amp;($B$3-30),매출내역!$A$3:$A$3002,"&gt;"&amp;($B$3-60)))</f>
        <v/>
      </c>
      <c r="D251" s="15" t="str">
        <f aca="false">IF($A251="","",SUMIFS(매출내역!$I$3:$I$3002,매출내역!$I$3:$I$3002,"&gt;0",매출내역!$B$3:$B$3002,$A251,매출내역!$A$3:$A$3002,"&lt;="&amp;($B$3-60),매출내역!$A$3:$A$3002,"&gt;"&amp;($B$3-90)))</f>
        <v/>
      </c>
      <c r="E251" s="15" t="str">
        <f aca="false">IF($A251="","",SUMIFS(매출내역!$I$3:$I$3002,매출내역!$I$3:$I$3002,"&gt;0",매출내역!$B$3:$B$3002,$A251,매출내역!$A$3:$A$3002,"&lt;="&amp;($B$3-90)))</f>
        <v/>
      </c>
      <c r="F251" s="15" t="str">
        <f aca="false">IF($A251="","",SUM($B251:$E251))</f>
        <v/>
      </c>
      <c r="G251" s="26" t="str">
        <f aca="false">IF($A251="","",IF($F$307=0,"",$F251/$F$307))</f>
        <v/>
      </c>
    </row>
    <row r="252" customFormat="false" ht="15" hidden="false" customHeight="true" outlineLevel="0" collapsed="false">
      <c r="A252" s="19" t="str">
        <f aca="false">IF(거래처목록!$A249="","",거래처목록!$A249)</f>
        <v/>
      </c>
      <c r="B252" s="15" t="str">
        <f aca="false">IF($A252="","",SUMIFS(매출내역!$I$3:$I$3002,매출내역!$I$3:$I$3002,"&gt;0",매출내역!$B$3:$B$3002,$A252,매출내역!$A$3:$A$3002,"&gt;"&amp;($B$3-30)))</f>
        <v/>
      </c>
      <c r="C252" s="15" t="str">
        <f aca="false">IF($A252="","",SUMIFS(매출내역!$I$3:$I$3002,매출내역!$I$3:$I$3002,"&gt;0",매출내역!$B$3:$B$3002,$A252,매출내역!$A$3:$A$3002,"&lt;="&amp;($B$3-30),매출내역!$A$3:$A$3002,"&gt;"&amp;($B$3-60)))</f>
        <v/>
      </c>
      <c r="D252" s="15" t="str">
        <f aca="false">IF($A252="","",SUMIFS(매출내역!$I$3:$I$3002,매출내역!$I$3:$I$3002,"&gt;0",매출내역!$B$3:$B$3002,$A252,매출내역!$A$3:$A$3002,"&lt;="&amp;($B$3-60),매출내역!$A$3:$A$3002,"&gt;"&amp;($B$3-90)))</f>
        <v/>
      </c>
      <c r="E252" s="15" t="str">
        <f aca="false">IF($A252="","",SUMIFS(매출내역!$I$3:$I$3002,매출내역!$I$3:$I$3002,"&gt;0",매출내역!$B$3:$B$3002,$A252,매출내역!$A$3:$A$3002,"&lt;="&amp;($B$3-90)))</f>
        <v/>
      </c>
      <c r="F252" s="15" t="str">
        <f aca="false">IF($A252="","",SUM($B252:$E252))</f>
        <v/>
      </c>
      <c r="G252" s="26" t="str">
        <f aca="false">IF($A252="","",IF($F$307=0,"",$F252/$F$307))</f>
        <v/>
      </c>
    </row>
    <row r="253" customFormat="false" ht="15" hidden="false" customHeight="true" outlineLevel="0" collapsed="false">
      <c r="A253" s="19" t="str">
        <f aca="false">IF(거래처목록!$A250="","",거래처목록!$A250)</f>
        <v/>
      </c>
      <c r="B253" s="15" t="str">
        <f aca="false">IF($A253="","",SUMIFS(매출내역!$I$3:$I$3002,매출내역!$I$3:$I$3002,"&gt;0",매출내역!$B$3:$B$3002,$A253,매출내역!$A$3:$A$3002,"&gt;"&amp;($B$3-30)))</f>
        <v/>
      </c>
      <c r="C253" s="15" t="str">
        <f aca="false">IF($A253="","",SUMIFS(매출내역!$I$3:$I$3002,매출내역!$I$3:$I$3002,"&gt;0",매출내역!$B$3:$B$3002,$A253,매출내역!$A$3:$A$3002,"&lt;="&amp;($B$3-30),매출내역!$A$3:$A$3002,"&gt;"&amp;($B$3-60)))</f>
        <v/>
      </c>
      <c r="D253" s="15" t="str">
        <f aca="false">IF($A253="","",SUMIFS(매출내역!$I$3:$I$3002,매출내역!$I$3:$I$3002,"&gt;0",매출내역!$B$3:$B$3002,$A253,매출내역!$A$3:$A$3002,"&lt;="&amp;($B$3-60),매출내역!$A$3:$A$3002,"&gt;"&amp;($B$3-90)))</f>
        <v/>
      </c>
      <c r="E253" s="15" t="str">
        <f aca="false">IF($A253="","",SUMIFS(매출내역!$I$3:$I$3002,매출내역!$I$3:$I$3002,"&gt;0",매출내역!$B$3:$B$3002,$A253,매출내역!$A$3:$A$3002,"&lt;="&amp;($B$3-90)))</f>
        <v/>
      </c>
      <c r="F253" s="15" t="str">
        <f aca="false">IF($A253="","",SUM($B253:$E253))</f>
        <v/>
      </c>
      <c r="G253" s="26" t="str">
        <f aca="false">IF($A253="","",IF($F$307=0,"",$F253/$F$307))</f>
        <v/>
      </c>
    </row>
    <row r="254" customFormat="false" ht="15" hidden="false" customHeight="true" outlineLevel="0" collapsed="false">
      <c r="A254" s="19" t="str">
        <f aca="false">IF(거래처목록!$A251="","",거래처목록!$A251)</f>
        <v/>
      </c>
      <c r="B254" s="15" t="str">
        <f aca="false">IF($A254="","",SUMIFS(매출내역!$I$3:$I$3002,매출내역!$I$3:$I$3002,"&gt;0",매출내역!$B$3:$B$3002,$A254,매출내역!$A$3:$A$3002,"&gt;"&amp;($B$3-30)))</f>
        <v/>
      </c>
      <c r="C254" s="15" t="str">
        <f aca="false">IF($A254="","",SUMIFS(매출내역!$I$3:$I$3002,매출내역!$I$3:$I$3002,"&gt;0",매출내역!$B$3:$B$3002,$A254,매출내역!$A$3:$A$3002,"&lt;="&amp;($B$3-30),매출내역!$A$3:$A$3002,"&gt;"&amp;($B$3-60)))</f>
        <v/>
      </c>
      <c r="D254" s="15" t="str">
        <f aca="false">IF($A254="","",SUMIFS(매출내역!$I$3:$I$3002,매출내역!$I$3:$I$3002,"&gt;0",매출내역!$B$3:$B$3002,$A254,매출내역!$A$3:$A$3002,"&lt;="&amp;($B$3-60),매출내역!$A$3:$A$3002,"&gt;"&amp;($B$3-90)))</f>
        <v/>
      </c>
      <c r="E254" s="15" t="str">
        <f aca="false">IF($A254="","",SUMIFS(매출내역!$I$3:$I$3002,매출내역!$I$3:$I$3002,"&gt;0",매출내역!$B$3:$B$3002,$A254,매출내역!$A$3:$A$3002,"&lt;="&amp;($B$3-90)))</f>
        <v/>
      </c>
      <c r="F254" s="15" t="str">
        <f aca="false">IF($A254="","",SUM($B254:$E254))</f>
        <v/>
      </c>
      <c r="G254" s="26" t="str">
        <f aca="false">IF($A254="","",IF($F$307=0,"",$F254/$F$307))</f>
        <v/>
      </c>
    </row>
    <row r="255" customFormat="false" ht="15" hidden="false" customHeight="true" outlineLevel="0" collapsed="false">
      <c r="A255" s="19" t="str">
        <f aca="false">IF(거래처목록!$A252="","",거래처목록!$A252)</f>
        <v/>
      </c>
      <c r="B255" s="15" t="str">
        <f aca="false">IF($A255="","",SUMIFS(매출내역!$I$3:$I$3002,매출내역!$I$3:$I$3002,"&gt;0",매출내역!$B$3:$B$3002,$A255,매출내역!$A$3:$A$3002,"&gt;"&amp;($B$3-30)))</f>
        <v/>
      </c>
      <c r="C255" s="15" t="str">
        <f aca="false">IF($A255="","",SUMIFS(매출내역!$I$3:$I$3002,매출내역!$I$3:$I$3002,"&gt;0",매출내역!$B$3:$B$3002,$A255,매출내역!$A$3:$A$3002,"&lt;="&amp;($B$3-30),매출내역!$A$3:$A$3002,"&gt;"&amp;($B$3-60)))</f>
        <v/>
      </c>
      <c r="D255" s="15" t="str">
        <f aca="false">IF($A255="","",SUMIFS(매출내역!$I$3:$I$3002,매출내역!$I$3:$I$3002,"&gt;0",매출내역!$B$3:$B$3002,$A255,매출내역!$A$3:$A$3002,"&lt;="&amp;($B$3-60),매출내역!$A$3:$A$3002,"&gt;"&amp;($B$3-90)))</f>
        <v/>
      </c>
      <c r="E255" s="15" t="str">
        <f aca="false">IF($A255="","",SUMIFS(매출내역!$I$3:$I$3002,매출내역!$I$3:$I$3002,"&gt;0",매출내역!$B$3:$B$3002,$A255,매출내역!$A$3:$A$3002,"&lt;="&amp;($B$3-90)))</f>
        <v/>
      </c>
      <c r="F255" s="15" t="str">
        <f aca="false">IF($A255="","",SUM($B255:$E255))</f>
        <v/>
      </c>
      <c r="G255" s="26" t="str">
        <f aca="false">IF($A255="","",IF($F$307=0,"",$F255/$F$307))</f>
        <v/>
      </c>
    </row>
    <row r="256" customFormat="false" ht="15" hidden="false" customHeight="true" outlineLevel="0" collapsed="false">
      <c r="A256" s="19" t="str">
        <f aca="false">IF(거래처목록!$A253="","",거래처목록!$A253)</f>
        <v/>
      </c>
      <c r="B256" s="15" t="str">
        <f aca="false">IF($A256="","",SUMIFS(매출내역!$I$3:$I$3002,매출내역!$I$3:$I$3002,"&gt;0",매출내역!$B$3:$B$3002,$A256,매출내역!$A$3:$A$3002,"&gt;"&amp;($B$3-30)))</f>
        <v/>
      </c>
      <c r="C256" s="15" t="str">
        <f aca="false">IF($A256="","",SUMIFS(매출내역!$I$3:$I$3002,매출내역!$I$3:$I$3002,"&gt;0",매출내역!$B$3:$B$3002,$A256,매출내역!$A$3:$A$3002,"&lt;="&amp;($B$3-30),매출내역!$A$3:$A$3002,"&gt;"&amp;($B$3-60)))</f>
        <v/>
      </c>
      <c r="D256" s="15" t="str">
        <f aca="false">IF($A256="","",SUMIFS(매출내역!$I$3:$I$3002,매출내역!$I$3:$I$3002,"&gt;0",매출내역!$B$3:$B$3002,$A256,매출내역!$A$3:$A$3002,"&lt;="&amp;($B$3-60),매출내역!$A$3:$A$3002,"&gt;"&amp;($B$3-90)))</f>
        <v/>
      </c>
      <c r="E256" s="15" t="str">
        <f aca="false">IF($A256="","",SUMIFS(매출내역!$I$3:$I$3002,매출내역!$I$3:$I$3002,"&gt;0",매출내역!$B$3:$B$3002,$A256,매출내역!$A$3:$A$3002,"&lt;="&amp;($B$3-90)))</f>
        <v/>
      </c>
      <c r="F256" s="15" t="str">
        <f aca="false">IF($A256="","",SUM($B256:$E256))</f>
        <v/>
      </c>
      <c r="G256" s="26" t="str">
        <f aca="false">IF($A256="","",IF($F$307=0,"",$F256/$F$307))</f>
        <v/>
      </c>
    </row>
    <row r="257" customFormat="false" ht="15" hidden="false" customHeight="true" outlineLevel="0" collapsed="false">
      <c r="A257" s="19" t="str">
        <f aca="false">IF(거래처목록!$A254="","",거래처목록!$A254)</f>
        <v/>
      </c>
      <c r="B257" s="15" t="str">
        <f aca="false">IF($A257="","",SUMIFS(매출내역!$I$3:$I$3002,매출내역!$I$3:$I$3002,"&gt;0",매출내역!$B$3:$B$3002,$A257,매출내역!$A$3:$A$3002,"&gt;"&amp;($B$3-30)))</f>
        <v/>
      </c>
      <c r="C257" s="15" t="str">
        <f aca="false">IF($A257="","",SUMIFS(매출내역!$I$3:$I$3002,매출내역!$I$3:$I$3002,"&gt;0",매출내역!$B$3:$B$3002,$A257,매출내역!$A$3:$A$3002,"&lt;="&amp;($B$3-30),매출내역!$A$3:$A$3002,"&gt;"&amp;($B$3-60)))</f>
        <v/>
      </c>
      <c r="D257" s="15" t="str">
        <f aca="false">IF($A257="","",SUMIFS(매출내역!$I$3:$I$3002,매출내역!$I$3:$I$3002,"&gt;0",매출내역!$B$3:$B$3002,$A257,매출내역!$A$3:$A$3002,"&lt;="&amp;($B$3-60),매출내역!$A$3:$A$3002,"&gt;"&amp;($B$3-90)))</f>
        <v/>
      </c>
      <c r="E257" s="15" t="str">
        <f aca="false">IF($A257="","",SUMIFS(매출내역!$I$3:$I$3002,매출내역!$I$3:$I$3002,"&gt;0",매출내역!$B$3:$B$3002,$A257,매출내역!$A$3:$A$3002,"&lt;="&amp;($B$3-90)))</f>
        <v/>
      </c>
      <c r="F257" s="15" t="str">
        <f aca="false">IF($A257="","",SUM($B257:$E257))</f>
        <v/>
      </c>
      <c r="G257" s="26" t="str">
        <f aca="false">IF($A257="","",IF($F$307=0,"",$F257/$F$307))</f>
        <v/>
      </c>
    </row>
    <row r="258" customFormat="false" ht="15" hidden="false" customHeight="true" outlineLevel="0" collapsed="false">
      <c r="A258" s="19" t="str">
        <f aca="false">IF(거래처목록!$A255="","",거래처목록!$A255)</f>
        <v/>
      </c>
      <c r="B258" s="15" t="str">
        <f aca="false">IF($A258="","",SUMIFS(매출내역!$I$3:$I$3002,매출내역!$I$3:$I$3002,"&gt;0",매출내역!$B$3:$B$3002,$A258,매출내역!$A$3:$A$3002,"&gt;"&amp;($B$3-30)))</f>
        <v/>
      </c>
      <c r="C258" s="15" t="str">
        <f aca="false">IF($A258="","",SUMIFS(매출내역!$I$3:$I$3002,매출내역!$I$3:$I$3002,"&gt;0",매출내역!$B$3:$B$3002,$A258,매출내역!$A$3:$A$3002,"&lt;="&amp;($B$3-30),매출내역!$A$3:$A$3002,"&gt;"&amp;($B$3-60)))</f>
        <v/>
      </c>
      <c r="D258" s="15" t="str">
        <f aca="false">IF($A258="","",SUMIFS(매출내역!$I$3:$I$3002,매출내역!$I$3:$I$3002,"&gt;0",매출내역!$B$3:$B$3002,$A258,매출내역!$A$3:$A$3002,"&lt;="&amp;($B$3-60),매출내역!$A$3:$A$3002,"&gt;"&amp;($B$3-90)))</f>
        <v/>
      </c>
      <c r="E258" s="15" t="str">
        <f aca="false">IF($A258="","",SUMIFS(매출내역!$I$3:$I$3002,매출내역!$I$3:$I$3002,"&gt;0",매출내역!$B$3:$B$3002,$A258,매출내역!$A$3:$A$3002,"&lt;="&amp;($B$3-90)))</f>
        <v/>
      </c>
      <c r="F258" s="15" t="str">
        <f aca="false">IF($A258="","",SUM($B258:$E258))</f>
        <v/>
      </c>
      <c r="G258" s="26" t="str">
        <f aca="false">IF($A258="","",IF($F$307=0,"",$F258/$F$307))</f>
        <v/>
      </c>
    </row>
    <row r="259" customFormat="false" ht="15" hidden="false" customHeight="true" outlineLevel="0" collapsed="false">
      <c r="A259" s="19" t="str">
        <f aca="false">IF(거래처목록!$A256="","",거래처목록!$A256)</f>
        <v/>
      </c>
      <c r="B259" s="15" t="str">
        <f aca="false">IF($A259="","",SUMIFS(매출내역!$I$3:$I$3002,매출내역!$I$3:$I$3002,"&gt;0",매출내역!$B$3:$B$3002,$A259,매출내역!$A$3:$A$3002,"&gt;"&amp;($B$3-30)))</f>
        <v/>
      </c>
      <c r="C259" s="15" t="str">
        <f aca="false">IF($A259="","",SUMIFS(매출내역!$I$3:$I$3002,매출내역!$I$3:$I$3002,"&gt;0",매출내역!$B$3:$B$3002,$A259,매출내역!$A$3:$A$3002,"&lt;="&amp;($B$3-30),매출내역!$A$3:$A$3002,"&gt;"&amp;($B$3-60)))</f>
        <v/>
      </c>
      <c r="D259" s="15" t="str">
        <f aca="false">IF($A259="","",SUMIFS(매출내역!$I$3:$I$3002,매출내역!$I$3:$I$3002,"&gt;0",매출내역!$B$3:$B$3002,$A259,매출내역!$A$3:$A$3002,"&lt;="&amp;($B$3-60),매출내역!$A$3:$A$3002,"&gt;"&amp;($B$3-90)))</f>
        <v/>
      </c>
      <c r="E259" s="15" t="str">
        <f aca="false">IF($A259="","",SUMIFS(매출내역!$I$3:$I$3002,매출내역!$I$3:$I$3002,"&gt;0",매출내역!$B$3:$B$3002,$A259,매출내역!$A$3:$A$3002,"&lt;="&amp;($B$3-90)))</f>
        <v/>
      </c>
      <c r="F259" s="15" t="str">
        <f aca="false">IF($A259="","",SUM($B259:$E259))</f>
        <v/>
      </c>
      <c r="G259" s="26" t="str">
        <f aca="false">IF($A259="","",IF($F$307=0,"",$F259/$F$307))</f>
        <v/>
      </c>
    </row>
    <row r="260" customFormat="false" ht="15" hidden="false" customHeight="true" outlineLevel="0" collapsed="false">
      <c r="A260" s="19" t="str">
        <f aca="false">IF(거래처목록!$A257="","",거래처목록!$A257)</f>
        <v/>
      </c>
      <c r="B260" s="15" t="str">
        <f aca="false">IF($A260="","",SUMIFS(매출내역!$I$3:$I$3002,매출내역!$I$3:$I$3002,"&gt;0",매출내역!$B$3:$B$3002,$A260,매출내역!$A$3:$A$3002,"&gt;"&amp;($B$3-30)))</f>
        <v/>
      </c>
      <c r="C260" s="15" t="str">
        <f aca="false">IF($A260="","",SUMIFS(매출내역!$I$3:$I$3002,매출내역!$I$3:$I$3002,"&gt;0",매출내역!$B$3:$B$3002,$A260,매출내역!$A$3:$A$3002,"&lt;="&amp;($B$3-30),매출내역!$A$3:$A$3002,"&gt;"&amp;($B$3-60)))</f>
        <v/>
      </c>
      <c r="D260" s="15" t="str">
        <f aca="false">IF($A260="","",SUMIFS(매출내역!$I$3:$I$3002,매출내역!$I$3:$I$3002,"&gt;0",매출내역!$B$3:$B$3002,$A260,매출내역!$A$3:$A$3002,"&lt;="&amp;($B$3-60),매출내역!$A$3:$A$3002,"&gt;"&amp;($B$3-90)))</f>
        <v/>
      </c>
      <c r="E260" s="15" t="str">
        <f aca="false">IF($A260="","",SUMIFS(매출내역!$I$3:$I$3002,매출내역!$I$3:$I$3002,"&gt;0",매출내역!$B$3:$B$3002,$A260,매출내역!$A$3:$A$3002,"&lt;="&amp;($B$3-90)))</f>
        <v/>
      </c>
      <c r="F260" s="15" t="str">
        <f aca="false">IF($A260="","",SUM($B260:$E260))</f>
        <v/>
      </c>
      <c r="G260" s="26" t="str">
        <f aca="false">IF($A260="","",IF($F$307=0,"",$F260/$F$307))</f>
        <v/>
      </c>
    </row>
    <row r="261" customFormat="false" ht="15" hidden="false" customHeight="true" outlineLevel="0" collapsed="false">
      <c r="A261" s="19" t="str">
        <f aca="false">IF(거래처목록!$A258="","",거래처목록!$A258)</f>
        <v/>
      </c>
      <c r="B261" s="15" t="str">
        <f aca="false">IF($A261="","",SUMIFS(매출내역!$I$3:$I$3002,매출내역!$I$3:$I$3002,"&gt;0",매출내역!$B$3:$B$3002,$A261,매출내역!$A$3:$A$3002,"&gt;"&amp;($B$3-30)))</f>
        <v/>
      </c>
      <c r="C261" s="15" t="str">
        <f aca="false">IF($A261="","",SUMIFS(매출내역!$I$3:$I$3002,매출내역!$I$3:$I$3002,"&gt;0",매출내역!$B$3:$B$3002,$A261,매출내역!$A$3:$A$3002,"&lt;="&amp;($B$3-30),매출내역!$A$3:$A$3002,"&gt;"&amp;($B$3-60)))</f>
        <v/>
      </c>
      <c r="D261" s="15" t="str">
        <f aca="false">IF($A261="","",SUMIFS(매출내역!$I$3:$I$3002,매출내역!$I$3:$I$3002,"&gt;0",매출내역!$B$3:$B$3002,$A261,매출내역!$A$3:$A$3002,"&lt;="&amp;($B$3-60),매출내역!$A$3:$A$3002,"&gt;"&amp;($B$3-90)))</f>
        <v/>
      </c>
      <c r="E261" s="15" t="str">
        <f aca="false">IF($A261="","",SUMIFS(매출내역!$I$3:$I$3002,매출내역!$I$3:$I$3002,"&gt;0",매출내역!$B$3:$B$3002,$A261,매출내역!$A$3:$A$3002,"&lt;="&amp;($B$3-90)))</f>
        <v/>
      </c>
      <c r="F261" s="15" t="str">
        <f aca="false">IF($A261="","",SUM($B261:$E261))</f>
        <v/>
      </c>
      <c r="G261" s="26" t="str">
        <f aca="false">IF($A261="","",IF($F$307=0,"",$F261/$F$307))</f>
        <v/>
      </c>
    </row>
    <row r="262" customFormat="false" ht="15" hidden="false" customHeight="true" outlineLevel="0" collapsed="false">
      <c r="A262" s="19" t="str">
        <f aca="false">IF(거래처목록!$A259="","",거래처목록!$A259)</f>
        <v/>
      </c>
      <c r="B262" s="15" t="str">
        <f aca="false">IF($A262="","",SUMIFS(매출내역!$I$3:$I$3002,매출내역!$I$3:$I$3002,"&gt;0",매출내역!$B$3:$B$3002,$A262,매출내역!$A$3:$A$3002,"&gt;"&amp;($B$3-30)))</f>
        <v/>
      </c>
      <c r="C262" s="15" t="str">
        <f aca="false">IF($A262="","",SUMIFS(매출내역!$I$3:$I$3002,매출내역!$I$3:$I$3002,"&gt;0",매출내역!$B$3:$B$3002,$A262,매출내역!$A$3:$A$3002,"&lt;="&amp;($B$3-30),매출내역!$A$3:$A$3002,"&gt;"&amp;($B$3-60)))</f>
        <v/>
      </c>
      <c r="D262" s="15" t="str">
        <f aca="false">IF($A262="","",SUMIFS(매출내역!$I$3:$I$3002,매출내역!$I$3:$I$3002,"&gt;0",매출내역!$B$3:$B$3002,$A262,매출내역!$A$3:$A$3002,"&lt;="&amp;($B$3-60),매출내역!$A$3:$A$3002,"&gt;"&amp;($B$3-90)))</f>
        <v/>
      </c>
      <c r="E262" s="15" t="str">
        <f aca="false">IF($A262="","",SUMIFS(매출내역!$I$3:$I$3002,매출내역!$I$3:$I$3002,"&gt;0",매출내역!$B$3:$B$3002,$A262,매출내역!$A$3:$A$3002,"&lt;="&amp;($B$3-90)))</f>
        <v/>
      </c>
      <c r="F262" s="15" t="str">
        <f aca="false">IF($A262="","",SUM($B262:$E262))</f>
        <v/>
      </c>
      <c r="G262" s="26" t="str">
        <f aca="false">IF($A262="","",IF($F$307=0,"",$F262/$F$307))</f>
        <v/>
      </c>
    </row>
    <row r="263" customFormat="false" ht="15" hidden="false" customHeight="true" outlineLevel="0" collapsed="false">
      <c r="A263" s="19" t="str">
        <f aca="false">IF(거래처목록!$A260="","",거래처목록!$A260)</f>
        <v/>
      </c>
      <c r="B263" s="15" t="str">
        <f aca="false">IF($A263="","",SUMIFS(매출내역!$I$3:$I$3002,매출내역!$I$3:$I$3002,"&gt;0",매출내역!$B$3:$B$3002,$A263,매출내역!$A$3:$A$3002,"&gt;"&amp;($B$3-30)))</f>
        <v/>
      </c>
      <c r="C263" s="15" t="str">
        <f aca="false">IF($A263="","",SUMIFS(매출내역!$I$3:$I$3002,매출내역!$I$3:$I$3002,"&gt;0",매출내역!$B$3:$B$3002,$A263,매출내역!$A$3:$A$3002,"&lt;="&amp;($B$3-30),매출내역!$A$3:$A$3002,"&gt;"&amp;($B$3-60)))</f>
        <v/>
      </c>
      <c r="D263" s="15" t="str">
        <f aca="false">IF($A263="","",SUMIFS(매출내역!$I$3:$I$3002,매출내역!$I$3:$I$3002,"&gt;0",매출내역!$B$3:$B$3002,$A263,매출내역!$A$3:$A$3002,"&lt;="&amp;($B$3-60),매출내역!$A$3:$A$3002,"&gt;"&amp;($B$3-90)))</f>
        <v/>
      </c>
      <c r="E263" s="15" t="str">
        <f aca="false">IF($A263="","",SUMIFS(매출내역!$I$3:$I$3002,매출내역!$I$3:$I$3002,"&gt;0",매출내역!$B$3:$B$3002,$A263,매출내역!$A$3:$A$3002,"&lt;="&amp;($B$3-90)))</f>
        <v/>
      </c>
      <c r="F263" s="15" t="str">
        <f aca="false">IF($A263="","",SUM($B263:$E263))</f>
        <v/>
      </c>
      <c r="G263" s="26" t="str">
        <f aca="false">IF($A263="","",IF($F$307=0,"",$F263/$F$307))</f>
        <v/>
      </c>
    </row>
    <row r="264" customFormat="false" ht="15" hidden="false" customHeight="true" outlineLevel="0" collapsed="false">
      <c r="A264" s="19" t="str">
        <f aca="false">IF(거래처목록!$A261="","",거래처목록!$A261)</f>
        <v/>
      </c>
      <c r="B264" s="15" t="str">
        <f aca="false">IF($A264="","",SUMIFS(매출내역!$I$3:$I$3002,매출내역!$I$3:$I$3002,"&gt;0",매출내역!$B$3:$B$3002,$A264,매출내역!$A$3:$A$3002,"&gt;"&amp;($B$3-30)))</f>
        <v/>
      </c>
      <c r="C264" s="15" t="str">
        <f aca="false">IF($A264="","",SUMIFS(매출내역!$I$3:$I$3002,매출내역!$I$3:$I$3002,"&gt;0",매출내역!$B$3:$B$3002,$A264,매출내역!$A$3:$A$3002,"&lt;="&amp;($B$3-30),매출내역!$A$3:$A$3002,"&gt;"&amp;($B$3-60)))</f>
        <v/>
      </c>
      <c r="D264" s="15" t="str">
        <f aca="false">IF($A264="","",SUMIFS(매출내역!$I$3:$I$3002,매출내역!$I$3:$I$3002,"&gt;0",매출내역!$B$3:$B$3002,$A264,매출내역!$A$3:$A$3002,"&lt;="&amp;($B$3-60),매출내역!$A$3:$A$3002,"&gt;"&amp;($B$3-90)))</f>
        <v/>
      </c>
      <c r="E264" s="15" t="str">
        <f aca="false">IF($A264="","",SUMIFS(매출내역!$I$3:$I$3002,매출내역!$I$3:$I$3002,"&gt;0",매출내역!$B$3:$B$3002,$A264,매출내역!$A$3:$A$3002,"&lt;="&amp;($B$3-90)))</f>
        <v/>
      </c>
      <c r="F264" s="15" t="str">
        <f aca="false">IF($A264="","",SUM($B264:$E264))</f>
        <v/>
      </c>
      <c r="G264" s="26" t="str">
        <f aca="false">IF($A264="","",IF($F$307=0,"",$F264/$F$307))</f>
        <v/>
      </c>
    </row>
    <row r="265" customFormat="false" ht="15" hidden="false" customHeight="true" outlineLevel="0" collapsed="false">
      <c r="A265" s="19" t="str">
        <f aca="false">IF(거래처목록!$A262="","",거래처목록!$A262)</f>
        <v/>
      </c>
      <c r="B265" s="15" t="str">
        <f aca="false">IF($A265="","",SUMIFS(매출내역!$I$3:$I$3002,매출내역!$I$3:$I$3002,"&gt;0",매출내역!$B$3:$B$3002,$A265,매출내역!$A$3:$A$3002,"&gt;"&amp;($B$3-30)))</f>
        <v/>
      </c>
      <c r="C265" s="15" t="str">
        <f aca="false">IF($A265="","",SUMIFS(매출내역!$I$3:$I$3002,매출내역!$I$3:$I$3002,"&gt;0",매출내역!$B$3:$B$3002,$A265,매출내역!$A$3:$A$3002,"&lt;="&amp;($B$3-30),매출내역!$A$3:$A$3002,"&gt;"&amp;($B$3-60)))</f>
        <v/>
      </c>
      <c r="D265" s="15" t="str">
        <f aca="false">IF($A265="","",SUMIFS(매출내역!$I$3:$I$3002,매출내역!$I$3:$I$3002,"&gt;0",매출내역!$B$3:$B$3002,$A265,매출내역!$A$3:$A$3002,"&lt;="&amp;($B$3-60),매출내역!$A$3:$A$3002,"&gt;"&amp;($B$3-90)))</f>
        <v/>
      </c>
      <c r="E265" s="15" t="str">
        <f aca="false">IF($A265="","",SUMIFS(매출내역!$I$3:$I$3002,매출내역!$I$3:$I$3002,"&gt;0",매출내역!$B$3:$B$3002,$A265,매출내역!$A$3:$A$3002,"&lt;="&amp;($B$3-90)))</f>
        <v/>
      </c>
      <c r="F265" s="15" t="str">
        <f aca="false">IF($A265="","",SUM($B265:$E265))</f>
        <v/>
      </c>
      <c r="G265" s="26" t="str">
        <f aca="false">IF($A265="","",IF($F$307=0,"",$F265/$F$307))</f>
        <v/>
      </c>
    </row>
    <row r="266" customFormat="false" ht="15" hidden="false" customHeight="true" outlineLevel="0" collapsed="false">
      <c r="A266" s="19" t="str">
        <f aca="false">IF(거래처목록!$A263="","",거래처목록!$A263)</f>
        <v/>
      </c>
      <c r="B266" s="15" t="str">
        <f aca="false">IF($A266="","",SUMIFS(매출내역!$I$3:$I$3002,매출내역!$I$3:$I$3002,"&gt;0",매출내역!$B$3:$B$3002,$A266,매출내역!$A$3:$A$3002,"&gt;"&amp;($B$3-30)))</f>
        <v/>
      </c>
      <c r="C266" s="15" t="str">
        <f aca="false">IF($A266="","",SUMIFS(매출내역!$I$3:$I$3002,매출내역!$I$3:$I$3002,"&gt;0",매출내역!$B$3:$B$3002,$A266,매출내역!$A$3:$A$3002,"&lt;="&amp;($B$3-30),매출내역!$A$3:$A$3002,"&gt;"&amp;($B$3-60)))</f>
        <v/>
      </c>
      <c r="D266" s="15" t="str">
        <f aca="false">IF($A266="","",SUMIFS(매출내역!$I$3:$I$3002,매출내역!$I$3:$I$3002,"&gt;0",매출내역!$B$3:$B$3002,$A266,매출내역!$A$3:$A$3002,"&lt;="&amp;($B$3-60),매출내역!$A$3:$A$3002,"&gt;"&amp;($B$3-90)))</f>
        <v/>
      </c>
      <c r="E266" s="15" t="str">
        <f aca="false">IF($A266="","",SUMIFS(매출내역!$I$3:$I$3002,매출내역!$I$3:$I$3002,"&gt;0",매출내역!$B$3:$B$3002,$A266,매출내역!$A$3:$A$3002,"&lt;="&amp;($B$3-90)))</f>
        <v/>
      </c>
      <c r="F266" s="15" t="str">
        <f aca="false">IF($A266="","",SUM($B266:$E266))</f>
        <v/>
      </c>
      <c r="G266" s="26" t="str">
        <f aca="false">IF($A266="","",IF($F$307=0,"",$F266/$F$307))</f>
        <v/>
      </c>
    </row>
    <row r="267" customFormat="false" ht="15" hidden="false" customHeight="true" outlineLevel="0" collapsed="false">
      <c r="A267" s="19" t="str">
        <f aca="false">IF(거래처목록!$A264="","",거래처목록!$A264)</f>
        <v/>
      </c>
      <c r="B267" s="15" t="str">
        <f aca="false">IF($A267="","",SUMIFS(매출내역!$I$3:$I$3002,매출내역!$I$3:$I$3002,"&gt;0",매출내역!$B$3:$B$3002,$A267,매출내역!$A$3:$A$3002,"&gt;"&amp;($B$3-30)))</f>
        <v/>
      </c>
      <c r="C267" s="15" t="str">
        <f aca="false">IF($A267="","",SUMIFS(매출내역!$I$3:$I$3002,매출내역!$I$3:$I$3002,"&gt;0",매출내역!$B$3:$B$3002,$A267,매출내역!$A$3:$A$3002,"&lt;="&amp;($B$3-30),매출내역!$A$3:$A$3002,"&gt;"&amp;($B$3-60)))</f>
        <v/>
      </c>
      <c r="D267" s="15" t="str">
        <f aca="false">IF($A267="","",SUMIFS(매출내역!$I$3:$I$3002,매출내역!$I$3:$I$3002,"&gt;0",매출내역!$B$3:$B$3002,$A267,매출내역!$A$3:$A$3002,"&lt;="&amp;($B$3-60),매출내역!$A$3:$A$3002,"&gt;"&amp;($B$3-90)))</f>
        <v/>
      </c>
      <c r="E267" s="15" t="str">
        <f aca="false">IF($A267="","",SUMIFS(매출내역!$I$3:$I$3002,매출내역!$I$3:$I$3002,"&gt;0",매출내역!$B$3:$B$3002,$A267,매출내역!$A$3:$A$3002,"&lt;="&amp;($B$3-90)))</f>
        <v/>
      </c>
      <c r="F267" s="15" t="str">
        <f aca="false">IF($A267="","",SUM($B267:$E267))</f>
        <v/>
      </c>
      <c r="G267" s="26" t="str">
        <f aca="false">IF($A267="","",IF($F$307=0,"",$F267/$F$307))</f>
        <v/>
      </c>
    </row>
    <row r="268" customFormat="false" ht="15" hidden="false" customHeight="true" outlineLevel="0" collapsed="false">
      <c r="A268" s="19" t="str">
        <f aca="false">IF(거래처목록!$A265="","",거래처목록!$A265)</f>
        <v/>
      </c>
      <c r="B268" s="15" t="str">
        <f aca="false">IF($A268="","",SUMIFS(매출내역!$I$3:$I$3002,매출내역!$I$3:$I$3002,"&gt;0",매출내역!$B$3:$B$3002,$A268,매출내역!$A$3:$A$3002,"&gt;"&amp;($B$3-30)))</f>
        <v/>
      </c>
      <c r="C268" s="15" t="str">
        <f aca="false">IF($A268="","",SUMIFS(매출내역!$I$3:$I$3002,매출내역!$I$3:$I$3002,"&gt;0",매출내역!$B$3:$B$3002,$A268,매출내역!$A$3:$A$3002,"&lt;="&amp;($B$3-30),매출내역!$A$3:$A$3002,"&gt;"&amp;($B$3-60)))</f>
        <v/>
      </c>
      <c r="D268" s="15" t="str">
        <f aca="false">IF($A268="","",SUMIFS(매출내역!$I$3:$I$3002,매출내역!$I$3:$I$3002,"&gt;0",매출내역!$B$3:$B$3002,$A268,매출내역!$A$3:$A$3002,"&lt;="&amp;($B$3-60),매출내역!$A$3:$A$3002,"&gt;"&amp;($B$3-90)))</f>
        <v/>
      </c>
      <c r="E268" s="15" t="str">
        <f aca="false">IF($A268="","",SUMIFS(매출내역!$I$3:$I$3002,매출내역!$I$3:$I$3002,"&gt;0",매출내역!$B$3:$B$3002,$A268,매출내역!$A$3:$A$3002,"&lt;="&amp;($B$3-90)))</f>
        <v/>
      </c>
      <c r="F268" s="15" t="str">
        <f aca="false">IF($A268="","",SUM($B268:$E268))</f>
        <v/>
      </c>
      <c r="G268" s="26" t="str">
        <f aca="false">IF($A268="","",IF($F$307=0,"",$F268/$F$307))</f>
        <v/>
      </c>
    </row>
    <row r="269" customFormat="false" ht="15" hidden="false" customHeight="true" outlineLevel="0" collapsed="false">
      <c r="A269" s="19" t="str">
        <f aca="false">IF(거래처목록!$A266="","",거래처목록!$A266)</f>
        <v/>
      </c>
      <c r="B269" s="15" t="str">
        <f aca="false">IF($A269="","",SUMIFS(매출내역!$I$3:$I$3002,매출내역!$I$3:$I$3002,"&gt;0",매출내역!$B$3:$B$3002,$A269,매출내역!$A$3:$A$3002,"&gt;"&amp;($B$3-30)))</f>
        <v/>
      </c>
      <c r="C269" s="15" t="str">
        <f aca="false">IF($A269="","",SUMIFS(매출내역!$I$3:$I$3002,매출내역!$I$3:$I$3002,"&gt;0",매출내역!$B$3:$B$3002,$A269,매출내역!$A$3:$A$3002,"&lt;="&amp;($B$3-30),매출내역!$A$3:$A$3002,"&gt;"&amp;($B$3-60)))</f>
        <v/>
      </c>
      <c r="D269" s="15" t="str">
        <f aca="false">IF($A269="","",SUMIFS(매출내역!$I$3:$I$3002,매출내역!$I$3:$I$3002,"&gt;0",매출내역!$B$3:$B$3002,$A269,매출내역!$A$3:$A$3002,"&lt;="&amp;($B$3-60),매출내역!$A$3:$A$3002,"&gt;"&amp;($B$3-90)))</f>
        <v/>
      </c>
      <c r="E269" s="15" t="str">
        <f aca="false">IF($A269="","",SUMIFS(매출내역!$I$3:$I$3002,매출내역!$I$3:$I$3002,"&gt;0",매출내역!$B$3:$B$3002,$A269,매출내역!$A$3:$A$3002,"&lt;="&amp;($B$3-90)))</f>
        <v/>
      </c>
      <c r="F269" s="15" t="str">
        <f aca="false">IF($A269="","",SUM($B269:$E269))</f>
        <v/>
      </c>
      <c r="G269" s="26" t="str">
        <f aca="false">IF($A269="","",IF($F$307=0,"",$F269/$F$307))</f>
        <v/>
      </c>
    </row>
    <row r="270" customFormat="false" ht="15" hidden="false" customHeight="true" outlineLevel="0" collapsed="false">
      <c r="A270" s="19" t="str">
        <f aca="false">IF(거래처목록!$A267="","",거래처목록!$A267)</f>
        <v/>
      </c>
      <c r="B270" s="15" t="str">
        <f aca="false">IF($A270="","",SUMIFS(매출내역!$I$3:$I$3002,매출내역!$I$3:$I$3002,"&gt;0",매출내역!$B$3:$B$3002,$A270,매출내역!$A$3:$A$3002,"&gt;"&amp;($B$3-30)))</f>
        <v/>
      </c>
      <c r="C270" s="15" t="str">
        <f aca="false">IF($A270="","",SUMIFS(매출내역!$I$3:$I$3002,매출내역!$I$3:$I$3002,"&gt;0",매출내역!$B$3:$B$3002,$A270,매출내역!$A$3:$A$3002,"&lt;="&amp;($B$3-30),매출내역!$A$3:$A$3002,"&gt;"&amp;($B$3-60)))</f>
        <v/>
      </c>
      <c r="D270" s="15" t="str">
        <f aca="false">IF($A270="","",SUMIFS(매출내역!$I$3:$I$3002,매출내역!$I$3:$I$3002,"&gt;0",매출내역!$B$3:$B$3002,$A270,매출내역!$A$3:$A$3002,"&lt;="&amp;($B$3-60),매출내역!$A$3:$A$3002,"&gt;"&amp;($B$3-90)))</f>
        <v/>
      </c>
      <c r="E270" s="15" t="str">
        <f aca="false">IF($A270="","",SUMIFS(매출내역!$I$3:$I$3002,매출내역!$I$3:$I$3002,"&gt;0",매출내역!$B$3:$B$3002,$A270,매출내역!$A$3:$A$3002,"&lt;="&amp;($B$3-90)))</f>
        <v/>
      </c>
      <c r="F270" s="15" t="str">
        <f aca="false">IF($A270="","",SUM($B270:$E270))</f>
        <v/>
      </c>
      <c r="G270" s="26" t="str">
        <f aca="false">IF($A270="","",IF($F$307=0,"",$F270/$F$307))</f>
        <v/>
      </c>
    </row>
    <row r="271" customFormat="false" ht="15" hidden="false" customHeight="true" outlineLevel="0" collapsed="false">
      <c r="A271" s="19" t="str">
        <f aca="false">IF(거래처목록!$A268="","",거래처목록!$A268)</f>
        <v/>
      </c>
      <c r="B271" s="15" t="str">
        <f aca="false">IF($A271="","",SUMIFS(매출내역!$I$3:$I$3002,매출내역!$I$3:$I$3002,"&gt;0",매출내역!$B$3:$B$3002,$A271,매출내역!$A$3:$A$3002,"&gt;"&amp;($B$3-30)))</f>
        <v/>
      </c>
      <c r="C271" s="15" t="str">
        <f aca="false">IF($A271="","",SUMIFS(매출내역!$I$3:$I$3002,매출내역!$I$3:$I$3002,"&gt;0",매출내역!$B$3:$B$3002,$A271,매출내역!$A$3:$A$3002,"&lt;="&amp;($B$3-30),매출내역!$A$3:$A$3002,"&gt;"&amp;($B$3-60)))</f>
        <v/>
      </c>
      <c r="D271" s="15" t="str">
        <f aca="false">IF($A271="","",SUMIFS(매출내역!$I$3:$I$3002,매출내역!$I$3:$I$3002,"&gt;0",매출내역!$B$3:$B$3002,$A271,매출내역!$A$3:$A$3002,"&lt;="&amp;($B$3-60),매출내역!$A$3:$A$3002,"&gt;"&amp;($B$3-90)))</f>
        <v/>
      </c>
      <c r="E271" s="15" t="str">
        <f aca="false">IF($A271="","",SUMIFS(매출내역!$I$3:$I$3002,매출내역!$I$3:$I$3002,"&gt;0",매출내역!$B$3:$B$3002,$A271,매출내역!$A$3:$A$3002,"&lt;="&amp;($B$3-90)))</f>
        <v/>
      </c>
      <c r="F271" s="15" t="str">
        <f aca="false">IF($A271="","",SUM($B271:$E271))</f>
        <v/>
      </c>
      <c r="G271" s="26" t="str">
        <f aca="false">IF($A271="","",IF($F$307=0,"",$F271/$F$307))</f>
        <v/>
      </c>
    </row>
    <row r="272" customFormat="false" ht="15" hidden="false" customHeight="true" outlineLevel="0" collapsed="false">
      <c r="A272" s="19" t="str">
        <f aca="false">IF(거래처목록!$A269="","",거래처목록!$A269)</f>
        <v/>
      </c>
      <c r="B272" s="15" t="str">
        <f aca="false">IF($A272="","",SUMIFS(매출내역!$I$3:$I$3002,매출내역!$I$3:$I$3002,"&gt;0",매출내역!$B$3:$B$3002,$A272,매출내역!$A$3:$A$3002,"&gt;"&amp;($B$3-30)))</f>
        <v/>
      </c>
      <c r="C272" s="15" t="str">
        <f aca="false">IF($A272="","",SUMIFS(매출내역!$I$3:$I$3002,매출내역!$I$3:$I$3002,"&gt;0",매출내역!$B$3:$B$3002,$A272,매출내역!$A$3:$A$3002,"&lt;="&amp;($B$3-30),매출내역!$A$3:$A$3002,"&gt;"&amp;($B$3-60)))</f>
        <v/>
      </c>
      <c r="D272" s="15" t="str">
        <f aca="false">IF($A272="","",SUMIFS(매출내역!$I$3:$I$3002,매출내역!$I$3:$I$3002,"&gt;0",매출내역!$B$3:$B$3002,$A272,매출내역!$A$3:$A$3002,"&lt;="&amp;($B$3-60),매출내역!$A$3:$A$3002,"&gt;"&amp;($B$3-90)))</f>
        <v/>
      </c>
      <c r="E272" s="15" t="str">
        <f aca="false">IF($A272="","",SUMIFS(매출내역!$I$3:$I$3002,매출내역!$I$3:$I$3002,"&gt;0",매출내역!$B$3:$B$3002,$A272,매출내역!$A$3:$A$3002,"&lt;="&amp;($B$3-90)))</f>
        <v/>
      </c>
      <c r="F272" s="15" t="str">
        <f aca="false">IF($A272="","",SUM($B272:$E272))</f>
        <v/>
      </c>
      <c r="G272" s="26" t="str">
        <f aca="false">IF($A272="","",IF($F$307=0,"",$F272/$F$307))</f>
        <v/>
      </c>
    </row>
    <row r="273" customFormat="false" ht="15" hidden="false" customHeight="true" outlineLevel="0" collapsed="false">
      <c r="A273" s="19" t="str">
        <f aca="false">IF(거래처목록!$A270="","",거래처목록!$A270)</f>
        <v/>
      </c>
      <c r="B273" s="15" t="str">
        <f aca="false">IF($A273="","",SUMIFS(매출내역!$I$3:$I$3002,매출내역!$I$3:$I$3002,"&gt;0",매출내역!$B$3:$B$3002,$A273,매출내역!$A$3:$A$3002,"&gt;"&amp;($B$3-30)))</f>
        <v/>
      </c>
      <c r="C273" s="15" t="str">
        <f aca="false">IF($A273="","",SUMIFS(매출내역!$I$3:$I$3002,매출내역!$I$3:$I$3002,"&gt;0",매출내역!$B$3:$B$3002,$A273,매출내역!$A$3:$A$3002,"&lt;="&amp;($B$3-30),매출내역!$A$3:$A$3002,"&gt;"&amp;($B$3-60)))</f>
        <v/>
      </c>
      <c r="D273" s="15" t="str">
        <f aca="false">IF($A273="","",SUMIFS(매출내역!$I$3:$I$3002,매출내역!$I$3:$I$3002,"&gt;0",매출내역!$B$3:$B$3002,$A273,매출내역!$A$3:$A$3002,"&lt;="&amp;($B$3-60),매출내역!$A$3:$A$3002,"&gt;"&amp;($B$3-90)))</f>
        <v/>
      </c>
      <c r="E273" s="15" t="str">
        <f aca="false">IF($A273="","",SUMIFS(매출내역!$I$3:$I$3002,매출내역!$I$3:$I$3002,"&gt;0",매출내역!$B$3:$B$3002,$A273,매출내역!$A$3:$A$3002,"&lt;="&amp;($B$3-90)))</f>
        <v/>
      </c>
      <c r="F273" s="15" t="str">
        <f aca="false">IF($A273="","",SUM($B273:$E273))</f>
        <v/>
      </c>
      <c r="G273" s="26" t="str">
        <f aca="false">IF($A273="","",IF($F$307=0,"",$F273/$F$307))</f>
        <v/>
      </c>
    </row>
    <row r="274" customFormat="false" ht="15" hidden="false" customHeight="true" outlineLevel="0" collapsed="false">
      <c r="A274" s="19" t="str">
        <f aca="false">IF(거래처목록!$A271="","",거래처목록!$A271)</f>
        <v/>
      </c>
      <c r="B274" s="15" t="str">
        <f aca="false">IF($A274="","",SUMIFS(매출내역!$I$3:$I$3002,매출내역!$I$3:$I$3002,"&gt;0",매출내역!$B$3:$B$3002,$A274,매출내역!$A$3:$A$3002,"&gt;"&amp;($B$3-30)))</f>
        <v/>
      </c>
      <c r="C274" s="15" t="str">
        <f aca="false">IF($A274="","",SUMIFS(매출내역!$I$3:$I$3002,매출내역!$I$3:$I$3002,"&gt;0",매출내역!$B$3:$B$3002,$A274,매출내역!$A$3:$A$3002,"&lt;="&amp;($B$3-30),매출내역!$A$3:$A$3002,"&gt;"&amp;($B$3-60)))</f>
        <v/>
      </c>
      <c r="D274" s="15" t="str">
        <f aca="false">IF($A274="","",SUMIFS(매출내역!$I$3:$I$3002,매출내역!$I$3:$I$3002,"&gt;0",매출내역!$B$3:$B$3002,$A274,매출내역!$A$3:$A$3002,"&lt;="&amp;($B$3-60),매출내역!$A$3:$A$3002,"&gt;"&amp;($B$3-90)))</f>
        <v/>
      </c>
      <c r="E274" s="15" t="str">
        <f aca="false">IF($A274="","",SUMIFS(매출내역!$I$3:$I$3002,매출내역!$I$3:$I$3002,"&gt;0",매출내역!$B$3:$B$3002,$A274,매출내역!$A$3:$A$3002,"&lt;="&amp;($B$3-90)))</f>
        <v/>
      </c>
      <c r="F274" s="15" t="str">
        <f aca="false">IF($A274="","",SUM($B274:$E274))</f>
        <v/>
      </c>
      <c r="G274" s="26" t="str">
        <f aca="false">IF($A274="","",IF($F$307=0,"",$F274/$F$307))</f>
        <v/>
      </c>
    </row>
    <row r="275" customFormat="false" ht="15" hidden="false" customHeight="true" outlineLevel="0" collapsed="false">
      <c r="A275" s="19" t="str">
        <f aca="false">IF(거래처목록!$A272="","",거래처목록!$A272)</f>
        <v/>
      </c>
      <c r="B275" s="15" t="str">
        <f aca="false">IF($A275="","",SUMIFS(매출내역!$I$3:$I$3002,매출내역!$I$3:$I$3002,"&gt;0",매출내역!$B$3:$B$3002,$A275,매출내역!$A$3:$A$3002,"&gt;"&amp;($B$3-30)))</f>
        <v/>
      </c>
      <c r="C275" s="15" t="str">
        <f aca="false">IF($A275="","",SUMIFS(매출내역!$I$3:$I$3002,매출내역!$I$3:$I$3002,"&gt;0",매출내역!$B$3:$B$3002,$A275,매출내역!$A$3:$A$3002,"&lt;="&amp;($B$3-30),매출내역!$A$3:$A$3002,"&gt;"&amp;($B$3-60)))</f>
        <v/>
      </c>
      <c r="D275" s="15" t="str">
        <f aca="false">IF($A275="","",SUMIFS(매출내역!$I$3:$I$3002,매출내역!$I$3:$I$3002,"&gt;0",매출내역!$B$3:$B$3002,$A275,매출내역!$A$3:$A$3002,"&lt;="&amp;($B$3-60),매출내역!$A$3:$A$3002,"&gt;"&amp;($B$3-90)))</f>
        <v/>
      </c>
      <c r="E275" s="15" t="str">
        <f aca="false">IF($A275="","",SUMIFS(매출내역!$I$3:$I$3002,매출내역!$I$3:$I$3002,"&gt;0",매출내역!$B$3:$B$3002,$A275,매출내역!$A$3:$A$3002,"&lt;="&amp;($B$3-90)))</f>
        <v/>
      </c>
      <c r="F275" s="15" t="str">
        <f aca="false">IF($A275="","",SUM($B275:$E275))</f>
        <v/>
      </c>
      <c r="G275" s="26" t="str">
        <f aca="false">IF($A275="","",IF($F$307=0,"",$F275/$F$307))</f>
        <v/>
      </c>
    </row>
    <row r="276" customFormat="false" ht="15" hidden="false" customHeight="true" outlineLevel="0" collapsed="false">
      <c r="A276" s="19" t="str">
        <f aca="false">IF(거래처목록!$A273="","",거래처목록!$A273)</f>
        <v/>
      </c>
      <c r="B276" s="15" t="str">
        <f aca="false">IF($A276="","",SUMIFS(매출내역!$I$3:$I$3002,매출내역!$I$3:$I$3002,"&gt;0",매출내역!$B$3:$B$3002,$A276,매출내역!$A$3:$A$3002,"&gt;"&amp;($B$3-30)))</f>
        <v/>
      </c>
      <c r="C276" s="15" t="str">
        <f aca="false">IF($A276="","",SUMIFS(매출내역!$I$3:$I$3002,매출내역!$I$3:$I$3002,"&gt;0",매출내역!$B$3:$B$3002,$A276,매출내역!$A$3:$A$3002,"&lt;="&amp;($B$3-30),매출내역!$A$3:$A$3002,"&gt;"&amp;($B$3-60)))</f>
        <v/>
      </c>
      <c r="D276" s="15" t="str">
        <f aca="false">IF($A276="","",SUMIFS(매출내역!$I$3:$I$3002,매출내역!$I$3:$I$3002,"&gt;0",매출내역!$B$3:$B$3002,$A276,매출내역!$A$3:$A$3002,"&lt;="&amp;($B$3-60),매출내역!$A$3:$A$3002,"&gt;"&amp;($B$3-90)))</f>
        <v/>
      </c>
      <c r="E276" s="15" t="str">
        <f aca="false">IF($A276="","",SUMIFS(매출내역!$I$3:$I$3002,매출내역!$I$3:$I$3002,"&gt;0",매출내역!$B$3:$B$3002,$A276,매출내역!$A$3:$A$3002,"&lt;="&amp;($B$3-90)))</f>
        <v/>
      </c>
      <c r="F276" s="15" t="str">
        <f aca="false">IF($A276="","",SUM($B276:$E276))</f>
        <v/>
      </c>
      <c r="G276" s="26" t="str">
        <f aca="false">IF($A276="","",IF($F$307=0,"",$F276/$F$307))</f>
        <v/>
      </c>
    </row>
    <row r="277" customFormat="false" ht="15" hidden="false" customHeight="true" outlineLevel="0" collapsed="false">
      <c r="A277" s="19" t="str">
        <f aca="false">IF(거래처목록!$A274="","",거래처목록!$A274)</f>
        <v/>
      </c>
      <c r="B277" s="15" t="str">
        <f aca="false">IF($A277="","",SUMIFS(매출내역!$I$3:$I$3002,매출내역!$I$3:$I$3002,"&gt;0",매출내역!$B$3:$B$3002,$A277,매출내역!$A$3:$A$3002,"&gt;"&amp;($B$3-30)))</f>
        <v/>
      </c>
      <c r="C277" s="15" t="str">
        <f aca="false">IF($A277="","",SUMIFS(매출내역!$I$3:$I$3002,매출내역!$I$3:$I$3002,"&gt;0",매출내역!$B$3:$B$3002,$A277,매출내역!$A$3:$A$3002,"&lt;="&amp;($B$3-30),매출내역!$A$3:$A$3002,"&gt;"&amp;($B$3-60)))</f>
        <v/>
      </c>
      <c r="D277" s="15" t="str">
        <f aca="false">IF($A277="","",SUMIFS(매출내역!$I$3:$I$3002,매출내역!$I$3:$I$3002,"&gt;0",매출내역!$B$3:$B$3002,$A277,매출내역!$A$3:$A$3002,"&lt;="&amp;($B$3-60),매출내역!$A$3:$A$3002,"&gt;"&amp;($B$3-90)))</f>
        <v/>
      </c>
      <c r="E277" s="15" t="str">
        <f aca="false">IF($A277="","",SUMIFS(매출내역!$I$3:$I$3002,매출내역!$I$3:$I$3002,"&gt;0",매출내역!$B$3:$B$3002,$A277,매출내역!$A$3:$A$3002,"&lt;="&amp;($B$3-90)))</f>
        <v/>
      </c>
      <c r="F277" s="15" t="str">
        <f aca="false">IF($A277="","",SUM($B277:$E277))</f>
        <v/>
      </c>
      <c r="G277" s="26" t="str">
        <f aca="false">IF($A277="","",IF($F$307=0,"",$F277/$F$307))</f>
        <v/>
      </c>
    </row>
    <row r="278" customFormat="false" ht="15" hidden="false" customHeight="true" outlineLevel="0" collapsed="false">
      <c r="A278" s="19" t="str">
        <f aca="false">IF(거래처목록!$A275="","",거래처목록!$A275)</f>
        <v/>
      </c>
      <c r="B278" s="15" t="str">
        <f aca="false">IF($A278="","",SUMIFS(매출내역!$I$3:$I$3002,매출내역!$I$3:$I$3002,"&gt;0",매출내역!$B$3:$B$3002,$A278,매출내역!$A$3:$A$3002,"&gt;"&amp;($B$3-30)))</f>
        <v/>
      </c>
      <c r="C278" s="15" t="str">
        <f aca="false">IF($A278="","",SUMIFS(매출내역!$I$3:$I$3002,매출내역!$I$3:$I$3002,"&gt;0",매출내역!$B$3:$B$3002,$A278,매출내역!$A$3:$A$3002,"&lt;="&amp;($B$3-30),매출내역!$A$3:$A$3002,"&gt;"&amp;($B$3-60)))</f>
        <v/>
      </c>
      <c r="D278" s="15" t="str">
        <f aca="false">IF($A278="","",SUMIFS(매출내역!$I$3:$I$3002,매출내역!$I$3:$I$3002,"&gt;0",매출내역!$B$3:$B$3002,$A278,매출내역!$A$3:$A$3002,"&lt;="&amp;($B$3-60),매출내역!$A$3:$A$3002,"&gt;"&amp;($B$3-90)))</f>
        <v/>
      </c>
      <c r="E278" s="15" t="str">
        <f aca="false">IF($A278="","",SUMIFS(매출내역!$I$3:$I$3002,매출내역!$I$3:$I$3002,"&gt;0",매출내역!$B$3:$B$3002,$A278,매출내역!$A$3:$A$3002,"&lt;="&amp;($B$3-90)))</f>
        <v/>
      </c>
      <c r="F278" s="15" t="str">
        <f aca="false">IF($A278="","",SUM($B278:$E278))</f>
        <v/>
      </c>
      <c r="G278" s="26" t="str">
        <f aca="false">IF($A278="","",IF($F$307=0,"",$F278/$F$307))</f>
        <v/>
      </c>
    </row>
    <row r="279" customFormat="false" ht="15" hidden="false" customHeight="true" outlineLevel="0" collapsed="false">
      <c r="A279" s="19" t="str">
        <f aca="false">IF(거래처목록!$A276="","",거래처목록!$A276)</f>
        <v/>
      </c>
      <c r="B279" s="15" t="str">
        <f aca="false">IF($A279="","",SUMIFS(매출내역!$I$3:$I$3002,매출내역!$I$3:$I$3002,"&gt;0",매출내역!$B$3:$B$3002,$A279,매출내역!$A$3:$A$3002,"&gt;"&amp;($B$3-30)))</f>
        <v/>
      </c>
      <c r="C279" s="15" t="str">
        <f aca="false">IF($A279="","",SUMIFS(매출내역!$I$3:$I$3002,매출내역!$I$3:$I$3002,"&gt;0",매출내역!$B$3:$B$3002,$A279,매출내역!$A$3:$A$3002,"&lt;="&amp;($B$3-30),매출내역!$A$3:$A$3002,"&gt;"&amp;($B$3-60)))</f>
        <v/>
      </c>
      <c r="D279" s="15" t="str">
        <f aca="false">IF($A279="","",SUMIFS(매출내역!$I$3:$I$3002,매출내역!$I$3:$I$3002,"&gt;0",매출내역!$B$3:$B$3002,$A279,매출내역!$A$3:$A$3002,"&lt;="&amp;($B$3-60),매출내역!$A$3:$A$3002,"&gt;"&amp;($B$3-90)))</f>
        <v/>
      </c>
      <c r="E279" s="15" t="str">
        <f aca="false">IF($A279="","",SUMIFS(매출내역!$I$3:$I$3002,매출내역!$I$3:$I$3002,"&gt;0",매출내역!$B$3:$B$3002,$A279,매출내역!$A$3:$A$3002,"&lt;="&amp;($B$3-90)))</f>
        <v/>
      </c>
      <c r="F279" s="15" t="str">
        <f aca="false">IF($A279="","",SUM($B279:$E279))</f>
        <v/>
      </c>
      <c r="G279" s="26" t="str">
        <f aca="false">IF($A279="","",IF($F$307=0,"",$F279/$F$307))</f>
        <v/>
      </c>
    </row>
    <row r="280" customFormat="false" ht="15" hidden="false" customHeight="true" outlineLevel="0" collapsed="false">
      <c r="A280" s="19" t="str">
        <f aca="false">IF(거래처목록!$A277="","",거래처목록!$A277)</f>
        <v/>
      </c>
      <c r="B280" s="15" t="str">
        <f aca="false">IF($A280="","",SUMIFS(매출내역!$I$3:$I$3002,매출내역!$I$3:$I$3002,"&gt;0",매출내역!$B$3:$B$3002,$A280,매출내역!$A$3:$A$3002,"&gt;"&amp;($B$3-30)))</f>
        <v/>
      </c>
      <c r="C280" s="15" t="str">
        <f aca="false">IF($A280="","",SUMIFS(매출내역!$I$3:$I$3002,매출내역!$I$3:$I$3002,"&gt;0",매출내역!$B$3:$B$3002,$A280,매출내역!$A$3:$A$3002,"&lt;="&amp;($B$3-30),매출내역!$A$3:$A$3002,"&gt;"&amp;($B$3-60)))</f>
        <v/>
      </c>
      <c r="D280" s="15" t="str">
        <f aca="false">IF($A280="","",SUMIFS(매출내역!$I$3:$I$3002,매출내역!$I$3:$I$3002,"&gt;0",매출내역!$B$3:$B$3002,$A280,매출내역!$A$3:$A$3002,"&lt;="&amp;($B$3-60),매출내역!$A$3:$A$3002,"&gt;"&amp;($B$3-90)))</f>
        <v/>
      </c>
      <c r="E280" s="15" t="str">
        <f aca="false">IF($A280="","",SUMIFS(매출내역!$I$3:$I$3002,매출내역!$I$3:$I$3002,"&gt;0",매출내역!$B$3:$B$3002,$A280,매출내역!$A$3:$A$3002,"&lt;="&amp;($B$3-90)))</f>
        <v/>
      </c>
      <c r="F280" s="15" t="str">
        <f aca="false">IF($A280="","",SUM($B280:$E280))</f>
        <v/>
      </c>
      <c r="G280" s="26" t="str">
        <f aca="false">IF($A280="","",IF($F$307=0,"",$F280/$F$307))</f>
        <v/>
      </c>
    </row>
    <row r="281" customFormat="false" ht="15" hidden="false" customHeight="true" outlineLevel="0" collapsed="false">
      <c r="A281" s="19" t="str">
        <f aca="false">IF(거래처목록!$A278="","",거래처목록!$A278)</f>
        <v/>
      </c>
      <c r="B281" s="15" t="str">
        <f aca="false">IF($A281="","",SUMIFS(매출내역!$I$3:$I$3002,매출내역!$I$3:$I$3002,"&gt;0",매출내역!$B$3:$B$3002,$A281,매출내역!$A$3:$A$3002,"&gt;"&amp;($B$3-30)))</f>
        <v/>
      </c>
      <c r="C281" s="15" t="str">
        <f aca="false">IF($A281="","",SUMIFS(매출내역!$I$3:$I$3002,매출내역!$I$3:$I$3002,"&gt;0",매출내역!$B$3:$B$3002,$A281,매출내역!$A$3:$A$3002,"&lt;="&amp;($B$3-30),매출내역!$A$3:$A$3002,"&gt;"&amp;($B$3-60)))</f>
        <v/>
      </c>
      <c r="D281" s="15" t="str">
        <f aca="false">IF($A281="","",SUMIFS(매출내역!$I$3:$I$3002,매출내역!$I$3:$I$3002,"&gt;0",매출내역!$B$3:$B$3002,$A281,매출내역!$A$3:$A$3002,"&lt;="&amp;($B$3-60),매출내역!$A$3:$A$3002,"&gt;"&amp;($B$3-90)))</f>
        <v/>
      </c>
      <c r="E281" s="15" t="str">
        <f aca="false">IF($A281="","",SUMIFS(매출내역!$I$3:$I$3002,매출내역!$I$3:$I$3002,"&gt;0",매출내역!$B$3:$B$3002,$A281,매출내역!$A$3:$A$3002,"&lt;="&amp;($B$3-90)))</f>
        <v/>
      </c>
      <c r="F281" s="15" t="str">
        <f aca="false">IF($A281="","",SUM($B281:$E281))</f>
        <v/>
      </c>
      <c r="G281" s="26" t="str">
        <f aca="false">IF($A281="","",IF($F$307=0,"",$F281/$F$307))</f>
        <v/>
      </c>
    </row>
    <row r="282" customFormat="false" ht="15" hidden="false" customHeight="true" outlineLevel="0" collapsed="false">
      <c r="A282" s="19" t="str">
        <f aca="false">IF(거래처목록!$A279="","",거래처목록!$A279)</f>
        <v/>
      </c>
      <c r="B282" s="15" t="str">
        <f aca="false">IF($A282="","",SUMIFS(매출내역!$I$3:$I$3002,매출내역!$I$3:$I$3002,"&gt;0",매출내역!$B$3:$B$3002,$A282,매출내역!$A$3:$A$3002,"&gt;"&amp;($B$3-30)))</f>
        <v/>
      </c>
      <c r="C282" s="15" t="str">
        <f aca="false">IF($A282="","",SUMIFS(매출내역!$I$3:$I$3002,매출내역!$I$3:$I$3002,"&gt;0",매출내역!$B$3:$B$3002,$A282,매출내역!$A$3:$A$3002,"&lt;="&amp;($B$3-30),매출내역!$A$3:$A$3002,"&gt;"&amp;($B$3-60)))</f>
        <v/>
      </c>
      <c r="D282" s="15" t="str">
        <f aca="false">IF($A282="","",SUMIFS(매출내역!$I$3:$I$3002,매출내역!$I$3:$I$3002,"&gt;0",매출내역!$B$3:$B$3002,$A282,매출내역!$A$3:$A$3002,"&lt;="&amp;($B$3-60),매출내역!$A$3:$A$3002,"&gt;"&amp;($B$3-90)))</f>
        <v/>
      </c>
      <c r="E282" s="15" t="str">
        <f aca="false">IF($A282="","",SUMIFS(매출내역!$I$3:$I$3002,매출내역!$I$3:$I$3002,"&gt;0",매출내역!$B$3:$B$3002,$A282,매출내역!$A$3:$A$3002,"&lt;="&amp;($B$3-90)))</f>
        <v/>
      </c>
      <c r="F282" s="15" t="str">
        <f aca="false">IF($A282="","",SUM($B282:$E282))</f>
        <v/>
      </c>
      <c r="G282" s="26" t="str">
        <f aca="false">IF($A282="","",IF($F$307=0,"",$F282/$F$307))</f>
        <v/>
      </c>
    </row>
    <row r="283" customFormat="false" ht="15" hidden="false" customHeight="true" outlineLevel="0" collapsed="false">
      <c r="A283" s="19" t="str">
        <f aca="false">IF(거래처목록!$A280="","",거래처목록!$A280)</f>
        <v/>
      </c>
      <c r="B283" s="15" t="str">
        <f aca="false">IF($A283="","",SUMIFS(매출내역!$I$3:$I$3002,매출내역!$I$3:$I$3002,"&gt;0",매출내역!$B$3:$B$3002,$A283,매출내역!$A$3:$A$3002,"&gt;"&amp;($B$3-30)))</f>
        <v/>
      </c>
      <c r="C283" s="15" t="str">
        <f aca="false">IF($A283="","",SUMIFS(매출내역!$I$3:$I$3002,매출내역!$I$3:$I$3002,"&gt;0",매출내역!$B$3:$B$3002,$A283,매출내역!$A$3:$A$3002,"&lt;="&amp;($B$3-30),매출내역!$A$3:$A$3002,"&gt;"&amp;($B$3-60)))</f>
        <v/>
      </c>
      <c r="D283" s="15" t="str">
        <f aca="false">IF($A283="","",SUMIFS(매출내역!$I$3:$I$3002,매출내역!$I$3:$I$3002,"&gt;0",매출내역!$B$3:$B$3002,$A283,매출내역!$A$3:$A$3002,"&lt;="&amp;($B$3-60),매출내역!$A$3:$A$3002,"&gt;"&amp;($B$3-90)))</f>
        <v/>
      </c>
      <c r="E283" s="15" t="str">
        <f aca="false">IF($A283="","",SUMIFS(매출내역!$I$3:$I$3002,매출내역!$I$3:$I$3002,"&gt;0",매출내역!$B$3:$B$3002,$A283,매출내역!$A$3:$A$3002,"&lt;="&amp;($B$3-90)))</f>
        <v/>
      </c>
      <c r="F283" s="15" t="str">
        <f aca="false">IF($A283="","",SUM($B283:$E283))</f>
        <v/>
      </c>
      <c r="G283" s="26" t="str">
        <f aca="false">IF($A283="","",IF($F$307=0,"",$F283/$F$307))</f>
        <v/>
      </c>
    </row>
    <row r="284" customFormat="false" ht="15" hidden="false" customHeight="true" outlineLevel="0" collapsed="false">
      <c r="A284" s="19" t="str">
        <f aca="false">IF(거래처목록!$A281="","",거래처목록!$A281)</f>
        <v/>
      </c>
      <c r="B284" s="15" t="str">
        <f aca="false">IF($A284="","",SUMIFS(매출내역!$I$3:$I$3002,매출내역!$I$3:$I$3002,"&gt;0",매출내역!$B$3:$B$3002,$A284,매출내역!$A$3:$A$3002,"&gt;"&amp;($B$3-30)))</f>
        <v/>
      </c>
      <c r="C284" s="15" t="str">
        <f aca="false">IF($A284="","",SUMIFS(매출내역!$I$3:$I$3002,매출내역!$I$3:$I$3002,"&gt;0",매출내역!$B$3:$B$3002,$A284,매출내역!$A$3:$A$3002,"&lt;="&amp;($B$3-30),매출내역!$A$3:$A$3002,"&gt;"&amp;($B$3-60)))</f>
        <v/>
      </c>
      <c r="D284" s="15" t="str">
        <f aca="false">IF($A284="","",SUMIFS(매출내역!$I$3:$I$3002,매출내역!$I$3:$I$3002,"&gt;0",매출내역!$B$3:$B$3002,$A284,매출내역!$A$3:$A$3002,"&lt;="&amp;($B$3-60),매출내역!$A$3:$A$3002,"&gt;"&amp;($B$3-90)))</f>
        <v/>
      </c>
      <c r="E284" s="15" t="str">
        <f aca="false">IF($A284="","",SUMIFS(매출내역!$I$3:$I$3002,매출내역!$I$3:$I$3002,"&gt;0",매출내역!$B$3:$B$3002,$A284,매출내역!$A$3:$A$3002,"&lt;="&amp;($B$3-90)))</f>
        <v/>
      </c>
      <c r="F284" s="15" t="str">
        <f aca="false">IF($A284="","",SUM($B284:$E284))</f>
        <v/>
      </c>
      <c r="G284" s="26" t="str">
        <f aca="false">IF($A284="","",IF($F$307=0,"",$F284/$F$307))</f>
        <v/>
      </c>
    </row>
    <row r="285" customFormat="false" ht="15" hidden="false" customHeight="true" outlineLevel="0" collapsed="false">
      <c r="A285" s="19" t="str">
        <f aca="false">IF(거래처목록!$A282="","",거래처목록!$A282)</f>
        <v/>
      </c>
      <c r="B285" s="15" t="str">
        <f aca="false">IF($A285="","",SUMIFS(매출내역!$I$3:$I$3002,매출내역!$I$3:$I$3002,"&gt;0",매출내역!$B$3:$B$3002,$A285,매출내역!$A$3:$A$3002,"&gt;"&amp;($B$3-30)))</f>
        <v/>
      </c>
      <c r="C285" s="15" t="str">
        <f aca="false">IF($A285="","",SUMIFS(매출내역!$I$3:$I$3002,매출내역!$I$3:$I$3002,"&gt;0",매출내역!$B$3:$B$3002,$A285,매출내역!$A$3:$A$3002,"&lt;="&amp;($B$3-30),매출내역!$A$3:$A$3002,"&gt;"&amp;($B$3-60)))</f>
        <v/>
      </c>
      <c r="D285" s="15" t="str">
        <f aca="false">IF($A285="","",SUMIFS(매출내역!$I$3:$I$3002,매출내역!$I$3:$I$3002,"&gt;0",매출내역!$B$3:$B$3002,$A285,매출내역!$A$3:$A$3002,"&lt;="&amp;($B$3-60),매출내역!$A$3:$A$3002,"&gt;"&amp;($B$3-90)))</f>
        <v/>
      </c>
      <c r="E285" s="15" t="str">
        <f aca="false">IF($A285="","",SUMIFS(매출내역!$I$3:$I$3002,매출내역!$I$3:$I$3002,"&gt;0",매출내역!$B$3:$B$3002,$A285,매출내역!$A$3:$A$3002,"&lt;="&amp;($B$3-90)))</f>
        <v/>
      </c>
      <c r="F285" s="15" t="str">
        <f aca="false">IF($A285="","",SUM($B285:$E285))</f>
        <v/>
      </c>
      <c r="G285" s="26" t="str">
        <f aca="false">IF($A285="","",IF($F$307=0,"",$F285/$F$307))</f>
        <v/>
      </c>
    </row>
    <row r="286" customFormat="false" ht="15" hidden="false" customHeight="true" outlineLevel="0" collapsed="false">
      <c r="A286" s="19" t="str">
        <f aca="false">IF(거래처목록!$A283="","",거래처목록!$A283)</f>
        <v/>
      </c>
      <c r="B286" s="15" t="str">
        <f aca="false">IF($A286="","",SUMIFS(매출내역!$I$3:$I$3002,매출내역!$I$3:$I$3002,"&gt;0",매출내역!$B$3:$B$3002,$A286,매출내역!$A$3:$A$3002,"&gt;"&amp;($B$3-30)))</f>
        <v/>
      </c>
      <c r="C286" s="15" t="str">
        <f aca="false">IF($A286="","",SUMIFS(매출내역!$I$3:$I$3002,매출내역!$I$3:$I$3002,"&gt;0",매출내역!$B$3:$B$3002,$A286,매출내역!$A$3:$A$3002,"&lt;="&amp;($B$3-30),매출내역!$A$3:$A$3002,"&gt;"&amp;($B$3-60)))</f>
        <v/>
      </c>
      <c r="D286" s="15" t="str">
        <f aca="false">IF($A286="","",SUMIFS(매출내역!$I$3:$I$3002,매출내역!$I$3:$I$3002,"&gt;0",매출내역!$B$3:$B$3002,$A286,매출내역!$A$3:$A$3002,"&lt;="&amp;($B$3-60),매출내역!$A$3:$A$3002,"&gt;"&amp;($B$3-90)))</f>
        <v/>
      </c>
      <c r="E286" s="15" t="str">
        <f aca="false">IF($A286="","",SUMIFS(매출내역!$I$3:$I$3002,매출내역!$I$3:$I$3002,"&gt;0",매출내역!$B$3:$B$3002,$A286,매출내역!$A$3:$A$3002,"&lt;="&amp;($B$3-90)))</f>
        <v/>
      </c>
      <c r="F286" s="15" t="str">
        <f aca="false">IF($A286="","",SUM($B286:$E286))</f>
        <v/>
      </c>
      <c r="G286" s="26" t="str">
        <f aca="false">IF($A286="","",IF($F$307=0,"",$F286/$F$307))</f>
        <v/>
      </c>
    </row>
    <row r="287" customFormat="false" ht="15" hidden="false" customHeight="true" outlineLevel="0" collapsed="false">
      <c r="A287" s="19" t="str">
        <f aca="false">IF(거래처목록!$A284="","",거래처목록!$A284)</f>
        <v/>
      </c>
      <c r="B287" s="15" t="str">
        <f aca="false">IF($A287="","",SUMIFS(매출내역!$I$3:$I$3002,매출내역!$I$3:$I$3002,"&gt;0",매출내역!$B$3:$B$3002,$A287,매출내역!$A$3:$A$3002,"&gt;"&amp;($B$3-30)))</f>
        <v/>
      </c>
      <c r="C287" s="15" t="str">
        <f aca="false">IF($A287="","",SUMIFS(매출내역!$I$3:$I$3002,매출내역!$I$3:$I$3002,"&gt;0",매출내역!$B$3:$B$3002,$A287,매출내역!$A$3:$A$3002,"&lt;="&amp;($B$3-30),매출내역!$A$3:$A$3002,"&gt;"&amp;($B$3-60)))</f>
        <v/>
      </c>
      <c r="D287" s="15" t="str">
        <f aca="false">IF($A287="","",SUMIFS(매출내역!$I$3:$I$3002,매출내역!$I$3:$I$3002,"&gt;0",매출내역!$B$3:$B$3002,$A287,매출내역!$A$3:$A$3002,"&lt;="&amp;($B$3-60),매출내역!$A$3:$A$3002,"&gt;"&amp;($B$3-90)))</f>
        <v/>
      </c>
      <c r="E287" s="15" t="str">
        <f aca="false">IF($A287="","",SUMIFS(매출내역!$I$3:$I$3002,매출내역!$I$3:$I$3002,"&gt;0",매출내역!$B$3:$B$3002,$A287,매출내역!$A$3:$A$3002,"&lt;="&amp;($B$3-90)))</f>
        <v/>
      </c>
      <c r="F287" s="15" t="str">
        <f aca="false">IF($A287="","",SUM($B287:$E287))</f>
        <v/>
      </c>
      <c r="G287" s="26" t="str">
        <f aca="false">IF($A287="","",IF($F$307=0,"",$F287/$F$307))</f>
        <v/>
      </c>
    </row>
    <row r="288" customFormat="false" ht="15" hidden="false" customHeight="true" outlineLevel="0" collapsed="false">
      <c r="A288" s="19" t="str">
        <f aca="false">IF(거래처목록!$A285="","",거래처목록!$A285)</f>
        <v/>
      </c>
      <c r="B288" s="15" t="str">
        <f aca="false">IF($A288="","",SUMIFS(매출내역!$I$3:$I$3002,매출내역!$I$3:$I$3002,"&gt;0",매출내역!$B$3:$B$3002,$A288,매출내역!$A$3:$A$3002,"&gt;"&amp;($B$3-30)))</f>
        <v/>
      </c>
      <c r="C288" s="15" t="str">
        <f aca="false">IF($A288="","",SUMIFS(매출내역!$I$3:$I$3002,매출내역!$I$3:$I$3002,"&gt;0",매출내역!$B$3:$B$3002,$A288,매출내역!$A$3:$A$3002,"&lt;="&amp;($B$3-30),매출내역!$A$3:$A$3002,"&gt;"&amp;($B$3-60)))</f>
        <v/>
      </c>
      <c r="D288" s="15" t="str">
        <f aca="false">IF($A288="","",SUMIFS(매출내역!$I$3:$I$3002,매출내역!$I$3:$I$3002,"&gt;0",매출내역!$B$3:$B$3002,$A288,매출내역!$A$3:$A$3002,"&lt;="&amp;($B$3-60),매출내역!$A$3:$A$3002,"&gt;"&amp;($B$3-90)))</f>
        <v/>
      </c>
      <c r="E288" s="15" t="str">
        <f aca="false">IF($A288="","",SUMIFS(매출내역!$I$3:$I$3002,매출내역!$I$3:$I$3002,"&gt;0",매출내역!$B$3:$B$3002,$A288,매출내역!$A$3:$A$3002,"&lt;="&amp;($B$3-90)))</f>
        <v/>
      </c>
      <c r="F288" s="15" t="str">
        <f aca="false">IF($A288="","",SUM($B288:$E288))</f>
        <v/>
      </c>
      <c r="G288" s="26" t="str">
        <f aca="false">IF($A288="","",IF($F$307=0,"",$F288/$F$307))</f>
        <v/>
      </c>
    </row>
    <row r="289" customFormat="false" ht="15" hidden="false" customHeight="true" outlineLevel="0" collapsed="false">
      <c r="A289" s="19" t="str">
        <f aca="false">IF(거래처목록!$A286="","",거래처목록!$A286)</f>
        <v/>
      </c>
      <c r="B289" s="15" t="str">
        <f aca="false">IF($A289="","",SUMIFS(매출내역!$I$3:$I$3002,매출내역!$I$3:$I$3002,"&gt;0",매출내역!$B$3:$B$3002,$A289,매출내역!$A$3:$A$3002,"&gt;"&amp;($B$3-30)))</f>
        <v/>
      </c>
      <c r="C289" s="15" t="str">
        <f aca="false">IF($A289="","",SUMIFS(매출내역!$I$3:$I$3002,매출내역!$I$3:$I$3002,"&gt;0",매출내역!$B$3:$B$3002,$A289,매출내역!$A$3:$A$3002,"&lt;="&amp;($B$3-30),매출내역!$A$3:$A$3002,"&gt;"&amp;($B$3-60)))</f>
        <v/>
      </c>
      <c r="D289" s="15" t="str">
        <f aca="false">IF($A289="","",SUMIFS(매출내역!$I$3:$I$3002,매출내역!$I$3:$I$3002,"&gt;0",매출내역!$B$3:$B$3002,$A289,매출내역!$A$3:$A$3002,"&lt;="&amp;($B$3-60),매출내역!$A$3:$A$3002,"&gt;"&amp;($B$3-90)))</f>
        <v/>
      </c>
      <c r="E289" s="15" t="str">
        <f aca="false">IF($A289="","",SUMIFS(매출내역!$I$3:$I$3002,매출내역!$I$3:$I$3002,"&gt;0",매출내역!$B$3:$B$3002,$A289,매출내역!$A$3:$A$3002,"&lt;="&amp;($B$3-90)))</f>
        <v/>
      </c>
      <c r="F289" s="15" t="str">
        <f aca="false">IF($A289="","",SUM($B289:$E289))</f>
        <v/>
      </c>
      <c r="G289" s="26" t="str">
        <f aca="false">IF($A289="","",IF($F$307=0,"",$F289/$F$307))</f>
        <v/>
      </c>
    </row>
    <row r="290" customFormat="false" ht="15" hidden="false" customHeight="true" outlineLevel="0" collapsed="false">
      <c r="A290" s="19" t="str">
        <f aca="false">IF(거래처목록!$A287="","",거래처목록!$A287)</f>
        <v/>
      </c>
      <c r="B290" s="15" t="str">
        <f aca="false">IF($A290="","",SUMIFS(매출내역!$I$3:$I$3002,매출내역!$I$3:$I$3002,"&gt;0",매출내역!$B$3:$B$3002,$A290,매출내역!$A$3:$A$3002,"&gt;"&amp;($B$3-30)))</f>
        <v/>
      </c>
      <c r="C290" s="15" t="str">
        <f aca="false">IF($A290="","",SUMIFS(매출내역!$I$3:$I$3002,매출내역!$I$3:$I$3002,"&gt;0",매출내역!$B$3:$B$3002,$A290,매출내역!$A$3:$A$3002,"&lt;="&amp;($B$3-30),매출내역!$A$3:$A$3002,"&gt;"&amp;($B$3-60)))</f>
        <v/>
      </c>
      <c r="D290" s="15" t="str">
        <f aca="false">IF($A290="","",SUMIFS(매출내역!$I$3:$I$3002,매출내역!$I$3:$I$3002,"&gt;0",매출내역!$B$3:$B$3002,$A290,매출내역!$A$3:$A$3002,"&lt;="&amp;($B$3-60),매출내역!$A$3:$A$3002,"&gt;"&amp;($B$3-90)))</f>
        <v/>
      </c>
      <c r="E290" s="15" t="str">
        <f aca="false">IF($A290="","",SUMIFS(매출내역!$I$3:$I$3002,매출내역!$I$3:$I$3002,"&gt;0",매출내역!$B$3:$B$3002,$A290,매출내역!$A$3:$A$3002,"&lt;="&amp;($B$3-90)))</f>
        <v/>
      </c>
      <c r="F290" s="15" t="str">
        <f aca="false">IF($A290="","",SUM($B290:$E290))</f>
        <v/>
      </c>
      <c r="G290" s="26" t="str">
        <f aca="false">IF($A290="","",IF($F$307=0,"",$F290/$F$307))</f>
        <v/>
      </c>
    </row>
    <row r="291" customFormat="false" ht="15" hidden="false" customHeight="true" outlineLevel="0" collapsed="false">
      <c r="A291" s="19" t="str">
        <f aca="false">IF(거래처목록!$A288="","",거래처목록!$A288)</f>
        <v/>
      </c>
      <c r="B291" s="15" t="str">
        <f aca="false">IF($A291="","",SUMIFS(매출내역!$I$3:$I$3002,매출내역!$I$3:$I$3002,"&gt;0",매출내역!$B$3:$B$3002,$A291,매출내역!$A$3:$A$3002,"&gt;"&amp;($B$3-30)))</f>
        <v/>
      </c>
      <c r="C291" s="15" t="str">
        <f aca="false">IF($A291="","",SUMIFS(매출내역!$I$3:$I$3002,매출내역!$I$3:$I$3002,"&gt;0",매출내역!$B$3:$B$3002,$A291,매출내역!$A$3:$A$3002,"&lt;="&amp;($B$3-30),매출내역!$A$3:$A$3002,"&gt;"&amp;($B$3-60)))</f>
        <v/>
      </c>
      <c r="D291" s="15" t="str">
        <f aca="false">IF($A291="","",SUMIFS(매출내역!$I$3:$I$3002,매출내역!$I$3:$I$3002,"&gt;0",매출내역!$B$3:$B$3002,$A291,매출내역!$A$3:$A$3002,"&lt;="&amp;($B$3-60),매출내역!$A$3:$A$3002,"&gt;"&amp;($B$3-90)))</f>
        <v/>
      </c>
      <c r="E291" s="15" t="str">
        <f aca="false">IF($A291="","",SUMIFS(매출내역!$I$3:$I$3002,매출내역!$I$3:$I$3002,"&gt;0",매출내역!$B$3:$B$3002,$A291,매출내역!$A$3:$A$3002,"&lt;="&amp;($B$3-90)))</f>
        <v/>
      </c>
      <c r="F291" s="15" t="str">
        <f aca="false">IF($A291="","",SUM($B291:$E291))</f>
        <v/>
      </c>
      <c r="G291" s="26" t="str">
        <f aca="false">IF($A291="","",IF($F$307=0,"",$F291/$F$307))</f>
        <v/>
      </c>
    </row>
    <row r="292" customFormat="false" ht="15" hidden="false" customHeight="true" outlineLevel="0" collapsed="false">
      <c r="A292" s="19" t="str">
        <f aca="false">IF(거래처목록!$A289="","",거래처목록!$A289)</f>
        <v/>
      </c>
      <c r="B292" s="15" t="str">
        <f aca="false">IF($A292="","",SUMIFS(매출내역!$I$3:$I$3002,매출내역!$I$3:$I$3002,"&gt;0",매출내역!$B$3:$B$3002,$A292,매출내역!$A$3:$A$3002,"&gt;"&amp;($B$3-30)))</f>
        <v/>
      </c>
      <c r="C292" s="15" t="str">
        <f aca="false">IF($A292="","",SUMIFS(매출내역!$I$3:$I$3002,매출내역!$I$3:$I$3002,"&gt;0",매출내역!$B$3:$B$3002,$A292,매출내역!$A$3:$A$3002,"&lt;="&amp;($B$3-30),매출내역!$A$3:$A$3002,"&gt;"&amp;($B$3-60)))</f>
        <v/>
      </c>
      <c r="D292" s="15" t="str">
        <f aca="false">IF($A292="","",SUMIFS(매출내역!$I$3:$I$3002,매출내역!$I$3:$I$3002,"&gt;0",매출내역!$B$3:$B$3002,$A292,매출내역!$A$3:$A$3002,"&lt;="&amp;($B$3-60),매출내역!$A$3:$A$3002,"&gt;"&amp;($B$3-90)))</f>
        <v/>
      </c>
      <c r="E292" s="15" t="str">
        <f aca="false">IF($A292="","",SUMIFS(매출내역!$I$3:$I$3002,매출내역!$I$3:$I$3002,"&gt;0",매출내역!$B$3:$B$3002,$A292,매출내역!$A$3:$A$3002,"&lt;="&amp;($B$3-90)))</f>
        <v/>
      </c>
      <c r="F292" s="15" t="str">
        <f aca="false">IF($A292="","",SUM($B292:$E292))</f>
        <v/>
      </c>
      <c r="G292" s="26" t="str">
        <f aca="false">IF($A292="","",IF($F$307=0,"",$F292/$F$307))</f>
        <v/>
      </c>
    </row>
    <row r="293" customFormat="false" ht="15" hidden="false" customHeight="true" outlineLevel="0" collapsed="false">
      <c r="A293" s="19" t="str">
        <f aca="false">IF(거래처목록!$A290="","",거래처목록!$A290)</f>
        <v/>
      </c>
      <c r="B293" s="15" t="str">
        <f aca="false">IF($A293="","",SUMIFS(매출내역!$I$3:$I$3002,매출내역!$I$3:$I$3002,"&gt;0",매출내역!$B$3:$B$3002,$A293,매출내역!$A$3:$A$3002,"&gt;"&amp;($B$3-30)))</f>
        <v/>
      </c>
      <c r="C293" s="15" t="str">
        <f aca="false">IF($A293="","",SUMIFS(매출내역!$I$3:$I$3002,매출내역!$I$3:$I$3002,"&gt;0",매출내역!$B$3:$B$3002,$A293,매출내역!$A$3:$A$3002,"&lt;="&amp;($B$3-30),매출내역!$A$3:$A$3002,"&gt;"&amp;($B$3-60)))</f>
        <v/>
      </c>
      <c r="D293" s="15" t="str">
        <f aca="false">IF($A293="","",SUMIFS(매출내역!$I$3:$I$3002,매출내역!$I$3:$I$3002,"&gt;0",매출내역!$B$3:$B$3002,$A293,매출내역!$A$3:$A$3002,"&lt;="&amp;($B$3-60),매출내역!$A$3:$A$3002,"&gt;"&amp;($B$3-90)))</f>
        <v/>
      </c>
      <c r="E293" s="15" t="str">
        <f aca="false">IF($A293="","",SUMIFS(매출내역!$I$3:$I$3002,매출내역!$I$3:$I$3002,"&gt;0",매출내역!$B$3:$B$3002,$A293,매출내역!$A$3:$A$3002,"&lt;="&amp;($B$3-90)))</f>
        <v/>
      </c>
      <c r="F293" s="15" t="str">
        <f aca="false">IF($A293="","",SUM($B293:$E293))</f>
        <v/>
      </c>
      <c r="G293" s="26" t="str">
        <f aca="false">IF($A293="","",IF($F$307=0,"",$F293/$F$307))</f>
        <v/>
      </c>
    </row>
    <row r="294" customFormat="false" ht="15" hidden="false" customHeight="true" outlineLevel="0" collapsed="false">
      <c r="A294" s="19" t="str">
        <f aca="false">IF(거래처목록!$A291="","",거래처목록!$A291)</f>
        <v/>
      </c>
      <c r="B294" s="15" t="str">
        <f aca="false">IF($A294="","",SUMIFS(매출내역!$I$3:$I$3002,매출내역!$I$3:$I$3002,"&gt;0",매출내역!$B$3:$B$3002,$A294,매출내역!$A$3:$A$3002,"&gt;"&amp;($B$3-30)))</f>
        <v/>
      </c>
      <c r="C294" s="15" t="str">
        <f aca="false">IF($A294="","",SUMIFS(매출내역!$I$3:$I$3002,매출내역!$I$3:$I$3002,"&gt;0",매출내역!$B$3:$B$3002,$A294,매출내역!$A$3:$A$3002,"&lt;="&amp;($B$3-30),매출내역!$A$3:$A$3002,"&gt;"&amp;($B$3-60)))</f>
        <v/>
      </c>
      <c r="D294" s="15" t="str">
        <f aca="false">IF($A294="","",SUMIFS(매출내역!$I$3:$I$3002,매출내역!$I$3:$I$3002,"&gt;0",매출내역!$B$3:$B$3002,$A294,매출내역!$A$3:$A$3002,"&lt;="&amp;($B$3-60),매출내역!$A$3:$A$3002,"&gt;"&amp;($B$3-90)))</f>
        <v/>
      </c>
      <c r="E294" s="15" t="str">
        <f aca="false">IF($A294="","",SUMIFS(매출내역!$I$3:$I$3002,매출내역!$I$3:$I$3002,"&gt;0",매출내역!$B$3:$B$3002,$A294,매출내역!$A$3:$A$3002,"&lt;="&amp;($B$3-90)))</f>
        <v/>
      </c>
      <c r="F294" s="15" t="str">
        <f aca="false">IF($A294="","",SUM($B294:$E294))</f>
        <v/>
      </c>
      <c r="G294" s="26" t="str">
        <f aca="false">IF($A294="","",IF($F$307=0,"",$F294/$F$307))</f>
        <v/>
      </c>
    </row>
    <row r="295" customFormat="false" ht="15" hidden="false" customHeight="true" outlineLevel="0" collapsed="false">
      <c r="A295" s="19" t="str">
        <f aca="false">IF(거래처목록!$A292="","",거래처목록!$A292)</f>
        <v/>
      </c>
      <c r="B295" s="15" t="str">
        <f aca="false">IF($A295="","",SUMIFS(매출내역!$I$3:$I$3002,매출내역!$I$3:$I$3002,"&gt;0",매출내역!$B$3:$B$3002,$A295,매출내역!$A$3:$A$3002,"&gt;"&amp;($B$3-30)))</f>
        <v/>
      </c>
      <c r="C295" s="15" t="str">
        <f aca="false">IF($A295="","",SUMIFS(매출내역!$I$3:$I$3002,매출내역!$I$3:$I$3002,"&gt;0",매출내역!$B$3:$B$3002,$A295,매출내역!$A$3:$A$3002,"&lt;="&amp;($B$3-30),매출내역!$A$3:$A$3002,"&gt;"&amp;($B$3-60)))</f>
        <v/>
      </c>
      <c r="D295" s="15" t="str">
        <f aca="false">IF($A295="","",SUMIFS(매출내역!$I$3:$I$3002,매출내역!$I$3:$I$3002,"&gt;0",매출내역!$B$3:$B$3002,$A295,매출내역!$A$3:$A$3002,"&lt;="&amp;($B$3-60),매출내역!$A$3:$A$3002,"&gt;"&amp;($B$3-90)))</f>
        <v/>
      </c>
      <c r="E295" s="15" t="str">
        <f aca="false">IF($A295="","",SUMIFS(매출내역!$I$3:$I$3002,매출내역!$I$3:$I$3002,"&gt;0",매출내역!$B$3:$B$3002,$A295,매출내역!$A$3:$A$3002,"&lt;="&amp;($B$3-90)))</f>
        <v/>
      </c>
      <c r="F295" s="15" t="str">
        <f aca="false">IF($A295="","",SUM($B295:$E295))</f>
        <v/>
      </c>
      <c r="G295" s="26" t="str">
        <f aca="false">IF($A295="","",IF($F$307=0,"",$F295/$F$307))</f>
        <v/>
      </c>
    </row>
    <row r="296" customFormat="false" ht="15" hidden="false" customHeight="true" outlineLevel="0" collapsed="false">
      <c r="A296" s="19" t="str">
        <f aca="false">IF(거래처목록!$A293="","",거래처목록!$A293)</f>
        <v/>
      </c>
      <c r="B296" s="15" t="str">
        <f aca="false">IF($A296="","",SUMIFS(매출내역!$I$3:$I$3002,매출내역!$I$3:$I$3002,"&gt;0",매출내역!$B$3:$B$3002,$A296,매출내역!$A$3:$A$3002,"&gt;"&amp;($B$3-30)))</f>
        <v/>
      </c>
      <c r="C296" s="15" t="str">
        <f aca="false">IF($A296="","",SUMIFS(매출내역!$I$3:$I$3002,매출내역!$I$3:$I$3002,"&gt;0",매출내역!$B$3:$B$3002,$A296,매출내역!$A$3:$A$3002,"&lt;="&amp;($B$3-30),매출내역!$A$3:$A$3002,"&gt;"&amp;($B$3-60)))</f>
        <v/>
      </c>
      <c r="D296" s="15" t="str">
        <f aca="false">IF($A296="","",SUMIFS(매출내역!$I$3:$I$3002,매출내역!$I$3:$I$3002,"&gt;0",매출내역!$B$3:$B$3002,$A296,매출내역!$A$3:$A$3002,"&lt;="&amp;($B$3-60),매출내역!$A$3:$A$3002,"&gt;"&amp;($B$3-90)))</f>
        <v/>
      </c>
      <c r="E296" s="15" t="str">
        <f aca="false">IF($A296="","",SUMIFS(매출내역!$I$3:$I$3002,매출내역!$I$3:$I$3002,"&gt;0",매출내역!$B$3:$B$3002,$A296,매출내역!$A$3:$A$3002,"&lt;="&amp;($B$3-90)))</f>
        <v/>
      </c>
      <c r="F296" s="15" t="str">
        <f aca="false">IF($A296="","",SUM($B296:$E296))</f>
        <v/>
      </c>
      <c r="G296" s="26" t="str">
        <f aca="false">IF($A296="","",IF($F$307=0,"",$F296/$F$307))</f>
        <v/>
      </c>
    </row>
    <row r="297" customFormat="false" ht="15" hidden="false" customHeight="true" outlineLevel="0" collapsed="false">
      <c r="A297" s="19" t="str">
        <f aca="false">IF(거래처목록!$A294="","",거래처목록!$A294)</f>
        <v/>
      </c>
      <c r="B297" s="15" t="str">
        <f aca="false">IF($A297="","",SUMIFS(매출내역!$I$3:$I$3002,매출내역!$I$3:$I$3002,"&gt;0",매출내역!$B$3:$B$3002,$A297,매출내역!$A$3:$A$3002,"&gt;"&amp;($B$3-30)))</f>
        <v/>
      </c>
      <c r="C297" s="15" t="str">
        <f aca="false">IF($A297="","",SUMIFS(매출내역!$I$3:$I$3002,매출내역!$I$3:$I$3002,"&gt;0",매출내역!$B$3:$B$3002,$A297,매출내역!$A$3:$A$3002,"&lt;="&amp;($B$3-30),매출내역!$A$3:$A$3002,"&gt;"&amp;($B$3-60)))</f>
        <v/>
      </c>
      <c r="D297" s="15" t="str">
        <f aca="false">IF($A297="","",SUMIFS(매출내역!$I$3:$I$3002,매출내역!$I$3:$I$3002,"&gt;0",매출내역!$B$3:$B$3002,$A297,매출내역!$A$3:$A$3002,"&lt;="&amp;($B$3-60),매출내역!$A$3:$A$3002,"&gt;"&amp;($B$3-90)))</f>
        <v/>
      </c>
      <c r="E297" s="15" t="str">
        <f aca="false">IF($A297="","",SUMIFS(매출내역!$I$3:$I$3002,매출내역!$I$3:$I$3002,"&gt;0",매출내역!$B$3:$B$3002,$A297,매출내역!$A$3:$A$3002,"&lt;="&amp;($B$3-90)))</f>
        <v/>
      </c>
      <c r="F297" s="15" t="str">
        <f aca="false">IF($A297="","",SUM($B297:$E297))</f>
        <v/>
      </c>
      <c r="G297" s="26" t="str">
        <f aca="false">IF($A297="","",IF($F$307=0,"",$F297/$F$307))</f>
        <v/>
      </c>
    </row>
    <row r="298" customFormat="false" ht="15" hidden="false" customHeight="true" outlineLevel="0" collapsed="false">
      <c r="A298" s="19" t="str">
        <f aca="false">IF(거래처목록!$A295="","",거래처목록!$A295)</f>
        <v/>
      </c>
      <c r="B298" s="15" t="str">
        <f aca="false">IF($A298="","",SUMIFS(매출내역!$I$3:$I$3002,매출내역!$I$3:$I$3002,"&gt;0",매출내역!$B$3:$B$3002,$A298,매출내역!$A$3:$A$3002,"&gt;"&amp;($B$3-30)))</f>
        <v/>
      </c>
      <c r="C298" s="15" t="str">
        <f aca="false">IF($A298="","",SUMIFS(매출내역!$I$3:$I$3002,매출내역!$I$3:$I$3002,"&gt;0",매출내역!$B$3:$B$3002,$A298,매출내역!$A$3:$A$3002,"&lt;="&amp;($B$3-30),매출내역!$A$3:$A$3002,"&gt;"&amp;($B$3-60)))</f>
        <v/>
      </c>
      <c r="D298" s="15" t="str">
        <f aca="false">IF($A298="","",SUMIFS(매출내역!$I$3:$I$3002,매출내역!$I$3:$I$3002,"&gt;0",매출내역!$B$3:$B$3002,$A298,매출내역!$A$3:$A$3002,"&lt;="&amp;($B$3-60),매출내역!$A$3:$A$3002,"&gt;"&amp;($B$3-90)))</f>
        <v/>
      </c>
      <c r="E298" s="15" t="str">
        <f aca="false">IF($A298="","",SUMIFS(매출내역!$I$3:$I$3002,매출내역!$I$3:$I$3002,"&gt;0",매출내역!$B$3:$B$3002,$A298,매출내역!$A$3:$A$3002,"&lt;="&amp;($B$3-90)))</f>
        <v/>
      </c>
      <c r="F298" s="15" t="str">
        <f aca="false">IF($A298="","",SUM($B298:$E298))</f>
        <v/>
      </c>
      <c r="G298" s="26" t="str">
        <f aca="false">IF($A298="","",IF($F$307=0,"",$F298/$F$307))</f>
        <v/>
      </c>
    </row>
    <row r="299" customFormat="false" ht="15" hidden="false" customHeight="true" outlineLevel="0" collapsed="false">
      <c r="A299" s="19" t="str">
        <f aca="false">IF(거래처목록!$A296="","",거래처목록!$A296)</f>
        <v/>
      </c>
      <c r="B299" s="15" t="str">
        <f aca="false">IF($A299="","",SUMIFS(매출내역!$I$3:$I$3002,매출내역!$I$3:$I$3002,"&gt;0",매출내역!$B$3:$B$3002,$A299,매출내역!$A$3:$A$3002,"&gt;"&amp;($B$3-30)))</f>
        <v/>
      </c>
      <c r="C299" s="15" t="str">
        <f aca="false">IF($A299="","",SUMIFS(매출내역!$I$3:$I$3002,매출내역!$I$3:$I$3002,"&gt;0",매출내역!$B$3:$B$3002,$A299,매출내역!$A$3:$A$3002,"&lt;="&amp;($B$3-30),매출내역!$A$3:$A$3002,"&gt;"&amp;($B$3-60)))</f>
        <v/>
      </c>
      <c r="D299" s="15" t="str">
        <f aca="false">IF($A299="","",SUMIFS(매출내역!$I$3:$I$3002,매출내역!$I$3:$I$3002,"&gt;0",매출내역!$B$3:$B$3002,$A299,매출내역!$A$3:$A$3002,"&lt;="&amp;($B$3-60),매출내역!$A$3:$A$3002,"&gt;"&amp;($B$3-90)))</f>
        <v/>
      </c>
      <c r="E299" s="15" t="str">
        <f aca="false">IF($A299="","",SUMIFS(매출내역!$I$3:$I$3002,매출내역!$I$3:$I$3002,"&gt;0",매출내역!$B$3:$B$3002,$A299,매출내역!$A$3:$A$3002,"&lt;="&amp;($B$3-90)))</f>
        <v/>
      </c>
      <c r="F299" s="15" t="str">
        <f aca="false">IF($A299="","",SUM($B299:$E299))</f>
        <v/>
      </c>
      <c r="G299" s="26" t="str">
        <f aca="false">IF($A299="","",IF($F$307=0,"",$F299/$F$307))</f>
        <v/>
      </c>
    </row>
    <row r="300" customFormat="false" ht="15" hidden="false" customHeight="true" outlineLevel="0" collapsed="false">
      <c r="A300" s="19" t="str">
        <f aca="false">IF(거래처목록!$A297="","",거래처목록!$A297)</f>
        <v/>
      </c>
      <c r="B300" s="15" t="str">
        <f aca="false">IF($A300="","",SUMIFS(매출내역!$I$3:$I$3002,매출내역!$I$3:$I$3002,"&gt;0",매출내역!$B$3:$B$3002,$A300,매출내역!$A$3:$A$3002,"&gt;"&amp;($B$3-30)))</f>
        <v/>
      </c>
      <c r="C300" s="15" t="str">
        <f aca="false">IF($A300="","",SUMIFS(매출내역!$I$3:$I$3002,매출내역!$I$3:$I$3002,"&gt;0",매출내역!$B$3:$B$3002,$A300,매출내역!$A$3:$A$3002,"&lt;="&amp;($B$3-30),매출내역!$A$3:$A$3002,"&gt;"&amp;($B$3-60)))</f>
        <v/>
      </c>
      <c r="D300" s="15" t="str">
        <f aca="false">IF($A300="","",SUMIFS(매출내역!$I$3:$I$3002,매출내역!$I$3:$I$3002,"&gt;0",매출내역!$B$3:$B$3002,$A300,매출내역!$A$3:$A$3002,"&lt;="&amp;($B$3-60),매출내역!$A$3:$A$3002,"&gt;"&amp;($B$3-90)))</f>
        <v/>
      </c>
      <c r="E300" s="15" t="str">
        <f aca="false">IF($A300="","",SUMIFS(매출내역!$I$3:$I$3002,매출내역!$I$3:$I$3002,"&gt;0",매출내역!$B$3:$B$3002,$A300,매출내역!$A$3:$A$3002,"&lt;="&amp;($B$3-90)))</f>
        <v/>
      </c>
      <c r="F300" s="15" t="str">
        <f aca="false">IF($A300="","",SUM($B300:$E300))</f>
        <v/>
      </c>
      <c r="G300" s="26" t="str">
        <f aca="false">IF($A300="","",IF($F$307=0,"",$F300/$F$307))</f>
        <v/>
      </c>
    </row>
    <row r="301" customFormat="false" ht="15" hidden="false" customHeight="true" outlineLevel="0" collapsed="false">
      <c r="A301" s="19" t="str">
        <f aca="false">IF(거래처목록!$A298="","",거래처목록!$A298)</f>
        <v/>
      </c>
      <c r="B301" s="15" t="str">
        <f aca="false">IF($A301="","",SUMIFS(매출내역!$I$3:$I$3002,매출내역!$I$3:$I$3002,"&gt;0",매출내역!$B$3:$B$3002,$A301,매출내역!$A$3:$A$3002,"&gt;"&amp;($B$3-30)))</f>
        <v/>
      </c>
      <c r="C301" s="15" t="str">
        <f aca="false">IF($A301="","",SUMIFS(매출내역!$I$3:$I$3002,매출내역!$I$3:$I$3002,"&gt;0",매출내역!$B$3:$B$3002,$A301,매출내역!$A$3:$A$3002,"&lt;="&amp;($B$3-30),매출내역!$A$3:$A$3002,"&gt;"&amp;($B$3-60)))</f>
        <v/>
      </c>
      <c r="D301" s="15" t="str">
        <f aca="false">IF($A301="","",SUMIFS(매출내역!$I$3:$I$3002,매출내역!$I$3:$I$3002,"&gt;0",매출내역!$B$3:$B$3002,$A301,매출내역!$A$3:$A$3002,"&lt;="&amp;($B$3-60),매출내역!$A$3:$A$3002,"&gt;"&amp;($B$3-90)))</f>
        <v/>
      </c>
      <c r="E301" s="15" t="str">
        <f aca="false">IF($A301="","",SUMIFS(매출내역!$I$3:$I$3002,매출내역!$I$3:$I$3002,"&gt;0",매출내역!$B$3:$B$3002,$A301,매출내역!$A$3:$A$3002,"&lt;="&amp;($B$3-90)))</f>
        <v/>
      </c>
      <c r="F301" s="15" t="str">
        <f aca="false">IF($A301="","",SUM($B301:$E301))</f>
        <v/>
      </c>
      <c r="G301" s="26" t="str">
        <f aca="false">IF($A301="","",IF($F$307=0,"",$F301/$F$307))</f>
        <v/>
      </c>
    </row>
    <row r="302" customFormat="false" ht="15" hidden="false" customHeight="true" outlineLevel="0" collapsed="false">
      <c r="A302" s="19" t="str">
        <f aca="false">IF(거래처목록!$A299="","",거래처목록!$A299)</f>
        <v/>
      </c>
      <c r="B302" s="15" t="str">
        <f aca="false">IF($A302="","",SUMIFS(매출내역!$I$3:$I$3002,매출내역!$I$3:$I$3002,"&gt;0",매출내역!$B$3:$B$3002,$A302,매출내역!$A$3:$A$3002,"&gt;"&amp;($B$3-30)))</f>
        <v/>
      </c>
      <c r="C302" s="15" t="str">
        <f aca="false">IF($A302="","",SUMIFS(매출내역!$I$3:$I$3002,매출내역!$I$3:$I$3002,"&gt;0",매출내역!$B$3:$B$3002,$A302,매출내역!$A$3:$A$3002,"&lt;="&amp;($B$3-30),매출내역!$A$3:$A$3002,"&gt;"&amp;($B$3-60)))</f>
        <v/>
      </c>
      <c r="D302" s="15" t="str">
        <f aca="false">IF($A302="","",SUMIFS(매출내역!$I$3:$I$3002,매출내역!$I$3:$I$3002,"&gt;0",매출내역!$B$3:$B$3002,$A302,매출내역!$A$3:$A$3002,"&lt;="&amp;($B$3-60),매출내역!$A$3:$A$3002,"&gt;"&amp;($B$3-90)))</f>
        <v/>
      </c>
      <c r="E302" s="15" t="str">
        <f aca="false">IF($A302="","",SUMIFS(매출내역!$I$3:$I$3002,매출내역!$I$3:$I$3002,"&gt;0",매출내역!$B$3:$B$3002,$A302,매출내역!$A$3:$A$3002,"&lt;="&amp;($B$3-90)))</f>
        <v/>
      </c>
      <c r="F302" s="15" t="str">
        <f aca="false">IF($A302="","",SUM($B302:$E302))</f>
        <v/>
      </c>
      <c r="G302" s="26" t="str">
        <f aca="false">IF($A302="","",IF($F$307=0,"",$F302/$F$307))</f>
        <v/>
      </c>
    </row>
    <row r="303" customFormat="false" ht="15" hidden="false" customHeight="true" outlineLevel="0" collapsed="false">
      <c r="A303" s="19" t="str">
        <f aca="false">IF(거래처목록!$A300="","",거래처목록!$A300)</f>
        <v/>
      </c>
      <c r="B303" s="15" t="str">
        <f aca="false">IF($A303="","",SUMIFS(매출내역!$I$3:$I$3002,매출내역!$I$3:$I$3002,"&gt;0",매출내역!$B$3:$B$3002,$A303,매출내역!$A$3:$A$3002,"&gt;"&amp;($B$3-30)))</f>
        <v/>
      </c>
      <c r="C303" s="15" t="str">
        <f aca="false">IF($A303="","",SUMIFS(매출내역!$I$3:$I$3002,매출내역!$I$3:$I$3002,"&gt;0",매출내역!$B$3:$B$3002,$A303,매출내역!$A$3:$A$3002,"&lt;="&amp;($B$3-30),매출내역!$A$3:$A$3002,"&gt;"&amp;($B$3-60)))</f>
        <v/>
      </c>
      <c r="D303" s="15" t="str">
        <f aca="false">IF($A303="","",SUMIFS(매출내역!$I$3:$I$3002,매출내역!$I$3:$I$3002,"&gt;0",매출내역!$B$3:$B$3002,$A303,매출내역!$A$3:$A$3002,"&lt;="&amp;($B$3-60),매출내역!$A$3:$A$3002,"&gt;"&amp;($B$3-90)))</f>
        <v/>
      </c>
      <c r="E303" s="15" t="str">
        <f aca="false">IF($A303="","",SUMIFS(매출내역!$I$3:$I$3002,매출내역!$I$3:$I$3002,"&gt;0",매출내역!$B$3:$B$3002,$A303,매출내역!$A$3:$A$3002,"&lt;="&amp;($B$3-90)))</f>
        <v/>
      </c>
      <c r="F303" s="15" t="str">
        <f aca="false">IF($A303="","",SUM($B303:$E303))</f>
        <v/>
      </c>
      <c r="G303" s="26" t="str">
        <f aca="false">IF($A303="","",IF($F$307=0,"",$F303/$F$307))</f>
        <v/>
      </c>
    </row>
    <row r="304" customFormat="false" ht="15" hidden="false" customHeight="true" outlineLevel="0" collapsed="false">
      <c r="A304" s="19" t="str">
        <f aca="false">IF(거래처목록!$A301="","",거래처목록!$A301)</f>
        <v/>
      </c>
      <c r="B304" s="15" t="str">
        <f aca="false">IF($A304="","",SUMIFS(매출내역!$I$3:$I$3002,매출내역!$I$3:$I$3002,"&gt;0",매출내역!$B$3:$B$3002,$A304,매출내역!$A$3:$A$3002,"&gt;"&amp;($B$3-30)))</f>
        <v/>
      </c>
      <c r="C304" s="15" t="str">
        <f aca="false">IF($A304="","",SUMIFS(매출내역!$I$3:$I$3002,매출내역!$I$3:$I$3002,"&gt;0",매출내역!$B$3:$B$3002,$A304,매출내역!$A$3:$A$3002,"&lt;="&amp;($B$3-30),매출내역!$A$3:$A$3002,"&gt;"&amp;($B$3-60)))</f>
        <v/>
      </c>
      <c r="D304" s="15" t="str">
        <f aca="false">IF($A304="","",SUMIFS(매출내역!$I$3:$I$3002,매출내역!$I$3:$I$3002,"&gt;0",매출내역!$B$3:$B$3002,$A304,매출내역!$A$3:$A$3002,"&lt;="&amp;($B$3-60),매출내역!$A$3:$A$3002,"&gt;"&amp;($B$3-90)))</f>
        <v/>
      </c>
      <c r="E304" s="15" t="str">
        <f aca="false">IF($A304="","",SUMIFS(매출내역!$I$3:$I$3002,매출내역!$I$3:$I$3002,"&gt;0",매출내역!$B$3:$B$3002,$A304,매출내역!$A$3:$A$3002,"&lt;="&amp;($B$3-90)))</f>
        <v/>
      </c>
      <c r="F304" s="15" t="str">
        <f aca="false">IF($A304="","",SUM($B304:$E304))</f>
        <v/>
      </c>
      <c r="G304" s="26" t="str">
        <f aca="false">IF($A304="","",IF($F$307=0,"",$F304/$F$307))</f>
        <v/>
      </c>
    </row>
    <row r="305" customFormat="false" ht="15" hidden="false" customHeight="true" outlineLevel="0" collapsed="false">
      <c r="A305" s="19" t="str">
        <f aca="false">IF(거래처목록!$A302="","",거래처목록!$A302)</f>
        <v/>
      </c>
      <c r="B305" s="15" t="str">
        <f aca="false">IF($A305="","",SUMIFS(매출내역!$I$3:$I$3002,매출내역!$I$3:$I$3002,"&gt;0",매출내역!$B$3:$B$3002,$A305,매출내역!$A$3:$A$3002,"&gt;"&amp;($B$3-30)))</f>
        <v/>
      </c>
      <c r="C305" s="15" t="str">
        <f aca="false">IF($A305="","",SUMIFS(매출내역!$I$3:$I$3002,매출내역!$I$3:$I$3002,"&gt;0",매출내역!$B$3:$B$3002,$A305,매출내역!$A$3:$A$3002,"&lt;="&amp;($B$3-30),매출내역!$A$3:$A$3002,"&gt;"&amp;($B$3-60)))</f>
        <v/>
      </c>
      <c r="D305" s="15" t="str">
        <f aca="false">IF($A305="","",SUMIFS(매출내역!$I$3:$I$3002,매출내역!$I$3:$I$3002,"&gt;0",매출내역!$B$3:$B$3002,$A305,매출내역!$A$3:$A$3002,"&lt;="&amp;($B$3-60),매출내역!$A$3:$A$3002,"&gt;"&amp;($B$3-90)))</f>
        <v/>
      </c>
      <c r="E305" s="15" t="str">
        <f aca="false">IF($A305="","",SUMIFS(매출내역!$I$3:$I$3002,매출내역!$I$3:$I$3002,"&gt;0",매출내역!$B$3:$B$3002,$A305,매출내역!$A$3:$A$3002,"&lt;="&amp;($B$3-90)))</f>
        <v/>
      </c>
      <c r="F305" s="15" t="str">
        <f aca="false">IF($A305="","",SUM($B305:$E305))</f>
        <v/>
      </c>
      <c r="G305" s="26" t="str">
        <f aca="false">IF($A305="","",IF($F$307=0,"",$F305/$F$307))</f>
        <v/>
      </c>
    </row>
    <row r="307" customFormat="false" ht="15" hidden="false" customHeight="true" outlineLevel="0" collapsed="false">
      <c r="A307" s="22" t="s">
        <v>65</v>
      </c>
      <c r="B307" s="23" t="n">
        <f aca="false">SUM(B6:B305)</f>
        <v>7000000</v>
      </c>
      <c r="C307" s="23" t="n">
        <f aca="false">SUM(C6:C305)</f>
        <v>1950000</v>
      </c>
      <c r="D307" s="23" t="n">
        <f aca="false">SUM(D6:D305)</f>
        <v>0</v>
      </c>
      <c r="E307" s="23" t="n">
        <f aca="false">SUM(E6:E305)</f>
        <v>3600000</v>
      </c>
      <c r="F307" s="23" t="n">
        <f aca="false">SUM(F6:F305)</f>
        <v>12550000</v>
      </c>
    </row>
    <row r="309" customFormat="false" ht="15" hidden="false" customHeight="true" outlineLevel="0" collapsed="false">
      <c r="A309" s="27" t="s">
        <v>75</v>
      </c>
    </row>
  </sheetData>
  <mergeCells count="1">
    <mergeCell ref="A1:G1"/>
  </mergeCells>
  <conditionalFormatting sqref="A6:G305">
    <cfRule type="expression" priority="2" aboveAverage="0" equalAverage="0" bottom="0" percent="0" rank="0" text="" dxfId="0">
      <formula>AND($A6&lt;&gt;"",$E6&gt;0)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9"/>
    <col collapsed="false" customWidth="true" hidden="false" outlineLevel="0" max="3" min="3" style="1" width="13"/>
    <col collapsed="false" customWidth="true" hidden="false" outlineLevel="0" max="6" min="4" style="1" width="17"/>
  </cols>
  <sheetData>
    <row r="1" customFormat="false" ht="25.5" hidden="false" customHeight="true" outlineLevel="0" collapsed="false">
      <c r="A1" s="2" t="s">
        <v>76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77</v>
      </c>
      <c r="B3" s="28" t="n">
        <v>46266</v>
      </c>
      <c r="C3" s="6" t="s">
        <v>78</v>
      </c>
    </row>
    <row r="5" customFormat="false" ht="15" hidden="false" customHeight="true" outlineLevel="0" collapsed="false">
      <c r="A5" s="8" t="s">
        <v>79</v>
      </c>
      <c r="B5" s="8" t="s">
        <v>80</v>
      </c>
      <c r="C5" s="8" t="s">
        <v>81</v>
      </c>
      <c r="D5" s="8" t="s">
        <v>82</v>
      </c>
      <c r="E5" s="8" t="s">
        <v>51</v>
      </c>
      <c r="F5" s="8" t="s">
        <v>83</v>
      </c>
    </row>
    <row r="6" customFormat="false" ht="15" hidden="false" customHeight="true" outlineLevel="0" collapsed="false">
      <c r="A6" s="29" t="n">
        <f aca="false">$B$3+0</f>
        <v>46266</v>
      </c>
      <c r="B6" s="20" t="str">
        <f aca="false">CHOOSE(WEEKDAY($A6),"일","월","화","수","목","금","토")</f>
        <v>화</v>
      </c>
      <c r="C6" s="20" t="n">
        <f aca="false">COUNTIFS(매출내역!$A$3:$A$3002,$A6)</f>
        <v>0</v>
      </c>
      <c r="D6" s="30" t="n">
        <f aca="false">SUMIFS(매출내역!$F$3:$F$3002,매출내역!$A$3:$A$3002,$A6)</f>
        <v>0</v>
      </c>
      <c r="E6" s="30" t="n">
        <f aca="false">SUMIFS(매출내역!$H$3:$H$3002,매출내역!$G$3:$G$3002,$A6)</f>
        <v>0</v>
      </c>
      <c r="F6" s="30" t="n">
        <f aca="false">$D6-$E6</f>
        <v>0</v>
      </c>
    </row>
    <row r="7" customFormat="false" ht="15" hidden="false" customHeight="true" outlineLevel="0" collapsed="false">
      <c r="A7" s="29" t="n">
        <f aca="false">$B$3+1</f>
        <v>46267</v>
      </c>
      <c r="B7" s="20" t="str">
        <f aca="false">CHOOSE(WEEKDAY($A7),"일","월","화","수","목","금","토")</f>
        <v>수</v>
      </c>
      <c r="C7" s="20" t="n">
        <f aca="false">COUNTIFS(매출내역!$A$3:$A$3002,$A7)</f>
        <v>1</v>
      </c>
      <c r="D7" s="30" t="n">
        <f aca="false">SUMIFS(매출내역!$F$3:$F$3002,매출내역!$A$3:$A$3002,$A7)</f>
        <v>4500000</v>
      </c>
      <c r="E7" s="30" t="n">
        <f aca="false">SUMIFS(매출내역!$H$3:$H$3002,매출내역!$G$3:$G$3002,$A7)</f>
        <v>0</v>
      </c>
      <c r="F7" s="30" t="n">
        <f aca="false">$D7-$E7</f>
        <v>4500000</v>
      </c>
    </row>
    <row r="8" customFormat="false" ht="15" hidden="false" customHeight="true" outlineLevel="0" collapsed="false">
      <c r="A8" s="29" t="n">
        <f aca="false">$B$3+2</f>
        <v>46268</v>
      </c>
      <c r="B8" s="20" t="str">
        <f aca="false">CHOOSE(WEEKDAY($A8),"일","월","화","수","목","금","토")</f>
        <v>목</v>
      </c>
      <c r="C8" s="20" t="n">
        <f aca="false">COUNTIFS(매출내역!$A$3:$A$3002,$A8)</f>
        <v>0</v>
      </c>
      <c r="D8" s="30" t="n">
        <f aca="false">SUMIFS(매출내역!$F$3:$F$3002,매출내역!$A$3:$A$3002,$A8)</f>
        <v>0</v>
      </c>
      <c r="E8" s="30" t="n">
        <f aca="false">SUMIFS(매출내역!$H$3:$H$3002,매출내역!$G$3:$G$3002,$A8)</f>
        <v>0</v>
      </c>
      <c r="F8" s="30" t="n">
        <f aca="false">$D8-$E8</f>
        <v>0</v>
      </c>
    </row>
    <row r="9" customFormat="false" ht="15" hidden="false" customHeight="true" outlineLevel="0" collapsed="false">
      <c r="A9" s="29" t="n">
        <f aca="false">$B$3+3</f>
        <v>46269</v>
      </c>
      <c r="B9" s="20" t="str">
        <f aca="false">CHOOSE(WEEKDAY($A9),"일","월","화","수","목","금","토")</f>
        <v>금</v>
      </c>
      <c r="C9" s="20" t="n">
        <f aca="false">COUNTIFS(매출내역!$A$3:$A$3002,$A9)</f>
        <v>0</v>
      </c>
      <c r="D9" s="30" t="n">
        <f aca="false">SUMIFS(매출내역!$F$3:$F$3002,매출내역!$A$3:$A$3002,$A9)</f>
        <v>0</v>
      </c>
      <c r="E9" s="30" t="n">
        <f aca="false">SUMIFS(매출내역!$H$3:$H$3002,매출내역!$G$3:$G$3002,$A9)</f>
        <v>0</v>
      </c>
      <c r="F9" s="30" t="n">
        <f aca="false">$D9-$E9</f>
        <v>0</v>
      </c>
    </row>
    <row r="10" customFormat="false" ht="15" hidden="false" customHeight="true" outlineLevel="0" collapsed="false">
      <c r="A10" s="29" t="n">
        <f aca="false">$B$3+4</f>
        <v>46270</v>
      </c>
      <c r="B10" s="20" t="str">
        <f aca="false">CHOOSE(WEEKDAY($A10),"일","월","화","수","목","금","토")</f>
        <v>토</v>
      </c>
      <c r="C10" s="20" t="n">
        <f aca="false">COUNTIFS(매출내역!$A$3:$A$3002,$A10)</f>
        <v>0</v>
      </c>
      <c r="D10" s="30" t="n">
        <f aca="false">SUMIFS(매출내역!$F$3:$F$3002,매출내역!$A$3:$A$3002,$A10)</f>
        <v>0</v>
      </c>
      <c r="E10" s="30" t="n">
        <f aca="false">SUMIFS(매출내역!$H$3:$H$3002,매출내역!$G$3:$G$3002,$A10)</f>
        <v>2000000</v>
      </c>
      <c r="F10" s="30" t="n">
        <f aca="false">$D10-$E10</f>
        <v>-2000000</v>
      </c>
    </row>
    <row r="11" customFormat="false" ht="15" hidden="false" customHeight="true" outlineLevel="0" collapsed="false">
      <c r="A11" s="29" t="n">
        <f aca="false">$B$3+5</f>
        <v>46271</v>
      </c>
      <c r="B11" s="20" t="str">
        <f aca="false">CHOOSE(WEEKDAY($A11),"일","월","화","수","목","금","토")</f>
        <v>일</v>
      </c>
      <c r="C11" s="20" t="n">
        <f aca="false">COUNTIFS(매출내역!$A$3:$A$3002,$A11)</f>
        <v>0</v>
      </c>
      <c r="D11" s="30" t="n">
        <f aca="false">SUMIFS(매출내역!$F$3:$F$3002,매출내역!$A$3:$A$3002,$A11)</f>
        <v>0</v>
      </c>
      <c r="E11" s="30" t="n">
        <f aca="false">SUMIFS(매출내역!$H$3:$H$3002,매출내역!$G$3:$G$3002,$A11)</f>
        <v>0</v>
      </c>
      <c r="F11" s="30" t="n">
        <f aca="false">$D11-$E11</f>
        <v>0</v>
      </c>
    </row>
    <row r="12" customFormat="false" ht="15" hidden="false" customHeight="true" outlineLevel="0" collapsed="false">
      <c r="A12" s="29" t="n">
        <f aca="false">$B$3+6</f>
        <v>46272</v>
      </c>
      <c r="B12" s="20" t="str">
        <f aca="false">CHOOSE(WEEKDAY($A12),"일","월","화","수","목","금","토")</f>
        <v>월</v>
      </c>
      <c r="C12" s="20" t="n">
        <f aca="false">COUNTIFS(매출내역!$A$3:$A$3002,$A12)</f>
        <v>0</v>
      </c>
      <c r="D12" s="30" t="n">
        <f aca="false">SUMIFS(매출내역!$F$3:$F$3002,매출내역!$A$3:$A$3002,$A12)</f>
        <v>0</v>
      </c>
      <c r="E12" s="30" t="n">
        <f aca="false">SUMIFS(매출내역!$H$3:$H$3002,매출내역!$G$3:$G$3002,$A12)</f>
        <v>0</v>
      </c>
      <c r="F12" s="30" t="n">
        <f aca="false">$D12-$E12</f>
        <v>0</v>
      </c>
    </row>
    <row r="13" customFormat="false" ht="15" hidden="false" customHeight="true" outlineLevel="0" collapsed="false">
      <c r="A13" s="29" t="n">
        <f aca="false">$B$3+7</f>
        <v>46273</v>
      </c>
      <c r="B13" s="20" t="str">
        <f aca="false">CHOOSE(WEEKDAY($A13),"일","월","화","수","목","금","토")</f>
        <v>화</v>
      </c>
      <c r="C13" s="20" t="n">
        <f aca="false">COUNTIFS(매출내역!$A$3:$A$3002,$A13)</f>
        <v>0</v>
      </c>
      <c r="D13" s="30" t="n">
        <f aca="false">SUMIFS(매출내역!$F$3:$F$3002,매출내역!$A$3:$A$3002,$A13)</f>
        <v>0</v>
      </c>
      <c r="E13" s="30" t="n">
        <f aca="false">SUMIFS(매출내역!$H$3:$H$3002,매출내역!$G$3:$G$3002,$A13)</f>
        <v>0</v>
      </c>
      <c r="F13" s="30" t="n">
        <f aca="false">$D13-$E13</f>
        <v>0</v>
      </c>
    </row>
    <row r="14" customFormat="false" ht="15" hidden="false" customHeight="true" outlineLevel="0" collapsed="false">
      <c r="A14" s="29" t="n">
        <f aca="false">$B$3+8</f>
        <v>46274</v>
      </c>
      <c r="B14" s="20" t="str">
        <f aca="false">CHOOSE(WEEKDAY($A14),"일","월","화","수","목","금","토")</f>
        <v>수</v>
      </c>
      <c r="C14" s="20" t="n">
        <f aca="false">COUNTIFS(매출내역!$A$3:$A$3002,$A14)</f>
        <v>0</v>
      </c>
      <c r="D14" s="30" t="n">
        <f aca="false">SUMIFS(매출내역!$F$3:$F$3002,매출내역!$A$3:$A$3002,$A14)</f>
        <v>0</v>
      </c>
      <c r="E14" s="30" t="n">
        <f aca="false">SUMIFS(매출내역!$H$3:$H$3002,매출내역!$G$3:$G$3002,$A14)</f>
        <v>0</v>
      </c>
      <c r="F14" s="30" t="n">
        <f aca="false">$D14-$E14</f>
        <v>0</v>
      </c>
    </row>
    <row r="15" customFormat="false" ht="15" hidden="false" customHeight="true" outlineLevel="0" collapsed="false">
      <c r="A15" s="29" t="n">
        <f aca="false">$B$3+9</f>
        <v>46275</v>
      </c>
      <c r="B15" s="20" t="str">
        <f aca="false">CHOOSE(WEEKDAY($A15),"일","월","화","수","목","금","토")</f>
        <v>목</v>
      </c>
      <c r="C15" s="20" t="n">
        <f aca="false">COUNTIFS(매출내역!$A$3:$A$3002,$A15)</f>
        <v>1</v>
      </c>
      <c r="D15" s="30" t="n">
        <f aca="false">SUMIFS(매출내역!$F$3:$F$3002,매출내역!$A$3:$A$3002,$A15)</f>
        <v>900000</v>
      </c>
      <c r="E15" s="30" t="n">
        <f aca="false">SUMIFS(매출내역!$H$3:$H$3002,매출내역!$G$3:$G$3002,$A15)</f>
        <v>0</v>
      </c>
      <c r="F15" s="30" t="n">
        <f aca="false">$D15-$E15</f>
        <v>900000</v>
      </c>
    </row>
    <row r="16" customFormat="false" ht="15" hidden="false" customHeight="true" outlineLevel="0" collapsed="false">
      <c r="A16" s="29" t="n">
        <f aca="false">$B$3+10</f>
        <v>46276</v>
      </c>
      <c r="B16" s="20" t="str">
        <f aca="false">CHOOSE(WEEKDAY($A16),"일","월","화","수","목","금","토")</f>
        <v>금</v>
      </c>
      <c r="C16" s="20" t="n">
        <f aca="false">COUNTIFS(매출내역!$A$3:$A$3002,$A16)</f>
        <v>0</v>
      </c>
      <c r="D16" s="30" t="n">
        <f aca="false">SUMIFS(매출내역!$F$3:$F$3002,매출내역!$A$3:$A$3002,$A16)</f>
        <v>0</v>
      </c>
      <c r="E16" s="30" t="n">
        <f aca="false">SUMIFS(매출내역!$H$3:$H$3002,매출내역!$G$3:$G$3002,$A16)</f>
        <v>0</v>
      </c>
      <c r="F16" s="30" t="n">
        <f aca="false">$D16-$E16</f>
        <v>0</v>
      </c>
    </row>
    <row r="17" customFormat="false" ht="15" hidden="false" customHeight="true" outlineLevel="0" collapsed="false">
      <c r="A17" s="29" t="n">
        <f aca="false">$B$3+11</f>
        <v>46277</v>
      </c>
      <c r="B17" s="20" t="str">
        <f aca="false">CHOOSE(WEEKDAY($A17),"일","월","화","수","목","금","토")</f>
        <v>토</v>
      </c>
      <c r="C17" s="20" t="n">
        <f aca="false">COUNTIFS(매출내역!$A$3:$A$3002,$A17)</f>
        <v>0</v>
      </c>
      <c r="D17" s="30" t="n">
        <f aca="false">SUMIFS(매출내역!$F$3:$F$3002,매출내역!$A$3:$A$3002,$A17)</f>
        <v>0</v>
      </c>
      <c r="E17" s="30" t="n">
        <f aca="false">SUMIFS(매출내역!$H$3:$H$3002,매출내역!$G$3:$G$3002,$A17)</f>
        <v>900000</v>
      </c>
      <c r="F17" s="30" t="n">
        <f aca="false">$D17-$E17</f>
        <v>-900000</v>
      </c>
    </row>
    <row r="18" customFormat="false" ht="15" hidden="false" customHeight="true" outlineLevel="0" collapsed="false">
      <c r="A18" s="29" t="n">
        <f aca="false">$B$3+12</f>
        <v>46278</v>
      </c>
      <c r="B18" s="20" t="str">
        <f aca="false">CHOOSE(WEEKDAY($A18),"일","월","화","수","목","금","토")</f>
        <v>일</v>
      </c>
      <c r="C18" s="20" t="n">
        <f aca="false">COUNTIFS(매출내역!$A$3:$A$3002,$A18)</f>
        <v>0</v>
      </c>
      <c r="D18" s="30" t="n">
        <f aca="false">SUMIFS(매출내역!$F$3:$F$3002,매출내역!$A$3:$A$3002,$A18)</f>
        <v>0</v>
      </c>
      <c r="E18" s="30" t="n">
        <f aca="false">SUMIFS(매출내역!$H$3:$H$3002,매출내역!$G$3:$G$3002,$A18)</f>
        <v>0</v>
      </c>
      <c r="F18" s="30" t="n">
        <f aca="false">$D18-$E18</f>
        <v>0</v>
      </c>
    </row>
    <row r="19" customFormat="false" ht="15" hidden="false" customHeight="true" outlineLevel="0" collapsed="false">
      <c r="A19" s="29" t="n">
        <f aca="false">$B$3+13</f>
        <v>46279</v>
      </c>
      <c r="B19" s="20" t="str">
        <f aca="false">CHOOSE(WEEKDAY($A19),"일","월","화","수","목","금","토")</f>
        <v>월</v>
      </c>
      <c r="C19" s="20" t="n">
        <f aca="false">COUNTIFS(매출내역!$A$3:$A$3002,$A19)</f>
        <v>0</v>
      </c>
      <c r="D19" s="30" t="n">
        <f aca="false">SUMIFS(매출내역!$F$3:$F$3002,매출내역!$A$3:$A$3002,$A19)</f>
        <v>0</v>
      </c>
      <c r="E19" s="30" t="n">
        <f aca="false">SUMIFS(매출내역!$H$3:$H$3002,매출내역!$G$3:$G$3002,$A19)</f>
        <v>0</v>
      </c>
      <c r="F19" s="30" t="n">
        <f aca="false">$D19-$E19</f>
        <v>0</v>
      </c>
    </row>
    <row r="20" customFormat="false" ht="15" hidden="false" customHeight="true" outlineLevel="0" collapsed="false">
      <c r="A20" s="29" t="n">
        <f aca="false">$B$3+14</f>
        <v>46280</v>
      </c>
      <c r="B20" s="20" t="str">
        <f aca="false">CHOOSE(WEEKDAY($A20),"일","월","화","수","목","금","토")</f>
        <v>화</v>
      </c>
      <c r="C20" s="20" t="n">
        <f aca="false">COUNTIFS(매출내역!$A$3:$A$3002,$A20)</f>
        <v>0</v>
      </c>
      <c r="D20" s="30" t="n">
        <f aca="false">SUMIFS(매출내역!$F$3:$F$3002,매출내역!$A$3:$A$3002,$A20)</f>
        <v>0</v>
      </c>
      <c r="E20" s="30" t="n">
        <f aca="false">SUMIFS(매출내역!$H$3:$H$3002,매출내역!$G$3:$G$3002,$A20)</f>
        <v>0</v>
      </c>
      <c r="F20" s="30" t="n">
        <f aca="false">$D20-$E20</f>
        <v>0</v>
      </c>
    </row>
    <row r="21" customFormat="false" ht="15" hidden="false" customHeight="true" outlineLevel="0" collapsed="false">
      <c r="A21" s="29" t="n">
        <f aca="false">$B$3+15</f>
        <v>46281</v>
      </c>
      <c r="B21" s="20" t="str">
        <f aca="false">CHOOSE(WEEKDAY($A21),"일","월","화","수","목","금","토")</f>
        <v>수</v>
      </c>
      <c r="C21" s="20" t="n">
        <f aca="false">COUNTIFS(매출내역!$A$3:$A$3002,$A21)</f>
        <v>0</v>
      </c>
      <c r="D21" s="30" t="n">
        <f aca="false">SUMIFS(매출내역!$F$3:$F$3002,매출내역!$A$3:$A$3002,$A21)</f>
        <v>0</v>
      </c>
      <c r="E21" s="30" t="n">
        <f aca="false">SUMIFS(매출내역!$H$3:$H$3002,매출내역!$G$3:$G$3002,$A21)</f>
        <v>0</v>
      </c>
      <c r="F21" s="30" t="n">
        <f aca="false">$D21-$E21</f>
        <v>0</v>
      </c>
    </row>
    <row r="22" customFormat="false" ht="15" hidden="false" customHeight="true" outlineLevel="0" collapsed="false">
      <c r="A22" s="29" t="n">
        <f aca="false">$B$3+16</f>
        <v>46282</v>
      </c>
      <c r="B22" s="20" t="str">
        <f aca="false">CHOOSE(WEEKDAY($A22),"일","월","화","수","목","금","토")</f>
        <v>목</v>
      </c>
      <c r="C22" s="20" t="n">
        <f aca="false">COUNTIFS(매출내역!$A$3:$A$3002,$A22)</f>
        <v>0</v>
      </c>
      <c r="D22" s="30" t="n">
        <f aca="false">SUMIFS(매출내역!$F$3:$F$3002,매출내역!$A$3:$A$3002,$A22)</f>
        <v>0</v>
      </c>
      <c r="E22" s="30" t="n">
        <f aca="false">SUMIFS(매출내역!$H$3:$H$3002,매출내역!$G$3:$G$3002,$A22)</f>
        <v>0</v>
      </c>
      <c r="F22" s="30" t="n">
        <f aca="false">$D22-$E22</f>
        <v>0</v>
      </c>
    </row>
    <row r="23" customFormat="false" ht="15" hidden="false" customHeight="true" outlineLevel="0" collapsed="false">
      <c r="A23" s="29" t="n">
        <f aca="false">$B$3+17</f>
        <v>46283</v>
      </c>
      <c r="B23" s="20" t="str">
        <f aca="false">CHOOSE(WEEKDAY($A23),"일","월","화","수","목","금","토")</f>
        <v>금</v>
      </c>
      <c r="C23" s="20" t="n">
        <f aca="false">COUNTIFS(매출내역!$A$3:$A$3002,$A23)</f>
        <v>0</v>
      </c>
      <c r="D23" s="30" t="n">
        <f aca="false">SUMIFS(매출내역!$F$3:$F$3002,매출내역!$A$3:$A$3002,$A23)</f>
        <v>0</v>
      </c>
      <c r="E23" s="30" t="n">
        <f aca="false">SUMIFS(매출내역!$H$3:$H$3002,매출내역!$G$3:$G$3002,$A23)</f>
        <v>0</v>
      </c>
      <c r="F23" s="30" t="n">
        <f aca="false">$D23-$E23</f>
        <v>0</v>
      </c>
    </row>
    <row r="24" customFormat="false" ht="15" hidden="false" customHeight="true" outlineLevel="0" collapsed="false">
      <c r="A24" s="29" t="n">
        <f aca="false">$B$3+18</f>
        <v>46284</v>
      </c>
      <c r="B24" s="20" t="str">
        <f aca="false">CHOOSE(WEEKDAY($A24),"일","월","화","수","목","금","토")</f>
        <v>토</v>
      </c>
      <c r="C24" s="20" t="n">
        <f aca="false">COUNTIFS(매출내역!$A$3:$A$3002,$A24)</f>
        <v>0</v>
      </c>
      <c r="D24" s="30" t="n">
        <f aca="false">SUMIFS(매출내역!$F$3:$F$3002,매출내역!$A$3:$A$3002,$A24)</f>
        <v>0</v>
      </c>
      <c r="E24" s="30" t="n">
        <f aca="false">SUMIFS(매출내역!$H$3:$H$3002,매출내역!$G$3:$G$3002,$A24)</f>
        <v>0</v>
      </c>
      <c r="F24" s="30" t="n">
        <f aca="false">$D24-$E24</f>
        <v>0</v>
      </c>
    </row>
    <row r="25" customFormat="false" ht="15" hidden="false" customHeight="true" outlineLevel="0" collapsed="false">
      <c r="A25" s="29" t="n">
        <f aca="false">$B$3+19</f>
        <v>46285</v>
      </c>
      <c r="B25" s="20" t="str">
        <f aca="false">CHOOSE(WEEKDAY($A25),"일","월","화","수","목","금","토")</f>
        <v>일</v>
      </c>
      <c r="C25" s="20" t="n">
        <f aca="false">COUNTIFS(매출내역!$A$3:$A$3002,$A25)</f>
        <v>0</v>
      </c>
      <c r="D25" s="30" t="n">
        <f aca="false">SUMIFS(매출내역!$F$3:$F$3002,매출내역!$A$3:$A$3002,$A25)</f>
        <v>0</v>
      </c>
      <c r="E25" s="30" t="n">
        <f aca="false">SUMIFS(매출내역!$H$3:$H$3002,매출내역!$G$3:$G$3002,$A25)</f>
        <v>0</v>
      </c>
      <c r="F25" s="30" t="n">
        <f aca="false">$D25-$E25</f>
        <v>0</v>
      </c>
    </row>
    <row r="26" customFormat="false" ht="15" hidden="false" customHeight="true" outlineLevel="0" collapsed="false">
      <c r="A26" s="29" t="n">
        <f aca="false">$B$3+20</f>
        <v>46286</v>
      </c>
      <c r="B26" s="20" t="str">
        <f aca="false">CHOOSE(WEEKDAY($A26),"일","월","화","수","목","금","토")</f>
        <v>월</v>
      </c>
      <c r="C26" s="20" t="n">
        <f aca="false">COUNTIFS(매출내역!$A$3:$A$3002,$A26)</f>
        <v>0</v>
      </c>
      <c r="D26" s="30" t="n">
        <f aca="false">SUMIFS(매출내역!$F$3:$F$3002,매출내역!$A$3:$A$3002,$A26)</f>
        <v>0</v>
      </c>
      <c r="E26" s="30" t="n">
        <f aca="false">SUMIFS(매출내역!$H$3:$H$3002,매출내역!$G$3:$G$3002,$A26)</f>
        <v>0</v>
      </c>
      <c r="F26" s="30" t="n">
        <f aca="false">$D26-$E26</f>
        <v>0</v>
      </c>
    </row>
    <row r="27" customFormat="false" ht="15" hidden="false" customHeight="true" outlineLevel="0" collapsed="false">
      <c r="A27" s="29" t="n">
        <f aca="false">$B$3+21</f>
        <v>46287</v>
      </c>
      <c r="B27" s="20" t="str">
        <f aca="false">CHOOSE(WEEKDAY($A27),"일","월","화","수","목","금","토")</f>
        <v>화</v>
      </c>
      <c r="C27" s="20" t="n">
        <f aca="false">COUNTIFS(매출내역!$A$3:$A$3002,$A27)</f>
        <v>0</v>
      </c>
      <c r="D27" s="30" t="n">
        <f aca="false">SUMIFS(매출내역!$F$3:$F$3002,매출내역!$A$3:$A$3002,$A27)</f>
        <v>0</v>
      </c>
      <c r="E27" s="30" t="n">
        <f aca="false">SUMIFS(매출내역!$H$3:$H$3002,매출내역!$G$3:$G$3002,$A27)</f>
        <v>0</v>
      </c>
      <c r="F27" s="30" t="n">
        <f aca="false">$D27-$E27</f>
        <v>0</v>
      </c>
    </row>
    <row r="28" customFormat="false" ht="15" hidden="false" customHeight="true" outlineLevel="0" collapsed="false">
      <c r="A28" s="29" t="n">
        <f aca="false">$B$3+22</f>
        <v>46288</v>
      </c>
      <c r="B28" s="20" t="str">
        <f aca="false">CHOOSE(WEEKDAY($A28),"일","월","화","수","목","금","토")</f>
        <v>수</v>
      </c>
      <c r="C28" s="20" t="n">
        <f aca="false">COUNTIFS(매출내역!$A$3:$A$3002,$A28)</f>
        <v>0</v>
      </c>
      <c r="D28" s="30" t="n">
        <f aca="false">SUMIFS(매출내역!$F$3:$F$3002,매출내역!$A$3:$A$3002,$A28)</f>
        <v>0</v>
      </c>
      <c r="E28" s="30" t="n">
        <f aca="false">SUMIFS(매출내역!$H$3:$H$3002,매출내역!$G$3:$G$3002,$A28)</f>
        <v>0</v>
      </c>
      <c r="F28" s="30" t="n">
        <f aca="false">$D28-$E28</f>
        <v>0</v>
      </c>
    </row>
    <row r="29" customFormat="false" ht="15" hidden="false" customHeight="true" outlineLevel="0" collapsed="false">
      <c r="A29" s="29" t="n">
        <f aca="false">$B$3+23</f>
        <v>46289</v>
      </c>
      <c r="B29" s="20" t="str">
        <f aca="false">CHOOSE(WEEKDAY($A29),"일","월","화","수","목","금","토")</f>
        <v>목</v>
      </c>
      <c r="C29" s="20" t="n">
        <f aca="false">COUNTIFS(매출내역!$A$3:$A$3002,$A29)</f>
        <v>0</v>
      </c>
      <c r="D29" s="30" t="n">
        <f aca="false">SUMIFS(매출내역!$F$3:$F$3002,매출내역!$A$3:$A$3002,$A29)</f>
        <v>0</v>
      </c>
      <c r="E29" s="30" t="n">
        <f aca="false">SUMIFS(매출내역!$H$3:$H$3002,매출내역!$G$3:$G$3002,$A29)</f>
        <v>0</v>
      </c>
      <c r="F29" s="30" t="n">
        <f aca="false">$D29-$E29</f>
        <v>0</v>
      </c>
    </row>
    <row r="30" customFormat="false" ht="15" hidden="false" customHeight="true" outlineLevel="0" collapsed="false">
      <c r="A30" s="29" t="n">
        <f aca="false">$B$3+24</f>
        <v>46290</v>
      </c>
      <c r="B30" s="20" t="str">
        <f aca="false">CHOOSE(WEEKDAY($A30),"일","월","화","수","목","금","토")</f>
        <v>금</v>
      </c>
      <c r="C30" s="20" t="n">
        <f aca="false">COUNTIFS(매출내역!$A$3:$A$3002,$A30)</f>
        <v>0</v>
      </c>
      <c r="D30" s="30" t="n">
        <f aca="false">SUMIFS(매출내역!$F$3:$F$3002,매출내역!$A$3:$A$3002,$A30)</f>
        <v>0</v>
      </c>
      <c r="E30" s="30" t="n">
        <f aca="false">SUMIFS(매출내역!$H$3:$H$3002,매출내역!$G$3:$G$3002,$A30)</f>
        <v>0</v>
      </c>
      <c r="F30" s="30" t="n">
        <f aca="false">$D30-$E30</f>
        <v>0</v>
      </c>
    </row>
    <row r="31" customFormat="false" ht="15" hidden="false" customHeight="true" outlineLevel="0" collapsed="false">
      <c r="A31" s="29" t="n">
        <f aca="false">$B$3+25</f>
        <v>46291</v>
      </c>
      <c r="B31" s="20" t="str">
        <f aca="false">CHOOSE(WEEKDAY($A31),"일","월","화","수","목","금","토")</f>
        <v>토</v>
      </c>
      <c r="C31" s="20" t="n">
        <f aca="false">COUNTIFS(매출내역!$A$3:$A$3002,$A31)</f>
        <v>0</v>
      </c>
      <c r="D31" s="30" t="n">
        <f aca="false">SUMIFS(매출내역!$F$3:$F$3002,매출내역!$A$3:$A$3002,$A31)</f>
        <v>0</v>
      </c>
      <c r="E31" s="30" t="n">
        <f aca="false">SUMIFS(매출내역!$H$3:$H$3002,매출내역!$G$3:$G$3002,$A31)</f>
        <v>0</v>
      </c>
      <c r="F31" s="30" t="n">
        <f aca="false">$D31-$E31</f>
        <v>0</v>
      </c>
    </row>
    <row r="32" customFormat="false" ht="15" hidden="false" customHeight="true" outlineLevel="0" collapsed="false">
      <c r="A32" s="29" t="n">
        <f aca="false">$B$3+26</f>
        <v>46292</v>
      </c>
      <c r="B32" s="20" t="str">
        <f aca="false">CHOOSE(WEEKDAY($A32),"일","월","화","수","목","금","토")</f>
        <v>일</v>
      </c>
      <c r="C32" s="20" t="n">
        <f aca="false">COUNTIFS(매출내역!$A$3:$A$3002,$A32)</f>
        <v>0</v>
      </c>
      <c r="D32" s="30" t="n">
        <f aca="false">SUMIFS(매출내역!$F$3:$F$3002,매출내역!$A$3:$A$3002,$A32)</f>
        <v>0</v>
      </c>
      <c r="E32" s="30" t="n">
        <f aca="false">SUMIFS(매출내역!$H$3:$H$3002,매출내역!$G$3:$G$3002,$A32)</f>
        <v>0</v>
      </c>
      <c r="F32" s="30" t="n">
        <f aca="false">$D32-$E32</f>
        <v>0</v>
      </c>
    </row>
    <row r="33" customFormat="false" ht="15" hidden="false" customHeight="true" outlineLevel="0" collapsed="false">
      <c r="A33" s="29" t="n">
        <f aca="false">$B$3+27</f>
        <v>46293</v>
      </c>
      <c r="B33" s="20" t="str">
        <f aca="false">CHOOSE(WEEKDAY($A33),"일","월","화","수","목","금","토")</f>
        <v>월</v>
      </c>
      <c r="C33" s="20" t="n">
        <f aca="false">COUNTIFS(매출내역!$A$3:$A$3002,$A33)</f>
        <v>0</v>
      </c>
      <c r="D33" s="30" t="n">
        <f aca="false">SUMIFS(매출내역!$F$3:$F$3002,매출내역!$A$3:$A$3002,$A33)</f>
        <v>0</v>
      </c>
      <c r="E33" s="30" t="n">
        <f aca="false">SUMIFS(매출내역!$H$3:$H$3002,매출내역!$G$3:$G$3002,$A33)</f>
        <v>0</v>
      </c>
      <c r="F33" s="30" t="n">
        <f aca="false">$D33-$E33</f>
        <v>0</v>
      </c>
    </row>
    <row r="34" customFormat="false" ht="15" hidden="false" customHeight="true" outlineLevel="0" collapsed="false">
      <c r="A34" s="29" t="n">
        <f aca="false">$B$3+28</f>
        <v>46294</v>
      </c>
      <c r="B34" s="20" t="str">
        <f aca="false">CHOOSE(WEEKDAY($A34),"일","월","화","수","목","금","토")</f>
        <v>화</v>
      </c>
      <c r="C34" s="20" t="n">
        <f aca="false">COUNTIFS(매출내역!$A$3:$A$3002,$A34)</f>
        <v>0</v>
      </c>
      <c r="D34" s="30" t="n">
        <f aca="false">SUMIFS(매출내역!$F$3:$F$3002,매출내역!$A$3:$A$3002,$A34)</f>
        <v>0</v>
      </c>
      <c r="E34" s="30" t="n">
        <f aca="false">SUMIFS(매출내역!$H$3:$H$3002,매출내역!$G$3:$G$3002,$A34)</f>
        <v>0</v>
      </c>
      <c r="F34" s="30" t="n">
        <f aca="false">$D34-$E34</f>
        <v>0</v>
      </c>
    </row>
    <row r="35" customFormat="false" ht="15" hidden="false" customHeight="true" outlineLevel="0" collapsed="false">
      <c r="A35" s="29" t="n">
        <f aca="false">$B$3+29</f>
        <v>46295</v>
      </c>
      <c r="B35" s="20" t="str">
        <f aca="false">CHOOSE(WEEKDAY($A35),"일","월","화","수","목","금","토")</f>
        <v>수</v>
      </c>
      <c r="C35" s="20" t="n">
        <f aca="false">COUNTIFS(매출내역!$A$3:$A$3002,$A35)</f>
        <v>0</v>
      </c>
      <c r="D35" s="30" t="n">
        <f aca="false">SUMIFS(매출내역!$F$3:$F$3002,매출내역!$A$3:$A$3002,$A35)</f>
        <v>0</v>
      </c>
      <c r="E35" s="30" t="n">
        <f aca="false">SUMIFS(매출내역!$H$3:$H$3002,매출내역!$G$3:$G$3002,$A35)</f>
        <v>0</v>
      </c>
      <c r="F35" s="30" t="n">
        <f aca="false">$D35-$E35</f>
        <v>0</v>
      </c>
    </row>
    <row r="36" customFormat="false" ht="15" hidden="false" customHeight="true" outlineLevel="0" collapsed="false">
      <c r="A36" s="29" t="n">
        <f aca="false">$B$3+30</f>
        <v>46296</v>
      </c>
      <c r="B36" s="20" t="str">
        <f aca="false">CHOOSE(WEEKDAY($A36),"일","월","화","수","목","금","토")</f>
        <v>목</v>
      </c>
      <c r="C36" s="20" t="n">
        <f aca="false">COUNTIFS(매출내역!$A$3:$A$3002,$A36)</f>
        <v>0</v>
      </c>
      <c r="D36" s="30" t="n">
        <f aca="false">SUMIFS(매출내역!$F$3:$F$3002,매출내역!$A$3:$A$3002,$A36)</f>
        <v>0</v>
      </c>
      <c r="E36" s="30" t="n">
        <f aca="false">SUMIFS(매출내역!$H$3:$H$3002,매출내역!$G$3:$G$3002,$A36)</f>
        <v>0</v>
      </c>
      <c r="F36" s="30" t="n">
        <f aca="false">$D36-$E36</f>
        <v>0</v>
      </c>
    </row>
    <row r="38" customFormat="false" ht="15" hidden="false" customHeight="true" outlineLevel="0" collapsed="false">
      <c r="B38" s="22" t="s">
        <v>65</v>
      </c>
      <c r="C38" s="31" t="n">
        <f aca="false">SUM(C6:C36)</f>
        <v>2</v>
      </c>
      <c r="D38" s="31" t="n">
        <f aca="false">SUM(D6:D36)</f>
        <v>5400000</v>
      </c>
      <c r="E38" s="31" t="n">
        <f aca="false">SUM(E6:E36)</f>
        <v>2900000</v>
      </c>
      <c r="F38" s="31" t="n">
        <f aca="false">SUM(F6:F36)</f>
        <v>2500000</v>
      </c>
    </row>
  </sheetData>
  <mergeCells count="1">
    <mergeCell ref="A1:F1"/>
  </mergeCells>
  <conditionalFormatting sqref="A6:F36">
    <cfRule type="expression" priority="2" aboveAverage="0" equalAverage="0" bottom="0" percent="0" rank="0" text="" dxfId="1">
      <formula>OR($B6="일",$B6="토")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5" min="3" style="1" width="17"/>
    <col collapsed="false" customWidth="true" hidden="false" outlineLevel="0" max="6" min="6" style="1" width="13"/>
  </cols>
  <sheetData>
    <row r="1" customFormat="false" ht="25.5" hidden="false" customHeight="true" outlineLevel="0" collapsed="false">
      <c r="A1" s="2" t="s">
        <v>84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85</v>
      </c>
      <c r="B3" s="32" t="n">
        <v>2026</v>
      </c>
    </row>
    <row r="5" customFormat="false" ht="15" hidden="false" customHeight="true" outlineLevel="0" collapsed="false">
      <c r="A5" s="8" t="s">
        <v>86</v>
      </c>
      <c r="B5" s="8" t="s">
        <v>81</v>
      </c>
      <c r="C5" s="8" t="s">
        <v>82</v>
      </c>
      <c r="D5" s="8" t="s">
        <v>51</v>
      </c>
      <c r="E5" s="8" t="s">
        <v>87</v>
      </c>
      <c r="F5" s="8" t="s">
        <v>88</v>
      </c>
    </row>
    <row r="6" customFormat="false" ht="15" hidden="false" customHeight="true" outlineLevel="0" collapsed="false">
      <c r="A6" s="33" t="n">
        <v>1</v>
      </c>
      <c r="B6" s="30" t="n">
        <f aca="false">COUNTIFS(매출내역!$A$3:$A$3002,"&gt;="&amp;DATE($B$3,1,1),매출내역!$A$3:$A$3002,"&lt;="&amp;EOMONTH(DATE($B$3,1,1),0))</f>
        <v>0</v>
      </c>
      <c r="C6" s="30" t="n">
        <f aca="false">SUMIFS(매출내역!$F$3:$F$3002,매출내역!$A$3:$A$3002,"&gt;="&amp;DATE($B$3,1,1),매출내역!$A$3:$A$3002,"&lt;="&amp;EOMONTH(DATE($B$3,1,1),0))</f>
        <v>0</v>
      </c>
      <c r="D6" s="30" t="n">
        <f aca="false">SUMIFS(매출내역!$H$3:$H$3002,매출내역!$G$3:$G$3002,"&gt;="&amp;DATE($B$3,1,1),매출내역!$G$3:$G$3002,"&lt;="&amp;EOMONTH(DATE($B$3,1,1),0))</f>
        <v>0</v>
      </c>
      <c r="E6" s="30" t="n">
        <f aca="false">$C6-$D6</f>
        <v>0</v>
      </c>
      <c r="F6" s="30" t="n">
        <f aca="false">SUMPRODUCT((거래처목록!$A$3:$A$302&lt;&gt;"")*(COUNTIFS(매출내역!$B$3:$B$3002,거래처목록!$A$3:$A$302,매출내역!$A$3:$A$3002,"&gt;="&amp;DATE($B$3,1,1),매출내역!$A$3:$A$3002,"&lt;="&amp;EOMONTH(DATE($B$3,1,1),0))&gt;0))</f>
        <v>0</v>
      </c>
    </row>
    <row r="7" customFormat="false" ht="15" hidden="false" customHeight="true" outlineLevel="0" collapsed="false">
      <c r="A7" s="33" t="n">
        <v>2</v>
      </c>
      <c r="B7" s="30" t="n">
        <f aca="false">COUNTIFS(매출내역!$A$3:$A$3002,"&gt;="&amp;DATE($B$3,2,1),매출내역!$A$3:$A$3002,"&lt;="&amp;EOMONTH(DATE($B$3,2,1),0))</f>
        <v>0</v>
      </c>
      <c r="C7" s="30" t="n">
        <f aca="false">SUMIFS(매출내역!$F$3:$F$3002,매출내역!$A$3:$A$3002,"&gt;="&amp;DATE($B$3,2,1),매출내역!$A$3:$A$3002,"&lt;="&amp;EOMONTH(DATE($B$3,2,1),0))</f>
        <v>0</v>
      </c>
      <c r="D7" s="30" t="n">
        <f aca="false">SUMIFS(매출내역!$H$3:$H$3002,매출내역!$G$3:$G$3002,"&gt;="&amp;DATE($B$3,2,1),매출내역!$G$3:$G$3002,"&lt;="&amp;EOMONTH(DATE($B$3,2,1),0))</f>
        <v>0</v>
      </c>
      <c r="E7" s="30" t="n">
        <f aca="false">$C7-$D7</f>
        <v>0</v>
      </c>
      <c r="F7" s="30" t="n">
        <f aca="false">SUMPRODUCT((거래처목록!$A$3:$A$302&lt;&gt;"")*(COUNTIFS(매출내역!$B$3:$B$3002,거래처목록!$A$3:$A$302,매출내역!$A$3:$A$3002,"&gt;="&amp;DATE($B$3,2,1),매출내역!$A$3:$A$3002,"&lt;="&amp;EOMONTH(DATE($B$3,2,1),0))&gt;0))</f>
        <v>0</v>
      </c>
    </row>
    <row r="8" customFormat="false" ht="15" hidden="false" customHeight="true" outlineLevel="0" collapsed="false">
      <c r="A8" s="33" t="n">
        <v>3</v>
      </c>
      <c r="B8" s="30" t="n">
        <f aca="false">COUNTIFS(매출내역!$A$3:$A$3002,"&gt;="&amp;DATE($B$3,3,1),매출내역!$A$3:$A$3002,"&lt;="&amp;EOMONTH(DATE($B$3,3,1),0))</f>
        <v>0</v>
      </c>
      <c r="C8" s="30" t="n">
        <f aca="false">SUMIFS(매출내역!$F$3:$F$3002,매출내역!$A$3:$A$3002,"&gt;="&amp;DATE($B$3,3,1),매출내역!$A$3:$A$3002,"&lt;="&amp;EOMONTH(DATE($B$3,3,1),0))</f>
        <v>0</v>
      </c>
      <c r="D8" s="30" t="n">
        <f aca="false">SUMIFS(매출내역!$H$3:$H$3002,매출내역!$G$3:$G$3002,"&gt;="&amp;DATE($B$3,3,1),매출내역!$G$3:$G$3002,"&lt;="&amp;EOMONTH(DATE($B$3,3,1),0))</f>
        <v>0</v>
      </c>
      <c r="E8" s="30" t="n">
        <f aca="false">$C8-$D8</f>
        <v>0</v>
      </c>
      <c r="F8" s="30" t="n">
        <f aca="false">SUMPRODUCT((거래처목록!$A$3:$A$302&lt;&gt;"")*(COUNTIFS(매출내역!$B$3:$B$3002,거래처목록!$A$3:$A$302,매출내역!$A$3:$A$3002,"&gt;="&amp;DATE($B$3,3,1),매출내역!$A$3:$A$3002,"&lt;="&amp;EOMONTH(DATE($B$3,3,1),0))&gt;0))</f>
        <v>0</v>
      </c>
    </row>
    <row r="9" customFormat="false" ht="15" hidden="false" customHeight="true" outlineLevel="0" collapsed="false">
      <c r="A9" s="33" t="n">
        <v>4</v>
      </c>
      <c r="B9" s="30" t="n">
        <f aca="false">COUNTIFS(매출내역!$A$3:$A$3002,"&gt;="&amp;DATE($B$3,4,1),매출내역!$A$3:$A$3002,"&lt;="&amp;EOMONTH(DATE($B$3,4,1),0))</f>
        <v>0</v>
      </c>
      <c r="C9" s="30" t="n">
        <f aca="false">SUMIFS(매출내역!$F$3:$F$3002,매출내역!$A$3:$A$3002,"&gt;="&amp;DATE($B$3,4,1),매출내역!$A$3:$A$3002,"&lt;="&amp;EOMONTH(DATE($B$3,4,1),0))</f>
        <v>0</v>
      </c>
      <c r="D9" s="30" t="n">
        <f aca="false">SUMIFS(매출내역!$H$3:$H$3002,매출내역!$G$3:$G$3002,"&gt;="&amp;DATE($B$3,4,1),매출내역!$G$3:$G$3002,"&lt;="&amp;EOMONTH(DATE($B$3,4,1),0))</f>
        <v>0</v>
      </c>
      <c r="E9" s="30" t="n">
        <f aca="false">$C9-$D9</f>
        <v>0</v>
      </c>
      <c r="F9" s="30" t="n">
        <f aca="false">SUMPRODUCT((거래처목록!$A$3:$A$302&lt;&gt;"")*(COUNTIFS(매출내역!$B$3:$B$3002,거래처목록!$A$3:$A$302,매출내역!$A$3:$A$3002,"&gt;="&amp;DATE($B$3,4,1),매출내역!$A$3:$A$3002,"&lt;="&amp;EOMONTH(DATE($B$3,4,1),0))&gt;0))</f>
        <v>0</v>
      </c>
    </row>
    <row r="10" customFormat="false" ht="15" hidden="false" customHeight="true" outlineLevel="0" collapsed="false">
      <c r="A10" s="33" t="n">
        <v>5</v>
      </c>
      <c r="B10" s="30" t="n">
        <f aca="false">COUNTIFS(매출내역!$A$3:$A$3002,"&gt;="&amp;DATE($B$3,5,1),매출내역!$A$3:$A$3002,"&lt;="&amp;EOMONTH(DATE($B$3,5,1),0))</f>
        <v>0</v>
      </c>
      <c r="C10" s="30" t="n">
        <f aca="false">SUMIFS(매출내역!$F$3:$F$3002,매출내역!$A$3:$A$3002,"&gt;="&amp;DATE($B$3,5,1),매출내역!$A$3:$A$3002,"&lt;="&amp;EOMONTH(DATE($B$3,5,1),0))</f>
        <v>0</v>
      </c>
      <c r="D10" s="30" t="n">
        <f aca="false">SUMIFS(매출내역!$H$3:$H$3002,매출내역!$G$3:$G$3002,"&gt;="&amp;DATE($B$3,5,1),매출내역!$G$3:$G$3002,"&lt;="&amp;EOMONTH(DATE($B$3,5,1),0))</f>
        <v>0</v>
      </c>
      <c r="E10" s="30" t="n">
        <f aca="false">$C10-$D10</f>
        <v>0</v>
      </c>
      <c r="F10" s="30" t="n">
        <f aca="false">SUMPRODUCT((거래처목록!$A$3:$A$302&lt;&gt;"")*(COUNTIFS(매출내역!$B$3:$B$3002,거래처목록!$A$3:$A$302,매출내역!$A$3:$A$3002,"&gt;="&amp;DATE($B$3,5,1),매출내역!$A$3:$A$3002,"&lt;="&amp;EOMONTH(DATE($B$3,5,1),0))&gt;0))</f>
        <v>0</v>
      </c>
    </row>
    <row r="11" customFormat="false" ht="15" hidden="false" customHeight="true" outlineLevel="0" collapsed="false">
      <c r="A11" s="33" t="n">
        <v>6</v>
      </c>
      <c r="B11" s="30" t="n">
        <f aca="false">COUNTIFS(매출내역!$A$3:$A$3002,"&gt;="&amp;DATE($B$3,6,1),매출내역!$A$3:$A$3002,"&lt;="&amp;EOMONTH(DATE($B$3,6,1),0))</f>
        <v>1</v>
      </c>
      <c r="C11" s="30" t="n">
        <f aca="false">SUMIFS(매출내역!$F$3:$F$3002,매출내역!$A$3:$A$3002,"&gt;="&amp;DATE($B$3,6,1),매출내역!$A$3:$A$3002,"&lt;="&amp;EOMONTH(DATE($B$3,6,1),0))</f>
        <v>3600000</v>
      </c>
      <c r="D11" s="30" t="n">
        <f aca="false">SUMIFS(매출내역!$H$3:$H$3002,매출내역!$G$3:$G$3002,"&gt;="&amp;DATE($B$3,6,1),매출내역!$G$3:$G$3002,"&lt;="&amp;EOMONTH(DATE($B$3,6,1),0))</f>
        <v>0</v>
      </c>
      <c r="E11" s="30" t="n">
        <f aca="false">$C11-$D11</f>
        <v>3600000</v>
      </c>
      <c r="F11" s="30" t="n">
        <f aca="false">SUMPRODUCT((거래처목록!$A$3:$A$302&lt;&gt;"")*(COUNTIFS(매출내역!$B$3:$B$3002,거래처목록!$A$3:$A$302,매출내역!$A$3:$A$3002,"&gt;="&amp;DATE($B$3,6,1),매출내역!$A$3:$A$3002,"&lt;="&amp;EOMONTH(DATE($B$3,6,1),0))&gt;0))</f>
        <v>1</v>
      </c>
    </row>
    <row r="12" customFormat="false" ht="15" hidden="false" customHeight="true" outlineLevel="0" collapsed="false">
      <c r="A12" s="33" t="n">
        <v>7</v>
      </c>
      <c r="B12" s="30" t="n">
        <f aca="false">COUNTIFS(매출내역!$A$3:$A$3002,"&gt;="&amp;DATE($B$3,7,1),매출내역!$A$3:$A$3002,"&lt;="&amp;EOMONTH(DATE($B$3,7,1),0))</f>
        <v>1</v>
      </c>
      <c r="C12" s="30" t="n">
        <f aca="false">SUMIFS(매출내역!$F$3:$F$3002,매출내역!$A$3:$A$3002,"&gt;="&amp;DATE($B$3,7,1),매출내역!$A$3:$A$3002,"&lt;="&amp;EOMONTH(DATE($B$3,7,1),0))</f>
        <v>1600000</v>
      </c>
      <c r="D12" s="30" t="n">
        <f aca="false">SUMIFS(매출내역!$H$3:$H$3002,매출내역!$G$3:$G$3002,"&gt;="&amp;DATE($B$3,7,1),매출내역!$G$3:$G$3002,"&lt;="&amp;EOMONTH(DATE($B$3,7,1),0))</f>
        <v>1600000</v>
      </c>
      <c r="E12" s="30" t="n">
        <f aca="false">$C12-$D12</f>
        <v>0</v>
      </c>
      <c r="F12" s="30" t="n">
        <f aca="false">SUMPRODUCT((거래처목록!$A$3:$A$302&lt;&gt;"")*(COUNTIFS(매출내역!$B$3:$B$3002,거래처목록!$A$3:$A$302,매출내역!$A$3:$A$3002,"&gt;="&amp;DATE($B$3,7,1),매출내역!$A$3:$A$3002,"&lt;="&amp;EOMONTH(DATE($B$3,7,1),0))&gt;0))</f>
        <v>1</v>
      </c>
    </row>
    <row r="13" customFormat="false" ht="15" hidden="false" customHeight="true" outlineLevel="0" collapsed="false">
      <c r="A13" s="33" t="n">
        <v>8</v>
      </c>
      <c r="B13" s="30" t="n">
        <f aca="false">COUNTIFS(매출내역!$A$3:$A$3002,"&gt;="&amp;DATE($B$3,8,1),매출내역!$A$3:$A$3002,"&lt;="&amp;EOMONTH(DATE($B$3,8,1),0))</f>
        <v>2</v>
      </c>
      <c r="C13" s="30" t="n">
        <f aca="false">SUMIFS(매출내역!$F$3:$F$3002,매출내역!$A$3:$A$3002,"&gt;="&amp;DATE($B$3,8,1),매출내역!$A$3:$A$3002,"&lt;="&amp;EOMONTH(DATE($B$3,8,1),0))</f>
        <v>6450000</v>
      </c>
      <c r="D13" s="30" t="n">
        <f aca="false">SUMIFS(매출내역!$H$3:$H$3002,매출내역!$G$3:$G$3002,"&gt;="&amp;DATE($B$3,8,1),매출내역!$G$3:$G$3002,"&lt;="&amp;EOMONTH(DATE($B$3,8,1),0))</f>
        <v>0</v>
      </c>
      <c r="E13" s="30" t="n">
        <f aca="false">$C13-$D13</f>
        <v>6450000</v>
      </c>
      <c r="F13" s="30" t="n">
        <f aca="false">SUMPRODUCT((거래처목록!$A$3:$A$302&lt;&gt;"")*(COUNTIFS(매출내역!$B$3:$B$3002,거래처목록!$A$3:$A$302,매출내역!$A$3:$A$3002,"&gt;="&amp;DATE($B$3,8,1),매출내역!$A$3:$A$3002,"&lt;="&amp;EOMONTH(DATE($B$3,8,1),0))&gt;0))</f>
        <v>2</v>
      </c>
    </row>
    <row r="14" customFormat="false" ht="15" hidden="false" customHeight="true" outlineLevel="0" collapsed="false">
      <c r="A14" s="33" t="n">
        <v>9</v>
      </c>
      <c r="B14" s="30" t="n">
        <f aca="false">COUNTIFS(매출내역!$A$3:$A$3002,"&gt;="&amp;DATE($B$3,9,1),매출내역!$A$3:$A$3002,"&lt;="&amp;EOMONTH(DATE($B$3,9,1),0))</f>
        <v>2</v>
      </c>
      <c r="C14" s="30" t="n">
        <f aca="false">SUMIFS(매출내역!$F$3:$F$3002,매출내역!$A$3:$A$3002,"&gt;="&amp;DATE($B$3,9,1),매출내역!$A$3:$A$3002,"&lt;="&amp;EOMONTH(DATE($B$3,9,1),0))</f>
        <v>5400000</v>
      </c>
      <c r="D14" s="30" t="n">
        <f aca="false">SUMIFS(매출내역!$H$3:$H$3002,매출내역!$G$3:$G$3002,"&gt;="&amp;DATE($B$3,9,1),매출내역!$G$3:$G$3002,"&lt;="&amp;EOMONTH(DATE($B$3,9,1),0))</f>
        <v>2900000</v>
      </c>
      <c r="E14" s="30" t="n">
        <f aca="false">$C14-$D14</f>
        <v>2500000</v>
      </c>
      <c r="F14" s="30" t="n">
        <f aca="false">SUMPRODUCT((거래처목록!$A$3:$A$302&lt;&gt;"")*(COUNTIFS(매출내역!$B$3:$B$3002,거래처목록!$A$3:$A$302,매출내역!$A$3:$A$3002,"&gt;="&amp;DATE($B$3,9,1),매출내역!$A$3:$A$3002,"&lt;="&amp;EOMONTH(DATE($B$3,9,1),0))&gt;0))</f>
        <v>2</v>
      </c>
    </row>
    <row r="15" customFormat="false" ht="15" hidden="false" customHeight="true" outlineLevel="0" collapsed="false">
      <c r="A15" s="33" t="n">
        <v>10</v>
      </c>
      <c r="B15" s="30" t="n">
        <f aca="false">COUNTIFS(매출내역!$A$3:$A$3002,"&gt;="&amp;DATE($B$3,10,1),매출내역!$A$3:$A$3002,"&lt;="&amp;EOMONTH(DATE($B$3,10,1),0))</f>
        <v>0</v>
      </c>
      <c r="C15" s="30" t="n">
        <f aca="false">SUMIFS(매출내역!$F$3:$F$3002,매출내역!$A$3:$A$3002,"&gt;="&amp;DATE($B$3,10,1),매출내역!$A$3:$A$3002,"&lt;="&amp;EOMONTH(DATE($B$3,10,1),0))</f>
        <v>0</v>
      </c>
      <c r="D15" s="30" t="n">
        <f aca="false">SUMIFS(매출내역!$H$3:$H$3002,매출내역!$G$3:$G$3002,"&gt;="&amp;DATE($B$3,10,1),매출내역!$G$3:$G$3002,"&lt;="&amp;EOMONTH(DATE($B$3,10,1),0))</f>
        <v>0</v>
      </c>
      <c r="E15" s="30" t="n">
        <f aca="false">$C15-$D15</f>
        <v>0</v>
      </c>
      <c r="F15" s="30" t="n">
        <f aca="false">SUMPRODUCT((거래처목록!$A$3:$A$302&lt;&gt;"")*(COUNTIFS(매출내역!$B$3:$B$3002,거래처목록!$A$3:$A$302,매출내역!$A$3:$A$3002,"&gt;="&amp;DATE($B$3,10,1),매출내역!$A$3:$A$3002,"&lt;="&amp;EOMONTH(DATE($B$3,10,1),0))&gt;0))</f>
        <v>0</v>
      </c>
    </row>
    <row r="16" customFormat="false" ht="15" hidden="false" customHeight="true" outlineLevel="0" collapsed="false">
      <c r="A16" s="33" t="n">
        <v>11</v>
      </c>
      <c r="B16" s="30" t="n">
        <f aca="false">COUNTIFS(매출내역!$A$3:$A$3002,"&gt;="&amp;DATE($B$3,11,1),매출내역!$A$3:$A$3002,"&lt;="&amp;EOMONTH(DATE($B$3,11,1),0))</f>
        <v>0</v>
      </c>
      <c r="C16" s="30" t="n">
        <f aca="false">SUMIFS(매출내역!$F$3:$F$3002,매출내역!$A$3:$A$3002,"&gt;="&amp;DATE($B$3,11,1),매출내역!$A$3:$A$3002,"&lt;="&amp;EOMONTH(DATE($B$3,11,1),0))</f>
        <v>0</v>
      </c>
      <c r="D16" s="30" t="n">
        <f aca="false">SUMIFS(매출내역!$H$3:$H$3002,매출내역!$G$3:$G$3002,"&gt;="&amp;DATE($B$3,11,1),매출내역!$G$3:$G$3002,"&lt;="&amp;EOMONTH(DATE($B$3,11,1),0))</f>
        <v>0</v>
      </c>
      <c r="E16" s="30" t="n">
        <f aca="false">$C16-$D16</f>
        <v>0</v>
      </c>
      <c r="F16" s="30" t="n">
        <f aca="false">SUMPRODUCT((거래처목록!$A$3:$A$302&lt;&gt;"")*(COUNTIFS(매출내역!$B$3:$B$3002,거래처목록!$A$3:$A$302,매출내역!$A$3:$A$3002,"&gt;="&amp;DATE($B$3,11,1),매출내역!$A$3:$A$3002,"&lt;="&amp;EOMONTH(DATE($B$3,11,1),0))&gt;0))</f>
        <v>0</v>
      </c>
    </row>
    <row r="17" customFormat="false" ht="15" hidden="false" customHeight="true" outlineLevel="0" collapsed="false">
      <c r="A17" s="33" t="n">
        <v>12</v>
      </c>
      <c r="B17" s="30" t="n">
        <f aca="false">COUNTIFS(매출내역!$A$3:$A$3002,"&gt;="&amp;DATE($B$3,12,1),매출내역!$A$3:$A$3002,"&lt;="&amp;EOMONTH(DATE($B$3,12,1),0))</f>
        <v>0</v>
      </c>
      <c r="C17" s="30" t="n">
        <f aca="false">SUMIFS(매출내역!$F$3:$F$3002,매출내역!$A$3:$A$3002,"&gt;="&amp;DATE($B$3,12,1),매출내역!$A$3:$A$3002,"&lt;="&amp;EOMONTH(DATE($B$3,12,1),0))</f>
        <v>0</v>
      </c>
      <c r="D17" s="30" t="n">
        <f aca="false">SUMIFS(매출내역!$H$3:$H$3002,매출내역!$G$3:$G$3002,"&gt;="&amp;DATE($B$3,12,1),매출내역!$G$3:$G$3002,"&lt;="&amp;EOMONTH(DATE($B$3,12,1),0))</f>
        <v>0</v>
      </c>
      <c r="E17" s="30" t="n">
        <f aca="false">$C17-$D17</f>
        <v>0</v>
      </c>
      <c r="F17" s="30" t="n">
        <f aca="false">SUMPRODUCT((거래처목록!$A$3:$A$302&lt;&gt;"")*(COUNTIFS(매출내역!$B$3:$B$3002,거래처목록!$A$3:$A$302,매출내역!$A$3:$A$3002,"&gt;="&amp;DATE($B$3,12,1),매출내역!$A$3:$A$3002,"&lt;="&amp;EOMONTH(DATE($B$3,12,1),0))&gt;0))</f>
        <v>0</v>
      </c>
    </row>
    <row r="18" customFormat="false" ht="15" hidden="false" customHeight="true" outlineLevel="0" collapsed="false">
      <c r="A18" s="34" t="s">
        <v>65</v>
      </c>
      <c r="B18" s="31" t="n">
        <f aca="false">SUM(B6:B17)</f>
        <v>6</v>
      </c>
      <c r="C18" s="31" t="n">
        <f aca="false">SUM(C6:C17)</f>
        <v>17050000</v>
      </c>
      <c r="D18" s="31" t="n">
        <f aca="false">SUM(D6:D17)</f>
        <v>4500000</v>
      </c>
      <c r="E18" s="31" t="n">
        <f aca="false">SUM(E6:E17)</f>
        <v>12550000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2026-09-14T08:43:19Z</dcterms:created>
  <dc:creator>openpyxl</dc:creator>
  <dc:description/>
  <dc:language>en-US</dc:language>
  <cp:lastModifiedBy/>
  <dcterms:modified xsi:type="dcterms:W3CDTF">2026-09-14T08:58:20Z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